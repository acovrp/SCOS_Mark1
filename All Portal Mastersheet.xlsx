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 Master" sheetId="1" r:id="rId5"/>
    <sheet state="visible" name="New Master" sheetId="2" r:id="rId6"/>
    <sheet state="visible" name="Copy of New Master" sheetId="3" r:id="rId7"/>
    <sheet state="visible" name="Flex sheet" sheetId="4" r:id="rId8"/>
    <sheet state="visible" name="Sheet4" sheetId="5" r:id="rId9"/>
    <sheet state="visible" name="FK Pending" sheetId="6" r:id="rId10"/>
    <sheet state="visible" name="Sheet2" sheetId="7" r:id="rId11"/>
  </sheets>
  <definedNames>
    <definedName hidden="1" localSheetId="1" name="_xlnm._FilterDatabase">'New Master'!$A$1:$Z$1161</definedName>
    <definedName hidden="1" localSheetId="2" name="_xlnm._FilterDatabase">'Copy of New Master'!$A$1:$Z$1161</definedName>
    <definedName hidden="1" localSheetId="5" name="_xlnm._FilterDatabase">'FK Pending'!$A$1:$H$120</definedName>
  </definedNames>
  <calcPr/>
</workbook>
</file>

<file path=xl/sharedStrings.xml><?xml version="1.0" encoding="utf-8"?>
<sst xmlns="http://schemas.openxmlformats.org/spreadsheetml/2006/main" count="37169" uniqueCount="5562">
  <si>
    <t>Master SKU</t>
  </si>
  <si>
    <t>Website SKU</t>
  </si>
  <si>
    <t>ASIN</t>
  </si>
  <si>
    <t>Flex-1</t>
  </si>
  <si>
    <t>Flex-2</t>
  </si>
  <si>
    <t>SS</t>
  </si>
  <si>
    <t>Flipkart</t>
  </si>
  <si>
    <t>Myntra SKU</t>
  </si>
  <si>
    <t>Style I'd</t>
  </si>
  <si>
    <t>PPF</t>
  </si>
  <si>
    <t>PRODUCT</t>
  </si>
  <si>
    <t>CATEGORY</t>
  </si>
  <si>
    <t>MRP</t>
  </si>
  <si>
    <t>16TH TO 31ST SP</t>
  </si>
  <si>
    <t>New BAU 24 April</t>
  </si>
  <si>
    <t>May Art Event</t>
  </si>
  <si>
    <t>SC-ORIG-S-72x30x6</t>
  </si>
  <si>
    <t>B0BB7575JC</t>
  </si>
  <si>
    <t>SC-ASF-ORIG-S-72x30x6</t>
  </si>
  <si>
    <t>SC-A-ORIG-S-72x30x6</t>
  </si>
  <si>
    <t>SC-F-ORIG-S-72x30x6</t>
  </si>
  <si>
    <t>SC-M-ORIG-S-72x30x6</t>
  </si>
  <si>
    <t>FU2187448-S-PM41515-72x30</t>
  </si>
  <si>
    <t>SC-ORIG-S-72x36x6</t>
  </si>
  <si>
    <t>B078BRGTDM</t>
  </si>
  <si>
    <t>SC-ASF-72x36x6</t>
  </si>
  <si>
    <t>W0-WYJN-N8R9</t>
  </si>
  <si>
    <t>SC72366</t>
  </si>
  <si>
    <t>SC-M-ORIG-S-72x36x6</t>
  </si>
  <si>
    <t>FU1844872-S-PM41515-72x36</t>
  </si>
  <si>
    <t>SC-ORIG-S-75x36x6</t>
  </si>
  <si>
    <t>B077Q9YRMV</t>
  </si>
  <si>
    <t>SC-ASF-75x36x6</t>
  </si>
  <si>
    <t>HA-T4WU-6XBG</t>
  </si>
  <si>
    <t>SC75366</t>
  </si>
  <si>
    <t>SC-M-ORIG-S-75x36x6</t>
  </si>
  <si>
    <t>FU1844872-S-PM41515-75x36</t>
  </si>
  <si>
    <t>SC-ORIG-S-78x36x6</t>
  </si>
  <si>
    <t>B0732Y4N38</t>
  </si>
  <si>
    <t>SC-ASF-78x36x6</t>
  </si>
  <si>
    <t>SC198/91</t>
  </si>
  <si>
    <t>SC78366</t>
  </si>
  <si>
    <t>SC-M-ORIG-S-78x36x6</t>
  </si>
  <si>
    <t>FU1844872-S-PM41515-78x36</t>
  </si>
  <si>
    <t>SC-ORIG-S-75x42x6</t>
  </si>
  <si>
    <t>B0BB74H71K</t>
  </si>
  <si>
    <t>SC-ASF-ORIG-S-75x42x6</t>
  </si>
  <si>
    <t>SC-A-ORIG-S-75x42x6</t>
  </si>
  <si>
    <t>SC75426</t>
  </si>
  <si>
    <t>SC-M-ORIG-S-75x42x6</t>
  </si>
  <si>
    <t>SC-ORIG-S-84x36x6</t>
  </si>
  <si>
    <t>Original Mattress</t>
  </si>
  <si>
    <t>Mattress</t>
  </si>
  <si>
    <t>SC-ORIG-S-72x30x8</t>
  </si>
  <si>
    <t>B0BB72XRJ6</t>
  </si>
  <si>
    <t>SC-ASF-ORIG-S-72x30x8</t>
  </si>
  <si>
    <t>SC-A-ORIG-S-72x30x8</t>
  </si>
  <si>
    <t>SC-F-ORIG-S-72x30x8</t>
  </si>
  <si>
    <t>SC-M-ORIG-S-72x30x8</t>
  </si>
  <si>
    <t>FU1982572-S-PM41515-72x30</t>
  </si>
  <si>
    <t>SC-ORIG-S-72x36x8</t>
  </si>
  <si>
    <t>B07PXG7NPX</t>
  </si>
  <si>
    <t>SC-ASF-72x36x8</t>
  </si>
  <si>
    <t>SC 72x36x8</t>
  </si>
  <si>
    <t>SCP72368</t>
  </si>
  <si>
    <t>SC-M-ORIG-S-72x36x8</t>
  </si>
  <si>
    <t>FU1982572-S-PM41515-72x36</t>
  </si>
  <si>
    <t>SC-ORIG-S-75x36x8</t>
  </si>
  <si>
    <t>B07NLFV79S</t>
  </si>
  <si>
    <t>SC-ASF-75x36x8</t>
  </si>
  <si>
    <t>SC 75x36x8</t>
  </si>
  <si>
    <t>SCP75368</t>
  </si>
  <si>
    <t>SC-M-ORIG-S-75x36x8</t>
  </si>
  <si>
    <t>FU1982572-S-PM41515-75x36</t>
  </si>
  <si>
    <t>SC-ORIG-S-78x36x8</t>
  </si>
  <si>
    <t>B07PYHX5P7</t>
  </si>
  <si>
    <t>SC-ASF-78x36x8</t>
  </si>
  <si>
    <t>SC 78x36x8</t>
  </si>
  <si>
    <t>SCP78368</t>
  </si>
  <si>
    <t>SC-M-ORIG-S-78x36x8</t>
  </si>
  <si>
    <t>FU1982572-S-PM41515-78x36</t>
  </si>
  <si>
    <t>SC-ORIG-S-84x36x8</t>
  </si>
  <si>
    <t>B0FWLNLVRL</t>
  </si>
  <si>
    <t>SC-ASF-ORIG-S-84x36x8</t>
  </si>
  <si>
    <t>SC-F-ORIG-S-84x36x8</t>
  </si>
  <si>
    <t>SC-M-ORIG-S-84x36x8</t>
  </si>
  <si>
    <t>SC-ORIG-S-72x36x10</t>
  </si>
  <si>
    <t>B09BFCJDVZ</t>
  </si>
  <si>
    <t>SC-ASF-72x36x10</t>
  </si>
  <si>
    <t>SC-A-72x36x10</t>
  </si>
  <si>
    <t>SC-F-72x36x10</t>
  </si>
  <si>
    <t>SC-M-ORIG-S-72x36x10</t>
  </si>
  <si>
    <t>FU1982569-S-PM41515-72x36</t>
  </si>
  <si>
    <t>SC-ORIG-S-75x36x10</t>
  </si>
  <si>
    <t>B09BFD48NW</t>
  </si>
  <si>
    <t>SC-ASF-75x36x10</t>
  </si>
  <si>
    <t>SC-A-75x36x10</t>
  </si>
  <si>
    <t>SC-F-75x36x10</t>
  </si>
  <si>
    <t>SC-M-ORIG-S-75x36x10</t>
  </si>
  <si>
    <t>FU1982569-S-PM41515-75x36</t>
  </si>
  <si>
    <t>SC-ORIG-S-78x36x10</t>
  </si>
  <si>
    <t>B09BFC77HD</t>
  </si>
  <si>
    <t>SC-ASF-78x36x10</t>
  </si>
  <si>
    <t>SC-A-78x36x10</t>
  </si>
  <si>
    <t>SC-F-78x36x10</t>
  </si>
  <si>
    <t>SC-M-ORIG-S-78x36x10</t>
  </si>
  <si>
    <t>FU1982569-S-PM41515-78x36</t>
  </si>
  <si>
    <t>SC-ORIG-S-84x36x10</t>
  </si>
  <si>
    <t>B0FWM2HPQ5</t>
  </si>
  <si>
    <t>SC-ASF-ORIG-S-84X36X10</t>
  </si>
  <si>
    <t>SC-F-ORIG-S-84X36X10</t>
  </si>
  <si>
    <t>SC-M-ORIG-S-84x36x10</t>
  </si>
  <si>
    <t>SC-ORIG-S-72x30x5</t>
  </si>
  <si>
    <t>B0G256TW3Q</t>
  </si>
  <si>
    <t>SC-ASF-ORIG-S-72x30x5</t>
  </si>
  <si>
    <t>SC-F-ORIG-S-72x30x5</t>
  </si>
  <si>
    <t>SC-M-ORIG-S-72x30x5</t>
  </si>
  <si>
    <t>SC-ORIG-S-72x36x5</t>
  </si>
  <si>
    <t>B0G255BCC2</t>
  </si>
  <si>
    <t>SC-ASF-ORIG-S-72x36x5</t>
  </si>
  <si>
    <t>SC-F-ORIG-S-72x36x5</t>
  </si>
  <si>
    <t>SC-M-ORIG-S-72x36x5</t>
  </si>
  <si>
    <t>FU2275237-S-PM41515-72X36</t>
  </si>
  <si>
    <t>SC-ORIG-S-75x30x5</t>
  </si>
  <si>
    <t>B0G256TCF2</t>
  </si>
  <si>
    <t>SC-ASF-ORIG-S-75x30x5</t>
  </si>
  <si>
    <t>SC-F-ORIG-S-75x30x5</t>
  </si>
  <si>
    <t>SC-M-ORIG-S-75x30x5</t>
  </si>
  <si>
    <t>FU2275237-S-PM41515-75X30</t>
  </si>
  <si>
    <t>SC-ORIG-S-78x30x5</t>
  </si>
  <si>
    <t>B0G256HLCC</t>
  </si>
  <si>
    <t>SC-ASF-ORIG-S-78x30x5</t>
  </si>
  <si>
    <t>SC-F-ORIG-S-78x30x5</t>
  </si>
  <si>
    <t>SC-M-ORIG-S-78x30x5</t>
  </si>
  <si>
    <t>SC-ORIG-S-75x36x5</t>
  </si>
  <si>
    <t>B0G25BBWF1</t>
  </si>
  <si>
    <t>SC-ASF-ORIG-S-75x36x5</t>
  </si>
  <si>
    <t>SC-F-ORIG-S-75x36x5</t>
  </si>
  <si>
    <t>SC-M-ORIG-S-75x36x5</t>
  </si>
  <si>
    <t>FU2275237-S-PM41515-75X36</t>
  </si>
  <si>
    <t>SC-ORIG-S-78x36x5</t>
  </si>
  <si>
    <t>B0G254P8PK</t>
  </si>
  <si>
    <t>SC-ASF-ORIG-S-78x36x5</t>
  </si>
  <si>
    <t>SC-F-ORIG-S-78x36x5</t>
  </si>
  <si>
    <t>SC-M-ORIG-S-78x36x5</t>
  </si>
  <si>
    <t>FU2275237-S-PM41515-78X36</t>
  </si>
  <si>
    <t>SC-ORIG-S-84x36x5</t>
  </si>
  <si>
    <t>B0G254WDXW</t>
  </si>
  <si>
    <t>SC-ASF-ORIG-S-84x36x5</t>
  </si>
  <si>
    <t>SC-F-ORIG-S-84x36x5</t>
  </si>
  <si>
    <t>SC-M-ORIG-S-84x36x5</t>
  </si>
  <si>
    <t>SC-ORIG-S-72x42x5</t>
  </si>
  <si>
    <t>B0G255Q66K</t>
  </si>
  <si>
    <t>SC-ASF-ORIG-S-72x42x5</t>
  </si>
  <si>
    <t>SC-F-ORIG-S-72x42x5</t>
  </si>
  <si>
    <t>SC-M-ORIG-S-72x42x5</t>
  </si>
  <si>
    <t>SC-ORIG-S-75x42x5</t>
  </si>
  <si>
    <t>B0G253XFRF</t>
  </si>
  <si>
    <t>SC-ASF-ORIG-S-75x42x5</t>
  </si>
  <si>
    <t>SC-F-ORIG-S-75x42x5</t>
  </si>
  <si>
    <t>SC-M-ORIG-S-75x42x5</t>
  </si>
  <si>
    <t>SC-ORIG-S-78x42x5</t>
  </si>
  <si>
    <t>B0G259Y96C</t>
  </si>
  <si>
    <t>SC-ASF-ORIG-S-78x42x5</t>
  </si>
  <si>
    <t>SC-F-ORIG-S-78x42x5</t>
  </si>
  <si>
    <t>SC-M-ORIG-S-78x42x5</t>
  </si>
  <si>
    <t>SC-ORIG-S-72x30x4</t>
  </si>
  <si>
    <t>B0G71J713Y</t>
  </si>
  <si>
    <t>SC-ASF-ORIG-S-72x30x4</t>
  </si>
  <si>
    <t>SC-F-ORIG-S-72x30x4</t>
  </si>
  <si>
    <t>SC-M-ORIG-S-72x30x4</t>
  </si>
  <si>
    <t>FU2289352-S-PM41515-72X30</t>
  </si>
  <si>
    <t>SC-ORIG-S-75x30x4</t>
  </si>
  <si>
    <t>B0G727KTGD</t>
  </si>
  <si>
    <t>SC-ASF-ORIG-S-75x30x4</t>
  </si>
  <si>
    <t>SC-F-ORIG-S-75x30x4</t>
  </si>
  <si>
    <t>SC-M-ORIG-S-75x30x4</t>
  </si>
  <si>
    <t>FU2289352-S-PM41515-75X30</t>
  </si>
  <si>
    <t>SC-ORIG-S-78x30x4</t>
  </si>
  <si>
    <t>B0G719KXZT</t>
  </si>
  <si>
    <t>SC-ASF-ORIG-S-78x30x4</t>
  </si>
  <si>
    <t>SC-F-ORIG-S-78x30x4</t>
  </si>
  <si>
    <t>SC-M-ORIG-S-78x30x4</t>
  </si>
  <si>
    <t>SC-ORIG-S-72x36x4</t>
  </si>
  <si>
    <t>B0G71BGCB3</t>
  </si>
  <si>
    <t>SC-ASF-ORIG-S-72x36x4</t>
  </si>
  <si>
    <t>SC-F-ORIG-S-72x36x4</t>
  </si>
  <si>
    <t>SC-M-ORIG-S-72x36x4</t>
  </si>
  <si>
    <t>FU2289352-S-PM41515-72X36</t>
  </si>
  <si>
    <t>SC-ORIG-S-75x36x4</t>
  </si>
  <si>
    <t>B0G72BV76Z</t>
  </si>
  <si>
    <t>SC-ASF-ORIG-S-75x36x4</t>
  </si>
  <si>
    <t>SC-F-ORIG-S-75x36x4</t>
  </si>
  <si>
    <t>SC-M-ORIG-S-75x36x4</t>
  </si>
  <si>
    <t>FU2289352-S-PM41515-75X36</t>
  </si>
  <si>
    <t>SC-ORIG-S-78x36x4</t>
  </si>
  <si>
    <t>B0G71TH7GF</t>
  </si>
  <si>
    <t>SC-ASF-ORIG-S-78x36x4</t>
  </si>
  <si>
    <t>SC-F-ORIG-S-78x36x4</t>
  </si>
  <si>
    <t>SC-M-ORIG-S-78x36x4</t>
  </si>
  <si>
    <t>FU2289352-S-PM41515-78X36</t>
  </si>
  <si>
    <t>SC-ORIG-S-84x36x4</t>
  </si>
  <si>
    <t>B0G71SFH65</t>
  </si>
  <si>
    <t>SC-ASF-ORIG-S-84x36x4</t>
  </si>
  <si>
    <t>SC-F-ORIG-S-84x36x4</t>
  </si>
  <si>
    <t>SC-M-ORIG-S-84x36x4</t>
  </si>
  <si>
    <t>SC-ORIG-D-72x48x6</t>
  </si>
  <si>
    <t>B077Q9YRMY</t>
  </si>
  <si>
    <t>SC-ASF-72x48x6</t>
  </si>
  <si>
    <t>KB-OOUO-WLU6</t>
  </si>
  <si>
    <t>SC72486</t>
  </si>
  <si>
    <t>SC-M-ORIG-D-72x48x6</t>
  </si>
  <si>
    <t>FU1844873-S-PM41515-72x48</t>
  </si>
  <si>
    <t>SC-ORIG-D-75x48x6</t>
  </si>
  <si>
    <t>B077Q8RLCP</t>
  </si>
  <si>
    <t>SC-ASF-75x48x6</t>
  </si>
  <si>
    <t>ZF-E2HP-QL1S</t>
  </si>
  <si>
    <t>SC75486</t>
  </si>
  <si>
    <t>SC-M-ORIG-D-75x48x6</t>
  </si>
  <si>
    <t>FU1844873-S-PM41515-75x48</t>
  </si>
  <si>
    <t>SC-ORIG-D-78x48x6</t>
  </si>
  <si>
    <t>B0732W7MRK</t>
  </si>
  <si>
    <t>SC-ASF-78x48x6</t>
  </si>
  <si>
    <t>SC198/121</t>
  </si>
  <si>
    <t>SC78486</t>
  </si>
  <si>
    <t>SC-M-ORIG-D-78x48x6</t>
  </si>
  <si>
    <t>FU1844873-S-PM41515-78x48</t>
  </si>
  <si>
    <t>SC-ORIG-D-84x48x6</t>
  </si>
  <si>
    <t>B0FN9FDV3D</t>
  </si>
  <si>
    <t>SC-ASF-ORIG-D-84x48x6</t>
  </si>
  <si>
    <t>SC-F-ORIG-D-84x48x6</t>
  </si>
  <si>
    <t>SC-M-ORIG-D-84x48x6</t>
  </si>
  <si>
    <t>SC-ORIG-D-72x48x8</t>
  </si>
  <si>
    <t>B07PVC8NR5</t>
  </si>
  <si>
    <t>SC-ASF-72x48x8</t>
  </si>
  <si>
    <t>SC 72x48x8</t>
  </si>
  <si>
    <t>SCP72488</t>
  </si>
  <si>
    <t>SC-M-ORIG-D-72x48x8</t>
  </si>
  <si>
    <t>FU1982573-S-PM41515-72x48</t>
  </si>
  <si>
    <t>SC-ORIG-D-75x48x8</t>
  </si>
  <si>
    <t>B07NLFVP6H</t>
  </si>
  <si>
    <t>SC-ASF-75x48x8</t>
  </si>
  <si>
    <t>SC 75x48x8</t>
  </si>
  <si>
    <t>SCP75488</t>
  </si>
  <si>
    <t>SC-M-ORIG-D-75x48x8</t>
  </si>
  <si>
    <t>FU1982573-S-PM41515-75x48</t>
  </si>
  <si>
    <t>SC-ORIG-D-78x48x8</t>
  </si>
  <si>
    <t>B07PW985JH</t>
  </si>
  <si>
    <t>SC-ASF-78x48x8</t>
  </si>
  <si>
    <t>SC 78x48x8</t>
  </si>
  <si>
    <t>SCP78488</t>
  </si>
  <si>
    <t>SC-M-ORIG-D-78x48x8</t>
  </si>
  <si>
    <t>FU1982573-S-PM41515-78x48</t>
  </si>
  <si>
    <t>SC-ORIG-D-84x48x8</t>
  </si>
  <si>
    <t>B0G39WGZD6</t>
  </si>
  <si>
    <t>SC-ASF-ORIG-D-84x48x8</t>
  </si>
  <si>
    <t>SC-F-ORIG-D-84x48x8</t>
  </si>
  <si>
    <t>SC-M-ORIG-D-84x48x8</t>
  </si>
  <si>
    <t>SC-ORIG-D-72x48x10</t>
  </si>
  <si>
    <t>B0BB7KCGYN</t>
  </si>
  <si>
    <t>SC-ASF-ORIG-D-72x48x10</t>
  </si>
  <si>
    <t>SC-A-ORIG-D-72x48x10</t>
  </si>
  <si>
    <t>SC-F-ORIG-D-72x48x10</t>
  </si>
  <si>
    <t>SC-M-ORIG-D-72x48x10</t>
  </si>
  <si>
    <t>FU1982570-S-PM41515-72x48</t>
  </si>
  <si>
    <t>SC-ORIG-D-75x48x10</t>
  </si>
  <si>
    <t>B0BB7KQVR2</t>
  </si>
  <si>
    <t>SC-ASF-ORIG-D-75x48x10</t>
  </si>
  <si>
    <t>SC-A-ORIG-D-75x48x10</t>
  </si>
  <si>
    <t>SC-F-ORIG-D-75x48x10</t>
  </si>
  <si>
    <t>SC-M-ORIG-D-75x48x10</t>
  </si>
  <si>
    <t>FU1982570-S-PM41515-75x48</t>
  </si>
  <si>
    <t>SC-ORIG-D-78x48x10</t>
  </si>
  <si>
    <t>B0BB7HVLKV</t>
  </si>
  <si>
    <t>SC-FLEX-ORIG-D-78x48x10</t>
  </si>
  <si>
    <t>SC-A-ORIG-D-78x48x10</t>
  </si>
  <si>
    <t>SC-F-ORIG-D-78x48x10</t>
  </si>
  <si>
    <t>SC-M-ORIG-D-78x48x10</t>
  </si>
  <si>
    <t>FU1982570-S-PM41515-78x48</t>
  </si>
  <si>
    <t>SC-ORIG-D-84x48x10</t>
  </si>
  <si>
    <t>B0FN9PWY8K</t>
  </si>
  <si>
    <t>SC-ASF-ORIG-D-84x48x10</t>
  </si>
  <si>
    <t>SC-F-ORIG-D-84x48x10</t>
  </si>
  <si>
    <t>SC-M-ORIG-D-84x48x10</t>
  </si>
  <si>
    <t>SC-ORIG-D-72x48x5</t>
  </si>
  <si>
    <t>B0G2599S6F</t>
  </si>
  <si>
    <t>SC-ASF-ORIG-D-72x48x5</t>
  </si>
  <si>
    <t>SC-F-ORIG-D-72x48x5</t>
  </si>
  <si>
    <t>SC-M-ORIG-D-72x48x5</t>
  </si>
  <si>
    <t>SC-ORIG-D-75x48x5</t>
  </si>
  <si>
    <t>B0G2565L5B</t>
  </si>
  <si>
    <t>SC-ASF-ORIG-D-75x48x5</t>
  </si>
  <si>
    <t>SC-F-ORIG-D-75x48x5</t>
  </si>
  <si>
    <t>SC-M-ORIG-D-75x48x5</t>
  </si>
  <si>
    <t>SC-ORIG-D-78x48x5</t>
  </si>
  <si>
    <t>B0G25656L7</t>
  </si>
  <si>
    <t>SC-ASF-ORIG-D-78x48x5</t>
  </si>
  <si>
    <t>SC-F-ORIG-D-78x48x5</t>
  </si>
  <si>
    <t>SC-M-ORIG-D-78x48x5</t>
  </si>
  <si>
    <t>SC-ORIG-D-84x48x5</t>
  </si>
  <si>
    <t>B0G253M5HG</t>
  </si>
  <si>
    <t>SC-ASF-ORIG-D-84x48x5</t>
  </si>
  <si>
    <t>SC-F-ORIG-D-84x48x5</t>
  </si>
  <si>
    <t>SC-M-ORIG-D-84x48x5</t>
  </si>
  <si>
    <t>SC-ORIG-D-72x42x4</t>
  </si>
  <si>
    <t>B0G71QWQJV</t>
  </si>
  <si>
    <t>SC-ASF-ORIG-D-72x42x4</t>
  </si>
  <si>
    <t>SC-F-ORIG-D-72x42x4</t>
  </si>
  <si>
    <t>SC-M-ORIG-D-72x42x4</t>
  </si>
  <si>
    <t>SC-ORIG-D-75x42x4</t>
  </si>
  <si>
    <t>B0G71SJPY6</t>
  </si>
  <si>
    <t>SC-ASF-ORIG-D-75x42x4</t>
  </si>
  <si>
    <t>SC-F-ORIG-D-75x42x4</t>
  </si>
  <si>
    <t>SC-M-ORIG-D-75x42x4</t>
  </si>
  <si>
    <t>SC-ORIG-D-78x42x8</t>
  </si>
  <si>
    <t>SC-ORIG-D-72x48x4</t>
  </si>
  <si>
    <t>B0G71HHRVT</t>
  </si>
  <si>
    <t>SC-ASF-ORIG-D-72x48x4</t>
  </si>
  <si>
    <t>SC-F-ORIG-D-72x48x4</t>
  </si>
  <si>
    <t>SC-M-ORIG-D-72x48x4</t>
  </si>
  <si>
    <t>FU2289351-S-PM41515-72X48</t>
  </si>
  <si>
    <t>SC-ORIG-D-75x48x4</t>
  </si>
  <si>
    <t>B0G71S9GW3</t>
  </si>
  <si>
    <t>SC-ASF-ORIG-D-75x48x4</t>
  </si>
  <si>
    <t>SC-F-ORIG-D-75x48x4</t>
  </si>
  <si>
    <t>SC-M-ORIG-D-75x48x4</t>
  </si>
  <si>
    <t>SC-ORIG-D-78x48x4</t>
  </si>
  <si>
    <t>B0G726PV91</t>
  </si>
  <si>
    <t>SC-ASF-ORIG-D-78x48x4</t>
  </si>
  <si>
    <t>SC-F-ORIG-D-78x48x4</t>
  </si>
  <si>
    <t>SC-M-ORIG-D-78x48x4</t>
  </si>
  <si>
    <t>SC-ORIG-D-84x48x4</t>
  </si>
  <si>
    <t>B0G71MXKPQ</t>
  </si>
  <si>
    <t>SC-ASF-ORIG-D-84x48x4</t>
  </si>
  <si>
    <t>SC-F-ORIG-D-84x48x4</t>
  </si>
  <si>
    <t>SC-M-ORIG-D-84x48x4</t>
  </si>
  <si>
    <t>SC-ORIG-Q-72x60x6</t>
  </si>
  <si>
    <t>B078BNQ7M4</t>
  </si>
  <si>
    <t>SC-LQ-ORIG-Q-72x60x6</t>
  </si>
  <si>
    <t>SC72606</t>
  </si>
  <si>
    <t>SC-M-ORIG-Q-72x60x6</t>
  </si>
  <si>
    <t>SC-ORIG-Q-75x60x6</t>
  </si>
  <si>
    <t>B0732TMKP8</t>
  </si>
  <si>
    <t>SC-ASF-75x60x6</t>
  </si>
  <si>
    <t>SC190/152</t>
  </si>
  <si>
    <t>SC75606</t>
  </si>
  <si>
    <t>SC-M-ORIG-Q-75x60x6</t>
  </si>
  <si>
    <t>FU1844873-S-PM41515-75x60</t>
  </si>
  <si>
    <t>SC-ORIG-Q-78x60x6</t>
  </si>
  <si>
    <t>B0732WFNVL</t>
  </si>
  <si>
    <t>SC-ASF-78x60x6</t>
  </si>
  <si>
    <t>SC198/152</t>
  </si>
  <si>
    <t>SC78606</t>
  </si>
  <si>
    <t>SC-M-ORIG-Q-78x60x6</t>
  </si>
  <si>
    <t>FU1844873-S-PM41515-78x60</t>
  </si>
  <si>
    <t>SC-ORIG-Q-72x66x6</t>
  </si>
  <si>
    <t>B077QB4R3Y</t>
  </si>
  <si>
    <t>SC-ASF-72x66x6</t>
  </si>
  <si>
    <t>32-01PN-IJIW</t>
  </si>
  <si>
    <t>SC72666</t>
  </si>
  <si>
    <t>SC-M-ORIG-Q-72x66x6</t>
  </si>
  <si>
    <t>SC-ORIG-Q-75x66x6</t>
  </si>
  <si>
    <t>B0784G85Q4</t>
  </si>
  <si>
    <t>SC-ASF-75x66x6</t>
  </si>
  <si>
    <t>AT-4DY9-BTLK</t>
  </si>
  <si>
    <t>SC75666</t>
  </si>
  <si>
    <t>SC-M-ORIG-Q-75x66x6</t>
  </si>
  <si>
    <t>SC-ORIG-Q-78x66x6</t>
  </si>
  <si>
    <t>B0732XD4WD</t>
  </si>
  <si>
    <t>SC-ASF-78x66x6</t>
  </si>
  <si>
    <t>SC198/167</t>
  </si>
  <si>
    <t>SC78666</t>
  </si>
  <si>
    <t>SC-M-ORIG-Q-78x66x6</t>
  </si>
  <si>
    <t>FU1844873-S-PM41515-78x66</t>
  </si>
  <si>
    <t>SC-ORIG-Q-84x60x6</t>
  </si>
  <si>
    <t>B0FN956DHV</t>
  </si>
  <si>
    <t>SC-ASF-ORIG-Q-84x60x6</t>
  </si>
  <si>
    <t>SC-F-ORIG-Q-84x60x6</t>
  </si>
  <si>
    <t>SC-M-ORIG-Q-84x60x6</t>
  </si>
  <si>
    <t>SC-ORIG-Q-72x60x8</t>
  </si>
  <si>
    <t>B07MHZTP8Q</t>
  </si>
  <si>
    <t>SC-FLEX-ORIG-Q-72x60x8</t>
  </si>
  <si>
    <t>SC-ASF-72x60x8</t>
  </si>
  <si>
    <t>SC 72x60x8</t>
  </si>
  <si>
    <t>SCP72608</t>
  </si>
  <si>
    <t>SC-M-ORIG-Q-72x60x8</t>
  </si>
  <si>
    <t>FU1982573-S-PM41515-72x60</t>
  </si>
  <si>
    <t>SC-ORIG-Q-75x60x8</t>
  </si>
  <si>
    <t>B07MBSJ553</t>
  </si>
  <si>
    <t>SC-ASF-75x60x8</t>
  </si>
  <si>
    <t>SC 75x60x8</t>
  </si>
  <si>
    <t>SCP75608</t>
  </si>
  <si>
    <t>SC-M-ORIG-Q-75x60x8</t>
  </si>
  <si>
    <t>FU1982573-S-PM41515-75x60</t>
  </si>
  <si>
    <t>SC-ORIG-Q-78x60x8</t>
  </si>
  <si>
    <t>B07JN4C3NB</t>
  </si>
  <si>
    <t>SC-ASF-78x60x8</t>
  </si>
  <si>
    <t>SC 78x60x8</t>
  </si>
  <si>
    <t>SCP78608</t>
  </si>
  <si>
    <t>SC-M-ORIG-Q-78x60x8</t>
  </si>
  <si>
    <t>FU1982573-S-PM41515-78x60</t>
  </si>
  <si>
    <t>SC-ORIG-Q-72x66x8</t>
  </si>
  <si>
    <t>B0B6CKXX6W</t>
  </si>
  <si>
    <t>SC-ASF-ORIG-Q-72x66x8</t>
  </si>
  <si>
    <t>SC-F-ORIG-Q-72x66x8</t>
  </si>
  <si>
    <t>SC-M-ORIG-Q-72x66x8</t>
  </si>
  <si>
    <t>SC-ORIG-Q-75x66x8</t>
  </si>
  <si>
    <t>B0BB7KL7T9</t>
  </si>
  <si>
    <t>SC-ASF-ORIG-Q-75x66x8</t>
  </si>
  <si>
    <t>SC-A-ORIG-Q-75x66x8</t>
  </si>
  <si>
    <t>SC-F-ORIG-Q-75x66x8</t>
  </si>
  <si>
    <t>SC-M-ORIG-Q-75x66x8</t>
  </si>
  <si>
    <t>SC-ORIG-Q-78x66x8</t>
  </si>
  <si>
    <t>B0B6CKFXWD</t>
  </si>
  <si>
    <t>SC-ASF-ORIG-Q-78x66x8</t>
  </si>
  <si>
    <t>SC-F-ORIG-Q-78x66x8</t>
  </si>
  <si>
    <t>SC-M-ORIG-Q-78x66x8</t>
  </si>
  <si>
    <t>SC-ORIG-Q-84x60x8</t>
  </si>
  <si>
    <t>B0G39ZNHXN</t>
  </si>
  <si>
    <t>SC-ASF-ORIG-Q-84x60x8</t>
  </si>
  <si>
    <t>SC-F-ORIG-Q-84x60x8</t>
  </si>
  <si>
    <t>SC-M-ORIG-Q-84x60x8</t>
  </si>
  <si>
    <t>SC-ORIG-Q-72x60x10</t>
  </si>
  <si>
    <t>B09BFDR5TH</t>
  </si>
  <si>
    <t>SC-ASF-72x60x10</t>
  </si>
  <si>
    <t>SC-A-72x60x10</t>
  </si>
  <si>
    <t>SC-F-72x60x10</t>
  </si>
  <si>
    <t>SC-M-ORIG-Q-72x60x10</t>
  </si>
  <si>
    <t>FU1982570-S-PM41515-72x60</t>
  </si>
  <si>
    <t>SC-ORIG-Q-75x60x10</t>
  </si>
  <si>
    <t>B09BFBRLLB</t>
  </si>
  <si>
    <t>SC-ASF-75x60x10</t>
  </si>
  <si>
    <t>SC-A-75x60x10</t>
  </si>
  <si>
    <t>SC-F-75x60x10</t>
  </si>
  <si>
    <t>SC-M-ORIG-Q-75x60x10</t>
  </si>
  <si>
    <t>FU1982570-S-PM41515-75x60</t>
  </si>
  <si>
    <t>SC-ORIG-Q-78x60x10</t>
  </si>
  <si>
    <t>B09BFD1ZB3</t>
  </si>
  <si>
    <t>SC-ASF-78x60x10</t>
  </si>
  <si>
    <t>SC-A-78x60x10</t>
  </si>
  <si>
    <t>SC-78x60x10</t>
  </si>
  <si>
    <t>SC-M-ORIG-Q-78x60x10</t>
  </si>
  <si>
    <t>FU1982570-S-PM41515-78x60</t>
  </si>
  <si>
    <t>SC-ORIG-Q-72x66x10</t>
  </si>
  <si>
    <t>B0BB7JWTL4</t>
  </si>
  <si>
    <t>SC-ASF-ORIG-Q-72x66x10</t>
  </si>
  <si>
    <t>SC-A-ORIG-Q-72x66x10</t>
  </si>
  <si>
    <t>SC-F-ORIG-Q-72x66x10</t>
  </si>
  <si>
    <t>SC-M-ORIG-Q-72x66x10</t>
  </si>
  <si>
    <t>SC-ORIG-Q-75x66x10</t>
  </si>
  <si>
    <t>B0BB7JQPSM</t>
  </si>
  <si>
    <t>SC-ASF-ORIG-Q-75x66x10</t>
  </si>
  <si>
    <t>SC-A-ORIG-Q-75x66x10</t>
  </si>
  <si>
    <t>SC-F-ORIG-Q-75x66x10</t>
  </si>
  <si>
    <t>SC-M-ORIG-Q-75x66x10</t>
  </si>
  <si>
    <t>SC-ORIG-Q-78x66x10</t>
  </si>
  <si>
    <t>B0BB7KGNLD</t>
  </si>
  <si>
    <t>SC-ASF-ORIG-Q-78x66x10</t>
  </si>
  <si>
    <t>SC-A-ORIG-Q-78x66x10</t>
  </si>
  <si>
    <t>SC-F-ORIG-Q-78x66x10</t>
  </si>
  <si>
    <t>SC-M-ORIG-Q-78x66x10</t>
  </si>
  <si>
    <t>SC-ORIG-Q-84x60x10</t>
  </si>
  <si>
    <t>B0FN9G6TPZ</t>
  </si>
  <si>
    <t>SC-ASF-ORIG-Q-84x60x10</t>
  </si>
  <si>
    <t>SC-F-ORIG-Q-84x60x10</t>
  </si>
  <si>
    <t>SC-M-ORIG-Q-84x60x10</t>
  </si>
  <si>
    <t>SC-ORIG-Q-84x66x6</t>
  </si>
  <si>
    <t>B0G39YK3TM</t>
  </si>
  <si>
    <t>SC-ASF-ORIG-Q-84x66x6</t>
  </si>
  <si>
    <t>SC-F-ORIG-Q-84x66x6</t>
  </si>
  <si>
    <t>SC-M-ORIG-Q-84x66x6</t>
  </si>
  <si>
    <t>SC-ORIG-Q-84x66x8</t>
  </si>
  <si>
    <t>B0G39ZNHXQ</t>
  </si>
  <si>
    <t>SC-ASF-ORIG-Q-84x66x8</t>
  </si>
  <si>
    <t>SC-F-ORIG-Q-84x66x8</t>
  </si>
  <si>
    <t>SC-M-ORIG-Q-84x66x8</t>
  </si>
  <si>
    <t>SC-ORIG-Q-84x66x10</t>
  </si>
  <si>
    <t>B0G39V8R7X</t>
  </si>
  <si>
    <t>SC-ASF-ORIG-Q-84x66x10</t>
  </si>
  <si>
    <t>SC-F-ORIG-Q-84x66x10</t>
  </si>
  <si>
    <t>SC-M-ORIG-Q-84x66x10</t>
  </si>
  <si>
    <t>SC-ORIG-Q-72x60x5</t>
  </si>
  <si>
    <t>B0G25BHBT6</t>
  </si>
  <si>
    <t>SC-ASF-ORIG-Q-72x60x5</t>
  </si>
  <si>
    <t>SC-F-ORIG-Q-72x60x5</t>
  </si>
  <si>
    <t>SC-M-ORIG-Q-72x60x5</t>
  </si>
  <si>
    <t>FU2275238-S-PM41515-72X60</t>
  </si>
  <si>
    <t>SC-ORIG-Q-75x60x5</t>
  </si>
  <si>
    <t>B0G256HLCB</t>
  </si>
  <si>
    <t>SC-ASF-ORIG-Q-75x60x5</t>
  </si>
  <si>
    <t>SC-F-ORIG-Q-75x60x5</t>
  </si>
  <si>
    <t>SC-M-ORIG-Q-75x60x5</t>
  </si>
  <si>
    <t>FU2275238-S-PM41515-75X60</t>
  </si>
  <si>
    <t>SC-ORIG-Q-78x60x5</t>
  </si>
  <si>
    <t>B0G2569T27</t>
  </si>
  <si>
    <t>SC-ASF-ORIG-Q-78x60x5</t>
  </si>
  <si>
    <t>SC-F-ORIG-Q-78x60x5</t>
  </si>
  <si>
    <t>SC-M-ORIG-Q-78x60x5</t>
  </si>
  <si>
    <t>FU2275238-S-PM41515-78X60</t>
  </si>
  <si>
    <t>SC-ORIG-Q-72x66x5</t>
  </si>
  <si>
    <t>B0G256SMQZ</t>
  </si>
  <si>
    <t>SC-ASF-ORIG-Q-72x66x5</t>
  </si>
  <si>
    <t>SC-F-ORIG-Q-72x66x5</t>
  </si>
  <si>
    <t>SC-M-ORIG-Q-72x66x5</t>
  </si>
  <si>
    <t>FU2275238-S-PM41515-72X66</t>
  </si>
  <si>
    <t>SC-ORIG-Q-75x66x5</t>
  </si>
  <si>
    <t>B0G256TCF3</t>
  </si>
  <si>
    <t>SC-ASF-ORIG-Q-75x66x5</t>
  </si>
  <si>
    <t>SC-F-ORIG-Q-75x66x5</t>
  </si>
  <si>
    <t>SC-M-ORIG-Q-75x66x5</t>
  </si>
  <si>
    <t>FU2275238-S-PM41515-75X66</t>
  </si>
  <si>
    <t>SC-ORIG-Q-78x66x5</t>
  </si>
  <si>
    <t>B0G254TRZH</t>
  </si>
  <si>
    <t>SC-ASF-ORIG-Q-78x66x5</t>
  </si>
  <si>
    <t>SC-F-ORIG-Q-78x66x5</t>
  </si>
  <si>
    <t>SC-M-ORIG-Q-78x66x5</t>
  </si>
  <si>
    <t>FU2275238-S-PM41515-78X66</t>
  </si>
  <si>
    <t>SC-ORIG-Q-84x60x5</t>
  </si>
  <si>
    <t>B0G258W8L2</t>
  </si>
  <si>
    <t>SC-ASF-ORIG-Q-84x60x5</t>
  </si>
  <si>
    <t>SC-F-ORIG-Q-84x60x5</t>
  </si>
  <si>
    <t>SC-M-ORIG-Q-84x60x5</t>
  </si>
  <si>
    <t>SC-ORIG-Q-72x60x4</t>
  </si>
  <si>
    <t>B0G71QJRXS</t>
  </si>
  <si>
    <t>SC-ASF-ORIG-Q-72x60x4</t>
  </si>
  <si>
    <t>SC-F-ORIG-Q-72x60x4</t>
  </si>
  <si>
    <t>SC-M-ORIG-Q-72x60x4</t>
  </si>
  <si>
    <t>FU2289351-S-PM41515-72X60</t>
  </si>
  <si>
    <t>SC-ORIG-Q-75x60x4</t>
  </si>
  <si>
    <t>B0G71MDVVD</t>
  </si>
  <si>
    <t>SC-ASF-ORIG-Q-75x60x4</t>
  </si>
  <si>
    <t>SC-F-ORIG-Q-75x60x4</t>
  </si>
  <si>
    <t>SC-M-ORIG-Q-75x60x4</t>
  </si>
  <si>
    <t>FU2289351-S-PM41515-75X60</t>
  </si>
  <si>
    <t>SC-ORIG-Q-78x60x4</t>
  </si>
  <si>
    <t>B0G71QBLSG</t>
  </si>
  <si>
    <t>SC-ASF-ORIG-Q-78x60x4</t>
  </si>
  <si>
    <t>SC-F-ORIG-Q-78x60x4</t>
  </si>
  <si>
    <t>SC-M-ORIG-Q-78x60x4</t>
  </si>
  <si>
    <t>FU2289351-S-PM41515-78X60</t>
  </si>
  <si>
    <t>SC-ORIG-Q-72x66x4</t>
  </si>
  <si>
    <t>B0G71LQHZ2</t>
  </si>
  <si>
    <t>SC-ASF-ORIG-Q-72x66x4</t>
  </si>
  <si>
    <t>SC-F-ORIG-Q-72x66x4</t>
  </si>
  <si>
    <t>SC-M-ORIG-Q-72x66x4</t>
  </si>
  <si>
    <t>FU2289351-S-PM41515-72X66</t>
  </si>
  <si>
    <t>SC-ORIG-Q-75x66x4</t>
  </si>
  <si>
    <t>B0G71J25KN</t>
  </si>
  <si>
    <t>SC-ASF-ORIG-Q-75x66x4</t>
  </si>
  <si>
    <t>SC-F-ORIG-Q-75x66x4</t>
  </si>
  <si>
    <t>SC-M-ORIG-Q-75x66x4</t>
  </si>
  <si>
    <t>FU2289351-S-PM41515-75X66</t>
  </si>
  <si>
    <t>SC-ORIG-Q-84x60x4</t>
  </si>
  <si>
    <t>B0G7241DPN</t>
  </si>
  <si>
    <t>SC-ASF-ORIG-Q-84x60x4</t>
  </si>
  <si>
    <t>SC-F-ORIG-Q-84x60x4</t>
  </si>
  <si>
    <t>SC-M-ORIG-Q-84x60x4</t>
  </si>
  <si>
    <t>SC-ORIG-Q-78x66x4</t>
  </si>
  <si>
    <t>B0G71VJTDG</t>
  </si>
  <si>
    <t>SC-ASF-ORIG-Q-78x66x4</t>
  </si>
  <si>
    <t>SC-F-ORIG-Q-78x66x4</t>
  </si>
  <si>
    <t>SC-M-ORIG-Q-78x66x4</t>
  </si>
  <si>
    <t>FU2289351-S-PM41515-78X66</t>
  </si>
  <si>
    <t>SC-ORIG-K-72x70x6</t>
  </si>
  <si>
    <t>B0F2TGN1KQ</t>
  </si>
  <si>
    <t>SC-A-ORIG-K-72x70x6</t>
  </si>
  <si>
    <t>SC-F-ORIG-K-72x70x6</t>
  </si>
  <si>
    <t>SC-M-ORIG-K-72x70x6</t>
  </si>
  <si>
    <t>FU1844874-S-PM41515-72x70</t>
  </si>
  <si>
    <t>SC-ORIG-K-72x72x6</t>
  </si>
  <si>
    <t>B077QJVWBR</t>
  </si>
  <si>
    <t>SC-ASF-72x72x6</t>
  </si>
  <si>
    <t>PF-LN7U-W1EA</t>
  </si>
  <si>
    <t>SC72726</t>
  </si>
  <si>
    <t>SC-M-ORIG-K-72x72x6</t>
  </si>
  <si>
    <t>FU1844874-S-PM41515-72x72</t>
  </si>
  <si>
    <t>SC-ORIG-K-75x70x6</t>
  </si>
  <si>
    <t>B0F2THTPGB</t>
  </si>
  <si>
    <t>SC-A-ORIG-K-75x70x6</t>
  </si>
  <si>
    <t>SC-F-ORIG-K-75x70x6</t>
  </si>
  <si>
    <t>SC-M-ORIG-K-75x70x6</t>
  </si>
  <si>
    <t>FU1844874-S-PM41515-75x70</t>
  </si>
  <si>
    <t>SC-ORIG-K-75x72x6</t>
  </si>
  <si>
    <t>B0732TFNYC</t>
  </si>
  <si>
    <t>SC-FLEX-ORIG-K-75x72x6</t>
  </si>
  <si>
    <t>SC-ASF-75x72x6</t>
  </si>
  <si>
    <t>SC190/182</t>
  </si>
  <si>
    <t>SC75726</t>
  </si>
  <si>
    <t>SC-M-ORIG-K-75x72x6</t>
  </si>
  <si>
    <t>FU1844874-S-PM41515-75x72</t>
  </si>
  <si>
    <t>SC-ORIG-K-78x70x6</t>
  </si>
  <si>
    <t>B0F2TJDG5J</t>
  </si>
  <si>
    <t>SC-A-ORIG-K-78x70x6</t>
  </si>
  <si>
    <t>SC-F-ORIG-K-78x70x6</t>
  </si>
  <si>
    <t>SC-M-ORIG-K-78x70x6</t>
  </si>
  <si>
    <t>FU1844874-S-PM41515-78x70</t>
  </si>
  <si>
    <t>SC-ORIG-K-78x72x6</t>
  </si>
  <si>
    <t>B0732Y4N37</t>
  </si>
  <si>
    <t>SC-FLEX1-ORIG-K-78x72x6</t>
  </si>
  <si>
    <t>SC78726</t>
  </si>
  <si>
    <t>SC-M-ORIG-K-78x72x6</t>
  </si>
  <si>
    <t>FU1844874-S-PM41515-78x72</t>
  </si>
  <si>
    <t>SC-ORIG-K-84x72x6</t>
  </si>
  <si>
    <t>B0BB72TBNX</t>
  </si>
  <si>
    <t>SC-ASF-ORIG-K-84x72x6</t>
  </si>
  <si>
    <t>SC-A-ORIG-K-84x72x6</t>
  </si>
  <si>
    <t>SC-F-ORIG-K-84x72x6</t>
  </si>
  <si>
    <t>SC-M-ORIG-K-84x72x6</t>
  </si>
  <si>
    <t>FU1844874-S-PM41515-84x72</t>
  </si>
  <si>
    <t>SC-ORIG-K-84x78x6</t>
  </si>
  <si>
    <t>B0DG5SG9FM</t>
  </si>
  <si>
    <t>SC-ASF-ORIG-K-84x78x6</t>
  </si>
  <si>
    <t>SC-F-ORIG-K-84x78x6</t>
  </si>
  <si>
    <t>SC-M-ORIG-K-84x78x6</t>
  </si>
  <si>
    <t>SC-ORIG-K-72x70x8</t>
  </si>
  <si>
    <t>B0F2TGCPMR</t>
  </si>
  <si>
    <t>SC-A-ORIG-K-72x70x8</t>
  </si>
  <si>
    <t>SC-F-ORIG-K-72x70x8</t>
  </si>
  <si>
    <t>SC-M-ORIG-K-72x70x8</t>
  </si>
  <si>
    <t>FU1982574-S-PM41515-72x70</t>
  </si>
  <si>
    <t>SC-ORIG-K-72x72x8</t>
  </si>
  <si>
    <t>B07M72KSRM</t>
  </si>
  <si>
    <t>SC-ASF-72x72x8</t>
  </si>
  <si>
    <t>SC 72x72x8</t>
  </si>
  <si>
    <t>SCP72728</t>
  </si>
  <si>
    <t>SC-M-ORIG-K-72x72x8</t>
  </si>
  <si>
    <t>FU1982574-S-PM41515-72x72</t>
  </si>
  <si>
    <t>SC-ORIG-K-75x70x8</t>
  </si>
  <si>
    <t>B0F2TJ7SY4</t>
  </si>
  <si>
    <t>SC-A-ORIG-K-75x70x8</t>
  </si>
  <si>
    <t>SC-F-ORIG-K-75x70x8</t>
  </si>
  <si>
    <t>SC-M-ORIG-K-75x70x8</t>
  </si>
  <si>
    <t>SC-ORIG-K-75x72x8</t>
  </si>
  <si>
    <t>B07MHZVDNP</t>
  </si>
  <si>
    <t>SC-ASF-75x72x8</t>
  </si>
  <si>
    <t>SC 75x72x8</t>
  </si>
  <si>
    <t>SCP75728</t>
  </si>
  <si>
    <t>SC-M-ORIG-K-75x72x8</t>
  </si>
  <si>
    <t>FU1982574-S-PM41515-75x72</t>
  </si>
  <si>
    <t>SC-ORIG-K-78x72x8</t>
  </si>
  <si>
    <t>B07JM7GQG4</t>
  </si>
  <si>
    <t>SC-LS-ORIG-K-78x72x8</t>
  </si>
  <si>
    <t>SC 78x72x8</t>
  </si>
  <si>
    <t>SCP78728</t>
  </si>
  <si>
    <t>SC-M-ORIG-K-78x72x8</t>
  </si>
  <si>
    <t>FU1982574-S-PM41515-78x72</t>
  </si>
  <si>
    <t>SC-ORIG-K-78x70x8</t>
  </si>
  <si>
    <t>B0F2TJSCL8</t>
  </si>
  <si>
    <t>SC-A-ORIG-K-78x70x8</t>
  </si>
  <si>
    <t>SC-F-ORIG-K-78x70x8</t>
  </si>
  <si>
    <t>SC-M-ORIG-K-78x70x8</t>
  </si>
  <si>
    <t>FU1982574-S-PM41515-78x70</t>
  </si>
  <si>
    <t>SC-ORIG-K-84x72x8</t>
  </si>
  <si>
    <t>B0BB75FZXB</t>
  </si>
  <si>
    <t>SC-ASF-ORIG-K-84x72x8</t>
  </si>
  <si>
    <t>SC-A-ORIG-K-84x72x8</t>
  </si>
  <si>
    <t>SC-F-ORIG-K-84x72x8</t>
  </si>
  <si>
    <t>SC-M-ORIG-K-84x72x8</t>
  </si>
  <si>
    <t>FU1982574-S-PM41515-84x72</t>
  </si>
  <si>
    <t>SC-ORIG-K-84x78x8</t>
  </si>
  <si>
    <t>B0DGGLYNX8</t>
  </si>
  <si>
    <t>SC-ASF-ORIG-K-84x78x8</t>
  </si>
  <si>
    <t>SC-M-ORIG-K-84x78x8</t>
  </si>
  <si>
    <t>SC-ORIG-K-72x70x10</t>
  </si>
  <si>
    <t>B0F2TJBCTR</t>
  </si>
  <si>
    <t>SC-A-ORIG-K-72x70x10</t>
  </si>
  <si>
    <t>SC-F-ORIG-K-72x70x10</t>
  </si>
  <si>
    <t>SC-M-ORIG-K-72x70x10</t>
  </si>
  <si>
    <t>SC-ORIG-K-72x72x10</t>
  </si>
  <si>
    <t>B09BFCFQ9G</t>
  </si>
  <si>
    <t>SC-ASF-72x72x10</t>
  </si>
  <si>
    <t>SC-A-72x72x10</t>
  </si>
  <si>
    <t>SC-F-72x72x10</t>
  </si>
  <si>
    <t>SC-M-ORIG-K-72x72x10</t>
  </si>
  <si>
    <t>FU1982571-S-PM41515-72x72</t>
  </si>
  <si>
    <t>SC-ORIG-K-75x70x10</t>
  </si>
  <si>
    <t>B0F2TG8V85</t>
  </si>
  <si>
    <t>SC-A-ORIG-K-75x70x10</t>
  </si>
  <si>
    <t>SC-F-ORIG-K-75x70x10</t>
  </si>
  <si>
    <t>SC-M-ORIG-K-75x70x10</t>
  </si>
  <si>
    <t>SC-ORIG-K-75x72x10</t>
  </si>
  <si>
    <t>B09BFC4KSB</t>
  </si>
  <si>
    <t>SC-ASF-75x72x10</t>
  </si>
  <si>
    <t>SC-A-75x72x10</t>
  </si>
  <si>
    <t>SC-F-75x72x10</t>
  </si>
  <si>
    <t>SC-M-ORIG-K-75x72x10</t>
  </si>
  <si>
    <t>FU1982571-S-PM41515-75x72</t>
  </si>
  <si>
    <t>SC-ORIG-K-78x70x10</t>
  </si>
  <si>
    <t>B0F2THKNDR</t>
  </si>
  <si>
    <t>SC-A-ORIG-K-78x70x10</t>
  </si>
  <si>
    <t>SC-F-ORIG-K-78x70x10</t>
  </si>
  <si>
    <t>SC-M-ORIG-K-78x70x10</t>
  </si>
  <si>
    <t>SC-ORIG-K-78x72x10</t>
  </si>
  <si>
    <t>B09BFC81R8</t>
  </si>
  <si>
    <t>SC-ASF-78x72x10</t>
  </si>
  <si>
    <t>SC-A-78x72x10</t>
  </si>
  <si>
    <t>SC-F-78x72x10</t>
  </si>
  <si>
    <t>SC-M-ORIG-K-78x72x10</t>
  </si>
  <si>
    <t>FU1982571-S-PM41515-78x72</t>
  </si>
  <si>
    <t>SC-ORIG-K-84x72x10</t>
  </si>
  <si>
    <t>B0BB7M1GZW</t>
  </si>
  <si>
    <t>SC-ASF-ORIG-K-84x72x10</t>
  </si>
  <si>
    <t>SC-A-ORIG-K-84x72x10</t>
  </si>
  <si>
    <t>SC-F-ORIG-K-84x72x10</t>
  </si>
  <si>
    <t>SC-M-ORIG-K-84x72x10</t>
  </si>
  <si>
    <t>SC-ORIG-K-84x78x10</t>
  </si>
  <si>
    <t>B0DGGK6F5V</t>
  </si>
  <si>
    <t>SC-ASF-ORIG-K-84x78x10</t>
  </si>
  <si>
    <t>SC-M-ORIG-K-84x78x10</t>
  </si>
  <si>
    <t>SC-ORIG-K-72x72x5</t>
  </si>
  <si>
    <t>B0G25736BD</t>
  </si>
  <si>
    <t>SC-ASF-ORIG-K-72x72x5</t>
  </si>
  <si>
    <t>SC-F-ORIG-K-72x72x5</t>
  </si>
  <si>
    <t>SC-M-ORIG-K-72x72x5</t>
  </si>
  <si>
    <t>SC-ORIG-K-75x72x5</t>
  </si>
  <si>
    <t>B0G253GWFF</t>
  </si>
  <si>
    <t>SC-ASF-ORIG-K-75x72x5</t>
  </si>
  <si>
    <t>SC-F-ORIG-K-75x72x5</t>
  </si>
  <si>
    <t>SC-M-ORIG-K-75x72x5</t>
  </si>
  <si>
    <t>SC-ORIG-K-78x72x5</t>
  </si>
  <si>
    <t>B0G254DYHG</t>
  </si>
  <si>
    <t>SC-ASF-ORIG-K-78x72x5</t>
  </si>
  <si>
    <t>SC-F-ORIG-K-78x72x5</t>
  </si>
  <si>
    <t>SC-M-ORIG-K-78x72x5</t>
  </si>
  <si>
    <t>SC-ORIG-K-84x72x5</t>
  </si>
  <si>
    <t>B0G2557HLG</t>
  </si>
  <si>
    <t>SC-ASF-ORIG-K-84x72x5</t>
  </si>
  <si>
    <t>SC-F-ORIG-K-84x72x5</t>
  </si>
  <si>
    <t>SC-M-ORIG-K-84x72x5</t>
  </si>
  <si>
    <t>SC-ORIG-K-84x78x5</t>
  </si>
  <si>
    <t>B0G255ZW18</t>
  </si>
  <si>
    <t>SC-ASF-ORIG-K-84x78x5</t>
  </si>
  <si>
    <t>SC-F-ORIG-K-84x78x5</t>
  </si>
  <si>
    <t>SC-M-ORIG-K-84x78x5</t>
  </si>
  <si>
    <t>SC-ORIG-K-72x72x4</t>
  </si>
  <si>
    <t>B0G726PGD2</t>
  </si>
  <si>
    <t>SC-ASF-ORIG-K-72x72x4</t>
  </si>
  <si>
    <t>SC-F-ORIG-K-72x72x4</t>
  </si>
  <si>
    <t>SC-M-ORIG-K-72x72x4</t>
  </si>
  <si>
    <t>SC-ORIG-K-75x72x4</t>
  </si>
  <si>
    <t>B0G7163NHY</t>
  </si>
  <si>
    <t>SC-ASF-ORIG-K-75x72x4</t>
  </si>
  <si>
    <t>SC-F-ORIG-K-75x72x4</t>
  </si>
  <si>
    <t>SC-M-ORIG-K-75x72x4</t>
  </si>
  <si>
    <t>SC-PPF-ORIG-K-75x72x4</t>
  </si>
  <si>
    <t>SC-ORIG-K-78x72x4</t>
  </si>
  <si>
    <t>B0G722YTNC</t>
  </si>
  <si>
    <t>SC-ASF-ORIG-K-78x72x4</t>
  </si>
  <si>
    <t>SC-F-ORIG-K-78x72x4</t>
  </si>
  <si>
    <t>SC-M-ORIG-K-78x72x4</t>
  </si>
  <si>
    <t>SC-PPF-ORIG-K-78x72x4</t>
  </si>
  <si>
    <t>SC-ORIG-K-75x75x4</t>
  </si>
  <si>
    <t>B0G71P37CZ</t>
  </si>
  <si>
    <t>SC-ASF-ORIG-K-75x75x4</t>
  </si>
  <si>
    <t>SC-F-ORIG-K-75x75x4</t>
  </si>
  <si>
    <t>SC-M-ORIG-K-75x75x4</t>
  </si>
  <si>
    <t>SC-ORIG-K-78x75x10</t>
  </si>
  <si>
    <t>SC-ORIG-K-84x72x4</t>
  </si>
  <si>
    <t>B0G723RLWX</t>
  </si>
  <si>
    <t>SC-ASF-ORIG-K-84x72x4</t>
  </si>
  <si>
    <t>SC-F-ORIG-K-84x72x4</t>
  </si>
  <si>
    <t>SC-M-ORIG-K-84x72x4</t>
  </si>
  <si>
    <t>SC-PPF-ORIG-K-84x72x4</t>
  </si>
  <si>
    <t>SC-ORIG-K-84x78x4</t>
  </si>
  <si>
    <t>B0G71JPM8F</t>
  </si>
  <si>
    <t>SC-ASF-ORIG-K-84x78x4</t>
  </si>
  <si>
    <t>SC-F-ORIG-K-84x78x4</t>
  </si>
  <si>
    <t>SC-M-ORIG-K-84x78x4</t>
  </si>
  <si>
    <t>SC-ORIG-K-72x70x4</t>
  </si>
  <si>
    <t>SC-ORIG-K-72x70x5</t>
  </si>
  <si>
    <t>SC-ORIG-K-78x70x4</t>
  </si>
  <si>
    <t>SC-ORIG-K-75x70x5</t>
  </si>
  <si>
    <t>SC-ORIG-K-75x70x4</t>
  </si>
  <si>
    <t>SC-ORIG-K-78x70x5</t>
  </si>
  <si>
    <t>SC-ORIG-K-75x75x6</t>
  </si>
  <si>
    <t>SC-ORIG-K-78x75x6</t>
  </si>
  <si>
    <t>SC-ORIG-K-78x75x8</t>
  </si>
  <si>
    <t>SC-ORIG-K-75x75x5</t>
  </si>
  <si>
    <t>B0G256F11P</t>
  </si>
  <si>
    <t>SC-ASF-ORIG-K-75x75x5</t>
  </si>
  <si>
    <t>SC-F-ORIG-K-75x75x5</t>
  </si>
  <si>
    <t>SC-M-ORIG-K-75x75x5</t>
  </si>
  <si>
    <t>SC-ORIG-K-75x75x10</t>
  </si>
  <si>
    <t>SC-ORIG-K-78x75x5</t>
  </si>
  <si>
    <t>B0G25BCWNS</t>
  </si>
  <si>
    <t>SC-ASF-ORIG-K-78x75x5</t>
  </si>
  <si>
    <t>SC-F-ORIG-K-78x75x5</t>
  </si>
  <si>
    <t>SC-M-ORIG-K-78x75x5</t>
  </si>
  <si>
    <t>SC-ORIG-K-75x75x8</t>
  </si>
  <si>
    <t>SC-ORIG-D-72x42x8</t>
  </si>
  <si>
    <t>SC-ORIG-D-72x42x10</t>
  </si>
  <si>
    <t>SC-ORIG-D-72x42x6</t>
  </si>
  <si>
    <t>SC-ORIG-D-78x42x10</t>
  </si>
  <si>
    <t>SC-ORIG-D-75x42x10</t>
  </si>
  <si>
    <t>SC-ORIG-D-75x42x8</t>
  </si>
  <si>
    <t>SC-ORIG-S-78x30x6</t>
  </si>
  <si>
    <t>SC-ORIG-S-78x30x8</t>
  </si>
  <si>
    <t>SC-ORIG-S-78x30x10</t>
  </si>
  <si>
    <t>SC-ORIG-S-72x30x10</t>
  </si>
  <si>
    <t>SC-ORIG-S-75x30x8</t>
  </si>
  <si>
    <t>SC-ORIG-S-75x30x6</t>
  </si>
  <si>
    <t>SC-ORIG-S-75x30x10</t>
  </si>
  <si>
    <t>SC-ORIG-Q-84x66x5</t>
  </si>
  <si>
    <t>SC-ORIG-Q-84x66x4</t>
  </si>
  <si>
    <t>SC-HYB-LATEX-S-72x30x6</t>
  </si>
  <si>
    <t>B0C857R73C</t>
  </si>
  <si>
    <t>SC-ASF-HYB-LATEX-S-72x30x6</t>
  </si>
  <si>
    <t>SC-A-HYB-LATEX-S-72x30x6</t>
  </si>
  <si>
    <t>SC-F-HYB-LATEX-S-72x30x6</t>
  </si>
  <si>
    <t>SC-M-HYB-LATEX-S-72x30x6</t>
  </si>
  <si>
    <t>SC-HYB-LATEX-S-72x36x6</t>
  </si>
  <si>
    <t>B09XFMX37N</t>
  </si>
  <si>
    <t>SC-ASF-HYB-LATEX-S-72x36x6</t>
  </si>
  <si>
    <t>SC-FLEX-HYB-LATEX-S-72x36x6</t>
  </si>
  <si>
    <t>SC-F-HYB-LATEX-S-72x36x6</t>
  </si>
  <si>
    <t>SC-M-HYB-LATEX-S-72x36x6</t>
  </si>
  <si>
    <t>FU1982563-S-PM41515-72x36</t>
  </si>
  <si>
    <t>SC-HYB-LATEX-S-75x36x6</t>
  </si>
  <si>
    <t>B09XFLCPM3</t>
  </si>
  <si>
    <t>SC-ASF-HYB-LATEX-S-75x36x6</t>
  </si>
  <si>
    <t>SC-A-HYB-LATEX-S-75x36x6</t>
  </si>
  <si>
    <t>SC-F-HYB-LATEX-S-75x36x6</t>
  </si>
  <si>
    <t>SC-M-HYB-LATEX-S-75x36x6</t>
  </si>
  <si>
    <t>FU1982563-S-PM41515-75x36</t>
  </si>
  <si>
    <t>SC-HYB-LATEX-S-78x36x6</t>
  </si>
  <si>
    <t>B09XGGZVSB</t>
  </si>
  <si>
    <t>SC-ASF-HYB-LATEX-S-78x36x6</t>
  </si>
  <si>
    <t>SC-A-HYB-LATEX-S-78x36x6</t>
  </si>
  <si>
    <t>SC-F-HYB-LATEX-S-78x36x6</t>
  </si>
  <si>
    <t>SC-M-HYB-LATEX-S-78x36x6</t>
  </si>
  <si>
    <t>FU1982563-S-PM41515-78x36</t>
  </si>
  <si>
    <t>SC-HYB-LATEX-S-84x36x6</t>
  </si>
  <si>
    <t>B0FTZKPFW2</t>
  </si>
  <si>
    <t>SC-ASF-HYB-LATEX-S-84X36X6</t>
  </si>
  <si>
    <t>SC-F-HYB-LATEX-S-84X36X6</t>
  </si>
  <si>
    <t>SC-M-HYB-LATEX-S-84x36x6</t>
  </si>
  <si>
    <t>SC-HYB-LATEX-S-72x36x8</t>
  </si>
  <si>
    <t>B09XGCTNFC</t>
  </si>
  <si>
    <t>SC-ASF-HYB-LATEX-S-72x36x8</t>
  </si>
  <si>
    <t>SC-A-HYB-LATEX-S-72x36x8</t>
  </si>
  <si>
    <t>SC-F-HYB-LATEX-S-72x36x8</t>
  </si>
  <si>
    <t>SC-M-HYB-LATEX-S-72x36x8</t>
  </si>
  <si>
    <t>FU1982566-S-PM41515-72x36</t>
  </si>
  <si>
    <t>SC-HYB-LATEX-S-75x36x8</t>
  </si>
  <si>
    <t>B09XGJ93PQ</t>
  </si>
  <si>
    <t>SC-ASF-HYB-LATEX-S-75x36x8</t>
  </si>
  <si>
    <t>SC-F-HYB-LATEX-S-75x36x8</t>
  </si>
  <si>
    <t>SC-M-HYB-LATEX-S-75x36x8</t>
  </si>
  <si>
    <t>FU1982566-S-PM41515-75x36</t>
  </si>
  <si>
    <t>SC-HYB-LATEX-S-78x36x8</t>
  </si>
  <si>
    <t>B09XFL84G4</t>
  </si>
  <si>
    <t>SC-ASF-HYB-LATEX-S-78x36x8</t>
  </si>
  <si>
    <t>SC-A-HYB-LATEX-S-78x36x8</t>
  </si>
  <si>
    <t>SC-FK-HYB-LTX-S-78x36x8</t>
  </si>
  <si>
    <t>SC-M-HYB-LATEX-S-78x36x8</t>
  </si>
  <si>
    <t>FU1982566-S-PM41515-78x36</t>
  </si>
  <si>
    <t>SC-HYB-LATEX-S-84x36x8</t>
  </si>
  <si>
    <t>B0FN94LGJM</t>
  </si>
  <si>
    <t>SC-ASF-HYB-LATEX-S-84x36x8</t>
  </si>
  <si>
    <t>SC-F-HYB-LATEX-S-84x36x8</t>
  </si>
  <si>
    <t>SC-M-HYB-LATEX-S-84x36x8</t>
  </si>
  <si>
    <t>SC-HYB-LATEX-D-72x48x8</t>
  </si>
  <si>
    <t>B09XGGGNN9</t>
  </si>
  <si>
    <t>SC-ASF-HYB-LATEX-D-72x48x8</t>
  </si>
  <si>
    <t>SC-A-HYB-LATEX-D-72x48x8</t>
  </si>
  <si>
    <t>SC-F-HYB-LATEX-D-72x48x8</t>
  </si>
  <si>
    <t>SC-M-HYB-LATEX-D-72x48x8</t>
  </si>
  <si>
    <t>FU1982567-S-PM41515-72x48</t>
  </si>
  <si>
    <t>SC-HYB-LATEX-D-75x48x8</t>
  </si>
  <si>
    <t>B09XGN7MMK</t>
  </si>
  <si>
    <t>SC-ASF-HYB-LATEX-D-75x48x8</t>
  </si>
  <si>
    <t>SC-A-HYB-LATEX-D-75x48x8</t>
  </si>
  <si>
    <t>SC-F-HYB-LATEX-D-75x48x8</t>
  </si>
  <si>
    <t>SC-M-HYB-LATEX-D-75x48x8</t>
  </si>
  <si>
    <t>FU1982567-S-PM41515-75x48</t>
  </si>
  <si>
    <t>SC-HYB-LATEX-D-78x48x8</t>
  </si>
  <si>
    <t>B09XFLDPHV</t>
  </si>
  <si>
    <t>SC-ASF-HYB-LATEX-D-78x48x8</t>
  </si>
  <si>
    <t>SC-A-HYB-LATEX-D-78x48x8</t>
  </si>
  <si>
    <t>SC-F-HYB-LATEX-D-78x48x8</t>
  </si>
  <si>
    <t>SC-M-HYB-LATEX-D-78x48x8</t>
  </si>
  <si>
    <t>FU1982567-S-PM41515-78x48</t>
  </si>
  <si>
    <t>SC-HYB-LATEX-D-84x48x8</t>
  </si>
  <si>
    <t>B0FNB8CP8T</t>
  </si>
  <si>
    <t>SC-ASF-HYB-LATEX-D-84x48x8</t>
  </si>
  <si>
    <t>SC-F-HYB-LATEX-D-84x48x8</t>
  </si>
  <si>
    <t>SC-M-HYB-LATEX-D-84x48x8</t>
  </si>
  <si>
    <t>SC-HYB-LATEX-D-72x48x6</t>
  </si>
  <si>
    <t>B09XFLYZ66</t>
  </si>
  <si>
    <t>SC-ASF-HYB-LATEX-D-72x48x6</t>
  </si>
  <si>
    <t>SC-F-HYB-LATEX-D-72x48x6</t>
  </si>
  <si>
    <t>SC-M-HYB-LATEX-D-72x48x6</t>
  </si>
  <si>
    <t>FU1982564-S-PM41515-72x48</t>
  </si>
  <si>
    <t>SC-HYB-LATEX-D-75x48x6</t>
  </si>
  <si>
    <t>B09XGGFP7W</t>
  </si>
  <si>
    <t>SC-ASF-HYB-LATEX-D-75x48x6</t>
  </si>
  <si>
    <t>SC-F-HYB-LATEX-D-75x48x6</t>
  </si>
  <si>
    <t>SC-M-HYB-LATEX-D-75x48x6</t>
  </si>
  <si>
    <t>FU1982564-S-PM41515-75x48</t>
  </si>
  <si>
    <t>SC-HYB-LATEX-D-78x48x6</t>
  </si>
  <si>
    <t>B09XGGGFCX</t>
  </si>
  <si>
    <t>SC-ASF-HYB-LATEX-D-78x48x6</t>
  </si>
  <si>
    <t>SC-F-HYB-LATEX-D-78x48x6</t>
  </si>
  <si>
    <t>SC-M-HYB-LATEX-D-78x48x6</t>
  </si>
  <si>
    <t>FU1982564-S-PM41515-78x48</t>
  </si>
  <si>
    <t>SC-HYB-LATEX-D-84x48x6</t>
  </si>
  <si>
    <t>B0FWLFHXY7</t>
  </si>
  <si>
    <t>SC-ASF-HYB-LATEX-D-84X48X6</t>
  </si>
  <si>
    <t>SC-F-HYB-LATEX-D-84X48X6</t>
  </si>
  <si>
    <t>SC-M-HYB-LATEX-D-84x48x6</t>
  </si>
  <si>
    <t>SC-HYB-LATEX-Q-72x60x6</t>
  </si>
  <si>
    <t>B09XGNVN9N</t>
  </si>
  <si>
    <t>SC-ASF-HYB-LATEX-Q-72x60x6</t>
  </si>
  <si>
    <t>SC-A-HYB-LATEX-Q-72x60x6</t>
  </si>
  <si>
    <t>SC-F-HYB-LATEX-Q-72x60x6</t>
  </si>
  <si>
    <t>SC-M-HYB-LATEX-Q-72x60x6</t>
  </si>
  <si>
    <t>FU1982564-S-PM41515-72x60</t>
  </si>
  <si>
    <t>SC-HYB-LATEX-Q-75x60x6</t>
  </si>
  <si>
    <t>B09XGK6Q4L</t>
  </si>
  <si>
    <t>SC-FLEX-HYB-LATEX-Q-75x60x6</t>
  </si>
  <si>
    <t>SC-ASF-HYB-LATEX-Q-75x60x6</t>
  </si>
  <si>
    <t>SC-A-HYB-LATEX-Q-75x60x6</t>
  </si>
  <si>
    <t>SC-F-HYB-LATEX-Q-75x60x6</t>
  </si>
  <si>
    <t>SC-M-HYB-LATEX-Q-75x60x6</t>
  </si>
  <si>
    <t>FU1982564-S-PM41515-75x60</t>
  </si>
  <si>
    <t>SC-HYB-LATEX-Q-78x60x6</t>
  </si>
  <si>
    <t>B09XGPZKTZ</t>
  </si>
  <si>
    <t>SC-ASF-HYB-LATEX-Q-78x60x6</t>
  </si>
  <si>
    <t>SC-FLEX1-HYB-LATEX-Q-78x60x6</t>
  </si>
  <si>
    <t>SC-F-HYB-LATEX-Q-78x60x6</t>
  </si>
  <si>
    <t>SC-M-HYB-LATEX-Q-78x60x6</t>
  </si>
  <si>
    <t>FU1982564-S-PM41515-78x60</t>
  </si>
  <si>
    <t>SC-HYB-LATEX-Q-84x60x6</t>
  </si>
  <si>
    <t>B0FWLXY81Q</t>
  </si>
  <si>
    <t>SC-ASF-HYB-LATEX-Q-84X60X6</t>
  </si>
  <si>
    <t>SC-F-HYB-LATEX-Q-84X60X6</t>
  </si>
  <si>
    <t>SC-M-HYB-LATEX-Q-84x60x6</t>
  </si>
  <si>
    <t>SC-HYB-LATEX-Q-72x60x8</t>
  </si>
  <si>
    <t>B09XFN2QX3</t>
  </si>
  <si>
    <t>SC-FLEX2-HYB-LATEX-Q-72x60x8</t>
  </si>
  <si>
    <t>SC-F-HYB-LATEX-Q-72x60x8</t>
  </si>
  <si>
    <t>SC-M-HYB-LATEX-Q-72x60x8</t>
  </si>
  <si>
    <t>FU1982567-S-PM41515-72x60</t>
  </si>
  <si>
    <t>SC-HYB-LATEX-Q-75x60x8</t>
  </si>
  <si>
    <t>B09XFRNJCD</t>
  </si>
  <si>
    <t>SC-ASF-HYB-LATEX-Q-75x60x8</t>
  </si>
  <si>
    <t>SC-A-HYB-LATEX-Q-75x60x8</t>
  </si>
  <si>
    <t>SC-F-HYB-LATEX-Q-75x60x8</t>
  </si>
  <si>
    <t>SC-M-HYB-LATEX-Q-75x60x8</t>
  </si>
  <si>
    <t>FU1982567-S-PM41515-75x60</t>
  </si>
  <si>
    <t>SC-HYB-LATEX-Q-78x60x8</t>
  </si>
  <si>
    <t>B09XFL1H1T</t>
  </si>
  <si>
    <t>SC-ASF-HYB-LATEX-Q-78x60x8</t>
  </si>
  <si>
    <t>SC-A-HYB-LATEX-Q-78x60x8</t>
  </si>
  <si>
    <t>SC-F-HYB-LATEX-Q-78x60x8</t>
  </si>
  <si>
    <t>SC-M-HYB-LATEX-Q-78x60x8</t>
  </si>
  <si>
    <t>FU1982567-S-PM41515-78x60</t>
  </si>
  <si>
    <t>SC-HYB-LATEX-Q-84x60x8</t>
  </si>
  <si>
    <t>B0FWLTP3WF</t>
  </si>
  <si>
    <t>SC-ASF-HYB-LATEX-Q-84X60X8</t>
  </si>
  <si>
    <t>SC-F-HYB-LATEX-Q-84X60X8</t>
  </si>
  <si>
    <t>SC-M-HYB-LATEX-Q-84x60x8</t>
  </si>
  <si>
    <t>SC-HYB-LATEX-Q-72x66x6</t>
  </si>
  <si>
    <t>SC-F-HYB-LATEX-Q-72x66x6</t>
  </si>
  <si>
    <t>SC-HYB-LATEX-Q-75x66x6</t>
  </si>
  <si>
    <t>B0G39Y9JN8</t>
  </si>
  <si>
    <t>SC-ASF-HYB-LATEX-Q-75x66x6</t>
  </si>
  <si>
    <t>SC-F-HYB-LATEX-Q-75x66x6</t>
  </si>
  <si>
    <t>SC-M-HYB-LATEX-Q-75x66x6</t>
  </si>
  <si>
    <t>SC-HYB-LATEX-Q-78x66x6</t>
  </si>
  <si>
    <t>B0F2THGKN7</t>
  </si>
  <si>
    <t>SC-ASF-HYB-LATEX-Q-78x66x6</t>
  </si>
  <si>
    <t>SC-A-HYB-LATEX-Q-78x66x6</t>
  </si>
  <si>
    <t>SC-F-HYB-LATEX-Q-78x66x6</t>
  </si>
  <si>
    <t>SC-M-HYB-LATEX-Q-78x66x6</t>
  </si>
  <si>
    <t>FU1982564-S-PM41515-78x66</t>
  </si>
  <si>
    <t>SC-HYB-LATEX-Q-84x66x6</t>
  </si>
  <si>
    <t>B0G39XKNG5</t>
  </si>
  <si>
    <t>SC-ASF-HYB-LATEX-Q-84x66x6</t>
  </si>
  <si>
    <t>SC-F-HYB-LATEX-Q-84x66x6</t>
  </si>
  <si>
    <t>SC-M-HYB-LATEX-Q-84x66x6</t>
  </si>
  <si>
    <t>SC-HYB-LATEX-Q-72x66x8</t>
  </si>
  <si>
    <t>B0G39XDC4Q</t>
  </si>
  <si>
    <t>SC-ASF-HYB-LATEX-Q-72x66x8</t>
  </si>
  <si>
    <t>SC-F-HYB-LATEX-Q-72x66x8</t>
  </si>
  <si>
    <t>SC-M-HYB-LATEX-Q-72x66x8</t>
  </si>
  <si>
    <t>SC-HYB-LATEX-Q-75x66x8</t>
  </si>
  <si>
    <t>SC-F-HYB-LATEX-Q-75x66x8</t>
  </si>
  <si>
    <t>SC-HYB-LATEX-Q-78x66x8</t>
  </si>
  <si>
    <t>B0F2TKCPX5</t>
  </si>
  <si>
    <t>SC-A-HYB-LATEX-Q-78x66x8</t>
  </si>
  <si>
    <t>SC-F-HYB-LATEX-Q-78x66x8</t>
  </si>
  <si>
    <t>SC-M-HYB-LATEX-Q-78x66x8</t>
  </si>
  <si>
    <t>SC-HYB-LATEX-Q-84x66x8</t>
  </si>
  <si>
    <t>B0G39XKLKB</t>
  </si>
  <si>
    <t>SC-ASF-HYB-LATEX-Q-84x66x8</t>
  </si>
  <si>
    <t>SC-F-HYB-LATEX-Q-84x66x8</t>
  </si>
  <si>
    <t>SC-M-HYB-LATEX-Q-84x66x8</t>
  </si>
  <si>
    <t>SC-HYB-LATEX-K-72x70x6</t>
  </si>
  <si>
    <t>B0F2TGQH37</t>
  </si>
  <si>
    <t>SC-ASF-HYB-LATEX-K-72x70x6</t>
  </si>
  <si>
    <t>SC-A-HYB-LATEX-K-72x70x6</t>
  </si>
  <si>
    <t>SC-F-HYB-LATEX-K-72x70x6</t>
  </si>
  <si>
    <t>SC-M-HYB-LATEX-K-72x70x6</t>
  </si>
  <si>
    <t>SC-HYB-LATEX-K-72x72x6</t>
  </si>
  <si>
    <t>B09XGDZQPC</t>
  </si>
  <si>
    <t>SC-ASF-HYB-LATEX-K-72x72x6</t>
  </si>
  <si>
    <t>SC-A-HYB-LATEX-K-72x72x6</t>
  </si>
  <si>
    <t>SC-F-HYB-LATEX-K-72x72x6</t>
  </si>
  <si>
    <t>SC-M-HYB-LATEX-K-72x72x6</t>
  </si>
  <si>
    <t>FU1982565-S-PM41515-72x72</t>
  </si>
  <si>
    <t>SC-HYB-LATEX-K-75x70x6</t>
  </si>
  <si>
    <t>B0F2TGGZSR</t>
  </si>
  <si>
    <t>SC-A-HYB-LATEX-K-75x70x6</t>
  </si>
  <si>
    <t>SC-F-HYB-LATEX-K-75x70x6</t>
  </si>
  <si>
    <t>SC-M-HYB-LATEX-K-75x70x6</t>
  </si>
  <si>
    <t>SC-HYB-LATEX-K-75x72x6</t>
  </si>
  <si>
    <t>B09XFLVCHN</t>
  </si>
  <si>
    <t>SC-FLEX1-HYB-LATEX-K-75x72x6</t>
  </si>
  <si>
    <t>SC-F-HYB-LATEX-K-75x72x6</t>
  </si>
  <si>
    <t>SC-M-HYB-LATEX-K-75x72x6</t>
  </si>
  <si>
    <t>FU1982565-S-PM41515-75x72</t>
  </si>
  <si>
    <t>SC-HYB-LATEX-K-78x70x6</t>
  </si>
  <si>
    <t>B0F2TGBG5V</t>
  </si>
  <si>
    <t>SC-A-HYB-LATEX-K-78x70x6</t>
  </si>
  <si>
    <t>SC-F-HYB-LATEX-K-78x70x6</t>
  </si>
  <si>
    <t>SC-M-HYB-LATEX-K-78x70x6</t>
  </si>
  <si>
    <t>SC-HYB-LATEX-K-78x72x6</t>
  </si>
  <si>
    <t>B09XFKM8V6</t>
  </si>
  <si>
    <t>SC-SF-HYB-LATEX-K-78x72x6</t>
  </si>
  <si>
    <t>SC-A-HYB-LATEX-K-78x72x6</t>
  </si>
  <si>
    <t>SC-F-HYB-LATEX-K-78x72x6</t>
  </si>
  <si>
    <t>SC-M-HYB-LATEX-K-78x72x6</t>
  </si>
  <si>
    <t>FU1982565-S-PM41515-78x72</t>
  </si>
  <si>
    <t>SC-HYB-LATEX-K-84x72x6</t>
  </si>
  <si>
    <t>B0DG5SD34X</t>
  </si>
  <si>
    <t>SC-ASF-HYB-LATEX-K-84x72x6</t>
  </si>
  <si>
    <t>SC-M-HYB-LATEX-K-84x72x6</t>
  </si>
  <si>
    <t>SC-HYB-LATEX-K-84x78x6</t>
  </si>
  <si>
    <t>B0DG5RBTS3</t>
  </si>
  <si>
    <t>SC-ASF-HYB-LATEX-K-84x78x6</t>
  </si>
  <si>
    <t>SC-M-HYB-LATEX-K-84x78x6</t>
  </si>
  <si>
    <t>SC-HYB-LATEX-K-72x70x8</t>
  </si>
  <si>
    <t>B0F2TJJVDM</t>
  </si>
  <si>
    <t>SC-A-HYB-LATEX-K-72x70x8</t>
  </si>
  <si>
    <t>SC-F-HYB-LATEX-K-72x70x8</t>
  </si>
  <si>
    <t>SC-M-HYB-LATEX-K-72x70x8</t>
  </si>
  <si>
    <t>SC-HYB-LATEX-K-72x72x8</t>
  </si>
  <si>
    <t>B09XFMGSKV</t>
  </si>
  <si>
    <t>SC-FLEX2-HYB-LATEX-K-72x72x8</t>
  </si>
  <si>
    <t>SC-F-HYB-LATEX-K-72x72x8</t>
  </si>
  <si>
    <t>SC-M-HYB-LATEX-K-72x72x8</t>
  </si>
  <si>
    <t>FU1982568-S-PM41515-72x72</t>
  </si>
  <si>
    <t>SC-HYB-LATEX-K-75x70x8</t>
  </si>
  <si>
    <t>B0F2THYW5S</t>
  </si>
  <si>
    <t>SC-A-HYB-LATEX-K-75x70x8</t>
  </si>
  <si>
    <t>SC-F-HYB-LATEX-K-75x70x8</t>
  </si>
  <si>
    <t>SC-M-HYB-LATEX-K-75x70x8</t>
  </si>
  <si>
    <t>SC-HYB-LATEX-K-75x72x8</t>
  </si>
  <si>
    <t>B09XFL1FR1</t>
  </si>
  <si>
    <t>SC-ASF-HYB-LATEX-K-75x72x8</t>
  </si>
  <si>
    <t>SC-A-HYB-LATEX-K-75x72x8</t>
  </si>
  <si>
    <t>SC-F-HYB-LATEX-K-75x72x8</t>
  </si>
  <si>
    <t>SC-M-HYB-LATEX-K-75x72x8</t>
  </si>
  <si>
    <t>FU1982568-S-PM41515-75x72</t>
  </si>
  <si>
    <t>SC-HYB-LATEX-K-78x70x8</t>
  </si>
  <si>
    <t>B0F2THY2W3</t>
  </si>
  <si>
    <t>SC-A-HYB-LATEX-K-78x70x8</t>
  </si>
  <si>
    <t>SC-F-HYB-LATEX-K-78x70x8</t>
  </si>
  <si>
    <t>SC-M-HYB-LATEX-K-78x70x8</t>
  </si>
  <si>
    <t>SC-HYB-LATEX-K-78x72x8</t>
  </si>
  <si>
    <t>B09XGCSRXY</t>
  </si>
  <si>
    <t>SC-FLEX-HYB-LATEX-K-78x72x8</t>
  </si>
  <si>
    <t>SC-ASF-HYB-LATEX-K-78x72x8</t>
  </si>
  <si>
    <t>SC-A-HYB-LATEX-K-78x72x8</t>
  </si>
  <si>
    <t>SC-F-HYB-LATEX-K-78x72x8</t>
  </si>
  <si>
    <t>SC-M-HYB-LATEX-K-78x72x8</t>
  </si>
  <si>
    <t>FU1982568-S-PM41515-78x72</t>
  </si>
  <si>
    <t>SC-HYB-LATEX-K-84x72x8</t>
  </si>
  <si>
    <t>B0DG5SNMZ7</t>
  </si>
  <si>
    <t>SC-ASF-HYB-LATEX-K-84x72x8</t>
  </si>
  <si>
    <t>SC-FK-HYB-LATEX-K-84x72x8</t>
  </si>
  <si>
    <t>SC-M-HYB-LATEX-K-84x72x8</t>
  </si>
  <si>
    <t>SC-HYB-LATEX-K-84x78x8</t>
  </si>
  <si>
    <t>B0DG5Q1S4C</t>
  </si>
  <si>
    <t>SC-ASF-HYB-LATEX-K-84x78x8</t>
  </si>
  <si>
    <t>SC-M-HYB-LATEX-K-84x78x8</t>
  </si>
  <si>
    <t>SC-SMFPILWSET1-BAM-S-22x14</t>
  </si>
  <si>
    <t>B0F1Y416FR</t>
  </si>
  <si>
    <t>SC-ASF-SMFPILWSET1-BAM-S-22x14</t>
  </si>
  <si>
    <t>SC-A-SMFPILWSET1-BAM-S-22x14</t>
  </si>
  <si>
    <t>SC-F-SMFPILWSET1-BAM-S-22x14</t>
  </si>
  <si>
    <t>SC-M-SMFPILWSET1-BAM-S-22x14</t>
  </si>
  <si>
    <t>SC-MFPILW-BAM-S-25x16</t>
  </si>
  <si>
    <t>B0822SXQGH</t>
  </si>
  <si>
    <t>SC-SF-MFPILW-26x16x4</t>
  </si>
  <si>
    <t>SC-ASF-MFPILW-26x16x4</t>
  </si>
  <si>
    <t>SCPWL2616</t>
  </si>
  <si>
    <t>SC-PILLOW</t>
  </si>
  <si>
    <t>SC-M-MFPILW-BAM-S-25x16</t>
  </si>
  <si>
    <t>FU1985094-S-PM41515</t>
  </si>
  <si>
    <t>SC-MFPILWSET2-BAM-S-25x16</t>
  </si>
  <si>
    <t>B08R8DC5BB</t>
  </si>
  <si>
    <t>SC-ASF-MFPILWS2-26x16x4</t>
  </si>
  <si>
    <t>SC-A-MFPILWS2-26x16x4</t>
  </si>
  <si>
    <t>SC-F-S2MFPILW-26x16x4</t>
  </si>
  <si>
    <t>SC-M-MFPILWSET2-BAM-S-25x16</t>
  </si>
  <si>
    <t>FU1985099-S-PM41515</t>
  </si>
  <si>
    <t>SC-MFPILWSET4-BAM-S-25x16</t>
  </si>
  <si>
    <t>B08R8DQ3T4</t>
  </si>
  <si>
    <t>SC-ASF-MFPILWS4-26x16x4</t>
  </si>
  <si>
    <t>SC-A-MFPILWS4-26x16x4</t>
  </si>
  <si>
    <t>SC-F-S4MFPILW-26x16x4</t>
  </si>
  <si>
    <t>SC-M-MFPILWSET4-BAM-S-25x16</t>
  </si>
  <si>
    <t>FU1885160-S-PM41515</t>
  </si>
  <si>
    <t>SC-MFPILW-BAM-P-28x18</t>
  </si>
  <si>
    <t>B096RZ5P5C</t>
  </si>
  <si>
    <t>SC-ASF-MFPILW-P-28x18</t>
  </si>
  <si>
    <t>SC-FK-MFPILW-S1-P-28x18</t>
  </si>
  <si>
    <t>SC-M-MFPILW-BAM-P-28x18</t>
  </si>
  <si>
    <t>FU1985093-S-PM41515</t>
  </si>
  <si>
    <t>SC-MFPILWSET2-BAM-P-28x18</t>
  </si>
  <si>
    <t>B096RWZKMC</t>
  </si>
  <si>
    <t>SC-ASF-MFPILWS2-P-28x18</t>
  </si>
  <si>
    <t>SC-F-MFPILWSET2-BAM-P-28x18</t>
  </si>
  <si>
    <t>SC-M-MFPILWSET2-BAM-P-28x18</t>
  </si>
  <si>
    <t>FU1985100-S-PM41515</t>
  </si>
  <si>
    <t>SC-MFPILWSET4-BAM-P-28x18</t>
  </si>
  <si>
    <t>B096RZRMR5</t>
  </si>
  <si>
    <t>SC-ASF-MFPILWS4-P-28x18</t>
  </si>
  <si>
    <t>SC-F-MFPILWSET4-BAM-P-28x18</t>
  </si>
  <si>
    <t>SC-M-MFPILWSET4-BAM-P-28x18</t>
  </si>
  <si>
    <t>SC-MFPILW-BAM-C-25x16</t>
  </si>
  <si>
    <t>B09XFF5LPL</t>
  </si>
  <si>
    <t>SC-ASF-CONMFPILW-BAM-25x16</t>
  </si>
  <si>
    <t>SC-A-CONMFPILW-BAM-25x16</t>
  </si>
  <si>
    <t>SC-M-MFPILW-BAM-C-25x16</t>
  </si>
  <si>
    <t>FU1985087-S-PM41515</t>
  </si>
  <si>
    <t>SC-MFPILWSET2-BAM-C-25x16</t>
  </si>
  <si>
    <t>Not Found</t>
  </si>
  <si>
    <t>SC-A-CONMFPILWS2-BAM-25x16</t>
  </si>
  <si>
    <t>SC-F-CON-MFPILWS2-BAM-24x14</t>
  </si>
  <si>
    <t>SC-M-MFPILWSET2-BAM-C-25x16</t>
  </si>
  <si>
    <t>SC-MFPILWSET4-BAM-C-25x16</t>
  </si>
  <si>
    <t>Memory Foam Pillow</t>
  </si>
  <si>
    <t>Pillows</t>
  </si>
  <si>
    <t>SC-PETBEDORIG-M-36x26</t>
  </si>
  <si>
    <t>B091CVL3WN</t>
  </si>
  <si>
    <t>SC-ASF-PETORIG-M-26x36</t>
  </si>
  <si>
    <t>SC-A-PETORIG-M-26x36</t>
  </si>
  <si>
    <t>SC-F-PETORIG-M-26x36</t>
  </si>
  <si>
    <t>SC-M-PETBEDORIG-M-36x26</t>
  </si>
  <si>
    <t>PE2004933-S-PM41515</t>
  </si>
  <si>
    <t>SC-PETBEDORIG-L-46x32</t>
  </si>
  <si>
    <t>B091CW7VX5</t>
  </si>
  <si>
    <t>SC-ASF-PETORIG-L-32x46</t>
  </si>
  <si>
    <t>SC-A-PETORIG-L-32x46</t>
  </si>
  <si>
    <t>SC-F-PETORIG-L-32X46</t>
  </si>
  <si>
    <t>SC-M-PETBEDORIG-L-46x32</t>
  </si>
  <si>
    <t>PE2004934-S-PM41515</t>
  </si>
  <si>
    <t>SC-PETBEDORIG-XL-54x36</t>
  </si>
  <si>
    <t>Closed</t>
  </si>
  <si>
    <t>SC-A-PETORIG-XL-36x54</t>
  </si>
  <si>
    <t>SC-F-PETORIG-XL-36x54</t>
  </si>
  <si>
    <t>PE2004935-S-PM41515</t>
  </si>
  <si>
    <t>SC-PETBEDORIG-M.Red-M-36x26</t>
  </si>
  <si>
    <t>B0FSSV6NDR</t>
  </si>
  <si>
    <t>SC-AF-PETBEDORIG-M.Red-M-36x26</t>
  </si>
  <si>
    <t>SC-M-PETBEDORIG-M.Red-M-36x26</t>
  </si>
  <si>
    <t>PE2004942-S-PM41515</t>
  </si>
  <si>
    <t>SC-PETBEDORIG-M.Red-L-46x32</t>
  </si>
  <si>
    <t>SC-ASF-PETBEDORIG-M.Red-L-46x32</t>
  </si>
  <si>
    <t>PE2004943-S-PM41515</t>
  </si>
  <si>
    <t>SC-PETBEDORIG-M.Red-XL-54x36</t>
  </si>
  <si>
    <t>B0FSSV6QB5</t>
  </si>
  <si>
    <t>SC-AF-PETBEDORIG-M.Red-XL-54x36</t>
  </si>
  <si>
    <t>SC-M-PETBEDORIG-M.Red-XL-54x36</t>
  </si>
  <si>
    <t>PE2004944-S-PM41515</t>
  </si>
  <si>
    <t>SC-PETBEDORIG-N.Blue-M-36x26</t>
  </si>
  <si>
    <t>B0FSTDLQ3L</t>
  </si>
  <si>
    <t>SC-AF-PETBEDORIG-N.Blue-M-36x26</t>
  </si>
  <si>
    <t>SC-M-PETBEDORIG-N.Blue-M-36x26</t>
  </si>
  <si>
    <t>PE2004939-S-PM41515</t>
  </si>
  <si>
    <t>SC-PETBEDORIG-N.Blue-L-46x32</t>
  </si>
  <si>
    <t>B0FSSV4J2H</t>
  </si>
  <si>
    <t>SC-AF-PETBEDORIG-N.Blue-L-46x32</t>
  </si>
  <si>
    <t>SC-M-PETBEDORIG-N.Blue-L-46x32</t>
  </si>
  <si>
    <t>PE2004940-S-PM41515</t>
  </si>
  <si>
    <t>SC-PETBEDORIG-N.Blue-XL-54x36</t>
  </si>
  <si>
    <t>B09XXXVG2F</t>
  </si>
  <si>
    <t>SC-ASF-PETBEDORIG-N.Blue-XL-54x36</t>
  </si>
  <si>
    <t>SC-M-PETBEDORIG-N.Blue-XL-54x36</t>
  </si>
  <si>
    <t>PE2004941-S-PM41515</t>
  </si>
  <si>
    <t>SC-CVR-PETBEDORIG-M.Red-M-36x26</t>
  </si>
  <si>
    <t>Original Pet Bed</t>
  </si>
  <si>
    <t>Pet Bed</t>
  </si>
  <si>
    <t>SC-CVR-PETBEDORIG-M.Red-L-46x32</t>
  </si>
  <si>
    <t>SC-CVR-PETBEDORIG-M.Red-XL-54x36</t>
  </si>
  <si>
    <t>SC-CVR-PETBEDORIG-N.Blue-M-36x26</t>
  </si>
  <si>
    <t>SC-CVR-PETBEDORIG-N.Blue-L-46x32</t>
  </si>
  <si>
    <t>SC-CVR-PETBEDORIG-N.Blue-XL-54x36</t>
  </si>
  <si>
    <t>SC-STIVFTDSHEET-S-72x36</t>
  </si>
  <si>
    <t>B0DDCGZW2S</t>
  </si>
  <si>
    <t>SC-ASF-STIVFTDSHEET-S-72x36</t>
  </si>
  <si>
    <t>SC-A-STIVFTDSHEET-S-72x36</t>
  </si>
  <si>
    <t>SC-F-STIVFTDSHEET-S-72x36</t>
  </si>
  <si>
    <t>SC-M-STIVFTDSHEET-S-72x36</t>
  </si>
  <si>
    <t>SC-STIVFTDSHEET-S-75x36</t>
  </si>
  <si>
    <t>B0DDCFMSD4</t>
  </si>
  <si>
    <t>SC-ASF-STIVFTDSHEET-S-75x36</t>
  </si>
  <si>
    <t>SC-A-STIVFTDSHEET-S-75x36</t>
  </si>
  <si>
    <t>SC-F-STIVFTDSHEET-S-75x36</t>
  </si>
  <si>
    <t>SC-M-STIVFTDSHEET-S-75x36</t>
  </si>
  <si>
    <t>SC-STIVFTDSHEET-S-78x36</t>
  </si>
  <si>
    <t>B0DDCGZWQZ</t>
  </si>
  <si>
    <t>SC-ASF-STIVFTDSHEET-S-78x36</t>
  </si>
  <si>
    <t>SC-A-STIVFTDSHEET-S-78x36</t>
  </si>
  <si>
    <t>SC-F-STIVFTDSHEET-S-78x36</t>
  </si>
  <si>
    <t>SC-M-STIVFTDSHEET-S-78x36</t>
  </si>
  <si>
    <t>SC-STPBFTDSHEET-S-72x36</t>
  </si>
  <si>
    <t>B0DDCF8VJ9</t>
  </si>
  <si>
    <t>SC-ASF-STPBFTDSHEET-S-72x36</t>
  </si>
  <si>
    <t>SC-A-STPBFTDSHEET-S-72x36</t>
  </si>
  <si>
    <t>SC-F-STPBFTDSHEET-S-72x36</t>
  </si>
  <si>
    <t>SC-M-STPBFTDSHEET-S-72x36</t>
  </si>
  <si>
    <t>SC-STPBFTDSHEET-S-75x36</t>
  </si>
  <si>
    <t>B0DDCGLF3H</t>
  </si>
  <si>
    <t>SC-ASF-STPBFTDSHEET-S-75x36</t>
  </si>
  <si>
    <t>SC-A-STPBFTDSHEET-S-75x36</t>
  </si>
  <si>
    <t>SC-F-STPBFTDSHEET-S-75x36</t>
  </si>
  <si>
    <t>SC-M-STPBFTDSHEET-S-75x36</t>
  </si>
  <si>
    <t>SC-STPBFTDSHEET-S-78x36</t>
  </si>
  <si>
    <t>B0DDCDRB1P</t>
  </si>
  <si>
    <t>SC-ASF-STPBFTDSHEET-S-78x36</t>
  </si>
  <si>
    <t>SC-A-STPBFTDSHEET-S-78x36</t>
  </si>
  <si>
    <t>SC-F-STPBFTDSHEET-S-78x36</t>
  </si>
  <si>
    <t>SC-M-STPBFTDSHEET-S-78x36</t>
  </si>
  <si>
    <t>SC-STMRFTDSHEET-S-72x36</t>
  </si>
  <si>
    <t>B0DDCJB3FV</t>
  </si>
  <si>
    <t>SC-ASF-STMRFTDSHEET-S-72x36</t>
  </si>
  <si>
    <t>SC-A-STMRFTDSHEET-S-72x36</t>
  </si>
  <si>
    <t>SC-F-STMRFTDSHEET-S-72x36</t>
  </si>
  <si>
    <t>SC-M-STMRFTDSHEET-S-72x36</t>
  </si>
  <si>
    <t>SC-STMRFTDSHEET-S-75x36</t>
  </si>
  <si>
    <t>B0DDCDCCZG</t>
  </si>
  <si>
    <t>SC-ASF-STMRFTDSHEET-S-75x36</t>
  </si>
  <si>
    <t>SC-A-STMRFTDSHEET-S-75x36</t>
  </si>
  <si>
    <t>SC-F-STMRFTDSHEET-S-75x36</t>
  </si>
  <si>
    <t>SC-M-STMRFTDSHEET-S-75x36</t>
  </si>
  <si>
    <t>SC-STMRFTDSHEET-S-78x36</t>
  </si>
  <si>
    <t>B0DDCF9YYL</t>
  </si>
  <si>
    <t>SC-ASF-STMRFTDSHEET-S-78x36</t>
  </si>
  <si>
    <t>SC-A-STMRFTDSHEET-S-78x36</t>
  </si>
  <si>
    <t>SC-F-STMRFTDSHEET-S-78x36</t>
  </si>
  <si>
    <t>SC-M-STMRFTDSHEET-S-78x36</t>
  </si>
  <si>
    <t>SC-STDMFTDSHEET-S-72x36</t>
  </si>
  <si>
    <t>B0DDCH8LKZ</t>
  </si>
  <si>
    <t>SC-ASF-STDMFTDSHEET-S-72x36</t>
  </si>
  <si>
    <t>SC-A-STDMFTDSHEET-S-72x36</t>
  </si>
  <si>
    <t>SC-F-STDMFTDSHEET-S-72x36</t>
  </si>
  <si>
    <t>SC-M-STDMFTDSHEET-S-72x36</t>
  </si>
  <si>
    <t>SC-STDMFTDSHEET-S-75x36</t>
  </si>
  <si>
    <t>B0DDCG955Z</t>
  </si>
  <si>
    <t>SC-ASF-STDMFTDSHEET-S-75x36</t>
  </si>
  <si>
    <t>SC-A-STDMFTDSHEET-S-75x36</t>
  </si>
  <si>
    <t>SC-F-STDMFTDSHEET-S-75x36</t>
  </si>
  <si>
    <t>SC-M-STDMFTDSHEET-S-75x36</t>
  </si>
  <si>
    <t>SC-STDMFTDSHEET-S-78x36</t>
  </si>
  <si>
    <t>B0DDCGQ6GX</t>
  </si>
  <si>
    <t>SC-ASF-STDMFTDSHEET-S-78x36</t>
  </si>
  <si>
    <t>SC-A-STDMFTDSHEET-S-78x36</t>
  </si>
  <si>
    <t>SC-F-STDMFTDSHEET-S-78x36</t>
  </si>
  <si>
    <t>SC-M-STDMFTDSHEET-S-78x36</t>
  </si>
  <si>
    <t>SC-STIVFTDSHEET-D-72x48</t>
  </si>
  <si>
    <t>B0DDCFYJPW</t>
  </si>
  <si>
    <t>SC-ASF-STIVFTDSHEET-D-72x48</t>
  </si>
  <si>
    <t>SC-A-STIVFTDSHEET-D-72x48</t>
  </si>
  <si>
    <t>SC-F-STIVFTDSHEET-D-72x48</t>
  </si>
  <si>
    <t>SC-M-STIVFTDSHEET-D-72x48</t>
  </si>
  <si>
    <t>SC-STIVFTDSHEET-D-75x48</t>
  </si>
  <si>
    <t>B0DDCHKBPM</t>
  </si>
  <si>
    <t>SC-ASF-STIVFTDSHEET-D-75x48</t>
  </si>
  <si>
    <t>SC-A-STIVFTDSHEET-D-75x48</t>
  </si>
  <si>
    <t>SC-F-STIVFTDSHEET-D-75x48</t>
  </si>
  <si>
    <t>SC-M-STIVFTDSHEET-D-75x48</t>
  </si>
  <si>
    <t>SC-STIVFTDSHEET-D-78x48</t>
  </si>
  <si>
    <t>B0DDCFZH4T</t>
  </si>
  <si>
    <t>SC-ASF-STIVFTDSHEET-D-78x48</t>
  </si>
  <si>
    <t>SC-A-STIVFTDSHEET-D-78x48</t>
  </si>
  <si>
    <t>SC-F-STIVFTDSHEET-D-78x48</t>
  </si>
  <si>
    <t>SC-M-STIVFTDSHEET-D-78x48</t>
  </si>
  <si>
    <t>SC-STPBFTDSHEET-D-72x48</t>
  </si>
  <si>
    <t>B0DDCFB9TT</t>
  </si>
  <si>
    <t>SC-ASF-STPBFTDSHEET-D-72x48</t>
  </si>
  <si>
    <t>SC-A-STPBFTDSHEET-D-72x48</t>
  </si>
  <si>
    <t>SC-F-STPBFTDSHEET-D-72x48</t>
  </si>
  <si>
    <t>SC-M-STPBFTDSHEET-D-72x48</t>
  </si>
  <si>
    <t>SC-STPBFTDSHEET-D-75x48</t>
  </si>
  <si>
    <t>B0DDCG6NH2</t>
  </si>
  <si>
    <t>SC-ASF-STPBFTDSHEET-D-75x48</t>
  </si>
  <si>
    <t>SC-A-STPBFTDSHEET-D-75x48</t>
  </si>
  <si>
    <t>SC-F-STPBFTDSHEET-D-75x48</t>
  </si>
  <si>
    <t>SC-M-STPBFTDSHEET-D-75x48</t>
  </si>
  <si>
    <t>SC-STPBFTDSHEET-D-78x48</t>
  </si>
  <si>
    <t>B0DDCG96D3</t>
  </si>
  <si>
    <t>SC-ASF-STPBFTDSHEET-D-78x48</t>
  </si>
  <si>
    <t>SC-A-STPBFTDSHEET-D-78x48</t>
  </si>
  <si>
    <t>SC-F-STPBFTDSHEET-D-78x48</t>
  </si>
  <si>
    <t>SC-M-STPBFTDSHEET-D-78x48</t>
  </si>
  <si>
    <t>SC-STMRFTDSHEET-D-72x48</t>
  </si>
  <si>
    <t>B0DDCDVNKX</t>
  </si>
  <si>
    <t>SC-ASF-STMRFTDSHEET-D-72x48</t>
  </si>
  <si>
    <t>SC-A-STMRFTDSHEET-D-72x48</t>
  </si>
  <si>
    <t>SC-F-STMRFTDSHEET-D-72x48</t>
  </si>
  <si>
    <t>SC-M-STMRFTDSHEET-D-72x48</t>
  </si>
  <si>
    <t>SC-STMRFTDSHEET-D-75x48</t>
  </si>
  <si>
    <t>B0DDCG74N1</t>
  </si>
  <si>
    <t>SC-ASF-STMRFTDSHEET-D-75x48</t>
  </si>
  <si>
    <t>SC-A-STMRFTDSHEET-D-75x48</t>
  </si>
  <si>
    <t>SC-F-STMRFTDSHEET-D-75x48</t>
  </si>
  <si>
    <t>SC-M-STMRFTDSHEET-D-75x48</t>
  </si>
  <si>
    <t>SC-STMRFTDSHEET-D-78x48</t>
  </si>
  <si>
    <t>B0DDCFQ4KS</t>
  </si>
  <si>
    <t>SC-ASF-STMRFTDSHEET-D-78x48</t>
  </si>
  <si>
    <t>SC-A-STMRFTDSHEET-D-78x48</t>
  </si>
  <si>
    <t>SC-F-STMRFTDSHEET-D-78x48</t>
  </si>
  <si>
    <t>SC-M-STMRFTDSHEET-D-78x48</t>
  </si>
  <si>
    <t>SC-STDMFTDSHEET-D-72x48</t>
  </si>
  <si>
    <t>B0DDCCKKJ9</t>
  </si>
  <si>
    <t>SC-ASF-STDMFTDSHEET-D-72x48</t>
  </si>
  <si>
    <t>SC-A-STDMFTDSHEET-D-72x48</t>
  </si>
  <si>
    <t>SC-F-STDMFTDSHEET-D-72x48</t>
  </si>
  <si>
    <t>SC-M-STDMFTDSHEET-D-72x48</t>
  </si>
  <si>
    <t>SC-STDMFTDSHEET-D-75x48</t>
  </si>
  <si>
    <t>B0DDCFPY75</t>
  </si>
  <si>
    <t>SC-ASF-STDMFTDSHEET-D-75x48</t>
  </si>
  <si>
    <t>SC-A-STDMFTDSHEET-D-75x48</t>
  </si>
  <si>
    <t>SC-F-STDMFTDSHEET-D-75x48</t>
  </si>
  <si>
    <t>SC-M-STDMFTDSHEET-D-75x48</t>
  </si>
  <si>
    <t>SC-STDMFTDSHEET-D-78x48</t>
  </si>
  <si>
    <t>B0DDCHGB74</t>
  </si>
  <si>
    <t>SC-ASF-STDMFTDSHEET-D-78x48</t>
  </si>
  <si>
    <t>SC-A-STDMFTDSHEET-D-78x48</t>
  </si>
  <si>
    <t>SC-F-STDMFTDSHEET-D-78x48</t>
  </si>
  <si>
    <t>SC-M-STDMFTDSHEET-D-78x48</t>
  </si>
  <si>
    <t>SC-STIVFTDSHEET-Q-72x60</t>
  </si>
  <si>
    <t>B0DDCFYSZX</t>
  </si>
  <si>
    <t>SC-ASF-STIVFTDSHEET-Q-72x60</t>
  </si>
  <si>
    <t>SC-A-STIVFTDSHEET-Q-72x60</t>
  </si>
  <si>
    <t>SC-F-STIVFTDSHEET-Q-72x60</t>
  </si>
  <si>
    <t>SC-M-STIVFTDSHEET-Q-72x60</t>
  </si>
  <si>
    <t>SC-STIVFTDSHEET-Q-75x60</t>
  </si>
  <si>
    <t>B0DDCG59NJ</t>
  </si>
  <si>
    <t>SC-ASF-STIVFTDSHEET-Q-75x60</t>
  </si>
  <si>
    <t>SC-A-STIVFTDSHEET-Q-75x60</t>
  </si>
  <si>
    <t>SC-F-STIVFTDSHEET-Q-75x60</t>
  </si>
  <si>
    <t>SC-M-STIVFTDSHEET-Q-75x60</t>
  </si>
  <si>
    <t>SC-STIVFTDSHEET-Q-78x60</t>
  </si>
  <si>
    <t>B0DDCJ4YQG</t>
  </si>
  <si>
    <t>SC-ASF-STIVFTDSHEET-Q-78x60</t>
  </si>
  <si>
    <t>SC-A-STIVFTDSHEET-Q-78x60</t>
  </si>
  <si>
    <t>SC-F-STIVFTDSHEET-Q-78x60</t>
  </si>
  <si>
    <t>SC-M-STIVFTDSHEET-Q-78x60</t>
  </si>
  <si>
    <t>SC-STPBFTDSHEET-Q-72x60</t>
  </si>
  <si>
    <t>B0DDCFLJYN</t>
  </si>
  <si>
    <t>SC-ASF-STPBFTDSHEET-Q-72x60</t>
  </si>
  <si>
    <t>SC-A-STPBFTDSHEET-Q-72x60</t>
  </si>
  <si>
    <t>SC-F-STPBFTDSHEET-Q-72x60</t>
  </si>
  <si>
    <t>SC-M-STPBFTDSHEET-Q-72x60</t>
  </si>
  <si>
    <t>SC-STPBFTDSHEET-Q-75x60</t>
  </si>
  <si>
    <t>B0DDCGSSHD</t>
  </si>
  <si>
    <t>SC-ASF-STPBFTDSHEET-Q-75x60</t>
  </si>
  <si>
    <t>SC-A-STPBFTDSHEET-Q-75x60</t>
  </si>
  <si>
    <t>SC-F-STPBFTDSHEET-Q-75x60</t>
  </si>
  <si>
    <t>SC-M-STPBFTDSHEET-Q-75x60</t>
  </si>
  <si>
    <t>SC-STPBFTDSHEET-Q-78x60</t>
  </si>
  <si>
    <t>B0DDCDDFGR</t>
  </si>
  <si>
    <t>SC-ASF-STPBFTDSHEET-Q-78x60</t>
  </si>
  <si>
    <t>SC-FLEX-STPBFTDSHEET-Q-78x60</t>
  </si>
  <si>
    <t>SC-A-STPBFTDSHEET-Q-78x60</t>
  </si>
  <si>
    <t>SC-F-STPBFTDSHEET-Q-78x60</t>
  </si>
  <si>
    <t>SC-M-STPBFTDSHEET-Q-78x60</t>
  </si>
  <si>
    <t>SC-STMRFTDSHEET-Q-72x60</t>
  </si>
  <si>
    <t>B0DDC9Z2KP</t>
  </si>
  <si>
    <t>SC-ASF-STMRFTDSHEET-Q-72x60</t>
  </si>
  <si>
    <t>SC-A-STMRFTDSHEET-Q-72x60</t>
  </si>
  <si>
    <t>SC-F-STMRFTDSHEET-Q-72x60</t>
  </si>
  <si>
    <t>SC-M-STMRFTDSHEET-Q-72x60</t>
  </si>
  <si>
    <t>SC-STMRFTDSHEET-Q-75x60</t>
  </si>
  <si>
    <t>B0DDCG2SLN</t>
  </si>
  <si>
    <t>SC-ASF-STMRFTDSHEET-Q-75x60</t>
  </si>
  <si>
    <t>SC-A-STMRFTDSHEET-Q-75x60</t>
  </si>
  <si>
    <t>SC-F-STMRFTDSHEET-Q-75x60</t>
  </si>
  <si>
    <t>SC-M-STMRFTDSHEET-Q-75x60</t>
  </si>
  <si>
    <t>SC-STMRFTDSHEET-Q-78x60</t>
  </si>
  <si>
    <t>B0DDCGHMXP</t>
  </si>
  <si>
    <t>SC-ASF-STMRFTDSHEET-Q-78x60</t>
  </si>
  <si>
    <t>SC-A-STMRFTDSHEET-Q-78x60</t>
  </si>
  <si>
    <t>SC-F-STMRFTDSHEET-Q-78x60</t>
  </si>
  <si>
    <t>SC-M-STMRFTDSHEET-Q-78x60</t>
  </si>
  <si>
    <t>SC-STDMFTDSHEET-Q-72x60</t>
  </si>
  <si>
    <t>B0DDCGPGMC</t>
  </si>
  <si>
    <t>SC-ASF-STDMFTDSHEET-Q-72x60</t>
  </si>
  <si>
    <t>SC-FLEX-STDMFTDSHEET-Q-72x60</t>
  </si>
  <si>
    <t>SC-A-STDMFTDSHEET-Q-72x60</t>
  </si>
  <si>
    <t>SC-F-STDMFTDSHEET-Q-72x60</t>
  </si>
  <si>
    <t>SC-M-STDMFTDSHEET-Q-72x60</t>
  </si>
  <si>
    <t>SC-STDMFTDSHEET-Q-75x60</t>
  </si>
  <si>
    <t>B0DDCGB18J</t>
  </si>
  <si>
    <t>SC-ASF-STDMFTDSHEET-Q-75x60</t>
  </si>
  <si>
    <t>SC-A-STDMFTDSHEET-Q-75x60</t>
  </si>
  <si>
    <t>SC-F-STDMFTDSHEET-Q-75x60</t>
  </si>
  <si>
    <t>SC-M-STDMFTDSHEET-Q-75x60</t>
  </si>
  <si>
    <t>SC-STDMFTDSHEET-Q-78x60</t>
  </si>
  <si>
    <t>B0DDCGMXH2</t>
  </si>
  <si>
    <t>SC-ASF-STDMFTDSHEET-Q-78x60</t>
  </si>
  <si>
    <t>SC-A-STDMFTDSHEET-Q-78x60</t>
  </si>
  <si>
    <t>SC-F-STDMFTDSHEET-Q-78x60</t>
  </si>
  <si>
    <t>SC-M-STDMFTDSHEET-Q-78x60</t>
  </si>
  <si>
    <t>SC-STIVFTDSHEET-K-72x72</t>
  </si>
  <si>
    <t>B0DDCFW2KR</t>
  </si>
  <si>
    <t>SC-ASF-STIVFTDSHEET-K-72x72</t>
  </si>
  <si>
    <t>SC-A-STIVFTDSHEET-K-72x72</t>
  </si>
  <si>
    <t>SC-F-STIVFTDSHEET-K-72x72</t>
  </si>
  <si>
    <t>SC-M-STIVFTDSHEET-K-72x72</t>
  </si>
  <si>
    <t>SC-STIVFTDSHEET-K-75x72</t>
  </si>
  <si>
    <t>B0DDCFPZ4T</t>
  </si>
  <si>
    <t>SC-ASF-STIVFTDSHEET-K-75x72</t>
  </si>
  <si>
    <t>SC-A-STIVFTDSHEET-K-75x72</t>
  </si>
  <si>
    <t>SC-F-STIVFTDSHEET-K-75x72</t>
  </si>
  <si>
    <t>SC-M-STIVFTDSHEET-K-75x72</t>
  </si>
  <si>
    <t>SC-STIVFTDSHEET-K-78x72</t>
  </si>
  <si>
    <t>B0DDCDXR8J</t>
  </si>
  <si>
    <t>SC-ASF-STIVFTDSHEET-K-78x72</t>
  </si>
  <si>
    <t>SC-FLEX-STIVFTDSHEET-K-78x72</t>
  </si>
  <si>
    <t>SC-A-STIVFTDSHEET-K-78x72</t>
  </si>
  <si>
    <t>SC-F-STIVFTDSHEET-K-78x72</t>
  </si>
  <si>
    <t>SC-M-STIVFTDSHEET-K-78x72</t>
  </si>
  <si>
    <t>SC-STPBFTDSHEET-K-72x72</t>
  </si>
  <si>
    <t>B0DDCFJSSL</t>
  </si>
  <si>
    <t>SC-ASF-STPBFTDSHEET-K-72x72</t>
  </si>
  <si>
    <t>SC-A-STPBFTDSHEET-K-72x72</t>
  </si>
  <si>
    <t>SC-F-STPBFTDSHEET-K-72x72</t>
  </si>
  <si>
    <t>SC-M-STPBFTDSHEET-K-72x72</t>
  </si>
  <si>
    <t>SC-STPBFTDSHEET-K-75x72</t>
  </si>
  <si>
    <t>B0DDCH8LKH</t>
  </si>
  <si>
    <t>SC-ASF-STPBFTDSHEET-K-75x72</t>
  </si>
  <si>
    <t>SC-A-STPBFTDSHEET-K-75x72</t>
  </si>
  <si>
    <t>SC-F-STPBFTDSHEET-K-75x72</t>
  </si>
  <si>
    <t>SC-M-STPBFTDSHEET-K-75x72</t>
  </si>
  <si>
    <t>SC-STPBFTDSHEET-K-78x72</t>
  </si>
  <si>
    <t>B0DDCCN3MS</t>
  </si>
  <si>
    <t>SC-ASF-STPBFTDSHEET-K-78x72</t>
  </si>
  <si>
    <t>SC-FLEX-STPBFTDSHEET-K-78x72</t>
  </si>
  <si>
    <t>SC-A-STPBFTDSHEET-K-78x72</t>
  </si>
  <si>
    <t>SC-F-STPBFTDSHEET-K-78x72</t>
  </si>
  <si>
    <t>SC-M-STPBFTDSHEET-K-78x72</t>
  </si>
  <si>
    <t>SC-STMRFTDSHEET-K-72x72</t>
  </si>
  <si>
    <t>B0DDCHYZBW</t>
  </si>
  <si>
    <t>SC-ASF-STMRFTDSHEET-K-72x72</t>
  </si>
  <si>
    <t>SC-A-STMRFTDSHEET-K-72x72</t>
  </si>
  <si>
    <t>SC-F-STMRFTDSHEET-K-72x72</t>
  </si>
  <si>
    <t>SC-M-STMRFTDSHEET-K-72x72</t>
  </si>
  <si>
    <t>SC-STMRFTDSHEET-K-75x72</t>
  </si>
  <si>
    <t>B0DDCG7KLS</t>
  </si>
  <si>
    <t>SC-ASF-STMRFTDSHEET-K-75x72</t>
  </si>
  <si>
    <t>SC-A-STMRFTDSHEET-K-75x72</t>
  </si>
  <si>
    <t>SC-F-STMRFTDSHEET-K-75x72</t>
  </si>
  <si>
    <t>SC-M-STMRFTDSHEET-K-75x72</t>
  </si>
  <si>
    <t>SC-STMRFTDSHEET-K-78x72</t>
  </si>
  <si>
    <t>B0DDCG62DZ</t>
  </si>
  <si>
    <t>SC-ASF-STMRFTDSHEET-K-78x72</t>
  </si>
  <si>
    <t>SC-A-STMRFTDSHEET-K-78x72</t>
  </si>
  <si>
    <t>SC-F-STMRFTDSHEET-K-78x72</t>
  </si>
  <si>
    <t>SC-M-STMRFTDSHEET-K-78x72</t>
  </si>
  <si>
    <t>SC-STDMFTDSHEET-K-72x72</t>
  </si>
  <si>
    <t>B0DDCGMBBJ</t>
  </si>
  <si>
    <t>SC-ASF-STDMFTDSHEET-K-72x72</t>
  </si>
  <si>
    <t>SC-A-STDMFTDSHEET-K-72x72</t>
  </si>
  <si>
    <t>SC-F-STDMFTDSHEET-K-72x72</t>
  </si>
  <si>
    <t>SC-M-STDMFTDSHEET-K-72x72</t>
  </si>
  <si>
    <t>SC-STDMFTDSHEET-K-75x72</t>
  </si>
  <si>
    <t>B0DDCF85LC</t>
  </si>
  <si>
    <t>SC-ASF-STDMFTDSHEET-K-75x72</t>
  </si>
  <si>
    <t>SC-A-STDMFTDSHEET-K-75x72</t>
  </si>
  <si>
    <t>SC-F-STDMFTDSHEET-K-75x72</t>
  </si>
  <si>
    <t>SC-M-STDMFTDSHEET-K-75x72</t>
  </si>
  <si>
    <t>SC-STDMFTDSHEET-K-78x72</t>
  </si>
  <si>
    <t>B0DDCD56KV</t>
  </si>
  <si>
    <t>SC-ASF-STDMFTDSHEET-K-78x72</t>
  </si>
  <si>
    <t>SC-A-STDMFTDSHEET-K-78x72</t>
  </si>
  <si>
    <t>SC-F-STDMFTDSHEET-K-78x72</t>
  </si>
  <si>
    <t>SC-M-STDMFTDSHEET-K-78x72</t>
  </si>
  <si>
    <t>SC-SLSTPILWCS-S-28x18</t>
  </si>
  <si>
    <t>B0CWKZHV5T</t>
  </si>
  <si>
    <t>SC-ASF-SLSTPILWCS-S-28x18</t>
  </si>
  <si>
    <t>SC-F-SLSTPILWCS-S-28x18</t>
  </si>
  <si>
    <t>SC-M-SLSTPILWCS-S-28x18</t>
  </si>
  <si>
    <t>SC-OBCHPILWCS-S-28x18</t>
  </si>
  <si>
    <t>B0CWL313ZC</t>
  </si>
  <si>
    <t>SC-ASF-OBCHPILWCS-S-28x18</t>
  </si>
  <si>
    <t>SC-F-OBCHPILWCS-S-28x18</t>
  </si>
  <si>
    <t>SC-M-OBCHPILWCS-S-28x18</t>
  </si>
  <si>
    <t>SC-PRPNPILWCS-S-28x18</t>
  </si>
  <si>
    <t>B0CWL52SCG</t>
  </si>
  <si>
    <t>SC-ASF-PRPNPILWCS-S-28x18</t>
  </si>
  <si>
    <t>SC-F-PRPNPILWCS-S-28x18</t>
  </si>
  <si>
    <t>SC-M-PRPNPILWCS-S-28x18</t>
  </si>
  <si>
    <t>SC-DGRPILWCS-S-28x18</t>
  </si>
  <si>
    <t>B0CWL2NG34</t>
  </si>
  <si>
    <t>SC-ASF-DGRPILWCS-S-28x18</t>
  </si>
  <si>
    <t>SC-F-DGRPILWCS-S-28x18</t>
  </si>
  <si>
    <t>SC-M-DGRPILWCS-S-28x18</t>
  </si>
  <si>
    <t>SC-TBLPILWCS-S-28x18</t>
  </si>
  <si>
    <t>B0CWLCGJDC</t>
  </si>
  <si>
    <t>SC-ASF-TBLPILWCS-S-28x18</t>
  </si>
  <si>
    <t>SC-FLEX-TBLPILWCS-S-28x18</t>
  </si>
  <si>
    <t>SC-F-TBLPILWCS-S-28x18</t>
  </si>
  <si>
    <t>SC-M-TBLPILWCS-S-28x18</t>
  </si>
  <si>
    <t>SC-EVGRPILWCS-S-28x18</t>
  </si>
  <si>
    <t>SC-ULTM-S-72x30x8</t>
  </si>
  <si>
    <t>B0B2RGMB2Z</t>
  </si>
  <si>
    <t>SC-ASF-ULTM-S-72x30x8</t>
  </si>
  <si>
    <t>SC-M-ULTM-S-72x30x8</t>
  </si>
  <si>
    <t>FU2005651-S-PM41515-72x30</t>
  </si>
  <si>
    <t>SC-ULTM-S-78x30x8</t>
  </si>
  <si>
    <t>B0FWMBYG4N</t>
  </si>
  <si>
    <t>SC-ASF-ULTM-S-78X30X8</t>
  </si>
  <si>
    <t>SC-F-ULTM-S-78X30X8</t>
  </si>
  <si>
    <t>SC-M-ULTM-S-78x30x8</t>
  </si>
  <si>
    <t>SC-ULTM-S-72x36x8</t>
  </si>
  <si>
    <t>B09XGQN59S</t>
  </si>
  <si>
    <t>SC-ASF-ULTM-S-72x36x8</t>
  </si>
  <si>
    <t>SC-M-ULTM-S-72x36x8</t>
  </si>
  <si>
    <t>FU2005651-S-PM41515-72x36</t>
  </si>
  <si>
    <t>SC-ULTM-S-75x36x8</t>
  </si>
  <si>
    <t>B09XGFNYTZ</t>
  </si>
  <si>
    <t>SC-ASF-ULTM-S-75x36x8</t>
  </si>
  <si>
    <t>SC-M-ULTM-S-75x36x8</t>
  </si>
  <si>
    <t>FU2005651-S-PM41515-75x36</t>
  </si>
  <si>
    <t>SC-ULTM-S-78x36x8</t>
  </si>
  <si>
    <t>B09XGM4M96</t>
  </si>
  <si>
    <t>SC-ASF-ULTM-S-78x36x8</t>
  </si>
  <si>
    <t>SC-M-ULTM-S-78x36x8</t>
  </si>
  <si>
    <t>FU2005651-S-PM41515-78x36</t>
  </si>
  <si>
    <t>SC-ULTM-S-72x36x10</t>
  </si>
  <si>
    <t>B09XFMZMQS</t>
  </si>
  <si>
    <t>SC-ASF-ULTM-S-72x36x10</t>
  </si>
  <si>
    <t>SC-M-ULTM-S-72x36x10</t>
  </si>
  <si>
    <t>FU2005648-S-PM41515-72x36</t>
  </si>
  <si>
    <t>SC-ULTM-S-78x36x10</t>
  </si>
  <si>
    <t>B09XFLZYZ6</t>
  </si>
  <si>
    <t>SC-ASF-ULTM-S-78x36x10</t>
  </si>
  <si>
    <t>SC-M-ULTM-S-78x36x10</t>
  </si>
  <si>
    <t>FU2005648-S-PM41515-78x36</t>
  </si>
  <si>
    <t>SC-ULTM-D-72x48x8</t>
  </si>
  <si>
    <t>B09XGF9LKQ</t>
  </si>
  <si>
    <t>SC-ASF-ULTM-D-72x48x8</t>
  </si>
  <si>
    <t>SC-M-ULTM-D-72x48x8</t>
  </si>
  <si>
    <t>FU2005652-S-PM41515-72x48</t>
  </si>
  <si>
    <t>SC-ULTM-D-75x48x8</t>
  </si>
  <si>
    <t>B09XGGGP3H</t>
  </si>
  <si>
    <t>SC-ASF-ULTM-D-75x48x8</t>
  </si>
  <si>
    <t>SC-M-ULTM-D-75x48x8</t>
  </si>
  <si>
    <t>FU2005652-S-PM41515-75x48</t>
  </si>
  <si>
    <t>SC-ULTM-D-78x48x8</t>
  </si>
  <si>
    <t>B09XGPQKRQ</t>
  </si>
  <si>
    <t>SC-ASF-ULTM-D-78x48x8</t>
  </si>
  <si>
    <t>SC-M-ULTM-D-78x48x8</t>
  </si>
  <si>
    <t>FU2005652-S-PM41515-78x48</t>
  </si>
  <si>
    <t>SC-ULTM-Q-72x60x8</t>
  </si>
  <si>
    <t>B09XGCYCSY</t>
  </si>
  <si>
    <t>SC-ASF-ULTM-Q-72x60x8</t>
  </si>
  <si>
    <t>SC-M-ULTM-Q-72x60x8</t>
  </si>
  <si>
    <t>FU2005652-S-PM41515-72x60</t>
  </si>
  <si>
    <t>SC-ULTM-Q-75x60x8</t>
  </si>
  <si>
    <t>B09XGPK5MG</t>
  </si>
  <si>
    <t>SC-FLEX-ULTM-Q-75x60x8</t>
  </si>
  <si>
    <t>SC-M-ULTM-Q-75x60x8</t>
  </si>
  <si>
    <t>FU2005652-S-PM41515-75x60</t>
  </si>
  <si>
    <t>SC-ULTM-Q-78x60x8</t>
  </si>
  <si>
    <t>B09XGNTMB7</t>
  </si>
  <si>
    <t>SC-ASF-ULTM-Q-78x60x8</t>
  </si>
  <si>
    <t>SC-M-ULTM-Q-78x60x8</t>
  </si>
  <si>
    <t>FU2005652-S-PM41515-78x60</t>
  </si>
  <si>
    <t>SC-ULTM-Q-72x60x10</t>
  </si>
  <si>
    <t>B09XGTCS7M</t>
  </si>
  <si>
    <t>SC-ASF-ULTM-Q-72x60x10</t>
  </si>
  <si>
    <t>SC-M-ULTM-Q-72x60x10</t>
  </si>
  <si>
    <t>FU2005649-S-PM41515-72x60</t>
  </si>
  <si>
    <t>SC-ULTM-Q-75x60x10</t>
  </si>
  <si>
    <t>B09XGP87K1</t>
  </si>
  <si>
    <t>SC-ASF-ULTM-Q-75x60x10</t>
  </si>
  <si>
    <t>SC-M-ULTM-Q-75x60x10</t>
  </si>
  <si>
    <t>FU2005649-S-PM41515-75x60</t>
  </si>
  <si>
    <t>SC-ULTM-Q-78x60x10</t>
  </si>
  <si>
    <t>B09XGPJ4CK</t>
  </si>
  <si>
    <t>SC-FLEX-ULTM-Q-78x60x10</t>
  </si>
  <si>
    <t>SC-M-ULTM-Q-78x60x10</t>
  </si>
  <si>
    <t>FU2005649-S-PM41515-78x60</t>
  </si>
  <si>
    <t>SC-ULTM-Q-72x66x8</t>
  </si>
  <si>
    <t>B0G39Y25BP</t>
  </si>
  <si>
    <t>SC-ASF-ULTM-Q-72x66x8</t>
  </si>
  <si>
    <t>SC-F-ULTM-Q-72x66x8</t>
  </si>
  <si>
    <t>SC-M-ULTM-Q-72x66x8</t>
  </si>
  <si>
    <t>SC-ULTM-Q-75x66x8</t>
  </si>
  <si>
    <t>SC-F-ULTM-Q-75x66x8</t>
  </si>
  <si>
    <t>SC-ULTM-Q-78x66x8</t>
  </si>
  <si>
    <t>B0G3B1SGJQ</t>
  </si>
  <si>
    <t>SC-ASF-ULTM-Q-84x66x10</t>
  </si>
  <si>
    <t>SC-F-ULTM-Q-78x66x8</t>
  </si>
  <si>
    <t>SC-M-ULTM-Q-78x66x8</t>
  </si>
  <si>
    <t>SC-ULTM-Q-84x66x8</t>
  </si>
  <si>
    <t>B0G39Z9BHD</t>
  </si>
  <si>
    <t>SC-ASF-ULTM-Q-84x66x8</t>
  </si>
  <si>
    <t>SC-F-ULTM-Q-84x66x8</t>
  </si>
  <si>
    <t>SC-M-ULTM-Q-84x66x8</t>
  </si>
  <si>
    <t>SC-ULTM-Q-72x66x10</t>
  </si>
  <si>
    <t>B0G39W5532</t>
  </si>
  <si>
    <t>SC-ASF-ULTM-Q-72x66x10</t>
  </si>
  <si>
    <t>SC-F-ULTM-Q-72x66x10</t>
  </si>
  <si>
    <t>SC-M-ULTM-Q-72x66x10</t>
  </si>
  <si>
    <t>SC-ULTM-Q-75x66x10</t>
  </si>
  <si>
    <t>SC-F-ULTM-Q-75x66x10</t>
  </si>
  <si>
    <t>SC-ULTM-Q-78x66x10</t>
  </si>
  <si>
    <t>B0G39VM9XL</t>
  </si>
  <si>
    <t>SC-ASF-ULTM-Q-78x66x10</t>
  </si>
  <si>
    <t>SC-F-ULTM-Q-78x66x10</t>
  </si>
  <si>
    <t>SC-M-ULTM-Q-78x66x10</t>
  </si>
  <si>
    <t>SC-ULTM-Q-84x66x10</t>
  </si>
  <si>
    <t>SC-F-ULTM-Q-84x66x10</t>
  </si>
  <si>
    <t>SC-M-ULTM-Q-84x66x10</t>
  </si>
  <si>
    <t>SC-ULTM-K-72x72x8</t>
  </si>
  <si>
    <t>B09XGNVVYK</t>
  </si>
  <si>
    <t>SC-FLEX-ULTM-K-72x72x8</t>
  </si>
  <si>
    <t>SC-ASF-ULTM-K-72x72x8</t>
  </si>
  <si>
    <t>SC-M-ULTM-K-72x72x8</t>
  </si>
  <si>
    <t>FU2005653-S-PM41515-72x72</t>
  </si>
  <si>
    <t>SC-ULTM-K-75x72x8</t>
  </si>
  <si>
    <t>B09XGPHT52</t>
  </si>
  <si>
    <t>SC-ASF-ULTM-K-75x72x8</t>
  </si>
  <si>
    <t>SC-M-ULTM-K-75x72x8</t>
  </si>
  <si>
    <t>FU2005653-S-PM41515-75x72</t>
  </si>
  <si>
    <t>SC-ULTM-K-78x72x8</t>
  </si>
  <si>
    <t>B09XGRWRST</t>
  </si>
  <si>
    <t>SC-ASF-ULTM-K-78x72x8</t>
  </si>
  <si>
    <t>SC-M-ULTM-K-78x72x8</t>
  </si>
  <si>
    <t>FU2005653-S-PM41515-78x72</t>
  </si>
  <si>
    <t>SC-ULTM-K-84x72x8</t>
  </si>
  <si>
    <t>B09XGCSM7K</t>
  </si>
  <si>
    <t>SC-ASF-ULTM-K-84x72x8</t>
  </si>
  <si>
    <t>SC-M-ULTM-K-84x72x8</t>
  </si>
  <si>
    <t>FU2005653-S-PM41515-84x72</t>
  </si>
  <si>
    <t>SC-ULTM-K-84x78x8</t>
  </si>
  <si>
    <t>B0DG5QZSWY</t>
  </si>
  <si>
    <t>SC-ASF-ULTM-K-84x78x8</t>
  </si>
  <si>
    <t>SC-F-ULTM-K-84x78x8</t>
  </si>
  <si>
    <t>SC-M-ULTM-K-84x78x8</t>
  </si>
  <si>
    <t>SC-ULTM-K-72x72x10</t>
  </si>
  <si>
    <t>B09XGKPDL1</t>
  </si>
  <si>
    <t>SC-ASF-ULTM-K-72x72x10</t>
  </si>
  <si>
    <t>SC-M-ULTM-K-72x72x10</t>
  </si>
  <si>
    <t>FU2005650-S-PM41515-72x72</t>
  </si>
  <si>
    <t>SC-ULTM-K-75x72x10</t>
  </si>
  <si>
    <t>B09XGX5FZX</t>
  </si>
  <si>
    <t>SC-ASF-ULTM-K-75x72x10</t>
  </si>
  <si>
    <t>SC-M-ULTM-K-75x72x10</t>
  </si>
  <si>
    <t>FU2005650-S-PM41515-75x72</t>
  </si>
  <si>
    <t>SC-ULTM-K-78x72x10</t>
  </si>
  <si>
    <t>B09XGSHBKJ</t>
  </si>
  <si>
    <t>SC-ASF-ULTM-K-78x72x10</t>
  </si>
  <si>
    <t>SC-M-ULTM-K-78x72x10</t>
  </si>
  <si>
    <t>FU2005650-S-PM41515-78x72</t>
  </si>
  <si>
    <t>SC-ULTM-K-84x72x10</t>
  </si>
  <si>
    <t>B0DG5R2ZV9</t>
  </si>
  <si>
    <t>SC-ASF-ULTM-K-84x72x10</t>
  </si>
  <si>
    <t>SC-M-ULTM-K-84x72x10</t>
  </si>
  <si>
    <t>SC-ULTM-K-84x78x10</t>
  </si>
  <si>
    <t>B0DG5QY9XZ</t>
  </si>
  <si>
    <t>SC-ASF-ULTM-K-84x78x10</t>
  </si>
  <si>
    <t>SC-M-ULTM-K-84x78x10</t>
  </si>
  <si>
    <t>SC-ULTM-LATEX-S-72x30x8</t>
  </si>
  <si>
    <t>B0D58MC1PY</t>
  </si>
  <si>
    <t>SC-ASF-ULTM-LATEX-S-72x30x8</t>
  </si>
  <si>
    <t>SC-A-ULTM-LATEX-S-72x30x8</t>
  </si>
  <si>
    <t>SC-F-ULTM-LATEX-S-72x30x8</t>
  </si>
  <si>
    <t>SC-M-ULTM-LATEX-S-72x30x8</t>
  </si>
  <si>
    <t>FU2205035-S-PM41515-72X30</t>
  </si>
  <si>
    <t>SC-ULTM-LATEX-S-72x36x8</t>
  </si>
  <si>
    <t>B0D58N56P9</t>
  </si>
  <si>
    <t>SC-ASF-ULTM-LATEX-S-72x36x8</t>
  </si>
  <si>
    <t>SC-FLEX-ULTM-LATEX-S-72x36x8</t>
  </si>
  <si>
    <t>SC-A-ULTM-LATEX-S-72x36x8</t>
  </si>
  <si>
    <t>SC-F-ULTM-LATEX-S-72x36x8</t>
  </si>
  <si>
    <t>SC-M-ULTM-LATEX-S-72x36x8</t>
  </si>
  <si>
    <t>FU2205035-S-PM41515-72X36</t>
  </si>
  <si>
    <t>SC-ULTM-LATEX-S-75x36x8</t>
  </si>
  <si>
    <t>B0D58LVNHC</t>
  </si>
  <si>
    <t>SC-ASF-ULTM-LATEX-S-75x36x8</t>
  </si>
  <si>
    <t>SC-A-ULTM-LATEX-S-75x36x8</t>
  </si>
  <si>
    <t>SC-F-ULTM-LATEX-S-75x36x8</t>
  </si>
  <si>
    <t>SC-M-ULTM-LATEX-S-75x36x8</t>
  </si>
  <si>
    <t>FU2205035-S-PM41515-75X36</t>
  </si>
  <si>
    <t>SC-ULTM-LATEX-S-78x36x8</t>
  </si>
  <si>
    <t>B0D58MC92Q</t>
  </si>
  <si>
    <t>SC-ASF-ULTM-LATEX-S-78x36x8</t>
  </si>
  <si>
    <t>SC-A-ULTM-LATEX-S-78x36x8</t>
  </si>
  <si>
    <t>SC-F-ULTM-LATEX-S-78x36x8</t>
  </si>
  <si>
    <t>SC-M-ULTM-LATEX-S-78x36x8</t>
  </si>
  <si>
    <t>FU2205035-S-PM41515-78X36</t>
  </si>
  <si>
    <t>SC-ULTM-LATEX-S-84x36x8</t>
  </si>
  <si>
    <t>B0FN9G9F1R</t>
  </si>
  <si>
    <t>SC-ASF-ULTM-LATEX-S-84x36x8</t>
  </si>
  <si>
    <t>SC-F-ULTM-LATEX-S-84x36x8</t>
  </si>
  <si>
    <t>SC-M-ULTM-LATEX-S-84x36x8</t>
  </si>
  <si>
    <t>SC-ULTM-LATEX-S-72x36x10</t>
  </si>
  <si>
    <t>B0D58LWV2B</t>
  </si>
  <si>
    <t>SC-ASF-ULTM-LATEX-S-72x36x10</t>
  </si>
  <si>
    <t>SC-A-ULTM-LATEX-S-72x36x10</t>
  </si>
  <si>
    <t>SC-F-ULTM-LATEX-S-72x36x10</t>
  </si>
  <si>
    <t>SC-M-ULTM-LATEX-S-72x36x10</t>
  </si>
  <si>
    <t>FU2205038-S-PM41515-72X36</t>
  </si>
  <si>
    <t>SC-ULTM-LATEX-S-75x36x10</t>
  </si>
  <si>
    <t>B0D58L8K69</t>
  </si>
  <si>
    <t>SC-ASF-ULTM-LATEX-S-75x36x10</t>
  </si>
  <si>
    <t>SC-A-ULTM-LATEX-S-75x36x10</t>
  </si>
  <si>
    <t>SC-M-ULTM-LATEX-S-75x36x10</t>
  </si>
  <si>
    <t>FU2205038-S-PM41515-75X36</t>
  </si>
  <si>
    <t>SC-ULTM-LATEX-S-78x36x10</t>
  </si>
  <si>
    <t>B0D58NC2ZM</t>
  </si>
  <si>
    <t>SC-ASF-ULTM-LATEX-S-78x36x10</t>
  </si>
  <si>
    <t>SC-A-ULTM-LATEX-S-78x36x10</t>
  </si>
  <si>
    <t>SC-F-ULTM-LATEX-S-78x36x10</t>
  </si>
  <si>
    <t>SC-M-ULTM-LATEX-S-78x36x10</t>
  </si>
  <si>
    <t>FU2205038-S-PM41515-78X36</t>
  </si>
  <si>
    <t>SC-ULTM-LATEX-S-84x36x10</t>
  </si>
  <si>
    <t>B0FWLM3WFL</t>
  </si>
  <si>
    <t>SC-ASF-ULTM-LATEX-S-84X36X10</t>
  </si>
  <si>
    <t>SC-F-ULTM-LATEX-S-84X36X10</t>
  </si>
  <si>
    <t>SC-M-ULTM-LATEX-S-84x36x10</t>
  </si>
  <si>
    <t>SC-ULTM-LATEX-D-72x48x8</t>
  </si>
  <si>
    <t>B0D58MYX7J</t>
  </si>
  <si>
    <t>SC-ASF-ULTM-LATEX-D-72x48x8</t>
  </si>
  <si>
    <t>SC-A-ULTM-LATEX-D-72x48x8</t>
  </si>
  <si>
    <t>SC-F-ULTM-LATEX-D-72x48x8</t>
  </si>
  <si>
    <t>SC-M-ULTM-LATEX-D-72x48x8</t>
  </si>
  <si>
    <t>FU2205036-S-PM41515-72X48</t>
  </si>
  <si>
    <t>SC-ULTM-LATEX-D-75x48x8</t>
  </si>
  <si>
    <t>B0D58MHQXQ</t>
  </si>
  <si>
    <t>SC-ASF-ULTM-LATEX-D-75x48x8</t>
  </si>
  <si>
    <t>SC-A-ULTM-LATEX-D-75x48x8</t>
  </si>
  <si>
    <t>SC-F-ULTM-LATEX-D-75x48x8</t>
  </si>
  <si>
    <t>SC-M-ULTM-LATEX-D-75x48x8</t>
  </si>
  <si>
    <t>FU2205036-S-PM41515-75X48</t>
  </si>
  <si>
    <t>SC-ULTM-LATEX-D-78x48x8</t>
  </si>
  <si>
    <t>B0D58NNZM6</t>
  </si>
  <si>
    <t>SC-ASF-ULTM-LATEX-D-78x48x8</t>
  </si>
  <si>
    <t>SC-A-ULTM-LATEX-D-78x48x8</t>
  </si>
  <si>
    <t>SC-F-ULTM-LATEX-D-78x48x8</t>
  </si>
  <si>
    <t>SC-M-ULTM-LATEX-D-78x48x8</t>
  </si>
  <si>
    <t>FU2205036-S-PM41515-78X48</t>
  </si>
  <si>
    <t>SC-ULTM-LATEX-D-84x48x8</t>
  </si>
  <si>
    <t>B0FN9R6595</t>
  </si>
  <si>
    <t>SC-ASF-ULTM-LATEX-D-84x48x8</t>
  </si>
  <si>
    <t>SC-F-ULTM-LATEX-D-84x48x8</t>
  </si>
  <si>
    <t>SC-M-ULTM-LATEX-D-84x48x8</t>
  </si>
  <si>
    <t>SC-ULTM-LATEX-D-72x48x10</t>
  </si>
  <si>
    <t>B0FTZJQX46</t>
  </si>
  <si>
    <t>SC-ASF-ULTM-LATEX-D-72X48X10</t>
  </si>
  <si>
    <t>SC-F-ULTM-LATEX-D-72x48x10</t>
  </si>
  <si>
    <t>SC-M-ULTM-LATEX-D-72x48x10</t>
  </si>
  <si>
    <t>SC-ULTM-LATEX-D-78x48x10</t>
  </si>
  <si>
    <t>B0D58NNQRP</t>
  </si>
  <si>
    <t>SC-ASF-ULTM-LATEX-D-78x48x10</t>
  </si>
  <si>
    <t>SC-F-ULTM-LATEX-D-78x48x10</t>
  </si>
  <si>
    <t>SC-M-ULTM-LATEX-D-78x48x10</t>
  </si>
  <si>
    <t>FU2205039-S-PM41515-78X48</t>
  </si>
  <si>
    <t>SC-ULTM-LATEX-D-84x48x10</t>
  </si>
  <si>
    <t>B0FN9Y8PP5</t>
  </si>
  <si>
    <t>SC-ASF-ULTM-LATEX-D-84x48x10</t>
  </si>
  <si>
    <t>SC-F-ULTM-LATEX-D-84x48x10</t>
  </si>
  <si>
    <t>SC-M-ULTM-LATEX-D-84x48x10</t>
  </si>
  <si>
    <t>SC-ULTM-LATEX-Q-72x60x8</t>
  </si>
  <si>
    <t>B0D58MHD11</t>
  </si>
  <si>
    <t>SC-ASF-ULTM-LATEX-Q-72x60x8</t>
  </si>
  <si>
    <t>SC-A-ULTM-LATEX-Q-72x60x8</t>
  </si>
  <si>
    <t>SC-F-ULTM-LATEX-Q-72x60x8</t>
  </si>
  <si>
    <t>SC-M-ULTM-LATEX-Q-72x60x8</t>
  </si>
  <si>
    <t>FU2205036-S-PM41515-72X60</t>
  </si>
  <si>
    <t>SC-ULTM-LATEX-Q-75x60x8</t>
  </si>
  <si>
    <t>B0D58MHJMG</t>
  </si>
  <si>
    <t>SC-ASF-ULTM-LATEX-Q-75x60x8</t>
  </si>
  <si>
    <t>SC-A-ULTM-LATEX-Q-75x60x8</t>
  </si>
  <si>
    <t>SC-F-ULTM-LATEX-Q-75x60x8</t>
  </si>
  <si>
    <t>SC-M-ULTM-LATEX-Q-75x60x8</t>
  </si>
  <si>
    <t>FU2205036-S-PM41515-75X60</t>
  </si>
  <si>
    <t>SC-ULTM-LATEX-Q-78x60x8</t>
  </si>
  <si>
    <t>B0D58N5B2F</t>
  </si>
  <si>
    <t>SC-ASF-ULTM-LATEX-Q-78x60x8</t>
  </si>
  <si>
    <t>SC-A-ULTM-LATEX-Q-78x60x8</t>
  </si>
  <si>
    <t>SC-F-ULTM-LATEX-Q-78x60x8</t>
  </si>
  <si>
    <t>SC-M-ULTM-LATEX-Q-78x60x8</t>
  </si>
  <si>
    <t>FU2205036-S-PM41515-78X60</t>
  </si>
  <si>
    <t>SC-ULTM-LATEX-Q-84x60x8</t>
  </si>
  <si>
    <t>B0FN9NNVWD</t>
  </si>
  <si>
    <t>SC-ASF-ULTM-LATEX-Q-84x60x8</t>
  </si>
  <si>
    <t>SC-F-ULTM-LATEX-Q-84x60x8</t>
  </si>
  <si>
    <t>SC-M-ULTM-LATEX-Q-84x60x8</t>
  </si>
  <si>
    <t>SC-ULTM-LATEX-Q-72x60x10</t>
  </si>
  <si>
    <t>B0D58MVX6P</t>
  </si>
  <si>
    <t>SC-ASF-ULTM-LATEX-Q-72x60x10</t>
  </si>
  <si>
    <t>SC-A-ULTM-LATEX-Q-72x60x10</t>
  </si>
  <si>
    <t>SC-F-ULTM-LATEX-Q-72x60x10</t>
  </si>
  <si>
    <t>SC-M-ULTM-LATEX-Q-72x60x10</t>
  </si>
  <si>
    <t>FU2205039-S-PM41515-72X60</t>
  </si>
  <si>
    <t>SC-ULTM-LATEX-Q-75x60x10</t>
  </si>
  <si>
    <t>B0D58M16NS</t>
  </si>
  <si>
    <t>SC-ASF-ULTM-LATEX-Q-75x60x10</t>
  </si>
  <si>
    <t>SC-A-ULTM-LATEX-Q-75x60x10</t>
  </si>
  <si>
    <t>SC-F-ULTM-LATEX-Q-75x60x10</t>
  </si>
  <si>
    <t>SC-M-ULTM-LATEX-Q-75x60x10</t>
  </si>
  <si>
    <t>FU2205039-S-PM41515-75X60</t>
  </si>
  <si>
    <t>SC-ULTM-LATEX-Q-78x60x10</t>
  </si>
  <si>
    <t>B0D58N3MS1</t>
  </si>
  <si>
    <t>SC-ASF-ULTM-LATEX-Q-78x60x10</t>
  </si>
  <si>
    <t>SC-A-ULTM-LATEX-Q-78x60x10</t>
  </si>
  <si>
    <t>SC-F-ULTM-LATEX-Q-78x60x10</t>
  </si>
  <si>
    <t>SC-M-ULTM-LATEX-Q-78x60x10</t>
  </si>
  <si>
    <t>FU2205039-S-PM41515-78X60</t>
  </si>
  <si>
    <t>SC-ULTM-LATEX-Q-84x60x10</t>
  </si>
  <si>
    <t>B0FWLKHLK1</t>
  </si>
  <si>
    <t>SC-ASF-ULTM-LATEX-Q-84X60X10</t>
  </si>
  <si>
    <t>SC-F-ULTM-LATEX-Q-84X60X10</t>
  </si>
  <si>
    <t>SC-M-ULTM-LATEX-Q-84x60x10</t>
  </si>
  <si>
    <t>SC-ULTM-LATEX-Q-72x66x8</t>
  </si>
  <si>
    <t>SC-F-ULTM-LATEX-Q-72x66x8</t>
  </si>
  <si>
    <t>SC-ULTM-LATEX-Q-75x66x8</t>
  </si>
  <si>
    <t>B0G39ZYZM9</t>
  </si>
  <si>
    <t>SC-ASF-ULTM-LATEX-Q-75x66x8</t>
  </si>
  <si>
    <t>SC-F-ULTM-LATEX-Q-75x66x8</t>
  </si>
  <si>
    <t>SC-M-ULTM-LATEX-Q-75x66x8</t>
  </si>
  <si>
    <t>SC-ULTM-LATEX-Q-78x66x8</t>
  </si>
  <si>
    <t>B0G39XN6X5</t>
  </si>
  <si>
    <t>SC-ASF-ULTM-LATEX-Q-78x66x8</t>
  </si>
  <si>
    <t>SC-F-ULTM-LATEX-Q-78x66x8</t>
  </si>
  <si>
    <t>SC-M-ULTM-LATEX-Q-78x66x8</t>
  </si>
  <si>
    <t>SC-ULTM-LATEX-Q-84x66x8</t>
  </si>
  <si>
    <t>SC-F-ULTM-LATEX-Q-84x66x8</t>
  </si>
  <si>
    <t>SC-ULTM-LATEX-Q-72x66x10</t>
  </si>
  <si>
    <t>SC-F-ULTM-LATEX-Q-72x66x10</t>
  </si>
  <si>
    <t>SC-ULTM-LATEX-Q-75x66x10</t>
  </si>
  <si>
    <t>B0G39Y29HW</t>
  </si>
  <si>
    <t>SC-ASF-ULTM-LATEX-Q-75x66x10</t>
  </si>
  <si>
    <t>SC-F-ULTM-LATEX-Q-75x66x10</t>
  </si>
  <si>
    <t>SC-M-ULTM-LATEX-Q-75x66x10</t>
  </si>
  <si>
    <t>SC-ULTM-LATEX-Q-78x66x10</t>
  </si>
  <si>
    <t>SC-F-ULTM-LATEX-Q-78x66x10</t>
  </si>
  <si>
    <t>SC-ULTM-LATEX-Q-84x66x10</t>
  </si>
  <si>
    <t>SC-F-ULTM-LATEX-Q-84x66x10</t>
  </si>
  <si>
    <t>SC-ULTM-LATEX-K-72x72x8</t>
  </si>
  <si>
    <t>B0D58LLWFN</t>
  </si>
  <si>
    <t>SC-FLEX-ULTM-LATEX-K-72x72x8</t>
  </si>
  <si>
    <t>SC-ASF-ULTM-LATEX-K-72x72x8</t>
  </si>
  <si>
    <t>SC-A-ULTM-LATEX-K-72x72x8</t>
  </si>
  <si>
    <t>SC-F-ULTM-LATEX-K-72x72x8</t>
  </si>
  <si>
    <t>SC-M-ULTM-LATEX-K-72x72x8</t>
  </si>
  <si>
    <t>FU2205037-S-PM41515-72X72</t>
  </si>
  <si>
    <t>SC-ULTM-LATEX-K-75x72x8</t>
  </si>
  <si>
    <t>B0D58LV9HN</t>
  </si>
  <si>
    <t>SC-ASF-ULTM-LATEX-K-75x72x8</t>
  </si>
  <si>
    <t>SC-A-ULTM-LATEX-K-75x72x8</t>
  </si>
  <si>
    <t>SC-F-ULTM-LATEX-K-75x72x8</t>
  </si>
  <si>
    <t>SC-M-ULTM-LATEX-K-75x72x8</t>
  </si>
  <si>
    <t>FU2205037-S-PM41515-75X72</t>
  </si>
  <si>
    <t>SC-ULTM-LATEX-K-78x72x8</t>
  </si>
  <si>
    <t>B0D58NBSN9</t>
  </si>
  <si>
    <t>SC-ASF-ULTM-LATEX-K-78x72x8</t>
  </si>
  <si>
    <t>SC-A-ULTM-LATEX-K-78x72x8</t>
  </si>
  <si>
    <t>SC-F-ULTM-LATEX-K-78x72x8</t>
  </si>
  <si>
    <t>SC-M-ULTM-LATEX-K-78x72x8</t>
  </si>
  <si>
    <t>FU2205037-S-PM41515-78X72</t>
  </si>
  <si>
    <t>SC-ULTM-LATEX-K-84x72x8</t>
  </si>
  <si>
    <t>B0DG5Q1M3R</t>
  </si>
  <si>
    <t>SC-ASF-ULTM-LATEX-K-84x72x8</t>
  </si>
  <si>
    <t>SC-F-ULTM-LATEX-K-84x72x8</t>
  </si>
  <si>
    <t>SC-M-ULTM-LATEX-K-84x72x8</t>
  </si>
  <si>
    <t>SC-ULTM-LATEX-K-84x78x8</t>
  </si>
  <si>
    <t>B0G39ZP6W8</t>
  </si>
  <si>
    <t>SC-ASF-ULTM-LATEX-K-84x78x8</t>
  </si>
  <si>
    <t>SC-F-ULTM-LATEX-K-84x78x8</t>
  </si>
  <si>
    <t>SC-M-ULTM-LATEX-K-84x78x8</t>
  </si>
  <si>
    <t>SC-ULTM-LATEX-K-72x72x10</t>
  </si>
  <si>
    <t>B0D58P2PVJ</t>
  </si>
  <si>
    <t>SC-ASF-ULTM-LATEX-K-72x72x10</t>
  </si>
  <si>
    <t>SC-A-ULTM-LATEX-K-72x72x10</t>
  </si>
  <si>
    <t>SC-M-ULTM-LATEX-K-72x72x10</t>
  </si>
  <si>
    <t>FU2205040-S-PM41515-72X72</t>
  </si>
  <si>
    <t>SC-ULTM-LATEX-K-75x72x10</t>
  </si>
  <si>
    <t>B0D58NNHGR</t>
  </si>
  <si>
    <t>SC-ASF-ULTM-LATEX-K-75x72x10</t>
  </si>
  <si>
    <t>SC-A-ULTM-LATEX-K-75x72x10</t>
  </si>
  <si>
    <t>SC-F-ULTM-LATEX-K-75x72x10</t>
  </si>
  <si>
    <t>SC-M-ULTM-LATEX-K-75x72x10</t>
  </si>
  <si>
    <t>FU2205040-S-PM41515-75X72</t>
  </si>
  <si>
    <t>SC-ULTM-LATEX-K-78x72x10</t>
  </si>
  <si>
    <t>B0D58MW6Z4</t>
  </si>
  <si>
    <t>SC-ASF-ULTM-LATEX-K-78x72x10</t>
  </si>
  <si>
    <t>SC-A-ULTM-LATEX-K-78x72x10</t>
  </si>
  <si>
    <t>SC-F-ULTM-LATEX-K-78x72x10</t>
  </si>
  <si>
    <t>SC-M-ULTM-LATEX-K-78x72x10</t>
  </si>
  <si>
    <t>FU2205040-S-PM41515-78X72</t>
  </si>
  <si>
    <t>SC-ULTM-LATEX-K-84x72x10</t>
  </si>
  <si>
    <t>B0DG5RYRGG</t>
  </si>
  <si>
    <t>SC-ASF-ULTM-LATEX-K-84x72x10</t>
  </si>
  <si>
    <t>SC-M-ULTM-LATEX-K-84x72x10</t>
  </si>
  <si>
    <t>SC-ULTM-LATEX-K-84x78x10</t>
  </si>
  <si>
    <t>B0FWM4MQDY</t>
  </si>
  <si>
    <t>SC-ASF-ULTM-LATEX-K-84X78X10</t>
  </si>
  <si>
    <t>SC-F-ULTM-LATEX-K-84X78X10</t>
  </si>
  <si>
    <t>SC-M-ULTM-LATEX-K-84x78x10</t>
  </si>
  <si>
    <t>SC-DUAL-S-72x36x4</t>
  </si>
  <si>
    <t>Dual Switch Mattress</t>
  </si>
  <si>
    <t>SC-DUAL-S-84x36x4</t>
  </si>
  <si>
    <t>SC-DUAL-S-72x30x5</t>
  </si>
  <si>
    <t>SC-DUAL-S-72x36x5</t>
  </si>
  <si>
    <t>SC-DUAL-S-75x36x5</t>
  </si>
  <si>
    <t>SC-DUAL-S-78x36x5</t>
  </si>
  <si>
    <t>SC-DUAL-D-72x42x5</t>
  </si>
  <si>
    <t>SC-DUAL-D-75x42x5</t>
  </si>
  <si>
    <t>SC-DUAL-D-78x42x5</t>
  </si>
  <si>
    <t>SC-DUAL-S-84x36x5</t>
  </si>
  <si>
    <t>SC-DUAL-S-72x36x6</t>
  </si>
  <si>
    <t>SC-DUAL-S-84x36x6</t>
  </si>
  <si>
    <t>SC-DUAL-D-72x48x4</t>
  </si>
  <si>
    <t>SC-DUAL-D-84x48x4</t>
  </si>
  <si>
    <t>SC-DUAL-D-72x48x5</t>
  </si>
  <si>
    <t>SC-DUAL-D-75x48x5</t>
  </si>
  <si>
    <t>SC-DUAL-D-78x48x5</t>
  </si>
  <si>
    <t>SC-DUAL-D-84x48x5</t>
  </si>
  <si>
    <t>SC-DUAL-D-72x48x6</t>
  </si>
  <si>
    <t>SC-DUAL-Q-72x60x4</t>
  </si>
  <si>
    <t>SC-DUAL-Q-78x60x4</t>
  </si>
  <si>
    <t>SC-DUAL-Q-78x66x4</t>
  </si>
  <si>
    <t>SC-DUAL-Q-84x60x4</t>
  </si>
  <si>
    <t>SC-DUAL-Q-72x60x5</t>
  </si>
  <si>
    <t>SC-DUAL-Q-75x60x5</t>
  </si>
  <si>
    <t>SC-DUAL-Q-72x66x5</t>
  </si>
  <si>
    <t>SC-DUAL-Q-78x60x5</t>
  </si>
  <si>
    <t>SC-DUAL-Q-75x66x5</t>
  </si>
  <si>
    <t>SC-DUAL-Q-78x66x5</t>
  </si>
  <si>
    <t>SC-DUAL-Q-84x60x5</t>
  </si>
  <si>
    <t>SC-DUAL-Q-72x60x6</t>
  </si>
  <si>
    <t>SC-DUAL-Q-78x60x6</t>
  </si>
  <si>
    <t>SC-DUAL-Q-84x60x6</t>
  </si>
  <si>
    <t>SC-DUAL-Q-78x66x6</t>
  </si>
  <si>
    <t>SC-DUAL-K-72x70x4</t>
  </si>
  <si>
    <t>SC-DUAL-K-72x72x4</t>
  </si>
  <si>
    <t>SC-DUAL-K-75x70x4</t>
  </si>
  <si>
    <t>SC-DUAL-K-78x70x4</t>
  </si>
  <si>
    <t>SC-DUAL-K-78x72x4</t>
  </si>
  <si>
    <t>SC-DUAL-K-84x72x4</t>
  </si>
  <si>
    <t>SC-DUAL-K-72x70x5</t>
  </si>
  <si>
    <t>SC-DUAL-K-72x72x5</t>
  </si>
  <si>
    <t>SC-DUAL-K-75x70x5</t>
  </si>
  <si>
    <t>SC-DUAL-K-75x72x5</t>
  </si>
  <si>
    <t>SC-DUAL-K-78x70x5</t>
  </si>
  <si>
    <t>SC-DUAL-K-78x72x5</t>
  </si>
  <si>
    <t>SC-DUAL-K-84x72x5</t>
  </si>
  <si>
    <t>SC-DUAL-K-72x70x6</t>
  </si>
  <si>
    <t>SC-DUAL-K-72x72x6</t>
  </si>
  <si>
    <t>SC-DUAL-K-75x70x6</t>
  </si>
  <si>
    <t>SC-DUAL-K-78x70x6</t>
  </si>
  <si>
    <t>SC-DUAL-K-78x72x6</t>
  </si>
  <si>
    <t>SC-DUAL-K-84x72x6</t>
  </si>
  <si>
    <t>SC-MFMTTOPPER-S-72x36</t>
  </si>
  <si>
    <t>B0CWS28HXY</t>
  </si>
  <si>
    <t>SC-ASF-MFMTTOPPER-S-72x36</t>
  </si>
  <si>
    <t>SC-A-MFMTTOPPER-S-72x36</t>
  </si>
  <si>
    <t>SC-F-MFMTTOPPER-S-72x36</t>
  </si>
  <si>
    <t>SC-M-MFMTTOPPER-S-72x36</t>
  </si>
  <si>
    <t>SC-MFMTTOPPER-S-78x36</t>
  </si>
  <si>
    <t>SC-MFMTTOPPER-D-72x48</t>
  </si>
  <si>
    <t>B0CWS1LB7W</t>
  </si>
  <si>
    <t>SC-ASF-MFMTTOPPER-D-72x48</t>
  </si>
  <si>
    <t>SC-A-MFMTTOPPER-D-72x48</t>
  </si>
  <si>
    <t>SC-F-MFMTTOPPER-D-72x48</t>
  </si>
  <si>
    <t>SC-M-MFMTTOPPER-D-72x48</t>
  </si>
  <si>
    <t>SC-MFMTTOPPER-Q-72x60</t>
  </si>
  <si>
    <t>B0CRS2R6JM</t>
  </si>
  <si>
    <t>SC-AS-MFMTTOPPER-Q-72x60</t>
  </si>
  <si>
    <t>SC-ASF-MFMTTOPPER-Q-72x60</t>
  </si>
  <si>
    <t>SC-A-MFMTTOPPER-Q-72x60</t>
  </si>
  <si>
    <t>SC-F-MFMTTOPPER-Q-72x60</t>
  </si>
  <si>
    <t>SC-M-MFMTTOPPER-Q-72x60</t>
  </si>
  <si>
    <t>SC-MFMTTOPPER-Q-75x60</t>
  </si>
  <si>
    <t>B0CWS1WR2F</t>
  </si>
  <si>
    <t>SC-ASF-MFMTTOPPER-Q-75x60</t>
  </si>
  <si>
    <t>SC-A-MFMTTOPPER-Q-75x60</t>
  </si>
  <si>
    <t>SC-F-MFMTTOPPER-Q-75x60</t>
  </si>
  <si>
    <t>SC-M-MFMTTOPPER-Q-75x60</t>
  </si>
  <si>
    <t>SC-MFMTTOPPER-Q-78x60</t>
  </si>
  <si>
    <t>B0CRS31GSK</t>
  </si>
  <si>
    <t>SC-AS-MFMTTOPPER-Q-78x60</t>
  </si>
  <si>
    <t>SC-ASF-MFMTTOPPER-Q-78x60</t>
  </si>
  <si>
    <t>SC-A-MFMTTOPPER-Q-78x60</t>
  </si>
  <si>
    <t>SC-F-MFMTTOPPER-Q-78x60</t>
  </si>
  <si>
    <t>SC-M-MFMTTOPPER-Q-78x60</t>
  </si>
  <si>
    <t>SC-MFMTTOPPER-K-72x72</t>
  </si>
  <si>
    <t>B0CRS2ZQV5</t>
  </si>
  <si>
    <t>SC-ASF-MFMTTOPPER-K-72x72</t>
  </si>
  <si>
    <t>SC-F-MFMTTOPPER-K-72x72</t>
  </si>
  <si>
    <t>SC-M-MFMTTOPPER-K-72x72</t>
  </si>
  <si>
    <t>SC-MFMTTOPPER-K-75x72</t>
  </si>
  <si>
    <t>B0CWS2SVVL</t>
  </si>
  <si>
    <t>SC-ASF-MFMTTOPPER-K-75x72</t>
  </si>
  <si>
    <t>SC-A-MFMTTOPPER-K-75x72</t>
  </si>
  <si>
    <t>SC-F-MFMTTOPPER-K-75x72</t>
  </si>
  <si>
    <t>SC-M-MFMTTOPPER-K-75x72</t>
  </si>
  <si>
    <t>SC-MFMTTOPPER-K-78x72</t>
  </si>
  <si>
    <t>B0CRS3Z2B7</t>
  </si>
  <si>
    <t>SC-ASF-MFMTTOPPER-K-78x72</t>
  </si>
  <si>
    <t>SC-AS-MFMTTOPPER-K-78x72</t>
  </si>
  <si>
    <t>SC-A-MFMTTOPPER-K-78x72</t>
  </si>
  <si>
    <t>SC-F-MFMTTOPPER-K-78x72</t>
  </si>
  <si>
    <t>SC-M-MFMTTOPPER-K-78x72</t>
  </si>
  <si>
    <t>SC-CLD-SPR-S-72x30x8</t>
  </si>
  <si>
    <t>B0DGT8XPXD</t>
  </si>
  <si>
    <t>SC-ASF-CLD-SPR-S-72x30x8</t>
  </si>
  <si>
    <t>SC-A-CLD-SPR-S-72x30x8</t>
  </si>
  <si>
    <t>SC-M-CLD-SPR-S-72x30x8</t>
  </si>
  <si>
    <t>FU2205000-S-PM41515-72X30</t>
  </si>
  <si>
    <t>SC-CLD-SPR-S-72x36x8</t>
  </si>
  <si>
    <t>B0DGSZFRJC</t>
  </si>
  <si>
    <t>SC-ASF-CLD-SPR-S-72x36x8</t>
  </si>
  <si>
    <t>SC-A-CLD-SPR-S-72x36x8</t>
  </si>
  <si>
    <t>SC-F-CLD-SPR-S-72x36x8</t>
  </si>
  <si>
    <t>SC-M-CLD-SPR-S-72x36x8</t>
  </si>
  <si>
    <t>FU2205000-S-PM41515-72X36</t>
  </si>
  <si>
    <t>SC-CLD-SPR-S-75x36x8</t>
  </si>
  <si>
    <t>B0DGSZML9P</t>
  </si>
  <si>
    <t>SC-ASF-CLD-SPR-S-75x36x8</t>
  </si>
  <si>
    <t>SC-A-CLD-SPR-S-75x36x8</t>
  </si>
  <si>
    <t>SC-M-CLD-SPR-S-75x36x8</t>
  </si>
  <si>
    <t>FU2205000-S-PM41515-75X36</t>
  </si>
  <si>
    <t>SC-CLD-SPR-S-78x36x8</t>
  </si>
  <si>
    <t>B0DGQM3RN6</t>
  </si>
  <si>
    <t>SC-ASF-CLD-SPR-S-78x36x8</t>
  </si>
  <si>
    <t>SC-A-CLD-SPR-S-78x36x8</t>
  </si>
  <si>
    <t>SC-M-CLD-SPR-S-78x36x8</t>
  </si>
  <si>
    <t>FU2205000-S-PM41515-78X36</t>
  </si>
  <si>
    <t>SC-CLD-SPR-D-72x48x8</t>
  </si>
  <si>
    <t>B0DGSSZ6M2</t>
  </si>
  <si>
    <t>SC-ASF-CLD-SPR-D-72x48x8</t>
  </si>
  <si>
    <t>SC-A-CLD-SPR-D-72x48x8</t>
  </si>
  <si>
    <t>SC-F-CLD-SPR-D-72x48x8</t>
  </si>
  <si>
    <t>SC-M-CLD-SPR-D-72x48x8</t>
  </si>
  <si>
    <t>FU2205002-S-PM41515-72X48</t>
  </si>
  <si>
    <t>SC-CLD-SPR-D-75x48x8</t>
  </si>
  <si>
    <t>B0DGQNGH6Z</t>
  </si>
  <si>
    <t>SC-ASF-CLD-SPR-D-75x48x8</t>
  </si>
  <si>
    <t>SC-A-CLD-SPR-D-75x48x8</t>
  </si>
  <si>
    <t>SC-F-CLD-SPR-D-75x48x8</t>
  </si>
  <si>
    <t>SC-M-CLD-SPR-D-75x48x8</t>
  </si>
  <si>
    <t>FU2205002-S-PM41515-75X48</t>
  </si>
  <si>
    <t>SC-CLD-SPR-D-78x48x8</t>
  </si>
  <si>
    <t>B0DGT8T99C</t>
  </si>
  <si>
    <t>SC-ASF-CLD-SPR-D-78x48x8</t>
  </si>
  <si>
    <t>SC-A-CLD-SPR-D-78x48x8</t>
  </si>
  <si>
    <t>SC-F-CLD-SPR-D-78x48x8</t>
  </si>
  <si>
    <t>SC-M-CLD-SPR-D-78x48x8</t>
  </si>
  <si>
    <t>FU2205002-S-PM41515-78X48</t>
  </si>
  <si>
    <t>SC-CLD-SPR-Q-72x60x8</t>
  </si>
  <si>
    <t>B0DGSY36ST</t>
  </si>
  <si>
    <t>SC-ASF-CLD-SPR-Q-72x60x8</t>
  </si>
  <si>
    <t>SC-A-CLD-SPR-Q-72x60x8</t>
  </si>
  <si>
    <t>SC-F-CLD-SPR-Q-72x60x8</t>
  </si>
  <si>
    <t>SC-M-CLD-SPR-Q-72x60x8</t>
  </si>
  <si>
    <t>FU2205002-S-PM41515-72X60</t>
  </si>
  <si>
    <t>SC-CLD-SPR-Q-75x60x8</t>
  </si>
  <si>
    <t>B0DGSX75PJ</t>
  </si>
  <si>
    <t>SC-ASF-CLD-SPR-Q-75x60x8</t>
  </si>
  <si>
    <t>SC-A-CLD-SPR-Q-75x60x8</t>
  </si>
  <si>
    <t>SC-F-CLD-SPR-Q-75x60x8</t>
  </si>
  <si>
    <t>SC-M-CLD-SPR-Q-75x60x8</t>
  </si>
  <si>
    <t>FU2205002-S-PM41515-75X60</t>
  </si>
  <si>
    <t>SC-CLD-SPR-Q-78x60x8</t>
  </si>
  <si>
    <t>B0DGSXX8RN</t>
  </si>
  <si>
    <t>SC-ASF-CLD-SPR-Q-78x60x8</t>
  </si>
  <si>
    <t>SC-A-CLD-SPR-Q-78x60x8</t>
  </si>
  <si>
    <t>SC-F-CLD-SPR-Q-78x60x8</t>
  </si>
  <si>
    <t>SC-M-CLD-SPR-Q-78x60x8</t>
  </si>
  <si>
    <t>FU2205002-S-PM41515-78X60</t>
  </si>
  <si>
    <t>SC-CLD-SPR-Q-72x66x8</t>
  </si>
  <si>
    <t>B0DGQLL4DJ</t>
  </si>
  <si>
    <t>SC-ASF-CLD-SPR-Q-72x66x8</t>
  </si>
  <si>
    <t>SC-A-CLD-SPR-Q-72x66x8</t>
  </si>
  <si>
    <t>SC-M-CLD-SPR-Q-72x66x8</t>
  </si>
  <si>
    <t>FU2205002-S-PM41515-72X66</t>
  </si>
  <si>
    <t>SC-CLD-SPR-Q-75x66x8</t>
  </si>
  <si>
    <t>B0DGSVBY94</t>
  </si>
  <si>
    <t>SC-ASF-CLD-SPR-Q-75x66x8</t>
  </si>
  <si>
    <t>SC-A-CLD-SPR-Q-75x66x8</t>
  </si>
  <si>
    <t>SC-M-CLD-SPR-Q-75x66x8</t>
  </si>
  <si>
    <t>FU2205002-S-PM41515-75X66</t>
  </si>
  <si>
    <t>SC-CLD-SPR-Q-78x66x8</t>
  </si>
  <si>
    <t>B0DGSYS9NM</t>
  </si>
  <si>
    <t>SC-ASF-CLD-SPR-Q-78x66x8</t>
  </si>
  <si>
    <t>SC-A-CLD-SPR-Q-78x66x8</t>
  </si>
  <si>
    <t>SC-F-CLD-SPR-Q-78x66x8</t>
  </si>
  <si>
    <t>SC-M-CLD-SPR-Q-78x66x8</t>
  </si>
  <si>
    <t>FU2205002-S-PM41515-78X66</t>
  </si>
  <si>
    <t>SC-CLD-SPR-K-72x72x8</t>
  </si>
  <si>
    <t>B0DGTCVYJZ</t>
  </si>
  <si>
    <t>SC-ASF-CLD-SPR-K-72x72x8</t>
  </si>
  <si>
    <t>SC-A-CLD-SPR-K-72x72x8</t>
  </si>
  <si>
    <t>SC-F-CLD-SPR-K-72x72x8</t>
  </si>
  <si>
    <t>SC-M-CLD-SPR-K-72x72x8</t>
  </si>
  <si>
    <t>FU2205001-S-PM41515-72X72</t>
  </si>
  <si>
    <t>SC-CLD-SPR-K-75x72x8</t>
  </si>
  <si>
    <t>B0DGTCXZ9M</t>
  </si>
  <si>
    <t>SC-ASF-CLD-SPR-K-75x72x8</t>
  </si>
  <si>
    <t>SC-A-CLD-SPR-K-75x72x8</t>
  </si>
  <si>
    <t>SC-F-CLD-SPR-K-75x72x8</t>
  </si>
  <si>
    <t>SC-M-CLD-SPR-K-75x72x8</t>
  </si>
  <si>
    <t>FU2205001-S-PM41515-75X72</t>
  </si>
  <si>
    <t>SC-CLD-SPR-K-78x72x8</t>
  </si>
  <si>
    <t>B0DGT8T9Q4</t>
  </si>
  <si>
    <t>SC-ASF-CLD-SPR-K-78x72x8</t>
  </si>
  <si>
    <t>SC-A-CLD-SPR-K-78x72x8</t>
  </si>
  <si>
    <t>SC-F-CLD-SPR-K-78x72x8</t>
  </si>
  <si>
    <t>SC-M-CLD-SPR-K-78x72x8</t>
  </si>
  <si>
    <t>FU2205001-S-PM41515-78X72</t>
  </si>
  <si>
    <t>SC-CLD-SPR-K-84x72x8</t>
  </si>
  <si>
    <t>B0DGQMWT3D</t>
  </si>
  <si>
    <t>SC-ASF-CLD-SPR-K-84x72x8</t>
  </si>
  <si>
    <t>SC-A-CLD-SPR-K-84x72x8</t>
  </si>
  <si>
    <t>SC-M-CLD-SPR-K-84x72x8</t>
  </si>
  <si>
    <t>FU2205001-S-PM41515-84X72</t>
  </si>
  <si>
    <t>SC-FIMTTOPPER-S-72x36</t>
  </si>
  <si>
    <t>B0D2X51KKW</t>
  </si>
  <si>
    <t>SC-ASF-FIMTTOPPER-S-72x36</t>
  </si>
  <si>
    <t>SC-F-FIMTTOPPER-S-72x36</t>
  </si>
  <si>
    <t>SC-M-FIMTTOPPER-S-72x36</t>
  </si>
  <si>
    <t>SC-FIMTTOPPER-S-78x36</t>
  </si>
  <si>
    <t>B0DCVGW9CD</t>
  </si>
  <si>
    <t>SC-ASF-FIMTTOPPER-S-78x36</t>
  </si>
  <si>
    <t>SC-M-FIMTTOPPER-S-78x36</t>
  </si>
  <si>
    <t>SC-FIMTTOPPER-D-72x48</t>
  </si>
  <si>
    <t>B0D2X7G46F</t>
  </si>
  <si>
    <t>SC-ASF-FIMTTOPPER-D-72x48</t>
  </si>
  <si>
    <t>SC-F-FIMTTOPPER-D-72x48</t>
  </si>
  <si>
    <t>SC-M-FIMTTOPPER-D-72x48</t>
  </si>
  <si>
    <t>SC-FIMTTOPPER-Q-72x60</t>
  </si>
  <si>
    <t>B0CSFQK17Y</t>
  </si>
  <si>
    <t>SC-ASF-FIMTTOPPER-Q-72x60</t>
  </si>
  <si>
    <t>SC-F-FIMTTOPPER-Q-72x60</t>
  </si>
  <si>
    <t>SC-M-FIMTTOPPER-Q-72x60</t>
  </si>
  <si>
    <t>SC-FIMTTOPPER-Q-75x60</t>
  </si>
  <si>
    <t>B0D2X6W9MT</t>
  </si>
  <si>
    <t>SC-ASF-FIMTTOPPER-Q-75x60</t>
  </si>
  <si>
    <t>SC-F-FIMTTOPPER-Q-75x60</t>
  </si>
  <si>
    <t>SC-M-FIMTTOPPER-Q-75x60</t>
  </si>
  <si>
    <t>SC-FIMTTOPPER-Q-78x60</t>
  </si>
  <si>
    <t>B0CSFR6FGP</t>
  </si>
  <si>
    <t>SC-ASF-FIMTTOPPER-Q-78x60</t>
  </si>
  <si>
    <t>SC-F-FIMTTOPPER-Q-78x60</t>
  </si>
  <si>
    <t>SC-M-FIMTTOPPER-Q-78x60</t>
  </si>
  <si>
    <t>SC-FIMTTOPPER-K-72x72</t>
  </si>
  <si>
    <t>B0CSFQ7QWG</t>
  </si>
  <si>
    <t>SC-ASF-FIMTTOPPER-K-72x72</t>
  </si>
  <si>
    <t>SC-F-FIMTTOPPER-K-72x72</t>
  </si>
  <si>
    <t>SC-M-FIMTTOPPER-K-72x72</t>
  </si>
  <si>
    <t>SC-FIMTTOPPER-K-75x72</t>
  </si>
  <si>
    <t>B0D2X535C4</t>
  </si>
  <si>
    <t>SC-ASF-FIMTTOPPER-K-75x72</t>
  </si>
  <si>
    <t>SC-F-FIMTTOPPER-K-75x72</t>
  </si>
  <si>
    <t>SC-M-FIMTTOPPER-K-75x72</t>
  </si>
  <si>
    <t>SC-FIMTTOPPER-K-78x72</t>
  </si>
  <si>
    <t>B0CSFQGCVQ</t>
  </si>
  <si>
    <t>SC-ASF-FIMTTOPPER-K-78x72</t>
  </si>
  <si>
    <t>SC-F-FIMTTOPPER-K-78x72</t>
  </si>
  <si>
    <t>SC-M-FIMTTOPPER-K-78x72</t>
  </si>
  <si>
    <t>SC-BABY-S-48x24x4</t>
  </si>
  <si>
    <t>B07Y37P1T3</t>
  </si>
  <si>
    <t>SC-FLEX-48x24x4</t>
  </si>
  <si>
    <t>scbaby_48244</t>
  </si>
  <si>
    <t>SC-BABY48244</t>
  </si>
  <si>
    <t>SC-M-BABY-S-48x24x4</t>
  </si>
  <si>
    <t>FU1844867-S-PM41515</t>
  </si>
  <si>
    <t>SC-BABY-S-52x28x4</t>
  </si>
  <si>
    <t>B07Y36RJJ2</t>
  </si>
  <si>
    <t>SC-FLEX-52x28x4</t>
  </si>
  <si>
    <t>SC-SF-52x28x4</t>
  </si>
  <si>
    <t>scbaby_58284</t>
  </si>
  <si>
    <t>SC-BABY58284</t>
  </si>
  <si>
    <t>SC-M-BABY-S-52x28x4</t>
  </si>
  <si>
    <t>FU1844868-S-PM41515</t>
  </si>
  <si>
    <t>SC-PROT-S-72x36</t>
  </si>
  <si>
    <t>B0822W49Z9</t>
  </si>
  <si>
    <t>SC-ASF-P-72x36</t>
  </si>
  <si>
    <t>SCMP7236</t>
  </si>
  <si>
    <t>SC-F-PROT-S-72x36</t>
  </si>
  <si>
    <t>SC-M-PROT-S-72x36</t>
  </si>
  <si>
    <t>SC-PROT-S-75x36</t>
  </si>
  <si>
    <t>B0822V9JY4</t>
  </si>
  <si>
    <t>SC-ASF-P-75x36</t>
  </si>
  <si>
    <t>SCMP7536</t>
  </si>
  <si>
    <t>SCPROS75x36</t>
  </si>
  <si>
    <t>SC-M-PROT-S-75x36</t>
  </si>
  <si>
    <t>SC-PROT-S-78x36</t>
  </si>
  <si>
    <t>B0822XQZVK</t>
  </si>
  <si>
    <t>SC-ASF-P-78x36</t>
  </si>
  <si>
    <t>SCMP7836</t>
  </si>
  <si>
    <t>P7836</t>
  </si>
  <si>
    <t>SC-M-PROT-S-78x36</t>
  </si>
  <si>
    <t>SC-PROT-S-BL-72x36</t>
  </si>
  <si>
    <t>B0DVH48RPM</t>
  </si>
  <si>
    <t>SC-A-PROT-S-BL-72x36</t>
  </si>
  <si>
    <t>SC-F-PROT-S-BL-72x36</t>
  </si>
  <si>
    <t>SC-M-PROT-S-BL-72x36</t>
  </si>
  <si>
    <t>SC-PROT-S-BL-75x36</t>
  </si>
  <si>
    <t>B0DVGTPZRJ</t>
  </si>
  <si>
    <t>SC-A-PROT-S-BL-75x36</t>
  </si>
  <si>
    <t>SC-F-PROT-S-BL-75x36</t>
  </si>
  <si>
    <t>SC-M-PROT-S-BL-75x36</t>
  </si>
  <si>
    <t>SC-PROT-S-BL-78x36</t>
  </si>
  <si>
    <t>B0DVH1BPJR</t>
  </si>
  <si>
    <t>SC-A-PROT-S-BL-78x36</t>
  </si>
  <si>
    <t>SC-F-PROT-S-BL-78x36</t>
  </si>
  <si>
    <t>SC-M-PROT-S-BL-78x36</t>
  </si>
  <si>
    <t>SC-PROT-D-72x48</t>
  </si>
  <si>
    <t>B0822VTPQ4</t>
  </si>
  <si>
    <t>SC-ASF-P-72x48</t>
  </si>
  <si>
    <t>SCMP7248</t>
  </si>
  <si>
    <t>SC-F-P-72x48</t>
  </si>
  <si>
    <t>SC-M-PROT-D-72x48</t>
  </si>
  <si>
    <t>SC-PROT-D-75x48</t>
  </si>
  <si>
    <t>B0822XBCF1</t>
  </si>
  <si>
    <t>SC-ASF-P-75x48</t>
  </si>
  <si>
    <t>SCMP7548</t>
  </si>
  <si>
    <t>SCPROD75x48</t>
  </si>
  <si>
    <t>SC-M-PROT-D-75x48</t>
  </si>
  <si>
    <t>SC-PROT-D-78x48</t>
  </si>
  <si>
    <t>B0822VYH6P</t>
  </si>
  <si>
    <t>SC-ASF-P-78x48</t>
  </si>
  <si>
    <t>SCMP7848</t>
  </si>
  <si>
    <t>SC-F-PROT-D-78x48</t>
  </si>
  <si>
    <t>SC-M-PROT-D-78x48</t>
  </si>
  <si>
    <t>SC-PROT-D-BL-72x48</t>
  </si>
  <si>
    <t>B0FVS4C7Z9</t>
  </si>
  <si>
    <t>SC-F-PROT-D-BL-72x48</t>
  </si>
  <si>
    <t>SC-M-PROT-D-BL-72x48</t>
  </si>
  <si>
    <t>SC-PROT-D-BL-75x48</t>
  </si>
  <si>
    <t>B0FVS9RRLZ</t>
  </si>
  <si>
    <t>SC-FLEX-PROT-D-BL-75x48</t>
  </si>
  <si>
    <t>SC-F-PROT-D-BL-75x48</t>
  </si>
  <si>
    <t>SC-M-PROT-D-BL-75x48</t>
  </si>
  <si>
    <t>SC-PROT-D-BL-78x48</t>
  </si>
  <si>
    <t>B0DVGXVF8N</t>
  </si>
  <si>
    <t>SC-A-PROT-D-BL-78x48</t>
  </si>
  <si>
    <t>SC-F-PROT-D-BL-78x48</t>
  </si>
  <si>
    <t>SC-M-PROT-D-BL-78x48</t>
  </si>
  <si>
    <t>SC-PROT-Q-72x60</t>
  </si>
  <si>
    <t>B0822X8LZY</t>
  </si>
  <si>
    <t>SC-ASF-P-72x60</t>
  </si>
  <si>
    <t>SCMP7260</t>
  </si>
  <si>
    <t>SC-F-PROT-Q-72x60</t>
  </si>
  <si>
    <t>SC-M-PROT-Q-72x60</t>
  </si>
  <si>
    <t>SC-PROT-Q-75x60</t>
  </si>
  <si>
    <t>B0822WH47T</t>
  </si>
  <si>
    <t>SC-ASF-P-75x60</t>
  </si>
  <si>
    <t>SCMP7560</t>
  </si>
  <si>
    <t>SC-F-PROT-Q-75x60</t>
  </si>
  <si>
    <t>SC-M-PROT-Q-75x60</t>
  </si>
  <si>
    <t>SC-PROT-Q-78x60</t>
  </si>
  <si>
    <t>B0822WJWGS</t>
  </si>
  <si>
    <t>SC-ASF-P-78x60</t>
  </si>
  <si>
    <t>SCMP7860</t>
  </si>
  <si>
    <t>SC-F-PROT-Q-78x60</t>
  </si>
  <si>
    <t>SC-M-PROT-Q-78x60</t>
  </si>
  <si>
    <t>SC-PROT-Q-72x66</t>
  </si>
  <si>
    <t>B0822VBPYC</t>
  </si>
  <si>
    <t>SC-ASF-P-72x66</t>
  </si>
  <si>
    <t>SCMP7266</t>
  </si>
  <si>
    <t>SC-F-PROT-Q-72x66</t>
  </si>
  <si>
    <t>SC-M-PROT-Q-72x66</t>
  </si>
  <si>
    <t>SC-PROT-Q-75x66</t>
  </si>
  <si>
    <t>B0822V9JY7</t>
  </si>
  <si>
    <t>SC-ASF-P-75x66</t>
  </si>
  <si>
    <t>SC-FLEX-P-75x66</t>
  </si>
  <si>
    <t>SCMP7566</t>
  </si>
  <si>
    <t>SC-F-PROT-Q-75x66</t>
  </si>
  <si>
    <t>SC-M-PROT-Q-75x66</t>
  </si>
  <si>
    <t>SC-PROT-Q-78x66</t>
  </si>
  <si>
    <t>B0822XLRG1</t>
  </si>
  <si>
    <t>SC-ASF-P-78x66</t>
  </si>
  <si>
    <t>SCMP7866</t>
  </si>
  <si>
    <t>SC-F-PROT-Q-78x66</t>
  </si>
  <si>
    <t>SC-M-PROT-Q-78x66</t>
  </si>
  <si>
    <t>SC-PROT-Q-BL-72x60</t>
  </si>
  <si>
    <t>B0DVH2MHQM</t>
  </si>
  <si>
    <t>SC-A-PROT-Q-BL-72x60</t>
  </si>
  <si>
    <t>SC-F-PROT-Q-BL-72x60</t>
  </si>
  <si>
    <t>SC-M-PROT-Q-BL-72x60</t>
  </si>
  <si>
    <t>SC-PROT-Q-BL-75x60</t>
  </si>
  <si>
    <t>B0DVGLV9DT</t>
  </si>
  <si>
    <t>SC-A-PROT-Q-BL-75x60</t>
  </si>
  <si>
    <t>SC-F-PROT-Q-BL-75x60</t>
  </si>
  <si>
    <t>SC-M-PROT-Q-BL-75x60</t>
  </si>
  <si>
    <t>SC-PROT-Q-BL-78x60</t>
  </si>
  <si>
    <t>B0DVGL2X5K</t>
  </si>
  <si>
    <t>SC-A-PROT-Q-BL-78x60</t>
  </si>
  <si>
    <t>SC-F-PROT-Q-BL-78x60</t>
  </si>
  <si>
    <t>SC-M-PROT-Q-BL-78x60</t>
  </si>
  <si>
    <t>SC-PROT-Q-BL-72x66</t>
  </si>
  <si>
    <t>B0DVGZ9YHS</t>
  </si>
  <si>
    <t>SC-A-PROT-Q-BL-72x66</t>
  </si>
  <si>
    <t>SC-F-PROT-Q-BL-72x66</t>
  </si>
  <si>
    <t>SC-M-PROT-Q-BL-72x66</t>
  </si>
  <si>
    <t>SC-PROT-Q-BL-75x66</t>
  </si>
  <si>
    <t>B0DVGDKPSL</t>
  </si>
  <si>
    <t>SC-A-PROT-Q-BL-75x66</t>
  </si>
  <si>
    <t>SC-F-PROT-Q-BL-75x66</t>
  </si>
  <si>
    <t>SC-M-PROT-Q-BL-75x66</t>
  </si>
  <si>
    <t>SC-PROT-Q-BL-78x66</t>
  </si>
  <si>
    <t>B0DVGFQXHR</t>
  </si>
  <si>
    <t>SC-A-PROT-Q-BL-78x66</t>
  </si>
  <si>
    <t>SC-F-PROT-Q-BL-78x66</t>
  </si>
  <si>
    <t>SC-M-PROT-Q-BL-78x66</t>
  </si>
  <si>
    <t>SC-PROT-K-72x72</t>
  </si>
  <si>
    <t>B0822WG76C</t>
  </si>
  <si>
    <t>SC-ASF-P-72x72</t>
  </si>
  <si>
    <t>SCMP7272</t>
  </si>
  <si>
    <t>SC-F-PROT-K-72x72</t>
  </si>
  <si>
    <t>SC-M-PROT-K-72x72</t>
  </si>
  <si>
    <t>SC-PROT-K-75x72</t>
  </si>
  <si>
    <t>B0822W6ZCG</t>
  </si>
  <si>
    <t>SC-ASF-P-75x72</t>
  </si>
  <si>
    <t>SCMP7572</t>
  </si>
  <si>
    <t>SC-F-PROT-K-75x72</t>
  </si>
  <si>
    <t>SC-M-PROT-K-75x72</t>
  </si>
  <si>
    <t>SC-PROT-K-78x72</t>
  </si>
  <si>
    <t>B0822WWZRV</t>
  </si>
  <si>
    <t>SC-ASF-P-78x72</t>
  </si>
  <si>
    <t>SCMP7872</t>
  </si>
  <si>
    <t>SCPROK78x72</t>
  </si>
  <si>
    <t>SC-M-PROT-K-78x72</t>
  </si>
  <si>
    <t>SC-PROT-K-84x72</t>
  </si>
  <si>
    <t>B0FV89YKNN</t>
  </si>
  <si>
    <t>SC-ASF-PROT-K-84x72</t>
  </si>
  <si>
    <t>SC-F-PROT-K-84x72</t>
  </si>
  <si>
    <t>SC-M-PROT-K-84x72</t>
  </si>
  <si>
    <t>SC-PROT-K-BL-72x72</t>
  </si>
  <si>
    <t>B0DVGX3R99</t>
  </si>
  <si>
    <t>SC-A-PROT-K-BL-72x72</t>
  </si>
  <si>
    <t>SC-F-PROT-K-BL-72x72</t>
  </si>
  <si>
    <t>SC-M-PROT-K-BL-72x72</t>
  </si>
  <si>
    <t>SC-PROT-K-BL-75x72</t>
  </si>
  <si>
    <t>B0DVGL29CZ</t>
  </si>
  <si>
    <t>SC-A-PROT-K-BL-75x72</t>
  </si>
  <si>
    <t>SC-F-PROT-K-BL-75x72</t>
  </si>
  <si>
    <t>SC-M-PROT-K-BL-75x72</t>
  </si>
  <si>
    <t>SC-PROT-K-BL-78x72</t>
  </si>
  <si>
    <t>B0DVGNY2GM</t>
  </si>
  <si>
    <t>SC-A-PROT-K-BL-78x72</t>
  </si>
  <si>
    <t>SC-F-PROT-K-BL-78x72</t>
  </si>
  <si>
    <t>SC-M-PROT-K-BL-78x72</t>
  </si>
  <si>
    <t>SC-GRCUDPILWSET-S-50x19</t>
  </si>
  <si>
    <t>SC-A-BDPILW-19x50</t>
  </si>
  <si>
    <t>SC-DCPILWSET1-BAM-25x15</t>
  </si>
  <si>
    <t>B0F1937F9V</t>
  </si>
  <si>
    <t>SC-ASF-DCPILWSET1-BAM-25x15</t>
  </si>
  <si>
    <t>SC-A-DCPILWSET1-BAM-25x15</t>
  </si>
  <si>
    <t>SC-F-DCPILWSET1-BAM-25x15</t>
  </si>
  <si>
    <t>SC-M-DCPILWSET1-BAM-25x15</t>
  </si>
  <si>
    <t>SC-LITEPILWPSET2-S-27X17</t>
  </si>
  <si>
    <t>B0CV17V482</t>
  </si>
  <si>
    <t>SC-A-LITEPILWPSET2-S-27X17</t>
  </si>
  <si>
    <t>SC-AS-LITEPILWPSET2-S-27X17</t>
  </si>
  <si>
    <t>SC-F-LITEPILWPSET2-S-27X17</t>
  </si>
  <si>
    <t>SC-M-LITEPILWPSET2-S-27X17</t>
  </si>
  <si>
    <t>SC-CUSHIONFLRSET5-S-16x16</t>
  </si>
  <si>
    <t>SC-CUSHIONFLRSET5-M-18x18</t>
  </si>
  <si>
    <t>SC-CUSHIONFLRSET2-L-24x24</t>
  </si>
  <si>
    <t>SC-SUPRSOFTPILW-S-25x16</t>
  </si>
  <si>
    <t>B0CRHS55FC</t>
  </si>
  <si>
    <t>SC-ASF-SUPRSOFTPILW-S-25x16</t>
  </si>
  <si>
    <t>SC-A-SUPRSOFTPILW-S-25x16</t>
  </si>
  <si>
    <t>SC-F-SUPRSOFTPILW-S-25x16</t>
  </si>
  <si>
    <t>SC-M-SUPRSOFTPILW-S-25x16</t>
  </si>
  <si>
    <t>SC-CLPILW-S-27x18</t>
  </si>
  <si>
    <t>B08KT1QRHJ</t>
  </si>
  <si>
    <t>SC-A-ZIPILW-18x27</t>
  </si>
  <si>
    <t>SC-ASF-ZIPILW-18x27</t>
  </si>
  <si>
    <t>SC-F-CLPILW27x18</t>
  </si>
  <si>
    <t>SC-M-CLPILW-S-27x18</t>
  </si>
  <si>
    <t>FU1885162-S-PM41515</t>
  </si>
  <si>
    <t>SC-CLPILWSET2-S-27x18</t>
  </si>
  <si>
    <t>B08R7MX63N</t>
  </si>
  <si>
    <t>SC-A-ZIPILWS2-27x18</t>
  </si>
  <si>
    <t>SC-ASF-ZIPILWS2-27x18</t>
  </si>
  <si>
    <t>SC-F-S2CLPILW27x18</t>
  </si>
  <si>
    <t>SC-M-CLPILWSET2-S-27x18</t>
  </si>
  <si>
    <t>FU1885163-S-PM41515</t>
  </si>
  <si>
    <t>SC-CLPILWSET4-S-27x18</t>
  </si>
  <si>
    <t>B08R8GN8KH</t>
  </si>
  <si>
    <t>SC-ASF-ZIPILWS4-27x18</t>
  </si>
  <si>
    <t>SC-A-ZIPILWS4-27x18</t>
  </si>
  <si>
    <t>SC-F-S4CLPILW27x18</t>
  </si>
  <si>
    <t>SC-M-CLPILWSET4-S-27x18</t>
  </si>
  <si>
    <t>FU1885164-S-PM41515</t>
  </si>
  <si>
    <t>SC-CLPILW-P-32x20</t>
  </si>
  <si>
    <t>SC-ASF-ZIPILW-20x32</t>
  </si>
  <si>
    <t>SC-A-ZIPILW-20x32</t>
  </si>
  <si>
    <t>SC-FK-ZIPILW-20x32</t>
  </si>
  <si>
    <t>SC-CLPILWSET2-P-32x20</t>
  </si>
  <si>
    <t>SC-ASF-ZIPILWS2-20x32</t>
  </si>
  <si>
    <t>SC-F-S2CLPILW32x20</t>
  </si>
  <si>
    <t>SC-CLPILWSET4-P-32x20</t>
  </si>
  <si>
    <t>B08V53Z18N</t>
  </si>
  <si>
    <t>SC-ASF-ZIPILWS4-20x32</t>
  </si>
  <si>
    <t>SC-A-ZIPILWS4-20x32</t>
  </si>
  <si>
    <t>SC-F-S4CLPILW32x20</t>
  </si>
  <si>
    <t>SC-M-CLPILWSET4-P-32x20</t>
  </si>
  <si>
    <t>SC-HYBPILW-S-26X16</t>
  </si>
  <si>
    <t>B09XF5SRRD</t>
  </si>
  <si>
    <t>SC-A-HYBPILW-S-26x16</t>
  </si>
  <si>
    <t>SC-ASF-HYBPILW-S-26x16</t>
  </si>
  <si>
    <t>SC-FK-HYBPILW-S-26x16</t>
  </si>
  <si>
    <t>SC-M-HYBPILW-S-26x16</t>
  </si>
  <si>
    <t>FU1985091-S-PM41515</t>
  </si>
  <si>
    <t>SC-HYBPILWSET2-S-26x16</t>
  </si>
  <si>
    <t>B09XF52Y5P</t>
  </si>
  <si>
    <t>SC-A-HYBPILWSET2-S-26x16</t>
  </si>
  <si>
    <t>SC-ASF-HYBPILWSET2-S-26x16</t>
  </si>
  <si>
    <t>SC-F-HYBPILWSET2-S-26x16</t>
  </si>
  <si>
    <t>SC-M-HYBPILWSET2-S-26x16</t>
  </si>
  <si>
    <t>FU1985092-S-PM41515</t>
  </si>
  <si>
    <t>SC-STD-LTX-BAM-24x16</t>
  </si>
  <si>
    <t>SC-ASF-STD-LTX-BAM-24x16</t>
  </si>
  <si>
    <t>SC-A-STD-LTX-BAM-24x16</t>
  </si>
  <si>
    <t>SC-F-STD-LTX-BAM-24x16</t>
  </si>
  <si>
    <t>SC-CTR-LTX-BAM-24x16</t>
  </si>
  <si>
    <t>B0F2N7Q9H3</t>
  </si>
  <si>
    <t>SC-ASF-CTR-LTX-BAM-24x16</t>
  </si>
  <si>
    <t>SC-A-CTR-LTX-BAM-24x16</t>
  </si>
  <si>
    <t>SC-F-CTR-LTX-BAM-24x16</t>
  </si>
  <si>
    <t>SC-M-CTR-LTX-BAM-24x16</t>
  </si>
  <si>
    <t>SC-MFPILW-CLT-S-25x16</t>
  </si>
  <si>
    <t>B09XF967YW</t>
  </si>
  <si>
    <t>SC-ASF-MFPILW-CLT-S-25x16</t>
  </si>
  <si>
    <t>SC-A-MFPILW-CLT-S-25x16</t>
  </si>
  <si>
    <t>SC-M-MFPILW-CLT-S-25x16</t>
  </si>
  <si>
    <t>FU1985097-S-PM41515</t>
  </si>
  <si>
    <t>SC-MFPILWSET2-CLT-S-25x16</t>
  </si>
  <si>
    <t>B09XF8H7BK</t>
  </si>
  <si>
    <t>SC-ASF-MFPILWS2-CLT-S-25x16</t>
  </si>
  <si>
    <t>SC-A-MFPILWS2-CLT-S-25x16</t>
  </si>
  <si>
    <t>SC-F-MFPILWS2-CLT-S-25x16</t>
  </si>
  <si>
    <t>SC-M-MFPILWSET2-CLT-S-25x16</t>
  </si>
  <si>
    <t>FU1985098-S-PM41515</t>
  </si>
  <si>
    <t>SC-MFPILWSET4-CLT-S-25x16</t>
  </si>
  <si>
    <t>SC-MFPILW-CLT-P-28x18</t>
  </si>
  <si>
    <t>B09XFDCN7W</t>
  </si>
  <si>
    <t>SC-ASF-MFPILW-CLT-P-28x18</t>
  </si>
  <si>
    <t>SC-F-MFPILW-CLT-P-28x18</t>
  </si>
  <si>
    <t>SC-M-MFPILW-CLT-P-28x18</t>
  </si>
  <si>
    <t>FU1985095-S-PM41515</t>
  </si>
  <si>
    <t>SC-MFPILWSET2-CLT-P-28x18</t>
  </si>
  <si>
    <t>SC-MFPILWSET4-CLT-P-28x18</t>
  </si>
  <si>
    <t>SC-MFPILW-CLT-C-25x16</t>
  </si>
  <si>
    <t>B09XFFBND4</t>
  </si>
  <si>
    <t>SC-ASF-CON-MFPILW-CLT-25x16</t>
  </si>
  <si>
    <t>SC-A-CON-MFPILW-CLT-25x16</t>
  </si>
  <si>
    <t>SC-F-CON-MFPILW-CLT-24x14</t>
  </si>
  <si>
    <t>SC-M-MFPILW-CLT-C-25x16</t>
  </si>
  <si>
    <t>FU1985088-S-PM41515</t>
  </si>
  <si>
    <t>SC-MFPILWSET2-CLT-C-25x16</t>
  </si>
  <si>
    <t>B09XFCSDC2</t>
  </si>
  <si>
    <t>SC-A-CON-MFPILWS2-CLT-25x16</t>
  </si>
  <si>
    <t>SC-M-MFPILWSET2-CLT-C-25x16</t>
  </si>
  <si>
    <t>SC-BKNECKPILW-S-10x9</t>
  </si>
  <si>
    <t>B0CJ9G9XVQ</t>
  </si>
  <si>
    <t>SC-ASF-BKNECKPILW-S-10x9</t>
  </si>
  <si>
    <t>SC-M-BKNECKPILW-S-10x9</t>
  </si>
  <si>
    <t>SC-Taurus-Recliner-Bed-Single78x36</t>
  </si>
  <si>
    <t>SC-Taurus-Recliner-Bed-Queen78x60</t>
  </si>
  <si>
    <t>SC-Taurus-Recliner-Bed-King78x72</t>
  </si>
  <si>
    <t>SC-Katachi-Double-Bed-72x48</t>
  </si>
  <si>
    <t>SC-Katachi-Double-Bed-78x48</t>
  </si>
  <si>
    <t>SC-Katachi-Queen-Bed-78x60</t>
  </si>
  <si>
    <t>SC-Katachi-King-Bed-72x72</t>
  </si>
  <si>
    <t>SC-Katachi-King-Bed-78x72</t>
  </si>
  <si>
    <t>SC-Ohayo-Single-Bed-78x36</t>
  </si>
  <si>
    <t>SC-Ohayo-Double-Bed-72x48</t>
  </si>
  <si>
    <t>SC-Ohayo-Double-Bed-78x48</t>
  </si>
  <si>
    <t>SC-Ohayo-Queen-Bed-72x60</t>
  </si>
  <si>
    <t>SC-Ohayo-Queen-Bed-75x60</t>
  </si>
  <si>
    <t>SC-Ohayo-Queen-Bed-78x60</t>
  </si>
  <si>
    <t>SC-Ohayo-King-Bed-72x72</t>
  </si>
  <si>
    <t>SC-Ohayo-King-Bed-75x72</t>
  </si>
  <si>
    <t>SC-Ohayo-King-Bed-78x72</t>
  </si>
  <si>
    <t>SC-ULTMCVR-S-72x36x8</t>
  </si>
  <si>
    <t>SC-ULTMCVR-S-75x36x8</t>
  </si>
  <si>
    <t>SC-ULTMCVR-S-78x36x8</t>
  </si>
  <si>
    <t>SC-ULTMCVR-S-72x36x10</t>
  </si>
  <si>
    <t>SC-ULTMCVR-S-75x36x10</t>
  </si>
  <si>
    <t>SC-ULTMCVR-S-78x36x10</t>
  </si>
  <si>
    <t>SC-ULTMCVR-D-72x48x8</t>
  </si>
  <si>
    <t>SC-ULTMCVR-D-75x48x8</t>
  </si>
  <si>
    <t>SC-ULTMCVR-D-78x48x8</t>
  </si>
  <si>
    <t>SC-ULTMCVR-D-72x48x10</t>
  </si>
  <si>
    <t>SC-ULTMCVR-D-75x48x10</t>
  </si>
  <si>
    <t>SC-ULTMCVR-D-78x48x10</t>
  </si>
  <si>
    <t>SC-ULTMCVR-Q-72x60x8</t>
  </si>
  <si>
    <t>SC-ULTMCVR-Q-75x60x8</t>
  </si>
  <si>
    <t>SC-ULTMCVR-Q-78x60x8</t>
  </si>
  <si>
    <t>SC-ULTMCVR-Q-72x60x10</t>
  </si>
  <si>
    <t>SC-ULTMCVR-Q-75x60x10</t>
  </si>
  <si>
    <t>SC-ULTMCVR-Q-78x60x10</t>
  </si>
  <si>
    <t>SC-ULTMCVR-K-72x72x8</t>
  </si>
  <si>
    <t>SC-ULTMCVR-K-75x72x8</t>
  </si>
  <si>
    <t>SC-ULTMCVR-K-78x72x8</t>
  </si>
  <si>
    <t>SC-ULTMCVR-K-84x72x8</t>
  </si>
  <si>
    <t>SC-ULTMCVR-K-72x72x10</t>
  </si>
  <si>
    <t>SC-ULTMCVR-K-75x72x10</t>
  </si>
  <si>
    <t>SC-ULTMCVR-K-78x72x10</t>
  </si>
  <si>
    <t>SC-ORGCVR-S-72x36x6</t>
  </si>
  <si>
    <t>SC-ORGCVR-S-75x36x6</t>
  </si>
  <si>
    <t>SC-ORGCVR-S-78x36x6</t>
  </si>
  <si>
    <t>SC-ORGCVR-S-72x36x8</t>
  </si>
  <si>
    <t>SC-ORGCVR-S-75x36x8</t>
  </si>
  <si>
    <t>SC-ORGCVR-S-78x36x8</t>
  </si>
  <si>
    <t>SC-ORGCVR-S-72x36x10</t>
  </si>
  <si>
    <t>SC-ORGCVR-S-75x36x10</t>
  </si>
  <si>
    <t>SC-ORGCVR-S-78x36x10</t>
  </si>
  <si>
    <t>SC-ORGCVR-D-72x48x6</t>
  </si>
  <si>
    <t>SC-ORGCVR-D-75x48x6</t>
  </si>
  <si>
    <t>SC-ORGCVR-D-78x48x6</t>
  </si>
  <si>
    <t>SC-ORGCVR-D-72x48x8</t>
  </si>
  <si>
    <t>SC-ORGCVR-D-75x48x8</t>
  </si>
  <si>
    <t>SC-ORGCVR-D-78x48x8</t>
  </si>
  <si>
    <t>SC-ORGCVR-D-72x48x10</t>
  </si>
  <si>
    <t>SC-ORGCVR-D-75x48x10</t>
  </si>
  <si>
    <t>SC-ORGCVR-D-78x48x10</t>
  </si>
  <si>
    <t>SC-ORGCVR-Q-72x60x6</t>
  </si>
  <si>
    <t>SC-ORGCVR-Q-75x60x6</t>
  </si>
  <si>
    <t>SC-ORGCVR-Q-78x60x6</t>
  </si>
  <si>
    <t>SC-ORGCVR-Q-72x60x8</t>
  </si>
  <si>
    <t>SC-ORGCVR-Q-75x60x8</t>
  </si>
  <si>
    <t>SC-ORGCVR-Q-78x60x8</t>
  </si>
  <si>
    <t>SC-ORGCVR-Q-72x60x10</t>
  </si>
  <si>
    <t>SC-ORGCVR-Q-75x60x10</t>
  </si>
  <si>
    <t>SC-ORGCVR-Q-78x60x10</t>
  </si>
  <si>
    <t>SC-ORGCVR-K-72x72x6</t>
  </si>
  <si>
    <t>SC-ORGCVR-K-75x72x6</t>
  </si>
  <si>
    <t>SC-ORGCVR-K-78x72x6</t>
  </si>
  <si>
    <t>SC-ORGCVR-K-72x72x8</t>
  </si>
  <si>
    <t>SC-ORGCVR-K-75x72x8</t>
  </si>
  <si>
    <t>SC-ORGCVR-K-78x72x8</t>
  </si>
  <si>
    <t>SC-ORGCVR-K-72x72x10</t>
  </si>
  <si>
    <t>SC-ORGCVR-K-75x72x10</t>
  </si>
  <si>
    <t>SC-ORGCVR-K-78x72x10</t>
  </si>
  <si>
    <t>SC-HYBCVR-S-72x36x6</t>
  </si>
  <si>
    <t>SC-HYBCVR-S-75x36x6</t>
  </si>
  <si>
    <t>SC-HYBCVR-S-78x36x6</t>
  </si>
  <si>
    <t>SC-HYBCVR-S-72x36x8</t>
  </si>
  <si>
    <t>SC-HYBCVR-S-75x36x8</t>
  </si>
  <si>
    <t>SC-HYBCVR-S-78x36x8</t>
  </si>
  <si>
    <t>SC-HYBCVR-D-72x48x6</t>
  </si>
  <si>
    <t>SC-HYBCVR-D-75x48x6</t>
  </si>
  <si>
    <t>SC-HYBCVR-D-78x48x6</t>
  </si>
  <si>
    <t>SC-HYBCVR-D-72x48x8</t>
  </si>
  <si>
    <t>SC-HYBCVR-D-75x48x8</t>
  </si>
  <si>
    <t>SC-HYBCVR-D-78x48x8</t>
  </si>
  <si>
    <t>SC-HYBCVR-Q-72x60x6</t>
  </si>
  <si>
    <t>SC-HYBCVR-Q-75x60x6</t>
  </si>
  <si>
    <t>SC-HYBCVR-Q-78x60x6</t>
  </si>
  <si>
    <t>SC-HYBCVR-Q-72x60x8</t>
  </si>
  <si>
    <t>SC-HYBCVR-Q-75x60x8</t>
  </si>
  <si>
    <t>SC-HYBCVR-Q-78x60x8</t>
  </si>
  <si>
    <t>SC-HYBCVR-K-72x72x6</t>
  </si>
  <si>
    <t>SC-HYBCVR-K-75x72x6</t>
  </si>
  <si>
    <t>SC-HYBCVR-K-78x72x6</t>
  </si>
  <si>
    <t>SC-HYBCVR-K-72x72x8</t>
  </si>
  <si>
    <t>SC-HYBCVR-K-75x72x8</t>
  </si>
  <si>
    <t>SC-HYBCVR-K-78x72x8</t>
  </si>
  <si>
    <t>SC-PETBEDORTHO-M-28x26</t>
  </si>
  <si>
    <t>B091CWJV2X</t>
  </si>
  <si>
    <t>SC-ASF-PETORTHO-M-28x26</t>
  </si>
  <si>
    <t>SC-A-PETORTHO-M-28x26</t>
  </si>
  <si>
    <t>SC-F-PETORTHO-M-28x26</t>
  </si>
  <si>
    <t>SC-M-PETBEDORTHO-M-28x26</t>
  </si>
  <si>
    <t>PE2004936-S-PM41515</t>
  </si>
  <si>
    <t>SC-PETBEDORTHO-L-48x24</t>
  </si>
  <si>
    <t>B091CVV1CN</t>
  </si>
  <si>
    <t>SC-ASF-PETORTHO-L-24x48</t>
  </si>
  <si>
    <t>SC-A-PETORTHO-L-24x48</t>
  </si>
  <si>
    <t>SC-F-PETORTHO-L-24x48</t>
  </si>
  <si>
    <t>SC-M-PETBEDORTHO-L-48x24</t>
  </si>
  <si>
    <t>PE2004937-S-PM41515</t>
  </si>
  <si>
    <t>SC-PETBEDORTHO-XL-52x28</t>
  </si>
  <si>
    <t>SC-F-PETORTHO-XL-28x52</t>
  </si>
  <si>
    <t>PE2004938-S-PM41515</t>
  </si>
  <si>
    <t>SC-PETBEDORTHO-M.Red-M-28X26</t>
  </si>
  <si>
    <t>B09XXXNNJP</t>
  </si>
  <si>
    <t>SC-ASF-PETBEDORTHO-M.Red-M-28X26</t>
  </si>
  <si>
    <t>SC-M-PETBEDORTHO-M.Red-M-28X26</t>
  </si>
  <si>
    <t>PE2004948-S-PM41515</t>
  </si>
  <si>
    <t>SC-PETBEDORTHO-M.Red-L-48X24</t>
  </si>
  <si>
    <t>B0FSTDKK48</t>
  </si>
  <si>
    <t>SC-AF-PETBEDORTHO-M.Red-L-48x24</t>
  </si>
  <si>
    <t>SC-M-PETBEDORTHO-M.Red-L-48X24</t>
  </si>
  <si>
    <t>PE2004949-S-PM41515</t>
  </si>
  <si>
    <t>SC-PETBEDORTHO-M.Red-XL-52X28</t>
  </si>
  <si>
    <t>B09XXW2K8T</t>
  </si>
  <si>
    <t>SC-ASF-PETBEDORTHO-M.Red-XL-52X28</t>
  </si>
  <si>
    <t>SC-M-PETBEDORTHO-M.Red-XL-52X28</t>
  </si>
  <si>
    <t>PE2004950-S-PM41515</t>
  </si>
  <si>
    <t>SC-PETBEDORTHO-N.Blue-M-28X26</t>
  </si>
  <si>
    <t>B09XXRKQN8</t>
  </si>
  <si>
    <t>SC-ASF-PETBEDORTHO-N.Blue-M-28X26</t>
  </si>
  <si>
    <t>SC-M-PETBEDORTHO-N.Blue-M-28X26</t>
  </si>
  <si>
    <t>PE2004945-S-PM41515</t>
  </si>
  <si>
    <t>SC-PETBEDORTHO-N.Blue-L-48X24</t>
  </si>
  <si>
    <t>B0FSTF72CC</t>
  </si>
  <si>
    <t>SC-AF-PETBEDORTHO-N.Blue-L-48x24</t>
  </si>
  <si>
    <t>SC-M-PETBEDORTHO-N.Blue-L-48X24</t>
  </si>
  <si>
    <t>PE2004946-S-PM41515</t>
  </si>
  <si>
    <t>SC-PETBEDORTHO-N.Blue-XL-52X28</t>
  </si>
  <si>
    <t>B0FST5VM2L</t>
  </si>
  <si>
    <t>SC-AF-PETBEDORTHO-N.Blue-XL-52x28</t>
  </si>
  <si>
    <t>SC-M-PETBEDORTHO-N.Blue-XL-52X28</t>
  </si>
  <si>
    <t>PE2004947-S-PM41515</t>
  </si>
  <si>
    <t>SC-CVR-PETBEDORTHO-M.Red-L-48X24</t>
  </si>
  <si>
    <t>SC-CVR-PETBEDORTHO-M.Red-XL-52X28</t>
  </si>
  <si>
    <t>SC-CVR-PETBEDORTHO-N.Blue-L-48X24</t>
  </si>
  <si>
    <t>SC-CVR-PETBEDORTHO-N.Blue-XL-52X28</t>
  </si>
  <si>
    <t>SC-PRPNFTDSHEET-S-72x36</t>
  </si>
  <si>
    <t>B0CWD4B59K</t>
  </si>
  <si>
    <t>SC-ASF-PRPNFTDSHEET-S-72x36</t>
  </si>
  <si>
    <t>SC-A-PRPNFTDSHEET-S-72x36</t>
  </si>
  <si>
    <t>SC-F-PRPNFTDSHEET-S-72x36</t>
  </si>
  <si>
    <t>SC-M-PRPNFTDSHEET-S-72x36</t>
  </si>
  <si>
    <t>SC-SLSTFTDSHEET-S-72x36</t>
  </si>
  <si>
    <t>B0CWCYSCT4</t>
  </si>
  <si>
    <t>SC-ASF-SLSTFTDSHEET-S-72x36</t>
  </si>
  <si>
    <t>SC-FLEX-SLSTFTDSHEET-S-72x36</t>
  </si>
  <si>
    <t>SC-A-SLSTFTDSHEET-S-72x36</t>
  </si>
  <si>
    <t>SC-F-SLSTFTDSHEET-S-72x36</t>
  </si>
  <si>
    <t>SC-M-SLSTFTDSHEET-S-72x36</t>
  </si>
  <si>
    <t>SC-OBCHFTDSHEET-S-72x36</t>
  </si>
  <si>
    <t>B0CWD1RQCT</t>
  </si>
  <si>
    <t>SC-ASF-OBCHFTDSHEET-S-72x36</t>
  </si>
  <si>
    <t>SC-A-OBCHFTDSHEET-S-72x36</t>
  </si>
  <si>
    <t>SC-F-OBCHFTDSHEET-S-72x36</t>
  </si>
  <si>
    <t>SC-M-OBCHFTDSHEET-S-72x36</t>
  </si>
  <si>
    <t>SC-DGRFTDSHEET-S-72x36</t>
  </si>
  <si>
    <t>B0CWD26BQM</t>
  </si>
  <si>
    <t>SC-ASF-DGRFTDSHEET-S-72x36</t>
  </si>
  <si>
    <t>SC-A-DGRFTDSHEET-S-72x36</t>
  </si>
  <si>
    <t>SC-F-DGRFTDSHEET-S-72x36</t>
  </si>
  <si>
    <t>SC-M-DGRFTDSHEET-S-72x36</t>
  </si>
  <si>
    <t>SC-TBLFTDSHEET-S-72x36</t>
  </si>
  <si>
    <t>B0CWD8Y3BH</t>
  </si>
  <si>
    <t>SC-ASF-TBLFTDSHEET-S-72x36</t>
  </si>
  <si>
    <t>SC-A-TBLFTDSHEET-S-72x36</t>
  </si>
  <si>
    <t>SC-F-TBLFTDSHEET-S-72x36</t>
  </si>
  <si>
    <t>SC-M-TBLFTDSHEET-S-72x36</t>
  </si>
  <si>
    <t>SC-PRPNFTDSHEET-S-75x36</t>
  </si>
  <si>
    <t>SC-SLSTFTDSHEET-S-75x36</t>
  </si>
  <si>
    <t>SC-OBCHFTDSHEET-S-75x36</t>
  </si>
  <si>
    <t>SC-DGRFTDSHEET-S-75x36</t>
  </si>
  <si>
    <t>SC-TBLFTDSHEET-S-75x36</t>
  </si>
  <si>
    <t>SC-PRPNFTDSHEET-S-78x36</t>
  </si>
  <si>
    <t>SC-SLSTFTDSHEET-S-78x36</t>
  </si>
  <si>
    <t>SC-OBCHFTDSHEET-S-78x36</t>
  </si>
  <si>
    <t>SC-DGRFTDSHEET-S-78x36</t>
  </si>
  <si>
    <t>SC-TBLFTDSHEET-S-78x36</t>
  </si>
  <si>
    <t>SC-PRPNFTDSHEET-D-72x48</t>
  </si>
  <si>
    <t>B0CWD3121X</t>
  </si>
  <si>
    <t>SC-ASF-PRPNFTDSHEET-D-72x48</t>
  </si>
  <si>
    <t>SC-A-PRPNFTDSHEET-D-72x48</t>
  </si>
  <si>
    <t>SC-F-PRPNFTDSHEET-D-72x48</t>
  </si>
  <si>
    <t>SC-M-PRPNFTDSHEET-D-72x48</t>
  </si>
  <si>
    <t>SC-SLSTFTDSHEET-D-72x48</t>
  </si>
  <si>
    <t>B0CWCXHXWW</t>
  </si>
  <si>
    <t>SC-ASF-SLSTFTDSHEET-D-72x48</t>
  </si>
  <si>
    <t>SC-A-SLSTFTDSHEET-D-72x48</t>
  </si>
  <si>
    <t>SC-F-SLSTFTDSHEET-D-72x48</t>
  </si>
  <si>
    <t>SC-M-SLSTFTDSHEET-D-72x48</t>
  </si>
  <si>
    <t>SC-OBCHFTDSHEET-D-72x48</t>
  </si>
  <si>
    <t>B0CWCX6MYZ</t>
  </si>
  <si>
    <t>SC-ASF-OBCHFTDSHEET-D-72x48</t>
  </si>
  <si>
    <t>SC-A-OBCHFTDSHEET-D-72x48</t>
  </si>
  <si>
    <t>SC-F-OBCHFTDSHEET-D-72x48</t>
  </si>
  <si>
    <t>SC-M-OBCHFTDSHEET-D-72x48</t>
  </si>
  <si>
    <t>SC-DGRFTDSHEET-D-72x48</t>
  </si>
  <si>
    <t>B0CWD2H1KB</t>
  </si>
  <si>
    <t>SC-ASF-DGRFTDSHEET-D-72x48</t>
  </si>
  <si>
    <t>SC-A-DGRFTDSHEET-D-72x48</t>
  </si>
  <si>
    <t>SC-F-DGRFTDSHEET-D-72x48</t>
  </si>
  <si>
    <t>SC-M-DGRFTDSHEET-D-72x48</t>
  </si>
  <si>
    <t>SC-TBLFTDSHEET-D-72x48</t>
  </si>
  <si>
    <t>B0CWCWRJH6</t>
  </si>
  <si>
    <t>SC-ASF-TBLFTDSHEET-D-72x48</t>
  </si>
  <si>
    <t>SC-A-TBLFTDSHEET-D-72x48</t>
  </si>
  <si>
    <t>SC-F-TBLFTDSHEET-D-72x48</t>
  </si>
  <si>
    <t>SC-M-TBLFTDSHEET-D-72x48</t>
  </si>
  <si>
    <t>SC-PRPNFTDSHEET-D-75x48</t>
  </si>
  <si>
    <t>SC-SLSTFTDSHEET-D-75x48</t>
  </si>
  <si>
    <t>SC-OBCHFTDSHEET-D-75x48</t>
  </si>
  <si>
    <t>SC-DGRFTDSHEET-D-75x48</t>
  </si>
  <si>
    <t>SC-TBLFTDSHEET-D-75x48</t>
  </si>
  <si>
    <t>SC-PRPNFTDSHEET-D-78x48</t>
  </si>
  <si>
    <t>SC-SLSTFTDSHEET-D-78x48</t>
  </si>
  <si>
    <t>SC-OBCHFTDSHEET-D-78x48</t>
  </si>
  <si>
    <t>SC-DGRFTDSHEET-D-78x48</t>
  </si>
  <si>
    <t>SC-TBLFTDSHEET-D-78x48</t>
  </si>
  <si>
    <t>SC-PRPNFTDSHEET-Q-72x60</t>
  </si>
  <si>
    <t>SC-SLSTFTDSHEET-Q-72x60</t>
  </si>
  <si>
    <t>SC-OBCHFTDSHEET-Q-72x60</t>
  </si>
  <si>
    <t>SC-DGRFTDSHEET-Q-72x60</t>
  </si>
  <si>
    <t>B0BQBPT4SP</t>
  </si>
  <si>
    <t>SC-ASF-DGRFTDSHEET-Q-72x60</t>
  </si>
  <si>
    <t>SC-FLEX-DGRFTDSHEET-Q-72x60</t>
  </si>
  <si>
    <t>SC-F-DGRFTDSHEET-Q-72x60</t>
  </si>
  <si>
    <t>SC-M-DGRFTDSHEET-Q-72x60</t>
  </si>
  <si>
    <t>SC-TBLFTDSHEET-Q-72x60</t>
  </si>
  <si>
    <t>B0BQBSYDTZ</t>
  </si>
  <si>
    <t>SC-ASF-TBLFTDSHEET-Q-72x60</t>
  </si>
  <si>
    <t>SC-FK-TBLFTDSHEET-Q-72x60</t>
  </si>
  <si>
    <t>SC-M-TBLFTDSHEET-Q-72x60</t>
  </si>
  <si>
    <t>SC-PRPNFTDSHEET-Q-75x60</t>
  </si>
  <si>
    <t>B0CWCXX755</t>
  </si>
  <si>
    <t>SC-ASF-PRPNFTDSHEET-Q-75x60</t>
  </si>
  <si>
    <t>SC-A-PRPNFTDSHEET-Q-75x60</t>
  </si>
  <si>
    <t>SC-F-PRPNFTDSHEET-Q-75x60</t>
  </si>
  <si>
    <t>SC-M-PRPNFTDSHEET-Q-75x60</t>
  </si>
  <si>
    <t>SC-SLSTFTDSHEET-Q-75x60</t>
  </si>
  <si>
    <t>B0CWCRHS4B</t>
  </si>
  <si>
    <t>SC-ASF-SLSTFTDSHEET-Q-75x60</t>
  </si>
  <si>
    <t>SC-A-SLSTFTDSHEET-Q-75x60</t>
  </si>
  <si>
    <t>SC-F-SLSTFTDSHEET-Q-75x60</t>
  </si>
  <si>
    <t>SC-M-SLSTFTDSHEET-Q-75x60</t>
  </si>
  <si>
    <t>SC-OBCHFTDSHEET-Q-75x60</t>
  </si>
  <si>
    <t>B0CWCVD3Z8</t>
  </si>
  <si>
    <t>SC-ASF-OBCHFTDSHEET-Q-75x60</t>
  </si>
  <si>
    <t>SC-A-OBCHFTDSHEET-Q-75x60</t>
  </si>
  <si>
    <t>SC-F-OBCHFTDSHEET-Q-75x60</t>
  </si>
  <si>
    <t>SC-M-OBCHFTDSHEET-Q-75x60</t>
  </si>
  <si>
    <t>SC-DGRFTDSHEET-Q-75x60</t>
  </si>
  <si>
    <t>B0CWDJGM41</t>
  </si>
  <si>
    <t>SC-ASF-DGRFTDSHEET-Q-75x60</t>
  </si>
  <si>
    <t>SC-A-DGRFTDSHEET-Q-75x60</t>
  </si>
  <si>
    <t>SC-F-DGRFTDSHEET-Q-75x60</t>
  </si>
  <si>
    <t>SC-M-DGRFTDSHEET-Q-75x60</t>
  </si>
  <si>
    <t>SC-TBLFTDSHEET-Q-75x60</t>
  </si>
  <si>
    <t>B0CWCZ978Y</t>
  </si>
  <si>
    <t>SC-ASF-TBLFTDSHEET-Q-75x60</t>
  </si>
  <si>
    <t>SC-A-TBLFTDSHEET-Q-75x60</t>
  </si>
  <si>
    <t>SC-F-TBLFTDSHEET-Q-75x60</t>
  </si>
  <si>
    <t>SC-M-TBLFTDSHEET-Q-75x60</t>
  </si>
  <si>
    <t>SC-PRPNFTDSHEET-Q-78x60</t>
  </si>
  <si>
    <t>B0C2ZN8YS5</t>
  </si>
  <si>
    <t>SC-ASF-PRPNFTDSHEET-Q-78x60</t>
  </si>
  <si>
    <t>SC-FLEX-PRPNFTDSHEET-Q-78x60</t>
  </si>
  <si>
    <t>SC-M-PRPNFTDSHEET-Q-78x60</t>
  </si>
  <si>
    <t>SC-SLSTFTDSHEET-Q-78x60</t>
  </si>
  <si>
    <t>B0C2ZPK3PK</t>
  </si>
  <si>
    <t>SC-ASF-SLSTFTDSHEET-Q-78x60</t>
  </si>
  <si>
    <t>SC-FLEX-SLSTFTDSHEET-Q-78x60</t>
  </si>
  <si>
    <t>SC-M-SLSTFTDSHEET-Q-78x60</t>
  </si>
  <si>
    <t>SC-OBCHFTDSHEET-Q-78x60</t>
  </si>
  <si>
    <t>B0BX6R58GZ</t>
  </si>
  <si>
    <t>SC-ASF-OBCHFTDSHEET-Q-78x60</t>
  </si>
  <si>
    <t>SC-M-OBCHFTDSHEET-Q-78x60</t>
  </si>
  <si>
    <t>SC-DGRFTDSHEET-Q-78x60</t>
  </si>
  <si>
    <t>B0BF4Z4W1F</t>
  </si>
  <si>
    <t>SC-ASF-DGRFTDSHEET-Q-78x60</t>
  </si>
  <si>
    <t>SC-F-DGRFTDSHEET-Q-78x60</t>
  </si>
  <si>
    <t>SC-M-DGRFTDSHEET-Q-78x60</t>
  </si>
  <si>
    <t>FU2048775-S-PM41515</t>
  </si>
  <si>
    <t>SC-TBLFTDSHEET-Q-78x60</t>
  </si>
  <si>
    <t>B0BF52YTSD</t>
  </si>
  <si>
    <t>SC-ASF-TBLFTDSHEET-Q-78x60</t>
  </si>
  <si>
    <t>SC-F-TBLFTDSHEET-Q-78x60</t>
  </si>
  <si>
    <t>SC-M-TBLFTDSHEET-Q-78x60</t>
  </si>
  <si>
    <t>FU2048776-S-PM41515</t>
  </si>
  <si>
    <t>SC-PRPNFTDSHEET-K-72x72</t>
  </si>
  <si>
    <t>SC-SLSTFTDSHEET-K-72x72</t>
  </si>
  <si>
    <t>SC-OBCHFTDSHEET-K-72x72</t>
  </si>
  <si>
    <t>SC-DGRFTDSHEET-K-72x72</t>
  </si>
  <si>
    <t>B0BQBQK9CG</t>
  </si>
  <si>
    <t>SC-ASF-DGRFTDSHEET-K-72x72</t>
  </si>
  <si>
    <t>SC-F-DGRFTDSHEET-K-72x72</t>
  </si>
  <si>
    <t>SC-M-DGRFTDSHEET-K-72x72</t>
  </si>
  <si>
    <t>SC-EVGRFTDSHEET-K-72x72</t>
  </si>
  <si>
    <t>B0GQT25RYH</t>
  </si>
  <si>
    <t>SC-ASF-EVGRFTDSHEET-K-72x72</t>
  </si>
  <si>
    <t>SC-FK-EVGRFTDSHEET-S-72x36</t>
  </si>
  <si>
    <t>SC-M-EVGRFTDSHEET-K-72x72</t>
  </si>
  <si>
    <t>SC-PRPNFTDSHEET-K-75x72</t>
  </si>
  <si>
    <t>SC-SLSTFTDSHEET-K-75x72</t>
  </si>
  <si>
    <t>SC-OBCHFTDSHEET-K-75x72</t>
  </si>
  <si>
    <t>SC-DGRFTDSHEET-K-75x72</t>
  </si>
  <si>
    <t>SC-TBLFTDSHEET-K-75x72</t>
  </si>
  <si>
    <t>SC-PRPNFTDSHEET-K-78x72</t>
  </si>
  <si>
    <t>B0C2ZNYG6Y</t>
  </si>
  <si>
    <t>SC-ASF-PRPNFTDSHEET-K-78x72</t>
  </si>
  <si>
    <t>SC-FLEX-PRPNFTDSHEET-K-78x72</t>
  </si>
  <si>
    <t>SC-M-PRPNFTDSHEET-K-78x72</t>
  </si>
  <si>
    <t>SC-SLSTFTDSHEET-K-78x72</t>
  </si>
  <si>
    <t>B0C2ZQVLPS</t>
  </si>
  <si>
    <t>SC-ASF-SLSTFTDSHEET-K-78x72</t>
  </si>
  <si>
    <t>SC-FLEX-SLSTFTDSHEET-K-78x72</t>
  </si>
  <si>
    <t>SC-M-SLSTFTDSHEET-K-78x72</t>
  </si>
  <si>
    <t>SC-EVGRTFTDSHEET-K-78x72</t>
  </si>
  <si>
    <t>B0GQSZNJ69</t>
  </si>
  <si>
    <t>SC-ASF-EVGRTFTDSHEET-K-78x72</t>
  </si>
  <si>
    <t>SC-FK-EVGRTFTDSHEET-K-78x72</t>
  </si>
  <si>
    <t>SC-M-EVGRTFTDSHEET-K-78x72</t>
  </si>
  <si>
    <t>SC-DGRFTDSHEET-K-78x72</t>
  </si>
  <si>
    <t>B0BF4ZF9PC</t>
  </si>
  <si>
    <t>SC-ASF-DGRFTDSHEET-K-78x72</t>
  </si>
  <si>
    <t>SC-F-DGRFTDSHEET-K-78x72</t>
  </si>
  <si>
    <t>SC-M-DGRFTDSHEET-K-78x72</t>
  </si>
  <si>
    <t>FU2048772-S-PM41515</t>
  </si>
  <si>
    <t>SC-TBLFTDSHEET-K-78x72</t>
  </si>
  <si>
    <t>B0BF52YR1M</t>
  </si>
  <si>
    <t>SC-ASF-TBLFTDSHEET-K-78x72</t>
  </si>
  <si>
    <t>SC-FLEX-TBLFTDSHEET-K-78x72</t>
  </si>
  <si>
    <t>SC-F-TBLFTDSHEET-K-78x72</t>
  </si>
  <si>
    <t>SC-M-TBLFTDSHEET-K-78x72</t>
  </si>
  <si>
    <t>FU2048773-S-PM41515</t>
  </si>
  <si>
    <t>SC-EVGRFTDSHEET-S-72x36</t>
  </si>
  <si>
    <t>B0GQT3ZZFF</t>
  </si>
  <si>
    <t>SC-ASF-EVGRFTDSHEET-S-72x36</t>
  </si>
  <si>
    <t>SC-M-EVGRFTDSHEET-S-72x36</t>
  </si>
  <si>
    <t>SC-EVGRFTDSHEET-S-75x36</t>
  </si>
  <si>
    <t>B0GQT8SDG8</t>
  </si>
  <si>
    <t>SC-ASF-EVGRFTDSHEET-S-75x36</t>
  </si>
  <si>
    <t>SC-FK-EVGRFTDSHEET-S-75x36</t>
  </si>
  <si>
    <t>SC-M-EVGRFTDSHEET-S-75x36</t>
  </si>
  <si>
    <t>SC-EVGRFTDSHEET-S-78x36</t>
  </si>
  <si>
    <t>B0GQT1ZXHB</t>
  </si>
  <si>
    <t>SC-ASF-EVGRFTDSHEET-S-78x36</t>
  </si>
  <si>
    <t>SC-FK-EVGRFTDSHEET-S-78x36</t>
  </si>
  <si>
    <t>SC-M-EVGRFTDSHEET-S-78x36</t>
  </si>
  <si>
    <t>SC-EVGRFTDSHEET-K-75x72</t>
  </si>
  <si>
    <t>B0GQSQYPDV</t>
  </si>
  <si>
    <t>SC-ASF-EVGRFTDSHEET-K-75x72</t>
  </si>
  <si>
    <t>SC-FK-EVGRFTDSHEET-K-75x72</t>
  </si>
  <si>
    <t>SC-M-EVGRFTDSHEET-K-75x72</t>
  </si>
  <si>
    <t>SC-EVGRFTDSHEET-D-72x48</t>
  </si>
  <si>
    <t>B0GQSS1QDN</t>
  </si>
  <si>
    <t>SC-ASF-EVGRFTDSHEET-D-72x48</t>
  </si>
  <si>
    <t>SC-FK-EVGRFTDSHEET-D-72x48</t>
  </si>
  <si>
    <t>SC-M-EVGRFTDSHEET-D-72x48</t>
  </si>
  <si>
    <t>SC-EVGRFTDSHEET-D-75x48</t>
  </si>
  <si>
    <t>B0GQSWH7CJ</t>
  </si>
  <si>
    <t>SC-ASF-EVGRFTDSHEET-D-75x48</t>
  </si>
  <si>
    <t>SC-FK-EVGRFTDSHEET-D-75x48</t>
  </si>
  <si>
    <t>SC-M-EVGRFTDSHEET-D-75x48</t>
  </si>
  <si>
    <t>SC-EVGRFTDSHEET-D-78x48</t>
  </si>
  <si>
    <t>B0GQSNJNVK</t>
  </si>
  <si>
    <t>SC-ASF-EVGRFTDSHEET-D-78x48</t>
  </si>
  <si>
    <t>SC-FK-EVGRFTDSHEET-D-78x48</t>
  </si>
  <si>
    <t>SC-M-EVGRFTDSHEET-D-78x48</t>
  </si>
  <si>
    <t>SC-EVGRFTDSHEET-Q-72x60</t>
  </si>
  <si>
    <t>B0GQSSHHJQ</t>
  </si>
  <si>
    <t>SC-ASF-EVGRFTDSHEET-Q-72x60</t>
  </si>
  <si>
    <t>SC-FK-EVGRFTDSHEET-Q-72x60</t>
  </si>
  <si>
    <t>SC-M-EVGRFTDSHEET-Q-72x60</t>
  </si>
  <si>
    <t>SC-EVGRFTDSHEET-Q-75x60</t>
  </si>
  <si>
    <t>B0GQSVL6PW</t>
  </si>
  <si>
    <t>SC-ASF-EVGRFTDSHEET-Q-75x60</t>
  </si>
  <si>
    <t>SC-FK-EVGRFTDSHEET-Q-75x60</t>
  </si>
  <si>
    <t>SC-M-EVGRFTDSHEET-Q-75x60</t>
  </si>
  <si>
    <t>SC-EVGRFTDSHEET-Q-78x60</t>
  </si>
  <si>
    <t>B0GQT43VPL</t>
  </si>
  <si>
    <t>SC-ASF-EVGRFTDSHEET-Q-78x60</t>
  </si>
  <si>
    <t>SC-FK-EVGRFTDSHEET-Q-78x60</t>
  </si>
  <si>
    <t>SC-M-EVGRFTDSHEET-Q-78x60</t>
  </si>
  <si>
    <t>SC-TBLFTDSHEET-K-72x72</t>
  </si>
  <si>
    <t>B0BQBPPMF6</t>
  </si>
  <si>
    <t>SC-ASF-TBLFTDSHEET-K-72x72</t>
  </si>
  <si>
    <t>SC-FK-TBLFTDSHEET-K-72x72</t>
  </si>
  <si>
    <t>SC-M-TBLFTDSHEET-K-72x72</t>
  </si>
  <si>
    <t>SC-OBCHFTDSHEET-K-78x72</t>
  </si>
  <si>
    <t>B0BX6PXMT9</t>
  </si>
  <si>
    <t>SC-ASF-OBCHFTDSHEET-K-78x72</t>
  </si>
  <si>
    <t>SC-M-OBCHFTDSHEET-K-78x72</t>
  </si>
  <si>
    <t>SC-STIVDUVETCVR-S-90x60</t>
  </si>
  <si>
    <t>B0DDCFTRY3</t>
  </si>
  <si>
    <t>SC-ASF-STIVDUVETCVR-S-90x60</t>
  </si>
  <si>
    <t>SC-A-STIVDUVETCVR-S-90x60</t>
  </si>
  <si>
    <t>SC-F-STIVDUVETCVR-S-90x60</t>
  </si>
  <si>
    <t>SC-M-STIVDUVETCVR-S-90x60</t>
  </si>
  <si>
    <t>SC-STPBDUVETCVR-S-90x60</t>
  </si>
  <si>
    <t>B0DDCHCQPH</t>
  </si>
  <si>
    <t>SC-ASF-STPBDUVETCVR-S-90x60</t>
  </si>
  <si>
    <t>SC-A-STPBDUVETCVR-S-90x60</t>
  </si>
  <si>
    <t>SC-F-STPBDUVETCVR-S-90x60</t>
  </si>
  <si>
    <t>SC-M-STPBDUVETCVR-S-90x60</t>
  </si>
  <si>
    <t>SC-STMRDUVETCVR-S-90x60</t>
  </si>
  <si>
    <t>B0DDCDZZPZ</t>
  </si>
  <si>
    <t>SC-ASF-STMRDUVETCVR-S-90x60</t>
  </si>
  <si>
    <t>SC-A-STMRDUVETCVR-S-90x60</t>
  </si>
  <si>
    <t>SC-F-STMRDUVETCVR-S-90x60</t>
  </si>
  <si>
    <t>SC-M-STMRDUVETCVR-S-90x60</t>
  </si>
  <si>
    <t>SC-STDMDUVETCVR-S-90x60</t>
  </si>
  <si>
    <t>B0DDCHY2FW</t>
  </si>
  <si>
    <t>SC-ASF-STDMDUVETCVR-S-90x60</t>
  </si>
  <si>
    <t>SC-A-STDMDUVETCVR-S-90x60</t>
  </si>
  <si>
    <t>SC-F-STDMDUVETCVR-S-90x60</t>
  </si>
  <si>
    <t>SC-M-STDMDUVETCVR-S-90x60</t>
  </si>
  <si>
    <t>SC-STIVDUVETCVR-D-90x100</t>
  </si>
  <si>
    <t>B0DDCH9DJK</t>
  </si>
  <si>
    <t>SC-ASF-STIVDUVETCVR-D-90x100</t>
  </si>
  <si>
    <t>SC-FLEX-STIVDUVETCVR-D-90x100</t>
  </si>
  <si>
    <t>SC-A-STIVDUVETCVR-D-90x100</t>
  </si>
  <si>
    <t>SC-F-STIVDUVETCVR-D-90x100</t>
  </si>
  <si>
    <t>SC-M-STIVDUVETCVR-D-90x100</t>
  </si>
  <si>
    <t>SC-STPBDUVETCVR-D-90x100</t>
  </si>
  <si>
    <t>B0DDCG1YBN</t>
  </si>
  <si>
    <t>SC-ASF-STPBDUVETCVR-D-90x100</t>
  </si>
  <si>
    <t>SC-FLEX-STPBDUVETCVR-D-90x100</t>
  </si>
  <si>
    <t>SC-A-STPBDUVETCVR-D-90x100</t>
  </si>
  <si>
    <t>SC-F-STPBDUVETCVR-D-90x100</t>
  </si>
  <si>
    <t>SC-M-STPBDUVETCVR-D-90x100</t>
  </si>
  <si>
    <t>SC-STMRDUVETCVR-D-90x100</t>
  </si>
  <si>
    <t>B0DDCCT25F</t>
  </si>
  <si>
    <t>SC-ASF-STMRDUVETCVR-D-90x100</t>
  </si>
  <si>
    <t>SC-FLEX-STMRDUVETCVR-D-90x100</t>
  </si>
  <si>
    <t>SC-A-STMRDUVETCVR-D-90x100</t>
  </si>
  <si>
    <t>SC-F-STMRDUVETCVR-D-90x100</t>
  </si>
  <si>
    <t>SC-M-STMRDUVETCVR-D-90x100</t>
  </si>
  <si>
    <t>SC-STDMDUVETCVR-D-90x100</t>
  </si>
  <si>
    <t>B0DDCHC3WZ</t>
  </si>
  <si>
    <t>SC-ASF-STDMDUVETCVR-D-90x100</t>
  </si>
  <si>
    <t>SC-FLEX-STDMDUVETCVR-D-90x100</t>
  </si>
  <si>
    <t>SC-A-STDMDUVETCVR-D-90x100</t>
  </si>
  <si>
    <t>SC-F-STDMDUVETCVR-D-90x100</t>
  </si>
  <si>
    <t>SC-M-STDMDUVETCVR-D-90x100</t>
  </si>
  <si>
    <t>SC-PRPNDVTCOVER-S-90x60</t>
  </si>
  <si>
    <t>B0CW9QFGB8</t>
  </si>
  <si>
    <t>SC-ASF-PRPNDVTCOVER-S-90x60</t>
  </si>
  <si>
    <t>SC-A-PRPNDVTCOVER-S-90x60</t>
  </si>
  <si>
    <t>SC-F-PRPNDVTCOVER-S-90x60</t>
  </si>
  <si>
    <t>SC-M-PRPNDVTCOVER-S-90x60</t>
  </si>
  <si>
    <t>SC-SLSTDVTCOVER-S-90x60</t>
  </si>
  <si>
    <t>B0CW9SHX3D</t>
  </si>
  <si>
    <t>SC-ASF-SLSTDVTCOVER-S-90x60</t>
  </si>
  <si>
    <t>SC-A-SLSTDVTCOVER-S-90x60</t>
  </si>
  <si>
    <t>SC-F-SLSTDVTCOVER-S-90x60</t>
  </si>
  <si>
    <t>SC-M-SLSTDVTCOVER-S-90x60</t>
  </si>
  <si>
    <t>SC-OBCHDVTCOVER-S-90x60</t>
  </si>
  <si>
    <t>B0CW9Q6SQ1</t>
  </si>
  <si>
    <t>SC-ASF-OBCHDVTCOVER-S-90x60</t>
  </si>
  <si>
    <t>SC-A-OBCHDVTCOVER-S-90x60</t>
  </si>
  <si>
    <t>SC-FK-OBCHDVTCOVER-S-90x60</t>
  </si>
  <si>
    <t>SC-M-OBCHDVTCOVER-S-90x60</t>
  </si>
  <si>
    <t>SC-DGRDVTCOVER-S-90x60</t>
  </si>
  <si>
    <t>B0CW9S9W8F</t>
  </si>
  <si>
    <t>SC-ASF-DGRDVTCOVER-S-90x60</t>
  </si>
  <si>
    <t>SC-A-DGRDVTCOVER-S-90x60</t>
  </si>
  <si>
    <t>SC-F-DGRDVTCOVER-S-90x60</t>
  </si>
  <si>
    <t>SC-M-DGRDVTCOVER-S-90x60</t>
  </si>
  <si>
    <t>SC-TBLDVTCOVER-S-90x60</t>
  </si>
  <si>
    <t>B0CW9SGV8H</t>
  </si>
  <si>
    <t>SC-ASF-TBLDVTCOVER-S-90x60</t>
  </si>
  <si>
    <t>SC-A-TBLDVTCOVER-S-90x60</t>
  </si>
  <si>
    <t>SC-F-TBLDVTCOVER-S-90x60</t>
  </si>
  <si>
    <t>SC-M-TBLDVTCOVER-S-90x60</t>
  </si>
  <si>
    <t>SC-EVGRDVTCOVER-S-90x60</t>
  </si>
  <si>
    <t>SC-F-EVGRDVTCOVER-S-90x60</t>
  </si>
  <si>
    <t>SC-PRPNDVTCOVER-D-90x100</t>
  </si>
  <si>
    <t>B0C33B9K2X</t>
  </si>
  <si>
    <t>SC-ASF-PRPNDVTCOVER-D-90x100</t>
  </si>
  <si>
    <t>SC-M-PRPNDVTCOVER-D-90x100</t>
  </si>
  <si>
    <t>SC-SLSTDVTCOVER-D-90x100</t>
  </si>
  <si>
    <t>B0C33D2QK2</t>
  </si>
  <si>
    <t>SC-ASF-SLSTDVTCOVER-D-90x100</t>
  </si>
  <si>
    <t>SC-M-SLSTDVTCOVER-D-90x100</t>
  </si>
  <si>
    <t>SC-OBCHDVTCOVER-D-90x100</t>
  </si>
  <si>
    <t>B0BZVR2WCP</t>
  </si>
  <si>
    <t>SC-ASF-OBCHDVTCOVER-D-90x100</t>
  </si>
  <si>
    <t>SC-M-OBCHDVTCOVER-D-90x100</t>
  </si>
  <si>
    <t>FU2113629-S-PM41515</t>
  </si>
  <si>
    <t>SC-DGRDVTCOVER-D-90x100</t>
  </si>
  <si>
    <t>B0BMPJ95X7</t>
  </si>
  <si>
    <t>SC-ASF-DGRDVTCOVER-D-90x100</t>
  </si>
  <si>
    <t>SC-M-DGRDVTCOVER-D-90x100</t>
  </si>
  <si>
    <t>FU2113626-S-PM41515</t>
  </si>
  <si>
    <t>SC-TBLDVTCOVER-D-90x100</t>
  </si>
  <si>
    <t>B0BMPSBSDZ</t>
  </si>
  <si>
    <t>SC-ASF-TBLDVTCOVER-D-90x100</t>
  </si>
  <si>
    <t>SC-M-TBLDVTCOVER-D-90x100</t>
  </si>
  <si>
    <t>FU2113627-S-PM41515</t>
  </si>
  <si>
    <t>SC-EVGRDVTCOVER-D-90x100</t>
  </si>
  <si>
    <t>SC-F-EVGRDVTCOVER-D-90x100</t>
  </si>
  <si>
    <t>SC-BWJRDVTCVR-S-90X60</t>
  </si>
  <si>
    <t>B0D1KQQWRK</t>
  </si>
  <si>
    <t>SC-ASF-BWJRDVTCVR-S-90X60</t>
  </si>
  <si>
    <t>SC-A-BWJRDVTCVR-S-90X60</t>
  </si>
  <si>
    <t>SC-F-BWJRDVTCVR-S-90X60</t>
  </si>
  <si>
    <t>SC-M-BWJRDVTCVR-S-90X60</t>
  </si>
  <si>
    <t>SC-MBJRDVTCVR-S-90x60</t>
  </si>
  <si>
    <t>B0D1KR8LBY</t>
  </si>
  <si>
    <t>SC-ASF-MBJRDVTCVR-S-90x60</t>
  </si>
  <si>
    <t>SC-A-MBJRDVTCVR-S-90x60</t>
  </si>
  <si>
    <t>SC-F-MBJRDVTCVR-S-90x60</t>
  </si>
  <si>
    <t>SC-M-MBJRDVTCVR-S-90x60</t>
  </si>
  <si>
    <t>SC-WBJRDVTCVR-S-90X60</t>
  </si>
  <si>
    <t>B0D1KP7F4B</t>
  </si>
  <si>
    <t>SC-ASF-WBJRDVTCVR-S-90X60</t>
  </si>
  <si>
    <t>SC-A-WBJRDVTCVR-S-90X60</t>
  </si>
  <si>
    <t>SC-F-WBJRDVTCVR-S-90X60</t>
  </si>
  <si>
    <t>SC-M-WBJRDVTCVR-S-90X60</t>
  </si>
  <si>
    <t>SC-ZSJRDVTCVR-S-90X60</t>
  </si>
  <si>
    <t>B0D1KRPBMK</t>
  </si>
  <si>
    <t>SC-ASF-ZSJRDVTCVR-S-90X60</t>
  </si>
  <si>
    <t>SC-A-ZSJRDVTCVR-S-90X60</t>
  </si>
  <si>
    <t>SC-F-ZSJRDVTCVR-S-90X60</t>
  </si>
  <si>
    <t>SC-M-ZSJRDVTCVR-S-90X60</t>
  </si>
  <si>
    <t>SC-BWJRDVTCVR-D-90X100</t>
  </si>
  <si>
    <t>B0D1KP91QR</t>
  </si>
  <si>
    <t>SC-ASF-BWJRDVTCVR-D-90X100</t>
  </si>
  <si>
    <t>SC-A-BWJRDVTCVR-D-90X100</t>
  </si>
  <si>
    <t>SC-F-BWJRDVTCVR-D-90X100</t>
  </si>
  <si>
    <t>SC-M-BWJRDVTCVR-D-90X100</t>
  </si>
  <si>
    <t>SC-MBJRDVTCVR-D-90x100</t>
  </si>
  <si>
    <t>B0D1KQMQ3Y</t>
  </si>
  <si>
    <t>SC-ASF-MBJRDVTCVR-D-90x100</t>
  </si>
  <si>
    <t>SC-A-MBJRDVTCVR-D-90x100</t>
  </si>
  <si>
    <t>SC-F-MBJRDVTCVR-D-90x100</t>
  </si>
  <si>
    <t>SC-M-MBJRDVTCVR-D-90x100</t>
  </si>
  <si>
    <t>SC-WBJRDVTCVR-D-90X100</t>
  </si>
  <si>
    <t>B0D1KPSVVV</t>
  </si>
  <si>
    <t>SC-ASF-WBJRDVTCVR-D-90X100</t>
  </si>
  <si>
    <t>SC-A-WBJRDVTCVR-D-90X100</t>
  </si>
  <si>
    <t>SC-F-WBJRDVTCVR-D-90X100</t>
  </si>
  <si>
    <t>SC-M-WBJRDVTCVR-D-90X100</t>
  </si>
  <si>
    <t>SC-ZSJRDVTCVR-D-90X100</t>
  </si>
  <si>
    <t>B0D1KRV6VZ</t>
  </si>
  <si>
    <t>SC-ASF-ZSJRDVTCVR-D-90X100</t>
  </si>
  <si>
    <t>SC-A-ZSJRDVTCVR-D-90X100</t>
  </si>
  <si>
    <t>SC-F-ZSJRDVTCVR-D-90X100</t>
  </si>
  <si>
    <t>SC-M-ZSJRDVTCVR-D-90X100</t>
  </si>
  <si>
    <t>SC-SMLUXERCOMF-S-90x60</t>
  </si>
  <si>
    <t>B0F6YHLNZJ</t>
  </si>
  <si>
    <t>SC-ASF-SMLUXERCOMF-S-90x60</t>
  </si>
  <si>
    <t>SC-A-SMLUXERCOMF-S-90x60</t>
  </si>
  <si>
    <t>SC-F-SMLUXERCOMF-S-90x60</t>
  </si>
  <si>
    <t>SC-M-SMLUXERCOMF-S-90x60</t>
  </si>
  <si>
    <t>SC-SMLUXERCOMF-D-90x100</t>
  </si>
  <si>
    <t>B0F6YF183J</t>
  </si>
  <si>
    <t>SC-ASF-SMLUXERCOMF-D-90x100</t>
  </si>
  <si>
    <t>SC-A-SMLUXERCOMF-D-90x100</t>
  </si>
  <si>
    <t>SC-F-SMLUXERCOMF-D-90x100</t>
  </si>
  <si>
    <t>SC-M-SMLUXERCOMF-D-90x100</t>
  </si>
  <si>
    <t>SC-MBWTBLANKET-S-75x50</t>
  </si>
  <si>
    <t>B09SB37CRT</t>
  </si>
  <si>
    <t>SC-ASF-MBWTBLANKET-S-75x50</t>
  </si>
  <si>
    <t>SC-A-MBWTBLANKET-S-75x50</t>
  </si>
  <si>
    <t>SC-F-MBWTBLANKET-75x50</t>
  </si>
  <si>
    <t>SC-M-MBWTBLANKET-S-75x50</t>
  </si>
  <si>
    <t>FU2016471-S-PM41515</t>
  </si>
  <si>
    <t>SC-LMCOMF-S-90x60</t>
  </si>
  <si>
    <t>B08R68DVBT</t>
  </si>
  <si>
    <t>SC-ASF-LMRDUVET-S-90x60</t>
  </si>
  <si>
    <t>SC-A-LMRDUVET-S-90x60</t>
  </si>
  <si>
    <t>SC-F-LMCOMF90x60</t>
  </si>
  <si>
    <t>SC-M-LMCOMF-S-90x60</t>
  </si>
  <si>
    <t>FU1889544-S-PM41515</t>
  </si>
  <si>
    <t>SC-COMF-S-90x60</t>
  </si>
  <si>
    <t>B08KTCLX7R</t>
  </si>
  <si>
    <t>SC-ASF-RDUVET-S-90x60</t>
  </si>
  <si>
    <t>SC-A-RDUVET-S-90x60</t>
  </si>
  <si>
    <t>SC-F-COMF90x60</t>
  </si>
  <si>
    <t>SC-M-COMF-S-90x60</t>
  </si>
  <si>
    <t>FU1889540-S-PM41515</t>
  </si>
  <si>
    <t>SC-CFCOMF-S-90x60</t>
  </si>
  <si>
    <t>B09BYHF63W</t>
  </si>
  <si>
    <t>SC-ASF-CFCOMF-S-90x60</t>
  </si>
  <si>
    <t>SC-A-CFCOMF-S-90x60</t>
  </si>
  <si>
    <t>SC-F-CFCOMF-S-90x60</t>
  </si>
  <si>
    <t>SC-M-CFCOMF-S-90x60</t>
  </si>
  <si>
    <t>SC-PKCOMF-S-90x60</t>
  </si>
  <si>
    <t>B09BZ51DLD</t>
  </si>
  <si>
    <t>SC-ASF-PKCOMF-S-90x60</t>
  </si>
  <si>
    <t>SC-A-PKCOMF-S-90x60</t>
  </si>
  <si>
    <t>SC-F-PKCOMF-S-90x60</t>
  </si>
  <si>
    <t>SC-M-PKCOMF-S-90x60</t>
  </si>
  <si>
    <t>FU1951904-S-PM41515</t>
  </si>
  <si>
    <t>SC-PTMSCOMF-S-90x60</t>
  </si>
  <si>
    <t>B0FR3JRCKY</t>
  </si>
  <si>
    <t>SC-ASF-PTMSCOMF-S-90x60</t>
  </si>
  <si>
    <t>SC-F-PTMSCOMF-S-90x60</t>
  </si>
  <si>
    <t>SC-M-PTMSCOMF-S-90x60</t>
  </si>
  <si>
    <t>SC-PTBCCOMF-S-90x60</t>
  </si>
  <si>
    <t>B0FR3NKMYF</t>
  </si>
  <si>
    <t>SC-ASF-PTBCCOMF-S-90x60</t>
  </si>
  <si>
    <t>SC-F-PTBCCOMF-S-90x60</t>
  </si>
  <si>
    <t>SC-M-PTBCCOMF-S-90x60</t>
  </si>
  <si>
    <t>SC-PTMMCOMF-S-90x60</t>
  </si>
  <si>
    <t>B0FR3G42B3</t>
  </si>
  <si>
    <t>SC-ASF-PTMMCOMF-S-90x60</t>
  </si>
  <si>
    <t>SC-F-PTMMCOMF-S-90x60</t>
  </si>
  <si>
    <t>SC-M-PTMMCOMF-S-90x60</t>
  </si>
  <si>
    <t>SC-PTGPCOMF-S-90x60</t>
  </si>
  <si>
    <t>B0FR3D67NG</t>
  </si>
  <si>
    <t>SC-ASF-PTGPCOMF-S-90x60</t>
  </si>
  <si>
    <t>SC-F-PTGPCOMF-S-90x60</t>
  </si>
  <si>
    <t>SC-M-PTGPCOMF-S-90x60</t>
  </si>
  <si>
    <t>SC-LMCOMF-D-90x100</t>
  </si>
  <si>
    <t>B08R67YCQG</t>
  </si>
  <si>
    <t>SC-ASF-LMRDUVET-D-90x100</t>
  </si>
  <si>
    <t>SC-A-LMRDUVET-D-90x100</t>
  </si>
  <si>
    <t>SC-F-LMCOMF90x100</t>
  </si>
  <si>
    <t>SC-M-LMCOMF-D-90x100</t>
  </si>
  <si>
    <t>FU1889545-S-PM41515</t>
  </si>
  <si>
    <t>SC-COMF-D-90x100</t>
  </si>
  <si>
    <t>B08KTCGSQW</t>
  </si>
  <si>
    <t>SC-ASF-RDUVET-D-90x100</t>
  </si>
  <si>
    <t>SC-FLEX-RDUVET-D-90x100</t>
  </si>
  <si>
    <t>SC-A-RDUVET-D-90x100</t>
  </si>
  <si>
    <t>SC-F-COMF90x100</t>
  </si>
  <si>
    <t>SC-M-COMF-D-90x100</t>
  </si>
  <si>
    <t>FU1889541-S-PM41515</t>
  </si>
  <si>
    <t>SC-CFCOMF-D-90x100</t>
  </si>
  <si>
    <t>B09BYVBCRW</t>
  </si>
  <si>
    <t>SC-ASF-CFCOMF-D-90x100</t>
  </si>
  <si>
    <t>SC-A-CFCOMF-D-90x100</t>
  </si>
  <si>
    <t>SC-F-CFCOMF-D-90x100</t>
  </si>
  <si>
    <t>SC-M-CFCOMF-D-90x100</t>
  </si>
  <si>
    <t>SC-PKCOMF-D-90x100</t>
  </si>
  <si>
    <t>B09BYWZCXM</t>
  </si>
  <si>
    <t>SC-ASF-PKCOMF-D-90x100</t>
  </si>
  <si>
    <t>SC-A-PKCOMF-D-90x100</t>
  </si>
  <si>
    <t>SC-F-PKCOMF-D-90x100</t>
  </si>
  <si>
    <t>SC-M-PKCOMF-D-90x100</t>
  </si>
  <si>
    <t>FU1951905-S-PM41515</t>
  </si>
  <si>
    <t>SC-PTMSCOMF-D-90x100</t>
  </si>
  <si>
    <t>B0FR3HD3MH</t>
  </si>
  <si>
    <t>SC-ASF-PTMSCOMF-D-90x100</t>
  </si>
  <si>
    <t>SC-F-PTMSCOMF-D-90x100</t>
  </si>
  <si>
    <t>SC-M-PTMSCOMF-D-90x100</t>
  </si>
  <si>
    <t>SC-PTBCCOMF-D-100x90</t>
  </si>
  <si>
    <t>B0FR3JL1BS</t>
  </si>
  <si>
    <t>SC-ASF-PTBCCOMF-D-100x90</t>
  </si>
  <si>
    <t>SC-F-PTBCCOMF-D-100x90</t>
  </si>
  <si>
    <t>SC-M-PTBCCOMF-D-100x90</t>
  </si>
  <si>
    <t>SC-PTMMCOMF-D-90x100</t>
  </si>
  <si>
    <t>B0FR3CDSVC</t>
  </si>
  <si>
    <t>SC-ASF-PTMMCOMF-D-90x100</t>
  </si>
  <si>
    <t>SC-F-PTMMCOMF-D-90x100</t>
  </si>
  <si>
    <t>SC-M-PTMMCOMF-D-90x100</t>
  </si>
  <si>
    <t>SC-PTGPCOMF-D-90x100</t>
  </si>
  <si>
    <t>B0FR3G84GM</t>
  </si>
  <si>
    <t>SC-ASF-PTGPCOMF-D-90x100</t>
  </si>
  <si>
    <t>SC-F-PTGPCOMF-D-90x100</t>
  </si>
  <si>
    <t>SC-M-PTGPCOMF-D-90x100</t>
  </si>
  <si>
    <t>SC-WNTRCOMF-D-90x100</t>
  </si>
  <si>
    <t>B0BM9RZ1DT</t>
  </si>
  <si>
    <t>SC-ASF-WNTRCOMF-D-90x100</t>
  </si>
  <si>
    <t>SC-FLEX-WNTRCOMF-D-90x100</t>
  </si>
  <si>
    <t>SC-M-WNTRCOMF-D-90x100</t>
  </si>
  <si>
    <t>SC-MAZEMUSLN-S-85X59</t>
  </si>
  <si>
    <t>B09XLS3TTP</t>
  </si>
  <si>
    <t>SC-ASF-MAZEMUSLN-S-59x85</t>
  </si>
  <si>
    <t>SC-A-MAZEMUSLN-S-59x85</t>
  </si>
  <si>
    <t>SC-F-MAZEMUSLN-S-59x85</t>
  </si>
  <si>
    <t>SC-M-MAZEMUSLN-S-85X59</t>
  </si>
  <si>
    <t>SC-NOVAMUSLN-S-85X59</t>
  </si>
  <si>
    <t>B09XLSN95V</t>
  </si>
  <si>
    <t>SC-ASF-NOVAMUSLN-S-59x85</t>
  </si>
  <si>
    <t>SC-A-NOVAMUSLN-S-59x85</t>
  </si>
  <si>
    <t>SC-F-NOVAMUSLN-S-59x85</t>
  </si>
  <si>
    <t>SC-M-NOVAMUSLN-S-85X59</t>
  </si>
  <si>
    <t>SC-AURORAMUSLN-S-85X59</t>
  </si>
  <si>
    <t>B09XLTHD35</t>
  </si>
  <si>
    <t>SC-ASF-AURORAMUSLN-S-59x85</t>
  </si>
  <si>
    <t>SC-A-AURORAMUSLN-S-59x85</t>
  </si>
  <si>
    <t>SC-F-AURORAMUSLN-S-59x85</t>
  </si>
  <si>
    <t>SC-M-AURORAMUSLN-S-85X59</t>
  </si>
  <si>
    <t>SC-BSBGTHR-S-49X59</t>
  </si>
  <si>
    <t>B0B3S2KKWB</t>
  </si>
  <si>
    <t>SC-ASF-BSBGTHR-S-49X59</t>
  </si>
  <si>
    <t>SC-F-BSBGTHR-S-49X59</t>
  </si>
  <si>
    <t>SC-M-BSBGTHR-S-49X59</t>
  </si>
  <si>
    <t>FU2016295-S-PM41515</t>
  </si>
  <si>
    <t>SC-PNYLTHR-S-49X59</t>
  </si>
  <si>
    <t>B0B3S433D8</t>
  </si>
  <si>
    <t>SC-ASF-PNYLTHR-S-49X59</t>
  </si>
  <si>
    <t>SC-F-PNYLTHR-S-49X59</t>
  </si>
  <si>
    <t>SC-M-PNYLTHR-S-49X59</t>
  </si>
  <si>
    <t>FU2016294-S-PM41515</t>
  </si>
  <si>
    <t>SC-PBGRTHR-S-49X59</t>
  </si>
  <si>
    <t>B0B3S1LPCV</t>
  </si>
  <si>
    <t>SC-ASF-PBGRTHR-S-49X59</t>
  </si>
  <si>
    <t>SC-F-PBGRTHR-S-49X59</t>
  </si>
  <si>
    <t>SC-M-PBGRTHR-S-49X59</t>
  </si>
  <si>
    <t>FU2016293-S-PM41515</t>
  </si>
  <si>
    <t>SC-BWJRFTDSHEET-S-72x36</t>
  </si>
  <si>
    <t>B0CZLL24FV</t>
  </si>
  <si>
    <t>SC-ASF-BWJRFTDSHEET-S-72x36</t>
  </si>
  <si>
    <t>SC-A-BWJRFTDSHEET-S-72x36</t>
  </si>
  <si>
    <t>SC-F-BWJRFTDSHEET-S-72x36</t>
  </si>
  <si>
    <t>SC-M-BWJRFTDSHEET-S-72x36</t>
  </si>
  <si>
    <t>SC-MBJRFTDSHEET-S-72x36</t>
  </si>
  <si>
    <t>B0CZLL57NF</t>
  </si>
  <si>
    <t>SC-ASF-MBJRFTDSHEET-S-72x36</t>
  </si>
  <si>
    <t>SC-A-MBJRFTDSHEET-S-72x36</t>
  </si>
  <si>
    <t>SC-F-MBJRFTDSHEET-S-72x36</t>
  </si>
  <si>
    <t>SC-M-MBJRFTDSHEET-S-72x36</t>
  </si>
  <si>
    <t>SC-ZSJRFTDSHEET-S-72x36</t>
  </si>
  <si>
    <t>B0CZLL1HCJ</t>
  </si>
  <si>
    <t>SC-ASF-ZSJRFTDSHEET-S-72x36</t>
  </si>
  <si>
    <t>SC-A-ZSJRFTDSHEET-S-72x36</t>
  </si>
  <si>
    <t>SC-F-ZSJRFTDSHEET-S-72x36</t>
  </si>
  <si>
    <t>SC-M-ZSJRFTDSHEET-S-72x36</t>
  </si>
  <si>
    <t>SC-WBJRFTDSHEET-S-72x36</t>
  </si>
  <si>
    <t>B0CZLKMDV3</t>
  </si>
  <si>
    <t>SC-ASF-WBJRFTDSHEET-S-72x36</t>
  </si>
  <si>
    <t>SC-A-WBJRFTDSHEET-S-72x36</t>
  </si>
  <si>
    <t>SC-F-WBJRFTDSHEET-S-72x36</t>
  </si>
  <si>
    <t>SC-M-WBJRFTDSHEET-S-72x36</t>
  </si>
  <si>
    <t>SC-BWJRFTDSHEET-D-72x48</t>
  </si>
  <si>
    <t>B0CZLKVPFP</t>
  </si>
  <si>
    <t>SC-ASF-BWJRFTDSHEET-D-72x48</t>
  </si>
  <si>
    <t>SC-A-BWJRFTDSHEET-D-72x48</t>
  </si>
  <si>
    <t>SC-F-BWJRFTDSHEET-D-72x48</t>
  </si>
  <si>
    <t>SC-M-BWJRFTDSHEET-D-72x48</t>
  </si>
  <si>
    <t>SC-MBJRFTDSHEET-D-72x48</t>
  </si>
  <si>
    <t>B0CZLJSYJQ</t>
  </si>
  <si>
    <t>SC-ASF-MBJRFTDSHEET-D-72x48</t>
  </si>
  <si>
    <t>SC-A-MBJRFTDSHEET-D-72x48</t>
  </si>
  <si>
    <t>SC-F-MBJRFTDSHEET-D-72x48</t>
  </si>
  <si>
    <t>SC-M-MBJRFTDSHEET-D-72x48</t>
  </si>
  <si>
    <t>SC-ZSJRFTDSHEET-D-72x48</t>
  </si>
  <si>
    <t>B0CZLMRNP8</t>
  </si>
  <si>
    <t>SC-ASF-ZSJRFTDSHEET-D-72x48</t>
  </si>
  <si>
    <t>SC-A-ZSJRFTDSHEET-D-72x48</t>
  </si>
  <si>
    <t>SC-F-ZSJRFTDSHEET-D-72x48</t>
  </si>
  <si>
    <t>SC-M-ZSJRFTDSHEET-D-72x48</t>
  </si>
  <si>
    <t>SC-WBJRFTDSHEET-D-72x48</t>
  </si>
  <si>
    <t>B0CZLKDPP3</t>
  </si>
  <si>
    <t>SC-ASF-WBJRFTDSHEET-D-72x48</t>
  </si>
  <si>
    <t>SC-A-WBJRFTDSHEET-D-72x48</t>
  </si>
  <si>
    <t>SC-F-WBJRFTDSHEET-D-72x48</t>
  </si>
  <si>
    <t>SC-M-WBJRFTDSHEET-D-72x48</t>
  </si>
  <si>
    <t>SC-BWJRFTDSHEET-Q-72x60</t>
  </si>
  <si>
    <t>B0CTTKTH24</t>
  </si>
  <si>
    <t>SC-ASF-BWJRFTDSHEET-Q-72x60</t>
  </si>
  <si>
    <t>SC-A-BWJRFTDSHEET-Q-72x60</t>
  </si>
  <si>
    <t>SC-F-BWJRFTDSHEET-Q-72x60</t>
  </si>
  <si>
    <t>SC-M-BWJRFTDSHEET-Q-72x60</t>
  </si>
  <si>
    <t>SC-MBJRFTDSHEET-Q-72x60</t>
  </si>
  <si>
    <t>B0CTTLN7Y7</t>
  </si>
  <si>
    <t>SC-ASF-MBJRFTDSHEET-Q-72x60</t>
  </si>
  <si>
    <t>SC-A-MBJRFTDSHEET-Q-72x60</t>
  </si>
  <si>
    <t>SC-F-MBJRFTDSHEET-Q-72x60</t>
  </si>
  <si>
    <t>SC-M-MBJRFTDSHEET-Q-72x60</t>
  </si>
  <si>
    <t>SC-ZSJRFTDSHEET-Q-72x60</t>
  </si>
  <si>
    <t>B0CTTLMJJ7</t>
  </si>
  <si>
    <t>SC-ASF-ZSJRFTDSHEET-Q-72x60</t>
  </si>
  <si>
    <t>SC-A-ZSJRFTDSHEET-Q-72x60</t>
  </si>
  <si>
    <t>SC-F-ZSJRFTDSHEET-Q-72x60</t>
  </si>
  <si>
    <t>SC-M-ZSJRFTDSHEET-Q-72x60</t>
  </si>
  <si>
    <t>SC-WBJRFTDSHEET-Q-72x60</t>
  </si>
  <si>
    <t>B0CTTL72LC</t>
  </si>
  <si>
    <t>SC-ASF-WBJRFTDSHEET-Q-72x60</t>
  </si>
  <si>
    <t>SC-A-WBJRFTDSHEET-Q-72x60</t>
  </si>
  <si>
    <t>SC-F-WBJRFTDSHEET-Q-72x60</t>
  </si>
  <si>
    <t>SC-M-WBJRFTDSHEET-Q-72x60</t>
  </si>
  <si>
    <t>SC-BWJRFTDSHEET-Q-75x60</t>
  </si>
  <si>
    <t>B0CZLLK187</t>
  </si>
  <si>
    <t>SC-ASF-BWJRFTDSHEET-Q-75x60</t>
  </si>
  <si>
    <t>SC-A-BWJRFTDSHEET-Q-75x60</t>
  </si>
  <si>
    <t>SC-F-BWJRFTDSHEET-Q-75x60</t>
  </si>
  <si>
    <t>SC-M-BWJRFTDSHEET-Q-75x60</t>
  </si>
  <si>
    <t>SC-MBJRFTDSHEET-Q-75x60</t>
  </si>
  <si>
    <t>B0CZLKX7TF</t>
  </si>
  <si>
    <t>SC-ASF-MBJRFTDSHEET-Q-75x60</t>
  </si>
  <si>
    <t>SC-A-MBJRFTDSHEET-Q-75x60</t>
  </si>
  <si>
    <t>SC-F-MBJRFTDSHEET-Q-75x60</t>
  </si>
  <si>
    <t>SC-M-MBJRFTDSHEET-Q-75x60</t>
  </si>
  <si>
    <t>SC-ZSJRFTDSHEET-Q-75x60</t>
  </si>
  <si>
    <t>B0CZLJR5MD</t>
  </si>
  <si>
    <t>SC-ASF-ZSJRFTDSHEET-Q-75x60</t>
  </si>
  <si>
    <t>SC-A-ZSJRFTDSHEET-Q-75x60</t>
  </si>
  <si>
    <t>SC-F-ZSJRFTDSHEET-Q-75x60</t>
  </si>
  <si>
    <t>SC-M-ZSJRFTDSHEET-Q-75x60</t>
  </si>
  <si>
    <t>SC-WBJRFTDSHEET-Q-75x60</t>
  </si>
  <si>
    <t>B0CZLK77F6</t>
  </si>
  <si>
    <t>SC-ASF-WBJRFTDSHEET-Q-75x60</t>
  </si>
  <si>
    <t>SC-A-WBJRFTDSHEET-Q-75x60</t>
  </si>
  <si>
    <t>SC-F-WBJRFTDSHEET-Q-75x60</t>
  </si>
  <si>
    <t>SC-M-WBJRFTDSHEET-Q-75x60</t>
  </si>
  <si>
    <t>SC-BWJRFTDSHEET-Q-78x60</t>
  </si>
  <si>
    <t>B0CTTS6P7K</t>
  </si>
  <si>
    <t>SC-ASF-BWJRFTDSHEET-Q-78x60</t>
  </si>
  <si>
    <t>SC-A-BWJRFTDSHEET-Q-78x60</t>
  </si>
  <si>
    <t>SC-F-BWJRFTDSHEET-Q-78x60</t>
  </si>
  <si>
    <t>SC-M-BWJRFTDSHEET-Q-78x60</t>
  </si>
  <si>
    <t>SC-MBJRFTDSHEET-Q-78x60</t>
  </si>
  <si>
    <t>B0CTTMM1S1</t>
  </si>
  <si>
    <t>SC-ASF-MBJRFTDSHEET-Q-78x60</t>
  </si>
  <si>
    <t>SC-A-MBJRFTDSHEET-Q-78x60</t>
  </si>
  <si>
    <t>SC-F-MBJRFTDSHEET-Q-78x60</t>
  </si>
  <si>
    <t>SC-M-MBJRFTDSHEET-Q-78x60</t>
  </si>
  <si>
    <t>SC-ZSJRFTDSHEET-Q-78x60</t>
  </si>
  <si>
    <t>B0CTTLC916</t>
  </si>
  <si>
    <t>SC-ASF-ZSJRFTDSHEET-Q-78x60</t>
  </si>
  <si>
    <t>SC-A-ZSJRFTDSHEET-Q-78x60</t>
  </si>
  <si>
    <t>SC-F-ZSJRFTDSHEET-Q-78x60</t>
  </si>
  <si>
    <t>SC-M-ZSJRFTDSHEET-Q-78x60</t>
  </si>
  <si>
    <t>SC-WBJRFTDSHEET-Q-78x60</t>
  </si>
  <si>
    <t>B0CTTK2QTP</t>
  </si>
  <si>
    <t>SC-ASF-WBJRFTDSHEET-Q-78x60</t>
  </si>
  <si>
    <t>SC-A-WBJRFTDSHEET-Q-78x60</t>
  </si>
  <si>
    <t>SC-F-WBJRFTDSHEET-Q-78x60</t>
  </si>
  <si>
    <t>SC-M-WBJRFTDSHEET-Q-78x60</t>
  </si>
  <si>
    <t>SC-BWJRFTDSHEET-K-78x72</t>
  </si>
  <si>
    <t>B0CTTR3ZNT</t>
  </si>
  <si>
    <t>SC-ASF-BWJRFTDSHEET-K-78x72</t>
  </si>
  <si>
    <t>SC-A-BWJRFTDSHEET-K-78x72</t>
  </si>
  <si>
    <t>SC-F-BWJRFTDSHEET-K-78x72</t>
  </si>
  <si>
    <t>SC-M-BWJRFTDSHEET-K-78x72</t>
  </si>
  <si>
    <t>SC-MBJRFTDSHEET-K-78x72</t>
  </si>
  <si>
    <t>B0CTTKFFPL</t>
  </si>
  <si>
    <t>SC-ASF-MBJRFTDSHEET-K-78x72</t>
  </si>
  <si>
    <t>SC-A-MBJRFTDSHEET-K-78x72</t>
  </si>
  <si>
    <t>SC-F-MBJRFTDSHEET-K-78x72</t>
  </si>
  <si>
    <t>SC-M-MBJRFTDSHEET-K-78x72</t>
  </si>
  <si>
    <t>SC-ZSJRFTDSHEET-K-78x72</t>
  </si>
  <si>
    <t>B0CTTMRFJW</t>
  </si>
  <si>
    <t>SC-ASF-ZSJRFTDSHEET-K-78x72</t>
  </si>
  <si>
    <t>SC-A-ZSJRFTDSHEET-K-78x72</t>
  </si>
  <si>
    <t>SC-F-ZSJRFTDSHEET-K-78x72</t>
  </si>
  <si>
    <t>SC-M-ZSJRFTDSHEET-K-78x72</t>
  </si>
  <si>
    <t>SC-WBJRFTDSHEET-K-78x72</t>
  </si>
  <si>
    <t>B0CTTMVGHR</t>
  </si>
  <si>
    <t>SC-ASF-WBJRFTDSHEET-K-78x72</t>
  </si>
  <si>
    <t>SC-A-WBJRFTDSHEET-K-78x72</t>
  </si>
  <si>
    <t>SC-F-WBJRFTDSHEET-K-78x72</t>
  </si>
  <si>
    <t>SC-M-WBJRFTDSHEET-K-78x72</t>
  </si>
  <si>
    <t>SC-BWJRFTDSHEET-K-75x72</t>
  </si>
  <si>
    <t>B0CZLKY9CX</t>
  </si>
  <si>
    <t>SC-ASF-BWJRFTDSHEET-K-75x72</t>
  </si>
  <si>
    <t>SC-A-BWJRFTDSHEET-K-75x72</t>
  </si>
  <si>
    <t>SC-F-BWJRFTDSHEET-K-75x72</t>
  </si>
  <si>
    <t>SC-M-BWJRFTDSHEET-K-75x72</t>
  </si>
  <si>
    <t>SC-MBJRFTDSHEET-K-75x72</t>
  </si>
  <si>
    <t>B0CZLKFR52</t>
  </si>
  <si>
    <t>SC-ASF-MBJRFTDSHEET-K-75x72</t>
  </si>
  <si>
    <t>SC-A-MBJRFTDSHEET-K-75x72</t>
  </si>
  <si>
    <t>SC-F-MBJRFTDSHEET-K-75x72</t>
  </si>
  <si>
    <t>SC-M-MBJRFTDSHEET-K-75x72</t>
  </si>
  <si>
    <t>SC-ZSJRFTDSHEET-K-75x72</t>
  </si>
  <si>
    <t>B0CZLKW78B</t>
  </si>
  <si>
    <t>SC-ASF-ZSJRFTDSHEET-K-75x72</t>
  </si>
  <si>
    <t>SC-A-ZSJRFTDSHEET-K-75x72</t>
  </si>
  <si>
    <t>SC-F-ZSJRFTDSHEET-K-75x72</t>
  </si>
  <si>
    <t>SC-M-ZSJRFTDSHEET-K-75x72</t>
  </si>
  <si>
    <t>SC-WBJRFTDSHEET-K-75x72</t>
  </si>
  <si>
    <t>B0CZLMCGD9</t>
  </si>
  <si>
    <t>SC-ASF-WBJRFTDSHEET-K-75x72</t>
  </si>
  <si>
    <t>SC-A-WBJRFTDSHEET-K-75x72</t>
  </si>
  <si>
    <t>SC-F-WBJRFTDSHEET-K-75x72</t>
  </si>
  <si>
    <t>SC-M-WBJRFTDSHEET-K-75x72</t>
  </si>
  <si>
    <t>SC-BWJRFTDSHEET-K-72x72</t>
  </si>
  <si>
    <t>B0CTTH6KD5</t>
  </si>
  <si>
    <t>SC-ASF-BWJRFTDSHEET-K-72x72</t>
  </si>
  <si>
    <t>SC-A-BWJRFTDSHEET-K-72x72</t>
  </si>
  <si>
    <t>SC-F-BWJRFTDSHEET-K-72x72</t>
  </si>
  <si>
    <t>SC-M-BWJRFTDSHEET-K-72x72</t>
  </si>
  <si>
    <t>SC-MBJRFTDSHEET-K-72x72</t>
  </si>
  <si>
    <t>B0CTTR2MF6</t>
  </si>
  <si>
    <t>SC-ASF-MBJRFTDSHEET-K-72x72</t>
  </si>
  <si>
    <t>SC-A-MBJRFTDSHEET-K-72x72</t>
  </si>
  <si>
    <t>SC-F-MBJRFTDSHEET-K-72x72</t>
  </si>
  <si>
    <t>SC-M-MBJRFTDSHEET-K-72x72</t>
  </si>
  <si>
    <t>SC-ZSJRFTDSHEET-K-72x72</t>
  </si>
  <si>
    <t>B0CTTKJZZ1</t>
  </si>
  <si>
    <t>SC-ASF-ZSJRFTDSHEET-K-72x72</t>
  </si>
  <si>
    <t>SC-A-ZSJRFTDSHEET-K-72x72</t>
  </si>
  <si>
    <t>SC-F-ZSJRFTDSHEET-K-72x72</t>
  </si>
  <si>
    <t>SC-M-ZSJRFTDSHEET-K-72x72</t>
  </si>
  <si>
    <t>SC-WBJRFTDSHEET-K-72x72</t>
  </si>
  <si>
    <t>B0CTTR1X6D</t>
  </si>
  <si>
    <t>SC-ASF-WBJRFTDSHEET-K-72x72</t>
  </si>
  <si>
    <t>SC-A-WBJRFTDSHEET-K-72x72</t>
  </si>
  <si>
    <t>SC-F-WBJRFTDSHEET-K-72x72</t>
  </si>
  <si>
    <t>SC-M-WBJRFTDSHEET-K-72x72</t>
  </si>
  <si>
    <t>SC-Taurus-Recliner-Bed-Single78x36-WHB</t>
  </si>
  <si>
    <t>SC-Taurus-Recliner-Bed-Queen78x60-WHB</t>
  </si>
  <si>
    <t>SC-Taurus-Recliner-Bed-King78x72-WHB</t>
  </si>
  <si>
    <t>SC-SLMPILW-S-26X16</t>
  </si>
  <si>
    <t>B09XBMFFZY</t>
  </si>
  <si>
    <t>SC-ASF-SLMPILW-S-26x16</t>
  </si>
  <si>
    <t>SC-A-SLMPILW-S-26x16</t>
  </si>
  <si>
    <t>SC-SLMPILW-S-26x16</t>
  </si>
  <si>
    <t>SC-M-SLMPILW-S-26x16</t>
  </si>
  <si>
    <t>FU1985103-S-PM41515</t>
  </si>
  <si>
    <t>SC-SLMPILWSET2-S-26X16</t>
  </si>
  <si>
    <t>B09XBNLXW7</t>
  </si>
  <si>
    <t>SC-ASF-SLMPILWSET2-S-26x16</t>
  </si>
  <si>
    <t>SC-A-SLMPILWSET2-S-26x16</t>
  </si>
  <si>
    <t>SC-F-SLMPILWSET2-S-26x16</t>
  </si>
  <si>
    <t>SC-M-SLMPILWSET2-S-26x16</t>
  </si>
  <si>
    <t>FU1985104-S-PM41515</t>
  </si>
  <si>
    <t>SC-SLMMFPILWSET1-BAM-S-25x15</t>
  </si>
  <si>
    <t>SC-A-SLMMFPILWSET1-BAM-S-25x15</t>
  </si>
  <si>
    <t>SC-F-SLMMFPILWSET1-BAM-S-25x15</t>
  </si>
  <si>
    <t>SC-M-SLMMFPILWSET1-BAM-S-25x15</t>
  </si>
  <si>
    <t>SC-SLSTPILWCS-P-32x20</t>
  </si>
  <si>
    <t>B0CWKZBMC3</t>
  </si>
  <si>
    <t>SC-ASF-SLSTPILWCS-P-32x20</t>
  </si>
  <si>
    <t>SC-FLEX-SLSTPILWCS-P-32x20</t>
  </si>
  <si>
    <t>SC-F-SLSTPILWCS-P-32x20</t>
  </si>
  <si>
    <t>SC-M-SLSTPILWCS-P-32x20</t>
  </si>
  <si>
    <t>SC-OBCHPILWCS-P-32x20</t>
  </si>
  <si>
    <t>B0CWL1WDCJ</t>
  </si>
  <si>
    <t>SC-ASF-OBCHPILWCS-P-32x20</t>
  </si>
  <si>
    <t>SC-FLEX-OBCHPILWCS-P-32x20</t>
  </si>
  <si>
    <t>SC-F-OBCHPILWCS-P-32x20</t>
  </si>
  <si>
    <t>SC-M-OBCHPILWCS-P-32x20</t>
  </si>
  <si>
    <t>SC-PRPNPILWCS-P-32x20</t>
  </si>
  <si>
    <t>B0CWLB755Y</t>
  </si>
  <si>
    <t>SC-ASF-PRPNPILWCS-P-32x20</t>
  </si>
  <si>
    <t>SC-FLEX-PRPNPILWCS-P-32x20</t>
  </si>
  <si>
    <t>SC-F-PRPNPILWCS-P-32x20</t>
  </si>
  <si>
    <t>SC-M-PRPNPILWCS-P-32x20</t>
  </si>
  <si>
    <t>SC-DGRPILWCS-P-32x20</t>
  </si>
  <si>
    <t>B0CWL5BWP4</t>
  </si>
  <si>
    <t>SC-ASF-DGRPILWCS-P-32x20</t>
  </si>
  <si>
    <t>SC-FLEX-DGRPILWCS-P-32x20</t>
  </si>
  <si>
    <t>SC-F-DGRPILWCS-P-32x20</t>
  </si>
  <si>
    <t>SC-M-DGRPILWCS-P-32x20</t>
  </si>
  <si>
    <t>SC-TBLPILWCS-P-32x20</t>
  </si>
  <si>
    <t>B0CWL5YBZ6</t>
  </si>
  <si>
    <t>SC-ASF-TBLPILWCS-P-32x20</t>
  </si>
  <si>
    <t>SC-FLEX-TBLPILWCS-P-32x20</t>
  </si>
  <si>
    <t>SC-F-TBLPILWCS-P-32x20</t>
  </si>
  <si>
    <t>SC-M-TBLPILWCS-P-32x20</t>
  </si>
  <si>
    <t>SC-EVGRPILWCS-P-32x20</t>
  </si>
  <si>
    <t>SC-SLSTPILWCS-C-52x20</t>
  </si>
  <si>
    <t>B0CWL4SRMC</t>
  </si>
  <si>
    <t>SC-ASF-SLSTPILWCS-C-52x20</t>
  </si>
  <si>
    <t>SC-FLEX-SLSTPILWCS-C-52x20</t>
  </si>
  <si>
    <t>SC-F-SLSTPILWCS-C-F-52x20</t>
  </si>
  <si>
    <t>SC-M-SLSTPILWCS-C-52x20</t>
  </si>
  <si>
    <t>SC-OBCHPILWCS-C-52x20</t>
  </si>
  <si>
    <t>B0CWL8DB4C</t>
  </si>
  <si>
    <t>SC-ASF-OBCHPILWCS-C-52x20</t>
  </si>
  <si>
    <t>SC-FLEX-OBCHPILWCS-C-52x20</t>
  </si>
  <si>
    <t>SC-F-OBCHPILWCS-C-52x20</t>
  </si>
  <si>
    <t>SC-M-OBCHPILWCS-C-52x20</t>
  </si>
  <si>
    <t>SC-PRPNPILWCS-C-52x20</t>
  </si>
  <si>
    <t>B0CWL63BQ3</t>
  </si>
  <si>
    <t>SC-ASF-PRPNPILWCS-C-52x20</t>
  </si>
  <si>
    <t>SC-FLEX-PRPNPILWCS-C-52x20</t>
  </si>
  <si>
    <t>SC-F-PRPNPILWCS-C-52x20</t>
  </si>
  <si>
    <t>SC-M-PRPNPILWCS-C-52x20</t>
  </si>
  <si>
    <t>SC-DGRPILWCS-C-52x20</t>
  </si>
  <si>
    <t>B0CWL46VZK</t>
  </si>
  <si>
    <t>SC-ASF-DGRPILWCS-C-52x20</t>
  </si>
  <si>
    <t>SC-F-DGRPILWCS-C-52x20</t>
  </si>
  <si>
    <t>SC-M-DGRPILWCS-C-52x20</t>
  </si>
  <si>
    <t>SC-TBLPILWCS-C-52x20</t>
  </si>
  <si>
    <t>B0CWL9Y811</t>
  </si>
  <si>
    <t>SC-ASF-TBLPILWCS-C-52x20</t>
  </si>
  <si>
    <t>SC-FLEX-TBLPILWCS-C-52x20</t>
  </si>
  <si>
    <t>SC-F-TBLPILWCS-C-F-52x20</t>
  </si>
  <si>
    <t>SC-M-TBLPILWCS-C-52x20</t>
  </si>
  <si>
    <t>SC-EVGRPILWCS-C-52x20</t>
  </si>
  <si>
    <t>SC-COOLFLEXPILW-S-24x16</t>
  </si>
  <si>
    <t>B0F8NDLRLC</t>
  </si>
  <si>
    <t>SC-ASF-COOLFLEXPILW-S-24x16</t>
  </si>
  <si>
    <t>SC-A-COOLFLEXPILW-S-24x16</t>
  </si>
  <si>
    <t>SC-F-COOLFLEXPILW-S-24x16</t>
  </si>
  <si>
    <t>SC-M-COOLFLEXPILW-S-24x16</t>
  </si>
  <si>
    <t>SC-STIVPILWCS-S-28x18</t>
  </si>
  <si>
    <t>B0DDCQN9N4</t>
  </si>
  <si>
    <t>SC-ASF-STIVPILWCS-S-28x18</t>
  </si>
  <si>
    <t>SC-FLEX-STIVPILWCS-S-28x18</t>
  </si>
  <si>
    <t>SC-A-STIVPILWCS-S-28x18</t>
  </si>
  <si>
    <t>SC-F-STIVPILWCS-S-28x18</t>
  </si>
  <si>
    <t>SC-M-STIVPILWCS-S-28x18</t>
  </si>
  <si>
    <t>SC-STPBPILWCS-S-28x18</t>
  </si>
  <si>
    <t>B0DDCLWFTR</t>
  </si>
  <si>
    <t>SC-ASF-STPBPILWCS-S-28x18</t>
  </si>
  <si>
    <t>SC-FLEX-STPBPILWCS-S-28x18</t>
  </si>
  <si>
    <t>SC-A-STPBPILWCS-S-28x18</t>
  </si>
  <si>
    <t>SC-F-STPBPILWCS-S-28x18</t>
  </si>
  <si>
    <t>SC-M-STPBPILWCS-S-28x18</t>
  </si>
  <si>
    <t>SC-STMRPILWCS-S-28x18</t>
  </si>
  <si>
    <t>B0DDCN42RW</t>
  </si>
  <si>
    <t>SC-ASF-STMRPILWCS-S-28x18</t>
  </si>
  <si>
    <t>SC-FLEX-STMRPILWCS-S-28x18</t>
  </si>
  <si>
    <t>SC-A-STMRPILWCS-S-28x18</t>
  </si>
  <si>
    <t>SC-F-STMRPILWCS-S-28x18</t>
  </si>
  <si>
    <t>SC-M-STMRPILWCS-S-28x18</t>
  </si>
  <si>
    <t>SC-STDMPILWCS-S-28x18</t>
  </si>
  <si>
    <t>B0DDCNGK8X</t>
  </si>
  <si>
    <t>SC-ASF-STDMPILWCS-S-28x18</t>
  </si>
  <si>
    <t>SC-FLEX-STDMPILWCS-S-28x18</t>
  </si>
  <si>
    <t>SC-A-STDMPILWCS-S-28x18</t>
  </si>
  <si>
    <t>SC-F-STDMPILWCS-S-28x18</t>
  </si>
  <si>
    <t>SC-M-STDMPILWCS-S-28x18</t>
  </si>
  <si>
    <t>SC-EGWTLUXCOMF-S-90x60</t>
  </si>
  <si>
    <t>B0B3RDY15X</t>
  </si>
  <si>
    <t>SC-ASF-EGWTLUXCOMF-S-90x60</t>
  </si>
  <si>
    <t>SC-M-EGWTLUXCOMF-S-90x60</t>
  </si>
  <si>
    <t>FU2016436-S-PM41515</t>
  </si>
  <si>
    <t>SC-EGWTLUXCOMF-D-90x100</t>
  </si>
  <si>
    <t>B0B3RD254F</t>
  </si>
  <si>
    <t>SC-ASF-EGWTLUXCOMF-D-90x100</t>
  </si>
  <si>
    <t>SC-M-EGWTLUXCOMF-D-90x100</t>
  </si>
  <si>
    <t>FU2016437-S-PM41515</t>
  </si>
  <si>
    <t>SC-STIVPILWCS-C-52x20</t>
  </si>
  <si>
    <t>B0DDCN7MWS</t>
  </si>
  <si>
    <t>SC-ASF-STIVPILWCS-C-52x20</t>
  </si>
  <si>
    <t>SC-FLEX-STIVPILWCS-C-52x20</t>
  </si>
  <si>
    <t>SC-A-STIVPILWCS-C-52x20</t>
  </si>
  <si>
    <t>SC-F-STIVPILWCS-C-52x20</t>
  </si>
  <si>
    <t>SC-M-STIVPILWCS-C-52x20</t>
  </si>
  <si>
    <t>SC-STPBPILWCS-C-52x20</t>
  </si>
  <si>
    <t>B0DDCQSXCM</t>
  </si>
  <si>
    <t>SC-ASF-STPBPILWCS-C-52x20</t>
  </si>
  <si>
    <t>SC-FLEX-STPBPILWCS-C-52x20</t>
  </si>
  <si>
    <t>SC-A-STPBPILWCS-C-52x20</t>
  </si>
  <si>
    <t>SC-F-STPBPILWCS-C-52x20</t>
  </si>
  <si>
    <t>SC-M-STPBPILWCS-C-52x20</t>
  </si>
  <si>
    <t>SC-STMRPILWCS-C-52x20</t>
  </si>
  <si>
    <t>B0DDCQ2TSK</t>
  </si>
  <si>
    <t>SC-ASF-STMRPILWCS-C-52x20</t>
  </si>
  <si>
    <t>SC-FLEX-STMRPILWCS-C-52x20</t>
  </si>
  <si>
    <t>SC-A-STMRPILWCS-C-52x20</t>
  </si>
  <si>
    <t>SC-F-STMRPILWCS-C-52x20</t>
  </si>
  <si>
    <t>SC-M-STMRPILWCS-C-52x20</t>
  </si>
  <si>
    <t>SC-STDMPILWCS-C-52x20</t>
  </si>
  <si>
    <t>B0DDCQVPLC</t>
  </si>
  <si>
    <t>SC-ASF-STDMPILWCS-C-52x20</t>
  </si>
  <si>
    <t>SC-FLEX-STDMPILWCS-C-52x20</t>
  </si>
  <si>
    <t>SC-A-STDMPILWCS-C-52x20</t>
  </si>
  <si>
    <t>SC-F-STDMPILWCS-C-52x20</t>
  </si>
  <si>
    <t>SC-M-STDMPILWCS-C-52x20</t>
  </si>
  <si>
    <t>SC-SUMLMCOMF-S-90x60</t>
  </si>
  <si>
    <t>B0FCMH35Y9</t>
  </si>
  <si>
    <t>SC-ASF-SUMLMCOMF-S-90x60</t>
  </si>
  <si>
    <t>SC-A-SUMLMCOMF-S-90x60</t>
  </si>
  <si>
    <t>SC-F-SUMLMCOMF-S-90x60</t>
  </si>
  <si>
    <t>SC-M-SUMLMCOMF-S-90x60</t>
  </si>
  <si>
    <t>SC-SUMCOMF-S-90x60</t>
  </si>
  <si>
    <t>B0FCMHN23X</t>
  </si>
  <si>
    <t>SC-ASF-SUMCOMF-S-90x60</t>
  </si>
  <si>
    <t>SC-A-SUMCOMF-S-90x60</t>
  </si>
  <si>
    <t>SC-F-SUMCOMF-S-90x60</t>
  </si>
  <si>
    <t>SC-M-SUMCOMF-S-90x60</t>
  </si>
  <si>
    <t>SC-SUMCFCOMF-S-90x60</t>
  </si>
  <si>
    <t>B0FCMJTJFF</t>
  </si>
  <si>
    <t>SC-ASF-SUMCFCOMF-S-90x60</t>
  </si>
  <si>
    <t>SC-A-SUMCFCOMF-S-90x60</t>
  </si>
  <si>
    <t>SC-F-SUMCFCOMF-S-90x60</t>
  </si>
  <si>
    <t>SC-M-SUMCFCOMF-S-90x60</t>
  </si>
  <si>
    <t>SC-SUMPKCOMF-S-90x60</t>
  </si>
  <si>
    <t>B0FCMFCDZ9</t>
  </si>
  <si>
    <t>SC-ASF-SUMPKCOMF-S-90x60</t>
  </si>
  <si>
    <t>SC-A-SUMPKCOMF-S-90x60</t>
  </si>
  <si>
    <t>SC-F-SUMPKCOMF-S-90x60</t>
  </si>
  <si>
    <t>SC-M-SUMPKCOMF-S-90x60</t>
  </si>
  <si>
    <t>SC-SUMLMCOMF-D-90x100</t>
  </si>
  <si>
    <t>B0FCMF85YC</t>
  </si>
  <si>
    <t>SC-ASF-SUMLMCOMF-D-90x100</t>
  </si>
  <si>
    <t>SC-A-SUMLMCOMF-D-90x100</t>
  </si>
  <si>
    <t>SC-F-SUMLMCOMF-D-90x100</t>
  </si>
  <si>
    <t>SC-M-SUMLMCOMF-D-90x100</t>
  </si>
  <si>
    <t>SC-SUMCOMF-D-90x100</t>
  </si>
  <si>
    <t>B0FCMKFPK3</t>
  </si>
  <si>
    <t>SC-ASF-SUMCOMF-D-90x100</t>
  </si>
  <si>
    <t>SC-A-SUMCOMF-D-90x100</t>
  </si>
  <si>
    <t>SC-F-SUMCOMF-D-90x100</t>
  </si>
  <si>
    <t>SC-M-SUMCOMF-D-90x100</t>
  </si>
  <si>
    <t>SC-SUMCFCOMF-D-90x100</t>
  </si>
  <si>
    <t>B0FCMFFX7M</t>
  </si>
  <si>
    <t>SC-ASF-SUMCFCOMF-D-90x100</t>
  </si>
  <si>
    <t>SC-A-SUMCFCOMF-D-90x100</t>
  </si>
  <si>
    <t>SC-F-SUMCFCOMF-D-90x100</t>
  </si>
  <si>
    <t>SC-M-SUMCFCOMF-D-90x100</t>
  </si>
  <si>
    <t>SC-SUMPKCOMF-D-90x100</t>
  </si>
  <si>
    <t>B0FCMD3F6P</t>
  </si>
  <si>
    <t>SC-ASF-SUMPKCOMF-D-90x100</t>
  </si>
  <si>
    <t>SC-A-SUMPKCOMF-D-90x100</t>
  </si>
  <si>
    <t>SC-F-SUMPKCOMF-D-90x100</t>
  </si>
  <si>
    <t>SC-M-SUMPKCOMF-D-90x100</t>
  </si>
  <si>
    <t>SC-MBJRPILWCS-S-27x17</t>
  </si>
  <si>
    <t>B0CW69SKSD</t>
  </si>
  <si>
    <t>SC-ASF-MBJRPILWCS-S-27x17</t>
  </si>
  <si>
    <t>SC-F-MBJRPILWCS-S-27x17</t>
  </si>
  <si>
    <t>SC-M-MBJRPILWCS-S-27x17</t>
  </si>
  <si>
    <t>SC-BWJRPILWCS-S-27x17</t>
  </si>
  <si>
    <t>B0CW6B5XD2</t>
  </si>
  <si>
    <t>SC-ASF-BWJRPILWCS-S-27x17</t>
  </si>
  <si>
    <t>SC-F-BWJRPILWCS-S-27x17</t>
  </si>
  <si>
    <t>SC-M-BWJRPILWCS-S-27x17</t>
  </si>
  <si>
    <t>SC-ZSJRPILWCS-S-27x17</t>
  </si>
  <si>
    <t>B0CW6CS7BX</t>
  </si>
  <si>
    <t>SC-ASF-ZSJRPILWCS-S-27x17</t>
  </si>
  <si>
    <t>SC-F-ZSJRPILWCS-S-27x17</t>
  </si>
  <si>
    <t>SC-M-ZSJRPILWCS-S-27x17</t>
  </si>
  <si>
    <t>SC-WBJRPILWCS-S-27x17</t>
  </si>
  <si>
    <t>B0CW5YTZTS</t>
  </si>
  <si>
    <t>SC-ASF-WBJRPILWCS-S-27x17</t>
  </si>
  <si>
    <t>SC-F-WBJRPILWCS-S-27x17</t>
  </si>
  <si>
    <t>SC-M-WBJRPILWCS-S-27x17</t>
  </si>
  <si>
    <t>SC-DYWHSTNPLWCS-S-28x18</t>
  </si>
  <si>
    <t>B0CWZ91BRH</t>
  </si>
  <si>
    <t>SC-ASF-DYWHSTNPLWCS-S-28x18</t>
  </si>
  <si>
    <t>SC-F-DYWHSTNPLWCS-S-28x18</t>
  </si>
  <si>
    <t>SC-M-DYWHSTNPLWCS-S-28x18</t>
  </si>
  <si>
    <t>SC-OPMVSTNPLWCS-S-28x18</t>
  </si>
  <si>
    <t>B0CWZ7ZNLZ</t>
  </si>
  <si>
    <t>SC-ASF-OPMVSTNPLWCS-S-28x18</t>
  </si>
  <si>
    <t>SC-F-OPMVSTNPLWCS-S-28x18</t>
  </si>
  <si>
    <t>SC-M-OPMVSTNPLWCS-S-28x18</t>
  </si>
  <si>
    <t>SC-STGYSTNPLWCS-S-28x18</t>
  </si>
  <si>
    <t>B0CWZ95HYR</t>
  </si>
  <si>
    <t>SC-ASF-STGYSTNPLWCS-S-28x18</t>
  </si>
  <si>
    <t>SC-F-STGYSTNPLWCS-S-28x18</t>
  </si>
  <si>
    <t>SC-M-STGYSTNPLWCS-S-28x18</t>
  </si>
  <si>
    <t>SC-DSPLSTNPLWCS-S-28x18</t>
  </si>
  <si>
    <t>B0CWZ8YQJM</t>
  </si>
  <si>
    <t>SC-ASF-DSPLSTNPLWCS-S-28x18</t>
  </si>
  <si>
    <t>SC-F-DSPLSTNPLWCS-S-28x18</t>
  </si>
  <si>
    <t>SC-M-DSPLSTNPLWCS-S-28x18</t>
  </si>
  <si>
    <t>SC-SPBLSTNPLWCS-S-28x18</t>
  </si>
  <si>
    <t>B0CWZ7L38Z</t>
  </si>
  <si>
    <t>SC-ASF-SPBLSTNPLWCS-S-28x18</t>
  </si>
  <si>
    <t>SC-F-SPBLSTNPLWCS-S-28x18</t>
  </si>
  <si>
    <t>SC-M-SPBLSTNPLWCS-S-28x18</t>
  </si>
  <si>
    <t>SC-STIVPILWCS-K-32x20</t>
  </si>
  <si>
    <t>B0DDCPS7V2</t>
  </si>
  <si>
    <t>SC-ASF-STIVPILWCS-K-32x20</t>
  </si>
  <si>
    <t>SC-FLEX-STIVPILWCS-K-32x20</t>
  </si>
  <si>
    <t>SC-A-STIVPILWCS-K-32x20</t>
  </si>
  <si>
    <t>SC-F-STIVPILWCS-K-32x20</t>
  </si>
  <si>
    <t>SC-M-STIVPILWCS-K-32x20</t>
  </si>
  <si>
    <t>SC-STPBPILWCS-K-32x20</t>
  </si>
  <si>
    <t>B0DDCPF4MS</t>
  </si>
  <si>
    <t>SC-ASF-STPBPILWCS-K-32x20</t>
  </si>
  <si>
    <t>SC-FLEX-STPBPILWCS-K-32x20</t>
  </si>
  <si>
    <t>SC-A-STPBPILWCS-K-32x20</t>
  </si>
  <si>
    <t>SC-F-STPBPILWCS-K-32x20</t>
  </si>
  <si>
    <t>SC-M-STPBPILWCS-K-32x20</t>
  </si>
  <si>
    <t>SC-STMRPILWCS-K-32x20</t>
  </si>
  <si>
    <t>B0DDCPDLV5</t>
  </si>
  <si>
    <t>SC-ASF-STMRPILWCS-K-32x20</t>
  </si>
  <si>
    <t>SC-A-STMRPILWCS-K-32x20</t>
  </si>
  <si>
    <t>SC-F-STMRPILWCS-K-32x20</t>
  </si>
  <si>
    <t>SC-M-STMRPILWCS-K-32x20</t>
  </si>
  <si>
    <t>SC-STDMPILWCS-K-32x20</t>
  </si>
  <si>
    <t>B0DDCQX4K1</t>
  </si>
  <si>
    <t>SC-ASF-STDMPILWCS-K-32x20</t>
  </si>
  <si>
    <t>SC-FLEX-STDMPILWCS-K-32x20</t>
  </si>
  <si>
    <t>SC-A-STDMPILWCS-K-32x20</t>
  </si>
  <si>
    <t>SC-F-STDMPILWCS-K-32x20</t>
  </si>
  <si>
    <t>SC-M-STDMPILWCS-K-32x20</t>
  </si>
  <si>
    <t>SC-DYWHSTNPLWCS-P-32x20</t>
  </si>
  <si>
    <t>B0CWZ9B4NQ</t>
  </si>
  <si>
    <t>SC-ASF-DYWHSTNPLWCS-P-32x20</t>
  </si>
  <si>
    <t>SC-F-DYWHSTNPLWCS-P-32x20</t>
  </si>
  <si>
    <t>SC-M-DYWHSTNPLWCS-P-32x20</t>
  </si>
  <si>
    <t>SC-OPMVSTNPLWCS-P-32x20</t>
  </si>
  <si>
    <t>B0CWZ7ZJG5</t>
  </si>
  <si>
    <t>SC-ASF-OPMVSTNPLWCS-P-32x20</t>
  </si>
  <si>
    <t>SC-F-OPMVSTNPLWCS-P-32x20</t>
  </si>
  <si>
    <t>SC-M-OPMVSTNPLWCS-P-32x20</t>
  </si>
  <si>
    <t>SC-STGYSTNPLWCS-P-32x20</t>
  </si>
  <si>
    <t>B0CWZ9CW3G</t>
  </si>
  <si>
    <t>SC-ASF-STGYSTNPLWCS-P-32x20</t>
  </si>
  <si>
    <t>SC-F-STGYSTNPLWCS-P-32x20</t>
  </si>
  <si>
    <t>SC-M-STGYSTNPLWCS-P-32x20</t>
  </si>
  <si>
    <t>SC-DSPLSTNPLWCS-P-32x20</t>
  </si>
  <si>
    <t>B0CWZ8JGK6</t>
  </si>
  <si>
    <t>SC-ASF-DSPLSTNPLWCS-P-32x20</t>
  </si>
  <si>
    <t>SC-F-DSPLSTNPLWCS-P-32x20</t>
  </si>
  <si>
    <t>SC-M-DSPLSTNPLWCS-P-32x20</t>
  </si>
  <si>
    <t>SC-SPBLSTNPLWCS-P-32x20</t>
  </si>
  <si>
    <t>B0CWZ7XCZ7</t>
  </si>
  <si>
    <t>SC-ASF-SPBLSTNPLWCS-P-32x20</t>
  </si>
  <si>
    <t>SC-F-SPBLSTNPLWCS-P-32x20</t>
  </si>
  <si>
    <t>SC-M-SPBLSTNPLWCS-P-32x20</t>
  </si>
  <si>
    <t>SC-DYWHSTNPLWCS-C-52x20</t>
  </si>
  <si>
    <t>B0CWZ8KZ3Q</t>
  </si>
  <si>
    <t>SC-ASF-DYWHSTNPLWCS-C-52x20</t>
  </si>
  <si>
    <t>SC-F-DYWHSTNPLWCS-C-52x20</t>
  </si>
  <si>
    <t>SC-M-DYWHSTNPLWCS-C-52x20</t>
  </si>
  <si>
    <t>SC-OPMVSTNPLWCS-C-52x20</t>
  </si>
  <si>
    <t>B0CWZB4C51</t>
  </si>
  <si>
    <t>SC-ASF-OPMVSTNPLWCS-C-52x20</t>
  </si>
  <si>
    <t>SC-F-OPMVSTNPLWCS-C-52x20</t>
  </si>
  <si>
    <t>SC-M-OPMVSTNPLWCS-C-52x20</t>
  </si>
  <si>
    <t>SC-STGYSTNPLWCS-C-52x20</t>
  </si>
  <si>
    <t>B0CWZ95XRD</t>
  </si>
  <si>
    <t>SC-ASF-STGYSTNPLWCS-C-52x20</t>
  </si>
  <si>
    <t>SC-F-STGYSTNPLWCS-C-52x20</t>
  </si>
  <si>
    <t>SC-M-STGYSTNPLWCS-C-52x20</t>
  </si>
  <si>
    <t>SC-DSPLSTNPLWCS-C-52x20</t>
  </si>
  <si>
    <t>B0CWZ9B9QW</t>
  </si>
  <si>
    <t>SC-ASF-DSPLSTNPLWCS-C-52x20</t>
  </si>
  <si>
    <t>SC-F-DSPLSTNPLWCS-C-52x20</t>
  </si>
  <si>
    <t>SC-M-DSPLSTNPLWCS-C-52x20</t>
  </si>
  <si>
    <t>SC-SPBLSTNPLWCS-C-52x20</t>
  </si>
  <si>
    <t>B0CWZ7QYN2</t>
  </si>
  <si>
    <t>SC-ASF-SPBLSTNPLWCS-C-52x20</t>
  </si>
  <si>
    <t>SC-F-SPBLSTNPLWCS-C-52x20</t>
  </si>
  <si>
    <t>SC-M-SPBLSTNPLWCS-C-52x20</t>
  </si>
  <si>
    <t>SC-MBJRPILWCS-P-31x20</t>
  </si>
  <si>
    <t>B0CW6CF8CS</t>
  </si>
  <si>
    <t>SC-ASF-MBJRPILWCS-P-31x20</t>
  </si>
  <si>
    <t>SC-F-MBJRPILWCS-P-31x20</t>
  </si>
  <si>
    <t>SC-M-MBJRPILWCS-P-31x20</t>
  </si>
  <si>
    <t>SC-BWJRPILWCS-P-31x20</t>
  </si>
  <si>
    <t>B0CW6D7Q43</t>
  </si>
  <si>
    <t>SC-ASF-BWJRPILWCS-P-31x20</t>
  </si>
  <si>
    <t>SC-F-BWJRPILWCS-P-31x20</t>
  </si>
  <si>
    <t>SC-M-BWJRPILWCS-P-31x20</t>
  </si>
  <si>
    <t>SC-ZSJRPILWCS-P-31x20</t>
  </si>
  <si>
    <t>B0CW6DTQWW</t>
  </si>
  <si>
    <t>SC-ASF-ZSJRPILWCS-P-31x20</t>
  </si>
  <si>
    <t>SC-F-ZSJRPILWCS-P-31x20</t>
  </si>
  <si>
    <t>SC-M-ZSJRPILWCS-P-31x20</t>
  </si>
  <si>
    <t>SC-WBJRPILWCS-P-31x20</t>
  </si>
  <si>
    <t>B0CW6DHKRS</t>
  </si>
  <si>
    <t>SC-ASF-WBJRPILWCS-P-31x20</t>
  </si>
  <si>
    <t>SC-F-WBJRPILWCS-P-31x20</t>
  </si>
  <si>
    <t>SC-M-WBJRPILWCS-P-31x20</t>
  </si>
  <si>
    <t>SC-MBJRPILWCS-C-50x20</t>
  </si>
  <si>
    <t>B0CW6BL3QR</t>
  </si>
  <si>
    <t>SC-ASF-MBJRPILWCS-C-50x20</t>
  </si>
  <si>
    <t>SC-F-MBJRPILWCS-C-F-50x20</t>
  </si>
  <si>
    <t>SC-M-MBJRPILWCS-C-50x20</t>
  </si>
  <si>
    <t>SC-BWJRPILWCS-C-50x20</t>
  </si>
  <si>
    <t>B0CW6CZHKF</t>
  </si>
  <si>
    <t>SC-ASF-BWJRPILWCS-C-50x20</t>
  </si>
  <si>
    <t>SC-F-BWJRPILWCS-C-F-50x20</t>
  </si>
  <si>
    <t>SC-M-BWJRPILWCS-C-50x20</t>
  </si>
  <si>
    <t>SC-ZSJRPILWCS-C-50x20</t>
  </si>
  <si>
    <t>B0CW6BQDYS</t>
  </si>
  <si>
    <t>SC-ASF-ZSJRPILWCS-C-50x20</t>
  </si>
  <si>
    <t>SC-F-ZSJRPILWCS-C-F-50x20</t>
  </si>
  <si>
    <t>SC-M-ZSJRPILWCS-C-50x20</t>
  </si>
  <si>
    <t>SC-WBJRPILWCS-C-50x20</t>
  </si>
  <si>
    <t>B0CW6CK81B</t>
  </si>
  <si>
    <t>SC-ASF-WBJRPILWCS-C-50x20</t>
  </si>
  <si>
    <t>SC-F-WBJRPILWCS-C-F-50x20</t>
  </si>
  <si>
    <t>SC-M-WBJRPILWCS-C-50x20</t>
  </si>
  <si>
    <t>SC-ENSO-R3-MOTOR-RECLINER-AMBER-YELLOW</t>
  </si>
  <si>
    <t>B0FGJN8PCR</t>
  </si>
  <si>
    <t>SC-A-ENSO-R3-MOTOR-RECLINER-AMBER-YELLOW</t>
  </si>
  <si>
    <t>SC-M-ENSO-R3-MOTOR-RECLINER-AMBER-YELLOW</t>
  </si>
  <si>
    <t>SC-ENSO-R3-MOTOR-RECLINER-SAND-BEIGE</t>
  </si>
  <si>
    <t>B0FGJPPYW3</t>
  </si>
  <si>
    <t>SC-ASF-ENSO-R3-MOTOR-RECLINER-SAND-BEIGE</t>
  </si>
  <si>
    <t>SC-A-ENSO-R3-MOTOR-RECLINER-SAND-BEIGE</t>
  </si>
  <si>
    <t>SC-F-ENSO-R3-MOTOR-RECLINER-SAND-BEIGE</t>
  </si>
  <si>
    <t>SC-M-ENSO-R3-MOTOR-RECLINER-SAND-BEIGE</t>
  </si>
  <si>
    <t>SC-SEIKA-R1-MAN-RECLINER-PEBBLE-GREY</t>
  </si>
  <si>
    <t>B0FGJMXXTR</t>
  </si>
  <si>
    <t>SC-ASF-SEIKA-R1-MAN-RECLINER-PEBBLE-GREY</t>
  </si>
  <si>
    <t>SC-A-SEIKA-R1-MAN-RECLINER-PEBBLE-GREY</t>
  </si>
  <si>
    <t>SC-F-SEIKA-R1-MAN-RECLINER-PEBBLE-GREY</t>
  </si>
  <si>
    <t>SC-M-SEIKA-R1-MAN-RECLINER-PEBBLE-GREY</t>
  </si>
  <si>
    <t>SC-SEIKA-R1-MAN-RECLINER-JADE-GREEN</t>
  </si>
  <si>
    <t>B0FGJPP799</t>
  </si>
  <si>
    <t>SC-ASF-SEIKA-R1-MAN-RECLINER-JADE-GREEN</t>
  </si>
  <si>
    <t>SC-A-A-SEIKA-R1-MAN-RECLINER-JADE-GREEN</t>
  </si>
  <si>
    <t>SC-F-SEIKA-R1-MAN-RECLINER-JADE-GREEN</t>
  </si>
  <si>
    <t>SC-M-SEIKA-R1-MAN-RECLINER-JADE-GREEN</t>
  </si>
  <si>
    <t>SC-MFMTTOPPER-S-72x36x2</t>
  </si>
  <si>
    <t>B0FHHXS6NJ</t>
  </si>
  <si>
    <t>SC-ASF-MFMTTOPPER-S-72x36x2</t>
  </si>
  <si>
    <t>SC-FK-MFMTTOPPER-S-72x36x2</t>
  </si>
  <si>
    <t>SC-M-MFMTTOPPER-S-72x36x2</t>
  </si>
  <si>
    <t>SC-MFMTTOPPER-S-78x36x2</t>
  </si>
  <si>
    <t>B0FHHX6LBM</t>
  </si>
  <si>
    <t>SC-ASF-MFMTTOPPER-S-78x36x2</t>
  </si>
  <si>
    <t>SC-FK-MFMTTOPPER-S-78x36x2</t>
  </si>
  <si>
    <t>SC-M-MFMTTOPPER-S-78x36x2</t>
  </si>
  <si>
    <t>SC-MFMTTOPPER-D-72x48x2</t>
  </si>
  <si>
    <t>B0FHHZ7NF7</t>
  </si>
  <si>
    <t>SC-ASF-MFMTTOPPER-D-72x48x2</t>
  </si>
  <si>
    <t>SC-FK-MFMTTOPPER-D-72x48x2in</t>
  </si>
  <si>
    <t>SC-M-MFMTTOPPER-D-72x48x2</t>
  </si>
  <si>
    <t>SC-MFMTTOPPER-Q-72x60x2</t>
  </si>
  <si>
    <t>B0FHHXTLHZ</t>
  </si>
  <si>
    <t>SC-ASF-MFMTTOPPER-Q-72x60x2</t>
  </si>
  <si>
    <t>SC-FK-MFMTTOPPER-Q-72x60x2</t>
  </si>
  <si>
    <t>SC-M-MFMTTOPPER-Q-72x60x2</t>
  </si>
  <si>
    <t>SC-MFMTTOPPER-Q-75x60x2</t>
  </si>
  <si>
    <t>SC-MFMTTOPPER-Q-78x60x2</t>
  </si>
  <si>
    <t>B0FHHXQX2Q</t>
  </si>
  <si>
    <t>SC-ASF-MFMTTOPPER-Q-78x60x2</t>
  </si>
  <si>
    <t>SC-F-MFMTTOPPER-Q-78x60x2</t>
  </si>
  <si>
    <t>SC-M-MFMTTOPPER-Q-78x60x2</t>
  </si>
  <si>
    <t>SC-MFMTTOPPER-K-72x72x2</t>
  </si>
  <si>
    <t>B0FHHTNKY1</t>
  </si>
  <si>
    <t>SC-ASF-MFMTTOPPER-K-72x72x2</t>
  </si>
  <si>
    <t>SC-FK-MFMTTOPPER-K-72x72x2</t>
  </si>
  <si>
    <t>SC-M-MFMTTOPPER-K-72x72x2</t>
  </si>
  <si>
    <t>SC-MFMTTOPPER-K-75x72x2</t>
  </si>
  <si>
    <t>B0FHHWGGVS</t>
  </si>
  <si>
    <t>SC-ASF-MFMTTOPPER-K-75x72x2</t>
  </si>
  <si>
    <t>SC-FK-MFMTTOPPER-K-75x72x2</t>
  </si>
  <si>
    <t>SC-M-MFMTTOPPER-K-75x72x2</t>
  </si>
  <si>
    <t>SC-MFMTTOPPER-K-78x72x2</t>
  </si>
  <si>
    <t>B0FHHWW2GZ</t>
  </si>
  <si>
    <t>SC-ASF-MFMTTOPPER-K-78x72x2</t>
  </si>
  <si>
    <t>SC-FK-MFMTTOPPER-K-78x72x2</t>
  </si>
  <si>
    <t>SC-M-MFMTTOPPER-K-78x72x2</t>
  </si>
  <si>
    <t>SC-4TFOLD-BL-72X36</t>
  </si>
  <si>
    <t>B0FHF2DKQZ</t>
  </si>
  <si>
    <t>SC-FLEX-4TFOLD-BL-72X36</t>
  </si>
  <si>
    <t>SC-F-4TFOLD-BL-72X36</t>
  </si>
  <si>
    <t>SC-M-4TFOLD-BL-72X36</t>
  </si>
  <si>
    <t>FU2289510-S-PM41515</t>
  </si>
  <si>
    <t>SC-4TFOLD-BL-72X48</t>
  </si>
  <si>
    <t>B0FHF65C2R</t>
  </si>
  <si>
    <t>SC-FLEX-4TFOLD-BL-72X48</t>
  </si>
  <si>
    <t>SC-F-4TFOLD-BL-72X48</t>
  </si>
  <si>
    <t>SC-M-4TFOLD-BL-72X48</t>
  </si>
  <si>
    <t>FU2289511-S-PM41515</t>
  </si>
  <si>
    <t>SC-WEDGE-BLACK</t>
  </si>
  <si>
    <t>B0GLG7C4KJ</t>
  </si>
  <si>
    <t>SC-ASF-WEDGE-BLACK</t>
  </si>
  <si>
    <t>SC-FK-WEDGE-BLACK</t>
  </si>
  <si>
    <t>SC-M-WEDGE-BLACK</t>
  </si>
  <si>
    <t>SC-WEDGE-BL</t>
  </si>
  <si>
    <t>B0FLF9PR8K</t>
  </si>
  <si>
    <t>SC-ASF-WEDGE-BL</t>
  </si>
  <si>
    <t>SC-F-WEDGE-BL</t>
  </si>
  <si>
    <t>SC-M-WEDGE-BL</t>
  </si>
  <si>
    <t>SC-LSC-BLACK</t>
  </si>
  <si>
    <t>B0GLG6Q55V</t>
  </si>
  <si>
    <t>SC-ASF-LSC-BLACK</t>
  </si>
  <si>
    <t>SC-FK-LSC-BLACK</t>
  </si>
  <si>
    <t>SC-M-LSC-M-BLACK</t>
  </si>
  <si>
    <t>SC-LSC-BL</t>
  </si>
  <si>
    <t>B0FMNM4TKZ</t>
  </si>
  <si>
    <t>SC-ASF-LSC-BL</t>
  </si>
  <si>
    <t>SC-FK-LSC-BL</t>
  </si>
  <si>
    <t>SC-M-LSC-M-BL</t>
  </si>
  <si>
    <t>SC-SBC-BLACK</t>
  </si>
  <si>
    <t>B0GLGFVZCW</t>
  </si>
  <si>
    <t>SC-ASF-SBC-BLACK</t>
  </si>
  <si>
    <t>SC-FK-SBC-BLACK</t>
  </si>
  <si>
    <t>SC-M-SBC-BLACK</t>
  </si>
  <si>
    <t>SC-SBC-BL</t>
  </si>
  <si>
    <t>B0FMNPTF51</t>
  </si>
  <si>
    <t>SC-ASF-SBC-BL</t>
  </si>
  <si>
    <t>SC-FK-SBC-BL</t>
  </si>
  <si>
    <t>SC-M-SBC-BL</t>
  </si>
  <si>
    <t>SC-PNC-BLACK</t>
  </si>
  <si>
    <t>B0GLGGZ9M7</t>
  </si>
  <si>
    <t>SC-ASF-PNC-BLACK</t>
  </si>
  <si>
    <t>SC-FK-PNC-BLACK</t>
  </si>
  <si>
    <t>SC-M-PNC-BLACK</t>
  </si>
  <si>
    <t>SC-PNC-BL</t>
  </si>
  <si>
    <t>B0FMNTTG5B</t>
  </si>
  <si>
    <t>SC-ASF-PNC-BL</t>
  </si>
  <si>
    <t>SC-FK-PNC-BL</t>
  </si>
  <si>
    <t>SC-M-PNC-BL</t>
  </si>
  <si>
    <t>SC-PSC-BLACK</t>
  </si>
  <si>
    <t>B0GLGLF2HK</t>
  </si>
  <si>
    <t>SC-ASF-PSC-BLACK</t>
  </si>
  <si>
    <t>SC-FK-PSC-BLACK</t>
  </si>
  <si>
    <t>SC-M-PSC-M-BLACK</t>
  </si>
  <si>
    <t>SC-PSC-BL</t>
  </si>
  <si>
    <t>B0FMP5Y17Y</t>
  </si>
  <si>
    <t>SC-ASF-PSC-BL</t>
  </si>
  <si>
    <t>SC-FK-PSC-BL</t>
  </si>
  <si>
    <t>SC-M-PSC-M-BL</t>
  </si>
  <si>
    <t>SC-PBC-BLACK</t>
  </si>
  <si>
    <t>B0GLG771PX</t>
  </si>
  <si>
    <t>SC-ASF-PBC-BLACK</t>
  </si>
  <si>
    <t>SC-FK-PBC-BLACK</t>
  </si>
  <si>
    <t>SC-M-PBC-BLACK</t>
  </si>
  <si>
    <t>SC-PBC-BL</t>
  </si>
  <si>
    <t>B0FMNQ5SFR</t>
  </si>
  <si>
    <t>SC-ASF-PBC-BL</t>
  </si>
  <si>
    <t>SC-FK-PBC-BL</t>
  </si>
  <si>
    <t>SC-M-PBC-BL</t>
  </si>
  <si>
    <t>SC-SSC-BLACK</t>
  </si>
  <si>
    <t>B0GLGLW96N</t>
  </si>
  <si>
    <t>SC-ASF-SSC-BLACK</t>
  </si>
  <si>
    <t>SC-FK-SSC-BLACK</t>
  </si>
  <si>
    <t>SC-M-SSC-M-BLACK</t>
  </si>
  <si>
    <t>SC-SSC-BL</t>
  </si>
  <si>
    <t>B0FMNWZFQ9</t>
  </si>
  <si>
    <t>SC-ASF-SSC-BL</t>
  </si>
  <si>
    <t>SC-FK-SSC-BL</t>
  </si>
  <si>
    <t>SC-M-SSC-M-BL</t>
  </si>
  <si>
    <t>SC-FNDR-72x30x9</t>
  </si>
  <si>
    <t>SC-FNDR-75x30x9</t>
  </si>
  <si>
    <t>SC-FNDR-78x30x9</t>
  </si>
  <si>
    <t>SC-FNDR-72x36x9</t>
  </si>
  <si>
    <t>SC-FNDR-75x36x9</t>
  </si>
  <si>
    <t>SC-FNDR-78x36x9</t>
  </si>
  <si>
    <t>SC-FNDR-72x48x9</t>
  </si>
  <si>
    <t>SC-FNDR-75x48x9</t>
  </si>
  <si>
    <t>SC-FNDR-78x48x9</t>
  </si>
  <si>
    <t>SC-FNDR-72x60x9</t>
  </si>
  <si>
    <t>SC-FNDR-75x60x9</t>
  </si>
  <si>
    <t>SC-FNDR-78x60x9</t>
  </si>
  <si>
    <t>SC-FNDR-72x72x9</t>
  </si>
  <si>
    <t>SC-FNDR-75x72x9</t>
  </si>
  <si>
    <t>SC-FNDR-78x72x9</t>
  </si>
  <si>
    <t>SC-FNDR-84x72x9</t>
  </si>
  <si>
    <t>SC-LTX-ORTHO-S-72X30X6</t>
  </si>
  <si>
    <t>B0G3C7VW1V</t>
  </si>
  <si>
    <t>SC-ASF-LTX-ORTHO-S-72X30X6</t>
  </si>
  <si>
    <t>SC-F-LTX-ORTHO-S-72X30X6</t>
  </si>
  <si>
    <t>SC-M-LTX-ORTHO-S-72X30X6</t>
  </si>
  <si>
    <t>SC-LTX-ORTHO-S-75X30X6</t>
  </si>
  <si>
    <t>B0G3BSHTRS</t>
  </si>
  <si>
    <t>SC-ASF-LTX-ORTHO-S-75X30X6</t>
  </si>
  <si>
    <t>SC-F-LTX-ORTHO-S-75X30X6</t>
  </si>
  <si>
    <t>SC-M-LTX-ORTHO-S-75X30X6</t>
  </si>
  <si>
    <t>FU2275244-S-PM41515-75X30</t>
  </si>
  <si>
    <t>SC-LTX-ORTHO-S-78X30X6</t>
  </si>
  <si>
    <t>B0G3BVKRLL</t>
  </si>
  <si>
    <t>SC-ASF-LTX-ORTHO-S-78X30X6</t>
  </si>
  <si>
    <t>SC-F-LTX-ORTHO-S-78X30X6</t>
  </si>
  <si>
    <t>SC-M-LTX-ORTHO-S-78X30X6</t>
  </si>
  <si>
    <t>SC-LTX-ORTHO-S-72X36X6</t>
  </si>
  <si>
    <t>B0G3CC722B</t>
  </si>
  <si>
    <t>SC-ASF-LTX-ORTHO-S-72X36X6</t>
  </si>
  <si>
    <t>SC-F-LTX-ORTHO-S-72X36X6</t>
  </si>
  <si>
    <t>SC-M-LTX-ORTHO-S-72X36X6</t>
  </si>
  <si>
    <t>FU2275244-S-PM41515-72X36</t>
  </si>
  <si>
    <t>SC-LTX-ORTHO-S-75X36X6</t>
  </si>
  <si>
    <t>B0G3C633Q4</t>
  </si>
  <si>
    <t>SC-ASF-LTX-ORTHO-S-75X36X6</t>
  </si>
  <si>
    <t>SC-F-LTX-ORTHO-S-75X36X6</t>
  </si>
  <si>
    <t>SC-M-LTX-ORTHO-S-75X36X6</t>
  </si>
  <si>
    <t>FU2275244-S-PM41515-75X36</t>
  </si>
  <si>
    <t>SC-LTX-ORTHO-S-78X36X6</t>
  </si>
  <si>
    <t>B0G3CC68LG</t>
  </si>
  <si>
    <t>SC-ASF-LTX-ORTHO-S-78X36X6</t>
  </si>
  <si>
    <t>SC-F-LTX-ORTHO-S-78X36X6</t>
  </si>
  <si>
    <t>SC-M-LTX-ORTHO-S-78X36X6</t>
  </si>
  <si>
    <t>FU2275244-S-PM41515-78X36</t>
  </si>
  <si>
    <t>SC-LTX-ORTHO-S-84X36X6</t>
  </si>
  <si>
    <t>B0G3CX48PG</t>
  </si>
  <si>
    <t>SC-ASF-LTX-ORTHO-S-84X36X6</t>
  </si>
  <si>
    <t>SC-F-LTX-ORTHO-S-84X36X6</t>
  </si>
  <si>
    <t>SC-M-LTX-ORTHO-S-84X36X6</t>
  </si>
  <si>
    <t>SC-LTX-ORTHO-S-72X30X8</t>
  </si>
  <si>
    <t>B0G3BW8QFQ</t>
  </si>
  <si>
    <t>SC-ASF-LTX-ORTHO-S-72X30X8</t>
  </si>
  <si>
    <t>SC-F-LTX-ORTHO-S-72X30X8</t>
  </si>
  <si>
    <t>SC-M-LTX-ORTHO-S-72X30X8</t>
  </si>
  <si>
    <t>FU2275245-S-PM41515-72X30</t>
  </si>
  <si>
    <t>SC-LTX-ORTHO-S-75X30X8</t>
  </si>
  <si>
    <t>B0G3CMKQHX</t>
  </si>
  <si>
    <t>SC-ASF-LTX-ORTHO-S-75X30X8</t>
  </si>
  <si>
    <t>SC-F-LTX-ORTHO-S-75X30X8</t>
  </si>
  <si>
    <t>SC-M-LTX-ORTHO-S-75X30X8</t>
  </si>
  <si>
    <t>FU2275245-S-PM41515-75X30</t>
  </si>
  <si>
    <t>SC-LTX-ORTHO-S-78X30X8</t>
  </si>
  <si>
    <t>B0G3D21NYX</t>
  </si>
  <si>
    <t>SC-ASF-LTX-ORTHO-S-78X30X8</t>
  </si>
  <si>
    <t>SC-F-LTX-ORTHO-S-78X30X8</t>
  </si>
  <si>
    <t>SC-M-LTX-ORTHO-S-78X30X8</t>
  </si>
  <si>
    <t>SC-LTX-ORTHO-S-72X36X8</t>
  </si>
  <si>
    <t>B0G3C2WN23</t>
  </si>
  <si>
    <t>SC-ASF-LTX-ORTHO-S-72X36X8</t>
  </si>
  <si>
    <t>SC-F-LTX-ORTHO-S-72X36X8</t>
  </si>
  <si>
    <t>SC-M-LTX-ORTHO-S-72X36X8</t>
  </si>
  <si>
    <t>FU2275245-S-PM41515-72X36</t>
  </si>
  <si>
    <t>SC-LTX-ORTHO-S-75X36X8</t>
  </si>
  <si>
    <t>B0G3CC5QK3</t>
  </si>
  <si>
    <t>SC-ASF-LTX-ORTHO-S-75X36X8</t>
  </si>
  <si>
    <t>SC-F-LTX-ORTHO-S-75X36X8</t>
  </si>
  <si>
    <t>SC-M-LTX-ORTHO-S-75X36X8</t>
  </si>
  <si>
    <t>FU2275245-S-PM41515-75X36</t>
  </si>
  <si>
    <t>SC-LTX-ORTHO-S-78X36X8</t>
  </si>
  <si>
    <t>B0G3C273VT</t>
  </si>
  <si>
    <t>SC-ASF-LTX-ORTHO-S-78X36X8</t>
  </si>
  <si>
    <t>SC-FLEX-LTX-ORTHO-S-78X36X8</t>
  </si>
  <si>
    <t>SC-F-LTX-ORTHO-S-78X36X8</t>
  </si>
  <si>
    <t>SC-M-LTX-ORTHO-S-78X36X8</t>
  </si>
  <si>
    <t>SC-LTX-ORTHO-S-84X36X8</t>
  </si>
  <si>
    <t>B0G3CFGN5X</t>
  </si>
  <si>
    <t>SC-ASF-LTX-ORTHO-S-84X36X8</t>
  </si>
  <si>
    <t>SC-F-LTX-ORTHO-S-84X36X8</t>
  </si>
  <si>
    <t>SC-M-LTX-ORTHO-S-84X36X8</t>
  </si>
  <si>
    <t>SC-LTX-ORTHO-S-72X30X5</t>
  </si>
  <si>
    <t>B0G7JKNNVR</t>
  </si>
  <si>
    <t>SC-ASF-LTX-ORTHO-S-72x30x5</t>
  </si>
  <si>
    <t>SC-F-LTX-ORTHO-S-72x30x5</t>
  </si>
  <si>
    <t>SC-M-LTX-ORTHO-S-72X30X5</t>
  </si>
  <si>
    <t>FU2289349-S-PM41515-72X30</t>
  </si>
  <si>
    <t>SC-LTX-ORTHO-S-75X30X5</t>
  </si>
  <si>
    <t>B0G7JRHLQ8</t>
  </si>
  <si>
    <t>SC-ASF-LTX-ORTHO-S-75x30x5</t>
  </si>
  <si>
    <t>SC-F-LTX-ORTHO-S-75x30x5</t>
  </si>
  <si>
    <t>SC-M-LTX-ORTHO-S-75X30X5</t>
  </si>
  <si>
    <t>FU2289349-S-PM41515-75X30</t>
  </si>
  <si>
    <t>SC-LTX-ORTHO-S-78X30X5</t>
  </si>
  <si>
    <t>B0G7J9GVTG</t>
  </si>
  <si>
    <t>SC-ASF-LTX-ORTHO-S-78x30x5</t>
  </si>
  <si>
    <t>SC-F-LTX-ORTHO-S-78x30x5</t>
  </si>
  <si>
    <t>SC-M-LTX-ORTHO-S-78X30X5</t>
  </si>
  <si>
    <t>SC-LTX-ORTHO-S-72X36X5</t>
  </si>
  <si>
    <t>B0G7HSDJXL</t>
  </si>
  <si>
    <t>SC-ASF-LTX-ORTHO-S-72x36x5</t>
  </si>
  <si>
    <t>SC-F-LTX-ORTHO-S-72x36x5</t>
  </si>
  <si>
    <t>SC-M-LTX-ORTHO-S-72X36X5</t>
  </si>
  <si>
    <t>FU2289349-S-PM41515-72X36</t>
  </si>
  <si>
    <t>SC-LTX-ORTHO-S-75X36X5</t>
  </si>
  <si>
    <t>B0G7J4C6P3</t>
  </si>
  <si>
    <t>SC-ASF-LTX-ORTHO-S-75x36x5</t>
  </si>
  <si>
    <t>SC-F-LTX-ORTHO-S-75x36x5</t>
  </si>
  <si>
    <t>SC-M-LTX-ORTHO-S-75X36X5</t>
  </si>
  <si>
    <t>FU2289349-S-PM41515-75X36</t>
  </si>
  <si>
    <t>SC-LTX-ORTHO-S-78X36X5</t>
  </si>
  <si>
    <t>B0G7J8CFMZ</t>
  </si>
  <si>
    <t>SC-ASF-LTX-ORTHO-S-78x36x5</t>
  </si>
  <si>
    <t>SC-F-LTX-ORTHO-S-78x36x5</t>
  </si>
  <si>
    <t>SC-M-LTX-ORTHO-S-78X36X5</t>
  </si>
  <si>
    <t>SC-LTX-ORTHO-S-84X36X5</t>
  </si>
  <si>
    <t>B0G7JCVL6X</t>
  </si>
  <si>
    <t>SC-ASF-LTX-ORTHO-S-84x36x5</t>
  </si>
  <si>
    <t>SC-F-LTX-ORTHO-S-84x36x5</t>
  </si>
  <si>
    <t>SC-M-LTX-ORTHO-S-84X36X5</t>
  </si>
  <si>
    <t>SC-LTX-ORTHO-D-72X42X6</t>
  </si>
  <si>
    <t>B0G3C6P2S7</t>
  </si>
  <si>
    <t>SC-ASF-LTX-ORTHO-D-72X42X6</t>
  </si>
  <si>
    <t>SC-F-LTX-ORTHO-D-72X42X6</t>
  </si>
  <si>
    <t>SC-M-LTX-ORTHO-D-72X42X6</t>
  </si>
  <si>
    <t>SC-LTX-ORTHO-D-75X42X6</t>
  </si>
  <si>
    <t>B0G3BYTKN7</t>
  </si>
  <si>
    <t>SC-ASF-LTX-ORTHO-D-75X42X6</t>
  </si>
  <si>
    <t>SC-F-LTX-ORTHO-D-75X42X6</t>
  </si>
  <si>
    <t>SC-M-LTX-ORTHO-D-75X42X6</t>
  </si>
  <si>
    <t>SC-LTX-ORTHO-D-78X42X6</t>
  </si>
  <si>
    <t>B0G3CG4LZ6</t>
  </si>
  <si>
    <t>SC-ASF-LTX-ORTHO-D-78X42X6</t>
  </si>
  <si>
    <t>SC-F-LTX-ORTHO-D-78X42X6</t>
  </si>
  <si>
    <t>SC-M-LTX-ORTHO-D-78X42X6</t>
  </si>
  <si>
    <t>SC-LTX-ORTHO-D-72X42X8</t>
  </si>
  <si>
    <t>B0G3CMJVQC</t>
  </si>
  <si>
    <t>SC-ASF-LTX-ORTHO-D-72X42X8</t>
  </si>
  <si>
    <t>SC-F-LTX-ORTHO-D-72X42X8</t>
  </si>
  <si>
    <t>SC-M-LTX-ORTHO-D-72X42X8</t>
  </si>
  <si>
    <t>SC-LTX-ORTHO-D-75X42X8</t>
  </si>
  <si>
    <t>B0G3CLGZWM</t>
  </si>
  <si>
    <t>SC-ASF-LTX-ORTHO-D-75X42X8</t>
  </si>
  <si>
    <t>SC-F-LTX-ORTHO-D-75X42X8</t>
  </si>
  <si>
    <t>SC-M-LTX-ORTHO-D-75X42X8</t>
  </si>
  <si>
    <t>SC-LTX-ORTHO-D-78X42X8</t>
  </si>
  <si>
    <t>B0G3CLBRKB</t>
  </si>
  <si>
    <t>SC-ASF-LTX-ORTHO-D-78X42X8</t>
  </si>
  <si>
    <t>SC-F-LTX-ORTHO-D-78X42X8</t>
  </si>
  <si>
    <t>SC-M-LTX-ORTHO-D-78X42X8</t>
  </si>
  <si>
    <t>SC-LTX-ORTHO-D-72X48X8</t>
  </si>
  <si>
    <t>B0G3CY2MBY</t>
  </si>
  <si>
    <t>SC-ASF-LTX-ORTHO-D-72X48X8</t>
  </si>
  <si>
    <t>SC-F-LTX-ORTHO-D-72X48X8</t>
  </si>
  <si>
    <t>SC-M-LTX-ORTHO-D-72X48X8</t>
  </si>
  <si>
    <t>FU2275243-S-PM41515-72X48</t>
  </si>
  <si>
    <t>SC-LTX-ORTHO-D-75X48X8</t>
  </si>
  <si>
    <t>B0G3CJWFJ5</t>
  </si>
  <si>
    <t>SC-ASF-LTX-ORTHO-D-75X48X8</t>
  </si>
  <si>
    <t>SC-F-LTX-ORTHO-D-75X48X8</t>
  </si>
  <si>
    <t>SC-M-LTX-ORTHO-D-75X48X8</t>
  </si>
  <si>
    <t>FU2275243-S-PM41515-75X48</t>
  </si>
  <si>
    <t>SC-LTX-ORTHO-D-78X48X8</t>
  </si>
  <si>
    <t>B0G3CM256L</t>
  </si>
  <si>
    <t>SC-ASF-LTX-ORTHO-D-78X48X8</t>
  </si>
  <si>
    <t>SC-F-LTX-ORTHO-D-78X48X8</t>
  </si>
  <si>
    <t>SC-M-LTX-ORTHO-D-78X48X8</t>
  </si>
  <si>
    <t>SC-LTX-ORTHO-D-84X48X8</t>
  </si>
  <si>
    <t>B0G3C7V6FR</t>
  </si>
  <si>
    <t>SC-ASF-LTX-ORTHO-D-84X48X8</t>
  </si>
  <si>
    <t>SC-F-LTX-ORTHO-D-84X48X8</t>
  </si>
  <si>
    <t>SC-M-LTX-ORTHO-D-84X48X8</t>
  </si>
  <si>
    <t>SC-LTX-ORTHO-D-72X48X6</t>
  </si>
  <si>
    <t>B0G3CFZX69</t>
  </si>
  <si>
    <t>SC-ASF-LTX-ORTHO-D-72X48X6</t>
  </si>
  <si>
    <t>SC-F-LTX-ORTHO-D-72X48X6</t>
  </si>
  <si>
    <t>SC-M-LTX-ORTHO-D-72X48X6</t>
  </si>
  <si>
    <t>SC-LTX-ORTHO-D-75X48X6</t>
  </si>
  <si>
    <t>B0G3CLHBKX</t>
  </si>
  <si>
    <t>SC-ASF-LTX-ORTHO-D-75X48X6</t>
  </si>
  <si>
    <t>SC-F-LTX-ORTHO-D-75X48X6</t>
  </si>
  <si>
    <t>SC-M-LTX-ORTHO-D-75X48X6</t>
  </si>
  <si>
    <t>FU2275242-S-PM41515-75X48</t>
  </si>
  <si>
    <t>SC-LTX-ORTHO-D-78X48X6</t>
  </si>
  <si>
    <t>B0G3CJ2V8N</t>
  </si>
  <si>
    <t>SC-ASF-LTX-ORTHO-D-78X48X6</t>
  </si>
  <si>
    <t>SC-F-LTX-ORTHO-D-78X48X6</t>
  </si>
  <si>
    <t>SC-M-LTX-ORTHO-D-78X48X6</t>
  </si>
  <si>
    <t>FU2275242-S-PM41515-78X48</t>
  </si>
  <si>
    <t>SC-LTX-ORTHO-D-84X48X6</t>
  </si>
  <si>
    <t>B0G3CQ8HFS</t>
  </si>
  <si>
    <t>SC-ASF-LTX-ORTHO-D-84X48X6</t>
  </si>
  <si>
    <t>SC-F-LTX-ORTHO-D-84X48X6</t>
  </si>
  <si>
    <t>SC-M-LTX-ORTHO-D-84X48X6</t>
  </si>
  <si>
    <t>SC-LTX-ORTHO-Q-72X60X6</t>
  </si>
  <si>
    <t>B0G3CDX1H6</t>
  </si>
  <si>
    <t>SC-ASF-LTX-ORTHO-Q-72X60X6</t>
  </si>
  <si>
    <t>SC-F-LTX-ORTHO-Q-72X60X6</t>
  </si>
  <si>
    <t>SC-M-LTX-ORTHO-Q-72X60X6</t>
  </si>
  <si>
    <t>FU2275242-S-PM41515-72X60</t>
  </si>
  <si>
    <t>SC-LTX-ORTHO-Q-75X60X6</t>
  </si>
  <si>
    <t>B0G3BY4SK8</t>
  </si>
  <si>
    <t>SC-ASF-LTX-ORTHO-Q-75X60X6</t>
  </si>
  <si>
    <t>SC-F-LTX-ORTHO-Q-75X60X6</t>
  </si>
  <si>
    <t>SC-M-LTX-ORTHO-Q-75X60X6</t>
  </si>
  <si>
    <t>FU2275242-S-PM41515-75X60</t>
  </si>
  <si>
    <t>SC-LTX-ORTHO-Q-78X60X6</t>
  </si>
  <si>
    <t>B0G3CTR224</t>
  </si>
  <si>
    <t>SC-ASF-LTX-ORTHO-Q-78X60X6</t>
  </si>
  <si>
    <t>SC-F-LTX-ORTHO-Q-78X60X6</t>
  </si>
  <si>
    <t>SC-M-LTX-ORTHO-Q-78X60X6</t>
  </si>
  <si>
    <t>FU2275242-S-PM41515-78X60</t>
  </si>
  <si>
    <t>SC-LTX-ORTHO-Q-84X60X6</t>
  </si>
  <si>
    <t>B0G3CLJFKF</t>
  </si>
  <si>
    <t>SC-ASF-LTX-ORTHO-Q-84X60X6</t>
  </si>
  <si>
    <t>SC-F-LTX-ORTHO-Q-84X60X6</t>
  </si>
  <si>
    <t>SC-M-LTX-ORTHO-Q-84X60X6</t>
  </si>
  <si>
    <t>SC-LTX-ORTHO-Q-72X60X8</t>
  </si>
  <si>
    <t>B0G3CNC7P5</t>
  </si>
  <si>
    <t>SC-ASF-LTX-ORTHO-Q-72X60X8</t>
  </si>
  <si>
    <t>SC-F-LTX-ORTHO-Q-72X60X8</t>
  </si>
  <si>
    <t>SC-M-LTX-ORTHO-Q-72X60X8</t>
  </si>
  <si>
    <t>FU2275243-S-PM41515-72X60</t>
  </si>
  <si>
    <t>SC-LTX-ORTHO-Q-75X60X8</t>
  </si>
  <si>
    <t>B0G3CTX1NC</t>
  </si>
  <si>
    <t>SC-ASF-LTX-ORTHO-Q-75X60X8</t>
  </si>
  <si>
    <t>SC-F-LTX-ORTHO-Q-75X60X8</t>
  </si>
  <si>
    <t>SC-M-LTX-ORTHO-Q-75X60X8</t>
  </si>
  <si>
    <t>FU2275243-S-PM41515-75X60</t>
  </si>
  <si>
    <t>SC-LTX-ORTHO-Q-78X60X8</t>
  </si>
  <si>
    <t>B0G3CQPRB9</t>
  </si>
  <si>
    <t>SC-ASF-LTX-ORTHO-Q-78X60X8</t>
  </si>
  <si>
    <t>SC-F-LTX-ORTHO-Q-78X60X8</t>
  </si>
  <si>
    <t>SC-M-LTX-ORTHO-Q-78X60X8</t>
  </si>
  <si>
    <t>FU2275243-S-PM41515-78X60</t>
  </si>
  <si>
    <t>SC-LTX-ORTHO-Q-84X60X8</t>
  </si>
  <si>
    <t>B0G3C8FXKG</t>
  </si>
  <si>
    <t>SC-ASF-LTX-ORTHO-Q-84X60X8</t>
  </si>
  <si>
    <t>SC-F-LTX-ORTHO-Q-84X60X8</t>
  </si>
  <si>
    <t>SC-M-LTX-ORTHO-Q-84X60X8</t>
  </si>
  <si>
    <t>SC-LTX-ORTHO-Q-72X66X6</t>
  </si>
  <si>
    <t>B0G3CCQQDN</t>
  </si>
  <si>
    <t>SC-ASF-LTX-ORTHO-Q-72X66X6</t>
  </si>
  <si>
    <t>SC-F-LTX-ORTHO-Q-72X66X6</t>
  </si>
  <si>
    <t>SC-M-LTX-ORTHO-Q-72X66X6</t>
  </si>
  <si>
    <t>FU2275242-S-PM41515-72X66</t>
  </si>
  <si>
    <t>SC-LTX-ORTHO-Q-75X66X6</t>
  </si>
  <si>
    <t>B0G3CT4ZKM</t>
  </si>
  <si>
    <t>SC-ASF-LTX-ORTHO-Q-75X66X6</t>
  </si>
  <si>
    <t>SC-F-LTX-ORTHO-Q-75X66X6</t>
  </si>
  <si>
    <t>SC-M-LTX-ORTHO-Q-75X66X6</t>
  </si>
  <si>
    <t>FU2275242-S-PM41515-75X66</t>
  </si>
  <si>
    <t>SC-LTX-ORTHO-Q-78X66X6</t>
  </si>
  <si>
    <t>B0G3D4D1ZN</t>
  </si>
  <si>
    <t>SC-ASF-LTX-ORTHO-Q-78X66X6</t>
  </si>
  <si>
    <t>SC-F-LTX-ORTHO-Q-78X66X6</t>
  </si>
  <si>
    <t>SC-M-LTX-ORTHO-Q-78X66X6</t>
  </si>
  <si>
    <t>FU2275242-S-PM41515-78X66</t>
  </si>
  <si>
    <t>SC-LTX-ORTHO-Q-72X66X8</t>
  </si>
  <si>
    <t>B0G3C1Z7SB</t>
  </si>
  <si>
    <t>SC-ASF-LTX-ORTHO-Q-72X66X8</t>
  </si>
  <si>
    <t>SC-F-LTX-ORTHO-Q-72X66X8</t>
  </si>
  <si>
    <t>SC-M-LTX-ORTHO-Q-72X66X8</t>
  </si>
  <si>
    <t>FU2275243-S-PM41515-72X66</t>
  </si>
  <si>
    <t>SC-LTX-ORTHO-Q-75X66X8</t>
  </si>
  <si>
    <t>B0G3CQ9YP9</t>
  </si>
  <si>
    <t>SC-ASF-LTX-ORTHO-Q-75X66X8</t>
  </si>
  <si>
    <t>SC-F-LTX-ORTHO-Q-75X66X8</t>
  </si>
  <si>
    <t>SC-M-LTX-ORTHO-Q-75X66X8</t>
  </si>
  <si>
    <t>FU2275243-S-PM41515-75X66</t>
  </si>
  <si>
    <t>SC-LTX-ORTHO-Q-78X66X8</t>
  </si>
  <si>
    <t>B0G3CC2RPN</t>
  </si>
  <si>
    <t>SC-ASF-LTX-ORTHO-Q-78X66X8</t>
  </si>
  <si>
    <t>SC-F-LTX-ORTHO-Q-78X66X8</t>
  </si>
  <si>
    <t>SC-M-LTX-ORTHO-Q-78X66X8</t>
  </si>
  <si>
    <t>FU2275243-S-PM41515-78X66</t>
  </si>
  <si>
    <t>SC-LTX-ORTHO-K-72X72X6</t>
  </si>
  <si>
    <t>B0G3C251F1</t>
  </si>
  <si>
    <t>SC-ASF-LTX-ORTHO-K-72X72X6</t>
  </si>
  <si>
    <t>SC-F-LTX-ORTHO-K-72X72X6</t>
  </si>
  <si>
    <t>SC-M-LTX-ORTHO-K-72X72X6</t>
  </si>
  <si>
    <t>SC-LTX-ORTHO-K-75X72X6</t>
  </si>
  <si>
    <t>B0G3C92JXT</t>
  </si>
  <si>
    <t>SC-ASF-LTX-ORTHO-K-75X72X6</t>
  </si>
  <si>
    <t>SC-F-LTX-ORTHO-K-75X72X6</t>
  </si>
  <si>
    <t>SC-M-LTX-ORTHO-K-75X72X6</t>
  </si>
  <si>
    <t>FU2275240-S-PM41515-75X72</t>
  </si>
  <si>
    <t>SC-LTX-ORTHO-K-78X72X6</t>
  </si>
  <si>
    <t>B0G3BY1NZH</t>
  </si>
  <si>
    <t>SC-ASF-LTX-ORTHO-K-78X72X6</t>
  </si>
  <si>
    <t>SC-F-LTX-ORTHO-K-78X72X6</t>
  </si>
  <si>
    <t>SC-M-LTX-ORTHO-K-78X72X6</t>
  </si>
  <si>
    <t>FU2275240-S-PM41515-78X72</t>
  </si>
  <si>
    <t>SC-LTX-ORTHO-K-84X72X6</t>
  </si>
  <si>
    <t>B0G3C2TC1J</t>
  </si>
  <si>
    <t>SC-ASF-LTX-ORTHO-K-84X72X6</t>
  </si>
  <si>
    <t>SC-F-LTX-ORTHO-K-84X72X6</t>
  </si>
  <si>
    <t>SC-M-LTX-ORTHO-K-84X72X6</t>
  </si>
  <si>
    <t>FU2275240-S-PM41515-84X72</t>
  </si>
  <si>
    <t>SC-LTX-ORTHO-K-84X78X6</t>
  </si>
  <si>
    <t>B0G3CGLG2W</t>
  </si>
  <si>
    <t>SC-ASF-LTX-ORTHO-K-84X78X6</t>
  </si>
  <si>
    <t>SC-F-LTX-ORTHO-K-84X78X6</t>
  </si>
  <si>
    <t>SC-M-LTX-ORTHO-K-84X78X6</t>
  </si>
  <si>
    <t>SC-LTX-ORTHO-K-72X72X8</t>
  </si>
  <si>
    <t>B0G3C233F8</t>
  </si>
  <si>
    <t>SC-ASF-LTX-ORTHO-K-72X72X8</t>
  </si>
  <si>
    <t>SC-F-LTX-ORTHO-K-72X72X8</t>
  </si>
  <si>
    <t>SC-M-LTX-ORTHO-K-72X72X8</t>
  </si>
  <si>
    <t>SC-LTX-ORTHO-K-75X72X8</t>
  </si>
  <si>
    <t>B0G3CC4M7Y</t>
  </si>
  <si>
    <t>SC-ASF-LTX-ORTHO-K-75X72X8</t>
  </si>
  <si>
    <t>SC-F-LTX-ORTHO-K-75X72X8</t>
  </si>
  <si>
    <t>SC-M-LTX-ORTHO-K-75X72X8</t>
  </si>
  <si>
    <t>FU2275241-S-PM41515-75X72</t>
  </si>
  <si>
    <t>SC-LTX-ORTHO-K-78X72X8</t>
  </si>
  <si>
    <t>B0G3D21NYY</t>
  </si>
  <si>
    <t>SC-ASF-LTX-ORTHO-K-78X72X8</t>
  </si>
  <si>
    <t>SC-F-LTX-ORTHO-K-78X72X8</t>
  </si>
  <si>
    <t>SC-M-LTX-ORTHO-K-78X72X8</t>
  </si>
  <si>
    <t>FU2275241-S-PM41515-78X72</t>
  </si>
  <si>
    <t>SC-LTX-ORTHO-K-84X72X8</t>
  </si>
  <si>
    <t>B0G3CG2MCP</t>
  </si>
  <si>
    <t>SC-ASF-LTX-ORTHO-K-84X72X8</t>
  </si>
  <si>
    <t>SC-F-LTX-ORTHO-K-84X72X8</t>
  </si>
  <si>
    <t>SC-M-LTX-ORTHO-K-84X72X8</t>
  </si>
  <si>
    <t>FU2275241-S-PM41515-84X72</t>
  </si>
  <si>
    <t>SC-LTX-ORTHO-K-84X78X8</t>
  </si>
  <si>
    <t>B0G3D48PT8</t>
  </si>
  <si>
    <t>SC-ASF-LTX-ORTHO-K-84X78X8</t>
  </si>
  <si>
    <t>SC-F-LTX-ORTHO-K-84X78X8</t>
  </si>
  <si>
    <t>SC-M-LTX-ORTHO-K-84X78X8</t>
  </si>
  <si>
    <t>SC-LTX-ORTHO-D-72X42X5</t>
  </si>
  <si>
    <t>B0G7JL45QV</t>
  </si>
  <si>
    <t>SC-ASF-LTX-ORTHO-D-72x42x5</t>
  </si>
  <si>
    <t>SC-F-LTX-ORTHO-D-72x42x5</t>
  </si>
  <si>
    <t>SC-M-LTX-ORTHO-D-72X42X5</t>
  </si>
  <si>
    <t>SC-LTX-ORTHO-D-75X42X5</t>
  </si>
  <si>
    <t>B0G7HSHSY5</t>
  </si>
  <si>
    <t>SC-ASF-LTX-ORTHO-D-75x42x5</t>
  </si>
  <si>
    <t>SC-F-LTX-ORTHO-D-75x42x5</t>
  </si>
  <si>
    <t>SC-M-LTX-ORTHO-D-75X42X5</t>
  </si>
  <si>
    <t>SC-LTX-ORTHO-D-78X42X5</t>
  </si>
  <si>
    <t>B0G7JHGGLZ</t>
  </si>
  <si>
    <t>SC-ASF-LTX-ORTHO-D-78x42x5</t>
  </si>
  <si>
    <t>SC-F-LTX-ORTHO-D-78x42x5</t>
  </si>
  <si>
    <t>SC-M-LTX-ORTHO-D-78X42X5</t>
  </si>
  <si>
    <t>SC-LTX-ORTHO-D-72X48X5</t>
  </si>
  <si>
    <t>B0G7J4C6NX</t>
  </si>
  <si>
    <t>SC-ASF-LTX-ORTHO-D-72x48x5</t>
  </si>
  <si>
    <t>SC-F-LTX-ORTHO-D-72x48x5</t>
  </si>
  <si>
    <t>SC-M-LTX-ORTHO-D-72X48X5</t>
  </si>
  <si>
    <t>FU2289348-S-PM41515-72X48</t>
  </si>
  <si>
    <t>SC-LTX-ORTHO-D-75X48X5</t>
  </si>
  <si>
    <t>B0G7JH9JV4</t>
  </si>
  <si>
    <t>SC-ASF-LTX-ORTHO-D-75x48x5</t>
  </si>
  <si>
    <t>SC-F-LTX-ORTHO-D-75x48x5</t>
  </si>
  <si>
    <t>SC-M-LTX-ORTHO-D-75X48X5</t>
  </si>
  <si>
    <t>FU2289348-S-PM41515-75X48</t>
  </si>
  <si>
    <t>SC-LTX-ORTHO-D-78X48X5</t>
  </si>
  <si>
    <t>B0G7HSH1T5</t>
  </si>
  <si>
    <t>SC-ASF-LTX-ORTHO-D-78x48x5</t>
  </si>
  <si>
    <t>SC-F-LTX-ORTHO-D-78x48x5</t>
  </si>
  <si>
    <t>SC-M-LTX-ORTHO-D-78X48X5</t>
  </si>
  <si>
    <t>FU2289348-S-PM41515-78X48</t>
  </si>
  <si>
    <t>SC-LTX-ORTHO-D-84X48X5</t>
  </si>
  <si>
    <t>B0G7HVL3KC</t>
  </si>
  <si>
    <t>SC-ASF-LTX-ORTHO-D-84x48x5</t>
  </si>
  <si>
    <t>SC-F-LTX-ORTHO-D-84x48x5</t>
  </si>
  <si>
    <t>SC-M-LTX-ORTHO-D-84X48X5</t>
  </si>
  <si>
    <t>SC-LTX-ORTHO-Q-72X60X5</t>
  </si>
  <si>
    <t>B0G7JSR2H8</t>
  </si>
  <si>
    <t>SC-ASF-LTX-ORTHO-Q-72x60x5</t>
  </si>
  <si>
    <t>SC-F-LTX-ORTHO-Q-72x60x5</t>
  </si>
  <si>
    <t>SC-M-LTX-ORTHO-Q-72X60X5</t>
  </si>
  <si>
    <t>FU2289348-S-PM41515-72X60</t>
  </si>
  <si>
    <t>SC-LTX-ORTHO-Q-75X60X5</t>
  </si>
  <si>
    <t>B0G7JS5WXQ</t>
  </si>
  <si>
    <t>SC-ASF-LTX-ORTHO-Q-75x60x5</t>
  </si>
  <si>
    <t>SC-F-LTX-ORTHO-Q-75x60x5</t>
  </si>
  <si>
    <t>SC-M-LTX-ORTHO-Q-75X60X5</t>
  </si>
  <si>
    <t>FU2289348-S-PM41515-75X60</t>
  </si>
  <si>
    <t>SC-LTX-ORTHO-Q-78X60X5</t>
  </si>
  <si>
    <t>B0G7HXS2LF</t>
  </si>
  <si>
    <t>SC-ASF-LTX-ORTHO-Q-78x60x5</t>
  </si>
  <si>
    <t>SC-F-LTX-ORTHO-Q-78x60x5</t>
  </si>
  <si>
    <t>SC-M-LTX-ORTHO-Q-78X60X5</t>
  </si>
  <si>
    <t>FU2289348-S-PM41515-78X60</t>
  </si>
  <si>
    <t>SC-LTX-ORTHO-Q-72X66X5</t>
  </si>
  <si>
    <t>B0G7K1FTGL</t>
  </si>
  <si>
    <t>SC-ASF-LTX-ORTHO-Q-72x66x5</t>
  </si>
  <si>
    <t>SC-F-LTX-ORTHO-Q-72x66x5</t>
  </si>
  <si>
    <t>SC-M-LTX-ORTHO-Q-72X66X5</t>
  </si>
  <si>
    <t>FU2289348-S-PM41515-72X66</t>
  </si>
  <si>
    <t>SC-LTX-ORTHO-Q-75X66X5</t>
  </si>
  <si>
    <t>B0G7JSH8W3</t>
  </si>
  <si>
    <t>SC-ASF-LTX-ORTHO-Q-75x66x5</t>
  </si>
  <si>
    <t>SC-F-LTX-ORTHO-Q-75x66x5</t>
  </si>
  <si>
    <t>SC-M-LTX-ORTHO-Q-75X66X5</t>
  </si>
  <si>
    <t>FU2289348-S-PM41515-75X66</t>
  </si>
  <si>
    <t>SC-LTX-ORTHO-Q-78X66X5</t>
  </si>
  <si>
    <t>B0G7HRQQ99</t>
  </si>
  <si>
    <t>SC-ASF-LTX-ORTHO-Q-78x66x5</t>
  </si>
  <si>
    <t>SC-F-LTX-ORTHO-Q-78x66x5</t>
  </si>
  <si>
    <t>SC-M-LTX-ORTHO-Q-78X66X5</t>
  </si>
  <si>
    <t>SC-LTX-ORTHO-Q-84X60X5</t>
  </si>
  <si>
    <t>B0G7JKVZ2P</t>
  </si>
  <si>
    <t>SC-ASF-LTX-ORTHO-Q-84x60x5</t>
  </si>
  <si>
    <t>SC-F-LTX-ORTHO-Q-84x60x5</t>
  </si>
  <si>
    <t>SC-M-LTX-ORTHO-Q-84X60X5</t>
  </si>
  <si>
    <t>SC-LTX-ORTHO-K-72X72X5</t>
  </si>
  <si>
    <t>B0G7JJM812</t>
  </si>
  <si>
    <t>SC-ASF-LTX-ORTHO-K-72x72x5</t>
  </si>
  <si>
    <t>SC-F-LTX-ORTHO-K-72x72x5</t>
  </si>
  <si>
    <t>SC-M-LTX-ORTHO-K-72X72X5</t>
  </si>
  <si>
    <t>FU2289347-S-PM41515-72X72</t>
  </si>
  <si>
    <t>SC-LTX-ORTHO-K-75X72X5</t>
  </si>
  <si>
    <t>B0G7JNQ78N</t>
  </si>
  <si>
    <t>SC-ASF-LTX-ORTHO-K-75x72x5</t>
  </si>
  <si>
    <t>SC-F-LTX-ORTHO-K-75x72x5</t>
  </si>
  <si>
    <t>SC-M-LTX-ORTHO-K-75X72X5</t>
  </si>
  <si>
    <t>FU2289347-S-PM41515-75X72</t>
  </si>
  <si>
    <t>SC-LTX-ORTHO-K-78X72X5</t>
  </si>
  <si>
    <t>B0G7JCBDJJ</t>
  </si>
  <si>
    <t>SC-ASF-LTX-ORTHO-K-78x72x5</t>
  </si>
  <si>
    <t>SC-F-LTX-ORTHO-K-78x72x5</t>
  </si>
  <si>
    <t>SC-M-LTX-ORTHO-K-78X72X5</t>
  </si>
  <si>
    <t>FU2289347-S-PM41515-78X72</t>
  </si>
  <si>
    <t>SC-LTX-ORTHO-K-84X72X5</t>
  </si>
  <si>
    <t>B0G7HYSDMN</t>
  </si>
  <si>
    <t>SC-ASF-LTX-ORTHO-K-84x72x5</t>
  </si>
  <si>
    <t>SC-F-LTX-ORTHO-K-84x72x5</t>
  </si>
  <si>
    <t>SC-M-LTX-ORTHO-K-84X72X5</t>
  </si>
  <si>
    <t>FU2289347-S-PM41515-84X72</t>
  </si>
  <si>
    <t>SC-LTX-ORTHO-K-84X78X5</t>
  </si>
  <si>
    <t>B0G7J4V6WV</t>
  </si>
  <si>
    <t>SC-ASF-LTX-ORTHO-K-84x78x5</t>
  </si>
  <si>
    <t>SC-F-LTX-ORTHO-K-84x78x5</t>
  </si>
  <si>
    <t>SC-M-LTX-ORTHO-K-84X78X5</t>
  </si>
  <si>
    <t>Ergo-Car-Bundle-Black</t>
  </si>
  <si>
    <t>Ergo-Car-Bundle-Blue</t>
  </si>
  <si>
    <t>Ergo-Chair-Bundle-Black</t>
  </si>
  <si>
    <t>Ergo-Chair-Bundle-Blue</t>
  </si>
  <si>
    <t>SC-QRMTTOPPER-S-72x36x2</t>
  </si>
  <si>
    <t>B0GH12BR7D</t>
  </si>
  <si>
    <t>SC-ASF-QRMTTOPPER-S-72x36x2</t>
  </si>
  <si>
    <t>SC-F-QRMTTOPPER-S-72x36x2</t>
  </si>
  <si>
    <t>SC-M-QRMTTOPPER-S-72x36x2</t>
  </si>
  <si>
    <t>SC-QRMTTOPPER-S-78x36x2</t>
  </si>
  <si>
    <t>B0GGZVVW7D</t>
  </si>
  <si>
    <t>SC-ASF-QRMTTOPPER-S-78x36x2</t>
  </si>
  <si>
    <t>SC-F-QRMTTOPPER-S-78x36x2</t>
  </si>
  <si>
    <t>SC-M-QRMTTOPPER-S-78x36x2</t>
  </si>
  <si>
    <t>SC-QRMTTOPPER-D-72x48x2</t>
  </si>
  <si>
    <t>B0GGZVFCQM</t>
  </si>
  <si>
    <t>SC-ASF-QRMTTOPPER-D-72x48x2</t>
  </si>
  <si>
    <t>SC-F-QRMTTOPPER-D-72x48x2</t>
  </si>
  <si>
    <t>SC-M-QRMTTOPPER-D-72x48x2</t>
  </si>
  <si>
    <t>SC-QRMTTOPPER-Q-72x60x2</t>
  </si>
  <si>
    <t>B0GH175SR4</t>
  </si>
  <si>
    <t>SC-ASF-QRMTTOPPER-Q-72x60x2</t>
  </si>
  <si>
    <t>SC-F-QRMTTOPPER-Q-72x60x2</t>
  </si>
  <si>
    <t>SC-M-QRMTTOPPER-Q-72x60x2</t>
  </si>
  <si>
    <t>SC-QRMTTOPPER-K-75x60x2</t>
  </si>
  <si>
    <t>B0GGZW55Q5</t>
  </si>
  <si>
    <t>SC-ASF-QRMTTOPPER-K-75x60x2</t>
  </si>
  <si>
    <t>SC-F-QRMTTOPPER-K-75x60x2</t>
  </si>
  <si>
    <t>SC-M-QRMTTOPPER-K-75x60x2</t>
  </si>
  <si>
    <t>SC-QRMTTOPPER-Q-78x60x2</t>
  </si>
  <si>
    <t>B0GGZQMYTQ</t>
  </si>
  <si>
    <t>SC-ASF-QRMTTOPPER-Q-78x60x2</t>
  </si>
  <si>
    <t>SC-F-QRMTTOPPER-Q-78x60x2</t>
  </si>
  <si>
    <t>SC-M-QRMTTOPPER-Q-78x60x2</t>
  </si>
  <si>
    <t>SC-QRMTTOPPER-K-72x72x2</t>
  </si>
  <si>
    <t>B0GH19L9X1</t>
  </si>
  <si>
    <t>SC-ASF-QRMTTOPPER-K-72x72x2</t>
  </si>
  <si>
    <t>SC-F-QRMTTOPPER-K-72x72x2</t>
  </si>
  <si>
    <t>SC-M-QRMTTOPPER-K-72x72x2</t>
  </si>
  <si>
    <t>SC-QRMTTOPPER-K-75x72x2</t>
  </si>
  <si>
    <t>B0GH17PTLD</t>
  </si>
  <si>
    <t>SC-ASF-QRMTTOPPER-K-75x72x2</t>
  </si>
  <si>
    <t>SC-F-QRMTTOPPER-K-75x72x2</t>
  </si>
  <si>
    <t>SC-M-QRMTTOPPER-K-75x72x2</t>
  </si>
  <si>
    <t>SC-QRMTTOPPER-K-78x72x2</t>
  </si>
  <si>
    <t>B0GGZTPLCW</t>
  </si>
  <si>
    <t>SC-ASF-QRMTTOPPER-K-78x72x2</t>
  </si>
  <si>
    <t>SC-F-QRMTTOPPER-K-78x72x2</t>
  </si>
  <si>
    <t>SC-M-QRMTTOPPER-K-78x72x2</t>
  </si>
  <si>
    <t>SC-WTQLTPROT-S-72x36</t>
  </si>
  <si>
    <t>B0GGSSS5Z8</t>
  </si>
  <si>
    <t>SC-ASF-WTQLTPROT-S-72x36</t>
  </si>
  <si>
    <t>SC-F-WTQLTPROT-S-72x36</t>
  </si>
  <si>
    <t>SC-M-WTQLTPROT-S-72x36</t>
  </si>
  <si>
    <t>SC-WTQLTPROT-S-75x36</t>
  </si>
  <si>
    <t>B0GGSMNB7H</t>
  </si>
  <si>
    <t>SC-ASF-WTQLTPROT-S-75x36</t>
  </si>
  <si>
    <t>SC-F-WTQLTPROT-S-75x36</t>
  </si>
  <si>
    <t>SC-M-WTQLTPROT-S-75x36</t>
  </si>
  <si>
    <t>SC-WTQLTPROT-S-78x36</t>
  </si>
  <si>
    <t>B0GGS9YC97</t>
  </si>
  <si>
    <t>SC-ASF-WTQLTPROT-S-78x36</t>
  </si>
  <si>
    <t>SC-F-WTQLTPROT-S-78x36</t>
  </si>
  <si>
    <t>SC-M-WTQLTPROT-S-78x36</t>
  </si>
  <si>
    <t>SC-MRQLTPROT-S-72x36</t>
  </si>
  <si>
    <t>B0GGSBQJBR</t>
  </si>
  <si>
    <t>SC-ASF-MRQLTPROT-S-72x36</t>
  </si>
  <si>
    <t>SC-F-MRQLTPROT-S-72x36</t>
  </si>
  <si>
    <t>SC-M-MRQLTPROT-S-72x36</t>
  </si>
  <si>
    <t>SC-MRQLTPROT-S-75x36</t>
  </si>
  <si>
    <t>B0GGSFRGCQ</t>
  </si>
  <si>
    <t>SC-ASF-MRQLTPROT-S-75x36</t>
  </si>
  <si>
    <t>SC-F-MRQLTPROT-S-75x36</t>
  </si>
  <si>
    <t>SC-M-MRQLTPROT-S-75x36</t>
  </si>
  <si>
    <t>SC-MRQLTPROT-S-78x36</t>
  </si>
  <si>
    <t>B0GGSPCVQ7</t>
  </si>
  <si>
    <t>SC-ASF-MRQLTPROT-S-78x36</t>
  </si>
  <si>
    <t>SC-F-MRQLTPROT-S-78x36</t>
  </si>
  <si>
    <t>SC-M-MRQLTPROT-S-78x36</t>
  </si>
  <si>
    <t>SC-NBQLTPROT-S-72x36</t>
  </si>
  <si>
    <t>B0GGSLQ77Q</t>
  </si>
  <si>
    <t>SC-ASF-NBQLTPROT-S-72x36</t>
  </si>
  <si>
    <t>SC-F-NBQLTPROT-S-72x36</t>
  </si>
  <si>
    <t>SC-M-NBQLTPROT-S-72x36</t>
  </si>
  <si>
    <t>SC-NBQLTPROT-S-75x36</t>
  </si>
  <si>
    <t>B0GGSLQ77V</t>
  </si>
  <si>
    <t>SC-ASF-NBQLTPROT-S-75x36</t>
  </si>
  <si>
    <t>SC-F-NBQLTPROT-S-75x36</t>
  </si>
  <si>
    <t>SC-M-NBQLTPROT-S-75x36</t>
  </si>
  <si>
    <t>SC-NBQLTPROT-S-78x36</t>
  </si>
  <si>
    <t>B0GGSDX1CW</t>
  </si>
  <si>
    <t>SC-ASF-NBQLTPROT-S-78x36</t>
  </si>
  <si>
    <t>SC-F-NBQLTPROT-S-78x36</t>
  </si>
  <si>
    <t>SC-M-NBQLTPROT-S-78x36</t>
  </si>
  <si>
    <t>SC-GYQLTPROT-S-72x36</t>
  </si>
  <si>
    <t>B0GGS8SHYH</t>
  </si>
  <si>
    <t>SC-ASF-GYQLTPROT-S-72x36</t>
  </si>
  <si>
    <t>SC-F-GYQLTPROT-S-72x36</t>
  </si>
  <si>
    <t>SC-M-GYQLTPROT-S-72x36</t>
  </si>
  <si>
    <t>SC-GYQLTPROT-S-75x36</t>
  </si>
  <si>
    <t>SC-ASF-GYQLTPROT-S-75x36</t>
  </si>
  <si>
    <t>SC-F-GYQLTPROT-S-75x36</t>
  </si>
  <si>
    <t>SC-GYQLTPROT-S-78x36</t>
  </si>
  <si>
    <t>B0GGSJ8JZF</t>
  </si>
  <si>
    <t>SC-ASF-GYQLTPROT-S-78x36</t>
  </si>
  <si>
    <t>SC-F-GYQLTPROT-S-78x36</t>
  </si>
  <si>
    <t>SC-M-GYQLTPROT-S-78x36</t>
  </si>
  <si>
    <t>SC-WTQLTPROT-D-72x48</t>
  </si>
  <si>
    <t>B0GGST5BQK</t>
  </si>
  <si>
    <t>SC-ASF-WTQLTPROT-D-72x48</t>
  </si>
  <si>
    <t>SC-F-WTQLTPROT-D-72x48</t>
  </si>
  <si>
    <t>SC-M-WTQLTPROT-D-72x48</t>
  </si>
  <si>
    <t>SC-WTQLTPROT-D-75x48</t>
  </si>
  <si>
    <t>B0GGSNND25</t>
  </si>
  <si>
    <t>SC-ASF-WTQLTPROT-D-75x48</t>
  </si>
  <si>
    <t>SC-F-WTQLTPROT-D-75x48</t>
  </si>
  <si>
    <t>SC-M-WTQLTPROT-D-75x48</t>
  </si>
  <si>
    <t>SC-WTQLTPROT-D-78x48</t>
  </si>
  <si>
    <t>B0GGSQ944T</t>
  </si>
  <si>
    <t>SC-ASF-WTQLTPROT-D-78x48</t>
  </si>
  <si>
    <t>SC-F-WTQLTPROT-D-78x48</t>
  </si>
  <si>
    <t>SC-M-WTQLTPROT-D-78x48</t>
  </si>
  <si>
    <t>SC-MRQLTPROT-D-72x48</t>
  </si>
  <si>
    <t>B0GGSLL9VV</t>
  </si>
  <si>
    <t>SC-ASF-MRQLTPROT-D-72x48</t>
  </si>
  <si>
    <t>SC-F-MRQLTPROT-D-72x48</t>
  </si>
  <si>
    <t>SC-M-MRQLTPROT-D-72x48</t>
  </si>
  <si>
    <t>SC-MRQLTPROT-D-75x48</t>
  </si>
  <si>
    <t>B0GGSSVV8Y</t>
  </si>
  <si>
    <t>SC-ASF-MRQLTPROT-D-75x48</t>
  </si>
  <si>
    <t>SC-F-MRQLTPROT-D-75x48</t>
  </si>
  <si>
    <t>SC-M-MRQLTPROT-D-75x48</t>
  </si>
  <si>
    <t>SC-MRQLTPROT-D-78x48</t>
  </si>
  <si>
    <t>B0GGSLCD9X</t>
  </si>
  <si>
    <t>SC-ASF-MRQLTPROT-D-78x48</t>
  </si>
  <si>
    <t>SC-F-MRQLTPROT-D-78x48</t>
  </si>
  <si>
    <t>SC-M-MRQLTPROT-D-78x48</t>
  </si>
  <si>
    <t>SC-NBQLTPROT-D-72x48</t>
  </si>
  <si>
    <t>B0GGSPVDCG</t>
  </si>
  <si>
    <t>SC-ASF-NBQLTPROT-D-72x48</t>
  </si>
  <si>
    <t>SC-F-NBQLTPROT-D-72x48</t>
  </si>
  <si>
    <t>SC-M-NBQLTPROT-D-72x48</t>
  </si>
  <si>
    <t>SC-NBQLTPROT-D-75x48</t>
  </si>
  <si>
    <t>B0GGSQZYHY</t>
  </si>
  <si>
    <t>SC-ASF-NBQLTPROT-D-75x48</t>
  </si>
  <si>
    <t>SC-F-NBQLTPROT-D-75x48</t>
  </si>
  <si>
    <t>SC-M-NBQLTPROT-D-75x48</t>
  </si>
  <si>
    <t>SC-NBQLTPROT-D-78x48</t>
  </si>
  <si>
    <t>B0GGRXQJ7Q</t>
  </si>
  <si>
    <t>SC-ASF-NBQLTPROT-D-78x48</t>
  </si>
  <si>
    <t>SC-F-NBQLTPROT-D-78x48</t>
  </si>
  <si>
    <t>SC-M-NBQLTPROT-D-78x48</t>
  </si>
  <si>
    <t>SC-GYQLTPROT-D-72x48</t>
  </si>
  <si>
    <t>B0GGSHXYFH</t>
  </si>
  <si>
    <t>SC-ASF-GYQLTPROT-D-72x48</t>
  </si>
  <si>
    <t>SC-F-GYQLTPROT-D-72x48</t>
  </si>
  <si>
    <t>SC-M-GYQLTPROT-D-72x48</t>
  </si>
  <si>
    <t>SC-GYQLTPROT-D-75x48</t>
  </si>
  <si>
    <t>B0GGSMGDC8</t>
  </si>
  <si>
    <t>SC-ASF-GYQLTPROT-D-75x48</t>
  </si>
  <si>
    <t>SC-F-GYQLTPROT-D-75x48</t>
  </si>
  <si>
    <t>SC-M-GYQLTPROT-D-75x48</t>
  </si>
  <si>
    <t>SC-GYQLTPROT-D-78x48</t>
  </si>
  <si>
    <t>B0GGSLS9VW</t>
  </si>
  <si>
    <t>SC-ASF-GYQLTPROT-D-78x48</t>
  </si>
  <si>
    <t>SC-F-GYQLTPROT-D-78x48</t>
  </si>
  <si>
    <t>SC-M-GYQLTPROT-D-78x48</t>
  </si>
  <si>
    <t>SC-WTQLTPROT-Q-72x60</t>
  </si>
  <si>
    <t>B0GGT4JXN4</t>
  </si>
  <si>
    <t>SC-ASF-WTQLTPROT-Q-72x60</t>
  </si>
  <si>
    <t>SC-F-WTQLTPROT-Q-72x60</t>
  </si>
  <si>
    <t>SC-M-WTQLTPROT-Q-72x60</t>
  </si>
  <si>
    <t>SC-WTQLTPROT-D-75x60</t>
  </si>
  <si>
    <t>SC-ASF-WTQLTPROT-D-75x60</t>
  </si>
  <si>
    <t>SC-F-WTQLTPROT-D-75x60</t>
  </si>
  <si>
    <t>SC-WTQLTPROT-D-78x60</t>
  </si>
  <si>
    <t>SC-ASF-WTQLTPROT-D-78x60</t>
  </si>
  <si>
    <t>SC-F-WTQLTPROT-D-78x60</t>
  </si>
  <si>
    <t>SC-WTQLTPROT-Q-72x66</t>
  </si>
  <si>
    <t>B0GGSNVFKZ</t>
  </si>
  <si>
    <t>SC-ASF-WTQLTPROT-Q-72x66</t>
  </si>
  <si>
    <t>SC-F-WTQLTPROT-Q-72x66</t>
  </si>
  <si>
    <t>SC-M-WTQLTPROT-Q-72x66</t>
  </si>
  <si>
    <t>SC-WTQLTPROT-D-75x66</t>
  </si>
  <si>
    <t>SC-ASF-WTQLTPROT-D-75x66</t>
  </si>
  <si>
    <t>SC-F-WTQLTPROT-D-75x66</t>
  </si>
  <si>
    <t>SC-WTQLTPROT-D-78x66</t>
  </si>
  <si>
    <t>SC-ASF-WTQLTPROT-D-78x66</t>
  </si>
  <si>
    <t>SC-F-WTQLTPROT-D-78x66</t>
  </si>
  <si>
    <t>SC-MRQLTPROT-Q-72x60</t>
  </si>
  <si>
    <t>B0GGSPZ6MX</t>
  </si>
  <si>
    <t>SC-ASF-MRQLTPROT-Q-72x60</t>
  </si>
  <si>
    <t>SC-F-MRQLTPROT-Q-72x60</t>
  </si>
  <si>
    <t>SC-M-MRQLTPROT-Q-72x60</t>
  </si>
  <si>
    <t>SC-MRQLTPROT-D-75x60</t>
  </si>
  <si>
    <t>SC-ASF-MRQLTPROT-D-75x60</t>
  </si>
  <si>
    <t>SC-F-MRQLTPROT-D-75x60</t>
  </si>
  <si>
    <t>SC-MRQLTPROT-D-78x60</t>
  </si>
  <si>
    <t>SC-ASF-MRQLTPROT-D-78x60</t>
  </si>
  <si>
    <t>SC-F-MRQLTPROT-D-78x60</t>
  </si>
  <si>
    <t>SC-MRQLTPROT-Q-72x66</t>
  </si>
  <si>
    <t>B0GGSMKNDR</t>
  </si>
  <si>
    <t>SC-ASF-MRQLTPROT-Q-72x66</t>
  </si>
  <si>
    <t>SC-F-MRQLTPROT-Q-72x66</t>
  </si>
  <si>
    <t>SC-M-MRQLTPROT-Q-72x66</t>
  </si>
  <si>
    <t>SC-MRQLTPROT-D-75x66</t>
  </si>
  <si>
    <t>SC-ASF-MRQLTPROT-D-75x66</t>
  </si>
  <si>
    <t>SC-F-MRQLTPROT-D-75x66</t>
  </si>
  <si>
    <t>SC-MRQLTPROT-D-78x66</t>
  </si>
  <si>
    <t>SC-ASF-MRQLTPROT-D-78x66</t>
  </si>
  <si>
    <t>SC-F-MRQLTPROT-D-78x66</t>
  </si>
  <si>
    <t>SC-NBQLTPROT-Q-72x60</t>
  </si>
  <si>
    <t>B0GGSQ1XSV</t>
  </si>
  <si>
    <t>SC-ASF-NBQLTPROT-Q-72x60</t>
  </si>
  <si>
    <t>SC-F-NBQLTPROT-Q-72x60</t>
  </si>
  <si>
    <t>SC-M-NBQLTPROT-Q-72x60</t>
  </si>
  <si>
    <t>SC-NBQLTPROT-D-75x60</t>
  </si>
  <si>
    <t>SC-ASF-NBQLTPROT-D-75x60</t>
  </si>
  <si>
    <t>SC-F-NBQLTPROT-D-75x60</t>
  </si>
  <si>
    <t>SC-NBQLTPROT-D-78x60</t>
  </si>
  <si>
    <t>SC-ASF-NBQLTPROT-D-78x60</t>
  </si>
  <si>
    <t>SC-F-NBQLTPROT-D-78x60</t>
  </si>
  <si>
    <t>SC-NBQLTPROT-Q-72x66</t>
  </si>
  <si>
    <t>B0GGSXVMH6</t>
  </si>
  <si>
    <t>SC-ASF-NBQLTPROT-Q-72x66</t>
  </si>
  <si>
    <t>SC-F-NBQLTPROT-Q-72x66</t>
  </si>
  <si>
    <t>SC-M-NBQLTPROT-Q-72x66</t>
  </si>
  <si>
    <t>SC-NBQLTPROT-D-75x66</t>
  </si>
  <si>
    <t>SC-ASF-NBQLTPROT-D-75x66</t>
  </si>
  <si>
    <t>SC-F-NBQLTPROT-D-75x66</t>
  </si>
  <si>
    <t>SC-NBQLTPROT-D-78x66</t>
  </si>
  <si>
    <t>SC-ASF-NBQLTPROT-D-78x66</t>
  </si>
  <si>
    <t>SC-F-NBQLTPROT-D-78x66</t>
  </si>
  <si>
    <t>SC-GYQLTPROT-Q-72x60</t>
  </si>
  <si>
    <t>B0GGSBSV1C</t>
  </si>
  <si>
    <t>SC-ASF-GYQLTPROT-Q-72x60</t>
  </si>
  <si>
    <t>SC-F-GYQLTPROT-Q-72x60</t>
  </si>
  <si>
    <t>SC-M-GYQLTPROT-Q-72x60</t>
  </si>
  <si>
    <t>SC-GYQLTPROT-D-75x60</t>
  </si>
  <si>
    <t>SC-ASF-GYQLTPROT-D-75x60</t>
  </si>
  <si>
    <t>SC-F-GYQLTPROT-D-75x60</t>
  </si>
  <si>
    <t>SC-GYQLTPROT-D-78x60</t>
  </si>
  <si>
    <t>SC-ASF-GYQLTPROT-D-78x60</t>
  </si>
  <si>
    <t>SC-F-GYQLTPROT-D-78x60</t>
  </si>
  <si>
    <t>SC-GYQLTPROT-Q-72x66</t>
  </si>
  <si>
    <t>B0GGTBK8XX</t>
  </si>
  <si>
    <t>SC-ASF-GYQLTPROT-Q-72x66</t>
  </si>
  <si>
    <t>SC-F-GYQLTPROT-Q-72x66</t>
  </si>
  <si>
    <t>SC-M-GYQLTPROT-Q-72x66</t>
  </si>
  <si>
    <t>SC-GYQLTPROT-D-75x66</t>
  </si>
  <si>
    <t>SC-ASF-GYQLTPROT-D-75x66</t>
  </si>
  <si>
    <t>SC-F-GYQLTPROT-D-75x66</t>
  </si>
  <si>
    <t>SC-GYQLTPROT-D-78x66</t>
  </si>
  <si>
    <t>SC-ASF-GYQLTPROT-D-78x66</t>
  </si>
  <si>
    <t>SC-F-GYQLTPROT-D-78x66</t>
  </si>
  <si>
    <t>SC-WTQLTPROT-K-72x72</t>
  </si>
  <si>
    <t>B0GGSL2PQZ</t>
  </si>
  <si>
    <t>SC-ASF-WTQLTPROT-K-72x72</t>
  </si>
  <si>
    <t>SC-F-WTQLTPROT-K-72x72</t>
  </si>
  <si>
    <t>SC-M-WTQLTPROT-K-72x72</t>
  </si>
  <si>
    <t>SC-WTQLTPROT-K-75x72</t>
  </si>
  <si>
    <t>B0GGSJLN8N</t>
  </si>
  <si>
    <t>SC-ASF-WTQLTPROT-K-75x72</t>
  </si>
  <si>
    <t>SC-F-WTQLTPROT-K-75x72</t>
  </si>
  <si>
    <t>SC-M-WTQLTPROT-K-75x72</t>
  </si>
  <si>
    <t>SC-WTQLTPROT-K-78x72</t>
  </si>
  <si>
    <t>B0GGSSD91D</t>
  </si>
  <si>
    <t>SC-ASF-WTQLTPROT-K-78x72</t>
  </si>
  <si>
    <t>SC-F-WTQLTPROT-K-78x72</t>
  </si>
  <si>
    <t>SC-M-WTQLTPROT-K-78x72</t>
  </si>
  <si>
    <t>SC-MRQLTPROT-K-72x72</t>
  </si>
  <si>
    <t>B0GGSBPVKV</t>
  </si>
  <si>
    <t>SC-ASF-MRQLTPROT-K-72x72</t>
  </si>
  <si>
    <t>SC-F-MRQLTPROT-K-72x72</t>
  </si>
  <si>
    <t>SC-M-MRQLTPROT-K-72x72</t>
  </si>
  <si>
    <t>SC-MRQLTPROT-K-75x72</t>
  </si>
  <si>
    <t>B0GGSJ7TJK</t>
  </si>
  <si>
    <t>SC-ASF-MRQLTPROT-K-75x72</t>
  </si>
  <si>
    <t>SC-F-MRQLTPROT-K-75x72</t>
  </si>
  <si>
    <t>SC-M-MRQLTPROT-K-75x72</t>
  </si>
  <si>
    <t>SC-MRQLTPROT-K-78x72</t>
  </si>
  <si>
    <t>B0GGSRNGHJ</t>
  </si>
  <si>
    <t>SC-ASF-MRQLTPROT-K-78x72</t>
  </si>
  <si>
    <t>SC-F-MRQLTPROT-K-78x72</t>
  </si>
  <si>
    <t>SC-M-MRQLTPROT-K-78x72</t>
  </si>
  <si>
    <t>SC-NBQLTPROT-K-72x72</t>
  </si>
  <si>
    <t>B0GGSF12JB</t>
  </si>
  <si>
    <t>SC-ASF-NBQLTPROT-K-72x72</t>
  </si>
  <si>
    <t>SC-F-NBQLTPROT-K-72x72</t>
  </si>
  <si>
    <t>SC-M-NBQLTPROT-K-72x72</t>
  </si>
  <si>
    <t>SC-NBQLTPROT-K-75x72</t>
  </si>
  <si>
    <t>B0GGS9C6F1</t>
  </si>
  <si>
    <t>SC-ASF-NBQLTPROT-K-75x72</t>
  </si>
  <si>
    <t>SC-F-NBQLTPROT-K-75x72</t>
  </si>
  <si>
    <t>SC-M-NBQLTPROT-K-75x72</t>
  </si>
  <si>
    <t>SC-NBQLTPROT-K-78x72</t>
  </si>
  <si>
    <t>B0GGSGLGP3</t>
  </si>
  <si>
    <t>SC-ASF-NBQLTPROT-K-78x72</t>
  </si>
  <si>
    <t>SC-F-NBQLTPROT-K-78x72</t>
  </si>
  <si>
    <t>SC-M-NBQLTPROT-K-78x72</t>
  </si>
  <si>
    <t>SC-GYQLTPROT-K-72x72</t>
  </si>
  <si>
    <t>B0GGSBGHT1</t>
  </si>
  <si>
    <t>SC-ASF-GYQLTPROT-K-72x72</t>
  </si>
  <si>
    <t>SC-F-GYQLTPROT-K-72x72</t>
  </si>
  <si>
    <t>SC-M-GYQLTPROT-K-72x72</t>
  </si>
  <si>
    <t>SC-GYQLTPROT-K-75x72</t>
  </si>
  <si>
    <t>B0GGSTZ2KF</t>
  </si>
  <si>
    <t>SC-ASF-GYQLTPROT-K-75x72</t>
  </si>
  <si>
    <t>SC-F-GYQLTPROT-K-75x72</t>
  </si>
  <si>
    <t>SC-M-GYQLTPROT-K-75x72</t>
  </si>
  <si>
    <t>SC-GYQLTPROT-K-78x72</t>
  </si>
  <si>
    <t>B0GGSBQYFP</t>
  </si>
  <si>
    <t>SC-ASF-GYQLTPROT-K-78x72</t>
  </si>
  <si>
    <t>SC-F-GYQLTPROT-K-78x72</t>
  </si>
  <si>
    <t>SC-M-GYQLTPROT-K-78x72</t>
  </si>
  <si>
    <t>SC-CNC-BLK-SMALL</t>
  </si>
  <si>
    <t>B0GQ3QQFJ1</t>
  </si>
  <si>
    <t>SC-ASF-CNC-BLK-SMALL</t>
  </si>
  <si>
    <t>SC-M-CNC-BLK-SMALL</t>
  </si>
  <si>
    <t>SC-CNC-BL-SMALL</t>
  </si>
  <si>
    <t>B0GQ3VXL41</t>
  </si>
  <si>
    <t>SC-ASF-CNC-BL-SMALL</t>
  </si>
  <si>
    <t>SC-M-CNC-BL-SMALL</t>
  </si>
  <si>
    <t>SC-Katachi-Double-Bed-72x48 - Part 1</t>
  </si>
  <si>
    <t>SC-Katachi-Double-Bed-72x48 - Part 2</t>
  </si>
  <si>
    <t>SC-Taurus-Recliner-Bed-King-78x72-Bracket</t>
  </si>
  <si>
    <t>SC-Taurus-Recliner-Bed-King-78x72-BedBase</t>
  </si>
  <si>
    <t>SC-Taurus-Recliner-Bed-King-78x72-HeadBoard</t>
  </si>
  <si>
    <t>SC-BDPILW-S-50x19</t>
  </si>
  <si>
    <t>B08KS2YSFR</t>
  </si>
  <si>
    <t>SC-ASF-BDPILW-19x50</t>
  </si>
  <si>
    <t>SC-F-BDPILW19x50</t>
  </si>
  <si>
    <t>SC-M-BDPILW-S-50x19</t>
  </si>
  <si>
    <t>FU1885161-S-PM41515</t>
  </si>
  <si>
    <t>Cuddle Pillow</t>
  </si>
  <si>
    <t>SC-GRBDPILWCS-S-52x20</t>
  </si>
  <si>
    <t>SC-Ohayo-Double-Bed-72x48 - Part 1</t>
  </si>
  <si>
    <t>SC-Ohayo-Double-Bed-72x48 - Part 2</t>
  </si>
  <si>
    <t>SC-Ohayo-Double-Bed-78x48 - Part 1</t>
  </si>
  <si>
    <t>SC-Ohayo-Double-Bed-78x48 - Part 2</t>
  </si>
  <si>
    <t>SC-Ohayo-King-Bed-72x72 - Part 2</t>
  </si>
  <si>
    <t>SC-Ohayo-King-Bed-72x72- Part 1</t>
  </si>
  <si>
    <t>SC-Ohayo-King-Bed-75x72 - Part 1</t>
  </si>
  <si>
    <t>SC-Ohayo-King-Bed-75x72 - Part 2</t>
  </si>
  <si>
    <t>SC-Ohayo-King-Bed-78x72 - Part 1</t>
  </si>
  <si>
    <t>SC-Ohayo-King-Bed-78x72 - Part 2</t>
  </si>
  <si>
    <t>SC-Ohayo-Queen-Bed-72x60 - Part 1</t>
  </si>
  <si>
    <t>SC-Ohayo-Queen-Bed-72x60 - Part 2</t>
  </si>
  <si>
    <t>SC-Ohayo-Queen-Bed-72x60 - Part 3</t>
  </si>
  <si>
    <t>SC-Ohayo-Queen-Bed-75x60 - Part 1</t>
  </si>
  <si>
    <t>SC-Ohayo-Queen-Bed-75x60 - Part 3</t>
  </si>
  <si>
    <t>SC-Ohayo-Queen-Bed-75x60 - Part 2</t>
  </si>
  <si>
    <t>SC-Ohayo-Queen-Bed-78x60 - Part 1</t>
  </si>
  <si>
    <t>SC-Ohayo-Queen-Bed-78x60 - Part 3</t>
  </si>
  <si>
    <t>SC-Ohayo-Queen-Bed-78x60 -Part 2</t>
  </si>
  <si>
    <t>SC-Ohayo-Single-Bed-78x36 - Part 1</t>
  </si>
  <si>
    <t>SC-Ohayo-Single-Bed-78x36 - Part 2</t>
  </si>
  <si>
    <t>SC-Katachi-Double-Bed-78x48 - Part 1</t>
  </si>
  <si>
    <t>SC-Katachi-Double-Bed-78x48 - Part 2</t>
  </si>
  <si>
    <t>SC-Katachi-King- Bed-72x72 - Part 1</t>
  </si>
  <si>
    <t>SC-Katachi-King- Bed-72x72- Part 2</t>
  </si>
  <si>
    <t>SC-Katachi-King-Bed-78x72 - Part 1</t>
  </si>
  <si>
    <t>SC-Katachi-King-Bed-78x72 - Part 2</t>
  </si>
  <si>
    <t>SC-Katachi-Queen-Bed-78x60 - Part 1</t>
  </si>
  <si>
    <t>SC-Katachi-Queen-Bed-78x60 - Part 2</t>
  </si>
  <si>
    <t>SC-Katachi-Queen-Bed-78x60 - Part 3</t>
  </si>
  <si>
    <t>Ergo-Small-Car-Bundle-Black</t>
  </si>
  <si>
    <t>Ergo-Small-Car-Bundle-Blue</t>
  </si>
  <si>
    <t>Mobility</t>
  </si>
  <si>
    <t>SC-LATEXTOPPER-S-72x36x1.5</t>
  </si>
  <si>
    <t>Latex Topper</t>
  </si>
  <si>
    <t>Bedding</t>
  </si>
  <si>
    <t>SC-LATEXTOPPER-S-78x36x1.5</t>
  </si>
  <si>
    <t>B0GSBCRSN1</t>
  </si>
  <si>
    <t>SC-ASF-LATEXTOPPER-S-78x36x1.5</t>
  </si>
  <si>
    <t>SC-FK-LATEXTOPPER-S-78x36x1.5</t>
  </si>
  <si>
    <t>SC-M-LATEXTOPPER-S-78x36x1.5</t>
  </si>
  <si>
    <t>SC-LATEXTOPPER-D-72x48x1.5</t>
  </si>
  <si>
    <t>SC-LATEXTOPPER-Q-72x60x1.5</t>
  </si>
  <si>
    <t>B0GSB1WSSG</t>
  </si>
  <si>
    <t>SC-ASF-LATEXTOPPER-Q-72x60x1.5</t>
  </si>
  <si>
    <t>SC-FK-LATEXTOPPER-Q-72x60x1.5</t>
  </si>
  <si>
    <t>SC-M-LATEXTOPPER-Q-72x60x1.5</t>
  </si>
  <si>
    <t>SC-LATEXTOPPER-Q-75x60x1.5</t>
  </si>
  <si>
    <t>SC-LATEXTOPPER-Q-78x60x1.5</t>
  </si>
  <si>
    <t>SC-LATEXTOPPER-K-72x72x1.5</t>
  </si>
  <si>
    <t>B0GSB5Q5RJ</t>
  </si>
  <si>
    <t>SC-ASF-LATEXTOPPER-K-72x72x1.5</t>
  </si>
  <si>
    <t>SC-FK-LATEXTOPPER-K-72x72x1.5</t>
  </si>
  <si>
    <t>SC-M-LATEXTOPPER-K-72x72x1.5</t>
  </si>
  <si>
    <t>SC-LATEXTOPPER-K-75x72x1.5</t>
  </si>
  <si>
    <t>SC-LATEXTOPPER-K-78x72x1.5</t>
  </si>
  <si>
    <t>SC-ASF-ORIG-Q-72x60x6</t>
  </si>
  <si>
    <t>SC-FLEX-78x72x8</t>
  </si>
  <si>
    <t>B08V53S7J5</t>
  </si>
  <si>
    <t>SC-FLEX-ZIPILWS2-20x32</t>
  </si>
  <si>
    <t>SC-M-CLPILWSET2-P-32x20</t>
  </si>
  <si>
    <t>B08V5B923X</t>
  </si>
  <si>
    <t>SC-FLEX-ZIPILW-20x32</t>
  </si>
  <si>
    <t>SC-M-CLPILW-P-32x20</t>
  </si>
  <si>
    <t>SC-FLEX-75x36x10</t>
  </si>
  <si>
    <t>SC-ULTM-D-72x48x10</t>
  </si>
  <si>
    <t>B09XGLKRM4</t>
  </si>
  <si>
    <t>SC-ASF-ULTM-D-72x48x10</t>
  </si>
  <si>
    <t>SC-M-ULTM-D-72x48x10</t>
  </si>
  <si>
    <t>SC-ULTM-D-75x48x10</t>
  </si>
  <si>
    <t>B09XGSBJP8</t>
  </si>
  <si>
    <t>SC-ASF-ULTM-D-75x48x10</t>
  </si>
  <si>
    <t>SC-M-ULTM-D-75x48x10</t>
  </si>
  <si>
    <t>B09XXW4L26</t>
  </si>
  <si>
    <t>SC-FLEX2-PETBEDORIG-M.Red-L-46x32</t>
  </si>
  <si>
    <t>SC-M-PETBEDORIG-M.Red-L-46x32</t>
  </si>
  <si>
    <t>SC-ADMFPILW-S-25x16</t>
  </si>
  <si>
    <t>B0B4N843GQ</t>
  </si>
  <si>
    <t>SC-ASF-ADMFPILW-S-25x16</t>
  </si>
  <si>
    <t>SC-M-ADMFPILW-S-25x16</t>
  </si>
  <si>
    <t>B0DGPYXG9P</t>
  </si>
  <si>
    <t>SC-A-DUAL-K-72x72x4</t>
  </si>
  <si>
    <t>B0DGPZWRKF</t>
  </si>
  <si>
    <t>SC-A-DUAL-Q-78x60x4</t>
  </si>
  <si>
    <t>B0DGQ2HP5K</t>
  </si>
  <si>
    <t>SC-A-DUAL-Q-78x60x5</t>
  </si>
  <si>
    <t>B0F2SWXPMT</t>
  </si>
  <si>
    <t>SC-FLEX-STD-LTX-BAM-24x16</t>
  </si>
  <si>
    <t>SC-M-STD-LTX-BAM-24x16</t>
  </si>
  <si>
    <t>SC-MFMTTOPPER-K-75x60x2</t>
  </si>
  <si>
    <t>B0FHHXVVWN</t>
  </si>
  <si>
    <t>SC-ASF-MFMTTOPPER-Q-75x60x2</t>
  </si>
  <si>
    <t>SC-FK-MFMTTOPPER-K-75x60x2</t>
  </si>
  <si>
    <t>SC-M-MFMTTOPPER-K-75x60x2</t>
  </si>
  <si>
    <t>SC-ULTM-S-84x36x8</t>
  </si>
  <si>
    <t>B0FN9PVK2B</t>
  </si>
  <si>
    <t>SC-ASF-ULTM-S-84x36x8</t>
  </si>
  <si>
    <t>SC-M-ULTM-S-84x36x8</t>
  </si>
  <si>
    <t>B0FST5V996</t>
  </si>
  <si>
    <t>SC-AF-PETBEDORTHO-M.Red-M-28x26</t>
  </si>
  <si>
    <t>SC-F-PETBEDORTHO-M.Red-M-28X26</t>
  </si>
  <si>
    <t>B0FSTCNH49</t>
  </si>
  <si>
    <t>SC-AF-PETBEDORIG-M.Red-L-46x32</t>
  </si>
  <si>
    <t>B0FSTD5RCR</t>
  </si>
  <si>
    <t>SC-AF-PETBEDORTHO-M.Red-XL-52X28</t>
  </si>
  <si>
    <t>SC-F-PETBEDORTHO-M.Red-XL-52X28</t>
  </si>
  <si>
    <t>B0FSTD9JDC</t>
  </si>
  <si>
    <t>SC-AF-PETBEDORTHO-N.Blue-M-28x26</t>
  </si>
  <si>
    <t>SC-F-PETBEDORTHO-N.Blue-M-28X26</t>
  </si>
  <si>
    <t>B0FSTJ7FFJ</t>
  </si>
  <si>
    <t>SC-AF-PETBEDORIG-N.Blue-XL-54x36</t>
  </si>
  <si>
    <t>SC-F-PETBEDORIG-N.Blue-XL-54x36</t>
  </si>
  <si>
    <t>SC-ULTM-S-84x36x10</t>
  </si>
  <si>
    <t>B0FWM5QVTS</t>
  </si>
  <si>
    <t>SC-ASF-ULTM-S-84X36X10</t>
  </si>
  <si>
    <t>SC-M-ULTM-S-84x36x10</t>
  </si>
  <si>
    <t>SC-FLEX-QRMTTOPPER-S-78x36x2</t>
  </si>
  <si>
    <t>SC-ASF-SMFPILWSET4-BAM-S-22x14</t>
  </si>
  <si>
    <t>B0GLPV9NY6</t>
  </si>
  <si>
    <t>SC-F-ASF-SMFPILWSET4-BAM-S-22x14</t>
  </si>
  <si>
    <t>SC-M-ASF-SMFPILWSET4-BAM-S-22x14</t>
  </si>
  <si>
    <t>SC-ASF-MFPILWS4-CLT-S-25x16</t>
  </si>
  <si>
    <t>B0GLPZPWXM</t>
  </si>
  <si>
    <t>SC-M-ASF-MFPILWS4-CLT-S-25x16</t>
  </si>
  <si>
    <t>SC-ASF-CONMFPILWS4-BAM-25x16</t>
  </si>
  <si>
    <t>B0GLQ2BCVR</t>
  </si>
  <si>
    <t>SC-M-ASF-CONMFPILWS4-BAM-25x16</t>
  </si>
  <si>
    <t>SC-CON-MFPILWS4-CLT-25x16</t>
  </si>
  <si>
    <t>B0GLQ2GWDV</t>
  </si>
  <si>
    <t>SC-ASF-CON-MFPILWS4-CLT-25x16</t>
  </si>
  <si>
    <t>SC-F-CON-MFPILWS4-CLT-25x16</t>
  </si>
  <si>
    <t>SC-M-CON-MFPILWS4-CLT-25x16</t>
  </si>
  <si>
    <t>SC-SUPRSOFTPILWSET2-S-25x16</t>
  </si>
  <si>
    <t>B0GM2SB6VK</t>
  </si>
  <si>
    <t>SC-ASF-SUPRSOFTPILWSET2-S-25x16</t>
  </si>
  <si>
    <t>SC-M-SUPRSOFTPILWSET2-S-25x16</t>
  </si>
  <si>
    <t>SC-DCPILWSET2-BAM-25x15</t>
  </si>
  <si>
    <t>B0GM2SF986</t>
  </si>
  <si>
    <t>SC-ASF-DCPILWSET2-BAM-25x15</t>
  </si>
  <si>
    <t>SC-F-DCPILWSET2-BAM-25x15</t>
  </si>
  <si>
    <t>SC-M-DCPILWSET2-BAM-25x15</t>
  </si>
  <si>
    <t>SC-COOLFLEXPILWSET2-S-24x16</t>
  </si>
  <si>
    <t>B0GM2ZD1YJ</t>
  </si>
  <si>
    <t>SC-ASF-COOLFLEXPILWSET2-S-24x16</t>
  </si>
  <si>
    <t>SC-F-COOLFLEXPILWSET2-S-24x16</t>
  </si>
  <si>
    <t>SC-M-COOLFLEXPILWSET2-S-24x16</t>
  </si>
  <si>
    <t>SC-BDPILWSET2-19x50</t>
  </si>
  <si>
    <t>B0GM319ZNL</t>
  </si>
  <si>
    <t>SC-ASF-BDPILWSET2-19x50</t>
  </si>
  <si>
    <t>SC-M-BDPILWSET2-19x50</t>
  </si>
  <si>
    <t>B0GSB5GCWL</t>
  </si>
  <si>
    <t>SC-ASF-LATEXTOPPER-K-78x72x1.5</t>
  </si>
  <si>
    <t>SC-M-LATEXTOPPER-K-78x72x1.5</t>
  </si>
  <si>
    <t>B0GSB83NRQ</t>
  </si>
  <si>
    <t>SC-ASF-LATEXTOPPER-Q-78x60x1.5</t>
  </si>
  <si>
    <t>SC-M-LATEXTOPPER-Q-78x60x1.5</t>
  </si>
  <si>
    <t>B0GSBDCHXK</t>
  </si>
  <si>
    <t>SC-ASF-LATEXTOPPER-K-75x72x1.5</t>
  </si>
  <si>
    <t>SC-M-LATEXTOPPER-K-75x72x1.5</t>
  </si>
  <si>
    <t>B0GSBGYNKG</t>
  </si>
  <si>
    <t>SC-ASF-LATEXTOPPER-D-72x48x1.5</t>
  </si>
  <si>
    <t>SC-M-LATEXTOPPER-D-72x48x1.5</t>
  </si>
  <si>
    <t>B0GTV5HPXV</t>
  </si>
  <si>
    <t>SC-ASF-EVGRDVTCOVER-S-90x60</t>
  </si>
  <si>
    <t>SC-M-EVGRDVTCOVER-S-90x60</t>
  </si>
  <si>
    <t>B0GTV67BK8</t>
  </si>
  <si>
    <t>SC-ASF-EVGRDVTCOVER-D-90x100</t>
  </si>
  <si>
    <t>SC-M-EVGRDVTCOVER-D-90x100</t>
  </si>
  <si>
    <t>B0GVF93GX9</t>
  </si>
  <si>
    <t>SC-ASF-SLMMFPILWSET1-BAM-S-25x15</t>
  </si>
  <si>
    <t>SC-LTX-ORTHO-K-75x75x5</t>
  </si>
  <si>
    <t>B0G7J5RHRM</t>
  </si>
  <si>
    <t>SC-ASF-LTX-ORTHO-K-75x75x5</t>
  </si>
  <si>
    <t>SC-F-LTX-ORTHO-K-75x75x5</t>
  </si>
  <si>
    <t>SC-LTX-ORTHO-K-75x75x6</t>
  </si>
  <si>
    <t>B0G3CW99RS</t>
  </si>
  <si>
    <t>SC-ASF-LTX-ORTHO-K-75x75x6</t>
  </si>
  <si>
    <t>SC-F-LTX-ORTHO-K-75X75X6</t>
  </si>
  <si>
    <t>SC-LTX-ORTHO-K-75x75x8</t>
  </si>
  <si>
    <t>B0G3CJYJQB</t>
  </si>
  <si>
    <t>SC-ASF-LTX-ORTHO-K-75x75x8</t>
  </si>
  <si>
    <t>SC-F-LTX-ORTHO-K-75X75X8</t>
  </si>
  <si>
    <t>SC-LTX-ORTHO-K-78x75x5</t>
  </si>
  <si>
    <t>B0G3CXYD7M</t>
  </si>
  <si>
    <t>SC-ASF-LTX-ORTHO-K-78x75x5</t>
  </si>
  <si>
    <t>SC-F-LTX-ORTHO-K-78x75x5</t>
  </si>
  <si>
    <t>SC-LTX-ORTHO-K-78x75x6</t>
  </si>
  <si>
    <t>SC-ASF-LTX-ORTHO-K-78x75x6</t>
  </si>
  <si>
    <t>SC-F-LTX-ORTHO-K-78X75X6</t>
  </si>
  <si>
    <t>SC-LTX-ORTHO-K-78x75x8</t>
  </si>
  <si>
    <t>B0G3BVFTCX</t>
  </si>
  <si>
    <t>SC-ASF-LTX-ORTHO-K-78x75x8</t>
  </si>
  <si>
    <t>SC-F-LTX-ORTHO-K-78X75X8</t>
  </si>
  <si>
    <t>SC-Accacia-Wooden-Bed-King-78x72</t>
  </si>
  <si>
    <t>B0D5ZN39RK</t>
  </si>
  <si>
    <r>
      <rPr>
        <rFont val="&quot;Aptos Narrow&quot;, sans-serif"/>
        <color rgb="FF1155CC"/>
        <sz val="11.0"/>
        <u/>
      </rPr>
      <t>SC-ASF-Accacia-Wooden-Bed-King-78x72</t>
    </r>
  </si>
  <si>
    <t>SC-F-Accacia-Wooden-Bed-King-78x72</t>
  </si>
  <si>
    <t>SC-BCRFTDSHEET-K-72x72</t>
  </si>
  <si>
    <t>B0BQBQX4L6</t>
  </si>
  <si>
    <r>
      <rPr>
        <rFont val="&quot;Aptos Narrow&quot;, sans-serif"/>
        <color rgb="FF1155CC"/>
        <sz val="11.0"/>
        <u/>
      </rPr>
      <t>SC-ASF-BCRFTDSHEET-K-72x72</t>
    </r>
  </si>
  <si>
    <t>SC-F-BCRFTDSHEET-K-72x72</t>
  </si>
  <si>
    <t>SC-BCRFTDSHEET-Q-72x60</t>
  </si>
  <si>
    <t>B0BQBS4N9J</t>
  </si>
  <si>
    <r>
      <rPr>
        <rFont val="&quot;Aptos Narrow&quot;, sans-serif"/>
        <color rgb="FF1155CC"/>
        <sz val="11.0"/>
        <u/>
      </rPr>
      <t>SC-ASF-BCRFTDSHEET-Q-72x60</t>
    </r>
  </si>
  <si>
    <t>SC-F-BCRFTDSHEET-Q-72x60</t>
  </si>
  <si>
    <t>SC-BCRFTDSHEET-Q-78x60</t>
  </si>
  <si>
    <t>B0BF4XTB74</t>
  </si>
  <si>
    <r>
      <rPr>
        <rFont val="&quot;Aptos Narrow&quot;, sans-serif"/>
        <color rgb="FF1155CC"/>
        <sz val="11.0"/>
        <u/>
      </rPr>
      <t>SC-ASF-BCRFTDSHEET-Q-78x60</t>
    </r>
  </si>
  <si>
    <t>SC-F-BCRFTDSHEET-Q-78x60</t>
  </si>
  <si>
    <t>SC-GRBDPILWSET-S-50x19</t>
  </si>
  <si>
    <t>SC-GRPRBDPILW-SET-50x19</t>
  </si>
  <si>
    <t>SC-BCRDVTCOVER-D-90x100</t>
  </si>
  <si>
    <t>B0BMQ5BMTF</t>
  </si>
  <si>
    <r>
      <rPr>
        <rFont val="&quot;Aptos Narrow&quot;, sans-serif"/>
        <color rgb="FF1155CC"/>
        <sz val="11.0"/>
        <u/>
      </rPr>
      <t>SC-ASF-BCRDVTCOVER-D-90x100</t>
    </r>
  </si>
  <si>
    <t>SC-F-BCRDVTCOVER-D-90x100</t>
  </si>
  <si>
    <t>SC-HYBPILWSET4-S-26x16</t>
  </si>
  <si>
    <t>B0GLN5XYBV</t>
  </si>
  <si>
    <r>
      <rPr>
        <rFont val="&quot;Aptos Narrow&quot;, sans-serif"/>
        <color rgb="FF1155CC"/>
        <sz val="11.0"/>
        <u/>
      </rPr>
      <t>SC-ASF-HYBPILWSET4-S-26x16</t>
    </r>
  </si>
  <si>
    <t>SC-F-HYBPILWSET4-S-26x16</t>
  </si>
  <si>
    <t>SC-HYBPILW-P-30x18</t>
  </si>
  <si>
    <t>B09XF2BH2M</t>
  </si>
  <si>
    <r>
      <rPr>
        <rFont val="&quot;Aptos Narrow&quot;, sans-serif"/>
        <color rgb="FF1155CC"/>
        <sz val="11.0"/>
        <u/>
      </rPr>
      <t>SC-ASF-HYBPILW-P-30x18</t>
    </r>
  </si>
  <si>
    <t>SC-SMFPILWSET2-BAM-S-22x14</t>
  </si>
  <si>
    <t>B0GLPRWRBK</t>
  </si>
  <si>
    <r>
      <rPr>
        <rFont val="&quot;Aptos Narrow&quot;, sans-serif"/>
        <color rgb="FF1155CC"/>
        <sz val="11.0"/>
        <u/>
      </rPr>
      <t>SC-ASF-SMFPILWSET2-BAM-S-22x14</t>
    </r>
  </si>
  <si>
    <t>SC-ORIG-D-78x42x4</t>
  </si>
  <si>
    <t>B0G71ND4GF</t>
  </si>
  <si>
    <r>
      <rPr>
        <rFont val="&quot;Aptos Narrow&quot;, sans-serif"/>
        <color rgb="FF1155CC"/>
        <sz val="11.0"/>
        <u/>
      </rPr>
      <t>SC-ASF-ORIG-D-78x42x4</t>
    </r>
  </si>
  <si>
    <t>SC-F-ORIG-D-78x42x4</t>
  </si>
  <si>
    <t>SC-ORIG-K-78x75x4</t>
  </si>
  <si>
    <t>B0G722WTDR</t>
  </si>
  <si>
    <r>
      <rPr>
        <rFont val="&quot;Aptos Narrow&quot;, sans-serif"/>
        <color rgb="FF1155CC"/>
        <sz val="11.0"/>
        <u/>
      </rPr>
      <t>SC-ASF-ORIG-K-78x75x4</t>
    </r>
  </si>
  <si>
    <t>SC-F-ORIG-K-78x75x4</t>
  </si>
  <si>
    <t>SC-ORIG-S-72x42x6</t>
  </si>
  <si>
    <t>B077QJVWPB</t>
  </si>
  <si>
    <r>
      <rPr>
        <rFont val="&quot;Aptos Narrow&quot;, sans-serif"/>
        <color rgb="FF1155CC"/>
        <sz val="11.0"/>
        <u/>
      </rPr>
      <t>ASF-O1-ZZYY-NY6L</t>
    </r>
  </si>
  <si>
    <t>SC72426</t>
  </si>
  <si>
    <t>SC-ORIG-S-78x42x6</t>
  </si>
  <si>
    <t>B0732W7MRJ</t>
  </si>
  <si>
    <r>
      <rPr>
        <rFont val="&quot;Aptos Narrow&quot;, sans-serif"/>
        <color rgb="FF1155CC"/>
        <sz val="11.0"/>
        <u/>
      </rPr>
      <t>SC-ASF-ORIG-78x42x6</t>
    </r>
  </si>
  <si>
    <t>SC78426</t>
  </si>
  <si>
    <t>SC-ORIG-K-84x84x10</t>
  </si>
  <si>
    <t>B0G39ZJQGF</t>
  </si>
  <si>
    <r>
      <rPr>
        <rFont val="&quot;Aptos Narrow&quot;, sans-serif"/>
        <color rgb="FF1155CC"/>
        <sz val="11.0"/>
        <u/>
      </rPr>
      <t>SC-ASF-ORIG-K-84x84x10</t>
    </r>
  </si>
  <si>
    <t>SC-F-ORIG-K-84x84x10</t>
  </si>
  <si>
    <t>SC-GYQLTPROT-Q-75x60</t>
  </si>
  <si>
    <t>B0GMJR3HKK</t>
  </si>
  <si>
    <t>SC-ASF-GYQLTPROT-Q-75x60</t>
  </si>
  <si>
    <t>SC-F-GYQLTPROT-Q-75x60</t>
  </si>
  <si>
    <t>SC-GYQLTPROT-Q-75x66</t>
  </si>
  <si>
    <t>B0GMJHFKVF</t>
  </si>
  <si>
    <t>SC-ASF-GYQLTPROT-Q-75x66</t>
  </si>
  <si>
    <t>SC-F-GYQLTPROT-Q-75x66</t>
  </si>
  <si>
    <t>SC-GYQLTPROT-Q-78x60</t>
  </si>
  <si>
    <t>B0GMJRRTCT</t>
  </si>
  <si>
    <t>SC-ASF-GYQLTPROT-Q-78x60</t>
  </si>
  <si>
    <t>SC-F-GYQLTPROT-Q-78x60</t>
  </si>
  <si>
    <t>SC-GYQLTPROT-Q-78x66</t>
  </si>
  <si>
    <t>B0GMJPTNGY</t>
  </si>
  <si>
    <t>SC-ASF-GYQLTPROT-Q-78x66</t>
  </si>
  <si>
    <t>SC-F-GYQLTPROT-Q-78x66</t>
  </si>
  <si>
    <t>SC-MRQLTPROT-Q-75x60</t>
  </si>
  <si>
    <t>B0GMJRRQ13</t>
  </si>
  <si>
    <t>SC-ASF-MRQLTPROT-Q-75x60</t>
  </si>
  <si>
    <t>SC-F-MRQLTPROT-Q-75x60</t>
  </si>
  <si>
    <t>SC-MRQLTPROT-Q-75x66</t>
  </si>
  <si>
    <t>B0GMJRRQ4K</t>
  </si>
  <si>
    <t>SC-ASF-MRQLTPROT-Q-75x66</t>
  </si>
  <si>
    <t>SC-F-MRQLTPROT-Q-75x66</t>
  </si>
  <si>
    <t>SC-MRQLTPROT-Q-78x60</t>
  </si>
  <si>
    <t>B0GMJM4J1B</t>
  </si>
  <si>
    <t>SC-ASF-MRQLTPROT-Q-78x60</t>
  </si>
  <si>
    <t>SC-F-MRQLTPROT-Q-78x60</t>
  </si>
  <si>
    <t>SC-MRQLTPROT-Q-78x66</t>
  </si>
  <si>
    <t>B0GMJYJJT6</t>
  </si>
  <si>
    <t>SC-ASF-MRQLTPROT-Q-78x66</t>
  </si>
  <si>
    <t>SC-F-MRQLTPROT-Q-78x66</t>
  </si>
  <si>
    <t>SC-NBQLTPROT-Q-75x60</t>
  </si>
  <si>
    <t>B0GMJLZ45T</t>
  </si>
  <si>
    <t>SC-ASF-NBQLTPROT-Q-75x60</t>
  </si>
  <si>
    <t>SC-F-NBQLTPROT-Q-75x60</t>
  </si>
  <si>
    <t>SC-NBQLTPROT-Q-75x66</t>
  </si>
  <si>
    <t>B0GMJT36W8</t>
  </si>
  <si>
    <t>SC-ASF-NBQLTPROT-Q-75x66</t>
  </si>
  <si>
    <t>SC-F-NBQLTPROT-Q-75x66</t>
  </si>
  <si>
    <t>SC-NBQLTPROT-Q-78x60</t>
  </si>
  <si>
    <t>B0GMJZ2473</t>
  </si>
  <si>
    <t>SC-ASF-NBQLTPROT-Q-78x60</t>
  </si>
  <si>
    <t>SC-F-NBQLTPROT-Q-78x60</t>
  </si>
  <si>
    <t>SC-NBQLTPROT-Q-78x66</t>
  </si>
  <si>
    <t>B0GMJT1JF7</t>
  </si>
  <si>
    <t>SC-ASF-NBQLTPROT-Q-78x66</t>
  </si>
  <si>
    <t>SC-F-NBQLTPROT-Q-78x66</t>
  </si>
  <si>
    <t>SC-WTQLTPROT-Q-75x60</t>
  </si>
  <si>
    <t>B0GMJQ3WZV</t>
  </si>
  <si>
    <t>SC-ASF-WTQLTPROT-Q-75x60</t>
  </si>
  <si>
    <t>SC-F-WTQLTPROT-Q-75x60</t>
  </si>
  <si>
    <t>SC-WTQLTPROT-Q-75x66</t>
  </si>
  <si>
    <t>B0GMJRN2QR</t>
  </si>
  <si>
    <t>SC-ASF-WTQLTPROT-Q-75x66</t>
  </si>
  <si>
    <t>SC-F-WTQLTPROT-Q-75x66</t>
  </si>
  <si>
    <t>SC-WTQLTPROT-Q-78x60</t>
  </si>
  <si>
    <t>B0GMJVVH2W</t>
  </si>
  <si>
    <t>SC-ASF-WTQLTPROT-Q-78x60</t>
  </si>
  <si>
    <t>SC-F-WTQLTPROT-Q-78x60</t>
  </si>
  <si>
    <t>SC-WTQLTPROT-Q-78x66</t>
  </si>
  <si>
    <t>B0GMJC52K9</t>
  </si>
  <si>
    <t>SC-ASF-WTQLTPROT-Q-78x66</t>
  </si>
  <si>
    <t>SC-F-WTQLTPROT-Q-78x66</t>
  </si>
  <si>
    <t>SC-ULTM-D-84x48x8</t>
  </si>
  <si>
    <t>B0FN98C2P3</t>
  </si>
  <si>
    <r>
      <rPr>
        <rFont val="&quot;Aptos Narrow&quot;, sans-serif"/>
        <color rgb="FF1155CC"/>
        <sz val="11.0"/>
        <u/>
      </rPr>
      <t>SC-ASF-ULTM-D-84x48x8</t>
    </r>
  </si>
  <si>
    <t>SC-F-ULTM-D-84x48x8</t>
  </si>
  <si>
    <t>SC-ULTM-D-78x48x10</t>
  </si>
  <si>
    <t>B09XGQT4TP</t>
  </si>
  <si>
    <r>
      <rPr>
        <rFont val="&quot;Aptos Narrow&quot;, sans-serif"/>
        <color rgb="FF1155CC"/>
        <sz val="11.0"/>
        <u/>
      </rPr>
      <t>SC-ASF-ULTM-D-78x48x10</t>
    </r>
  </si>
  <si>
    <t>SC-ULTM-D-84x48x10</t>
  </si>
  <si>
    <t>B0FWLMB5YN</t>
  </si>
  <si>
    <r>
      <rPr>
        <rFont val="&quot;Aptos Narrow&quot;, sans-serif"/>
        <color rgb="FF1155CC"/>
        <sz val="11.0"/>
        <u/>
      </rPr>
      <t>SC-ASF-ULTM-D-84X48X10</t>
    </r>
  </si>
  <si>
    <t>SC-F-ULTM-D-84X48X10</t>
  </si>
  <si>
    <t>SC-ULTM-Q-84x60x10</t>
  </si>
  <si>
    <t>B0FN9JDGHP</t>
  </si>
  <si>
    <r>
      <rPr>
        <rFont val="&quot;Aptos Narrow&quot;, sans-serif"/>
        <color rgb="FF1155CC"/>
        <sz val="11.0"/>
        <u/>
      </rPr>
      <t>SC-ASF-ULTM-Q-84x60x10</t>
    </r>
  </si>
  <si>
    <t>SC-F-ULTM-Q-84x60x10</t>
  </si>
  <si>
    <t>SC-ULTM-Q-84x60x8</t>
  </si>
  <si>
    <t>B0FN9VJK9T</t>
  </si>
  <si>
    <r>
      <rPr>
        <rFont val="&quot;Aptos Narrow&quot;, sans-serif"/>
        <color rgb="FF1155CC"/>
        <sz val="11.0"/>
        <u/>
      </rPr>
      <t>SC-ASF-ULTM-Q-84x60x8</t>
    </r>
  </si>
  <si>
    <t>SC-F-ULTM-Q-84x60x8</t>
  </si>
  <si>
    <t>SC-ULTM-S-75x36x10</t>
  </si>
  <si>
    <t>B09XGGH3PN</t>
  </si>
  <si>
    <r>
      <rPr>
        <rFont val="&quot;Aptos Narrow&quot;, sans-serif"/>
        <color rgb="FF1155CC"/>
        <sz val="11.0"/>
        <u/>
      </rPr>
      <t>SC-ULTM-S-75x36x10</t>
    </r>
  </si>
  <si>
    <t>SC-F-ULTM-S-75x36x10</t>
  </si>
  <si>
    <t>SC-FK-LATEXTOPPER-D-72x48x1.5</t>
  </si>
  <si>
    <t>B0GSBGR1WH</t>
  </si>
  <si>
    <t>SC-ASF-LATEXTOPPER-S-72x36x1.5</t>
  </si>
  <si>
    <t>SC-FK-LATEXTOPPER-S-72x36x1.5</t>
  </si>
  <si>
    <t>SC-FK-LATEXTOPPER-Q-78x60x1.5</t>
  </si>
  <si>
    <t>SC-FK-LATEXTOPPER-K-78x72x1.5</t>
  </si>
  <si>
    <t>SC-FK-LATEXTOPPER-K-75x72x1.5</t>
  </si>
  <si>
    <t>B0GSB584VZ</t>
  </si>
  <si>
    <t>SC-ASF-LATEXTOPPER-Q-75x60x1.5</t>
  </si>
  <si>
    <t>SC-FK-LATEXTOPPER-Q-75x60x1.5</t>
  </si>
  <si>
    <t>SC-LITEPILWP-S-27X17</t>
  </si>
  <si>
    <t>B0GZPW6N8F</t>
  </si>
  <si>
    <t>SC-OLVPETMAT-M-24x36</t>
  </si>
  <si>
    <t>B0GZGLSMBG</t>
  </si>
  <si>
    <t>SC-ASF-OLVPETMAT-M-24x36</t>
  </si>
  <si>
    <t>SC-F-OLVPETMAT-M-24x36</t>
  </si>
  <si>
    <t>Pet Mat</t>
  </si>
  <si>
    <t>SC-OLVPETMAT-L-30x42</t>
  </si>
  <si>
    <t>B0GZH32GXY</t>
  </si>
  <si>
    <t>SC-ASF-OLVPETMAT-L-30x42</t>
  </si>
  <si>
    <t>SC-F-OLVPETMAT-L-30x42</t>
  </si>
  <si>
    <t>SC-BLKPETMAT-M-24x36</t>
  </si>
  <si>
    <t>B0GZGF14QP</t>
  </si>
  <si>
    <t>SC-ASF-BLKPETMAT-M-24x36</t>
  </si>
  <si>
    <t>SC-F-BLKPETMAT-M-24x36</t>
  </si>
  <si>
    <t>SC-BLKPETMAT-L-30x42</t>
  </si>
  <si>
    <t>B0GZGJ51JC</t>
  </si>
  <si>
    <t>SC-ASF-BLKPETMAT-L-30x42</t>
  </si>
  <si>
    <t>SC-F-BLKPETMAT-L-30x42</t>
  </si>
  <si>
    <t>SC-MSTPETMAT-M-24x36</t>
  </si>
  <si>
    <t>B0GZGBXFVN</t>
  </si>
  <si>
    <t>SC-ASF-MSTPETMAT-M-24x36</t>
  </si>
  <si>
    <t>SC-F-MSTPETMAT-M-24x36</t>
  </si>
  <si>
    <t>SC-MSTPETMAT-L-30x42</t>
  </si>
  <si>
    <t>B0GZGKKBF7</t>
  </si>
  <si>
    <t>SC-ASF-MSTPETMAT-L-30x42</t>
  </si>
  <si>
    <t>SC-F-MSTPETMAT-L-30x42</t>
  </si>
  <si>
    <t>Flex Status</t>
  </si>
  <si>
    <t>Flex 2 Status</t>
  </si>
  <si>
    <t>SS Status</t>
  </si>
  <si>
    <t>BLR</t>
  </si>
  <si>
    <t>MUM</t>
  </si>
  <si>
    <t>GGN</t>
  </si>
  <si>
    <t>CHN</t>
  </si>
  <si>
    <t>HYB</t>
  </si>
  <si>
    <t>S&amp;OP</t>
  </si>
  <si>
    <t>active</t>
  </si>
  <si>
    <t>Cloud Pillow</t>
  </si>
  <si>
    <t>Fiber Lite</t>
  </si>
  <si>
    <t>Slim Pillow</t>
  </si>
  <si>
    <t>Protector</t>
  </si>
  <si>
    <t>Cotton Pillow Case</t>
  </si>
  <si>
    <t>Travel Neck Pillow</t>
  </si>
  <si>
    <t>Small Memory Foam Pillow</t>
  </si>
  <si>
    <t>Hybrid Pillow</t>
  </si>
  <si>
    <t>Dual Comfort Pillow</t>
  </si>
  <si>
    <t>CoolTEC MF Pillow</t>
  </si>
  <si>
    <t>Contour Bamboo MF Pillow</t>
  </si>
  <si>
    <t>Marshmallow Pillow</t>
  </si>
  <si>
    <t>Jersey Fitted Bed sheet</t>
  </si>
  <si>
    <t>Reversible Comforter</t>
  </si>
  <si>
    <t>Cotton Duvet cover</t>
  </si>
  <si>
    <t>Sateen Fitted Sheets</t>
  </si>
  <si>
    <t>inactive</t>
  </si>
  <si>
    <t>Grid Pillow</t>
  </si>
  <si>
    <t>Wedge Pillow</t>
  </si>
  <si>
    <t>Baby Mattress</t>
  </si>
  <si>
    <t>Winter Comforter</t>
  </si>
  <si>
    <t>SC-F-TBLPILWCS-C-52x20</t>
  </si>
  <si>
    <t>Muslin Throws</t>
  </si>
  <si>
    <t>Standard Latex Pillow</t>
  </si>
  <si>
    <t>Sateen Pillow Case</t>
  </si>
  <si>
    <t>Summer AC Comforter</t>
  </si>
  <si>
    <t>closed</t>
  </si>
  <si>
    <t>SC-A-FIMTTOPPER-D-72x48</t>
  </si>
  <si>
    <t>OOS</t>
  </si>
  <si>
    <t>Microfiber topper</t>
  </si>
  <si>
    <t>SC-A-MFPILW-P-28x18</t>
  </si>
  <si>
    <t>SC-A-FIMTTOPPER-S-72x36</t>
  </si>
  <si>
    <t>Luxe Comforter</t>
  </si>
  <si>
    <t>Cotton Fitted Bedsheet</t>
  </si>
  <si>
    <t>Hybrid Latex Mattress</t>
  </si>
  <si>
    <t>Ultima Latex Mattress</t>
  </si>
  <si>
    <t>relist</t>
  </si>
  <si>
    <t>SC-F-FIMTTOPPER-S-78x36</t>
  </si>
  <si>
    <t>Ultima Mattress</t>
  </si>
  <si>
    <t>Pet Pets</t>
  </si>
  <si>
    <t>Beds</t>
  </si>
  <si>
    <t>SC-A-HYB-LATEX-Q-78x60x6</t>
  </si>
  <si>
    <t>Sateen Duvet Cover</t>
  </si>
  <si>
    <t>deleted</t>
  </si>
  <si>
    <t>Latex Ortho Mattress</t>
  </si>
  <si>
    <t>SC-A-FIMTTOPPER-Q-75x60</t>
  </si>
  <si>
    <t>SC-ASF-ULTM-Q-75x60x8</t>
  </si>
  <si>
    <t>Knitted Throw</t>
  </si>
  <si>
    <t>Inactive</t>
  </si>
  <si>
    <t>Contour Latex Pillow</t>
  </si>
  <si>
    <t>weighted blankets</t>
  </si>
  <si>
    <t>SC-AS-FIMTTOPPER-Q-72x60</t>
  </si>
  <si>
    <t>SC-FLEX-DGRFTDSHEET-Q-78x60</t>
  </si>
  <si>
    <t>Satin Pillow Case</t>
  </si>
  <si>
    <t>SC-A-FIMTTOPPER-K-75x72</t>
  </si>
  <si>
    <t>SC-ASF-HYB-LATEX-K-75x72x6</t>
  </si>
  <si>
    <t>SC-A-HYB-LATEX-K-75x72x6</t>
  </si>
  <si>
    <t>Duvet Cover</t>
  </si>
  <si>
    <t>Memory Foam Topper</t>
  </si>
  <si>
    <t>SC-A-FIMTTOPPER-Q-78x60</t>
  </si>
  <si>
    <t>SC-A-MFMTTOPPER-Q-78x60x2</t>
  </si>
  <si>
    <t>SC-A-MFMTTOPPER-K-72x72</t>
  </si>
  <si>
    <t>Tri-fold Mattress</t>
  </si>
  <si>
    <t>SC-A-MFMTTOPPER-Q-75x60x2</t>
  </si>
  <si>
    <t>Cloud Spring Mattress</t>
  </si>
  <si>
    <t>Summer Luxe Comforter</t>
  </si>
  <si>
    <t>deletd</t>
  </si>
  <si>
    <t>SC-A-ULTM-LATEX-K-84x72x8</t>
  </si>
  <si>
    <t>Jersey Fitted BedSheet</t>
  </si>
  <si>
    <t>Aeroflow Topper</t>
  </si>
  <si>
    <t>SC-F-GRPRBDPILW-SET-50x19</t>
  </si>
  <si>
    <r>
      <rPr>
        <rFont val="Arial, sans-serif"/>
        <color rgb="FF1155CC"/>
        <u/>
      </rPr>
      <t>SC-ASF-Accacia-Wooden-Bed-King-78x72</t>
    </r>
  </si>
  <si>
    <t>Bed</t>
  </si>
  <si>
    <t>SC-F-ASF-CONMFPILWS4-BAM-25x16</t>
  </si>
  <si>
    <t>SC-F-ASF-MFPILWS4-CLT-S-25x16</t>
  </si>
  <si>
    <r>
      <rPr>
        <rFont val="Arial, sans-serif"/>
        <color rgb="FF1155CC"/>
        <u/>
      </rPr>
      <t>SC-ASF-BCRDVTCOVER-D-90x100</t>
    </r>
  </si>
  <si>
    <r>
      <rPr>
        <rFont val="Arial, sans-serif"/>
        <color rgb="FF1155CC"/>
        <u/>
      </rPr>
      <t>SC-ASF-BCRFTDSHEET-K-72x72</t>
    </r>
  </si>
  <si>
    <r>
      <rPr>
        <rFont val="Arial, sans-serif"/>
        <color rgb="FF1155CC"/>
        <u/>
      </rPr>
      <t>SC-ASF-BCRFTDSHEET-Q-72x60</t>
    </r>
  </si>
  <si>
    <r>
      <rPr>
        <rFont val="Arial, sans-serif"/>
        <color rgb="FF1155CC"/>
        <u/>
      </rPr>
      <t>SC-ASF-BCRFTDSHEET-Q-78x60</t>
    </r>
  </si>
  <si>
    <t>SC-F-BDPILWSET2-19x50</t>
  </si>
  <si>
    <t>Cuddle Pillow Case</t>
  </si>
  <si>
    <t>Jersey Pillow Cases</t>
  </si>
  <si>
    <t>SC-A-ZIPILWS2-20x32</t>
  </si>
  <si>
    <t>SC-F-ENSO-R3-MOTOR-RECLINER-AMBER-YELLOW</t>
  </si>
  <si>
    <t>Recliner</t>
  </si>
  <si>
    <t>SC-AS-FIMTTOPPER-K-72x72</t>
  </si>
  <si>
    <t>SC-AS-FIMTTOPPER-K-78x72</t>
  </si>
  <si>
    <t>SC-A-HYB-LATEX-K-84x72x6</t>
  </si>
  <si>
    <t>SC-F-HYB-LATEX-K-84x72x6</t>
  </si>
  <si>
    <t>SC-A-HYB-LATEX-K-84x72x8</t>
  </si>
  <si>
    <t>SC-A-HYB-LATEX-K-84x78x6</t>
  </si>
  <si>
    <t>SC-F-HYB-LATEX-K-84x78x6</t>
  </si>
  <si>
    <t>SC-A-HYB-LATEX-K-84x78x8</t>
  </si>
  <si>
    <t>SC-F-HYB-LATEX-K-84x78x8</t>
  </si>
  <si>
    <r>
      <rPr>
        <rFont val="Arial, sans-serif"/>
        <color rgb="FF1155CC"/>
        <u/>
      </rPr>
      <t>SC-ASF-HYBPILW-P-30x18</t>
    </r>
  </si>
  <si>
    <r>
      <rPr>
        <rFont val="Arial, sans-serif"/>
        <color rgb="FF1155CC"/>
        <u/>
      </rPr>
      <t>SC-ASF-HYBPILWSET4-S-26x16</t>
    </r>
  </si>
  <si>
    <t>SC-FLEX-LITEPILWP-S-27X17</t>
  </si>
  <si>
    <t>SC-F-LITEPILWP-S-27X17</t>
  </si>
  <si>
    <t>SC-A-MFMTTOPPER-D-72x48x2</t>
  </si>
  <si>
    <t>SC-A-MFMTTOPPER-K-72x72x2</t>
  </si>
  <si>
    <t>SC-A-MFMTTOPPER-K-75x72x2</t>
  </si>
  <si>
    <t>SC-A-MFMTTOPPER-K-78x72x2</t>
  </si>
  <si>
    <t>SC-A-MFMTTOPPER-Q-72x60x2</t>
  </si>
  <si>
    <t>SC-A-MFMTTOPPER-S-72x36x2</t>
  </si>
  <si>
    <t>SC-A-MFMTTOPPER-S-78x36x2</t>
  </si>
  <si>
    <t>B09XFG77VR</t>
  </si>
  <si>
    <t>SC-ASF-CONMFPILWS2-BAM-25x16</t>
  </si>
  <si>
    <t>SC-A-MFPILWS2-P-28x18</t>
  </si>
  <si>
    <r>
      <rPr>
        <rFont val="Arial, sans-serif"/>
        <color rgb="FF1155CC"/>
        <u/>
      </rPr>
      <t>SC-ASF-ORIG-D-78x42x4</t>
    </r>
  </si>
  <si>
    <r>
      <rPr>
        <rFont val="Arial, sans-serif"/>
        <color rgb="FF1155CC"/>
        <u/>
      </rPr>
      <t>SC-ASF-ORIG-K-78x75x4</t>
    </r>
  </si>
  <si>
    <t>SC-F-ORIG-K-84x78x10</t>
  </si>
  <si>
    <t>SC-A-ORIG-K-84x78x6</t>
  </si>
  <si>
    <t>SC-A-ORIG-K-84x78x8</t>
  </si>
  <si>
    <t>SC-F-ORIG-K-84x78x8</t>
  </si>
  <si>
    <r>
      <rPr>
        <rFont val="Arial, sans-serif"/>
        <color rgb="FF1155CC"/>
        <u/>
      </rPr>
      <t>SC-ASF-ORIG-K-84x84x10</t>
    </r>
  </si>
  <si>
    <t>7X-DCAP-JJER</t>
  </si>
  <si>
    <r>
      <rPr>
        <rFont val="Arial, sans-serif"/>
        <color rgb="FF1155CC"/>
        <u/>
      </rPr>
      <t>ASF-O1-ZZYY-NY6L</t>
    </r>
  </si>
  <si>
    <t>O1-ZZYY-NY6L</t>
  </si>
  <si>
    <r>
      <rPr>
        <rFont val="Arial, sans-serif"/>
        <color rgb="FF1155CC"/>
        <u/>
      </rPr>
      <t>SC-ASF-ORIG-78x42x6</t>
    </r>
  </si>
  <si>
    <t>SC198/106</t>
  </si>
  <si>
    <r>
      <rPr>
        <rFont val="Arial, sans-serif"/>
        <color rgb="FF1155CC"/>
        <u/>
      </rPr>
      <t>SC-ASF-SMFPILWSET2-BAM-S-22x14</t>
    </r>
  </si>
  <si>
    <t>SC-F-SMFPILWSET2-BAM-S-22x14</t>
  </si>
  <si>
    <t>SC-F-SUPRSOFTPILWSET2-S-25x16</t>
  </si>
  <si>
    <r>
      <rPr>
        <rFont val="Arial, sans-serif"/>
        <color rgb="FF1155CC"/>
        <u/>
      </rPr>
      <t>SC-ASF-ULTM-D-78x48x10</t>
    </r>
  </si>
  <si>
    <r>
      <rPr>
        <rFont val="Arial, sans-serif"/>
        <color rgb="FF1155CC"/>
        <u/>
      </rPr>
      <t>SC-ASF-ULTM-D-84X48X10</t>
    </r>
  </si>
  <si>
    <r>
      <rPr>
        <rFont val="Arial, sans-serif"/>
        <color rgb="FF1155CC"/>
        <u/>
      </rPr>
      <t>SC-ASF-ULTM-D-84x48x8</t>
    </r>
  </si>
  <si>
    <t>SC-A-ULTM-K-84x78x10</t>
  </si>
  <si>
    <t>SC-F-ULTM-K-84x72x10</t>
  </si>
  <si>
    <t>SC-F-ULTM-K-84x78x10</t>
  </si>
  <si>
    <t>SC-A-ULTM-K-84x78x8</t>
  </si>
  <si>
    <t>SC-A-ULTM-LATEX-D-78x48x10</t>
  </si>
  <si>
    <t>SC-F-ULTM-LATEX-K-72x72x10</t>
  </si>
  <si>
    <t>SC-A-ULTM-LATEX-K-84x72x10</t>
  </si>
  <si>
    <t>SC-F-ULTM-LATEX-K-84x72x10</t>
  </si>
  <si>
    <t>SC-F-ULTM-LATEX-S-75x36x10</t>
  </si>
  <si>
    <r>
      <rPr>
        <rFont val="Arial, sans-serif"/>
        <color rgb="FF1155CC"/>
        <u/>
      </rPr>
      <t>SC-ASF-ULTM-Q-84x60x10</t>
    </r>
  </si>
  <si>
    <r>
      <rPr>
        <rFont val="Arial, sans-serif"/>
        <color rgb="FF1155CC"/>
        <u/>
      </rPr>
      <t>SC-ASF-ULTM-Q-84x60x8</t>
    </r>
  </si>
  <si>
    <r>
      <rPr>
        <rFont val="Arial, sans-serif"/>
        <color rgb="FF1155CC"/>
        <u/>
      </rPr>
      <t>SC-ULTM-S-75x36x10</t>
    </r>
  </si>
  <si>
    <t>SC-F-ULTM-S-84X36X10</t>
  </si>
  <si>
    <t>SC-F-ULTM-S-84x36x8</t>
  </si>
  <si>
    <t xml:space="preserve">B0GYF7QZ8Q
</t>
  </si>
  <si>
    <t>SC-LITEPILWPSET4-S-27X17</t>
  </si>
  <si>
    <t>B0GLNNJ51N</t>
  </si>
  <si>
    <t>SC-SLMPILWSET4-S-26x16</t>
  </si>
  <si>
    <t>B0GLNFQTY9</t>
  </si>
  <si>
    <r>
      <rPr>
        <rFont val="Arial, sans-serif"/>
        <color rgb="FF1155CC"/>
        <u/>
      </rPr>
      <t>SC-ASF-Accacia-Wooden-Bed-King-78x72</t>
    </r>
  </si>
  <si>
    <r>
      <rPr>
        <rFont val="Arial, sans-serif"/>
        <color rgb="FF1155CC"/>
        <u/>
      </rPr>
      <t>SC-ASF-BCRDVTCOVER-D-90x100</t>
    </r>
  </si>
  <si>
    <r>
      <rPr>
        <rFont val="Arial, sans-serif"/>
        <color rgb="FF1155CC"/>
        <u/>
      </rPr>
      <t>SC-ASF-BCRFTDSHEET-K-72x72</t>
    </r>
  </si>
  <si>
    <r>
      <rPr>
        <rFont val="Arial, sans-serif"/>
        <color rgb="FF1155CC"/>
        <u/>
      </rPr>
      <t>SC-ASF-BCRFTDSHEET-Q-72x60</t>
    </r>
  </si>
  <si>
    <r>
      <rPr>
        <rFont val="Arial, sans-serif"/>
        <color rgb="FF1155CC"/>
        <u/>
      </rPr>
      <t>SC-ASF-BCRFTDSHEET-Q-78x60</t>
    </r>
  </si>
  <si>
    <r>
      <rPr>
        <rFont val="Arial, sans-serif"/>
        <color rgb="FF1155CC"/>
        <u/>
      </rPr>
      <t>SC-ASF-HYBPILW-P-30x18</t>
    </r>
  </si>
  <si>
    <r>
      <rPr>
        <rFont val="Arial, sans-serif"/>
        <color rgb="FF1155CC"/>
        <u/>
      </rPr>
      <t>SC-ASF-HYBPILWSET4-S-26x16</t>
    </r>
  </si>
  <si>
    <r>
      <rPr>
        <rFont val="Arial, sans-serif"/>
        <color rgb="FF1155CC"/>
        <u/>
      </rPr>
      <t>SC-ASF-ORIG-D-78x42x4</t>
    </r>
  </si>
  <si>
    <r>
      <rPr>
        <rFont val="Arial, sans-serif"/>
        <color rgb="FF1155CC"/>
        <u/>
      </rPr>
      <t>SC-ASF-ORIG-K-78x75x4</t>
    </r>
  </si>
  <si>
    <r>
      <rPr>
        <rFont val="Arial, sans-serif"/>
        <color rgb="FF1155CC"/>
        <u/>
      </rPr>
      <t>SC-ASF-ORIG-K-84x84x10</t>
    </r>
  </si>
  <si>
    <r>
      <rPr>
        <rFont val="Arial, sans-serif"/>
        <color rgb="FF1155CC"/>
        <u/>
      </rPr>
      <t>ASF-O1-ZZYY-NY6L</t>
    </r>
  </si>
  <si>
    <r>
      <rPr>
        <rFont val="Arial, sans-serif"/>
        <color rgb="FF1155CC"/>
        <u/>
      </rPr>
      <t>SC-ASF-ORIG-78x42x6</t>
    </r>
  </si>
  <si>
    <r>
      <rPr>
        <rFont val="Arial, sans-serif"/>
        <color rgb="FF1155CC"/>
        <u/>
      </rPr>
      <t>SC-ASF-SMFPILWSET2-BAM-S-22x14</t>
    </r>
  </si>
  <si>
    <r>
      <rPr>
        <rFont val="Arial, sans-serif"/>
        <color rgb="FF1155CC"/>
        <u/>
      </rPr>
      <t>SC-ASF-ULTM-D-78x48x10</t>
    </r>
  </si>
  <si>
    <r>
      <rPr>
        <rFont val="Arial, sans-serif"/>
        <color rgb="FF1155CC"/>
        <u/>
      </rPr>
      <t>SC-ASF-ULTM-D-84X48X10</t>
    </r>
  </si>
  <si>
    <r>
      <rPr>
        <rFont val="Arial, sans-serif"/>
        <color rgb="FF1155CC"/>
        <u/>
      </rPr>
      <t>SC-ASF-ULTM-D-84x48x8</t>
    </r>
  </si>
  <si>
    <r>
      <rPr>
        <rFont val="Arial, sans-serif"/>
        <color rgb="FF1155CC"/>
        <u/>
      </rPr>
      <t>SC-ASF-ULTM-Q-84x60x10</t>
    </r>
  </si>
  <si>
    <r>
      <rPr>
        <rFont val="Arial, sans-serif"/>
        <color rgb="FF1155CC"/>
        <u/>
      </rPr>
      <t>SC-ASF-ULTM-Q-84x60x8</t>
    </r>
  </si>
  <si>
    <r>
      <rPr>
        <rFont val="Arial, sans-serif"/>
        <color rgb="FF1155CC"/>
        <u/>
      </rPr>
      <t>SC-ULTM-S-75x36x10</t>
    </r>
  </si>
  <si>
    <t>seller-sku</t>
  </si>
  <si>
    <t>asin1</t>
  </si>
  <si>
    <t>product-id</t>
  </si>
  <si>
    <t>status</t>
  </si>
  <si>
    <t>fulfillment-channel</t>
  </si>
  <si>
    <t>Sold</t>
  </si>
  <si>
    <t>Inventory</t>
  </si>
  <si>
    <t>Event Price</t>
  </si>
  <si>
    <t>BAU</t>
  </si>
  <si>
    <t>Active</t>
  </si>
  <si>
    <t>AMAZON_IN</t>
  </si>
  <si>
    <r>
      <rPr>
        <rFont val="&quot;Aptos Narrow&quot;, sans-serif"/>
        <color rgb="FF1155CC"/>
        <sz val="11.0"/>
        <u/>
      </rPr>
      <t>SC-BABY-S-52x28x4</t>
    </r>
  </si>
  <si>
    <r>
      <rPr>
        <rFont val="&quot;Aptos Narrow&quot;, sans-serif"/>
        <color rgb="FF1155CC"/>
        <sz val="11.0"/>
        <u/>
      </rPr>
      <t>SC-BABY-S-48x24x4</t>
    </r>
  </si>
  <si>
    <t>SC-ASF-ORIG-78x42x6</t>
  </si>
  <si>
    <t>ASF-O1-ZZYY-NY6L</t>
  </si>
  <si>
    <t>SC-ASF-HYBPILW-P-30x18</t>
  </si>
  <si>
    <r>
      <rPr>
        <rFont val="&quot;Aptos Narrow&quot;, sans-serif"/>
        <color rgb="FF1155CC"/>
        <sz val="11.0"/>
        <u/>
      </rPr>
      <t>SC-MFPILWSET2-BAM-C-25x16</t>
    </r>
  </si>
  <si>
    <t>SC-ASF-ULTM-S-75x36x10</t>
  </si>
  <si>
    <r>
      <rPr>
        <rFont val="&quot;Aptos Narrow&quot;, sans-serif"/>
        <color rgb="FF1155CC"/>
        <sz val="11.0"/>
        <u/>
      </rPr>
      <t>SC-ULTM-S-75x36x10</t>
    </r>
  </si>
  <si>
    <t>SC-A-HYB-LATEX-S-75x36x8</t>
  </si>
  <si>
    <r>
      <rPr>
        <rFont val="&quot;Aptos Narrow&quot;, sans-serif"/>
        <color rgb="FF1155CC"/>
        <sz val="11.0"/>
        <u/>
      </rPr>
      <t>SC-HYB-LATEX-S-75x36x8</t>
    </r>
  </si>
  <si>
    <r>
      <rPr>
        <rFont val="&quot;Aptos Narrow&quot;, sans-serif"/>
        <color rgb="FF1155CC"/>
        <sz val="11.0"/>
        <u/>
      </rPr>
      <t>SC-ULTM-Q-75x60x8</t>
    </r>
  </si>
  <si>
    <t>SC-ASF-ULTM-D-78x48x10</t>
  </si>
  <si>
    <t>SC-ASF-BCRFTDSHEET-Q-78x60</t>
  </si>
  <si>
    <t>SC-ASF-BCRDVTCOVER-D-90x100</t>
  </si>
  <si>
    <t>SC-ASF-BCRFTDSHEET-K-72x72</t>
  </si>
  <si>
    <t>SC-ASF-BCRFTDSHEET-Q-72x60</t>
  </si>
  <si>
    <t>SC-ASF-Accacia-Wooden-Bed-King-78x72</t>
  </si>
  <si>
    <t>SC-ASF-ULTM-D-84x48x8</t>
  </si>
  <si>
    <t>SC-ASF-ULTM-Q-84x60x10</t>
  </si>
  <si>
    <t>SC-ASF-ULTM-Q-84x60x8</t>
  </si>
  <si>
    <t>SC-ASF-ULTM-D-84X48X10</t>
  </si>
  <si>
    <t>SC-ASF-ORIG-K-84x84x10</t>
  </si>
  <si>
    <t>SC-ASF-HYB-LATEX-Q-75x66x8</t>
  </si>
  <si>
    <r>
      <rPr>
        <rFont val="&quot;Aptos Narrow&quot;, sans-serif"/>
        <color rgb="FF1155CC"/>
        <sz val="11.0"/>
        <u/>
      </rPr>
      <t>SC-HYB-LATEX-Q-75x66x8</t>
    </r>
  </si>
  <si>
    <t>B0G39ZLK8G</t>
  </si>
  <si>
    <t>SC-ASF-HYB-LATEX-Q-72x66x6</t>
  </si>
  <si>
    <r>
      <rPr>
        <rFont val="&quot;Aptos Narrow&quot;, sans-serif"/>
        <color rgb="FF1155CC"/>
        <sz val="11.0"/>
        <u/>
      </rPr>
      <t>SC-HYB-LATEX-Q-72x66x6</t>
    </r>
  </si>
  <si>
    <t>B0G3B19L1X</t>
  </si>
  <si>
    <t>SC-ASF-LTX-ORTHO-K-78X75X8</t>
  </si>
  <si>
    <t>SC-ASF-LTX-ORTHO-K-75X75X8</t>
  </si>
  <si>
    <t>SC-ASF-LTX-ORTHO-K-75X75X6</t>
  </si>
  <si>
    <t>SC-ASF-LTX-ORTHO-K-78X75X6</t>
  </si>
  <si>
    <t>SC-ASF-ORIG-D-78x42x4</t>
  </si>
  <si>
    <t>SC-ASF-ORIG-K-78x75x4</t>
  </si>
  <si>
    <t>B0G7JWLW1T</t>
  </si>
  <si>
    <t>SC-ASF-HYBPILWSET4-S-26x16</t>
  </si>
  <si>
    <t>SC-ASF-SMFPILWSET2-BAM-S-22x14</t>
  </si>
  <si>
    <t>MASTER SKU</t>
  </si>
  <si>
    <t>width</t>
  </si>
  <si>
    <t>fallback Sku for price</t>
  </si>
  <si>
    <t>FLEX SKU</t>
  </si>
  <si>
    <t>SS SKU</t>
  </si>
  <si>
    <t>FK FSN</t>
  </si>
  <si>
    <t>Product</t>
  </si>
  <si>
    <t>EVENT</t>
  </si>
  <si>
    <t>EVENT SP</t>
  </si>
  <si>
    <t>BAU SP</t>
  </si>
  <si>
    <t>16TH TO 31ST DIS</t>
  </si>
  <si>
    <t>Disc_level2</t>
  </si>
  <si>
    <t>Prices_level2</t>
  </si>
  <si>
    <t>Price Increase</t>
  </si>
  <si>
    <t>DW%</t>
  </si>
  <si>
    <t>OLD COGS</t>
  </si>
  <si>
    <t>OLD NET</t>
  </si>
  <si>
    <t>OLD GM</t>
  </si>
  <si>
    <t>OLD GM%</t>
  </si>
  <si>
    <t>NEW COGS</t>
  </si>
  <si>
    <t>NEW NET</t>
  </si>
  <si>
    <t>NEW GM</t>
  </si>
  <si>
    <t>NEW GM%</t>
  </si>
  <si>
    <t>Inches</t>
  </si>
  <si>
    <t>COGS Increase</t>
  </si>
  <si>
    <t>Event Disc%</t>
  </si>
  <si>
    <t>Event Pricing</t>
  </si>
  <si>
    <t>Event GM</t>
  </si>
  <si>
    <t>Event GM%</t>
  </si>
  <si>
    <t>New BAU2 Disc%</t>
  </si>
  <si>
    <t>New BAU2 Discount</t>
  </si>
  <si>
    <t>New BAU2 Pricing</t>
  </si>
  <si>
    <t>SC-4TFOLD-BL-72x48</t>
  </si>
  <si>
    <t>SC-4TFOLD-BL-72x36</t>
  </si>
  <si>
    <t>SC-LTx-ORTHO-K-78x72x8</t>
  </si>
  <si>
    <t>SC-LTx-ORTHO-K-78x72x6</t>
  </si>
  <si>
    <t>SC-LTx-ORTHO-Q-78x60x6</t>
  </si>
  <si>
    <t>SC-STD-LTx-BAM-24x16</t>
  </si>
  <si>
    <t>SC-CTR-LTx-BAM-24x16</t>
  </si>
  <si>
    <t>SC-LTx-ORTHO-D-72x48x5</t>
  </si>
  <si>
    <t>SC-LTx-ORTHO-K-72x72x6</t>
  </si>
  <si>
    <t>SC-LTx-ORTHO-Q-72x60x8</t>
  </si>
  <si>
    <t>SC-LTx-ORTHO-K-78x72x5</t>
  </si>
  <si>
    <t>SC-LTx-ORTHO-K-72x72x8</t>
  </si>
  <si>
    <t>SC-LITEPILWPSET2-S-27x17</t>
  </si>
  <si>
    <t>SC-LTx-ORTHO-Q-72x60x5</t>
  </si>
  <si>
    <t>SC-LTx-ORTHO-Q-75x60x6</t>
  </si>
  <si>
    <t>SC-LTx-ORTHO-Q-72x60x6</t>
  </si>
  <si>
    <t>SC-LTx-ORTHO-Q-78x60x8</t>
  </si>
  <si>
    <t>SC-LTx-ORTHO-Q-75x60x8</t>
  </si>
  <si>
    <t>SC-LTx-ORTHO-S-72x36x6</t>
  </si>
  <si>
    <t>SC-HYBPILW-S-26x16</t>
  </si>
  <si>
    <t>SC-SLMPILWSET2-S-26x16</t>
  </si>
  <si>
    <t>SC-SF-48x24x4</t>
  </si>
  <si>
    <t>SC-LTx-ORTHO-Q-78x60x5</t>
  </si>
  <si>
    <t>SC-LTx-ORTHO-K-75x72x6</t>
  </si>
  <si>
    <t>SC-LTx-ORTHO-K-75x72x8</t>
  </si>
  <si>
    <t>SC-LTx-ORTHO-D-72x48x6</t>
  </si>
  <si>
    <t>SC-LTx-ORTHO-S-72x36x5</t>
  </si>
  <si>
    <t>SC-LTx-ORTHO-Q-75x60x5</t>
  </si>
  <si>
    <t>SC-LTx-ORTHO-K-72x72x5</t>
  </si>
  <si>
    <t>SC-LTx-ORTHO-K-75x72x5</t>
  </si>
  <si>
    <t>SC-LTx-ORTHO-D-72x48x8</t>
  </si>
  <si>
    <t>SC-LTx-ORTHO-S-72x30x6</t>
  </si>
  <si>
    <t>SC-PETBEDORIG-xL-54x36</t>
  </si>
  <si>
    <t>SC-LTx-ORTHO-D-75x48x6</t>
  </si>
  <si>
    <t>SC-LTx-ORTHO-K-84x72x6</t>
  </si>
  <si>
    <t>SC-LTx-ORTHO-Q-78x66x8</t>
  </si>
  <si>
    <t>SC-LTx-ORTHO-S-72x30x8</t>
  </si>
  <si>
    <t>SC-LTx-ORTHO-S-72x36x8</t>
  </si>
  <si>
    <t>SC-PETBEDORTHO-xL-52x28</t>
  </si>
  <si>
    <t>SC-LTx-ORTHO-S-75x36x5</t>
  </si>
  <si>
    <t>SC-LTx-ORTHO-S-78x36x6</t>
  </si>
  <si>
    <t>SC-ASF-52x28x4</t>
  </si>
  <si>
    <t>SC-LTx-ORTHO-D-78x48x6</t>
  </si>
  <si>
    <t>SC-LTx-ORTHO-K-84x78x6</t>
  </si>
  <si>
    <t>SC-LTx-ORTHO-Q-78x66x6</t>
  </si>
  <si>
    <t>SC-EGWTLUxCOMF-D-90x100</t>
  </si>
  <si>
    <t>SC-PETBEDORTHO-M.Red-xL-52x28</t>
  </si>
  <si>
    <t>SC-PETBEDORIG-M.Red-xL-54x36</t>
  </si>
  <si>
    <t>SC-PETBEDORTHO-N.Blue-xL-52x28</t>
  </si>
  <si>
    <t>SC-SMLUxERCOMF-D-90x100</t>
  </si>
  <si>
    <t>SC-LTx-ORTHO-K-84x72x8</t>
  </si>
  <si>
    <t>SC-LTx-ORTHO-K-84x78x8</t>
  </si>
  <si>
    <t>SC-LTx-ORTHO-Q-72x66x6</t>
  </si>
  <si>
    <t>SC-LTx-ORTHO-S-72x30x5</t>
  </si>
  <si>
    <t>SC-LTx-ORTHO-S-75x36x6</t>
  </si>
  <si>
    <t>SC-EGWTLUxCOMF-S-90x60</t>
  </si>
  <si>
    <t>SC-PETBEDORIG-N.Blue-xL-54x36</t>
  </si>
  <si>
    <t>SC-PETBEDORTHO-M.Red-L-48x24</t>
  </si>
  <si>
    <t>SC-PETBEDORTHO-N.Blue-L-48x24</t>
  </si>
  <si>
    <t>SC-LTx-ORTHO-D-72x42x8</t>
  </si>
  <si>
    <t>SC-LTx-ORTHO-D-75x42x6</t>
  </si>
  <si>
    <t>SC-LTx-ORTHO-D-75x42x8</t>
  </si>
  <si>
    <t>SC-LTx-ORTHO-S-75x30x6</t>
  </si>
  <si>
    <t>SC-LTx-ORTHO-S-75x36x8</t>
  </si>
  <si>
    <t>SC-LTx-ORTHO-S-78x36x8</t>
  </si>
  <si>
    <t>SC-BSBGTHR-S-49x59</t>
  </si>
  <si>
    <t>SC-PNYLTHR-S-49x59</t>
  </si>
  <si>
    <t>SC-LTx-ORTHO-D-72x42x5</t>
  </si>
  <si>
    <t>SC-LTx-ORTHO-D-72x42x6</t>
  </si>
  <si>
    <t>SC-LTx-ORTHO-D-75x48x8</t>
  </si>
  <si>
    <t>SC-LTx-ORTHO-D-78x42x5</t>
  </si>
  <si>
    <t>SC-LTx-ORTHO-D-78x42x8</t>
  </si>
  <si>
    <t>SC-LTx-ORTHO-D-78x48x5</t>
  </si>
  <si>
    <t>SC-LTx-ORTHO-D-84x48x6</t>
  </si>
  <si>
    <t>SC-LTx-ORTHO-K-84x72x5</t>
  </si>
  <si>
    <t>SC-LTx-ORTHO-K-84x78x5</t>
  </si>
  <si>
    <t>SC-LTx-ORTHO-Q-72x66x5</t>
  </si>
  <si>
    <t>SC-LTx-ORTHO-Q-72x66x8</t>
  </si>
  <si>
    <t>SC-LTx-ORTHO-Q-75x66x5</t>
  </si>
  <si>
    <t>SC-LTx-ORTHO-Q-75x66x6</t>
  </si>
  <si>
    <t>SC-LTx-ORTHO-Q-78x66x5</t>
  </si>
  <si>
    <t>SC-LTx-ORTHO-Q-84x60x5</t>
  </si>
  <si>
    <t>SC-LTx-ORTHO-S-78x30x8</t>
  </si>
  <si>
    <t>SC-SMLUxERCOMF-S-90x60</t>
  </si>
  <si>
    <t>SC-PBGRTHR-S-49x59</t>
  </si>
  <si>
    <t>SC-PETBEDORTHO-M.Red-M-28x26</t>
  </si>
  <si>
    <t>SC-PETBEDORTHO-N.Blue-M-28x26</t>
  </si>
  <si>
    <t>SC-ASF-PRBDPILW-S-50x19</t>
  </si>
  <si>
    <t>SC-PRBDPILW-S-50x19</t>
  </si>
  <si>
    <t>SC-BWJRDVTCVR-D-90x100</t>
  </si>
  <si>
    <t>SC-BWJRDVTCVR-S-90x60</t>
  </si>
  <si>
    <t>SC-WBJRDVTCVR-D-90x100</t>
  </si>
  <si>
    <t>SC-WBJRDVTCVR-S-90x60</t>
  </si>
  <si>
    <t>SC-LTx-ORTHO-D-75x42x5</t>
  </si>
  <si>
    <t>SC-LTx-ORTHO-D-75x48x5</t>
  </si>
  <si>
    <t>SC-LTx-ORTHO-D-78x42x6</t>
  </si>
  <si>
    <t>SC-LTx-ORTHO-D-78x48x8</t>
  </si>
  <si>
    <t>SC-LTx-ORTHO-D-84x48x5</t>
  </si>
  <si>
    <t>SC-LTx-ORTHO-D-84x48x8</t>
  </si>
  <si>
    <t>SC-LTx-ORTHO-K-75x75x5</t>
  </si>
  <si>
    <t>SC-LTx-ORTHO-K-75x75x6</t>
  </si>
  <si>
    <t>SC-LTx-ORTHO-K-75x75x8</t>
  </si>
  <si>
    <t>SC-LTx-ORTHO-K-78x75x5</t>
  </si>
  <si>
    <t>SC-LTx-ORTHO-K-78x75x6</t>
  </si>
  <si>
    <t>SC-LTx-ORTHO-K-78x75x8</t>
  </si>
  <si>
    <t>SC-LTx-ORTHO-Q-75x66x8</t>
  </si>
  <si>
    <t>SC-LTx-ORTHO-Q-84x60x6</t>
  </si>
  <si>
    <t>SC-LTx-ORTHO-Q-84x60x8</t>
  </si>
  <si>
    <t>SC-LTx-ORTHO-S-75x30x5</t>
  </si>
  <si>
    <t>SC-LTx-ORTHO-S-75x30x8</t>
  </si>
  <si>
    <t>SC-LTx-ORTHO-S-78x30x5</t>
  </si>
  <si>
    <t>SC-LTx-ORTHO-S-78x30x6</t>
  </si>
  <si>
    <t>SC-LTx-ORTHO-S-78x36x5</t>
  </si>
  <si>
    <t>SC-LTx-ORTHO-S-84x36x5</t>
  </si>
  <si>
    <t>SC-LTx-ORTHO-S-84x36x6</t>
  </si>
  <si>
    <t>SC-LTx-ORTHO-S-84x36x8</t>
  </si>
  <si>
    <t>SC-AURORAMUSLN-S-85x59</t>
  </si>
  <si>
    <t>SC-MAZEMUSLN-S-85x59</t>
  </si>
  <si>
    <t>SC-NOVAMUSLN-S-85x59</t>
  </si>
  <si>
    <t>SC-ZSJRDVTCVR-D-90x100</t>
  </si>
  <si>
    <t>SC-ZSJRDVTCVR-S-90x60</t>
  </si>
  <si>
    <t>SC-FLEX2-ULTM-Q-75x60x8</t>
  </si>
  <si>
    <t>MASTER</t>
  </si>
  <si>
    <t>FK SKU</t>
  </si>
  <si>
    <t>FSN</t>
  </si>
  <si>
    <t>MOP</t>
  </si>
  <si>
    <t>STATUS</t>
  </si>
  <si>
    <t>CPCGYTHZAUTXM5GC</t>
  </si>
  <si>
    <t>BEMHF9JZGZGCN3CA</t>
  </si>
  <si>
    <t>archived</t>
  </si>
  <si>
    <t>BEMH4FH5TP8ZUUK2</t>
  </si>
  <si>
    <t>BDSGYGDCP88ENJEK</t>
  </si>
  <si>
    <t>DCVH3VN2JPMCFHMF</t>
  </si>
  <si>
    <t>DCVGZXHTBGEDPDXW</t>
  </si>
  <si>
    <t>DCVGZXGBYJHYXC4R</t>
  </si>
  <si>
    <t>DCVGZXHTXVVVZQUC</t>
  </si>
  <si>
    <t>DCVGZXGBSTQDH9JF</t>
  </si>
  <si>
    <t>DCVGZXGBPK5ZQZZ9</t>
  </si>
  <si>
    <t>DCVGZXGBUEYHZGDG</t>
  </si>
  <si>
    <t>BDSGZM9HD4SDQCFD</t>
  </si>
  <si>
    <t>BDSGZM9HR5SMGFFZ</t>
  </si>
  <si>
    <t>BDSGZM9HKDZ3FTN3</t>
  </si>
  <si>
    <t>BDSGYAGNEVB2YNGM</t>
  </si>
  <si>
    <t>BDSGYAGC7XUZP9YG</t>
  </si>
  <si>
    <t>BDSGYFNXCPG4RQVG</t>
  </si>
  <si>
    <t>BDSGYFNX2ZMKYDEM</t>
  </si>
  <si>
    <t>BDSGZMA4Z4CU4ET5</t>
  </si>
  <si>
    <t>BDSGZMA4AU7CPEFP</t>
  </si>
  <si>
    <t>BDSGZMA4SUKHV4RN</t>
  </si>
  <si>
    <t>BDSGYAGB5GGUEDRG</t>
  </si>
  <si>
    <t>CPCGYTHZCJR2R6HN</t>
  </si>
  <si>
    <t>CPCGYTHZJUZPHKWH</t>
  </si>
  <si>
    <t>CPCGYTHZJU7TAERC</t>
  </si>
  <si>
    <t>CPCGYTHZA3ARGKZS</t>
  </si>
  <si>
    <t>CPCGYTHZPN9HFXK5</t>
  </si>
  <si>
    <t>CPCGYTQVXSMWBH74</t>
  </si>
  <si>
    <t>CPCGYTHZHRDDAPDU</t>
  </si>
  <si>
    <t>CPCGYTHZFTCFJNMH</t>
  </si>
  <si>
    <t>CPCGYTHZT8HA3WDA</t>
  </si>
  <si>
    <t>CPCGYTHVGHSD9GZ7</t>
  </si>
  <si>
    <t>CPCH3U9JCHGSNKDG</t>
  </si>
  <si>
    <t>CPCGYTHZYANXYARG</t>
  </si>
  <si>
    <t>CPCGYTQVVTPYXQHD</t>
  </si>
  <si>
    <t>CPCGYTHVWYNSJFXR</t>
  </si>
  <si>
    <t>CPCGYTHZFRJUZPZ2</t>
  </si>
  <si>
    <t>CPCGYTHZHEV8DYBN</t>
  </si>
  <si>
    <t>BDSGG44TEFCDZK8E</t>
  </si>
  <si>
    <t>Cervical memory Foam</t>
  </si>
  <si>
    <t>pending</t>
  </si>
  <si>
    <t>PLWGF44HZFS7VFWA</t>
  </si>
  <si>
    <t>Cloud King Pillow</t>
  </si>
  <si>
    <t>MTPHYEYYP957TZEJ</t>
  </si>
  <si>
    <t>PLWGF44GRVF7ZSXH</t>
  </si>
  <si>
    <t>MTPHYEYYUAWVW3WN</t>
  </si>
  <si>
    <t>FIber Mattress Topper</t>
  </si>
  <si>
    <t>MTPGXN5YCSHMTPJG</t>
  </si>
  <si>
    <t>Microfiber Topper</t>
  </si>
  <si>
    <t>MTPHYEYYTEFHFZWB</t>
  </si>
  <si>
    <t>MTPGXN586UB8FCEG</t>
  </si>
  <si>
    <t>MTPGX9XFT5GUTUNX</t>
  </si>
  <si>
    <t>MTPHYEYYCMYEGHU7</t>
  </si>
  <si>
    <t>MTPGX7KYBYGYMP8F</t>
  </si>
  <si>
    <t>Contour CoolTech MF Pillow</t>
  </si>
  <si>
    <t>BDSHMGFJUNTXADJF</t>
  </si>
  <si>
    <t>BDSHMGFMBQECYTNR</t>
  </si>
  <si>
    <t>BDSHMGGXUPAMPT2G</t>
  </si>
  <si>
    <t>BDSHMGGCZDHZM4KP</t>
  </si>
  <si>
    <t>BDSHMGGASVZ3NGWC</t>
  </si>
  <si>
    <t>DCVHMGHPVYCWH9JF</t>
  </si>
  <si>
    <t>PLWGD7JWWFPGGNCU</t>
  </si>
  <si>
    <t>BDSHH5TUZSHNCHPK</t>
  </si>
  <si>
    <t>listed</t>
  </si>
  <si>
    <t>BDSHHFUNDGYZ7HVU</t>
  </si>
  <si>
    <t>BDSHHFUM8JARBDGN</t>
  </si>
  <si>
    <t>BDSHHFUMZZGBZ427</t>
  </si>
  <si>
    <t>BDSHHFUNMSEXSFUV</t>
  </si>
  <si>
    <t>BDSHHFUMAC4XFFNP</t>
  </si>
  <si>
    <t>BDSHHFUNAMZHFKRE</t>
  </si>
  <si>
    <t>BDSHH5TUSGWGJWAT</t>
  </si>
  <si>
    <t>BDSHHFUMGZPKD3YB</t>
  </si>
  <si>
    <t>BDSHH5TUVRYSM39R</t>
  </si>
  <si>
    <t>BDSHHFUNGWE34MDJ</t>
  </si>
  <si>
    <t>Hybrid pillow</t>
  </si>
  <si>
    <t>PLWHM2FSJWUDFCZZ</t>
  </si>
  <si>
    <t>Marshmellow Pillow</t>
  </si>
  <si>
    <t>SC-F-MFPILW-P-28x18</t>
  </si>
  <si>
    <t>SC-F-FIMTTOPPER-S-72x36\</t>
  </si>
  <si>
    <t>PLWFYPHA8UXZMVG6</t>
  </si>
  <si>
    <t>Cuddle pillow</t>
  </si>
  <si>
    <t>BEMFJBY9SHECBVA5</t>
  </si>
  <si>
    <t>BEMFJKZJWRQDKW6P</t>
  </si>
  <si>
    <t>BEMG5K2JCWW9J3ZY</t>
  </si>
  <si>
    <t>PEBGF39RGZWEYDAM</t>
  </si>
  <si>
    <t>PEBGF39RXZFGZKEK</t>
  </si>
  <si>
    <t>PEBGF39RWCWVY3JZ</t>
  </si>
  <si>
    <t>PEBGF39M7FDQ4RK9</t>
  </si>
  <si>
    <t>SC-F-GRBDPILWSET-S-50x19</t>
  </si>
  <si>
    <t>pillow</t>
  </si>
  <si>
    <t>MTPHMHG4ZFQQXHUF</t>
  </si>
  <si>
    <t>MTPHMHG4JAE8D55R</t>
  </si>
  <si>
    <t>MTPHMHG4WMZHAZC2</t>
  </si>
  <si>
    <t>protector</t>
  </si>
  <si>
    <t>MTPHMGKYJRS83AQB</t>
  </si>
  <si>
    <t>MTPHMGKYWHHWZXHG</t>
  </si>
  <si>
    <t>MTPHMGKYV5HHFFTQ</t>
  </si>
  <si>
    <t>MTPHMGKYCWDFMP4Z</t>
  </si>
  <si>
    <t>MTPHMGKYVNF2QVHH</t>
  </si>
  <si>
    <t>MTPHMGKYMFE5V8AK</t>
  </si>
  <si>
    <t>MTPHMGKYSGYVTJVH</t>
  </si>
  <si>
    <t>MTPHMGKYDNZK7D8B</t>
  </si>
  <si>
    <t>MTPHMGKYP8VRTUGQ</t>
  </si>
  <si>
    <t>CPCGYTHV7GAZMGFR</t>
  </si>
  <si>
    <t>BLAGBKPBAH6RYYFU</t>
  </si>
  <si>
    <t>Weighted Blanket</t>
  </si>
  <si>
    <t>BEMFJKZJ44PMQ7UD</t>
  </si>
  <si>
    <t>BEMFJKZTDJF7JE2Y</t>
  </si>
  <si>
    <t>Orignal Mattress</t>
  </si>
  <si>
    <t>BEMGFBF9GAZ7HHJQ</t>
  </si>
  <si>
    <t>BEMGFBFFYEGPQYPF</t>
  </si>
  <si>
    <t>New Event Pricing</t>
  </si>
  <si>
    <t>SC-SLMMFPILWSET4-BAM-S-25x15</t>
  </si>
  <si>
    <t>SC-SLMMFPILWSET2-BAM-S-25x15</t>
  </si>
  <si>
    <t>SC-NLX-BABY-XL-52x28x4</t>
  </si>
  <si>
    <t>SC-NLX-BABY-L-48x24x4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</si>
</sst>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2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rgb="FF000000"/>
      <name val="Arial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&quot;\0022Aptos Narrow\0022&quot;"/>
    </font>
    <font>
      <sz val="11.0"/>
      <color rgb="FF000000"/>
      <name val="Arial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color rgb="FF000000"/>
      <name val="Arial"/>
    </font>
    <font>
      <b/>
      <color rgb="FF000000"/>
      <name val="Calibri"/>
    </font>
    <font>
      <u/>
      <color rgb="FF0000FF"/>
      <name val="Arial"/>
    </font>
    <font>
      <u/>
      <color rgb="FF1155CC"/>
      <name val="Arial"/>
    </font>
    <font>
      <u/>
      <sz val="11.0"/>
      <color rgb="FF0000FF"/>
      <name val="&quot;Aptos Narrow&quot;"/>
    </font>
    <font>
      <sz val="11.0"/>
      <color rgb="FF9C0006"/>
      <name val="&quot;Aptos Narrow&quot;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D86DCD"/>
        <bgColor rgb="FFD86DCD"/>
      </patternFill>
    </fill>
    <fill>
      <patternFill patternType="solid">
        <fgColor rgb="FFFFC7CE"/>
        <bgColor rgb="FFFFC7CE"/>
      </patternFill>
    </fill>
    <fill>
      <patternFill patternType="solid">
        <fgColor rgb="FFFAE2D5"/>
        <bgColor rgb="FFFAE2D5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3" xfId="0" applyFont="1" applyNumberFormat="1"/>
    <xf borderId="0" fillId="0" fontId="3" numFmtId="0" xfId="0" applyFont="1"/>
    <xf borderId="0" fillId="0" fontId="6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right" readingOrder="0" shrinkToFit="0" vertical="bottom" wrapText="0"/>
    </xf>
    <xf borderId="0" fillId="3" fontId="4" numFmtId="0" xfId="0" applyAlignment="1" applyFill="1" applyFont="1">
      <alignment horizontal="center" readingOrder="0" shrinkToFit="0" vertical="bottom" wrapText="0"/>
    </xf>
    <xf borderId="0" fillId="0" fontId="4" numFmtId="3" xfId="0" applyAlignment="1" applyFont="1" applyNumberFormat="1">
      <alignment horizontal="center"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readingOrder="0" shrinkToFit="0" wrapText="0"/>
    </xf>
    <xf borderId="0" fillId="0" fontId="3" numFmtId="10" xfId="0" applyFont="1" applyNumberFormat="1"/>
    <xf borderId="0" fillId="0" fontId="4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1" fillId="4" fontId="11" numFmtId="0" xfId="0" applyAlignment="1" applyBorder="1" applyFill="1" applyFont="1">
      <alignment readingOrder="0"/>
    </xf>
    <xf borderId="2" fillId="4" fontId="11" numFmtId="0" xfId="0" applyAlignment="1" applyBorder="1" applyFont="1">
      <alignment readingOrder="0"/>
    </xf>
    <xf borderId="0" fillId="4" fontId="11" numFmtId="0" xfId="0" applyAlignment="1" applyFont="1">
      <alignment readingOrder="0"/>
    </xf>
    <xf borderId="0" fillId="5" fontId="4" numFmtId="0" xfId="0" applyAlignment="1" applyFill="1" applyFont="1">
      <alignment horizontal="center" readingOrder="0" shrinkToFit="0" vertical="bottom" wrapText="0"/>
    </xf>
    <xf borderId="0" fillId="5" fontId="6" numFmtId="0" xfId="0" applyAlignment="1" applyFont="1">
      <alignment horizontal="center" readingOrder="0"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0" fillId="5" fontId="10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5" fontId="10" numFmtId="0" xfId="0" applyAlignment="1" applyFont="1">
      <alignment readingOrder="0" shrinkToFit="0" vertical="bottom" wrapText="0"/>
    </xf>
    <xf borderId="0" fillId="5" fontId="10" numFmtId="0" xfId="0" applyAlignment="1" applyFont="1">
      <alignment shrinkToFit="0" vertical="bottom" wrapText="0"/>
    </xf>
    <xf borderId="0" fillId="5" fontId="4" numFmtId="0" xfId="0" applyAlignment="1" applyFont="1">
      <alignment horizontal="center" shrinkToFit="0" vertical="bottom" wrapText="0"/>
    </xf>
    <xf borderId="0" fillId="5" fontId="10" numFmtId="3" xfId="0" applyAlignment="1" applyFont="1" applyNumberFormat="1">
      <alignment horizontal="right" readingOrder="0" shrinkToFit="0" vertical="bottom" wrapText="0"/>
    </xf>
    <xf borderId="0" fillId="5" fontId="10" numFmtId="0" xfId="0" applyAlignment="1" applyFont="1">
      <alignment shrinkToFit="0" vertical="bottom" wrapText="0"/>
    </xf>
    <xf borderId="0" fillId="5" fontId="10" numFmtId="0" xfId="0" applyAlignment="1" applyFont="1">
      <alignment horizontal="center" readingOrder="0" shrinkToFit="0" vertical="bottom" wrapText="0"/>
    </xf>
    <xf borderId="0" fillId="5" fontId="6" numFmtId="0" xfId="0" applyAlignment="1" applyFont="1">
      <alignment horizontal="center" readingOrder="0" shrinkToFit="0" vertical="bottom" wrapText="0"/>
    </xf>
    <xf borderId="0" fillId="5" fontId="4" numFmtId="3" xfId="0" applyAlignment="1" applyFont="1" applyNumberFormat="1">
      <alignment horizontal="right" readingOrder="0" shrinkToFit="0" vertical="bottom" wrapText="0"/>
    </xf>
    <xf borderId="0" fillId="5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5" fontId="13" numFmtId="0" xfId="0" applyAlignment="1" applyFont="1">
      <alignment horizontal="center" readingOrder="0" shrinkToFit="0" vertical="bottom" wrapText="0"/>
    </xf>
    <xf borderId="0" fillId="5" fontId="4" numFmtId="3" xfId="0" applyAlignment="1" applyFont="1" applyNumberFormat="1">
      <alignment horizontal="center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5" fontId="4" numFmtId="0" xfId="0" applyAlignment="1" applyFont="1">
      <alignment readingOrder="0" shrinkToFit="0" vertical="bottom" wrapText="0"/>
    </xf>
    <xf borderId="0" fillId="5" fontId="4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shrinkToFit="0" vertical="bottom" wrapText="0"/>
    </xf>
    <xf borderId="0" fillId="6" fontId="4" numFmtId="0" xfId="0" applyAlignment="1" applyFill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7" fontId="15" numFmtId="0" xfId="0" applyAlignment="1" applyFill="1" applyFont="1">
      <alignment horizontal="center" readingOrder="0" shrinkToFit="0" vertical="bottom" wrapText="0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3" fillId="8" fontId="17" numFmtId="0" xfId="0" applyAlignment="1" applyBorder="1" applyFill="1" applyFont="1">
      <alignment vertical="bottom"/>
    </xf>
    <xf borderId="3" fillId="8" fontId="17" numFmtId="3" xfId="0" applyAlignment="1" applyBorder="1" applyFont="1" applyNumberFormat="1">
      <alignment vertical="bottom"/>
    </xf>
    <xf borderId="3" fillId="8" fontId="16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17" numFmtId="9" xfId="0" applyAlignment="1" applyFont="1" applyNumberFormat="1">
      <alignment vertical="bottom"/>
    </xf>
    <xf borderId="0" fillId="0" fontId="16" numFmtId="3" xfId="0" applyAlignment="1" applyFont="1" applyNumberFormat="1">
      <alignment vertical="bottom"/>
    </xf>
    <xf borderId="0" fillId="0" fontId="16" numFmtId="10" xfId="0" applyAlignment="1" applyFont="1" applyNumberFormat="1">
      <alignment vertical="bottom"/>
    </xf>
    <xf borderId="0" fillId="0" fontId="18" numFmtId="0" xfId="0" applyAlignment="1" applyFont="1">
      <alignment horizontal="center" vertical="bottom"/>
    </xf>
    <xf borderId="0" fillId="0" fontId="18" numFmtId="164" xfId="0" applyAlignment="1" applyFont="1" applyNumberFormat="1">
      <alignment horizontal="center" vertical="bottom"/>
    </xf>
    <xf borderId="3" fillId="8" fontId="18" numFmtId="164" xfId="0" applyAlignment="1" applyBorder="1" applyFont="1" applyNumberFormat="1">
      <alignment horizontal="right" vertical="bottom"/>
    </xf>
    <xf borderId="3" fillId="8" fontId="18" numFmtId="3" xfId="0" applyAlignment="1" applyBorder="1" applyFont="1" applyNumberFormat="1">
      <alignment horizontal="center" vertical="bottom"/>
    </xf>
    <xf borderId="3" fillId="8" fontId="18" numFmtId="0" xfId="0" applyAlignment="1" applyBorder="1" applyFont="1">
      <alignment horizontal="center" vertical="bottom"/>
    </xf>
    <xf borderId="0" fillId="0" fontId="18" numFmtId="9" xfId="0" applyAlignment="1" applyFont="1" applyNumberFormat="1">
      <alignment vertical="bottom"/>
    </xf>
    <xf borderId="0" fillId="0" fontId="18" numFmtId="9" xfId="0" applyAlignment="1" applyFont="1" applyNumberFormat="1">
      <alignment horizontal="right" vertical="bottom"/>
    </xf>
    <xf borderId="0" fillId="0" fontId="18" numFmtId="164" xfId="0" applyAlignment="1" applyFont="1" applyNumberFormat="1">
      <alignment horizontal="right" vertical="bottom"/>
    </xf>
    <xf borderId="0" fillId="0" fontId="18" numFmtId="3" xfId="0" applyAlignment="1" applyFont="1" applyNumberFormat="1">
      <alignment horizontal="right" vertical="bottom"/>
    </xf>
    <xf borderId="0" fillId="0" fontId="18" numFmtId="10" xfId="0" applyAlignment="1" applyFont="1" applyNumberFormat="1">
      <alignment horizontal="right" vertical="bottom"/>
    </xf>
    <xf borderId="3" fillId="8" fontId="19" numFmtId="164" xfId="0" applyAlignment="1" applyBorder="1" applyFont="1" applyNumberFormat="1">
      <alignment horizontal="right" vertical="bottom"/>
    </xf>
    <xf borderId="0" fillId="0" fontId="18" numFmtId="164" xfId="0" applyAlignment="1" applyFont="1" applyNumberFormat="1">
      <alignment vertical="bottom"/>
    </xf>
    <xf borderId="3" fillId="8" fontId="18" numFmtId="9" xfId="0" applyAlignment="1" applyBorder="1" applyFont="1" applyNumberFormat="1">
      <alignment horizontal="right" vertical="bottom"/>
    </xf>
    <xf borderId="3" fillId="8" fontId="19" numFmtId="3" xfId="0" applyAlignment="1" applyBorder="1" applyFont="1" applyNumberFormat="1">
      <alignment horizontal="center" vertical="bottom"/>
    </xf>
    <xf borderId="3" fillId="8" fontId="19" numFmtId="0" xfId="0" applyAlignment="1" applyBorder="1" applyFont="1">
      <alignment horizontal="center" vertical="bottom"/>
    </xf>
    <xf borderId="0" fillId="0" fontId="19" numFmtId="3" xfId="0" applyAlignment="1" applyFont="1" applyNumberFormat="1">
      <alignment horizontal="right" vertical="bottom"/>
    </xf>
    <xf borderId="0" fillId="0" fontId="18" numFmtId="3" xfId="0" applyAlignment="1" applyFont="1" applyNumberFormat="1">
      <alignment horizontal="center" vertical="bottom"/>
    </xf>
    <xf borderId="3" fillId="8" fontId="19" numFmtId="1" xfId="0" applyAlignment="1" applyBorder="1" applyFont="1" applyNumberFormat="1">
      <alignment horizontal="center" vertical="bottom"/>
    </xf>
    <xf borderId="0" fillId="0" fontId="18" numFmtId="10" xfId="0" applyAlignment="1" applyFont="1" applyNumberFormat="1">
      <alignment vertical="bottom"/>
    </xf>
    <xf borderId="0" fillId="0" fontId="19" numFmtId="0" xfId="0" applyAlignment="1" applyFont="1">
      <alignment horizontal="center" vertical="bottom"/>
    </xf>
    <xf borderId="0" fillId="0" fontId="10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6" numFmtId="0" xfId="0" applyAlignment="1" applyFont="1">
      <alignment vertical="bottom"/>
    </xf>
    <xf borderId="4" fillId="0" fontId="20" numFmtId="0" xfId="0" applyAlignment="1" applyBorder="1" applyFont="1">
      <alignment horizontal="center" readingOrder="0" shrinkToFit="0" wrapText="0"/>
    </xf>
    <xf borderId="0" fillId="0" fontId="18" numFmtId="0" xfId="0" applyAlignment="1" applyFont="1">
      <alignment horizontal="center" vertical="bottom"/>
    </xf>
    <xf borderId="4" fillId="0" fontId="21" numFmtId="0" xfId="0" applyAlignment="1" applyBorder="1" applyFont="1">
      <alignment horizontal="center" readingOrder="0" shrinkToFit="0" wrapText="0"/>
    </xf>
    <xf borderId="4" fillId="0" fontId="21" numFmtId="3" xfId="0" applyAlignment="1" applyBorder="1" applyFont="1" applyNumberFormat="1">
      <alignment horizontal="center" readingOrder="0" shrinkToFit="0" wrapText="0"/>
    </xf>
    <xf borderId="0" fillId="0" fontId="10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sellercentral.amazon.in/skucentral?mSku=ASF-O1-ZZYY-NY6L&amp;condition=New&amp;ref_=myp_skuc" TargetMode="External"/><Relationship Id="rId10" Type="http://schemas.openxmlformats.org/officeDocument/2006/relationships/hyperlink" Target="https://sellercentral.amazon.in/skucentral?mSku=SC-ASF-ORIG-K-78x75x4&amp;condition=New&amp;ref_=myp_skuc" TargetMode="External"/><Relationship Id="rId13" Type="http://schemas.openxmlformats.org/officeDocument/2006/relationships/hyperlink" Target="https://sellercentral.amazon.in/skucentral?mSku=SC-ASF-ORIG-K-84x84x10&amp;condition=New&amp;ref_=myp_skuc" TargetMode="External"/><Relationship Id="rId12" Type="http://schemas.openxmlformats.org/officeDocument/2006/relationships/hyperlink" Target="https://sellercentral.amazon.in/skucentral?mSku=SC-ASF-ORIG-78x42x6&amp;condition=New&amp;ref_=myp_skuc" TargetMode="External"/><Relationship Id="rId1" Type="http://schemas.openxmlformats.org/officeDocument/2006/relationships/hyperlink" Target="https://sellercentral.amazon.in/skucentral?mSku=SC-ASF-Accacia-Wooden-Bed-King-78x72&amp;condition=New&amp;ref_=myp_skuc" TargetMode="External"/><Relationship Id="rId2" Type="http://schemas.openxmlformats.org/officeDocument/2006/relationships/hyperlink" Target="https://sellercentral.amazon.in/skucentral?mSku=SC-ASF-BCRFTDSHEET-K-72x72&amp;condition=New&amp;ref_=myp_skuc" TargetMode="External"/><Relationship Id="rId3" Type="http://schemas.openxmlformats.org/officeDocument/2006/relationships/hyperlink" Target="https://sellercentral.amazon.in/skucentral?mSku=SC-ASF-BCRFTDSHEET-Q-72x60&amp;condition=New&amp;ref_=myp_skuc" TargetMode="External"/><Relationship Id="rId4" Type="http://schemas.openxmlformats.org/officeDocument/2006/relationships/hyperlink" Target="https://sellercentral.amazon.in/skucentral?mSku=SC-ASF-BCRFTDSHEET-Q-78x60&amp;condition=New&amp;ref_=myp_skuc" TargetMode="External"/><Relationship Id="rId9" Type="http://schemas.openxmlformats.org/officeDocument/2006/relationships/hyperlink" Target="https://sellercentral.amazon.in/skucentral?mSku=SC-ASF-ORIG-D-78x42x4&amp;condition=New&amp;ref_=myp_skuc" TargetMode="External"/><Relationship Id="rId15" Type="http://schemas.openxmlformats.org/officeDocument/2006/relationships/hyperlink" Target="https://sellercentral.amazon.in/skucentral?mSku=SC-ASF-ULTM-D-78x48x10&amp;condition=New&amp;ref_=myp_skuc" TargetMode="External"/><Relationship Id="rId14" Type="http://schemas.openxmlformats.org/officeDocument/2006/relationships/hyperlink" Target="https://sellercentral.amazon.in/skucentral?mSku=SC-ASF-ULTM-D-84x48x8&amp;condition=New&amp;ref_=myp_skuc" TargetMode="External"/><Relationship Id="rId17" Type="http://schemas.openxmlformats.org/officeDocument/2006/relationships/hyperlink" Target="https://sellercentral.amazon.in/skucentral?mSku=SC-ASF-ULTM-Q-84x60x10&amp;condition=New&amp;ref_=myp_skuc" TargetMode="External"/><Relationship Id="rId16" Type="http://schemas.openxmlformats.org/officeDocument/2006/relationships/hyperlink" Target="https://sellercentral.amazon.in/skucentral?mSku=SC-ASF-ULTM-D-84X48X10&amp;condition=New&amp;ref_=myp_skuc" TargetMode="External"/><Relationship Id="rId5" Type="http://schemas.openxmlformats.org/officeDocument/2006/relationships/hyperlink" Target="https://sellercentral.amazon.in/skucentral?mSku=SC-ASF-BCRDVTCOVER-D-90x100&amp;condition=New&amp;ref_=myp_skuc" TargetMode="External"/><Relationship Id="rId19" Type="http://schemas.openxmlformats.org/officeDocument/2006/relationships/hyperlink" Target="https://sellercentral.amazon.in/skucentral?mSku=SC-ULTM-S-75x36x10&amp;condition=New&amp;ref_=myp_skuc" TargetMode="External"/><Relationship Id="rId6" Type="http://schemas.openxmlformats.org/officeDocument/2006/relationships/hyperlink" Target="https://sellercentral.amazon.in/skucentral?mSku=SC-ASF-HYBPILWSET4-S-26x16&amp;condition=New&amp;ref_=myp_skuc" TargetMode="External"/><Relationship Id="rId18" Type="http://schemas.openxmlformats.org/officeDocument/2006/relationships/hyperlink" Target="https://sellercentral.amazon.in/skucentral?mSku=SC-ASF-ULTM-Q-84x60x8&amp;condition=New&amp;ref_=myp_skuc" TargetMode="External"/><Relationship Id="rId7" Type="http://schemas.openxmlformats.org/officeDocument/2006/relationships/hyperlink" Target="https://sellercentral.amazon.in/skucentral?mSku=SC-ASF-HYBPILW-P-30x18&amp;condition=New&amp;ref_=myp_skuc" TargetMode="External"/><Relationship Id="rId8" Type="http://schemas.openxmlformats.org/officeDocument/2006/relationships/hyperlink" Target="https://sellercentral.amazon.in/skucentral?mSku=SC-ASF-SMFPILWSET2-BAM-S-22x14&amp;condition=New&amp;ref_=myp_skuc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sellercentral.amazon.in/skucentral?mSku=ASF-O1-ZZYY-NY6L&amp;condition=New&amp;ref_=myp_skuc" TargetMode="External"/><Relationship Id="rId10" Type="http://schemas.openxmlformats.org/officeDocument/2006/relationships/hyperlink" Target="https://sellercentral.amazon.in/skucentral?mSku=SC-ASF-ORIG-K-84x84x10&amp;condition=New&amp;ref_=myp_skuc" TargetMode="External"/><Relationship Id="rId13" Type="http://schemas.openxmlformats.org/officeDocument/2006/relationships/hyperlink" Target="https://sellercentral.amazon.in/skucentral?mSku=SC-ASF-SMFPILWSET2-BAM-S-22x14&amp;condition=New&amp;ref_=myp_skuc" TargetMode="External"/><Relationship Id="rId12" Type="http://schemas.openxmlformats.org/officeDocument/2006/relationships/hyperlink" Target="https://sellercentral.amazon.in/skucentral?mSku=SC-ASF-ORIG-78x42x6&amp;condition=New&amp;ref_=myp_skuc" TargetMode="External"/><Relationship Id="rId1" Type="http://schemas.openxmlformats.org/officeDocument/2006/relationships/hyperlink" Target="https://sellercentral.amazon.in/skucentral?mSku=SC-ASF-Accacia-Wooden-Bed-King-78x72&amp;condition=New&amp;ref_=myp_skuc" TargetMode="External"/><Relationship Id="rId2" Type="http://schemas.openxmlformats.org/officeDocument/2006/relationships/hyperlink" Target="https://sellercentral.amazon.in/skucentral?mSku=SC-ASF-BCRDVTCOVER-D-90x100&amp;condition=New&amp;ref_=myp_skuc" TargetMode="External"/><Relationship Id="rId3" Type="http://schemas.openxmlformats.org/officeDocument/2006/relationships/hyperlink" Target="https://sellercentral.amazon.in/skucentral?mSku=SC-ASF-BCRFTDSHEET-K-72x72&amp;condition=New&amp;ref_=myp_skuc" TargetMode="External"/><Relationship Id="rId4" Type="http://schemas.openxmlformats.org/officeDocument/2006/relationships/hyperlink" Target="https://sellercentral.amazon.in/skucentral?mSku=SC-ASF-BCRFTDSHEET-Q-72x60&amp;condition=New&amp;ref_=myp_skuc" TargetMode="External"/><Relationship Id="rId9" Type="http://schemas.openxmlformats.org/officeDocument/2006/relationships/hyperlink" Target="https://sellercentral.amazon.in/skucentral?mSku=SC-ASF-ORIG-K-78x75x4&amp;condition=New&amp;ref_=myp_skuc" TargetMode="External"/><Relationship Id="rId15" Type="http://schemas.openxmlformats.org/officeDocument/2006/relationships/hyperlink" Target="https://sellercentral.amazon.in/skucentral?mSku=SC-ASF-ULTM-D-84X48X10&amp;condition=New&amp;ref_=myp_skuc" TargetMode="External"/><Relationship Id="rId14" Type="http://schemas.openxmlformats.org/officeDocument/2006/relationships/hyperlink" Target="https://sellercentral.amazon.in/skucentral?mSku=SC-ASF-ULTM-D-78x48x10&amp;condition=New&amp;ref_=myp_skuc" TargetMode="External"/><Relationship Id="rId17" Type="http://schemas.openxmlformats.org/officeDocument/2006/relationships/hyperlink" Target="https://sellercentral.amazon.in/skucentral?mSku=SC-ASF-ULTM-Q-84x60x10&amp;condition=New&amp;ref_=myp_skuc" TargetMode="External"/><Relationship Id="rId16" Type="http://schemas.openxmlformats.org/officeDocument/2006/relationships/hyperlink" Target="https://sellercentral.amazon.in/skucentral?mSku=SC-ASF-ULTM-D-84x48x8&amp;condition=New&amp;ref_=myp_skuc" TargetMode="External"/><Relationship Id="rId5" Type="http://schemas.openxmlformats.org/officeDocument/2006/relationships/hyperlink" Target="https://sellercentral.amazon.in/skucentral?mSku=SC-ASF-BCRFTDSHEET-Q-78x60&amp;condition=New&amp;ref_=myp_skuc" TargetMode="External"/><Relationship Id="rId19" Type="http://schemas.openxmlformats.org/officeDocument/2006/relationships/hyperlink" Target="https://sellercentral.amazon.in/skucentral?mSku=SC-ULTM-S-75x36x10&amp;condition=New&amp;ref_=myp_skuc" TargetMode="External"/><Relationship Id="rId6" Type="http://schemas.openxmlformats.org/officeDocument/2006/relationships/hyperlink" Target="https://sellercentral.amazon.in/skucentral?mSku=SC-ASF-HYBPILW-P-30x18&amp;condition=New&amp;ref_=myp_skuc" TargetMode="External"/><Relationship Id="rId18" Type="http://schemas.openxmlformats.org/officeDocument/2006/relationships/hyperlink" Target="https://sellercentral.amazon.in/skucentral?mSku=SC-ASF-ULTM-Q-84x60x8&amp;condition=New&amp;ref_=myp_skuc" TargetMode="External"/><Relationship Id="rId7" Type="http://schemas.openxmlformats.org/officeDocument/2006/relationships/hyperlink" Target="https://sellercentral.amazon.in/skucentral?mSku=SC-ASF-HYBPILWSET4-S-26x16&amp;condition=New&amp;ref_=myp_skuc" TargetMode="External"/><Relationship Id="rId8" Type="http://schemas.openxmlformats.org/officeDocument/2006/relationships/hyperlink" Target="https://sellercentral.amazon.in/skucentral?mSku=SC-ASF-ORIG-D-78x42x4&amp;condition=New&amp;ref_=myp_skuc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sellercentral.amazon.in/skucentral?mSku=ASF-O1-ZZYY-NY6L&amp;condition=New&amp;ref_=myp_skuc" TargetMode="External"/><Relationship Id="rId10" Type="http://schemas.openxmlformats.org/officeDocument/2006/relationships/hyperlink" Target="https://sellercentral.amazon.in/skucentral?mSku=SC-ASF-ORIG-K-84x84x10&amp;condition=New&amp;ref_=myp_skuc" TargetMode="External"/><Relationship Id="rId13" Type="http://schemas.openxmlformats.org/officeDocument/2006/relationships/hyperlink" Target="https://sellercentral.amazon.in/skucentral?mSku=SC-ASF-SMFPILWSET2-BAM-S-22x14&amp;condition=New&amp;ref_=myp_skuc" TargetMode="External"/><Relationship Id="rId12" Type="http://schemas.openxmlformats.org/officeDocument/2006/relationships/hyperlink" Target="https://sellercentral.amazon.in/skucentral?mSku=SC-ASF-ORIG-78x42x6&amp;condition=New&amp;ref_=myp_skuc" TargetMode="External"/><Relationship Id="rId1" Type="http://schemas.openxmlformats.org/officeDocument/2006/relationships/hyperlink" Target="https://sellercentral.amazon.in/skucentral?mSku=SC-ASF-Accacia-Wooden-Bed-King-78x72&amp;condition=New&amp;ref_=myp_skuc" TargetMode="External"/><Relationship Id="rId2" Type="http://schemas.openxmlformats.org/officeDocument/2006/relationships/hyperlink" Target="https://sellercentral.amazon.in/skucentral?mSku=SC-ASF-BCRDVTCOVER-D-90x100&amp;condition=New&amp;ref_=myp_skuc" TargetMode="External"/><Relationship Id="rId3" Type="http://schemas.openxmlformats.org/officeDocument/2006/relationships/hyperlink" Target="https://sellercentral.amazon.in/skucentral?mSku=SC-ASF-BCRFTDSHEET-K-72x72&amp;condition=New&amp;ref_=myp_skuc" TargetMode="External"/><Relationship Id="rId4" Type="http://schemas.openxmlformats.org/officeDocument/2006/relationships/hyperlink" Target="https://sellercentral.amazon.in/skucentral?mSku=SC-ASF-BCRFTDSHEET-Q-72x60&amp;condition=New&amp;ref_=myp_skuc" TargetMode="External"/><Relationship Id="rId9" Type="http://schemas.openxmlformats.org/officeDocument/2006/relationships/hyperlink" Target="https://sellercentral.amazon.in/skucentral?mSku=SC-ASF-ORIG-K-78x75x4&amp;condition=New&amp;ref_=myp_skuc" TargetMode="External"/><Relationship Id="rId15" Type="http://schemas.openxmlformats.org/officeDocument/2006/relationships/hyperlink" Target="https://sellercentral.amazon.in/skucentral?mSku=SC-ASF-ULTM-D-84X48X10&amp;condition=New&amp;ref_=myp_skuc" TargetMode="External"/><Relationship Id="rId14" Type="http://schemas.openxmlformats.org/officeDocument/2006/relationships/hyperlink" Target="https://sellercentral.amazon.in/skucentral?mSku=SC-ASF-ULTM-D-78x48x10&amp;condition=New&amp;ref_=myp_skuc" TargetMode="External"/><Relationship Id="rId17" Type="http://schemas.openxmlformats.org/officeDocument/2006/relationships/hyperlink" Target="https://sellercentral.amazon.in/skucentral?mSku=SC-ASF-ULTM-Q-84x60x10&amp;condition=New&amp;ref_=myp_skuc" TargetMode="External"/><Relationship Id="rId16" Type="http://schemas.openxmlformats.org/officeDocument/2006/relationships/hyperlink" Target="https://sellercentral.amazon.in/skucentral?mSku=SC-ASF-ULTM-D-84x48x8&amp;condition=New&amp;ref_=myp_skuc" TargetMode="External"/><Relationship Id="rId5" Type="http://schemas.openxmlformats.org/officeDocument/2006/relationships/hyperlink" Target="https://sellercentral.amazon.in/skucentral?mSku=SC-ASF-BCRFTDSHEET-Q-78x60&amp;condition=New&amp;ref_=myp_skuc" TargetMode="External"/><Relationship Id="rId19" Type="http://schemas.openxmlformats.org/officeDocument/2006/relationships/hyperlink" Target="https://sellercentral.amazon.in/skucentral?mSku=SC-ULTM-S-75x36x10&amp;condition=New&amp;ref_=myp_skuc" TargetMode="External"/><Relationship Id="rId6" Type="http://schemas.openxmlformats.org/officeDocument/2006/relationships/hyperlink" Target="https://sellercentral.amazon.in/skucentral?mSku=SC-ASF-HYBPILW-P-30x18&amp;condition=New&amp;ref_=myp_skuc" TargetMode="External"/><Relationship Id="rId18" Type="http://schemas.openxmlformats.org/officeDocument/2006/relationships/hyperlink" Target="https://sellercentral.amazon.in/skucentral?mSku=SC-ASF-ULTM-Q-84x60x8&amp;condition=New&amp;ref_=myp_skuc" TargetMode="External"/><Relationship Id="rId7" Type="http://schemas.openxmlformats.org/officeDocument/2006/relationships/hyperlink" Target="https://sellercentral.amazon.in/skucentral?mSku=SC-ASF-HYBPILWSET4-S-26x16&amp;condition=New&amp;ref_=myp_skuc" TargetMode="External"/><Relationship Id="rId8" Type="http://schemas.openxmlformats.org/officeDocument/2006/relationships/hyperlink" Target="https://sellercentral.amazon.in/skucentral?mSku=SC-ASF-ORIG-D-78x42x4&amp;condition=New&amp;ref_=myp_skuc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easyecom.io/products/product-details?id=174907981" TargetMode="External"/><Relationship Id="rId2" Type="http://schemas.openxmlformats.org/officeDocument/2006/relationships/hyperlink" Target="https://app.easyecom.io/products/product-details?id=174907980" TargetMode="External"/><Relationship Id="rId3" Type="http://schemas.openxmlformats.org/officeDocument/2006/relationships/hyperlink" Target="https://app.easyecom.io/products/product-details?id=63548596" TargetMode="External"/><Relationship Id="rId4" Type="http://schemas.openxmlformats.org/officeDocument/2006/relationships/hyperlink" Target="https://app.easyecom.io/products/product-details?id=61470609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app.easyecom.io/products/product-details?id=61478874" TargetMode="External"/><Relationship Id="rId6" Type="http://schemas.openxmlformats.org/officeDocument/2006/relationships/hyperlink" Target="https://app.easyecom.io/products/product-details?id=61470659" TargetMode="External"/><Relationship Id="rId7" Type="http://schemas.openxmlformats.org/officeDocument/2006/relationships/hyperlink" Target="https://app.easyecom.io/products/product-details?id=179000044" TargetMode="External"/><Relationship Id="rId8" Type="http://schemas.openxmlformats.org/officeDocument/2006/relationships/hyperlink" Target="https://app.easyecom.io/products/product-details?id=17900004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13"/>
    <col customWidth="1" min="2" max="2" width="36.13"/>
    <col customWidth="1" min="3" max="3" width="37.5"/>
    <col customWidth="1" min="4" max="4" width="54.5"/>
    <col customWidth="1" min="5" max="5" width="37.13"/>
    <col customWidth="1" min="6" max="6" width="38.38"/>
    <col customWidth="1" min="7" max="7" width="45.63"/>
    <col customWidth="1" min="8" max="8" width="33.63"/>
    <col customWidth="1" min="11" max="11" width="40.88"/>
    <col customWidth="1" min="12" max="12" width="39.88"/>
    <col customWidth="1" min="14" max="14" width="22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5" t="s">
        <v>15</v>
      </c>
    </row>
    <row r="2">
      <c r="A2" s="6" t="s">
        <v>16</v>
      </c>
      <c r="B2" s="6" t="s">
        <v>16</v>
      </c>
      <c r="C2" s="6" t="s">
        <v>17</v>
      </c>
      <c r="D2" s="6" t="s">
        <v>18</v>
      </c>
      <c r="E2" s="6" t="e">
        <v>#N/A</v>
      </c>
      <c r="F2" s="6" t="s">
        <v>19</v>
      </c>
      <c r="G2" s="6" t="s">
        <v>20</v>
      </c>
      <c r="H2" s="7" t="s">
        <v>21</v>
      </c>
      <c r="I2" s="6">
        <v>3.2783978E7</v>
      </c>
      <c r="J2" s="6" t="s">
        <v>22</v>
      </c>
      <c r="K2" s="6" t="str">
        <f>VLOOKUP(A2,Sheet4!$A:$H,7,0)</f>
        <v>Original Mattress</v>
      </c>
      <c r="L2" s="6" t="str">
        <f>VLOOKUP(B2,Sheet4!$A:$H,8,0)</f>
        <v>Mattress</v>
      </c>
      <c r="M2" s="6">
        <v>9399.0</v>
      </c>
      <c r="N2" s="8">
        <v>7613.0</v>
      </c>
      <c r="O2" s="9">
        <v>8199.0</v>
      </c>
      <c r="P2" s="10">
        <v>7143.24</v>
      </c>
    </row>
    <row r="3">
      <c r="A3" s="6" t="s">
        <v>23</v>
      </c>
      <c r="B3" s="6" t="s">
        <v>23</v>
      </c>
      <c r="C3" s="6" t="s">
        <v>24</v>
      </c>
      <c r="D3" s="6" t="s">
        <v>25</v>
      </c>
      <c r="E3" s="6" t="e">
        <v>#N/A</v>
      </c>
      <c r="F3" s="6" t="s">
        <v>26</v>
      </c>
      <c r="G3" s="6" t="s">
        <v>27</v>
      </c>
      <c r="H3" s="7" t="s">
        <v>28</v>
      </c>
      <c r="I3" s="6">
        <v>3.2783812E7</v>
      </c>
      <c r="J3" s="6" t="s">
        <v>29</v>
      </c>
      <c r="K3" s="6" t="str">
        <f>VLOOKUP(A3,Sheet4!$A:$H,7,0)</f>
        <v>Original Mattress</v>
      </c>
      <c r="L3" s="6" t="str">
        <f>VLOOKUP(B3,Sheet4!$A:$H,8,0)</f>
        <v>Mattress</v>
      </c>
      <c r="M3" s="6">
        <v>10399.0</v>
      </c>
      <c r="N3" s="8">
        <v>8423.0</v>
      </c>
      <c r="O3" s="9">
        <v>8999.0</v>
      </c>
      <c r="P3" s="10">
        <v>7903.24</v>
      </c>
    </row>
    <row r="4">
      <c r="A4" s="6" t="s">
        <v>30</v>
      </c>
      <c r="B4" s="6" t="s">
        <v>30</v>
      </c>
      <c r="C4" s="6" t="s">
        <v>31</v>
      </c>
      <c r="D4" s="6" t="s">
        <v>32</v>
      </c>
      <c r="E4" s="6" t="e">
        <v>#N/A</v>
      </c>
      <c r="F4" s="6" t="s">
        <v>33</v>
      </c>
      <c r="G4" s="6" t="s">
        <v>34</v>
      </c>
      <c r="H4" s="7" t="s">
        <v>35</v>
      </c>
      <c r="I4" s="6">
        <v>3.2783953E7</v>
      </c>
      <c r="J4" s="6" t="s">
        <v>36</v>
      </c>
      <c r="K4" s="6" t="str">
        <f>VLOOKUP(A4,Sheet4!$A:$H,7,0)</f>
        <v>Original Mattress</v>
      </c>
      <c r="L4" s="6" t="str">
        <f>VLOOKUP(B4,Sheet4!$A:$H,8,0)</f>
        <v>Mattress</v>
      </c>
      <c r="M4" s="6">
        <v>10599.0</v>
      </c>
      <c r="N4" s="8">
        <v>8585.0</v>
      </c>
      <c r="O4" s="9">
        <v>9199.0</v>
      </c>
      <c r="P4" s="10">
        <v>8055.24</v>
      </c>
    </row>
    <row r="5">
      <c r="A5" s="6" t="s">
        <v>37</v>
      </c>
      <c r="B5" s="6" t="s">
        <v>37</v>
      </c>
      <c r="C5" s="6" t="s">
        <v>38</v>
      </c>
      <c r="D5" s="6" t="s">
        <v>39</v>
      </c>
      <c r="E5" s="6" t="e">
        <v>#N/A</v>
      </c>
      <c r="F5" s="6" t="s">
        <v>40</v>
      </c>
      <c r="G5" s="6" t="s">
        <v>41</v>
      </c>
      <c r="H5" s="7" t="s">
        <v>42</v>
      </c>
      <c r="I5" s="6">
        <v>3.2784166E7</v>
      </c>
      <c r="J5" s="6" t="s">
        <v>43</v>
      </c>
      <c r="K5" s="6" t="str">
        <f>VLOOKUP(A5,Sheet4!$A:$H,7,0)</f>
        <v>Original Mattress</v>
      </c>
      <c r="L5" s="6" t="str">
        <f>VLOOKUP(B5,Sheet4!$A:$H,8,0)</f>
        <v>Mattress</v>
      </c>
      <c r="M5" s="6">
        <v>10999.0</v>
      </c>
      <c r="N5" s="8">
        <v>8909.0</v>
      </c>
      <c r="O5" s="9">
        <v>9599.0</v>
      </c>
      <c r="P5" s="10">
        <v>8359.24</v>
      </c>
    </row>
    <row r="6">
      <c r="A6" s="6" t="s">
        <v>44</v>
      </c>
      <c r="B6" s="6" t="s">
        <v>44</v>
      </c>
      <c r="C6" s="6" t="s">
        <v>45</v>
      </c>
      <c r="D6" s="6" t="s">
        <v>46</v>
      </c>
      <c r="E6" s="6" t="e">
        <v>#N/A</v>
      </c>
      <c r="F6" s="6" t="s">
        <v>47</v>
      </c>
      <c r="G6" s="6" t="s">
        <v>48</v>
      </c>
      <c r="H6" s="7" t="s">
        <v>49</v>
      </c>
      <c r="I6" s="6">
        <v>3.2784038E7</v>
      </c>
      <c r="J6" s="6" t="e">
        <v>#N/A</v>
      </c>
      <c r="K6" s="6" t="str">
        <f>VLOOKUP(A6,Sheet4!$A:$H,7,0)</f>
        <v>Original Mattress</v>
      </c>
      <c r="L6" s="6" t="str">
        <f>VLOOKUP(B6,Sheet4!$A:$H,8,0)</f>
        <v>Mattress</v>
      </c>
      <c r="M6" s="6">
        <v>12399.0</v>
      </c>
      <c r="N6" s="8">
        <v>10043.0</v>
      </c>
      <c r="O6" s="9">
        <v>10799.0</v>
      </c>
      <c r="P6" s="10">
        <v>9423.24</v>
      </c>
    </row>
    <row r="7">
      <c r="A7" s="6" t="s">
        <v>50</v>
      </c>
      <c r="B7" s="6" t="s">
        <v>50</v>
      </c>
      <c r="C7" s="6" t="e">
        <v>#N/A</v>
      </c>
      <c r="D7" s="6" t="e">
        <v>#N/A</v>
      </c>
      <c r="E7" s="6" t="e">
        <v>#N/A</v>
      </c>
      <c r="F7" s="6" t="e">
        <v>#N/A</v>
      </c>
      <c r="G7" s="6">
        <v>0.0</v>
      </c>
      <c r="H7" s="7" t="e">
        <v>#N/A</v>
      </c>
      <c r="I7" s="6" t="e">
        <v>#N/A</v>
      </c>
      <c r="J7" s="6" t="e">
        <v>#N/A</v>
      </c>
      <c r="K7" s="11" t="s">
        <v>51</v>
      </c>
      <c r="L7" s="11" t="s">
        <v>52</v>
      </c>
      <c r="M7" s="6" t="str">
        <f>VLOOKUP(A7,#REF!,2,FALSE)</f>
        <v>#REF!</v>
      </c>
      <c r="N7" s="6" t="str">
        <f>VLOOKUP(A7, Sheet2!A:M, 3, FALSE)</f>
        <v>#N/A</v>
      </c>
      <c r="O7" s="10" t="e">
        <v>#N/A</v>
      </c>
      <c r="P7" s="10" t="e">
        <v>#N/A</v>
      </c>
    </row>
    <row r="8">
      <c r="A8" s="6" t="s">
        <v>53</v>
      </c>
      <c r="B8" s="6" t="s">
        <v>53</v>
      </c>
      <c r="C8" s="6" t="s">
        <v>54</v>
      </c>
      <c r="D8" s="6" t="s">
        <v>55</v>
      </c>
      <c r="E8" s="6" t="e">
        <v>#N/A</v>
      </c>
      <c r="F8" s="6" t="s">
        <v>56</v>
      </c>
      <c r="G8" s="6" t="s">
        <v>57</v>
      </c>
      <c r="H8" s="7" t="s">
        <v>58</v>
      </c>
      <c r="I8" s="6">
        <v>3.2788739E7</v>
      </c>
      <c r="J8" s="6" t="s">
        <v>59</v>
      </c>
      <c r="K8" s="6" t="str">
        <f>VLOOKUP(A8,Sheet4!$A:$H,7,0)</f>
        <v>Original Mattress</v>
      </c>
      <c r="L8" s="6" t="str">
        <f>VLOOKUP(B8,Sheet4!$A:$H,8,0)</f>
        <v>Mattress</v>
      </c>
      <c r="M8" s="6">
        <v>10399.0</v>
      </c>
      <c r="N8" s="8">
        <v>8423.0</v>
      </c>
      <c r="O8" s="9">
        <v>8999.0</v>
      </c>
      <c r="P8" s="10">
        <v>7903.24</v>
      </c>
    </row>
    <row r="9">
      <c r="A9" s="6" t="s">
        <v>60</v>
      </c>
      <c r="B9" s="6" t="s">
        <v>60</v>
      </c>
      <c r="C9" s="6" t="s">
        <v>61</v>
      </c>
      <c r="D9" s="6" t="s">
        <v>62</v>
      </c>
      <c r="E9" s="6" t="e">
        <v>#N/A</v>
      </c>
      <c r="F9" s="6" t="s">
        <v>63</v>
      </c>
      <c r="G9" s="6" t="s">
        <v>64</v>
      </c>
      <c r="H9" s="7" t="s">
        <v>65</v>
      </c>
      <c r="I9" s="6">
        <v>3.2783902E7</v>
      </c>
      <c r="J9" s="6" t="s">
        <v>66</v>
      </c>
      <c r="K9" s="6" t="str">
        <f>VLOOKUP(A9,Sheet4!$A:$H,7,0)</f>
        <v>Original Mattress</v>
      </c>
      <c r="L9" s="6" t="str">
        <f>VLOOKUP(B9,Sheet4!$A:$H,8,0)</f>
        <v>Mattress</v>
      </c>
      <c r="M9" s="6">
        <v>11599.0</v>
      </c>
      <c r="N9" s="8">
        <v>9395.0</v>
      </c>
      <c r="O9" s="9">
        <v>10099.0</v>
      </c>
      <c r="P9" s="10">
        <v>8815.24</v>
      </c>
    </row>
    <row r="10">
      <c r="A10" s="6" t="s">
        <v>67</v>
      </c>
      <c r="B10" s="6" t="s">
        <v>67</v>
      </c>
      <c r="C10" s="6" t="s">
        <v>68</v>
      </c>
      <c r="D10" s="6" t="s">
        <v>69</v>
      </c>
      <c r="E10" s="6" t="e">
        <v>#N/A</v>
      </c>
      <c r="F10" s="6" t="s">
        <v>70</v>
      </c>
      <c r="G10" s="6" t="s">
        <v>71</v>
      </c>
      <c r="H10" s="7" t="s">
        <v>72</v>
      </c>
      <c r="I10" s="6">
        <v>3.2783867E7</v>
      </c>
      <c r="J10" s="6" t="s">
        <v>73</v>
      </c>
      <c r="K10" s="6" t="str">
        <f>VLOOKUP(A10,Sheet4!$A:$H,7,0)</f>
        <v>Original Mattress</v>
      </c>
      <c r="L10" s="6" t="str">
        <f>VLOOKUP(B10,Sheet4!$A:$H,8,0)</f>
        <v>Mattress</v>
      </c>
      <c r="M10" s="6">
        <v>11999.0</v>
      </c>
      <c r="N10" s="8">
        <v>9719.0</v>
      </c>
      <c r="O10" s="9">
        <v>10399.0</v>
      </c>
      <c r="P10" s="10">
        <v>9119.24</v>
      </c>
    </row>
    <row r="11">
      <c r="A11" s="6" t="s">
        <v>74</v>
      </c>
      <c r="B11" s="6" t="s">
        <v>74</v>
      </c>
      <c r="C11" s="6" t="s">
        <v>75</v>
      </c>
      <c r="D11" s="6" t="s">
        <v>76</v>
      </c>
      <c r="E11" s="6" t="e">
        <v>#N/A</v>
      </c>
      <c r="F11" s="6" t="s">
        <v>77</v>
      </c>
      <c r="G11" s="6" t="s">
        <v>78</v>
      </c>
      <c r="H11" s="7" t="s">
        <v>79</v>
      </c>
      <c r="I11" s="6">
        <v>3.2783928E7</v>
      </c>
      <c r="J11" s="6" t="s">
        <v>80</v>
      </c>
      <c r="K11" s="6" t="str">
        <f>VLOOKUP(A11,Sheet4!$A:$H,7,0)</f>
        <v>Original Mattress</v>
      </c>
      <c r="L11" s="6" t="str">
        <f>VLOOKUP(B11,Sheet4!$A:$H,8,0)</f>
        <v>Mattress</v>
      </c>
      <c r="M11" s="6">
        <v>12299.0</v>
      </c>
      <c r="N11" s="8">
        <v>9962.0</v>
      </c>
      <c r="O11" s="9">
        <v>10699.0</v>
      </c>
      <c r="P11" s="10">
        <v>9347.24</v>
      </c>
    </row>
    <row r="12">
      <c r="A12" s="6" t="s">
        <v>81</v>
      </c>
      <c r="B12" s="6" t="s">
        <v>81</v>
      </c>
      <c r="C12" s="6" t="s">
        <v>82</v>
      </c>
      <c r="D12" s="6" t="s">
        <v>83</v>
      </c>
      <c r="E12" s="6" t="e">
        <v>#N/A</v>
      </c>
      <c r="F12" s="6">
        <v>0.0</v>
      </c>
      <c r="G12" s="6" t="s">
        <v>84</v>
      </c>
      <c r="H12" s="7" t="s">
        <v>85</v>
      </c>
      <c r="I12" s="6" t="e">
        <v>#N/A</v>
      </c>
      <c r="J12" s="6" t="e">
        <v>#N/A</v>
      </c>
      <c r="K12" s="6" t="str">
        <f>VLOOKUP(A12,Sheet4!$A:$H,7,0)</f>
        <v>Original Mattress</v>
      </c>
      <c r="L12" s="6" t="str">
        <f>VLOOKUP(B12,Sheet4!$A:$H,8,0)</f>
        <v>Mattress</v>
      </c>
      <c r="M12" s="6">
        <v>16999.0</v>
      </c>
      <c r="N12" s="8">
        <v>13769.0</v>
      </c>
      <c r="O12" s="9">
        <v>14799.0</v>
      </c>
      <c r="P12" s="10">
        <v>12919.24</v>
      </c>
    </row>
    <row r="13">
      <c r="A13" s="6" t="s">
        <v>86</v>
      </c>
      <c r="B13" s="6" t="s">
        <v>86</v>
      </c>
      <c r="C13" s="6" t="s">
        <v>87</v>
      </c>
      <c r="D13" s="6" t="s">
        <v>88</v>
      </c>
      <c r="E13" s="6" t="e">
        <v>#N/A</v>
      </c>
      <c r="F13" s="6" t="s">
        <v>89</v>
      </c>
      <c r="G13" s="6" t="s">
        <v>90</v>
      </c>
      <c r="H13" s="7" t="s">
        <v>91</v>
      </c>
      <c r="I13" s="6">
        <v>3.278405E7</v>
      </c>
      <c r="J13" s="6" t="s">
        <v>92</v>
      </c>
      <c r="K13" s="6" t="str">
        <f>VLOOKUP(A13,Sheet4!$A:$H,7,0)</f>
        <v>Original Mattress</v>
      </c>
      <c r="L13" s="6" t="str">
        <f>VLOOKUP(B13,Sheet4!$A:$H,8,0)</f>
        <v>Mattress</v>
      </c>
      <c r="M13" s="6">
        <v>12999.0</v>
      </c>
      <c r="N13" s="8">
        <v>10529.0</v>
      </c>
      <c r="O13" s="9">
        <v>11299.0</v>
      </c>
      <c r="P13" s="10">
        <v>9879.24</v>
      </c>
    </row>
    <row r="14">
      <c r="A14" s="6" t="s">
        <v>93</v>
      </c>
      <c r="B14" s="6" t="s">
        <v>93</v>
      </c>
      <c r="C14" s="6" t="s">
        <v>94</v>
      </c>
      <c r="D14" s="6" t="s">
        <v>95</v>
      </c>
      <c r="E14" s="6" t="e">
        <v>#N/A</v>
      </c>
      <c r="F14" s="6" t="s">
        <v>96</v>
      </c>
      <c r="G14" s="6" t="s">
        <v>97</v>
      </c>
      <c r="H14" s="7" t="s">
        <v>98</v>
      </c>
      <c r="I14" s="6">
        <v>3.2783936E7</v>
      </c>
      <c r="J14" s="6" t="s">
        <v>99</v>
      </c>
      <c r="K14" s="6" t="str">
        <f>VLOOKUP(A14,Sheet4!$A:$H,7,0)</f>
        <v>Original Mattress</v>
      </c>
      <c r="L14" s="6" t="str">
        <f>VLOOKUP(B14,Sheet4!$A:$H,8,0)</f>
        <v>Mattress</v>
      </c>
      <c r="M14" s="6">
        <v>13499.0</v>
      </c>
      <c r="N14" s="8">
        <v>10934.0</v>
      </c>
      <c r="O14" s="9">
        <v>11699.0</v>
      </c>
      <c r="P14" s="10">
        <v>10259.24</v>
      </c>
    </row>
    <row r="15">
      <c r="A15" s="6" t="s">
        <v>100</v>
      </c>
      <c r="B15" s="6" t="s">
        <v>100</v>
      </c>
      <c r="C15" s="6" t="s">
        <v>101</v>
      </c>
      <c r="D15" s="6" t="s">
        <v>102</v>
      </c>
      <c r="E15" s="6" t="e">
        <v>#N/A</v>
      </c>
      <c r="F15" s="6" t="s">
        <v>103</v>
      </c>
      <c r="G15" s="6" t="s">
        <v>104</v>
      </c>
      <c r="H15" s="7" t="s">
        <v>105</v>
      </c>
      <c r="I15" s="6">
        <v>3.2784121E7</v>
      </c>
      <c r="J15" s="6" t="s">
        <v>106</v>
      </c>
      <c r="K15" s="6" t="str">
        <f>VLOOKUP(A15,Sheet4!$A:$H,7,0)</f>
        <v>Original Mattress</v>
      </c>
      <c r="L15" s="6" t="str">
        <f>VLOOKUP(B15,Sheet4!$A:$H,8,0)</f>
        <v>Mattress</v>
      </c>
      <c r="M15" s="6">
        <v>13999.0</v>
      </c>
      <c r="N15" s="8">
        <v>11339.0</v>
      </c>
      <c r="O15" s="9">
        <v>12199.0</v>
      </c>
      <c r="P15" s="10">
        <v>10639.24</v>
      </c>
    </row>
    <row r="16">
      <c r="A16" s="6" t="s">
        <v>107</v>
      </c>
      <c r="B16" s="6" t="s">
        <v>107</v>
      </c>
      <c r="C16" s="6" t="s">
        <v>108</v>
      </c>
      <c r="D16" s="6" t="s">
        <v>109</v>
      </c>
      <c r="E16" s="6" t="e">
        <v>#N/A</v>
      </c>
      <c r="F16" s="6">
        <v>0.0</v>
      </c>
      <c r="G16" s="6" t="s">
        <v>110</v>
      </c>
      <c r="H16" s="7" t="s">
        <v>111</v>
      </c>
      <c r="I16" s="6" t="e">
        <v>#N/A</v>
      </c>
      <c r="J16" s="6" t="e">
        <v>#N/A</v>
      </c>
      <c r="K16" s="6" t="str">
        <f>VLOOKUP(A16,Sheet4!$A:$H,7,0)</f>
        <v>Original Mattress</v>
      </c>
      <c r="L16" s="6" t="str">
        <f>VLOOKUP(B16,Sheet4!$A:$H,8,0)</f>
        <v>Mattress</v>
      </c>
      <c r="M16" s="6">
        <v>17999.0</v>
      </c>
      <c r="N16" s="8">
        <v>14579.0</v>
      </c>
      <c r="O16" s="9">
        <v>15699.0</v>
      </c>
      <c r="P16" s="10">
        <v>13679.24</v>
      </c>
    </row>
    <row r="17">
      <c r="A17" s="6" t="s">
        <v>112</v>
      </c>
      <c r="B17" s="6" t="s">
        <v>112</v>
      </c>
      <c r="C17" s="6" t="s">
        <v>113</v>
      </c>
      <c r="D17" s="6" t="s">
        <v>114</v>
      </c>
      <c r="E17" s="6" t="e">
        <v>#N/A</v>
      </c>
      <c r="F17" s="6">
        <v>0.0</v>
      </c>
      <c r="G17" s="6" t="s">
        <v>115</v>
      </c>
      <c r="H17" s="7" t="s">
        <v>116</v>
      </c>
      <c r="I17" s="6" t="e">
        <v>#N/A</v>
      </c>
      <c r="J17" s="6" t="e">
        <v>#N/A</v>
      </c>
      <c r="K17" s="6" t="str">
        <f>VLOOKUP(A17,Sheet4!$A:$H,7,0)</f>
        <v>Original Mattress</v>
      </c>
      <c r="L17" s="6" t="str">
        <f>VLOOKUP(B17,Sheet4!$A:$H,8,0)</f>
        <v>Mattress</v>
      </c>
      <c r="M17" s="6">
        <v>9019.0</v>
      </c>
      <c r="N17" s="8">
        <v>7305.0</v>
      </c>
      <c r="O17" s="9">
        <v>7799.0</v>
      </c>
      <c r="P17" s="10">
        <v>6854.44</v>
      </c>
    </row>
    <row r="18">
      <c r="A18" s="6" t="s">
        <v>117</v>
      </c>
      <c r="B18" s="6" t="s">
        <v>117</v>
      </c>
      <c r="C18" s="6" t="s">
        <v>118</v>
      </c>
      <c r="D18" s="6" t="s">
        <v>119</v>
      </c>
      <c r="E18" s="6" t="e">
        <v>#N/A</v>
      </c>
      <c r="F18" s="6">
        <v>0.0</v>
      </c>
      <c r="G18" s="6" t="s">
        <v>120</v>
      </c>
      <c r="H18" s="7" t="s">
        <v>121</v>
      </c>
      <c r="I18" s="6" t="e">
        <v>#N/A</v>
      </c>
      <c r="J18" s="6" t="s">
        <v>122</v>
      </c>
      <c r="K18" s="6" t="str">
        <f>VLOOKUP(A18,Sheet4!$A:$H,7,0)</f>
        <v>Original Mattress</v>
      </c>
      <c r="L18" s="6" t="str">
        <f>VLOOKUP(B18,Sheet4!$A:$H,8,0)</f>
        <v>Mattress</v>
      </c>
      <c r="M18" s="6">
        <v>9989.0</v>
      </c>
      <c r="N18" s="8">
        <v>8091.0</v>
      </c>
      <c r="O18" s="9">
        <v>8699.0</v>
      </c>
      <c r="P18" s="10">
        <v>7591.64</v>
      </c>
    </row>
    <row r="19">
      <c r="A19" s="6" t="s">
        <v>123</v>
      </c>
      <c r="B19" s="6" t="s">
        <v>123</v>
      </c>
      <c r="C19" s="6" t="s">
        <v>124</v>
      </c>
      <c r="D19" s="6" t="s">
        <v>125</v>
      </c>
      <c r="E19" s="6" t="e">
        <v>#N/A</v>
      </c>
      <c r="F19" s="6">
        <v>0.0</v>
      </c>
      <c r="G19" s="6" t="s">
        <v>126</v>
      </c>
      <c r="H19" s="7" t="s">
        <v>127</v>
      </c>
      <c r="I19" s="6" t="e">
        <v>#N/A</v>
      </c>
      <c r="J19" s="6" t="s">
        <v>128</v>
      </c>
      <c r="K19" s="6" t="str">
        <f>VLOOKUP(A19,Sheet4!$A:$H,7,0)</f>
        <v>Original Mattress</v>
      </c>
      <c r="L19" s="6" t="str">
        <f>VLOOKUP(B19,Sheet4!$A:$H,8,0)</f>
        <v>Mattress</v>
      </c>
      <c r="M19" s="6">
        <v>9299.0</v>
      </c>
      <c r="N19" s="8">
        <v>7532.0</v>
      </c>
      <c r="O19" s="9">
        <v>8099.0</v>
      </c>
      <c r="P19" s="10">
        <v>7067.24</v>
      </c>
    </row>
    <row r="20">
      <c r="A20" s="6" t="s">
        <v>129</v>
      </c>
      <c r="B20" s="6" t="s">
        <v>129</v>
      </c>
      <c r="C20" s="6" t="s">
        <v>130</v>
      </c>
      <c r="D20" s="6" t="s">
        <v>131</v>
      </c>
      <c r="E20" s="6" t="e">
        <v>#N/A</v>
      </c>
      <c r="F20" s="6">
        <v>0.0</v>
      </c>
      <c r="G20" s="6" t="s">
        <v>132</v>
      </c>
      <c r="H20" s="7" t="s">
        <v>133</v>
      </c>
      <c r="I20" s="6" t="e">
        <v>#N/A</v>
      </c>
      <c r="J20" s="6" t="e">
        <v>#N/A</v>
      </c>
      <c r="K20" s="6" t="str">
        <f>VLOOKUP(A20,Sheet4!$A:$H,7,0)</f>
        <v>Original Mattress</v>
      </c>
      <c r="L20" s="6" t="str">
        <f>VLOOKUP(B20,Sheet4!$A:$H,8,0)</f>
        <v>Mattress</v>
      </c>
      <c r="M20" s="6">
        <v>9439.0</v>
      </c>
      <c r="N20" s="8">
        <v>7646.0</v>
      </c>
      <c r="O20" s="9">
        <v>8199.0</v>
      </c>
      <c r="P20" s="10">
        <v>7173.64</v>
      </c>
    </row>
    <row r="21">
      <c r="A21" s="6" t="s">
        <v>134</v>
      </c>
      <c r="B21" s="6" t="s">
        <v>134</v>
      </c>
      <c r="C21" s="6" t="s">
        <v>135</v>
      </c>
      <c r="D21" s="6" t="s">
        <v>136</v>
      </c>
      <c r="E21" s="6" t="e">
        <v>#N/A</v>
      </c>
      <c r="F21" s="6">
        <v>0.0</v>
      </c>
      <c r="G21" s="6" t="s">
        <v>137</v>
      </c>
      <c r="H21" s="7" t="s">
        <v>138</v>
      </c>
      <c r="I21" s="6" t="e">
        <v>#N/A</v>
      </c>
      <c r="J21" s="6" t="s">
        <v>139</v>
      </c>
      <c r="K21" s="6" t="str">
        <f>VLOOKUP(A21,Sheet4!$A:$H,7,0)</f>
        <v>Original Mattress</v>
      </c>
      <c r="L21" s="6" t="str">
        <f>VLOOKUP(B21,Sheet4!$A:$H,8,0)</f>
        <v>Mattress</v>
      </c>
      <c r="M21" s="6">
        <v>10269.0</v>
      </c>
      <c r="N21" s="8">
        <v>8318.0</v>
      </c>
      <c r="O21" s="9">
        <v>8899.0</v>
      </c>
      <c r="P21" s="10">
        <v>7804.44</v>
      </c>
    </row>
    <row r="22">
      <c r="A22" s="6" t="s">
        <v>140</v>
      </c>
      <c r="B22" s="6" t="s">
        <v>140</v>
      </c>
      <c r="C22" s="6" t="s">
        <v>141</v>
      </c>
      <c r="D22" s="6" t="s">
        <v>142</v>
      </c>
      <c r="E22" s="6" t="e">
        <v>#N/A</v>
      </c>
      <c r="F22" s="6">
        <v>0.0</v>
      </c>
      <c r="G22" s="6" t="s">
        <v>143</v>
      </c>
      <c r="H22" s="7" t="s">
        <v>144</v>
      </c>
      <c r="I22" s="6" t="e">
        <v>#N/A</v>
      </c>
      <c r="J22" s="6" t="s">
        <v>145</v>
      </c>
      <c r="K22" s="6" t="str">
        <f>VLOOKUP(A22,Sheet4!$A:$H,7,0)</f>
        <v>Original Mattress</v>
      </c>
      <c r="L22" s="6" t="str">
        <f>VLOOKUP(B22,Sheet4!$A:$H,8,0)</f>
        <v>Mattress</v>
      </c>
      <c r="M22" s="6">
        <v>10409.0</v>
      </c>
      <c r="N22" s="8">
        <v>8431.0</v>
      </c>
      <c r="O22" s="9">
        <v>9099.0</v>
      </c>
      <c r="P22" s="10">
        <v>7910.84</v>
      </c>
    </row>
    <row r="23">
      <c r="A23" s="6" t="s">
        <v>146</v>
      </c>
      <c r="B23" s="6" t="s">
        <v>146</v>
      </c>
      <c r="C23" s="6" t="s">
        <v>147</v>
      </c>
      <c r="D23" s="6" t="s">
        <v>148</v>
      </c>
      <c r="E23" s="6" t="e">
        <v>#N/A</v>
      </c>
      <c r="F23" s="6">
        <v>0.0</v>
      </c>
      <c r="G23" s="6" t="s">
        <v>149</v>
      </c>
      <c r="H23" s="7" t="s">
        <v>150</v>
      </c>
      <c r="I23" s="6" t="e">
        <v>#N/A</v>
      </c>
      <c r="J23" s="6" t="e">
        <v>#N/A</v>
      </c>
      <c r="K23" s="6" t="str">
        <f>VLOOKUP(A23,Sheet4!$A:$H,7,0)</f>
        <v>Original Mattress</v>
      </c>
      <c r="L23" s="6" t="str">
        <f>VLOOKUP(B23,Sheet4!$A:$H,8,0)</f>
        <v>Mattress</v>
      </c>
      <c r="M23" s="6">
        <v>11099.0</v>
      </c>
      <c r="N23" s="8">
        <v>8990.0</v>
      </c>
      <c r="O23" s="9">
        <v>9699.0</v>
      </c>
      <c r="P23" s="10">
        <v>8435.24</v>
      </c>
    </row>
    <row r="24">
      <c r="A24" s="6" t="s">
        <v>151</v>
      </c>
      <c r="B24" s="6" t="s">
        <v>151</v>
      </c>
      <c r="C24" s="6" t="s">
        <v>152</v>
      </c>
      <c r="D24" s="6" t="s">
        <v>153</v>
      </c>
      <c r="E24" s="6" t="e">
        <v>#N/A</v>
      </c>
      <c r="F24" s="6">
        <v>0.0</v>
      </c>
      <c r="G24" s="6" t="s">
        <v>154</v>
      </c>
      <c r="H24" s="7" t="s">
        <v>155</v>
      </c>
      <c r="I24" s="6" t="e">
        <v>#N/A</v>
      </c>
      <c r="J24" s="6" t="e">
        <v>#N/A</v>
      </c>
      <c r="K24" s="6" t="str">
        <f>VLOOKUP(A24,Sheet4!$A:$H,7,0)</f>
        <v>Original Mattress</v>
      </c>
      <c r="L24" s="6" t="str">
        <f>VLOOKUP(B24,Sheet4!$A:$H,8,0)</f>
        <v>Mattress</v>
      </c>
      <c r="M24" s="6">
        <v>11519.0</v>
      </c>
      <c r="N24" s="8">
        <v>9330.0</v>
      </c>
      <c r="O24" s="9">
        <v>9999.0</v>
      </c>
      <c r="P24" s="10">
        <v>8754.44</v>
      </c>
    </row>
    <row r="25">
      <c r="A25" s="6" t="s">
        <v>156</v>
      </c>
      <c r="B25" s="6" t="s">
        <v>156</v>
      </c>
      <c r="C25" s="6" t="s">
        <v>157</v>
      </c>
      <c r="D25" s="6" t="s">
        <v>158</v>
      </c>
      <c r="E25" s="6" t="e">
        <v>#N/A</v>
      </c>
      <c r="F25" s="6">
        <v>0.0</v>
      </c>
      <c r="G25" s="6" t="s">
        <v>159</v>
      </c>
      <c r="H25" s="7" t="s">
        <v>160</v>
      </c>
      <c r="I25" s="6" t="e">
        <v>#N/A</v>
      </c>
      <c r="J25" s="6" t="e">
        <v>#N/A</v>
      </c>
      <c r="K25" s="6" t="str">
        <f>VLOOKUP(A25,Sheet4!$A:$H,7,0)</f>
        <v>Original Mattress</v>
      </c>
      <c r="L25" s="6" t="str">
        <f>VLOOKUP(B25,Sheet4!$A:$H,8,0)</f>
        <v>Mattress</v>
      </c>
      <c r="M25" s="6">
        <v>11799.0</v>
      </c>
      <c r="N25" s="8">
        <v>9557.0</v>
      </c>
      <c r="O25" s="9">
        <v>10299.0</v>
      </c>
      <c r="P25" s="10">
        <v>8967.24</v>
      </c>
    </row>
    <row r="26">
      <c r="A26" s="6" t="s">
        <v>161</v>
      </c>
      <c r="B26" s="6" t="s">
        <v>161</v>
      </c>
      <c r="C26" s="6" t="s">
        <v>162</v>
      </c>
      <c r="D26" s="6" t="s">
        <v>163</v>
      </c>
      <c r="E26" s="6" t="e">
        <v>#N/A</v>
      </c>
      <c r="F26" s="6">
        <v>0.0</v>
      </c>
      <c r="G26" s="6" t="s">
        <v>164</v>
      </c>
      <c r="H26" s="7" t="s">
        <v>165</v>
      </c>
      <c r="I26" s="6" t="e">
        <v>#N/A</v>
      </c>
      <c r="J26" s="6" t="e">
        <v>#N/A</v>
      </c>
      <c r="K26" s="6" t="str">
        <f>VLOOKUP(A26,Sheet4!$A:$H,7,0)</f>
        <v>Original Mattress</v>
      </c>
      <c r="L26" s="6" t="str">
        <f>VLOOKUP(B26,Sheet4!$A:$H,8,0)</f>
        <v>Mattress</v>
      </c>
      <c r="M26" s="6">
        <v>12079.0</v>
      </c>
      <c r="N26" s="8">
        <v>9784.0</v>
      </c>
      <c r="O26" s="9">
        <v>10499.0</v>
      </c>
      <c r="P26" s="10">
        <v>9180.04</v>
      </c>
    </row>
    <row r="27">
      <c r="A27" s="6" t="s">
        <v>166</v>
      </c>
      <c r="B27" s="6" t="s">
        <v>166</v>
      </c>
      <c r="C27" s="6" t="s">
        <v>167</v>
      </c>
      <c r="D27" s="6" t="s">
        <v>168</v>
      </c>
      <c r="E27" s="6" t="e">
        <v>#N/A</v>
      </c>
      <c r="F27" s="6">
        <v>0.0</v>
      </c>
      <c r="G27" s="6" t="s">
        <v>169</v>
      </c>
      <c r="H27" s="7" t="s">
        <v>170</v>
      </c>
      <c r="I27" s="6" t="e">
        <v>#N/A</v>
      </c>
      <c r="J27" s="6" t="s">
        <v>171</v>
      </c>
      <c r="K27" s="6" t="str">
        <f>VLOOKUP(A27,Sheet4!$A:$H,7,0)</f>
        <v>Original Mattress</v>
      </c>
      <c r="L27" s="6" t="str">
        <f>VLOOKUP(B27,Sheet4!$A:$H,8,0)</f>
        <v>Mattress</v>
      </c>
      <c r="M27" s="6">
        <v>7359.0</v>
      </c>
      <c r="N27" s="8">
        <v>5961.0</v>
      </c>
      <c r="O27" s="9">
        <v>6399.0</v>
      </c>
      <c r="P27" s="10">
        <v>5592.84</v>
      </c>
    </row>
    <row r="28">
      <c r="A28" s="6" t="s">
        <v>172</v>
      </c>
      <c r="B28" s="6" t="s">
        <v>172</v>
      </c>
      <c r="C28" s="6" t="s">
        <v>173</v>
      </c>
      <c r="D28" s="6" t="s">
        <v>174</v>
      </c>
      <c r="E28" s="6" t="e">
        <v>#N/A</v>
      </c>
      <c r="F28" s="6">
        <v>0.0</v>
      </c>
      <c r="G28" s="6" t="s">
        <v>175</v>
      </c>
      <c r="H28" s="7" t="s">
        <v>176</v>
      </c>
      <c r="I28" s="6" t="e">
        <v>#N/A</v>
      </c>
      <c r="J28" s="6" t="s">
        <v>177</v>
      </c>
      <c r="K28" s="6" t="str">
        <f>VLOOKUP(A28,Sheet4!$A:$H,7,0)</f>
        <v>Original Mattress</v>
      </c>
      <c r="L28" s="6" t="str">
        <f>VLOOKUP(B28,Sheet4!$A:$H,8,0)</f>
        <v>Mattress</v>
      </c>
      <c r="M28" s="6">
        <v>7489.0</v>
      </c>
      <c r="N28" s="8">
        <v>6066.0</v>
      </c>
      <c r="O28" s="9">
        <v>6499.0</v>
      </c>
      <c r="P28" s="10">
        <v>5691.64</v>
      </c>
    </row>
    <row r="29">
      <c r="A29" s="6" t="s">
        <v>178</v>
      </c>
      <c r="B29" s="6" t="s">
        <v>178</v>
      </c>
      <c r="C29" s="6" t="s">
        <v>179</v>
      </c>
      <c r="D29" s="6" t="s">
        <v>180</v>
      </c>
      <c r="E29" s="6" t="e">
        <v>#N/A</v>
      </c>
      <c r="F29" s="6">
        <v>0.0</v>
      </c>
      <c r="G29" s="6" t="s">
        <v>181</v>
      </c>
      <c r="H29" s="7" t="s">
        <v>182</v>
      </c>
      <c r="I29" s="6" t="e">
        <v>#N/A</v>
      </c>
      <c r="J29" s="6" t="e">
        <v>#N/A</v>
      </c>
      <c r="K29" s="6" t="str">
        <f>VLOOKUP(A29,Sheet4!$A:$H,7,0)</f>
        <v>Original Mattress</v>
      </c>
      <c r="L29" s="6" t="str">
        <f>VLOOKUP(B29,Sheet4!$A:$H,8,0)</f>
        <v>Mattress</v>
      </c>
      <c r="M29" s="6">
        <v>7889.0</v>
      </c>
      <c r="N29" s="8">
        <v>6390.0</v>
      </c>
      <c r="O29" s="9">
        <v>6899.0</v>
      </c>
      <c r="P29" s="10">
        <v>5995.64</v>
      </c>
    </row>
    <row r="30">
      <c r="A30" s="6" t="s">
        <v>183</v>
      </c>
      <c r="B30" s="6" t="s">
        <v>183</v>
      </c>
      <c r="C30" s="6" t="s">
        <v>184</v>
      </c>
      <c r="D30" s="6" t="s">
        <v>185</v>
      </c>
      <c r="E30" s="6" t="e">
        <v>#N/A</v>
      </c>
      <c r="F30" s="6">
        <v>0.0</v>
      </c>
      <c r="G30" s="6" t="s">
        <v>186</v>
      </c>
      <c r="H30" s="7" t="s">
        <v>187</v>
      </c>
      <c r="I30" s="6" t="e">
        <v>#N/A</v>
      </c>
      <c r="J30" s="6" t="s">
        <v>188</v>
      </c>
      <c r="K30" s="6" t="str">
        <f>VLOOKUP(A30,Sheet4!$A:$H,7,0)</f>
        <v>Original Mattress</v>
      </c>
      <c r="L30" s="6" t="str">
        <f>VLOOKUP(B30,Sheet4!$A:$H,8,0)</f>
        <v>Mattress</v>
      </c>
      <c r="M30" s="6">
        <v>7889.0</v>
      </c>
      <c r="N30" s="8">
        <v>6390.0</v>
      </c>
      <c r="O30" s="9">
        <v>6899.0</v>
      </c>
      <c r="P30" s="10">
        <v>5995.64</v>
      </c>
    </row>
    <row r="31">
      <c r="A31" s="6" t="s">
        <v>189</v>
      </c>
      <c r="B31" s="6" t="s">
        <v>189</v>
      </c>
      <c r="C31" s="6" t="s">
        <v>190</v>
      </c>
      <c r="D31" s="6" t="s">
        <v>191</v>
      </c>
      <c r="E31" s="6" t="e">
        <v>#N/A</v>
      </c>
      <c r="F31" s="6">
        <v>0.0</v>
      </c>
      <c r="G31" s="6" t="s">
        <v>192</v>
      </c>
      <c r="H31" s="7" t="s">
        <v>193</v>
      </c>
      <c r="I31" s="6" t="e">
        <v>#N/A</v>
      </c>
      <c r="J31" s="6" t="s">
        <v>194</v>
      </c>
      <c r="K31" s="6" t="str">
        <f>VLOOKUP(A31,Sheet4!$A:$H,7,0)</f>
        <v>Original Mattress</v>
      </c>
      <c r="L31" s="6" t="str">
        <f>VLOOKUP(B31,Sheet4!$A:$H,8,0)</f>
        <v>Mattress</v>
      </c>
      <c r="M31" s="6">
        <v>8149.0</v>
      </c>
      <c r="N31" s="8">
        <v>6601.0</v>
      </c>
      <c r="O31" s="9">
        <v>7099.0</v>
      </c>
      <c r="P31" s="10">
        <v>6193.24</v>
      </c>
    </row>
    <row r="32">
      <c r="A32" s="6" t="s">
        <v>195</v>
      </c>
      <c r="B32" s="6" t="s">
        <v>195</v>
      </c>
      <c r="C32" s="6" t="s">
        <v>196</v>
      </c>
      <c r="D32" s="6" t="s">
        <v>197</v>
      </c>
      <c r="E32" s="6" t="e">
        <v>#N/A</v>
      </c>
      <c r="F32" s="6">
        <v>0.0</v>
      </c>
      <c r="G32" s="6" t="s">
        <v>198</v>
      </c>
      <c r="H32" s="7" t="s">
        <v>199</v>
      </c>
      <c r="I32" s="6" t="e">
        <v>#N/A</v>
      </c>
      <c r="J32" s="6" t="s">
        <v>200</v>
      </c>
      <c r="K32" s="6" t="str">
        <f>VLOOKUP(A32,Sheet4!$A:$H,7,0)</f>
        <v>Original Mattress</v>
      </c>
      <c r="L32" s="6" t="str">
        <f>VLOOKUP(B32,Sheet4!$A:$H,8,0)</f>
        <v>Mattress</v>
      </c>
      <c r="M32" s="6">
        <v>8279.0</v>
      </c>
      <c r="N32" s="8">
        <v>6706.0</v>
      </c>
      <c r="O32" s="9">
        <v>7199.0</v>
      </c>
      <c r="P32" s="10">
        <v>6292.04</v>
      </c>
    </row>
    <row r="33">
      <c r="A33" s="6" t="s">
        <v>201</v>
      </c>
      <c r="B33" s="6" t="s">
        <v>201</v>
      </c>
      <c r="C33" s="6" t="s">
        <v>202</v>
      </c>
      <c r="D33" s="6" t="s">
        <v>203</v>
      </c>
      <c r="E33" s="6" t="e">
        <v>#N/A</v>
      </c>
      <c r="F33" s="6">
        <v>0.0</v>
      </c>
      <c r="G33" s="6" t="s">
        <v>204</v>
      </c>
      <c r="H33" s="7" t="s">
        <v>205</v>
      </c>
      <c r="I33" s="6" t="e">
        <v>#N/A</v>
      </c>
      <c r="J33" s="6" t="e">
        <v>#N/A</v>
      </c>
      <c r="K33" s="6" t="str">
        <f>VLOOKUP(A33,Sheet4!$A:$H,7,0)</f>
        <v>Original Mattress</v>
      </c>
      <c r="L33" s="6" t="str">
        <f>VLOOKUP(B33,Sheet4!$A:$H,8,0)</f>
        <v>Mattress</v>
      </c>
      <c r="M33" s="6">
        <v>9199.0</v>
      </c>
      <c r="N33" s="8">
        <v>7451.0</v>
      </c>
      <c r="O33" s="9">
        <v>7999.0</v>
      </c>
      <c r="P33" s="10">
        <v>6991.24</v>
      </c>
    </row>
    <row r="34">
      <c r="A34" s="6" t="s">
        <v>206</v>
      </c>
      <c r="B34" s="6" t="s">
        <v>206</v>
      </c>
      <c r="C34" s="6" t="s">
        <v>207</v>
      </c>
      <c r="D34" s="6" t="s">
        <v>208</v>
      </c>
      <c r="E34" s="6" t="e">
        <v>#N/A</v>
      </c>
      <c r="F34" s="6" t="s">
        <v>209</v>
      </c>
      <c r="G34" s="6" t="s">
        <v>210</v>
      </c>
      <c r="H34" s="7" t="s">
        <v>211</v>
      </c>
      <c r="I34" s="6">
        <v>3.199909E7</v>
      </c>
      <c r="J34" s="6" t="s">
        <v>212</v>
      </c>
      <c r="K34" s="6" t="str">
        <f>VLOOKUP(A34,Sheet4!$A:$H,7,0)</f>
        <v>Original Mattress</v>
      </c>
      <c r="L34" s="6" t="str">
        <f>VLOOKUP(B34,Sheet4!$A:$H,8,0)</f>
        <v>Mattress</v>
      </c>
      <c r="M34" s="6">
        <v>12799.0</v>
      </c>
      <c r="N34" s="8">
        <v>10367.0</v>
      </c>
      <c r="O34" s="9">
        <v>11099.0</v>
      </c>
      <c r="P34" s="10">
        <v>9727.24</v>
      </c>
    </row>
    <row r="35">
      <c r="A35" s="6" t="s">
        <v>213</v>
      </c>
      <c r="B35" s="6" t="s">
        <v>213</v>
      </c>
      <c r="C35" s="6" t="s">
        <v>214</v>
      </c>
      <c r="D35" s="6" t="s">
        <v>215</v>
      </c>
      <c r="E35" s="6" t="e">
        <v>#N/A</v>
      </c>
      <c r="F35" s="6" t="s">
        <v>216</v>
      </c>
      <c r="G35" s="6" t="s">
        <v>217</v>
      </c>
      <c r="H35" s="7" t="s">
        <v>218</v>
      </c>
      <c r="I35" s="6">
        <v>3.2783919E7</v>
      </c>
      <c r="J35" s="6" t="s">
        <v>219</v>
      </c>
      <c r="K35" s="6" t="str">
        <f>VLOOKUP(A35,Sheet4!$A:$H,7,0)</f>
        <v>Original Mattress</v>
      </c>
      <c r="L35" s="6" t="str">
        <f>VLOOKUP(B35,Sheet4!$A:$H,8,0)</f>
        <v>Mattress</v>
      </c>
      <c r="M35" s="6">
        <v>12999.0</v>
      </c>
      <c r="N35" s="8">
        <v>10529.0</v>
      </c>
      <c r="O35" s="9">
        <v>11299.0</v>
      </c>
      <c r="P35" s="10">
        <v>9879.24</v>
      </c>
    </row>
    <row r="36">
      <c r="A36" s="6" t="s">
        <v>220</v>
      </c>
      <c r="B36" s="6" t="s">
        <v>220</v>
      </c>
      <c r="C36" s="6" t="s">
        <v>221</v>
      </c>
      <c r="D36" s="6" t="s">
        <v>222</v>
      </c>
      <c r="E36" s="6" t="e">
        <v>#N/A</v>
      </c>
      <c r="F36" s="6" t="s">
        <v>223</v>
      </c>
      <c r="G36" s="6" t="s">
        <v>224</v>
      </c>
      <c r="H36" s="7" t="s">
        <v>225</v>
      </c>
      <c r="I36" s="6">
        <v>3.2784035E7</v>
      </c>
      <c r="J36" s="6" t="s">
        <v>226</v>
      </c>
      <c r="K36" s="6" t="str">
        <f>VLOOKUP(A36,Sheet4!$A:$H,7,0)</f>
        <v>Original Mattress</v>
      </c>
      <c r="L36" s="6" t="str">
        <f>VLOOKUP(B36,Sheet4!$A:$H,8,0)</f>
        <v>Mattress</v>
      </c>
      <c r="M36" s="6">
        <v>13399.0</v>
      </c>
      <c r="N36" s="8">
        <v>10853.0</v>
      </c>
      <c r="O36" s="9">
        <v>11699.0</v>
      </c>
      <c r="P36" s="10">
        <v>10183.24</v>
      </c>
    </row>
    <row r="37">
      <c r="A37" s="6" t="s">
        <v>227</v>
      </c>
      <c r="B37" s="6" t="s">
        <v>227</v>
      </c>
      <c r="C37" s="6" t="s">
        <v>228</v>
      </c>
      <c r="D37" s="6" t="s">
        <v>229</v>
      </c>
      <c r="E37" s="6" t="e">
        <v>#N/A</v>
      </c>
      <c r="F37" s="6">
        <v>0.0</v>
      </c>
      <c r="G37" s="6" t="s">
        <v>230</v>
      </c>
      <c r="H37" s="7" t="s">
        <v>231</v>
      </c>
      <c r="I37" s="6" t="e">
        <v>#N/A</v>
      </c>
      <c r="J37" s="6" t="e">
        <v>#REF!</v>
      </c>
      <c r="K37" s="6" t="str">
        <f>VLOOKUP(A37,Sheet4!$A:$H,7,0)</f>
        <v>Original Mattress</v>
      </c>
      <c r="L37" s="6" t="str">
        <f>VLOOKUP(B37,Sheet4!$A:$H,8,0)</f>
        <v>Mattress</v>
      </c>
      <c r="M37" s="6">
        <v>16999.0</v>
      </c>
      <c r="N37" s="8">
        <v>13769.0</v>
      </c>
      <c r="O37" s="9">
        <v>14799.0</v>
      </c>
      <c r="P37" s="10">
        <v>12919.24</v>
      </c>
    </row>
    <row r="38">
      <c r="A38" s="6" t="s">
        <v>232</v>
      </c>
      <c r="B38" s="6" t="s">
        <v>232</v>
      </c>
      <c r="C38" s="6" t="s">
        <v>233</v>
      </c>
      <c r="D38" s="6" t="s">
        <v>234</v>
      </c>
      <c r="E38" s="6" t="e">
        <v>#N/A</v>
      </c>
      <c r="F38" s="6" t="s">
        <v>235</v>
      </c>
      <c r="G38" s="6" t="s">
        <v>236</v>
      </c>
      <c r="H38" s="7" t="s">
        <v>237</v>
      </c>
      <c r="I38" s="6">
        <v>3.2783804E7</v>
      </c>
      <c r="J38" s="6" t="s">
        <v>238</v>
      </c>
      <c r="K38" s="6" t="str">
        <f>VLOOKUP(A38,Sheet4!$A:$H,7,0)</f>
        <v>Original Mattress</v>
      </c>
      <c r="L38" s="6" t="str">
        <f>VLOOKUP(B38,Sheet4!$A:$H,8,0)</f>
        <v>Mattress</v>
      </c>
      <c r="M38" s="6">
        <v>14499.0</v>
      </c>
      <c r="N38" s="8">
        <v>11744.0</v>
      </c>
      <c r="O38" s="9">
        <v>12599.0</v>
      </c>
      <c r="P38" s="10">
        <v>11019.24</v>
      </c>
    </row>
    <row r="39">
      <c r="A39" s="6" t="s">
        <v>239</v>
      </c>
      <c r="B39" s="6" t="s">
        <v>239</v>
      </c>
      <c r="C39" s="6" t="s">
        <v>240</v>
      </c>
      <c r="D39" s="6" t="s">
        <v>241</v>
      </c>
      <c r="E39" s="6" t="e">
        <v>#N/A</v>
      </c>
      <c r="F39" s="6" t="s">
        <v>242</v>
      </c>
      <c r="G39" s="6" t="s">
        <v>243</v>
      </c>
      <c r="H39" s="7" t="s">
        <v>244</v>
      </c>
      <c r="I39" s="6">
        <v>3.2784007E7</v>
      </c>
      <c r="J39" s="6" t="s">
        <v>245</v>
      </c>
      <c r="K39" s="6" t="str">
        <f>VLOOKUP(A39,Sheet4!$A:$H,7,0)</f>
        <v>Original Mattress</v>
      </c>
      <c r="L39" s="6" t="str">
        <f>VLOOKUP(B39,Sheet4!$A:$H,8,0)</f>
        <v>Mattress</v>
      </c>
      <c r="M39" s="6">
        <v>14899.0</v>
      </c>
      <c r="N39" s="8">
        <v>12068.0</v>
      </c>
      <c r="O39" s="9">
        <v>12999.0</v>
      </c>
      <c r="P39" s="10">
        <v>11323.24</v>
      </c>
    </row>
    <row r="40">
      <c r="A40" s="6" t="s">
        <v>246</v>
      </c>
      <c r="B40" s="6" t="s">
        <v>246</v>
      </c>
      <c r="C40" s="6" t="s">
        <v>247</v>
      </c>
      <c r="D40" s="6" t="s">
        <v>248</v>
      </c>
      <c r="E40" s="6" t="e">
        <v>#N/A</v>
      </c>
      <c r="F40" s="6" t="s">
        <v>249</v>
      </c>
      <c r="G40" s="6" t="s">
        <v>250</v>
      </c>
      <c r="H40" s="7" t="s">
        <v>251</v>
      </c>
      <c r="I40" s="6">
        <v>3.2784189E7</v>
      </c>
      <c r="J40" s="6" t="s">
        <v>252</v>
      </c>
      <c r="K40" s="6" t="str">
        <f>VLOOKUP(A40,Sheet4!$A:$H,7,0)</f>
        <v>Original Mattress</v>
      </c>
      <c r="L40" s="6" t="str">
        <f>VLOOKUP(B40,Sheet4!$A:$H,8,0)</f>
        <v>Mattress</v>
      </c>
      <c r="M40" s="6">
        <v>14999.0</v>
      </c>
      <c r="N40" s="8">
        <v>12149.0</v>
      </c>
      <c r="O40" s="9">
        <v>12999.0</v>
      </c>
      <c r="P40" s="10">
        <v>11399.24</v>
      </c>
    </row>
    <row r="41">
      <c r="A41" s="6" t="s">
        <v>253</v>
      </c>
      <c r="B41" s="6" t="s">
        <v>253</v>
      </c>
      <c r="C41" s="6" t="s">
        <v>254</v>
      </c>
      <c r="D41" s="6" t="s">
        <v>255</v>
      </c>
      <c r="E41" s="6" t="e">
        <v>#N/A</v>
      </c>
      <c r="F41" s="6">
        <v>0.0</v>
      </c>
      <c r="G41" s="6" t="s">
        <v>256</v>
      </c>
      <c r="H41" s="7" t="s">
        <v>257</v>
      </c>
      <c r="I41" s="6" t="e">
        <v>#N/A</v>
      </c>
      <c r="J41" s="6" t="e">
        <v>#REF!</v>
      </c>
      <c r="K41" s="6" t="str">
        <f>VLOOKUP(A41,Sheet4!$A:$H,7,0)</f>
        <v>Original Mattress</v>
      </c>
      <c r="L41" s="6" t="str">
        <f>VLOOKUP(B41,Sheet4!$A:$H,8,0)</f>
        <v>Mattress</v>
      </c>
      <c r="M41" s="6">
        <v>18999.0</v>
      </c>
      <c r="N41" s="8">
        <v>15389.0</v>
      </c>
      <c r="O41" s="9">
        <v>16499.0</v>
      </c>
      <c r="P41" s="10">
        <v>14439.24</v>
      </c>
    </row>
    <row r="42">
      <c r="A42" s="6" t="s">
        <v>258</v>
      </c>
      <c r="B42" s="6" t="s">
        <v>258</v>
      </c>
      <c r="C42" s="6" t="s">
        <v>259</v>
      </c>
      <c r="D42" s="6" t="s">
        <v>260</v>
      </c>
      <c r="E42" s="6" t="e">
        <v>#N/A</v>
      </c>
      <c r="F42" s="6" t="s">
        <v>261</v>
      </c>
      <c r="G42" s="6" t="s">
        <v>262</v>
      </c>
      <c r="H42" s="7" t="s">
        <v>263</v>
      </c>
      <c r="I42" s="6">
        <v>3.27841E7</v>
      </c>
      <c r="J42" s="6" t="s">
        <v>264</v>
      </c>
      <c r="K42" s="6" t="str">
        <f>VLOOKUP(A42,Sheet4!$A:$H,7,0)</f>
        <v>Original Mattress</v>
      </c>
      <c r="L42" s="6" t="str">
        <f>VLOOKUP(B42,Sheet4!$A:$H,8,0)</f>
        <v>Mattress</v>
      </c>
      <c r="M42" s="6">
        <v>16599.0</v>
      </c>
      <c r="N42" s="12">
        <v>13445.0</v>
      </c>
      <c r="O42" s="9">
        <v>14399.0</v>
      </c>
      <c r="P42" s="10">
        <v>12615.24</v>
      </c>
    </row>
    <row r="43">
      <c r="A43" s="6" t="s">
        <v>265</v>
      </c>
      <c r="B43" s="6" t="s">
        <v>265</v>
      </c>
      <c r="C43" s="6" t="s">
        <v>266</v>
      </c>
      <c r="D43" s="6" t="s">
        <v>267</v>
      </c>
      <c r="E43" s="6" t="e">
        <v>#N/A</v>
      </c>
      <c r="F43" s="6" t="s">
        <v>268</v>
      </c>
      <c r="G43" s="6" t="s">
        <v>269</v>
      </c>
      <c r="H43" s="7" t="s">
        <v>270</v>
      </c>
      <c r="I43" s="6">
        <v>3.2784004E7</v>
      </c>
      <c r="J43" s="6" t="s">
        <v>271</v>
      </c>
      <c r="K43" s="6" t="str">
        <f>VLOOKUP(A43,Sheet4!$A:$H,7,0)</f>
        <v>Original Mattress</v>
      </c>
      <c r="L43" s="6" t="str">
        <f>VLOOKUP(B43,Sheet4!$A:$H,8,0)</f>
        <v>Mattress</v>
      </c>
      <c r="M43" s="6">
        <v>16899.0</v>
      </c>
      <c r="N43" s="8">
        <v>13688.0</v>
      </c>
      <c r="O43" s="9">
        <v>14699.0</v>
      </c>
      <c r="P43" s="10">
        <v>12843.24</v>
      </c>
    </row>
    <row r="44">
      <c r="A44" s="6" t="s">
        <v>272</v>
      </c>
      <c r="B44" s="6" t="s">
        <v>272</v>
      </c>
      <c r="C44" s="6" t="s">
        <v>273</v>
      </c>
      <c r="D44" s="6" t="s">
        <v>274</v>
      </c>
      <c r="E44" s="6" t="e">
        <v>#N/A</v>
      </c>
      <c r="F44" s="6" t="s">
        <v>275</v>
      </c>
      <c r="G44" s="6" t="s">
        <v>276</v>
      </c>
      <c r="H44" s="7" t="s">
        <v>277</v>
      </c>
      <c r="I44" s="6">
        <v>3.2783819E7</v>
      </c>
      <c r="J44" s="6" t="s">
        <v>278</v>
      </c>
      <c r="K44" s="6" t="str">
        <f>VLOOKUP(A44,Sheet4!$A:$H,7,0)</f>
        <v>Original Mattress</v>
      </c>
      <c r="L44" s="6" t="str">
        <f>VLOOKUP(B44,Sheet4!$A:$H,8,0)</f>
        <v>Mattress</v>
      </c>
      <c r="M44" s="6">
        <v>16999.0</v>
      </c>
      <c r="N44" s="8">
        <v>13769.0</v>
      </c>
      <c r="O44" s="9">
        <v>14799.0</v>
      </c>
      <c r="P44" s="10">
        <v>12919.24</v>
      </c>
    </row>
    <row r="45">
      <c r="A45" s="6" t="s">
        <v>279</v>
      </c>
      <c r="B45" s="6" t="s">
        <v>279</v>
      </c>
      <c r="C45" s="6" t="s">
        <v>280</v>
      </c>
      <c r="D45" s="6" t="s">
        <v>281</v>
      </c>
      <c r="E45" s="6" t="e">
        <v>#N/A</v>
      </c>
      <c r="F45" s="6">
        <v>0.0</v>
      </c>
      <c r="G45" s="6" t="s">
        <v>282</v>
      </c>
      <c r="H45" s="7" t="s">
        <v>283</v>
      </c>
      <c r="I45" s="6" t="e">
        <v>#N/A</v>
      </c>
      <c r="J45" s="6" t="e">
        <v>#REF!</v>
      </c>
      <c r="K45" s="6" t="str">
        <f>VLOOKUP(A45,Sheet4!$A:$H,7,0)</f>
        <v>Original Mattress</v>
      </c>
      <c r="L45" s="6" t="str">
        <f>VLOOKUP(B45,Sheet4!$A:$H,8,0)</f>
        <v>Mattress</v>
      </c>
      <c r="M45" s="6">
        <v>20999.0</v>
      </c>
      <c r="N45" s="8">
        <v>17009.0</v>
      </c>
      <c r="O45" s="9">
        <v>18299.0</v>
      </c>
      <c r="P45" s="10">
        <v>15959.24</v>
      </c>
    </row>
    <row r="46">
      <c r="A46" s="6" t="s">
        <v>284</v>
      </c>
      <c r="B46" s="6" t="s">
        <v>284</v>
      </c>
      <c r="C46" s="6" t="s">
        <v>285</v>
      </c>
      <c r="D46" s="6" t="s">
        <v>286</v>
      </c>
      <c r="E46" s="6" t="e">
        <v>#N/A</v>
      </c>
      <c r="F46" s="6">
        <v>0.0</v>
      </c>
      <c r="G46" s="6" t="s">
        <v>287</v>
      </c>
      <c r="H46" s="7" t="s">
        <v>288</v>
      </c>
      <c r="I46" s="6" t="e">
        <v>#N/A</v>
      </c>
      <c r="J46" s="6" t="e">
        <v>#REF!</v>
      </c>
      <c r="K46" s="6" t="str">
        <f>VLOOKUP(A46,Sheet4!$A:$H,7,0)</f>
        <v>Original Mattress</v>
      </c>
      <c r="L46" s="6" t="str">
        <f>VLOOKUP(B46,Sheet4!$A:$H,8,0)</f>
        <v>Mattress</v>
      </c>
      <c r="M46" s="6">
        <v>12489.0</v>
      </c>
      <c r="N46" s="8">
        <v>10116.0</v>
      </c>
      <c r="O46" s="9">
        <v>10899.0</v>
      </c>
      <c r="P46" s="10">
        <v>9491.64</v>
      </c>
    </row>
    <row r="47">
      <c r="A47" s="6" t="s">
        <v>289</v>
      </c>
      <c r="B47" s="6" t="s">
        <v>289</v>
      </c>
      <c r="C47" s="6" t="s">
        <v>290</v>
      </c>
      <c r="D47" s="6" t="s">
        <v>291</v>
      </c>
      <c r="E47" s="6" t="e">
        <v>#N/A</v>
      </c>
      <c r="F47" s="6">
        <v>0.0</v>
      </c>
      <c r="G47" s="6" t="s">
        <v>292</v>
      </c>
      <c r="H47" s="7" t="s">
        <v>293</v>
      </c>
      <c r="I47" s="6" t="e">
        <v>#N/A</v>
      </c>
      <c r="J47" s="6" t="e">
        <v>#REF!</v>
      </c>
      <c r="K47" s="6" t="str">
        <f>VLOOKUP(A47,Sheet4!$A:$H,7,0)</f>
        <v>Original Mattress</v>
      </c>
      <c r="L47" s="6" t="str">
        <f>VLOOKUP(B47,Sheet4!$A:$H,8,0)</f>
        <v>Mattress</v>
      </c>
      <c r="M47" s="6">
        <v>12909.0</v>
      </c>
      <c r="N47" s="8">
        <v>10456.0</v>
      </c>
      <c r="O47" s="9">
        <v>11199.0</v>
      </c>
      <c r="P47" s="10">
        <v>9810.84</v>
      </c>
    </row>
    <row r="48">
      <c r="A48" s="6" t="s">
        <v>294</v>
      </c>
      <c r="B48" s="6" t="s">
        <v>294</v>
      </c>
      <c r="C48" s="6" t="s">
        <v>295</v>
      </c>
      <c r="D48" s="6" t="s">
        <v>296</v>
      </c>
      <c r="E48" s="6" t="e">
        <v>#N/A</v>
      </c>
      <c r="F48" s="6">
        <v>0.0</v>
      </c>
      <c r="G48" s="6" t="s">
        <v>297</v>
      </c>
      <c r="H48" s="7" t="s">
        <v>298</v>
      </c>
      <c r="I48" s="6" t="e">
        <v>#N/A</v>
      </c>
      <c r="J48" s="6" t="e">
        <v>#REF!</v>
      </c>
      <c r="K48" s="6" t="str">
        <f>VLOOKUP(A48,Sheet4!$A:$H,7,0)</f>
        <v>Original Mattress</v>
      </c>
      <c r="L48" s="6" t="str">
        <f>VLOOKUP(B48,Sheet4!$A:$H,8,0)</f>
        <v>Mattress</v>
      </c>
      <c r="M48" s="6">
        <v>13189.0</v>
      </c>
      <c r="N48" s="8">
        <v>10683.0</v>
      </c>
      <c r="O48" s="9">
        <v>11499.0</v>
      </c>
      <c r="P48" s="10">
        <v>10023.64</v>
      </c>
    </row>
    <row r="49">
      <c r="A49" s="6" t="s">
        <v>299</v>
      </c>
      <c r="B49" s="6" t="s">
        <v>299</v>
      </c>
      <c r="C49" s="6" t="s">
        <v>300</v>
      </c>
      <c r="D49" s="6" t="s">
        <v>301</v>
      </c>
      <c r="E49" s="6" t="e">
        <v>#N/A</v>
      </c>
      <c r="F49" s="6">
        <v>0.0</v>
      </c>
      <c r="G49" s="6" t="s">
        <v>302</v>
      </c>
      <c r="H49" s="7" t="s">
        <v>303</v>
      </c>
      <c r="I49" s="6" t="e">
        <v>#N/A</v>
      </c>
      <c r="J49" s="6" t="e">
        <v>#REF!</v>
      </c>
      <c r="K49" s="6" t="str">
        <f>VLOOKUP(A49,Sheet4!$A:$H,7,0)</f>
        <v>Original Mattress</v>
      </c>
      <c r="L49" s="6" t="str">
        <f>VLOOKUP(B49,Sheet4!$A:$H,8,0)</f>
        <v>Mattress</v>
      </c>
      <c r="M49" s="6">
        <v>13599.0</v>
      </c>
      <c r="N49" s="8">
        <v>11015.0</v>
      </c>
      <c r="O49" s="9">
        <v>11799.0</v>
      </c>
      <c r="P49" s="10">
        <v>10335.24</v>
      </c>
    </row>
    <row r="50">
      <c r="A50" s="6" t="s">
        <v>304</v>
      </c>
      <c r="B50" s="6" t="s">
        <v>304</v>
      </c>
      <c r="C50" s="6" t="s">
        <v>305</v>
      </c>
      <c r="D50" s="6" t="s">
        <v>306</v>
      </c>
      <c r="E50" s="6" t="e">
        <v>#N/A</v>
      </c>
      <c r="F50" s="6">
        <v>0.0</v>
      </c>
      <c r="G50" s="6" t="s">
        <v>307</v>
      </c>
      <c r="H50" s="7" t="s">
        <v>308</v>
      </c>
      <c r="I50" s="6" t="e">
        <v>#N/A</v>
      </c>
      <c r="J50" s="6" t="e">
        <v>#N/A</v>
      </c>
      <c r="K50" s="6" t="str">
        <f>VLOOKUP(A50,Sheet4!$A:$H,7,0)</f>
        <v>Original Mattress</v>
      </c>
      <c r="L50" s="6" t="str">
        <f>VLOOKUP(B50,Sheet4!$A:$H,8,0)</f>
        <v>Mattress</v>
      </c>
      <c r="M50" s="6">
        <v>8809.0</v>
      </c>
      <c r="N50" s="8">
        <v>7135.0</v>
      </c>
      <c r="O50" s="9">
        <v>7699.0</v>
      </c>
      <c r="P50" s="10">
        <v>6694.84</v>
      </c>
    </row>
    <row r="51">
      <c r="A51" s="6" t="s">
        <v>309</v>
      </c>
      <c r="B51" s="6" t="s">
        <v>309</v>
      </c>
      <c r="C51" s="6" t="s">
        <v>310</v>
      </c>
      <c r="D51" s="6" t="s">
        <v>311</v>
      </c>
      <c r="E51" s="6" t="e">
        <v>#N/A</v>
      </c>
      <c r="F51" s="6">
        <v>0.0</v>
      </c>
      <c r="G51" s="6" t="s">
        <v>312</v>
      </c>
      <c r="H51" s="7" t="s">
        <v>313</v>
      </c>
      <c r="I51" s="6" t="e">
        <v>#N/A</v>
      </c>
      <c r="J51" s="6" t="e">
        <v>#REF!</v>
      </c>
      <c r="K51" s="6" t="str">
        <f>VLOOKUP(A51,Sheet4!$A:$H,7,0)</f>
        <v>Original Mattress</v>
      </c>
      <c r="L51" s="6" t="str">
        <f>VLOOKUP(B51,Sheet4!$A:$H,8,0)</f>
        <v>Mattress</v>
      </c>
      <c r="M51" s="6">
        <v>9069.0</v>
      </c>
      <c r="N51" s="8">
        <v>7346.0</v>
      </c>
      <c r="O51" s="9">
        <v>7899.0</v>
      </c>
      <c r="P51" s="10">
        <v>6892.44</v>
      </c>
    </row>
    <row r="52">
      <c r="A52" s="6" t="s">
        <v>314</v>
      </c>
      <c r="B52" s="6" t="s">
        <v>314</v>
      </c>
      <c r="C52" s="6" t="e">
        <v>#N/A</v>
      </c>
      <c r="D52" s="6" t="e">
        <v>#N/A</v>
      </c>
      <c r="E52" s="6" t="e">
        <v>#N/A</v>
      </c>
      <c r="F52" s="6" t="e">
        <v>#N/A</v>
      </c>
      <c r="G52" s="6">
        <v>0.0</v>
      </c>
      <c r="H52" s="7" t="e">
        <v>#N/A</v>
      </c>
      <c r="I52" s="6" t="e">
        <v>#N/A</v>
      </c>
      <c r="J52" s="6" t="e">
        <v>#N/A</v>
      </c>
      <c r="K52" s="11" t="s">
        <v>51</v>
      </c>
      <c r="L52" s="11" t="s">
        <v>52</v>
      </c>
      <c r="M52" s="6" t="str">
        <f>VLOOKUP(A52,#REF!,2,FALSE)</f>
        <v>#REF!</v>
      </c>
      <c r="N52" s="6" t="str">
        <f>VLOOKUP(A52, Sheet2!A:M, 3, FALSE)</f>
        <v>#N/A</v>
      </c>
      <c r="O52" s="10" t="e">
        <v>#N/A</v>
      </c>
      <c r="P52" s="10" t="e">
        <v>#N/A</v>
      </c>
    </row>
    <row r="53">
      <c r="A53" s="6" t="s">
        <v>315</v>
      </c>
      <c r="B53" s="6" t="s">
        <v>315</v>
      </c>
      <c r="C53" s="6" t="s">
        <v>316</v>
      </c>
      <c r="D53" s="6" t="s">
        <v>317</v>
      </c>
      <c r="E53" s="6" t="e">
        <v>#N/A</v>
      </c>
      <c r="F53" s="6">
        <v>0.0</v>
      </c>
      <c r="G53" s="6" t="s">
        <v>318</v>
      </c>
      <c r="H53" s="7" t="s">
        <v>319</v>
      </c>
      <c r="I53" s="6" t="e">
        <v>#N/A</v>
      </c>
      <c r="J53" s="6" t="s">
        <v>320</v>
      </c>
      <c r="K53" s="6" t="str">
        <f>VLOOKUP(A53,Sheet4!$A:$H,7,0)</f>
        <v>Original Mattress</v>
      </c>
      <c r="L53" s="6" t="str">
        <f>VLOOKUP(B53,Sheet4!$A:$H,8,0)</f>
        <v>Mattress</v>
      </c>
      <c r="M53" s="6">
        <v>10259.0</v>
      </c>
      <c r="N53" s="8">
        <v>8310.0</v>
      </c>
      <c r="O53" s="9">
        <v>8899.0</v>
      </c>
      <c r="P53" s="10">
        <v>7796.84</v>
      </c>
    </row>
    <row r="54">
      <c r="A54" s="6" t="s">
        <v>321</v>
      </c>
      <c r="B54" s="6" t="s">
        <v>321</v>
      </c>
      <c r="C54" s="6" t="s">
        <v>322</v>
      </c>
      <c r="D54" s="6" t="s">
        <v>323</v>
      </c>
      <c r="E54" s="6" t="e">
        <v>#N/A</v>
      </c>
      <c r="F54" s="6">
        <v>0.0</v>
      </c>
      <c r="G54" s="6" t="s">
        <v>324</v>
      </c>
      <c r="H54" s="7" t="s">
        <v>325</v>
      </c>
      <c r="I54" s="6" t="e">
        <v>#N/A</v>
      </c>
      <c r="J54" s="6" t="e">
        <v>#REF!</v>
      </c>
      <c r="K54" s="6" t="str">
        <f>VLOOKUP(A54,Sheet4!$A:$H,7,0)</f>
        <v>Original Mattress</v>
      </c>
      <c r="L54" s="6" t="str">
        <f>VLOOKUP(B54,Sheet4!$A:$H,8,0)</f>
        <v>Mattress</v>
      </c>
      <c r="M54" s="6">
        <v>10259.0</v>
      </c>
      <c r="N54" s="8">
        <v>8310.0</v>
      </c>
      <c r="O54" s="9">
        <v>8899.0</v>
      </c>
      <c r="P54" s="10">
        <v>7796.84</v>
      </c>
    </row>
    <row r="55">
      <c r="A55" s="6" t="s">
        <v>326</v>
      </c>
      <c r="B55" s="6" t="s">
        <v>326</v>
      </c>
      <c r="C55" s="6" t="s">
        <v>327</v>
      </c>
      <c r="D55" s="6" t="s">
        <v>328</v>
      </c>
      <c r="E55" s="6" t="e">
        <v>#N/A</v>
      </c>
      <c r="F55" s="6">
        <v>0.0</v>
      </c>
      <c r="G55" s="6" t="s">
        <v>329</v>
      </c>
      <c r="H55" s="7" t="s">
        <v>330</v>
      </c>
      <c r="I55" s="6" t="e">
        <v>#N/A</v>
      </c>
      <c r="J55" s="6" t="e">
        <v>#REF!</v>
      </c>
      <c r="K55" s="6" t="str">
        <f>VLOOKUP(A55,Sheet4!$A:$H,7,0)</f>
        <v>Original Mattress</v>
      </c>
      <c r="L55" s="6" t="str">
        <f>VLOOKUP(B55,Sheet4!$A:$H,8,0)</f>
        <v>Mattress</v>
      </c>
      <c r="M55" s="6">
        <v>10779.0</v>
      </c>
      <c r="N55" s="8">
        <v>8731.0</v>
      </c>
      <c r="O55" s="9">
        <v>9399.0</v>
      </c>
      <c r="P55" s="10">
        <v>8192.04</v>
      </c>
    </row>
    <row r="56">
      <c r="A56" s="6" t="s">
        <v>331</v>
      </c>
      <c r="B56" s="6" t="s">
        <v>331</v>
      </c>
      <c r="C56" s="6" t="s">
        <v>332</v>
      </c>
      <c r="D56" s="6" t="s">
        <v>333</v>
      </c>
      <c r="E56" s="6" t="e">
        <v>#N/A</v>
      </c>
      <c r="F56" s="6">
        <v>0.0</v>
      </c>
      <c r="G56" s="6" t="s">
        <v>334</v>
      </c>
      <c r="H56" s="7" t="s">
        <v>335</v>
      </c>
      <c r="I56" s="6" t="e">
        <v>#N/A</v>
      </c>
      <c r="J56" s="6" t="e">
        <v>#REF!</v>
      </c>
      <c r="K56" s="6" t="str">
        <f>VLOOKUP(A56,Sheet4!$A:$H,7,0)</f>
        <v>Original Mattress</v>
      </c>
      <c r="L56" s="6" t="str">
        <f>VLOOKUP(B56,Sheet4!$A:$H,8,0)</f>
        <v>Mattress</v>
      </c>
      <c r="M56" s="6">
        <v>10909.0</v>
      </c>
      <c r="N56" s="8">
        <v>8836.0</v>
      </c>
      <c r="O56" s="9">
        <v>9499.0</v>
      </c>
      <c r="P56" s="10">
        <v>8290.84</v>
      </c>
    </row>
    <row r="57">
      <c r="A57" s="6" t="s">
        <v>336</v>
      </c>
      <c r="B57" s="6" t="s">
        <v>336</v>
      </c>
      <c r="C57" s="6" t="s">
        <v>337</v>
      </c>
      <c r="D57" s="6" t="s">
        <v>338</v>
      </c>
      <c r="E57" s="6" t="e">
        <v>#N/A</v>
      </c>
      <c r="F57" s="6">
        <v>0.0</v>
      </c>
      <c r="G57" s="6" t="s">
        <v>339</v>
      </c>
      <c r="H57" s="7" t="s">
        <v>340</v>
      </c>
      <c r="I57" s="6">
        <v>3.1999074E7</v>
      </c>
      <c r="J57" s="6" t="e">
        <v>#N/A</v>
      </c>
      <c r="K57" s="6" t="str">
        <f>VLOOKUP(A57,Sheet4!$A:$H,7,0)</f>
        <v>Original Mattress</v>
      </c>
      <c r="L57" s="6" t="str">
        <f>VLOOKUP(B57,Sheet4!$A:$H,8,0)</f>
        <v>Mattress</v>
      </c>
      <c r="M57" s="6">
        <v>15699.0</v>
      </c>
      <c r="N57" s="8">
        <v>12716.0</v>
      </c>
      <c r="O57" s="9">
        <v>13699.0</v>
      </c>
      <c r="P57" s="10">
        <v>11931.24</v>
      </c>
    </row>
    <row r="58">
      <c r="A58" s="6" t="s">
        <v>341</v>
      </c>
      <c r="B58" s="6" t="s">
        <v>341</v>
      </c>
      <c r="C58" s="6" t="s">
        <v>342</v>
      </c>
      <c r="D58" s="6" t="s">
        <v>343</v>
      </c>
      <c r="E58" s="6" t="e">
        <v>#N/A</v>
      </c>
      <c r="F58" s="6" t="s">
        <v>344</v>
      </c>
      <c r="G58" s="6" t="s">
        <v>345</v>
      </c>
      <c r="H58" s="7" t="s">
        <v>346</v>
      </c>
      <c r="I58" s="6">
        <v>3.199907E7</v>
      </c>
      <c r="J58" s="6" t="s">
        <v>347</v>
      </c>
      <c r="K58" s="6" t="str">
        <f>VLOOKUP(A58,Sheet4!$A:$H,7,0)</f>
        <v>Original Mattress</v>
      </c>
      <c r="L58" s="6" t="str">
        <f>VLOOKUP(B58,Sheet4!$A:$H,8,0)</f>
        <v>Mattress</v>
      </c>
      <c r="M58" s="6">
        <v>15999.0</v>
      </c>
      <c r="N58" s="8">
        <v>12959.0</v>
      </c>
      <c r="O58" s="9">
        <v>13899.0</v>
      </c>
      <c r="P58" s="10">
        <v>12159.24</v>
      </c>
    </row>
    <row r="59">
      <c r="A59" s="6" t="s">
        <v>348</v>
      </c>
      <c r="B59" s="6" t="s">
        <v>348</v>
      </c>
      <c r="C59" s="6" t="s">
        <v>349</v>
      </c>
      <c r="D59" s="6" t="s">
        <v>350</v>
      </c>
      <c r="E59" s="6" t="e">
        <v>#N/A</v>
      </c>
      <c r="F59" s="6" t="s">
        <v>351</v>
      </c>
      <c r="G59" s="6" t="s">
        <v>352</v>
      </c>
      <c r="H59" s="7" t="s">
        <v>353</v>
      </c>
      <c r="I59" s="6">
        <v>3.1999085E7</v>
      </c>
      <c r="J59" s="6" t="s">
        <v>354</v>
      </c>
      <c r="K59" s="6" t="str">
        <f>VLOOKUP(A59,Sheet4!$A:$H,7,0)</f>
        <v>Original Mattress</v>
      </c>
      <c r="L59" s="6" t="str">
        <f>VLOOKUP(B59,Sheet4!$A:$H,8,0)</f>
        <v>Mattress</v>
      </c>
      <c r="M59" s="6">
        <v>16199.0</v>
      </c>
      <c r="N59" s="8">
        <v>13121.0</v>
      </c>
      <c r="O59" s="9">
        <v>14099.0</v>
      </c>
      <c r="P59" s="10">
        <v>12311.24</v>
      </c>
    </row>
    <row r="60">
      <c r="A60" s="6" t="s">
        <v>355</v>
      </c>
      <c r="B60" s="6" t="s">
        <v>355</v>
      </c>
      <c r="C60" s="6" t="s">
        <v>356</v>
      </c>
      <c r="D60" s="6" t="s">
        <v>357</v>
      </c>
      <c r="E60" s="6" t="e">
        <v>#N/A</v>
      </c>
      <c r="F60" s="6" t="s">
        <v>358</v>
      </c>
      <c r="G60" s="6" t="s">
        <v>359</v>
      </c>
      <c r="H60" s="7" t="s">
        <v>360</v>
      </c>
      <c r="I60" s="6">
        <v>3.278423E7</v>
      </c>
      <c r="J60" s="6" t="e">
        <v>#N/A</v>
      </c>
      <c r="K60" s="6" t="str">
        <f>VLOOKUP(A60,Sheet4!$A:$H,7,0)</f>
        <v>Original Mattress</v>
      </c>
      <c r="L60" s="6" t="str">
        <f>VLOOKUP(B60,Sheet4!$A:$H,8,0)</f>
        <v>Mattress</v>
      </c>
      <c r="M60" s="6">
        <v>17299.0</v>
      </c>
      <c r="N60" s="8">
        <v>14012.0</v>
      </c>
      <c r="O60" s="9">
        <v>15099.0</v>
      </c>
      <c r="P60" s="10">
        <v>13147.24</v>
      </c>
    </row>
    <row r="61">
      <c r="A61" s="6" t="s">
        <v>361</v>
      </c>
      <c r="B61" s="6" t="s">
        <v>361</v>
      </c>
      <c r="C61" s="6" t="s">
        <v>362</v>
      </c>
      <c r="D61" s="6" t="s">
        <v>363</v>
      </c>
      <c r="E61" s="6" t="e">
        <v>#N/A</v>
      </c>
      <c r="F61" s="6" t="s">
        <v>364</v>
      </c>
      <c r="G61" s="6" t="s">
        <v>365</v>
      </c>
      <c r="H61" s="7" t="s">
        <v>366</v>
      </c>
      <c r="I61" s="6">
        <v>3.2784103E7</v>
      </c>
      <c r="J61" s="6" t="e">
        <v>#N/A</v>
      </c>
      <c r="K61" s="6" t="str">
        <f>VLOOKUP(A61,Sheet4!$A:$H,7,0)</f>
        <v>Original Mattress</v>
      </c>
      <c r="L61" s="6" t="str">
        <f>VLOOKUP(B61,Sheet4!$A:$H,8,0)</f>
        <v>Mattress</v>
      </c>
      <c r="M61" s="6">
        <v>17699.0</v>
      </c>
      <c r="N61" s="8">
        <v>14336.0</v>
      </c>
      <c r="O61" s="9">
        <v>15399.0</v>
      </c>
      <c r="P61" s="10">
        <v>13451.24</v>
      </c>
    </row>
    <row r="62">
      <c r="A62" s="6" t="s">
        <v>367</v>
      </c>
      <c r="B62" s="6" t="s">
        <v>367</v>
      </c>
      <c r="C62" s="6" t="s">
        <v>368</v>
      </c>
      <c r="D62" s="6" t="s">
        <v>369</v>
      </c>
      <c r="E62" s="6" t="e">
        <v>#N/A</v>
      </c>
      <c r="F62" s="6" t="s">
        <v>370</v>
      </c>
      <c r="G62" s="6" t="s">
        <v>371</v>
      </c>
      <c r="H62" s="7" t="s">
        <v>372</v>
      </c>
      <c r="I62" s="6">
        <v>3.2784075E7</v>
      </c>
      <c r="J62" s="6" t="s">
        <v>373</v>
      </c>
      <c r="K62" s="6" t="str">
        <f>VLOOKUP(A62,Sheet4!$A:$H,7,0)</f>
        <v>Original Mattress</v>
      </c>
      <c r="L62" s="6" t="str">
        <f>VLOOKUP(B62,Sheet4!$A:$H,8,0)</f>
        <v>Mattress</v>
      </c>
      <c r="M62" s="6">
        <v>18199.0</v>
      </c>
      <c r="N62" s="8">
        <v>14741.0</v>
      </c>
      <c r="O62" s="9">
        <v>15799.0</v>
      </c>
      <c r="P62" s="10">
        <v>13831.24</v>
      </c>
    </row>
    <row r="63">
      <c r="A63" s="6" t="s">
        <v>374</v>
      </c>
      <c r="B63" s="6" t="s">
        <v>374</v>
      </c>
      <c r="C63" s="6" t="s">
        <v>375</v>
      </c>
      <c r="D63" s="6" t="s">
        <v>376</v>
      </c>
      <c r="E63" s="6" t="e">
        <v>#N/A</v>
      </c>
      <c r="F63" s="6">
        <v>0.0</v>
      </c>
      <c r="G63" s="6" t="s">
        <v>377</v>
      </c>
      <c r="H63" s="7" t="s">
        <v>378</v>
      </c>
      <c r="I63" s="6" t="e">
        <v>#N/A</v>
      </c>
      <c r="J63" s="6" t="e">
        <v>#N/A</v>
      </c>
      <c r="K63" s="6" t="str">
        <f>VLOOKUP(A63,Sheet4!$A:$H,7,0)</f>
        <v>Original Mattress</v>
      </c>
      <c r="L63" s="6" t="str">
        <f>VLOOKUP(B63,Sheet4!$A:$H,8,0)</f>
        <v>Mattress</v>
      </c>
      <c r="M63" s="6">
        <v>16999.0</v>
      </c>
      <c r="N63" s="8">
        <v>13769.0</v>
      </c>
      <c r="O63" s="9">
        <v>14799.0</v>
      </c>
      <c r="P63" s="10">
        <v>12919.24</v>
      </c>
    </row>
    <row r="64">
      <c r="A64" s="6" t="s">
        <v>379</v>
      </c>
      <c r="B64" s="6" t="s">
        <v>379</v>
      </c>
      <c r="C64" s="6" t="s">
        <v>380</v>
      </c>
      <c r="D64" s="6" t="s">
        <v>381</v>
      </c>
      <c r="E64" s="6" t="s">
        <v>382</v>
      </c>
      <c r="F64" s="6" t="s">
        <v>383</v>
      </c>
      <c r="G64" s="6" t="s">
        <v>384</v>
      </c>
      <c r="H64" s="7" t="s">
        <v>385</v>
      </c>
      <c r="I64" s="6">
        <v>3.1999081E7</v>
      </c>
      <c r="J64" s="6" t="s">
        <v>386</v>
      </c>
      <c r="K64" s="6" t="str">
        <f>VLOOKUP(A64,Sheet4!$A:$H,7,0)</f>
        <v>Original Mattress</v>
      </c>
      <c r="L64" s="6" t="str">
        <f>VLOOKUP(B64,Sheet4!$A:$H,8,0)</f>
        <v>Mattress</v>
      </c>
      <c r="M64" s="6">
        <v>17499.0</v>
      </c>
      <c r="N64" s="8">
        <v>14174.0</v>
      </c>
      <c r="O64" s="9">
        <v>15199.0</v>
      </c>
      <c r="P64" s="10">
        <v>13299.24</v>
      </c>
    </row>
    <row r="65">
      <c r="A65" s="6" t="s">
        <v>387</v>
      </c>
      <c r="B65" s="6" t="s">
        <v>387</v>
      </c>
      <c r="C65" s="6" t="s">
        <v>388</v>
      </c>
      <c r="D65" s="6" t="s">
        <v>389</v>
      </c>
      <c r="E65" s="6" t="e">
        <v>#N/A</v>
      </c>
      <c r="F65" s="6" t="s">
        <v>390</v>
      </c>
      <c r="G65" s="6" t="s">
        <v>391</v>
      </c>
      <c r="H65" s="7" t="s">
        <v>392</v>
      </c>
      <c r="I65" s="6">
        <v>3.1999077E7</v>
      </c>
      <c r="J65" s="6" t="s">
        <v>393</v>
      </c>
      <c r="K65" s="6" t="str">
        <f>VLOOKUP(A65,Sheet4!$A:$H,7,0)</f>
        <v>Original Mattress</v>
      </c>
      <c r="L65" s="6" t="str">
        <f>VLOOKUP(B65,Sheet4!$A:$H,8,0)</f>
        <v>Mattress</v>
      </c>
      <c r="M65" s="6">
        <v>17999.0</v>
      </c>
      <c r="N65" s="8">
        <v>14579.0</v>
      </c>
      <c r="O65" s="9">
        <v>15699.0</v>
      </c>
      <c r="P65" s="10">
        <v>13679.24</v>
      </c>
    </row>
    <row r="66">
      <c r="A66" s="6" t="s">
        <v>394</v>
      </c>
      <c r="B66" s="6" t="s">
        <v>394</v>
      </c>
      <c r="C66" s="6" t="s">
        <v>395</v>
      </c>
      <c r="D66" s="6" t="s">
        <v>396</v>
      </c>
      <c r="E66" s="6" t="e">
        <v>#N/A</v>
      </c>
      <c r="F66" s="6" t="s">
        <v>397</v>
      </c>
      <c r="G66" s="6" t="s">
        <v>398</v>
      </c>
      <c r="H66" s="7" t="s">
        <v>399</v>
      </c>
      <c r="I66" s="6">
        <v>3.1999069E7</v>
      </c>
      <c r="J66" s="6" t="s">
        <v>400</v>
      </c>
      <c r="K66" s="6" t="str">
        <f>VLOOKUP(A66,Sheet4!$A:$H,7,0)</f>
        <v>Original Mattress</v>
      </c>
      <c r="L66" s="6" t="str">
        <f>VLOOKUP(B66,Sheet4!$A:$H,8,0)</f>
        <v>Mattress</v>
      </c>
      <c r="M66" s="6">
        <v>18499.0</v>
      </c>
      <c r="N66" s="8">
        <v>14984.0</v>
      </c>
      <c r="O66" s="9">
        <v>16099.0</v>
      </c>
      <c r="P66" s="10">
        <v>14059.24</v>
      </c>
    </row>
    <row r="67">
      <c r="A67" s="6" t="s">
        <v>401</v>
      </c>
      <c r="B67" s="6" t="s">
        <v>401</v>
      </c>
      <c r="C67" s="6" t="s">
        <v>402</v>
      </c>
      <c r="D67" s="6" t="s">
        <v>403</v>
      </c>
      <c r="E67" s="6" t="e">
        <v>#N/A</v>
      </c>
      <c r="F67" s="6" t="s">
        <v>401</v>
      </c>
      <c r="G67" s="6" t="s">
        <v>404</v>
      </c>
      <c r="H67" s="7" t="s">
        <v>405</v>
      </c>
      <c r="I67" s="6">
        <v>3.2783896E7</v>
      </c>
      <c r="J67" s="6" t="e">
        <v>#N/A</v>
      </c>
      <c r="K67" s="6" t="str">
        <f>VLOOKUP(A67,Sheet4!$A:$H,7,0)</f>
        <v>Original Mattress</v>
      </c>
      <c r="L67" s="6" t="str">
        <f>VLOOKUP(B67,Sheet4!$A:$H,8,0)</f>
        <v>Mattress</v>
      </c>
      <c r="M67" s="6">
        <v>19799.0</v>
      </c>
      <c r="N67" s="8">
        <v>16037.0</v>
      </c>
      <c r="O67" s="9">
        <v>17199.0</v>
      </c>
      <c r="P67" s="10">
        <v>15047.24</v>
      </c>
    </row>
    <row r="68">
      <c r="A68" s="6" t="s">
        <v>406</v>
      </c>
      <c r="B68" s="6" t="s">
        <v>406</v>
      </c>
      <c r="C68" s="6" t="s">
        <v>407</v>
      </c>
      <c r="D68" s="6" t="s">
        <v>408</v>
      </c>
      <c r="E68" s="6" t="e">
        <v>#N/A</v>
      </c>
      <c r="F68" s="6" t="s">
        <v>409</v>
      </c>
      <c r="G68" s="6" t="s">
        <v>410</v>
      </c>
      <c r="H68" s="7" t="s">
        <v>411</v>
      </c>
      <c r="I68" s="6">
        <v>3.2783971E7</v>
      </c>
      <c r="J68" s="6" t="e">
        <v>#N/A</v>
      </c>
      <c r="K68" s="6" t="str">
        <f>VLOOKUP(A68,Sheet4!$A:$H,7,0)</f>
        <v>Original Mattress</v>
      </c>
      <c r="L68" s="6" t="str">
        <f>VLOOKUP(B68,Sheet4!$A:$H,8,0)</f>
        <v>Mattress</v>
      </c>
      <c r="M68" s="6">
        <v>19999.0</v>
      </c>
      <c r="N68" s="8">
        <v>16199.0</v>
      </c>
      <c r="O68" s="9">
        <v>17399.0</v>
      </c>
      <c r="P68" s="10">
        <v>15199.24</v>
      </c>
    </row>
    <row r="69">
      <c r="A69" s="6" t="s">
        <v>412</v>
      </c>
      <c r="B69" s="6" t="s">
        <v>412</v>
      </c>
      <c r="C69" s="6" t="s">
        <v>413</v>
      </c>
      <c r="D69" s="6" t="s">
        <v>414</v>
      </c>
      <c r="E69" s="6" t="e">
        <v>#N/A</v>
      </c>
      <c r="F69" s="6">
        <v>0.0</v>
      </c>
      <c r="G69" s="6" t="s">
        <v>415</v>
      </c>
      <c r="H69" s="7" t="s">
        <v>416</v>
      </c>
      <c r="I69" s="6">
        <v>3.2783869E7</v>
      </c>
      <c r="J69" s="6" t="e">
        <v>#N/A</v>
      </c>
      <c r="K69" s="6" t="str">
        <f>VLOOKUP(A69,Sheet4!$A:$H,7,0)</f>
        <v>Original Mattress</v>
      </c>
      <c r="L69" s="6" t="str">
        <f>VLOOKUP(B69,Sheet4!$A:$H,8,0)</f>
        <v>Mattress</v>
      </c>
      <c r="M69" s="6">
        <v>20699.0</v>
      </c>
      <c r="N69" s="8">
        <v>16766.0</v>
      </c>
      <c r="O69" s="9">
        <v>17999.0</v>
      </c>
      <c r="P69" s="10">
        <v>15731.24</v>
      </c>
    </row>
    <row r="70">
      <c r="A70" s="6" t="s">
        <v>417</v>
      </c>
      <c r="B70" s="6" t="s">
        <v>417</v>
      </c>
      <c r="C70" s="6" t="s">
        <v>418</v>
      </c>
      <c r="D70" s="6" t="s">
        <v>419</v>
      </c>
      <c r="E70" s="6" t="e">
        <v>#N/A</v>
      </c>
      <c r="F70" s="6">
        <v>0.0</v>
      </c>
      <c r="G70" s="6" t="s">
        <v>420</v>
      </c>
      <c r="H70" s="7" t="s">
        <v>421</v>
      </c>
      <c r="I70" s="6" t="e">
        <v>#N/A</v>
      </c>
      <c r="J70" s="6" t="e">
        <v>#N/A</v>
      </c>
      <c r="K70" s="6" t="str">
        <f>VLOOKUP(A70,Sheet4!$A:$H,7,0)</f>
        <v>Original Mattress</v>
      </c>
      <c r="L70" s="6" t="str">
        <f>VLOOKUP(B70,Sheet4!$A:$H,8,0)</f>
        <v>Mattress</v>
      </c>
      <c r="M70" s="6">
        <v>20999.0</v>
      </c>
      <c r="N70" s="8">
        <v>17009.0</v>
      </c>
      <c r="O70" s="9">
        <v>18299.0</v>
      </c>
      <c r="P70" s="10">
        <v>15959.24</v>
      </c>
    </row>
    <row r="71">
      <c r="A71" s="6" t="s">
        <v>422</v>
      </c>
      <c r="B71" s="6" t="s">
        <v>422</v>
      </c>
      <c r="C71" s="6" t="s">
        <v>423</v>
      </c>
      <c r="D71" s="6" t="s">
        <v>424</v>
      </c>
      <c r="E71" s="6" t="e">
        <v>#N/A</v>
      </c>
      <c r="F71" s="6" t="s">
        <v>425</v>
      </c>
      <c r="G71" s="6" t="s">
        <v>426</v>
      </c>
      <c r="H71" s="7" t="s">
        <v>427</v>
      </c>
      <c r="I71" s="6">
        <v>3.2784058E7</v>
      </c>
      <c r="J71" s="6" t="s">
        <v>428</v>
      </c>
      <c r="K71" s="6" t="str">
        <f>VLOOKUP(A71,Sheet4!$A:$H,7,0)</f>
        <v>Original Mattress</v>
      </c>
      <c r="L71" s="6" t="str">
        <f>VLOOKUP(B71,Sheet4!$A:$H,8,0)</f>
        <v>Mattress</v>
      </c>
      <c r="M71" s="6">
        <v>19799.0</v>
      </c>
      <c r="N71" s="8">
        <v>16037.0</v>
      </c>
      <c r="O71" s="9">
        <v>17199.0</v>
      </c>
      <c r="P71" s="10">
        <v>15047.24</v>
      </c>
    </row>
    <row r="72">
      <c r="A72" s="6" t="s">
        <v>429</v>
      </c>
      <c r="B72" s="6" t="s">
        <v>429</v>
      </c>
      <c r="C72" s="6" t="s">
        <v>430</v>
      </c>
      <c r="D72" s="6" t="s">
        <v>431</v>
      </c>
      <c r="E72" s="6" t="e">
        <v>#N/A</v>
      </c>
      <c r="F72" s="6" t="s">
        <v>432</v>
      </c>
      <c r="G72" s="6" t="s">
        <v>433</v>
      </c>
      <c r="H72" s="7" t="s">
        <v>434</v>
      </c>
      <c r="I72" s="6">
        <v>3.278419E7</v>
      </c>
      <c r="J72" s="6" t="s">
        <v>435</v>
      </c>
      <c r="K72" s="6" t="str">
        <f>VLOOKUP(A72,Sheet4!$A:$H,7,0)</f>
        <v>Original Mattress</v>
      </c>
      <c r="L72" s="6" t="str">
        <f>VLOOKUP(B72,Sheet4!$A:$H,8,0)</f>
        <v>Mattress</v>
      </c>
      <c r="M72" s="6">
        <v>20699.0</v>
      </c>
      <c r="N72" s="8">
        <v>16766.0</v>
      </c>
      <c r="O72" s="9">
        <v>17999.0</v>
      </c>
      <c r="P72" s="10">
        <v>15731.24</v>
      </c>
    </row>
    <row r="73">
      <c r="A73" s="6" t="s">
        <v>436</v>
      </c>
      <c r="B73" s="11" t="s">
        <v>436</v>
      </c>
      <c r="C73" s="6" t="s">
        <v>437</v>
      </c>
      <c r="D73" s="6" t="s">
        <v>438</v>
      </c>
      <c r="E73" s="6" t="e">
        <v>#N/A</v>
      </c>
      <c r="F73" s="6" t="s">
        <v>439</v>
      </c>
      <c r="G73" s="6" t="s">
        <v>440</v>
      </c>
      <c r="H73" s="7" t="s">
        <v>441</v>
      </c>
      <c r="I73" s="6">
        <v>3.2783909E7</v>
      </c>
      <c r="J73" s="6" t="s">
        <v>442</v>
      </c>
      <c r="K73" s="6" t="str">
        <f>VLOOKUP(A73,Sheet4!$A:$H,7,0)</f>
        <v>Original Mattress</v>
      </c>
      <c r="L73" s="6" t="str">
        <f>VLOOKUP(B73,Sheet4!$A:$H,8,0)</f>
        <v>Mattress</v>
      </c>
      <c r="M73" s="6">
        <v>20799.0</v>
      </c>
      <c r="N73" s="8">
        <v>16847.0</v>
      </c>
      <c r="O73" s="9">
        <v>18099.0</v>
      </c>
      <c r="P73" s="10">
        <v>15807.24</v>
      </c>
    </row>
    <row r="74">
      <c r="A74" s="6" t="s">
        <v>443</v>
      </c>
      <c r="B74" s="6" t="s">
        <v>443</v>
      </c>
      <c r="C74" s="6" t="s">
        <v>444</v>
      </c>
      <c r="D74" s="6" t="s">
        <v>445</v>
      </c>
      <c r="E74" s="6" t="e">
        <v>#N/A</v>
      </c>
      <c r="F74" s="6" t="s">
        <v>446</v>
      </c>
      <c r="G74" s="6" t="s">
        <v>447</v>
      </c>
      <c r="H74" s="7" t="s">
        <v>448</v>
      </c>
      <c r="I74" s="6">
        <v>3.2784045E7</v>
      </c>
      <c r="J74" s="6" t="e">
        <v>#N/A</v>
      </c>
      <c r="K74" s="6" t="str">
        <f>VLOOKUP(A74,Sheet4!$A:$H,7,0)</f>
        <v>Original Mattress</v>
      </c>
      <c r="L74" s="6" t="str">
        <f>VLOOKUP(B74,Sheet4!$A:$H,8,0)</f>
        <v>Mattress</v>
      </c>
      <c r="M74" s="6">
        <v>22399.0</v>
      </c>
      <c r="N74" s="8">
        <v>18143.0</v>
      </c>
      <c r="O74" s="9">
        <v>19499.0</v>
      </c>
      <c r="P74" s="10">
        <v>17023.24</v>
      </c>
    </row>
    <row r="75">
      <c r="A75" s="6" t="s">
        <v>449</v>
      </c>
      <c r="B75" s="6" t="s">
        <v>449</v>
      </c>
      <c r="C75" s="6" t="s">
        <v>450</v>
      </c>
      <c r="D75" s="6" t="s">
        <v>451</v>
      </c>
      <c r="E75" s="6" t="e">
        <v>#N/A</v>
      </c>
      <c r="F75" s="6" t="s">
        <v>452</v>
      </c>
      <c r="G75" s="6" t="s">
        <v>453</v>
      </c>
      <c r="H75" s="7" t="s">
        <v>454</v>
      </c>
      <c r="I75" s="6">
        <v>3.2784067E7</v>
      </c>
      <c r="J75" s="6" t="e">
        <v>#N/A</v>
      </c>
      <c r="K75" s="6" t="str">
        <f>VLOOKUP(A75,Sheet4!$A:$H,7,0)</f>
        <v>Original Mattress</v>
      </c>
      <c r="L75" s="6" t="str">
        <f>VLOOKUP(B75,Sheet4!$A:$H,8,0)</f>
        <v>Mattress</v>
      </c>
      <c r="M75" s="6">
        <v>21499.0</v>
      </c>
      <c r="N75" s="8">
        <v>17414.0</v>
      </c>
      <c r="O75" s="9">
        <v>18699.0</v>
      </c>
      <c r="P75" s="10">
        <v>16339.24</v>
      </c>
    </row>
    <row r="76">
      <c r="A76" s="6" t="s">
        <v>455</v>
      </c>
      <c r="B76" s="6" t="s">
        <v>455</v>
      </c>
      <c r="C76" s="6" t="s">
        <v>456</v>
      </c>
      <c r="D76" s="6" t="s">
        <v>457</v>
      </c>
      <c r="E76" s="6" t="e">
        <v>#N/A</v>
      </c>
      <c r="F76" s="6" t="s">
        <v>458</v>
      </c>
      <c r="G76" s="6" t="s">
        <v>459</v>
      </c>
      <c r="H76" s="7" t="s">
        <v>460</v>
      </c>
      <c r="I76" s="6">
        <v>3.2784218E7</v>
      </c>
      <c r="J76" s="6" t="e">
        <v>#N/A</v>
      </c>
      <c r="K76" s="6" t="str">
        <f>VLOOKUP(A76,Sheet4!$A:$H,7,0)</f>
        <v>Original Mattress</v>
      </c>
      <c r="L76" s="6" t="str">
        <f>VLOOKUP(B76,Sheet4!$A:$H,8,0)</f>
        <v>Mattress</v>
      </c>
      <c r="M76" s="6">
        <v>23499.0</v>
      </c>
      <c r="N76" s="8">
        <v>19034.0</v>
      </c>
      <c r="O76" s="9">
        <v>20399.0</v>
      </c>
      <c r="P76" s="10">
        <v>17859.24</v>
      </c>
    </row>
    <row r="77">
      <c r="A77" s="6" t="s">
        <v>461</v>
      </c>
      <c r="B77" s="6" t="s">
        <v>461</v>
      </c>
      <c r="C77" s="6" t="s">
        <v>462</v>
      </c>
      <c r="D77" s="6" t="s">
        <v>463</v>
      </c>
      <c r="E77" s="6" t="e">
        <v>#N/A</v>
      </c>
      <c r="F77" s="6">
        <v>0.0</v>
      </c>
      <c r="G77" s="6" t="s">
        <v>464</v>
      </c>
      <c r="H77" s="7" t="s">
        <v>465</v>
      </c>
      <c r="I77" s="6" t="e">
        <v>#N/A</v>
      </c>
      <c r="J77" s="6" t="e">
        <v>#N/A</v>
      </c>
      <c r="K77" s="6" t="str">
        <f>VLOOKUP(A77,Sheet4!$A:$H,7,0)</f>
        <v>Original Mattress</v>
      </c>
      <c r="L77" s="6" t="str">
        <f>VLOOKUP(B77,Sheet4!$A:$H,8,0)</f>
        <v>Mattress</v>
      </c>
      <c r="M77" s="6">
        <v>24999.0</v>
      </c>
      <c r="N77" s="8">
        <v>20249.0</v>
      </c>
      <c r="O77" s="9">
        <v>21699.0</v>
      </c>
      <c r="P77" s="10">
        <v>18999.24</v>
      </c>
    </row>
    <row r="78">
      <c r="A78" s="6" t="s">
        <v>466</v>
      </c>
      <c r="B78" s="6" t="s">
        <v>466</v>
      </c>
      <c r="C78" s="6" t="s">
        <v>467</v>
      </c>
      <c r="D78" s="6" t="s">
        <v>468</v>
      </c>
      <c r="E78" s="6" t="e">
        <v>#N/A</v>
      </c>
      <c r="F78" s="6">
        <v>0.0</v>
      </c>
      <c r="G78" s="6" t="s">
        <v>469</v>
      </c>
      <c r="H78" s="7" t="s">
        <v>470</v>
      </c>
      <c r="I78" s="6" t="e">
        <v>#N/A</v>
      </c>
      <c r="J78" s="6" t="e">
        <v>#N/A</v>
      </c>
      <c r="K78" s="6" t="str">
        <f>VLOOKUP(A78,Sheet4!$A:$H,7,0)</f>
        <v>Original Mattress</v>
      </c>
      <c r="L78" s="6" t="str">
        <f>VLOOKUP(B78,Sheet4!$A:$H,8,0)</f>
        <v>Mattress</v>
      </c>
      <c r="M78" s="6">
        <v>18999.0</v>
      </c>
      <c r="N78" s="8">
        <v>15389.0</v>
      </c>
      <c r="O78" s="9">
        <v>16499.0</v>
      </c>
      <c r="P78" s="10">
        <v>14439.24</v>
      </c>
    </row>
    <row r="79">
      <c r="A79" s="6" t="s">
        <v>471</v>
      </c>
      <c r="B79" s="6" t="s">
        <v>471</v>
      </c>
      <c r="C79" s="6" t="s">
        <v>472</v>
      </c>
      <c r="D79" s="6" t="s">
        <v>473</v>
      </c>
      <c r="E79" s="6" t="e">
        <v>#N/A</v>
      </c>
      <c r="F79" s="6">
        <v>0.0</v>
      </c>
      <c r="G79" s="6" t="s">
        <v>474</v>
      </c>
      <c r="H79" s="7" t="s">
        <v>475</v>
      </c>
      <c r="I79" s="6" t="e">
        <v>#N/A</v>
      </c>
      <c r="J79" s="6" t="e">
        <v>#N/A</v>
      </c>
      <c r="K79" s="6" t="str">
        <f>VLOOKUP(A79,Sheet4!$A:$H,7,0)</f>
        <v>Original Mattress</v>
      </c>
      <c r="L79" s="6" t="str">
        <f>VLOOKUP(B79,Sheet4!$A:$H,8,0)</f>
        <v>Mattress</v>
      </c>
      <c r="M79" s="6">
        <v>21999.0</v>
      </c>
      <c r="N79" s="8">
        <v>17819.0</v>
      </c>
      <c r="O79" s="9">
        <v>19099.0</v>
      </c>
      <c r="P79" s="10">
        <v>16719.24</v>
      </c>
    </row>
    <row r="80">
      <c r="A80" s="6" t="s">
        <v>476</v>
      </c>
      <c r="B80" s="6" t="s">
        <v>476</v>
      </c>
      <c r="C80" s="6" t="s">
        <v>477</v>
      </c>
      <c r="D80" s="6" t="s">
        <v>478</v>
      </c>
      <c r="E80" s="6" t="e">
        <v>#N/A</v>
      </c>
      <c r="F80" s="6">
        <v>0.0</v>
      </c>
      <c r="G80" s="6" t="s">
        <v>479</v>
      </c>
      <c r="H80" s="7" t="s">
        <v>480</v>
      </c>
      <c r="I80" s="6" t="e">
        <v>#N/A</v>
      </c>
      <c r="J80" s="6" t="e">
        <v>#N/A</v>
      </c>
      <c r="K80" s="6" t="str">
        <f>VLOOKUP(A80,Sheet4!$A:$H,7,0)</f>
        <v>Original Mattress</v>
      </c>
      <c r="L80" s="6" t="str">
        <f>VLOOKUP(B80,Sheet4!$A:$H,8,0)</f>
        <v>Mattress</v>
      </c>
      <c r="M80" s="6">
        <v>25999.0</v>
      </c>
      <c r="N80" s="8">
        <v>21059.0</v>
      </c>
      <c r="O80" s="9">
        <v>22599.0</v>
      </c>
      <c r="P80" s="10">
        <v>19759.24</v>
      </c>
    </row>
    <row r="81">
      <c r="A81" s="6" t="s">
        <v>481</v>
      </c>
      <c r="B81" s="6" t="s">
        <v>481</v>
      </c>
      <c r="C81" s="6" t="s">
        <v>482</v>
      </c>
      <c r="D81" s="6" t="s">
        <v>483</v>
      </c>
      <c r="E81" s="6" t="e">
        <v>#N/A</v>
      </c>
      <c r="F81" s="6">
        <v>0.0</v>
      </c>
      <c r="G81" s="6" t="s">
        <v>484</v>
      </c>
      <c r="H81" s="7" t="s">
        <v>485</v>
      </c>
      <c r="I81" s="6" t="e">
        <v>#N/A</v>
      </c>
      <c r="J81" s="6" t="s">
        <v>486</v>
      </c>
      <c r="K81" s="6" t="str">
        <f>VLOOKUP(A81,Sheet4!$A:$H,7,0)</f>
        <v>Original Mattress</v>
      </c>
      <c r="L81" s="6" t="str">
        <f>VLOOKUP(B81,Sheet4!$A:$H,8,0)</f>
        <v>Mattress</v>
      </c>
      <c r="M81" s="6">
        <v>13879.0</v>
      </c>
      <c r="N81" s="8">
        <v>11242.0</v>
      </c>
      <c r="O81" s="9">
        <v>12099.0</v>
      </c>
      <c r="P81" s="10">
        <v>10548.04</v>
      </c>
    </row>
    <row r="82">
      <c r="A82" s="6" t="s">
        <v>487</v>
      </c>
      <c r="B82" s="6" t="s">
        <v>487</v>
      </c>
      <c r="C82" s="6" t="s">
        <v>488</v>
      </c>
      <c r="D82" s="6" t="s">
        <v>489</v>
      </c>
      <c r="E82" s="6" t="e">
        <v>#N/A</v>
      </c>
      <c r="F82" s="6">
        <v>0.0</v>
      </c>
      <c r="G82" s="6" t="s">
        <v>490</v>
      </c>
      <c r="H82" s="7" t="s">
        <v>491</v>
      </c>
      <c r="I82" s="6" t="e">
        <v>#N/A</v>
      </c>
      <c r="J82" s="6" t="s">
        <v>492</v>
      </c>
      <c r="K82" s="6" t="str">
        <f>VLOOKUP(A82,Sheet4!$A:$H,7,0)</f>
        <v>Original Mattress</v>
      </c>
      <c r="L82" s="6" t="str">
        <f>VLOOKUP(B82,Sheet4!$A:$H,8,0)</f>
        <v>Mattress</v>
      </c>
      <c r="M82" s="6">
        <v>14579.0</v>
      </c>
      <c r="N82" s="8">
        <v>11809.0</v>
      </c>
      <c r="O82" s="9">
        <v>12699.0</v>
      </c>
      <c r="P82" s="10">
        <v>11080.04</v>
      </c>
    </row>
    <row r="83">
      <c r="A83" s="6" t="s">
        <v>493</v>
      </c>
      <c r="B83" s="6" t="s">
        <v>493</v>
      </c>
      <c r="C83" s="6" t="s">
        <v>494</v>
      </c>
      <c r="D83" s="6" t="s">
        <v>495</v>
      </c>
      <c r="E83" s="6" t="e">
        <v>#N/A</v>
      </c>
      <c r="F83" s="6">
        <v>0.0</v>
      </c>
      <c r="G83" s="6" t="s">
        <v>496</v>
      </c>
      <c r="H83" s="7" t="s">
        <v>497</v>
      </c>
      <c r="I83" s="6" t="e">
        <v>#N/A</v>
      </c>
      <c r="J83" s="6" t="s">
        <v>498</v>
      </c>
      <c r="K83" s="6" t="str">
        <f>VLOOKUP(A83,Sheet4!$A:$H,7,0)</f>
        <v>Original Mattress</v>
      </c>
      <c r="L83" s="6" t="str">
        <f>VLOOKUP(B83,Sheet4!$A:$H,8,0)</f>
        <v>Mattress</v>
      </c>
      <c r="M83" s="6">
        <v>14849.0</v>
      </c>
      <c r="N83" s="8">
        <v>12028.0</v>
      </c>
      <c r="O83" s="9">
        <v>12899.0</v>
      </c>
      <c r="P83" s="10">
        <v>11285.24</v>
      </c>
    </row>
    <row r="84">
      <c r="A84" s="6" t="s">
        <v>499</v>
      </c>
      <c r="B84" s="6" t="s">
        <v>499</v>
      </c>
      <c r="C84" s="6" t="s">
        <v>500</v>
      </c>
      <c r="D84" s="6" t="s">
        <v>501</v>
      </c>
      <c r="E84" s="6" t="e">
        <v>#N/A</v>
      </c>
      <c r="F84" s="6">
        <v>0.0</v>
      </c>
      <c r="G84" s="6" t="s">
        <v>502</v>
      </c>
      <c r="H84" s="7" t="s">
        <v>503</v>
      </c>
      <c r="I84" s="6" t="e">
        <v>#N/A</v>
      </c>
      <c r="J84" s="6" t="s">
        <v>504</v>
      </c>
      <c r="K84" s="6" t="str">
        <f>VLOOKUP(A84,Sheet4!$A:$H,7,0)</f>
        <v>Original Mattress</v>
      </c>
      <c r="L84" s="6" t="str">
        <f>VLOOKUP(B84,Sheet4!$A:$H,8,0)</f>
        <v>Mattress</v>
      </c>
      <c r="M84" s="6">
        <v>15689.0</v>
      </c>
      <c r="N84" s="8">
        <v>12708.0</v>
      </c>
      <c r="O84" s="9">
        <v>13599.0</v>
      </c>
      <c r="P84" s="10">
        <v>11923.64</v>
      </c>
    </row>
    <row r="85">
      <c r="A85" s="6" t="s">
        <v>505</v>
      </c>
      <c r="B85" s="6" t="s">
        <v>505</v>
      </c>
      <c r="C85" s="6" t="s">
        <v>506</v>
      </c>
      <c r="D85" s="6" t="s">
        <v>507</v>
      </c>
      <c r="E85" s="6" t="e">
        <v>#N/A</v>
      </c>
      <c r="F85" s="6">
        <v>0.0</v>
      </c>
      <c r="G85" s="6" t="s">
        <v>508</v>
      </c>
      <c r="H85" s="7" t="s">
        <v>509</v>
      </c>
      <c r="I85" s="6" t="e">
        <v>#N/A</v>
      </c>
      <c r="J85" s="6" t="s">
        <v>510</v>
      </c>
      <c r="K85" s="6" t="str">
        <f>VLOOKUP(A85,Sheet4!$A:$H,7,0)</f>
        <v>Original Mattress</v>
      </c>
      <c r="L85" s="6" t="str">
        <f>VLOOKUP(B85,Sheet4!$A:$H,8,0)</f>
        <v>Mattress</v>
      </c>
      <c r="M85" s="6">
        <v>15969.0</v>
      </c>
      <c r="N85" s="8">
        <v>12935.0</v>
      </c>
      <c r="O85" s="9">
        <v>13899.0</v>
      </c>
      <c r="P85" s="10">
        <v>12136.44</v>
      </c>
    </row>
    <row r="86">
      <c r="A86" s="6" t="s">
        <v>511</v>
      </c>
      <c r="B86" s="6" t="s">
        <v>511</v>
      </c>
      <c r="C86" s="6" t="s">
        <v>512</v>
      </c>
      <c r="D86" s="6" t="s">
        <v>513</v>
      </c>
      <c r="E86" s="6" t="e">
        <v>#N/A</v>
      </c>
      <c r="F86" s="6">
        <v>0.0</v>
      </c>
      <c r="G86" s="6" t="s">
        <v>514</v>
      </c>
      <c r="H86" s="7" t="s">
        <v>515</v>
      </c>
      <c r="I86" s="6" t="e">
        <v>#N/A</v>
      </c>
      <c r="J86" s="6" t="s">
        <v>516</v>
      </c>
      <c r="K86" s="6" t="str">
        <f>VLOOKUP(A86,Sheet4!$A:$H,7,0)</f>
        <v>Original Mattress</v>
      </c>
      <c r="L86" s="6" t="str">
        <f>VLOOKUP(B86,Sheet4!$A:$H,8,0)</f>
        <v>Mattress</v>
      </c>
      <c r="M86" s="6">
        <v>16659.0</v>
      </c>
      <c r="N86" s="8">
        <v>13494.0</v>
      </c>
      <c r="O86" s="9">
        <v>14499.0</v>
      </c>
      <c r="P86" s="10">
        <v>12660.84</v>
      </c>
    </row>
    <row r="87">
      <c r="A87" s="6" t="s">
        <v>517</v>
      </c>
      <c r="B87" s="6" t="s">
        <v>517</v>
      </c>
      <c r="C87" s="6" t="s">
        <v>518</v>
      </c>
      <c r="D87" s="6" t="s">
        <v>519</v>
      </c>
      <c r="E87" s="6" t="e">
        <v>#N/A</v>
      </c>
      <c r="F87" s="6">
        <v>0.0</v>
      </c>
      <c r="G87" s="6" t="s">
        <v>520</v>
      </c>
      <c r="H87" s="7" t="s">
        <v>521</v>
      </c>
      <c r="I87" s="6" t="e">
        <v>#N/A</v>
      </c>
      <c r="J87" s="6" t="e">
        <v>#N/A</v>
      </c>
      <c r="K87" s="6" t="str">
        <f>VLOOKUP(A87,Sheet4!$A:$H,7,0)</f>
        <v>Original Mattress</v>
      </c>
      <c r="L87" s="6" t="str">
        <f>VLOOKUP(B87,Sheet4!$A:$H,8,0)</f>
        <v>Mattress</v>
      </c>
      <c r="M87" s="6">
        <v>16659.0</v>
      </c>
      <c r="N87" s="8">
        <v>13494.0</v>
      </c>
      <c r="O87" s="9">
        <v>14499.0</v>
      </c>
      <c r="P87" s="10">
        <v>12660.84</v>
      </c>
    </row>
    <row r="88">
      <c r="A88" s="6" t="s">
        <v>522</v>
      </c>
      <c r="B88" s="6" t="s">
        <v>522</v>
      </c>
      <c r="C88" s="6" t="s">
        <v>523</v>
      </c>
      <c r="D88" s="6" t="s">
        <v>524</v>
      </c>
      <c r="E88" s="6" t="e">
        <v>#N/A</v>
      </c>
      <c r="F88" s="6">
        <v>0.0</v>
      </c>
      <c r="G88" s="6" t="s">
        <v>525</v>
      </c>
      <c r="H88" s="7" t="s">
        <v>526</v>
      </c>
      <c r="I88" s="6" t="e">
        <v>#N/A</v>
      </c>
      <c r="J88" s="6" t="s">
        <v>527</v>
      </c>
      <c r="K88" s="6" t="str">
        <f>VLOOKUP(A88,Sheet4!$A:$H,7,0)</f>
        <v>Original Mattress</v>
      </c>
      <c r="L88" s="6" t="str">
        <f>VLOOKUP(B88,Sheet4!$A:$H,8,0)</f>
        <v>Mattress</v>
      </c>
      <c r="M88" s="6">
        <v>11179.0</v>
      </c>
      <c r="N88" s="8">
        <v>9055.0</v>
      </c>
      <c r="O88" s="9">
        <v>9699.0</v>
      </c>
      <c r="P88" s="10">
        <v>8496.04</v>
      </c>
    </row>
    <row r="89">
      <c r="A89" s="6" t="s">
        <v>528</v>
      </c>
      <c r="B89" s="6" t="s">
        <v>528</v>
      </c>
      <c r="C89" s="6" t="s">
        <v>529</v>
      </c>
      <c r="D89" s="6" t="s">
        <v>530</v>
      </c>
      <c r="E89" s="6" t="e">
        <v>#N/A</v>
      </c>
      <c r="F89" s="6">
        <v>0.0</v>
      </c>
      <c r="G89" s="6" t="s">
        <v>531</v>
      </c>
      <c r="H89" s="7" t="s">
        <v>532</v>
      </c>
      <c r="I89" s="6" t="e">
        <v>#N/A</v>
      </c>
      <c r="J89" s="6" t="s">
        <v>533</v>
      </c>
      <c r="K89" s="6" t="str">
        <f>VLOOKUP(A89,Sheet4!$A:$H,7,0)</f>
        <v>Original Mattress</v>
      </c>
      <c r="L89" s="6" t="str">
        <f>VLOOKUP(B89,Sheet4!$A:$H,8,0)</f>
        <v>Mattress</v>
      </c>
      <c r="M89" s="6">
        <v>11569.0</v>
      </c>
      <c r="N89" s="8">
        <v>9371.0</v>
      </c>
      <c r="O89" s="9">
        <v>10099.0</v>
      </c>
      <c r="P89" s="10">
        <v>8792.44</v>
      </c>
    </row>
    <row r="90">
      <c r="A90" s="6" t="s">
        <v>534</v>
      </c>
      <c r="B90" s="6" t="s">
        <v>534</v>
      </c>
      <c r="C90" s="6" t="s">
        <v>535</v>
      </c>
      <c r="D90" s="6" t="s">
        <v>536</v>
      </c>
      <c r="E90" s="6" t="e">
        <v>#N/A</v>
      </c>
      <c r="F90" s="6">
        <v>0.0</v>
      </c>
      <c r="G90" s="6" t="s">
        <v>537</v>
      </c>
      <c r="H90" s="7" t="s">
        <v>538</v>
      </c>
      <c r="I90" s="6" t="e">
        <v>#N/A</v>
      </c>
      <c r="J90" s="6" t="s">
        <v>539</v>
      </c>
      <c r="K90" s="6" t="str">
        <f>VLOOKUP(A90,Sheet4!$A:$H,7,0)</f>
        <v>Original Mattress</v>
      </c>
      <c r="L90" s="6" t="str">
        <f>VLOOKUP(B90,Sheet4!$A:$H,8,0)</f>
        <v>Mattress</v>
      </c>
      <c r="M90" s="6">
        <v>11839.0</v>
      </c>
      <c r="N90" s="8">
        <v>9590.0</v>
      </c>
      <c r="O90" s="9">
        <v>10299.0</v>
      </c>
      <c r="P90" s="10">
        <v>8997.64</v>
      </c>
    </row>
    <row r="91">
      <c r="A91" s="6" t="s">
        <v>540</v>
      </c>
      <c r="B91" s="6" t="s">
        <v>540</v>
      </c>
      <c r="C91" s="6" t="s">
        <v>541</v>
      </c>
      <c r="D91" s="6" t="s">
        <v>542</v>
      </c>
      <c r="E91" s="6" t="e">
        <v>#N/A</v>
      </c>
      <c r="F91" s="6">
        <v>0.0</v>
      </c>
      <c r="G91" s="6" t="s">
        <v>543</v>
      </c>
      <c r="H91" s="7" t="s">
        <v>544</v>
      </c>
      <c r="I91" s="6" t="e">
        <v>#N/A</v>
      </c>
      <c r="J91" s="6" t="s">
        <v>545</v>
      </c>
      <c r="K91" s="6" t="str">
        <f>VLOOKUP(A91,Sheet4!$A:$H,7,0)</f>
        <v>Original Mattress</v>
      </c>
      <c r="L91" s="6" t="str">
        <f>VLOOKUP(B91,Sheet4!$A:$H,8,0)</f>
        <v>Mattress</v>
      </c>
      <c r="M91" s="6">
        <v>12229.0</v>
      </c>
      <c r="N91" s="8">
        <v>9905.0</v>
      </c>
      <c r="O91" s="9">
        <v>10599.0</v>
      </c>
      <c r="P91" s="10">
        <v>9294.04</v>
      </c>
    </row>
    <row r="92">
      <c r="A92" s="6" t="s">
        <v>546</v>
      </c>
      <c r="B92" s="6" t="s">
        <v>546</v>
      </c>
      <c r="C92" s="6" t="s">
        <v>547</v>
      </c>
      <c r="D92" s="6" t="s">
        <v>548</v>
      </c>
      <c r="E92" s="6" t="e">
        <v>#N/A</v>
      </c>
      <c r="F92" s="6">
        <v>0.0</v>
      </c>
      <c r="G92" s="6" t="s">
        <v>549</v>
      </c>
      <c r="H92" s="7" t="s">
        <v>550</v>
      </c>
      <c r="I92" s="6" t="e">
        <v>#N/A</v>
      </c>
      <c r="J92" s="6" t="s">
        <v>551</v>
      </c>
      <c r="K92" s="6" t="str">
        <f>VLOOKUP(A92,Sheet4!$A:$H,7,0)</f>
        <v>Original Mattress</v>
      </c>
      <c r="L92" s="6" t="str">
        <f>VLOOKUP(B92,Sheet4!$A:$H,8,0)</f>
        <v>Mattress</v>
      </c>
      <c r="M92" s="6">
        <v>12889.0</v>
      </c>
      <c r="N92" s="8">
        <v>10440.0</v>
      </c>
      <c r="O92" s="9">
        <v>11199.0</v>
      </c>
      <c r="P92" s="10">
        <v>9795.64</v>
      </c>
    </row>
    <row r="93">
      <c r="A93" s="6" t="s">
        <v>552</v>
      </c>
      <c r="B93" s="6" t="s">
        <v>552</v>
      </c>
      <c r="C93" s="6" t="s">
        <v>553</v>
      </c>
      <c r="D93" s="6" t="s">
        <v>554</v>
      </c>
      <c r="E93" s="6" t="e">
        <v>#N/A</v>
      </c>
      <c r="F93" s="6">
        <v>0.0</v>
      </c>
      <c r="G93" s="6" t="s">
        <v>555</v>
      </c>
      <c r="H93" s="7" t="s">
        <v>556</v>
      </c>
      <c r="I93" s="6" t="e">
        <v>#N/A</v>
      </c>
      <c r="J93" s="6" t="e">
        <v>#N/A</v>
      </c>
      <c r="K93" s="6" t="str">
        <f>VLOOKUP(A93,Sheet4!$A:$H,7,0)</f>
        <v>Original Mattress</v>
      </c>
      <c r="L93" s="6" t="str">
        <f>VLOOKUP(B93,Sheet4!$A:$H,8,0)</f>
        <v>Mattress</v>
      </c>
      <c r="M93" s="6">
        <v>12889.0</v>
      </c>
      <c r="N93" s="8">
        <v>10440.0</v>
      </c>
      <c r="O93" s="9">
        <v>11199.0</v>
      </c>
      <c r="P93" s="10">
        <v>9795.64</v>
      </c>
    </row>
    <row r="94">
      <c r="A94" s="6" t="s">
        <v>557</v>
      </c>
      <c r="B94" s="6" t="s">
        <v>557</v>
      </c>
      <c r="C94" s="6" t="s">
        <v>558</v>
      </c>
      <c r="D94" s="6" t="s">
        <v>559</v>
      </c>
      <c r="E94" s="6" t="e">
        <v>#N/A</v>
      </c>
      <c r="F94" s="6">
        <v>0.0</v>
      </c>
      <c r="G94" s="6" t="s">
        <v>560</v>
      </c>
      <c r="H94" s="7" t="s">
        <v>561</v>
      </c>
      <c r="I94" s="6" t="e">
        <v>#N/A</v>
      </c>
      <c r="J94" s="6" t="s">
        <v>562</v>
      </c>
      <c r="K94" s="6" t="str">
        <f>VLOOKUP(A94,Sheet4!$A:$H,7,0)</f>
        <v>Original Mattress</v>
      </c>
      <c r="L94" s="6" t="str">
        <f>VLOOKUP(B94,Sheet4!$A:$H,8,0)</f>
        <v>Mattress</v>
      </c>
      <c r="M94" s="6">
        <v>13149.0</v>
      </c>
      <c r="N94" s="8">
        <v>10651.0</v>
      </c>
      <c r="O94" s="9">
        <v>11399.0</v>
      </c>
      <c r="P94" s="10">
        <v>9993.24</v>
      </c>
    </row>
    <row r="95">
      <c r="A95" s="6" t="s">
        <v>563</v>
      </c>
      <c r="B95" s="6" t="s">
        <v>563</v>
      </c>
      <c r="C95" s="6" t="s">
        <v>564</v>
      </c>
      <c r="D95" s="6" t="s">
        <v>565</v>
      </c>
      <c r="E95" s="6" t="e">
        <v>#N/A</v>
      </c>
      <c r="F95" s="6">
        <v>0.0</v>
      </c>
      <c r="G95" s="6" t="s">
        <v>566</v>
      </c>
      <c r="H95" s="7" t="s">
        <v>567</v>
      </c>
      <c r="I95" s="6" t="e">
        <v>#N/A</v>
      </c>
      <c r="J95" s="6" t="s">
        <v>568</v>
      </c>
      <c r="K95" s="6" t="str">
        <f>VLOOKUP(A95,Sheet4!$A:$H,7,0)</f>
        <v>Original Mattress</v>
      </c>
      <c r="L95" s="6" t="str">
        <f>VLOOKUP(B95,Sheet4!$A:$H,8,0)</f>
        <v>Mattress</v>
      </c>
      <c r="M95" s="6">
        <v>17999.0</v>
      </c>
      <c r="N95" s="8">
        <v>14579.0</v>
      </c>
      <c r="O95" s="9">
        <v>15699.0</v>
      </c>
      <c r="P95" s="10">
        <v>13679.24</v>
      </c>
    </row>
    <row r="96">
      <c r="A96" s="6" t="s">
        <v>569</v>
      </c>
      <c r="B96" s="6" t="s">
        <v>569</v>
      </c>
      <c r="C96" s="6" t="s">
        <v>570</v>
      </c>
      <c r="D96" s="6" t="s">
        <v>571</v>
      </c>
      <c r="E96" s="6" t="e">
        <v>#N/A</v>
      </c>
      <c r="F96" s="6" t="s">
        <v>572</v>
      </c>
      <c r="G96" s="6" t="s">
        <v>573</v>
      </c>
      <c r="H96" s="7" t="s">
        <v>574</v>
      </c>
      <c r="I96" s="6">
        <v>3.199906E7</v>
      </c>
      <c r="J96" s="6" t="s">
        <v>575</v>
      </c>
      <c r="K96" s="6" t="str">
        <f>VLOOKUP(A96,Sheet4!$A:$H,7,0)</f>
        <v>Original Mattress</v>
      </c>
      <c r="L96" s="6" t="str">
        <f>VLOOKUP(B96,Sheet4!$A:$H,8,0)</f>
        <v>Mattress</v>
      </c>
      <c r="M96" s="6">
        <v>17999.0</v>
      </c>
      <c r="N96" s="8">
        <v>14579.0</v>
      </c>
      <c r="O96" s="9">
        <v>15699.0</v>
      </c>
      <c r="P96" s="10">
        <v>13679.24</v>
      </c>
    </row>
    <row r="97">
      <c r="A97" s="6" t="s">
        <v>576</v>
      </c>
      <c r="B97" s="6" t="s">
        <v>576</v>
      </c>
      <c r="C97" s="6" t="s">
        <v>577</v>
      </c>
      <c r="D97" s="6" t="s">
        <v>578</v>
      </c>
      <c r="E97" s="6" t="e">
        <v>#N/A</v>
      </c>
      <c r="F97" s="6">
        <v>0.0</v>
      </c>
      <c r="G97" s="6" t="s">
        <v>579</v>
      </c>
      <c r="H97" s="7" t="s">
        <v>580</v>
      </c>
      <c r="I97" s="6" t="e">
        <v>#N/A</v>
      </c>
      <c r="J97" s="6" t="s">
        <v>581</v>
      </c>
      <c r="K97" s="6" t="str">
        <f>VLOOKUP(A97,Sheet4!$A:$H,7,0)</f>
        <v>Original Mattress</v>
      </c>
      <c r="L97" s="6" t="str">
        <f>VLOOKUP(B97,Sheet4!$A:$H,8,0)</f>
        <v>Mattress</v>
      </c>
      <c r="M97" s="6">
        <v>18199.0</v>
      </c>
      <c r="N97" s="8">
        <v>14741.0</v>
      </c>
      <c r="O97" s="9">
        <v>15799.0</v>
      </c>
      <c r="P97" s="10">
        <v>13831.24</v>
      </c>
    </row>
    <row r="98">
      <c r="A98" s="6" t="s">
        <v>582</v>
      </c>
      <c r="B98" s="6" t="s">
        <v>582</v>
      </c>
      <c r="C98" s="6" t="s">
        <v>583</v>
      </c>
      <c r="D98" s="6" t="s">
        <v>584</v>
      </c>
      <c r="E98" s="6" t="s">
        <v>585</v>
      </c>
      <c r="F98" s="6" t="s">
        <v>586</v>
      </c>
      <c r="G98" s="6" t="s">
        <v>587</v>
      </c>
      <c r="H98" s="7" t="s">
        <v>588</v>
      </c>
      <c r="I98" s="6">
        <v>3.1999083E7</v>
      </c>
      <c r="J98" s="6" t="s">
        <v>589</v>
      </c>
      <c r="K98" s="6" t="str">
        <f>VLOOKUP(A98,Sheet4!$A:$H,7,0)</f>
        <v>Original Mattress</v>
      </c>
      <c r="L98" s="6" t="str">
        <f>VLOOKUP(B98,Sheet4!$A:$H,8,0)</f>
        <v>Mattress</v>
      </c>
      <c r="M98" s="6">
        <v>18199.0</v>
      </c>
      <c r="N98" s="8">
        <v>14741.0</v>
      </c>
      <c r="O98" s="9">
        <v>15799.0</v>
      </c>
      <c r="P98" s="10">
        <v>13831.24</v>
      </c>
    </row>
    <row r="99">
      <c r="A99" s="6" t="s">
        <v>590</v>
      </c>
      <c r="B99" s="6" t="s">
        <v>590</v>
      </c>
      <c r="C99" s="6" t="s">
        <v>591</v>
      </c>
      <c r="D99" s="6" t="s">
        <v>592</v>
      </c>
      <c r="E99" s="6" t="e">
        <v>#N/A</v>
      </c>
      <c r="F99" s="6">
        <v>0.0</v>
      </c>
      <c r="G99" s="6" t="s">
        <v>593</v>
      </c>
      <c r="H99" s="7" t="s">
        <v>594</v>
      </c>
      <c r="I99" s="6" t="e">
        <v>#N/A</v>
      </c>
      <c r="J99" s="6" t="s">
        <v>595</v>
      </c>
      <c r="K99" s="6" t="str">
        <f>VLOOKUP(A99,Sheet4!$A:$H,7,0)</f>
        <v>Original Mattress</v>
      </c>
      <c r="L99" s="6" t="str">
        <f>VLOOKUP(B99,Sheet4!$A:$H,8,0)</f>
        <v>Mattress</v>
      </c>
      <c r="M99" s="6">
        <v>18399.0</v>
      </c>
      <c r="N99" s="8">
        <v>14903.0</v>
      </c>
      <c r="O99" s="9">
        <v>15999.0</v>
      </c>
      <c r="P99" s="10">
        <v>13983.24</v>
      </c>
    </row>
    <row r="100">
      <c r="A100" s="6" t="s">
        <v>596</v>
      </c>
      <c r="B100" s="6" t="s">
        <v>596</v>
      </c>
      <c r="C100" s="6" t="s">
        <v>597</v>
      </c>
      <c r="D100" s="6" t="s">
        <v>598</v>
      </c>
      <c r="E100" s="6" t="e">
        <v>#N/A</v>
      </c>
      <c r="F100" s="6">
        <v>0.0</v>
      </c>
      <c r="G100" s="6" t="s">
        <v>599</v>
      </c>
      <c r="H100" s="7" t="s">
        <v>600</v>
      </c>
      <c r="I100" s="6">
        <v>3.1999082E7</v>
      </c>
      <c r="J100" s="6" t="s">
        <v>601</v>
      </c>
      <c r="K100" s="6" t="str">
        <f>VLOOKUP(A100,Sheet4!$A:$H,7,0)</f>
        <v>Original Mattress</v>
      </c>
      <c r="L100" s="6" t="str">
        <f>VLOOKUP(B100,Sheet4!$A:$H,8,0)</f>
        <v>Mattress</v>
      </c>
      <c r="M100" s="6">
        <v>18399.0</v>
      </c>
      <c r="N100" s="8">
        <v>14903.0</v>
      </c>
      <c r="O100" s="9">
        <v>15999.0</v>
      </c>
      <c r="P100" s="10">
        <v>13983.24</v>
      </c>
    </row>
    <row r="101">
      <c r="A101" s="6" t="s">
        <v>602</v>
      </c>
      <c r="B101" s="6" t="s">
        <v>602</v>
      </c>
      <c r="C101" s="6" t="s">
        <v>603</v>
      </c>
      <c r="D101" s="6" t="s">
        <v>604</v>
      </c>
      <c r="E101" s="6" t="e">
        <v>#N/A</v>
      </c>
      <c r="F101" s="6" t="s">
        <v>605</v>
      </c>
      <c r="G101" s="6" t="s">
        <v>606</v>
      </c>
      <c r="H101" s="7" t="s">
        <v>607</v>
      </c>
      <c r="I101" s="6">
        <v>3.2783825E7</v>
      </c>
      <c r="J101" s="6" t="s">
        <v>608</v>
      </c>
      <c r="K101" s="6" t="str">
        <f>VLOOKUP(A101,Sheet4!$A:$H,7,0)</f>
        <v>Original Mattress</v>
      </c>
      <c r="L101" s="6" t="str">
        <f>VLOOKUP(B101,Sheet4!$A:$H,8,0)</f>
        <v>Mattress</v>
      </c>
      <c r="M101" s="6">
        <v>18999.0</v>
      </c>
      <c r="N101" s="8">
        <v>15389.0</v>
      </c>
      <c r="O101" s="9">
        <v>16499.0</v>
      </c>
      <c r="P101" s="10">
        <v>14439.24</v>
      </c>
    </row>
    <row r="102">
      <c r="A102" s="6" t="s">
        <v>609</v>
      </c>
      <c r="B102" s="6" t="s">
        <v>609</v>
      </c>
      <c r="C102" s="6" t="s">
        <v>610</v>
      </c>
      <c r="D102" s="6" t="s">
        <v>611</v>
      </c>
      <c r="E102" s="6" t="e">
        <v>#N/A</v>
      </c>
      <c r="F102" s="6">
        <v>0.0</v>
      </c>
      <c r="G102" s="6" t="s">
        <v>612</v>
      </c>
      <c r="H102" s="7" t="s">
        <v>613</v>
      </c>
      <c r="I102" s="6">
        <v>3.2784113E7</v>
      </c>
      <c r="J102" s="6" t="e">
        <v>#N/A</v>
      </c>
      <c r="K102" s="6" t="str">
        <f>VLOOKUP(A102,Sheet4!$A:$H,7,0)</f>
        <v>Original Mattress</v>
      </c>
      <c r="L102" s="6" t="str">
        <f>VLOOKUP(B102,Sheet4!$A:$H,8,0)</f>
        <v>Mattress</v>
      </c>
      <c r="M102" s="6">
        <v>22999.0</v>
      </c>
      <c r="N102" s="8">
        <v>18629.0</v>
      </c>
      <c r="O102" s="9">
        <v>19999.0</v>
      </c>
      <c r="P102" s="10">
        <v>17479.24</v>
      </c>
    </row>
    <row r="103">
      <c r="A103" s="6" t="s">
        <v>614</v>
      </c>
      <c r="B103" s="6" t="s">
        <v>614</v>
      </c>
      <c r="C103" s="6" t="s">
        <v>615</v>
      </c>
      <c r="D103" s="6" t="s">
        <v>616</v>
      </c>
      <c r="E103" s="6" t="e">
        <v>#N/A</v>
      </c>
      <c r="F103" s="6">
        <v>0.0</v>
      </c>
      <c r="G103" s="6" t="s">
        <v>617</v>
      </c>
      <c r="H103" s="7" t="s">
        <v>618</v>
      </c>
      <c r="I103" s="6" t="e">
        <v>#N/A</v>
      </c>
      <c r="J103" s="6" t="s">
        <v>619</v>
      </c>
      <c r="K103" s="6" t="str">
        <f>VLOOKUP(A103,Sheet4!$A:$H,7,0)</f>
        <v>Original Mattress</v>
      </c>
      <c r="L103" s="6" t="str">
        <f>VLOOKUP(B103,Sheet4!$A:$H,8,0)</f>
        <v>Mattress</v>
      </c>
      <c r="M103" s="6">
        <v>20399.0</v>
      </c>
      <c r="N103" s="8">
        <v>16523.0</v>
      </c>
      <c r="O103" s="9">
        <v>17699.0</v>
      </c>
      <c r="P103" s="10">
        <v>15503.24</v>
      </c>
    </row>
    <row r="104">
      <c r="A104" s="6" t="s">
        <v>620</v>
      </c>
      <c r="B104" s="6" t="s">
        <v>620</v>
      </c>
      <c r="C104" s="6" t="s">
        <v>621</v>
      </c>
      <c r="D104" s="6" t="s">
        <v>622</v>
      </c>
      <c r="E104" s="6" t="e">
        <v>#N/A</v>
      </c>
      <c r="F104" s="6" t="s">
        <v>623</v>
      </c>
      <c r="G104" s="6" t="s">
        <v>624</v>
      </c>
      <c r="H104" s="7" t="s">
        <v>625</v>
      </c>
      <c r="I104" s="6">
        <v>3.1999079E7</v>
      </c>
      <c r="J104" s="6" t="s">
        <v>626</v>
      </c>
      <c r="K104" s="6" t="str">
        <f>VLOOKUP(A104,Sheet4!$A:$H,7,0)</f>
        <v>Original Mattress</v>
      </c>
      <c r="L104" s="6" t="str">
        <f>VLOOKUP(B104,Sheet4!$A:$H,8,0)</f>
        <v>Mattress</v>
      </c>
      <c r="M104" s="6">
        <v>20399.0</v>
      </c>
      <c r="N104" s="8">
        <v>16523.0</v>
      </c>
      <c r="O104" s="9">
        <v>17699.0</v>
      </c>
      <c r="P104" s="10">
        <v>15503.24</v>
      </c>
    </row>
    <row r="105">
      <c r="A105" s="6" t="s">
        <v>627</v>
      </c>
      <c r="B105" s="6" t="s">
        <v>627</v>
      </c>
      <c r="C105" s="6" t="s">
        <v>628</v>
      </c>
      <c r="D105" s="6" t="s">
        <v>629</v>
      </c>
      <c r="E105" s="6" t="e">
        <v>#N/A</v>
      </c>
      <c r="F105" s="6">
        <v>0.0</v>
      </c>
      <c r="G105" s="6" t="s">
        <v>630</v>
      </c>
      <c r="H105" s="7" t="s">
        <v>631</v>
      </c>
      <c r="I105" s="6" t="e">
        <v>#N/A</v>
      </c>
      <c r="J105" s="6" t="e">
        <v>#REF!</v>
      </c>
      <c r="K105" s="6" t="str">
        <f>VLOOKUP(A105,Sheet4!$A:$H,7,0)</f>
        <v>Original Mattress</v>
      </c>
      <c r="L105" s="6" t="str">
        <f>VLOOKUP(B105,Sheet4!$A:$H,8,0)</f>
        <v>Mattress</v>
      </c>
      <c r="M105" s="6">
        <v>20899.0</v>
      </c>
      <c r="N105" s="8">
        <v>16928.0</v>
      </c>
      <c r="O105" s="9">
        <v>18199.0</v>
      </c>
      <c r="P105" s="10">
        <v>15883.24</v>
      </c>
    </row>
    <row r="106">
      <c r="A106" s="6" t="s">
        <v>632</v>
      </c>
      <c r="B106" s="6" t="s">
        <v>632</v>
      </c>
      <c r="C106" s="6" t="s">
        <v>633</v>
      </c>
      <c r="D106" s="6" t="s">
        <v>634</v>
      </c>
      <c r="E106" s="6" t="e">
        <v>#N/A</v>
      </c>
      <c r="F106" s="6" t="s">
        <v>635</v>
      </c>
      <c r="G106" s="6" t="s">
        <v>636</v>
      </c>
      <c r="H106" s="7" t="s">
        <v>637</v>
      </c>
      <c r="I106" s="6">
        <v>3.1999059E7</v>
      </c>
      <c r="J106" s="6" t="s">
        <v>638</v>
      </c>
      <c r="K106" s="6" t="str">
        <f>VLOOKUP(A106,Sheet4!$A:$H,7,0)</f>
        <v>Original Mattress</v>
      </c>
      <c r="L106" s="6" t="str">
        <f>VLOOKUP(B106,Sheet4!$A:$H,8,0)</f>
        <v>Mattress</v>
      </c>
      <c r="M106" s="6">
        <v>20899.0</v>
      </c>
      <c r="N106" s="8">
        <v>16928.0</v>
      </c>
      <c r="O106" s="9">
        <v>18199.0</v>
      </c>
      <c r="P106" s="10">
        <v>15883.24</v>
      </c>
    </row>
    <row r="107">
      <c r="A107" s="6" t="s">
        <v>639</v>
      </c>
      <c r="B107" s="6" t="s">
        <v>639</v>
      </c>
      <c r="C107" s="6" t="s">
        <v>640</v>
      </c>
      <c r="D107" s="6" t="s">
        <v>641</v>
      </c>
      <c r="E107" s="6" t="e">
        <v>#N/A</v>
      </c>
      <c r="F107" s="6" t="s">
        <v>642</v>
      </c>
      <c r="G107" s="6" t="s">
        <v>643</v>
      </c>
      <c r="H107" s="7" t="s">
        <v>644</v>
      </c>
      <c r="I107" s="6">
        <v>3.1999064E7</v>
      </c>
      <c r="J107" s="6" t="s">
        <v>645</v>
      </c>
      <c r="K107" s="6" t="str">
        <f>VLOOKUP(A107,Sheet4!$A:$H,7,0)</f>
        <v>Original Mattress</v>
      </c>
      <c r="L107" s="6" t="str">
        <f>VLOOKUP(B107,Sheet4!$A:$H,8,0)</f>
        <v>Mattress</v>
      </c>
      <c r="M107" s="6">
        <v>21199.0</v>
      </c>
      <c r="N107" s="8">
        <v>17171.0</v>
      </c>
      <c r="O107" s="9">
        <v>18399.0</v>
      </c>
      <c r="P107" s="10">
        <v>16111.24</v>
      </c>
    </row>
    <row r="108">
      <c r="A108" s="6" t="s">
        <v>646</v>
      </c>
      <c r="B108" s="6" t="s">
        <v>646</v>
      </c>
      <c r="C108" s="6" t="s">
        <v>647</v>
      </c>
      <c r="D108" s="6" t="s">
        <v>648</v>
      </c>
      <c r="E108" s="6" t="e">
        <v>#N/A</v>
      </c>
      <c r="F108" s="6">
        <v>0.0</v>
      </c>
      <c r="G108" s="6" t="s">
        <v>649</v>
      </c>
      <c r="H108" s="7" t="s">
        <v>650</v>
      </c>
      <c r="I108" s="6" t="e">
        <v>#N/A</v>
      </c>
      <c r="J108" s="6" t="s">
        <v>651</v>
      </c>
      <c r="K108" s="6" t="str">
        <f>VLOOKUP(A108,Sheet4!$A:$H,7,0)</f>
        <v>Original Mattress</v>
      </c>
      <c r="L108" s="6" t="str">
        <f>VLOOKUP(B108,Sheet4!$A:$H,8,0)</f>
        <v>Mattress</v>
      </c>
      <c r="M108" s="6">
        <v>21199.0</v>
      </c>
      <c r="N108" s="8">
        <v>17171.0</v>
      </c>
      <c r="O108" s="9">
        <v>18399.0</v>
      </c>
      <c r="P108" s="10">
        <v>16111.24</v>
      </c>
    </row>
    <row r="109">
      <c r="A109" s="6" t="s">
        <v>652</v>
      </c>
      <c r="B109" s="6" t="s">
        <v>652</v>
      </c>
      <c r="C109" s="6" t="s">
        <v>653</v>
      </c>
      <c r="D109" s="6" t="s">
        <v>654</v>
      </c>
      <c r="E109" s="6" t="e">
        <v>#N/A</v>
      </c>
      <c r="F109" s="6" t="s">
        <v>655</v>
      </c>
      <c r="G109" s="6" t="s">
        <v>656</v>
      </c>
      <c r="H109" s="7" t="s">
        <v>657</v>
      </c>
      <c r="I109" s="6">
        <v>3.2784174E7</v>
      </c>
      <c r="J109" s="6" t="s">
        <v>658</v>
      </c>
      <c r="K109" s="6" t="str">
        <f>VLOOKUP(A109,Sheet4!$A:$H,7,0)</f>
        <v>Original Mattress</v>
      </c>
      <c r="L109" s="6" t="str">
        <f>VLOOKUP(B109,Sheet4!$A:$H,8,0)</f>
        <v>Mattress</v>
      </c>
      <c r="M109" s="6">
        <v>21999.0</v>
      </c>
      <c r="N109" s="8">
        <v>17819.0</v>
      </c>
      <c r="O109" s="9">
        <v>19099.0</v>
      </c>
      <c r="P109" s="10">
        <v>16719.24</v>
      </c>
    </row>
    <row r="110">
      <c r="A110" s="6" t="s">
        <v>659</v>
      </c>
      <c r="B110" s="6" t="s">
        <v>659</v>
      </c>
      <c r="C110" s="6" t="s">
        <v>660</v>
      </c>
      <c r="D110" s="6" t="s">
        <v>661</v>
      </c>
      <c r="E110" s="6" t="e">
        <v>#N/A</v>
      </c>
      <c r="F110" s="6">
        <v>0.0</v>
      </c>
      <c r="G110" s="6">
        <v>0.0</v>
      </c>
      <c r="H110" s="7" t="s">
        <v>662</v>
      </c>
      <c r="I110" s="6">
        <v>3.2784198E7</v>
      </c>
      <c r="J110" s="6" t="e">
        <v>#N/A</v>
      </c>
      <c r="K110" s="6" t="str">
        <f>VLOOKUP(A110,Sheet4!$A:$H,7,0)</f>
        <v>Original Mattress</v>
      </c>
      <c r="L110" s="6" t="str">
        <f>VLOOKUP(B110,Sheet4!$A:$H,8,0)</f>
        <v>Mattress</v>
      </c>
      <c r="M110" s="6">
        <v>25999.0</v>
      </c>
      <c r="N110" s="8">
        <v>21059.0</v>
      </c>
      <c r="O110" s="9">
        <v>22599.0</v>
      </c>
      <c r="P110" s="10">
        <v>19759.24</v>
      </c>
    </row>
    <row r="111">
      <c r="A111" s="6" t="s">
        <v>663</v>
      </c>
      <c r="B111" s="6" t="s">
        <v>663</v>
      </c>
      <c r="C111" s="6" t="s">
        <v>664</v>
      </c>
      <c r="D111" s="6" t="s">
        <v>665</v>
      </c>
      <c r="E111" s="6" t="e">
        <v>#N/A</v>
      </c>
      <c r="F111" s="6">
        <v>0.0</v>
      </c>
      <c r="G111" s="6" t="s">
        <v>666</v>
      </c>
      <c r="H111" s="7" t="s">
        <v>667</v>
      </c>
      <c r="I111" s="6" t="e">
        <v>#N/A</v>
      </c>
      <c r="J111" s="6" t="e">
        <v>#REF!</v>
      </c>
      <c r="K111" s="6" t="str">
        <f>VLOOKUP(A111,Sheet4!$A:$H,7,0)</f>
        <v>Original Mattress</v>
      </c>
      <c r="L111" s="6" t="str">
        <f>VLOOKUP(B111,Sheet4!$A:$H,8,0)</f>
        <v>Mattress</v>
      </c>
      <c r="M111" s="6">
        <v>22999.0</v>
      </c>
      <c r="N111" s="8">
        <v>18629.0</v>
      </c>
      <c r="O111" s="9">
        <v>19999.0</v>
      </c>
      <c r="P111" s="10">
        <v>17479.24</v>
      </c>
    </row>
    <row r="112">
      <c r="A112" s="6" t="s">
        <v>668</v>
      </c>
      <c r="B112" s="6" t="s">
        <v>668</v>
      </c>
      <c r="C112" s="6" t="s">
        <v>669</v>
      </c>
      <c r="D112" s="6" t="s">
        <v>670</v>
      </c>
      <c r="E112" s="6" t="e">
        <v>#N/A</v>
      </c>
      <c r="F112" s="6" t="s">
        <v>671</v>
      </c>
      <c r="G112" s="6" t="s">
        <v>672</v>
      </c>
      <c r="H112" s="7" t="s">
        <v>673</v>
      </c>
      <c r="I112" s="6">
        <v>3.2784144E7</v>
      </c>
      <c r="J112" s="6" t="s">
        <v>674</v>
      </c>
      <c r="K112" s="6" t="str">
        <f>VLOOKUP(A112,Sheet4!$A:$H,7,0)</f>
        <v>Original Mattress</v>
      </c>
      <c r="L112" s="6" t="str">
        <f>VLOOKUP(B112,Sheet4!$A:$H,8,0)</f>
        <v>Mattress</v>
      </c>
      <c r="M112" s="6">
        <v>22999.0</v>
      </c>
      <c r="N112" s="8">
        <v>18629.0</v>
      </c>
      <c r="O112" s="9">
        <v>19999.0</v>
      </c>
      <c r="P112" s="10">
        <v>17479.24</v>
      </c>
    </row>
    <row r="113">
      <c r="A113" s="6" t="s">
        <v>675</v>
      </c>
      <c r="B113" s="6" t="s">
        <v>675</v>
      </c>
      <c r="C113" s="6" t="s">
        <v>676</v>
      </c>
      <c r="D113" s="6" t="s">
        <v>677</v>
      </c>
      <c r="E113" s="6" t="e">
        <v>#N/A</v>
      </c>
      <c r="F113" s="6">
        <v>0.0</v>
      </c>
      <c r="G113" s="6" t="s">
        <v>678</v>
      </c>
      <c r="H113" s="7" t="s">
        <v>679</v>
      </c>
      <c r="I113" s="6" t="e">
        <v>#N/A</v>
      </c>
      <c r="J113" s="6" t="e">
        <v>#REF!</v>
      </c>
      <c r="K113" s="6" t="str">
        <f>VLOOKUP(A113,Sheet4!$A:$H,7,0)</f>
        <v>Original Mattress</v>
      </c>
      <c r="L113" s="6" t="str">
        <f>VLOOKUP(B113,Sheet4!$A:$H,8,0)</f>
        <v>Mattress</v>
      </c>
      <c r="M113" s="6">
        <v>23599.0</v>
      </c>
      <c r="N113" s="8">
        <v>19115.0</v>
      </c>
      <c r="O113" s="9">
        <v>20499.0</v>
      </c>
      <c r="P113" s="10">
        <v>17935.24</v>
      </c>
    </row>
    <row r="114">
      <c r="A114" s="6" t="s">
        <v>680</v>
      </c>
      <c r="B114" s="6" t="s">
        <v>680</v>
      </c>
      <c r="C114" s="6" t="s">
        <v>681</v>
      </c>
      <c r="D114" s="6" t="s">
        <v>682</v>
      </c>
      <c r="E114" s="6" t="e">
        <v>#N/A</v>
      </c>
      <c r="F114" s="6" t="s">
        <v>683</v>
      </c>
      <c r="G114" s="6" t="s">
        <v>684</v>
      </c>
      <c r="H114" s="7" t="s">
        <v>685</v>
      </c>
      <c r="I114" s="6">
        <v>3.2784137E7</v>
      </c>
      <c r="J114" s="6" t="s">
        <v>686</v>
      </c>
      <c r="K114" s="6" t="str">
        <f>VLOOKUP(A114,Sheet4!$A:$H,7,0)</f>
        <v>Original Mattress</v>
      </c>
      <c r="L114" s="6" t="str">
        <f>VLOOKUP(B114,Sheet4!$A:$H,8,0)</f>
        <v>Mattress</v>
      </c>
      <c r="M114" s="6">
        <v>23599.0</v>
      </c>
      <c r="N114" s="8">
        <v>19115.0</v>
      </c>
      <c r="O114" s="9">
        <v>20499.0</v>
      </c>
      <c r="P114" s="10">
        <v>17935.24</v>
      </c>
    </row>
    <row r="115">
      <c r="A115" s="6" t="s">
        <v>687</v>
      </c>
      <c r="B115" s="6" t="s">
        <v>687</v>
      </c>
      <c r="C115" s="6" t="s">
        <v>688</v>
      </c>
      <c r="D115" s="6" t="s">
        <v>689</v>
      </c>
      <c r="E115" s="6" t="e">
        <v>#N/A</v>
      </c>
      <c r="F115" s="6">
        <v>0.0</v>
      </c>
      <c r="G115" s="6" t="s">
        <v>690</v>
      </c>
      <c r="H115" s="7" t="s">
        <v>691</v>
      </c>
      <c r="I115" s="6" t="e">
        <v>#N/A</v>
      </c>
      <c r="J115" s="6" t="e">
        <v>#REF!</v>
      </c>
      <c r="K115" s="6" t="str">
        <f>VLOOKUP(A115,Sheet4!$A:$H,7,0)</f>
        <v>Original Mattress</v>
      </c>
      <c r="L115" s="6" t="str">
        <f>VLOOKUP(B115,Sheet4!$A:$H,8,0)</f>
        <v>Mattress</v>
      </c>
      <c r="M115" s="6">
        <v>24499.0</v>
      </c>
      <c r="N115" s="8">
        <v>19844.0</v>
      </c>
      <c r="O115" s="9">
        <v>21299.0</v>
      </c>
      <c r="P115" s="10">
        <v>18619.24</v>
      </c>
    </row>
    <row r="116">
      <c r="A116" s="6" t="s">
        <v>692</v>
      </c>
      <c r="B116" s="6" t="s">
        <v>692</v>
      </c>
      <c r="C116" s="6" t="s">
        <v>693</v>
      </c>
      <c r="D116" s="6" t="s">
        <v>694</v>
      </c>
      <c r="E116" s="6" t="e">
        <v>#N/A</v>
      </c>
      <c r="F116" s="6" t="s">
        <v>695</v>
      </c>
      <c r="G116" s="6" t="s">
        <v>696</v>
      </c>
      <c r="H116" s="7" t="s">
        <v>697</v>
      </c>
      <c r="I116" s="6">
        <v>3.1999073E7</v>
      </c>
      <c r="J116" s="6" t="s">
        <v>698</v>
      </c>
      <c r="K116" s="6" t="str">
        <f>VLOOKUP(A116,Sheet4!$A:$H,7,0)</f>
        <v>Original Mattress</v>
      </c>
      <c r="L116" s="6" t="str">
        <f>VLOOKUP(B116,Sheet4!$A:$H,8,0)</f>
        <v>Mattress</v>
      </c>
      <c r="M116" s="6">
        <v>24499.0</v>
      </c>
      <c r="N116" s="8">
        <v>19844.0</v>
      </c>
      <c r="O116" s="9">
        <v>21299.0</v>
      </c>
      <c r="P116" s="10">
        <v>18619.24</v>
      </c>
    </row>
    <row r="117">
      <c r="A117" s="6" t="s">
        <v>699</v>
      </c>
      <c r="B117" s="6" t="s">
        <v>699</v>
      </c>
      <c r="C117" s="6" t="s">
        <v>700</v>
      </c>
      <c r="D117" s="6" t="s">
        <v>701</v>
      </c>
      <c r="E117" s="6" t="e">
        <v>#N/A</v>
      </c>
      <c r="F117" s="6" t="s">
        <v>702</v>
      </c>
      <c r="G117" s="6" t="s">
        <v>703</v>
      </c>
      <c r="H117" s="7" t="s">
        <v>704</v>
      </c>
      <c r="I117" s="6">
        <v>3.2783964E7</v>
      </c>
      <c r="J117" s="6" t="e">
        <v>#REF!</v>
      </c>
      <c r="K117" s="6" t="str">
        <f>VLOOKUP(A117,Sheet4!$A:$H,7,0)</f>
        <v>Original Mattress</v>
      </c>
      <c r="L117" s="6" t="str">
        <f>VLOOKUP(B117,Sheet4!$A:$H,8,0)</f>
        <v>Mattress</v>
      </c>
      <c r="M117" s="6">
        <v>26499.0</v>
      </c>
      <c r="N117" s="8">
        <v>21464.0</v>
      </c>
      <c r="O117" s="9">
        <v>23099.0</v>
      </c>
      <c r="P117" s="10">
        <v>20139.24</v>
      </c>
    </row>
    <row r="118">
      <c r="A118" s="6" t="s">
        <v>705</v>
      </c>
      <c r="B118" s="6" t="s">
        <v>705</v>
      </c>
      <c r="C118" s="6" t="s">
        <v>706</v>
      </c>
      <c r="D118" s="6" t="s">
        <v>707</v>
      </c>
      <c r="E118" s="6" t="e">
        <v>#N/A</v>
      </c>
      <c r="F118" s="6">
        <v>0.0</v>
      </c>
      <c r="G118" s="6">
        <v>0.0</v>
      </c>
      <c r="H118" s="7" t="s">
        <v>708</v>
      </c>
      <c r="I118" s="6">
        <v>3.2784172E7</v>
      </c>
      <c r="J118" s="6" t="e">
        <v>#N/A</v>
      </c>
      <c r="K118" s="6" t="str">
        <f>VLOOKUP(A118,Sheet4!$A:$H,7,0)</f>
        <v>Original Mattress</v>
      </c>
      <c r="L118" s="6" t="str">
        <f>VLOOKUP(B118,Sheet4!$A:$H,8,0)</f>
        <v>Mattress</v>
      </c>
      <c r="M118" s="6">
        <v>30999.0</v>
      </c>
      <c r="N118" s="8">
        <v>25109.0</v>
      </c>
      <c r="O118" s="9">
        <v>26999.0</v>
      </c>
      <c r="P118" s="10">
        <v>23559.24</v>
      </c>
    </row>
    <row r="119">
      <c r="A119" s="6" t="s">
        <v>709</v>
      </c>
      <c r="B119" s="6" t="s">
        <v>709</v>
      </c>
      <c r="C119" s="6" t="s">
        <v>710</v>
      </c>
      <c r="D119" s="6" t="s">
        <v>711</v>
      </c>
      <c r="E119" s="6" t="e">
        <v>#N/A</v>
      </c>
      <c r="F119" s="6">
        <v>0.0</v>
      </c>
      <c r="G119" s="6" t="s">
        <v>712</v>
      </c>
      <c r="H119" s="7" t="s">
        <v>713</v>
      </c>
      <c r="I119" s="6" t="e">
        <v>#N/A</v>
      </c>
      <c r="J119" s="6" t="e">
        <v>#REF!</v>
      </c>
      <c r="K119" s="6" t="str">
        <f>VLOOKUP(A119,Sheet4!$A:$H,7,0)</f>
        <v>Original Mattress</v>
      </c>
      <c r="L119" s="6" t="str">
        <f>VLOOKUP(B119,Sheet4!$A:$H,8,0)</f>
        <v>Mattress</v>
      </c>
      <c r="M119" s="6">
        <v>16239.0</v>
      </c>
      <c r="N119" s="8">
        <v>13154.0</v>
      </c>
      <c r="O119" s="9">
        <v>14099.0</v>
      </c>
      <c r="P119" s="10">
        <v>12341.64</v>
      </c>
    </row>
    <row r="120">
      <c r="A120" s="6" t="s">
        <v>714</v>
      </c>
      <c r="B120" s="6" t="s">
        <v>714</v>
      </c>
      <c r="C120" s="6" t="s">
        <v>715</v>
      </c>
      <c r="D120" s="6" t="s">
        <v>716</v>
      </c>
      <c r="E120" s="6" t="e">
        <v>#N/A</v>
      </c>
      <c r="F120" s="6">
        <v>0.0</v>
      </c>
      <c r="G120" s="6" t="s">
        <v>717</v>
      </c>
      <c r="H120" s="7" t="s">
        <v>718</v>
      </c>
      <c r="I120" s="6" t="e">
        <v>#N/A</v>
      </c>
      <c r="J120" s="6" t="e">
        <v>#REF!</v>
      </c>
      <c r="K120" s="6" t="str">
        <f>VLOOKUP(A120,Sheet4!$A:$H,7,0)</f>
        <v>Original Mattress</v>
      </c>
      <c r="L120" s="6" t="str">
        <f>VLOOKUP(B120,Sheet4!$A:$H,8,0)</f>
        <v>Mattress</v>
      </c>
      <c r="M120" s="6">
        <v>16659.0</v>
      </c>
      <c r="N120" s="8">
        <v>13494.0</v>
      </c>
      <c r="O120" s="9">
        <v>14499.0</v>
      </c>
      <c r="P120" s="10">
        <v>12660.84</v>
      </c>
    </row>
    <row r="121">
      <c r="A121" s="6" t="s">
        <v>719</v>
      </c>
      <c r="B121" s="6" t="s">
        <v>719</v>
      </c>
      <c r="C121" s="6" t="s">
        <v>720</v>
      </c>
      <c r="D121" s="6" t="s">
        <v>721</v>
      </c>
      <c r="E121" s="6" t="e">
        <v>#N/A</v>
      </c>
      <c r="F121" s="6">
        <v>0.0</v>
      </c>
      <c r="G121" s="6" t="s">
        <v>722</v>
      </c>
      <c r="H121" s="7" t="s">
        <v>723</v>
      </c>
      <c r="I121" s="6" t="e">
        <v>#N/A</v>
      </c>
      <c r="J121" s="6" t="e">
        <v>#REF!</v>
      </c>
      <c r="K121" s="6" t="str">
        <f>VLOOKUP(A121,Sheet4!$A:$H,7,0)</f>
        <v>Original Mattress</v>
      </c>
      <c r="L121" s="6" t="str">
        <f>VLOOKUP(B121,Sheet4!$A:$H,8,0)</f>
        <v>Mattress</v>
      </c>
      <c r="M121" s="6">
        <v>17219.0</v>
      </c>
      <c r="N121" s="8">
        <v>13947.0</v>
      </c>
      <c r="O121" s="9">
        <v>14999.0</v>
      </c>
      <c r="P121" s="10">
        <v>13086.44</v>
      </c>
    </row>
    <row r="122">
      <c r="A122" s="6" t="s">
        <v>724</v>
      </c>
      <c r="B122" s="6" t="s">
        <v>724</v>
      </c>
      <c r="C122" s="6" t="s">
        <v>725</v>
      </c>
      <c r="D122" s="6" t="s">
        <v>726</v>
      </c>
      <c r="E122" s="6" t="e">
        <v>#N/A</v>
      </c>
      <c r="F122" s="6">
        <v>0.0</v>
      </c>
      <c r="G122" s="6" t="s">
        <v>727</v>
      </c>
      <c r="H122" s="7" t="s">
        <v>728</v>
      </c>
      <c r="I122" s="6" t="e">
        <v>#N/A</v>
      </c>
      <c r="J122" s="6" t="e">
        <v>#REF!</v>
      </c>
      <c r="K122" s="6" t="str">
        <f>VLOOKUP(A122,Sheet4!$A:$H,7,0)</f>
        <v>Original Mattress</v>
      </c>
      <c r="L122" s="6" t="str">
        <f>VLOOKUP(B122,Sheet4!$A:$H,8,0)</f>
        <v>Mattress</v>
      </c>
      <c r="M122" s="6">
        <v>18739.0</v>
      </c>
      <c r="N122" s="8">
        <v>15179.0</v>
      </c>
      <c r="O122" s="9">
        <v>16299.0</v>
      </c>
      <c r="P122" s="10">
        <v>14241.64</v>
      </c>
    </row>
    <row r="123">
      <c r="A123" s="6" t="s">
        <v>729</v>
      </c>
      <c r="B123" s="6" t="s">
        <v>729</v>
      </c>
      <c r="C123" s="6" t="s">
        <v>730</v>
      </c>
      <c r="D123" s="6" t="s">
        <v>731</v>
      </c>
      <c r="E123" s="6" t="e">
        <v>#N/A</v>
      </c>
      <c r="F123" s="6">
        <v>0.0</v>
      </c>
      <c r="G123" s="6" t="s">
        <v>732</v>
      </c>
      <c r="H123" s="7" t="s">
        <v>733</v>
      </c>
      <c r="I123" s="6" t="e">
        <v>#N/A</v>
      </c>
      <c r="J123" s="6" t="e">
        <v>#N/A</v>
      </c>
      <c r="K123" s="6" t="str">
        <f>VLOOKUP(A123,Sheet4!$A:$H,7,0)</f>
        <v>Original Mattress</v>
      </c>
      <c r="L123" s="6" t="str">
        <f>VLOOKUP(B123,Sheet4!$A:$H,8,0)</f>
        <v>Mattress</v>
      </c>
      <c r="M123" s="6">
        <v>19439.0</v>
      </c>
      <c r="N123" s="8">
        <v>15746.0</v>
      </c>
      <c r="O123" s="9">
        <v>16899.0</v>
      </c>
      <c r="P123" s="10">
        <v>14773.64</v>
      </c>
    </row>
    <row r="124">
      <c r="A124" s="6" t="s">
        <v>734</v>
      </c>
      <c r="B124" s="6" t="s">
        <v>734</v>
      </c>
      <c r="C124" s="6" t="s">
        <v>735</v>
      </c>
      <c r="D124" s="6" t="s">
        <v>736</v>
      </c>
      <c r="E124" s="6" t="e">
        <v>#N/A</v>
      </c>
      <c r="F124" s="6">
        <v>0.0</v>
      </c>
      <c r="G124" s="6" t="s">
        <v>737</v>
      </c>
      <c r="H124" s="7" t="s">
        <v>738</v>
      </c>
      <c r="I124" s="6" t="e">
        <v>#N/A</v>
      </c>
      <c r="J124" s="6" t="e">
        <v>#REF!</v>
      </c>
      <c r="K124" s="6" t="str">
        <f>VLOOKUP(A124,Sheet4!$A:$H,7,0)</f>
        <v>Original Mattress</v>
      </c>
      <c r="L124" s="6" t="str">
        <f>VLOOKUP(B124,Sheet4!$A:$H,8,0)</f>
        <v>Mattress</v>
      </c>
      <c r="M124" s="6">
        <v>13549.0</v>
      </c>
      <c r="N124" s="8">
        <v>10975.0</v>
      </c>
      <c r="O124" s="9">
        <v>11799.0</v>
      </c>
      <c r="P124" s="10">
        <v>10297.24</v>
      </c>
    </row>
    <row r="125">
      <c r="A125" s="6" t="s">
        <v>739</v>
      </c>
      <c r="B125" s="6" t="s">
        <v>739</v>
      </c>
      <c r="C125" s="6" t="s">
        <v>740</v>
      </c>
      <c r="D125" s="6" t="s">
        <v>741</v>
      </c>
      <c r="E125" s="6" t="e">
        <v>#N/A</v>
      </c>
      <c r="F125" s="6">
        <v>0.0</v>
      </c>
      <c r="G125" s="6" t="s">
        <v>742</v>
      </c>
      <c r="H125" s="7" t="s">
        <v>743</v>
      </c>
      <c r="I125" s="6" t="e">
        <v>#N/A</v>
      </c>
      <c r="J125" s="6" t="s">
        <v>744</v>
      </c>
      <c r="K125" s="6" t="str">
        <f>VLOOKUP(A125,Sheet4!$A:$H,7,0)</f>
        <v>Original Mattress</v>
      </c>
      <c r="L125" s="6" t="str">
        <f>VLOOKUP(B125,Sheet4!$A:$H,8,0)</f>
        <v>Mattress</v>
      </c>
      <c r="M125" s="6">
        <v>13809.0</v>
      </c>
      <c r="N125" s="8">
        <v>11185.0</v>
      </c>
      <c r="O125" s="9">
        <v>11999.0</v>
      </c>
      <c r="P125" s="10">
        <v>10494.84</v>
      </c>
    </row>
    <row r="126">
      <c r="A126" s="6" t="s">
        <v>745</v>
      </c>
      <c r="B126" s="6" t="s">
        <v>745</v>
      </c>
      <c r="C126" s="6" t="s">
        <v>746</v>
      </c>
      <c r="D126" s="6" t="s">
        <v>747</v>
      </c>
      <c r="E126" s="6" t="e">
        <v>#N/A</v>
      </c>
      <c r="F126" s="6">
        <v>0.0</v>
      </c>
      <c r="G126" s="6" t="s">
        <v>748</v>
      </c>
      <c r="H126" s="7" t="s">
        <v>749</v>
      </c>
      <c r="I126" s="6" t="e">
        <v>#N/A</v>
      </c>
      <c r="J126" s="6" t="s">
        <v>750</v>
      </c>
      <c r="K126" s="6" t="str">
        <f>VLOOKUP(A126,Sheet4!$A:$H,7,0)</f>
        <v>Original Mattress</v>
      </c>
      <c r="L126" s="6" t="str">
        <f>VLOOKUP(B126,Sheet4!$A:$H,8,0)</f>
        <v>Mattress</v>
      </c>
      <c r="M126" s="6">
        <v>14469.0</v>
      </c>
      <c r="N126" s="8">
        <v>11720.0</v>
      </c>
      <c r="O126" s="9">
        <v>12599.0</v>
      </c>
      <c r="P126" s="10">
        <v>10996.44</v>
      </c>
    </row>
    <row r="127">
      <c r="A127" s="6" t="s">
        <v>751</v>
      </c>
      <c r="B127" s="6" t="s">
        <v>751</v>
      </c>
      <c r="C127" s="6" t="s">
        <v>752</v>
      </c>
      <c r="D127" s="6" t="s">
        <v>753</v>
      </c>
      <c r="E127" s="6" t="e">
        <v>#N/A</v>
      </c>
      <c r="F127" s="6">
        <v>0.0</v>
      </c>
      <c r="G127" s="6" t="s">
        <v>754</v>
      </c>
      <c r="H127" s="7" t="s">
        <v>755</v>
      </c>
      <c r="I127" s="6" t="e">
        <v>#N/A</v>
      </c>
      <c r="J127" s="6" t="e">
        <v>#REF!</v>
      </c>
      <c r="K127" s="6" t="str">
        <f>VLOOKUP(A127,Sheet4!$A:$H,7,0)</f>
        <v>Original Mattress</v>
      </c>
      <c r="L127" s="6" t="str">
        <f>VLOOKUP(B127,Sheet4!$A:$H,8,0)</f>
        <v>Mattress</v>
      </c>
      <c r="M127" s="6">
        <v>14469.0</v>
      </c>
      <c r="N127" s="8">
        <v>11720.0</v>
      </c>
      <c r="O127" s="9">
        <v>12599.0</v>
      </c>
      <c r="P127" s="10">
        <v>10996.44</v>
      </c>
    </row>
    <row r="128">
      <c r="A128" s="6" t="s">
        <v>756</v>
      </c>
      <c r="B128" s="6" t="s">
        <v>756</v>
      </c>
      <c r="C128" s="6" t="e">
        <v>#N/A</v>
      </c>
      <c r="D128" s="6" t="e">
        <v>#N/A</v>
      </c>
      <c r="E128" s="6" t="e">
        <v>#N/A</v>
      </c>
      <c r="F128" s="6" t="e">
        <v>#N/A</v>
      </c>
      <c r="G128" s="6">
        <v>0.0</v>
      </c>
      <c r="H128" s="7" t="e">
        <v>#N/A</v>
      </c>
      <c r="I128" s="6" t="e">
        <v>#N/A</v>
      </c>
      <c r="J128" s="6" t="e">
        <v>#N/A</v>
      </c>
      <c r="K128" s="11" t="s">
        <v>51</v>
      </c>
      <c r="L128" s="11" t="s">
        <v>52</v>
      </c>
      <c r="M128" s="6" t="str">
        <f>VLOOKUP(A128,#REF!,2,FALSE)</f>
        <v>#REF!</v>
      </c>
      <c r="N128" s="6" t="str">
        <f>VLOOKUP(A128, Sheet2!A:M, 3, FALSE)</f>
        <v>#N/A</v>
      </c>
      <c r="O128" s="10" t="e">
        <v>#N/A</v>
      </c>
      <c r="P128" s="10" t="e">
        <v>#N/A</v>
      </c>
    </row>
    <row r="129">
      <c r="A129" s="6" t="s">
        <v>757</v>
      </c>
      <c r="B129" s="6" t="s">
        <v>757</v>
      </c>
      <c r="C129" s="6" t="s">
        <v>758</v>
      </c>
      <c r="D129" s="6" t="s">
        <v>759</v>
      </c>
      <c r="E129" s="6" t="e">
        <v>#N/A</v>
      </c>
      <c r="F129" s="6">
        <v>0.0</v>
      </c>
      <c r="G129" s="6" t="s">
        <v>760</v>
      </c>
      <c r="H129" s="7" t="s">
        <v>761</v>
      </c>
      <c r="I129" s="6" t="e">
        <v>#N/A</v>
      </c>
      <c r="J129" s="13" t="s">
        <v>762</v>
      </c>
      <c r="K129" s="6" t="str">
        <f>VLOOKUP(A129,Sheet4!$A:$H,7,0)</f>
        <v>Original Mattress</v>
      </c>
      <c r="L129" s="6" t="str">
        <f>VLOOKUP(B129,Sheet4!$A:$H,8,0)</f>
        <v>Mattress</v>
      </c>
      <c r="M129" s="6">
        <v>14469.0</v>
      </c>
      <c r="N129" s="8">
        <v>11720.0</v>
      </c>
      <c r="O129" s="9">
        <v>12599.0</v>
      </c>
      <c r="P129" s="10">
        <v>10996.44</v>
      </c>
    </row>
    <row r="130">
      <c r="A130" s="6" t="s">
        <v>763</v>
      </c>
      <c r="B130" s="6" t="s">
        <v>763</v>
      </c>
      <c r="C130" s="6" t="s">
        <v>764</v>
      </c>
      <c r="D130" s="6" t="s">
        <v>765</v>
      </c>
      <c r="E130" s="6" t="e">
        <v>#N/A</v>
      </c>
      <c r="F130" s="6">
        <v>0.0</v>
      </c>
      <c r="G130" s="6" t="s">
        <v>766</v>
      </c>
      <c r="H130" s="7" t="s">
        <v>767</v>
      </c>
      <c r="I130" s="6" t="e">
        <v>#N/A</v>
      </c>
      <c r="J130" s="6" t="e">
        <v>#N/A</v>
      </c>
      <c r="K130" s="6" t="str">
        <f>VLOOKUP(A130,Sheet4!$A:$H,7,0)</f>
        <v>Original Mattress</v>
      </c>
      <c r="L130" s="6" t="str">
        <f>VLOOKUP(B130,Sheet4!$A:$H,8,0)</f>
        <v>Mattress</v>
      </c>
      <c r="M130" s="6">
        <v>16439.0</v>
      </c>
      <c r="N130" s="8">
        <v>13316.0</v>
      </c>
      <c r="O130" s="9">
        <v>14299.0</v>
      </c>
      <c r="P130" s="10">
        <v>12493.64</v>
      </c>
    </row>
    <row r="131">
      <c r="A131" s="6" t="s">
        <v>768</v>
      </c>
      <c r="B131" s="6" t="s">
        <v>768</v>
      </c>
      <c r="C131" s="6" t="e">
        <v>#N/A</v>
      </c>
      <c r="D131" s="6" t="e">
        <v>#N/A</v>
      </c>
      <c r="E131" s="6" t="e">
        <v>#N/A</v>
      </c>
      <c r="F131" s="6" t="e">
        <v>#N/A</v>
      </c>
      <c r="G131" s="6">
        <v>0.0</v>
      </c>
      <c r="H131" s="7" t="e">
        <v>#N/A</v>
      </c>
      <c r="I131" s="6" t="e">
        <v>#N/A</v>
      </c>
      <c r="J131" s="6" t="e">
        <v>#N/A</v>
      </c>
      <c r="K131" s="11" t="s">
        <v>51</v>
      </c>
      <c r="L131" s="11" t="s">
        <v>52</v>
      </c>
      <c r="M131" s="6" t="str">
        <f t="shared" ref="M131:M139" si="1">VLOOKUP(A131,#REF!,2,FALSE)</f>
        <v>#REF!</v>
      </c>
      <c r="N131" s="6" t="str">
        <f>VLOOKUP(A131, Sheet2!A:M, 3, FALSE)</f>
        <v>#N/A</v>
      </c>
      <c r="O131" s="10" t="e">
        <v>#N/A</v>
      </c>
      <c r="P131" s="10" t="e">
        <v>#N/A</v>
      </c>
    </row>
    <row r="132">
      <c r="A132" s="6" t="s">
        <v>769</v>
      </c>
      <c r="B132" s="6" t="s">
        <v>769</v>
      </c>
      <c r="C132" s="6" t="e">
        <v>#N/A</v>
      </c>
      <c r="D132" s="6" t="e">
        <v>#N/A</v>
      </c>
      <c r="E132" s="6" t="e">
        <v>#N/A</v>
      </c>
      <c r="F132" s="6" t="e">
        <v>#N/A</v>
      </c>
      <c r="G132" s="6">
        <v>0.0</v>
      </c>
      <c r="H132" s="7" t="e">
        <v>#N/A</v>
      </c>
      <c r="I132" s="6" t="e">
        <v>#N/A</v>
      </c>
      <c r="J132" s="6" t="e">
        <v>#N/A</v>
      </c>
      <c r="K132" s="11" t="s">
        <v>51</v>
      </c>
      <c r="L132" s="11" t="s">
        <v>52</v>
      </c>
      <c r="M132" s="6" t="str">
        <f t="shared" si="1"/>
        <v>#REF!</v>
      </c>
      <c r="N132" s="6" t="str">
        <f>VLOOKUP(A132, Sheet2!A:M, 3, FALSE)</f>
        <v>#N/A</v>
      </c>
      <c r="O132" s="10" t="e">
        <v>#N/A</v>
      </c>
      <c r="P132" s="10" t="e">
        <v>#N/A</v>
      </c>
    </row>
    <row r="133">
      <c r="A133" s="6" t="s">
        <v>770</v>
      </c>
      <c r="B133" s="6" t="s">
        <v>770</v>
      </c>
      <c r="C133" s="6" t="e">
        <v>#N/A</v>
      </c>
      <c r="D133" s="6" t="e">
        <v>#N/A</v>
      </c>
      <c r="E133" s="6" t="e">
        <v>#N/A</v>
      </c>
      <c r="F133" s="6" t="e">
        <v>#N/A</v>
      </c>
      <c r="G133" s="6">
        <v>0.0</v>
      </c>
      <c r="H133" s="7" t="e">
        <v>#N/A</v>
      </c>
      <c r="I133" s="6" t="e">
        <v>#N/A</v>
      </c>
      <c r="J133" s="6" t="e">
        <v>#N/A</v>
      </c>
      <c r="K133" s="11" t="s">
        <v>51</v>
      </c>
      <c r="L133" s="11" t="s">
        <v>52</v>
      </c>
      <c r="M133" s="6" t="str">
        <f t="shared" si="1"/>
        <v>#REF!</v>
      </c>
      <c r="N133" s="6" t="str">
        <f>VLOOKUP(A133, Sheet2!A:M, 3, FALSE)</f>
        <v>#N/A</v>
      </c>
      <c r="O133" s="10" t="e">
        <v>#N/A</v>
      </c>
      <c r="P133" s="10" t="e">
        <v>#N/A</v>
      </c>
    </row>
    <row r="134">
      <c r="A134" s="6" t="s">
        <v>771</v>
      </c>
      <c r="B134" s="6" t="s">
        <v>771</v>
      </c>
      <c r="C134" s="6" t="e">
        <v>#N/A</v>
      </c>
      <c r="D134" s="6" t="e">
        <v>#N/A</v>
      </c>
      <c r="E134" s="6" t="e">
        <v>#N/A</v>
      </c>
      <c r="F134" s="6" t="e">
        <v>#N/A</v>
      </c>
      <c r="G134" s="6">
        <v>0.0</v>
      </c>
      <c r="H134" s="7" t="e">
        <v>#N/A</v>
      </c>
      <c r="I134" s="6" t="e">
        <v>#N/A</v>
      </c>
      <c r="J134" s="6" t="e">
        <v>#N/A</v>
      </c>
      <c r="K134" s="11" t="s">
        <v>51</v>
      </c>
      <c r="L134" s="11" t="s">
        <v>52</v>
      </c>
      <c r="M134" s="6" t="str">
        <f t="shared" si="1"/>
        <v>#REF!</v>
      </c>
      <c r="N134" s="6" t="str">
        <f>VLOOKUP(A134, Sheet2!A:M, 3, FALSE)</f>
        <v>#N/A</v>
      </c>
      <c r="O134" s="10" t="e">
        <v>#N/A</v>
      </c>
      <c r="P134" s="10" t="e">
        <v>#N/A</v>
      </c>
    </row>
    <row r="135">
      <c r="A135" s="6" t="s">
        <v>772</v>
      </c>
      <c r="B135" s="6" t="s">
        <v>772</v>
      </c>
      <c r="C135" s="6" t="e">
        <v>#N/A</v>
      </c>
      <c r="D135" s="6" t="e">
        <v>#N/A</v>
      </c>
      <c r="E135" s="6" t="e">
        <v>#N/A</v>
      </c>
      <c r="F135" s="6" t="e">
        <v>#N/A</v>
      </c>
      <c r="G135" s="6">
        <v>0.0</v>
      </c>
      <c r="H135" s="7" t="e">
        <v>#N/A</v>
      </c>
      <c r="I135" s="6" t="e">
        <v>#N/A</v>
      </c>
      <c r="J135" s="6" t="e">
        <v>#N/A</v>
      </c>
      <c r="K135" s="11" t="s">
        <v>51</v>
      </c>
      <c r="L135" s="11" t="s">
        <v>52</v>
      </c>
      <c r="M135" s="6" t="str">
        <f t="shared" si="1"/>
        <v>#REF!</v>
      </c>
      <c r="N135" s="6" t="str">
        <f>VLOOKUP(A135, Sheet2!A:M, 3, FALSE)</f>
        <v>#N/A</v>
      </c>
      <c r="O135" s="10" t="e">
        <v>#N/A</v>
      </c>
      <c r="P135" s="10" t="e">
        <v>#N/A</v>
      </c>
    </row>
    <row r="136">
      <c r="A136" s="6" t="s">
        <v>773</v>
      </c>
      <c r="B136" s="6" t="s">
        <v>773</v>
      </c>
      <c r="C136" s="6" t="e">
        <v>#N/A</v>
      </c>
      <c r="D136" s="6" t="e">
        <v>#N/A</v>
      </c>
      <c r="E136" s="6" t="e">
        <v>#N/A</v>
      </c>
      <c r="F136" s="6" t="e">
        <v>#N/A</v>
      </c>
      <c r="G136" s="6">
        <v>0.0</v>
      </c>
      <c r="H136" s="7" t="e">
        <v>#N/A</v>
      </c>
      <c r="I136" s="6" t="e">
        <v>#N/A</v>
      </c>
      <c r="J136" s="6" t="e">
        <v>#N/A</v>
      </c>
      <c r="K136" s="11" t="s">
        <v>51</v>
      </c>
      <c r="L136" s="11" t="s">
        <v>52</v>
      </c>
      <c r="M136" s="6" t="str">
        <f t="shared" si="1"/>
        <v>#REF!</v>
      </c>
      <c r="N136" s="6" t="str">
        <f>VLOOKUP(A136, Sheet2!A:M, 3, FALSE)</f>
        <v>#N/A</v>
      </c>
      <c r="O136" s="10" t="e">
        <v>#N/A</v>
      </c>
      <c r="P136" s="10" t="e">
        <v>#N/A</v>
      </c>
    </row>
    <row r="137">
      <c r="A137" s="6" t="s">
        <v>774</v>
      </c>
      <c r="B137" s="6" t="s">
        <v>774</v>
      </c>
      <c r="C137" s="6" t="e">
        <v>#N/A</v>
      </c>
      <c r="D137" s="6" t="e">
        <v>#N/A</v>
      </c>
      <c r="E137" s="6" t="e">
        <v>#N/A</v>
      </c>
      <c r="F137" s="6" t="e">
        <v>#N/A</v>
      </c>
      <c r="G137" s="6">
        <v>0.0</v>
      </c>
      <c r="H137" s="7" t="e">
        <v>#N/A</v>
      </c>
      <c r="I137" s="6" t="e">
        <v>#N/A</v>
      </c>
      <c r="J137" s="6" t="e">
        <v>#N/A</v>
      </c>
      <c r="K137" s="11" t="s">
        <v>51</v>
      </c>
      <c r="L137" s="11" t="s">
        <v>52</v>
      </c>
      <c r="M137" s="6" t="str">
        <f t="shared" si="1"/>
        <v>#REF!</v>
      </c>
      <c r="N137" s="6" t="str">
        <f>VLOOKUP(A137, Sheet2!A:M, 3, FALSE)</f>
        <v>#N/A</v>
      </c>
      <c r="O137" s="10" t="e">
        <v>#N/A</v>
      </c>
      <c r="P137" s="10" t="e">
        <v>#N/A</v>
      </c>
    </row>
    <row r="138">
      <c r="A138" s="6" t="s">
        <v>775</v>
      </c>
      <c r="B138" s="6" t="s">
        <v>775</v>
      </c>
      <c r="C138" s="6" t="e">
        <v>#N/A</v>
      </c>
      <c r="D138" s="6" t="e">
        <v>#N/A</v>
      </c>
      <c r="E138" s="6" t="e">
        <v>#N/A</v>
      </c>
      <c r="F138" s="6" t="e">
        <v>#N/A</v>
      </c>
      <c r="G138" s="6">
        <v>0.0</v>
      </c>
      <c r="H138" s="7" t="e">
        <v>#N/A</v>
      </c>
      <c r="I138" s="6" t="e">
        <v>#N/A</v>
      </c>
      <c r="J138" s="6" t="e">
        <v>#N/A</v>
      </c>
      <c r="K138" s="11" t="s">
        <v>51</v>
      </c>
      <c r="L138" s="11" t="s">
        <v>52</v>
      </c>
      <c r="M138" s="6" t="str">
        <f t="shared" si="1"/>
        <v>#REF!</v>
      </c>
      <c r="N138" s="6" t="str">
        <f>VLOOKUP(A138, Sheet2!A:M, 3, FALSE)</f>
        <v>#N/A</v>
      </c>
      <c r="O138" s="10" t="e">
        <v>#N/A</v>
      </c>
      <c r="P138" s="10" t="e">
        <v>#N/A</v>
      </c>
    </row>
    <row r="139">
      <c r="A139" s="6" t="s">
        <v>776</v>
      </c>
      <c r="B139" s="6" t="s">
        <v>776</v>
      </c>
      <c r="C139" s="6" t="e">
        <v>#N/A</v>
      </c>
      <c r="D139" s="6" t="e">
        <v>#N/A</v>
      </c>
      <c r="E139" s="6" t="e">
        <v>#N/A</v>
      </c>
      <c r="F139" s="6" t="e">
        <v>#N/A</v>
      </c>
      <c r="G139" s="6">
        <v>0.0</v>
      </c>
      <c r="H139" s="7" t="e">
        <v>#N/A</v>
      </c>
      <c r="I139" s="6" t="e">
        <v>#N/A</v>
      </c>
      <c r="J139" s="6" t="e">
        <v>#N/A</v>
      </c>
      <c r="K139" s="11" t="s">
        <v>51</v>
      </c>
      <c r="L139" s="11" t="s">
        <v>52</v>
      </c>
      <c r="M139" s="6" t="str">
        <f t="shared" si="1"/>
        <v>#REF!</v>
      </c>
      <c r="N139" s="6" t="str">
        <f>VLOOKUP(A139, Sheet2!A:M, 3, FALSE)</f>
        <v>#N/A</v>
      </c>
      <c r="O139" s="10" t="e">
        <v>#N/A</v>
      </c>
      <c r="P139" s="10" t="e">
        <v>#N/A</v>
      </c>
    </row>
    <row r="140">
      <c r="A140" s="6" t="s">
        <v>777</v>
      </c>
      <c r="B140" s="6" t="s">
        <v>777</v>
      </c>
      <c r="C140" s="6" t="s">
        <v>778</v>
      </c>
      <c r="D140" s="6" t="s">
        <v>779</v>
      </c>
      <c r="E140" s="6" t="e">
        <v>#N/A</v>
      </c>
      <c r="F140" s="6">
        <v>0.0</v>
      </c>
      <c r="G140" s="6" t="s">
        <v>780</v>
      </c>
      <c r="H140" s="7" t="s">
        <v>781</v>
      </c>
      <c r="I140" s="6" t="e">
        <v>#N/A</v>
      </c>
      <c r="J140" s="6" t="e">
        <v>#REF!</v>
      </c>
      <c r="K140" s="6" t="str">
        <f>VLOOKUP(A140,Sheet4!$A:$H,7,0)</f>
        <v>Original Mattress</v>
      </c>
      <c r="L140" s="6" t="str">
        <f>VLOOKUP(B140,Sheet4!$A:$H,8,0)</f>
        <v>Mattress</v>
      </c>
      <c r="M140" s="6">
        <v>17629.0</v>
      </c>
      <c r="N140" s="8">
        <v>14279.0</v>
      </c>
      <c r="O140" s="9">
        <v>15299.0</v>
      </c>
      <c r="P140" s="10">
        <v>13398.04</v>
      </c>
    </row>
    <row r="141">
      <c r="A141" s="6" t="s">
        <v>782</v>
      </c>
      <c r="B141" s="6" t="s">
        <v>782</v>
      </c>
      <c r="C141" s="6" t="e">
        <v>#N/A</v>
      </c>
      <c r="D141" s="6" t="e">
        <v>#N/A</v>
      </c>
      <c r="E141" s="6" t="e">
        <v>#N/A</v>
      </c>
      <c r="F141" s="6" t="e">
        <v>#N/A</v>
      </c>
      <c r="G141" s="6">
        <v>0.0</v>
      </c>
      <c r="H141" s="7" t="e">
        <v>#N/A</v>
      </c>
      <c r="I141" s="6" t="e">
        <v>#N/A</v>
      </c>
      <c r="J141" s="6" t="e">
        <v>#N/A</v>
      </c>
      <c r="K141" s="11" t="s">
        <v>51</v>
      </c>
      <c r="L141" s="11" t="s">
        <v>52</v>
      </c>
      <c r="M141" s="6" t="str">
        <f>VLOOKUP(A141,#REF!,2,FALSE)</f>
        <v>#REF!</v>
      </c>
      <c r="N141" s="6" t="str">
        <f>VLOOKUP(A141, Sheet2!A:M, 3, FALSE)</f>
        <v>#N/A</v>
      </c>
      <c r="O141" s="10" t="e">
        <v>#N/A</v>
      </c>
      <c r="P141" s="10" t="e">
        <v>#N/A</v>
      </c>
    </row>
    <row r="142">
      <c r="A142" s="6" t="s">
        <v>783</v>
      </c>
      <c r="B142" s="6" t="s">
        <v>783</v>
      </c>
      <c r="C142" s="6" t="s">
        <v>784</v>
      </c>
      <c r="D142" s="6" t="s">
        <v>785</v>
      </c>
      <c r="E142" s="6" t="e">
        <v>#N/A</v>
      </c>
      <c r="F142" s="6">
        <v>0.0</v>
      </c>
      <c r="G142" s="6" t="s">
        <v>786</v>
      </c>
      <c r="H142" s="7" t="s">
        <v>787</v>
      </c>
      <c r="I142" s="6" t="e">
        <v>#N/A</v>
      </c>
      <c r="J142" s="6" t="e">
        <v>#REF!</v>
      </c>
      <c r="K142" s="6" t="str">
        <f>VLOOKUP(A142,Sheet4!$A:$H,7,0)</f>
        <v>Original Mattress</v>
      </c>
      <c r="L142" s="6" t="str">
        <f>VLOOKUP(B142,Sheet4!$A:$H,8,0)</f>
        <v>Mattress</v>
      </c>
      <c r="M142" s="6">
        <v>18049.0</v>
      </c>
      <c r="N142" s="8">
        <v>14620.0</v>
      </c>
      <c r="O142" s="9">
        <v>15699.0</v>
      </c>
      <c r="P142" s="10">
        <v>13717.24</v>
      </c>
    </row>
    <row r="143">
      <c r="A143" s="6" t="s">
        <v>788</v>
      </c>
      <c r="B143" s="6" t="s">
        <v>788</v>
      </c>
      <c r="C143" s="6" t="e">
        <v>#N/A</v>
      </c>
      <c r="D143" s="6" t="e">
        <v>#N/A</v>
      </c>
      <c r="E143" s="6" t="e">
        <v>#N/A</v>
      </c>
      <c r="F143" s="6" t="e">
        <v>#N/A</v>
      </c>
      <c r="G143" s="6">
        <v>0.0</v>
      </c>
      <c r="H143" s="7" t="e">
        <v>#N/A</v>
      </c>
      <c r="I143" s="6" t="e">
        <v>#N/A</v>
      </c>
      <c r="J143" s="6" t="e">
        <v>#N/A</v>
      </c>
      <c r="K143" s="11" t="s">
        <v>51</v>
      </c>
      <c r="L143" s="11" t="s">
        <v>52</v>
      </c>
      <c r="M143" s="6" t="str">
        <f t="shared" ref="M143:M158" si="2">VLOOKUP(A143,#REF!,2,FALSE)</f>
        <v>#REF!</v>
      </c>
      <c r="N143" s="6" t="str">
        <f>VLOOKUP(A143, Sheet2!A:M, 3, FALSE)</f>
        <v>#N/A</v>
      </c>
      <c r="O143" s="10" t="e">
        <v>#N/A</v>
      </c>
      <c r="P143" s="10" t="e">
        <v>#N/A</v>
      </c>
    </row>
    <row r="144">
      <c r="A144" s="6" t="s">
        <v>789</v>
      </c>
      <c r="B144" s="6" t="s">
        <v>789</v>
      </c>
      <c r="C144" s="6" t="e">
        <v>#N/A</v>
      </c>
      <c r="D144" s="6" t="e">
        <v>#N/A</v>
      </c>
      <c r="E144" s="6" t="e">
        <v>#N/A</v>
      </c>
      <c r="F144" s="6" t="e">
        <v>#N/A</v>
      </c>
      <c r="G144" s="6">
        <v>0.0</v>
      </c>
      <c r="H144" s="7" t="e">
        <v>#N/A</v>
      </c>
      <c r="I144" s="6" t="e">
        <v>#N/A</v>
      </c>
      <c r="J144" s="6" t="e">
        <v>#N/A</v>
      </c>
      <c r="K144" s="11" t="s">
        <v>51</v>
      </c>
      <c r="L144" s="11" t="s">
        <v>52</v>
      </c>
      <c r="M144" s="6" t="str">
        <f t="shared" si="2"/>
        <v>#REF!</v>
      </c>
      <c r="N144" s="6" t="str">
        <f>VLOOKUP(A144, Sheet2!A:M, 3, FALSE)</f>
        <v>#N/A</v>
      </c>
      <c r="O144" s="10" t="e">
        <v>#N/A</v>
      </c>
      <c r="P144" s="10" t="e">
        <v>#N/A</v>
      </c>
    </row>
    <row r="145">
      <c r="A145" s="6" t="s">
        <v>790</v>
      </c>
      <c r="B145" s="6" t="s">
        <v>790</v>
      </c>
      <c r="C145" s="6" t="e">
        <v>#N/A</v>
      </c>
      <c r="D145" s="6" t="e">
        <v>#N/A</v>
      </c>
      <c r="E145" s="6" t="e">
        <v>#N/A</v>
      </c>
      <c r="F145" s="6" t="e">
        <v>#N/A</v>
      </c>
      <c r="G145" s="6">
        <v>0.0</v>
      </c>
      <c r="H145" s="7" t="e">
        <v>#N/A</v>
      </c>
      <c r="I145" s="6" t="e">
        <v>#N/A</v>
      </c>
      <c r="J145" s="6" t="e">
        <v>#N/A</v>
      </c>
      <c r="K145" s="11" t="s">
        <v>51</v>
      </c>
      <c r="L145" s="11" t="s">
        <v>52</v>
      </c>
      <c r="M145" s="6" t="str">
        <f t="shared" si="2"/>
        <v>#REF!</v>
      </c>
      <c r="N145" s="6" t="str">
        <f>VLOOKUP(A145, Sheet2!A:M, 3, FALSE)</f>
        <v>#N/A</v>
      </c>
      <c r="O145" s="10" t="e">
        <v>#N/A</v>
      </c>
      <c r="P145" s="10" t="e">
        <v>#N/A</v>
      </c>
    </row>
    <row r="146">
      <c r="A146" s="6" t="s">
        <v>791</v>
      </c>
      <c r="B146" s="6" t="s">
        <v>791</v>
      </c>
      <c r="C146" s="6" t="e">
        <v>#N/A</v>
      </c>
      <c r="D146" s="6" t="e">
        <v>#N/A</v>
      </c>
      <c r="E146" s="6" t="e">
        <v>#N/A</v>
      </c>
      <c r="F146" s="6" t="e">
        <v>#N/A</v>
      </c>
      <c r="G146" s="6">
        <v>0.0</v>
      </c>
      <c r="H146" s="7" t="e">
        <v>#N/A</v>
      </c>
      <c r="I146" s="6" t="e">
        <v>#N/A</v>
      </c>
      <c r="J146" s="6" t="e">
        <v>#N/A</v>
      </c>
      <c r="K146" s="11" t="s">
        <v>51</v>
      </c>
      <c r="L146" s="11" t="s">
        <v>52</v>
      </c>
      <c r="M146" s="6" t="str">
        <f t="shared" si="2"/>
        <v>#REF!</v>
      </c>
      <c r="N146" s="6" t="str">
        <f>VLOOKUP(A146, Sheet2!A:M, 3, FALSE)</f>
        <v>#N/A</v>
      </c>
      <c r="O146" s="10" t="e">
        <v>#N/A</v>
      </c>
      <c r="P146" s="10" t="e">
        <v>#N/A</v>
      </c>
    </row>
    <row r="147">
      <c r="A147" s="6" t="s">
        <v>792</v>
      </c>
      <c r="B147" s="6" t="s">
        <v>792</v>
      </c>
      <c r="C147" s="6" t="e">
        <v>#N/A</v>
      </c>
      <c r="D147" s="6" t="e">
        <v>#N/A</v>
      </c>
      <c r="E147" s="6" t="e">
        <v>#N/A</v>
      </c>
      <c r="F147" s="6" t="e">
        <v>#N/A</v>
      </c>
      <c r="G147" s="6">
        <v>0.0</v>
      </c>
      <c r="H147" s="7" t="e">
        <v>#N/A</v>
      </c>
      <c r="I147" s="6" t="e">
        <v>#N/A</v>
      </c>
      <c r="J147" s="6" t="e">
        <v>#N/A</v>
      </c>
      <c r="K147" s="11" t="s">
        <v>51</v>
      </c>
      <c r="L147" s="11" t="s">
        <v>52</v>
      </c>
      <c r="M147" s="6" t="str">
        <f t="shared" si="2"/>
        <v>#REF!</v>
      </c>
      <c r="N147" s="6" t="str">
        <f>VLOOKUP(A147, Sheet2!A:M, 3, FALSE)</f>
        <v>#N/A</v>
      </c>
      <c r="O147" s="10" t="e">
        <v>#N/A</v>
      </c>
      <c r="P147" s="10" t="e">
        <v>#N/A</v>
      </c>
    </row>
    <row r="148">
      <c r="A148" s="6" t="s">
        <v>793</v>
      </c>
      <c r="B148" s="6" t="s">
        <v>793</v>
      </c>
      <c r="C148" s="6" t="e">
        <v>#N/A</v>
      </c>
      <c r="D148" s="6" t="e">
        <v>#N/A</v>
      </c>
      <c r="E148" s="6" t="e">
        <v>#N/A</v>
      </c>
      <c r="F148" s="6" t="e">
        <v>#N/A</v>
      </c>
      <c r="G148" s="6">
        <v>0.0</v>
      </c>
      <c r="H148" s="7" t="e">
        <v>#N/A</v>
      </c>
      <c r="I148" s="6" t="e">
        <v>#N/A</v>
      </c>
      <c r="J148" s="6" t="e">
        <v>#N/A</v>
      </c>
      <c r="K148" s="11" t="s">
        <v>51</v>
      </c>
      <c r="L148" s="11" t="s">
        <v>52</v>
      </c>
      <c r="M148" s="6" t="str">
        <f t="shared" si="2"/>
        <v>#REF!</v>
      </c>
      <c r="N148" s="6" t="str">
        <f>VLOOKUP(A148, Sheet2!A:M, 3, FALSE)</f>
        <v>#N/A</v>
      </c>
      <c r="O148" s="10" t="e">
        <v>#N/A</v>
      </c>
      <c r="P148" s="10" t="e">
        <v>#N/A</v>
      </c>
    </row>
    <row r="149">
      <c r="A149" s="6" t="s">
        <v>794</v>
      </c>
      <c r="B149" s="6" t="s">
        <v>794</v>
      </c>
      <c r="C149" s="6" t="e">
        <v>#N/A</v>
      </c>
      <c r="D149" s="6" t="e">
        <v>#N/A</v>
      </c>
      <c r="E149" s="6" t="e">
        <v>#N/A</v>
      </c>
      <c r="F149" s="6" t="e">
        <v>#N/A</v>
      </c>
      <c r="G149" s="6">
        <v>0.0</v>
      </c>
      <c r="H149" s="7" t="e">
        <v>#N/A</v>
      </c>
      <c r="I149" s="6" t="e">
        <v>#N/A</v>
      </c>
      <c r="J149" s="6" t="e">
        <v>#N/A</v>
      </c>
      <c r="K149" s="11" t="s">
        <v>51</v>
      </c>
      <c r="L149" s="11" t="s">
        <v>52</v>
      </c>
      <c r="M149" s="6" t="str">
        <f t="shared" si="2"/>
        <v>#REF!</v>
      </c>
      <c r="N149" s="6" t="str">
        <f>VLOOKUP(A149, Sheet2!A:M, 3, FALSE)</f>
        <v>#N/A</v>
      </c>
      <c r="O149" s="10" t="e">
        <v>#N/A</v>
      </c>
      <c r="P149" s="10" t="e">
        <v>#N/A</v>
      </c>
    </row>
    <row r="150">
      <c r="A150" s="6" t="s">
        <v>795</v>
      </c>
      <c r="B150" s="6" t="s">
        <v>795</v>
      </c>
      <c r="C150" s="6" t="e">
        <v>#N/A</v>
      </c>
      <c r="D150" s="6" t="e">
        <v>#N/A</v>
      </c>
      <c r="E150" s="6" t="e">
        <v>#N/A</v>
      </c>
      <c r="F150" s="6" t="e">
        <v>#N/A</v>
      </c>
      <c r="G150" s="6">
        <v>0.0</v>
      </c>
      <c r="H150" s="7" t="e">
        <v>#N/A</v>
      </c>
      <c r="I150" s="6" t="e">
        <v>#N/A</v>
      </c>
      <c r="J150" s="6" t="e">
        <v>#N/A</v>
      </c>
      <c r="K150" s="11" t="s">
        <v>51</v>
      </c>
      <c r="L150" s="11" t="s">
        <v>52</v>
      </c>
      <c r="M150" s="6" t="str">
        <f t="shared" si="2"/>
        <v>#REF!</v>
      </c>
      <c r="N150" s="6" t="str">
        <f>VLOOKUP(A150, Sheet2!A:M, 3, FALSE)</f>
        <v>#N/A</v>
      </c>
      <c r="O150" s="10" t="e">
        <v>#N/A</v>
      </c>
      <c r="P150" s="10" t="e">
        <v>#N/A</v>
      </c>
    </row>
    <row r="151">
      <c r="A151" s="6" t="s">
        <v>796</v>
      </c>
      <c r="B151" s="6" t="s">
        <v>796</v>
      </c>
      <c r="C151" s="6" t="e">
        <v>#N/A</v>
      </c>
      <c r="D151" s="6" t="e">
        <v>#N/A</v>
      </c>
      <c r="E151" s="6" t="e">
        <v>#N/A</v>
      </c>
      <c r="F151" s="6" t="e">
        <v>#N/A</v>
      </c>
      <c r="G151" s="6">
        <v>0.0</v>
      </c>
      <c r="H151" s="7" t="e">
        <v>#N/A</v>
      </c>
      <c r="I151" s="6" t="e">
        <v>#N/A</v>
      </c>
      <c r="J151" s="6" t="e">
        <v>#N/A</v>
      </c>
      <c r="K151" s="11" t="s">
        <v>51</v>
      </c>
      <c r="L151" s="11" t="s">
        <v>52</v>
      </c>
      <c r="M151" s="6" t="str">
        <f t="shared" si="2"/>
        <v>#REF!</v>
      </c>
      <c r="N151" s="6" t="str">
        <f>VLOOKUP(A151, Sheet2!A:M, 3, FALSE)</f>
        <v>#N/A</v>
      </c>
      <c r="O151" s="10" t="e">
        <v>#N/A</v>
      </c>
      <c r="P151" s="10" t="e">
        <v>#N/A</v>
      </c>
    </row>
    <row r="152">
      <c r="A152" s="6" t="s">
        <v>797</v>
      </c>
      <c r="B152" s="6" t="s">
        <v>797</v>
      </c>
      <c r="C152" s="6" t="e">
        <v>#N/A</v>
      </c>
      <c r="D152" s="6" t="e">
        <v>#N/A</v>
      </c>
      <c r="E152" s="6" t="e">
        <v>#N/A</v>
      </c>
      <c r="F152" s="6" t="e">
        <v>#N/A</v>
      </c>
      <c r="G152" s="6">
        <v>0.0</v>
      </c>
      <c r="H152" s="7" t="e">
        <v>#N/A</v>
      </c>
      <c r="I152" s="6" t="e">
        <v>#N/A</v>
      </c>
      <c r="J152" s="6" t="e">
        <v>#N/A</v>
      </c>
      <c r="K152" s="11" t="s">
        <v>51</v>
      </c>
      <c r="L152" s="11" t="s">
        <v>52</v>
      </c>
      <c r="M152" s="6" t="str">
        <f t="shared" si="2"/>
        <v>#REF!</v>
      </c>
      <c r="N152" s="6" t="str">
        <f>VLOOKUP(A152, Sheet2!A:M, 3, FALSE)</f>
        <v>#N/A</v>
      </c>
      <c r="O152" s="10" t="e">
        <v>#N/A</v>
      </c>
      <c r="P152" s="10" t="e">
        <v>#N/A</v>
      </c>
    </row>
    <row r="153">
      <c r="A153" s="6" t="s">
        <v>798</v>
      </c>
      <c r="B153" s="6" t="s">
        <v>798</v>
      </c>
      <c r="C153" s="6" t="e">
        <v>#N/A</v>
      </c>
      <c r="D153" s="6" t="e">
        <v>#N/A</v>
      </c>
      <c r="E153" s="6" t="e">
        <v>#N/A</v>
      </c>
      <c r="F153" s="6" t="e">
        <v>#N/A</v>
      </c>
      <c r="G153" s="6">
        <v>0.0</v>
      </c>
      <c r="H153" s="7" t="e">
        <v>#N/A</v>
      </c>
      <c r="I153" s="6" t="e">
        <v>#N/A</v>
      </c>
      <c r="J153" s="6" t="e">
        <v>#N/A</v>
      </c>
      <c r="K153" s="11" t="s">
        <v>51</v>
      </c>
      <c r="L153" s="11" t="s">
        <v>52</v>
      </c>
      <c r="M153" s="6" t="str">
        <f t="shared" si="2"/>
        <v>#REF!</v>
      </c>
      <c r="N153" s="6" t="str">
        <f>VLOOKUP(A153, Sheet2!A:M, 3, FALSE)</f>
        <v>#N/A</v>
      </c>
      <c r="O153" s="10" t="e">
        <v>#N/A</v>
      </c>
      <c r="P153" s="10" t="e">
        <v>#N/A</v>
      </c>
    </row>
    <row r="154">
      <c r="A154" s="6" t="s">
        <v>799</v>
      </c>
      <c r="B154" s="6" t="s">
        <v>799</v>
      </c>
      <c r="C154" s="6" t="e">
        <v>#N/A</v>
      </c>
      <c r="D154" s="6" t="e">
        <v>#N/A</v>
      </c>
      <c r="E154" s="6" t="e">
        <v>#N/A</v>
      </c>
      <c r="F154" s="6" t="e">
        <v>#N/A</v>
      </c>
      <c r="G154" s="6">
        <v>0.0</v>
      </c>
      <c r="H154" s="7" t="e">
        <v>#N/A</v>
      </c>
      <c r="I154" s="6" t="e">
        <v>#N/A</v>
      </c>
      <c r="J154" s="6" t="e">
        <v>#N/A</v>
      </c>
      <c r="K154" s="11" t="s">
        <v>51</v>
      </c>
      <c r="L154" s="11" t="s">
        <v>52</v>
      </c>
      <c r="M154" s="6" t="str">
        <f t="shared" si="2"/>
        <v>#REF!</v>
      </c>
      <c r="N154" s="6" t="str">
        <f>VLOOKUP(A154, Sheet2!A:M, 3, FALSE)</f>
        <v>#N/A</v>
      </c>
      <c r="O154" s="10" t="e">
        <v>#N/A</v>
      </c>
      <c r="P154" s="10" t="e">
        <v>#N/A</v>
      </c>
    </row>
    <row r="155">
      <c r="A155" s="6" t="s">
        <v>800</v>
      </c>
      <c r="B155" s="6" t="s">
        <v>800</v>
      </c>
      <c r="C155" s="6" t="e">
        <v>#N/A</v>
      </c>
      <c r="D155" s="6" t="e">
        <v>#N/A</v>
      </c>
      <c r="E155" s="6" t="e">
        <v>#N/A</v>
      </c>
      <c r="F155" s="6" t="e">
        <v>#N/A</v>
      </c>
      <c r="G155" s="6">
        <v>0.0</v>
      </c>
      <c r="H155" s="7" t="e">
        <v>#N/A</v>
      </c>
      <c r="I155" s="6" t="e">
        <v>#N/A</v>
      </c>
      <c r="J155" s="6" t="e">
        <v>#N/A</v>
      </c>
      <c r="K155" s="11" t="s">
        <v>51</v>
      </c>
      <c r="L155" s="11" t="s">
        <v>52</v>
      </c>
      <c r="M155" s="6" t="str">
        <f t="shared" si="2"/>
        <v>#REF!</v>
      </c>
      <c r="N155" s="6" t="str">
        <f>VLOOKUP(A155, Sheet2!A:M, 3, FALSE)</f>
        <v>#N/A</v>
      </c>
      <c r="O155" s="10" t="e">
        <v>#N/A</v>
      </c>
      <c r="P155" s="10" t="e">
        <v>#N/A</v>
      </c>
    </row>
    <row r="156">
      <c r="A156" s="6" t="s">
        <v>801</v>
      </c>
      <c r="B156" s="6" t="s">
        <v>801</v>
      </c>
      <c r="C156" s="6" t="e">
        <v>#N/A</v>
      </c>
      <c r="D156" s="6" t="e">
        <v>#N/A</v>
      </c>
      <c r="E156" s="6" t="e">
        <v>#N/A</v>
      </c>
      <c r="F156" s="6" t="e">
        <v>#N/A</v>
      </c>
      <c r="G156" s="6">
        <v>0.0</v>
      </c>
      <c r="H156" s="7" t="e">
        <v>#N/A</v>
      </c>
      <c r="I156" s="6" t="e">
        <v>#N/A</v>
      </c>
      <c r="J156" s="6" t="e">
        <v>#N/A</v>
      </c>
      <c r="K156" s="11" t="s">
        <v>51</v>
      </c>
      <c r="L156" s="11" t="s">
        <v>52</v>
      </c>
      <c r="M156" s="6" t="str">
        <f t="shared" si="2"/>
        <v>#REF!</v>
      </c>
      <c r="N156" s="6" t="str">
        <f>VLOOKUP(A156, Sheet2!A:M, 3, FALSE)</f>
        <v>#N/A</v>
      </c>
      <c r="O156" s="10" t="e">
        <v>#N/A</v>
      </c>
      <c r="P156" s="10" t="e">
        <v>#N/A</v>
      </c>
    </row>
    <row r="157">
      <c r="A157" s="6" t="s">
        <v>802</v>
      </c>
      <c r="B157" s="6" t="s">
        <v>802</v>
      </c>
      <c r="C157" s="6" t="e">
        <v>#N/A</v>
      </c>
      <c r="D157" s="6" t="e">
        <v>#N/A</v>
      </c>
      <c r="E157" s="6" t="e">
        <v>#N/A</v>
      </c>
      <c r="F157" s="6" t="e">
        <v>#N/A</v>
      </c>
      <c r="G157" s="6">
        <v>0.0</v>
      </c>
      <c r="H157" s="7" t="e">
        <v>#N/A</v>
      </c>
      <c r="I157" s="6" t="e">
        <v>#N/A</v>
      </c>
      <c r="J157" s="6" t="e">
        <v>#N/A</v>
      </c>
      <c r="K157" s="11" t="s">
        <v>51</v>
      </c>
      <c r="L157" s="11" t="s">
        <v>52</v>
      </c>
      <c r="M157" s="6" t="str">
        <f t="shared" si="2"/>
        <v>#REF!</v>
      </c>
      <c r="N157" s="6" t="str">
        <f>VLOOKUP(A157, Sheet2!A:M, 3, FALSE)</f>
        <v>#N/A</v>
      </c>
      <c r="O157" s="10" t="e">
        <v>#N/A</v>
      </c>
      <c r="P157" s="10" t="e">
        <v>#N/A</v>
      </c>
    </row>
    <row r="158">
      <c r="A158" s="6" t="s">
        <v>803</v>
      </c>
      <c r="B158" s="6" t="s">
        <v>803</v>
      </c>
      <c r="C158" s="6" t="e">
        <v>#N/A</v>
      </c>
      <c r="D158" s="6" t="e">
        <v>#N/A</v>
      </c>
      <c r="E158" s="6" t="e">
        <v>#N/A</v>
      </c>
      <c r="F158" s="6" t="e">
        <v>#N/A</v>
      </c>
      <c r="G158" s="6">
        <v>0.0</v>
      </c>
      <c r="H158" s="7" t="e">
        <v>#N/A</v>
      </c>
      <c r="I158" s="6" t="e">
        <v>#N/A</v>
      </c>
      <c r="J158" s="6" t="e">
        <v>#N/A</v>
      </c>
      <c r="K158" s="11" t="s">
        <v>51</v>
      </c>
      <c r="L158" s="11" t="s">
        <v>52</v>
      </c>
      <c r="M158" s="6" t="str">
        <f t="shared" si="2"/>
        <v>#REF!</v>
      </c>
      <c r="N158" s="6" t="str">
        <f>VLOOKUP(A158, Sheet2!A:M, 3, FALSE)</f>
        <v>#N/A</v>
      </c>
      <c r="O158" s="10" t="e">
        <v>#N/A</v>
      </c>
      <c r="P158" s="10" t="e">
        <v>#N/A</v>
      </c>
    </row>
    <row r="159">
      <c r="A159" s="6" t="s">
        <v>804</v>
      </c>
      <c r="B159" s="6" t="s">
        <v>804</v>
      </c>
      <c r="C159" s="6" t="s">
        <v>805</v>
      </c>
      <c r="D159" s="6" t="s">
        <v>806</v>
      </c>
      <c r="E159" s="6" t="e">
        <v>#N/A</v>
      </c>
      <c r="F159" s="6" t="s">
        <v>807</v>
      </c>
      <c r="G159" s="6" t="s">
        <v>808</v>
      </c>
      <c r="H159" s="7" t="s">
        <v>809</v>
      </c>
      <c r="I159" s="6">
        <v>3.2784129E7</v>
      </c>
      <c r="J159" s="6" t="e">
        <v>#N/A</v>
      </c>
      <c r="K159" s="6" t="str">
        <f>VLOOKUP(A159,Sheet4!$A:$H,7,0)</f>
        <v>Hybrid Latex Mattress</v>
      </c>
      <c r="L159" s="6" t="str">
        <f>VLOOKUP(B159,Sheet4!$A:$H,8,0)</f>
        <v>Mattress</v>
      </c>
      <c r="M159" s="6">
        <v>10999.0</v>
      </c>
      <c r="N159" s="8">
        <v>9239.0</v>
      </c>
      <c r="O159" s="9">
        <v>9899.0</v>
      </c>
      <c r="P159" s="10">
        <v>8799.2</v>
      </c>
    </row>
    <row r="160">
      <c r="A160" s="6" t="s">
        <v>810</v>
      </c>
      <c r="B160" s="6" t="s">
        <v>810</v>
      </c>
      <c r="C160" s="6" t="s">
        <v>811</v>
      </c>
      <c r="D160" s="6" t="s">
        <v>812</v>
      </c>
      <c r="E160" s="6" t="s">
        <v>813</v>
      </c>
      <c r="F160" s="6">
        <v>0.0</v>
      </c>
      <c r="G160" s="6" t="s">
        <v>814</v>
      </c>
      <c r="H160" s="7" t="s">
        <v>815</v>
      </c>
      <c r="I160" s="6">
        <v>3.2784205E7</v>
      </c>
      <c r="J160" s="6" t="s">
        <v>816</v>
      </c>
      <c r="K160" s="6" t="str">
        <f>VLOOKUP(A160,Sheet4!$A:$H,7,0)</f>
        <v>Hybrid Latex Mattress</v>
      </c>
      <c r="L160" s="6" t="str">
        <f>VLOOKUP(B160,Sheet4!$A:$H,8,0)</f>
        <v>Mattress</v>
      </c>
      <c r="M160" s="6">
        <v>11399.0</v>
      </c>
      <c r="N160" s="8">
        <v>9575.0</v>
      </c>
      <c r="O160" s="9">
        <v>10299.0</v>
      </c>
      <c r="P160" s="10">
        <v>9119.2</v>
      </c>
    </row>
    <row r="161">
      <c r="A161" s="6" t="s">
        <v>817</v>
      </c>
      <c r="B161" s="6" t="s">
        <v>817</v>
      </c>
      <c r="C161" s="6" t="s">
        <v>818</v>
      </c>
      <c r="D161" s="6" t="s">
        <v>819</v>
      </c>
      <c r="E161" s="6" t="e">
        <v>#N/A</v>
      </c>
      <c r="F161" s="6" t="s">
        <v>820</v>
      </c>
      <c r="G161" s="6" t="s">
        <v>821</v>
      </c>
      <c r="H161" s="7" t="s">
        <v>822</v>
      </c>
      <c r="I161" s="6">
        <v>3.2783791E7</v>
      </c>
      <c r="J161" s="6" t="s">
        <v>823</v>
      </c>
      <c r="K161" s="6" t="str">
        <f>VLOOKUP(A161,Sheet4!$A:$H,7,0)</f>
        <v>Hybrid Latex Mattress</v>
      </c>
      <c r="L161" s="6" t="str">
        <f>VLOOKUP(B161,Sheet4!$A:$H,8,0)</f>
        <v>Mattress</v>
      </c>
      <c r="M161" s="6">
        <v>11499.0</v>
      </c>
      <c r="N161" s="8">
        <v>9659.0</v>
      </c>
      <c r="O161" s="9">
        <v>10299.0</v>
      </c>
      <c r="P161" s="10">
        <v>9199.2</v>
      </c>
    </row>
    <row r="162">
      <c r="A162" s="6" t="s">
        <v>824</v>
      </c>
      <c r="B162" s="6" t="s">
        <v>824</v>
      </c>
      <c r="C162" s="6" t="s">
        <v>825</v>
      </c>
      <c r="D162" s="6" t="s">
        <v>826</v>
      </c>
      <c r="E162" s="6" t="e">
        <v>#N/A</v>
      </c>
      <c r="F162" s="6" t="s">
        <v>827</v>
      </c>
      <c r="G162" s="6" t="s">
        <v>828</v>
      </c>
      <c r="H162" s="7" t="s">
        <v>829</v>
      </c>
      <c r="I162" s="6">
        <v>3.2784149E7</v>
      </c>
      <c r="J162" s="6" t="s">
        <v>830</v>
      </c>
      <c r="K162" s="6" t="str">
        <f>VLOOKUP(A162,Sheet4!$A:$H,7,0)</f>
        <v>Hybrid Latex Mattress</v>
      </c>
      <c r="L162" s="6" t="str">
        <f>VLOOKUP(B162,Sheet4!$A:$H,8,0)</f>
        <v>Mattress</v>
      </c>
      <c r="M162" s="6">
        <v>11899.0</v>
      </c>
      <c r="N162" s="8">
        <v>9995.0</v>
      </c>
      <c r="O162" s="9">
        <v>10699.0</v>
      </c>
      <c r="P162" s="10">
        <v>9519.2</v>
      </c>
    </row>
    <row r="163">
      <c r="A163" s="6" t="s">
        <v>831</v>
      </c>
      <c r="B163" s="6" t="s">
        <v>831</v>
      </c>
      <c r="C163" s="6" t="s">
        <v>832</v>
      </c>
      <c r="D163" s="6" t="s">
        <v>833</v>
      </c>
      <c r="E163" s="6" t="e">
        <v>#N/A</v>
      </c>
      <c r="F163" s="6">
        <v>0.0</v>
      </c>
      <c r="G163" s="6" t="s">
        <v>834</v>
      </c>
      <c r="H163" s="7" t="s">
        <v>835</v>
      </c>
      <c r="I163" s="6" t="e">
        <v>#N/A</v>
      </c>
      <c r="J163" s="6" t="e">
        <v>#N/A</v>
      </c>
      <c r="K163" s="6" t="str">
        <f>VLOOKUP(A163,Sheet4!$A:$H,7,0)</f>
        <v>Hybrid Latex Mattress</v>
      </c>
      <c r="L163" s="6" t="str">
        <f>VLOOKUP(B163,Sheet4!$A:$H,8,0)</f>
        <v>Mattress</v>
      </c>
      <c r="M163" s="6">
        <v>13999.0</v>
      </c>
      <c r="N163" s="8">
        <v>11759.0</v>
      </c>
      <c r="O163" s="9">
        <v>12599.0</v>
      </c>
      <c r="P163" s="10">
        <v>11199.2</v>
      </c>
    </row>
    <row r="164">
      <c r="A164" s="6" t="s">
        <v>836</v>
      </c>
      <c r="B164" s="6" t="s">
        <v>836</v>
      </c>
      <c r="C164" s="6" t="s">
        <v>837</v>
      </c>
      <c r="D164" s="6" t="s">
        <v>838</v>
      </c>
      <c r="E164" s="6" t="e">
        <v>#N/A</v>
      </c>
      <c r="F164" s="6" t="s">
        <v>839</v>
      </c>
      <c r="G164" s="6" t="s">
        <v>840</v>
      </c>
      <c r="H164" s="7" t="s">
        <v>841</v>
      </c>
      <c r="I164" s="6">
        <v>3.2783881E7</v>
      </c>
      <c r="J164" s="6" t="s">
        <v>842</v>
      </c>
      <c r="K164" s="6" t="str">
        <f>VLOOKUP(A164,Sheet4!$A:$H,7,0)</f>
        <v>Hybrid Latex Mattress</v>
      </c>
      <c r="L164" s="6" t="str">
        <f>VLOOKUP(B164,Sheet4!$A:$H,8,0)</f>
        <v>Mattress</v>
      </c>
      <c r="M164" s="6">
        <v>12899.0</v>
      </c>
      <c r="N164" s="8">
        <v>10835.0</v>
      </c>
      <c r="O164" s="9">
        <v>11599.0</v>
      </c>
      <c r="P164" s="10">
        <v>10319.2</v>
      </c>
    </row>
    <row r="165">
      <c r="A165" s="6" t="s">
        <v>843</v>
      </c>
      <c r="B165" s="6" t="s">
        <v>843</v>
      </c>
      <c r="C165" s="6" t="s">
        <v>844</v>
      </c>
      <c r="D165" s="6" t="s">
        <v>845</v>
      </c>
      <c r="E165" s="6" t="e">
        <v>#N/A</v>
      </c>
      <c r="F165" s="6">
        <v>0.0</v>
      </c>
      <c r="G165" s="6" t="s">
        <v>846</v>
      </c>
      <c r="H165" s="7" t="s">
        <v>847</v>
      </c>
      <c r="I165" s="6">
        <v>3.2783988E7</v>
      </c>
      <c r="J165" s="6" t="s">
        <v>848</v>
      </c>
      <c r="K165" s="6" t="str">
        <f>VLOOKUP(A165,Sheet4!$A:$H,7,0)</f>
        <v>Hybrid Latex Mattress</v>
      </c>
      <c r="L165" s="6" t="str">
        <f>VLOOKUP(B165,Sheet4!$A:$H,8,0)</f>
        <v>Mattress</v>
      </c>
      <c r="M165" s="6">
        <v>12999.0</v>
      </c>
      <c r="N165" s="8">
        <v>10919.0</v>
      </c>
      <c r="O165" s="9">
        <v>11699.0</v>
      </c>
      <c r="P165" s="10">
        <v>10399.2</v>
      </c>
    </row>
    <row r="166">
      <c r="A166" s="6" t="s">
        <v>849</v>
      </c>
      <c r="B166" s="6" t="s">
        <v>849</v>
      </c>
      <c r="C166" s="6" t="s">
        <v>850</v>
      </c>
      <c r="D166" s="6" t="s">
        <v>851</v>
      </c>
      <c r="E166" s="6" t="e">
        <v>#N/A</v>
      </c>
      <c r="F166" s="6" t="s">
        <v>852</v>
      </c>
      <c r="G166" s="6" t="s">
        <v>853</v>
      </c>
      <c r="H166" s="7" t="s">
        <v>854</v>
      </c>
      <c r="I166" s="6">
        <v>3.2784224E7</v>
      </c>
      <c r="J166" s="6" t="s">
        <v>855</v>
      </c>
      <c r="K166" s="6" t="str">
        <f>VLOOKUP(A166,Sheet4!$A:$H,7,0)</f>
        <v>Hybrid Latex Mattress</v>
      </c>
      <c r="L166" s="6" t="str">
        <f>VLOOKUP(B166,Sheet4!$A:$H,8,0)</f>
        <v>Mattress</v>
      </c>
      <c r="M166" s="6">
        <v>13399.0</v>
      </c>
      <c r="N166" s="8">
        <v>11255.0</v>
      </c>
      <c r="O166" s="9">
        <v>12099.0</v>
      </c>
      <c r="P166" s="10">
        <v>10719.2</v>
      </c>
    </row>
    <row r="167">
      <c r="A167" s="6" t="s">
        <v>856</v>
      </c>
      <c r="B167" s="6" t="s">
        <v>856</v>
      </c>
      <c r="C167" s="6" t="s">
        <v>857</v>
      </c>
      <c r="D167" s="6" t="s">
        <v>858</v>
      </c>
      <c r="E167" s="6" t="e">
        <v>#N/A</v>
      </c>
      <c r="F167" s="6">
        <v>0.0</v>
      </c>
      <c r="G167" s="6" t="s">
        <v>859</v>
      </c>
      <c r="H167" s="7" t="s">
        <v>860</v>
      </c>
      <c r="I167" s="6" t="e">
        <v>#N/A</v>
      </c>
      <c r="J167" s="6" t="e">
        <v>#N/A</v>
      </c>
      <c r="K167" s="6" t="str">
        <f>VLOOKUP(A167,Sheet4!$A:$H,7,0)</f>
        <v>Hybrid Latex Mattress</v>
      </c>
      <c r="L167" s="6" t="str">
        <f>VLOOKUP(B167,Sheet4!$A:$H,8,0)</f>
        <v>Mattress</v>
      </c>
      <c r="M167" s="6">
        <v>15499.0</v>
      </c>
      <c r="N167" s="8">
        <v>13019.0</v>
      </c>
      <c r="O167" s="9">
        <v>13899.0</v>
      </c>
      <c r="P167" s="10">
        <v>12399.2</v>
      </c>
    </row>
    <row r="168">
      <c r="A168" s="6" t="s">
        <v>861</v>
      </c>
      <c r="B168" s="6" t="s">
        <v>861</v>
      </c>
      <c r="C168" s="6" t="s">
        <v>862</v>
      </c>
      <c r="D168" s="6" t="s">
        <v>863</v>
      </c>
      <c r="E168" s="6" t="e">
        <v>#N/A</v>
      </c>
      <c r="F168" s="6" t="s">
        <v>864</v>
      </c>
      <c r="G168" s="6" t="s">
        <v>865</v>
      </c>
      <c r="H168" s="7" t="s">
        <v>866</v>
      </c>
      <c r="I168" s="6">
        <v>3.1999061E7</v>
      </c>
      <c r="J168" s="6" t="s">
        <v>867</v>
      </c>
      <c r="K168" s="6" t="str">
        <f>VLOOKUP(A168,Sheet4!$A:$H,7,0)</f>
        <v>Hybrid Latex Mattress</v>
      </c>
      <c r="L168" s="6" t="str">
        <f>VLOOKUP(B168,Sheet4!$A:$H,8,0)</f>
        <v>Mattress</v>
      </c>
      <c r="M168" s="6">
        <v>16199.0</v>
      </c>
      <c r="N168" s="8">
        <v>13607.0</v>
      </c>
      <c r="O168" s="9">
        <v>14599.0</v>
      </c>
      <c r="P168" s="10">
        <v>12959.2</v>
      </c>
    </row>
    <row r="169">
      <c r="A169" s="6" t="s">
        <v>868</v>
      </c>
      <c r="B169" s="6" t="s">
        <v>868</v>
      </c>
      <c r="C169" s="6" t="s">
        <v>869</v>
      </c>
      <c r="D169" s="6" t="s">
        <v>870</v>
      </c>
      <c r="E169" s="6" t="e">
        <v>#N/A</v>
      </c>
      <c r="F169" s="6" t="s">
        <v>871</v>
      </c>
      <c r="G169" s="6" t="s">
        <v>872</v>
      </c>
      <c r="H169" s="7" t="s">
        <v>873</v>
      </c>
      <c r="I169" s="6">
        <v>3.1999072E7</v>
      </c>
      <c r="J169" s="6" t="s">
        <v>874</v>
      </c>
      <c r="K169" s="6" t="str">
        <f>VLOOKUP(A169,Sheet4!$A:$H,7,0)</f>
        <v>Hybrid Latex Mattress</v>
      </c>
      <c r="L169" s="6" t="str">
        <f>VLOOKUP(B169,Sheet4!$A:$H,8,0)</f>
        <v>Mattress</v>
      </c>
      <c r="M169" s="6">
        <v>16499.0</v>
      </c>
      <c r="N169" s="8">
        <v>13859.0</v>
      </c>
      <c r="O169" s="9">
        <v>14799.0</v>
      </c>
      <c r="P169" s="10">
        <v>13199.2</v>
      </c>
    </row>
    <row r="170">
      <c r="A170" s="6" t="s">
        <v>875</v>
      </c>
      <c r="B170" s="6" t="s">
        <v>875</v>
      </c>
      <c r="C170" s="6" t="s">
        <v>876</v>
      </c>
      <c r="D170" s="6" t="s">
        <v>877</v>
      </c>
      <c r="E170" s="6" t="e">
        <v>#N/A</v>
      </c>
      <c r="F170" s="6" t="s">
        <v>878</v>
      </c>
      <c r="G170" s="6" t="s">
        <v>879</v>
      </c>
      <c r="H170" s="7" t="s">
        <v>880</v>
      </c>
      <c r="I170" s="6">
        <v>3.2783944E7</v>
      </c>
      <c r="J170" s="6" t="s">
        <v>881</v>
      </c>
      <c r="K170" s="6" t="str">
        <f>VLOOKUP(A170,Sheet4!$A:$H,7,0)</f>
        <v>Hybrid Latex Mattress</v>
      </c>
      <c r="L170" s="6" t="str">
        <f>VLOOKUP(B170,Sheet4!$A:$H,8,0)</f>
        <v>Mattress</v>
      </c>
      <c r="M170" s="6">
        <v>16899.0</v>
      </c>
      <c r="N170" s="8">
        <v>14195.0</v>
      </c>
      <c r="O170" s="9">
        <v>15199.0</v>
      </c>
      <c r="P170" s="10">
        <v>13519.2</v>
      </c>
    </row>
    <row r="171">
      <c r="A171" s="6" t="s">
        <v>882</v>
      </c>
      <c r="B171" s="6" t="s">
        <v>882</v>
      </c>
      <c r="C171" s="6" t="s">
        <v>883</v>
      </c>
      <c r="D171" s="6" t="s">
        <v>884</v>
      </c>
      <c r="E171" s="6" t="e">
        <v>#N/A</v>
      </c>
      <c r="F171" s="6">
        <v>0.0</v>
      </c>
      <c r="G171" s="6" t="s">
        <v>885</v>
      </c>
      <c r="H171" s="7" t="s">
        <v>886</v>
      </c>
      <c r="I171" s="6" t="e">
        <v>#N/A</v>
      </c>
      <c r="J171" s="6" t="e">
        <v>#N/A</v>
      </c>
      <c r="K171" s="6" t="str">
        <f>VLOOKUP(A171,Sheet4!$A:$H,7,0)</f>
        <v>Hybrid Latex Mattress</v>
      </c>
      <c r="L171" s="6" t="str">
        <f>VLOOKUP(B171,Sheet4!$A:$H,8,0)</f>
        <v>Mattress</v>
      </c>
      <c r="M171" s="6">
        <v>18999.0</v>
      </c>
      <c r="N171" s="8">
        <v>15959.0</v>
      </c>
      <c r="O171" s="9">
        <v>17099.0</v>
      </c>
      <c r="P171" s="10">
        <v>15199.2</v>
      </c>
    </row>
    <row r="172">
      <c r="A172" s="6" t="s">
        <v>887</v>
      </c>
      <c r="B172" s="6" t="s">
        <v>887</v>
      </c>
      <c r="C172" s="6" t="s">
        <v>888</v>
      </c>
      <c r="D172" s="6" t="s">
        <v>889</v>
      </c>
      <c r="E172" s="6" t="e">
        <v>#N/A</v>
      </c>
      <c r="F172" s="6">
        <v>0.0</v>
      </c>
      <c r="G172" s="6" t="s">
        <v>890</v>
      </c>
      <c r="H172" s="7" t="s">
        <v>891</v>
      </c>
      <c r="I172" s="6">
        <v>3.199908E7</v>
      </c>
      <c r="J172" s="6" t="s">
        <v>892</v>
      </c>
      <c r="K172" s="6" t="str">
        <f>VLOOKUP(A172,Sheet4!$A:$H,7,0)</f>
        <v>Hybrid Latex Mattress</v>
      </c>
      <c r="L172" s="6" t="str">
        <f>VLOOKUP(B172,Sheet4!$A:$H,8,0)</f>
        <v>Mattress</v>
      </c>
      <c r="M172" s="6">
        <v>13899.0</v>
      </c>
      <c r="N172" s="8">
        <v>11675.0</v>
      </c>
      <c r="O172" s="9">
        <v>12499.0</v>
      </c>
      <c r="P172" s="10">
        <v>11119.2</v>
      </c>
    </row>
    <row r="173">
      <c r="A173" s="6" t="s">
        <v>893</v>
      </c>
      <c r="B173" s="6" t="s">
        <v>893</v>
      </c>
      <c r="C173" s="6" t="s">
        <v>894</v>
      </c>
      <c r="D173" s="6" t="s">
        <v>895</v>
      </c>
      <c r="E173" s="6" t="e">
        <v>#N/A</v>
      </c>
      <c r="F173" s="6">
        <v>0.0</v>
      </c>
      <c r="G173" s="6" t="s">
        <v>896</v>
      </c>
      <c r="H173" s="7" t="s">
        <v>897</v>
      </c>
      <c r="I173" s="6">
        <v>3.2777943E7</v>
      </c>
      <c r="J173" s="6" t="s">
        <v>898</v>
      </c>
      <c r="K173" s="6" t="str">
        <f>VLOOKUP(A173,Sheet4!$A:$H,7,0)</f>
        <v>Hybrid Latex Mattress</v>
      </c>
      <c r="L173" s="6" t="str">
        <f>VLOOKUP(B173,Sheet4!$A:$H,8,0)</f>
        <v>Mattress</v>
      </c>
      <c r="M173" s="6">
        <v>14199.0</v>
      </c>
      <c r="N173" s="8">
        <v>11927.0</v>
      </c>
      <c r="O173" s="9">
        <v>12799.0</v>
      </c>
      <c r="P173" s="10">
        <v>11359.2</v>
      </c>
    </row>
    <row r="174">
      <c r="A174" s="6" t="s">
        <v>899</v>
      </c>
      <c r="B174" s="6" t="s">
        <v>899</v>
      </c>
      <c r="C174" s="6" t="s">
        <v>900</v>
      </c>
      <c r="D174" s="6" t="s">
        <v>901</v>
      </c>
      <c r="E174" s="6" t="e">
        <v>#N/A</v>
      </c>
      <c r="F174" s="6">
        <v>0.0</v>
      </c>
      <c r="G174" s="6" t="s">
        <v>902</v>
      </c>
      <c r="H174" s="7" t="s">
        <v>903</v>
      </c>
      <c r="I174" s="6">
        <v>3.2783863E7</v>
      </c>
      <c r="J174" s="6" t="s">
        <v>904</v>
      </c>
      <c r="K174" s="6" t="str">
        <f>VLOOKUP(A174,Sheet4!$A:$H,7,0)</f>
        <v>Hybrid Latex Mattress</v>
      </c>
      <c r="L174" s="6" t="str">
        <f>VLOOKUP(B174,Sheet4!$A:$H,8,0)</f>
        <v>Mattress</v>
      </c>
      <c r="M174" s="6">
        <v>14699.0</v>
      </c>
      <c r="N174" s="8">
        <v>12347.0</v>
      </c>
      <c r="O174" s="9">
        <v>13199.0</v>
      </c>
      <c r="P174" s="10">
        <v>11759.2</v>
      </c>
    </row>
    <row r="175">
      <c r="A175" s="6" t="s">
        <v>905</v>
      </c>
      <c r="B175" s="6" t="s">
        <v>905</v>
      </c>
      <c r="C175" s="6" t="s">
        <v>906</v>
      </c>
      <c r="D175" s="6" t="s">
        <v>907</v>
      </c>
      <c r="E175" s="6" t="e">
        <v>#N/A</v>
      </c>
      <c r="F175" s="6">
        <v>0.0</v>
      </c>
      <c r="G175" s="6" t="s">
        <v>908</v>
      </c>
      <c r="H175" s="7" t="s">
        <v>909</v>
      </c>
      <c r="I175" s="6" t="e">
        <v>#N/A</v>
      </c>
      <c r="J175" s="6" t="e">
        <v>#N/A</v>
      </c>
      <c r="K175" s="6" t="str">
        <f>VLOOKUP(A175,Sheet4!$A:$H,7,0)</f>
        <v>Hybrid Latex Mattress</v>
      </c>
      <c r="L175" s="6" t="str">
        <f>VLOOKUP(B175,Sheet4!$A:$H,8,0)</f>
        <v>Mattress</v>
      </c>
      <c r="M175" s="6">
        <v>16999.0</v>
      </c>
      <c r="N175" s="8">
        <v>14279.0</v>
      </c>
      <c r="O175" s="9">
        <v>15299.0</v>
      </c>
      <c r="P175" s="10">
        <v>13599.2</v>
      </c>
    </row>
    <row r="176">
      <c r="A176" s="6" t="s">
        <v>910</v>
      </c>
      <c r="B176" s="6" t="s">
        <v>910</v>
      </c>
      <c r="C176" s="6" t="s">
        <v>911</v>
      </c>
      <c r="D176" s="6" t="s">
        <v>912</v>
      </c>
      <c r="E176" s="6" t="e">
        <v>#N/A</v>
      </c>
      <c r="F176" s="6" t="s">
        <v>913</v>
      </c>
      <c r="G176" s="6" t="s">
        <v>914</v>
      </c>
      <c r="H176" s="7" t="s">
        <v>915</v>
      </c>
      <c r="I176" s="6">
        <v>3.1999088E7</v>
      </c>
      <c r="J176" s="6" t="s">
        <v>916</v>
      </c>
      <c r="K176" s="6" t="str">
        <f>VLOOKUP(A176,Sheet4!$A:$H,7,0)</f>
        <v>Hybrid Latex Mattress</v>
      </c>
      <c r="L176" s="6" t="str">
        <f>VLOOKUP(B176,Sheet4!$A:$H,8,0)</f>
        <v>Mattress</v>
      </c>
      <c r="M176" s="6">
        <v>16999.0</v>
      </c>
      <c r="N176" s="8">
        <v>14279.0</v>
      </c>
      <c r="O176" s="9">
        <v>15299.0</v>
      </c>
      <c r="P176" s="10">
        <v>13599.2</v>
      </c>
    </row>
    <row r="177">
      <c r="A177" s="6" t="s">
        <v>917</v>
      </c>
      <c r="B177" s="6" t="s">
        <v>917</v>
      </c>
      <c r="C177" s="6" t="s">
        <v>918</v>
      </c>
      <c r="D177" s="6" t="s">
        <v>919</v>
      </c>
      <c r="E177" s="6" t="s">
        <v>920</v>
      </c>
      <c r="F177" s="6" t="s">
        <v>921</v>
      </c>
      <c r="G177" s="6" t="s">
        <v>922</v>
      </c>
      <c r="H177" s="7" t="s">
        <v>923</v>
      </c>
      <c r="I177" s="6">
        <v>3.1999071E7</v>
      </c>
      <c r="J177" s="6" t="s">
        <v>924</v>
      </c>
      <c r="K177" s="6" t="str">
        <f>VLOOKUP(A177,Sheet4!$A:$H,7,0)</f>
        <v>Hybrid Latex Mattress</v>
      </c>
      <c r="L177" s="6" t="str">
        <f>VLOOKUP(B177,Sheet4!$A:$H,8,0)</f>
        <v>Mattress</v>
      </c>
      <c r="M177" s="6">
        <v>17299.0</v>
      </c>
      <c r="N177" s="8">
        <v>14531.0</v>
      </c>
      <c r="O177" s="9">
        <v>15599.0</v>
      </c>
      <c r="P177" s="10">
        <v>13839.2</v>
      </c>
    </row>
    <row r="178">
      <c r="A178" s="6" t="s">
        <v>925</v>
      </c>
      <c r="B178" s="6" t="s">
        <v>925</v>
      </c>
      <c r="C178" s="6" t="s">
        <v>926</v>
      </c>
      <c r="D178" s="6" t="s">
        <v>927</v>
      </c>
      <c r="E178" s="6" t="s">
        <v>928</v>
      </c>
      <c r="F178" s="6">
        <v>0.0</v>
      </c>
      <c r="G178" s="6" t="s">
        <v>929</v>
      </c>
      <c r="H178" s="7" t="s">
        <v>930</v>
      </c>
      <c r="I178" s="6">
        <v>3.1999057E7</v>
      </c>
      <c r="J178" s="6" t="s">
        <v>931</v>
      </c>
      <c r="K178" s="6" t="str">
        <f>VLOOKUP(A178,Sheet4!$A:$H,7,0)</f>
        <v>Hybrid Latex Mattress</v>
      </c>
      <c r="L178" s="6" t="str">
        <f>VLOOKUP(B178,Sheet4!$A:$H,8,0)</f>
        <v>Mattress</v>
      </c>
      <c r="M178" s="6">
        <v>17799.0</v>
      </c>
      <c r="N178" s="8">
        <v>14951.0</v>
      </c>
      <c r="O178" s="9">
        <v>15999.0</v>
      </c>
      <c r="P178" s="10">
        <v>14239.2</v>
      </c>
    </row>
    <row r="179">
      <c r="A179" s="6" t="s">
        <v>932</v>
      </c>
      <c r="B179" s="6" t="s">
        <v>932</v>
      </c>
      <c r="C179" s="6" t="s">
        <v>933</v>
      </c>
      <c r="D179" s="6" t="s">
        <v>934</v>
      </c>
      <c r="E179" s="6" t="e">
        <v>#N/A</v>
      </c>
      <c r="F179" s="6">
        <v>0.0</v>
      </c>
      <c r="G179" s="6" t="s">
        <v>935</v>
      </c>
      <c r="H179" s="7" t="s">
        <v>936</v>
      </c>
      <c r="I179" s="6" t="e">
        <v>#N/A</v>
      </c>
      <c r="J179" s="6" t="e">
        <v>#N/A</v>
      </c>
      <c r="K179" s="6" t="str">
        <f>VLOOKUP(A179,Sheet4!$A:$H,7,0)</f>
        <v>Hybrid Latex Mattress</v>
      </c>
      <c r="L179" s="6" t="str">
        <f>VLOOKUP(B179,Sheet4!$A:$H,8,0)</f>
        <v>Mattress</v>
      </c>
      <c r="M179" s="6">
        <v>19999.0</v>
      </c>
      <c r="N179" s="8">
        <v>16799.0</v>
      </c>
      <c r="O179" s="9">
        <v>17999.0</v>
      </c>
      <c r="P179" s="10">
        <v>15999.2</v>
      </c>
    </row>
    <row r="180">
      <c r="A180" s="6" t="s">
        <v>937</v>
      </c>
      <c r="B180" s="6" t="s">
        <v>937</v>
      </c>
      <c r="C180" s="6" t="s">
        <v>938</v>
      </c>
      <c r="D180" s="6" t="s">
        <v>939</v>
      </c>
      <c r="E180" s="6" t="e">
        <v>#N/A</v>
      </c>
      <c r="F180" s="6">
        <v>0.0</v>
      </c>
      <c r="G180" s="6" t="s">
        <v>940</v>
      </c>
      <c r="H180" s="7" t="s">
        <v>941</v>
      </c>
      <c r="I180" s="6">
        <v>3.1999058E7</v>
      </c>
      <c r="J180" s="6" t="s">
        <v>942</v>
      </c>
      <c r="K180" s="6" t="str">
        <f>VLOOKUP(A180,Sheet4!$A:$H,7,0)</f>
        <v>Hybrid Latex Mattress</v>
      </c>
      <c r="L180" s="6" t="str">
        <f>VLOOKUP(B180,Sheet4!$A:$H,8,0)</f>
        <v>Mattress</v>
      </c>
      <c r="M180" s="6">
        <v>19399.0</v>
      </c>
      <c r="N180" s="8">
        <v>16295.0</v>
      </c>
      <c r="O180" s="9">
        <v>17499.0</v>
      </c>
      <c r="P180" s="10">
        <v>15519.2</v>
      </c>
    </row>
    <row r="181">
      <c r="A181" s="6" t="s">
        <v>943</v>
      </c>
      <c r="B181" s="6" t="s">
        <v>943</v>
      </c>
      <c r="C181" s="6" t="s">
        <v>944</v>
      </c>
      <c r="D181" s="6" t="s">
        <v>945</v>
      </c>
      <c r="E181" s="6" t="e">
        <v>#N/A</v>
      </c>
      <c r="F181" s="6" t="s">
        <v>946</v>
      </c>
      <c r="G181" s="6" t="s">
        <v>947</v>
      </c>
      <c r="H181" s="7" t="s">
        <v>948</v>
      </c>
      <c r="I181" s="6">
        <v>3.1999084E7</v>
      </c>
      <c r="J181" s="6" t="s">
        <v>949</v>
      </c>
      <c r="K181" s="6" t="str">
        <f>VLOOKUP(A181,Sheet4!$A:$H,7,0)</f>
        <v>Hybrid Latex Mattress</v>
      </c>
      <c r="L181" s="6" t="str">
        <f>VLOOKUP(B181,Sheet4!$A:$H,8,0)</f>
        <v>Mattress</v>
      </c>
      <c r="M181" s="6">
        <v>19799.0</v>
      </c>
      <c r="N181" s="8">
        <v>16631.0</v>
      </c>
      <c r="O181" s="9">
        <v>17799.0</v>
      </c>
      <c r="P181" s="10">
        <v>15839.2</v>
      </c>
    </row>
    <row r="182">
      <c r="A182" s="6" t="s">
        <v>950</v>
      </c>
      <c r="B182" s="6" t="s">
        <v>950</v>
      </c>
      <c r="C182" s="6" t="s">
        <v>951</v>
      </c>
      <c r="D182" s="6" t="s">
        <v>952</v>
      </c>
      <c r="E182" s="6" t="e">
        <v>#N/A</v>
      </c>
      <c r="F182" s="6" t="s">
        <v>953</v>
      </c>
      <c r="G182" s="6" t="s">
        <v>954</v>
      </c>
      <c r="H182" s="7" t="s">
        <v>955</v>
      </c>
      <c r="I182" s="6">
        <v>3.1999068E7</v>
      </c>
      <c r="J182" s="6" t="s">
        <v>956</v>
      </c>
      <c r="K182" s="6" t="str">
        <f>VLOOKUP(A182,Sheet4!$A:$H,7,0)</f>
        <v>Hybrid Latex Mattress</v>
      </c>
      <c r="L182" s="6" t="str">
        <f>VLOOKUP(B182,Sheet4!$A:$H,8,0)</f>
        <v>Mattress</v>
      </c>
      <c r="M182" s="6">
        <v>20199.0</v>
      </c>
      <c r="N182" s="8">
        <v>16967.0</v>
      </c>
      <c r="O182" s="9">
        <v>18199.0</v>
      </c>
      <c r="P182" s="10">
        <v>16159.2</v>
      </c>
    </row>
    <row r="183">
      <c r="A183" s="6" t="s">
        <v>957</v>
      </c>
      <c r="B183" s="6" t="s">
        <v>957</v>
      </c>
      <c r="C183" s="6" t="s">
        <v>958</v>
      </c>
      <c r="D183" s="6" t="s">
        <v>959</v>
      </c>
      <c r="E183" s="6" t="e">
        <v>#N/A</v>
      </c>
      <c r="F183" s="6">
        <v>0.0</v>
      </c>
      <c r="G183" s="6" t="s">
        <v>960</v>
      </c>
      <c r="H183" s="7" t="s">
        <v>961</v>
      </c>
      <c r="I183" s="6" t="e">
        <v>#N/A</v>
      </c>
      <c r="J183" s="6" t="e">
        <v>#N/A</v>
      </c>
      <c r="K183" s="6" t="str">
        <f>VLOOKUP(A183,Sheet4!$A:$H,7,0)</f>
        <v>Hybrid Latex Mattress</v>
      </c>
      <c r="L183" s="6" t="str">
        <f>VLOOKUP(B183,Sheet4!$A:$H,8,0)</f>
        <v>Mattress</v>
      </c>
      <c r="M183" s="6">
        <v>22999.0</v>
      </c>
      <c r="N183" s="8">
        <v>19319.0</v>
      </c>
      <c r="O183" s="9">
        <v>20699.0</v>
      </c>
      <c r="P183" s="10">
        <v>18399.2</v>
      </c>
    </row>
    <row r="184">
      <c r="A184" s="6" t="s">
        <v>962</v>
      </c>
      <c r="B184" s="6" t="s">
        <v>962</v>
      </c>
      <c r="C184" s="6">
        <v>0.0</v>
      </c>
      <c r="D184" s="6">
        <v>0.0</v>
      </c>
      <c r="E184" s="6" t="e">
        <v>#N/A</v>
      </c>
      <c r="F184" s="6">
        <v>0.0</v>
      </c>
      <c r="G184" s="6" t="s">
        <v>963</v>
      </c>
      <c r="H184" s="7" t="e">
        <v>#N/A</v>
      </c>
      <c r="I184" s="6" t="e">
        <v>#N/A</v>
      </c>
      <c r="J184" s="6" t="e">
        <v>#N/A</v>
      </c>
      <c r="K184" s="6" t="str">
        <f>VLOOKUP(A184,Sheet4!$A:$H,7,0)</f>
        <v>Hybrid Latex Mattress</v>
      </c>
      <c r="L184" s="6" t="str">
        <f>VLOOKUP(B184,Sheet4!$A:$H,8,0)</f>
        <v>Mattress</v>
      </c>
      <c r="M184" s="6">
        <v>19999.0</v>
      </c>
      <c r="N184" s="8">
        <v>16799.0</v>
      </c>
      <c r="O184" s="9">
        <v>17999.0</v>
      </c>
      <c r="P184" s="10">
        <v>15999.2</v>
      </c>
    </row>
    <row r="185">
      <c r="A185" s="6" t="s">
        <v>964</v>
      </c>
      <c r="B185" s="6" t="s">
        <v>964</v>
      </c>
      <c r="C185" s="6" t="s">
        <v>965</v>
      </c>
      <c r="D185" s="6" t="s">
        <v>966</v>
      </c>
      <c r="E185" s="6" t="e">
        <v>#N/A</v>
      </c>
      <c r="F185" s="6">
        <v>0.0</v>
      </c>
      <c r="G185" s="6" t="s">
        <v>967</v>
      </c>
      <c r="H185" s="7" t="s">
        <v>968</v>
      </c>
      <c r="I185" s="6" t="e">
        <v>#N/A</v>
      </c>
      <c r="J185" s="6" t="e">
        <v>#N/A</v>
      </c>
      <c r="K185" s="6" t="str">
        <f>VLOOKUP(A185,Sheet4!$A:$H,7,0)</f>
        <v>Hybrid Latex Mattress</v>
      </c>
      <c r="L185" s="6" t="str">
        <f>VLOOKUP(B185,Sheet4!$A:$H,8,0)</f>
        <v>Mattress</v>
      </c>
      <c r="M185" s="6">
        <v>19999.0</v>
      </c>
      <c r="N185" s="8">
        <v>16799.0</v>
      </c>
      <c r="O185" s="9">
        <v>17999.0</v>
      </c>
      <c r="P185" s="10">
        <v>15999.2</v>
      </c>
    </row>
    <row r="186">
      <c r="A186" s="6" t="s">
        <v>969</v>
      </c>
      <c r="B186" s="6" t="s">
        <v>969</v>
      </c>
      <c r="C186" s="6" t="s">
        <v>970</v>
      </c>
      <c r="D186" s="6" t="s">
        <v>971</v>
      </c>
      <c r="E186" s="6" t="e">
        <v>#N/A</v>
      </c>
      <c r="F186" s="6" t="s">
        <v>972</v>
      </c>
      <c r="G186" s="6" t="s">
        <v>973</v>
      </c>
      <c r="H186" s="7" t="s">
        <v>974</v>
      </c>
      <c r="I186" s="6" t="e">
        <v>#N/A</v>
      </c>
      <c r="J186" s="6" t="s">
        <v>975</v>
      </c>
      <c r="K186" s="6" t="str">
        <f>VLOOKUP(A186,Sheet4!$A:$H,7,0)</f>
        <v>Hybrid Latex Mattress</v>
      </c>
      <c r="L186" s="6" t="str">
        <f>VLOOKUP(B186,Sheet4!$A:$H,8,0)</f>
        <v>Mattress</v>
      </c>
      <c r="M186" s="6">
        <v>19999.0</v>
      </c>
      <c r="N186" s="8">
        <v>16799.0</v>
      </c>
      <c r="O186" s="9">
        <v>17999.0</v>
      </c>
      <c r="P186" s="10">
        <v>15999.2</v>
      </c>
    </row>
    <row r="187">
      <c r="A187" s="6" t="s">
        <v>976</v>
      </c>
      <c r="B187" s="6" t="s">
        <v>976</v>
      </c>
      <c r="C187" s="6" t="s">
        <v>977</v>
      </c>
      <c r="D187" s="6" t="s">
        <v>978</v>
      </c>
      <c r="E187" s="6" t="e">
        <v>#N/A</v>
      </c>
      <c r="F187" s="6">
        <v>0.0</v>
      </c>
      <c r="G187" s="6" t="s">
        <v>979</v>
      </c>
      <c r="H187" s="7" t="s">
        <v>980</v>
      </c>
      <c r="I187" s="6" t="e">
        <v>#N/A</v>
      </c>
      <c r="J187" s="6" t="e">
        <v>#N/A</v>
      </c>
      <c r="K187" s="6" t="str">
        <f>VLOOKUP(A187,Sheet4!$A:$H,7,0)</f>
        <v>Hybrid Latex Mattress</v>
      </c>
      <c r="L187" s="6" t="str">
        <f>VLOOKUP(B187,Sheet4!$A:$H,8,0)</f>
        <v>Mattress</v>
      </c>
      <c r="M187" s="6">
        <v>23999.0</v>
      </c>
      <c r="N187" s="8">
        <v>20159.0</v>
      </c>
      <c r="O187" s="9">
        <v>21599.0</v>
      </c>
      <c r="P187" s="10">
        <v>19199.2</v>
      </c>
    </row>
    <row r="188">
      <c r="A188" s="6" t="s">
        <v>981</v>
      </c>
      <c r="B188" s="6" t="s">
        <v>981</v>
      </c>
      <c r="C188" s="6" t="s">
        <v>982</v>
      </c>
      <c r="D188" s="6" t="s">
        <v>983</v>
      </c>
      <c r="E188" s="6" t="e">
        <v>#N/A</v>
      </c>
      <c r="F188" s="6">
        <v>0.0</v>
      </c>
      <c r="G188" s="6" t="s">
        <v>984</v>
      </c>
      <c r="H188" s="7" t="s">
        <v>985</v>
      </c>
      <c r="I188" s="6" t="e">
        <v>#N/A</v>
      </c>
      <c r="J188" s="6" t="e">
        <v>#N/A</v>
      </c>
      <c r="K188" s="6" t="str">
        <f>VLOOKUP(A188,Sheet4!$A:$H,7,0)</f>
        <v>Hybrid Latex Mattress</v>
      </c>
      <c r="L188" s="6" t="str">
        <f>VLOOKUP(B188,Sheet4!$A:$H,8,0)</f>
        <v>Mattress</v>
      </c>
      <c r="M188" s="6">
        <v>22999.0</v>
      </c>
      <c r="N188" s="8">
        <v>19319.0</v>
      </c>
      <c r="O188" s="9">
        <v>20699.0</v>
      </c>
      <c r="P188" s="10">
        <v>18399.2</v>
      </c>
    </row>
    <row r="189">
      <c r="A189" s="6" t="s">
        <v>986</v>
      </c>
      <c r="B189" s="6" t="s">
        <v>986</v>
      </c>
      <c r="C189" s="6">
        <v>0.0</v>
      </c>
      <c r="D189" s="6">
        <v>0.0</v>
      </c>
      <c r="E189" s="6" t="e">
        <v>#N/A</v>
      </c>
      <c r="F189" s="6">
        <v>0.0</v>
      </c>
      <c r="G189" s="6" t="s">
        <v>987</v>
      </c>
      <c r="H189" s="7" t="e">
        <v>#N/A</v>
      </c>
      <c r="I189" s="6" t="e">
        <v>#N/A</v>
      </c>
      <c r="J189" s="6" t="e">
        <v>#N/A</v>
      </c>
      <c r="K189" s="6" t="str">
        <f>VLOOKUP(A189,Sheet4!$A:$H,7,0)</f>
        <v>Hybrid Latex Mattress</v>
      </c>
      <c r="L189" s="6" t="str">
        <f>VLOOKUP(B189,Sheet4!$A:$H,8,0)</f>
        <v>Mattress</v>
      </c>
      <c r="M189" s="6">
        <v>22999.0</v>
      </c>
      <c r="N189" s="8">
        <v>19319.0</v>
      </c>
      <c r="O189" s="9">
        <v>20699.0</v>
      </c>
      <c r="P189" s="10">
        <v>18399.2</v>
      </c>
    </row>
    <row r="190">
      <c r="A190" s="6" t="s">
        <v>988</v>
      </c>
      <c r="B190" s="6" t="s">
        <v>988</v>
      </c>
      <c r="C190" s="6" t="s">
        <v>989</v>
      </c>
      <c r="D190" s="6" t="s">
        <v>990</v>
      </c>
      <c r="E190" s="6" t="e">
        <v>#N/A</v>
      </c>
      <c r="F190" s="6">
        <v>0.0</v>
      </c>
      <c r="G190" s="6" t="s">
        <v>991</v>
      </c>
      <c r="H190" s="7" t="s">
        <v>992</v>
      </c>
      <c r="I190" s="6" t="e">
        <v>#N/A</v>
      </c>
      <c r="J190" s="6" t="e">
        <v>#N/A</v>
      </c>
      <c r="K190" s="6" t="str">
        <f>VLOOKUP(A190,Sheet4!$A:$H,7,0)</f>
        <v>Hybrid Latex Mattress</v>
      </c>
      <c r="L190" s="6" t="str">
        <f>VLOOKUP(B190,Sheet4!$A:$H,8,0)</f>
        <v>Mattress</v>
      </c>
      <c r="M190" s="6">
        <v>22999.0</v>
      </c>
      <c r="N190" s="8">
        <v>19319.0</v>
      </c>
      <c r="O190" s="9">
        <v>20699.0</v>
      </c>
      <c r="P190" s="10">
        <v>18399.2</v>
      </c>
    </row>
    <row r="191">
      <c r="A191" s="6" t="s">
        <v>993</v>
      </c>
      <c r="B191" s="6" t="s">
        <v>993</v>
      </c>
      <c r="C191" s="6" t="s">
        <v>994</v>
      </c>
      <c r="D191" s="6" t="s">
        <v>995</v>
      </c>
      <c r="E191" s="6" t="e">
        <v>#N/A</v>
      </c>
      <c r="F191" s="6">
        <v>0.0</v>
      </c>
      <c r="G191" s="6" t="s">
        <v>996</v>
      </c>
      <c r="H191" s="7" t="s">
        <v>997</v>
      </c>
      <c r="I191" s="6" t="e">
        <v>#N/A</v>
      </c>
      <c r="J191" s="6" t="e">
        <v>#N/A</v>
      </c>
      <c r="K191" s="6" t="str">
        <f>VLOOKUP(A191,Sheet4!$A:$H,7,0)</f>
        <v>Hybrid Latex Mattress</v>
      </c>
      <c r="L191" s="6" t="str">
        <f>VLOOKUP(B191,Sheet4!$A:$H,8,0)</f>
        <v>Mattress</v>
      </c>
      <c r="M191" s="6">
        <v>26999.0</v>
      </c>
      <c r="N191" s="8">
        <v>22679.0</v>
      </c>
      <c r="O191" s="9">
        <v>24299.0</v>
      </c>
      <c r="P191" s="10">
        <v>21599.2</v>
      </c>
    </row>
    <row r="192">
      <c r="A192" s="6" t="s">
        <v>998</v>
      </c>
      <c r="B192" s="6" t="s">
        <v>998</v>
      </c>
      <c r="C192" s="6" t="s">
        <v>999</v>
      </c>
      <c r="D192" s="6" t="s">
        <v>1000</v>
      </c>
      <c r="E192" s="6" t="e">
        <v>#N/A</v>
      </c>
      <c r="F192" s="6" t="s">
        <v>1001</v>
      </c>
      <c r="G192" s="6" t="s">
        <v>1002</v>
      </c>
      <c r="H192" s="7" t="s">
        <v>1003</v>
      </c>
      <c r="I192" s="6" t="e">
        <v>#N/A</v>
      </c>
      <c r="J192" s="6" t="e">
        <v>#N/A</v>
      </c>
      <c r="K192" s="6" t="str">
        <f>VLOOKUP(A192,Sheet4!$A:$H,7,0)</f>
        <v>Hybrid Latex Mattress</v>
      </c>
      <c r="L192" s="6" t="str">
        <f>VLOOKUP(B192,Sheet4!$A:$H,8,0)</f>
        <v>Mattress</v>
      </c>
      <c r="M192" s="6">
        <v>19999.0</v>
      </c>
      <c r="N192" s="8">
        <v>16799.0</v>
      </c>
      <c r="O192" s="9">
        <v>17999.0</v>
      </c>
      <c r="P192" s="10">
        <v>15999.2</v>
      </c>
    </row>
    <row r="193">
      <c r="A193" s="6" t="s">
        <v>1004</v>
      </c>
      <c r="B193" s="6" t="s">
        <v>1004</v>
      </c>
      <c r="C193" s="6" t="s">
        <v>1005</v>
      </c>
      <c r="D193" s="6" t="s">
        <v>1006</v>
      </c>
      <c r="E193" s="6" t="e">
        <v>#N/A</v>
      </c>
      <c r="F193" s="6" t="s">
        <v>1007</v>
      </c>
      <c r="G193" s="6" t="s">
        <v>1008</v>
      </c>
      <c r="H193" s="7" t="s">
        <v>1009</v>
      </c>
      <c r="I193" s="6">
        <v>3.1999075E7</v>
      </c>
      <c r="J193" s="6" t="s">
        <v>1010</v>
      </c>
      <c r="K193" s="6" t="str">
        <f>VLOOKUP(A193,Sheet4!$A:$H,7,0)</f>
        <v>Hybrid Latex Mattress</v>
      </c>
      <c r="L193" s="6" t="str">
        <f>VLOOKUP(B193,Sheet4!$A:$H,8,0)</f>
        <v>Mattress</v>
      </c>
      <c r="M193" s="6">
        <v>19399.0</v>
      </c>
      <c r="N193" s="8">
        <v>16295.0</v>
      </c>
      <c r="O193" s="9">
        <v>17499.0</v>
      </c>
      <c r="P193" s="10">
        <v>15519.2</v>
      </c>
    </row>
    <row r="194">
      <c r="A194" s="6" t="s">
        <v>1011</v>
      </c>
      <c r="B194" s="6" t="s">
        <v>1011</v>
      </c>
      <c r="C194" s="6" t="s">
        <v>1012</v>
      </c>
      <c r="D194" s="6" t="s">
        <v>1013</v>
      </c>
      <c r="E194" s="6" t="e">
        <v>#N/A</v>
      </c>
      <c r="F194" s="6">
        <v>0.0</v>
      </c>
      <c r="G194" s="6" t="s">
        <v>1014</v>
      </c>
      <c r="H194" s="7" t="s">
        <v>1015</v>
      </c>
      <c r="I194" s="6" t="e">
        <v>#N/A</v>
      </c>
      <c r="J194" s="6" t="e">
        <v>#N/A</v>
      </c>
      <c r="K194" s="6" t="str">
        <f>VLOOKUP(A194,Sheet4!$A:$H,7,0)</f>
        <v>Hybrid Latex Mattress</v>
      </c>
      <c r="L194" s="6" t="str">
        <f>VLOOKUP(B194,Sheet4!$A:$H,8,0)</f>
        <v>Mattress</v>
      </c>
      <c r="M194" s="6">
        <v>19999.0</v>
      </c>
      <c r="N194" s="8">
        <v>16799.0</v>
      </c>
      <c r="O194" s="9">
        <v>17999.0</v>
      </c>
      <c r="P194" s="10">
        <v>15999.2</v>
      </c>
    </row>
    <row r="195">
      <c r="A195" s="6" t="s">
        <v>1016</v>
      </c>
      <c r="B195" s="6" t="s">
        <v>1016</v>
      </c>
      <c r="C195" s="6" t="s">
        <v>1017</v>
      </c>
      <c r="D195" s="6" t="s">
        <v>1018</v>
      </c>
      <c r="E195" s="6" t="e">
        <v>#N/A</v>
      </c>
      <c r="F195" s="6">
        <v>0.0</v>
      </c>
      <c r="G195" s="6" t="s">
        <v>1019</v>
      </c>
      <c r="H195" s="7" t="s">
        <v>1020</v>
      </c>
      <c r="I195" s="6">
        <v>3.1999065E7</v>
      </c>
      <c r="J195" s="6" t="s">
        <v>1021</v>
      </c>
      <c r="K195" s="6" t="str">
        <f>VLOOKUP(A195,Sheet4!$A:$H,7,0)</f>
        <v>Hybrid Latex Mattress</v>
      </c>
      <c r="L195" s="6" t="str">
        <f>VLOOKUP(B195,Sheet4!$A:$H,8,0)</f>
        <v>Mattress</v>
      </c>
      <c r="M195" s="6">
        <v>19999.0</v>
      </c>
      <c r="N195" s="8">
        <v>16799.0</v>
      </c>
      <c r="O195" s="9">
        <v>17999.0</v>
      </c>
      <c r="P195" s="10">
        <v>15999.2</v>
      </c>
    </row>
    <row r="196">
      <c r="A196" s="6" t="s">
        <v>1022</v>
      </c>
      <c r="B196" s="6" t="s">
        <v>1022</v>
      </c>
      <c r="C196" s="6" t="s">
        <v>1023</v>
      </c>
      <c r="D196" s="6" t="s">
        <v>1024</v>
      </c>
      <c r="E196" s="6" t="e">
        <v>#N/A</v>
      </c>
      <c r="F196" s="6">
        <v>0.0</v>
      </c>
      <c r="G196" s="6" t="s">
        <v>1025</v>
      </c>
      <c r="H196" s="7" t="s">
        <v>1026</v>
      </c>
      <c r="I196" s="6" t="e">
        <v>#N/A</v>
      </c>
      <c r="J196" s="6" t="e">
        <v>#N/A</v>
      </c>
      <c r="K196" s="6" t="str">
        <f>VLOOKUP(A196,Sheet4!$A:$H,7,0)</f>
        <v>Hybrid Latex Mattress</v>
      </c>
      <c r="L196" s="6" t="str">
        <f>VLOOKUP(B196,Sheet4!$A:$H,8,0)</f>
        <v>Mattress</v>
      </c>
      <c r="M196" s="6">
        <v>19999.0</v>
      </c>
      <c r="N196" s="8">
        <v>16799.0</v>
      </c>
      <c r="O196" s="9">
        <v>17999.0</v>
      </c>
      <c r="P196" s="10">
        <v>15999.2</v>
      </c>
    </row>
    <row r="197">
      <c r="A197" s="6" t="s">
        <v>1027</v>
      </c>
      <c r="B197" s="6" t="s">
        <v>1027</v>
      </c>
      <c r="C197" s="6" t="s">
        <v>1028</v>
      </c>
      <c r="D197" s="6" t="s">
        <v>1029</v>
      </c>
      <c r="E197" s="6" t="e">
        <v>#N/A</v>
      </c>
      <c r="F197" s="6" t="s">
        <v>1030</v>
      </c>
      <c r="G197" s="6" t="s">
        <v>1031</v>
      </c>
      <c r="H197" s="7" t="s">
        <v>1032</v>
      </c>
      <c r="I197" s="6">
        <v>3.1999063E7</v>
      </c>
      <c r="J197" s="6" t="s">
        <v>1033</v>
      </c>
      <c r="K197" s="6" t="str">
        <f>VLOOKUP(A197,Sheet4!$A:$H,7,0)</f>
        <v>Hybrid Latex Mattress</v>
      </c>
      <c r="L197" s="6" t="str">
        <f>VLOOKUP(B197,Sheet4!$A:$H,8,0)</f>
        <v>Mattress</v>
      </c>
      <c r="M197" s="6">
        <v>20699.0</v>
      </c>
      <c r="N197" s="8">
        <v>17387.0</v>
      </c>
      <c r="O197" s="9">
        <v>18599.0</v>
      </c>
      <c r="P197" s="10">
        <v>16559.2</v>
      </c>
    </row>
    <row r="198">
      <c r="A198" s="6" t="s">
        <v>1034</v>
      </c>
      <c r="B198" s="6" t="s">
        <v>1034</v>
      </c>
      <c r="C198" s="6" t="s">
        <v>1035</v>
      </c>
      <c r="D198" s="6" t="s">
        <v>1036</v>
      </c>
      <c r="E198" s="6" t="e">
        <v>#N/A</v>
      </c>
      <c r="F198" s="6">
        <v>0.0</v>
      </c>
      <c r="G198" s="6">
        <v>0.0</v>
      </c>
      <c r="H198" s="7" t="s">
        <v>1037</v>
      </c>
      <c r="I198" s="6">
        <v>3.2783782E7</v>
      </c>
      <c r="J198" s="6" t="e">
        <v>#N/A</v>
      </c>
      <c r="K198" s="6" t="str">
        <f>VLOOKUP(A198,Sheet4!$A:$H,7,0)</f>
        <v>Hybrid Latex Mattress</v>
      </c>
      <c r="L198" s="6" t="str">
        <f>VLOOKUP(B198,Sheet4!$A:$H,8,0)</f>
        <v>Mattress</v>
      </c>
      <c r="M198" s="6">
        <v>22999.0</v>
      </c>
      <c r="N198" s="8">
        <v>19319.0</v>
      </c>
      <c r="O198" s="9">
        <v>20699.0</v>
      </c>
      <c r="P198" s="10">
        <v>18399.2</v>
      </c>
    </row>
    <row r="199">
      <c r="A199" s="6" t="s">
        <v>1038</v>
      </c>
      <c r="B199" s="6" t="s">
        <v>1038</v>
      </c>
      <c r="C199" s="6" t="s">
        <v>1039</v>
      </c>
      <c r="D199" s="6" t="s">
        <v>1040</v>
      </c>
      <c r="E199" s="6" t="e">
        <v>#N/A</v>
      </c>
      <c r="F199" s="6">
        <v>0.0</v>
      </c>
      <c r="G199" s="6">
        <v>0.0</v>
      </c>
      <c r="H199" s="7" t="s">
        <v>1041</v>
      </c>
      <c r="I199" s="6">
        <v>3.2784201E7</v>
      </c>
      <c r="J199" s="6" t="e">
        <v>#N/A</v>
      </c>
      <c r="K199" s="6" t="str">
        <f>VLOOKUP(A199,Sheet4!$A:$H,7,0)</f>
        <v>Hybrid Latex Mattress</v>
      </c>
      <c r="L199" s="6" t="str">
        <f>VLOOKUP(B199,Sheet4!$A:$H,8,0)</f>
        <v>Mattress</v>
      </c>
      <c r="M199" s="6">
        <v>25999.0</v>
      </c>
      <c r="N199" s="8">
        <v>21839.0</v>
      </c>
      <c r="O199" s="9">
        <v>23399.0</v>
      </c>
      <c r="P199" s="10">
        <v>20799.2</v>
      </c>
    </row>
    <row r="200">
      <c r="A200" s="6" t="s">
        <v>1042</v>
      </c>
      <c r="B200" s="6" t="s">
        <v>1042</v>
      </c>
      <c r="C200" s="6" t="s">
        <v>1043</v>
      </c>
      <c r="D200" s="6" t="s">
        <v>1044</v>
      </c>
      <c r="E200" s="6" t="e">
        <v>#N/A</v>
      </c>
      <c r="F200" s="6">
        <v>0.0</v>
      </c>
      <c r="G200" s="6" t="s">
        <v>1045</v>
      </c>
      <c r="H200" s="7" t="s">
        <v>1046</v>
      </c>
      <c r="I200" s="6" t="e">
        <v>#N/A</v>
      </c>
      <c r="J200" s="6" t="e">
        <v>#N/A</v>
      </c>
      <c r="K200" s="6" t="str">
        <f>VLOOKUP(A200,Sheet4!$A:$H,7,0)</f>
        <v>Hybrid Latex Mattress</v>
      </c>
      <c r="L200" s="6" t="str">
        <f>VLOOKUP(B200,Sheet4!$A:$H,8,0)</f>
        <v>Mattress</v>
      </c>
      <c r="M200" s="6">
        <v>22999.0</v>
      </c>
      <c r="N200" s="8">
        <v>19319.0</v>
      </c>
      <c r="O200" s="9">
        <v>20699.0</v>
      </c>
      <c r="P200" s="10">
        <v>18399.2</v>
      </c>
    </row>
    <row r="201">
      <c r="A201" s="6" t="s">
        <v>1047</v>
      </c>
      <c r="B201" s="6" t="s">
        <v>1047</v>
      </c>
      <c r="C201" s="6" t="s">
        <v>1048</v>
      </c>
      <c r="D201" s="6" t="s">
        <v>1049</v>
      </c>
      <c r="E201" s="6" t="e">
        <v>#N/A</v>
      </c>
      <c r="F201" s="6">
        <v>0.0</v>
      </c>
      <c r="G201" s="6" t="s">
        <v>1050</v>
      </c>
      <c r="H201" s="7" t="s">
        <v>1051</v>
      </c>
      <c r="I201" s="6">
        <v>3.1999062E7</v>
      </c>
      <c r="J201" s="6" t="s">
        <v>1052</v>
      </c>
      <c r="K201" s="6" t="str">
        <f>VLOOKUP(A201,Sheet4!$A:$H,7,0)</f>
        <v>Hybrid Latex Mattress</v>
      </c>
      <c r="L201" s="6" t="str">
        <f>VLOOKUP(B201,Sheet4!$A:$H,8,0)</f>
        <v>Mattress</v>
      </c>
      <c r="M201" s="6">
        <v>22699.0</v>
      </c>
      <c r="N201" s="8">
        <v>19067.0</v>
      </c>
      <c r="O201" s="9">
        <v>20399.0</v>
      </c>
      <c r="P201" s="10">
        <v>18159.2</v>
      </c>
    </row>
    <row r="202">
      <c r="A202" s="6" t="s">
        <v>1053</v>
      </c>
      <c r="B202" s="6" t="s">
        <v>1053</v>
      </c>
      <c r="C202" s="6" t="s">
        <v>1054</v>
      </c>
      <c r="D202" s="6" t="s">
        <v>1055</v>
      </c>
      <c r="E202" s="6" t="e">
        <v>#N/A</v>
      </c>
      <c r="F202" s="6">
        <v>0.0</v>
      </c>
      <c r="G202" s="6" t="s">
        <v>1056</v>
      </c>
      <c r="H202" s="7" t="s">
        <v>1057</v>
      </c>
      <c r="I202" s="6" t="e">
        <v>#N/A</v>
      </c>
      <c r="J202" s="6" t="e">
        <v>#N/A</v>
      </c>
      <c r="K202" s="6" t="str">
        <f>VLOOKUP(A202,Sheet4!$A:$H,7,0)</f>
        <v>Hybrid Latex Mattress</v>
      </c>
      <c r="L202" s="6" t="str">
        <f>VLOOKUP(B202,Sheet4!$A:$H,8,0)</f>
        <v>Mattress</v>
      </c>
      <c r="M202" s="6">
        <v>22999.0</v>
      </c>
      <c r="N202" s="8">
        <v>19319.0</v>
      </c>
      <c r="O202" s="9">
        <v>20699.0</v>
      </c>
      <c r="P202" s="10">
        <v>18399.2</v>
      </c>
    </row>
    <row r="203">
      <c r="A203" s="6" t="s">
        <v>1058</v>
      </c>
      <c r="B203" s="6" t="s">
        <v>1058</v>
      </c>
      <c r="C203" s="6" t="s">
        <v>1059</v>
      </c>
      <c r="D203" s="6" t="s">
        <v>1060</v>
      </c>
      <c r="E203" s="6" t="e">
        <v>#N/A</v>
      </c>
      <c r="F203" s="6" t="s">
        <v>1061</v>
      </c>
      <c r="G203" s="6" t="s">
        <v>1062</v>
      </c>
      <c r="H203" s="7" t="s">
        <v>1063</v>
      </c>
      <c r="I203" s="6">
        <v>3.1999089E7</v>
      </c>
      <c r="J203" s="6" t="s">
        <v>1064</v>
      </c>
      <c r="K203" s="6" t="str">
        <f>VLOOKUP(A203,Sheet4!$A:$H,7,0)</f>
        <v>Hybrid Latex Mattress</v>
      </c>
      <c r="L203" s="6" t="str">
        <f>VLOOKUP(B203,Sheet4!$A:$H,8,0)</f>
        <v>Mattress</v>
      </c>
      <c r="M203" s="6">
        <v>23199.0</v>
      </c>
      <c r="N203" s="8">
        <v>19487.0</v>
      </c>
      <c r="O203" s="9">
        <v>20899.0</v>
      </c>
      <c r="P203" s="10">
        <v>18559.2</v>
      </c>
    </row>
    <row r="204">
      <c r="A204" s="6" t="s">
        <v>1065</v>
      </c>
      <c r="B204" s="6" t="s">
        <v>1065</v>
      </c>
      <c r="C204" s="6" t="s">
        <v>1066</v>
      </c>
      <c r="D204" s="6" t="s">
        <v>1067</v>
      </c>
      <c r="E204" s="6" t="e">
        <v>#N/A</v>
      </c>
      <c r="F204" s="6">
        <v>0.0</v>
      </c>
      <c r="G204" s="6" t="s">
        <v>1068</v>
      </c>
      <c r="H204" s="7" t="s">
        <v>1069</v>
      </c>
      <c r="I204" s="6" t="e">
        <v>#N/A</v>
      </c>
      <c r="J204" s="6" t="e">
        <v>#N/A</v>
      </c>
      <c r="K204" s="6" t="str">
        <f>VLOOKUP(A204,Sheet4!$A:$H,7,0)</f>
        <v>Hybrid Latex Mattress</v>
      </c>
      <c r="L204" s="6" t="str">
        <f>VLOOKUP(B204,Sheet4!$A:$H,8,0)</f>
        <v>Mattress</v>
      </c>
      <c r="M204" s="6">
        <v>22999.0</v>
      </c>
      <c r="N204" s="8">
        <v>19319.0</v>
      </c>
      <c r="O204" s="9">
        <v>20699.0</v>
      </c>
      <c r="P204" s="10">
        <v>18399.2</v>
      </c>
    </row>
    <row r="205">
      <c r="A205" s="6" t="s">
        <v>1070</v>
      </c>
      <c r="B205" s="6" t="s">
        <v>1070</v>
      </c>
      <c r="C205" s="6" t="s">
        <v>1071</v>
      </c>
      <c r="D205" s="6" t="s">
        <v>1072</v>
      </c>
      <c r="E205" s="6" t="s">
        <v>1073</v>
      </c>
      <c r="F205" s="6" t="s">
        <v>1074</v>
      </c>
      <c r="G205" s="6" t="s">
        <v>1075</v>
      </c>
      <c r="H205" s="7" t="s">
        <v>1076</v>
      </c>
      <c r="I205" s="6">
        <v>3.1999066E7</v>
      </c>
      <c r="J205" s="6" t="s">
        <v>1077</v>
      </c>
      <c r="K205" s="6" t="str">
        <f>VLOOKUP(A205,Sheet4!$A:$H,7,0)</f>
        <v>Hybrid Latex Mattress</v>
      </c>
      <c r="L205" s="6" t="str">
        <f>VLOOKUP(B205,Sheet4!$A:$H,8,0)</f>
        <v>Mattress</v>
      </c>
      <c r="M205" s="6">
        <v>23799.0</v>
      </c>
      <c r="N205" s="8">
        <v>19991.0</v>
      </c>
      <c r="O205" s="9">
        <v>21399.0</v>
      </c>
      <c r="P205" s="10">
        <v>19039.2</v>
      </c>
    </row>
    <row r="206">
      <c r="A206" s="6" t="s">
        <v>1078</v>
      </c>
      <c r="B206" s="6" t="s">
        <v>1078</v>
      </c>
      <c r="C206" s="6" t="s">
        <v>1079</v>
      </c>
      <c r="D206" s="6" t="s">
        <v>1080</v>
      </c>
      <c r="E206" s="6" t="e">
        <v>#N/A</v>
      </c>
      <c r="F206" s="6">
        <v>0.0</v>
      </c>
      <c r="G206" s="6" t="s">
        <v>1081</v>
      </c>
      <c r="H206" s="7" t="s">
        <v>1082</v>
      </c>
      <c r="I206" s="6">
        <v>3.2784071E7</v>
      </c>
      <c r="J206" s="6" t="e">
        <v>#N/A</v>
      </c>
      <c r="K206" s="6" t="str">
        <f>VLOOKUP(A206,Sheet4!$A:$H,7,0)</f>
        <v>Hybrid Latex Mattress</v>
      </c>
      <c r="L206" s="6" t="str">
        <f>VLOOKUP(B206,Sheet4!$A:$H,8,0)</f>
        <v>Mattress</v>
      </c>
      <c r="M206" s="6">
        <v>26999.0</v>
      </c>
      <c r="N206" s="8">
        <v>22679.0</v>
      </c>
      <c r="O206" s="9">
        <v>24299.0</v>
      </c>
      <c r="P206" s="10">
        <v>21599.2</v>
      </c>
    </row>
    <row r="207">
      <c r="A207" s="6" t="s">
        <v>1083</v>
      </c>
      <c r="B207" s="6" t="s">
        <v>1083</v>
      </c>
      <c r="C207" s="6" t="s">
        <v>1084</v>
      </c>
      <c r="D207" s="6" t="s">
        <v>1085</v>
      </c>
      <c r="E207" s="6" t="e">
        <v>#N/A</v>
      </c>
      <c r="F207" s="6">
        <v>0.0</v>
      </c>
      <c r="G207" s="6">
        <v>0.0</v>
      </c>
      <c r="H207" s="7" t="s">
        <v>1086</v>
      </c>
      <c r="I207" s="6">
        <v>3.2784095E7</v>
      </c>
      <c r="J207" s="6" t="e">
        <v>#N/A</v>
      </c>
      <c r="K207" s="6" t="str">
        <f>VLOOKUP(A207,Sheet4!$A:$H,7,0)</f>
        <v>Hybrid Latex Mattress</v>
      </c>
      <c r="L207" s="6" t="str">
        <f>VLOOKUP(B207,Sheet4!$A:$H,8,0)</f>
        <v>Mattress</v>
      </c>
      <c r="M207" s="6">
        <v>28999.0</v>
      </c>
      <c r="N207" s="8">
        <v>24359.0</v>
      </c>
      <c r="O207" s="9">
        <v>26099.0</v>
      </c>
      <c r="P207" s="10">
        <v>23199.2</v>
      </c>
    </row>
    <row r="208">
      <c r="A208" s="6" t="s">
        <v>1087</v>
      </c>
      <c r="B208" s="6" t="s">
        <v>1087</v>
      </c>
      <c r="C208" s="6" t="s">
        <v>1088</v>
      </c>
      <c r="D208" s="6" t="s">
        <v>1089</v>
      </c>
      <c r="E208" s="6" t="e">
        <v>#N/A</v>
      </c>
      <c r="F208" s="6" t="s">
        <v>1090</v>
      </c>
      <c r="G208" s="6" t="s">
        <v>1091</v>
      </c>
      <c r="H208" s="7" t="s">
        <v>1092</v>
      </c>
      <c r="I208" s="6" t="e">
        <v>#N/A</v>
      </c>
      <c r="J208" s="6" t="e">
        <v>#N/A</v>
      </c>
      <c r="K208" s="6" t="str">
        <f>VLOOKUP(A208,Sheet4!$A:$H,7,0)</f>
        <v>Small Memory Foam Pillow</v>
      </c>
      <c r="L208" s="6" t="str">
        <f>VLOOKUP(B208,Sheet4!$A:$H,8,0)</f>
        <v>Pillows</v>
      </c>
      <c r="M208" s="6">
        <v>1599.0</v>
      </c>
      <c r="N208" s="8">
        <v>999.0</v>
      </c>
      <c r="O208" s="10">
        <v>999.0</v>
      </c>
      <c r="P208" s="10">
        <v>959.0</v>
      </c>
    </row>
    <row r="209">
      <c r="A209" s="6" t="s">
        <v>1093</v>
      </c>
      <c r="B209" s="6" t="s">
        <v>1093</v>
      </c>
      <c r="C209" s="6" t="s">
        <v>1094</v>
      </c>
      <c r="D209" s="6" t="s">
        <v>1095</v>
      </c>
      <c r="E209" s="6" t="s">
        <v>1096</v>
      </c>
      <c r="F209" s="6" t="s">
        <v>1097</v>
      </c>
      <c r="G209" s="6" t="s">
        <v>1098</v>
      </c>
      <c r="H209" s="7" t="s">
        <v>1099</v>
      </c>
      <c r="I209" s="6">
        <v>3.1629886E7</v>
      </c>
      <c r="J209" s="6" t="s">
        <v>1100</v>
      </c>
      <c r="K209" s="6" t="str">
        <f>VLOOKUP(A209,Sheet4!$A:$H,7,0)</f>
        <v>Memory Foam Pillow</v>
      </c>
      <c r="L209" s="6" t="str">
        <f>VLOOKUP(B209,Sheet4!$A:$H,8,0)</f>
        <v>Pillows</v>
      </c>
      <c r="M209" s="6">
        <v>1989.0</v>
      </c>
      <c r="N209" s="8">
        <v>1099.0</v>
      </c>
      <c r="O209" s="10">
        <v>999.0</v>
      </c>
      <c r="P209" s="10">
        <v>949.0</v>
      </c>
    </row>
    <row r="210">
      <c r="A210" s="6" t="s">
        <v>1101</v>
      </c>
      <c r="B210" s="6" t="s">
        <v>1101</v>
      </c>
      <c r="C210" s="6" t="s">
        <v>1102</v>
      </c>
      <c r="D210" s="6" t="s">
        <v>1103</v>
      </c>
      <c r="E210" s="6" t="e">
        <v>#N/A</v>
      </c>
      <c r="F210" s="6" t="s">
        <v>1104</v>
      </c>
      <c r="G210" s="6" t="s">
        <v>1105</v>
      </c>
      <c r="H210" s="7" t="s">
        <v>1106</v>
      </c>
      <c r="I210" s="6" t="e">
        <v>#N/A</v>
      </c>
      <c r="J210" s="6" t="s">
        <v>1107</v>
      </c>
      <c r="K210" s="6" t="str">
        <f>VLOOKUP(A210,Sheet4!$A:$H,7,0)</f>
        <v>Memory Foam Pillow</v>
      </c>
      <c r="L210" s="6" t="str">
        <f>VLOOKUP(B210,Sheet4!$A:$H,8,0)</f>
        <v>Pillows</v>
      </c>
      <c r="M210" s="6">
        <v>3699.0</v>
      </c>
      <c r="N210" s="8">
        <v>1899.0</v>
      </c>
      <c r="O210" s="9">
        <v>1899.0</v>
      </c>
      <c r="P210" s="10">
        <v>1799.0</v>
      </c>
    </row>
    <row r="211">
      <c r="A211" s="6" t="s">
        <v>1108</v>
      </c>
      <c r="B211" s="6" t="s">
        <v>1108</v>
      </c>
      <c r="C211" s="6" t="s">
        <v>1109</v>
      </c>
      <c r="D211" s="6" t="s">
        <v>1110</v>
      </c>
      <c r="E211" s="6" t="e">
        <v>#N/A</v>
      </c>
      <c r="F211" s="6" t="s">
        <v>1111</v>
      </c>
      <c r="G211" s="6" t="s">
        <v>1112</v>
      </c>
      <c r="H211" s="7" t="s">
        <v>1113</v>
      </c>
      <c r="I211" s="6" t="e">
        <v>#N/A</v>
      </c>
      <c r="J211" s="6" t="s">
        <v>1114</v>
      </c>
      <c r="K211" s="6" t="str">
        <f>VLOOKUP(A211,Sheet4!$A:$H,7,0)</f>
        <v>Memory Foam Pillow</v>
      </c>
      <c r="L211" s="6" t="str">
        <f>VLOOKUP(B211,Sheet4!$A:$H,8,0)</f>
        <v>Pillows</v>
      </c>
      <c r="M211" s="6">
        <v>6599.0</v>
      </c>
      <c r="N211" s="8">
        <v>3799.0</v>
      </c>
      <c r="O211" s="9">
        <v>3799.0</v>
      </c>
      <c r="P211" s="10">
        <v>3499.0</v>
      </c>
    </row>
    <row r="212">
      <c r="A212" s="6" t="s">
        <v>1115</v>
      </c>
      <c r="B212" s="6" t="s">
        <v>1115</v>
      </c>
      <c r="C212" s="6" t="s">
        <v>1116</v>
      </c>
      <c r="D212" s="6" t="s">
        <v>1117</v>
      </c>
      <c r="E212" s="6" t="e">
        <v>#N/A</v>
      </c>
      <c r="F212" s="6">
        <v>0.0</v>
      </c>
      <c r="G212" s="6" t="s">
        <v>1118</v>
      </c>
      <c r="H212" s="7" t="s">
        <v>1119</v>
      </c>
      <c r="I212" s="6" t="e">
        <v>#N/A</v>
      </c>
      <c r="J212" s="6" t="s">
        <v>1120</v>
      </c>
      <c r="K212" s="6" t="str">
        <f>VLOOKUP(A212,Sheet4!$A:$H,7,0)</f>
        <v>Memory Foam Pillow</v>
      </c>
      <c r="L212" s="6" t="str">
        <f>VLOOKUP(B212,Sheet4!$A:$H,8,0)</f>
        <v>Pillows</v>
      </c>
      <c r="M212" s="6">
        <v>2489.0</v>
      </c>
      <c r="N212" s="8">
        <v>1999.0</v>
      </c>
      <c r="O212" s="9">
        <v>1999.0</v>
      </c>
      <c r="P212" s="10">
        <v>1599.0</v>
      </c>
    </row>
    <row r="213">
      <c r="A213" s="6" t="s">
        <v>1121</v>
      </c>
      <c r="B213" s="6" t="s">
        <v>1121</v>
      </c>
      <c r="C213" s="6" t="s">
        <v>1122</v>
      </c>
      <c r="D213" s="6" t="s">
        <v>1123</v>
      </c>
      <c r="E213" s="6" t="e">
        <v>#N/A</v>
      </c>
      <c r="F213" s="6">
        <v>0.0</v>
      </c>
      <c r="G213" s="6" t="s">
        <v>1124</v>
      </c>
      <c r="H213" s="7" t="s">
        <v>1125</v>
      </c>
      <c r="I213" s="6" t="e">
        <v>#N/A</v>
      </c>
      <c r="J213" s="6" t="s">
        <v>1126</v>
      </c>
      <c r="K213" s="6" t="str">
        <f>VLOOKUP(A213,Sheet4!$A:$H,7,0)</f>
        <v>Memory Foam Pillow</v>
      </c>
      <c r="L213" s="6" t="str">
        <f>VLOOKUP(B213,Sheet4!$A:$H,8,0)</f>
        <v>Pillows</v>
      </c>
      <c r="M213" s="6">
        <v>4599.0</v>
      </c>
      <c r="N213" s="8">
        <v>3899.0</v>
      </c>
      <c r="O213" s="9">
        <v>3899.0</v>
      </c>
      <c r="P213" s="10">
        <v>2999.0</v>
      </c>
    </row>
    <row r="214">
      <c r="A214" s="6" t="s">
        <v>1127</v>
      </c>
      <c r="B214" s="6" t="s">
        <v>1127</v>
      </c>
      <c r="C214" s="6" t="s">
        <v>1128</v>
      </c>
      <c r="D214" s="6" t="s">
        <v>1129</v>
      </c>
      <c r="E214" s="6" t="e">
        <v>#N/A</v>
      </c>
      <c r="F214" s="6">
        <v>0.0</v>
      </c>
      <c r="G214" s="6" t="s">
        <v>1130</v>
      </c>
      <c r="H214" s="7" t="s">
        <v>1131</v>
      </c>
      <c r="I214" s="6" t="e">
        <v>#N/A</v>
      </c>
      <c r="J214" s="6" t="e">
        <v>#N/A</v>
      </c>
      <c r="K214" s="6" t="str">
        <f>VLOOKUP(A214,Sheet4!$A:$H,7,0)</f>
        <v>Memory Foam Pillow</v>
      </c>
      <c r="L214" s="6" t="str">
        <f>VLOOKUP(B214,Sheet4!$A:$H,8,0)</f>
        <v>Pillows</v>
      </c>
      <c r="M214" s="6">
        <v>8299.0</v>
      </c>
      <c r="N214" s="8">
        <v>7799.0</v>
      </c>
      <c r="O214" s="9">
        <v>7799.0</v>
      </c>
      <c r="P214" s="10">
        <v>6299.0</v>
      </c>
    </row>
    <row r="215">
      <c r="A215" s="6" t="s">
        <v>1132</v>
      </c>
      <c r="B215" s="6" t="s">
        <v>1132</v>
      </c>
      <c r="C215" s="6" t="s">
        <v>1133</v>
      </c>
      <c r="D215" s="6" t="s">
        <v>1134</v>
      </c>
      <c r="E215" s="6" t="e">
        <v>#N/A</v>
      </c>
      <c r="F215" s="6" t="s">
        <v>1135</v>
      </c>
      <c r="G215" s="6" t="s">
        <v>1132</v>
      </c>
      <c r="H215" s="7" t="s">
        <v>1136</v>
      </c>
      <c r="I215" s="6">
        <v>3.2777659E7</v>
      </c>
      <c r="J215" s="6" t="s">
        <v>1137</v>
      </c>
      <c r="K215" s="6" t="str">
        <f>VLOOKUP(A215,Sheet4!$A:$H,7,0)</f>
        <v>Contour Bamboo MF Pillow</v>
      </c>
      <c r="L215" s="6" t="str">
        <f>VLOOKUP(B215,Sheet4!$A:$H,8,0)</f>
        <v>Pillows</v>
      </c>
      <c r="M215" s="6">
        <v>1989.0</v>
      </c>
      <c r="N215" s="8">
        <v>999.0</v>
      </c>
      <c r="O215" s="10">
        <v>999.0</v>
      </c>
      <c r="P215" s="10">
        <v>999.0</v>
      </c>
    </row>
    <row r="216">
      <c r="A216" s="6" t="s">
        <v>1138</v>
      </c>
      <c r="B216" s="6" t="s">
        <v>1138</v>
      </c>
      <c r="C216" s="6">
        <v>0.0</v>
      </c>
      <c r="D216" s="6" t="s">
        <v>1139</v>
      </c>
      <c r="E216" s="6" t="e">
        <v>#N/A</v>
      </c>
      <c r="F216" s="6" t="s">
        <v>1140</v>
      </c>
      <c r="G216" s="6" t="s">
        <v>1141</v>
      </c>
      <c r="H216" s="7" t="s">
        <v>1142</v>
      </c>
      <c r="I216" s="6">
        <v>3.2777665E7</v>
      </c>
      <c r="J216" s="6" t="e">
        <v>#N/A</v>
      </c>
      <c r="K216" s="6" t="str">
        <f>VLOOKUP(A216,Sheet4!$A:$H,7,0)</f>
        <v>Contour Bamboo MF Pillow</v>
      </c>
      <c r="L216" s="6" t="str">
        <f>VLOOKUP(B216,Sheet4!$A:$H,8,0)</f>
        <v>Pillows</v>
      </c>
      <c r="M216" s="6">
        <v>3699.0</v>
      </c>
      <c r="N216" s="8">
        <v>1899.0</v>
      </c>
      <c r="O216" s="9">
        <v>1899.0</v>
      </c>
      <c r="P216" s="10">
        <v>1899.0</v>
      </c>
    </row>
    <row r="217">
      <c r="A217" s="6" t="s">
        <v>1143</v>
      </c>
      <c r="B217" s="6" t="s">
        <v>1143</v>
      </c>
      <c r="C217" s="6" t="e">
        <v>#N/A</v>
      </c>
      <c r="D217" s="6" t="e">
        <v>#N/A</v>
      </c>
      <c r="E217" s="6" t="e">
        <v>#N/A</v>
      </c>
      <c r="F217" s="6" t="e">
        <v>#N/A</v>
      </c>
      <c r="G217" s="6">
        <v>0.0</v>
      </c>
      <c r="H217" s="7" t="e">
        <v>#N/A</v>
      </c>
      <c r="I217" s="6" t="e">
        <v>#N/A</v>
      </c>
      <c r="J217" s="6" t="e">
        <v>#N/A</v>
      </c>
      <c r="K217" s="11" t="s">
        <v>1144</v>
      </c>
      <c r="L217" s="11" t="s">
        <v>1145</v>
      </c>
      <c r="M217" s="6" t="str">
        <f>VLOOKUP(A217,#REF!,2,FALSE)</f>
        <v>#REF!</v>
      </c>
      <c r="N217" s="6" t="str">
        <f>VLOOKUP(A217, Sheet2!A:M, 3, FALSE)</f>
        <v>#N/A</v>
      </c>
      <c r="O217" s="10" t="e">
        <v>#N/A</v>
      </c>
      <c r="P217" s="10" t="e">
        <v>#N/A</v>
      </c>
    </row>
    <row r="218">
      <c r="A218" s="6" t="s">
        <v>1146</v>
      </c>
      <c r="B218" s="6" t="s">
        <v>1146</v>
      </c>
      <c r="C218" s="6" t="s">
        <v>1147</v>
      </c>
      <c r="D218" s="6" t="s">
        <v>1148</v>
      </c>
      <c r="E218" s="6" t="e">
        <v>#N/A</v>
      </c>
      <c r="F218" s="6" t="s">
        <v>1149</v>
      </c>
      <c r="G218" s="6" t="s">
        <v>1150</v>
      </c>
      <c r="H218" s="7" t="s">
        <v>1151</v>
      </c>
      <c r="I218" s="6" t="e">
        <v>#N/A</v>
      </c>
      <c r="J218" s="6" t="s">
        <v>1152</v>
      </c>
      <c r="K218" s="6" t="str">
        <f>VLOOKUP(A218,Sheet4!$A:$H,7,0)</f>
        <v>Pet Bed</v>
      </c>
      <c r="L218" s="6" t="str">
        <f>VLOOKUP(B218,Sheet4!$A:$H,8,0)</f>
        <v>Beds</v>
      </c>
      <c r="M218" s="6">
        <v>1989.0</v>
      </c>
      <c r="N218" s="8">
        <v>1429.0</v>
      </c>
      <c r="O218" s="9">
        <v>1399.0</v>
      </c>
      <c r="P218" s="10">
        <v>1392.3</v>
      </c>
    </row>
    <row r="219">
      <c r="A219" s="6" t="s">
        <v>1153</v>
      </c>
      <c r="B219" s="6" t="s">
        <v>1153</v>
      </c>
      <c r="C219" s="6" t="s">
        <v>1154</v>
      </c>
      <c r="D219" s="6" t="s">
        <v>1155</v>
      </c>
      <c r="E219" s="6" t="e">
        <v>#N/A</v>
      </c>
      <c r="F219" s="6" t="s">
        <v>1156</v>
      </c>
      <c r="G219" s="6" t="s">
        <v>1157</v>
      </c>
      <c r="H219" s="7" t="s">
        <v>1158</v>
      </c>
      <c r="I219" s="6" t="e">
        <v>#N/A</v>
      </c>
      <c r="J219" s="6" t="s">
        <v>1159</v>
      </c>
      <c r="K219" s="6" t="str">
        <f>VLOOKUP(A219,Sheet4!$A:$H,7,0)</f>
        <v>Pet Bed</v>
      </c>
      <c r="L219" s="6" t="str">
        <f>VLOOKUP(B219,Sheet4!$A:$H,8,0)</f>
        <v>Beds</v>
      </c>
      <c r="M219" s="6">
        <v>2489.0</v>
      </c>
      <c r="N219" s="8">
        <v>1788.0</v>
      </c>
      <c r="O219" s="9">
        <v>1799.0</v>
      </c>
      <c r="P219" s="10">
        <v>1742.3</v>
      </c>
    </row>
    <row r="220">
      <c r="A220" s="6" t="s">
        <v>1160</v>
      </c>
      <c r="B220" s="6" t="s">
        <v>1160</v>
      </c>
      <c r="C220" s="6">
        <v>0.0</v>
      </c>
      <c r="D220" s="6" t="s">
        <v>1161</v>
      </c>
      <c r="E220" s="6" t="e">
        <v>#N/A</v>
      </c>
      <c r="F220" s="6" t="s">
        <v>1162</v>
      </c>
      <c r="G220" s="6" t="s">
        <v>1163</v>
      </c>
      <c r="H220" s="7" t="e">
        <v>#N/A</v>
      </c>
      <c r="I220" s="6" t="e">
        <v>#N/A</v>
      </c>
      <c r="J220" s="6" t="s">
        <v>1164</v>
      </c>
      <c r="K220" s="6" t="str">
        <f>VLOOKUP(A220,Sheet4!$A:$H,7,0)</f>
        <v>Pet Pets</v>
      </c>
      <c r="L220" s="6" t="str">
        <f>VLOOKUP(B220,Sheet4!$A:$H,8,0)</f>
        <v>Beds</v>
      </c>
      <c r="M220" s="6">
        <v>2989.0</v>
      </c>
      <c r="N220" s="8">
        <v>2690.0</v>
      </c>
      <c r="O220" s="9">
        <v>2699.0</v>
      </c>
      <c r="P220" s="10">
        <v>2690.0</v>
      </c>
    </row>
    <row r="221">
      <c r="A221" s="6" t="s">
        <v>1165</v>
      </c>
      <c r="B221" s="6" t="s">
        <v>1165</v>
      </c>
      <c r="C221" s="6" t="s">
        <v>1166</v>
      </c>
      <c r="D221" s="6" t="s">
        <v>1167</v>
      </c>
      <c r="E221" s="6" t="e">
        <v>#N/A</v>
      </c>
      <c r="F221" s="6">
        <v>0.0</v>
      </c>
      <c r="G221" s="6" t="s">
        <v>1165</v>
      </c>
      <c r="H221" s="7" t="s">
        <v>1168</v>
      </c>
      <c r="I221" s="6" t="e">
        <v>#N/A</v>
      </c>
      <c r="J221" s="6" t="s">
        <v>1169</v>
      </c>
      <c r="K221" s="6" t="str">
        <f>VLOOKUP(A221,Sheet4!$A:$H,7,0)</f>
        <v>Pet Bed</v>
      </c>
      <c r="L221" s="6" t="str">
        <f>VLOOKUP(B221,Sheet4!$A:$H,8,0)</f>
        <v>Beds</v>
      </c>
      <c r="M221" s="6">
        <v>1989.0</v>
      </c>
      <c r="N221" s="8">
        <v>1429.0</v>
      </c>
      <c r="O221" s="9">
        <v>1399.0</v>
      </c>
      <c r="P221" s="10">
        <v>1392.3</v>
      </c>
    </row>
    <row r="222">
      <c r="A222" s="6" t="s">
        <v>1170</v>
      </c>
      <c r="B222" s="6" t="s">
        <v>1170</v>
      </c>
      <c r="C222" s="6">
        <v>0.0</v>
      </c>
      <c r="D222" s="6" t="s">
        <v>1171</v>
      </c>
      <c r="E222" s="6" t="e">
        <v>#N/A</v>
      </c>
      <c r="F222" s="6">
        <v>0.0</v>
      </c>
      <c r="G222" s="6" t="s">
        <v>1170</v>
      </c>
      <c r="H222" s="7" t="e">
        <v>#N/A</v>
      </c>
      <c r="I222" s="6" t="e">
        <v>#N/A</v>
      </c>
      <c r="J222" s="6" t="s">
        <v>1172</v>
      </c>
      <c r="K222" s="6" t="str">
        <f>VLOOKUP(A222,Sheet4!$A:$H,7,0)</f>
        <v>Pet Bed</v>
      </c>
      <c r="L222" s="6" t="str">
        <f>VLOOKUP(B222,Sheet4!$A:$H,8,0)</f>
        <v>Beds</v>
      </c>
      <c r="M222" s="6">
        <v>2489.0</v>
      </c>
      <c r="N222" s="8">
        <v>1788.0</v>
      </c>
      <c r="O222" s="9">
        <v>1799.0</v>
      </c>
      <c r="P222" s="10">
        <v>1742.3</v>
      </c>
    </row>
    <row r="223">
      <c r="A223" s="6" t="s">
        <v>1173</v>
      </c>
      <c r="B223" s="6" t="s">
        <v>1173</v>
      </c>
      <c r="C223" s="6" t="s">
        <v>1174</v>
      </c>
      <c r="D223" s="6" t="s">
        <v>1175</v>
      </c>
      <c r="E223" s="6" t="e">
        <v>#N/A</v>
      </c>
      <c r="F223" s="6">
        <v>0.0</v>
      </c>
      <c r="G223" s="6" t="s">
        <v>1173</v>
      </c>
      <c r="H223" s="7" t="s">
        <v>1176</v>
      </c>
      <c r="I223" s="6" t="e">
        <v>#N/A</v>
      </c>
      <c r="J223" s="6" t="s">
        <v>1177</v>
      </c>
      <c r="K223" s="6" t="str">
        <f>VLOOKUP(A223,Sheet4!$A:$H,7,0)</f>
        <v>Pet Bed</v>
      </c>
      <c r="L223" s="6" t="str">
        <f>VLOOKUP(B223,Sheet4!$A:$H,8,0)</f>
        <v>Beds</v>
      </c>
      <c r="M223" s="6">
        <v>2989.0</v>
      </c>
      <c r="N223" s="8">
        <v>2147.0</v>
      </c>
      <c r="O223" s="9">
        <v>2099.0</v>
      </c>
      <c r="P223" s="10">
        <v>2092.3</v>
      </c>
    </row>
    <row r="224">
      <c r="A224" s="6" t="s">
        <v>1178</v>
      </c>
      <c r="B224" s="6" t="s">
        <v>1178</v>
      </c>
      <c r="C224" s="6" t="s">
        <v>1179</v>
      </c>
      <c r="D224" s="6" t="s">
        <v>1180</v>
      </c>
      <c r="E224" s="6" t="e">
        <v>#N/A</v>
      </c>
      <c r="F224" s="6">
        <v>0.0</v>
      </c>
      <c r="G224" s="6" t="s">
        <v>1178</v>
      </c>
      <c r="H224" s="7" t="s">
        <v>1181</v>
      </c>
      <c r="I224" s="6" t="e">
        <v>#N/A</v>
      </c>
      <c r="J224" s="6" t="s">
        <v>1182</v>
      </c>
      <c r="K224" s="6" t="str">
        <f>VLOOKUP(A224,Sheet4!$A:$H,7,0)</f>
        <v>Pet Bed</v>
      </c>
      <c r="L224" s="6" t="str">
        <f>VLOOKUP(B224,Sheet4!$A:$H,8,0)</f>
        <v>Beds</v>
      </c>
      <c r="M224" s="6">
        <v>1989.0</v>
      </c>
      <c r="N224" s="8">
        <v>1969.11</v>
      </c>
      <c r="O224" s="9">
        <v>1399.0</v>
      </c>
      <c r="P224" s="10">
        <v>1392.3</v>
      </c>
    </row>
    <row r="225">
      <c r="A225" s="6" t="s">
        <v>1183</v>
      </c>
      <c r="B225" s="6" t="s">
        <v>1183</v>
      </c>
      <c r="C225" s="6" t="s">
        <v>1184</v>
      </c>
      <c r="D225" s="6" t="s">
        <v>1185</v>
      </c>
      <c r="E225" s="6" t="e">
        <v>#N/A</v>
      </c>
      <c r="F225" s="6">
        <v>0.0</v>
      </c>
      <c r="G225" s="6" t="s">
        <v>1183</v>
      </c>
      <c r="H225" s="7" t="s">
        <v>1186</v>
      </c>
      <c r="I225" s="6" t="e">
        <v>#N/A</v>
      </c>
      <c r="J225" s="6" t="s">
        <v>1187</v>
      </c>
      <c r="K225" s="6" t="str">
        <f>VLOOKUP(A225,Sheet4!$A:$H,7,0)</f>
        <v>Pet Bed</v>
      </c>
      <c r="L225" s="6" t="str">
        <f>VLOOKUP(B225,Sheet4!$A:$H,8,0)</f>
        <v>Beds</v>
      </c>
      <c r="M225" s="6">
        <v>2489.0</v>
      </c>
      <c r="N225" s="8">
        <v>2464.11</v>
      </c>
      <c r="O225" s="9">
        <v>1799.0</v>
      </c>
      <c r="P225" s="10">
        <v>1742.3</v>
      </c>
    </row>
    <row r="226">
      <c r="A226" s="6" t="s">
        <v>1188</v>
      </c>
      <c r="B226" s="6" t="s">
        <v>1188</v>
      </c>
      <c r="C226" s="6" t="s">
        <v>1189</v>
      </c>
      <c r="D226" s="6" t="s">
        <v>1190</v>
      </c>
      <c r="E226" s="6" t="e">
        <v>#N/A</v>
      </c>
      <c r="F226" s="6">
        <v>0.0</v>
      </c>
      <c r="G226" s="6" t="s">
        <v>1188</v>
      </c>
      <c r="H226" s="7" t="s">
        <v>1191</v>
      </c>
      <c r="I226" s="6" t="e">
        <v>#N/A</v>
      </c>
      <c r="J226" s="6" t="s">
        <v>1192</v>
      </c>
      <c r="K226" s="6" t="str">
        <f>VLOOKUP(A226,Sheet4!$A:$H,7,0)</f>
        <v>Pet Bed</v>
      </c>
      <c r="L226" s="6" t="str">
        <f>VLOOKUP(B226,Sheet4!$A:$H,8,0)</f>
        <v>Beds</v>
      </c>
      <c r="M226" s="6">
        <v>2989.0</v>
      </c>
      <c r="N226" s="8">
        <v>2147.0</v>
      </c>
      <c r="O226" s="9">
        <v>2099.0</v>
      </c>
      <c r="P226" s="10">
        <v>2092.3</v>
      </c>
    </row>
    <row r="227">
      <c r="A227" s="6" t="s">
        <v>1193</v>
      </c>
      <c r="B227" s="6" t="s">
        <v>1193</v>
      </c>
      <c r="C227" s="6" t="e">
        <v>#N/A</v>
      </c>
      <c r="D227" s="6" t="e">
        <v>#N/A</v>
      </c>
      <c r="E227" s="6" t="e">
        <v>#N/A</v>
      </c>
      <c r="F227" s="6" t="e">
        <v>#N/A</v>
      </c>
      <c r="G227" s="6">
        <v>0.0</v>
      </c>
      <c r="H227" s="7" t="e">
        <v>#N/A</v>
      </c>
      <c r="I227" s="6" t="e">
        <v>#N/A</v>
      </c>
      <c r="J227" s="6" t="e">
        <v>#N/A</v>
      </c>
      <c r="K227" s="11" t="s">
        <v>1194</v>
      </c>
      <c r="L227" s="11" t="s">
        <v>1195</v>
      </c>
      <c r="M227" s="6" t="str">
        <f t="shared" ref="M227:M232" si="3">VLOOKUP(A227,#REF!,2,FALSE)</f>
        <v>#REF!</v>
      </c>
      <c r="N227" s="6" t="str">
        <f>VLOOKUP(A227, Sheet2!A:M, 3, FALSE)</f>
        <v>#N/A</v>
      </c>
      <c r="O227" s="10" t="e">
        <v>#N/A</v>
      </c>
      <c r="P227" s="10" t="e">
        <v>#N/A</v>
      </c>
    </row>
    <row r="228">
      <c r="A228" s="6" t="s">
        <v>1196</v>
      </c>
      <c r="B228" s="6" t="s">
        <v>1196</v>
      </c>
      <c r="C228" s="6" t="e">
        <v>#N/A</v>
      </c>
      <c r="D228" s="6" t="e">
        <v>#N/A</v>
      </c>
      <c r="E228" s="6" t="e">
        <v>#N/A</v>
      </c>
      <c r="F228" s="6" t="e">
        <v>#N/A</v>
      </c>
      <c r="G228" s="6">
        <v>0.0</v>
      </c>
      <c r="H228" s="7" t="e">
        <v>#N/A</v>
      </c>
      <c r="I228" s="6" t="e">
        <v>#N/A</v>
      </c>
      <c r="J228" s="6" t="e">
        <v>#N/A</v>
      </c>
      <c r="K228" s="11" t="s">
        <v>1194</v>
      </c>
      <c r="L228" s="11" t="s">
        <v>1195</v>
      </c>
      <c r="M228" s="6" t="str">
        <f t="shared" si="3"/>
        <v>#REF!</v>
      </c>
      <c r="N228" s="6" t="str">
        <f>VLOOKUP(A228, Sheet2!A:M, 3, FALSE)</f>
        <v>#N/A</v>
      </c>
      <c r="O228" s="10" t="e">
        <v>#N/A</v>
      </c>
      <c r="P228" s="10" t="e">
        <v>#N/A</v>
      </c>
    </row>
    <row r="229">
      <c r="A229" s="6" t="s">
        <v>1197</v>
      </c>
      <c r="B229" s="6" t="s">
        <v>1197</v>
      </c>
      <c r="C229" s="6" t="e">
        <v>#N/A</v>
      </c>
      <c r="D229" s="6" t="e">
        <v>#N/A</v>
      </c>
      <c r="E229" s="6" t="e">
        <v>#N/A</v>
      </c>
      <c r="F229" s="6" t="e">
        <v>#N/A</v>
      </c>
      <c r="G229" s="6">
        <v>0.0</v>
      </c>
      <c r="H229" s="7" t="e">
        <v>#N/A</v>
      </c>
      <c r="I229" s="6" t="e">
        <v>#N/A</v>
      </c>
      <c r="J229" s="6" t="e">
        <v>#N/A</v>
      </c>
      <c r="K229" s="11" t="s">
        <v>1194</v>
      </c>
      <c r="L229" s="11" t="s">
        <v>1195</v>
      </c>
      <c r="M229" s="6" t="str">
        <f t="shared" si="3"/>
        <v>#REF!</v>
      </c>
      <c r="N229" s="6" t="str">
        <f>VLOOKUP(A229, Sheet2!A:M, 3, FALSE)</f>
        <v>#N/A</v>
      </c>
      <c r="O229" s="10" t="e">
        <v>#N/A</v>
      </c>
      <c r="P229" s="10" t="e">
        <v>#N/A</v>
      </c>
    </row>
    <row r="230">
      <c r="A230" s="6" t="s">
        <v>1198</v>
      </c>
      <c r="B230" s="6" t="s">
        <v>1198</v>
      </c>
      <c r="C230" s="6" t="e">
        <v>#N/A</v>
      </c>
      <c r="D230" s="6" t="e">
        <v>#N/A</v>
      </c>
      <c r="E230" s="6" t="e">
        <v>#N/A</v>
      </c>
      <c r="F230" s="6" t="e">
        <v>#N/A</v>
      </c>
      <c r="G230" s="6">
        <v>0.0</v>
      </c>
      <c r="H230" s="7" t="e">
        <v>#N/A</v>
      </c>
      <c r="I230" s="6" t="e">
        <v>#N/A</v>
      </c>
      <c r="J230" s="6" t="e">
        <v>#N/A</v>
      </c>
      <c r="K230" s="11" t="s">
        <v>1194</v>
      </c>
      <c r="L230" s="11" t="s">
        <v>1195</v>
      </c>
      <c r="M230" s="6" t="str">
        <f t="shared" si="3"/>
        <v>#REF!</v>
      </c>
      <c r="N230" s="6" t="str">
        <f>VLOOKUP(A230, Sheet2!A:M, 3, FALSE)</f>
        <v>#N/A</v>
      </c>
      <c r="O230" s="10" t="e">
        <v>#N/A</v>
      </c>
      <c r="P230" s="10" t="e">
        <v>#N/A</v>
      </c>
    </row>
    <row r="231">
      <c r="A231" s="6" t="s">
        <v>1199</v>
      </c>
      <c r="B231" s="6" t="s">
        <v>1199</v>
      </c>
      <c r="C231" s="6" t="e">
        <v>#N/A</v>
      </c>
      <c r="D231" s="6" t="e">
        <v>#N/A</v>
      </c>
      <c r="E231" s="6" t="e">
        <v>#N/A</v>
      </c>
      <c r="F231" s="6" t="e">
        <v>#N/A</v>
      </c>
      <c r="G231" s="6">
        <v>0.0</v>
      </c>
      <c r="H231" s="7" t="e">
        <v>#N/A</v>
      </c>
      <c r="I231" s="6" t="e">
        <v>#N/A</v>
      </c>
      <c r="J231" s="6" t="e">
        <v>#N/A</v>
      </c>
      <c r="K231" s="11" t="s">
        <v>1194</v>
      </c>
      <c r="L231" s="11" t="s">
        <v>1195</v>
      </c>
      <c r="M231" s="6" t="str">
        <f t="shared" si="3"/>
        <v>#REF!</v>
      </c>
      <c r="N231" s="6" t="str">
        <f>VLOOKUP(A231, Sheet2!A:M, 3, FALSE)</f>
        <v>#N/A</v>
      </c>
      <c r="O231" s="10" t="e">
        <v>#N/A</v>
      </c>
      <c r="P231" s="10" t="e">
        <v>#N/A</v>
      </c>
    </row>
    <row r="232">
      <c r="A232" s="6" t="s">
        <v>1200</v>
      </c>
      <c r="B232" s="6" t="s">
        <v>1200</v>
      </c>
      <c r="C232" s="6" t="e">
        <v>#N/A</v>
      </c>
      <c r="D232" s="6" t="e">
        <v>#N/A</v>
      </c>
      <c r="E232" s="6" t="e">
        <v>#N/A</v>
      </c>
      <c r="F232" s="6" t="e">
        <v>#N/A</v>
      </c>
      <c r="G232" s="6">
        <v>0.0</v>
      </c>
      <c r="H232" s="7" t="e">
        <v>#N/A</v>
      </c>
      <c r="I232" s="6" t="e">
        <v>#N/A</v>
      </c>
      <c r="J232" s="6" t="e">
        <v>#N/A</v>
      </c>
      <c r="K232" s="11" t="s">
        <v>1194</v>
      </c>
      <c r="L232" s="11" t="s">
        <v>1195</v>
      </c>
      <c r="M232" s="6" t="str">
        <f t="shared" si="3"/>
        <v>#REF!</v>
      </c>
      <c r="N232" s="6" t="str">
        <f>VLOOKUP(A232, Sheet2!A:M, 3, FALSE)</f>
        <v>#N/A</v>
      </c>
      <c r="O232" s="10" t="e">
        <v>#N/A</v>
      </c>
      <c r="P232" s="10" t="e">
        <v>#N/A</v>
      </c>
    </row>
    <row r="233">
      <c r="A233" s="6" t="s">
        <v>1201</v>
      </c>
      <c r="B233" s="6" t="s">
        <v>1201</v>
      </c>
      <c r="C233" s="6" t="s">
        <v>1202</v>
      </c>
      <c r="D233" s="6" t="s">
        <v>1203</v>
      </c>
      <c r="E233" s="6" t="e">
        <v>#N/A</v>
      </c>
      <c r="F233" s="6" t="s">
        <v>1204</v>
      </c>
      <c r="G233" s="6" t="s">
        <v>1205</v>
      </c>
      <c r="H233" s="7" t="s">
        <v>1206</v>
      </c>
      <c r="I233" s="6">
        <v>3.1818385E7</v>
      </c>
      <c r="J233" s="6" t="e">
        <v>#N/A</v>
      </c>
      <c r="K233" s="6" t="str">
        <f>VLOOKUP(A233,Sheet4!$A:$H,7,0)</f>
        <v>Sateen Fitted Sheets</v>
      </c>
      <c r="L233" s="6" t="str">
        <f>VLOOKUP(B233,Sheet4!$A:$H,8,0)</f>
        <v>Bedding</v>
      </c>
      <c r="M233" s="6">
        <v>1999.0</v>
      </c>
      <c r="N233" s="8">
        <v>1629.0</v>
      </c>
      <c r="O233" s="9">
        <v>1629.0</v>
      </c>
      <c r="P233" s="10">
        <v>1599.2</v>
      </c>
    </row>
    <row r="234">
      <c r="A234" s="6" t="s">
        <v>1207</v>
      </c>
      <c r="B234" s="6" t="s">
        <v>1207</v>
      </c>
      <c r="C234" s="6" t="s">
        <v>1208</v>
      </c>
      <c r="D234" s="6" t="s">
        <v>1209</v>
      </c>
      <c r="E234" s="6" t="e">
        <v>#N/A</v>
      </c>
      <c r="F234" s="6" t="s">
        <v>1210</v>
      </c>
      <c r="G234" s="6" t="s">
        <v>1211</v>
      </c>
      <c r="H234" s="7" t="s">
        <v>1212</v>
      </c>
      <c r="I234" s="6">
        <v>3.1818386E7</v>
      </c>
      <c r="J234" s="6" t="e">
        <v>#N/A</v>
      </c>
      <c r="K234" s="6" t="str">
        <f>VLOOKUP(A234,Sheet4!$A:$H,7,0)</f>
        <v>Sateen Fitted Sheets</v>
      </c>
      <c r="L234" s="6" t="str">
        <f>VLOOKUP(B234,Sheet4!$A:$H,8,0)</f>
        <v>Bedding</v>
      </c>
      <c r="M234" s="6">
        <v>1999.0</v>
      </c>
      <c r="N234" s="8">
        <v>1629.0</v>
      </c>
      <c r="O234" s="9">
        <v>1629.0</v>
      </c>
      <c r="P234" s="10">
        <v>1599.2</v>
      </c>
    </row>
    <row r="235">
      <c r="A235" s="6" t="s">
        <v>1213</v>
      </c>
      <c r="B235" s="6" t="s">
        <v>1213</v>
      </c>
      <c r="C235" s="6" t="s">
        <v>1214</v>
      </c>
      <c r="D235" s="6" t="s">
        <v>1215</v>
      </c>
      <c r="E235" s="6" t="e">
        <v>#N/A</v>
      </c>
      <c r="F235" s="6" t="s">
        <v>1216</v>
      </c>
      <c r="G235" s="6" t="s">
        <v>1217</v>
      </c>
      <c r="H235" s="7" t="s">
        <v>1218</v>
      </c>
      <c r="I235" s="6">
        <v>3.1818454E7</v>
      </c>
      <c r="J235" s="6" t="e">
        <v>#N/A</v>
      </c>
      <c r="K235" s="6" t="str">
        <f>VLOOKUP(A235,Sheet4!$A:$H,7,0)</f>
        <v>Sateen Fitted Sheets</v>
      </c>
      <c r="L235" s="6" t="str">
        <f>VLOOKUP(B235,Sheet4!$A:$H,8,0)</f>
        <v>Bedding</v>
      </c>
      <c r="M235" s="6">
        <v>1999.0</v>
      </c>
      <c r="N235" s="8">
        <v>1629.0</v>
      </c>
      <c r="O235" s="9">
        <v>1629.0</v>
      </c>
      <c r="P235" s="10">
        <v>1599.2</v>
      </c>
    </row>
    <row r="236">
      <c r="A236" s="6" t="s">
        <v>1219</v>
      </c>
      <c r="B236" s="6" t="s">
        <v>1219</v>
      </c>
      <c r="C236" s="6" t="s">
        <v>1220</v>
      </c>
      <c r="D236" s="6" t="s">
        <v>1221</v>
      </c>
      <c r="E236" s="6" t="e">
        <v>#N/A</v>
      </c>
      <c r="F236" s="6" t="s">
        <v>1222</v>
      </c>
      <c r="G236" s="6" t="s">
        <v>1223</v>
      </c>
      <c r="H236" s="7" t="s">
        <v>1224</v>
      </c>
      <c r="I236" s="6">
        <v>3.1818412E7</v>
      </c>
      <c r="J236" s="6" t="e">
        <v>#N/A</v>
      </c>
      <c r="K236" s="6" t="str">
        <f>VLOOKUP(A236,Sheet4!$A:$H,7,0)</f>
        <v>Sateen Fitted Sheets</v>
      </c>
      <c r="L236" s="6" t="str">
        <f>VLOOKUP(B236,Sheet4!$A:$H,8,0)</f>
        <v>Bedding</v>
      </c>
      <c r="M236" s="6">
        <v>1999.0</v>
      </c>
      <c r="N236" s="8">
        <v>1629.0</v>
      </c>
      <c r="O236" s="9">
        <v>1629.0</v>
      </c>
      <c r="P236" s="10">
        <v>1599.2</v>
      </c>
    </row>
    <row r="237">
      <c r="A237" s="6" t="s">
        <v>1225</v>
      </c>
      <c r="B237" s="6" t="s">
        <v>1225</v>
      </c>
      <c r="C237" s="6" t="s">
        <v>1226</v>
      </c>
      <c r="D237" s="6" t="s">
        <v>1227</v>
      </c>
      <c r="E237" s="6" t="e">
        <v>#N/A</v>
      </c>
      <c r="F237" s="6" t="s">
        <v>1228</v>
      </c>
      <c r="G237" s="6" t="s">
        <v>1229</v>
      </c>
      <c r="H237" s="7" t="s">
        <v>1230</v>
      </c>
      <c r="I237" s="6">
        <v>3.1818372E7</v>
      </c>
      <c r="J237" s="6" t="e">
        <v>#N/A</v>
      </c>
      <c r="K237" s="6" t="str">
        <f>VLOOKUP(A237,Sheet4!$A:$H,7,0)</f>
        <v>Sateen Fitted Sheets</v>
      </c>
      <c r="L237" s="6" t="str">
        <f>VLOOKUP(B237,Sheet4!$A:$H,8,0)</f>
        <v>Bedding</v>
      </c>
      <c r="M237" s="6">
        <v>1999.0</v>
      </c>
      <c r="N237" s="8">
        <v>1629.0</v>
      </c>
      <c r="O237" s="9">
        <v>1629.0</v>
      </c>
      <c r="P237" s="10">
        <v>1599.2</v>
      </c>
    </row>
    <row r="238">
      <c r="A238" s="6" t="s">
        <v>1231</v>
      </c>
      <c r="B238" s="6" t="s">
        <v>1231</v>
      </c>
      <c r="C238" s="6" t="s">
        <v>1232</v>
      </c>
      <c r="D238" s="6" t="s">
        <v>1233</v>
      </c>
      <c r="E238" s="6" t="e">
        <v>#N/A</v>
      </c>
      <c r="F238" s="6" t="s">
        <v>1234</v>
      </c>
      <c r="G238" s="6" t="s">
        <v>1235</v>
      </c>
      <c r="H238" s="7" t="s">
        <v>1236</v>
      </c>
      <c r="I238" s="6">
        <v>3.1818426E7</v>
      </c>
      <c r="J238" s="6" t="e">
        <v>#N/A</v>
      </c>
      <c r="K238" s="6" t="str">
        <f>VLOOKUP(A238,Sheet4!$A:$H,7,0)</f>
        <v>Sateen Fitted Sheets</v>
      </c>
      <c r="L238" s="6" t="str">
        <f>VLOOKUP(B238,Sheet4!$A:$H,8,0)</f>
        <v>Bedding</v>
      </c>
      <c r="M238" s="6">
        <v>1999.0</v>
      </c>
      <c r="N238" s="8">
        <v>1629.0</v>
      </c>
      <c r="O238" s="9">
        <v>1629.0</v>
      </c>
      <c r="P238" s="10">
        <v>1599.2</v>
      </c>
    </row>
    <row r="239">
      <c r="A239" s="6" t="s">
        <v>1237</v>
      </c>
      <c r="B239" s="6" t="s">
        <v>1237</v>
      </c>
      <c r="C239" s="6" t="s">
        <v>1238</v>
      </c>
      <c r="D239" s="6" t="s">
        <v>1239</v>
      </c>
      <c r="E239" s="6" t="e">
        <v>#N/A</v>
      </c>
      <c r="F239" s="6" t="s">
        <v>1240</v>
      </c>
      <c r="G239" s="6" t="s">
        <v>1241</v>
      </c>
      <c r="H239" s="7" t="s">
        <v>1242</v>
      </c>
      <c r="I239" s="6">
        <v>3.1818443E7</v>
      </c>
      <c r="J239" s="6" t="e">
        <v>#N/A</v>
      </c>
      <c r="K239" s="6" t="str">
        <f>VLOOKUP(A239,Sheet4!$A:$H,7,0)</f>
        <v>Sateen Fitted Sheets</v>
      </c>
      <c r="L239" s="6" t="str">
        <f>VLOOKUP(B239,Sheet4!$A:$H,8,0)</f>
        <v>Bedding</v>
      </c>
      <c r="M239" s="6">
        <v>1999.0</v>
      </c>
      <c r="N239" s="8">
        <v>1629.0</v>
      </c>
      <c r="O239" s="9">
        <v>1629.0</v>
      </c>
      <c r="P239" s="10">
        <v>1599.2</v>
      </c>
    </row>
    <row r="240">
      <c r="A240" s="6" t="s">
        <v>1243</v>
      </c>
      <c r="B240" s="6" t="s">
        <v>1243</v>
      </c>
      <c r="C240" s="6" t="s">
        <v>1244</v>
      </c>
      <c r="D240" s="6" t="s">
        <v>1245</v>
      </c>
      <c r="E240" s="6" t="e">
        <v>#N/A</v>
      </c>
      <c r="F240" s="6" t="s">
        <v>1246</v>
      </c>
      <c r="G240" s="6" t="s">
        <v>1247</v>
      </c>
      <c r="H240" s="7" t="s">
        <v>1248</v>
      </c>
      <c r="I240" s="6">
        <v>3.1818453E7</v>
      </c>
      <c r="J240" s="6" t="e">
        <v>#N/A</v>
      </c>
      <c r="K240" s="6" t="str">
        <f>VLOOKUP(A240,Sheet4!$A:$H,7,0)</f>
        <v>Sateen Fitted Sheets</v>
      </c>
      <c r="L240" s="6" t="str">
        <f>VLOOKUP(B240,Sheet4!$A:$H,8,0)</f>
        <v>Bedding</v>
      </c>
      <c r="M240" s="6">
        <v>1999.0</v>
      </c>
      <c r="N240" s="8">
        <v>1629.0</v>
      </c>
      <c r="O240" s="9">
        <v>1629.0</v>
      </c>
      <c r="P240" s="10">
        <v>1599.2</v>
      </c>
    </row>
    <row r="241">
      <c r="A241" s="6" t="s">
        <v>1249</v>
      </c>
      <c r="B241" s="6" t="s">
        <v>1249</v>
      </c>
      <c r="C241" s="6" t="s">
        <v>1250</v>
      </c>
      <c r="D241" s="6" t="s">
        <v>1251</v>
      </c>
      <c r="E241" s="6" t="e">
        <v>#N/A</v>
      </c>
      <c r="F241" s="6" t="s">
        <v>1252</v>
      </c>
      <c r="G241" s="6" t="s">
        <v>1253</v>
      </c>
      <c r="H241" s="7" t="s">
        <v>1254</v>
      </c>
      <c r="I241" s="6" t="e">
        <v>#N/A</v>
      </c>
      <c r="J241" s="6" t="e">
        <v>#N/A</v>
      </c>
      <c r="K241" s="6" t="str">
        <f>VLOOKUP(A241,Sheet4!$A:$H,7,0)</f>
        <v>Sateen Fitted Sheets</v>
      </c>
      <c r="L241" s="6" t="str">
        <f>VLOOKUP(B241,Sheet4!$A:$H,8,0)</f>
        <v>Bedding</v>
      </c>
      <c r="M241" s="6">
        <v>1999.0</v>
      </c>
      <c r="N241" s="8">
        <v>1629.0</v>
      </c>
      <c r="O241" s="9">
        <v>1629.0</v>
      </c>
      <c r="P241" s="10">
        <v>1599.2</v>
      </c>
    </row>
    <row r="242">
      <c r="A242" s="6" t="s">
        <v>1255</v>
      </c>
      <c r="B242" s="6" t="s">
        <v>1255</v>
      </c>
      <c r="C242" s="6" t="s">
        <v>1256</v>
      </c>
      <c r="D242" s="6" t="s">
        <v>1257</v>
      </c>
      <c r="E242" s="6" t="e">
        <v>#N/A</v>
      </c>
      <c r="F242" s="6" t="s">
        <v>1258</v>
      </c>
      <c r="G242" s="6" t="s">
        <v>1259</v>
      </c>
      <c r="H242" s="7" t="s">
        <v>1260</v>
      </c>
      <c r="I242" s="6">
        <v>3.1818399E7</v>
      </c>
      <c r="J242" s="6" t="e">
        <v>#N/A</v>
      </c>
      <c r="K242" s="6" t="str">
        <f>VLOOKUP(A242,Sheet4!$A:$H,7,0)</f>
        <v>Sateen Fitted Sheets</v>
      </c>
      <c r="L242" s="6" t="str">
        <f>VLOOKUP(B242,Sheet4!$A:$H,8,0)</f>
        <v>Bedding</v>
      </c>
      <c r="M242" s="6">
        <v>1999.0</v>
      </c>
      <c r="N242" s="8">
        <v>1629.0</v>
      </c>
      <c r="O242" s="9">
        <v>1629.0</v>
      </c>
      <c r="P242" s="10">
        <v>1599.2</v>
      </c>
    </row>
    <row r="243">
      <c r="A243" s="6" t="s">
        <v>1261</v>
      </c>
      <c r="B243" s="6" t="s">
        <v>1261</v>
      </c>
      <c r="C243" s="6" t="s">
        <v>1262</v>
      </c>
      <c r="D243" s="6" t="s">
        <v>1263</v>
      </c>
      <c r="E243" s="6" t="e">
        <v>#N/A</v>
      </c>
      <c r="F243" s="6" t="s">
        <v>1264</v>
      </c>
      <c r="G243" s="6" t="s">
        <v>1265</v>
      </c>
      <c r="H243" s="7" t="s">
        <v>1266</v>
      </c>
      <c r="I243" s="6">
        <v>3.1818472E7</v>
      </c>
      <c r="J243" s="6" t="e">
        <v>#N/A</v>
      </c>
      <c r="K243" s="6" t="str">
        <f>VLOOKUP(A243,Sheet4!$A:$H,7,0)</f>
        <v>Sateen Fitted Sheets</v>
      </c>
      <c r="L243" s="6" t="str">
        <f>VLOOKUP(B243,Sheet4!$A:$H,8,0)</f>
        <v>Bedding</v>
      </c>
      <c r="M243" s="6">
        <v>1999.0</v>
      </c>
      <c r="N243" s="8">
        <v>1629.0</v>
      </c>
      <c r="O243" s="9">
        <v>1629.0</v>
      </c>
      <c r="P243" s="10">
        <v>1599.2</v>
      </c>
    </row>
    <row r="244">
      <c r="A244" s="6" t="s">
        <v>1267</v>
      </c>
      <c r="B244" s="6" t="s">
        <v>1267</v>
      </c>
      <c r="C244" s="6" t="s">
        <v>1268</v>
      </c>
      <c r="D244" s="6" t="s">
        <v>1269</v>
      </c>
      <c r="E244" s="6" t="e">
        <v>#N/A</v>
      </c>
      <c r="F244" s="6" t="s">
        <v>1270</v>
      </c>
      <c r="G244" s="6" t="s">
        <v>1271</v>
      </c>
      <c r="H244" s="7" t="s">
        <v>1272</v>
      </c>
      <c r="I244" s="6">
        <v>3.1818405E7</v>
      </c>
      <c r="J244" s="6" t="e">
        <v>#N/A</v>
      </c>
      <c r="K244" s="6" t="str">
        <f>VLOOKUP(A244,Sheet4!$A:$H,7,0)</f>
        <v>Sateen Fitted Sheets</v>
      </c>
      <c r="L244" s="6" t="str">
        <f>VLOOKUP(B244,Sheet4!$A:$H,8,0)</f>
        <v>Bedding</v>
      </c>
      <c r="M244" s="6">
        <v>1999.0</v>
      </c>
      <c r="N244" s="8">
        <v>1629.0</v>
      </c>
      <c r="O244" s="9">
        <v>1629.0</v>
      </c>
      <c r="P244" s="10">
        <v>1599.2</v>
      </c>
    </row>
    <row r="245">
      <c r="A245" s="6" t="s">
        <v>1273</v>
      </c>
      <c r="B245" s="6" t="s">
        <v>1273</v>
      </c>
      <c r="C245" s="6" t="s">
        <v>1274</v>
      </c>
      <c r="D245" s="6" t="s">
        <v>1275</v>
      </c>
      <c r="E245" s="6" t="e">
        <v>#N/A</v>
      </c>
      <c r="F245" s="6" t="s">
        <v>1276</v>
      </c>
      <c r="G245" s="6" t="s">
        <v>1277</v>
      </c>
      <c r="H245" s="7" t="s">
        <v>1278</v>
      </c>
      <c r="I245" s="6">
        <v>3.1818424E7</v>
      </c>
      <c r="J245" s="6" t="e">
        <v>#N/A</v>
      </c>
      <c r="K245" s="6" t="str">
        <f>VLOOKUP(A245,Sheet4!$A:$H,7,0)</f>
        <v>Sateen Fitted Sheets</v>
      </c>
      <c r="L245" s="6" t="str">
        <f>VLOOKUP(B245,Sheet4!$A:$H,8,0)</f>
        <v>Bedding</v>
      </c>
      <c r="M245" s="6">
        <v>2449.0</v>
      </c>
      <c r="N245" s="8">
        <v>2004.0</v>
      </c>
      <c r="O245" s="9">
        <v>2004.0</v>
      </c>
      <c r="P245" s="10">
        <v>1959.2</v>
      </c>
    </row>
    <row r="246">
      <c r="A246" s="6" t="s">
        <v>1279</v>
      </c>
      <c r="B246" s="6" t="s">
        <v>1279</v>
      </c>
      <c r="C246" s="6" t="s">
        <v>1280</v>
      </c>
      <c r="D246" s="6" t="s">
        <v>1281</v>
      </c>
      <c r="E246" s="6" t="e">
        <v>#N/A</v>
      </c>
      <c r="F246" s="6" t="s">
        <v>1282</v>
      </c>
      <c r="G246" s="6" t="s">
        <v>1283</v>
      </c>
      <c r="H246" s="7" t="s">
        <v>1284</v>
      </c>
      <c r="I246" s="6">
        <v>3.1818444E7</v>
      </c>
      <c r="J246" s="6" t="e">
        <v>#N/A</v>
      </c>
      <c r="K246" s="6" t="str">
        <f>VLOOKUP(A246,Sheet4!$A:$H,7,0)</f>
        <v>Sateen Fitted Sheets</v>
      </c>
      <c r="L246" s="6" t="str">
        <f>VLOOKUP(B246,Sheet4!$A:$H,8,0)</f>
        <v>Bedding</v>
      </c>
      <c r="M246" s="6">
        <v>2449.0</v>
      </c>
      <c r="N246" s="8">
        <v>2004.0</v>
      </c>
      <c r="O246" s="9">
        <v>2004.0</v>
      </c>
      <c r="P246" s="10">
        <v>1959.2</v>
      </c>
    </row>
    <row r="247">
      <c r="A247" s="6" t="s">
        <v>1285</v>
      </c>
      <c r="B247" s="6" t="s">
        <v>1285</v>
      </c>
      <c r="C247" s="6" t="s">
        <v>1286</v>
      </c>
      <c r="D247" s="6" t="s">
        <v>1287</v>
      </c>
      <c r="E247" s="6" t="e">
        <v>#N/A</v>
      </c>
      <c r="F247" s="6" t="s">
        <v>1288</v>
      </c>
      <c r="G247" s="6" t="s">
        <v>1289</v>
      </c>
      <c r="H247" s="7" t="s">
        <v>1290</v>
      </c>
      <c r="I247" s="6">
        <v>3.1818414E7</v>
      </c>
      <c r="J247" s="6" t="e">
        <v>#N/A</v>
      </c>
      <c r="K247" s="6" t="str">
        <f>VLOOKUP(A247,Sheet4!$A:$H,7,0)</f>
        <v>Sateen Fitted Sheets</v>
      </c>
      <c r="L247" s="6" t="str">
        <f>VLOOKUP(B247,Sheet4!$A:$H,8,0)</f>
        <v>Bedding</v>
      </c>
      <c r="M247" s="6">
        <v>2449.0</v>
      </c>
      <c r="N247" s="8">
        <v>2004.0</v>
      </c>
      <c r="O247" s="9">
        <v>2004.0</v>
      </c>
      <c r="P247" s="10">
        <v>1959.2</v>
      </c>
    </row>
    <row r="248">
      <c r="A248" s="6" t="s">
        <v>1291</v>
      </c>
      <c r="B248" s="6" t="s">
        <v>1291</v>
      </c>
      <c r="C248" s="6" t="s">
        <v>1292</v>
      </c>
      <c r="D248" s="6" t="s">
        <v>1293</v>
      </c>
      <c r="E248" s="6" t="e">
        <v>#N/A</v>
      </c>
      <c r="F248" s="6" t="s">
        <v>1294</v>
      </c>
      <c r="G248" s="6" t="s">
        <v>1295</v>
      </c>
      <c r="H248" s="7" t="s">
        <v>1296</v>
      </c>
      <c r="I248" s="6">
        <v>3.1818381E7</v>
      </c>
      <c r="J248" s="6" t="e">
        <v>#N/A</v>
      </c>
      <c r="K248" s="6" t="str">
        <f>VLOOKUP(A248,Sheet4!$A:$H,7,0)</f>
        <v>Sateen Duvet Cover</v>
      </c>
      <c r="L248" s="6" t="str">
        <f>VLOOKUP(B248,Sheet4!$A:$H,8,0)</f>
        <v>Bedding</v>
      </c>
      <c r="M248" s="6">
        <v>2449.0</v>
      </c>
      <c r="N248" s="8">
        <v>2099.0</v>
      </c>
      <c r="O248" s="9">
        <v>2099.0</v>
      </c>
      <c r="P248" s="10">
        <v>2081.65</v>
      </c>
    </row>
    <row r="249">
      <c r="A249" s="6" t="s">
        <v>1297</v>
      </c>
      <c r="B249" s="6" t="s">
        <v>1297</v>
      </c>
      <c r="C249" s="6" t="s">
        <v>1298</v>
      </c>
      <c r="D249" s="6" t="s">
        <v>1299</v>
      </c>
      <c r="E249" s="6" t="e">
        <v>#N/A</v>
      </c>
      <c r="F249" s="6" t="s">
        <v>1300</v>
      </c>
      <c r="G249" s="6" t="s">
        <v>1301</v>
      </c>
      <c r="H249" s="7" t="s">
        <v>1302</v>
      </c>
      <c r="I249" s="6">
        <v>3.181843E7</v>
      </c>
      <c r="J249" s="6" t="e">
        <v>#N/A</v>
      </c>
      <c r="K249" s="6" t="str">
        <f>VLOOKUP(A249,Sheet4!$A:$H,7,0)</f>
        <v>Sateen Fitted Sheets</v>
      </c>
      <c r="L249" s="6" t="str">
        <f>VLOOKUP(B249,Sheet4!$A:$H,8,0)</f>
        <v>Bedding</v>
      </c>
      <c r="M249" s="6">
        <v>2449.0</v>
      </c>
      <c r="N249" s="8">
        <v>2004.0</v>
      </c>
      <c r="O249" s="9">
        <v>2004.0</v>
      </c>
      <c r="P249" s="10">
        <v>1959.2</v>
      </c>
    </row>
    <row r="250">
      <c r="A250" s="6" t="s">
        <v>1303</v>
      </c>
      <c r="B250" s="6" t="s">
        <v>1303</v>
      </c>
      <c r="C250" s="6" t="s">
        <v>1304</v>
      </c>
      <c r="D250" s="6" t="s">
        <v>1305</v>
      </c>
      <c r="E250" s="6" t="e">
        <v>#N/A</v>
      </c>
      <c r="F250" s="6" t="s">
        <v>1306</v>
      </c>
      <c r="G250" s="6" t="s">
        <v>1307</v>
      </c>
      <c r="H250" s="7" t="s">
        <v>1308</v>
      </c>
      <c r="I250" s="6">
        <v>3.1818474E7</v>
      </c>
      <c r="J250" s="6" t="e">
        <v>#N/A</v>
      </c>
      <c r="K250" s="6" t="str">
        <f>VLOOKUP(A250,Sheet4!$A:$H,7,0)</f>
        <v>Sateen Fitted Sheets</v>
      </c>
      <c r="L250" s="6" t="str">
        <f>VLOOKUP(B250,Sheet4!$A:$H,8,0)</f>
        <v>Bedding</v>
      </c>
      <c r="M250" s="6">
        <v>2449.0</v>
      </c>
      <c r="N250" s="8">
        <v>2004.0</v>
      </c>
      <c r="O250" s="9">
        <v>2004.0</v>
      </c>
      <c r="P250" s="10">
        <v>1959.2</v>
      </c>
    </row>
    <row r="251">
      <c r="A251" s="6" t="s">
        <v>1309</v>
      </c>
      <c r="B251" s="6" t="s">
        <v>1309</v>
      </c>
      <c r="C251" s="6" t="s">
        <v>1310</v>
      </c>
      <c r="D251" s="6" t="s">
        <v>1311</v>
      </c>
      <c r="E251" s="6" t="e">
        <v>#N/A</v>
      </c>
      <c r="F251" s="6" t="s">
        <v>1312</v>
      </c>
      <c r="G251" s="6" t="s">
        <v>1313</v>
      </c>
      <c r="H251" s="7" t="s">
        <v>1314</v>
      </c>
      <c r="I251" s="6">
        <v>3.181842E7</v>
      </c>
      <c r="J251" s="6" t="e">
        <v>#N/A</v>
      </c>
      <c r="K251" s="6" t="str">
        <f>VLOOKUP(A251,Sheet4!$A:$H,7,0)</f>
        <v>Sateen Fitted Sheets</v>
      </c>
      <c r="L251" s="6" t="str">
        <f>VLOOKUP(B251,Sheet4!$A:$H,8,0)</f>
        <v>Bedding</v>
      </c>
      <c r="M251" s="6">
        <v>2449.0</v>
      </c>
      <c r="N251" s="8">
        <v>2004.0</v>
      </c>
      <c r="O251" s="9">
        <v>2004.0</v>
      </c>
      <c r="P251" s="10">
        <v>1959.2</v>
      </c>
    </row>
    <row r="252">
      <c r="A252" s="6" t="s">
        <v>1315</v>
      </c>
      <c r="B252" s="6" t="s">
        <v>1315</v>
      </c>
      <c r="C252" s="6" t="s">
        <v>1316</v>
      </c>
      <c r="D252" s="6" t="s">
        <v>1317</v>
      </c>
      <c r="E252" s="6" t="e">
        <v>#N/A</v>
      </c>
      <c r="F252" s="6" t="s">
        <v>1318</v>
      </c>
      <c r="G252" s="6" t="s">
        <v>1319</v>
      </c>
      <c r="H252" s="7" t="s">
        <v>1320</v>
      </c>
      <c r="I252" s="6">
        <v>3.181838E7</v>
      </c>
      <c r="J252" s="6" t="e">
        <v>#N/A</v>
      </c>
      <c r="K252" s="6" t="str">
        <f>VLOOKUP(A252,Sheet4!$A:$H,7,0)</f>
        <v>Sateen Fitted Sheets</v>
      </c>
      <c r="L252" s="6" t="str">
        <f>VLOOKUP(B252,Sheet4!$A:$H,8,0)</f>
        <v>Bedding</v>
      </c>
      <c r="M252" s="6">
        <v>2449.0</v>
      </c>
      <c r="N252" s="8">
        <v>2004.0</v>
      </c>
      <c r="O252" s="9">
        <v>2004.0</v>
      </c>
      <c r="P252" s="10">
        <v>1959.2</v>
      </c>
    </row>
    <row r="253">
      <c r="A253" s="6" t="s">
        <v>1321</v>
      </c>
      <c r="B253" s="6" t="s">
        <v>1321</v>
      </c>
      <c r="C253" s="6" t="s">
        <v>1322</v>
      </c>
      <c r="D253" s="6" t="s">
        <v>1323</v>
      </c>
      <c r="E253" s="6" t="e">
        <v>#N/A</v>
      </c>
      <c r="F253" s="6" t="s">
        <v>1324</v>
      </c>
      <c r="G253" s="6" t="s">
        <v>1325</v>
      </c>
      <c r="H253" s="7" t="s">
        <v>1326</v>
      </c>
      <c r="I253" s="6">
        <v>3.1818374E7</v>
      </c>
      <c r="J253" s="6" t="e">
        <v>#N/A</v>
      </c>
      <c r="K253" s="6" t="str">
        <f>VLOOKUP(A253,Sheet4!$A:$H,7,0)</f>
        <v>Sateen Fitted Sheets</v>
      </c>
      <c r="L253" s="6" t="str">
        <f>VLOOKUP(B253,Sheet4!$A:$H,8,0)</f>
        <v>Bedding</v>
      </c>
      <c r="M253" s="6">
        <v>2449.0</v>
      </c>
      <c r="N253" s="8">
        <v>2004.0</v>
      </c>
      <c r="O253" s="9">
        <v>2004.0</v>
      </c>
      <c r="P253" s="10">
        <v>1959.2</v>
      </c>
    </row>
    <row r="254">
      <c r="A254" s="6" t="s">
        <v>1327</v>
      </c>
      <c r="B254" s="6" t="s">
        <v>1327</v>
      </c>
      <c r="C254" s="6" t="s">
        <v>1328</v>
      </c>
      <c r="D254" s="6" t="s">
        <v>1329</v>
      </c>
      <c r="E254" s="6" t="e">
        <v>#N/A</v>
      </c>
      <c r="F254" s="6" t="s">
        <v>1330</v>
      </c>
      <c r="G254" s="6" t="s">
        <v>1331</v>
      </c>
      <c r="H254" s="7" t="s">
        <v>1332</v>
      </c>
      <c r="I254" s="6">
        <v>3.1818397E7</v>
      </c>
      <c r="J254" s="6" t="e">
        <v>#N/A</v>
      </c>
      <c r="K254" s="6" t="str">
        <f>VLOOKUP(A254,Sheet4!$A:$H,7,0)</f>
        <v>Sateen Fitted Sheets</v>
      </c>
      <c r="L254" s="6" t="str">
        <f>VLOOKUP(B254,Sheet4!$A:$H,8,0)</f>
        <v>Bedding</v>
      </c>
      <c r="M254" s="6">
        <v>2449.0</v>
      </c>
      <c r="N254" s="8">
        <v>2004.0</v>
      </c>
      <c r="O254" s="9">
        <v>2004.0</v>
      </c>
      <c r="P254" s="10">
        <v>1959.2</v>
      </c>
    </row>
    <row r="255">
      <c r="A255" s="6" t="s">
        <v>1333</v>
      </c>
      <c r="B255" s="6" t="s">
        <v>1333</v>
      </c>
      <c r="C255" s="6" t="s">
        <v>1334</v>
      </c>
      <c r="D255" s="6" t="s">
        <v>1335</v>
      </c>
      <c r="E255" s="6" t="e">
        <v>#N/A</v>
      </c>
      <c r="F255" s="6" t="s">
        <v>1336</v>
      </c>
      <c r="G255" s="6" t="s">
        <v>1337</v>
      </c>
      <c r="H255" s="7" t="s">
        <v>1338</v>
      </c>
      <c r="I255" s="6">
        <v>3.18184E7</v>
      </c>
      <c r="J255" s="6" t="e">
        <v>#N/A</v>
      </c>
      <c r="K255" s="6" t="str">
        <f>VLOOKUP(A255,Sheet4!$A:$H,7,0)</f>
        <v>Sateen Fitted Sheets</v>
      </c>
      <c r="L255" s="6" t="str">
        <f>VLOOKUP(B255,Sheet4!$A:$H,8,0)</f>
        <v>Bedding</v>
      </c>
      <c r="M255" s="6">
        <v>2449.0</v>
      </c>
      <c r="N255" s="8">
        <v>2004.0</v>
      </c>
      <c r="O255" s="9">
        <v>2004.0</v>
      </c>
      <c r="P255" s="10">
        <v>1959.2</v>
      </c>
    </row>
    <row r="256">
      <c r="A256" s="6" t="s">
        <v>1339</v>
      </c>
      <c r="B256" s="6" t="s">
        <v>1339</v>
      </c>
      <c r="C256" s="6" t="s">
        <v>1340</v>
      </c>
      <c r="D256" s="6" t="s">
        <v>1341</v>
      </c>
      <c r="E256" s="6" t="e">
        <v>#N/A</v>
      </c>
      <c r="F256" s="6" t="s">
        <v>1342</v>
      </c>
      <c r="G256" s="6" t="s">
        <v>1343</v>
      </c>
      <c r="H256" s="7" t="s">
        <v>1344</v>
      </c>
      <c r="I256" s="6">
        <v>3.1818422E7</v>
      </c>
      <c r="J256" s="6" t="e">
        <v>#N/A</v>
      </c>
      <c r="K256" s="6" t="str">
        <f>VLOOKUP(A256,Sheet4!$A:$H,7,0)</f>
        <v>Sateen Fitted Sheets</v>
      </c>
      <c r="L256" s="6" t="str">
        <f>VLOOKUP(B256,Sheet4!$A:$H,8,0)</f>
        <v>Bedding</v>
      </c>
      <c r="M256" s="6">
        <v>2449.0</v>
      </c>
      <c r="N256" s="8">
        <v>2004.0</v>
      </c>
      <c r="O256" s="9">
        <v>2004.0</v>
      </c>
      <c r="P256" s="10">
        <v>1959.2</v>
      </c>
    </row>
    <row r="257">
      <c r="A257" s="6" t="s">
        <v>1345</v>
      </c>
      <c r="B257" s="6" t="s">
        <v>1345</v>
      </c>
      <c r="C257" s="6" t="s">
        <v>1346</v>
      </c>
      <c r="D257" s="6" t="s">
        <v>1347</v>
      </c>
      <c r="E257" s="6" t="e">
        <v>#N/A</v>
      </c>
      <c r="F257" s="6" t="s">
        <v>1348</v>
      </c>
      <c r="G257" s="6" t="s">
        <v>1349</v>
      </c>
      <c r="H257" s="7" t="s">
        <v>1350</v>
      </c>
      <c r="I257" s="6">
        <v>3.1818363E7</v>
      </c>
      <c r="J257" s="6" t="e">
        <v>#N/A</v>
      </c>
      <c r="K257" s="6" t="str">
        <f>VLOOKUP(A257,Sheet4!$A:$H,7,0)</f>
        <v>Sateen Fitted Sheets</v>
      </c>
      <c r="L257" s="6" t="str">
        <f>VLOOKUP(B257,Sheet4!$A:$H,8,0)</f>
        <v>Bedding</v>
      </c>
      <c r="M257" s="6">
        <v>2649.0</v>
      </c>
      <c r="N257" s="8">
        <v>2164.0</v>
      </c>
      <c r="O257" s="9">
        <v>2199.0</v>
      </c>
      <c r="P257" s="10">
        <v>2119.2</v>
      </c>
    </row>
    <row r="258">
      <c r="A258" s="6" t="s">
        <v>1351</v>
      </c>
      <c r="B258" s="6" t="s">
        <v>1351</v>
      </c>
      <c r="C258" s="6" t="s">
        <v>1352</v>
      </c>
      <c r="D258" s="6" t="s">
        <v>1353</v>
      </c>
      <c r="E258" s="6" t="e">
        <v>#N/A</v>
      </c>
      <c r="F258" s="6" t="s">
        <v>1354</v>
      </c>
      <c r="G258" s="6" t="s">
        <v>1355</v>
      </c>
      <c r="H258" s="7" t="s">
        <v>1356</v>
      </c>
      <c r="I258" s="6">
        <v>3.1818436E7</v>
      </c>
      <c r="J258" s="6" t="e">
        <v>#N/A</v>
      </c>
      <c r="K258" s="6" t="str">
        <f>VLOOKUP(A258,Sheet4!$A:$H,7,0)</f>
        <v>Sateen Fitted Sheets</v>
      </c>
      <c r="L258" s="6" t="str">
        <f>VLOOKUP(B258,Sheet4!$A:$H,8,0)</f>
        <v>Bedding</v>
      </c>
      <c r="M258" s="6">
        <v>2649.0</v>
      </c>
      <c r="N258" s="8">
        <v>2164.0</v>
      </c>
      <c r="O258" s="9">
        <v>2199.0</v>
      </c>
      <c r="P258" s="10">
        <v>2119.2</v>
      </c>
    </row>
    <row r="259">
      <c r="A259" s="6" t="s">
        <v>1357</v>
      </c>
      <c r="B259" s="6" t="s">
        <v>1357</v>
      </c>
      <c r="C259" s="6" t="s">
        <v>1358</v>
      </c>
      <c r="D259" s="6" t="s">
        <v>1359</v>
      </c>
      <c r="E259" s="6" t="e">
        <v>#N/A</v>
      </c>
      <c r="F259" s="6" t="s">
        <v>1360</v>
      </c>
      <c r="G259" s="6" t="s">
        <v>1361</v>
      </c>
      <c r="H259" s="7" t="s">
        <v>1362</v>
      </c>
      <c r="I259" s="6">
        <v>3.1818362E7</v>
      </c>
      <c r="J259" s="6" t="e">
        <v>#N/A</v>
      </c>
      <c r="K259" s="6" t="str">
        <f>VLOOKUP(A259,Sheet4!$A:$H,7,0)</f>
        <v>Sateen Fitted Sheets</v>
      </c>
      <c r="L259" s="6" t="str">
        <f>VLOOKUP(B259,Sheet4!$A:$H,8,0)</f>
        <v>Bedding</v>
      </c>
      <c r="M259" s="6">
        <v>2649.0</v>
      </c>
      <c r="N259" s="8">
        <v>2164.0</v>
      </c>
      <c r="O259" s="9">
        <v>2199.0</v>
      </c>
      <c r="P259" s="10">
        <v>2119.2</v>
      </c>
    </row>
    <row r="260">
      <c r="A260" s="6" t="s">
        <v>1363</v>
      </c>
      <c r="B260" s="6" t="s">
        <v>1363</v>
      </c>
      <c r="C260" s="6" t="s">
        <v>1364</v>
      </c>
      <c r="D260" s="6" t="s">
        <v>1365</v>
      </c>
      <c r="E260" s="6" t="e">
        <v>#N/A</v>
      </c>
      <c r="F260" s="6" t="s">
        <v>1366</v>
      </c>
      <c r="G260" s="6" t="s">
        <v>1367</v>
      </c>
      <c r="H260" s="7" t="s">
        <v>1368</v>
      </c>
      <c r="I260" s="6">
        <v>3.1818389E7</v>
      </c>
      <c r="J260" s="6" t="e">
        <v>#N/A</v>
      </c>
      <c r="K260" s="6" t="str">
        <f>VLOOKUP(A260,Sheet4!$A:$H,7,0)</f>
        <v>Sateen Fitted Sheets</v>
      </c>
      <c r="L260" s="6" t="str">
        <f>VLOOKUP(B260,Sheet4!$A:$H,8,0)</f>
        <v>Bedding</v>
      </c>
      <c r="M260" s="6">
        <v>2649.0</v>
      </c>
      <c r="N260" s="8">
        <v>2164.0</v>
      </c>
      <c r="O260" s="9">
        <v>2199.0</v>
      </c>
      <c r="P260" s="10">
        <v>2119.2</v>
      </c>
    </row>
    <row r="261">
      <c r="A261" s="6" t="s">
        <v>1369</v>
      </c>
      <c r="B261" s="6" t="s">
        <v>1369</v>
      </c>
      <c r="C261" s="6" t="s">
        <v>1370</v>
      </c>
      <c r="D261" s="6" t="s">
        <v>1371</v>
      </c>
      <c r="E261" s="6" t="e">
        <v>#N/A</v>
      </c>
      <c r="F261" s="6" t="s">
        <v>1372</v>
      </c>
      <c r="G261" s="6" t="s">
        <v>1373</v>
      </c>
      <c r="H261" s="7" t="s">
        <v>1374</v>
      </c>
      <c r="I261" s="6">
        <v>3.1818358E7</v>
      </c>
      <c r="J261" s="6" t="e">
        <v>#N/A</v>
      </c>
      <c r="K261" s="6" t="str">
        <f>VLOOKUP(A261,Sheet4!$A:$H,7,0)</f>
        <v>Sateen Fitted Sheets</v>
      </c>
      <c r="L261" s="6" t="str">
        <f>VLOOKUP(B261,Sheet4!$A:$H,8,0)</f>
        <v>Bedding</v>
      </c>
      <c r="M261" s="6">
        <v>2649.0</v>
      </c>
      <c r="N261" s="8">
        <v>2164.0</v>
      </c>
      <c r="O261" s="9">
        <v>2199.0</v>
      </c>
      <c r="P261" s="10">
        <v>2119.2</v>
      </c>
    </row>
    <row r="262">
      <c r="A262" s="6" t="s">
        <v>1375</v>
      </c>
      <c r="B262" s="6" t="s">
        <v>1375</v>
      </c>
      <c r="C262" s="6" t="s">
        <v>1376</v>
      </c>
      <c r="D262" s="6" t="s">
        <v>1377</v>
      </c>
      <c r="E262" s="6" t="s">
        <v>1378</v>
      </c>
      <c r="F262" s="6" t="s">
        <v>1379</v>
      </c>
      <c r="G262" s="6" t="s">
        <v>1380</v>
      </c>
      <c r="H262" s="7" t="s">
        <v>1381</v>
      </c>
      <c r="I262" s="6">
        <v>3.1818419E7</v>
      </c>
      <c r="J262" s="6" t="e">
        <v>#N/A</v>
      </c>
      <c r="K262" s="6" t="str">
        <f>VLOOKUP(A262,Sheet4!$A:$H,7,0)</f>
        <v>Sateen Fitted Sheets</v>
      </c>
      <c r="L262" s="6" t="str">
        <f>VLOOKUP(B262,Sheet4!$A:$H,8,0)</f>
        <v>Bedding</v>
      </c>
      <c r="M262" s="6">
        <v>2649.0</v>
      </c>
      <c r="N262" s="8">
        <v>2164.0</v>
      </c>
      <c r="O262" s="9">
        <v>2199.0</v>
      </c>
      <c r="P262" s="10">
        <v>2119.2</v>
      </c>
    </row>
    <row r="263">
      <c r="A263" s="6" t="s">
        <v>1382</v>
      </c>
      <c r="B263" s="6" t="s">
        <v>1382</v>
      </c>
      <c r="C263" s="6" t="s">
        <v>1383</v>
      </c>
      <c r="D263" s="6" t="s">
        <v>1384</v>
      </c>
      <c r="E263" s="6" t="e">
        <v>#N/A</v>
      </c>
      <c r="F263" s="6" t="s">
        <v>1385</v>
      </c>
      <c r="G263" s="6" t="s">
        <v>1386</v>
      </c>
      <c r="H263" s="7" t="s">
        <v>1387</v>
      </c>
      <c r="I263" s="6">
        <v>3.1818401E7</v>
      </c>
      <c r="J263" s="6" t="e">
        <v>#N/A</v>
      </c>
      <c r="K263" s="6" t="str">
        <f>VLOOKUP(A263,Sheet4!$A:$H,7,0)</f>
        <v>Sateen Fitted Sheets</v>
      </c>
      <c r="L263" s="6" t="str">
        <f>VLOOKUP(B263,Sheet4!$A:$H,8,0)</f>
        <v>Bedding</v>
      </c>
      <c r="M263" s="6">
        <v>2649.0</v>
      </c>
      <c r="N263" s="8">
        <v>2164.0</v>
      </c>
      <c r="O263" s="9">
        <v>2199.0</v>
      </c>
      <c r="P263" s="10">
        <v>2119.2</v>
      </c>
    </row>
    <row r="264">
      <c r="A264" s="6" t="s">
        <v>1388</v>
      </c>
      <c r="B264" s="6" t="s">
        <v>1388</v>
      </c>
      <c r="C264" s="6" t="s">
        <v>1389</v>
      </c>
      <c r="D264" s="6" t="s">
        <v>1390</v>
      </c>
      <c r="E264" s="6" t="e">
        <v>#N/A</v>
      </c>
      <c r="F264" s="6" t="s">
        <v>1391</v>
      </c>
      <c r="G264" s="6" t="s">
        <v>1392</v>
      </c>
      <c r="H264" s="7" t="s">
        <v>1393</v>
      </c>
      <c r="I264" s="6">
        <v>3.1818395E7</v>
      </c>
      <c r="J264" s="6" t="e">
        <v>#N/A</v>
      </c>
      <c r="K264" s="6" t="str">
        <f>VLOOKUP(A264,Sheet4!$A:$H,7,0)</f>
        <v>Sateen Fitted Sheets</v>
      </c>
      <c r="L264" s="6" t="str">
        <f>VLOOKUP(B264,Sheet4!$A:$H,8,0)</f>
        <v>Bedding</v>
      </c>
      <c r="M264" s="6">
        <v>2649.0</v>
      </c>
      <c r="N264" s="8">
        <v>2164.0</v>
      </c>
      <c r="O264" s="9">
        <v>2199.0</v>
      </c>
      <c r="P264" s="10">
        <v>2119.2</v>
      </c>
    </row>
    <row r="265">
      <c r="A265" s="6" t="s">
        <v>1394</v>
      </c>
      <c r="B265" s="6" t="s">
        <v>1394</v>
      </c>
      <c r="C265" s="6" t="s">
        <v>1395</v>
      </c>
      <c r="D265" s="6" t="s">
        <v>1396</v>
      </c>
      <c r="E265" s="6" t="e">
        <v>#N/A</v>
      </c>
      <c r="F265" s="6" t="s">
        <v>1397</v>
      </c>
      <c r="G265" s="6" t="s">
        <v>1398</v>
      </c>
      <c r="H265" s="7" t="s">
        <v>1399</v>
      </c>
      <c r="I265" s="6">
        <v>3.181836E7</v>
      </c>
      <c r="J265" s="6" t="e">
        <v>#N/A</v>
      </c>
      <c r="K265" s="6" t="str">
        <f>VLOOKUP(A265,Sheet4!$A:$H,7,0)</f>
        <v>Sateen Fitted Sheets</v>
      </c>
      <c r="L265" s="6" t="str">
        <f>VLOOKUP(B265,Sheet4!$A:$H,8,0)</f>
        <v>Bedding</v>
      </c>
      <c r="M265" s="6">
        <v>2649.0</v>
      </c>
      <c r="N265" s="8">
        <v>2164.0</v>
      </c>
      <c r="O265" s="9">
        <v>2199.0</v>
      </c>
      <c r="P265" s="10">
        <v>2119.2</v>
      </c>
    </row>
    <row r="266">
      <c r="A266" s="6" t="s">
        <v>1400</v>
      </c>
      <c r="B266" s="6" t="s">
        <v>1400</v>
      </c>
      <c r="C266" s="6" t="s">
        <v>1401</v>
      </c>
      <c r="D266" s="6" t="s">
        <v>1402</v>
      </c>
      <c r="E266" s="6" t="s">
        <v>1403</v>
      </c>
      <c r="F266" s="6" t="s">
        <v>1404</v>
      </c>
      <c r="G266" s="6" t="s">
        <v>1405</v>
      </c>
      <c r="H266" s="7" t="s">
        <v>1406</v>
      </c>
      <c r="I266" s="6">
        <v>3.1818411E7</v>
      </c>
      <c r="J266" s="6" t="e">
        <v>#N/A</v>
      </c>
      <c r="K266" s="6" t="str">
        <f>VLOOKUP(A266,Sheet4!$A:$H,7,0)</f>
        <v>Sateen Fitted Sheets</v>
      </c>
      <c r="L266" s="6" t="str">
        <f>VLOOKUP(B266,Sheet4!$A:$H,8,0)</f>
        <v>Bedding</v>
      </c>
      <c r="M266" s="6">
        <v>2649.0</v>
      </c>
      <c r="N266" s="8">
        <v>2164.0</v>
      </c>
      <c r="O266" s="9">
        <v>2199.0</v>
      </c>
      <c r="P266" s="10">
        <v>2119.2</v>
      </c>
    </row>
    <row r="267">
      <c r="A267" s="6" t="s">
        <v>1407</v>
      </c>
      <c r="B267" s="6" t="s">
        <v>1407</v>
      </c>
      <c r="C267" s="6" t="s">
        <v>1408</v>
      </c>
      <c r="D267" s="6" t="s">
        <v>1409</v>
      </c>
      <c r="E267" s="6" t="e">
        <v>#N/A</v>
      </c>
      <c r="F267" s="6" t="s">
        <v>1410</v>
      </c>
      <c r="G267" s="6" t="s">
        <v>1411</v>
      </c>
      <c r="H267" s="7" t="s">
        <v>1412</v>
      </c>
      <c r="I267" s="6">
        <v>3.1818434E7</v>
      </c>
      <c r="J267" s="6" t="e">
        <v>#N/A</v>
      </c>
      <c r="K267" s="6" t="str">
        <f>VLOOKUP(A267,Sheet4!$A:$H,7,0)</f>
        <v>Sateen Fitted Sheets</v>
      </c>
      <c r="L267" s="6" t="str">
        <f>VLOOKUP(B267,Sheet4!$A:$H,8,0)</f>
        <v>Bedding</v>
      </c>
      <c r="M267" s="6">
        <v>2649.0</v>
      </c>
      <c r="N267" s="8">
        <v>2164.0</v>
      </c>
      <c r="O267" s="9">
        <v>2199.0</v>
      </c>
      <c r="P267" s="10">
        <v>2119.2</v>
      </c>
    </row>
    <row r="268">
      <c r="A268" s="6" t="s">
        <v>1413</v>
      </c>
      <c r="B268" s="6" t="s">
        <v>1413</v>
      </c>
      <c r="C268" s="6" t="s">
        <v>1414</v>
      </c>
      <c r="D268" s="6" t="s">
        <v>1415</v>
      </c>
      <c r="E268" s="6" t="e">
        <v>#N/A</v>
      </c>
      <c r="F268" s="6" t="s">
        <v>1416</v>
      </c>
      <c r="G268" s="6" t="s">
        <v>1417</v>
      </c>
      <c r="H268" s="7" t="s">
        <v>1418</v>
      </c>
      <c r="I268" s="6">
        <v>3.181841E7</v>
      </c>
      <c r="J268" s="6" t="e">
        <v>#N/A</v>
      </c>
      <c r="K268" s="6" t="str">
        <f>VLOOKUP(A268,Sheet4!$A:$H,7,0)</f>
        <v>Sateen Fitted Sheets</v>
      </c>
      <c r="L268" s="6" t="str">
        <f>VLOOKUP(B268,Sheet4!$A:$H,8,0)</f>
        <v>Bedding</v>
      </c>
      <c r="M268" s="6">
        <v>2649.0</v>
      </c>
      <c r="N268" s="8">
        <v>2164.0</v>
      </c>
      <c r="O268" s="9">
        <v>2199.0</v>
      </c>
      <c r="P268" s="10">
        <v>2119.2</v>
      </c>
    </row>
    <row r="269">
      <c r="A269" s="6" t="s">
        <v>1419</v>
      </c>
      <c r="B269" s="6" t="s">
        <v>1419</v>
      </c>
      <c r="C269" s="6" t="s">
        <v>1420</v>
      </c>
      <c r="D269" s="6" t="s">
        <v>1421</v>
      </c>
      <c r="E269" s="6" t="e">
        <v>#N/A</v>
      </c>
      <c r="F269" s="6" t="s">
        <v>1422</v>
      </c>
      <c r="G269" s="6" t="s">
        <v>1423</v>
      </c>
      <c r="H269" s="7" t="s">
        <v>1424</v>
      </c>
      <c r="I269" s="6">
        <v>3.1818468E7</v>
      </c>
      <c r="J269" s="6" t="e">
        <v>#N/A</v>
      </c>
      <c r="K269" s="6" t="str">
        <f>VLOOKUP(A269,Sheet4!$A:$H,7,0)</f>
        <v>Sateen Fitted Sheets</v>
      </c>
      <c r="L269" s="6" t="str">
        <f>VLOOKUP(B269,Sheet4!$A:$H,8,0)</f>
        <v>Bedding</v>
      </c>
      <c r="M269" s="6">
        <v>2999.0</v>
      </c>
      <c r="N269" s="8">
        <v>2449.0</v>
      </c>
      <c r="O269" s="9">
        <v>2449.0</v>
      </c>
      <c r="P269" s="10">
        <v>2399.2</v>
      </c>
    </row>
    <row r="270">
      <c r="A270" s="6" t="s">
        <v>1425</v>
      </c>
      <c r="B270" s="6" t="s">
        <v>1425</v>
      </c>
      <c r="C270" s="6" t="s">
        <v>1426</v>
      </c>
      <c r="D270" s="6" t="s">
        <v>1427</v>
      </c>
      <c r="E270" s="6" t="e">
        <v>#N/A</v>
      </c>
      <c r="F270" s="6" t="s">
        <v>1428</v>
      </c>
      <c r="G270" s="6" t="s">
        <v>1429</v>
      </c>
      <c r="H270" s="7" t="s">
        <v>1430</v>
      </c>
      <c r="I270" s="6">
        <v>3.1818447E7</v>
      </c>
      <c r="J270" s="6" t="e">
        <v>#N/A</v>
      </c>
      <c r="K270" s="6" t="str">
        <f>VLOOKUP(A270,Sheet4!$A:$H,7,0)</f>
        <v>Sateen Fitted Sheets</v>
      </c>
      <c r="L270" s="6" t="str">
        <f>VLOOKUP(B270,Sheet4!$A:$H,8,0)</f>
        <v>Bedding</v>
      </c>
      <c r="M270" s="6">
        <v>2999.0</v>
      </c>
      <c r="N270" s="8">
        <v>2449.0</v>
      </c>
      <c r="O270" s="9">
        <v>2449.0</v>
      </c>
      <c r="P270" s="10">
        <v>2399.2</v>
      </c>
    </row>
    <row r="271">
      <c r="A271" s="6" t="s">
        <v>1431</v>
      </c>
      <c r="B271" s="6" t="s">
        <v>1431</v>
      </c>
      <c r="C271" s="6" t="s">
        <v>1432</v>
      </c>
      <c r="D271" s="6" t="s">
        <v>1433</v>
      </c>
      <c r="E271" s="6" t="s">
        <v>1434</v>
      </c>
      <c r="F271" s="6" t="s">
        <v>1435</v>
      </c>
      <c r="G271" s="6" t="s">
        <v>1436</v>
      </c>
      <c r="H271" s="7" t="s">
        <v>1437</v>
      </c>
      <c r="I271" s="6">
        <v>3.181846E7</v>
      </c>
      <c r="J271" s="6" t="e">
        <v>#N/A</v>
      </c>
      <c r="K271" s="6" t="str">
        <f>VLOOKUP(A271,Sheet4!$A:$H,7,0)</f>
        <v>Sateen Fitted Sheets</v>
      </c>
      <c r="L271" s="6" t="str">
        <f>VLOOKUP(B271,Sheet4!$A:$H,8,0)</f>
        <v>Bedding</v>
      </c>
      <c r="M271" s="6">
        <v>2999.0</v>
      </c>
      <c r="N271" s="8">
        <v>2449.0</v>
      </c>
      <c r="O271" s="9">
        <v>2449.0</v>
      </c>
      <c r="P271" s="10">
        <v>2399.2</v>
      </c>
    </row>
    <row r="272">
      <c r="A272" s="6" t="s">
        <v>1438</v>
      </c>
      <c r="B272" s="6" t="s">
        <v>1438</v>
      </c>
      <c r="C272" s="6" t="s">
        <v>1439</v>
      </c>
      <c r="D272" s="6" t="s">
        <v>1440</v>
      </c>
      <c r="E272" s="6" t="e">
        <v>#N/A</v>
      </c>
      <c r="F272" s="6" t="s">
        <v>1441</v>
      </c>
      <c r="G272" s="6" t="s">
        <v>1442</v>
      </c>
      <c r="H272" s="7" t="s">
        <v>1443</v>
      </c>
      <c r="I272" s="6">
        <v>3.1818478E7</v>
      </c>
      <c r="J272" s="6" t="e">
        <v>#N/A</v>
      </c>
      <c r="K272" s="6" t="str">
        <f>VLOOKUP(A272,Sheet4!$A:$H,7,0)</f>
        <v>Sateen Fitted Sheets</v>
      </c>
      <c r="L272" s="6" t="str">
        <f>VLOOKUP(B272,Sheet4!$A:$H,8,0)</f>
        <v>Bedding</v>
      </c>
      <c r="M272" s="6">
        <v>2999.0</v>
      </c>
      <c r="N272" s="8">
        <v>2449.0</v>
      </c>
      <c r="O272" s="9">
        <v>2449.0</v>
      </c>
      <c r="P272" s="10">
        <v>2399.2</v>
      </c>
    </row>
    <row r="273">
      <c r="A273" s="6" t="s">
        <v>1444</v>
      </c>
      <c r="B273" s="6" t="s">
        <v>1444</v>
      </c>
      <c r="C273" s="6" t="s">
        <v>1445</v>
      </c>
      <c r="D273" s="6" t="s">
        <v>1446</v>
      </c>
      <c r="E273" s="6" t="e">
        <v>#N/A</v>
      </c>
      <c r="F273" s="6" t="s">
        <v>1447</v>
      </c>
      <c r="G273" s="6" t="s">
        <v>1448</v>
      </c>
      <c r="H273" s="7" t="s">
        <v>1449</v>
      </c>
      <c r="I273" s="6">
        <v>3.1818462E7</v>
      </c>
      <c r="J273" s="6" t="e">
        <v>#N/A</v>
      </c>
      <c r="K273" s="6" t="str">
        <f>VLOOKUP(A273,Sheet4!$A:$H,7,0)</f>
        <v>Sateen Fitted Sheets</v>
      </c>
      <c r="L273" s="6" t="str">
        <f>VLOOKUP(B273,Sheet4!$A:$H,8,0)</f>
        <v>Bedding</v>
      </c>
      <c r="M273" s="6">
        <v>2999.0</v>
      </c>
      <c r="N273" s="8">
        <v>2449.0</v>
      </c>
      <c r="O273" s="9">
        <v>2449.0</v>
      </c>
      <c r="P273" s="10">
        <v>2399.2</v>
      </c>
    </row>
    <row r="274">
      <c r="A274" s="6" t="s">
        <v>1450</v>
      </c>
      <c r="B274" s="6" t="s">
        <v>1450</v>
      </c>
      <c r="C274" s="6" t="s">
        <v>1451</v>
      </c>
      <c r="D274" s="6" t="s">
        <v>1452</v>
      </c>
      <c r="E274" s="6" t="s">
        <v>1453</v>
      </c>
      <c r="F274" s="6" t="s">
        <v>1454</v>
      </c>
      <c r="G274" s="6" t="s">
        <v>1455</v>
      </c>
      <c r="H274" s="7" t="s">
        <v>1456</v>
      </c>
      <c r="I274" s="6">
        <v>3.1818375E7</v>
      </c>
      <c r="J274" s="6" t="e">
        <v>#N/A</v>
      </c>
      <c r="K274" s="6" t="str">
        <f>VLOOKUP(A274,Sheet4!$A:$H,7,0)</f>
        <v>Sateen Fitted Sheets</v>
      </c>
      <c r="L274" s="6" t="str">
        <f>VLOOKUP(B274,Sheet4!$A:$H,8,0)</f>
        <v>Bedding</v>
      </c>
      <c r="M274" s="6">
        <v>2999.0</v>
      </c>
      <c r="N274" s="8">
        <v>2449.0</v>
      </c>
      <c r="O274" s="9">
        <v>2449.0</v>
      </c>
      <c r="P274" s="10">
        <v>2399.2</v>
      </c>
    </row>
    <row r="275">
      <c r="A275" s="6" t="s">
        <v>1457</v>
      </c>
      <c r="B275" s="6" t="s">
        <v>1457</v>
      </c>
      <c r="C275" s="6" t="s">
        <v>1458</v>
      </c>
      <c r="D275" s="6" t="s">
        <v>1459</v>
      </c>
      <c r="E275" s="6" t="e">
        <v>#N/A</v>
      </c>
      <c r="F275" s="6" t="s">
        <v>1460</v>
      </c>
      <c r="G275" s="6" t="s">
        <v>1461</v>
      </c>
      <c r="H275" s="7" t="s">
        <v>1462</v>
      </c>
      <c r="I275" s="6">
        <v>3.1818409E7</v>
      </c>
      <c r="J275" s="6" t="e">
        <v>#N/A</v>
      </c>
      <c r="K275" s="6" t="str">
        <f>VLOOKUP(A275,Sheet4!$A:$H,7,0)</f>
        <v>Sateen Fitted Sheets</v>
      </c>
      <c r="L275" s="6" t="str">
        <f>VLOOKUP(B275,Sheet4!$A:$H,8,0)</f>
        <v>Bedding</v>
      </c>
      <c r="M275" s="6">
        <v>2999.0</v>
      </c>
      <c r="N275" s="8">
        <v>2449.0</v>
      </c>
      <c r="O275" s="9">
        <v>2449.0</v>
      </c>
      <c r="P275" s="10">
        <v>2399.2</v>
      </c>
    </row>
    <row r="276">
      <c r="A276" s="6" t="s">
        <v>1463</v>
      </c>
      <c r="B276" s="6" t="s">
        <v>1463</v>
      </c>
      <c r="C276" s="6" t="s">
        <v>1464</v>
      </c>
      <c r="D276" s="6" t="s">
        <v>1465</v>
      </c>
      <c r="E276" s="6" t="e">
        <v>#N/A</v>
      </c>
      <c r="F276" s="6" t="s">
        <v>1466</v>
      </c>
      <c r="G276" s="6" t="s">
        <v>1467</v>
      </c>
      <c r="H276" s="7" t="s">
        <v>1468</v>
      </c>
      <c r="I276" s="6">
        <v>3.1818463E7</v>
      </c>
      <c r="J276" s="6" t="e">
        <v>#N/A</v>
      </c>
      <c r="K276" s="6" t="str">
        <f>VLOOKUP(A276,Sheet4!$A:$H,7,0)</f>
        <v>Sateen Fitted Sheets</v>
      </c>
      <c r="L276" s="6" t="str">
        <f>VLOOKUP(B276,Sheet4!$A:$H,8,0)</f>
        <v>Bedding</v>
      </c>
      <c r="M276" s="6">
        <v>2999.0</v>
      </c>
      <c r="N276" s="8">
        <v>2449.0</v>
      </c>
      <c r="O276" s="9">
        <v>2449.0</v>
      </c>
      <c r="P276" s="10">
        <v>2399.2</v>
      </c>
    </row>
    <row r="277">
      <c r="A277" s="6" t="s">
        <v>1469</v>
      </c>
      <c r="B277" s="6" t="s">
        <v>1469</v>
      </c>
      <c r="C277" s="6" t="s">
        <v>1470</v>
      </c>
      <c r="D277" s="6" t="s">
        <v>1471</v>
      </c>
      <c r="E277" s="6" t="e">
        <v>#N/A</v>
      </c>
      <c r="F277" s="6" t="s">
        <v>1472</v>
      </c>
      <c r="G277" s="6" t="s">
        <v>1473</v>
      </c>
      <c r="H277" s="7" t="s">
        <v>1474</v>
      </c>
      <c r="I277" s="6">
        <v>3.1818477E7</v>
      </c>
      <c r="J277" s="6" t="e">
        <v>#N/A</v>
      </c>
      <c r="K277" s="6" t="str">
        <f>VLOOKUP(A277,Sheet4!$A:$H,7,0)</f>
        <v>Sateen Fitted Sheets</v>
      </c>
      <c r="L277" s="6" t="str">
        <f>VLOOKUP(B277,Sheet4!$A:$H,8,0)</f>
        <v>Bedding</v>
      </c>
      <c r="M277" s="6">
        <v>2999.0</v>
      </c>
      <c r="N277" s="8">
        <v>2449.0</v>
      </c>
      <c r="O277" s="9">
        <v>2449.0</v>
      </c>
      <c r="P277" s="10">
        <v>2399.2</v>
      </c>
    </row>
    <row r="278">
      <c r="A278" s="6" t="s">
        <v>1475</v>
      </c>
      <c r="B278" s="6" t="s">
        <v>1475</v>
      </c>
      <c r="C278" s="6" t="s">
        <v>1476</v>
      </c>
      <c r="D278" s="6" t="s">
        <v>1477</v>
      </c>
      <c r="E278" s="6" t="e">
        <v>#N/A</v>
      </c>
      <c r="F278" s="6" t="s">
        <v>1478</v>
      </c>
      <c r="G278" s="6" t="s">
        <v>1479</v>
      </c>
      <c r="H278" s="7" t="s">
        <v>1480</v>
      </c>
      <c r="I278" s="6">
        <v>3.1818368E7</v>
      </c>
      <c r="J278" s="6" t="e">
        <v>#N/A</v>
      </c>
      <c r="K278" s="6" t="str">
        <f>VLOOKUP(A278,Sheet4!$A:$H,7,0)</f>
        <v>Sateen Fitted Sheets</v>
      </c>
      <c r="L278" s="6" t="str">
        <f>VLOOKUP(B278,Sheet4!$A:$H,8,0)</f>
        <v>Bedding</v>
      </c>
      <c r="M278" s="6">
        <v>2999.0</v>
      </c>
      <c r="N278" s="8">
        <v>2449.0</v>
      </c>
      <c r="O278" s="9">
        <v>2449.0</v>
      </c>
      <c r="P278" s="10">
        <v>2399.2</v>
      </c>
    </row>
    <row r="279">
      <c r="A279" s="6" t="s">
        <v>1481</v>
      </c>
      <c r="B279" s="6" t="s">
        <v>1481</v>
      </c>
      <c r="C279" s="6" t="s">
        <v>1482</v>
      </c>
      <c r="D279" s="6" t="s">
        <v>1483</v>
      </c>
      <c r="E279" s="6" t="e">
        <v>#N/A</v>
      </c>
      <c r="F279" s="6" t="s">
        <v>1484</v>
      </c>
      <c r="G279" s="6" t="s">
        <v>1485</v>
      </c>
      <c r="H279" s="7" t="s">
        <v>1486</v>
      </c>
      <c r="I279" s="6">
        <v>3.1818471E7</v>
      </c>
      <c r="J279" s="6" t="e">
        <v>#N/A</v>
      </c>
      <c r="K279" s="6" t="str">
        <f>VLOOKUP(A279,Sheet4!$A:$H,7,0)</f>
        <v>Sateen Fitted Sheets</v>
      </c>
      <c r="L279" s="6" t="str">
        <f>VLOOKUP(B279,Sheet4!$A:$H,8,0)</f>
        <v>Bedding</v>
      </c>
      <c r="M279" s="6">
        <v>2999.0</v>
      </c>
      <c r="N279" s="8">
        <v>2449.0</v>
      </c>
      <c r="O279" s="9">
        <v>2449.0</v>
      </c>
      <c r="P279" s="10">
        <v>2399.2</v>
      </c>
    </row>
    <row r="280">
      <c r="A280" s="6" t="s">
        <v>1487</v>
      </c>
      <c r="B280" s="6" t="s">
        <v>1487</v>
      </c>
      <c r="C280" s="6" t="s">
        <v>1488</v>
      </c>
      <c r="D280" s="6" t="s">
        <v>1489</v>
      </c>
      <c r="E280" s="6" t="e">
        <v>#N/A</v>
      </c>
      <c r="F280" s="6" t="s">
        <v>1490</v>
      </c>
      <c r="G280" s="6" t="s">
        <v>1491</v>
      </c>
      <c r="H280" s="7" t="s">
        <v>1492</v>
      </c>
      <c r="I280" s="6">
        <v>3.1818452E7</v>
      </c>
      <c r="J280" s="6" t="e">
        <v>#N/A</v>
      </c>
      <c r="K280" s="6" t="str">
        <f>VLOOKUP(A280,Sheet4!$A:$H,7,0)</f>
        <v>Sateen Fitted Sheets</v>
      </c>
      <c r="L280" s="6" t="str">
        <f>VLOOKUP(B280,Sheet4!$A:$H,8,0)</f>
        <v>Bedding</v>
      </c>
      <c r="M280" s="6">
        <v>2999.0</v>
      </c>
      <c r="N280" s="8">
        <v>2449.0</v>
      </c>
      <c r="O280" s="9">
        <v>2449.0</v>
      </c>
      <c r="P280" s="10">
        <v>2399.2</v>
      </c>
    </row>
    <row r="281">
      <c r="A281" s="6" t="s">
        <v>1493</v>
      </c>
      <c r="B281" s="6" t="s">
        <v>1493</v>
      </c>
      <c r="C281" s="6" t="s">
        <v>1494</v>
      </c>
      <c r="D281" s="6" t="s">
        <v>1495</v>
      </c>
      <c r="E281" s="6" t="e">
        <v>#N/A</v>
      </c>
      <c r="F281" s="6" t="s">
        <v>1493</v>
      </c>
      <c r="G281" s="6" t="s">
        <v>1496</v>
      </c>
      <c r="H281" s="7" t="s">
        <v>1497</v>
      </c>
      <c r="I281" s="6" t="e">
        <v>#N/A</v>
      </c>
      <c r="J281" s="6" t="e">
        <v>#N/A</v>
      </c>
      <c r="K281" s="6" t="str">
        <f>VLOOKUP(A281,Sheet4!$A:$H,7,0)</f>
        <v>Cotton Pillow Case</v>
      </c>
      <c r="L281" s="6" t="str">
        <f>VLOOKUP(B281,Sheet4!$A:$H,8,0)</f>
        <v>Bedding</v>
      </c>
      <c r="M281" s="6">
        <v>649.0</v>
      </c>
      <c r="N281" s="8">
        <v>642.51</v>
      </c>
      <c r="O281" s="10">
        <v>649.0</v>
      </c>
      <c r="P281" s="10">
        <v>616.55</v>
      </c>
    </row>
    <row r="282">
      <c r="A282" s="6" t="s">
        <v>1498</v>
      </c>
      <c r="B282" s="6" t="s">
        <v>1498</v>
      </c>
      <c r="C282" s="6" t="s">
        <v>1499</v>
      </c>
      <c r="D282" s="6" t="s">
        <v>1500</v>
      </c>
      <c r="E282" s="6" t="e">
        <v>#N/A</v>
      </c>
      <c r="F282" s="6" t="s">
        <v>1498</v>
      </c>
      <c r="G282" s="6" t="s">
        <v>1501</v>
      </c>
      <c r="H282" s="7" t="s">
        <v>1502</v>
      </c>
      <c r="I282" s="6" t="e">
        <v>#N/A</v>
      </c>
      <c r="J282" s="6" t="e">
        <v>#N/A</v>
      </c>
      <c r="K282" s="6" t="str">
        <f>VLOOKUP(A282,Sheet4!$A:$H,7,0)</f>
        <v>Cotton Pillow Case</v>
      </c>
      <c r="L282" s="6" t="str">
        <f>VLOOKUP(B282,Sheet4!$A:$H,8,0)</f>
        <v>Bedding</v>
      </c>
      <c r="M282" s="6">
        <v>649.0</v>
      </c>
      <c r="N282" s="8">
        <v>642.51</v>
      </c>
      <c r="O282" s="10">
        <v>649.0</v>
      </c>
      <c r="P282" s="10">
        <v>616.55</v>
      </c>
    </row>
    <row r="283">
      <c r="A283" s="6" t="s">
        <v>1503</v>
      </c>
      <c r="B283" s="6" t="s">
        <v>1503</v>
      </c>
      <c r="C283" s="6" t="s">
        <v>1504</v>
      </c>
      <c r="D283" s="6" t="s">
        <v>1505</v>
      </c>
      <c r="E283" s="6" t="e">
        <v>#N/A</v>
      </c>
      <c r="F283" s="6" t="s">
        <v>1503</v>
      </c>
      <c r="G283" s="6" t="s">
        <v>1506</v>
      </c>
      <c r="H283" s="7" t="s">
        <v>1507</v>
      </c>
      <c r="I283" s="6" t="e">
        <v>#N/A</v>
      </c>
      <c r="J283" s="6" t="e">
        <v>#N/A</v>
      </c>
      <c r="K283" s="6" t="str">
        <f>VLOOKUP(A283,Sheet4!$A:$H,7,0)</f>
        <v>Cotton Pillow Case</v>
      </c>
      <c r="L283" s="6" t="str">
        <f>VLOOKUP(B283,Sheet4!$A:$H,8,0)</f>
        <v>Bedding</v>
      </c>
      <c r="M283" s="6">
        <v>549.0</v>
      </c>
      <c r="N283" s="8">
        <v>543.51</v>
      </c>
      <c r="O283" s="10">
        <v>549.0</v>
      </c>
      <c r="P283" s="10">
        <v>521.55</v>
      </c>
    </row>
    <row r="284">
      <c r="A284" s="6" t="s">
        <v>1508</v>
      </c>
      <c r="B284" s="6" t="s">
        <v>1508</v>
      </c>
      <c r="C284" s="6" t="s">
        <v>1509</v>
      </c>
      <c r="D284" s="6" t="s">
        <v>1510</v>
      </c>
      <c r="E284" s="6" t="e">
        <v>#N/A</v>
      </c>
      <c r="F284" s="6" t="s">
        <v>1508</v>
      </c>
      <c r="G284" s="6" t="s">
        <v>1511</v>
      </c>
      <c r="H284" s="7" t="s">
        <v>1512</v>
      </c>
      <c r="I284" s="6" t="e">
        <v>#N/A</v>
      </c>
      <c r="J284" s="6" t="e">
        <v>#N/A</v>
      </c>
      <c r="K284" s="6" t="str">
        <f>VLOOKUP(A284,Sheet4!$A:$H,7,0)</f>
        <v>Cotton Pillow Case</v>
      </c>
      <c r="L284" s="6" t="str">
        <f>VLOOKUP(B284,Sheet4!$A:$H,8,0)</f>
        <v>Bedding</v>
      </c>
      <c r="M284" s="6">
        <v>549.0</v>
      </c>
      <c r="N284" s="8">
        <v>543.51</v>
      </c>
      <c r="O284" s="10">
        <v>549.0</v>
      </c>
      <c r="P284" s="10">
        <v>521.55</v>
      </c>
    </row>
    <row r="285">
      <c r="A285" s="6" t="s">
        <v>1513</v>
      </c>
      <c r="B285" s="6" t="s">
        <v>1513</v>
      </c>
      <c r="C285" s="6" t="s">
        <v>1514</v>
      </c>
      <c r="D285" s="6" t="s">
        <v>1515</v>
      </c>
      <c r="E285" s="6" t="s">
        <v>1516</v>
      </c>
      <c r="F285" s="6" t="s">
        <v>1513</v>
      </c>
      <c r="G285" s="6" t="s">
        <v>1517</v>
      </c>
      <c r="H285" s="7" t="s">
        <v>1518</v>
      </c>
      <c r="I285" s="6" t="e">
        <v>#N/A</v>
      </c>
      <c r="J285" s="6" t="e">
        <v>#N/A</v>
      </c>
      <c r="K285" s="6" t="str">
        <f>VLOOKUP(A285,Sheet4!$A:$H,7,0)</f>
        <v>Cotton Pillow Case</v>
      </c>
      <c r="L285" s="6" t="str">
        <f>VLOOKUP(B285,Sheet4!$A:$H,8,0)</f>
        <v>Bedding</v>
      </c>
      <c r="M285" s="6">
        <v>549.0</v>
      </c>
      <c r="N285" s="8">
        <v>543.51</v>
      </c>
      <c r="O285" s="10">
        <v>549.0</v>
      </c>
      <c r="P285" s="10">
        <v>521.55</v>
      </c>
    </row>
    <row r="286">
      <c r="A286" s="6" t="s">
        <v>1519</v>
      </c>
      <c r="B286" s="6" t="s">
        <v>1519</v>
      </c>
      <c r="C286" s="6" t="e">
        <v>#N/A</v>
      </c>
      <c r="D286" s="6" t="e">
        <v>#N/A</v>
      </c>
      <c r="E286" s="6" t="e">
        <v>#N/A</v>
      </c>
      <c r="F286" s="6" t="e">
        <v>#N/A</v>
      </c>
      <c r="G286" s="6">
        <v>0.0</v>
      </c>
      <c r="H286" s="7" t="e">
        <v>#N/A</v>
      </c>
      <c r="I286" s="6" t="e">
        <v>#N/A</v>
      </c>
      <c r="J286" s="6" t="e">
        <v>#N/A</v>
      </c>
      <c r="K286" s="6" t="str">
        <f>VLOOKUP(A286,Sheet4!$A:$H,7,0)</f>
        <v>#N/A</v>
      </c>
      <c r="L286" s="6" t="str">
        <f>VLOOKUP(B286,Sheet4!$A:$H,8,0)</f>
        <v>#N/A</v>
      </c>
      <c r="M286" s="6" t="str">
        <f>VLOOKUP(A286,#REF!,2,FALSE)</f>
        <v>#REF!</v>
      </c>
      <c r="N286" s="6" t="str">
        <f>VLOOKUP(A286, Sheet2!A:M, 3, FALSE)</f>
        <v/>
      </c>
      <c r="O286" s="10" t="e">
        <v>#N/A</v>
      </c>
    </row>
    <row r="287">
      <c r="A287" s="6" t="s">
        <v>1520</v>
      </c>
      <c r="B287" s="6" t="s">
        <v>1520</v>
      </c>
      <c r="C287" s="6" t="s">
        <v>1521</v>
      </c>
      <c r="D287" s="6" t="s">
        <v>1522</v>
      </c>
      <c r="E287" s="6" t="e">
        <v>#N/A</v>
      </c>
      <c r="F287" s="6" t="s">
        <v>1520</v>
      </c>
      <c r="G287" s="6" t="s">
        <v>1520</v>
      </c>
      <c r="H287" s="7" t="s">
        <v>1523</v>
      </c>
      <c r="I287" s="6">
        <v>3.2784184E7</v>
      </c>
      <c r="J287" s="6" t="s">
        <v>1524</v>
      </c>
      <c r="K287" s="6" t="str">
        <f>VLOOKUP(A287,Sheet4!$A:$H,7,0)</f>
        <v>Ultima Mattress</v>
      </c>
      <c r="L287" s="6" t="str">
        <f>VLOOKUP(B287,Sheet4!$A:$H,8,0)</f>
        <v>Mattress</v>
      </c>
      <c r="M287" s="6">
        <v>13999.0</v>
      </c>
      <c r="N287" s="8">
        <v>12599.0</v>
      </c>
      <c r="O287" s="9">
        <v>13299.0</v>
      </c>
      <c r="P287" s="10">
        <v>10779.23</v>
      </c>
    </row>
    <row r="288">
      <c r="A288" s="6" t="s">
        <v>1525</v>
      </c>
      <c r="B288" s="6" t="s">
        <v>1525</v>
      </c>
      <c r="C288" s="6" t="s">
        <v>1526</v>
      </c>
      <c r="D288" s="6" t="s">
        <v>1527</v>
      </c>
      <c r="E288" s="6" t="e">
        <v>#N/A</v>
      </c>
      <c r="F288" s="6">
        <v>0.0</v>
      </c>
      <c r="G288" s="6" t="s">
        <v>1528</v>
      </c>
      <c r="H288" s="7" t="s">
        <v>1529</v>
      </c>
      <c r="I288" s="6" t="e">
        <v>#N/A</v>
      </c>
      <c r="J288" s="6" t="e">
        <v>#N/A</v>
      </c>
      <c r="K288" s="6" t="str">
        <f>VLOOKUP(A288,Sheet4!$A:$H,7,0)</f>
        <v>Ultima Mattress</v>
      </c>
      <c r="L288" s="6" t="str">
        <f>VLOOKUP(B288,Sheet4!$A:$H,8,0)</f>
        <v>Mattress</v>
      </c>
      <c r="M288" s="6">
        <v>13999.0</v>
      </c>
      <c r="N288" s="8">
        <v>12599.0</v>
      </c>
      <c r="O288" s="9">
        <v>13299.0</v>
      </c>
      <c r="P288" s="10">
        <v>10779.23</v>
      </c>
    </row>
    <row r="289">
      <c r="A289" s="6" t="s">
        <v>1530</v>
      </c>
      <c r="B289" s="6" t="s">
        <v>1530</v>
      </c>
      <c r="C289" s="6" t="s">
        <v>1531</v>
      </c>
      <c r="D289" s="6" t="s">
        <v>1532</v>
      </c>
      <c r="E289" s="6" t="e">
        <v>#N/A</v>
      </c>
      <c r="F289" s="6" t="s">
        <v>1530</v>
      </c>
      <c r="G289" s="6" t="s">
        <v>1530</v>
      </c>
      <c r="H289" s="7" t="s">
        <v>1533</v>
      </c>
      <c r="I289" s="6">
        <v>3.2784111E7</v>
      </c>
      <c r="J289" s="6" t="s">
        <v>1534</v>
      </c>
      <c r="K289" s="6" t="str">
        <f>VLOOKUP(A289,Sheet4!$A:$H,7,0)</f>
        <v>Ultima Mattress</v>
      </c>
      <c r="L289" s="6" t="str">
        <f>VLOOKUP(B289,Sheet4!$A:$H,8,0)</f>
        <v>Mattress</v>
      </c>
      <c r="M289" s="6">
        <v>14999.0</v>
      </c>
      <c r="N289" s="8">
        <v>13499.0</v>
      </c>
      <c r="O289" s="9">
        <v>14199.0</v>
      </c>
      <c r="P289" s="10">
        <v>11549.23</v>
      </c>
    </row>
    <row r="290">
      <c r="A290" s="6" t="s">
        <v>1535</v>
      </c>
      <c r="B290" s="6" t="s">
        <v>1535</v>
      </c>
      <c r="C290" s="6" t="s">
        <v>1536</v>
      </c>
      <c r="D290" s="6" t="s">
        <v>1537</v>
      </c>
      <c r="E290" s="6" t="e">
        <v>#N/A</v>
      </c>
      <c r="F290" s="6" t="s">
        <v>1535</v>
      </c>
      <c r="G290" s="6" t="s">
        <v>1535</v>
      </c>
      <c r="H290" s="7" t="s">
        <v>1538</v>
      </c>
      <c r="I290" s="6">
        <v>3.2783981E7</v>
      </c>
      <c r="J290" s="6" t="s">
        <v>1539</v>
      </c>
      <c r="K290" s="6" t="str">
        <f>VLOOKUP(A290,Sheet4!$A:$H,7,0)</f>
        <v>Ultima Mattress</v>
      </c>
      <c r="L290" s="6" t="str">
        <f>VLOOKUP(B290,Sheet4!$A:$H,8,0)</f>
        <v>Mattress</v>
      </c>
      <c r="M290" s="6">
        <v>14999.0</v>
      </c>
      <c r="N290" s="8">
        <v>13499.0</v>
      </c>
      <c r="O290" s="9">
        <v>14199.0</v>
      </c>
      <c r="P290" s="10">
        <v>11549.23</v>
      </c>
    </row>
    <row r="291">
      <c r="A291" s="6" t="s">
        <v>1540</v>
      </c>
      <c r="B291" s="6" t="s">
        <v>1540</v>
      </c>
      <c r="C291" s="6" t="s">
        <v>1541</v>
      </c>
      <c r="D291" s="6" t="s">
        <v>1542</v>
      </c>
      <c r="E291" s="6" t="e">
        <v>#N/A</v>
      </c>
      <c r="F291" s="6" t="s">
        <v>1540</v>
      </c>
      <c r="G291" s="6" t="s">
        <v>1540</v>
      </c>
      <c r="H291" s="7" t="s">
        <v>1543</v>
      </c>
      <c r="I291" s="6">
        <v>3.2783905E7</v>
      </c>
      <c r="J291" s="6" t="s">
        <v>1544</v>
      </c>
      <c r="K291" s="6" t="str">
        <f>VLOOKUP(A291,Sheet4!$A:$H,7,0)</f>
        <v>Ultima Mattress</v>
      </c>
      <c r="L291" s="6" t="str">
        <f>VLOOKUP(B291,Sheet4!$A:$H,8,0)</f>
        <v>Mattress</v>
      </c>
      <c r="M291" s="6">
        <v>14999.0</v>
      </c>
      <c r="N291" s="8">
        <v>13499.0</v>
      </c>
      <c r="O291" s="9">
        <v>14199.0</v>
      </c>
      <c r="P291" s="10">
        <v>11549.23</v>
      </c>
    </row>
    <row r="292">
      <c r="A292" s="6" t="s">
        <v>1545</v>
      </c>
      <c r="B292" s="6" t="s">
        <v>1545</v>
      </c>
      <c r="C292" s="6" t="s">
        <v>1546</v>
      </c>
      <c r="D292" s="6" t="s">
        <v>1547</v>
      </c>
      <c r="E292" s="6" t="e">
        <v>#N/A</v>
      </c>
      <c r="F292" s="6" t="s">
        <v>1545</v>
      </c>
      <c r="G292" s="6" t="s">
        <v>1545</v>
      </c>
      <c r="H292" s="7" t="s">
        <v>1548</v>
      </c>
      <c r="I292" s="6">
        <v>3.2784063E7</v>
      </c>
      <c r="J292" s="6" t="s">
        <v>1549</v>
      </c>
      <c r="K292" s="6" t="str">
        <f>VLOOKUP(A292,Sheet4!$A:$H,7,0)</f>
        <v>Ultima Mattress</v>
      </c>
      <c r="L292" s="6" t="str">
        <f>VLOOKUP(B292,Sheet4!$A:$H,8,0)</f>
        <v>Mattress</v>
      </c>
      <c r="M292" s="6">
        <v>16999.0</v>
      </c>
      <c r="N292" s="8">
        <v>15299.0</v>
      </c>
      <c r="O292" s="9">
        <v>16099.0</v>
      </c>
      <c r="P292" s="10">
        <v>13089.23</v>
      </c>
    </row>
    <row r="293">
      <c r="A293" s="6" t="s">
        <v>1550</v>
      </c>
      <c r="B293" s="6" t="s">
        <v>1550</v>
      </c>
      <c r="C293" s="6" t="s">
        <v>1551</v>
      </c>
      <c r="D293" s="6" t="s">
        <v>1552</v>
      </c>
      <c r="E293" s="6" t="e">
        <v>#N/A</v>
      </c>
      <c r="F293" s="6" t="s">
        <v>1550</v>
      </c>
      <c r="G293" s="6" t="s">
        <v>1550</v>
      </c>
      <c r="H293" s="7" t="s">
        <v>1553</v>
      </c>
      <c r="I293" s="6">
        <v>3.2783946E7</v>
      </c>
      <c r="J293" s="6" t="s">
        <v>1554</v>
      </c>
      <c r="K293" s="6" t="str">
        <f>VLOOKUP(A293,Sheet4!$A:$H,7,0)</f>
        <v>Ultima Mattress</v>
      </c>
      <c r="L293" s="6" t="str">
        <f>VLOOKUP(B293,Sheet4!$A:$H,8,0)</f>
        <v>Mattress</v>
      </c>
      <c r="M293" s="6">
        <v>16999.0</v>
      </c>
      <c r="N293" s="8">
        <v>15299.0</v>
      </c>
      <c r="O293" s="9">
        <v>16099.0</v>
      </c>
      <c r="P293" s="10">
        <v>13089.23</v>
      </c>
    </row>
    <row r="294">
      <c r="A294" s="6" t="s">
        <v>1555</v>
      </c>
      <c r="B294" s="6" t="s">
        <v>1555</v>
      </c>
      <c r="C294" s="6" t="s">
        <v>1556</v>
      </c>
      <c r="D294" s="6" t="s">
        <v>1557</v>
      </c>
      <c r="E294" s="6" t="e">
        <v>#N/A</v>
      </c>
      <c r="F294" s="6" t="s">
        <v>1555</v>
      </c>
      <c r="G294" s="6" t="s">
        <v>1555</v>
      </c>
      <c r="H294" s="7" t="s">
        <v>1558</v>
      </c>
      <c r="I294" s="6">
        <v>3.2784215E7</v>
      </c>
      <c r="J294" s="6" t="s">
        <v>1559</v>
      </c>
      <c r="K294" s="6" t="str">
        <f>VLOOKUP(A294,Sheet4!$A:$H,7,0)</f>
        <v>Ultima Mattress</v>
      </c>
      <c r="L294" s="6" t="str">
        <f>VLOOKUP(B294,Sheet4!$A:$H,8,0)</f>
        <v>Mattress</v>
      </c>
      <c r="M294" s="6">
        <v>18999.0</v>
      </c>
      <c r="N294" s="8">
        <v>17099.0</v>
      </c>
      <c r="O294" s="9">
        <v>17999.0</v>
      </c>
      <c r="P294" s="10">
        <v>14629.23</v>
      </c>
    </row>
    <row r="295">
      <c r="A295" s="6" t="s">
        <v>1560</v>
      </c>
      <c r="B295" s="6" t="s">
        <v>1560</v>
      </c>
      <c r="C295" s="6" t="s">
        <v>1561</v>
      </c>
      <c r="D295" s="6" t="s">
        <v>1562</v>
      </c>
      <c r="E295" s="6" t="e">
        <v>#N/A</v>
      </c>
      <c r="F295" s="6" t="s">
        <v>1560</v>
      </c>
      <c r="G295" s="6" t="s">
        <v>1560</v>
      </c>
      <c r="H295" s="7" t="s">
        <v>1563</v>
      </c>
      <c r="I295" s="6">
        <v>3.2783961E7</v>
      </c>
      <c r="J295" s="6" t="s">
        <v>1564</v>
      </c>
      <c r="K295" s="6" t="str">
        <f>VLOOKUP(A295,Sheet4!$A:$H,7,0)</f>
        <v>Ultima Mattress</v>
      </c>
      <c r="L295" s="6" t="str">
        <f>VLOOKUP(B295,Sheet4!$A:$H,8,0)</f>
        <v>Mattress</v>
      </c>
      <c r="M295" s="6">
        <v>18999.0</v>
      </c>
      <c r="N295" s="8">
        <v>17099.0</v>
      </c>
      <c r="O295" s="9">
        <v>17999.0</v>
      </c>
      <c r="P295" s="10">
        <v>14629.23</v>
      </c>
    </row>
    <row r="296">
      <c r="A296" s="6" t="s">
        <v>1565</v>
      </c>
      <c r="B296" s="6" t="s">
        <v>1565</v>
      </c>
      <c r="C296" s="6" t="s">
        <v>1566</v>
      </c>
      <c r="D296" s="6" t="s">
        <v>1567</v>
      </c>
      <c r="E296" s="6" t="e">
        <v>#N/A</v>
      </c>
      <c r="F296" s="6" t="s">
        <v>1565</v>
      </c>
      <c r="G296" s="6" t="s">
        <v>1565</v>
      </c>
      <c r="H296" s="7" t="s">
        <v>1568</v>
      </c>
      <c r="I296" s="6">
        <v>3.2784135E7</v>
      </c>
      <c r="J296" s="6" t="s">
        <v>1569</v>
      </c>
      <c r="K296" s="6" t="str">
        <f>VLOOKUP(A296,Sheet4!$A:$H,7,0)</f>
        <v>Ultima Mattress</v>
      </c>
      <c r="L296" s="6" t="str">
        <f>VLOOKUP(B296,Sheet4!$A:$H,8,0)</f>
        <v>Mattress</v>
      </c>
      <c r="M296" s="6">
        <v>18999.0</v>
      </c>
      <c r="N296" s="8">
        <v>17099.0</v>
      </c>
      <c r="O296" s="9">
        <v>17999.0</v>
      </c>
      <c r="P296" s="10">
        <v>14629.23</v>
      </c>
    </row>
    <row r="297">
      <c r="A297" s="6" t="s">
        <v>1570</v>
      </c>
      <c r="B297" s="6" t="s">
        <v>1570</v>
      </c>
      <c r="C297" s="6" t="s">
        <v>1571</v>
      </c>
      <c r="D297" s="6" t="s">
        <v>1572</v>
      </c>
      <c r="E297" s="6" t="e">
        <v>#N/A</v>
      </c>
      <c r="F297" s="6" t="s">
        <v>1570</v>
      </c>
      <c r="G297" s="6" t="s">
        <v>1570</v>
      </c>
      <c r="H297" s="7" t="s">
        <v>1573</v>
      </c>
      <c r="I297" s="6">
        <v>3.2783898E7</v>
      </c>
      <c r="J297" s="6" t="s">
        <v>1574</v>
      </c>
      <c r="K297" s="6" t="str">
        <f>VLOOKUP(A297,Sheet4!$A:$H,7,0)</f>
        <v>Ultima Mattress</v>
      </c>
      <c r="L297" s="6" t="str">
        <f>VLOOKUP(B297,Sheet4!$A:$H,8,0)</f>
        <v>Mattress</v>
      </c>
      <c r="M297" s="6">
        <v>22999.0</v>
      </c>
      <c r="N297" s="8">
        <v>20699.0</v>
      </c>
      <c r="O297" s="9">
        <v>21799.0</v>
      </c>
      <c r="P297" s="10">
        <v>17709.23</v>
      </c>
    </row>
    <row r="298">
      <c r="A298" s="6" t="s">
        <v>1575</v>
      </c>
      <c r="B298" s="6" t="s">
        <v>1575</v>
      </c>
      <c r="C298" s="6" t="s">
        <v>1576</v>
      </c>
      <c r="D298" s="6" t="s">
        <v>1577</v>
      </c>
      <c r="E298" s="6" t="e">
        <v>#N/A</v>
      </c>
      <c r="F298" s="6" t="s">
        <v>1575</v>
      </c>
      <c r="G298" s="6" t="s">
        <v>1575</v>
      </c>
      <c r="H298" s="7" t="s">
        <v>1578</v>
      </c>
      <c r="I298" s="6">
        <v>3.278395E7</v>
      </c>
      <c r="J298" s="6" t="s">
        <v>1579</v>
      </c>
      <c r="K298" s="6" t="str">
        <f>VLOOKUP(A298,Sheet4!$A:$H,7,0)</f>
        <v>Ultima Mattress</v>
      </c>
      <c r="L298" s="6" t="str">
        <f>VLOOKUP(B298,Sheet4!$A:$H,8,0)</f>
        <v>Mattress</v>
      </c>
      <c r="M298" s="6">
        <v>22999.0</v>
      </c>
      <c r="N298" s="8">
        <v>20699.0</v>
      </c>
      <c r="O298" s="9">
        <v>21799.0</v>
      </c>
      <c r="P298" s="10">
        <v>17709.23</v>
      </c>
    </row>
    <row r="299">
      <c r="A299" s="6" t="s">
        <v>1580</v>
      </c>
      <c r="B299" s="6" t="s">
        <v>1580</v>
      </c>
      <c r="C299" s="6" t="s">
        <v>1581</v>
      </c>
      <c r="D299" s="6" t="s">
        <v>1582</v>
      </c>
      <c r="E299" s="6" t="e">
        <v>#N/A</v>
      </c>
      <c r="F299" s="6" t="s">
        <v>1580</v>
      </c>
      <c r="G299" s="6" t="s">
        <v>1580</v>
      </c>
      <c r="H299" s="7" t="s">
        <v>1583</v>
      </c>
      <c r="I299" s="6">
        <v>3.1999078E7</v>
      </c>
      <c r="J299" s="6" t="s">
        <v>1584</v>
      </c>
      <c r="K299" s="6" t="str">
        <f>VLOOKUP(A299,Sheet4!$A:$H,7,0)</f>
        <v>Ultima Mattress</v>
      </c>
      <c r="L299" s="6" t="str">
        <f>VLOOKUP(B299,Sheet4!$A:$H,8,0)</f>
        <v>Mattress</v>
      </c>
      <c r="M299" s="6">
        <v>22999.0</v>
      </c>
      <c r="N299" s="8">
        <v>20699.0</v>
      </c>
      <c r="O299" s="9">
        <v>21799.0</v>
      </c>
      <c r="P299" s="10">
        <v>17709.23</v>
      </c>
    </row>
    <row r="300">
      <c r="A300" s="6" t="s">
        <v>1585</v>
      </c>
      <c r="B300" s="6" t="s">
        <v>1585</v>
      </c>
      <c r="C300" s="6" t="s">
        <v>1586</v>
      </c>
      <c r="D300" s="6" t="s">
        <v>1587</v>
      </c>
      <c r="E300" s="6" t="e">
        <v>#N/A</v>
      </c>
      <c r="F300" s="6" t="s">
        <v>1585</v>
      </c>
      <c r="G300" s="6" t="s">
        <v>1585</v>
      </c>
      <c r="H300" s="7" t="s">
        <v>1588</v>
      </c>
      <c r="I300" s="6">
        <v>3.2784054E7</v>
      </c>
      <c r="J300" s="6" t="s">
        <v>1589</v>
      </c>
      <c r="K300" s="6" t="str">
        <f>VLOOKUP(A300,Sheet4!$A:$H,7,0)</f>
        <v>Ultima Mattress</v>
      </c>
      <c r="L300" s="6" t="str">
        <f>VLOOKUP(B300,Sheet4!$A:$H,8,0)</f>
        <v>Mattress</v>
      </c>
      <c r="M300" s="6">
        <v>25999.0</v>
      </c>
      <c r="N300" s="8">
        <v>23399.0</v>
      </c>
      <c r="O300" s="9">
        <v>24699.0</v>
      </c>
      <c r="P300" s="10">
        <v>20019.23</v>
      </c>
    </row>
    <row r="301">
      <c r="A301" s="6" t="s">
        <v>1590</v>
      </c>
      <c r="B301" s="6" t="s">
        <v>1590</v>
      </c>
      <c r="C301" s="6" t="s">
        <v>1591</v>
      </c>
      <c r="D301" s="6" t="s">
        <v>1592</v>
      </c>
      <c r="E301" s="6" t="e">
        <v>#N/A</v>
      </c>
      <c r="F301" s="6" t="s">
        <v>1590</v>
      </c>
      <c r="G301" s="6" t="s">
        <v>1590</v>
      </c>
      <c r="H301" s="7" t="s">
        <v>1593</v>
      </c>
      <c r="I301" s="6">
        <v>3.2784178E7</v>
      </c>
      <c r="J301" s="6" t="s">
        <v>1594</v>
      </c>
      <c r="K301" s="6" t="str">
        <f>VLOOKUP(A301,Sheet4!$A:$H,7,0)</f>
        <v>Ultima Mattress</v>
      </c>
      <c r="L301" s="6" t="str">
        <f>VLOOKUP(B301,Sheet4!$A:$H,8,0)</f>
        <v>Mattress</v>
      </c>
      <c r="M301" s="6">
        <v>25999.0</v>
      </c>
      <c r="N301" s="8">
        <v>23399.0</v>
      </c>
      <c r="O301" s="9">
        <v>24699.0</v>
      </c>
      <c r="P301" s="10">
        <v>20019.23</v>
      </c>
    </row>
    <row r="302">
      <c r="A302" s="6" t="s">
        <v>1595</v>
      </c>
      <c r="B302" s="6" t="s">
        <v>1595</v>
      </c>
      <c r="C302" s="6" t="s">
        <v>1596</v>
      </c>
      <c r="D302" s="6" t="s">
        <v>1597</v>
      </c>
      <c r="E302" s="6" t="e">
        <v>#N/A</v>
      </c>
      <c r="F302" s="6" t="s">
        <v>1595</v>
      </c>
      <c r="G302" s="6" t="s">
        <v>1595</v>
      </c>
      <c r="H302" s="7" t="s">
        <v>1598</v>
      </c>
      <c r="I302" s="6">
        <v>3.2783924E7</v>
      </c>
      <c r="J302" s="6" t="s">
        <v>1599</v>
      </c>
      <c r="K302" s="6" t="str">
        <f>VLOOKUP(A302,Sheet4!$A:$H,7,0)</f>
        <v>Ultima Mattress</v>
      </c>
      <c r="L302" s="6" t="str">
        <f>VLOOKUP(B302,Sheet4!$A:$H,8,0)</f>
        <v>Mattress</v>
      </c>
      <c r="M302" s="6">
        <v>25999.0</v>
      </c>
      <c r="N302" s="8">
        <v>23399.0</v>
      </c>
      <c r="O302" s="9">
        <v>24699.0</v>
      </c>
      <c r="P302" s="10">
        <v>20019.23</v>
      </c>
    </row>
    <row r="303">
      <c r="A303" s="6" t="s">
        <v>1600</v>
      </c>
      <c r="B303" s="6" t="s">
        <v>1600</v>
      </c>
      <c r="C303" s="6" t="s">
        <v>1601</v>
      </c>
      <c r="D303" s="6" t="s">
        <v>1602</v>
      </c>
      <c r="E303" s="6" t="e">
        <v>#N/A</v>
      </c>
      <c r="F303" s="6">
        <v>0.0</v>
      </c>
      <c r="G303" s="6" t="s">
        <v>1603</v>
      </c>
      <c r="H303" s="7" t="s">
        <v>1604</v>
      </c>
      <c r="I303" s="6" t="e">
        <v>#N/A</v>
      </c>
      <c r="J303" s="6" t="e">
        <v>#N/A</v>
      </c>
      <c r="K303" s="6" t="str">
        <f>VLOOKUP(A303,Sheet4!$A:$H,7,0)</f>
        <v>Ultima Mattress</v>
      </c>
      <c r="L303" s="6" t="str">
        <f>VLOOKUP(B303,Sheet4!$A:$H,8,0)</f>
        <v>Mattress</v>
      </c>
      <c r="M303" s="6">
        <v>25999.0</v>
      </c>
      <c r="N303" s="8">
        <v>23399.0</v>
      </c>
      <c r="O303" s="9">
        <v>24699.0</v>
      </c>
      <c r="P303" s="10">
        <v>20019.23</v>
      </c>
    </row>
    <row r="304">
      <c r="A304" s="6" t="s">
        <v>1605</v>
      </c>
      <c r="B304" s="6" t="s">
        <v>1605</v>
      </c>
      <c r="C304" s="6">
        <v>0.0</v>
      </c>
      <c r="D304" s="6" t="s">
        <v>1139</v>
      </c>
      <c r="E304" s="6" t="e">
        <v>#N/A</v>
      </c>
      <c r="F304" s="6">
        <v>0.0</v>
      </c>
      <c r="G304" s="6" t="s">
        <v>1606</v>
      </c>
      <c r="H304" s="7" t="e">
        <v>#N/A</v>
      </c>
      <c r="I304" s="6" t="e">
        <v>#N/A</v>
      </c>
      <c r="J304" s="6" t="e">
        <v>#N/A</v>
      </c>
      <c r="K304" s="6" t="str">
        <f>VLOOKUP(A304,Sheet4!$A:$H,7,0)</f>
        <v>Ultima Mattress</v>
      </c>
      <c r="L304" s="6" t="str">
        <f>VLOOKUP(B304,Sheet4!$A:$H,8,0)</f>
        <v>Mattress</v>
      </c>
      <c r="M304" s="6">
        <v>25999.0</v>
      </c>
      <c r="N304" s="8">
        <v>23399.0</v>
      </c>
      <c r="O304" s="9">
        <v>24699.0</v>
      </c>
      <c r="P304" s="10">
        <v>20019.23</v>
      </c>
    </row>
    <row r="305">
      <c r="A305" s="6" t="s">
        <v>1607</v>
      </c>
      <c r="B305" s="6" t="s">
        <v>1607</v>
      </c>
      <c r="C305" s="6" t="s">
        <v>1608</v>
      </c>
      <c r="D305" s="6" t="s">
        <v>1609</v>
      </c>
      <c r="E305" s="6" t="e">
        <v>#N/A</v>
      </c>
      <c r="F305" s="6">
        <v>0.0</v>
      </c>
      <c r="G305" s="6" t="s">
        <v>1610</v>
      </c>
      <c r="H305" s="7" t="s">
        <v>1611</v>
      </c>
      <c r="I305" s="6" t="e">
        <v>#N/A</v>
      </c>
      <c r="J305" s="6" t="e">
        <v>#N/A</v>
      </c>
      <c r="K305" s="6" t="str">
        <f>VLOOKUP(A305,Sheet4!$A:$H,7,0)</f>
        <v>Ultima Mattress</v>
      </c>
      <c r="L305" s="6" t="str">
        <f>VLOOKUP(B305,Sheet4!$A:$H,8,0)</f>
        <v>Mattress</v>
      </c>
      <c r="M305" s="6">
        <v>25999.0</v>
      </c>
      <c r="N305" s="8">
        <v>23399.0</v>
      </c>
      <c r="O305" s="9">
        <v>24699.0</v>
      </c>
      <c r="P305" s="10">
        <v>20019.23</v>
      </c>
    </row>
    <row r="306">
      <c r="A306" s="6" t="s">
        <v>1612</v>
      </c>
      <c r="B306" s="6" t="s">
        <v>1612</v>
      </c>
      <c r="C306" s="6" t="s">
        <v>1613</v>
      </c>
      <c r="D306" s="6" t="s">
        <v>1614</v>
      </c>
      <c r="E306" s="6" t="e">
        <v>#N/A</v>
      </c>
      <c r="F306" s="6">
        <v>0.0</v>
      </c>
      <c r="G306" s="6" t="s">
        <v>1615</v>
      </c>
      <c r="H306" s="7" t="s">
        <v>1616</v>
      </c>
      <c r="I306" s="6" t="e">
        <v>#N/A</v>
      </c>
      <c r="J306" s="6" t="e">
        <v>#N/A</v>
      </c>
      <c r="K306" s="6" t="str">
        <f>VLOOKUP(A306,Sheet4!$A:$H,7,0)</f>
        <v>Ultima Mattress</v>
      </c>
      <c r="L306" s="6" t="str">
        <f>VLOOKUP(B306,Sheet4!$A:$H,8,0)</f>
        <v>Mattress</v>
      </c>
      <c r="M306" s="6">
        <v>29999.0</v>
      </c>
      <c r="N306" s="8">
        <v>26999.0</v>
      </c>
      <c r="O306" s="9">
        <v>28499.0</v>
      </c>
      <c r="P306" s="10">
        <v>23099.23</v>
      </c>
    </row>
    <row r="307">
      <c r="A307" s="6" t="s">
        <v>1617</v>
      </c>
      <c r="B307" s="6" t="s">
        <v>1617</v>
      </c>
      <c r="C307" s="6" t="s">
        <v>1618</v>
      </c>
      <c r="D307" s="6" t="s">
        <v>1619</v>
      </c>
      <c r="E307" s="6" t="e">
        <v>#N/A</v>
      </c>
      <c r="F307" s="6">
        <v>0.0</v>
      </c>
      <c r="G307" s="6" t="s">
        <v>1620</v>
      </c>
      <c r="H307" s="7" t="s">
        <v>1621</v>
      </c>
      <c r="I307" s="6" t="e">
        <v>#N/A</v>
      </c>
      <c r="J307" s="6" t="e">
        <v>#N/A</v>
      </c>
      <c r="K307" s="6" t="str">
        <f>VLOOKUP(A307,Sheet4!$A:$H,7,0)</f>
        <v>Ultima Mattress</v>
      </c>
      <c r="L307" s="6" t="str">
        <f>VLOOKUP(B307,Sheet4!$A:$H,8,0)</f>
        <v>Mattress</v>
      </c>
      <c r="M307" s="6">
        <v>29999.0</v>
      </c>
      <c r="N307" s="8">
        <v>26999.0</v>
      </c>
      <c r="O307" s="9">
        <v>28499.0</v>
      </c>
      <c r="P307" s="10">
        <v>23099.23</v>
      </c>
    </row>
    <row r="308">
      <c r="A308" s="6" t="s">
        <v>1622</v>
      </c>
      <c r="B308" s="6" t="s">
        <v>1622</v>
      </c>
      <c r="C308" s="6">
        <v>0.0</v>
      </c>
      <c r="D308" s="6" t="s">
        <v>1139</v>
      </c>
      <c r="E308" s="6" t="e">
        <v>#N/A</v>
      </c>
      <c r="F308" s="6">
        <v>0.0</v>
      </c>
      <c r="G308" s="6" t="s">
        <v>1623</v>
      </c>
      <c r="H308" s="7" t="e">
        <v>#N/A</v>
      </c>
      <c r="I308" s="6" t="e">
        <v>#N/A</v>
      </c>
      <c r="J308" s="6" t="e">
        <v>#N/A</v>
      </c>
      <c r="K308" s="6" t="str">
        <f>VLOOKUP(A308,Sheet4!$A:$H,7,0)</f>
        <v>Ultima Mattress</v>
      </c>
      <c r="L308" s="6" t="str">
        <f>VLOOKUP(B308,Sheet4!$A:$H,8,0)</f>
        <v>Mattress</v>
      </c>
      <c r="M308" s="6">
        <v>29999.0</v>
      </c>
      <c r="N308" s="8">
        <v>26999.0</v>
      </c>
      <c r="O308" s="9">
        <v>28499.0</v>
      </c>
      <c r="P308" s="10">
        <v>23099.23</v>
      </c>
    </row>
    <row r="309">
      <c r="A309" s="6" t="s">
        <v>1624</v>
      </c>
      <c r="B309" s="6" t="s">
        <v>1624</v>
      </c>
      <c r="C309" s="6" t="s">
        <v>1625</v>
      </c>
      <c r="D309" s="6" t="s">
        <v>1626</v>
      </c>
      <c r="E309" s="6" t="e">
        <v>#N/A</v>
      </c>
      <c r="F309" s="6">
        <v>0.0</v>
      </c>
      <c r="G309" s="6" t="s">
        <v>1627</v>
      </c>
      <c r="H309" s="7" t="s">
        <v>1628</v>
      </c>
      <c r="I309" s="6" t="e">
        <v>#N/A</v>
      </c>
      <c r="J309" s="6" t="e">
        <v>#N/A</v>
      </c>
      <c r="K309" s="6" t="str">
        <f>VLOOKUP(A309,Sheet4!$A:$H,7,0)</f>
        <v>Ultima Mattress</v>
      </c>
      <c r="L309" s="6" t="str">
        <f>VLOOKUP(B309,Sheet4!$A:$H,8,0)</f>
        <v>Mattress</v>
      </c>
      <c r="M309" s="6">
        <v>29999.0</v>
      </c>
      <c r="N309" s="8">
        <v>26999.0</v>
      </c>
      <c r="O309" s="9">
        <v>28499.0</v>
      </c>
      <c r="P309" s="10">
        <v>23099.23</v>
      </c>
    </row>
    <row r="310">
      <c r="A310" s="6" t="s">
        <v>1629</v>
      </c>
      <c r="B310" s="6" t="s">
        <v>1629</v>
      </c>
      <c r="C310" s="6" t="s">
        <v>1608</v>
      </c>
      <c r="D310" s="6" t="s">
        <v>1609</v>
      </c>
      <c r="E310" s="6" t="e">
        <v>#N/A</v>
      </c>
      <c r="F310" s="6">
        <v>0.0</v>
      </c>
      <c r="G310" s="6" t="s">
        <v>1630</v>
      </c>
      <c r="H310" s="7" t="s">
        <v>1631</v>
      </c>
      <c r="I310" s="6" t="e">
        <v>#N/A</v>
      </c>
      <c r="J310" s="6" t="e">
        <v>#N/A</v>
      </c>
      <c r="K310" s="6" t="str">
        <f>VLOOKUP(A310,Sheet4!$A:$H,7,0)</f>
        <v>Ultima Mattress</v>
      </c>
      <c r="L310" s="6" t="str">
        <f>VLOOKUP(B310,Sheet4!$A:$H,8,0)</f>
        <v>Mattress</v>
      </c>
      <c r="M310" s="6">
        <v>32999.0</v>
      </c>
      <c r="N310" s="8">
        <v>29699.0</v>
      </c>
      <c r="O310" s="9">
        <v>31299.0</v>
      </c>
      <c r="P310" s="10">
        <v>25409.23</v>
      </c>
    </row>
    <row r="311">
      <c r="A311" s="6" t="s">
        <v>1632</v>
      </c>
      <c r="B311" s="6" t="s">
        <v>1632</v>
      </c>
      <c r="C311" s="6" t="s">
        <v>1633</v>
      </c>
      <c r="D311" s="6" t="s">
        <v>1634</v>
      </c>
      <c r="E311" s="6" t="s">
        <v>1635</v>
      </c>
      <c r="F311" s="6" t="s">
        <v>1632</v>
      </c>
      <c r="G311" s="6" t="s">
        <v>1632</v>
      </c>
      <c r="H311" s="7" t="s">
        <v>1636</v>
      </c>
      <c r="I311" s="6">
        <v>3.2783815E7</v>
      </c>
      <c r="J311" s="6" t="s">
        <v>1637</v>
      </c>
      <c r="K311" s="6" t="str">
        <f>VLOOKUP(A311,Sheet4!$A:$H,7,0)</f>
        <v>Ultima Mattress</v>
      </c>
      <c r="L311" s="6" t="str">
        <f>VLOOKUP(B311,Sheet4!$A:$H,8,0)</f>
        <v>Mattress</v>
      </c>
      <c r="M311" s="6">
        <v>25999.0</v>
      </c>
      <c r="N311" s="8">
        <v>23399.0</v>
      </c>
      <c r="O311" s="9">
        <v>24699.0</v>
      </c>
      <c r="P311" s="10">
        <v>20019.23</v>
      </c>
    </row>
    <row r="312">
      <c r="A312" s="6" t="s">
        <v>1638</v>
      </c>
      <c r="B312" s="6" t="s">
        <v>1638</v>
      </c>
      <c r="C312" s="6" t="s">
        <v>1639</v>
      </c>
      <c r="D312" s="6" t="s">
        <v>1640</v>
      </c>
      <c r="E312" s="6" t="e">
        <v>#N/A</v>
      </c>
      <c r="F312" s="6" t="s">
        <v>1638</v>
      </c>
      <c r="G312" s="6" t="s">
        <v>1638</v>
      </c>
      <c r="H312" s="7" t="s">
        <v>1641</v>
      </c>
      <c r="I312" s="6">
        <v>3.1999076E7</v>
      </c>
      <c r="J312" s="6" t="s">
        <v>1642</v>
      </c>
      <c r="K312" s="6" t="str">
        <f>VLOOKUP(A312,Sheet4!$A:$H,7,0)</f>
        <v>Ultima Mattress</v>
      </c>
      <c r="L312" s="6" t="str">
        <f>VLOOKUP(B312,Sheet4!$A:$H,8,0)</f>
        <v>Mattress</v>
      </c>
      <c r="M312" s="6">
        <v>25999.0</v>
      </c>
      <c r="N312" s="8">
        <v>23399.0</v>
      </c>
      <c r="O312" s="9">
        <v>24699.0</v>
      </c>
      <c r="P312" s="10">
        <v>20019.23</v>
      </c>
    </row>
    <row r="313">
      <c r="A313" s="6" t="s">
        <v>1643</v>
      </c>
      <c r="B313" s="6" t="s">
        <v>1643</v>
      </c>
      <c r="C313" s="6" t="s">
        <v>1644</v>
      </c>
      <c r="D313" s="6" t="s">
        <v>1645</v>
      </c>
      <c r="E313" s="6" t="e">
        <v>#N/A</v>
      </c>
      <c r="F313" s="6" t="s">
        <v>1643</v>
      </c>
      <c r="G313" s="6" t="s">
        <v>1643</v>
      </c>
      <c r="H313" s="7" t="s">
        <v>1646</v>
      </c>
      <c r="I313" s="6">
        <v>3.1999067E7</v>
      </c>
      <c r="J313" s="6" t="s">
        <v>1647</v>
      </c>
      <c r="K313" s="6" t="str">
        <f>VLOOKUP(A313,Sheet4!$A:$H,7,0)</f>
        <v>Ultima Mattress</v>
      </c>
      <c r="L313" s="6" t="str">
        <f>VLOOKUP(B313,Sheet4!$A:$H,8,0)</f>
        <v>Mattress</v>
      </c>
      <c r="M313" s="6">
        <v>25999.0</v>
      </c>
      <c r="N313" s="8">
        <v>23399.0</v>
      </c>
      <c r="O313" s="9">
        <v>24699.0</v>
      </c>
      <c r="P313" s="10">
        <v>20019.23</v>
      </c>
    </row>
    <row r="314">
      <c r="A314" s="6" t="s">
        <v>1648</v>
      </c>
      <c r="B314" s="6" t="s">
        <v>1648</v>
      </c>
      <c r="C314" s="6" t="s">
        <v>1649</v>
      </c>
      <c r="D314" s="6" t="s">
        <v>1650</v>
      </c>
      <c r="E314" s="6" t="e">
        <v>#N/A</v>
      </c>
      <c r="F314" s="6">
        <v>0.0</v>
      </c>
      <c r="G314" s="6" t="s">
        <v>1648</v>
      </c>
      <c r="H314" s="7" t="s">
        <v>1651</v>
      </c>
      <c r="I314" s="6">
        <v>3.2784158E7</v>
      </c>
      <c r="J314" s="6" t="s">
        <v>1652</v>
      </c>
      <c r="K314" s="6" t="str">
        <f>VLOOKUP(A314,Sheet4!$A:$H,7,0)</f>
        <v>Ultima Mattress</v>
      </c>
      <c r="L314" s="6" t="str">
        <f>VLOOKUP(B314,Sheet4!$A:$H,8,0)</f>
        <v>Mattress</v>
      </c>
      <c r="M314" s="6">
        <v>29999.0</v>
      </c>
      <c r="N314" s="8">
        <v>26999.0</v>
      </c>
      <c r="O314" s="9">
        <v>28499.0</v>
      </c>
      <c r="P314" s="10">
        <v>23099.23</v>
      </c>
    </row>
    <row r="315">
      <c r="A315" s="6" t="s">
        <v>1653</v>
      </c>
      <c r="B315" s="6" t="s">
        <v>1653</v>
      </c>
      <c r="C315" s="6" t="s">
        <v>1654</v>
      </c>
      <c r="D315" s="6" t="s">
        <v>1655</v>
      </c>
      <c r="E315" s="6" t="e">
        <v>#N/A</v>
      </c>
      <c r="F315" s="6">
        <v>0.0</v>
      </c>
      <c r="G315" s="6" t="s">
        <v>1656</v>
      </c>
      <c r="H315" s="7" t="s">
        <v>1657</v>
      </c>
      <c r="I315" s="6">
        <v>3.2784195E7</v>
      </c>
      <c r="J315" s="6" t="e">
        <v>#N/A</v>
      </c>
      <c r="K315" s="6" t="str">
        <f>VLOOKUP(A315,Sheet4!$A:$H,7,0)</f>
        <v>Ultima Mattress</v>
      </c>
      <c r="L315" s="6" t="str">
        <f>VLOOKUP(B315,Sheet4!$A:$H,8,0)</f>
        <v>Mattress</v>
      </c>
      <c r="M315" s="6">
        <v>31999.0</v>
      </c>
      <c r="N315" s="8">
        <v>28799.0</v>
      </c>
      <c r="O315" s="9">
        <v>30399.0</v>
      </c>
      <c r="P315" s="10">
        <v>24639.23</v>
      </c>
    </row>
    <row r="316">
      <c r="A316" s="6" t="s">
        <v>1658</v>
      </c>
      <c r="B316" s="6" t="s">
        <v>1658</v>
      </c>
      <c r="C316" s="6" t="s">
        <v>1659</v>
      </c>
      <c r="D316" s="6" t="s">
        <v>1660</v>
      </c>
      <c r="E316" s="6" t="e">
        <v>#N/A</v>
      </c>
      <c r="F316" s="6">
        <v>0.0</v>
      </c>
      <c r="G316" s="6" t="s">
        <v>1658</v>
      </c>
      <c r="H316" s="7" t="s">
        <v>1661</v>
      </c>
      <c r="I316" s="6">
        <v>3.2784021E7</v>
      </c>
      <c r="J316" s="6" t="s">
        <v>1662</v>
      </c>
      <c r="K316" s="6" t="str">
        <f>VLOOKUP(A316,Sheet4!$A:$H,7,0)</f>
        <v>Ultima Mattress</v>
      </c>
      <c r="L316" s="6" t="str">
        <f>VLOOKUP(B316,Sheet4!$A:$H,8,0)</f>
        <v>Mattress</v>
      </c>
      <c r="M316" s="6">
        <v>29999.0</v>
      </c>
      <c r="N316" s="8">
        <v>26999.0</v>
      </c>
      <c r="O316" s="9">
        <v>28499.0</v>
      </c>
      <c r="P316" s="10">
        <v>23099.23</v>
      </c>
    </row>
    <row r="317">
      <c r="A317" s="6" t="s">
        <v>1663</v>
      </c>
      <c r="B317" s="6" t="s">
        <v>1663</v>
      </c>
      <c r="C317" s="6" t="s">
        <v>1664</v>
      </c>
      <c r="D317" s="6" t="s">
        <v>1665</v>
      </c>
      <c r="E317" s="6" t="e">
        <v>#N/A</v>
      </c>
      <c r="F317" s="6" t="s">
        <v>1663</v>
      </c>
      <c r="G317" s="6" t="s">
        <v>1663</v>
      </c>
      <c r="H317" s="7" t="s">
        <v>1666</v>
      </c>
      <c r="I317" s="6">
        <v>3.2784042E7</v>
      </c>
      <c r="J317" s="6" t="s">
        <v>1667</v>
      </c>
      <c r="K317" s="6" t="str">
        <f>VLOOKUP(A317,Sheet4!$A:$H,7,0)</f>
        <v>Ultima Mattress</v>
      </c>
      <c r="L317" s="6" t="str">
        <f>VLOOKUP(B317,Sheet4!$A:$H,8,0)</f>
        <v>Mattress</v>
      </c>
      <c r="M317" s="6">
        <v>29999.0</v>
      </c>
      <c r="N317" s="8">
        <v>26999.0</v>
      </c>
      <c r="O317" s="9">
        <v>28499.0</v>
      </c>
      <c r="P317" s="10">
        <v>23099.23</v>
      </c>
    </row>
    <row r="318">
      <c r="A318" s="6" t="s">
        <v>1668</v>
      </c>
      <c r="B318" s="6" t="s">
        <v>1668</v>
      </c>
      <c r="C318" s="6" t="s">
        <v>1669</v>
      </c>
      <c r="D318" s="6" t="s">
        <v>1670</v>
      </c>
      <c r="E318" s="6" t="e">
        <v>#N/A</v>
      </c>
      <c r="F318" s="6" t="s">
        <v>1668</v>
      </c>
      <c r="G318" s="6" t="s">
        <v>1668</v>
      </c>
      <c r="H318" s="7" t="s">
        <v>1671</v>
      </c>
      <c r="I318" s="6">
        <v>3.1999086E7</v>
      </c>
      <c r="J318" s="6" t="s">
        <v>1672</v>
      </c>
      <c r="K318" s="6" t="str">
        <f>VLOOKUP(A318,Sheet4!$A:$H,7,0)</f>
        <v>Ultima Mattress</v>
      </c>
      <c r="L318" s="6" t="str">
        <f>VLOOKUP(B318,Sheet4!$A:$H,8,0)</f>
        <v>Mattress</v>
      </c>
      <c r="M318" s="6">
        <v>29999.0</v>
      </c>
      <c r="N318" s="8">
        <v>26999.0</v>
      </c>
      <c r="O318" s="9">
        <v>28499.0</v>
      </c>
      <c r="P318" s="10">
        <v>23099.23</v>
      </c>
    </row>
    <row r="319">
      <c r="A319" s="6" t="s">
        <v>1673</v>
      </c>
      <c r="B319" s="6" t="s">
        <v>1673</v>
      </c>
      <c r="C319" s="6" t="s">
        <v>1674</v>
      </c>
      <c r="D319" s="6" t="s">
        <v>1675</v>
      </c>
      <c r="E319" s="6" t="e">
        <v>#N/A</v>
      </c>
      <c r="F319" s="6">
        <v>0.0</v>
      </c>
      <c r="G319" s="6">
        <v>0.0</v>
      </c>
      <c r="H319" s="7" t="s">
        <v>1676</v>
      </c>
      <c r="I319" s="6">
        <v>3.2784183E7</v>
      </c>
      <c r="J319" s="6" t="e">
        <v>#N/A</v>
      </c>
      <c r="K319" s="6" t="str">
        <f>VLOOKUP(A319,Sheet4!$A:$H,7,0)</f>
        <v>Ultima Mattress</v>
      </c>
      <c r="L319" s="6" t="str">
        <f>VLOOKUP(B319,Sheet4!$A:$H,8,0)</f>
        <v>Mattress</v>
      </c>
      <c r="M319" s="6">
        <v>32999.0</v>
      </c>
      <c r="N319" s="8">
        <v>29699.0</v>
      </c>
      <c r="O319" s="9">
        <v>31299.0</v>
      </c>
      <c r="P319" s="10">
        <v>25409.23</v>
      </c>
    </row>
    <row r="320">
      <c r="A320" s="6" t="s">
        <v>1677</v>
      </c>
      <c r="B320" s="6" t="s">
        <v>1677</v>
      </c>
      <c r="C320" s="6" t="s">
        <v>1678</v>
      </c>
      <c r="D320" s="6" t="s">
        <v>1679</v>
      </c>
      <c r="E320" s="6" t="e">
        <v>#N/A</v>
      </c>
      <c r="F320" s="6">
        <v>0.0</v>
      </c>
      <c r="G320" s="6">
        <v>0.0</v>
      </c>
      <c r="H320" s="7" t="s">
        <v>1680</v>
      </c>
      <c r="I320" s="6">
        <v>3.2784142E7</v>
      </c>
      <c r="J320" s="6" t="e">
        <v>#N/A</v>
      </c>
      <c r="K320" s="6" t="str">
        <f>VLOOKUP(A320,Sheet4!$A:$H,7,0)</f>
        <v>Ultima Mattress</v>
      </c>
      <c r="L320" s="6" t="str">
        <f>VLOOKUP(B320,Sheet4!$A:$H,8,0)</f>
        <v>Mattress</v>
      </c>
      <c r="M320" s="6">
        <v>35999.0</v>
      </c>
      <c r="N320" s="8">
        <v>32399.0</v>
      </c>
      <c r="O320" s="9">
        <v>34199.0</v>
      </c>
      <c r="P320" s="10">
        <v>27719.23</v>
      </c>
    </row>
    <row r="321">
      <c r="A321" s="6" t="s">
        <v>1681</v>
      </c>
      <c r="B321" s="6" t="s">
        <v>1681</v>
      </c>
      <c r="C321" s="6" t="s">
        <v>1682</v>
      </c>
      <c r="D321" s="6" t="s">
        <v>1683</v>
      </c>
      <c r="E321" s="6" t="e">
        <v>#N/A</v>
      </c>
      <c r="F321" s="6" t="s">
        <v>1684</v>
      </c>
      <c r="G321" s="6" t="s">
        <v>1685</v>
      </c>
      <c r="H321" s="7" t="s">
        <v>1686</v>
      </c>
      <c r="I321" s="6">
        <v>3.278409E7</v>
      </c>
      <c r="J321" s="6" t="s">
        <v>1687</v>
      </c>
      <c r="K321" s="6" t="str">
        <f>VLOOKUP(A321,Sheet4!$A:$H,7,0)</f>
        <v>Ultima Latex Mattress</v>
      </c>
      <c r="L321" s="6" t="str">
        <f>VLOOKUP(B321,Sheet4!$A:$H,8,0)</f>
        <v>Mattress</v>
      </c>
      <c r="M321" s="6">
        <v>18999.0</v>
      </c>
      <c r="N321" s="8">
        <v>17099.0</v>
      </c>
      <c r="O321" s="9">
        <v>17999.0</v>
      </c>
      <c r="P321" s="10">
        <v>15959.16</v>
      </c>
    </row>
    <row r="322">
      <c r="A322" s="6" t="s">
        <v>1688</v>
      </c>
      <c r="B322" s="6" t="s">
        <v>1688</v>
      </c>
      <c r="C322" s="6" t="s">
        <v>1689</v>
      </c>
      <c r="D322" s="6" t="s">
        <v>1690</v>
      </c>
      <c r="E322" s="6" t="s">
        <v>1691</v>
      </c>
      <c r="F322" s="6" t="s">
        <v>1692</v>
      </c>
      <c r="G322" s="6" t="s">
        <v>1693</v>
      </c>
      <c r="H322" s="7" t="s">
        <v>1694</v>
      </c>
      <c r="I322" s="6">
        <v>3.2784015E7</v>
      </c>
      <c r="J322" s="6" t="s">
        <v>1695</v>
      </c>
      <c r="K322" s="6" t="str">
        <f>VLOOKUP(A322,Sheet4!$A:$H,7,0)</f>
        <v>Ultima Latex Mattress</v>
      </c>
      <c r="L322" s="6" t="str">
        <f>VLOOKUP(B322,Sheet4!$A:$H,8,0)</f>
        <v>Mattress</v>
      </c>
      <c r="M322" s="6">
        <v>18999.0</v>
      </c>
      <c r="N322" s="8">
        <v>17099.0</v>
      </c>
      <c r="O322" s="9">
        <v>17999.0</v>
      </c>
      <c r="P322" s="10">
        <v>15959.16</v>
      </c>
    </row>
    <row r="323">
      <c r="A323" s="6" t="s">
        <v>1696</v>
      </c>
      <c r="B323" s="6" t="s">
        <v>1696</v>
      </c>
      <c r="C323" s="6" t="s">
        <v>1697</v>
      </c>
      <c r="D323" s="6" t="s">
        <v>1698</v>
      </c>
      <c r="E323" s="6" t="e">
        <v>#N/A</v>
      </c>
      <c r="F323" s="6" t="s">
        <v>1699</v>
      </c>
      <c r="G323" s="6" t="s">
        <v>1700</v>
      </c>
      <c r="H323" s="7" t="s">
        <v>1701</v>
      </c>
      <c r="I323" s="6">
        <v>3.2783913E7</v>
      </c>
      <c r="J323" s="6" t="s">
        <v>1702</v>
      </c>
      <c r="K323" s="6" t="str">
        <f>VLOOKUP(A323,Sheet4!$A:$H,7,0)</f>
        <v>Ultima Latex Mattress</v>
      </c>
      <c r="L323" s="6" t="str">
        <f>VLOOKUP(B323,Sheet4!$A:$H,8,0)</f>
        <v>Mattress</v>
      </c>
      <c r="M323" s="6">
        <v>18999.0</v>
      </c>
      <c r="N323" s="8">
        <v>17099.0</v>
      </c>
      <c r="O323" s="9">
        <v>17999.0</v>
      </c>
      <c r="P323" s="10">
        <v>15959.16</v>
      </c>
    </row>
    <row r="324">
      <c r="A324" s="6" t="s">
        <v>1703</v>
      </c>
      <c r="B324" s="6" t="s">
        <v>1703</v>
      </c>
      <c r="C324" s="6" t="s">
        <v>1704</v>
      </c>
      <c r="D324" s="6" t="s">
        <v>1705</v>
      </c>
      <c r="E324" s="6" t="e">
        <v>#N/A</v>
      </c>
      <c r="F324" s="6" t="s">
        <v>1706</v>
      </c>
      <c r="G324" s="6" t="s">
        <v>1707</v>
      </c>
      <c r="H324" s="7" t="s">
        <v>1708</v>
      </c>
      <c r="I324" s="6">
        <v>3.2783829E7</v>
      </c>
      <c r="J324" s="6" t="s">
        <v>1709</v>
      </c>
      <c r="K324" s="6" t="str">
        <f>VLOOKUP(A324,Sheet4!$A:$H,7,0)</f>
        <v>Ultima Latex Mattress</v>
      </c>
      <c r="L324" s="6" t="str">
        <f>VLOOKUP(B324,Sheet4!$A:$H,8,0)</f>
        <v>Mattress</v>
      </c>
      <c r="M324" s="6">
        <v>18999.0</v>
      </c>
      <c r="N324" s="8">
        <v>17099.0</v>
      </c>
      <c r="O324" s="9">
        <v>17999.0</v>
      </c>
      <c r="P324" s="10">
        <v>15959.16</v>
      </c>
    </row>
    <row r="325">
      <c r="A325" s="6" t="s">
        <v>1710</v>
      </c>
      <c r="B325" s="6" t="s">
        <v>1710</v>
      </c>
      <c r="C325" s="6" t="s">
        <v>1711</v>
      </c>
      <c r="D325" s="6" t="s">
        <v>1712</v>
      </c>
      <c r="E325" s="6" t="e">
        <v>#N/A</v>
      </c>
      <c r="F325" s="6">
        <v>0.0</v>
      </c>
      <c r="G325" s="6" t="s">
        <v>1713</v>
      </c>
      <c r="H325" s="7" t="s">
        <v>1714</v>
      </c>
      <c r="I325" s="6" t="e">
        <v>#N/A</v>
      </c>
      <c r="J325" s="6" t="e">
        <v>#N/A</v>
      </c>
      <c r="K325" s="6" t="str">
        <f>VLOOKUP(A325,Sheet4!$A:$H,7,0)</f>
        <v>Ultima Latex Mattress</v>
      </c>
      <c r="L325" s="6" t="str">
        <f>VLOOKUP(B325,Sheet4!$A:$H,8,0)</f>
        <v>Mattress</v>
      </c>
      <c r="M325" s="6">
        <v>23499.0</v>
      </c>
      <c r="N325" s="8">
        <v>21149.0</v>
      </c>
      <c r="O325" s="9">
        <v>22299.0</v>
      </c>
      <c r="P325" s="10">
        <v>19739.16</v>
      </c>
    </row>
    <row r="326">
      <c r="A326" s="6" t="s">
        <v>1715</v>
      </c>
      <c r="B326" s="6" t="s">
        <v>1715</v>
      </c>
      <c r="C326" s="6" t="s">
        <v>1716</v>
      </c>
      <c r="D326" s="6" t="s">
        <v>1717</v>
      </c>
      <c r="E326" s="6" t="e">
        <v>#N/A</v>
      </c>
      <c r="F326" s="6" t="s">
        <v>1718</v>
      </c>
      <c r="G326" s="6" t="s">
        <v>1719</v>
      </c>
      <c r="H326" s="7" t="s">
        <v>1720</v>
      </c>
      <c r="I326" s="6">
        <v>3.2783786E7</v>
      </c>
      <c r="J326" s="6" t="s">
        <v>1721</v>
      </c>
      <c r="K326" s="6" t="str">
        <f>VLOOKUP(A326,Sheet4!$A:$H,7,0)</f>
        <v>Ultima Latex Mattress</v>
      </c>
      <c r="L326" s="6" t="str">
        <f>VLOOKUP(B326,Sheet4!$A:$H,8,0)</f>
        <v>Mattress</v>
      </c>
      <c r="M326" s="6">
        <v>20999.0</v>
      </c>
      <c r="N326" s="8">
        <v>18899.0</v>
      </c>
      <c r="O326" s="9">
        <v>19899.0</v>
      </c>
      <c r="P326" s="10">
        <v>17639.16</v>
      </c>
    </row>
    <row r="327">
      <c r="A327" s="6" t="s">
        <v>1722</v>
      </c>
      <c r="B327" s="6" t="s">
        <v>1722</v>
      </c>
      <c r="C327" s="6" t="s">
        <v>1723</v>
      </c>
      <c r="D327" s="6" t="s">
        <v>1724</v>
      </c>
      <c r="E327" s="6" t="e">
        <v>#N/A</v>
      </c>
      <c r="F327" s="6" t="s">
        <v>1725</v>
      </c>
      <c r="G327" s="6">
        <v>0.0</v>
      </c>
      <c r="H327" s="7" t="s">
        <v>1726</v>
      </c>
      <c r="I327" s="6">
        <v>3.2783878E7</v>
      </c>
      <c r="J327" s="6" t="s">
        <v>1727</v>
      </c>
      <c r="K327" s="6" t="str">
        <f>VLOOKUP(A327,Sheet4!$A:$H,7,0)</f>
        <v>Ultima Latex Mattress</v>
      </c>
      <c r="L327" s="6" t="str">
        <f>VLOOKUP(B327,Sheet4!$A:$H,8,0)</f>
        <v>Mattress</v>
      </c>
      <c r="M327" s="6">
        <v>20999.0</v>
      </c>
      <c r="N327" s="8">
        <v>18899.0</v>
      </c>
      <c r="O327" s="9">
        <v>19899.0</v>
      </c>
      <c r="P327" s="10">
        <v>17639.16</v>
      </c>
    </row>
    <row r="328">
      <c r="A328" s="6" t="s">
        <v>1728</v>
      </c>
      <c r="B328" s="6" t="s">
        <v>1728</v>
      </c>
      <c r="C328" s="6" t="s">
        <v>1729</v>
      </c>
      <c r="D328" s="6" t="s">
        <v>1730</v>
      </c>
      <c r="E328" s="6" t="e">
        <v>#N/A</v>
      </c>
      <c r="F328" s="6" t="s">
        <v>1731</v>
      </c>
      <c r="G328" s="6" t="s">
        <v>1732</v>
      </c>
      <c r="H328" s="7" t="s">
        <v>1733</v>
      </c>
      <c r="I328" s="6">
        <v>3.278401E7</v>
      </c>
      <c r="J328" s="6" t="s">
        <v>1734</v>
      </c>
      <c r="K328" s="6" t="str">
        <f>VLOOKUP(A328,Sheet4!$A:$H,7,0)</f>
        <v>Ultima Latex Mattress</v>
      </c>
      <c r="L328" s="6" t="str">
        <f>VLOOKUP(B328,Sheet4!$A:$H,8,0)</f>
        <v>Mattress</v>
      </c>
      <c r="M328" s="6">
        <v>20999.0</v>
      </c>
      <c r="N328" s="8">
        <v>18899.0</v>
      </c>
      <c r="O328" s="9">
        <v>19899.0</v>
      </c>
      <c r="P328" s="10">
        <v>17639.16</v>
      </c>
    </row>
    <row r="329">
      <c r="A329" s="6" t="s">
        <v>1735</v>
      </c>
      <c r="B329" s="6" t="s">
        <v>1735</v>
      </c>
      <c r="C329" s="6" t="s">
        <v>1736</v>
      </c>
      <c r="D329" s="6" t="s">
        <v>1737</v>
      </c>
      <c r="E329" s="6" t="e">
        <v>#N/A</v>
      </c>
      <c r="F329" s="6">
        <v>0.0</v>
      </c>
      <c r="G329" s="6" t="s">
        <v>1738</v>
      </c>
      <c r="H329" s="7" t="s">
        <v>1739</v>
      </c>
      <c r="I329" s="6" t="e">
        <v>#N/A</v>
      </c>
      <c r="J329" s="6" t="e">
        <v>#N/A</v>
      </c>
      <c r="K329" s="6" t="str">
        <f>VLOOKUP(A329,Sheet4!$A:$H,7,0)</f>
        <v>Ultima Latex Mattress</v>
      </c>
      <c r="L329" s="6" t="str">
        <f>VLOOKUP(B329,Sheet4!$A:$H,8,0)</f>
        <v>Mattress</v>
      </c>
      <c r="M329" s="6">
        <v>23499.0</v>
      </c>
      <c r="N329" s="8">
        <v>21149.0</v>
      </c>
      <c r="O329" s="9">
        <v>22299.0</v>
      </c>
      <c r="P329" s="10">
        <v>19739.16</v>
      </c>
    </row>
    <row r="330">
      <c r="A330" s="6" t="s">
        <v>1740</v>
      </c>
      <c r="B330" s="6" t="s">
        <v>1740</v>
      </c>
      <c r="C330" s="6" t="s">
        <v>1741</v>
      </c>
      <c r="D330" s="6" t="s">
        <v>1742</v>
      </c>
      <c r="E330" s="6" t="e">
        <v>#N/A</v>
      </c>
      <c r="F330" s="6" t="s">
        <v>1743</v>
      </c>
      <c r="G330" s="6" t="s">
        <v>1744</v>
      </c>
      <c r="H330" s="7" t="s">
        <v>1745</v>
      </c>
      <c r="I330" s="6">
        <v>3.2783932E7</v>
      </c>
      <c r="J330" s="6" t="s">
        <v>1746</v>
      </c>
      <c r="K330" s="6" t="str">
        <f>VLOOKUP(A330,Sheet4!$A:$H,7,0)</f>
        <v>Ultima Latex Mattress</v>
      </c>
      <c r="L330" s="6" t="str">
        <f>VLOOKUP(B330,Sheet4!$A:$H,8,0)</f>
        <v>Mattress</v>
      </c>
      <c r="M330" s="6">
        <v>24999.0</v>
      </c>
      <c r="N330" s="8">
        <v>22499.0</v>
      </c>
      <c r="O330" s="9">
        <v>23699.0</v>
      </c>
      <c r="P330" s="10">
        <v>20999.16</v>
      </c>
    </row>
    <row r="331">
      <c r="A331" s="6" t="s">
        <v>1747</v>
      </c>
      <c r="B331" s="6" t="s">
        <v>1747</v>
      </c>
      <c r="C331" s="6" t="s">
        <v>1748</v>
      </c>
      <c r="D331" s="6" t="s">
        <v>1749</v>
      </c>
      <c r="E331" s="6" t="e">
        <v>#N/A</v>
      </c>
      <c r="F331" s="6" t="s">
        <v>1750</v>
      </c>
      <c r="G331" s="6" t="s">
        <v>1751</v>
      </c>
      <c r="H331" s="7" t="s">
        <v>1752</v>
      </c>
      <c r="I331" s="6">
        <v>3.2784152E7</v>
      </c>
      <c r="J331" s="6" t="s">
        <v>1753</v>
      </c>
      <c r="K331" s="6" t="str">
        <f>VLOOKUP(A331,Sheet4!$A:$H,7,0)</f>
        <v>Ultima Latex Mattress</v>
      </c>
      <c r="L331" s="6" t="str">
        <f>VLOOKUP(B331,Sheet4!$A:$H,8,0)</f>
        <v>Mattress</v>
      </c>
      <c r="M331" s="6">
        <v>24999.0</v>
      </c>
      <c r="N331" s="8">
        <v>22499.0</v>
      </c>
      <c r="O331" s="9">
        <v>23699.0</v>
      </c>
      <c r="P331" s="10">
        <v>20999.16</v>
      </c>
    </row>
    <row r="332">
      <c r="A332" s="6" t="s">
        <v>1754</v>
      </c>
      <c r="B332" s="6" t="s">
        <v>1754</v>
      </c>
      <c r="C332" s="6" t="s">
        <v>1755</v>
      </c>
      <c r="D332" s="6" t="s">
        <v>1756</v>
      </c>
      <c r="E332" s="6" t="e">
        <v>#N/A</v>
      </c>
      <c r="F332" s="6" t="s">
        <v>1757</v>
      </c>
      <c r="G332" s="6" t="s">
        <v>1758</v>
      </c>
      <c r="H332" s="7" t="s">
        <v>1759</v>
      </c>
      <c r="I332" s="6">
        <v>3.2783797E7</v>
      </c>
      <c r="J332" s="6" t="s">
        <v>1760</v>
      </c>
      <c r="K332" s="6" t="str">
        <f>VLOOKUP(A332,Sheet4!$A:$H,7,0)</f>
        <v>Ultima Latex Mattress</v>
      </c>
      <c r="L332" s="6" t="str">
        <f>VLOOKUP(B332,Sheet4!$A:$H,8,0)</f>
        <v>Mattress</v>
      </c>
      <c r="M332" s="6">
        <v>24999.0</v>
      </c>
      <c r="N332" s="8">
        <v>22499.0</v>
      </c>
      <c r="O332" s="9">
        <v>23699.0</v>
      </c>
      <c r="P332" s="10">
        <v>20999.16</v>
      </c>
    </row>
    <row r="333">
      <c r="A333" s="6" t="s">
        <v>1761</v>
      </c>
      <c r="B333" s="6" t="s">
        <v>1761</v>
      </c>
      <c r="C333" s="6" t="s">
        <v>1762</v>
      </c>
      <c r="D333" s="6" t="s">
        <v>1763</v>
      </c>
      <c r="E333" s="6" t="e">
        <v>#N/A</v>
      </c>
      <c r="F333" s="6">
        <v>0.0</v>
      </c>
      <c r="G333" s="6" t="s">
        <v>1764</v>
      </c>
      <c r="H333" s="7" t="s">
        <v>1765</v>
      </c>
      <c r="I333" s="6" t="e">
        <v>#N/A</v>
      </c>
      <c r="J333" s="6" t="e">
        <v>#N/A</v>
      </c>
      <c r="K333" s="6" t="str">
        <f>VLOOKUP(A333,Sheet4!$A:$H,7,0)</f>
        <v>Ultima Latex Mattress</v>
      </c>
      <c r="L333" s="6" t="str">
        <f>VLOOKUP(B333,Sheet4!$A:$H,8,0)</f>
        <v>Mattress</v>
      </c>
      <c r="M333" s="6">
        <v>28999.0</v>
      </c>
      <c r="N333" s="8">
        <v>26099.0</v>
      </c>
      <c r="O333" s="9">
        <v>27499.0</v>
      </c>
      <c r="P333" s="10">
        <v>24359.16</v>
      </c>
    </row>
    <row r="334">
      <c r="A334" s="6" t="s">
        <v>1766</v>
      </c>
      <c r="B334" s="6" t="s">
        <v>1766</v>
      </c>
      <c r="C334" s="6" t="s">
        <v>1767</v>
      </c>
      <c r="D334" s="6" t="s">
        <v>1768</v>
      </c>
      <c r="E334" s="6" t="e">
        <v>#N/A</v>
      </c>
      <c r="F334" s="6">
        <v>0.0</v>
      </c>
      <c r="G334" s="6" t="s">
        <v>1769</v>
      </c>
      <c r="H334" s="7" t="s">
        <v>1770</v>
      </c>
      <c r="I334" s="6" t="e">
        <v>#N/A</v>
      </c>
      <c r="J334" s="6" t="e">
        <v>#N/A</v>
      </c>
      <c r="K334" s="6" t="str">
        <f>VLOOKUP(A334,Sheet4!$A:$H,7,0)</f>
        <v>Ultima Latex Mattress</v>
      </c>
      <c r="L334" s="6" t="str">
        <f>VLOOKUP(B334,Sheet4!$A:$H,8,0)</f>
        <v>Mattress</v>
      </c>
      <c r="M334" s="6">
        <v>31999.0</v>
      </c>
      <c r="N334" s="8">
        <v>28799.0</v>
      </c>
      <c r="O334" s="9">
        <v>30399.0</v>
      </c>
      <c r="P334" s="10">
        <v>26879.16</v>
      </c>
    </row>
    <row r="335">
      <c r="A335" s="6" t="s">
        <v>1771</v>
      </c>
      <c r="B335" s="6" t="s">
        <v>1771</v>
      </c>
      <c r="C335" s="6" t="s">
        <v>1772</v>
      </c>
      <c r="D335" s="6" t="s">
        <v>1773</v>
      </c>
      <c r="E335" s="6" t="e">
        <v>#N/A</v>
      </c>
      <c r="F335" s="6">
        <v>0.0</v>
      </c>
      <c r="G335" s="6" t="s">
        <v>1774</v>
      </c>
      <c r="H335" s="7" t="s">
        <v>1775</v>
      </c>
      <c r="I335" s="6">
        <v>3.2784079E7</v>
      </c>
      <c r="J335" s="6" t="s">
        <v>1776</v>
      </c>
      <c r="K335" s="6" t="str">
        <f>VLOOKUP(A335,Sheet4!$A:$H,7,0)</f>
        <v>Ultima Latex Mattress</v>
      </c>
      <c r="L335" s="6" t="str">
        <f>VLOOKUP(B335,Sheet4!$A:$H,8,0)</f>
        <v>Mattress</v>
      </c>
      <c r="M335" s="6">
        <v>26999.0</v>
      </c>
      <c r="N335" s="8">
        <v>24299.0</v>
      </c>
      <c r="O335" s="9">
        <v>25599.0</v>
      </c>
      <c r="P335" s="10">
        <v>22679.16</v>
      </c>
    </row>
    <row r="336">
      <c r="A336" s="6" t="s">
        <v>1777</v>
      </c>
      <c r="B336" s="6" t="s">
        <v>1777</v>
      </c>
      <c r="C336" s="6" t="s">
        <v>1778</v>
      </c>
      <c r="D336" s="6" t="s">
        <v>1779</v>
      </c>
      <c r="E336" s="6" t="e">
        <v>#N/A</v>
      </c>
      <c r="F336" s="6">
        <v>0.0</v>
      </c>
      <c r="G336" s="6" t="s">
        <v>1780</v>
      </c>
      <c r="H336" s="7" t="s">
        <v>1781</v>
      </c>
      <c r="I336" s="6" t="e">
        <v>#N/A</v>
      </c>
      <c r="J336" s="6" t="e">
        <v>#N/A</v>
      </c>
      <c r="K336" s="6" t="str">
        <f>VLOOKUP(A336,Sheet4!$A:$H,7,0)</f>
        <v>Ultima Latex Mattress</v>
      </c>
      <c r="L336" s="6" t="str">
        <f>VLOOKUP(B336,Sheet4!$A:$H,8,0)</f>
        <v>Mattress</v>
      </c>
      <c r="M336" s="6">
        <v>29999.0</v>
      </c>
      <c r="N336" s="8">
        <v>26999.0</v>
      </c>
      <c r="O336" s="9">
        <v>28499.0</v>
      </c>
      <c r="P336" s="10">
        <v>25199.16</v>
      </c>
    </row>
    <row r="337">
      <c r="A337" s="6" t="s">
        <v>1782</v>
      </c>
      <c r="B337" s="6" t="s">
        <v>1782</v>
      </c>
      <c r="C337" s="6" t="s">
        <v>1783</v>
      </c>
      <c r="D337" s="6" t="s">
        <v>1784</v>
      </c>
      <c r="E337" s="6" t="e">
        <v>#N/A</v>
      </c>
      <c r="F337" s="6" t="s">
        <v>1785</v>
      </c>
      <c r="G337" s="6" t="s">
        <v>1786</v>
      </c>
      <c r="H337" s="7" t="s">
        <v>1787</v>
      </c>
      <c r="I337" s="6">
        <v>3.2783888E7</v>
      </c>
      <c r="J337" s="6" t="s">
        <v>1788</v>
      </c>
      <c r="K337" s="6" t="str">
        <f>VLOOKUP(A337,Sheet4!$A:$H,7,0)</f>
        <v>Ultima Latex Mattress</v>
      </c>
      <c r="L337" s="6" t="str">
        <f>VLOOKUP(B337,Sheet4!$A:$H,8,0)</f>
        <v>Mattress</v>
      </c>
      <c r="M337" s="6">
        <v>31999.0</v>
      </c>
      <c r="N337" s="8">
        <v>28799.0</v>
      </c>
      <c r="O337" s="9">
        <v>30399.0</v>
      </c>
      <c r="P337" s="10">
        <v>26879.16</v>
      </c>
    </row>
    <row r="338">
      <c r="A338" s="6" t="s">
        <v>1789</v>
      </c>
      <c r="B338" s="6" t="s">
        <v>1789</v>
      </c>
      <c r="C338" s="6" t="s">
        <v>1790</v>
      </c>
      <c r="D338" s="6" t="s">
        <v>1791</v>
      </c>
      <c r="E338" s="6" t="e">
        <v>#N/A</v>
      </c>
      <c r="F338" s="6" t="s">
        <v>1792</v>
      </c>
      <c r="G338" s="6" t="s">
        <v>1793</v>
      </c>
      <c r="H338" s="7" t="s">
        <v>1794</v>
      </c>
      <c r="I338" s="6">
        <v>3.2784019E7</v>
      </c>
      <c r="J338" s="6" t="s">
        <v>1795</v>
      </c>
      <c r="K338" s="6" t="str">
        <f>VLOOKUP(A338,Sheet4!$A:$H,7,0)</f>
        <v>Ultima Latex Mattress</v>
      </c>
      <c r="L338" s="6" t="str">
        <f>VLOOKUP(B338,Sheet4!$A:$H,8,0)</f>
        <v>Mattress</v>
      </c>
      <c r="M338" s="6">
        <v>31999.0</v>
      </c>
      <c r="N338" s="8">
        <v>28799.0</v>
      </c>
      <c r="O338" s="9">
        <v>30399.0</v>
      </c>
      <c r="P338" s="10">
        <v>26879.16</v>
      </c>
    </row>
    <row r="339">
      <c r="A339" s="6" t="s">
        <v>1796</v>
      </c>
      <c r="B339" s="6" t="s">
        <v>1796</v>
      </c>
      <c r="C339" s="6" t="s">
        <v>1797</v>
      </c>
      <c r="D339" s="6" t="s">
        <v>1798</v>
      </c>
      <c r="E339" s="6" t="e">
        <v>#N/A</v>
      </c>
      <c r="F339" s="6" t="s">
        <v>1799</v>
      </c>
      <c r="G339" s="6" t="s">
        <v>1800</v>
      </c>
      <c r="H339" s="7" t="s">
        <v>1801</v>
      </c>
      <c r="I339" s="6">
        <v>3.2784001E7</v>
      </c>
      <c r="J339" s="6" t="s">
        <v>1802</v>
      </c>
      <c r="K339" s="6" t="str">
        <f>VLOOKUP(A339,Sheet4!$A:$H,7,0)</f>
        <v>Ultima Latex Mattress</v>
      </c>
      <c r="L339" s="6" t="str">
        <f>VLOOKUP(B339,Sheet4!$A:$H,8,0)</f>
        <v>Mattress</v>
      </c>
      <c r="M339" s="6">
        <v>31999.0</v>
      </c>
      <c r="N339" s="8">
        <v>28799.0</v>
      </c>
      <c r="O339" s="9">
        <v>30399.0</v>
      </c>
      <c r="P339" s="10">
        <v>26879.16</v>
      </c>
    </row>
    <row r="340">
      <c r="A340" s="6" t="s">
        <v>1803</v>
      </c>
      <c r="B340" s="6" t="s">
        <v>1803</v>
      </c>
      <c r="C340" s="6" t="s">
        <v>1804</v>
      </c>
      <c r="D340" s="6" t="s">
        <v>1805</v>
      </c>
      <c r="E340" s="6" t="e">
        <v>#N/A</v>
      </c>
      <c r="F340" s="6">
        <v>0.0</v>
      </c>
      <c r="G340" s="6" t="s">
        <v>1806</v>
      </c>
      <c r="H340" s="7" t="s">
        <v>1807</v>
      </c>
      <c r="I340" s="6" t="e">
        <v>#N/A</v>
      </c>
      <c r="J340" s="6" t="e">
        <v>#N/A</v>
      </c>
      <c r="K340" s="6" t="str">
        <f>VLOOKUP(A340,Sheet4!$A:$H,7,0)</f>
        <v>Ultima Latex Mattress</v>
      </c>
      <c r="L340" s="6" t="str">
        <f>VLOOKUP(B340,Sheet4!$A:$H,8,0)</f>
        <v>Mattress</v>
      </c>
      <c r="M340" s="6">
        <v>35999.0</v>
      </c>
      <c r="N340" s="8">
        <v>32399.0</v>
      </c>
      <c r="O340" s="9">
        <v>34199.0</v>
      </c>
      <c r="P340" s="10">
        <v>30239.16</v>
      </c>
    </row>
    <row r="341">
      <c r="A341" s="6" t="s">
        <v>1808</v>
      </c>
      <c r="B341" s="6" t="s">
        <v>1808</v>
      </c>
      <c r="C341" s="6" t="s">
        <v>1809</v>
      </c>
      <c r="D341" s="6" t="s">
        <v>1810</v>
      </c>
      <c r="E341" s="6" t="e">
        <v>#N/A</v>
      </c>
      <c r="F341" s="6" t="s">
        <v>1811</v>
      </c>
      <c r="G341" s="6" t="s">
        <v>1812</v>
      </c>
      <c r="H341" s="7" t="s">
        <v>1813</v>
      </c>
      <c r="I341" s="6">
        <v>3.2784212E7</v>
      </c>
      <c r="J341" s="6" t="s">
        <v>1814</v>
      </c>
      <c r="K341" s="6" t="str">
        <f>VLOOKUP(A341,Sheet4!$A:$H,7,0)</f>
        <v>Ultima Latex Mattress</v>
      </c>
      <c r="L341" s="6" t="str">
        <f>VLOOKUP(B341,Sheet4!$A:$H,8,0)</f>
        <v>Mattress</v>
      </c>
      <c r="M341" s="6">
        <v>34999.0</v>
      </c>
      <c r="N341" s="8">
        <v>31499.0</v>
      </c>
      <c r="O341" s="9">
        <v>33199.0</v>
      </c>
      <c r="P341" s="10">
        <v>29399.16</v>
      </c>
    </row>
    <row r="342">
      <c r="A342" s="6" t="s">
        <v>1815</v>
      </c>
      <c r="B342" s="6" t="s">
        <v>1815</v>
      </c>
      <c r="C342" s="6" t="s">
        <v>1816</v>
      </c>
      <c r="D342" s="6" t="s">
        <v>1817</v>
      </c>
      <c r="E342" s="6" t="e">
        <v>#N/A</v>
      </c>
      <c r="F342" s="6" t="s">
        <v>1818</v>
      </c>
      <c r="G342" s="6" t="s">
        <v>1819</v>
      </c>
      <c r="H342" s="7" t="s">
        <v>1820</v>
      </c>
      <c r="I342" s="6">
        <v>3.2783808E7</v>
      </c>
      <c r="J342" s="6" t="s">
        <v>1821</v>
      </c>
      <c r="K342" s="6" t="str">
        <f>VLOOKUP(A342,Sheet4!$A:$H,7,0)</f>
        <v>Ultima Latex Mattress</v>
      </c>
      <c r="L342" s="6" t="str">
        <f>VLOOKUP(B342,Sheet4!$A:$H,8,0)</f>
        <v>Mattress</v>
      </c>
      <c r="M342" s="6">
        <v>34999.0</v>
      </c>
      <c r="N342" s="8">
        <v>31499.0</v>
      </c>
      <c r="O342" s="9">
        <v>33199.0</v>
      </c>
      <c r="P342" s="10">
        <v>29399.16</v>
      </c>
    </row>
    <row r="343">
      <c r="A343" s="6" t="s">
        <v>1822</v>
      </c>
      <c r="B343" s="6" t="s">
        <v>1822</v>
      </c>
      <c r="C343" s="6" t="s">
        <v>1823</v>
      </c>
      <c r="D343" s="6" t="s">
        <v>1824</v>
      </c>
      <c r="E343" s="6" t="e">
        <v>#N/A</v>
      </c>
      <c r="F343" s="6" t="s">
        <v>1825</v>
      </c>
      <c r="G343" s="6" t="s">
        <v>1826</v>
      </c>
      <c r="H343" s="7" t="s">
        <v>1827</v>
      </c>
      <c r="I343" s="6">
        <v>3.2784086E7</v>
      </c>
      <c r="J343" s="6" t="s">
        <v>1828</v>
      </c>
      <c r="K343" s="6" t="str">
        <f>VLOOKUP(A343,Sheet4!$A:$H,7,0)</f>
        <v>Ultima Latex Mattress</v>
      </c>
      <c r="L343" s="6" t="str">
        <f>VLOOKUP(B343,Sheet4!$A:$H,8,0)</f>
        <v>Mattress</v>
      </c>
      <c r="M343" s="6">
        <v>34999.0</v>
      </c>
      <c r="N343" s="8">
        <v>31499.0</v>
      </c>
      <c r="O343" s="9">
        <v>33199.0</v>
      </c>
      <c r="P343" s="10">
        <v>29399.16</v>
      </c>
    </row>
    <row r="344">
      <c r="A344" s="6" t="s">
        <v>1829</v>
      </c>
      <c r="B344" s="6" t="s">
        <v>1829</v>
      </c>
      <c r="C344" s="6" t="s">
        <v>1830</v>
      </c>
      <c r="D344" s="6" t="s">
        <v>1831</v>
      </c>
      <c r="E344" s="6" t="e">
        <v>#N/A</v>
      </c>
      <c r="F344" s="6">
        <v>0.0</v>
      </c>
      <c r="G344" s="6" t="s">
        <v>1832</v>
      </c>
      <c r="H344" s="7" t="s">
        <v>1833</v>
      </c>
      <c r="I344" s="6" t="e">
        <v>#N/A</v>
      </c>
      <c r="J344" s="6" t="e">
        <v>#N/A</v>
      </c>
      <c r="K344" s="6" t="str">
        <f>VLOOKUP(A344,Sheet4!$A:$H,7,0)</f>
        <v>Ultima Latex Mattress</v>
      </c>
      <c r="L344" s="6" t="str">
        <f>VLOOKUP(B344,Sheet4!$A:$H,8,0)</f>
        <v>Mattress</v>
      </c>
      <c r="M344" s="6">
        <v>37499.0</v>
      </c>
      <c r="N344" s="8">
        <v>33749.0</v>
      </c>
      <c r="O344" s="9">
        <v>35599.0</v>
      </c>
      <c r="P344" s="10">
        <v>31499.16</v>
      </c>
    </row>
    <row r="345">
      <c r="A345" s="6" t="s">
        <v>1834</v>
      </c>
      <c r="B345" s="6" t="s">
        <v>1834</v>
      </c>
      <c r="C345" s="6">
        <v>0.0</v>
      </c>
      <c r="D345" s="6" t="s">
        <v>1139</v>
      </c>
      <c r="E345" s="6" t="e">
        <v>#N/A</v>
      </c>
      <c r="F345" s="6">
        <v>0.0</v>
      </c>
      <c r="G345" s="6" t="s">
        <v>1835</v>
      </c>
      <c r="H345" s="7" t="e">
        <v>#N/A</v>
      </c>
      <c r="I345" s="6" t="e">
        <v>#N/A</v>
      </c>
      <c r="J345" s="6" t="e">
        <v>#N/A</v>
      </c>
      <c r="K345" s="6" t="str">
        <f>VLOOKUP(A345,Sheet4!$A:$H,7,0)</f>
        <v>Ultima Latex Mattress</v>
      </c>
      <c r="L345" s="6" t="str">
        <f>VLOOKUP(B345,Sheet4!$A:$H,8,0)</f>
        <v>Mattress</v>
      </c>
      <c r="M345" s="6">
        <v>34999.0</v>
      </c>
      <c r="N345" s="8">
        <v>31499.0</v>
      </c>
      <c r="O345" s="9">
        <v>33199.0</v>
      </c>
      <c r="P345" s="10">
        <v>29399.16</v>
      </c>
    </row>
    <row r="346">
      <c r="A346" s="6" t="s">
        <v>1836</v>
      </c>
      <c r="B346" s="6" t="s">
        <v>1836</v>
      </c>
      <c r="C346" s="6" t="s">
        <v>1837</v>
      </c>
      <c r="D346" s="6" t="s">
        <v>1838</v>
      </c>
      <c r="E346" s="6" t="e">
        <v>#N/A</v>
      </c>
      <c r="F346" s="6">
        <v>0.0</v>
      </c>
      <c r="G346" s="6" t="s">
        <v>1839</v>
      </c>
      <c r="H346" s="7" t="s">
        <v>1840</v>
      </c>
      <c r="I346" s="6" t="e">
        <v>#N/A</v>
      </c>
      <c r="J346" s="6" t="e">
        <v>#N/A</v>
      </c>
      <c r="K346" s="6" t="str">
        <f>VLOOKUP(A346,Sheet4!$A:$H,7,0)</f>
        <v>Ultima Latex Mattress</v>
      </c>
      <c r="L346" s="6" t="str">
        <f>VLOOKUP(B346,Sheet4!$A:$H,8,0)</f>
        <v>Mattress</v>
      </c>
      <c r="M346" s="6">
        <v>34999.0</v>
      </c>
      <c r="N346" s="8">
        <v>31499.0</v>
      </c>
      <c r="O346" s="9">
        <v>33199.0</v>
      </c>
      <c r="P346" s="10">
        <v>29399.16</v>
      </c>
    </row>
    <row r="347">
      <c r="A347" s="6" t="s">
        <v>1841</v>
      </c>
      <c r="B347" s="6" t="s">
        <v>1841</v>
      </c>
      <c r="C347" s="6" t="s">
        <v>1842</v>
      </c>
      <c r="D347" s="6" t="s">
        <v>1843</v>
      </c>
      <c r="E347" s="6" t="e">
        <v>#N/A</v>
      </c>
      <c r="F347" s="6">
        <v>0.0</v>
      </c>
      <c r="G347" s="6" t="s">
        <v>1844</v>
      </c>
      <c r="H347" s="7" t="s">
        <v>1845</v>
      </c>
      <c r="I347" s="6" t="e">
        <v>#N/A</v>
      </c>
      <c r="J347" s="6" t="e">
        <v>#N/A</v>
      </c>
      <c r="K347" s="6" t="str">
        <f>VLOOKUP(A347,Sheet4!$A:$H,7,0)</f>
        <v>Ultima Latex Mattress</v>
      </c>
      <c r="L347" s="6" t="str">
        <f>VLOOKUP(B347,Sheet4!$A:$H,8,0)</f>
        <v>Mattress</v>
      </c>
      <c r="M347" s="6">
        <v>34999.0</v>
      </c>
      <c r="N347" s="8">
        <v>31499.0</v>
      </c>
      <c r="O347" s="9">
        <v>33199.0</v>
      </c>
      <c r="P347" s="10">
        <v>29399.16</v>
      </c>
    </row>
    <row r="348">
      <c r="A348" s="6" t="s">
        <v>1846</v>
      </c>
      <c r="B348" s="6" t="s">
        <v>1846</v>
      </c>
      <c r="C348" s="6">
        <v>0.0</v>
      </c>
      <c r="D348" s="6" t="s">
        <v>1139</v>
      </c>
      <c r="E348" s="6" t="e">
        <v>#N/A</v>
      </c>
      <c r="F348" s="6">
        <v>0.0</v>
      </c>
      <c r="G348" s="6" t="s">
        <v>1847</v>
      </c>
      <c r="H348" s="7" t="e">
        <v>#N/A</v>
      </c>
      <c r="I348" s="6" t="e">
        <v>#N/A</v>
      </c>
      <c r="J348" s="6" t="e">
        <v>#N/A</v>
      </c>
      <c r="K348" s="6" t="str">
        <f>VLOOKUP(A348,Sheet4!$A:$H,7,0)</f>
        <v>Ultima Latex Mattress</v>
      </c>
      <c r="L348" s="6" t="str">
        <f>VLOOKUP(B348,Sheet4!$A:$H,8,0)</f>
        <v>Mattress</v>
      </c>
      <c r="M348" s="6">
        <v>42999.0</v>
      </c>
      <c r="N348" s="8">
        <v>38699.0</v>
      </c>
      <c r="O348" s="9">
        <v>40799.0</v>
      </c>
      <c r="P348" s="10">
        <v>36119.16</v>
      </c>
    </row>
    <row r="349">
      <c r="A349" s="6" t="s">
        <v>1848</v>
      </c>
      <c r="B349" s="6" t="s">
        <v>1848</v>
      </c>
      <c r="C349" s="6">
        <v>0.0</v>
      </c>
      <c r="D349" s="6" t="s">
        <v>1139</v>
      </c>
      <c r="E349" s="6" t="e">
        <v>#N/A</v>
      </c>
      <c r="F349" s="6">
        <v>0.0</v>
      </c>
      <c r="G349" s="6" t="s">
        <v>1849</v>
      </c>
      <c r="H349" s="7" t="e">
        <v>#N/A</v>
      </c>
      <c r="I349" s="6" t="e">
        <v>#N/A</v>
      </c>
      <c r="J349" s="6" t="e">
        <v>#N/A</v>
      </c>
      <c r="K349" s="6" t="str">
        <f>VLOOKUP(A349,Sheet4!$A:$H,7,0)</f>
        <v>Ultima Latex Mattress</v>
      </c>
      <c r="L349" s="6" t="str">
        <f>VLOOKUP(B349,Sheet4!$A:$H,8,0)</f>
        <v>Mattress</v>
      </c>
      <c r="M349" s="6">
        <v>38999.0</v>
      </c>
      <c r="N349" s="8">
        <v>35099.0</v>
      </c>
      <c r="O349" s="9">
        <v>36999.0</v>
      </c>
      <c r="P349" s="10">
        <v>32759.16</v>
      </c>
    </row>
    <row r="350">
      <c r="A350" s="6" t="s">
        <v>1850</v>
      </c>
      <c r="B350" s="6" t="s">
        <v>1850</v>
      </c>
      <c r="C350" s="6" t="s">
        <v>1851</v>
      </c>
      <c r="D350" s="6" t="s">
        <v>1852</v>
      </c>
      <c r="E350" s="6" t="e">
        <v>#N/A</v>
      </c>
      <c r="F350" s="6">
        <v>0.0</v>
      </c>
      <c r="G350" s="6" t="s">
        <v>1853</v>
      </c>
      <c r="H350" s="7" t="s">
        <v>1854</v>
      </c>
      <c r="I350" s="6" t="e">
        <v>#N/A</v>
      </c>
      <c r="J350" s="6" t="e">
        <v>#N/A</v>
      </c>
      <c r="K350" s="6" t="str">
        <f>VLOOKUP(A350,Sheet4!$A:$H,7,0)</f>
        <v>Ultima Latex Mattress</v>
      </c>
      <c r="L350" s="6" t="str">
        <f>VLOOKUP(B350,Sheet4!$A:$H,8,0)</f>
        <v>Mattress</v>
      </c>
      <c r="M350" s="6">
        <v>38999.0</v>
      </c>
      <c r="N350" s="8">
        <v>35099.0</v>
      </c>
      <c r="O350" s="9">
        <v>36999.0</v>
      </c>
      <c r="P350" s="10">
        <v>32759.16</v>
      </c>
    </row>
    <row r="351">
      <c r="A351" s="6" t="s">
        <v>1855</v>
      </c>
      <c r="B351" s="6" t="s">
        <v>1855</v>
      </c>
      <c r="C351" s="6">
        <v>0.0</v>
      </c>
      <c r="D351" s="6" t="s">
        <v>1139</v>
      </c>
      <c r="E351" s="6" t="e">
        <v>#N/A</v>
      </c>
      <c r="F351" s="6">
        <v>0.0</v>
      </c>
      <c r="G351" s="6" t="s">
        <v>1856</v>
      </c>
      <c r="H351" s="7" t="e">
        <v>#N/A</v>
      </c>
      <c r="I351" s="6" t="e">
        <v>#N/A</v>
      </c>
      <c r="J351" s="6" t="e">
        <v>#N/A</v>
      </c>
      <c r="K351" s="6" t="str">
        <f>VLOOKUP(A351,Sheet4!$A:$H,7,0)</f>
        <v>Ultima Latex Mattress</v>
      </c>
      <c r="L351" s="6" t="str">
        <f>VLOOKUP(B351,Sheet4!$A:$H,8,0)</f>
        <v>Mattress</v>
      </c>
      <c r="M351" s="6">
        <v>38999.0</v>
      </c>
      <c r="N351" s="8">
        <v>35099.0</v>
      </c>
      <c r="O351" s="9">
        <v>36999.0</v>
      </c>
      <c r="P351" s="10">
        <v>32759.16</v>
      </c>
    </row>
    <row r="352">
      <c r="A352" s="6" t="s">
        <v>1857</v>
      </c>
      <c r="B352" s="6" t="s">
        <v>1857</v>
      </c>
      <c r="C352" s="6">
        <v>0.0</v>
      </c>
      <c r="D352" s="6" t="s">
        <v>1139</v>
      </c>
      <c r="E352" s="6" t="e">
        <v>#N/A</v>
      </c>
      <c r="F352" s="6">
        <v>0.0</v>
      </c>
      <c r="G352" s="6" t="s">
        <v>1858</v>
      </c>
      <c r="H352" s="7" t="e">
        <v>#N/A</v>
      </c>
      <c r="I352" s="6" t="e">
        <v>#N/A</v>
      </c>
      <c r="J352" s="6" t="e">
        <v>#N/A</v>
      </c>
      <c r="K352" s="6" t="str">
        <f>VLOOKUP(A352,Sheet4!$A:$H,7,0)</f>
        <v>Ultima Latex Mattress</v>
      </c>
      <c r="L352" s="6" t="str">
        <f>VLOOKUP(B352,Sheet4!$A:$H,8,0)</f>
        <v>Mattress</v>
      </c>
      <c r="M352" s="6">
        <v>44999.0</v>
      </c>
      <c r="N352" s="8">
        <v>40499.0</v>
      </c>
      <c r="O352" s="9">
        <v>42699.0</v>
      </c>
      <c r="P352" s="10">
        <v>37799.16</v>
      </c>
    </row>
    <row r="353">
      <c r="A353" s="6" t="s">
        <v>1859</v>
      </c>
      <c r="B353" s="6" t="s">
        <v>1859</v>
      </c>
      <c r="C353" s="6" t="s">
        <v>1860</v>
      </c>
      <c r="D353" s="6" t="s">
        <v>1861</v>
      </c>
      <c r="E353" s="6" t="s">
        <v>1862</v>
      </c>
      <c r="F353" s="6" t="s">
        <v>1863</v>
      </c>
      <c r="G353" s="6" t="s">
        <v>1864</v>
      </c>
      <c r="H353" s="7" t="s">
        <v>1865</v>
      </c>
      <c r="I353" s="6">
        <v>3.2783939E7</v>
      </c>
      <c r="J353" s="6" t="s">
        <v>1866</v>
      </c>
      <c r="K353" s="6" t="str">
        <f>VLOOKUP(A353,Sheet4!$A:$H,7,0)</f>
        <v>Ultima Latex Mattress</v>
      </c>
      <c r="L353" s="6" t="str">
        <f>VLOOKUP(B353,Sheet4!$A:$H,8,0)</f>
        <v>Mattress</v>
      </c>
      <c r="M353" s="6">
        <v>34999.0</v>
      </c>
      <c r="N353" s="8">
        <v>31499.0</v>
      </c>
      <c r="O353" s="9">
        <v>33199.0</v>
      </c>
      <c r="P353" s="10">
        <v>29399.16</v>
      </c>
    </row>
    <row r="354">
      <c r="A354" s="6" t="s">
        <v>1867</v>
      </c>
      <c r="B354" s="6" t="s">
        <v>1867</v>
      </c>
      <c r="C354" s="6" t="s">
        <v>1868</v>
      </c>
      <c r="D354" s="6" t="s">
        <v>1869</v>
      </c>
      <c r="E354" s="6" t="e">
        <v>#N/A</v>
      </c>
      <c r="F354" s="6" t="s">
        <v>1870</v>
      </c>
      <c r="G354" s="6" t="s">
        <v>1871</v>
      </c>
      <c r="H354" s="7" t="s">
        <v>1872</v>
      </c>
      <c r="I354" s="6">
        <v>3.2784083E7</v>
      </c>
      <c r="J354" s="6" t="s">
        <v>1873</v>
      </c>
      <c r="K354" s="6" t="str">
        <f>VLOOKUP(A354,Sheet4!$A:$H,7,0)</f>
        <v>Ultima Latex Mattress</v>
      </c>
      <c r="L354" s="6" t="str">
        <f>VLOOKUP(B354,Sheet4!$A:$H,8,0)</f>
        <v>Mattress</v>
      </c>
      <c r="M354" s="6">
        <v>34999.0</v>
      </c>
      <c r="N354" s="8">
        <v>31499.0</v>
      </c>
      <c r="O354" s="9">
        <v>33199.0</v>
      </c>
      <c r="P354" s="10">
        <v>29399.16</v>
      </c>
    </row>
    <row r="355">
      <c r="A355" s="6" t="s">
        <v>1874</v>
      </c>
      <c r="B355" s="6" t="s">
        <v>1874</v>
      </c>
      <c r="C355" s="6" t="s">
        <v>1875</v>
      </c>
      <c r="D355" s="6" t="s">
        <v>1876</v>
      </c>
      <c r="E355" s="6" t="e">
        <v>#N/A</v>
      </c>
      <c r="F355" s="6" t="s">
        <v>1877</v>
      </c>
      <c r="G355" s="6" t="s">
        <v>1878</v>
      </c>
      <c r="H355" s="7" t="s">
        <v>1879</v>
      </c>
      <c r="I355" s="6">
        <v>3.1999087E7</v>
      </c>
      <c r="J355" s="6" t="s">
        <v>1880</v>
      </c>
      <c r="K355" s="6" t="str">
        <f>VLOOKUP(A355,Sheet4!$A:$H,7,0)</f>
        <v>Ultima Latex Mattress</v>
      </c>
      <c r="L355" s="6" t="str">
        <f>VLOOKUP(B355,Sheet4!$A:$H,8,0)</f>
        <v>Mattress</v>
      </c>
      <c r="M355" s="6">
        <v>34999.0</v>
      </c>
      <c r="N355" s="8">
        <v>31499.0</v>
      </c>
      <c r="O355" s="9">
        <v>33199.0</v>
      </c>
      <c r="P355" s="10">
        <v>29399.16</v>
      </c>
    </row>
    <row r="356">
      <c r="A356" s="6" t="s">
        <v>1881</v>
      </c>
      <c r="B356" s="6" t="s">
        <v>1881</v>
      </c>
      <c r="C356" s="6" t="s">
        <v>1882</v>
      </c>
      <c r="D356" s="6" t="s">
        <v>1883</v>
      </c>
      <c r="E356" s="6" t="e">
        <v>#N/A</v>
      </c>
      <c r="F356" s="6">
        <v>0.0</v>
      </c>
      <c r="G356" s="6" t="s">
        <v>1884</v>
      </c>
      <c r="H356" s="7" t="s">
        <v>1885</v>
      </c>
      <c r="I356" s="6">
        <v>3.2784168E7</v>
      </c>
      <c r="J356" s="6" t="e">
        <v>#N/A</v>
      </c>
      <c r="K356" s="6" t="str">
        <f>VLOOKUP(A356,Sheet4!$A:$H,7,0)</f>
        <v>Ultima Latex Mattress</v>
      </c>
      <c r="L356" s="6" t="str">
        <f>VLOOKUP(B356,Sheet4!$A:$H,8,0)</f>
        <v>Mattress</v>
      </c>
      <c r="M356" s="6">
        <v>42999.0</v>
      </c>
      <c r="N356" s="8">
        <v>38699.0</v>
      </c>
      <c r="O356" s="9">
        <v>40799.0</v>
      </c>
      <c r="P356" s="10">
        <v>36119.16</v>
      </c>
    </row>
    <row r="357">
      <c r="A357" s="6" t="s">
        <v>1886</v>
      </c>
      <c r="B357" s="6" t="s">
        <v>1886</v>
      </c>
      <c r="C357" s="6" t="s">
        <v>1887</v>
      </c>
      <c r="D357" s="6" t="s">
        <v>1888</v>
      </c>
      <c r="E357" s="6" t="e">
        <v>#N/A</v>
      </c>
      <c r="F357" s="6">
        <v>0.0</v>
      </c>
      <c r="G357" s="6" t="s">
        <v>1889</v>
      </c>
      <c r="H357" s="7" t="s">
        <v>1890</v>
      </c>
      <c r="I357" s="6" t="e">
        <v>#N/A</v>
      </c>
      <c r="J357" s="6" t="e">
        <v>#N/A</v>
      </c>
      <c r="K357" s="6" t="str">
        <f>VLOOKUP(A357,Sheet4!$A:$H,7,0)</f>
        <v>Ultima Latex Mattress</v>
      </c>
      <c r="L357" s="6" t="str">
        <f>VLOOKUP(B357,Sheet4!$A:$H,8,0)</f>
        <v>Mattress</v>
      </c>
      <c r="M357" s="6">
        <v>46999.0</v>
      </c>
      <c r="N357" s="8">
        <v>42299.0</v>
      </c>
      <c r="O357" s="9">
        <v>44599.0</v>
      </c>
      <c r="P357" s="10">
        <v>39479.16</v>
      </c>
    </row>
    <row r="358">
      <c r="A358" s="6" t="s">
        <v>1891</v>
      </c>
      <c r="B358" s="6" t="s">
        <v>1891</v>
      </c>
      <c r="C358" s="6" t="s">
        <v>1892</v>
      </c>
      <c r="D358" s="6" t="s">
        <v>1893</v>
      </c>
      <c r="E358" s="6" t="e">
        <v>#N/A</v>
      </c>
      <c r="F358" s="6" t="s">
        <v>1894</v>
      </c>
      <c r="G358" s="6">
        <v>0.0</v>
      </c>
      <c r="H358" s="7" t="s">
        <v>1895</v>
      </c>
      <c r="I358" s="6">
        <v>3.2783885E7</v>
      </c>
      <c r="J358" s="6" t="s">
        <v>1896</v>
      </c>
      <c r="K358" s="6" t="str">
        <f>VLOOKUP(A358,Sheet4!$A:$H,7,0)</f>
        <v>Ultima Latex Mattress</v>
      </c>
      <c r="L358" s="6" t="str">
        <f>VLOOKUP(B358,Sheet4!$A:$H,8,0)</f>
        <v>Mattress</v>
      </c>
      <c r="M358" s="6">
        <v>38999.0</v>
      </c>
      <c r="N358" s="8">
        <v>35099.0</v>
      </c>
      <c r="O358" s="9">
        <v>36999.0</v>
      </c>
      <c r="P358" s="10">
        <v>32759.16</v>
      </c>
    </row>
    <row r="359">
      <c r="A359" s="6" t="s">
        <v>1897</v>
      </c>
      <c r="B359" s="6" t="s">
        <v>1897</v>
      </c>
      <c r="C359" s="6" t="s">
        <v>1898</v>
      </c>
      <c r="D359" s="6" t="s">
        <v>1899</v>
      </c>
      <c r="E359" s="6" t="e">
        <v>#N/A</v>
      </c>
      <c r="F359" s="6" t="s">
        <v>1900</v>
      </c>
      <c r="G359" s="6" t="s">
        <v>1901</v>
      </c>
      <c r="H359" s="7" t="s">
        <v>1902</v>
      </c>
      <c r="I359" s="6">
        <v>3.2784229E7</v>
      </c>
      <c r="J359" s="6" t="s">
        <v>1903</v>
      </c>
      <c r="K359" s="6" t="str">
        <f>VLOOKUP(A359,Sheet4!$A:$H,7,0)</f>
        <v>Ultima Latex Mattress</v>
      </c>
      <c r="L359" s="6" t="str">
        <f>VLOOKUP(B359,Sheet4!$A:$H,8,0)</f>
        <v>Mattress</v>
      </c>
      <c r="M359" s="6">
        <v>38999.0</v>
      </c>
      <c r="N359" s="8">
        <v>35099.0</v>
      </c>
      <c r="O359" s="9">
        <v>36999.0</v>
      </c>
      <c r="P359" s="10">
        <v>32759.16</v>
      </c>
    </row>
    <row r="360">
      <c r="A360" s="6" t="s">
        <v>1904</v>
      </c>
      <c r="B360" s="6" t="s">
        <v>1904</v>
      </c>
      <c r="C360" s="6" t="s">
        <v>1905</v>
      </c>
      <c r="D360" s="6" t="s">
        <v>1906</v>
      </c>
      <c r="E360" s="6" t="e">
        <v>#N/A</v>
      </c>
      <c r="F360" s="6" t="s">
        <v>1907</v>
      </c>
      <c r="G360" s="6" t="s">
        <v>1908</v>
      </c>
      <c r="H360" s="7" t="s">
        <v>1909</v>
      </c>
      <c r="I360" s="6">
        <v>3.2783822E7</v>
      </c>
      <c r="J360" s="6" t="s">
        <v>1910</v>
      </c>
      <c r="K360" s="6" t="str">
        <f>VLOOKUP(A360,Sheet4!$A:$H,7,0)</f>
        <v>Ultima Latex Mattress</v>
      </c>
      <c r="L360" s="6" t="str">
        <f>VLOOKUP(B360,Sheet4!$A:$H,8,0)</f>
        <v>Mattress</v>
      </c>
      <c r="M360" s="6">
        <v>38999.0</v>
      </c>
      <c r="N360" s="8">
        <v>35099.0</v>
      </c>
      <c r="O360" s="9">
        <v>36999.0</v>
      </c>
      <c r="P360" s="10">
        <v>32759.16</v>
      </c>
    </row>
    <row r="361">
      <c r="A361" s="6" t="s">
        <v>1911</v>
      </c>
      <c r="B361" s="6" t="s">
        <v>1911</v>
      </c>
      <c r="C361" s="6" t="s">
        <v>1912</v>
      </c>
      <c r="D361" s="6" t="s">
        <v>1913</v>
      </c>
      <c r="E361" s="6" t="e">
        <v>#N/A</v>
      </c>
      <c r="F361" s="6">
        <v>0.0</v>
      </c>
      <c r="G361" s="6">
        <v>0.0</v>
      </c>
      <c r="H361" s="7" t="s">
        <v>1914</v>
      </c>
      <c r="I361" s="6">
        <v>3.2784207E7</v>
      </c>
      <c r="J361" s="6" t="e">
        <v>#N/A</v>
      </c>
      <c r="K361" s="6" t="str">
        <f>VLOOKUP(A361,Sheet4!$A:$H,7,0)</f>
        <v>Ultima Latex Mattress</v>
      </c>
      <c r="L361" s="6" t="str">
        <f>VLOOKUP(B361,Sheet4!$A:$H,8,0)</f>
        <v>Mattress</v>
      </c>
      <c r="M361" s="6">
        <v>44999.0</v>
      </c>
      <c r="N361" s="8">
        <v>40499.0</v>
      </c>
      <c r="O361" s="9">
        <v>42699.0</v>
      </c>
      <c r="P361" s="10">
        <v>37799.16</v>
      </c>
    </row>
    <row r="362">
      <c r="A362" s="6" t="s">
        <v>1915</v>
      </c>
      <c r="B362" s="6" t="s">
        <v>1915</v>
      </c>
      <c r="C362" s="6" t="s">
        <v>1916</v>
      </c>
      <c r="D362" s="6" t="s">
        <v>1917</v>
      </c>
      <c r="E362" s="6" t="e">
        <v>#N/A</v>
      </c>
      <c r="F362" s="6">
        <v>0.0</v>
      </c>
      <c r="G362" s="6" t="s">
        <v>1918</v>
      </c>
      <c r="H362" s="7" t="s">
        <v>1919</v>
      </c>
      <c r="I362" s="6" t="e">
        <v>#N/A</v>
      </c>
      <c r="J362" s="6" t="e">
        <v>#N/A</v>
      </c>
      <c r="K362" s="6" t="str">
        <f>VLOOKUP(A362,Sheet4!$A:$H,7,0)</f>
        <v>Ultima Latex Mattress</v>
      </c>
      <c r="L362" s="6" t="str">
        <f>VLOOKUP(B362,Sheet4!$A:$H,8,0)</f>
        <v>Mattress</v>
      </c>
      <c r="M362" s="6">
        <v>48799.0</v>
      </c>
      <c r="N362" s="8">
        <v>43919.0</v>
      </c>
      <c r="O362" s="9">
        <v>46399.0</v>
      </c>
      <c r="P362" s="10">
        <v>40991.16</v>
      </c>
    </row>
    <row r="363">
      <c r="A363" s="6" t="s">
        <v>1920</v>
      </c>
      <c r="B363" s="6" t="s">
        <v>1920</v>
      </c>
      <c r="C363" s="6" t="e">
        <v>#N/A</v>
      </c>
      <c r="D363" s="6" t="e">
        <v>#N/A</v>
      </c>
      <c r="E363" s="6" t="e">
        <v>#N/A</v>
      </c>
      <c r="F363" s="6" t="e">
        <v>#N/A</v>
      </c>
      <c r="G363" s="6">
        <v>0.0</v>
      </c>
      <c r="H363" s="7" t="e">
        <v>#N/A</v>
      </c>
      <c r="I363" s="6" t="e">
        <v>#N/A</v>
      </c>
      <c r="J363" s="6" t="e">
        <v>#N/A</v>
      </c>
      <c r="K363" s="11" t="s">
        <v>1921</v>
      </c>
      <c r="L363" s="11" t="s">
        <v>52</v>
      </c>
      <c r="M363" s="6" t="str">
        <f t="shared" ref="M363:M415" si="4">VLOOKUP(A363,#REF!,2,FALSE)</f>
        <v>#REF!</v>
      </c>
      <c r="N363" s="6" t="str">
        <f>VLOOKUP(A363, Sheet2!A:M, 3, FALSE)</f>
        <v>#N/A</v>
      </c>
      <c r="O363" s="10" t="e">
        <v>#N/A</v>
      </c>
      <c r="P363" s="10" t="e">
        <v>#N/A</v>
      </c>
    </row>
    <row r="364">
      <c r="A364" s="6" t="s">
        <v>1922</v>
      </c>
      <c r="B364" s="6" t="s">
        <v>1922</v>
      </c>
      <c r="C364" s="6" t="e">
        <v>#N/A</v>
      </c>
      <c r="D364" s="6" t="e">
        <v>#N/A</v>
      </c>
      <c r="E364" s="6" t="e">
        <v>#N/A</v>
      </c>
      <c r="F364" s="6" t="e">
        <v>#N/A</v>
      </c>
      <c r="G364" s="6">
        <v>0.0</v>
      </c>
      <c r="H364" s="7" t="e">
        <v>#N/A</v>
      </c>
      <c r="I364" s="6" t="e">
        <v>#N/A</v>
      </c>
      <c r="J364" s="6" t="e">
        <v>#N/A</v>
      </c>
      <c r="K364" s="11" t="s">
        <v>1921</v>
      </c>
      <c r="L364" s="11" t="s">
        <v>52</v>
      </c>
      <c r="M364" s="6" t="str">
        <f t="shared" si="4"/>
        <v>#REF!</v>
      </c>
      <c r="N364" s="6" t="str">
        <f>VLOOKUP(A364, Sheet2!A:M, 3, FALSE)</f>
        <v>#N/A</v>
      </c>
      <c r="O364" s="10" t="e">
        <v>#N/A</v>
      </c>
      <c r="P364" s="10" t="e">
        <v>#N/A</v>
      </c>
    </row>
    <row r="365">
      <c r="A365" s="6" t="s">
        <v>1923</v>
      </c>
      <c r="B365" s="6" t="s">
        <v>1923</v>
      </c>
      <c r="C365" s="6" t="e">
        <v>#N/A</v>
      </c>
      <c r="D365" s="6" t="e">
        <v>#N/A</v>
      </c>
      <c r="E365" s="6" t="e">
        <v>#N/A</v>
      </c>
      <c r="F365" s="6" t="e">
        <v>#N/A</v>
      </c>
      <c r="G365" s="6">
        <v>0.0</v>
      </c>
      <c r="H365" s="7" t="e">
        <v>#N/A</v>
      </c>
      <c r="I365" s="6" t="e">
        <v>#N/A</v>
      </c>
      <c r="J365" s="6" t="e">
        <v>#N/A</v>
      </c>
      <c r="K365" s="11" t="s">
        <v>1921</v>
      </c>
      <c r="L365" s="11" t="s">
        <v>52</v>
      </c>
      <c r="M365" s="6" t="str">
        <f t="shared" si="4"/>
        <v>#REF!</v>
      </c>
      <c r="N365" s="6" t="str">
        <f>VLOOKUP(A365, Sheet2!A:M, 3, FALSE)</f>
        <v>#N/A</v>
      </c>
      <c r="O365" s="10" t="e">
        <v>#N/A</v>
      </c>
      <c r="P365" s="10" t="e">
        <v>#N/A</v>
      </c>
    </row>
    <row r="366">
      <c r="A366" s="6" t="s">
        <v>1924</v>
      </c>
      <c r="B366" s="6" t="s">
        <v>1924</v>
      </c>
      <c r="C366" s="6" t="e">
        <v>#N/A</v>
      </c>
      <c r="D366" s="6" t="e">
        <v>#N/A</v>
      </c>
      <c r="E366" s="6" t="e">
        <v>#N/A</v>
      </c>
      <c r="F366" s="6" t="e">
        <v>#N/A</v>
      </c>
      <c r="G366" s="6">
        <v>0.0</v>
      </c>
      <c r="H366" s="7" t="e">
        <v>#N/A</v>
      </c>
      <c r="I366" s="6" t="e">
        <v>#N/A</v>
      </c>
      <c r="J366" s="6" t="e">
        <v>#N/A</v>
      </c>
      <c r="K366" s="11" t="s">
        <v>1921</v>
      </c>
      <c r="L366" s="11" t="s">
        <v>52</v>
      </c>
      <c r="M366" s="6" t="str">
        <f t="shared" si="4"/>
        <v>#REF!</v>
      </c>
      <c r="N366" s="6" t="str">
        <f>VLOOKUP(A366, Sheet2!A:M, 3, FALSE)</f>
        <v>#N/A</v>
      </c>
      <c r="O366" s="10" t="e">
        <v>#N/A</v>
      </c>
      <c r="P366" s="10" t="e">
        <v>#N/A</v>
      </c>
    </row>
    <row r="367">
      <c r="A367" s="6" t="s">
        <v>1925</v>
      </c>
      <c r="B367" s="6" t="s">
        <v>1925</v>
      </c>
      <c r="C367" s="6" t="e">
        <v>#N/A</v>
      </c>
      <c r="D367" s="6" t="e">
        <v>#N/A</v>
      </c>
      <c r="E367" s="6" t="e">
        <v>#N/A</v>
      </c>
      <c r="F367" s="6" t="e">
        <v>#N/A</v>
      </c>
      <c r="G367" s="6">
        <v>0.0</v>
      </c>
      <c r="H367" s="7" t="e">
        <v>#N/A</v>
      </c>
      <c r="I367" s="6" t="e">
        <v>#N/A</v>
      </c>
      <c r="J367" s="6" t="e">
        <v>#N/A</v>
      </c>
      <c r="K367" s="11" t="s">
        <v>1921</v>
      </c>
      <c r="L367" s="11" t="s">
        <v>52</v>
      </c>
      <c r="M367" s="6" t="str">
        <f t="shared" si="4"/>
        <v>#REF!</v>
      </c>
      <c r="N367" s="6" t="str">
        <f>VLOOKUP(A367, Sheet2!A:M, 3, FALSE)</f>
        <v>#N/A</v>
      </c>
      <c r="O367" s="10" t="e">
        <v>#N/A</v>
      </c>
      <c r="P367" s="10" t="e">
        <v>#N/A</v>
      </c>
    </row>
    <row r="368">
      <c r="A368" s="6" t="s">
        <v>1926</v>
      </c>
      <c r="B368" s="6" t="s">
        <v>1926</v>
      </c>
      <c r="C368" s="6" t="e">
        <v>#N/A</v>
      </c>
      <c r="D368" s="6" t="e">
        <v>#N/A</v>
      </c>
      <c r="E368" s="6" t="e">
        <v>#N/A</v>
      </c>
      <c r="F368" s="6" t="e">
        <v>#N/A</v>
      </c>
      <c r="G368" s="6">
        <v>0.0</v>
      </c>
      <c r="H368" s="7" t="e">
        <v>#N/A</v>
      </c>
      <c r="I368" s="6" t="e">
        <v>#N/A</v>
      </c>
      <c r="J368" s="6" t="e">
        <v>#N/A</v>
      </c>
      <c r="K368" s="11" t="s">
        <v>1921</v>
      </c>
      <c r="L368" s="11" t="s">
        <v>52</v>
      </c>
      <c r="M368" s="6" t="str">
        <f t="shared" si="4"/>
        <v>#REF!</v>
      </c>
      <c r="N368" s="6" t="str">
        <f>VLOOKUP(A368, Sheet2!A:M, 3, FALSE)</f>
        <v>#N/A</v>
      </c>
      <c r="O368" s="10" t="e">
        <v>#N/A</v>
      </c>
      <c r="P368" s="10" t="e">
        <v>#N/A</v>
      </c>
    </row>
    <row r="369">
      <c r="A369" s="6" t="s">
        <v>1927</v>
      </c>
      <c r="B369" s="6" t="s">
        <v>1927</v>
      </c>
      <c r="C369" s="6" t="e">
        <v>#N/A</v>
      </c>
      <c r="D369" s="6" t="e">
        <v>#N/A</v>
      </c>
      <c r="E369" s="6" t="e">
        <v>#N/A</v>
      </c>
      <c r="F369" s="6" t="e">
        <v>#N/A</v>
      </c>
      <c r="G369" s="6">
        <v>0.0</v>
      </c>
      <c r="H369" s="7" t="e">
        <v>#N/A</v>
      </c>
      <c r="I369" s="6" t="e">
        <v>#N/A</v>
      </c>
      <c r="J369" s="6" t="e">
        <v>#N/A</v>
      </c>
      <c r="K369" s="11" t="s">
        <v>1921</v>
      </c>
      <c r="L369" s="11" t="s">
        <v>52</v>
      </c>
      <c r="M369" s="6" t="str">
        <f t="shared" si="4"/>
        <v>#REF!</v>
      </c>
      <c r="N369" s="6" t="str">
        <f>VLOOKUP(A369, Sheet2!A:M, 3, FALSE)</f>
        <v>#N/A</v>
      </c>
      <c r="O369" s="10" t="e">
        <v>#N/A</v>
      </c>
      <c r="P369" s="10" t="e">
        <v>#N/A</v>
      </c>
    </row>
    <row r="370">
      <c r="A370" s="6" t="s">
        <v>1928</v>
      </c>
      <c r="B370" s="6" t="s">
        <v>1928</v>
      </c>
      <c r="C370" s="6" t="e">
        <v>#N/A</v>
      </c>
      <c r="D370" s="6" t="e">
        <v>#N/A</v>
      </c>
      <c r="E370" s="6" t="e">
        <v>#N/A</v>
      </c>
      <c r="F370" s="6" t="e">
        <v>#N/A</v>
      </c>
      <c r="G370" s="6">
        <v>0.0</v>
      </c>
      <c r="H370" s="7" t="e">
        <v>#N/A</v>
      </c>
      <c r="I370" s="6" t="e">
        <v>#N/A</v>
      </c>
      <c r="J370" s="6" t="e">
        <v>#N/A</v>
      </c>
      <c r="K370" s="11" t="s">
        <v>1921</v>
      </c>
      <c r="L370" s="11" t="s">
        <v>52</v>
      </c>
      <c r="M370" s="6" t="str">
        <f t="shared" si="4"/>
        <v>#REF!</v>
      </c>
      <c r="N370" s="6" t="str">
        <f>VLOOKUP(A370, Sheet2!A:M, 3, FALSE)</f>
        <v>#N/A</v>
      </c>
      <c r="O370" s="10" t="e">
        <v>#N/A</v>
      </c>
      <c r="P370" s="10" t="e">
        <v>#N/A</v>
      </c>
    </row>
    <row r="371">
      <c r="A371" s="6" t="s">
        <v>1929</v>
      </c>
      <c r="B371" s="6" t="s">
        <v>1929</v>
      </c>
      <c r="C371" s="6" t="e">
        <v>#N/A</v>
      </c>
      <c r="D371" s="6" t="e">
        <v>#N/A</v>
      </c>
      <c r="E371" s="6" t="e">
        <v>#N/A</v>
      </c>
      <c r="F371" s="6" t="e">
        <v>#N/A</v>
      </c>
      <c r="G371" s="6">
        <v>0.0</v>
      </c>
      <c r="H371" s="7" t="e">
        <v>#N/A</v>
      </c>
      <c r="I371" s="6" t="e">
        <v>#N/A</v>
      </c>
      <c r="J371" s="6" t="e">
        <v>#N/A</v>
      </c>
      <c r="K371" s="11" t="s">
        <v>1921</v>
      </c>
      <c r="L371" s="11" t="s">
        <v>52</v>
      </c>
      <c r="M371" s="6" t="str">
        <f t="shared" si="4"/>
        <v>#REF!</v>
      </c>
      <c r="N371" s="6" t="str">
        <f>VLOOKUP(A371, Sheet2!A:M, 3, FALSE)</f>
        <v>#N/A</v>
      </c>
      <c r="O371" s="10" t="e">
        <v>#N/A</v>
      </c>
      <c r="P371" s="10" t="e">
        <v>#N/A</v>
      </c>
    </row>
    <row r="372">
      <c r="A372" s="6" t="s">
        <v>1930</v>
      </c>
      <c r="B372" s="6" t="s">
        <v>1930</v>
      </c>
      <c r="C372" s="6" t="e">
        <v>#N/A</v>
      </c>
      <c r="D372" s="6" t="e">
        <v>#N/A</v>
      </c>
      <c r="E372" s="6" t="e">
        <v>#N/A</v>
      </c>
      <c r="F372" s="6" t="e">
        <v>#N/A</v>
      </c>
      <c r="G372" s="6">
        <v>0.0</v>
      </c>
      <c r="H372" s="7" t="e">
        <v>#N/A</v>
      </c>
      <c r="I372" s="6" t="e">
        <v>#N/A</v>
      </c>
      <c r="J372" s="6" t="e">
        <v>#N/A</v>
      </c>
      <c r="K372" s="11" t="s">
        <v>1921</v>
      </c>
      <c r="L372" s="11" t="s">
        <v>52</v>
      </c>
      <c r="M372" s="6" t="str">
        <f t="shared" si="4"/>
        <v>#REF!</v>
      </c>
      <c r="N372" s="6" t="str">
        <f>VLOOKUP(A372, Sheet2!A:M, 3, FALSE)</f>
        <v>#N/A</v>
      </c>
      <c r="O372" s="10" t="e">
        <v>#N/A</v>
      </c>
      <c r="P372" s="10" t="e">
        <v>#N/A</v>
      </c>
    </row>
    <row r="373">
      <c r="A373" s="6" t="s">
        <v>1931</v>
      </c>
      <c r="B373" s="6" t="s">
        <v>1931</v>
      </c>
      <c r="C373" s="6" t="e">
        <v>#N/A</v>
      </c>
      <c r="D373" s="6" t="e">
        <v>#N/A</v>
      </c>
      <c r="E373" s="6" t="e">
        <v>#N/A</v>
      </c>
      <c r="F373" s="6" t="e">
        <v>#N/A</v>
      </c>
      <c r="G373" s="6">
        <v>0.0</v>
      </c>
      <c r="H373" s="7" t="e">
        <v>#N/A</v>
      </c>
      <c r="I373" s="6" t="e">
        <v>#N/A</v>
      </c>
      <c r="J373" s="6" t="e">
        <v>#N/A</v>
      </c>
      <c r="K373" s="11" t="s">
        <v>1921</v>
      </c>
      <c r="L373" s="11" t="s">
        <v>52</v>
      </c>
      <c r="M373" s="6" t="str">
        <f t="shared" si="4"/>
        <v>#REF!</v>
      </c>
      <c r="N373" s="6" t="str">
        <f>VLOOKUP(A373, Sheet2!A:M, 3, FALSE)</f>
        <v>#N/A</v>
      </c>
      <c r="O373" s="10" t="e">
        <v>#N/A</v>
      </c>
      <c r="P373" s="10" t="e">
        <v>#N/A</v>
      </c>
    </row>
    <row r="374">
      <c r="A374" s="6" t="s">
        <v>1932</v>
      </c>
      <c r="B374" s="6" t="s">
        <v>1932</v>
      </c>
      <c r="C374" s="6" t="e">
        <v>#N/A</v>
      </c>
      <c r="D374" s="6" t="e">
        <v>#N/A</v>
      </c>
      <c r="E374" s="6" t="e">
        <v>#N/A</v>
      </c>
      <c r="F374" s="6" t="e">
        <v>#N/A</v>
      </c>
      <c r="G374" s="6">
        <v>0.0</v>
      </c>
      <c r="H374" s="7" t="e">
        <v>#N/A</v>
      </c>
      <c r="I374" s="6" t="e">
        <v>#N/A</v>
      </c>
      <c r="J374" s="6" t="e">
        <v>#N/A</v>
      </c>
      <c r="K374" s="11" t="s">
        <v>1921</v>
      </c>
      <c r="L374" s="11" t="s">
        <v>52</v>
      </c>
      <c r="M374" s="6" t="str">
        <f t="shared" si="4"/>
        <v>#REF!</v>
      </c>
      <c r="N374" s="6" t="str">
        <f>VLOOKUP(A374, Sheet2!A:M, 3, FALSE)</f>
        <v>#N/A</v>
      </c>
      <c r="O374" s="10" t="e">
        <v>#N/A</v>
      </c>
      <c r="P374" s="10" t="e">
        <v>#N/A</v>
      </c>
    </row>
    <row r="375">
      <c r="A375" s="6" t="s">
        <v>1933</v>
      </c>
      <c r="B375" s="6" t="s">
        <v>1933</v>
      </c>
      <c r="C375" s="6" t="e">
        <v>#N/A</v>
      </c>
      <c r="D375" s="6" t="e">
        <v>#N/A</v>
      </c>
      <c r="E375" s="6" t="e">
        <v>#N/A</v>
      </c>
      <c r="F375" s="6" t="e">
        <v>#N/A</v>
      </c>
      <c r="G375" s="6">
        <v>0.0</v>
      </c>
      <c r="H375" s="7" t="e">
        <v>#N/A</v>
      </c>
      <c r="I375" s="6" t="e">
        <v>#N/A</v>
      </c>
      <c r="J375" s="6" t="e">
        <v>#N/A</v>
      </c>
      <c r="K375" s="11" t="s">
        <v>1921</v>
      </c>
      <c r="L375" s="11" t="s">
        <v>52</v>
      </c>
      <c r="M375" s="6" t="str">
        <f t="shared" si="4"/>
        <v>#REF!</v>
      </c>
      <c r="N375" s="6" t="str">
        <f>VLOOKUP(A375, Sheet2!A:M, 3, FALSE)</f>
        <v>#N/A</v>
      </c>
      <c r="O375" s="10" t="e">
        <v>#N/A</v>
      </c>
      <c r="P375" s="10" t="e">
        <v>#N/A</v>
      </c>
    </row>
    <row r="376">
      <c r="A376" s="6" t="s">
        <v>1934</v>
      </c>
      <c r="B376" s="6" t="s">
        <v>1934</v>
      </c>
      <c r="C376" s="6" t="e">
        <v>#N/A</v>
      </c>
      <c r="D376" s="6" t="e">
        <v>#N/A</v>
      </c>
      <c r="E376" s="6" t="e">
        <v>#N/A</v>
      </c>
      <c r="F376" s="6" t="e">
        <v>#N/A</v>
      </c>
      <c r="G376" s="6">
        <v>0.0</v>
      </c>
      <c r="H376" s="7" t="e">
        <v>#N/A</v>
      </c>
      <c r="I376" s="6" t="e">
        <v>#N/A</v>
      </c>
      <c r="J376" s="6" t="e">
        <v>#N/A</v>
      </c>
      <c r="K376" s="11" t="s">
        <v>1921</v>
      </c>
      <c r="L376" s="11" t="s">
        <v>52</v>
      </c>
      <c r="M376" s="6" t="str">
        <f t="shared" si="4"/>
        <v>#REF!</v>
      </c>
      <c r="N376" s="6" t="str">
        <f>VLOOKUP(A376, Sheet2!A:M, 3, FALSE)</f>
        <v>#N/A</v>
      </c>
      <c r="O376" s="10" t="e">
        <v>#N/A</v>
      </c>
      <c r="P376" s="10" t="e">
        <v>#N/A</v>
      </c>
    </row>
    <row r="377">
      <c r="A377" s="6" t="s">
        <v>1935</v>
      </c>
      <c r="B377" s="6" t="s">
        <v>1935</v>
      </c>
      <c r="C377" s="6" t="e">
        <v>#N/A</v>
      </c>
      <c r="D377" s="6" t="e">
        <v>#N/A</v>
      </c>
      <c r="E377" s="6" t="e">
        <v>#N/A</v>
      </c>
      <c r="F377" s="6" t="e">
        <v>#N/A</v>
      </c>
      <c r="G377" s="6">
        <v>0.0</v>
      </c>
      <c r="H377" s="7" t="e">
        <v>#N/A</v>
      </c>
      <c r="I377" s="6" t="e">
        <v>#N/A</v>
      </c>
      <c r="J377" s="6" t="e">
        <v>#N/A</v>
      </c>
      <c r="K377" s="11" t="s">
        <v>1921</v>
      </c>
      <c r="L377" s="11" t="s">
        <v>52</v>
      </c>
      <c r="M377" s="6" t="str">
        <f t="shared" si="4"/>
        <v>#REF!</v>
      </c>
      <c r="N377" s="6" t="str">
        <f>VLOOKUP(A377, Sheet2!A:M, 3, FALSE)</f>
        <v>#N/A</v>
      </c>
      <c r="O377" s="10" t="e">
        <v>#N/A</v>
      </c>
      <c r="P377" s="10" t="e">
        <v>#N/A</v>
      </c>
    </row>
    <row r="378">
      <c r="A378" s="6" t="s">
        <v>1936</v>
      </c>
      <c r="B378" s="6" t="s">
        <v>1936</v>
      </c>
      <c r="C378" s="6" t="e">
        <v>#N/A</v>
      </c>
      <c r="D378" s="6" t="e">
        <v>#N/A</v>
      </c>
      <c r="E378" s="6" t="e">
        <v>#N/A</v>
      </c>
      <c r="F378" s="6" t="e">
        <v>#N/A</v>
      </c>
      <c r="G378" s="6">
        <v>0.0</v>
      </c>
      <c r="H378" s="7" t="e">
        <v>#N/A</v>
      </c>
      <c r="I378" s="6" t="e">
        <v>#N/A</v>
      </c>
      <c r="J378" s="6" t="e">
        <v>#N/A</v>
      </c>
      <c r="K378" s="11" t="s">
        <v>1921</v>
      </c>
      <c r="L378" s="11" t="s">
        <v>52</v>
      </c>
      <c r="M378" s="6" t="str">
        <f t="shared" si="4"/>
        <v>#REF!</v>
      </c>
      <c r="N378" s="6" t="str">
        <f>VLOOKUP(A378, Sheet2!A:M, 3, FALSE)</f>
        <v>#N/A</v>
      </c>
      <c r="O378" s="10" t="e">
        <v>#N/A</v>
      </c>
      <c r="P378" s="10" t="e">
        <v>#N/A</v>
      </c>
    </row>
    <row r="379">
      <c r="A379" s="6" t="s">
        <v>1937</v>
      </c>
      <c r="B379" s="6" t="s">
        <v>1937</v>
      </c>
      <c r="C379" s="6" t="e">
        <v>#N/A</v>
      </c>
      <c r="D379" s="6" t="e">
        <v>#N/A</v>
      </c>
      <c r="E379" s="6" t="e">
        <v>#N/A</v>
      </c>
      <c r="F379" s="6" t="e">
        <v>#N/A</v>
      </c>
      <c r="G379" s="6">
        <v>0.0</v>
      </c>
      <c r="H379" s="7" t="e">
        <v>#N/A</v>
      </c>
      <c r="I379" s="6" t="e">
        <v>#N/A</v>
      </c>
      <c r="J379" s="6" t="e">
        <v>#N/A</v>
      </c>
      <c r="K379" s="11" t="s">
        <v>1921</v>
      </c>
      <c r="L379" s="11" t="s">
        <v>52</v>
      </c>
      <c r="M379" s="6" t="str">
        <f t="shared" si="4"/>
        <v>#REF!</v>
      </c>
      <c r="N379" s="6" t="str">
        <f>VLOOKUP(A379, Sheet2!A:M, 3, FALSE)</f>
        <v>#N/A</v>
      </c>
      <c r="O379" s="10" t="e">
        <v>#N/A</v>
      </c>
      <c r="P379" s="10" t="e">
        <v>#N/A</v>
      </c>
    </row>
    <row r="380">
      <c r="A380" s="6" t="s">
        <v>1938</v>
      </c>
      <c r="B380" s="6" t="s">
        <v>1938</v>
      </c>
      <c r="C380" s="6" t="e">
        <v>#N/A</v>
      </c>
      <c r="D380" s="6" t="e">
        <v>#N/A</v>
      </c>
      <c r="E380" s="6" t="e">
        <v>#N/A</v>
      </c>
      <c r="F380" s="6" t="e">
        <v>#N/A</v>
      </c>
      <c r="G380" s="6">
        <v>0.0</v>
      </c>
      <c r="H380" s="7" t="e">
        <v>#N/A</v>
      </c>
      <c r="I380" s="6" t="e">
        <v>#N/A</v>
      </c>
      <c r="J380" s="6" t="e">
        <v>#N/A</v>
      </c>
      <c r="K380" s="11" t="s">
        <v>1921</v>
      </c>
      <c r="L380" s="11" t="s">
        <v>52</v>
      </c>
      <c r="M380" s="6" t="str">
        <f t="shared" si="4"/>
        <v>#REF!</v>
      </c>
      <c r="N380" s="6" t="str">
        <f>VLOOKUP(A380, Sheet2!A:M, 3, FALSE)</f>
        <v>#N/A</v>
      </c>
      <c r="O380" s="10" t="e">
        <v>#N/A</v>
      </c>
      <c r="P380" s="10" t="e">
        <v>#N/A</v>
      </c>
    </row>
    <row r="381">
      <c r="A381" s="6" t="s">
        <v>1939</v>
      </c>
      <c r="B381" s="6" t="s">
        <v>1939</v>
      </c>
      <c r="C381" s="6" t="e">
        <v>#N/A</v>
      </c>
      <c r="D381" s="6" t="e">
        <v>#N/A</v>
      </c>
      <c r="E381" s="6" t="e">
        <v>#N/A</v>
      </c>
      <c r="F381" s="6" t="e">
        <v>#N/A</v>
      </c>
      <c r="G381" s="6">
        <v>0.0</v>
      </c>
      <c r="H381" s="7" t="e">
        <v>#N/A</v>
      </c>
      <c r="I381" s="6" t="e">
        <v>#N/A</v>
      </c>
      <c r="J381" s="6" t="e">
        <v>#N/A</v>
      </c>
      <c r="K381" s="11" t="s">
        <v>1921</v>
      </c>
      <c r="L381" s="11" t="s">
        <v>52</v>
      </c>
      <c r="M381" s="6" t="str">
        <f t="shared" si="4"/>
        <v>#REF!</v>
      </c>
      <c r="N381" s="6" t="str">
        <f>VLOOKUP(A381, Sheet2!A:M, 3, FALSE)</f>
        <v>#N/A</v>
      </c>
      <c r="O381" s="10" t="e">
        <v>#N/A</v>
      </c>
      <c r="P381" s="10" t="e">
        <v>#N/A</v>
      </c>
    </row>
    <row r="382">
      <c r="A382" s="6" t="s">
        <v>1940</v>
      </c>
      <c r="B382" s="6" t="s">
        <v>1940</v>
      </c>
      <c r="C382" s="6" t="e">
        <v>#N/A</v>
      </c>
      <c r="D382" s="6" t="e">
        <v>#N/A</v>
      </c>
      <c r="E382" s="6" t="e">
        <v>#N/A</v>
      </c>
      <c r="F382" s="6" t="e">
        <v>#N/A</v>
      </c>
      <c r="G382" s="6">
        <v>0.0</v>
      </c>
      <c r="H382" s="7" t="e">
        <v>#N/A</v>
      </c>
      <c r="I382" s="6" t="e">
        <v>#N/A</v>
      </c>
      <c r="J382" s="6" t="e">
        <v>#N/A</v>
      </c>
      <c r="K382" s="11" t="s">
        <v>1921</v>
      </c>
      <c r="L382" s="11" t="s">
        <v>52</v>
      </c>
      <c r="M382" s="6" t="str">
        <f t="shared" si="4"/>
        <v>#REF!</v>
      </c>
      <c r="N382" s="6" t="str">
        <f>VLOOKUP(A382, Sheet2!A:M, 3, FALSE)</f>
        <v>#N/A</v>
      </c>
      <c r="O382" s="10" t="e">
        <v>#N/A</v>
      </c>
      <c r="P382" s="10" t="e">
        <v>#N/A</v>
      </c>
    </row>
    <row r="383">
      <c r="A383" s="6" t="s">
        <v>1941</v>
      </c>
      <c r="B383" s="6" t="s">
        <v>1941</v>
      </c>
      <c r="C383" s="6" t="e">
        <v>#N/A</v>
      </c>
      <c r="D383" s="6" t="e">
        <v>#N/A</v>
      </c>
      <c r="E383" s="6" t="e">
        <v>#N/A</v>
      </c>
      <c r="F383" s="6" t="e">
        <v>#N/A</v>
      </c>
      <c r="G383" s="6">
        <v>0.0</v>
      </c>
      <c r="H383" s="7" t="e">
        <v>#N/A</v>
      </c>
      <c r="I383" s="6" t="e">
        <v>#N/A</v>
      </c>
      <c r="J383" s="6" t="e">
        <v>#N/A</v>
      </c>
      <c r="K383" s="11" t="s">
        <v>1921</v>
      </c>
      <c r="L383" s="11" t="s">
        <v>52</v>
      </c>
      <c r="M383" s="6" t="str">
        <f t="shared" si="4"/>
        <v>#REF!</v>
      </c>
      <c r="N383" s="6" t="str">
        <f>VLOOKUP(A383, Sheet2!A:M, 3, FALSE)</f>
        <v>#N/A</v>
      </c>
      <c r="O383" s="10" t="e">
        <v>#N/A</v>
      </c>
      <c r="P383" s="10" t="e">
        <v>#N/A</v>
      </c>
    </row>
    <row r="384">
      <c r="A384" s="6" t="s">
        <v>1942</v>
      </c>
      <c r="B384" s="6" t="s">
        <v>1942</v>
      </c>
      <c r="C384" s="6" t="e">
        <v>#N/A</v>
      </c>
      <c r="D384" s="6" t="e">
        <v>#N/A</v>
      </c>
      <c r="E384" s="6" t="e">
        <v>#N/A</v>
      </c>
      <c r="F384" s="6" t="e">
        <v>#N/A</v>
      </c>
      <c r="G384" s="6">
        <v>0.0</v>
      </c>
      <c r="H384" s="7" t="e">
        <v>#N/A</v>
      </c>
      <c r="I384" s="6" t="e">
        <v>#N/A</v>
      </c>
      <c r="J384" s="6" t="e">
        <v>#N/A</v>
      </c>
      <c r="K384" s="11" t="s">
        <v>1921</v>
      </c>
      <c r="L384" s="11" t="s">
        <v>52</v>
      </c>
      <c r="M384" s="6" t="str">
        <f t="shared" si="4"/>
        <v>#REF!</v>
      </c>
      <c r="N384" s="6" t="str">
        <f>VLOOKUP(A384, Sheet2!A:M, 3, FALSE)</f>
        <v>#N/A</v>
      </c>
      <c r="O384" s="10" t="e">
        <v>#N/A</v>
      </c>
      <c r="P384" s="10" t="e">
        <v>#N/A</v>
      </c>
    </row>
    <row r="385">
      <c r="A385" s="6" t="s">
        <v>1943</v>
      </c>
      <c r="B385" s="6" t="s">
        <v>1943</v>
      </c>
      <c r="C385" s="6" t="e">
        <v>#N/A</v>
      </c>
      <c r="D385" s="6" t="e">
        <v>#N/A</v>
      </c>
      <c r="E385" s="6" t="e">
        <v>#N/A</v>
      </c>
      <c r="F385" s="6" t="e">
        <v>#N/A</v>
      </c>
      <c r="G385" s="6">
        <v>0.0</v>
      </c>
      <c r="H385" s="7" t="e">
        <v>#N/A</v>
      </c>
      <c r="I385" s="6" t="e">
        <v>#N/A</v>
      </c>
      <c r="J385" s="6" t="e">
        <v>#N/A</v>
      </c>
      <c r="K385" s="11" t="s">
        <v>1921</v>
      </c>
      <c r="L385" s="11" t="s">
        <v>52</v>
      </c>
      <c r="M385" s="6" t="str">
        <f t="shared" si="4"/>
        <v>#REF!</v>
      </c>
      <c r="N385" s="6" t="str">
        <f>VLOOKUP(A385, Sheet2!A:M, 3, FALSE)</f>
        <v>#N/A</v>
      </c>
      <c r="O385" s="10" t="e">
        <v>#N/A</v>
      </c>
      <c r="P385" s="10" t="e">
        <v>#N/A</v>
      </c>
    </row>
    <row r="386">
      <c r="A386" s="6" t="s">
        <v>1944</v>
      </c>
      <c r="B386" s="6" t="s">
        <v>1944</v>
      </c>
      <c r="C386" s="6" t="e">
        <v>#N/A</v>
      </c>
      <c r="D386" s="6" t="e">
        <v>#N/A</v>
      </c>
      <c r="E386" s="6" t="e">
        <v>#N/A</v>
      </c>
      <c r="F386" s="6" t="e">
        <v>#N/A</v>
      </c>
      <c r="G386" s="6">
        <v>0.0</v>
      </c>
      <c r="H386" s="7" t="e">
        <v>#N/A</v>
      </c>
      <c r="I386" s="6" t="e">
        <v>#N/A</v>
      </c>
      <c r="J386" s="6" t="e">
        <v>#N/A</v>
      </c>
      <c r="K386" s="11" t="s">
        <v>1921</v>
      </c>
      <c r="L386" s="11" t="s">
        <v>52</v>
      </c>
      <c r="M386" s="6" t="str">
        <f t="shared" si="4"/>
        <v>#REF!</v>
      </c>
      <c r="N386" s="6" t="str">
        <f>VLOOKUP(A386, Sheet2!A:M, 3, FALSE)</f>
        <v>#N/A</v>
      </c>
      <c r="O386" s="10" t="e">
        <v>#N/A</v>
      </c>
      <c r="P386" s="10" t="e">
        <v>#N/A</v>
      </c>
    </row>
    <row r="387">
      <c r="A387" s="6" t="s">
        <v>1945</v>
      </c>
      <c r="B387" s="6" t="s">
        <v>1945</v>
      </c>
      <c r="C387" s="6" t="e">
        <v>#N/A</v>
      </c>
      <c r="D387" s="6" t="e">
        <v>#N/A</v>
      </c>
      <c r="E387" s="6" t="e">
        <v>#N/A</v>
      </c>
      <c r="F387" s="6" t="e">
        <v>#N/A</v>
      </c>
      <c r="G387" s="6">
        <v>0.0</v>
      </c>
      <c r="H387" s="7" t="e">
        <v>#N/A</v>
      </c>
      <c r="I387" s="6" t="e">
        <v>#N/A</v>
      </c>
      <c r="J387" s="6" t="e">
        <v>#N/A</v>
      </c>
      <c r="K387" s="11" t="s">
        <v>1921</v>
      </c>
      <c r="L387" s="11" t="s">
        <v>52</v>
      </c>
      <c r="M387" s="6" t="str">
        <f t="shared" si="4"/>
        <v>#REF!</v>
      </c>
      <c r="N387" s="6" t="str">
        <f>VLOOKUP(A387, Sheet2!A:M, 3, FALSE)</f>
        <v>#N/A</v>
      </c>
      <c r="O387" s="10" t="e">
        <v>#N/A</v>
      </c>
      <c r="P387" s="10" t="e">
        <v>#N/A</v>
      </c>
    </row>
    <row r="388">
      <c r="A388" s="6" t="s">
        <v>1946</v>
      </c>
      <c r="B388" s="6" t="s">
        <v>1946</v>
      </c>
      <c r="C388" s="6" t="e">
        <v>#N/A</v>
      </c>
      <c r="D388" s="6" t="e">
        <v>#N/A</v>
      </c>
      <c r="E388" s="6" t="e">
        <v>#N/A</v>
      </c>
      <c r="F388" s="6" t="e">
        <v>#N/A</v>
      </c>
      <c r="G388" s="6">
        <v>0.0</v>
      </c>
      <c r="H388" s="7" t="e">
        <v>#N/A</v>
      </c>
      <c r="I388" s="6" t="e">
        <v>#N/A</v>
      </c>
      <c r="J388" s="6" t="e">
        <v>#N/A</v>
      </c>
      <c r="K388" s="11" t="s">
        <v>1921</v>
      </c>
      <c r="L388" s="11" t="s">
        <v>52</v>
      </c>
      <c r="M388" s="6" t="str">
        <f t="shared" si="4"/>
        <v>#REF!</v>
      </c>
      <c r="N388" s="6" t="str">
        <f>VLOOKUP(A388, Sheet2!A:M, 3, FALSE)</f>
        <v>#N/A</v>
      </c>
      <c r="O388" s="10" t="e">
        <v>#N/A</v>
      </c>
      <c r="P388" s="10" t="e">
        <v>#N/A</v>
      </c>
    </row>
    <row r="389">
      <c r="A389" s="6" t="s">
        <v>1947</v>
      </c>
      <c r="B389" s="6" t="s">
        <v>1947</v>
      </c>
      <c r="C389" s="6" t="e">
        <v>#N/A</v>
      </c>
      <c r="D389" s="6" t="e">
        <v>#N/A</v>
      </c>
      <c r="E389" s="6" t="e">
        <v>#N/A</v>
      </c>
      <c r="F389" s="6" t="e">
        <v>#N/A</v>
      </c>
      <c r="G389" s="6">
        <v>0.0</v>
      </c>
      <c r="H389" s="7" t="e">
        <v>#N/A</v>
      </c>
      <c r="I389" s="6" t="e">
        <v>#N/A</v>
      </c>
      <c r="J389" s="6" t="e">
        <v>#N/A</v>
      </c>
      <c r="K389" s="11" t="s">
        <v>1921</v>
      </c>
      <c r="L389" s="11" t="s">
        <v>52</v>
      </c>
      <c r="M389" s="6" t="str">
        <f t="shared" si="4"/>
        <v>#REF!</v>
      </c>
      <c r="N389" s="6" t="str">
        <f>VLOOKUP(A389, Sheet2!A:M, 3, FALSE)</f>
        <v>#N/A</v>
      </c>
      <c r="O389" s="10" t="e">
        <v>#N/A</v>
      </c>
      <c r="P389" s="10" t="e">
        <v>#N/A</v>
      </c>
    </row>
    <row r="390">
      <c r="A390" s="6" t="s">
        <v>1948</v>
      </c>
      <c r="B390" s="6" t="s">
        <v>1948</v>
      </c>
      <c r="C390" s="6" t="e">
        <v>#N/A</v>
      </c>
      <c r="D390" s="6" t="e">
        <v>#N/A</v>
      </c>
      <c r="E390" s="6" t="e">
        <v>#N/A</v>
      </c>
      <c r="F390" s="6" t="e">
        <v>#N/A</v>
      </c>
      <c r="G390" s="6">
        <v>0.0</v>
      </c>
      <c r="H390" s="7" t="e">
        <v>#N/A</v>
      </c>
      <c r="I390" s="6" t="e">
        <v>#N/A</v>
      </c>
      <c r="J390" s="6" t="e">
        <v>#N/A</v>
      </c>
      <c r="K390" s="11" t="s">
        <v>1921</v>
      </c>
      <c r="L390" s="11" t="s">
        <v>52</v>
      </c>
      <c r="M390" s="6" t="str">
        <f t="shared" si="4"/>
        <v>#REF!</v>
      </c>
      <c r="N390" s="6" t="str">
        <f>VLOOKUP(A390, Sheet2!A:M, 3, FALSE)</f>
        <v>#N/A</v>
      </c>
      <c r="O390" s="10" t="e">
        <v>#N/A</v>
      </c>
      <c r="P390" s="10" t="e">
        <v>#N/A</v>
      </c>
    </row>
    <row r="391">
      <c r="A391" s="6" t="s">
        <v>1949</v>
      </c>
      <c r="B391" s="6" t="s">
        <v>1949</v>
      </c>
      <c r="C391" s="6" t="e">
        <v>#N/A</v>
      </c>
      <c r="D391" s="6" t="e">
        <v>#N/A</v>
      </c>
      <c r="E391" s="6" t="e">
        <v>#N/A</v>
      </c>
      <c r="F391" s="6" t="e">
        <v>#N/A</v>
      </c>
      <c r="G391" s="6">
        <v>0.0</v>
      </c>
      <c r="H391" s="7" t="e">
        <v>#N/A</v>
      </c>
      <c r="I391" s="6" t="e">
        <v>#N/A</v>
      </c>
      <c r="J391" s="6" t="e">
        <v>#N/A</v>
      </c>
      <c r="K391" s="11" t="s">
        <v>1921</v>
      </c>
      <c r="L391" s="11" t="s">
        <v>52</v>
      </c>
      <c r="M391" s="6" t="str">
        <f t="shared" si="4"/>
        <v>#REF!</v>
      </c>
      <c r="N391" s="6" t="str">
        <f>VLOOKUP(A391, Sheet2!A:M, 3, FALSE)</f>
        <v>#N/A</v>
      </c>
      <c r="O391" s="10" t="e">
        <v>#N/A</v>
      </c>
      <c r="P391" s="10" t="e">
        <v>#N/A</v>
      </c>
    </row>
    <row r="392">
      <c r="A392" s="6" t="s">
        <v>1950</v>
      </c>
      <c r="B392" s="6" t="s">
        <v>1950</v>
      </c>
      <c r="C392" s="6" t="e">
        <v>#N/A</v>
      </c>
      <c r="D392" s="6" t="e">
        <v>#N/A</v>
      </c>
      <c r="E392" s="6" t="e">
        <v>#N/A</v>
      </c>
      <c r="F392" s="6" t="e">
        <v>#N/A</v>
      </c>
      <c r="G392" s="6">
        <v>0.0</v>
      </c>
      <c r="H392" s="7" t="e">
        <v>#N/A</v>
      </c>
      <c r="I392" s="6" t="e">
        <v>#N/A</v>
      </c>
      <c r="J392" s="6" t="e">
        <v>#N/A</v>
      </c>
      <c r="K392" s="11" t="s">
        <v>1921</v>
      </c>
      <c r="L392" s="11" t="s">
        <v>52</v>
      </c>
      <c r="M392" s="6" t="str">
        <f t="shared" si="4"/>
        <v>#REF!</v>
      </c>
      <c r="N392" s="6" t="str">
        <f>VLOOKUP(A392, Sheet2!A:M, 3, FALSE)</f>
        <v>#N/A</v>
      </c>
      <c r="O392" s="10" t="e">
        <v>#N/A</v>
      </c>
      <c r="P392" s="10" t="e">
        <v>#N/A</v>
      </c>
    </row>
    <row r="393">
      <c r="A393" s="6" t="s">
        <v>1951</v>
      </c>
      <c r="B393" s="6" t="s">
        <v>1951</v>
      </c>
      <c r="C393" s="6" t="e">
        <v>#N/A</v>
      </c>
      <c r="D393" s="6" t="e">
        <v>#N/A</v>
      </c>
      <c r="E393" s="6" t="e">
        <v>#N/A</v>
      </c>
      <c r="F393" s="6" t="e">
        <v>#N/A</v>
      </c>
      <c r="G393" s="6">
        <v>0.0</v>
      </c>
      <c r="H393" s="7" t="e">
        <v>#N/A</v>
      </c>
      <c r="I393" s="6" t="e">
        <v>#N/A</v>
      </c>
      <c r="J393" s="6" t="e">
        <v>#N/A</v>
      </c>
      <c r="K393" s="11" t="s">
        <v>1921</v>
      </c>
      <c r="L393" s="11" t="s">
        <v>52</v>
      </c>
      <c r="M393" s="6" t="str">
        <f t="shared" si="4"/>
        <v>#REF!</v>
      </c>
      <c r="N393" s="6" t="str">
        <f>VLOOKUP(A393, Sheet2!A:M, 3, FALSE)</f>
        <v>#N/A</v>
      </c>
      <c r="O393" s="10" t="e">
        <v>#N/A</v>
      </c>
      <c r="P393" s="10" t="e">
        <v>#N/A</v>
      </c>
    </row>
    <row r="394">
      <c r="A394" s="6" t="s">
        <v>1952</v>
      </c>
      <c r="B394" s="6" t="s">
        <v>1952</v>
      </c>
      <c r="C394" s="6" t="e">
        <v>#N/A</v>
      </c>
      <c r="D394" s="6" t="e">
        <v>#N/A</v>
      </c>
      <c r="E394" s="6" t="e">
        <v>#N/A</v>
      </c>
      <c r="F394" s="6" t="e">
        <v>#N/A</v>
      </c>
      <c r="G394" s="6">
        <v>0.0</v>
      </c>
      <c r="H394" s="7" t="e">
        <v>#N/A</v>
      </c>
      <c r="I394" s="6" t="e">
        <v>#N/A</v>
      </c>
      <c r="J394" s="6" t="e">
        <v>#N/A</v>
      </c>
      <c r="K394" s="11" t="s">
        <v>1921</v>
      </c>
      <c r="L394" s="11" t="s">
        <v>52</v>
      </c>
      <c r="M394" s="6" t="str">
        <f t="shared" si="4"/>
        <v>#REF!</v>
      </c>
      <c r="N394" s="6" t="str">
        <f>VLOOKUP(A394, Sheet2!A:M, 3, FALSE)</f>
        <v>#N/A</v>
      </c>
      <c r="O394" s="10" t="e">
        <v>#N/A</v>
      </c>
      <c r="P394" s="10" t="e">
        <v>#N/A</v>
      </c>
    </row>
    <row r="395">
      <c r="A395" s="6" t="s">
        <v>1953</v>
      </c>
      <c r="B395" s="6" t="s">
        <v>1953</v>
      </c>
      <c r="C395" s="6" t="e">
        <v>#N/A</v>
      </c>
      <c r="D395" s="6" t="e">
        <v>#N/A</v>
      </c>
      <c r="E395" s="6" t="e">
        <v>#N/A</v>
      </c>
      <c r="F395" s="6" t="e">
        <v>#N/A</v>
      </c>
      <c r="G395" s="6">
        <v>0.0</v>
      </c>
      <c r="H395" s="7" t="e">
        <v>#N/A</v>
      </c>
      <c r="I395" s="6" t="e">
        <v>#N/A</v>
      </c>
      <c r="J395" s="6" t="e">
        <v>#N/A</v>
      </c>
      <c r="K395" s="11" t="s">
        <v>1921</v>
      </c>
      <c r="L395" s="11" t="s">
        <v>52</v>
      </c>
      <c r="M395" s="6" t="str">
        <f t="shared" si="4"/>
        <v>#REF!</v>
      </c>
      <c r="N395" s="6" t="str">
        <f>VLOOKUP(A395, Sheet2!A:M, 3, FALSE)</f>
        <v>#N/A</v>
      </c>
      <c r="O395" s="10" t="e">
        <v>#N/A</v>
      </c>
      <c r="P395" s="10" t="e">
        <v>#N/A</v>
      </c>
    </row>
    <row r="396">
      <c r="A396" s="6" t="s">
        <v>1954</v>
      </c>
      <c r="B396" s="6" t="s">
        <v>1954</v>
      </c>
      <c r="C396" s="6" t="e">
        <v>#N/A</v>
      </c>
      <c r="D396" s="6" t="e">
        <v>#N/A</v>
      </c>
      <c r="E396" s="6" t="e">
        <v>#N/A</v>
      </c>
      <c r="F396" s="6" t="e">
        <v>#N/A</v>
      </c>
      <c r="G396" s="6">
        <v>0.0</v>
      </c>
      <c r="H396" s="7" t="e">
        <v>#N/A</v>
      </c>
      <c r="I396" s="6" t="e">
        <v>#N/A</v>
      </c>
      <c r="J396" s="6" t="e">
        <v>#N/A</v>
      </c>
      <c r="K396" s="11" t="s">
        <v>1921</v>
      </c>
      <c r="L396" s="11" t="s">
        <v>52</v>
      </c>
      <c r="M396" s="6" t="str">
        <f t="shared" si="4"/>
        <v>#REF!</v>
      </c>
      <c r="N396" s="6" t="str">
        <f>VLOOKUP(A396, Sheet2!A:M, 3, FALSE)</f>
        <v>#N/A</v>
      </c>
      <c r="O396" s="10" t="e">
        <v>#N/A</v>
      </c>
      <c r="P396" s="10" t="e">
        <v>#N/A</v>
      </c>
    </row>
    <row r="397">
      <c r="A397" s="6" t="s">
        <v>1955</v>
      </c>
      <c r="B397" s="6" t="s">
        <v>1955</v>
      </c>
      <c r="C397" s="6" t="e">
        <v>#N/A</v>
      </c>
      <c r="D397" s="6" t="e">
        <v>#N/A</v>
      </c>
      <c r="E397" s="6" t="e">
        <v>#N/A</v>
      </c>
      <c r="F397" s="6" t="e">
        <v>#N/A</v>
      </c>
      <c r="G397" s="6">
        <v>0.0</v>
      </c>
      <c r="H397" s="7" t="e">
        <v>#N/A</v>
      </c>
      <c r="I397" s="6" t="e">
        <v>#N/A</v>
      </c>
      <c r="J397" s="6" t="e">
        <v>#N/A</v>
      </c>
      <c r="K397" s="11" t="s">
        <v>1921</v>
      </c>
      <c r="L397" s="11" t="s">
        <v>52</v>
      </c>
      <c r="M397" s="6" t="str">
        <f t="shared" si="4"/>
        <v>#REF!</v>
      </c>
      <c r="N397" s="6" t="str">
        <f>VLOOKUP(A397, Sheet2!A:M, 3, FALSE)</f>
        <v>#N/A</v>
      </c>
      <c r="O397" s="10" t="e">
        <v>#N/A</v>
      </c>
      <c r="P397" s="10" t="e">
        <v>#N/A</v>
      </c>
    </row>
    <row r="398">
      <c r="A398" s="6" t="s">
        <v>1956</v>
      </c>
      <c r="B398" s="6" t="s">
        <v>1956</v>
      </c>
      <c r="C398" s="6" t="e">
        <v>#N/A</v>
      </c>
      <c r="D398" s="6" t="e">
        <v>#N/A</v>
      </c>
      <c r="E398" s="6" t="e">
        <v>#N/A</v>
      </c>
      <c r="F398" s="6" t="e">
        <v>#N/A</v>
      </c>
      <c r="G398" s="6">
        <v>0.0</v>
      </c>
      <c r="H398" s="7" t="e">
        <v>#N/A</v>
      </c>
      <c r="I398" s="6" t="e">
        <v>#N/A</v>
      </c>
      <c r="J398" s="6" t="e">
        <v>#N/A</v>
      </c>
      <c r="K398" s="11" t="s">
        <v>1921</v>
      </c>
      <c r="L398" s="11" t="s">
        <v>52</v>
      </c>
      <c r="M398" s="6" t="str">
        <f t="shared" si="4"/>
        <v>#REF!</v>
      </c>
      <c r="N398" s="6" t="str">
        <f>VLOOKUP(A398, Sheet2!A:M, 3, FALSE)</f>
        <v>#N/A</v>
      </c>
      <c r="O398" s="10" t="e">
        <v>#N/A</v>
      </c>
      <c r="P398" s="10" t="e">
        <v>#N/A</v>
      </c>
    </row>
    <row r="399">
      <c r="A399" s="6" t="s">
        <v>1957</v>
      </c>
      <c r="B399" s="6" t="s">
        <v>1957</v>
      </c>
      <c r="C399" s="6" t="e">
        <v>#N/A</v>
      </c>
      <c r="D399" s="6" t="e">
        <v>#N/A</v>
      </c>
      <c r="E399" s="6" t="e">
        <v>#N/A</v>
      </c>
      <c r="F399" s="6" t="e">
        <v>#N/A</v>
      </c>
      <c r="G399" s="6">
        <v>0.0</v>
      </c>
      <c r="H399" s="7" t="e">
        <v>#N/A</v>
      </c>
      <c r="I399" s="6" t="e">
        <v>#N/A</v>
      </c>
      <c r="J399" s="6" t="e">
        <v>#N/A</v>
      </c>
      <c r="K399" s="11" t="s">
        <v>1921</v>
      </c>
      <c r="L399" s="11" t="s">
        <v>52</v>
      </c>
      <c r="M399" s="6" t="str">
        <f t="shared" si="4"/>
        <v>#REF!</v>
      </c>
      <c r="N399" s="6" t="str">
        <f>VLOOKUP(A399, Sheet2!A:M, 3, FALSE)</f>
        <v>#N/A</v>
      </c>
      <c r="O399" s="10" t="e">
        <v>#N/A</v>
      </c>
      <c r="P399" s="10" t="e">
        <v>#N/A</v>
      </c>
    </row>
    <row r="400">
      <c r="A400" s="6" t="s">
        <v>1958</v>
      </c>
      <c r="B400" s="6" t="s">
        <v>1958</v>
      </c>
      <c r="C400" s="6" t="e">
        <v>#N/A</v>
      </c>
      <c r="D400" s="6" t="e">
        <v>#N/A</v>
      </c>
      <c r="E400" s="6" t="e">
        <v>#N/A</v>
      </c>
      <c r="F400" s="6" t="e">
        <v>#N/A</v>
      </c>
      <c r="G400" s="6">
        <v>0.0</v>
      </c>
      <c r="H400" s="7" t="e">
        <v>#N/A</v>
      </c>
      <c r="I400" s="6" t="e">
        <v>#N/A</v>
      </c>
      <c r="J400" s="6" t="e">
        <v>#N/A</v>
      </c>
      <c r="K400" s="11" t="s">
        <v>1921</v>
      </c>
      <c r="L400" s="11" t="s">
        <v>52</v>
      </c>
      <c r="M400" s="6" t="str">
        <f t="shared" si="4"/>
        <v>#REF!</v>
      </c>
      <c r="N400" s="6" t="str">
        <f>VLOOKUP(A400, Sheet2!A:M, 3, FALSE)</f>
        <v>#N/A</v>
      </c>
      <c r="O400" s="10" t="e">
        <v>#N/A</v>
      </c>
      <c r="P400" s="10" t="e">
        <v>#N/A</v>
      </c>
    </row>
    <row r="401">
      <c r="A401" s="6" t="s">
        <v>1959</v>
      </c>
      <c r="B401" s="6" t="s">
        <v>1959</v>
      </c>
      <c r="C401" s="6" t="e">
        <v>#N/A</v>
      </c>
      <c r="D401" s="6" t="e">
        <v>#N/A</v>
      </c>
      <c r="E401" s="6" t="e">
        <v>#N/A</v>
      </c>
      <c r="F401" s="6" t="e">
        <v>#N/A</v>
      </c>
      <c r="G401" s="6">
        <v>0.0</v>
      </c>
      <c r="H401" s="7" t="e">
        <v>#N/A</v>
      </c>
      <c r="I401" s="6" t="e">
        <v>#N/A</v>
      </c>
      <c r="J401" s="6" t="e">
        <v>#N/A</v>
      </c>
      <c r="K401" s="11" t="s">
        <v>1921</v>
      </c>
      <c r="L401" s="11" t="s">
        <v>52</v>
      </c>
      <c r="M401" s="6" t="str">
        <f t="shared" si="4"/>
        <v>#REF!</v>
      </c>
      <c r="N401" s="6" t="str">
        <f>VLOOKUP(A401, Sheet2!A:M, 3, FALSE)</f>
        <v>#N/A</v>
      </c>
      <c r="O401" s="10" t="e">
        <v>#N/A</v>
      </c>
      <c r="P401" s="10" t="e">
        <v>#N/A</v>
      </c>
    </row>
    <row r="402">
      <c r="A402" s="6" t="s">
        <v>1960</v>
      </c>
      <c r="B402" s="6" t="s">
        <v>1960</v>
      </c>
      <c r="C402" s="6" t="e">
        <v>#N/A</v>
      </c>
      <c r="D402" s="6" t="e">
        <v>#N/A</v>
      </c>
      <c r="E402" s="6" t="e">
        <v>#N/A</v>
      </c>
      <c r="F402" s="6" t="e">
        <v>#N/A</v>
      </c>
      <c r="G402" s="6">
        <v>0.0</v>
      </c>
      <c r="H402" s="7" t="e">
        <v>#N/A</v>
      </c>
      <c r="I402" s="6" t="e">
        <v>#N/A</v>
      </c>
      <c r="J402" s="6" t="e">
        <v>#N/A</v>
      </c>
      <c r="K402" s="11" t="s">
        <v>1921</v>
      </c>
      <c r="L402" s="11" t="s">
        <v>52</v>
      </c>
      <c r="M402" s="6" t="str">
        <f t="shared" si="4"/>
        <v>#REF!</v>
      </c>
      <c r="N402" s="6" t="str">
        <f>VLOOKUP(A402, Sheet2!A:M, 3, FALSE)</f>
        <v>#N/A</v>
      </c>
      <c r="O402" s="10" t="e">
        <v>#N/A</v>
      </c>
      <c r="P402" s="10" t="e">
        <v>#N/A</v>
      </c>
    </row>
    <row r="403">
      <c r="A403" s="6" t="s">
        <v>1961</v>
      </c>
      <c r="B403" s="6" t="s">
        <v>1961</v>
      </c>
      <c r="C403" s="6" t="e">
        <v>#N/A</v>
      </c>
      <c r="D403" s="6" t="e">
        <v>#N/A</v>
      </c>
      <c r="E403" s="6" t="e">
        <v>#N/A</v>
      </c>
      <c r="F403" s="6" t="e">
        <v>#N/A</v>
      </c>
      <c r="G403" s="6">
        <v>0.0</v>
      </c>
      <c r="H403" s="7" t="e">
        <v>#N/A</v>
      </c>
      <c r="I403" s="6" t="e">
        <v>#N/A</v>
      </c>
      <c r="J403" s="6" t="e">
        <v>#N/A</v>
      </c>
      <c r="K403" s="11" t="s">
        <v>1921</v>
      </c>
      <c r="L403" s="11" t="s">
        <v>52</v>
      </c>
      <c r="M403" s="6" t="str">
        <f t="shared" si="4"/>
        <v>#REF!</v>
      </c>
      <c r="N403" s="6" t="str">
        <f>VLOOKUP(A403, Sheet2!A:M, 3, FALSE)</f>
        <v>#N/A</v>
      </c>
      <c r="O403" s="10" t="e">
        <v>#N/A</v>
      </c>
      <c r="P403" s="10" t="e">
        <v>#N/A</v>
      </c>
    </row>
    <row r="404">
      <c r="A404" s="6" t="s">
        <v>1962</v>
      </c>
      <c r="B404" s="6" t="s">
        <v>1962</v>
      </c>
      <c r="C404" s="6" t="e">
        <v>#N/A</v>
      </c>
      <c r="D404" s="6" t="e">
        <v>#N/A</v>
      </c>
      <c r="E404" s="6" t="e">
        <v>#N/A</v>
      </c>
      <c r="F404" s="6" t="e">
        <v>#N/A</v>
      </c>
      <c r="G404" s="6">
        <v>0.0</v>
      </c>
      <c r="H404" s="7" t="e">
        <v>#N/A</v>
      </c>
      <c r="I404" s="6" t="e">
        <v>#N/A</v>
      </c>
      <c r="J404" s="6" t="e">
        <v>#N/A</v>
      </c>
      <c r="K404" s="11" t="s">
        <v>1921</v>
      </c>
      <c r="L404" s="11" t="s">
        <v>52</v>
      </c>
      <c r="M404" s="6" t="str">
        <f t="shared" si="4"/>
        <v>#REF!</v>
      </c>
      <c r="N404" s="6" t="str">
        <f>VLOOKUP(A404, Sheet2!A:M, 3, FALSE)</f>
        <v>#N/A</v>
      </c>
      <c r="O404" s="10" t="e">
        <v>#N/A</v>
      </c>
      <c r="P404" s="10" t="e">
        <v>#N/A</v>
      </c>
    </row>
    <row r="405">
      <c r="A405" s="6" t="s">
        <v>1963</v>
      </c>
      <c r="B405" s="6" t="s">
        <v>1963</v>
      </c>
      <c r="C405" s="6" t="e">
        <v>#N/A</v>
      </c>
      <c r="D405" s="6" t="e">
        <v>#N/A</v>
      </c>
      <c r="E405" s="6" t="e">
        <v>#N/A</v>
      </c>
      <c r="F405" s="6" t="e">
        <v>#N/A</v>
      </c>
      <c r="G405" s="6">
        <v>0.0</v>
      </c>
      <c r="H405" s="7" t="e">
        <v>#N/A</v>
      </c>
      <c r="I405" s="6" t="e">
        <v>#N/A</v>
      </c>
      <c r="J405" s="6" t="e">
        <v>#N/A</v>
      </c>
      <c r="K405" s="11" t="s">
        <v>1921</v>
      </c>
      <c r="L405" s="11" t="s">
        <v>52</v>
      </c>
      <c r="M405" s="6" t="str">
        <f t="shared" si="4"/>
        <v>#REF!</v>
      </c>
      <c r="N405" s="6" t="str">
        <f>VLOOKUP(A405, Sheet2!A:M, 3, FALSE)</f>
        <v>#N/A</v>
      </c>
      <c r="O405" s="10" t="e">
        <v>#N/A</v>
      </c>
      <c r="P405" s="10" t="e">
        <v>#N/A</v>
      </c>
    </row>
    <row r="406">
      <c r="A406" s="6" t="s">
        <v>1964</v>
      </c>
      <c r="B406" s="6" t="s">
        <v>1964</v>
      </c>
      <c r="C406" s="6" t="e">
        <v>#N/A</v>
      </c>
      <c r="D406" s="6" t="e">
        <v>#N/A</v>
      </c>
      <c r="E406" s="6" t="e">
        <v>#N/A</v>
      </c>
      <c r="F406" s="6" t="e">
        <v>#N/A</v>
      </c>
      <c r="G406" s="6">
        <v>0.0</v>
      </c>
      <c r="H406" s="7" t="e">
        <v>#N/A</v>
      </c>
      <c r="I406" s="6" t="e">
        <v>#N/A</v>
      </c>
      <c r="J406" s="6" t="e">
        <v>#N/A</v>
      </c>
      <c r="K406" s="11" t="s">
        <v>1921</v>
      </c>
      <c r="L406" s="11" t="s">
        <v>52</v>
      </c>
      <c r="M406" s="6" t="str">
        <f t="shared" si="4"/>
        <v>#REF!</v>
      </c>
      <c r="N406" s="6" t="str">
        <f>VLOOKUP(A406, Sheet2!A:M, 3, FALSE)</f>
        <v>#N/A</v>
      </c>
      <c r="O406" s="10" t="e">
        <v>#N/A</v>
      </c>
      <c r="P406" s="10" t="e">
        <v>#N/A</v>
      </c>
    </row>
    <row r="407">
      <c r="A407" s="6" t="s">
        <v>1965</v>
      </c>
      <c r="B407" s="6" t="s">
        <v>1965</v>
      </c>
      <c r="C407" s="6" t="e">
        <v>#N/A</v>
      </c>
      <c r="D407" s="6" t="e">
        <v>#N/A</v>
      </c>
      <c r="E407" s="6" t="e">
        <v>#N/A</v>
      </c>
      <c r="F407" s="6" t="e">
        <v>#N/A</v>
      </c>
      <c r="G407" s="6">
        <v>0.0</v>
      </c>
      <c r="H407" s="7" t="e">
        <v>#N/A</v>
      </c>
      <c r="I407" s="6" t="e">
        <v>#N/A</v>
      </c>
      <c r="J407" s="6" t="e">
        <v>#N/A</v>
      </c>
      <c r="K407" s="11" t="s">
        <v>1921</v>
      </c>
      <c r="L407" s="11" t="s">
        <v>52</v>
      </c>
      <c r="M407" s="6" t="str">
        <f t="shared" si="4"/>
        <v>#REF!</v>
      </c>
      <c r="N407" s="6" t="str">
        <f>VLOOKUP(A407, Sheet2!A:M, 3, FALSE)</f>
        <v>#N/A</v>
      </c>
      <c r="O407" s="10" t="e">
        <v>#N/A</v>
      </c>
      <c r="P407" s="10" t="e">
        <v>#N/A</v>
      </c>
    </row>
    <row r="408">
      <c r="A408" s="6" t="s">
        <v>1966</v>
      </c>
      <c r="B408" s="6" t="s">
        <v>1966</v>
      </c>
      <c r="C408" s="6" t="e">
        <v>#N/A</v>
      </c>
      <c r="D408" s="6" t="e">
        <v>#N/A</v>
      </c>
      <c r="E408" s="6" t="e">
        <v>#N/A</v>
      </c>
      <c r="F408" s="6" t="e">
        <v>#N/A</v>
      </c>
      <c r="G408" s="6">
        <v>0.0</v>
      </c>
      <c r="H408" s="7" t="e">
        <v>#N/A</v>
      </c>
      <c r="I408" s="6" t="e">
        <v>#N/A</v>
      </c>
      <c r="J408" s="6" t="e">
        <v>#N/A</v>
      </c>
      <c r="K408" s="11" t="s">
        <v>1921</v>
      </c>
      <c r="L408" s="11" t="s">
        <v>52</v>
      </c>
      <c r="M408" s="6" t="str">
        <f t="shared" si="4"/>
        <v>#REF!</v>
      </c>
      <c r="N408" s="6" t="str">
        <f>VLOOKUP(A408, Sheet2!A:M, 3, FALSE)</f>
        <v>#N/A</v>
      </c>
      <c r="O408" s="10" t="e">
        <v>#N/A</v>
      </c>
      <c r="P408" s="10" t="e">
        <v>#N/A</v>
      </c>
    </row>
    <row r="409">
      <c r="A409" s="6" t="s">
        <v>1967</v>
      </c>
      <c r="B409" s="6" t="s">
        <v>1967</v>
      </c>
      <c r="C409" s="6" t="e">
        <v>#N/A</v>
      </c>
      <c r="D409" s="6" t="e">
        <v>#N/A</v>
      </c>
      <c r="E409" s="6" t="e">
        <v>#N/A</v>
      </c>
      <c r="F409" s="6" t="e">
        <v>#N/A</v>
      </c>
      <c r="G409" s="6">
        <v>0.0</v>
      </c>
      <c r="H409" s="7" t="e">
        <v>#N/A</v>
      </c>
      <c r="I409" s="6" t="e">
        <v>#N/A</v>
      </c>
      <c r="J409" s="6" t="e">
        <v>#N/A</v>
      </c>
      <c r="K409" s="11" t="s">
        <v>1921</v>
      </c>
      <c r="L409" s="11" t="s">
        <v>52</v>
      </c>
      <c r="M409" s="6" t="str">
        <f t="shared" si="4"/>
        <v>#REF!</v>
      </c>
      <c r="N409" s="6" t="str">
        <f>VLOOKUP(A409, Sheet2!A:M, 3, FALSE)</f>
        <v>#N/A</v>
      </c>
      <c r="O409" s="10" t="e">
        <v>#N/A</v>
      </c>
      <c r="P409" s="10" t="e">
        <v>#N/A</v>
      </c>
    </row>
    <row r="410">
      <c r="A410" s="6" t="s">
        <v>1968</v>
      </c>
      <c r="B410" s="6" t="s">
        <v>1968</v>
      </c>
      <c r="C410" s="6" t="e">
        <v>#N/A</v>
      </c>
      <c r="D410" s="6" t="e">
        <v>#N/A</v>
      </c>
      <c r="E410" s="6" t="e">
        <v>#N/A</v>
      </c>
      <c r="F410" s="6" t="e">
        <v>#N/A</v>
      </c>
      <c r="G410" s="6">
        <v>0.0</v>
      </c>
      <c r="H410" s="7" t="e">
        <v>#N/A</v>
      </c>
      <c r="I410" s="6" t="e">
        <v>#N/A</v>
      </c>
      <c r="J410" s="6" t="e">
        <v>#N/A</v>
      </c>
      <c r="K410" s="11" t="s">
        <v>1921</v>
      </c>
      <c r="L410" s="11" t="s">
        <v>52</v>
      </c>
      <c r="M410" s="6" t="str">
        <f t="shared" si="4"/>
        <v>#REF!</v>
      </c>
      <c r="N410" s="6" t="str">
        <f>VLOOKUP(A410, Sheet2!A:M, 3, FALSE)</f>
        <v>#N/A</v>
      </c>
      <c r="O410" s="10" t="e">
        <v>#N/A</v>
      </c>
      <c r="P410" s="10" t="e">
        <v>#N/A</v>
      </c>
    </row>
    <row r="411">
      <c r="A411" s="6" t="s">
        <v>1969</v>
      </c>
      <c r="B411" s="6" t="s">
        <v>1969</v>
      </c>
      <c r="C411" s="6" t="e">
        <v>#N/A</v>
      </c>
      <c r="D411" s="6" t="e">
        <v>#N/A</v>
      </c>
      <c r="E411" s="6" t="e">
        <v>#N/A</v>
      </c>
      <c r="F411" s="6" t="e">
        <v>#N/A</v>
      </c>
      <c r="G411" s="6">
        <v>0.0</v>
      </c>
      <c r="H411" s="7" t="e">
        <v>#N/A</v>
      </c>
      <c r="I411" s="6" t="e">
        <v>#N/A</v>
      </c>
      <c r="J411" s="6" t="e">
        <v>#N/A</v>
      </c>
      <c r="K411" s="11" t="s">
        <v>1921</v>
      </c>
      <c r="L411" s="11" t="s">
        <v>52</v>
      </c>
      <c r="M411" s="6" t="str">
        <f t="shared" si="4"/>
        <v>#REF!</v>
      </c>
      <c r="N411" s="6" t="str">
        <f>VLOOKUP(A411, Sheet2!A:M, 3, FALSE)</f>
        <v>#N/A</v>
      </c>
      <c r="O411" s="10" t="e">
        <v>#N/A</v>
      </c>
      <c r="P411" s="10" t="e">
        <v>#N/A</v>
      </c>
    </row>
    <row r="412">
      <c r="A412" s="6" t="s">
        <v>1970</v>
      </c>
      <c r="B412" s="6" t="s">
        <v>1970</v>
      </c>
      <c r="C412" s="6" t="e">
        <v>#N/A</v>
      </c>
      <c r="D412" s="6" t="e">
        <v>#N/A</v>
      </c>
      <c r="E412" s="6" t="e">
        <v>#N/A</v>
      </c>
      <c r="F412" s="6" t="e">
        <v>#N/A</v>
      </c>
      <c r="G412" s="6">
        <v>0.0</v>
      </c>
      <c r="H412" s="7" t="e">
        <v>#N/A</v>
      </c>
      <c r="I412" s="6" t="e">
        <v>#N/A</v>
      </c>
      <c r="J412" s="6" t="e">
        <v>#N/A</v>
      </c>
      <c r="K412" s="11" t="s">
        <v>1921</v>
      </c>
      <c r="L412" s="11" t="s">
        <v>52</v>
      </c>
      <c r="M412" s="6" t="str">
        <f t="shared" si="4"/>
        <v>#REF!</v>
      </c>
      <c r="N412" s="6" t="str">
        <f>VLOOKUP(A412, Sheet2!A:M, 3, FALSE)</f>
        <v>#N/A</v>
      </c>
      <c r="O412" s="10" t="e">
        <v>#N/A</v>
      </c>
      <c r="P412" s="10" t="e">
        <v>#N/A</v>
      </c>
    </row>
    <row r="413">
      <c r="A413" s="6" t="s">
        <v>1971</v>
      </c>
      <c r="B413" s="6" t="s">
        <v>1971</v>
      </c>
      <c r="C413" s="6" t="e">
        <v>#N/A</v>
      </c>
      <c r="D413" s="6" t="e">
        <v>#N/A</v>
      </c>
      <c r="E413" s="6" t="e">
        <v>#N/A</v>
      </c>
      <c r="F413" s="6" t="e">
        <v>#N/A</v>
      </c>
      <c r="G413" s="6">
        <v>0.0</v>
      </c>
      <c r="H413" s="7" t="e">
        <v>#N/A</v>
      </c>
      <c r="I413" s="6" t="e">
        <v>#N/A</v>
      </c>
      <c r="J413" s="6" t="e">
        <v>#N/A</v>
      </c>
      <c r="K413" s="11" t="s">
        <v>1921</v>
      </c>
      <c r="L413" s="11" t="s">
        <v>52</v>
      </c>
      <c r="M413" s="6" t="str">
        <f t="shared" si="4"/>
        <v>#REF!</v>
      </c>
      <c r="N413" s="6" t="str">
        <f>VLOOKUP(A413, Sheet2!A:M, 3, FALSE)</f>
        <v>#N/A</v>
      </c>
      <c r="O413" s="10" t="e">
        <v>#N/A</v>
      </c>
      <c r="P413" s="10" t="e">
        <v>#N/A</v>
      </c>
    </row>
    <row r="414">
      <c r="A414" s="6" t="s">
        <v>1972</v>
      </c>
      <c r="B414" s="6" t="s">
        <v>1972</v>
      </c>
      <c r="C414" s="6" t="e">
        <v>#N/A</v>
      </c>
      <c r="D414" s="6" t="e">
        <v>#N/A</v>
      </c>
      <c r="E414" s="6" t="e">
        <v>#N/A</v>
      </c>
      <c r="F414" s="6" t="e">
        <v>#N/A</v>
      </c>
      <c r="G414" s="6">
        <v>0.0</v>
      </c>
      <c r="H414" s="7" t="e">
        <v>#N/A</v>
      </c>
      <c r="I414" s="6" t="e">
        <v>#N/A</v>
      </c>
      <c r="J414" s="6" t="e">
        <v>#N/A</v>
      </c>
      <c r="K414" s="11" t="s">
        <v>1921</v>
      </c>
      <c r="L414" s="11" t="s">
        <v>52</v>
      </c>
      <c r="M414" s="6" t="str">
        <f t="shared" si="4"/>
        <v>#REF!</v>
      </c>
      <c r="N414" s="6" t="str">
        <f>VLOOKUP(A414, Sheet2!A:M, 3, FALSE)</f>
        <v>#N/A</v>
      </c>
      <c r="O414" s="10" t="e">
        <v>#N/A</v>
      </c>
      <c r="P414" s="10" t="e">
        <v>#N/A</v>
      </c>
    </row>
    <row r="415">
      <c r="A415" s="6" t="s">
        <v>1973</v>
      </c>
      <c r="B415" s="6" t="s">
        <v>1973</v>
      </c>
      <c r="C415" s="6" t="e">
        <v>#N/A</v>
      </c>
      <c r="D415" s="6" t="e">
        <v>#N/A</v>
      </c>
      <c r="E415" s="6" t="e">
        <v>#N/A</v>
      </c>
      <c r="F415" s="6" t="e">
        <v>#N/A</v>
      </c>
      <c r="G415" s="6">
        <v>0.0</v>
      </c>
      <c r="H415" s="7" t="e">
        <v>#N/A</v>
      </c>
      <c r="I415" s="6" t="e">
        <v>#N/A</v>
      </c>
      <c r="J415" s="6" t="e">
        <v>#N/A</v>
      </c>
      <c r="K415" s="11" t="s">
        <v>1921</v>
      </c>
      <c r="L415" s="11" t="s">
        <v>52</v>
      </c>
      <c r="M415" s="6" t="str">
        <f t="shared" si="4"/>
        <v>#REF!</v>
      </c>
      <c r="N415" s="6" t="str">
        <f>VLOOKUP(A415, Sheet2!A:M, 3, FALSE)</f>
        <v>#N/A</v>
      </c>
      <c r="O415" s="10" t="e">
        <v>#N/A</v>
      </c>
      <c r="P415" s="10" t="e">
        <v>#N/A</v>
      </c>
    </row>
    <row r="416">
      <c r="A416" s="6" t="s">
        <v>1974</v>
      </c>
      <c r="B416" s="6" t="s">
        <v>1974</v>
      </c>
      <c r="C416" s="6" t="s">
        <v>1975</v>
      </c>
      <c r="D416" s="6" t="s">
        <v>1976</v>
      </c>
      <c r="E416" s="6" t="e">
        <v>#N/A</v>
      </c>
      <c r="F416" s="6" t="s">
        <v>1977</v>
      </c>
      <c r="G416" s="6" t="s">
        <v>1978</v>
      </c>
      <c r="H416" s="7" t="s">
        <v>1979</v>
      </c>
      <c r="I416" s="6" t="e">
        <v>#N/A</v>
      </c>
      <c r="J416" s="6" t="e">
        <v>#N/A</v>
      </c>
      <c r="K416" s="6" t="str">
        <f>VLOOKUP(A416,Sheet4!$A:$H,7,0)</f>
        <v>Memory Foam Topper</v>
      </c>
      <c r="L416" s="6" t="str">
        <f>VLOOKUP(B416,Sheet4!$A:$H,8,0)</f>
        <v>Bedding</v>
      </c>
      <c r="M416" s="6">
        <v>4499.0</v>
      </c>
      <c r="N416" s="8">
        <v>3369.0</v>
      </c>
      <c r="O416" s="9">
        <v>3799.0</v>
      </c>
      <c r="P416" s="10">
        <v>3149.3</v>
      </c>
    </row>
    <row r="417">
      <c r="A417" s="6" t="s">
        <v>1980</v>
      </c>
      <c r="B417" s="6" t="s">
        <v>1980</v>
      </c>
      <c r="C417" s="6" t="e">
        <v>#N/A</v>
      </c>
      <c r="D417" s="6" t="e">
        <v>#N/A</v>
      </c>
      <c r="E417" s="6" t="e">
        <v>#N/A</v>
      </c>
      <c r="F417" s="6" t="e">
        <v>#N/A</v>
      </c>
      <c r="G417" s="6">
        <v>0.0</v>
      </c>
      <c r="H417" s="7" t="e">
        <v>#N/A</v>
      </c>
      <c r="I417" s="6" t="e">
        <v>#N/A</v>
      </c>
      <c r="J417" s="6" t="e">
        <v>#N/A</v>
      </c>
      <c r="K417" s="6" t="str">
        <f>VLOOKUP(A417,Sheet4!$A:$H,7,0)</f>
        <v>#N/A</v>
      </c>
      <c r="L417" s="6" t="str">
        <f>VLOOKUP(B417,Sheet4!$A:$H,8,0)</f>
        <v>#N/A</v>
      </c>
      <c r="M417" s="6" t="str">
        <f>VLOOKUP(A417,#REF!,2,FALSE)</f>
        <v>#REF!</v>
      </c>
      <c r="N417" s="6" t="str">
        <f>VLOOKUP(A417, Sheet2!A:M, 3, FALSE)</f>
        <v>#N/A</v>
      </c>
      <c r="O417" s="10" t="e">
        <v>#N/A</v>
      </c>
      <c r="P417" s="10" t="e">
        <v>#N/A</v>
      </c>
    </row>
    <row r="418">
      <c r="A418" s="6" t="s">
        <v>1981</v>
      </c>
      <c r="B418" s="6" t="s">
        <v>1981</v>
      </c>
      <c r="C418" s="6" t="s">
        <v>1982</v>
      </c>
      <c r="D418" s="6" t="s">
        <v>1983</v>
      </c>
      <c r="E418" s="6" t="e">
        <v>#N/A</v>
      </c>
      <c r="F418" s="6" t="s">
        <v>1984</v>
      </c>
      <c r="G418" s="6" t="s">
        <v>1985</v>
      </c>
      <c r="H418" s="7" t="s">
        <v>1986</v>
      </c>
      <c r="I418" s="6" t="e">
        <v>#N/A</v>
      </c>
      <c r="J418" s="6" t="e">
        <v>#N/A</v>
      </c>
      <c r="K418" s="6" t="str">
        <f>VLOOKUP(A418,Sheet4!$A:$H,7,0)</f>
        <v>Memory Foam Topper</v>
      </c>
      <c r="L418" s="6" t="str">
        <f>VLOOKUP(B418,Sheet4!$A:$H,8,0)</f>
        <v>Bedding</v>
      </c>
      <c r="M418" s="6">
        <v>5499.0</v>
      </c>
      <c r="N418" s="8">
        <v>4119.0</v>
      </c>
      <c r="O418" s="9">
        <v>4599.0</v>
      </c>
      <c r="P418" s="10">
        <v>3849.3</v>
      </c>
    </row>
    <row r="419">
      <c r="A419" s="6" t="s">
        <v>1987</v>
      </c>
      <c r="B419" s="6" t="s">
        <v>1987</v>
      </c>
      <c r="C419" s="6" t="s">
        <v>1988</v>
      </c>
      <c r="D419" s="6" t="s">
        <v>1989</v>
      </c>
      <c r="E419" s="6" t="s">
        <v>1990</v>
      </c>
      <c r="F419" s="6" t="s">
        <v>1991</v>
      </c>
      <c r="G419" s="6" t="s">
        <v>1992</v>
      </c>
      <c r="H419" s="7" t="s">
        <v>1993</v>
      </c>
      <c r="I419" s="6" t="e">
        <v>#N/A</v>
      </c>
      <c r="J419" s="6" t="e">
        <v>#N/A</v>
      </c>
      <c r="K419" s="6" t="str">
        <f>VLOOKUP(A419,Sheet4!$A:$H,7,0)</f>
        <v>Memory Foam Topper</v>
      </c>
      <c r="L419" s="6" t="str">
        <f>VLOOKUP(B419,Sheet4!$A:$H,8,0)</f>
        <v>Bedding</v>
      </c>
      <c r="M419" s="6">
        <v>6499.0</v>
      </c>
      <c r="N419" s="8">
        <v>4870.0</v>
      </c>
      <c r="O419" s="9">
        <v>5499.0</v>
      </c>
      <c r="P419" s="10">
        <v>4549.3</v>
      </c>
    </row>
    <row r="420">
      <c r="A420" s="6" t="s">
        <v>1994</v>
      </c>
      <c r="B420" s="6" t="s">
        <v>1994</v>
      </c>
      <c r="C420" s="6" t="s">
        <v>1995</v>
      </c>
      <c r="D420" s="6" t="s">
        <v>1996</v>
      </c>
      <c r="E420" s="6" t="e">
        <v>#N/A</v>
      </c>
      <c r="F420" s="6" t="s">
        <v>1997</v>
      </c>
      <c r="G420" s="6" t="s">
        <v>1998</v>
      </c>
      <c r="H420" s="7" t="s">
        <v>1999</v>
      </c>
      <c r="I420" s="6" t="e">
        <v>#N/A</v>
      </c>
      <c r="J420" s="6" t="e">
        <v>#N/A</v>
      </c>
      <c r="K420" s="6" t="str">
        <f>VLOOKUP(A420,Sheet4!$A:$H,7,0)</f>
        <v>Memory Foam Topper</v>
      </c>
      <c r="L420" s="6" t="str">
        <f>VLOOKUP(B420,Sheet4!$A:$H,8,0)</f>
        <v>Bedding</v>
      </c>
      <c r="M420" s="6">
        <v>6499.0</v>
      </c>
      <c r="N420" s="8">
        <v>4868.0</v>
      </c>
      <c r="O420" s="9">
        <v>5499.0</v>
      </c>
      <c r="P420" s="10">
        <v>4549.3</v>
      </c>
    </row>
    <row r="421">
      <c r="A421" s="6" t="s">
        <v>2000</v>
      </c>
      <c r="B421" s="6" t="s">
        <v>2000</v>
      </c>
      <c r="C421" s="6" t="s">
        <v>2001</v>
      </c>
      <c r="D421" s="6" t="s">
        <v>2002</v>
      </c>
      <c r="E421" s="6" t="s">
        <v>2003</v>
      </c>
      <c r="F421" s="6" t="s">
        <v>2004</v>
      </c>
      <c r="G421" s="6" t="s">
        <v>2005</v>
      </c>
      <c r="H421" s="7" t="s">
        <v>2006</v>
      </c>
      <c r="I421" s="6" t="e">
        <v>#N/A</v>
      </c>
      <c r="J421" s="6" t="e">
        <v>#N/A</v>
      </c>
      <c r="K421" s="6" t="str">
        <f>VLOOKUP(A421,Sheet4!$A:$H,7,0)</f>
        <v>Memory Foam Topper</v>
      </c>
      <c r="L421" s="6" t="str">
        <f>VLOOKUP(B421,Sheet4!$A:$H,8,0)</f>
        <v>Bedding</v>
      </c>
      <c r="M421" s="6">
        <v>6999.0</v>
      </c>
      <c r="N421" s="8">
        <v>5239.0</v>
      </c>
      <c r="O421" s="9">
        <v>5999.0</v>
      </c>
      <c r="P421" s="10">
        <v>4899.3</v>
      </c>
    </row>
    <row r="422">
      <c r="A422" s="6" t="s">
        <v>2007</v>
      </c>
      <c r="B422" s="6" t="s">
        <v>2007</v>
      </c>
      <c r="C422" s="6" t="s">
        <v>2008</v>
      </c>
      <c r="D422" s="6" t="s">
        <v>2009</v>
      </c>
      <c r="E422" s="6" t="e">
        <v>#N/A</v>
      </c>
      <c r="F422" s="6">
        <v>0.0</v>
      </c>
      <c r="G422" s="6" t="s">
        <v>2010</v>
      </c>
      <c r="H422" s="7" t="s">
        <v>2011</v>
      </c>
      <c r="I422" s="6" t="e">
        <v>#N/A</v>
      </c>
      <c r="J422" s="6" t="e">
        <v>#N/A</v>
      </c>
      <c r="K422" s="6" t="str">
        <f>VLOOKUP(A422,Sheet4!$A:$H,7,0)</f>
        <v>Memory Foam Topper</v>
      </c>
      <c r="L422" s="6" t="str">
        <f>VLOOKUP(B422,Sheet4!$A:$H,8,0)</f>
        <v>Bedding</v>
      </c>
      <c r="M422" s="6">
        <v>7499.0</v>
      </c>
      <c r="N422" s="8">
        <v>5619.0</v>
      </c>
      <c r="O422" s="9">
        <v>6399.0</v>
      </c>
      <c r="P422" s="10">
        <v>5249.3</v>
      </c>
    </row>
    <row r="423">
      <c r="A423" s="6" t="s">
        <v>2012</v>
      </c>
      <c r="B423" s="6" t="s">
        <v>2012</v>
      </c>
      <c r="C423" s="6" t="s">
        <v>2013</v>
      </c>
      <c r="D423" s="6" t="s">
        <v>2014</v>
      </c>
      <c r="E423" s="6" t="e">
        <v>#N/A</v>
      </c>
      <c r="F423" s="6" t="s">
        <v>2015</v>
      </c>
      <c r="G423" s="6" t="s">
        <v>2016</v>
      </c>
      <c r="H423" s="7" t="s">
        <v>2017</v>
      </c>
      <c r="I423" s="6" t="e">
        <v>#N/A</v>
      </c>
      <c r="J423" s="6" t="e">
        <v>#N/A</v>
      </c>
      <c r="K423" s="6" t="str">
        <f>VLOOKUP(A423,Sheet4!$A:$H,7,0)</f>
        <v>Memory Foam Topper</v>
      </c>
      <c r="L423" s="6" t="str">
        <f>VLOOKUP(B423,Sheet4!$A:$H,8,0)</f>
        <v>Bedding</v>
      </c>
      <c r="M423" s="6">
        <v>7499.0</v>
      </c>
      <c r="N423" s="8">
        <v>5619.0</v>
      </c>
      <c r="O423" s="9">
        <v>6399.0</v>
      </c>
      <c r="P423" s="10">
        <v>5249.3</v>
      </c>
    </row>
    <row r="424">
      <c r="A424" s="6" t="s">
        <v>2018</v>
      </c>
      <c r="B424" s="6" t="s">
        <v>2018</v>
      </c>
      <c r="C424" s="6" t="s">
        <v>2019</v>
      </c>
      <c r="D424" s="6" t="s">
        <v>2020</v>
      </c>
      <c r="E424" s="6" t="s">
        <v>2021</v>
      </c>
      <c r="F424" s="6" t="s">
        <v>2022</v>
      </c>
      <c r="G424" s="6" t="s">
        <v>2023</v>
      </c>
      <c r="H424" s="7" t="s">
        <v>2024</v>
      </c>
      <c r="I424" s="6" t="e">
        <v>#N/A</v>
      </c>
      <c r="J424" s="6" t="e">
        <v>#N/A</v>
      </c>
      <c r="K424" s="6" t="str">
        <f>VLOOKUP(A424,Sheet4!$A:$H,7,0)</f>
        <v>Memory Foam Topper</v>
      </c>
      <c r="L424" s="6" t="str">
        <f>VLOOKUP(B424,Sheet4!$A:$H,8,0)</f>
        <v>Bedding</v>
      </c>
      <c r="M424" s="6">
        <v>7999.0</v>
      </c>
      <c r="N424" s="8">
        <v>5989.0</v>
      </c>
      <c r="O424" s="9">
        <v>6799.0</v>
      </c>
      <c r="P424" s="10">
        <v>5599.3</v>
      </c>
    </row>
    <row r="425">
      <c r="A425" s="6" t="s">
        <v>2025</v>
      </c>
      <c r="B425" s="6" t="s">
        <v>2025</v>
      </c>
      <c r="C425" s="6" t="s">
        <v>2026</v>
      </c>
      <c r="D425" s="6" t="s">
        <v>2027</v>
      </c>
      <c r="E425" s="6" t="e">
        <v>#N/A</v>
      </c>
      <c r="F425" s="6" t="s">
        <v>2028</v>
      </c>
      <c r="G425" s="6">
        <v>0.0</v>
      </c>
      <c r="H425" s="7" t="s">
        <v>2029</v>
      </c>
      <c r="I425" s="6" t="e">
        <v>#N/A</v>
      </c>
      <c r="J425" s="6" t="s">
        <v>2030</v>
      </c>
      <c r="K425" s="6" t="str">
        <f>VLOOKUP(A425,Sheet4!$A:$H,7,0)</f>
        <v>Cloud Spring Mattress</v>
      </c>
      <c r="L425" s="6" t="str">
        <f>VLOOKUP(B425,Sheet4!$A:$H,8,0)</f>
        <v>Mattress</v>
      </c>
      <c r="M425" s="6">
        <v>17999.0</v>
      </c>
      <c r="N425" s="8">
        <v>16199.0</v>
      </c>
      <c r="O425" s="9">
        <v>16199.0</v>
      </c>
      <c r="P425" s="10">
        <v>14399.2</v>
      </c>
    </row>
    <row r="426">
      <c r="A426" s="6" t="s">
        <v>2031</v>
      </c>
      <c r="B426" s="6" t="s">
        <v>2031</v>
      </c>
      <c r="C426" s="6" t="s">
        <v>2032</v>
      </c>
      <c r="D426" s="6" t="s">
        <v>2033</v>
      </c>
      <c r="E426" s="6" t="e">
        <v>#N/A</v>
      </c>
      <c r="F426" s="6" t="s">
        <v>2034</v>
      </c>
      <c r="G426" s="6" t="s">
        <v>2035</v>
      </c>
      <c r="H426" s="7" t="s">
        <v>2036</v>
      </c>
      <c r="I426" s="6">
        <v>3.2789232E7</v>
      </c>
      <c r="J426" s="6" t="s">
        <v>2037</v>
      </c>
      <c r="K426" s="6" t="str">
        <f>VLOOKUP(A426,Sheet4!$A:$H,7,0)</f>
        <v>Cloud Spring Mattress</v>
      </c>
      <c r="L426" s="6" t="str">
        <f>VLOOKUP(B426,Sheet4!$A:$H,8,0)</f>
        <v>Mattress</v>
      </c>
      <c r="M426" s="6">
        <v>19999.0</v>
      </c>
      <c r="N426" s="8">
        <v>17999.0</v>
      </c>
      <c r="O426" s="9">
        <v>17999.0</v>
      </c>
      <c r="P426" s="10">
        <v>15999.2</v>
      </c>
    </row>
    <row r="427">
      <c r="A427" s="6" t="s">
        <v>2038</v>
      </c>
      <c r="B427" s="6" t="s">
        <v>2038</v>
      </c>
      <c r="C427" s="6" t="s">
        <v>2039</v>
      </c>
      <c r="D427" s="6" t="s">
        <v>2040</v>
      </c>
      <c r="E427" s="6" t="e">
        <v>#N/A</v>
      </c>
      <c r="F427" s="6" t="s">
        <v>2041</v>
      </c>
      <c r="G427" s="6">
        <v>0.0</v>
      </c>
      <c r="H427" s="7" t="s">
        <v>2042</v>
      </c>
      <c r="I427" s="6">
        <v>3.2789219E7</v>
      </c>
      <c r="J427" s="6" t="s">
        <v>2043</v>
      </c>
      <c r="K427" s="6" t="str">
        <f>VLOOKUP(A427,Sheet4!$A:$H,7,0)</f>
        <v>Cloud Spring Mattress</v>
      </c>
      <c r="L427" s="6" t="str">
        <f>VLOOKUP(B427,Sheet4!$A:$H,8,0)</f>
        <v>Mattress</v>
      </c>
      <c r="M427" s="6">
        <v>19999.0</v>
      </c>
      <c r="N427" s="8">
        <v>17999.0</v>
      </c>
      <c r="O427" s="9">
        <v>17999.0</v>
      </c>
      <c r="P427" s="10">
        <v>15999.2</v>
      </c>
    </row>
    <row r="428">
      <c r="A428" s="6" t="s">
        <v>2044</v>
      </c>
      <c r="B428" s="6" t="s">
        <v>2044</v>
      </c>
      <c r="C428" s="6" t="s">
        <v>2045</v>
      </c>
      <c r="D428" s="6" t="s">
        <v>2046</v>
      </c>
      <c r="E428" s="6" t="e">
        <v>#N/A</v>
      </c>
      <c r="F428" s="6" t="s">
        <v>2047</v>
      </c>
      <c r="G428" s="6">
        <v>0.0</v>
      </c>
      <c r="H428" s="7" t="s">
        <v>2048</v>
      </c>
      <c r="I428" s="6">
        <v>3.2789225E7</v>
      </c>
      <c r="J428" s="6" t="s">
        <v>2049</v>
      </c>
      <c r="K428" s="6" t="str">
        <f>VLOOKUP(A428,Sheet4!$A:$H,7,0)</f>
        <v>Cloud Spring Mattress</v>
      </c>
      <c r="L428" s="6" t="str">
        <f>VLOOKUP(B428,Sheet4!$A:$H,8,0)</f>
        <v>Mattress</v>
      </c>
      <c r="M428" s="6">
        <v>19999.0</v>
      </c>
      <c r="N428" s="8">
        <v>17999.0</v>
      </c>
      <c r="O428" s="9">
        <v>17999.0</v>
      </c>
      <c r="P428" s="10">
        <v>15999.2</v>
      </c>
    </row>
    <row r="429">
      <c r="A429" s="6" t="s">
        <v>2050</v>
      </c>
      <c r="B429" s="6" t="s">
        <v>2050</v>
      </c>
      <c r="C429" s="6" t="s">
        <v>2051</v>
      </c>
      <c r="D429" s="6" t="s">
        <v>2052</v>
      </c>
      <c r="E429" s="6" t="e">
        <v>#N/A</v>
      </c>
      <c r="F429" s="6" t="s">
        <v>2053</v>
      </c>
      <c r="G429" s="6" t="s">
        <v>2054</v>
      </c>
      <c r="H429" s="7" t="s">
        <v>2055</v>
      </c>
      <c r="I429" s="6">
        <v>3.2789217E7</v>
      </c>
      <c r="J429" s="6" t="s">
        <v>2056</v>
      </c>
      <c r="K429" s="6" t="str">
        <f>VLOOKUP(A429,Sheet4!$A:$H,7,0)</f>
        <v>Cloud Spring Mattress</v>
      </c>
      <c r="L429" s="6" t="str">
        <f>VLOOKUP(B429,Sheet4!$A:$H,8,0)</f>
        <v>Mattress</v>
      </c>
      <c r="M429" s="6">
        <v>22999.0</v>
      </c>
      <c r="N429" s="8">
        <v>20699.0</v>
      </c>
      <c r="O429" s="9">
        <v>20699.0</v>
      </c>
      <c r="P429" s="10">
        <v>18399.2</v>
      </c>
    </row>
    <row r="430">
      <c r="A430" s="6" t="s">
        <v>2057</v>
      </c>
      <c r="B430" s="6" t="s">
        <v>2057</v>
      </c>
      <c r="C430" s="6" t="s">
        <v>2058</v>
      </c>
      <c r="D430" s="6" t="s">
        <v>2059</v>
      </c>
      <c r="E430" s="6" t="e">
        <v>#N/A</v>
      </c>
      <c r="F430" s="6" t="s">
        <v>2060</v>
      </c>
      <c r="G430" s="14" t="s">
        <v>2061</v>
      </c>
      <c r="H430" s="7" t="s">
        <v>2062</v>
      </c>
      <c r="I430" s="6">
        <v>3.2789233E7</v>
      </c>
      <c r="J430" s="6" t="s">
        <v>2063</v>
      </c>
      <c r="K430" s="6" t="str">
        <f>VLOOKUP(A430,Sheet4!$A:$H,7,0)</f>
        <v>Cloud Spring Mattress</v>
      </c>
      <c r="L430" s="6" t="str">
        <f>VLOOKUP(B430,Sheet4!$A:$H,8,0)</f>
        <v>Mattress</v>
      </c>
      <c r="M430" s="6">
        <v>22999.0</v>
      </c>
      <c r="N430" s="8">
        <v>20699.0</v>
      </c>
      <c r="O430" s="9">
        <v>20699.0</v>
      </c>
      <c r="P430" s="10">
        <v>18399.2</v>
      </c>
    </row>
    <row r="431">
      <c r="A431" s="6" t="s">
        <v>2064</v>
      </c>
      <c r="B431" s="6" t="s">
        <v>2064</v>
      </c>
      <c r="C431" s="6" t="s">
        <v>2065</v>
      </c>
      <c r="D431" s="6" t="s">
        <v>2066</v>
      </c>
      <c r="E431" s="6" t="e">
        <v>#N/A</v>
      </c>
      <c r="F431" s="6" t="s">
        <v>2067</v>
      </c>
      <c r="G431" s="6" t="s">
        <v>2068</v>
      </c>
      <c r="H431" s="7" t="s">
        <v>2069</v>
      </c>
      <c r="I431" s="6">
        <v>3.2789215E7</v>
      </c>
      <c r="J431" s="6" t="s">
        <v>2070</v>
      </c>
      <c r="K431" s="6" t="str">
        <f>VLOOKUP(A431,Sheet4!$A:$H,7,0)</f>
        <v>Cloud Spring Mattress</v>
      </c>
      <c r="L431" s="6" t="str">
        <f>VLOOKUP(B431,Sheet4!$A:$H,8,0)</f>
        <v>Mattress</v>
      </c>
      <c r="M431" s="6">
        <v>22999.0</v>
      </c>
      <c r="N431" s="8">
        <v>20699.0</v>
      </c>
      <c r="O431" s="9">
        <v>20699.0</v>
      </c>
      <c r="P431" s="10">
        <v>18399.2</v>
      </c>
    </row>
    <row r="432">
      <c r="A432" s="6" t="s">
        <v>2071</v>
      </c>
      <c r="B432" s="6" t="s">
        <v>2071</v>
      </c>
      <c r="C432" s="6" t="s">
        <v>2072</v>
      </c>
      <c r="D432" s="6" t="s">
        <v>2073</v>
      </c>
      <c r="E432" s="6" t="e">
        <v>#N/A</v>
      </c>
      <c r="F432" s="6" t="s">
        <v>2074</v>
      </c>
      <c r="G432" s="6" t="s">
        <v>2075</v>
      </c>
      <c r="H432" s="7" t="s">
        <v>2076</v>
      </c>
      <c r="I432" s="6">
        <v>3.2789227E7</v>
      </c>
      <c r="J432" s="6" t="s">
        <v>2077</v>
      </c>
      <c r="K432" s="6" t="str">
        <f>VLOOKUP(A432,Sheet4!$A:$H,7,0)</f>
        <v>Cloud Spring Mattress</v>
      </c>
      <c r="L432" s="6" t="str">
        <f>VLOOKUP(B432,Sheet4!$A:$H,8,0)</f>
        <v>Mattress</v>
      </c>
      <c r="M432" s="6">
        <v>25999.0</v>
      </c>
      <c r="N432" s="8">
        <v>23399.0</v>
      </c>
      <c r="O432" s="9">
        <v>23399.0</v>
      </c>
      <c r="P432" s="10">
        <v>20799.2</v>
      </c>
    </row>
    <row r="433">
      <c r="A433" s="6" t="s">
        <v>2078</v>
      </c>
      <c r="B433" s="6" t="s">
        <v>2078</v>
      </c>
      <c r="C433" s="6" t="s">
        <v>2079</v>
      </c>
      <c r="D433" s="6" t="s">
        <v>2080</v>
      </c>
      <c r="E433" s="6" t="e">
        <v>#N/A</v>
      </c>
      <c r="F433" s="6" t="s">
        <v>2081</v>
      </c>
      <c r="G433" s="6" t="s">
        <v>2082</v>
      </c>
      <c r="H433" s="7" t="s">
        <v>2083</v>
      </c>
      <c r="I433" s="6">
        <v>3.2789213E7</v>
      </c>
      <c r="J433" s="6" t="s">
        <v>2084</v>
      </c>
      <c r="K433" s="6" t="str">
        <f>VLOOKUP(A433,Sheet4!$A:$H,7,0)</f>
        <v>Cloud Spring Mattress</v>
      </c>
      <c r="L433" s="6" t="str">
        <f>VLOOKUP(B433,Sheet4!$A:$H,8,0)</f>
        <v>Mattress</v>
      </c>
      <c r="M433" s="6">
        <v>25999.0</v>
      </c>
      <c r="N433" s="8">
        <v>23399.0</v>
      </c>
      <c r="O433" s="9">
        <v>23399.0</v>
      </c>
      <c r="P433" s="10">
        <v>20799.2</v>
      </c>
    </row>
    <row r="434">
      <c r="A434" s="6" t="s">
        <v>2085</v>
      </c>
      <c r="B434" s="6" t="s">
        <v>2085</v>
      </c>
      <c r="C434" s="6" t="s">
        <v>2086</v>
      </c>
      <c r="D434" s="6" t="s">
        <v>2087</v>
      </c>
      <c r="E434" s="6" t="e">
        <v>#N/A</v>
      </c>
      <c r="F434" s="6" t="s">
        <v>2088</v>
      </c>
      <c r="G434" s="6" t="s">
        <v>2089</v>
      </c>
      <c r="H434" s="7" t="s">
        <v>2090</v>
      </c>
      <c r="I434" s="6">
        <v>3.2789228E7</v>
      </c>
      <c r="J434" s="6" t="s">
        <v>2091</v>
      </c>
      <c r="K434" s="6" t="str">
        <f>VLOOKUP(A434,Sheet4!$A:$H,7,0)</f>
        <v>Cloud Spring Mattress</v>
      </c>
      <c r="L434" s="6" t="str">
        <f>VLOOKUP(B434,Sheet4!$A:$H,8,0)</f>
        <v>Mattress</v>
      </c>
      <c r="M434" s="6">
        <v>25999.0</v>
      </c>
      <c r="N434" s="8">
        <v>23399.0</v>
      </c>
      <c r="O434" s="9">
        <v>23399.0</v>
      </c>
      <c r="P434" s="10">
        <v>20799.2</v>
      </c>
    </row>
    <row r="435">
      <c r="A435" s="6" t="s">
        <v>2092</v>
      </c>
      <c r="B435" s="6" t="s">
        <v>2092</v>
      </c>
      <c r="C435" s="6" t="s">
        <v>2093</v>
      </c>
      <c r="D435" s="6" t="s">
        <v>2094</v>
      </c>
      <c r="E435" s="6" t="e">
        <v>#N/A</v>
      </c>
      <c r="F435" s="6" t="s">
        <v>2095</v>
      </c>
      <c r="G435" s="6">
        <v>0.0</v>
      </c>
      <c r="H435" s="7" t="s">
        <v>2096</v>
      </c>
      <c r="I435" s="6" t="e">
        <v>#N/A</v>
      </c>
      <c r="J435" s="6" t="s">
        <v>2097</v>
      </c>
      <c r="K435" s="6" t="str">
        <f>VLOOKUP(A435,Sheet4!$A:$H,7,0)</f>
        <v>Cloud Spring Mattress</v>
      </c>
      <c r="L435" s="6" t="str">
        <f>VLOOKUP(B435,Sheet4!$A:$H,8,0)</f>
        <v>Mattress</v>
      </c>
      <c r="M435" s="6">
        <v>27999.0</v>
      </c>
      <c r="N435" s="8">
        <v>25199.0</v>
      </c>
      <c r="O435" s="9">
        <v>25199.0</v>
      </c>
      <c r="P435" s="10">
        <v>22399.2</v>
      </c>
    </row>
    <row r="436">
      <c r="A436" s="6" t="s">
        <v>2098</v>
      </c>
      <c r="B436" s="6" t="s">
        <v>2098</v>
      </c>
      <c r="C436" s="6" t="s">
        <v>2099</v>
      </c>
      <c r="D436" s="6" t="s">
        <v>2100</v>
      </c>
      <c r="E436" s="6" t="e">
        <v>#N/A</v>
      </c>
      <c r="F436" s="6" t="s">
        <v>2101</v>
      </c>
      <c r="G436" s="6">
        <v>0.0</v>
      </c>
      <c r="H436" s="7" t="s">
        <v>2102</v>
      </c>
      <c r="I436" s="6">
        <v>3.2789231E7</v>
      </c>
      <c r="J436" s="6" t="s">
        <v>2103</v>
      </c>
      <c r="K436" s="6" t="str">
        <f>VLOOKUP(A436,Sheet4!$A:$H,7,0)</f>
        <v>Cloud Spring Mattress</v>
      </c>
      <c r="L436" s="6" t="str">
        <f>VLOOKUP(B436,Sheet4!$A:$H,8,0)</f>
        <v>Mattress</v>
      </c>
      <c r="M436" s="6">
        <v>27999.0</v>
      </c>
      <c r="N436" s="8">
        <v>25199.0</v>
      </c>
      <c r="O436" s="9">
        <v>25199.0</v>
      </c>
      <c r="P436" s="10">
        <v>22399.2</v>
      </c>
    </row>
    <row r="437">
      <c r="A437" s="6" t="s">
        <v>2104</v>
      </c>
      <c r="B437" s="6" t="s">
        <v>2104</v>
      </c>
      <c r="C437" s="6" t="s">
        <v>2105</v>
      </c>
      <c r="D437" s="6" t="s">
        <v>2106</v>
      </c>
      <c r="E437" s="6" t="e">
        <v>#N/A</v>
      </c>
      <c r="F437" s="6" t="s">
        <v>2107</v>
      </c>
      <c r="G437" s="6" t="s">
        <v>2108</v>
      </c>
      <c r="H437" s="7" t="s">
        <v>2109</v>
      </c>
      <c r="I437" s="6">
        <v>3.2789223E7</v>
      </c>
      <c r="J437" s="6" t="s">
        <v>2110</v>
      </c>
      <c r="K437" s="6" t="str">
        <f>VLOOKUP(A437,Sheet4!$A:$H,7,0)</f>
        <v>Cloud Spring Mattress</v>
      </c>
      <c r="L437" s="6" t="str">
        <f>VLOOKUP(B437,Sheet4!$A:$H,8,0)</f>
        <v>Mattress</v>
      </c>
      <c r="M437" s="6">
        <v>27999.0</v>
      </c>
      <c r="N437" s="8">
        <v>25199.0</v>
      </c>
      <c r="O437" s="9">
        <v>25199.0</v>
      </c>
      <c r="P437" s="10">
        <v>22399.2</v>
      </c>
    </row>
    <row r="438">
      <c r="A438" s="6" t="s">
        <v>2111</v>
      </c>
      <c r="B438" s="6" t="s">
        <v>2111</v>
      </c>
      <c r="C438" s="6" t="s">
        <v>2112</v>
      </c>
      <c r="D438" s="6" t="s">
        <v>2113</v>
      </c>
      <c r="E438" s="6" t="e">
        <v>#N/A</v>
      </c>
      <c r="F438" s="6" t="s">
        <v>2114</v>
      </c>
      <c r="G438" s="6" t="s">
        <v>2115</v>
      </c>
      <c r="H438" s="7" t="s">
        <v>2116</v>
      </c>
      <c r="I438" s="6">
        <v>3.2789222E7</v>
      </c>
      <c r="J438" s="6" t="s">
        <v>2117</v>
      </c>
      <c r="K438" s="6" t="str">
        <f>VLOOKUP(A438,Sheet4!$A:$H,7,0)</f>
        <v>Cloud Spring Mattress</v>
      </c>
      <c r="L438" s="6" t="str">
        <f>VLOOKUP(B438,Sheet4!$A:$H,8,0)</f>
        <v>Mattress</v>
      </c>
      <c r="M438" s="6">
        <v>29999.0</v>
      </c>
      <c r="N438" s="8">
        <v>26999.0</v>
      </c>
      <c r="O438" s="9">
        <v>26999.0</v>
      </c>
      <c r="P438" s="10">
        <v>23999.2</v>
      </c>
    </row>
    <row r="439">
      <c r="A439" s="6" t="s">
        <v>2118</v>
      </c>
      <c r="B439" s="6" t="s">
        <v>2118</v>
      </c>
      <c r="C439" s="6" t="s">
        <v>2119</v>
      </c>
      <c r="D439" s="6" t="s">
        <v>2120</v>
      </c>
      <c r="E439" s="6" t="e">
        <v>#N/A</v>
      </c>
      <c r="F439" s="6" t="s">
        <v>2121</v>
      </c>
      <c r="G439" s="6" t="s">
        <v>2122</v>
      </c>
      <c r="H439" s="7" t="s">
        <v>2123</v>
      </c>
      <c r="I439" s="6" t="e">
        <v>#N/A</v>
      </c>
      <c r="J439" s="6" t="s">
        <v>2124</v>
      </c>
      <c r="K439" s="6" t="str">
        <f>VLOOKUP(A439,Sheet4!$A:$H,7,0)</f>
        <v>Cloud Spring Mattress</v>
      </c>
      <c r="L439" s="6" t="str">
        <f>VLOOKUP(B439,Sheet4!$A:$H,8,0)</f>
        <v>Mattress</v>
      </c>
      <c r="M439" s="6">
        <v>29999.0</v>
      </c>
      <c r="N439" s="8">
        <v>26999.0</v>
      </c>
      <c r="O439" s="9">
        <v>26999.0</v>
      </c>
      <c r="P439" s="10">
        <v>23999.2</v>
      </c>
    </row>
    <row r="440">
      <c r="A440" s="6" t="s">
        <v>2125</v>
      </c>
      <c r="B440" s="6" t="s">
        <v>2125</v>
      </c>
      <c r="C440" s="6" t="s">
        <v>2126</v>
      </c>
      <c r="D440" s="6" t="s">
        <v>2127</v>
      </c>
      <c r="E440" s="6" t="e">
        <v>#N/A</v>
      </c>
      <c r="F440" s="6" t="s">
        <v>2128</v>
      </c>
      <c r="G440" s="6" t="s">
        <v>2129</v>
      </c>
      <c r="H440" s="7" t="s">
        <v>2130</v>
      </c>
      <c r="I440" s="6">
        <v>3.278923E7</v>
      </c>
      <c r="J440" s="6" t="s">
        <v>2131</v>
      </c>
      <c r="K440" s="6" t="str">
        <f>VLOOKUP(A440,Sheet4!$A:$H,7,0)</f>
        <v>Cloud Spring Mattress</v>
      </c>
      <c r="L440" s="6" t="str">
        <f>VLOOKUP(B440,Sheet4!$A:$H,8,0)</f>
        <v>Mattress</v>
      </c>
      <c r="M440" s="6">
        <v>29999.0</v>
      </c>
      <c r="N440" s="8">
        <v>26999.0</v>
      </c>
      <c r="O440" s="9">
        <v>26999.0</v>
      </c>
      <c r="P440" s="10">
        <v>23999.2</v>
      </c>
    </row>
    <row r="441">
      <c r="A441" s="6" t="s">
        <v>2132</v>
      </c>
      <c r="B441" s="6" t="s">
        <v>2132</v>
      </c>
      <c r="C441" s="6" t="s">
        <v>2133</v>
      </c>
      <c r="D441" s="6" t="s">
        <v>2134</v>
      </c>
      <c r="E441" s="6" t="e">
        <v>#N/A</v>
      </c>
      <c r="F441" s="6" t="s">
        <v>2135</v>
      </c>
      <c r="G441" s="6">
        <v>0.0</v>
      </c>
      <c r="H441" s="7" t="s">
        <v>2136</v>
      </c>
      <c r="I441" s="6">
        <v>3.2789214E7</v>
      </c>
      <c r="J441" s="6" t="s">
        <v>2137</v>
      </c>
      <c r="K441" s="6" t="str">
        <f>VLOOKUP(A441,Sheet4!$A:$H,7,0)</f>
        <v>Cloud Spring Mattress</v>
      </c>
      <c r="L441" s="6" t="str">
        <f>VLOOKUP(B441,Sheet4!$A:$H,8,0)</f>
        <v>Mattress</v>
      </c>
      <c r="M441" s="6">
        <v>31999.0</v>
      </c>
      <c r="N441" s="8">
        <v>28799.0</v>
      </c>
      <c r="O441" s="9">
        <v>28799.0</v>
      </c>
      <c r="P441" s="10">
        <v>25599.2</v>
      </c>
    </row>
    <row r="442">
      <c r="A442" s="6" t="s">
        <v>2138</v>
      </c>
      <c r="B442" s="6" t="s">
        <v>2138</v>
      </c>
      <c r="C442" s="6" t="s">
        <v>2139</v>
      </c>
      <c r="D442" s="6" t="s">
        <v>2140</v>
      </c>
      <c r="E442" s="6" t="e">
        <v>#N/A</v>
      </c>
      <c r="F442" s="6">
        <v>0.0</v>
      </c>
      <c r="G442" s="6" t="s">
        <v>2141</v>
      </c>
      <c r="H442" s="7" t="s">
        <v>2142</v>
      </c>
      <c r="I442" s="6" t="e">
        <v>#N/A</v>
      </c>
      <c r="J442" s="6" t="e">
        <v>#N/A</v>
      </c>
      <c r="K442" s="6" t="str">
        <f>VLOOKUP(A442,Sheet4!$A:$H,7,0)</f>
        <v>Microfiber topper</v>
      </c>
      <c r="L442" s="6" t="str">
        <f>VLOOKUP(B442,Sheet4!$A:$H,8,0)</f>
        <v>Bedding</v>
      </c>
      <c r="M442" s="6">
        <v>4499.0</v>
      </c>
      <c r="N442" s="8">
        <v>3599.0</v>
      </c>
      <c r="O442" s="9">
        <v>3999.0</v>
      </c>
      <c r="P442" s="10">
        <v>3374.25</v>
      </c>
    </row>
    <row r="443">
      <c r="A443" s="6" t="s">
        <v>2143</v>
      </c>
      <c r="B443" s="6" t="s">
        <v>2143</v>
      </c>
      <c r="C443" s="6" t="s">
        <v>2144</v>
      </c>
      <c r="D443" s="6" t="s">
        <v>2145</v>
      </c>
      <c r="E443" s="6" t="e">
        <v>#N/A</v>
      </c>
      <c r="F443" s="6" t="s">
        <v>2145</v>
      </c>
      <c r="G443" s="6">
        <v>0.0</v>
      </c>
      <c r="H443" s="7" t="s">
        <v>2146</v>
      </c>
      <c r="I443" s="6" t="e">
        <v>#N/A</v>
      </c>
      <c r="J443" s="6" t="e">
        <v>#N/A</v>
      </c>
      <c r="K443" s="6" t="str">
        <f>VLOOKUP(A443,Sheet4!$A:$H,7,0)</f>
        <v>Microfiber topper</v>
      </c>
      <c r="L443" s="6" t="str">
        <f>VLOOKUP(B443,Sheet4!$A:$H,8,0)</f>
        <v>Bedding</v>
      </c>
      <c r="M443" s="6">
        <v>4999.0</v>
      </c>
      <c r="N443" s="8">
        <v>3999.0</v>
      </c>
      <c r="O443" s="9">
        <v>4599.0</v>
      </c>
      <c r="P443" s="10">
        <v>3749.25</v>
      </c>
    </row>
    <row r="444">
      <c r="A444" s="6" t="s">
        <v>2147</v>
      </c>
      <c r="B444" s="6" t="s">
        <v>2147</v>
      </c>
      <c r="C444" s="6" t="s">
        <v>2148</v>
      </c>
      <c r="D444" s="6" t="s">
        <v>2149</v>
      </c>
      <c r="E444" s="6" t="e">
        <v>#N/A</v>
      </c>
      <c r="F444" s="6">
        <v>0.0</v>
      </c>
      <c r="G444" s="6" t="s">
        <v>2150</v>
      </c>
      <c r="H444" s="7" t="s">
        <v>2151</v>
      </c>
      <c r="I444" s="6" t="e">
        <v>#N/A</v>
      </c>
      <c r="J444" s="6" t="e">
        <v>#N/A</v>
      </c>
      <c r="K444" s="6" t="str">
        <f>VLOOKUP(A444,Sheet4!$A:$H,7,0)</f>
        <v>Microfiber topper</v>
      </c>
      <c r="L444" s="6" t="str">
        <f>VLOOKUP(B444,Sheet4!$A:$H,8,0)</f>
        <v>Bedding</v>
      </c>
      <c r="M444" s="6">
        <v>5499.0</v>
      </c>
      <c r="N444" s="8">
        <v>4399.0</v>
      </c>
      <c r="O444" s="9">
        <v>4899.0</v>
      </c>
      <c r="P444" s="10">
        <v>4124.25</v>
      </c>
    </row>
    <row r="445">
      <c r="A445" s="6" t="s">
        <v>2152</v>
      </c>
      <c r="B445" s="6" t="s">
        <v>2152</v>
      </c>
      <c r="C445" s="6" t="s">
        <v>2153</v>
      </c>
      <c r="D445" s="6" t="s">
        <v>2154</v>
      </c>
      <c r="E445" s="6" t="e">
        <v>#N/A</v>
      </c>
      <c r="F445" s="6">
        <v>0.0</v>
      </c>
      <c r="G445" s="6" t="s">
        <v>2155</v>
      </c>
      <c r="H445" s="7" t="s">
        <v>2156</v>
      </c>
      <c r="I445" s="6" t="e">
        <v>#N/A</v>
      </c>
      <c r="J445" s="6" t="e">
        <v>#N/A</v>
      </c>
      <c r="K445" s="6" t="str">
        <f>VLOOKUP(A445,Sheet4!$A:$H,7,0)</f>
        <v>Microfiber topper</v>
      </c>
      <c r="L445" s="6" t="str">
        <f>VLOOKUP(B445,Sheet4!$A:$H,8,0)</f>
        <v>Bedding</v>
      </c>
      <c r="M445" s="6">
        <v>6499.0</v>
      </c>
      <c r="N445" s="8">
        <v>5199.0</v>
      </c>
      <c r="O445" s="9">
        <v>5799.0</v>
      </c>
      <c r="P445" s="10">
        <v>4874.25</v>
      </c>
    </row>
    <row r="446">
      <c r="A446" s="6" t="s">
        <v>2157</v>
      </c>
      <c r="B446" s="6" t="s">
        <v>2157</v>
      </c>
      <c r="C446" s="6" t="s">
        <v>2158</v>
      </c>
      <c r="D446" s="6" t="s">
        <v>2159</v>
      </c>
      <c r="E446" s="6" t="e">
        <v>#N/A</v>
      </c>
      <c r="F446" s="6">
        <v>0.0</v>
      </c>
      <c r="G446" s="6" t="s">
        <v>2160</v>
      </c>
      <c r="H446" s="7" t="s">
        <v>2161</v>
      </c>
      <c r="I446" s="6" t="e">
        <v>#N/A</v>
      </c>
      <c r="J446" s="6" t="e">
        <v>#N/A</v>
      </c>
      <c r="K446" s="6" t="str">
        <f>VLOOKUP(A446,Sheet4!$A:$H,7,0)</f>
        <v>Microfiber topper</v>
      </c>
      <c r="L446" s="6" t="str">
        <f>VLOOKUP(B446,Sheet4!$A:$H,8,0)</f>
        <v>Bedding</v>
      </c>
      <c r="M446" s="6">
        <v>6499.0</v>
      </c>
      <c r="N446" s="8">
        <v>5199.0</v>
      </c>
      <c r="O446" s="9">
        <v>5899.0</v>
      </c>
      <c r="P446" s="10">
        <v>4874.25</v>
      </c>
    </row>
    <row r="447">
      <c r="A447" s="6" t="s">
        <v>2162</v>
      </c>
      <c r="B447" s="6" t="s">
        <v>2162</v>
      </c>
      <c r="C447" s="6" t="s">
        <v>2163</v>
      </c>
      <c r="D447" s="6" t="s">
        <v>2164</v>
      </c>
      <c r="E447" s="6" t="e">
        <v>#N/A</v>
      </c>
      <c r="F447" s="6">
        <v>0.0</v>
      </c>
      <c r="G447" s="6" t="s">
        <v>2165</v>
      </c>
      <c r="H447" s="7" t="s">
        <v>2166</v>
      </c>
      <c r="I447" s="6" t="e">
        <v>#N/A</v>
      </c>
      <c r="J447" s="6" t="e">
        <v>#N/A</v>
      </c>
      <c r="K447" s="6" t="str">
        <f>VLOOKUP(A447,Sheet4!$A:$H,7,0)</f>
        <v>Microfiber topper</v>
      </c>
      <c r="L447" s="6" t="str">
        <f>VLOOKUP(B447,Sheet4!$A:$H,8,0)</f>
        <v>Bedding</v>
      </c>
      <c r="M447" s="6">
        <v>6499.0</v>
      </c>
      <c r="N447" s="8">
        <v>5199.0</v>
      </c>
      <c r="O447" s="9">
        <v>5799.0</v>
      </c>
      <c r="P447" s="10">
        <v>4874.25</v>
      </c>
    </row>
    <row r="448">
      <c r="A448" s="6" t="s">
        <v>2167</v>
      </c>
      <c r="B448" s="6" t="s">
        <v>2167</v>
      </c>
      <c r="C448" s="6" t="s">
        <v>2168</v>
      </c>
      <c r="D448" s="6" t="s">
        <v>2169</v>
      </c>
      <c r="E448" s="6" t="e">
        <v>#N/A</v>
      </c>
      <c r="F448" s="6">
        <v>0.0</v>
      </c>
      <c r="G448" s="6" t="s">
        <v>2170</v>
      </c>
      <c r="H448" s="7" t="s">
        <v>2171</v>
      </c>
      <c r="I448" s="6" t="e">
        <v>#N/A</v>
      </c>
      <c r="J448" s="6" t="e">
        <v>#N/A</v>
      </c>
      <c r="K448" s="6" t="str">
        <f>VLOOKUP(A448,Sheet4!$A:$H,7,0)</f>
        <v>Microfiber topper</v>
      </c>
      <c r="L448" s="6" t="str">
        <f>VLOOKUP(B448,Sheet4!$A:$H,8,0)</f>
        <v>Bedding</v>
      </c>
      <c r="M448" s="6">
        <v>7499.0</v>
      </c>
      <c r="N448" s="8">
        <v>5999.0</v>
      </c>
      <c r="O448" s="9">
        <v>6599.0</v>
      </c>
      <c r="P448" s="10">
        <v>5624.25</v>
      </c>
    </row>
    <row r="449">
      <c r="A449" s="6" t="s">
        <v>2172</v>
      </c>
      <c r="B449" s="6" t="s">
        <v>2172</v>
      </c>
      <c r="C449" s="6" t="s">
        <v>2173</v>
      </c>
      <c r="D449" s="6" t="s">
        <v>2174</v>
      </c>
      <c r="E449" s="6" t="e">
        <v>#N/A</v>
      </c>
      <c r="F449" s="6">
        <v>0.0</v>
      </c>
      <c r="G449" s="6" t="s">
        <v>2175</v>
      </c>
      <c r="H449" s="7" t="s">
        <v>2176</v>
      </c>
      <c r="I449" s="6" t="e">
        <v>#N/A</v>
      </c>
      <c r="J449" s="6" t="e">
        <v>#N/A</v>
      </c>
      <c r="K449" s="6" t="str">
        <f>VLOOKUP(A449,Sheet4!$A:$H,7,0)</f>
        <v>Microfiber topper</v>
      </c>
      <c r="L449" s="6" t="str">
        <f>VLOOKUP(B449,Sheet4!$A:$H,8,0)</f>
        <v>Bedding</v>
      </c>
      <c r="M449" s="6">
        <v>7499.0</v>
      </c>
      <c r="N449" s="8">
        <v>5999.0</v>
      </c>
      <c r="O449" s="9">
        <v>6599.0</v>
      </c>
      <c r="P449" s="10">
        <v>5624.25</v>
      </c>
    </row>
    <row r="450">
      <c r="A450" s="6" t="s">
        <v>2177</v>
      </c>
      <c r="B450" s="6" t="s">
        <v>2177</v>
      </c>
      <c r="C450" s="6" t="s">
        <v>2178</v>
      </c>
      <c r="D450" s="6" t="s">
        <v>2179</v>
      </c>
      <c r="E450" s="6" t="e">
        <v>#N/A</v>
      </c>
      <c r="F450" s="6">
        <v>0.0</v>
      </c>
      <c r="G450" s="6" t="s">
        <v>2180</v>
      </c>
      <c r="H450" s="7" t="s">
        <v>2181</v>
      </c>
      <c r="I450" s="6" t="e">
        <v>#N/A</v>
      </c>
      <c r="J450" s="6" t="e">
        <v>#N/A</v>
      </c>
      <c r="K450" s="6" t="str">
        <f>VLOOKUP(A450,Sheet4!$A:$H,7,0)</f>
        <v>Microfiber topper</v>
      </c>
      <c r="L450" s="6" t="str">
        <f>VLOOKUP(B450,Sheet4!$A:$H,8,0)</f>
        <v>Bedding</v>
      </c>
      <c r="M450" s="6">
        <v>7499.0</v>
      </c>
      <c r="N450" s="8">
        <v>5999.0</v>
      </c>
      <c r="O450" s="9">
        <v>6599.0</v>
      </c>
      <c r="P450" s="10">
        <v>5624.25</v>
      </c>
    </row>
    <row r="451">
      <c r="A451" s="6" t="s">
        <v>2182</v>
      </c>
      <c r="B451" s="6" t="s">
        <v>2182</v>
      </c>
      <c r="C451" s="6" t="s">
        <v>2183</v>
      </c>
      <c r="D451" s="11" t="s">
        <v>2184</v>
      </c>
      <c r="E451" s="6" t="e">
        <v>#N/A</v>
      </c>
      <c r="F451" s="6" t="s">
        <v>2185</v>
      </c>
      <c r="G451" s="6" t="s">
        <v>2186</v>
      </c>
      <c r="H451" s="7" t="s">
        <v>2187</v>
      </c>
      <c r="I451" s="6" t="e">
        <v>#N/A</v>
      </c>
      <c r="J451" s="6" t="s">
        <v>2188</v>
      </c>
      <c r="K451" s="6" t="str">
        <f>VLOOKUP(A451,Sheet4!$A:$H,7,0)</f>
        <v>Baby Mattress</v>
      </c>
      <c r="L451" s="6" t="str">
        <f>VLOOKUP(B451,Sheet4!$A:$H,8,0)</f>
        <v>Mattress</v>
      </c>
      <c r="M451" s="6">
        <v>2999.0</v>
      </c>
      <c r="N451" s="8">
        <v>2249.0</v>
      </c>
      <c r="O451" s="9">
        <v>2199.0</v>
      </c>
      <c r="P451" s="10">
        <v>1949.0</v>
      </c>
    </row>
    <row r="452">
      <c r="A452" s="6" t="s">
        <v>2189</v>
      </c>
      <c r="B452" s="6" t="s">
        <v>2189</v>
      </c>
      <c r="C452" s="6" t="s">
        <v>2190</v>
      </c>
      <c r="D452" s="11" t="s">
        <v>2191</v>
      </c>
      <c r="E452" s="6" t="s">
        <v>2192</v>
      </c>
      <c r="F452" s="6" t="s">
        <v>2193</v>
      </c>
      <c r="G452" s="6" t="s">
        <v>2194</v>
      </c>
      <c r="H452" s="7" t="s">
        <v>2195</v>
      </c>
      <c r="I452" s="6" t="e">
        <v>#N/A</v>
      </c>
      <c r="J452" s="6" t="s">
        <v>2196</v>
      </c>
      <c r="K452" s="6" t="str">
        <f>VLOOKUP(A452,Sheet4!$A:$H,7,0)</f>
        <v>Baby Mattress</v>
      </c>
      <c r="L452" s="6" t="str">
        <f>VLOOKUP(B452,Sheet4!$A:$H,8,0)</f>
        <v>Mattress</v>
      </c>
      <c r="M452" s="6">
        <v>3999.0</v>
      </c>
      <c r="N452" s="8">
        <v>2999.0</v>
      </c>
      <c r="O452" s="9">
        <v>2999.0</v>
      </c>
      <c r="P452" s="10">
        <v>2599.35</v>
      </c>
    </row>
    <row r="453">
      <c r="A453" s="6" t="s">
        <v>2197</v>
      </c>
      <c r="B453" s="6" t="s">
        <v>2197</v>
      </c>
      <c r="C453" s="6" t="s">
        <v>2198</v>
      </c>
      <c r="D453" s="6" t="s">
        <v>2199</v>
      </c>
      <c r="E453" s="6" t="e">
        <v>#N/A</v>
      </c>
      <c r="F453" s="6" t="s">
        <v>2200</v>
      </c>
      <c r="G453" s="6" t="s">
        <v>2201</v>
      </c>
      <c r="H453" s="7" t="s">
        <v>2202</v>
      </c>
      <c r="I453" s="6">
        <v>3.1862312E7</v>
      </c>
      <c r="J453" s="6" t="e">
        <v>#N/A</v>
      </c>
      <c r="K453" s="6" t="str">
        <f>VLOOKUP(A453,Sheet4!$A:$H,7,0)</f>
        <v>Protector</v>
      </c>
      <c r="L453" s="6" t="str">
        <f>VLOOKUP(B453,Sheet4!$A:$H,8,0)</f>
        <v>Bedding</v>
      </c>
      <c r="M453" s="6">
        <v>789.0</v>
      </c>
      <c r="N453" s="8">
        <v>750.0</v>
      </c>
      <c r="O453" s="10">
        <v>750.0</v>
      </c>
      <c r="P453" s="10">
        <v>710.1</v>
      </c>
    </row>
    <row r="454">
      <c r="A454" s="6" t="s">
        <v>2203</v>
      </c>
      <c r="B454" s="6" t="s">
        <v>2203</v>
      </c>
      <c r="C454" s="6" t="s">
        <v>2204</v>
      </c>
      <c r="D454" s="6" t="s">
        <v>2205</v>
      </c>
      <c r="E454" s="6" t="e">
        <v>#N/A</v>
      </c>
      <c r="F454" s="6" t="s">
        <v>2206</v>
      </c>
      <c r="G454" s="6" t="s">
        <v>2207</v>
      </c>
      <c r="H454" s="7" t="s">
        <v>2208</v>
      </c>
      <c r="I454" s="6">
        <v>3.1862317E7</v>
      </c>
      <c r="J454" s="6" t="e">
        <v>#N/A</v>
      </c>
      <c r="K454" s="6" t="str">
        <f>VLOOKUP(A454,Sheet4!$A:$H,7,0)</f>
        <v>Protector</v>
      </c>
      <c r="L454" s="6" t="str">
        <f>VLOOKUP(B454,Sheet4!$A:$H,8,0)</f>
        <v>Bedding</v>
      </c>
      <c r="M454" s="6">
        <v>789.0</v>
      </c>
      <c r="N454" s="8">
        <v>750.0</v>
      </c>
      <c r="O454" s="10">
        <v>750.0</v>
      </c>
      <c r="P454" s="10">
        <v>710.1</v>
      </c>
    </row>
    <row r="455">
      <c r="A455" s="6" t="s">
        <v>2209</v>
      </c>
      <c r="B455" s="6" t="s">
        <v>2209</v>
      </c>
      <c r="C455" s="6" t="s">
        <v>2210</v>
      </c>
      <c r="D455" s="6" t="s">
        <v>2211</v>
      </c>
      <c r="E455" s="6" t="e">
        <v>#N/A</v>
      </c>
      <c r="F455" s="6" t="s">
        <v>2212</v>
      </c>
      <c r="G455" s="6" t="s">
        <v>2213</v>
      </c>
      <c r="H455" s="7" t="s">
        <v>2214</v>
      </c>
      <c r="I455" s="6">
        <v>3.1862332E7</v>
      </c>
      <c r="J455" s="6" t="e">
        <v>#N/A</v>
      </c>
      <c r="K455" s="6" t="str">
        <f>VLOOKUP(A455,Sheet4!$A:$H,7,0)</f>
        <v>Protector</v>
      </c>
      <c r="L455" s="6" t="str">
        <f>VLOOKUP(B455,Sheet4!$A:$H,8,0)</f>
        <v>Bedding</v>
      </c>
      <c r="M455" s="6">
        <v>789.0</v>
      </c>
      <c r="N455" s="8">
        <v>750.0</v>
      </c>
      <c r="O455" s="10">
        <v>750.0</v>
      </c>
      <c r="P455" s="10">
        <v>710.1</v>
      </c>
    </row>
    <row r="456">
      <c r="A456" s="6" t="s">
        <v>2215</v>
      </c>
      <c r="B456" s="6" t="s">
        <v>2215</v>
      </c>
      <c r="C456" s="6" t="s">
        <v>2216</v>
      </c>
      <c r="D456" s="6" t="s">
        <v>2217</v>
      </c>
      <c r="E456" s="6" t="e">
        <v>#N/A</v>
      </c>
      <c r="F456" s="6">
        <v>0.0</v>
      </c>
      <c r="G456" s="6" t="s">
        <v>2218</v>
      </c>
      <c r="H456" s="7" t="s">
        <v>2219</v>
      </c>
      <c r="I456" s="6" t="e">
        <v>#N/A</v>
      </c>
      <c r="J456" s="6" t="e">
        <v>#N/A</v>
      </c>
      <c r="K456" s="6" t="str">
        <f>VLOOKUP(A456,Sheet4!$A:$H,7,0)</f>
        <v>Protector</v>
      </c>
      <c r="L456" s="6" t="str">
        <f>VLOOKUP(B456,Sheet4!$A:$H,8,0)</f>
        <v>Bedding</v>
      </c>
      <c r="M456" s="6">
        <v>789.0</v>
      </c>
      <c r="N456" s="8">
        <v>750.0</v>
      </c>
      <c r="O456" s="10">
        <v>750.0</v>
      </c>
      <c r="P456" s="10">
        <v>710.1</v>
      </c>
    </row>
    <row r="457">
      <c r="A457" s="6" t="s">
        <v>2220</v>
      </c>
      <c r="B457" s="6" t="s">
        <v>2220</v>
      </c>
      <c r="C457" s="6" t="s">
        <v>2221</v>
      </c>
      <c r="D457" s="6" t="s">
        <v>2222</v>
      </c>
      <c r="E457" s="6" t="e">
        <v>#N/A</v>
      </c>
      <c r="F457" s="6">
        <v>0.0</v>
      </c>
      <c r="G457" s="6" t="s">
        <v>2223</v>
      </c>
      <c r="H457" s="7" t="s">
        <v>2224</v>
      </c>
      <c r="I457" s="6" t="e">
        <v>#N/A</v>
      </c>
      <c r="J457" s="6" t="e">
        <v>#N/A</v>
      </c>
      <c r="K457" s="6" t="str">
        <f>VLOOKUP(A457,Sheet4!$A:$H,7,0)</f>
        <v>Protector</v>
      </c>
      <c r="L457" s="6" t="str">
        <f>VLOOKUP(B457,Sheet4!$A:$H,8,0)</f>
        <v>Bedding</v>
      </c>
      <c r="M457" s="6">
        <v>789.0</v>
      </c>
      <c r="N457" s="8">
        <v>750.0</v>
      </c>
      <c r="O457" s="10">
        <v>750.0</v>
      </c>
      <c r="P457" s="10">
        <v>710.1</v>
      </c>
    </row>
    <row r="458">
      <c r="A458" s="6" t="s">
        <v>2225</v>
      </c>
      <c r="B458" s="6" t="s">
        <v>2225</v>
      </c>
      <c r="C458" s="6" t="s">
        <v>2226</v>
      </c>
      <c r="D458" s="6" t="s">
        <v>2227</v>
      </c>
      <c r="E458" s="6" t="e">
        <v>#N/A</v>
      </c>
      <c r="F458" s="6">
        <v>0.0</v>
      </c>
      <c r="G458" s="6" t="s">
        <v>2228</v>
      </c>
      <c r="H458" s="7" t="s">
        <v>2229</v>
      </c>
      <c r="I458" s="6" t="e">
        <v>#N/A</v>
      </c>
      <c r="J458" s="6" t="e">
        <v>#N/A</v>
      </c>
      <c r="K458" s="6" t="str">
        <f>VLOOKUP(A458,Sheet4!$A:$H,7,0)</f>
        <v>Protector</v>
      </c>
      <c r="L458" s="6" t="str">
        <f>VLOOKUP(B458,Sheet4!$A:$H,8,0)</f>
        <v>Bedding</v>
      </c>
      <c r="M458" s="6">
        <v>789.0</v>
      </c>
      <c r="N458" s="8">
        <v>750.0</v>
      </c>
      <c r="O458" s="10">
        <v>750.0</v>
      </c>
      <c r="P458" s="10">
        <v>710.1</v>
      </c>
    </row>
    <row r="459">
      <c r="A459" s="6" t="s">
        <v>2230</v>
      </c>
      <c r="B459" s="6" t="s">
        <v>2230</v>
      </c>
      <c r="C459" s="6" t="s">
        <v>2231</v>
      </c>
      <c r="D459" s="6" t="s">
        <v>2232</v>
      </c>
      <c r="E459" s="6" t="e">
        <v>#N/A</v>
      </c>
      <c r="F459" s="6" t="s">
        <v>2233</v>
      </c>
      <c r="G459" s="6" t="s">
        <v>2234</v>
      </c>
      <c r="H459" s="7" t="s">
        <v>2235</v>
      </c>
      <c r="I459" s="6">
        <v>3.1862325E7</v>
      </c>
      <c r="J459" s="6" t="e">
        <v>#N/A</v>
      </c>
      <c r="K459" s="6" t="str">
        <f>VLOOKUP(A459,Sheet4!$A:$H,7,0)</f>
        <v>Protector</v>
      </c>
      <c r="L459" s="6" t="str">
        <f>VLOOKUP(B459,Sheet4!$A:$H,8,0)</f>
        <v>Bedding</v>
      </c>
      <c r="M459" s="6">
        <v>889.0</v>
      </c>
      <c r="N459" s="8">
        <v>845.0</v>
      </c>
      <c r="O459" s="10">
        <v>845.0</v>
      </c>
      <c r="P459" s="10">
        <v>800.1</v>
      </c>
    </row>
    <row r="460">
      <c r="A460" s="6" t="s">
        <v>2236</v>
      </c>
      <c r="B460" s="6" t="s">
        <v>2236</v>
      </c>
      <c r="C460" s="6" t="s">
        <v>2237</v>
      </c>
      <c r="D460" s="6" t="s">
        <v>2238</v>
      </c>
      <c r="E460" s="6" t="e">
        <v>#N/A</v>
      </c>
      <c r="F460" s="6" t="s">
        <v>2239</v>
      </c>
      <c r="G460" s="6" t="s">
        <v>2240</v>
      </c>
      <c r="H460" s="7" t="s">
        <v>2241</v>
      </c>
      <c r="I460" s="6">
        <v>3.1862349E7</v>
      </c>
      <c r="J460" s="6" t="e">
        <v>#N/A</v>
      </c>
      <c r="K460" s="6" t="str">
        <f>VLOOKUP(A460,Sheet4!$A:$H,7,0)</f>
        <v>Protector</v>
      </c>
      <c r="L460" s="6" t="str">
        <f>VLOOKUP(B460,Sheet4!$A:$H,8,0)</f>
        <v>Bedding</v>
      </c>
      <c r="M460" s="6">
        <v>889.0</v>
      </c>
      <c r="N460" s="8">
        <v>845.0</v>
      </c>
      <c r="O460" s="10">
        <v>845.0</v>
      </c>
      <c r="P460" s="10">
        <v>800.1</v>
      </c>
    </row>
    <row r="461">
      <c r="A461" s="6" t="s">
        <v>2242</v>
      </c>
      <c r="B461" s="6" t="s">
        <v>2242</v>
      </c>
      <c r="C461" s="6" t="s">
        <v>2243</v>
      </c>
      <c r="D461" s="6" t="s">
        <v>2244</v>
      </c>
      <c r="E461" s="6" t="e">
        <v>#N/A</v>
      </c>
      <c r="F461" s="6" t="s">
        <v>2245</v>
      </c>
      <c r="G461" s="6" t="s">
        <v>2246</v>
      </c>
      <c r="H461" s="7" t="s">
        <v>2247</v>
      </c>
      <c r="I461" s="6">
        <v>3.1862345E7</v>
      </c>
      <c r="J461" s="6" t="e">
        <v>#N/A</v>
      </c>
      <c r="K461" s="6" t="str">
        <f>VLOOKUP(A461,Sheet4!$A:$H,7,0)</f>
        <v>Protector</v>
      </c>
      <c r="L461" s="6" t="str">
        <f>VLOOKUP(B461,Sheet4!$A:$H,8,0)</f>
        <v>Bedding</v>
      </c>
      <c r="M461" s="6">
        <v>889.0</v>
      </c>
      <c r="N461" s="8">
        <v>845.0</v>
      </c>
      <c r="O461" s="10">
        <v>845.0</v>
      </c>
      <c r="P461" s="10">
        <v>800.1</v>
      </c>
    </row>
    <row r="462">
      <c r="A462" s="6" t="s">
        <v>2248</v>
      </c>
      <c r="B462" s="6" t="s">
        <v>2248</v>
      </c>
      <c r="C462" s="6" t="s">
        <v>2249</v>
      </c>
      <c r="D462" s="6" t="s">
        <v>2248</v>
      </c>
      <c r="E462" s="6" t="e">
        <v>#N/A</v>
      </c>
      <c r="F462" s="6">
        <v>0.0</v>
      </c>
      <c r="G462" s="6" t="s">
        <v>2250</v>
      </c>
      <c r="H462" s="7" t="s">
        <v>2251</v>
      </c>
      <c r="I462" s="6" t="e">
        <v>#N/A</v>
      </c>
      <c r="J462" s="6" t="e">
        <v>#N/A</v>
      </c>
      <c r="K462" s="6" t="str">
        <f>VLOOKUP(A462,Sheet4!$A:$H,7,0)</f>
        <v>Protector</v>
      </c>
      <c r="L462" s="6" t="str">
        <f>VLOOKUP(B462,Sheet4!$A:$H,8,0)</f>
        <v>Bedding</v>
      </c>
      <c r="M462" s="6">
        <v>889.0</v>
      </c>
      <c r="N462" s="8">
        <v>845.0</v>
      </c>
      <c r="O462" s="10">
        <v>845.0</v>
      </c>
      <c r="P462" s="10">
        <v>800.1</v>
      </c>
    </row>
    <row r="463">
      <c r="A463" s="6" t="s">
        <v>2252</v>
      </c>
      <c r="B463" s="6" t="s">
        <v>2252</v>
      </c>
      <c r="C463" s="6" t="s">
        <v>2253</v>
      </c>
      <c r="D463" s="6" t="s">
        <v>2252</v>
      </c>
      <c r="E463" s="6" t="s">
        <v>2254</v>
      </c>
      <c r="F463" s="6">
        <v>0.0</v>
      </c>
      <c r="G463" s="6" t="s">
        <v>2255</v>
      </c>
      <c r="H463" s="7" t="s">
        <v>2256</v>
      </c>
      <c r="I463" s="6" t="e">
        <v>#N/A</v>
      </c>
      <c r="J463" s="6" t="e">
        <v>#N/A</v>
      </c>
      <c r="K463" s="6" t="str">
        <f>VLOOKUP(A463,Sheet4!$A:$H,7,0)</f>
        <v>Protector</v>
      </c>
      <c r="L463" s="6" t="str">
        <f>VLOOKUP(B463,Sheet4!$A:$H,8,0)</f>
        <v>Bedding</v>
      </c>
      <c r="M463" s="6">
        <v>889.0</v>
      </c>
      <c r="N463" s="8">
        <v>845.0</v>
      </c>
      <c r="O463" s="10">
        <v>845.0</v>
      </c>
      <c r="P463" s="10">
        <v>800.1</v>
      </c>
    </row>
    <row r="464">
      <c r="A464" s="6" t="s">
        <v>2257</v>
      </c>
      <c r="B464" s="6" t="s">
        <v>2257</v>
      </c>
      <c r="C464" s="6" t="s">
        <v>2258</v>
      </c>
      <c r="D464" s="6" t="s">
        <v>2259</v>
      </c>
      <c r="E464" s="6" t="e">
        <v>#N/A</v>
      </c>
      <c r="F464" s="6">
        <v>0.0</v>
      </c>
      <c r="G464" s="6" t="s">
        <v>2260</v>
      </c>
      <c r="H464" s="7" t="s">
        <v>2261</v>
      </c>
      <c r="I464" s="6" t="e">
        <v>#N/A</v>
      </c>
      <c r="J464" s="6" t="e">
        <v>#N/A</v>
      </c>
      <c r="K464" s="6" t="str">
        <f>VLOOKUP(A464,Sheet4!$A:$H,7,0)</f>
        <v>Protector</v>
      </c>
      <c r="L464" s="6" t="str">
        <f>VLOOKUP(B464,Sheet4!$A:$H,8,0)</f>
        <v>Bedding</v>
      </c>
      <c r="M464" s="6">
        <v>889.0</v>
      </c>
      <c r="N464" s="8">
        <v>845.0</v>
      </c>
      <c r="O464" s="10">
        <v>845.0</v>
      </c>
      <c r="P464" s="10">
        <v>800.1</v>
      </c>
    </row>
    <row r="465">
      <c r="A465" s="6" t="s">
        <v>2262</v>
      </c>
      <c r="B465" s="6" t="s">
        <v>2262</v>
      </c>
      <c r="C465" s="6" t="s">
        <v>2263</v>
      </c>
      <c r="D465" s="6" t="s">
        <v>2264</v>
      </c>
      <c r="E465" s="6" t="e">
        <v>#N/A</v>
      </c>
      <c r="F465" s="6" t="s">
        <v>2265</v>
      </c>
      <c r="G465" s="6" t="s">
        <v>2266</v>
      </c>
      <c r="H465" s="7" t="s">
        <v>2267</v>
      </c>
      <c r="I465" s="6">
        <v>3.1862322E7</v>
      </c>
      <c r="J465" s="6" t="e">
        <v>#N/A</v>
      </c>
      <c r="K465" s="6" t="str">
        <f>VLOOKUP(A465,Sheet4!$A:$H,7,0)</f>
        <v>Protector</v>
      </c>
      <c r="L465" s="6" t="str">
        <f>VLOOKUP(B465,Sheet4!$A:$H,8,0)</f>
        <v>Bedding</v>
      </c>
      <c r="M465" s="6">
        <v>989.0</v>
      </c>
      <c r="N465" s="8">
        <v>940.0</v>
      </c>
      <c r="O465" s="10">
        <v>940.0</v>
      </c>
      <c r="P465" s="10">
        <v>890.1</v>
      </c>
    </row>
    <row r="466">
      <c r="A466" s="6" t="s">
        <v>2268</v>
      </c>
      <c r="B466" s="6" t="s">
        <v>2268</v>
      </c>
      <c r="C466" s="6" t="s">
        <v>2269</v>
      </c>
      <c r="D466" s="6" t="s">
        <v>2270</v>
      </c>
      <c r="E466" s="6" t="e">
        <v>#N/A</v>
      </c>
      <c r="F466" s="6" t="s">
        <v>2271</v>
      </c>
      <c r="G466" s="6" t="s">
        <v>2272</v>
      </c>
      <c r="H466" s="7" t="s">
        <v>2273</v>
      </c>
      <c r="I466" s="6">
        <v>3.1862328E7</v>
      </c>
      <c r="J466" s="6" t="e">
        <v>#N/A</v>
      </c>
      <c r="K466" s="6" t="str">
        <f>VLOOKUP(A466,Sheet4!$A:$H,7,0)</f>
        <v>Protector</v>
      </c>
      <c r="L466" s="6" t="str">
        <f>VLOOKUP(B466,Sheet4!$A:$H,8,0)</f>
        <v>Bedding</v>
      </c>
      <c r="M466" s="6">
        <v>989.0</v>
      </c>
      <c r="N466" s="8">
        <v>940.0</v>
      </c>
      <c r="O466" s="10">
        <v>940.0</v>
      </c>
      <c r="P466" s="10">
        <v>890.1</v>
      </c>
    </row>
    <row r="467">
      <c r="A467" s="6" t="s">
        <v>2274</v>
      </c>
      <c r="B467" s="6" t="s">
        <v>2274</v>
      </c>
      <c r="C467" s="6" t="s">
        <v>2275</v>
      </c>
      <c r="D467" s="6" t="s">
        <v>2276</v>
      </c>
      <c r="E467" s="6" t="e">
        <v>#N/A</v>
      </c>
      <c r="F467" s="6" t="s">
        <v>2277</v>
      </c>
      <c r="G467" s="6" t="s">
        <v>2278</v>
      </c>
      <c r="H467" s="7" t="s">
        <v>2279</v>
      </c>
      <c r="I467" s="6">
        <v>3.1862352E7</v>
      </c>
      <c r="J467" s="6" t="e">
        <v>#N/A</v>
      </c>
      <c r="K467" s="6" t="str">
        <f>VLOOKUP(A467,Sheet4!$A:$H,7,0)</f>
        <v>Protector</v>
      </c>
      <c r="L467" s="6" t="str">
        <f>VLOOKUP(B467,Sheet4!$A:$H,8,0)</f>
        <v>Bedding</v>
      </c>
      <c r="M467" s="6">
        <v>989.0</v>
      </c>
      <c r="N467" s="8">
        <v>940.0</v>
      </c>
      <c r="O467" s="10">
        <v>940.0</v>
      </c>
      <c r="P467" s="10">
        <v>890.1</v>
      </c>
    </row>
    <row r="468">
      <c r="A468" s="6" t="s">
        <v>2280</v>
      </c>
      <c r="B468" s="6" t="s">
        <v>2280</v>
      </c>
      <c r="C468" s="6" t="s">
        <v>2281</v>
      </c>
      <c r="D468" s="6" t="s">
        <v>2282</v>
      </c>
      <c r="E468" s="6" t="e">
        <v>#N/A</v>
      </c>
      <c r="F468" s="6" t="s">
        <v>2283</v>
      </c>
      <c r="G468" s="6" t="s">
        <v>2284</v>
      </c>
      <c r="H468" s="7" t="s">
        <v>2285</v>
      </c>
      <c r="I468" s="6">
        <v>3.1862337E7</v>
      </c>
      <c r="J468" s="6" t="e">
        <v>#N/A</v>
      </c>
      <c r="K468" s="6" t="str">
        <f>VLOOKUP(A468,Sheet4!$A:$H,7,0)</f>
        <v>Protector</v>
      </c>
      <c r="L468" s="6" t="str">
        <f>VLOOKUP(B468,Sheet4!$A:$H,8,0)</f>
        <v>Bedding</v>
      </c>
      <c r="M468" s="6">
        <v>1049.0</v>
      </c>
      <c r="N468" s="8">
        <v>997.0</v>
      </c>
      <c r="O468" s="10">
        <v>999.0</v>
      </c>
      <c r="P468" s="10">
        <v>944.1</v>
      </c>
    </row>
    <row r="469">
      <c r="A469" s="6" t="s">
        <v>2286</v>
      </c>
      <c r="B469" s="6" t="s">
        <v>2286</v>
      </c>
      <c r="C469" s="6" t="s">
        <v>2287</v>
      </c>
      <c r="D469" s="6" t="s">
        <v>2288</v>
      </c>
      <c r="E469" s="6" t="s">
        <v>2289</v>
      </c>
      <c r="F469" s="6" t="s">
        <v>2290</v>
      </c>
      <c r="G469" s="6" t="s">
        <v>2291</v>
      </c>
      <c r="H469" s="7" t="s">
        <v>2292</v>
      </c>
      <c r="I469" s="6">
        <v>3.1862343E7</v>
      </c>
      <c r="J469" s="6" t="e">
        <v>#N/A</v>
      </c>
      <c r="K469" s="6" t="str">
        <f>VLOOKUP(A469,Sheet4!$A:$H,7,0)</f>
        <v>Protector</v>
      </c>
      <c r="L469" s="6" t="str">
        <f>VLOOKUP(B469,Sheet4!$A:$H,8,0)</f>
        <v>Bedding</v>
      </c>
      <c r="M469" s="6">
        <v>1049.0</v>
      </c>
      <c r="N469" s="8">
        <v>997.0</v>
      </c>
      <c r="O469" s="10">
        <v>999.0</v>
      </c>
      <c r="P469" s="10">
        <v>944.1</v>
      </c>
    </row>
    <row r="470">
      <c r="A470" s="6" t="s">
        <v>2293</v>
      </c>
      <c r="B470" s="6" t="s">
        <v>2293</v>
      </c>
      <c r="C470" s="6" t="s">
        <v>2294</v>
      </c>
      <c r="D470" s="6" t="s">
        <v>2295</v>
      </c>
      <c r="E470" s="6" t="e">
        <v>#N/A</v>
      </c>
      <c r="F470" s="6" t="s">
        <v>2296</v>
      </c>
      <c r="G470" s="6" t="s">
        <v>2297</v>
      </c>
      <c r="H470" s="7" t="s">
        <v>2298</v>
      </c>
      <c r="I470" s="6">
        <v>3.1862339E7</v>
      </c>
      <c r="J470" s="6" t="e">
        <v>#N/A</v>
      </c>
      <c r="K470" s="6" t="str">
        <f>VLOOKUP(A470,Sheet4!$A:$H,7,0)</f>
        <v>Protector</v>
      </c>
      <c r="L470" s="6" t="str">
        <f>VLOOKUP(B470,Sheet4!$A:$H,8,0)</f>
        <v>Bedding</v>
      </c>
      <c r="M470" s="6">
        <v>1049.0</v>
      </c>
      <c r="N470" s="8">
        <v>997.0</v>
      </c>
      <c r="O470" s="10">
        <v>999.0</v>
      </c>
      <c r="P470" s="10">
        <v>944.1</v>
      </c>
    </row>
    <row r="471">
      <c r="A471" s="6" t="s">
        <v>2299</v>
      </c>
      <c r="B471" s="6" t="s">
        <v>2299</v>
      </c>
      <c r="C471" s="6" t="s">
        <v>2300</v>
      </c>
      <c r="D471" s="6" t="s">
        <v>2301</v>
      </c>
      <c r="E471" s="6" t="e">
        <v>#N/A</v>
      </c>
      <c r="F471" s="6">
        <v>0.0</v>
      </c>
      <c r="G471" s="6" t="s">
        <v>2302</v>
      </c>
      <c r="H471" s="7" t="s">
        <v>2303</v>
      </c>
      <c r="I471" s="6" t="e">
        <v>#N/A</v>
      </c>
      <c r="J471" s="6" t="e">
        <v>#N/A</v>
      </c>
      <c r="K471" s="6" t="str">
        <f>VLOOKUP(A471,Sheet4!$A:$H,7,0)</f>
        <v>Protector</v>
      </c>
      <c r="L471" s="6" t="str">
        <f>VLOOKUP(B471,Sheet4!$A:$H,8,0)</f>
        <v>Bedding</v>
      </c>
      <c r="M471" s="6">
        <v>989.0</v>
      </c>
      <c r="N471" s="8">
        <v>940.0</v>
      </c>
      <c r="O471" s="10">
        <v>940.0</v>
      </c>
      <c r="P471" s="10">
        <v>890.1</v>
      </c>
    </row>
    <row r="472">
      <c r="A472" s="6" t="s">
        <v>2304</v>
      </c>
      <c r="B472" s="6" t="s">
        <v>2304</v>
      </c>
      <c r="C472" s="6" t="s">
        <v>2305</v>
      </c>
      <c r="D472" s="6" t="s">
        <v>2306</v>
      </c>
      <c r="E472" s="6" t="e">
        <v>#N/A</v>
      </c>
      <c r="F472" s="6">
        <v>0.0</v>
      </c>
      <c r="G472" s="6" t="s">
        <v>2307</v>
      </c>
      <c r="H472" s="7" t="s">
        <v>2308</v>
      </c>
      <c r="I472" s="6" t="e">
        <v>#N/A</v>
      </c>
      <c r="J472" s="6" t="e">
        <v>#N/A</v>
      </c>
      <c r="K472" s="6" t="str">
        <f>VLOOKUP(A472,Sheet4!$A:$H,7,0)</f>
        <v>Protector</v>
      </c>
      <c r="L472" s="6" t="str">
        <f>VLOOKUP(B472,Sheet4!$A:$H,8,0)</f>
        <v>Bedding</v>
      </c>
      <c r="M472" s="6">
        <v>989.0</v>
      </c>
      <c r="N472" s="8">
        <v>940.0</v>
      </c>
      <c r="O472" s="10">
        <v>940.0</v>
      </c>
      <c r="P472" s="10">
        <v>890.1</v>
      </c>
    </row>
    <row r="473">
      <c r="A473" s="6" t="s">
        <v>2309</v>
      </c>
      <c r="B473" s="6" t="s">
        <v>2309</v>
      </c>
      <c r="C473" s="6" t="s">
        <v>2310</v>
      </c>
      <c r="D473" s="6" t="s">
        <v>2311</v>
      </c>
      <c r="E473" s="6" t="e">
        <v>#N/A</v>
      </c>
      <c r="F473" s="6">
        <v>0.0</v>
      </c>
      <c r="G473" s="6" t="s">
        <v>2312</v>
      </c>
      <c r="H473" s="7" t="s">
        <v>2313</v>
      </c>
      <c r="I473" s="6" t="e">
        <v>#N/A</v>
      </c>
      <c r="J473" s="6" t="e">
        <v>#N/A</v>
      </c>
      <c r="K473" s="6" t="str">
        <f>VLOOKUP(A473,Sheet4!$A:$H,7,0)</f>
        <v>Protector</v>
      </c>
      <c r="L473" s="6" t="str">
        <f>VLOOKUP(B473,Sheet4!$A:$H,8,0)</f>
        <v>Bedding</v>
      </c>
      <c r="M473" s="6">
        <v>989.0</v>
      </c>
      <c r="N473" s="8">
        <v>940.0</v>
      </c>
      <c r="O473" s="10">
        <v>940.0</v>
      </c>
      <c r="P473" s="10">
        <v>890.1</v>
      </c>
    </row>
    <row r="474">
      <c r="A474" s="6" t="s">
        <v>2314</v>
      </c>
      <c r="B474" s="6" t="s">
        <v>2314</v>
      </c>
      <c r="C474" s="6" t="s">
        <v>2315</v>
      </c>
      <c r="D474" s="6" t="s">
        <v>2316</v>
      </c>
      <c r="E474" s="6" t="e">
        <v>#N/A</v>
      </c>
      <c r="F474" s="6">
        <v>0.0</v>
      </c>
      <c r="G474" s="6" t="s">
        <v>2317</v>
      </c>
      <c r="H474" s="7" t="s">
        <v>2318</v>
      </c>
      <c r="I474" s="6" t="e">
        <v>#N/A</v>
      </c>
      <c r="J474" s="6" t="e">
        <v>#N/A</v>
      </c>
      <c r="K474" s="6" t="str">
        <f>VLOOKUP(A474,Sheet4!$A:$H,7,0)</f>
        <v>Protector</v>
      </c>
      <c r="L474" s="6" t="str">
        <f>VLOOKUP(B474,Sheet4!$A:$H,8,0)</f>
        <v>Bedding</v>
      </c>
      <c r="M474" s="6">
        <v>1049.0</v>
      </c>
      <c r="N474" s="8">
        <v>997.0</v>
      </c>
      <c r="O474" s="10">
        <v>999.0</v>
      </c>
      <c r="P474" s="10">
        <v>944.1</v>
      </c>
    </row>
    <row r="475">
      <c r="A475" s="6" t="s">
        <v>2319</v>
      </c>
      <c r="B475" s="6" t="s">
        <v>2319</v>
      </c>
      <c r="C475" s="6" t="s">
        <v>2320</v>
      </c>
      <c r="D475" s="6" t="s">
        <v>2321</v>
      </c>
      <c r="E475" s="6" t="e">
        <v>#N/A</v>
      </c>
      <c r="F475" s="6">
        <v>0.0</v>
      </c>
      <c r="G475" s="6" t="s">
        <v>2322</v>
      </c>
      <c r="H475" s="7" t="s">
        <v>2323</v>
      </c>
      <c r="I475" s="6" t="e">
        <v>#N/A</v>
      </c>
      <c r="J475" s="6" t="e">
        <v>#N/A</v>
      </c>
      <c r="K475" s="6" t="str">
        <f>VLOOKUP(A475,Sheet4!$A:$H,7,0)</f>
        <v>Protector</v>
      </c>
      <c r="L475" s="6" t="str">
        <f>VLOOKUP(B475,Sheet4!$A:$H,8,0)</f>
        <v>Bedding</v>
      </c>
      <c r="M475" s="6">
        <v>1049.0</v>
      </c>
      <c r="N475" s="8">
        <v>997.0</v>
      </c>
      <c r="O475" s="10">
        <v>999.0</v>
      </c>
      <c r="P475" s="10">
        <v>944.1</v>
      </c>
    </row>
    <row r="476">
      <c r="A476" s="6" t="s">
        <v>2324</v>
      </c>
      <c r="B476" s="6" t="s">
        <v>2324</v>
      </c>
      <c r="C476" s="6" t="s">
        <v>2325</v>
      </c>
      <c r="D476" s="6" t="s">
        <v>2326</v>
      </c>
      <c r="E476" s="6" t="e">
        <v>#N/A</v>
      </c>
      <c r="F476" s="6">
        <v>0.0</v>
      </c>
      <c r="G476" s="6" t="s">
        <v>2327</v>
      </c>
      <c r="H476" s="7" t="s">
        <v>2328</v>
      </c>
      <c r="I476" s="6" t="e">
        <v>#N/A</v>
      </c>
      <c r="J476" s="6" t="e">
        <v>#N/A</v>
      </c>
      <c r="K476" s="6" t="str">
        <f>VLOOKUP(A476,Sheet4!$A:$H,7,0)</f>
        <v>Protector</v>
      </c>
      <c r="L476" s="6" t="str">
        <f>VLOOKUP(B476,Sheet4!$A:$H,8,0)</f>
        <v>Bedding</v>
      </c>
      <c r="M476" s="6">
        <v>1049.0</v>
      </c>
      <c r="N476" s="8">
        <v>997.0</v>
      </c>
      <c r="O476" s="10">
        <v>999.0</v>
      </c>
      <c r="P476" s="10">
        <v>944.1</v>
      </c>
    </row>
    <row r="477">
      <c r="A477" s="6" t="s">
        <v>2329</v>
      </c>
      <c r="B477" s="6" t="s">
        <v>2329</v>
      </c>
      <c r="C477" s="6" t="s">
        <v>2330</v>
      </c>
      <c r="D477" s="6" t="s">
        <v>2331</v>
      </c>
      <c r="E477" s="6" t="e">
        <v>#N/A</v>
      </c>
      <c r="F477" s="6" t="s">
        <v>2332</v>
      </c>
      <c r="G477" s="6" t="s">
        <v>2333</v>
      </c>
      <c r="H477" s="7" t="s">
        <v>2334</v>
      </c>
      <c r="I477" s="6">
        <v>3.1862333E7</v>
      </c>
      <c r="J477" s="6" t="e">
        <v>#N/A</v>
      </c>
      <c r="K477" s="6" t="str">
        <f>VLOOKUP(A477,Sheet4!$A:$H,7,0)</f>
        <v>Protector</v>
      </c>
      <c r="L477" s="6" t="str">
        <f>VLOOKUP(B477,Sheet4!$A:$H,8,0)</f>
        <v>Bedding</v>
      </c>
      <c r="M477" s="6">
        <v>1089.0</v>
      </c>
      <c r="N477" s="8">
        <v>1035.0</v>
      </c>
      <c r="O477" s="9">
        <v>1035.0</v>
      </c>
      <c r="P477" s="10">
        <v>980.1</v>
      </c>
    </row>
    <row r="478">
      <c r="A478" s="6" t="s">
        <v>2335</v>
      </c>
      <c r="B478" s="6" t="s">
        <v>2335</v>
      </c>
      <c r="C478" s="6" t="s">
        <v>2336</v>
      </c>
      <c r="D478" s="6" t="s">
        <v>2337</v>
      </c>
      <c r="E478" s="6" t="e">
        <v>#N/A</v>
      </c>
      <c r="F478" s="6" t="s">
        <v>2338</v>
      </c>
      <c r="G478" s="6" t="s">
        <v>2339</v>
      </c>
      <c r="H478" s="7" t="s">
        <v>2340</v>
      </c>
      <c r="I478" s="6">
        <v>3.1862314E7</v>
      </c>
      <c r="J478" s="6" t="e">
        <v>#N/A</v>
      </c>
      <c r="K478" s="6" t="str">
        <f>VLOOKUP(A478,Sheet4!$A:$H,7,0)</f>
        <v>Protector</v>
      </c>
      <c r="L478" s="6" t="str">
        <f>VLOOKUP(B478,Sheet4!$A:$H,8,0)</f>
        <v>Bedding</v>
      </c>
      <c r="M478" s="6">
        <v>1089.0</v>
      </c>
      <c r="N478" s="8">
        <v>1035.0</v>
      </c>
      <c r="O478" s="9">
        <v>1035.0</v>
      </c>
      <c r="P478" s="10">
        <v>980.1</v>
      </c>
    </row>
    <row r="479">
      <c r="A479" s="6" t="s">
        <v>2341</v>
      </c>
      <c r="B479" s="6" t="s">
        <v>2341</v>
      </c>
      <c r="C479" s="6" t="s">
        <v>2342</v>
      </c>
      <c r="D479" s="6" t="s">
        <v>2343</v>
      </c>
      <c r="E479" s="6" t="e">
        <v>#N/A</v>
      </c>
      <c r="F479" s="6" t="s">
        <v>2344</v>
      </c>
      <c r="G479" s="6" t="s">
        <v>2345</v>
      </c>
      <c r="H479" s="7" t="s">
        <v>2346</v>
      </c>
      <c r="I479" s="6">
        <v>3.186232E7</v>
      </c>
      <c r="J479" s="6" t="e">
        <v>#N/A</v>
      </c>
      <c r="K479" s="6" t="str">
        <f>VLOOKUP(A479,Sheet4!$A:$H,7,0)</f>
        <v>Protector</v>
      </c>
      <c r="L479" s="6" t="str">
        <f>VLOOKUP(B479,Sheet4!$A:$H,8,0)</f>
        <v>Bedding</v>
      </c>
      <c r="M479" s="6">
        <v>1089.0</v>
      </c>
      <c r="N479" s="8">
        <v>1035.0</v>
      </c>
      <c r="O479" s="9">
        <v>1035.0</v>
      </c>
      <c r="P479" s="10">
        <v>980.1</v>
      </c>
    </row>
    <row r="480">
      <c r="A480" s="6" t="s">
        <v>2347</v>
      </c>
      <c r="B480" s="6" t="s">
        <v>2347</v>
      </c>
      <c r="C480" s="6" t="s">
        <v>2348</v>
      </c>
      <c r="D480" s="6" t="s">
        <v>2349</v>
      </c>
      <c r="E480" s="6" t="e">
        <v>#N/A</v>
      </c>
      <c r="F480" s="6">
        <v>0.0</v>
      </c>
      <c r="G480" s="6" t="s">
        <v>2350</v>
      </c>
      <c r="H480" s="7" t="s">
        <v>2351</v>
      </c>
      <c r="I480" s="6" t="e">
        <v>#N/A</v>
      </c>
      <c r="J480" s="6" t="e">
        <v>#N/A</v>
      </c>
      <c r="K480" s="6" t="str">
        <f>VLOOKUP(A480,Sheet4!$A:$H,7,0)</f>
        <v>Protector</v>
      </c>
      <c r="L480" s="6" t="str">
        <f>VLOOKUP(B480,Sheet4!$A:$H,8,0)</f>
        <v>Bedding</v>
      </c>
      <c r="M480" s="6">
        <v>1200.0</v>
      </c>
      <c r="N480" s="8">
        <v>1140.0</v>
      </c>
      <c r="O480" s="9">
        <v>1140.0</v>
      </c>
      <c r="P480" s="10">
        <v>1080.0</v>
      </c>
    </row>
    <row r="481">
      <c r="A481" s="6" t="s">
        <v>2352</v>
      </c>
      <c r="B481" s="6" t="s">
        <v>2352</v>
      </c>
      <c r="C481" s="6" t="s">
        <v>2353</v>
      </c>
      <c r="D481" s="6" t="s">
        <v>2354</v>
      </c>
      <c r="E481" s="6" t="e">
        <v>#N/A</v>
      </c>
      <c r="F481" s="6">
        <v>0.0</v>
      </c>
      <c r="G481" s="6" t="s">
        <v>2355</v>
      </c>
      <c r="H481" s="7" t="s">
        <v>2356</v>
      </c>
      <c r="I481" s="6" t="e">
        <v>#N/A</v>
      </c>
      <c r="J481" s="6" t="e">
        <v>#N/A</v>
      </c>
      <c r="K481" s="6" t="str">
        <f>VLOOKUP(A481,Sheet4!$A:$H,7,0)</f>
        <v>Protector</v>
      </c>
      <c r="L481" s="6" t="str">
        <f>VLOOKUP(B481,Sheet4!$A:$H,8,0)</f>
        <v>Bedding</v>
      </c>
      <c r="M481" s="6">
        <v>1089.0</v>
      </c>
      <c r="N481" s="8">
        <v>1035.0</v>
      </c>
      <c r="O481" s="9">
        <v>1035.0</v>
      </c>
      <c r="P481" s="10">
        <v>980.1</v>
      </c>
    </row>
    <row r="482">
      <c r="A482" s="6" t="s">
        <v>2357</v>
      </c>
      <c r="B482" s="6" t="s">
        <v>2357</v>
      </c>
      <c r="C482" s="6" t="s">
        <v>2358</v>
      </c>
      <c r="D482" s="6" t="s">
        <v>2359</v>
      </c>
      <c r="E482" s="6" t="e">
        <v>#N/A</v>
      </c>
      <c r="F482" s="6">
        <v>0.0</v>
      </c>
      <c r="G482" s="6" t="s">
        <v>2360</v>
      </c>
      <c r="H482" s="7" t="s">
        <v>2361</v>
      </c>
      <c r="I482" s="6" t="e">
        <v>#N/A</v>
      </c>
      <c r="J482" s="6" t="e">
        <v>#N/A</v>
      </c>
      <c r="K482" s="6" t="str">
        <f>VLOOKUP(A482,Sheet4!$A:$H,7,0)</f>
        <v>Protector</v>
      </c>
      <c r="L482" s="6" t="str">
        <f>VLOOKUP(B482,Sheet4!$A:$H,8,0)</f>
        <v>Bedding</v>
      </c>
      <c r="M482" s="6">
        <v>1089.0</v>
      </c>
      <c r="N482" s="8">
        <v>1035.0</v>
      </c>
      <c r="O482" s="9">
        <v>1035.0</v>
      </c>
      <c r="P482" s="10">
        <v>980.1</v>
      </c>
    </row>
    <row r="483">
      <c r="A483" s="6" t="s">
        <v>2362</v>
      </c>
      <c r="B483" s="6" t="s">
        <v>2362</v>
      </c>
      <c r="C483" s="6" t="s">
        <v>2363</v>
      </c>
      <c r="D483" s="6" t="s">
        <v>2364</v>
      </c>
      <c r="E483" s="6" t="e">
        <v>#N/A</v>
      </c>
      <c r="F483" s="6">
        <v>0.0</v>
      </c>
      <c r="G483" s="6" t="s">
        <v>2365</v>
      </c>
      <c r="H483" s="7" t="s">
        <v>2366</v>
      </c>
      <c r="I483" s="6" t="e">
        <v>#N/A</v>
      </c>
      <c r="J483" s="6" t="e">
        <v>#N/A</v>
      </c>
      <c r="K483" s="6" t="str">
        <f>VLOOKUP(A483,Sheet4!$A:$H,7,0)</f>
        <v>Protector</v>
      </c>
      <c r="L483" s="6" t="str">
        <f>VLOOKUP(B483,Sheet4!$A:$H,8,0)</f>
        <v>Bedding</v>
      </c>
      <c r="M483" s="6">
        <v>1089.0</v>
      </c>
      <c r="N483" s="8">
        <v>1035.0</v>
      </c>
      <c r="O483" s="9">
        <v>1035.0</v>
      </c>
      <c r="P483" s="10">
        <v>980.1</v>
      </c>
    </row>
    <row r="484">
      <c r="A484" s="6" t="s">
        <v>2367</v>
      </c>
      <c r="B484" s="6" t="s">
        <v>2367</v>
      </c>
      <c r="C484" s="6">
        <v>0.0</v>
      </c>
      <c r="D484" s="6" t="s">
        <v>1139</v>
      </c>
      <c r="E484" s="6" t="e">
        <v>#N/A</v>
      </c>
      <c r="F484" s="6" t="s">
        <v>2368</v>
      </c>
      <c r="G484" s="6">
        <v>0.0</v>
      </c>
      <c r="H484" s="7" t="e">
        <v>#N/A</v>
      </c>
      <c r="I484" s="6" t="e">
        <v>#N/A</v>
      </c>
      <c r="J484" s="6" t="e">
        <v>#N/A</v>
      </c>
      <c r="K484" s="6" t="str">
        <f>VLOOKUP(A484,Sheet4!$A:$H,7,0)</f>
        <v>Cuddle Pillow</v>
      </c>
      <c r="L484" s="6" t="str">
        <f>VLOOKUP(B484,Sheet4!$A:$H,8,0)</f>
        <v>Pillows</v>
      </c>
      <c r="M484" s="6">
        <v>1989.0</v>
      </c>
      <c r="N484" s="8">
        <v>1698.0</v>
      </c>
      <c r="O484" s="9">
        <v>1699.0</v>
      </c>
      <c r="P484" s="10">
        <v>1499.0</v>
      </c>
    </row>
    <row r="485">
      <c r="A485" s="6" t="s">
        <v>2369</v>
      </c>
      <c r="B485" s="6" t="s">
        <v>2369</v>
      </c>
      <c r="C485" s="6" t="s">
        <v>2370</v>
      </c>
      <c r="D485" s="6" t="s">
        <v>2371</v>
      </c>
      <c r="E485" s="6" t="e">
        <v>#N/A</v>
      </c>
      <c r="F485" s="6" t="s">
        <v>2372</v>
      </c>
      <c r="G485" s="6" t="s">
        <v>2373</v>
      </c>
      <c r="H485" s="7" t="s">
        <v>2374</v>
      </c>
      <c r="I485" s="6">
        <v>3.3223713E7</v>
      </c>
      <c r="J485" s="6" t="e">
        <v>#N/A</v>
      </c>
      <c r="K485" s="6" t="str">
        <f>VLOOKUP(A485,Sheet4!$A:$H,7,0)</f>
        <v>Dual Comfort Pillow</v>
      </c>
      <c r="L485" s="6" t="str">
        <f>VLOOKUP(B485,Sheet4!$A:$H,8,0)</f>
        <v>Pillows</v>
      </c>
      <c r="M485" s="6">
        <v>2499.0</v>
      </c>
      <c r="N485" s="8">
        <v>2149.0</v>
      </c>
      <c r="O485" s="9">
        <v>2149.0</v>
      </c>
      <c r="P485" s="10">
        <v>1999.0</v>
      </c>
    </row>
    <row r="486">
      <c r="A486" s="6" t="s">
        <v>2375</v>
      </c>
      <c r="B486" s="6" t="s">
        <v>2375</v>
      </c>
      <c r="C486" s="6" t="s">
        <v>2376</v>
      </c>
      <c r="D486" s="6" t="s">
        <v>2377</v>
      </c>
      <c r="E486" s="6" t="e">
        <v>#N/A</v>
      </c>
      <c r="F486" s="6" t="s">
        <v>2378</v>
      </c>
      <c r="G486" s="6" t="s">
        <v>2379</v>
      </c>
      <c r="H486" s="7" t="s">
        <v>2380</v>
      </c>
      <c r="I486" s="6">
        <v>3.1645868E7</v>
      </c>
      <c r="J486" s="6" t="e">
        <v>#N/A</v>
      </c>
      <c r="K486" s="6" t="str">
        <f>VLOOKUP(A486,Sheet4!$A:$H,7,0)</f>
        <v>Fiber Lite</v>
      </c>
      <c r="L486" s="6" t="str">
        <f>VLOOKUP(B486,Sheet4!$A:$H,8,0)</f>
        <v>Pillows</v>
      </c>
      <c r="M486" s="6">
        <v>999.0</v>
      </c>
      <c r="N486" s="8">
        <v>849.0</v>
      </c>
      <c r="O486" s="10">
        <v>849.0</v>
      </c>
      <c r="P486" s="5">
        <v>749.0</v>
      </c>
    </row>
    <row r="487">
      <c r="A487" s="6" t="s">
        <v>2381</v>
      </c>
      <c r="B487" s="6" t="s">
        <v>2381</v>
      </c>
      <c r="C487" s="6" t="e">
        <v>#N/A</v>
      </c>
      <c r="D487" s="6" t="e">
        <v>#N/A</v>
      </c>
      <c r="E487" s="6" t="e">
        <v>#N/A</v>
      </c>
      <c r="F487" s="6" t="e">
        <v>#N/A</v>
      </c>
      <c r="G487" s="6">
        <v>0.0</v>
      </c>
      <c r="H487" s="7" t="e">
        <v>#N/A</v>
      </c>
      <c r="I487" s="6" t="e">
        <v>#N/A</v>
      </c>
      <c r="J487" s="6" t="e">
        <v>#N/A</v>
      </c>
      <c r="K487" s="6" t="str">
        <f>VLOOKUP(A487,Sheet4!$A:$H,7,0)</f>
        <v>#N/A</v>
      </c>
      <c r="L487" s="6" t="str">
        <f>VLOOKUP(B487,Sheet4!$A:$H,8,0)</f>
        <v>#N/A</v>
      </c>
      <c r="M487" s="6" t="str">
        <f t="shared" ref="M487:M489" si="5">VLOOKUP(A487,#REF!,2,FALSE)</f>
        <v>#REF!</v>
      </c>
      <c r="N487" s="6" t="str">
        <f>VLOOKUP(A487, Sheet2!A:M, 3, FALSE)</f>
        <v>#N/A</v>
      </c>
      <c r="O487" s="10" t="e">
        <v>#N/A</v>
      </c>
      <c r="P487" s="10" t="e">
        <v>#N/A</v>
      </c>
    </row>
    <row r="488">
      <c r="A488" s="6" t="s">
        <v>2382</v>
      </c>
      <c r="B488" s="6" t="s">
        <v>2382</v>
      </c>
      <c r="C488" s="6" t="e">
        <v>#N/A</v>
      </c>
      <c r="D488" s="6" t="e">
        <v>#N/A</v>
      </c>
      <c r="E488" s="6" t="e">
        <v>#N/A</v>
      </c>
      <c r="F488" s="6" t="e">
        <v>#N/A</v>
      </c>
      <c r="G488" s="6">
        <v>0.0</v>
      </c>
      <c r="H488" s="7" t="e">
        <v>#N/A</v>
      </c>
      <c r="I488" s="6" t="e">
        <v>#N/A</v>
      </c>
      <c r="J488" s="6" t="e">
        <v>#N/A</v>
      </c>
      <c r="K488" s="6" t="str">
        <f>VLOOKUP(A488,Sheet4!$A:$H,7,0)</f>
        <v>#N/A</v>
      </c>
      <c r="L488" s="6" t="str">
        <f>VLOOKUP(B488,Sheet4!$A:$H,8,0)</f>
        <v>#N/A</v>
      </c>
      <c r="M488" s="6" t="str">
        <f t="shared" si="5"/>
        <v>#REF!</v>
      </c>
      <c r="N488" s="6" t="str">
        <f>VLOOKUP(A488, Sheet2!A:M, 3, FALSE)</f>
        <v>#N/A</v>
      </c>
      <c r="O488" s="10" t="e">
        <v>#N/A</v>
      </c>
      <c r="P488" s="10" t="e">
        <v>#N/A</v>
      </c>
    </row>
    <row r="489">
      <c r="A489" s="6" t="s">
        <v>2383</v>
      </c>
      <c r="B489" s="6" t="s">
        <v>2383</v>
      </c>
      <c r="C489" s="6" t="e">
        <v>#N/A</v>
      </c>
      <c r="D489" s="6" t="e">
        <v>#N/A</v>
      </c>
      <c r="E489" s="6" t="e">
        <v>#N/A</v>
      </c>
      <c r="F489" s="6" t="e">
        <v>#N/A</v>
      </c>
      <c r="G489" s="6">
        <v>0.0</v>
      </c>
      <c r="H489" s="7" t="e">
        <v>#N/A</v>
      </c>
      <c r="I489" s="6" t="e">
        <v>#N/A</v>
      </c>
      <c r="J489" s="6" t="e">
        <v>#N/A</v>
      </c>
      <c r="K489" s="6" t="str">
        <f>VLOOKUP(A489,Sheet4!$A:$H,7,0)</f>
        <v>#N/A</v>
      </c>
      <c r="L489" s="6" t="str">
        <f>VLOOKUP(B489,Sheet4!$A:$H,8,0)</f>
        <v>#N/A</v>
      </c>
      <c r="M489" s="6" t="str">
        <f t="shared" si="5"/>
        <v>#REF!</v>
      </c>
      <c r="N489" s="6" t="str">
        <f>VLOOKUP(A489, Sheet2!A:M, 3, FALSE)</f>
        <v>#N/A</v>
      </c>
      <c r="O489" s="10" t="e">
        <v>#N/A</v>
      </c>
      <c r="P489" s="10" t="e">
        <v>#N/A</v>
      </c>
    </row>
    <row r="490">
      <c r="A490" s="6" t="s">
        <v>2384</v>
      </c>
      <c r="B490" s="6" t="s">
        <v>2384</v>
      </c>
      <c r="C490" s="6" t="s">
        <v>2385</v>
      </c>
      <c r="D490" s="6" t="s">
        <v>2386</v>
      </c>
      <c r="E490" s="6" t="e">
        <v>#N/A</v>
      </c>
      <c r="F490" s="6" t="s">
        <v>2387</v>
      </c>
      <c r="G490" s="6" t="s">
        <v>2388</v>
      </c>
      <c r="H490" s="7" t="s">
        <v>2389</v>
      </c>
      <c r="I490" s="6">
        <v>3.162988E7</v>
      </c>
      <c r="J490" s="6" t="e">
        <v>#N/A</v>
      </c>
      <c r="K490" s="6" t="str">
        <f>VLOOKUP(A490,Sheet4!$A:$H,7,0)</f>
        <v>Marshmallow Pillow</v>
      </c>
      <c r="L490" s="6" t="str">
        <f>VLOOKUP(B490,Sheet4!$A:$H,8,0)</f>
        <v>Pillows</v>
      </c>
      <c r="M490" s="6">
        <v>1989.0</v>
      </c>
      <c r="N490" s="8">
        <v>1699.0</v>
      </c>
      <c r="O490" s="9">
        <v>1699.0</v>
      </c>
      <c r="P490" s="10">
        <v>1599.0</v>
      </c>
    </row>
    <row r="491">
      <c r="A491" s="6" t="s">
        <v>2390</v>
      </c>
      <c r="B491" s="6" t="s">
        <v>2390</v>
      </c>
      <c r="C491" s="6" t="s">
        <v>2391</v>
      </c>
      <c r="D491" s="6" t="s">
        <v>2392</v>
      </c>
      <c r="E491" s="6" t="s">
        <v>2393</v>
      </c>
      <c r="F491" s="6">
        <v>0.0</v>
      </c>
      <c r="G491" s="6" t="s">
        <v>2394</v>
      </c>
      <c r="H491" s="7" t="s">
        <v>2395</v>
      </c>
      <c r="I491" s="6">
        <v>3.1629881E7</v>
      </c>
      <c r="J491" s="6" t="s">
        <v>2396</v>
      </c>
      <c r="K491" s="6" t="str">
        <f>VLOOKUP(A491,Sheet4!$A:$H,7,0)</f>
        <v>Cloud Pillow</v>
      </c>
      <c r="L491" s="6" t="str">
        <f>VLOOKUP(B491,Sheet4!$A:$H,8,0)</f>
        <v>Pillows</v>
      </c>
      <c r="M491" s="6">
        <v>1189.0</v>
      </c>
      <c r="N491" s="8">
        <v>999.0</v>
      </c>
      <c r="O491" s="10">
        <v>999.0</v>
      </c>
      <c r="P491" s="10">
        <v>949.0</v>
      </c>
    </row>
    <row r="492">
      <c r="A492" s="6" t="s">
        <v>2397</v>
      </c>
      <c r="B492" s="6" t="s">
        <v>2397</v>
      </c>
      <c r="C492" s="6" t="s">
        <v>2398</v>
      </c>
      <c r="D492" s="6" t="s">
        <v>2399</v>
      </c>
      <c r="E492" s="6" t="s">
        <v>2400</v>
      </c>
      <c r="F492" s="6">
        <v>0.0</v>
      </c>
      <c r="G492" s="6" t="s">
        <v>2401</v>
      </c>
      <c r="H492" s="7" t="s">
        <v>2402</v>
      </c>
      <c r="I492" s="6">
        <v>3.277766E7</v>
      </c>
      <c r="J492" s="6" t="s">
        <v>2403</v>
      </c>
      <c r="K492" s="6" t="str">
        <f>VLOOKUP(A492,Sheet4!$A:$H,7,0)</f>
        <v>Cloud Pillow</v>
      </c>
      <c r="L492" s="6" t="str">
        <f>VLOOKUP(B492,Sheet4!$A:$H,8,0)</f>
        <v>Pillows</v>
      </c>
      <c r="M492" s="6">
        <v>2199.0</v>
      </c>
      <c r="N492" s="8">
        <v>1899.0</v>
      </c>
      <c r="O492" s="9">
        <v>1899.0</v>
      </c>
      <c r="P492" s="10">
        <v>1799.0</v>
      </c>
    </row>
    <row r="493">
      <c r="A493" s="6" t="s">
        <v>2404</v>
      </c>
      <c r="B493" s="6" t="s">
        <v>2404</v>
      </c>
      <c r="C493" s="6" t="s">
        <v>2405</v>
      </c>
      <c r="D493" s="6" t="s">
        <v>2406</v>
      </c>
      <c r="E493" s="6" t="e">
        <v>#N/A</v>
      </c>
      <c r="F493" s="6" t="s">
        <v>2407</v>
      </c>
      <c r="G493" s="6" t="s">
        <v>2408</v>
      </c>
      <c r="H493" s="7" t="s">
        <v>2409</v>
      </c>
      <c r="I493" s="6">
        <v>3.2777662E7</v>
      </c>
      <c r="J493" s="6" t="s">
        <v>2410</v>
      </c>
      <c r="K493" s="6" t="str">
        <f>VLOOKUP(A493,Sheet4!$A:$H,7,0)</f>
        <v>Cloud Pillow</v>
      </c>
      <c r="L493" s="6" t="str">
        <f>VLOOKUP(B493,Sheet4!$A:$H,8,0)</f>
        <v>Pillows</v>
      </c>
      <c r="M493" s="6">
        <v>3999.0</v>
      </c>
      <c r="N493" s="8">
        <v>3799.0</v>
      </c>
      <c r="O493" s="9">
        <v>3699.0</v>
      </c>
      <c r="P493" s="10">
        <v>3699.0</v>
      </c>
    </row>
    <row r="494">
      <c r="A494" s="6" t="s">
        <v>2411</v>
      </c>
      <c r="B494" s="6" t="s">
        <v>2411</v>
      </c>
      <c r="C494" s="6">
        <v>0.0</v>
      </c>
      <c r="D494" s="6" t="s">
        <v>2412</v>
      </c>
      <c r="E494" s="6" t="e">
        <v>#N/A</v>
      </c>
      <c r="F494" s="6" t="s">
        <v>2413</v>
      </c>
      <c r="G494" s="6" t="s">
        <v>2414</v>
      </c>
      <c r="H494" s="7" t="e">
        <v>#N/A</v>
      </c>
      <c r="I494" s="6" t="e">
        <v>#N/A</v>
      </c>
      <c r="J494" s="6" t="e">
        <v>#N/A</v>
      </c>
      <c r="K494" s="6" t="str">
        <f>VLOOKUP(A494,Sheet4!$A:$H,7,0)</f>
        <v>Cloud Pillow</v>
      </c>
      <c r="L494" s="6" t="str">
        <f>VLOOKUP(B494,Sheet4!$A:$H,8,0)</f>
        <v>Pillows</v>
      </c>
      <c r="M494" s="6">
        <v>1489.0</v>
      </c>
      <c r="N494" s="8">
        <v>1149.0</v>
      </c>
      <c r="O494" s="9">
        <v>1299.0</v>
      </c>
      <c r="P494" s="10">
        <v>999.0</v>
      </c>
    </row>
    <row r="495">
      <c r="A495" s="6" t="s">
        <v>2415</v>
      </c>
      <c r="B495" s="6" t="s">
        <v>2415</v>
      </c>
      <c r="C495" s="6">
        <v>0.0</v>
      </c>
      <c r="D495" s="6" t="s">
        <v>2416</v>
      </c>
      <c r="E495" s="6" t="e">
        <v>#N/A</v>
      </c>
      <c r="F495" s="6">
        <v>0.0</v>
      </c>
      <c r="G495" s="6" t="s">
        <v>2417</v>
      </c>
      <c r="H495" s="7" t="e">
        <v>#N/A</v>
      </c>
      <c r="I495" s="6" t="e">
        <v>#N/A</v>
      </c>
      <c r="J495" s="6" t="e">
        <v>#N/A</v>
      </c>
      <c r="K495" s="6" t="str">
        <f>VLOOKUP(A495,Sheet4!$A:$H,7,0)</f>
        <v>Cloud Pillow</v>
      </c>
      <c r="L495" s="6" t="str">
        <f>VLOOKUP(B495,Sheet4!$A:$H,8,0)</f>
        <v>Pillows</v>
      </c>
      <c r="M495" s="6">
        <v>2599.0</v>
      </c>
      <c r="N495" s="8">
        <v>2199.0</v>
      </c>
      <c r="O495" s="9">
        <v>2499.0</v>
      </c>
      <c r="P495" s="10">
        <v>1899.0</v>
      </c>
    </row>
    <row r="496">
      <c r="A496" s="6" t="s">
        <v>2418</v>
      </c>
      <c r="B496" s="6" t="s">
        <v>2418</v>
      </c>
      <c r="C496" s="6" t="s">
        <v>2419</v>
      </c>
      <c r="D496" s="6" t="s">
        <v>2420</v>
      </c>
      <c r="E496" s="6" t="e">
        <v>#N/A</v>
      </c>
      <c r="F496" s="6" t="s">
        <v>2421</v>
      </c>
      <c r="G496" s="6" t="s">
        <v>2422</v>
      </c>
      <c r="H496" s="7" t="s">
        <v>2423</v>
      </c>
      <c r="I496" s="6" t="e">
        <v>#N/A</v>
      </c>
      <c r="J496" s="6" t="e">
        <v>#N/A</v>
      </c>
      <c r="K496" s="6" t="str">
        <f>VLOOKUP(A496,Sheet4!$A:$H,7,0)</f>
        <v>Cloud Pillow</v>
      </c>
      <c r="L496" s="6" t="str">
        <f>VLOOKUP(B496,Sheet4!$A:$H,8,0)</f>
        <v>Pillows</v>
      </c>
      <c r="M496" s="6">
        <v>5956.0</v>
      </c>
      <c r="N496" s="8">
        <v>4399.0</v>
      </c>
      <c r="O496" s="9">
        <v>4899.0</v>
      </c>
      <c r="P496" s="10">
        <v>3899.0</v>
      </c>
    </row>
    <row r="497">
      <c r="A497" s="6" t="s">
        <v>2424</v>
      </c>
      <c r="B497" s="6" t="s">
        <v>2424</v>
      </c>
      <c r="C497" s="6" t="s">
        <v>2425</v>
      </c>
      <c r="D497" s="6" t="s">
        <v>2426</v>
      </c>
      <c r="E497" s="6" t="s">
        <v>2427</v>
      </c>
      <c r="F497" s="6">
        <v>0.0</v>
      </c>
      <c r="G497" s="6" t="s">
        <v>2428</v>
      </c>
      <c r="H497" s="7" t="s">
        <v>2429</v>
      </c>
      <c r="I497" s="6">
        <v>3.1629883E7</v>
      </c>
      <c r="J497" s="6" t="s">
        <v>2430</v>
      </c>
      <c r="K497" s="6" t="str">
        <f>VLOOKUP(A497,Sheet4!$A:$H,7,0)</f>
        <v>Hybrid Pillow</v>
      </c>
      <c r="L497" s="6" t="str">
        <f>VLOOKUP(B497,Sheet4!$A:$H,8,0)</f>
        <v>Pillows</v>
      </c>
      <c r="M497" s="6">
        <v>1999.0</v>
      </c>
      <c r="N497" s="8">
        <v>1799.0</v>
      </c>
      <c r="O497" s="9">
        <v>1899.0</v>
      </c>
      <c r="P497" s="10">
        <v>1799.0</v>
      </c>
    </row>
    <row r="498">
      <c r="A498" s="6" t="s">
        <v>2431</v>
      </c>
      <c r="B498" s="6" t="s">
        <v>2431</v>
      </c>
      <c r="C498" s="6" t="s">
        <v>2432</v>
      </c>
      <c r="D498" s="6" t="s">
        <v>2433</v>
      </c>
      <c r="E498" s="6" t="s">
        <v>2434</v>
      </c>
      <c r="F498" s="6">
        <v>0.0</v>
      </c>
      <c r="G498" s="6" t="s">
        <v>2435</v>
      </c>
      <c r="H498" s="7" t="s">
        <v>2436</v>
      </c>
      <c r="I498" s="6">
        <v>3.2777661E7</v>
      </c>
      <c r="J498" s="6" t="s">
        <v>2437</v>
      </c>
      <c r="K498" s="6" t="str">
        <f>VLOOKUP(A498,Sheet4!$A:$H,7,0)</f>
        <v>Hybrid Pillow</v>
      </c>
      <c r="L498" s="6" t="str">
        <f>VLOOKUP(B498,Sheet4!$A:$H,8,0)</f>
        <v>Pillows</v>
      </c>
      <c r="M498" s="6">
        <v>3699.0</v>
      </c>
      <c r="N498" s="8">
        <v>3499.0</v>
      </c>
      <c r="O498" s="9">
        <v>3499.0</v>
      </c>
      <c r="P498" s="10">
        <v>3499.0</v>
      </c>
    </row>
    <row r="499">
      <c r="A499" s="6" t="s">
        <v>2438</v>
      </c>
      <c r="B499" s="6" t="s">
        <v>2438</v>
      </c>
      <c r="C499" s="6">
        <v>0.0</v>
      </c>
      <c r="D499" s="6" t="s">
        <v>2439</v>
      </c>
      <c r="E499" s="6" t="e">
        <v>#N/A</v>
      </c>
      <c r="F499" s="6" t="s">
        <v>2440</v>
      </c>
      <c r="G499" s="6" t="s">
        <v>2441</v>
      </c>
      <c r="H499" s="7" t="e">
        <v>#N/A</v>
      </c>
      <c r="I499" s="6" t="e">
        <v>#N/A</v>
      </c>
      <c r="J499" s="6" t="e">
        <v>#N/A</v>
      </c>
      <c r="K499" s="6" t="str">
        <f>VLOOKUP(A499,Sheet4!$A:$H,7,0)</f>
        <v>Standard Latex Pillow</v>
      </c>
      <c r="L499" s="6" t="str">
        <f>VLOOKUP(B499,Sheet4!$A:$H,8,0)</f>
        <v>Pillows</v>
      </c>
      <c r="M499" s="6">
        <v>2589.0</v>
      </c>
      <c r="N499" s="8">
        <v>2330.0</v>
      </c>
      <c r="O499" s="9">
        <v>2330.0</v>
      </c>
      <c r="P499" s="10">
        <v>2199.0</v>
      </c>
    </row>
    <row r="500">
      <c r="A500" s="6" t="s">
        <v>2442</v>
      </c>
      <c r="B500" s="6" t="s">
        <v>2442</v>
      </c>
      <c r="C500" s="6" t="s">
        <v>2443</v>
      </c>
      <c r="D500" s="6" t="s">
        <v>2444</v>
      </c>
      <c r="E500" s="6" t="e">
        <v>#N/A</v>
      </c>
      <c r="F500" s="6" t="s">
        <v>2445</v>
      </c>
      <c r="G500" s="6" t="s">
        <v>2446</v>
      </c>
      <c r="H500" s="7" t="s">
        <v>2447</v>
      </c>
      <c r="I500" s="6" t="e">
        <v>#N/A</v>
      </c>
      <c r="J500" s="6" t="e">
        <v>#N/A</v>
      </c>
      <c r="K500" s="6" t="str">
        <f>VLOOKUP(A500,Sheet4!$A:$H,7,0)</f>
        <v>Contour Latex Pillow</v>
      </c>
      <c r="L500" s="6" t="str">
        <f>VLOOKUP(B500,Sheet4!$A:$H,8,0)</f>
        <v>Pillows</v>
      </c>
      <c r="M500" s="6">
        <v>2589.0</v>
      </c>
      <c r="N500" s="8">
        <v>2399.0</v>
      </c>
      <c r="O500" s="9">
        <v>2399.0</v>
      </c>
      <c r="P500" s="10">
        <v>2299.0</v>
      </c>
    </row>
    <row r="501">
      <c r="A501" s="6" t="s">
        <v>2448</v>
      </c>
      <c r="B501" s="6" t="s">
        <v>2448</v>
      </c>
      <c r="C501" s="6" t="s">
        <v>2449</v>
      </c>
      <c r="D501" s="6" t="s">
        <v>2450</v>
      </c>
      <c r="E501" s="6" t="e">
        <v>#N/A</v>
      </c>
      <c r="F501" s="6" t="s">
        <v>2451</v>
      </c>
      <c r="G501" s="6" t="s">
        <v>2448</v>
      </c>
      <c r="H501" s="7" t="s">
        <v>2452</v>
      </c>
      <c r="I501" s="6">
        <v>3.1629885E7</v>
      </c>
      <c r="J501" s="6" t="s">
        <v>2453</v>
      </c>
      <c r="K501" s="6" t="str">
        <f>VLOOKUP(A501,Sheet4!$A:$H,7,0)</f>
        <v>CoolTEC MF Pillow</v>
      </c>
      <c r="L501" s="6" t="str">
        <f>VLOOKUP(B501,Sheet4!$A:$H,8,0)</f>
        <v>Pillows</v>
      </c>
      <c r="M501" s="6">
        <v>2989.0</v>
      </c>
      <c r="N501" s="8">
        <v>2299.0</v>
      </c>
      <c r="O501" s="9">
        <v>2299.0</v>
      </c>
      <c r="P501" s="10">
        <v>2199.0</v>
      </c>
    </row>
    <row r="502">
      <c r="A502" s="6" t="s">
        <v>2454</v>
      </c>
      <c r="B502" s="6" t="s">
        <v>2454</v>
      </c>
      <c r="C502" s="6" t="s">
        <v>2455</v>
      </c>
      <c r="D502" s="6" t="s">
        <v>2456</v>
      </c>
      <c r="E502" s="6" t="e">
        <v>#N/A</v>
      </c>
      <c r="F502" s="6" t="s">
        <v>2457</v>
      </c>
      <c r="G502" s="6" t="s">
        <v>2458</v>
      </c>
      <c r="H502" s="7" t="s">
        <v>2459</v>
      </c>
      <c r="I502" s="6">
        <v>3.2777663E7</v>
      </c>
      <c r="J502" s="6" t="s">
        <v>2460</v>
      </c>
      <c r="K502" s="6" t="str">
        <f>VLOOKUP(A502,Sheet4!$A:$H,7,0)</f>
        <v>CoolTEC MF Pillow</v>
      </c>
      <c r="L502" s="6" t="str">
        <f>VLOOKUP(B502,Sheet4!$A:$H,8,0)</f>
        <v>Pillows</v>
      </c>
      <c r="M502" s="6">
        <v>5599.0</v>
      </c>
      <c r="N502" s="8">
        <v>4499.0</v>
      </c>
      <c r="O502" s="9">
        <v>4499.0</v>
      </c>
      <c r="P502" s="10">
        <v>4299.0</v>
      </c>
    </row>
    <row r="503">
      <c r="A503" s="6" t="s">
        <v>2461</v>
      </c>
      <c r="B503" s="6" t="s">
        <v>2461</v>
      </c>
      <c r="C503" s="6" t="e">
        <v>#N/A</v>
      </c>
      <c r="D503" s="6" t="e">
        <v>#N/A</v>
      </c>
      <c r="E503" s="6" t="e">
        <v>#N/A</v>
      </c>
      <c r="F503" s="6" t="e">
        <v>#N/A</v>
      </c>
      <c r="G503" s="6">
        <v>0.0</v>
      </c>
      <c r="H503" s="7" t="e">
        <v>#N/A</v>
      </c>
      <c r="I503" s="6" t="e">
        <v>#N/A</v>
      </c>
      <c r="J503" s="6" t="e">
        <v>#N/A</v>
      </c>
      <c r="K503" s="6" t="str">
        <f>VLOOKUP(A503,Sheet4!$A:$H,7,0)</f>
        <v>#N/A</v>
      </c>
      <c r="L503" s="6" t="str">
        <f>VLOOKUP(B503,Sheet4!$A:$H,8,0)</f>
        <v>#N/A</v>
      </c>
      <c r="M503" s="6" t="str">
        <f>VLOOKUP(A503,#REF!,2,FALSE)</f>
        <v>#REF!</v>
      </c>
      <c r="N503" s="6" t="str">
        <f>VLOOKUP(A503, Sheet2!A:M, 3, FALSE)</f>
        <v>#N/A</v>
      </c>
      <c r="O503" s="10" t="e">
        <v>#N/A</v>
      </c>
      <c r="P503" s="10" t="e">
        <v>#N/A</v>
      </c>
    </row>
    <row r="504">
      <c r="A504" s="6" t="s">
        <v>2462</v>
      </c>
      <c r="B504" s="6" t="s">
        <v>2462</v>
      </c>
      <c r="C504" s="6" t="s">
        <v>2463</v>
      </c>
      <c r="D504" s="6" t="s">
        <v>2464</v>
      </c>
      <c r="E504" s="6" t="e">
        <v>#N/A</v>
      </c>
      <c r="F504" s="6">
        <v>0.0</v>
      </c>
      <c r="G504" s="6" t="s">
        <v>2465</v>
      </c>
      <c r="H504" s="7" t="s">
        <v>2466</v>
      </c>
      <c r="I504" s="6" t="e">
        <v>#N/A</v>
      </c>
      <c r="J504" s="6" t="s">
        <v>2467</v>
      </c>
      <c r="K504" s="6" t="str">
        <f>VLOOKUP(A504,Sheet4!$A:$H,7,0)</f>
        <v>CoolTEC MF Pillow</v>
      </c>
      <c r="L504" s="6" t="str">
        <f>VLOOKUP(B504,Sheet4!$A:$H,8,0)</f>
        <v>Pillows</v>
      </c>
      <c r="M504" s="6">
        <v>3489.0</v>
      </c>
      <c r="N504" s="8">
        <v>2687.0</v>
      </c>
      <c r="O504" s="9">
        <v>2687.0</v>
      </c>
      <c r="P504" s="10">
        <v>2599.0</v>
      </c>
    </row>
    <row r="505">
      <c r="A505" s="6" t="s">
        <v>2468</v>
      </c>
      <c r="B505" s="6" t="s">
        <v>2468</v>
      </c>
      <c r="C505" s="6" t="e">
        <v>#N/A</v>
      </c>
      <c r="D505" s="6" t="e">
        <v>#N/A</v>
      </c>
      <c r="E505" s="6" t="e">
        <v>#N/A</v>
      </c>
      <c r="F505" s="6" t="e">
        <v>#N/A</v>
      </c>
      <c r="G505" s="6">
        <v>0.0</v>
      </c>
      <c r="H505" s="7" t="e">
        <v>#N/A</v>
      </c>
      <c r="I505" s="6" t="e">
        <v>#N/A</v>
      </c>
      <c r="J505" s="6" t="e">
        <v>#N/A</v>
      </c>
      <c r="K505" s="6" t="str">
        <f>VLOOKUP(A505,Sheet4!$A:$H,7,0)</f>
        <v>#N/A</v>
      </c>
      <c r="L505" s="6" t="str">
        <f>VLOOKUP(B505,Sheet4!$A:$H,8,0)</f>
        <v>#N/A</v>
      </c>
      <c r="M505" s="6" t="str">
        <f t="shared" ref="M505:M506" si="6">VLOOKUP(A505,#REF!,2,FALSE)</f>
        <v>#REF!</v>
      </c>
      <c r="N505" s="6" t="str">
        <f>VLOOKUP(A505, Sheet2!A:M, 3, FALSE)</f>
        <v>#N/A</v>
      </c>
      <c r="O505" s="10" t="e">
        <v>#N/A</v>
      </c>
      <c r="P505" s="10" t="e">
        <v>#N/A</v>
      </c>
    </row>
    <row r="506">
      <c r="A506" s="6" t="s">
        <v>2469</v>
      </c>
      <c r="B506" s="6" t="s">
        <v>2469</v>
      </c>
      <c r="C506" s="6" t="e">
        <v>#N/A</v>
      </c>
      <c r="D506" s="6" t="e">
        <v>#N/A</v>
      </c>
      <c r="E506" s="6" t="e">
        <v>#N/A</v>
      </c>
      <c r="F506" s="6" t="e">
        <v>#N/A</v>
      </c>
      <c r="G506" s="6">
        <v>0.0</v>
      </c>
      <c r="H506" s="7" t="e">
        <v>#N/A</v>
      </c>
      <c r="I506" s="6" t="e">
        <v>#N/A</v>
      </c>
      <c r="J506" s="6" t="e">
        <v>#N/A</v>
      </c>
      <c r="K506" s="6" t="str">
        <f>VLOOKUP(A506,Sheet4!$A:$H,7,0)</f>
        <v>#N/A</v>
      </c>
      <c r="L506" s="6" t="str">
        <f>VLOOKUP(B506,Sheet4!$A:$H,8,0)</f>
        <v>#N/A</v>
      </c>
      <c r="M506" s="6" t="str">
        <f t="shared" si="6"/>
        <v>#REF!</v>
      </c>
      <c r="N506" s="6" t="str">
        <f>VLOOKUP(A506, Sheet2!A:M, 3, FALSE)</f>
        <v>#N/A</v>
      </c>
      <c r="O506" s="10" t="e">
        <v>#N/A</v>
      </c>
      <c r="P506" s="10" t="e">
        <v>#N/A</v>
      </c>
    </row>
    <row r="507">
      <c r="A507" s="6" t="s">
        <v>2470</v>
      </c>
      <c r="B507" s="6" t="s">
        <v>2470</v>
      </c>
      <c r="C507" s="6" t="s">
        <v>2471</v>
      </c>
      <c r="D507" s="6" t="s">
        <v>2472</v>
      </c>
      <c r="E507" s="6"/>
      <c r="F507" s="6" t="s">
        <v>2473</v>
      </c>
      <c r="G507" s="6" t="s">
        <v>2474</v>
      </c>
      <c r="H507" s="7" t="s">
        <v>2475</v>
      </c>
      <c r="I507" s="6">
        <v>3.2777656E7</v>
      </c>
      <c r="J507" s="6" t="s">
        <v>2476</v>
      </c>
      <c r="K507" s="6" t="str">
        <f>VLOOKUP(A507,Sheet4!$A:$H,7,0)</f>
        <v>Contour Bamboo MF Pillow</v>
      </c>
      <c r="L507" s="6" t="str">
        <f>VLOOKUP(B507,Sheet4!$A:$H,8,0)</f>
        <v>Pillows</v>
      </c>
      <c r="M507" s="6">
        <v>2989.0</v>
      </c>
      <c r="N507" s="8">
        <v>1999.0</v>
      </c>
      <c r="O507" s="9">
        <v>1999.0</v>
      </c>
      <c r="P507" s="10">
        <v>1899.0</v>
      </c>
    </row>
    <row r="508">
      <c r="A508" s="6" t="s">
        <v>2477</v>
      </c>
      <c r="B508" s="6" t="s">
        <v>2477</v>
      </c>
      <c r="C508" s="6" t="s">
        <v>2478</v>
      </c>
      <c r="D508" s="6" t="s">
        <v>2477</v>
      </c>
      <c r="E508" s="6" t="e">
        <v>#N/A</v>
      </c>
      <c r="F508" s="6" t="s">
        <v>2479</v>
      </c>
      <c r="G508" s="6" t="s">
        <v>2477</v>
      </c>
      <c r="H508" s="7" t="s">
        <v>2480</v>
      </c>
      <c r="I508" s="6">
        <v>3.2777657E7</v>
      </c>
      <c r="J508" s="6" t="e">
        <v>#N/A</v>
      </c>
      <c r="K508" s="6" t="str">
        <f>VLOOKUP(A508,Sheet4!$A:$H,7,0)</f>
        <v>CoolTEC MF Pillow</v>
      </c>
      <c r="L508" s="6" t="str">
        <f>VLOOKUP(B508,Sheet4!$A:$H,8,0)</f>
        <v>Pillows</v>
      </c>
      <c r="M508" s="6">
        <v>5599.0</v>
      </c>
      <c r="N508" s="8">
        <v>3799.0</v>
      </c>
      <c r="O508" s="9">
        <v>3799.0</v>
      </c>
      <c r="P508" s="10">
        <v>3499.0</v>
      </c>
    </row>
    <row r="509">
      <c r="A509" s="6" t="s">
        <v>2481</v>
      </c>
      <c r="B509" s="6" t="s">
        <v>2481</v>
      </c>
      <c r="C509" s="6" t="s">
        <v>2482</v>
      </c>
      <c r="D509" s="6" t="s">
        <v>2483</v>
      </c>
      <c r="E509" s="6" t="e">
        <v>#N/A</v>
      </c>
      <c r="F509" s="6" t="s">
        <v>2481</v>
      </c>
      <c r="G509" s="6" t="s">
        <v>2481</v>
      </c>
      <c r="H509" s="7" t="s">
        <v>2484</v>
      </c>
      <c r="I509" s="6">
        <v>3.1917204E7</v>
      </c>
      <c r="J509" s="6" t="e">
        <v>#N/A</v>
      </c>
      <c r="K509" s="6" t="str">
        <f>VLOOKUP(A509,Sheet4!$A:$H,7,0)</f>
        <v>Travel Neck Pillow</v>
      </c>
      <c r="L509" s="6" t="str">
        <f>VLOOKUP(B509,Sheet4!$A:$H,8,0)</f>
        <v>Pillows</v>
      </c>
      <c r="M509" s="6">
        <v>1489.0</v>
      </c>
      <c r="N509" s="8">
        <v>999.0</v>
      </c>
      <c r="O509" s="10">
        <v>999.0</v>
      </c>
      <c r="P509" s="10">
        <v>949.0</v>
      </c>
    </row>
    <row r="510">
      <c r="A510" s="6" t="s">
        <v>2485</v>
      </c>
      <c r="B510" s="6" t="s">
        <v>2485</v>
      </c>
      <c r="C510" s="6" t="e">
        <v>#N/A</v>
      </c>
      <c r="D510" s="6" t="e">
        <v>#N/A</v>
      </c>
      <c r="E510" s="6" t="e">
        <v>#N/A</v>
      </c>
      <c r="F510" s="6" t="e">
        <v>#N/A</v>
      </c>
      <c r="G510" s="6">
        <v>0.0</v>
      </c>
      <c r="H510" s="7" t="e">
        <v>#N/A</v>
      </c>
      <c r="I510" s="6" t="e">
        <v>#N/A</v>
      </c>
      <c r="J510" s="6" t="e">
        <v>#N/A</v>
      </c>
      <c r="K510" s="6" t="str">
        <f>VLOOKUP(A510,Sheet4!$A:$H,7,0)</f>
        <v>#N/A</v>
      </c>
      <c r="L510" s="6" t="str">
        <f>VLOOKUP(B510,Sheet4!$A:$H,8,0)</f>
        <v>#N/A</v>
      </c>
      <c r="M510" s="6" t="str">
        <f t="shared" ref="M510:M611" si="7">VLOOKUP(A510,#REF!,2,FALSE)</f>
        <v>#REF!</v>
      </c>
      <c r="N510" s="6" t="str">
        <f>VLOOKUP(A510, Sheet2!A:M, 3, FALSE)</f>
        <v>#N/A</v>
      </c>
      <c r="O510" s="10" t="e">
        <v>#N/A</v>
      </c>
      <c r="P510" s="10" t="e">
        <v>#N/A</v>
      </c>
    </row>
    <row r="511">
      <c r="A511" s="6" t="s">
        <v>2486</v>
      </c>
      <c r="B511" s="6" t="s">
        <v>2486</v>
      </c>
      <c r="C511" s="6" t="e">
        <v>#N/A</v>
      </c>
      <c r="D511" s="6" t="e">
        <v>#N/A</v>
      </c>
      <c r="E511" s="6" t="e">
        <v>#N/A</v>
      </c>
      <c r="F511" s="6" t="e">
        <v>#N/A</v>
      </c>
      <c r="G511" s="6">
        <v>0.0</v>
      </c>
      <c r="H511" s="7" t="e">
        <v>#N/A</v>
      </c>
      <c r="I511" s="6" t="e">
        <v>#N/A</v>
      </c>
      <c r="J511" s="6" t="e">
        <v>#N/A</v>
      </c>
      <c r="K511" s="6" t="str">
        <f>VLOOKUP(A511,Sheet4!$A:$H,7,0)</f>
        <v>#N/A</v>
      </c>
      <c r="L511" s="6" t="str">
        <f>VLOOKUP(B511,Sheet4!$A:$H,8,0)</f>
        <v>#N/A</v>
      </c>
      <c r="M511" s="6" t="str">
        <f t="shared" si="7"/>
        <v>#REF!</v>
      </c>
      <c r="N511" s="6" t="str">
        <f>VLOOKUP(A511, Sheet2!A:M, 3, FALSE)</f>
        <v>#N/A</v>
      </c>
      <c r="O511" s="10" t="e">
        <v>#N/A</v>
      </c>
      <c r="P511" s="10" t="e">
        <v>#N/A</v>
      </c>
    </row>
    <row r="512">
      <c r="A512" s="6" t="s">
        <v>2487</v>
      </c>
      <c r="B512" s="6" t="s">
        <v>2487</v>
      </c>
      <c r="C512" s="6" t="e">
        <v>#N/A</v>
      </c>
      <c r="D512" s="6" t="e">
        <v>#N/A</v>
      </c>
      <c r="E512" s="6" t="e">
        <v>#N/A</v>
      </c>
      <c r="F512" s="6" t="e">
        <v>#N/A</v>
      </c>
      <c r="G512" s="6">
        <v>0.0</v>
      </c>
      <c r="H512" s="7" t="e">
        <v>#N/A</v>
      </c>
      <c r="I512" s="6" t="e">
        <v>#N/A</v>
      </c>
      <c r="J512" s="6" t="e">
        <v>#N/A</v>
      </c>
      <c r="K512" s="6" t="str">
        <f>VLOOKUP(A512,Sheet4!$A:$H,7,0)</f>
        <v>#N/A</v>
      </c>
      <c r="L512" s="6" t="str">
        <f>VLOOKUP(B512,Sheet4!$A:$H,8,0)</f>
        <v>#N/A</v>
      </c>
      <c r="M512" s="6" t="str">
        <f t="shared" si="7"/>
        <v>#REF!</v>
      </c>
      <c r="N512" s="6" t="str">
        <f>VLOOKUP(A512, Sheet2!A:M, 3, FALSE)</f>
        <v>#N/A</v>
      </c>
      <c r="O512" s="10" t="e">
        <v>#N/A</v>
      </c>
      <c r="P512" s="10" t="e">
        <v>#N/A</v>
      </c>
    </row>
    <row r="513">
      <c r="A513" s="6" t="s">
        <v>2488</v>
      </c>
      <c r="B513" s="6" t="s">
        <v>2488</v>
      </c>
      <c r="C513" s="6" t="e">
        <v>#N/A</v>
      </c>
      <c r="D513" s="6" t="e">
        <v>#N/A</v>
      </c>
      <c r="E513" s="6" t="e">
        <v>#N/A</v>
      </c>
      <c r="F513" s="6" t="e">
        <v>#N/A</v>
      </c>
      <c r="G513" s="6">
        <v>0.0</v>
      </c>
      <c r="H513" s="7" t="e">
        <v>#N/A</v>
      </c>
      <c r="I513" s="6" t="e">
        <v>#N/A</v>
      </c>
      <c r="J513" s="6" t="e">
        <v>#N/A</v>
      </c>
      <c r="K513" s="6" t="str">
        <f>VLOOKUP(A513,Sheet4!$A:$H,7,0)</f>
        <v>#N/A</v>
      </c>
      <c r="L513" s="6" t="str">
        <f>VLOOKUP(B513,Sheet4!$A:$H,8,0)</f>
        <v>#N/A</v>
      </c>
      <c r="M513" s="6" t="str">
        <f t="shared" si="7"/>
        <v>#REF!</v>
      </c>
      <c r="N513" s="6" t="str">
        <f>VLOOKUP(A513, Sheet2!A:M, 3, FALSE)</f>
        <v>#N/A</v>
      </c>
      <c r="O513" s="10" t="e">
        <v>#N/A</v>
      </c>
      <c r="P513" s="10" t="e">
        <v>#N/A</v>
      </c>
    </row>
    <row r="514">
      <c r="A514" s="6" t="s">
        <v>2489</v>
      </c>
      <c r="B514" s="6" t="s">
        <v>2489</v>
      </c>
      <c r="C514" s="6" t="e">
        <v>#N/A</v>
      </c>
      <c r="D514" s="6" t="e">
        <v>#N/A</v>
      </c>
      <c r="E514" s="6" t="e">
        <v>#N/A</v>
      </c>
      <c r="F514" s="6" t="e">
        <v>#N/A</v>
      </c>
      <c r="G514" s="6">
        <v>0.0</v>
      </c>
      <c r="H514" s="7" t="e">
        <v>#N/A</v>
      </c>
      <c r="I514" s="6" t="e">
        <v>#N/A</v>
      </c>
      <c r="J514" s="6" t="e">
        <v>#N/A</v>
      </c>
      <c r="K514" s="6" t="str">
        <f>VLOOKUP(A514,Sheet4!$A:$H,7,0)</f>
        <v>#N/A</v>
      </c>
      <c r="L514" s="6" t="str">
        <f>VLOOKUP(B514,Sheet4!$A:$H,8,0)</f>
        <v>#N/A</v>
      </c>
      <c r="M514" s="6" t="str">
        <f t="shared" si="7"/>
        <v>#REF!</v>
      </c>
      <c r="N514" s="6" t="str">
        <f>VLOOKUP(A514, Sheet2!A:M, 3, FALSE)</f>
        <v>#N/A</v>
      </c>
      <c r="O514" s="10" t="e">
        <v>#N/A</v>
      </c>
      <c r="P514" s="10" t="e">
        <v>#N/A</v>
      </c>
    </row>
    <row r="515">
      <c r="A515" s="6" t="s">
        <v>2490</v>
      </c>
      <c r="B515" s="6" t="s">
        <v>2490</v>
      </c>
      <c r="C515" s="6" t="e">
        <v>#N/A</v>
      </c>
      <c r="D515" s="6" t="e">
        <v>#N/A</v>
      </c>
      <c r="E515" s="6" t="e">
        <v>#N/A</v>
      </c>
      <c r="F515" s="6" t="e">
        <v>#N/A</v>
      </c>
      <c r="G515" s="6">
        <v>0.0</v>
      </c>
      <c r="H515" s="7" t="e">
        <v>#N/A</v>
      </c>
      <c r="I515" s="6" t="e">
        <v>#N/A</v>
      </c>
      <c r="J515" s="6" t="e">
        <v>#N/A</v>
      </c>
      <c r="K515" s="6" t="str">
        <f>VLOOKUP(A515,Sheet4!$A:$H,7,0)</f>
        <v>#N/A</v>
      </c>
      <c r="L515" s="6" t="str">
        <f>VLOOKUP(B515,Sheet4!$A:$H,8,0)</f>
        <v>#N/A</v>
      </c>
      <c r="M515" s="6" t="str">
        <f t="shared" si="7"/>
        <v>#REF!</v>
      </c>
      <c r="N515" s="6" t="str">
        <f>VLOOKUP(A515, Sheet2!A:M, 3, FALSE)</f>
        <v>#N/A</v>
      </c>
      <c r="O515" s="10" t="e">
        <v>#N/A</v>
      </c>
      <c r="P515" s="10" t="e">
        <v>#N/A</v>
      </c>
    </row>
    <row r="516">
      <c r="A516" s="6" t="s">
        <v>2491</v>
      </c>
      <c r="B516" s="6" t="s">
        <v>2491</v>
      </c>
      <c r="C516" s="6" t="e">
        <v>#N/A</v>
      </c>
      <c r="D516" s="6" t="e">
        <v>#N/A</v>
      </c>
      <c r="E516" s="6" t="e">
        <v>#N/A</v>
      </c>
      <c r="F516" s="6" t="e">
        <v>#N/A</v>
      </c>
      <c r="G516" s="6">
        <v>0.0</v>
      </c>
      <c r="H516" s="7" t="e">
        <v>#N/A</v>
      </c>
      <c r="I516" s="6" t="e">
        <v>#N/A</v>
      </c>
      <c r="J516" s="6" t="e">
        <v>#N/A</v>
      </c>
      <c r="K516" s="6" t="str">
        <f>VLOOKUP(A516,Sheet4!$A:$H,7,0)</f>
        <v>#N/A</v>
      </c>
      <c r="L516" s="6" t="str">
        <f>VLOOKUP(B516,Sheet4!$A:$H,8,0)</f>
        <v>#N/A</v>
      </c>
      <c r="M516" s="6" t="str">
        <f t="shared" si="7"/>
        <v>#REF!</v>
      </c>
      <c r="N516" s="6" t="str">
        <f>VLOOKUP(A516, Sheet2!A:M, 3, FALSE)</f>
        <v>#N/A</v>
      </c>
      <c r="O516" s="10" t="e">
        <v>#N/A</v>
      </c>
      <c r="P516" s="10" t="e">
        <v>#N/A</v>
      </c>
    </row>
    <row r="517">
      <c r="A517" s="6" t="s">
        <v>2492</v>
      </c>
      <c r="B517" s="6" t="s">
        <v>2492</v>
      </c>
      <c r="C517" s="6" t="e">
        <v>#N/A</v>
      </c>
      <c r="D517" s="6" t="e">
        <v>#N/A</v>
      </c>
      <c r="E517" s="6" t="e">
        <v>#N/A</v>
      </c>
      <c r="F517" s="6" t="e">
        <v>#N/A</v>
      </c>
      <c r="G517" s="6">
        <v>0.0</v>
      </c>
      <c r="H517" s="7" t="e">
        <v>#N/A</v>
      </c>
      <c r="I517" s="6" t="e">
        <v>#N/A</v>
      </c>
      <c r="J517" s="6" t="e">
        <v>#N/A</v>
      </c>
      <c r="K517" s="6" t="str">
        <f>VLOOKUP(A517,Sheet4!$A:$H,7,0)</f>
        <v>#N/A</v>
      </c>
      <c r="L517" s="6" t="str">
        <f>VLOOKUP(B517,Sheet4!$A:$H,8,0)</f>
        <v>#N/A</v>
      </c>
      <c r="M517" s="6" t="str">
        <f t="shared" si="7"/>
        <v>#REF!</v>
      </c>
      <c r="N517" s="6" t="str">
        <f>VLOOKUP(A517, Sheet2!A:M, 3, FALSE)</f>
        <v>#N/A</v>
      </c>
      <c r="O517" s="10" t="e">
        <v>#N/A</v>
      </c>
      <c r="P517" s="10" t="e">
        <v>#N/A</v>
      </c>
    </row>
    <row r="518">
      <c r="A518" s="6" t="s">
        <v>2493</v>
      </c>
      <c r="B518" s="6" t="s">
        <v>2493</v>
      </c>
      <c r="C518" s="6" t="e">
        <v>#N/A</v>
      </c>
      <c r="D518" s="6" t="e">
        <v>#N/A</v>
      </c>
      <c r="E518" s="6" t="e">
        <v>#N/A</v>
      </c>
      <c r="F518" s="6" t="e">
        <v>#N/A</v>
      </c>
      <c r="G518" s="6">
        <v>0.0</v>
      </c>
      <c r="H518" s="7" t="e">
        <v>#N/A</v>
      </c>
      <c r="I518" s="6" t="e">
        <v>#N/A</v>
      </c>
      <c r="J518" s="6" t="e">
        <v>#N/A</v>
      </c>
      <c r="K518" s="6" t="str">
        <f>VLOOKUP(A518,Sheet4!$A:$H,7,0)</f>
        <v>#N/A</v>
      </c>
      <c r="L518" s="6" t="str">
        <f>VLOOKUP(B518,Sheet4!$A:$H,8,0)</f>
        <v>#N/A</v>
      </c>
      <c r="M518" s="6" t="str">
        <f t="shared" si="7"/>
        <v>#REF!</v>
      </c>
      <c r="N518" s="6" t="str">
        <f>VLOOKUP(A518, Sheet2!A:M, 3, FALSE)</f>
        <v>#N/A</v>
      </c>
      <c r="O518" s="10" t="e">
        <v>#N/A</v>
      </c>
      <c r="P518" s="10" t="e">
        <v>#N/A</v>
      </c>
    </row>
    <row r="519">
      <c r="A519" s="6" t="s">
        <v>2494</v>
      </c>
      <c r="B519" s="6" t="s">
        <v>2494</v>
      </c>
      <c r="C519" s="6" t="e">
        <v>#N/A</v>
      </c>
      <c r="D519" s="6" t="e">
        <v>#N/A</v>
      </c>
      <c r="E519" s="6" t="e">
        <v>#N/A</v>
      </c>
      <c r="F519" s="6" t="e">
        <v>#N/A</v>
      </c>
      <c r="G519" s="6">
        <v>0.0</v>
      </c>
      <c r="H519" s="7" t="e">
        <v>#N/A</v>
      </c>
      <c r="I519" s="6" t="e">
        <v>#N/A</v>
      </c>
      <c r="J519" s="6" t="e">
        <v>#N/A</v>
      </c>
      <c r="K519" s="6" t="str">
        <f>VLOOKUP(A519,Sheet4!$A:$H,7,0)</f>
        <v>#N/A</v>
      </c>
      <c r="L519" s="6" t="str">
        <f>VLOOKUP(B519,Sheet4!$A:$H,8,0)</f>
        <v>#N/A</v>
      </c>
      <c r="M519" s="6" t="str">
        <f t="shared" si="7"/>
        <v>#REF!</v>
      </c>
      <c r="N519" s="6" t="str">
        <f>VLOOKUP(A519, Sheet2!A:M, 3, FALSE)</f>
        <v>#N/A</v>
      </c>
      <c r="O519" s="10" t="e">
        <v>#N/A</v>
      </c>
      <c r="P519" s="10" t="e">
        <v>#N/A</v>
      </c>
    </row>
    <row r="520">
      <c r="A520" s="6" t="s">
        <v>2495</v>
      </c>
      <c r="B520" s="6" t="s">
        <v>2495</v>
      </c>
      <c r="C520" s="6" t="e">
        <v>#N/A</v>
      </c>
      <c r="D520" s="6" t="e">
        <v>#N/A</v>
      </c>
      <c r="E520" s="6" t="e">
        <v>#N/A</v>
      </c>
      <c r="F520" s="6" t="e">
        <v>#N/A</v>
      </c>
      <c r="G520" s="6">
        <v>0.0</v>
      </c>
      <c r="H520" s="7" t="e">
        <v>#N/A</v>
      </c>
      <c r="I520" s="6" t="e">
        <v>#N/A</v>
      </c>
      <c r="J520" s="6" t="e">
        <v>#N/A</v>
      </c>
      <c r="K520" s="6" t="str">
        <f>VLOOKUP(A520,Sheet4!$A:$H,7,0)</f>
        <v>#N/A</v>
      </c>
      <c r="L520" s="6" t="str">
        <f>VLOOKUP(B520,Sheet4!$A:$H,8,0)</f>
        <v>#N/A</v>
      </c>
      <c r="M520" s="6" t="str">
        <f t="shared" si="7"/>
        <v>#REF!</v>
      </c>
      <c r="N520" s="6" t="str">
        <f>VLOOKUP(A520, Sheet2!A:M, 3, FALSE)</f>
        <v>#N/A</v>
      </c>
      <c r="O520" s="10" t="e">
        <v>#N/A</v>
      </c>
      <c r="P520" s="10" t="e">
        <v>#N/A</v>
      </c>
    </row>
    <row r="521">
      <c r="A521" s="6" t="s">
        <v>2496</v>
      </c>
      <c r="B521" s="6" t="s">
        <v>2496</v>
      </c>
      <c r="C521" s="6" t="e">
        <v>#N/A</v>
      </c>
      <c r="D521" s="6" t="e">
        <v>#N/A</v>
      </c>
      <c r="E521" s="6" t="e">
        <v>#N/A</v>
      </c>
      <c r="F521" s="6" t="e">
        <v>#N/A</v>
      </c>
      <c r="G521" s="6">
        <v>0.0</v>
      </c>
      <c r="H521" s="7" t="e">
        <v>#N/A</v>
      </c>
      <c r="I521" s="6" t="e">
        <v>#N/A</v>
      </c>
      <c r="J521" s="6" t="e">
        <v>#N/A</v>
      </c>
      <c r="K521" s="6" t="str">
        <f>VLOOKUP(A521,Sheet4!$A:$H,7,0)</f>
        <v>#N/A</v>
      </c>
      <c r="L521" s="6" t="str">
        <f>VLOOKUP(B521,Sheet4!$A:$H,8,0)</f>
        <v>#N/A</v>
      </c>
      <c r="M521" s="6" t="str">
        <f t="shared" si="7"/>
        <v>#REF!</v>
      </c>
      <c r="N521" s="6" t="str">
        <f>VLOOKUP(A521, Sheet2!A:M, 3, FALSE)</f>
        <v>#N/A</v>
      </c>
      <c r="O521" s="10" t="e">
        <v>#N/A</v>
      </c>
      <c r="P521" s="10" t="e">
        <v>#N/A</v>
      </c>
    </row>
    <row r="522">
      <c r="A522" s="6" t="s">
        <v>2497</v>
      </c>
      <c r="B522" s="6" t="s">
        <v>2497</v>
      </c>
      <c r="C522" s="6" t="e">
        <v>#N/A</v>
      </c>
      <c r="D522" s="6" t="e">
        <v>#N/A</v>
      </c>
      <c r="E522" s="6" t="e">
        <v>#N/A</v>
      </c>
      <c r="F522" s="6" t="e">
        <v>#N/A</v>
      </c>
      <c r="G522" s="6">
        <v>0.0</v>
      </c>
      <c r="H522" s="7" t="e">
        <v>#N/A</v>
      </c>
      <c r="I522" s="6" t="e">
        <v>#N/A</v>
      </c>
      <c r="J522" s="6" t="e">
        <v>#N/A</v>
      </c>
      <c r="K522" s="6" t="str">
        <f>VLOOKUP(A522,Sheet4!$A:$H,7,0)</f>
        <v>#N/A</v>
      </c>
      <c r="L522" s="6" t="str">
        <f>VLOOKUP(B522,Sheet4!$A:$H,8,0)</f>
        <v>#N/A</v>
      </c>
      <c r="M522" s="6" t="str">
        <f t="shared" si="7"/>
        <v>#REF!</v>
      </c>
      <c r="N522" s="6" t="str">
        <f>VLOOKUP(A522, Sheet2!A:M, 3, FALSE)</f>
        <v>#N/A</v>
      </c>
      <c r="O522" s="10" t="e">
        <v>#N/A</v>
      </c>
      <c r="P522" s="10" t="e">
        <v>#N/A</v>
      </c>
    </row>
    <row r="523">
      <c r="A523" s="6" t="s">
        <v>2498</v>
      </c>
      <c r="B523" s="6" t="s">
        <v>2498</v>
      </c>
      <c r="C523" s="6" t="e">
        <v>#N/A</v>
      </c>
      <c r="D523" s="6" t="e">
        <v>#N/A</v>
      </c>
      <c r="E523" s="6" t="e">
        <v>#N/A</v>
      </c>
      <c r="F523" s="6" t="e">
        <v>#N/A</v>
      </c>
      <c r="G523" s="6">
        <v>0.0</v>
      </c>
      <c r="H523" s="7" t="e">
        <v>#N/A</v>
      </c>
      <c r="I523" s="6" t="e">
        <v>#N/A</v>
      </c>
      <c r="J523" s="6" t="e">
        <v>#N/A</v>
      </c>
      <c r="K523" s="6" t="str">
        <f>VLOOKUP(A523,Sheet4!$A:$H,7,0)</f>
        <v>#N/A</v>
      </c>
      <c r="L523" s="6" t="str">
        <f>VLOOKUP(B523,Sheet4!$A:$H,8,0)</f>
        <v>#N/A</v>
      </c>
      <c r="M523" s="6" t="str">
        <f t="shared" si="7"/>
        <v>#REF!</v>
      </c>
      <c r="N523" s="6" t="str">
        <f>VLOOKUP(A523, Sheet2!A:M, 3, FALSE)</f>
        <v>#N/A</v>
      </c>
      <c r="O523" s="10" t="e">
        <v>#N/A</v>
      </c>
      <c r="P523" s="10" t="e">
        <v>#N/A</v>
      </c>
    </row>
    <row r="524">
      <c r="A524" s="6" t="s">
        <v>2499</v>
      </c>
      <c r="B524" s="6" t="s">
        <v>2499</v>
      </c>
      <c r="C524" s="6" t="e">
        <v>#N/A</v>
      </c>
      <c r="D524" s="6" t="e">
        <v>#N/A</v>
      </c>
      <c r="E524" s="6" t="e">
        <v>#N/A</v>
      </c>
      <c r="F524" s="6" t="e">
        <v>#N/A</v>
      </c>
      <c r="G524" s="6">
        <v>0.0</v>
      </c>
      <c r="H524" s="7" t="e">
        <v>#N/A</v>
      </c>
      <c r="I524" s="6" t="e">
        <v>#N/A</v>
      </c>
      <c r="J524" s="6" t="e">
        <v>#N/A</v>
      </c>
      <c r="K524" s="6" t="str">
        <f>VLOOKUP(A524,Sheet4!$A:$H,7,0)</f>
        <v>#N/A</v>
      </c>
      <c r="L524" s="6" t="str">
        <f>VLOOKUP(B524,Sheet4!$A:$H,8,0)</f>
        <v>#N/A</v>
      </c>
      <c r="M524" s="6" t="str">
        <f t="shared" si="7"/>
        <v>#REF!</v>
      </c>
      <c r="N524" s="6" t="str">
        <f>VLOOKUP(A524, Sheet2!A:M, 3, FALSE)</f>
        <v>#N/A</v>
      </c>
      <c r="O524" s="10" t="e">
        <v>#N/A</v>
      </c>
      <c r="P524" s="10" t="e">
        <v>#N/A</v>
      </c>
    </row>
    <row r="525">
      <c r="A525" s="6" t="s">
        <v>2500</v>
      </c>
      <c r="B525" s="6" t="s">
        <v>2500</v>
      </c>
      <c r="C525" s="6" t="e">
        <v>#N/A</v>
      </c>
      <c r="D525" s="6" t="e">
        <v>#N/A</v>
      </c>
      <c r="E525" s="6" t="e">
        <v>#N/A</v>
      </c>
      <c r="F525" s="6" t="e">
        <v>#N/A</v>
      </c>
      <c r="G525" s="6">
        <v>0.0</v>
      </c>
      <c r="H525" s="7" t="e">
        <v>#N/A</v>
      </c>
      <c r="I525" s="6" t="e">
        <v>#N/A</v>
      </c>
      <c r="J525" s="6" t="e">
        <v>#N/A</v>
      </c>
      <c r="K525" s="6" t="str">
        <f>VLOOKUP(A525,Sheet4!$A:$H,7,0)</f>
        <v>#N/A</v>
      </c>
      <c r="L525" s="6" t="str">
        <f>VLOOKUP(B525,Sheet4!$A:$H,8,0)</f>
        <v>#N/A</v>
      </c>
      <c r="M525" s="6" t="str">
        <f t="shared" si="7"/>
        <v>#REF!</v>
      </c>
      <c r="N525" s="6" t="str">
        <f>VLOOKUP(A525, Sheet2!A:M, 3, FALSE)</f>
        <v>#N/A</v>
      </c>
      <c r="O525" s="10" t="e">
        <v>#N/A</v>
      </c>
      <c r="P525" s="10" t="e">
        <v>#N/A</v>
      </c>
    </row>
    <row r="526">
      <c r="A526" s="6" t="s">
        <v>2501</v>
      </c>
      <c r="B526" s="6" t="s">
        <v>2501</v>
      </c>
      <c r="C526" s="6" t="e">
        <v>#N/A</v>
      </c>
      <c r="D526" s="6" t="e">
        <v>#N/A</v>
      </c>
      <c r="E526" s="6" t="e">
        <v>#N/A</v>
      </c>
      <c r="F526" s="6" t="e">
        <v>#N/A</v>
      </c>
      <c r="G526" s="6">
        <v>0.0</v>
      </c>
      <c r="H526" s="7" t="e">
        <v>#N/A</v>
      </c>
      <c r="I526" s="6" t="e">
        <v>#N/A</v>
      </c>
      <c r="J526" s="6" t="e">
        <v>#N/A</v>
      </c>
      <c r="K526" s="6" t="str">
        <f>VLOOKUP(A526,Sheet4!$A:$H,7,0)</f>
        <v>#N/A</v>
      </c>
      <c r="L526" s="6" t="str">
        <f>VLOOKUP(B526,Sheet4!$A:$H,8,0)</f>
        <v>#N/A</v>
      </c>
      <c r="M526" s="6" t="str">
        <f t="shared" si="7"/>
        <v>#REF!</v>
      </c>
      <c r="N526" s="6" t="str">
        <f>VLOOKUP(A526, Sheet2!A:M, 3, FALSE)</f>
        <v>#N/A</v>
      </c>
      <c r="O526" s="10" t="e">
        <v>#N/A</v>
      </c>
      <c r="P526" s="10" t="e">
        <v>#N/A</v>
      </c>
    </row>
    <row r="527">
      <c r="A527" s="6" t="s">
        <v>2502</v>
      </c>
      <c r="B527" s="6" t="s">
        <v>2502</v>
      </c>
      <c r="C527" s="6" t="e">
        <v>#N/A</v>
      </c>
      <c r="D527" s="6" t="e">
        <v>#N/A</v>
      </c>
      <c r="E527" s="6" t="e">
        <v>#N/A</v>
      </c>
      <c r="F527" s="6" t="e">
        <v>#N/A</v>
      </c>
      <c r="G527" s="6">
        <v>0.0</v>
      </c>
      <c r="H527" s="7" t="e">
        <v>#N/A</v>
      </c>
      <c r="I527" s="6" t="e">
        <v>#N/A</v>
      </c>
      <c r="J527" s="6" t="e">
        <v>#N/A</v>
      </c>
      <c r="K527" s="6" t="str">
        <f>VLOOKUP(A527,Sheet4!$A:$H,7,0)</f>
        <v>#N/A</v>
      </c>
      <c r="L527" s="6" t="str">
        <f>VLOOKUP(B527,Sheet4!$A:$H,8,0)</f>
        <v>#N/A</v>
      </c>
      <c r="M527" s="6" t="str">
        <f t="shared" si="7"/>
        <v>#REF!</v>
      </c>
      <c r="N527" s="6" t="str">
        <f>VLOOKUP(A527, Sheet2!A:M, 3, FALSE)</f>
        <v>#N/A</v>
      </c>
      <c r="O527" s="10" t="e">
        <v>#N/A</v>
      </c>
      <c r="P527" s="10" t="e">
        <v>#N/A</v>
      </c>
    </row>
    <row r="528">
      <c r="A528" s="6" t="s">
        <v>2503</v>
      </c>
      <c r="B528" s="6" t="s">
        <v>2503</v>
      </c>
      <c r="C528" s="6" t="e">
        <v>#N/A</v>
      </c>
      <c r="D528" s="6" t="e">
        <v>#N/A</v>
      </c>
      <c r="E528" s="6" t="e">
        <v>#N/A</v>
      </c>
      <c r="F528" s="6" t="e">
        <v>#N/A</v>
      </c>
      <c r="G528" s="6">
        <v>0.0</v>
      </c>
      <c r="H528" s="7" t="e">
        <v>#N/A</v>
      </c>
      <c r="I528" s="6" t="e">
        <v>#N/A</v>
      </c>
      <c r="J528" s="6" t="e">
        <v>#N/A</v>
      </c>
      <c r="K528" s="6" t="str">
        <f>VLOOKUP(A528,Sheet4!$A:$H,7,0)</f>
        <v>#N/A</v>
      </c>
      <c r="L528" s="6" t="str">
        <f>VLOOKUP(B528,Sheet4!$A:$H,8,0)</f>
        <v>#N/A</v>
      </c>
      <c r="M528" s="6" t="str">
        <f t="shared" si="7"/>
        <v>#REF!</v>
      </c>
      <c r="N528" s="6" t="str">
        <f>VLOOKUP(A528, Sheet2!A:M, 3, FALSE)</f>
        <v>#N/A</v>
      </c>
      <c r="O528" s="10" t="e">
        <v>#N/A</v>
      </c>
      <c r="P528" s="10" t="e">
        <v>#N/A</v>
      </c>
    </row>
    <row r="529">
      <c r="A529" s="6" t="s">
        <v>2504</v>
      </c>
      <c r="B529" s="6" t="s">
        <v>2504</v>
      </c>
      <c r="C529" s="6" t="e">
        <v>#N/A</v>
      </c>
      <c r="D529" s="6" t="e">
        <v>#N/A</v>
      </c>
      <c r="E529" s="6" t="e">
        <v>#N/A</v>
      </c>
      <c r="F529" s="6" t="e">
        <v>#N/A</v>
      </c>
      <c r="G529" s="6">
        <v>0.0</v>
      </c>
      <c r="H529" s="7" t="e">
        <v>#N/A</v>
      </c>
      <c r="I529" s="6" t="e">
        <v>#N/A</v>
      </c>
      <c r="J529" s="6" t="e">
        <v>#N/A</v>
      </c>
      <c r="K529" s="6" t="str">
        <f>VLOOKUP(A529,Sheet4!$A:$H,7,0)</f>
        <v>#N/A</v>
      </c>
      <c r="L529" s="6" t="str">
        <f>VLOOKUP(B529,Sheet4!$A:$H,8,0)</f>
        <v>#N/A</v>
      </c>
      <c r="M529" s="6" t="str">
        <f t="shared" si="7"/>
        <v>#REF!</v>
      </c>
      <c r="N529" s="6" t="str">
        <f>VLOOKUP(A529, Sheet2!A:M, 3, FALSE)</f>
        <v>#N/A</v>
      </c>
      <c r="O529" s="10" t="e">
        <v>#N/A</v>
      </c>
      <c r="P529" s="10" t="e">
        <v>#N/A</v>
      </c>
    </row>
    <row r="530">
      <c r="A530" s="6" t="s">
        <v>2505</v>
      </c>
      <c r="B530" s="6" t="s">
        <v>2505</v>
      </c>
      <c r="C530" s="6" t="e">
        <v>#N/A</v>
      </c>
      <c r="D530" s="6" t="e">
        <v>#N/A</v>
      </c>
      <c r="E530" s="6" t="e">
        <v>#N/A</v>
      </c>
      <c r="F530" s="6" t="e">
        <v>#N/A</v>
      </c>
      <c r="G530" s="6">
        <v>0.0</v>
      </c>
      <c r="H530" s="7" t="e">
        <v>#N/A</v>
      </c>
      <c r="I530" s="6" t="e">
        <v>#N/A</v>
      </c>
      <c r="J530" s="6" t="e">
        <v>#N/A</v>
      </c>
      <c r="K530" s="6" t="str">
        <f>VLOOKUP(A530,Sheet4!$A:$H,7,0)</f>
        <v>#N/A</v>
      </c>
      <c r="L530" s="6" t="str">
        <f>VLOOKUP(B530,Sheet4!$A:$H,8,0)</f>
        <v>#N/A</v>
      </c>
      <c r="M530" s="6" t="str">
        <f t="shared" si="7"/>
        <v>#REF!</v>
      </c>
      <c r="N530" s="6" t="str">
        <f>VLOOKUP(A530, Sheet2!A:M, 3, FALSE)</f>
        <v>#N/A</v>
      </c>
      <c r="O530" s="10" t="e">
        <v>#N/A</v>
      </c>
      <c r="P530" s="10" t="e">
        <v>#N/A</v>
      </c>
    </row>
    <row r="531">
      <c r="A531" s="6" t="s">
        <v>2506</v>
      </c>
      <c r="B531" s="6" t="s">
        <v>2506</v>
      </c>
      <c r="C531" s="6" t="e">
        <v>#N/A</v>
      </c>
      <c r="D531" s="6" t="e">
        <v>#N/A</v>
      </c>
      <c r="E531" s="6" t="e">
        <v>#N/A</v>
      </c>
      <c r="F531" s="6" t="e">
        <v>#N/A</v>
      </c>
      <c r="G531" s="6">
        <v>0.0</v>
      </c>
      <c r="H531" s="7" t="e">
        <v>#N/A</v>
      </c>
      <c r="I531" s="6" t="e">
        <v>#N/A</v>
      </c>
      <c r="J531" s="6" t="e">
        <v>#N/A</v>
      </c>
      <c r="K531" s="6" t="str">
        <f>VLOOKUP(A531,Sheet4!$A:$H,7,0)</f>
        <v>#N/A</v>
      </c>
      <c r="L531" s="6" t="str">
        <f>VLOOKUP(B531,Sheet4!$A:$H,8,0)</f>
        <v>#N/A</v>
      </c>
      <c r="M531" s="6" t="str">
        <f t="shared" si="7"/>
        <v>#REF!</v>
      </c>
      <c r="N531" s="6" t="str">
        <f>VLOOKUP(A531, Sheet2!A:M, 3, FALSE)</f>
        <v>#N/A</v>
      </c>
      <c r="O531" s="10" t="e">
        <v>#N/A</v>
      </c>
      <c r="P531" s="10" t="e">
        <v>#N/A</v>
      </c>
    </row>
    <row r="532">
      <c r="A532" s="6" t="s">
        <v>2507</v>
      </c>
      <c r="B532" s="6" t="s">
        <v>2507</v>
      </c>
      <c r="C532" s="6" t="e">
        <v>#N/A</v>
      </c>
      <c r="D532" s="6" t="e">
        <v>#N/A</v>
      </c>
      <c r="E532" s="6" t="e">
        <v>#N/A</v>
      </c>
      <c r="F532" s="6" t="e">
        <v>#N/A</v>
      </c>
      <c r="G532" s="6">
        <v>0.0</v>
      </c>
      <c r="H532" s="7" t="e">
        <v>#N/A</v>
      </c>
      <c r="I532" s="6" t="e">
        <v>#N/A</v>
      </c>
      <c r="J532" s="6" t="e">
        <v>#N/A</v>
      </c>
      <c r="K532" s="6" t="str">
        <f>VLOOKUP(A532,Sheet4!$A:$H,7,0)</f>
        <v>#N/A</v>
      </c>
      <c r="L532" s="6" t="str">
        <f>VLOOKUP(B532,Sheet4!$A:$H,8,0)</f>
        <v>#N/A</v>
      </c>
      <c r="M532" s="6" t="str">
        <f t="shared" si="7"/>
        <v>#REF!</v>
      </c>
      <c r="N532" s="6" t="str">
        <f>VLOOKUP(A532, Sheet2!A:M, 3, FALSE)</f>
        <v>#N/A</v>
      </c>
      <c r="O532" s="10" t="e">
        <v>#N/A</v>
      </c>
      <c r="P532" s="10" t="e">
        <v>#N/A</v>
      </c>
    </row>
    <row r="533">
      <c r="A533" s="6" t="s">
        <v>2508</v>
      </c>
      <c r="B533" s="6" t="s">
        <v>2508</v>
      </c>
      <c r="C533" s="6" t="e">
        <v>#N/A</v>
      </c>
      <c r="D533" s="6" t="e">
        <v>#N/A</v>
      </c>
      <c r="E533" s="6" t="e">
        <v>#N/A</v>
      </c>
      <c r="F533" s="6" t="e">
        <v>#N/A</v>
      </c>
      <c r="G533" s="6">
        <v>0.0</v>
      </c>
      <c r="H533" s="7" t="e">
        <v>#N/A</v>
      </c>
      <c r="I533" s="6" t="e">
        <v>#N/A</v>
      </c>
      <c r="J533" s="6" t="e">
        <v>#N/A</v>
      </c>
      <c r="K533" s="6" t="str">
        <f>VLOOKUP(A533,Sheet4!$A:$H,7,0)</f>
        <v>#N/A</v>
      </c>
      <c r="L533" s="6" t="str">
        <f>VLOOKUP(B533,Sheet4!$A:$H,8,0)</f>
        <v>#N/A</v>
      </c>
      <c r="M533" s="6" t="str">
        <f t="shared" si="7"/>
        <v>#REF!</v>
      </c>
      <c r="N533" s="6" t="str">
        <f>VLOOKUP(A533, Sheet2!A:M, 3, FALSE)</f>
        <v>#N/A</v>
      </c>
      <c r="O533" s="10" t="e">
        <v>#N/A</v>
      </c>
      <c r="P533" s="10" t="e">
        <v>#N/A</v>
      </c>
    </row>
    <row r="534">
      <c r="A534" s="6" t="s">
        <v>2509</v>
      </c>
      <c r="B534" s="6" t="s">
        <v>2509</v>
      </c>
      <c r="C534" s="6" t="e">
        <v>#N/A</v>
      </c>
      <c r="D534" s="6" t="e">
        <v>#N/A</v>
      </c>
      <c r="E534" s="6" t="e">
        <v>#N/A</v>
      </c>
      <c r="F534" s="6" t="e">
        <v>#N/A</v>
      </c>
      <c r="G534" s="6">
        <v>0.0</v>
      </c>
      <c r="H534" s="7" t="e">
        <v>#N/A</v>
      </c>
      <c r="I534" s="6" t="e">
        <v>#N/A</v>
      </c>
      <c r="J534" s="6" t="e">
        <v>#N/A</v>
      </c>
      <c r="K534" s="6" t="str">
        <f>VLOOKUP(A534,Sheet4!$A:$H,7,0)</f>
        <v>#N/A</v>
      </c>
      <c r="L534" s="6" t="str">
        <f>VLOOKUP(B534,Sheet4!$A:$H,8,0)</f>
        <v>#N/A</v>
      </c>
      <c r="M534" s="6" t="str">
        <f t="shared" si="7"/>
        <v>#REF!</v>
      </c>
      <c r="N534" s="6" t="str">
        <f>VLOOKUP(A534, Sheet2!A:M, 3, FALSE)</f>
        <v>#N/A</v>
      </c>
      <c r="O534" s="10" t="e">
        <v>#N/A</v>
      </c>
      <c r="P534" s="10" t="e">
        <v>#N/A</v>
      </c>
    </row>
    <row r="535">
      <c r="A535" s="6" t="s">
        <v>2510</v>
      </c>
      <c r="B535" s="6" t="s">
        <v>2510</v>
      </c>
      <c r="C535" s="6" t="e">
        <v>#N/A</v>
      </c>
      <c r="D535" s="6" t="e">
        <v>#N/A</v>
      </c>
      <c r="E535" s="6" t="e">
        <v>#N/A</v>
      </c>
      <c r="F535" s="6" t="e">
        <v>#N/A</v>
      </c>
      <c r="G535" s="6">
        <v>0.0</v>
      </c>
      <c r="H535" s="7" t="e">
        <v>#N/A</v>
      </c>
      <c r="I535" s="6" t="e">
        <v>#N/A</v>
      </c>
      <c r="J535" s="6" t="e">
        <v>#N/A</v>
      </c>
      <c r="K535" s="6" t="str">
        <f>VLOOKUP(A535,Sheet4!$A:$H,7,0)</f>
        <v>#N/A</v>
      </c>
      <c r="L535" s="6" t="str">
        <f>VLOOKUP(B535,Sheet4!$A:$H,8,0)</f>
        <v>#N/A</v>
      </c>
      <c r="M535" s="6" t="str">
        <f t="shared" si="7"/>
        <v>#REF!</v>
      </c>
      <c r="N535" s="6" t="str">
        <f>VLOOKUP(A535, Sheet2!A:M, 3, FALSE)</f>
        <v>#N/A</v>
      </c>
      <c r="O535" s="10" t="e">
        <v>#N/A</v>
      </c>
      <c r="P535" s="10" t="e">
        <v>#N/A</v>
      </c>
    </row>
    <row r="536">
      <c r="A536" s="6" t="s">
        <v>2511</v>
      </c>
      <c r="B536" s="6" t="s">
        <v>2511</v>
      </c>
      <c r="C536" s="6" t="e">
        <v>#N/A</v>
      </c>
      <c r="D536" s="6" t="e">
        <v>#N/A</v>
      </c>
      <c r="E536" s="6" t="e">
        <v>#N/A</v>
      </c>
      <c r="F536" s="6" t="e">
        <v>#N/A</v>
      </c>
      <c r="G536" s="6">
        <v>0.0</v>
      </c>
      <c r="H536" s="7" t="e">
        <v>#N/A</v>
      </c>
      <c r="I536" s="6" t="e">
        <v>#N/A</v>
      </c>
      <c r="J536" s="6" t="e">
        <v>#N/A</v>
      </c>
      <c r="K536" s="6" t="str">
        <f>VLOOKUP(A536,Sheet4!$A:$H,7,0)</f>
        <v>#N/A</v>
      </c>
      <c r="L536" s="6" t="str">
        <f>VLOOKUP(B536,Sheet4!$A:$H,8,0)</f>
        <v>#N/A</v>
      </c>
      <c r="M536" s="6" t="str">
        <f t="shared" si="7"/>
        <v>#REF!</v>
      </c>
      <c r="N536" s="6" t="str">
        <f>VLOOKUP(A536, Sheet2!A:M, 3, FALSE)</f>
        <v>#N/A</v>
      </c>
      <c r="O536" s="10" t="e">
        <v>#N/A</v>
      </c>
      <c r="P536" s="10" t="e">
        <v>#N/A</v>
      </c>
    </row>
    <row r="537">
      <c r="A537" s="6" t="s">
        <v>2512</v>
      </c>
      <c r="B537" s="6" t="s">
        <v>2512</v>
      </c>
      <c r="C537" s="6" t="e">
        <v>#N/A</v>
      </c>
      <c r="D537" s="6" t="e">
        <v>#N/A</v>
      </c>
      <c r="E537" s="6" t="e">
        <v>#N/A</v>
      </c>
      <c r="F537" s="6" t="e">
        <v>#N/A</v>
      </c>
      <c r="G537" s="6">
        <v>0.0</v>
      </c>
      <c r="H537" s="7" t="e">
        <v>#N/A</v>
      </c>
      <c r="I537" s="6" t="e">
        <v>#N/A</v>
      </c>
      <c r="J537" s="6" t="e">
        <v>#N/A</v>
      </c>
      <c r="K537" s="6" t="str">
        <f>VLOOKUP(A537,Sheet4!$A:$H,7,0)</f>
        <v>#N/A</v>
      </c>
      <c r="L537" s="6" t="str">
        <f>VLOOKUP(B537,Sheet4!$A:$H,8,0)</f>
        <v>#N/A</v>
      </c>
      <c r="M537" s="6" t="str">
        <f t="shared" si="7"/>
        <v>#REF!</v>
      </c>
      <c r="N537" s="6" t="str">
        <f>VLOOKUP(A537, Sheet2!A:M, 3, FALSE)</f>
        <v>#N/A</v>
      </c>
      <c r="O537" s="10" t="e">
        <v>#N/A</v>
      </c>
      <c r="P537" s="10" t="e">
        <v>#N/A</v>
      </c>
    </row>
    <row r="538">
      <c r="A538" s="6" t="s">
        <v>2513</v>
      </c>
      <c r="B538" s="6" t="s">
        <v>2513</v>
      </c>
      <c r="C538" s="6" t="e">
        <v>#N/A</v>
      </c>
      <c r="D538" s="6" t="e">
        <v>#N/A</v>
      </c>
      <c r="E538" s="6" t="e">
        <v>#N/A</v>
      </c>
      <c r="F538" s="6" t="e">
        <v>#N/A</v>
      </c>
      <c r="G538" s="6">
        <v>0.0</v>
      </c>
      <c r="H538" s="7" t="e">
        <v>#N/A</v>
      </c>
      <c r="I538" s="6" t="e">
        <v>#N/A</v>
      </c>
      <c r="J538" s="6" t="e">
        <v>#N/A</v>
      </c>
      <c r="K538" s="6" t="str">
        <f>VLOOKUP(A538,Sheet4!$A:$H,7,0)</f>
        <v>#N/A</v>
      </c>
      <c r="L538" s="6" t="str">
        <f>VLOOKUP(B538,Sheet4!$A:$H,8,0)</f>
        <v>#N/A</v>
      </c>
      <c r="M538" s="6" t="str">
        <f t="shared" si="7"/>
        <v>#REF!</v>
      </c>
      <c r="N538" s="6" t="str">
        <f>VLOOKUP(A538, Sheet2!A:M, 3, FALSE)</f>
        <v>#N/A</v>
      </c>
      <c r="O538" s="10" t="e">
        <v>#N/A</v>
      </c>
      <c r="P538" s="10" t="e">
        <v>#N/A</v>
      </c>
    </row>
    <row r="539">
      <c r="A539" s="6" t="s">
        <v>2514</v>
      </c>
      <c r="B539" s="6" t="s">
        <v>2514</v>
      </c>
      <c r="C539" s="6" t="e">
        <v>#N/A</v>
      </c>
      <c r="D539" s="6" t="e">
        <v>#N/A</v>
      </c>
      <c r="E539" s="6" t="e">
        <v>#N/A</v>
      </c>
      <c r="F539" s="6" t="e">
        <v>#N/A</v>
      </c>
      <c r="G539" s="6">
        <v>0.0</v>
      </c>
      <c r="H539" s="7" t="e">
        <v>#N/A</v>
      </c>
      <c r="I539" s="6" t="e">
        <v>#N/A</v>
      </c>
      <c r="J539" s="6" t="e">
        <v>#N/A</v>
      </c>
      <c r="K539" s="6" t="str">
        <f>VLOOKUP(A539,Sheet4!$A:$H,7,0)</f>
        <v>#N/A</v>
      </c>
      <c r="L539" s="6" t="str">
        <f>VLOOKUP(B539,Sheet4!$A:$H,8,0)</f>
        <v>#N/A</v>
      </c>
      <c r="M539" s="6" t="str">
        <f t="shared" si="7"/>
        <v>#REF!</v>
      </c>
      <c r="N539" s="6" t="str">
        <f>VLOOKUP(A539, Sheet2!A:M, 3, FALSE)</f>
        <v>#N/A</v>
      </c>
      <c r="O539" s="10" t="e">
        <v>#N/A</v>
      </c>
      <c r="P539" s="10" t="e">
        <v>#N/A</v>
      </c>
    </row>
    <row r="540">
      <c r="A540" s="6" t="s">
        <v>2515</v>
      </c>
      <c r="B540" s="6" t="s">
        <v>2515</v>
      </c>
      <c r="C540" s="6" t="e">
        <v>#N/A</v>
      </c>
      <c r="D540" s="6" t="e">
        <v>#N/A</v>
      </c>
      <c r="E540" s="6" t="e">
        <v>#N/A</v>
      </c>
      <c r="F540" s="6" t="e">
        <v>#N/A</v>
      </c>
      <c r="G540" s="6">
        <v>0.0</v>
      </c>
      <c r="H540" s="7" t="e">
        <v>#N/A</v>
      </c>
      <c r="I540" s="6" t="e">
        <v>#N/A</v>
      </c>
      <c r="J540" s="6" t="e">
        <v>#N/A</v>
      </c>
      <c r="K540" s="6" t="str">
        <f>VLOOKUP(A540,Sheet4!$A:$H,7,0)</f>
        <v>#N/A</v>
      </c>
      <c r="L540" s="6" t="str">
        <f>VLOOKUP(B540,Sheet4!$A:$H,8,0)</f>
        <v>#N/A</v>
      </c>
      <c r="M540" s="6" t="str">
        <f t="shared" si="7"/>
        <v>#REF!</v>
      </c>
      <c r="N540" s="6" t="str">
        <f>VLOOKUP(A540, Sheet2!A:M, 3, FALSE)</f>
        <v>#N/A</v>
      </c>
      <c r="O540" s="10" t="e">
        <v>#N/A</v>
      </c>
      <c r="P540" s="10" t="e">
        <v>#N/A</v>
      </c>
    </row>
    <row r="541">
      <c r="A541" s="6" t="s">
        <v>2516</v>
      </c>
      <c r="B541" s="6" t="s">
        <v>2516</v>
      </c>
      <c r="C541" s="6" t="e">
        <v>#N/A</v>
      </c>
      <c r="D541" s="6" t="e">
        <v>#N/A</v>
      </c>
      <c r="E541" s="6" t="e">
        <v>#N/A</v>
      </c>
      <c r="F541" s="6" t="e">
        <v>#N/A</v>
      </c>
      <c r="G541" s="6">
        <v>0.0</v>
      </c>
      <c r="H541" s="7" t="e">
        <v>#N/A</v>
      </c>
      <c r="I541" s="6" t="e">
        <v>#N/A</v>
      </c>
      <c r="J541" s="6" t="e">
        <v>#N/A</v>
      </c>
      <c r="K541" s="6" t="str">
        <f>VLOOKUP(A541,Sheet4!$A:$H,7,0)</f>
        <v>#N/A</v>
      </c>
      <c r="L541" s="6" t="str">
        <f>VLOOKUP(B541,Sheet4!$A:$H,8,0)</f>
        <v>#N/A</v>
      </c>
      <c r="M541" s="6" t="str">
        <f t="shared" si="7"/>
        <v>#REF!</v>
      </c>
      <c r="N541" s="6" t="str">
        <f>VLOOKUP(A541, Sheet2!A:M, 3, FALSE)</f>
        <v>#N/A</v>
      </c>
      <c r="O541" s="10" t="e">
        <v>#N/A</v>
      </c>
      <c r="P541" s="10" t="e">
        <v>#N/A</v>
      </c>
    </row>
    <row r="542">
      <c r="A542" s="6" t="s">
        <v>2517</v>
      </c>
      <c r="B542" s="6" t="s">
        <v>2517</v>
      </c>
      <c r="C542" s="6" t="e">
        <v>#N/A</v>
      </c>
      <c r="D542" s="6" t="e">
        <v>#N/A</v>
      </c>
      <c r="E542" s="6" t="e">
        <v>#N/A</v>
      </c>
      <c r="F542" s="6" t="e">
        <v>#N/A</v>
      </c>
      <c r="G542" s="6">
        <v>0.0</v>
      </c>
      <c r="H542" s="7" t="e">
        <v>#N/A</v>
      </c>
      <c r="I542" s="6" t="e">
        <v>#N/A</v>
      </c>
      <c r="J542" s="6" t="e">
        <v>#N/A</v>
      </c>
      <c r="K542" s="6" t="str">
        <f>VLOOKUP(A542,Sheet4!$A:$H,7,0)</f>
        <v>#N/A</v>
      </c>
      <c r="L542" s="6" t="str">
        <f>VLOOKUP(B542,Sheet4!$A:$H,8,0)</f>
        <v>#N/A</v>
      </c>
      <c r="M542" s="6" t="str">
        <f t="shared" si="7"/>
        <v>#REF!</v>
      </c>
      <c r="N542" s="6" t="str">
        <f>VLOOKUP(A542, Sheet2!A:M, 3, FALSE)</f>
        <v>#N/A</v>
      </c>
      <c r="O542" s="10" t="e">
        <v>#N/A</v>
      </c>
      <c r="P542" s="10" t="e">
        <v>#N/A</v>
      </c>
    </row>
    <row r="543">
      <c r="A543" s="6" t="s">
        <v>2518</v>
      </c>
      <c r="B543" s="6" t="s">
        <v>2518</v>
      </c>
      <c r="C543" s="6" t="e">
        <v>#N/A</v>
      </c>
      <c r="D543" s="6" t="e">
        <v>#N/A</v>
      </c>
      <c r="E543" s="6" t="e">
        <v>#N/A</v>
      </c>
      <c r="F543" s="6" t="e">
        <v>#N/A</v>
      </c>
      <c r="G543" s="6">
        <v>0.0</v>
      </c>
      <c r="H543" s="7" t="e">
        <v>#N/A</v>
      </c>
      <c r="I543" s="6" t="e">
        <v>#N/A</v>
      </c>
      <c r="J543" s="6" t="e">
        <v>#N/A</v>
      </c>
      <c r="K543" s="6" t="str">
        <f>VLOOKUP(A543,Sheet4!$A:$H,7,0)</f>
        <v>#N/A</v>
      </c>
      <c r="L543" s="6" t="str">
        <f>VLOOKUP(B543,Sheet4!$A:$H,8,0)</f>
        <v>#N/A</v>
      </c>
      <c r="M543" s="6" t="str">
        <f t="shared" si="7"/>
        <v>#REF!</v>
      </c>
      <c r="N543" s="6" t="str">
        <f>VLOOKUP(A543, Sheet2!A:M, 3, FALSE)</f>
        <v>#N/A</v>
      </c>
      <c r="O543" s="10" t="e">
        <v>#N/A</v>
      </c>
      <c r="P543" s="10" t="e">
        <v>#N/A</v>
      </c>
    </row>
    <row r="544">
      <c r="A544" s="6" t="s">
        <v>2519</v>
      </c>
      <c r="B544" s="6" t="s">
        <v>2519</v>
      </c>
      <c r="C544" s="6" t="e">
        <v>#N/A</v>
      </c>
      <c r="D544" s="6" t="e">
        <v>#N/A</v>
      </c>
      <c r="E544" s="6" t="e">
        <v>#N/A</v>
      </c>
      <c r="F544" s="6" t="e">
        <v>#N/A</v>
      </c>
      <c r="G544" s="6">
        <v>0.0</v>
      </c>
      <c r="H544" s="7" t="e">
        <v>#N/A</v>
      </c>
      <c r="I544" s="6" t="e">
        <v>#N/A</v>
      </c>
      <c r="J544" s="6" t="e">
        <v>#N/A</v>
      </c>
      <c r="K544" s="6" t="str">
        <f>VLOOKUP(A544,Sheet4!$A:$H,7,0)</f>
        <v>#N/A</v>
      </c>
      <c r="L544" s="6" t="str">
        <f>VLOOKUP(B544,Sheet4!$A:$H,8,0)</f>
        <v>#N/A</v>
      </c>
      <c r="M544" s="6" t="str">
        <f t="shared" si="7"/>
        <v>#REF!</v>
      </c>
      <c r="N544" s="6" t="str">
        <f>VLOOKUP(A544, Sheet2!A:M, 3, FALSE)</f>
        <v>#N/A</v>
      </c>
      <c r="O544" s="10" t="e">
        <v>#N/A</v>
      </c>
      <c r="P544" s="10" t="e">
        <v>#N/A</v>
      </c>
    </row>
    <row r="545">
      <c r="A545" s="6" t="s">
        <v>2520</v>
      </c>
      <c r="B545" s="6" t="s">
        <v>2520</v>
      </c>
      <c r="C545" s="6" t="e">
        <v>#N/A</v>
      </c>
      <c r="D545" s="6" t="e">
        <v>#N/A</v>
      </c>
      <c r="E545" s="6" t="e">
        <v>#N/A</v>
      </c>
      <c r="F545" s="6" t="e">
        <v>#N/A</v>
      </c>
      <c r="G545" s="6">
        <v>0.0</v>
      </c>
      <c r="H545" s="7" t="e">
        <v>#N/A</v>
      </c>
      <c r="I545" s="6" t="e">
        <v>#N/A</v>
      </c>
      <c r="J545" s="6" t="e">
        <v>#N/A</v>
      </c>
      <c r="K545" s="6" t="str">
        <f>VLOOKUP(A545,Sheet4!$A:$H,7,0)</f>
        <v>#N/A</v>
      </c>
      <c r="L545" s="6" t="str">
        <f>VLOOKUP(B545,Sheet4!$A:$H,8,0)</f>
        <v>#N/A</v>
      </c>
      <c r="M545" s="6" t="str">
        <f t="shared" si="7"/>
        <v>#REF!</v>
      </c>
      <c r="N545" s="6" t="str">
        <f>VLOOKUP(A545, Sheet2!A:M, 3, FALSE)</f>
        <v>#N/A</v>
      </c>
      <c r="O545" s="10" t="e">
        <v>#N/A</v>
      </c>
      <c r="P545" s="10" t="e">
        <v>#N/A</v>
      </c>
    </row>
    <row r="546">
      <c r="A546" s="6" t="s">
        <v>2521</v>
      </c>
      <c r="B546" s="6" t="s">
        <v>2521</v>
      </c>
      <c r="C546" s="6" t="e">
        <v>#N/A</v>
      </c>
      <c r="D546" s="6" t="e">
        <v>#N/A</v>
      </c>
      <c r="E546" s="6" t="e">
        <v>#N/A</v>
      </c>
      <c r="F546" s="6" t="e">
        <v>#N/A</v>
      </c>
      <c r="G546" s="6">
        <v>0.0</v>
      </c>
      <c r="H546" s="7" t="e">
        <v>#N/A</v>
      </c>
      <c r="I546" s="6" t="e">
        <v>#N/A</v>
      </c>
      <c r="J546" s="6" t="e">
        <v>#N/A</v>
      </c>
      <c r="K546" s="6" t="str">
        <f>VLOOKUP(A546,Sheet4!$A:$H,7,0)</f>
        <v>#N/A</v>
      </c>
      <c r="L546" s="6" t="str">
        <f>VLOOKUP(B546,Sheet4!$A:$H,8,0)</f>
        <v>#N/A</v>
      </c>
      <c r="M546" s="6" t="str">
        <f t="shared" si="7"/>
        <v>#REF!</v>
      </c>
      <c r="N546" s="6" t="str">
        <f>VLOOKUP(A546, Sheet2!A:M, 3, FALSE)</f>
        <v>#N/A</v>
      </c>
      <c r="O546" s="10" t="e">
        <v>#N/A</v>
      </c>
      <c r="P546" s="10" t="e">
        <v>#N/A</v>
      </c>
    </row>
    <row r="547">
      <c r="A547" s="6" t="s">
        <v>2522</v>
      </c>
      <c r="B547" s="6" t="s">
        <v>2522</v>
      </c>
      <c r="C547" s="6" t="e">
        <v>#N/A</v>
      </c>
      <c r="D547" s="6" t="e">
        <v>#N/A</v>
      </c>
      <c r="E547" s="6" t="e">
        <v>#N/A</v>
      </c>
      <c r="F547" s="6" t="e">
        <v>#N/A</v>
      </c>
      <c r="G547" s="6">
        <v>0.0</v>
      </c>
      <c r="H547" s="7" t="e">
        <v>#N/A</v>
      </c>
      <c r="I547" s="6" t="e">
        <v>#N/A</v>
      </c>
      <c r="J547" s="6" t="e">
        <v>#N/A</v>
      </c>
      <c r="K547" s="6" t="str">
        <f>VLOOKUP(A547,Sheet4!$A:$H,7,0)</f>
        <v>#N/A</v>
      </c>
      <c r="L547" s="6" t="str">
        <f>VLOOKUP(B547,Sheet4!$A:$H,8,0)</f>
        <v>#N/A</v>
      </c>
      <c r="M547" s="6" t="str">
        <f t="shared" si="7"/>
        <v>#REF!</v>
      </c>
      <c r="N547" s="6" t="str">
        <f>VLOOKUP(A547, Sheet2!A:M, 3, FALSE)</f>
        <v>#N/A</v>
      </c>
      <c r="O547" s="10" t="e">
        <v>#N/A</v>
      </c>
      <c r="P547" s="10" t="e">
        <v>#N/A</v>
      </c>
    </row>
    <row r="548">
      <c r="A548" s="6" t="s">
        <v>2523</v>
      </c>
      <c r="B548" s="6" t="s">
        <v>2523</v>
      </c>
      <c r="C548" s="6" t="e">
        <v>#N/A</v>
      </c>
      <c r="D548" s="6" t="e">
        <v>#N/A</v>
      </c>
      <c r="E548" s="6" t="e">
        <v>#N/A</v>
      </c>
      <c r="F548" s="6" t="e">
        <v>#N/A</v>
      </c>
      <c r="G548" s="6">
        <v>0.0</v>
      </c>
      <c r="H548" s="7" t="e">
        <v>#N/A</v>
      </c>
      <c r="I548" s="6" t="e">
        <v>#N/A</v>
      </c>
      <c r="J548" s="6" t="e">
        <v>#N/A</v>
      </c>
      <c r="K548" s="6" t="str">
        <f>VLOOKUP(A548,Sheet4!$A:$H,7,0)</f>
        <v>#N/A</v>
      </c>
      <c r="L548" s="6" t="str">
        <f>VLOOKUP(B548,Sheet4!$A:$H,8,0)</f>
        <v>#N/A</v>
      </c>
      <c r="M548" s="6" t="str">
        <f t="shared" si="7"/>
        <v>#REF!</v>
      </c>
      <c r="N548" s="6" t="str">
        <f>VLOOKUP(A548, Sheet2!A:M, 3, FALSE)</f>
        <v>#N/A</v>
      </c>
      <c r="O548" s="10" t="e">
        <v>#N/A</v>
      </c>
      <c r="P548" s="10" t="e">
        <v>#N/A</v>
      </c>
    </row>
    <row r="549">
      <c r="A549" s="6" t="s">
        <v>2524</v>
      </c>
      <c r="B549" s="6" t="s">
        <v>2524</v>
      </c>
      <c r="C549" s="6" t="e">
        <v>#N/A</v>
      </c>
      <c r="D549" s="6" t="e">
        <v>#N/A</v>
      </c>
      <c r="E549" s="6" t="e">
        <v>#N/A</v>
      </c>
      <c r="F549" s="6" t="e">
        <v>#N/A</v>
      </c>
      <c r="G549" s="6">
        <v>0.0</v>
      </c>
      <c r="H549" s="7" t="e">
        <v>#N/A</v>
      </c>
      <c r="I549" s="6" t="e">
        <v>#N/A</v>
      </c>
      <c r="J549" s="6" t="e">
        <v>#N/A</v>
      </c>
      <c r="K549" s="6" t="str">
        <f>VLOOKUP(A549,Sheet4!$A:$H,7,0)</f>
        <v>#N/A</v>
      </c>
      <c r="L549" s="6" t="str">
        <f>VLOOKUP(B549,Sheet4!$A:$H,8,0)</f>
        <v>#N/A</v>
      </c>
      <c r="M549" s="6" t="str">
        <f t="shared" si="7"/>
        <v>#REF!</v>
      </c>
      <c r="N549" s="6" t="str">
        <f>VLOOKUP(A549, Sheet2!A:M, 3, FALSE)</f>
        <v>#N/A</v>
      </c>
      <c r="O549" s="10" t="e">
        <v>#N/A</v>
      </c>
      <c r="P549" s="10" t="e">
        <v>#N/A</v>
      </c>
    </row>
    <row r="550">
      <c r="A550" s="6" t="s">
        <v>2525</v>
      </c>
      <c r="B550" s="6" t="s">
        <v>2525</v>
      </c>
      <c r="C550" s="6" t="e">
        <v>#N/A</v>
      </c>
      <c r="D550" s="6" t="e">
        <v>#N/A</v>
      </c>
      <c r="E550" s="6" t="e">
        <v>#N/A</v>
      </c>
      <c r="F550" s="6" t="e">
        <v>#N/A</v>
      </c>
      <c r="G550" s="6">
        <v>0.0</v>
      </c>
      <c r="H550" s="7" t="e">
        <v>#N/A</v>
      </c>
      <c r="I550" s="6" t="e">
        <v>#N/A</v>
      </c>
      <c r="J550" s="6" t="e">
        <v>#N/A</v>
      </c>
      <c r="K550" s="6" t="str">
        <f>VLOOKUP(A550,Sheet4!$A:$H,7,0)</f>
        <v>#N/A</v>
      </c>
      <c r="L550" s="6" t="str">
        <f>VLOOKUP(B550,Sheet4!$A:$H,8,0)</f>
        <v>#N/A</v>
      </c>
      <c r="M550" s="6" t="str">
        <f t="shared" si="7"/>
        <v>#REF!</v>
      </c>
      <c r="N550" s="6" t="str">
        <f>VLOOKUP(A550, Sheet2!A:M, 3, FALSE)</f>
        <v>#N/A</v>
      </c>
      <c r="O550" s="10" t="e">
        <v>#N/A</v>
      </c>
      <c r="P550" s="10" t="e">
        <v>#N/A</v>
      </c>
    </row>
    <row r="551">
      <c r="A551" s="6" t="s">
        <v>2526</v>
      </c>
      <c r="B551" s="6" t="s">
        <v>2526</v>
      </c>
      <c r="C551" s="6" t="e">
        <v>#N/A</v>
      </c>
      <c r="D551" s="6" t="e">
        <v>#N/A</v>
      </c>
      <c r="E551" s="6" t="e">
        <v>#N/A</v>
      </c>
      <c r="F551" s="6" t="e">
        <v>#N/A</v>
      </c>
      <c r="G551" s="6">
        <v>0.0</v>
      </c>
      <c r="H551" s="7" t="e">
        <v>#N/A</v>
      </c>
      <c r="I551" s="6" t="e">
        <v>#N/A</v>
      </c>
      <c r="J551" s="6" t="e">
        <v>#N/A</v>
      </c>
      <c r="K551" s="6" t="str">
        <f>VLOOKUP(A551,Sheet4!$A:$H,7,0)</f>
        <v>#N/A</v>
      </c>
      <c r="L551" s="6" t="str">
        <f>VLOOKUP(B551,Sheet4!$A:$H,8,0)</f>
        <v>#N/A</v>
      </c>
      <c r="M551" s="6" t="str">
        <f t="shared" si="7"/>
        <v>#REF!</v>
      </c>
      <c r="N551" s="6" t="str">
        <f>VLOOKUP(A551, Sheet2!A:M, 3, FALSE)</f>
        <v>#N/A</v>
      </c>
      <c r="O551" s="10" t="e">
        <v>#N/A</v>
      </c>
      <c r="P551" s="10" t="e">
        <v>#N/A</v>
      </c>
    </row>
    <row r="552">
      <c r="A552" s="6" t="s">
        <v>2527</v>
      </c>
      <c r="B552" s="6" t="s">
        <v>2527</v>
      </c>
      <c r="C552" s="6" t="e">
        <v>#N/A</v>
      </c>
      <c r="D552" s="6" t="e">
        <v>#N/A</v>
      </c>
      <c r="E552" s="6" t="e">
        <v>#N/A</v>
      </c>
      <c r="F552" s="6" t="e">
        <v>#N/A</v>
      </c>
      <c r="G552" s="6">
        <v>0.0</v>
      </c>
      <c r="H552" s="7" t="e">
        <v>#N/A</v>
      </c>
      <c r="I552" s="6" t="e">
        <v>#N/A</v>
      </c>
      <c r="J552" s="6" t="e">
        <v>#N/A</v>
      </c>
      <c r="K552" s="6" t="str">
        <f>VLOOKUP(A552,Sheet4!$A:$H,7,0)</f>
        <v>#N/A</v>
      </c>
      <c r="L552" s="6" t="str">
        <f>VLOOKUP(B552,Sheet4!$A:$H,8,0)</f>
        <v>#N/A</v>
      </c>
      <c r="M552" s="6" t="str">
        <f t="shared" si="7"/>
        <v>#REF!</v>
      </c>
      <c r="N552" s="6" t="str">
        <f>VLOOKUP(A552, Sheet2!A:M, 3, FALSE)</f>
        <v>#N/A</v>
      </c>
      <c r="O552" s="10" t="e">
        <v>#N/A</v>
      </c>
      <c r="P552" s="10" t="e">
        <v>#N/A</v>
      </c>
    </row>
    <row r="553">
      <c r="A553" s="6" t="s">
        <v>2528</v>
      </c>
      <c r="B553" s="6" t="s">
        <v>2528</v>
      </c>
      <c r="C553" s="6" t="e">
        <v>#N/A</v>
      </c>
      <c r="D553" s="6" t="e">
        <v>#N/A</v>
      </c>
      <c r="E553" s="6" t="e">
        <v>#N/A</v>
      </c>
      <c r="F553" s="6" t="e">
        <v>#N/A</v>
      </c>
      <c r="G553" s="6">
        <v>0.0</v>
      </c>
      <c r="H553" s="7" t="e">
        <v>#N/A</v>
      </c>
      <c r="I553" s="6" t="e">
        <v>#N/A</v>
      </c>
      <c r="J553" s="6" t="e">
        <v>#N/A</v>
      </c>
      <c r="K553" s="6" t="str">
        <f>VLOOKUP(A553,Sheet4!$A:$H,7,0)</f>
        <v>#N/A</v>
      </c>
      <c r="L553" s="6" t="str">
        <f>VLOOKUP(B553,Sheet4!$A:$H,8,0)</f>
        <v>#N/A</v>
      </c>
      <c r="M553" s="6" t="str">
        <f t="shared" si="7"/>
        <v>#REF!</v>
      </c>
      <c r="N553" s="6" t="str">
        <f>VLOOKUP(A553, Sheet2!A:M, 3, FALSE)</f>
        <v>#N/A</v>
      </c>
      <c r="O553" s="10" t="e">
        <v>#N/A</v>
      </c>
      <c r="P553" s="10" t="e">
        <v>#N/A</v>
      </c>
    </row>
    <row r="554">
      <c r="A554" s="6" t="s">
        <v>2529</v>
      </c>
      <c r="B554" s="6" t="s">
        <v>2529</v>
      </c>
      <c r="C554" s="6" t="e">
        <v>#N/A</v>
      </c>
      <c r="D554" s="6" t="e">
        <v>#N/A</v>
      </c>
      <c r="E554" s="6" t="e">
        <v>#N/A</v>
      </c>
      <c r="F554" s="6" t="e">
        <v>#N/A</v>
      </c>
      <c r="G554" s="6">
        <v>0.0</v>
      </c>
      <c r="H554" s="7" t="e">
        <v>#N/A</v>
      </c>
      <c r="I554" s="6" t="e">
        <v>#N/A</v>
      </c>
      <c r="J554" s="6" t="e">
        <v>#N/A</v>
      </c>
      <c r="K554" s="6" t="str">
        <f>VLOOKUP(A554,Sheet4!$A:$H,7,0)</f>
        <v>#N/A</v>
      </c>
      <c r="L554" s="6" t="str">
        <f>VLOOKUP(B554,Sheet4!$A:$H,8,0)</f>
        <v>#N/A</v>
      </c>
      <c r="M554" s="6" t="str">
        <f t="shared" si="7"/>
        <v>#REF!</v>
      </c>
      <c r="N554" s="6" t="str">
        <f>VLOOKUP(A554, Sheet2!A:M, 3, FALSE)</f>
        <v>#N/A</v>
      </c>
      <c r="O554" s="10" t="e">
        <v>#N/A</v>
      </c>
      <c r="P554" s="10" t="e">
        <v>#N/A</v>
      </c>
    </row>
    <row r="555">
      <c r="A555" s="6" t="s">
        <v>2530</v>
      </c>
      <c r="B555" s="6" t="s">
        <v>2530</v>
      </c>
      <c r="C555" s="6" t="e">
        <v>#N/A</v>
      </c>
      <c r="D555" s="6" t="e">
        <v>#N/A</v>
      </c>
      <c r="E555" s="6" t="e">
        <v>#N/A</v>
      </c>
      <c r="F555" s="6" t="e">
        <v>#N/A</v>
      </c>
      <c r="G555" s="6">
        <v>0.0</v>
      </c>
      <c r="H555" s="7" t="e">
        <v>#N/A</v>
      </c>
      <c r="I555" s="6" t="e">
        <v>#N/A</v>
      </c>
      <c r="J555" s="6" t="e">
        <v>#N/A</v>
      </c>
      <c r="K555" s="6" t="str">
        <f>VLOOKUP(A555,Sheet4!$A:$H,7,0)</f>
        <v>#N/A</v>
      </c>
      <c r="L555" s="6" t="str">
        <f>VLOOKUP(B555,Sheet4!$A:$H,8,0)</f>
        <v>#N/A</v>
      </c>
      <c r="M555" s="6" t="str">
        <f t="shared" si="7"/>
        <v>#REF!</v>
      </c>
      <c r="N555" s="6" t="str">
        <f>VLOOKUP(A555, Sheet2!A:M, 3, FALSE)</f>
        <v>#N/A</v>
      </c>
      <c r="O555" s="10" t="e">
        <v>#N/A</v>
      </c>
      <c r="P555" s="10" t="e">
        <v>#N/A</v>
      </c>
    </row>
    <row r="556">
      <c r="A556" s="6" t="s">
        <v>2531</v>
      </c>
      <c r="B556" s="6" t="s">
        <v>2531</v>
      </c>
      <c r="C556" s="6" t="e">
        <v>#N/A</v>
      </c>
      <c r="D556" s="6" t="e">
        <v>#N/A</v>
      </c>
      <c r="E556" s="6" t="e">
        <v>#N/A</v>
      </c>
      <c r="F556" s="6" t="e">
        <v>#N/A</v>
      </c>
      <c r="G556" s="6">
        <v>0.0</v>
      </c>
      <c r="H556" s="7" t="e">
        <v>#N/A</v>
      </c>
      <c r="I556" s="6" t="e">
        <v>#N/A</v>
      </c>
      <c r="J556" s="6" t="e">
        <v>#N/A</v>
      </c>
      <c r="K556" s="6" t="str">
        <f>VLOOKUP(A556,Sheet4!$A:$H,7,0)</f>
        <v>#N/A</v>
      </c>
      <c r="L556" s="6" t="str">
        <f>VLOOKUP(B556,Sheet4!$A:$H,8,0)</f>
        <v>#N/A</v>
      </c>
      <c r="M556" s="6" t="str">
        <f t="shared" si="7"/>
        <v>#REF!</v>
      </c>
      <c r="N556" s="6" t="str">
        <f>VLOOKUP(A556, Sheet2!A:M, 3, FALSE)</f>
        <v>#N/A</v>
      </c>
      <c r="O556" s="10" t="e">
        <v>#N/A</v>
      </c>
      <c r="P556" s="10" t="e">
        <v>#N/A</v>
      </c>
    </row>
    <row r="557">
      <c r="A557" s="6" t="s">
        <v>2532</v>
      </c>
      <c r="B557" s="6" t="s">
        <v>2532</v>
      </c>
      <c r="C557" s="6" t="e">
        <v>#N/A</v>
      </c>
      <c r="D557" s="6" t="e">
        <v>#N/A</v>
      </c>
      <c r="E557" s="6" t="e">
        <v>#N/A</v>
      </c>
      <c r="F557" s="6" t="e">
        <v>#N/A</v>
      </c>
      <c r="G557" s="6">
        <v>0.0</v>
      </c>
      <c r="H557" s="7" t="e">
        <v>#N/A</v>
      </c>
      <c r="I557" s="6" t="e">
        <v>#N/A</v>
      </c>
      <c r="J557" s="6" t="e">
        <v>#N/A</v>
      </c>
      <c r="K557" s="6" t="str">
        <f>VLOOKUP(A557,Sheet4!$A:$H,7,0)</f>
        <v>#N/A</v>
      </c>
      <c r="L557" s="6" t="str">
        <f>VLOOKUP(B557,Sheet4!$A:$H,8,0)</f>
        <v>#N/A</v>
      </c>
      <c r="M557" s="6" t="str">
        <f t="shared" si="7"/>
        <v>#REF!</v>
      </c>
      <c r="N557" s="6" t="str">
        <f>VLOOKUP(A557, Sheet2!A:M, 3, FALSE)</f>
        <v>#N/A</v>
      </c>
      <c r="O557" s="10" t="e">
        <v>#N/A</v>
      </c>
      <c r="P557" s="10" t="e">
        <v>#N/A</v>
      </c>
    </row>
    <row r="558">
      <c r="A558" s="6" t="s">
        <v>2533</v>
      </c>
      <c r="B558" s="6" t="s">
        <v>2533</v>
      </c>
      <c r="C558" s="6" t="e">
        <v>#N/A</v>
      </c>
      <c r="D558" s="6" t="e">
        <v>#N/A</v>
      </c>
      <c r="E558" s="6" t="e">
        <v>#N/A</v>
      </c>
      <c r="F558" s="6" t="e">
        <v>#N/A</v>
      </c>
      <c r="G558" s="6">
        <v>0.0</v>
      </c>
      <c r="H558" s="7" t="e">
        <v>#N/A</v>
      </c>
      <c r="I558" s="6" t="e">
        <v>#N/A</v>
      </c>
      <c r="J558" s="6" t="e">
        <v>#N/A</v>
      </c>
      <c r="K558" s="6" t="str">
        <f>VLOOKUP(A558,Sheet4!$A:$H,7,0)</f>
        <v>#N/A</v>
      </c>
      <c r="L558" s="6" t="str">
        <f>VLOOKUP(B558,Sheet4!$A:$H,8,0)</f>
        <v>#N/A</v>
      </c>
      <c r="M558" s="6" t="str">
        <f t="shared" si="7"/>
        <v>#REF!</v>
      </c>
      <c r="N558" s="6" t="str">
        <f>VLOOKUP(A558, Sheet2!A:M, 3, FALSE)</f>
        <v>#N/A</v>
      </c>
      <c r="O558" s="10" t="e">
        <v>#N/A</v>
      </c>
      <c r="P558" s="10" t="e">
        <v>#N/A</v>
      </c>
    </row>
    <row r="559">
      <c r="A559" s="6" t="s">
        <v>2534</v>
      </c>
      <c r="B559" s="6" t="s">
        <v>2534</v>
      </c>
      <c r="C559" s="6" t="e">
        <v>#N/A</v>
      </c>
      <c r="D559" s="6" t="e">
        <v>#N/A</v>
      </c>
      <c r="E559" s="6" t="e">
        <v>#N/A</v>
      </c>
      <c r="F559" s="6" t="e">
        <v>#N/A</v>
      </c>
      <c r="G559" s="6">
        <v>0.0</v>
      </c>
      <c r="H559" s="7" t="e">
        <v>#N/A</v>
      </c>
      <c r="I559" s="6" t="e">
        <v>#N/A</v>
      </c>
      <c r="J559" s="6" t="e">
        <v>#N/A</v>
      </c>
      <c r="K559" s="6" t="str">
        <f>VLOOKUP(A559,Sheet4!$A:$H,7,0)</f>
        <v>#N/A</v>
      </c>
      <c r="L559" s="6" t="str">
        <f>VLOOKUP(B559,Sheet4!$A:$H,8,0)</f>
        <v>#N/A</v>
      </c>
      <c r="M559" s="6" t="str">
        <f t="shared" si="7"/>
        <v>#REF!</v>
      </c>
      <c r="N559" s="6" t="str">
        <f>VLOOKUP(A559, Sheet2!A:M, 3, FALSE)</f>
        <v>#N/A</v>
      </c>
      <c r="O559" s="10" t="e">
        <v>#N/A</v>
      </c>
      <c r="P559" s="10" t="e">
        <v>#N/A</v>
      </c>
    </row>
    <row r="560">
      <c r="A560" s="6" t="s">
        <v>2535</v>
      </c>
      <c r="B560" s="6" t="s">
        <v>2535</v>
      </c>
      <c r="C560" s="6" t="e">
        <v>#N/A</v>
      </c>
      <c r="D560" s="6" t="e">
        <v>#N/A</v>
      </c>
      <c r="E560" s="6" t="e">
        <v>#N/A</v>
      </c>
      <c r="F560" s="6" t="e">
        <v>#N/A</v>
      </c>
      <c r="G560" s="6">
        <v>0.0</v>
      </c>
      <c r="H560" s="7" t="e">
        <v>#N/A</v>
      </c>
      <c r="I560" s="6" t="e">
        <v>#N/A</v>
      </c>
      <c r="J560" s="6" t="e">
        <v>#N/A</v>
      </c>
      <c r="K560" s="6" t="str">
        <f>VLOOKUP(A560,Sheet4!$A:$H,7,0)</f>
        <v>#N/A</v>
      </c>
      <c r="L560" s="6" t="str">
        <f>VLOOKUP(B560,Sheet4!$A:$H,8,0)</f>
        <v>#N/A</v>
      </c>
      <c r="M560" s="6" t="str">
        <f t="shared" si="7"/>
        <v>#REF!</v>
      </c>
      <c r="N560" s="6" t="str">
        <f>VLOOKUP(A560, Sheet2!A:M, 3, FALSE)</f>
        <v>#N/A</v>
      </c>
      <c r="O560" s="10" t="e">
        <v>#N/A</v>
      </c>
      <c r="P560" s="10" t="e">
        <v>#N/A</v>
      </c>
    </row>
    <row r="561">
      <c r="A561" s="6" t="s">
        <v>2536</v>
      </c>
      <c r="B561" s="6" t="s">
        <v>2536</v>
      </c>
      <c r="C561" s="6" t="e">
        <v>#N/A</v>
      </c>
      <c r="D561" s="6" t="e">
        <v>#N/A</v>
      </c>
      <c r="E561" s="6" t="e">
        <v>#N/A</v>
      </c>
      <c r="F561" s="6" t="e">
        <v>#N/A</v>
      </c>
      <c r="G561" s="6">
        <v>0.0</v>
      </c>
      <c r="H561" s="7" t="e">
        <v>#N/A</v>
      </c>
      <c r="I561" s="6" t="e">
        <v>#N/A</v>
      </c>
      <c r="J561" s="6" t="e">
        <v>#N/A</v>
      </c>
      <c r="K561" s="6" t="str">
        <f>VLOOKUP(A561,Sheet4!$A:$H,7,0)</f>
        <v>#N/A</v>
      </c>
      <c r="L561" s="6" t="str">
        <f>VLOOKUP(B561,Sheet4!$A:$H,8,0)</f>
        <v>#N/A</v>
      </c>
      <c r="M561" s="6" t="str">
        <f t="shared" si="7"/>
        <v>#REF!</v>
      </c>
      <c r="N561" s="6" t="str">
        <f>VLOOKUP(A561, Sheet2!A:M, 3, FALSE)</f>
        <v>#N/A</v>
      </c>
      <c r="O561" s="10" t="e">
        <v>#N/A</v>
      </c>
      <c r="P561" s="10" t="e">
        <v>#N/A</v>
      </c>
    </row>
    <row r="562">
      <c r="A562" s="6" t="s">
        <v>2537</v>
      </c>
      <c r="B562" s="6" t="s">
        <v>2537</v>
      </c>
      <c r="C562" s="6" t="e">
        <v>#N/A</v>
      </c>
      <c r="D562" s="6" t="e">
        <v>#N/A</v>
      </c>
      <c r="E562" s="6" t="e">
        <v>#N/A</v>
      </c>
      <c r="F562" s="6" t="e">
        <v>#N/A</v>
      </c>
      <c r="G562" s="6">
        <v>0.0</v>
      </c>
      <c r="H562" s="7" t="e">
        <v>#N/A</v>
      </c>
      <c r="I562" s="6" t="e">
        <v>#N/A</v>
      </c>
      <c r="J562" s="6" t="e">
        <v>#N/A</v>
      </c>
      <c r="K562" s="6" t="str">
        <f>VLOOKUP(A562,Sheet4!$A:$H,7,0)</f>
        <v>#N/A</v>
      </c>
      <c r="L562" s="6" t="str">
        <f>VLOOKUP(B562,Sheet4!$A:$H,8,0)</f>
        <v>#N/A</v>
      </c>
      <c r="M562" s="6" t="str">
        <f t="shared" si="7"/>
        <v>#REF!</v>
      </c>
      <c r="N562" s="6" t="str">
        <f>VLOOKUP(A562, Sheet2!A:M, 3, FALSE)</f>
        <v>#N/A</v>
      </c>
      <c r="O562" s="10" t="e">
        <v>#N/A</v>
      </c>
      <c r="P562" s="10" t="e">
        <v>#N/A</v>
      </c>
    </row>
    <row r="563">
      <c r="A563" s="6" t="s">
        <v>2538</v>
      </c>
      <c r="B563" s="6" t="s">
        <v>2538</v>
      </c>
      <c r="C563" s="6" t="e">
        <v>#N/A</v>
      </c>
      <c r="D563" s="6" t="e">
        <v>#N/A</v>
      </c>
      <c r="E563" s="6" t="e">
        <v>#N/A</v>
      </c>
      <c r="F563" s="6" t="e">
        <v>#N/A</v>
      </c>
      <c r="G563" s="6">
        <v>0.0</v>
      </c>
      <c r="H563" s="7" t="e">
        <v>#N/A</v>
      </c>
      <c r="I563" s="6" t="e">
        <v>#N/A</v>
      </c>
      <c r="J563" s="6" t="e">
        <v>#N/A</v>
      </c>
      <c r="K563" s="6" t="str">
        <f>VLOOKUP(A563,Sheet4!$A:$H,7,0)</f>
        <v>#N/A</v>
      </c>
      <c r="L563" s="6" t="str">
        <f>VLOOKUP(B563,Sheet4!$A:$H,8,0)</f>
        <v>#N/A</v>
      </c>
      <c r="M563" s="6" t="str">
        <f t="shared" si="7"/>
        <v>#REF!</v>
      </c>
      <c r="N563" s="6" t="str">
        <f>VLOOKUP(A563, Sheet2!A:M, 3, FALSE)</f>
        <v>#N/A</v>
      </c>
      <c r="O563" s="10" t="e">
        <v>#N/A</v>
      </c>
      <c r="P563" s="10" t="e">
        <v>#N/A</v>
      </c>
    </row>
    <row r="564">
      <c r="A564" s="6" t="s">
        <v>2539</v>
      </c>
      <c r="B564" s="6" t="s">
        <v>2539</v>
      </c>
      <c r="C564" s="6" t="e">
        <v>#N/A</v>
      </c>
      <c r="D564" s="6" t="e">
        <v>#N/A</v>
      </c>
      <c r="E564" s="6" t="e">
        <v>#N/A</v>
      </c>
      <c r="F564" s="6" t="e">
        <v>#N/A</v>
      </c>
      <c r="G564" s="6">
        <v>0.0</v>
      </c>
      <c r="H564" s="7" t="e">
        <v>#N/A</v>
      </c>
      <c r="I564" s="6" t="e">
        <v>#N/A</v>
      </c>
      <c r="J564" s="6" t="e">
        <v>#N/A</v>
      </c>
      <c r="K564" s="6" t="str">
        <f>VLOOKUP(A564,Sheet4!$A:$H,7,0)</f>
        <v>#N/A</v>
      </c>
      <c r="L564" s="6" t="str">
        <f>VLOOKUP(B564,Sheet4!$A:$H,8,0)</f>
        <v>#N/A</v>
      </c>
      <c r="M564" s="6" t="str">
        <f t="shared" si="7"/>
        <v>#REF!</v>
      </c>
      <c r="N564" s="6" t="str">
        <f>VLOOKUP(A564, Sheet2!A:M, 3, FALSE)</f>
        <v>#N/A</v>
      </c>
      <c r="O564" s="10" t="e">
        <v>#N/A</v>
      </c>
      <c r="P564" s="10" t="e">
        <v>#N/A</v>
      </c>
    </row>
    <row r="565">
      <c r="A565" s="6" t="s">
        <v>2540</v>
      </c>
      <c r="B565" s="6" t="s">
        <v>2540</v>
      </c>
      <c r="C565" s="6" t="e">
        <v>#N/A</v>
      </c>
      <c r="D565" s="6" t="e">
        <v>#N/A</v>
      </c>
      <c r="E565" s="6" t="e">
        <v>#N/A</v>
      </c>
      <c r="F565" s="6" t="e">
        <v>#N/A</v>
      </c>
      <c r="G565" s="6">
        <v>0.0</v>
      </c>
      <c r="H565" s="7" t="e">
        <v>#N/A</v>
      </c>
      <c r="I565" s="6" t="e">
        <v>#N/A</v>
      </c>
      <c r="J565" s="6" t="e">
        <v>#N/A</v>
      </c>
      <c r="K565" s="6" t="str">
        <f>VLOOKUP(A565,Sheet4!$A:$H,7,0)</f>
        <v>#N/A</v>
      </c>
      <c r="L565" s="6" t="str">
        <f>VLOOKUP(B565,Sheet4!$A:$H,8,0)</f>
        <v>#N/A</v>
      </c>
      <c r="M565" s="6" t="str">
        <f t="shared" si="7"/>
        <v>#REF!</v>
      </c>
      <c r="N565" s="6" t="str">
        <f>VLOOKUP(A565, Sheet2!A:M, 3, FALSE)</f>
        <v>#N/A</v>
      </c>
      <c r="O565" s="10" t="e">
        <v>#N/A</v>
      </c>
      <c r="P565" s="10" t="e">
        <v>#N/A</v>
      </c>
    </row>
    <row r="566">
      <c r="A566" s="6" t="s">
        <v>2541</v>
      </c>
      <c r="B566" s="6" t="s">
        <v>2541</v>
      </c>
      <c r="C566" s="6" t="e">
        <v>#N/A</v>
      </c>
      <c r="D566" s="6" t="e">
        <v>#N/A</v>
      </c>
      <c r="E566" s="6" t="e">
        <v>#N/A</v>
      </c>
      <c r="F566" s="6" t="e">
        <v>#N/A</v>
      </c>
      <c r="G566" s="6">
        <v>0.0</v>
      </c>
      <c r="H566" s="7" t="e">
        <v>#N/A</v>
      </c>
      <c r="I566" s="6" t="e">
        <v>#N/A</v>
      </c>
      <c r="J566" s="6" t="e">
        <v>#N/A</v>
      </c>
      <c r="K566" s="6" t="str">
        <f>VLOOKUP(A566,Sheet4!$A:$H,7,0)</f>
        <v>#N/A</v>
      </c>
      <c r="L566" s="6" t="str">
        <f>VLOOKUP(B566,Sheet4!$A:$H,8,0)</f>
        <v>#N/A</v>
      </c>
      <c r="M566" s="6" t="str">
        <f t="shared" si="7"/>
        <v>#REF!</v>
      </c>
      <c r="N566" s="6" t="str">
        <f>VLOOKUP(A566, Sheet2!A:M, 3, FALSE)</f>
        <v>#N/A</v>
      </c>
      <c r="O566" s="10" t="e">
        <v>#N/A</v>
      </c>
      <c r="P566" s="10" t="e">
        <v>#N/A</v>
      </c>
    </row>
    <row r="567">
      <c r="A567" s="6" t="s">
        <v>2542</v>
      </c>
      <c r="B567" s="6" t="s">
        <v>2542</v>
      </c>
      <c r="C567" s="6" t="e">
        <v>#N/A</v>
      </c>
      <c r="D567" s="6" t="e">
        <v>#N/A</v>
      </c>
      <c r="E567" s="6" t="e">
        <v>#N/A</v>
      </c>
      <c r="F567" s="6" t="e">
        <v>#N/A</v>
      </c>
      <c r="G567" s="6">
        <v>0.0</v>
      </c>
      <c r="H567" s="7" t="e">
        <v>#N/A</v>
      </c>
      <c r="I567" s="6" t="e">
        <v>#N/A</v>
      </c>
      <c r="J567" s="6" t="e">
        <v>#N/A</v>
      </c>
      <c r="K567" s="6" t="str">
        <f>VLOOKUP(A567,Sheet4!$A:$H,7,0)</f>
        <v>#N/A</v>
      </c>
      <c r="L567" s="6" t="str">
        <f>VLOOKUP(B567,Sheet4!$A:$H,8,0)</f>
        <v>#N/A</v>
      </c>
      <c r="M567" s="6" t="str">
        <f t="shared" si="7"/>
        <v>#REF!</v>
      </c>
      <c r="N567" s="6" t="str">
        <f>VLOOKUP(A567, Sheet2!A:M, 3, FALSE)</f>
        <v>#N/A</v>
      </c>
      <c r="O567" s="10" t="e">
        <v>#N/A</v>
      </c>
      <c r="P567" s="10" t="e">
        <v>#N/A</v>
      </c>
    </row>
    <row r="568">
      <c r="A568" s="6" t="s">
        <v>2543</v>
      </c>
      <c r="B568" s="6" t="s">
        <v>2543</v>
      </c>
      <c r="C568" s="6" t="e">
        <v>#N/A</v>
      </c>
      <c r="D568" s="6" t="e">
        <v>#N/A</v>
      </c>
      <c r="E568" s="6" t="e">
        <v>#N/A</v>
      </c>
      <c r="F568" s="6" t="e">
        <v>#N/A</v>
      </c>
      <c r="G568" s="6">
        <v>0.0</v>
      </c>
      <c r="H568" s="7" t="e">
        <v>#N/A</v>
      </c>
      <c r="I568" s="6" t="e">
        <v>#N/A</v>
      </c>
      <c r="J568" s="6" t="e">
        <v>#N/A</v>
      </c>
      <c r="K568" s="6" t="str">
        <f>VLOOKUP(A568,Sheet4!$A:$H,7,0)</f>
        <v>#N/A</v>
      </c>
      <c r="L568" s="6" t="str">
        <f>VLOOKUP(B568,Sheet4!$A:$H,8,0)</f>
        <v>#N/A</v>
      </c>
      <c r="M568" s="6" t="str">
        <f t="shared" si="7"/>
        <v>#REF!</v>
      </c>
      <c r="N568" s="6" t="str">
        <f>VLOOKUP(A568, Sheet2!A:M, 3, FALSE)</f>
        <v>#N/A</v>
      </c>
      <c r="O568" s="10" t="e">
        <v>#N/A</v>
      </c>
      <c r="P568" s="10" t="e">
        <v>#N/A</v>
      </c>
    </row>
    <row r="569">
      <c r="A569" s="6" t="s">
        <v>2544</v>
      </c>
      <c r="B569" s="6" t="s">
        <v>2544</v>
      </c>
      <c r="C569" s="6" t="e">
        <v>#N/A</v>
      </c>
      <c r="D569" s="6" t="e">
        <v>#N/A</v>
      </c>
      <c r="E569" s="6" t="e">
        <v>#N/A</v>
      </c>
      <c r="F569" s="6" t="e">
        <v>#N/A</v>
      </c>
      <c r="G569" s="6">
        <v>0.0</v>
      </c>
      <c r="H569" s="7" t="e">
        <v>#N/A</v>
      </c>
      <c r="I569" s="6" t="e">
        <v>#N/A</v>
      </c>
      <c r="J569" s="6" t="e">
        <v>#N/A</v>
      </c>
      <c r="K569" s="6" t="str">
        <f>VLOOKUP(A569,Sheet4!$A:$H,7,0)</f>
        <v>#N/A</v>
      </c>
      <c r="L569" s="6" t="str">
        <f>VLOOKUP(B569,Sheet4!$A:$H,8,0)</f>
        <v>#N/A</v>
      </c>
      <c r="M569" s="6" t="str">
        <f t="shared" si="7"/>
        <v>#REF!</v>
      </c>
      <c r="N569" s="6" t="str">
        <f>VLOOKUP(A569, Sheet2!A:M, 3, FALSE)</f>
        <v>#N/A</v>
      </c>
      <c r="O569" s="10" t="e">
        <v>#N/A</v>
      </c>
      <c r="P569" s="10" t="e">
        <v>#N/A</v>
      </c>
    </row>
    <row r="570">
      <c r="A570" s="6" t="s">
        <v>2545</v>
      </c>
      <c r="B570" s="6" t="s">
        <v>2545</v>
      </c>
      <c r="C570" s="6" t="e">
        <v>#N/A</v>
      </c>
      <c r="D570" s="6" t="e">
        <v>#N/A</v>
      </c>
      <c r="E570" s="6" t="e">
        <v>#N/A</v>
      </c>
      <c r="F570" s="6" t="e">
        <v>#N/A</v>
      </c>
      <c r="G570" s="6">
        <v>0.0</v>
      </c>
      <c r="H570" s="7" t="e">
        <v>#N/A</v>
      </c>
      <c r="I570" s="6" t="e">
        <v>#N/A</v>
      </c>
      <c r="J570" s="6" t="e">
        <v>#N/A</v>
      </c>
      <c r="K570" s="6" t="str">
        <f>VLOOKUP(A570,Sheet4!$A:$H,7,0)</f>
        <v>#N/A</v>
      </c>
      <c r="L570" s="6" t="str">
        <f>VLOOKUP(B570,Sheet4!$A:$H,8,0)</f>
        <v>#N/A</v>
      </c>
      <c r="M570" s="6" t="str">
        <f t="shared" si="7"/>
        <v>#REF!</v>
      </c>
      <c r="N570" s="6" t="str">
        <f>VLOOKUP(A570, Sheet2!A:M, 3, FALSE)</f>
        <v>#N/A</v>
      </c>
      <c r="O570" s="10" t="e">
        <v>#N/A</v>
      </c>
      <c r="P570" s="10" t="e">
        <v>#N/A</v>
      </c>
    </row>
    <row r="571">
      <c r="A571" s="6" t="s">
        <v>2546</v>
      </c>
      <c r="B571" s="6" t="s">
        <v>2546</v>
      </c>
      <c r="C571" s="6" t="e">
        <v>#N/A</v>
      </c>
      <c r="D571" s="6" t="e">
        <v>#N/A</v>
      </c>
      <c r="E571" s="6" t="e">
        <v>#N/A</v>
      </c>
      <c r="F571" s="6" t="e">
        <v>#N/A</v>
      </c>
      <c r="G571" s="6">
        <v>0.0</v>
      </c>
      <c r="H571" s="7" t="e">
        <v>#N/A</v>
      </c>
      <c r="I571" s="6" t="e">
        <v>#N/A</v>
      </c>
      <c r="J571" s="6" t="e">
        <v>#N/A</v>
      </c>
      <c r="K571" s="6" t="str">
        <f>VLOOKUP(A571,Sheet4!$A:$H,7,0)</f>
        <v>#N/A</v>
      </c>
      <c r="L571" s="6" t="str">
        <f>VLOOKUP(B571,Sheet4!$A:$H,8,0)</f>
        <v>#N/A</v>
      </c>
      <c r="M571" s="6" t="str">
        <f t="shared" si="7"/>
        <v>#REF!</v>
      </c>
      <c r="N571" s="6" t="str">
        <f>VLOOKUP(A571, Sheet2!A:M, 3, FALSE)</f>
        <v>#N/A</v>
      </c>
      <c r="O571" s="10" t="e">
        <v>#N/A</v>
      </c>
      <c r="P571" s="10" t="e">
        <v>#N/A</v>
      </c>
    </row>
    <row r="572">
      <c r="A572" s="6" t="s">
        <v>2547</v>
      </c>
      <c r="B572" s="6" t="s">
        <v>2547</v>
      </c>
      <c r="C572" s="6" t="e">
        <v>#N/A</v>
      </c>
      <c r="D572" s="6" t="e">
        <v>#N/A</v>
      </c>
      <c r="E572" s="6" t="e">
        <v>#N/A</v>
      </c>
      <c r="F572" s="6" t="e">
        <v>#N/A</v>
      </c>
      <c r="G572" s="6">
        <v>0.0</v>
      </c>
      <c r="H572" s="7" t="e">
        <v>#N/A</v>
      </c>
      <c r="I572" s="6" t="e">
        <v>#N/A</v>
      </c>
      <c r="J572" s="6" t="e">
        <v>#N/A</v>
      </c>
      <c r="K572" s="6" t="str">
        <f>VLOOKUP(A572,Sheet4!$A:$H,7,0)</f>
        <v>#N/A</v>
      </c>
      <c r="L572" s="6" t="str">
        <f>VLOOKUP(B572,Sheet4!$A:$H,8,0)</f>
        <v>#N/A</v>
      </c>
      <c r="M572" s="6" t="str">
        <f t="shared" si="7"/>
        <v>#REF!</v>
      </c>
      <c r="N572" s="6" t="str">
        <f>VLOOKUP(A572, Sheet2!A:M, 3, FALSE)</f>
        <v>#N/A</v>
      </c>
      <c r="O572" s="10" t="e">
        <v>#N/A</v>
      </c>
      <c r="P572" s="10" t="e">
        <v>#N/A</v>
      </c>
    </row>
    <row r="573">
      <c r="A573" s="6" t="s">
        <v>2548</v>
      </c>
      <c r="B573" s="6" t="s">
        <v>2548</v>
      </c>
      <c r="C573" s="6" t="e">
        <v>#N/A</v>
      </c>
      <c r="D573" s="6" t="e">
        <v>#N/A</v>
      </c>
      <c r="E573" s="6" t="e">
        <v>#N/A</v>
      </c>
      <c r="F573" s="6" t="e">
        <v>#N/A</v>
      </c>
      <c r="G573" s="6">
        <v>0.0</v>
      </c>
      <c r="H573" s="7" t="e">
        <v>#N/A</v>
      </c>
      <c r="I573" s="6" t="e">
        <v>#N/A</v>
      </c>
      <c r="J573" s="6" t="e">
        <v>#N/A</v>
      </c>
      <c r="K573" s="6" t="str">
        <f>VLOOKUP(A573,Sheet4!$A:$H,7,0)</f>
        <v>#N/A</v>
      </c>
      <c r="L573" s="6" t="str">
        <f>VLOOKUP(B573,Sheet4!$A:$H,8,0)</f>
        <v>#N/A</v>
      </c>
      <c r="M573" s="6" t="str">
        <f t="shared" si="7"/>
        <v>#REF!</v>
      </c>
      <c r="N573" s="6" t="str">
        <f>VLOOKUP(A573, Sheet2!A:M, 3, FALSE)</f>
        <v>#N/A</v>
      </c>
      <c r="O573" s="10" t="e">
        <v>#N/A</v>
      </c>
      <c r="P573" s="10" t="e">
        <v>#N/A</v>
      </c>
    </row>
    <row r="574">
      <c r="A574" s="6" t="s">
        <v>2549</v>
      </c>
      <c r="B574" s="6" t="s">
        <v>2549</v>
      </c>
      <c r="C574" s="6" t="e">
        <v>#N/A</v>
      </c>
      <c r="D574" s="6" t="e">
        <v>#N/A</v>
      </c>
      <c r="E574" s="6" t="e">
        <v>#N/A</v>
      </c>
      <c r="F574" s="6" t="e">
        <v>#N/A</v>
      </c>
      <c r="G574" s="6">
        <v>0.0</v>
      </c>
      <c r="H574" s="7" t="e">
        <v>#N/A</v>
      </c>
      <c r="I574" s="6" t="e">
        <v>#N/A</v>
      </c>
      <c r="J574" s="6" t="e">
        <v>#N/A</v>
      </c>
      <c r="K574" s="6" t="str">
        <f>VLOOKUP(A574,Sheet4!$A:$H,7,0)</f>
        <v>#N/A</v>
      </c>
      <c r="L574" s="6" t="str">
        <f>VLOOKUP(B574,Sheet4!$A:$H,8,0)</f>
        <v>#N/A</v>
      </c>
      <c r="M574" s="6" t="str">
        <f t="shared" si="7"/>
        <v>#REF!</v>
      </c>
      <c r="N574" s="6" t="str">
        <f>VLOOKUP(A574, Sheet2!A:M, 3, FALSE)</f>
        <v>#N/A</v>
      </c>
      <c r="O574" s="10" t="e">
        <v>#N/A</v>
      </c>
      <c r="P574" s="10" t="e">
        <v>#N/A</v>
      </c>
    </row>
    <row r="575">
      <c r="A575" s="6" t="s">
        <v>2550</v>
      </c>
      <c r="B575" s="6" t="s">
        <v>2550</v>
      </c>
      <c r="C575" s="6" t="e">
        <v>#N/A</v>
      </c>
      <c r="D575" s="6" t="e">
        <v>#N/A</v>
      </c>
      <c r="E575" s="6" t="e">
        <v>#N/A</v>
      </c>
      <c r="F575" s="6" t="e">
        <v>#N/A</v>
      </c>
      <c r="G575" s="6">
        <v>0.0</v>
      </c>
      <c r="H575" s="7" t="e">
        <v>#N/A</v>
      </c>
      <c r="I575" s="6" t="e">
        <v>#N/A</v>
      </c>
      <c r="J575" s="6" t="e">
        <v>#N/A</v>
      </c>
      <c r="K575" s="6" t="str">
        <f>VLOOKUP(A575,Sheet4!$A:$H,7,0)</f>
        <v>#N/A</v>
      </c>
      <c r="L575" s="6" t="str">
        <f>VLOOKUP(B575,Sheet4!$A:$H,8,0)</f>
        <v>#N/A</v>
      </c>
      <c r="M575" s="6" t="str">
        <f t="shared" si="7"/>
        <v>#REF!</v>
      </c>
      <c r="N575" s="6" t="str">
        <f>VLOOKUP(A575, Sheet2!A:M, 3, FALSE)</f>
        <v>#N/A</v>
      </c>
      <c r="O575" s="10" t="e">
        <v>#N/A</v>
      </c>
      <c r="P575" s="10" t="e">
        <v>#N/A</v>
      </c>
    </row>
    <row r="576">
      <c r="A576" s="6" t="s">
        <v>2551</v>
      </c>
      <c r="B576" s="6" t="s">
        <v>2551</v>
      </c>
      <c r="C576" s="6" t="e">
        <v>#N/A</v>
      </c>
      <c r="D576" s="6" t="e">
        <v>#N/A</v>
      </c>
      <c r="E576" s="6" t="e">
        <v>#N/A</v>
      </c>
      <c r="F576" s="6" t="e">
        <v>#N/A</v>
      </c>
      <c r="G576" s="6">
        <v>0.0</v>
      </c>
      <c r="H576" s="7" t="e">
        <v>#N/A</v>
      </c>
      <c r="I576" s="6" t="e">
        <v>#N/A</v>
      </c>
      <c r="J576" s="6" t="e">
        <v>#N/A</v>
      </c>
      <c r="K576" s="6" t="str">
        <f>VLOOKUP(A576,Sheet4!$A:$H,7,0)</f>
        <v>#N/A</v>
      </c>
      <c r="L576" s="6" t="str">
        <f>VLOOKUP(B576,Sheet4!$A:$H,8,0)</f>
        <v>#N/A</v>
      </c>
      <c r="M576" s="6" t="str">
        <f t="shared" si="7"/>
        <v>#REF!</v>
      </c>
      <c r="N576" s="6" t="str">
        <f>VLOOKUP(A576, Sheet2!A:M, 3, FALSE)</f>
        <v>#N/A</v>
      </c>
      <c r="O576" s="10" t="e">
        <v>#N/A</v>
      </c>
      <c r="P576" s="10" t="e">
        <v>#N/A</v>
      </c>
    </row>
    <row r="577">
      <c r="A577" s="6" t="s">
        <v>2552</v>
      </c>
      <c r="B577" s="6" t="s">
        <v>2552</v>
      </c>
      <c r="C577" s="6" t="e">
        <v>#N/A</v>
      </c>
      <c r="D577" s="6" t="e">
        <v>#N/A</v>
      </c>
      <c r="E577" s="6" t="e">
        <v>#N/A</v>
      </c>
      <c r="F577" s="6" t="e">
        <v>#N/A</v>
      </c>
      <c r="G577" s="6">
        <v>0.0</v>
      </c>
      <c r="H577" s="7" t="e">
        <v>#N/A</v>
      </c>
      <c r="I577" s="6" t="e">
        <v>#N/A</v>
      </c>
      <c r="J577" s="6" t="e">
        <v>#N/A</v>
      </c>
      <c r="K577" s="6" t="str">
        <f>VLOOKUP(A577,Sheet4!$A:$H,7,0)</f>
        <v>#N/A</v>
      </c>
      <c r="L577" s="6" t="str">
        <f>VLOOKUP(B577,Sheet4!$A:$H,8,0)</f>
        <v>#N/A</v>
      </c>
      <c r="M577" s="6" t="str">
        <f t="shared" si="7"/>
        <v>#REF!</v>
      </c>
      <c r="N577" s="6" t="str">
        <f>VLOOKUP(A577, Sheet2!A:M, 3, FALSE)</f>
        <v>#N/A</v>
      </c>
      <c r="O577" s="10" t="e">
        <v>#N/A</v>
      </c>
      <c r="P577" s="10" t="e">
        <v>#N/A</v>
      </c>
    </row>
    <row r="578">
      <c r="A578" s="6" t="s">
        <v>2553</v>
      </c>
      <c r="B578" s="6" t="s">
        <v>2553</v>
      </c>
      <c r="C578" s="6" t="e">
        <v>#N/A</v>
      </c>
      <c r="D578" s="6" t="e">
        <v>#N/A</v>
      </c>
      <c r="E578" s="6" t="e">
        <v>#N/A</v>
      </c>
      <c r="F578" s="6" t="e">
        <v>#N/A</v>
      </c>
      <c r="G578" s="6">
        <v>0.0</v>
      </c>
      <c r="H578" s="7" t="e">
        <v>#N/A</v>
      </c>
      <c r="I578" s="6" t="e">
        <v>#N/A</v>
      </c>
      <c r="J578" s="6" t="e">
        <v>#N/A</v>
      </c>
      <c r="K578" s="6" t="str">
        <f>VLOOKUP(A578,Sheet4!$A:$H,7,0)</f>
        <v>#N/A</v>
      </c>
      <c r="L578" s="6" t="str">
        <f>VLOOKUP(B578,Sheet4!$A:$H,8,0)</f>
        <v>#N/A</v>
      </c>
      <c r="M578" s="6" t="str">
        <f t="shared" si="7"/>
        <v>#REF!</v>
      </c>
      <c r="N578" s="6" t="str">
        <f>VLOOKUP(A578, Sheet2!A:M, 3, FALSE)</f>
        <v>#N/A</v>
      </c>
      <c r="O578" s="10" t="e">
        <v>#N/A</v>
      </c>
      <c r="P578" s="10" t="e">
        <v>#N/A</v>
      </c>
    </row>
    <row r="579">
      <c r="A579" s="6" t="s">
        <v>2554</v>
      </c>
      <c r="B579" s="6" t="s">
        <v>2554</v>
      </c>
      <c r="C579" s="6" t="e">
        <v>#N/A</v>
      </c>
      <c r="D579" s="6" t="e">
        <v>#N/A</v>
      </c>
      <c r="E579" s="6" t="e">
        <v>#N/A</v>
      </c>
      <c r="F579" s="6" t="e">
        <v>#N/A</v>
      </c>
      <c r="G579" s="6">
        <v>0.0</v>
      </c>
      <c r="H579" s="7" t="e">
        <v>#N/A</v>
      </c>
      <c r="I579" s="6" t="e">
        <v>#N/A</v>
      </c>
      <c r="J579" s="6" t="e">
        <v>#N/A</v>
      </c>
      <c r="K579" s="6" t="str">
        <f>VLOOKUP(A579,Sheet4!$A:$H,7,0)</f>
        <v>#N/A</v>
      </c>
      <c r="L579" s="6" t="str">
        <f>VLOOKUP(B579,Sheet4!$A:$H,8,0)</f>
        <v>#N/A</v>
      </c>
      <c r="M579" s="6" t="str">
        <f t="shared" si="7"/>
        <v>#REF!</v>
      </c>
      <c r="N579" s="6" t="str">
        <f>VLOOKUP(A579, Sheet2!A:M, 3, FALSE)</f>
        <v>#N/A</v>
      </c>
      <c r="O579" s="10" t="e">
        <v>#N/A</v>
      </c>
      <c r="P579" s="10" t="e">
        <v>#N/A</v>
      </c>
    </row>
    <row r="580">
      <c r="A580" s="6" t="s">
        <v>2555</v>
      </c>
      <c r="B580" s="6" t="s">
        <v>2555</v>
      </c>
      <c r="C580" s="6" t="e">
        <v>#N/A</v>
      </c>
      <c r="D580" s="6" t="e">
        <v>#N/A</v>
      </c>
      <c r="E580" s="6" t="e">
        <v>#N/A</v>
      </c>
      <c r="F580" s="6" t="e">
        <v>#N/A</v>
      </c>
      <c r="G580" s="6">
        <v>0.0</v>
      </c>
      <c r="H580" s="7" t="e">
        <v>#N/A</v>
      </c>
      <c r="I580" s="6" t="e">
        <v>#N/A</v>
      </c>
      <c r="J580" s="6" t="e">
        <v>#N/A</v>
      </c>
      <c r="K580" s="6" t="str">
        <f>VLOOKUP(A580,Sheet4!$A:$H,7,0)</f>
        <v>#N/A</v>
      </c>
      <c r="L580" s="6" t="str">
        <f>VLOOKUP(B580,Sheet4!$A:$H,8,0)</f>
        <v>#N/A</v>
      </c>
      <c r="M580" s="6" t="str">
        <f t="shared" si="7"/>
        <v>#REF!</v>
      </c>
      <c r="N580" s="6" t="str">
        <f>VLOOKUP(A580, Sheet2!A:M, 3, FALSE)</f>
        <v>#N/A</v>
      </c>
      <c r="O580" s="10" t="e">
        <v>#N/A</v>
      </c>
      <c r="P580" s="10" t="e">
        <v>#N/A</v>
      </c>
    </row>
    <row r="581">
      <c r="A581" s="6" t="s">
        <v>2556</v>
      </c>
      <c r="B581" s="6" t="s">
        <v>2556</v>
      </c>
      <c r="C581" s="6" t="e">
        <v>#N/A</v>
      </c>
      <c r="D581" s="6" t="e">
        <v>#N/A</v>
      </c>
      <c r="E581" s="6" t="e">
        <v>#N/A</v>
      </c>
      <c r="F581" s="6" t="e">
        <v>#N/A</v>
      </c>
      <c r="G581" s="6">
        <v>0.0</v>
      </c>
      <c r="H581" s="7" t="e">
        <v>#N/A</v>
      </c>
      <c r="I581" s="6" t="e">
        <v>#N/A</v>
      </c>
      <c r="J581" s="6" t="e">
        <v>#N/A</v>
      </c>
      <c r="K581" s="6" t="str">
        <f>VLOOKUP(A581,Sheet4!$A:$H,7,0)</f>
        <v>#N/A</v>
      </c>
      <c r="L581" s="6" t="str">
        <f>VLOOKUP(B581,Sheet4!$A:$H,8,0)</f>
        <v>#N/A</v>
      </c>
      <c r="M581" s="6" t="str">
        <f t="shared" si="7"/>
        <v>#REF!</v>
      </c>
      <c r="N581" s="6" t="str">
        <f>VLOOKUP(A581, Sheet2!A:M, 3, FALSE)</f>
        <v>#N/A</v>
      </c>
      <c r="O581" s="10" t="e">
        <v>#N/A</v>
      </c>
      <c r="P581" s="10" t="e">
        <v>#N/A</v>
      </c>
    </row>
    <row r="582">
      <c r="A582" s="6" t="s">
        <v>2557</v>
      </c>
      <c r="B582" s="6" t="s">
        <v>2557</v>
      </c>
      <c r="C582" s="6" t="e">
        <v>#N/A</v>
      </c>
      <c r="D582" s="6" t="e">
        <v>#N/A</v>
      </c>
      <c r="E582" s="6" t="e">
        <v>#N/A</v>
      </c>
      <c r="F582" s="6" t="e">
        <v>#N/A</v>
      </c>
      <c r="G582" s="6">
        <v>0.0</v>
      </c>
      <c r="H582" s="7" t="e">
        <v>#N/A</v>
      </c>
      <c r="I582" s="6" t="e">
        <v>#N/A</v>
      </c>
      <c r="J582" s="6" t="e">
        <v>#N/A</v>
      </c>
      <c r="K582" s="6" t="str">
        <f>VLOOKUP(A582,Sheet4!$A:$H,7,0)</f>
        <v>#N/A</v>
      </c>
      <c r="L582" s="6" t="str">
        <f>VLOOKUP(B582,Sheet4!$A:$H,8,0)</f>
        <v>#N/A</v>
      </c>
      <c r="M582" s="6" t="str">
        <f t="shared" si="7"/>
        <v>#REF!</v>
      </c>
      <c r="N582" s="6" t="str">
        <f>VLOOKUP(A582, Sheet2!A:M, 3, FALSE)</f>
        <v>#N/A</v>
      </c>
      <c r="O582" s="10" t="e">
        <v>#N/A</v>
      </c>
      <c r="P582" s="10" t="e">
        <v>#N/A</v>
      </c>
    </row>
    <row r="583">
      <c r="A583" s="6" t="s">
        <v>2558</v>
      </c>
      <c r="B583" s="6" t="s">
        <v>2558</v>
      </c>
      <c r="C583" s="6" t="e">
        <v>#N/A</v>
      </c>
      <c r="D583" s="6" t="e">
        <v>#N/A</v>
      </c>
      <c r="E583" s="6" t="e">
        <v>#N/A</v>
      </c>
      <c r="F583" s="6" t="e">
        <v>#N/A</v>
      </c>
      <c r="G583" s="6">
        <v>0.0</v>
      </c>
      <c r="H583" s="7" t="e">
        <v>#N/A</v>
      </c>
      <c r="I583" s="6" t="e">
        <v>#N/A</v>
      </c>
      <c r="J583" s="6" t="e">
        <v>#N/A</v>
      </c>
      <c r="K583" s="6" t="str">
        <f>VLOOKUP(A583,Sheet4!$A:$H,7,0)</f>
        <v>#N/A</v>
      </c>
      <c r="L583" s="6" t="str">
        <f>VLOOKUP(B583,Sheet4!$A:$H,8,0)</f>
        <v>#N/A</v>
      </c>
      <c r="M583" s="6" t="str">
        <f t="shared" si="7"/>
        <v>#REF!</v>
      </c>
      <c r="N583" s="6" t="str">
        <f>VLOOKUP(A583, Sheet2!A:M, 3, FALSE)</f>
        <v>#N/A</v>
      </c>
      <c r="O583" s="10" t="e">
        <v>#N/A</v>
      </c>
      <c r="P583" s="10" t="e">
        <v>#N/A</v>
      </c>
    </row>
    <row r="584">
      <c r="A584" s="6" t="s">
        <v>2559</v>
      </c>
      <c r="B584" s="6" t="s">
        <v>2559</v>
      </c>
      <c r="C584" s="6" t="e">
        <v>#N/A</v>
      </c>
      <c r="D584" s="6" t="e">
        <v>#N/A</v>
      </c>
      <c r="E584" s="6" t="e">
        <v>#N/A</v>
      </c>
      <c r="F584" s="6" t="e">
        <v>#N/A</v>
      </c>
      <c r="G584" s="6">
        <v>0.0</v>
      </c>
      <c r="H584" s="7" t="e">
        <v>#N/A</v>
      </c>
      <c r="I584" s="6" t="e">
        <v>#N/A</v>
      </c>
      <c r="J584" s="6" t="e">
        <v>#N/A</v>
      </c>
      <c r="K584" s="6" t="str">
        <f>VLOOKUP(A584,Sheet4!$A:$H,7,0)</f>
        <v>#N/A</v>
      </c>
      <c r="L584" s="6" t="str">
        <f>VLOOKUP(B584,Sheet4!$A:$H,8,0)</f>
        <v>#N/A</v>
      </c>
      <c r="M584" s="6" t="str">
        <f t="shared" si="7"/>
        <v>#REF!</v>
      </c>
      <c r="N584" s="6" t="str">
        <f>VLOOKUP(A584, Sheet2!A:M, 3, FALSE)</f>
        <v>#N/A</v>
      </c>
      <c r="O584" s="10" t="e">
        <v>#N/A</v>
      </c>
      <c r="P584" s="10" t="e">
        <v>#N/A</v>
      </c>
    </row>
    <row r="585">
      <c r="A585" s="6" t="s">
        <v>2560</v>
      </c>
      <c r="B585" s="6" t="s">
        <v>2560</v>
      </c>
      <c r="C585" s="6" t="e">
        <v>#N/A</v>
      </c>
      <c r="D585" s="6" t="e">
        <v>#N/A</v>
      </c>
      <c r="E585" s="6" t="e">
        <v>#N/A</v>
      </c>
      <c r="F585" s="6" t="e">
        <v>#N/A</v>
      </c>
      <c r="G585" s="6">
        <v>0.0</v>
      </c>
      <c r="H585" s="7" t="e">
        <v>#N/A</v>
      </c>
      <c r="I585" s="6" t="e">
        <v>#N/A</v>
      </c>
      <c r="J585" s="6" t="e">
        <v>#N/A</v>
      </c>
      <c r="K585" s="6" t="str">
        <f>VLOOKUP(A585,Sheet4!$A:$H,7,0)</f>
        <v>#N/A</v>
      </c>
      <c r="L585" s="6" t="str">
        <f>VLOOKUP(B585,Sheet4!$A:$H,8,0)</f>
        <v>#N/A</v>
      </c>
      <c r="M585" s="6" t="str">
        <f t="shared" si="7"/>
        <v>#REF!</v>
      </c>
      <c r="N585" s="6" t="str">
        <f>VLOOKUP(A585, Sheet2!A:M, 3, FALSE)</f>
        <v>#N/A</v>
      </c>
      <c r="O585" s="10" t="e">
        <v>#N/A</v>
      </c>
      <c r="P585" s="10" t="e">
        <v>#N/A</v>
      </c>
    </row>
    <row r="586">
      <c r="A586" s="6" t="s">
        <v>2561</v>
      </c>
      <c r="B586" s="6" t="s">
        <v>2561</v>
      </c>
      <c r="C586" s="6" t="e">
        <v>#N/A</v>
      </c>
      <c r="D586" s="6" t="e">
        <v>#N/A</v>
      </c>
      <c r="E586" s="6" t="e">
        <v>#N/A</v>
      </c>
      <c r="F586" s="6" t="e">
        <v>#N/A</v>
      </c>
      <c r="G586" s="6">
        <v>0.0</v>
      </c>
      <c r="H586" s="7" t="e">
        <v>#N/A</v>
      </c>
      <c r="I586" s="6" t="e">
        <v>#N/A</v>
      </c>
      <c r="J586" s="6" t="e">
        <v>#N/A</v>
      </c>
      <c r="K586" s="6" t="str">
        <f>VLOOKUP(A586,Sheet4!$A:$H,7,0)</f>
        <v>#N/A</v>
      </c>
      <c r="L586" s="6" t="str">
        <f>VLOOKUP(B586,Sheet4!$A:$H,8,0)</f>
        <v>#N/A</v>
      </c>
      <c r="M586" s="6" t="str">
        <f t="shared" si="7"/>
        <v>#REF!</v>
      </c>
      <c r="N586" s="6" t="str">
        <f>VLOOKUP(A586, Sheet2!A:M, 3, FALSE)</f>
        <v>#N/A</v>
      </c>
      <c r="O586" s="10" t="e">
        <v>#N/A</v>
      </c>
      <c r="P586" s="10" t="e">
        <v>#N/A</v>
      </c>
    </row>
    <row r="587">
      <c r="A587" s="6" t="s">
        <v>2562</v>
      </c>
      <c r="B587" s="6" t="s">
        <v>2562</v>
      </c>
      <c r="C587" s="6" t="e">
        <v>#N/A</v>
      </c>
      <c r="D587" s="6" t="e">
        <v>#N/A</v>
      </c>
      <c r="E587" s="6" t="e">
        <v>#N/A</v>
      </c>
      <c r="F587" s="6" t="e">
        <v>#N/A</v>
      </c>
      <c r="G587" s="6">
        <v>0.0</v>
      </c>
      <c r="H587" s="7" t="e">
        <v>#N/A</v>
      </c>
      <c r="I587" s="6" t="e">
        <v>#N/A</v>
      </c>
      <c r="J587" s="6" t="e">
        <v>#N/A</v>
      </c>
      <c r="K587" s="6" t="str">
        <f>VLOOKUP(A587,Sheet4!$A:$H,7,0)</f>
        <v>#N/A</v>
      </c>
      <c r="L587" s="6" t="str">
        <f>VLOOKUP(B587,Sheet4!$A:$H,8,0)</f>
        <v>#N/A</v>
      </c>
      <c r="M587" s="6" t="str">
        <f t="shared" si="7"/>
        <v>#REF!</v>
      </c>
      <c r="N587" s="6" t="str">
        <f>VLOOKUP(A587, Sheet2!A:M, 3, FALSE)</f>
        <v>#N/A</v>
      </c>
      <c r="O587" s="10" t="e">
        <v>#N/A</v>
      </c>
      <c r="P587" s="10" t="e">
        <v>#N/A</v>
      </c>
    </row>
    <row r="588">
      <c r="A588" s="6" t="s">
        <v>2563</v>
      </c>
      <c r="B588" s="6" t="s">
        <v>2563</v>
      </c>
      <c r="C588" s="6" t="e">
        <v>#N/A</v>
      </c>
      <c r="D588" s="6" t="e">
        <v>#N/A</v>
      </c>
      <c r="E588" s="6" t="e">
        <v>#N/A</v>
      </c>
      <c r="F588" s="6" t="e">
        <v>#N/A</v>
      </c>
      <c r="G588" s="6">
        <v>0.0</v>
      </c>
      <c r="H588" s="7" t="e">
        <v>#N/A</v>
      </c>
      <c r="I588" s="6" t="e">
        <v>#N/A</v>
      </c>
      <c r="J588" s="6" t="e">
        <v>#N/A</v>
      </c>
      <c r="K588" s="6" t="str">
        <f>VLOOKUP(A588,Sheet4!$A:$H,7,0)</f>
        <v>#N/A</v>
      </c>
      <c r="L588" s="6" t="str">
        <f>VLOOKUP(B588,Sheet4!$A:$H,8,0)</f>
        <v>#N/A</v>
      </c>
      <c r="M588" s="6" t="str">
        <f t="shared" si="7"/>
        <v>#REF!</v>
      </c>
      <c r="N588" s="6" t="str">
        <f>VLOOKUP(A588, Sheet2!A:M, 3, FALSE)</f>
        <v>#N/A</v>
      </c>
      <c r="O588" s="10" t="e">
        <v>#N/A</v>
      </c>
      <c r="P588" s="10" t="e">
        <v>#N/A</v>
      </c>
    </row>
    <row r="589">
      <c r="A589" s="6" t="s">
        <v>2564</v>
      </c>
      <c r="B589" s="6" t="s">
        <v>2564</v>
      </c>
      <c r="C589" s="6" t="e">
        <v>#N/A</v>
      </c>
      <c r="D589" s="6" t="e">
        <v>#N/A</v>
      </c>
      <c r="E589" s="6" t="e">
        <v>#N/A</v>
      </c>
      <c r="F589" s="6" t="e">
        <v>#N/A</v>
      </c>
      <c r="G589" s="6">
        <v>0.0</v>
      </c>
      <c r="H589" s="7" t="e">
        <v>#N/A</v>
      </c>
      <c r="I589" s="6" t="e">
        <v>#N/A</v>
      </c>
      <c r="J589" s="6" t="e">
        <v>#N/A</v>
      </c>
      <c r="K589" s="6" t="str">
        <f>VLOOKUP(A589,Sheet4!$A:$H,7,0)</f>
        <v>#N/A</v>
      </c>
      <c r="L589" s="6" t="str">
        <f>VLOOKUP(B589,Sheet4!$A:$H,8,0)</f>
        <v>#N/A</v>
      </c>
      <c r="M589" s="6" t="str">
        <f t="shared" si="7"/>
        <v>#REF!</v>
      </c>
      <c r="N589" s="6" t="str">
        <f>VLOOKUP(A589, Sheet2!A:M, 3, FALSE)</f>
        <v>#N/A</v>
      </c>
      <c r="O589" s="10" t="e">
        <v>#N/A</v>
      </c>
      <c r="P589" s="10" t="e">
        <v>#N/A</v>
      </c>
    </row>
    <row r="590">
      <c r="A590" s="6" t="s">
        <v>2565</v>
      </c>
      <c r="B590" s="6" t="s">
        <v>2565</v>
      </c>
      <c r="C590" s="6" t="e">
        <v>#N/A</v>
      </c>
      <c r="D590" s="6" t="e">
        <v>#N/A</v>
      </c>
      <c r="E590" s="6" t="e">
        <v>#N/A</v>
      </c>
      <c r="F590" s="6" t="e">
        <v>#N/A</v>
      </c>
      <c r="G590" s="6">
        <v>0.0</v>
      </c>
      <c r="H590" s="7" t="e">
        <v>#N/A</v>
      </c>
      <c r="I590" s="6" t="e">
        <v>#N/A</v>
      </c>
      <c r="J590" s="6" t="e">
        <v>#N/A</v>
      </c>
      <c r="K590" s="6" t="str">
        <f>VLOOKUP(A590,Sheet4!$A:$H,7,0)</f>
        <v>#N/A</v>
      </c>
      <c r="L590" s="6" t="str">
        <f>VLOOKUP(B590,Sheet4!$A:$H,8,0)</f>
        <v>#N/A</v>
      </c>
      <c r="M590" s="6" t="str">
        <f t="shared" si="7"/>
        <v>#REF!</v>
      </c>
      <c r="N590" s="6" t="str">
        <f>VLOOKUP(A590, Sheet2!A:M, 3, FALSE)</f>
        <v>#N/A</v>
      </c>
      <c r="O590" s="10" t="e">
        <v>#N/A</v>
      </c>
      <c r="P590" s="10" t="e">
        <v>#N/A</v>
      </c>
    </row>
    <row r="591">
      <c r="A591" s="6" t="s">
        <v>2566</v>
      </c>
      <c r="B591" s="6" t="s">
        <v>2566</v>
      </c>
      <c r="C591" s="6" t="e">
        <v>#N/A</v>
      </c>
      <c r="D591" s="6" t="e">
        <v>#N/A</v>
      </c>
      <c r="E591" s="6" t="e">
        <v>#N/A</v>
      </c>
      <c r="F591" s="6" t="e">
        <v>#N/A</v>
      </c>
      <c r="G591" s="6">
        <v>0.0</v>
      </c>
      <c r="H591" s="7" t="e">
        <v>#N/A</v>
      </c>
      <c r="I591" s="6" t="e">
        <v>#N/A</v>
      </c>
      <c r="J591" s="6" t="e">
        <v>#N/A</v>
      </c>
      <c r="K591" s="6" t="str">
        <f>VLOOKUP(A591,Sheet4!$A:$H,7,0)</f>
        <v>#N/A</v>
      </c>
      <c r="L591" s="6" t="str">
        <f>VLOOKUP(B591,Sheet4!$A:$H,8,0)</f>
        <v>#N/A</v>
      </c>
      <c r="M591" s="6" t="str">
        <f t="shared" si="7"/>
        <v>#REF!</v>
      </c>
      <c r="N591" s="6" t="str">
        <f>VLOOKUP(A591, Sheet2!A:M, 3, FALSE)</f>
        <v>#N/A</v>
      </c>
      <c r="O591" s="10" t="e">
        <v>#N/A</v>
      </c>
      <c r="P591" s="10" t="e">
        <v>#N/A</v>
      </c>
    </row>
    <row r="592">
      <c r="A592" s="6" t="s">
        <v>2567</v>
      </c>
      <c r="B592" s="6" t="s">
        <v>2567</v>
      </c>
      <c r="C592" s="6" t="e">
        <v>#N/A</v>
      </c>
      <c r="D592" s="6" t="e">
        <v>#N/A</v>
      </c>
      <c r="E592" s="6" t="e">
        <v>#N/A</v>
      </c>
      <c r="F592" s="6" t="e">
        <v>#N/A</v>
      </c>
      <c r="G592" s="6">
        <v>0.0</v>
      </c>
      <c r="H592" s="7" t="e">
        <v>#N/A</v>
      </c>
      <c r="I592" s="6" t="e">
        <v>#N/A</v>
      </c>
      <c r="J592" s="6" t="e">
        <v>#N/A</v>
      </c>
      <c r="K592" s="6" t="str">
        <f>VLOOKUP(A592,Sheet4!$A:$H,7,0)</f>
        <v>#N/A</v>
      </c>
      <c r="L592" s="6" t="str">
        <f>VLOOKUP(B592,Sheet4!$A:$H,8,0)</f>
        <v>#N/A</v>
      </c>
      <c r="M592" s="6" t="str">
        <f t="shared" si="7"/>
        <v>#REF!</v>
      </c>
      <c r="N592" s="6" t="str">
        <f>VLOOKUP(A592, Sheet2!A:M, 3, FALSE)</f>
        <v>#N/A</v>
      </c>
      <c r="O592" s="10" t="e">
        <v>#N/A</v>
      </c>
      <c r="P592" s="10" t="e">
        <v>#N/A</v>
      </c>
    </row>
    <row r="593">
      <c r="A593" s="6" t="s">
        <v>2568</v>
      </c>
      <c r="B593" s="6" t="s">
        <v>2568</v>
      </c>
      <c r="C593" s="6" t="e">
        <v>#N/A</v>
      </c>
      <c r="D593" s="6" t="e">
        <v>#N/A</v>
      </c>
      <c r="E593" s="6" t="e">
        <v>#N/A</v>
      </c>
      <c r="F593" s="6" t="e">
        <v>#N/A</v>
      </c>
      <c r="G593" s="6">
        <v>0.0</v>
      </c>
      <c r="H593" s="7" t="e">
        <v>#N/A</v>
      </c>
      <c r="I593" s="6" t="e">
        <v>#N/A</v>
      </c>
      <c r="J593" s="6" t="e">
        <v>#N/A</v>
      </c>
      <c r="K593" s="6" t="str">
        <f>VLOOKUP(A593,Sheet4!$A:$H,7,0)</f>
        <v>#N/A</v>
      </c>
      <c r="L593" s="6" t="str">
        <f>VLOOKUP(B593,Sheet4!$A:$H,8,0)</f>
        <v>#N/A</v>
      </c>
      <c r="M593" s="6" t="str">
        <f t="shared" si="7"/>
        <v>#REF!</v>
      </c>
      <c r="N593" s="6" t="str">
        <f>VLOOKUP(A593, Sheet2!A:M, 3, FALSE)</f>
        <v>#N/A</v>
      </c>
      <c r="O593" s="10" t="e">
        <v>#N/A</v>
      </c>
      <c r="P593" s="10" t="e">
        <v>#N/A</v>
      </c>
    </row>
    <row r="594">
      <c r="A594" s="6" t="s">
        <v>2569</v>
      </c>
      <c r="B594" s="6" t="s">
        <v>2569</v>
      </c>
      <c r="C594" s="6" t="e">
        <v>#N/A</v>
      </c>
      <c r="D594" s="6" t="e">
        <v>#N/A</v>
      </c>
      <c r="E594" s="6" t="e">
        <v>#N/A</v>
      </c>
      <c r="F594" s="6" t="e">
        <v>#N/A</v>
      </c>
      <c r="G594" s="6">
        <v>0.0</v>
      </c>
      <c r="H594" s="7" t="e">
        <v>#N/A</v>
      </c>
      <c r="I594" s="6" t="e">
        <v>#N/A</v>
      </c>
      <c r="J594" s="6" t="e">
        <v>#N/A</v>
      </c>
      <c r="K594" s="6" t="str">
        <f>VLOOKUP(A594,Sheet4!$A:$H,7,0)</f>
        <v>#N/A</v>
      </c>
      <c r="L594" s="6" t="str">
        <f>VLOOKUP(B594,Sheet4!$A:$H,8,0)</f>
        <v>#N/A</v>
      </c>
      <c r="M594" s="6" t="str">
        <f t="shared" si="7"/>
        <v>#REF!</v>
      </c>
      <c r="N594" s="6" t="str">
        <f>VLOOKUP(A594, Sheet2!A:M, 3, FALSE)</f>
        <v>#N/A</v>
      </c>
      <c r="O594" s="10" t="e">
        <v>#N/A</v>
      </c>
      <c r="P594" s="10" t="e">
        <v>#N/A</v>
      </c>
    </row>
    <row r="595">
      <c r="A595" s="6" t="s">
        <v>2570</v>
      </c>
      <c r="B595" s="6" t="s">
        <v>2570</v>
      </c>
      <c r="C595" s="6" t="e">
        <v>#N/A</v>
      </c>
      <c r="D595" s="6" t="e">
        <v>#N/A</v>
      </c>
      <c r="E595" s="6" t="e">
        <v>#N/A</v>
      </c>
      <c r="F595" s="6" t="e">
        <v>#N/A</v>
      </c>
      <c r="G595" s="6">
        <v>0.0</v>
      </c>
      <c r="H595" s="7" t="e">
        <v>#N/A</v>
      </c>
      <c r="I595" s="6" t="e">
        <v>#N/A</v>
      </c>
      <c r="J595" s="6" t="e">
        <v>#N/A</v>
      </c>
      <c r="K595" s="6" t="str">
        <f>VLOOKUP(A595,Sheet4!$A:$H,7,0)</f>
        <v>#N/A</v>
      </c>
      <c r="L595" s="6" t="str">
        <f>VLOOKUP(B595,Sheet4!$A:$H,8,0)</f>
        <v>#N/A</v>
      </c>
      <c r="M595" s="6" t="str">
        <f t="shared" si="7"/>
        <v>#REF!</v>
      </c>
      <c r="N595" s="6" t="str">
        <f>VLOOKUP(A595, Sheet2!A:M, 3, FALSE)</f>
        <v>#N/A</v>
      </c>
      <c r="O595" s="10" t="e">
        <v>#N/A</v>
      </c>
      <c r="P595" s="10" t="e">
        <v>#N/A</v>
      </c>
    </row>
    <row r="596">
      <c r="A596" s="6" t="s">
        <v>2571</v>
      </c>
      <c r="B596" s="6" t="s">
        <v>2571</v>
      </c>
      <c r="C596" s="6" t="e">
        <v>#N/A</v>
      </c>
      <c r="D596" s="6" t="e">
        <v>#N/A</v>
      </c>
      <c r="E596" s="6" t="e">
        <v>#N/A</v>
      </c>
      <c r="F596" s="6" t="e">
        <v>#N/A</v>
      </c>
      <c r="G596" s="6">
        <v>0.0</v>
      </c>
      <c r="H596" s="7" t="e">
        <v>#N/A</v>
      </c>
      <c r="I596" s="6" t="e">
        <v>#N/A</v>
      </c>
      <c r="J596" s="6" t="e">
        <v>#N/A</v>
      </c>
      <c r="K596" s="6" t="str">
        <f>VLOOKUP(A596,Sheet4!$A:$H,7,0)</f>
        <v>#N/A</v>
      </c>
      <c r="L596" s="6" t="str">
        <f>VLOOKUP(B596,Sheet4!$A:$H,8,0)</f>
        <v>#N/A</v>
      </c>
      <c r="M596" s="6" t="str">
        <f t="shared" si="7"/>
        <v>#REF!</v>
      </c>
      <c r="N596" s="6" t="str">
        <f>VLOOKUP(A596, Sheet2!A:M, 3, FALSE)</f>
        <v>#N/A</v>
      </c>
      <c r="O596" s="10" t="e">
        <v>#N/A</v>
      </c>
      <c r="P596" s="10" t="e">
        <v>#N/A</v>
      </c>
    </row>
    <row r="597">
      <c r="A597" s="6" t="s">
        <v>2572</v>
      </c>
      <c r="B597" s="6" t="s">
        <v>2572</v>
      </c>
      <c r="C597" s="6" t="e">
        <v>#N/A</v>
      </c>
      <c r="D597" s="6" t="e">
        <v>#N/A</v>
      </c>
      <c r="E597" s="6" t="e">
        <v>#N/A</v>
      </c>
      <c r="F597" s="6" t="e">
        <v>#N/A</v>
      </c>
      <c r="G597" s="6">
        <v>0.0</v>
      </c>
      <c r="H597" s="7" t="e">
        <v>#N/A</v>
      </c>
      <c r="I597" s="6" t="e">
        <v>#N/A</v>
      </c>
      <c r="J597" s="6" t="e">
        <v>#N/A</v>
      </c>
      <c r="K597" s="6" t="str">
        <f>VLOOKUP(A597,Sheet4!$A:$H,7,0)</f>
        <v>#N/A</v>
      </c>
      <c r="L597" s="6" t="str">
        <f>VLOOKUP(B597,Sheet4!$A:$H,8,0)</f>
        <v>#N/A</v>
      </c>
      <c r="M597" s="6" t="str">
        <f t="shared" si="7"/>
        <v>#REF!</v>
      </c>
      <c r="N597" s="6" t="str">
        <f>VLOOKUP(A597, Sheet2!A:M, 3, FALSE)</f>
        <v>#N/A</v>
      </c>
      <c r="O597" s="10" t="e">
        <v>#N/A</v>
      </c>
      <c r="P597" s="10" t="e">
        <v>#N/A</v>
      </c>
    </row>
    <row r="598">
      <c r="A598" s="6" t="s">
        <v>2573</v>
      </c>
      <c r="B598" s="6" t="s">
        <v>2573</v>
      </c>
      <c r="C598" s="6" t="e">
        <v>#N/A</v>
      </c>
      <c r="D598" s="6" t="e">
        <v>#N/A</v>
      </c>
      <c r="E598" s="6" t="e">
        <v>#N/A</v>
      </c>
      <c r="F598" s="6" t="e">
        <v>#N/A</v>
      </c>
      <c r="G598" s="6">
        <v>0.0</v>
      </c>
      <c r="H598" s="7" t="e">
        <v>#N/A</v>
      </c>
      <c r="I598" s="6" t="e">
        <v>#N/A</v>
      </c>
      <c r="J598" s="6" t="e">
        <v>#N/A</v>
      </c>
      <c r="K598" s="6" t="str">
        <f>VLOOKUP(A598,Sheet4!$A:$H,7,0)</f>
        <v>#N/A</v>
      </c>
      <c r="L598" s="6" t="str">
        <f>VLOOKUP(B598,Sheet4!$A:$H,8,0)</f>
        <v>#N/A</v>
      </c>
      <c r="M598" s="6" t="str">
        <f t="shared" si="7"/>
        <v>#REF!</v>
      </c>
      <c r="N598" s="6" t="str">
        <f>VLOOKUP(A598, Sheet2!A:M, 3, FALSE)</f>
        <v>#N/A</v>
      </c>
      <c r="O598" s="10" t="e">
        <v>#N/A</v>
      </c>
      <c r="P598" s="10" t="e">
        <v>#N/A</v>
      </c>
    </row>
    <row r="599">
      <c r="A599" s="6" t="s">
        <v>2574</v>
      </c>
      <c r="B599" s="6" t="s">
        <v>2574</v>
      </c>
      <c r="C599" s="6" t="e">
        <v>#N/A</v>
      </c>
      <c r="D599" s="6" t="e">
        <v>#N/A</v>
      </c>
      <c r="E599" s="6" t="e">
        <v>#N/A</v>
      </c>
      <c r="F599" s="6" t="e">
        <v>#N/A</v>
      </c>
      <c r="G599" s="6">
        <v>0.0</v>
      </c>
      <c r="H599" s="7" t="e">
        <v>#N/A</v>
      </c>
      <c r="I599" s="6" t="e">
        <v>#N/A</v>
      </c>
      <c r="J599" s="6" t="e">
        <v>#N/A</v>
      </c>
      <c r="K599" s="6" t="str">
        <f>VLOOKUP(A599,Sheet4!$A:$H,7,0)</f>
        <v>#N/A</v>
      </c>
      <c r="L599" s="6" t="str">
        <f>VLOOKUP(B599,Sheet4!$A:$H,8,0)</f>
        <v>#N/A</v>
      </c>
      <c r="M599" s="6" t="str">
        <f t="shared" si="7"/>
        <v>#REF!</v>
      </c>
      <c r="N599" s="6" t="str">
        <f>VLOOKUP(A599, Sheet2!A:M, 3, FALSE)</f>
        <v>#N/A</v>
      </c>
      <c r="O599" s="10" t="e">
        <v>#N/A</v>
      </c>
      <c r="P599" s="10" t="e">
        <v>#N/A</v>
      </c>
    </row>
    <row r="600">
      <c r="A600" s="6" t="s">
        <v>2575</v>
      </c>
      <c r="B600" s="6" t="s">
        <v>2575</v>
      </c>
      <c r="C600" s="6" t="e">
        <v>#N/A</v>
      </c>
      <c r="D600" s="6" t="e">
        <v>#N/A</v>
      </c>
      <c r="E600" s="6" t="e">
        <v>#N/A</v>
      </c>
      <c r="F600" s="6" t="e">
        <v>#N/A</v>
      </c>
      <c r="G600" s="6">
        <v>0.0</v>
      </c>
      <c r="H600" s="7" t="e">
        <v>#N/A</v>
      </c>
      <c r="I600" s="6" t="e">
        <v>#N/A</v>
      </c>
      <c r="J600" s="6" t="e">
        <v>#N/A</v>
      </c>
      <c r="K600" s="6" t="str">
        <f>VLOOKUP(A600,Sheet4!$A:$H,7,0)</f>
        <v>#N/A</v>
      </c>
      <c r="L600" s="6" t="str">
        <f>VLOOKUP(B600,Sheet4!$A:$H,8,0)</f>
        <v>#N/A</v>
      </c>
      <c r="M600" s="6" t="str">
        <f t="shared" si="7"/>
        <v>#REF!</v>
      </c>
      <c r="N600" s="6" t="str">
        <f>VLOOKUP(A600, Sheet2!A:M, 3, FALSE)</f>
        <v>#N/A</v>
      </c>
      <c r="O600" s="10" t="e">
        <v>#N/A</v>
      </c>
      <c r="P600" s="10" t="e">
        <v>#N/A</v>
      </c>
    </row>
    <row r="601">
      <c r="A601" s="6" t="s">
        <v>2576</v>
      </c>
      <c r="B601" s="6" t="s">
        <v>2576</v>
      </c>
      <c r="C601" s="6" t="e">
        <v>#N/A</v>
      </c>
      <c r="D601" s="6" t="e">
        <v>#N/A</v>
      </c>
      <c r="E601" s="6" t="e">
        <v>#N/A</v>
      </c>
      <c r="F601" s="6" t="e">
        <v>#N/A</v>
      </c>
      <c r="G601" s="6">
        <v>0.0</v>
      </c>
      <c r="H601" s="7" t="e">
        <v>#N/A</v>
      </c>
      <c r="I601" s="6" t="e">
        <v>#N/A</v>
      </c>
      <c r="J601" s="6" t="e">
        <v>#N/A</v>
      </c>
      <c r="K601" s="6" t="str">
        <f>VLOOKUP(A601,Sheet4!$A:$H,7,0)</f>
        <v>#N/A</v>
      </c>
      <c r="L601" s="6" t="str">
        <f>VLOOKUP(B601,Sheet4!$A:$H,8,0)</f>
        <v>#N/A</v>
      </c>
      <c r="M601" s="6" t="str">
        <f t="shared" si="7"/>
        <v>#REF!</v>
      </c>
      <c r="N601" s="6" t="str">
        <f>VLOOKUP(A601, Sheet2!A:M, 3, FALSE)</f>
        <v>#N/A</v>
      </c>
      <c r="O601" s="10" t="e">
        <v>#N/A</v>
      </c>
      <c r="P601" s="10" t="e">
        <v>#N/A</v>
      </c>
    </row>
    <row r="602">
      <c r="A602" s="6" t="s">
        <v>2577</v>
      </c>
      <c r="B602" s="6" t="s">
        <v>2577</v>
      </c>
      <c r="C602" s="6" t="e">
        <v>#N/A</v>
      </c>
      <c r="D602" s="6" t="e">
        <v>#N/A</v>
      </c>
      <c r="E602" s="6" t="e">
        <v>#N/A</v>
      </c>
      <c r="F602" s="6" t="e">
        <v>#N/A</v>
      </c>
      <c r="G602" s="6">
        <v>0.0</v>
      </c>
      <c r="H602" s="7" t="e">
        <v>#N/A</v>
      </c>
      <c r="I602" s="6" t="e">
        <v>#N/A</v>
      </c>
      <c r="J602" s="6" t="e">
        <v>#N/A</v>
      </c>
      <c r="K602" s="6" t="str">
        <f>VLOOKUP(A602,Sheet4!$A:$H,7,0)</f>
        <v>#N/A</v>
      </c>
      <c r="L602" s="6" t="str">
        <f>VLOOKUP(B602,Sheet4!$A:$H,8,0)</f>
        <v>#N/A</v>
      </c>
      <c r="M602" s="6" t="str">
        <f t="shared" si="7"/>
        <v>#REF!</v>
      </c>
      <c r="N602" s="6" t="str">
        <f>VLOOKUP(A602, Sheet2!A:M, 3, FALSE)</f>
        <v>#N/A</v>
      </c>
      <c r="O602" s="10" t="e">
        <v>#N/A</v>
      </c>
      <c r="P602" s="10" t="e">
        <v>#N/A</v>
      </c>
    </row>
    <row r="603">
      <c r="A603" s="6" t="s">
        <v>2578</v>
      </c>
      <c r="B603" s="6" t="s">
        <v>2578</v>
      </c>
      <c r="C603" s="6" t="e">
        <v>#N/A</v>
      </c>
      <c r="D603" s="6" t="e">
        <v>#N/A</v>
      </c>
      <c r="E603" s="6" t="e">
        <v>#N/A</v>
      </c>
      <c r="F603" s="6" t="e">
        <v>#N/A</v>
      </c>
      <c r="G603" s="6">
        <v>0.0</v>
      </c>
      <c r="H603" s="7" t="e">
        <v>#N/A</v>
      </c>
      <c r="I603" s="6" t="e">
        <v>#N/A</v>
      </c>
      <c r="J603" s="6" t="e">
        <v>#N/A</v>
      </c>
      <c r="K603" s="6" t="str">
        <f>VLOOKUP(A603,Sheet4!$A:$H,7,0)</f>
        <v>#N/A</v>
      </c>
      <c r="L603" s="6" t="str">
        <f>VLOOKUP(B603,Sheet4!$A:$H,8,0)</f>
        <v>#N/A</v>
      </c>
      <c r="M603" s="6" t="str">
        <f t="shared" si="7"/>
        <v>#REF!</v>
      </c>
      <c r="N603" s="6" t="str">
        <f>VLOOKUP(A603, Sheet2!A:M, 3, FALSE)</f>
        <v>#N/A</v>
      </c>
      <c r="O603" s="10" t="e">
        <v>#N/A</v>
      </c>
      <c r="P603" s="10" t="e">
        <v>#N/A</v>
      </c>
    </row>
    <row r="604">
      <c r="A604" s="6" t="s">
        <v>2579</v>
      </c>
      <c r="B604" s="6" t="s">
        <v>2579</v>
      </c>
      <c r="C604" s="6" t="e">
        <v>#N/A</v>
      </c>
      <c r="D604" s="6" t="e">
        <v>#N/A</v>
      </c>
      <c r="E604" s="6" t="e">
        <v>#N/A</v>
      </c>
      <c r="F604" s="6" t="e">
        <v>#N/A</v>
      </c>
      <c r="G604" s="6">
        <v>0.0</v>
      </c>
      <c r="H604" s="7" t="e">
        <v>#N/A</v>
      </c>
      <c r="I604" s="6" t="e">
        <v>#N/A</v>
      </c>
      <c r="J604" s="6" t="e">
        <v>#N/A</v>
      </c>
      <c r="K604" s="6" t="str">
        <f>VLOOKUP(A604,Sheet4!$A:$H,7,0)</f>
        <v>#N/A</v>
      </c>
      <c r="L604" s="6" t="str">
        <f>VLOOKUP(B604,Sheet4!$A:$H,8,0)</f>
        <v>#N/A</v>
      </c>
      <c r="M604" s="6" t="str">
        <f t="shared" si="7"/>
        <v>#REF!</v>
      </c>
      <c r="N604" s="6" t="str">
        <f>VLOOKUP(A604, Sheet2!A:M, 3, FALSE)</f>
        <v>#N/A</v>
      </c>
      <c r="O604" s="10" t="e">
        <v>#N/A</v>
      </c>
      <c r="P604" s="10" t="e">
        <v>#N/A</v>
      </c>
    </row>
    <row r="605">
      <c r="A605" s="6" t="s">
        <v>2580</v>
      </c>
      <c r="B605" s="6" t="s">
        <v>2580</v>
      </c>
      <c r="C605" s="6" t="e">
        <v>#N/A</v>
      </c>
      <c r="D605" s="6" t="e">
        <v>#N/A</v>
      </c>
      <c r="E605" s="6" t="e">
        <v>#N/A</v>
      </c>
      <c r="F605" s="6" t="e">
        <v>#N/A</v>
      </c>
      <c r="G605" s="6">
        <v>0.0</v>
      </c>
      <c r="H605" s="7" t="e">
        <v>#N/A</v>
      </c>
      <c r="I605" s="6" t="e">
        <v>#N/A</v>
      </c>
      <c r="J605" s="6" t="e">
        <v>#N/A</v>
      </c>
      <c r="K605" s="6" t="str">
        <f>VLOOKUP(A605,Sheet4!$A:$H,7,0)</f>
        <v>#N/A</v>
      </c>
      <c r="L605" s="6" t="str">
        <f>VLOOKUP(B605,Sheet4!$A:$H,8,0)</f>
        <v>#N/A</v>
      </c>
      <c r="M605" s="6" t="str">
        <f t="shared" si="7"/>
        <v>#REF!</v>
      </c>
      <c r="N605" s="6" t="str">
        <f>VLOOKUP(A605, Sheet2!A:M, 3, FALSE)</f>
        <v>#N/A</v>
      </c>
      <c r="O605" s="10" t="e">
        <v>#N/A</v>
      </c>
      <c r="P605" s="10" t="e">
        <v>#N/A</v>
      </c>
    </row>
    <row r="606">
      <c r="A606" s="6" t="s">
        <v>2581</v>
      </c>
      <c r="B606" s="6" t="s">
        <v>2581</v>
      </c>
      <c r="C606" s="6" t="e">
        <v>#N/A</v>
      </c>
      <c r="D606" s="6" t="e">
        <v>#N/A</v>
      </c>
      <c r="E606" s="6" t="e">
        <v>#N/A</v>
      </c>
      <c r="F606" s="6" t="e">
        <v>#N/A</v>
      </c>
      <c r="G606" s="6">
        <v>0.0</v>
      </c>
      <c r="H606" s="7" t="e">
        <v>#N/A</v>
      </c>
      <c r="I606" s="6" t="e">
        <v>#N/A</v>
      </c>
      <c r="J606" s="6" t="e">
        <v>#N/A</v>
      </c>
      <c r="K606" s="6" t="str">
        <f>VLOOKUP(A606,Sheet4!$A:$H,7,0)</f>
        <v>#N/A</v>
      </c>
      <c r="L606" s="6" t="str">
        <f>VLOOKUP(B606,Sheet4!$A:$H,8,0)</f>
        <v>#N/A</v>
      </c>
      <c r="M606" s="6" t="str">
        <f t="shared" si="7"/>
        <v>#REF!</v>
      </c>
      <c r="N606" s="6" t="str">
        <f>VLOOKUP(A606, Sheet2!A:M, 3, FALSE)</f>
        <v>#N/A</v>
      </c>
      <c r="O606" s="10" t="e">
        <v>#N/A</v>
      </c>
      <c r="P606" s="10" t="e">
        <v>#N/A</v>
      </c>
    </row>
    <row r="607">
      <c r="A607" s="6" t="s">
        <v>2582</v>
      </c>
      <c r="B607" s="6" t="s">
        <v>2582</v>
      </c>
      <c r="C607" s="6" t="e">
        <v>#N/A</v>
      </c>
      <c r="D607" s="6" t="e">
        <v>#N/A</v>
      </c>
      <c r="E607" s="6" t="e">
        <v>#N/A</v>
      </c>
      <c r="F607" s="6" t="e">
        <v>#N/A</v>
      </c>
      <c r="G607" s="6">
        <v>0.0</v>
      </c>
      <c r="H607" s="7" t="e">
        <v>#N/A</v>
      </c>
      <c r="I607" s="6" t="e">
        <v>#N/A</v>
      </c>
      <c r="J607" s="6" t="e">
        <v>#N/A</v>
      </c>
      <c r="K607" s="6" t="str">
        <f>VLOOKUP(A607,Sheet4!$A:$H,7,0)</f>
        <v>#N/A</v>
      </c>
      <c r="L607" s="6" t="str">
        <f>VLOOKUP(B607,Sheet4!$A:$H,8,0)</f>
        <v>#N/A</v>
      </c>
      <c r="M607" s="6" t="str">
        <f t="shared" si="7"/>
        <v>#REF!</v>
      </c>
      <c r="N607" s="6" t="str">
        <f>VLOOKUP(A607, Sheet2!A:M, 3, FALSE)</f>
        <v>#N/A</v>
      </c>
      <c r="O607" s="10" t="e">
        <v>#N/A</v>
      </c>
      <c r="P607" s="10" t="e">
        <v>#N/A</v>
      </c>
    </row>
    <row r="608">
      <c r="A608" s="6" t="s">
        <v>2583</v>
      </c>
      <c r="B608" s="6" t="s">
        <v>2583</v>
      </c>
      <c r="C608" s="6" t="e">
        <v>#N/A</v>
      </c>
      <c r="D608" s="6" t="e">
        <v>#N/A</v>
      </c>
      <c r="E608" s="6" t="e">
        <v>#N/A</v>
      </c>
      <c r="F608" s="6" t="e">
        <v>#N/A</v>
      </c>
      <c r="G608" s="6">
        <v>0.0</v>
      </c>
      <c r="H608" s="7" t="e">
        <v>#N/A</v>
      </c>
      <c r="I608" s="6" t="e">
        <v>#N/A</v>
      </c>
      <c r="J608" s="6" t="e">
        <v>#N/A</v>
      </c>
      <c r="K608" s="6" t="str">
        <f>VLOOKUP(A608,Sheet4!$A:$H,7,0)</f>
        <v>#N/A</v>
      </c>
      <c r="L608" s="6" t="str">
        <f>VLOOKUP(B608,Sheet4!$A:$H,8,0)</f>
        <v>#N/A</v>
      </c>
      <c r="M608" s="6" t="str">
        <f t="shared" si="7"/>
        <v>#REF!</v>
      </c>
      <c r="N608" s="6" t="str">
        <f>VLOOKUP(A608, Sheet2!A:M, 3, FALSE)</f>
        <v>#N/A</v>
      </c>
      <c r="O608" s="10" t="e">
        <v>#N/A</v>
      </c>
      <c r="P608" s="10" t="e">
        <v>#N/A</v>
      </c>
    </row>
    <row r="609">
      <c r="A609" s="6" t="s">
        <v>2584</v>
      </c>
      <c r="B609" s="6" t="s">
        <v>2584</v>
      </c>
      <c r="C609" s="6" t="e">
        <v>#N/A</v>
      </c>
      <c r="D609" s="6" t="e">
        <v>#N/A</v>
      </c>
      <c r="E609" s="6" t="e">
        <v>#N/A</v>
      </c>
      <c r="F609" s="6" t="e">
        <v>#N/A</v>
      </c>
      <c r="G609" s="6">
        <v>0.0</v>
      </c>
      <c r="H609" s="7" t="e">
        <v>#N/A</v>
      </c>
      <c r="I609" s="6" t="e">
        <v>#N/A</v>
      </c>
      <c r="J609" s="6" t="e">
        <v>#N/A</v>
      </c>
      <c r="K609" s="6" t="str">
        <f>VLOOKUP(A609,Sheet4!$A:$H,7,0)</f>
        <v>#N/A</v>
      </c>
      <c r="L609" s="6" t="str">
        <f>VLOOKUP(B609,Sheet4!$A:$H,8,0)</f>
        <v>#N/A</v>
      </c>
      <c r="M609" s="6" t="str">
        <f t="shared" si="7"/>
        <v>#REF!</v>
      </c>
      <c r="N609" s="6" t="str">
        <f>VLOOKUP(A609, Sheet2!A:M, 3, FALSE)</f>
        <v>#N/A</v>
      </c>
      <c r="O609" s="10" t="e">
        <v>#N/A</v>
      </c>
      <c r="P609" s="10" t="e">
        <v>#N/A</v>
      </c>
    </row>
    <row r="610">
      <c r="A610" s="6" t="s">
        <v>2585</v>
      </c>
      <c r="B610" s="6" t="s">
        <v>2585</v>
      </c>
      <c r="C610" s="6" t="e">
        <v>#N/A</v>
      </c>
      <c r="D610" s="6" t="e">
        <v>#N/A</v>
      </c>
      <c r="E610" s="6" t="e">
        <v>#N/A</v>
      </c>
      <c r="F610" s="6" t="e">
        <v>#N/A</v>
      </c>
      <c r="G610" s="6">
        <v>0.0</v>
      </c>
      <c r="H610" s="7" t="e">
        <v>#N/A</v>
      </c>
      <c r="I610" s="6" t="e">
        <v>#N/A</v>
      </c>
      <c r="J610" s="6" t="e">
        <v>#N/A</v>
      </c>
      <c r="K610" s="6" t="str">
        <f>VLOOKUP(A610,Sheet4!$A:$H,7,0)</f>
        <v>#N/A</v>
      </c>
      <c r="L610" s="6" t="str">
        <f>VLOOKUP(B610,Sheet4!$A:$H,8,0)</f>
        <v>#N/A</v>
      </c>
      <c r="M610" s="6" t="str">
        <f t="shared" si="7"/>
        <v>#REF!</v>
      </c>
      <c r="N610" s="6" t="str">
        <f>VLOOKUP(A610, Sheet2!A:M, 3, FALSE)</f>
        <v>#N/A</v>
      </c>
      <c r="O610" s="10" t="e">
        <v>#N/A</v>
      </c>
      <c r="P610" s="10" t="e">
        <v>#N/A</v>
      </c>
    </row>
    <row r="611">
      <c r="A611" s="6" t="s">
        <v>2586</v>
      </c>
      <c r="B611" s="6" t="s">
        <v>2586</v>
      </c>
      <c r="C611" s="6" t="e">
        <v>#N/A</v>
      </c>
      <c r="D611" s="6" t="e">
        <v>#N/A</v>
      </c>
      <c r="E611" s="6" t="e">
        <v>#N/A</v>
      </c>
      <c r="F611" s="6" t="e">
        <v>#N/A</v>
      </c>
      <c r="G611" s="6">
        <v>0.0</v>
      </c>
      <c r="H611" s="7" t="e">
        <v>#N/A</v>
      </c>
      <c r="I611" s="6" t="e">
        <v>#N/A</v>
      </c>
      <c r="J611" s="6" t="e">
        <v>#N/A</v>
      </c>
      <c r="K611" s="6" t="str">
        <f>VLOOKUP(A611,Sheet4!$A:$H,7,0)</f>
        <v>#N/A</v>
      </c>
      <c r="L611" s="6" t="str">
        <f>VLOOKUP(B611,Sheet4!$A:$H,8,0)</f>
        <v>#N/A</v>
      </c>
      <c r="M611" s="6" t="str">
        <f t="shared" si="7"/>
        <v>#REF!</v>
      </c>
      <c r="N611" s="6" t="str">
        <f>VLOOKUP(A611, Sheet2!A:M, 3, FALSE)</f>
        <v>#N/A</v>
      </c>
      <c r="O611" s="10" t="e">
        <v>#N/A</v>
      </c>
      <c r="P611" s="10" t="e">
        <v>#N/A</v>
      </c>
    </row>
    <row r="612">
      <c r="A612" s="6" t="s">
        <v>2587</v>
      </c>
      <c r="B612" s="6" t="s">
        <v>2587</v>
      </c>
      <c r="C612" s="6" t="s">
        <v>2588</v>
      </c>
      <c r="D612" s="6" t="s">
        <v>2589</v>
      </c>
      <c r="E612" s="6" t="e">
        <v>#N/A</v>
      </c>
      <c r="F612" s="6" t="s">
        <v>2590</v>
      </c>
      <c r="G612" s="6" t="s">
        <v>2591</v>
      </c>
      <c r="H612" s="7" t="s">
        <v>2592</v>
      </c>
      <c r="I612" s="6" t="e">
        <v>#N/A</v>
      </c>
      <c r="J612" s="6" t="s">
        <v>2593</v>
      </c>
      <c r="K612" s="6" t="str">
        <f>VLOOKUP(A612,Sheet4!$A:$H,7,0)</f>
        <v>Pet Bed</v>
      </c>
      <c r="L612" s="6" t="str">
        <f>VLOOKUP(B612,Sheet4!$A:$H,8,0)</f>
        <v>Beds</v>
      </c>
      <c r="M612" s="6">
        <v>2989.0</v>
      </c>
      <c r="N612" s="8">
        <v>2147.0</v>
      </c>
      <c r="O612" s="9">
        <v>2099.0</v>
      </c>
      <c r="P612" s="10">
        <v>2092.3</v>
      </c>
    </row>
    <row r="613">
      <c r="A613" s="6" t="s">
        <v>2594</v>
      </c>
      <c r="B613" s="6" t="s">
        <v>2594</v>
      </c>
      <c r="C613" s="6" t="s">
        <v>2595</v>
      </c>
      <c r="D613" s="6" t="s">
        <v>2596</v>
      </c>
      <c r="E613" s="6" t="e">
        <v>#N/A</v>
      </c>
      <c r="F613" s="6" t="s">
        <v>2597</v>
      </c>
      <c r="G613" s="6" t="s">
        <v>2598</v>
      </c>
      <c r="H613" s="7" t="s">
        <v>2599</v>
      </c>
      <c r="I613" s="6" t="e">
        <v>#N/A</v>
      </c>
      <c r="J613" s="6" t="s">
        <v>2600</v>
      </c>
      <c r="K613" s="6" t="str">
        <f>VLOOKUP(A613,Sheet4!$A:$H,7,0)</f>
        <v>Pet Bed</v>
      </c>
      <c r="L613" s="6" t="str">
        <f>VLOOKUP(B613,Sheet4!$A:$H,8,0)</f>
        <v>Beds</v>
      </c>
      <c r="M613" s="6">
        <v>3489.0</v>
      </c>
      <c r="N613" s="8">
        <v>2507.0</v>
      </c>
      <c r="O613" s="9">
        <v>2499.0</v>
      </c>
      <c r="P613" s="10">
        <v>2442.3</v>
      </c>
    </row>
    <row r="614">
      <c r="A614" s="6" t="s">
        <v>2601</v>
      </c>
      <c r="B614" s="6" t="s">
        <v>2601</v>
      </c>
      <c r="C614" s="6">
        <v>0.0</v>
      </c>
      <c r="D614" s="6" t="s">
        <v>1161</v>
      </c>
      <c r="E614" s="6" t="e">
        <v>#N/A</v>
      </c>
      <c r="F614" s="6">
        <v>0.0</v>
      </c>
      <c r="G614" s="6" t="s">
        <v>2602</v>
      </c>
      <c r="H614" s="7" t="e">
        <v>#N/A</v>
      </c>
      <c r="I614" s="6" t="e">
        <v>#N/A</v>
      </c>
      <c r="J614" s="6" t="s">
        <v>2603</v>
      </c>
      <c r="K614" s="6" t="str">
        <f>VLOOKUP(A614,Sheet4!$A:$H,7,0)</f>
        <v>Pet Pets</v>
      </c>
      <c r="L614" s="6" t="str">
        <f>VLOOKUP(B614,Sheet4!$A:$H,8,0)</f>
        <v>Beds</v>
      </c>
      <c r="M614" s="6">
        <v>4489.0</v>
      </c>
      <c r="N614" s="8">
        <v>4444.11</v>
      </c>
      <c r="O614" s="9">
        <v>4489.0</v>
      </c>
      <c r="P614" s="10">
        <v>4449.0</v>
      </c>
    </row>
    <row r="615">
      <c r="A615" s="6" t="s">
        <v>2604</v>
      </c>
      <c r="B615" s="6" t="s">
        <v>2604</v>
      </c>
      <c r="C615" s="6" t="s">
        <v>2605</v>
      </c>
      <c r="D615" s="6" t="s">
        <v>2606</v>
      </c>
      <c r="E615" s="6" t="e">
        <v>#N/A</v>
      </c>
      <c r="F615" s="6">
        <v>0.0</v>
      </c>
      <c r="G615" s="6" t="s">
        <v>2604</v>
      </c>
      <c r="H615" s="7" t="s">
        <v>2607</v>
      </c>
      <c r="I615" s="6" t="e">
        <v>#N/A</v>
      </c>
      <c r="J615" s="6" t="s">
        <v>2608</v>
      </c>
      <c r="K615" s="6" t="str">
        <f>VLOOKUP(A615,Sheet4!$A:$H,7,0)</f>
        <v>Pet Bed</v>
      </c>
      <c r="L615" s="6" t="str">
        <f>VLOOKUP(B615,Sheet4!$A:$H,8,0)</f>
        <v>Beds</v>
      </c>
      <c r="M615" s="6">
        <v>2989.0</v>
      </c>
      <c r="N615" s="8">
        <v>2147.0</v>
      </c>
      <c r="O615" s="9">
        <v>2099.0</v>
      </c>
      <c r="P615" s="10">
        <v>2092.3</v>
      </c>
    </row>
    <row r="616">
      <c r="A616" s="6" t="s">
        <v>2609</v>
      </c>
      <c r="B616" s="6" t="s">
        <v>2609</v>
      </c>
      <c r="C616" s="6" t="s">
        <v>2610</v>
      </c>
      <c r="D616" s="6" t="s">
        <v>2611</v>
      </c>
      <c r="E616" s="6" t="e">
        <v>#N/A</v>
      </c>
      <c r="F616" s="6">
        <v>0.0</v>
      </c>
      <c r="G616" s="6" t="s">
        <v>2609</v>
      </c>
      <c r="H616" s="7" t="s">
        <v>2612</v>
      </c>
      <c r="I616" s="6" t="e">
        <v>#N/A</v>
      </c>
      <c r="J616" s="6" t="s">
        <v>2613</v>
      </c>
      <c r="K616" s="6" t="str">
        <f>VLOOKUP(A616,Sheet4!$A:$H,7,0)</f>
        <v>Pet Bed</v>
      </c>
      <c r="L616" s="6" t="str">
        <f>VLOOKUP(B616,Sheet4!$A:$H,8,0)</f>
        <v>Beds</v>
      </c>
      <c r="M616" s="6">
        <v>3489.0</v>
      </c>
      <c r="N616" s="8">
        <v>2507.0</v>
      </c>
      <c r="O616" s="9">
        <v>2499.0</v>
      </c>
      <c r="P616" s="10">
        <v>2442.3</v>
      </c>
    </row>
    <row r="617">
      <c r="A617" s="6" t="s">
        <v>2614</v>
      </c>
      <c r="B617" s="6" t="s">
        <v>2614</v>
      </c>
      <c r="C617" s="6" t="s">
        <v>2615</v>
      </c>
      <c r="D617" s="6" t="s">
        <v>2616</v>
      </c>
      <c r="E617" s="6" t="e">
        <v>#N/A</v>
      </c>
      <c r="F617" s="6">
        <v>0.0</v>
      </c>
      <c r="G617" s="6" t="s">
        <v>2614</v>
      </c>
      <c r="H617" s="7" t="s">
        <v>2617</v>
      </c>
      <c r="I617" s="6" t="e">
        <v>#N/A</v>
      </c>
      <c r="J617" s="6" t="s">
        <v>2618</v>
      </c>
      <c r="K617" s="6" t="str">
        <f>VLOOKUP(A617,Sheet4!$A:$H,7,0)</f>
        <v>Pet Bed</v>
      </c>
      <c r="L617" s="6" t="str">
        <f>VLOOKUP(B617,Sheet4!$A:$H,8,0)</f>
        <v>Beds</v>
      </c>
      <c r="M617" s="6">
        <v>4489.0</v>
      </c>
      <c r="N617" s="8">
        <v>3225.0</v>
      </c>
      <c r="O617" s="9">
        <v>3199.0</v>
      </c>
      <c r="P617" s="10">
        <v>3142.3</v>
      </c>
    </row>
    <row r="618">
      <c r="A618" s="6" t="s">
        <v>2619</v>
      </c>
      <c r="B618" s="6" t="s">
        <v>2619</v>
      </c>
      <c r="C618" s="6" t="s">
        <v>2620</v>
      </c>
      <c r="D618" s="6" t="s">
        <v>2621</v>
      </c>
      <c r="E618" s="6" t="e">
        <v>#N/A</v>
      </c>
      <c r="F618" s="6">
        <v>0.0</v>
      </c>
      <c r="G618" s="6" t="s">
        <v>2619</v>
      </c>
      <c r="H618" s="7" t="s">
        <v>2622</v>
      </c>
      <c r="I618" s="6" t="e">
        <v>#N/A</v>
      </c>
      <c r="J618" s="6" t="s">
        <v>2623</v>
      </c>
      <c r="K618" s="6" t="str">
        <f>VLOOKUP(A618,Sheet4!$A:$H,7,0)</f>
        <v>Pet Bed</v>
      </c>
      <c r="L618" s="6" t="str">
        <f>VLOOKUP(B618,Sheet4!$A:$H,8,0)</f>
        <v>Beds</v>
      </c>
      <c r="M618" s="6">
        <v>2989.0</v>
      </c>
      <c r="N618" s="8">
        <v>2147.0</v>
      </c>
      <c r="O618" s="9">
        <v>2099.0</v>
      </c>
      <c r="P618" s="10">
        <v>2092.3</v>
      </c>
    </row>
    <row r="619">
      <c r="A619" s="6" t="s">
        <v>2624</v>
      </c>
      <c r="B619" s="6" t="s">
        <v>2624</v>
      </c>
      <c r="C619" s="6" t="s">
        <v>2625</v>
      </c>
      <c r="D619" s="6" t="s">
        <v>2626</v>
      </c>
      <c r="E619" s="6" t="e">
        <v>#N/A</v>
      </c>
      <c r="F619" s="6">
        <v>0.0</v>
      </c>
      <c r="G619" s="6" t="s">
        <v>2624</v>
      </c>
      <c r="H619" s="7" t="s">
        <v>2627</v>
      </c>
      <c r="I619" s="6" t="e">
        <v>#N/A</v>
      </c>
      <c r="J619" s="6" t="s">
        <v>2628</v>
      </c>
      <c r="K619" s="6" t="str">
        <f>VLOOKUP(A619,Sheet4!$A:$H,7,0)</f>
        <v>Pet Bed</v>
      </c>
      <c r="L619" s="6" t="str">
        <f>VLOOKUP(B619,Sheet4!$A:$H,8,0)</f>
        <v>Beds</v>
      </c>
      <c r="M619" s="6">
        <v>3489.0</v>
      </c>
      <c r="N619" s="8">
        <v>2507.0</v>
      </c>
      <c r="O619" s="9">
        <v>2499.0</v>
      </c>
      <c r="P619" s="10">
        <v>2442.3</v>
      </c>
    </row>
    <row r="620">
      <c r="A620" s="6" t="s">
        <v>2629</v>
      </c>
      <c r="B620" s="6" t="s">
        <v>2629</v>
      </c>
      <c r="C620" s="6" t="s">
        <v>2630</v>
      </c>
      <c r="D620" s="6" t="s">
        <v>2631</v>
      </c>
      <c r="E620" s="6" t="e">
        <v>#N/A</v>
      </c>
      <c r="F620" s="6">
        <v>0.0</v>
      </c>
      <c r="G620" s="6" t="s">
        <v>2629</v>
      </c>
      <c r="H620" s="7" t="s">
        <v>2632</v>
      </c>
      <c r="I620" s="6" t="e">
        <v>#N/A</v>
      </c>
      <c r="J620" s="6" t="s">
        <v>2633</v>
      </c>
      <c r="K620" s="6" t="str">
        <f>VLOOKUP(A620,Sheet4!$A:$H,7,0)</f>
        <v>Pet Bed</v>
      </c>
      <c r="L620" s="6" t="str">
        <f>VLOOKUP(B620,Sheet4!$A:$H,8,0)</f>
        <v>Beds</v>
      </c>
      <c r="M620" s="6">
        <v>4489.0</v>
      </c>
      <c r="N620" s="8">
        <v>3225.0</v>
      </c>
      <c r="O620" s="9">
        <v>3199.0</v>
      </c>
      <c r="P620" s="10">
        <v>3142.3</v>
      </c>
    </row>
    <row r="621">
      <c r="A621" s="6" t="s">
        <v>2634</v>
      </c>
      <c r="B621" s="6" t="s">
        <v>2634</v>
      </c>
      <c r="C621" s="6" t="e">
        <v>#N/A</v>
      </c>
      <c r="D621" s="6" t="e">
        <v>#N/A</v>
      </c>
      <c r="E621" s="6" t="e">
        <v>#N/A</v>
      </c>
      <c r="F621" s="6" t="e">
        <v>#N/A</v>
      </c>
      <c r="G621" s="6">
        <v>0.0</v>
      </c>
      <c r="H621" s="7" t="e">
        <v>#N/A</v>
      </c>
      <c r="I621" s="6" t="e">
        <v>#N/A</v>
      </c>
      <c r="J621" s="6" t="e">
        <v>#N/A</v>
      </c>
      <c r="K621" s="6" t="str">
        <f>VLOOKUP(A621,Sheet4!$A:$H,7,0)</f>
        <v>#N/A</v>
      </c>
      <c r="L621" s="6" t="str">
        <f>VLOOKUP(B621,Sheet4!$A:$H,8,0)</f>
        <v>#N/A</v>
      </c>
      <c r="M621" s="6" t="str">
        <f t="shared" ref="M621:M624" si="8">VLOOKUP(A621,#REF!,2,FALSE)</f>
        <v>#REF!</v>
      </c>
      <c r="N621" s="6" t="str">
        <f>VLOOKUP(A621, Sheet2!A:M, 3, FALSE)</f>
        <v>#N/A</v>
      </c>
      <c r="O621" s="10" t="e">
        <v>#N/A</v>
      </c>
      <c r="P621" s="10" t="e">
        <v>#N/A</v>
      </c>
    </row>
    <row r="622">
      <c r="A622" s="6" t="s">
        <v>2635</v>
      </c>
      <c r="B622" s="6" t="s">
        <v>2635</v>
      </c>
      <c r="C622" s="6" t="e">
        <v>#N/A</v>
      </c>
      <c r="D622" s="6" t="e">
        <v>#N/A</v>
      </c>
      <c r="E622" s="6" t="e">
        <v>#N/A</v>
      </c>
      <c r="F622" s="6" t="e">
        <v>#N/A</v>
      </c>
      <c r="G622" s="6">
        <v>0.0</v>
      </c>
      <c r="H622" s="7" t="e">
        <v>#N/A</v>
      </c>
      <c r="I622" s="6" t="e">
        <v>#N/A</v>
      </c>
      <c r="J622" s="6" t="e">
        <v>#N/A</v>
      </c>
      <c r="K622" s="6" t="str">
        <f>VLOOKUP(A622,Sheet4!$A:$H,7,0)</f>
        <v>#N/A</v>
      </c>
      <c r="L622" s="6" t="str">
        <f>VLOOKUP(B622,Sheet4!$A:$H,8,0)</f>
        <v>#N/A</v>
      </c>
      <c r="M622" s="6" t="str">
        <f t="shared" si="8"/>
        <v>#REF!</v>
      </c>
      <c r="N622" s="6" t="str">
        <f>VLOOKUP(A622, Sheet2!A:M, 3, FALSE)</f>
        <v>#N/A</v>
      </c>
      <c r="O622" s="10" t="e">
        <v>#N/A</v>
      </c>
      <c r="P622" s="10" t="e">
        <v>#N/A</v>
      </c>
    </row>
    <row r="623">
      <c r="A623" s="6" t="s">
        <v>2636</v>
      </c>
      <c r="B623" s="6" t="s">
        <v>2636</v>
      </c>
      <c r="C623" s="6" t="e">
        <v>#N/A</v>
      </c>
      <c r="D623" s="6" t="e">
        <v>#N/A</v>
      </c>
      <c r="E623" s="6" t="e">
        <v>#N/A</v>
      </c>
      <c r="F623" s="6" t="e">
        <v>#N/A</v>
      </c>
      <c r="G623" s="6">
        <v>0.0</v>
      </c>
      <c r="H623" s="7" t="e">
        <v>#N/A</v>
      </c>
      <c r="I623" s="6" t="e">
        <v>#N/A</v>
      </c>
      <c r="J623" s="6" t="e">
        <v>#N/A</v>
      </c>
      <c r="K623" s="6" t="str">
        <f>VLOOKUP(A623,Sheet4!$A:$H,7,0)</f>
        <v>#N/A</v>
      </c>
      <c r="L623" s="6" t="str">
        <f>VLOOKUP(B623,Sheet4!$A:$H,8,0)</f>
        <v>#N/A</v>
      </c>
      <c r="M623" s="6" t="str">
        <f t="shared" si="8"/>
        <v>#REF!</v>
      </c>
      <c r="N623" s="6" t="str">
        <f>VLOOKUP(A623, Sheet2!A:M, 3, FALSE)</f>
        <v>#N/A</v>
      </c>
      <c r="O623" s="10" t="e">
        <v>#N/A</v>
      </c>
      <c r="P623" s="10" t="e">
        <v>#N/A</v>
      </c>
    </row>
    <row r="624">
      <c r="A624" s="6" t="s">
        <v>2637</v>
      </c>
      <c r="B624" s="6" t="s">
        <v>2637</v>
      </c>
      <c r="C624" s="6" t="e">
        <v>#N/A</v>
      </c>
      <c r="D624" s="6" t="e">
        <v>#N/A</v>
      </c>
      <c r="E624" s="6" t="e">
        <v>#N/A</v>
      </c>
      <c r="F624" s="6" t="e">
        <v>#N/A</v>
      </c>
      <c r="G624" s="6">
        <v>0.0</v>
      </c>
      <c r="H624" s="7" t="e">
        <v>#N/A</v>
      </c>
      <c r="I624" s="6" t="e">
        <v>#N/A</v>
      </c>
      <c r="J624" s="6" t="e">
        <v>#N/A</v>
      </c>
      <c r="K624" s="6" t="str">
        <f>VLOOKUP(A624,Sheet4!$A:$H,7,0)</f>
        <v>#N/A</v>
      </c>
      <c r="L624" s="6" t="str">
        <f>VLOOKUP(B624,Sheet4!$A:$H,8,0)</f>
        <v>#N/A</v>
      </c>
      <c r="M624" s="6" t="str">
        <f t="shared" si="8"/>
        <v>#REF!</v>
      </c>
      <c r="N624" s="6" t="str">
        <f>VLOOKUP(A624, Sheet2!A:M, 3, FALSE)</f>
        <v>#N/A</v>
      </c>
      <c r="O624" s="10" t="e">
        <v>#N/A</v>
      </c>
      <c r="P624" s="10" t="e">
        <v>#N/A</v>
      </c>
    </row>
    <row r="625">
      <c r="A625" s="6" t="s">
        <v>2638</v>
      </c>
      <c r="B625" s="6" t="s">
        <v>2638</v>
      </c>
      <c r="C625" s="6" t="s">
        <v>2639</v>
      </c>
      <c r="D625" s="6" t="s">
        <v>2640</v>
      </c>
      <c r="E625" s="6" t="e">
        <v>#N/A</v>
      </c>
      <c r="F625" s="6" t="s">
        <v>2641</v>
      </c>
      <c r="G625" s="6" t="s">
        <v>2642</v>
      </c>
      <c r="H625" s="7" t="s">
        <v>2643</v>
      </c>
      <c r="I625" s="6">
        <v>3.1818435E7</v>
      </c>
      <c r="J625" s="6" t="e">
        <v>#N/A</v>
      </c>
      <c r="K625" s="6" t="str">
        <f>VLOOKUP(A625,Sheet4!$A:$H,7,0)</f>
        <v>Cotton Fitted Bedsheet</v>
      </c>
      <c r="L625" s="6" t="str">
        <f>VLOOKUP(B625,Sheet4!$A:$H,8,0)</f>
        <v>Bedding</v>
      </c>
      <c r="M625" s="6">
        <v>1389.0</v>
      </c>
      <c r="N625" s="8">
        <v>1138.0</v>
      </c>
      <c r="O625" s="9">
        <v>1138.0</v>
      </c>
      <c r="P625" s="10">
        <v>1041.75</v>
      </c>
    </row>
    <row r="626">
      <c r="A626" s="6" t="s">
        <v>2644</v>
      </c>
      <c r="B626" s="6" t="s">
        <v>2644</v>
      </c>
      <c r="C626" s="6" t="s">
        <v>2645</v>
      </c>
      <c r="D626" s="6" t="s">
        <v>2646</v>
      </c>
      <c r="E626" s="6" t="s">
        <v>2647</v>
      </c>
      <c r="F626" s="6" t="s">
        <v>2648</v>
      </c>
      <c r="G626" s="6" t="s">
        <v>2649</v>
      </c>
      <c r="H626" s="7" t="s">
        <v>2650</v>
      </c>
      <c r="I626" s="6">
        <v>3.1818418E7</v>
      </c>
      <c r="J626" s="6" t="e">
        <v>#N/A</v>
      </c>
      <c r="K626" s="6" t="str">
        <f>VLOOKUP(A626,Sheet4!$A:$H,7,0)</f>
        <v>Cotton Fitted Bedsheet</v>
      </c>
      <c r="L626" s="6" t="str">
        <f>VLOOKUP(B626,Sheet4!$A:$H,8,0)</f>
        <v>Bedding</v>
      </c>
      <c r="M626" s="6">
        <v>1389.0</v>
      </c>
      <c r="N626" s="8">
        <v>1138.0</v>
      </c>
      <c r="O626" s="9">
        <v>1138.0</v>
      </c>
      <c r="P626" s="10">
        <v>1041.75</v>
      </c>
    </row>
    <row r="627">
      <c r="A627" s="6" t="s">
        <v>2651</v>
      </c>
      <c r="B627" s="6" t="s">
        <v>2651</v>
      </c>
      <c r="C627" s="6" t="s">
        <v>2652</v>
      </c>
      <c r="D627" s="6" t="s">
        <v>2653</v>
      </c>
      <c r="E627" s="6" t="e">
        <v>#N/A</v>
      </c>
      <c r="F627" s="6" t="s">
        <v>2654</v>
      </c>
      <c r="G627" s="6" t="s">
        <v>2655</v>
      </c>
      <c r="H627" s="7" t="s">
        <v>2656</v>
      </c>
      <c r="I627" s="6">
        <v>3.181844E7</v>
      </c>
      <c r="J627" s="6" t="e">
        <v>#N/A</v>
      </c>
      <c r="K627" s="6" t="str">
        <f>VLOOKUP(A627,Sheet4!$A:$H,7,0)</f>
        <v>Cotton Fitted Bedsheet</v>
      </c>
      <c r="L627" s="6" t="str">
        <f>VLOOKUP(B627,Sheet4!$A:$H,8,0)</f>
        <v>Bedding</v>
      </c>
      <c r="M627" s="6">
        <v>1389.0</v>
      </c>
      <c r="N627" s="8">
        <v>1138.0</v>
      </c>
      <c r="O627" s="9">
        <v>1138.0</v>
      </c>
      <c r="P627" s="10">
        <v>1041.75</v>
      </c>
    </row>
    <row r="628">
      <c r="A628" s="6" t="s">
        <v>2657</v>
      </c>
      <c r="B628" s="6" t="s">
        <v>2657</v>
      </c>
      <c r="C628" s="6" t="s">
        <v>2658</v>
      </c>
      <c r="D628" s="6" t="s">
        <v>2659</v>
      </c>
      <c r="E628" s="6" t="e">
        <v>#N/A</v>
      </c>
      <c r="F628" s="6" t="s">
        <v>2660</v>
      </c>
      <c r="G628" s="6" t="s">
        <v>2661</v>
      </c>
      <c r="H628" s="7" t="s">
        <v>2662</v>
      </c>
      <c r="I628" s="6">
        <v>3.1818449E7</v>
      </c>
      <c r="J628" s="6" t="e">
        <v>#N/A</v>
      </c>
      <c r="K628" s="6" t="str">
        <f>VLOOKUP(A628,Sheet4!$A:$H,7,0)</f>
        <v>Cotton Fitted Bedsheet</v>
      </c>
      <c r="L628" s="6" t="str">
        <f>VLOOKUP(B628,Sheet4!$A:$H,8,0)</f>
        <v>Bedding</v>
      </c>
      <c r="M628" s="6">
        <v>1389.0</v>
      </c>
      <c r="N628" s="8">
        <v>1138.0</v>
      </c>
      <c r="O628" s="9">
        <v>1138.0</v>
      </c>
      <c r="P628" s="10">
        <v>1041.75</v>
      </c>
    </row>
    <row r="629">
      <c r="A629" s="6" t="s">
        <v>2663</v>
      </c>
      <c r="B629" s="6" t="s">
        <v>2663</v>
      </c>
      <c r="C629" s="6" t="s">
        <v>2664</v>
      </c>
      <c r="D629" s="6" t="s">
        <v>2665</v>
      </c>
      <c r="E629" s="6" t="e">
        <v>#N/A</v>
      </c>
      <c r="F629" s="6" t="s">
        <v>2666</v>
      </c>
      <c r="G629" s="6" t="s">
        <v>2667</v>
      </c>
      <c r="H629" s="7" t="s">
        <v>2668</v>
      </c>
      <c r="I629" s="6">
        <v>3.1818393E7</v>
      </c>
      <c r="J629" s="6" t="e">
        <v>#N/A</v>
      </c>
      <c r="K629" s="6" t="str">
        <f>VLOOKUP(A629,Sheet4!$A:$H,7,0)</f>
        <v>Cotton Fitted Bedsheet</v>
      </c>
      <c r="L629" s="6" t="str">
        <f>VLOOKUP(B629,Sheet4!$A:$H,8,0)</f>
        <v>Bedding</v>
      </c>
      <c r="M629" s="6">
        <v>1389.0</v>
      </c>
      <c r="N629" s="8">
        <v>1138.0</v>
      </c>
      <c r="O629" s="9">
        <v>1138.0</v>
      </c>
      <c r="P629" s="10">
        <v>1041.75</v>
      </c>
    </row>
    <row r="630">
      <c r="A630" s="6" t="s">
        <v>2669</v>
      </c>
      <c r="B630" s="6" t="s">
        <v>2669</v>
      </c>
      <c r="C630" s="6" t="e">
        <v>#N/A</v>
      </c>
      <c r="D630" s="6" t="e">
        <v>#N/A</v>
      </c>
      <c r="E630" s="6" t="e">
        <v>#N/A</v>
      </c>
      <c r="F630" s="6" t="e">
        <v>#N/A</v>
      </c>
      <c r="G630" s="6">
        <v>0.0</v>
      </c>
      <c r="H630" s="7" t="e">
        <v>#N/A</v>
      </c>
      <c r="I630" s="6" t="e">
        <v>#N/A</v>
      </c>
      <c r="J630" s="6" t="e">
        <v>#N/A</v>
      </c>
      <c r="K630" s="6" t="str">
        <f>VLOOKUP(A630,Sheet4!$A:$H,7,0)</f>
        <v>#N/A</v>
      </c>
      <c r="L630" s="6" t="str">
        <f>VLOOKUP(B630,Sheet4!$A:$H,8,0)</f>
        <v>#N/A</v>
      </c>
      <c r="M630" s="6" t="str">
        <f t="shared" ref="M630:M639" si="9">VLOOKUP(A630,#REF!,2,FALSE)</f>
        <v>#REF!</v>
      </c>
      <c r="N630" s="6" t="str">
        <f>VLOOKUP(A630, Sheet2!A:M, 3, FALSE)</f>
        <v>#N/A</v>
      </c>
      <c r="O630" s="10" t="e">
        <v>#N/A</v>
      </c>
      <c r="P630" s="10" t="e">
        <v>#N/A</v>
      </c>
    </row>
    <row r="631">
      <c r="A631" s="6" t="s">
        <v>2670</v>
      </c>
      <c r="B631" s="6" t="s">
        <v>2670</v>
      </c>
      <c r="C631" s="6" t="e">
        <v>#N/A</v>
      </c>
      <c r="D631" s="6" t="e">
        <v>#N/A</v>
      </c>
      <c r="E631" s="6" t="e">
        <v>#N/A</v>
      </c>
      <c r="F631" s="6" t="e">
        <v>#N/A</v>
      </c>
      <c r="G631" s="6">
        <v>0.0</v>
      </c>
      <c r="H631" s="7" t="e">
        <v>#N/A</v>
      </c>
      <c r="I631" s="6" t="e">
        <v>#N/A</v>
      </c>
      <c r="J631" s="6" t="e">
        <v>#N/A</v>
      </c>
      <c r="K631" s="6" t="str">
        <f>VLOOKUP(A631,Sheet4!$A:$H,7,0)</f>
        <v>#N/A</v>
      </c>
      <c r="L631" s="6" t="str">
        <f>VLOOKUP(B631,Sheet4!$A:$H,8,0)</f>
        <v>#N/A</v>
      </c>
      <c r="M631" s="6" t="str">
        <f t="shared" si="9"/>
        <v>#REF!</v>
      </c>
      <c r="N631" s="6" t="str">
        <f>VLOOKUP(A631, Sheet2!A:M, 3, FALSE)</f>
        <v>#N/A</v>
      </c>
      <c r="O631" s="10" t="e">
        <v>#N/A</v>
      </c>
      <c r="P631" s="10" t="e">
        <v>#N/A</v>
      </c>
    </row>
    <row r="632">
      <c r="A632" s="6" t="s">
        <v>2671</v>
      </c>
      <c r="B632" s="6" t="s">
        <v>2671</v>
      </c>
      <c r="C632" s="6" t="e">
        <v>#N/A</v>
      </c>
      <c r="D632" s="6" t="e">
        <v>#N/A</v>
      </c>
      <c r="E632" s="6" t="e">
        <v>#N/A</v>
      </c>
      <c r="F632" s="6" t="e">
        <v>#N/A</v>
      </c>
      <c r="G632" s="6">
        <v>0.0</v>
      </c>
      <c r="H632" s="7" t="e">
        <v>#N/A</v>
      </c>
      <c r="I632" s="6" t="e">
        <v>#N/A</v>
      </c>
      <c r="J632" s="6" t="e">
        <v>#N/A</v>
      </c>
      <c r="K632" s="6" t="str">
        <f>VLOOKUP(A632,Sheet4!$A:$H,7,0)</f>
        <v>#N/A</v>
      </c>
      <c r="L632" s="6" t="str">
        <f>VLOOKUP(B632,Sheet4!$A:$H,8,0)</f>
        <v>#N/A</v>
      </c>
      <c r="M632" s="6" t="str">
        <f t="shared" si="9"/>
        <v>#REF!</v>
      </c>
      <c r="N632" s="6" t="str">
        <f>VLOOKUP(A632, Sheet2!A:M, 3, FALSE)</f>
        <v>#N/A</v>
      </c>
      <c r="O632" s="10" t="e">
        <v>#N/A</v>
      </c>
      <c r="P632" s="10" t="e">
        <v>#N/A</v>
      </c>
    </row>
    <row r="633">
      <c r="A633" s="6" t="s">
        <v>2672</v>
      </c>
      <c r="B633" s="6" t="s">
        <v>2672</v>
      </c>
      <c r="C633" s="6" t="e">
        <v>#N/A</v>
      </c>
      <c r="D633" s="6" t="e">
        <v>#N/A</v>
      </c>
      <c r="E633" s="6" t="e">
        <v>#N/A</v>
      </c>
      <c r="F633" s="6" t="e">
        <v>#N/A</v>
      </c>
      <c r="G633" s="6">
        <v>0.0</v>
      </c>
      <c r="H633" s="7" t="e">
        <v>#N/A</v>
      </c>
      <c r="I633" s="6" t="e">
        <v>#N/A</v>
      </c>
      <c r="J633" s="6" t="e">
        <v>#N/A</v>
      </c>
      <c r="K633" s="6" t="str">
        <f>VLOOKUP(A633,Sheet4!$A:$H,7,0)</f>
        <v>#N/A</v>
      </c>
      <c r="L633" s="6" t="str">
        <f>VLOOKUP(B633,Sheet4!$A:$H,8,0)</f>
        <v>#N/A</v>
      </c>
      <c r="M633" s="6" t="str">
        <f t="shared" si="9"/>
        <v>#REF!</v>
      </c>
      <c r="N633" s="6" t="str">
        <f>VLOOKUP(A633, Sheet2!A:M, 3, FALSE)</f>
        <v>#N/A</v>
      </c>
      <c r="O633" s="10" t="e">
        <v>#N/A</v>
      </c>
      <c r="P633" s="10" t="e">
        <v>#N/A</v>
      </c>
    </row>
    <row r="634">
      <c r="A634" s="6" t="s">
        <v>2673</v>
      </c>
      <c r="B634" s="6" t="s">
        <v>2673</v>
      </c>
      <c r="C634" s="6" t="e">
        <v>#N/A</v>
      </c>
      <c r="D634" s="6" t="e">
        <v>#N/A</v>
      </c>
      <c r="E634" s="6" t="e">
        <v>#N/A</v>
      </c>
      <c r="F634" s="6" t="e">
        <v>#N/A</v>
      </c>
      <c r="G634" s="6">
        <v>0.0</v>
      </c>
      <c r="H634" s="7" t="e">
        <v>#N/A</v>
      </c>
      <c r="I634" s="6" t="e">
        <v>#N/A</v>
      </c>
      <c r="J634" s="6" t="e">
        <v>#N/A</v>
      </c>
      <c r="K634" s="6" t="str">
        <f>VLOOKUP(A634,Sheet4!$A:$H,7,0)</f>
        <v>#N/A</v>
      </c>
      <c r="L634" s="6" t="str">
        <f>VLOOKUP(B634,Sheet4!$A:$H,8,0)</f>
        <v>#N/A</v>
      </c>
      <c r="M634" s="6" t="str">
        <f t="shared" si="9"/>
        <v>#REF!</v>
      </c>
      <c r="N634" s="6" t="str">
        <f>VLOOKUP(A634, Sheet2!A:M, 3, FALSE)</f>
        <v>#N/A</v>
      </c>
      <c r="O634" s="10" t="e">
        <v>#N/A</v>
      </c>
      <c r="P634" s="10" t="e">
        <v>#N/A</v>
      </c>
    </row>
    <row r="635">
      <c r="A635" s="6" t="s">
        <v>2674</v>
      </c>
      <c r="B635" s="6" t="s">
        <v>2674</v>
      </c>
      <c r="C635" s="6" t="e">
        <v>#N/A</v>
      </c>
      <c r="D635" s="6" t="e">
        <v>#N/A</v>
      </c>
      <c r="E635" s="6" t="e">
        <v>#N/A</v>
      </c>
      <c r="F635" s="6" t="e">
        <v>#N/A</v>
      </c>
      <c r="G635" s="6">
        <v>0.0</v>
      </c>
      <c r="H635" s="7" t="e">
        <v>#N/A</v>
      </c>
      <c r="I635" s="6" t="e">
        <v>#N/A</v>
      </c>
      <c r="J635" s="6" t="e">
        <v>#N/A</v>
      </c>
      <c r="K635" s="6" t="str">
        <f>VLOOKUP(A635,Sheet4!$A:$H,7,0)</f>
        <v>#N/A</v>
      </c>
      <c r="L635" s="6" t="str">
        <f>VLOOKUP(B635,Sheet4!$A:$H,8,0)</f>
        <v>#N/A</v>
      </c>
      <c r="M635" s="6" t="str">
        <f t="shared" si="9"/>
        <v>#REF!</v>
      </c>
      <c r="N635" s="6" t="str">
        <f>VLOOKUP(A635, Sheet2!A:M, 3, FALSE)</f>
        <v>#N/A</v>
      </c>
      <c r="O635" s="10" t="e">
        <v>#N/A</v>
      </c>
      <c r="P635" s="10" t="e">
        <v>#N/A</v>
      </c>
    </row>
    <row r="636">
      <c r="A636" s="6" t="s">
        <v>2675</v>
      </c>
      <c r="B636" s="6" t="s">
        <v>2675</v>
      </c>
      <c r="C636" s="6" t="e">
        <v>#N/A</v>
      </c>
      <c r="D636" s="6" t="e">
        <v>#N/A</v>
      </c>
      <c r="E636" s="6" t="e">
        <v>#N/A</v>
      </c>
      <c r="F636" s="6" t="e">
        <v>#N/A</v>
      </c>
      <c r="G636" s="6">
        <v>0.0</v>
      </c>
      <c r="H636" s="7" t="e">
        <v>#N/A</v>
      </c>
      <c r="I636" s="6" t="e">
        <v>#N/A</v>
      </c>
      <c r="J636" s="6" t="e">
        <v>#N/A</v>
      </c>
      <c r="K636" s="6" t="str">
        <f>VLOOKUP(A636,Sheet4!$A:$H,7,0)</f>
        <v>#N/A</v>
      </c>
      <c r="L636" s="6" t="str">
        <f>VLOOKUP(B636,Sheet4!$A:$H,8,0)</f>
        <v>#N/A</v>
      </c>
      <c r="M636" s="6" t="str">
        <f t="shared" si="9"/>
        <v>#REF!</v>
      </c>
      <c r="N636" s="6" t="str">
        <f>VLOOKUP(A636, Sheet2!A:M, 3, FALSE)</f>
        <v>#N/A</v>
      </c>
      <c r="O636" s="10" t="e">
        <v>#N/A</v>
      </c>
      <c r="P636" s="10" t="e">
        <v>#N/A</v>
      </c>
    </row>
    <row r="637">
      <c r="A637" s="6" t="s">
        <v>2676</v>
      </c>
      <c r="B637" s="6" t="s">
        <v>2676</v>
      </c>
      <c r="C637" s="6" t="e">
        <v>#N/A</v>
      </c>
      <c r="D637" s="6" t="e">
        <v>#N/A</v>
      </c>
      <c r="E637" s="6" t="e">
        <v>#N/A</v>
      </c>
      <c r="F637" s="6" t="e">
        <v>#N/A</v>
      </c>
      <c r="G637" s="6">
        <v>0.0</v>
      </c>
      <c r="H637" s="7" t="e">
        <v>#N/A</v>
      </c>
      <c r="I637" s="6" t="e">
        <v>#N/A</v>
      </c>
      <c r="J637" s="6" t="e">
        <v>#N/A</v>
      </c>
      <c r="K637" s="6" t="str">
        <f>VLOOKUP(A637,Sheet4!$A:$H,7,0)</f>
        <v>#N/A</v>
      </c>
      <c r="L637" s="6" t="str">
        <f>VLOOKUP(B637,Sheet4!$A:$H,8,0)</f>
        <v>#N/A</v>
      </c>
      <c r="M637" s="6" t="str">
        <f t="shared" si="9"/>
        <v>#REF!</v>
      </c>
      <c r="N637" s="6" t="str">
        <f>VLOOKUP(A637, Sheet2!A:M, 3, FALSE)</f>
        <v>#N/A</v>
      </c>
      <c r="O637" s="10" t="e">
        <v>#N/A</v>
      </c>
      <c r="P637" s="10" t="e">
        <v>#N/A</v>
      </c>
    </row>
    <row r="638">
      <c r="A638" s="6" t="s">
        <v>2677</v>
      </c>
      <c r="B638" s="6" t="s">
        <v>2677</v>
      </c>
      <c r="C638" s="6" t="e">
        <v>#N/A</v>
      </c>
      <c r="D638" s="6" t="e">
        <v>#N/A</v>
      </c>
      <c r="E638" s="6" t="e">
        <v>#N/A</v>
      </c>
      <c r="F638" s="6" t="e">
        <v>#N/A</v>
      </c>
      <c r="G638" s="6">
        <v>0.0</v>
      </c>
      <c r="H638" s="7" t="e">
        <v>#N/A</v>
      </c>
      <c r="I638" s="6" t="e">
        <v>#N/A</v>
      </c>
      <c r="J638" s="6" t="e">
        <v>#N/A</v>
      </c>
      <c r="K638" s="6" t="str">
        <f>VLOOKUP(A638,Sheet4!$A:$H,7,0)</f>
        <v>#N/A</v>
      </c>
      <c r="L638" s="6" t="str">
        <f>VLOOKUP(B638,Sheet4!$A:$H,8,0)</f>
        <v>#N/A</v>
      </c>
      <c r="M638" s="6" t="str">
        <f t="shared" si="9"/>
        <v>#REF!</v>
      </c>
      <c r="N638" s="6" t="str">
        <f>VLOOKUP(A638, Sheet2!A:M, 3, FALSE)</f>
        <v>#N/A</v>
      </c>
      <c r="O638" s="10" t="e">
        <v>#N/A</v>
      </c>
      <c r="P638" s="10" t="e">
        <v>#N/A</v>
      </c>
    </row>
    <row r="639">
      <c r="A639" s="6" t="s">
        <v>2678</v>
      </c>
      <c r="B639" s="6" t="s">
        <v>2678</v>
      </c>
      <c r="C639" s="6" t="e">
        <v>#N/A</v>
      </c>
      <c r="D639" s="6" t="e">
        <v>#N/A</v>
      </c>
      <c r="E639" s="6" t="e">
        <v>#N/A</v>
      </c>
      <c r="F639" s="6" t="e">
        <v>#N/A</v>
      </c>
      <c r="G639" s="6">
        <v>0.0</v>
      </c>
      <c r="H639" s="7" t="e">
        <v>#N/A</v>
      </c>
      <c r="I639" s="6" t="e">
        <v>#N/A</v>
      </c>
      <c r="J639" s="6" t="e">
        <v>#N/A</v>
      </c>
      <c r="K639" s="6" t="str">
        <f>VLOOKUP(A639,Sheet4!$A:$H,7,0)</f>
        <v>#N/A</v>
      </c>
      <c r="L639" s="6" t="str">
        <f>VLOOKUP(B639,Sheet4!$A:$H,8,0)</f>
        <v>#N/A</v>
      </c>
      <c r="M639" s="6" t="str">
        <f t="shared" si="9"/>
        <v>#REF!</v>
      </c>
      <c r="N639" s="6" t="str">
        <f>VLOOKUP(A639, Sheet2!A:M, 3, FALSE)</f>
        <v>#N/A</v>
      </c>
      <c r="O639" s="10" t="e">
        <v>#N/A</v>
      </c>
      <c r="P639" s="10" t="e">
        <v>#N/A</v>
      </c>
    </row>
    <row r="640">
      <c r="A640" s="6" t="s">
        <v>2679</v>
      </c>
      <c r="B640" s="6" t="s">
        <v>2679</v>
      </c>
      <c r="C640" s="6" t="s">
        <v>2680</v>
      </c>
      <c r="D640" s="6" t="s">
        <v>2681</v>
      </c>
      <c r="E640" s="6" t="e">
        <v>#N/A</v>
      </c>
      <c r="F640" s="6" t="s">
        <v>2682</v>
      </c>
      <c r="G640" s="6" t="s">
        <v>2683</v>
      </c>
      <c r="H640" s="7" t="s">
        <v>2684</v>
      </c>
      <c r="I640" s="6">
        <v>3.181837E7</v>
      </c>
      <c r="J640" s="6" t="e">
        <v>#N/A</v>
      </c>
      <c r="K640" s="6" t="str">
        <f>VLOOKUP(A640,Sheet4!$A:$H,7,0)</f>
        <v>Cotton Fitted Bedsheet</v>
      </c>
      <c r="L640" s="6" t="str">
        <f>VLOOKUP(B640,Sheet4!$A:$H,8,0)</f>
        <v>Bedding</v>
      </c>
      <c r="M640" s="6">
        <v>1889.0</v>
      </c>
      <c r="N640" s="8">
        <v>1548.0</v>
      </c>
      <c r="O640" s="9">
        <v>1548.0</v>
      </c>
      <c r="P640" s="10">
        <v>1416.75</v>
      </c>
    </row>
    <row r="641">
      <c r="A641" s="6" t="s">
        <v>2685</v>
      </c>
      <c r="B641" s="6" t="s">
        <v>2685</v>
      </c>
      <c r="C641" s="6" t="s">
        <v>2686</v>
      </c>
      <c r="D641" s="6" t="s">
        <v>2687</v>
      </c>
      <c r="E641" s="6" t="e">
        <v>#N/A</v>
      </c>
      <c r="F641" s="6" t="s">
        <v>2688</v>
      </c>
      <c r="G641" s="6" t="s">
        <v>2689</v>
      </c>
      <c r="H641" s="7" t="s">
        <v>2690</v>
      </c>
      <c r="I641" s="6">
        <v>3.1818413E7</v>
      </c>
      <c r="J641" s="6" t="e">
        <v>#N/A</v>
      </c>
      <c r="K641" s="6" t="str">
        <f>VLOOKUP(A641,Sheet4!$A:$H,7,0)</f>
        <v>Cotton Fitted Bedsheet</v>
      </c>
      <c r="L641" s="6" t="str">
        <f>VLOOKUP(B641,Sheet4!$A:$H,8,0)</f>
        <v>Bedding</v>
      </c>
      <c r="M641" s="6">
        <v>1889.0</v>
      </c>
      <c r="N641" s="8">
        <v>1548.0</v>
      </c>
      <c r="O641" s="9">
        <v>1548.0</v>
      </c>
      <c r="P641" s="10">
        <v>1416.75</v>
      </c>
    </row>
    <row r="642">
      <c r="A642" s="6" t="s">
        <v>2691</v>
      </c>
      <c r="B642" s="6" t="s">
        <v>2691</v>
      </c>
      <c r="C642" s="6" t="s">
        <v>2692</v>
      </c>
      <c r="D642" s="6" t="s">
        <v>2693</v>
      </c>
      <c r="E642" s="6" t="e">
        <v>#N/A</v>
      </c>
      <c r="F642" s="6" t="s">
        <v>2694</v>
      </c>
      <c r="G642" s="6" t="s">
        <v>2695</v>
      </c>
      <c r="H642" s="7" t="s">
        <v>2696</v>
      </c>
      <c r="I642" s="6">
        <v>3.181839E7</v>
      </c>
      <c r="J642" s="6" t="e">
        <v>#N/A</v>
      </c>
      <c r="K642" s="6" t="str">
        <f>VLOOKUP(A642,Sheet4!$A:$H,7,0)</f>
        <v>Cotton Fitted Bedsheet</v>
      </c>
      <c r="L642" s="6" t="str">
        <f>VLOOKUP(B642,Sheet4!$A:$H,8,0)</f>
        <v>Bedding</v>
      </c>
      <c r="M642" s="6">
        <v>1889.0</v>
      </c>
      <c r="N642" s="8">
        <v>1548.0</v>
      </c>
      <c r="O642" s="9">
        <v>1548.0</v>
      </c>
      <c r="P642" s="10">
        <v>1416.75</v>
      </c>
    </row>
    <row r="643">
      <c r="A643" s="6" t="s">
        <v>2697</v>
      </c>
      <c r="B643" s="6" t="s">
        <v>2697</v>
      </c>
      <c r="C643" s="6" t="s">
        <v>2698</v>
      </c>
      <c r="D643" s="6" t="s">
        <v>2699</v>
      </c>
      <c r="E643" s="6" t="e">
        <v>#N/A</v>
      </c>
      <c r="F643" s="6" t="s">
        <v>2700</v>
      </c>
      <c r="G643" s="6" t="s">
        <v>2701</v>
      </c>
      <c r="H643" s="7" t="s">
        <v>2702</v>
      </c>
      <c r="I643" s="6">
        <v>3.1818432E7</v>
      </c>
      <c r="J643" s="6" t="e">
        <v>#N/A</v>
      </c>
      <c r="K643" s="6" t="str">
        <f>VLOOKUP(A643,Sheet4!$A:$H,7,0)</f>
        <v>Cotton Fitted Bedsheet</v>
      </c>
      <c r="L643" s="6" t="str">
        <f>VLOOKUP(B643,Sheet4!$A:$H,8,0)</f>
        <v>Bedding</v>
      </c>
      <c r="M643" s="6">
        <v>1889.0</v>
      </c>
      <c r="N643" s="8">
        <v>1548.0</v>
      </c>
      <c r="O643" s="9">
        <v>1548.0</v>
      </c>
      <c r="P643" s="10">
        <v>1416.75</v>
      </c>
    </row>
    <row r="644">
      <c r="A644" s="6" t="s">
        <v>2703</v>
      </c>
      <c r="B644" s="6" t="s">
        <v>2703</v>
      </c>
      <c r="C644" s="6" t="s">
        <v>2704</v>
      </c>
      <c r="D644" s="6" t="s">
        <v>2705</v>
      </c>
      <c r="E644" s="6" t="e">
        <v>#N/A</v>
      </c>
      <c r="F644" s="6" t="s">
        <v>2706</v>
      </c>
      <c r="G644" s="6" t="s">
        <v>2707</v>
      </c>
      <c r="H644" s="7" t="s">
        <v>2708</v>
      </c>
      <c r="I644" s="6">
        <v>3.1818441E7</v>
      </c>
      <c r="J644" s="6" t="e">
        <v>#N/A</v>
      </c>
      <c r="K644" s="6" t="str">
        <f>VLOOKUP(A644,Sheet4!$A:$H,7,0)</f>
        <v>Cotton Fitted Bedsheet</v>
      </c>
      <c r="L644" s="6" t="str">
        <f>VLOOKUP(B644,Sheet4!$A:$H,8,0)</f>
        <v>Bedding</v>
      </c>
      <c r="M644" s="6">
        <v>1889.0</v>
      </c>
      <c r="N644" s="8">
        <v>1548.0</v>
      </c>
      <c r="O644" s="9">
        <v>1548.0</v>
      </c>
      <c r="P644" s="10">
        <v>1416.75</v>
      </c>
    </row>
    <row r="645">
      <c r="A645" s="6" t="s">
        <v>2709</v>
      </c>
      <c r="B645" s="6" t="s">
        <v>2709</v>
      </c>
      <c r="C645" s="6" t="e">
        <v>#N/A</v>
      </c>
      <c r="D645" s="6" t="e">
        <v>#N/A</v>
      </c>
      <c r="E645" s="6" t="e">
        <v>#N/A</v>
      </c>
      <c r="F645" s="6" t="e">
        <v>#N/A</v>
      </c>
      <c r="G645" s="6">
        <v>0.0</v>
      </c>
      <c r="H645" s="7" t="e">
        <v>#N/A</v>
      </c>
      <c r="I645" s="6" t="e">
        <v>#N/A</v>
      </c>
      <c r="J645" s="6" t="e">
        <v>#N/A</v>
      </c>
      <c r="K645" s="6" t="str">
        <f>VLOOKUP(A645,Sheet4!$A:$H,7,0)</f>
        <v>#N/A</v>
      </c>
      <c r="L645" s="6" t="str">
        <f>VLOOKUP(B645,Sheet4!$A:$H,8,0)</f>
        <v>#N/A</v>
      </c>
      <c r="M645" s="6" t="str">
        <f t="shared" ref="M645:M657" si="10">VLOOKUP(A645,#REF!,2,FALSE)</f>
        <v>#REF!</v>
      </c>
      <c r="N645" s="6" t="str">
        <f>VLOOKUP(A645, Sheet2!A:M, 3, FALSE)</f>
        <v>#N/A</v>
      </c>
      <c r="O645" s="10" t="e">
        <v>#N/A</v>
      </c>
      <c r="P645" s="10" t="e">
        <v>#N/A</v>
      </c>
    </row>
    <row r="646">
      <c r="A646" s="6" t="s">
        <v>2710</v>
      </c>
      <c r="B646" s="6" t="s">
        <v>2710</v>
      </c>
      <c r="C646" s="6" t="e">
        <v>#N/A</v>
      </c>
      <c r="D646" s="6" t="e">
        <v>#N/A</v>
      </c>
      <c r="E646" s="6" t="e">
        <v>#N/A</v>
      </c>
      <c r="F646" s="6" t="e">
        <v>#N/A</v>
      </c>
      <c r="G646" s="6">
        <v>0.0</v>
      </c>
      <c r="H646" s="7" t="e">
        <v>#N/A</v>
      </c>
      <c r="I646" s="6" t="e">
        <v>#N/A</v>
      </c>
      <c r="J646" s="6" t="e">
        <v>#N/A</v>
      </c>
      <c r="K646" s="6" t="str">
        <f>VLOOKUP(A646,Sheet4!$A:$H,7,0)</f>
        <v>#N/A</v>
      </c>
      <c r="L646" s="6" t="str">
        <f>VLOOKUP(B646,Sheet4!$A:$H,8,0)</f>
        <v>#N/A</v>
      </c>
      <c r="M646" s="6" t="str">
        <f t="shared" si="10"/>
        <v>#REF!</v>
      </c>
      <c r="N646" s="6" t="str">
        <f>VLOOKUP(A646, Sheet2!A:M, 3, FALSE)</f>
        <v>#N/A</v>
      </c>
      <c r="O646" s="10" t="e">
        <v>#N/A</v>
      </c>
      <c r="P646" s="10" t="e">
        <v>#N/A</v>
      </c>
    </row>
    <row r="647">
      <c r="A647" s="6" t="s">
        <v>2711</v>
      </c>
      <c r="B647" s="6" t="s">
        <v>2711</v>
      </c>
      <c r="C647" s="6" t="e">
        <v>#N/A</v>
      </c>
      <c r="D647" s="6" t="e">
        <v>#N/A</v>
      </c>
      <c r="E647" s="6" t="e">
        <v>#N/A</v>
      </c>
      <c r="F647" s="6" t="e">
        <v>#N/A</v>
      </c>
      <c r="G647" s="6">
        <v>0.0</v>
      </c>
      <c r="H647" s="7" t="e">
        <v>#N/A</v>
      </c>
      <c r="I647" s="6" t="e">
        <v>#N/A</v>
      </c>
      <c r="J647" s="6" t="e">
        <v>#N/A</v>
      </c>
      <c r="K647" s="6" t="str">
        <f>VLOOKUP(A647,Sheet4!$A:$H,7,0)</f>
        <v>#N/A</v>
      </c>
      <c r="L647" s="6" t="str">
        <f>VLOOKUP(B647,Sheet4!$A:$H,8,0)</f>
        <v>#N/A</v>
      </c>
      <c r="M647" s="6" t="str">
        <f t="shared" si="10"/>
        <v>#REF!</v>
      </c>
      <c r="N647" s="6" t="str">
        <f>VLOOKUP(A647, Sheet2!A:M, 3, FALSE)</f>
        <v>#N/A</v>
      </c>
      <c r="O647" s="10" t="e">
        <v>#N/A</v>
      </c>
      <c r="P647" s="10" t="e">
        <v>#N/A</v>
      </c>
    </row>
    <row r="648">
      <c r="A648" s="6" t="s">
        <v>2712</v>
      </c>
      <c r="B648" s="6" t="s">
        <v>2712</v>
      </c>
      <c r="C648" s="6" t="e">
        <v>#N/A</v>
      </c>
      <c r="D648" s="6" t="e">
        <v>#N/A</v>
      </c>
      <c r="E648" s="6" t="e">
        <v>#N/A</v>
      </c>
      <c r="F648" s="6" t="e">
        <v>#N/A</v>
      </c>
      <c r="G648" s="6">
        <v>0.0</v>
      </c>
      <c r="H648" s="7" t="e">
        <v>#N/A</v>
      </c>
      <c r="I648" s="6" t="e">
        <v>#N/A</v>
      </c>
      <c r="J648" s="6" t="e">
        <v>#N/A</v>
      </c>
      <c r="K648" s="6" t="str">
        <f>VLOOKUP(A648,Sheet4!$A:$H,7,0)</f>
        <v>#N/A</v>
      </c>
      <c r="L648" s="6" t="str">
        <f>VLOOKUP(B648,Sheet4!$A:$H,8,0)</f>
        <v>#N/A</v>
      </c>
      <c r="M648" s="6" t="str">
        <f t="shared" si="10"/>
        <v>#REF!</v>
      </c>
      <c r="N648" s="6" t="str">
        <f>VLOOKUP(A648, Sheet2!A:M, 3, FALSE)</f>
        <v>#N/A</v>
      </c>
      <c r="O648" s="10" t="e">
        <v>#N/A</v>
      </c>
      <c r="P648" s="10" t="e">
        <v>#N/A</v>
      </c>
    </row>
    <row r="649">
      <c r="A649" s="6" t="s">
        <v>2713</v>
      </c>
      <c r="B649" s="6" t="s">
        <v>2713</v>
      </c>
      <c r="C649" s="6" t="e">
        <v>#N/A</v>
      </c>
      <c r="D649" s="6" t="e">
        <v>#N/A</v>
      </c>
      <c r="E649" s="6" t="e">
        <v>#N/A</v>
      </c>
      <c r="F649" s="6" t="e">
        <v>#N/A</v>
      </c>
      <c r="G649" s="6">
        <v>0.0</v>
      </c>
      <c r="H649" s="7" t="e">
        <v>#N/A</v>
      </c>
      <c r="I649" s="6" t="e">
        <v>#N/A</v>
      </c>
      <c r="J649" s="6" t="e">
        <v>#N/A</v>
      </c>
      <c r="K649" s="6" t="str">
        <f>VLOOKUP(A649,Sheet4!$A:$H,7,0)</f>
        <v>#N/A</v>
      </c>
      <c r="L649" s="6" t="str">
        <f>VLOOKUP(B649,Sheet4!$A:$H,8,0)</f>
        <v>#N/A</v>
      </c>
      <c r="M649" s="6" t="str">
        <f t="shared" si="10"/>
        <v>#REF!</v>
      </c>
      <c r="N649" s="6" t="str">
        <f>VLOOKUP(A649, Sheet2!A:M, 3, FALSE)</f>
        <v>#N/A</v>
      </c>
      <c r="O649" s="10" t="e">
        <v>#N/A</v>
      </c>
      <c r="P649" s="10" t="e">
        <v>#N/A</v>
      </c>
    </row>
    <row r="650">
      <c r="A650" s="6" t="s">
        <v>2714</v>
      </c>
      <c r="B650" s="6" t="s">
        <v>2714</v>
      </c>
      <c r="C650" s="6" t="e">
        <v>#N/A</v>
      </c>
      <c r="D650" s="6" t="e">
        <v>#N/A</v>
      </c>
      <c r="E650" s="6" t="e">
        <v>#N/A</v>
      </c>
      <c r="F650" s="6" t="e">
        <v>#N/A</v>
      </c>
      <c r="G650" s="6">
        <v>0.0</v>
      </c>
      <c r="H650" s="7" t="e">
        <v>#N/A</v>
      </c>
      <c r="I650" s="6" t="e">
        <v>#N/A</v>
      </c>
      <c r="J650" s="6" t="e">
        <v>#N/A</v>
      </c>
      <c r="K650" s="6" t="str">
        <f>VLOOKUP(A650,Sheet4!$A:$H,7,0)</f>
        <v>#N/A</v>
      </c>
      <c r="L650" s="6" t="str">
        <f>VLOOKUP(B650,Sheet4!$A:$H,8,0)</f>
        <v>#N/A</v>
      </c>
      <c r="M650" s="6" t="str">
        <f t="shared" si="10"/>
        <v>#REF!</v>
      </c>
      <c r="N650" s="6" t="str">
        <f>VLOOKUP(A650, Sheet2!A:M, 3, FALSE)</f>
        <v>#N/A</v>
      </c>
      <c r="O650" s="10" t="e">
        <v>#N/A</v>
      </c>
      <c r="P650" s="10" t="e">
        <v>#N/A</v>
      </c>
    </row>
    <row r="651">
      <c r="A651" s="6" t="s">
        <v>2715</v>
      </c>
      <c r="B651" s="6" t="s">
        <v>2715</v>
      </c>
      <c r="C651" s="6" t="e">
        <v>#N/A</v>
      </c>
      <c r="D651" s="6" t="e">
        <v>#N/A</v>
      </c>
      <c r="E651" s="6" t="e">
        <v>#N/A</v>
      </c>
      <c r="F651" s="6" t="e">
        <v>#N/A</v>
      </c>
      <c r="G651" s="6">
        <v>0.0</v>
      </c>
      <c r="H651" s="7" t="e">
        <v>#N/A</v>
      </c>
      <c r="I651" s="6" t="e">
        <v>#N/A</v>
      </c>
      <c r="J651" s="6" t="e">
        <v>#N/A</v>
      </c>
      <c r="K651" s="6" t="str">
        <f>VLOOKUP(A651,Sheet4!$A:$H,7,0)</f>
        <v>#N/A</v>
      </c>
      <c r="L651" s="6" t="str">
        <f>VLOOKUP(B651,Sheet4!$A:$H,8,0)</f>
        <v>#N/A</v>
      </c>
      <c r="M651" s="6" t="str">
        <f t="shared" si="10"/>
        <v>#REF!</v>
      </c>
      <c r="N651" s="6" t="str">
        <f>VLOOKUP(A651, Sheet2!A:M, 3, FALSE)</f>
        <v>#N/A</v>
      </c>
      <c r="O651" s="10" t="e">
        <v>#N/A</v>
      </c>
      <c r="P651" s="10" t="e">
        <v>#N/A</v>
      </c>
    </row>
    <row r="652">
      <c r="A652" s="6" t="s">
        <v>2716</v>
      </c>
      <c r="B652" s="6" t="s">
        <v>2716</v>
      </c>
      <c r="C652" s="6" t="e">
        <v>#N/A</v>
      </c>
      <c r="D652" s="6" t="e">
        <v>#N/A</v>
      </c>
      <c r="E652" s="6" t="e">
        <v>#N/A</v>
      </c>
      <c r="F652" s="6" t="e">
        <v>#N/A</v>
      </c>
      <c r="G652" s="6">
        <v>0.0</v>
      </c>
      <c r="H652" s="7" t="e">
        <v>#N/A</v>
      </c>
      <c r="I652" s="6" t="e">
        <v>#N/A</v>
      </c>
      <c r="J652" s="6" t="e">
        <v>#N/A</v>
      </c>
      <c r="K652" s="6" t="str">
        <f>VLOOKUP(A652,Sheet4!$A:$H,7,0)</f>
        <v>#N/A</v>
      </c>
      <c r="L652" s="6" t="str">
        <f>VLOOKUP(B652,Sheet4!$A:$H,8,0)</f>
        <v>#N/A</v>
      </c>
      <c r="M652" s="6" t="str">
        <f t="shared" si="10"/>
        <v>#REF!</v>
      </c>
      <c r="N652" s="6" t="str">
        <f>VLOOKUP(A652, Sheet2!A:M, 3, FALSE)</f>
        <v>#N/A</v>
      </c>
      <c r="O652" s="10" t="e">
        <v>#N/A</v>
      </c>
      <c r="P652" s="10" t="e">
        <v>#N/A</v>
      </c>
    </row>
    <row r="653">
      <c r="A653" s="6" t="s">
        <v>2717</v>
      </c>
      <c r="B653" s="6" t="s">
        <v>2717</v>
      </c>
      <c r="C653" s="6" t="e">
        <v>#N/A</v>
      </c>
      <c r="D653" s="6" t="e">
        <v>#N/A</v>
      </c>
      <c r="E653" s="6" t="e">
        <v>#N/A</v>
      </c>
      <c r="F653" s="6" t="e">
        <v>#N/A</v>
      </c>
      <c r="G653" s="6">
        <v>0.0</v>
      </c>
      <c r="H653" s="7" t="e">
        <v>#N/A</v>
      </c>
      <c r="I653" s="6" t="e">
        <v>#N/A</v>
      </c>
      <c r="J653" s="6" t="e">
        <v>#N/A</v>
      </c>
      <c r="K653" s="6" t="str">
        <f>VLOOKUP(A653,Sheet4!$A:$H,7,0)</f>
        <v>#N/A</v>
      </c>
      <c r="L653" s="6" t="str">
        <f>VLOOKUP(B653,Sheet4!$A:$H,8,0)</f>
        <v>#N/A</v>
      </c>
      <c r="M653" s="6" t="str">
        <f t="shared" si="10"/>
        <v>#REF!</v>
      </c>
      <c r="N653" s="6" t="str">
        <f>VLOOKUP(A653, Sheet2!A:M, 3, FALSE)</f>
        <v>#N/A</v>
      </c>
      <c r="O653" s="10" t="e">
        <v>#N/A</v>
      </c>
      <c r="P653" s="10" t="e">
        <v>#N/A</v>
      </c>
    </row>
    <row r="654">
      <c r="A654" s="6" t="s">
        <v>2718</v>
      </c>
      <c r="B654" s="6" t="s">
        <v>2718</v>
      </c>
      <c r="C654" s="6" t="e">
        <v>#N/A</v>
      </c>
      <c r="D654" s="6" t="e">
        <v>#N/A</v>
      </c>
      <c r="E654" s="6" t="e">
        <v>#N/A</v>
      </c>
      <c r="F654" s="6" t="e">
        <v>#N/A</v>
      </c>
      <c r="G654" s="6">
        <v>0.0</v>
      </c>
      <c r="H654" s="7" t="e">
        <v>#N/A</v>
      </c>
      <c r="I654" s="6" t="e">
        <v>#N/A</v>
      </c>
      <c r="J654" s="6" t="e">
        <v>#N/A</v>
      </c>
      <c r="K654" s="6" t="str">
        <f>VLOOKUP(A654,Sheet4!$A:$H,7,0)</f>
        <v>#N/A</v>
      </c>
      <c r="L654" s="6" t="str">
        <f>VLOOKUP(B654,Sheet4!$A:$H,8,0)</f>
        <v>#N/A</v>
      </c>
      <c r="M654" s="6" t="str">
        <f t="shared" si="10"/>
        <v>#REF!</v>
      </c>
      <c r="N654" s="6" t="str">
        <f>VLOOKUP(A654, Sheet2!A:M, 3, FALSE)</f>
        <v>#N/A</v>
      </c>
      <c r="O654" s="10" t="e">
        <v>#N/A</v>
      </c>
      <c r="P654" s="10" t="e">
        <v>#N/A</v>
      </c>
    </row>
    <row r="655">
      <c r="A655" s="6" t="s">
        <v>2719</v>
      </c>
      <c r="B655" s="6" t="s">
        <v>2719</v>
      </c>
      <c r="C655" s="6" t="e">
        <v>#N/A</v>
      </c>
      <c r="D655" s="6" t="e">
        <v>#N/A</v>
      </c>
      <c r="E655" s="6" t="e">
        <v>#N/A</v>
      </c>
      <c r="F655" s="6" t="e">
        <v>#N/A</v>
      </c>
      <c r="G655" s="6">
        <v>0.0</v>
      </c>
      <c r="H655" s="7" t="e">
        <v>#N/A</v>
      </c>
      <c r="I655" s="6" t="e">
        <v>#N/A</v>
      </c>
      <c r="J655" s="6" t="e">
        <v>#N/A</v>
      </c>
      <c r="K655" s="6" t="str">
        <f>VLOOKUP(A655,Sheet4!$A:$H,7,0)</f>
        <v>#N/A</v>
      </c>
      <c r="L655" s="6" t="str">
        <f>VLOOKUP(B655,Sheet4!$A:$H,8,0)</f>
        <v>#N/A</v>
      </c>
      <c r="M655" s="6" t="str">
        <f t="shared" si="10"/>
        <v>#REF!</v>
      </c>
      <c r="N655" s="6" t="str">
        <f>VLOOKUP(A655, Sheet2!A:M, 3, FALSE)</f>
        <v>#N/A</v>
      </c>
      <c r="O655" s="10" t="e">
        <v>#N/A</v>
      </c>
      <c r="P655" s="10" t="e">
        <v>#N/A</v>
      </c>
    </row>
    <row r="656">
      <c r="A656" s="6" t="s">
        <v>2720</v>
      </c>
      <c r="B656" s="6" t="s">
        <v>2720</v>
      </c>
      <c r="C656" s="6" t="e">
        <v>#N/A</v>
      </c>
      <c r="D656" s="6" t="e">
        <v>#N/A</v>
      </c>
      <c r="E656" s="6" t="e">
        <v>#N/A</v>
      </c>
      <c r="F656" s="6" t="e">
        <v>#N/A</v>
      </c>
      <c r="G656" s="6">
        <v>0.0</v>
      </c>
      <c r="H656" s="7" t="e">
        <v>#N/A</v>
      </c>
      <c r="I656" s="6" t="e">
        <v>#N/A</v>
      </c>
      <c r="J656" s="6" t="e">
        <v>#N/A</v>
      </c>
      <c r="K656" s="6" t="str">
        <f>VLOOKUP(A656,Sheet4!$A:$H,7,0)</f>
        <v>#N/A</v>
      </c>
      <c r="L656" s="6" t="str">
        <f>VLOOKUP(B656,Sheet4!$A:$H,8,0)</f>
        <v>#N/A</v>
      </c>
      <c r="M656" s="6" t="str">
        <f t="shared" si="10"/>
        <v>#REF!</v>
      </c>
      <c r="N656" s="6" t="str">
        <f>VLOOKUP(A656, Sheet2!A:M, 3, FALSE)</f>
        <v>#N/A</v>
      </c>
      <c r="O656" s="10" t="e">
        <v>#N/A</v>
      </c>
      <c r="P656" s="10" t="e">
        <v>#N/A</v>
      </c>
    </row>
    <row r="657">
      <c r="A657" s="6" t="s">
        <v>2721</v>
      </c>
      <c r="B657" s="6" t="s">
        <v>2721</v>
      </c>
      <c r="C657" s="6" t="e">
        <v>#N/A</v>
      </c>
      <c r="D657" s="6" t="e">
        <v>#N/A</v>
      </c>
      <c r="E657" s="6" t="e">
        <v>#N/A</v>
      </c>
      <c r="F657" s="6" t="e">
        <v>#N/A</v>
      </c>
      <c r="G657" s="6">
        <v>0.0</v>
      </c>
      <c r="H657" s="7" t="e">
        <v>#N/A</v>
      </c>
      <c r="I657" s="6" t="e">
        <v>#N/A</v>
      </c>
      <c r="J657" s="6" t="e">
        <v>#N/A</v>
      </c>
      <c r="K657" s="6" t="str">
        <f>VLOOKUP(A657,Sheet4!$A:$H,7,0)</f>
        <v>#N/A</v>
      </c>
      <c r="L657" s="6" t="str">
        <f>VLOOKUP(B657,Sheet4!$A:$H,8,0)</f>
        <v>#N/A</v>
      </c>
      <c r="M657" s="6" t="str">
        <f t="shared" si="10"/>
        <v>#REF!</v>
      </c>
      <c r="N657" s="6" t="str">
        <f>VLOOKUP(A657, Sheet2!A:M, 3, FALSE)</f>
        <v>#N/A</v>
      </c>
      <c r="O657" s="10" t="e">
        <v>#N/A</v>
      </c>
      <c r="P657" s="10" t="e">
        <v>#N/A</v>
      </c>
    </row>
    <row r="658">
      <c r="A658" s="6" t="s">
        <v>2722</v>
      </c>
      <c r="B658" s="6" t="s">
        <v>2722</v>
      </c>
      <c r="C658" s="6" t="s">
        <v>2723</v>
      </c>
      <c r="D658" s="6" t="s">
        <v>2724</v>
      </c>
      <c r="E658" s="6" t="s">
        <v>2725</v>
      </c>
      <c r="F658" s="6" t="s">
        <v>2722</v>
      </c>
      <c r="G658" s="6" t="s">
        <v>2726</v>
      </c>
      <c r="H658" s="7" t="s">
        <v>2727</v>
      </c>
      <c r="I658" s="6">
        <v>3.1818458E7</v>
      </c>
      <c r="J658" s="6" t="e">
        <v>#N/A</v>
      </c>
      <c r="K658" s="6" t="str">
        <f>VLOOKUP(A658,Sheet4!$A:$H,7,0)</f>
        <v>Cotton Fitted Bedsheet</v>
      </c>
      <c r="L658" s="6" t="str">
        <f>VLOOKUP(B658,Sheet4!$A:$H,8,0)</f>
        <v>Bedding</v>
      </c>
      <c r="M658" s="6">
        <v>1989.0</v>
      </c>
      <c r="N658" s="8">
        <v>1628.0</v>
      </c>
      <c r="O658" s="9">
        <v>1628.0</v>
      </c>
      <c r="P658" s="10">
        <v>1491.75</v>
      </c>
    </row>
    <row r="659">
      <c r="A659" s="6" t="s">
        <v>2728</v>
      </c>
      <c r="B659" s="6" t="s">
        <v>2728</v>
      </c>
      <c r="C659" s="6" t="s">
        <v>2729</v>
      </c>
      <c r="D659" s="6" t="s">
        <v>2730</v>
      </c>
      <c r="E659" s="6" t="e">
        <v>#N/A</v>
      </c>
      <c r="F659" s="6" t="s">
        <v>2728</v>
      </c>
      <c r="G659" s="6" t="s">
        <v>2731</v>
      </c>
      <c r="H659" s="7" t="s">
        <v>2732</v>
      </c>
      <c r="I659" s="6">
        <v>3.1818403E7</v>
      </c>
      <c r="J659" s="6" t="e">
        <v>#N/A</v>
      </c>
      <c r="K659" s="6" t="str">
        <f>VLOOKUP(A659,Sheet4!$A:$H,7,0)</f>
        <v>Cotton Fitted Bedsheet</v>
      </c>
      <c r="L659" s="6" t="str">
        <f>VLOOKUP(B659,Sheet4!$A:$H,8,0)</f>
        <v>Bedding</v>
      </c>
      <c r="M659" s="6">
        <v>1989.0</v>
      </c>
      <c r="N659" s="8">
        <v>1628.0</v>
      </c>
      <c r="O659" s="9">
        <v>1628.0</v>
      </c>
      <c r="P659" s="10">
        <v>1491.75</v>
      </c>
    </row>
    <row r="660">
      <c r="A660" s="6" t="s">
        <v>2733</v>
      </c>
      <c r="B660" s="6" t="s">
        <v>2733</v>
      </c>
      <c r="C660" s="6" t="s">
        <v>2734</v>
      </c>
      <c r="D660" s="6" t="s">
        <v>2735</v>
      </c>
      <c r="E660" s="6" t="e">
        <v>#N/A</v>
      </c>
      <c r="F660" s="6" t="s">
        <v>2736</v>
      </c>
      <c r="G660" s="6" t="s">
        <v>2737</v>
      </c>
      <c r="H660" s="7" t="s">
        <v>2738</v>
      </c>
      <c r="I660" s="6">
        <v>3.1818408E7</v>
      </c>
      <c r="J660" s="6" t="e">
        <v>#N/A</v>
      </c>
      <c r="K660" s="6" t="str">
        <f>VLOOKUP(A660,Sheet4!$A:$H,7,0)</f>
        <v>Cotton Fitted Bedsheet</v>
      </c>
      <c r="L660" s="6" t="str">
        <f>VLOOKUP(B660,Sheet4!$A:$H,8,0)</f>
        <v>Bedding</v>
      </c>
      <c r="M660" s="6">
        <v>1989.0</v>
      </c>
      <c r="N660" s="8">
        <v>1628.0</v>
      </c>
      <c r="O660" s="9">
        <v>1628.0</v>
      </c>
      <c r="P660" s="10">
        <v>1491.75</v>
      </c>
    </row>
    <row r="661">
      <c r="A661" s="6" t="s">
        <v>2739</v>
      </c>
      <c r="B661" s="6" t="s">
        <v>2739</v>
      </c>
      <c r="C661" s="6" t="s">
        <v>2740</v>
      </c>
      <c r="D661" s="6" t="s">
        <v>2741</v>
      </c>
      <c r="E661" s="6" t="e">
        <v>#N/A</v>
      </c>
      <c r="F661" s="6" t="s">
        <v>2742</v>
      </c>
      <c r="G661" s="6" t="s">
        <v>2743</v>
      </c>
      <c r="H661" s="7" t="s">
        <v>2744</v>
      </c>
      <c r="I661" s="6">
        <v>3.1818469E7</v>
      </c>
      <c r="J661" s="6" t="e">
        <v>#N/A</v>
      </c>
      <c r="K661" s="6" t="str">
        <f>VLOOKUP(A661,Sheet4!$A:$H,7,0)</f>
        <v>Cotton Fitted Bedsheet</v>
      </c>
      <c r="L661" s="6" t="str">
        <f>VLOOKUP(B661,Sheet4!$A:$H,8,0)</f>
        <v>Bedding</v>
      </c>
      <c r="M661" s="6">
        <v>1989.0</v>
      </c>
      <c r="N661" s="8">
        <v>1628.0</v>
      </c>
      <c r="O661" s="9">
        <v>1628.0</v>
      </c>
      <c r="P661" s="10">
        <v>1491.75</v>
      </c>
    </row>
    <row r="662">
      <c r="A662" s="6" t="s">
        <v>2745</v>
      </c>
      <c r="B662" s="6" t="s">
        <v>2745</v>
      </c>
      <c r="C662" s="6" t="s">
        <v>2746</v>
      </c>
      <c r="D662" s="6" t="s">
        <v>2747</v>
      </c>
      <c r="E662" s="6" t="e">
        <v>#N/A</v>
      </c>
      <c r="F662" s="6" t="s">
        <v>2748</v>
      </c>
      <c r="G662" s="6" t="s">
        <v>2749</v>
      </c>
      <c r="H662" s="7" t="s">
        <v>2750</v>
      </c>
      <c r="I662" s="6" t="e">
        <v>#N/A</v>
      </c>
      <c r="J662" s="6" t="e">
        <v>#N/A</v>
      </c>
      <c r="K662" s="6" t="str">
        <f>VLOOKUP(A662,Sheet4!$A:$H,7,0)</f>
        <v>Cotton Fitted Bedsheet</v>
      </c>
      <c r="L662" s="6" t="str">
        <f>VLOOKUP(B662,Sheet4!$A:$H,8,0)</f>
        <v>Bedding</v>
      </c>
      <c r="M662" s="6">
        <v>1989.0</v>
      </c>
      <c r="N662" s="8">
        <v>1628.0</v>
      </c>
      <c r="O662" s="9">
        <v>1628.0</v>
      </c>
      <c r="P662" s="10">
        <v>1491.75</v>
      </c>
    </row>
    <row r="663">
      <c r="A663" s="6" t="s">
        <v>2751</v>
      </c>
      <c r="B663" s="6" t="s">
        <v>2751</v>
      </c>
      <c r="C663" s="6" t="s">
        <v>2752</v>
      </c>
      <c r="D663" s="6" t="s">
        <v>2753</v>
      </c>
      <c r="E663" s="6" t="e">
        <v>#N/A</v>
      </c>
      <c r="F663" s="6" t="s">
        <v>2754</v>
      </c>
      <c r="G663" s="6" t="s">
        <v>2755</v>
      </c>
      <c r="H663" s="7" t="s">
        <v>2756</v>
      </c>
      <c r="I663" s="6">
        <v>3.1818366E7</v>
      </c>
      <c r="J663" s="6" t="e">
        <v>#N/A</v>
      </c>
      <c r="K663" s="6" t="str">
        <f>VLOOKUP(A663,Sheet4!$A:$H,7,0)</f>
        <v>Cotton Fitted Bedsheet</v>
      </c>
      <c r="L663" s="6" t="str">
        <f>VLOOKUP(B663,Sheet4!$A:$H,8,0)</f>
        <v>Bedding</v>
      </c>
      <c r="M663" s="6">
        <v>1989.0</v>
      </c>
      <c r="N663" s="8">
        <v>1628.0</v>
      </c>
      <c r="O663" s="9">
        <v>1628.0</v>
      </c>
      <c r="P663" s="10">
        <v>1491.75</v>
      </c>
    </row>
    <row r="664">
      <c r="A664" s="6" t="s">
        <v>2757</v>
      </c>
      <c r="B664" s="6" t="s">
        <v>2757</v>
      </c>
      <c r="C664" s="6" t="s">
        <v>2758</v>
      </c>
      <c r="D664" s="6" t="s">
        <v>2759</v>
      </c>
      <c r="E664" s="6" t="e">
        <v>#N/A</v>
      </c>
      <c r="F664" s="6" t="s">
        <v>2760</v>
      </c>
      <c r="G664" s="6" t="s">
        <v>2761</v>
      </c>
      <c r="H664" s="7" t="s">
        <v>2762</v>
      </c>
      <c r="I664" s="6" t="e">
        <v>#N/A</v>
      </c>
      <c r="J664" s="6" t="e">
        <v>#N/A</v>
      </c>
      <c r="K664" s="6" t="str">
        <f>VLOOKUP(A664,Sheet4!$A:$H,7,0)</f>
        <v>Cotton Fitted Bedsheet</v>
      </c>
      <c r="L664" s="6" t="str">
        <f>VLOOKUP(B664,Sheet4!$A:$H,8,0)</f>
        <v>Bedding</v>
      </c>
      <c r="M664" s="6">
        <v>1989.0</v>
      </c>
      <c r="N664" s="8">
        <v>1628.0</v>
      </c>
      <c r="O664" s="9">
        <v>1628.0</v>
      </c>
      <c r="P664" s="10">
        <v>1491.75</v>
      </c>
    </row>
    <row r="665">
      <c r="A665" s="6" t="s">
        <v>2763</v>
      </c>
      <c r="B665" s="6" t="s">
        <v>2763</v>
      </c>
      <c r="C665" s="6" t="s">
        <v>2764</v>
      </c>
      <c r="D665" s="6" t="s">
        <v>2765</v>
      </c>
      <c r="E665" s="6" t="s">
        <v>2766</v>
      </c>
      <c r="F665" s="6" t="s">
        <v>2763</v>
      </c>
      <c r="G665" s="6" t="s">
        <v>2763</v>
      </c>
      <c r="H665" s="7" t="s">
        <v>2767</v>
      </c>
      <c r="I665" s="6">
        <v>3.1818404E7</v>
      </c>
      <c r="J665" s="6" t="e">
        <v>#N/A</v>
      </c>
      <c r="K665" s="6" t="str">
        <f>VLOOKUP(A665,Sheet4!$A:$H,7,0)</f>
        <v>Cotton Fitted Bedsheet</v>
      </c>
      <c r="L665" s="6" t="str">
        <f>VLOOKUP(B665,Sheet4!$A:$H,8,0)</f>
        <v>Bedding</v>
      </c>
      <c r="M665" s="6">
        <v>1989.0</v>
      </c>
      <c r="N665" s="8">
        <v>1628.0</v>
      </c>
      <c r="O665" s="9">
        <v>1628.0</v>
      </c>
      <c r="P665" s="10">
        <v>1491.75</v>
      </c>
    </row>
    <row r="666">
      <c r="A666" s="6" t="s">
        <v>2768</v>
      </c>
      <c r="B666" s="6" t="s">
        <v>2768</v>
      </c>
      <c r="C666" s="6" t="s">
        <v>2769</v>
      </c>
      <c r="D666" s="6" t="s">
        <v>2770</v>
      </c>
      <c r="E666" s="6" t="s">
        <v>2771</v>
      </c>
      <c r="F666" s="6" t="s">
        <v>2768</v>
      </c>
      <c r="G666" s="6" t="s">
        <v>2768</v>
      </c>
      <c r="H666" s="7" t="s">
        <v>2772</v>
      </c>
      <c r="I666" s="6">
        <v>3.1818423E7</v>
      </c>
      <c r="J666" s="6" t="e">
        <v>#N/A</v>
      </c>
      <c r="K666" s="6" t="str">
        <f>VLOOKUP(A666,Sheet4!$A:$H,7,0)</f>
        <v>Cotton Fitted Bedsheet</v>
      </c>
      <c r="L666" s="6" t="str">
        <f>VLOOKUP(B666,Sheet4!$A:$H,8,0)</f>
        <v>Bedding</v>
      </c>
      <c r="M666" s="6">
        <v>2289.0</v>
      </c>
      <c r="N666" s="8">
        <v>1873.0</v>
      </c>
      <c r="O666" s="9">
        <v>1899.0</v>
      </c>
      <c r="P666" s="10">
        <v>1716.75</v>
      </c>
    </row>
    <row r="667">
      <c r="A667" s="6" t="s">
        <v>2773</v>
      </c>
      <c r="B667" s="6" t="s">
        <v>2773</v>
      </c>
      <c r="C667" s="6" t="s">
        <v>2774</v>
      </c>
      <c r="D667" s="6" t="s">
        <v>2775</v>
      </c>
      <c r="E667" s="6" t="e">
        <v>#N/A</v>
      </c>
      <c r="F667" s="6" t="s">
        <v>2773</v>
      </c>
      <c r="G667" s="6" t="s">
        <v>2773</v>
      </c>
      <c r="H667" s="7" t="s">
        <v>2776</v>
      </c>
      <c r="I667" s="6">
        <v>3.1818416E7</v>
      </c>
      <c r="J667" s="6" t="e">
        <v>#N/A</v>
      </c>
      <c r="K667" s="6" t="str">
        <f>VLOOKUP(A667,Sheet4!$A:$H,7,0)</f>
        <v>Cotton Fitted Bedsheet</v>
      </c>
      <c r="L667" s="6" t="str">
        <f>VLOOKUP(B667,Sheet4!$A:$H,8,0)</f>
        <v>Bedding</v>
      </c>
      <c r="M667" s="6">
        <v>2489.0</v>
      </c>
      <c r="N667" s="8">
        <v>2037.0</v>
      </c>
      <c r="O667" s="9">
        <v>2037.0</v>
      </c>
      <c r="P667" s="10">
        <v>1866.75</v>
      </c>
    </row>
    <row r="668">
      <c r="A668" s="6" t="s">
        <v>2777</v>
      </c>
      <c r="B668" s="6" t="s">
        <v>2777</v>
      </c>
      <c r="C668" s="6" t="s">
        <v>2778</v>
      </c>
      <c r="D668" s="6" t="s">
        <v>2779</v>
      </c>
      <c r="E668" s="6" t="s">
        <v>2777</v>
      </c>
      <c r="F668" s="6">
        <v>0.0</v>
      </c>
      <c r="G668" s="6" t="s">
        <v>2780</v>
      </c>
      <c r="H668" s="7" t="s">
        <v>2781</v>
      </c>
      <c r="I668" s="6">
        <v>3.1818377E7</v>
      </c>
      <c r="J668" s="6" t="s">
        <v>2782</v>
      </c>
      <c r="K668" s="6" t="str">
        <f>VLOOKUP(A668,Sheet4!$A:$H,7,0)</f>
        <v>Cotton Fitted Bedsheet</v>
      </c>
      <c r="L668" s="6" t="str">
        <f>VLOOKUP(B668,Sheet4!$A:$H,8,0)</f>
        <v>Bedding</v>
      </c>
      <c r="M668" s="6">
        <v>1989.0</v>
      </c>
      <c r="N668" s="8">
        <v>1628.0</v>
      </c>
      <c r="O668" s="9">
        <v>1628.0</v>
      </c>
      <c r="P668" s="10">
        <v>1491.75</v>
      </c>
    </row>
    <row r="669">
      <c r="A669" s="6" t="s">
        <v>2783</v>
      </c>
      <c r="B669" s="6" t="s">
        <v>2783</v>
      </c>
      <c r="C669" s="6" t="s">
        <v>2784</v>
      </c>
      <c r="D669" s="6" t="s">
        <v>2785</v>
      </c>
      <c r="E669" s="6" t="e">
        <v>#N/A</v>
      </c>
      <c r="F669" s="6" t="s">
        <v>2783</v>
      </c>
      <c r="G669" s="6" t="s">
        <v>2786</v>
      </c>
      <c r="H669" s="7" t="s">
        <v>2787</v>
      </c>
      <c r="I669" s="6">
        <v>3.1818439E7</v>
      </c>
      <c r="J669" s="6" t="s">
        <v>2788</v>
      </c>
      <c r="K669" s="6" t="str">
        <f>VLOOKUP(A669,Sheet4!$A:$H,7,0)</f>
        <v>Cotton Fitted Bedsheet</v>
      </c>
      <c r="L669" s="6" t="str">
        <f>VLOOKUP(B669,Sheet4!$A:$H,8,0)</f>
        <v>Bedding</v>
      </c>
      <c r="M669" s="6">
        <v>1989.0</v>
      </c>
      <c r="N669" s="8">
        <v>1628.0</v>
      </c>
      <c r="O669" s="9">
        <v>1628.0</v>
      </c>
      <c r="P669" s="10">
        <v>1491.75</v>
      </c>
    </row>
    <row r="670">
      <c r="A670" s="6" t="s">
        <v>2789</v>
      </c>
      <c r="B670" s="6" t="s">
        <v>2789</v>
      </c>
      <c r="C670" s="6" t="e">
        <v>#N/A</v>
      </c>
      <c r="D670" s="6" t="e">
        <v>#N/A</v>
      </c>
      <c r="E670" s="6" t="e">
        <v>#N/A</v>
      </c>
      <c r="F670" s="6" t="e">
        <v>#N/A</v>
      </c>
      <c r="G670" s="6">
        <v>0.0</v>
      </c>
      <c r="H670" s="7" t="e">
        <v>#N/A</v>
      </c>
      <c r="I670" s="6" t="e">
        <v>#N/A</v>
      </c>
      <c r="J670" s="6" t="e">
        <v>#N/A</v>
      </c>
      <c r="K670" s="6" t="str">
        <f>VLOOKUP(A670,Sheet4!$A:$H,7,0)</f>
        <v>#N/A</v>
      </c>
      <c r="L670" s="6" t="str">
        <f>VLOOKUP(B670,Sheet4!$A:$H,8,0)</f>
        <v>#N/A</v>
      </c>
      <c r="M670" s="6" t="str">
        <f t="shared" ref="M670:M672" si="11">VLOOKUP(A670,#REF!,2,FALSE)</f>
        <v>#REF!</v>
      </c>
      <c r="N670" s="6" t="str">
        <f>VLOOKUP(A670, Sheet2!A:M, 3, FALSE)</f>
        <v>#N/A</v>
      </c>
      <c r="O670" s="10" t="e">
        <v>#N/A</v>
      </c>
      <c r="P670" s="10" t="e">
        <v>#N/A</v>
      </c>
    </row>
    <row r="671">
      <c r="A671" s="6" t="s">
        <v>2790</v>
      </c>
      <c r="B671" s="6" t="s">
        <v>2790</v>
      </c>
      <c r="C671" s="6" t="e">
        <v>#N/A</v>
      </c>
      <c r="D671" s="6" t="e">
        <v>#N/A</v>
      </c>
      <c r="E671" s="6" t="e">
        <v>#N/A</v>
      </c>
      <c r="F671" s="6" t="e">
        <v>#N/A</v>
      </c>
      <c r="G671" s="6">
        <v>0.0</v>
      </c>
      <c r="H671" s="7" t="e">
        <v>#N/A</v>
      </c>
      <c r="I671" s="6" t="e">
        <v>#N/A</v>
      </c>
      <c r="J671" s="6" t="e">
        <v>#N/A</v>
      </c>
      <c r="K671" s="6" t="str">
        <f>VLOOKUP(A671,Sheet4!$A:$H,7,0)</f>
        <v>#N/A</v>
      </c>
      <c r="L671" s="6" t="str">
        <f>VLOOKUP(B671,Sheet4!$A:$H,8,0)</f>
        <v>#N/A</v>
      </c>
      <c r="M671" s="6" t="str">
        <f t="shared" si="11"/>
        <v>#REF!</v>
      </c>
      <c r="N671" s="6" t="str">
        <f>VLOOKUP(A671, Sheet2!A:M, 3, FALSE)</f>
        <v>#N/A</v>
      </c>
      <c r="O671" s="10" t="e">
        <v>#N/A</v>
      </c>
      <c r="P671" s="10" t="e">
        <v>#N/A</v>
      </c>
    </row>
    <row r="672">
      <c r="A672" s="6" t="s">
        <v>2791</v>
      </c>
      <c r="B672" s="6" t="s">
        <v>2791</v>
      </c>
      <c r="C672" s="6" t="e">
        <v>#N/A</v>
      </c>
      <c r="D672" s="6" t="e">
        <v>#N/A</v>
      </c>
      <c r="E672" s="6" t="e">
        <v>#N/A</v>
      </c>
      <c r="F672" s="6" t="e">
        <v>#N/A</v>
      </c>
      <c r="G672" s="6">
        <v>0.0</v>
      </c>
      <c r="H672" s="7" t="e">
        <v>#N/A</v>
      </c>
      <c r="I672" s="6" t="e">
        <v>#N/A</v>
      </c>
      <c r="J672" s="6" t="e">
        <v>#N/A</v>
      </c>
      <c r="K672" s="6" t="str">
        <f>VLOOKUP(A672,Sheet4!$A:$H,7,0)</f>
        <v>#N/A</v>
      </c>
      <c r="L672" s="6" t="str">
        <f>VLOOKUP(B672,Sheet4!$A:$H,8,0)</f>
        <v>#N/A</v>
      </c>
      <c r="M672" s="6" t="str">
        <f t="shared" si="11"/>
        <v>#REF!</v>
      </c>
      <c r="N672" s="6" t="str">
        <f>VLOOKUP(A672, Sheet2!A:M, 3, FALSE)</f>
        <v>#N/A</v>
      </c>
      <c r="O672" s="10" t="e">
        <v>#N/A</v>
      </c>
      <c r="P672" s="10" t="e">
        <v>#N/A</v>
      </c>
    </row>
    <row r="673">
      <c r="A673" s="6" t="s">
        <v>2792</v>
      </c>
      <c r="B673" s="6" t="s">
        <v>2792</v>
      </c>
      <c r="C673" s="6" t="s">
        <v>2793</v>
      </c>
      <c r="D673" s="6" t="s">
        <v>2794</v>
      </c>
      <c r="E673" s="6" t="e">
        <v>#N/A</v>
      </c>
      <c r="F673" s="6" t="s">
        <v>2792</v>
      </c>
      <c r="G673" s="6" t="s">
        <v>2795</v>
      </c>
      <c r="H673" s="7" t="s">
        <v>2796</v>
      </c>
      <c r="I673" s="6">
        <v>3.1818431E7</v>
      </c>
      <c r="J673" s="6" t="e">
        <v>#N/A</v>
      </c>
      <c r="K673" s="6" t="str">
        <f>VLOOKUP(A673,Sheet4!$A:$H,7,0)</f>
        <v>Cotton Fitted Bedsheet</v>
      </c>
      <c r="L673" s="6" t="str">
        <f>VLOOKUP(B673,Sheet4!$A:$H,8,0)</f>
        <v>Bedding</v>
      </c>
      <c r="M673" s="6">
        <v>2189.0</v>
      </c>
      <c r="N673" s="8">
        <v>1792.0</v>
      </c>
      <c r="O673" s="9">
        <v>1799.0</v>
      </c>
      <c r="P673" s="10">
        <v>1641.75</v>
      </c>
    </row>
    <row r="674">
      <c r="A674" s="6" t="s">
        <v>2797</v>
      </c>
      <c r="B674" s="6" t="s">
        <v>2797</v>
      </c>
      <c r="C674" s="6" t="s">
        <v>2798</v>
      </c>
      <c r="D674" s="6" t="s">
        <v>2799</v>
      </c>
      <c r="E674" s="6" t="e">
        <v>#N/A</v>
      </c>
      <c r="F674" s="6">
        <v>0.0</v>
      </c>
      <c r="G674" s="6" t="s">
        <v>2800</v>
      </c>
      <c r="H674" s="7" t="s">
        <v>2801</v>
      </c>
      <c r="I674" s="6" t="e">
        <v>#N/A</v>
      </c>
      <c r="J674" s="6" t="e">
        <v>#N/A</v>
      </c>
      <c r="K674" s="6" t="str">
        <f>VLOOKUP(A674,Sheet4!$A:$H,7,0)</f>
        <v>Cotton Fitted Bedsheet</v>
      </c>
      <c r="L674" s="6" t="str">
        <f>VLOOKUP(B674,Sheet4!$A:$H,8,0)</f>
        <v>Bedding</v>
      </c>
      <c r="M674" s="6">
        <v>2489.0</v>
      </c>
      <c r="N674" s="8">
        <v>2039.0</v>
      </c>
      <c r="O674" s="9">
        <v>2039.0</v>
      </c>
      <c r="P674" s="10">
        <v>1866.75</v>
      </c>
    </row>
    <row r="675">
      <c r="A675" s="6" t="s">
        <v>2802</v>
      </c>
      <c r="B675" s="6" t="s">
        <v>2802</v>
      </c>
      <c r="C675" s="6" t="e">
        <v>#N/A</v>
      </c>
      <c r="D675" s="6" t="e">
        <v>#N/A</v>
      </c>
      <c r="E675" s="6" t="e">
        <v>#N/A</v>
      </c>
      <c r="F675" s="6" t="e">
        <v>#N/A</v>
      </c>
      <c r="G675" s="6">
        <v>0.0</v>
      </c>
      <c r="H675" s="7" t="e">
        <v>#N/A</v>
      </c>
      <c r="I675" s="6" t="e">
        <v>#N/A</v>
      </c>
      <c r="J675" s="6" t="e">
        <v>#N/A</v>
      </c>
      <c r="K675" s="6" t="str">
        <f>VLOOKUP(A675,Sheet4!$A:$H,7,0)</f>
        <v>#N/A</v>
      </c>
      <c r="L675" s="6" t="str">
        <f>VLOOKUP(B675,Sheet4!$A:$H,8,0)</f>
        <v>#N/A</v>
      </c>
      <c r="M675" s="6" t="str">
        <f t="shared" ref="M675:M679" si="12">VLOOKUP(A675,#REF!,2,FALSE)</f>
        <v>#REF!</v>
      </c>
      <c r="N675" s="6" t="str">
        <f>VLOOKUP(A675, Sheet2!A:M, 3, FALSE)</f>
        <v>#N/A</v>
      </c>
      <c r="O675" s="10" t="e">
        <v>#N/A</v>
      </c>
      <c r="P675" s="10" t="e">
        <v>#N/A</v>
      </c>
    </row>
    <row r="676">
      <c r="A676" s="6" t="s">
        <v>2803</v>
      </c>
      <c r="B676" s="6" t="s">
        <v>2803</v>
      </c>
      <c r="C676" s="6" t="e">
        <v>#N/A</v>
      </c>
      <c r="D676" s="6" t="e">
        <v>#N/A</v>
      </c>
      <c r="E676" s="6" t="e">
        <v>#N/A</v>
      </c>
      <c r="F676" s="6" t="e">
        <v>#N/A</v>
      </c>
      <c r="G676" s="6">
        <v>0.0</v>
      </c>
      <c r="H676" s="7" t="e">
        <v>#N/A</v>
      </c>
      <c r="I676" s="6" t="e">
        <v>#N/A</v>
      </c>
      <c r="J676" s="6" t="e">
        <v>#N/A</v>
      </c>
      <c r="K676" s="6" t="str">
        <f>VLOOKUP(A676,Sheet4!$A:$H,7,0)</f>
        <v>#N/A</v>
      </c>
      <c r="L676" s="6" t="str">
        <f>VLOOKUP(B676,Sheet4!$A:$H,8,0)</f>
        <v>#N/A</v>
      </c>
      <c r="M676" s="6" t="str">
        <f t="shared" si="12"/>
        <v>#REF!</v>
      </c>
      <c r="N676" s="6" t="str">
        <f>VLOOKUP(A676, Sheet2!A:M, 3, FALSE)</f>
        <v>#N/A</v>
      </c>
      <c r="O676" s="10" t="e">
        <v>#N/A</v>
      </c>
      <c r="P676" s="10" t="e">
        <v>#N/A</v>
      </c>
    </row>
    <row r="677">
      <c r="A677" s="6" t="s">
        <v>2804</v>
      </c>
      <c r="B677" s="6" t="s">
        <v>2804</v>
      </c>
      <c r="C677" s="6" t="e">
        <v>#N/A</v>
      </c>
      <c r="D677" s="6" t="e">
        <v>#N/A</v>
      </c>
      <c r="E677" s="6" t="e">
        <v>#N/A</v>
      </c>
      <c r="F677" s="6" t="e">
        <v>#N/A</v>
      </c>
      <c r="G677" s="6">
        <v>0.0</v>
      </c>
      <c r="H677" s="7" t="e">
        <v>#N/A</v>
      </c>
      <c r="I677" s="6" t="e">
        <v>#N/A</v>
      </c>
      <c r="J677" s="6" t="e">
        <v>#N/A</v>
      </c>
      <c r="K677" s="6" t="str">
        <f>VLOOKUP(A677,Sheet4!$A:$H,7,0)</f>
        <v>#N/A</v>
      </c>
      <c r="L677" s="6" t="str">
        <f>VLOOKUP(B677,Sheet4!$A:$H,8,0)</f>
        <v>#N/A</v>
      </c>
      <c r="M677" s="6" t="str">
        <f t="shared" si="12"/>
        <v>#REF!</v>
      </c>
      <c r="N677" s="6" t="str">
        <f>VLOOKUP(A677, Sheet2!A:M, 3, FALSE)</f>
        <v>#N/A</v>
      </c>
      <c r="O677" s="10" t="e">
        <v>#N/A</v>
      </c>
      <c r="P677" s="10" t="e">
        <v>#N/A</v>
      </c>
    </row>
    <row r="678">
      <c r="A678" s="6" t="s">
        <v>2805</v>
      </c>
      <c r="B678" s="6" t="s">
        <v>2805</v>
      </c>
      <c r="C678" s="6" t="e">
        <v>#N/A</v>
      </c>
      <c r="D678" s="6" t="e">
        <v>#N/A</v>
      </c>
      <c r="E678" s="6" t="e">
        <v>#N/A</v>
      </c>
      <c r="F678" s="6" t="e">
        <v>#N/A</v>
      </c>
      <c r="G678" s="6">
        <v>0.0</v>
      </c>
      <c r="H678" s="7" t="e">
        <v>#N/A</v>
      </c>
      <c r="I678" s="6" t="e">
        <v>#N/A</v>
      </c>
      <c r="J678" s="6" t="e">
        <v>#N/A</v>
      </c>
      <c r="K678" s="6" t="str">
        <f>VLOOKUP(A678,Sheet4!$A:$H,7,0)</f>
        <v>#N/A</v>
      </c>
      <c r="L678" s="6" t="str">
        <f>VLOOKUP(B678,Sheet4!$A:$H,8,0)</f>
        <v>#N/A</v>
      </c>
      <c r="M678" s="6" t="str">
        <f t="shared" si="12"/>
        <v>#REF!</v>
      </c>
      <c r="N678" s="6" t="str">
        <f>VLOOKUP(A678, Sheet2!A:M, 3, FALSE)</f>
        <v>#N/A</v>
      </c>
      <c r="O678" s="10" t="e">
        <v>#N/A</v>
      </c>
      <c r="P678" s="10" t="e">
        <v>#N/A</v>
      </c>
    </row>
    <row r="679">
      <c r="A679" s="6" t="s">
        <v>2806</v>
      </c>
      <c r="B679" s="6" t="s">
        <v>2806</v>
      </c>
      <c r="C679" s="6" t="e">
        <v>#N/A</v>
      </c>
      <c r="D679" s="6" t="e">
        <v>#N/A</v>
      </c>
      <c r="E679" s="6" t="e">
        <v>#N/A</v>
      </c>
      <c r="F679" s="6" t="e">
        <v>#N/A</v>
      </c>
      <c r="G679" s="6">
        <v>0.0</v>
      </c>
      <c r="H679" s="7" t="e">
        <v>#N/A</v>
      </c>
      <c r="I679" s="6" t="e">
        <v>#N/A</v>
      </c>
      <c r="J679" s="6" t="e">
        <v>#N/A</v>
      </c>
      <c r="K679" s="6" t="str">
        <f>VLOOKUP(A679,Sheet4!$A:$H,7,0)</f>
        <v>#N/A</v>
      </c>
      <c r="L679" s="6" t="str">
        <f>VLOOKUP(B679,Sheet4!$A:$H,8,0)</f>
        <v>#N/A</v>
      </c>
      <c r="M679" s="6" t="str">
        <f t="shared" si="12"/>
        <v>#REF!</v>
      </c>
      <c r="N679" s="6" t="str">
        <f>VLOOKUP(A679, Sheet2!A:M, 3, FALSE)</f>
        <v>#N/A</v>
      </c>
      <c r="O679" s="10" t="e">
        <v>#N/A</v>
      </c>
      <c r="P679" s="10" t="e">
        <v>#N/A</v>
      </c>
    </row>
    <row r="680">
      <c r="A680" s="6" t="s">
        <v>2807</v>
      </c>
      <c r="B680" s="6" t="s">
        <v>2807</v>
      </c>
      <c r="C680" s="6" t="s">
        <v>2808</v>
      </c>
      <c r="D680" s="6" t="s">
        <v>2809</v>
      </c>
      <c r="E680" s="6" t="s">
        <v>2810</v>
      </c>
      <c r="F680" s="6">
        <v>0.0</v>
      </c>
      <c r="G680" s="6" t="s">
        <v>2807</v>
      </c>
      <c r="H680" s="7" t="s">
        <v>2811</v>
      </c>
      <c r="I680" s="6">
        <v>3.1818428E7</v>
      </c>
      <c r="J680" s="6" t="e">
        <v>#N/A</v>
      </c>
      <c r="K680" s="6" t="str">
        <f>VLOOKUP(A680,Sheet4!$A:$H,7,0)</f>
        <v>Cotton Fitted Bedsheet</v>
      </c>
      <c r="L680" s="6" t="str">
        <f>VLOOKUP(B680,Sheet4!$A:$H,8,0)</f>
        <v>Bedding</v>
      </c>
      <c r="M680" s="6">
        <v>2189.0</v>
      </c>
      <c r="N680" s="8">
        <v>1792.0</v>
      </c>
      <c r="O680" s="9">
        <v>1799.0</v>
      </c>
      <c r="P680" s="10">
        <v>1641.75</v>
      </c>
    </row>
    <row r="681">
      <c r="A681" s="6" t="s">
        <v>2812</v>
      </c>
      <c r="B681" s="6" t="s">
        <v>2812</v>
      </c>
      <c r="C681" s="6" t="s">
        <v>2813</v>
      </c>
      <c r="D681" s="6" t="s">
        <v>2814</v>
      </c>
      <c r="E681" s="6" t="s">
        <v>2815</v>
      </c>
      <c r="F681" s="6" t="s">
        <v>2812</v>
      </c>
      <c r="G681" s="6" t="s">
        <v>2812</v>
      </c>
      <c r="H681" s="7" t="s">
        <v>2816</v>
      </c>
      <c r="I681" s="6">
        <v>3.1818378E7</v>
      </c>
      <c r="J681" s="6" t="e">
        <v>#N/A</v>
      </c>
      <c r="K681" s="6" t="str">
        <f>VLOOKUP(A681,Sheet4!$A:$H,7,0)</f>
        <v>Cotton Fitted Bedsheet</v>
      </c>
      <c r="L681" s="6" t="str">
        <f>VLOOKUP(B681,Sheet4!$A:$H,8,0)</f>
        <v>Bedding</v>
      </c>
      <c r="M681" s="6">
        <v>2489.0</v>
      </c>
      <c r="N681" s="8">
        <v>2037.0</v>
      </c>
      <c r="O681" s="9">
        <v>2037.0</v>
      </c>
      <c r="P681" s="10">
        <v>1866.75</v>
      </c>
    </row>
    <row r="682">
      <c r="A682" s="6" t="s">
        <v>2817</v>
      </c>
      <c r="B682" s="6" t="s">
        <v>2817</v>
      </c>
      <c r="C682" s="6" t="s">
        <v>2818</v>
      </c>
      <c r="D682" s="6" t="s">
        <v>2819</v>
      </c>
      <c r="E682" s="6" t="e">
        <v>#N/A</v>
      </c>
      <c r="F682" s="6">
        <v>0.0</v>
      </c>
      <c r="G682" s="6" t="s">
        <v>2820</v>
      </c>
      <c r="H682" s="7" t="s">
        <v>2821</v>
      </c>
      <c r="I682" s="6" t="e">
        <v>#N/A</v>
      </c>
      <c r="J682" s="6" t="e">
        <v>#N/A</v>
      </c>
      <c r="K682" s="6" t="str">
        <f>VLOOKUP(A682,Sheet4!$A:$H,7,0)</f>
        <v>Cotton Fitted Bedsheet</v>
      </c>
      <c r="L682" s="6" t="str">
        <f>VLOOKUP(B682,Sheet4!$A:$H,8,0)</f>
        <v>Bedding</v>
      </c>
      <c r="M682" s="6">
        <v>2489.0</v>
      </c>
      <c r="N682" s="8">
        <v>2039.0</v>
      </c>
      <c r="O682" s="9">
        <v>2039.0</v>
      </c>
      <c r="P682" s="10">
        <v>1866.75</v>
      </c>
    </row>
    <row r="683">
      <c r="A683" s="6" t="s">
        <v>2822</v>
      </c>
      <c r="B683" s="6" t="s">
        <v>2822</v>
      </c>
      <c r="C683" s="6" t="s">
        <v>2823</v>
      </c>
      <c r="D683" s="6" t="s">
        <v>2824</v>
      </c>
      <c r="E683" s="6" t="e">
        <v>#N/A</v>
      </c>
      <c r="F683" s="6" t="s">
        <v>2822</v>
      </c>
      <c r="G683" s="6" t="s">
        <v>2825</v>
      </c>
      <c r="H683" s="7" t="s">
        <v>2826</v>
      </c>
      <c r="I683" s="6">
        <v>3.1818451E7</v>
      </c>
      <c r="J683" s="6" t="s">
        <v>2827</v>
      </c>
      <c r="K683" s="6" t="str">
        <f>VLOOKUP(A683,Sheet4!$A:$H,7,0)</f>
        <v>Cotton Fitted Bedsheet</v>
      </c>
      <c r="L683" s="6" t="str">
        <f>VLOOKUP(B683,Sheet4!$A:$H,8,0)</f>
        <v>Bedding</v>
      </c>
      <c r="M683" s="6">
        <v>2189.0</v>
      </c>
      <c r="N683" s="8">
        <v>1792.0</v>
      </c>
      <c r="O683" s="9">
        <v>1799.0</v>
      </c>
      <c r="P683" s="10">
        <v>1641.75</v>
      </c>
    </row>
    <row r="684">
      <c r="A684" s="6" t="s">
        <v>2828</v>
      </c>
      <c r="B684" s="6" t="s">
        <v>2828</v>
      </c>
      <c r="C684" s="6" t="s">
        <v>2829</v>
      </c>
      <c r="D684" s="6" t="s">
        <v>2830</v>
      </c>
      <c r="E684" s="6" t="s">
        <v>2831</v>
      </c>
      <c r="F684" s="6" t="s">
        <v>2828</v>
      </c>
      <c r="G684" s="6" t="s">
        <v>2832</v>
      </c>
      <c r="H684" s="7" t="s">
        <v>2833</v>
      </c>
      <c r="I684" s="6">
        <v>3.1818466E7</v>
      </c>
      <c r="J684" s="6" t="s">
        <v>2834</v>
      </c>
      <c r="K684" s="6" t="str">
        <f>VLOOKUP(A684,Sheet4!$A:$H,7,0)</f>
        <v>Cotton Fitted Bedsheet</v>
      </c>
      <c r="L684" s="6" t="str">
        <f>VLOOKUP(B684,Sheet4!$A:$H,8,0)</f>
        <v>Bedding</v>
      </c>
      <c r="M684" s="6">
        <v>2189.0</v>
      </c>
      <c r="N684" s="8">
        <v>1792.0</v>
      </c>
      <c r="O684" s="9">
        <v>1799.0</v>
      </c>
      <c r="P684" s="10">
        <v>1641.75</v>
      </c>
    </row>
    <row r="685">
      <c r="A685" s="6" t="s">
        <v>2835</v>
      </c>
      <c r="B685" s="6" t="s">
        <v>2835</v>
      </c>
      <c r="C685" s="6" t="s">
        <v>2836</v>
      </c>
      <c r="D685" s="6" t="s">
        <v>2837</v>
      </c>
      <c r="E685" s="6" t="e">
        <v>#N/A</v>
      </c>
      <c r="F685" s="6">
        <v>0.0</v>
      </c>
      <c r="G685" s="6" t="s">
        <v>2800</v>
      </c>
      <c r="H685" s="7" t="s">
        <v>2838</v>
      </c>
      <c r="I685" s="6" t="e">
        <v>#N/A</v>
      </c>
      <c r="J685" s="6" t="e">
        <v>#N/A</v>
      </c>
      <c r="K685" s="6" t="str">
        <f>VLOOKUP(A685,Sheet4!$A:$H,7,0)</f>
        <v>Cotton Fitted Bedsheet</v>
      </c>
      <c r="L685" s="6" t="str">
        <f>VLOOKUP(B685,Sheet4!$A:$H,8,0)</f>
        <v>Bedding</v>
      </c>
      <c r="M685" s="6">
        <v>1589.0</v>
      </c>
      <c r="N685" s="8">
        <v>1302.0</v>
      </c>
      <c r="O685" s="9">
        <v>1302.0</v>
      </c>
      <c r="P685" s="10">
        <v>1191.75</v>
      </c>
    </row>
    <row r="686">
      <c r="A686" s="6" t="s">
        <v>2839</v>
      </c>
      <c r="B686" s="6" t="s">
        <v>2839</v>
      </c>
      <c r="C686" s="6" t="s">
        <v>2840</v>
      </c>
      <c r="D686" s="6" t="s">
        <v>2841</v>
      </c>
      <c r="E686" s="6" t="e">
        <v>#N/A</v>
      </c>
      <c r="F686" s="6">
        <v>0.0</v>
      </c>
      <c r="G686" s="6" t="s">
        <v>2842</v>
      </c>
      <c r="H686" s="7" t="s">
        <v>2843</v>
      </c>
      <c r="I686" s="6" t="e">
        <v>#N/A</v>
      </c>
      <c r="J686" s="6" t="e">
        <v>#N/A</v>
      </c>
      <c r="K686" s="6" t="str">
        <f>VLOOKUP(A686,Sheet4!$A:$H,7,0)</f>
        <v>Cotton Fitted Bedsheet</v>
      </c>
      <c r="L686" s="6" t="str">
        <f>VLOOKUP(B686,Sheet4!$A:$H,8,0)</f>
        <v>Bedding</v>
      </c>
      <c r="M686" s="6">
        <v>1589.0</v>
      </c>
      <c r="N686" s="8">
        <v>1302.0</v>
      </c>
      <c r="O686" s="9">
        <v>1302.0</v>
      </c>
      <c r="P686" s="10">
        <v>1191.75</v>
      </c>
    </row>
    <row r="687">
      <c r="A687" s="6" t="s">
        <v>2844</v>
      </c>
      <c r="B687" s="6" t="s">
        <v>2844</v>
      </c>
      <c r="C687" s="6" t="s">
        <v>2845</v>
      </c>
      <c r="D687" s="6" t="s">
        <v>2846</v>
      </c>
      <c r="E687" s="6" t="e">
        <v>#N/A</v>
      </c>
      <c r="F687" s="6">
        <v>0.0</v>
      </c>
      <c r="G687" s="6" t="s">
        <v>2847</v>
      </c>
      <c r="H687" s="7" t="s">
        <v>2848</v>
      </c>
      <c r="I687" s="6" t="e">
        <v>#N/A</v>
      </c>
      <c r="J687" s="6" t="e">
        <v>#N/A</v>
      </c>
      <c r="K687" s="6" t="str">
        <f>VLOOKUP(A687,Sheet4!$A:$H,7,0)</f>
        <v>Cotton Fitted Bedsheet</v>
      </c>
      <c r="L687" s="6" t="str">
        <f>VLOOKUP(B687,Sheet4!$A:$H,8,0)</f>
        <v>Bedding</v>
      </c>
      <c r="M687" s="6">
        <v>1589.0</v>
      </c>
      <c r="N687" s="8">
        <v>1302.0</v>
      </c>
      <c r="O687" s="9">
        <v>1302.0</v>
      </c>
      <c r="P687" s="10">
        <v>1191.75</v>
      </c>
    </row>
    <row r="688">
      <c r="A688" s="6" t="s">
        <v>2849</v>
      </c>
      <c r="B688" s="6" t="s">
        <v>2849</v>
      </c>
      <c r="C688" s="6" t="s">
        <v>2850</v>
      </c>
      <c r="D688" s="6" t="s">
        <v>2851</v>
      </c>
      <c r="E688" s="6" t="e">
        <v>#N/A</v>
      </c>
      <c r="F688" s="6">
        <v>0.0</v>
      </c>
      <c r="G688" s="6" t="s">
        <v>2852</v>
      </c>
      <c r="H688" s="7" t="s">
        <v>2853</v>
      </c>
      <c r="I688" s="6" t="e">
        <v>#N/A</v>
      </c>
      <c r="J688" s="6" t="e">
        <v>#N/A</v>
      </c>
      <c r="K688" s="6" t="str">
        <f>VLOOKUP(A688,Sheet4!$A:$H,7,0)</f>
        <v>Cotton Fitted Bedsheet</v>
      </c>
      <c r="L688" s="6" t="str">
        <f>VLOOKUP(B688,Sheet4!$A:$H,8,0)</f>
        <v>Bedding</v>
      </c>
      <c r="M688" s="6">
        <v>2489.0</v>
      </c>
      <c r="N688" s="8">
        <v>2039.0</v>
      </c>
      <c r="O688" s="9">
        <v>2039.0</v>
      </c>
      <c r="P688" s="10">
        <v>1866.75</v>
      </c>
    </row>
    <row r="689">
      <c r="A689" s="6" t="s">
        <v>2854</v>
      </c>
      <c r="B689" s="6" t="s">
        <v>2854</v>
      </c>
      <c r="C689" s="6" t="s">
        <v>2855</v>
      </c>
      <c r="D689" s="6" t="s">
        <v>2856</v>
      </c>
      <c r="E689" s="6" t="e">
        <v>#N/A</v>
      </c>
      <c r="F689" s="6">
        <v>0.0</v>
      </c>
      <c r="G689" s="6" t="s">
        <v>2857</v>
      </c>
      <c r="H689" s="7" t="s">
        <v>2858</v>
      </c>
      <c r="I689" s="6" t="e">
        <v>#N/A</v>
      </c>
      <c r="J689" s="6" t="e">
        <v>#N/A</v>
      </c>
      <c r="K689" s="6" t="str">
        <f>VLOOKUP(A689,Sheet4!$A:$H,7,0)</f>
        <v>Cotton Fitted Bedsheet</v>
      </c>
      <c r="L689" s="6" t="str">
        <f>VLOOKUP(B689,Sheet4!$A:$H,8,0)</f>
        <v>Bedding</v>
      </c>
      <c r="M689" s="6">
        <v>1989.0</v>
      </c>
      <c r="N689" s="8">
        <v>1629.0</v>
      </c>
      <c r="O689" s="9">
        <v>1629.0</v>
      </c>
      <c r="P689" s="10">
        <v>1491.75</v>
      </c>
    </row>
    <row r="690">
      <c r="A690" s="6" t="s">
        <v>2859</v>
      </c>
      <c r="B690" s="6" t="s">
        <v>2859</v>
      </c>
      <c r="C690" s="6" t="s">
        <v>2860</v>
      </c>
      <c r="D690" s="6" t="s">
        <v>2861</v>
      </c>
      <c r="E690" s="6" t="e">
        <v>#N/A</v>
      </c>
      <c r="F690" s="6">
        <v>0.0</v>
      </c>
      <c r="G690" s="6" t="s">
        <v>2862</v>
      </c>
      <c r="H690" s="7" t="s">
        <v>2863</v>
      </c>
      <c r="I690" s="6" t="e">
        <v>#N/A</v>
      </c>
      <c r="J690" s="6" t="e">
        <v>#N/A</v>
      </c>
      <c r="K690" s="6" t="str">
        <f>VLOOKUP(A690,Sheet4!$A:$H,7,0)</f>
        <v>Cotton Fitted Bedsheet</v>
      </c>
      <c r="L690" s="6" t="str">
        <f>VLOOKUP(B690,Sheet4!$A:$H,8,0)</f>
        <v>Bedding</v>
      </c>
      <c r="M690" s="6">
        <v>1989.0</v>
      </c>
      <c r="N690" s="8">
        <v>1629.0</v>
      </c>
      <c r="O690" s="9">
        <v>1629.0</v>
      </c>
      <c r="P690" s="10">
        <v>1491.75</v>
      </c>
    </row>
    <row r="691">
      <c r="A691" s="6" t="s">
        <v>2864</v>
      </c>
      <c r="B691" s="6" t="s">
        <v>2864</v>
      </c>
      <c r="C691" s="6" t="s">
        <v>2865</v>
      </c>
      <c r="D691" s="6" t="s">
        <v>2866</v>
      </c>
      <c r="E691" s="6" t="e">
        <v>#N/A</v>
      </c>
      <c r="F691" s="6">
        <v>0.0</v>
      </c>
      <c r="G691" s="6" t="s">
        <v>2867</v>
      </c>
      <c r="H691" s="7" t="s">
        <v>2868</v>
      </c>
      <c r="I691" s="6" t="e">
        <v>#N/A</v>
      </c>
      <c r="J691" s="6" t="e">
        <v>#N/A</v>
      </c>
      <c r="K691" s="6" t="str">
        <f>VLOOKUP(A691,Sheet4!$A:$H,7,0)</f>
        <v>Cotton Fitted Bedsheet</v>
      </c>
      <c r="L691" s="6" t="str">
        <f>VLOOKUP(B691,Sheet4!$A:$H,8,0)</f>
        <v>Bedding</v>
      </c>
      <c r="M691" s="6">
        <v>1989.0</v>
      </c>
      <c r="N691" s="8">
        <v>1629.0</v>
      </c>
      <c r="O691" s="9">
        <v>1629.0</v>
      </c>
      <c r="P691" s="10">
        <v>1491.75</v>
      </c>
    </row>
    <row r="692">
      <c r="A692" s="6" t="s">
        <v>2869</v>
      </c>
      <c r="B692" s="6" t="s">
        <v>2869</v>
      </c>
      <c r="C692" s="6" t="s">
        <v>2870</v>
      </c>
      <c r="D692" s="6" t="s">
        <v>2871</v>
      </c>
      <c r="E692" s="6" t="e">
        <v>#N/A</v>
      </c>
      <c r="F692" s="6">
        <v>0.0</v>
      </c>
      <c r="G692" s="6" t="s">
        <v>2872</v>
      </c>
      <c r="H692" s="7" t="s">
        <v>2873</v>
      </c>
      <c r="I692" s="6" t="e">
        <v>#N/A</v>
      </c>
      <c r="J692" s="6" t="e">
        <v>#N/A</v>
      </c>
      <c r="K692" s="6" t="str">
        <f>VLOOKUP(A692,Sheet4!$A:$H,7,0)</f>
        <v>Cotton Fitted Bedsheet</v>
      </c>
      <c r="L692" s="6" t="str">
        <f>VLOOKUP(B692,Sheet4!$A:$H,8,0)</f>
        <v>Bedding</v>
      </c>
      <c r="M692" s="6">
        <v>2289.0</v>
      </c>
      <c r="N692" s="8">
        <v>1875.0</v>
      </c>
      <c r="O692" s="9">
        <v>1899.0</v>
      </c>
      <c r="P692" s="10">
        <v>1716.75</v>
      </c>
    </row>
    <row r="693">
      <c r="A693" s="6" t="s">
        <v>2874</v>
      </c>
      <c r="B693" s="6" t="s">
        <v>2874</v>
      </c>
      <c r="C693" s="6" t="s">
        <v>2875</v>
      </c>
      <c r="D693" s="6" t="s">
        <v>2876</v>
      </c>
      <c r="E693" s="6" t="e">
        <v>#N/A</v>
      </c>
      <c r="F693" s="6">
        <v>0.0</v>
      </c>
      <c r="G693" s="6" t="s">
        <v>2877</v>
      </c>
      <c r="H693" s="7" t="s">
        <v>2878</v>
      </c>
      <c r="I693" s="6" t="e">
        <v>#N/A</v>
      </c>
      <c r="J693" s="6" t="e">
        <v>#N/A</v>
      </c>
      <c r="K693" s="6" t="str">
        <f>VLOOKUP(A693,Sheet4!$A:$H,7,0)</f>
        <v>Cotton Fitted Bedsheet</v>
      </c>
      <c r="L693" s="6" t="str">
        <f>VLOOKUP(B693,Sheet4!$A:$H,8,0)</f>
        <v>Bedding</v>
      </c>
      <c r="M693" s="6">
        <v>2289.0</v>
      </c>
      <c r="N693" s="8">
        <v>1875.0</v>
      </c>
      <c r="O693" s="9">
        <v>1899.0</v>
      </c>
      <c r="P693" s="10">
        <v>1716.75</v>
      </c>
    </row>
    <row r="694">
      <c r="A694" s="6" t="s">
        <v>2879</v>
      </c>
      <c r="B694" s="6" t="s">
        <v>2879</v>
      </c>
      <c r="C694" s="6" t="s">
        <v>2880</v>
      </c>
      <c r="D694" s="6" t="s">
        <v>2881</v>
      </c>
      <c r="E694" s="6" t="e">
        <v>#N/A</v>
      </c>
      <c r="F694" s="6">
        <v>0.0</v>
      </c>
      <c r="G694" s="6" t="s">
        <v>2882</v>
      </c>
      <c r="H694" s="7" t="s">
        <v>2883</v>
      </c>
      <c r="I694" s="6" t="e">
        <v>#N/A</v>
      </c>
      <c r="J694" s="6" t="e">
        <v>#N/A</v>
      </c>
      <c r="K694" s="6" t="str">
        <f>VLOOKUP(A694,Sheet4!$A:$H,7,0)</f>
        <v>Cotton Fitted Bedsheet</v>
      </c>
      <c r="L694" s="6" t="str">
        <f>VLOOKUP(B694,Sheet4!$A:$H,8,0)</f>
        <v>Bedding</v>
      </c>
      <c r="M694" s="6">
        <v>2289.0</v>
      </c>
      <c r="N694" s="8">
        <v>1875.0</v>
      </c>
      <c r="O694" s="9">
        <v>1899.0</v>
      </c>
      <c r="P694" s="10">
        <v>1716.75</v>
      </c>
    </row>
    <row r="695">
      <c r="A695" s="6" t="s">
        <v>2884</v>
      </c>
      <c r="B695" s="6" t="s">
        <v>2884</v>
      </c>
      <c r="C695" s="6" t="s">
        <v>2885</v>
      </c>
      <c r="D695" s="6" t="s">
        <v>2886</v>
      </c>
      <c r="E695" s="6" t="e">
        <v>#N/A</v>
      </c>
      <c r="F695" s="6" t="s">
        <v>2884</v>
      </c>
      <c r="G695" s="6" t="s">
        <v>2887</v>
      </c>
      <c r="H695" s="7" t="s">
        <v>2888</v>
      </c>
      <c r="I695" s="6">
        <v>3.1818457E7</v>
      </c>
      <c r="J695" s="6" t="e">
        <v>#N/A</v>
      </c>
      <c r="K695" s="6" t="str">
        <f>VLOOKUP(A695,Sheet4!$A:$H,7,0)</f>
        <v>Cotton Fitted Bedsheet</v>
      </c>
      <c r="L695" s="6" t="str">
        <f>VLOOKUP(B695,Sheet4!$A:$H,8,0)</f>
        <v>Bedding</v>
      </c>
      <c r="M695" s="6">
        <v>2189.0</v>
      </c>
      <c r="N695" s="8">
        <v>1792.0</v>
      </c>
      <c r="O695" s="9">
        <v>1799.0</v>
      </c>
      <c r="P695" s="10">
        <v>1641.75</v>
      </c>
    </row>
    <row r="696">
      <c r="A696" s="6" t="s">
        <v>2889</v>
      </c>
      <c r="B696" s="6" t="s">
        <v>2889</v>
      </c>
      <c r="C696" s="6" t="s">
        <v>2890</v>
      </c>
      <c r="D696" s="6" t="s">
        <v>2891</v>
      </c>
      <c r="E696" s="6" t="s">
        <v>2889</v>
      </c>
      <c r="F696" s="6">
        <v>0.0</v>
      </c>
      <c r="G696" s="6" t="s">
        <v>2889</v>
      </c>
      <c r="H696" s="7" t="s">
        <v>2892</v>
      </c>
      <c r="I696" s="6">
        <v>3.1818376E7</v>
      </c>
      <c r="J696" s="6" t="e">
        <v>#N/A</v>
      </c>
      <c r="K696" s="6" t="str">
        <f>VLOOKUP(A696,Sheet4!$A:$H,7,0)</f>
        <v>Cotton Fitted Bedsheet</v>
      </c>
      <c r="L696" s="6" t="str">
        <f>VLOOKUP(B696,Sheet4!$A:$H,8,0)</f>
        <v>Bedding</v>
      </c>
      <c r="M696" s="6">
        <v>2489.0</v>
      </c>
      <c r="N696" s="8">
        <v>2037.0</v>
      </c>
      <c r="O696" s="9">
        <v>2037.0</v>
      </c>
      <c r="P696" s="10">
        <v>1866.75</v>
      </c>
    </row>
    <row r="697">
      <c r="A697" s="6" t="s">
        <v>2893</v>
      </c>
      <c r="B697" s="6" t="s">
        <v>2893</v>
      </c>
      <c r="C697" s="6" t="s">
        <v>2894</v>
      </c>
      <c r="D697" s="6" t="s">
        <v>2895</v>
      </c>
      <c r="E697" s="6" t="e">
        <v>#N/A</v>
      </c>
      <c r="F697" s="6" t="s">
        <v>2896</v>
      </c>
      <c r="G697" s="6" t="s">
        <v>2897</v>
      </c>
      <c r="H697" s="7" t="s">
        <v>2898</v>
      </c>
      <c r="I697" s="6" t="e">
        <v>#N/A</v>
      </c>
      <c r="J697" s="6" t="e">
        <v>#N/A</v>
      </c>
      <c r="K697" s="6" t="str">
        <f>VLOOKUP(A697,Sheet4!$A:$H,7,0)</f>
        <v>Sateen Duvet Cover</v>
      </c>
      <c r="L697" s="6" t="str">
        <f>VLOOKUP(B697,Sheet4!$A:$H,8,0)</f>
        <v>Bedding</v>
      </c>
      <c r="M697" s="6">
        <v>2699.0</v>
      </c>
      <c r="N697" s="8">
        <v>2399.0</v>
      </c>
      <c r="O697" s="9">
        <v>2399.0</v>
      </c>
      <c r="P697" s="10">
        <v>2294.15</v>
      </c>
    </row>
    <row r="698">
      <c r="A698" s="6" t="s">
        <v>2899</v>
      </c>
      <c r="B698" s="6" t="s">
        <v>2899</v>
      </c>
      <c r="C698" s="6" t="s">
        <v>2900</v>
      </c>
      <c r="D698" s="6" t="s">
        <v>2901</v>
      </c>
      <c r="E698" s="6" t="e">
        <v>#N/A</v>
      </c>
      <c r="F698" s="6" t="s">
        <v>2902</v>
      </c>
      <c r="G698" s="6" t="s">
        <v>2903</v>
      </c>
      <c r="H698" s="7" t="s">
        <v>2904</v>
      </c>
      <c r="I698" s="6" t="e">
        <v>#N/A</v>
      </c>
      <c r="J698" s="6" t="e">
        <v>#N/A</v>
      </c>
      <c r="K698" s="6" t="str">
        <f>VLOOKUP(A698,Sheet4!$A:$H,7,0)</f>
        <v>Sateen Duvet Cover</v>
      </c>
      <c r="L698" s="6" t="str">
        <f>VLOOKUP(B698,Sheet4!$A:$H,8,0)</f>
        <v>Bedding</v>
      </c>
      <c r="M698" s="6">
        <v>2699.0</v>
      </c>
      <c r="N698" s="8">
        <v>2399.0</v>
      </c>
      <c r="O698" s="9">
        <v>2399.0</v>
      </c>
      <c r="P698" s="10">
        <v>2294.15</v>
      </c>
    </row>
    <row r="699">
      <c r="A699" s="6" t="s">
        <v>2905</v>
      </c>
      <c r="B699" s="6" t="s">
        <v>2905</v>
      </c>
      <c r="C699" s="6" t="s">
        <v>2906</v>
      </c>
      <c r="D699" s="6" t="s">
        <v>2907</v>
      </c>
      <c r="E699" s="6" t="e">
        <v>#N/A</v>
      </c>
      <c r="F699" s="6" t="s">
        <v>2908</v>
      </c>
      <c r="G699" s="6" t="s">
        <v>2909</v>
      </c>
      <c r="H699" s="7" t="s">
        <v>2910</v>
      </c>
      <c r="I699" s="6" t="e">
        <v>#N/A</v>
      </c>
      <c r="J699" s="6" t="e">
        <v>#N/A</v>
      </c>
      <c r="K699" s="6" t="str">
        <f>VLOOKUP(A699,Sheet4!$A:$H,7,0)</f>
        <v>Sateen Duvet Cover</v>
      </c>
      <c r="L699" s="6" t="str">
        <f>VLOOKUP(B699,Sheet4!$A:$H,8,0)</f>
        <v>Bedding</v>
      </c>
      <c r="M699" s="6">
        <v>2699.0</v>
      </c>
      <c r="N699" s="8">
        <v>2399.0</v>
      </c>
      <c r="O699" s="9">
        <v>2399.0</v>
      </c>
      <c r="P699" s="10">
        <v>2294.15</v>
      </c>
    </row>
    <row r="700">
      <c r="A700" s="6" t="s">
        <v>2911</v>
      </c>
      <c r="B700" s="6" t="s">
        <v>2911</v>
      </c>
      <c r="C700" s="6" t="s">
        <v>2912</v>
      </c>
      <c r="D700" s="6" t="s">
        <v>2913</v>
      </c>
      <c r="E700" s="6" t="e">
        <v>#N/A</v>
      </c>
      <c r="F700" s="6" t="s">
        <v>2914</v>
      </c>
      <c r="G700" s="6" t="s">
        <v>2915</v>
      </c>
      <c r="H700" s="7" t="s">
        <v>2916</v>
      </c>
      <c r="I700" s="6" t="e">
        <v>#N/A</v>
      </c>
      <c r="J700" s="6" t="e">
        <v>#N/A</v>
      </c>
      <c r="K700" s="6" t="str">
        <f>VLOOKUP(A700,Sheet4!$A:$H,7,0)</f>
        <v>Sateen Duvet Cover</v>
      </c>
      <c r="L700" s="6" t="str">
        <f>VLOOKUP(B700,Sheet4!$A:$H,8,0)</f>
        <v>Bedding</v>
      </c>
      <c r="M700" s="6">
        <v>2699.0</v>
      </c>
      <c r="N700" s="8">
        <v>2399.0</v>
      </c>
      <c r="O700" s="9">
        <v>2399.0</v>
      </c>
      <c r="P700" s="10">
        <v>2294.15</v>
      </c>
    </row>
    <row r="701">
      <c r="A701" s="6" t="s">
        <v>2917</v>
      </c>
      <c r="B701" s="6" t="s">
        <v>2917</v>
      </c>
      <c r="C701" s="6" t="s">
        <v>2918</v>
      </c>
      <c r="D701" s="6" t="s">
        <v>2919</v>
      </c>
      <c r="E701" s="6" t="s">
        <v>2920</v>
      </c>
      <c r="F701" s="6" t="s">
        <v>2921</v>
      </c>
      <c r="G701" s="6" t="s">
        <v>2922</v>
      </c>
      <c r="H701" s="7" t="s">
        <v>2923</v>
      </c>
      <c r="I701" s="6" t="e">
        <v>#N/A</v>
      </c>
      <c r="J701" s="6" t="e">
        <v>#N/A</v>
      </c>
      <c r="K701" s="6" t="str">
        <f>VLOOKUP(A701,Sheet4!$A:$H,7,0)</f>
        <v>Sateen Duvet Cover</v>
      </c>
      <c r="L701" s="6" t="str">
        <f>VLOOKUP(B701,Sheet4!$A:$H,8,0)</f>
        <v>Bedding</v>
      </c>
      <c r="M701" s="6">
        <v>3599.0</v>
      </c>
      <c r="N701" s="8">
        <v>3099.0</v>
      </c>
      <c r="O701" s="9">
        <v>3099.0</v>
      </c>
      <c r="P701" s="10">
        <v>3059.15</v>
      </c>
    </row>
    <row r="702">
      <c r="A702" s="6" t="s">
        <v>2924</v>
      </c>
      <c r="B702" s="6" t="s">
        <v>2924</v>
      </c>
      <c r="C702" s="6" t="s">
        <v>2925</v>
      </c>
      <c r="D702" s="6" t="s">
        <v>2926</v>
      </c>
      <c r="E702" s="6" t="s">
        <v>2927</v>
      </c>
      <c r="F702" s="6" t="s">
        <v>2928</v>
      </c>
      <c r="G702" s="6" t="s">
        <v>2929</v>
      </c>
      <c r="H702" s="7" t="s">
        <v>2930</v>
      </c>
      <c r="I702" s="6" t="e">
        <v>#N/A</v>
      </c>
      <c r="J702" s="6" t="e">
        <v>#N/A</v>
      </c>
      <c r="K702" s="6" t="str">
        <f>VLOOKUP(A702,Sheet4!$A:$H,7,0)</f>
        <v>Sateen Duvet Cover</v>
      </c>
      <c r="L702" s="6" t="str">
        <f>VLOOKUP(B702,Sheet4!$A:$H,8,0)</f>
        <v>Bedding</v>
      </c>
      <c r="M702" s="6">
        <v>3599.0</v>
      </c>
      <c r="N702" s="8">
        <v>3099.0</v>
      </c>
      <c r="O702" s="9">
        <v>3099.0</v>
      </c>
      <c r="P702" s="10">
        <v>3059.15</v>
      </c>
    </row>
    <row r="703">
      <c r="A703" s="6" t="s">
        <v>2931</v>
      </c>
      <c r="B703" s="6" t="s">
        <v>2931</v>
      </c>
      <c r="C703" s="6" t="s">
        <v>2932</v>
      </c>
      <c r="D703" s="6" t="s">
        <v>2933</v>
      </c>
      <c r="E703" s="6" t="s">
        <v>2934</v>
      </c>
      <c r="F703" s="6" t="s">
        <v>2935</v>
      </c>
      <c r="G703" s="6" t="s">
        <v>2936</v>
      </c>
      <c r="H703" s="7" t="s">
        <v>2937</v>
      </c>
      <c r="I703" s="6" t="e">
        <v>#N/A</v>
      </c>
      <c r="J703" s="6" t="e">
        <v>#N/A</v>
      </c>
      <c r="K703" s="6" t="str">
        <f>VLOOKUP(A703,Sheet4!$A:$H,7,0)</f>
        <v>Sateen Duvet Cover</v>
      </c>
      <c r="L703" s="6" t="str">
        <f>VLOOKUP(B703,Sheet4!$A:$H,8,0)</f>
        <v>Bedding</v>
      </c>
      <c r="M703" s="6">
        <v>3599.0</v>
      </c>
      <c r="N703" s="8">
        <v>3099.0</v>
      </c>
      <c r="O703" s="9">
        <v>3099.0</v>
      </c>
      <c r="P703" s="10">
        <v>3059.15</v>
      </c>
    </row>
    <row r="704">
      <c r="A704" s="6" t="s">
        <v>2938</v>
      </c>
      <c r="B704" s="6" t="s">
        <v>2938</v>
      </c>
      <c r="C704" s="6" t="s">
        <v>2939</v>
      </c>
      <c r="D704" s="6" t="s">
        <v>2940</v>
      </c>
      <c r="E704" s="6" t="s">
        <v>2941</v>
      </c>
      <c r="F704" s="6" t="s">
        <v>2942</v>
      </c>
      <c r="G704" s="6" t="s">
        <v>2943</v>
      </c>
      <c r="H704" s="7" t="s">
        <v>2944</v>
      </c>
      <c r="I704" s="6" t="e">
        <v>#N/A</v>
      </c>
      <c r="J704" s="6" t="e">
        <v>#N/A</v>
      </c>
      <c r="K704" s="6" t="str">
        <f>VLOOKUP(A704,Sheet4!$A:$H,7,0)</f>
        <v>Sateen Duvet Cover</v>
      </c>
      <c r="L704" s="6" t="str">
        <f>VLOOKUP(B704,Sheet4!$A:$H,8,0)</f>
        <v>Bedding</v>
      </c>
      <c r="M704" s="6">
        <v>3599.0</v>
      </c>
      <c r="N704" s="8">
        <v>3099.0</v>
      </c>
      <c r="O704" s="9">
        <v>3099.0</v>
      </c>
      <c r="P704" s="10">
        <v>3059.15</v>
      </c>
    </row>
    <row r="705">
      <c r="A705" s="6" t="s">
        <v>2945</v>
      </c>
      <c r="B705" s="6" t="s">
        <v>2945</v>
      </c>
      <c r="C705" s="6" t="s">
        <v>2946</v>
      </c>
      <c r="D705" s="6" t="s">
        <v>2947</v>
      </c>
      <c r="E705" s="6" t="e">
        <v>#N/A</v>
      </c>
      <c r="F705" s="6" t="s">
        <v>2948</v>
      </c>
      <c r="G705" s="6" t="s">
        <v>2949</v>
      </c>
      <c r="H705" s="7" t="s">
        <v>2950</v>
      </c>
      <c r="I705" s="6" t="e">
        <v>#N/A</v>
      </c>
      <c r="J705" s="6" t="e">
        <v>#N/A</v>
      </c>
      <c r="K705" s="6" t="str">
        <f>VLOOKUP(A705,Sheet4!$A:$H,7,0)</f>
        <v>Cotton Duvet cover</v>
      </c>
      <c r="L705" s="6" t="str">
        <f>VLOOKUP(B705,Sheet4!$A:$H,8,0)</f>
        <v>Bedding</v>
      </c>
      <c r="M705" s="6">
        <v>2089.0</v>
      </c>
      <c r="N705" s="8">
        <v>1627.0</v>
      </c>
      <c r="O705" s="9">
        <v>1899.0</v>
      </c>
      <c r="P705" s="10">
        <v>1671.2</v>
      </c>
    </row>
    <row r="706">
      <c r="A706" s="6" t="s">
        <v>2951</v>
      </c>
      <c r="B706" s="6" t="s">
        <v>2951</v>
      </c>
      <c r="C706" s="6" t="s">
        <v>2952</v>
      </c>
      <c r="D706" s="6" t="s">
        <v>2953</v>
      </c>
      <c r="E706" s="6" t="e">
        <v>#N/A</v>
      </c>
      <c r="F706" s="6" t="s">
        <v>2954</v>
      </c>
      <c r="G706" s="6" t="s">
        <v>2955</v>
      </c>
      <c r="H706" s="7" t="s">
        <v>2956</v>
      </c>
      <c r="I706" s="6" t="e">
        <v>#N/A</v>
      </c>
      <c r="J706" s="6" t="e">
        <v>#N/A</v>
      </c>
      <c r="K706" s="6" t="str">
        <f>VLOOKUP(A706,Sheet4!$A:$H,7,0)</f>
        <v>Cotton Duvet cover</v>
      </c>
      <c r="L706" s="6" t="str">
        <f>VLOOKUP(B706,Sheet4!$A:$H,8,0)</f>
        <v>Bedding</v>
      </c>
      <c r="M706" s="6">
        <v>2089.0</v>
      </c>
      <c r="N706" s="8">
        <v>1899.0</v>
      </c>
      <c r="O706" s="9">
        <v>1899.0</v>
      </c>
      <c r="P706" s="10">
        <v>1671.2</v>
      </c>
    </row>
    <row r="707">
      <c r="A707" s="6" t="s">
        <v>2957</v>
      </c>
      <c r="B707" s="6" t="s">
        <v>2957</v>
      </c>
      <c r="C707" s="6" t="s">
        <v>2958</v>
      </c>
      <c r="D707" s="6" t="s">
        <v>2959</v>
      </c>
      <c r="E707" s="6" t="e">
        <v>#N/A</v>
      </c>
      <c r="F707" s="6" t="s">
        <v>2960</v>
      </c>
      <c r="G707" s="6" t="s">
        <v>2961</v>
      </c>
      <c r="H707" s="7" t="s">
        <v>2962</v>
      </c>
      <c r="I707" s="6" t="e">
        <v>#N/A</v>
      </c>
      <c r="J707" s="6" t="e">
        <v>#N/A</v>
      </c>
      <c r="K707" s="6" t="str">
        <f>VLOOKUP(A707,Sheet4!$A:$H,7,0)</f>
        <v>Cotton Duvet cover</v>
      </c>
      <c r="L707" s="6" t="str">
        <f>VLOOKUP(B707,Sheet4!$A:$H,8,0)</f>
        <v>Bedding</v>
      </c>
      <c r="M707" s="6">
        <v>2089.0</v>
      </c>
      <c r="N707" s="8">
        <v>1899.0</v>
      </c>
      <c r="O707" s="9">
        <v>1899.0</v>
      </c>
      <c r="P707" s="10">
        <v>1671.2</v>
      </c>
    </row>
    <row r="708">
      <c r="A708" s="6" t="s">
        <v>2963</v>
      </c>
      <c r="B708" s="6" t="s">
        <v>2963</v>
      </c>
      <c r="C708" s="6" t="s">
        <v>2964</v>
      </c>
      <c r="D708" s="6" t="s">
        <v>2965</v>
      </c>
      <c r="E708" s="6" t="e">
        <v>#N/A</v>
      </c>
      <c r="F708" s="6" t="s">
        <v>2966</v>
      </c>
      <c r="G708" s="6" t="s">
        <v>2967</v>
      </c>
      <c r="H708" s="7" t="s">
        <v>2968</v>
      </c>
      <c r="I708" s="6" t="e">
        <v>#N/A</v>
      </c>
      <c r="J708" s="6" t="e">
        <v>#N/A</v>
      </c>
      <c r="K708" s="6" t="str">
        <f>VLOOKUP(A708,Sheet4!$A:$H,7,0)</f>
        <v>Cotton Duvet cover</v>
      </c>
      <c r="L708" s="6" t="str">
        <f>VLOOKUP(B708,Sheet4!$A:$H,8,0)</f>
        <v>Bedding</v>
      </c>
      <c r="M708" s="6">
        <v>2089.0</v>
      </c>
      <c r="N708" s="8">
        <v>1627.0</v>
      </c>
      <c r="O708" s="9">
        <v>1899.0</v>
      </c>
      <c r="P708" s="10">
        <v>1671.2</v>
      </c>
    </row>
    <row r="709">
      <c r="A709" s="6" t="s">
        <v>2969</v>
      </c>
      <c r="B709" s="6" t="s">
        <v>2969</v>
      </c>
      <c r="C709" s="6" t="s">
        <v>2970</v>
      </c>
      <c r="D709" s="6" t="s">
        <v>2971</v>
      </c>
      <c r="E709" s="6" t="e">
        <v>#N/A</v>
      </c>
      <c r="F709" s="6" t="s">
        <v>2972</v>
      </c>
      <c r="G709" s="6" t="s">
        <v>2973</v>
      </c>
      <c r="H709" s="7" t="s">
        <v>2974</v>
      </c>
      <c r="I709" s="6" t="e">
        <v>#N/A</v>
      </c>
      <c r="J709" s="6" t="e">
        <v>#N/A</v>
      </c>
      <c r="K709" s="6" t="str">
        <f>VLOOKUP(A709,Sheet4!$A:$H,7,0)</f>
        <v>Cotton Duvet cover</v>
      </c>
      <c r="L709" s="6" t="str">
        <f>VLOOKUP(B709,Sheet4!$A:$H,8,0)</f>
        <v>Bedding</v>
      </c>
      <c r="M709" s="6">
        <v>2089.0</v>
      </c>
      <c r="N709" s="8">
        <v>1627.0</v>
      </c>
      <c r="O709" s="9">
        <v>1899.0</v>
      </c>
      <c r="P709" s="10">
        <v>1671.2</v>
      </c>
    </row>
    <row r="710">
      <c r="A710" s="6" t="s">
        <v>2975</v>
      </c>
      <c r="B710" s="6" t="s">
        <v>2975</v>
      </c>
      <c r="C710" s="6" t="e">
        <v>#N/A</v>
      </c>
      <c r="D710" s="6" t="e">
        <v>#N/A</v>
      </c>
      <c r="E710" s="6" t="e">
        <v>#N/A</v>
      </c>
      <c r="F710" s="6" t="e">
        <v>#N/A</v>
      </c>
      <c r="G710" s="6" t="s">
        <v>2976</v>
      </c>
      <c r="H710" s="7" t="e">
        <v>#N/A</v>
      </c>
      <c r="I710" s="6" t="e">
        <v>#N/A</v>
      </c>
      <c r="J710" s="6" t="e">
        <v>#N/A</v>
      </c>
      <c r="K710" s="6" t="str">
        <f>VLOOKUP(A710,Sheet4!$A:$H,7,0)</f>
        <v>#N/A</v>
      </c>
      <c r="L710" s="6" t="str">
        <f>VLOOKUP(B710,Sheet4!$A:$H,8,0)</f>
        <v>#N/A</v>
      </c>
      <c r="M710" s="6" t="str">
        <f>VLOOKUP(A710,#REF!,2,FALSE)</f>
        <v>#REF!</v>
      </c>
      <c r="N710" s="6" t="str">
        <f>VLOOKUP(A710, Sheet2!A:M, 3, FALSE)</f>
        <v/>
      </c>
      <c r="O710" s="10" t="e">
        <v>#N/A</v>
      </c>
    </row>
    <row r="711">
      <c r="A711" s="6" t="s">
        <v>2977</v>
      </c>
      <c r="B711" s="6" t="s">
        <v>2977</v>
      </c>
      <c r="C711" s="6" t="s">
        <v>2978</v>
      </c>
      <c r="D711" s="6" t="s">
        <v>2979</v>
      </c>
      <c r="E711" s="6" t="e">
        <v>#N/A</v>
      </c>
      <c r="F711" s="6">
        <v>0.0</v>
      </c>
      <c r="G711" s="6" t="s">
        <v>2977</v>
      </c>
      <c r="H711" s="7" t="s">
        <v>2980</v>
      </c>
      <c r="I711" s="6" t="e">
        <v>#N/A</v>
      </c>
      <c r="J711" s="6" t="e">
        <v>#N/A</v>
      </c>
      <c r="K711" s="6" t="str">
        <f>VLOOKUP(A711,Sheet4!$A:$H,7,0)</f>
        <v>Cotton Duvet cover</v>
      </c>
      <c r="L711" s="6" t="str">
        <f>VLOOKUP(B711,Sheet4!$A:$H,8,0)</f>
        <v>Bedding</v>
      </c>
      <c r="M711" s="6">
        <v>2789.0</v>
      </c>
      <c r="N711" s="8">
        <v>2499.0</v>
      </c>
      <c r="O711" s="9">
        <v>2499.0</v>
      </c>
      <c r="P711" s="10">
        <v>2231.2</v>
      </c>
    </row>
    <row r="712">
      <c r="A712" s="6" t="s">
        <v>2981</v>
      </c>
      <c r="B712" s="6" t="s">
        <v>2981</v>
      </c>
      <c r="C712" s="6" t="s">
        <v>2982</v>
      </c>
      <c r="D712" s="6" t="s">
        <v>2983</v>
      </c>
      <c r="E712" s="6" t="e">
        <v>#N/A</v>
      </c>
      <c r="F712" s="6" t="s">
        <v>2981</v>
      </c>
      <c r="G712" s="6" t="s">
        <v>2981</v>
      </c>
      <c r="H712" s="7" t="s">
        <v>2984</v>
      </c>
      <c r="I712" s="6" t="e">
        <v>#N/A</v>
      </c>
      <c r="J712" s="6" t="e">
        <v>#N/A</v>
      </c>
      <c r="K712" s="6" t="str">
        <f>VLOOKUP(A712,Sheet4!$A:$H,7,0)</f>
        <v>Cotton Duvet cover</v>
      </c>
      <c r="L712" s="6" t="str">
        <f>VLOOKUP(B712,Sheet4!$A:$H,8,0)</f>
        <v>Bedding</v>
      </c>
      <c r="M712" s="6">
        <v>2989.0</v>
      </c>
      <c r="N712" s="8">
        <v>2699.0</v>
      </c>
      <c r="O712" s="9">
        <v>2699.0</v>
      </c>
      <c r="P712" s="10">
        <v>2391.2</v>
      </c>
    </row>
    <row r="713">
      <c r="A713" s="6" t="s">
        <v>2985</v>
      </c>
      <c r="B713" s="6" t="s">
        <v>2985</v>
      </c>
      <c r="C713" s="6" t="s">
        <v>2986</v>
      </c>
      <c r="D713" s="6" t="s">
        <v>2987</v>
      </c>
      <c r="E713" s="6" t="e">
        <v>#N/A</v>
      </c>
      <c r="F713" s="6" t="s">
        <v>2985</v>
      </c>
      <c r="G713" s="6" t="s">
        <v>2985</v>
      </c>
      <c r="H713" s="7" t="s">
        <v>2988</v>
      </c>
      <c r="I713" s="6" t="e">
        <v>#N/A</v>
      </c>
      <c r="J713" s="6" t="s">
        <v>2989</v>
      </c>
      <c r="K713" s="6" t="str">
        <f>VLOOKUP(A713,Sheet4!$A:$H,7,0)</f>
        <v>Cotton Duvet cover</v>
      </c>
      <c r="L713" s="6" t="str">
        <f>VLOOKUP(B713,Sheet4!$A:$H,8,0)</f>
        <v>Bedding</v>
      </c>
      <c r="M713" s="6">
        <v>2989.0</v>
      </c>
      <c r="N713" s="8">
        <v>2699.0</v>
      </c>
      <c r="O713" s="9">
        <v>2699.0</v>
      </c>
      <c r="P713" s="10">
        <v>2391.2</v>
      </c>
    </row>
    <row r="714">
      <c r="A714" s="6" t="s">
        <v>2990</v>
      </c>
      <c r="B714" s="6" t="s">
        <v>2990</v>
      </c>
      <c r="C714" s="6" t="s">
        <v>2991</v>
      </c>
      <c r="D714" s="6" t="s">
        <v>2992</v>
      </c>
      <c r="E714" s="6" t="e">
        <v>#N/A</v>
      </c>
      <c r="F714" s="6" t="s">
        <v>2990</v>
      </c>
      <c r="G714" s="6" t="s">
        <v>2990</v>
      </c>
      <c r="H714" s="7" t="s">
        <v>2993</v>
      </c>
      <c r="I714" s="6" t="e">
        <v>#N/A</v>
      </c>
      <c r="J714" s="6" t="s">
        <v>2994</v>
      </c>
      <c r="K714" s="6" t="str">
        <f>VLOOKUP(A714,Sheet4!$A:$H,7,0)</f>
        <v>Cotton Duvet cover</v>
      </c>
      <c r="L714" s="6" t="str">
        <f>VLOOKUP(B714,Sheet4!$A:$H,8,0)</f>
        <v>Bedding</v>
      </c>
      <c r="M714" s="6">
        <v>2789.0</v>
      </c>
      <c r="N714" s="8">
        <v>2499.0</v>
      </c>
      <c r="O714" s="9">
        <v>2499.0</v>
      </c>
      <c r="P714" s="10">
        <v>2231.2</v>
      </c>
    </row>
    <row r="715">
      <c r="A715" s="6" t="s">
        <v>2995</v>
      </c>
      <c r="B715" s="6" t="s">
        <v>2995</v>
      </c>
      <c r="C715" s="6" t="s">
        <v>2996</v>
      </c>
      <c r="D715" s="6" t="s">
        <v>2997</v>
      </c>
      <c r="E715" s="6" t="e">
        <v>#N/A</v>
      </c>
      <c r="F715" s="6" t="s">
        <v>2995</v>
      </c>
      <c r="G715" s="6" t="s">
        <v>2995</v>
      </c>
      <c r="H715" s="7" t="s">
        <v>2998</v>
      </c>
      <c r="I715" s="6" t="e">
        <v>#N/A</v>
      </c>
      <c r="J715" s="6" t="s">
        <v>2999</v>
      </c>
      <c r="K715" s="6" t="str">
        <f>VLOOKUP(A715,Sheet4!$A:$H,7,0)</f>
        <v>Cotton Duvet cover</v>
      </c>
      <c r="L715" s="6" t="str">
        <f>VLOOKUP(B715,Sheet4!$A:$H,8,0)</f>
        <v>Bedding</v>
      </c>
      <c r="M715" s="6">
        <v>2789.0</v>
      </c>
      <c r="N715" s="8">
        <v>2499.0</v>
      </c>
      <c r="O715" s="9">
        <v>2499.0</v>
      </c>
      <c r="P715" s="10">
        <v>2231.2</v>
      </c>
    </row>
    <row r="716">
      <c r="A716" s="6" t="s">
        <v>3000</v>
      </c>
      <c r="B716" s="6" t="s">
        <v>3000</v>
      </c>
      <c r="C716" s="6" t="e">
        <v>#N/A</v>
      </c>
      <c r="D716" s="6" t="e">
        <v>#N/A</v>
      </c>
      <c r="E716" s="6" t="e">
        <v>#N/A</v>
      </c>
      <c r="F716" s="6" t="e">
        <v>#N/A</v>
      </c>
      <c r="G716" s="6" t="s">
        <v>3001</v>
      </c>
      <c r="H716" s="7" t="e">
        <v>#N/A</v>
      </c>
      <c r="I716" s="6" t="e">
        <v>#N/A</v>
      </c>
      <c r="J716" s="6" t="e">
        <v>#N/A</v>
      </c>
      <c r="K716" s="6" t="str">
        <f>VLOOKUP(A716,Sheet4!$A:$H,7,0)</f>
        <v>#N/A</v>
      </c>
      <c r="L716" s="6" t="str">
        <f>VLOOKUP(B716,Sheet4!$A:$H,8,0)</f>
        <v>#N/A</v>
      </c>
      <c r="M716" s="6" t="str">
        <f>VLOOKUP(A716,#REF!,2,FALSE)</f>
        <v>#REF!</v>
      </c>
      <c r="N716" s="6" t="str">
        <f>VLOOKUP(A716, Sheet2!A:M, 3, FALSE)</f>
        <v/>
      </c>
      <c r="O716" s="10" t="e">
        <v>#N/A</v>
      </c>
    </row>
    <row r="717">
      <c r="A717" s="6" t="s">
        <v>3002</v>
      </c>
      <c r="B717" s="6" t="s">
        <v>3002</v>
      </c>
      <c r="C717" s="6" t="s">
        <v>3003</v>
      </c>
      <c r="D717" s="6" t="s">
        <v>3004</v>
      </c>
      <c r="E717" s="6" t="e">
        <v>#N/A</v>
      </c>
      <c r="F717" s="6" t="s">
        <v>3005</v>
      </c>
      <c r="G717" s="6" t="s">
        <v>3006</v>
      </c>
      <c r="H717" s="7" t="s">
        <v>3007</v>
      </c>
      <c r="I717" s="6" t="e">
        <v>#N/A</v>
      </c>
      <c r="J717" s="6" t="e">
        <v>#N/A</v>
      </c>
      <c r="K717" s="6" t="str">
        <f>VLOOKUP(A717,Sheet4!$A:$H,7,0)</f>
        <v>Duvet Cover</v>
      </c>
      <c r="L717" s="6" t="str">
        <f>VLOOKUP(B717,Sheet4!$A:$H,8,0)</f>
        <v>Bedding</v>
      </c>
      <c r="M717" s="6">
        <v>2089.0</v>
      </c>
      <c r="N717" s="8">
        <v>1799.0</v>
      </c>
      <c r="O717" s="9">
        <v>1799.0</v>
      </c>
      <c r="P717" s="10">
        <v>1699.0</v>
      </c>
    </row>
    <row r="718">
      <c r="A718" s="6" t="s">
        <v>3008</v>
      </c>
      <c r="B718" s="6" t="s">
        <v>3008</v>
      </c>
      <c r="C718" s="6" t="s">
        <v>3009</v>
      </c>
      <c r="D718" s="6" t="s">
        <v>3010</v>
      </c>
      <c r="E718" s="6" t="e">
        <v>#N/A</v>
      </c>
      <c r="F718" s="6" t="s">
        <v>3011</v>
      </c>
      <c r="G718" s="6" t="s">
        <v>3012</v>
      </c>
      <c r="H718" s="7" t="s">
        <v>3013</v>
      </c>
      <c r="I718" s="6" t="e">
        <v>#N/A</v>
      </c>
      <c r="J718" s="6" t="e">
        <v>#N/A</v>
      </c>
      <c r="K718" s="6" t="str">
        <f>VLOOKUP(A718,Sheet4!$A:$H,7,0)</f>
        <v>Duvet Cover</v>
      </c>
      <c r="L718" s="6" t="str">
        <f>VLOOKUP(B718,Sheet4!$A:$H,8,0)</f>
        <v>Bedding</v>
      </c>
      <c r="M718" s="6">
        <v>2089.0</v>
      </c>
      <c r="N718" s="8">
        <v>1799.0</v>
      </c>
      <c r="O718" s="9">
        <v>1799.0</v>
      </c>
      <c r="P718" s="10">
        <v>1699.0</v>
      </c>
    </row>
    <row r="719">
      <c r="A719" s="6" t="s">
        <v>3014</v>
      </c>
      <c r="B719" s="6" t="s">
        <v>3014</v>
      </c>
      <c r="C719" s="6" t="s">
        <v>3015</v>
      </c>
      <c r="D719" s="6" t="s">
        <v>3016</v>
      </c>
      <c r="E719" s="6" t="e">
        <v>#N/A</v>
      </c>
      <c r="F719" s="6" t="s">
        <v>3017</v>
      </c>
      <c r="G719" s="6" t="s">
        <v>3018</v>
      </c>
      <c r="H719" s="7" t="s">
        <v>3019</v>
      </c>
      <c r="I719" s="6" t="e">
        <v>#N/A</v>
      </c>
      <c r="J719" s="6" t="e">
        <v>#N/A</v>
      </c>
      <c r="K719" s="6" t="str">
        <f>VLOOKUP(A719,Sheet4!$A:$H,7,0)</f>
        <v>Jersey Fitted Bed sheet</v>
      </c>
      <c r="L719" s="6" t="str">
        <f>VLOOKUP(B719,Sheet4!$A:$H,8,0)</f>
        <v>Bedding</v>
      </c>
      <c r="M719" s="6">
        <v>2089.0</v>
      </c>
      <c r="N719" s="8">
        <v>1899.0</v>
      </c>
      <c r="O719" s="9">
        <v>1899.0</v>
      </c>
      <c r="P719" s="10">
        <v>1775.65</v>
      </c>
    </row>
    <row r="720">
      <c r="A720" s="6" t="s">
        <v>3020</v>
      </c>
      <c r="B720" s="6" t="s">
        <v>3020</v>
      </c>
      <c r="C720" s="6" t="s">
        <v>3021</v>
      </c>
      <c r="D720" s="6" t="s">
        <v>3022</v>
      </c>
      <c r="E720" s="6" t="e">
        <v>#N/A</v>
      </c>
      <c r="F720" s="6" t="s">
        <v>3023</v>
      </c>
      <c r="G720" s="6" t="s">
        <v>3024</v>
      </c>
      <c r="H720" s="7" t="s">
        <v>3025</v>
      </c>
      <c r="I720" s="6" t="e">
        <v>#N/A</v>
      </c>
      <c r="J720" s="6" t="e">
        <v>#N/A</v>
      </c>
      <c r="K720" s="6" t="str">
        <f>VLOOKUP(A720,Sheet4!$A:$H,7,0)</f>
        <v>Satin Pillow Case</v>
      </c>
      <c r="L720" s="6" t="str">
        <f>VLOOKUP(B720,Sheet4!$A:$H,8,0)</f>
        <v>Bedding</v>
      </c>
      <c r="M720" s="6">
        <v>2089.0</v>
      </c>
      <c r="N720" s="8">
        <v>1899.0</v>
      </c>
      <c r="O720" s="9">
        <v>1899.0</v>
      </c>
      <c r="P720" s="10">
        <v>1799.0</v>
      </c>
    </row>
    <row r="721">
      <c r="A721" s="6" t="s">
        <v>3026</v>
      </c>
      <c r="B721" s="6" t="s">
        <v>3026</v>
      </c>
      <c r="C721" s="6" t="s">
        <v>3027</v>
      </c>
      <c r="D721" s="6" t="s">
        <v>3028</v>
      </c>
      <c r="E721" s="6" t="e">
        <v>#N/A</v>
      </c>
      <c r="F721" s="6" t="s">
        <v>3029</v>
      </c>
      <c r="G721" s="6" t="s">
        <v>3030</v>
      </c>
      <c r="H721" s="7" t="s">
        <v>3031</v>
      </c>
      <c r="I721" s="6" t="e">
        <v>#N/A</v>
      </c>
      <c r="J721" s="6" t="e">
        <v>#N/A</v>
      </c>
      <c r="K721" s="6" t="str">
        <f>VLOOKUP(A721,Sheet4!$A:$H,7,0)</f>
        <v>Duvet Cover</v>
      </c>
      <c r="L721" s="6" t="str">
        <f>VLOOKUP(B721,Sheet4!$A:$H,8,0)</f>
        <v>Bedding</v>
      </c>
      <c r="M721" s="6">
        <v>2989.0</v>
      </c>
      <c r="N721" s="8">
        <v>2299.0</v>
      </c>
      <c r="O721" s="9">
        <v>2299.0</v>
      </c>
      <c r="P721" s="10">
        <v>2199.0</v>
      </c>
    </row>
    <row r="722">
      <c r="A722" s="6" t="s">
        <v>3032</v>
      </c>
      <c r="B722" s="6" t="s">
        <v>3032</v>
      </c>
      <c r="C722" s="6" t="s">
        <v>3033</v>
      </c>
      <c r="D722" s="6" t="s">
        <v>3034</v>
      </c>
      <c r="E722" s="6" t="e">
        <v>#N/A</v>
      </c>
      <c r="F722" s="6" t="s">
        <v>3035</v>
      </c>
      <c r="G722" s="6" t="s">
        <v>3036</v>
      </c>
      <c r="H722" s="7" t="s">
        <v>3037</v>
      </c>
      <c r="I722" s="6" t="e">
        <v>#N/A</v>
      </c>
      <c r="J722" s="6" t="e">
        <v>#N/A</v>
      </c>
      <c r="K722" s="6" t="str">
        <f>VLOOKUP(A722,Sheet4!$A:$H,7,0)</f>
        <v>Duvet Cover</v>
      </c>
      <c r="L722" s="6" t="str">
        <f>VLOOKUP(B722,Sheet4!$A:$H,8,0)</f>
        <v>Bedding</v>
      </c>
      <c r="M722" s="6">
        <v>2989.0</v>
      </c>
      <c r="N722" s="8">
        <v>2299.0</v>
      </c>
      <c r="O722" s="9">
        <v>2299.0</v>
      </c>
      <c r="P722" s="10">
        <v>2199.0</v>
      </c>
    </row>
    <row r="723">
      <c r="A723" s="6" t="s">
        <v>3038</v>
      </c>
      <c r="B723" s="6" t="s">
        <v>3038</v>
      </c>
      <c r="C723" s="6" t="s">
        <v>3039</v>
      </c>
      <c r="D723" s="6" t="s">
        <v>3040</v>
      </c>
      <c r="E723" s="6" t="e">
        <v>#N/A</v>
      </c>
      <c r="F723" s="6" t="s">
        <v>3041</v>
      </c>
      <c r="G723" s="6" t="s">
        <v>3042</v>
      </c>
      <c r="H723" s="7" t="s">
        <v>3043</v>
      </c>
      <c r="I723" s="6" t="e">
        <v>#N/A</v>
      </c>
      <c r="J723" s="6" t="e">
        <v>#N/A</v>
      </c>
      <c r="K723" s="6" t="str">
        <f>VLOOKUP(A723,Sheet4!$A:$H,7,0)</f>
        <v>Jersey Fitted Bed sheet</v>
      </c>
      <c r="L723" s="6" t="str">
        <f>VLOOKUP(B723,Sheet4!$A:$H,8,0)</f>
        <v>Bedding</v>
      </c>
      <c r="M723" s="6">
        <v>2989.0</v>
      </c>
      <c r="N723" s="8">
        <v>2699.0</v>
      </c>
      <c r="O723" s="9">
        <v>2699.0</v>
      </c>
      <c r="P723" s="10">
        <v>2540.65</v>
      </c>
    </row>
    <row r="724">
      <c r="A724" s="6" t="s">
        <v>3044</v>
      </c>
      <c r="B724" s="6" t="s">
        <v>3044</v>
      </c>
      <c r="C724" s="6" t="s">
        <v>3045</v>
      </c>
      <c r="D724" s="6" t="s">
        <v>3046</v>
      </c>
      <c r="E724" s="6" t="e">
        <v>#N/A</v>
      </c>
      <c r="F724" s="6" t="s">
        <v>3047</v>
      </c>
      <c r="G724" s="6" t="s">
        <v>3048</v>
      </c>
      <c r="H724" s="7" t="s">
        <v>3049</v>
      </c>
      <c r="I724" s="6" t="e">
        <v>#N/A</v>
      </c>
      <c r="J724" s="6" t="e">
        <v>#N/A</v>
      </c>
      <c r="K724" s="6" t="str">
        <f>VLOOKUP(A724,Sheet4!$A:$H,7,0)</f>
        <v>Satin Pillow Case</v>
      </c>
      <c r="L724" s="6" t="str">
        <f>VLOOKUP(B724,Sheet4!$A:$H,8,0)</f>
        <v>Bedding</v>
      </c>
      <c r="M724" s="6">
        <v>2989.0</v>
      </c>
      <c r="N724" s="8">
        <v>2299.0</v>
      </c>
      <c r="O724" s="9">
        <v>2299.0</v>
      </c>
      <c r="P724" s="10">
        <v>2199.0</v>
      </c>
    </row>
    <row r="725">
      <c r="A725" s="6" t="s">
        <v>3050</v>
      </c>
      <c r="B725" s="6" t="s">
        <v>3050</v>
      </c>
      <c r="C725" s="6" t="s">
        <v>3051</v>
      </c>
      <c r="D725" s="6" t="s">
        <v>3052</v>
      </c>
      <c r="E725" s="6" t="e">
        <v>#N/A</v>
      </c>
      <c r="F725" s="6" t="s">
        <v>3053</v>
      </c>
      <c r="G725" s="6" t="s">
        <v>3054</v>
      </c>
      <c r="H725" s="7" t="s">
        <v>3055</v>
      </c>
      <c r="I725" s="6" t="e">
        <v>#N/A</v>
      </c>
      <c r="J725" s="6" t="e">
        <v>#N/A</v>
      </c>
      <c r="K725" s="6" t="str">
        <f>VLOOKUP(A725,Sheet4!$A:$H,7,0)</f>
        <v>Luxe Comforter</v>
      </c>
      <c r="L725" s="6" t="str">
        <f>VLOOKUP(B725,Sheet4!$A:$H,8,0)</f>
        <v>Bedding</v>
      </c>
      <c r="M725" s="6">
        <v>3599.0</v>
      </c>
      <c r="N725" s="8">
        <v>3059.0</v>
      </c>
      <c r="O725" s="9">
        <v>3299.0</v>
      </c>
      <c r="P725" s="10">
        <v>3059.15</v>
      </c>
    </row>
    <row r="726">
      <c r="A726" s="6" t="s">
        <v>3056</v>
      </c>
      <c r="B726" s="6" t="s">
        <v>3056</v>
      </c>
      <c r="C726" s="6" t="s">
        <v>3057</v>
      </c>
      <c r="D726" s="6" t="s">
        <v>3058</v>
      </c>
      <c r="E726" s="6" t="e">
        <v>#N/A</v>
      </c>
      <c r="F726" s="6" t="s">
        <v>3059</v>
      </c>
      <c r="G726" s="6" t="s">
        <v>3060</v>
      </c>
      <c r="H726" s="7" t="s">
        <v>3061</v>
      </c>
      <c r="I726" s="6" t="e">
        <v>#N/A</v>
      </c>
      <c r="J726" s="6" t="e">
        <v>#N/A</v>
      </c>
      <c r="K726" s="6" t="str">
        <f>VLOOKUP(A726,Sheet4!$A:$H,7,0)</f>
        <v>Summer Luxe Comforter</v>
      </c>
      <c r="L726" s="6" t="str">
        <f>VLOOKUP(B726,Sheet4!$A:$H,8,0)</f>
        <v>Bedding</v>
      </c>
      <c r="M726" s="6">
        <v>5199.0</v>
      </c>
      <c r="N726" s="8">
        <v>4399.0</v>
      </c>
      <c r="O726" s="9">
        <v>4399.0</v>
      </c>
      <c r="P726" s="10">
        <v>4159.2</v>
      </c>
    </row>
    <row r="727">
      <c r="A727" s="6" t="s">
        <v>3062</v>
      </c>
      <c r="B727" s="6" t="s">
        <v>3062</v>
      </c>
      <c r="C727" s="6" t="s">
        <v>3063</v>
      </c>
      <c r="D727" s="6" t="s">
        <v>3064</v>
      </c>
      <c r="E727" s="6" t="e">
        <v>#N/A</v>
      </c>
      <c r="F727" s="6" t="s">
        <v>3065</v>
      </c>
      <c r="G727" s="6" t="s">
        <v>3066</v>
      </c>
      <c r="H727" s="7" t="s">
        <v>3067</v>
      </c>
      <c r="I727" s="6" t="e">
        <v>#N/A</v>
      </c>
      <c r="J727" s="6" t="s">
        <v>3068</v>
      </c>
      <c r="K727" s="6" t="str">
        <f>VLOOKUP(A727,Sheet4!$A:$H,7,0)</f>
        <v>#N/A</v>
      </c>
      <c r="L727" s="6" t="str">
        <f>VLOOKUP(B727,Sheet4!$A:$H,8,0)</f>
        <v>#N/A</v>
      </c>
      <c r="M727" s="6" t="str">
        <f>VLOOKUP(A727,#REF!,2,FALSE)</f>
        <v>#REF!</v>
      </c>
      <c r="N727" s="6" t="str">
        <f>VLOOKUP(A727, Sheet2!A:M, 3, FALSE)</f>
        <v/>
      </c>
      <c r="O727" s="10" t="e">
        <v>#N/A</v>
      </c>
    </row>
    <row r="728">
      <c r="A728" s="6" t="s">
        <v>3069</v>
      </c>
      <c r="B728" s="6" t="s">
        <v>3069</v>
      </c>
      <c r="C728" s="6" t="s">
        <v>3070</v>
      </c>
      <c r="D728" s="6" t="s">
        <v>3071</v>
      </c>
      <c r="E728" s="6" t="e">
        <v>#N/A</v>
      </c>
      <c r="F728" s="6" t="s">
        <v>3072</v>
      </c>
      <c r="G728" s="6" t="s">
        <v>3073</v>
      </c>
      <c r="H728" s="7" t="s">
        <v>3074</v>
      </c>
      <c r="I728" s="6">
        <v>3.1745294E7</v>
      </c>
      <c r="J728" s="6" t="s">
        <v>3075</v>
      </c>
      <c r="K728" s="6" t="str">
        <f>VLOOKUP(A728,Sheet4!$A:$H,7,0)</f>
        <v>Reversible Comforter</v>
      </c>
      <c r="L728" s="6" t="str">
        <f>VLOOKUP(B728,Sheet4!$A:$H,8,0)</f>
        <v>Bedding</v>
      </c>
      <c r="M728" s="6">
        <v>1879.0</v>
      </c>
      <c r="N728" s="8">
        <v>1587.0</v>
      </c>
      <c r="O728" s="9">
        <v>1599.0</v>
      </c>
      <c r="P728" s="10">
        <v>1597.15</v>
      </c>
    </row>
    <row r="729">
      <c r="A729" s="6" t="s">
        <v>3076</v>
      </c>
      <c r="B729" s="6" t="s">
        <v>3076</v>
      </c>
      <c r="C729" s="6" t="s">
        <v>3077</v>
      </c>
      <c r="D729" s="6" t="s">
        <v>3078</v>
      </c>
      <c r="E729" s="6" t="e">
        <v>#N/A</v>
      </c>
      <c r="F729" s="6" t="s">
        <v>3079</v>
      </c>
      <c r="G729" s="6" t="s">
        <v>3080</v>
      </c>
      <c r="H729" s="7" t="s">
        <v>3081</v>
      </c>
      <c r="I729" s="6">
        <v>3.1745296E7</v>
      </c>
      <c r="J729" s="6" t="s">
        <v>3082</v>
      </c>
      <c r="K729" s="6" t="str">
        <f>VLOOKUP(A729,Sheet4!$A:$H,7,0)</f>
        <v>Reversible Comforter</v>
      </c>
      <c r="L729" s="6" t="str">
        <f>VLOOKUP(B729,Sheet4!$A:$H,8,0)</f>
        <v>Bedding</v>
      </c>
      <c r="M729" s="6">
        <v>1879.0</v>
      </c>
      <c r="N729" s="8">
        <v>1587.0</v>
      </c>
      <c r="O729" s="9">
        <v>1599.0</v>
      </c>
      <c r="P729" s="10">
        <v>1597.15</v>
      </c>
    </row>
    <row r="730">
      <c r="A730" s="6" t="s">
        <v>3083</v>
      </c>
      <c r="B730" s="6" t="s">
        <v>3083</v>
      </c>
      <c r="C730" s="6" t="s">
        <v>3084</v>
      </c>
      <c r="D730" s="6" t="s">
        <v>3085</v>
      </c>
      <c r="E730" s="6" t="e">
        <v>#N/A</v>
      </c>
      <c r="F730" s="6" t="s">
        <v>3086</v>
      </c>
      <c r="G730" s="6" t="s">
        <v>3087</v>
      </c>
      <c r="H730" s="7" t="s">
        <v>3088</v>
      </c>
      <c r="I730" s="6">
        <v>3.1745299E7</v>
      </c>
      <c r="J730" s="6" t="e">
        <v>#N/A</v>
      </c>
      <c r="K730" s="6" t="str">
        <f>VLOOKUP(A730,Sheet4!$A:$H,7,0)</f>
        <v>Reversible Comforter</v>
      </c>
      <c r="L730" s="6" t="str">
        <f>VLOOKUP(B730,Sheet4!$A:$H,8,0)</f>
        <v>Bedding</v>
      </c>
      <c r="M730" s="6">
        <v>1879.0</v>
      </c>
      <c r="N730" s="8">
        <v>1587.0</v>
      </c>
      <c r="O730" s="9">
        <v>1599.0</v>
      </c>
      <c r="P730" s="10">
        <v>1597.15</v>
      </c>
    </row>
    <row r="731">
      <c r="A731" s="6" t="s">
        <v>3089</v>
      </c>
      <c r="B731" s="6" t="s">
        <v>3089</v>
      </c>
      <c r="C731" s="6" t="s">
        <v>3090</v>
      </c>
      <c r="D731" s="6" t="s">
        <v>3091</v>
      </c>
      <c r="E731" s="6" t="e">
        <v>#N/A</v>
      </c>
      <c r="F731" s="6" t="s">
        <v>3092</v>
      </c>
      <c r="G731" s="6" t="s">
        <v>3093</v>
      </c>
      <c r="H731" s="7" t="s">
        <v>3094</v>
      </c>
      <c r="I731" s="6">
        <v>3.1745297E7</v>
      </c>
      <c r="J731" s="6" t="s">
        <v>3095</v>
      </c>
      <c r="K731" s="6" t="str">
        <f>VLOOKUP(A731,Sheet4!$A:$H,7,0)</f>
        <v>Reversible Comforter</v>
      </c>
      <c r="L731" s="6" t="str">
        <f>VLOOKUP(B731,Sheet4!$A:$H,8,0)</f>
        <v>Bedding</v>
      </c>
      <c r="M731" s="6">
        <v>1879.0</v>
      </c>
      <c r="N731" s="8">
        <v>1587.0</v>
      </c>
      <c r="O731" s="9">
        <v>1599.0</v>
      </c>
      <c r="P731" s="10">
        <v>1597.15</v>
      </c>
    </row>
    <row r="732">
      <c r="A732" s="6" t="s">
        <v>3096</v>
      </c>
      <c r="B732" s="6" t="s">
        <v>3096</v>
      </c>
      <c r="C732" s="6" t="s">
        <v>3097</v>
      </c>
      <c r="D732" s="6" t="s">
        <v>3098</v>
      </c>
      <c r="E732" s="6" t="e">
        <v>#N/A</v>
      </c>
      <c r="F732" s="6">
        <v>0.0</v>
      </c>
      <c r="G732" s="6" t="s">
        <v>3099</v>
      </c>
      <c r="H732" s="7" t="s">
        <v>3100</v>
      </c>
      <c r="I732" s="6" t="e">
        <v>#N/A</v>
      </c>
      <c r="J732" s="6" t="e">
        <v>#N/A</v>
      </c>
      <c r="K732" s="6" t="str">
        <f>VLOOKUP(A732,Sheet4!$A:$H,7,0)</f>
        <v>Reversible Comforter</v>
      </c>
      <c r="L732" s="6" t="str">
        <f>VLOOKUP(B732,Sheet4!$A:$H,8,0)</f>
        <v>Bedding</v>
      </c>
      <c r="M732" s="6">
        <v>1989.0</v>
      </c>
      <c r="N732" s="8">
        <v>1969.11</v>
      </c>
      <c r="O732" s="9">
        <v>1989.0</v>
      </c>
      <c r="P732" s="10">
        <v>1690.65</v>
      </c>
    </row>
    <row r="733">
      <c r="A733" s="6" t="s">
        <v>3101</v>
      </c>
      <c r="B733" s="6" t="s">
        <v>3101</v>
      </c>
      <c r="C733" s="6" t="s">
        <v>3102</v>
      </c>
      <c r="D733" s="6" t="s">
        <v>3103</v>
      </c>
      <c r="E733" s="6" t="e">
        <v>#N/A</v>
      </c>
      <c r="F733" s="6">
        <v>0.0</v>
      </c>
      <c r="G733" s="6" t="s">
        <v>3104</v>
      </c>
      <c r="H733" s="7" t="s">
        <v>3105</v>
      </c>
      <c r="I733" s="6" t="e">
        <v>#N/A</v>
      </c>
      <c r="J733" s="6" t="e">
        <v>#N/A</v>
      </c>
      <c r="K733" s="6" t="str">
        <f>VLOOKUP(A733,Sheet4!$A:$H,7,0)</f>
        <v>Reversible Comforter</v>
      </c>
      <c r="L733" s="6" t="str">
        <f>VLOOKUP(B733,Sheet4!$A:$H,8,0)</f>
        <v>Bedding</v>
      </c>
      <c r="M733" s="6">
        <v>1989.0</v>
      </c>
      <c r="N733" s="8">
        <v>1969.11</v>
      </c>
      <c r="O733" s="9">
        <v>1989.0</v>
      </c>
      <c r="P733" s="10">
        <v>1690.65</v>
      </c>
    </row>
    <row r="734">
      <c r="A734" s="6" t="s">
        <v>3106</v>
      </c>
      <c r="B734" s="6" t="s">
        <v>3106</v>
      </c>
      <c r="C734" s="6" t="s">
        <v>3107</v>
      </c>
      <c r="D734" s="6" t="s">
        <v>3108</v>
      </c>
      <c r="E734" s="6" t="e">
        <v>#N/A</v>
      </c>
      <c r="F734" s="6">
        <v>0.0</v>
      </c>
      <c r="G734" s="6" t="s">
        <v>3109</v>
      </c>
      <c r="H734" s="7" t="s">
        <v>3110</v>
      </c>
      <c r="I734" s="6" t="e">
        <v>#N/A</v>
      </c>
      <c r="J734" s="6" t="e">
        <v>#N/A</v>
      </c>
      <c r="K734" s="6" t="str">
        <f>VLOOKUP(A734,Sheet4!$A:$H,7,0)</f>
        <v>Reversible Comforter</v>
      </c>
      <c r="L734" s="6" t="str">
        <f>VLOOKUP(B734,Sheet4!$A:$H,8,0)</f>
        <v>Bedding</v>
      </c>
      <c r="M734" s="6">
        <v>1989.0</v>
      </c>
      <c r="N734" s="8">
        <v>1668.0</v>
      </c>
      <c r="O734" s="9">
        <v>1699.0</v>
      </c>
      <c r="P734" s="10">
        <v>1690.65</v>
      </c>
    </row>
    <row r="735">
      <c r="A735" s="6" t="s">
        <v>3111</v>
      </c>
      <c r="B735" s="6" t="s">
        <v>3111</v>
      </c>
      <c r="C735" s="6" t="s">
        <v>3112</v>
      </c>
      <c r="D735" s="6" t="s">
        <v>3113</v>
      </c>
      <c r="E735" s="6" t="e">
        <v>#N/A</v>
      </c>
      <c r="F735" s="6">
        <v>0.0</v>
      </c>
      <c r="G735" s="6" t="s">
        <v>3114</v>
      </c>
      <c r="H735" s="7" t="s">
        <v>3115</v>
      </c>
      <c r="I735" s="6" t="e">
        <v>#N/A</v>
      </c>
      <c r="J735" s="6" t="e">
        <v>#N/A</v>
      </c>
      <c r="K735" s="6" t="str">
        <f>VLOOKUP(A735,Sheet4!$A:$H,7,0)</f>
        <v>Reversible Comforter</v>
      </c>
      <c r="L735" s="6" t="str">
        <f>VLOOKUP(B735,Sheet4!$A:$H,8,0)</f>
        <v>Bedding</v>
      </c>
      <c r="M735" s="6">
        <v>1989.0</v>
      </c>
      <c r="N735" s="8">
        <v>1969.11</v>
      </c>
      <c r="O735" s="9">
        <v>1989.0</v>
      </c>
      <c r="P735" s="10">
        <v>1690.65</v>
      </c>
    </row>
    <row r="736">
      <c r="A736" s="6" t="s">
        <v>3116</v>
      </c>
      <c r="B736" s="6" t="s">
        <v>3116</v>
      </c>
      <c r="C736" s="6" t="s">
        <v>3117</v>
      </c>
      <c r="D736" s="6" t="s">
        <v>3118</v>
      </c>
      <c r="E736" s="6" t="e">
        <v>#N/A</v>
      </c>
      <c r="F736" s="6" t="s">
        <v>3119</v>
      </c>
      <c r="G736" s="6" t="s">
        <v>3120</v>
      </c>
      <c r="H736" s="7" t="s">
        <v>3121</v>
      </c>
      <c r="I736" s="6">
        <v>3.1745302E7</v>
      </c>
      <c r="J736" s="6" t="s">
        <v>3122</v>
      </c>
      <c r="K736" s="6" t="str">
        <f>VLOOKUP(A736,Sheet4!$A:$H,7,0)</f>
        <v>Reversible Comforter</v>
      </c>
      <c r="L736" s="6" t="str">
        <f>VLOOKUP(B736,Sheet4!$A:$H,8,0)</f>
        <v>Bedding</v>
      </c>
      <c r="M736" s="6">
        <v>2489.0</v>
      </c>
      <c r="N736" s="8">
        <v>2098.0</v>
      </c>
      <c r="O736" s="9">
        <v>2099.0</v>
      </c>
      <c r="P736" s="10">
        <v>1999.0</v>
      </c>
    </row>
    <row r="737">
      <c r="A737" s="6" t="s">
        <v>3123</v>
      </c>
      <c r="B737" s="6" t="s">
        <v>3123</v>
      </c>
      <c r="C737" s="6" t="s">
        <v>3124</v>
      </c>
      <c r="D737" s="6" t="s">
        <v>3125</v>
      </c>
      <c r="E737" s="6" t="s">
        <v>3126</v>
      </c>
      <c r="F737" s="6" t="s">
        <v>3127</v>
      </c>
      <c r="G737" s="6" t="s">
        <v>3128</v>
      </c>
      <c r="H737" s="7" t="s">
        <v>3129</v>
      </c>
      <c r="I737" s="6">
        <v>3.1745303E7</v>
      </c>
      <c r="J737" s="6" t="s">
        <v>3130</v>
      </c>
      <c r="K737" s="6" t="str">
        <f>VLOOKUP(A737,Sheet4!$A:$H,7,0)</f>
        <v>Reversible Comforter</v>
      </c>
      <c r="L737" s="6" t="str">
        <f>VLOOKUP(B737,Sheet4!$A:$H,8,0)</f>
        <v>Bedding</v>
      </c>
      <c r="M737" s="6">
        <v>2489.0</v>
      </c>
      <c r="N737" s="8">
        <v>2098.0</v>
      </c>
      <c r="O737" s="9">
        <v>2099.0</v>
      </c>
      <c r="P737" s="10">
        <v>1999.0</v>
      </c>
    </row>
    <row r="738">
      <c r="A738" s="6" t="s">
        <v>3131</v>
      </c>
      <c r="B738" s="6" t="s">
        <v>3131</v>
      </c>
      <c r="C738" s="6" t="s">
        <v>3132</v>
      </c>
      <c r="D738" s="6" t="s">
        <v>3133</v>
      </c>
      <c r="E738" s="6" t="e">
        <v>#N/A</v>
      </c>
      <c r="F738" s="6" t="s">
        <v>3134</v>
      </c>
      <c r="G738" s="6" t="s">
        <v>3135</v>
      </c>
      <c r="H738" s="7" t="s">
        <v>3136</v>
      </c>
      <c r="I738" s="6">
        <v>3.17453E7</v>
      </c>
      <c r="J738" s="6" t="e">
        <v>#N/A</v>
      </c>
      <c r="K738" s="6" t="str">
        <f>VLOOKUP(A738,Sheet4!$A:$H,7,0)</f>
        <v>Reversible Comforter</v>
      </c>
      <c r="L738" s="6" t="str">
        <f>VLOOKUP(B738,Sheet4!$A:$H,8,0)</f>
        <v>Bedding</v>
      </c>
      <c r="M738" s="6">
        <v>2489.0</v>
      </c>
      <c r="N738" s="8">
        <v>2098.0</v>
      </c>
      <c r="O738" s="9">
        <v>2099.0</v>
      </c>
      <c r="P738" s="10">
        <v>1999.0</v>
      </c>
    </row>
    <row r="739">
      <c r="A739" s="6" t="s">
        <v>3137</v>
      </c>
      <c r="B739" s="6" t="s">
        <v>3137</v>
      </c>
      <c r="C739" s="6" t="s">
        <v>3138</v>
      </c>
      <c r="D739" s="6" t="s">
        <v>3139</v>
      </c>
      <c r="E739" s="6" t="e">
        <v>#N/A</v>
      </c>
      <c r="F739" s="6" t="s">
        <v>3140</v>
      </c>
      <c r="G739" s="6" t="s">
        <v>3141</v>
      </c>
      <c r="H739" s="7" t="s">
        <v>3142</v>
      </c>
      <c r="I739" s="6">
        <v>3.1745301E7</v>
      </c>
      <c r="J739" s="6" t="s">
        <v>3143</v>
      </c>
      <c r="K739" s="6" t="str">
        <f>VLOOKUP(A739,Sheet4!$A:$H,7,0)</f>
        <v>Reversible Comforter</v>
      </c>
      <c r="L739" s="6" t="str">
        <f>VLOOKUP(B739,Sheet4!$A:$H,8,0)</f>
        <v>Bedding</v>
      </c>
      <c r="M739" s="6">
        <v>2489.0</v>
      </c>
      <c r="N739" s="8">
        <v>2098.0</v>
      </c>
      <c r="O739" s="9">
        <v>2099.0</v>
      </c>
      <c r="P739" s="10">
        <v>1999.0</v>
      </c>
    </row>
    <row r="740">
      <c r="A740" s="6" t="s">
        <v>3144</v>
      </c>
      <c r="B740" s="6" t="s">
        <v>3144</v>
      </c>
      <c r="C740" s="6" t="s">
        <v>3145</v>
      </c>
      <c r="D740" s="6" t="s">
        <v>3146</v>
      </c>
      <c r="E740" s="6" t="e">
        <v>#N/A</v>
      </c>
      <c r="F740" s="6">
        <v>0.0</v>
      </c>
      <c r="G740" s="6" t="s">
        <v>3147</v>
      </c>
      <c r="H740" s="7" t="s">
        <v>3148</v>
      </c>
      <c r="I740" s="6" t="e">
        <v>#N/A</v>
      </c>
      <c r="J740" s="6" t="e">
        <v>#N/A</v>
      </c>
      <c r="K740" s="6" t="str">
        <f>VLOOKUP(A740,Sheet4!$A:$H,7,0)</f>
        <v>Reversible Comforter</v>
      </c>
      <c r="L740" s="6" t="str">
        <f>VLOOKUP(B740,Sheet4!$A:$H,8,0)</f>
        <v>Bedding</v>
      </c>
      <c r="M740" s="6">
        <v>2689.0</v>
      </c>
      <c r="N740" s="8">
        <v>2268.0</v>
      </c>
      <c r="O740" s="9">
        <v>2299.0</v>
      </c>
      <c r="P740" s="10">
        <v>2285.65</v>
      </c>
    </row>
    <row r="741">
      <c r="A741" s="6" t="s">
        <v>3149</v>
      </c>
      <c r="B741" s="6" t="s">
        <v>3149</v>
      </c>
      <c r="C741" s="6" t="s">
        <v>3150</v>
      </c>
      <c r="D741" s="6" t="s">
        <v>3151</v>
      </c>
      <c r="E741" s="6" t="e">
        <v>#N/A</v>
      </c>
      <c r="F741" s="6">
        <v>0.0</v>
      </c>
      <c r="G741" s="6" t="s">
        <v>3152</v>
      </c>
      <c r="H741" s="7" t="s">
        <v>3153</v>
      </c>
      <c r="I741" s="6" t="e">
        <v>#N/A</v>
      </c>
      <c r="J741" s="6" t="e">
        <v>#N/A</v>
      </c>
      <c r="K741" s="6" t="str">
        <f>VLOOKUP(A741,Sheet4!$A:$H,7,0)</f>
        <v>Reversible Comforter</v>
      </c>
      <c r="L741" s="6" t="str">
        <f>VLOOKUP(B741,Sheet4!$A:$H,8,0)</f>
        <v>Bedding</v>
      </c>
      <c r="M741" s="6">
        <v>2689.0</v>
      </c>
      <c r="N741" s="8">
        <v>2268.0</v>
      </c>
      <c r="O741" s="9">
        <v>2299.0</v>
      </c>
      <c r="P741" s="10">
        <v>2285.65</v>
      </c>
    </row>
    <row r="742">
      <c r="A742" s="6" t="s">
        <v>3154</v>
      </c>
      <c r="B742" s="6" t="s">
        <v>3154</v>
      </c>
      <c r="C742" s="6" t="s">
        <v>3155</v>
      </c>
      <c r="D742" s="6" t="s">
        <v>3156</v>
      </c>
      <c r="E742" s="6" t="e">
        <v>#N/A</v>
      </c>
      <c r="F742" s="6">
        <v>0.0</v>
      </c>
      <c r="G742" s="6" t="s">
        <v>3157</v>
      </c>
      <c r="H742" s="7" t="s">
        <v>3158</v>
      </c>
      <c r="I742" s="6" t="e">
        <v>#N/A</v>
      </c>
      <c r="J742" s="6" t="e">
        <v>#N/A</v>
      </c>
      <c r="K742" s="6" t="str">
        <f>VLOOKUP(A742,Sheet4!$A:$H,7,0)</f>
        <v>Reversible Comforter</v>
      </c>
      <c r="L742" s="6" t="str">
        <f>VLOOKUP(B742,Sheet4!$A:$H,8,0)</f>
        <v>Bedding</v>
      </c>
      <c r="M742" s="6">
        <v>2689.0</v>
      </c>
      <c r="N742" s="8">
        <v>2268.0</v>
      </c>
      <c r="O742" s="9">
        <v>2299.0</v>
      </c>
      <c r="P742" s="10">
        <v>2285.65</v>
      </c>
    </row>
    <row r="743">
      <c r="A743" s="6" t="s">
        <v>3159</v>
      </c>
      <c r="B743" s="6" t="s">
        <v>3159</v>
      </c>
      <c r="C743" s="6" t="s">
        <v>3160</v>
      </c>
      <c r="D743" s="6" t="s">
        <v>3161</v>
      </c>
      <c r="E743" s="6" t="e">
        <v>#N/A</v>
      </c>
      <c r="F743" s="6">
        <v>0.0</v>
      </c>
      <c r="G743" s="6" t="s">
        <v>3162</v>
      </c>
      <c r="H743" s="7" t="s">
        <v>3163</v>
      </c>
      <c r="I743" s="6" t="e">
        <v>#N/A</v>
      </c>
      <c r="J743" s="6" t="e">
        <v>#N/A</v>
      </c>
      <c r="K743" s="6" t="str">
        <f>VLOOKUP(A743,Sheet4!$A:$H,7,0)</f>
        <v>Reversible Comforter</v>
      </c>
      <c r="L743" s="6" t="str">
        <f>VLOOKUP(B743,Sheet4!$A:$H,8,0)</f>
        <v>Bedding</v>
      </c>
      <c r="M743" s="6">
        <v>2689.0</v>
      </c>
      <c r="N743" s="8">
        <v>2268.0</v>
      </c>
      <c r="O743" s="9">
        <v>2299.0</v>
      </c>
      <c r="P743" s="10">
        <v>2285.65</v>
      </c>
    </row>
    <row r="744">
      <c r="A744" s="6" t="s">
        <v>3164</v>
      </c>
      <c r="B744" s="6" t="s">
        <v>3164</v>
      </c>
      <c r="C744" s="6" t="s">
        <v>3165</v>
      </c>
      <c r="D744" s="6" t="s">
        <v>3166</v>
      </c>
      <c r="E744" s="6" t="s">
        <v>3167</v>
      </c>
      <c r="F744" s="6" t="s">
        <v>3164</v>
      </c>
      <c r="G744" s="6" t="s">
        <v>3164</v>
      </c>
      <c r="H744" s="7" t="s">
        <v>3168</v>
      </c>
      <c r="I744" s="6">
        <v>3.1745305E7</v>
      </c>
      <c r="J744" s="6" t="e">
        <v>#N/A</v>
      </c>
      <c r="K744" s="6" t="str">
        <f>VLOOKUP(A744,Sheet4!$A:$H,7,0)</f>
        <v>Winter Comforter</v>
      </c>
      <c r="L744" s="6" t="str">
        <f>VLOOKUP(B744,Sheet4!$A:$H,8,0)</f>
        <v>Bedding</v>
      </c>
      <c r="M744" s="6">
        <v>3989.0</v>
      </c>
      <c r="N744" s="8">
        <v>3391.0</v>
      </c>
      <c r="O744" s="9">
        <v>3399.0</v>
      </c>
      <c r="P744" s="10">
        <v>3191.2</v>
      </c>
    </row>
    <row r="745">
      <c r="A745" s="6" t="s">
        <v>3169</v>
      </c>
      <c r="B745" s="6" t="s">
        <v>3169</v>
      </c>
      <c r="C745" s="6" t="s">
        <v>3170</v>
      </c>
      <c r="D745" s="6" t="s">
        <v>3171</v>
      </c>
      <c r="E745" s="6" t="e">
        <v>#N/A</v>
      </c>
      <c r="F745" s="6" t="s">
        <v>3172</v>
      </c>
      <c r="G745" s="6" t="s">
        <v>3173</v>
      </c>
      <c r="H745" s="7" t="s">
        <v>3174</v>
      </c>
      <c r="I745" s="6" t="e">
        <v>#N/A</v>
      </c>
      <c r="J745" s="6" t="e">
        <v>#N/A</v>
      </c>
      <c r="K745" s="6" t="str">
        <f>VLOOKUP(A745,Sheet4!$A:$H,7,0)</f>
        <v>Muslin Throws</v>
      </c>
      <c r="L745" s="6" t="str">
        <f>VLOOKUP(B745,Sheet4!$A:$H,8,0)</f>
        <v>Bedding</v>
      </c>
      <c r="M745" s="6">
        <v>2999.0</v>
      </c>
      <c r="N745" s="8">
        <v>2599.0</v>
      </c>
      <c r="O745" s="9">
        <v>2599.0</v>
      </c>
      <c r="P745" s="10">
        <v>2549.15</v>
      </c>
    </row>
    <row r="746">
      <c r="A746" s="6" t="s">
        <v>3175</v>
      </c>
      <c r="B746" s="6" t="s">
        <v>3175</v>
      </c>
      <c r="C746" s="6" t="s">
        <v>3176</v>
      </c>
      <c r="D746" s="6" t="s">
        <v>3177</v>
      </c>
      <c r="E746" s="6" t="e">
        <v>#N/A</v>
      </c>
      <c r="F746" s="6" t="s">
        <v>3178</v>
      </c>
      <c r="G746" s="6" t="s">
        <v>3179</v>
      </c>
      <c r="H746" s="7" t="s">
        <v>3180</v>
      </c>
      <c r="I746" s="6" t="e">
        <v>#N/A</v>
      </c>
      <c r="J746" s="6" t="e">
        <v>#N/A</v>
      </c>
      <c r="K746" s="6" t="str">
        <f>VLOOKUP(A746,Sheet4!$A:$H,7,0)</f>
        <v>Muslin Throws</v>
      </c>
      <c r="L746" s="6" t="str">
        <f>VLOOKUP(B746,Sheet4!$A:$H,8,0)</f>
        <v>Bedding</v>
      </c>
      <c r="M746" s="6">
        <v>2999.0</v>
      </c>
      <c r="N746" s="8">
        <v>2599.0</v>
      </c>
      <c r="O746" s="9">
        <v>2599.0</v>
      </c>
      <c r="P746" s="10">
        <v>2549.15</v>
      </c>
    </row>
    <row r="747">
      <c r="A747" s="6" t="s">
        <v>3181</v>
      </c>
      <c r="B747" s="6" t="s">
        <v>3181</v>
      </c>
      <c r="C747" s="6" t="s">
        <v>3182</v>
      </c>
      <c r="D747" s="6" t="s">
        <v>3183</v>
      </c>
      <c r="E747" s="6" t="e">
        <v>#N/A</v>
      </c>
      <c r="F747" s="6" t="s">
        <v>3184</v>
      </c>
      <c r="G747" s="6" t="s">
        <v>3185</v>
      </c>
      <c r="H747" s="7" t="s">
        <v>3186</v>
      </c>
      <c r="I747" s="6" t="e">
        <v>#N/A</v>
      </c>
      <c r="J747" s="6" t="e">
        <v>#N/A</v>
      </c>
      <c r="K747" s="6" t="str">
        <f>VLOOKUP(A747,Sheet4!$A:$H,7,0)</f>
        <v>Muslin Throws</v>
      </c>
      <c r="L747" s="6" t="str">
        <f>VLOOKUP(B747,Sheet4!$A:$H,8,0)</f>
        <v>Bedding</v>
      </c>
      <c r="M747" s="6">
        <v>2999.0</v>
      </c>
      <c r="N747" s="8">
        <v>2599.0</v>
      </c>
      <c r="O747" s="9">
        <v>2599.0</v>
      </c>
      <c r="P747" s="10">
        <v>2549.15</v>
      </c>
    </row>
    <row r="748">
      <c r="A748" s="6" t="s">
        <v>3187</v>
      </c>
      <c r="B748" s="6" t="s">
        <v>3187</v>
      </c>
      <c r="C748" s="6" t="s">
        <v>3188</v>
      </c>
      <c r="D748" s="6" t="s">
        <v>3189</v>
      </c>
      <c r="E748" s="6" t="e">
        <v>#N/A</v>
      </c>
      <c r="F748" s="6" t="s">
        <v>3187</v>
      </c>
      <c r="G748" s="6" t="s">
        <v>3190</v>
      </c>
      <c r="H748" s="7" t="s">
        <v>3191</v>
      </c>
      <c r="I748" s="6" t="e">
        <v>#N/A</v>
      </c>
      <c r="J748" s="6" t="s">
        <v>3192</v>
      </c>
      <c r="K748" s="6" t="str">
        <f>VLOOKUP(A748,Sheet4!$A:$H,7,0)</f>
        <v>Knitted Throw</v>
      </c>
      <c r="L748" s="6" t="str">
        <f>VLOOKUP(B748,Sheet4!$A:$H,8,0)</f>
        <v>Bedding</v>
      </c>
      <c r="M748" s="6">
        <v>2889.0</v>
      </c>
      <c r="N748" s="8">
        <v>2499.0</v>
      </c>
      <c r="O748" s="9">
        <v>2499.0</v>
      </c>
      <c r="P748" s="10">
        <v>2399.0</v>
      </c>
    </row>
    <row r="749">
      <c r="A749" s="6" t="s">
        <v>3193</v>
      </c>
      <c r="B749" s="6" t="s">
        <v>3193</v>
      </c>
      <c r="C749" s="6" t="s">
        <v>3194</v>
      </c>
      <c r="D749" s="6" t="s">
        <v>3195</v>
      </c>
      <c r="E749" s="6" t="e">
        <v>#N/A</v>
      </c>
      <c r="F749" s="6" t="s">
        <v>3193</v>
      </c>
      <c r="G749" s="6" t="s">
        <v>3196</v>
      </c>
      <c r="H749" s="7" t="s">
        <v>3197</v>
      </c>
      <c r="I749" s="6" t="e">
        <v>#N/A</v>
      </c>
      <c r="J749" s="6" t="s">
        <v>3198</v>
      </c>
      <c r="K749" s="6" t="str">
        <f>VLOOKUP(A749,Sheet4!$A:$H,7,0)</f>
        <v>Knitted Throw</v>
      </c>
      <c r="L749" s="6" t="str">
        <f>VLOOKUP(B749,Sheet4!$A:$H,8,0)</f>
        <v>Bedding</v>
      </c>
      <c r="M749" s="6">
        <v>2889.0</v>
      </c>
      <c r="N749" s="8">
        <v>2499.0</v>
      </c>
      <c r="O749" s="9">
        <v>2499.0</v>
      </c>
      <c r="P749" s="10">
        <v>2399.0</v>
      </c>
    </row>
    <row r="750">
      <c r="A750" s="6" t="s">
        <v>3199</v>
      </c>
      <c r="B750" s="6" t="s">
        <v>3199</v>
      </c>
      <c r="C750" s="6" t="s">
        <v>3200</v>
      </c>
      <c r="D750" s="6" t="s">
        <v>3201</v>
      </c>
      <c r="E750" s="6" t="e">
        <v>#N/A</v>
      </c>
      <c r="F750" s="6" t="s">
        <v>3199</v>
      </c>
      <c r="G750" s="6" t="s">
        <v>3202</v>
      </c>
      <c r="H750" s="7" t="s">
        <v>3203</v>
      </c>
      <c r="I750" s="6" t="e">
        <v>#N/A</v>
      </c>
      <c r="J750" s="6" t="s">
        <v>3204</v>
      </c>
      <c r="K750" s="6" t="str">
        <f>VLOOKUP(A750,Sheet4!$A:$H,7,0)</f>
        <v>Pet Bed</v>
      </c>
      <c r="L750" s="6" t="str">
        <f>VLOOKUP(B750,Sheet4!$A:$H,8,0)</f>
        <v>Beds</v>
      </c>
      <c r="M750" s="6">
        <v>2889.0</v>
      </c>
      <c r="N750" s="8">
        <v>2076.0</v>
      </c>
      <c r="O750" s="9">
        <v>2099.0</v>
      </c>
      <c r="P750" s="10">
        <v>2022.3</v>
      </c>
    </row>
    <row r="751">
      <c r="A751" s="6" t="s">
        <v>3205</v>
      </c>
      <c r="B751" s="6" t="s">
        <v>3205</v>
      </c>
      <c r="C751" s="6" t="s">
        <v>3206</v>
      </c>
      <c r="D751" s="6" t="s">
        <v>3207</v>
      </c>
      <c r="E751" s="6" t="e">
        <v>#N/A</v>
      </c>
      <c r="F751" s="6" t="s">
        <v>3208</v>
      </c>
      <c r="G751" s="6" t="s">
        <v>3209</v>
      </c>
      <c r="H751" s="7" t="s">
        <v>3210</v>
      </c>
      <c r="I751" s="6">
        <v>3.181847E7</v>
      </c>
      <c r="J751" s="6" t="e">
        <v>#N/A</v>
      </c>
      <c r="K751" s="6" t="str">
        <f>VLOOKUP(A751,Sheet4!$A:$H,7,0)</f>
        <v>Jersey Fitted Bed sheet</v>
      </c>
      <c r="L751" s="6" t="str">
        <f>VLOOKUP(B751,Sheet4!$A:$H,8,0)</f>
        <v>Bedding</v>
      </c>
      <c r="M751" s="6">
        <v>1389.0</v>
      </c>
      <c r="N751" s="8">
        <v>1249.0</v>
      </c>
      <c r="O751" s="9">
        <v>1299.0</v>
      </c>
      <c r="P751" s="10">
        <v>1180.65</v>
      </c>
    </row>
    <row r="752">
      <c r="A752" s="6" t="s">
        <v>3211</v>
      </c>
      <c r="B752" s="6" t="s">
        <v>3211</v>
      </c>
      <c r="C752" s="6" t="s">
        <v>3212</v>
      </c>
      <c r="D752" s="6" t="s">
        <v>3213</v>
      </c>
      <c r="E752" s="6" t="e">
        <v>#N/A</v>
      </c>
      <c r="F752" s="6" t="s">
        <v>3214</v>
      </c>
      <c r="G752" s="6" t="s">
        <v>3215</v>
      </c>
      <c r="H752" s="7" t="s">
        <v>3216</v>
      </c>
      <c r="I752" s="6">
        <v>3.1818446E7</v>
      </c>
      <c r="J752" s="6" t="e">
        <v>#N/A</v>
      </c>
      <c r="K752" s="6" t="str">
        <f>VLOOKUP(A752,Sheet4!$A:$H,7,0)</f>
        <v>Jersey Fitted Bed sheet</v>
      </c>
      <c r="L752" s="6" t="str">
        <f>VLOOKUP(B752,Sheet4!$A:$H,8,0)</f>
        <v>Bedding</v>
      </c>
      <c r="M752" s="6">
        <v>1389.0</v>
      </c>
      <c r="N752" s="8">
        <v>1249.0</v>
      </c>
      <c r="O752" s="9">
        <v>1299.0</v>
      </c>
      <c r="P752" s="10">
        <v>1180.65</v>
      </c>
    </row>
    <row r="753">
      <c r="A753" s="6" t="s">
        <v>3217</v>
      </c>
      <c r="B753" s="6" t="s">
        <v>3217</v>
      </c>
      <c r="C753" s="6" t="s">
        <v>3218</v>
      </c>
      <c r="D753" s="6" t="s">
        <v>3219</v>
      </c>
      <c r="E753" s="6" t="e">
        <v>#N/A</v>
      </c>
      <c r="F753" s="6" t="s">
        <v>3220</v>
      </c>
      <c r="G753" s="6" t="s">
        <v>3221</v>
      </c>
      <c r="H753" s="7" t="s">
        <v>3222</v>
      </c>
      <c r="I753" s="6">
        <v>3.1818369E7</v>
      </c>
      <c r="J753" s="6" t="e">
        <v>#N/A</v>
      </c>
      <c r="K753" s="6" t="str">
        <f>VLOOKUP(A753,Sheet4!$A:$H,7,0)</f>
        <v>Jersey Fitted BedSheet</v>
      </c>
      <c r="L753" s="6" t="str">
        <f>VLOOKUP(B753,Sheet4!$A:$H,8,0)</f>
        <v>Bedding</v>
      </c>
      <c r="M753" s="6">
        <v>1389.0</v>
      </c>
      <c r="N753" s="8">
        <v>1299.0</v>
      </c>
      <c r="O753" s="9">
        <v>1299.0</v>
      </c>
      <c r="P753" s="10">
        <v>1199.0</v>
      </c>
    </row>
    <row r="754">
      <c r="A754" s="6" t="s">
        <v>3223</v>
      </c>
      <c r="B754" s="6" t="s">
        <v>3223</v>
      </c>
      <c r="C754" s="6" t="s">
        <v>3224</v>
      </c>
      <c r="D754" s="6" t="s">
        <v>3225</v>
      </c>
      <c r="E754" s="6" t="e">
        <v>#N/A</v>
      </c>
      <c r="F754" s="6" t="s">
        <v>3226</v>
      </c>
      <c r="G754" s="6" t="s">
        <v>3227</v>
      </c>
      <c r="H754" s="7" t="s">
        <v>3228</v>
      </c>
      <c r="I754" s="6" t="e">
        <v>#N/A</v>
      </c>
      <c r="J754" s="6" t="e">
        <v>#N/A</v>
      </c>
      <c r="K754" s="6" t="str">
        <f>VLOOKUP(A754,Sheet4!$A:$H,7,0)</f>
        <v>Jersey Fitted Bed sheet</v>
      </c>
      <c r="L754" s="6" t="str">
        <f>VLOOKUP(B754,Sheet4!$A:$H,8,0)</f>
        <v>Bedding</v>
      </c>
      <c r="M754" s="6">
        <v>1389.0</v>
      </c>
      <c r="N754" s="8">
        <v>1249.0</v>
      </c>
      <c r="O754" s="9">
        <v>1299.0</v>
      </c>
      <c r="P754" s="10">
        <v>1180.65</v>
      </c>
    </row>
    <row r="755">
      <c r="A755" s="6" t="s">
        <v>3229</v>
      </c>
      <c r="B755" s="6" t="s">
        <v>3229</v>
      </c>
      <c r="C755" s="6" t="s">
        <v>3230</v>
      </c>
      <c r="D755" s="6" t="s">
        <v>3231</v>
      </c>
      <c r="E755" s="6" t="e">
        <v>#N/A</v>
      </c>
      <c r="F755" s="6" t="s">
        <v>3232</v>
      </c>
      <c r="G755" s="6" t="s">
        <v>3233</v>
      </c>
      <c r="H755" s="7" t="s">
        <v>3234</v>
      </c>
      <c r="I755" s="6">
        <v>3.1818371E7</v>
      </c>
      <c r="J755" s="6" t="e">
        <v>#N/A</v>
      </c>
      <c r="K755" s="6" t="str">
        <f>VLOOKUP(A755,Sheet4!$A:$H,7,0)</f>
        <v>Jersey Fitted Bed sheet</v>
      </c>
      <c r="L755" s="6" t="str">
        <f>VLOOKUP(B755,Sheet4!$A:$H,8,0)</f>
        <v>Bedding</v>
      </c>
      <c r="M755" s="6">
        <v>1889.0</v>
      </c>
      <c r="N755" s="8">
        <v>1699.0</v>
      </c>
      <c r="O755" s="9">
        <v>1699.0</v>
      </c>
      <c r="P755" s="10">
        <v>1605.65</v>
      </c>
    </row>
    <row r="756">
      <c r="A756" s="6" t="s">
        <v>3235</v>
      </c>
      <c r="B756" s="6" t="s">
        <v>3235</v>
      </c>
      <c r="C756" s="6" t="s">
        <v>3236</v>
      </c>
      <c r="D756" s="6" t="s">
        <v>3237</v>
      </c>
      <c r="E756" s="6" t="e">
        <v>#N/A</v>
      </c>
      <c r="F756" s="6" t="s">
        <v>3238</v>
      </c>
      <c r="G756" s="6" t="s">
        <v>3239</v>
      </c>
      <c r="H756" s="7" t="s">
        <v>3240</v>
      </c>
      <c r="I756" s="6">
        <v>3.1818465E7</v>
      </c>
      <c r="J756" s="6" t="e">
        <v>#N/A</v>
      </c>
      <c r="K756" s="6" t="str">
        <f>VLOOKUP(A756,Sheet4!$A:$H,7,0)</f>
        <v>Jersey Fitted Bed sheet</v>
      </c>
      <c r="L756" s="6" t="str">
        <f>VLOOKUP(B756,Sheet4!$A:$H,8,0)</f>
        <v>Bedding</v>
      </c>
      <c r="M756" s="6">
        <v>1889.0</v>
      </c>
      <c r="N756" s="8">
        <v>1699.0</v>
      </c>
      <c r="O756" s="9">
        <v>1699.0</v>
      </c>
      <c r="P756" s="10">
        <v>1605.65</v>
      </c>
    </row>
    <row r="757">
      <c r="A757" s="6" t="s">
        <v>3241</v>
      </c>
      <c r="B757" s="6" t="s">
        <v>3241</v>
      </c>
      <c r="C757" s="6" t="s">
        <v>3242</v>
      </c>
      <c r="D757" s="6" t="s">
        <v>3243</v>
      </c>
      <c r="E757" s="6" t="e">
        <v>#N/A</v>
      </c>
      <c r="F757" s="6" t="s">
        <v>3244</v>
      </c>
      <c r="G757" s="6" t="s">
        <v>3245</v>
      </c>
      <c r="H757" s="7" t="s">
        <v>3246</v>
      </c>
      <c r="I757" s="6">
        <v>3.1818406E7</v>
      </c>
      <c r="J757" s="6" t="e">
        <v>#N/A</v>
      </c>
      <c r="K757" s="6" t="str">
        <f>VLOOKUP(A757,Sheet4!$A:$H,7,0)</f>
        <v>Jersey Fitted Bed sheet</v>
      </c>
      <c r="L757" s="6" t="str">
        <f>VLOOKUP(B757,Sheet4!$A:$H,8,0)</f>
        <v>Bedding</v>
      </c>
      <c r="M757" s="6">
        <v>1889.0</v>
      </c>
      <c r="N757" s="8">
        <v>1699.0</v>
      </c>
      <c r="O757" s="9">
        <v>1699.0</v>
      </c>
      <c r="P757" s="10">
        <v>1605.65</v>
      </c>
    </row>
    <row r="758">
      <c r="A758" s="6" t="s">
        <v>3247</v>
      </c>
      <c r="B758" s="6" t="s">
        <v>3247</v>
      </c>
      <c r="C758" s="6" t="s">
        <v>3248</v>
      </c>
      <c r="D758" s="6" t="s">
        <v>3249</v>
      </c>
      <c r="E758" s="6" t="e">
        <v>#N/A</v>
      </c>
      <c r="F758" s="6" t="s">
        <v>3250</v>
      </c>
      <c r="G758" s="6" t="s">
        <v>3251</v>
      </c>
      <c r="H758" s="7" t="s">
        <v>3252</v>
      </c>
      <c r="I758" s="6">
        <v>3.1818402E7</v>
      </c>
      <c r="J758" s="6" t="e">
        <v>#N/A</v>
      </c>
      <c r="K758" s="6" t="str">
        <f>VLOOKUP(A758,Sheet4!$A:$H,7,0)</f>
        <v>Jersey Fitted Bed sheet</v>
      </c>
      <c r="L758" s="6" t="str">
        <f>VLOOKUP(B758,Sheet4!$A:$H,8,0)</f>
        <v>Bedding</v>
      </c>
      <c r="M758" s="6">
        <v>1889.0</v>
      </c>
      <c r="N758" s="8">
        <v>1699.0</v>
      </c>
      <c r="O758" s="9">
        <v>1699.0</v>
      </c>
      <c r="P758" s="10">
        <v>1605.65</v>
      </c>
    </row>
    <row r="759">
      <c r="A759" s="6" t="s">
        <v>3253</v>
      </c>
      <c r="B759" s="6" t="s">
        <v>3253</v>
      </c>
      <c r="C759" s="6" t="s">
        <v>3254</v>
      </c>
      <c r="D759" s="6" t="s">
        <v>3255</v>
      </c>
      <c r="E759" s="6" t="e">
        <v>#N/A</v>
      </c>
      <c r="F759" s="6" t="s">
        <v>3256</v>
      </c>
      <c r="G759" s="6" t="s">
        <v>3257</v>
      </c>
      <c r="H759" s="7" t="s">
        <v>3258</v>
      </c>
      <c r="I759" s="6">
        <v>3.1818464E7</v>
      </c>
      <c r="J759" s="6" t="e">
        <v>#N/A</v>
      </c>
      <c r="K759" s="6" t="str">
        <f>VLOOKUP(A759,Sheet4!$A:$H,7,0)</f>
        <v>Jersey Fitted Bed sheet</v>
      </c>
      <c r="L759" s="6" t="str">
        <f>VLOOKUP(B759,Sheet4!$A:$H,8,0)</f>
        <v>Bedding</v>
      </c>
      <c r="M759" s="6">
        <v>1989.0</v>
      </c>
      <c r="N759" s="8">
        <v>1799.0</v>
      </c>
      <c r="O759" s="9">
        <v>1799.0</v>
      </c>
      <c r="P759" s="10">
        <v>1690.65</v>
      </c>
    </row>
    <row r="760">
      <c r="A760" s="6" t="s">
        <v>3259</v>
      </c>
      <c r="B760" s="6" t="s">
        <v>3259</v>
      </c>
      <c r="C760" s="6" t="s">
        <v>3260</v>
      </c>
      <c r="D760" s="6" t="s">
        <v>3261</v>
      </c>
      <c r="E760" s="6" t="e">
        <v>#N/A</v>
      </c>
      <c r="F760" s="6" t="s">
        <v>3262</v>
      </c>
      <c r="G760" s="6" t="s">
        <v>3263</v>
      </c>
      <c r="H760" s="7" t="s">
        <v>3264</v>
      </c>
      <c r="I760" s="6" t="e">
        <v>#N/A</v>
      </c>
      <c r="J760" s="6" t="e">
        <v>#N/A</v>
      </c>
      <c r="K760" s="6" t="str">
        <f>VLOOKUP(A760,Sheet4!$A:$H,7,0)</f>
        <v>Jersey Fitted Bed sheet</v>
      </c>
      <c r="L760" s="6" t="str">
        <f>VLOOKUP(B760,Sheet4!$A:$H,8,0)</f>
        <v>Bedding</v>
      </c>
      <c r="M760" s="6">
        <v>1989.0</v>
      </c>
      <c r="N760" s="8">
        <v>1799.0</v>
      </c>
      <c r="O760" s="9">
        <v>1799.0</v>
      </c>
      <c r="P760" s="10">
        <v>1690.65</v>
      </c>
    </row>
    <row r="761">
      <c r="A761" s="6" t="s">
        <v>3265</v>
      </c>
      <c r="B761" s="6" t="s">
        <v>3265</v>
      </c>
      <c r="C761" s="6" t="s">
        <v>3266</v>
      </c>
      <c r="D761" s="6" t="s">
        <v>3267</v>
      </c>
      <c r="E761" s="6" t="e">
        <v>#N/A</v>
      </c>
      <c r="F761" s="6" t="s">
        <v>3268</v>
      </c>
      <c r="G761" s="6" t="s">
        <v>3269</v>
      </c>
      <c r="H761" s="7" t="s">
        <v>3270</v>
      </c>
      <c r="I761" s="6">
        <v>3.1818394E7</v>
      </c>
      <c r="J761" s="6" t="e">
        <v>#N/A</v>
      </c>
      <c r="K761" s="6" t="str">
        <f>VLOOKUP(A761,Sheet4!$A:$H,7,0)</f>
        <v>Jersey Fitted Bed sheet</v>
      </c>
      <c r="L761" s="6" t="str">
        <f>VLOOKUP(B761,Sheet4!$A:$H,8,0)</f>
        <v>Bedding</v>
      </c>
      <c r="M761" s="6">
        <v>1989.0</v>
      </c>
      <c r="N761" s="8">
        <v>1799.0</v>
      </c>
      <c r="O761" s="9">
        <v>1799.0</v>
      </c>
      <c r="P761" s="10">
        <v>1690.65</v>
      </c>
    </row>
    <row r="762">
      <c r="A762" s="6" t="s">
        <v>3271</v>
      </c>
      <c r="B762" s="6" t="s">
        <v>3271</v>
      </c>
      <c r="C762" s="6" t="s">
        <v>3272</v>
      </c>
      <c r="D762" s="6" t="s">
        <v>3273</v>
      </c>
      <c r="E762" s="6" t="e">
        <v>#N/A</v>
      </c>
      <c r="F762" s="6" t="s">
        <v>3274</v>
      </c>
      <c r="G762" s="6" t="s">
        <v>3275</v>
      </c>
      <c r="H762" s="7" t="s">
        <v>3276</v>
      </c>
      <c r="I762" s="6">
        <v>3.1818398E7</v>
      </c>
      <c r="J762" s="6" t="e">
        <v>#N/A</v>
      </c>
      <c r="K762" s="6" t="str">
        <f>VLOOKUP(A762,Sheet4!$A:$H,7,0)</f>
        <v>Jersey Fitted Bed sheet</v>
      </c>
      <c r="L762" s="6" t="str">
        <f>VLOOKUP(B762,Sheet4!$A:$H,8,0)</f>
        <v>Bedding</v>
      </c>
      <c r="M762" s="6">
        <v>1989.0</v>
      </c>
      <c r="N762" s="8">
        <v>1799.0</v>
      </c>
      <c r="O762" s="9">
        <v>1799.0</v>
      </c>
      <c r="P762" s="10">
        <v>1690.65</v>
      </c>
    </row>
    <row r="763">
      <c r="A763" s="6" t="s">
        <v>3277</v>
      </c>
      <c r="B763" s="6" t="s">
        <v>3277</v>
      </c>
      <c r="C763" s="6" t="s">
        <v>3278</v>
      </c>
      <c r="D763" s="6" t="s">
        <v>3279</v>
      </c>
      <c r="E763" s="6" t="e">
        <v>#N/A</v>
      </c>
      <c r="F763" s="6" t="s">
        <v>3280</v>
      </c>
      <c r="G763" s="6" t="s">
        <v>3281</v>
      </c>
      <c r="H763" s="7" t="s">
        <v>3282</v>
      </c>
      <c r="I763" s="6">
        <v>3.1818445E7</v>
      </c>
      <c r="J763" s="6" t="e">
        <v>#N/A</v>
      </c>
      <c r="K763" s="6" t="str">
        <f>VLOOKUP(A763,Sheet4!$A:$H,7,0)</f>
        <v>Jersey Fitted Bed sheet</v>
      </c>
      <c r="L763" s="6" t="str">
        <f>VLOOKUP(B763,Sheet4!$A:$H,8,0)</f>
        <v>Bedding</v>
      </c>
      <c r="M763" s="6">
        <v>1989.0</v>
      </c>
      <c r="N763" s="8">
        <v>1799.0</v>
      </c>
      <c r="O763" s="9">
        <v>1799.0</v>
      </c>
      <c r="P763" s="10">
        <v>1690.65</v>
      </c>
    </row>
    <row r="764">
      <c r="A764" s="6" t="s">
        <v>3283</v>
      </c>
      <c r="B764" s="6" t="s">
        <v>3283</v>
      </c>
      <c r="C764" s="6" t="s">
        <v>3284</v>
      </c>
      <c r="D764" s="6" t="s">
        <v>3285</v>
      </c>
      <c r="E764" s="6" t="e">
        <v>#N/A</v>
      </c>
      <c r="F764" s="6" t="s">
        <v>3286</v>
      </c>
      <c r="G764" s="6" t="s">
        <v>3287</v>
      </c>
      <c r="H764" s="7" t="s">
        <v>3288</v>
      </c>
      <c r="I764" s="6">
        <v>3.181845E7</v>
      </c>
      <c r="J764" s="6" t="e">
        <v>#N/A</v>
      </c>
      <c r="K764" s="6" t="str">
        <f>VLOOKUP(A764,Sheet4!$A:$H,7,0)</f>
        <v>Jersey Fitted Bed sheet</v>
      </c>
      <c r="L764" s="6" t="str">
        <f>VLOOKUP(B764,Sheet4!$A:$H,8,0)</f>
        <v>Bedding</v>
      </c>
      <c r="M764" s="6">
        <v>1989.0</v>
      </c>
      <c r="N764" s="8">
        <v>1799.0</v>
      </c>
      <c r="O764" s="9">
        <v>1799.0</v>
      </c>
      <c r="P764" s="10">
        <v>1690.65</v>
      </c>
    </row>
    <row r="765">
      <c r="A765" s="6" t="s">
        <v>3289</v>
      </c>
      <c r="B765" s="6" t="s">
        <v>3289</v>
      </c>
      <c r="C765" s="6" t="s">
        <v>3290</v>
      </c>
      <c r="D765" s="6" t="s">
        <v>3291</v>
      </c>
      <c r="E765" s="6" t="e">
        <v>#N/A</v>
      </c>
      <c r="F765" s="6" t="s">
        <v>3292</v>
      </c>
      <c r="G765" s="6" t="s">
        <v>3293</v>
      </c>
      <c r="H765" s="7" t="s">
        <v>3294</v>
      </c>
      <c r="I765" s="6">
        <v>3.1818396E7</v>
      </c>
      <c r="J765" s="6" t="e">
        <v>#N/A</v>
      </c>
      <c r="K765" s="6" t="str">
        <f>VLOOKUP(A765,Sheet4!$A:$H,7,0)</f>
        <v>Jersey Fitted Bed sheet</v>
      </c>
      <c r="L765" s="6" t="str">
        <f>VLOOKUP(B765,Sheet4!$A:$H,8,0)</f>
        <v>Bedding</v>
      </c>
      <c r="M765" s="6">
        <v>1989.0</v>
      </c>
      <c r="N765" s="8">
        <v>1799.0</v>
      </c>
      <c r="O765" s="9">
        <v>1799.0</v>
      </c>
      <c r="P765" s="10">
        <v>1690.65</v>
      </c>
    </row>
    <row r="766">
      <c r="A766" s="6" t="s">
        <v>3295</v>
      </c>
      <c r="B766" s="6" t="s">
        <v>3295</v>
      </c>
      <c r="C766" s="6" t="s">
        <v>3296</v>
      </c>
      <c r="D766" s="6" t="s">
        <v>3297</v>
      </c>
      <c r="E766" s="6" t="e">
        <v>#N/A</v>
      </c>
      <c r="F766" s="6" t="s">
        <v>3298</v>
      </c>
      <c r="G766" s="6" t="s">
        <v>3299</v>
      </c>
      <c r="H766" s="7" t="s">
        <v>3300</v>
      </c>
      <c r="I766" s="6">
        <v>3.1818382E7</v>
      </c>
      <c r="J766" s="6" t="e">
        <v>#N/A</v>
      </c>
      <c r="K766" s="6" t="str">
        <f>VLOOKUP(A766,Sheet4!$A:$H,7,0)</f>
        <v>Jersey Fitted Bed sheet</v>
      </c>
      <c r="L766" s="6" t="str">
        <f>VLOOKUP(B766,Sheet4!$A:$H,8,0)</f>
        <v>Bedding</v>
      </c>
      <c r="M766" s="6">
        <v>1989.0</v>
      </c>
      <c r="N766" s="8">
        <v>1799.0</v>
      </c>
      <c r="O766" s="9">
        <v>1799.0</v>
      </c>
      <c r="P766" s="10">
        <v>1690.65</v>
      </c>
    </row>
    <row r="767">
      <c r="A767" s="6" t="s">
        <v>3301</v>
      </c>
      <c r="B767" s="6" t="s">
        <v>3301</v>
      </c>
      <c r="C767" s="6" t="s">
        <v>3302</v>
      </c>
      <c r="D767" s="6" t="s">
        <v>3303</v>
      </c>
      <c r="E767" s="6" t="e">
        <v>#N/A</v>
      </c>
      <c r="F767" s="6" t="s">
        <v>3304</v>
      </c>
      <c r="G767" s="6" t="s">
        <v>3305</v>
      </c>
      <c r="H767" s="7" t="s">
        <v>3306</v>
      </c>
      <c r="I767" s="6">
        <v>3.1818361E7</v>
      </c>
      <c r="J767" s="6" t="e">
        <v>#N/A</v>
      </c>
      <c r="K767" s="6" t="str">
        <f>VLOOKUP(A767,Sheet4!$A:$H,7,0)</f>
        <v>Jersey Fitted Bed sheet</v>
      </c>
      <c r="L767" s="6" t="str">
        <f>VLOOKUP(B767,Sheet4!$A:$H,8,0)</f>
        <v>Bedding</v>
      </c>
      <c r="M767" s="6">
        <v>1989.0</v>
      </c>
      <c r="N767" s="8">
        <v>1799.0</v>
      </c>
      <c r="O767" s="9">
        <v>1799.0</v>
      </c>
      <c r="P767" s="10">
        <v>1690.65</v>
      </c>
    </row>
    <row r="768">
      <c r="A768" s="6" t="s">
        <v>3307</v>
      </c>
      <c r="B768" s="6" t="s">
        <v>3307</v>
      </c>
      <c r="C768" s="6" t="s">
        <v>3308</v>
      </c>
      <c r="D768" s="6" t="s">
        <v>3309</v>
      </c>
      <c r="E768" s="6" t="e">
        <v>#N/A</v>
      </c>
      <c r="F768" s="6" t="s">
        <v>3310</v>
      </c>
      <c r="G768" s="6" t="s">
        <v>3311</v>
      </c>
      <c r="H768" s="7" t="s">
        <v>3312</v>
      </c>
      <c r="I768" s="6">
        <v>3.1818392E7</v>
      </c>
      <c r="J768" s="6" t="e">
        <v>#N/A</v>
      </c>
      <c r="K768" s="6" t="str">
        <f>VLOOKUP(A768,Sheet4!$A:$H,7,0)</f>
        <v>Jersey Fitted Bed sheet</v>
      </c>
      <c r="L768" s="6" t="str">
        <f>VLOOKUP(B768,Sheet4!$A:$H,8,0)</f>
        <v>Bedding</v>
      </c>
      <c r="M768" s="6">
        <v>1989.0</v>
      </c>
      <c r="N768" s="8">
        <v>1799.0</v>
      </c>
      <c r="O768" s="9">
        <v>1799.0</v>
      </c>
      <c r="P768" s="10">
        <v>1690.65</v>
      </c>
    </row>
    <row r="769">
      <c r="A769" s="6" t="s">
        <v>3313</v>
      </c>
      <c r="B769" s="6" t="s">
        <v>3313</v>
      </c>
      <c r="C769" s="6" t="s">
        <v>3314</v>
      </c>
      <c r="D769" s="6" t="s">
        <v>3315</v>
      </c>
      <c r="E769" s="6" t="e">
        <v>#N/A</v>
      </c>
      <c r="F769" s="6" t="s">
        <v>3316</v>
      </c>
      <c r="G769" s="6" t="s">
        <v>3317</v>
      </c>
      <c r="H769" s="7" t="s">
        <v>3318</v>
      </c>
      <c r="I769" s="6" t="e">
        <v>#N/A</v>
      </c>
      <c r="J769" s="6" t="e">
        <v>#N/A</v>
      </c>
      <c r="K769" s="6" t="str">
        <f>VLOOKUP(A769,Sheet4!$A:$H,7,0)</f>
        <v>Jersey Fitted BedSheet</v>
      </c>
      <c r="L769" s="6" t="str">
        <f>VLOOKUP(B769,Sheet4!$A:$H,8,0)</f>
        <v>Bedding</v>
      </c>
      <c r="M769" s="6">
        <v>1989.0</v>
      </c>
      <c r="N769" s="8">
        <v>1799.0</v>
      </c>
      <c r="O769" s="9">
        <v>1799.0</v>
      </c>
      <c r="P769" s="10">
        <v>1699.0</v>
      </c>
    </row>
    <row r="770">
      <c r="A770" s="6" t="s">
        <v>3319</v>
      </c>
      <c r="B770" s="6" t="s">
        <v>3319</v>
      </c>
      <c r="C770" s="6" t="s">
        <v>3320</v>
      </c>
      <c r="D770" s="6" t="s">
        <v>3321</v>
      </c>
      <c r="E770" s="6" t="e">
        <v>#N/A</v>
      </c>
      <c r="F770" s="6" t="s">
        <v>3322</v>
      </c>
      <c r="G770" s="6" t="s">
        <v>3323</v>
      </c>
      <c r="H770" s="7" t="s">
        <v>3324</v>
      </c>
      <c r="I770" s="6">
        <v>3.1818442E7</v>
      </c>
      <c r="J770" s="6" t="e">
        <v>#N/A</v>
      </c>
      <c r="K770" s="6" t="str">
        <f>VLOOKUP(A770,Sheet4!$A:$H,7,0)</f>
        <v>Jersey Fitted Bed sheet</v>
      </c>
      <c r="L770" s="6" t="str">
        <f>VLOOKUP(B770,Sheet4!$A:$H,8,0)</f>
        <v>Bedding</v>
      </c>
      <c r="M770" s="6">
        <v>1989.0</v>
      </c>
      <c r="N770" s="8">
        <v>1799.0</v>
      </c>
      <c r="O770" s="9">
        <v>1799.0</v>
      </c>
      <c r="P770" s="10">
        <v>1690.65</v>
      </c>
    </row>
    <row r="771">
      <c r="A771" s="6" t="s">
        <v>3325</v>
      </c>
      <c r="B771" s="6" t="s">
        <v>3325</v>
      </c>
      <c r="C771" s="6" t="s">
        <v>3326</v>
      </c>
      <c r="D771" s="6" t="s">
        <v>3327</v>
      </c>
      <c r="E771" s="6" t="e">
        <v>#N/A</v>
      </c>
      <c r="F771" s="6" t="s">
        <v>3328</v>
      </c>
      <c r="G771" s="6" t="s">
        <v>3329</v>
      </c>
      <c r="H771" s="7" t="s">
        <v>3330</v>
      </c>
      <c r="I771" s="6">
        <v>3.1818429E7</v>
      </c>
      <c r="J771" s="6" t="e">
        <v>#N/A</v>
      </c>
      <c r="K771" s="6" t="str">
        <f>VLOOKUP(A771,Sheet4!$A:$H,7,0)</f>
        <v>Jersey Fitted Bed sheet</v>
      </c>
      <c r="L771" s="6" t="str">
        <f>VLOOKUP(B771,Sheet4!$A:$H,8,0)</f>
        <v>Bedding</v>
      </c>
      <c r="M771" s="6">
        <v>2189.0</v>
      </c>
      <c r="N771" s="8">
        <v>1999.0</v>
      </c>
      <c r="O771" s="9">
        <v>1999.0</v>
      </c>
      <c r="P771" s="10">
        <v>1860.65</v>
      </c>
    </row>
    <row r="772">
      <c r="A772" s="6" t="s">
        <v>3331</v>
      </c>
      <c r="B772" s="6" t="s">
        <v>3331</v>
      </c>
      <c r="C772" s="6" t="s">
        <v>3332</v>
      </c>
      <c r="D772" s="6" t="s">
        <v>3333</v>
      </c>
      <c r="E772" s="6" t="e">
        <v>#N/A</v>
      </c>
      <c r="F772" s="6" t="s">
        <v>3334</v>
      </c>
      <c r="G772" s="6" t="s">
        <v>3335</v>
      </c>
      <c r="H772" s="7" t="s">
        <v>3336</v>
      </c>
      <c r="I772" s="6">
        <v>3.1818387E7</v>
      </c>
      <c r="J772" s="6" t="e">
        <v>#N/A</v>
      </c>
      <c r="K772" s="6" t="str">
        <f>VLOOKUP(A772,Sheet4!$A:$H,7,0)</f>
        <v>Jersey Fitted Bed sheet</v>
      </c>
      <c r="L772" s="6" t="str">
        <f>VLOOKUP(B772,Sheet4!$A:$H,8,0)</f>
        <v>Bedding</v>
      </c>
      <c r="M772" s="6">
        <v>2189.0</v>
      </c>
      <c r="N772" s="8">
        <v>1999.0</v>
      </c>
      <c r="O772" s="9">
        <v>1999.0</v>
      </c>
      <c r="P772" s="10">
        <v>1860.65</v>
      </c>
    </row>
    <row r="773">
      <c r="A773" s="6" t="s">
        <v>3337</v>
      </c>
      <c r="B773" s="6" t="s">
        <v>3337</v>
      </c>
      <c r="C773" s="6" t="s">
        <v>3338</v>
      </c>
      <c r="D773" s="6" t="s">
        <v>3339</v>
      </c>
      <c r="E773" s="6" t="e">
        <v>#N/A</v>
      </c>
      <c r="F773" s="6" t="s">
        <v>3340</v>
      </c>
      <c r="G773" s="6" t="s">
        <v>3341</v>
      </c>
      <c r="H773" s="7" t="s">
        <v>3342</v>
      </c>
      <c r="I773" s="6" t="e">
        <v>#N/A</v>
      </c>
      <c r="J773" s="6" t="e">
        <v>#N/A</v>
      </c>
      <c r="K773" s="6" t="str">
        <f>VLOOKUP(A773,Sheet4!$A:$H,7,0)</f>
        <v>Jersey Fitted BedSheet</v>
      </c>
      <c r="L773" s="6" t="str">
        <f>VLOOKUP(B773,Sheet4!$A:$H,8,0)</f>
        <v>Bedding</v>
      </c>
      <c r="M773" s="6">
        <v>2189.0</v>
      </c>
      <c r="N773" s="8">
        <v>1999.0</v>
      </c>
      <c r="O773" s="9">
        <v>1999.0</v>
      </c>
      <c r="P773" s="10">
        <v>1899.0</v>
      </c>
    </row>
    <row r="774">
      <c r="A774" s="6" t="s">
        <v>3343</v>
      </c>
      <c r="B774" s="6" t="s">
        <v>3343</v>
      </c>
      <c r="C774" s="6" t="s">
        <v>3344</v>
      </c>
      <c r="D774" s="6" t="s">
        <v>3345</v>
      </c>
      <c r="E774" s="6" t="e">
        <v>#N/A</v>
      </c>
      <c r="F774" s="6" t="s">
        <v>3346</v>
      </c>
      <c r="G774" s="6" t="s">
        <v>3347</v>
      </c>
      <c r="H774" s="7" t="s">
        <v>3348</v>
      </c>
      <c r="I774" s="6">
        <v>3.1818476E7</v>
      </c>
      <c r="J774" s="6" t="e">
        <v>#N/A</v>
      </c>
      <c r="K774" s="6" t="str">
        <f>VLOOKUP(A774,Sheet4!$A:$H,7,0)</f>
        <v>Jersey Fitted Bed sheet</v>
      </c>
      <c r="L774" s="6" t="str">
        <f>VLOOKUP(B774,Sheet4!$A:$H,8,0)</f>
        <v>Bedding</v>
      </c>
      <c r="M774" s="6">
        <v>2189.0</v>
      </c>
      <c r="N774" s="8">
        <v>1999.0</v>
      </c>
      <c r="O774" s="9">
        <v>1999.0</v>
      </c>
      <c r="P774" s="10">
        <v>1860.65</v>
      </c>
    </row>
    <row r="775">
      <c r="A775" s="6" t="s">
        <v>3349</v>
      </c>
      <c r="B775" s="6" t="s">
        <v>3349</v>
      </c>
      <c r="C775" s="6" t="s">
        <v>3350</v>
      </c>
      <c r="D775" s="6" t="s">
        <v>3351</v>
      </c>
      <c r="E775" s="6" t="e">
        <v>#N/A</v>
      </c>
      <c r="F775" s="6" t="s">
        <v>3352</v>
      </c>
      <c r="G775" s="6" t="s">
        <v>3353</v>
      </c>
      <c r="H775" s="7" t="s">
        <v>3354</v>
      </c>
      <c r="I775" s="6">
        <v>3.1818373E7</v>
      </c>
      <c r="J775" s="6" t="e">
        <v>#N/A</v>
      </c>
      <c r="K775" s="6" t="str">
        <f>VLOOKUP(A775,Sheet4!$A:$H,7,0)</f>
        <v>Jersey Fitted Bed sheet</v>
      </c>
      <c r="L775" s="6" t="str">
        <f>VLOOKUP(B775,Sheet4!$A:$H,8,0)</f>
        <v>Bedding</v>
      </c>
      <c r="M775" s="6">
        <v>2189.0</v>
      </c>
      <c r="N775" s="8">
        <v>1999.0</v>
      </c>
      <c r="O775" s="9">
        <v>1999.0</v>
      </c>
      <c r="P775" s="10">
        <v>1860.65</v>
      </c>
    </row>
    <row r="776">
      <c r="A776" s="6" t="s">
        <v>3355</v>
      </c>
      <c r="B776" s="6" t="s">
        <v>3355</v>
      </c>
      <c r="C776" s="6" t="s">
        <v>3356</v>
      </c>
      <c r="D776" s="6" t="s">
        <v>3357</v>
      </c>
      <c r="E776" s="6" t="e">
        <v>#N/A</v>
      </c>
      <c r="F776" s="6" t="s">
        <v>3358</v>
      </c>
      <c r="G776" s="6" t="s">
        <v>3359</v>
      </c>
      <c r="H776" s="7" t="s">
        <v>3360</v>
      </c>
      <c r="I776" s="6">
        <v>3.1818438E7</v>
      </c>
      <c r="J776" s="6" t="e">
        <v>#N/A</v>
      </c>
      <c r="K776" s="6" t="str">
        <f>VLOOKUP(A776,Sheet4!$A:$H,7,0)</f>
        <v>Jersey Fitted Bed sheet</v>
      </c>
      <c r="L776" s="6" t="str">
        <f>VLOOKUP(B776,Sheet4!$A:$H,8,0)</f>
        <v>Bedding</v>
      </c>
      <c r="M776" s="6">
        <v>2189.0</v>
      </c>
      <c r="N776" s="8">
        <v>1999.0</v>
      </c>
      <c r="O776" s="9">
        <v>1999.0</v>
      </c>
      <c r="P776" s="10">
        <v>1860.65</v>
      </c>
    </row>
    <row r="777">
      <c r="A777" s="6" t="s">
        <v>3361</v>
      </c>
      <c r="B777" s="6" t="s">
        <v>3361</v>
      </c>
      <c r="C777" s="6" t="s">
        <v>3362</v>
      </c>
      <c r="D777" s="6" t="s">
        <v>3363</v>
      </c>
      <c r="E777" s="6" t="e">
        <v>#N/A</v>
      </c>
      <c r="F777" s="6" t="s">
        <v>3364</v>
      </c>
      <c r="G777" s="6" t="s">
        <v>3365</v>
      </c>
      <c r="H777" s="7" t="s">
        <v>3366</v>
      </c>
      <c r="I777" s="6" t="e">
        <v>#N/A</v>
      </c>
      <c r="J777" s="6" t="e">
        <v>#N/A</v>
      </c>
      <c r="K777" s="6" t="str">
        <f>VLOOKUP(A777,Sheet4!$A:$H,7,0)</f>
        <v>Jersey Fitted Bed sheet</v>
      </c>
      <c r="L777" s="6" t="str">
        <f>VLOOKUP(B777,Sheet4!$A:$H,8,0)</f>
        <v>Bedding</v>
      </c>
      <c r="M777" s="6">
        <v>2189.0</v>
      </c>
      <c r="N777" s="8">
        <v>1999.0</v>
      </c>
      <c r="O777" s="9">
        <v>1999.0</v>
      </c>
      <c r="P777" s="10">
        <v>1860.65</v>
      </c>
    </row>
    <row r="778">
      <c r="A778" s="6" t="s">
        <v>3367</v>
      </c>
      <c r="B778" s="6" t="s">
        <v>3367</v>
      </c>
      <c r="C778" s="6" t="s">
        <v>3368</v>
      </c>
      <c r="D778" s="6" t="s">
        <v>3369</v>
      </c>
      <c r="E778" s="6" t="e">
        <v>#N/A</v>
      </c>
      <c r="F778" s="6" t="s">
        <v>3370</v>
      </c>
      <c r="G778" s="6" t="s">
        <v>3371</v>
      </c>
      <c r="H778" s="7" t="s">
        <v>3372</v>
      </c>
      <c r="I778" s="6">
        <v>3.1818407E7</v>
      </c>
      <c r="J778" s="6" t="e">
        <v>#N/A</v>
      </c>
      <c r="K778" s="6" t="str">
        <f>VLOOKUP(A778,Sheet4!$A:$H,7,0)</f>
        <v>Jersey Fitted Bed sheet</v>
      </c>
      <c r="L778" s="6" t="str">
        <f>VLOOKUP(B778,Sheet4!$A:$H,8,0)</f>
        <v>Bedding</v>
      </c>
      <c r="M778" s="6">
        <v>2189.0</v>
      </c>
      <c r="N778" s="8">
        <v>1999.0</v>
      </c>
      <c r="O778" s="9">
        <v>1999.0</v>
      </c>
      <c r="P778" s="10">
        <v>1860.65</v>
      </c>
    </row>
    <row r="779">
      <c r="A779" s="6" t="s">
        <v>3373</v>
      </c>
      <c r="B779" s="6" t="s">
        <v>3373</v>
      </c>
      <c r="C779" s="6" t="s">
        <v>3374</v>
      </c>
      <c r="D779" s="6" t="s">
        <v>3375</v>
      </c>
      <c r="E779" s="6" t="e">
        <v>#N/A</v>
      </c>
      <c r="F779" s="6" t="s">
        <v>3376</v>
      </c>
      <c r="G779" s="6" t="s">
        <v>3377</v>
      </c>
      <c r="H779" s="7" t="s">
        <v>3378</v>
      </c>
      <c r="I779" s="6">
        <v>3.1818379E7</v>
      </c>
      <c r="J779" s="6" t="e">
        <v>#N/A</v>
      </c>
      <c r="K779" s="6" t="str">
        <f>VLOOKUP(A779,Sheet4!$A:$H,7,0)</f>
        <v>Jersey Fitted Bed sheet</v>
      </c>
      <c r="L779" s="6" t="str">
        <f>VLOOKUP(B779,Sheet4!$A:$H,8,0)</f>
        <v>Bedding</v>
      </c>
      <c r="M779" s="6">
        <v>2189.0</v>
      </c>
      <c r="N779" s="8">
        <v>1999.0</v>
      </c>
      <c r="O779" s="9">
        <v>1999.0</v>
      </c>
      <c r="P779" s="10">
        <v>1860.65</v>
      </c>
    </row>
    <row r="780">
      <c r="A780" s="6" t="s">
        <v>3379</v>
      </c>
      <c r="B780" s="6" t="s">
        <v>3379</v>
      </c>
      <c r="C780" s="6" t="s">
        <v>3380</v>
      </c>
      <c r="D780" s="6" t="s">
        <v>3381</v>
      </c>
      <c r="E780" s="6" t="e">
        <v>#N/A</v>
      </c>
      <c r="F780" s="6" t="s">
        <v>3382</v>
      </c>
      <c r="G780" s="6" t="s">
        <v>3383</v>
      </c>
      <c r="H780" s="7" t="s">
        <v>3384</v>
      </c>
      <c r="I780" s="6">
        <v>3.1818425E7</v>
      </c>
      <c r="J780" s="6" t="e">
        <v>#N/A</v>
      </c>
      <c r="K780" s="6" t="str">
        <f>VLOOKUP(A780,Sheet4!$A:$H,7,0)</f>
        <v>Jersey Fitted Bed sheet</v>
      </c>
      <c r="L780" s="6" t="str">
        <f>VLOOKUP(B780,Sheet4!$A:$H,8,0)</f>
        <v>Bedding</v>
      </c>
      <c r="M780" s="6">
        <v>2189.0</v>
      </c>
      <c r="N780" s="8">
        <v>1999.0</v>
      </c>
      <c r="O780" s="9">
        <v>1999.0</v>
      </c>
      <c r="P780" s="10">
        <v>1860.65</v>
      </c>
    </row>
    <row r="781">
      <c r="A781" s="6" t="s">
        <v>3385</v>
      </c>
      <c r="B781" s="6" t="s">
        <v>3385</v>
      </c>
      <c r="C781" s="6" t="s">
        <v>3386</v>
      </c>
      <c r="D781" s="6" t="s">
        <v>3387</v>
      </c>
      <c r="E781" s="6" t="e">
        <v>#N/A</v>
      </c>
      <c r="F781" s="6" t="s">
        <v>3388</v>
      </c>
      <c r="G781" s="6" t="s">
        <v>3389</v>
      </c>
      <c r="H781" s="7" t="s">
        <v>3390</v>
      </c>
      <c r="I781" s="6" t="e">
        <v>#N/A</v>
      </c>
      <c r="J781" s="6" t="e">
        <v>#N/A</v>
      </c>
      <c r="K781" s="6" t="str">
        <f>VLOOKUP(A781,Sheet4!$A:$H,7,0)</f>
        <v>Jersey Fitted Bed sheet</v>
      </c>
      <c r="L781" s="6" t="str">
        <f>VLOOKUP(B781,Sheet4!$A:$H,8,0)</f>
        <v>Bedding</v>
      </c>
      <c r="M781" s="6">
        <v>2189.0</v>
      </c>
      <c r="N781" s="8">
        <v>1999.0</v>
      </c>
      <c r="O781" s="9">
        <v>1999.0</v>
      </c>
      <c r="P781" s="10">
        <v>1860.65</v>
      </c>
    </row>
    <row r="782">
      <c r="A782" s="6" t="s">
        <v>3391</v>
      </c>
      <c r="B782" s="6" t="s">
        <v>3391</v>
      </c>
      <c r="C782" s="6" t="s">
        <v>3392</v>
      </c>
      <c r="D782" s="6" t="s">
        <v>3393</v>
      </c>
      <c r="E782" s="6" t="e">
        <v>#N/A</v>
      </c>
      <c r="F782" s="6" t="s">
        <v>3394</v>
      </c>
      <c r="G782" s="6" t="s">
        <v>3395</v>
      </c>
      <c r="H782" s="7" t="s">
        <v>3396</v>
      </c>
      <c r="I782" s="6">
        <v>3.1818388E7</v>
      </c>
      <c r="J782" s="6" t="e">
        <v>#N/A</v>
      </c>
      <c r="K782" s="6" t="str">
        <f>VLOOKUP(A782,Sheet4!$A:$H,7,0)</f>
        <v>Jersey Fitted Bed sheet</v>
      </c>
      <c r="L782" s="6" t="str">
        <f>VLOOKUP(B782,Sheet4!$A:$H,8,0)</f>
        <v>Bedding</v>
      </c>
      <c r="M782" s="6">
        <v>2189.0</v>
      </c>
      <c r="N782" s="8">
        <v>1999.0</v>
      </c>
      <c r="O782" s="9">
        <v>1999.0</v>
      </c>
      <c r="P782" s="10">
        <v>1860.65</v>
      </c>
    </row>
    <row r="783">
      <c r="A783" s="6" t="s">
        <v>3397</v>
      </c>
      <c r="B783" s="6" t="s">
        <v>3397</v>
      </c>
      <c r="C783" s="6" t="e">
        <v>#N/A</v>
      </c>
      <c r="D783" s="6" t="e">
        <v>#N/A</v>
      </c>
      <c r="E783" s="6" t="e">
        <v>#N/A</v>
      </c>
      <c r="F783" s="6" t="e">
        <v>#N/A</v>
      </c>
      <c r="G783" s="6">
        <v>0.0</v>
      </c>
      <c r="H783" s="7" t="e">
        <v>#N/A</v>
      </c>
      <c r="I783" s="6" t="e">
        <v>#N/A</v>
      </c>
      <c r="J783" s="6" t="e">
        <v>#N/A</v>
      </c>
      <c r="K783" s="6" t="str">
        <f>VLOOKUP(A783,Sheet4!$A:$H,7,0)</f>
        <v>#N/A</v>
      </c>
      <c r="L783" s="6" t="str">
        <f>VLOOKUP(B783,Sheet4!$A:$H,8,0)</f>
        <v>#N/A</v>
      </c>
      <c r="M783" s="6" t="str">
        <f t="shared" ref="M783:M785" si="13">VLOOKUP(A783,#REF!,2,FALSE)</f>
        <v>#REF!</v>
      </c>
      <c r="N783" s="6" t="str">
        <f>VLOOKUP(A783, Sheet2!A:M, 3, FALSE)</f>
        <v>#N/A</v>
      </c>
      <c r="O783" s="10" t="e">
        <v>#N/A</v>
      </c>
      <c r="P783" s="10" t="e">
        <v>#N/A</v>
      </c>
    </row>
    <row r="784">
      <c r="A784" s="6" t="s">
        <v>3398</v>
      </c>
      <c r="B784" s="6" t="s">
        <v>3398</v>
      </c>
      <c r="C784" s="6" t="e">
        <v>#N/A</v>
      </c>
      <c r="D784" s="6" t="e">
        <v>#N/A</v>
      </c>
      <c r="E784" s="6" t="e">
        <v>#N/A</v>
      </c>
      <c r="F784" s="6" t="e">
        <v>#N/A</v>
      </c>
      <c r="G784" s="6">
        <v>0.0</v>
      </c>
      <c r="H784" s="7" t="e">
        <v>#N/A</v>
      </c>
      <c r="I784" s="6" t="e">
        <v>#N/A</v>
      </c>
      <c r="J784" s="6" t="e">
        <v>#N/A</v>
      </c>
      <c r="K784" s="6" t="str">
        <f>VLOOKUP(A784,Sheet4!$A:$H,7,0)</f>
        <v>#N/A</v>
      </c>
      <c r="L784" s="6" t="str">
        <f>VLOOKUP(B784,Sheet4!$A:$H,8,0)</f>
        <v>#N/A</v>
      </c>
      <c r="M784" s="6" t="str">
        <f t="shared" si="13"/>
        <v>#REF!</v>
      </c>
      <c r="N784" s="6" t="str">
        <f>VLOOKUP(A784, Sheet2!A:M, 3, FALSE)</f>
        <v>#N/A</v>
      </c>
      <c r="O784" s="10" t="e">
        <v>#N/A</v>
      </c>
      <c r="P784" s="10" t="e">
        <v>#N/A</v>
      </c>
    </row>
    <row r="785">
      <c r="A785" s="6" t="s">
        <v>3399</v>
      </c>
      <c r="B785" s="6" t="s">
        <v>3399</v>
      </c>
      <c r="C785" s="6" t="e">
        <v>#N/A</v>
      </c>
      <c r="D785" s="6" t="e">
        <v>#N/A</v>
      </c>
      <c r="E785" s="6" t="e">
        <v>#N/A</v>
      </c>
      <c r="F785" s="6" t="e">
        <v>#N/A</v>
      </c>
      <c r="G785" s="6">
        <v>0.0</v>
      </c>
      <c r="H785" s="7" t="e">
        <v>#N/A</v>
      </c>
      <c r="I785" s="6" t="e">
        <v>#N/A</v>
      </c>
      <c r="J785" s="6" t="e">
        <v>#N/A</v>
      </c>
      <c r="K785" s="6" t="str">
        <f>VLOOKUP(A785,Sheet4!$A:$H,7,0)</f>
        <v>#N/A</v>
      </c>
      <c r="L785" s="6" t="str">
        <f>VLOOKUP(B785,Sheet4!$A:$H,8,0)</f>
        <v>#N/A</v>
      </c>
      <c r="M785" s="6" t="str">
        <f t="shared" si="13"/>
        <v>#REF!</v>
      </c>
      <c r="N785" s="6" t="str">
        <f>VLOOKUP(A785, Sheet2!A:M, 3, FALSE)</f>
        <v>#N/A</v>
      </c>
      <c r="O785" s="10" t="e">
        <v>#N/A</v>
      </c>
      <c r="P785" s="10" t="e">
        <v>#N/A</v>
      </c>
    </row>
    <row r="786">
      <c r="A786" s="6" t="s">
        <v>3400</v>
      </c>
      <c r="B786" s="6" t="s">
        <v>3400</v>
      </c>
      <c r="C786" s="6" t="s">
        <v>3401</v>
      </c>
      <c r="D786" s="6" t="s">
        <v>3402</v>
      </c>
      <c r="E786" s="6" t="e">
        <v>#N/A</v>
      </c>
      <c r="F786" s="6" t="s">
        <v>3403</v>
      </c>
      <c r="G786" s="6" t="s">
        <v>3404</v>
      </c>
      <c r="H786" s="7" t="s">
        <v>3405</v>
      </c>
      <c r="I786" s="6">
        <v>3.1629882E7</v>
      </c>
      <c r="J786" s="6" t="s">
        <v>3406</v>
      </c>
      <c r="K786" s="6" t="str">
        <f>VLOOKUP(A786,Sheet4!$A:$H,7,0)</f>
        <v>Slim Pillow</v>
      </c>
      <c r="L786" s="6" t="str">
        <f>VLOOKUP(B786,Sheet4!$A:$H,8,0)</f>
        <v>Pillows</v>
      </c>
      <c r="M786" s="6">
        <v>999.0</v>
      </c>
      <c r="N786" s="8">
        <v>949.0</v>
      </c>
      <c r="O786" s="10">
        <v>949.0</v>
      </c>
      <c r="P786" s="10">
        <v>899.0</v>
      </c>
    </row>
    <row r="787">
      <c r="A787" s="6" t="s">
        <v>3407</v>
      </c>
      <c r="B787" s="6" t="s">
        <v>3407</v>
      </c>
      <c r="C787" s="6" t="s">
        <v>3408</v>
      </c>
      <c r="D787" s="6" t="s">
        <v>3409</v>
      </c>
      <c r="E787" s="6" t="e">
        <v>#N/A</v>
      </c>
      <c r="F787" s="6" t="s">
        <v>3410</v>
      </c>
      <c r="G787" s="6" t="s">
        <v>3411</v>
      </c>
      <c r="H787" s="7" t="s">
        <v>3412</v>
      </c>
      <c r="I787" s="6">
        <v>3.2777658E7</v>
      </c>
      <c r="J787" s="6" t="s">
        <v>3413</v>
      </c>
      <c r="K787" s="6" t="str">
        <f>VLOOKUP(A787,Sheet4!$A:$H,7,0)</f>
        <v>Slim Pillow</v>
      </c>
      <c r="L787" s="6" t="str">
        <f>VLOOKUP(B787,Sheet4!$A:$H,8,0)</f>
        <v>Pillows</v>
      </c>
      <c r="M787" s="6">
        <v>1849.0</v>
      </c>
      <c r="N787" s="8">
        <v>1799.0</v>
      </c>
      <c r="O787" s="9">
        <v>1799.0</v>
      </c>
      <c r="P787" s="10">
        <v>1699.0</v>
      </c>
    </row>
    <row r="788">
      <c r="A788" s="6" t="s">
        <v>3414</v>
      </c>
      <c r="B788" s="6" t="s">
        <v>3414</v>
      </c>
      <c r="C788" s="6">
        <v>0.0</v>
      </c>
      <c r="D788" s="6">
        <v>0.0</v>
      </c>
      <c r="E788" s="6" t="e">
        <v>#N/A</v>
      </c>
      <c r="F788" s="6" t="s">
        <v>3415</v>
      </c>
      <c r="G788" s="6" t="s">
        <v>3416</v>
      </c>
      <c r="H788" s="7" t="s">
        <v>3417</v>
      </c>
      <c r="I788" s="6">
        <v>3.3223717E7</v>
      </c>
      <c r="J788" s="6" t="e">
        <v>#N/A</v>
      </c>
      <c r="K788" s="6" t="str">
        <f>VLOOKUP(A788,Sheet4!$A:$H,7,0)</f>
        <v>Slim Pillow</v>
      </c>
      <c r="L788" s="6" t="str">
        <f>VLOOKUP(B788,Sheet4!$A:$H,8,0)</f>
        <v>Pillows</v>
      </c>
      <c r="M788" s="6">
        <v>1489.0</v>
      </c>
      <c r="N788" s="8">
        <v>1414.0</v>
      </c>
      <c r="O788" s="9">
        <v>1414.0</v>
      </c>
      <c r="P788" s="10">
        <v>1299.0</v>
      </c>
    </row>
    <row r="789">
      <c r="A789" s="6" t="s">
        <v>3418</v>
      </c>
      <c r="B789" s="6" t="s">
        <v>3418</v>
      </c>
      <c r="C789" s="6" t="s">
        <v>3419</v>
      </c>
      <c r="D789" s="6" t="s">
        <v>3420</v>
      </c>
      <c r="E789" s="6" t="s">
        <v>3421</v>
      </c>
      <c r="F789" s="6">
        <v>0.0</v>
      </c>
      <c r="G789" s="6" t="s">
        <v>3422</v>
      </c>
      <c r="H789" s="7" t="s">
        <v>3423</v>
      </c>
      <c r="I789" s="6" t="e">
        <v>#N/A</v>
      </c>
      <c r="J789" s="6" t="e">
        <v>#N/A</v>
      </c>
      <c r="K789" s="6" t="str">
        <f>VLOOKUP(A789,Sheet4!$A:$H,7,0)</f>
        <v>Cotton Pillow Case</v>
      </c>
      <c r="L789" s="6" t="str">
        <f>VLOOKUP(B789,Sheet4!$A:$H,8,0)</f>
        <v>Bedding</v>
      </c>
      <c r="M789" s="6">
        <v>699.0</v>
      </c>
      <c r="N789" s="8">
        <v>692.01</v>
      </c>
      <c r="O789" s="10">
        <v>699.0</v>
      </c>
      <c r="P789" s="10">
        <v>664.05</v>
      </c>
    </row>
    <row r="790">
      <c r="A790" s="6" t="s">
        <v>3424</v>
      </c>
      <c r="B790" s="6" t="s">
        <v>3424</v>
      </c>
      <c r="C790" s="6" t="s">
        <v>3425</v>
      </c>
      <c r="D790" s="6" t="s">
        <v>3426</v>
      </c>
      <c r="E790" s="6" t="s">
        <v>3427</v>
      </c>
      <c r="F790" s="6" t="s">
        <v>3424</v>
      </c>
      <c r="G790" s="6" t="s">
        <v>3428</v>
      </c>
      <c r="H790" s="7" t="s">
        <v>3429</v>
      </c>
      <c r="I790" s="6" t="e">
        <v>#N/A</v>
      </c>
      <c r="J790" s="6" t="e">
        <v>#N/A</v>
      </c>
      <c r="K790" s="6" t="str">
        <f>VLOOKUP(A790,Sheet4!$A:$H,7,0)</f>
        <v>Cotton Pillow Case</v>
      </c>
      <c r="L790" s="6" t="str">
        <f>VLOOKUP(B790,Sheet4!$A:$H,8,0)</f>
        <v>Bedding</v>
      </c>
      <c r="M790" s="6">
        <v>699.0</v>
      </c>
      <c r="N790" s="8">
        <v>692.01</v>
      </c>
      <c r="O790" s="10">
        <v>699.0</v>
      </c>
      <c r="P790" s="10">
        <v>664.05</v>
      </c>
    </row>
    <row r="791">
      <c r="A791" s="6" t="s">
        <v>3430</v>
      </c>
      <c r="B791" s="6" t="s">
        <v>3430</v>
      </c>
      <c r="C791" s="6" t="s">
        <v>3431</v>
      </c>
      <c r="D791" s="6" t="s">
        <v>3432</v>
      </c>
      <c r="E791" s="6" t="s">
        <v>3433</v>
      </c>
      <c r="F791" s="6" t="s">
        <v>3430</v>
      </c>
      <c r="G791" s="6" t="s">
        <v>3434</v>
      </c>
      <c r="H791" s="7" t="s">
        <v>3435</v>
      </c>
      <c r="I791" s="6" t="e">
        <v>#N/A</v>
      </c>
      <c r="J791" s="6" t="e">
        <v>#N/A</v>
      </c>
      <c r="K791" s="6" t="str">
        <f>VLOOKUP(A791,Sheet4!$A:$H,7,0)</f>
        <v>Cotton Pillow Case</v>
      </c>
      <c r="L791" s="6" t="str">
        <f>VLOOKUP(B791,Sheet4!$A:$H,8,0)</f>
        <v>Bedding</v>
      </c>
      <c r="M791" s="6">
        <v>649.0</v>
      </c>
      <c r="N791" s="8">
        <v>642.51</v>
      </c>
      <c r="O791" s="10">
        <v>649.0</v>
      </c>
      <c r="P791" s="10">
        <v>616.55</v>
      </c>
    </row>
    <row r="792">
      <c r="A792" s="6" t="s">
        <v>3436</v>
      </c>
      <c r="B792" s="6" t="s">
        <v>3436</v>
      </c>
      <c r="C792" s="6" t="s">
        <v>3437</v>
      </c>
      <c r="D792" s="6" t="s">
        <v>3438</v>
      </c>
      <c r="E792" s="6" t="s">
        <v>3439</v>
      </c>
      <c r="F792" s="6" t="s">
        <v>3436</v>
      </c>
      <c r="G792" s="6" t="s">
        <v>3440</v>
      </c>
      <c r="H792" s="7" t="s">
        <v>3441</v>
      </c>
      <c r="I792" s="6" t="e">
        <v>#N/A</v>
      </c>
      <c r="J792" s="6" t="e">
        <v>#N/A</v>
      </c>
      <c r="K792" s="6" t="str">
        <f>VLOOKUP(A792,Sheet4!$A:$H,7,0)</f>
        <v>Cotton Pillow Case</v>
      </c>
      <c r="L792" s="6" t="str">
        <f>VLOOKUP(B792,Sheet4!$A:$H,8,0)</f>
        <v>Bedding</v>
      </c>
      <c r="M792" s="6">
        <v>649.0</v>
      </c>
      <c r="N792" s="8">
        <v>642.51</v>
      </c>
      <c r="O792" s="10">
        <v>649.0</v>
      </c>
      <c r="P792" s="10">
        <v>616.55</v>
      </c>
    </row>
    <row r="793">
      <c r="A793" s="6" t="s">
        <v>3442</v>
      </c>
      <c r="B793" s="6" t="s">
        <v>3442</v>
      </c>
      <c r="C793" s="6" t="s">
        <v>3443</v>
      </c>
      <c r="D793" s="6" t="s">
        <v>3444</v>
      </c>
      <c r="E793" s="6" t="s">
        <v>3445</v>
      </c>
      <c r="F793" s="6" t="s">
        <v>3442</v>
      </c>
      <c r="G793" s="6" t="s">
        <v>3446</v>
      </c>
      <c r="H793" s="7" t="s">
        <v>3447</v>
      </c>
      <c r="I793" s="6" t="e">
        <v>#N/A</v>
      </c>
      <c r="J793" s="6" t="e">
        <v>#N/A</v>
      </c>
      <c r="K793" s="6" t="str">
        <f>VLOOKUP(A793,Sheet4!$A:$H,7,0)</f>
        <v>Cotton Pillow Case</v>
      </c>
      <c r="L793" s="6" t="str">
        <f>VLOOKUP(B793,Sheet4!$A:$H,8,0)</f>
        <v>Bedding</v>
      </c>
      <c r="M793" s="6">
        <v>649.0</v>
      </c>
      <c r="N793" s="8">
        <v>642.51</v>
      </c>
      <c r="O793" s="10">
        <v>649.0</v>
      </c>
      <c r="P793" s="10">
        <v>616.55</v>
      </c>
    </row>
    <row r="794">
      <c r="A794" s="6" t="s">
        <v>3448</v>
      </c>
      <c r="B794" s="6" t="s">
        <v>3448</v>
      </c>
      <c r="C794" s="6" t="e">
        <v>#N/A</v>
      </c>
      <c r="D794" s="6" t="e">
        <v>#N/A</v>
      </c>
      <c r="E794" s="6" t="e">
        <v>#N/A</v>
      </c>
      <c r="F794" s="6" t="e">
        <v>#N/A</v>
      </c>
      <c r="G794" s="6">
        <v>0.0</v>
      </c>
      <c r="H794" s="7" t="e">
        <v>#N/A</v>
      </c>
      <c r="I794" s="6" t="e">
        <v>#N/A</v>
      </c>
      <c r="J794" s="6" t="e">
        <v>#N/A</v>
      </c>
      <c r="K794" s="6" t="str">
        <f>VLOOKUP(A794,Sheet4!$A:$H,7,0)</f>
        <v>#N/A</v>
      </c>
      <c r="L794" s="6" t="str">
        <f>VLOOKUP(B794,Sheet4!$A:$H,8,0)</f>
        <v>#N/A</v>
      </c>
      <c r="M794" s="6" t="str">
        <f>VLOOKUP(A794,#REF!,2,FALSE)</f>
        <v>#REF!</v>
      </c>
      <c r="N794" s="6" t="str">
        <f>VLOOKUP(A794, Sheet2!A:M, 3, FALSE)</f>
        <v/>
      </c>
      <c r="O794" s="10" t="e">
        <v>#N/A</v>
      </c>
    </row>
    <row r="795">
      <c r="A795" s="6" t="s">
        <v>3449</v>
      </c>
      <c r="B795" s="6" t="s">
        <v>3449</v>
      </c>
      <c r="C795" s="6" t="s">
        <v>3450</v>
      </c>
      <c r="D795" s="6" t="s">
        <v>3451</v>
      </c>
      <c r="E795" s="6" t="s">
        <v>3452</v>
      </c>
      <c r="F795" s="6" t="s">
        <v>3449</v>
      </c>
      <c r="G795" s="6" t="s">
        <v>3453</v>
      </c>
      <c r="H795" s="7" t="s">
        <v>3454</v>
      </c>
      <c r="I795" s="6" t="e">
        <v>#N/A</v>
      </c>
      <c r="J795" s="6" t="e">
        <v>#N/A</v>
      </c>
      <c r="K795" s="6" t="str">
        <f>VLOOKUP(A795,Sheet4!$A:$H,7,0)</f>
        <v>Cotton Pillow Case</v>
      </c>
      <c r="L795" s="6" t="str">
        <f>VLOOKUP(B795,Sheet4!$A:$H,8,0)</f>
        <v>Bedding</v>
      </c>
      <c r="M795" s="6">
        <v>549.0</v>
      </c>
      <c r="N795" s="8">
        <v>543.51</v>
      </c>
      <c r="O795" s="10">
        <v>549.0</v>
      </c>
      <c r="P795" s="10">
        <v>521.55</v>
      </c>
    </row>
    <row r="796">
      <c r="A796" s="6" t="s">
        <v>3455</v>
      </c>
      <c r="B796" s="6" t="s">
        <v>3455</v>
      </c>
      <c r="C796" s="6" t="s">
        <v>3456</v>
      </c>
      <c r="D796" s="6" t="s">
        <v>3457</v>
      </c>
      <c r="E796" s="6" t="s">
        <v>3458</v>
      </c>
      <c r="F796" s="6">
        <v>0.0</v>
      </c>
      <c r="G796" s="6" t="s">
        <v>3459</v>
      </c>
      <c r="H796" s="7" t="s">
        <v>3460</v>
      </c>
      <c r="I796" s="6" t="e">
        <v>#N/A</v>
      </c>
      <c r="J796" s="6" t="e">
        <v>#N/A</v>
      </c>
      <c r="K796" s="6" t="str">
        <f>VLOOKUP(A796,Sheet4!$A:$H,7,0)</f>
        <v>Cotton Pillow Case</v>
      </c>
      <c r="L796" s="6" t="str">
        <f>VLOOKUP(B796,Sheet4!$A:$H,8,0)</f>
        <v>Bedding</v>
      </c>
      <c r="M796" s="6">
        <v>549.0</v>
      </c>
      <c r="N796" s="8">
        <v>543.51</v>
      </c>
      <c r="O796" s="10">
        <v>549.0</v>
      </c>
      <c r="P796" s="10">
        <v>521.55</v>
      </c>
    </row>
    <row r="797">
      <c r="A797" s="6" t="s">
        <v>3461</v>
      </c>
      <c r="B797" s="6" t="s">
        <v>3461</v>
      </c>
      <c r="C797" s="6" t="s">
        <v>3462</v>
      </c>
      <c r="D797" s="6" t="s">
        <v>3463</v>
      </c>
      <c r="E797" s="6" t="s">
        <v>3464</v>
      </c>
      <c r="F797" s="6" t="s">
        <v>3461</v>
      </c>
      <c r="G797" s="6" t="s">
        <v>3465</v>
      </c>
      <c r="H797" s="7" t="s">
        <v>3466</v>
      </c>
      <c r="I797" s="6" t="e">
        <v>#N/A</v>
      </c>
      <c r="J797" s="6" t="e">
        <v>#N/A</v>
      </c>
      <c r="K797" s="6" t="str">
        <f>VLOOKUP(A797,Sheet4!$A:$H,7,0)</f>
        <v>Cotton Pillow Case</v>
      </c>
      <c r="L797" s="6" t="str">
        <f>VLOOKUP(B797,Sheet4!$A:$H,8,0)</f>
        <v>Bedding</v>
      </c>
      <c r="M797" s="6">
        <v>499.0</v>
      </c>
      <c r="N797" s="8">
        <v>494.01</v>
      </c>
      <c r="O797" s="10">
        <v>499.0</v>
      </c>
      <c r="P797" s="10">
        <v>474.05</v>
      </c>
    </row>
    <row r="798">
      <c r="A798" s="6" t="s">
        <v>3467</v>
      </c>
      <c r="B798" s="6" t="s">
        <v>3467</v>
      </c>
      <c r="C798" s="6" t="s">
        <v>3468</v>
      </c>
      <c r="D798" s="6" t="s">
        <v>3469</v>
      </c>
      <c r="E798" s="6" t="e">
        <v>#N/A</v>
      </c>
      <c r="F798" s="6" t="s">
        <v>3467</v>
      </c>
      <c r="G798" s="6" t="s">
        <v>3470</v>
      </c>
      <c r="H798" s="7" t="s">
        <v>3471</v>
      </c>
      <c r="I798" s="6" t="e">
        <v>#N/A</v>
      </c>
      <c r="J798" s="6" t="e">
        <v>#N/A</v>
      </c>
      <c r="K798" s="6" t="str">
        <f>VLOOKUP(A798,Sheet4!$A:$H,7,0)</f>
        <v>Cotton Pillow Case</v>
      </c>
      <c r="L798" s="6" t="str">
        <f>VLOOKUP(B798,Sheet4!$A:$H,8,0)</f>
        <v>Bedding</v>
      </c>
      <c r="M798" s="6">
        <v>499.0</v>
      </c>
      <c r="N798" s="8">
        <v>494.01</v>
      </c>
      <c r="O798" s="10">
        <v>499.0</v>
      </c>
      <c r="P798" s="10">
        <v>474.05</v>
      </c>
    </row>
    <row r="799">
      <c r="A799" s="6" t="s">
        <v>3472</v>
      </c>
      <c r="B799" s="6" t="s">
        <v>3472</v>
      </c>
      <c r="C799" s="6" t="s">
        <v>3473</v>
      </c>
      <c r="D799" s="6" t="s">
        <v>3474</v>
      </c>
      <c r="E799" s="6" t="s">
        <v>3475</v>
      </c>
      <c r="F799" s="6" t="s">
        <v>3472</v>
      </c>
      <c r="G799" s="6" t="s">
        <v>3476</v>
      </c>
      <c r="H799" s="7" t="s">
        <v>3477</v>
      </c>
      <c r="I799" s="6" t="e">
        <v>#N/A</v>
      </c>
      <c r="J799" s="6" t="e">
        <v>#N/A</v>
      </c>
      <c r="K799" s="6" t="str">
        <f>VLOOKUP(A799,Sheet4!$A:$H,7,0)</f>
        <v>Cotton Pillow Case</v>
      </c>
      <c r="L799" s="6" t="str">
        <f>VLOOKUP(B799,Sheet4!$A:$H,8,0)</f>
        <v>Bedding</v>
      </c>
      <c r="M799" s="6">
        <v>499.0</v>
      </c>
      <c r="N799" s="8">
        <v>494.01</v>
      </c>
      <c r="O799" s="10">
        <v>499.0</v>
      </c>
      <c r="P799" s="10">
        <v>474.05</v>
      </c>
    </row>
    <row r="800">
      <c r="A800" s="6" t="s">
        <v>3478</v>
      </c>
      <c r="B800" s="6" t="s">
        <v>3478</v>
      </c>
      <c r="C800" s="6" t="e">
        <v>#N/A</v>
      </c>
      <c r="D800" s="6" t="e">
        <v>#N/A</v>
      </c>
      <c r="E800" s="6" t="e">
        <v>#N/A</v>
      </c>
      <c r="F800" s="6" t="e">
        <v>#N/A</v>
      </c>
      <c r="G800" s="6">
        <v>0.0</v>
      </c>
      <c r="H800" s="7" t="e">
        <v>#N/A</v>
      </c>
      <c r="I800" s="6" t="e">
        <v>#N/A</v>
      </c>
      <c r="J800" s="6" t="e">
        <v>#N/A</v>
      </c>
      <c r="K800" s="6" t="str">
        <f>VLOOKUP(A800,Sheet4!$A:$H,7,0)</f>
        <v>#N/A</v>
      </c>
      <c r="L800" s="6" t="str">
        <f>VLOOKUP(B800,Sheet4!$A:$H,8,0)</f>
        <v>#N/A</v>
      </c>
      <c r="M800" s="6" t="str">
        <f>VLOOKUP(A800,#REF!,2,FALSE)</f>
        <v>#REF!</v>
      </c>
      <c r="N800" s="6" t="str">
        <f>VLOOKUP(A800, Sheet2!A:M, 3, FALSE)</f>
        <v/>
      </c>
      <c r="O800" s="10" t="e">
        <v>#N/A</v>
      </c>
    </row>
    <row r="801">
      <c r="A801" s="6" t="s">
        <v>3479</v>
      </c>
      <c r="B801" s="6" t="s">
        <v>3479</v>
      </c>
      <c r="C801" s="6" t="s">
        <v>3480</v>
      </c>
      <c r="D801" s="6" t="s">
        <v>3481</v>
      </c>
      <c r="E801" s="6" t="s">
        <v>3482</v>
      </c>
      <c r="F801" s="6">
        <v>0.0</v>
      </c>
      <c r="G801" s="6" t="s">
        <v>3483</v>
      </c>
      <c r="H801" s="7" t="s">
        <v>3484</v>
      </c>
      <c r="I801" s="6" t="e">
        <v>#N/A</v>
      </c>
      <c r="J801" s="6" t="e">
        <v>#N/A</v>
      </c>
      <c r="K801" s="6" t="str">
        <f>VLOOKUP(A801,Sheet4!$A:$H,7,0)</f>
        <v>Grid Pillow</v>
      </c>
      <c r="L801" s="6" t="str">
        <f>VLOOKUP(B801,Sheet4!$A:$H,8,0)</f>
        <v>Pillows</v>
      </c>
      <c r="M801" s="6">
        <v>2989.0</v>
      </c>
      <c r="N801" s="8">
        <v>2548.0</v>
      </c>
      <c r="O801" s="9">
        <v>2599.0</v>
      </c>
      <c r="P801" s="10">
        <v>2499.0</v>
      </c>
    </row>
    <row r="802">
      <c r="A802" s="6" t="s">
        <v>3485</v>
      </c>
      <c r="B802" s="6" t="s">
        <v>3485</v>
      </c>
      <c r="C802" s="6" t="s">
        <v>3486</v>
      </c>
      <c r="D802" s="6" t="s">
        <v>3487</v>
      </c>
      <c r="E802" s="6" t="s">
        <v>3488</v>
      </c>
      <c r="F802" s="6" t="s">
        <v>3489</v>
      </c>
      <c r="G802" s="6" t="s">
        <v>3490</v>
      </c>
      <c r="H802" s="7" t="s">
        <v>3491</v>
      </c>
      <c r="I802" s="6" t="e">
        <v>#N/A</v>
      </c>
      <c r="J802" s="6" t="e">
        <v>#N/A</v>
      </c>
      <c r="K802" s="6" t="str">
        <f>VLOOKUP(A802,Sheet4!$A:$H,7,0)</f>
        <v>Sateen Pillow Case</v>
      </c>
      <c r="L802" s="6" t="str">
        <f>VLOOKUP(B802,Sheet4!$A:$H,8,0)</f>
        <v>Bedding</v>
      </c>
      <c r="M802" s="6">
        <v>899.0</v>
      </c>
      <c r="N802" s="8">
        <v>809.0</v>
      </c>
      <c r="O802" s="10">
        <v>809.0</v>
      </c>
      <c r="P802" s="10">
        <v>764.15</v>
      </c>
    </row>
    <row r="803">
      <c r="A803" s="6" t="s">
        <v>3492</v>
      </c>
      <c r="B803" s="6" t="s">
        <v>3492</v>
      </c>
      <c r="C803" s="6" t="s">
        <v>3493</v>
      </c>
      <c r="D803" s="6" t="s">
        <v>3494</v>
      </c>
      <c r="E803" s="6" t="s">
        <v>3495</v>
      </c>
      <c r="F803" s="6" t="s">
        <v>3496</v>
      </c>
      <c r="G803" s="6" t="s">
        <v>3497</v>
      </c>
      <c r="H803" s="7" t="s">
        <v>3498</v>
      </c>
      <c r="I803" s="6" t="e">
        <v>#N/A</v>
      </c>
      <c r="J803" s="6" t="e">
        <v>#N/A</v>
      </c>
      <c r="K803" s="6" t="str">
        <f>VLOOKUP(A803,Sheet4!$A:$H,7,0)</f>
        <v>Sateen Pillow Case</v>
      </c>
      <c r="L803" s="6" t="str">
        <f>VLOOKUP(B803,Sheet4!$A:$H,8,0)</f>
        <v>Bedding</v>
      </c>
      <c r="M803" s="6">
        <v>899.0</v>
      </c>
      <c r="N803" s="8">
        <v>809.0</v>
      </c>
      <c r="O803" s="10">
        <v>809.0</v>
      </c>
      <c r="P803" s="10">
        <v>764.15</v>
      </c>
    </row>
    <row r="804">
      <c r="A804" s="6" t="s">
        <v>3499</v>
      </c>
      <c r="B804" s="6" t="s">
        <v>3499</v>
      </c>
      <c r="C804" s="6" t="s">
        <v>3500</v>
      </c>
      <c r="D804" s="6" t="s">
        <v>3501</v>
      </c>
      <c r="E804" s="6" t="s">
        <v>3502</v>
      </c>
      <c r="F804" s="6" t="s">
        <v>3503</v>
      </c>
      <c r="G804" s="6" t="s">
        <v>3504</v>
      </c>
      <c r="H804" s="7" t="s">
        <v>3505</v>
      </c>
      <c r="I804" s="6" t="e">
        <v>#N/A</v>
      </c>
      <c r="J804" s="6" t="e">
        <v>#N/A</v>
      </c>
      <c r="K804" s="6" t="str">
        <f>VLOOKUP(A804,Sheet4!$A:$H,7,0)</f>
        <v>Sateen Pillow Case</v>
      </c>
      <c r="L804" s="6" t="str">
        <f>VLOOKUP(B804,Sheet4!$A:$H,8,0)</f>
        <v>Bedding</v>
      </c>
      <c r="M804" s="6">
        <v>899.0</v>
      </c>
      <c r="N804" s="8">
        <v>809.0</v>
      </c>
      <c r="O804" s="10">
        <v>809.0</v>
      </c>
      <c r="P804" s="10">
        <v>764.15</v>
      </c>
    </row>
    <row r="805">
      <c r="A805" s="6" t="s">
        <v>3506</v>
      </c>
      <c r="B805" s="6" t="s">
        <v>3506</v>
      </c>
      <c r="C805" s="6" t="s">
        <v>3507</v>
      </c>
      <c r="D805" s="6" t="s">
        <v>3508</v>
      </c>
      <c r="E805" s="6" t="s">
        <v>3509</v>
      </c>
      <c r="F805" s="6" t="s">
        <v>3510</v>
      </c>
      <c r="G805" s="6" t="s">
        <v>3511</v>
      </c>
      <c r="H805" s="7" t="s">
        <v>3512</v>
      </c>
      <c r="I805" s="6" t="e">
        <v>#N/A</v>
      </c>
      <c r="J805" s="6" t="e">
        <v>#N/A</v>
      </c>
      <c r="K805" s="6" t="str">
        <f>VLOOKUP(A805,Sheet4!$A:$H,7,0)</f>
        <v>Sateen Pillow Case</v>
      </c>
      <c r="L805" s="6" t="str">
        <f>VLOOKUP(B805,Sheet4!$A:$H,8,0)</f>
        <v>Bedding</v>
      </c>
      <c r="M805" s="6">
        <v>899.0</v>
      </c>
      <c r="N805" s="8">
        <v>809.0</v>
      </c>
      <c r="O805" s="10">
        <v>809.0</v>
      </c>
      <c r="P805" s="10">
        <v>764.15</v>
      </c>
    </row>
    <row r="806">
      <c r="A806" s="6" t="s">
        <v>3513</v>
      </c>
      <c r="B806" s="6" t="s">
        <v>3513</v>
      </c>
      <c r="C806" s="6" t="s">
        <v>3514</v>
      </c>
      <c r="D806" s="6" t="s">
        <v>3515</v>
      </c>
      <c r="E806" s="6" t="e">
        <v>#N/A</v>
      </c>
      <c r="F806" s="6" t="s">
        <v>3513</v>
      </c>
      <c r="G806" s="6" t="s">
        <v>3513</v>
      </c>
      <c r="H806" s="7" t="s">
        <v>3516</v>
      </c>
      <c r="I806" s="6">
        <v>3.1745292E7</v>
      </c>
      <c r="J806" s="6" t="s">
        <v>3517</v>
      </c>
      <c r="K806" s="6" t="str">
        <f>VLOOKUP(A806,Sheet4!$A:$H,7,0)</f>
        <v>Luxe Comforter</v>
      </c>
      <c r="L806" s="6" t="str">
        <f>VLOOKUP(B806,Sheet4!$A:$H,8,0)</f>
        <v>Bedding</v>
      </c>
      <c r="M806" s="6">
        <v>3989.0</v>
      </c>
      <c r="N806" s="8">
        <v>3399.0</v>
      </c>
      <c r="O806" s="9">
        <v>3599.0</v>
      </c>
      <c r="P806" s="10">
        <v>3390.65</v>
      </c>
    </row>
    <row r="807">
      <c r="A807" s="6" t="s">
        <v>3518</v>
      </c>
      <c r="B807" s="6" t="s">
        <v>3518</v>
      </c>
      <c r="C807" s="6" t="s">
        <v>3519</v>
      </c>
      <c r="D807" s="6" t="s">
        <v>3520</v>
      </c>
      <c r="E807" s="6" t="e">
        <v>#N/A</v>
      </c>
      <c r="F807" s="6" t="s">
        <v>3518</v>
      </c>
      <c r="G807" s="6" t="s">
        <v>3518</v>
      </c>
      <c r="H807" s="7" t="s">
        <v>3521</v>
      </c>
      <c r="I807" s="6">
        <v>3.1745304E7</v>
      </c>
      <c r="J807" s="6" t="s">
        <v>3522</v>
      </c>
      <c r="K807" s="6" t="str">
        <f>VLOOKUP(A807,Sheet4!$A:$H,7,0)</f>
        <v>Luxe Comforter</v>
      </c>
      <c r="L807" s="6" t="str">
        <f>VLOOKUP(B807,Sheet4!$A:$H,8,0)</f>
        <v>Bedding</v>
      </c>
      <c r="M807" s="6">
        <v>5489.0</v>
      </c>
      <c r="N807" s="8">
        <v>4999.0</v>
      </c>
      <c r="O807" s="9">
        <v>4999.0</v>
      </c>
      <c r="P807" s="10">
        <v>4665.65</v>
      </c>
    </row>
    <row r="808">
      <c r="A808" s="6" t="s">
        <v>3523</v>
      </c>
      <c r="B808" s="6" t="s">
        <v>3523</v>
      </c>
      <c r="C808" s="6" t="s">
        <v>3524</v>
      </c>
      <c r="D808" s="6" t="s">
        <v>3525</v>
      </c>
      <c r="E808" s="6" t="s">
        <v>3526</v>
      </c>
      <c r="F808" s="6" t="s">
        <v>3527</v>
      </c>
      <c r="G808" s="6" t="s">
        <v>3528</v>
      </c>
      <c r="H808" s="7" t="s">
        <v>3529</v>
      </c>
      <c r="I808" s="6" t="e">
        <v>#N/A</v>
      </c>
      <c r="J808" s="6" t="e">
        <v>#N/A</v>
      </c>
      <c r="K808" s="6" t="str">
        <f>VLOOKUP(A808,Sheet4!$A:$H,7,0)</f>
        <v>Sateen Pillow Case</v>
      </c>
      <c r="L808" s="6" t="str">
        <f>VLOOKUP(B808,Sheet4!$A:$H,8,0)</f>
        <v>Bedding</v>
      </c>
      <c r="M808" s="6">
        <v>799.0</v>
      </c>
      <c r="N808" s="8">
        <v>719.0</v>
      </c>
      <c r="O808" s="10">
        <v>719.0</v>
      </c>
      <c r="P808" s="10">
        <v>679.15</v>
      </c>
    </row>
    <row r="809">
      <c r="A809" s="6" t="s">
        <v>3530</v>
      </c>
      <c r="B809" s="6" t="s">
        <v>3530</v>
      </c>
      <c r="C809" s="6" t="s">
        <v>3531</v>
      </c>
      <c r="D809" s="6" t="s">
        <v>3532</v>
      </c>
      <c r="E809" s="6" t="s">
        <v>3533</v>
      </c>
      <c r="F809" s="6" t="s">
        <v>3534</v>
      </c>
      <c r="G809" s="6" t="s">
        <v>3535</v>
      </c>
      <c r="H809" s="7" t="s">
        <v>3536</v>
      </c>
      <c r="I809" s="6" t="e">
        <v>#N/A</v>
      </c>
      <c r="J809" s="6" t="e">
        <v>#N/A</v>
      </c>
      <c r="K809" s="6" t="str">
        <f>VLOOKUP(A809,Sheet4!$A:$H,7,0)</f>
        <v>Sateen Pillow Case</v>
      </c>
      <c r="L809" s="6" t="str">
        <f>VLOOKUP(B809,Sheet4!$A:$H,8,0)</f>
        <v>Bedding</v>
      </c>
      <c r="M809" s="6">
        <v>799.0</v>
      </c>
      <c r="N809" s="8">
        <v>719.0</v>
      </c>
      <c r="O809" s="10">
        <v>719.0</v>
      </c>
      <c r="P809" s="10">
        <v>679.15</v>
      </c>
    </row>
    <row r="810">
      <c r="A810" s="6" t="s">
        <v>3537</v>
      </c>
      <c r="B810" s="6" t="s">
        <v>3537</v>
      </c>
      <c r="C810" s="6" t="s">
        <v>3538</v>
      </c>
      <c r="D810" s="6" t="s">
        <v>3539</v>
      </c>
      <c r="E810" s="6" t="s">
        <v>3540</v>
      </c>
      <c r="F810" s="6" t="s">
        <v>3541</v>
      </c>
      <c r="G810" s="6" t="s">
        <v>3542</v>
      </c>
      <c r="H810" s="7" t="s">
        <v>3543</v>
      </c>
      <c r="I810" s="6" t="e">
        <v>#N/A</v>
      </c>
      <c r="J810" s="6" t="e">
        <v>#N/A</v>
      </c>
      <c r="K810" s="6" t="str">
        <f>VLOOKUP(A810,Sheet4!$A:$H,7,0)</f>
        <v>Sateen Pillow Case</v>
      </c>
      <c r="L810" s="6" t="str">
        <f>VLOOKUP(B810,Sheet4!$A:$H,8,0)</f>
        <v>Bedding</v>
      </c>
      <c r="M810" s="6">
        <v>799.0</v>
      </c>
      <c r="N810" s="8">
        <v>719.0</v>
      </c>
      <c r="O810" s="10">
        <v>719.0</v>
      </c>
      <c r="P810" s="10">
        <v>679.15</v>
      </c>
    </row>
    <row r="811">
      <c r="A811" s="6" t="s">
        <v>3544</v>
      </c>
      <c r="B811" s="6" t="s">
        <v>3544</v>
      </c>
      <c r="C811" s="6" t="s">
        <v>3545</v>
      </c>
      <c r="D811" s="6" t="s">
        <v>3546</v>
      </c>
      <c r="E811" s="6" t="s">
        <v>3547</v>
      </c>
      <c r="F811" s="6" t="s">
        <v>3548</v>
      </c>
      <c r="G811" s="6" t="s">
        <v>3549</v>
      </c>
      <c r="H811" s="7" t="s">
        <v>3550</v>
      </c>
      <c r="I811" s="6" t="e">
        <v>#N/A</v>
      </c>
      <c r="J811" s="6" t="e">
        <v>#N/A</v>
      </c>
      <c r="K811" s="6" t="str">
        <f>VLOOKUP(A811,Sheet4!$A:$H,7,0)</f>
        <v>Sateen Pillow Case</v>
      </c>
      <c r="L811" s="6" t="str">
        <f>VLOOKUP(B811,Sheet4!$A:$H,8,0)</f>
        <v>Bedding</v>
      </c>
      <c r="M811" s="6">
        <v>799.0</v>
      </c>
      <c r="N811" s="8">
        <v>719.0</v>
      </c>
      <c r="O811" s="10">
        <v>719.0</v>
      </c>
      <c r="P811" s="10">
        <v>679.15</v>
      </c>
    </row>
    <row r="812">
      <c r="A812" s="6" t="s">
        <v>3551</v>
      </c>
      <c r="B812" s="6" t="s">
        <v>3551</v>
      </c>
      <c r="C812" s="6" t="s">
        <v>3552</v>
      </c>
      <c r="D812" s="6" t="s">
        <v>3553</v>
      </c>
      <c r="E812" s="6" t="e">
        <v>#N/A</v>
      </c>
      <c r="F812" s="6" t="s">
        <v>3554</v>
      </c>
      <c r="G812" s="6" t="s">
        <v>3555</v>
      </c>
      <c r="H812" s="7" t="s">
        <v>3556</v>
      </c>
      <c r="I812" s="6" t="e">
        <v>#N/A</v>
      </c>
      <c r="J812" s="6" t="e">
        <v>#N/A</v>
      </c>
      <c r="K812" s="6" t="str">
        <f>VLOOKUP(A812,Sheet4!$A:$H,7,0)</f>
        <v>Summer AC Comforter</v>
      </c>
      <c r="L812" s="6" t="str">
        <f>VLOOKUP(B812,Sheet4!$A:$H,8,0)</f>
        <v>Bedding</v>
      </c>
      <c r="M812" s="6">
        <v>1689.0</v>
      </c>
      <c r="N812" s="8">
        <v>1499.0</v>
      </c>
      <c r="O812" s="9">
        <v>1499.0</v>
      </c>
      <c r="P812" s="10">
        <v>1435.65</v>
      </c>
    </row>
    <row r="813">
      <c r="A813" s="6" t="s">
        <v>3557</v>
      </c>
      <c r="B813" s="6" t="s">
        <v>3557</v>
      </c>
      <c r="C813" s="6" t="s">
        <v>3558</v>
      </c>
      <c r="D813" s="6" t="s">
        <v>3559</v>
      </c>
      <c r="E813" s="6" t="e">
        <v>#N/A</v>
      </c>
      <c r="F813" s="6" t="s">
        <v>3560</v>
      </c>
      <c r="G813" s="6" t="s">
        <v>3561</v>
      </c>
      <c r="H813" s="7" t="s">
        <v>3562</v>
      </c>
      <c r="I813" s="6" t="e">
        <v>#N/A</v>
      </c>
      <c r="J813" s="6" t="e">
        <v>#N/A</v>
      </c>
      <c r="K813" s="6" t="str">
        <f>VLOOKUP(A813,Sheet4!$A:$H,7,0)</f>
        <v>Summer AC Comforter</v>
      </c>
      <c r="L813" s="6" t="str">
        <f>VLOOKUP(B813,Sheet4!$A:$H,8,0)</f>
        <v>Bedding</v>
      </c>
      <c r="M813" s="6">
        <v>1689.0</v>
      </c>
      <c r="N813" s="8">
        <v>1499.0</v>
      </c>
      <c r="O813" s="9">
        <v>1499.0</v>
      </c>
      <c r="P813" s="10">
        <v>1435.65</v>
      </c>
    </row>
    <row r="814">
      <c r="A814" s="6" t="s">
        <v>3563</v>
      </c>
      <c r="B814" s="6" t="s">
        <v>3563</v>
      </c>
      <c r="C814" s="6" t="s">
        <v>3564</v>
      </c>
      <c r="D814" s="6" t="s">
        <v>3565</v>
      </c>
      <c r="E814" s="6" t="e">
        <v>#N/A</v>
      </c>
      <c r="F814" s="6" t="s">
        <v>3566</v>
      </c>
      <c r="G814" s="6" t="s">
        <v>3567</v>
      </c>
      <c r="H814" s="7" t="s">
        <v>3568</v>
      </c>
      <c r="I814" s="6" t="e">
        <v>#N/A</v>
      </c>
      <c r="J814" s="6" t="e">
        <v>#N/A</v>
      </c>
      <c r="K814" s="6" t="str">
        <f>VLOOKUP(A814,Sheet4!$A:$H,7,0)</f>
        <v>Summer AC Comforter</v>
      </c>
      <c r="L814" s="6" t="str">
        <f>VLOOKUP(B814,Sheet4!$A:$H,8,0)</f>
        <v>Bedding</v>
      </c>
      <c r="M814" s="6">
        <v>1689.0</v>
      </c>
      <c r="N814" s="8">
        <v>1499.0</v>
      </c>
      <c r="O814" s="9">
        <v>1499.0</v>
      </c>
      <c r="P814" s="10">
        <v>1435.65</v>
      </c>
    </row>
    <row r="815">
      <c r="A815" s="6" t="s">
        <v>3569</v>
      </c>
      <c r="B815" s="6" t="s">
        <v>3569</v>
      </c>
      <c r="C815" s="6" t="s">
        <v>3570</v>
      </c>
      <c r="D815" s="6" t="s">
        <v>3571</v>
      </c>
      <c r="E815" s="6" t="e">
        <v>#N/A</v>
      </c>
      <c r="F815" s="6" t="s">
        <v>3572</v>
      </c>
      <c r="G815" s="6" t="s">
        <v>3573</v>
      </c>
      <c r="H815" s="7" t="s">
        <v>3574</v>
      </c>
      <c r="I815" s="6" t="e">
        <v>#N/A</v>
      </c>
      <c r="J815" s="6" t="e">
        <v>#N/A</v>
      </c>
      <c r="K815" s="6" t="str">
        <f>VLOOKUP(A815,Sheet4!$A:$H,7,0)</f>
        <v>Summer AC Comforter</v>
      </c>
      <c r="L815" s="6" t="str">
        <f>VLOOKUP(B815,Sheet4!$A:$H,8,0)</f>
        <v>Bedding</v>
      </c>
      <c r="M815" s="6">
        <v>1689.0</v>
      </c>
      <c r="N815" s="8">
        <v>1499.0</v>
      </c>
      <c r="O815" s="9">
        <v>1499.0</v>
      </c>
      <c r="P815" s="10">
        <v>1435.65</v>
      </c>
    </row>
    <row r="816">
      <c r="A816" s="6" t="s">
        <v>3575</v>
      </c>
      <c r="B816" s="6" t="s">
        <v>3575</v>
      </c>
      <c r="C816" s="6" t="s">
        <v>3576</v>
      </c>
      <c r="D816" s="6" t="s">
        <v>3577</v>
      </c>
      <c r="E816" s="6" t="e">
        <v>#N/A</v>
      </c>
      <c r="F816" s="6" t="s">
        <v>3578</v>
      </c>
      <c r="G816" s="6" t="s">
        <v>3579</v>
      </c>
      <c r="H816" s="7" t="s">
        <v>3580</v>
      </c>
      <c r="I816" s="6" t="e">
        <v>#N/A</v>
      </c>
      <c r="J816" s="6" t="e">
        <v>#N/A</v>
      </c>
      <c r="K816" s="6" t="str">
        <f>VLOOKUP(A816,Sheet4!$A:$H,7,0)</f>
        <v>Summer AC Comforter</v>
      </c>
      <c r="L816" s="6" t="str">
        <f>VLOOKUP(B816,Sheet4!$A:$H,8,0)</f>
        <v>Bedding</v>
      </c>
      <c r="M816" s="6">
        <v>2289.0</v>
      </c>
      <c r="N816" s="8">
        <v>1999.0</v>
      </c>
      <c r="O816" s="9">
        <v>1999.0</v>
      </c>
      <c r="P816" s="10">
        <v>1945.65</v>
      </c>
    </row>
    <row r="817">
      <c r="A817" s="6" t="s">
        <v>3581</v>
      </c>
      <c r="B817" s="6" t="s">
        <v>3581</v>
      </c>
      <c r="C817" s="6" t="s">
        <v>3582</v>
      </c>
      <c r="D817" s="6" t="s">
        <v>3583</v>
      </c>
      <c r="E817" s="6" t="e">
        <v>#N/A</v>
      </c>
      <c r="F817" s="6" t="s">
        <v>3584</v>
      </c>
      <c r="G817" s="6" t="s">
        <v>3585</v>
      </c>
      <c r="H817" s="7" t="s">
        <v>3586</v>
      </c>
      <c r="I817" s="6" t="e">
        <v>#N/A</v>
      </c>
      <c r="J817" s="6" t="e">
        <v>#N/A</v>
      </c>
      <c r="K817" s="6" t="str">
        <f>VLOOKUP(A817,Sheet4!$A:$H,7,0)</f>
        <v>Summer AC Comforter</v>
      </c>
      <c r="L817" s="6" t="str">
        <f>VLOOKUP(B817,Sheet4!$A:$H,8,0)</f>
        <v>Bedding</v>
      </c>
      <c r="M817" s="6">
        <v>2289.0</v>
      </c>
      <c r="N817" s="8">
        <v>1999.0</v>
      </c>
      <c r="O817" s="9">
        <v>1999.0</v>
      </c>
      <c r="P817" s="10">
        <v>1945.65</v>
      </c>
    </row>
    <row r="818">
      <c r="A818" s="6" t="s">
        <v>3587</v>
      </c>
      <c r="B818" s="6" t="s">
        <v>3587</v>
      </c>
      <c r="C818" s="6" t="s">
        <v>3588</v>
      </c>
      <c r="D818" s="6" t="s">
        <v>3589</v>
      </c>
      <c r="E818" s="6" t="e">
        <v>#N/A</v>
      </c>
      <c r="F818" s="6" t="s">
        <v>3590</v>
      </c>
      <c r="G818" s="6" t="s">
        <v>3591</v>
      </c>
      <c r="H818" s="7" t="s">
        <v>3592</v>
      </c>
      <c r="I818" s="6" t="e">
        <v>#N/A</v>
      </c>
      <c r="J818" s="6" t="e">
        <v>#N/A</v>
      </c>
      <c r="K818" s="6" t="str">
        <f>VLOOKUP(A818,Sheet4!$A:$H,7,0)</f>
        <v>Summer AC Comforter</v>
      </c>
      <c r="L818" s="6" t="str">
        <f>VLOOKUP(B818,Sheet4!$A:$H,8,0)</f>
        <v>Bedding</v>
      </c>
      <c r="M818" s="6">
        <v>2289.0</v>
      </c>
      <c r="N818" s="8">
        <v>1999.0</v>
      </c>
      <c r="O818" s="9">
        <v>1999.0</v>
      </c>
      <c r="P818" s="10">
        <v>1945.65</v>
      </c>
    </row>
    <row r="819">
      <c r="A819" s="6" t="s">
        <v>3593</v>
      </c>
      <c r="B819" s="6" t="s">
        <v>3593</v>
      </c>
      <c r="C819" s="6" t="s">
        <v>3594</v>
      </c>
      <c r="D819" s="6" t="s">
        <v>3595</v>
      </c>
      <c r="E819" s="6" t="e">
        <v>#N/A</v>
      </c>
      <c r="F819" s="6" t="s">
        <v>3596</v>
      </c>
      <c r="G819" s="6" t="s">
        <v>3597</v>
      </c>
      <c r="H819" s="7" t="s">
        <v>3598</v>
      </c>
      <c r="I819" s="6" t="e">
        <v>#N/A</v>
      </c>
      <c r="J819" s="6" t="e">
        <v>#N/A</v>
      </c>
      <c r="K819" s="6" t="str">
        <f>VLOOKUP(A819,Sheet4!$A:$H,7,0)</f>
        <v>Summer AC Comforter</v>
      </c>
      <c r="L819" s="6" t="str">
        <f>VLOOKUP(B819,Sheet4!$A:$H,8,0)</f>
        <v>Bedding</v>
      </c>
      <c r="M819" s="6">
        <v>2289.0</v>
      </c>
      <c r="N819" s="8">
        <v>1999.0</v>
      </c>
      <c r="O819" s="9">
        <v>1999.0</v>
      </c>
      <c r="P819" s="10">
        <v>1945.65</v>
      </c>
    </row>
    <row r="820">
      <c r="A820" s="6" t="s">
        <v>3599</v>
      </c>
      <c r="B820" s="6" t="s">
        <v>3599</v>
      </c>
      <c r="C820" s="6" t="s">
        <v>3600</v>
      </c>
      <c r="D820" s="6" t="s">
        <v>3601</v>
      </c>
      <c r="E820" s="6" t="e">
        <v>#N/A</v>
      </c>
      <c r="F820" s="6">
        <v>0.0</v>
      </c>
      <c r="G820" s="6" t="s">
        <v>3602</v>
      </c>
      <c r="H820" s="7" t="s">
        <v>3603</v>
      </c>
      <c r="I820" s="6" t="e">
        <v>#N/A</v>
      </c>
      <c r="J820" s="6" t="e">
        <v>#N/A</v>
      </c>
      <c r="K820" s="6" t="str">
        <f>VLOOKUP(A820,Sheet4!$A:$H,7,0)</f>
        <v>Jersey Pillow Cases</v>
      </c>
      <c r="L820" s="6" t="str">
        <f>VLOOKUP(B820,Sheet4!$A:$H,8,0)</f>
        <v>Bedding</v>
      </c>
      <c r="M820" s="6">
        <v>549.0</v>
      </c>
      <c r="N820" s="8">
        <v>499.0</v>
      </c>
      <c r="O820" s="10">
        <v>499.0</v>
      </c>
      <c r="P820" s="10">
        <v>449.0</v>
      </c>
    </row>
    <row r="821">
      <c r="A821" s="6" t="s">
        <v>3604</v>
      </c>
      <c r="B821" s="6" t="s">
        <v>3604</v>
      </c>
      <c r="C821" s="6" t="s">
        <v>3605</v>
      </c>
      <c r="D821" s="6" t="s">
        <v>3606</v>
      </c>
      <c r="E821" s="6" t="e">
        <v>#N/A</v>
      </c>
      <c r="F821" s="6">
        <v>0.0</v>
      </c>
      <c r="G821" s="6" t="s">
        <v>3607</v>
      </c>
      <c r="H821" s="7" t="s">
        <v>3608</v>
      </c>
      <c r="I821" s="6" t="e">
        <v>#N/A</v>
      </c>
      <c r="J821" s="6" t="e">
        <v>#N/A</v>
      </c>
      <c r="K821" s="6" t="str">
        <f>VLOOKUP(A821,Sheet4!$A:$H,7,0)</f>
        <v>Jersey Pillow Cases</v>
      </c>
      <c r="L821" s="6" t="str">
        <f>VLOOKUP(B821,Sheet4!$A:$H,8,0)</f>
        <v>Bedding</v>
      </c>
      <c r="M821" s="6">
        <v>549.0</v>
      </c>
      <c r="N821" s="8">
        <v>499.0</v>
      </c>
      <c r="O821" s="10">
        <v>499.0</v>
      </c>
      <c r="P821" s="10">
        <v>449.0</v>
      </c>
    </row>
    <row r="822">
      <c r="A822" s="6" t="s">
        <v>3609</v>
      </c>
      <c r="B822" s="6" t="s">
        <v>3609</v>
      </c>
      <c r="C822" s="6" t="s">
        <v>3610</v>
      </c>
      <c r="D822" s="6" t="s">
        <v>3611</v>
      </c>
      <c r="E822" s="6" t="e">
        <v>#N/A</v>
      </c>
      <c r="F822" s="6">
        <v>0.0</v>
      </c>
      <c r="G822" s="6" t="s">
        <v>3612</v>
      </c>
      <c r="H822" s="7" t="s">
        <v>3613</v>
      </c>
      <c r="I822" s="6" t="e">
        <v>#N/A</v>
      </c>
      <c r="J822" s="6" t="e">
        <v>#N/A</v>
      </c>
      <c r="K822" s="6" t="str">
        <f>VLOOKUP(A822,Sheet4!$A:$H,7,0)</f>
        <v>Jersey Pillow Cases</v>
      </c>
      <c r="L822" s="6" t="str">
        <f>VLOOKUP(B822,Sheet4!$A:$H,8,0)</f>
        <v>Bedding</v>
      </c>
      <c r="M822" s="6">
        <v>549.0</v>
      </c>
      <c r="N822" s="8">
        <v>499.0</v>
      </c>
      <c r="O822" s="10">
        <v>499.0</v>
      </c>
      <c r="P822" s="10">
        <v>449.0</v>
      </c>
    </row>
    <row r="823">
      <c r="A823" s="6" t="s">
        <v>3614</v>
      </c>
      <c r="B823" s="6" t="s">
        <v>3614</v>
      </c>
      <c r="C823" s="6" t="s">
        <v>3615</v>
      </c>
      <c r="D823" s="6" t="s">
        <v>3616</v>
      </c>
      <c r="E823" s="6" t="e">
        <v>#N/A</v>
      </c>
      <c r="F823" s="6">
        <v>0.0</v>
      </c>
      <c r="G823" s="6" t="s">
        <v>3617</v>
      </c>
      <c r="H823" s="7" t="s">
        <v>3618</v>
      </c>
      <c r="I823" s="6" t="e">
        <v>#N/A</v>
      </c>
      <c r="J823" s="6" t="e">
        <v>#N/A</v>
      </c>
      <c r="K823" s="6" t="str">
        <f>VLOOKUP(A823,Sheet4!$A:$H,7,0)</f>
        <v>Jersey Fitted Bed sheet</v>
      </c>
      <c r="L823" s="6" t="str">
        <f>VLOOKUP(B823,Sheet4!$A:$H,8,0)</f>
        <v>Bedding</v>
      </c>
      <c r="M823" s="6">
        <v>549.0</v>
      </c>
      <c r="N823" s="8">
        <v>499.0</v>
      </c>
      <c r="O823" s="10">
        <v>499.0</v>
      </c>
      <c r="P823" s="10">
        <v>466.65</v>
      </c>
    </row>
    <row r="824">
      <c r="A824" s="6" t="s">
        <v>3619</v>
      </c>
      <c r="B824" s="6" t="s">
        <v>3619</v>
      </c>
      <c r="C824" s="6" t="s">
        <v>3620</v>
      </c>
      <c r="D824" s="6" t="s">
        <v>3621</v>
      </c>
      <c r="E824" s="6" t="e">
        <v>#N/A</v>
      </c>
      <c r="F824" s="6">
        <v>0.0</v>
      </c>
      <c r="G824" s="6" t="s">
        <v>3622</v>
      </c>
      <c r="H824" s="7" t="s">
        <v>3623</v>
      </c>
      <c r="I824" s="6" t="e">
        <v>#N/A</v>
      </c>
      <c r="J824" s="6" t="e">
        <v>#N/A</v>
      </c>
      <c r="K824" s="6" t="str">
        <f>VLOOKUP(A824,Sheet4!$A:$H,7,0)</f>
        <v>Satin Pillow Case</v>
      </c>
      <c r="L824" s="6" t="str">
        <f>VLOOKUP(B824,Sheet4!$A:$H,8,0)</f>
        <v>Bedding</v>
      </c>
      <c r="M824" s="6">
        <v>899.0</v>
      </c>
      <c r="N824" s="8">
        <v>799.0</v>
      </c>
      <c r="O824" s="10">
        <v>799.0</v>
      </c>
      <c r="P824" s="10">
        <v>749.0</v>
      </c>
    </row>
    <row r="825">
      <c r="A825" s="6" t="s">
        <v>3624</v>
      </c>
      <c r="B825" s="6" t="s">
        <v>3624</v>
      </c>
      <c r="C825" s="6" t="s">
        <v>3625</v>
      </c>
      <c r="D825" s="6" t="s">
        <v>3626</v>
      </c>
      <c r="E825" s="6" t="e">
        <v>#N/A</v>
      </c>
      <c r="F825" s="6">
        <v>0.0</v>
      </c>
      <c r="G825" s="6" t="s">
        <v>3627</v>
      </c>
      <c r="H825" s="7" t="s">
        <v>3628</v>
      </c>
      <c r="I825" s="6" t="e">
        <v>#N/A</v>
      </c>
      <c r="J825" s="6" t="e">
        <v>#N/A</v>
      </c>
      <c r="K825" s="6" t="str">
        <f>VLOOKUP(A825,Sheet4!$A:$H,7,0)</f>
        <v>Satin Pillow Case</v>
      </c>
      <c r="L825" s="6" t="str">
        <f>VLOOKUP(B825,Sheet4!$A:$H,8,0)</f>
        <v>Bedding</v>
      </c>
      <c r="M825" s="6">
        <v>899.0</v>
      </c>
      <c r="N825" s="8">
        <v>799.0</v>
      </c>
      <c r="O825" s="10">
        <v>799.0</v>
      </c>
      <c r="P825" s="10">
        <v>749.0</v>
      </c>
    </row>
    <row r="826">
      <c r="A826" s="6" t="s">
        <v>3629</v>
      </c>
      <c r="B826" s="6" t="s">
        <v>3629</v>
      </c>
      <c r="C826" s="6" t="s">
        <v>3630</v>
      </c>
      <c r="D826" s="6" t="s">
        <v>3631</v>
      </c>
      <c r="E826" s="6" t="e">
        <v>#N/A</v>
      </c>
      <c r="F826" s="6">
        <v>0.0</v>
      </c>
      <c r="G826" s="6" t="s">
        <v>3632</v>
      </c>
      <c r="H826" s="7" t="s">
        <v>3633</v>
      </c>
      <c r="I826" s="6" t="e">
        <v>#N/A</v>
      </c>
      <c r="J826" s="6" t="e">
        <v>#N/A</v>
      </c>
      <c r="K826" s="6" t="str">
        <f>VLOOKUP(A826,Sheet4!$A:$H,7,0)</f>
        <v>Satin Pillow Case</v>
      </c>
      <c r="L826" s="6" t="str">
        <f>VLOOKUP(B826,Sheet4!$A:$H,8,0)</f>
        <v>Bedding</v>
      </c>
      <c r="M826" s="6">
        <v>899.0</v>
      </c>
      <c r="N826" s="8">
        <v>799.0</v>
      </c>
      <c r="O826" s="10">
        <v>799.0</v>
      </c>
      <c r="P826" s="10">
        <v>749.0</v>
      </c>
    </row>
    <row r="827">
      <c r="A827" s="6" t="s">
        <v>3634</v>
      </c>
      <c r="B827" s="6" t="s">
        <v>3634</v>
      </c>
      <c r="C827" s="6" t="s">
        <v>3635</v>
      </c>
      <c r="D827" s="6" t="s">
        <v>3636</v>
      </c>
      <c r="E827" s="6" t="e">
        <v>#N/A</v>
      </c>
      <c r="F827" s="6" t="s">
        <v>3634</v>
      </c>
      <c r="G827" s="6" t="s">
        <v>3637</v>
      </c>
      <c r="H827" s="7" t="s">
        <v>3638</v>
      </c>
      <c r="I827" s="6" t="e">
        <v>#N/A</v>
      </c>
      <c r="J827" s="6" t="e">
        <v>#N/A</v>
      </c>
      <c r="K827" s="6" t="str">
        <f>VLOOKUP(A827,Sheet4!$A:$H,7,0)</f>
        <v>Satin Pillow Case</v>
      </c>
      <c r="L827" s="6" t="str">
        <f>VLOOKUP(B827,Sheet4!$A:$H,8,0)</f>
        <v>Bedding</v>
      </c>
      <c r="M827" s="6">
        <v>899.0</v>
      </c>
      <c r="N827" s="8">
        <v>799.0</v>
      </c>
      <c r="O827" s="10">
        <v>799.0</v>
      </c>
      <c r="P827" s="10">
        <v>749.0</v>
      </c>
    </row>
    <row r="828">
      <c r="A828" s="6" t="s">
        <v>3639</v>
      </c>
      <c r="B828" s="6" t="s">
        <v>3639</v>
      </c>
      <c r="C828" s="6" t="s">
        <v>3640</v>
      </c>
      <c r="D828" s="6" t="s">
        <v>3641</v>
      </c>
      <c r="E828" s="6" t="e">
        <v>#N/A</v>
      </c>
      <c r="F828" s="6">
        <v>0.0</v>
      </c>
      <c r="G828" s="6" t="s">
        <v>3642</v>
      </c>
      <c r="H828" s="7" t="s">
        <v>3643</v>
      </c>
      <c r="I828" s="6" t="e">
        <v>#N/A</v>
      </c>
      <c r="J828" s="6" t="e">
        <v>#N/A</v>
      </c>
      <c r="K828" s="6" t="str">
        <f>VLOOKUP(A828,Sheet4!$A:$H,7,0)</f>
        <v>Satin Pillow Case</v>
      </c>
      <c r="L828" s="6" t="str">
        <f>VLOOKUP(B828,Sheet4!$A:$H,8,0)</f>
        <v>Bedding</v>
      </c>
      <c r="M828" s="6">
        <v>899.0</v>
      </c>
      <c r="N828" s="8">
        <v>799.0</v>
      </c>
      <c r="O828" s="10">
        <v>799.0</v>
      </c>
      <c r="P828" s="10">
        <v>749.0</v>
      </c>
    </row>
    <row r="829">
      <c r="A829" s="6" t="s">
        <v>3644</v>
      </c>
      <c r="B829" s="6" t="s">
        <v>3644</v>
      </c>
      <c r="C829" s="6" t="s">
        <v>3645</v>
      </c>
      <c r="D829" s="6" t="s">
        <v>3646</v>
      </c>
      <c r="E829" s="6" t="s">
        <v>3647</v>
      </c>
      <c r="F829" s="6" t="s">
        <v>3648</v>
      </c>
      <c r="G829" s="6" t="s">
        <v>3649</v>
      </c>
      <c r="H829" s="7" t="s">
        <v>3650</v>
      </c>
      <c r="I829" s="6" t="e">
        <v>#N/A</v>
      </c>
      <c r="J829" s="6" t="e">
        <v>#N/A</v>
      </c>
      <c r="K829" s="6" t="str">
        <f>VLOOKUP(A829,Sheet4!$A:$H,7,0)</f>
        <v>Sateen Pillow Case</v>
      </c>
      <c r="L829" s="6" t="str">
        <f>VLOOKUP(B829,Sheet4!$A:$H,8,0)</f>
        <v>Bedding</v>
      </c>
      <c r="M829" s="6">
        <v>999.0</v>
      </c>
      <c r="N829" s="8">
        <v>899.0</v>
      </c>
      <c r="O829" s="10">
        <v>899.0</v>
      </c>
      <c r="P829" s="10">
        <v>849.15</v>
      </c>
    </row>
    <row r="830">
      <c r="A830" s="6" t="s">
        <v>3651</v>
      </c>
      <c r="B830" s="6" t="s">
        <v>3651</v>
      </c>
      <c r="C830" s="6" t="s">
        <v>3652</v>
      </c>
      <c r="D830" s="6" t="s">
        <v>3653</v>
      </c>
      <c r="E830" s="6" t="s">
        <v>3654</v>
      </c>
      <c r="F830" s="6" t="s">
        <v>3655</v>
      </c>
      <c r="G830" s="6" t="s">
        <v>3656</v>
      </c>
      <c r="H830" s="7" t="s">
        <v>3657</v>
      </c>
      <c r="I830" s="6" t="e">
        <v>#N/A</v>
      </c>
      <c r="J830" s="6" t="e">
        <v>#N/A</v>
      </c>
      <c r="K830" s="6" t="str">
        <f>VLOOKUP(A830,Sheet4!$A:$H,7,0)</f>
        <v>Sateen Pillow Case</v>
      </c>
      <c r="L830" s="6" t="str">
        <f>VLOOKUP(B830,Sheet4!$A:$H,8,0)</f>
        <v>Bedding</v>
      </c>
      <c r="M830" s="6">
        <v>999.0</v>
      </c>
      <c r="N830" s="8">
        <v>899.0</v>
      </c>
      <c r="O830" s="10">
        <v>899.0</v>
      </c>
      <c r="P830" s="10">
        <v>849.15</v>
      </c>
    </row>
    <row r="831">
      <c r="A831" s="6" t="s">
        <v>3658</v>
      </c>
      <c r="B831" s="6" t="s">
        <v>3658</v>
      </c>
      <c r="C831" s="6" t="s">
        <v>3659</v>
      </c>
      <c r="D831" s="6" t="s">
        <v>3660</v>
      </c>
      <c r="E831" s="6" t="e">
        <v>#N/A</v>
      </c>
      <c r="F831" s="6" t="s">
        <v>3661</v>
      </c>
      <c r="G831" s="6" t="s">
        <v>3662</v>
      </c>
      <c r="H831" s="7" t="s">
        <v>3663</v>
      </c>
      <c r="I831" s="6" t="e">
        <v>#N/A</v>
      </c>
      <c r="J831" s="6" t="e">
        <v>#N/A</v>
      </c>
      <c r="K831" s="6" t="str">
        <f>VLOOKUP(A831,Sheet4!$A:$H,7,0)</f>
        <v>Sateen Pillow Case</v>
      </c>
      <c r="L831" s="6" t="str">
        <f>VLOOKUP(B831,Sheet4!$A:$H,8,0)</f>
        <v>Bedding</v>
      </c>
      <c r="M831" s="6">
        <v>999.0</v>
      </c>
      <c r="N831" s="8">
        <v>899.0</v>
      </c>
      <c r="O831" s="10">
        <v>899.0</v>
      </c>
      <c r="P831" s="10">
        <v>849.15</v>
      </c>
    </row>
    <row r="832">
      <c r="A832" s="6" t="s">
        <v>3664</v>
      </c>
      <c r="B832" s="6" t="s">
        <v>3664</v>
      </c>
      <c r="C832" s="6" t="s">
        <v>3665</v>
      </c>
      <c r="D832" s="6" t="s">
        <v>3666</v>
      </c>
      <c r="E832" s="6" t="s">
        <v>3667</v>
      </c>
      <c r="F832" s="6" t="s">
        <v>3668</v>
      </c>
      <c r="G832" s="6" t="s">
        <v>3669</v>
      </c>
      <c r="H832" s="7" t="s">
        <v>3670</v>
      </c>
      <c r="I832" s="6" t="e">
        <v>#N/A</v>
      </c>
      <c r="J832" s="6" t="e">
        <v>#N/A</v>
      </c>
      <c r="K832" s="6" t="str">
        <f>VLOOKUP(A832,Sheet4!$A:$H,7,0)</f>
        <v>Sateen Pillow Case</v>
      </c>
      <c r="L832" s="6" t="str">
        <f>VLOOKUP(B832,Sheet4!$A:$H,8,0)</f>
        <v>Bedding</v>
      </c>
      <c r="M832" s="6">
        <v>999.0</v>
      </c>
      <c r="N832" s="8">
        <v>899.0</v>
      </c>
      <c r="O832" s="10">
        <v>899.0</v>
      </c>
      <c r="P832" s="10">
        <v>849.15</v>
      </c>
    </row>
    <row r="833">
      <c r="A833" s="6" t="s">
        <v>3671</v>
      </c>
      <c r="B833" s="6" t="s">
        <v>3671</v>
      </c>
      <c r="C833" s="6" t="s">
        <v>3672</v>
      </c>
      <c r="D833" s="6" t="s">
        <v>3673</v>
      </c>
      <c r="E833" s="6" t="e">
        <v>#N/A</v>
      </c>
      <c r="F833" s="6">
        <v>0.0</v>
      </c>
      <c r="G833" s="6" t="s">
        <v>3674</v>
      </c>
      <c r="H833" s="7" t="s">
        <v>3675</v>
      </c>
      <c r="I833" s="6" t="e">
        <v>#N/A</v>
      </c>
      <c r="J833" s="6" t="e">
        <v>#N/A</v>
      </c>
      <c r="K833" s="6" t="str">
        <f>VLOOKUP(A833,Sheet4!$A:$H,7,0)</f>
        <v>Satin Pillow Case</v>
      </c>
      <c r="L833" s="6" t="str">
        <f>VLOOKUP(B833,Sheet4!$A:$H,8,0)</f>
        <v>Bedding</v>
      </c>
      <c r="M833" s="6">
        <v>999.0</v>
      </c>
      <c r="N833" s="8">
        <v>879.0</v>
      </c>
      <c r="O833" s="10">
        <v>899.0</v>
      </c>
      <c r="P833" s="10">
        <v>879.0</v>
      </c>
    </row>
    <row r="834">
      <c r="A834" s="6" t="s">
        <v>3676</v>
      </c>
      <c r="B834" s="6" t="s">
        <v>3676</v>
      </c>
      <c r="C834" s="6" t="s">
        <v>3677</v>
      </c>
      <c r="D834" s="6" t="s">
        <v>3678</v>
      </c>
      <c r="E834" s="6" t="e">
        <v>#N/A</v>
      </c>
      <c r="F834" s="6">
        <v>0.0</v>
      </c>
      <c r="G834" s="6" t="s">
        <v>3679</v>
      </c>
      <c r="H834" s="7" t="s">
        <v>3680</v>
      </c>
      <c r="I834" s="6" t="e">
        <v>#N/A</v>
      </c>
      <c r="J834" s="6" t="e">
        <v>#N/A</v>
      </c>
      <c r="K834" s="6" t="str">
        <f>VLOOKUP(A834,Sheet4!$A:$H,7,0)</f>
        <v>Satin Pillow Case</v>
      </c>
      <c r="L834" s="6" t="str">
        <f>VLOOKUP(B834,Sheet4!$A:$H,8,0)</f>
        <v>Bedding</v>
      </c>
      <c r="M834" s="6">
        <v>999.0</v>
      </c>
      <c r="N834" s="8">
        <v>879.0</v>
      </c>
      <c r="O834" s="10">
        <v>899.0</v>
      </c>
      <c r="P834" s="10">
        <v>879.0</v>
      </c>
    </row>
    <row r="835">
      <c r="A835" s="6" t="s">
        <v>3681</v>
      </c>
      <c r="B835" s="6" t="s">
        <v>3681</v>
      </c>
      <c r="C835" s="6" t="s">
        <v>3682</v>
      </c>
      <c r="D835" s="6" t="s">
        <v>3683</v>
      </c>
      <c r="E835" s="6" t="e">
        <v>#N/A</v>
      </c>
      <c r="F835" s="6">
        <v>0.0</v>
      </c>
      <c r="G835" s="6" t="s">
        <v>3684</v>
      </c>
      <c r="H835" s="7" t="s">
        <v>3685</v>
      </c>
      <c r="I835" s="6" t="e">
        <v>#N/A</v>
      </c>
      <c r="J835" s="6" t="e">
        <v>#N/A</v>
      </c>
      <c r="K835" s="6" t="str">
        <f>VLOOKUP(A835,Sheet4!$A:$H,7,0)</f>
        <v>Satin Pillow Case</v>
      </c>
      <c r="L835" s="6" t="str">
        <f>VLOOKUP(B835,Sheet4!$A:$H,8,0)</f>
        <v>Bedding</v>
      </c>
      <c r="M835" s="6">
        <v>999.0</v>
      </c>
      <c r="N835" s="8">
        <v>879.0</v>
      </c>
      <c r="O835" s="10">
        <v>899.0</v>
      </c>
      <c r="P835" s="10">
        <v>879.0</v>
      </c>
    </row>
    <row r="836">
      <c r="A836" s="6" t="s">
        <v>3686</v>
      </c>
      <c r="B836" s="6" t="s">
        <v>3686</v>
      </c>
      <c r="C836" s="6" t="s">
        <v>3687</v>
      </c>
      <c r="D836" s="6" t="s">
        <v>3688</v>
      </c>
      <c r="E836" s="6" t="e">
        <v>#N/A</v>
      </c>
      <c r="F836" s="6">
        <v>0.0</v>
      </c>
      <c r="G836" s="6" t="s">
        <v>3689</v>
      </c>
      <c r="H836" s="7" t="s">
        <v>3690</v>
      </c>
      <c r="I836" s="6" t="e">
        <v>#N/A</v>
      </c>
      <c r="J836" s="6" t="e">
        <v>#N/A</v>
      </c>
      <c r="K836" s="6" t="str">
        <f>VLOOKUP(A836,Sheet4!$A:$H,7,0)</f>
        <v>Satin Pillow Case</v>
      </c>
      <c r="L836" s="6" t="str">
        <f>VLOOKUP(B836,Sheet4!$A:$H,8,0)</f>
        <v>Bedding</v>
      </c>
      <c r="M836" s="6">
        <v>999.0</v>
      </c>
      <c r="N836" s="8">
        <v>899.0</v>
      </c>
      <c r="O836" s="10">
        <v>899.0</v>
      </c>
      <c r="P836" s="10">
        <v>849.0</v>
      </c>
    </row>
    <row r="837">
      <c r="A837" s="6" t="s">
        <v>3691</v>
      </c>
      <c r="B837" s="6" t="s">
        <v>3691</v>
      </c>
      <c r="C837" s="6" t="s">
        <v>3692</v>
      </c>
      <c r="D837" s="6" t="s">
        <v>3693</v>
      </c>
      <c r="E837" s="6" t="e">
        <v>#N/A</v>
      </c>
      <c r="F837" s="6">
        <v>0.0</v>
      </c>
      <c r="G837" s="6" t="s">
        <v>3694</v>
      </c>
      <c r="H837" s="7" t="s">
        <v>3695</v>
      </c>
      <c r="I837" s="6" t="e">
        <v>#N/A</v>
      </c>
      <c r="J837" s="6" t="e">
        <v>#N/A</v>
      </c>
      <c r="K837" s="6" t="str">
        <f>VLOOKUP(A837,Sheet4!$A:$H,7,0)</f>
        <v>Satin Pillow Case</v>
      </c>
      <c r="L837" s="6" t="str">
        <f>VLOOKUP(B837,Sheet4!$A:$H,8,0)</f>
        <v>Bedding</v>
      </c>
      <c r="M837" s="6">
        <v>999.0</v>
      </c>
      <c r="N837" s="8">
        <v>899.0</v>
      </c>
      <c r="O837" s="10">
        <v>899.0</v>
      </c>
      <c r="P837" s="10">
        <v>849.0</v>
      </c>
    </row>
    <row r="838">
      <c r="A838" s="6" t="s">
        <v>3696</v>
      </c>
      <c r="B838" s="6" t="s">
        <v>3696</v>
      </c>
      <c r="C838" s="6" t="s">
        <v>3697</v>
      </c>
      <c r="D838" s="6" t="s">
        <v>3698</v>
      </c>
      <c r="E838" s="6" t="e">
        <v>#N/A</v>
      </c>
      <c r="F838" s="6">
        <v>0.0</v>
      </c>
      <c r="G838" s="6" t="s">
        <v>3699</v>
      </c>
      <c r="H838" s="7" t="s">
        <v>3700</v>
      </c>
      <c r="I838" s="6" t="e">
        <v>#N/A</v>
      </c>
      <c r="J838" s="6" t="e">
        <v>#N/A</v>
      </c>
      <c r="K838" s="6" t="str">
        <f>VLOOKUP(A838,Sheet4!$A:$H,7,0)</f>
        <v>Satin Pillow Case</v>
      </c>
      <c r="L838" s="6" t="str">
        <f>VLOOKUP(B838,Sheet4!$A:$H,8,0)</f>
        <v>Bedding</v>
      </c>
      <c r="M838" s="6">
        <v>949.0</v>
      </c>
      <c r="N838" s="8">
        <v>899.0</v>
      </c>
      <c r="O838" s="10">
        <v>899.0</v>
      </c>
      <c r="P838" s="10">
        <v>849.0</v>
      </c>
    </row>
    <row r="839">
      <c r="A839" s="6" t="s">
        <v>3701</v>
      </c>
      <c r="B839" s="6" t="s">
        <v>3701</v>
      </c>
      <c r="C839" s="6" t="s">
        <v>3702</v>
      </c>
      <c r="D839" s="6" t="s">
        <v>3703</v>
      </c>
      <c r="E839" s="6" t="e">
        <v>#N/A</v>
      </c>
      <c r="F839" s="6">
        <v>0.0</v>
      </c>
      <c r="G839" s="6" t="s">
        <v>3704</v>
      </c>
      <c r="H839" s="7" t="s">
        <v>3705</v>
      </c>
      <c r="I839" s="6" t="e">
        <v>#N/A</v>
      </c>
      <c r="J839" s="6" t="e">
        <v>#N/A</v>
      </c>
      <c r="K839" s="6" t="str">
        <f>VLOOKUP(A839,Sheet4!$A:$H,7,0)</f>
        <v>Satin Pillow Case</v>
      </c>
      <c r="L839" s="6" t="str">
        <f>VLOOKUP(B839,Sheet4!$A:$H,8,0)</f>
        <v>Bedding</v>
      </c>
      <c r="M839" s="6">
        <v>949.0</v>
      </c>
      <c r="N839" s="8">
        <v>899.0</v>
      </c>
      <c r="O839" s="10">
        <v>899.0</v>
      </c>
      <c r="P839" s="10">
        <v>849.0</v>
      </c>
    </row>
    <row r="840">
      <c r="A840" s="6" t="s">
        <v>3706</v>
      </c>
      <c r="B840" s="6" t="s">
        <v>3706</v>
      </c>
      <c r="C840" s="6" t="s">
        <v>3707</v>
      </c>
      <c r="D840" s="6" t="s">
        <v>3708</v>
      </c>
      <c r="E840" s="6" t="e">
        <v>#N/A</v>
      </c>
      <c r="F840" s="6">
        <v>0.0</v>
      </c>
      <c r="G840" s="6" t="s">
        <v>3709</v>
      </c>
      <c r="H840" s="7" t="s">
        <v>3710</v>
      </c>
      <c r="I840" s="6" t="e">
        <v>#N/A</v>
      </c>
      <c r="J840" s="6" t="e">
        <v>#N/A</v>
      </c>
      <c r="K840" s="6" t="str">
        <f>VLOOKUP(A840,Sheet4!$A:$H,7,0)</f>
        <v>Satin Pillow Case</v>
      </c>
      <c r="L840" s="6" t="str">
        <f>VLOOKUP(B840,Sheet4!$A:$H,8,0)</f>
        <v>Bedding</v>
      </c>
      <c r="M840" s="6">
        <v>949.0</v>
      </c>
      <c r="N840" s="8">
        <v>899.0</v>
      </c>
      <c r="O840" s="10">
        <v>899.0</v>
      </c>
      <c r="P840" s="10">
        <v>849.0</v>
      </c>
    </row>
    <row r="841">
      <c r="A841" s="6" t="s">
        <v>3711</v>
      </c>
      <c r="B841" s="6" t="s">
        <v>3711</v>
      </c>
      <c r="C841" s="6" t="s">
        <v>3712</v>
      </c>
      <c r="D841" s="6" t="s">
        <v>3713</v>
      </c>
      <c r="E841" s="6" t="e">
        <v>#N/A</v>
      </c>
      <c r="F841" s="6" t="s">
        <v>3711</v>
      </c>
      <c r="G841" s="6" t="s">
        <v>3714</v>
      </c>
      <c r="H841" s="7" t="s">
        <v>3715</v>
      </c>
      <c r="I841" s="6" t="e">
        <v>#N/A</v>
      </c>
      <c r="J841" s="6" t="e">
        <v>#N/A</v>
      </c>
      <c r="K841" s="6" t="str">
        <f>VLOOKUP(A841,Sheet4!$A:$H,7,0)</f>
        <v>Cuddle Pillow Case</v>
      </c>
      <c r="L841" s="6" t="str">
        <f>VLOOKUP(B841,Sheet4!$A:$H,8,0)</f>
        <v>Bedding</v>
      </c>
      <c r="M841" s="6">
        <v>949.0</v>
      </c>
      <c r="N841" s="8">
        <v>899.0</v>
      </c>
      <c r="O841" s="10">
        <v>899.0</v>
      </c>
      <c r="P841" s="10">
        <v>849.0</v>
      </c>
    </row>
    <row r="842">
      <c r="A842" s="6" t="s">
        <v>3716</v>
      </c>
      <c r="B842" s="6" t="s">
        <v>3716</v>
      </c>
      <c r="C842" s="6" t="s">
        <v>3717</v>
      </c>
      <c r="D842" s="6" t="s">
        <v>3718</v>
      </c>
      <c r="E842" s="6" t="e">
        <v>#N/A</v>
      </c>
      <c r="F842" s="6">
        <v>0.0</v>
      </c>
      <c r="G842" s="6" t="s">
        <v>3719</v>
      </c>
      <c r="H842" s="7" t="s">
        <v>3720</v>
      </c>
      <c r="I842" s="6" t="e">
        <v>#N/A</v>
      </c>
      <c r="J842" s="6" t="e">
        <v>#N/A</v>
      </c>
      <c r="K842" s="6" t="str">
        <f>VLOOKUP(A842,Sheet4!$A:$H,7,0)</f>
        <v>Satin Pillow Case</v>
      </c>
      <c r="L842" s="6" t="str">
        <f>VLOOKUP(B842,Sheet4!$A:$H,8,0)</f>
        <v>Bedding</v>
      </c>
      <c r="M842" s="6">
        <v>949.0</v>
      </c>
      <c r="N842" s="8">
        <v>939.51</v>
      </c>
      <c r="O842" s="10">
        <v>949.0</v>
      </c>
      <c r="P842" s="10">
        <v>899.0</v>
      </c>
    </row>
    <row r="843">
      <c r="A843" s="6" t="s">
        <v>3721</v>
      </c>
      <c r="B843" s="6" t="s">
        <v>3721</v>
      </c>
      <c r="C843" s="6" t="s">
        <v>3722</v>
      </c>
      <c r="D843" s="6" t="s">
        <v>3723</v>
      </c>
      <c r="E843" s="6" t="e">
        <v>#N/A</v>
      </c>
      <c r="F843" s="6" t="s">
        <v>3721</v>
      </c>
      <c r="G843" s="6" t="s">
        <v>3724</v>
      </c>
      <c r="H843" s="7" t="s">
        <v>3725</v>
      </c>
      <c r="I843" s="6" t="e">
        <v>#N/A</v>
      </c>
      <c r="J843" s="6" t="e">
        <v>#N/A</v>
      </c>
      <c r="K843" s="6" t="str">
        <f>VLOOKUP(A843,Sheet4!$A:$H,7,0)</f>
        <v>Jersey Pillow Cases</v>
      </c>
      <c r="L843" s="6" t="str">
        <f>VLOOKUP(B843,Sheet4!$A:$H,8,0)</f>
        <v>Bedding</v>
      </c>
      <c r="M843" s="6">
        <v>649.0</v>
      </c>
      <c r="N843" s="8">
        <v>599.0</v>
      </c>
      <c r="O843" s="10">
        <v>599.0</v>
      </c>
      <c r="P843" s="10">
        <v>549.0</v>
      </c>
    </row>
    <row r="844">
      <c r="A844" s="6" t="s">
        <v>3726</v>
      </c>
      <c r="B844" s="6" t="s">
        <v>3726</v>
      </c>
      <c r="C844" s="6" t="s">
        <v>3727</v>
      </c>
      <c r="D844" s="6" t="s">
        <v>3728</v>
      </c>
      <c r="E844" s="6" t="e">
        <v>#N/A</v>
      </c>
      <c r="F844" s="6">
        <v>0.0</v>
      </c>
      <c r="G844" s="6" t="s">
        <v>3729</v>
      </c>
      <c r="H844" s="7" t="s">
        <v>3730</v>
      </c>
      <c r="I844" s="6" t="e">
        <v>#N/A</v>
      </c>
      <c r="J844" s="6" t="e">
        <v>#N/A</v>
      </c>
      <c r="K844" s="6" t="str">
        <f>VLOOKUP(A844,Sheet4!$A:$H,7,0)</f>
        <v>Jersey Pillow Cases</v>
      </c>
      <c r="L844" s="6" t="str">
        <f>VLOOKUP(B844,Sheet4!$A:$H,8,0)</f>
        <v>Bedding</v>
      </c>
      <c r="M844" s="6">
        <v>649.0</v>
      </c>
      <c r="N844" s="8">
        <v>599.0</v>
      </c>
      <c r="O844" s="10">
        <v>599.0</v>
      </c>
      <c r="P844" s="10">
        <v>549.0</v>
      </c>
    </row>
    <row r="845">
      <c r="A845" s="6" t="s">
        <v>3731</v>
      </c>
      <c r="B845" s="6" t="s">
        <v>3731</v>
      </c>
      <c r="C845" s="6" t="s">
        <v>3732</v>
      </c>
      <c r="D845" s="6" t="s">
        <v>3733</v>
      </c>
      <c r="E845" s="6" t="e">
        <v>#N/A</v>
      </c>
      <c r="F845" s="6">
        <v>0.0</v>
      </c>
      <c r="G845" s="6" t="s">
        <v>3734</v>
      </c>
      <c r="H845" s="7" t="s">
        <v>3735</v>
      </c>
      <c r="I845" s="6" t="e">
        <v>#N/A</v>
      </c>
      <c r="J845" s="6" t="e">
        <v>#N/A</v>
      </c>
      <c r="K845" s="6" t="str">
        <f>VLOOKUP(A845,Sheet4!$A:$H,7,0)</f>
        <v>Jersey Pillow Cases</v>
      </c>
      <c r="L845" s="6" t="str">
        <f>VLOOKUP(B845,Sheet4!$A:$H,8,0)</f>
        <v>Bedding</v>
      </c>
      <c r="M845" s="6">
        <v>649.0</v>
      </c>
      <c r="N845" s="8">
        <v>599.0</v>
      </c>
      <c r="O845" s="10">
        <v>599.0</v>
      </c>
      <c r="P845" s="10">
        <v>549.0</v>
      </c>
    </row>
    <row r="846">
      <c r="A846" s="6" t="s">
        <v>3736</v>
      </c>
      <c r="B846" s="6" t="s">
        <v>3736</v>
      </c>
      <c r="C846" s="6" t="s">
        <v>3737</v>
      </c>
      <c r="D846" s="6" t="s">
        <v>3738</v>
      </c>
      <c r="E846" s="6" t="e">
        <v>#N/A</v>
      </c>
      <c r="F846" s="6">
        <v>0.0</v>
      </c>
      <c r="G846" s="6" t="s">
        <v>3739</v>
      </c>
      <c r="H846" s="7" t="s">
        <v>3740</v>
      </c>
      <c r="I846" s="6" t="e">
        <v>#N/A</v>
      </c>
      <c r="J846" s="6" t="e">
        <v>#N/A</v>
      </c>
      <c r="K846" s="6" t="str">
        <f>VLOOKUP(A846,Sheet4!$A:$H,7,0)</f>
        <v>Jersey Fitted Bed sheet</v>
      </c>
      <c r="L846" s="6" t="str">
        <f>VLOOKUP(B846,Sheet4!$A:$H,8,0)</f>
        <v>Bedding</v>
      </c>
      <c r="M846" s="6">
        <v>649.0</v>
      </c>
      <c r="N846" s="8">
        <v>599.0</v>
      </c>
      <c r="O846" s="10">
        <v>599.0</v>
      </c>
      <c r="P846" s="10">
        <v>551.65</v>
      </c>
    </row>
    <row r="847">
      <c r="A847" s="6" t="s">
        <v>3741</v>
      </c>
      <c r="B847" s="6" t="s">
        <v>3741</v>
      </c>
      <c r="C847" s="6" t="s">
        <v>3742</v>
      </c>
      <c r="D847" s="6" t="s">
        <v>3743</v>
      </c>
      <c r="E847" s="6" t="e">
        <v>#N/A</v>
      </c>
      <c r="F847" s="6">
        <v>0.0</v>
      </c>
      <c r="G847" s="6" t="s">
        <v>3744</v>
      </c>
      <c r="H847" s="7" t="s">
        <v>3745</v>
      </c>
      <c r="I847" s="6" t="e">
        <v>#N/A</v>
      </c>
      <c r="J847" s="6" t="e">
        <v>#N/A</v>
      </c>
      <c r="K847" s="6" t="str">
        <f>VLOOKUP(A847,Sheet4!$A:$H,7,0)</f>
        <v>Jersey Pillow Cases</v>
      </c>
      <c r="L847" s="6" t="str">
        <f>VLOOKUP(B847,Sheet4!$A:$H,8,0)</f>
        <v>Bedding</v>
      </c>
      <c r="M847" s="6">
        <v>499.0</v>
      </c>
      <c r="N847" s="8">
        <v>449.0</v>
      </c>
      <c r="O847" s="10">
        <v>499.0</v>
      </c>
      <c r="P847" s="10">
        <v>449.0</v>
      </c>
    </row>
    <row r="848">
      <c r="A848" s="6" t="s">
        <v>3746</v>
      </c>
      <c r="B848" s="6" t="s">
        <v>3746</v>
      </c>
      <c r="C848" s="6" t="s">
        <v>3747</v>
      </c>
      <c r="D848" s="6" t="s">
        <v>3748</v>
      </c>
      <c r="E848" s="6" t="e">
        <v>#N/A</v>
      </c>
      <c r="F848" s="6">
        <v>0.0</v>
      </c>
      <c r="G848" s="6" t="s">
        <v>3749</v>
      </c>
      <c r="H848" s="7" t="s">
        <v>3750</v>
      </c>
      <c r="I848" s="6" t="e">
        <v>#N/A</v>
      </c>
      <c r="J848" s="6" t="e">
        <v>#N/A</v>
      </c>
      <c r="K848" s="6" t="str">
        <f>VLOOKUP(A848,Sheet4!$A:$H,7,0)</f>
        <v>Cuddle Pillow Case</v>
      </c>
      <c r="L848" s="6" t="str">
        <f>VLOOKUP(B848,Sheet4!$A:$H,8,0)</f>
        <v>Bedding</v>
      </c>
      <c r="M848" s="6">
        <v>499.0</v>
      </c>
      <c r="N848" s="8">
        <v>449.0</v>
      </c>
      <c r="O848" s="10">
        <v>449.0</v>
      </c>
      <c r="P848" s="10">
        <v>399.0</v>
      </c>
    </row>
    <row r="849">
      <c r="A849" s="6" t="s">
        <v>3751</v>
      </c>
      <c r="B849" s="6" t="s">
        <v>3751</v>
      </c>
      <c r="C849" s="6" t="s">
        <v>3752</v>
      </c>
      <c r="D849" s="6" t="s">
        <v>3753</v>
      </c>
      <c r="E849" s="6" t="e">
        <v>#N/A</v>
      </c>
      <c r="F849" s="6">
        <v>0.0</v>
      </c>
      <c r="G849" s="6" t="s">
        <v>3754</v>
      </c>
      <c r="H849" s="7" t="s">
        <v>3755</v>
      </c>
      <c r="I849" s="6" t="e">
        <v>#N/A</v>
      </c>
      <c r="J849" s="6" t="e">
        <v>#N/A</v>
      </c>
      <c r="K849" s="6" t="str">
        <f>VLOOKUP(A849,Sheet4!$A:$H,7,0)</f>
        <v>Cuddle Pillow Case</v>
      </c>
      <c r="L849" s="6" t="str">
        <f>VLOOKUP(B849,Sheet4!$A:$H,8,0)</f>
        <v>Bedding</v>
      </c>
      <c r="M849" s="6">
        <v>499.0</v>
      </c>
      <c r="N849" s="8">
        <v>449.0</v>
      </c>
      <c r="O849" s="10">
        <v>449.0</v>
      </c>
      <c r="P849" s="10">
        <v>399.0</v>
      </c>
    </row>
    <row r="850">
      <c r="A850" s="6" t="s">
        <v>3756</v>
      </c>
      <c r="B850" s="6" t="s">
        <v>3756</v>
      </c>
      <c r="C850" s="6" t="s">
        <v>3757</v>
      </c>
      <c r="D850" s="6" t="s">
        <v>3758</v>
      </c>
      <c r="E850" s="6" t="e">
        <v>#N/A</v>
      </c>
      <c r="F850" s="6">
        <v>0.0</v>
      </c>
      <c r="G850" s="6" t="s">
        <v>3759</v>
      </c>
      <c r="H850" s="7" t="s">
        <v>3760</v>
      </c>
      <c r="I850" s="6" t="e">
        <v>#N/A</v>
      </c>
      <c r="J850" s="6" t="e">
        <v>#N/A</v>
      </c>
      <c r="K850" s="6" t="str">
        <f>VLOOKUP(A850,Sheet4!$A:$H,7,0)</f>
        <v>Jersey Fitted Bed sheet</v>
      </c>
      <c r="L850" s="6" t="str">
        <f>VLOOKUP(B850,Sheet4!$A:$H,8,0)</f>
        <v>Bedding</v>
      </c>
      <c r="M850" s="6">
        <v>499.0</v>
      </c>
      <c r="N850" s="8">
        <v>449.0</v>
      </c>
      <c r="O850" s="10">
        <v>499.0</v>
      </c>
      <c r="P850" s="10">
        <v>424.15</v>
      </c>
    </row>
    <row r="851">
      <c r="A851" s="6" t="s">
        <v>3761</v>
      </c>
      <c r="B851" s="6" t="s">
        <v>3761</v>
      </c>
      <c r="C851" s="6" t="s">
        <v>3762</v>
      </c>
      <c r="D851" s="6" t="s">
        <v>3761</v>
      </c>
      <c r="E851" s="6" t="e">
        <v>#N/A</v>
      </c>
      <c r="F851" s="6" t="s">
        <v>3763</v>
      </c>
      <c r="G851" s="6">
        <v>0.0</v>
      </c>
      <c r="H851" s="7" t="s">
        <v>3764</v>
      </c>
      <c r="I851" s="6" t="e">
        <v>#N/A</v>
      </c>
      <c r="J851" s="6" t="e">
        <v>#N/A</v>
      </c>
      <c r="K851" s="6" t="str">
        <f>VLOOKUP(A851,Sheet4!$A:$H,7,0)</f>
        <v>Recliner</v>
      </c>
      <c r="L851" s="6" t="str">
        <f>VLOOKUP(B851,Sheet4!$A:$H,8,0)</f>
        <v>Recliner</v>
      </c>
      <c r="M851" s="6">
        <v>43999.0</v>
      </c>
      <c r="N851" s="8">
        <v>37399.0</v>
      </c>
      <c r="O851" s="9">
        <v>37399.0</v>
      </c>
      <c r="P851" s="10">
        <v>37399.0</v>
      </c>
    </row>
    <row r="852">
      <c r="A852" s="6" t="s">
        <v>3765</v>
      </c>
      <c r="B852" s="6" t="s">
        <v>3765</v>
      </c>
      <c r="C852" s="6" t="s">
        <v>3766</v>
      </c>
      <c r="D852" s="6" t="s">
        <v>3767</v>
      </c>
      <c r="E852" s="6" t="e">
        <v>#N/A</v>
      </c>
      <c r="F852" s="6" t="s">
        <v>3768</v>
      </c>
      <c r="G852" s="6" t="s">
        <v>3769</v>
      </c>
      <c r="H852" s="7" t="s">
        <v>3770</v>
      </c>
      <c r="I852" s="6" t="e">
        <v>#N/A</v>
      </c>
      <c r="J852" s="6" t="e">
        <v>#N/A</v>
      </c>
      <c r="K852" s="6" t="str">
        <f>VLOOKUP(A852,Sheet4!$A:$H,7,0)</f>
        <v>Recliner</v>
      </c>
      <c r="L852" s="6" t="str">
        <f>VLOOKUP(B852,Sheet4!$A:$H,8,0)</f>
        <v>Recliner</v>
      </c>
      <c r="M852" s="6">
        <v>43999.0</v>
      </c>
      <c r="N852" s="8">
        <v>37399.0</v>
      </c>
      <c r="O852" s="9">
        <v>37399.0</v>
      </c>
      <c r="P852" s="10">
        <v>37399.0</v>
      </c>
    </row>
    <row r="853">
      <c r="A853" s="6" t="s">
        <v>3771</v>
      </c>
      <c r="B853" s="6" t="s">
        <v>3771</v>
      </c>
      <c r="C853" s="6" t="s">
        <v>3772</v>
      </c>
      <c r="D853" s="6" t="s">
        <v>3773</v>
      </c>
      <c r="E853" s="6" t="e">
        <v>#N/A</v>
      </c>
      <c r="F853" s="6" t="s">
        <v>3774</v>
      </c>
      <c r="G853" s="6" t="s">
        <v>3775</v>
      </c>
      <c r="H853" s="7" t="s">
        <v>3776</v>
      </c>
      <c r="I853" s="6" t="e">
        <v>#N/A</v>
      </c>
      <c r="J853" s="6" t="e">
        <v>#N/A</v>
      </c>
      <c r="K853" s="6" t="str">
        <f>VLOOKUP(A853,Sheet4!$A:$H,7,0)</f>
        <v>Recliner</v>
      </c>
      <c r="L853" s="6" t="str">
        <f>VLOOKUP(B853,Sheet4!$A:$H,8,0)</f>
        <v>Recliner</v>
      </c>
      <c r="M853" s="6">
        <v>26249.0</v>
      </c>
      <c r="N853" s="8">
        <v>22312.0</v>
      </c>
      <c r="O853" s="9">
        <v>22312.0</v>
      </c>
      <c r="P853" s="9">
        <v>22312.0</v>
      </c>
    </row>
    <row r="854">
      <c r="A854" s="6" t="s">
        <v>3777</v>
      </c>
      <c r="B854" s="6" t="s">
        <v>3777</v>
      </c>
      <c r="C854" s="6" t="s">
        <v>3778</v>
      </c>
      <c r="D854" s="6" t="s">
        <v>3779</v>
      </c>
      <c r="E854" s="6" t="e">
        <v>#N/A</v>
      </c>
      <c r="F854" s="6" t="s">
        <v>3780</v>
      </c>
      <c r="G854" s="6" t="s">
        <v>3781</v>
      </c>
      <c r="H854" s="7" t="s">
        <v>3782</v>
      </c>
      <c r="I854" s="6" t="e">
        <v>#N/A</v>
      </c>
      <c r="J854" s="6" t="e">
        <v>#N/A</v>
      </c>
      <c r="K854" s="6" t="str">
        <f>VLOOKUP(A854,Sheet4!$A:$H,7,0)</f>
        <v>Recliner</v>
      </c>
      <c r="L854" s="6" t="str">
        <f>VLOOKUP(B854,Sheet4!$A:$H,8,0)</f>
        <v>Recliner</v>
      </c>
      <c r="M854" s="6">
        <v>26249.0</v>
      </c>
      <c r="N854" s="8">
        <v>22312.0</v>
      </c>
      <c r="O854" s="9">
        <v>22312.0</v>
      </c>
      <c r="P854" s="9">
        <v>22312.0</v>
      </c>
    </row>
    <row r="855">
      <c r="A855" s="6" t="s">
        <v>3783</v>
      </c>
      <c r="B855" s="6" t="s">
        <v>3783</v>
      </c>
      <c r="C855" s="6" t="s">
        <v>3784</v>
      </c>
      <c r="D855" s="6" t="s">
        <v>3785</v>
      </c>
      <c r="E855" s="6" t="e">
        <v>#N/A</v>
      </c>
      <c r="F855" s="6">
        <v>0.0</v>
      </c>
      <c r="G855" s="6" t="s">
        <v>3786</v>
      </c>
      <c r="H855" s="7" t="s">
        <v>3787</v>
      </c>
      <c r="I855" s="6" t="e">
        <v>#N/A</v>
      </c>
      <c r="J855" s="6" t="e">
        <v>#N/A</v>
      </c>
      <c r="K855" s="6" t="str">
        <f>VLOOKUP(A855,Sheet4!$A:$H,7,0)</f>
        <v>Memory Foam Topper</v>
      </c>
      <c r="L855" s="6" t="str">
        <f>VLOOKUP(B855,Sheet4!$A:$H,8,0)</f>
        <v>Bedding</v>
      </c>
      <c r="M855" s="6">
        <v>5299.0</v>
      </c>
      <c r="N855" s="8">
        <v>3964.0</v>
      </c>
      <c r="O855" s="9">
        <v>4499.0</v>
      </c>
      <c r="P855" s="10">
        <v>3709.3</v>
      </c>
    </row>
    <row r="856">
      <c r="A856" s="6" t="s">
        <v>3788</v>
      </c>
      <c r="B856" s="6" t="s">
        <v>3788</v>
      </c>
      <c r="C856" s="6" t="s">
        <v>3789</v>
      </c>
      <c r="D856" s="6" t="s">
        <v>3790</v>
      </c>
      <c r="E856" s="6" t="e">
        <v>#N/A</v>
      </c>
      <c r="F856" s="6">
        <v>0.0</v>
      </c>
      <c r="G856" s="6" t="s">
        <v>3791</v>
      </c>
      <c r="H856" s="7" t="s">
        <v>3792</v>
      </c>
      <c r="I856" s="6" t="e">
        <v>#N/A</v>
      </c>
      <c r="J856" s="6" t="e">
        <v>#N/A</v>
      </c>
      <c r="K856" s="6" t="str">
        <f>VLOOKUP(A856,Sheet4!$A:$H,7,0)</f>
        <v>Memory Foam Topper</v>
      </c>
      <c r="L856" s="6" t="str">
        <f>VLOOKUP(B856,Sheet4!$A:$H,8,0)</f>
        <v>Bedding</v>
      </c>
      <c r="M856" s="6">
        <v>5999.0</v>
      </c>
      <c r="N856" s="8">
        <v>4499.0</v>
      </c>
      <c r="O856" s="9">
        <v>4999.0</v>
      </c>
      <c r="P856" s="10">
        <v>4199.3</v>
      </c>
    </row>
    <row r="857">
      <c r="A857" s="6" t="s">
        <v>3793</v>
      </c>
      <c r="B857" s="6" t="s">
        <v>3793</v>
      </c>
      <c r="C857" s="6" t="s">
        <v>3794</v>
      </c>
      <c r="D857" s="6" t="s">
        <v>3795</v>
      </c>
      <c r="E857" s="6" t="e">
        <v>#N/A</v>
      </c>
      <c r="F857" s="6">
        <v>0.0</v>
      </c>
      <c r="G857" s="6" t="s">
        <v>3796</v>
      </c>
      <c r="H857" s="7" t="s">
        <v>3797</v>
      </c>
      <c r="I857" s="6" t="e">
        <v>#N/A</v>
      </c>
      <c r="J857" s="6" t="e">
        <v>#N/A</v>
      </c>
      <c r="K857" s="6" t="str">
        <f>VLOOKUP(A857,Sheet4!$A:$H,7,0)</f>
        <v>Memory Foam Topper</v>
      </c>
      <c r="L857" s="6" t="str">
        <f>VLOOKUP(B857,Sheet4!$A:$H,8,0)</f>
        <v>Bedding</v>
      </c>
      <c r="M857" s="6">
        <v>6999.0</v>
      </c>
      <c r="N857" s="8">
        <v>5239.0</v>
      </c>
      <c r="O857" s="9">
        <v>5999.0</v>
      </c>
      <c r="P857" s="10">
        <v>4899.3</v>
      </c>
    </row>
    <row r="858">
      <c r="A858" s="6" t="s">
        <v>3798</v>
      </c>
      <c r="B858" s="6" t="s">
        <v>3798</v>
      </c>
      <c r="C858" s="6" t="s">
        <v>3799</v>
      </c>
      <c r="D858" s="6" t="s">
        <v>3800</v>
      </c>
      <c r="E858" s="6" t="e">
        <v>#N/A</v>
      </c>
      <c r="F858" s="6">
        <v>0.0</v>
      </c>
      <c r="G858" s="6" t="s">
        <v>3801</v>
      </c>
      <c r="H858" s="7" t="s">
        <v>3802</v>
      </c>
      <c r="I858" s="6" t="e">
        <v>#N/A</v>
      </c>
      <c r="J858" s="6" t="e">
        <v>#N/A</v>
      </c>
      <c r="K858" s="6" t="str">
        <f>VLOOKUP(A858,Sheet4!$A:$H,7,0)</f>
        <v>Memory Foam Topper</v>
      </c>
      <c r="L858" s="6" t="str">
        <f>VLOOKUP(B858,Sheet4!$A:$H,8,0)</f>
        <v>Bedding</v>
      </c>
      <c r="M858" s="6">
        <v>8499.0</v>
      </c>
      <c r="N858" s="8">
        <v>6366.0</v>
      </c>
      <c r="O858" s="9">
        <v>7199.0</v>
      </c>
      <c r="P858" s="10">
        <v>5949.3</v>
      </c>
    </row>
    <row r="859">
      <c r="A859" s="6" t="s">
        <v>3803</v>
      </c>
      <c r="B859" s="6" t="s">
        <v>3803</v>
      </c>
      <c r="C859" s="6" t="e">
        <v>#N/A</v>
      </c>
      <c r="D859" s="6" t="e">
        <v>#N/A</v>
      </c>
      <c r="E859" s="6" t="e">
        <v>#N/A</v>
      </c>
      <c r="F859" s="6" t="e">
        <v>#N/A</v>
      </c>
      <c r="G859" s="6">
        <v>0.0</v>
      </c>
      <c r="H859" s="7" t="e">
        <v>#N/A</v>
      </c>
      <c r="I859" s="6" t="e">
        <v>#N/A</v>
      </c>
      <c r="J859" s="6" t="e">
        <v>#N/A</v>
      </c>
      <c r="K859" s="6" t="str">
        <f>VLOOKUP(A859,Sheet4!$A:$H,7,0)</f>
        <v>#N/A</v>
      </c>
      <c r="L859" s="6" t="str">
        <f>VLOOKUP(B859,Sheet4!$A:$H,8,0)</f>
        <v>#N/A</v>
      </c>
      <c r="M859" s="6" t="str">
        <f>VLOOKUP(A859,#REF!,2,FALSE)</f>
        <v>#REF!</v>
      </c>
      <c r="N859" s="6" t="str">
        <f>VLOOKUP(A859, Sheet2!A:M, 3, FALSE)</f>
        <v>#N/A</v>
      </c>
      <c r="O859" s="10" t="e">
        <v>#N/A</v>
      </c>
      <c r="P859" s="10" t="e">
        <v>#N/A</v>
      </c>
    </row>
    <row r="860">
      <c r="A860" s="6" t="s">
        <v>3804</v>
      </c>
      <c r="B860" s="6" t="s">
        <v>3804</v>
      </c>
      <c r="C860" s="6" t="s">
        <v>3805</v>
      </c>
      <c r="D860" s="6" t="s">
        <v>3806</v>
      </c>
      <c r="E860" s="6" t="e">
        <v>#N/A</v>
      </c>
      <c r="F860" s="6">
        <v>0.0</v>
      </c>
      <c r="G860" s="6" t="s">
        <v>3807</v>
      </c>
      <c r="H860" s="7" t="s">
        <v>3808</v>
      </c>
      <c r="I860" s="6" t="e">
        <v>#N/A</v>
      </c>
      <c r="J860" s="6" t="e">
        <v>#N/A</v>
      </c>
      <c r="K860" s="6" t="str">
        <f>VLOOKUP(A860,Sheet4!$A:$H,7,0)</f>
        <v>Memory Foam Topper</v>
      </c>
      <c r="L860" s="6" t="str">
        <f>VLOOKUP(B860,Sheet4!$A:$H,8,0)</f>
        <v>Bedding</v>
      </c>
      <c r="M860" s="6">
        <v>9099.0</v>
      </c>
      <c r="N860" s="8">
        <v>6816.0</v>
      </c>
      <c r="O860" s="9">
        <v>7699.0</v>
      </c>
      <c r="P860" s="10">
        <v>6369.3</v>
      </c>
    </row>
    <row r="861">
      <c r="A861" s="6" t="s">
        <v>3809</v>
      </c>
      <c r="B861" s="6" t="s">
        <v>3809</v>
      </c>
      <c r="C861" s="6" t="s">
        <v>3810</v>
      </c>
      <c r="D861" s="6" t="s">
        <v>3811</v>
      </c>
      <c r="E861" s="6" t="e">
        <v>#N/A</v>
      </c>
      <c r="F861" s="6">
        <v>0.0</v>
      </c>
      <c r="G861" s="6" t="s">
        <v>3812</v>
      </c>
      <c r="H861" s="7" t="s">
        <v>3813</v>
      </c>
      <c r="I861" s="6" t="e">
        <v>#N/A</v>
      </c>
      <c r="J861" s="6" t="e">
        <v>#N/A</v>
      </c>
      <c r="K861" s="6" t="str">
        <f>VLOOKUP(A861,Sheet4!$A:$H,7,0)</f>
        <v>Memory Foam Topper</v>
      </c>
      <c r="L861" s="6" t="str">
        <f>VLOOKUP(B861,Sheet4!$A:$H,8,0)</f>
        <v>Bedding</v>
      </c>
      <c r="M861" s="6">
        <v>10499.0</v>
      </c>
      <c r="N861" s="8">
        <v>7864.0</v>
      </c>
      <c r="O861" s="9">
        <v>8899.0</v>
      </c>
      <c r="P861" s="10">
        <v>7349.3</v>
      </c>
    </row>
    <row r="862">
      <c r="A862" s="6" t="s">
        <v>3814</v>
      </c>
      <c r="B862" s="6" t="s">
        <v>3814</v>
      </c>
      <c r="C862" s="6" t="s">
        <v>3815</v>
      </c>
      <c r="D862" s="6" t="s">
        <v>3816</v>
      </c>
      <c r="E862" s="6" t="e">
        <v>#N/A</v>
      </c>
      <c r="F862" s="6">
        <v>0.0</v>
      </c>
      <c r="G862" s="6" t="s">
        <v>3817</v>
      </c>
      <c r="H862" s="7" t="s">
        <v>3818</v>
      </c>
      <c r="I862" s="6" t="e">
        <v>#N/A</v>
      </c>
      <c r="J862" s="6" t="e">
        <v>#N/A</v>
      </c>
      <c r="K862" s="6" t="str">
        <f>VLOOKUP(A862,Sheet4!$A:$H,7,0)</f>
        <v>Memory Foam Topper</v>
      </c>
      <c r="L862" s="6" t="str">
        <f>VLOOKUP(B862,Sheet4!$A:$H,8,0)</f>
        <v>Bedding</v>
      </c>
      <c r="M862" s="6">
        <v>9499.0</v>
      </c>
      <c r="N862" s="8">
        <v>7114.0</v>
      </c>
      <c r="O862" s="9">
        <v>7999.0</v>
      </c>
      <c r="P862" s="10">
        <v>6649.3</v>
      </c>
    </row>
    <row r="863">
      <c r="A863" s="6" t="s">
        <v>3819</v>
      </c>
      <c r="B863" s="6" t="s">
        <v>3819</v>
      </c>
      <c r="C863" s="6" t="s">
        <v>3820</v>
      </c>
      <c r="D863" s="6" t="s">
        <v>3821</v>
      </c>
      <c r="E863" s="6" t="e">
        <v>#N/A</v>
      </c>
      <c r="F863" s="6">
        <v>0.0</v>
      </c>
      <c r="G863" s="6" t="s">
        <v>3822</v>
      </c>
      <c r="H863" s="7" t="s">
        <v>3823</v>
      </c>
      <c r="I863" s="6" t="e">
        <v>#N/A</v>
      </c>
      <c r="J863" s="6" t="e">
        <v>#N/A</v>
      </c>
      <c r="K863" s="6" t="str">
        <f>VLOOKUP(A863,Sheet4!$A:$H,7,0)</f>
        <v>Memory Foam Topper</v>
      </c>
      <c r="L863" s="6" t="str">
        <f>VLOOKUP(B863,Sheet4!$A:$H,8,0)</f>
        <v>Bedding</v>
      </c>
      <c r="M863" s="6">
        <v>10999.0</v>
      </c>
      <c r="N863" s="8">
        <v>8239.0</v>
      </c>
      <c r="O863" s="9">
        <v>9299.0</v>
      </c>
      <c r="P863" s="10">
        <v>7699.3</v>
      </c>
    </row>
    <row r="864">
      <c r="A864" s="6" t="s">
        <v>3824</v>
      </c>
      <c r="B864" s="6" t="s">
        <v>3824</v>
      </c>
      <c r="C864" s="6" t="s">
        <v>3825</v>
      </c>
      <c r="D864" s="6" t="s">
        <v>3826</v>
      </c>
      <c r="E864" s="6" t="e">
        <v>#N/A</v>
      </c>
      <c r="F864" s="6">
        <v>0.0</v>
      </c>
      <c r="G864" s="6" t="s">
        <v>3827</v>
      </c>
      <c r="H864" s="7" t="s">
        <v>3828</v>
      </c>
      <c r="I864" s="6" t="e">
        <v>#N/A</v>
      </c>
      <c r="J864" s="6" t="s">
        <v>3829</v>
      </c>
      <c r="K864" s="6" t="str">
        <f>VLOOKUP(A864,Sheet4!$A:$H,7,0)</f>
        <v>Tri-fold Mattress</v>
      </c>
      <c r="L864" s="6" t="str">
        <f>VLOOKUP(B864,Sheet4!$A:$H,8,0)</f>
        <v>Mattress</v>
      </c>
      <c r="M864" s="6">
        <v>5999.0</v>
      </c>
      <c r="N864" s="15">
        <v>5099.0</v>
      </c>
      <c r="O864" s="9">
        <v>5199.0</v>
      </c>
      <c r="P864" s="10">
        <v>4799.2</v>
      </c>
    </row>
    <row r="865">
      <c r="A865" s="6" t="s">
        <v>3830</v>
      </c>
      <c r="B865" s="6" t="s">
        <v>3830</v>
      </c>
      <c r="C865" s="6" t="s">
        <v>3831</v>
      </c>
      <c r="D865" s="6" t="s">
        <v>3832</v>
      </c>
      <c r="E865" s="6" t="e">
        <v>#N/A</v>
      </c>
      <c r="F865" s="6">
        <v>0.0</v>
      </c>
      <c r="G865" s="6" t="s">
        <v>3833</v>
      </c>
      <c r="H865" s="7" t="s">
        <v>3834</v>
      </c>
      <c r="I865" s="6" t="e">
        <v>#N/A</v>
      </c>
      <c r="J865" s="6" t="s">
        <v>3835</v>
      </c>
      <c r="K865" s="6" t="str">
        <f>VLOOKUP(A865,Sheet4!$A:$H,7,0)</f>
        <v>Tri-fold Mattress</v>
      </c>
      <c r="L865" s="6" t="str">
        <f>VLOOKUP(B865,Sheet4!$A:$H,8,0)</f>
        <v>Mattress</v>
      </c>
      <c r="M865" s="6">
        <v>7499.0</v>
      </c>
      <c r="N865" s="8">
        <v>6374.0</v>
      </c>
      <c r="O865" s="9">
        <v>6399.0</v>
      </c>
      <c r="P865" s="10">
        <v>5999.2</v>
      </c>
    </row>
    <row r="866">
      <c r="A866" s="6" t="s">
        <v>3836</v>
      </c>
      <c r="B866" s="6" t="s">
        <v>3836</v>
      </c>
      <c r="C866" s="6" t="s">
        <v>3837</v>
      </c>
      <c r="D866" s="6" t="s">
        <v>3838</v>
      </c>
      <c r="E866" s="6" t="e">
        <v>#N/A</v>
      </c>
      <c r="F866" s="6">
        <v>0.0</v>
      </c>
      <c r="G866" s="6" t="s">
        <v>3839</v>
      </c>
      <c r="H866" s="7" t="s">
        <v>3840</v>
      </c>
      <c r="I866" s="6" t="e">
        <v>#N/A</v>
      </c>
      <c r="J866" s="6" t="e">
        <v>#N/A</v>
      </c>
      <c r="K866" s="6" t="str">
        <f>VLOOKUP(A866,Sheet4!$A:$H,7,0)</f>
        <v>Wedge Pillow</v>
      </c>
      <c r="L866" s="6" t="str">
        <f>VLOOKUP(B866,Sheet4!$A:$H,8,0)</f>
        <v>Mobility</v>
      </c>
      <c r="M866" s="6">
        <v>2499.0</v>
      </c>
      <c r="N866" s="8">
        <v>1999.0</v>
      </c>
      <c r="O866" s="9">
        <v>1999.0</v>
      </c>
      <c r="P866" s="10">
        <v>1874.25</v>
      </c>
    </row>
    <row r="867">
      <c r="A867" s="6" t="s">
        <v>3841</v>
      </c>
      <c r="B867" s="6" t="s">
        <v>3841</v>
      </c>
      <c r="C867" s="6" t="s">
        <v>3842</v>
      </c>
      <c r="D867" s="6" t="s">
        <v>3843</v>
      </c>
      <c r="E867" s="6" t="e">
        <v>#N/A</v>
      </c>
      <c r="F867" s="6">
        <v>0.0</v>
      </c>
      <c r="G867" s="6" t="s">
        <v>3844</v>
      </c>
      <c r="H867" s="7" t="s">
        <v>3845</v>
      </c>
      <c r="I867" s="6" t="e">
        <v>#N/A</v>
      </c>
      <c r="J867" s="6" t="e">
        <v>#N/A</v>
      </c>
      <c r="K867" s="6" t="str">
        <f>VLOOKUP(A867,Sheet4!$A:$H,7,0)</f>
        <v>Wedge Pillow</v>
      </c>
      <c r="L867" s="6" t="str">
        <f>VLOOKUP(B867,Sheet4!$A:$H,8,0)</f>
        <v>Pillows</v>
      </c>
      <c r="M867" s="6">
        <v>2499.0</v>
      </c>
      <c r="N867" s="8">
        <v>1999.0</v>
      </c>
      <c r="O867" s="9">
        <v>1999.0</v>
      </c>
      <c r="P867" s="10">
        <v>1899.0</v>
      </c>
    </row>
    <row r="868">
      <c r="A868" s="6" t="s">
        <v>3846</v>
      </c>
      <c r="B868" s="6" t="s">
        <v>3846</v>
      </c>
      <c r="C868" s="6" t="s">
        <v>3847</v>
      </c>
      <c r="D868" s="6" t="s">
        <v>3848</v>
      </c>
      <c r="E868" s="6" t="e">
        <v>#N/A</v>
      </c>
      <c r="F868" s="6">
        <v>0.0</v>
      </c>
      <c r="G868" s="6" t="s">
        <v>3849</v>
      </c>
      <c r="H868" s="7" t="s">
        <v>3850</v>
      </c>
      <c r="I868" s="6" t="e">
        <v>#N/A</v>
      </c>
      <c r="J868" s="6" t="e">
        <v>#N/A</v>
      </c>
      <c r="K868" s="6" t="str">
        <f>VLOOKUP(A868,Sheet4!$A:$H,7,0)</f>
        <v>Mobility</v>
      </c>
      <c r="L868" s="6" t="str">
        <f>VLOOKUP(B868,Sheet4!$A:$H,8,0)</f>
        <v>Mobility</v>
      </c>
      <c r="M868" s="6">
        <v>1249.0</v>
      </c>
      <c r="N868" s="8">
        <v>999.0</v>
      </c>
      <c r="O868" s="10">
        <v>999.0</v>
      </c>
      <c r="P868" s="10">
        <v>936.75</v>
      </c>
    </row>
    <row r="869">
      <c r="A869" s="6" t="s">
        <v>3851</v>
      </c>
      <c r="B869" s="6" t="s">
        <v>3851</v>
      </c>
      <c r="C869" s="6" t="s">
        <v>3852</v>
      </c>
      <c r="D869" s="6" t="s">
        <v>3853</v>
      </c>
      <c r="E869" s="6" t="e">
        <v>#N/A</v>
      </c>
      <c r="F869" s="6">
        <v>0.0</v>
      </c>
      <c r="G869" s="6" t="s">
        <v>3854</v>
      </c>
      <c r="H869" s="7" t="s">
        <v>3855</v>
      </c>
      <c r="I869" s="6" t="e">
        <v>#N/A</v>
      </c>
      <c r="J869" s="6" t="e">
        <v>#N/A</v>
      </c>
      <c r="K869" s="6" t="str">
        <f>VLOOKUP(A869,Sheet4!$A:$H,7,0)</f>
        <v>Mobility</v>
      </c>
      <c r="L869" s="6" t="str">
        <f>VLOOKUP(B869,Sheet4!$A:$H,8,0)</f>
        <v>Mobility</v>
      </c>
      <c r="M869" s="6">
        <v>1249.0</v>
      </c>
      <c r="N869" s="8">
        <v>999.0</v>
      </c>
      <c r="O869" s="10">
        <v>999.0</v>
      </c>
      <c r="P869" s="10">
        <v>936.75</v>
      </c>
    </row>
    <row r="870">
      <c r="A870" s="6" t="s">
        <v>3856</v>
      </c>
      <c r="B870" s="6" t="s">
        <v>3856</v>
      </c>
      <c r="C870" s="6" t="s">
        <v>3857</v>
      </c>
      <c r="D870" s="6" t="s">
        <v>3858</v>
      </c>
      <c r="E870" s="6" t="e">
        <v>#N/A</v>
      </c>
      <c r="F870" s="6">
        <v>0.0</v>
      </c>
      <c r="G870" s="6" t="s">
        <v>3859</v>
      </c>
      <c r="H870" s="7" t="s">
        <v>3860</v>
      </c>
      <c r="I870" s="6" t="e">
        <v>#N/A</v>
      </c>
      <c r="J870" s="6" t="e">
        <v>#N/A</v>
      </c>
      <c r="K870" s="6" t="str">
        <f>VLOOKUP(A870,Sheet4!$A:$H,7,0)</f>
        <v>Mobility</v>
      </c>
      <c r="L870" s="6" t="str">
        <f>VLOOKUP(B870,Sheet4!$A:$H,8,0)</f>
        <v>Mobility</v>
      </c>
      <c r="M870" s="6">
        <v>1869.0</v>
      </c>
      <c r="N870" s="8">
        <v>1495.0</v>
      </c>
      <c r="O870" s="9">
        <v>1499.0</v>
      </c>
      <c r="P870" s="10">
        <v>1401.75</v>
      </c>
    </row>
    <row r="871">
      <c r="A871" s="6" t="s">
        <v>3861</v>
      </c>
      <c r="B871" s="6" t="s">
        <v>3861</v>
      </c>
      <c r="C871" s="6" t="s">
        <v>3862</v>
      </c>
      <c r="D871" s="6" t="s">
        <v>3863</v>
      </c>
      <c r="E871" s="6" t="e">
        <v>#N/A</v>
      </c>
      <c r="F871" s="6">
        <v>0.0</v>
      </c>
      <c r="G871" s="6" t="s">
        <v>3864</v>
      </c>
      <c r="H871" s="7" t="s">
        <v>3865</v>
      </c>
      <c r="I871" s="6" t="e">
        <v>#N/A</v>
      </c>
      <c r="J871" s="6" t="e">
        <v>#N/A</v>
      </c>
      <c r="K871" s="6" t="str">
        <f>VLOOKUP(A871,Sheet4!$A:$H,7,0)</f>
        <v>Mobility</v>
      </c>
      <c r="L871" s="6" t="str">
        <f>VLOOKUP(B871,Sheet4!$A:$H,8,0)</f>
        <v>Mobility</v>
      </c>
      <c r="M871" s="6">
        <v>1869.0</v>
      </c>
      <c r="N871" s="8">
        <v>1495.0</v>
      </c>
      <c r="O871" s="9">
        <v>1499.0</v>
      </c>
      <c r="P871" s="10">
        <v>1401.75</v>
      </c>
    </row>
    <row r="872">
      <c r="A872" s="6" t="s">
        <v>3866</v>
      </c>
      <c r="B872" s="6" t="s">
        <v>3866</v>
      </c>
      <c r="C872" s="6" t="s">
        <v>3867</v>
      </c>
      <c r="D872" s="6" t="s">
        <v>3868</v>
      </c>
      <c r="E872" s="6" t="e">
        <v>#N/A</v>
      </c>
      <c r="F872" s="6">
        <v>0.0</v>
      </c>
      <c r="G872" s="6" t="s">
        <v>3869</v>
      </c>
      <c r="H872" s="7" t="s">
        <v>3870</v>
      </c>
      <c r="I872" s="6" t="e">
        <v>#N/A</v>
      </c>
      <c r="J872" s="6" t="e">
        <v>#N/A</v>
      </c>
      <c r="K872" s="6" t="str">
        <f>VLOOKUP(A872,Sheet4!$A:$H,7,0)</f>
        <v>Mobility</v>
      </c>
      <c r="L872" s="6" t="str">
        <f>VLOOKUP(B872,Sheet4!$A:$H,8,0)</f>
        <v>Mobility</v>
      </c>
      <c r="M872" s="6">
        <v>1869.0</v>
      </c>
      <c r="N872" s="8">
        <v>1495.0</v>
      </c>
      <c r="O872" s="9">
        <v>1499.0</v>
      </c>
      <c r="P872" s="10">
        <v>1401.75</v>
      </c>
    </row>
    <row r="873">
      <c r="A873" s="6" t="s">
        <v>3871</v>
      </c>
      <c r="B873" s="6" t="s">
        <v>3871</v>
      </c>
      <c r="C873" s="6" t="s">
        <v>3872</v>
      </c>
      <c r="D873" s="6" t="s">
        <v>3873</v>
      </c>
      <c r="E873" s="6" t="e">
        <v>#N/A</v>
      </c>
      <c r="F873" s="6">
        <v>0.0</v>
      </c>
      <c r="G873" s="6" t="s">
        <v>3874</v>
      </c>
      <c r="H873" s="7" t="s">
        <v>3875</v>
      </c>
      <c r="I873" s="6" t="e">
        <v>#N/A</v>
      </c>
      <c r="J873" s="6" t="e">
        <v>#N/A</v>
      </c>
      <c r="K873" s="6" t="str">
        <f>VLOOKUP(A873,Sheet4!$A:$H,7,0)</f>
        <v>Mobility</v>
      </c>
      <c r="L873" s="6" t="str">
        <f>VLOOKUP(B873,Sheet4!$A:$H,8,0)</f>
        <v>Mobility</v>
      </c>
      <c r="M873" s="6">
        <v>1869.0</v>
      </c>
      <c r="N873" s="8">
        <v>1495.0</v>
      </c>
      <c r="O873" s="9">
        <v>1499.0</v>
      </c>
      <c r="P873" s="10">
        <v>1401.75</v>
      </c>
    </row>
    <row r="874">
      <c r="A874" s="6" t="s">
        <v>3876</v>
      </c>
      <c r="B874" s="6" t="s">
        <v>3876</v>
      </c>
      <c r="C874" s="6" t="s">
        <v>3877</v>
      </c>
      <c r="D874" s="6" t="s">
        <v>3878</v>
      </c>
      <c r="E874" s="6" t="e">
        <v>#N/A</v>
      </c>
      <c r="F874" s="6">
        <v>0.0</v>
      </c>
      <c r="G874" s="6" t="s">
        <v>3879</v>
      </c>
      <c r="H874" s="7" t="s">
        <v>3880</v>
      </c>
      <c r="I874" s="6" t="e">
        <v>#N/A</v>
      </c>
      <c r="J874" s="6" t="e">
        <v>#N/A</v>
      </c>
      <c r="K874" s="6" t="str">
        <f>VLOOKUP(A874,Sheet4!$A:$H,7,0)</f>
        <v>Mobility</v>
      </c>
      <c r="L874" s="6" t="str">
        <f>VLOOKUP(B874,Sheet4!$A:$H,8,0)</f>
        <v>Mobility</v>
      </c>
      <c r="M874" s="6">
        <v>2499.0</v>
      </c>
      <c r="N874" s="8">
        <v>1999.0</v>
      </c>
      <c r="O874" s="9">
        <v>1999.0</v>
      </c>
      <c r="P874" s="10">
        <v>1874.25</v>
      </c>
    </row>
    <row r="875">
      <c r="A875" s="6" t="s">
        <v>3881</v>
      </c>
      <c r="B875" s="6" t="s">
        <v>3881</v>
      </c>
      <c r="C875" s="6" t="s">
        <v>3882</v>
      </c>
      <c r="D875" s="6" t="s">
        <v>3883</v>
      </c>
      <c r="E875" s="6" t="e">
        <v>#N/A</v>
      </c>
      <c r="F875" s="6">
        <v>0.0</v>
      </c>
      <c r="G875" s="6" t="s">
        <v>3884</v>
      </c>
      <c r="H875" s="7" t="s">
        <v>3885</v>
      </c>
      <c r="I875" s="6" t="e">
        <v>#N/A</v>
      </c>
      <c r="J875" s="6" t="e">
        <v>#N/A</v>
      </c>
      <c r="K875" s="6" t="str">
        <f>VLOOKUP(A875,Sheet4!$A:$H,7,0)</f>
        <v>Mobility</v>
      </c>
      <c r="L875" s="6" t="str">
        <f>VLOOKUP(B875,Sheet4!$A:$H,8,0)</f>
        <v>Mobility</v>
      </c>
      <c r="M875" s="6">
        <v>2499.0</v>
      </c>
      <c r="N875" s="8">
        <v>1999.0</v>
      </c>
      <c r="O875" s="9">
        <v>1999.0</v>
      </c>
      <c r="P875" s="10">
        <v>1874.25</v>
      </c>
    </row>
    <row r="876">
      <c r="A876" s="6" t="s">
        <v>3886</v>
      </c>
      <c r="B876" s="6" t="s">
        <v>3886</v>
      </c>
      <c r="C876" s="6" t="s">
        <v>3887</v>
      </c>
      <c r="D876" s="6" t="s">
        <v>3888</v>
      </c>
      <c r="E876" s="6" t="e">
        <v>#N/A</v>
      </c>
      <c r="F876" s="6">
        <v>0.0</v>
      </c>
      <c r="G876" s="6" t="s">
        <v>3889</v>
      </c>
      <c r="H876" s="7" t="s">
        <v>3890</v>
      </c>
      <c r="I876" s="6" t="e">
        <v>#N/A</v>
      </c>
      <c r="J876" s="6" t="e">
        <v>#N/A</v>
      </c>
      <c r="K876" s="6" t="str">
        <f>VLOOKUP(A876,Sheet4!$A:$H,7,0)</f>
        <v>Mobility</v>
      </c>
      <c r="L876" s="6" t="str">
        <f>VLOOKUP(B876,Sheet4!$A:$H,8,0)</f>
        <v>Mobility</v>
      </c>
      <c r="M876" s="6">
        <v>1999.0</v>
      </c>
      <c r="N876" s="8">
        <v>1599.0</v>
      </c>
      <c r="O876" s="9">
        <v>1599.0</v>
      </c>
      <c r="P876" s="10">
        <v>1499.25</v>
      </c>
    </row>
    <row r="877">
      <c r="A877" s="6" t="s">
        <v>3891</v>
      </c>
      <c r="B877" s="6" t="s">
        <v>3891</v>
      </c>
      <c r="C877" s="6" t="s">
        <v>3892</v>
      </c>
      <c r="D877" s="6" t="s">
        <v>3893</v>
      </c>
      <c r="E877" s="6" t="e">
        <v>#N/A</v>
      </c>
      <c r="F877" s="6">
        <v>0.0</v>
      </c>
      <c r="G877" s="6" t="s">
        <v>3894</v>
      </c>
      <c r="H877" s="7" t="s">
        <v>3895</v>
      </c>
      <c r="I877" s="6" t="e">
        <v>#N/A</v>
      </c>
      <c r="J877" s="6" t="e">
        <v>#N/A</v>
      </c>
      <c r="K877" s="6" t="str">
        <f>VLOOKUP(A877,Sheet4!$A:$H,7,0)</f>
        <v>Mobility</v>
      </c>
      <c r="L877" s="6" t="str">
        <f>VLOOKUP(B877,Sheet4!$A:$H,8,0)</f>
        <v>Mobility</v>
      </c>
      <c r="M877" s="6">
        <v>1999.0</v>
      </c>
      <c r="N877" s="8">
        <v>1599.0</v>
      </c>
      <c r="O877" s="9">
        <v>1599.0</v>
      </c>
      <c r="P877" s="10">
        <v>1499.25</v>
      </c>
    </row>
    <row r="878">
      <c r="A878" s="6" t="s">
        <v>3896</v>
      </c>
      <c r="B878" s="6" t="s">
        <v>3896</v>
      </c>
      <c r="C878" s="6" t="s">
        <v>3897</v>
      </c>
      <c r="D878" s="6" t="s">
        <v>3898</v>
      </c>
      <c r="E878" s="6" t="e">
        <v>#N/A</v>
      </c>
      <c r="F878" s="6">
        <v>0.0</v>
      </c>
      <c r="G878" s="6" t="s">
        <v>3899</v>
      </c>
      <c r="H878" s="7" t="s">
        <v>3900</v>
      </c>
      <c r="I878" s="6" t="e">
        <v>#N/A</v>
      </c>
      <c r="J878" s="6" t="e">
        <v>#N/A</v>
      </c>
      <c r="K878" s="6" t="str">
        <f>VLOOKUP(A878,Sheet4!$A:$H,7,0)</f>
        <v>Mobility</v>
      </c>
      <c r="L878" s="6" t="str">
        <f>VLOOKUP(B878,Sheet4!$A:$H,8,0)</f>
        <v>Mobility</v>
      </c>
      <c r="M878" s="6">
        <v>1999.0</v>
      </c>
      <c r="N878" s="8">
        <v>1599.0</v>
      </c>
      <c r="O878" s="9">
        <v>1599.0</v>
      </c>
      <c r="P878" s="10">
        <v>1499.25</v>
      </c>
    </row>
    <row r="879">
      <c r="A879" s="6" t="s">
        <v>3901</v>
      </c>
      <c r="B879" s="6" t="s">
        <v>3901</v>
      </c>
      <c r="C879" s="6" t="s">
        <v>3902</v>
      </c>
      <c r="D879" s="6" t="s">
        <v>3903</v>
      </c>
      <c r="E879" s="6" t="e">
        <v>#N/A</v>
      </c>
      <c r="F879" s="6">
        <v>0.0</v>
      </c>
      <c r="G879" s="6" t="s">
        <v>3904</v>
      </c>
      <c r="H879" s="7" t="s">
        <v>3905</v>
      </c>
      <c r="I879" s="6" t="e">
        <v>#N/A</v>
      </c>
      <c r="J879" s="6" t="e">
        <v>#N/A</v>
      </c>
      <c r="K879" s="6" t="str">
        <f>VLOOKUP(A879,Sheet4!$A:$H,7,0)</f>
        <v>Mobility</v>
      </c>
      <c r="L879" s="6" t="str">
        <f>VLOOKUP(B879,Sheet4!$A:$H,8,0)</f>
        <v>Mobility</v>
      </c>
      <c r="M879" s="6">
        <v>1999.0</v>
      </c>
      <c r="N879" s="8">
        <v>1599.0</v>
      </c>
      <c r="O879" s="9">
        <v>1599.0</v>
      </c>
      <c r="P879" s="10">
        <v>1499.25</v>
      </c>
    </row>
    <row r="880">
      <c r="A880" s="6" t="s">
        <v>3906</v>
      </c>
      <c r="B880" s="6" t="s">
        <v>3906</v>
      </c>
      <c r="C880" s="6" t="e">
        <v>#N/A</v>
      </c>
      <c r="D880" s="6" t="e">
        <v>#N/A</v>
      </c>
      <c r="E880" s="6" t="e">
        <v>#N/A</v>
      </c>
      <c r="F880" s="6" t="e">
        <v>#N/A</v>
      </c>
      <c r="G880" s="6">
        <v>0.0</v>
      </c>
      <c r="H880" s="7" t="e">
        <v>#N/A</v>
      </c>
      <c r="I880" s="6" t="e">
        <v>#N/A</v>
      </c>
      <c r="J880" s="6" t="e">
        <v>#N/A</v>
      </c>
      <c r="K880" s="6" t="str">
        <f>VLOOKUP(A880,Sheet4!$A:$H,7,0)</f>
        <v>#N/A</v>
      </c>
      <c r="L880" s="6" t="str">
        <f>VLOOKUP(B880,Sheet4!$A:$H,8,0)</f>
        <v>#N/A</v>
      </c>
      <c r="M880" s="6" t="str">
        <f t="shared" ref="M880:M895" si="14">VLOOKUP(A880,#REF!,2,FALSE)</f>
        <v>#REF!</v>
      </c>
      <c r="N880" s="6" t="str">
        <f>VLOOKUP(A880, Sheet2!A:M, 3, FALSE)</f>
        <v>#N/A</v>
      </c>
      <c r="O880" s="10" t="e">
        <v>#N/A</v>
      </c>
      <c r="P880" s="10" t="e">
        <v>#N/A</v>
      </c>
    </row>
    <row r="881">
      <c r="A881" s="6" t="s">
        <v>3907</v>
      </c>
      <c r="B881" s="6" t="s">
        <v>3907</v>
      </c>
      <c r="C881" s="6" t="e">
        <v>#N/A</v>
      </c>
      <c r="D881" s="6" t="e">
        <v>#N/A</v>
      </c>
      <c r="E881" s="6" t="e">
        <v>#N/A</v>
      </c>
      <c r="F881" s="6" t="e">
        <v>#N/A</v>
      </c>
      <c r="G881" s="6">
        <v>0.0</v>
      </c>
      <c r="H881" s="7" t="e">
        <v>#N/A</v>
      </c>
      <c r="I881" s="6" t="e">
        <v>#N/A</v>
      </c>
      <c r="J881" s="6" t="e">
        <v>#N/A</v>
      </c>
      <c r="K881" s="6" t="str">
        <f>VLOOKUP(A881,Sheet4!$A:$H,7,0)</f>
        <v>#N/A</v>
      </c>
      <c r="L881" s="6" t="str">
        <f>VLOOKUP(B881,Sheet4!$A:$H,8,0)</f>
        <v>#N/A</v>
      </c>
      <c r="M881" s="6" t="str">
        <f t="shared" si="14"/>
        <v>#REF!</v>
      </c>
      <c r="N881" s="6" t="str">
        <f>VLOOKUP(A881, Sheet2!A:M, 3, FALSE)</f>
        <v>#N/A</v>
      </c>
      <c r="O881" s="10" t="e">
        <v>#N/A</v>
      </c>
      <c r="P881" s="10" t="e">
        <v>#N/A</v>
      </c>
    </row>
    <row r="882">
      <c r="A882" s="6" t="s">
        <v>3908</v>
      </c>
      <c r="B882" s="6" t="s">
        <v>3908</v>
      </c>
      <c r="C882" s="6" t="e">
        <v>#N/A</v>
      </c>
      <c r="D882" s="6" t="e">
        <v>#N/A</v>
      </c>
      <c r="E882" s="6" t="e">
        <v>#N/A</v>
      </c>
      <c r="F882" s="6" t="e">
        <v>#N/A</v>
      </c>
      <c r="G882" s="6">
        <v>0.0</v>
      </c>
      <c r="H882" s="7" t="e">
        <v>#N/A</v>
      </c>
      <c r="I882" s="6" t="e">
        <v>#N/A</v>
      </c>
      <c r="J882" s="6" t="e">
        <v>#N/A</v>
      </c>
      <c r="K882" s="6" t="str">
        <f>VLOOKUP(A882,Sheet4!$A:$H,7,0)</f>
        <v>#N/A</v>
      </c>
      <c r="L882" s="6" t="str">
        <f>VLOOKUP(B882,Sheet4!$A:$H,8,0)</f>
        <v>#N/A</v>
      </c>
      <c r="M882" s="6" t="str">
        <f t="shared" si="14"/>
        <v>#REF!</v>
      </c>
      <c r="N882" s="6" t="str">
        <f>VLOOKUP(A882, Sheet2!A:M, 3, FALSE)</f>
        <v>#N/A</v>
      </c>
      <c r="O882" s="10" t="e">
        <v>#N/A</v>
      </c>
      <c r="P882" s="10" t="e">
        <v>#N/A</v>
      </c>
    </row>
    <row r="883">
      <c r="A883" s="6" t="s">
        <v>3909</v>
      </c>
      <c r="B883" s="6" t="s">
        <v>3909</v>
      </c>
      <c r="C883" s="6" t="e">
        <v>#N/A</v>
      </c>
      <c r="D883" s="6" t="e">
        <v>#N/A</v>
      </c>
      <c r="E883" s="6" t="e">
        <v>#N/A</v>
      </c>
      <c r="F883" s="6" t="e">
        <v>#N/A</v>
      </c>
      <c r="G883" s="6">
        <v>0.0</v>
      </c>
      <c r="H883" s="7" t="e">
        <v>#N/A</v>
      </c>
      <c r="I883" s="6" t="e">
        <v>#N/A</v>
      </c>
      <c r="J883" s="6" t="e">
        <v>#N/A</v>
      </c>
      <c r="K883" s="6" t="str">
        <f>VLOOKUP(A883,Sheet4!$A:$H,7,0)</f>
        <v>#N/A</v>
      </c>
      <c r="L883" s="6" t="str">
        <f>VLOOKUP(B883,Sheet4!$A:$H,8,0)</f>
        <v>#N/A</v>
      </c>
      <c r="M883" s="6" t="str">
        <f t="shared" si="14"/>
        <v>#REF!</v>
      </c>
      <c r="N883" s="6" t="str">
        <f>VLOOKUP(A883, Sheet2!A:M, 3, FALSE)</f>
        <v>#N/A</v>
      </c>
      <c r="O883" s="10" t="e">
        <v>#N/A</v>
      </c>
      <c r="P883" s="10" t="e">
        <v>#N/A</v>
      </c>
    </row>
    <row r="884">
      <c r="A884" s="6" t="s">
        <v>3910</v>
      </c>
      <c r="B884" s="6" t="s">
        <v>3910</v>
      </c>
      <c r="C884" s="6" t="e">
        <v>#N/A</v>
      </c>
      <c r="D884" s="6" t="e">
        <v>#N/A</v>
      </c>
      <c r="E884" s="6" t="e">
        <v>#N/A</v>
      </c>
      <c r="F884" s="6" t="e">
        <v>#N/A</v>
      </c>
      <c r="G884" s="6">
        <v>0.0</v>
      </c>
      <c r="H884" s="7" t="e">
        <v>#N/A</v>
      </c>
      <c r="I884" s="6" t="e">
        <v>#N/A</v>
      </c>
      <c r="J884" s="6" t="e">
        <v>#N/A</v>
      </c>
      <c r="K884" s="6" t="str">
        <f>VLOOKUP(A884,Sheet4!$A:$H,7,0)</f>
        <v>#N/A</v>
      </c>
      <c r="L884" s="6" t="str">
        <f>VLOOKUP(B884,Sheet4!$A:$H,8,0)</f>
        <v>#N/A</v>
      </c>
      <c r="M884" s="6" t="str">
        <f t="shared" si="14"/>
        <v>#REF!</v>
      </c>
      <c r="N884" s="6" t="str">
        <f>VLOOKUP(A884, Sheet2!A:M, 3, FALSE)</f>
        <v>#N/A</v>
      </c>
      <c r="O884" s="10" t="e">
        <v>#N/A</v>
      </c>
      <c r="P884" s="10" t="e">
        <v>#N/A</v>
      </c>
    </row>
    <row r="885">
      <c r="A885" s="6" t="s">
        <v>3911</v>
      </c>
      <c r="B885" s="6" t="s">
        <v>3911</v>
      </c>
      <c r="C885" s="6" t="e">
        <v>#N/A</v>
      </c>
      <c r="D885" s="6" t="e">
        <v>#N/A</v>
      </c>
      <c r="E885" s="6" t="e">
        <v>#N/A</v>
      </c>
      <c r="F885" s="6" t="e">
        <v>#N/A</v>
      </c>
      <c r="G885" s="6">
        <v>0.0</v>
      </c>
      <c r="H885" s="7" t="e">
        <v>#N/A</v>
      </c>
      <c r="I885" s="6" t="e">
        <v>#N/A</v>
      </c>
      <c r="J885" s="6" t="e">
        <v>#N/A</v>
      </c>
      <c r="K885" s="6" t="str">
        <f>VLOOKUP(A885,Sheet4!$A:$H,7,0)</f>
        <v>#N/A</v>
      </c>
      <c r="L885" s="6" t="str">
        <f>VLOOKUP(B885,Sheet4!$A:$H,8,0)</f>
        <v>#N/A</v>
      </c>
      <c r="M885" s="6" t="str">
        <f t="shared" si="14"/>
        <v>#REF!</v>
      </c>
      <c r="N885" s="6" t="str">
        <f>VLOOKUP(A885, Sheet2!A:M, 3, FALSE)</f>
        <v>#N/A</v>
      </c>
      <c r="O885" s="10" t="e">
        <v>#N/A</v>
      </c>
      <c r="P885" s="10" t="e">
        <v>#N/A</v>
      </c>
    </row>
    <row r="886">
      <c r="A886" s="6" t="s">
        <v>3912</v>
      </c>
      <c r="B886" s="6" t="s">
        <v>3912</v>
      </c>
      <c r="C886" s="6" t="e">
        <v>#N/A</v>
      </c>
      <c r="D886" s="6" t="e">
        <v>#N/A</v>
      </c>
      <c r="E886" s="6" t="e">
        <v>#N/A</v>
      </c>
      <c r="F886" s="6" t="e">
        <v>#N/A</v>
      </c>
      <c r="G886" s="6">
        <v>0.0</v>
      </c>
      <c r="H886" s="7" t="e">
        <v>#N/A</v>
      </c>
      <c r="I886" s="6" t="e">
        <v>#N/A</v>
      </c>
      <c r="J886" s="6" t="e">
        <v>#N/A</v>
      </c>
      <c r="K886" s="6" t="str">
        <f>VLOOKUP(A886,Sheet4!$A:$H,7,0)</f>
        <v>#N/A</v>
      </c>
      <c r="L886" s="6" t="str">
        <f>VLOOKUP(B886,Sheet4!$A:$H,8,0)</f>
        <v>#N/A</v>
      </c>
      <c r="M886" s="6" t="str">
        <f t="shared" si="14"/>
        <v>#REF!</v>
      </c>
      <c r="N886" s="6" t="str">
        <f>VLOOKUP(A886, Sheet2!A:M, 3, FALSE)</f>
        <v>#N/A</v>
      </c>
      <c r="O886" s="10" t="e">
        <v>#N/A</v>
      </c>
      <c r="P886" s="10" t="e">
        <v>#N/A</v>
      </c>
    </row>
    <row r="887">
      <c r="A887" s="6" t="s">
        <v>3913</v>
      </c>
      <c r="B887" s="6" t="s">
        <v>3913</v>
      </c>
      <c r="C887" s="6" t="e">
        <v>#N/A</v>
      </c>
      <c r="D887" s="6" t="e">
        <v>#N/A</v>
      </c>
      <c r="E887" s="6" t="e">
        <v>#N/A</v>
      </c>
      <c r="F887" s="6" t="e">
        <v>#N/A</v>
      </c>
      <c r="G887" s="6">
        <v>0.0</v>
      </c>
      <c r="H887" s="7" t="e">
        <v>#N/A</v>
      </c>
      <c r="I887" s="6" t="e">
        <v>#N/A</v>
      </c>
      <c r="J887" s="6" t="e">
        <v>#N/A</v>
      </c>
      <c r="K887" s="6" t="str">
        <f>VLOOKUP(A887,Sheet4!$A:$H,7,0)</f>
        <v>#N/A</v>
      </c>
      <c r="L887" s="6" t="str">
        <f>VLOOKUP(B887,Sheet4!$A:$H,8,0)</f>
        <v>#N/A</v>
      </c>
      <c r="M887" s="6" t="str">
        <f t="shared" si="14"/>
        <v>#REF!</v>
      </c>
      <c r="N887" s="6" t="str">
        <f>VLOOKUP(A887, Sheet2!A:M, 3, FALSE)</f>
        <v>#N/A</v>
      </c>
      <c r="O887" s="10" t="e">
        <v>#N/A</v>
      </c>
      <c r="P887" s="10" t="e">
        <v>#N/A</v>
      </c>
    </row>
    <row r="888">
      <c r="A888" s="6" t="s">
        <v>3914</v>
      </c>
      <c r="B888" s="6" t="s">
        <v>3914</v>
      </c>
      <c r="C888" s="6" t="e">
        <v>#N/A</v>
      </c>
      <c r="D888" s="6" t="e">
        <v>#N/A</v>
      </c>
      <c r="E888" s="6" t="e">
        <v>#N/A</v>
      </c>
      <c r="F888" s="6" t="e">
        <v>#N/A</v>
      </c>
      <c r="G888" s="6">
        <v>0.0</v>
      </c>
      <c r="H888" s="7" t="e">
        <v>#N/A</v>
      </c>
      <c r="I888" s="6" t="e">
        <v>#N/A</v>
      </c>
      <c r="J888" s="6" t="e">
        <v>#N/A</v>
      </c>
      <c r="K888" s="6" t="str">
        <f>VLOOKUP(A888,Sheet4!$A:$H,7,0)</f>
        <v>#N/A</v>
      </c>
      <c r="L888" s="6" t="str">
        <f>VLOOKUP(B888,Sheet4!$A:$H,8,0)</f>
        <v>#N/A</v>
      </c>
      <c r="M888" s="6" t="str">
        <f t="shared" si="14"/>
        <v>#REF!</v>
      </c>
      <c r="N888" s="6" t="str">
        <f>VLOOKUP(A888, Sheet2!A:M, 3, FALSE)</f>
        <v>#N/A</v>
      </c>
      <c r="O888" s="10" t="e">
        <v>#N/A</v>
      </c>
      <c r="P888" s="10" t="e">
        <v>#N/A</v>
      </c>
    </row>
    <row r="889">
      <c r="A889" s="6" t="s">
        <v>3915</v>
      </c>
      <c r="B889" s="6" t="s">
        <v>3915</v>
      </c>
      <c r="C889" s="6" t="e">
        <v>#N/A</v>
      </c>
      <c r="D889" s="6" t="e">
        <v>#N/A</v>
      </c>
      <c r="E889" s="6" t="e">
        <v>#N/A</v>
      </c>
      <c r="F889" s="6" t="e">
        <v>#N/A</v>
      </c>
      <c r="G889" s="6">
        <v>0.0</v>
      </c>
      <c r="H889" s="7" t="e">
        <v>#N/A</v>
      </c>
      <c r="I889" s="6" t="e">
        <v>#N/A</v>
      </c>
      <c r="J889" s="6" t="e">
        <v>#N/A</v>
      </c>
      <c r="K889" s="6" t="str">
        <f>VLOOKUP(A889,Sheet4!$A:$H,7,0)</f>
        <v>#N/A</v>
      </c>
      <c r="L889" s="6" t="str">
        <f>VLOOKUP(B889,Sheet4!$A:$H,8,0)</f>
        <v>#N/A</v>
      </c>
      <c r="M889" s="6" t="str">
        <f t="shared" si="14"/>
        <v>#REF!</v>
      </c>
      <c r="N889" s="6" t="str">
        <f>VLOOKUP(A889, Sheet2!A:M, 3, FALSE)</f>
        <v>#N/A</v>
      </c>
      <c r="O889" s="10" t="e">
        <v>#N/A</v>
      </c>
      <c r="P889" s="10" t="e">
        <v>#N/A</v>
      </c>
    </row>
    <row r="890">
      <c r="A890" s="6" t="s">
        <v>3916</v>
      </c>
      <c r="B890" s="6" t="s">
        <v>3916</v>
      </c>
      <c r="C890" s="6" t="e">
        <v>#N/A</v>
      </c>
      <c r="D890" s="6" t="e">
        <v>#N/A</v>
      </c>
      <c r="E890" s="6" t="e">
        <v>#N/A</v>
      </c>
      <c r="F890" s="6" t="e">
        <v>#N/A</v>
      </c>
      <c r="G890" s="6">
        <v>0.0</v>
      </c>
      <c r="H890" s="7" t="e">
        <v>#N/A</v>
      </c>
      <c r="I890" s="6" t="e">
        <v>#N/A</v>
      </c>
      <c r="J890" s="6" t="e">
        <v>#N/A</v>
      </c>
      <c r="K890" s="6" t="str">
        <f>VLOOKUP(A890,Sheet4!$A:$H,7,0)</f>
        <v>#N/A</v>
      </c>
      <c r="L890" s="6" t="str">
        <f>VLOOKUP(B890,Sheet4!$A:$H,8,0)</f>
        <v>#N/A</v>
      </c>
      <c r="M890" s="6" t="str">
        <f t="shared" si="14"/>
        <v>#REF!</v>
      </c>
      <c r="N890" s="6" t="str">
        <f>VLOOKUP(A890, Sheet2!A:M, 3, FALSE)</f>
        <v>#N/A</v>
      </c>
      <c r="O890" s="10" t="e">
        <v>#N/A</v>
      </c>
      <c r="P890" s="10" t="e">
        <v>#N/A</v>
      </c>
    </row>
    <row r="891">
      <c r="A891" s="6" t="s">
        <v>3917</v>
      </c>
      <c r="B891" s="6" t="s">
        <v>3917</v>
      </c>
      <c r="C891" s="6" t="e">
        <v>#N/A</v>
      </c>
      <c r="D891" s="6" t="e">
        <v>#N/A</v>
      </c>
      <c r="E891" s="6" t="e">
        <v>#N/A</v>
      </c>
      <c r="F891" s="6" t="e">
        <v>#N/A</v>
      </c>
      <c r="G891" s="6">
        <v>0.0</v>
      </c>
      <c r="H891" s="7" t="e">
        <v>#N/A</v>
      </c>
      <c r="I891" s="6" t="e">
        <v>#N/A</v>
      </c>
      <c r="J891" s="6" t="e">
        <v>#N/A</v>
      </c>
      <c r="K891" s="6" t="str">
        <f>VLOOKUP(A891,Sheet4!$A:$H,7,0)</f>
        <v>#N/A</v>
      </c>
      <c r="L891" s="6" t="str">
        <f>VLOOKUP(B891,Sheet4!$A:$H,8,0)</f>
        <v>#N/A</v>
      </c>
      <c r="M891" s="6" t="str">
        <f t="shared" si="14"/>
        <v>#REF!</v>
      </c>
      <c r="N891" s="6" t="str">
        <f>VLOOKUP(A891, Sheet2!A:M, 3, FALSE)</f>
        <v>#N/A</v>
      </c>
      <c r="O891" s="10" t="e">
        <v>#N/A</v>
      </c>
      <c r="P891" s="10" t="e">
        <v>#N/A</v>
      </c>
    </row>
    <row r="892">
      <c r="A892" s="6" t="s">
        <v>3918</v>
      </c>
      <c r="B892" s="6" t="s">
        <v>3918</v>
      </c>
      <c r="C892" s="6" t="e">
        <v>#N/A</v>
      </c>
      <c r="D892" s="6" t="e">
        <v>#N/A</v>
      </c>
      <c r="E892" s="6" t="e">
        <v>#N/A</v>
      </c>
      <c r="F892" s="6" t="e">
        <v>#N/A</v>
      </c>
      <c r="G892" s="6">
        <v>0.0</v>
      </c>
      <c r="H892" s="7" t="e">
        <v>#N/A</v>
      </c>
      <c r="I892" s="6" t="e">
        <v>#N/A</v>
      </c>
      <c r="J892" s="6" t="e">
        <v>#N/A</v>
      </c>
      <c r="K892" s="6" t="str">
        <f>VLOOKUP(A892,Sheet4!$A:$H,7,0)</f>
        <v>#N/A</v>
      </c>
      <c r="L892" s="6" t="str">
        <f>VLOOKUP(B892,Sheet4!$A:$H,8,0)</f>
        <v>#N/A</v>
      </c>
      <c r="M892" s="6" t="str">
        <f t="shared" si="14"/>
        <v>#REF!</v>
      </c>
      <c r="N892" s="6" t="str">
        <f>VLOOKUP(A892, Sheet2!A:M, 3, FALSE)</f>
        <v>#N/A</v>
      </c>
      <c r="O892" s="10" t="e">
        <v>#N/A</v>
      </c>
      <c r="P892" s="10" t="e">
        <v>#N/A</v>
      </c>
    </row>
    <row r="893">
      <c r="A893" s="6" t="s">
        <v>3919</v>
      </c>
      <c r="B893" s="6" t="s">
        <v>3919</v>
      </c>
      <c r="C893" s="6" t="e">
        <v>#N/A</v>
      </c>
      <c r="D893" s="6" t="e">
        <v>#N/A</v>
      </c>
      <c r="E893" s="6" t="e">
        <v>#N/A</v>
      </c>
      <c r="F893" s="6" t="e">
        <v>#N/A</v>
      </c>
      <c r="G893" s="6">
        <v>0.0</v>
      </c>
      <c r="H893" s="7" t="e">
        <v>#N/A</v>
      </c>
      <c r="I893" s="6" t="e">
        <v>#N/A</v>
      </c>
      <c r="J893" s="6" t="e">
        <v>#N/A</v>
      </c>
      <c r="K893" s="6" t="str">
        <f>VLOOKUP(A893,Sheet4!$A:$H,7,0)</f>
        <v>#N/A</v>
      </c>
      <c r="L893" s="6" t="str">
        <f>VLOOKUP(B893,Sheet4!$A:$H,8,0)</f>
        <v>#N/A</v>
      </c>
      <c r="M893" s="6" t="str">
        <f t="shared" si="14"/>
        <v>#REF!</v>
      </c>
      <c r="N893" s="6" t="str">
        <f>VLOOKUP(A893, Sheet2!A:M, 3, FALSE)</f>
        <v>#N/A</v>
      </c>
      <c r="O893" s="10" t="e">
        <v>#N/A</v>
      </c>
      <c r="P893" s="10" t="e">
        <v>#N/A</v>
      </c>
    </row>
    <row r="894">
      <c r="A894" s="6" t="s">
        <v>3920</v>
      </c>
      <c r="B894" s="6" t="s">
        <v>3920</v>
      </c>
      <c r="C894" s="6" t="e">
        <v>#N/A</v>
      </c>
      <c r="D894" s="6" t="e">
        <v>#N/A</v>
      </c>
      <c r="E894" s="6" t="e">
        <v>#N/A</v>
      </c>
      <c r="F894" s="6" t="e">
        <v>#N/A</v>
      </c>
      <c r="G894" s="6">
        <v>0.0</v>
      </c>
      <c r="H894" s="7" t="e">
        <v>#N/A</v>
      </c>
      <c r="I894" s="6" t="e">
        <v>#N/A</v>
      </c>
      <c r="J894" s="6" t="e">
        <v>#N/A</v>
      </c>
      <c r="K894" s="6" t="str">
        <f>VLOOKUP(A894,Sheet4!$A:$H,7,0)</f>
        <v>#N/A</v>
      </c>
      <c r="L894" s="6" t="str">
        <f>VLOOKUP(B894,Sheet4!$A:$H,8,0)</f>
        <v>#N/A</v>
      </c>
      <c r="M894" s="6" t="str">
        <f t="shared" si="14"/>
        <v>#REF!</v>
      </c>
      <c r="N894" s="6" t="str">
        <f>VLOOKUP(A894, Sheet2!A:M, 3, FALSE)</f>
        <v>#N/A</v>
      </c>
      <c r="O894" s="10" t="e">
        <v>#N/A</v>
      </c>
      <c r="P894" s="10" t="e">
        <v>#N/A</v>
      </c>
    </row>
    <row r="895">
      <c r="A895" s="6" t="s">
        <v>3921</v>
      </c>
      <c r="B895" s="6" t="s">
        <v>3921</v>
      </c>
      <c r="C895" s="6" t="e">
        <v>#N/A</v>
      </c>
      <c r="D895" s="6" t="e">
        <v>#N/A</v>
      </c>
      <c r="E895" s="6" t="e">
        <v>#N/A</v>
      </c>
      <c r="F895" s="6" t="e">
        <v>#N/A</v>
      </c>
      <c r="G895" s="6">
        <v>0.0</v>
      </c>
      <c r="H895" s="7" t="e">
        <v>#N/A</v>
      </c>
      <c r="I895" s="6" t="e">
        <v>#N/A</v>
      </c>
      <c r="J895" s="6" t="e">
        <v>#N/A</v>
      </c>
      <c r="K895" s="6" t="str">
        <f>VLOOKUP(A895,Sheet4!$A:$H,7,0)</f>
        <v>#N/A</v>
      </c>
      <c r="L895" s="6" t="str">
        <f>VLOOKUP(B895,Sheet4!$A:$H,8,0)</f>
        <v>#N/A</v>
      </c>
      <c r="M895" s="6" t="str">
        <f t="shared" si="14"/>
        <v>#REF!</v>
      </c>
      <c r="N895" s="6" t="str">
        <f>VLOOKUP(A895, Sheet2!A:M, 3, FALSE)</f>
        <v>#N/A</v>
      </c>
      <c r="O895" s="10" t="e">
        <v>#N/A</v>
      </c>
      <c r="P895" s="10" t="e">
        <v>#N/A</v>
      </c>
    </row>
    <row r="896">
      <c r="A896" s="6" t="s">
        <v>3922</v>
      </c>
      <c r="B896" s="6" t="s">
        <v>3922</v>
      </c>
      <c r="C896" s="6" t="s">
        <v>3923</v>
      </c>
      <c r="D896" s="6" t="s">
        <v>3924</v>
      </c>
      <c r="E896" s="6" t="e">
        <v>#N/A</v>
      </c>
      <c r="F896" s="6">
        <v>0.0</v>
      </c>
      <c r="G896" s="6" t="s">
        <v>3925</v>
      </c>
      <c r="H896" s="7" t="s">
        <v>3926</v>
      </c>
      <c r="I896" s="6" t="e">
        <v>#N/A</v>
      </c>
      <c r="J896" s="6" t="e">
        <v>#N/A</v>
      </c>
      <c r="K896" s="6" t="str">
        <f>VLOOKUP(A896,Sheet4!$A:$H,7,0)</f>
        <v>Latex Ortho Mattress</v>
      </c>
      <c r="L896" s="6" t="str">
        <f>VLOOKUP(B896,Sheet4!$A:$H,8,0)</f>
        <v>Mattress</v>
      </c>
      <c r="M896" s="6">
        <v>7899.0</v>
      </c>
      <c r="N896" s="8">
        <v>7109.0</v>
      </c>
      <c r="O896" s="9">
        <v>7599.0</v>
      </c>
      <c r="P896" s="10">
        <v>6929.34</v>
      </c>
    </row>
    <row r="897">
      <c r="A897" s="6" t="s">
        <v>3927</v>
      </c>
      <c r="B897" s="6" t="s">
        <v>3927</v>
      </c>
      <c r="C897" s="6" t="s">
        <v>3928</v>
      </c>
      <c r="D897" s="6" t="s">
        <v>3929</v>
      </c>
      <c r="E897" s="6" t="e">
        <v>#N/A</v>
      </c>
      <c r="F897" s="6">
        <v>0.0</v>
      </c>
      <c r="G897" s="6" t="s">
        <v>3930</v>
      </c>
      <c r="H897" s="7" t="s">
        <v>3931</v>
      </c>
      <c r="I897" s="6" t="e">
        <v>#N/A</v>
      </c>
      <c r="J897" s="6" t="s">
        <v>3932</v>
      </c>
      <c r="K897" s="6" t="str">
        <f>VLOOKUP(A897,Sheet4!$A:$H,7,0)</f>
        <v>Latex Ortho Mattress</v>
      </c>
      <c r="L897" s="6" t="str">
        <f>VLOOKUP(B897,Sheet4!$A:$H,8,0)</f>
        <v>Mattress</v>
      </c>
      <c r="M897" s="6">
        <v>8799.0</v>
      </c>
      <c r="N897" s="8">
        <v>7919.0</v>
      </c>
      <c r="O897" s="9">
        <v>8399.0</v>
      </c>
      <c r="P897" s="10">
        <v>7721.34</v>
      </c>
    </row>
    <row r="898">
      <c r="A898" s="6" t="s">
        <v>3933</v>
      </c>
      <c r="B898" s="6" t="s">
        <v>3933</v>
      </c>
      <c r="C898" s="6" t="s">
        <v>3934</v>
      </c>
      <c r="D898" s="6" t="s">
        <v>3935</v>
      </c>
      <c r="E898" s="6" t="e">
        <v>#N/A</v>
      </c>
      <c r="F898" s="6">
        <v>0.0</v>
      </c>
      <c r="G898" s="6" t="s">
        <v>3936</v>
      </c>
      <c r="H898" s="7" t="s">
        <v>3937</v>
      </c>
      <c r="I898" s="6" t="e">
        <v>#N/A</v>
      </c>
      <c r="J898" s="6" t="e">
        <v>#N/A</v>
      </c>
      <c r="K898" s="6" t="str">
        <f>VLOOKUP(A898,Sheet4!$A:$H,7,0)</f>
        <v>Latex Ortho Mattress</v>
      </c>
      <c r="L898" s="6" t="str">
        <f>VLOOKUP(B898,Sheet4!$A:$H,8,0)</f>
        <v>Mattress</v>
      </c>
      <c r="M898" s="6">
        <v>8799.0</v>
      </c>
      <c r="N898" s="8">
        <v>7919.0</v>
      </c>
      <c r="O898" s="9">
        <v>8399.0</v>
      </c>
      <c r="P898" s="10">
        <v>7721.34</v>
      </c>
    </row>
    <row r="899">
      <c r="A899" s="6" t="s">
        <v>3938</v>
      </c>
      <c r="B899" s="6" t="s">
        <v>3938</v>
      </c>
      <c r="C899" s="6" t="s">
        <v>3939</v>
      </c>
      <c r="D899" s="6" t="s">
        <v>3940</v>
      </c>
      <c r="E899" s="6" t="e">
        <v>#N/A</v>
      </c>
      <c r="F899" s="6">
        <v>0.0</v>
      </c>
      <c r="G899" s="6" t="s">
        <v>3941</v>
      </c>
      <c r="H899" s="7" t="s">
        <v>3942</v>
      </c>
      <c r="I899" s="6" t="e">
        <v>#N/A</v>
      </c>
      <c r="J899" s="6" t="s">
        <v>3943</v>
      </c>
      <c r="K899" s="6" t="str">
        <f>VLOOKUP(A899,Sheet4!$A:$H,7,0)</f>
        <v>Latex Ortho Mattress</v>
      </c>
      <c r="L899" s="6" t="str">
        <f>VLOOKUP(B899,Sheet4!$A:$H,8,0)</f>
        <v>Mattress</v>
      </c>
      <c r="M899" s="6">
        <v>9699.0</v>
      </c>
      <c r="N899" s="8">
        <v>8729.0</v>
      </c>
      <c r="O899" s="9">
        <v>9299.0</v>
      </c>
      <c r="P899" s="10">
        <v>8513.34</v>
      </c>
    </row>
    <row r="900">
      <c r="A900" s="6" t="s">
        <v>3944</v>
      </c>
      <c r="B900" s="6" t="s">
        <v>3944</v>
      </c>
      <c r="C900" s="6" t="s">
        <v>3945</v>
      </c>
      <c r="D900" s="6" t="s">
        <v>3946</v>
      </c>
      <c r="E900" s="6" t="e">
        <v>#N/A</v>
      </c>
      <c r="F900" s="6">
        <v>0.0</v>
      </c>
      <c r="G900" s="6" t="s">
        <v>3947</v>
      </c>
      <c r="H900" s="7" t="s">
        <v>3948</v>
      </c>
      <c r="I900" s="6" t="e">
        <v>#N/A</v>
      </c>
      <c r="J900" s="6" t="s">
        <v>3949</v>
      </c>
      <c r="K900" s="6" t="str">
        <f>VLOOKUP(A900,Sheet4!$A:$H,7,0)</f>
        <v>Latex Ortho Mattress</v>
      </c>
      <c r="L900" s="6" t="str">
        <f>VLOOKUP(B900,Sheet4!$A:$H,8,0)</f>
        <v>Mattress</v>
      </c>
      <c r="M900" s="6">
        <v>9999.0</v>
      </c>
      <c r="N900" s="8">
        <v>8999.0</v>
      </c>
      <c r="O900" s="9">
        <v>9599.0</v>
      </c>
      <c r="P900" s="10">
        <v>8777.34</v>
      </c>
    </row>
    <row r="901">
      <c r="A901" s="6" t="s">
        <v>3950</v>
      </c>
      <c r="B901" s="6" t="s">
        <v>3950</v>
      </c>
      <c r="C901" s="6" t="s">
        <v>3951</v>
      </c>
      <c r="D901" s="6" t="s">
        <v>3952</v>
      </c>
      <c r="E901" s="6" t="e">
        <v>#N/A</v>
      </c>
      <c r="F901" s="6">
        <v>0.0</v>
      </c>
      <c r="G901" s="6" t="s">
        <v>3953</v>
      </c>
      <c r="H901" s="7" t="s">
        <v>3954</v>
      </c>
      <c r="I901" s="6" t="e">
        <v>#N/A</v>
      </c>
      <c r="J901" s="6" t="s">
        <v>3955</v>
      </c>
      <c r="K901" s="6" t="str">
        <f>VLOOKUP(A901,Sheet4!$A:$H,7,0)</f>
        <v>Latex Ortho Mattress</v>
      </c>
      <c r="L901" s="6" t="str">
        <f>VLOOKUP(B901,Sheet4!$A:$H,8,0)</f>
        <v>Mattress</v>
      </c>
      <c r="M901" s="6">
        <v>9999.0</v>
      </c>
      <c r="N901" s="8">
        <v>8999.0</v>
      </c>
      <c r="O901" s="9">
        <v>9599.0</v>
      </c>
      <c r="P901" s="10">
        <v>8777.34</v>
      </c>
    </row>
    <row r="902">
      <c r="A902" s="6" t="s">
        <v>3956</v>
      </c>
      <c r="B902" s="6" t="s">
        <v>3956</v>
      </c>
      <c r="C902" s="6" t="s">
        <v>3957</v>
      </c>
      <c r="D902" s="6" t="s">
        <v>3958</v>
      </c>
      <c r="E902" s="6" t="e">
        <v>#N/A</v>
      </c>
      <c r="F902" s="6">
        <v>0.0</v>
      </c>
      <c r="G902" s="6" t="s">
        <v>3959</v>
      </c>
      <c r="H902" s="7" t="s">
        <v>3960</v>
      </c>
      <c r="I902" s="6" t="e">
        <v>#N/A</v>
      </c>
      <c r="J902" s="6" t="e">
        <v>#N/A</v>
      </c>
      <c r="K902" s="6" t="str">
        <f>VLOOKUP(A902,Sheet4!$A:$H,7,0)</f>
        <v>Latex Ortho Mattress</v>
      </c>
      <c r="L902" s="6" t="str">
        <f>VLOOKUP(B902,Sheet4!$A:$H,8,0)</f>
        <v>Mattress</v>
      </c>
      <c r="M902" s="6">
        <v>12499.0</v>
      </c>
      <c r="N902" s="8">
        <v>11249.0</v>
      </c>
      <c r="O902" s="9">
        <v>11999.0</v>
      </c>
      <c r="P902" s="10">
        <v>11021.34</v>
      </c>
    </row>
    <row r="903">
      <c r="A903" s="6" t="s">
        <v>3961</v>
      </c>
      <c r="B903" s="6" t="s">
        <v>3961</v>
      </c>
      <c r="C903" s="6" t="s">
        <v>3962</v>
      </c>
      <c r="D903" s="6" t="s">
        <v>3963</v>
      </c>
      <c r="E903" s="6" t="e">
        <v>#N/A</v>
      </c>
      <c r="F903" s="6">
        <v>0.0</v>
      </c>
      <c r="G903" s="6" t="s">
        <v>3964</v>
      </c>
      <c r="H903" s="7" t="s">
        <v>3965</v>
      </c>
      <c r="I903" s="6" t="e">
        <v>#N/A</v>
      </c>
      <c r="J903" s="6" t="s">
        <v>3966</v>
      </c>
      <c r="K903" s="6" t="str">
        <f>VLOOKUP(A903,Sheet4!$A:$H,7,0)</f>
        <v>Latex Ortho Mattress</v>
      </c>
      <c r="L903" s="6" t="str">
        <f>VLOOKUP(B903,Sheet4!$A:$H,8,0)</f>
        <v>Mattress</v>
      </c>
      <c r="M903" s="6">
        <v>9199.0</v>
      </c>
      <c r="N903" s="8">
        <v>8279.0</v>
      </c>
      <c r="O903" s="9">
        <v>8899.0</v>
      </c>
      <c r="P903" s="10">
        <v>8117.34</v>
      </c>
    </row>
    <row r="904">
      <c r="A904" s="6" t="s">
        <v>3967</v>
      </c>
      <c r="B904" s="6" t="s">
        <v>3967</v>
      </c>
      <c r="C904" s="6" t="s">
        <v>3968</v>
      </c>
      <c r="D904" s="6" t="s">
        <v>3969</v>
      </c>
      <c r="E904" s="6" t="e">
        <v>#N/A</v>
      </c>
      <c r="F904" s="6">
        <v>0.0</v>
      </c>
      <c r="G904" s="6" t="s">
        <v>3970</v>
      </c>
      <c r="H904" s="7" t="s">
        <v>3971</v>
      </c>
      <c r="I904" s="6" t="e">
        <v>#N/A</v>
      </c>
      <c r="J904" s="6" t="s">
        <v>3972</v>
      </c>
      <c r="K904" s="6" t="str">
        <f>VLOOKUP(A904,Sheet4!$A:$H,7,0)</f>
        <v>Latex Ortho Mattress</v>
      </c>
      <c r="L904" s="6" t="str">
        <f>VLOOKUP(B904,Sheet4!$A:$H,8,0)</f>
        <v>Mattress</v>
      </c>
      <c r="M904" s="6">
        <v>9999.0</v>
      </c>
      <c r="N904" s="8">
        <v>8999.0</v>
      </c>
      <c r="O904" s="9">
        <v>9599.0</v>
      </c>
      <c r="P904" s="10">
        <v>8777.34</v>
      </c>
    </row>
    <row r="905">
      <c r="A905" s="6" t="s">
        <v>3973</v>
      </c>
      <c r="B905" s="6" t="s">
        <v>3973</v>
      </c>
      <c r="C905" s="6" t="s">
        <v>3974</v>
      </c>
      <c r="D905" s="6" t="s">
        <v>3975</v>
      </c>
      <c r="E905" s="6" t="e">
        <v>#N/A</v>
      </c>
      <c r="F905" s="6">
        <v>0.0</v>
      </c>
      <c r="G905" s="6" t="s">
        <v>3976</v>
      </c>
      <c r="H905" s="7" t="s">
        <v>3977</v>
      </c>
      <c r="I905" s="6" t="e">
        <v>#N/A</v>
      </c>
      <c r="J905" s="6" t="e">
        <v>#N/A</v>
      </c>
      <c r="K905" s="6" t="str">
        <f>VLOOKUP(A905,Sheet4!$A:$H,7,0)</f>
        <v>Latex Ortho Mattress</v>
      </c>
      <c r="L905" s="6" t="str">
        <f>VLOOKUP(B905,Sheet4!$A:$H,8,0)</f>
        <v>Mattress</v>
      </c>
      <c r="M905" s="6">
        <v>9999.0</v>
      </c>
      <c r="N905" s="8">
        <v>8999.0</v>
      </c>
      <c r="O905" s="9">
        <v>9599.0</v>
      </c>
      <c r="P905" s="10">
        <v>8777.34</v>
      </c>
    </row>
    <row r="906">
      <c r="A906" s="6" t="s">
        <v>3978</v>
      </c>
      <c r="B906" s="6" t="s">
        <v>3978</v>
      </c>
      <c r="C906" s="6" t="s">
        <v>3979</v>
      </c>
      <c r="D906" s="6" t="s">
        <v>3980</v>
      </c>
      <c r="E906" s="6" t="e">
        <v>#N/A</v>
      </c>
      <c r="F906" s="6">
        <v>0.0</v>
      </c>
      <c r="G906" s="6" t="s">
        <v>3981</v>
      </c>
      <c r="H906" s="7" t="s">
        <v>3982</v>
      </c>
      <c r="I906" s="6" t="e">
        <v>#N/A</v>
      </c>
      <c r="J906" s="6" t="s">
        <v>3983</v>
      </c>
      <c r="K906" s="6" t="str">
        <f>VLOOKUP(A906,Sheet4!$A:$H,7,0)</f>
        <v>Latex Ortho Mattress</v>
      </c>
      <c r="L906" s="6" t="str">
        <f>VLOOKUP(B906,Sheet4!$A:$H,8,0)</f>
        <v>Mattress</v>
      </c>
      <c r="M906" s="6">
        <v>10799.0</v>
      </c>
      <c r="N906" s="8">
        <v>9719.0</v>
      </c>
      <c r="O906" s="9">
        <v>10399.0</v>
      </c>
      <c r="P906" s="10">
        <v>9503.34</v>
      </c>
    </row>
    <row r="907">
      <c r="A907" s="6" t="s">
        <v>3984</v>
      </c>
      <c r="B907" s="6" t="s">
        <v>3984</v>
      </c>
      <c r="C907" s="6" t="s">
        <v>3985</v>
      </c>
      <c r="D907" s="6" t="s">
        <v>3986</v>
      </c>
      <c r="E907" s="6" t="e">
        <v>#N/A</v>
      </c>
      <c r="F907" s="6">
        <v>0.0</v>
      </c>
      <c r="G907" s="6" t="s">
        <v>3987</v>
      </c>
      <c r="H907" s="7" t="s">
        <v>3988</v>
      </c>
      <c r="I907" s="6" t="e">
        <v>#N/A</v>
      </c>
      <c r="J907" s="6" t="s">
        <v>3989</v>
      </c>
      <c r="K907" s="6" t="str">
        <f>VLOOKUP(A907,Sheet4!$A:$H,7,0)</f>
        <v>Latex Ortho Mattress</v>
      </c>
      <c r="L907" s="6" t="str">
        <f>VLOOKUP(B907,Sheet4!$A:$H,8,0)</f>
        <v>Mattress</v>
      </c>
      <c r="M907" s="6">
        <v>11299.0</v>
      </c>
      <c r="N907" s="8">
        <v>10169.0</v>
      </c>
      <c r="O907" s="9">
        <v>10899.0</v>
      </c>
      <c r="P907" s="10">
        <v>9965.34</v>
      </c>
    </row>
    <row r="908">
      <c r="A908" s="6" t="s">
        <v>3990</v>
      </c>
      <c r="B908" s="6" t="s">
        <v>3990</v>
      </c>
      <c r="C908" s="6" t="s">
        <v>3991</v>
      </c>
      <c r="D908" s="6" t="s">
        <v>3992</v>
      </c>
      <c r="E908" s="6" t="s">
        <v>3993</v>
      </c>
      <c r="F908" s="6">
        <v>0.0</v>
      </c>
      <c r="G908" s="6" t="s">
        <v>3994</v>
      </c>
      <c r="H908" s="7" t="s">
        <v>3995</v>
      </c>
      <c r="I908" s="6" t="e">
        <v>#N/A</v>
      </c>
      <c r="J908" s="6" t="e">
        <v>#N/A</v>
      </c>
      <c r="K908" s="6" t="str">
        <f>VLOOKUP(A908,Sheet4!$A:$H,7,0)</f>
        <v>Latex Ortho Mattress</v>
      </c>
      <c r="L908" s="6" t="str">
        <f>VLOOKUP(B908,Sheet4!$A:$H,8,0)</f>
        <v>Mattress</v>
      </c>
      <c r="M908" s="6">
        <v>11299.0</v>
      </c>
      <c r="N908" s="8">
        <v>10169.0</v>
      </c>
      <c r="O908" s="9">
        <v>10899.0</v>
      </c>
      <c r="P908" s="10">
        <v>9965.34</v>
      </c>
    </row>
    <row r="909">
      <c r="A909" s="6" t="s">
        <v>3996</v>
      </c>
      <c r="B909" s="6" t="s">
        <v>3996</v>
      </c>
      <c r="C909" s="6" t="s">
        <v>3997</v>
      </c>
      <c r="D909" s="6" t="s">
        <v>3998</v>
      </c>
      <c r="E909" s="6" t="e">
        <v>#N/A</v>
      </c>
      <c r="F909" s="6">
        <v>0.0</v>
      </c>
      <c r="G909" s="6" t="s">
        <v>3999</v>
      </c>
      <c r="H909" s="7" t="s">
        <v>4000</v>
      </c>
      <c r="I909" s="6" t="e">
        <v>#N/A</v>
      </c>
      <c r="J909" s="6" t="e">
        <v>#N/A</v>
      </c>
      <c r="K909" s="6" t="str">
        <f>VLOOKUP(A909,Sheet4!$A:$H,7,0)</f>
        <v>Latex Ortho Mattress</v>
      </c>
      <c r="L909" s="6" t="str">
        <f>VLOOKUP(B909,Sheet4!$A:$H,8,0)</f>
        <v>Mattress</v>
      </c>
      <c r="M909" s="6">
        <v>14399.0</v>
      </c>
      <c r="N909" s="8">
        <v>12959.0</v>
      </c>
      <c r="O909" s="9">
        <v>13799.0</v>
      </c>
      <c r="P909" s="10">
        <v>12671.34</v>
      </c>
    </row>
    <row r="910">
      <c r="A910" s="6" t="s">
        <v>4001</v>
      </c>
      <c r="B910" s="6" t="s">
        <v>4001</v>
      </c>
      <c r="C910" s="6" t="s">
        <v>4002</v>
      </c>
      <c r="D910" s="6" t="s">
        <v>4003</v>
      </c>
      <c r="E910" s="6" t="e">
        <v>#N/A</v>
      </c>
      <c r="F910" s="6">
        <v>0.0</v>
      </c>
      <c r="G910" s="6" t="s">
        <v>4004</v>
      </c>
      <c r="H910" s="7" t="s">
        <v>4005</v>
      </c>
      <c r="I910" s="6" t="e">
        <v>#N/A</v>
      </c>
      <c r="J910" s="6" t="s">
        <v>4006</v>
      </c>
      <c r="K910" s="6" t="str">
        <f>VLOOKUP(A910,Sheet4!$A:$H,7,0)</f>
        <v>Latex Ortho Mattress</v>
      </c>
      <c r="L910" s="6" t="str">
        <f>VLOOKUP(B910,Sheet4!$A:$H,8,0)</f>
        <v>Mattress</v>
      </c>
      <c r="M910" s="6">
        <v>7499.0</v>
      </c>
      <c r="N910" s="8">
        <v>6749.0</v>
      </c>
      <c r="O910" s="9">
        <v>7199.0</v>
      </c>
      <c r="P910" s="10">
        <v>6599.34</v>
      </c>
    </row>
    <row r="911">
      <c r="A911" s="6" t="s">
        <v>4007</v>
      </c>
      <c r="B911" s="6" t="s">
        <v>4007</v>
      </c>
      <c r="C911" s="6" t="s">
        <v>4008</v>
      </c>
      <c r="D911" s="6" t="s">
        <v>4009</v>
      </c>
      <c r="E911" s="6" t="e">
        <v>#N/A</v>
      </c>
      <c r="F911" s="6">
        <v>0.0</v>
      </c>
      <c r="G911" s="6" t="s">
        <v>4010</v>
      </c>
      <c r="H911" s="7" t="s">
        <v>4011</v>
      </c>
      <c r="I911" s="6" t="e">
        <v>#N/A</v>
      </c>
      <c r="J911" s="6" t="s">
        <v>4012</v>
      </c>
      <c r="K911" s="6" t="str">
        <f>VLOOKUP(A911,Sheet4!$A:$H,7,0)</f>
        <v>Latex Ortho Mattress</v>
      </c>
      <c r="L911" s="6" t="str">
        <f>VLOOKUP(B911,Sheet4!$A:$H,8,0)</f>
        <v>Mattress</v>
      </c>
      <c r="M911" s="6">
        <v>7899.0</v>
      </c>
      <c r="N911" s="8">
        <v>7109.0</v>
      </c>
      <c r="O911" s="9">
        <v>7599.0</v>
      </c>
      <c r="P911" s="10">
        <v>6929.34</v>
      </c>
    </row>
    <row r="912">
      <c r="A912" s="6" t="s">
        <v>4013</v>
      </c>
      <c r="B912" s="6" t="s">
        <v>4013</v>
      </c>
      <c r="C912" s="6" t="s">
        <v>4014</v>
      </c>
      <c r="D912" s="6" t="s">
        <v>4015</v>
      </c>
      <c r="E912" s="6" t="e">
        <v>#N/A</v>
      </c>
      <c r="F912" s="6">
        <v>0.0</v>
      </c>
      <c r="G912" s="6" t="s">
        <v>4016</v>
      </c>
      <c r="H912" s="7" t="s">
        <v>4017</v>
      </c>
      <c r="I912" s="6" t="e">
        <v>#N/A</v>
      </c>
      <c r="J912" s="6" t="e">
        <v>#N/A</v>
      </c>
      <c r="K912" s="6" t="str">
        <f>VLOOKUP(A912,Sheet4!$A:$H,7,0)</f>
        <v>Latex Ortho Mattress</v>
      </c>
      <c r="L912" s="6" t="str">
        <f>VLOOKUP(B912,Sheet4!$A:$H,8,0)</f>
        <v>Mattress</v>
      </c>
      <c r="M912" s="6">
        <v>8199.0</v>
      </c>
      <c r="N912" s="8">
        <v>7379.0</v>
      </c>
      <c r="O912" s="9">
        <v>7799.0</v>
      </c>
      <c r="P912" s="10">
        <v>7193.34</v>
      </c>
    </row>
    <row r="913">
      <c r="A913" s="6" t="s">
        <v>4018</v>
      </c>
      <c r="B913" s="6" t="s">
        <v>4018</v>
      </c>
      <c r="C913" s="6" t="s">
        <v>4019</v>
      </c>
      <c r="D913" s="6" t="s">
        <v>4020</v>
      </c>
      <c r="E913" s="6" t="e">
        <v>#N/A</v>
      </c>
      <c r="F913" s="6">
        <v>0.0</v>
      </c>
      <c r="G913" s="6" t="s">
        <v>4021</v>
      </c>
      <c r="H913" s="7" t="s">
        <v>4022</v>
      </c>
      <c r="I913" s="6" t="e">
        <v>#N/A</v>
      </c>
      <c r="J913" s="6" t="s">
        <v>4023</v>
      </c>
      <c r="K913" s="6" t="str">
        <f>VLOOKUP(A913,Sheet4!$A:$H,7,0)</f>
        <v>Latex Ortho Mattress</v>
      </c>
      <c r="L913" s="6" t="str">
        <f>VLOOKUP(B913,Sheet4!$A:$H,8,0)</f>
        <v>Mattress</v>
      </c>
      <c r="M913" s="6">
        <v>8999.0</v>
      </c>
      <c r="N913" s="8">
        <v>8099.0</v>
      </c>
      <c r="O913" s="9">
        <v>8599.0</v>
      </c>
      <c r="P913" s="10">
        <v>7919.34</v>
      </c>
    </row>
    <row r="914">
      <c r="A914" s="6" t="s">
        <v>4024</v>
      </c>
      <c r="B914" s="6" t="s">
        <v>4024</v>
      </c>
      <c r="C914" s="6" t="s">
        <v>4025</v>
      </c>
      <c r="D914" s="6" t="s">
        <v>4026</v>
      </c>
      <c r="E914" s="6" t="e">
        <v>#N/A</v>
      </c>
      <c r="F914" s="6">
        <v>0.0</v>
      </c>
      <c r="G914" s="6" t="s">
        <v>4027</v>
      </c>
      <c r="H914" s="7" t="s">
        <v>4028</v>
      </c>
      <c r="I914" s="6" t="e">
        <v>#N/A</v>
      </c>
      <c r="J914" s="6" t="s">
        <v>4029</v>
      </c>
      <c r="K914" s="6" t="str">
        <f>VLOOKUP(A914,Sheet4!$A:$H,7,0)</f>
        <v>Latex Ortho Mattress</v>
      </c>
      <c r="L914" s="6" t="str">
        <f>VLOOKUP(B914,Sheet4!$A:$H,8,0)</f>
        <v>Mattress</v>
      </c>
      <c r="M914" s="6">
        <v>9199.0</v>
      </c>
      <c r="N914" s="8">
        <v>8279.0</v>
      </c>
      <c r="O914" s="9">
        <v>8899.0</v>
      </c>
      <c r="P914" s="10">
        <v>8117.34</v>
      </c>
    </row>
    <row r="915">
      <c r="A915" s="6" t="s">
        <v>4030</v>
      </c>
      <c r="B915" s="6" t="s">
        <v>4030</v>
      </c>
      <c r="C915" s="6" t="s">
        <v>4031</v>
      </c>
      <c r="D915" s="6" t="s">
        <v>4032</v>
      </c>
      <c r="E915" s="6" t="e">
        <v>#N/A</v>
      </c>
      <c r="F915" s="6">
        <v>0.0</v>
      </c>
      <c r="G915" s="6" t="s">
        <v>4033</v>
      </c>
      <c r="H915" s="7" t="s">
        <v>4034</v>
      </c>
      <c r="I915" s="6" t="e">
        <v>#N/A</v>
      </c>
      <c r="J915" s="6" t="e">
        <v>#N/A</v>
      </c>
      <c r="K915" s="6" t="str">
        <f>VLOOKUP(A915,Sheet4!$A:$H,7,0)</f>
        <v>Latex Ortho Mattress</v>
      </c>
      <c r="L915" s="6" t="str">
        <f>VLOOKUP(B915,Sheet4!$A:$H,8,0)</f>
        <v>Mattress</v>
      </c>
      <c r="M915" s="6">
        <v>9399.0</v>
      </c>
      <c r="N915" s="8">
        <v>8459.0</v>
      </c>
      <c r="O915" s="9">
        <v>8999.0</v>
      </c>
      <c r="P915" s="10">
        <v>8249.34</v>
      </c>
    </row>
    <row r="916">
      <c r="A916" s="6" t="s">
        <v>4035</v>
      </c>
      <c r="B916" s="6" t="s">
        <v>4035</v>
      </c>
      <c r="C916" s="6" t="s">
        <v>4036</v>
      </c>
      <c r="D916" s="6" t="s">
        <v>4037</v>
      </c>
      <c r="E916" s="6" t="e">
        <v>#N/A</v>
      </c>
      <c r="F916" s="6">
        <v>0.0</v>
      </c>
      <c r="G916" s="6" t="s">
        <v>4038</v>
      </c>
      <c r="H916" s="7" t="s">
        <v>4039</v>
      </c>
      <c r="I916" s="6" t="e">
        <v>#N/A</v>
      </c>
      <c r="J916" s="6" t="e">
        <v>#N/A</v>
      </c>
      <c r="K916" s="6" t="str">
        <f>VLOOKUP(A916,Sheet4!$A:$H,7,0)</f>
        <v>Latex Ortho Mattress</v>
      </c>
      <c r="L916" s="6" t="str">
        <f>VLOOKUP(B916,Sheet4!$A:$H,8,0)</f>
        <v>Mattress</v>
      </c>
      <c r="M916" s="6">
        <v>11299.0</v>
      </c>
      <c r="N916" s="8">
        <v>10169.0</v>
      </c>
      <c r="O916" s="9">
        <v>10899.0</v>
      </c>
      <c r="P916" s="10">
        <v>9965.34</v>
      </c>
    </row>
    <row r="917">
      <c r="A917" s="6" t="s">
        <v>4040</v>
      </c>
      <c r="B917" s="6" t="s">
        <v>4040</v>
      </c>
      <c r="C917" s="6" t="s">
        <v>4041</v>
      </c>
      <c r="D917" s="6" t="s">
        <v>4042</v>
      </c>
      <c r="E917" s="6" t="e">
        <v>#N/A</v>
      </c>
      <c r="F917" s="6">
        <v>0.0</v>
      </c>
      <c r="G917" s="6" t="s">
        <v>4043</v>
      </c>
      <c r="H917" s="7" t="s">
        <v>4044</v>
      </c>
      <c r="I917" s="6" t="e">
        <v>#N/A</v>
      </c>
      <c r="J917" s="6" t="e">
        <v>#N/A</v>
      </c>
      <c r="K917" s="6" t="str">
        <f>VLOOKUP(A917,Sheet4!$A:$H,7,0)</f>
        <v>Latex Ortho Mattress</v>
      </c>
      <c r="L917" s="6" t="str">
        <f>VLOOKUP(B917,Sheet4!$A:$H,8,0)</f>
        <v>Mattress</v>
      </c>
      <c r="M917" s="6">
        <v>10699.0</v>
      </c>
      <c r="N917" s="8">
        <v>9629.0</v>
      </c>
      <c r="O917" s="9">
        <v>10299.0</v>
      </c>
      <c r="P917" s="10">
        <v>9437.34</v>
      </c>
    </row>
    <row r="918">
      <c r="A918" s="6" t="s">
        <v>4045</v>
      </c>
      <c r="B918" s="6" t="s">
        <v>4045</v>
      </c>
      <c r="C918" s="6" t="s">
        <v>4046</v>
      </c>
      <c r="D918" s="6" t="s">
        <v>4047</v>
      </c>
      <c r="E918" s="6" t="e">
        <v>#N/A</v>
      </c>
      <c r="F918" s="6">
        <v>0.0</v>
      </c>
      <c r="G918" s="6" t="s">
        <v>4048</v>
      </c>
      <c r="H918" s="7" t="s">
        <v>4049</v>
      </c>
      <c r="I918" s="6" t="e">
        <v>#N/A</v>
      </c>
      <c r="J918" s="6" t="e">
        <v>#N/A</v>
      </c>
      <c r="K918" s="6" t="str">
        <f>VLOOKUP(A918,Sheet4!$A:$H,7,0)</f>
        <v>Latex Ortho Mattress</v>
      </c>
      <c r="L918" s="6" t="str">
        <f>VLOOKUP(B918,Sheet4!$A:$H,8,0)</f>
        <v>Mattress</v>
      </c>
      <c r="M918" s="6">
        <v>11299.0</v>
      </c>
      <c r="N918" s="8">
        <v>10169.0</v>
      </c>
      <c r="O918" s="9">
        <v>10899.0</v>
      </c>
      <c r="P918" s="10">
        <v>9965.34</v>
      </c>
    </row>
    <row r="919">
      <c r="A919" s="6" t="s">
        <v>4050</v>
      </c>
      <c r="B919" s="6" t="s">
        <v>4050</v>
      </c>
      <c r="C919" s="6" t="s">
        <v>4051</v>
      </c>
      <c r="D919" s="6" t="s">
        <v>4052</v>
      </c>
      <c r="E919" s="6" t="e">
        <v>#N/A</v>
      </c>
      <c r="F919" s="6">
        <v>0.0</v>
      </c>
      <c r="G919" s="6" t="s">
        <v>4053</v>
      </c>
      <c r="H919" s="7" t="s">
        <v>4054</v>
      </c>
      <c r="I919" s="6" t="e">
        <v>#N/A</v>
      </c>
      <c r="J919" s="6" t="e">
        <v>#N/A</v>
      </c>
      <c r="K919" s="6" t="str">
        <f>VLOOKUP(A919,Sheet4!$A:$H,7,0)</f>
        <v>Latex Ortho Mattress</v>
      </c>
      <c r="L919" s="6" t="str">
        <f>VLOOKUP(B919,Sheet4!$A:$H,8,0)</f>
        <v>Mattress</v>
      </c>
      <c r="M919" s="6">
        <v>11299.0</v>
      </c>
      <c r="N919" s="8">
        <v>10169.0</v>
      </c>
      <c r="O919" s="9">
        <v>10899.0</v>
      </c>
      <c r="P919" s="10">
        <v>9965.34</v>
      </c>
    </row>
    <row r="920">
      <c r="A920" s="6" t="s">
        <v>4055</v>
      </c>
      <c r="B920" s="6" t="s">
        <v>4055</v>
      </c>
      <c r="C920" s="6" t="s">
        <v>4056</v>
      </c>
      <c r="D920" s="6" t="s">
        <v>4057</v>
      </c>
      <c r="E920" s="6" t="e">
        <v>#N/A</v>
      </c>
      <c r="F920" s="6">
        <v>0.0</v>
      </c>
      <c r="G920" s="6" t="s">
        <v>4058</v>
      </c>
      <c r="H920" s="7" t="s">
        <v>4059</v>
      </c>
      <c r="I920" s="6" t="e">
        <v>#N/A</v>
      </c>
      <c r="J920" s="6" t="e">
        <v>#N/A</v>
      </c>
      <c r="K920" s="6" t="str">
        <f>VLOOKUP(A920,Sheet4!$A:$H,7,0)</f>
        <v>Latex Ortho Mattress</v>
      </c>
      <c r="L920" s="6" t="str">
        <f>VLOOKUP(B920,Sheet4!$A:$H,8,0)</f>
        <v>Mattress</v>
      </c>
      <c r="M920" s="6">
        <v>12399.0</v>
      </c>
      <c r="N920" s="8">
        <v>11159.0</v>
      </c>
      <c r="O920" s="9">
        <v>11899.0</v>
      </c>
      <c r="P920" s="10">
        <v>10889.34</v>
      </c>
    </row>
    <row r="921">
      <c r="A921" s="6" t="s">
        <v>4060</v>
      </c>
      <c r="B921" s="6" t="s">
        <v>4060</v>
      </c>
      <c r="C921" s="6" t="s">
        <v>4061</v>
      </c>
      <c r="D921" s="6" t="s">
        <v>4062</v>
      </c>
      <c r="E921" s="6" t="e">
        <v>#N/A</v>
      </c>
      <c r="F921" s="6">
        <v>0.0</v>
      </c>
      <c r="G921" s="6" t="s">
        <v>4063</v>
      </c>
      <c r="H921" s="7" t="s">
        <v>4064</v>
      </c>
      <c r="I921" s="6" t="e">
        <v>#N/A</v>
      </c>
      <c r="J921" s="6" t="e">
        <v>#N/A</v>
      </c>
      <c r="K921" s="6" t="str">
        <f>VLOOKUP(A921,Sheet4!$A:$H,7,0)</f>
        <v>Latex Ortho Mattress</v>
      </c>
      <c r="L921" s="6" t="str">
        <f>VLOOKUP(B921,Sheet4!$A:$H,8,0)</f>
        <v>Mattress</v>
      </c>
      <c r="M921" s="6">
        <v>13199.0</v>
      </c>
      <c r="N921" s="8">
        <v>11879.0</v>
      </c>
      <c r="O921" s="9">
        <v>12699.0</v>
      </c>
      <c r="P921" s="10">
        <v>11615.34</v>
      </c>
    </row>
    <row r="922">
      <c r="A922" s="6" t="s">
        <v>4065</v>
      </c>
      <c r="B922" s="6" t="s">
        <v>4065</v>
      </c>
      <c r="C922" s="6" t="s">
        <v>4066</v>
      </c>
      <c r="D922" s="6" t="s">
        <v>4067</v>
      </c>
      <c r="E922" s="6" t="e">
        <v>#N/A</v>
      </c>
      <c r="F922" s="6">
        <v>0.0</v>
      </c>
      <c r="G922" s="6" t="s">
        <v>4068</v>
      </c>
      <c r="H922" s="7" t="s">
        <v>4069</v>
      </c>
      <c r="I922" s="6" t="e">
        <v>#N/A</v>
      </c>
      <c r="J922" s="6" t="e">
        <v>#N/A</v>
      </c>
      <c r="K922" s="6" t="str">
        <f>VLOOKUP(A922,Sheet4!$A:$H,7,0)</f>
        <v>Latex Ortho Mattress</v>
      </c>
      <c r="L922" s="6" t="str">
        <f>VLOOKUP(B922,Sheet4!$A:$H,8,0)</f>
        <v>Mattress</v>
      </c>
      <c r="M922" s="6">
        <v>13199.0</v>
      </c>
      <c r="N922" s="8">
        <v>11879.0</v>
      </c>
      <c r="O922" s="9">
        <v>12699.0</v>
      </c>
      <c r="P922" s="10">
        <v>11615.34</v>
      </c>
    </row>
    <row r="923">
      <c r="A923" s="6" t="s">
        <v>4070</v>
      </c>
      <c r="B923" s="6" t="s">
        <v>4070</v>
      </c>
      <c r="C923" s="6" t="s">
        <v>4071</v>
      </c>
      <c r="D923" s="6" t="s">
        <v>4072</v>
      </c>
      <c r="E923" s="6" t="e">
        <v>#N/A</v>
      </c>
      <c r="F923" s="6">
        <v>0.0</v>
      </c>
      <c r="G923" s="6" t="s">
        <v>4073</v>
      </c>
      <c r="H923" s="7" t="s">
        <v>4074</v>
      </c>
      <c r="I923" s="6" t="e">
        <v>#N/A</v>
      </c>
      <c r="J923" s="6" t="s">
        <v>4075</v>
      </c>
      <c r="K923" s="6" t="str">
        <f>VLOOKUP(A923,Sheet4!$A:$H,7,0)</f>
        <v>Latex Ortho Mattress</v>
      </c>
      <c r="L923" s="6" t="str">
        <f>VLOOKUP(B923,Sheet4!$A:$H,8,0)</f>
        <v>Mattress</v>
      </c>
      <c r="M923" s="6">
        <v>14199.0</v>
      </c>
      <c r="N923" s="8">
        <v>12779.0</v>
      </c>
      <c r="O923" s="9">
        <v>13599.0</v>
      </c>
      <c r="P923" s="10">
        <v>12473.34</v>
      </c>
    </row>
    <row r="924">
      <c r="A924" s="6" t="s">
        <v>4076</v>
      </c>
      <c r="B924" s="6" t="s">
        <v>4076</v>
      </c>
      <c r="C924" s="6" t="s">
        <v>4077</v>
      </c>
      <c r="D924" s="6" t="s">
        <v>4078</v>
      </c>
      <c r="E924" s="6" t="e">
        <v>#N/A</v>
      </c>
      <c r="F924" s="6">
        <v>0.0</v>
      </c>
      <c r="G924" s="6" t="s">
        <v>4079</v>
      </c>
      <c r="H924" s="7" t="s">
        <v>4080</v>
      </c>
      <c r="I924" s="6" t="e">
        <v>#N/A</v>
      </c>
      <c r="J924" s="6" t="s">
        <v>4081</v>
      </c>
      <c r="K924" s="6" t="str">
        <f>VLOOKUP(A924,Sheet4!$A:$H,7,0)</f>
        <v>Latex Ortho Mattress</v>
      </c>
      <c r="L924" s="6" t="str">
        <f>VLOOKUP(B924,Sheet4!$A:$H,8,0)</f>
        <v>Mattress</v>
      </c>
      <c r="M924" s="6">
        <v>14399.0</v>
      </c>
      <c r="N924" s="8">
        <v>12959.0</v>
      </c>
      <c r="O924" s="9">
        <v>13799.0</v>
      </c>
      <c r="P924" s="10">
        <v>12671.34</v>
      </c>
    </row>
    <row r="925">
      <c r="A925" s="6" t="s">
        <v>4082</v>
      </c>
      <c r="B925" s="6" t="s">
        <v>4082</v>
      </c>
      <c r="C925" s="6" t="s">
        <v>4083</v>
      </c>
      <c r="D925" s="6" t="s">
        <v>4084</v>
      </c>
      <c r="E925" s="6" t="e">
        <v>#N/A</v>
      </c>
      <c r="F925" s="6">
        <v>0.0</v>
      </c>
      <c r="G925" s="6" t="s">
        <v>4085</v>
      </c>
      <c r="H925" s="7" t="s">
        <v>4086</v>
      </c>
      <c r="I925" s="6" t="e">
        <v>#N/A</v>
      </c>
      <c r="J925" s="6" t="e">
        <v>#N/A</v>
      </c>
      <c r="K925" s="6" t="str">
        <f>VLOOKUP(A925,Sheet4!$A:$H,7,0)</f>
        <v>Latex Ortho Mattress</v>
      </c>
      <c r="L925" s="6" t="str">
        <f>VLOOKUP(B925,Sheet4!$A:$H,8,0)</f>
        <v>Mattress</v>
      </c>
      <c r="M925" s="6">
        <v>14399.0</v>
      </c>
      <c r="N925" s="8">
        <v>12959.0</v>
      </c>
      <c r="O925" s="9">
        <v>13799.0</v>
      </c>
      <c r="P925" s="10">
        <v>12671.34</v>
      </c>
    </row>
    <row r="926">
      <c r="A926" s="6" t="s">
        <v>4087</v>
      </c>
      <c r="B926" s="6" t="s">
        <v>4087</v>
      </c>
      <c r="C926" s="6" t="s">
        <v>4088</v>
      </c>
      <c r="D926" s="6" t="s">
        <v>4089</v>
      </c>
      <c r="E926" s="6" t="e">
        <v>#N/A</v>
      </c>
      <c r="F926" s="6">
        <v>0.0</v>
      </c>
      <c r="G926" s="6" t="s">
        <v>4090</v>
      </c>
      <c r="H926" s="7" t="s">
        <v>4091</v>
      </c>
      <c r="I926" s="6" t="e">
        <v>#N/A</v>
      </c>
      <c r="J926" s="6" t="e">
        <v>#N/A</v>
      </c>
      <c r="K926" s="6" t="str">
        <f>VLOOKUP(A926,Sheet4!$A:$H,7,0)</f>
        <v>Latex Ortho Mattress</v>
      </c>
      <c r="L926" s="6" t="str">
        <f>VLOOKUP(B926,Sheet4!$A:$H,8,0)</f>
        <v>Mattress</v>
      </c>
      <c r="M926" s="6">
        <v>18199.0</v>
      </c>
      <c r="N926" s="8">
        <v>16379.0</v>
      </c>
      <c r="O926" s="9">
        <v>17499.0</v>
      </c>
      <c r="P926" s="10">
        <v>16037.34</v>
      </c>
    </row>
    <row r="927">
      <c r="A927" s="6" t="s">
        <v>4092</v>
      </c>
      <c r="B927" s="6" t="s">
        <v>4092</v>
      </c>
      <c r="C927" s="6" t="s">
        <v>4093</v>
      </c>
      <c r="D927" s="6" t="s">
        <v>4094</v>
      </c>
      <c r="E927" s="6" t="e">
        <v>#N/A</v>
      </c>
      <c r="F927" s="6">
        <v>0.0</v>
      </c>
      <c r="G927" s="6" t="s">
        <v>4095</v>
      </c>
      <c r="H927" s="7" t="s">
        <v>4096</v>
      </c>
      <c r="I927" s="6" t="e">
        <v>#N/A</v>
      </c>
      <c r="J927" s="6" t="e">
        <v>#N/A</v>
      </c>
      <c r="K927" s="6" t="str">
        <f>VLOOKUP(A927,Sheet4!$A:$H,7,0)</f>
        <v>Latex Ortho Mattress</v>
      </c>
      <c r="L927" s="6" t="str">
        <f>VLOOKUP(B927,Sheet4!$A:$H,8,0)</f>
        <v>Mattress</v>
      </c>
      <c r="M927" s="6">
        <v>12299.0</v>
      </c>
      <c r="N927" s="8">
        <v>11069.0</v>
      </c>
      <c r="O927" s="9">
        <v>11799.0</v>
      </c>
      <c r="P927" s="10">
        <v>10823.34</v>
      </c>
    </row>
    <row r="928">
      <c r="A928" s="6" t="s">
        <v>4097</v>
      </c>
      <c r="B928" s="6" t="s">
        <v>4097</v>
      </c>
      <c r="C928" s="6" t="s">
        <v>4098</v>
      </c>
      <c r="D928" s="6" t="s">
        <v>4099</v>
      </c>
      <c r="E928" s="6" t="e">
        <v>#N/A</v>
      </c>
      <c r="F928" s="6">
        <v>0.0</v>
      </c>
      <c r="G928" s="6" t="s">
        <v>4100</v>
      </c>
      <c r="H928" s="7" t="s">
        <v>4101</v>
      </c>
      <c r="I928" s="6" t="e">
        <v>#N/A</v>
      </c>
      <c r="J928" s="6" t="s">
        <v>4102</v>
      </c>
      <c r="K928" s="6" t="str">
        <f>VLOOKUP(A928,Sheet4!$A:$H,7,0)</f>
        <v>Latex Ortho Mattress</v>
      </c>
      <c r="L928" s="6" t="str">
        <f>VLOOKUP(B928,Sheet4!$A:$H,8,0)</f>
        <v>Mattress</v>
      </c>
      <c r="M928" s="6">
        <v>12299.0</v>
      </c>
      <c r="N928" s="8">
        <v>11069.0</v>
      </c>
      <c r="O928" s="9">
        <v>11799.0</v>
      </c>
      <c r="P928" s="10">
        <v>10823.34</v>
      </c>
    </row>
    <row r="929">
      <c r="A929" s="6" t="s">
        <v>4103</v>
      </c>
      <c r="B929" s="6" t="s">
        <v>4103</v>
      </c>
      <c r="C929" s="6" t="s">
        <v>4104</v>
      </c>
      <c r="D929" s="6" t="s">
        <v>4105</v>
      </c>
      <c r="E929" s="6" t="e">
        <v>#N/A</v>
      </c>
      <c r="F929" s="6">
        <v>0.0</v>
      </c>
      <c r="G929" s="6" t="s">
        <v>4106</v>
      </c>
      <c r="H929" s="7" t="s">
        <v>4107</v>
      </c>
      <c r="I929" s="6" t="e">
        <v>#N/A</v>
      </c>
      <c r="J929" s="6" t="s">
        <v>4108</v>
      </c>
      <c r="K929" s="6" t="str">
        <f>VLOOKUP(A929,Sheet4!$A:$H,7,0)</f>
        <v>Latex Ortho Mattress</v>
      </c>
      <c r="L929" s="6" t="str">
        <f>VLOOKUP(B929,Sheet4!$A:$H,8,0)</f>
        <v>Mattress</v>
      </c>
      <c r="M929" s="6">
        <v>12499.0</v>
      </c>
      <c r="N929" s="8">
        <v>11249.0</v>
      </c>
      <c r="O929" s="9">
        <v>11999.0</v>
      </c>
      <c r="P929" s="10">
        <v>11021.34</v>
      </c>
    </row>
    <row r="930">
      <c r="A930" s="6" t="s">
        <v>4109</v>
      </c>
      <c r="B930" s="6" t="s">
        <v>4109</v>
      </c>
      <c r="C930" s="6" t="s">
        <v>4110</v>
      </c>
      <c r="D930" s="6" t="s">
        <v>4111</v>
      </c>
      <c r="E930" s="6" t="e">
        <v>#N/A</v>
      </c>
      <c r="F930" s="6">
        <v>0.0</v>
      </c>
      <c r="G930" s="6" t="s">
        <v>4112</v>
      </c>
      <c r="H930" s="7" t="s">
        <v>4113</v>
      </c>
      <c r="I930" s="6" t="e">
        <v>#N/A</v>
      </c>
      <c r="J930" s="6" t="e">
        <v>#N/A</v>
      </c>
      <c r="K930" s="6" t="str">
        <f>VLOOKUP(A930,Sheet4!$A:$H,7,0)</f>
        <v>Latex Ortho Mattress</v>
      </c>
      <c r="L930" s="6" t="str">
        <f>VLOOKUP(B930,Sheet4!$A:$H,8,0)</f>
        <v>Mattress</v>
      </c>
      <c r="M930" s="6">
        <v>15499.0</v>
      </c>
      <c r="N930" s="8">
        <v>13949.0</v>
      </c>
      <c r="O930" s="9">
        <v>14899.0</v>
      </c>
      <c r="P930" s="10">
        <v>13661.34</v>
      </c>
    </row>
    <row r="931">
      <c r="A931" s="6" t="s">
        <v>4114</v>
      </c>
      <c r="B931" s="6" t="s">
        <v>4114</v>
      </c>
      <c r="C931" s="6" t="s">
        <v>4115</v>
      </c>
      <c r="D931" s="6" t="s">
        <v>4116</v>
      </c>
      <c r="E931" s="6" t="e">
        <v>#N/A</v>
      </c>
      <c r="F931" s="6">
        <v>0.0</v>
      </c>
      <c r="G931" s="6" t="s">
        <v>4117</v>
      </c>
      <c r="H931" s="7" t="s">
        <v>4118</v>
      </c>
      <c r="I931" s="6" t="e">
        <v>#N/A</v>
      </c>
      <c r="J931" s="6" t="s">
        <v>4119</v>
      </c>
      <c r="K931" s="6" t="str">
        <f>VLOOKUP(A931,Sheet4!$A:$H,7,0)</f>
        <v>Latex Ortho Mattress</v>
      </c>
      <c r="L931" s="6" t="str">
        <f>VLOOKUP(B931,Sheet4!$A:$H,8,0)</f>
        <v>Mattress</v>
      </c>
      <c r="M931" s="6">
        <v>14999.0</v>
      </c>
      <c r="N931" s="8">
        <v>13499.0</v>
      </c>
      <c r="O931" s="9">
        <v>14399.0</v>
      </c>
      <c r="P931" s="10">
        <v>13199.34</v>
      </c>
    </row>
    <row r="932">
      <c r="A932" s="6" t="s">
        <v>4120</v>
      </c>
      <c r="B932" s="6" t="s">
        <v>4120</v>
      </c>
      <c r="C932" s="6" t="s">
        <v>4121</v>
      </c>
      <c r="D932" s="6" t="s">
        <v>4122</v>
      </c>
      <c r="E932" s="6" t="e">
        <v>#N/A</v>
      </c>
      <c r="F932" s="6">
        <v>0.0</v>
      </c>
      <c r="G932" s="6" t="s">
        <v>4123</v>
      </c>
      <c r="H932" s="7" t="s">
        <v>4124</v>
      </c>
      <c r="I932" s="6" t="e">
        <v>#N/A</v>
      </c>
      <c r="J932" s="6" t="s">
        <v>4125</v>
      </c>
      <c r="K932" s="6" t="str">
        <f>VLOOKUP(A932,Sheet4!$A:$H,7,0)</f>
        <v>Latex Ortho Mattress</v>
      </c>
      <c r="L932" s="6" t="str">
        <f>VLOOKUP(B932,Sheet4!$A:$H,8,0)</f>
        <v>Mattress</v>
      </c>
      <c r="M932" s="6">
        <v>14999.0</v>
      </c>
      <c r="N932" s="8">
        <v>13499.0</v>
      </c>
      <c r="O932" s="9">
        <v>14399.0</v>
      </c>
      <c r="P932" s="10">
        <v>13199.34</v>
      </c>
    </row>
    <row r="933">
      <c r="A933" s="6" t="s">
        <v>4126</v>
      </c>
      <c r="B933" s="6" t="s">
        <v>4126</v>
      </c>
      <c r="C933" s="6" t="s">
        <v>4127</v>
      </c>
      <c r="D933" s="6" t="s">
        <v>4128</v>
      </c>
      <c r="E933" s="6" t="e">
        <v>#N/A</v>
      </c>
      <c r="F933" s="6">
        <v>0.0</v>
      </c>
      <c r="G933" s="6" t="s">
        <v>4129</v>
      </c>
      <c r="H933" s="7" t="s">
        <v>4130</v>
      </c>
      <c r="I933" s="6" t="e">
        <v>#N/A</v>
      </c>
      <c r="J933" s="6" t="s">
        <v>4131</v>
      </c>
      <c r="K933" s="6" t="str">
        <f>VLOOKUP(A933,Sheet4!$A:$H,7,0)</f>
        <v>Latex Ortho Mattress</v>
      </c>
      <c r="L933" s="6" t="str">
        <f>VLOOKUP(B933,Sheet4!$A:$H,8,0)</f>
        <v>Mattress</v>
      </c>
      <c r="M933" s="6">
        <v>15399.0</v>
      </c>
      <c r="N933" s="8">
        <v>13859.0</v>
      </c>
      <c r="O933" s="9">
        <v>14799.0</v>
      </c>
      <c r="P933" s="10">
        <v>13529.34</v>
      </c>
    </row>
    <row r="934">
      <c r="A934" s="6" t="s">
        <v>4132</v>
      </c>
      <c r="B934" s="6" t="s">
        <v>4132</v>
      </c>
      <c r="C934" s="6" t="s">
        <v>4133</v>
      </c>
      <c r="D934" s="6" t="s">
        <v>4134</v>
      </c>
      <c r="E934" s="6" t="e">
        <v>#N/A</v>
      </c>
      <c r="F934" s="6">
        <v>0.0</v>
      </c>
      <c r="G934" s="6" t="s">
        <v>4135</v>
      </c>
      <c r="H934" s="7" t="s">
        <v>4136</v>
      </c>
      <c r="I934" s="6" t="e">
        <v>#N/A</v>
      </c>
      <c r="J934" s="6" t="e">
        <v>#N/A</v>
      </c>
      <c r="K934" s="6" t="str">
        <f>VLOOKUP(A934,Sheet4!$A:$H,7,0)</f>
        <v>Latex Ortho Mattress</v>
      </c>
      <c r="L934" s="6" t="str">
        <f>VLOOKUP(B934,Sheet4!$A:$H,8,0)</f>
        <v>Mattress</v>
      </c>
      <c r="M934" s="6">
        <v>17499.0</v>
      </c>
      <c r="N934" s="8">
        <v>15749.0</v>
      </c>
      <c r="O934" s="9">
        <v>16799.0</v>
      </c>
      <c r="P934" s="10">
        <v>15377.34</v>
      </c>
    </row>
    <row r="935">
      <c r="A935" s="6" t="s">
        <v>4137</v>
      </c>
      <c r="B935" s="6" t="s">
        <v>4137</v>
      </c>
      <c r="C935" s="6" t="s">
        <v>4138</v>
      </c>
      <c r="D935" s="6" t="s">
        <v>4139</v>
      </c>
      <c r="E935" s="6" t="e">
        <v>#N/A</v>
      </c>
      <c r="F935" s="6">
        <v>0.0</v>
      </c>
      <c r="G935" s="6" t="s">
        <v>4140</v>
      </c>
      <c r="H935" s="7" t="s">
        <v>4141</v>
      </c>
      <c r="I935" s="6" t="e">
        <v>#N/A</v>
      </c>
      <c r="J935" s="6" t="s">
        <v>4142</v>
      </c>
      <c r="K935" s="6" t="str">
        <f>VLOOKUP(A935,Sheet4!$A:$H,7,0)</f>
        <v>Latex Ortho Mattress</v>
      </c>
      <c r="L935" s="6" t="str">
        <f>VLOOKUP(B935,Sheet4!$A:$H,8,0)</f>
        <v>Mattress</v>
      </c>
      <c r="M935" s="6">
        <v>17199.0</v>
      </c>
      <c r="N935" s="8">
        <v>15479.0</v>
      </c>
      <c r="O935" s="9">
        <v>16499.0</v>
      </c>
      <c r="P935" s="10">
        <v>15113.34</v>
      </c>
    </row>
    <row r="936">
      <c r="A936" s="6" t="s">
        <v>4143</v>
      </c>
      <c r="B936" s="6" t="s">
        <v>4143</v>
      </c>
      <c r="C936" s="6" t="s">
        <v>4144</v>
      </c>
      <c r="D936" s="6" t="s">
        <v>4145</v>
      </c>
      <c r="E936" s="6" t="e">
        <v>#N/A</v>
      </c>
      <c r="F936" s="6">
        <v>0.0</v>
      </c>
      <c r="G936" s="6" t="s">
        <v>4146</v>
      </c>
      <c r="H936" s="7" t="s">
        <v>4147</v>
      </c>
      <c r="I936" s="6" t="e">
        <v>#N/A</v>
      </c>
      <c r="J936" s="6" t="s">
        <v>4148</v>
      </c>
      <c r="K936" s="6" t="str">
        <f>VLOOKUP(A936,Sheet4!$A:$H,7,0)</f>
        <v>Latex Ortho Mattress</v>
      </c>
      <c r="L936" s="6" t="str">
        <f>VLOOKUP(B936,Sheet4!$A:$H,8,0)</f>
        <v>Mattress</v>
      </c>
      <c r="M936" s="6">
        <v>17499.0</v>
      </c>
      <c r="N936" s="8">
        <v>15749.0</v>
      </c>
      <c r="O936" s="9">
        <v>16799.0</v>
      </c>
      <c r="P936" s="10">
        <v>15377.34</v>
      </c>
    </row>
    <row r="937">
      <c r="A937" s="6" t="s">
        <v>4149</v>
      </c>
      <c r="B937" s="6" t="s">
        <v>4149</v>
      </c>
      <c r="C937" s="6" t="s">
        <v>4150</v>
      </c>
      <c r="D937" s="6" t="s">
        <v>4151</v>
      </c>
      <c r="E937" s="6" t="e">
        <v>#N/A</v>
      </c>
      <c r="F937" s="6">
        <v>0.0</v>
      </c>
      <c r="G937" s="6" t="s">
        <v>4152</v>
      </c>
      <c r="H937" s="7" t="s">
        <v>4153</v>
      </c>
      <c r="I937" s="6" t="e">
        <v>#N/A</v>
      </c>
      <c r="J937" s="6" t="s">
        <v>4154</v>
      </c>
      <c r="K937" s="6" t="str">
        <f>VLOOKUP(A937,Sheet4!$A:$H,7,0)</f>
        <v>Latex Ortho Mattress</v>
      </c>
      <c r="L937" s="6" t="str">
        <f>VLOOKUP(B937,Sheet4!$A:$H,8,0)</f>
        <v>Mattress</v>
      </c>
      <c r="M937" s="6">
        <v>18199.0</v>
      </c>
      <c r="N937" s="8">
        <v>16379.0</v>
      </c>
      <c r="O937" s="9">
        <v>17499.0</v>
      </c>
      <c r="P937" s="10">
        <v>16037.34</v>
      </c>
    </row>
    <row r="938">
      <c r="A938" s="6" t="s">
        <v>4155</v>
      </c>
      <c r="B938" s="6" t="s">
        <v>4155</v>
      </c>
      <c r="C938" s="6" t="s">
        <v>4156</v>
      </c>
      <c r="D938" s="6" t="s">
        <v>4157</v>
      </c>
      <c r="E938" s="6" t="e">
        <v>#N/A</v>
      </c>
      <c r="F938" s="6">
        <v>0.0</v>
      </c>
      <c r="G938" s="6" t="s">
        <v>4158</v>
      </c>
      <c r="H938" s="7" t="s">
        <v>4159</v>
      </c>
      <c r="I938" s="6" t="e">
        <v>#N/A</v>
      </c>
      <c r="J938" s="6" t="e">
        <v>#N/A</v>
      </c>
      <c r="K938" s="6" t="str">
        <f>VLOOKUP(A938,Sheet4!$A:$H,7,0)</f>
        <v>Latex Ortho Mattress</v>
      </c>
      <c r="L938" s="6" t="str">
        <f>VLOOKUP(B938,Sheet4!$A:$H,8,0)</f>
        <v>Mattress</v>
      </c>
      <c r="M938" s="6">
        <v>22499.0</v>
      </c>
      <c r="N938" s="8">
        <v>20249.0</v>
      </c>
      <c r="O938" s="9">
        <v>21599.0</v>
      </c>
      <c r="P938" s="10">
        <v>19799.34</v>
      </c>
    </row>
    <row r="939">
      <c r="A939" s="6" t="s">
        <v>4160</v>
      </c>
      <c r="B939" s="6" t="s">
        <v>4160</v>
      </c>
      <c r="C939" s="6" t="s">
        <v>4161</v>
      </c>
      <c r="D939" s="6" t="s">
        <v>4162</v>
      </c>
      <c r="E939" s="6" t="e">
        <v>#N/A</v>
      </c>
      <c r="F939" s="6">
        <v>0.0</v>
      </c>
      <c r="G939" s="6" t="s">
        <v>4163</v>
      </c>
      <c r="H939" s="7" t="s">
        <v>4164</v>
      </c>
      <c r="I939" s="6" t="e">
        <v>#N/A</v>
      </c>
      <c r="J939" s="6" t="s">
        <v>4165</v>
      </c>
      <c r="K939" s="6" t="str">
        <f>VLOOKUP(A939,Sheet4!$A:$H,7,0)</f>
        <v>Latex Ortho Mattress</v>
      </c>
      <c r="L939" s="6" t="str">
        <f>VLOOKUP(B939,Sheet4!$A:$H,8,0)</f>
        <v>Mattress</v>
      </c>
      <c r="M939" s="6">
        <v>17199.0</v>
      </c>
      <c r="N939" s="8">
        <v>15479.0</v>
      </c>
      <c r="O939" s="9">
        <v>16499.0</v>
      </c>
      <c r="P939" s="10">
        <v>15113.34</v>
      </c>
    </row>
    <row r="940">
      <c r="A940" s="6" t="s">
        <v>4166</v>
      </c>
      <c r="B940" s="6" t="s">
        <v>4166</v>
      </c>
      <c r="C940" s="6" t="s">
        <v>4167</v>
      </c>
      <c r="D940" s="6" t="s">
        <v>4168</v>
      </c>
      <c r="E940" s="6" t="e">
        <v>#N/A</v>
      </c>
      <c r="F940" s="6">
        <v>0.0</v>
      </c>
      <c r="G940" s="6" t="s">
        <v>4169</v>
      </c>
      <c r="H940" s="7" t="s">
        <v>4170</v>
      </c>
      <c r="I940" s="6" t="e">
        <v>#N/A</v>
      </c>
      <c r="J940" s="6" t="s">
        <v>4171</v>
      </c>
      <c r="K940" s="6" t="str">
        <f>VLOOKUP(A940,Sheet4!$A:$H,7,0)</f>
        <v>Latex Ortho Mattress</v>
      </c>
      <c r="L940" s="6" t="str">
        <f>VLOOKUP(B940,Sheet4!$A:$H,8,0)</f>
        <v>Mattress</v>
      </c>
      <c r="M940" s="6">
        <v>17499.0</v>
      </c>
      <c r="N940" s="8">
        <v>15749.0</v>
      </c>
      <c r="O940" s="9">
        <v>16799.0</v>
      </c>
      <c r="P940" s="10">
        <v>15377.34</v>
      </c>
    </row>
    <row r="941">
      <c r="A941" s="6" t="s">
        <v>4172</v>
      </c>
      <c r="B941" s="6" t="s">
        <v>4172</v>
      </c>
      <c r="C941" s="6" t="s">
        <v>4173</v>
      </c>
      <c r="D941" s="6" t="s">
        <v>4174</v>
      </c>
      <c r="E941" s="6" t="e">
        <v>#N/A</v>
      </c>
      <c r="F941" s="6">
        <v>0.0</v>
      </c>
      <c r="G941" s="6" t="s">
        <v>4175</v>
      </c>
      <c r="H941" s="7" t="s">
        <v>4176</v>
      </c>
      <c r="I941" s="6" t="e">
        <v>#N/A</v>
      </c>
      <c r="J941" s="6" t="s">
        <v>4177</v>
      </c>
      <c r="K941" s="6" t="str">
        <f>VLOOKUP(A941,Sheet4!$A:$H,7,0)</f>
        <v>Latex Ortho Mattress</v>
      </c>
      <c r="L941" s="6" t="str">
        <f>VLOOKUP(B941,Sheet4!$A:$H,8,0)</f>
        <v>Mattress</v>
      </c>
      <c r="M941" s="6">
        <v>17299.0</v>
      </c>
      <c r="N941" s="8">
        <v>15569.0</v>
      </c>
      <c r="O941" s="9">
        <v>16599.0</v>
      </c>
      <c r="P941" s="10">
        <v>15245.34</v>
      </c>
    </row>
    <row r="942">
      <c r="A942" s="6" t="s">
        <v>4178</v>
      </c>
      <c r="B942" s="6" t="s">
        <v>4178</v>
      </c>
      <c r="C942" s="6" t="s">
        <v>4179</v>
      </c>
      <c r="D942" s="6" t="s">
        <v>4180</v>
      </c>
      <c r="E942" s="6" t="e">
        <v>#N/A</v>
      </c>
      <c r="F942" s="6">
        <v>0.0</v>
      </c>
      <c r="G942" s="6" t="s">
        <v>4181</v>
      </c>
      <c r="H942" s="7" t="s">
        <v>4182</v>
      </c>
      <c r="I942" s="6" t="e">
        <v>#N/A</v>
      </c>
      <c r="J942" s="6" t="s">
        <v>4183</v>
      </c>
      <c r="K942" s="6" t="str">
        <f>VLOOKUP(A942,Sheet4!$A:$H,7,0)</f>
        <v>Latex Ortho Mattress</v>
      </c>
      <c r="L942" s="6" t="str">
        <f>VLOOKUP(B942,Sheet4!$A:$H,8,0)</f>
        <v>Mattress</v>
      </c>
      <c r="M942" s="6">
        <v>19399.0</v>
      </c>
      <c r="N942" s="8">
        <v>17459.0</v>
      </c>
      <c r="O942" s="9">
        <v>18599.0</v>
      </c>
      <c r="P942" s="10">
        <v>17093.34</v>
      </c>
    </row>
    <row r="943">
      <c r="A943" s="6" t="s">
        <v>4184</v>
      </c>
      <c r="B943" s="6" t="s">
        <v>4184</v>
      </c>
      <c r="C943" s="6" t="s">
        <v>4185</v>
      </c>
      <c r="D943" s="6" t="s">
        <v>4186</v>
      </c>
      <c r="E943" s="6" t="e">
        <v>#N/A</v>
      </c>
      <c r="F943" s="6">
        <v>0.0</v>
      </c>
      <c r="G943" s="6" t="s">
        <v>4187</v>
      </c>
      <c r="H943" s="7" t="s">
        <v>4188</v>
      </c>
      <c r="I943" s="6" t="e">
        <v>#N/A</v>
      </c>
      <c r="J943" s="6" t="s">
        <v>4189</v>
      </c>
      <c r="K943" s="6" t="str">
        <f>VLOOKUP(A943,Sheet4!$A:$H,7,0)</f>
        <v>Latex Ortho Mattress</v>
      </c>
      <c r="L943" s="6" t="str">
        <f>VLOOKUP(B943,Sheet4!$A:$H,8,0)</f>
        <v>Mattress</v>
      </c>
      <c r="M943" s="6">
        <v>19999.0</v>
      </c>
      <c r="N943" s="8">
        <v>17999.0</v>
      </c>
      <c r="O943" s="9">
        <v>19199.0</v>
      </c>
      <c r="P943" s="10">
        <v>17621.34</v>
      </c>
    </row>
    <row r="944">
      <c r="A944" s="6" t="s">
        <v>4190</v>
      </c>
      <c r="B944" s="6" t="s">
        <v>4190</v>
      </c>
      <c r="C944" s="6" t="s">
        <v>4191</v>
      </c>
      <c r="D944" s="6" t="s">
        <v>4192</v>
      </c>
      <c r="E944" s="6" t="e">
        <v>#N/A</v>
      </c>
      <c r="F944" s="6">
        <v>0.0</v>
      </c>
      <c r="G944" s="6" t="s">
        <v>4193</v>
      </c>
      <c r="H944" s="7" t="s">
        <v>4194</v>
      </c>
      <c r="I944" s="6" t="e">
        <v>#N/A</v>
      </c>
      <c r="J944" s="6" t="s">
        <v>4195</v>
      </c>
      <c r="K944" s="6" t="str">
        <f>VLOOKUP(A944,Sheet4!$A:$H,7,0)</f>
        <v>Latex Ortho Mattress</v>
      </c>
      <c r="L944" s="6" t="str">
        <f>VLOOKUP(B944,Sheet4!$A:$H,8,0)</f>
        <v>Mattress</v>
      </c>
      <c r="M944" s="6">
        <v>19999.0</v>
      </c>
      <c r="N944" s="8">
        <v>17999.0</v>
      </c>
      <c r="O944" s="9">
        <v>19199.0</v>
      </c>
      <c r="P944" s="10">
        <v>17621.34</v>
      </c>
    </row>
    <row r="945">
      <c r="A945" s="6" t="s">
        <v>4196</v>
      </c>
      <c r="B945" s="6" t="s">
        <v>4196</v>
      </c>
      <c r="C945" s="6" t="s">
        <v>4197</v>
      </c>
      <c r="D945" s="6" t="s">
        <v>4198</v>
      </c>
      <c r="E945" s="6" t="e">
        <v>#N/A</v>
      </c>
      <c r="F945" s="6">
        <v>0.0</v>
      </c>
      <c r="G945" s="6" t="s">
        <v>4199</v>
      </c>
      <c r="H945" s="7" t="s">
        <v>4200</v>
      </c>
      <c r="I945" s="6" t="e">
        <v>#N/A</v>
      </c>
      <c r="J945" s="6" t="e">
        <v>#N/A</v>
      </c>
      <c r="K945" s="6" t="str">
        <f>VLOOKUP(A945,Sheet4!$A:$H,7,0)</f>
        <v>Latex Ortho Mattress</v>
      </c>
      <c r="L945" s="6" t="str">
        <f>VLOOKUP(B945,Sheet4!$A:$H,8,0)</f>
        <v>Mattress</v>
      </c>
      <c r="M945" s="6">
        <v>17499.0</v>
      </c>
      <c r="N945" s="8">
        <v>15749.0</v>
      </c>
      <c r="O945" s="9">
        <v>16799.0</v>
      </c>
      <c r="P945" s="10">
        <v>15377.34</v>
      </c>
    </row>
    <row r="946">
      <c r="A946" s="6" t="s">
        <v>4201</v>
      </c>
      <c r="B946" s="6" t="s">
        <v>4201</v>
      </c>
      <c r="C946" s="6" t="s">
        <v>4202</v>
      </c>
      <c r="D946" s="6" t="s">
        <v>4203</v>
      </c>
      <c r="E946" s="6" t="e">
        <v>#N/A</v>
      </c>
      <c r="F946" s="6">
        <v>0.0</v>
      </c>
      <c r="G946" s="6" t="s">
        <v>4204</v>
      </c>
      <c r="H946" s="7" t="s">
        <v>4205</v>
      </c>
      <c r="I946" s="6" t="e">
        <v>#N/A</v>
      </c>
      <c r="J946" s="6" t="s">
        <v>4206</v>
      </c>
      <c r="K946" s="6" t="str">
        <f>VLOOKUP(A946,Sheet4!$A:$H,7,0)</f>
        <v>Latex Ortho Mattress</v>
      </c>
      <c r="L946" s="6" t="str">
        <f>VLOOKUP(B946,Sheet4!$A:$H,8,0)</f>
        <v>Mattress</v>
      </c>
      <c r="M946" s="6">
        <v>17499.0</v>
      </c>
      <c r="N946" s="8">
        <v>15749.0</v>
      </c>
      <c r="O946" s="9">
        <v>16799.0</v>
      </c>
      <c r="P946" s="10">
        <v>15377.34</v>
      </c>
    </row>
    <row r="947">
      <c r="A947" s="6" t="s">
        <v>4207</v>
      </c>
      <c r="B947" s="6" t="s">
        <v>4207</v>
      </c>
      <c r="C947" s="6" t="s">
        <v>4208</v>
      </c>
      <c r="D947" s="6" t="s">
        <v>4209</v>
      </c>
      <c r="E947" s="6" t="e">
        <v>#N/A</v>
      </c>
      <c r="F947" s="6">
        <v>0.0</v>
      </c>
      <c r="G947" s="6" t="s">
        <v>4210</v>
      </c>
      <c r="H947" s="7" t="s">
        <v>4211</v>
      </c>
      <c r="I947" s="6" t="e">
        <v>#N/A</v>
      </c>
      <c r="J947" s="6" t="s">
        <v>4212</v>
      </c>
      <c r="K947" s="6" t="str">
        <f>VLOOKUP(A947,Sheet4!$A:$H,7,0)</f>
        <v>Latex Ortho Mattress</v>
      </c>
      <c r="L947" s="6" t="str">
        <f>VLOOKUP(B947,Sheet4!$A:$H,8,0)</f>
        <v>Mattress</v>
      </c>
      <c r="M947" s="6">
        <v>18199.0</v>
      </c>
      <c r="N947" s="8">
        <v>16379.0</v>
      </c>
      <c r="O947" s="9">
        <v>17499.0</v>
      </c>
      <c r="P947" s="10">
        <v>16037.34</v>
      </c>
    </row>
    <row r="948">
      <c r="A948" s="6" t="s">
        <v>4213</v>
      </c>
      <c r="B948" s="6" t="s">
        <v>4213</v>
      </c>
      <c r="C948" s="6" t="s">
        <v>4214</v>
      </c>
      <c r="D948" s="6" t="s">
        <v>4215</v>
      </c>
      <c r="E948" s="6" t="e">
        <v>#N/A</v>
      </c>
      <c r="F948" s="6">
        <v>0.0</v>
      </c>
      <c r="G948" s="6" t="s">
        <v>4216</v>
      </c>
      <c r="H948" s="7" t="s">
        <v>4217</v>
      </c>
      <c r="I948" s="6" t="e">
        <v>#N/A</v>
      </c>
      <c r="J948" s="6" t="s">
        <v>4218</v>
      </c>
      <c r="K948" s="6" t="str">
        <f>VLOOKUP(A948,Sheet4!$A:$H,7,0)</f>
        <v>Latex Ortho Mattress</v>
      </c>
      <c r="L948" s="6" t="str">
        <f>VLOOKUP(B948,Sheet4!$A:$H,8,0)</f>
        <v>Mattress</v>
      </c>
      <c r="M948" s="6">
        <v>19999.0</v>
      </c>
      <c r="N948" s="8">
        <v>17999.0</v>
      </c>
      <c r="O948" s="9">
        <v>19199.0</v>
      </c>
      <c r="P948" s="10">
        <v>17621.34</v>
      </c>
    </row>
    <row r="949">
      <c r="A949" s="6" t="s">
        <v>4219</v>
      </c>
      <c r="B949" s="6" t="s">
        <v>4219</v>
      </c>
      <c r="C949" s="6" t="s">
        <v>4220</v>
      </c>
      <c r="D949" s="6" t="s">
        <v>4221</v>
      </c>
      <c r="E949" s="6" t="e">
        <v>#N/A</v>
      </c>
      <c r="F949" s="6">
        <v>0.0</v>
      </c>
      <c r="G949" s="6" t="s">
        <v>4222</v>
      </c>
      <c r="H949" s="7" t="s">
        <v>4223</v>
      </c>
      <c r="I949" s="6" t="e">
        <v>#N/A</v>
      </c>
      <c r="J949" s="6" t="e">
        <v>#N/A</v>
      </c>
      <c r="K949" s="6" t="str">
        <f>VLOOKUP(A949,Sheet4!$A:$H,7,0)</f>
        <v>Latex Ortho Mattress</v>
      </c>
      <c r="L949" s="6" t="str">
        <f>VLOOKUP(B949,Sheet4!$A:$H,8,0)</f>
        <v>Mattress</v>
      </c>
      <c r="M949" s="6">
        <v>21299.0</v>
      </c>
      <c r="N949" s="8">
        <v>19169.0</v>
      </c>
      <c r="O949" s="9">
        <v>20399.0</v>
      </c>
      <c r="P949" s="10">
        <v>18743.34</v>
      </c>
    </row>
    <row r="950">
      <c r="A950" s="6" t="s">
        <v>4224</v>
      </c>
      <c r="B950" s="6" t="s">
        <v>4224</v>
      </c>
      <c r="C950" s="6" t="s">
        <v>4225</v>
      </c>
      <c r="D950" s="6" t="s">
        <v>4226</v>
      </c>
      <c r="E950" s="6" t="e">
        <v>#N/A</v>
      </c>
      <c r="F950" s="6">
        <v>0.0</v>
      </c>
      <c r="G950" s="6" t="s">
        <v>4227</v>
      </c>
      <c r="H950" s="7" t="s">
        <v>4228</v>
      </c>
      <c r="I950" s="6" t="e">
        <v>#N/A</v>
      </c>
      <c r="J950" s="6" t="e">
        <v>#N/A</v>
      </c>
      <c r="K950" s="6" t="str">
        <f>VLOOKUP(A950,Sheet4!$A:$H,7,0)</f>
        <v>Latex Ortho Mattress</v>
      </c>
      <c r="L950" s="6" t="str">
        <f>VLOOKUP(B950,Sheet4!$A:$H,8,0)</f>
        <v>Mattress</v>
      </c>
      <c r="M950" s="6">
        <v>19999.0</v>
      </c>
      <c r="N950" s="8">
        <v>17999.0</v>
      </c>
      <c r="O950" s="9">
        <v>19199.0</v>
      </c>
      <c r="P950" s="10">
        <v>17621.34</v>
      </c>
    </row>
    <row r="951">
      <c r="A951" s="6" t="s">
        <v>4229</v>
      </c>
      <c r="B951" s="6" t="s">
        <v>4229</v>
      </c>
      <c r="C951" s="6" t="s">
        <v>4230</v>
      </c>
      <c r="D951" s="6" t="s">
        <v>4231</v>
      </c>
      <c r="E951" s="6" t="e">
        <v>#N/A</v>
      </c>
      <c r="F951" s="6">
        <v>0.0</v>
      </c>
      <c r="G951" s="6" t="s">
        <v>4232</v>
      </c>
      <c r="H951" s="7" t="s">
        <v>4233</v>
      </c>
      <c r="I951" s="6" t="e">
        <v>#N/A</v>
      </c>
      <c r="J951" s="6" t="s">
        <v>4234</v>
      </c>
      <c r="K951" s="6" t="str">
        <f>VLOOKUP(A951,Sheet4!$A:$H,7,0)</f>
        <v>Latex Ortho Mattress</v>
      </c>
      <c r="L951" s="6" t="str">
        <f>VLOOKUP(B951,Sheet4!$A:$H,8,0)</f>
        <v>Mattress</v>
      </c>
      <c r="M951" s="6">
        <v>20699.0</v>
      </c>
      <c r="N951" s="8">
        <v>18629.0</v>
      </c>
      <c r="O951" s="9">
        <v>19899.0</v>
      </c>
      <c r="P951" s="10">
        <v>18215.34</v>
      </c>
    </row>
    <row r="952">
      <c r="A952" s="6" t="s">
        <v>4235</v>
      </c>
      <c r="B952" s="6" t="s">
        <v>4235</v>
      </c>
      <c r="C952" s="6" t="s">
        <v>4236</v>
      </c>
      <c r="D952" s="6" t="s">
        <v>4237</v>
      </c>
      <c r="E952" s="6" t="e">
        <v>#N/A</v>
      </c>
      <c r="F952" s="6">
        <v>0.0</v>
      </c>
      <c r="G952" s="6" t="s">
        <v>4238</v>
      </c>
      <c r="H952" s="7" t="s">
        <v>4239</v>
      </c>
      <c r="I952" s="6" t="e">
        <v>#N/A</v>
      </c>
      <c r="J952" s="6" t="s">
        <v>4240</v>
      </c>
      <c r="K952" s="6" t="str">
        <f>VLOOKUP(A952,Sheet4!$A:$H,7,0)</f>
        <v>Latex Ortho Mattress</v>
      </c>
      <c r="L952" s="6" t="str">
        <f>VLOOKUP(B952,Sheet4!$A:$H,8,0)</f>
        <v>Mattress</v>
      </c>
      <c r="M952" s="6">
        <v>20699.0</v>
      </c>
      <c r="N952" s="8">
        <v>18629.0</v>
      </c>
      <c r="O952" s="9">
        <v>19899.0</v>
      </c>
      <c r="P952" s="10">
        <v>18215.34</v>
      </c>
    </row>
    <row r="953">
      <c r="A953" s="6" t="s">
        <v>4241</v>
      </c>
      <c r="B953" s="6" t="s">
        <v>4241</v>
      </c>
      <c r="C953" s="6" t="s">
        <v>4242</v>
      </c>
      <c r="D953" s="6" t="s">
        <v>4243</v>
      </c>
      <c r="E953" s="6" t="e">
        <v>#N/A</v>
      </c>
      <c r="F953" s="6">
        <v>0.0</v>
      </c>
      <c r="G953" s="6" t="s">
        <v>4244</v>
      </c>
      <c r="H953" s="7" t="s">
        <v>4245</v>
      </c>
      <c r="I953" s="6" t="e">
        <v>#N/A</v>
      </c>
      <c r="J953" s="6" t="s">
        <v>4246</v>
      </c>
      <c r="K953" s="6" t="str">
        <f>VLOOKUP(A953,Sheet4!$A:$H,7,0)</f>
        <v>Latex Ortho Mattress</v>
      </c>
      <c r="L953" s="6" t="str">
        <f>VLOOKUP(B953,Sheet4!$A:$H,8,0)</f>
        <v>Mattress</v>
      </c>
      <c r="M953" s="6">
        <v>23199.0</v>
      </c>
      <c r="N953" s="8">
        <v>20879.0</v>
      </c>
      <c r="O953" s="9">
        <v>22199.0</v>
      </c>
      <c r="P953" s="10">
        <v>20393.34</v>
      </c>
    </row>
    <row r="954">
      <c r="A954" s="6" t="s">
        <v>4247</v>
      </c>
      <c r="B954" s="6" t="s">
        <v>4247</v>
      </c>
      <c r="C954" s="6" t="s">
        <v>4248</v>
      </c>
      <c r="D954" s="6" t="s">
        <v>4249</v>
      </c>
      <c r="E954" s="6" t="e">
        <v>#N/A</v>
      </c>
      <c r="F954" s="6">
        <v>0.0</v>
      </c>
      <c r="G954" s="6" t="s">
        <v>4250</v>
      </c>
      <c r="H954" s="7" t="s">
        <v>4251</v>
      </c>
      <c r="I954" s="6" t="e">
        <v>#N/A</v>
      </c>
      <c r="J954" s="6" t="e">
        <v>#N/A</v>
      </c>
      <c r="K954" s="6" t="str">
        <f>VLOOKUP(A954,Sheet4!$A:$H,7,0)</f>
        <v>Latex Ortho Mattress</v>
      </c>
      <c r="L954" s="6" t="str">
        <f>VLOOKUP(B954,Sheet4!$A:$H,8,0)</f>
        <v>Mattress</v>
      </c>
      <c r="M954" s="6">
        <v>24999.0</v>
      </c>
      <c r="N954" s="8">
        <v>22499.0</v>
      </c>
      <c r="O954" s="9">
        <v>23999.0</v>
      </c>
      <c r="P954" s="10">
        <v>21977.34</v>
      </c>
    </row>
    <row r="955">
      <c r="A955" s="6" t="s">
        <v>4252</v>
      </c>
      <c r="B955" s="6" t="s">
        <v>4252</v>
      </c>
      <c r="C955" s="6" t="s">
        <v>4253</v>
      </c>
      <c r="D955" s="6" t="s">
        <v>4254</v>
      </c>
      <c r="E955" s="6" t="e">
        <v>#N/A</v>
      </c>
      <c r="F955" s="6">
        <v>0.0</v>
      </c>
      <c r="G955" s="6" t="s">
        <v>4255</v>
      </c>
      <c r="H955" s="7" t="s">
        <v>4256</v>
      </c>
      <c r="I955" s="6" t="e">
        <v>#N/A</v>
      </c>
      <c r="J955" s="6" t="e">
        <v>#N/A</v>
      </c>
      <c r="K955" s="6" t="str">
        <f>VLOOKUP(A955,Sheet4!$A:$H,7,0)</f>
        <v>Latex Ortho Mattress</v>
      </c>
      <c r="L955" s="6" t="str">
        <f>VLOOKUP(B955,Sheet4!$A:$H,8,0)</f>
        <v>Mattress</v>
      </c>
      <c r="M955" s="6">
        <v>9799.0</v>
      </c>
      <c r="N955" s="8">
        <v>8819.0</v>
      </c>
      <c r="O955" s="9">
        <v>9399.0</v>
      </c>
      <c r="P955" s="10">
        <v>8645.34</v>
      </c>
    </row>
    <row r="956">
      <c r="A956" s="6" t="s">
        <v>4257</v>
      </c>
      <c r="B956" s="6" t="s">
        <v>4257</v>
      </c>
      <c r="C956" s="6" t="s">
        <v>4258</v>
      </c>
      <c r="D956" s="6" t="s">
        <v>4259</v>
      </c>
      <c r="E956" s="6" t="e">
        <v>#N/A</v>
      </c>
      <c r="F956" s="6">
        <v>0.0</v>
      </c>
      <c r="G956" s="6" t="s">
        <v>4260</v>
      </c>
      <c r="H956" s="7" t="s">
        <v>4261</v>
      </c>
      <c r="I956" s="6" t="e">
        <v>#N/A</v>
      </c>
      <c r="J956" s="6" t="e">
        <v>#N/A</v>
      </c>
      <c r="K956" s="6" t="str">
        <f>VLOOKUP(A956,Sheet4!$A:$H,7,0)</f>
        <v>Latex Ortho Mattress</v>
      </c>
      <c r="L956" s="6" t="str">
        <f>VLOOKUP(B956,Sheet4!$A:$H,8,0)</f>
        <v>Mattress</v>
      </c>
      <c r="M956" s="6">
        <v>10299.0</v>
      </c>
      <c r="N956" s="8">
        <v>9269.0</v>
      </c>
      <c r="O956" s="9">
        <v>9899.0</v>
      </c>
      <c r="P956" s="10">
        <v>9041.34</v>
      </c>
    </row>
    <row r="957">
      <c r="A957" s="6" t="s">
        <v>4262</v>
      </c>
      <c r="B957" s="6" t="s">
        <v>4262</v>
      </c>
      <c r="C957" s="6" t="s">
        <v>4263</v>
      </c>
      <c r="D957" s="6" t="s">
        <v>4264</v>
      </c>
      <c r="E957" s="6" t="e">
        <v>#N/A</v>
      </c>
      <c r="F957" s="6">
        <v>0.0</v>
      </c>
      <c r="G957" s="6" t="s">
        <v>4265</v>
      </c>
      <c r="H957" s="7" t="s">
        <v>4266</v>
      </c>
      <c r="I957" s="6" t="e">
        <v>#N/A</v>
      </c>
      <c r="J957" s="6" t="e">
        <v>#N/A</v>
      </c>
      <c r="K957" s="6" t="str">
        <f>VLOOKUP(A957,Sheet4!$A:$H,7,0)</f>
        <v>Latex Ortho Mattress</v>
      </c>
      <c r="L957" s="6" t="str">
        <f>VLOOKUP(B957,Sheet4!$A:$H,8,0)</f>
        <v>Mattress</v>
      </c>
      <c r="M957" s="6">
        <v>10299.0</v>
      </c>
      <c r="N957" s="8">
        <v>9269.0</v>
      </c>
      <c r="O957" s="9">
        <v>9899.0</v>
      </c>
      <c r="P957" s="10">
        <v>9041.34</v>
      </c>
    </row>
    <row r="958">
      <c r="A958" s="6" t="s">
        <v>4267</v>
      </c>
      <c r="B958" s="6" t="s">
        <v>4267</v>
      </c>
      <c r="C958" s="6" t="s">
        <v>4268</v>
      </c>
      <c r="D958" s="6" t="s">
        <v>4269</v>
      </c>
      <c r="E958" s="6" t="e">
        <v>#N/A</v>
      </c>
      <c r="F958" s="6">
        <v>0.0</v>
      </c>
      <c r="G958" s="6" t="s">
        <v>4270</v>
      </c>
      <c r="H958" s="7" t="s">
        <v>4271</v>
      </c>
      <c r="I958" s="6" t="e">
        <v>#N/A</v>
      </c>
      <c r="J958" s="6" t="s">
        <v>4272</v>
      </c>
      <c r="K958" s="6" t="str">
        <f>VLOOKUP(A958,Sheet4!$A:$H,7,0)</f>
        <v>Latex Ortho Mattress</v>
      </c>
      <c r="L958" s="6" t="str">
        <f>VLOOKUP(B958,Sheet4!$A:$H,8,0)</f>
        <v>Mattress</v>
      </c>
      <c r="M958" s="6">
        <v>10999.0</v>
      </c>
      <c r="N958" s="8">
        <v>9899.0</v>
      </c>
      <c r="O958" s="9">
        <v>10599.0</v>
      </c>
      <c r="P958" s="10">
        <v>9701.34</v>
      </c>
    </row>
    <row r="959">
      <c r="A959" s="6" t="s">
        <v>4273</v>
      </c>
      <c r="B959" s="6" t="s">
        <v>4273</v>
      </c>
      <c r="C959" s="6" t="s">
        <v>4274</v>
      </c>
      <c r="D959" s="6" t="s">
        <v>4275</v>
      </c>
      <c r="E959" s="6" t="e">
        <v>#N/A</v>
      </c>
      <c r="F959" s="6">
        <v>0.0</v>
      </c>
      <c r="G959" s="6" t="s">
        <v>4276</v>
      </c>
      <c r="H959" s="7" t="s">
        <v>4277</v>
      </c>
      <c r="I959" s="6" t="e">
        <v>#N/A</v>
      </c>
      <c r="J959" s="6" t="s">
        <v>4278</v>
      </c>
      <c r="K959" s="6" t="str">
        <f>VLOOKUP(A959,Sheet4!$A:$H,7,0)</f>
        <v>Latex Ortho Mattress</v>
      </c>
      <c r="L959" s="6" t="str">
        <f>VLOOKUP(B959,Sheet4!$A:$H,8,0)</f>
        <v>Mattress</v>
      </c>
      <c r="M959" s="6">
        <v>11299.0</v>
      </c>
      <c r="N959" s="8">
        <v>10169.0</v>
      </c>
      <c r="O959" s="9">
        <v>10899.0</v>
      </c>
      <c r="P959" s="10">
        <v>9965.34</v>
      </c>
    </row>
    <row r="960">
      <c r="A960" s="6" t="s">
        <v>4279</v>
      </c>
      <c r="B960" s="6" t="s">
        <v>4279</v>
      </c>
      <c r="C960" s="6" t="s">
        <v>4280</v>
      </c>
      <c r="D960" s="6" t="s">
        <v>4281</v>
      </c>
      <c r="E960" s="6" t="e">
        <v>#N/A</v>
      </c>
      <c r="F960" s="6">
        <v>0.0</v>
      </c>
      <c r="G960" s="6" t="s">
        <v>4282</v>
      </c>
      <c r="H960" s="7" t="s">
        <v>4283</v>
      </c>
      <c r="I960" s="6" t="e">
        <v>#N/A</v>
      </c>
      <c r="J960" s="6" t="s">
        <v>4284</v>
      </c>
      <c r="K960" s="6" t="str">
        <f>VLOOKUP(A960,Sheet4!$A:$H,7,0)</f>
        <v>Latex Ortho Mattress</v>
      </c>
      <c r="L960" s="6" t="str">
        <f>VLOOKUP(B960,Sheet4!$A:$H,8,0)</f>
        <v>Mattress</v>
      </c>
      <c r="M960" s="6">
        <v>11499.0</v>
      </c>
      <c r="N960" s="8">
        <v>10349.0</v>
      </c>
      <c r="O960" s="9">
        <v>10999.0</v>
      </c>
      <c r="P960" s="10">
        <v>10097.34</v>
      </c>
    </row>
    <row r="961">
      <c r="A961" s="6" t="s">
        <v>4285</v>
      </c>
      <c r="B961" s="6" t="s">
        <v>4285</v>
      </c>
      <c r="C961" s="6" t="s">
        <v>4286</v>
      </c>
      <c r="D961" s="6" t="s">
        <v>4287</v>
      </c>
      <c r="E961" s="6" t="e">
        <v>#N/A</v>
      </c>
      <c r="F961" s="6">
        <v>0.0</v>
      </c>
      <c r="G961" s="6" t="s">
        <v>4288</v>
      </c>
      <c r="H961" s="7" t="s">
        <v>4289</v>
      </c>
      <c r="I961" s="6" t="e">
        <v>#N/A</v>
      </c>
      <c r="J961" s="6" t="e">
        <v>#N/A</v>
      </c>
      <c r="K961" s="6" t="str">
        <f>VLOOKUP(A961,Sheet4!$A:$H,7,0)</f>
        <v>Latex Ortho Mattress</v>
      </c>
      <c r="L961" s="6" t="str">
        <f>VLOOKUP(B961,Sheet4!$A:$H,8,0)</f>
        <v>Mattress</v>
      </c>
      <c r="M961" s="6">
        <v>12799.0</v>
      </c>
      <c r="N961" s="8">
        <v>11519.0</v>
      </c>
      <c r="O961" s="9">
        <v>12299.0</v>
      </c>
      <c r="P961" s="10">
        <v>11285.34</v>
      </c>
    </row>
    <row r="962">
      <c r="A962" s="6" t="s">
        <v>4290</v>
      </c>
      <c r="B962" s="6" t="s">
        <v>4290</v>
      </c>
      <c r="C962" s="6" t="s">
        <v>4291</v>
      </c>
      <c r="D962" s="6" t="s">
        <v>4292</v>
      </c>
      <c r="E962" s="6" t="e">
        <v>#N/A</v>
      </c>
      <c r="F962" s="6">
        <v>0.0</v>
      </c>
      <c r="G962" s="6" t="s">
        <v>4293</v>
      </c>
      <c r="H962" s="7" t="s">
        <v>4294</v>
      </c>
      <c r="I962" s="6" t="e">
        <v>#N/A</v>
      </c>
      <c r="J962" s="6" t="s">
        <v>4295</v>
      </c>
      <c r="K962" s="6" t="str">
        <f>VLOOKUP(A962,Sheet4!$A:$H,7,0)</f>
        <v>Latex Ortho Mattress</v>
      </c>
      <c r="L962" s="6" t="str">
        <f>VLOOKUP(B962,Sheet4!$A:$H,8,0)</f>
        <v>Mattress</v>
      </c>
      <c r="M962" s="6">
        <v>12499.0</v>
      </c>
      <c r="N962" s="8">
        <v>11249.0</v>
      </c>
      <c r="O962" s="9">
        <v>11999.0</v>
      </c>
      <c r="P962" s="10">
        <v>11021.34</v>
      </c>
    </row>
    <row r="963">
      <c r="A963" s="6" t="s">
        <v>4296</v>
      </c>
      <c r="B963" s="6" t="s">
        <v>4296</v>
      </c>
      <c r="C963" s="6" t="s">
        <v>4297</v>
      </c>
      <c r="D963" s="6" t="s">
        <v>4298</v>
      </c>
      <c r="E963" s="6" t="e">
        <v>#N/A</v>
      </c>
      <c r="F963" s="6">
        <v>0.0</v>
      </c>
      <c r="G963" s="6" t="s">
        <v>4299</v>
      </c>
      <c r="H963" s="7" t="s">
        <v>4300</v>
      </c>
      <c r="I963" s="6" t="e">
        <v>#N/A</v>
      </c>
      <c r="J963" s="6" t="s">
        <v>4301</v>
      </c>
      <c r="K963" s="6" t="str">
        <f>VLOOKUP(A963,Sheet4!$A:$H,7,0)</f>
        <v>Latex Ortho Mattress</v>
      </c>
      <c r="L963" s="6" t="str">
        <f>VLOOKUP(B963,Sheet4!$A:$H,8,0)</f>
        <v>Mattress</v>
      </c>
      <c r="M963" s="6">
        <v>13199.0</v>
      </c>
      <c r="N963" s="8">
        <v>11879.0</v>
      </c>
      <c r="O963" s="9">
        <v>12699.0</v>
      </c>
      <c r="P963" s="10">
        <v>11615.34</v>
      </c>
    </row>
    <row r="964">
      <c r="A964" s="6" t="s">
        <v>4302</v>
      </c>
      <c r="B964" s="6" t="s">
        <v>4302</v>
      </c>
      <c r="C964" s="6" t="s">
        <v>4303</v>
      </c>
      <c r="D964" s="6" t="s">
        <v>4304</v>
      </c>
      <c r="E964" s="6" t="e">
        <v>#N/A</v>
      </c>
      <c r="F964" s="6">
        <v>0.0</v>
      </c>
      <c r="G964" s="6" t="s">
        <v>4305</v>
      </c>
      <c r="H964" s="7" t="s">
        <v>4306</v>
      </c>
      <c r="I964" s="6" t="e">
        <v>#N/A</v>
      </c>
      <c r="J964" s="6" t="s">
        <v>4307</v>
      </c>
      <c r="K964" s="6" t="str">
        <f>VLOOKUP(A964,Sheet4!$A:$H,7,0)</f>
        <v>Latex Ortho Mattress</v>
      </c>
      <c r="L964" s="6" t="str">
        <f>VLOOKUP(B964,Sheet4!$A:$H,8,0)</f>
        <v>Mattress</v>
      </c>
      <c r="M964" s="6">
        <v>13799.0</v>
      </c>
      <c r="N964" s="8">
        <v>12419.0</v>
      </c>
      <c r="O964" s="9">
        <v>13199.0</v>
      </c>
      <c r="P964" s="10">
        <v>12143.34</v>
      </c>
    </row>
    <row r="965">
      <c r="A965" s="6" t="s">
        <v>4308</v>
      </c>
      <c r="B965" s="6" t="s">
        <v>4308</v>
      </c>
      <c r="C965" s="6" t="s">
        <v>4309</v>
      </c>
      <c r="D965" s="6" t="s">
        <v>4310</v>
      </c>
      <c r="E965" s="6" t="e">
        <v>#N/A</v>
      </c>
      <c r="F965" s="6">
        <v>0.0</v>
      </c>
      <c r="G965" s="6" t="s">
        <v>4311</v>
      </c>
      <c r="H965" s="7" t="s">
        <v>4312</v>
      </c>
      <c r="I965" s="6" t="e">
        <v>#N/A</v>
      </c>
      <c r="J965" s="6" t="s">
        <v>4313</v>
      </c>
      <c r="K965" s="6" t="str">
        <f>VLOOKUP(A965,Sheet4!$A:$H,7,0)</f>
        <v>Latex Ortho Mattress</v>
      </c>
      <c r="L965" s="6" t="str">
        <f>VLOOKUP(B965,Sheet4!$A:$H,8,0)</f>
        <v>Mattress</v>
      </c>
      <c r="M965" s="6">
        <v>14899.0</v>
      </c>
      <c r="N965" s="8">
        <v>13409.0</v>
      </c>
      <c r="O965" s="9">
        <v>14299.0</v>
      </c>
      <c r="P965" s="10">
        <v>13133.34</v>
      </c>
    </row>
    <row r="966">
      <c r="A966" s="6" t="s">
        <v>4314</v>
      </c>
      <c r="B966" s="6" t="s">
        <v>4314</v>
      </c>
      <c r="C966" s="6" t="s">
        <v>4315</v>
      </c>
      <c r="D966" s="6" t="s">
        <v>4316</v>
      </c>
      <c r="E966" s="6" t="e">
        <v>#N/A</v>
      </c>
      <c r="F966" s="6">
        <v>0.0</v>
      </c>
      <c r="G966" s="6" t="s">
        <v>4317</v>
      </c>
      <c r="H966" s="7" t="s">
        <v>4318</v>
      </c>
      <c r="I966" s="6" t="e">
        <v>#N/A</v>
      </c>
      <c r="J966" s="6" t="s">
        <v>4319</v>
      </c>
      <c r="K966" s="6" t="str">
        <f>VLOOKUP(A966,Sheet4!$A:$H,7,0)</f>
        <v>Latex Ortho Mattress</v>
      </c>
      <c r="L966" s="6" t="str">
        <f>VLOOKUP(B966,Sheet4!$A:$H,8,0)</f>
        <v>Mattress</v>
      </c>
      <c r="M966" s="6">
        <v>15299.0</v>
      </c>
      <c r="N966" s="8">
        <v>13769.0</v>
      </c>
      <c r="O966" s="9">
        <v>14699.0</v>
      </c>
      <c r="P966" s="10">
        <v>13463.34</v>
      </c>
    </row>
    <row r="967">
      <c r="A967" s="6" t="s">
        <v>4320</v>
      </c>
      <c r="B967" s="6" t="s">
        <v>4320</v>
      </c>
      <c r="C967" s="6" t="s">
        <v>4321</v>
      </c>
      <c r="D967" s="6" t="s">
        <v>4322</v>
      </c>
      <c r="E967" s="6" t="e">
        <v>#N/A</v>
      </c>
      <c r="F967" s="6">
        <v>0.0</v>
      </c>
      <c r="G967" s="6" t="s">
        <v>4323</v>
      </c>
      <c r="H967" s="7" t="s">
        <v>4324</v>
      </c>
      <c r="I967" s="6" t="e">
        <v>#N/A</v>
      </c>
      <c r="J967" s="6" t="e">
        <v>#N/A</v>
      </c>
      <c r="K967" s="6" t="str">
        <f>VLOOKUP(A967,Sheet4!$A:$H,7,0)</f>
        <v>Latex Ortho Mattress</v>
      </c>
      <c r="L967" s="6" t="str">
        <f>VLOOKUP(B967,Sheet4!$A:$H,8,0)</f>
        <v>Mattress</v>
      </c>
      <c r="M967" s="6">
        <v>15499.0</v>
      </c>
      <c r="N967" s="8">
        <v>13949.0</v>
      </c>
      <c r="O967" s="9">
        <v>14899.0</v>
      </c>
      <c r="P967" s="10">
        <v>13661.34</v>
      </c>
    </row>
    <row r="968">
      <c r="A968" s="6" t="s">
        <v>4325</v>
      </c>
      <c r="B968" s="6" t="s">
        <v>4325</v>
      </c>
      <c r="C968" s="6" t="s">
        <v>4326</v>
      </c>
      <c r="D968" s="6" t="s">
        <v>4327</v>
      </c>
      <c r="E968" s="6" t="e">
        <v>#N/A</v>
      </c>
      <c r="F968" s="6">
        <v>0.0</v>
      </c>
      <c r="G968" s="6" t="s">
        <v>4328</v>
      </c>
      <c r="H968" s="7" t="s">
        <v>4329</v>
      </c>
      <c r="I968" s="6" t="e">
        <v>#N/A</v>
      </c>
      <c r="J968" s="6" t="e">
        <v>#N/A</v>
      </c>
      <c r="K968" s="6" t="str">
        <f>VLOOKUP(A968,Sheet4!$A:$H,7,0)</f>
        <v>Latex Ortho Mattress</v>
      </c>
      <c r="L968" s="6" t="str">
        <f>VLOOKUP(B968,Sheet4!$A:$H,8,0)</f>
        <v>Mattress</v>
      </c>
      <c r="M968" s="6">
        <v>15699.0</v>
      </c>
      <c r="N968" s="8">
        <v>14129.0</v>
      </c>
      <c r="O968" s="9">
        <v>14999.0</v>
      </c>
      <c r="P968" s="10">
        <v>13793.34</v>
      </c>
    </row>
    <row r="969">
      <c r="A969" s="6" t="s">
        <v>4330</v>
      </c>
      <c r="B969" s="6" t="s">
        <v>4330</v>
      </c>
      <c r="C969" s="6" t="s">
        <v>4331</v>
      </c>
      <c r="D969" s="6" t="s">
        <v>4332</v>
      </c>
      <c r="E969" s="6" t="e">
        <v>#N/A</v>
      </c>
      <c r="F969" s="6">
        <v>0.0</v>
      </c>
      <c r="G969" s="6" t="s">
        <v>4333</v>
      </c>
      <c r="H969" s="7" t="s">
        <v>4334</v>
      </c>
      <c r="I969" s="6" t="e">
        <v>#N/A</v>
      </c>
      <c r="J969" s="6" t="s">
        <v>4335</v>
      </c>
      <c r="K969" s="6" t="str">
        <f>VLOOKUP(A969,Sheet4!$A:$H,7,0)</f>
        <v>Latex Ortho Mattress</v>
      </c>
      <c r="L969" s="6" t="str">
        <f>VLOOKUP(B969,Sheet4!$A:$H,8,0)</f>
        <v>Mattress</v>
      </c>
      <c r="M969" s="6">
        <v>14399.0</v>
      </c>
      <c r="N969" s="8">
        <v>12959.0</v>
      </c>
      <c r="O969" s="9">
        <v>13799.0</v>
      </c>
      <c r="P969" s="10">
        <v>12671.34</v>
      </c>
    </row>
    <row r="970">
      <c r="A970" s="6" t="s">
        <v>4336</v>
      </c>
      <c r="B970" s="6" t="s">
        <v>4336</v>
      </c>
      <c r="C970" s="6" t="s">
        <v>4337</v>
      </c>
      <c r="D970" s="6" t="s">
        <v>4338</v>
      </c>
      <c r="E970" s="6" t="e">
        <v>#N/A</v>
      </c>
      <c r="F970" s="6">
        <v>0.0</v>
      </c>
      <c r="G970" s="6" t="s">
        <v>4339</v>
      </c>
      <c r="H970" s="7" t="s">
        <v>4340</v>
      </c>
      <c r="I970" s="6" t="e">
        <v>#N/A</v>
      </c>
      <c r="J970" s="6" t="s">
        <v>4341</v>
      </c>
      <c r="K970" s="6" t="str">
        <f>VLOOKUP(A970,Sheet4!$A:$H,7,0)</f>
        <v>Latex Ortho Mattress</v>
      </c>
      <c r="L970" s="6" t="str">
        <f>VLOOKUP(B970,Sheet4!$A:$H,8,0)</f>
        <v>Mattress</v>
      </c>
      <c r="M970" s="6">
        <v>14799.0</v>
      </c>
      <c r="N970" s="8">
        <v>13319.0</v>
      </c>
      <c r="O970" s="9">
        <v>14199.0</v>
      </c>
      <c r="P970" s="10">
        <v>13001.34</v>
      </c>
    </row>
    <row r="971">
      <c r="A971" s="6" t="s">
        <v>4342</v>
      </c>
      <c r="B971" s="6" t="s">
        <v>4342</v>
      </c>
      <c r="C971" s="6" t="s">
        <v>4343</v>
      </c>
      <c r="D971" s="6" t="s">
        <v>4344</v>
      </c>
      <c r="E971" s="6" t="e">
        <v>#N/A</v>
      </c>
      <c r="F971" s="6">
        <v>0.0</v>
      </c>
      <c r="G971" s="6" t="s">
        <v>4345</v>
      </c>
      <c r="H971" s="7" t="s">
        <v>4346</v>
      </c>
      <c r="I971" s="6" t="e">
        <v>#N/A</v>
      </c>
      <c r="J971" s="6" t="s">
        <v>4347</v>
      </c>
      <c r="K971" s="6" t="str">
        <f>VLOOKUP(A971,Sheet4!$A:$H,7,0)</f>
        <v>Latex Ortho Mattress</v>
      </c>
      <c r="L971" s="6" t="str">
        <f>VLOOKUP(B971,Sheet4!$A:$H,8,0)</f>
        <v>Mattress</v>
      </c>
      <c r="M971" s="6">
        <v>15399.0</v>
      </c>
      <c r="N971" s="8">
        <v>13859.0</v>
      </c>
      <c r="O971" s="9">
        <v>14799.0</v>
      </c>
      <c r="P971" s="10">
        <v>13529.34</v>
      </c>
    </row>
    <row r="972">
      <c r="A972" s="6" t="s">
        <v>4348</v>
      </c>
      <c r="B972" s="6" t="s">
        <v>4348</v>
      </c>
      <c r="C972" s="6" t="s">
        <v>4349</v>
      </c>
      <c r="D972" s="6" t="s">
        <v>4350</v>
      </c>
      <c r="E972" s="6" t="e">
        <v>#N/A</v>
      </c>
      <c r="F972" s="6">
        <v>0.0</v>
      </c>
      <c r="G972" s="6" t="s">
        <v>4351</v>
      </c>
      <c r="H972" s="7" t="s">
        <v>4352</v>
      </c>
      <c r="I972" s="6" t="e">
        <v>#N/A</v>
      </c>
      <c r="J972" s="6" t="s">
        <v>4353</v>
      </c>
      <c r="K972" s="6" t="str">
        <f>VLOOKUP(A972,Sheet4!$A:$H,7,0)</f>
        <v>Latex Ortho Mattress</v>
      </c>
      <c r="L972" s="6" t="str">
        <f>VLOOKUP(B972,Sheet4!$A:$H,8,0)</f>
        <v>Mattress</v>
      </c>
      <c r="M972" s="6">
        <v>16899.0</v>
      </c>
      <c r="N972" s="8">
        <v>15209.0</v>
      </c>
      <c r="O972" s="9">
        <v>16199.0</v>
      </c>
      <c r="P972" s="10">
        <v>14849.34</v>
      </c>
    </row>
    <row r="973">
      <c r="A973" s="6" t="s">
        <v>4354</v>
      </c>
      <c r="B973" s="6" t="s">
        <v>4354</v>
      </c>
      <c r="C973" s="6" t="s">
        <v>4355</v>
      </c>
      <c r="D973" s="6" t="s">
        <v>4356</v>
      </c>
      <c r="E973" s="6" t="e">
        <v>#N/A</v>
      </c>
      <c r="F973" s="6">
        <v>0.0</v>
      </c>
      <c r="G973" s="6" t="s">
        <v>4357</v>
      </c>
      <c r="H973" s="7" t="s">
        <v>4358</v>
      </c>
      <c r="I973" s="6" t="e">
        <v>#N/A</v>
      </c>
      <c r="J973" s="6" t="e">
        <v>#N/A</v>
      </c>
      <c r="K973" s="6" t="str">
        <f>VLOOKUP(A973,Sheet4!$A:$H,7,0)</f>
        <v>Latex Ortho Mattress</v>
      </c>
      <c r="L973" s="6" t="str">
        <f>VLOOKUP(B973,Sheet4!$A:$H,8,0)</f>
        <v>Mattress</v>
      </c>
      <c r="M973" s="6">
        <v>17799.0</v>
      </c>
      <c r="N973" s="8">
        <v>16019.0</v>
      </c>
      <c r="O973" s="9">
        <v>17099.0</v>
      </c>
      <c r="P973" s="10">
        <v>15641.34</v>
      </c>
    </row>
    <row r="974">
      <c r="A974" s="6" t="s">
        <v>4359</v>
      </c>
      <c r="B974" s="6" t="s">
        <v>4359</v>
      </c>
      <c r="C974" s="6" t="e">
        <v>#N/A</v>
      </c>
      <c r="D974" s="6" t="e">
        <v>#N/A</v>
      </c>
      <c r="E974" s="6" t="e">
        <v>#N/A</v>
      </c>
      <c r="F974" s="6" t="e">
        <v>#N/A</v>
      </c>
      <c r="G974" s="6">
        <v>0.0</v>
      </c>
      <c r="H974" s="7" t="e">
        <v>#N/A</v>
      </c>
      <c r="I974" s="6" t="e">
        <v>#N/A</v>
      </c>
      <c r="J974" s="6" t="e">
        <v>#N/A</v>
      </c>
      <c r="K974" s="6" t="str">
        <f>VLOOKUP(A974,Sheet4!$A:$H,7,0)</f>
        <v>#N/A</v>
      </c>
      <c r="L974" s="6" t="str">
        <f>VLOOKUP(B974,Sheet4!$A:$H,8,0)</f>
        <v>#N/A</v>
      </c>
      <c r="M974" s="6" t="str">
        <f t="shared" ref="M974:M977" si="15">VLOOKUP(A974,#REF!,2,FALSE)</f>
        <v>#REF!</v>
      </c>
      <c r="N974" s="6" t="str">
        <f>VLOOKUP(A974, Sheet2!A:M, 3, FALSE)</f>
        <v>#N/A</v>
      </c>
      <c r="O974" s="10" t="e">
        <v>#N/A</v>
      </c>
      <c r="P974" s="10" t="e">
        <v>#N/A</v>
      </c>
    </row>
    <row r="975">
      <c r="A975" s="6" t="s">
        <v>4360</v>
      </c>
      <c r="B975" s="6" t="s">
        <v>4360</v>
      </c>
      <c r="C975" s="6" t="e">
        <v>#N/A</v>
      </c>
      <c r="D975" s="6" t="e">
        <v>#N/A</v>
      </c>
      <c r="E975" s="6" t="e">
        <v>#N/A</v>
      </c>
      <c r="F975" s="6" t="e">
        <v>#N/A</v>
      </c>
      <c r="G975" s="6">
        <v>0.0</v>
      </c>
      <c r="H975" s="7" t="e">
        <v>#N/A</v>
      </c>
      <c r="I975" s="6" t="e">
        <v>#N/A</v>
      </c>
      <c r="J975" s="6" t="e">
        <v>#N/A</v>
      </c>
      <c r="K975" s="6" t="str">
        <f>VLOOKUP(A975,Sheet4!$A:$H,7,0)</f>
        <v>#N/A</v>
      </c>
      <c r="L975" s="6" t="str">
        <f>VLOOKUP(B975,Sheet4!$A:$H,8,0)</f>
        <v>#N/A</v>
      </c>
      <c r="M975" s="6" t="str">
        <f t="shared" si="15"/>
        <v>#REF!</v>
      </c>
      <c r="N975" s="6" t="str">
        <f>VLOOKUP(A975, Sheet2!A:M, 3, FALSE)</f>
        <v>#N/A</v>
      </c>
      <c r="O975" s="10" t="e">
        <v>#N/A</v>
      </c>
      <c r="P975" s="10" t="e">
        <v>#N/A</v>
      </c>
    </row>
    <row r="976">
      <c r="A976" s="6" t="s">
        <v>4361</v>
      </c>
      <c r="B976" s="6" t="s">
        <v>4361</v>
      </c>
      <c r="C976" s="6" t="e">
        <v>#N/A</v>
      </c>
      <c r="D976" s="6" t="e">
        <v>#N/A</v>
      </c>
      <c r="E976" s="6" t="e">
        <v>#N/A</v>
      </c>
      <c r="F976" s="6" t="e">
        <v>#N/A</v>
      </c>
      <c r="G976" s="6">
        <v>0.0</v>
      </c>
      <c r="H976" s="7" t="e">
        <v>#N/A</v>
      </c>
      <c r="I976" s="6" t="e">
        <v>#N/A</v>
      </c>
      <c r="J976" s="6" t="e">
        <v>#N/A</v>
      </c>
      <c r="K976" s="6" t="str">
        <f>VLOOKUP(A976,Sheet4!$A:$H,7,0)</f>
        <v>#N/A</v>
      </c>
      <c r="L976" s="6" t="str">
        <f>VLOOKUP(B976,Sheet4!$A:$H,8,0)</f>
        <v>#N/A</v>
      </c>
      <c r="M976" s="6" t="str">
        <f t="shared" si="15"/>
        <v>#REF!</v>
      </c>
      <c r="N976" s="6" t="str">
        <f>VLOOKUP(A976, Sheet2!A:M, 3, FALSE)</f>
        <v>#N/A</v>
      </c>
      <c r="O976" s="10" t="e">
        <v>#N/A</v>
      </c>
      <c r="P976" s="10" t="e">
        <v>#N/A</v>
      </c>
    </row>
    <row r="977">
      <c r="A977" s="6" t="s">
        <v>4362</v>
      </c>
      <c r="B977" s="6" t="s">
        <v>4362</v>
      </c>
      <c r="C977" s="6" t="e">
        <v>#N/A</v>
      </c>
      <c r="D977" s="6" t="e">
        <v>#N/A</v>
      </c>
      <c r="E977" s="6" t="e">
        <v>#N/A</v>
      </c>
      <c r="F977" s="6" t="e">
        <v>#N/A</v>
      </c>
      <c r="G977" s="6">
        <v>0.0</v>
      </c>
      <c r="H977" s="7" t="e">
        <v>#N/A</v>
      </c>
      <c r="I977" s="6" t="e">
        <v>#N/A</v>
      </c>
      <c r="J977" s="6" t="e">
        <v>#N/A</v>
      </c>
      <c r="K977" s="6" t="str">
        <f>VLOOKUP(A977,Sheet4!$A:$H,7,0)</f>
        <v>#N/A</v>
      </c>
      <c r="L977" s="6" t="str">
        <f>VLOOKUP(B977,Sheet4!$A:$H,8,0)</f>
        <v>#N/A</v>
      </c>
      <c r="M977" s="6" t="str">
        <f t="shared" si="15"/>
        <v>#REF!</v>
      </c>
      <c r="N977" s="6" t="str">
        <f>VLOOKUP(A977, Sheet2!A:M, 3, FALSE)</f>
        <v>#N/A</v>
      </c>
      <c r="O977" s="10" t="e">
        <v>#N/A</v>
      </c>
      <c r="P977" s="10" t="e">
        <v>#N/A</v>
      </c>
    </row>
    <row r="978">
      <c r="A978" s="6" t="s">
        <v>4363</v>
      </c>
      <c r="B978" s="6" t="s">
        <v>4363</v>
      </c>
      <c r="C978" s="6" t="s">
        <v>4364</v>
      </c>
      <c r="D978" s="6" t="s">
        <v>4365</v>
      </c>
      <c r="E978" s="6" t="e">
        <v>#N/A</v>
      </c>
      <c r="F978" s="6">
        <v>0.0</v>
      </c>
      <c r="G978" s="6" t="s">
        <v>4366</v>
      </c>
      <c r="H978" s="7" t="s">
        <v>4367</v>
      </c>
      <c r="I978" s="6" t="e">
        <v>#N/A</v>
      </c>
      <c r="J978" s="6" t="e">
        <v>#N/A</v>
      </c>
      <c r="K978" s="6" t="str">
        <f>VLOOKUP(A978,Sheet4!$A:$H,7,0)</f>
        <v>Aeroflow Topper</v>
      </c>
      <c r="L978" s="6" t="str">
        <f>VLOOKUP(B978,Sheet4!$A:$H,8,0)</f>
        <v>Bedding</v>
      </c>
      <c r="M978" s="6">
        <v>3959.0</v>
      </c>
      <c r="N978" s="8">
        <v>3599.0</v>
      </c>
      <c r="O978" s="9">
        <v>3759.0</v>
      </c>
      <c r="P978" s="10">
        <v>3365.15</v>
      </c>
    </row>
    <row r="979">
      <c r="A979" s="6" t="s">
        <v>4368</v>
      </c>
      <c r="B979" s="6" t="s">
        <v>4368</v>
      </c>
      <c r="C979" s="6" t="s">
        <v>4369</v>
      </c>
      <c r="D979" s="6" t="s">
        <v>4370</v>
      </c>
      <c r="E979" s="6" t="e">
        <v>#N/A</v>
      </c>
      <c r="F979" s="6">
        <v>0.0</v>
      </c>
      <c r="G979" s="6" t="s">
        <v>4371</v>
      </c>
      <c r="H979" s="7" t="s">
        <v>4372</v>
      </c>
      <c r="I979" s="6" t="e">
        <v>#N/A</v>
      </c>
      <c r="J979" s="6" t="e">
        <v>#N/A</v>
      </c>
      <c r="K979" s="6" t="str">
        <f>VLOOKUP(A979,Sheet4!$A:$H,7,0)</f>
        <v>Aeroflow Topper</v>
      </c>
      <c r="L979" s="6" t="str">
        <f>VLOOKUP(B979,Sheet4!$A:$H,8,0)</f>
        <v>Bedding</v>
      </c>
      <c r="M979" s="6">
        <v>4199.0</v>
      </c>
      <c r="N979" s="8">
        <v>3799.0</v>
      </c>
      <c r="O979" s="9">
        <v>3999.0</v>
      </c>
      <c r="P979" s="10">
        <v>3569.15</v>
      </c>
    </row>
    <row r="980">
      <c r="A980" s="6" t="s">
        <v>4373</v>
      </c>
      <c r="B980" s="6" t="s">
        <v>4373</v>
      </c>
      <c r="C980" s="6" t="s">
        <v>4374</v>
      </c>
      <c r="D980" s="6" t="s">
        <v>4375</v>
      </c>
      <c r="E980" s="6" t="e">
        <v>#N/A</v>
      </c>
      <c r="F980" s="6">
        <v>0.0</v>
      </c>
      <c r="G980" s="6" t="s">
        <v>4376</v>
      </c>
      <c r="H980" s="7" t="s">
        <v>4377</v>
      </c>
      <c r="I980" s="6" t="e">
        <v>#N/A</v>
      </c>
      <c r="J980" s="6" t="e">
        <v>#N/A</v>
      </c>
      <c r="K980" s="6" t="str">
        <f>VLOOKUP(A980,Sheet4!$A:$H,7,0)</f>
        <v>Aeroflow Topper</v>
      </c>
      <c r="L980" s="6" t="str">
        <f>VLOOKUP(B980,Sheet4!$A:$H,8,0)</f>
        <v>Bedding</v>
      </c>
      <c r="M980" s="6">
        <v>4799.0</v>
      </c>
      <c r="N980" s="8">
        <v>4299.0</v>
      </c>
      <c r="O980" s="9">
        <v>4499.0</v>
      </c>
      <c r="P980" s="10">
        <v>4079.15</v>
      </c>
    </row>
    <row r="981">
      <c r="A981" s="6" t="s">
        <v>4378</v>
      </c>
      <c r="B981" s="6" t="s">
        <v>4378</v>
      </c>
      <c r="C981" s="6" t="s">
        <v>4379</v>
      </c>
      <c r="D981" s="6" t="s">
        <v>4380</v>
      </c>
      <c r="E981" s="6" t="e">
        <v>#N/A</v>
      </c>
      <c r="F981" s="6">
        <v>0.0</v>
      </c>
      <c r="G981" s="6" t="s">
        <v>4381</v>
      </c>
      <c r="H981" s="7" t="s">
        <v>4382</v>
      </c>
      <c r="I981" s="6" t="e">
        <v>#N/A</v>
      </c>
      <c r="J981" s="6" t="e">
        <v>#N/A</v>
      </c>
      <c r="K981" s="6" t="str">
        <f>VLOOKUP(A981,Sheet4!$A:$H,7,0)</f>
        <v>Aeroflow Topper</v>
      </c>
      <c r="L981" s="6" t="str">
        <f>VLOOKUP(B981,Sheet4!$A:$H,8,0)</f>
        <v>Bedding</v>
      </c>
      <c r="M981" s="6">
        <v>5639.0</v>
      </c>
      <c r="N981" s="8">
        <v>5099.0</v>
      </c>
      <c r="O981" s="9">
        <v>5299.0</v>
      </c>
      <c r="P981" s="10">
        <v>4793.15</v>
      </c>
    </row>
    <row r="982">
      <c r="A982" s="6" t="s">
        <v>4383</v>
      </c>
      <c r="B982" s="6" t="s">
        <v>4383</v>
      </c>
      <c r="C982" s="6" t="s">
        <v>4384</v>
      </c>
      <c r="D982" s="6" t="s">
        <v>4385</v>
      </c>
      <c r="E982" s="6" t="e">
        <v>#N/A</v>
      </c>
      <c r="F982" s="6">
        <v>0.0</v>
      </c>
      <c r="G982" s="6" t="s">
        <v>4386</v>
      </c>
      <c r="H982" s="7" t="s">
        <v>4387</v>
      </c>
      <c r="I982" s="6" t="e">
        <v>#N/A</v>
      </c>
      <c r="J982" s="6" t="e">
        <v>#N/A</v>
      </c>
      <c r="K982" s="6" t="str">
        <f>VLOOKUP(A982,Sheet4!$A:$H,7,0)</f>
        <v>Aeroflow Topper</v>
      </c>
      <c r="L982" s="6" t="str">
        <f>VLOOKUP(B982,Sheet4!$A:$H,8,0)</f>
        <v>Bedding</v>
      </c>
      <c r="M982" s="6">
        <v>5759.0</v>
      </c>
      <c r="N982" s="8">
        <v>5199.0</v>
      </c>
      <c r="O982" s="9">
        <v>5499.0</v>
      </c>
      <c r="P982" s="10">
        <v>4895.15</v>
      </c>
    </row>
    <row r="983">
      <c r="A983" s="6" t="s">
        <v>4388</v>
      </c>
      <c r="B983" s="6" t="s">
        <v>4388</v>
      </c>
      <c r="C983" s="6" t="s">
        <v>4389</v>
      </c>
      <c r="D983" s="6" t="s">
        <v>4390</v>
      </c>
      <c r="E983" s="6" t="e">
        <v>#N/A</v>
      </c>
      <c r="F983" s="6">
        <v>0.0</v>
      </c>
      <c r="G983" s="6" t="s">
        <v>4391</v>
      </c>
      <c r="H983" s="7" t="s">
        <v>4392</v>
      </c>
      <c r="I983" s="6" t="e">
        <v>#N/A</v>
      </c>
      <c r="J983" s="6" t="e">
        <v>#N/A</v>
      </c>
      <c r="K983" s="6" t="str">
        <f>VLOOKUP(A983,Sheet4!$A:$H,7,0)</f>
        <v>Aeroflow Topper</v>
      </c>
      <c r="L983" s="6" t="str">
        <f>VLOOKUP(B983,Sheet4!$A:$H,8,0)</f>
        <v>Bedding</v>
      </c>
      <c r="M983" s="6">
        <v>5879.0</v>
      </c>
      <c r="N983" s="8">
        <v>5299.0</v>
      </c>
      <c r="O983" s="9">
        <v>5599.0</v>
      </c>
      <c r="P983" s="10">
        <v>4997.15</v>
      </c>
    </row>
    <row r="984">
      <c r="A984" s="6" t="s">
        <v>4393</v>
      </c>
      <c r="B984" s="6" t="s">
        <v>4393</v>
      </c>
      <c r="C984" s="6" t="s">
        <v>4394</v>
      </c>
      <c r="D984" s="6" t="s">
        <v>4395</v>
      </c>
      <c r="E984" s="6" t="e">
        <v>#N/A</v>
      </c>
      <c r="F984" s="6">
        <v>0.0</v>
      </c>
      <c r="G984" s="6" t="s">
        <v>4396</v>
      </c>
      <c r="H984" s="7" t="s">
        <v>4397</v>
      </c>
      <c r="I984" s="6" t="e">
        <v>#N/A</v>
      </c>
      <c r="J984" s="6" t="e">
        <v>#N/A</v>
      </c>
      <c r="K984" s="6" t="str">
        <f>VLOOKUP(A984,Sheet4!$A:$H,7,0)</f>
        <v>Aeroflow Topper</v>
      </c>
      <c r="L984" s="6" t="str">
        <f>VLOOKUP(B984,Sheet4!$A:$H,8,0)</f>
        <v>Bedding</v>
      </c>
      <c r="M984" s="6">
        <v>6599.0</v>
      </c>
      <c r="N984" s="8">
        <v>5999.0</v>
      </c>
      <c r="O984" s="9">
        <v>6299.0</v>
      </c>
      <c r="P984" s="10">
        <v>5609.15</v>
      </c>
    </row>
    <row r="985">
      <c r="A985" s="6" t="s">
        <v>4398</v>
      </c>
      <c r="B985" s="6" t="s">
        <v>4398</v>
      </c>
      <c r="C985" s="6" t="s">
        <v>4399</v>
      </c>
      <c r="D985" s="6" t="s">
        <v>4400</v>
      </c>
      <c r="E985" s="6" t="e">
        <v>#N/A</v>
      </c>
      <c r="F985" s="6">
        <v>0.0</v>
      </c>
      <c r="G985" s="6" t="s">
        <v>4401</v>
      </c>
      <c r="H985" s="7" t="s">
        <v>4402</v>
      </c>
      <c r="I985" s="6" t="e">
        <v>#N/A</v>
      </c>
      <c r="J985" s="6" t="e">
        <v>#N/A</v>
      </c>
      <c r="K985" s="6" t="str">
        <f>VLOOKUP(A985,Sheet4!$A:$H,7,0)</f>
        <v>Aeroflow Topper</v>
      </c>
      <c r="L985" s="6" t="str">
        <f>VLOOKUP(B985,Sheet4!$A:$H,8,0)</f>
        <v>Bedding</v>
      </c>
      <c r="M985" s="6">
        <v>6599.0</v>
      </c>
      <c r="N985" s="8">
        <v>5999.0</v>
      </c>
      <c r="O985" s="9">
        <v>6299.0</v>
      </c>
      <c r="P985" s="10">
        <v>5609.15</v>
      </c>
    </row>
    <row r="986">
      <c r="A986" s="6" t="s">
        <v>4403</v>
      </c>
      <c r="B986" s="6" t="s">
        <v>4403</v>
      </c>
      <c r="C986" s="6" t="s">
        <v>4404</v>
      </c>
      <c r="D986" s="6" t="s">
        <v>4405</v>
      </c>
      <c r="E986" s="6" t="e">
        <v>#N/A</v>
      </c>
      <c r="F986" s="6">
        <v>0.0</v>
      </c>
      <c r="G986" s="6" t="s">
        <v>4406</v>
      </c>
      <c r="H986" s="7" t="s">
        <v>4407</v>
      </c>
      <c r="I986" s="6" t="e">
        <v>#N/A</v>
      </c>
      <c r="J986" s="6" t="e">
        <v>#N/A</v>
      </c>
      <c r="K986" s="6" t="str">
        <f>VLOOKUP(A986,Sheet4!$A:$H,7,0)</f>
        <v>Aeroflow Topper</v>
      </c>
      <c r="L986" s="6" t="str">
        <f>VLOOKUP(B986,Sheet4!$A:$H,8,0)</f>
        <v>Bedding</v>
      </c>
      <c r="M986" s="6">
        <v>6599.0</v>
      </c>
      <c r="N986" s="8">
        <v>5999.0</v>
      </c>
      <c r="O986" s="9">
        <v>6299.0</v>
      </c>
      <c r="P986" s="10">
        <v>5609.15</v>
      </c>
    </row>
    <row r="987">
      <c r="A987" s="6" t="s">
        <v>4408</v>
      </c>
      <c r="B987" s="6" t="s">
        <v>4408</v>
      </c>
      <c r="C987" s="6" t="s">
        <v>4409</v>
      </c>
      <c r="D987" s="6" t="s">
        <v>4410</v>
      </c>
      <c r="E987" s="6" t="e">
        <v>#N/A</v>
      </c>
      <c r="F987" s="6">
        <v>0.0</v>
      </c>
      <c r="G987" s="6" t="s">
        <v>4411</v>
      </c>
      <c r="H987" s="7" t="s">
        <v>4412</v>
      </c>
      <c r="I987" s="6" t="e">
        <v>#N/A</v>
      </c>
      <c r="J987" s="6" t="e">
        <v>#N/A</v>
      </c>
      <c r="K987" s="6" t="str">
        <f>VLOOKUP(A987,Sheet4!$A:$H,7,0)</f>
        <v>Protector</v>
      </c>
      <c r="L987" s="6" t="str">
        <f>VLOOKUP(B987,Sheet4!$A:$H,8,0)</f>
        <v>Bedding</v>
      </c>
      <c r="M987" s="6">
        <v>999.0</v>
      </c>
      <c r="N987" s="8">
        <v>949.0</v>
      </c>
      <c r="O987" s="10">
        <v>949.0</v>
      </c>
      <c r="P987" s="10">
        <v>899.1</v>
      </c>
    </row>
    <row r="988">
      <c r="A988" s="6" t="s">
        <v>4413</v>
      </c>
      <c r="B988" s="6" t="s">
        <v>4413</v>
      </c>
      <c r="C988" s="6" t="s">
        <v>4414</v>
      </c>
      <c r="D988" s="6" t="s">
        <v>4415</v>
      </c>
      <c r="E988" s="6" t="e">
        <v>#N/A</v>
      </c>
      <c r="F988" s="6">
        <v>0.0</v>
      </c>
      <c r="G988" s="6" t="s">
        <v>4416</v>
      </c>
      <c r="H988" s="7" t="s">
        <v>4417</v>
      </c>
      <c r="I988" s="6" t="e">
        <v>#N/A</v>
      </c>
      <c r="J988" s="6" t="e">
        <v>#N/A</v>
      </c>
      <c r="K988" s="6" t="str">
        <f>VLOOKUP(A988,Sheet4!$A:$H,7,0)</f>
        <v>Protector</v>
      </c>
      <c r="L988" s="6" t="str">
        <f>VLOOKUP(B988,Sheet4!$A:$H,8,0)</f>
        <v>Bedding</v>
      </c>
      <c r="M988" s="6">
        <v>999.0</v>
      </c>
      <c r="N988" s="8">
        <v>949.0</v>
      </c>
      <c r="O988" s="10">
        <v>949.0</v>
      </c>
      <c r="P988" s="10">
        <v>899.1</v>
      </c>
    </row>
    <row r="989">
      <c r="A989" s="6" t="s">
        <v>4418</v>
      </c>
      <c r="B989" s="6" t="s">
        <v>4418</v>
      </c>
      <c r="C989" s="6" t="s">
        <v>4419</v>
      </c>
      <c r="D989" s="6" t="s">
        <v>4420</v>
      </c>
      <c r="E989" s="6" t="e">
        <v>#N/A</v>
      </c>
      <c r="F989" s="6">
        <v>0.0</v>
      </c>
      <c r="G989" s="6" t="s">
        <v>4421</v>
      </c>
      <c r="H989" s="7" t="s">
        <v>4422</v>
      </c>
      <c r="I989" s="6" t="e">
        <v>#N/A</v>
      </c>
      <c r="J989" s="6" t="e">
        <v>#N/A</v>
      </c>
      <c r="K989" s="6" t="str">
        <f>VLOOKUP(A989,Sheet4!$A:$H,7,0)</f>
        <v>Protector</v>
      </c>
      <c r="L989" s="6" t="str">
        <f>VLOOKUP(B989,Sheet4!$A:$H,8,0)</f>
        <v>Bedding</v>
      </c>
      <c r="M989" s="6">
        <v>999.0</v>
      </c>
      <c r="N989" s="8">
        <v>949.0</v>
      </c>
      <c r="O989" s="10">
        <v>949.0</v>
      </c>
      <c r="P989" s="10">
        <v>899.1</v>
      </c>
    </row>
    <row r="990">
      <c r="A990" s="6" t="s">
        <v>4423</v>
      </c>
      <c r="B990" s="6" t="s">
        <v>4423</v>
      </c>
      <c r="C990" s="6" t="s">
        <v>4424</v>
      </c>
      <c r="D990" s="6" t="s">
        <v>4425</v>
      </c>
      <c r="E990" s="6" t="e">
        <v>#N/A</v>
      </c>
      <c r="F990" s="6">
        <v>0.0</v>
      </c>
      <c r="G990" s="6" t="s">
        <v>4426</v>
      </c>
      <c r="H990" s="7" t="s">
        <v>4427</v>
      </c>
      <c r="I990" s="6" t="e">
        <v>#N/A</v>
      </c>
      <c r="J990" s="6" t="e">
        <v>#N/A</v>
      </c>
      <c r="K990" s="6" t="str">
        <f>VLOOKUP(A990,Sheet4!$A:$H,7,0)</f>
        <v>Protector</v>
      </c>
      <c r="L990" s="6" t="str">
        <f>VLOOKUP(B990,Sheet4!$A:$H,8,0)</f>
        <v>Bedding</v>
      </c>
      <c r="M990" s="6">
        <v>999.0</v>
      </c>
      <c r="N990" s="8">
        <v>949.0</v>
      </c>
      <c r="O990" s="10">
        <v>949.0</v>
      </c>
      <c r="P990" s="10">
        <v>899.1</v>
      </c>
    </row>
    <row r="991">
      <c r="A991" s="6" t="s">
        <v>4428</v>
      </c>
      <c r="B991" s="6" t="s">
        <v>4428</v>
      </c>
      <c r="C991" s="6" t="s">
        <v>4429</v>
      </c>
      <c r="D991" s="6" t="s">
        <v>4430</v>
      </c>
      <c r="E991" s="6" t="e">
        <v>#N/A</v>
      </c>
      <c r="F991" s="6">
        <v>0.0</v>
      </c>
      <c r="G991" s="6" t="s">
        <v>4431</v>
      </c>
      <c r="H991" s="7" t="s">
        <v>4432</v>
      </c>
      <c r="I991" s="6" t="e">
        <v>#N/A</v>
      </c>
      <c r="J991" s="6" t="e">
        <v>#N/A</v>
      </c>
      <c r="K991" s="6" t="str">
        <f>VLOOKUP(A991,Sheet4!$A:$H,7,0)</f>
        <v>Protector</v>
      </c>
      <c r="L991" s="6" t="str">
        <f>VLOOKUP(B991,Sheet4!$A:$H,8,0)</f>
        <v>Bedding</v>
      </c>
      <c r="M991" s="6">
        <v>999.0</v>
      </c>
      <c r="N991" s="8">
        <v>949.0</v>
      </c>
      <c r="O991" s="10">
        <v>949.0</v>
      </c>
      <c r="P991" s="10">
        <v>899.1</v>
      </c>
    </row>
    <row r="992">
      <c r="A992" s="6" t="s">
        <v>4433</v>
      </c>
      <c r="B992" s="6" t="s">
        <v>4433</v>
      </c>
      <c r="C992" s="6" t="s">
        <v>4434</v>
      </c>
      <c r="D992" s="6" t="s">
        <v>4435</v>
      </c>
      <c r="E992" s="6" t="e">
        <v>#N/A</v>
      </c>
      <c r="F992" s="6">
        <v>0.0</v>
      </c>
      <c r="G992" s="6" t="s">
        <v>4436</v>
      </c>
      <c r="H992" s="7" t="s">
        <v>4437</v>
      </c>
      <c r="I992" s="6" t="e">
        <v>#N/A</v>
      </c>
      <c r="J992" s="6" t="e">
        <v>#N/A</v>
      </c>
      <c r="K992" s="6" t="str">
        <f>VLOOKUP(A992,Sheet4!$A:$H,7,0)</f>
        <v>Protector</v>
      </c>
      <c r="L992" s="6" t="str">
        <f>VLOOKUP(B992,Sheet4!$A:$H,8,0)</f>
        <v>Bedding</v>
      </c>
      <c r="M992" s="6">
        <v>999.0</v>
      </c>
      <c r="N992" s="8">
        <v>949.0</v>
      </c>
      <c r="O992" s="10">
        <v>949.0</v>
      </c>
      <c r="P992" s="10">
        <v>899.1</v>
      </c>
    </row>
    <row r="993">
      <c r="A993" s="6" t="s">
        <v>4438</v>
      </c>
      <c r="B993" s="6" t="s">
        <v>4438</v>
      </c>
      <c r="C993" s="6" t="s">
        <v>4439</v>
      </c>
      <c r="D993" s="6" t="s">
        <v>4440</v>
      </c>
      <c r="E993" s="6" t="e">
        <v>#N/A</v>
      </c>
      <c r="F993" s="6">
        <v>0.0</v>
      </c>
      <c r="G993" s="6" t="s">
        <v>4441</v>
      </c>
      <c r="H993" s="7" t="s">
        <v>4442</v>
      </c>
      <c r="I993" s="6" t="e">
        <v>#N/A</v>
      </c>
      <c r="J993" s="6" t="e">
        <v>#N/A</v>
      </c>
      <c r="K993" s="6" t="str">
        <f>VLOOKUP(A993,Sheet4!$A:$H,7,0)</f>
        <v>Protector</v>
      </c>
      <c r="L993" s="6" t="str">
        <f>VLOOKUP(B993,Sheet4!$A:$H,8,0)</f>
        <v>Bedding</v>
      </c>
      <c r="M993" s="6">
        <v>999.0</v>
      </c>
      <c r="N993" s="8">
        <v>949.0</v>
      </c>
      <c r="O993" s="10">
        <v>949.0</v>
      </c>
      <c r="P993" s="10">
        <v>899.1</v>
      </c>
    </row>
    <row r="994">
      <c r="A994" s="6" t="s">
        <v>4443</v>
      </c>
      <c r="B994" s="6" t="s">
        <v>4443</v>
      </c>
      <c r="C994" s="6" t="s">
        <v>4444</v>
      </c>
      <c r="D994" s="6" t="s">
        <v>4445</v>
      </c>
      <c r="E994" s="6" t="e">
        <v>#N/A</v>
      </c>
      <c r="F994" s="6">
        <v>0.0</v>
      </c>
      <c r="G994" s="6" t="s">
        <v>4446</v>
      </c>
      <c r="H994" s="7" t="s">
        <v>4447</v>
      </c>
      <c r="I994" s="6" t="e">
        <v>#N/A</v>
      </c>
      <c r="J994" s="6" t="e">
        <v>#N/A</v>
      </c>
      <c r="K994" s="6" t="str">
        <f>VLOOKUP(A994,Sheet4!$A:$H,7,0)</f>
        <v>Protector</v>
      </c>
      <c r="L994" s="6" t="str">
        <f>VLOOKUP(B994,Sheet4!$A:$H,8,0)</f>
        <v>Bedding</v>
      </c>
      <c r="M994" s="6">
        <v>999.0</v>
      </c>
      <c r="N994" s="8">
        <v>949.0</v>
      </c>
      <c r="O994" s="10">
        <v>949.0</v>
      </c>
      <c r="P994" s="10">
        <v>899.1</v>
      </c>
    </row>
    <row r="995">
      <c r="A995" s="6" t="s">
        <v>4448</v>
      </c>
      <c r="B995" s="6" t="s">
        <v>4448</v>
      </c>
      <c r="C995" s="6" t="s">
        <v>4449</v>
      </c>
      <c r="D995" s="6" t="s">
        <v>4450</v>
      </c>
      <c r="E995" s="6" t="e">
        <v>#N/A</v>
      </c>
      <c r="F995" s="6">
        <v>0.0</v>
      </c>
      <c r="G995" s="6" t="s">
        <v>4451</v>
      </c>
      <c r="H995" s="7" t="s">
        <v>4452</v>
      </c>
      <c r="I995" s="6" t="e">
        <v>#N/A</v>
      </c>
      <c r="J995" s="6" t="e">
        <v>#N/A</v>
      </c>
      <c r="K995" s="6" t="str">
        <f>VLOOKUP(A995,Sheet4!$A:$H,7,0)</f>
        <v>Protector</v>
      </c>
      <c r="L995" s="6" t="str">
        <f>VLOOKUP(B995,Sheet4!$A:$H,8,0)</f>
        <v>Bedding</v>
      </c>
      <c r="M995" s="6">
        <v>999.0</v>
      </c>
      <c r="N995" s="8">
        <v>949.0</v>
      </c>
      <c r="O995" s="10">
        <v>949.0</v>
      </c>
      <c r="P995" s="10">
        <v>899.1</v>
      </c>
    </row>
    <row r="996">
      <c r="A996" s="6" t="s">
        <v>4453</v>
      </c>
      <c r="B996" s="6" t="s">
        <v>4453</v>
      </c>
      <c r="C996" s="6" t="s">
        <v>4454</v>
      </c>
      <c r="D996" s="6" t="s">
        <v>4455</v>
      </c>
      <c r="E996" s="6" t="e">
        <v>#N/A</v>
      </c>
      <c r="F996" s="6">
        <v>0.0</v>
      </c>
      <c r="G996" s="6" t="s">
        <v>4456</v>
      </c>
      <c r="H996" s="7" t="s">
        <v>4457</v>
      </c>
      <c r="I996" s="6" t="e">
        <v>#N/A</v>
      </c>
      <c r="J996" s="6" t="e">
        <v>#N/A</v>
      </c>
      <c r="K996" s="6" t="str">
        <f>VLOOKUP(A996,Sheet4!$A:$H,7,0)</f>
        <v>Protector</v>
      </c>
      <c r="L996" s="6" t="str">
        <f>VLOOKUP(B996,Sheet4!$A:$H,8,0)</f>
        <v>Bedding</v>
      </c>
      <c r="M996" s="6">
        <v>999.0</v>
      </c>
      <c r="N996" s="8">
        <v>949.0</v>
      </c>
      <c r="O996" s="10">
        <v>949.0</v>
      </c>
      <c r="P996" s="10">
        <v>899.1</v>
      </c>
    </row>
    <row r="997">
      <c r="A997" s="6" t="s">
        <v>4458</v>
      </c>
      <c r="B997" s="6" t="s">
        <v>4458</v>
      </c>
      <c r="C997" s="6">
        <v>0.0</v>
      </c>
      <c r="D997" s="6" t="s">
        <v>4459</v>
      </c>
      <c r="E997" s="6" t="e">
        <v>#N/A</v>
      </c>
      <c r="F997" s="6">
        <v>0.0</v>
      </c>
      <c r="G997" s="6" t="s">
        <v>4460</v>
      </c>
      <c r="H997" s="7" t="e">
        <v>#N/A</v>
      </c>
      <c r="I997" s="6" t="e">
        <v>#N/A</v>
      </c>
      <c r="J997" s="6" t="e">
        <v>#N/A</v>
      </c>
      <c r="K997" s="6" t="str">
        <f>VLOOKUP(A997,Sheet4!$A:$H,7,0)</f>
        <v>Protector</v>
      </c>
      <c r="L997" s="6" t="str">
        <f>VLOOKUP(B997,Sheet4!$A:$H,8,0)</f>
        <v>Bedding</v>
      </c>
      <c r="M997" s="6">
        <v>999.0</v>
      </c>
      <c r="N997" s="8">
        <v>949.0</v>
      </c>
      <c r="O997" s="10">
        <v>949.0</v>
      </c>
      <c r="P997" s="10">
        <v>899.1</v>
      </c>
    </row>
    <row r="998">
      <c r="A998" s="6" t="s">
        <v>4461</v>
      </c>
      <c r="B998" s="6" t="s">
        <v>4461</v>
      </c>
      <c r="C998" s="6" t="s">
        <v>4462</v>
      </c>
      <c r="D998" s="6" t="s">
        <v>4463</v>
      </c>
      <c r="E998" s="6" t="e">
        <v>#N/A</v>
      </c>
      <c r="F998" s="6">
        <v>0.0</v>
      </c>
      <c r="G998" s="6" t="s">
        <v>4464</v>
      </c>
      <c r="H998" s="7" t="s">
        <v>4465</v>
      </c>
      <c r="I998" s="6" t="e">
        <v>#N/A</v>
      </c>
      <c r="J998" s="6" t="e">
        <v>#N/A</v>
      </c>
      <c r="K998" s="6" t="str">
        <f>VLOOKUP(A998,Sheet4!$A:$H,7,0)</f>
        <v>Protector</v>
      </c>
      <c r="L998" s="6" t="str">
        <f>VLOOKUP(B998,Sheet4!$A:$H,8,0)</f>
        <v>Bedding</v>
      </c>
      <c r="M998" s="6">
        <v>999.0</v>
      </c>
      <c r="N998" s="8">
        <v>949.0</v>
      </c>
      <c r="O998" s="10">
        <v>949.0</v>
      </c>
      <c r="P998" s="10">
        <v>899.1</v>
      </c>
    </row>
    <row r="999">
      <c r="A999" s="6" t="s">
        <v>4466</v>
      </c>
      <c r="B999" s="6" t="s">
        <v>4466</v>
      </c>
      <c r="C999" s="6" t="s">
        <v>4467</v>
      </c>
      <c r="D999" s="6" t="s">
        <v>4468</v>
      </c>
      <c r="E999" s="6" t="e">
        <v>#N/A</v>
      </c>
      <c r="F999" s="6">
        <v>0.0</v>
      </c>
      <c r="G999" s="6" t="s">
        <v>4469</v>
      </c>
      <c r="H999" s="7" t="s">
        <v>4470</v>
      </c>
      <c r="I999" s="6" t="e">
        <v>#N/A</v>
      </c>
      <c r="J999" s="6" t="e">
        <v>#N/A</v>
      </c>
      <c r="K999" s="6" t="str">
        <f>VLOOKUP(A999,Sheet4!$A:$H,7,0)</f>
        <v>Protector</v>
      </c>
      <c r="L999" s="6" t="str">
        <f>VLOOKUP(B999,Sheet4!$A:$H,8,0)</f>
        <v>Bedding</v>
      </c>
      <c r="M999" s="6">
        <v>1199.0</v>
      </c>
      <c r="N999" s="8">
        <v>1139.0</v>
      </c>
      <c r="O999" s="9">
        <v>1139.0</v>
      </c>
      <c r="P999" s="10">
        <v>1079.1</v>
      </c>
    </row>
    <row r="1000">
      <c r="A1000" s="6" t="s">
        <v>4471</v>
      </c>
      <c r="B1000" s="6" t="s">
        <v>4471</v>
      </c>
      <c r="C1000" s="6" t="s">
        <v>4472</v>
      </c>
      <c r="D1000" s="6" t="s">
        <v>4473</v>
      </c>
      <c r="E1000" s="6" t="e">
        <v>#N/A</v>
      </c>
      <c r="F1000" s="6">
        <v>0.0</v>
      </c>
      <c r="G1000" s="6" t="s">
        <v>4474</v>
      </c>
      <c r="H1000" s="7" t="s">
        <v>4475</v>
      </c>
      <c r="I1000" s="6" t="e">
        <v>#N/A</v>
      </c>
      <c r="J1000" s="6" t="e">
        <v>#N/A</v>
      </c>
      <c r="K1000" s="6" t="str">
        <f>VLOOKUP(A1000,Sheet4!$A:$H,7,0)</f>
        <v>Protector</v>
      </c>
      <c r="L1000" s="6" t="str">
        <f>VLOOKUP(B1000,Sheet4!$A:$H,8,0)</f>
        <v>Bedding</v>
      </c>
      <c r="M1000" s="6">
        <v>1199.0</v>
      </c>
      <c r="N1000" s="8">
        <v>1139.0</v>
      </c>
      <c r="O1000" s="9">
        <v>1139.0</v>
      </c>
      <c r="P1000" s="10">
        <v>1079.1</v>
      </c>
    </row>
    <row r="1001">
      <c r="A1001" s="6" t="s">
        <v>4476</v>
      </c>
      <c r="B1001" s="6" t="s">
        <v>4476</v>
      </c>
      <c r="C1001" s="6" t="s">
        <v>4477</v>
      </c>
      <c r="D1001" s="6" t="s">
        <v>4478</v>
      </c>
      <c r="E1001" s="6" t="e">
        <v>#N/A</v>
      </c>
      <c r="F1001" s="6">
        <v>0.0</v>
      </c>
      <c r="G1001" s="6" t="s">
        <v>4479</v>
      </c>
      <c r="H1001" s="7" t="s">
        <v>4480</v>
      </c>
      <c r="I1001" s="6" t="e">
        <v>#N/A</v>
      </c>
      <c r="J1001" s="6" t="e">
        <v>#N/A</v>
      </c>
      <c r="K1001" s="6" t="str">
        <f>VLOOKUP(A1001,Sheet4!$A:$H,7,0)</f>
        <v>Protector</v>
      </c>
      <c r="L1001" s="6" t="str">
        <f>VLOOKUP(B1001,Sheet4!$A:$H,8,0)</f>
        <v>Bedding</v>
      </c>
      <c r="M1001" s="6">
        <v>1199.0</v>
      </c>
      <c r="N1001" s="8">
        <v>1139.0</v>
      </c>
      <c r="O1001" s="9">
        <v>1139.0</v>
      </c>
      <c r="P1001" s="10">
        <v>1079.1</v>
      </c>
    </row>
    <row r="1002">
      <c r="A1002" s="6" t="s">
        <v>4481</v>
      </c>
      <c r="B1002" s="6" t="s">
        <v>4481</v>
      </c>
      <c r="C1002" s="6" t="s">
        <v>4482</v>
      </c>
      <c r="D1002" s="6" t="s">
        <v>4483</v>
      </c>
      <c r="E1002" s="6" t="e">
        <v>#N/A</v>
      </c>
      <c r="F1002" s="6">
        <v>0.0</v>
      </c>
      <c r="G1002" s="6" t="s">
        <v>4484</v>
      </c>
      <c r="H1002" s="7" t="s">
        <v>4485</v>
      </c>
      <c r="I1002" s="6" t="e">
        <v>#N/A</v>
      </c>
      <c r="J1002" s="6" t="e">
        <v>#N/A</v>
      </c>
      <c r="K1002" s="6" t="str">
        <f>VLOOKUP(A1002,Sheet4!$A:$H,7,0)</f>
        <v>Protector</v>
      </c>
      <c r="L1002" s="6" t="str">
        <f>VLOOKUP(B1002,Sheet4!$A:$H,8,0)</f>
        <v>Bedding</v>
      </c>
      <c r="M1002" s="6">
        <v>1199.0</v>
      </c>
      <c r="N1002" s="8">
        <v>1139.0</v>
      </c>
      <c r="O1002" s="9">
        <v>1139.0</v>
      </c>
      <c r="P1002" s="10">
        <v>1079.1</v>
      </c>
    </row>
    <row r="1003">
      <c r="A1003" s="6" t="s">
        <v>4486</v>
      </c>
      <c r="B1003" s="6" t="s">
        <v>4486</v>
      </c>
      <c r="C1003" s="6" t="s">
        <v>4487</v>
      </c>
      <c r="D1003" s="6" t="s">
        <v>4488</v>
      </c>
      <c r="E1003" s="6" t="e">
        <v>#N/A</v>
      </c>
      <c r="F1003" s="6">
        <v>0.0</v>
      </c>
      <c r="G1003" s="6" t="s">
        <v>4489</v>
      </c>
      <c r="H1003" s="7" t="s">
        <v>4490</v>
      </c>
      <c r="I1003" s="6" t="e">
        <v>#N/A</v>
      </c>
      <c r="J1003" s="6" t="e">
        <v>#N/A</v>
      </c>
      <c r="K1003" s="6" t="str">
        <f>VLOOKUP(A1003,Sheet4!$A:$H,7,0)</f>
        <v>Protector</v>
      </c>
      <c r="L1003" s="6" t="str">
        <f>VLOOKUP(B1003,Sheet4!$A:$H,8,0)</f>
        <v>Bedding</v>
      </c>
      <c r="M1003" s="6">
        <v>1199.0</v>
      </c>
      <c r="N1003" s="8">
        <v>1139.0</v>
      </c>
      <c r="O1003" s="9">
        <v>1139.0</v>
      </c>
      <c r="P1003" s="10">
        <v>1079.1</v>
      </c>
    </row>
    <row r="1004">
      <c r="A1004" s="6" t="s">
        <v>4491</v>
      </c>
      <c r="B1004" s="6" t="s">
        <v>4491</v>
      </c>
      <c r="C1004" s="6" t="s">
        <v>4492</v>
      </c>
      <c r="D1004" s="6" t="s">
        <v>4493</v>
      </c>
      <c r="E1004" s="6" t="e">
        <v>#N/A</v>
      </c>
      <c r="F1004" s="6">
        <v>0.0</v>
      </c>
      <c r="G1004" s="6" t="s">
        <v>4494</v>
      </c>
      <c r="H1004" s="7" t="s">
        <v>4495</v>
      </c>
      <c r="I1004" s="6" t="e">
        <v>#N/A</v>
      </c>
      <c r="J1004" s="6" t="e">
        <v>#N/A</v>
      </c>
      <c r="K1004" s="6" t="str">
        <f>VLOOKUP(A1004,Sheet4!$A:$H,7,0)</f>
        <v>Protector</v>
      </c>
      <c r="L1004" s="6" t="str">
        <f>VLOOKUP(B1004,Sheet4!$A:$H,8,0)</f>
        <v>Bedding</v>
      </c>
      <c r="M1004" s="6">
        <v>1199.0</v>
      </c>
      <c r="N1004" s="8">
        <v>1139.0</v>
      </c>
      <c r="O1004" s="9">
        <v>1139.0</v>
      </c>
      <c r="P1004" s="10">
        <v>1079.1</v>
      </c>
    </row>
    <row r="1005">
      <c r="A1005" s="6" t="s">
        <v>4496</v>
      </c>
      <c r="B1005" s="6" t="s">
        <v>4496</v>
      </c>
      <c r="C1005" s="6" t="s">
        <v>4497</v>
      </c>
      <c r="D1005" s="6" t="s">
        <v>4498</v>
      </c>
      <c r="E1005" s="6" t="e">
        <v>#N/A</v>
      </c>
      <c r="F1005" s="6">
        <v>0.0</v>
      </c>
      <c r="G1005" s="6" t="s">
        <v>4499</v>
      </c>
      <c r="H1005" s="7" t="s">
        <v>4500</v>
      </c>
      <c r="I1005" s="6" t="e">
        <v>#N/A</v>
      </c>
      <c r="J1005" s="6" t="e">
        <v>#N/A</v>
      </c>
      <c r="K1005" s="6" t="str">
        <f>VLOOKUP(A1005,Sheet4!$A:$H,7,0)</f>
        <v>Protector</v>
      </c>
      <c r="L1005" s="6" t="str">
        <f>VLOOKUP(B1005,Sheet4!$A:$H,8,0)</f>
        <v>Bedding</v>
      </c>
      <c r="M1005" s="6">
        <v>1199.0</v>
      </c>
      <c r="N1005" s="8">
        <v>1139.0</v>
      </c>
      <c r="O1005" s="9">
        <v>1139.0</v>
      </c>
      <c r="P1005" s="10">
        <v>1079.1</v>
      </c>
    </row>
    <row r="1006">
      <c r="A1006" s="6" t="s">
        <v>4501</v>
      </c>
      <c r="B1006" s="6" t="s">
        <v>4501</v>
      </c>
      <c r="C1006" s="6" t="s">
        <v>4502</v>
      </c>
      <c r="D1006" s="6" t="s">
        <v>4503</v>
      </c>
      <c r="E1006" s="6" t="e">
        <v>#N/A</v>
      </c>
      <c r="F1006" s="6">
        <v>0.0</v>
      </c>
      <c r="G1006" s="6" t="s">
        <v>4504</v>
      </c>
      <c r="H1006" s="7" t="s">
        <v>4505</v>
      </c>
      <c r="I1006" s="6" t="e">
        <v>#N/A</v>
      </c>
      <c r="J1006" s="6" t="e">
        <v>#N/A</v>
      </c>
      <c r="K1006" s="6" t="str">
        <f>VLOOKUP(A1006,Sheet4!$A:$H,7,0)</f>
        <v>Protector</v>
      </c>
      <c r="L1006" s="6" t="str">
        <f>VLOOKUP(B1006,Sheet4!$A:$H,8,0)</f>
        <v>Bedding</v>
      </c>
      <c r="M1006" s="6">
        <v>1199.0</v>
      </c>
      <c r="N1006" s="8">
        <v>1139.0</v>
      </c>
      <c r="O1006" s="9">
        <v>1139.0</v>
      </c>
      <c r="P1006" s="10">
        <v>1079.1</v>
      </c>
    </row>
    <row r="1007">
      <c r="A1007" s="6" t="s">
        <v>4506</v>
      </c>
      <c r="B1007" s="6" t="s">
        <v>4506</v>
      </c>
      <c r="C1007" s="6" t="s">
        <v>4507</v>
      </c>
      <c r="D1007" s="6" t="s">
        <v>4508</v>
      </c>
      <c r="E1007" s="6" t="e">
        <v>#N/A</v>
      </c>
      <c r="F1007" s="6">
        <v>0.0</v>
      </c>
      <c r="G1007" s="6" t="s">
        <v>4509</v>
      </c>
      <c r="H1007" s="7" t="s">
        <v>4510</v>
      </c>
      <c r="I1007" s="6" t="e">
        <v>#N/A</v>
      </c>
      <c r="J1007" s="6" t="e">
        <v>#N/A</v>
      </c>
      <c r="K1007" s="6" t="str">
        <f>VLOOKUP(A1007,Sheet4!$A:$H,7,0)</f>
        <v>Protector</v>
      </c>
      <c r="L1007" s="6" t="str">
        <f>VLOOKUP(B1007,Sheet4!$A:$H,8,0)</f>
        <v>Bedding</v>
      </c>
      <c r="M1007" s="6">
        <v>1199.0</v>
      </c>
      <c r="N1007" s="8">
        <v>1139.0</v>
      </c>
      <c r="O1007" s="9">
        <v>1139.0</v>
      </c>
      <c r="P1007" s="10">
        <v>1079.1</v>
      </c>
    </row>
    <row r="1008">
      <c r="A1008" s="6" t="s">
        <v>4511</v>
      </c>
      <c r="B1008" s="6" t="s">
        <v>4511</v>
      </c>
      <c r="C1008" s="6" t="s">
        <v>4512</v>
      </c>
      <c r="D1008" s="6" t="s">
        <v>4513</v>
      </c>
      <c r="E1008" s="6" t="e">
        <v>#N/A</v>
      </c>
      <c r="F1008" s="6">
        <v>0.0</v>
      </c>
      <c r="G1008" s="6" t="s">
        <v>4514</v>
      </c>
      <c r="H1008" s="7" t="s">
        <v>4515</v>
      </c>
      <c r="I1008" s="6" t="e">
        <v>#N/A</v>
      </c>
      <c r="J1008" s="6" t="e">
        <v>#N/A</v>
      </c>
      <c r="K1008" s="6" t="str">
        <f>VLOOKUP(A1008,Sheet4!$A:$H,7,0)</f>
        <v>Protector</v>
      </c>
      <c r="L1008" s="6" t="str">
        <f>VLOOKUP(B1008,Sheet4!$A:$H,8,0)</f>
        <v>Bedding</v>
      </c>
      <c r="M1008" s="6">
        <v>1199.0</v>
      </c>
      <c r="N1008" s="8">
        <v>1139.0</v>
      </c>
      <c r="O1008" s="9">
        <v>1139.0</v>
      </c>
      <c r="P1008" s="10">
        <v>1079.1</v>
      </c>
    </row>
    <row r="1009">
      <c r="A1009" s="6" t="s">
        <v>4516</v>
      </c>
      <c r="B1009" s="6" t="s">
        <v>4516</v>
      </c>
      <c r="C1009" s="6" t="s">
        <v>4517</v>
      </c>
      <c r="D1009" s="6" t="s">
        <v>4518</v>
      </c>
      <c r="E1009" s="6" t="e">
        <v>#N/A</v>
      </c>
      <c r="F1009" s="6">
        <v>0.0</v>
      </c>
      <c r="G1009" s="6" t="s">
        <v>4519</v>
      </c>
      <c r="H1009" s="7" t="s">
        <v>4520</v>
      </c>
      <c r="I1009" s="6" t="e">
        <v>#N/A</v>
      </c>
      <c r="J1009" s="6" t="e">
        <v>#N/A</v>
      </c>
      <c r="K1009" s="6" t="str">
        <f>VLOOKUP(A1009,Sheet4!$A:$H,7,0)</f>
        <v>Protector</v>
      </c>
      <c r="L1009" s="6" t="str">
        <f>VLOOKUP(B1009,Sheet4!$A:$H,8,0)</f>
        <v>Bedding</v>
      </c>
      <c r="M1009" s="6">
        <v>1199.0</v>
      </c>
      <c r="N1009" s="8">
        <v>1139.0</v>
      </c>
      <c r="O1009" s="9">
        <v>1139.0</v>
      </c>
      <c r="P1009" s="10">
        <v>1079.1</v>
      </c>
    </row>
    <row r="1010">
      <c r="A1010" s="6" t="s">
        <v>4521</v>
      </c>
      <c r="B1010" s="6" t="s">
        <v>4521</v>
      </c>
      <c r="C1010" s="6" t="s">
        <v>4522</v>
      </c>
      <c r="D1010" s="6" t="s">
        <v>4523</v>
      </c>
      <c r="E1010" s="6" t="e">
        <v>#N/A</v>
      </c>
      <c r="F1010" s="6">
        <v>0.0</v>
      </c>
      <c r="G1010" s="6" t="s">
        <v>4524</v>
      </c>
      <c r="H1010" s="7" t="s">
        <v>4525</v>
      </c>
      <c r="I1010" s="6" t="e">
        <v>#N/A</v>
      </c>
      <c r="J1010" s="6" t="e">
        <v>#N/A</v>
      </c>
      <c r="K1010" s="6" t="str">
        <f>VLOOKUP(A1010,Sheet4!$A:$H,7,0)</f>
        <v>Protector</v>
      </c>
      <c r="L1010" s="6" t="str">
        <f>VLOOKUP(B1010,Sheet4!$A:$H,8,0)</f>
        <v>Bedding</v>
      </c>
      <c r="M1010" s="6">
        <v>1199.0</v>
      </c>
      <c r="N1010" s="8">
        <v>1139.0</v>
      </c>
      <c r="O1010" s="9">
        <v>1139.0</v>
      </c>
      <c r="P1010" s="10">
        <v>1079.1</v>
      </c>
    </row>
    <row r="1011">
      <c r="A1011" s="6" t="s">
        <v>4526</v>
      </c>
      <c r="B1011" s="6" t="s">
        <v>4526</v>
      </c>
      <c r="C1011" s="6" t="s">
        <v>4527</v>
      </c>
      <c r="D1011" s="6" t="s">
        <v>4528</v>
      </c>
      <c r="E1011" s="6" t="e">
        <v>#N/A</v>
      </c>
      <c r="F1011" s="6">
        <v>0.0</v>
      </c>
      <c r="G1011" s="6" t="s">
        <v>4529</v>
      </c>
      <c r="H1011" s="7" t="s">
        <v>4530</v>
      </c>
      <c r="I1011" s="6" t="e">
        <v>#N/A</v>
      </c>
      <c r="J1011" s="6" t="e">
        <v>#N/A</v>
      </c>
      <c r="K1011" s="6" t="str">
        <f>VLOOKUP(A1011,Sheet4!$A:$H,7,0)</f>
        <v>Protector</v>
      </c>
      <c r="L1011" s="6" t="str">
        <f>VLOOKUP(B1011,Sheet4!$A:$H,8,0)</f>
        <v>Bedding</v>
      </c>
      <c r="M1011" s="6">
        <v>1499.0</v>
      </c>
      <c r="N1011" s="8">
        <v>1424.0</v>
      </c>
      <c r="O1011" s="9">
        <v>1424.0</v>
      </c>
      <c r="P1011" s="10">
        <v>1349.1</v>
      </c>
    </row>
    <row r="1012">
      <c r="A1012" s="6" t="s">
        <v>4531</v>
      </c>
      <c r="B1012" s="6" t="s">
        <v>4531</v>
      </c>
      <c r="C1012" s="6">
        <v>0.0</v>
      </c>
      <c r="D1012" s="6" t="s">
        <v>4532</v>
      </c>
      <c r="E1012" s="6" t="e">
        <v>#N/A</v>
      </c>
      <c r="F1012" s="6">
        <v>0.0</v>
      </c>
      <c r="G1012" s="6" t="s">
        <v>4533</v>
      </c>
      <c r="H1012" s="7" t="e">
        <v>#N/A</v>
      </c>
      <c r="I1012" s="6" t="e">
        <v>#N/A</v>
      </c>
      <c r="J1012" s="6" t="e">
        <v>#N/A</v>
      </c>
      <c r="K1012" s="6" t="str">
        <f>VLOOKUP(A1012,Sheet4!$A:$H,7,0)</f>
        <v>Protector</v>
      </c>
      <c r="L1012" s="6" t="str">
        <f>VLOOKUP(B1012,Sheet4!$A:$H,8,0)</f>
        <v>Bedding</v>
      </c>
      <c r="M1012" s="6">
        <v>1499.0</v>
      </c>
      <c r="N1012" s="8">
        <v>1424.0</v>
      </c>
      <c r="O1012" s="9">
        <v>1424.0</v>
      </c>
      <c r="P1012" s="10">
        <v>1349.1</v>
      </c>
    </row>
    <row r="1013">
      <c r="A1013" s="6" t="s">
        <v>4534</v>
      </c>
      <c r="B1013" s="6" t="s">
        <v>4534</v>
      </c>
      <c r="C1013" s="6">
        <v>0.0</v>
      </c>
      <c r="D1013" s="6" t="s">
        <v>4535</v>
      </c>
      <c r="E1013" s="6" t="e">
        <v>#N/A</v>
      </c>
      <c r="F1013" s="6">
        <v>0.0</v>
      </c>
      <c r="G1013" s="6" t="s">
        <v>4536</v>
      </c>
      <c r="H1013" s="7" t="e">
        <v>#N/A</v>
      </c>
      <c r="I1013" s="6" t="e">
        <v>#N/A</v>
      </c>
      <c r="J1013" s="6" t="e">
        <v>#N/A</v>
      </c>
      <c r="K1013" s="6" t="str">
        <f>VLOOKUP(A1013,Sheet4!$A:$H,7,0)</f>
        <v>Protector</v>
      </c>
      <c r="L1013" s="6" t="str">
        <f>VLOOKUP(B1013,Sheet4!$A:$H,8,0)</f>
        <v>Bedding</v>
      </c>
      <c r="M1013" s="6">
        <v>1499.0</v>
      </c>
      <c r="N1013" s="8">
        <v>1424.0</v>
      </c>
      <c r="O1013" s="9">
        <v>1424.0</v>
      </c>
      <c r="P1013" s="10">
        <v>1349.1</v>
      </c>
    </row>
    <row r="1014">
      <c r="A1014" s="6" t="s">
        <v>4537</v>
      </c>
      <c r="B1014" s="6" t="s">
        <v>4537</v>
      </c>
      <c r="C1014" s="6" t="s">
        <v>4538</v>
      </c>
      <c r="D1014" s="6" t="s">
        <v>4539</v>
      </c>
      <c r="E1014" s="6" t="e">
        <v>#N/A</v>
      </c>
      <c r="F1014" s="6">
        <v>0.0</v>
      </c>
      <c r="G1014" s="6" t="s">
        <v>4540</v>
      </c>
      <c r="H1014" s="7" t="s">
        <v>4541</v>
      </c>
      <c r="I1014" s="6" t="e">
        <v>#N/A</v>
      </c>
      <c r="J1014" s="6" t="e">
        <v>#N/A</v>
      </c>
      <c r="K1014" s="6" t="str">
        <f>VLOOKUP(A1014,Sheet4!$A:$H,7,0)</f>
        <v>Protector</v>
      </c>
      <c r="L1014" s="6" t="str">
        <f>VLOOKUP(B1014,Sheet4!$A:$H,8,0)</f>
        <v>Bedding</v>
      </c>
      <c r="M1014" s="6">
        <v>1599.0</v>
      </c>
      <c r="N1014" s="8">
        <v>1519.0</v>
      </c>
      <c r="O1014" s="9">
        <v>1519.0</v>
      </c>
      <c r="P1014" s="10">
        <v>1439.1</v>
      </c>
    </row>
    <row r="1015">
      <c r="A1015" s="6" t="s">
        <v>4542</v>
      </c>
      <c r="B1015" s="6" t="s">
        <v>4542</v>
      </c>
      <c r="C1015" s="6">
        <v>0.0</v>
      </c>
      <c r="D1015" s="6" t="s">
        <v>4543</v>
      </c>
      <c r="E1015" s="6" t="e">
        <v>#N/A</v>
      </c>
      <c r="F1015" s="6">
        <v>0.0</v>
      </c>
      <c r="G1015" s="6" t="s">
        <v>4544</v>
      </c>
      <c r="H1015" s="7" t="e">
        <v>#N/A</v>
      </c>
      <c r="I1015" s="6" t="e">
        <v>#N/A</v>
      </c>
      <c r="J1015" s="6" t="e">
        <v>#N/A</v>
      </c>
      <c r="K1015" s="6" t="str">
        <f>VLOOKUP(A1015,Sheet4!$A:$H,7,0)</f>
        <v>Protector</v>
      </c>
      <c r="L1015" s="6" t="str">
        <f>VLOOKUP(B1015,Sheet4!$A:$H,8,0)</f>
        <v>Bedding</v>
      </c>
      <c r="M1015" s="6">
        <v>1599.0</v>
      </c>
      <c r="N1015" s="8">
        <v>1519.0</v>
      </c>
      <c r="O1015" s="9">
        <v>1519.0</v>
      </c>
      <c r="P1015" s="10">
        <v>1439.1</v>
      </c>
    </row>
    <row r="1016">
      <c r="A1016" s="6" t="s">
        <v>4545</v>
      </c>
      <c r="B1016" s="6" t="s">
        <v>4545</v>
      </c>
      <c r="C1016" s="6">
        <v>0.0</v>
      </c>
      <c r="D1016" s="6" t="s">
        <v>4546</v>
      </c>
      <c r="E1016" s="6" t="e">
        <v>#N/A</v>
      </c>
      <c r="F1016" s="6">
        <v>0.0</v>
      </c>
      <c r="G1016" s="6" t="s">
        <v>4547</v>
      </c>
      <c r="H1016" s="7" t="e">
        <v>#N/A</v>
      </c>
      <c r="I1016" s="6" t="e">
        <v>#N/A</v>
      </c>
      <c r="J1016" s="6" t="e">
        <v>#N/A</v>
      </c>
      <c r="K1016" s="6" t="str">
        <f>VLOOKUP(A1016,Sheet4!$A:$H,7,0)</f>
        <v>Protector</v>
      </c>
      <c r="L1016" s="6" t="str">
        <f>VLOOKUP(B1016,Sheet4!$A:$H,8,0)</f>
        <v>Bedding</v>
      </c>
      <c r="M1016" s="6">
        <v>1599.0</v>
      </c>
      <c r="N1016" s="8">
        <v>1519.0</v>
      </c>
      <c r="O1016" s="9">
        <v>1519.0</v>
      </c>
      <c r="P1016" s="10">
        <v>1439.1</v>
      </c>
    </row>
    <row r="1017">
      <c r="A1017" s="6" t="s">
        <v>4548</v>
      </c>
      <c r="B1017" s="6" t="s">
        <v>4548</v>
      </c>
      <c r="C1017" s="6" t="s">
        <v>4549</v>
      </c>
      <c r="D1017" s="6" t="s">
        <v>4550</v>
      </c>
      <c r="E1017" s="6" t="e">
        <v>#N/A</v>
      </c>
      <c r="F1017" s="6">
        <v>0.0</v>
      </c>
      <c r="G1017" s="6" t="s">
        <v>4551</v>
      </c>
      <c r="H1017" s="7" t="s">
        <v>4552</v>
      </c>
      <c r="I1017" s="6" t="e">
        <v>#N/A</v>
      </c>
      <c r="J1017" s="6" t="e">
        <v>#N/A</v>
      </c>
      <c r="K1017" s="6" t="str">
        <f>VLOOKUP(A1017,Sheet4!$A:$H,7,0)</f>
        <v>Protector</v>
      </c>
      <c r="L1017" s="6" t="str">
        <f>VLOOKUP(B1017,Sheet4!$A:$H,8,0)</f>
        <v>Bedding</v>
      </c>
      <c r="M1017" s="6">
        <v>1499.0</v>
      </c>
      <c r="N1017" s="8">
        <v>1424.0</v>
      </c>
      <c r="O1017" s="9">
        <v>1424.0</v>
      </c>
      <c r="P1017" s="10">
        <v>1349.1</v>
      </c>
    </row>
    <row r="1018">
      <c r="A1018" s="6" t="s">
        <v>4553</v>
      </c>
      <c r="B1018" s="6" t="s">
        <v>4553</v>
      </c>
      <c r="C1018" s="6">
        <v>0.0</v>
      </c>
      <c r="D1018" s="6" t="s">
        <v>4554</v>
      </c>
      <c r="E1018" s="6" t="e">
        <v>#N/A</v>
      </c>
      <c r="F1018" s="6">
        <v>0.0</v>
      </c>
      <c r="G1018" s="6" t="s">
        <v>4555</v>
      </c>
      <c r="H1018" s="7" t="e">
        <v>#N/A</v>
      </c>
      <c r="I1018" s="6" t="e">
        <v>#N/A</v>
      </c>
      <c r="J1018" s="6" t="e">
        <v>#N/A</v>
      </c>
      <c r="K1018" s="6" t="str">
        <f>VLOOKUP(A1018,Sheet4!$A:$H,7,0)</f>
        <v>Protector</v>
      </c>
      <c r="L1018" s="6" t="str">
        <f>VLOOKUP(B1018,Sheet4!$A:$H,8,0)</f>
        <v>Bedding</v>
      </c>
      <c r="M1018" s="6">
        <v>1499.0</v>
      </c>
      <c r="N1018" s="8">
        <v>1424.0</v>
      </c>
      <c r="O1018" s="9">
        <v>1424.0</v>
      </c>
      <c r="P1018" s="10">
        <v>1349.1</v>
      </c>
    </row>
    <row r="1019">
      <c r="A1019" s="6" t="s">
        <v>4556</v>
      </c>
      <c r="B1019" s="6" t="s">
        <v>4556</v>
      </c>
      <c r="C1019" s="6">
        <v>0.0</v>
      </c>
      <c r="D1019" s="6" t="s">
        <v>4557</v>
      </c>
      <c r="E1019" s="6" t="e">
        <v>#N/A</v>
      </c>
      <c r="F1019" s="6">
        <v>0.0</v>
      </c>
      <c r="G1019" s="6" t="s">
        <v>4558</v>
      </c>
      <c r="H1019" s="7" t="e">
        <v>#N/A</v>
      </c>
      <c r="I1019" s="6" t="e">
        <v>#N/A</v>
      </c>
      <c r="J1019" s="6" t="e">
        <v>#N/A</v>
      </c>
      <c r="K1019" s="6" t="str">
        <f>VLOOKUP(A1019,Sheet4!$A:$H,7,0)</f>
        <v>Protector</v>
      </c>
      <c r="L1019" s="6" t="str">
        <f>VLOOKUP(B1019,Sheet4!$A:$H,8,0)</f>
        <v>Bedding</v>
      </c>
      <c r="M1019" s="6">
        <v>1499.0</v>
      </c>
      <c r="N1019" s="8">
        <v>1424.0</v>
      </c>
      <c r="O1019" s="9">
        <v>1424.0</v>
      </c>
      <c r="P1019" s="10">
        <v>1349.1</v>
      </c>
    </row>
    <row r="1020">
      <c r="A1020" s="6" t="s">
        <v>4559</v>
      </c>
      <c r="B1020" s="6" t="s">
        <v>4559</v>
      </c>
      <c r="C1020" s="6" t="s">
        <v>4560</v>
      </c>
      <c r="D1020" s="6" t="s">
        <v>4561</v>
      </c>
      <c r="E1020" s="6" t="e">
        <v>#N/A</v>
      </c>
      <c r="F1020" s="6">
        <v>0.0</v>
      </c>
      <c r="G1020" s="6" t="s">
        <v>4562</v>
      </c>
      <c r="H1020" s="7" t="s">
        <v>4563</v>
      </c>
      <c r="I1020" s="6" t="e">
        <v>#N/A</v>
      </c>
      <c r="J1020" s="6" t="e">
        <v>#N/A</v>
      </c>
      <c r="K1020" s="6" t="str">
        <f>VLOOKUP(A1020,Sheet4!$A:$H,7,0)</f>
        <v>Protector</v>
      </c>
      <c r="L1020" s="6" t="str">
        <f>VLOOKUP(B1020,Sheet4!$A:$H,8,0)</f>
        <v>Bedding</v>
      </c>
      <c r="M1020" s="6">
        <v>1599.0</v>
      </c>
      <c r="N1020" s="8">
        <v>1519.0</v>
      </c>
      <c r="O1020" s="9">
        <v>1519.0</v>
      </c>
      <c r="P1020" s="10">
        <v>1439.1</v>
      </c>
    </row>
    <row r="1021">
      <c r="A1021" s="6" t="s">
        <v>4564</v>
      </c>
      <c r="B1021" s="6" t="s">
        <v>4564</v>
      </c>
      <c r="C1021" s="6">
        <v>0.0</v>
      </c>
      <c r="D1021" s="6" t="s">
        <v>4565</v>
      </c>
      <c r="E1021" s="6" t="e">
        <v>#N/A</v>
      </c>
      <c r="F1021" s="6">
        <v>0.0</v>
      </c>
      <c r="G1021" s="6" t="s">
        <v>4566</v>
      </c>
      <c r="H1021" s="7" t="e">
        <v>#N/A</v>
      </c>
      <c r="I1021" s="6" t="e">
        <v>#N/A</v>
      </c>
      <c r="J1021" s="6" t="e">
        <v>#N/A</v>
      </c>
      <c r="K1021" s="6" t="str">
        <f>VLOOKUP(A1021,Sheet4!$A:$H,7,0)</f>
        <v>Protector</v>
      </c>
      <c r="L1021" s="6" t="str">
        <f>VLOOKUP(B1021,Sheet4!$A:$H,8,0)</f>
        <v>Bedding</v>
      </c>
      <c r="M1021" s="6">
        <v>1599.0</v>
      </c>
      <c r="N1021" s="8">
        <v>1519.0</v>
      </c>
      <c r="O1021" s="9">
        <v>1519.0</v>
      </c>
      <c r="P1021" s="10">
        <v>1439.1</v>
      </c>
    </row>
    <row r="1022">
      <c r="A1022" s="6" t="s">
        <v>4567</v>
      </c>
      <c r="B1022" s="6" t="s">
        <v>4567</v>
      </c>
      <c r="C1022" s="6">
        <v>0.0</v>
      </c>
      <c r="D1022" s="6" t="s">
        <v>4568</v>
      </c>
      <c r="E1022" s="6" t="e">
        <v>#N/A</v>
      </c>
      <c r="F1022" s="6">
        <v>0.0</v>
      </c>
      <c r="G1022" s="6" t="s">
        <v>4569</v>
      </c>
      <c r="H1022" s="7" t="e">
        <v>#N/A</v>
      </c>
      <c r="I1022" s="6" t="e">
        <v>#N/A</v>
      </c>
      <c r="J1022" s="6" t="e">
        <v>#N/A</v>
      </c>
      <c r="K1022" s="6" t="str">
        <f>VLOOKUP(A1022,Sheet4!$A:$H,7,0)</f>
        <v>Protector</v>
      </c>
      <c r="L1022" s="6" t="str">
        <f>VLOOKUP(B1022,Sheet4!$A:$H,8,0)</f>
        <v>Bedding</v>
      </c>
      <c r="M1022" s="6">
        <v>1599.0</v>
      </c>
      <c r="N1022" s="8">
        <v>1519.0</v>
      </c>
      <c r="O1022" s="9">
        <v>1519.0</v>
      </c>
      <c r="P1022" s="10">
        <v>1439.1</v>
      </c>
    </row>
    <row r="1023">
      <c r="A1023" s="6" t="s">
        <v>4570</v>
      </c>
      <c r="B1023" s="6" t="s">
        <v>4570</v>
      </c>
      <c r="C1023" s="6" t="s">
        <v>4571</v>
      </c>
      <c r="D1023" s="6" t="s">
        <v>4572</v>
      </c>
      <c r="E1023" s="6" t="e">
        <v>#N/A</v>
      </c>
      <c r="F1023" s="6">
        <v>0.0</v>
      </c>
      <c r="G1023" s="6" t="s">
        <v>4573</v>
      </c>
      <c r="H1023" s="7" t="s">
        <v>4574</v>
      </c>
      <c r="I1023" s="6" t="e">
        <v>#N/A</v>
      </c>
      <c r="J1023" s="6" t="e">
        <v>#N/A</v>
      </c>
      <c r="K1023" s="6" t="str">
        <f>VLOOKUP(A1023,Sheet4!$A:$H,7,0)</f>
        <v>Protector</v>
      </c>
      <c r="L1023" s="6" t="str">
        <f>VLOOKUP(B1023,Sheet4!$A:$H,8,0)</f>
        <v>Bedding</v>
      </c>
      <c r="M1023" s="6">
        <v>1499.0</v>
      </c>
      <c r="N1023" s="8">
        <v>1424.0</v>
      </c>
      <c r="O1023" s="9">
        <v>1424.0</v>
      </c>
      <c r="P1023" s="10">
        <v>1349.1</v>
      </c>
    </row>
    <row r="1024">
      <c r="A1024" s="6" t="s">
        <v>4575</v>
      </c>
      <c r="B1024" s="6" t="s">
        <v>4575</v>
      </c>
      <c r="C1024" s="6">
        <v>0.0</v>
      </c>
      <c r="D1024" s="6" t="s">
        <v>4576</v>
      </c>
      <c r="E1024" s="6" t="e">
        <v>#N/A</v>
      </c>
      <c r="F1024" s="6">
        <v>0.0</v>
      </c>
      <c r="G1024" s="6" t="s">
        <v>4577</v>
      </c>
      <c r="H1024" s="7" t="e">
        <v>#N/A</v>
      </c>
      <c r="I1024" s="6" t="e">
        <v>#N/A</v>
      </c>
      <c r="J1024" s="6" t="e">
        <v>#N/A</v>
      </c>
      <c r="K1024" s="6" t="str">
        <f>VLOOKUP(A1024,Sheet4!$A:$H,7,0)</f>
        <v>Protector</v>
      </c>
      <c r="L1024" s="6" t="str">
        <f>VLOOKUP(B1024,Sheet4!$A:$H,8,0)</f>
        <v>Bedding</v>
      </c>
      <c r="M1024" s="6">
        <v>1499.0</v>
      </c>
      <c r="N1024" s="8">
        <v>1424.0</v>
      </c>
      <c r="O1024" s="9">
        <v>1424.0</v>
      </c>
      <c r="P1024" s="10">
        <v>1349.1</v>
      </c>
    </row>
    <row r="1025">
      <c r="A1025" s="6" t="s">
        <v>4578</v>
      </c>
      <c r="B1025" s="6" t="s">
        <v>4578</v>
      </c>
      <c r="C1025" s="6">
        <v>0.0</v>
      </c>
      <c r="D1025" s="6" t="s">
        <v>4579</v>
      </c>
      <c r="E1025" s="6" t="e">
        <v>#N/A</v>
      </c>
      <c r="F1025" s="6">
        <v>0.0</v>
      </c>
      <c r="G1025" s="6" t="s">
        <v>4580</v>
      </c>
      <c r="H1025" s="7" t="e">
        <v>#N/A</v>
      </c>
      <c r="I1025" s="6" t="e">
        <v>#N/A</v>
      </c>
      <c r="J1025" s="6" t="e">
        <v>#N/A</v>
      </c>
      <c r="K1025" s="6" t="str">
        <f>VLOOKUP(A1025,Sheet4!$A:$H,7,0)</f>
        <v>Protector</v>
      </c>
      <c r="L1025" s="6" t="str">
        <f>VLOOKUP(B1025,Sheet4!$A:$H,8,0)</f>
        <v>Bedding</v>
      </c>
      <c r="M1025" s="6">
        <v>1499.0</v>
      </c>
      <c r="N1025" s="8">
        <v>1424.0</v>
      </c>
      <c r="O1025" s="9">
        <v>1424.0</v>
      </c>
      <c r="P1025" s="10">
        <v>1349.1</v>
      </c>
    </row>
    <row r="1026">
      <c r="A1026" s="6" t="s">
        <v>4581</v>
      </c>
      <c r="B1026" s="6" t="s">
        <v>4581</v>
      </c>
      <c r="C1026" s="6" t="s">
        <v>4582</v>
      </c>
      <c r="D1026" s="6" t="s">
        <v>4583</v>
      </c>
      <c r="E1026" s="6" t="e">
        <v>#N/A</v>
      </c>
      <c r="F1026" s="6">
        <v>0.0</v>
      </c>
      <c r="G1026" s="6" t="s">
        <v>4584</v>
      </c>
      <c r="H1026" s="7" t="s">
        <v>4585</v>
      </c>
      <c r="I1026" s="6" t="e">
        <v>#N/A</v>
      </c>
      <c r="J1026" s="6" t="e">
        <v>#N/A</v>
      </c>
      <c r="K1026" s="6" t="str">
        <f>VLOOKUP(A1026,Sheet4!$A:$H,7,0)</f>
        <v>Protector</v>
      </c>
      <c r="L1026" s="6" t="str">
        <f>VLOOKUP(B1026,Sheet4!$A:$H,8,0)</f>
        <v>Bedding</v>
      </c>
      <c r="M1026" s="6">
        <v>1599.0</v>
      </c>
      <c r="N1026" s="8">
        <v>1519.0</v>
      </c>
      <c r="O1026" s="9">
        <v>1519.0</v>
      </c>
      <c r="P1026" s="10">
        <v>1439.1</v>
      </c>
    </row>
    <row r="1027">
      <c r="A1027" s="6" t="s">
        <v>4586</v>
      </c>
      <c r="B1027" s="6" t="s">
        <v>4586</v>
      </c>
      <c r="C1027" s="6">
        <v>0.0</v>
      </c>
      <c r="D1027" s="6" t="s">
        <v>4587</v>
      </c>
      <c r="E1027" s="6" t="e">
        <v>#N/A</v>
      </c>
      <c r="F1027" s="6">
        <v>0.0</v>
      </c>
      <c r="G1027" s="6" t="s">
        <v>4588</v>
      </c>
      <c r="H1027" s="7" t="e">
        <v>#N/A</v>
      </c>
      <c r="I1027" s="6" t="e">
        <v>#N/A</v>
      </c>
      <c r="J1027" s="6" t="e">
        <v>#N/A</v>
      </c>
      <c r="K1027" s="6" t="str">
        <f>VLOOKUP(A1027,Sheet4!$A:$H,7,0)</f>
        <v>Protector</v>
      </c>
      <c r="L1027" s="6" t="str">
        <f>VLOOKUP(B1027,Sheet4!$A:$H,8,0)</f>
        <v>Bedding</v>
      </c>
      <c r="M1027" s="6">
        <v>1599.0</v>
      </c>
      <c r="N1027" s="8">
        <v>1519.0</v>
      </c>
      <c r="O1027" s="9">
        <v>1519.0</v>
      </c>
      <c r="P1027" s="10">
        <v>1439.1</v>
      </c>
    </row>
    <row r="1028">
      <c r="A1028" s="6" t="s">
        <v>4589</v>
      </c>
      <c r="B1028" s="6" t="s">
        <v>4589</v>
      </c>
      <c r="C1028" s="6">
        <v>0.0</v>
      </c>
      <c r="D1028" s="6" t="s">
        <v>4590</v>
      </c>
      <c r="E1028" s="6" t="e">
        <v>#N/A</v>
      </c>
      <c r="F1028" s="6">
        <v>0.0</v>
      </c>
      <c r="G1028" s="6" t="s">
        <v>4591</v>
      </c>
      <c r="H1028" s="7" t="e">
        <v>#N/A</v>
      </c>
      <c r="I1028" s="6" t="e">
        <v>#N/A</v>
      </c>
      <c r="J1028" s="6" t="e">
        <v>#N/A</v>
      </c>
      <c r="K1028" s="6" t="str">
        <f>VLOOKUP(A1028,Sheet4!$A:$H,7,0)</f>
        <v>Protector</v>
      </c>
      <c r="L1028" s="6" t="str">
        <f>VLOOKUP(B1028,Sheet4!$A:$H,8,0)</f>
        <v>Bedding</v>
      </c>
      <c r="M1028" s="6">
        <v>1599.0</v>
      </c>
      <c r="N1028" s="8">
        <v>1519.0</v>
      </c>
      <c r="O1028" s="9">
        <v>1519.0</v>
      </c>
      <c r="P1028" s="10">
        <v>1439.1</v>
      </c>
    </row>
    <row r="1029">
      <c r="A1029" s="6" t="s">
        <v>4592</v>
      </c>
      <c r="B1029" s="6" t="s">
        <v>4592</v>
      </c>
      <c r="C1029" s="6" t="s">
        <v>4593</v>
      </c>
      <c r="D1029" s="6" t="s">
        <v>4594</v>
      </c>
      <c r="E1029" s="6" t="e">
        <v>#N/A</v>
      </c>
      <c r="F1029" s="6">
        <v>0.0</v>
      </c>
      <c r="G1029" s="6" t="s">
        <v>4595</v>
      </c>
      <c r="H1029" s="7" t="s">
        <v>4596</v>
      </c>
      <c r="I1029" s="6" t="e">
        <v>#N/A</v>
      </c>
      <c r="J1029" s="6" t="e">
        <v>#N/A</v>
      </c>
      <c r="K1029" s="6" t="str">
        <f>VLOOKUP(A1029,Sheet4!$A:$H,7,0)</f>
        <v>Protector</v>
      </c>
      <c r="L1029" s="6" t="str">
        <f>VLOOKUP(B1029,Sheet4!$A:$H,8,0)</f>
        <v>Bedding</v>
      </c>
      <c r="M1029" s="6">
        <v>1499.0</v>
      </c>
      <c r="N1029" s="8">
        <v>1424.0</v>
      </c>
      <c r="O1029" s="9">
        <v>1424.0</v>
      </c>
      <c r="P1029" s="10">
        <v>1349.1</v>
      </c>
    </row>
    <row r="1030">
      <c r="A1030" s="6" t="s">
        <v>4597</v>
      </c>
      <c r="B1030" s="6" t="s">
        <v>4597</v>
      </c>
      <c r="C1030" s="6">
        <v>0.0</v>
      </c>
      <c r="D1030" s="6" t="s">
        <v>4598</v>
      </c>
      <c r="E1030" s="6" t="e">
        <v>#N/A</v>
      </c>
      <c r="F1030" s="6">
        <v>0.0</v>
      </c>
      <c r="G1030" s="6" t="s">
        <v>4599</v>
      </c>
      <c r="H1030" s="7" t="e">
        <v>#N/A</v>
      </c>
      <c r="I1030" s="6" t="e">
        <v>#N/A</v>
      </c>
      <c r="J1030" s="6" t="e">
        <v>#N/A</v>
      </c>
      <c r="K1030" s="6" t="str">
        <f>VLOOKUP(A1030,Sheet4!$A:$H,7,0)</f>
        <v>Protector</v>
      </c>
      <c r="L1030" s="6" t="str">
        <f>VLOOKUP(B1030,Sheet4!$A:$H,8,0)</f>
        <v>Bedding</v>
      </c>
      <c r="M1030" s="6">
        <v>1499.0</v>
      </c>
      <c r="N1030" s="8">
        <v>1424.0</v>
      </c>
      <c r="O1030" s="9">
        <v>1424.0</v>
      </c>
      <c r="P1030" s="10">
        <v>1349.1</v>
      </c>
    </row>
    <row r="1031">
      <c r="A1031" s="6" t="s">
        <v>4600</v>
      </c>
      <c r="B1031" s="6" t="s">
        <v>4600</v>
      </c>
      <c r="C1031" s="6">
        <v>0.0</v>
      </c>
      <c r="D1031" s="6" t="s">
        <v>4601</v>
      </c>
      <c r="E1031" s="6" t="e">
        <v>#N/A</v>
      </c>
      <c r="F1031" s="6">
        <v>0.0</v>
      </c>
      <c r="G1031" s="6" t="s">
        <v>4602</v>
      </c>
      <c r="H1031" s="7" t="e">
        <v>#N/A</v>
      </c>
      <c r="I1031" s="6" t="e">
        <v>#N/A</v>
      </c>
      <c r="J1031" s="6" t="e">
        <v>#N/A</v>
      </c>
      <c r="K1031" s="6" t="str">
        <f>VLOOKUP(A1031,Sheet4!$A:$H,7,0)</f>
        <v>Protector</v>
      </c>
      <c r="L1031" s="6" t="str">
        <f>VLOOKUP(B1031,Sheet4!$A:$H,8,0)</f>
        <v>Bedding</v>
      </c>
      <c r="M1031" s="6">
        <v>1499.0</v>
      </c>
      <c r="N1031" s="8">
        <v>1424.0</v>
      </c>
      <c r="O1031" s="9">
        <v>1424.0</v>
      </c>
      <c r="P1031" s="10">
        <v>1349.1</v>
      </c>
    </row>
    <row r="1032">
      <c r="A1032" s="6" t="s">
        <v>4603</v>
      </c>
      <c r="B1032" s="6" t="s">
        <v>4603</v>
      </c>
      <c r="C1032" s="6" t="s">
        <v>4604</v>
      </c>
      <c r="D1032" s="6" t="s">
        <v>4605</v>
      </c>
      <c r="E1032" s="6" t="e">
        <v>#N/A</v>
      </c>
      <c r="F1032" s="6">
        <v>0.0</v>
      </c>
      <c r="G1032" s="6" t="s">
        <v>4606</v>
      </c>
      <c r="H1032" s="7" t="s">
        <v>4607</v>
      </c>
      <c r="I1032" s="6" t="e">
        <v>#N/A</v>
      </c>
      <c r="J1032" s="6" t="e">
        <v>#N/A</v>
      </c>
      <c r="K1032" s="6" t="str">
        <f>VLOOKUP(A1032,Sheet4!$A:$H,7,0)</f>
        <v>Protector</v>
      </c>
      <c r="L1032" s="6" t="str">
        <f>VLOOKUP(B1032,Sheet4!$A:$H,8,0)</f>
        <v>Bedding</v>
      </c>
      <c r="M1032" s="6">
        <v>1599.0</v>
      </c>
      <c r="N1032" s="8">
        <v>1519.0</v>
      </c>
      <c r="O1032" s="9">
        <v>1519.0</v>
      </c>
      <c r="P1032" s="10">
        <v>1439.1</v>
      </c>
    </row>
    <row r="1033">
      <c r="A1033" s="6" t="s">
        <v>4608</v>
      </c>
      <c r="B1033" s="6" t="s">
        <v>4608</v>
      </c>
      <c r="C1033" s="6">
        <v>0.0</v>
      </c>
      <c r="D1033" s="6" t="s">
        <v>4609</v>
      </c>
      <c r="E1033" s="6" t="e">
        <v>#N/A</v>
      </c>
      <c r="F1033" s="6">
        <v>0.0</v>
      </c>
      <c r="G1033" s="6" t="s">
        <v>4610</v>
      </c>
      <c r="H1033" s="7" t="e">
        <v>#N/A</v>
      </c>
      <c r="I1033" s="6" t="e">
        <v>#N/A</v>
      </c>
      <c r="J1033" s="6" t="e">
        <v>#N/A</v>
      </c>
      <c r="K1033" s="6" t="str">
        <f>VLOOKUP(A1033,Sheet4!$A:$H,7,0)</f>
        <v>Protector</v>
      </c>
      <c r="L1033" s="6" t="str">
        <f>VLOOKUP(B1033,Sheet4!$A:$H,8,0)</f>
        <v>Bedding</v>
      </c>
      <c r="M1033" s="6">
        <v>1599.0</v>
      </c>
      <c r="N1033" s="8">
        <v>1519.0</v>
      </c>
      <c r="O1033" s="9">
        <v>1519.0</v>
      </c>
      <c r="P1033" s="10">
        <v>1439.1</v>
      </c>
    </row>
    <row r="1034">
      <c r="A1034" s="6" t="s">
        <v>4611</v>
      </c>
      <c r="B1034" s="6" t="s">
        <v>4611</v>
      </c>
      <c r="C1034" s="6">
        <v>0.0</v>
      </c>
      <c r="D1034" s="6" t="s">
        <v>4612</v>
      </c>
      <c r="E1034" s="6" t="e">
        <v>#N/A</v>
      </c>
      <c r="F1034" s="6">
        <v>0.0</v>
      </c>
      <c r="G1034" s="6" t="s">
        <v>4613</v>
      </c>
      <c r="H1034" s="7" t="e">
        <v>#N/A</v>
      </c>
      <c r="I1034" s="6" t="e">
        <v>#N/A</v>
      </c>
      <c r="J1034" s="6" t="e">
        <v>#N/A</v>
      </c>
      <c r="K1034" s="6" t="str">
        <f>VLOOKUP(A1034,Sheet4!$A:$H,7,0)</f>
        <v>Protector</v>
      </c>
      <c r="L1034" s="6" t="str">
        <f>VLOOKUP(B1034,Sheet4!$A:$H,8,0)</f>
        <v>Bedding</v>
      </c>
      <c r="M1034" s="6">
        <v>1599.0</v>
      </c>
      <c r="N1034" s="8">
        <v>1519.0</v>
      </c>
      <c r="O1034" s="9">
        <v>1519.0</v>
      </c>
      <c r="P1034" s="10">
        <v>1439.1</v>
      </c>
    </row>
    <row r="1035">
      <c r="A1035" s="6" t="s">
        <v>4614</v>
      </c>
      <c r="B1035" s="6" t="s">
        <v>4614</v>
      </c>
      <c r="C1035" s="6" t="s">
        <v>4615</v>
      </c>
      <c r="D1035" s="6" t="s">
        <v>4616</v>
      </c>
      <c r="E1035" s="6" t="e">
        <v>#N/A</v>
      </c>
      <c r="F1035" s="6">
        <v>0.0</v>
      </c>
      <c r="G1035" s="6" t="s">
        <v>4617</v>
      </c>
      <c r="H1035" s="7" t="s">
        <v>4618</v>
      </c>
      <c r="I1035" s="6" t="e">
        <v>#N/A</v>
      </c>
      <c r="J1035" s="6" t="e">
        <v>#N/A</v>
      </c>
      <c r="K1035" s="6" t="str">
        <f>VLOOKUP(A1035,Sheet4!$A:$H,7,0)</f>
        <v>Protector</v>
      </c>
      <c r="L1035" s="6" t="str">
        <f>VLOOKUP(B1035,Sheet4!$A:$H,8,0)</f>
        <v>Bedding</v>
      </c>
      <c r="M1035" s="6">
        <v>1699.0</v>
      </c>
      <c r="N1035" s="8">
        <v>1614.0</v>
      </c>
      <c r="O1035" s="9">
        <v>1614.0</v>
      </c>
      <c r="P1035" s="10">
        <v>1529.1</v>
      </c>
    </row>
    <row r="1036">
      <c r="A1036" s="6" t="s">
        <v>4619</v>
      </c>
      <c r="B1036" s="6" t="s">
        <v>4619</v>
      </c>
      <c r="C1036" s="6" t="s">
        <v>4620</v>
      </c>
      <c r="D1036" s="6" t="s">
        <v>4621</v>
      </c>
      <c r="E1036" s="6" t="e">
        <v>#N/A</v>
      </c>
      <c r="F1036" s="6">
        <v>0.0</v>
      </c>
      <c r="G1036" s="6" t="s">
        <v>4622</v>
      </c>
      <c r="H1036" s="7" t="s">
        <v>4623</v>
      </c>
      <c r="I1036" s="6" t="e">
        <v>#N/A</v>
      </c>
      <c r="J1036" s="6" t="e">
        <v>#N/A</v>
      </c>
      <c r="K1036" s="6" t="str">
        <f>VLOOKUP(A1036,Sheet4!$A:$H,7,0)</f>
        <v>Protector</v>
      </c>
      <c r="L1036" s="6" t="str">
        <f>VLOOKUP(B1036,Sheet4!$A:$H,8,0)</f>
        <v>Bedding</v>
      </c>
      <c r="M1036" s="6">
        <v>1699.0</v>
      </c>
      <c r="N1036" s="8">
        <v>1614.0</v>
      </c>
      <c r="O1036" s="9">
        <v>1614.0</v>
      </c>
      <c r="P1036" s="10">
        <v>1529.1</v>
      </c>
    </row>
    <row r="1037">
      <c r="A1037" s="6" t="s">
        <v>4624</v>
      </c>
      <c r="B1037" s="6" t="s">
        <v>4624</v>
      </c>
      <c r="C1037" s="6" t="s">
        <v>4625</v>
      </c>
      <c r="D1037" s="6" t="s">
        <v>4626</v>
      </c>
      <c r="E1037" s="6" t="e">
        <v>#N/A</v>
      </c>
      <c r="F1037" s="6">
        <v>0.0</v>
      </c>
      <c r="G1037" s="6" t="s">
        <v>4627</v>
      </c>
      <c r="H1037" s="7" t="s">
        <v>4628</v>
      </c>
      <c r="I1037" s="6" t="e">
        <v>#N/A</v>
      </c>
      <c r="J1037" s="6" t="e">
        <v>#N/A</v>
      </c>
      <c r="K1037" s="6" t="str">
        <f>VLOOKUP(A1037,Sheet4!$A:$H,7,0)</f>
        <v>Protector</v>
      </c>
      <c r="L1037" s="6" t="str">
        <f>VLOOKUP(B1037,Sheet4!$A:$H,8,0)</f>
        <v>Bedding</v>
      </c>
      <c r="M1037" s="6">
        <v>1699.0</v>
      </c>
      <c r="N1037" s="8">
        <v>1614.0</v>
      </c>
      <c r="O1037" s="9">
        <v>1614.0</v>
      </c>
      <c r="P1037" s="10">
        <v>1529.1</v>
      </c>
    </row>
    <row r="1038">
      <c r="A1038" s="6" t="s">
        <v>4629</v>
      </c>
      <c r="B1038" s="6" t="s">
        <v>4629</v>
      </c>
      <c r="C1038" s="6" t="s">
        <v>4630</v>
      </c>
      <c r="D1038" s="6" t="s">
        <v>4631</v>
      </c>
      <c r="E1038" s="6" t="e">
        <v>#N/A</v>
      </c>
      <c r="F1038" s="6">
        <v>0.0</v>
      </c>
      <c r="G1038" s="6" t="s">
        <v>4632</v>
      </c>
      <c r="H1038" s="7" t="s">
        <v>4633</v>
      </c>
      <c r="I1038" s="6" t="e">
        <v>#N/A</v>
      </c>
      <c r="J1038" s="6" t="e">
        <v>#N/A</v>
      </c>
      <c r="K1038" s="6" t="str">
        <f>VLOOKUP(A1038,Sheet4!$A:$H,7,0)</f>
        <v>Protector</v>
      </c>
      <c r="L1038" s="6" t="str">
        <f>VLOOKUP(B1038,Sheet4!$A:$H,8,0)</f>
        <v>Bedding</v>
      </c>
      <c r="M1038" s="6">
        <v>1699.0</v>
      </c>
      <c r="N1038" s="8">
        <v>1614.0</v>
      </c>
      <c r="O1038" s="9">
        <v>1614.0</v>
      </c>
      <c r="P1038" s="10">
        <v>1529.1</v>
      </c>
    </row>
    <row r="1039">
      <c r="A1039" s="6" t="s">
        <v>4634</v>
      </c>
      <c r="B1039" s="6" t="s">
        <v>4634</v>
      </c>
      <c r="C1039" s="6" t="s">
        <v>4635</v>
      </c>
      <c r="D1039" s="6" t="s">
        <v>4636</v>
      </c>
      <c r="E1039" s="6" t="e">
        <v>#N/A</v>
      </c>
      <c r="F1039" s="6">
        <v>0.0</v>
      </c>
      <c r="G1039" s="6" t="s">
        <v>4637</v>
      </c>
      <c r="H1039" s="7" t="s">
        <v>4638</v>
      </c>
      <c r="I1039" s="6" t="e">
        <v>#N/A</v>
      </c>
      <c r="J1039" s="6" t="e">
        <v>#N/A</v>
      </c>
      <c r="K1039" s="6" t="str">
        <f>VLOOKUP(A1039,Sheet4!$A:$H,7,0)</f>
        <v>Protector</v>
      </c>
      <c r="L1039" s="6" t="str">
        <f>VLOOKUP(B1039,Sheet4!$A:$H,8,0)</f>
        <v>Bedding</v>
      </c>
      <c r="M1039" s="6">
        <v>1699.0</v>
      </c>
      <c r="N1039" s="8">
        <v>1614.0</v>
      </c>
      <c r="O1039" s="9">
        <v>1614.0</v>
      </c>
      <c r="P1039" s="10">
        <v>1529.1</v>
      </c>
    </row>
    <row r="1040">
      <c r="A1040" s="6" t="s">
        <v>4639</v>
      </c>
      <c r="B1040" s="6" t="s">
        <v>4639</v>
      </c>
      <c r="C1040" s="6" t="s">
        <v>4640</v>
      </c>
      <c r="D1040" s="6" t="s">
        <v>4641</v>
      </c>
      <c r="E1040" s="6" t="e">
        <v>#N/A</v>
      </c>
      <c r="F1040" s="6">
        <v>0.0</v>
      </c>
      <c r="G1040" s="6" t="s">
        <v>4642</v>
      </c>
      <c r="H1040" s="7" t="s">
        <v>4643</v>
      </c>
      <c r="I1040" s="6" t="e">
        <v>#N/A</v>
      </c>
      <c r="J1040" s="6" t="e">
        <v>#N/A</v>
      </c>
      <c r="K1040" s="6" t="str">
        <f>VLOOKUP(A1040,Sheet4!$A:$H,7,0)</f>
        <v>Protector</v>
      </c>
      <c r="L1040" s="6" t="str">
        <f>VLOOKUP(B1040,Sheet4!$A:$H,8,0)</f>
        <v>Bedding</v>
      </c>
      <c r="M1040" s="6">
        <v>1699.0</v>
      </c>
      <c r="N1040" s="8">
        <v>1614.0</v>
      </c>
      <c r="O1040" s="9">
        <v>1614.0</v>
      </c>
      <c r="P1040" s="10">
        <v>1529.1</v>
      </c>
    </row>
    <row r="1041">
      <c r="A1041" s="6" t="s">
        <v>4644</v>
      </c>
      <c r="B1041" s="6" t="s">
        <v>4644</v>
      </c>
      <c r="C1041" s="6" t="s">
        <v>4645</v>
      </c>
      <c r="D1041" s="6" t="s">
        <v>4646</v>
      </c>
      <c r="E1041" s="6" t="e">
        <v>#N/A</v>
      </c>
      <c r="F1041" s="6">
        <v>0.0</v>
      </c>
      <c r="G1041" s="6" t="s">
        <v>4647</v>
      </c>
      <c r="H1041" s="7" t="s">
        <v>4648</v>
      </c>
      <c r="I1041" s="6" t="e">
        <v>#N/A</v>
      </c>
      <c r="J1041" s="6" t="e">
        <v>#N/A</v>
      </c>
      <c r="K1041" s="6" t="str">
        <f>VLOOKUP(A1041,Sheet4!$A:$H,7,0)</f>
        <v>Protector</v>
      </c>
      <c r="L1041" s="6" t="str">
        <f>VLOOKUP(B1041,Sheet4!$A:$H,8,0)</f>
        <v>Bedding</v>
      </c>
      <c r="M1041" s="6">
        <v>1699.0</v>
      </c>
      <c r="N1041" s="8">
        <v>1614.0</v>
      </c>
      <c r="O1041" s="9">
        <v>1614.0</v>
      </c>
      <c r="P1041" s="10">
        <v>1529.1</v>
      </c>
    </row>
    <row r="1042">
      <c r="A1042" s="6" t="s">
        <v>4649</v>
      </c>
      <c r="B1042" s="6" t="s">
        <v>4649</v>
      </c>
      <c r="C1042" s="6" t="s">
        <v>4650</v>
      </c>
      <c r="D1042" s="6" t="s">
        <v>4651</v>
      </c>
      <c r="E1042" s="6" t="e">
        <v>#N/A</v>
      </c>
      <c r="F1042" s="6">
        <v>0.0</v>
      </c>
      <c r="G1042" s="6" t="s">
        <v>4652</v>
      </c>
      <c r="H1042" s="7" t="s">
        <v>4653</v>
      </c>
      <c r="I1042" s="6" t="e">
        <v>#N/A</v>
      </c>
      <c r="J1042" s="6" t="e">
        <v>#N/A</v>
      </c>
      <c r="K1042" s="6" t="str">
        <f>VLOOKUP(A1042,Sheet4!$A:$H,7,0)</f>
        <v>Protector</v>
      </c>
      <c r="L1042" s="6" t="str">
        <f>VLOOKUP(B1042,Sheet4!$A:$H,8,0)</f>
        <v>Bedding</v>
      </c>
      <c r="M1042" s="6">
        <v>1699.0</v>
      </c>
      <c r="N1042" s="8">
        <v>1614.0</v>
      </c>
      <c r="O1042" s="9">
        <v>1614.0</v>
      </c>
      <c r="P1042" s="10">
        <v>1529.1</v>
      </c>
    </row>
    <row r="1043">
      <c r="A1043" s="6" t="s">
        <v>4654</v>
      </c>
      <c r="B1043" s="6" t="s">
        <v>4654</v>
      </c>
      <c r="C1043" s="6" t="s">
        <v>4655</v>
      </c>
      <c r="D1043" s="6" t="s">
        <v>4656</v>
      </c>
      <c r="E1043" s="6" t="e">
        <v>#N/A</v>
      </c>
      <c r="F1043" s="6">
        <v>0.0</v>
      </c>
      <c r="G1043" s="6" t="s">
        <v>4657</v>
      </c>
      <c r="H1043" s="7" t="s">
        <v>4658</v>
      </c>
      <c r="I1043" s="6" t="e">
        <v>#N/A</v>
      </c>
      <c r="J1043" s="6" t="e">
        <v>#N/A</v>
      </c>
      <c r="K1043" s="6" t="str">
        <f>VLOOKUP(A1043,Sheet4!$A:$H,7,0)</f>
        <v>Protector</v>
      </c>
      <c r="L1043" s="6" t="str">
        <f>VLOOKUP(B1043,Sheet4!$A:$H,8,0)</f>
        <v>Bedding</v>
      </c>
      <c r="M1043" s="6">
        <v>1699.0</v>
      </c>
      <c r="N1043" s="8">
        <v>1614.0</v>
      </c>
      <c r="O1043" s="9">
        <v>1614.0</v>
      </c>
      <c r="P1043" s="10">
        <v>1529.1</v>
      </c>
    </row>
    <row r="1044">
      <c r="A1044" s="6" t="s">
        <v>4659</v>
      </c>
      <c r="B1044" s="6" t="s">
        <v>4659</v>
      </c>
      <c r="C1044" s="6" t="s">
        <v>4660</v>
      </c>
      <c r="D1044" s="6" t="s">
        <v>4661</v>
      </c>
      <c r="E1044" s="6" t="e">
        <v>#N/A</v>
      </c>
      <c r="F1044" s="6">
        <v>0.0</v>
      </c>
      <c r="G1044" s="6" t="s">
        <v>4662</v>
      </c>
      <c r="H1044" s="7" t="s">
        <v>4663</v>
      </c>
      <c r="I1044" s="6" t="e">
        <v>#N/A</v>
      </c>
      <c r="J1044" s="6" t="e">
        <v>#N/A</v>
      </c>
      <c r="K1044" s="6" t="str">
        <f>VLOOKUP(A1044,Sheet4!$A:$H,7,0)</f>
        <v>Protector</v>
      </c>
      <c r="L1044" s="6" t="str">
        <f>VLOOKUP(B1044,Sheet4!$A:$H,8,0)</f>
        <v>Bedding</v>
      </c>
      <c r="M1044" s="6">
        <v>1699.0</v>
      </c>
      <c r="N1044" s="8">
        <v>1614.0</v>
      </c>
      <c r="O1044" s="9">
        <v>1614.0</v>
      </c>
      <c r="P1044" s="10">
        <v>1529.1</v>
      </c>
    </row>
    <row r="1045">
      <c r="A1045" s="6" t="s">
        <v>4664</v>
      </c>
      <c r="B1045" s="6" t="s">
        <v>4664</v>
      </c>
      <c r="C1045" s="6" t="s">
        <v>4665</v>
      </c>
      <c r="D1045" s="6" t="s">
        <v>4666</v>
      </c>
      <c r="E1045" s="6" t="e">
        <v>#N/A</v>
      </c>
      <c r="F1045" s="6">
        <v>0.0</v>
      </c>
      <c r="G1045" s="6" t="s">
        <v>4667</v>
      </c>
      <c r="H1045" s="7" t="s">
        <v>4668</v>
      </c>
      <c r="I1045" s="6" t="e">
        <v>#N/A</v>
      </c>
      <c r="J1045" s="6" t="e">
        <v>#N/A</v>
      </c>
      <c r="K1045" s="6" t="str">
        <f>VLOOKUP(A1045,Sheet4!$A:$H,7,0)</f>
        <v>Protector</v>
      </c>
      <c r="L1045" s="6" t="str">
        <f>VLOOKUP(B1045,Sheet4!$A:$H,8,0)</f>
        <v>Bedding</v>
      </c>
      <c r="M1045" s="6">
        <v>1699.0</v>
      </c>
      <c r="N1045" s="8">
        <v>1614.0</v>
      </c>
      <c r="O1045" s="9">
        <v>1614.0</v>
      </c>
      <c r="P1045" s="10">
        <v>1529.1</v>
      </c>
    </row>
    <row r="1046">
      <c r="A1046" s="6" t="s">
        <v>4669</v>
      </c>
      <c r="B1046" s="6" t="s">
        <v>4669</v>
      </c>
      <c r="C1046" s="6" t="s">
        <v>4670</v>
      </c>
      <c r="D1046" s="6" t="s">
        <v>4671</v>
      </c>
      <c r="E1046" s="6" t="e">
        <v>#N/A</v>
      </c>
      <c r="F1046" s="6">
        <v>0.0</v>
      </c>
      <c r="G1046" s="6" t="s">
        <v>4672</v>
      </c>
      <c r="H1046" s="7" t="s">
        <v>4673</v>
      </c>
      <c r="I1046" s="6" t="e">
        <v>#N/A</v>
      </c>
      <c r="J1046" s="6" t="e">
        <v>#N/A</v>
      </c>
      <c r="K1046" s="6" t="str">
        <f>VLOOKUP(A1046,Sheet4!$A:$H,7,0)</f>
        <v>Protector</v>
      </c>
      <c r="L1046" s="6" t="str">
        <f>VLOOKUP(B1046,Sheet4!$A:$H,8,0)</f>
        <v>Bedding</v>
      </c>
      <c r="M1046" s="6">
        <v>1699.0</v>
      </c>
      <c r="N1046" s="8">
        <v>1614.0</v>
      </c>
      <c r="O1046" s="9">
        <v>1614.0</v>
      </c>
      <c r="P1046" s="10">
        <v>1529.1</v>
      </c>
    </row>
    <row r="1047">
      <c r="A1047" s="6" t="s">
        <v>4363</v>
      </c>
      <c r="B1047" s="6" t="s">
        <v>4363</v>
      </c>
      <c r="C1047" s="6" t="s">
        <v>4364</v>
      </c>
      <c r="D1047" s="6" t="s">
        <v>4365</v>
      </c>
      <c r="E1047" s="6" t="e">
        <v>#N/A</v>
      </c>
      <c r="F1047" s="6">
        <v>0.0</v>
      </c>
      <c r="G1047" s="6" t="s">
        <v>4366</v>
      </c>
      <c r="H1047" s="7" t="s">
        <v>4367</v>
      </c>
      <c r="I1047" s="6" t="e">
        <v>#N/A</v>
      </c>
      <c r="J1047" s="6" t="e">
        <v>#N/A</v>
      </c>
      <c r="K1047" s="6" t="str">
        <f>VLOOKUP(A1047,Sheet4!$A:$H,7,0)</f>
        <v>Aeroflow Topper</v>
      </c>
      <c r="L1047" s="6" t="str">
        <f>VLOOKUP(B1047,Sheet4!$A:$H,8,0)</f>
        <v>Bedding</v>
      </c>
      <c r="M1047" s="6">
        <v>3959.0</v>
      </c>
      <c r="N1047" s="8">
        <v>3599.0</v>
      </c>
      <c r="O1047" s="9">
        <v>3759.0</v>
      </c>
      <c r="P1047" s="10">
        <v>3365.15</v>
      </c>
    </row>
    <row r="1048">
      <c r="A1048" s="6" t="s">
        <v>4368</v>
      </c>
      <c r="B1048" s="6" t="s">
        <v>4368</v>
      </c>
      <c r="C1048" s="6" t="s">
        <v>4369</v>
      </c>
      <c r="D1048" s="6" t="s">
        <v>4370</v>
      </c>
      <c r="E1048" s="6" t="e">
        <v>#N/A</v>
      </c>
      <c r="F1048" s="6">
        <v>0.0</v>
      </c>
      <c r="G1048" s="6" t="s">
        <v>4371</v>
      </c>
      <c r="H1048" s="7" t="s">
        <v>4372</v>
      </c>
      <c r="I1048" s="6" t="e">
        <v>#N/A</v>
      </c>
      <c r="J1048" s="6" t="e">
        <v>#N/A</v>
      </c>
      <c r="K1048" s="6" t="str">
        <f>VLOOKUP(A1048,Sheet4!$A:$H,7,0)</f>
        <v>Aeroflow Topper</v>
      </c>
      <c r="L1048" s="6" t="str">
        <f>VLOOKUP(B1048,Sheet4!$A:$H,8,0)</f>
        <v>Bedding</v>
      </c>
      <c r="M1048" s="6">
        <v>4199.0</v>
      </c>
      <c r="N1048" s="8">
        <v>3799.0</v>
      </c>
      <c r="O1048" s="9">
        <v>3999.0</v>
      </c>
      <c r="P1048" s="10">
        <v>3569.15</v>
      </c>
    </row>
    <row r="1049">
      <c r="A1049" s="6" t="s">
        <v>4373</v>
      </c>
      <c r="B1049" s="6" t="s">
        <v>4373</v>
      </c>
      <c r="C1049" s="6" t="s">
        <v>4374</v>
      </c>
      <c r="D1049" s="6" t="s">
        <v>4375</v>
      </c>
      <c r="E1049" s="6" t="e">
        <v>#N/A</v>
      </c>
      <c r="F1049" s="6">
        <v>0.0</v>
      </c>
      <c r="G1049" s="6" t="s">
        <v>4376</v>
      </c>
      <c r="H1049" s="7" t="s">
        <v>4377</v>
      </c>
      <c r="I1049" s="6" t="e">
        <v>#N/A</v>
      </c>
      <c r="J1049" s="6" t="e">
        <v>#N/A</v>
      </c>
      <c r="K1049" s="6" t="str">
        <f>VLOOKUP(A1049,Sheet4!$A:$H,7,0)</f>
        <v>Aeroflow Topper</v>
      </c>
      <c r="L1049" s="6" t="str">
        <f>VLOOKUP(B1049,Sheet4!$A:$H,8,0)</f>
        <v>Bedding</v>
      </c>
      <c r="M1049" s="6">
        <v>4799.0</v>
      </c>
      <c r="N1049" s="8">
        <v>4299.0</v>
      </c>
      <c r="O1049" s="9">
        <v>4499.0</v>
      </c>
      <c r="P1049" s="10">
        <v>4079.15</v>
      </c>
    </row>
    <row r="1050">
      <c r="A1050" s="6" t="s">
        <v>4378</v>
      </c>
      <c r="B1050" s="6" t="s">
        <v>4378</v>
      </c>
      <c r="C1050" s="6" t="s">
        <v>4379</v>
      </c>
      <c r="D1050" s="6" t="s">
        <v>4380</v>
      </c>
      <c r="E1050" s="6" t="e">
        <v>#N/A</v>
      </c>
      <c r="F1050" s="6">
        <v>0.0</v>
      </c>
      <c r="G1050" s="6" t="s">
        <v>4381</v>
      </c>
      <c r="H1050" s="7" t="s">
        <v>4382</v>
      </c>
      <c r="I1050" s="6" t="e">
        <v>#N/A</v>
      </c>
      <c r="J1050" s="6" t="e">
        <v>#N/A</v>
      </c>
      <c r="K1050" s="6" t="str">
        <f>VLOOKUP(A1050,Sheet4!$A:$H,7,0)</f>
        <v>Aeroflow Topper</v>
      </c>
      <c r="L1050" s="6" t="str">
        <f>VLOOKUP(B1050,Sheet4!$A:$H,8,0)</f>
        <v>Bedding</v>
      </c>
      <c r="M1050" s="6">
        <v>5639.0</v>
      </c>
      <c r="N1050" s="8">
        <v>5099.0</v>
      </c>
      <c r="O1050" s="9">
        <v>5299.0</v>
      </c>
      <c r="P1050" s="10">
        <v>4793.15</v>
      </c>
    </row>
    <row r="1051">
      <c r="A1051" s="6" t="s">
        <v>4383</v>
      </c>
      <c r="B1051" s="6" t="s">
        <v>4383</v>
      </c>
      <c r="C1051" s="6" t="s">
        <v>4384</v>
      </c>
      <c r="D1051" s="6" t="s">
        <v>4385</v>
      </c>
      <c r="E1051" s="6" t="e">
        <v>#N/A</v>
      </c>
      <c r="F1051" s="6">
        <v>0.0</v>
      </c>
      <c r="G1051" s="6" t="s">
        <v>4386</v>
      </c>
      <c r="H1051" s="7" t="s">
        <v>4387</v>
      </c>
      <c r="I1051" s="6" t="e">
        <v>#N/A</v>
      </c>
      <c r="J1051" s="6" t="e">
        <v>#N/A</v>
      </c>
      <c r="K1051" s="6" t="str">
        <f>VLOOKUP(A1051,Sheet4!$A:$H,7,0)</f>
        <v>Aeroflow Topper</v>
      </c>
      <c r="L1051" s="6" t="str">
        <f>VLOOKUP(B1051,Sheet4!$A:$H,8,0)</f>
        <v>Bedding</v>
      </c>
      <c r="M1051" s="6">
        <v>5759.0</v>
      </c>
      <c r="N1051" s="8">
        <v>5199.0</v>
      </c>
      <c r="O1051" s="9">
        <v>5499.0</v>
      </c>
      <c r="P1051" s="10">
        <v>4895.15</v>
      </c>
    </row>
    <row r="1052">
      <c r="A1052" s="6" t="s">
        <v>4388</v>
      </c>
      <c r="B1052" s="6" t="s">
        <v>4388</v>
      </c>
      <c r="C1052" s="6" t="s">
        <v>4389</v>
      </c>
      <c r="D1052" s="6" t="s">
        <v>4390</v>
      </c>
      <c r="E1052" s="6" t="e">
        <v>#N/A</v>
      </c>
      <c r="F1052" s="6">
        <v>0.0</v>
      </c>
      <c r="G1052" s="6" t="s">
        <v>4391</v>
      </c>
      <c r="H1052" s="7" t="s">
        <v>4392</v>
      </c>
      <c r="I1052" s="6" t="e">
        <v>#N/A</v>
      </c>
      <c r="J1052" s="6" t="e">
        <v>#N/A</v>
      </c>
      <c r="K1052" s="6" t="str">
        <f>VLOOKUP(A1052,Sheet4!$A:$H,7,0)</f>
        <v>Aeroflow Topper</v>
      </c>
      <c r="L1052" s="6" t="str">
        <f>VLOOKUP(B1052,Sheet4!$A:$H,8,0)</f>
        <v>Bedding</v>
      </c>
      <c r="M1052" s="6">
        <v>5879.0</v>
      </c>
      <c r="N1052" s="8">
        <v>5299.0</v>
      </c>
      <c r="O1052" s="9">
        <v>5599.0</v>
      </c>
      <c r="P1052" s="10">
        <v>4997.15</v>
      </c>
    </row>
    <row r="1053">
      <c r="A1053" s="6" t="s">
        <v>4393</v>
      </c>
      <c r="B1053" s="6" t="s">
        <v>4393</v>
      </c>
      <c r="C1053" s="6" t="s">
        <v>4394</v>
      </c>
      <c r="D1053" s="6" t="s">
        <v>4395</v>
      </c>
      <c r="E1053" s="6" t="e">
        <v>#N/A</v>
      </c>
      <c r="F1053" s="6">
        <v>0.0</v>
      </c>
      <c r="G1053" s="6" t="s">
        <v>4396</v>
      </c>
      <c r="H1053" s="7" t="s">
        <v>4397</v>
      </c>
      <c r="I1053" s="6" t="e">
        <v>#N/A</v>
      </c>
      <c r="J1053" s="6" t="e">
        <v>#N/A</v>
      </c>
      <c r="K1053" s="6" t="str">
        <f>VLOOKUP(A1053,Sheet4!$A:$H,7,0)</f>
        <v>Aeroflow Topper</v>
      </c>
      <c r="L1053" s="6" t="str">
        <f>VLOOKUP(B1053,Sheet4!$A:$H,8,0)</f>
        <v>Bedding</v>
      </c>
      <c r="M1053" s="6">
        <v>6599.0</v>
      </c>
      <c r="N1053" s="8">
        <v>5999.0</v>
      </c>
      <c r="O1053" s="9">
        <v>6299.0</v>
      </c>
      <c r="P1053" s="10">
        <v>5609.15</v>
      </c>
    </row>
    <row r="1054">
      <c r="A1054" s="6" t="s">
        <v>4398</v>
      </c>
      <c r="B1054" s="6" t="s">
        <v>4398</v>
      </c>
      <c r="C1054" s="6" t="s">
        <v>4399</v>
      </c>
      <c r="D1054" s="6" t="s">
        <v>4400</v>
      </c>
      <c r="E1054" s="6" t="e">
        <v>#N/A</v>
      </c>
      <c r="F1054" s="6">
        <v>0.0</v>
      </c>
      <c r="G1054" s="6" t="s">
        <v>4401</v>
      </c>
      <c r="H1054" s="7" t="s">
        <v>4402</v>
      </c>
      <c r="I1054" s="6" t="e">
        <v>#N/A</v>
      </c>
      <c r="J1054" s="6" t="e">
        <v>#N/A</v>
      </c>
      <c r="K1054" s="6" t="str">
        <f>VLOOKUP(A1054,Sheet4!$A:$H,7,0)</f>
        <v>Aeroflow Topper</v>
      </c>
      <c r="L1054" s="6" t="str">
        <f>VLOOKUP(B1054,Sheet4!$A:$H,8,0)</f>
        <v>Bedding</v>
      </c>
      <c r="M1054" s="6">
        <v>6599.0</v>
      </c>
      <c r="N1054" s="8">
        <v>5999.0</v>
      </c>
      <c r="O1054" s="9">
        <v>6299.0</v>
      </c>
      <c r="P1054" s="10">
        <v>5609.15</v>
      </c>
    </row>
    <row r="1055">
      <c r="A1055" s="6" t="s">
        <v>4403</v>
      </c>
      <c r="B1055" s="6" t="s">
        <v>4403</v>
      </c>
      <c r="C1055" s="6" t="s">
        <v>4404</v>
      </c>
      <c r="D1055" s="6" t="s">
        <v>4405</v>
      </c>
      <c r="E1055" s="6" t="e">
        <v>#N/A</v>
      </c>
      <c r="F1055" s="6">
        <v>0.0</v>
      </c>
      <c r="G1055" s="6" t="s">
        <v>4406</v>
      </c>
      <c r="H1055" s="7" t="s">
        <v>4407</v>
      </c>
      <c r="I1055" s="6" t="e">
        <v>#N/A</v>
      </c>
      <c r="J1055" s="6" t="e">
        <v>#N/A</v>
      </c>
      <c r="K1055" s="6" t="str">
        <f>VLOOKUP(A1055,Sheet4!$A:$H,7,0)</f>
        <v>Aeroflow Topper</v>
      </c>
      <c r="L1055" s="6" t="str">
        <f>VLOOKUP(B1055,Sheet4!$A:$H,8,0)</f>
        <v>Bedding</v>
      </c>
      <c r="M1055" s="6">
        <v>6599.0</v>
      </c>
      <c r="N1055" s="8">
        <v>5999.0</v>
      </c>
      <c r="O1055" s="9">
        <v>6299.0</v>
      </c>
      <c r="P1055" s="10">
        <v>5609.15</v>
      </c>
    </row>
    <row r="1056">
      <c r="A1056" s="6" t="s">
        <v>804</v>
      </c>
      <c r="B1056" s="6" t="s">
        <v>804</v>
      </c>
      <c r="C1056" s="6" t="s">
        <v>805</v>
      </c>
      <c r="D1056" s="6" t="s">
        <v>806</v>
      </c>
      <c r="E1056" s="6" t="e">
        <v>#N/A</v>
      </c>
      <c r="F1056" s="6" t="s">
        <v>807</v>
      </c>
      <c r="G1056" s="6" t="s">
        <v>808</v>
      </c>
      <c r="H1056" s="7" t="s">
        <v>809</v>
      </c>
      <c r="I1056" s="6">
        <v>3.2784129E7</v>
      </c>
      <c r="J1056" s="6" t="e">
        <v>#N/A</v>
      </c>
      <c r="K1056" s="6" t="str">
        <f>VLOOKUP(A1056,Sheet4!$A:$H,7,0)</f>
        <v>Hybrid Latex Mattress</v>
      </c>
      <c r="L1056" s="6" t="str">
        <f>VLOOKUP(B1056,Sheet4!$A:$H,8,0)</f>
        <v>Mattress</v>
      </c>
      <c r="M1056" s="6">
        <v>10999.0</v>
      </c>
      <c r="N1056" s="8">
        <v>9239.0</v>
      </c>
      <c r="O1056" s="9">
        <v>9899.0</v>
      </c>
      <c r="P1056" s="10">
        <v>8799.2</v>
      </c>
    </row>
    <row r="1057">
      <c r="A1057" s="6" t="s">
        <v>810</v>
      </c>
      <c r="B1057" s="6" t="s">
        <v>810</v>
      </c>
      <c r="C1057" s="6" t="s">
        <v>811</v>
      </c>
      <c r="D1057" s="6" t="s">
        <v>812</v>
      </c>
      <c r="E1057" s="6" t="s">
        <v>813</v>
      </c>
      <c r="F1057" s="6">
        <v>0.0</v>
      </c>
      <c r="G1057" s="6" t="s">
        <v>814</v>
      </c>
      <c r="H1057" s="7" t="s">
        <v>815</v>
      </c>
      <c r="I1057" s="6">
        <v>3.2784205E7</v>
      </c>
      <c r="J1057" s="6" t="s">
        <v>816</v>
      </c>
      <c r="K1057" s="6" t="str">
        <f>VLOOKUP(A1057,Sheet4!$A:$H,7,0)</f>
        <v>Hybrid Latex Mattress</v>
      </c>
      <c r="L1057" s="6" t="str">
        <f>VLOOKUP(B1057,Sheet4!$A:$H,8,0)</f>
        <v>Mattress</v>
      </c>
      <c r="M1057" s="6">
        <v>11399.0</v>
      </c>
      <c r="N1057" s="8">
        <v>9575.0</v>
      </c>
      <c r="O1057" s="9">
        <v>10299.0</v>
      </c>
      <c r="P1057" s="10">
        <v>9119.2</v>
      </c>
    </row>
    <row r="1058">
      <c r="A1058" s="6" t="s">
        <v>817</v>
      </c>
      <c r="B1058" s="6" t="s">
        <v>817</v>
      </c>
      <c r="C1058" s="6" t="s">
        <v>818</v>
      </c>
      <c r="D1058" s="6" t="s">
        <v>819</v>
      </c>
      <c r="E1058" s="6" t="e">
        <v>#N/A</v>
      </c>
      <c r="F1058" s="6" t="s">
        <v>820</v>
      </c>
      <c r="G1058" s="6" t="s">
        <v>821</v>
      </c>
      <c r="H1058" s="7" t="s">
        <v>822</v>
      </c>
      <c r="I1058" s="6">
        <v>3.2783791E7</v>
      </c>
      <c r="J1058" s="6" t="s">
        <v>823</v>
      </c>
      <c r="K1058" s="6" t="str">
        <f>VLOOKUP(A1058,Sheet4!$A:$H,7,0)</f>
        <v>Hybrid Latex Mattress</v>
      </c>
      <c r="L1058" s="6" t="str">
        <f>VLOOKUP(B1058,Sheet4!$A:$H,8,0)</f>
        <v>Mattress</v>
      </c>
      <c r="M1058" s="6">
        <v>11499.0</v>
      </c>
      <c r="N1058" s="8">
        <v>9659.0</v>
      </c>
      <c r="O1058" s="9">
        <v>10299.0</v>
      </c>
      <c r="P1058" s="10">
        <v>9199.2</v>
      </c>
    </row>
    <row r="1059">
      <c r="A1059" s="6" t="s">
        <v>824</v>
      </c>
      <c r="B1059" s="6" t="s">
        <v>824</v>
      </c>
      <c r="C1059" s="6" t="s">
        <v>825</v>
      </c>
      <c r="D1059" s="6" t="s">
        <v>826</v>
      </c>
      <c r="E1059" s="6" t="e">
        <v>#N/A</v>
      </c>
      <c r="F1059" s="6" t="s">
        <v>827</v>
      </c>
      <c r="G1059" s="6" t="s">
        <v>828</v>
      </c>
      <c r="H1059" s="7" t="s">
        <v>829</v>
      </c>
      <c r="I1059" s="6">
        <v>3.2784149E7</v>
      </c>
      <c r="J1059" s="6" t="s">
        <v>830</v>
      </c>
      <c r="K1059" s="6" t="str">
        <f>VLOOKUP(A1059,Sheet4!$A:$H,7,0)</f>
        <v>Hybrid Latex Mattress</v>
      </c>
      <c r="L1059" s="6" t="str">
        <f>VLOOKUP(B1059,Sheet4!$A:$H,8,0)</f>
        <v>Mattress</v>
      </c>
      <c r="M1059" s="6">
        <v>11899.0</v>
      </c>
      <c r="N1059" s="8">
        <v>9995.0</v>
      </c>
      <c r="O1059" s="9">
        <v>10699.0</v>
      </c>
      <c r="P1059" s="10">
        <v>9519.2</v>
      </c>
    </row>
    <row r="1060">
      <c r="A1060" s="6" t="s">
        <v>831</v>
      </c>
      <c r="B1060" s="6" t="s">
        <v>831</v>
      </c>
      <c r="C1060" s="6" t="s">
        <v>832</v>
      </c>
      <c r="D1060" s="6" t="s">
        <v>833</v>
      </c>
      <c r="E1060" s="6" t="e">
        <v>#N/A</v>
      </c>
      <c r="F1060" s="6">
        <v>0.0</v>
      </c>
      <c r="G1060" s="6" t="s">
        <v>834</v>
      </c>
      <c r="H1060" s="7" t="s">
        <v>835</v>
      </c>
      <c r="I1060" s="6" t="e">
        <v>#N/A</v>
      </c>
      <c r="J1060" s="6" t="e">
        <v>#N/A</v>
      </c>
      <c r="K1060" s="6" t="str">
        <f>VLOOKUP(A1060,Sheet4!$A:$H,7,0)</f>
        <v>Hybrid Latex Mattress</v>
      </c>
      <c r="L1060" s="6" t="str">
        <f>VLOOKUP(B1060,Sheet4!$A:$H,8,0)</f>
        <v>Mattress</v>
      </c>
      <c r="M1060" s="6">
        <v>13999.0</v>
      </c>
      <c r="N1060" s="8">
        <v>11759.0</v>
      </c>
      <c r="O1060" s="9">
        <v>12599.0</v>
      </c>
      <c r="P1060" s="10">
        <v>11199.2</v>
      </c>
    </row>
    <row r="1061">
      <c r="A1061" s="6" t="s">
        <v>836</v>
      </c>
      <c r="B1061" s="6" t="s">
        <v>836</v>
      </c>
      <c r="C1061" s="6" t="s">
        <v>837</v>
      </c>
      <c r="D1061" s="6" t="s">
        <v>838</v>
      </c>
      <c r="E1061" s="6" t="e">
        <v>#N/A</v>
      </c>
      <c r="F1061" s="6" t="s">
        <v>839</v>
      </c>
      <c r="G1061" s="6" t="s">
        <v>840</v>
      </c>
      <c r="H1061" s="7" t="s">
        <v>841</v>
      </c>
      <c r="I1061" s="6">
        <v>3.2783881E7</v>
      </c>
      <c r="J1061" s="6" t="s">
        <v>842</v>
      </c>
      <c r="K1061" s="6" t="str">
        <f>VLOOKUP(A1061,Sheet4!$A:$H,7,0)</f>
        <v>Hybrid Latex Mattress</v>
      </c>
      <c r="L1061" s="6" t="str">
        <f>VLOOKUP(B1061,Sheet4!$A:$H,8,0)</f>
        <v>Mattress</v>
      </c>
      <c r="M1061" s="6">
        <v>12899.0</v>
      </c>
      <c r="N1061" s="8">
        <v>10835.0</v>
      </c>
      <c r="O1061" s="9">
        <v>11599.0</v>
      </c>
      <c r="P1061" s="10">
        <v>10319.2</v>
      </c>
    </row>
    <row r="1062">
      <c r="A1062" s="6" t="s">
        <v>843</v>
      </c>
      <c r="B1062" s="6" t="s">
        <v>843</v>
      </c>
      <c r="C1062" s="6" t="s">
        <v>844</v>
      </c>
      <c r="D1062" s="6" t="s">
        <v>845</v>
      </c>
      <c r="E1062" s="6" t="e">
        <v>#N/A</v>
      </c>
      <c r="F1062" s="6">
        <v>0.0</v>
      </c>
      <c r="G1062" s="6" t="s">
        <v>846</v>
      </c>
      <c r="H1062" s="7" t="s">
        <v>847</v>
      </c>
      <c r="I1062" s="6">
        <v>3.2783988E7</v>
      </c>
      <c r="J1062" s="6" t="s">
        <v>848</v>
      </c>
      <c r="K1062" s="6" t="str">
        <f>VLOOKUP(A1062,Sheet4!$A:$H,7,0)</f>
        <v>Hybrid Latex Mattress</v>
      </c>
      <c r="L1062" s="6" t="str">
        <f>VLOOKUP(B1062,Sheet4!$A:$H,8,0)</f>
        <v>Mattress</v>
      </c>
      <c r="M1062" s="6">
        <v>12999.0</v>
      </c>
      <c r="N1062" s="8">
        <v>10919.0</v>
      </c>
      <c r="O1062" s="9">
        <v>11699.0</v>
      </c>
      <c r="P1062" s="10">
        <v>10399.2</v>
      </c>
    </row>
    <row r="1063">
      <c r="A1063" s="6" t="s">
        <v>849</v>
      </c>
      <c r="B1063" s="6" t="s">
        <v>849</v>
      </c>
      <c r="C1063" s="6" t="s">
        <v>850</v>
      </c>
      <c r="D1063" s="6" t="s">
        <v>851</v>
      </c>
      <c r="E1063" s="6" t="e">
        <v>#N/A</v>
      </c>
      <c r="F1063" s="6" t="s">
        <v>852</v>
      </c>
      <c r="G1063" s="6" t="s">
        <v>853</v>
      </c>
      <c r="H1063" s="7" t="s">
        <v>854</v>
      </c>
      <c r="I1063" s="6">
        <v>3.2784224E7</v>
      </c>
      <c r="J1063" s="6" t="s">
        <v>855</v>
      </c>
      <c r="K1063" s="6" t="str">
        <f>VLOOKUP(A1063,Sheet4!$A:$H,7,0)</f>
        <v>Hybrid Latex Mattress</v>
      </c>
      <c r="L1063" s="6" t="str">
        <f>VLOOKUP(B1063,Sheet4!$A:$H,8,0)</f>
        <v>Mattress</v>
      </c>
      <c r="M1063" s="6">
        <v>13399.0</v>
      </c>
      <c r="N1063" s="8">
        <v>11255.0</v>
      </c>
      <c r="O1063" s="9">
        <v>12099.0</v>
      </c>
      <c r="P1063" s="10">
        <v>10719.2</v>
      </c>
    </row>
    <row r="1064">
      <c r="A1064" s="6" t="s">
        <v>856</v>
      </c>
      <c r="B1064" s="6" t="s">
        <v>856</v>
      </c>
      <c r="C1064" s="6" t="s">
        <v>857</v>
      </c>
      <c r="D1064" s="6" t="s">
        <v>858</v>
      </c>
      <c r="E1064" s="6" t="e">
        <v>#N/A</v>
      </c>
      <c r="F1064" s="6">
        <v>0.0</v>
      </c>
      <c r="G1064" s="6" t="s">
        <v>859</v>
      </c>
      <c r="H1064" s="7" t="s">
        <v>860</v>
      </c>
      <c r="I1064" s="6" t="e">
        <v>#N/A</v>
      </c>
      <c r="J1064" s="6" t="e">
        <v>#N/A</v>
      </c>
      <c r="K1064" s="6" t="str">
        <f>VLOOKUP(A1064,Sheet4!$A:$H,7,0)</f>
        <v>Hybrid Latex Mattress</v>
      </c>
      <c r="L1064" s="6" t="str">
        <f>VLOOKUP(B1064,Sheet4!$A:$H,8,0)</f>
        <v>Mattress</v>
      </c>
      <c r="M1064" s="6">
        <v>15499.0</v>
      </c>
      <c r="N1064" s="8">
        <v>13019.0</v>
      </c>
      <c r="O1064" s="9">
        <v>13899.0</v>
      </c>
      <c r="P1064" s="10">
        <v>12399.2</v>
      </c>
    </row>
    <row r="1065">
      <c r="A1065" s="6" t="s">
        <v>861</v>
      </c>
      <c r="B1065" s="6" t="s">
        <v>861</v>
      </c>
      <c r="C1065" s="6" t="s">
        <v>862</v>
      </c>
      <c r="D1065" s="6" t="s">
        <v>863</v>
      </c>
      <c r="E1065" s="6" t="e">
        <v>#N/A</v>
      </c>
      <c r="F1065" s="6" t="s">
        <v>864</v>
      </c>
      <c r="G1065" s="6" t="s">
        <v>865</v>
      </c>
      <c r="H1065" s="7" t="s">
        <v>866</v>
      </c>
      <c r="I1065" s="6">
        <v>3.1999061E7</v>
      </c>
      <c r="J1065" s="6" t="s">
        <v>867</v>
      </c>
      <c r="K1065" s="6" t="str">
        <f>VLOOKUP(A1065,Sheet4!$A:$H,7,0)</f>
        <v>Hybrid Latex Mattress</v>
      </c>
      <c r="L1065" s="6" t="str">
        <f>VLOOKUP(B1065,Sheet4!$A:$H,8,0)</f>
        <v>Mattress</v>
      </c>
      <c r="M1065" s="6">
        <v>16199.0</v>
      </c>
      <c r="N1065" s="8">
        <v>13607.0</v>
      </c>
      <c r="O1065" s="9">
        <v>14599.0</v>
      </c>
      <c r="P1065" s="10">
        <v>12959.2</v>
      </c>
    </row>
    <row r="1066">
      <c r="A1066" s="6" t="s">
        <v>868</v>
      </c>
      <c r="B1066" s="6" t="s">
        <v>868</v>
      </c>
      <c r="C1066" s="6" t="s">
        <v>869</v>
      </c>
      <c r="D1066" s="6" t="s">
        <v>870</v>
      </c>
      <c r="E1066" s="6" t="e">
        <v>#N/A</v>
      </c>
      <c r="F1066" s="6" t="s">
        <v>871</v>
      </c>
      <c r="G1066" s="6" t="s">
        <v>872</v>
      </c>
      <c r="H1066" s="7" t="s">
        <v>873</v>
      </c>
      <c r="I1066" s="6">
        <v>3.1999072E7</v>
      </c>
      <c r="J1066" s="6" t="s">
        <v>874</v>
      </c>
      <c r="K1066" s="6" t="str">
        <f>VLOOKUP(A1066,Sheet4!$A:$H,7,0)</f>
        <v>Hybrid Latex Mattress</v>
      </c>
      <c r="L1066" s="6" t="str">
        <f>VLOOKUP(B1066,Sheet4!$A:$H,8,0)</f>
        <v>Mattress</v>
      </c>
      <c r="M1066" s="6">
        <v>16499.0</v>
      </c>
      <c r="N1066" s="8">
        <v>13859.0</v>
      </c>
      <c r="O1066" s="9">
        <v>14799.0</v>
      </c>
      <c r="P1066" s="10">
        <v>13199.2</v>
      </c>
    </row>
    <row r="1067">
      <c r="A1067" s="6" t="s">
        <v>875</v>
      </c>
      <c r="B1067" s="6" t="s">
        <v>875</v>
      </c>
      <c r="C1067" s="6" t="s">
        <v>876</v>
      </c>
      <c r="D1067" s="6" t="s">
        <v>877</v>
      </c>
      <c r="E1067" s="6" t="e">
        <v>#N/A</v>
      </c>
      <c r="F1067" s="6" t="s">
        <v>878</v>
      </c>
      <c r="G1067" s="6" t="s">
        <v>879</v>
      </c>
      <c r="H1067" s="7" t="s">
        <v>880</v>
      </c>
      <c r="I1067" s="6">
        <v>3.2783944E7</v>
      </c>
      <c r="J1067" s="6" t="s">
        <v>881</v>
      </c>
      <c r="K1067" s="6" t="str">
        <f>VLOOKUP(A1067,Sheet4!$A:$H,7,0)</f>
        <v>Hybrid Latex Mattress</v>
      </c>
      <c r="L1067" s="6" t="str">
        <f>VLOOKUP(B1067,Sheet4!$A:$H,8,0)</f>
        <v>Mattress</v>
      </c>
      <c r="M1067" s="6">
        <v>16899.0</v>
      </c>
      <c r="N1067" s="8">
        <v>14195.0</v>
      </c>
      <c r="O1067" s="9">
        <v>15199.0</v>
      </c>
      <c r="P1067" s="10">
        <v>13519.2</v>
      </c>
    </row>
    <row r="1068">
      <c r="A1068" s="6" t="s">
        <v>882</v>
      </c>
      <c r="B1068" s="6" t="s">
        <v>882</v>
      </c>
      <c r="C1068" s="6" t="s">
        <v>883</v>
      </c>
      <c r="D1068" s="6" t="s">
        <v>884</v>
      </c>
      <c r="E1068" s="6" t="e">
        <v>#N/A</v>
      </c>
      <c r="F1068" s="6">
        <v>0.0</v>
      </c>
      <c r="G1068" s="6" t="s">
        <v>885</v>
      </c>
      <c r="H1068" s="7" t="s">
        <v>886</v>
      </c>
      <c r="I1068" s="6" t="e">
        <v>#N/A</v>
      </c>
      <c r="J1068" s="6" t="e">
        <v>#N/A</v>
      </c>
      <c r="K1068" s="6" t="str">
        <f>VLOOKUP(A1068,Sheet4!$A:$H,7,0)</f>
        <v>Hybrid Latex Mattress</v>
      </c>
      <c r="L1068" s="6" t="str">
        <f>VLOOKUP(B1068,Sheet4!$A:$H,8,0)</f>
        <v>Mattress</v>
      </c>
      <c r="M1068" s="6">
        <v>18999.0</v>
      </c>
      <c r="N1068" s="8">
        <v>15959.0</v>
      </c>
      <c r="O1068" s="9">
        <v>17099.0</v>
      </c>
      <c r="P1068" s="10">
        <v>15199.2</v>
      </c>
    </row>
    <row r="1069">
      <c r="A1069" s="6" t="s">
        <v>887</v>
      </c>
      <c r="B1069" s="6" t="s">
        <v>887</v>
      </c>
      <c r="C1069" s="6" t="s">
        <v>888</v>
      </c>
      <c r="D1069" s="6" t="s">
        <v>889</v>
      </c>
      <c r="E1069" s="6" t="e">
        <v>#N/A</v>
      </c>
      <c r="F1069" s="6">
        <v>0.0</v>
      </c>
      <c r="G1069" s="6" t="s">
        <v>890</v>
      </c>
      <c r="H1069" s="7" t="s">
        <v>891</v>
      </c>
      <c r="I1069" s="6">
        <v>3.199908E7</v>
      </c>
      <c r="J1069" s="6" t="s">
        <v>892</v>
      </c>
      <c r="K1069" s="6" t="str">
        <f>VLOOKUP(A1069,Sheet4!$A:$H,7,0)</f>
        <v>Hybrid Latex Mattress</v>
      </c>
      <c r="L1069" s="6" t="str">
        <f>VLOOKUP(B1069,Sheet4!$A:$H,8,0)</f>
        <v>Mattress</v>
      </c>
      <c r="M1069" s="6">
        <v>13899.0</v>
      </c>
      <c r="N1069" s="8">
        <v>11675.0</v>
      </c>
      <c r="O1069" s="9">
        <v>12499.0</v>
      </c>
      <c r="P1069" s="10">
        <v>11119.2</v>
      </c>
    </row>
    <row r="1070">
      <c r="A1070" s="6" t="s">
        <v>893</v>
      </c>
      <c r="B1070" s="6" t="s">
        <v>893</v>
      </c>
      <c r="C1070" s="6" t="s">
        <v>894</v>
      </c>
      <c r="D1070" s="6" t="s">
        <v>895</v>
      </c>
      <c r="E1070" s="6" t="e">
        <v>#N/A</v>
      </c>
      <c r="F1070" s="6">
        <v>0.0</v>
      </c>
      <c r="G1070" s="6" t="s">
        <v>896</v>
      </c>
      <c r="H1070" s="7" t="s">
        <v>897</v>
      </c>
      <c r="I1070" s="6">
        <v>3.2777943E7</v>
      </c>
      <c r="J1070" s="6" t="s">
        <v>898</v>
      </c>
      <c r="K1070" s="6" t="str">
        <f>VLOOKUP(A1070,Sheet4!$A:$H,7,0)</f>
        <v>Hybrid Latex Mattress</v>
      </c>
      <c r="L1070" s="6" t="str">
        <f>VLOOKUP(B1070,Sheet4!$A:$H,8,0)</f>
        <v>Mattress</v>
      </c>
      <c r="M1070" s="6">
        <v>14199.0</v>
      </c>
      <c r="N1070" s="8">
        <v>11927.0</v>
      </c>
      <c r="O1070" s="9">
        <v>12799.0</v>
      </c>
      <c r="P1070" s="10">
        <v>11359.2</v>
      </c>
    </row>
    <row r="1071">
      <c r="A1071" s="6" t="s">
        <v>899</v>
      </c>
      <c r="B1071" s="6" t="s">
        <v>899</v>
      </c>
      <c r="C1071" s="6" t="s">
        <v>900</v>
      </c>
      <c r="D1071" s="6" t="s">
        <v>901</v>
      </c>
      <c r="E1071" s="6" t="e">
        <v>#N/A</v>
      </c>
      <c r="F1071" s="6">
        <v>0.0</v>
      </c>
      <c r="G1071" s="6" t="s">
        <v>902</v>
      </c>
      <c r="H1071" s="7" t="s">
        <v>903</v>
      </c>
      <c r="I1071" s="6">
        <v>3.2783863E7</v>
      </c>
      <c r="J1071" s="6" t="s">
        <v>904</v>
      </c>
      <c r="K1071" s="6" t="str">
        <f>VLOOKUP(A1071,Sheet4!$A:$H,7,0)</f>
        <v>Hybrid Latex Mattress</v>
      </c>
      <c r="L1071" s="6" t="str">
        <f>VLOOKUP(B1071,Sheet4!$A:$H,8,0)</f>
        <v>Mattress</v>
      </c>
      <c r="M1071" s="6">
        <v>14699.0</v>
      </c>
      <c r="N1071" s="8">
        <v>12347.0</v>
      </c>
      <c r="O1071" s="9">
        <v>13199.0</v>
      </c>
      <c r="P1071" s="10">
        <v>11759.2</v>
      </c>
    </row>
    <row r="1072">
      <c r="A1072" s="6" t="s">
        <v>905</v>
      </c>
      <c r="B1072" s="6" t="s">
        <v>905</v>
      </c>
      <c r="C1072" s="6" t="s">
        <v>906</v>
      </c>
      <c r="D1072" s="6" t="s">
        <v>907</v>
      </c>
      <c r="E1072" s="6" t="e">
        <v>#N/A</v>
      </c>
      <c r="F1072" s="6">
        <v>0.0</v>
      </c>
      <c r="G1072" s="6" t="s">
        <v>908</v>
      </c>
      <c r="H1072" s="7" t="s">
        <v>909</v>
      </c>
      <c r="I1072" s="6" t="e">
        <v>#N/A</v>
      </c>
      <c r="J1072" s="6" t="e">
        <v>#N/A</v>
      </c>
      <c r="K1072" s="6" t="str">
        <f>VLOOKUP(A1072,Sheet4!$A:$H,7,0)</f>
        <v>Hybrid Latex Mattress</v>
      </c>
      <c r="L1072" s="6" t="str">
        <f>VLOOKUP(B1072,Sheet4!$A:$H,8,0)</f>
        <v>Mattress</v>
      </c>
      <c r="M1072" s="6">
        <v>16999.0</v>
      </c>
      <c r="N1072" s="8">
        <v>14279.0</v>
      </c>
      <c r="O1072" s="9">
        <v>15299.0</v>
      </c>
      <c r="P1072" s="10">
        <v>13599.2</v>
      </c>
    </row>
    <row r="1073">
      <c r="A1073" s="6" t="s">
        <v>910</v>
      </c>
      <c r="B1073" s="6" t="s">
        <v>910</v>
      </c>
      <c r="C1073" s="6" t="s">
        <v>911</v>
      </c>
      <c r="D1073" s="6" t="s">
        <v>912</v>
      </c>
      <c r="E1073" s="6" t="e">
        <v>#N/A</v>
      </c>
      <c r="F1073" s="6" t="s">
        <v>913</v>
      </c>
      <c r="G1073" s="6" t="s">
        <v>914</v>
      </c>
      <c r="H1073" s="7" t="s">
        <v>915</v>
      </c>
      <c r="I1073" s="6">
        <v>3.1999088E7</v>
      </c>
      <c r="J1073" s="6" t="s">
        <v>916</v>
      </c>
      <c r="K1073" s="6" t="str">
        <f>VLOOKUP(A1073,Sheet4!$A:$H,7,0)</f>
        <v>Hybrid Latex Mattress</v>
      </c>
      <c r="L1073" s="6" t="str">
        <f>VLOOKUP(B1073,Sheet4!$A:$H,8,0)</f>
        <v>Mattress</v>
      </c>
      <c r="M1073" s="6">
        <v>16999.0</v>
      </c>
      <c r="N1073" s="8">
        <v>14279.0</v>
      </c>
      <c r="O1073" s="9">
        <v>15299.0</v>
      </c>
      <c r="P1073" s="10">
        <v>13599.2</v>
      </c>
    </row>
    <row r="1074">
      <c r="A1074" s="6" t="s">
        <v>917</v>
      </c>
      <c r="B1074" s="6" t="s">
        <v>917</v>
      </c>
      <c r="C1074" s="6" t="s">
        <v>918</v>
      </c>
      <c r="D1074" s="6" t="s">
        <v>919</v>
      </c>
      <c r="E1074" s="6" t="s">
        <v>920</v>
      </c>
      <c r="F1074" s="6" t="s">
        <v>921</v>
      </c>
      <c r="G1074" s="6" t="s">
        <v>922</v>
      </c>
      <c r="H1074" s="7" t="s">
        <v>923</v>
      </c>
      <c r="I1074" s="6">
        <v>3.1999071E7</v>
      </c>
      <c r="J1074" s="6" t="s">
        <v>924</v>
      </c>
      <c r="K1074" s="6" t="str">
        <f>VLOOKUP(A1074,Sheet4!$A:$H,7,0)</f>
        <v>Hybrid Latex Mattress</v>
      </c>
      <c r="L1074" s="6" t="str">
        <f>VLOOKUP(B1074,Sheet4!$A:$H,8,0)</f>
        <v>Mattress</v>
      </c>
      <c r="M1074" s="6">
        <v>17299.0</v>
      </c>
      <c r="N1074" s="8">
        <v>14531.0</v>
      </c>
      <c r="O1074" s="9">
        <v>15599.0</v>
      </c>
      <c r="P1074" s="10">
        <v>13839.2</v>
      </c>
    </row>
    <row r="1075">
      <c r="A1075" s="6" t="s">
        <v>925</v>
      </c>
      <c r="B1075" s="6" t="s">
        <v>925</v>
      </c>
      <c r="C1075" s="6" t="s">
        <v>926</v>
      </c>
      <c r="D1075" s="6" t="s">
        <v>927</v>
      </c>
      <c r="E1075" s="6" t="s">
        <v>928</v>
      </c>
      <c r="F1075" s="6">
        <v>0.0</v>
      </c>
      <c r="G1075" s="6" t="s">
        <v>929</v>
      </c>
      <c r="H1075" s="7" t="s">
        <v>930</v>
      </c>
      <c r="I1075" s="6">
        <v>3.1999057E7</v>
      </c>
      <c r="J1075" s="6" t="s">
        <v>931</v>
      </c>
      <c r="K1075" s="6" t="str">
        <f>VLOOKUP(A1075,Sheet4!$A:$H,7,0)</f>
        <v>Hybrid Latex Mattress</v>
      </c>
      <c r="L1075" s="6" t="str">
        <f>VLOOKUP(B1075,Sheet4!$A:$H,8,0)</f>
        <v>Mattress</v>
      </c>
      <c r="M1075" s="6">
        <v>17799.0</v>
      </c>
      <c r="N1075" s="8">
        <v>14951.0</v>
      </c>
      <c r="O1075" s="9">
        <v>15999.0</v>
      </c>
      <c r="P1075" s="10">
        <v>14239.2</v>
      </c>
    </row>
    <row r="1076">
      <c r="A1076" s="6" t="s">
        <v>932</v>
      </c>
      <c r="B1076" s="6" t="s">
        <v>932</v>
      </c>
      <c r="C1076" s="6" t="s">
        <v>933</v>
      </c>
      <c r="D1076" s="6" t="s">
        <v>934</v>
      </c>
      <c r="E1076" s="6" t="e">
        <v>#N/A</v>
      </c>
      <c r="F1076" s="6">
        <v>0.0</v>
      </c>
      <c r="G1076" s="6" t="s">
        <v>935</v>
      </c>
      <c r="H1076" s="7" t="s">
        <v>936</v>
      </c>
      <c r="I1076" s="6" t="e">
        <v>#N/A</v>
      </c>
      <c r="J1076" s="6" t="e">
        <v>#N/A</v>
      </c>
      <c r="K1076" s="6" t="str">
        <f>VLOOKUP(A1076,Sheet4!$A:$H,7,0)</f>
        <v>Hybrid Latex Mattress</v>
      </c>
      <c r="L1076" s="6" t="str">
        <f>VLOOKUP(B1076,Sheet4!$A:$H,8,0)</f>
        <v>Mattress</v>
      </c>
      <c r="M1076" s="6">
        <v>19999.0</v>
      </c>
      <c r="N1076" s="8">
        <v>16799.0</v>
      </c>
      <c r="O1076" s="9">
        <v>17999.0</v>
      </c>
      <c r="P1076" s="10">
        <v>15999.2</v>
      </c>
    </row>
    <row r="1077">
      <c r="A1077" s="6" t="s">
        <v>937</v>
      </c>
      <c r="B1077" s="6" t="s">
        <v>937</v>
      </c>
      <c r="C1077" s="6" t="s">
        <v>938</v>
      </c>
      <c r="D1077" s="6" t="s">
        <v>939</v>
      </c>
      <c r="E1077" s="6" t="e">
        <v>#N/A</v>
      </c>
      <c r="F1077" s="6">
        <v>0.0</v>
      </c>
      <c r="G1077" s="6" t="s">
        <v>940</v>
      </c>
      <c r="H1077" s="7" t="s">
        <v>941</v>
      </c>
      <c r="I1077" s="6">
        <v>3.1999058E7</v>
      </c>
      <c r="J1077" s="6" t="s">
        <v>942</v>
      </c>
      <c r="K1077" s="6" t="str">
        <f>VLOOKUP(A1077,Sheet4!$A:$H,7,0)</f>
        <v>Hybrid Latex Mattress</v>
      </c>
      <c r="L1077" s="6" t="str">
        <f>VLOOKUP(B1077,Sheet4!$A:$H,8,0)</f>
        <v>Mattress</v>
      </c>
      <c r="M1077" s="6">
        <v>19399.0</v>
      </c>
      <c r="N1077" s="8">
        <v>16295.0</v>
      </c>
      <c r="O1077" s="9">
        <v>17499.0</v>
      </c>
      <c r="P1077" s="10">
        <v>15519.2</v>
      </c>
    </row>
    <row r="1078">
      <c r="A1078" s="6" t="s">
        <v>943</v>
      </c>
      <c r="B1078" s="6" t="s">
        <v>943</v>
      </c>
      <c r="C1078" s="6" t="s">
        <v>944</v>
      </c>
      <c r="D1078" s="6" t="s">
        <v>945</v>
      </c>
      <c r="E1078" s="6" t="e">
        <v>#N/A</v>
      </c>
      <c r="F1078" s="6" t="s">
        <v>946</v>
      </c>
      <c r="G1078" s="6" t="s">
        <v>947</v>
      </c>
      <c r="H1078" s="7" t="s">
        <v>948</v>
      </c>
      <c r="I1078" s="6">
        <v>3.1999084E7</v>
      </c>
      <c r="J1078" s="6" t="s">
        <v>949</v>
      </c>
      <c r="K1078" s="6" t="str">
        <f>VLOOKUP(A1078,Sheet4!$A:$H,7,0)</f>
        <v>Hybrid Latex Mattress</v>
      </c>
      <c r="L1078" s="6" t="str">
        <f>VLOOKUP(B1078,Sheet4!$A:$H,8,0)</f>
        <v>Mattress</v>
      </c>
      <c r="M1078" s="6">
        <v>19799.0</v>
      </c>
      <c r="N1078" s="8">
        <v>16631.0</v>
      </c>
      <c r="O1078" s="9">
        <v>17799.0</v>
      </c>
      <c r="P1078" s="10">
        <v>15839.2</v>
      </c>
    </row>
    <row r="1079">
      <c r="A1079" s="6" t="s">
        <v>950</v>
      </c>
      <c r="B1079" s="6" t="s">
        <v>950</v>
      </c>
      <c r="C1079" s="6" t="s">
        <v>951</v>
      </c>
      <c r="D1079" s="6" t="s">
        <v>952</v>
      </c>
      <c r="E1079" s="6" t="e">
        <v>#N/A</v>
      </c>
      <c r="F1079" s="6" t="s">
        <v>953</v>
      </c>
      <c r="G1079" s="6" t="s">
        <v>954</v>
      </c>
      <c r="H1079" s="7" t="s">
        <v>955</v>
      </c>
      <c r="I1079" s="6">
        <v>3.1999068E7</v>
      </c>
      <c r="J1079" s="6" t="s">
        <v>956</v>
      </c>
      <c r="K1079" s="6" t="str">
        <f>VLOOKUP(A1079,Sheet4!$A:$H,7,0)</f>
        <v>Hybrid Latex Mattress</v>
      </c>
      <c r="L1079" s="6" t="str">
        <f>VLOOKUP(B1079,Sheet4!$A:$H,8,0)</f>
        <v>Mattress</v>
      </c>
      <c r="M1079" s="6">
        <v>20199.0</v>
      </c>
      <c r="N1079" s="8">
        <v>16967.0</v>
      </c>
      <c r="O1079" s="9">
        <v>18199.0</v>
      </c>
      <c r="P1079" s="10">
        <v>16159.2</v>
      </c>
    </row>
    <row r="1080">
      <c r="A1080" s="6" t="s">
        <v>957</v>
      </c>
      <c r="B1080" s="6" t="s">
        <v>957</v>
      </c>
      <c r="C1080" s="6" t="s">
        <v>958</v>
      </c>
      <c r="D1080" s="6" t="s">
        <v>959</v>
      </c>
      <c r="E1080" s="6" t="e">
        <v>#N/A</v>
      </c>
      <c r="F1080" s="6">
        <v>0.0</v>
      </c>
      <c r="G1080" s="6" t="s">
        <v>960</v>
      </c>
      <c r="H1080" s="7" t="s">
        <v>961</v>
      </c>
      <c r="I1080" s="6" t="e">
        <v>#N/A</v>
      </c>
      <c r="J1080" s="6" t="e">
        <v>#N/A</v>
      </c>
      <c r="K1080" s="6" t="str">
        <f>VLOOKUP(A1080,Sheet4!$A:$H,7,0)</f>
        <v>Hybrid Latex Mattress</v>
      </c>
      <c r="L1080" s="6" t="str">
        <f>VLOOKUP(B1080,Sheet4!$A:$H,8,0)</f>
        <v>Mattress</v>
      </c>
      <c r="M1080" s="6">
        <v>22999.0</v>
      </c>
      <c r="N1080" s="8">
        <v>19319.0</v>
      </c>
      <c r="O1080" s="9">
        <v>20699.0</v>
      </c>
      <c r="P1080" s="10">
        <v>18399.2</v>
      </c>
    </row>
    <row r="1081">
      <c r="A1081" s="6" t="s">
        <v>962</v>
      </c>
      <c r="B1081" s="6" t="s">
        <v>962</v>
      </c>
      <c r="C1081" s="6">
        <v>0.0</v>
      </c>
      <c r="D1081" s="6">
        <v>0.0</v>
      </c>
      <c r="E1081" s="6" t="e">
        <v>#N/A</v>
      </c>
      <c r="F1081" s="6">
        <v>0.0</v>
      </c>
      <c r="G1081" s="6" t="s">
        <v>963</v>
      </c>
      <c r="H1081" s="7" t="e">
        <v>#N/A</v>
      </c>
      <c r="I1081" s="6" t="e">
        <v>#N/A</v>
      </c>
      <c r="J1081" s="6" t="e">
        <v>#N/A</v>
      </c>
      <c r="K1081" s="6" t="str">
        <f>VLOOKUP(A1081,Sheet4!$A:$H,7,0)</f>
        <v>Hybrid Latex Mattress</v>
      </c>
      <c r="L1081" s="6" t="str">
        <f>VLOOKUP(B1081,Sheet4!$A:$H,8,0)</f>
        <v>Mattress</v>
      </c>
      <c r="M1081" s="6">
        <v>19999.0</v>
      </c>
      <c r="N1081" s="8">
        <v>16799.0</v>
      </c>
      <c r="O1081" s="9">
        <v>17999.0</v>
      </c>
      <c r="P1081" s="10">
        <v>15999.2</v>
      </c>
    </row>
    <row r="1082">
      <c r="A1082" s="6" t="s">
        <v>964</v>
      </c>
      <c r="B1082" s="6" t="s">
        <v>964</v>
      </c>
      <c r="C1082" s="6" t="s">
        <v>965</v>
      </c>
      <c r="D1082" s="6" t="s">
        <v>966</v>
      </c>
      <c r="E1082" s="6" t="e">
        <v>#N/A</v>
      </c>
      <c r="F1082" s="6">
        <v>0.0</v>
      </c>
      <c r="G1082" s="6" t="s">
        <v>967</v>
      </c>
      <c r="H1082" s="7" t="s">
        <v>968</v>
      </c>
      <c r="I1082" s="6" t="e">
        <v>#N/A</v>
      </c>
      <c r="J1082" s="6" t="e">
        <v>#N/A</v>
      </c>
      <c r="K1082" s="6" t="str">
        <f>VLOOKUP(A1082,Sheet4!$A:$H,7,0)</f>
        <v>Hybrid Latex Mattress</v>
      </c>
      <c r="L1082" s="6" t="str">
        <f>VLOOKUP(B1082,Sheet4!$A:$H,8,0)</f>
        <v>Mattress</v>
      </c>
      <c r="M1082" s="6">
        <v>19999.0</v>
      </c>
      <c r="N1082" s="8">
        <v>16799.0</v>
      </c>
      <c r="O1082" s="9">
        <v>17999.0</v>
      </c>
      <c r="P1082" s="10">
        <v>15999.2</v>
      </c>
    </row>
    <row r="1083">
      <c r="A1083" s="6" t="s">
        <v>969</v>
      </c>
      <c r="B1083" s="6" t="s">
        <v>969</v>
      </c>
      <c r="C1083" s="6" t="s">
        <v>970</v>
      </c>
      <c r="D1083" s="6" t="s">
        <v>971</v>
      </c>
      <c r="E1083" s="6" t="e">
        <v>#N/A</v>
      </c>
      <c r="F1083" s="6" t="s">
        <v>972</v>
      </c>
      <c r="G1083" s="6" t="s">
        <v>973</v>
      </c>
      <c r="H1083" s="7" t="s">
        <v>974</v>
      </c>
      <c r="I1083" s="6" t="e">
        <v>#N/A</v>
      </c>
      <c r="J1083" s="6" t="s">
        <v>975</v>
      </c>
      <c r="K1083" s="6" t="str">
        <f>VLOOKUP(A1083,Sheet4!$A:$H,7,0)</f>
        <v>Hybrid Latex Mattress</v>
      </c>
      <c r="L1083" s="6" t="str">
        <f>VLOOKUP(B1083,Sheet4!$A:$H,8,0)</f>
        <v>Mattress</v>
      </c>
      <c r="M1083" s="6">
        <v>19999.0</v>
      </c>
      <c r="N1083" s="8">
        <v>16799.0</v>
      </c>
      <c r="O1083" s="9">
        <v>17999.0</v>
      </c>
      <c r="P1083" s="10">
        <v>15999.2</v>
      </c>
    </row>
    <row r="1084">
      <c r="A1084" s="6" t="s">
        <v>976</v>
      </c>
      <c r="B1084" s="6" t="s">
        <v>976</v>
      </c>
      <c r="C1084" s="6" t="s">
        <v>977</v>
      </c>
      <c r="D1084" s="6" t="s">
        <v>978</v>
      </c>
      <c r="E1084" s="6" t="e">
        <v>#N/A</v>
      </c>
      <c r="F1084" s="6">
        <v>0.0</v>
      </c>
      <c r="G1084" s="6" t="s">
        <v>979</v>
      </c>
      <c r="H1084" s="7" t="s">
        <v>980</v>
      </c>
      <c r="I1084" s="6" t="e">
        <v>#N/A</v>
      </c>
      <c r="J1084" s="6" t="e">
        <v>#N/A</v>
      </c>
      <c r="K1084" s="6" t="str">
        <f>VLOOKUP(A1084,Sheet4!$A:$H,7,0)</f>
        <v>Hybrid Latex Mattress</v>
      </c>
      <c r="L1084" s="6" t="str">
        <f>VLOOKUP(B1084,Sheet4!$A:$H,8,0)</f>
        <v>Mattress</v>
      </c>
      <c r="M1084" s="6">
        <v>23999.0</v>
      </c>
      <c r="N1084" s="8">
        <v>20159.0</v>
      </c>
      <c r="O1084" s="9">
        <v>21599.0</v>
      </c>
      <c r="P1084" s="10">
        <v>19199.2</v>
      </c>
    </row>
    <row r="1085">
      <c r="A1085" s="6" t="s">
        <v>981</v>
      </c>
      <c r="B1085" s="6" t="s">
        <v>981</v>
      </c>
      <c r="C1085" s="6" t="s">
        <v>982</v>
      </c>
      <c r="D1085" s="6" t="s">
        <v>983</v>
      </c>
      <c r="E1085" s="6" t="e">
        <v>#N/A</v>
      </c>
      <c r="F1085" s="6">
        <v>0.0</v>
      </c>
      <c r="G1085" s="6" t="s">
        <v>984</v>
      </c>
      <c r="H1085" s="7" t="s">
        <v>985</v>
      </c>
      <c r="I1085" s="6" t="e">
        <v>#N/A</v>
      </c>
      <c r="J1085" s="6" t="e">
        <v>#N/A</v>
      </c>
      <c r="K1085" s="6" t="str">
        <f>VLOOKUP(A1085,Sheet4!$A:$H,7,0)</f>
        <v>Hybrid Latex Mattress</v>
      </c>
      <c r="L1085" s="6" t="str">
        <f>VLOOKUP(B1085,Sheet4!$A:$H,8,0)</f>
        <v>Mattress</v>
      </c>
      <c r="M1085" s="6">
        <v>22999.0</v>
      </c>
      <c r="N1085" s="8">
        <v>19319.0</v>
      </c>
      <c r="O1085" s="9">
        <v>20699.0</v>
      </c>
      <c r="P1085" s="10">
        <v>18399.2</v>
      </c>
    </row>
    <row r="1086">
      <c r="A1086" s="6" t="s">
        <v>986</v>
      </c>
      <c r="B1086" s="6" t="s">
        <v>986</v>
      </c>
      <c r="C1086" s="6">
        <v>0.0</v>
      </c>
      <c r="D1086" s="6">
        <v>0.0</v>
      </c>
      <c r="E1086" s="6" t="e">
        <v>#N/A</v>
      </c>
      <c r="F1086" s="6">
        <v>0.0</v>
      </c>
      <c r="G1086" s="6" t="s">
        <v>987</v>
      </c>
      <c r="H1086" s="7" t="e">
        <v>#N/A</v>
      </c>
      <c r="I1086" s="6" t="e">
        <v>#N/A</v>
      </c>
      <c r="J1086" s="6" t="e">
        <v>#N/A</v>
      </c>
      <c r="K1086" s="6" t="str">
        <f>VLOOKUP(A1086,Sheet4!$A:$H,7,0)</f>
        <v>Hybrid Latex Mattress</v>
      </c>
      <c r="L1086" s="6" t="str">
        <f>VLOOKUP(B1086,Sheet4!$A:$H,8,0)</f>
        <v>Mattress</v>
      </c>
      <c r="M1086" s="6">
        <v>22999.0</v>
      </c>
      <c r="N1086" s="8">
        <v>19319.0</v>
      </c>
      <c r="O1086" s="9">
        <v>20699.0</v>
      </c>
      <c r="P1086" s="10">
        <v>18399.2</v>
      </c>
    </row>
    <row r="1087">
      <c r="A1087" s="6" t="s">
        <v>988</v>
      </c>
      <c r="B1087" s="6" t="s">
        <v>988</v>
      </c>
      <c r="C1087" s="6" t="s">
        <v>989</v>
      </c>
      <c r="D1087" s="6" t="s">
        <v>990</v>
      </c>
      <c r="E1087" s="6" t="e">
        <v>#N/A</v>
      </c>
      <c r="F1087" s="6">
        <v>0.0</v>
      </c>
      <c r="G1087" s="6" t="s">
        <v>991</v>
      </c>
      <c r="H1087" s="7" t="s">
        <v>992</v>
      </c>
      <c r="I1087" s="6" t="e">
        <v>#N/A</v>
      </c>
      <c r="J1087" s="6" t="e">
        <v>#N/A</v>
      </c>
      <c r="K1087" s="6" t="str">
        <f>VLOOKUP(A1087,Sheet4!$A:$H,7,0)</f>
        <v>Hybrid Latex Mattress</v>
      </c>
      <c r="L1087" s="6" t="str">
        <f>VLOOKUP(B1087,Sheet4!$A:$H,8,0)</f>
        <v>Mattress</v>
      </c>
      <c r="M1087" s="6">
        <v>22999.0</v>
      </c>
      <c r="N1087" s="8">
        <v>19319.0</v>
      </c>
      <c r="O1087" s="9">
        <v>20699.0</v>
      </c>
      <c r="P1087" s="10">
        <v>18399.2</v>
      </c>
    </row>
    <row r="1088">
      <c r="A1088" s="6" t="s">
        <v>993</v>
      </c>
      <c r="B1088" s="6" t="s">
        <v>993</v>
      </c>
      <c r="C1088" s="6" t="s">
        <v>994</v>
      </c>
      <c r="D1088" s="6" t="s">
        <v>995</v>
      </c>
      <c r="E1088" s="6" t="e">
        <v>#N/A</v>
      </c>
      <c r="F1088" s="6">
        <v>0.0</v>
      </c>
      <c r="G1088" s="6" t="s">
        <v>996</v>
      </c>
      <c r="H1088" s="7" t="s">
        <v>997</v>
      </c>
      <c r="I1088" s="6" t="e">
        <v>#N/A</v>
      </c>
      <c r="J1088" s="6" t="e">
        <v>#N/A</v>
      </c>
      <c r="K1088" s="6" t="str">
        <f>VLOOKUP(A1088,Sheet4!$A:$H,7,0)</f>
        <v>Hybrid Latex Mattress</v>
      </c>
      <c r="L1088" s="6" t="str">
        <f>VLOOKUP(B1088,Sheet4!$A:$H,8,0)</f>
        <v>Mattress</v>
      </c>
      <c r="M1088" s="6">
        <v>26999.0</v>
      </c>
      <c r="N1088" s="8">
        <v>22679.0</v>
      </c>
      <c r="O1088" s="9">
        <v>24299.0</v>
      </c>
      <c r="P1088" s="10">
        <v>21599.2</v>
      </c>
    </row>
    <row r="1089">
      <c r="A1089" s="6" t="s">
        <v>998</v>
      </c>
      <c r="B1089" s="6" t="s">
        <v>998</v>
      </c>
      <c r="C1089" s="6" t="s">
        <v>999</v>
      </c>
      <c r="D1089" s="6" t="s">
        <v>1000</v>
      </c>
      <c r="E1089" s="6" t="e">
        <v>#N/A</v>
      </c>
      <c r="F1089" s="6" t="s">
        <v>1001</v>
      </c>
      <c r="G1089" s="6" t="s">
        <v>1002</v>
      </c>
      <c r="H1089" s="7" t="s">
        <v>1003</v>
      </c>
      <c r="I1089" s="6" t="e">
        <v>#N/A</v>
      </c>
      <c r="J1089" s="6" t="e">
        <v>#N/A</v>
      </c>
      <c r="K1089" s="6" t="str">
        <f>VLOOKUP(A1089,Sheet4!$A:$H,7,0)</f>
        <v>Hybrid Latex Mattress</v>
      </c>
      <c r="L1089" s="6" t="str">
        <f>VLOOKUP(B1089,Sheet4!$A:$H,8,0)</f>
        <v>Mattress</v>
      </c>
      <c r="M1089" s="6">
        <v>19999.0</v>
      </c>
      <c r="N1089" s="8">
        <v>16799.0</v>
      </c>
      <c r="O1089" s="9">
        <v>17999.0</v>
      </c>
      <c r="P1089" s="10">
        <v>15999.2</v>
      </c>
    </row>
    <row r="1090">
      <c r="A1090" s="6" t="s">
        <v>1004</v>
      </c>
      <c r="B1090" s="6" t="s">
        <v>1004</v>
      </c>
      <c r="C1090" s="6" t="s">
        <v>1005</v>
      </c>
      <c r="D1090" s="6" t="s">
        <v>1006</v>
      </c>
      <c r="E1090" s="6" t="e">
        <v>#N/A</v>
      </c>
      <c r="F1090" s="6" t="s">
        <v>1007</v>
      </c>
      <c r="G1090" s="6" t="s">
        <v>1008</v>
      </c>
      <c r="H1090" s="7" t="s">
        <v>1009</v>
      </c>
      <c r="I1090" s="6">
        <v>3.1999075E7</v>
      </c>
      <c r="J1090" s="6" t="s">
        <v>1010</v>
      </c>
      <c r="K1090" s="6" t="str">
        <f>VLOOKUP(A1090,Sheet4!$A:$H,7,0)</f>
        <v>Hybrid Latex Mattress</v>
      </c>
      <c r="L1090" s="6" t="str">
        <f>VLOOKUP(B1090,Sheet4!$A:$H,8,0)</f>
        <v>Mattress</v>
      </c>
      <c r="M1090" s="6">
        <v>19399.0</v>
      </c>
      <c r="N1090" s="8">
        <v>16295.0</v>
      </c>
      <c r="O1090" s="9">
        <v>17499.0</v>
      </c>
      <c r="P1090" s="10">
        <v>15519.2</v>
      </c>
    </row>
    <row r="1091">
      <c r="A1091" s="6" t="s">
        <v>1011</v>
      </c>
      <c r="B1091" s="6" t="s">
        <v>1011</v>
      </c>
      <c r="C1091" s="6" t="s">
        <v>1012</v>
      </c>
      <c r="D1091" s="6" t="s">
        <v>1013</v>
      </c>
      <c r="E1091" s="6" t="e">
        <v>#N/A</v>
      </c>
      <c r="F1091" s="6">
        <v>0.0</v>
      </c>
      <c r="G1091" s="6" t="s">
        <v>1014</v>
      </c>
      <c r="H1091" s="7" t="s">
        <v>1015</v>
      </c>
      <c r="I1091" s="6" t="e">
        <v>#N/A</v>
      </c>
      <c r="J1091" s="6" t="e">
        <v>#N/A</v>
      </c>
      <c r="K1091" s="6" t="str">
        <f>VLOOKUP(A1091,Sheet4!$A:$H,7,0)</f>
        <v>Hybrid Latex Mattress</v>
      </c>
      <c r="L1091" s="6" t="str">
        <f>VLOOKUP(B1091,Sheet4!$A:$H,8,0)</f>
        <v>Mattress</v>
      </c>
      <c r="M1091" s="6">
        <v>19999.0</v>
      </c>
      <c r="N1091" s="8">
        <v>16799.0</v>
      </c>
      <c r="O1091" s="9">
        <v>17999.0</v>
      </c>
      <c r="P1091" s="10">
        <v>15999.2</v>
      </c>
    </row>
    <row r="1092">
      <c r="A1092" s="6" t="s">
        <v>1016</v>
      </c>
      <c r="B1092" s="6" t="s">
        <v>1016</v>
      </c>
      <c r="C1092" s="6" t="s">
        <v>1017</v>
      </c>
      <c r="D1092" s="6" t="s">
        <v>1018</v>
      </c>
      <c r="E1092" s="6" t="e">
        <v>#N/A</v>
      </c>
      <c r="F1092" s="6">
        <v>0.0</v>
      </c>
      <c r="G1092" s="6" t="s">
        <v>1019</v>
      </c>
      <c r="H1092" s="7" t="s">
        <v>1020</v>
      </c>
      <c r="I1092" s="6">
        <v>3.1999065E7</v>
      </c>
      <c r="J1092" s="6" t="s">
        <v>1021</v>
      </c>
      <c r="K1092" s="6" t="str">
        <f>VLOOKUP(A1092,Sheet4!$A:$H,7,0)</f>
        <v>Hybrid Latex Mattress</v>
      </c>
      <c r="L1092" s="6" t="str">
        <f>VLOOKUP(B1092,Sheet4!$A:$H,8,0)</f>
        <v>Mattress</v>
      </c>
      <c r="M1092" s="6">
        <v>19999.0</v>
      </c>
      <c r="N1092" s="8">
        <v>16799.0</v>
      </c>
      <c r="O1092" s="9">
        <v>17999.0</v>
      </c>
      <c r="P1092" s="10">
        <v>15999.2</v>
      </c>
    </row>
    <row r="1093">
      <c r="A1093" s="6" t="s">
        <v>1022</v>
      </c>
      <c r="B1093" s="6" t="s">
        <v>1022</v>
      </c>
      <c r="C1093" s="6" t="s">
        <v>1023</v>
      </c>
      <c r="D1093" s="6" t="s">
        <v>1024</v>
      </c>
      <c r="E1093" s="6" t="e">
        <v>#N/A</v>
      </c>
      <c r="F1093" s="6">
        <v>0.0</v>
      </c>
      <c r="G1093" s="6" t="s">
        <v>1025</v>
      </c>
      <c r="H1093" s="7" t="s">
        <v>1026</v>
      </c>
      <c r="I1093" s="6" t="e">
        <v>#N/A</v>
      </c>
      <c r="J1093" s="6" t="e">
        <v>#N/A</v>
      </c>
      <c r="K1093" s="6" t="str">
        <f>VLOOKUP(A1093,Sheet4!$A:$H,7,0)</f>
        <v>Hybrid Latex Mattress</v>
      </c>
      <c r="L1093" s="6" t="str">
        <f>VLOOKUP(B1093,Sheet4!$A:$H,8,0)</f>
        <v>Mattress</v>
      </c>
      <c r="M1093" s="6">
        <v>19999.0</v>
      </c>
      <c r="N1093" s="8">
        <v>16799.0</v>
      </c>
      <c r="O1093" s="9">
        <v>17999.0</v>
      </c>
      <c r="P1093" s="10">
        <v>15999.2</v>
      </c>
    </row>
    <row r="1094">
      <c r="A1094" s="6" t="s">
        <v>1027</v>
      </c>
      <c r="B1094" s="6" t="s">
        <v>1027</v>
      </c>
      <c r="C1094" s="6" t="s">
        <v>1028</v>
      </c>
      <c r="D1094" s="6" t="s">
        <v>1029</v>
      </c>
      <c r="E1094" s="6" t="e">
        <v>#N/A</v>
      </c>
      <c r="F1094" s="6" t="s">
        <v>1030</v>
      </c>
      <c r="G1094" s="6" t="s">
        <v>1031</v>
      </c>
      <c r="H1094" s="7" t="s">
        <v>1032</v>
      </c>
      <c r="I1094" s="6">
        <v>3.1999063E7</v>
      </c>
      <c r="J1094" s="6" t="s">
        <v>1033</v>
      </c>
      <c r="K1094" s="6" t="str">
        <f>VLOOKUP(A1094,Sheet4!$A:$H,7,0)</f>
        <v>Hybrid Latex Mattress</v>
      </c>
      <c r="L1094" s="6" t="str">
        <f>VLOOKUP(B1094,Sheet4!$A:$H,8,0)</f>
        <v>Mattress</v>
      </c>
      <c r="M1094" s="6">
        <v>20699.0</v>
      </c>
      <c r="N1094" s="8">
        <v>17387.0</v>
      </c>
      <c r="O1094" s="9">
        <v>18599.0</v>
      </c>
      <c r="P1094" s="10">
        <v>16559.2</v>
      </c>
    </row>
    <row r="1095">
      <c r="A1095" s="6" t="s">
        <v>1034</v>
      </c>
      <c r="B1095" s="6" t="s">
        <v>1034</v>
      </c>
      <c r="C1095" s="6" t="s">
        <v>1035</v>
      </c>
      <c r="D1095" s="6" t="s">
        <v>1036</v>
      </c>
      <c r="E1095" s="6" t="e">
        <v>#N/A</v>
      </c>
      <c r="F1095" s="6">
        <v>0.0</v>
      </c>
      <c r="G1095" s="6">
        <v>0.0</v>
      </c>
      <c r="H1095" s="7" t="s">
        <v>1037</v>
      </c>
      <c r="I1095" s="6">
        <v>3.2783782E7</v>
      </c>
      <c r="J1095" s="6" t="e">
        <v>#N/A</v>
      </c>
      <c r="K1095" s="6" t="str">
        <f>VLOOKUP(A1095,Sheet4!$A:$H,7,0)</f>
        <v>Hybrid Latex Mattress</v>
      </c>
      <c r="L1095" s="6" t="str">
        <f>VLOOKUP(B1095,Sheet4!$A:$H,8,0)</f>
        <v>Mattress</v>
      </c>
      <c r="M1095" s="6">
        <v>22999.0</v>
      </c>
      <c r="N1095" s="8">
        <v>19319.0</v>
      </c>
      <c r="O1095" s="9">
        <v>20699.0</v>
      </c>
      <c r="P1095" s="10">
        <v>18399.2</v>
      </c>
    </row>
    <row r="1096">
      <c r="A1096" s="6" t="s">
        <v>1038</v>
      </c>
      <c r="B1096" s="6" t="s">
        <v>1038</v>
      </c>
      <c r="C1096" s="6" t="s">
        <v>1039</v>
      </c>
      <c r="D1096" s="6" t="s">
        <v>1040</v>
      </c>
      <c r="E1096" s="6" t="e">
        <v>#N/A</v>
      </c>
      <c r="F1096" s="6">
        <v>0.0</v>
      </c>
      <c r="G1096" s="6">
        <v>0.0</v>
      </c>
      <c r="H1096" s="7" t="s">
        <v>1041</v>
      </c>
      <c r="I1096" s="6">
        <v>3.2784201E7</v>
      </c>
      <c r="J1096" s="6" t="e">
        <v>#N/A</v>
      </c>
      <c r="K1096" s="6" t="str">
        <f>VLOOKUP(A1096,Sheet4!$A:$H,7,0)</f>
        <v>Hybrid Latex Mattress</v>
      </c>
      <c r="L1096" s="6" t="str">
        <f>VLOOKUP(B1096,Sheet4!$A:$H,8,0)</f>
        <v>Mattress</v>
      </c>
      <c r="M1096" s="6">
        <v>25999.0</v>
      </c>
      <c r="N1096" s="8">
        <v>21839.0</v>
      </c>
      <c r="O1096" s="9">
        <v>23399.0</v>
      </c>
      <c r="P1096" s="10">
        <v>20799.2</v>
      </c>
    </row>
    <row r="1097">
      <c r="A1097" s="6" t="s">
        <v>1042</v>
      </c>
      <c r="B1097" s="6" t="s">
        <v>1042</v>
      </c>
      <c r="C1097" s="6" t="s">
        <v>1043</v>
      </c>
      <c r="D1097" s="6" t="s">
        <v>1044</v>
      </c>
      <c r="E1097" s="6" t="e">
        <v>#N/A</v>
      </c>
      <c r="F1097" s="6">
        <v>0.0</v>
      </c>
      <c r="G1097" s="6" t="s">
        <v>1045</v>
      </c>
      <c r="H1097" s="7" t="s">
        <v>1046</v>
      </c>
      <c r="I1097" s="6" t="e">
        <v>#N/A</v>
      </c>
      <c r="J1097" s="6" t="e">
        <v>#N/A</v>
      </c>
      <c r="K1097" s="6" t="str">
        <f>VLOOKUP(A1097,Sheet4!$A:$H,7,0)</f>
        <v>Hybrid Latex Mattress</v>
      </c>
      <c r="L1097" s="6" t="str">
        <f>VLOOKUP(B1097,Sheet4!$A:$H,8,0)</f>
        <v>Mattress</v>
      </c>
      <c r="M1097" s="6">
        <v>22999.0</v>
      </c>
      <c r="N1097" s="8">
        <v>19319.0</v>
      </c>
      <c r="O1097" s="9">
        <v>20699.0</v>
      </c>
      <c r="P1097" s="10">
        <v>18399.2</v>
      </c>
    </row>
    <row r="1098">
      <c r="A1098" s="6" t="s">
        <v>1047</v>
      </c>
      <c r="B1098" s="6" t="s">
        <v>1047</v>
      </c>
      <c r="C1098" s="6" t="s">
        <v>1048</v>
      </c>
      <c r="D1098" s="6" t="s">
        <v>1049</v>
      </c>
      <c r="E1098" s="6" t="e">
        <v>#N/A</v>
      </c>
      <c r="F1098" s="6">
        <v>0.0</v>
      </c>
      <c r="G1098" s="6" t="s">
        <v>1050</v>
      </c>
      <c r="H1098" s="7" t="s">
        <v>1051</v>
      </c>
      <c r="I1098" s="6">
        <v>3.1999062E7</v>
      </c>
      <c r="J1098" s="6" t="s">
        <v>1052</v>
      </c>
      <c r="K1098" s="6" t="str">
        <f>VLOOKUP(A1098,Sheet4!$A:$H,7,0)</f>
        <v>Hybrid Latex Mattress</v>
      </c>
      <c r="L1098" s="6" t="str">
        <f>VLOOKUP(B1098,Sheet4!$A:$H,8,0)</f>
        <v>Mattress</v>
      </c>
      <c r="M1098" s="6">
        <v>22699.0</v>
      </c>
      <c r="N1098" s="8">
        <v>19067.0</v>
      </c>
      <c r="O1098" s="9">
        <v>20399.0</v>
      </c>
      <c r="P1098" s="10">
        <v>18159.2</v>
      </c>
    </row>
    <row r="1099">
      <c r="A1099" s="6" t="s">
        <v>1053</v>
      </c>
      <c r="B1099" s="6" t="s">
        <v>1053</v>
      </c>
      <c r="C1099" s="6" t="s">
        <v>1054</v>
      </c>
      <c r="D1099" s="6" t="s">
        <v>1055</v>
      </c>
      <c r="E1099" s="6" t="e">
        <v>#N/A</v>
      </c>
      <c r="F1099" s="6">
        <v>0.0</v>
      </c>
      <c r="G1099" s="6" t="s">
        <v>1056</v>
      </c>
      <c r="H1099" s="7" t="s">
        <v>1057</v>
      </c>
      <c r="I1099" s="6" t="e">
        <v>#N/A</v>
      </c>
      <c r="J1099" s="6" t="e">
        <v>#N/A</v>
      </c>
      <c r="K1099" s="6" t="str">
        <f>VLOOKUP(A1099,Sheet4!$A:$H,7,0)</f>
        <v>Hybrid Latex Mattress</v>
      </c>
      <c r="L1099" s="6" t="str">
        <f>VLOOKUP(B1099,Sheet4!$A:$H,8,0)</f>
        <v>Mattress</v>
      </c>
      <c r="M1099" s="6">
        <v>22999.0</v>
      </c>
      <c r="N1099" s="8">
        <v>19319.0</v>
      </c>
      <c r="O1099" s="9">
        <v>20699.0</v>
      </c>
      <c r="P1099" s="10">
        <v>18399.2</v>
      </c>
    </row>
    <row r="1100">
      <c r="A1100" s="6" t="s">
        <v>1058</v>
      </c>
      <c r="B1100" s="6" t="s">
        <v>1058</v>
      </c>
      <c r="C1100" s="6" t="s">
        <v>1059</v>
      </c>
      <c r="D1100" s="6" t="s">
        <v>1060</v>
      </c>
      <c r="E1100" s="6" t="e">
        <v>#N/A</v>
      </c>
      <c r="F1100" s="6" t="s">
        <v>1061</v>
      </c>
      <c r="G1100" s="6" t="s">
        <v>1062</v>
      </c>
      <c r="H1100" s="7" t="s">
        <v>1063</v>
      </c>
      <c r="I1100" s="6">
        <v>3.1999089E7</v>
      </c>
      <c r="J1100" s="6" t="s">
        <v>1064</v>
      </c>
      <c r="K1100" s="6" t="str">
        <f>VLOOKUP(A1100,Sheet4!$A:$H,7,0)</f>
        <v>Hybrid Latex Mattress</v>
      </c>
      <c r="L1100" s="6" t="str">
        <f>VLOOKUP(B1100,Sheet4!$A:$H,8,0)</f>
        <v>Mattress</v>
      </c>
      <c r="M1100" s="6">
        <v>23199.0</v>
      </c>
      <c r="N1100" s="8">
        <v>19487.0</v>
      </c>
      <c r="O1100" s="9">
        <v>20899.0</v>
      </c>
      <c r="P1100" s="10">
        <v>18559.2</v>
      </c>
    </row>
    <row r="1101">
      <c r="A1101" s="6" t="s">
        <v>1065</v>
      </c>
      <c r="B1101" s="6" t="s">
        <v>1065</v>
      </c>
      <c r="C1101" s="6" t="s">
        <v>1066</v>
      </c>
      <c r="D1101" s="6" t="s">
        <v>1067</v>
      </c>
      <c r="E1101" s="6" t="e">
        <v>#N/A</v>
      </c>
      <c r="F1101" s="6">
        <v>0.0</v>
      </c>
      <c r="G1101" s="6" t="s">
        <v>1068</v>
      </c>
      <c r="H1101" s="7" t="s">
        <v>1069</v>
      </c>
      <c r="I1101" s="6" t="e">
        <v>#N/A</v>
      </c>
      <c r="J1101" s="6" t="e">
        <v>#N/A</v>
      </c>
      <c r="K1101" s="6" t="str">
        <f>VLOOKUP(A1101,Sheet4!$A:$H,7,0)</f>
        <v>Hybrid Latex Mattress</v>
      </c>
      <c r="L1101" s="6" t="str">
        <f>VLOOKUP(B1101,Sheet4!$A:$H,8,0)</f>
        <v>Mattress</v>
      </c>
      <c r="M1101" s="6">
        <v>22999.0</v>
      </c>
      <c r="N1101" s="8">
        <v>19319.0</v>
      </c>
      <c r="O1101" s="9">
        <v>20699.0</v>
      </c>
      <c r="P1101" s="10">
        <v>18399.2</v>
      </c>
    </row>
    <row r="1102">
      <c r="A1102" s="6" t="s">
        <v>1070</v>
      </c>
      <c r="B1102" s="6" t="s">
        <v>1070</v>
      </c>
      <c r="C1102" s="6" t="s">
        <v>1071</v>
      </c>
      <c r="D1102" s="6" t="s">
        <v>1072</v>
      </c>
      <c r="E1102" s="6" t="s">
        <v>1073</v>
      </c>
      <c r="F1102" s="6" t="s">
        <v>1074</v>
      </c>
      <c r="G1102" s="6" t="s">
        <v>1075</v>
      </c>
      <c r="H1102" s="7" t="s">
        <v>1076</v>
      </c>
      <c r="I1102" s="6">
        <v>3.1999066E7</v>
      </c>
      <c r="J1102" s="6" t="s">
        <v>1077</v>
      </c>
      <c r="K1102" s="6" t="str">
        <f>VLOOKUP(A1102,Sheet4!$A:$H,7,0)</f>
        <v>Hybrid Latex Mattress</v>
      </c>
      <c r="L1102" s="6" t="str">
        <f>VLOOKUP(B1102,Sheet4!$A:$H,8,0)</f>
        <v>Mattress</v>
      </c>
      <c r="M1102" s="6">
        <v>23799.0</v>
      </c>
      <c r="N1102" s="8">
        <v>19991.0</v>
      </c>
      <c r="O1102" s="9">
        <v>21399.0</v>
      </c>
      <c r="P1102" s="10">
        <v>19039.2</v>
      </c>
    </row>
    <row r="1103">
      <c r="A1103" s="6" t="s">
        <v>1078</v>
      </c>
      <c r="B1103" s="6" t="s">
        <v>1078</v>
      </c>
      <c r="C1103" s="6" t="s">
        <v>1079</v>
      </c>
      <c r="D1103" s="6" t="s">
        <v>1080</v>
      </c>
      <c r="E1103" s="6" t="e">
        <v>#N/A</v>
      </c>
      <c r="F1103" s="6">
        <v>0.0</v>
      </c>
      <c r="G1103" s="6" t="s">
        <v>1081</v>
      </c>
      <c r="H1103" s="7" t="s">
        <v>1082</v>
      </c>
      <c r="I1103" s="6">
        <v>3.2784071E7</v>
      </c>
      <c r="J1103" s="6" t="e">
        <v>#N/A</v>
      </c>
      <c r="K1103" s="6" t="str">
        <f>VLOOKUP(A1103,Sheet4!$A:$H,7,0)</f>
        <v>Hybrid Latex Mattress</v>
      </c>
      <c r="L1103" s="6" t="str">
        <f>VLOOKUP(B1103,Sheet4!$A:$H,8,0)</f>
        <v>Mattress</v>
      </c>
      <c r="M1103" s="6">
        <v>26999.0</v>
      </c>
      <c r="N1103" s="8">
        <v>22679.0</v>
      </c>
      <c r="O1103" s="9">
        <v>24299.0</v>
      </c>
      <c r="P1103" s="10">
        <v>21599.2</v>
      </c>
    </row>
    <row r="1104">
      <c r="A1104" s="6" t="s">
        <v>1083</v>
      </c>
      <c r="B1104" s="6" t="s">
        <v>1083</v>
      </c>
      <c r="C1104" s="6" t="s">
        <v>1084</v>
      </c>
      <c r="D1104" s="6" t="s">
        <v>1085</v>
      </c>
      <c r="E1104" s="6" t="e">
        <v>#N/A</v>
      </c>
      <c r="F1104" s="6">
        <v>0.0</v>
      </c>
      <c r="G1104" s="6">
        <v>0.0</v>
      </c>
      <c r="H1104" s="7" t="s">
        <v>1086</v>
      </c>
      <c r="I1104" s="6">
        <v>3.2784095E7</v>
      </c>
      <c r="J1104" s="6" t="e">
        <v>#N/A</v>
      </c>
      <c r="K1104" s="6" t="str">
        <f>VLOOKUP(A1104,Sheet4!$A:$H,7,0)</f>
        <v>Hybrid Latex Mattress</v>
      </c>
      <c r="L1104" s="6" t="str">
        <f>VLOOKUP(B1104,Sheet4!$A:$H,8,0)</f>
        <v>Mattress</v>
      </c>
      <c r="M1104" s="6">
        <v>28999.0</v>
      </c>
      <c r="N1104" s="8">
        <v>24359.0</v>
      </c>
      <c r="O1104" s="9">
        <v>26099.0</v>
      </c>
      <c r="P1104" s="10">
        <v>23199.2</v>
      </c>
    </row>
    <row r="1105">
      <c r="A1105" s="6" t="s">
        <v>4674</v>
      </c>
      <c r="B1105" s="6" t="s">
        <v>4674</v>
      </c>
      <c r="C1105" s="6" t="s">
        <v>4675</v>
      </c>
      <c r="D1105" s="6" t="s">
        <v>4676</v>
      </c>
      <c r="E1105" s="6" t="e">
        <v>#N/A</v>
      </c>
      <c r="F1105" s="6">
        <v>0.0</v>
      </c>
      <c r="G1105" s="6">
        <v>0.0</v>
      </c>
      <c r="H1105" s="7" t="s">
        <v>4677</v>
      </c>
      <c r="I1105" s="6" t="e">
        <v>#N/A</v>
      </c>
      <c r="J1105" s="6" t="e">
        <v>#N/A</v>
      </c>
      <c r="K1105" s="6" t="str">
        <f>VLOOKUP(A1105,Sheet4!$A:$H,7,0)</f>
        <v>Mobility</v>
      </c>
      <c r="L1105" s="6" t="str">
        <f>VLOOKUP(B1105,Sheet4!$A:$H,8,0)</f>
        <v>Mobility</v>
      </c>
      <c r="M1105" s="6">
        <v>1299.0</v>
      </c>
      <c r="N1105" s="8">
        <v>999.0</v>
      </c>
      <c r="O1105" s="10">
        <v>999.0</v>
      </c>
      <c r="P1105" s="10">
        <v>974.25</v>
      </c>
    </row>
    <row r="1106">
      <c r="A1106" s="6" t="s">
        <v>4678</v>
      </c>
      <c r="B1106" s="6" t="s">
        <v>4678</v>
      </c>
      <c r="C1106" s="6" t="s">
        <v>4679</v>
      </c>
      <c r="D1106" s="6" t="s">
        <v>4680</v>
      </c>
      <c r="E1106" s="6" t="e">
        <v>#N/A</v>
      </c>
      <c r="F1106" s="6">
        <v>0.0</v>
      </c>
      <c r="G1106" s="6">
        <v>0.0</v>
      </c>
      <c r="H1106" s="7" t="s">
        <v>4681</v>
      </c>
      <c r="I1106" s="6" t="e">
        <v>#N/A</v>
      </c>
      <c r="J1106" s="6" t="e">
        <v>#N/A</v>
      </c>
      <c r="K1106" s="6" t="str">
        <f>VLOOKUP(A1106,Sheet4!$A:$H,7,0)</f>
        <v>Mobility</v>
      </c>
      <c r="L1106" s="6" t="str">
        <f>VLOOKUP(B1106,Sheet4!$A:$H,8,0)</f>
        <v>Mobility</v>
      </c>
      <c r="M1106" s="6">
        <v>1299.0</v>
      </c>
      <c r="N1106" s="8">
        <v>999.0</v>
      </c>
      <c r="O1106" s="10">
        <v>999.0</v>
      </c>
      <c r="P1106" s="10">
        <v>974.25</v>
      </c>
    </row>
    <row r="1107">
      <c r="A1107" s="6" t="s">
        <v>4682</v>
      </c>
      <c r="B1107" s="6" t="s">
        <v>4682</v>
      </c>
      <c r="C1107" s="6" t="e">
        <v>#N/A</v>
      </c>
      <c r="D1107" s="6" t="e">
        <v>#N/A</v>
      </c>
      <c r="E1107" s="6" t="e">
        <v>#N/A</v>
      </c>
      <c r="F1107" s="6" t="e">
        <v>#N/A</v>
      </c>
      <c r="G1107" s="6">
        <v>0.0</v>
      </c>
      <c r="H1107" s="7" t="e">
        <v>#N/A</v>
      </c>
      <c r="I1107" s="6" t="e">
        <v>#N/A</v>
      </c>
      <c r="J1107" s="6" t="e">
        <v>#N/A</v>
      </c>
      <c r="K1107" s="6" t="str">
        <f>VLOOKUP(A1107,Sheet4!$A:$H,7,0)</f>
        <v>#N/A</v>
      </c>
      <c r="L1107" s="6" t="str">
        <f>VLOOKUP(B1107,Sheet4!$A:$H,8,0)</f>
        <v>#N/A</v>
      </c>
      <c r="M1107" s="6" t="str">
        <f t="shared" ref="M1107:M1154" si="16">VLOOKUP(A1107,#REF!,2,FALSE)</f>
        <v>#REF!</v>
      </c>
      <c r="N1107" s="6" t="str">
        <f>VLOOKUP(A1107, Sheet2!A:M, 3, FALSE)</f>
        <v>#N/A</v>
      </c>
      <c r="O1107" s="10" t="e">
        <v>#N/A</v>
      </c>
      <c r="P1107" s="10" t="e">
        <v>#N/A</v>
      </c>
    </row>
    <row r="1108">
      <c r="A1108" s="6" t="s">
        <v>4683</v>
      </c>
      <c r="B1108" s="6" t="s">
        <v>4683</v>
      </c>
      <c r="C1108" s="6" t="e">
        <v>#N/A</v>
      </c>
      <c r="D1108" s="6" t="e">
        <v>#N/A</v>
      </c>
      <c r="E1108" s="6" t="e">
        <v>#N/A</v>
      </c>
      <c r="F1108" s="6" t="e">
        <v>#N/A</v>
      </c>
      <c r="G1108" s="6">
        <v>0.0</v>
      </c>
      <c r="H1108" s="7" t="e">
        <v>#N/A</v>
      </c>
      <c r="I1108" s="6" t="e">
        <v>#N/A</v>
      </c>
      <c r="J1108" s="6" t="e">
        <v>#N/A</v>
      </c>
      <c r="K1108" s="6" t="str">
        <f>VLOOKUP(A1108,Sheet4!$A:$H,7,0)</f>
        <v>#N/A</v>
      </c>
      <c r="L1108" s="6" t="str">
        <f>VLOOKUP(B1108,Sheet4!$A:$H,8,0)</f>
        <v>#N/A</v>
      </c>
      <c r="M1108" s="6" t="str">
        <f t="shared" si="16"/>
        <v>#REF!</v>
      </c>
      <c r="N1108" s="6" t="str">
        <f>VLOOKUP(A1108, Sheet2!A:M, 3, FALSE)</f>
        <v>#N/A</v>
      </c>
      <c r="O1108" s="10" t="e">
        <v>#N/A</v>
      </c>
      <c r="P1108" s="10" t="e">
        <v>#N/A</v>
      </c>
    </row>
    <row r="1109">
      <c r="A1109" s="6" t="s">
        <v>4684</v>
      </c>
      <c r="B1109" s="6" t="s">
        <v>4684</v>
      </c>
      <c r="C1109" s="6" t="e">
        <v>#N/A</v>
      </c>
      <c r="D1109" s="6" t="e">
        <v>#N/A</v>
      </c>
      <c r="E1109" s="6" t="e">
        <v>#N/A</v>
      </c>
      <c r="F1109" s="6" t="e">
        <v>#N/A</v>
      </c>
      <c r="G1109" s="6">
        <v>0.0</v>
      </c>
      <c r="H1109" s="7" t="e">
        <v>#N/A</v>
      </c>
      <c r="I1109" s="6" t="e">
        <v>#N/A</v>
      </c>
      <c r="J1109" s="6" t="e">
        <v>#N/A</v>
      </c>
      <c r="K1109" s="6" t="str">
        <f>VLOOKUP(A1109,Sheet4!$A:$H,7,0)</f>
        <v>#N/A</v>
      </c>
      <c r="L1109" s="6" t="str">
        <f>VLOOKUP(B1109,Sheet4!$A:$H,8,0)</f>
        <v>#N/A</v>
      </c>
      <c r="M1109" s="6" t="str">
        <f t="shared" si="16"/>
        <v>#REF!</v>
      </c>
      <c r="N1109" s="6" t="str">
        <f>VLOOKUP(A1109, Sheet2!A:M, 3, FALSE)</f>
        <v>#N/A</v>
      </c>
      <c r="O1109" s="10" t="e">
        <v>#N/A</v>
      </c>
      <c r="P1109" s="10" t="e">
        <v>#N/A</v>
      </c>
    </row>
    <row r="1110">
      <c r="A1110" s="6" t="s">
        <v>4685</v>
      </c>
      <c r="B1110" s="6" t="s">
        <v>4685</v>
      </c>
      <c r="C1110" s="6" t="e">
        <v>#N/A</v>
      </c>
      <c r="D1110" s="6" t="e">
        <v>#N/A</v>
      </c>
      <c r="E1110" s="6" t="e">
        <v>#N/A</v>
      </c>
      <c r="F1110" s="6" t="e">
        <v>#N/A</v>
      </c>
      <c r="G1110" s="6">
        <v>0.0</v>
      </c>
      <c r="H1110" s="7" t="e">
        <v>#N/A</v>
      </c>
      <c r="I1110" s="6" t="e">
        <v>#N/A</v>
      </c>
      <c r="J1110" s="6" t="e">
        <v>#N/A</v>
      </c>
      <c r="K1110" s="6" t="str">
        <f>VLOOKUP(A1110,Sheet4!$A:$H,7,0)</f>
        <v>#N/A</v>
      </c>
      <c r="L1110" s="6" t="str">
        <f>VLOOKUP(B1110,Sheet4!$A:$H,8,0)</f>
        <v>#N/A</v>
      </c>
      <c r="M1110" s="6" t="str">
        <f t="shared" si="16"/>
        <v>#REF!</v>
      </c>
      <c r="N1110" s="6" t="str">
        <f>VLOOKUP(A1110, Sheet2!A:M, 3, FALSE)</f>
        <v>#N/A</v>
      </c>
      <c r="O1110" s="10" t="e">
        <v>#N/A</v>
      </c>
      <c r="P1110" s="10" t="e">
        <v>#N/A</v>
      </c>
    </row>
    <row r="1111">
      <c r="A1111" s="6" t="s">
        <v>4686</v>
      </c>
      <c r="B1111" s="6" t="s">
        <v>4686</v>
      </c>
      <c r="C1111" s="6" t="e">
        <v>#N/A</v>
      </c>
      <c r="D1111" s="6" t="e">
        <v>#N/A</v>
      </c>
      <c r="E1111" s="6" t="e">
        <v>#N/A</v>
      </c>
      <c r="F1111" s="6" t="e">
        <v>#N/A</v>
      </c>
      <c r="G1111" s="6">
        <v>0.0</v>
      </c>
      <c r="H1111" s="7" t="e">
        <v>#N/A</v>
      </c>
      <c r="I1111" s="6" t="e">
        <v>#N/A</v>
      </c>
      <c r="J1111" s="6" t="e">
        <v>#N/A</v>
      </c>
      <c r="K1111" s="6" t="str">
        <f>VLOOKUP(A1111,Sheet4!$A:$H,7,0)</f>
        <v>#N/A</v>
      </c>
      <c r="L1111" s="6" t="str">
        <f>VLOOKUP(B1111,Sheet4!$A:$H,8,0)</f>
        <v>#N/A</v>
      </c>
      <c r="M1111" s="6" t="str">
        <f t="shared" si="16"/>
        <v>#REF!</v>
      </c>
      <c r="N1111" s="6" t="str">
        <f>VLOOKUP(A1111, Sheet2!A:M, 3, FALSE)</f>
        <v>#N/A</v>
      </c>
      <c r="O1111" s="10" t="e">
        <v>#N/A</v>
      </c>
      <c r="P1111" s="10" t="e">
        <v>#N/A</v>
      </c>
    </row>
    <row r="1112">
      <c r="A1112" s="6" t="s">
        <v>4687</v>
      </c>
      <c r="B1112" s="6" t="s">
        <v>4687</v>
      </c>
      <c r="C1112" s="6" t="s">
        <v>4688</v>
      </c>
      <c r="D1112" s="6" t="s">
        <v>4689</v>
      </c>
      <c r="E1112" s="6" t="e">
        <v>#N/A</v>
      </c>
      <c r="F1112" s="6" t="s">
        <v>2368</v>
      </c>
      <c r="G1112" s="6" t="s">
        <v>4690</v>
      </c>
      <c r="H1112" s="7" t="s">
        <v>4691</v>
      </c>
      <c r="I1112" s="6">
        <v>3.1629884E7</v>
      </c>
      <c r="J1112" s="6" t="s">
        <v>4692</v>
      </c>
      <c r="K1112" s="11" t="s">
        <v>4693</v>
      </c>
      <c r="L1112" s="11" t="s">
        <v>1145</v>
      </c>
      <c r="M1112" s="6" t="str">
        <f t="shared" si="16"/>
        <v>#REF!</v>
      </c>
      <c r="N1112" s="5">
        <v>1699.0</v>
      </c>
      <c r="O1112" s="5">
        <v>1699.0</v>
      </c>
    </row>
    <row r="1113">
      <c r="A1113" s="6" t="s">
        <v>4694</v>
      </c>
      <c r="B1113" s="6" t="s">
        <v>4694</v>
      </c>
      <c r="C1113" s="6" t="e">
        <v>#N/A</v>
      </c>
      <c r="D1113" s="6" t="e">
        <v>#N/A</v>
      </c>
      <c r="E1113" s="6" t="e">
        <v>#N/A</v>
      </c>
      <c r="F1113" s="6" t="e">
        <v>#N/A</v>
      </c>
      <c r="G1113" s="6">
        <v>0.0</v>
      </c>
      <c r="H1113" s="7" t="e">
        <v>#N/A</v>
      </c>
      <c r="I1113" s="6" t="e">
        <v>#N/A</v>
      </c>
      <c r="J1113" s="6" t="e">
        <v>#N/A</v>
      </c>
      <c r="K1113" s="6" t="str">
        <f>VLOOKUP(A1113,Sheet4!$A:$H,7,0)</f>
        <v>#N/A</v>
      </c>
      <c r="L1113" s="6" t="str">
        <f>VLOOKUP(B1113,Sheet4!$A:$H,8,0)</f>
        <v>#N/A</v>
      </c>
      <c r="M1113" s="6" t="str">
        <f t="shared" si="16"/>
        <v>#REF!</v>
      </c>
      <c r="N1113" s="6" t="str">
        <f>VLOOKUP(A1113, Sheet2!A:M, 3, FALSE)</f>
        <v>#N/A</v>
      </c>
      <c r="O1113" s="10" t="e">
        <v>#N/A</v>
      </c>
      <c r="P1113" s="10" t="e">
        <v>#N/A</v>
      </c>
    </row>
    <row r="1114">
      <c r="A1114" s="6" t="s">
        <v>4695</v>
      </c>
      <c r="B1114" s="6" t="s">
        <v>4695</v>
      </c>
      <c r="C1114" s="6" t="e">
        <v>#N/A</v>
      </c>
      <c r="D1114" s="6" t="e">
        <v>#N/A</v>
      </c>
      <c r="E1114" s="6" t="e">
        <v>#N/A</v>
      </c>
      <c r="F1114" s="6" t="e">
        <v>#N/A</v>
      </c>
      <c r="G1114" s="6">
        <v>0.0</v>
      </c>
      <c r="H1114" s="7" t="e">
        <v>#N/A</v>
      </c>
      <c r="I1114" s="6" t="e">
        <v>#N/A</v>
      </c>
      <c r="J1114" s="6" t="e">
        <v>#N/A</v>
      </c>
      <c r="K1114" s="6" t="str">
        <f>VLOOKUP(A1114,Sheet4!$A:$H,7,0)</f>
        <v>#N/A</v>
      </c>
      <c r="L1114" s="6" t="str">
        <f>VLOOKUP(B1114,Sheet4!$A:$H,8,0)</f>
        <v>#N/A</v>
      </c>
      <c r="M1114" s="6" t="str">
        <f t="shared" si="16"/>
        <v>#REF!</v>
      </c>
      <c r="N1114" s="6" t="str">
        <f>VLOOKUP(A1114, Sheet2!A:M, 3, FALSE)</f>
        <v>#N/A</v>
      </c>
      <c r="O1114" s="10" t="e">
        <v>#N/A</v>
      </c>
      <c r="P1114" s="10" t="e">
        <v>#N/A</v>
      </c>
    </row>
    <row r="1115">
      <c r="A1115" s="6" t="s">
        <v>4696</v>
      </c>
      <c r="B1115" s="6" t="s">
        <v>4696</v>
      </c>
      <c r="C1115" s="6" t="e">
        <v>#N/A</v>
      </c>
      <c r="D1115" s="6" t="e">
        <v>#N/A</v>
      </c>
      <c r="E1115" s="6" t="e">
        <v>#N/A</v>
      </c>
      <c r="F1115" s="6" t="e">
        <v>#N/A</v>
      </c>
      <c r="G1115" s="6">
        <v>0.0</v>
      </c>
      <c r="H1115" s="7" t="e">
        <v>#N/A</v>
      </c>
      <c r="I1115" s="6" t="e">
        <v>#N/A</v>
      </c>
      <c r="J1115" s="6" t="e">
        <v>#N/A</v>
      </c>
      <c r="K1115" s="6" t="str">
        <f>VLOOKUP(A1115,Sheet4!$A:$H,7,0)</f>
        <v>#N/A</v>
      </c>
      <c r="L1115" s="6" t="str">
        <f>VLOOKUP(B1115,Sheet4!$A:$H,8,0)</f>
        <v>#N/A</v>
      </c>
      <c r="M1115" s="6" t="str">
        <f t="shared" si="16"/>
        <v>#REF!</v>
      </c>
      <c r="N1115" s="6" t="str">
        <f>VLOOKUP(A1115, Sheet2!A:M, 3, FALSE)</f>
        <v>#N/A</v>
      </c>
      <c r="O1115" s="10" t="e">
        <v>#N/A</v>
      </c>
      <c r="P1115" s="10" t="e">
        <v>#N/A</v>
      </c>
    </row>
    <row r="1116">
      <c r="A1116" s="6" t="s">
        <v>4697</v>
      </c>
      <c r="B1116" s="6" t="s">
        <v>4697</v>
      </c>
      <c r="C1116" s="6" t="e">
        <v>#N/A</v>
      </c>
      <c r="D1116" s="6" t="e">
        <v>#N/A</v>
      </c>
      <c r="E1116" s="6" t="e">
        <v>#N/A</v>
      </c>
      <c r="F1116" s="6" t="e">
        <v>#N/A</v>
      </c>
      <c r="G1116" s="6">
        <v>0.0</v>
      </c>
      <c r="H1116" s="7" t="e">
        <v>#N/A</v>
      </c>
      <c r="I1116" s="6" t="e">
        <v>#N/A</v>
      </c>
      <c r="J1116" s="6" t="e">
        <v>#N/A</v>
      </c>
      <c r="K1116" s="6" t="str">
        <f>VLOOKUP(A1116,Sheet4!$A:$H,7,0)</f>
        <v>#N/A</v>
      </c>
      <c r="L1116" s="6" t="str">
        <f>VLOOKUP(B1116,Sheet4!$A:$H,8,0)</f>
        <v>#N/A</v>
      </c>
      <c r="M1116" s="6" t="str">
        <f t="shared" si="16"/>
        <v>#REF!</v>
      </c>
      <c r="N1116" s="6" t="str">
        <f>VLOOKUP(A1116, Sheet2!A:M, 3, FALSE)</f>
        <v>#N/A</v>
      </c>
      <c r="O1116" s="10" t="e">
        <v>#N/A</v>
      </c>
      <c r="P1116" s="10" t="e">
        <v>#N/A</v>
      </c>
    </row>
    <row r="1117">
      <c r="A1117" s="6" t="s">
        <v>4698</v>
      </c>
      <c r="B1117" s="6" t="s">
        <v>4698</v>
      </c>
      <c r="C1117" s="6" t="e">
        <v>#N/A</v>
      </c>
      <c r="D1117" s="6" t="e">
        <v>#N/A</v>
      </c>
      <c r="E1117" s="6" t="e">
        <v>#N/A</v>
      </c>
      <c r="F1117" s="6" t="e">
        <v>#N/A</v>
      </c>
      <c r="G1117" s="6">
        <v>0.0</v>
      </c>
      <c r="H1117" s="7" t="e">
        <v>#N/A</v>
      </c>
      <c r="I1117" s="6" t="e">
        <v>#N/A</v>
      </c>
      <c r="J1117" s="6" t="e">
        <v>#N/A</v>
      </c>
      <c r="K1117" s="6" t="str">
        <f>VLOOKUP(A1117,Sheet4!$A:$H,7,0)</f>
        <v>#N/A</v>
      </c>
      <c r="L1117" s="6" t="str">
        <f>VLOOKUP(B1117,Sheet4!$A:$H,8,0)</f>
        <v>#N/A</v>
      </c>
      <c r="M1117" s="6" t="str">
        <f t="shared" si="16"/>
        <v>#REF!</v>
      </c>
      <c r="N1117" s="6" t="str">
        <f>VLOOKUP(A1117, Sheet2!A:M, 3, FALSE)</f>
        <v>#N/A</v>
      </c>
      <c r="O1117" s="10" t="e">
        <v>#N/A</v>
      </c>
      <c r="P1117" s="10" t="e">
        <v>#N/A</v>
      </c>
    </row>
    <row r="1118">
      <c r="A1118" s="6" t="s">
        <v>4699</v>
      </c>
      <c r="B1118" s="6" t="s">
        <v>4699</v>
      </c>
      <c r="C1118" s="6" t="e">
        <v>#N/A</v>
      </c>
      <c r="D1118" s="6" t="e">
        <v>#N/A</v>
      </c>
      <c r="E1118" s="6" t="e">
        <v>#N/A</v>
      </c>
      <c r="F1118" s="6" t="e">
        <v>#N/A</v>
      </c>
      <c r="G1118" s="6">
        <v>0.0</v>
      </c>
      <c r="H1118" s="7" t="e">
        <v>#N/A</v>
      </c>
      <c r="I1118" s="6" t="e">
        <v>#N/A</v>
      </c>
      <c r="J1118" s="6" t="e">
        <v>#N/A</v>
      </c>
      <c r="K1118" s="6" t="str">
        <f>VLOOKUP(A1118,Sheet4!$A:$H,7,0)</f>
        <v>#N/A</v>
      </c>
      <c r="L1118" s="6" t="str">
        <f>VLOOKUP(B1118,Sheet4!$A:$H,8,0)</f>
        <v>#N/A</v>
      </c>
      <c r="M1118" s="6" t="str">
        <f t="shared" si="16"/>
        <v>#REF!</v>
      </c>
      <c r="N1118" s="6" t="str">
        <f>VLOOKUP(A1118, Sheet2!A:M, 3, FALSE)</f>
        <v>#N/A</v>
      </c>
      <c r="O1118" s="10" t="e">
        <v>#N/A</v>
      </c>
      <c r="P1118" s="10" t="e">
        <v>#N/A</v>
      </c>
    </row>
    <row r="1119">
      <c r="A1119" s="6" t="s">
        <v>4700</v>
      </c>
      <c r="B1119" s="6" t="s">
        <v>4700</v>
      </c>
      <c r="C1119" s="6" t="e">
        <v>#N/A</v>
      </c>
      <c r="D1119" s="6" t="e">
        <v>#N/A</v>
      </c>
      <c r="E1119" s="6" t="e">
        <v>#N/A</v>
      </c>
      <c r="F1119" s="6" t="e">
        <v>#N/A</v>
      </c>
      <c r="G1119" s="6">
        <v>0.0</v>
      </c>
      <c r="H1119" s="7" t="e">
        <v>#N/A</v>
      </c>
      <c r="I1119" s="6" t="e">
        <v>#N/A</v>
      </c>
      <c r="J1119" s="6" t="e">
        <v>#N/A</v>
      </c>
      <c r="K1119" s="6" t="str">
        <f>VLOOKUP(A1119,Sheet4!$A:$H,7,0)</f>
        <v>#N/A</v>
      </c>
      <c r="L1119" s="6" t="str">
        <f>VLOOKUP(B1119,Sheet4!$A:$H,8,0)</f>
        <v>#N/A</v>
      </c>
      <c r="M1119" s="6" t="str">
        <f t="shared" si="16"/>
        <v>#REF!</v>
      </c>
      <c r="N1119" s="6" t="str">
        <f>VLOOKUP(A1119, Sheet2!A:M, 3, FALSE)</f>
        <v>#N/A</v>
      </c>
      <c r="O1119" s="10" t="e">
        <v>#N/A</v>
      </c>
      <c r="P1119" s="10" t="e">
        <v>#N/A</v>
      </c>
    </row>
    <row r="1120">
      <c r="A1120" s="6" t="s">
        <v>4701</v>
      </c>
      <c r="B1120" s="6" t="s">
        <v>4701</v>
      </c>
      <c r="C1120" s="6" t="e">
        <v>#N/A</v>
      </c>
      <c r="D1120" s="6" t="e">
        <v>#N/A</v>
      </c>
      <c r="E1120" s="6" t="e">
        <v>#N/A</v>
      </c>
      <c r="F1120" s="6" t="e">
        <v>#N/A</v>
      </c>
      <c r="G1120" s="6">
        <v>0.0</v>
      </c>
      <c r="H1120" s="7" t="e">
        <v>#N/A</v>
      </c>
      <c r="I1120" s="6" t="e">
        <v>#N/A</v>
      </c>
      <c r="J1120" s="6" t="e">
        <v>#N/A</v>
      </c>
      <c r="K1120" s="6" t="str">
        <f>VLOOKUP(A1120,Sheet4!$A:$H,7,0)</f>
        <v>#N/A</v>
      </c>
      <c r="L1120" s="6" t="str">
        <f>VLOOKUP(B1120,Sheet4!$A:$H,8,0)</f>
        <v>#N/A</v>
      </c>
      <c r="M1120" s="6" t="str">
        <f t="shared" si="16"/>
        <v>#REF!</v>
      </c>
      <c r="N1120" s="6" t="str">
        <f>VLOOKUP(A1120, Sheet2!A:M, 3, FALSE)</f>
        <v>#N/A</v>
      </c>
      <c r="O1120" s="10" t="e">
        <v>#N/A</v>
      </c>
      <c r="P1120" s="10" t="e">
        <v>#N/A</v>
      </c>
    </row>
    <row r="1121">
      <c r="A1121" s="6" t="s">
        <v>4702</v>
      </c>
      <c r="B1121" s="6" t="s">
        <v>4702</v>
      </c>
      <c r="C1121" s="6" t="e">
        <v>#N/A</v>
      </c>
      <c r="D1121" s="6" t="e">
        <v>#N/A</v>
      </c>
      <c r="E1121" s="6" t="e">
        <v>#N/A</v>
      </c>
      <c r="F1121" s="6" t="e">
        <v>#N/A</v>
      </c>
      <c r="G1121" s="6">
        <v>0.0</v>
      </c>
      <c r="H1121" s="7" t="e">
        <v>#N/A</v>
      </c>
      <c r="I1121" s="6" t="e">
        <v>#N/A</v>
      </c>
      <c r="J1121" s="6" t="e">
        <v>#N/A</v>
      </c>
      <c r="K1121" s="6" t="str">
        <f>VLOOKUP(A1121,Sheet4!$A:$H,7,0)</f>
        <v>#N/A</v>
      </c>
      <c r="L1121" s="6" t="str">
        <f>VLOOKUP(B1121,Sheet4!$A:$H,8,0)</f>
        <v>#N/A</v>
      </c>
      <c r="M1121" s="6" t="str">
        <f t="shared" si="16"/>
        <v>#REF!</v>
      </c>
      <c r="N1121" s="6" t="str">
        <f>VLOOKUP(A1121, Sheet2!A:M, 3, FALSE)</f>
        <v>#N/A</v>
      </c>
      <c r="O1121" s="10" t="e">
        <v>#N/A</v>
      </c>
      <c r="P1121" s="10" t="e">
        <v>#N/A</v>
      </c>
    </row>
    <row r="1122">
      <c r="A1122" s="6" t="s">
        <v>4703</v>
      </c>
      <c r="B1122" s="6" t="s">
        <v>4703</v>
      </c>
      <c r="C1122" s="6" t="e">
        <v>#N/A</v>
      </c>
      <c r="D1122" s="6" t="e">
        <v>#N/A</v>
      </c>
      <c r="E1122" s="6" t="e">
        <v>#N/A</v>
      </c>
      <c r="F1122" s="6" t="e">
        <v>#N/A</v>
      </c>
      <c r="G1122" s="6">
        <v>0.0</v>
      </c>
      <c r="H1122" s="7" t="e">
        <v>#N/A</v>
      </c>
      <c r="I1122" s="6" t="e">
        <v>#N/A</v>
      </c>
      <c r="J1122" s="6" t="e">
        <v>#N/A</v>
      </c>
      <c r="K1122" s="6" t="str">
        <f>VLOOKUP(A1122,Sheet4!$A:$H,7,0)</f>
        <v>#N/A</v>
      </c>
      <c r="L1122" s="6" t="str">
        <f>VLOOKUP(B1122,Sheet4!$A:$H,8,0)</f>
        <v>#N/A</v>
      </c>
      <c r="M1122" s="6" t="str">
        <f t="shared" si="16"/>
        <v>#REF!</v>
      </c>
      <c r="N1122" s="6" t="str">
        <f>VLOOKUP(A1122, Sheet2!A:M, 3, FALSE)</f>
        <v>#N/A</v>
      </c>
      <c r="O1122" s="10" t="e">
        <v>#N/A</v>
      </c>
      <c r="P1122" s="10" t="e">
        <v>#N/A</v>
      </c>
    </row>
    <row r="1123">
      <c r="A1123" s="6" t="s">
        <v>4704</v>
      </c>
      <c r="B1123" s="6" t="s">
        <v>4704</v>
      </c>
      <c r="C1123" s="6" t="e">
        <v>#N/A</v>
      </c>
      <c r="D1123" s="6" t="e">
        <v>#N/A</v>
      </c>
      <c r="E1123" s="6" t="e">
        <v>#N/A</v>
      </c>
      <c r="F1123" s="6" t="e">
        <v>#N/A</v>
      </c>
      <c r="G1123" s="6">
        <v>0.0</v>
      </c>
      <c r="H1123" s="7" t="e">
        <v>#N/A</v>
      </c>
      <c r="I1123" s="6" t="e">
        <v>#N/A</v>
      </c>
      <c r="J1123" s="6" t="e">
        <v>#N/A</v>
      </c>
      <c r="K1123" s="6" t="str">
        <f>VLOOKUP(A1123,Sheet4!$A:$H,7,0)</f>
        <v>#N/A</v>
      </c>
      <c r="L1123" s="6" t="str">
        <f>VLOOKUP(B1123,Sheet4!$A:$H,8,0)</f>
        <v>#N/A</v>
      </c>
      <c r="M1123" s="6" t="str">
        <f t="shared" si="16"/>
        <v>#REF!</v>
      </c>
      <c r="N1123" s="6" t="str">
        <f>VLOOKUP(A1123, Sheet2!A:M, 3, FALSE)</f>
        <v>#N/A</v>
      </c>
      <c r="O1123" s="10" t="e">
        <v>#N/A</v>
      </c>
      <c r="P1123" s="10" t="e">
        <v>#N/A</v>
      </c>
    </row>
    <row r="1124">
      <c r="A1124" s="6" t="s">
        <v>4705</v>
      </c>
      <c r="B1124" s="6" t="s">
        <v>4705</v>
      </c>
      <c r="C1124" s="6" t="e">
        <v>#N/A</v>
      </c>
      <c r="D1124" s="6" t="e">
        <v>#N/A</v>
      </c>
      <c r="E1124" s="6" t="e">
        <v>#N/A</v>
      </c>
      <c r="F1124" s="6" t="e">
        <v>#N/A</v>
      </c>
      <c r="G1124" s="6">
        <v>0.0</v>
      </c>
      <c r="H1124" s="7" t="e">
        <v>#N/A</v>
      </c>
      <c r="I1124" s="6" t="e">
        <v>#N/A</v>
      </c>
      <c r="J1124" s="6" t="e">
        <v>#N/A</v>
      </c>
      <c r="K1124" s="6" t="str">
        <f>VLOOKUP(A1124,Sheet4!$A:$H,7,0)</f>
        <v>#N/A</v>
      </c>
      <c r="L1124" s="6" t="str">
        <f>VLOOKUP(B1124,Sheet4!$A:$H,8,0)</f>
        <v>#N/A</v>
      </c>
      <c r="M1124" s="6" t="str">
        <f t="shared" si="16"/>
        <v>#REF!</v>
      </c>
      <c r="N1124" s="6" t="str">
        <f>VLOOKUP(A1124, Sheet2!A:M, 3, FALSE)</f>
        <v>#N/A</v>
      </c>
      <c r="O1124" s="10" t="e">
        <v>#N/A</v>
      </c>
      <c r="P1124" s="10" t="e">
        <v>#N/A</v>
      </c>
    </row>
    <row r="1125">
      <c r="A1125" s="6" t="s">
        <v>4706</v>
      </c>
      <c r="B1125" s="6" t="s">
        <v>4706</v>
      </c>
      <c r="C1125" s="6" t="e">
        <v>#N/A</v>
      </c>
      <c r="D1125" s="6" t="e">
        <v>#N/A</v>
      </c>
      <c r="E1125" s="6" t="e">
        <v>#N/A</v>
      </c>
      <c r="F1125" s="6" t="e">
        <v>#N/A</v>
      </c>
      <c r="G1125" s="6">
        <v>0.0</v>
      </c>
      <c r="H1125" s="7" t="e">
        <v>#N/A</v>
      </c>
      <c r="I1125" s="6" t="e">
        <v>#N/A</v>
      </c>
      <c r="J1125" s="6" t="e">
        <v>#N/A</v>
      </c>
      <c r="K1125" s="6" t="str">
        <f>VLOOKUP(A1125,Sheet4!$A:$H,7,0)</f>
        <v>#N/A</v>
      </c>
      <c r="L1125" s="6" t="str">
        <f>VLOOKUP(B1125,Sheet4!$A:$H,8,0)</f>
        <v>#N/A</v>
      </c>
      <c r="M1125" s="6" t="str">
        <f t="shared" si="16"/>
        <v>#REF!</v>
      </c>
      <c r="N1125" s="6" t="str">
        <f>VLOOKUP(A1125, Sheet2!A:M, 3, FALSE)</f>
        <v>#N/A</v>
      </c>
      <c r="O1125" s="10" t="e">
        <v>#N/A</v>
      </c>
      <c r="P1125" s="10" t="e">
        <v>#N/A</v>
      </c>
    </row>
    <row r="1126">
      <c r="A1126" s="6" t="s">
        <v>4707</v>
      </c>
      <c r="B1126" s="6" t="s">
        <v>4707</v>
      </c>
      <c r="C1126" s="6" t="e">
        <v>#N/A</v>
      </c>
      <c r="D1126" s="6" t="e">
        <v>#N/A</v>
      </c>
      <c r="E1126" s="6" t="e">
        <v>#N/A</v>
      </c>
      <c r="F1126" s="6" t="e">
        <v>#N/A</v>
      </c>
      <c r="G1126" s="6">
        <v>0.0</v>
      </c>
      <c r="H1126" s="7" t="e">
        <v>#N/A</v>
      </c>
      <c r="I1126" s="6" t="e">
        <v>#N/A</v>
      </c>
      <c r="J1126" s="6" t="e">
        <v>#N/A</v>
      </c>
      <c r="K1126" s="6" t="str">
        <f>VLOOKUP(A1126,Sheet4!$A:$H,7,0)</f>
        <v>#N/A</v>
      </c>
      <c r="L1126" s="6" t="str">
        <f>VLOOKUP(B1126,Sheet4!$A:$H,8,0)</f>
        <v>#N/A</v>
      </c>
      <c r="M1126" s="6" t="str">
        <f t="shared" si="16"/>
        <v>#REF!</v>
      </c>
      <c r="N1126" s="6" t="str">
        <f>VLOOKUP(A1126, Sheet2!A:M, 3, FALSE)</f>
        <v>#N/A</v>
      </c>
      <c r="O1126" s="10" t="e">
        <v>#N/A</v>
      </c>
      <c r="P1126" s="10" t="e">
        <v>#N/A</v>
      </c>
    </row>
    <row r="1127">
      <c r="A1127" s="6" t="s">
        <v>4708</v>
      </c>
      <c r="B1127" s="6" t="s">
        <v>4708</v>
      </c>
      <c r="C1127" s="6" t="e">
        <v>#N/A</v>
      </c>
      <c r="D1127" s="6" t="e">
        <v>#N/A</v>
      </c>
      <c r="E1127" s="6" t="e">
        <v>#N/A</v>
      </c>
      <c r="F1127" s="6" t="e">
        <v>#N/A</v>
      </c>
      <c r="G1127" s="6">
        <v>0.0</v>
      </c>
      <c r="H1127" s="7" t="e">
        <v>#N/A</v>
      </c>
      <c r="I1127" s="6" t="e">
        <v>#N/A</v>
      </c>
      <c r="J1127" s="6" t="e">
        <v>#N/A</v>
      </c>
      <c r="K1127" s="6" t="str">
        <f>VLOOKUP(A1127,Sheet4!$A:$H,7,0)</f>
        <v>#N/A</v>
      </c>
      <c r="L1127" s="6" t="str">
        <f>VLOOKUP(B1127,Sheet4!$A:$H,8,0)</f>
        <v>#N/A</v>
      </c>
      <c r="M1127" s="6" t="str">
        <f t="shared" si="16"/>
        <v>#REF!</v>
      </c>
      <c r="N1127" s="6" t="str">
        <f>VLOOKUP(A1127, Sheet2!A:M, 3, FALSE)</f>
        <v>#N/A</v>
      </c>
      <c r="O1127" s="10" t="e">
        <v>#N/A</v>
      </c>
      <c r="P1127" s="10" t="e">
        <v>#N/A</v>
      </c>
    </row>
    <row r="1128">
      <c r="A1128" s="6" t="s">
        <v>4709</v>
      </c>
      <c r="B1128" s="6" t="s">
        <v>4709</v>
      </c>
      <c r="C1128" s="6" t="e">
        <v>#N/A</v>
      </c>
      <c r="D1128" s="6" t="e">
        <v>#N/A</v>
      </c>
      <c r="E1128" s="6" t="e">
        <v>#N/A</v>
      </c>
      <c r="F1128" s="6" t="e">
        <v>#N/A</v>
      </c>
      <c r="G1128" s="6">
        <v>0.0</v>
      </c>
      <c r="H1128" s="7" t="e">
        <v>#N/A</v>
      </c>
      <c r="I1128" s="6" t="e">
        <v>#N/A</v>
      </c>
      <c r="J1128" s="6" t="e">
        <v>#N/A</v>
      </c>
      <c r="K1128" s="6" t="str">
        <f>VLOOKUP(A1128,Sheet4!$A:$H,7,0)</f>
        <v>#N/A</v>
      </c>
      <c r="L1128" s="6" t="str">
        <f>VLOOKUP(B1128,Sheet4!$A:$H,8,0)</f>
        <v>#N/A</v>
      </c>
      <c r="M1128" s="6" t="str">
        <f t="shared" si="16"/>
        <v>#REF!</v>
      </c>
      <c r="N1128" s="6" t="str">
        <f>VLOOKUP(A1128, Sheet2!A:M, 3, FALSE)</f>
        <v>#N/A</v>
      </c>
      <c r="O1128" s="10" t="e">
        <v>#N/A</v>
      </c>
      <c r="P1128" s="10" t="e">
        <v>#N/A</v>
      </c>
    </row>
    <row r="1129">
      <c r="A1129" s="6" t="s">
        <v>4710</v>
      </c>
      <c r="B1129" s="6" t="s">
        <v>4710</v>
      </c>
      <c r="C1129" s="6" t="e">
        <v>#N/A</v>
      </c>
      <c r="D1129" s="6" t="e">
        <v>#N/A</v>
      </c>
      <c r="E1129" s="6" t="e">
        <v>#N/A</v>
      </c>
      <c r="F1129" s="6" t="e">
        <v>#N/A</v>
      </c>
      <c r="G1129" s="6">
        <v>0.0</v>
      </c>
      <c r="H1129" s="7" t="e">
        <v>#N/A</v>
      </c>
      <c r="I1129" s="6" t="e">
        <v>#N/A</v>
      </c>
      <c r="J1129" s="6" t="e">
        <v>#N/A</v>
      </c>
      <c r="K1129" s="6" t="str">
        <f>VLOOKUP(A1129,Sheet4!$A:$H,7,0)</f>
        <v>#N/A</v>
      </c>
      <c r="L1129" s="6" t="str">
        <f>VLOOKUP(B1129,Sheet4!$A:$H,8,0)</f>
        <v>#N/A</v>
      </c>
      <c r="M1129" s="6" t="str">
        <f t="shared" si="16"/>
        <v>#REF!</v>
      </c>
      <c r="N1129" s="6" t="str">
        <f>VLOOKUP(A1129, Sheet2!A:M, 3, FALSE)</f>
        <v>#N/A</v>
      </c>
      <c r="O1129" s="10" t="e">
        <v>#N/A</v>
      </c>
      <c r="P1129" s="10" t="e">
        <v>#N/A</v>
      </c>
    </row>
    <row r="1130">
      <c r="A1130" s="6" t="s">
        <v>4711</v>
      </c>
      <c r="B1130" s="6" t="s">
        <v>4711</v>
      </c>
      <c r="C1130" s="6" t="e">
        <v>#N/A</v>
      </c>
      <c r="D1130" s="6" t="e">
        <v>#N/A</v>
      </c>
      <c r="E1130" s="6" t="e">
        <v>#N/A</v>
      </c>
      <c r="F1130" s="6" t="e">
        <v>#N/A</v>
      </c>
      <c r="G1130" s="6">
        <v>0.0</v>
      </c>
      <c r="H1130" s="7" t="e">
        <v>#N/A</v>
      </c>
      <c r="I1130" s="6" t="e">
        <v>#N/A</v>
      </c>
      <c r="J1130" s="6" t="e">
        <v>#N/A</v>
      </c>
      <c r="K1130" s="6" t="str">
        <f>VLOOKUP(A1130,Sheet4!$A:$H,7,0)</f>
        <v>#N/A</v>
      </c>
      <c r="L1130" s="6" t="str">
        <f>VLOOKUP(B1130,Sheet4!$A:$H,8,0)</f>
        <v>#N/A</v>
      </c>
      <c r="M1130" s="6" t="str">
        <f t="shared" si="16"/>
        <v>#REF!</v>
      </c>
      <c r="N1130" s="6" t="str">
        <f>VLOOKUP(A1130, Sheet2!A:M, 3, FALSE)</f>
        <v>#N/A</v>
      </c>
      <c r="O1130" s="10" t="e">
        <v>#N/A</v>
      </c>
      <c r="P1130" s="10" t="e">
        <v>#N/A</v>
      </c>
    </row>
    <row r="1131">
      <c r="A1131" s="6" t="s">
        <v>4712</v>
      </c>
      <c r="B1131" s="6" t="s">
        <v>4712</v>
      </c>
      <c r="C1131" s="6" t="e">
        <v>#N/A</v>
      </c>
      <c r="D1131" s="6" t="e">
        <v>#N/A</v>
      </c>
      <c r="E1131" s="6" t="e">
        <v>#N/A</v>
      </c>
      <c r="F1131" s="6" t="e">
        <v>#N/A</v>
      </c>
      <c r="G1131" s="6">
        <v>0.0</v>
      </c>
      <c r="H1131" s="7" t="e">
        <v>#N/A</v>
      </c>
      <c r="I1131" s="6" t="e">
        <v>#N/A</v>
      </c>
      <c r="J1131" s="6" t="e">
        <v>#N/A</v>
      </c>
      <c r="K1131" s="6" t="str">
        <f>VLOOKUP(A1131,Sheet4!$A:$H,7,0)</f>
        <v>#N/A</v>
      </c>
      <c r="L1131" s="6" t="str">
        <f>VLOOKUP(B1131,Sheet4!$A:$H,8,0)</f>
        <v>#N/A</v>
      </c>
      <c r="M1131" s="6" t="str">
        <f t="shared" si="16"/>
        <v>#REF!</v>
      </c>
      <c r="N1131" s="6" t="str">
        <f>VLOOKUP(A1131, Sheet2!A:M, 3, FALSE)</f>
        <v>#N/A</v>
      </c>
      <c r="O1131" s="10" t="e">
        <v>#N/A</v>
      </c>
      <c r="P1131" s="10" t="e">
        <v>#N/A</v>
      </c>
    </row>
    <row r="1132">
      <c r="A1132" s="6" t="s">
        <v>4713</v>
      </c>
      <c r="B1132" s="6" t="s">
        <v>4713</v>
      </c>
      <c r="C1132" s="6" t="e">
        <v>#N/A</v>
      </c>
      <c r="D1132" s="6" t="e">
        <v>#N/A</v>
      </c>
      <c r="E1132" s="6" t="e">
        <v>#N/A</v>
      </c>
      <c r="F1132" s="6" t="e">
        <v>#N/A</v>
      </c>
      <c r="G1132" s="6">
        <v>0.0</v>
      </c>
      <c r="H1132" s="7" t="e">
        <v>#N/A</v>
      </c>
      <c r="I1132" s="6" t="e">
        <v>#N/A</v>
      </c>
      <c r="J1132" s="6" t="e">
        <v>#N/A</v>
      </c>
      <c r="K1132" s="6" t="str">
        <f>VLOOKUP(A1132,Sheet4!$A:$H,7,0)</f>
        <v>#N/A</v>
      </c>
      <c r="L1132" s="6" t="str">
        <f>VLOOKUP(B1132,Sheet4!$A:$H,8,0)</f>
        <v>#N/A</v>
      </c>
      <c r="M1132" s="6" t="str">
        <f t="shared" si="16"/>
        <v>#REF!</v>
      </c>
      <c r="N1132" s="6" t="str">
        <f>VLOOKUP(A1132, Sheet2!A:M, 3, FALSE)</f>
        <v>#N/A</v>
      </c>
      <c r="O1132" s="10" t="e">
        <v>#N/A</v>
      </c>
      <c r="P1132" s="10" t="e">
        <v>#N/A</v>
      </c>
    </row>
    <row r="1133">
      <c r="A1133" s="6" t="s">
        <v>4714</v>
      </c>
      <c r="B1133" s="6" t="s">
        <v>4714</v>
      </c>
      <c r="C1133" s="6" t="e">
        <v>#N/A</v>
      </c>
      <c r="D1133" s="6" t="e">
        <v>#N/A</v>
      </c>
      <c r="E1133" s="6" t="e">
        <v>#N/A</v>
      </c>
      <c r="F1133" s="6" t="e">
        <v>#N/A</v>
      </c>
      <c r="G1133" s="6">
        <v>0.0</v>
      </c>
      <c r="H1133" s="7" t="e">
        <v>#N/A</v>
      </c>
      <c r="I1133" s="6" t="e">
        <v>#N/A</v>
      </c>
      <c r="J1133" s="6" t="e">
        <v>#N/A</v>
      </c>
      <c r="K1133" s="6" t="str">
        <f>VLOOKUP(A1133,Sheet4!$A:$H,7,0)</f>
        <v>#N/A</v>
      </c>
      <c r="L1133" s="6" t="str">
        <f>VLOOKUP(B1133,Sheet4!$A:$H,8,0)</f>
        <v>#N/A</v>
      </c>
      <c r="M1133" s="6" t="str">
        <f t="shared" si="16"/>
        <v>#REF!</v>
      </c>
      <c r="N1133" s="6" t="str">
        <f>VLOOKUP(A1133, Sheet2!A:M, 3, FALSE)</f>
        <v>#N/A</v>
      </c>
      <c r="O1133" s="10" t="e">
        <v>#N/A</v>
      </c>
      <c r="P1133" s="10" t="e">
        <v>#N/A</v>
      </c>
    </row>
    <row r="1134">
      <c r="A1134" s="6" t="s">
        <v>4715</v>
      </c>
      <c r="B1134" s="6" t="s">
        <v>4715</v>
      </c>
      <c r="C1134" s="6" t="e">
        <v>#N/A</v>
      </c>
      <c r="D1134" s="6" t="e">
        <v>#N/A</v>
      </c>
      <c r="E1134" s="6" t="e">
        <v>#N/A</v>
      </c>
      <c r="F1134" s="6" t="e">
        <v>#N/A</v>
      </c>
      <c r="G1134" s="6">
        <v>0.0</v>
      </c>
      <c r="H1134" s="7" t="e">
        <v>#N/A</v>
      </c>
      <c r="I1134" s="6" t="e">
        <v>#N/A</v>
      </c>
      <c r="J1134" s="6" t="e">
        <v>#N/A</v>
      </c>
      <c r="K1134" s="6" t="str">
        <f>VLOOKUP(A1134,Sheet4!$A:$H,7,0)</f>
        <v>#N/A</v>
      </c>
      <c r="L1134" s="6" t="str">
        <f>VLOOKUP(B1134,Sheet4!$A:$H,8,0)</f>
        <v>#N/A</v>
      </c>
      <c r="M1134" s="6" t="str">
        <f t="shared" si="16"/>
        <v>#REF!</v>
      </c>
      <c r="N1134" s="6" t="str">
        <f>VLOOKUP(A1134, Sheet2!A:M, 3, FALSE)</f>
        <v>#N/A</v>
      </c>
      <c r="O1134" s="10" t="e">
        <v>#N/A</v>
      </c>
      <c r="P1134" s="10" t="e">
        <v>#N/A</v>
      </c>
    </row>
    <row r="1135">
      <c r="A1135" s="6" t="s">
        <v>4716</v>
      </c>
      <c r="B1135" s="6" t="s">
        <v>4716</v>
      </c>
      <c r="C1135" s="6" t="e">
        <v>#N/A</v>
      </c>
      <c r="D1135" s="6" t="e">
        <v>#N/A</v>
      </c>
      <c r="E1135" s="6" t="e">
        <v>#N/A</v>
      </c>
      <c r="F1135" s="6" t="e">
        <v>#N/A</v>
      </c>
      <c r="G1135" s="6">
        <v>0.0</v>
      </c>
      <c r="H1135" s="7" t="e">
        <v>#N/A</v>
      </c>
      <c r="I1135" s="6" t="e">
        <v>#N/A</v>
      </c>
      <c r="J1135" s="6" t="e">
        <v>#N/A</v>
      </c>
      <c r="K1135" s="6" t="str">
        <f>VLOOKUP(A1135,Sheet4!$A:$H,7,0)</f>
        <v>#N/A</v>
      </c>
      <c r="L1135" s="6" t="str">
        <f>VLOOKUP(B1135,Sheet4!$A:$H,8,0)</f>
        <v>#N/A</v>
      </c>
      <c r="M1135" s="6" t="str">
        <f t="shared" si="16"/>
        <v>#REF!</v>
      </c>
      <c r="N1135" s="6" t="str">
        <f>VLOOKUP(A1135, Sheet2!A:M, 3, FALSE)</f>
        <v>#N/A</v>
      </c>
      <c r="O1135" s="10" t="e">
        <v>#N/A</v>
      </c>
      <c r="P1135" s="10" t="e">
        <v>#N/A</v>
      </c>
    </row>
    <row r="1136">
      <c r="A1136" s="6" t="s">
        <v>4717</v>
      </c>
      <c r="B1136" s="6" t="s">
        <v>4717</v>
      </c>
      <c r="C1136" s="6" t="e">
        <v>#N/A</v>
      </c>
      <c r="D1136" s="6" t="e">
        <v>#N/A</v>
      </c>
      <c r="E1136" s="6" t="e">
        <v>#N/A</v>
      </c>
      <c r="F1136" s="6" t="e">
        <v>#N/A</v>
      </c>
      <c r="G1136" s="6">
        <v>0.0</v>
      </c>
      <c r="H1136" s="7" t="e">
        <v>#N/A</v>
      </c>
      <c r="I1136" s="6" t="e">
        <v>#N/A</v>
      </c>
      <c r="J1136" s="6" t="e">
        <v>#N/A</v>
      </c>
      <c r="K1136" s="6" t="str">
        <f>VLOOKUP(A1136,Sheet4!$A:$H,7,0)</f>
        <v>#N/A</v>
      </c>
      <c r="L1136" s="6" t="str">
        <f>VLOOKUP(B1136,Sheet4!$A:$H,8,0)</f>
        <v>#N/A</v>
      </c>
      <c r="M1136" s="6" t="str">
        <f t="shared" si="16"/>
        <v>#REF!</v>
      </c>
      <c r="N1136" s="6" t="str">
        <f>VLOOKUP(A1136, Sheet2!A:M, 3, FALSE)</f>
        <v>#N/A</v>
      </c>
      <c r="O1136" s="10" t="e">
        <v>#N/A</v>
      </c>
      <c r="P1136" s="10" t="e">
        <v>#N/A</v>
      </c>
    </row>
    <row r="1137">
      <c r="A1137" s="6" t="s">
        <v>4718</v>
      </c>
      <c r="B1137" s="6" t="s">
        <v>4718</v>
      </c>
      <c r="C1137" s="6" t="e">
        <v>#N/A</v>
      </c>
      <c r="D1137" s="6" t="e">
        <v>#N/A</v>
      </c>
      <c r="E1137" s="6" t="e">
        <v>#N/A</v>
      </c>
      <c r="F1137" s="6" t="e">
        <v>#N/A</v>
      </c>
      <c r="G1137" s="6">
        <v>0.0</v>
      </c>
      <c r="H1137" s="7" t="e">
        <v>#N/A</v>
      </c>
      <c r="I1137" s="6" t="e">
        <v>#N/A</v>
      </c>
      <c r="J1137" s="6" t="e">
        <v>#N/A</v>
      </c>
      <c r="K1137" s="6" t="str">
        <f>VLOOKUP(A1137,Sheet4!$A:$H,7,0)</f>
        <v>#N/A</v>
      </c>
      <c r="L1137" s="6" t="str">
        <f>VLOOKUP(B1137,Sheet4!$A:$H,8,0)</f>
        <v>#N/A</v>
      </c>
      <c r="M1137" s="6" t="str">
        <f t="shared" si="16"/>
        <v>#REF!</v>
      </c>
      <c r="N1137" s="6" t="str">
        <f>VLOOKUP(A1137, Sheet2!A:M, 3, FALSE)</f>
        <v>#N/A</v>
      </c>
      <c r="O1137" s="10" t="e">
        <v>#N/A</v>
      </c>
      <c r="P1137" s="10" t="e">
        <v>#N/A</v>
      </c>
    </row>
    <row r="1138">
      <c r="A1138" s="6" t="s">
        <v>4719</v>
      </c>
      <c r="B1138" s="6" t="s">
        <v>4719</v>
      </c>
      <c r="C1138" s="6" t="e">
        <v>#N/A</v>
      </c>
      <c r="D1138" s="6" t="e">
        <v>#N/A</v>
      </c>
      <c r="E1138" s="6" t="e">
        <v>#N/A</v>
      </c>
      <c r="F1138" s="6" t="e">
        <v>#N/A</v>
      </c>
      <c r="G1138" s="6">
        <v>0.0</v>
      </c>
      <c r="H1138" s="7" t="e">
        <v>#N/A</v>
      </c>
      <c r="I1138" s="6" t="e">
        <v>#N/A</v>
      </c>
      <c r="J1138" s="6" t="e">
        <v>#N/A</v>
      </c>
      <c r="K1138" s="6" t="str">
        <f>VLOOKUP(A1138,Sheet4!$A:$H,7,0)</f>
        <v>#N/A</v>
      </c>
      <c r="L1138" s="6" t="str">
        <f>VLOOKUP(B1138,Sheet4!$A:$H,8,0)</f>
        <v>#N/A</v>
      </c>
      <c r="M1138" s="6" t="str">
        <f t="shared" si="16"/>
        <v>#REF!</v>
      </c>
      <c r="N1138" s="6" t="str">
        <f>VLOOKUP(A1138, Sheet2!A:M, 3, FALSE)</f>
        <v>#N/A</v>
      </c>
      <c r="O1138" s="10" t="e">
        <v>#N/A</v>
      </c>
      <c r="P1138" s="10" t="e">
        <v>#N/A</v>
      </c>
    </row>
    <row r="1139">
      <c r="A1139" s="6" t="s">
        <v>4720</v>
      </c>
      <c r="B1139" s="6" t="s">
        <v>4720</v>
      </c>
      <c r="C1139" s="6" t="e">
        <v>#N/A</v>
      </c>
      <c r="D1139" s="6" t="e">
        <v>#N/A</v>
      </c>
      <c r="E1139" s="6" t="e">
        <v>#N/A</v>
      </c>
      <c r="F1139" s="6" t="e">
        <v>#N/A</v>
      </c>
      <c r="G1139" s="6">
        <v>0.0</v>
      </c>
      <c r="H1139" s="7" t="e">
        <v>#N/A</v>
      </c>
      <c r="I1139" s="6" t="e">
        <v>#N/A</v>
      </c>
      <c r="J1139" s="6" t="e">
        <v>#N/A</v>
      </c>
      <c r="K1139" s="6" t="str">
        <f>VLOOKUP(A1139,Sheet4!$A:$H,7,0)</f>
        <v>#N/A</v>
      </c>
      <c r="L1139" s="6" t="str">
        <f>VLOOKUP(B1139,Sheet4!$A:$H,8,0)</f>
        <v>#N/A</v>
      </c>
      <c r="M1139" s="6" t="str">
        <f t="shared" si="16"/>
        <v>#REF!</v>
      </c>
      <c r="N1139" s="6" t="str">
        <f>VLOOKUP(A1139, Sheet2!A:M, 3, FALSE)</f>
        <v>#N/A</v>
      </c>
      <c r="O1139" s="10" t="e">
        <v>#N/A</v>
      </c>
      <c r="P1139" s="10" t="e">
        <v>#N/A</v>
      </c>
    </row>
    <row r="1140">
      <c r="A1140" s="6" t="s">
        <v>4721</v>
      </c>
      <c r="B1140" s="6" t="s">
        <v>4721</v>
      </c>
      <c r="C1140" s="6" t="e">
        <v>#N/A</v>
      </c>
      <c r="D1140" s="6" t="e">
        <v>#N/A</v>
      </c>
      <c r="E1140" s="6" t="e">
        <v>#N/A</v>
      </c>
      <c r="F1140" s="6" t="e">
        <v>#N/A</v>
      </c>
      <c r="G1140" s="6">
        <v>0.0</v>
      </c>
      <c r="H1140" s="7" t="e">
        <v>#N/A</v>
      </c>
      <c r="I1140" s="6" t="e">
        <v>#N/A</v>
      </c>
      <c r="J1140" s="6" t="e">
        <v>#N/A</v>
      </c>
      <c r="K1140" s="6" t="str">
        <f>VLOOKUP(A1140,Sheet4!$A:$H,7,0)</f>
        <v>#N/A</v>
      </c>
      <c r="L1140" s="6" t="str">
        <f>VLOOKUP(B1140,Sheet4!$A:$H,8,0)</f>
        <v>#N/A</v>
      </c>
      <c r="M1140" s="6" t="str">
        <f t="shared" si="16"/>
        <v>#REF!</v>
      </c>
      <c r="N1140" s="6" t="str">
        <f>VLOOKUP(A1140, Sheet2!A:M, 3, FALSE)</f>
        <v>#N/A</v>
      </c>
      <c r="O1140" s="10" t="e">
        <v>#N/A</v>
      </c>
      <c r="P1140" s="10" t="e">
        <v>#N/A</v>
      </c>
    </row>
    <row r="1141">
      <c r="A1141" s="6" t="s">
        <v>4722</v>
      </c>
      <c r="B1141" s="6" t="s">
        <v>4722</v>
      </c>
      <c r="C1141" s="6" t="e">
        <v>#N/A</v>
      </c>
      <c r="D1141" s="6" t="e">
        <v>#N/A</v>
      </c>
      <c r="E1141" s="6" t="e">
        <v>#N/A</v>
      </c>
      <c r="F1141" s="6" t="e">
        <v>#N/A</v>
      </c>
      <c r="G1141" s="6">
        <v>0.0</v>
      </c>
      <c r="H1141" s="7" t="e">
        <v>#N/A</v>
      </c>
      <c r="I1141" s="6" t="e">
        <v>#N/A</v>
      </c>
      <c r="J1141" s="6" t="e">
        <v>#N/A</v>
      </c>
      <c r="K1141" s="6" t="str">
        <f>VLOOKUP(A1141,Sheet4!$A:$H,7,0)</f>
        <v>#N/A</v>
      </c>
      <c r="L1141" s="6" t="str">
        <f>VLOOKUP(B1141,Sheet4!$A:$H,8,0)</f>
        <v>#N/A</v>
      </c>
      <c r="M1141" s="6" t="str">
        <f t="shared" si="16"/>
        <v>#REF!</v>
      </c>
      <c r="N1141" s="6" t="str">
        <f>VLOOKUP(A1141, Sheet2!A:M, 3, FALSE)</f>
        <v>#N/A</v>
      </c>
      <c r="O1141" s="10" t="e">
        <v>#N/A</v>
      </c>
      <c r="P1141" s="10" t="e">
        <v>#N/A</v>
      </c>
    </row>
    <row r="1142">
      <c r="A1142" s="6" t="s">
        <v>4723</v>
      </c>
      <c r="B1142" s="6" t="s">
        <v>4723</v>
      </c>
      <c r="C1142" s="6" t="e">
        <v>#N/A</v>
      </c>
      <c r="D1142" s="6" t="e">
        <v>#N/A</v>
      </c>
      <c r="E1142" s="6" t="e">
        <v>#N/A</v>
      </c>
      <c r="F1142" s="6" t="e">
        <v>#N/A</v>
      </c>
      <c r="G1142" s="6">
        <v>0.0</v>
      </c>
      <c r="H1142" s="7" t="e">
        <v>#N/A</v>
      </c>
      <c r="I1142" s="6" t="e">
        <v>#N/A</v>
      </c>
      <c r="J1142" s="6" t="e">
        <v>#N/A</v>
      </c>
      <c r="K1142" s="6" t="str">
        <f>VLOOKUP(A1142,Sheet4!$A:$H,7,0)</f>
        <v>#N/A</v>
      </c>
      <c r="L1142" s="6" t="str">
        <f>VLOOKUP(B1142,Sheet4!$A:$H,8,0)</f>
        <v>#N/A</v>
      </c>
      <c r="M1142" s="6" t="str">
        <f t="shared" si="16"/>
        <v>#REF!</v>
      </c>
      <c r="N1142" s="6" t="str">
        <f>VLOOKUP(A1142, Sheet2!A:M, 3, FALSE)</f>
        <v>#N/A</v>
      </c>
      <c r="O1142" s="10" t="e">
        <v>#N/A</v>
      </c>
      <c r="P1142" s="10" t="e">
        <v>#N/A</v>
      </c>
    </row>
    <row r="1143">
      <c r="A1143" s="6" t="s">
        <v>4724</v>
      </c>
      <c r="B1143" s="6" t="s">
        <v>4724</v>
      </c>
      <c r="C1143" s="6" t="e">
        <v>#N/A</v>
      </c>
      <c r="D1143" s="6" t="e">
        <v>#N/A</v>
      </c>
      <c r="E1143" s="6" t="e">
        <v>#N/A</v>
      </c>
      <c r="F1143" s="6" t="e">
        <v>#N/A</v>
      </c>
      <c r="G1143" s="6">
        <v>0.0</v>
      </c>
      <c r="H1143" s="7" t="e">
        <v>#N/A</v>
      </c>
      <c r="I1143" s="6" t="e">
        <v>#N/A</v>
      </c>
      <c r="J1143" s="6" t="e">
        <v>#N/A</v>
      </c>
      <c r="K1143" s="6" t="str">
        <f>VLOOKUP(A1143,Sheet4!$A:$H,7,0)</f>
        <v>#N/A</v>
      </c>
      <c r="L1143" s="6" t="str">
        <f>VLOOKUP(B1143,Sheet4!$A:$H,8,0)</f>
        <v>#N/A</v>
      </c>
      <c r="M1143" s="6" t="str">
        <f t="shared" si="16"/>
        <v>#REF!</v>
      </c>
      <c r="N1143" s="6" t="str">
        <f>VLOOKUP(A1143, Sheet2!A:M, 3, FALSE)</f>
        <v>#N/A</v>
      </c>
      <c r="O1143" s="10" t="e">
        <v>#N/A</v>
      </c>
      <c r="P1143" s="10" t="e">
        <v>#N/A</v>
      </c>
    </row>
    <row r="1144">
      <c r="A1144" s="6" t="s">
        <v>4725</v>
      </c>
      <c r="B1144" s="6" t="s">
        <v>4725</v>
      </c>
      <c r="C1144" s="6" t="e">
        <v>#N/A</v>
      </c>
      <c r="D1144" s="6" t="e">
        <v>#N/A</v>
      </c>
      <c r="E1144" s="6" t="e">
        <v>#N/A</v>
      </c>
      <c r="F1144" s="6" t="e">
        <v>#N/A</v>
      </c>
      <c r="G1144" s="6">
        <v>0.0</v>
      </c>
      <c r="H1144" s="7" t="e">
        <v>#N/A</v>
      </c>
      <c r="I1144" s="6" t="e">
        <v>#N/A</v>
      </c>
      <c r="J1144" s="6" t="e">
        <v>#N/A</v>
      </c>
      <c r="K1144" s="6" t="str">
        <f>VLOOKUP(A1144,Sheet4!$A:$H,7,0)</f>
        <v>#N/A</v>
      </c>
      <c r="L1144" s="6" t="str">
        <f>VLOOKUP(B1144,Sheet4!$A:$H,8,0)</f>
        <v>#N/A</v>
      </c>
      <c r="M1144" s="6" t="str">
        <f t="shared" si="16"/>
        <v>#REF!</v>
      </c>
      <c r="N1144" s="6" t="str">
        <f>VLOOKUP(A1144, Sheet2!A:M, 3, FALSE)</f>
        <v>#N/A</v>
      </c>
      <c r="O1144" s="10" t="e">
        <v>#N/A</v>
      </c>
      <c r="P1144" s="10" t="e">
        <v>#N/A</v>
      </c>
    </row>
    <row r="1145">
      <c r="A1145" s="6" t="s">
        <v>4726</v>
      </c>
      <c r="B1145" s="6" t="s">
        <v>4726</v>
      </c>
      <c r="C1145" s="6" t="e">
        <v>#N/A</v>
      </c>
      <c r="D1145" s="6" t="e">
        <v>#N/A</v>
      </c>
      <c r="E1145" s="6" t="e">
        <v>#N/A</v>
      </c>
      <c r="F1145" s="6" t="e">
        <v>#N/A</v>
      </c>
      <c r="G1145" s="6">
        <v>0.0</v>
      </c>
      <c r="H1145" s="7" t="e">
        <v>#N/A</v>
      </c>
      <c r="I1145" s="6" t="e">
        <v>#N/A</v>
      </c>
      <c r="J1145" s="6" t="e">
        <v>#N/A</v>
      </c>
      <c r="K1145" s="6" t="str">
        <f>VLOOKUP(A1145,Sheet4!$A:$H,7,0)</f>
        <v>#N/A</v>
      </c>
      <c r="L1145" s="11" t="s">
        <v>4727</v>
      </c>
      <c r="M1145" s="6" t="str">
        <f t="shared" si="16"/>
        <v>#REF!</v>
      </c>
      <c r="N1145" s="6" t="str">
        <f>VLOOKUP(A1145, Sheet2!A:M, 3, FALSE)</f>
        <v>#N/A</v>
      </c>
      <c r="O1145" s="10" t="e">
        <v>#N/A</v>
      </c>
      <c r="P1145" s="10" t="e">
        <v>#N/A</v>
      </c>
    </row>
    <row r="1146">
      <c r="A1146" s="6" t="s">
        <v>4728</v>
      </c>
      <c r="B1146" s="6" t="s">
        <v>4728</v>
      </c>
      <c r="C1146" s="6" t="e">
        <v>#N/A</v>
      </c>
      <c r="D1146" s="6" t="e">
        <v>#N/A</v>
      </c>
      <c r="E1146" s="6" t="e">
        <v>#N/A</v>
      </c>
      <c r="F1146" s="6" t="e">
        <v>#N/A</v>
      </c>
      <c r="G1146" s="6">
        <v>0.0</v>
      </c>
      <c r="H1146" s="7" t="e">
        <v>#N/A</v>
      </c>
      <c r="I1146" s="6" t="e">
        <v>#N/A</v>
      </c>
      <c r="J1146" s="6" t="e">
        <v>#N/A</v>
      </c>
      <c r="K1146" s="11" t="s">
        <v>4729</v>
      </c>
      <c r="L1146" s="11" t="s">
        <v>4730</v>
      </c>
      <c r="M1146" s="6" t="str">
        <f t="shared" si="16"/>
        <v>#REF!</v>
      </c>
      <c r="N1146" s="6" t="str">
        <f>VLOOKUP(A1146, Sheet2!A:M, 3, FALSE)</f>
        <v/>
      </c>
      <c r="O1146" s="10" t="e">
        <v>#N/A</v>
      </c>
    </row>
    <row r="1147">
      <c r="A1147" s="6" t="s">
        <v>4731</v>
      </c>
      <c r="B1147" s="6" t="s">
        <v>4731</v>
      </c>
      <c r="C1147" s="6" t="s">
        <v>4732</v>
      </c>
      <c r="D1147" s="6" t="s">
        <v>4733</v>
      </c>
      <c r="E1147" s="6" t="e">
        <v>#N/A</v>
      </c>
      <c r="F1147" s="6">
        <v>0.0</v>
      </c>
      <c r="G1147" s="6" t="s">
        <v>4734</v>
      </c>
      <c r="H1147" s="7" t="s">
        <v>4735</v>
      </c>
      <c r="I1147" s="6" t="e">
        <v>#N/A</v>
      </c>
      <c r="J1147" s="6" t="e">
        <v>#N/A</v>
      </c>
      <c r="K1147" s="11" t="s">
        <v>4729</v>
      </c>
      <c r="L1147" s="11" t="s">
        <v>4730</v>
      </c>
      <c r="M1147" s="6" t="str">
        <f t="shared" si="16"/>
        <v>#REF!</v>
      </c>
      <c r="N1147" s="6" t="str">
        <f>VLOOKUP(A1147, Sheet2!A:M, 3, FALSE)</f>
        <v/>
      </c>
      <c r="O1147" s="10" t="e">
        <v>#N/A</v>
      </c>
    </row>
    <row r="1148">
      <c r="A1148" s="6" t="s">
        <v>4736</v>
      </c>
      <c r="B1148" s="6" t="s">
        <v>4736</v>
      </c>
      <c r="C1148" s="6" t="e">
        <v>#N/A</v>
      </c>
      <c r="D1148" s="6" t="e">
        <v>#N/A</v>
      </c>
      <c r="E1148" s="6" t="e">
        <v>#N/A</v>
      </c>
      <c r="F1148" s="6" t="e">
        <v>#N/A</v>
      </c>
      <c r="G1148" s="6">
        <v>0.0</v>
      </c>
      <c r="H1148" s="7" t="e">
        <v>#N/A</v>
      </c>
      <c r="I1148" s="6" t="e">
        <v>#N/A</v>
      </c>
      <c r="J1148" s="6" t="e">
        <v>#N/A</v>
      </c>
      <c r="K1148" s="11" t="s">
        <v>4729</v>
      </c>
      <c r="L1148" s="11" t="s">
        <v>4730</v>
      </c>
      <c r="M1148" s="6" t="str">
        <f t="shared" si="16"/>
        <v>#REF!</v>
      </c>
      <c r="N1148" s="6" t="str">
        <f>VLOOKUP(A1148, Sheet2!A:M, 3, FALSE)</f>
        <v/>
      </c>
      <c r="O1148" s="10" t="e">
        <v>#N/A</v>
      </c>
    </row>
    <row r="1149">
      <c r="A1149" s="6" t="s">
        <v>4737</v>
      </c>
      <c r="B1149" s="6" t="s">
        <v>4737</v>
      </c>
      <c r="C1149" s="6" t="s">
        <v>4738</v>
      </c>
      <c r="D1149" s="6" t="s">
        <v>4739</v>
      </c>
      <c r="E1149" s="6" t="e">
        <v>#N/A</v>
      </c>
      <c r="F1149" s="6">
        <v>0.0</v>
      </c>
      <c r="G1149" s="6" t="s">
        <v>4740</v>
      </c>
      <c r="H1149" s="7" t="s">
        <v>4741</v>
      </c>
      <c r="I1149" s="6" t="e">
        <v>#N/A</v>
      </c>
      <c r="J1149" s="6" t="e">
        <v>#N/A</v>
      </c>
      <c r="K1149" s="11" t="s">
        <v>4729</v>
      </c>
      <c r="L1149" s="11" t="s">
        <v>4730</v>
      </c>
      <c r="M1149" s="6" t="str">
        <f t="shared" si="16"/>
        <v>#REF!</v>
      </c>
      <c r="N1149" s="6" t="str">
        <f>VLOOKUP(A1149, Sheet2!A:M, 3, FALSE)</f>
        <v/>
      </c>
      <c r="O1149" s="10" t="e">
        <v>#N/A</v>
      </c>
    </row>
    <row r="1150">
      <c r="A1150" s="6" t="s">
        <v>4742</v>
      </c>
      <c r="B1150" s="6" t="s">
        <v>4742</v>
      </c>
      <c r="C1150" s="6" t="e">
        <v>#N/A</v>
      </c>
      <c r="D1150" s="6" t="e">
        <v>#N/A</v>
      </c>
      <c r="E1150" s="6" t="e">
        <v>#N/A</v>
      </c>
      <c r="F1150" s="6" t="e">
        <v>#N/A</v>
      </c>
      <c r="G1150" s="6">
        <v>0.0</v>
      </c>
      <c r="H1150" s="7" t="e">
        <v>#N/A</v>
      </c>
      <c r="I1150" s="6" t="e">
        <v>#N/A</v>
      </c>
      <c r="J1150" s="6" t="e">
        <v>#N/A</v>
      </c>
      <c r="K1150" s="11" t="s">
        <v>4729</v>
      </c>
      <c r="L1150" s="11" t="s">
        <v>4730</v>
      </c>
      <c r="M1150" s="6" t="str">
        <f t="shared" si="16"/>
        <v>#REF!</v>
      </c>
      <c r="N1150" s="6" t="str">
        <f>VLOOKUP(A1150, Sheet2!A:M, 3, FALSE)</f>
        <v/>
      </c>
      <c r="O1150" s="10" t="e">
        <v>#N/A</v>
      </c>
    </row>
    <row r="1151">
      <c r="A1151" s="6" t="s">
        <v>4743</v>
      </c>
      <c r="B1151" s="6" t="s">
        <v>4743</v>
      </c>
      <c r="C1151" s="6" t="e">
        <v>#N/A</v>
      </c>
      <c r="D1151" s="6" t="e">
        <v>#N/A</v>
      </c>
      <c r="E1151" s="6" t="e">
        <v>#N/A</v>
      </c>
      <c r="F1151" s="6" t="e">
        <v>#N/A</v>
      </c>
      <c r="G1151" s="6">
        <v>0.0</v>
      </c>
      <c r="H1151" s="7" t="e">
        <v>#N/A</v>
      </c>
      <c r="I1151" s="6" t="e">
        <v>#N/A</v>
      </c>
      <c r="J1151" s="6" t="e">
        <v>#N/A</v>
      </c>
      <c r="K1151" s="11" t="s">
        <v>4729</v>
      </c>
      <c r="L1151" s="11" t="s">
        <v>4730</v>
      </c>
      <c r="M1151" s="6" t="str">
        <f t="shared" si="16"/>
        <v>#REF!</v>
      </c>
      <c r="N1151" s="6" t="str">
        <f>VLOOKUP(A1151, Sheet2!A:M, 3, FALSE)</f>
        <v/>
      </c>
      <c r="O1151" s="10" t="e">
        <v>#N/A</v>
      </c>
    </row>
    <row r="1152">
      <c r="A1152" s="6" t="s">
        <v>4744</v>
      </c>
      <c r="B1152" s="6" t="s">
        <v>4744</v>
      </c>
      <c r="C1152" s="6" t="s">
        <v>4745</v>
      </c>
      <c r="D1152" s="6" t="s">
        <v>4746</v>
      </c>
      <c r="E1152" s="6" t="e">
        <v>#N/A</v>
      </c>
      <c r="F1152" s="6">
        <v>0.0</v>
      </c>
      <c r="G1152" s="6" t="s">
        <v>4747</v>
      </c>
      <c r="H1152" s="7" t="s">
        <v>4748</v>
      </c>
      <c r="I1152" s="6" t="e">
        <v>#N/A</v>
      </c>
      <c r="J1152" s="6" t="e">
        <v>#N/A</v>
      </c>
      <c r="K1152" s="11" t="s">
        <v>4729</v>
      </c>
      <c r="L1152" s="11" t="s">
        <v>4730</v>
      </c>
      <c r="M1152" s="6" t="str">
        <f t="shared" si="16"/>
        <v>#REF!</v>
      </c>
      <c r="N1152" s="6" t="str">
        <f>VLOOKUP(A1152, Sheet2!A:M, 3, FALSE)</f>
        <v/>
      </c>
      <c r="O1152" s="10" t="e">
        <v>#N/A</v>
      </c>
    </row>
    <row r="1153">
      <c r="A1153" s="6" t="s">
        <v>4749</v>
      </c>
      <c r="B1153" s="6" t="s">
        <v>4749</v>
      </c>
      <c r="C1153" s="6" t="e">
        <v>#N/A</v>
      </c>
      <c r="D1153" s="6" t="e">
        <v>#N/A</v>
      </c>
      <c r="E1153" s="6" t="e">
        <v>#N/A</v>
      </c>
      <c r="F1153" s="6" t="e">
        <v>#N/A</v>
      </c>
      <c r="G1153" s="6">
        <v>0.0</v>
      </c>
      <c r="H1153" s="7" t="e">
        <v>#N/A</v>
      </c>
      <c r="I1153" s="6" t="e">
        <v>#N/A</v>
      </c>
      <c r="J1153" s="6" t="e">
        <v>#N/A</v>
      </c>
      <c r="K1153" s="11" t="s">
        <v>4729</v>
      </c>
      <c r="L1153" s="11" t="s">
        <v>4730</v>
      </c>
      <c r="M1153" s="6" t="str">
        <f t="shared" si="16"/>
        <v>#REF!</v>
      </c>
      <c r="N1153" s="6" t="str">
        <f>VLOOKUP(A1153, Sheet2!A:M, 3, FALSE)</f>
        <v/>
      </c>
      <c r="O1153" s="10" t="e">
        <v>#N/A</v>
      </c>
    </row>
    <row r="1154">
      <c r="A1154" s="6" t="s">
        <v>4750</v>
      </c>
      <c r="B1154" s="6" t="s">
        <v>4750</v>
      </c>
      <c r="C1154" s="6" t="e">
        <v>#N/A</v>
      </c>
      <c r="D1154" s="6" t="e">
        <v>#N/A</v>
      </c>
      <c r="E1154" s="6" t="e">
        <v>#N/A</v>
      </c>
      <c r="F1154" s="6" t="e">
        <v>#N/A</v>
      </c>
      <c r="G1154" s="6">
        <v>0.0</v>
      </c>
      <c r="H1154" s="7" t="e">
        <v>#N/A</v>
      </c>
      <c r="I1154" s="6" t="e">
        <v>#N/A</v>
      </c>
      <c r="J1154" s="6" t="e">
        <v>#N/A</v>
      </c>
      <c r="K1154" s="11" t="s">
        <v>4729</v>
      </c>
      <c r="L1154" s="11" t="s">
        <v>4730</v>
      </c>
      <c r="M1154" s="6" t="str">
        <f t="shared" si="16"/>
        <v>#REF!</v>
      </c>
      <c r="N1154" s="6" t="str">
        <f>VLOOKUP(A1154, Sheet2!A:M, 3, FALSE)</f>
        <v/>
      </c>
      <c r="O1154" s="10" t="e">
        <v>#N/A</v>
      </c>
    </row>
    <row r="1155">
      <c r="A1155" s="6" t="s">
        <v>336</v>
      </c>
      <c r="B1155" s="6" t="s">
        <v>336</v>
      </c>
      <c r="C1155" s="6" t="s">
        <v>337</v>
      </c>
      <c r="D1155" s="16" t="s">
        <v>4751</v>
      </c>
      <c r="E1155" s="6" t="e">
        <v>#N/A</v>
      </c>
      <c r="F1155" s="6" t="e">
        <v>#N/A</v>
      </c>
      <c r="G1155" s="6" t="s">
        <v>339</v>
      </c>
      <c r="H1155" s="7" t="s">
        <v>340</v>
      </c>
      <c r="I1155" s="6" t="e">
        <v>#N/A</v>
      </c>
      <c r="J1155" s="6" t="e">
        <v>#N/A</v>
      </c>
      <c r="K1155" s="6" t="str">
        <f>VLOOKUP(A1155,Sheet4!$A:$H,7,0)</f>
        <v>Original Mattress</v>
      </c>
      <c r="L1155" s="6" t="str">
        <f>VLOOKUP(B1155,Sheet4!$A:$H,8,0)</f>
        <v>Mattress</v>
      </c>
      <c r="M1155" s="6">
        <v>15699.0</v>
      </c>
      <c r="N1155" s="8">
        <v>12716.0</v>
      </c>
      <c r="O1155" s="9">
        <v>13699.0</v>
      </c>
      <c r="P1155" s="10">
        <v>11931.24</v>
      </c>
    </row>
    <row r="1156">
      <c r="A1156" s="6" t="s">
        <v>639</v>
      </c>
      <c r="B1156" s="6" t="s">
        <v>639</v>
      </c>
      <c r="C1156" s="6" t="s">
        <v>640</v>
      </c>
      <c r="D1156" s="16" t="s">
        <v>4752</v>
      </c>
      <c r="E1156" s="6" t="e">
        <v>#N/A</v>
      </c>
      <c r="F1156" s="6" t="e">
        <v>#N/A</v>
      </c>
      <c r="G1156" s="6" t="s">
        <v>643</v>
      </c>
      <c r="H1156" s="7" t="s">
        <v>644</v>
      </c>
      <c r="I1156" s="6" t="e">
        <v>#N/A</v>
      </c>
      <c r="J1156" s="6" t="e">
        <v>#N/A</v>
      </c>
      <c r="K1156" s="6" t="str">
        <f>VLOOKUP(A1156,Sheet4!$A:$H,7,0)</f>
        <v>Original Mattress</v>
      </c>
      <c r="L1156" s="6" t="str">
        <f>VLOOKUP(B1156,Sheet4!$A:$H,8,0)</f>
        <v>Mattress</v>
      </c>
      <c r="M1156" s="6">
        <v>21199.0</v>
      </c>
      <c r="N1156" s="8">
        <v>17171.0</v>
      </c>
      <c r="O1156" s="9">
        <v>18399.0</v>
      </c>
      <c r="P1156" s="10">
        <v>16111.24</v>
      </c>
    </row>
    <row r="1157">
      <c r="A1157" s="6" t="s">
        <v>2415</v>
      </c>
      <c r="B1157" s="6" t="s">
        <v>2415</v>
      </c>
      <c r="C1157" s="6" t="s">
        <v>4753</v>
      </c>
      <c r="D1157" s="16" t="s">
        <v>4754</v>
      </c>
      <c r="E1157" s="6" t="e">
        <v>#N/A</v>
      </c>
      <c r="F1157" s="6" t="e">
        <v>#N/A</v>
      </c>
      <c r="G1157" s="6" t="s">
        <v>2417</v>
      </c>
      <c r="H1157" s="7" t="s">
        <v>4755</v>
      </c>
      <c r="I1157" s="6" t="e">
        <v>#N/A</v>
      </c>
      <c r="J1157" s="6" t="e">
        <v>#N/A</v>
      </c>
      <c r="K1157" s="6" t="str">
        <f>VLOOKUP(A1157,Sheet4!$A:$H,7,0)</f>
        <v>Cloud Pillow</v>
      </c>
      <c r="L1157" s="6" t="str">
        <f>VLOOKUP(B1157,Sheet4!$A:$H,8,0)</f>
        <v>Pillows</v>
      </c>
      <c r="M1157" s="6">
        <v>2599.0</v>
      </c>
      <c r="N1157" s="8">
        <v>2199.0</v>
      </c>
      <c r="O1157" s="9">
        <v>2499.0</v>
      </c>
      <c r="P1157" s="10">
        <v>1899.0</v>
      </c>
    </row>
    <row r="1158">
      <c r="A1158" s="6" t="s">
        <v>2411</v>
      </c>
      <c r="B1158" s="6" t="s">
        <v>2411</v>
      </c>
      <c r="C1158" s="6" t="s">
        <v>4756</v>
      </c>
      <c r="D1158" s="16" t="s">
        <v>4757</v>
      </c>
      <c r="E1158" s="6" t="e">
        <v>#N/A</v>
      </c>
      <c r="F1158" s="6" t="e">
        <v>#N/A</v>
      </c>
      <c r="G1158" s="6" t="s">
        <v>2414</v>
      </c>
      <c r="H1158" s="7" t="s">
        <v>4758</v>
      </c>
      <c r="I1158" s="6" t="e">
        <v>#N/A</v>
      </c>
      <c r="J1158" s="6" t="e">
        <v>#N/A</v>
      </c>
      <c r="K1158" s="6" t="str">
        <f>VLOOKUP(A1158,Sheet4!$A:$H,7,0)</f>
        <v>Cloud Pillow</v>
      </c>
      <c r="L1158" s="6" t="str">
        <f>VLOOKUP(B1158,Sheet4!$A:$H,8,0)</f>
        <v>Pillows</v>
      </c>
      <c r="M1158" s="6">
        <v>1489.0</v>
      </c>
      <c r="N1158" s="8">
        <v>1149.0</v>
      </c>
      <c r="O1158" s="9">
        <v>1299.0</v>
      </c>
      <c r="P1158" s="10">
        <v>999.0</v>
      </c>
    </row>
    <row r="1159">
      <c r="A1159" s="6" t="s">
        <v>93</v>
      </c>
      <c r="B1159" s="6" t="s">
        <v>93</v>
      </c>
      <c r="C1159" s="6" t="s">
        <v>94</v>
      </c>
      <c r="D1159" s="16" t="s">
        <v>4759</v>
      </c>
      <c r="E1159" s="6" t="e">
        <v>#N/A</v>
      </c>
      <c r="F1159" s="6" t="e">
        <v>#N/A</v>
      </c>
      <c r="G1159" s="6" t="s">
        <v>97</v>
      </c>
      <c r="H1159" s="7" t="s">
        <v>98</v>
      </c>
      <c r="I1159" s="6" t="e">
        <v>#N/A</v>
      </c>
      <c r="J1159" s="6" t="e">
        <v>#N/A</v>
      </c>
      <c r="K1159" s="6" t="str">
        <f>VLOOKUP(A1159,Sheet4!$A:$H,7,0)</f>
        <v>Original Mattress</v>
      </c>
      <c r="L1159" s="6" t="str">
        <f>VLOOKUP(B1159,Sheet4!$A:$H,8,0)</f>
        <v>Mattress</v>
      </c>
      <c r="M1159" s="6">
        <v>13499.0</v>
      </c>
      <c r="N1159" s="8">
        <v>10934.0</v>
      </c>
      <c r="O1159" s="9">
        <v>11699.0</v>
      </c>
      <c r="P1159" s="10">
        <v>10259.24</v>
      </c>
    </row>
    <row r="1160">
      <c r="A1160" s="6" t="s">
        <v>4760</v>
      </c>
      <c r="B1160" s="6" t="s">
        <v>4760</v>
      </c>
      <c r="C1160" s="6" t="s">
        <v>4761</v>
      </c>
      <c r="D1160" s="16" t="s">
        <v>4762</v>
      </c>
      <c r="E1160" s="6" t="e">
        <v>#N/A</v>
      </c>
      <c r="F1160" s="6" t="e">
        <v>#N/A</v>
      </c>
      <c r="G1160" s="6">
        <v>0.0</v>
      </c>
      <c r="H1160" s="7" t="s">
        <v>4763</v>
      </c>
      <c r="I1160" s="6" t="e">
        <v>#N/A</v>
      </c>
      <c r="J1160" s="6" t="e">
        <v>#N/A</v>
      </c>
      <c r="K1160" s="6" t="str">
        <f>VLOOKUP(A1160,Sheet4!$A:$H,7,0)</f>
        <v>Ultima Mattress</v>
      </c>
      <c r="L1160" s="6" t="str">
        <f>VLOOKUP(B1160,Sheet4!$A:$H,8,0)</f>
        <v>Mattress</v>
      </c>
      <c r="M1160" s="6">
        <v>18999.0</v>
      </c>
      <c r="N1160" s="8">
        <v>17099.0</v>
      </c>
      <c r="O1160" s="9">
        <v>17999.0</v>
      </c>
      <c r="P1160" s="10">
        <v>14629.23</v>
      </c>
    </row>
    <row r="1161">
      <c r="A1161" s="6" t="s">
        <v>4760</v>
      </c>
      <c r="B1161" s="6" t="s">
        <v>4760</v>
      </c>
      <c r="C1161" s="6" t="s">
        <v>4761</v>
      </c>
      <c r="D1161" s="16" t="s">
        <v>4760</v>
      </c>
      <c r="E1161" s="6" t="e">
        <v>#N/A</v>
      </c>
      <c r="F1161" s="6" t="e">
        <v>#N/A</v>
      </c>
      <c r="G1161" s="6">
        <v>0.0</v>
      </c>
      <c r="H1161" s="7" t="s">
        <v>4763</v>
      </c>
      <c r="I1161" s="6" t="e">
        <v>#N/A</v>
      </c>
      <c r="J1161" s="6" t="e">
        <v>#N/A</v>
      </c>
      <c r="K1161" s="6" t="str">
        <f>VLOOKUP(A1161,Sheet4!$A:$H,7,0)</f>
        <v>Ultima Mattress</v>
      </c>
      <c r="L1161" s="6" t="str">
        <f>VLOOKUP(B1161,Sheet4!$A:$H,8,0)</f>
        <v>Mattress</v>
      </c>
      <c r="M1161" s="6">
        <v>18999.0</v>
      </c>
      <c r="N1161" s="8">
        <v>17099.0</v>
      </c>
      <c r="O1161" s="9">
        <v>17999.0</v>
      </c>
      <c r="P1161" s="10">
        <v>14629.23</v>
      </c>
    </row>
    <row r="1162">
      <c r="A1162" s="6" t="s">
        <v>4764</v>
      </c>
      <c r="B1162" s="6" t="s">
        <v>4764</v>
      </c>
      <c r="C1162" s="6" t="s">
        <v>4765</v>
      </c>
      <c r="D1162" s="16" t="s">
        <v>4766</v>
      </c>
      <c r="E1162" s="6" t="e">
        <v>#N/A</v>
      </c>
      <c r="F1162" s="6" t="e">
        <v>#N/A</v>
      </c>
      <c r="G1162" s="6">
        <v>0.0</v>
      </c>
      <c r="H1162" s="7" t="s">
        <v>4767</v>
      </c>
      <c r="I1162" s="6" t="e">
        <v>#N/A</v>
      </c>
      <c r="J1162" s="6" t="e">
        <v>#N/A</v>
      </c>
      <c r="K1162" s="6" t="str">
        <f>VLOOKUP(A1162,Sheet4!$A:$H,7,0)</f>
        <v>Ultima Mattress</v>
      </c>
      <c r="L1162" s="6" t="str">
        <f>VLOOKUP(B1162,Sheet4!$A:$H,8,0)</f>
        <v>Mattress</v>
      </c>
      <c r="M1162" s="6">
        <v>25999.0</v>
      </c>
      <c r="N1162" s="8">
        <v>23399.0</v>
      </c>
      <c r="O1162" s="9">
        <v>24699.0</v>
      </c>
      <c r="P1162" s="10">
        <v>20019.23</v>
      </c>
    </row>
    <row r="1163">
      <c r="A1163" s="6" t="s">
        <v>4764</v>
      </c>
      <c r="B1163" s="6" t="s">
        <v>4764</v>
      </c>
      <c r="C1163" s="6" t="s">
        <v>4765</v>
      </c>
      <c r="D1163" s="16" t="s">
        <v>4764</v>
      </c>
      <c r="E1163" s="6" t="e">
        <v>#N/A</v>
      </c>
      <c r="F1163" s="6" t="e">
        <v>#N/A</v>
      </c>
      <c r="G1163" s="6">
        <v>0.0</v>
      </c>
      <c r="H1163" s="7" t="s">
        <v>4767</v>
      </c>
      <c r="I1163" s="6" t="e">
        <v>#N/A</v>
      </c>
      <c r="J1163" s="6" t="e">
        <v>#N/A</v>
      </c>
      <c r="K1163" s="6" t="str">
        <f>VLOOKUP(A1163,Sheet4!$A:$H,7,0)</f>
        <v>Ultima Mattress</v>
      </c>
      <c r="L1163" s="6" t="str">
        <f>VLOOKUP(B1163,Sheet4!$A:$H,8,0)</f>
        <v>Mattress</v>
      </c>
      <c r="M1163" s="6">
        <v>25999.0</v>
      </c>
      <c r="N1163" s="8">
        <v>23399.0</v>
      </c>
      <c r="O1163" s="9">
        <v>24699.0</v>
      </c>
      <c r="P1163" s="10">
        <v>20019.23</v>
      </c>
    </row>
    <row r="1164">
      <c r="A1164" s="6" t="s">
        <v>1170</v>
      </c>
      <c r="B1164" s="6" t="s">
        <v>1170</v>
      </c>
      <c r="C1164" s="6" t="s">
        <v>4768</v>
      </c>
      <c r="D1164" s="16" t="s">
        <v>4769</v>
      </c>
      <c r="E1164" s="6" t="e">
        <v>#N/A</v>
      </c>
      <c r="F1164" s="6" t="e">
        <v>#N/A</v>
      </c>
      <c r="G1164" s="6">
        <v>0.0</v>
      </c>
      <c r="H1164" s="7" t="s">
        <v>4770</v>
      </c>
      <c r="I1164" s="6" t="e">
        <v>#N/A</v>
      </c>
      <c r="J1164" s="6" t="e">
        <v>#N/A</v>
      </c>
      <c r="K1164" s="6" t="str">
        <f>VLOOKUP(A1164,Sheet4!$A:$H,7,0)</f>
        <v>Pet Bed</v>
      </c>
      <c r="L1164" s="6" t="str">
        <f>VLOOKUP(B1164,Sheet4!$A:$H,8,0)</f>
        <v>Beds</v>
      </c>
      <c r="M1164" s="6">
        <v>2489.0</v>
      </c>
      <c r="N1164" s="8">
        <v>1788.0</v>
      </c>
      <c r="O1164" s="9">
        <v>1799.0</v>
      </c>
      <c r="P1164" s="10">
        <v>1742.3</v>
      </c>
    </row>
    <row r="1165">
      <c r="A1165" s="6" t="s">
        <v>4771</v>
      </c>
      <c r="B1165" s="6" t="s">
        <v>4771</v>
      </c>
      <c r="C1165" s="6" t="s">
        <v>4772</v>
      </c>
      <c r="D1165" s="16" t="s">
        <v>4773</v>
      </c>
      <c r="E1165" s="6" t="e">
        <v>#N/A</v>
      </c>
      <c r="F1165" s="6" t="e">
        <v>#N/A</v>
      </c>
      <c r="G1165" s="6">
        <v>0.0</v>
      </c>
      <c r="H1165" s="7" t="s">
        <v>4774</v>
      </c>
      <c r="I1165" s="6" t="e">
        <v>#N/A</v>
      </c>
      <c r="J1165" s="6" t="e">
        <v>#N/A</v>
      </c>
      <c r="K1165" s="11" t="s">
        <v>4729</v>
      </c>
      <c r="L1165" s="11" t="s">
        <v>4730</v>
      </c>
      <c r="M1165" s="6" t="str">
        <f t="shared" ref="M1165:M1168" si="17">VLOOKUP(A1165,#REF!,2,FALSE)</f>
        <v>#REF!</v>
      </c>
      <c r="N1165" s="6" t="str">
        <f>VLOOKUP(A1165, Sheet2!A:M, 3, FALSE)</f>
        <v/>
      </c>
      <c r="O1165" s="10" t="e">
        <v>#N/A</v>
      </c>
    </row>
    <row r="1166">
      <c r="A1166" s="6" t="s">
        <v>1956</v>
      </c>
      <c r="B1166" s="6" t="s">
        <v>1956</v>
      </c>
      <c r="C1166" s="6" t="s">
        <v>4775</v>
      </c>
      <c r="D1166" s="16" t="s">
        <v>4776</v>
      </c>
      <c r="E1166" s="6" t="e">
        <v>#N/A</v>
      </c>
      <c r="F1166" s="6" t="e">
        <v>#N/A</v>
      </c>
      <c r="G1166" s="6">
        <v>0.0</v>
      </c>
      <c r="H1166" s="7">
        <v>0.0</v>
      </c>
      <c r="I1166" s="6" t="e">
        <v>#N/A</v>
      </c>
      <c r="J1166" s="6" t="e">
        <v>#N/A</v>
      </c>
      <c r="K1166" s="11" t="s">
        <v>1921</v>
      </c>
      <c r="L1166" s="11" t="s">
        <v>52</v>
      </c>
      <c r="M1166" s="6" t="str">
        <f t="shared" si="17"/>
        <v>#REF!</v>
      </c>
      <c r="N1166" s="6" t="str">
        <f>VLOOKUP(A1166, Sheet2!A:M, 3, FALSE)</f>
        <v>#N/A</v>
      </c>
      <c r="O1166" s="10" t="e">
        <v>#N/A</v>
      </c>
      <c r="P1166" s="10" t="e">
        <v>#N/A</v>
      </c>
    </row>
    <row r="1167">
      <c r="A1167" s="6" t="s">
        <v>1941</v>
      </c>
      <c r="B1167" s="6" t="s">
        <v>1941</v>
      </c>
      <c r="C1167" s="6" t="s">
        <v>4777</v>
      </c>
      <c r="D1167" s="16" t="s">
        <v>4778</v>
      </c>
      <c r="E1167" s="6" t="e">
        <v>#N/A</v>
      </c>
      <c r="F1167" s="6" t="e">
        <v>#N/A</v>
      </c>
      <c r="G1167" s="6">
        <v>0.0</v>
      </c>
      <c r="H1167" s="7">
        <v>0.0</v>
      </c>
      <c r="I1167" s="6" t="e">
        <v>#N/A</v>
      </c>
      <c r="J1167" s="6" t="e">
        <v>#N/A</v>
      </c>
      <c r="K1167" s="11" t="s">
        <v>1921</v>
      </c>
      <c r="L1167" s="11" t="s">
        <v>52</v>
      </c>
      <c r="M1167" s="6" t="str">
        <f t="shared" si="17"/>
        <v>#REF!</v>
      </c>
      <c r="N1167" s="6" t="str">
        <f>VLOOKUP(A1167, Sheet2!A:M, 3, FALSE)</f>
        <v>#N/A</v>
      </c>
      <c r="O1167" s="10" t="e">
        <v>#N/A</v>
      </c>
      <c r="P1167" s="10" t="e">
        <v>#N/A</v>
      </c>
    </row>
    <row r="1168">
      <c r="A1168" s="6" t="s">
        <v>1947</v>
      </c>
      <c r="B1168" s="6" t="s">
        <v>1947</v>
      </c>
      <c r="C1168" s="6" t="s">
        <v>4779</v>
      </c>
      <c r="D1168" s="16" t="s">
        <v>4780</v>
      </c>
      <c r="E1168" s="6" t="e">
        <v>#N/A</v>
      </c>
      <c r="F1168" s="6" t="e">
        <v>#N/A</v>
      </c>
      <c r="G1168" s="6">
        <v>0.0</v>
      </c>
      <c r="H1168" s="7">
        <v>0.0</v>
      </c>
      <c r="I1168" s="6" t="e">
        <v>#N/A</v>
      </c>
      <c r="J1168" s="6" t="e">
        <v>#N/A</v>
      </c>
      <c r="K1168" s="11" t="s">
        <v>1921</v>
      </c>
      <c r="L1168" s="11" t="s">
        <v>52</v>
      </c>
      <c r="M1168" s="6" t="str">
        <f t="shared" si="17"/>
        <v>#REF!</v>
      </c>
      <c r="N1168" s="6" t="str">
        <f>VLOOKUP(A1168, Sheet2!A:M, 3, FALSE)</f>
        <v>#N/A</v>
      </c>
      <c r="O1168" s="10" t="e">
        <v>#N/A</v>
      </c>
      <c r="P1168" s="10" t="e">
        <v>#N/A</v>
      </c>
    </row>
    <row r="1169">
      <c r="A1169" s="6" t="s">
        <v>2438</v>
      </c>
      <c r="B1169" s="6" t="s">
        <v>2438</v>
      </c>
      <c r="C1169" s="6" t="s">
        <v>4781</v>
      </c>
      <c r="D1169" s="16" t="s">
        <v>4782</v>
      </c>
      <c r="E1169" s="6" t="e">
        <v>#N/A</v>
      </c>
      <c r="F1169" s="6" t="e">
        <v>#N/A</v>
      </c>
      <c r="G1169" s="6">
        <v>0.0</v>
      </c>
      <c r="H1169" s="7" t="s">
        <v>4783</v>
      </c>
      <c r="I1169" s="6" t="e">
        <v>#N/A</v>
      </c>
      <c r="J1169" s="6" t="e">
        <v>#N/A</v>
      </c>
      <c r="K1169" s="6" t="str">
        <f>VLOOKUP(A1169,Sheet4!$A:$H,7,0)</f>
        <v>Standard Latex Pillow</v>
      </c>
      <c r="L1169" s="6" t="str">
        <f>VLOOKUP(B1169,Sheet4!$A:$H,8,0)</f>
        <v>Pillows</v>
      </c>
      <c r="M1169" s="6">
        <v>2589.0</v>
      </c>
      <c r="N1169" s="8">
        <v>2330.0</v>
      </c>
      <c r="O1169" s="9">
        <v>2330.0</v>
      </c>
      <c r="P1169" s="10">
        <v>2199.0</v>
      </c>
    </row>
    <row r="1170">
      <c r="A1170" s="6" t="s">
        <v>4784</v>
      </c>
      <c r="B1170" s="6" t="s">
        <v>4784</v>
      </c>
      <c r="C1170" s="6" t="s">
        <v>4785</v>
      </c>
      <c r="D1170" s="16" t="s">
        <v>4786</v>
      </c>
      <c r="E1170" s="6" t="e">
        <v>#N/A</v>
      </c>
      <c r="F1170" s="6" t="e">
        <v>#N/A</v>
      </c>
      <c r="G1170" s="6" t="s">
        <v>4787</v>
      </c>
      <c r="H1170" s="7" t="s">
        <v>4788</v>
      </c>
      <c r="I1170" s="6" t="e">
        <v>#N/A</v>
      </c>
      <c r="J1170" s="6" t="e">
        <v>#N/A</v>
      </c>
      <c r="K1170" s="6" t="str">
        <f>VLOOKUP(A1170,Sheet4!$A:$H,7,0)</f>
        <v>Memory Foam Topper</v>
      </c>
      <c r="L1170" s="6" t="str">
        <f>VLOOKUP(B1170,Sheet4!$A:$H,8,0)</f>
        <v>Bedding</v>
      </c>
      <c r="M1170" s="6">
        <v>8999.0</v>
      </c>
      <c r="N1170" s="8">
        <v>6741.0</v>
      </c>
      <c r="O1170" s="9">
        <v>7599.0</v>
      </c>
      <c r="P1170" s="10">
        <v>6299.3</v>
      </c>
    </row>
    <row r="1171">
      <c r="A1171" s="6" t="s">
        <v>4789</v>
      </c>
      <c r="B1171" s="6" t="s">
        <v>4789</v>
      </c>
      <c r="C1171" s="6" t="s">
        <v>4790</v>
      </c>
      <c r="D1171" s="16" t="s">
        <v>4791</v>
      </c>
      <c r="E1171" s="6" t="e">
        <v>#N/A</v>
      </c>
      <c r="F1171" s="6" t="e">
        <v>#N/A</v>
      </c>
      <c r="G1171" s="6">
        <v>0.0</v>
      </c>
      <c r="H1171" s="7" t="s">
        <v>4792</v>
      </c>
      <c r="I1171" s="6" t="e">
        <v>#N/A</v>
      </c>
      <c r="J1171" s="6" t="e">
        <v>#N/A</v>
      </c>
      <c r="K1171" s="6" t="str">
        <f>VLOOKUP(A1171,Sheet4!$A:$H,7,0)</f>
        <v>Ultima Mattress</v>
      </c>
      <c r="L1171" s="6" t="str">
        <f>VLOOKUP(B1171,Sheet4!$A:$H,8,0)</f>
        <v>Mattress</v>
      </c>
      <c r="M1171" s="6">
        <v>17899.0</v>
      </c>
      <c r="N1171" s="8">
        <v>16109.0</v>
      </c>
      <c r="O1171" s="9">
        <v>16999.0</v>
      </c>
      <c r="P1171" s="10">
        <v>13782.23</v>
      </c>
    </row>
    <row r="1172">
      <c r="A1172" s="6" t="s">
        <v>2604</v>
      </c>
      <c r="B1172" s="6" t="s">
        <v>2604</v>
      </c>
      <c r="C1172" s="6" t="s">
        <v>4793</v>
      </c>
      <c r="D1172" s="16" t="s">
        <v>4794</v>
      </c>
      <c r="E1172" s="6" t="e">
        <v>#N/A</v>
      </c>
      <c r="F1172" s="6" t="e">
        <v>#N/A</v>
      </c>
      <c r="G1172" s="6" t="s">
        <v>4795</v>
      </c>
      <c r="H1172" s="7" t="s">
        <v>2607</v>
      </c>
      <c r="I1172" s="6" t="e">
        <v>#N/A</v>
      </c>
      <c r="J1172" s="6" t="e">
        <v>#N/A</v>
      </c>
      <c r="K1172" s="6" t="str">
        <f>VLOOKUP(A1172,Sheet4!$A:$H,7,0)</f>
        <v>Pet Bed</v>
      </c>
      <c r="L1172" s="6" t="str">
        <f>VLOOKUP(B1172,Sheet4!$A:$H,8,0)</f>
        <v>Beds</v>
      </c>
      <c r="M1172" s="6">
        <v>2989.0</v>
      </c>
      <c r="N1172" s="8">
        <v>2147.0</v>
      </c>
      <c r="O1172" s="9">
        <v>2099.0</v>
      </c>
      <c r="P1172" s="10">
        <v>2092.3</v>
      </c>
    </row>
    <row r="1173">
      <c r="A1173" s="6" t="s">
        <v>1170</v>
      </c>
      <c r="B1173" s="6" t="s">
        <v>1170</v>
      </c>
      <c r="C1173" s="6" t="s">
        <v>4796</v>
      </c>
      <c r="D1173" s="16" t="s">
        <v>4797</v>
      </c>
      <c r="E1173" s="6" t="e">
        <v>#N/A</v>
      </c>
      <c r="F1173" s="6" t="e">
        <v>#N/A</v>
      </c>
      <c r="G1173" s="6">
        <v>0.0</v>
      </c>
      <c r="H1173" s="7" t="s">
        <v>4770</v>
      </c>
      <c r="I1173" s="6" t="e">
        <v>#N/A</v>
      </c>
      <c r="J1173" s="6" t="e">
        <v>#N/A</v>
      </c>
      <c r="K1173" s="6" t="str">
        <f>VLOOKUP(A1173,Sheet4!$A:$H,7,0)</f>
        <v>Pet Bed</v>
      </c>
      <c r="L1173" s="6" t="str">
        <f>VLOOKUP(B1173,Sheet4!$A:$H,8,0)</f>
        <v>Beds</v>
      </c>
      <c r="M1173" s="6">
        <v>2489.0</v>
      </c>
      <c r="N1173" s="8">
        <v>1788.0</v>
      </c>
      <c r="O1173" s="9">
        <v>1799.0</v>
      </c>
      <c r="P1173" s="10">
        <v>1742.3</v>
      </c>
    </row>
    <row r="1174">
      <c r="A1174" s="6" t="s">
        <v>2614</v>
      </c>
      <c r="B1174" s="6" t="s">
        <v>2614</v>
      </c>
      <c r="C1174" s="6" t="s">
        <v>4798</v>
      </c>
      <c r="D1174" s="16" t="s">
        <v>4799</v>
      </c>
      <c r="E1174" s="6" t="e">
        <v>#N/A</v>
      </c>
      <c r="F1174" s="6" t="e">
        <v>#N/A</v>
      </c>
      <c r="G1174" s="6" t="s">
        <v>4800</v>
      </c>
      <c r="H1174" s="7" t="s">
        <v>2617</v>
      </c>
      <c r="I1174" s="6" t="e">
        <v>#N/A</v>
      </c>
      <c r="J1174" s="6" t="e">
        <v>#N/A</v>
      </c>
      <c r="K1174" s="6" t="str">
        <f>VLOOKUP(A1174,Sheet4!$A:$H,7,0)</f>
        <v>Pet Bed</v>
      </c>
      <c r="L1174" s="6" t="str">
        <f>VLOOKUP(B1174,Sheet4!$A:$H,8,0)</f>
        <v>Beds</v>
      </c>
      <c r="M1174" s="6">
        <v>4489.0</v>
      </c>
      <c r="N1174" s="8">
        <v>3225.0</v>
      </c>
      <c r="O1174" s="9">
        <v>3199.0</v>
      </c>
      <c r="P1174" s="10">
        <v>3142.3</v>
      </c>
    </row>
    <row r="1175">
      <c r="A1175" s="6" t="s">
        <v>2619</v>
      </c>
      <c r="B1175" s="6" t="s">
        <v>2619</v>
      </c>
      <c r="C1175" s="6" t="s">
        <v>4801</v>
      </c>
      <c r="D1175" s="16" t="s">
        <v>4802</v>
      </c>
      <c r="E1175" s="6" t="e">
        <v>#N/A</v>
      </c>
      <c r="F1175" s="6" t="e">
        <v>#N/A</v>
      </c>
      <c r="G1175" s="6" t="s">
        <v>4803</v>
      </c>
      <c r="H1175" s="7" t="s">
        <v>2622</v>
      </c>
      <c r="I1175" s="6" t="e">
        <v>#N/A</v>
      </c>
      <c r="J1175" s="6" t="e">
        <v>#N/A</v>
      </c>
      <c r="K1175" s="6" t="str">
        <f>VLOOKUP(A1175,Sheet4!$A:$H,7,0)</f>
        <v>Pet Bed</v>
      </c>
      <c r="L1175" s="6" t="str">
        <f>VLOOKUP(B1175,Sheet4!$A:$H,8,0)</f>
        <v>Beds</v>
      </c>
      <c r="M1175" s="6">
        <v>2989.0</v>
      </c>
      <c r="N1175" s="8">
        <v>2147.0</v>
      </c>
      <c r="O1175" s="9">
        <v>2099.0</v>
      </c>
      <c r="P1175" s="10">
        <v>2092.3</v>
      </c>
    </row>
    <row r="1176">
      <c r="A1176" s="6" t="s">
        <v>1188</v>
      </c>
      <c r="B1176" s="6" t="s">
        <v>1188</v>
      </c>
      <c r="C1176" s="6" t="s">
        <v>4804</v>
      </c>
      <c r="D1176" s="16" t="s">
        <v>4805</v>
      </c>
      <c r="E1176" s="6" t="e">
        <v>#N/A</v>
      </c>
      <c r="F1176" s="6" t="e">
        <v>#N/A</v>
      </c>
      <c r="G1176" s="6" t="s">
        <v>4806</v>
      </c>
      <c r="H1176" s="7" t="s">
        <v>1191</v>
      </c>
      <c r="I1176" s="6" t="e">
        <v>#N/A</v>
      </c>
      <c r="J1176" s="6" t="e">
        <v>#N/A</v>
      </c>
      <c r="K1176" s="6" t="str">
        <f>VLOOKUP(A1176,Sheet4!$A:$H,7,0)</f>
        <v>Pet Bed</v>
      </c>
      <c r="L1176" s="6" t="str">
        <f>VLOOKUP(B1176,Sheet4!$A:$H,8,0)</f>
        <v>Beds</v>
      </c>
      <c r="M1176" s="6">
        <v>2989.0</v>
      </c>
      <c r="N1176" s="8">
        <v>2147.0</v>
      </c>
      <c r="O1176" s="9">
        <v>2099.0</v>
      </c>
      <c r="P1176" s="10">
        <v>2092.3</v>
      </c>
    </row>
    <row r="1177">
      <c r="A1177" s="6" t="s">
        <v>4807</v>
      </c>
      <c r="B1177" s="6" t="s">
        <v>4807</v>
      </c>
      <c r="C1177" s="6" t="s">
        <v>4808</v>
      </c>
      <c r="D1177" s="16" t="s">
        <v>4809</v>
      </c>
      <c r="E1177" s="6" t="e">
        <v>#N/A</v>
      </c>
      <c r="F1177" s="6" t="e">
        <v>#N/A</v>
      </c>
      <c r="G1177" s="6">
        <v>0.0</v>
      </c>
      <c r="H1177" s="7" t="s">
        <v>4810</v>
      </c>
      <c r="I1177" s="6" t="e">
        <v>#N/A</v>
      </c>
      <c r="J1177" s="6" t="e">
        <v>#N/A</v>
      </c>
      <c r="K1177" s="6" t="str">
        <f>VLOOKUP(A1177,Sheet4!$A:$H,7,0)</f>
        <v>Ultima Mattress</v>
      </c>
      <c r="L1177" s="6" t="str">
        <f>VLOOKUP(B1177,Sheet4!$A:$H,8,0)</f>
        <v>Mattress</v>
      </c>
      <c r="M1177" s="6">
        <v>20499.0</v>
      </c>
      <c r="N1177" s="8">
        <v>18449.0</v>
      </c>
      <c r="O1177" s="9">
        <v>19499.0</v>
      </c>
      <c r="P1177" s="10">
        <v>15784.23</v>
      </c>
    </row>
    <row r="1178">
      <c r="A1178" s="6" t="s">
        <v>4368</v>
      </c>
      <c r="B1178" s="6" t="s">
        <v>4368</v>
      </c>
      <c r="C1178" s="6" t="s">
        <v>4369</v>
      </c>
      <c r="D1178" s="16" t="s">
        <v>4811</v>
      </c>
      <c r="E1178" s="6" t="e">
        <v>#N/A</v>
      </c>
      <c r="F1178" s="6" t="e">
        <v>#N/A</v>
      </c>
      <c r="G1178" s="6">
        <v>0.0</v>
      </c>
      <c r="H1178" s="7" t="s">
        <v>4372</v>
      </c>
      <c r="I1178" s="6" t="e">
        <v>#N/A</v>
      </c>
      <c r="J1178" s="6" t="e">
        <v>#N/A</v>
      </c>
      <c r="K1178" s="6" t="str">
        <f>VLOOKUP(A1178,Sheet4!$A:$H,7,0)</f>
        <v>Aeroflow Topper</v>
      </c>
      <c r="L1178" s="6" t="str">
        <f>VLOOKUP(B1178,Sheet4!$A:$H,8,0)</f>
        <v>Bedding</v>
      </c>
      <c r="M1178" s="6">
        <v>4199.0</v>
      </c>
      <c r="N1178" s="8">
        <v>3799.0</v>
      </c>
      <c r="O1178" s="9">
        <v>3999.0</v>
      </c>
      <c r="P1178" s="10">
        <v>3569.15</v>
      </c>
    </row>
    <row r="1179">
      <c r="A1179" s="6" t="s">
        <v>4812</v>
      </c>
      <c r="B1179" s="6" t="s">
        <v>4812</v>
      </c>
      <c r="C1179" s="6" t="s">
        <v>4813</v>
      </c>
      <c r="D1179" s="16" t="s">
        <v>4812</v>
      </c>
      <c r="E1179" s="6" t="e">
        <v>#N/A</v>
      </c>
      <c r="F1179" s="6" t="e">
        <v>#N/A</v>
      </c>
      <c r="G1179" s="6" t="s">
        <v>4814</v>
      </c>
      <c r="H1179" s="7" t="s">
        <v>4815</v>
      </c>
      <c r="I1179" s="6" t="e">
        <v>#N/A</v>
      </c>
      <c r="J1179" s="6" t="e">
        <v>#N/A</v>
      </c>
      <c r="K1179" s="6" t="str">
        <f>VLOOKUP(A1179,Sheet4!$A:$H,7,0)</f>
        <v>Small Memory Foam Pillow</v>
      </c>
      <c r="L1179" s="6" t="str">
        <f>VLOOKUP(B1179,Sheet4!$A:$H,8,0)</f>
        <v>Pillows</v>
      </c>
      <c r="M1179" s="6">
        <v>5999.0</v>
      </c>
      <c r="N1179" s="8">
        <v>3799.0</v>
      </c>
      <c r="O1179" s="9">
        <v>3799.0</v>
      </c>
      <c r="P1179" s="10">
        <v>1799.0</v>
      </c>
    </row>
    <row r="1180">
      <c r="A1180" s="6" t="s">
        <v>4816</v>
      </c>
      <c r="B1180" s="6" t="s">
        <v>4816</v>
      </c>
      <c r="C1180" s="6" t="s">
        <v>4817</v>
      </c>
      <c r="D1180" s="16" t="s">
        <v>4816</v>
      </c>
      <c r="E1180" s="6" t="e">
        <v>#N/A</v>
      </c>
      <c r="F1180" s="6" t="e">
        <v>#N/A</v>
      </c>
      <c r="G1180" s="6">
        <v>0.0</v>
      </c>
      <c r="H1180" s="7" t="s">
        <v>4818</v>
      </c>
      <c r="I1180" s="6" t="e">
        <v>#N/A</v>
      </c>
      <c r="J1180" s="6" t="e">
        <v>#N/A</v>
      </c>
      <c r="K1180" s="6" t="str">
        <f>VLOOKUP(A1180,Sheet4!$A:$H,7,0)</f>
        <v>CoolTEC MF Pillow</v>
      </c>
      <c r="L1180" s="6" t="str">
        <f>VLOOKUP(B1180,Sheet4!$A:$H,8,0)</f>
        <v>Pillows</v>
      </c>
      <c r="M1180" s="6">
        <v>10999.0</v>
      </c>
      <c r="N1180" s="8">
        <v>8999.0</v>
      </c>
      <c r="O1180" s="9">
        <v>8999.0</v>
      </c>
      <c r="P1180" s="10">
        <v>8499.0</v>
      </c>
    </row>
    <row r="1181">
      <c r="A1181" s="6" t="s">
        <v>4819</v>
      </c>
      <c r="B1181" s="6" t="s">
        <v>4819</v>
      </c>
      <c r="C1181" s="6" t="s">
        <v>4820</v>
      </c>
      <c r="D1181" s="16" t="s">
        <v>4819</v>
      </c>
      <c r="E1181" s="6" t="e">
        <v>#N/A</v>
      </c>
      <c r="F1181" s="6" t="e">
        <v>#N/A</v>
      </c>
      <c r="G1181" s="6">
        <v>0.0</v>
      </c>
      <c r="H1181" s="7" t="s">
        <v>4821</v>
      </c>
      <c r="I1181" s="6" t="e">
        <v>#N/A</v>
      </c>
      <c r="J1181" s="6" t="e">
        <v>#N/A</v>
      </c>
      <c r="K1181" s="6" t="str">
        <f>VLOOKUP(A1181,Sheet4!$A:$H,7,0)</f>
        <v>Contour Bamboo MF Pillow</v>
      </c>
      <c r="L1181" s="6" t="str">
        <f>VLOOKUP(B1181,Sheet4!$A:$H,8,0)</f>
        <v>Pillows</v>
      </c>
      <c r="M1181" s="6">
        <v>6999.0</v>
      </c>
      <c r="N1181" s="8">
        <v>3699.0</v>
      </c>
      <c r="O1181" s="9">
        <v>3699.0</v>
      </c>
      <c r="P1181" s="10">
        <v>3499.0</v>
      </c>
    </row>
    <row r="1182">
      <c r="A1182" s="6" t="s">
        <v>4822</v>
      </c>
      <c r="B1182" s="6" t="s">
        <v>4822</v>
      </c>
      <c r="C1182" s="6" t="s">
        <v>4823</v>
      </c>
      <c r="D1182" s="16" t="s">
        <v>4824</v>
      </c>
      <c r="E1182" s="6" t="e">
        <v>#N/A</v>
      </c>
      <c r="F1182" s="6" t="e">
        <v>#N/A</v>
      </c>
      <c r="G1182" s="6" t="s">
        <v>4825</v>
      </c>
      <c r="H1182" s="7" t="s">
        <v>4826</v>
      </c>
      <c r="I1182" s="6" t="e">
        <v>#N/A</v>
      </c>
      <c r="J1182" s="6" t="e">
        <v>#N/A</v>
      </c>
      <c r="K1182" s="6" t="str">
        <f>VLOOKUP(A1182,Sheet4!$A:$H,7,0)</f>
        <v>Contour Bamboo MF Pillow</v>
      </c>
      <c r="L1182" s="6" t="str">
        <f>VLOOKUP(B1182,Sheet4!$A:$H,8,0)</f>
        <v>Pillows</v>
      </c>
      <c r="M1182" s="6">
        <v>10999.0</v>
      </c>
      <c r="N1182" s="8">
        <v>7799.0</v>
      </c>
      <c r="O1182" s="9">
        <v>7799.0</v>
      </c>
      <c r="P1182" s="10">
        <v>7499.0</v>
      </c>
    </row>
    <row r="1183">
      <c r="A1183" s="6" t="s">
        <v>4827</v>
      </c>
      <c r="B1183" s="6" t="s">
        <v>4827</v>
      </c>
      <c r="C1183" s="6" t="s">
        <v>4828</v>
      </c>
      <c r="D1183" s="16" t="s">
        <v>4829</v>
      </c>
      <c r="E1183" s="6" t="e">
        <v>#N/A</v>
      </c>
      <c r="F1183" s="6" t="e">
        <v>#N/A</v>
      </c>
      <c r="G1183" s="6">
        <v>0.0</v>
      </c>
      <c r="H1183" s="7" t="s">
        <v>4830</v>
      </c>
      <c r="I1183" s="6" t="e">
        <v>#N/A</v>
      </c>
      <c r="J1183" s="6" t="e">
        <v>#N/A</v>
      </c>
      <c r="K1183" s="6" t="str">
        <f>VLOOKUP(A1183,Sheet4!$A:$H,7,0)</f>
        <v>Marshmallow Pillow</v>
      </c>
      <c r="L1183" s="6" t="str">
        <f>VLOOKUP(B1183,Sheet4!$A:$H,8,0)</f>
        <v>Pillows</v>
      </c>
      <c r="M1183" s="6">
        <v>3899.0</v>
      </c>
      <c r="N1183" s="8">
        <v>3299.0</v>
      </c>
      <c r="O1183" s="9">
        <v>3299.0</v>
      </c>
      <c r="P1183" s="10">
        <v>2999.0</v>
      </c>
    </row>
    <row r="1184">
      <c r="A1184" s="6" t="s">
        <v>4831</v>
      </c>
      <c r="B1184" s="6" t="s">
        <v>4831</v>
      </c>
      <c r="C1184" s="6" t="s">
        <v>4832</v>
      </c>
      <c r="D1184" s="16" t="s">
        <v>4833</v>
      </c>
      <c r="E1184" s="6" t="e">
        <v>#N/A</v>
      </c>
      <c r="F1184" s="6" t="e">
        <v>#N/A</v>
      </c>
      <c r="G1184" s="6" t="s">
        <v>4834</v>
      </c>
      <c r="H1184" s="7" t="s">
        <v>4835</v>
      </c>
      <c r="I1184" s="6" t="e">
        <v>#N/A</v>
      </c>
      <c r="J1184" s="6" t="e">
        <v>#N/A</v>
      </c>
      <c r="K1184" s="6" t="str">
        <f>VLOOKUP(A1184,Sheet4!$A:$H,7,0)</f>
        <v>Dual Comfort Pillow</v>
      </c>
      <c r="L1184" s="6" t="str">
        <f>VLOOKUP(B1184,Sheet4!$A:$H,8,0)</f>
        <v>Pillows</v>
      </c>
      <c r="M1184" s="6">
        <v>4999.0</v>
      </c>
      <c r="N1184" s="8">
        <v>4199.0</v>
      </c>
      <c r="O1184" s="9">
        <v>4299.0</v>
      </c>
      <c r="P1184" s="10">
        <v>3899.0</v>
      </c>
    </row>
    <row r="1185">
      <c r="A1185" s="6" t="s">
        <v>4836</v>
      </c>
      <c r="B1185" s="6" t="s">
        <v>4836</v>
      </c>
      <c r="C1185" s="6" t="s">
        <v>4837</v>
      </c>
      <c r="D1185" s="16" t="s">
        <v>4838</v>
      </c>
      <c r="E1185" s="6" t="e">
        <v>#N/A</v>
      </c>
      <c r="F1185" s="6" t="e">
        <v>#N/A</v>
      </c>
      <c r="G1185" s="6" t="s">
        <v>4839</v>
      </c>
      <c r="H1185" s="7" t="s">
        <v>4840</v>
      </c>
      <c r="I1185" s="6" t="e">
        <v>#N/A</v>
      </c>
      <c r="J1185" s="6" t="e">
        <v>#N/A</v>
      </c>
      <c r="K1185" s="6" t="str">
        <f>VLOOKUP(A1185,Sheet4!$A:$H,7,0)</f>
        <v>Grid Pillow</v>
      </c>
      <c r="L1185" s="6" t="str">
        <f>VLOOKUP(B1185,Sheet4!$A:$H,8,0)</f>
        <v>Pillows</v>
      </c>
      <c r="M1185" s="6">
        <v>5599.0</v>
      </c>
      <c r="N1185" s="8">
        <v>4999.0</v>
      </c>
      <c r="O1185" s="9">
        <v>4999.0</v>
      </c>
      <c r="P1185" s="10">
        <v>4899.0</v>
      </c>
    </row>
    <row r="1186">
      <c r="A1186" s="6" t="s">
        <v>4841</v>
      </c>
      <c r="B1186" s="6" t="s">
        <v>4841</v>
      </c>
      <c r="C1186" s="6" t="s">
        <v>4842</v>
      </c>
      <c r="D1186" s="16" t="s">
        <v>4843</v>
      </c>
      <c r="E1186" s="6" t="e">
        <v>#N/A</v>
      </c>
      <c r="F1186" s="6" t="e">
        <v>#N/A</v>
      </c>
      <c r="G1186" s="6">
        <v>0.0</v>
      </c>
      <c r="H1186" s="7" t="s">
        <v>4844</v>
      </c>
      <c r="I1186" s="6" t="e">
        <v>#N/A</v>
      </c>
      <c r="J1186" s="6" t="e">
        <v>#N/A</v>
      </c>
      <c r="K1186" s="6" t="str">
        <f>VLOOKUP(A1186,Sheet4!$A:$H,7,0)</f>
        <v>Cuddle Pillow</v>
      </c>
      <c r="L1186" s="6" t="str">
        <f>VLOOKUP(B1186,Sheet4!$A:$H,8,0)</f>
        <v>Pillows</v>
      </c>
      <c r="M1186" s="6">
        <v>3899.0</v>
      </c>
      <c r="N1186" s="8">
        <v>3299.0</v>
      </c>
      <c r="O1186" s="9">
        <v>3299.0</v>
      </c>
      <c r="P1186" s="10">
        <v>2999.0</v>
      </c>
    </row>
    <row r="1187">
      <c r="A1187" s="6" t="s">
        <v>4750</v>
      </c>
      <c r="B1187" s="6" t="s">
        <v>4750</v>
      </c>
      <c r="C1187" s="6" t="s">
        <v>4845</v>
      </c>
      <c r="D1187" s="16" t="s">
        <v>4846</v>
      </c>
      <c r="E1187" s="6" t="e">
        <v>#N/A</v>
      </c>
      <c r="F1187" s="6" t="e">
        <v>#N/A</v>
      </c>
      <c r="G1187" s="6">
        <v>0.0</v>
      </c>
      <c r="H1187" s="7" t="s">
        <v>4847</v>
      </c>
      <c r="I1187" s="6" t="e">
        <v>#N/A</v>
      </c>
      <c r="J1187" s="6" t="e">
        <v>#N/A</v>
      </c>
      <c r="K1187" s="11" t="s">
        <v>4729</v>
      </c>
      <c r="L1187" s="11" t="s">
        <v>4730</v>
      </c>
      <c r="M1187" s="6" t="str">
        <f t="shared" ref="M1187:M1192" si="18">VLOOKUP(A1187,#REF!,2,FALSE)</f>
        <v>#REF!</v>
      </c>
      <c r="N1187" s="6" t="str">
        <f>VLOOKUP(A1187, Sheet2!A:M, 3, FALSE)</f>
        <v/>
      </c>
      <c r="O1187" s="10" t="e">
        <v>#N/A</v>
      </c>
    </row>
    <row r="1188">
      <c r="A1188" s="6" t="s">
        <v>4743</v>
      </c>
      <c r="B1188" s="6" t="s">
        <v>4743</v>
      </c>
      <c r="C1188" s="6" t="s">
        <v>4848</v>
      </c>
      <c r="D1188" s="16" t="s">
        <v>4849</v>
      </c>
      <c r="E1188" s="6" t="e">
        <v>#N/A</v>
      </c>
      <c r="F1188" s="6" t="e">
        <v>#N/A</v>
      </c>
      <c r="G1188" s="6">
        <v>0.0</v>
      </c>
      <c r="H1188" s="7" t="s">
        <v>4850</v>
      </c>
      <c r="I1188" s="6" t="e">
        <v>#N/A</v>
      </c>
      <c r="J1188" s="6" t="e">
        <v>#N/A</v>
      </c>
      <c r="K1188" s="11" t="s">
        <v>4729</v>
      </c>
      <c r="L1188" s="11" t="s">
        <v>4730</v>
      </c>
      <c r="M1188" s="6" t="str">
        <f t="shared" si="18"/>
        <v>#REF!</v>
      </c>
      <c r="N1188" s="6" t="str">
        <f>VLOOKUP(A1188, Sheet2!A:M, 3, FALSE)</f>
        <v/>
      </c>
      <c r="O1188" s="10" t="e">
        <v>#N/A</v>
      </c>
    </row>
    <row r="1189">
      <c r="A1189" s="6" t="s">
        <v>4749</v>
      </c>
      <c r="B1189" s="6" t="s">
        <v>4749</v>
      </c>
      <c r="C1189" s="6" t="s">
        <v>4851</v>
      </c>
      <c r="D1189" s="16" t="s">
        <v>4852</v>
      </c>
      <c r="E1189" s="6" t="e">
        <v>#N/A</v>
      </c>
      <c r="F1189" s="6" t="e">
        <v>#N/A</v>
      </c>
      <c r="G1189" s="6">
        <v>0.0</v>
      </c>
      <c r="H1189" s="7" t="s">
        <v>4853</v>
      </c>
      <c r="I1189" s="6" t="e">
        <v>#N/A</v>
      </c>
      <c r="J1189" s="6" t="e">
        <v>#N/A</v>
      </c>
      <c r="K1189" s="11" t="s">
        <v>4729</v>
      </c>
      <c r="L1189" s="11" t="s">
        <v>4730</v>
      </c>
      <c r="M1189" s="6" t="str">
        <f t="shared" si="18"/>
        <v>#REF!</v>
      </c>
      <c r="N1189" s="6" t="str">
        <f>VLOOKUP(A1189, Sheet2!A:M, 3, FALSE)</f>
        <v/>
      </c>
      <c r="O1189" s="10" t="e">
        <v>#N/A</v>
      </c>
    </row>
    <row r="1190">
      <c r="A1190" s="6" t="s">
        <v>4736</v>
      </c>
      <c r="B1190" s="6" t="s">
        <v>4736</v>
      </c>
      <c r="C1190" s="6" t="s">
        <v>4854</v>
      </c>
      <c r="D1190" s="16" t="s">
        <v>4855</v>
      </c>
      <c r="E1190" s="6" t="e">
        <v>#N/A</v>
      </c>
      <c r="F1190" s="6" t="e">
        <v>#N/A</v>
      </c>
      <c r="G1190" s="6">
        <v>0.0</v>
      </c>
      <c r="H1190" s="7" t="s">
        <v>4856</v>
      </c>
      <c r="I1190" s="6" t="e">
        <v>#N/A</v>
      </c>
      <c r="J1190" s="6" t="e">
        <v>#N/A</v>
      </c>
      <c r="K1190" s="11" t="s">
        <v>4729</v>
      </c>
      <c r="L1190" s="11" t="s">
        <v>4730</v>
      </c>
      <c r="M1190" s="6" t="str">
        <f t="shared" si="18"/>
        <v>#REF!</v>
      </c>
      <c r="N1190" s="6" t="str">
        <f>VLOOKUP(A1190, Sheet2!A:M, 3, FALSE)</f>
        <v/>
      </c>
      <c r="O1190" s="10" t="e">
        <v>#N/A</v>
      </c>
    </row>
    <row r="1191">
      <c r="A1191" s="6" t="s">
        <v>2975</v>
      </c>
      <c r="B1191" s="6" t="s">
        <v>2975</v>
      </c>
      <c r="C1191" s="6" t="s">
        <v>4857</v>
      </c>
      <c r="D1191" s="16" t="s">
        <v>4858</v>
      </c>
      <c r="E1191" s="6" t="e">
        <v>#N/A</v>
      </c>
      <c r="F1191" s="6" t="e">
        <v>#N/A</v>
      </c>
      <c r="G1191" s="6" t="s">
        <v>2976</v>
      </c>
      <c r="H1191" s="7" t="s">
        <v>4859</v>
      </c>
      <c r="I1191" s="6" t="e">
        <v>#N/A</v>
      </c>
      <c r="J1191" s="6" t="e">
        <v>#N/A</v>
      </c>
      <c r="K1191" s="11" t="s">
        <v>4729</v>
      </c>
      <c r="L1191" s="11" t="s">
        <v>4730</v>
      </c>
      <c r="M1191" s="6" t="str">
        <f t="shared" si="18"/>
        <v>#REF!</v>
      </c>
      <c r="N1191" s="6" t="str">
        <f>VLOOKUP(A1191, Sheet2!A:M, 3, FALSE)</f>
        <v/>
      </c>
      <c r="O1191" s="10" t="e">
        <v>#N/A</v>
      </c>
    </row>
    <row r="1192">
      <c r="A1192" s="6" t="s">
        <v>3000</v>
      </c>
      <c r="B1192" s="6" t="s">
        <v>3000</v>
      </c>
      <c r="C1192" s="6" t="s">
        <v>4860</v>
      </c>
      <c r="D1192" s="16" t="s">
        <v>4861</v>
      </c>
      <c r="E1192" s="6" t="e">
        <v>#N/A</v>
      </c>
      <c r="F1192" s="6" t="e">
        <v>#N/A</v>
      </c>
      <c r="G1192" s="6" t="s">
        <v>3001</v>
      </c>
      <c r="H1192" s="7" t="s">
        <v>4862</v>
      </c>
      <c r="I1192" s="6" t="e">
        <v>#N/A</v>
      </c>
      <c r="J1192" s="6" t="e">
        <v>#N/A</v>
      </c>
      <c r="K1192" s="11" t="s">
        <v>4729</v>
      </c>
      <c r="L1192" s="11" t="s">
        <v>4730</v>
      </c>
      <c r="M1192" s="6" t="str">
        <f t="shared" si="18"/>
        <v>#REF!</v>
      </c>
      <c r="N1192" s="6" t="str">
        <f>VLOOKUP(A1192, Sheet2!A:M, 3, FALSE)</f>
        <v/>
      </c>
      <c r="O1192" s="10" t="e">
        <v>#N/A</v>
      </c>
    </row>
    <row r="1193">
      <c r="A1193" s="6" t="s">
        <v>3414</v>
      </c>
      <c r="B1193" s="6" t="s">
        <v>3414</v>
      </c>
      <c r="C1193" s="6" t="s">
        <v>4863</v>
      </c>
      <c r="D1193" s="16" t="s">
        <v>4864</v>
      </c>
      <c r="E1193" s="6" t="e">
        <v>#N/A</v>
      </c>
      <c r="F1193" s="6" t="e">
        <v>#N/A</v>
      </c>
      <c r="G1193" s="6">
        <v>0.0</v>
      </c>
      <c r="H1193" s="7" t="s">
        <v>3417</v>
      </c>
      <c r="I1193" s="6" t="e">
        <v>#N/A</v>
      </c>
      <c r="J1193" s="6" t="e">
        <v>#N/A</v>
      </c>
      <c r="K1193" s="6" t="str">
        <f>VLOOKUP(A1193,Sheet4!$A:$H,7,0)</f>
        <v>Slim Pillow</v>
      </c>
      <c r="L1193" s="6" t="str">
        <f>VLOOKUP(B1193,Sheet4!$A:$H,8,0)</f>
        <v>Pillows</v>
      </c>
      <c r="M1193" s="6">
        <v>1489.0</v>
      </c>
      <c r="N1193" s="8">
        <v>1414.0</v>
      </c>
      <c r="O1193" s="9">
        <v>1414.0</v>
      </c>
      <c r="P1193" s="10">
        <v>1299.0</v>
      </c>
    </row>
    <row r="1194">
      <c r="A1194" s="6" t="s">
        <v>4865</v>
      </c>
      <c r="B1194" s="14" t="s">
        <v>4865</v>
      </c>
      <c r="C1194" s="6" t="s">
        <v>4866</v>
      </c>
      <c r="D1194" s="6" t="s">
        <v>4867</v>
      </c>
      <c r="E1194" s="6"/>
      <c r="F1194" s="6"/>
      <c r="G1194" s="6" t="s">
        <v>4868</v>
      </c>
      <c r="H1194" s="6"/>
      <c r="I1194" s="6"/>
      <c r="J1194" s="6"/>
      <c r="K1194" s="6" t="str">
        <f>VLOOKUP(A1194,Sheet4!$A:$H,7,0)</f>
        <v>Latex Ortho Mattress</v>
      </c>
      <c r="L1194" s="6" t="str">
        <f>VLOOKUP(B1194,Sheet4!$A:$H,8,0)</f>
        <v>Mattress</v>
      </c>
      <c r="M1194" s="17">
        <f>VLOOKUP(A1194,Sheet4!A:I,9,0)</f>
        <v>21699</v>
      </c>
      <c r="N1194" s="18">
        <f>VLOOKUP(A1194,Sheet4!A:O,15,0)</f>
        <v>14669.1</v>
      </c>
      <c r="O1194" s="9">
        <v>15599.0</v>
      </c>
      <c r="P1194" s="10">
        <v>14321.34</v>
      </c>
    </row>
    <row r="1195">
      <c r="A1195" s="6" t="s">
        <v>4869</v>
      </c>
      <c r="B1195" s="14" t="s">
        <v>4869</v>
      </c>
      <c r="C1195" s="6" t="s">
        <v>4870</v>
      </c>
      <c r="D1195" s="6" t="s">
        <v>4871</v>
      </c>
      <c r="E1195" s="6"/>
      <c r="F1195" s="6"/>
      <c r="G1195" s="6" t="s">
        <v>4872</v>
      </c>
      <c r="H1195" s="6"/>
      <c r="I1195" s="6"/>
      <c r="J1195" s="6"/>
      <c r="K1195" s="6" t="str">
        <f>VLOOKUP(A1195,Sheet4!$A:$H,7,0)</f>
        <v>Latex Ortho Mattress</v>
      </c>
      <c r="L1195" s="6" t="str">
        <f>VLOOKUP(B1195,Sheet4!$A:$H,8,0)</f>
        <v>Mattress</v>
      </c>
      <c r="M1195" s="17">
        <f>VLOOKUP(A1195,Sheet4!A:I,9,0)</f>
        <v>25099</v>
      </c>
      <c r="N1195" s="18">
        <f>VLOOKUP(A1195,Sheet4!A:O,15,0)</f>
        <v>16919.1</v>
      </c>
      <c r="O1195" s="9">
        <v>18099.0</v>
      </c>
      <c r="P1195" s="10">
        <v>16565.34</v>
      </c>
    </row>
    <row r="1196">
      <c r="A1196" s="6" t="s">
        <v>4873</v>
      </c>
      <c r="B1196" s="14" t="s">
        <v>4873</v>
      </c>
      <c r="C1196" s="6" t="s">
        <v>4874</v>
      </c>
      <c r="D1196" s="6" t="s">
        <v>4875</v>
      </c>
      <c r="E1196" s="6"/>
      <c r="F1196" s="6"/>
      <c r="G1196" s="6" t="s">
        <v>4876</v>
      </c>
      <c r="H1196" s="6"/>
      <c r="I1196" s="6"/>
      <c r="J1196" s="6"/>
      <c r="K1196" s="6" t="str">
        <f>VLOOKUP(A1196,Sheet4!$A:$H,7,0)</f>
        <v>Latex Ortho Mattress</v>
      </c>
      <c r="L1196" s="6" t="str">
        <f>VLOOKUP(B1196,Sheet4!$A:$H,8,0)</f>
        <v>Mattress</v>
      </c>
      <c r="M1196" s="17">
        <f>VLOOKUP(A1196,Sheet4!A:I,9,0)</f>
        <v>28399</v>
      </c>
      <c r="N1196" s="18">
        <f>VLOOKUP(A1196,Sheet4!A:O,15,0)</f>
        <v>19169.1</v>
      </c>
      <c r="O1196" s="9">
        <v>20399.0</v>
      </c>
      <c r="P1196" s="10">
        <v>18743.34</v>
      </c>
    </row>
    <row r="1197">
      <c r="A1197" s="6" t="s">
        <v>4877</v>
      </c>
      <c r="B1197" s="14" t="s">
        <v>4877</v>
      </c>
      <c r="C1197" s="14" t="s">
        <v>4878</v>
      </c>
      <c r="D1197" s="6" t="s">
        <v>4879</v>
      </c>
      <c r="E1197" s="6"/>
      <c r="F1197" s="6"/>
      <c r="G1197" s="6" t="s">
        <v>4880</v>
      </c>
      <c r="H1197" s="6"/>
      <c r="I1197" s="6"/>
      <c r="J1197" s="6"/>
      <c r="K1197" s="6" t="str">
        <f>VLOOKUP(A1197,Sheet4!$A:$H,7,0)</f>
        <v>Latex Ortho Mattress</v>
      </c>
      <c r="L1197" s="6" t="str">
        <f>VLOOKUP(B1197,Sheet4!$A:$H,8,0)</f>
        <v>Mattress</v>
      </c>
      <c r="M1197" s="17">
        <f>VLOOKUP(A1197,Sheet4!A:I,9,0)</f>
        <v>21999</v>
      </c>
      <c r="N1197" s="18">
        <f>VLOOKUP(A1197,Sheet4!A:O,15,0)</f>
        <v>14849.1</v>
      </c>
      <c r="O1197" s="9">
        <v>15799.0</v>
      </c>
      <c r="P1197" s="10">
        <v>14519.34</v>
      </c>
    </row>
    <row r="1198">
      <c r="A1198" s="6" t="s">
        <v>4881</v>
      </c>
      <c r="B1198" s="14" t="s">
        <v>4881</v>
      </c>
      <c r="C1198" s="14" t="s">
        <v>4878</v>
      </c>
      <c r="D1198" s="14" t="s">
        <v>4882</v>
      </c>
      <c r="E1198" s="6"/>
      <c r="F1198" s="6"/>
      <c r="G1198" s="6" t="s">
        <v>4883</v>
      </c>
      <c r="H1198" s="6"/>
      <c r="I1198" s="6"/>
      <c r="J1198" s="6"/>
      <c r="K1198" s="6" t="str">
        <f>VLOOKUP(A1198,Sheet4!$A:$H,7,0)</f>
        <v>Latex Ortho Mattress</v>
      </c>
      <c r="L1198" s="6" t="str">
        <f>VLOOKUP(B1198,Sheet4!$A:$H,8,0)</f>
        <v>Mattress</v>
      </c>
      <c r="M1198" s="17">
        <f>VLOOKUP(A1198,Sheet4!A:I,9,0)</f>
        <v>26699</v>
      </c>
      <c r="N1198" s="18">
        <f>VLOOKUP(A1198,Sheet4!A:O,15,0)</f>
        <v>17999.1</v>
      </c>
      <c r="O1198" s="9">
        <v>19199.0</v>
      </c>
      <c r="P1198" s="10">
        <v>17621.34</v>
      </c>
    </row>
    <row r="1199">
      <c r="A1199" s="6" t="s">
        <v>4884</v>
      </c>
      <c r="B1199" s="14" t="s">
        <v>4884</v>
      </c>
      <c r="C1199" s="14" t="s">
        <v>4885</v>
      </c>
      <c r="D1199" s="14" t="s">
        <v>4886</v>
      </c>
      <c r="E1199" s="6"/>
      <c r="F1199" s="6"/>
      <c r="G1199" s="6" t="s">
        <v>4887</v>
      </c>
      <c r="H1199" s="6"/>
      <c r="I1199" s="6"/>
      <c r="J1199" s="6"/>
      <c r="K1199" s="6" t="str">
        <f>VLOOKUP(A1199,Sheet4!$A:$H,7,0)</f>
        <v>Latex Ortho Mattress</v>
      </c>
      <c r="L1199" s="6" t="str">
        <f>VLOOKUP(B1199,Sheet4!$A:$H,8,0)</f>
        <v>Mattress</v>
      </c>
      <c r="M1199" s="17">
        <f>VLOOKUP(A1199,Sheet4!A:I,9,0)</f>
        <v>29999</v>
      </c>
      <c r="N1199" s="18">
        <f>VLOOKUP(A1199,Sheet4!A:O,15,0)</f>
        <v>20249.1</v>
      </c>
      <c r="O1199" s="9">
        <v>21599.0</v>
      </c>
      <c r="P1199" s="10">
        <v>19799.34</v>
      </c>
    </row>
    <row r="1200">
      <c r="A1200" s="6" t="s">
        <v>4888</v>
      </c>
      <c r="B1200" s="6" t="s">
        <v>4888</v>
      </c>
      <c r="C1200" s="14" t="s">
        <v>4889</v>
      </c>
      <c r="D1200" s="19" t="s">
        <v>4890</v>
      </c>
      <c r="E1200" s="6"/>
      <c r="F1200" s="6"/>
      <c r="G1200" s="6" t="s">
        <v>4891</v>
      </c>
      <c r="H1200" s="6"/>
      <c r="I1200" s="6"/>
      <c r="J1200" s="6"/>
      <c r="K1200" s="6" t="str">
        <f>VLOOKUP(A1200,Sheet4!$A:$H,7,0)</f>
        <v>Bed</v>
      </c>
      <c r="L1200" s="6" t="str">
        <f>VLOOKUP(B1200,Sheet4!$A:$H,8,0)</f>
        <v>Beds</v>
      </c>
      <c r="M1200" s="6">
        <f>VLOOKUP(A1200,Sheet4!A:I,9,0)</f>
        <v>27999</v>
      </c>
      <c r="N1200" s="18">
        <f>VLOOKUP(A1200,Sheet4!A:O,15,0)</f>
        <v>23799</v>
      </c>
      <c r="O1200" s="9">
        <v>23799.0</v>
      </c>
      <c r="P1200" s="10">
        <v>23799.0</v>
      </c>
    </row>
    <row r="1201">
      <c r="A1201" s="6" t="s">
        <v>4892</v>
      </c>
      <c r="B1201" s="6" t="s">
        <v>4892</v>
      </c>
      <c r="C1201" s="14" t="s">
        <v>4893</v>
      </c>
      <c r="D1201" s="19" t="s">
        <v>4894</v>
      </c>
      <c r="E1201" s="6"/>
      <c r="F1201" s="6"/>
      <c r="G1201" s="6" t="s">
        <v>4895</v>
      </c>
      <c r="H1201" s="6"/>
      <c r="I1201" s="6"/>
      <c r="J1201" s="6"/>
      <c r="K1201" s="6" t="str">
        <f>VLOOKUP(A1201,Sheet4!$A:$H,7,0)</f>
        <v>Cotton Fitted Bedsheet</v>
      </c>
      <c r="L1201" s="6" t="str">
        <f>VLOOKUP(B1201,Sheet4!$A:$H,8,0)</f>
        <v>Bedding</v>
      </c>
      <c r="M1201" s="6">
        <f>VLOOKUP(A1201,Sheet4!A:I,9,0)</f>
        <v>2189</v>
      </c>
      <c r="N1201" s="18">
        <f>VLOOKUP(A1201,Sheet4!A:O,15,0)</f>
        <v>1792</v>
      </c>
      <c r="O1201" s="9">
        <v>1799.0</v>
      </c>
      <c r="P1201" s="10">
        <v>1641.75</v>
      </c>
    </row>
    <row r="1202">
      <c r="A1202" s="6" t="s">
        <v>4896</v>
      </c>
      <c r="B1202" s="6" t="s">
        <v>4896</v>
      </c>
      <c r="C1202" s="14" t="s">
        <v>4897</v>
      </c>
      <c r="D1202" s="19" t="s">
        <v>4898</v>
      </c>
      <c r="E1202" s="6"/>
      <c r="F1202" s="6"/>
      <c r="G1202" s="6" t="s">
        <v>4899</v>
      </c>
      <c r="H1202" s="6"/>
      <c r="I1202" s="6"/>
      <c r="J1202" s="6"/>
      <c r="K1202" s="6" t="str">
        <f>VLOOKUP(A1202,Sheet4!$A:$H,7,0)</f>
        <v>Cotton Fitted Bedsheet</v>
      </c>
      <c r="L1202" s="6" t="str">
        <f>VLOOKUP(B1202,Sheet4!$A:$H,8,0)</f>
        <v>Bedding</v>
      </c>
      <c r="M1202" s="6">
        <f>VLOOKUP(A1202,Sheet4!A:I,9,0)</f>
        <v>1989</v>
      </c>
      <c r="N1202" s="18">
        <f>VLOOKUP(A1202,Sheet4!A:O,15,0)</f>
        <v>1628</v>
      </c>
      <c r="O1202" s="9">
        <v>1628.0</v>
      </c>
      <c r="P1202" s="10">
        <v>1491.75</v>
      </c>
    </row>
    <row r="1203">
      <c r="A1203" s="6" t="s">
        <v>4900</v>
      </c>
      <c r="B1203" s="6" t="s">
        <v>4900</v>
      </c>
      <c r="C1203" s="6" t="s">
        <v>4901</v>
      </c>
      <c r="D1203" s="19" t="s">
        <v>4902</v>
      </c>
      <c r="E1203" s="6"/>
      <c r="F1203" s="6"/>
      <c r="G1203" s="6" t="s">
        <v>4903</v>
      </c>
      <c r="H1203" s="6"/>
      <c r="I1203" s="6"/>
      <c r="J1203" s="6"/>
      <c r="K1203" s="6" t="str">
        <f>VLOOKUP(A1203,Sheet4!$A:$H,7,0)</f>
        <v>Cotton Fitted Bedsheet</v>
      </c>
      <c r="L1203" s="6" t="str">
        <f>VLOOKUP(B1203,Sheet4!$A:$H,8,0)</f>
        <v>Bedding</v>
      </c>
      <c r="M1203" s="6">
        <f>VLOOKUP(A1203,Sheet4!A:I,9,0)</f>
        <v>1989</v>
      </c>
      <c r="N1203" s="18">
        <f>VLOOKUP(A1203,Sheet4!A:O,15,0)</f>
        <v>1628</v>
      </c>
      <c r="O1203" s="9">
        <v>1628.0</v>
      </c>
      <c r="P1203" s="10">
        <v>1491.75</v>
      </c>
    </row>
    <row r="1204">
      <c r="A1204" s="6" t="s">
        <v>4904</v>
      </c>
      <c r="B1204" s="6" t="s">
        <v>4904</v>
      </c>
      <c r="C1204" s="20"/>
      <c r="D1204" s="14" t="s">
        <v>1139</v>
      </c>
      <c r="E1204" s="6"/>
      <c r="F1204" s="6"/>
      <c r="G1204" s="6" t="s">
        <v>4690</v>
      </c>
      <c r="H1204" s="6"/>
      <c r="I1204" s="6"/>
      <c r="J1204" s="6"/>
      <c r="K1204" s="6" t="str">
        <f>VLOOKUP(A1204,Sheet4!$A:$H,7,0)</f>
        <v>Cuddle Pillow</v>
      </c>
      <c r="L1204" s="6" t="str">
        <f>VLOOKUP(B1204,Sheet4!$A:$H,8,0)</f>
        <v>Pillows</v>
      </c>
      <c r="M1204" s="6">
        <f>VLOOKUP(A1204,Sheet4!A:I,9,0)</f>
        <v>1989</v>
      </c>
      <c r="N1204" s="18">
        <f>VLOOKUP(A1204,Sheet4!A:O,15,0)</f>
        <v>1698</v>
      </c>
      <c r="O1204" s="9">
        <v>1699.0</v>
      </c>
      <c r="P1204" s="10">
        <v>1499.0</v>
      </c>
    </row>
    <row r="1205">
      <c r="A1205" s="6" t="s">
        <v>4905</v>
      </c>
      <c r="B1205" s="6" t="s">
        <v>4905</v>
      </c>
      <c r="C1205" s="20"/>
      <c r="D1205" s="14" t="s">
        <v>1139</v>
      </c>
      <c r="E1205" s="6"/>
      <c r="F1205" s="6"/>
      <c r="G1205" s="6">
        <v>0.0</v>
      </c>
      <c r="H1205" s="6"/>
      <c r="I1205" s="6"/>
      <c r="J1205" s="6"/>
      <c r="K1205" s="6" t="str">
        <f>VLOOKUP(A1205,Sheet4!$A:$H,7,0)</f>
        <v>Cuddle Pillow</v>
      </c>
      <c r="L1205" s="6" t="str">
        <f>VLOOKUP(B1205,Sheet4!$A:$H,8,0)</f>
        <v>Pillows</v>
      </c>
      <c r="M1205" s="6">
        <f>VLOOKUP(A1205,Sheet4!A:I,9,0)</f>
        <v>1989</v>
      </c>
      <c r="N1205" s="18">
        <f>VLOOKUP(A1205,Sheet4!A:O,15,0)</f>
        <v>1790</v>
      </c>
      <c r="O1205" s="9">
        <v>1699.0</v>
      </c>
      <c r="P1205" s="10">
        <v>1499.0</v>
      </c>
    </row>
    <row r="1206">
      <c r="A1206" s="6" t="s">
        <v>4906</v>
      </c>
      <c r="B1206" s="6" t="s">
        <v>4906</v>
      </c>
      <c r="C1206" s="6" t="s">
        <v>4907</v>
      </c>
      <c r="D1206" s="21" t="s">
        <v>4908</v>
      </c>
      <c r="E1206" s="6"/>
      <c r="F1206" s="6"/>
      <c r="G1206" s="6" t="s">
        <v>4909</v>
      </c>
      <c r="H1206" s="6"/>
      <c r="I1206" s="6"/>
      <c r="J1206" s="6"/>
      <c r="K1206" s="6" t="str">
        <f>VLOOKUP(A1206,Sheet4!$A:$H,7,0)</f>
        <v>Duvet Cover</v>
      </c>
      <c r="L1206" s="6" t="str">
        <f>VLOOKUP(B1206,Sheet4!$A:$H,8,0)</f>
        <v>Bedding</v>
      </c>
      <c r="M1206" s="6">
        <f>VLOOKUP(A1206,Sheet4!A:I,9,0)</f>
        <v>2789</v>
      </c>
      <c r="N1206" s="18">
        <f>VLOOKUP(A1206,Sheet4!A:O,15,0)</f>
        <v>2299</v>
      </c>
      <c r="O1206" s="9">
        <v>2299.0</v>
      </c>
      <c r="P1206" s="10">
        <v>2199.0</v>
      </c>
    </row>
    <row r="1207">
      <c r="A1207" s="6" t="s">
        <v>1047</v>
      </c>
      <c r="B1207" s="6" t="s">
        <v>1047</v>
      </c>
      <c r="C1207" s="6" t="s">
        <v>1048</v>
      </c>
      <c r="D1207" s="6" t="s">
        <v>1049</v>
      </c>
      <c r="E1207" s="6"/>
      <c r="F1207" s="6"/>
      <c r="G1207" s="6" t="s">
        <v>1050</v>
      </c>
      <c r="H1207" s="6"/>
      <c r="I1207" s="6"/>
      <c r="J1207" s="6"/>
      <c r="K1207" s="6" t="str">
        <f>VLOOKUP(A1207,Sheet4!$A:$H,7,0)</f>
        <v>Hybrid Latex Mattress</v>
      </c>
      <c r="L1207" s="6" t="str">
        <f>VLOOKUP(B1207,Sheet4!$A:$H,8,0)</f>
        <v>Mattress</v>
      </c>
      <c r="M1207" s="6">
        <f>VLOOKUP(A1207,Sheet4!A:I,9,0)</f>
        <v>22699</v>
      </c>
      <c r="N1207" s="18">
        <f>VLOOKUP(A1207,Sheet4!A:O,15,0)</f>
        <v>19067.16</v>
      </c>
      <c r="O1207" s="9">
        <v>20399.0</v>
      </c>
      <c r="P1207" s="10">
        <v>18159.2</v>
      </c>
    </row>
    <row r="1208">
      <c r="A1208" s="6" t="s">
        <v>937</v>
      </c>
      <c r="B1208" s="6" t="s">
        <v>937</v>
      </c>
      <c r="C1208" s="6" t="s">
        <v>938</v>
      </c>
      <c r="D1208" s="6" t="s">
        <v>939</v>
      </c>
      <c r="E1208" s="6"/>
      <c r="F1208" s="6"/>
      <c r="G1208" s="6" t="s">
        <v>940</v>
      </c>
      <c r="H1208" s="6"/>
      <c r="I1208" s="6"/>
      <c r="J1208" s="6"/>
      <c r="K1208" s="6" t="str">
        <f>VLOOKUP(A1208,Sheet4!$A:$H,7,0)</f>
        <v>Hybrid Latex Mattress</v>
      </c>
      <c r="L1208" s="6" t="str">
        <f>VLOOKUP(B1208,Sheet4!$A:$H,8,0)</f>
        <v>Mattress</v>
      </c>
      <c r="M1208" s="6">
        <f>VLOOKUP(A1208,Sheet4!A:I,9,0)</f>
        <v>19399</v>
      </c>
      <c r="N1208" s="18">
        <f>VLOOKUP(A1208,Sheet4!A:O,15,0)</f>
        <v>16295.16</v>
      </c>
      <c r="O1208" s="9">
        <v>17499.0</v>
      </c>
      <c r="P1208" s="10">
        <v>15519.2</v>
      </c>
    </row>
    <row r="1209">
      <c r="A1209" s="6" t="s">
        <v>4910</v>
      </c>
      <c r="B1209" s="6" t="s">
        <v>4910</v>
      </c>
      <c r="C1209" s="6" t="s">
        <v>4911</v>
      </c>
      <c r="D1209" s="19" t="s">
        <v>4912</v>
      </c>
      <c r="E1209" s="6"/>
      <c r="F1209" s="6"/>
      <c r="G1209" s="6" t="s">
        <v>4913</v>
      </c>
      <c r="H1209" s="6"/>
      <c r="I1209" s="6"/>
      <c r="J1209" s="6"/>
      <c r="K1209" s="6" t="str">
        <f>VLOOKUP(A1209,Sheet4!$A:$H,7,0)</f>
        <v>Hybrid Pillow</v>
      </c>
      <c r="L1209" s="6" t="str">
        <f>VLOOKUP(B1209,Sheet4!$A:$H,8,0)</f>
        <v>Pillows</v>
      </c>
      <c r="M1209" s="6">
        <f>VLOOKUP(A1209,Sheet4!A:I,9,0)</f>
        <v>6999</v>
      </c>
      <c r="N1209" s="18">
        <f>VLOOKUP(A1209,Sheet4!A:O,15,0)</f>
        <v>6999</v>
      </c>
      <c r="O1209" s="9">
        <v>6999.0</v>
      </c>
      <c r="P1209" s="10">
        <v>6999.0</v>
      </c>
    </row>
    <row r="1210">
      <c r="A1210" s="6" t="s">
        <v>4914</v>
      </c>
      <c r="B1210" s="6" t="s">
        <v>4914</v>
      </c>
      <c r="C1210" s="6" t="s">
        <v>4915</v>
      </c>
      <c r="D1210" s="19" t="s">
        <v>4916</v>
      </c>
      <c r="E1210" s="6"/>
      <c r="F1210" s="6"/>
      <c r="G1210" s="6" t="s">
        <v>2428</v>
      </c>
      <c r="H1210" s="6"/>
      <c r="I1210" s="6"/>
      <c r="J1210" s="6"/>
      <c r="K1210" s="6" t="str">
        <f>VLOOKUP(A1210,Sheet4!$A:$H,7,0)</f>
        <v>Hybrid Pillow</v>
      </c>
      <c r="L1210" s="6" t="str">
        <f>VLOOKUP(B1210,Sheet4!$A:$H,8,0)</f>
        <v>Pillows</v>
      </c>
      <c r="M1210" s="6">
        <f>VLOOKUP(A1210,Sheet4!A:I,9,0)</f>
        <v>2499</v>
      </c>
      <c r="N1210" s="18">
        <f>VLOOKUP(A1210,Sheet4!A:O,15,0)</f>
        <v>2499</v>
      </c>
      <c r="O1210" s="9">
        <v>2499.0</v>
      </c>
      <c r="P1210" s="10">
        <v>2399.0</v>
      </c>
    </row>
    <row r="1211">
      <c r="A1211" s="6" t="s">
        <v>4917</v>
      </c>
      <c r="B1211" s="6" t="s">
        <v>4917</v>
      </c>
      <c r="C1211" s="6" t="s">
        <v>4918</v>
      </c>
      <c r="D1211" s="19" t="s">
        <v>4919</v>
      </c>
      <c r="E1211" s="6"/>
      <c r="F1211" s="6"/>
      <c r="G1211" s="6">
        <v>0.0</v>
      </c>
      <c r="H1211" s="6"/>
      <c r="I1211" s="6"/>
      <c r="J1211" s="6"/>
      <c r="K1211" s="6" t="str">
        <f>VLOOKUP(A1211,Sheet4!$A:$H,7,0)</f>
        <v>Memory Foam Pillow</v>
      </c>
      <c r="L1211" s="6" t="str">
        <f>VLOOKUP(B1211,Sheet4!$A:$H,8,0)</f>
        <v>Pillows</v>
      </c>
      <c r="M1211" s="6">
        <f>VLOOKUP(A1211,Sheet4!A:I,9,0)</f>
        <v>2999</v>
      </c>
      <c r="N1211" s="18">
        <f>VLOOKUP(A1211,Sheet4!A:O,15,0)</f>
        <v>1799</v>
      </c>
      <c r="O1211" s="9">
        <v>1799.0</v>
      </c>
      <c r="P1211" s="10">
        <v>1699.0</v>
      </c>
    </row>
    <row r="1212">
      <c r="A1212" s="6" t="s">
        <v>4920</v>
      </c>
      <c r="B1212" s="6" t="s">
        <v>4920</v>
      </c>
      <c r="C1212" s="6" t="s">
        <v>4921</v>
      </c>
      <c r="D1212" s="19" t="s">
        <v>4922</v>
      </c>
      <c r="E1212" s="6"/>
      <c r="F1212" s="6"/>
      <c r="G1212" s="6" t="s">
        <v>4923</v>
      </c>
      <c r="H1212" s="6"/>
      <c r="I1212" s="6"/>
      <c r="J1212" s="6"/>
      <c r="K1212" s="6" t="str">
        <f>VLOOKUP(A1212,Sheet4!$A:$H,7,0)</f>
        <v>Original Mattress</v>
      </c>
      <c r="L1212" s="6" t="str">
        <f>VLOOKUP(B1212,Sheet4!$A:$H,8,0)</f>
        <v>Mattress</v>
      </c>
      <c r="M1212" s="6">
        <f>VLOOKUP(A1212,Sheet4!A:I,9,0)</f>
        <v>9199</v>
      </c>
      <c r="N1212" s="18">
        <f>VLOOKUP(A1212,Sheet4!A:O,15,0)</f>
        <v>7451</v>
      </c>
      <c r="O1212" s="9">
        <v>7999.0</v>
      </c>
      <c r="P1212" s="10">
        <v>6991.24</v>
      </c>
    </row>
    <row r="1213">
      <c r="A1213" s="6" t="s">
        <v>4924</v>
      </c>
      <c r="B1213" s="6" t="s">
        <v>4924</v>
      </c>
      <c r="C1213" s="6" t="s">
        <v>4925</v>
      </c>
      <c r="D1213" s="19" t="s">
        <v>4926</v>
      </c>
      <c r="E1213" s="6"/>
      <c r="F1213" s="6"/>
      <c r="G1213" s="6" t="s">
        <v>4927</v>
      </c>
      <c r="H1213" s="6"/>
      <c r="I1213" s="6"/>
      <c r="J1213" s="6"/>
      <c r="K1213" s="6" t="str">
        <f>VLOOKUP(A1213,Sheet4!$A:$H,7,0)</f>
        <v>Original Mattress</v>
      </c>
      <c r="L1213" s="6" t="str">
        <f>VLOOKUP(B1213,Sheet4!$A:$H,8,0)</f>
        <v>Mattress</v>
      </c>
      <c r="M1213" s="6">
        <f>VLOOKUP(A1213,Sheet4!A:I,9,0)</f>
        <v>14989</v>
      </c>
      <c r="N1213" s="18">
        <f>VLOOKUP(A1213,Sheet4!A:O,15,0)</f>
        <v>12141</v>
      </c>
      <c r="O1213" s="9">
        <v>12999.0</v>
      </c>
      <c r="P1213" s="10">
        <v>11391.64</v>
      </c>
    </row>
    <row r="1214">
      <c r="A1214" s="6" t="s">
        <v>4928</v>
      </c>
      <c r="B1214" s="6" t="s">
        <v>4928</v>
      </c>
      <c r="C1214" s="6" t="s">
        <v>4929</v>
      </c>
      <c r="D1214" s="19" t="s">
        <v>4930</v>
      </c>
      <c r="E1214" s="6"/>
      <c r="F1214" s="6"/>
      <c r="G1214" s="6" t="s">
        <v>4931</v>
      </c>
      <c r="H1214" s="6"/>
      <c r="I1214" s="6"/>
      <c r="J1214" s="6"/>
      <c r="K1214" s="6" t="str">
        <f>VLOOKUP(A1214,Sheet4!$A:$H,7,0)</f>
        <v>Original Mattress</v>
      </c>
      <c r="L1214" s="6" t="str">
        <f>VLOOKUP(B1214,Sheet4!$A:$H,8,0)</f>
        <v>Mattress</v>
      </c>
      <c r="M1214" s="6">
        <f>VLOOKUP(A1214,Sheet4!A:I,9,0)</f>
        <v>11999</v>
      </c>
      <c r="N1214" s="18">
        <f>VLOOKUP(A1214,Sheet4!A:O,15,0)</f>
        <v>9719</v>
      </c>
      <c r="O1214" s="9">
        <v>10399.0</v>
      </c>
      <c r="P1214" s="10">
        <v>9119.24</v>
      </c>
    </row>
    <row r="1215">
      <c r="A1215" s="6" t="s">
        <v>4932</v>
      </c>
      <c r="B1215" s="6" t="s">
        <v>4932</v>
      </c>
      <c r="C1215" s="14" t="s">
        <v>4933</v>
      </c>
      <c r="D1215" s="19" t="s">
        <v>4934</v>
      </c>
      <c r="E1215" s="6"/>
      <c r="F1215" s="6"/>
      <c r="G1215" s="6" t="s">
        <v>4935</v>
      </c>
      <c r="H1215" s="6"/>
      <c r="I1215" s="6"/>
      <c r="J1215" s="6"/>
      <c r="K1215" s="6" t="str">
        <f>VLOOKUP(A1215,Sheet4!$A:$H,7,0)</f>
        <v>Original Mattress</v>
      </c>
      <c r="L1215" s="6" t="str">
        <f>VLOOKUP(B1215,Sheet4!$A:$H,8,0)</f>
        <v>Mattress</v>
      </c>
      <c r="M1215" s="6">
        <f>VLOOKUP(A1215,Sheet4!A:I,9,0)</f>
        <v>11999</v>
      </c>
      <c r="N1215" s="18">
        <f>VLOOKUP(A1215,Sheet4!A:O,15,0)</f>
        <v>9719</v>
      </c>
      <c r="O1215" s="9">
        <v>10399.0</v>
      </c>
      <c r="P1215" s="10">
        <v>9119.24</v>
      </c>
    </row>
    <row r="1216">
      <c r="A1216" s="6" t="s">
        <v>4936</v>
      </c>
      <c r="B1216" s="6" t="s">
        <v>4936</v>
      </c>
      <c r="C1216" s="14" t="s">
        <v>4937</v>
      </c>
      <c r="D1216" s="22" t="s">
        <v>4938</v>
      </c>
      <c r="E1216" s="6"/>
      <c r="F1216" s="6"/>
      <c r="G1216" s="6" t="s">
        <v>4939</v>
      </c>
      <c r="H1216" s="6"/>
      <c r="I1216" s="6"/>
      <c r="J1216" s="6"/>
      <c r="K1216" s="6" t="str">
        <f>VLOOKUP(A1216,Sheet4!$A:$H,7,0)</f>
        <v>Original Mattress</v>
      </c>
      <c r="L1216" s="6" t="str">
        <f>VLOOKUP(B1216,Sheet4!$A:$H,8,0)</f>
        <v>Mattress</v>
      </c>
      <c r="M1216" s="6">
        <f>VLOOKUP(A1216,Sheet4!A:I,9,0)</f>
        <v>29999</v>
      </c>
      <c r="N1216" s="18">
        <f>VLOOKUP(A1216,Sheet4!A:O,15,0)</f>
        <v>24299</v>
      </c>
      <c r="O1216" s="9">
        <v>26099.0</v>
      </c>
      <c r="P1216" s="10">
        <v>22799.24</v>
      </c>
    </row>
    <row r="1217">
      <c r="A1217" s="6" t="s">
        <v>4940</v>
      </c>
      <c r="B1217" s="6" t="s">
        <v>4940</v>
      </c>
      <c r="C1217" s="14" t="s">
        <v>4941</v>
      </c>
      <c r="D1217" s="14" t="s">
        <v>4942</v>
      </c>
      <c r="E1217" s="6"/>
      <c r="F1217" s="6"/>
      <c r="G1217" s="6" t="s">
        <v>4943</v>
      </c>
      <c r="H1217" s="6"/>
      <c r="I1217" s="6"/>
      <c r="J1217" s="6"/>
      <c r="K1217" s="6" t="str">
        <f>VLOOKUP(A1217,Sheet4!$A:$H,7,0)</f>
        <v>Protector</v>
      </c>
      <c r="L1217" s="6" t="str">
        <f>VLOOKUP(B1217,Sheet4!$A:$H,8,0)</f>
        <v>Bedding</v>
      </c>
      <c r="M1217" s="6">
        <f>VLOOKUP(A1217,Sheet4!A:I,9,0)</f>
        <v>1499</v>
      </c>
      <c r="N1217" s="18">
        <f>VLOOKUP(A1217,Sheet4!A:O,15,0)</f>
        <v>1424</v>
      </c>
      <c r="O1217" s="9">
        <v>1424.0</v>
      </c>
      <c r="P1217" s="10">
        <v>1349.1</v>
      </c>
    </row>
    <row r="1218">
      <c r="A1218" s="6" t="s">
        <v>4944</v>
      </c>
      <c r="B1218" s="6" t="s">
        <v>4944</v>
      </c>
      <c r="C1218" s="14" t="s">
        <v>4945</v>
      </c>
      <c r="D1218" s="14" t="s">
        <v>4946</v>
      </c>
      <c r="E1218" s="6"/>
      <c r="F1218" s="6"/>
      <c r="G1218" s="6" t="s">
        <v>4947</v>
      </c>
      <c r="H1218" s="6"/>
      <c r="I1218" s="6"/>
      <c r="J1218" s="6"/>
      <c r="K1218" s="6" t="str">
        <f>VLOOKUP(A1218,Sheet4!$A:$H,7,0)</f>
        <v>Protector</v>
      </c>
      <c r="L1218" s="6" t="str">
        <f>VLOOKUP(B1218,Sheet4!$A:$H,8,0)</f>
        <v>Bedding</v>
      </c>
      <c r="M1218" s="6">
        <f>VLOOKUP(A1218,Sheet4!A:I,9,0)</f>
        <v>1599</v>
      </c>
      <c r="N1218" s="18">
        <f>VLOOKUP(A1218,Sheet4!A:O,15,0)</f>
        <v>1519</v>
      </c>
      <c r="O1218" s="9">
        <v>1519.0</v>
      </c>
      <c r="P1218" s="10">
        <v>1439.1</v>
      </c>
    </row>
    <row r="1219">
      <c r="A1219" s="6" t="s">
        <v>4948</v>
      </c>
      <c r="B1219" s="6" t="s">
        <v>4948</v>
      </c>
      <c r="C1219" s="14" t="s">
        <v>4949</v>
      </c>
      <c r="D1219" s="14" t="s">
        <v>4950</v>
      </c>
      <c r="E1219" s="6"/>
      <c r="F1219" s="6"/>
      <c r="G1219" s="6" t="s">
        <v>4951</v>
      </c>
      <c r="H1219" s="6"/>
      <c r="I1219" s="6"/>
      <c r="J1219" s="6"/>
      <c r="K1219" s="6" t="str">
        <f>VLOOKUP(A1219,Sheet4!$A:$H,7,0)</f>
        <v>Protector</v>
      </c>
      <c r="L1219" s="6" t="str">
        <f>VLOOKUP(B1219,Sheet4!$A:$H,8,0)</f>
        <v>Bedding</v>
      </c>
      <c r="M1219" s="6">
        <f>VLOOKUP(A1219,Sheet4!A:I,9,0)</f>
        <v>1499</v>
      </c>
      <c r="N1219" s="18">
        <f>VLOOKUP(A1219,Sheet4!A:O,15,0)</f>
        <v>1424</v>
      </c>
      <c r="O1219" s="9">
        <v>1424.0</v>
      </c>
      <c r="P1219" s="10">
        <v>1349.1</v>
      </c>
    </row>
    <row r="1220">
      <c r="A1220" s="6" t="s">
        <v>4952</v>
      </c>
      <c r="B1220" s="6" t="s">
        <v>4952</v>
      </c>
      <c r="C1220" s="14" t="s">
        <v>4953</v>
      </c>
      <c r="D1220" s="14" t="s">
        <v>4954</v>
      </c>
      <c r="E1220" s="6"/>
      <c r="F1220" s="6"/>
      <c r="G1220" s="6" t="s">
        <v>4955</v>
      </c>
      <c r="H1220" s="6"/>
      <c r="I1220" s="6"/>
      <c r="J1220" s="6"/>
      <c r="K1220" s="6" t="str">
        <f>VLOOKUP(A1220,Sheet4!$A:$H,7,0)</f>
        <v>Protector</v>
      </c>
      <c r="L1220" s="6" t="str">
        <f>VLOOKUP(B1220,Sheet4!$A:$H,8,0)</f>
        <v>Bedding</v>
      </c>
      <c r="M1220" s="6">
        <f>VLOOKUP(A1220,Sheet4!A:I,9,0)</f>
        <v>1599</v>
      </c>
      <c r="N1220" s="18">
        <f>VLOOKUP(A1220,Sheet4!A:O,15,0)</f>
        <v>1519</v>
      </c>
      <c r="O1220" s="9">
        <v>1519.0</v>
      </c>
      <c r="P1220" s="10">
        <v>1439.1</v>
      </c>
    </row>
    <row r="1221">
      <c r="A1221" s="6" t="s">
        <v>4956</v>
      </c>
      <c r="B1221" s="6" t="s">
        <v>4956</v>
      </c>
      <c r="C1221" s="14" t="s">
        <v>4957</v>
      </c>
      <c r="D1221" s="14" t="s">
        <v>4958</v>
      </c>
      <c r="E1221" s="6"/>
      <c r="F1221" s="6"/>
      <c r="G1221" s="6" t="s">
        <v>4959</v>
      </c>
      <c r="H1221" s="6"/>
      <c r="I1221" s="6"/>
      <c r="J1221" s="6"/>
      <c r="K1221" s="6" t="str">
        <f>VLOOKUP(A1221,Sheet4!$A:$H,7,0)</f>
        <v>Protector</v>
      </c>
      <c r="L1221" s="6" t="str">
        <f>VLOOKUP(B1221,Sheet4!$A:$H,8,0)</f>
        <v>Bedding</v>
      </c>
      <c r="M1221" s="6">
        <f>VLOOKUP(A1221,Sheet4!A:I,9,0)</f>
        <v>1499</v>
      </c>
      <c r="N1221" s="18">
        <f>VLOOKUP(A1221,Sheet4!A:O,15,0)</f>
        <v>1424</v>
      </c>
      <c r="O1221" s="9">
        <v>1424.0</v>
      </c>
      <c r="P1221" s="10">
        <v>1349.1</v>
      </c>
    </row>
    <row r="1222">
      <c r="A1222" s="6" t="s">
        <v>4960</v>
      </c>
      <c r="B1222" s="6" t="s">
        <v>4960</v>
      </c>
      <c r="C1222" s="14" t="s">
        <v>4961</v>
      </c>
      <c r="D1222" s="14" t="s">
        <v>4962</v>
      </c>
      <c r="E1222" s="6"/>
      <c r="F1222" s="6"/>
      <c r="G1222" s="6" t="s">
        <v>4963</v>
      </c>
      <c r="H1222" s="6"/>
      <c r="I1222" s="6"/>
      <c r="J1222" s="6"/>
      <c r="K1222" s="6" t="str">
        <f>VLOOKUP(A1222,Sheet4!$A:$H,7,0)</f>
        <v>Protector</v>
      </c>
      <c r="L1222" s="6" t="str">
        <f>VLOOKUP(B1222,Sheet4!$A:$H,8,0)</f>
        <v>Bedding</v>
      </c>
      <c r="M1222" s="6">
        <f>VLOOKUP(A1222,Sheet4!A:I,9,0)</f>
        <v>1599</v>
      </c>
      <c r="N1222" s="18">
        <f>VLOOKUP(A1222,Sheet4!A:O,15,0)</f>
        <v>1519</v>
      </c>
      <c r="O1222" s="9">
        <v>1519.0</v>
      </c>
      <c r="P1222" s="10">
        <v>1439.1</v>
      </c>
    </row>
    <row r="1223">
      <c r="A1223" s="6" t="s">
        <v>4964</v>
      </c>
      <c r="B1223" s="6" t="s">
        <v>4964</v>
      </c>
      <c r="C1223" s="6" t="s">
        <v>4965</v>
      </c>
      <c r="D1223" s="14" t="s">
        <v>4966</v>
      </c>
      <c r="E1223" s="6"/>
      <c r="F1223" s="6"/>
      <c r="G1223" s="6" t="s">
        <v>4967</v>
      </c>
      <c r="H1223" s="6"/>
      <c r="I1223" s="6"/>
      <c r="J1223" s="6"/>
      <c r="K1223" s="6" t="str">
        <f>VLOOKUP(A1223,Sheet4!$A:$H,7,0)</f>
        <v>Protector</v>
      </c>
      <c r="L1223" s="6" t="str">
        <f>VLOOKUP(B1223,Sheet4!$A:$H,8,0)</f>
        <v>Bedding</v>
      </c>
      <c r="M1223" s="6">
        <f>VLOOKUP(A1223,Sheet4!A:I,9,0)</f>
        <v>1499</v>
      </c>
      <c r="N1223" s="18">
        <f>VLOOKUP(A1223,Sheet4!A:O,15,0)</f>
        <v>1424</v>
      </c>
      <c r="O1223" s="9">
        <v>1424.0</v>
      </c>
      <c r="P1223" s="10">
        <v>1349.1</v>
      </c>
    </row>
    <row r="1224">
      <c r="A1224" s="6" t="s">
        <v>4968</v>
      </c>
      <c r="B1224" s="6" t="s">
        <v>4968</v>
      </c>
      <c r="C1224" s="6" t="s">
        <v>4969</v>
      </c>
      <c r="D1224" s="6" t="s">
        <v>4970</v>
      </c>
      <c r="E1224" s="6"/>
      <c r="F1224" s="6"/>
      <c r="G1224" s="6" t="s">
        <v>4971</v>
      </c>
      <c r="H1224" s="6"/>
      <c r="I1224" s="6"/>
      <c r="J1224" s="6"/>
      <c r="K1224" s="6" t="str">
        <f>VLOOKUP(A1224,Sheet4!$A:$H,7,0)</f>
        <v>Protector</v>
      </c>
      <c r="L1224" s="6" t="str">
        <f>VLOOKUP(B1224,Sheet4!$A:$H,8,0)</f>
        <v>Bedding</v>
      </c>
      <c r="M1224" s="6">
        <f>VLOOKUP(A1224,Sheet4!A:I,9,0)</f>
        <v>1599</v>
      </c>
      <c r="N1224" s="18">
        <f>VLOOKUP(A1224,Sheet4!A:O,15,0)</f>
        <v>1519</v>
      </c>
      <c r="O1224" s="9">
        <v>1519.0</v>
      </c>
      <c r="P1224" s="10">
        <v>1439.1</v>
      </c>
    </row>
    <row r="1225">
      <c r="A1225" s="6" t="s">
        <v>4972</v>
      </c>
      <c r="B1225" s="6" t="s">
        <v>4972</v>
      </c>
      <c r="C1225" s="6" t="s">
        <v>4973</v>
      </c>
      <c r="D1225" s="6" t="s">
        <v>4974</v>
      </c>
      <c r="E1225" s="6"/>
      <c r="F1225" s="6"/>
      <c r="G1225" s="6" t="s">
        <v>4975</v>
      </c>
      <c r="H1225" s="6"/>
      <c r="I1225" s="6"/>
      <c r="J1225" s="6"/>
      <c r="K1225" s="6" t="str">
        <f>VLOOKUP(A1225,Sheet4!$A:$H,7,0)</f>
        <v>Protector</v>
      </c>
      <c r="L1225" s="6" t="str">
        <f>VLOOKUP(B1225,Sheet4!$A:$H,8,0)</f>
        <v>Bedding</v>
      </c>
      <c r="M1225" s="6">
        <f>VLOOKUP(A1225,Sheet4!A:I,9,0)</f>
        <v>1499</v>
      </c>
      <c r="N1225" s="18">
        <f>VLOOKUP(A1225,Sheet4!A:O,15,0)</f>
        <v>1424</v>
      </c>
      <c r="O1225" s="9">
        <v>1424.0</v>
      </c>
      <c r="P1225" s="10">
        <v>1349.1</v>
      </c>
    </row>
    <row r="1226">
      <c r="A1226" s="6" t="s">
        <v>4976</v>
      </c>
      <c r="B1226" s="6" t="s">
        <v>4976</v>
      </c>
      <c r="C1226" s="6" t="s">
        <v>4977</v>
      </c>
      <c r="D1226" s="6" t="s">
        <v>4978</v>
      </c>
      <c r="E1226" s="6"/>
      <c r="F1226" s="6"/>
      <c r="G1226" s="6" t="s">
        <v>4979</v>
      </c>
      <c r="H1226" s="6"/>
      <c r="I1226" s="6"/>
      <c r="J1226" s="6"/>
      <c r="K1226" s="6" t="str">
        <f>VLOOKUP(A1226,Sheet4!$A:$H,7,0)</f>
        <v>Protector</v>
      </c>
      <c r="L1226" s="6" t="str">
        <f>VLOOKUP(B1226,Sheet4!$A:$H,8,0)</f>
        <v>Bedding</v>
      </c>
      <c r="M1226" s="6">
        <f>VLOOKUP(A1226,Sheet4!A:I,9,0)</f>
        <v>1599</v>
      </c>
      <c r="N1226" s="18">
        <f>VLOOKUP(A1226,Sheet4!A:O,15,0)</f>
        <v>1519</v>
      </c>
      <c r="O1226" s="9">
        <v>1519.0</v>
      </c>
      <c r="P1226" s="10">
        <v>1439.1</v>
      </c>
    </row>
    <row r="1227">
      <c r="A1227" s="6" t="s">
        <v>4980</v>
      </c>
      <c r="B1227" s="6" t="s">
        <v>4980</v>
      </c>
      <c r="C1227" s="6" t="s">
        <v>4981</v>
      </c>
      <c r="D1227" s="6" t="s">
        <v>4982</v>
      </c>
      <c r="E1227" s="6"/>
      <c r="F1227" s="6"/>
      <c r="G1227" s="6" t="s">
        <v>4983</v>
      </c>
      <c r="H1227" s="6"/>
      <c r="I1227" s="6"/>
      <c r="J1227" s="6"/>
      <c r="K1227" s="6" t="str">
        <f>VLOOKUP(A1227,Sheet4!$A:$H,7,0)</f>
        <v>Protector</v>
      </c>
      <c r="L1227" s="6" t="str">
        <f>VLOOKUP(B1227,Sheet4!$A:$H,8,0)</f>
        <v>Bedding</v>
      </c>
      <c r="M1227" s="6">
        <f>VLOOKUP(A1227,Sheet4!A:I,9,0)</f>
        <v>1499</v>
      </c>
      <c r="N1227" s="18">
        <f>VLOOKUP(A1227,Sheet4!A:O,15,0)</f>
        <v>1424</v>
      </c>
      <c r="O1227" s="9">
        <v>1424.0</v>
      </c>
      <c r="P1227" s="10">
        <v>1349.1</v>
      </c>
    </row>
    <row r="1228">
      <c r="A1228" s="6" t="s">
        <v>4984</v>
      </c>
      <c r="B1228" s="6" t="s">
        <v>4984</v>
      </c>
      <c r="C1228" s="6" t="s">
        <v>4985</v>
      </c>
      <c r="D1228" s="6" t="s">
        <v>4986</v>
      </c>
      <c r="E1228" s="6"/>
      <c r="F1228" s="6"/>
      <c r="G1228" s="6" t="s">
        <v>4987</v>
      </c>
      <c r="H1228" s="6"/>
      <c r="I1228" s="6"/>
      <c r="J1228" s="6"/>
      <c r="K1228" s="6" t="str">
        <f>VLOOKUP(A1228,Sheet4!$A:$H,7,0)</f>
        <v>Protector</v>
      </c>
      <c r="L1228" s="6" t="str">
        <f>VLOOKUP(B1228,Sheet4!$A:$H,8,0)</f>
        <v>Bedding</v>
      </c>
      <c r="M1228" s="6">
        <f>VLOOKUP(A1228,Sheet4!A:I,9,0)</f>
        <v>1599</v>
      </c>
      <c r="N1228" s="18">
        <f>VLOOKUP(A1228,Sheet4!A:O,15,0)</f>
        <v>1519</v>
      </c>
      <c r="O1228" s="9">
        <v>1519.0</v>
      </c>
      <c r="P1228" s="10">
        <v>1439.1</v>
      </c>
    </row>
    <row r="1229">
      <c r="A1229" s="6" t="s">
        <v>4988</v>
      </c>
      <c r="B1229" s="6" t="s">
        <v>4988</v>
      </c>
      <c r="C1229" s="6" t="s">
        <v>4989</v>
      </c>
      <c r="D1229" s="6" t="s">
        <v>4990</v>
      </c>
      <c r="E1229" s="6"/>
      <c r="F1229" s="6"/>
      <c r="G1229" s="6" t="s">
        <v>4991</v>
      </c>
      <c r="H1229" s="6"/>
      <c r="I1229" s="6"/>
      <c r="J1229" s="6"/>
      <c r="K1229" s="6" t="str">
        <f>VLOOKUP(A1229,Sheet4!$A:$H,7,0)</f>
        <v>Protector</v>
      </c>
      <c r="L1229" s="6" t="str">
        <f>VLOOKUP(B1229,Sheet4!$A:$H,8,0)</f>
        <v>Bedding</v>
      </c>
      <c r="M1229" s="6">
        <f>VLOOKUP(A1229,Sheet4!A:I,9,0)</f>
        <v>1499</v>
      </c>
      <c r="N1229" s="18">
        <f>VLOOKUP(A1229,Sheet4!A:O,15,0)</f>
        <v>1424</v>
      </c>
      <c r="O1229" s="9">
        <v>1424.0</v>
      </c>
      <c r="P1229" s="10">
        <v>1349.1</v>
      </c>
    </row>
    <row r="1230">
      <c r="A1230" s="6" t="s">
        <v>4992</v>
      </c>
      <c r="B1230" s="6" t="s">
        <v>4992</v>
      </c>
      <c r="C1230" s="6" t="s">
        <v>4993</v>
      </c>
      <c r="D1230" s="6" t="s">
        <v>4994</v>
      </c>
      <c r="E1230" s="6"/>
      <c r="F1230" s="6"/>
      <c r="G1230" s="6" t="s">
        <v>4995</v>
      </c>
      <c r="H1230" s="6"/>
      <c r="I1230" s="6"/>
      <c r="J1230" s="6"/>
      <c r="K1230" s="6" t="str">
        <f>VLOOKUP(A1230,Sheet4!$A:$H,7,0)</f>
        <v>Protector</v>
      </c>
      <c r="L1230" s="6" t="str">
        <f>VLOOKUP(B1230,Sheet4!$A:$H,8,0)</f>
        <v>Bedding</v>
      </c>
      <c r="M1230" s="6">
        <f>VLOOKUP(A1230,Sheet4!A:I,9,0)</f>
        <v>1599</v>
      </c>
      <c r="N1230" s="18">
        <f>VLOOKUP(A1230,Sheet4!A:O,15,0)</f>
        <v>1519</v>
      </c>
      <c r="O1230" s="9">
        <v>1519.0</v>
      </c>
      <c r="P1230" s="10">
        <v>1439.1</v>
      </c>
    </row>
    <row r="1231">
      <c r="A1231" s="6" t="s">
        <v>4996</v>
      </c>
      <c r="B1231" s="6" t="s">
        <v>4996</v>
      </c>
      <c r="C1231" s="6" t="s">
        <v>4997</v>
      </c>
      <c r="D1231" s="6" t="s">
        <v>4998</v>
      </c>
      <c r="E1231" s="6"/>
      <c r="F1231" s="6"/>
      <c r="G1231" s="6" t="s">
        <v>4999</v>
      </c>
      <c r="H1231" s="6"/>
      <c r="I1231" s="6"/>
      <c r="J1231" s="6"/>
      <c r="K1231" s="6" t="str">
        <f>VLOOKUP(A1231,Sheet4!$A:$H,7,0)</f>
        <v>Protector</v>
      </c>
      <c r="L1231" s="6" t="str">
        <f>VLOOKUP(B1231,Sheet4!$A:$H,8,0)</f>
        <v>Bedding</v>
      </c>
      <c r="M1231" s="6">
        <f>VLOOKUP(A1231,Sheet4!A:I,9,0)</f>
        <v>1499</v>
      </c>
      <c r="N1231" s="18">
        <f>VLOOKUP(A1231,Sheet4!A:O,15,0)</f>
        <v>1424</v>
      </c>
      <c r="O1231" s="9">
        <v>1424.0</v>
      </c>
      <c r="P1231" s="10">
        <v>1349.1</v>
      </c>
    </row>
    <row r="1232">
      <c r="A1232" s="6" t="s">
        <v>5000</v>
      </c>
      <c r="B1232" s="6" t="s">
        <v>5000</v>
      </c>
      <c r="C1232" s="6" t="s">
        <v>5001</v>
      </c>
      <c r="D1232" s="6" t="s">
        <v>5002</v>
      </c>
      <c r="E1232" s="6"/>
      <c r="F1232" s="6"/>
      <c r="G1232" s="6" t="s">
        <v>5003</v>
      </c>
      <c r="H1232" s="6"/>
      <c r="I1232" s="6"/>
      <c r="J1232" s="6"/>
      <c r="K1232" s="6" t="str">
        <f>VLOOKUP(A1232,Sheet4!$A:$H,7,0)</f>
        <v>Protector</v>
      </c>
      <c r="L1232" s="6" t="str">
        <f>VLOOKUP(B1232,Sheet4!$A:$H,8,0)</f>
        <v>Bedding</v>
      </c>
      <c r="M1232" s="6">
        <f>VLOOKUP(A1232,Sheet4!A:I,9,0)</f>
        <v>1599</v>
      </c>
      <c r="N1232" s="18">
        <f>VLOOKUP(A1232,Sheet4!A:O,15,0)</f>
        <v>1519</v>
      </c>
      <c r="O1232" s="9">
        <v>1519.0</v>
      </c>
      <c r="P1232" s="10">
        <v>1439.1</v>
      </c>
    </row>
    <row r="1233">
      <c r="A1233" s="6" t="s">
        <v>5004</v>
      </c>
      <c r="B1233" s="6" t="s">
        <v>5004</v>
      </c>
      <c r="C1233" s="6" t="s">
        <v>5005</v>
      </c>
      <c r="D1233" s="19" t="s">
        <v>5006</v>
      </c>
      <c r="E1233" s="6"/>
      <c r="F1233" s="6"/>
      <c r="G1233" s="6" t="s">
        <v>5007</v>
      </c>
      <c r="H1233" s="6"/>
      <c r="I1233" s="6"/>
      <c r="J1233" s="6"/>
      <c r="K1233" s="6" t="str">
        <f>VLOOKUP(A1233,Sheet4!$A:$H,7,0)</f>
        <v>Ultima Mattress</v>
      </c>
      <c r="L1233" s="6" t="str">
        <f>VLOOKUP(B1233,Sheet4!$A:$H,8,0)</f>
        <v>Mattress</v>
      </c>
      <c r="M1233" s="6">
        <f>VLOOKUP(A1233,Sheet4!A:I,9,0)</f>
        <v>21699</v>
      </c>
      <c r="N1233" s="18">
        <f>VLOOKUP(A1233,Sheet4!A:O,15,0)</f>
        <v>19529</v>
      </c>
      <c r="O1233" s="9">
        <v>20599.0</v>
      </c>
      <c r="P1233" s="10">
        <v>16708.23</v>
      </c>
    </row>
    <row r="1234">
      <c r="A1234" s="6" t="s">
        <v>5008</v>
      </c>
      <c r="B1234" s="6" t="s">
        <v>5008</v>
      </c>
      <c r="C1234" s="6" t="s">
        <v>5009</v>
      </c>
      <c r="D1234" s="19" t="s">
        <v>5010</v>
      </c>
      <c r="E1234" s="6"/>
      <c r="F1234" s="6"/>
      <c r="G1234" s="6" t="s">
        <v>5008</v>
      </c>
      <c r="H1234" s="6"/>
      <c r="I1234" s="6"/>
      <c r="J1234" s="6"/>
      <c r="K1234" s="6" t="str">
        <f>VLOOKUP(A1234,Sheet4!$A:$H,7,0)</f>
        <v>Ultima Mattress</v>
      </c>
      <c r="L1234" s="6" t="str">
        <f>VLOOKUP(B1234,Sheet4!$A:$H,8,0)</f>
        <v>Mattress</v>
      </c>
      <c r="M1234" s="6">
        <f>VLOOKUP(A1234,Sheet4!A:I,9,0)</f>
        <v>21999</v>
      </c>
      <c r="N1234" s="18">
        <f>VLOOKUP(A1234,Sheet4!A:O,15,0)</f>
        <v>19799</v>
      </c>
      <c r="O1234" s="9">
        <v>20899.0</v>
      </c>
      <c r="P1234" s="10">
        <v>16939.23</v>
      </c>
    </row>
    <row r="1235">
      <c r="A1235" s="6" t="s">
        <v>5011</v>
      </c>
      <c r="B1235" s="6" t="s">
        <v>5011</v>
      </c>
      <c r="C1235" s="6" t="s">
        <v>5012</v>
      </c>
      <c r="D1235" s="19" t="s">
        <v>5013</v>
      </c>
      <c r="E1235" s="6"/>
      <c r="F1235" s="6"/>
      <c r="G1235" s="6" t="s">
        <v>5014</v>
      </c>
      <c r="H1235" s="6"/>
      <c r="I1235" s="6"/>
      <c r="J1235" s="6"/>
      <c r="K1235" s="6" t="str">
        <f>VLOOKUP(A1235,Sheet4!$A:$H,7,0)</f>
        <v>Ultima Mattress</v>
      </c>
      <c r="L1235" s="6" t="str">
        <f>VLOOKUP(B1235,Sheet4!$A:$H,8,0)</f>
        <v>Mattress</v>
      </c>
      <c r="M1235" s="6">
        <f>VLOOKUP(A1235,Sheet4!A:I,9,0)</f>
        <v>24299</v>
      </c>
      <c r="N1235" s="18">
        <f>VLOOKUP(A1235,Sheet4!A:O,15,0)</f>
        <v>21869</v>
      </c>
      <c r="O1235" s="9">
        <v>23099.0</v>
      </c>
      <c r="P1235" s="10">
        <v>18710.23</v>
      </c>
    </row>
    <row r="1236">
      <c r="A1236" s="6" t="s">
        <v>5015</v>
      </c>
      <c r="B1236" s="6" t="s">
        <v>5015</v>
      </c>
      <c r="C1236" s="6" t="s">
        <v>5016</v>
      </c>
      <c r="D1236" s="19" t="s">
        <v>5017</v>
      </c>
      <c r="E1236" s="6"/>
      <c r="F1236" s="6"/>
      <c r="G1236" s="6" t="s">
        <v>5018</v>
      </c>
      <c r="H1236" s="6"/>
      <c r="I1236" s="6"/>
      <c r="J1236" s="6"/>
      <c r="K1236" s="6" t="str">
        <f>VLOOKUP(A1236,Sheet4!$A:$H,7,0)</f>
        <v>Ultima Mattress</v>
      </c>
      <c r="L1236" s="6" t="str">
        <f>VLOOKUP(B1236,Sheet4!$A:$H,8,0)</f>
        <v>Mattress</v>
      </c>
      <c r="M1236" s="6">
        <f>VLOOKUP(A1236,Sheet4!A:I,9,0)</f>
        <v>26899</v>
      </c>
      <c r="N1236" s="18">
        <f>VLOOKUP(A1236,Sheet4!A:O,15,0)</f>
        <v>24209</v>
      </c>
      <c r="O1236" s="9">
        <v>25599.0</v>
      </c>
      <c r="P1236" s="10">
        <v>20712.23</v>
      </c>
    </row>
    <row r="1237">
      <c r="A1237" s="6" t="s">
        <v>5019</v>
      </c>
      <c r="B1237" s="6" t="s">
        <v>5019</v>
      </c>
      <c r="C1237" s="6" t="s">
        <v>5020</v>
      </c>
      <c r="D1237" s="19" t="s">
        <v>5021</v>
      </c>
      <c r="E1237" s="6"/>
      <c r="F1237" s="6"/>
      <c r="G1237" s="6" t="s">
        <v>5022</v>
      </c>
      <c r="H1237" s="6"/>
      <c r="I1237" s="6"/>
      <c r="J1237" s="6"/>
      <c r="K1237" s="6" t="str">
        <f>VLOOKUP(A1237,Sheet4!$A:$H,7,0)</f>
        <v>Ultima Mattress</v>
      </c>
      <c r="L1237" s="6" t="str">
        <f>VLOOKUP(B1237,Sheet4!$A:$H,8,0)</f>
        <v>Mattress</v>
      </c>
      <c r="M1237" s="6">
        <f>VLOOKUP(A1237,Sheet4!A:I,9,0)</f>
        <v>26899</v>
      </c>
      <c r="N1237" s="18">
        <f>VLOOKUP(A1237,Sheet4!A:O,15,0)</f>
        <v>24209</v>
      </c>
      <c r="O1237" s="9">
        <v>25599.0</v>
      </c>
      <c r="P1237" s="10">
        <v>20712.23</v>
      </c>
    </row>
    <row r="1238">
      <c r="A1238" s="6" t="s">
        <v>5023</v>
      </c>
      <c r="B1238" s="6" t="s">
        <v>5023</v>
      </c>
      <c r="C1238" s="6" t="s">
        <v>5024</v>
      </c>
      <c r="D1238" s="19" t="s">
        <v>5025</v>
      </c>
      <c r="E1238" s="6"/>
      <c r="F1238" s="6"/>
      <c r="G1238" s="6" t="s">
        <v>5026</v>
      </c>
      <c r="H1238" s="6"/>
      <c r="I1238" s="6"/>
      <c r="J1238" s="6"/>
      <c r="K1238" s="6" t="str">
        <f>VLOOKUP(A1238,Sheet4!$A:$H,7,0)</f>
        <v>Ultima Mattress</v>
      </c>
      <c r="L1238" s="6" t="str">
        <f>VLOOKUP(B1238,Sheet4!$A:$H,8,0)</f>
        <v>Mattress</v>
      </c>
      <c r="M1238" s="6">
        <f>VLOOKUP(A1238,Sheet4!A:I,9,0)</f>
        <v>16999</v>
      </c>
      <c r="N1238" s="18">
        <f>VLOOKUP(A1238,Sheet4!A:O,15,0)</f>
        <v>15299</v>
      </c>
      <c r="O1238" s="9">
        <v>16099.0</v>
      </c>
      <c r="P1238" s="10">
        <v>13089.23</v>
      </c>
    </row>
    <row r="1239">
      <c r="A1239" s="6" t="s">
        <v>4736</v>
      </c>
      <c r="B1239" s="6"/>
      <c r="C1239" s="6" t="s">
        <v>4854</v>
      </c>
      <c r="D1239" s="6" t="s">
        <v>4855</v>
      </c>
      <c r="E1239" s="6"/>
      <c r="F1239" s="6"/>
      <c r="G1239" s="6" t="s">
        <v>5027</v>
      </c>
      <c r="H1239" s="6"/>
      <c r="I1239" s="6"/>
      <c r="J1239" s="6"/>
      <c r="K1239" s="11" t="s">
        <v>4729</v>
      </c>
      <c r="L1239" s="11" t="s">
        <v>4730</v>
      </c>
      <c r="M1239" s="6" t="str">
        <f>VLOOKUP(A1239,Sheet4!A:I,9,0)</f>
        <v>#N/A</v>
      </c>
      <c r="N1239" s="8" t="str">
        <f>VLOOKUP(A1239,Sheet4!A:O,15,0)</f>
        <v>#N/A</v>
      </c>
      <c r="O1239" s="10" t="e">
        <v>#N/A</v>
      </c>
    </row>
    <row r="1240">
      <c r="A1240" s="6" t="s">
        <v>4737</v>
      </c>
      <c r="B1240" s="6"/>
      <c r="C1240" s="6" t="s">
        <v>4738</v>
      </c>
      <c r="D1240" s="6" t="s">
        <v>4739</v>
      </c>
      <c r="E1240" s="6"/>
      <c r="F1240" s="6"/>
      <c r="G1240" s="6" t="s">
        <v>4740</v>
      </c>
      <c r="H1240" s="6"/>
      <c r="I1240" s="6"/>
      <c r="J1240" s="6"/>
      <c r="K1240" s="11" t="s">
        <v>4729</v>
      </c>
      <c r="L1240" s="11" t="s">
        <v>4730</v>
      </c>
      <c r="M1240" s="6" t="str">
        <f>VLOOKUP(A1240,Sheet4!A:I,9,0)</f>
        <v>#N/A</v>
      </c>
      <c r="N1240" s="8" t="str">
        <f>VLOOKUP(A1240,Sheet4!A:O,15,0)</f>
        <v>#N/A</v>
      </c>
      <c r="O1240" s="10" t="e">
        <v>#N/A</v>
      </c>
    </row>
    <row r="1241">
      <c r="A1241" s="6" t="s">
        <v>4728</v>
      </c>
      <c r="B1241" s="6"/>
      <c r="C1241" s="6" t="s">
        <v>5028</v>
      </c>
      <c r="D1241" s="6" t="s">
        <v>5029</v>
      </c>
      <c r="E1241" s="6"/>
      <c r="F1241" s="6"/>
      <c r="G1241" s="6" t="s">
        <v>5030</v>
      </c>
      <c r="H1241" s="6"/>
      <c r="I1241" s="6"/>
      <c r="J1241" s="6"/>
      <c r="K1241" s="11" t="s">
        <v>4729</v>
      </c>
      <c r="L1241" s="11" t="s">
        <v>4730</v>
      </c>
      <c r="M1241" s="6" t="str">
        <f>VLOOKUP(A1241,Sheet4!A:I,9,0)</f>
        <v>#N/A</v>
      </c>
      <c r="N1241" s="8" t="str">
        <f>VLOOKUP(A1241,Sheet4!A:O,15,0)</f>
        <v>#N/A</v>
      </c>
      <c r="O1241" s="10" t="e">
        <v>#N/A</v>
      </c>
    </row>
    <row r="1242">
      <c r="A1242" s="6" t="s">
        <v>4744</v>
      </c>
      <c r="B1242" s="6"/>
      <c r="C1242" s="6" t="s">
        <v>4745</v>
      </c>
      <c r="D1242" s="6" t="s">
        <v>4746</v>
      </c>
      <c r="E1242" s="6"/>
      <c r="F1242" s="6"/>
      <c r="G1242" s="6" t="s">
        <v>4747</v>
      </c>
      <c r="H1242" s="6"/>
      <c r="I1242" s="6"/>
      <c r="J1242" s="6"/>
      <c r="K1242" s="11" t="s">
        <v>4729</v>
      </c>
      <c r="L1242" s="11" t="s">
        <v>4730</v>
      </c>
      <c r="M1242" s="6" t="str">
        <f>VLOOKUP(A1242,Sheet4!A:I,9,0)</f>
        <v>#N/A</v>
      </c>
      <c r="N1242" s="8" t="str">
        <f>VLOOKUP(A1242,Sheet4!A:O,15,0)</f>
        <v>#N/A</v>
      </c>
      <c r="O1242" s="10" t="e">
        <v>#N/A</v>
      </c>
    </row>
    <row r="1243">
      <c r="A1243" s="6" t="s">
        <v>4731</v>
      </c>
      <c r="B1243" s="6"/>
      <c r="C1243" s="6" t="s">
        <v>4732</v>
      </c>
      <c r="D1243" s="6" t="s">
        <v>4733</v>
      </c>
      <c r="E1243" s="6"/>
      <c r="F1243" s="6"/>
      <c r="G1243" s="6" t="s">
        <v>4734</v>
      </c>
      <c r="H1243" s="6"/>
      <c r="I1243" s="6"/>
      <c r="J1243" s="6"/>
      <c r="K1243" s="11" t="s">
        <v>4729</v>
      </c>
      <c r="L1243" s="11" t="s">
        <v>4730</v>
      </c>
      <c r="M1243" s="6" t="str">
        <f>VLOOKUP(A1243,Sheet4!A:I,9,0)</f>
        <v>#N/A</v>
      </c>
      <c r="N1243" s="8" t="str">
        <f>VLOOKUP(A1243,Sheet4!A:O,15,0)</f>
        <v>#N/A</v>
      </c>
      <c r="O1243" s="10" t="e">
        <v>#N/A</v>
      </c>
    </row>
    <row r="1244">
      <c r="A1244" s="6" t="s">
        <v>4743</v>
      </c>
      <c r="B1244" s="6"/>
      <c r="C1244" s="6" t="s">
        <v>4848</v>
      </c>
      <c r="D1244" s="6" t="s">
        <v>4849</v>
      </c>
      <c r="E1244" s="6"/>
      <c r="F1244" s="6"/>
      <c r="G1244" s="6" t="s">
        <v>5031</v>
      </c>
      <c r="H1244" s="6"/>
      <c r="I1244" s="6"/>
      <c r="J1244" s="6"/>
      <c r="K1244" s="11" t="s">
        <v>4729</v>
      </c>
      <c r="L1244" s="11" t="s">
        <v>4730</v>
      </c>
      <c r="M1244" s="6" t="str">
        <f>VLOOKUP(A1244,Sheet4!A:I,9,0)</f>
        <v>#N/A</v>
      </c>
      <c r="N1244" s="8" t="str">
        <f>VLOOKUP(A1244,Sheet4!A:O,15,0)</f>
        <v>#N/A</v>
      </c>
      <c r="O1244" s="10" t="e">
        <v>#N/A</v>
      </c>
    </row>
    <row r="1245">
      <c r="A1245" s="6" t="s">
        <v>4750</v>
      </c>
      <c r="B1245" s="6"/>
      <c r="C1245" s="6" t="s">
        <v>4845</v>
      </c>
      <c r="D1245" s="6" t="s">
        <v>4846</v>
      </c>
      <c r="E1245" s="6"/>
      <c r="F1245" s="6"/>
      <c r="G1245" s="6" t="s">
        <v>5032</v>
      </c>
      <c r="H1245" s="6"/>
      <c r="I1245" s="6"/>
      <c r="J1245" s="6"/>
      <c r="K1245" s="11" t="s">
        <v>4729</v>
      </c>
      <c r="L1245" s="11" t="s">
        <v>4730</v>
      </c>
      <c r="M1245" s="6" t="str">
        <f>VLOOKUP(A1245,Sheet4!A:I,9,0)</f>
        <v>#N/A</v>
      </c>
      <c r="N1245" s="8" t="str">
        <f>VLOOKUP(A1245,Sheet4!A:O,15,0)</f>
        <v>#N/A</v>
      </c>
      <c r="O1245" s="10" t="e">
        <v>#N/A</v>
      </c>
    </row>
    <row r="1246">
      <c r="A1246" s="6" t="s">
        <v>4749</v>
      </c>
      <c r="B1246" s="6"/>
      <c r="C1246" s="6" t="s">
        <v>4851</v>
      </c>
      <c r="D1246" s="6" t="s">
        <v>4852</v>
      </c>
      <c r="E1246" s="6"/>
      <c r="F1246" s="6"/>
      <c r="G1246" s="6" t="s">
        <v>5033</v>
      </c>
      <c r="H1246" s="6"/>
      <c r="I1246" s="6"/>
      <c r="J1246" s="6"/>
      <c r="K1246" s="11" t="s">
        <v>4729</v>
      </c>
      <c r="L1246" s="11" t="s">
        <v>4730</v>
      </c>
      <c r="M1246" s="6" t="str">
        <f>VLOOKUP(A1246,Sheet4!A:I,9,0)</f>
        <v>#N/A</v>
      </c>
      <c r="N1246" s="8" t="str">
        <f>VLOOKUP(A1246,Sheet4!A:O,15,0)</f>
        <v>#N/A</v>
      </c>
      <c r="O1246" s="10" t="e">
        <v>#N/A</v>
      </c>
    </row>
    <row r="1247">
      <c r="A1247" s="6" t="s">
        <v>4742</v>
      </c>
      <c r="B1247" s="6"/>
      <c r="C1247" s="6" t="s">
        <v>5034</v>
      </c>
      <c r="D1247" s="6" t="s">
        <v>5035</v>
      </c>
      <c r="E1247" s="6"/>
      <c r="F1247" s="6"/>
      <c r="G1247" s="6" t="s">
        <v>5036</v>
      </c>
      <c r="H1247" s="6"/>
      <c r="I1247" s="6"/>
      <c r="J1247" s="6"/>
      <c r="K1247" s="11" t="s">
        <v>4729</v>
      </c>
      <c r="L1247" s="11" t="s">
        <v>4730</v>
      </c>
      <c r="M1247" s="6" t="str">
        <f>VLOOKUP(A1247,Sheet4!A:I,9,0)</f>
        <v>#N/A</v>
      </c>
      <c r="N1247" s="8" t="str">
        <f>VLOOKUP(A1247,Sheet4!A:O,15,0)</f>
        <v>#N/A</v>
      </c>
      <c r="O1247" s="10" t="e">
        <v>#N/A</v>
      </c>
      <c r="P1247" s="23" t="e">
        <v>#N/A</v>
      </c>
    </row>
    <row r="1248">
      <c r="A1248" s="11" t="s">
        <v>5037</v>
      </c>
      <c r="B1248" s="6"/>
      <c r="C1248" s="6" t="s">
        <v>5038</v>
      </c>
      <c r="D1248" s="6"/>
      <c r="E1248" s="6"/>
      <c r="F1248" s="6"/>
      <c r="G1248" s="6"/>
      <c r="H1248" s="6"/>
      <c r="I1248" s="6"/>
      <c r="J1248" s="6"/>
      <c r="K1248" s="24"/>
      <c r="L1248" s="6"/>
      <c r="M1248" s="6"/>
      <c r="N1248" s="8"/>
      <c r="O1248" s="5">
        <v>499.0</v>
      </c>
      <c r="P1248" s="5">
        <v>399.0</v>
      </c>
    </row>
    <row r="1249">
      <c r="A1249" s="6" t="s">
        <v>5039</v>
      </c>
      <c r="B1249" s="6" t="s">
        <v>5039</v>
      </c>
      <c r="C1249" s="6" t="s">
        <v>5040</v>
      </c>
      <c r="D1249" s="6" t="s">
        <v>5041</v>
      </c>
      <c r="E1249" s="6"/>
      <c r="F1249" s="6"/>
      <c r="G1249" s="6" t="s">
        <v>5042</v>
      </c>
      <c r="H1249" s="6"/>
      <c r="I1249" s="6"/>
      <c r="J1249" s="6"/>
      <c r="K1249" s="6" t="s">
        <v>5043</v>
      </c>
      <c r="L1249" s="6"/>
      <c r="M1249" s="6"/>
      <c r="N1249" s="8"/>
    </row>
    <row r="1250">
      <c r="A1250" s="6" t="s">
        <v>5044</v>
      </c>
      <c r="B1250" s="6" t="s">
        <v>5044</v>
      </c>
      <c r="C1250" s="6" t="s">
        <v>5045</v>
      </c>
      <c r="D1250" s="6" t="s">
        <v>5046</v>
      </c>
      <c r="E1250" s="6"/>
      <c r="F1250" s="6"/>
      <c r="G1250" s="6" t="s">
        <v>5047</v>
      </c>
      <c r="H1250" s="6"/>
      <c r="I1250" s="6"/>
      <c r="J1250" s="6"/>
      <c r="K1250" s="6" t="s">
        <v>5043</v>
      </c>
      <c r="L1250" s="6"/>
      <c r="M1250" s="6"/>
      <c r="N1250" s="8"/>
    </row>
    <row r="1251">
      <c r="A1251" s="6" t="s">
        <v>5048</v>
      </c>
      <c r="B1251" s="6" t="s">
        <v>5048</v>
      </c>
      <c r="C1251" s="6" t="s">
        <v>5049</v>
      </c>
      <c r="D1251" s="6" t="s">
        <v>5050</v>
      </c>
      <c r="E1251" s="6"/>
      <c r="F1251" s="6"/>
      <c r="G1251" s="6" t="s">
        <v>5051</v>
      </c>
      <c r="H1251" s="6"/>
      <c r="I1251" s="6"/>
      <c r="J1251" s="6"/>
      <c r="K1251" s="6" t="s">
        <v>5043</v>
      </c>
      <c r="L1251" s="6"/>
      <c r="M1251" s="6"/>
      <c r="N1251" s="8"/>
    </row>
    <row r="1252">
      <c r="A1252" s="6" t="s">
        <v>5052</v>
      </c>
      <c r="B1252" s="6" t="s">
        <v>5052</v>
      </c>
      <c r="C1252" s="6" t="s">
        <v>5053</v>
      </c>
      <c r="D1252" s="6" t="s">
        <v>5054</v>
      </c>
      <c r="E1252" s="6"/>
      <c r="F1252" s="6"/>
      <c r="G1252" s="6" t="s">
        <v>5055</v>
      </c>
      <c r="H1252" s="6"/>
      <c r="I1252" s="6"/>
      <c r="J1252" s="6"/>
      <c r="K1252" s="6" t="s">
        <v>5043</v>
      </c>
      <c r="L1252" s="6"/>
      <c r="M1252" s="6"/>
      <c r="N1252" s="8"/>
    </row>
    <row r="1253">
      <c r="A1253" s="6" t="s">
        <v>5056</v>
      </c>
      <c r="B1253" s="6" t="s">
        <v>5056</v>
      </c>
      <c r="C1253" s="6" t="s">
        <v>5057</v>
      </c>
      <c r="D1253" s="6" t="s">
        <v>5058</v>
      </c>
      <c r="E1253" s="6"/>
      <c r="F1253" s="6"/>
      <c r="G1253" s="6" t="s">
        <v>5059</v>
      </c>
      <c r="H1253" s="6"/>
      <c r="I1253" s="6"/>
      <c r="J1253" s="6"/>
      <c r="K1253" s="6" t="s">
        <v>5043</v>
      </c>
      <c r="L1253" s="6"/>
      <c r="M1253" s="6"/>
      <c r="N1253" s="8"/>
    </row>
    <row r="1254">
      <c r="A1254" s="6" t="s">
        <v>5060</v>
      </c>
      <c r="B1254" s="6" t="s">
        <v>5060</v>
      </c>
      <c r="C1254" s="6" t="s">
        <v>5061</v>
      </c>
      <c r="D1254" s="6" t="s">
        <v>5062</v>
      </c>
      <c r="E1254" s="6"/>
      <c r="F1254" s="6"/>
      <c r="G1254" s="6" t="s">
        <v>5063</v>
      </c>
      <c r="H1254" s="6"/>
      <c r="I1254" s="6"/>
      <c r="J1254" s="6"/>
      <c r="K1254" s="6" t="s">
        <v>5043</v>
      </c>
      <c r="L1254" s="6"/>
      <c r="M1254" s="6"/>
      <c r="N1254" s="8"/>
    </row>
    <row r="125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13"/>
      <c r="L1255" s="6"/>
      <c r="M1255" s="6"/>
      <c r="N1255" s="8"/>
    </row>
    <row r="1256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13"/>
      <c r="L1256" s="6"/>
      <c r="M1256" s="6"/>
      <c r="N1256" s="8"/>
    </row>
    <row r="1257">
      <c r="A1257" s="6"/>
      <c r="B1257" s="6"/>
      <c r="C1257" s="11"/>
      <c r="D1257" s="6"/>
      <c r="E1257" s="6"/>
      <c r="F1257" s="6"/>
      <c r="G1257" s="6"/>
      <c r="H1257" s="6"/>
      <c r="I1257" s="6"/>
      <c r="J1257" s="6"/>
      <c r="K1257" s="13"/>
      <c r="L1257" s="6"/>
      <c r="M1257" s="6"/>
      <c r="N1257" s="8"/>
    </row>
    <row r="1258">
      <c r="A1258" s="11"/>
      <c r="B1258" s="11"/>
      <c r="C1258" s="6"/>
      <c r="D1258" s="11"/>
      <c r="E1258" s="6"/>
      <c r="F1258" s="6"/>
      <c r="G1258" s="11"/>
      <c r="H1258" s="6"/>
      <c r="I1258" s="6"/>
      <c r="J1258" s="6"/>
      <c r="K1258" s="13"/>
      <c r="L1258" s="6"/>
      <c r="M1258" s="6"/>
      <c r="N1258" s="8"/>
    </row>
    <row r="1259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13"/>
      <c r="L1259" s="6"/>
      <c r="M1259" s="6"/>
      <c r="N1259" s="8"/>
    </row>
    <row r="1260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13"/>
      <c r="L1260" s="6"/>
      <c r="M1260" s="6"/>
      <c r="N1260" s="8"/>
    </row>
    <row r="1261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13"/>
      <c r="L1261" s="6"/>
      <c r="M1261" s="6"/>
      <c r="N1261" s="8"/>
    </row>
    <row r="1262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13"/>
      <c r="L1262" s="6"/>
      <c r="M1262" s="6"/>
      <c r="N1262" s="8"/>
    </row>
    <row r="1263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13"/>
      <c r="L1263" s="6"/>
      <c r="M1263" s="6"/>
      <c r="N1263" s="8"/>
    </row>
    <row r="1264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13"/>
      <c r="L1264" s="6"/>
      <c r="M1264" s="6"/>
      <c r="N1264" s="8"/>
    </row>
    <row r="126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13"/>
      <c r="L1265" s="6"/>
      <c r="M1265" s="6"/>
      <c r="N1265" s="8"/>
    </row>
    <row r="1266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13"/>
      <c r="L1266" s="6"/>
      <c r="M1266" s="6"/>
      <c r="N1266" s="8"/>
    </row>
    <row r="1267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13"/>
      <c r="L1267" s="6"/>
      <c r="M1267" s="6"/>
      <c r="N1267" s="8"/>
    </row>
    <row r="1268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13"/>
      <c r="L1268" s="6"/>
      <c r="M1268" s="6"/>
      <c r="N1268" s="8"/>
    </row>
    <row r="1269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13"/>
      <c r="L1269" s="6"/>
      <c r="M1269" s="6"/>
      <c r="N1269" s="8"/>
    </row>
    <row r="1270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13"/>
      <c r="L1270" s="6"/>
      <c r="M1270" s="6"/>
      <c r="N1270" s="8"/>
    </row>
    <row r="1271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13"/>
      <c r="L1271" s="6"/>
      <c r="M1271" s="6"/>
      <c r="N1271" s="8"/>
    </row>
    <row r="1272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13"/>
      <c r="L1272" s="6"/>
      <c r="M1272" s="6"/>
      <c r="N1272" s="8"/>
    </row>
    <row r="1273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13"/>
      <c r="L1273" s="6"/>
      <c r="M1273" s="6"/>
      <c r="N1273" s="8"/>
    </row>
    <row r="1274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13"/>
      <c r="L1274" s="6"/>
      <c r="M1274" s="6"/>
      <c r="N1274" s="8"/>
    </row>
    <row r="127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13"/>
      <c r="L1275" s="6"/>
      <c r="M1275" s="6"/>
      <c r="N1275" s="8"/>
    </row>
    <row r="1276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13"/>
      <c r="L1276" s="6"/>
      <c r="M1276" s="6"/>
      <c r="N1276" s="8"/>
    </row>
    <row r="1277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13"/>
      <c r="L1277" s="6"/>
      <c r="M1277" s="6"/>
      <c r="N1277" s="8"/>
    </row>
    <row r="1278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13"/>
      <c r="L1278" s="6"/>
      <c r="M1278" s="6"/>
      <c r="N1278" s="8"/>
    </row>
    <row r="1279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13"/>
      <c r="L1279" s="6"/>
      <c r="M1279" s="6"/>
      <c r="N1279" s="8"/>
    </row>
    <row r="1280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13"/>
      <c r="L1280" s="6"/>
      <c r="M1280" s="6"/>
      <c r="N1280" s="8"/>
    </row>
    <row r="1281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13"/>
      <c r="L1281" s="6"/>
      <c r="M1281" s="6"/>
      <c r="N1281" s="8"/>
    </row>
    <row r="1282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13"/>
      <c r="L1282" s="6"/>
      <c r="M1282" s="6"/>
      <c r="N1282" s="8"/>
    </row>
    <row r="1283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13"/>
      <c r="L1283" s="6"/>
      <c r="M1283" s="6"/>
      <c r="N1283" s="8"/>
    </row>
    <row r="1284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13"/>
      <c r="L1284" s="6"/>
      <c r="M1284" s="6"/>
      <c r="N1284" s="8"/>
    </row>
    <row r="128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13"/>
      <c r="L1285" s="6"/>
      <c r="M1285" s="6"/>
      <c r="N1285" s="8"/>
    </row>
    <row r="1286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13"/>
      <c r="L1286" s="6"/>
      <c r="M1286" s="6"/>
      <c r="N1286" s="8"/>
    </row>
    <row r="1287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13"/>
      <c r="L1287" s="6"/>
      <c r="M1287" s="6"/>
      <c r="N1287" s="8"/>
    </row>
    <row r="1288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13"/>
      <c r="L1288" s="6"/>
      <c r="M1288" s="6"/>
      <c r="N1288" s="8"/>
    </row>
    <row r="1289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13"/>
      <c r="L1289" s="6"/>
      <c r="M1289" s="6"/>
      <c r="N1289" s="8"/>
    </row>
    <row r="1290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13"/>
      <c r="L1290" s="6"/>
      <c r="M1290" s="6"/>
      <c r="N1290" s="8"/>
    </row>
    <row r="1291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13"/>
      <c r="L1291" s="6"/>
      <c r="M1291" s="6"/>
      <c r="N1291" s="8"/>
    </row>
    <row r="1292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13"/>
      <c r="L1292" s="6"/>
      <c r="M1292" s="6"/>
      <c r="N1292" s="8"/>
    </row>
    <row r="1293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13"/>
      <c r="L1293" s="6"/>
      <c r="M1293" s="6"/>
      <c r="N1293" s="8"/>
    </row>
  </sheetData>
  <hyperlinks>
    <hyperlink r:id="rId1" ref="D1200"/>
    <hyperlink r:id="rId2" ref="D1201"/>
    <hyperlink r:id="rId3" ref="D1202"/>
    <hyperlink r:id="rId4" ref="D1203"/>
    <hyperlink r:id="rId5" ref="D1206"/>
    <hyperlink r:id="rId6" ref="D1209"/>
    <hyperlink r:id="rId7" ref="D1210"/>
    <hyperlink r:id="rId8" ref="D1211"/>
    <hyperlink r:id="rId9" ref="D1212"/>
    <hyperlink r:id="rId10" ref="D1213"/>
    <hyperlink r:id="rId11" ref="D1214"/>
    <hyperlink r:id="rId12" ref="D1215"/>
    <hyperlink r:id="rId13" ref="D1216"/>
    <hyperlink r:id="rId14" ref="D1233"/>
    <hyperlink r:id="rId15" ref="D1234"/>
    <hyperlink r:id="rId16" ref="D1235"/>
    <hyperlink r:id="rId17" ref="D1236"/>
    <hyperlink r:id="rId18" ref="D1237"/>
    <hyperlink r:id="rId19" ref="D1238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</cols>
  <sheetData>
    <row r="1">
      <c r="A1" s="25" t="s">
        <v>0</v>
      </c>
      <c r="B1" s="25" t="s">
        <v>1</v>
      </c>
      <c r="C1" s="2" t="s">
        <v>2</v>
      </c>
      <c r="D1" s="2" t="s">
        <v>3</v>
      </c>
      <c r="E1" s="2" t="s">
        <v>5064</v>
      </c>
      <c r="F1" s="2" t="s">
        <v>4</v>
      </c>
      <c r="G1" s="2" t="s">
        <v>5065</v>
      </c>
      <c r="H1" s="2" t="s">
        <v>5</v>
      </c>
      <c r="I1" s="2" t="s">
        <v>5066</v>
      </c>
      <c r="J1" s="25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6" t="s">
        <v>13</v>
      </c>
      <c r="R1" s="27" t="s">
        <v>14</v>
      </c>
      <c r="S1" s="28" t="s">
        <v>15</v>
      </c>
      <c r="T1" s="29" t="s">
        <v>5067</v>
      </c>
      <c r="U1" s="29" t="s">
        <v>5068</v>
      </c>
      <c r="V1" s="29" t="s">
        <v>5069</v>
      </c>
      <c r="W1" s="29" t="s">
        <v>5070</v>
      </c>
      <c r="X1" s="30" t="s">
        <v>5071</v>
      </c>
      <c r="Y1" s="31" t="s">
        <v>5072</v>
      </c>
    </row>
    <row r="2">
      <c r="A2" s="32" t="s">
        <v>2390</v>
      </c>
      <c r="B2" s="32" t="s">
        <v>2390</v>
      </c>
      <c r="C2" s="32" t="s">
        <v>2391</v>
      </c>
      <c r="D2" s="32" t="s">
        <v>2392</v>
      </c>
      <c r="E2" s="32" t="s">
        <v>5073</v>
      </c>
      <c r="F2" s="32" t="s">
        <v>2393</v>
      </c>
      <c r="G2" s="32" t="s">
        <v>5073</v>
      </c>
      <c r="H2" s="32">
        <v>0.0</v>
      </c>
      <c r="I2" s="32">
        <v>0.0</v>
      </c>
      <c r="J2" s="32" t="s">
        <v>2394</v>
      </c>
      <c r="K2" s="33" t="s">
        <v>2395</v>
      </c>
      <c r="L2" s="32">
        <v>3.1629881E7</v>
      </c>
      <c r="M2" s="32" t="s">
        <v>2396</v>
      </c>
      <c r="N2" s="32" t="s">
        <v>5074</v>
      </c>
      <c r="O2" s="32" t="s">
        <v>1145</v>
      </c>
      <c r="P2" s="32">
        <v>1189.0</v>
      </c>
      <c r="Q2" s="34">
        <v>999.0</v>
      </c>
      <c r="R2" s="35">
        <v>999.0</v>
      </c>
      <c r="S2" s="35">
        <v>949.0</v>
      </c>
      <c r="T2" s="36">
        <v>527.0</v>
      </c>
      <c r="U2" s="36">
        <v>383.0</v>
      </c>
      <c r="V2" s="36">
        <v>634.0</v>
      </c>
      <c r="W2" s="36">
        <v>342.0</v>
      </c>
      <c r="X2" s="36">
        <v>421.0</v>
      </c>
      <c r="Y2" s="36">
        <v>2307.0</v>
      </c>
    </row>
    <row r="3">
      <c r="A3" s="32" t="s">
        <v>2375</v>
      </c>
      <c r="B3" s="32" t="s">
        <v>2375</v>
      </c>
      <c r="C3" s="32" t="s">
        <v>2376</v>
      </c>
      <c r="D3" s="32" t="s">
        <v>2377</v>
      </c>
      <c r="E3" s="37" t="s">
        <v>5073</v>
      </c>
      <c r="F3" s="32" t="e">
        <v>#N/A</v>
      </c>
      <c r="G3" s="38"/>
      <c r="H3" s="32" t="s">
        <v>2378</v>
      </c>
      <c r="I3" s="32" t="s">
        <v>5073</v>
      </c>
      <c r="J3" s="32" t="s">
        <v>2379</v>
      </c>
      <c r="K3" s="33" t="s">
        <v>2380</v>
      </c>
      <c r="L3" s="32">
        <v>3.1645868E7</v>
      </c>
      <c r="M3" s="32" t="e">
        <v>#N/A</v>
      </c>
      <c r="N3" s="32" t="s">
        <v>5075</v>
      </c>
      <c r="O3" s="32" t="s">
        <v>1145</v>
      </c>
      <c r="P3" s="32">
        <v>999.0</v>
      </c>
      <c r="Q3" s="34">
        <v>849.0</v>
      </c>
      <c r="R3" s="35">
        <v>849.0</v>
      </c>
      <c r="S3" s="35">
        <v>749.0</v>
      </c>
      <c r="T3" s="36">
        <v>435.0</v>
      </c>
      <c r="U3" s="36">
        <v>254.0</v>
      </c>
      <c r="V3" s="36">
        <v>106.0</v>
      </c>
      <c r="W3" s="36">
        <v>406.0</v>
      </c>
      <c r="X3" s="36">
        <v>298.0</v>
      </c>
      <c r="Y3" s="36">
        <v>1499.0</v>
      </c>
    </row>
    <row r="4">
      <c r="A4" s="32" t="s">
        <v>1093</v>
      </c>
      <c r="B4" s="32" t="s">
        <v>1093</v>
      </c>
      <c r="C4" s="32" t="s">
        <v>1094</v>
      </c>
      <c r="D4" s="32" t="s">
        <v>1095</v>
      </c>
      <c r="E4" s="32" t="s">
        <v>5073</v>
      </c>
      <c r="F4" s="32" t="s">
        <v>1096</v>
      </c>
      <c r="G4" s="32" t="s">
        <v>5073</v>
      </c>
      <c r="H4" s="32" t="s">
        <v>1097</v>
      </c>
      <c r="I4" s="32" t="s">
        <v>5073</v>
      </c>
      <c r="J4" s="32" t="s">
        <v>1098</v>
      </c>
      <c r="K4" s="33" t="s">
        <v>1099</v>
      </c>
      <c r="L4" s="32">
        <v>3.1629886E7</v>
      </c>
      <c r="M4" s="32" t="s">
        <v>1100</v>
      </c>
      <c r="N4" s="32" t="s">
        <v>1144</v>
      </c>
      <c r="O4" s="32" t="s">
        <v>1145</v>
      </c>
      <c r="P4" s="32">
        <v>1989.0</v>
      </c>
      <c r="Q4" s="34">
        <v>1099.0</v>
      </c>
      <c r="R4" s="35">
        <v>999.0</v>
      </c>
      <c r="S4" s="35">
        <v>949.0</v>
      </c>
      <c r="T4" s="36">
        <v>154.0</v>
      </c>
      <c r="U4" s="36">
        <v>385.0</v>
      </c>
      <c r="V4" s="36">
        <v>633.0</v>
      </c>
      <c r="W4" s="36">
        <v>2.0</v>
      </c>
      <c r="X4" s="36">
        <v>0.0</v>
      </c>
      <c r="Y4" s="36">
        <v>1174.0</v>
      </c>
    </row>
    <row r="5">
      <c r="A5" s="32" t="s">
        <v>3400</v>
      </c>
      <c r="B5" s="32" t="s">
        <v>3400</v>
      </c>
      <c r="C5" s="32" t="s">
        <v>3401</v>
      </c>
      <c r="D5" s="32" t="s">
        <v>3402</v>
      </c>
      <c r="E5" s="32" t="s">
        <v>5073</v>
      </c>
      <c r="F5" s="32" t="e">
        <v>#N/A</v>
      </c>
      <c r="G5" s="39"/>
      <c r="H5" s="32" t="s">
        <v>3403</v>
      </c>
      <c r="I5" s="32" t="s">
        <v>5073</v>
      </c>
      <c r="J5" s="32" t="s">
        <v>3404</v>
      </c>
      <c r="K5" s="33" t="s">
        <v>3405</v>
      </c>
      <c r="L5" s="32">
        <v>3.1629882E7</v>
      </c>
      <c r="M5" s="32" t="s">
        <v>3406</v>
      </c>
      <c r="N5" s="32" t="s">
        <v>5076</v>
      </c>
      <c r="O5" s="32" t="s">
        <v>1145</v>
      </c>
      <c r="P5" s="32">
        <v>999.0</v>
      </c>
      <c r="Q5" s="34">
        <v>949.0</v>
      </c>
      <c r="R5" s="35">
        <v>949.0</v>
      </c>
      <c r="S5" s="35">
        <v>899.0</v>
      </c>
      <c r="T5" s="36">
        <v>353.0</v>
      </c>
      <c r="U5" s="36">
        <v>113.0</v>
      </c>
      <c r="V5" s="36">
        <v>420.0</v>
      </c>
      <c r="W5" s="36">
        <v>2.0</v>
      </c>
      <c r="X5" s="36">
        <v>197.0</v>
      </c>
      <c r="Y5" s="36">
        <v>1085.0</v>
      </c>
    </row>
    <row r="6">
      <c r="A6" s="32" t="s">
        <v>2274</v>
      </c>
      <c r="B6" s="32" t="s">
        <v>2274</v>
      </c>
      <c r="C6" s="32" t="s">
        <v>2275</v>
      </c>
      <c r="D6" s="32" t="s">
        <v>2276</v>
      </c>
      <c r="E6" s="32" t="s">
        <v>5073</v>
      </c>
      <c r="F6" s="32" t="e">
        <v>#N/A</v>
      </c>
      <c r="G6" s="39"/>
      <c r="H6" s="32" t="s">
        <v>2277</v>
      </c>
      <c r="I6" s="32" t="s">
        <v>5073</v>
      </c>
      <c r="J6" s="32" t="s">
        <v>2278</v>
      </c>
      <c r="K6" s="33" t="s">
        <v>2279</v>
      </c>
      <c r="L6" s="32">
        <v>3.1862352E7</v>
      </c>
      <c r="M6" s="32" t="e">
        <v>#N/A</v>
      </c>
      <c r="N6" s="32" t="s">
        <v>5077</v>
      </c>
      <c r="O6" s="32" t="s">
        <v>4730</v>
      </c>
      <c r="P6" s="32">
        <v>989.0</v>
      </c>
      <c r="Q6" s="34">
        <v>940.0</v>
      </c>
      <c r="R6" s="35">
        <v>940.0</v>
      </c>
      <c r="S6" s="35">
        <v>890.1</v>
      </c>
      <c r="T6" s="36">
        <v>205.0</v>
      </c>
      <c r="U6" s="36">
        <v>244.0</v>
      </c>
      <c r="V6" s="36">
        <v>442.0</v>
      </c>
      <c r="W6" s="36">
        <v>0.0</v>
      </c>
      <c r="X6" s="36">
        <v>114.0</v>
      </c>
      <c r="Y6" s="36">
        <v>1005.0</v>
      </c>
    </row>
    <row r="7">
      <c r="A7" s="32" t="s">
        <v>3467</v>
      </c>
      <c r="B7" s="32" t="s">
        <v>3467</v>
      </c>
      <c r="C7" s="32" t="s">
        <v>3468</v>
      </c>
      <c r="D7" s="32" t="s">
        <v>3469</v>
      </c>
      <c r="E7" s="32" t="s">
        <v>5073</v>
      </c>
      <c r="F7" s="32" t="e">
        <v>#N/A</v>
      </c>
      <c r="G7" s="32" t="e">
        <v>#N/A</v>
      </c>
      <c r="H7" s="32" t="s">
        <v>3467</v>
      </c>
      <c r="I7" s="32" t="s">
        <v>5073</v>
      </c>
      <c r="J7" s="32" t="s">
        <v>3470</v>
      </c>
      <c r="K7" s="33" t="s">
        <v>3471</v>
      </c>
      <c r="L7" s="32" t="e">
        <v>#N/A</v>
      </c>
      <c r="M7" s="32" t="e">
        <v>#N/A</v>
      </c>
      <c r="N7" s="32" t="s">
        <v>5078</v>
      </c>
      <c r="O7" s="32" t="s">
        <v>4730</v>
      </c>
      <c r="P7" s="32">
        <v>499.0</v>
      </c>
      <c r="Q7" s="34">
        <v>494.01</v>
      </c>
      <c r="R7" s="35">
        <v>499.0</v>
      </c>
      <c r="S7" s="35">
        <v>474.05</v>
      </c>
      <c r="T7" s="36">
        <v>45.0</v>
      </c>
      <c r="U7" s="36">
        <v>68.0</v>
      </c>
      <c r="V7" s="36">
        <v>623.0</v>
      </c>
      <c r="W7" s="36">
        <v>174.0</v>
      </c>
      <c r="X7" s="36">
        <v>70.0</v>
      </c>
      <c r="Y7" s="36">
        <v>980.0</v>
      </c>
    </row>
    <row r="8">
      <c r="A8" s="32" t="s">
        <v>2481</v>
      </c>
      <c r="B8" s="32" t="s">
        <v>2481</v>
      </c>
      <c r="C8" s="32" t="s">
        <v>2482</v>
      </c>
      <c r="D8" s="32" t="s">
        <v>2483</v>
      </c>
      <c r="E8" s="32" t="s">
        <v>5073</v>
      </c>
      <c r="F8" s="32" t="e">
        <v>#N/A</v>
      </c>
      <c r="G8" s="32" t="e">
        <v>#N/A</v>
      </c>
      <c r="H8" s="32" t="s">
        <v>2481</v>
      </c>
      <c r="I8" s="32" t="s">
        <v>5073</v>
      </c>
      <c r="J8" s="32" t="s">
        <v>2481</v>
      </c>
      <c r="K8" s="33" t="s">
        <v>2484</v>
      </c>
      <c r="L8" s="32">
        <v>3.1917204E7</v>
      </c>
      <c r="M8" s="32" t="e">
        <v>#N/A</v>
      </c>
      <c r="N8" s="32" t="s">
        <v>5079</v>
      </c>
      <c r="O8" s="32" t="s">
        <v>1145</v>
      </c>
      <c r="P8" s="32">
        <v>1489.0</v>
      </c>
      <c r="Q8" s="34">
        <v>999.0</v>
      </c>
      <c r="R8" s="35">
        <v>999.0</v>
      </c>
      <c r="S8" s="35">
        <v>949.0</v>
      </c>
      <c r="T8" s="36">
        <v>78.0</v>
      </c>
      <c r="U8" s="36">
        <v>0.0</v>
      </c>
      <c r="V8" s="36">
        <v>776.0</v>
      </c>
      <c r="W8" s="36">
        <v>0.0</v>
      </c>
      <c r="X8" s="36">
        <v>30.0</v>
      </c>
      <c r="Y8" s="36">
        <v>884.0</v>
      </c>
    </row>
    <row r="9">
      <c r="A9" s="32" t="s">
        <v>2341</v>
      </c>
      <c r="B9" s="32" t="s">
        <v>2341</v>
      </c>
      <c r="C9" s="32" t="s">
        <v>2342</v>
      </c>
      <c r="D9" s="32" t="s">
        <v>2343</v>
      </c>
      <c r="E9" s="32" t="s">
        <v>5073</v>
      </c>
      <c r="F9" s="32" t="e">
        <v>#N/A</v>
      </c>
      <c r="G9" s="39"/>
      <c r="H9" s="32" t="s">
        <v>2344</v>
      </c>
      <c r="I9" s="32" t="s">
        <v>5073</v>
      </c>
      <c r="J9" s="32" t="s">
        <v>2345</v>
      </c>
      <c r="K9" s="33" t="s">
        <v>2346</v>
      </c>
      <c r="L9" s="32">
        <v>3.186232E7</v>
      </c>
      <c r="M9" s="32" t="e">
        <v>#N/A</v>
      </c>
      <c r="N9" s="32" t="s">
        <v>5077</v>
      </c>
      <c r="O9" s="32" t="s">
        <v>4730</v>
      </c>
      <c r="P9" s="32">
        <v>1089.0</v>
      </c>
      <c r="Q9" s="34">
        <v>1035.0</v>
      </c>
      <c r="R9" s="40">
        <v>1035.0</v>
      </c>
      <c r="S9" s="35">
        <v>980.1</v>
      </c>
      <c r="T9" s="36">
        <v>99.0</v>
      </c>
      <c r="U9" s="36">
        <v>81.0</v>
      </c>
      <c r="V9" s="36">
        <v>397.0</v>
      </c>
      <c r="W9" s="36">
        <v>0.0</v>
      </c>
      <c r="X9" s="36">
        <v>184.0</v>
      </c>
      <c r="Y9" s="36">
        <v>761.0</v>
      </c>
    </row>
    <row r="10">
      <c r="A10" s="32" t="s">
        <v>3861</v>
      </c>
      <c r="B10" s="32" t="s">
        <v>3861</v>
      </c>
      <c r="C10" s="32" t="s">
        <v>3862</v>
      </c>
      <c r="D10" s="32" t="s">
        <v>3863</v>
      </c>
      <c r="E10" s="32" t="s">
        <v>5073</v>
      </c>
      <c r="F10" s="32" t="e">
        <v>#N/A</v>
      </c>
      <c r="G10" s="39"/>
      <c r="H10" s="32">
        <v>0.0</v>
      </c>
      <c r="I10" s="39"/>
      <c r="J10" s="32" t="s">
        <v>3864</v>
      </c>
      <c r="K10" s="33" t="s">
        <v>3865</v>
      </c>
      <c r="L10" s="32" t="e">
        <v>#N/A</v>
      </c>
      <c r="M10" s="32" t="e">
        <v>#N/A</v>
      </c>
      <c r="N10" s="32" t="s">
        <v>4727</v>
      </c>
      <c r="O10" s="32" t="s">
        <v>4727</v>
      </c>
      <c r="P10" s="32">
        <v>1869.0</v>
      </c>
      <c r="Q10" s="34">
        <v>1495.0</v>
      </c>
      <c r="R10" s="40">
        <v>1499.0</v>
      </c>
      <c r="S10" s="35">
        <v>1401.75</v>
      </c>
      <c r="T10" s="36">
        <v>64.0</v>
      </c>
      <c r="U10" s="36">
        <v>69.0</v>
      </c>
      <c r="V10" s="36">
        <v>442.0</v>
      </c>
      <c r="W10" s="36">
        <v>39.0</v>
      </c>
      <c r="X10" s="36">
        <v>60.0</v>
      </c>
      <c r="Y10" s="36">
        <v>674.0</v>
      </c>
    </row>
    <row r="11">
      <c r="A11" s="32" t="s">
        <v>1087</v>
      </c>
      <c r="B11" s="32" t="s">
        <v>1087</v>
      </c>
      <c r="C11" s="32" t="s">
        <v>1088</v>
      </c>
      <c r="D11" s="32" t="s">
        <v>1089</v>
      </c>
      <c r="E11" s="32" t="s">
        <v>5073</v>
      </c>
      <c r="F11" s="32" t="e">
        <v>#N/A</v>
      </c>
      <c r="G11" s="39"/>
      <c r="H11" s="32" t="s">
        <v>1090</v>
      </c>
      <c r="I11" s="32" t="s">
        <v>5073</v>
      </c>
      <c r="J11" s="32" t="s">
        <v>1091</v>
      </c>
      <c r="K11" s="33" t="s">
        <v>1092</v>
      </c>
      <c r="L11" s="32" t="e">
        <v>#N/A</v>
      </c>
      <c r="M11" s="32" t="e">
        <v>#N/A</v>
      </c>
      <c r="N11" s="32" t="s">
        <v>5080</v>
      </c>
      <c r="O11" s="32" t="s">
        <v>1145</v>
      </c>
      <c r="P11" s="32">
        <v>1599.0</v>
      </c>
      <c r="Q11" s="34">
        <v>999.0</v>
      </c>
      <c r="R11" s="35">
        <v>999.0</v>
      </c>
      <c r="S11" s="35">
        <v>959.0</v>
      </c>
      <c r="T11" s="36">
        <v>63.0</v>
      </c>
      <c r="U11" s="36">
        <v>110.0</v>
      </c>
      <c r="V11" s="36">
        <v>341.0</v>
      </c>
      <c r="W11" s="36">
        <v>2.0</v>
      </c>
      <c r="X11" s="36">
        <v>57.0</v>
      </c>
      <c r="Y11" s="36">
        <v>573.0</v>
      </c>
    </row>
    <row r="12">
      <c r="A12" s="32" t="s">
        <v>3891</v>
      </c>
      <c r="B12" s="32" t="s">
        <v>3891</v>
      </c>
      <c r="C12" s="32" t="s">
        <v>3892</v>
      </c>
      <c r="D12" s="32" t="s">
        <v>3893</v>
      </c>
      <c r="E12" s="32" t="s">
        <v>5073</v>
      </c>
      <c r="F12" s="32" t="e">
        <v>#N/A</v>
      </c>
      <c r="G12" s="39"/>
      <c r="H12" s="32">
        <v>0.0</v>
      </c>
      <c r="I12" s="39"/>
      <c r="J12" s="32" t="s">
        <v>3894</v>
      </c>
      <c r="K12" s="33" t="s">
        <v>3895</v>
      </c>
      <c r="L12" s="32" t="e">
        <v>#N/A</v>
      </c>
      <c r="M12" s="32" t="e">
        <v>#N/A</v>
      </c>
      <c r="N12" s="32" t="s">
        <v>4727</v>
      </c>
      <c r="O12" s="32" t="s">
        <v>4727</v>
      </c>
      <c r="P12" s="32">
        <v>1999.0</v>
      </c>
      <c r="Q12" s="34">
        <v>1599.0</v>
      </c>
      <c r="R12" s="40">
        <v>1599.0</v>
      </c>
      <c r="S12" s="35">
        <v>1499.25</v>
      </c>
      <c r="T12" s="36">
        <v>55.0</v>
      </c>
      <c r="U12" s="36">
        <v>51.0</v>
      </c>
      <c r="V12" s="36">
        <v>370.0</v>
      </c>
      <c r="W12" s="36">
        <v>18.0</v>
      </c>
      <c r="X12" s="36">
        <v>57.0</v>
      </c>
      <c r="Y12" s="36">
        <v>551.0</v>
      </c>
    </row>
    <row r="13">
      <c r="A13" s="32" t="s">
        <v>4687</v>
      </c>
      <c r="B13" s="32" t="s">
        <v>4687</v>
      </c>
      <c r="C13" s="32">
        <v>0.0</v>
      </c>
      <c r="D13" s="32">
        <v>0.0</v>
      </c>
      <c r="E13" s="39"/>
      <c r="F13" s="32" t="e">
        <v>#N/A</v>
      </c>
      <c r="G13" s="39"/>
      <c r="H13" s="32">
        <v>0.0</v>
      </c>
      <c r="I13" s="39"/>
      <c r="J13" s="32">
        <v>0.0</v>
      </c>
      <c r="K13" s="41"/>
      <c r="L13" s="41"/>
      <c r="M13" s="41"/>
      <c r="N13" s="33" t="s">
        <v>4693</v>
      </c>
      <c r="O13" s="33" t="s">
        <v>1145</v>
      </c>
      <c r="P13" s="32" t="e">
        <v>#REF!</v>
      </c>
      <c r="Q13" s="38"/>
      <c r="R13" s="42" t="e">
        <v>#N/A</v>
      </c>
      <c r="S13" s="35">
        <v>1499.0</v>
      </c>
      <c r="T13" s="36">
        <v>233.0</v>
      </c>
      <c r="U13" s="36">
        <v>168.0</v>
      </c>
      <c r="V13" s="36">
        <v>0.0</v>
      </c>
      <c r="W13" s="36">
        <v>59.0</v>
      </c>
      <c r="X13" s="36">
        <v>87.0</v>
      </c>
      <c r="Y13" s="36">
        <v>547.0</v>
      </c>
    </row>
    <row r="14">
      <c r="A14" s="32" t="s">
        <v>2367</v>
      </c>
      <c r="B14" s="32" t="s">
        <v>2367</v>
      </c>
      <c r="C14" s="32" t="s">
        <v>4688</v>
      </c>
      <c r="D14" s="32" t="s">
        <v>4689</v>
      </c>
      <c r="E14" s="32" t="s">
        <v>5073</v>
      </c>
      <c r="F14" s="32" t="e">
        <v>#N/A</v>
      </c>
      <c r="G14" s="32" t="e">
        <v>#N/A</v>
      </c>
      <c r="H14" s="32" t="s">
        <v>2368</v>
      </c>
      <c r="I14" s="32" t="s">
        <v>5073</v>
      </c>
      <c r="J14" s="32" t="s">
        <v>4690</v>
      </c>
      <c r="K14" s="33" t="s">
        <v>4691</v>
      </c>
      <c r="L14" s="32">
        <v>3.1629884E7</v>
      </c>
      <c r="M14" s="32" t="s">
        <v>4692</v>
      </c>
      <c r="N14" s="32" t="s">
        <v>4693</v>
      </c>
      <c r="O14" s="32" t="s">
        <v>1145</v>
      </c>
      <c r="P14" s="32">
        <v>1989.0</v>
      </c>
      <c r="Q14" s="34">
        <v>1698.0</v>
      </c>
      <c r="R14" s="40">
        <v>1699.0</v>
      </c>
      <c r="S14" s="35">
        <v>1499.0</v>
      </c>
      <c r="T14" s="36">
        <v>233.0</v>
      </c>
      <c r="U14" s="36">
        <v>168.0</v>
      </c>
      <c r="V14" s="36">
        <v>0.0</v>
      </c>
      <c r="W14" s="36">
        <v>59.0</v>
      </c>
      <c r="X14" s="36">
        <v>87.0</v>
      </c>
      <c r="Y14" s="36">
        <v>547.0</v>
      </c>
    </row>
    <row r="15">
      <c r="A15" s="32" t="s">
        <v>2424</v>
      </c>
      <c r="B15" s="32" t="s">
        <v>2424</v>
      </c>
      <c r="C15" s="32" t="s">
        <v>2425</v>
      </c>
      <c r="D15" s="32" t="s">
        <v>2426</v>
      </c>
      <c r="E15" s="32" t="s">
        <v>5073</v>
      </c>
      <c r="F15" s="32" t="e">
        <v>#N/A</v>
      </c>
      <c r="G15" s="32" t="e">
        <v>#N/A</v>
      </c>
      <c r="H15" s="32">
        <v>0.0</v>
      </c>
      <c r="I15" s="39"/>
      <c r="J15" s="32" t="s">
        <v>2428</v>
      </c>
      <c r="K15" s="33" t="s">
        <v>2429</v>
      </c>
      <c r="L15" s="32">
        <v>3.1629883E7</v>
      </c>
      <c r="M15" s="32" t="s">
        <v>2430</v>
      </c>
      <c r="N15" s="32" t="s">
        <v>5081</v>
      </c>
      <c r="O15" s="32" t="s">
        <v>1145</v>
      </c>
      <c r="P15" s="32">
        <v>1999.0</v>
      </c>
      <c r="Q15" s="34">
        <v>1799.0</v>
      </c>
      <c r="R15" s="40">
        <v>1899.0</v>
      </c>
      <c r="S15" s="35">
        <v>1799.0</v>
      </c>
      <c r="T15" s="36">
        <v>81.0</v>
      </c>
      <c r="U15" s="36">
        <v>28.0</v>
      </c>
      <c r="V15" s="36">
        <v>288.0</v>
      </c>
      <c r="W15" s="36">
        <v>0.0</v>
      </c>
      <c r="X15" s="36">
        <v>50.0</v>
      </c>
      <c r="Y15" s="36">
        <v>447.0</v>
      </c>
    </row>
    <row r="16">
      <c r="A16" s="32" t="s">
        <v>2262</v>
      </c>
      <c r="B16" s="32" t="s">
        <v>2262</v>
      </c>
      <c r="C16" s="32" t="s">
        <v>2263</v>
      </c>
      <c r="D16" s="32" t="s">
        <v>2264</v>
      </c>
      <c r="E16" s="32" t="s">
        <v>5073</v>
      </c>
      <c r="F16" s="32" t="e">
        <v>#N/A</v>
      </c>
      <c r="G16" s="39"/>
      <c r="H16" s="32" t="s">
        <v>2265</v>
      </c>
      <c r="I16" s="32" t="s">
        <v>5073</v>
      </c>
      <c r="J16" s="32" t="s">
        <v>2266</v>
      </c>
      <c r="K16" s="33" t="s">
        <v>2267</v>
      </c>
      <c r="L16" s="32">
        <v>3.1862322E7</v>
      </c>
      <c r="M16" s="32" t="e">
        <v>#N/A</v>
      </c>
      <c r="N16" s="32" t="s">
        <v>5077</v>
      </c>
      <c r="O16" s="32" t="s">
        <v>4730</v>
      </c>
      <c r="P16" s="32">
        <v>989.0</v>
      </c>
      <c r="Q16" s="34">
        <v>940.0</v>
      </c>
      <c r="R16" s="35">
        <v>940.0</v>
      </c>
      <c r="S16" s="35">
        <v>890.1</v>
      </c>
      <c r="T16" s="36">
        <v>61.0</v>
      </c>
      <c r="U16" s="36">
        <v>83.0</v>
      </c>
      <c r="V16" s="36">
        <v>230.0</v>
      </c>
      <c r="W16" s="36">
        <v>0.0</v>
      </c>
      <c r="X16" s="36">
        <v>52.0</v>
      </c>
      <c r="Y16" s="36">
        <v>426.0</v>
      </c>
    </row>
    <row r="17">
      <c r="A17" s="32" t="s">
        <v>2369</v>
      </c>
      <c r="B17" s="32" t="s">
        <v>2369</v>
      </c>
      <c r="C17" s="32" t="s">
        <v>2370</v>
      </c>
      <c r="D17" s="32" t="s">
        <v>2371</v>
      </c>
      <c r="E17" s="32" t="s">
        <v>5073</v>
      </c>
      <c r="F17" s="32" t="e">
        <v>#N/A</v>
      </c>
      <c r="G17" s="32" t="e">
        <v>#N/A</v>
      </c>
      <c r="H17" s="32" t="s">
        <v>2372</v>
      </c>
      <c r="I17" s="32" t="s">
        <v>5073</v>
      </c>
      <c r="J17" s="32" t="s">
        <v>2373</v>
      </c>
      <c r="K17" s="33" t="s">
        <v>2374</v>
      </c>
      <c r="L17" s="32">
        <v>3.3223713E7</v>
      </c>
      <c r="M17" s="32" t="e">
        <v>#N/A</v>
      </c>
      <c r="N17" s="32" t="s">
        <v>5082</v>
      </c>
      <c r="O17" s="32" t="s">
        <v>1145</v>
      </c>
      <c r="P17" s="32">
        <v>2499.0</v>
      </c>
      <c r="Q17" s="34">
        <v>2149.0</v>
      </c>
      <c r="R17" s="40">
        <v>2149.0</v>
      </c>
      <c r="S17" s="35">
        <v>1999.0</v>
      </c>
      <c r="T17" s="36">
        <v>136.0</v>
      </c>
      <c r="U17" s="36">
        <v>132.0</v>
      </c>
      <c r="V17" s="36">
        <v>94.0</v>
      </c>
      <c r="W17" s="36">
        <v>14.0</v>
      </c>
      <c r="X17" s="36">
        <v>41.0</v>
      </c>
      <c r="Y17" s="36">
        <v>417.0</v>
      </c>
    </row>
    <row r="18">
      <c r="A18" s="32" t="s">
        <v>1513</v>
      </c>
      <c r="B18" s="32" t="s">
        <v>1513</v>
      </c>
      <c r="C18" s="32" t="s">
        <v>1514</v>
      </c>
      <c r="D18" s="32" t="s">
        <v>1516</v>
      </c>
      <c r="E18" s="32" t="s">
        <v>5073</v>
      </c>
      <c r="F18" s="32" t="e">
        <v>#N/A</v>
      </c>
      <c r="G18" s="32" t="e">
        <v>#N/A</v>
      </c>
      <c r="H18" s="32" t="s">
        <v>1513</v>
      </c>
      <c r="I18" s="32" t="s">
        <v>5073</v>
      </c>
      <c r="J18" s="32" t="s">
        <v>1517</v>
      </c>
      <c r="K18" s="33" t="s">
        <v>1518</v>
      </c>
      <c r="L18" s="32" t="e">
        <v>#N/A</v>
      </c>
      <c r="M18" s="32" t="e">
        <v>#N/A</v>
      </c>
      <c r="N18" s="32" t="s">
        <v>5078</v>
      </c>
      <c r="O18" s="32" t="s">
        <v>4730</v>
      </c>
      <c r="P18" s="32">
        <v>549.0</v>
      </c>
      <c r="Q18" s="34">
        <v>543.51</v>
      </c>
      <c r="R18" s="35">
        <v>549.0</v>
      </c>
      <c r="S18" s="35">
        <v>521.55</v>
      </c>
      <c r="T18" s="36">
        <v>284.0</v>
      </c>
      <c r="U18" s="36">
        <v>13.0</v>
      </c>
      <c r="V18" s="36">
        <v>53.0</v>
      </c>
      <c r="W18" s="36">
        <v>57.0</v>
      </c>
      <c r="X18" s="36">
        <v>5.0</v>
      </c>
      <c r="Y18" s="36">
        <v>412.0</v>
      </c>
    </row>
    <row r="19">
      <c r="A19" s="32" t="s">
        <v>3871</v>
      </c>
      <c r="B19" s="32" t="s">
        <v>3871</v>
      </c>
      <c r="C19" s="32" t="s">
        <v>3872</v>
      </c>
      <c r="D19" s="32" t="s">
        <v>3873</v>
      </c>
      <c r="E19" s="32" t="s">
        <v>5073</v>
      </c>
      <c r="F19" s="32" t="e">
        <v>#N/A</v>
      </c>
      <c r="G19" s="39"/>
      <c r="H19" s="32">
        <v>0.0</v>
      </c>
      <c r="I19" s="39"/>
      <c r="J19" s="32" t="s">
        <v>3874</v>
      </c>
      <c r="K19" s="33" t="s">
        <v>3875</v>
      </c>
      <c r="L19" s="32" t="e">
        <v>#N/A</v>
      </c>
      <c r="M19" s="32" t="e">
        <v>#N/A</v>
      </c>
      <c r="N19" s="32" t="s">
        <v>4727</v>
      </c>
      <c r="O19" s="32" t="s">
        <v>4727</v>
      </c>
      <c r="P19" s="32">
        <v>1869.0</v>
      </c>
      <c r="Q19" s="34">
        <v>1495.0</v>
      </c>
      <c r="R19" s="40">
        <v>1499.0</v>
      </c>
      <c r="S19" s="35">
        <v>1401.75</v>
      </c>
      <c r="T19" s="36">
        <v>40.0</v>
      </c>
      <c r="U19" s="36">
        <v>50.0</v>
      </c>
      <c r="V19" s="36">
        <v>228.0</v>
      </c>
      <c r="W19" s="36">
        <v>33.0</v>
      </c>
      <c r="X19" s="36">
        <v>56.0</v>
      </c>
      <c r="Y19" s="36">
        <v>407.0</v>
      </c>
    </row>
    <row r="20">
      <c r="A20" s="32" t="s">
        <v>2411</v>
      </c>
      <c r="B20" s="32" t="s">
        <v>2411</v>
      </c>
      <c r="C20" s="32" t="s">
        <v>4756</v>
      </c>
      <c r="D20" s="32" t="s">
        <v>4757</v>
      </c>
      <c r="E20" s="32" t="s">
        <v>5073</v>
      </c>
      <c r="F20" s="32" t="e">
        <v>#N/A</v>
      </c>
      <c r="G20" s="32" t="e">
        <v>#N/A</v>
      </c>
      <c r="H20" s="32" t="s">
        <v>2413</v>
      </c>
      <c r="I20" s="32" t="s">
        <v>5073</v>
      </c>
      <c r="J20" s="32" t="s">
        <v>2414</v>
      </c>
      <c r="K20" s="33" t="s">
        <v>4758</v>
      </c>
      <c r="L20" s="32" t="e">
        <v>#N/A</v>
      </c>
      <c r="M20" s="32" t="e">
        <v>#N/A</v>
      </c>
      <c r="N20" s="32" t="s">
        <v>5074</v>
      </c>
      <c r="O20" s="32" t="s">
        <v>1145</v>
      </c>
      <c r="P20" s="32">
        <v>1489.0</v>
      </c>
      <c r="Q20" s="34">
        <v>1149.0</v>
      </c>
      <c r="R20" s="40">
        <v>1299.0</v>
      </c>
      <c r="S20" s="35">
        <v>999.0</v>
      </c>
      <c r="T20" s="36">
        <v>172.0</v>
      </c>
      <c r="U20" s="36">
        <v>208.0</v>
      </c>
      <c r="V20" s="36">
        <v>0.0</v>
      </c>
      <c r="W20" s="36">
        <v>20.0</v>
      </c>
      <c r="X20" s="36">
        <v>0.0</v>
      </c>
      <c r="Y20" s="36">
        <v>400.0</v>
      </c>
    </row>
    <row r="21">
      <c r="A21" s="32" t="s">
        <v>1508</v>
      </c>
      <c r="B21" s="32" t="s">
        <v>1508</v>
      </c>
      <c r="C21" s="32" t="s">
        <v>1509</v>
      </c>
      <c r="D21" s="32" t="s">
        <v>1510</v>
      </c>
      <c r="E21" s="32" t="s">
        <v>5073</v>
      </c>
      <c r="F21" s="32" t="e">
        <v>#N/A</v>
      </c>
      <c r="G21" s="32" t="e">
        <v>#N/A</v>
      </c>
      <c r="H21" s="32" t="s">
        <v>1508</v>
      </c>
      <c r="I21" s="32" t="s">
        <v>5073</v>
      </c>
      <c r="J21" s="32" t="s">
        <v>1511</v>
      </c>
      <c r="K21" s="33" t="s">
        <v>1512</v>
      </c>
      <c r="L21" s="32" t="e">
        <v>#N/A</v>
      </c>
      <c r="M21" s="32" t="e">
        <v>#N/A</v>
      </c>
      <c r="N21" s="32" t="s">
        <v>5078</v>
      </c>
      <c r="O21" s="32" t="s">
        <v>4730</v>
      </c>
      <c r="P21" s="32">
        <v>549.0</v>
      </c>
      <c r="Q21" s="34">
        <v>543.51</v>
      </c>
      <c r="R21" s="35">
        <v>549.0</v>
      </c>
      <c r="S21" s="35">
        <v>521.55</v>
      </c>
      <c r="T21" s="36">
        <v>142.0</v>
      </c>
      <c r="U21" s="36">
        <v>59.0</v>
      </c>
      <c r="V21" s="36">
        <v>125.0</v>
      </c>
      <c r="W21" s="36">
        <v>45.0</v>
      </c>
      <c r="X21" s="36">
        <v>15.0</v>
      </c>
      <c r="Y21" s="36">
        <v>386.0</v>
      </c>
    </row>
    <row r="22">
      <c r="A22" s="32" t="s">
        <v>3851</v>
      </c>
      <c r="B22" s="32" t="s">
        <v>3851</v>
      </c>
      <c r="C22" s="32" t="s">
        <v>3852</v>
      </c>
      <c r="D22" s="32" t="s">
        <v>3853</v>
      </c>
      <c r="E22" s="32" t="s">
        <v>5073</v>
      </c>
      <c r="F22" s="32" t="e">
        <v>#N/A</v>
      </c>
      <c r="G22" s="38"/>
      <c r="H22" s="32">
        <v>0.0</v>
      </c>
      <c r="I22" s="39"/>
      <c r="J22" s="32" t="s">
        <v>3854</v>
      </c>
      <c r="K22" s="33" t="s">
        <v>3855</v>
      </c>
      <c r="L22" s="32" t="e">
        <v>#N/A</v>
      </c>
      <c r="M22" s="32" t="e">
        <v>#N/A</v>
      </c>
      <c r="N22" s="32" t="s">
        <v>4727</v>
      </c>
      <c r="O22" s="32" t="s">
        <v>4727</v>
      </c>
      <c r="P22" s="32">
        <v>1249.0</v>
      </c>
      <c r="Q22" s="34">
        <v>999.0</v>
      </c>
      <c r="R22" s="35">
        <v>999.0</v>
      </c>
      <c r="S22" s="35">
        <v>936.75</v>
      </c>
      <c r="T22" s="36">
        <v>53.0</v>
      </c>
      <c r="U22" s="36">
        <v>56.0</v>
      </c>
      <c r="V22" s="36">
        <v>175.0</v>
      </c>
      <c r="W22" s="36">
        <v>18.0</v>
      </c>
      <c r="X22" s="36">
        <v>67.0</v>
      </c>
      <c r="Y22" s="36">
        <v>369.0</v>
      </c>
    </row>
    <row r="23">
      <c r="A23" s="32" t="s">
        <v>1493</v>
      </c>
      <c r="B23" s="32" t="s">
        <v>1493</v>
      </c>
      <c r="C23" s="32" t="s">
        <v>1494</v>
      </c>
      <c r="D23" s="32" t="s">
        <v>1495</v>
      </c>
      <c r="E23" s="32" t="s">
        <v>5073</v>
      </c>
      <c r="F23" s="32" t="e">
        <v>#N/A</v>
      </c>
      <c r="G23" s="39"/>
      <c r="H23" s="32" t="s">
        <v>1493</v>
      </c>
      <c r="I23" s="32" t="s">
        <v>5073</v>
      </c>
      <c r="J23" s="32" t="s">
        <v>1496</v>
      </c>
      <c r="K23" s="33" t="s">
        <v>1497</v>
      </c>
      <c r="L23" s="32" t="e">
        <v>#N/A</v>
      </c>
      <c r="M23" s="32" t="e">
        <v>#N/A</v>
      </c>
      <c r="N23" s="32" t="s">
        <v>5078</v>
      </c>
      <c r="O23" s="32" t="s">
        <v>4730</v>
      </c>
      <c r="P23" s="32">
        <v>649.0</v>
      </c>
      <c r="Q23" s="34">
        <v>642.51</v>
      </c>
      <c r="R23" s="35">
        <v>649.0</v>
      </c>
      <c r="S23" s="35">
        <v>616.55</v>
      </c>
      <c r="T23" s="36">
        <v>36.0</v>
      </c>
      <c r="U23" s="36">
        <v>177.0</v>
      </c>
      <c r="V23" s="36">
        <v>0.0</v>
      </c>
      <c r="W23" s="36">
        <v>143.0</v>
      </c>
      <c r="X23" s="36">
        <v>0.0</v>
      </c>
      <c r="Y23" s="36">
        <v>356.0</v>
      </c>
    </row>
    <row r="24">
      <c r="A24" s="32" t="s">
        <v>1498</v>
      </c>
      <c r="B24" s="32" t="s">
        <v>1498</v>
      </c>
      <c r="C24" s="32" t="s">
        <v>1499</v>
      </c>
      <c r="D24" s="32" t="s">
        <v>1500</v>
      </c>
      <c r="E24" s="32" t="s">
        <v>5073</v>
      </c>
      <c r="F24" s="32" t="e">
        <v>#N/A</v>
      </c>
      <c r="G24" s="39"/>
      <c r="H24" s="32" t="s">
        <v>1498</v>
      </c>
      <c r="I24" s="32" t="s">
        <v>5073</v>
      </c>
      <c r="J24" s="32" t="s">
        <v>1501</v>
      </c>
      <c r="K24" s="33" t="s">
        <v>1502</v>
      </c>
      <c r="L24" s="32" t="e">
        <v>#N/A</v>
      </c>
      <c r="M24" s="32" t="e">
        <v>#N/A</v>
      </c>
      <c r="N24" s="32" t="s">
        <v>5078</v>
      </c>
      <c r="O24" s="32" t="s">
        <v>4730</v>
      </c>
      <c r="P24" s="32">
        <v>649.0</v>
      </c>
      <c r="Q24" s="34">
        <v>642.51</v>
      </c>
      <c r="R24" s="35">
        <v>649.0</v>
      </c>
      <c r="S24" s="35">
        <v>616.55</v>
      </c>
      <c r="T24" s="36">
        <v>124.0</v>
      </c>
      <c r="U24" s="36">
        <v>28.0</v>
      </c>
      <c r="V24" s="36">
        <v>110.0</v>
      </c>
      <c r="W24" s="36">
        <v>87.0</v>
      </c>
      <c r="X24" s="36">
        <v>0.0</v>
      </c>
      <c r="Y24" s="36">
        <v>349.0</v>
      </c>
    </row>
    <row r="25">
      <c r="A25" s="32" t="s">
        <v>2448</v>
      </c>
      <c r="B25" s="32" t="s">
        <v>2448</v>
      </c>
      <c r="C25" s="32" t="s">
        <v>2449</v>
      </c>
      <c r="D25" s="32" t="s">
        <v>2450</v>
      </c>
      <c r="E25" s="32" t="s">
        <v>5073</v>
      </c>
      <c r="F25" s="32" t="e">
        <v>#N/A</v>
      </c>
      <c r="G25" s="39"/>
      <c r="H25" s="32" t="s">
        <v>2451</v>
      </c>
      <c r="I25" s="32" t="s">
        <v>5073</v>
      </c>
      <c r="J25" s="32" t="s">
        <v>2448</v>
      </c>
      <c r="K25" s="33" t="s">
        <v>2452</v>
      </c>
      <c r="L25" s="32">
        <v>3.1629885E7</v>
      </c>
      <c r="M25" s="32" t="s">
        <v>2453</v>
      </c>
      <c r="N25" s="32" t="s">
        <v>5083</v>
      </c>
      <c r="O25" s="32" t="s">
        <v>1145</v>
      </c>
      <c r="P25" s="32">
        <v>2989.0</v>
      </c>
      <c r="Q25" s="34">
        <v>2299.0</v>
      </c>
      <c r="R25" s="40">
        <v>2299.0</v>
      </c>
      <c r="S25" s="35">
        <v>2199.0</v>
      </c>
      <c r="T25" s="36">
        <v>40.0</v>
      </c>
      <c r="U25" s="36">
        <v>0.0</v>
      </c>
      <c r="V25" s="36">
        <v>261.0</v>
      </c>
      <c r="W25" s="36">
        <v>12.0</v>
      </c>
      <c r="X25" s="36">
        <v>21.0</v>
      </c>
      <c r="Y25" s="36">
        <v>334.0</v>
      </c>
    </row>
    <row r="26">
      <c r="A26" s="32" t="s">
        <v>1132</v>
      </c>
      <c r="B26" s="32" t="s">
        <v>1132</v>
      </c>
      <c r="C26" s="32" t="s">
        <v>1133</v>
      </c>
      <c r="D26" s="32" t="s">
        <v>1134</v>
      </c>
      <c r="E26" s="32" t="s">
        <v>5073</v>
      </c>
      <c r="F26" s="32" t="e">
        <v>#N/A</v>
      </c>
      <c r="G26" s="39"/>
      <c r="H26" s="32" t="s">
        <v>1135</v>
      </c>
      <c r="I26" s="32" t="s">
        <v>5073</v>
      </c>
      <c r="J26" s="32" t="s">
        <v>1132</v>
      </c>
      <c r="K26" s="33" t="s">
        <v>1136</v>
      </c>
      <c r="L26" s="32">
        <v>3.2777659E7</v>
      </c>
      <c r="M26" s="32" t="s">
        <v>1137</v>
      </c>
      <c r="N26" s="32" t="s">
        <v>5084</v>
      </c>
      <c r="O26" s="32" t="s">
        <v>1145</v>
      </c>
      <c r="P26" s="32">
        <v>1989.0</v>
      </c>
      <c r="Q26" s="34">
        <v>999.0</v>
      </c>
      <c r="R26" s="35">
        <v>999.0</v>
      </c>
      <c r="S26" s="35">
        <v>999.0</v>
      </c>
      <c r="T26" s="36">
        <v>86.0</v>
      </c>
      <c r="U26" s="36">
        <v>66.0</v>
      </c>
      <c r="V26" s="36">
        <v>178.0</v>
      </c>
      <c r="W26" s="36">
        <v>0.0</v>
      </c>
      <c r="X26" s="36">
        <v>0.0</v>
      </c>
      <c r="Y26" s="36">
        <v>330.0</v>
      </c>
    </row>
    <row r="27">
      <c r="A27" s="32" t="s">
        <v>3856</v>
      </c>
      <c r="B27" s="32" t="s">
        <v>3856</v>
      </c>
      <c r="C27" s="32" t="s">
        <v>3857</v>
      </c>
      <c r="D27" s="32" t="s">
        <v>3858</v>
      </c>
      <c r="E27" s="32" t="s">
        <v>5073</v>
      </c>
      <c r="F27" s="32" t="e">
        <v>#N/A</v>
      </c>
      <c r="G27" s="39"/>
      <c r="H27" s="32">
        <v>0.0</v>
      </c>
      <c r="I27" s="39"/>
      <c r="J27" s="32" t="s">
        <v>3859</v>
      </c>
      <c r="K27" s="33" t="s">
        <v>3860</v>
      </c>
      <c r="L27" s="32" t="e">
        <v>#N/A</v>
      </c>
      <c r="M27" s="32" t="e">
        <v>#N/A</v>
      </c>
      <c r="N27" s="32" t="s">
        <v>4727</v>
      </c>
      <c r="O27" s="32" t="s">
        <v>4727</v>
      </c>
      <c r="P27" s="32">
        <v>1869.0</v>
      </c>
      <c r="Q27" s="34">
        <v>1495.0</v>
      </c>
      <c r="R27" s="40">
        <v>1499.0</v>
      </c>
      <c r="S27" s="35">
        <v>1401.75</v>
      </c>
      <c r="T27" s="36">
        <v>5.0</v>
      </c>
      <c r="U27" s="36">
        <v>0.0</v>
      </c>
      <c r="V27" s="36">
        <v>315.0</v>
      </c>
      <c r="W27" s="36">
        <v>9.0</v>
      </c>
      <c r="X27" s="36">
        <v>0.0</v>
      </c>
      <c r="Y27" s="36">
        <v>329.0</v>
      </c>
    </row>
    <row r="28">
      <c r="A28" s="32" t="s">
        <v>2384</v>
      </c>
      <c r="B28" s="32" t="s">
        <v>2384</v>
      </c>
      <c r="C28" s="32" t="s">
        <v>2385</v>
      </c>
      <c r="D28" s="32" t="s">
        <v>2386</v>
      </c>
      <c r="E28" s="32" t="s">
        <v>5073</v>
      </c>
      <c r="F28" s="32" t="e">
        <v>#N/A</v>
      </c>
      <c r="G28" s="39"/>
      <c r="H28" s="32" t="s">
        <v>2387</v>
      </c>
      <c r="I28" s="32" t="s">
        <v>5073</v>
      </c>
      <c r="J28" s="32" t="s">
        <v>2388</v>
      </c>
      <c r="K28" s="33" t="s">
        <v>2389</v>
      </c>
      <c r="L28" s="32">
        <v>3.162988E7</v>
      </c>
      <c r="M28" s="32" t="e">
        <v>#N/A</v>
      </c>
      <c r="N28" s="32" t="s">
        <v>5085</v>
      </c>
      <c r="O28" s="32" t="s">
        <v>1145</v>
      </c>
      <c r="P28" s="32">
        <v>1989.0</v>
      </c>
      <c r="Q28" s="34">
        <v>1699.0</v>
      </c>
      <c r="R28" s="40">
        <v>1699.0</v>
      </c>
      <c r="S28" s="35">
        <v>1599.0</v>
      </c>
      <c r="T28" s="36">
        <v>152.0</v>
      </c>
      <c r="U28" s="36">
        <v>62.0</v>
      </c>
      <c r="V28" s="36">
        <v>90.0</v>
      </c>
      <c r="W28" s="36">
        <v>24.0</v>
      </c>
      <c r="X28" s="36">
        <v>0.0</v>
      </c>
      <c r="Y28" s="36">
        <v>328.0</v>
      </c>
    </row>
    <row r="29">
      <c r="A29" s="32" t="s">
        <v>3876</v>
      </c>
      <c r="B29" s="32" t="s">
        <v>3876</v>
      </c>
      <c r="C29" s="32" t="s">
        <v>3877</v>
      </c>
      <c r="D29" s="32" t="s">
        <v>3878</v>
      </c>
      <c r="E29" s="32" t="s">
        <v>5073</v>
      </c>
      <c r="F29" s="32" t="e">
        <v>#N/A</v>
      </c>
      <c r="G29" s="39"/>
      <c r="H29" s="32">
        <v>0.0</v>
      </c>
      <c r="I29" s="39"/>
      <c r="J29" s="32" t="s">
        <v>3879</v>
      </c>
      <c r="K29" s="33" t="s">
        <v>3880</v>
      </c>
      <c r="L29" s="32" t="e">
        <v>#N/A</v>
      </c>
      <c r="M29" s="32" t="e">
        <v>#N/A</v>
      </c>
      <c r="N29" s="32" t="s">
        <v>4727</v>
      </c>
      <c r="O29" s="32" t="s">
        <v>4727</v>
      </c>
      <c r="P29" s="32">
        <v>2499.0</v>
      </c>
      <c r="Q29" s="34">
        <v>1999.0</v>
      </c>
      <c r="R29" s="40">
        <v>1999.0</v>
      </c>
      <c r="S29" s="35">
        <v>1874.25</v>
      </c>
      <c r="T29" s="36">
        <v>48.0</v>
      </c>
      <c r="U29" s="36">
        <v>29.0</v>
      </c>
      <c r="V29" s="36">
        <v>194.0</v>
      </c>
      <c r="W29" s="36">
        <v>13.0</v>
      </c>
      <c r="X29" s="36">
        <v>40.0</v>
      </c>
      <c r="Y29" s="36">
        <v>324.0</v>
      </c>
    </row>
    <row r="30">
      <c r="A30" s="32" t="s">
        <v>3881</v>
      </c>
      <c r="B30" s="43" t="s">
        <v>3881</v>
      </c>
      <c r="C30" s="32" t="s">
        <v>3882</v>
      </c>
      <c r="D30" s="32" t="s">
        <v>3883</v>
      </c>
      <c r="E30" s="32" t="s">
        <v>5073</v>
      </c>
      <c r="F30" s="32" t="e">
        <v>#N/A</v>
      </c>
      <c r="G30" s="39"/>
      <c r="H30" s="32">
        <v>0.0</v>
      </c>
      <c r="I30" s="39"/>
      <c r="J30" s="32" t="s">
        <v>3884</v>
      </c>
      <c r="K30" s="33" t="s">
        <v>3885</v>
      </c>
      <c r="L30" s="32" t="e">
        <v>#N/A</v>
      </c>
      <c r="M30" s="32" t="e">
        <v>#N/A</v>
      </c>
      <c r="N30" s="32" t="s">
        <v>4727</v>
      </c>
      <c r="O30" s="32" t="s">
        <v>4727</v>
      </c>
      <c r="P30" s="32">
        <v>2499.0</v>
      </c>
      <c r="Q30" s="34">
        <v>1999.0</v>
      </c>
      <c r="R30" s="40">
        <v>1999.0</v>
      </c>
      <c r="S30" s="35">
        <v>1874.25</v>
      </c>
      <c r="T30" s="36">
        <v>0.0</v>
      </c>
      <c r="U30" s="36">
        <v>28.0</v>
      </c>
      <c r="V30" s="36">
        <v>222.0</v>
      </c>
      <c r="W30" s="36">
        <v>21.0</v>
      </c>
      <c r="X30" s="36">
        <v>43.0</v>
      </c>
      <c r="Y30" s="36">
        <v>314.0</v>
      </c>
    </row>
    <row r="31">
      <c r="A31" s="32" t="s">
        <v>3307</v>
      </c>
      <c r="B31" s="32" t="s">
        <v>3307</v>
      </c>
      <c r="C31" s="32" t="s">
        <v>3308</v>
      </c>
      <c r="D31" s="32" t="s">
        <v>3309</v>
      </c>
      <c r="E31" s="32" t="s">
        <v>5073</v>
      </c>
      <c r="F31" s="32" t="e">
        <v>#N/A</v>
      </c>
      <c r="G31" s="38"/>
      <c r="H31" s="32" t="s">
        <v>3310</v>
      </c>
      <c r="I31" s="32" t="s">
        <v>5073</v>
      </c>
      <c r="J31" s="32" t="s">
        <v>3311</v>
      </c>
      <c r="K31" s="33" t="s">
        <v>3312</v>
      </c>
      <c r="L31" s="32">
        <v>3.1818392E7</v>
      </c>
      <c r="M31" s="32" t="e">
        <v>#N/A</v>
      </c>
      <c r="N31" s="32" t="s">
        <v>5086</v>
      </c>
      <c r="O31" s="32" t="s">
        <v>4730</v>
      </c>
      <c r="P31" s="32">
        <v>1989.0</v>
      </c>
      <c r="Q31" s="34">
        <v>1799.0</v>
      </c>
      <c r="R31" s="40">
        <v>1799.0</v>
      </c>
      <c r="S31" s="35">
        <v>1690.65</v>
      </c>
      <c r="T31" s="36">
        <v>43.0</v>
      </c>
      <c r="U31" s="36">
        <v>26.0</v>
      </c>
      <c r="V31" s="36">
        <v>90.0</v>
      </c>
      <c r="W31" s="36">
        <v>45.0</v>
      </c>
      <c r="X31" s="36">
        <v>93.0</v>
      </c>
      <c r="Y31" s="36">
        <v>297.0</v>
      </c>
    </row>
    <row r="32">
      <c r="A32" s="32" t="s">
        <v>3414</v>
      </c>
      <c r="B32" s="32" t="s">
        <v>3414</v>
      </c>
      <c r="C32" s="32" t="s">
        <v>4863</v>
      </c>
      <c r="D32" s="32" t="s">
        <v>4864</v>
      </c>
      <c r="E32" s="32" t="s">
        <v>5073</v>
      </c>
      <c r="F32" s="32" t="e">
        <v>#N/A</v>
      </c>
      <c r="G32" s="39"/>
      <c r="H32" s="32" t="e">
        <v>#N/A</v>
      </c>
      <c r="I32" s="39"/>
      <c r="J32" s="32" t="s">
        <v>3416</v>
      </c>
      <c r="K32" s="33" t="s">
        <v>3417</v>
      </c>
      <c r="L32" s="32" t="e">
        <v>#N/A</v>
      </c>
      <c r="M32" s="32" t="e">
        <v>#N/A</v>
      </c>
      <c r="N32" s="32" t="s">
        <v>5076</v>
      </c>
      <c r="O32" s="32" t="s">
        <v>1145</v>
      </c>
      <c r="P32" s="32">
        <v>1489.0</v>
      </c>
      <c r="Q32" s="34">
        <v>1414.0</v>
      </c>
      <c r="R32" s="40">
        <v>1414.0</v>
      </c>
      <c r="S32" s="35">
        <v>1299.0</v>
      </c>
      <c r="T32" s="36">
        <v>107.0</v>
      </c>
      <c r="U32" s="36">
        <v>83.0</v>
      </c>
      <c r="V32" s="36">
        <v>54.0</v>
      </c>
      <c r="W32" s="36">
        <v>27.0</v>
      </c>
      <c r="X32" s="36">
        <v>23.0</v>
      </c>
      <c r="Y32" s="36">
        <v>294.0</v>
      </c>
    </row>
    <row r="33">
      <c r="A33" s="32" t="s">
        <v>3137</v>
      </c>
      <c r="B33" s="32" t="s">
        <v>3137</v>
      </c>
      <c r="C33" s="32" t="s">
        <v>3138</v>
      </c>
      <c r="D33" s="32" t="s">
        <v>3139</v>
      </c>
      <c r="E33" s="32" t="s">
        <v>5073</v>
      </c>
      <c r="F33" s="32" t="e">
        <v>#N/A</v>
      </c>
      <c r="G33" s="39"/>
      <c r="H33" s="32" t="s">
        <v>3140</v>
      </c>
      <c r="I33" s="32" t="s">
        <v>5073</v>
      </c>
      <c r="J33" s="32" t="s">
        <v>3141</v>
      </c>
      <c r="K33" s="33" t="s">
        <v>3142</v>
      </c>
      <c r="L33" s="32">
        <v>3.1745301E7</v>
      </c>
      <c r="M33" s="32" t="s">
        <v>3143</v>
      </c>
      <c r="N33" s="32" t="s">
        <v>5087</v>
      </c>
      <c r="O33" s="32" t="s">
        <v>4730</v>
      </c>
      <c r="P33" s="32">
        <v>2489.0</v>
      </c>
      <c r="Q33" s="34">
        <v>2098.0</v>
      </c>
      <c r="R33" s="40">
        <v>2099.0</v>
      </c>
      <c r="S33" s="35">
        <v>1999.0</v>
      </c>
      <c r="T33" s="36">
        <v>29.0</v>
      </c>
      <c r="U33" s="36">
        <v>27.0</v>
      </c>
      <c r="V33" s="36">
        <v>230.0</v>
      </c>
      <c r="W33" s="36">
        <v>0.0</v>
      </c>
      <c r="X33" s="36">
        <v>0.0</v>
      </c>
      <c r="Y33" s="36">
        <v>286.0</v>
      </c>
    </row>
    <row r="34">
      <c r="A34" s="32" t="s">
        <v>2951</v>
      </c>
      <c r="B34" s="32" t="s">
        <v>2951</v>
      </c>
      <c r="C34" s="32" t="s">
        <v>2952</v>
      </c>
      <c r="D34" s="32" t="s">
        <v>2953</v>
      </c>
      <c r="E34" s="32" t="s">
        <v>5073</v>
      </c>
      <c r="F34" s="32" t="e">
        <v>#N/A</v>
      </c>
      <c r="G34" s="39"/>
      <c r="H34" s="32" t="s">
        <v>2954</v>
      </c>
      <c r="I34" s="32" t="s">
        <v>5073</v>
      </c>
      <c r="J34" s="32" t="s">
        <v>2955</v>
      </c>
      <c r="K34" s="33" t="s">
        <v>2956</v>
      </c>
      <c r="L34" s="32" t="e">
        <v>#N/A</v>
      </c>
      <c r="M34" s="32" t="e">
        <v>#N/A</v>
      </c>
      <c r="N34" s="32" t="s">
        <v>5088</v>
      </c>
      <c r="O34" s="32" t="s">
        <v>4730</v>
      </c>
      <c r="P34" s="32">
        <v>2089.0</v>
      </c>
      <c r="Q34" s="34">
        <v>1899.0</v>
      </c>
      <c r="R34" s="40">
        <v>1899.0</v>
      </c>
      <c r="S34" s="35">
        <v>1671.2</v>
      </c>
      <c r="T34" s="36">
        <v>78.0</v>
      </c>
      <c r="U34" s="36">
        <v>45.0</v>
      </c>
      <c r="V34" s="36">
        <v>87.0</v>
      </c>
      <c r="W34" s="36">
        <v>43.0</v>
      </c>
      <c r="X34" s="36">
        <v>30.0</v>
      </c>
      <c r="Y34" s="36">
        <v>283.0</v>
      </c>
    </row>
    <row r="35">
      <c r="A35" s="32" t="s">
        <v>1503</v>
      </c>
      <c r="B35" s="32" t="s">
        <v>1503</v>
      </c>
      <c r="C35" s="32" t="s">
        <v>1504</v>
      </c>
      <c r="D35" s="32" t="s">
        <v>1505</v>
      </c>
      <c r="E35" s="32" t="s">
        <v>5073</v>
      </c>
      <c r="F35" s="32" t="e">
        <v>#N/A</v>
      </c>
      <c r="G35" s="39"/>
      <c r="H35" s="32" t="s">
        <v>1503</v>
      </c>
      <c r="I35" s="32" t="s">
        <v>5073</v>
      </c>
      <c r="J35" s="32" t="s">
        <v>1506</v>
      </c>
      <c r="K35" s="33" t="s">
        <v>1507</v>
      </c>
      <c r="L35" s="32" t="e">
        <v>#N/A</v>
      </c>
      <c r="M35" s="32" t="e">
        <v>#N/A</v>
      </c>
      <c r="N35" s="32" t="s">
        <v>5078</v>
      </c>
      <c r="O35" s="32" t="s">
        <v>4730</v>
      </c>
      <c r="P35" s="32">
        <v>549.0</v>
      </c>
      <c r="Q35" s="34">
        <v>543.51</v>
      </c>
      <c r="R35" s="35">
        <v>549.0</v>
      </c>
      <c r="S35" s="35">
        <v>521.55</v>
      </c>
      <c r="T35" s="36">
        <v>21.0</v>
      </c>
      <c r="U35" s="36">
        <v>176.0</v>
      </c>
      <c r="V35" s="36">
        <v>26.0</v>
      </c>
      <c r="W35" s="36">
        <v>45.0</v>
      </c>
      <c r="X35" s="36">
        <v>0.0</v>
      </c>
      <c r="Y35" s="36">
        <v>268.0</v>
      </c>
    </row>
    <row r="36">
      <c r="A36" s="32" t="s">
        <v>3886</v>
      </c>
      <c r="B36" s="32" t="s">
        <v>3886</v>
      </c>
      <c r="C36" s="32" t="s">
        <v>3887</v>
      </c>
      <c r="D36" s="32" t="s">
        <v>3888</v>
      </c>
      <c r="E36" s="32" t="s">
        <v>5073</v>
      </c>
      <c r="F36" s="32" t="e">
        <v>#N/A</v>
      </c>
      <c r="G36" s="39"/>
      <c r="H36" s="32">
        <v>0.0</v>
      </c>
      <c r="I36" s="39"/>
      <c r="J36" s="32" t="s">
        <v>3889</v>
      </c>
      <c r="K36" s="33" t="s">
        <v>3890</v>
      </c>
      <c r="L36" s="32" t="e">
        <v>#N/A</v>
      </c>
      <c r="M36" s="32" t="e">
        <v>#N/A</v>
      </c>
      <c r="N36" s="32" t="s">
        <v>4727</v>
      </c>
      <c r="O36" s="32" t="s">
        <v>4727</v>
      </c>
      <c r="P36" s="32">
        <v>1999.0</v>
      </c>
      <c r="Q36" s="34">
        <v>1599.0</v>
      </c>
      <c r="R36" s="40">
        <v>1599.0</v>
      </c>
      <c r="S36" s="35">
        <v>1499.25</v>
      </c>
      <c r="T36" s="36">
        <v>43.0</v>
      </c>
      <c r="U36" s="36">
        <v>18.0</v>
      </c>
      <c r="V36" s="36">
        <v>174.0</v>
      </c>
      <c r="W36" s="36">
        <v>16.0</v>
      </c>
      <c r="X36" s="36">
        <v>14.0</v>
      </c>
      <c r="Y36" s="36">
        <v>265.0</v>
      </c>
    </row>
    <row r="37">
      <c r="A37" s="32" t="s">
        <v>2335</v>
      </c>
      <c r="B37" s="32" t="s">
        <v>2335</v>
      </c>
      <c r="C37" s="32" t="s">
        <v>2336</v>
      </c>
      <c r="D37" s="32" t="s">
        <v>2337</v>
      </c>
      <c r="E37" s="32" t="s">
        <v>5073</v>
      </c>
      <c r="F37" s="32" t="e">
        <v>#N/A</v>
      </c>
      <c r="G37" s="39"/>
      <c r="H37" s="32" t="s">
        <v>2338</v>
      </c>
      <c r="I37" s="32" t="s">
        <v>5073</v>
      </c>
      <c r="J37" s="32" t="s">
        <v>2339</v>
      </c>
      <c r="K37" s="33" t="s">
        <v>2340</v>
      </c>
      <c r="L37" s="32">
        <v>3.1862314E7</v>
      </c>
      <c r="M37" s="32" t="e">
        <v>#N/A</v>
      </c>
      <c r="N37" s="32" t="s">
        <v>5077</v>
      </c>
      <c r="O37" s="32" t="s">
        <v>4730</v>
      </c>
      <c r="P37" s="32">
        <v>1089.0</v>
      </c>
      <c r="Q37" s="34">
        <v>1035.0</v>
      </c>
      <c r="R37" s="40">
        <v>1035.0</v>
      </c>
      <c r="S37" s="35">
        <v>980.1</v>
      </c>
      <c r="T37" s="36">
        <v>19.0</v>
      </c>
      <c r="U37" s="36">
        <v>11.0</v>
      </c>
      <c r="V37" s="36">
        <v>130.0</v>
      </c>
      <c r="W37" s="36">
        <v>0.0</v>
      </c>
      <c r="X37" s="36">
        <v>95.0</v>
      </c>
      <c r="Y37" s="36">
        <v>255.0</v>
      </c>
    </row>
    <row r="38">
      <c r="A38" s="32" t="s">
        <v>1413</v>
      </c>
      <c r="B38" s="32" t="s">
        <v>1413</v>
      </c>
      <c r="C38" s="32" t="s">
        <v>1414</v>
      </c>
      <c r="D38" s="32" t="s">
        <v>1415</v>
      </c>
      <c r="E38" s="32" t="s">
        <v>5073</v>
      </c>
      <c r="F38" s="32" t="e">
        <v>#N/A</v>
      </c>
      <c r="G38" s="39"/>
      <c r="H38" s="32" t="s">
        <v>1416</v>
      </c>
      <c r="I38" s="32" t="s">
        <v>5073</v>
      </c>
      <c r="J38" s="32" t="s">
        <v>1417</v>
      </c>
      <c r="K38" s="33" t="s">
        <v>1418</v>
      </c>
      <c r="L38" s="32">
        <v>3.181841E7</v>
      </c>
      <c r="M38" s="32" t="e">
        <v>#N/A</v>
      </c>
      <c r="N38" s="32" t="s">
        <v>5089</v>
      </c>
      <c r="O38" s="32" t="s">
        <v>4730</v>
      </c>
      <c r="P38" s="32">
        <v>2649.0</v>
      </c>
      <c r="Q38" s="34">
        <v>2164.0</v>
      </c>
      <c r="R38" s="40">
        <v>2199.0</v>
      </c>
      <c r="S38" s="35">
        <v>2119.2</v>
      </c>
      <c r="T38" s="36">
        <v>26.0</v>
      </c>
      <c r="U38" s="36">
        <v>42.0</v>
      </c>
      <c r="V38" s="36">
        <v>76.0</v>
      </c>
      <c r="W38" s="36">
        <v>44.0</v>
      </c>
      <c r="X38" s="36">
        <v>53.0</v>
      </c>
      <c r="Y38" s="36">
        <v>241.0</v>
      </c>
    </row>
    <row r="39">
      <c r="A39" s="32" t="s">
        <v>2969</v>
      </c>
      <c r="B39" s="32" t="s">
        <v>2969</v>
      </c>
      <c r="C39" s="32" t="s">
        <v>2970</v>
      </c>
      <c r="D39" s="32" t="s">
        <v>2971</v>
      </c>
      <c r="E39" s="32" t="s">
        <v>5073</v>
      </c>
      <c r="F39" s="32" t="e">
        <v>#N/A</v>
      </c>
      <c r="G39" s="39"/>
      <c r="H39" s="32" t="s">
        <v>2972</v>
      </c>
      <c r="I39" s="32" t="s">
        <v>5073</v>
      </c>
      <c r="J39" s="32" t="s">
        <v>2973</v>
      </c>
      <c r="K39" s="33" t="s">
        <v>2974</v>
      </c>
      <c r="L39" s="32" t="e">
        <v>#N/A</v>
      </c>
      <c r="M39" s="32" t="e">
        <v>#N/A</v>
      </c>
      <c r="N39" s="32" t="s">
        <v>5088</v>
      </c>
      <c r="O39" s="32" t="s">
        <v>4730</v>
      </c>
      <c r="P39" s="32">
        <v>2089.0</v>
      </c>
      <c r="Q39" s="34">
        <v>1627.0</v>
      </c>
      <c r="R39" s="40">
        <v>1899.0</v>
      </c>
      <c r="S39" s="35">
        <v>1671.2</v>
      </c>
      <c r="T39" s="36">
        <v>56.0</v>
      </c>
      <c r="U39" s="36">
        <v>27.0</v>
      </c>
      <c r="V39" s="36">
        <v>96.0</v>
      </c>
      <c r="W39" s="36">
        <v>27.0</v>
      </c>
      <c r="X39" s="36">
        <v>31.0</v>
      </c>
      <c r="Y39" s="36">
        <v>237.0</v>
      </c>
    </row>
    <row r="40">
      <c r="A40" s="32" t="s">
        <v>4674</v>
      </c>
      <c r="B40" s="32" t="s">
        <v>4674</v>
      </c>
      <c r="C40" s="32" t="s">
        <v>4675</v>
      </c>
      <c r="D40" s="32" t="s">
        <v>4676</v>
      </c>
      <c r="E40" s="32" t="s">
        <v>5073</v>
      </c>
      <c r="F40" s="32" t="e">
        <v>#N/A</v>
      </c>
      <c r="G40" s="32" t="e">
        <v>#N/A</v>
      </c>
      <c r="H40" s="32">
        <v>0.0</v>
      </c>
      <c r="I40" s="32">
        <v>0.0</v>
      </c>
      <c r="J40" s="32">
        <v>0.0</v>
      </c>
      <c r="K40" s="33" t="s">
        <v>4677</v>
      </c>
      <c r="L40" s="32" t="e">
        <v>#N/A</v>
      </c>
      <c r="M40" s="32" t="e">
        <v>#N/A</v>
      </c>
      <c r="N40" s="32" t="s">
        <v>4727</v>
      </c>
      <c r="O40" s="32" t="s">
        <v>4727</v>
      </c>
      <c r="P40" s="32">
        <v>1299.0</v>
      </c>
      <c r="Q40" s="34">
        <v>999.0</v>
      </c>
      <c r="R40" s="35">
        <v>999.0</v>
      </c>
      <c r="S40" s="35">
        <v>974.25</v>
      </c>
      <c r="T40" s="36">
        <v>0.0</v>
      </c>
      <c r="U40" s="36">
        <v>0.0</v>
      </c>
      <c r="V40" s="36">
        <v>229.0</v>
      </c>
      <c r="W40" s="36">
        <v>0.0</v>
      </c>
      <c r="X40" s="36">
        <v>0.0</v>
      </c>
      <c r="Y40" s="36">
        <v>229.0</v>
      </c>
    </row>
    <row r="41">
      <c r="A41" s="32" t="s">
        <v>2329</v>
      </c>
      <c r="B41" s="32" t="s">
        <v>2329</v>
      </c>
      <c r="C41" s="32" t="s">
        <v>2330</v>
      </c>
      <c r="D41" s="32" t="s">
        <v>2331</v>
      </c>
      <c r="E41" s="32" t="s">
        <v>5073</v>
      </c>
      <c r="F41" s="32" t="e">
        <v>#N/A</v>
      </c>
      <c r="G41" s="39"/>
      <c r="H41" s="32" t="s">
        <v>2332</v>
      </c>
      <c r="I41" s="32" t="s">
        <v>5073</v>
      </c>
      <c r="J41" s="32" t="s">
        <v>2333</v>
      </c>
      <c r="K41" s="33" t="s">
        <v>2334</v>
      </c>
      <c r="L41" s="32">
        <v>3.1862333E7</v>
      </c>
      <c r="M41" s="32" t="e">
        <v>#N/A</v>
      </c>
      <c r="N41" s="32" t="s">
        <v>5077</v>
      </c>
      <c r="O41" s="32" t="s">
        <v>4730</v>
      </c>
      <c r="P41" s="32">
        <v>1089.0</v>
      </c>
      <c r="Q41" s="34">
        <v>1035.0</v>
      </c>
      <c r="R41" s="40">
        <v>1035.0</v>
      </c>
      <c r="S41" s="35">
        <v>980.1</v>
      </c>
      <c r="T41" s="36">
        <v>4.0</v>
      </c>
      <c r="U41" s="36">
        <v>11.0</v>
      </c>
      <c r="V41" s="36">
        <v>193.0</v>
      </c>
      <c r="W41" s="36">
        <v>0.0</v>
      </c>
      <c r="X41" s="36">
        <v>21.0</v>
      </c>
      <c r="Y41" s="36">
        <v>229.0</v>
      </c>
    </row>
    <row r="42">
      <c r="A42" s="32" t="s">
        <v>2977</v>
      </c>
      <c r="B42" s="32" t="s">
        <v>2977</v>
      </c>
      <c r="C42" s="32" t="s">
        <v>2978</v>
      </c>
      <c r="D42" s="32" t="s">
        <v>2979</v>
      </c>
      <c r="E42" s="32" t="s">
        <v>5090</v>
      </c>
      <c r="F42" s="32" t="e">
        <v>#N/A</v>
      </c>
      <c r="G42" s="39"/>
      <c r="H42" s="32" t="s">
        <v>2977</v>
      </c>
      <c r="I42" s="32" t="s">
        <v>5090</v>
      </c>
      <c r="J42" s="32" t="s">
        <v>2977</v>
      </c>
      <c r="K42" s="33" t="s">
        <v>2980</v>
      </c>
      <c r="L42" s="32" t="e">
        <v>#N/A</v>
      </c>
      <c r="M42" s="32" t="e">
        <v>#N/A</v>
      </c>
      <c r="N42" s="32" t="s">
        <v>5088</v>
      </c>
      <c r="O42" s="32" t="s">
        <v>4730</v>
      </c>
      <c r="P42" s="32">
        <v>2789.0</v>
      </c>
      <c r="Q42" s="34">
        <v>2499.0</v>
      </c>
      <c r="R42" s="40">
        <v>2499.0</v>
      </c>
      <c r="S42" s="35">
        <v>2231.2</v>
      </c>
      <c r="T42" s="36">
        <v>37.0</v>
      </c>
      <c r="U42" s="36">
        <v>31.0</v>
      </c>
      <c r="V42" s="36">
        <v>52.0</v>
      </c>
      <c r="W42" s="36">
        <v>62.0</v>
      </c>
      <c r="X42" s="36">
        <v>36.0</v>
      </c>
      <c r="Y42" s="36">
        <v>218.0</v>
      </c>
    </row>
    <row r="43">
      <c r="A43" s="32" t="s">
        <v>3479</v>
      </c>
      <c r="B43" s="32" t="s">
        <v>3479</v>
      </c>
      <c r="C43" s="32" t="s">
        <v>3480</v>
      </c>
      <c r="D43" s="32" t="s">
        <v>3481</v>
      </c>
      <c r="E43" s="32" t="s">
        <v>5073</v>
      </c>
      <c r="F43" s="32" t="e">
        <v>#N/A</v>
      </c>
      <c r="G43" s="32" t="e">
        <v>#N/A</v>
      </c>
      <c r="H43" s="32" t="s">
        <v>3482</v>
      </c>
      <c r="I43" s="32" t="s">
        <v>5073</v>
      </c>
      <c r="J43" s="32" t="s">
        <v>3483</v>
      </c>
      <c r="K43" s="33" t="s">
        <v>3484</v>
      </c>
      <c r="L43" s="32" t="e">
        <v>#N/A</v>
      </c>
      <c r="M43" s="32" t="e">
        <v>#N/A</v>
      </c>
      <c r="N43" s="32" t="s">
        <v>5091</v>
      </c>
      <c r="O43" s="32" t="s">
        <v>1145</v>
      </c>
      <c r="P43" s="32">
        <v>2989.0</v>
      </c>
      <c r="Q43" s="34">
        <v>2548.0</v>
      </c>
      <c r="R43" s="40">
        <v>2599.0</v>
      </c>
      <c r="S43" s="35">
        <v>2499.0</v>
      </c>
      <c r="T43" s="36">
        <v>47.0</v>
      </c>
      <c r="U43" s="36">
        <v>50.0</v>
      </c>
      <c r="V43" s="36">
        <v>50.0</v>
      </c>
      <c r="W43" s="36">
        <v>20.0</v>
      </c>
      <c r="X43" s="36">
        <v>46.0</v>
      </c>
      <c r="Y43" s="36">
        <v>213.0</v>
      </c>
    </row>
    <row r="44">
      <c r="A44" s="32" t="s">
        <v>3836</v>
      </c>
      <c r="B44" s="32" t="s">
        <v>3836</v>
      </c>
      <c r="C44" s="32" t="s">
        <v>3837</v>
      </c>
      <c r="D44" s="32" t="s">
        <v>3838</v>
      </c>
      <c r="E44" s="32" t="s">
        <v>5073</v>
      </c>
      <c r="F44" s="32" t="e">
        <v>#N/A</v>
      </c>
      <c r="G44" s="39"/>
      <c r="H44" s="32">
        <v>0.0</v>
      </c>
      <c r="I44" s="39"/>
      <c r="J44" s="32" t="s">
        <v>3839</v>
      </c>
      <c r="K44" s="33" t="s">
        <v>3840</v>
      </c>
      <c r="L44" s="32" t="e">
        <v>#N/A</v>
      </c>
      <c r="M44" s="32" t="e">
        <v>#N/A</v>
      </c>
      <c r="N44" s="32" t="s">
        <v>5092</v>
      </c>
      <c r="O44" s="32" t="s">
        <v>4727</v>
      </c>
      <c r="P44" s="32">
        <v>2499.0</v>
      </c>
      <c r="Q44" s="34">
        <v>1999.0</v>
      </c>
      <c r="R44" s="40">
        <v>1999.0</v>
      </c>
      <c r="S44" s="35">
        <v>1874.25</v>
      </c>
      <c r="T44" s="36">
        <v>25.0</v>
      </c>
      <c r="U44" s="36">
        <v>33.0</v>
      </c>
      <c r="V44" s="36">
        <v>139.0</v>
      </c>
      <c r="W44" s="36">
        <v>3.0</v>
      </c>
      <c r="X44" s="36">
        <v>9.0</v>
      </c>
      <c r="Y44" s="36">
        <v>209.0</v>
      </c>
    </row>
    <row r="45">
      <c r="A45" s="32" t="s">
        <v>2182</v>
      </c>
      <c r="B45" s="32" t="s">
        <v>2182</v>
      </c>
      <c r="C45" s="32" t="s">
        <v>2183</v>
      </c>
      <c r="D45" s="33" t="s">
        <v>2184</v>
      </c>
      <c r="E45" s="32" t="s">
        <v>5073</v>
      </c>
      <c r="F45" s="32" t="e">
        <v>#N/A</v>
      </c>
      <c r="G45" s="32" t="e">
        <v>#N/A</v>
      </c>
      <c r="H45" s="32" t="s">
        <v>2185</v>
      </c>
      <c r="I45" s="32" t="s">
        <v>5073</v>
      </c>
      <c r="J45" s="32" t="s">
        <v>2186</v>
      </c>
      <c r="K45" s="33" t="s">
        <v>2187</v>
      </c>
      <c r="L45" s="32" t="e">
        <v>#N/A</v>
      </c>
      <c r="M45" s="32" t="s">
        <v>2188</v>
      </c>
      <c r="N45" s="32" t="s">
        <v>5093</v>
      </c>
      <c r="O45" s="32" t="s">
        <v>52</v>
      </c>
      <c r="P45" s="32">
        <v>2999.0</v>
      </c>
      <c r="Q45" s="34">
        <v>2249.0</v>
      </c>
      <c r="R45" s="40">
        <v>2199.0</v>
      </c>
      <c r="S45" s="35">
        <v>1949.0</v>
      </c>
      <c r="T45" s="36">
        <v>49.0</v>
      </c>
      <c r="U45" s="36">
        <v>4.0</v>
      </c>
      <c r="V45" s="36">
        <v>117.0</v>
      </c>
      <c r="W45" s="36">
        <v>4.0</v>
      </c>
      <c r="X45" s="36">
        <v>21.0</v>
      </c>
      <c r="Y45" s="36">
        <v>195.0</v>
      </c>
    </row>
    <row r="46">
      <c r="A46" s="32" t="s">
        <v>2990</v>
      </c>
      <c r="B46" s="32" t="s">
        <v>2990</v>
      </c>
      <c r="C46" s="32" t="s">
        <v>2991</v>
      </c>
      <c r="D46" s="32" t="s">
        <v>2992</v>
      </c>
      <c r="E46" s="32" t="s">
        <v>5073</v>
      </c>
      <c r="F46" s="32" t="e">
        <v>#N/A</v>
      </c>
      <c r="G46" s="32" t="e">
        <v>#N/A</v>
      </c>
      <c r="H46" s="32" t="s">
        <v>2990</v>
      </c>
      <c r="I46" s="32" t="s">
        <v>5073</v>
      </c>
      <c r="J46" s="32" t="s">
        <v>2990</v>
      </c>
      <c r="K46" s="33" t="s">
        <v>2993</v>
      </c>
      <c r="L46" s="32" t="e">
        <v>#N/A</v>
      </c>
      <c r="M46" s="32" t="s">
        <v>2994</v>
      </c>
      <c r="N46" s="32" t="s">
        <v>5088</v>
      </c>
      <c r="O46" s="32" t="s">
        <v>4730</v>
      </c>
      <c r="P46" s="32">
        <v>2789.0</v>
      </c>
      <c r="Q46" s="34">
        <v>2499.0</v>
      </c>
      <c r="R46" s="40">
        <v>2499.0</v>
      </c>
      <c r="S46" s="35">
        <v>2231.2</v>
      </c>
      <c r="T46" s="36">
        <v>23.0</v>
      </c>
      <c r="U46" s="36">
        <v>36.0</v>
      </c>
      <c r="V46" s="36">
        <v>70.0</v>
      </c>
      <c r="W46" s="36">
        <v>35.0</v>
      </c>
      <c r="X46" s="36">
        <v>30.0</v>
      </c>
      <c r="Y46" s="36">
        <v>194.0</v>
      </c>
    </row>
    <row r="47">
      <c r="A47" s="32" t="s">
        <v>3846</v>
      </c>
      <c r="B47" s="32" t="s">
        <v>3846</v>
      </c>
      <c r="C47" s="32" t="s">
        <v>3847</v>
      </c>
      <c r="D47" s="32" t="s">
        <v>3848</v>
      </c>
      <c r="E47" s="32" t="s">
        <v>5073</v>
      </c>
      <c r="F47" s="32" t="e">
        <v>#N/A</v>
      </c>
      <c r="G47" s="38"/>
      <c r="H47" s="32">
        <v>0.0</v>
      </c>
      <c r="I47" s="39"/>
      <c r="J47" s="32" t="s">
        <v>3849</v>
      </c>
      <c r="K47" s="33" t="s">
        <v>3850</v>
      </c>
      <c r="L47" s="32" t="e">
        <v>#N/A</v>
      </c>
      <c r="M47" s="32" t="e">
        <v>#N/A</v>
      </c>
      <c r="N47" s="32" t="s">
        <v>4727</v>
      </c>
      <c r="O47" s="32" t="s">
        <v>4727</v>
      </c>
      <c r="P47" s="32">
        <v>1249.0</v>
      </c>
      <c r="Q47" s="34">
        <v>999.0</v>
      </c>
      <c r="R47" s="35">
        <v>999.0</v>
      </c>
      <c r="S47" s="35">
        <v>936.75</v>
      </c>
      <c r="T47" s="36">
        <v>35.0</v>
      </c>
      <c r="U47" s="36">
        <v>32.0</v>
      </c>
      <c r="V47" s="36">
        <v>54.0</v>
      </c>
      <c r="W47" s="36">
        <v>21.0</v>
      </c>
      <c r="X47" s="36">
        <v>39.0</v>
      </c>
      <c r="Y47" s="36">
        <v>181.0</v>
      </c>
    </row>
    <row r="48">
      <c r="A48" s="32" t="s">
        <v>596</v>
      </c>
      <c r="B48" s="32" t="s">
        <v>596</v>
      </c>
      <c r="C48" s="32" t="s">
        <v>597</v>
      </c>
      <c r="D48" s="32" t="s">
        <v>598</v>
      </c>
      <c r="E48" s="32" t="s">
        <v>5073</v>
      </c>
      <c r="F48" s="32" t="e">
        <v>#N/A</v>
      </c>
      <c r="G48" s="39"/>
      <c r="H48" s="32">
        <v>0.0</v>
      </c>
      <c r="I48" s="39"/>
      <c r="J48" s="32" t="s">
        <v>599</v>
      </c>
      <c r="K48" s="33" t="s">
        <v>600</v>
      </c>
      <c r="L48" s="32">
        <v>3.1999082E7</v>
      </c>
      <c r="M48" s="32" t="s">
        <v>601</v>
      </c>
      <c r="N48" s="32" t="s">
        <v>51</v>
      </c>
      <c r="O48" s="32" t="s">
        <v>52</v>
      </c>
      <c r="P48" s="32">
        <v>18399.0</v>
      </c>
      <c r="Q48" s="34">
        <v>14903.0</v>
      </c>
      <c r="R48" s="40">
        <v>15999.0</v>
      </c>
      <c r="S48" s="35">
        <v>13983.24</v>
      </c>
      <c r="T48" s="36">
        <v>22.0</v>
      </c>
      <c r="U48" s="36">
        <v>10.0</v>
      </c>
      <c r="V48" s="36">
        <v>145.0</v>
      </c>
      <c r="W48" s="36">
        <v>0.0</v>
      </c>
      <c r="X48" s="36">
        <v>1.0</v>
      </c>
      <c r="Y48" s="36">
        <v>178.0</v>
      </c>
    </row>
    <row r="49">
      <c r="A49" s="32" t="s">
        <v>3164</v>
      </c>
      <c r="B49" s="32" t="s">
        <v>3164</v>
      </c>
      <c r="C49" s="32" t="s">
        <v>3165</v>
      </c>
      <c r="D49" s="32" t="s">
        <v>3167</v>
      </c>
      <c r="E49" s="32" t="s">
        <v>5073</v>
      </c>
      <c r="F49" s="32" t="e">
        <v>#N/A</v>
      </c>
      <c r="G49" s="32" t="e">
        <v>#N/A</v>
      </c>
      <c r="H49" s="32" t="s">
        <v>3164</v>
      </c>
      <c r="I49" s="32" t="s">
        <v>5073</v>
      </c>
      <c r="J49" s="32" t="s">
        <v>3164</v>
      </c>
      <c r="K49" s="33" t="s">
        <v>3168</v>
      </c>
      <c r="L49" s="32">
        <v>3.1745305E7</v>
      </c>
      <c r="M49" s="32" t="e">
        <v>#N/A</v>
      </c>
      <c r="N49" s="32" t="s">
        <v>5094</v>
      </c>
      <c r="O49" s="32" t="s">
        <v>4730</v>
      </c>
      <c r="P49" s="32">
        <v>3989.0</v>
      </c>
      <c r="Q49" s="34">
        <v>3391.0</v>
      </c>
      <c r="R49" s="40">
        <v>3399.0</v>
      </c>
      <c r="S49" s="35">
        <v>3191.2</v>
      </c>
      <c r="T49" s="36">
        <v>0.0</v>
      </c>
      <c r="U49" s="36">
        <v>0.0</v>
      </c>
      <c r="V49" s="36">
        <v>169.0</v>
      </c>
      <c r="W49" s="36">
        <v>0.0</v>
      </c>
      <c r="X49" s="36">
        <v>0.0</v>
      </c>
      <c r="Y49" s="36">
        <v>169.0</v>
      </c>
    </row>
    <row r="50">
      <c r="A50" s="32" t="s">
        <v>2230</v>
      </c>
      <c r="B50" s="32" t="s">
        <v>2230</v>
      </c>
      <c r="C50" s="32" t="s">
        <v>2231</v>
      </c>
      <c r="D50" s="32" t="s">
        <v>2232</v>
      </c>
      <c r="E50" s="32" t="s">
        <v>5073</v>
      </c>
      <c r="F50" s="32" t="e">
        <v>#N/A</v>
      </c>
      <c r="G50" s="39"/>
      <c r="H50" s="32" t="s">
        <v>2233</v>
      </c>
      <c r="I50" s="32" t="s">
        <v>5073</v>
      </c>
      <c r="J50" s="32" t="s">
        <v>2234</v>
      </c>
      <c r="K50" s="33" t="s">
        <v>2235</v>
      </c>
      <c r="L50" s="32">
        <v>3.1862325E7</v>
      </c>
      <c r="M50" s="32" t="e">
        <v>#N/A</v>
      </c>
      <c r="N50" s="32" t="s">
        <v>5077</v>
      </c>
      <c r="O50" s="32" t="s">
        <v>4730</v>
      </c>
      <c r="P50" s="32">
        <v>889.0</v>
      </c>
      <c r="Q50" s="34">
        <v>845.0</v>
      </c>
      <c r="R50" s="35">
        <v>845.0</v>
      </c>
      <c r="S50" s="35">
        <v>800.1</v>
      </c>
      <c r="T50" s="36">
        <v>10.0</v>
      </c>
      <c r="U50" s="36">
        <v>0.0</v>
      </c>
      <c r="V50" s="36">
        <v>89.0</v>
      </c>
      <c r="W50" s="36">
        <v>0.0</v>
      </c>
      <c r="X50" s="36">
        <v>47.0</v>
      </c>
      <c r="Y50" s="36">
        <v>146.0</v>
      </c>
    </row>
    <row r="51">
      <c r="A51" s="32" t="s">
        <v>4678</v>
      </c>
      <c r="B51" s="32" t="s">
        <v>4678</v>
      </c>
      <c r="C51" s="32" t="s">
        <v>4679</v>
      </c>
      <c r="D51" s="32" t="s">
        <v>4680</v>
      </c>
      <c r="E51" s="32" t="s">
        <v>5073</v>
      </c>
      <c r="F51" s="32" t="e">
        <v>#N/A</v>
      </c>
      <c r="G51" s="32" t="e">
        <v>#N/A</v>
      </c>
      <c r="H51" s="32">
        <v>0.0</v>
      </c>
      <c r="I51" s="32">
        <v>0.0</v>
      </c>
      <c r="J51" s="32">
        <v>0.0</v>
      </c>
      <c r="K51" s="33" t="s">
        <v>4681</v>
      </c>
      <c r="L51" s="32" t="e">
        <v>#N/A</v>
      </c>
      <c r="M51" s="32" t="e">
        <v>#N/A</v>
      </c>
      <c r="N51" s="32" t="s">
        <v>4727</v>
      </c>
      <c r="O51" s="32" t="s">
        <v>4727</v>
      </c>
      <c r="P51" s="32">
        <v>1299.0</v>
      </c>
      <c r="Q51" s="34">
        <v>999.0</v>
      </c>
      <c r="R51" s="35">
        <v>999.0</v>
      </c>
      <c r="S51" s="35">
        <v>974.25</v>
      </c>
      <c r="T51" s="36">
        <v>4.0</v>
      </c>
      <c r="U51" s="36">
        <v>5.0</v>
      </c>
      <c r="V51" s="36">
        <v>130.0</v>
      </c>
      <c r="W51" s="36">
        <v>0.0</v>
      </c>
      <c r="X51" s="36">
        <v>5.0</v>
      </c>
      <c r="Y51" s="36">
        <v>144.0</v>
      </c>
    </row>
    <row r="52">
      <c r="A52" s="32" t="s">
        <v>2674</v>
      </c>
      <c r="B52" s="32" t="s">
        <v>2674</v>
      </c>
      <c r="C52" s="32">
        <v>0.0</v>
      </c>
      <c r="D52" s="32" t="e">
        <v>#N/A</v>
      </c>
      <c r="E52" s="39"/>
      <c r="F52" s="32" t="e">
        <v>#N/A</v>
      </c>
      <c r="G52" s="39"/>
      <c r="H52" s="32" t="e">
        <v>#N/A</v>
      </c>
      <c r="I52" s="39"/>
      <c r="J52" s="32">
        <v>0.0</v>
      </c>
      <c r="K52" s="33" t="e">
        <v>#N/A</v>
      </c>
      <c r="L52" s="32" t="e">
        <v>#N/A</v>
      </c>
      <c r="M52" s="32" t="e">
        <v>#N/A</v>
      </c>
      <c r="N52" s="32" t="e">
        <v>#N/A</v>
      </c>
      <c r="O52" s="32" t="e">
        <v>#N/A</v>
      </c>
      <c r="P52" s="32" t="e">
        <v>#REF!</v>
      </c>
      <c r="Q52" s="32" t="e">
        <v>#N/A</v>
      </c>
      <c r="R52" s="42" t="e">
        <v>#N/A</v>
      </c>
      <c r="S52" s="42" t="e">
        <v>#N/A</v>
      </c>
      <c r="T52" s="36">
        <v>42.0</v>
      </c>
      <c r="U52" s="36">
        <v>27.0</v>
      </c>
      <c r="V52" s="36">
        <v>35.0</v>
      </c>
      <c r="W52" s="36">
        <v>13.0</v>
      </c>
      <c r="X52" s="36">
        <v>27.0</v>
      </c>
      <c r="Y52" s="36">
        <v>144.0</v>
      </c>
    </row>
    <row r="53">
      <c r="A53" s="32" t="s">
        <v>2957</v>
      </c>
      <c r="B53" s="32" t="s">
        <v>2957</v>
      </c>
      <c r="C53" s="32" t="s">
        <v>2958</v>
      </c>
      <c r="D53" s="32" t="s">
        <v>2959</v>
      </c>
      <c r="E53" s="32" t="s">
        <v>5073</v>
      </c>
      <c r="F53" s="32" t="e">
        <v>#N/A</v>
      </c>
      <c r="G53" s="39"/>
      <c r="H53" s="32" t="s">
        <v>2960</v>
      </c>
      <c r="I53" s="32" t="s">
        <v>5073</v>
      </c>
      <c r="J53" s="32" t="s">
        <v>2961</v>
      </c>
      <c r="K53" s="33" t="s">
        <v>2962</v>
      </c>
      <c r="L53" s="32" t="e">
        <v>#N/A</v>
      </c>
      <c r="M53" s="32" t="e">
        <v>#N/A</v>
      </c>
      <c r="N53" s="32" t="s">
        <v>5088</v>
      </c>
      <c r="O53" s="32" t="s">
        <v>4730</v>
      </c>
      <c r="P53" s="32">
        <v>2089.0</v>
      </c>
      <c r="Q53" s="34">
        <v>1899.0</v>
      </c>
      <c r="R53" s="40">
        <v>1899.0</v>
      </c>
      <c r="S53" s="35">
        <v>1671.2</v>
      </c>
      <c r="T53" s="36">
        <v>18.0</v>
      </c>
      <c r="U53" s="36">
        <v>20.0</v>
      </c>
      <c r="V53" s="36">
        <v>46.0</v>
      </c>
      <c r="W53" s="36">
        <v>28.0</v>
      </c>
      <c r="X53" s="36">
        <v>28.0</v>
      </c>
      <c r="Y53" s="36">
        <v>140.0</v>
      </c>
    </row>
    <row r="54">
      <c r="A54" s="32" t="s">
        <v>3154</v>
      </c>
      <c r="B54" s="32" t="s">
        <v>3154</v>
      </c>
      <c r="C54" s="32" t="s">
        <v>3155</v>
      </c>
      <c r="D54" s="32" t="s">
        <v>3156</v>
      </c>
      <c r="E54" s="32" t="s">
        <v>5073</v>
      </c>
      <c r="F54" s="32" t="e">
        <v>#N/A</v>
      </c>
      <c r="G54" s="39"/>
      <c r="H54" s="32">
        <v>0.0</v>
      </c>
      <c r="I54" s="39"/>
      <c r="J54" s="32" t="s">
        <v>3157</v>
      </c>
      <c r="K54" s="33" t="s">
        <v>3158</v>
      </c>
      <c r="L54" s="32" t="e">
        <v>#N/A</v>
      </c>
      <c r="M54" s="32" t="e">
        <v>#N/A</v>
      </c>
      <c r="N54" s="32" t="s">
        <v>5087</v>
      </c>
      <c r="O54" s="32" t="s">
        <v>4730</v>
      </c>
      <c r="P54" s="32">
        <v>2689.0</v>
      </c>
      <c r="Q54" s="34">
        <v>2268.0</v>
      </c>
      <c r="R54" s="40">
        <v>2299.0</v>
      </c>
      <c r="S54" s="35">
        <v>2285.65</v>
      </c>
      <c r="T54" s="36">
        <v>33.0</v>
      </c>
      <c r="U54" s="36">
        <v>0.0</v>
      </c>
      <c r="V54" s="36">
        <v>105.0</v>
      </c>
      <c r="W54" s="36">
        <v>0.0</v>
      </c>
      <c r="X54" s="36">
        <v>0.0</v>
      </c>
      <c r="Y54" s="36">
        <v>138.0</v>
      </c>
    </row>
    <row r="55">
      <c r="A55" s="32" t="s">
        <v>2236</v>
      </c>
      <c r="B55" s="32" t="s">
        <v>2236</v>
      </c>
      <c r="C55" s="32" t="s">
        <v>2237</v>
      </c>
      <c r="D55" s="32" t="s">
        <v>2238</v>
      </c>
      <c r="E55" s="32" t="s">
        <v>5073</v>
      </c>
      <c r="F55" s="32" t="e">
        <v>#N/A</v>
      </c>
      <c r="G55" s="39"/>
      <c r="H55" s="32" t="s">
        <v>2239</v>
      </c>
      <c r="I55" s="32" t="s">
        <v>5073</v>
      </c>
      <c r="J55" s="32" t="s">
        <v>2240</v>
      </c>
      <c r="K55" s="33" t="s">
        <v>2241</v>
      </c>
      <c r="L55" s="32">
        <v>3.1862349E7</v>
      </c>
      <c r="M55" s="32" t="e">
        <v>#N/A</v>
      </c>
      <c r="N55" s="32" t="s">
        <v>5077</v>
      </c>
      <c r="O55" s="32" t="s">
        <v>4730</v>
      </c>
      <c r="P55" s="32">
        <v>889.0</v>
      </c>
      <c r="Q55" s="34">
        <v>845.0</v>
      </c>
      <c r="R55" s="35">
        <v>845.0</v>
      </c>
      <c r="S55" s="35">
        <v>800.1</v>
      </c>
      <c r="T55" s="36">
        <v>5.0</v>
      </c>
      <c r="U55" s="36">
        <v>46.0</v>
      </c>
      <c r="V55" s="36">
        <v>52.0</v>
      </c>
      <c r="W55" s="36">
        <v>0.0</v>
      </c>
      <c r="X55" s="36">
        <v>34.0</v>
      </c>
      <c r="Y55" s="36">
        <v>137.0</v>
      </c>
    </row>
    <row r="56">
      <c r="A56" s="32" t="s">
        <v>3472</v>
      </c>
      <c r="B56" s="32" t="s">
        <v>3472</v>
      </c>
      <c r="C56" s="32" t="s">
        <v>3473</v>
      </c>
      <c r="D56" s="32" t="s">
        <v>3474</v>
      </c>
      <c r="E56" s="32" t="s">
        <v>5073</v>
      </c>
      <c r="F56" s="32" t="s">
        <v>3475</v>
      </c>
      <c r="G56" s="32" t="s">
        <v>5073</v>
      </c>
      <c r="H56" s="32" t="s">
        <v>3472</v>
      </c>
      <c r="I56" s="32" t="s">
        <v>5073</v>
      </c>
      <c r="J56" s="13" t="s">
        <v>5095</v>
      </c>
      <c r="K56" s="33" t="s">
        <v>3477</v>
      </c>
      <c r="L56" s="32" t="e">
        <v>#N/A</v>
      </c>
      <c r="M56" s="32" t="e">
        <v>#N/A</v>
      </c>
      <c r="N56" s="32" t="s">
        <v>5078</v>
      </c>
      <c r="O56" s="32" t="s">
        <v>4730</v>
      </c>
      <c r="P56" s="32">
        <v>499.0</v>
      </c>
      <c r="Q56" s="34">
        <v>494.01</v>
      </c>
      <c r="R56" s="35">
        <v>499.0</v>
      </c>
      <c r="S56" s="35">
        <v>474.05</v>
      </c>
      <c r="T56" s="36">
        <v>46.0</v>
      </c>
      <c r="U56" s="36">
        <v>0.0</v>
      </c>
      <c r="V56" s="36">
        <v>90.0</v>
      </c>
      <c r="W56" s="36">
        <v>0.0</v>
      </c>
      <c r="X56" s="36">
        <v>0.0</v>
      </c>
      <c r="Y56" s="36">
        <v>136.0</v>
      </c>
    </row>
    <row r="57">
      <c r="A57" s="32" t="s">
        <v>3181</v>
      </c>
      <c r="B57" s="32" t="s">
        <v>3181</v>
      </c>
      <c r="C57" s="32" t="s">
        <v>3182</v>
      </c>
      <c r="D57" s="32" t="s">
        <v>3183</v>
      </c>
      <c r="E57" s="32" t="s">
        <v>5073</v>
      </c>
      <c r="F57" s="32" t="e">
        <v>#N/A</v>
      </c>
      <c r="G57" s="32" t="e">
        <v>#N/A</v>
      </c>
      <c r="H57" s="32" t="s">
        <v>3184</v>
      </c>
      <c r="I57" s="32" t="s">
        <v>5073</v>
      </c>
      <c r="J57" s="32" t="s">
        <v>3185</v>
      </c>
      <c r="K57" s="33" t="s">
        <v>3186</v>
      </c>
      <c r="L57" s="32" t="e">
        <v>#N/A</v>
      </c>
      <c r="M57" s="32" t="e">
        <v>#N/A</v>
      </c>
      <c r="N57" s="32" t="s">
        <v>5096</v>
      </c>
      <c r="O57" s="32" t="s">
        <v>4730</v>
      </c>
      <c r="P57" s="32">
        <v>2999.0</v>
      </c>
      <c r="Q57" s="34">
        <v>2599.0</v>
      </c>
      <c r="R57" s="40">
        <v>2599.0</v>
      </c>
      <c r="S57" s="35">
        <v>2549.15</v>
      </c>
      <c r="T57" s="36">
        <v>19.0</v>
      </c>
      <c r="U57" s="36">
        <v>2.0</v>
      </c>
      <c r="V57" s="36">
        <v>94.0</v>
      </c>
      <c r="W57" s="36">
        <v>0.0</v>
      </c>
      <c r="X57" s="36">
        <v>15.0</v>
      </c>
      <c r="Y57" s="36">
        <v>130.0</v>
      </c>
    </row>
    <row r="58">
      <c r="A58" s="32" t="s">
        <v>3175</v>
      </c>
      <c r="B58" s="32" t="s">
        <v>3175</v>
      </c>
      <c r="C58" s="32" t="s">
        <v>3176</v>
      </c>
      <c r="D58" s="32" t="s">
        <v>3177</v>
      </c>
      <c r="E58" s="32" t="s">
        <v>5073</v>
      </c>
      <c r="F58" s="32" t="e">
        <v>#N/A</v>
      </c>
      <c r="G58" s="39"/>
      <c r="H58" s="32" t="s">
        <v>3178</v>
      </c>
      <c r="I58" s="32" t="s">
        <v>5073</v>
      </c>
      <c r="J58" s="32" t="s">
        <v>3179</v>
      </c>
      <c r="K58" s="33" t="s">
        <v>3180</v>
      </c>
      <c r="L58" s="32" t="e">
        <v>#N/A</v>
      </c>
      <c r="M58" s="32" t="e">
        <v>#N/A</v>
      </c>
      <c r="N58" s="32" t="s">
        <v>5096</v>
      </c>
      <c r="O58" s="32" t="s">
        <v>4730</v>
      </c>
      <c r="P58" s="32">
        <v>2999.0</v>
      </c>
      <c r="Q58" s="34">
        <v>2599.0</v>
      </c>
      <c r="R58" s="40">
        <v>2599.0</v>
      </c>
      <c r="S58" s="35">
        <v>2549.15</v>
      </c>
      <c r="T58" s="36">
        <v>9.0</v>
      </c>
      <c r="U58" s="36">
        <v>0.0</v>
      </c>
      <c r="V58" s="36">
        <v>104.0</v>
      </c>
      <c r="W58" s="36">
        <v>0.0</v>
      </c>
      <c r="X58" s="36">
        <v>15.0</v>
      </c>
      <c r="Y58" s="36">
        <v>128.0</v>
      </c>
    </row>
    <row r="59">
      <c r="A59" s="32" t="s">
        <v>2438</v>
      </c>
      <c r="B59" s="32" t="s">
        <v>2438</v>
      </c>
      <c r="C59" s="32" t="s">
        <v>4781</v>
      </c>
      <c r="D59" s="32" t="s">
        <v>4782</v>
      </c>
      <c r="E59" s="32" t="s">
        <v>5073</v>
      </c>
      <c r="F59" s="32" t="e">
        <v>#N/A</v>
      </c>
      <c r="G59" s="39"/>
      <c r="H59" s="32" t="s">
        <v>2440</v>
      </c>
      <c r="I59" s="32" t="s">
        <v>5073</v>
      </c>
      <c r="J59" s="32" t="s">
        <v>2441</v>
      </c>
      <c r="K59" s="33" t="s">
        <v>4783</v>
      </c>
      <c r="L59" s="32" t="e">
        <v>#N/A</v>
      </c>
      <c r="M59" s="32" t="e">
        <v>#N/A</v>
      </c>
      <c r="N59" s="32" t="s">
        <v>5097</v>
      </c>
      <c r="O59" s="32" t="s">
        <v>1145</v>
      </c>
      <c r="P59" s="32">
        <v>2589.0</v>
      </c>
      <c r="Q59" s="34">
        <v>2330.0</v>
      </c>
      <c r="R59" s="40">
        <v>2330.0</v>
      </c>
      <c r="S59" s="35">
        <v>2199.0</v>
      </c>
      <c r="T59" s="36">
        <v>20.0</v>
      </c>
      <c r="U59" s="36">
        <v>0.0</v>
      </c>
      <c r="V59" s="36">
        <v>71.0</v>
      </c>
      <c r="W59" s="36">
        <v>37.0</v>
      </c>
      <c r="X59" s="36">
        <v>0.0</v>
      </c>
      <c r="Y59" s="36">
        <v>128.0</v>
      </c>
    </row>
    <row r="60">
      <c r="A60" s="32" t="s">
        <v>3169</v>
      </c>
      <c r="B60" s="32" t="s">
        <v>3169</v>
      </c>
      <c r="C60" s="32" t="s">
        <v>3170</v>
      </c>
      <c r="D60" s="32" t="s">
        <v>3171</v>
      </c>
      <c r="E60" s="32" t="s">
        <v>5073</v>
      </c>
      <c r="F60" s="32" t="e">
        <v>#N/A</v>
      </c>
      <c r="G60" s="38"/>
      <c r="H60" s="32" t="s">
        <v>3172</v>
      </c>
      <c r="I60" s="32" t="s">
        <v>5073</v>
      </c>
      <c r="J60" s="32" t="s">
        <v>3173</v>
      </c>
      <c r="K60" s="33" t="s">
        <v>3174</v>
      </c>
      <c r="L60" s="32" t="e">
        <v>#N/A</v>
      </c>
      <c r="M60" s="32" t="e">
        <v>#N/A</v>
      </c>
      <c r="N60" s="32" t="s">
        <v>5096</v>
      </c>
      <c r="O60" s="32" t="s">
        <v>4730</v>
      </c>
      <c r="P60" s="32">
        <v>2999.0</v>
      </c>
      <c r="Q60" s="34">
        <v>2599.0</v>
      </c>
      <c r="R60" s="40">
        <v>2599.0</v>
      </c>
      <c r="S60" s="35">
        <v>2549.15</v>
      </c>
      <c r="T60" s="36">
        <v>18.0</v>
      </c>
      <c r="U60" s="36">
        <v>0.0</v>
      </c>
      <c r="V60" s="36">
        <v>94.0</v>
      </c>
      <c r="W60" s="36">
        <v>0.0</v>
      </c>
      <c r="X60" s="36">
        <v>15.0</v>
      </c>
      <c r="Y60" s="36">
        <v>127.0</v>
      </c>
    </row>
    <row r="61">
      <c r="A61" s="32" t="s">
        <v>2362</v>
      </c>
      <c r="B61" s="32" t="s">
        <v>2362</v>
      </c>
      <c r="C61" s="32" t="s">
        <v>2363</v>
      </c>
      <c r="D61" s="32" t="s">
        <v>2364</v>
      </c>
      <c r="E61" s="32" t="s">
        <v>5073</v>
      </c>
      <c r="F61" s="32" t="e">
        <v>#N/A</v>
      </c>
      <c r="G61" s="39"/>
      <c r="H61" s="32">
        <v>0.0</v>
      </c>
      <c r="I61" s="39"/>
      <c r="J61" s="32" t="s">
        <v>2365</v>
      </c>
      <c r="K61" s="33" t="s">
        <v>2366</v>
      </c>
      <c r="L61" s="32" t="e">
        <v>#N/A</v>
      </c>
      <c r="M61" s="32" t="e">
        <v>#N/A</v>
      </c>
      <c r="N61" s="32" t="s">
        <v>5077</v>
      </c>
      <c r="O61" s="32" t="s">
        <v>4730</v>
      </c>
      <c r="P61" s="32">
        <v>1089.0</v>
      </c>
      <c r="Q61" s="34">
        <v>1035.0</v>
      </c>
      <c r="R61" s="40">
        <v>1035.0</v>
      </c>
      <c r="S61" s="35">
        <v>980.1</v>
      </c>
      <c r="T61" s="36">
        <v>28.0</v>
      </c>
      <c r="U61" s="36">
        <v>62.0</v>
      </c>
      <c r="V61" s="36">
        <v>15.0</v>
      </c>
      <c r="W61" s="36">
        <v>0.0</v>
      </c>
      <c r="X61" s="36">
        <v>18.0</v>
      </c>
      <c r="Y61" s="36">
        <v>123.0</v>
      </c>
    </row>
    <row r="62">
      <c r="A62" s="32" t="s">
        <v>2242</v>
      </c>
      <c r="B62" s="32" t="s">
        <v>2242</v>
      </c>
      <c r="C62" s="32" t="s">
        <v>2243</v>
      </c>
      <c r="D62" s="32" t="s">
        <v>2244</v>
      </c>
      <c r="E62" s="32" t="s">
        <v>5073</v>
      </c>
      <c r="F62" s="32" t="e">
        <v>#N/A</v>
      </c>
      <c r="G62" s="39"/>
      <c r="H62" s="32" t="s">
        <v>2245</v>
      </c>
      <c r="I62" s="32" t="s">
        <v>5073</v>
      </c>
      <c r="J62" s="32" t="s">
        <v>2246</v>
      </c>
      <c r="K62" s="33" t="s">
        <v>2247</v>
      </c>
      <c r="L62" s="32">
        <v>3.1862345E7</v>
      </c>
      <c r="M62" s="32" t="e">
        <v>#N/A</v>
      </c>
      <c r="N62" s="32" t="s">
        <v>5077</v>
      </c>
      <c r="O62" s="32" t="s">
        <v>4730</v>
      </c>
      <c r="P62" s="32">
        <v>889.0</v>
      </c>
      <c r="Q62" s="34">
        <v>845.0</v>
      </c>
      <c r="R62" s="35">
        <v>845.0</v>
      </c>
      <c r="S62" s="35">
        <v>800.1</v>
      </c>
      <c r="T62" s="36">
        <v>1.0</v>
      </c>
      <c r="U62" s="36">
        <v>0.0</v>
      </c>
      <c r="V62" s="36">
        <v>106.0</v>
      </c>
      <c r="W62" s="36">
        <v>0.0</v>
      </c>
      <c r="X62" s="36">
        <v>13.0</v>
      </c>
      <c r="Y62" s="36">
        <v>120.0</v>
      </c>
    </row>
    <row r="63">
      <c r="A63" s="32" t="s">
        <v>2293</v>
      </c>
      <c r="B63" s="32" t="s">
        <v>2293</v>
      </c>
      <c r="C63" s="32" t="s">
        <v>2294</v>
      </c>
      <c r="D63" s="32" t="s">
        <v>2295</v>
      </c>
      <c r="E63" s="32" t="s">
        <v>5073</v>
      </c>
      <c r="F63" s="32" t="e">
        <v>#N/A</v>
      </c>
      <c r="G63" s="39"/>
      <c r="H63" s="32" t="s">
        <v>2296</v>
      </c>
      <c r="I63" s="32" t="s">
        <v>5073</v>
      </c>
      <c r="J63" s="32" t="s">
        <v>2297</v>
      </c>
      <c r="K63" s="33" t="s">
        <v>2298</v>
      </c>
      <c r="L63" s="32">
        <v>3.1862339E7</v>
      </c>
      <c r="M63" s="32" t="e">
        <v>#N/A</v>
      </c>
      <c r="N63" s="32" t="s">
        <v>5077</v>
      </c>
      <c r="O63" s="32" t="s">
        <v>4730</v>
      </c>
      <c r="P63" s="32">
        <v>1049.0</v>
      </c>
      <c r="Q63" s="34">
        <v>997.0</v>
      </c>
      <c r="R63" s="35">
        <v>999.0</v>
      </c>
      <c r="S63" s="35">
        <v>944.1</v>
      </c>
      <c r="T63" s="36">
        <v>44.0</v>
      </c>
      <c r="U63" s="36">
        <v>25.0</v>
      </c>
      <c r="V63" s="36">
        <v>25.0</v>
      </c>
      <c r="W63" s="36">
        <v>0.0</v>
      </c>
      <c r="X63" s="36">
        <v>23.0</v>
      </c>
      <c r="Y63" s="36">
        <v>117.0</v>
      </c>
    </row>
    <row r="64">
      <c r="A64" s="32" t="s">
        <v>3658</v>
      </c>
      <c r="B64" s="32" t="s">
        <v>3658</v>
      </c>
      <c r="C64" s="32" t="s">
        <v>3659</v>
      </c>
      <c r="D64" s="32" t="s">
        <v>3660</v>
      </c>
      <c r="E64" s="32" t="s">
        <v>5073</v>
      </c>
      <c r="F64" s="32" t="e">
        <v>#N/A</v>
      </c>
      <c r="G64" s="39"/>
      <c r="H64" s="32" t="s">
        <v>3661</v>
      </c>
      <c r="I64" s="32" t="s">
        <v>5073</v>
      </c>
      <c r="J64" s="32" t="s">
        <v>3662</v>
      </c>
      <c r="K64" s="33" t="s">
        <v>3663</v>
      </c>
      <c r="L64" s="32" t="e">
        <v>#N/A</v>
      </c>
      <c r="M64" s="32" t="e">
        <v>#N/A</v>
      </c>
      <c r="N64" s="32" t="s">
        <v>5098</v>
      </c>
      <c r="O64" s="32" t="s">
        <v>4730</v>
      </c>
      <c r="P64" s="32">
        <v>999.0</v>
      </c>
      <c r="Q64" s="34">
        <v>899.0</v>
      </c>
      <c r="R64" s="35">
        <v>899.0</v>
      </c>
      <c r="S64" s="35">
        <v>849.15</v>
      </c>
      <c r="T64" s="36">
        <v>12.0</v>
      </c>
      <c r="U64" s="36">
        <v>8.0</v>
      </c>
      <c r="V64" s="36">
        <v>40.0</v>
      </c>
      <c r="W64" s="36">
        <v>15.0</v>
      </c>
      <c r="X64" s="36">
        <v>42.0</v>
      </c>
      <c r="Y64" s="36">
        <v>117.0</v>
      </c>
    </row>
    <row r="65">
      <c r="A65" s="32" t="s">
        <v>2197</v>
      </c>
      <c r="B65" s="32" t="s">
        <v>2197</v>
      </c>
      <c r="C65" s="32" t="s">
        <v>2198</v>
      </c>
      <c r="D65" s="32" t="s">
        <v>2199</v>
      </c>
      <c r="E65" s="32" t="s">
        <v>5073</v>
      </c>
      <c r="F65" s="32" t="e">
        <v>#N/A</v>
      </c>
      <c r="G65" s="39"/>
      <c r="H65" s="32" t="s">
        <v>2200</v>
      </c>
      <c r="I65" s="32" t="s">
        <v>5073</v>
      </c>
      <c r="J65" s="32" t="s">
        <v>2201</v>
      </c>
      <c r="K65" s="33" t="s">
        <v>2202</v>
      </c>
      <c r="L65" s="32">
        <v>3.1862312E7</v>
      </c>
      <c r="M65" s="32" t="e">
        <v>#N/A</v>
      </c>
      <c r="N65" s="32" t="s">
        <v>5077</v>
      </c>
      <c r="O65" s="32" t="s">
        <v>4730</v>
      </c>
      <c r="P65" s="32">
        <v>789.0</v>
      </c>
      <c r="Q65" s="34">
        <v>750.0</v>
      </c>
      <c r="R65" s="35">
        <v>750.0</v>
      </c>
      <c r="S65" s="35">
        <v>710.1</v>
      </c>
      <c r="T65" s="36">
        <v>11.0</v>
      </c>
      <c r="U65" s="36">
        <v>0.0</v>
      </c>
      <c r="V65" s="36">
        <v>87.0</v>
      </c>
      <c r="W65" s="36">
        <v>0.0</v>
      </c>
      <c r="X65" s="36">
        <v>15.0</v>
      </c>
      <c r="Y65" s="36">
        <v>113.0</v>
      </c>
    </row>
    <row r="66">
      <c r="A66" s="32" t="s">
        <v>3841</v>
      </c>
      <c r="B66" s="32" t="s">
        <v>3841</v>
      </c>
      <c r="C66" s="32" t="s">
        <v>3842</v>
      </c>
      <c r="D66" s="32" t="s">
        <v>3843</v>
      </c>
      <c r="E66" s="32" t="s">
        <v>5073</v>
      </c>
      <c r="F66" s="32" t="e">
        <v>#N/A</v>
      </c>
      <c r="G66" s="39"/>
      <c r="H66" s="32">
        <v>0.0</v>
      </c>
      <c r="I66" s="39"/>
      <c r="J66" s="32" t="s">
        <v>3844</v>
      </c>
      <c r="K66" s="33" t="s">
        <v>3845</v>
      </c>
      <c r="L66" s="32" t="e">
        <v>#N/A</v>
      </c>
      <c r="M66" s="32" t="e">
        <v>#N/A</v>
      </c>
      <c r="N66" s="32" t="s">
        <v>5092</v>
      </c>
      <c r="O66" s="32" t="s">
        <v>1145</v>
      </c>
      <c r="P66" s="32">
        <v>2499.0</v>
      </c>
      <c r="Q66" s="34">
        <v>1999.0</v>
      </c>
      <c r="R66" s="40">
        <v>1999.0</v>
      </c>
      <c r="S66" s="35">
        <v>1899.0</v>
      </c>
      <c r="T66" s="36">
        <v>0.0</v>
      </c>
      <c r="U66" s="36">
        <v>14.0</v>
      </c>
      <c r="V66" s="36">
        <v>99.0</v>
      </c>
      <c r="W66" s="36">
        <v>0.0</v>
      </c>
      <c r="X66" s="36">
        <v>0.0</v>
      </c>
      <c r="Y66" s="36">
        <v>113.0</v>
      </c>
    </row>
    <row r="67">
      <c r="A67" s="32" t="s">
        <v>3449</v>
      </c>
      <c r="B67" s="32" t="s">
        <v>3449</v>
      </c>
      <c r="C67" s="32" t="s">
        <v>3450</v>
      </c>
      <c r="D67" s="32" t="s">
        <v>3452</v>
      </c>
      <c r="E67" s="32" t="s">
        <v>5073</v>
      </c>
      <c r="F67" s="32" t="e">
        <v>#N/A</v>
      </c>
      <c r="G67" s="32" t="e">
        <v>#N/A</v>
      </c>
      <c r="H67" s="32" t="s">
        <v>3449</v>
      </c>
      <c r="I67" s="32" t="s">
        <v>5073</v>
      </c>
      <c r="J67" s="32" t="s">
        <v>3453</v>
      </c>
      <c r="K67" s="33" t="s">
        <v>3454</v>
      </c>
      <c r="L67" s="32" t="e">
        <v>#N/A</v>
      </c>
      <c r="M67" s="32" t="e">
        <v>#N/A</v>
      </c>
      <c r="N67" s="32" t="s">
        <v>5078</v>
      </c>
      <c r="O67" s="32" t="s">
        <v>4730</v>
      </c>
      <c r="P67" s="32">
        <v>549.0</v>
      </c>
      <c r="Q67" s="34">
        <v>543.51</v>
      </c>
      <c r="R67" s="35">
        <v>549.0</v>
      </c>
      <c r="S67" s="35">
        <v>521.55</v>
      </c>
      <c r="T67" s="36">
        <v>15.0</v>
      </c>
      <c r="U67" s="36">
        <v>0.0</v>
      </c>
      <c r="V67" s="36">
        <v>58.0</v>
      </c>
      <c r="W67" s="36">
        <v>30.0</v>
      </c>
      <c r="X67" s="36">
        <v>6.0</v>
      </c>
      <c r="Y67" s="36">
        <v>109.0</v>
      </c>
    </row>
    <row r="68">
      <c r="A68" s="32" t="s">
        <v>3593</v>
      </c>
      <c r="B68" s="32" t="s">
        <v>3593</v>
      </c>
      <c r="C68" s="32" t="s">
        <v>3594</v>
      </c>
      <c r="D68" s="32" t="s">
        <v>3595</v>
      </c>
      <c r="E68" s="32" t="s">
        <v>5073</v>
      </c>
      <c r="F68" s="32" t="e">
        <v>#N/A</v>
      </c>
      <c r="G68" s="39"/>
      <c r="H68" s="32" t="s">
        <v>3596</v>
      </c>
      <c r="I68" s="32" t="s">
        <v>5073</v>
      </c>
      <c r="J68" s="32" t="s">
        <v>3597</v>
      </c>
      <c r="K68" s="33" t="s">
        <v>3598</v>
      </c>
      <c r="L68" s="32" t="e">
        <v>#N/A</v>
      </c>
      <c r="M68" s="32" t="e">
        <v>#N/A</v>
      </c>
      <c r="N68" s="32" t="s">
        <v>5099</v>
      </c>
      <c r="O68" s="32" t="s">
        <v>4730</v>
      </c>
      <c r="P68" s="32">
        <v>2289.0</v>
      </c>
      <c r="Q68" s="34">
        <v>1999.0</v>
      </c>
      <c r="R68" s="40">
        <v>1999.0</v>
      </c>
      <c r="S68" s="35">
        <v>1945.65</v>
      </c>
      <c r="T68" s="36">
        <v>0.0</v>
      </c>
      <c r="U68" s="36">
        <v>29.0</v>
      </c>
      <c r="V68" s="36">
        <v>74.0</v>
      </c>
      <c r="W68" s="36">
        <v>0.0</v>
      </c>
      <c r="X68" s="36">
        <v>0.0</v>
      </c>
      <c r="Y68" s="36">
        <v>103.0</v>
      </c>
    </row>
    <row r="69">
      <c r="A69" s="32" t="s">
        <v>2806</v>
      </c>
      <c r="B69" s="32" t="s">
        <v>2806</v>
      </c>
      <c r="C69" s="32">
        <v>0.0</v>
      </c>
      <c r="D69" s="32" t="e">
        <v>#N/A</v>
      </c>
      <c r="E69" s="39"/>
      <c r="F69" s="32" t="e">
        <v>#N/A</v>
      </c>
      <c r="G69" s="39"/>
      <c r="H69" s="32" t="e">
        <v>#N/A</v>
      </c>
      <c r="I69" s="39"/>
      <c r="J69" s="32">
        <v>0.0</v>
      </c>
      <c r="K69" s="33" t="e">
        <v>#N/A</v>
      </c>
      <c r="L69" s="32" t="e">
        <v>#N/A</v>
      </c>
      <c r="M69" s="32" t="e">
        <v>#N/A</v>
      </c>
      <c r="N69" s="32" t="e">
        <v>#N/A</v>
      </c>
      <c r="O69" s="32" t="e">
        <v>#N/A</v>
      </c>
      <c r="P69" s="32" t="e">
        <v>#REF!</v>
      </c>
      <c r="Q69" s="32" t="e">
        <v>#N/A</v>
      </c>
      <c r="R69" s="42" t="e">
        <v>#N/A</v>
      </c>
      <c r="S69" s="42" t="e">
        <v>#N/A</v>
      </c>
      <c r="T69" s="36">
        <v>36.0</v>
      </c>
      <c r="U69" s="36">
        <v>19.0</v>
      </c>
      <c r="V69" s="36">
        <v>15.0</v>
      </c>
      <c r="W69" s="36">
        <v>12.0</v>
      </c>
      <c r="X69" s="36">
        <v>18.0</v>
      </c>
      <c r="Y69" s="36">
        <v>100.0</v>
      </c>
    </row>
    <row r="70">
      <c r="A70" s="32" t="s">
        <v>2995</v>
      </c>
      <c r="B70" s="32" t="s">
        <v>2995</v>
      </c>
      <c r="C70" s="32" t="s">
        <v>2996</v>
      </c>
      <c r="D70" s="32" t="s">
        <v>2997</v>
      </c>
      <c r="E70" s="32" t="s">
        <v>5073</v>
      </c>
      <c r="F70" s="32" t="e">
        <v>#N/A</v>
      </c>
      <c r="G70" s="39"/>
      <c r="H70" s="32" t="s">
        <v>2995</v>
      </c>
      <c r="I70" s="32" t="s">
        <v>5073</v>
      </c>
      <c r="J70" s="32" t="s">
        <v>2995</v>
      </c>
      <c r="K70" s="33" t="s">
        <v>2998</v>
      </c>
      <c r="L70" s="32" t="e">
        <v>#N/A</v>
      </c>
      <c r="M70" s="32" t="s">
        <v>2999</v>
      </c>
      <c r="N70" s="32" t="s">
        <v>5088</v>
      </c>
      <c r="O70" s="32" t="s">
        <v>4730</v>
      </c>
      <c r="P70" s="32">
        <v>2789.0</v>
      </c>
      <c r="Q70" s="34">
        <v>2499.0</v>
      </c>
      <c r="R70" s="40">
        <v>2499.0</v>
      </c>
      <c r="S70" s="35">
        <v>2231.2</v>
      </c>
      <c r="T70" s="36">
        <v>35.0</v>
      </c>
      <c r="U70" s="36">
        <v>15.0</v>
      </c>
      <c r="V70" s="36">
        <v>38.0</v>
      </c>
      <c r="W70" s="36">
        <v>10.0</v>
      </c>
      <c r="X70" s="36">
        <v>1.0</v>
      </c>
      <c r="Y70" s="36">
        <v>99.0</v>
      </c>
    </row>
    <row r="71">
      <c r="A71" s="32" t="s">
        <v>639</v>
      </c>
      <c r="B71" s="32" t="s">
        <v>639</v>
      </c>
      <c r="C71" s="32" t="s">
        <v>640</v>
      </c>
      <c r="D71" s="32" t="s">
        <v>4752</v>
      </c>
      <c r="E71" s="32" t="s">
        <v>5073</v>
      </c>
      <c r="F71" s="32" t="s">
        <v>641</v>
      </c>
      <c r="G71" s="32" t="s">
        <v>5100</v>
      </c>
      <c r="H71" s="32" t="s">
        <v>642</v>
      </c>
      <c r="I71" s="32" t="s">
        <v>5073</v>
      </c>
      <c r="J71" s="32" t="s">
        <v>643</v>
      </c>
      <c r="K71" s="33" t="s">
        <v>644</v>
      </c>
      <c r="L71" s="32">
        <v>3.1999064E7</v>
      </c>
      <c r="M71" s="32" t="s">
        <v>645</v>
      </c>
      <c r="N71" s="32" t="s">
        <v>51</v>
      </c>
      <c r="O71" s="32" t="s">
        <v>52</v>
      </c>
      <c r="P71" s="32">
        <v>21199.0</v>
      </c>
      <c r="Q71" s="34">
        <v>17171.0</v>
      </c>
      <c r="R71" s="40">
        <v>18399.0</v>
      </c>
      <c r="S71" s="35">
        <v>16111.24</v>
      </c>
      <c r="T71" s="36">
        <v>27.0</v>
      </c>
      <c r="U71" s="36">
        <v>0.0</v>
      </c>
      <c r="V71" s="36">
        <v>71.0</v>
      </c>
      <c r="W71" s="36">
        <v>0.0</v>
      </c>
      <c r="X71" s="36">
        <v>0.0</v>
      </c>
      <c r="Y71" s="36">
        <v>98.0</v>
      </c>
    </row>
    <row r="72">
      <c r="A72" s="32" t="s">
        <v>2147</v>
      </c>
      <c r="B72" s="32" t="s">
        <v>2147</v>
      </c>
      <c r="C72" s="32" t="s">
        <v>2148</v>
      </c>
      <c r="D72" s="32" t="s">
        <v>2149</v>
      </c>
      <c r="E72" s="32" t="s">
        <v>5073</v>
      </c>
      <c r="F72" s="32" t="e">
        <v>#N/A</v>
      </c>
      <c r="G72" s="32" t="e">
        <v>#N/A</v>
      </c>
      <c r="H72" s="32" t="s">
        <v>5101</v>
      </c>
      <c r="I72" s="32" t="s">
        <v>5102</v>
      </c>
      <c r="J72" s="32" t="s">
        <v>2150</v>
      </c>
      <c r="K72" s="33" t="s">
        <v>2151</v>
      </c>
      <c r="L72" s="32" t="e">
        <v>#N/A</v>
      </c>
      <c r="M72" s="32" t="e">
        <v>#N/A</v>
      </c>
      <c r="N72" s="32" t="s">
        <v>5103</v>
      </c>
      <c r="O72" s="32" t="s">
        <v>4730</v>
      </c>
      <c r="P72" s="32">
        <v>5499.0</v>
      </c>
      <c r="Q72" s="34">
        <v>4399.0</v>
      </c>
      <c r="R72" s="40">
        <v>4899.0</v>
      </c>
      <c r="S72" s="35">
        <v>4124.25</v>
      </c>
      <c r="T72" s="36">
        <v>17.0</v>
      </c>
      <c r="U72" s="36">
        <v>2.0</v>
      </c>
      <c r="V72" s="36">
        <v>75.0</v>
      </c>
      <c r="W72" s="36">
        <v>0.0</v>
      </c>
      <c r="X72" s="36">
        <v>3.0</v>
      </c>
      <c r="Y72" s="36">
        <v>97.0</v>
      </c>
    </row>
    <row r="73">
      <c r="A73" s="32" t="s">
        <v>2470</v>
      </c>
      <c r="B73" s="32" t="s">
        <v>2470</v>
      </c>
      <c r="C73" s="32" t="s">
        <v>2471</v>
      </c>
      <c r="D73" s="32" t="s">
        <v>2472</v>
      </c>
      <c r="E73" s="32" t="s">
        <v>5073</v>
      </c>
      <c r="F73" s="38"/>
      <c r="G73" s="38"/>
      <c r="H73" s="32" t="s">
        <v>2473</v>
      </c>
      <c r="I73" s="32" t="s">
        <v>5073</v>
      </c>
      <c r="J73" s="32" t="s">
        <v>2474</v>
      </c>
      <c r="K73" s="33" t="s">
        <v>2475</v>
      </c>
      <c r="L73" s="32">
        <v>3.2777656E7</v>
      </c>
      <c r="M73" s="32" t="s">
        <v>2476</v>
      </c>
      <c r="N73" s="32" t="s">
        <v>5084</v>
      </c>
      <c r="O73" s="32" t="s">
        <v>1145</v>
      </c>
      <c r="P73" s="32">
        <v>2989.0</v>
      </c>
      <c r="Q73" s="34">
        <v>1999.0</v>
      </c>
      <c r="R73" s="40">
        <v>1999.0</v>
      </c>
      <c r="S73" s="35">
        <v>1899.0</v>
      </c>
      <c r="T73" s="36">
        <v>96.0</v>
      </c>
      <c r="U73" s="36">
        <v>0.0</v>
      </c>
      <c r="V73" s="36">
        <v>0.0</v>
      </c>
      <c r="W73" s="36">
        <v>0.0</v>
      </c>
      <c r="X73" s="36">
        <v>0.0</v>
      </c>
      <c r="Y73" s="36">
        <v>96.0</v>
      </c>
    </row>
    <row r="74">
      <c r="A74" s="32" t="s">
        <v>3373</v>
      </c>
      <c r="B74" s="32" t="s">
        <v>3373</v>
      </c>
      <c r="C74" s="32" t="s">
        <v>3374</v>
      </c>
      <c r="D74" s="32" t="s">
        <v>3375</v>
      </c>
      <c r="E74" s="32" t="s">
        <v>5102</v>
      </c>
      <c r="F74" s="32" t="e">
        <v>#N/A</v>
      </c>
      <c r="G74" s="32" t="e">
        <v>#N/A</v>
      </c>
      <c r="H74" s="32" t="s">
        <v>3376</v>
      </c>
      <c r="I74" s="32" t="s">
        <v>5073</v>
      </c>
      <c r="J74" s="32" t="s">
        <v>3377</v>
      </c>
      <c r="K74" s="33" t="s">
        <v>3378</v>
      </c>
      <c r="L74" s="32">
        <v>3.1818379E7</v>
      </c>
      <c r="M74" s="32" t="e">
        <v>#N/A</v>
      </c>
      <c r="N74" s="32" t="s">
        <v>5086</v>
      </c>
      <c r="O74" s="32" t="s">
        <v>4730</v>
      </c>
      <c r="P74" s="32">
        <v>2189.0</v>
      </c>
      <c r="Q74" s="34">
        <v>1999.0</v>
      </c>
      <c r="R74" s="40">
        <v>1999.0</v>
      </c>
      <c r="S74" s="35">
        <v>1860.65</v>
      </c>
      <c r="T74" s="36">
        <v>0.0</v>
      </c>
      <c r="U74" s="36">
        <v>0.0</v>
      </c>
      <c r="V74" s="36">
        <v>95.0</v>
      </c>
      <c r="W74" s="36">
        <v>0.0</v>
      </c>
      <c r="X74" s="36">
        <v>0.0</v>
      </c>
      <c r="Y74" s="36">
        <v>95.0</v>
      </c>
    </row>
    <row r="75">
      <c r="A75" s="32" t="s">
        <v>1115</v>
      </c>
      <c r="B75" s="32" t="s">
        <v>1115</v>
      </c>
      <c r="C75" s="32" t="s">
        <v>1116</v>
      </c>
      <c r="D75" s="32" t="s">
        <v>1117</v>
      </c>
      <c r="E75" s="32" t="s">
        <v>5073</v>
      </c>
      <c r="F75" s="32" t="e">
        <v>#N/A</v>
      </c>
      <c r="G75" s="39"/>
      <c r="H75" s="32" t="s">
        <v>5104</v>
      </c>
      <c r="I75" s="32" t="s">
        <v>5102</v>
      </c>
      <c r="J75" s="32" t="s">
        <v>1118</v>
      </c>
      <c r="K75" s="33" t="s">
        <v>1119</v>
      </c>
      <c r="L75" s="32" t="e">
        <v>#N/A</v>
      </c>
      <c r="M75" s="32" t="s">
        <v>1120</v>
      </c>
      <c r="N75" s="32" t="s">
        <v>1144</v>
      </c>
      <c r="O75" s="32" t="s">
        <v>1145</v>
      </c>
      <c r="P75" s="32">
        <v>2489.0</v>
      </c>
      <c r="Q75" s="34">
        <v>1999.0</v>
      </c>
      <c r="R75" s="40">
        <v>1999.0</v>
      </c>
      <c r="S75" s="35">
        <v>1599.0</v>
      </c>
      <c r="T75" s="36">
        <v>64.0</v>
      </c>
      <c r="U75" s="36">
        <v>1.0</v>
      </c>
      <c r="V75" s="36">
        <v>0.0</v>
      </c>
      <c r="W75" s="36">
        <v>0.0</v>
      </c>
      <c r="X75" s="36">
        <v>29.0</v>
      </c>
      <c r="Y75" s="36">
        <v>94.0</v>
      </c>
    </row>
    <row r="76">
      <c r="A76" s="32" t="s">
        <v>4639</v>
      </c>
      <c r="B76" s="32" t="s">
        <v>4639</v>
      </c>
      <c r="C76" s="32" t="s">
        <v>4640</v>
      </c>
      <c r="D76" s="32" t="s">
        <v>4641</v>
      </c>
      <c r="E76" s="32" t="s">
        <v>5102</v>
      </c>
      <c r="F76" s="32" t="e">
        <v>#N/A</v>
      </c>
      <c r="G76" s="39"/>
      <c r="H76" s="32">
        <v>0.0</v>
      </c>
      <c r="I76" s="39"/>
      <c r="J76" s="32" t="s">
        <v>4642</v>
      </c>
      <c r="K76" s="33" t="s">
        <v>4643</v>
      </c>
      <c r="L76" s="32" t="e">
        <v>#N/A</v>
      </c>
      <c r="M76" s="32" t="e">
        <v>#N/A</v>
      </c>
      <c r="N76" s="32" t="s">
        <v>5077</v>
      </c>
      <c r="O76" s="32" t="s">
        <v>4730</v>
      </c>
      <c r="P76" s="32">
        <v>1699.0</v>
      </c>
      <c r="Q76" s="34">
        <v>1614.0</v>
      </c>
      <c r="R76" s="40">
        <v>1614.0</v>
      </c>
      <c r="S76" s="35">
        <v>1529.1</v>
      </c>
      <c r="T76" s="36">
        <v>0.0</v>
      </c>
      <c r="U76" s="36">
        <v>29.0</v>
      </c>
      <c r="V76" s="36">
        <v>61.0</v>
      </c>
      <c r="W76" s="36">
        <v>0.0</v>
      </c>
      <c r="X76" s="36">
        <v>3.0</v>
      </c>
      <c r="Y76" s="36">
        <v>93.0</v>
      </c>
    </row>
    <row r="77">
      <c r="A77" s="32" t="s">
        <v>3581</v>
      </c>
      <c r="B77" s="32" t="s">
        <v>3581</v>
      </c>
      <c r="C77" s="32" t="s">
        <v>3582</v>
      </c>
      <c r="D77" s="32" t="s">
        <v>3583</v>
      </c>
      <c r="E77" s="32" t="s">
        <v>5073</v>
      </c>
      <c r="F77" s="32" t="e">
        <v>#N/A</v>
      </c>
      <c r="G77" s="39"/>
      <c r="H77" s="32" t="s">
        <v>3584</v>
      </c>
      <c r="I77" s="32" t="s">
        <v>5073</v>
      </c>
      <c r="J77" s="32" t="s">
        <v>3585</v>
      </c>
      <c r="K77" s="33" t="s">
        <v>3586</v>
      </c>
      <c r="L77" s="32" t="e">
        <v>#N/A</v>
      </c>
      <c r="M77" s="32" t="e">
        <v>#N/A</v>
      </c>
      <c r="N77" s="32" t="s">
        <v>5099</v>
      </c>
      <c r="O77" s="32" t="s">
        <v>4730</v>
      </c>
      <c r="P77" s="32">
        <v>2289.0</v>
      </c>
      <c r="Q77" s="34">
        <v>1999.0</v>
      </c>
      <c r="R77" s="40">
        <v>1999.0</v>
      </c>
      <c r="S77" s="35">
        <v>1945.65</v>
      </c>
      <c r="T77" s="36">
        <v>10.0</v>
      </c>
      <c r="U77" s="36">
        <v>38.0</v>
      </c>
      <c r="V77" s="36">
        <v>45.0</v>
      </c>
      <c r="W77" s="36">
        <v>0.0</v>
      </c>
      <c r="X77" s="36">
        <v>0.0</v>
      </c>
      <c r="Y77" s="36">
        <v>93.0</v>
      </c>
    </row>
    <row r="78">
      <c r="A78" s="32" t="s">
        <v>2985</v>
      </c>
      <c r="B78" s="32" t="s">
        <v>2985</v>
      </c>
      <c r="C78" s="32" t="s">
        <v>2986</v>
      </c>
      <c r="D78" s="32" t="s">
        <v>2987</v>
      </c>
      <c r="E78" s="32" t="s">
        <v>5073</v>
      </c>
      <c r="F78" s="32" t="e">
        <v>#N/A</v>
      </c>
      <c r="G78" s="39"/>
      <c r="H78" s="32" t="s">
        <v>2985</v>
      </c>
      <c r="I78" s="32" t="s">
        <v>5073</v>
      </c>
      <c r="J78" s="32" t="s">
        <v>2985</v>
      </c>
      <c r="K78" s="33" t="s">
        <v>2988</v>
      </c>
      <c r="L78" s="32" t="e">
        <v>#N/A</v>
      </c>
      <c r="M78" s="32" t="s">
        <v>2989</v>
      </c>
      <c r="N78" s="32" t="s">
        <v>5088</v>
      </c>
      <c r="O78" s="32" t="s">
        <v>4730</v>
      </c>
      <c r="P78" s="32">
        <v>2989.0</v>
      </c>
      <c r="Q78" s="34">
        <v>2699.0</v>
      </c>
      <c r="R78" s="40">
        <v>2699.0</v>
      </c>
      <c r="S78" s="35">
        <v>2391.2</v>
      </c>
      <c r="T78" s="36">
        <v>20.0</v>
      </c>
      <c r="U78" s="36">
        <v>0.0</v>
      </c>
      <c r="V78" s="36">
        <v>62.0</v>
      </c>
      <c r="W78" s="36">
        <v>0.0</v>
      </c>
      <c r="X78" s="36">
        <v>10.0</v>
      </c>
      <c r="Y78" s="36">
        <v>92.0</v>
      </c>
    </row>
    <row r="79">
      <c r="A79" s="32" t="s">
        <v>3076</v>
      </c>
      <c r="B79" s="32" t="s">
        <v>3076</v>
      </c>
      <c r="C79" s="32" t="s">
        <v>3077</v>
      </c>
      <c r="D79" s="32" t="s">
        <v>3078</v>
      </c>
      <c r="E79" s="32" t="s">
        <v>5073</v>
      </c>
      <c r="F79" s="32" t="e">
        <v>#N/A</v>
      </c>
      <c r="G79" s="32" t="e">
        <v>#N/A</v>
      </c>
      <c r="H79" s="32" t="s">
        <v>3079</v>
      </c>
      <c r="I79" s="32" t="s">
        <v>5073</v>
      </c>
      <c r="J79" s="32" t="s">
        <v>3080</v>
      </c>
      <c r="K79" s="33" t="s">
        <v>3081</v>
      </c>
      <c r="L79" s="32">
        <v>3.1745296E7</v>
      </c>
      <c r="M79" s="32" t="s">
        <v>3082</v>
      </c>
      <c r="N79" s="32" t="s">
        <v>5087</v>
      </c>
      <c r="O79" s="32" t="s">
        <v>4730</v>
      </c>
      <c r="P79" s="32">
        <v>1879.0</v>
      </c>
      <c r="Q79" s="34">
        <v>1587.0</v>
      </c>
      <c r="R79" s="40">
        <v>1599.0</v>
      </c>
      <c r="S79" s="35">
        <v>1597.15</v>
      </c>
      <c r="T79" s="36">
        <v>0.0</v>
      </c>
      <c r="U79" s="36">
        <v>24.0</v>
      </c>
      <c r="V79" s="36">
        <v>67.0</v>
      </c>
      <c r="W79" s="36">
        <v>0.0</v>
      </c>
      <c r="X79" s="36">
        <v>0.0</v>
      </c>
      <c r="Y79" s="36">
        <v>91.0</v>
      </c>
    </row>
    <row r="80">
      <c r="A80" s="32" t="s">
        <v>4408</v>
      </c>
      <c r="B80" s="32" t="s">
        <v>4408</v>
      </c>
      <c r="C80" s="32" t="s">
        <v>4409</v>
      </c>
      <c r="D80" s="32" t="s">
        <v>4410</v>
      </c>
      <c r="E80" s="32" t="s">
        <v>5073</v>
      </c>
      <c r="F80" s="32" t="e">
        <v>#N/A</v>
      </c>
      <c r="G80" s="39"/>
      <c r="H80" s="32">
        <v>0.0</v>
      </c>
      <c r="I80" s="39"/>
      <c r="J80" s="32" t="s">
        <v>4411</v>
      </c>
      <c r="K80" s="33" t="s">
        <v>4412</v>
      </c>
      <c r="L80" s="32" t="e">
        <v>#N/A</v>
      </c>
      <c r="M80" s="32" t="e">
        <v>#N/A</v>
      </c>
      <c r="N80" s="32" t="s">
        <v>5077</v>
      </c>
      <c r="O80" s="32" t="s">
        <v>4730</v>
      </c>
      <c r="P80" s="32">
        <v>999.0</v>
      </c>
      <c r="Q80" s="34">
        <v>949.0</v>
      </c>
      <c r="R80" s="35">
        <v>949.0</v>
      </c>
      <c r="S80" s="35">
        <v>899.1</v>
      </c>
      <c r="T80" s="36">
        <v>10.0</v>
      </c>
      <c r="U80" s="36">
        <v>0.0</v>
      </c>
      <c r="V80" s="36">
        <v>75.0</v>
      </c>
      <c r="W80" s="36">
        <v>0.0</v>
      </c>
      <c r="X80" s="36">
        <v>5.0</v>
      </c>
      <c r="Y80" s="36">
        <v>90.0</v>
      </c>
    </row>
    <row r="81">
      <c r="A81" s="32" t="s">
        <v>3461</v>
      </c>
      <c r="B81" s="32" t="s">
        <v>3461</v>
      </c>
      <c r="C81" s="32" t="s">
        <v>3462</v>
      </c>
      <c r="D81" s="32" t="s">
        <v>3464</v>
      </c>
      <c r="E81" s="32" t="s">
        <v>5073</v>
      </c>
      <c r="F81" s="32" t="e">
        <v>#N/A</v>
      </c>
      <c r="G81" s="32" t="e">
        <v>#N/A</v>
      </c>
      <c r="H81" s="32" t="s">
        <v>3461</v>
      </c>
      <c r="I81" s="32" t="s">
        <v>5073</v>
      </c>
      <c r="J81" s="32" t="s">
        <v>3465</v>
      </c>
      <c r="K81" s="33" t="s">
        <v>3466</v>
      </c>
      <c r="L81" s="32" t="e">
        <v>#N/A</v>
      </c>
      <c r="M81" s="32" t="e">
        <v>#N/A</v>
      </c>
      <c r="N81" s="32" t="s">
        <v>5078</v>
      </c>
      <c r="O81" s="32" t="s">
        <v>4730</v>
      </c>
      <c r="P81" s="32">
        <v>499.0</v>
      </c>
      <c r="Q81" s="34">
        <v>494.01</v>
      </c>
      <c r="R81" s="35">
        <v>499.0</v>
      </c>
      <c r="S81" s="35">
        <v>474.05</v>
      </c>
      <c r="T81" s="36">
        <v>0.0</v>
      </c>
      <c r="U81" s="36">
        <v>0.0</v>
      </c>
      <c r="V81" s="36">
        <v>89.0</v>
      </c>
      <c r="W81" s="36">
        <v>0.0</v>
      </c>
      <c r="X81" s="36">
        <v>0.0</v>
      </c>
      <c r="Y81" s="36">
        <v>89.0</v>
      </c>
    </row>
    <row r="82">
      <c r="A82" s="32" t="s">
        <v>3506</v>
      </c>
      <c r="B82" s="32" t="s">
        <v>3506</v>
      </c>
      <c r="C82" s="32" t="s">
        <v>3507</v>
      </c>
      <c r="D82" s="32" t="s">
        <v>3508</v>
      </c>
      <c r="E82" s="32" t="s">
        <v>5073</v>
      </c>
      <c r="F82" s="32" t="s">
        <v>3509</v>
      </c>
      <c r="G82" s="32" t="s">
        <v>5100</v>
      </c>
      <c r="H82" s="32" t="s">
        <v>3510</v>
      </c>
      <c r="I82" s="32" t="s">
        <v>5073</v>
      </c>
      <c r="J82" s="32" t="s">
        <v>3511</v>
      </c>
      <c r="K82" s="33" t="s">
        <v>3512</v>
      </c>
      <c r="L82" s="32" t="e">
        <v>#N/A</v>
      </c>
      <c r="M82" s="32" t="e">
        <v>#N/A</v>
      </c>
      <c r="N82" s="32" t="s">
        <v>5098</v>
      </c>
      <c r="O82" s="32" t="s">
        <v>4730</v>
      </c>
      <c r="P82" s="32">
        <v>899.0</v>
      </c>
      <c r="Q82" s="34">
        <v>809.0</v>
      </c>
      <c r="R82" s="35">
        <v>809.0</v>
      </c>
      <c r="S82" s="35">
        <v>764.15</v>
      </c>
      <c r="T82" s="36">
        <v>0.0</v>
      </c>
      <c r="U82" s="36">
        <v>0.0</v>
      </c>
      <c r="V82" s="36">
        <v>87.0</v>
      </c>
      <c r="W82" s="36">
        <v>0.0</v>
      </c>
      <c r="X82" s="36">
        <v>0.0</v>
      </c>
      <c r="Y82" s="36">
        <v>87.0</v>
      </c>
    </row>
    <row r="83">
      <c r="A83" s="32" t="s">
        <v>2138</v>
      </c>
      <c r="B83" s="32" t="s">
        <v>2138</v>
      </c>
      <c r="C83" s="32" t="s">
        <v>2139</v>
      </c>
      <c r="D83" s="32" t="s">
        <v>2140</v>
      </c>
      <c r="E83" s="32" t="s">
        <v>5073</v>
      </c>
      <c r="F83" s="32" t="e">
        <v>#N/A</v>
      </c>
      <c r="G83" s="32" t="e">
        <v>#N/A</v>
      </c>
      <c r="H83" s="32" t="s">
        <v>5105</v>
      </c>
      <c r="I83" s="32" t="s">
        <v>5102</v>
      </c>
      <c r="J83" s="32" t="s">
        <v>2141</v>
      </c>
      <c r="K83" s="33" t="s">
        <v>2142</v>
      </c>
      <c r="L83" s="32" t="e">
        <v>#N/A</v>
      </c>
      <c r="M83" s="32" t="e">
        <v>#N/A</v>
      </c>
      <c r="N83" s="32" t="s">
        <v>5103</v>
      </c>
      <c r="O83" s="32" t="s">
        <v>4730</v>
      </c>
      <c r="P83" s="32">
        <v>4499.0</v>
      </c>
      <c r="Q83" s="34">
        <v>3599.0</v>
      </c>
      <c r="R83" s="40">
        <v>3999.0</v>
      </c>
      <c r="S83" s="35">
        <v>3374.25</v>
      </c>
      <c r="T83" s="36">
        <v>17.0</v>
      </c>
      <c r="U83" s="36">
        <v>0.0</v>
      </c>
      <c r="V83" s="36">
        <v>62.0</v>
      </c>
      <c r="W83" s="36">
        <v>0.0</v>
      </c>
      <c r="X83" s="36">
        <v>7.0</v>
      </c>
      <c r="Y83" s="36">
        <v>86.0</v>
      </c>
    </row>
    <row r="84">
      <c r="A84" s="32" t="s">
        <v>2718</v>
      </c>
      <c r="B84" s="32" t="s">
        <v>2718</v>
      </c>
      <c r="C84" s="32">
        <v>0.0</v>
      </c>
      <c r="D84" s="32" t="e">
        <v>#N/A</v>
      </c>
      <c r="E84" s="39"/>
      <c r="F84" s="32" t="e">
        <v>#N/A</v>
      </c>
      <c r="G84" s="39"/>
      <c r="H84" s="32" t="e">
        <v>#N/A</v>
      </c>
      <c r="I84" s="39"/>
      <c r="J84" s="32">
        <v>0.0</v>
      </c>
      <c r="K84" s="33" t="e">
        <v>#N/A</v>
      </c>
      <c r="L84" s="32" t="e">
        <v>#N/A</v>
      </c>
      <c r="M84" s="32" t="e">
        <v>#N/A</v>
      </c>
      <c r="N84" s="32" t="e">
        <v>#N/A</v>
      </c>
      <c r="O84" s="32" t="e">
        <v>#N/A</v>
      </c>
      <c r="P84" s="32" t="e">
        <v>#REF!</v>
      </c>
      <c r="Q84" s="32" t="e">
        <v>#N/A</v>
      </c>
      <c r="R84" s="42" t="e">
        <v>#N/A</v>
      </c>
      <c r="S84" s="42" t="e">
        <v>#N/A</v>
      </c>
      <c r="T84" s="36">
        <v>18.0</v>
      </c>
      <c r="U84" s="36">
        <v>20.0</v>
      </c>
      <c r="V84" s="36">
        <v>29.0</v>
      </c>
      <c r="W84" s="36">
        <v>4.0</v>
      </c>
      <c r="X84" s="36">
        <v>15.0</v>
      </c>
      <c r="Y84" s="36">
        <v>86.0</v>
      </c>
    </row>
    <row r="85">
      <c r="A85" s="32" t="s">
        <v>3518</v>
      </c>
      <c r="B85" s="32" t="s">
        <v>3518</v>
      </c>
      <c r="C85" s="32" t="s">
        <v>3519</v>
      </c>
      <c r="D85" s="32" t="s">
        <v>3520</v>
      </c>
      <c r="E85" s="32" t="s">
        <v>5073</v>
      </c>
      <c r="F85" s="32" t="e">
        <v>#N/A</v>
      </c>
      <c r="G85" s="32" t="e">
        <v>#N/A</v>
      </c>
      <c r="H85" s="32" t="s">
        <v>3518</v>
      </c>
      <c r="I85" s="32" t="s">
        <v>5073</v>
      </c>
      <c r="J85" s="32" t="s">
        <v>3518</v>
      </c>
      <c r="K85" s="33" t="s">
        <v>3521</v>
      </c>
      <c r="L85" s="32">
        <v>3.1745304E7</v>
      </c>
      <c r="M85" s="32" t="s">
        <v>3522</v>
      </c>
      <c r="N85" s="32" t="s">
        <v>5106</v>
      </c>
      <c r="O85" s="32" t="s">
        <v>4730</v>
      </c>
      <c r="P85" s="32">
        <v>5489.0</v>
      </c>
      <c r="Q85" s="34">
        <v>4999.0</v>
      </c>
      <c r="R85" s="40">
        <v>4999.0</v>
      </c>
      <c r="S85" s="35">
        <v>4665.65</v>
      </c>
      <c r="T85" s="36">
        <v>0.0</v>
      </c>
      <c r="U85" s="36">
        <v>18.0</v>
      </c>
      <c r="V85" s="36">
        <v>64.0</v>
      </c>
      <c r="W85" s="36">
        <v>3.0</v>
      </c>
      <c r="X85" s="36">
        <v>0.0</v>
      </c>
      <c r="Y85" s="36">
        <v>85.0</v>
      </c>
    </row>
    <row r="86">
      <c r="A86" s="32" t="s">
        <v>3442</v>
      </c>
      <c r="B86" s="32" t="s">
        <v>3442</v>
      </c>
      <c r="C86" s="32" t="s">
        <v>3443</v>
      </c>
      <c r="D86" s="32" t="s">
        <v>3445</v>
      </c>
      <c r="E86" s="32" t="s">
        <v>5102</v>
      </c>
      <c r="F86" s="32" t="e">
        <v>#N/A</v>
      </c>
      <c r="G86" s="32" t="e">
        <v>#N/A</v>
      </c>
      <c r="H86" s="32" t="s">
        <v>3442</v>
      </c>
      <c r="I86" s="32" t="s">
        <v>5073</v>
      </c>
      <c r="J86" s="32" t="s">
        <v>3446</v>
      </c>
      <c r="K86" s="33" t="s">
        <v>3447</v>
      </c>
      <c r="L86" s="32" t="e">
        <v>#N/A</v>
      </c>
      <c r="M86" s="32" t="e">
        <v>#N/A</v>
      </c>
      <c r="N86" s="32" t="s">
        <v>5078</v>
      </c>
      <c r="O86" s="32" t="s">
        <v>4730</v>
      </c>
      <c r="P86" s="32">
        <v>649.0</v>
      </c>
      <c r="Q86" s="34">
        <v>642.51</v>
      </c>
      <c r="R86" s="35">
        <v>649.0</v>
      </c>
      <c r="S86" s="35">
        <v>616.55</v>
      </c>
      <c r="T86" s="36">
        <v>42.0</v>
      </c>
      <c r="U86" s="36">
        <v>0.0</v>
      </c>
      <c r="V86" s="36">
        <v>43.0</v>
      </c>
      <c r="W86" s="36">
        <v>0.0</v>
      </c>
      <c r="X86" s="36">
        <v>0.0</v>
      </c>
      <c r="Y86" s="36">
        <v>85.0</v>
      </c>
    </row>
    <row r="87">
      <c r="A87" s="32" t="s">
        <v>4654</v>
      </c>
      <c r="B87" s="32" t="s">
        <v>4654</v>
      </c>
      <c r="C87" s="32" t="s">
        <v>4655</v>
      </c>
      <c r="D87" s="32" t="s">
        <v>4656</v>
      </c>
      <c r="E87" s="32" t="s">
        <v>5102</v>
      </c>
      <c r="F87" s="32" t="e">
        <v>#N/A</v>
      </c>
      <c r="G87" s="39"/>
      <c r="H87" s="32">
        <v>0.0</v>
      </c>
      <c r="I87" s="39"/>
      <c r="J87" s="32" t="s">
        <v>4657</v>
      </c>
      <c r="K87" s="33" t="s">
        <v>4658</v>
      </c>
      <c r="L87" s="32" t="e">
        <v>#N/A</v>
      </c>
      <c r="M87" s="32" t="e">
        <v>#N/A</v>
      </c>
      <c r="N87" s="32" t="s">
        <v>5077</v>
      </c>
      <c r="O87" s="32" t="s">
        <v>4730</v>
      </c>
      <c r="P87" s="32">
        <v>1699.0</v>
      </c>
      <c r="Q87" s="34">
        <v>1614.0</v>
      </c>
      <c r="R87" s="40">
        <v>1614.0</v>
      </c>
      <c r="S87" s="35">
        <v>1529.1</v>
      </c>
      <c r="T87" s="36">
        <v>0.0</v>
      </c>
      <c r="U87" s="36">
        <v>27.0</v>
      </c>
      <c r="V87" s="36">
        <v>35.0</v>
      </c>
      <c r="W87" s="36">
        <v>0.0</v>
      </c>
      <c r="X87" s="36">
        <v>21.0</v>
      </c>
      <c r="Y87" s="36">
        <v>83.0</v>
      </c>
    </row>
    <row r="88">
      <c r="A88" s="32" t="s">
        <v>3896</v>
      </c>
      <c r="B88" s="32" t="s">
        <v>3896</v>
      </c>
      <c r="C88" s="32" t="s">
        <v>3897</v>
      </c>
      <c r="D88" s="32" t="s">
        <v>3898</v>
      </c>
      <c r="E88" s="32" t="s">
        <v>5073</v>
      </c>
      <c r="F88" s="32" t="e">
        <v>#N/A</v>
      </c>
      <c r="G88" s="39"/>
      <c r="H88" s="32">
        <v>0.0</v>
      </c>
      <c r="I88" s="39"/>
      <c r="J88" s="32" t="s">
        <v>3899</v>
      </c>
      <c r="K88" s="33" t="s">
        <v>3900</v>
      </c>
      <c r="L88" s="32" t="e">
        <v>#N/A</v>
      </c>
      <c r="M88" s="32" t="e">
        <v>#N/A</v>
      </c>
      <c r="N88" s="32" t="s">
        <v>4727</v>
      </c>
      <c r="O88" s="32" t="s">
        <v>4727</v>
      </c>
      <c r="P88" s="32">
        <v>1999.0</v>
      </c>
      <c r="Q88" s="34">
        <v>1599.0</v>
      </c>
      <c r="R88" s="40">
        <v>1599.0</v>
      </c>
      <c r="S88" s="35">
        <v>1499.25</v>
      </c>
      <c r="T88" s="36">
        <v>15.0</v>
      </c>
      <c r="U88" s="36">
        <v>2.0</v>
      </c>
      <c r="V88" s="36">
        <v>62.0</v>
      </c>
      <c r="W88" s="36">
        <v>4.0</v>
      </c>
      <c r="X88" s="36">
        <v>0.0</v>
      </c>
      <c r="Y88" s="36">
        <v>83.0</v>
      </c>
    </row>
    <row r="89">
      <c r="A89" s="32" t="s">
        <v>2822</v>
      </c>
      <c r="B89" s="32" t="s">
        <v>2822</v>
      </c>
      <c r="C89" s="32" t="s">
        <v>2823</v>
      </c>
      <c r="D89" s="32" t="s">
        <v>2824</v>
      </c>
      <c r="E89" s="32" t="s">
        <v>5073</v>
      </c>
      <c r="F89" s="32" t="e">
        <v>#N/A</v>
      </c>
      <c r="G89" s="32" t="e">
        <v>#N/A</v>
      </c>
      <c r="H89" s="32" t="s">
        <v>2822</v>
      </c>
      <c r="I89" s="32" t="s">
        <v>5073</v>
      </c>
      <c r="J89" s="32" t="s">
        <v>2825</v>
      </c>
      <c r="K89" s="33" t="s">
        <v>2826</v>
      </c>
      <c r="L89" s="32">
        <v>3.1818451E7</v>
      </c>
      <c r="M89" s="32" t="s">
        <v>2827</v>
      </c>
      <c r="N89" s="32" t="s">
        <v>5107</v>
      </c>
      <c r="O89" s="32" t="s">
        <v>4730</v>
      </c>
      <c r="P89" s="32">
        <v>2189.0</v>
      </c>
      <c r="Q89" s="34">
        <v>1792.0</v>
      </c>
      <c r="R89" s="40">
        <v>1799.0</v>
      </c>
      <c r="S89" s="35">
        <v>1641.75</v>
      </c>
      <c r="T89" s="36">
        <v>14.0</v>
      </c>
      <c r="U89" s="36">
        <v>16.0</v>
      </c>
      <c r="V89" s="36">
        <v>48.0</v>
      </c>
      <c r="W89" s="36">
        <v>4.0</v>
      </c>
      <c r="X89" s="36">
        <v>0.0</v>
      </c>
      <c r="Y89" s="36">
        <v>82.0</v>
      </c>
    </row>
    <row r="90">
      <c r="A90" s="32" t="s">
        <v>3523</v>
      </c>
      <c r="B90" s="32" t="s">
        <v>3523</v>
      </c>
      <c r="C90" s="32" t="s">
        <v>3524</v>
      </c>
      <c r="D90" s="32" t="s">
        <v>3526</v>
      </c>
      <c r="E90" s="32" t="s">
        <v>5073</v>
      </c>
      <c r="F90" s="32" t="e">
        <v>#N/A</v>
      </c>
      <c r="G90" s="32" t="e">
        <v>#N/A</v>
      </c>
      <c r="H90" s="32" t="s">
        <v>3527</v>
      </c>
      <c r="I90" s="32" t="s">
        <v>5073</v>
      </c>
      <c r="J90" s="32" t="s">
        <v>3528</v>
      </c>
      <c r="K90" s="33" t="s">
        <v>3529</v>
      </c>
      <c r="L90" s="32" t="e">
        <v>#N/A</v>
      </c>
      <c r="M90" s="32" t="e">
        <v>#N/A</v>
      </c>
      <c r="N90" s="32" t="s">
        <v>5098</v>
      </c>
      <c r="O90" s="32" t="s">
        <v>4730</v>
      </c>
      <c r="P90" s="32">
        <v>799.0</v>
      </c>
      <c r="Q90" s="34">
        <v>719.0</v>
      </c>
      <c r="R90" s="35">
        <v>719.0</v>
      </c>
      <c r="S90" s="35">
        <v>679.15</v>
      </c>
      <c r="T90" s="36">
        <v>2.0</v>
      </c>
      <c r="U90" s="36">
        <v>4.0</v>
      </c>
      <c r="V90" s="36">
        <v>47.0</v>
      </c>
      <c r="W90" s="36">
        <v>14.0</v>
      </c>
      <c r="X90" s="36">
        <v>13.0</v>
      </c>
      <c r="Y90" s="36">
        <v>80.0</v>
      </c>
    </row>
    <row r="91">
      <c r="A91" s="32" t="s">
        <v>1027</v>
      </c>
      <c r="B91" s="32" t="s">
        <v>1027</v>
      </c>
      <c r="C91" s="32" t="s">
        <v>1028</v>
      </c>
      <c r="D91" s="32" t="s">
        <v>1029</v>
      </c>
      <c r="E91" s="32" t="s">
        <v>5073</v>
      </c>
      <c r="F91" s="32" t="e">
        <v>#N/A</v>
      </c>
      <c r="G91" s="32" t="e">
        <v>#N/A</v>
      </c>
      <c r="H91" s="32" t="s">
        <v>1030</v>
      </c>
      <c r="I91" s="32" t="s">
        <v>5073</v>
      </c>
      <c r="J91" s="32" t="s">
        <v>1031</v>
      </c>
      <c r="K91" s="33" t="s">
        <v>1032</v>
      </c>
      <c r="L91" s="32">
        <v>3.1999063E7</v>
      </c>
      <c r="M91" s="32" t="s">
        <v>1033</v>
      </c>
      <c r="N91" s="32" t="s">
        <v>5108</v>
      </c>
      <c r="O91" s="32" t="s">
        <v>52</v>
      </c>
      <c r="P91" s="32">
        <v>20699.0</v>
      </c>
      <c r="Q91" s="34">
        <v>17387.0</v>
      </c>
      <c r="R91" s="40">
        <v>18599.0</v>
      </c>
      <c r="S91" s="35">
        <v>16559.2</v>
      </c>
      <c r="T91" s="36">
        <v>38.0</v>
      </c>
      <c r="U91" s="36">
        <v>7.0</v>
      </c>
      <c r="V91" s="36">
        <v>32.0</v>
      </c>
      <c r="W91" s="36">
        <v>1.0</v>
      </c>
      <c r="X91" s="36">
        <v>0.0</v>
      </c>
      <c r="Y91" s="36">
        <v>78.0</v>
      </c>
    </row>
    <row r="92">
      <c r="A92" s="32" t="s">
        <v>3664</v>
      </c>
      <c r="B92" s="32" t="s">
        <v>3664</v>
      </c>
      <c r="C92" s="32" t="s">
        <v>3665</v>
      </c>
      <c r="D92" s="32" t="s">
        <v>3667</v>
      </c>
      <c r="E92" s="32" t="s">
        <v>5073</v>
      </c>
      <c r="F92" s="32" t="e">
        <v>#N/A</v>
      </c>
      <c r="G92" s="32" t="e">
        <v>#N/A</v>
      </c>
      <c r="H92" s="32" t="s">
        <v>3668</v>
      </c>
      <c r="I92" s="32" t="s">
        <v>5073</v>
      </c>
      <c r="J92" s="32" t="s">
        <v>3669</v>
      </c>
      <c r="K92" s="33" t="s">
        <v>3670</v>
      </c>
      <c r="L92" s="32" t="e">
        <v>#N/A</v>
      </c>
      <c r="M92" s="32" t="e">
        <v>#N/A</v>
      </c>
      <c r="N92" s="32" t="s">
        <v>5098</v>
      </c>
      <c r="O92" s="32" t="s">
        <v>4730</v>
      </c>
      <c r="P92" s="32">
        <v>999.0</v>
      </c>
      <c r="Q92" s="34">
        <v>899.0</v>
      </c>
      <c r="R92" s="35">
        <v>899.0</v>
      </c>
      <c r="S92" s="35">
        <v>849.15</v>
      </c>
      <c r="T92" s="36">
        <v>8.0</v>
      </c>
      <c r="U92" s="36">
        <v>0.0</v>
      </c>
      <c r="V92" s="36">
        <v>56.0</v>
      </c>
      <c r="W92" s="36">
        <v>6.0</v>
      </c>
      <c r="X92" s="36">
        <v>7.0</v>
      </c>
      <c r="Y92" s="36">
        <v>77.0</v>
      </c>
    </row>
    <row r="93">
      <c r="A93" s="32" t="s">
        <v>4624</v>
      </c>
      <c r="B93" s="32" t="s">
        <v>4624</v>
      </c>
      <c r="C93" s="32" t="s">
        <v>4625</v>
      </c>
      <c r="D93" s="32" t="s">
        <v>4626</v>
      </c>
      <c r="E93" s="32" t="s">
        <v>5073</v>
      </c>
      <c r="F93" s="32" t="e">
        <v>#N/A</v>
      </c>
      <c r="G93" s="39"/>
      <c r="H93" s="32">
        <v>0.0</v>
      </c>
      <c r="I93" s="39"/>
      <c r="J93" s="32" t="s">
        <v>4627</v>
      </c>
      <c r="K93" s="33" t="s">
        <v>4628</v>
      </c>
      <c r="L93" s="32" t="e">
        <v>#N/A</v>
      </c>
      <c r="M93" s="32" t="e">
        <v>#N/A</v>
      </c>
      <c r="N93" s="32" t="s">
        <v>5077</v>
      </c>
      <c r="O93" s="32" t="s">
        <v>4730</v>
      </c>
      <c r="P93" s="32">
        <v>1699.0</v>
      </c>
      <c r="Q93" s="34">
        <v>1614.0</v>
      </c>
      <c r="R93" s="40">
        <v>1614.0</v>
      </c>
      <c r="S93" s="35">
        <v>1529.1</v>
      </c>
      <c r="T93" s="36">
        <v>17.0</v>
      </c>
      <c r="U93" s="36">
        <v>12.0</v>
      </c>
      <c r="V93" s="36">
        <v>40.0</v>
      </c>
      <c r="W93" s="36">
        <v>0.0</v>
      </c>
      <c r="X93" s="36">
        <v>8.0</v>
      </c>
      <c r="Y93" s="36">
        <v>77.0</v>
      </c>
    </row>
    <row r="94">
      <c r="A94" s="32" t="s">
        <v>284</v>
      </c>
      <c r="B94" s="32" t="s">
        <v>284</v>
      </c>
      <c r="C94" s="32" t="s">
        <v>285</v>
      </c>
      <c r="D94" s="32" t="s">
        <v>286</v>
      </c>
      <c r="E94" s="32" t="s">
        <v>5073</v>
      </c>
      <c r="F94" s="32" t="e">
        <v>#N/A</v>
      </c>
      <c r="G94" s="39"/>
      <c r="H94" s="32">
        <v>0.0</v>
      </c>
      <c r="I94" s="39"/>
      <c r="J94" s="32" t="s">
        <v>287</v>
      </c>
      <c r="K94" s="33" t="s">
        <v>288</v>
      </c>
      <c r="L94" s="32" t="e">
        <v>#N/A</v>
      </c>
      <c r="M94" s="32" t="e">
        <v>#REF!</v>
      </c>
      <c r="N94" s="32" t="s">
        <v>51</v>
      </c>
      <c r="O94" s="32" t="s">
        <v>52</v>
      </c>
      <c r="P94" s="32">
        <v>12489.0</v>
      </c>
      <c r="Q94" s="34">
        <v>10116.0</v>
      </c>
      <c r="R94" s="40">
        <v>10899.0</v>
      </c>
      <c r="S94" s="35">
        <v>9491.64</v>
      </c>
      <c r="T94" s="36">
        <v>6.0</v>
      </c>
      <c r="U94" s="36">
        <v>7.0</v>
      </c>
      <c r="V94" s="36">
        <v>51.0</v>
      </c>
      <c r="W94" s="36">
        <v>1.0</v>
      </c>
      <c r="X94" s="36">
        <v>11.0</v>
      </c>
      <c r="Y94" s="36">
        <v>76.0</v>
      </c>
    </row>
    <row r="95">
      <c r="A95" s="32" t="s">
        <v>1796</v>
      </c>
      <c r="B95" s="32" t="s">
        <v>1796</v>
      </c>
      <c r="C95" s="32" t="s">
        <v>1797</v>
      </c>
      <c r="D95" s="32" t="s">
        <v>1798</v>
      </c>
      <c r="E95" s="32" t="s">
        <v>5073</v>
      </c>
      <c r="F95" s="32" t="e">
        <v>#N/A</v>
      </c>
      <c r="G95" s="39"/>
      <c r="H95" s="32" t="s">
        <v>1799</v>
      </c>
      <c r="I95" s="32" t="s">
        <v>5073</v>
      </c>
      <c r="J95" s="32" t="s">
        <v>1800</v>
      </c>
      <c r="K95" s="33" t="s">
        <v>1801</v>
      </c>
      <c r="L95" s="32">
        <v>3.2784001E7</v>
      </c>
      <c r="M95" s="32" t="s">
        <v>1802</v>
      </c>
      <c r="N95" s="32" t="s">
        <v>5109</v>
      </c>
      <c r="O95" s="32" t="s">
        <v>52</v>
      </c>
      <c r="P95" s="32">
        <v>31999.0</v>
      </c>
      <c r="Q95" s="34">
        <v>28799.0</v>
      </c>
      <c r="R95" s="40">
        <v>30399.0</v>
      </c>
      <c r="S95" s="35">
        <v>26879.16</v>
      </c>
      <c r="T95" s="36">
        <v>50.0</v>
      </c>
      <c r="U95" s="36">
        <v>11.0</v>
      </c>
      <c r="V95" s="36">
        <v>15.0</v>
      </c>
      <c r="W95" s="36">
        <v>0.0</v>
      </c>
      <c r="X95" s="36">
        <v>0.0</v>
      </c>
      <c r="Y95" s="36">
        <v>76.0</v>
      </c>
    </row>
    <row r="96">
      <c r="A96" s="32" t="s">
        <v>2981</v>
      </c>
      <c r="B96" s="32" t="s">
        <v>2981</v>
      </c>
      <c r="C96" s="32" t="s">
        <v>2982</v>
      </c>
      <c r="D96" s="32" t="s">
        <v>2983</v>
      </c>
      <c r="E96" s="32" t="s">
        <v>5073</v>
      </c>
      <c r="F96" s="32" t="e">
        <v>#N/A</v>
      </c>
      <c r="G96" s="39"/>
      <c r="H96" s="32" t="s">
        <v>2981</v>
      </c>
      <c r="I96" s="32" t="s">
        <v>5073</v>
      </c>
      <c r="J96" s="32" t="s">
        <v>2981</v>
      </c>
      <c r="K96" s="33" t="s">
        <v>2984</v>
      </c>
      <c r="L96" s="32" t="e">
        <v>#N/A</v>
      </c>
      <c r="M96" s="32" t="e">
        <v>#N/A</v>
      </c>
      <c r="N96" s="32" t="s">
        <v>5088</v>
      </c>
      <c r="O96" s="32" t="s">
        <v>4730</v>
      </c>
      <c r="P96" s="32">
        <v>2989.0</v>
      </c>
      <c r="Q96" s="34">
        <v>2699.0</v>
      </c>
      <c r="R96" s="40">
        <v>2699.0</v>
      </c>
      <c r="S96" s="35">
        <v>2391.2</v>
      </c>
      <c r="T96" s="36">
        <v>9.0</v>
      </c>
      <c r="U96" s="36">
        <v>2.0</v>
      </c>
      <c r="V96" s="36">
        <v>46.0</v>
      </c>
      <c r="W96" s="36">
        <v>17.0</v>
      </c>
      <c r="X96" s="36">
        <v>1.0</v>
      </c>
      <c r="Y96" s="36">
        <v>75.0</v>
      </c>
    </row>
    <row r="97">
      <c r="A97" s="32" t="s">
        <v>387</v>
      </c>
      <c r="B97" s="32" t="s">
        <v>387</v>
      </c>
      <c r="C97" s="32" t="s">
        <v>388</v>
      </c>
      <c r="D97" s="32" t="s">
        <v>389</v>
      </c>
      <c r="E97" s="32" t="s">
        <v>5073</v>
      </c>
      <c r="F97" s="32" t="e">
        <v>#N/A</v>
      </c>
      <c r="G97" s="39"/>
      <c r="H97" s="32" t="s">
        <v>390</v>
      </c>
      <c r="I97" s="32" t="s">
        <v>5073</v>
      </c>
      <c r="J97" s="32" t="s">
        <v>391</v>
      </c>
      <c r="K97" s="33" t="s">
        <v>392</v>
      </c>
      <c r="L97" s="32">
        <v>3.1999077E7</v>
      </c>
      <c r="M97" s="32" t="s">
        <v>393</v>
      </c>
      <c r="N97" s="32" t="s">
        <v>51</v>
      </c>
      <c r="O97" s="32" t="s">
        <v>52</v>
      </c>
      <c r="P97" s="32">
        <v>17999.0</v>
      </c>
      <c r="Q97" s="34">
        <v>14579.0</v>
      </c>
      <c r="R97" s="40">
        <v>15699.0</v>
      </c>
      <c r="S97" s="35">
        <v>13679.24</v>
      </c>
      <c r="T97" s="36">
        <v>25.0</v>
      </c>
      <c r="U97" s="36">
        <v>5.0</v>
      </c>
      <c r="V97" s="36">
        <v>13.0</v>
      </c>
      <c r="W97" s="36">
        <v>17.0</v>
      </c>
      <c r="X97" s="36">
        <v>14.0</v>
      </c>
      <c r="Y97" s="36">
        <v>74.0</v>
      </c>
    </row>
    <row r="98">
      <c r="A98" s="32" t="s">
        <v>2304</v>
      </c>
      <c r="B98" s="32" t="s">
        <v>2304</v>
      </c>
      <c r="C98" s="32" t="s">
        <v>2305</v>
      </c>
      <c r="D98" s="32" t="s">
        <v>2306</v>
      </c>
      <c r="E98" s="32" t="s">
        <v>5073</v>
      </c>
      <c r="F98" s="32" t="e">
        <v>#N/A</v>
      </c>
      <c r="G98" s="39"/>
      <c r="H98" s="32">
        <v>0.0</v>
      </c>
      <c r="I98" s="39"/>
      <c r="J98" s="32" t="s">
        <v>2307</v>
      </c>
      <c r="K98" s="33" t="s">
        <v>2308</v>
      </c>
      <c r="L98" s="32" t="e">
        <v>#N/A</v>
      </c>
      <c r="M98" s="32" t="e">
        <v>#N/A</v>
      </c>
      <c r="N98" s="32" t="s">
        <v>5077</v>
      </c>
      <c r="O98" s="32" t="s">
        <v>4730</v>
      </c>
      <c r="P98" s="32">
        <v>989.0</v>
      </c>
      <c r="Q98" s="34">
        <v>940.0</v>
      </c>
      <c r="R98" s="35">
        <v>940.0</v>
      </c>
      <c r="S98" s="35">
        <v>890.1</v>
      </c>
      <c r="T98" s="36">
        <v>6.0</v>
      </c>
      <c r="U98" s="36">
        <v>0.0</v>
      </c>
      <c r="V98" s="36">
        <v>19.0</v>
      </c>
      <c r="W98" s="36">
        <v>0.0</v>
      </c>
      <c r="X98" s="36">
        <v>47.0</v>
      </c>
      <c r="Y98" s="36">
        <v>72.0</v>
      </c>
    </row>
    <row r="99">
      <c r="A99" s="32" t="s">
        <v>2143</v>
      </c>
      <c r="B99" s="32" t="s">
        <v>2143</v>
      </c>
      <c r="C99" s="32" t="s">
        <v>2144</v>
      </c>
      <c r="D99" s="16" t="s">
        <v>2145</v>
      </c>
      <c r="E99" s="32" t="s">
        <v>5110</v>
      </c>
      <c r="F99" s="32" t="e">
        <v>#N/A</v>
      </c>
      <c r="G99" s="32" t="e">
        <v>#N/A</v>
      </c>
      <c r="H99" s="32" t="s">
        <v>2145</v>
      </c>
      <c r="I99" s="32" t="s">
        <v>5102</v>
      </c>
      <c r="J99" s="32" t="s">
        <v>5111</v>
      </c>
      <c r="K99" s="33" t="s">
        <v>2146</v>
      </c>
      <c r="L99" s="32" t="e">
        <v>#N/A</v>
      </c>
      <c r="M99" s="32" t="e">
        <v>#N/A</v>
      </c>
      <c r="N99" s="32" t="s">
        <v>5103</v>
      </c>
      <c r="O99" s="32" t="s">
        <v>4730</v>
      </c>
      <c r="P99" s="32">
        <v>4999.0</v>
      </c>
      <c r="Q99" s="34">
        <v>3999.0</v>
      </c>
      <c r="R99" s="40">
        <v>4599.0</v>
      </c>
      <c r="S99" s="35">
        <v>3749.25</v>
      </c>
      <c r="T99" s="36">
        <v>0.0</v>
      </c>
      <c r="U99" s="36">
        <v>0.0</v>
      </c>
      <c r="V99" s="36">
        <v>70.0</v>
      </c>
      <c r="W99" s="36">
        <v>0.0</v>
      </c>
      <c r="X99" s="36">
        <v>0.0</v>
      </c>
      <c r="Y99" s="36">
        <v>70.0</v>
      </c>
    </row>
    <row r="100">
      <c r="A100" s="32" t="s">
        <v>1580</v>
      </c>
      <c r="B100" s="32" t="s">
        <v>1580</v>
      </c>
      <c r="C100" s="32" t="s">
        <v>1581</v>
      </c>
      <c r="D100" s="32" t="s">
        <v>1582</v>
      </c>
      <c r="E100" s="32" t="s">
        <v>5073</v>
      </c>
      <c r="F100" s="32" t="e">
        <v>#N/A</v>
      </c>
      <c r="G100" s="39"/>
      <c r="H100" s="32" t="s">
        <v>1580</v>
      </c>
      <c r="I100" s="32" t="s">
        <v>5073</v>
      </c>
      <c r="J100" s="32" t="s">
        <v>1580</v>
      </c>
      <c r="K100" s="33" t="s">
        <v>1583</v>
      </c>
      <c r="L100" s="32">
        <v>3.1999078E7</v>
      </c>
      <c r="M100" s="32" t="s">
        <v>1584</v>
      </c>
      <c r="N100" s="32" t="s">
        <v>5112</v>
      </c>
      <c r="O100" s="32" t="s">
        <v>52</v>
      </c>
      <c r="P100" s="32">
        <v>22999.0</v>
      </c>
      <c r="Q100" s="34">
        <v>20699.0</v>
      </c>
      <c r="R100" s="40">
        <v>21799.0</v>
      </c>
      <c r="S100" s="35">
        <v>17709.23</v>
      </c>
      <c r="T100" s="36">
        <v>41.0</v>
      </c>
      <c r="U100" s="36">
        <v>6.0</v>
      </c>
      <c r="V100" s="36">
        <v>18.0</v>
      </c>
      <c r="W100" s="36">
        <v>1.0</v>
      </c>
      <c r="X100" s="36">
        <v>4.0</v>
      </c>
      <c r="Y100" s="36">
        <v>70.0</v>
      </c>
    </row>
    <row r="101">
      <c r="A101" s="32" t="s">
        <v>1160</v>
      </c>
      <c r="B101" s="32" t="s">
        <v>1160</v>
      </c>
      <c r="C101" s="32">
        <v>0.0</v>
      </c>
      <c r="D101" s="32" t="s">
        <v>1161</v>
      </c>
      <c r="E101" s="39"/>
      <c r="F101" s="32" t="e">
        <v>#N/A</v>
      </c>
      <c r="G101" s="39"/>
      <c r="H101" s="32" t="s">
        <v>1162</v>
      </c>
      <c r="I101" s="39"/>
      <c r="J101" s="32" t="s">
        <v>1163</v>
      </c>
      <c r="K101" s="33" t="e">
        <v>#N/A</v>
      </c>
      <c r="L101" s="32" t="e">
        <v>#N/A</v>
      </c>
      <c r="M101" s="32" t="s">
        <v>1164</v>
      </c>
      <c r="N101" s="32" t="s">
        <v>5113</v>
      </c>
      <c r="O101" s="32" t="s">
        <v>5114</v>
      </c>
      <c r="P101" s="32">
        <v>2989.0</v>
      </c>
      <c r="Q101" s="34">
        <v>2690.0</v>
      </c>
      <c r="R101" s="40">
        <v>2699.0</v>
      </c>
      <c r="S101" s="35">
        <v>2690.0</v>
      </c>
      <c r="T101" s="36">
        <v>4.0</v>
      </c>
      <c r="U101" s="36">
        <v>4.0</v>
      </c>
      <c r="V101" s="36">
        <v>55.0</v>
      </c>
      <c r="W101" s="36">
        <v>1.0</v>
      </c>
      <c r="X101" s="36">
        <v>6.0</v>
      </c>
      <c r="Y101" s="36">
        <v>70.0</v>
      </c>
    </row>
    <row r="102">
      <c r="A102" s="32" t="s">
        <v>925</v>
      </c>
      <c r="B102" s="32" t="s">
        <v>925</v>
      </c>
      <c r="C102" s="32" t="s">
        <v>926</v>
      </c>
      <c r="D102" s="32" t="s">
        <v>927</v>
      </c>
      <c r="E102" s="32" t="s">
        <v>5073</v>
      </c>
      <c r="F102" s="32" t="s">
        <v>927</v>
      </c>
      <c r="G102" s="32" t="s">
        <v>5073</v>
      </c>
      <c r="H102" s="32" t="s">
        <v>5115</v>
      </c>
      <c r="I102" s="32" t="s">
        <v>5102</v>
      </c>
      <c r="J102" s="32" t="s">
        <v>929</v>
      </c>
      <c r="K102" s="33" t="s">
        <v>930</v>
      </c>
      <c r="L102" s="32">
        <v>3.1999057E7</v>
      </c>
      <c r="M102" s="32" t="s">
        <v>931</v>
      </c>
      <c r="N102" s="32" t="s">
        <v>5108</v>
      </c>
      <c r="O102" s="32" t="s">
        <v>52</v>
      </c>
      <c r="P102" s="32">
        <v>17799.0</v>
      </c>
      <c r="Q102" s="34">
        <v>14951.0</v>
      </c>
      <c r="R102" s="40">
        <v>15999.0</v>
      </c>
      <c r="S102" s="35">
        <v>14239.2</v>
      </c>
      <c r="T102" s="36">
        <v>28.0</v>
      </c>
      <c r="U102" s="36">
        <v>0.0</v>
      </c>
      <c r="V102" s="36">
        <v>41.0</v>
      </c>
      <c r="W102" s="36">
        <v>0.0</v>
      </c>
      <c r="X102" s="36">
        <v>0.0</v>
      </c>
      <c r="Y102" s="36">
        <v>69.0</v>
      </c>
    </row>
    <row r="103">
      <c r="A103" s="32" t="s">
        <v>2209</v>
      </c>
      <c r="B103" s="32" t="s">
        <v>2209</v>
      </c>
      <c r="C103" s="32" t="s">
        <v>2210</v>
      </c>
      <c r="D103" s="32" t="s">
        <v>2211</v>
      </c>
      <c r="E103" s="32" t="s">
        <v>5073</v>
      </c>
      <c r="F103" s="32" t="e">
        <v>#N/A</v>
      </c>
      <c r="G103" s="39"/>
      <c r="H103" s="32" t="s">
        <v>2212</v>
      </c>
      <c r="I103" s="32" t="s">
        <v>5073</v>
      </c>
      <c r="J103" s="32" t="s">
        <v>2213</v>
      </c>
      <c r="K103" s="33" t="s">
        <v>2214</v>
      </c>
      <c r="L103" s="32">
        <v>3.1862332E7</v>
      </c>
      <c r="M103" s="32" t="e">
        <v>#N/A</v>
      </c>
      <c r="N103" s="32" t="s">
        <v>5077</v>
      </c>
      <c r="O103" s="32" t="s">
        <v>4730</v>
      </c>
      <c r="P103" s="32">
        <v>789.0</v>
      </c>
      <c r="Q103" s="34">
        <v>750.0</v>
      </c>
      <c r="R103" s="35">
        <v>750.0</v>
      </c>
      <c r="S103" s="35">
        <v>710.1</v>
      </c>
      <c r="T103" s="36">
        <v>2.0</v>
      </c>
      <c r="U103" s="36">
        <v>0.0</v>
      </c>
      <c r="V103" s="36">
        <v>62.0</v>
      </c>
      <c r="W103" s="36">
        <v>0.0</v>
      </c>
      <c r="X103" s="36">
        <v>5.0</v>
      </c>
      <c r="Y103" s="36">
        <v>69.0</v>
      </c>
    </row>
    <row r="104">
      <c r="A104" s="32" t="s">
        <v>3106</v>
      </c>
      <c r="B104" s="32" t="s">
        <v>3106</v>
      </c>
      <c r="C104" s="32" t="s">
        <v>3107</v>
      </c>
      <c r="D104" s="32" t="s">
        <v>3108</v>
      </c>
      <c r="E104" s="32" t="s">
        <v>5073</v>
      </c>
      <c r="F104" s="32" t="e">
        <v>#N/A</v>
      </c>
      <c r="G104" s="39"/>
      <c r="H104" s="32">
        <v>0.0</v>
      </c>
      <c r="I104" s="39"/>
      <c r="J104" s="32" t="s">
        <v>3109</v>
      </c>
      <c r="K104" s="33" t="s">
        <v>3110</v>
      </c>
      <c r="L104" s="32" t="e">
        <v>#N/A</v>
      </c>
      <c r="M104" s="32" t="e">
        <v>#N/A</v>
      </c>
      <c r="N104" s="32" t="s">
        <v>5087</v>
      </c>
      <c r="O104" s="32" t="s">
        <v>4730</v>
      </c>
      <c r="P104" s="32">
        <v>1989.0</v>
      </c>
      <c r="Q104" s="34">
        <v>1668.0</v>
      </c>
      <c r="R104" s="40">
        <v>1699.0</v>
      </c>
      <c r="S104" s="35">
        <v>1690.65</v>
      </c>
      <c r="T104" s="36">
        <v>23.0</v>
      </c>
      <c r="U104" s="36">
        <v>0.0</v>
      </c>
      <c r="V104" s="36">
        <v>45.0</v>
      </c>
      <c r="W104" s="36">
        <v>0.0</v>
      </c>
      <c r="X104" s="36">
        <v>0.0</v>
      </c>
      <c r="Y104" s="36">
        <v>68.0</v>
      </c>
    </row>
    <row r="105">
      <c r="A105" s="32" t="s">
        <v>2917</v>
      </c>
      <c r="B105" s="32" t="s">
        <v>2917</v>
      </c>
      <c r="C105" s="32" t="s">
        <v>2918</v>
      </c>
      <c r="D105" s="32" t="s">
        <v>2920</v>
      </c>
      <c r="E105" s="32" t="s">
        <v>5073</v>
      </c>
      <c r="F105" s="32" t="e">
        <v>#N/A</v>
      </c>
      <c r="G105" s="32" t="e">
        <v>#N/A</v>
      </c>
      <c r="H105" s="32" t="s">
        <v>2921</v>
      </c>
      <c r="I105" s="32" t="s">
        <v>5073</v>
      </c>
      <c r="J105" s="32" t="s">
        <v>2922</v>
      </c>
      <c r="K105" s="33" t="s">
        <v>2923</v>
      </c>
      <c r="L105" s="32" t="e">
        <v>#N/A</v>
      </c>
      <c r="M105" s="32" t="e">
        <v>#N/A</v>
      </c>
      <c r="N105" s="32" t="s">
        <v>5116</v>
      </c>
      <c r="O105" s="32" t="s">
        <v>4730</v>
      </c>
      <c r="P105" s="32">
        <v>3599.0</v>
      </c>
      <c r="Q105" s="34">
        <v>3099.0</v>
      </c>
      <c r="R105" s="40">
        <v>3099.0</v>
      </c>
      <c r="S105" s="35">
        <v>3059.15</v>
      </c>
      <c r="T105" s="36">
        <v>7.0</v>
      </c>
      <c r="U105" s="36">
        <v>9.0</v>
      </c>
      <c r="V105" s="36">
        <v>50.0</v>
      </c>
      <c r="W105" s="36">
        <v>1.0</v>
      </c>
      <c r="X105" s="36">
        <v>0.0</v>
      </c>
      <c r="Y105" s="36">
        <v>67.0</v>
      </c>
    </row>
    <row r="106">
      <c r="A106" s="32" t="s">
        <v>4996</v>
      </c>
      <c r="B106" s="32" t="s">
        <v>4996</v>
      </c>
      <c r="C106" s="32" t="s">
        <v>4997</v>
      </c>
      <c r="D106" s="32" t="s">
        <v>4998</v>
      </c>
      <c r="E106" s="32" t="s">
        <v>5102</v>
      </c>
      <c r="F106" s="38"/>
      <c r="G106" s="38"/>
      <c r="H106" s="38"/>
      <c r="I106" s="38"/>
      <c r="J106" s="32" t="s">
        <v>4999</v>
      </c>
      <c r="K106" s="38"/>
      <c r="L106" s="38"/>
      <c r="M106" s="38"/>
      <c r="N106" s="32" t="s">
        <v>5077</v>
      </c>
      <c r="O106" s="32" t="s">
        <v>4730</v>
      </c>
      <c r="P106" s="32">
        <v>1499.0</v>
      </c>
      <c r="Q106" s="44">
        <v>1424.0</v>
      </c>
      <c r="R106" s="40">
        <v>1424.0</v>
      </c>
      <c r="S106" s="35">
        <v>1349.1</v>
      </c>
      <c r="T106" s="36">
        <v>23.0</v>
      </c>
      <c r="U106" s="36">
        <v>0.0</v>
      </c>
      <c r="V106" s="36">
        <v>44.0</v>
      </c>
      <c r="W106" s="36">
        <v>0.0</v>
      </c>
      <c r="X106" s="36">
        <v>0.0</v>
      </c>
      <c r="Y106" s="36">
        <v>67.0</v>
      </c>
    </row>
    <row r="107">
      <c r="A107" s="32" t="s">
        <v>3144</v>
      </c>
      <c r="B107" s="32" t="s">
        <v>3144</v>
      </c>
      <c r="C107" s="32" t="s">
        <v>3145</v>
      </c>
      <c r="D107" s="32" t="s">
        <v>3146</v>
      </c>
      <c r="E107" s="32" t="s">
        <v>5073</v>
      </c>
      <c r="F107" s="32" t="e">
        <v>#N/A</v>
      </c>
      <c r="G107" s="39"/>
      <c r="H107" s="32">
        <v>0.0</v>
      </c>
      <c r="I107" s="39"/>
      <c r="J107" s="32" t="s">
        <v>3147</v>
      </c>
      <c r="K107" s="33" t="s">
        <v>3148</v>
      </c>
      <c r="L107" s="32" t="e">
        <v>#N/A</v>
      </c>
      <c r="M107" s="32" t="e">
        <v>#N/A</v>
      </c>
      <c r="N107" s="32" t="s">
        <v>5087</v>
      </c>
      <c r="O107" s="32" t="s">
        <v>4730</v>
      </c>
      <c r="P107" s="32">
        <v>2689.0</v>
      </c>
      <c r="Q107" s="34">
        <v>2268.0</v>
      </c>
      <c r="R107" s="40">
        <v>2299.0</v>
      </c>
      <c r="S107" s="35">
        <v>2285.65</v>
      </c>
      <c r="T107" s="36">
        <v>9.0</v>
      </c>
      <c r="U107" s="36">
        <v>6.0</v>
      </c>
      <c r="V107" s="36">
        <v>51.0</v>
      </c>
      <c r="W107" s="36">
        <v>0.0</v>
      </c>
      <c r="X107" s="36">
        <v>0.0</v>
      </c>
      <c r="Y107" s="36">
        <v>66.0</v>
      </c>
    </row>
    <row r="108">
      <c r="A108" s="32" t="s">
        <v>3455</v>
      </c>
      <c r="B108" s="32" t="s">
        <v>3455</v>
      </c>
      <c r="C108" s="32" t="s">
        <v>3456</v>
      </c>
      <c r="D108" s="32" t="s">
        <v>3457</v>
      </c>
      <c r="E108" s="32" t="s">
        <v>5073</v>
      </c>
      <c r="F108" s="32" t="s">
        <v>3458</v>
      </c>
      <c r="G108" s="32" t="s">
        <v>5073</v>
      </c>
      <c r="H108" s="32" t="s">
        <v>3455</v>
      </c>
      <c r="I108" s="32" t="s">
        <v>5073</v>
      </c>
      <c r="J108" s="32" t="s">
        <v>3459</v>
      </c>
      <c r="K108" s="33" t="s">
        <v>3460</v>
      </c>
      <c r="L108" s="32" t="e">
        <v>#N/A</v>
      </c>
      <c r="M108" s="32" t="e">
        <v>#N/A</v>
      </c>
      <c r="N108" s="32" t="s">
        <v>5078</v>
      </c>
      <c r="O108" s="32" t="s">
        <v>4730</v>
      </c>
      <c r="P108" s="32">
        <v>549.0</v>
      </c>
      <c r="Q108" s="34">
        <v>543.51</v>
      </c>
      <c r="R108" s="35">
        <v>549.0</v>
      </c>
      <c r="S108" s="35">
        <v>521.55</v>
      </c>
      <c r="T108" s="36">
        <v>0.0</v>
      </c>
      <c r="U108" s="36">
        <v>0.0</v>
      </c>
      <c r="V108" s="36">
        <v>45.0</v>
      </c>
      <c r="W108" s="36">
        <v>10.0</v>
      </c>
      <c r="X108" s="36">
        <v>10.0</v>
      </c>
      <c r="Y108" s="36">
        <v>65.0</v>
      </c>
    </row>
    <row r="109">
      <c r="A109" s="32" t="s">
        <v>3901</v>
      </c>
      <c r="B109" s="32" t="s">
        <v>3901</v>
      </c>
      <c r="C109" s="32" t="s">
        <v>3902</v>
      </c>
      <c r="D109" s="32" t="s">
        <v>3903</v>
      </c>
      <c r="E109" s="32" t="s">
        <v>5073</v>
      </c>
      <c r="F109" s="32" t="e">
        <v>#N/A</v>
      </c>
      <c r="G109" s="39"/>
      <c r="H109" s="32">
        <v>0.0</v>
      </c>
      <c r="I109" s="39"/>
      <c r="J109" s="32" t="s">
        <v>3904</v>
      </c>
      <c r="K109" s="33" t="s">
        <v>3905</v>
      </c>
      <c r="L109" s="32" t="e">
        <v>#N/A</v>
      </c>
      <c r="M109" s="32" t="e">
        <v>#N/A</v>
      </c>
      <c r="N109" s="32" t="s">
        <v>4727</v>
      </c>
      <c r="O109" s="32" t="s">
        <v>4727</v>
      </c>
      <c r="P109" s="32">
        <v>1999.0</v>
      </c>
      <c r="Q109" s="34">
        <v>1599.0</v>
      </c>
      <c r="R109" s="40">
        <v>1599.0</v>
      </c>
      <c r="S109" s="35">
        <v>1499.25</v>
      </c>
      <c r="T109" s="36">
        <v>0.0</v>
      </c>
      <c r="U109" s="36">
        <v>0.0</v>
      </c>
      <c r="V109" s="36">
        <v>63.0</v>
      </c>
      <c r="W109" s="36">
        <v>0.0</v>
      </c>
      <c r="X109" s="36">
        <v>2.0</v>
      </c>
      <c r="Y109" s="36">
        <v>65.0</v>
      </c>
    </row>
    <row r="110">
      <c r="A110" s="32" t="s">
        <v>4619</v>
      </c>
      <c r="B110" s="32" t="s">
        <v>4619</v>
      </c>
      <c r="C110" s="32" t="s">
        <v>4620</v>
      </c>
      <c r="D110" s="32" t="s">
        <v>4621</v>
      </c>
      <c r="E110" s="32" t="s">
        <v>5073</v>
      </c>
      <c r="F110" s="32" t="e">
        <v>#N/A</v>
      </c>
      <c r="G110" s="39"/>
      <c r="H110" s="32">
        <v>0.0</v>
      </c>
      <c r="I110" s="39"/>
      <c r="J110" s="32" t="s">
        <v>4622</v>
      </c>
      <c r="K110" s="33" t="s">
        <v>4623</v>
      </c>
      <c r="L110" s="32" t="e">
        <v>#N/A</v>
      </c>
      <c r="M110" s="32" t="e">
        <v>#N/A</v>
      </c>
      <c r="N110" s="32" t="s">
        <v>5077</v>
      </c>
      <c r="O110" s="32" t="s">
        <v>4730</v>
      </c>
      <c r="P110" s="32">
        <v>1699.0</v>
      </c>
      <c r="Q110" s="34">
        <v>1614.0</v>
      </c>
      <c r="R110" s="40">
        <v>1614.0</v>
      </c>
      <c r="S110" s="35">
        <v>1529.1</v>
      </c>
      <c r="T110" s="36">
        <v>6.0</v>
      </c>
      <c r="U110" s="36">
        <v>0.0</v>
      </c>
      <c r="V110" s="36">
        <v>58.0</v>
      </c>
      <c r="W110" s="36">
        <v>0.0</v>
      </c>
      <c r="X110" s="36">
        <v>0.0</v>
      </c>
      <c r="Y110" s="36">
        <v>64.0</v>
      </c>
    </row>
    <row r="111">
      <c r="A111" s="32" t="s">
        <v>379</v>
      </c>
      <c r="B111" s="32" t="s">
        <v>379</v>
      </c>
      <c r="C111" s="32" t="s">
        <v>380</v>
      </c>
      <c r="D111" s="32" t="s">
        <v>381</v>
      </c>
      <c r="E111" s="32" t="s">
        <v>5073</v>
      </c>
      <c r="F111" s="32" t="s">
        <v>382</v>
      </c>
      <c r="G111" s="32" t="s">
        <v>5117</v>
      </c>
      <c r="H111" s="32" t="s">
        <v>383</v>
      </c>
      <c r="I111" s="32" t="s">
        <v>5073</v>
      </c>
      <c r="J111" s="32" t="s">
        <v>384</v>
      </c>
      <c r="K111" s="33" t="s">
        <v>385</v>
      </c>
      <c r="L111" s="32">
        <v>3.1999081E7</v>
      </c>
      <c r="M111" s="32" t="s">
        <v>386</v>
      </c>
      <c r="N111" s="32" t="s">
        <v>51</v>
      </c>
      <c r="O111" s="32" t="s">
        <v>52</v>
      </c>
      <c r="P111" s="32">
        <v>17499.0</v>
      </c>
      <c r="Q111" s="34">
        <v>14174.0</v>
      </c>
      <c r="R111" s="40">
        <v>15199.0</v>
      </c>
      <c r="S111" s="35">
        <v>13299.24</v>
      </c>
      <c r="T111" s="36">
        <v>17.0</v>
      </c>
      <c r="U111" s="36">
        <v>18.0</v>
      </c>
      <c r="V111" s="36">
        <v>18.0</v>
      </c>
      <c r="W111" s="36">
        <v>10.0</v>
      </c>
      <c r="X111" s="36">
        <v>0.0</v>
      </c>
      <c r="Y111" s="36">
        <v>63.0</v>
      </c>
    </row>
    <row r="112">
      <c r="A112" s="32" t="s">
        <v>2938</v>
      </c>
      <c r="B112" s="32" t="s">
        <v>2938</v>
      </c>
      <c r="C112" s="32" t="s">
        <v>2939</v>
      </c>
      <c r="D112" s="32" t="s">
        <v>2941</v>
      </c>
      <c r="E112" s="32" t="s">
        <v>5073</v>
      </c>
      <c r="F112" s="32" t="e">
        <v>#N/A</v>
      </c>
      <c r="G112" s="32" t="e">
        <v>#N/A</v>
      </c>
      <c r="H112" s="32" t="s">
        <v>2942</v>
      </c>
      <c r="I112" s="32" t="s">
        <v>5073</v>
      </c>
      <c r="J112" s="32" t="s">
        <v>2943</v>
      </c>
      <c r="K112" s="33" t="s">
        <v>2944</v>
      </c>
      <c r="L112" s="32" t="e">
        <v>#N/A</v>
      </c>
      <c r="M112" s="32" t="e">
        <v>#N/A</v>
      </c>
      <c r="N112" s="32" t="s">
        <v>5116</v>
      </c>
      <c r="O112" s="32" t="s">
        <v>4730</v>
      </c>
      <c r="P112" s="32">
        <v>3599.0</v>
      </c>
      <c r="Q112" s="34">
        <v>3099.0</v>
      </c>
      <c r="R112" s="40">
        <v>3099.0</v>
      </c>
      <c r="S112" s="35">
        <v>3059.15</v>
      </c>
      <c r="T112" s="36">
        <v>16.0</v>
      </c>
      <c r="U112" s="36">
        <v>5.0</v>
      </c>
      <c r="V112" s="36">
        <v>36.0</v>
      </c>
      <c r="W112" s="36">
        <v>0.0</v>
      </c>
      <c r="X112" s="36">
        <v>6.0</v>
      </c>
      <c r="Y112" s="36">
        <v>63.0</v>
      </c>
    </row>
    <row r="113">
      <c r="A113" s="32" t="s">
        <v>2889</v>
      </c>
      <c r="B113" s="32" t="s">
        <v>2889</v>
      </c>
      <c r="C113" s="32" t="s">
        <v>2890</v>
      </c>
      <c r="D113" s="32" t="s">
        <v>2891</v>
      </c>
      <c r="E113" s="32" t="s">
        <v>5073</v>
      </c>
      <c r="F113" s="32" t="e">
        <v>#N/A</v>
      </c>
      <c r="G113" s="39"/>
      <c r="H113" s="32" t="s">
        <v>2889</v>
      </c>
      <c r="I113" s="32" t="s">
        <v>5073</v>
      </c>
      <c r="J113" s="32" t="s">
        <v>2889</v>
      </c>
      <c r="K113" s="33" t="s">
        <v>2892</v>
      </c>
      <c r="L113" s="32">
        <v>3.1818376E7</v>
      </c>
      <c r="M113" s="32" t="e">
        <v>#N/A</v>
      </c>
      <c r="N113" s="32" t="s">
        <v>5107</v>
      </c>
      <c r="O113" s="32" t="s">
        <v>4730</v>
      </c>
      <c r="P113" s="32">
        <v>2489.0</v>
      </c>
      <c r="Q113" s="34">
        <v>2037.0</v>
      </c>
      <c r="R113" s="40">
        <v>2037.0</v>
      </c>
      <c r="S113" s="35">
        <v>1866.75</v>
      </c>
      <c r="T113" s="36">
        <v>8.0</v>
      </c>
      <c r="U113" s="36">
        <v>0.0</v>
      </c>
      <c r="V113" s="36">
        <v>37.0</v>
      </c>
      <c r="W113" s="36">
        <v>5.0</v>
      </c>
      <c r="X113" s="36">
        <v>12.0</v>
      </c>
      <c r="Y113" s="36">
        <v>62.0</v>
      </c>
    </row>
    <row r="114">
      <c r="A114" s="32" t="s">
        <v>2828</v>
      </c>
      <c r="B114" s="32" t="s">
        <v>2828</v>
      </c>
      <c r="C114" s="32" t="s">
        <v>2829</v>
      </c>
      <c r="D114" s="32" t="s">
        <v>2831</v>
      </c>
      <c r="E114" s="32" t="s">
        <v>5073</v>
      </c>
      <c r="F114" s="32" t="e">
        <v>#N/A</v>
      </c>
      <c r="G114" s="32" t="e">
        <v>#N/A</v>
      </c>
      <c r="H114" s="32" t="s">
        <v>2828</v>
      </c>
      <c r="I114" s="32" t="s">
        <v>5073</v>
      </c>
      <c r="J114" s="32" t="s">
        <v>2832</v>
      </c>
      <c r="K114" s="33" t="s">
        <v>2833</v>
      </c>
      <c r="L114" s="32">
        <v>3.1818466E7</v>
      </c>
      <c r="M114" s="32" t="s">
        <v>2834</v>
      </c>
      <c r="N114" s="32" t="s">
        <v>5107</v>
      </c>
      <c r="O114" s="32" t="s">
        <v>4730</v>
      </c>
      <c r="P114" s="32">
        <v>2189.0</v>
      </c>
      <c r="Q114" s="34">
        <v>1792.0</v>
      </c>
      <c r="R114" s="40">
        <v>1799.0</v>
      </c>
      <c r="S114" s="35">
        <v>1641.75</v>
      </c>
      <c r="T114" s="36">
        <v>0.0</v>
      </c>
      <c r="U114" s="36">
        <v>10.0</v>
      </c>
      <c r="V114" s="36">
        <v>47.0</v>
      </c>
      <c r="W114" s="36">
        <v>5.0</v>
      </c>
      <c r="X114" s="36">
        <v>0.0</v>
      </c>
      <c r="Y114" s="36">
        <v>62.0</v>
      </c>
    </row>
    <row r="115">
      <c r="A115" s="32" t="s">
        <v>3123</v>
      </c>
      <c r="B115" s="32" t="s">
        <v>3123</v>
      </c>
      <c r="C115" s="32" t="s">
        <v>3124</v>
      </c>
      <c r="D115" s="32" t="s">
        <v>3125</v>
      </c>
      <c r="E115" s="32" t="s">
        <v>5073</v>
      </c>
      <c r="F115" s="32" t="s">
        <v>3126</v>
      </c>
      <c r="G115" s="32" t="s">
        <v>5073</v>
      </c>
      <c r="H115" s="32" t="s">
        <v>3127</v>
      </c>
      <c r="I115" s="32" t="s">
        <v>5073</v>
      </c>
      <c r="J115" s="32" t="s">
        <v>3128</v>
      </c>
      <c r="K115" s="33" t="s">
        <v>3129</v>
      </c>
      <c r="L115" s="32">
        <v>3.1745303E7</v>
      </c>
      <c r="M115" s="32" t="s">
        <v>3130</v>
      </c>
      <c r="N115" s="32" t="s">
        <v>5087</v>
      </c>
      <c r="O115" s="32" t="s">
        <v>4730</v>
      </c>
      <c r="P115" s="32">
        <v>2489.0</v>
      </c>
      <c r="Q115" s="34">
        <v>2098.0</v>
      </c>
      <c r="R115" s="40">
        <v>2099.0</v>
      </c>
      <c r="S115" s="35">
        <v>1999.0</v>
      </c>
      <c r="T115" s="36">
        <v>19.0</v>
      </c>
      <c r="U115" s="36">
        <v>2.0</v>
      </c>
      <c r="V115" s="36">
        <v>39.0</v>
      </c>
      <c r="W115" s="36">
        <v>1.0</v>
      </c>
      <c r="X115" s="36">
        <v>0.0</v>
      </c>
      <c r="Y115" s="36">
        <v>61.0</v>
      </c>
    </row>
    <row r="116">
      <c r="A116" s="32" t="s">
        <v>1431</v>
      </c>
      <c r="B116" s="32" t="s">
        <v>1431</v>
      </c>
      <c r="C116" s="32" t="s">
        <v>1432</v>
      </c>
      <c r="D116" s="32" t="s">
        <v>1434</v>
      </c>
      <c r="E116" s="32" t="s">
        <v>5073</v>
      </c>
      <c r="F116" s="32" t="e">
        <v>#N/A</v>
      </c>
      <c r="G116" s="32" t="e">
        <v>#N/A</v>
      </c>
      <c r="H116" s="32" t="s">
        <v>1435</v>
      </c>
      <c r="I116" s="32" t="s">
        <v>5073</v>
      </c>
      <c r="J116" s="32" t="s">
        <v>1436</v>
      </c>
      <c r="K116" s="33" t="s">
        <v>1437</v>
      </c>
      <c r="L116" s="32">
        <v>3.181846E7</v>
      </c>
      <c r="M116" s="32" t="e">
        <v>#N/A</v>
      </c>
      <c r="N116" s="32" t="s">
        <v>5089</v>
      </c>
      <c r="O116" s="32" t="s">
        <v>4730</v>
      </c>
      <c r="P116" s="32">
        <v>2999.0</v>
      </c>
      <c r="Q116" s="34">
        <v>2449.0</v>
      </c>
      <c r="R116" s="40">
        <v>2449.0</v>
      </c>
      <c r="S116" s="35">
        <v>2399.2</v>
      </c>
      <c r="T116" s="36">
        <v>19.0</v>
      </c>
      <c r="U116" s="36">
        <v>8.0</v>
      </c>
      <c r="V116" s="36">
        <v>28.0</v>
      </c>
      <c r="W116" s="36">
        <v>0.0</v>
      </c>
      <c r="X116" s="36">
        <v>6.0</v>
      </c>
      <c r="Y116" s="36">
        <v>61.0</v>
      </c>
    </row>
    <row r="117">
      <c r="A117" s="32" t="s">
        <v>4137</v>
      </c>
      <c r="B117" s="32" t="s">
        <v>4137</v>
      </c>
      <c r="C117" s="32" t="s">
        <v>4138</v>
      </c>
      <c r="D117" s="32" t="s">
        <v>4139</v>
      </c>
      <c r="E117" s="32" t="s">
        <v>5073</v>
      </c>
      <c r="F117" s="32" t="e">
        <v>#N/A</v>
      </c>
      <c r="G117" s="38"/>
      <c r="H117" s="32">
        <v>0.0</v>
      </c>
      <c r="I117" s="39"/>
      <c r="J117" s="32" t="s">
        <v>4140</v>
      </c>
      <c r="K117" s="33" t="s">
        <v>4141</v>
      </c>
      <c r="L117" s="32" t="e">
        <v>#N/A</v>
      </c>
      <c r="M117" s="32" t="s">
        <v>4142</v>
      </c>
      <c r="N117" s="32" t="s">
        <v>5118</v>
      </c>
      <c r="O117" s="32" t="s">
        <v>52</v>
      </c>
      <c r="P117" s="32">
        <v>17199.0</v>
      </c>
      <c r="Q117" s="34">
        <v>15479.0</v>
      </c>
      <c r="R117" s="40">
        <v>16499.0</v>
      </c>
      <c r="S117" s="35">
        <v>15113.34</v>
      </c>
      <c r="T117" s="36">
        <v>10.0</v>
      </c>
      <c r="U117" s="36">
        <v>9.0</v>
      </c>
      <c r="V117" s="36">
        <v>39.0</v>
      </c>
      <c r="W117" s="36">
        <v>0.0</v>
      </c>
      <c r="X117" s="36">
        <v>2.0</v>
      </c>
      <c r="Y117" s="36">
        <v>60.0</v>
      </c>
    </row>
    <row r="118">
      <c r="A118" s="32" t="s">
        <v>522</v>
      </c>
      <c r="B118" s="32" t="s">
        <v>522</v>
      </c>
      <c r="C118" s="32" t="s">
        <v>523</v>
      </c>
      <c r="D118" s="32" t="s">
        <v>524</v>
      </c>
      <c r="E118" s="32" t="s">
        <v>5073</v>
      </c>
      <c r="F118" s="32" t="e">
        <v>#N/A</v>
      </c>
      <c r="G118" s="39"/>
      <c r="H118" s="32">
        <v>0.0</v>
      </c>
      <c r="I118" s="39"/>
      <c r="J118" s="32" t="s">
        <v>525</v>
      </c>
      <c r="K118" s="33" t="s">
        <v>526</v>
      </c>
      <c r="L118" s="32" t="e">
        <v>#N/A</v>
      </c>
      <c r="M118" s="32" t="s">
        <v>527</v>
      </c>
      <c r="N118" s="32" t="s">
        <v>51</v>
      </c>
      <c r="O118" s="32" t="s">
        <v>52</v>
      </c>
      <c r="P118" s="32">
        <v>11179.0</v>
      </c>
      <c r="Q118" s="34">
        <v>9055.0</v>
      </c>
      <c r="R118" s="40">
        <v>9699.0</v>
      </c>
      <c r="S118" s="35">
        <v>8496.04</v>
      </c>
      <c r="T118" s="36">
        <v>14.0</v>
      </c>
      <c r="U118" s="36">
        <v>6.0</v>
      </c>
      <c r="V118" s="36">
        <v>29.0</v>
      </c>
      <c r="W118" s="36">
        <v>6.0</v>
      </c>
      <c r="X118" s="36">
        <v>5.0</v>
      </c>
      <c r="Y118" s="36">
        <v>60.0</v>
      </c>
    </row>
    <row r="119">
      <c r="A119" s="32" t="s">
        <v>1170</v>
      </c>
      <c r="B119" s="32" t="s">
        <v>1170</v>
      </c>
      <c r="C119" s="32" t="s">
        <v>4768</v>
      </c>
      <c r="D119" s="32" t="s">
        <v>4769</v>
      </c>
      <c r="E119" s="32" t="s">
        <v>5073</v>
      </c>
      <c r="F119" s="32" t="e">
        <v>#N/A</v>
      </c>
      <c r="G119" s="39"/>
      <c r="H119" s="32" t="s">
        <v>1170</v>
      </c>
      <c r="I119" s="32" t="s">
        <v>5102</v>
      </c>
      <c r="J119" s="32" t="s">
        <v>1170</v>
      </c>
      <c r="K119" s="33" t="s">
        <v>4770</v>
      </c>
      <c r="L119" s="32" t="e">
        <v>#N/A</v>
      </c>
      <c r="M119" s="32" t="e">
        <v>#N/A</v>
      </c>
      <c r="N119" s="32" t="s">
        <v>1195</v>
      </c>
      <c r="O119" s="32" t="s">
        <v>5114</v>
      </c>
      <c r="P119" s="32">
        <v>2489.0</v>
      </c>
      <c r="Q119" s="34">
        <v>1788.0</v>
      </c>
      <c r="R119" s="40">
        <v>1799.0</v>
      </c>
      <c r="S119" s="35">
        <v>1742.3</v>
      </c>
      <c r="T119" s="36">
        <v>12.0</v>
      </c>
      <c r="U119" s="36">
        <v>0.0</v>
      </c>
      <c r="V119" s="36">
        <v>46.0</v>
      </c>
      <c r="W119" s="36">
        <v>0.0</v>
      </c>
      <c r="X119" s="36">
        <v>1.0</v>
      </c>
      <c r="Y119" s="36">
        <v>59.0</v>
      </c>
    </row>
    <row r="120">
      <c r="A120" s="32" t="s">
        <v>2924</v>
      </c>
      <c r="B120" s="32" t="s">
        <v>2924</v>
      </c>
      <c r="C120" s="32" t="s">
        <v>2925</v>
      </c>
      <c r="D120" s="32" t="s">
        <v>2927</v>
      </c>
      <c r="E120" s="32" t="s">
        <v>5073</v>
      </c>
      <c r="F120" s="32" t="e">
        <v>#N/A</v>
      </c>
      <c r="G120" s="32" t="e">
        <v>#N/A</v>
      </c>
      <c r="H120" s="32" t="s">
        <v>2928</v>
      </c>
      <c r="I120" s="32" t="s">
        <v>5073</v>
      </c>
      <c r="J120" s="32" t="s">
        <v>2929</v>
      </c>
      <c r="K120" s="33" t="s">
        <v>2930</v>
      </c>
      <c r="L120" s="32" t="e">
        <v>#N/A</v>
      </c>
      <c r="M120" s="32" t="e">
        <v>#N/A</v>
      </c>
      <c r="N120" s="32" t="s">
        <v>5116</v>
      </c>
      <c r="O120" s="32" t="s">
        <v>4730</v>
      </c>
      <c r="P120" s="32">
        <v>3599.0</v>
      </c>
      <c r="Q120" s="34">
        <v>3099.0</v>
      </c>
      <c r="R120" s="40">
        <v>3099.0</v>
      </c>
      <c r="S120" s="35">
        <v>3059.15</v>
      </c>
      <c r="T120" s="36">
        <v>5.0</v>
      </c>
      <c r="U120" s="36">
        <v>0.0</v>
      </c>
      <c r="V120" s="36">
        <v>48.0</v>
      </c>
      <c r="W120" s="36">
        <v>5.0</v>
      </c>
      <c r="X120" s="36">
        <v>1.0</v>
      </c>
      <c r="Y120" s="36">
        <v>59.0</v>
      </c>
    </row>
    <row r="121">
      <c r="A121" s="32" t="s">
        <v>2280</v>
      </c>
      <c r="B121" s="32" t="s">
        <v>2280</v>
      </c>
      <c r="C121" s="32" t="s">
        <v>2281</v>
      </c>
      <c r="D121" s="32" t="s">
        <v>2282</v>
      </c>
      <c r="E121" s="32" t="s">
        <v>5073</v>
      </c>
      <c r="F121" s="32" t="e">
        <v>#N/A</v>
      </c>
      <c r="G121" s="39"/>
      <c r="H121" s="32" t="s">
        <v>2283</v>
      </c>
      <c r="I121" s="32" t="s">
        <v>5073</v>
      </c>
      <c r="J121" s="32" t="s">
        <v>2284</v>
      </c>
      <c r="K121" s="33" t="s">
        <v>2285</v>
      </c>
      <c r="L121" s="32">
        <v>3.1862337E7</v>
      </c>
      <c r="M121" s="32" t="e">
        <v>#N/A</v>
      </c>
      <c r="N121" s="32" t="s">
        <v>5077</v>
      </c>
      <c r="O121" s="32" t="s">
        <v>4730</v>
      </c>
      <c r="P121" s="32">
        <v>1049.0</v>
      </c>
      <c r="Q121" s="34">
        <v>997.0</v>
      </c>
      <c r="R121" s="35">
        <v>999.0</v>
      </c>
      <c r="S121" s="35">
        <v>944.1</v>
      </c>
      <c r="T121" s="36">
        <v>0.0</v>
      </c>
      <c r="U121" s="36">
        <v>0.0</v>
      </c>
      <c r="V121" s="36">
        <v>58.0</v>
      </c>
      <c r="W121" s="36">
        <v>0.0</v>
      </c>
      <c r="X121" s="36">
        <v>0.0</v>
      </c>
      <c r="Y121" s="36">
        <v>58.0</v>
      </c>
    </row>
    <row r="122">
      <c r="A122" s="32" t="s">
        <v>3485</v>
      </c>
      <c r="B122" s="32" t="s">
        <v>3485</v>
      </c>
      <c r="C122" s="32" t="s">
        <v>3486</v>
      </c>
      <c r="D122" s="32" t="s">
        <v>3488</v>
      </c>
      <c r="E122" s="32" t="s">
        <v>5073</v>
      </c>
      <c r="F122" s="32" t="e">
        <v>#N/A</v>
      </c>
      <c r="G122" s="32" t="e">
        <v>#N/A</v>
      </c>
      <c r="H122" s="32" t="s">
        <v>3489</v>
      </c>
      <c r="I122" s="32" t="s">
        <v>5073</v>
      </c>
      <c r="J122" s="32" t="s">
        <v>3490</v>
      </c>
      <c r="K122" s="33" t="s">
        <v>3491</v>
      </c>
      <c r="L122" s="32" t="e">
        <v>#N/A</v>
      </c>
      <c r="M122" s="32" t="e">
        <v>#N/A</v>
      </c>
      <c r="N122" s="32" t="s">
        <v>5098</v>
      </c>
      <c r="O122" s="32" t="s">
        <v>4730</v>
      </c>
      <c r="P122" s="32">
        <v>899.0</v>
      </c>
      <c r="Q122" s="34">
        <v>809.0</v>
      </c>
      <c r="R122" s="35">
        <v>809.0</v>
      </c>
      <c r="S122" s="35">
        <v>764.15</v>
      </c>
      <c r="T122" s="36">
        <v>0.0</v>
      </c>
      <c r="U122" s="36">
        <v>1.0</v>
      </c>
      <c r="V122" s="36">
        <v>45.0</v>
      </c>
      <c r="W122" s="36">
        <v>6.0</v>
      </c>
      <c r="X122" s="36">
        <v>6.0</v>
      </c>
      <c r="Y122" s="36">
        <v>58.0</v>
      </c>
    </row>
    <row r="123">
      <c r="A123" s="32" t="s">
        <v>2931</v>
      </c>
      <c r="B123" s="32" t="s">
        <v>2931</v>
      </c>
      <c r="C123" s="32" t="s">
        <v>2932</v>
      </c>
      <c r="D123" s="32" t="s">
        <v>2934</v>
      </c>
      <c r="E123" s="32" t="s">
        <v>5073</v>
      </c>
      <c r="F123" s="32" t="e">
        <v>#N/A</v>
      </c>
      <c r="G123" s="32" t="e">
        <v>#N/A</v>
      </c>
      <c r="H123" s="32" t="s">
        <v>2935</v>
      </c>
      <c r="I123" s="32" t="s">
        <v>5073</v>
      </c>
      <c r="J123" s="32" t="s">
        <v>2936</v>
      </c>
      <c r="K123" s="33" t="s">
        <v>2937</v>
      </c>
      <c r="L123" s="32" t="e">
        <v>#N/A</v>
      </c>
      <c r="M123" s="32" t="e">
        <v>#N/A</v>
      </c>
      <c r="N123" s="32" t="s">
        <v>5116</v>
      </c>
      <c r="O123" s="32" t="s">
        <v>4730</v>
      </c>
      <c r="P123" s="32">
        <v>3599.0</v>
      </c>
      <c r="Q123" s="34">
        <v>3099.0</v>
      </c>
      <c r="R123" s="40">
        <v>3099.0</v>
      </c>
      <c r="S123" s="35">
        <v>3059.15</v>
      </c>
      <c r="T123" s="36">
        <v>7.0</v>
      </c>
      <c r="U123" s="36">
        <v>5.0</v>
      </c>
      <c r="V123" s="36">
        <v>37.0</v>
      </c>
      <c r="W123" s="36">
        <v>8.0</v>
      </c>
      <c r="X123" s="36">
        <v>0.0</v>
      </c>
      <c r="Y123" s="36">
        <v>57.0</v>
      </c>
    </row>
    <row r="124">
      <c r="A124" s="32" t="s">
        <v>2678</v>
      </c>
      <c r="B124" s="32" t="s">
        <v>2678</v>
      </c>
      <c r="C124" s="32">
        <v>0.0</v>
      </c>
      <c r="D124" s="32" t="e">
        <v>#N/A</v>
      </c>
      <c r="E124" s="39"/>
      <c r="F124" s="32" t="e">
        <v>#N/A</v>
      </c>
      <c r="G124" s="39"/>
      <c r="H124" s="32" t="e">
        <v>#N/A</v>
      </c>
      <c r="I124" s="39"/>
      <c r="J124" s="32">
        <v>0.0</v>
      </c>
      <c r="K124" s="33" t="e">
        <v>#N/A</v>
      </c>
      <c r="L124" s="32" t="e">
        <v>#N/A</v>
      </c>
      <c r="M124" s="32" t="e">
        <v>#N/A</v>
      </c>
      <c r="N124" s="32" t="e">
        <v>#N/A</v>
      </c>
      <c r="O124" s="32" t="e">
        <v>#N/A</v>
      </c>
      <c r="P124" s="32" t="e">
        <v>#REF!</v>
      </c>
      <c r="Q124" s="32" t="e">
        <v>#N/A</v>
      </c>
      <c r="R124" s="42" t="e">
        <v>#N/A</v>
      </c>
      <c r="S124" s="42" t="e">
        <v>#N/A</v>
      </c>
      <c r="T124" s="36">
        <v>37.0</v>
      </c>
      <c r="U124" s="36">
        <v>8.0</v>
      </c>
      <c r="V124" s="36">
        <v>7.0</v>
      </c>
      <c r="W124" s="36">
        <v>0.0</v>
      </c>
      <c r="X124" s="36">
        <v>5.0</v>
      </c>
      <c r="Y124" s="36">
        <v>57.0</v>
      </c>
    </row>
    <row r="125">
      <c r="A125" s="32" t="s">
        <v>2945</v>
      </c>
      <c r="B125" s="32" t="s">
        <v>2945</v>
      </c>
      <c r="C125" s="32" t="s">
        <v>2946</v>
      </c>
      <c r="D125" s="32" t="s">
        <v>2947</v>
      </c>
      <c r="E125" s="32" t="s">
        <v>5073</v>
      </c>
      <c r="F125" s="32" t="e">
        <v>#N/A</v>
      </c>
      <c r="G125" s="39"/>
      <c r="H125" s="32" t="s">
        <v>2948</v>
      </c>
      <c r="I125" s="32" t="s">
        <v>5073</v>
      </c>
      <c r="J125" s="32" t="s">
        <v>2949</v>
      </c>
      <c r="K125" s="33" t="s">
        <v>2950</v>
      </c>
      <c r="L125" s="32" t="e">
        <v>#N/A</v>
      </c>
      <c r="M125" s="32" t="e">
        <v>#N/A</v>
      </c>
      <c r="N125" s="32" t="s">
        <v>5088</v>
      </c>
      <c r="O125" s="32" t="s">
        <v>4730</v>
      </c>
      <c r="P125" s="32">
        <v>2089.0</v>
      </c>
      <c r="Q125" s="34">
        <v>1627.0</v>
      </c>
      <c r="R125" s="40">
        <v>1899.0</v>
      </c>
      <c r="S125" s="35">
        <v>1671.2</v>
      </c>
      <c r="T125" s="36">
        <v>14.0</v>
      </c>
      <c r="U125" s="36">
        <v>13.0</v>
      </c>
      <c r="V125" s="36">
        <v>26.0</v>
      </c>
      <c r="W125" s="36">
        <v>0.0</v>
      </c>
      <c r="X125" s="36">
        <v>2.0</v>
      </c>
      <c r="Y125" s="36">
        <v>55.0</v>
      </c>
    </row>
    <row r="126">
      <c r="A126" s="32" t="s">
        <v>3651</v>
      </c>
      <c r="B126" s="32" t="s">
        <v>3651</v>
      </c>
      <c r="C126" s="32" t="s">
        <v>3652</v>
      </c>
      <c r="D126" s="32" t="s">
        <v>3654</v>
      </c>
      <c r="E126" s="32" t="s">
        <v>5073</v>
      </c>
      <c r="F126" s="32" t="e">
        <v>#N/A</v>
      </c>
      <c r="G126" s="32" t="e">
        <v>#N/A</v>
      </c>
      <c r="H126" s="32" t="s">
        <v>3655</v>
      </c>
      <c r="I126" s="32" t="s">
        <v>5073</v>
      </c>
      <c r="J126" s="32" t="s">
        <v>3656</v>
      </c>
      <c r="K126" s="33" t="s">
        <v>3657</v>
      </c>
      <c r="L126" s="32" t="e">
        <v>#N/A</v>
      </c>
      <c r="M126" s="32" t="e">
        <v>#N/A</v>
      </c>
      <c r="N126" s="32" t="s">
        <v>5098</v>
      </c>
      <c r="O126" s="32" t="s">
        <v>4730</v>
      </c>
      <c r="P126" s="32">
        <v>999.0</v>
      </c>
      <c r="Q126" s="34">
        <v>899.0</v>
      </c>
      <c r="R126" s="35">
        <v>899.0</v>
      </c>
      <c r="S126" s="35">
        <v>849.15</v>
      </c>
      <c r="T126" s="36">
        <v>0.0</v>
      </c>
      <c r="U126" s="36">
        <v>0.0</v>
      </c>
      <c r="V126" s="36">
        <v>36.0</v>
      </c>
      <c r="W126" s="36">
        <v>6.0</v>
      </c>
      <c r="X126" s="36">
        <v>13.0</v>
      </c>
      <c r="Y126" s="36">
        <v>55.0</v>
      </c>
    </row>
    <row r="127">
      <c r="A127" s="32" t="s">
        <v>3131</v>
      </c>
      <c r="B127" s="32" t="s">
        <v>3131</v>
      </c>
      <c r="C127" s="32" t="s">
        <v>3132</v>
      </c>
      <c r="D127" s="32" t="s">
        <v>3133</v>
      </c>
      <c r="E127" s="32" t="s">
        <v>5073</v>
      </c>
      <c r="F127" s="32" t="e">
        <v>#N/A</v>
      </c>
      <c r="G127" s="32" t="e">
        <v>#N/A</v>
      </c>
      <c r="H127" s="32" t="s">
        <v>3134</v>
      </c>
      <c r="I127" s="32" t="s">
        <v>5073</v>
      </c>
      <c r="J127" s="32" t="s">
        <v>3135</v>
      </c>
      <c r="K127" s="33" t="s">
        <v>3136</v>
      </c>
      <c r="L127" s="32">
        <v>3.17453E7</v>
      </c>
      <c r="M127" s="32" t="e">
        <v>#N/A</v>
      </c>
      <c r="N127" s="32" t="s">
        <v>5087</v>
      </c>
      <c r="O127" s="32" t="s">
        <v>4730</v>
      </c>
      <c r="P127" s="32">
        <v>2489.0</v>
      </c>
      <c r="Q127" s="34">
        <v>2098.0</v>
      </c>
      <c r="R127" s="40">
        <v>2099.0</v>
      </c>
      <c r="S127" s="35">
        <v>1999.0</v>
      </c>
      <c r="T127" s="36">
        <v>2.0</v>
      </c>
      <c r="U127" s="36">
        <v>18.0</v>
      </c>
      <c r="V127" s="36">
        <v>34.0</v>
      </c>
      <c r="W127" s="36">
        <v>0.0</v>
      </c>
      <c r="X127" s="36">
        <v>0.0</v>
      </c>
      <c r="Y127" s="36">
        <v>54.0</v>
      </c>
    </row>
    <row r="128">
      <c r="A128" s="32" t="s">
        <v>2157</v>
      </c>
      <c r="B128" s="32" t="s">
        <v>2157</v>
      </c>
      <c r="C128" s="32" t="s">
        <v>2158</v>
      </c>
      <c r="D128" s="32" t="s">
        <v>2159</v>
      </c>
      <c r="E128" s="32" t="s">
        <v>5073</v>
      </c>
      <c r="F128" s="32" t="e">
        <v>#N/A</v>
      </c>
      <c r="G128" s="32" t="e">
        <v>#N/A</v>
      </c>
      <c r="H128" s="32" t="s">
        <v>5119</v>
      </c>
      <c r="I128" s="32" t="s">
        <v>5102</v>
      </c>
      <c r="J128" s="32" t="s">
        <v>2160</v>
      </c>
      <c r="K128" s="33" t="s">
        <v>2161</v>
      </c>
      <c r="L128" s="32" t="e">
        <v>#N/A</v>
      </c>
      <c r="M128" s="32" t="e">
        <v>#N/A</v>
      </c>
      <c r="N128" s="32" t="s">
        <v>5103</v>
      </c>
      <c r="O128" s="32" t="s">
        <v>4730</v>
      </c>
      <c r="P128" s="32">
        <v>6499.0</v>
      </c>
      <c r="Q128" s="34">
        <v>5199.0</v>
      </c>
      <c r="R128" s="40">
        <v>5899.0</v>
      </c>
      <c r="S128" s="35">
        <v>4874.25</v>
      </c>
      <c r="T128" s="36">
        <v>7.0</v>
      </c>
      <c r="U128" s="36">
        <v>0.0</v>
      </c>
      <c r="V128" s="36">
        <v>35.0</v>
      </c>
      <c r="W128" s="36">
        <v>0.0</v>
      </c>
      <c r="X128" s="36">
        <v>12.0</v>
      </c>
      <c r="Y128" s="36">
        <v>54.0</v>
      </c>
    </row>
    <row r="129">
      <c r="A129" s="32" t="s">
        <v>3271</v>
      </c>
      <c r="B129" s="32" t="s">
        <v>3271</v>
      </c>
      <c r="C129" s="32" t="s">
        <v>3272</v>
      </c>
      <c r="D129" s="32" t="s">
        <v>3273</v>
      </c>
      <c r="E129" s="32" t="s">
        <v>5073</v>
      </c>
      <c r="F129" s="32" t="e">
        <v>#N/A</v>
      </c>
      <c r="G129" s="39"/>
      <c r="H129" s="32" t="s">
        <v>3274</v>
      </c>
      <c r="I129" s="32" t="s">
        <v>5073</v>
      </c>
      <c r="J129" s="32" t="s">
        <v>3275</v>
      </c>
      <c r="K129" s="33" t="s">
        <v>3276</v>
      </c>
      <c r="L129" s="32">
        <v>3.1818398E7</v>
      </c>
      <c r="M129" s="32" t="e">
        <v>#N/A</v>
      </c>
      <c r="N129" s="32" t="s">
        <v>5086</v>
      </c>
      <c r="O129" s="32" t="s">
        <v>4730</v>
      </c>
      <c r="P129" s="32">
        <v>1989.0</v>
      </c>
      <c r="Q129" s="34">
        <v>1799.0</v>
      </c>
      <c r="R129" s="40">
        <v>1799.0</v>
      </c>
      <c r="S129" s="35">
        <v>1690.65</v>
      </c>
      <c r="T129" s="36">
        <v>0.0</v>
      </c>
      <c r="U129" s="36">
        <v>0.0</v>
      </c>
      <c r="V129" s="36">
        <v>54.0</v>
      </c>
      <c r="W129" s="36">
        <v>0.0</v>
      </c>
      <c r="X129" s="36">
        <v>0.0</v>
      </c>
      <c r="Y129" s="36">
        <v>54.0</v>
      </c>
    </row>
    <row r="130">
      <c r="A130" s="32" t="s">
        <v>2773</v>
      </c>
      <c r="B130" s="32" t="s">
        <v>2773</v>
      </c>
      <c r="C130" s="32" t="s">
        <v>2774</v>
      </c>
      <c r="D130" s="32" t="s">
        <v>2775</v>
      </c>
      <c r="E130" s="32" t="s">
        <v>5073</v>
      </c>
      <c r="F130" s="32" t="e">
        <v>#N/A</v>
      </c>
      <c r="G130" s="39"/>
      <c r="H130" s="32" t="s">
        <v>2773</v>
      </c>
      <c r="I130" s="32" t="s">
        <v>5073</v>
      </c>
      <c r="J130" s="32" t="s">
        <v>2773</v>
      </c>
      <c r="K130" s="33" t="s">
        <v>2776</v>
      </c>
      <c r="L130" s="32">
        <v>3.1818416E7</v>
      </c>
      <c r="M130" s="32" t="e">
        <v>#N/A</v>
      </c>
      <c r="N130" s="32" t="s">
        <v>5107</v>
      </c>
      <c r="O130" s="32" t="s">
        <v>4730</v>
      </c>
      <c r="P130" s="32">
        <v>2489.0</v>
      </c>
      <c r="Q130" s="34">
        <v>2037.0</v>
      </c>
      <c r="R130" s="40">
        <v>2037.0</v>
      </c>
      <c r="S130" s="35">
        <v>1866.75</v>
      </c>
      <c r="T130" s="36">
        <v>0.0</v>
      </c>
      <c r="U130" s="36">
        <v>12.0</v>
      </c>
      <c r="V130" s="36">
        <v>7.0</v>
      </c>
      <c r="W130" s="36">
        <v>14.0</v>
      </c>
      <c r="X130" s="36">
        <v>20.0</v>
      </c>
      <c r="Y130" s="36">
        <v>53.0</v>
      </c>
    </row>
    <row r="131">
      <c r="A131" s="32" t="s">
        <v>2739</v>
      </c>
      <c r="B131" s="32" t="s">
        <v>2739</v>
      </c>
      <c r="C131" s="32" t="s">
        <v>2740</v>
      </c>
      <c r="D131" s="32" t="s">
        <v>2741</v>
      </c>
      <c r="E131" s="32" t="s">
        <v>5073</v>
      </c>
      <c r="F131" s="32" t="e">
        <v>#N/A</v>
      </c>
      <c r="G131" s="39"/>
      <c r="H131" s="32" t="s">
        <v>2742</v>
      </c>
      <c r="I131" s="32" t="s">
        <v>5073</v>
      </c>
      <c r="J131" s="32" t="s">
        <v>2743</v>
      </c>
      <c r="K131" s="33" t="s">
        <v>2744</v>
      </c>
      <c r="L131" s="32">
        <v>3.1818469E7</v>
      </c>
      <c r="M131" s="32" t="e">
        <v>#N/A</v>
      </c>
      <c r="N131" s="32" t="s">
        <v>5107</v>
      </c>
      <c r="O131" s="32" t="s">
        <v>4730</v>
      </c>
      <c r="P131" s="32">
        <v>1989.0</v>
      </c>
      <c r="Q131" s="34">
        <v>1628.0</v>
      </c>
      <c r="R131" s="40">
        <v>1628.0</v>
      </c>
      <c r="S131" s="35">
        <v>1491.75</v>
      </c>
      <c r="T131" s="36">
        <v>15.0</v>
      </c>
      <c r="U131" s="36">
        <v>12.0</v>
      </c>
      <c r="V131" s="36">
        <v>16.0</v>
      </c>
      <c r="W131" s="36">
        <v>10.0</v>
      </c>
      <c r="X131" s="36">
        <v>0.0</v>
      </c>
      <c r="Y131" s="36">
        <v>53.0</v>
      </c>
    </row>
    <row r="132">
      <c r="A132" s="32" t="s">
        <v>4964</v>
      </c>
      <c r="B132" s="32" t="s">
        <v>4964</v>
      </c>
      <c r="C132" s="32" t="s">
        <v>4965</v>
      </c>
      <c r="D132" s="32" t="s">
        <v>4966</v>
      </c>
      <c r="E132" s="32" t="s">
        <v>5102</v>
      </c>
      <c r="F132" s="38"/>
      <c r="G132" s="38"/>
      <c r="H132" s="38"/>
      <c r="I132" s="38"/>
      <c r="J132" s="32" t="s">
        <v>4967</v>
      </c>
      <c r="K132" s="38"/>
      <c r="L132" s="38"/>
      <c r="M132" s="38"/>
      <c r="N132" s="32" t="s">
        <v>5077</v>
      </c>
      <c r="O132" s="32" t="s">
        <v>4730</v>
      </c>
      <c r="P132" s="32">
        <v>1499.0</v>
      </c>
      <c r="Q132" s="44">
        <v>1424.0</v>
      </c>
      <c r="R132" s="40">
        <v>1424.0</v>
      </c>
      <c r="S132" s="35">
        <v>1349.1</v>
      </c>
      <c r="T132" s="36">
        <v>12.0</v>
      </c>
      <c r="U132" s="36">
        <v>0.0</v>
      </c>
      <c r="V132" s="36">
        <v>40.0</v>
      </c>
      <c r="W132" s="36">
        <v>0.0</v>
      </c>
      <c r="X132" s="36">
        <v>0.0</v>
      </c>
      <c r="Y132" s="36">
        <v>52.0</v>
      </c>
    </row>
    <row r="133">
      <c r="A133" s="32" t="s">
        <v>2638</v>
      </c>
      <c r="B133" s="32" t="s">
        <v>2638</v>
      </c>
      <c r="C133" s="32" t="s">
        <v>2639</v>
      </c>
      <c r="D133" s="32" t="s">
        <v>2640</v>
      </c>
      <c r="E133" s="32" t="s">
        <v>5073</v>
      </c>
      <c r="F133" s="32" t="e">
        <v>#N/A</v>
      </c>
      <c r="G133" s="39"/>
      <c r="H133" s="32" t="s">
        <v>2641</v>
      </c>
      <c r="I133" s="32" t="s">
        <v>5073</v>
      </c>
      <c r="J133" s="32" t="s">
        <v>2642</v>
      </c>
      <c r="K133" s="33" t="s">
        <v>2643</v>
      </c>
      <c r="L133" s="32">
        <v>3.1818435E7</v>
      </c>
      <c r="M133" s="32" t="e">
        <v>#N/A</v>
      </c>
      <c r="N133" s="32" t="s">
        <v>5107</v>
      </c>
      <c r="O133" s="32" t="s">
        <v>4730</v>
      </c>
      <c r="P133" s="32">
        <v>1389.0</v>
      </c>
      <c r="Q133" s="34">
        <v>1138.0</v>
      </c>
      <c r="R133" s="40">
        <v>1138.0</v>
      </c>
      <c r="S133" s="35">
        <v>1041.75</v>
      </c>
      <c r="T133" s="36">
        <v>20.0</v>
      </c>
      <c r="U133" s="36">
        <v>16.0</v>
      </c>
      <c r="V133" s="36">
        <v>16.0</v>
      </c>
      <c r="W133" s="36">
        <v>0.0</v>
      </c>
      <c r="X133" s="36">
        <v>0.0</v>
      </c>
      <c r="Y133" s="36">
        <v>52.0</v>
      </c>
    </row>
    <row r="134">
      <c r="A134" s="32" t="s">
        <v>3149</v>
      </c>
      <c r="B134" s="32" t="s">
        <v>3149</v>
      </c>
      <c r="C134" s="32" t="s">
        <v>3150</v>
      </c>
      <c r="D134" s="32" t="s">
        <v>3151</v>
      </c>
      <c r="E134" s="32" t="s">
        <v>5073</v>
      </c>
      <c r="F134" s="32" t="e">
        <v>#N/A</v>
      </c>
      <c r="G134" s="39"/>
      <c r="H134" s="32">
        <v>0.0</v>
      </c>
      <c r="I134" s="39"/>
      <c r="J134" s="32" t="s">
        <v>3152</v>
      </c>
      <c r="K134" s="33" t="s">
        <v>3153</v>
      </c>
      <c r="L134" s="32" t="e">
        <v>#N/A</v>
      </c>
      <c r="M134" s="32" t="e">
        <v>#N/A</v>
      </c>
      <c r="N134" s="32" t="s">
        <v>5087</v>
      </c>
      <c r="O134" s="32" t="s">
        <v>4730</v>
      </c>
      <c r="P134" s="32">
        <v>2689.0</v>
      </c>
      <c r="Q134" s="34">
        <v>2268.0</v>
      </c>
      <c r="R134" s="40">
        <v>2299.0</v>
      </c>
      <c r="S134" s="35">
        <v>2285.65</v>
      </c>
      <c r="T134" s="36">
        <v>16.0</v>
      </c>
      <c r="U134" s="36">
        <v>1.0</v>
      </c>
      <c r="V134" s="36">
        <v>35.0</v>
      </c>
      <c r="W134" s="36">
        <v>0.0</v>
      </c>
      <c r="X134" s="36">
        <v>0.0</v>
      </c>
      <c r="Y134" s="36">
        <v>52.0</v>
      </c>
    </row>
    <row r="135">
      <c r="A135" s="32" t="s">
        <v>1273</v>
      </c>
      <c r="B135" s="32" t="s">
        <v>1273</v>
      </c>
      <c r="C135" s="32" t="s">
        <v>1274</v>
      </c>
      <c r="D135" s="32" t="s">
        <v>1275</v>
      </c>
      <c r="E135" s="32" t="s">
        <v>5073</v>
      </c>
      <c r="F135" s="32" t="e">
        <v>#N/A</v>
      </c>
      <c r="G135" s="39"/>
      <c r="H135" s="32" t="s">
        <v>1276</v>
      </c>
      <c r="I135" s="32" t="s">
        <v>5073</v>
      </c>
      <c r="J135" s="32" t="s">
        <v>1277</v>
      </c>
      <c r="K135" s="33" t="s">
        <v>1278</v>
      </c>
      <c r="L135" s="32">
        <v>3.1818424E7</v>
      </c>
      <c r="M135" s="32" t="e">
        <v>#N/A</v>
      </c>
      <c r="N135" s="32" t="s">
        <v>5089</v>
      </c>
      <c r="O135" s="32" t="s">
        <v>4730</v>
      </c>
      <c r="P135" s="32">
        <v>2449.0</v>
      </c>
      <c r="Q135" s="34">
        <v>2004.0</v>
      </c>
      <c r="R135" s="40">
        <v>2004.0</v>
      </c>
      <c r="S135" s="35">
        <v>1959.2</v>
      </c>
      <c r="T135" s="36">
        <v>27.0</v>
      </c>
      <c r="U135" s="36">
        <v>17.0</v>
      </c>
      <c r="V135" s="36">
        <v>6.0</v>
      </c>
      <c r="W135" s="36">
        <v>2.0</v>
      </c>
      <c r="X135" s="36">
        <v>0.0</v>
      </c>
      <c r="Y135" s="36">
        <v>52.0</v>
      </c>
    </row>
    <row r="136">
      <c r="A136" s="32" t="s">
        <v>1575</v>
      </c>
      <c r="B136" s="32" t="s">
        <v>1575</v>
      </c>
      <c r="C136" s="32" t="s">
        <v>1576</v>
      </c>
      <c r="D136" s="32" t="s">
        <v>5120</v>
      </c>
      <c r="E136" s="32" t="s">
        <v>5073</v>
      </c>
      <c r="F136" s="32" t="e">
        <v>#N/A</v>
      </c>
      <c r="G136" s="32" t="e">
        <v>#N/A</v>
      </c>
      <c r="H136" s="32" t="s">
        <v>1575</v>
      </c>
      <c r="I136" s="32" t="s">
        <v>5073</v>
      </c>
      <c r="J136" s="32" t="s">
        <v>1575</v>
      </c>
      <c r="K136" s="33" t="s">
        <v>1578</v>
      </c>
      <c r="L136" s="32">
        <v>3.278395E7</v>
      </c>
      <c r="M136" s="32" t="s">
        <v>1579</v>
      </c>
      <c r="N136" s="32" t="s">
        <v>5112</v>
      </c>
      <c r="O136" s="32" t="s">
        <v>52</v>
      </c>
      <c r="P136" s="32">
        <v>22999.0</v>
      </c>
      <c r="Q136" s="34">
        <v>20699.0</v>
      </c>
      <c r="R136" s="40">
        <v>21799.0</v>
      </c>
      <c r="S136" s="35">
        <v>17709.23</v>
      </c>
      <c r="T136" s="36">
        <v>23.0</v>
      </c>
      <c r="U136" s="36">
        <v>22.0</v>
      </c>
      <c r="V136" s="36">
        <v>7.0</v>
      </c>
      <c r="W136" s="36">
        <v>0.0</v>
      </c>
      <c r="X136" s="36">
        <v>0.0</v>
      </c>
      <c r="Y136" s="36">
        <v>52.0</v>
      </c>
    </row>
    <row r="137">
      <c r="A137" s="32" t="s">
        <v>4972</v>
      </c>
      <c r="B137" s="32" t="s">
        <v>4972</v>
      </c>
      <c r="C137" s="32" t="s">
        <v>4973</v>
      </c>
      <c r="D137" s="32" t="s">
        <v>4974</v>
      </c>
      <c r="E137" s="32" t="s">
        <v>5102</v>
      </c>
      <c r="F137" s="38"/>
      <c r="G137" s="38"/>
      <c r="H137" s="38"/>
      <c r="I137" s="38"/>
      <c r="J137" s="32" t="s">
        <v>4975</v>
      </c>
      <c r="K137" s="38"/>
      <c r="L137" s="38"/>
      <c r="M137" s="38"/>
      <c r="N137" s="32" t="s">
        <v>5077</v>
      </c>
      <c r="O137" s="32" t="s">
        <v>4730</v>
      </c>
      <c r="P137" s="32">
        <v>1499.0</v>
      </c>
      <c r="Q137" s="44">
        <v>1424.0</v>
      </c>
      <c r="R137" s="40">
        <v>1424.0</v>
      </c>
      <c r="S137" s="35">
        <v>1349.1</v>
      </c>
      <c r="T137" s="36">
        <v>0.0</v>
      </c>
      <c r="U137" s="36">
        <v>0.0</v>
      </c>
      <c r="V137" s="36">
        <v>51.0</v>
      </c>
      <c r="W137" s="36">
        <v>0.0</v>
      </c>
      <c r="X137" s="36">
        <v>0.0</v>
      </c>
      <c r="Y137" s="36">
        <v>51.0</v>
      </c>
    </row>
    <row r="138">
      <c r="A138" s="32" t="s">
        <v>3193</v>
      </c>
      <c r="B138" s="32" t="s">
        <v>3193</v>
      </c>
      <c r="C138" s="32" t="s">
        <v>3194</v>
      </c>
      <c r="D138" s="32" t="s">
        <v>3195</v>
      </c>
      <c r="E138" s="32" t="s">
        <v>5073</v>
      </c>
      <c r="F138" s="32" t="e">
        <v>#N/A</v>
      </c>
      <c r="G138" s="39"/>
      <c r="H138" s="32" t="s">
        <v>3193</v>
      </c>
      <c r="I138" s="32" t="s">
        <v>5073</v>
      </c>
      <c r="J138" s="32" t="s">
        <v>3196</v>
      </c>
      <c r="K138" s="33" t="s">
        <v>3197</v>
      </c>
      <c r="L138" s="32" t="e">
        <v>#N/A</v>
      </c>
      <c r="M138" s="32" t="s">
        <v>3198</v>
      </c>
      <c r="N138" s="32" t="s">
        <v>5121</v>
      </c>
      <c r="O138" s="32" t="s">
        <v>4730</v>
      </c>
      <c r="P138" s="32">
        <v>2889.0</v>
      </c>
      <c r="Q138" s="34">
        <v>2499.0</v>
      </c>
      <c r="R138" s="40">
        <v>2499.0</v>
      </c>
      <c r="S138" s="35">
        <v>2399.0</v>
      </c>
      <c r="T138" s="36">
        <v>22.0</v>
      </c>
      <c r="U138" s="36">
        <v>0.0</v>
      </c>
      <c r="V138" s="36">
        <v>29.0</v>
      </c>
      <c r="W138" s="36">
        <v>0.0</v>
      </c>
      <c r="X138" s="36">
        <v>0.0</v>
      </c>
      <c r="Y138" s="36">
        <v>51.0</v>
      </c>
    </row>
    <row r="139">
      <c r="A139" s="32" t="s">
        <v>3101</v>
      </c>
      <c r="B139" s="32" t="s">
        <v>3101</v>
      </c>
      <c r="C139" s="32" t="s">
        <v>3102</v>
      </c>
      <c r="D139" s="32" t="s">
        <v>3103</v>
      </c>
      <c r="E139" s="32" t="s">
        <v>5073</v>
      </c>
      <c r="F139" s="32" t="e">
        <v>#N/A</v>
      </c>
      <c r="G139" s="39"/>
      <c r="H139" s="32">
        <v>0.0</v>
      </c>
      <c r="I139" s="39"/>
      <c r="J139" s="32" t="s">
        <v>3104</v>
      </c>
      <c r="K139" s="33" t="s">
        <v>3105</v>
      </c>
      <c r="L139" s="32" t="e">
        <v>#N/A</v>
      </c>
      <c r="M139" s="32" t="e">
        <v>#N/A</v>
      </c>
      <c r="N139" s="32" t="s">
        <v>5087</v>
      </c>
      <c r="O139" s="32" t="s">
        <v>4730</v>
      </c>
      <c r="P139" s="32">
        <v>1989.0</v>
      </c>
      <c r="Q139" s="34">
        <v>1969.11</v>
      </c>
      <c r="R139" s="40">
        <v>1989.0</v>
      </c>
      <c r="S139" s="35">
        <v>1690.65</v>
      </c>
      <c r="T139" s="36">
        <v>0.0</v>
      </c>
      <c r="U139" s="36">
        <v>0.0</v>
      </c>
      <c r="V139" s="36">
        <v>51.0</v>
      </c>
      <c r="W139" s="36">
        <v>0.0</v>
      </c>
      <c r="X139" s="36">
        <v>0.0</v>
      </c>
      <c r="Y139" s="36">
        <v>51.0</v>
      </c>
    </row>
    <row r="140">
      <c r="A140" s="32" t="s">
        <v>1789</v>
      </c>
      <c r="B140" s="32" t="s">
        <v>1789</v>
      </c>
      <c r="C140" s="32" t="s">
        <v>1790</v>
      </c>
      <c r="D140" s="32" t="s">
        <v>1791</v>
      </c>
      <c r="E140" s="32" t="s">
        <v>5073</v>
      </c>
      <c r="F140" s="32" t="e">
        <v>#N/A</v>
      </c>
      <c r="G140" s="39"/>
      <c r="H140" s="32" t="s">
        <v>1792</v>
      </c>
      <c r="I140" s="32" t="s">
        <v>5122</v>
      </c>
      <c r="J140" s="32" t="s">
        <v>1793</v>
      </c>
      <c r="K140" s="33" t="s">
        <v>1794</v>
      </c>
      <c r="L140" s="32">
        <v>3.2784019E7</v>
      </c>
      <c r="M140" s="32" t="s">
        <v>1795</v>
      </c>
      <c r="N140" s="32" t="s">
        <v>5109</v>
      </c>
      <c r="O140" s="32" t="s">
        <v>52</v>
      </c>
      <c r="P140" s="32">
        <v>31999.0</v>
      </c>
      <c r="Q140" s="34">
        <v>28799.0</v>
      </c>
      <c r="R140" s="40">
        <v>30399.0</v>
      </c>
      <c r="S140" s="35">
        <v>26879.16</v>
      </c>
      <c r="T140" s="36">
        <v>12.0</v>
      </c>
      <c r="U140" s="36">
        <v>9.0</v>
      </c>
      <c r="V140" s="36">
        <v>15.0</v>
      </c>
      <c r="W140" s="36">
        <v>13.0</v>
      </c>
      <c r="X140" s="36">
        <v>2.0</v>
      </c>
      <c r="Y140" s="36">
        <v>51.0</v>
      </c>
    </row>
    <row r="141">
      <c r="A141" s="32" t="s">
        <v>3436</v>
      </c>
      <c r="B141" s="32" t="s">
        <v>3436</v>
      </c>
      <c r="C141" s="32" t="s">
        <v>3437</v>
      </c>
      <c r="D141" s="32" t="s">
        <v>3439</v>
      </c>
      <c r="E141" s="32" t="s">
        <v>5073</v>
      </c>
      <c r="F141" s="32" t="s">
        <v>3438</v>
      </c>
      <c r="G141" s="32" t="s">
        <v>5100</v>
      </c>
      <c r="H141" s="32" t="s">
        <v>3436</v>
      </c>
      <c r="I141" s="32" t="s">
        <v>5073</v>
      </c>
      <c r="J141" s="32" t="s">
        <v>3440</v>
      </c>
      <c r="K141" s="33" t="s">
        <v>3441</v>
      </c>
      <c r="L141" s="32" t="e">
        <v>#N/A</v>
      </c>
      <c r="M141" s="32" t="e">
        <v>#N/A</v>
      </c>
      <c r="N141" s="32" t="s">
        <v>5078</v>
      </c>
      <c r="O141" s="32" t="s">
        <v>4730</v>
      </c>
      <c r="P141" s="32">
        <v>649.0</v>
      </c>
      <c r="Q141" s="34">
        <v>642.51</v>
      </c>
      <c r="R141" s="35">
        <v>649.0</v>
      </c>
      <c r="S141" s="35">
        <v>616.55</v>
      </c>
      <c r="T141" s="36">
        <v>2.0</v>
      </c>
      <c r="U141" s="36">
        <v>0.0</v>
      </c>
      <c r="V141" s="36">
        <v>41.0</v>
      </c>
      <c r="W141" s="36">
        <v>1.0</v>
      </c>
      <c r="X141" s="36">
        <v>6.0</v>
      </c>
      <c r="Y141" s="36">
        <v>50.0</v>
      </c>
    </row>
    <row r="142">
      <c r="A142" s="32" t="s">
        <v>3199</v>
      </c>
      <c r="B142" s="32" t="s">
        <v>3199</v>
      </c>
      <c r="C142" s="32" t="s">
        <v>3200</v>
      </c>
      <c r="D142" s="32" t="s">
        <v>3201</v>
      </c>
      <c r="E142" s="32" t="s">
        <v>5073</v>
      </c>
      <c r="F142" s="32" t="e">
        <v>#N/A</v>
      </c>
      <c r="G142" s="39"/>
      <c r="H142" s="32" t="s">
        <v>3199</v>
      </c>
      <c r="I142" s="32" t="s">
        <v>5073</v>
      </c>
      <c r="J142" s="32" t="s">
        <v>3202</v>
      </c>
      <c r="K142" s="33" t="s">
        <v>3203</v>
      </c>
      <c r="L142" s="32" t="e">
        <v>#N/A</v>
      </c>
      <c r="M142" s="32" t="s">
        <v>3204</v>
      </c>
      <c r="N142" s="32" t="s">
        <v>1195</v>
      </c>
      <c r="O142" s="32" t="s">
        <v>5114</v>
      </c>
      <c r="P142" s="32">
        <v>2889.0</v>
      </c>
      <c r="Q142" s="34">
        <v>2076.0</v>
      </c>
      <c r="R142" s="40">
        <v>2099.0</v>
      </c>
      <c r="S142" s="35">
        <v>2022.3</v>
      </c>
      <c r="T142" s="36">
        <v>19.0</v>
      </c>
      <c r="U142" s="36">
        <v>0.0</v>
      </c>
      <c r="V142" s="36">
        <v>31.0</v>
      </c>
      <c r="W142" s="36">
        <v>0.0</v>
      </c>
      <c r="X142" s="36">
        <v>0.0</v>
      </c>
      <c r="Y142" s="36">
        <v>50.0</v>
      </c>
    </row>
    <row r="143">
      <c r="A143" s="32" t="s">
        <v>2215</v>
      </c>
      <c r="B143" s="32" t="s">
        <v>2215</v>
      </c>
      <c r="C143" s="32" t="s">
        <v>2216</v>
      </c>
      <c r="D143" s="32" t="s">
        <v>2217</v>
      </c>
      <c r="E143" s="32" t="s">
        <v>5073</v>
      </c>
      <c r="F143" s="32" t="e">
        <v>#N/A</v>
      </c>
      <c r="G143" s="39"/>
      <c r="H143" s="32">
        <v>0.0</v>
      </c>
      <c r="I143" s="39"/>
      <c r="J143" s="32" t="s">
        <v>2218</v>
      </c>
      <c r="K143" s="33" t="s">
        <v>2219</v>
      </c>
      <c r="L143" s="32" t="e">
        <v>#N/A</v>
      </c>
      <c r="M143" s="32" t="e">
        <v>#N/A</v>
      </c>
      <c r="N143" s="32" t="s">
        <v>5077</v>
      </c>
      <c r="O143" s="32" t="s">
        <v>4730</v>
      </c>
      <c r="P143" s="32">
        <v>789.0</v>
      </c>
      <c r="Q143" s="34">
        <v>750.0</v>
      </c>
      <c r="R143" s="35">
        <v>750.0</v>
      </c>
      <c r="S143" s="35">
        <v>710.1</v>
      </c>
      <c r="T143" s="36">
        <v>11.0</v>
      </c>
      <c r="U143" s="36">
        <v>5.0</v>
      </c>
      <c r="V143" s="36">
        <v>24.0</v>
      </c>
      <c r="W143" s="36">
        <v>0.0</v>
      </c>
      <c r="X143" s="36">
        <v>10.0</v>
      </c>
      <c r="Y143" s="36">
        <v>50.0</v>
      </c>
    </row>
    <row r="144">
      <c r="A144" s="32" t="s">
        <v>2220</v>
      </c>
      <c r="B144" s="32" t="s">
        <v>2220</v>
      </c>
      <c r="C144" s="32" t="s">
        <v>2221</v>
      </c>
      <c r="D144" s="32" t="s">
        <v>2222</v>
      </c>
      <c r="E144" s="32" t="s">
        <v>5073</v>
      </c>
      <c r="F144" s="32" t="e">
        <v>#N/A</v>
      </c>
      <c r="G144" s="39"/>
      <c r="H144" s="32">
        <v>0.0</v>
      </c>
      <c r="I144" s="39"/>
      <c r="J144" s="32" t="s">
        <v>2223</v>
      </c>
      <c r="K144" s="33" t="s">
        <v>2224</v>
      </c>
      <c r="L144" s="32" t="e">
        <v>#N/A</v>
      </c>
      <c r="M144" s="32" t="e">
        <v>#N/A</v>
      </c>
      <c r="N144" s="32" t="s">
        <v>5077</v>
      </c>
      <c r="O144" s="32" t="s">
        <v>4730</v>
      </c>
      <c r="P144" s="32">
        <v>789.0</v>
      </c>
      <c r="Q144" s="34">
        <v>750.0</v>
      </c>
      <c r="R144" s="35">
        <v>750.0</v>
      </c>
      <c r="S144" s="35">
        <v>710.1</v>
      </c>
      <c r="T144" s="36">
        <v>8.0</v>
      </c>
      <c r="U144" s="36">
        <v>10.0</v>
      </c>
      <c r="V144" s="36">
        <v>22.0</v>
      </c>
      <c r="W144" s="36">
        <v>0.0</v>
      </c>
      <c r="X144" s="36">
        <v>10.0</v>
      </c>
      <c r="Y144" s="36">
        <v>50.0</v>
      </c>
    </row>
    <row r="145">
      <c r="A145" s="32" t="s">
        <v>2768</v>
      </c>
      <c r="B145" s="32" t="s">
        <v>2768</v>
      </c>
      <c r="C145" s="32" t="s">
        <v>2769</v>
      </c>
      <c r="D145" s="32" t="s">
        <v>2771</v>
      </c>
      <c r="E145" s="32" t="s">
        <v>5073</v>
      </c>
      <c r="F145" s="32" t="e">
        <v>#N/A</v>
      </c>
      <c r="G145" s="32" t="e">
        <v>#N/A</v>
      </c>
      <c r="H145" s="32" t="s">
        <v>2768</v>
      </c>
      <c r="I145" s="32" t="s">
        <v>5073</v>
      </c>
      <c r="J145" s="32" t="s">
        <v>2768</v>
      </c>
      <c r="K145" s="33" t="s">
        <v>2772</v>
      </c>
      <c r="L145" s="32">
        <v>3.1818423E7</v>
      </c>
      <c r="M145" s="32" t="e">
        <v>#N/A</v>
      </c>
      <c r="N145" s="32" t="s">
        <v>5107</v>
      </c>
      <c r="O145" s="32" t="s">
        <v>4730</v>
      </c>
      <c r="P145" s="32">
        <v>2289.0</v>
      </c>
      <c r="Q145" s="34">
        <v>1873.0</v>
      </c>
      <c r="R145" s="40">
        <v>1899.0</v>
      </c>
      <c r="S145" s="35">
        <v>1716.75</v>
      </c>
      <c r="T145" s="36">
        <v>0.0</v>
      </c>
      <c r="U145" s="36">
        <v>0.0</v>
      </c>
      <c r="V145" s="36">
        <v>41.0</v>
      </c>
      <c r="W145" s="36">
        <v>7.0</v>
      </c>
      <c r="X145" s="36">
        <v>2.0</v>
      </c>
      <c r="Y145" s="36">
        <v>50.0</v>
      </c>
    </row>
    <row r="146">
      <c r="A146" s="32" t="s">
        <v>1444</v>
      </c>
      <c r="B146" s="32" t="s">
        <v>1444</v>
      </c>
      <c r="C146" s="32" t="s">
        <v>1445</v>
      </c>
      <c r="D146" s="32" t="s">
        <v>1446</v>
      </c>
      <c r="E146" s="32" t="s">
        <v>5073</v>
      </c>
      <c r="F146" s="32" t="e">
        <v>#N/A</v>
      </c>
      <c r="G146" s="39"/>
      <c r="H146" s="32" t="s">
        <v>1447</v>
      </c>
      <c r="I146" s="32" t="s">
        <v>5073</v>
      </c>
      <c r="J146" s="32" t="s">
        <v>1448</v>
      </c>
      <c r="K146" s="33" t="s">
        <v>1449</v>
      </c>
      <c r="L146" s="32">
        <v>3.1818462E7</v>
      </c>
      <c r="M146" s="32" t="e">
        <v>#N/A</v>
      </c>
      <c r="N146" s="32" t="s">
        <v>5089</v>
      </c>
      <c r="O146" s="32" t="s">
        <v>4730</v>
      </c>
      <c r="P146" s="32">
        <v>2999.0</v>
      </c>
      <c r="Q146" s="34">
        <v>2449.0</v>
      </c>
      <c r="R146" s="40">
        <v>2449.0</v>
      </c>
      <c r="S146" s="35">
        <v>2399.2</v>
      </c>
      <c r="T146" s="36">
        <v>31.0</v>
      </c>
      <c r="U146" s="36">
        <v>1.0</v>
      </c>
      <c r="V146" s="36">
        <v>15.0</v>
      </c>
      <c r="W146" s="36">
        <v>2.0</v>
      </c>
      <c r="X146" s="36">
        <v>0.0</v>
      </c>
      <c r="Y146" s="36">
        <v>49.0</v>
      </c>
    </row>
    <row r="147">
      <c r="A147" s="32" t="s">
        <v>1643</v>
      </c>
      <c r="B147" s="32" t="s">
        <v>1643</v>
      </c>
      <c r="C147" s="32" t="s">
        <v>1644</v>
      </c>
      <c r="D147" s="32" t="s">
        <v>1645</v>
      </c>
      <c r="E147" s="32" t="s">
        <v>5073</v>
      </c>
      <c r="F147" s="32" t="e">
        <v>#N/A</v>
      </c>
      <c r="G147" s="39"/>
      <c r="H147" s="32" t="s">
        <v>1643</v>
      </c>
      <c r="I147" s="32" t="s">
        <v>5073</v>
      </c>
      <c r="J147" s="32" t="s">
        <v>1643</v>
      </c>
      <c r="K147" s="33" t="s">
        <v>1646</v>
      </c>
      <c r="L147" s="32">
        <v>3.1999067E7</v>
      </c>
      <c r="M147" s="32" t="s">
        <v>1647</v>
      </c>
      <c r="N147" s="32" t="s">
        <v>5112</v>
      </c>
      <c r="O147" s="32" t="s">
        <v>52</v>
      </c>
      <c r="P147" s="32">
        <v>25999.0</v>
      </c>
      <c r="Q147" s="34">
        <v>23399.0</v>
      </c>
      <c r="R147" s="40">
        <v>24699.0</v>
      </c>
      <c r="S147" s="35">
        <v>20019.23</v>
      </c>
      <c r="T147" s="36">
        <v>2.0</v>
      </c>
      <c r="U147" s="36">
        <v>0.0</v>
      </c>
      <c r="V147" s="36">
        <v>32.0</v>
      </c>
      <c r="W147" s="36">
        <v>15.0</v>
      </c>
      <c r="X147" s="36">
        <v>0.0</v>
      </c>
      <c r="Y147" s="36">
        <v>49.0</v>
      </c>
    </row>
    <row r="148">
      <c r="A148" s="32" t="s">
        <v>2442</v>
      </c>
      <c r="B148" s="32" t="s">
        <v>2442</v>
      </c>
      <c r="C148" s="32" t="s">
        <v>2443</v>
      </c>
      <c r="D148" s="32" t="s">
        <v>2444</v>
      </c>
      <c r="E148" s="32" t="s">
        <v>5073</v>
      </c>
      <c r="F148" s="32" t="e">
        <v>#N/A</v>
      </c>
      <c r="G148" s="32" t="e">
        <v>#N/A</v>
      </c>
      <c r="H148" s="32" t="s">
        <v>2445</v>
      </c>
      <c r="I148" s="32" t="s">
        <v>5073</v>
      </c>
      <c r="J148" s="32" t="s">
        <v>2446</v>
      </c>
      <c r="K148" s="33" t="s">
        <v>2447</v>
      </c>
      <c r="L148" s="32" t="e">
        <v>#N/A</v>
      </c>
      <c r="M148" s="32" t="e">
        <v>#N/A</v>
      </c>
      <c r="N148" s="32" t="s">
        <v>5123</v>
      </c>
      <c r="O148" s="32" t="s">
        <v>1145</v>
      </c>
      <c r="P148" s="32">
        <v>2589.0</v>
      </c>
      <c r="Q148" s="34">
        <v>2399.0</v>
      </c>
      <c r="R148" s="40">
        <v>2399.0</v>
      </c>
      <c r="S148" s="35">
        <v>2299.0</v>
      </c>
      <c r="T148" s="36">
        <v>24.0</v>
      </c>
      <c r="U148" s="36">
        <v>0.0</v>
      </c>
      <c r="V148" s="36">
        <v>24.0</v>
      </c>
      <c r="W148" s="36">
        <v>0.0</v>
      </c>
      <c r="X148" s="36">
        <v>0.0</v>
      </c>
      <c r="Y148" s="36">
        <v>48.0</v>
      </c>
    </row>
    <row r="149">
      <c r="A149" s="32" t="s">
        <v>2763</v>
      </c>
      <c r="B149" s="32" t="s">
        <v>2763</v>
      </c>
      <c r="C149" s="32" t="s">
        <v>2764</v>
      </c>
      <c r="D149" s="32" t="s">
        <v>2766</v>
      </c>
      <c r="E149" s="32" t="s">
        <v>5073</v>
      </c>
      <c r="F149" s="32" t="e">
        <v>#N/A</v>
      </c>
      <c r="G149" s="32" t="e">
        <v>#N/A</v>
      </c>
      <c r="H149" s="32" t="s">
        <v>2763</v>
      </c>
      <c r="I149" s="32" t="s">
        <v>5073</v>
      </c>
      <c r="J149" s="32" t="s">
        <v>2763</v>
      </c>
      <c r="K149" s="33" t="s">
        <v>2767</v>
      </c>
      <c r="L149" s="32">
        <v>3.1818404E7</v>
      </c>
      <c r="M149" s="32" t="e">
        <v>#N/A</v>
      </c>
      <c r="N149" s="32" t="s">
        <v>5107</v>
      </c>
      <c r="O149" s="32" t="s">
        <v>4730</v>
      </c>
      <c r="P149" s="32">
        <v>1989.0</v>
      </c>
      <c r="Q149" s="34">
        <v>1628.0</v>
      </c>
      <c r="R149" s="40">
        <v>1628.0</v>
      </c>
      <c r="S149" s="35">
        <v>1491.75</v>
      </c>
      <c r="T149" s="36">
        <v>0.0</v>
      </c>
      <c r="U149" s="36">
        <v>0.0</v>
      </c>
      <c r="V149" s="36">
        <v>48.0</v>
      </c>
      <c r="W149" s="36">
        <v>0.0</v>
      </c>
      <c r="X149" s="36">
        <v>0.0</v>
      </c>
      <c r="Y149" s="36">
        <v>48.0</v>
      </c>
    </row>
    <row r="150">
      <c r="A150" s="32" t="s">
        <v>3499</v>
      </c>
      <c r="B150" s="32" t="s">
        <v>3499</v>
      </c>
      <c r="C150" s="32" t="s">
        <v>3500</v>
      </c>
      <c r="D150" s="32" t="s">
        <v>3502</v>
      </c>
      <c r="E150" s="32" t="s">
        <v>5073</v>
      </c>
      <c r="F150" s="32" t="e">
        <v>#N/A</v>
      </c>
      <c r="G150" s="32" t="e">
        <v>#N/A</v>
      </c>
      <c r="H150" s="32" t="s">
        <v>3503</v>
      </c>
      <c r="I150" s="32" t="s">
        <v>5073</v>
      </c>
      <c r="J150" s="32" t="s">
        <v>3504</v>
      </c>
      <c r="K150" s="33" t="s">
        <v>3505</v>
      </c>
      <c r="L150" s="32" t="e">
        <v>#N/A</v>
      </c>
      <c r="M150" s="32" t="e">
        <v>#N/A</v>
      </c>
      <c r="N150" s="32" t="s">
        <v>5098</v>
      </c>
      <c r="O150" s="32" t="s">
        <v>4730</v>
      </c>
      <c r="P150" s="32">
        <v>899.0</v>
      </c>
      <c r="Q150" s="34">
        <v>809.0</v>
      </c>
      <c r="R150" s="35">
        <v>809.0</v>
      </c>
      <c r="S150" s="35">
        <v>764.15</v>
      </c>
      <c r="T150" s="36">
        <v>0.0</v>
      </c>
      <c r="U150" s="36">
        <v>0.0</v>
      </c>
      <c r="V150" s="36">
        <v>48.0</v>
      </c>
      <c r="W150" s="36">
        <v>0.0</v>
      </c>
      <c r="X150" s="36">
        <v>0.0</v>
      </c>
      <c r="Y150" s="36">
        <v>48.0</v>
      </c>
    </row>
    <row r="151">
      <c r="A151" s="32" t="s">
        <v>3000</v>
      </c>
      <c r="B151" s="32" t="s">
        <v>3000</v>
      </c>
      <c r="C151" s="32" t="s">
        <v>4860</v>
      </c>
      <c r="D151" s="32" t="s">
        <v>4861</v>
      </c>
      <c r="E151" s="32" t="s">
        <v>5073</v>
      </c>
      <c r="F151" s="32" t="e">
        <v>#N/A</v>
      </c>
      <c r="G151" s="32" t="e">
        <v>#N/A</v>
      </c>
      <c r="H151" s="32" t="e">
        <v>#N/A</v>
      </c>
      <c r="I151" s="32">
        <v>0.0</v>
      </c>
      <c r="J151" s="32" t="s">
        <v>3001</v>
      </c>
      <c r="K151" s="33" t="s">
        <v>4862</v>
      </c>
      <c r="L151" s="32" t="e">
        <v>#N/A</v>
      </c>
      <c r="M151" s="32" t="e">
        <v>#N/A</v>
      </c>
      <c r="N151" s="33" t="s">
        <v>4729</v>
      </c>
      <c r="O151" s="33" t="s">
        <v>4730</v>
      </c>
      <c r="P151" s="32" t="e">
        <v>#REF!</v>
      </c>
      <c r="Q151" s="38"/>
      <c r="R151" s="42" t="e">
        <v>#N/A</v>
      </c>
      <c r="S151" s="38"/>
      <c r="T151" s="36">
        <v>23.0</v>
      </c>
      <c r="U151" s="36">
        <v>0.0</v>
      </c>
      <c r="V151" s="36">
        <v>24.0</v>
      </c>
      <c r="W151" s="36">
        <v>0.0</v>
      </c>
      <c r="X151" s="36">
        <v>0.0</v>
      </c>
      <c r="Y151" s="36">
        <v>47.0</v>
      </c>
    </row>
    <row r="152">
      <c r="A152" s="32" t="s">
        <v>2651</v>
      </c>
      <c r="B152" s="32" t="s">
        <v>2651</v>
      </c>
      <c r="C152" s="32" t="s">
        <v>2652</v>
      </c>
      <c r="D152" s="32" t="s">
        <v>2653</v>
      </c>
      <c r="E152" s="32" t="s">
        <v>5073</v>
      </c>
      <c r="F152" s="32" t="e">
        <v>#N/A</v>
      </c>
      <c r="G152" s="39"/>
      <c r="H152" s="32" t="s">
        <v>2654</v>
      </c>
      <c r="I152" s="32" t="s">
        <v>5073</v>
      </c>
      <c r="J152" s="32" t="s">
        <v>2655</v>
      </c>
      <c r="K152" s="33" t="s">
        <v>2656</v>
      </c>
      <c r="L152" s="32">
        <v>3.181844E7</v>
      </c>
      <c r="M152" s="32" t="e">
        <v>#N/A</v>
      </c>
      <c r="N152" s="32" t="s">
        <v>5107</v>
      </c>
      <c r="O152" s="32" t="s">
        <v>4730</v>
      </c>
      <c r="P152" s="32">
        <v>1389.0</v>
      </c>
      <c r="Q152" s="34">
        <v>1138.0</v>
      </c>
      <c r="R152" s="40">
        <v>1138.0</v>
      </c>
      <c r="S152" s="35">
        <v>1041.75</v>
      </c>
      <c r="T152" s="36">
        <v>11.0</v>
      </c>
      <c r="U152" s="36">
        <v>9.0</v>
      </c>
      <c r="V152" s="36">
        <v>17.0</v>
      </c>
      <c r="W152" s="36">
        <v>10.0</v>
      </c>
      <c r="X152" s="36">
        <v>0.0</v>
      </c>
      <c r="Y152" s="36">
        <v>47.0</v>
      </c>
    </row>
    <row r="153">
      <c r="A153" s="32" t="s">
        <v>1394</v>
      </c>
      <c r="B153" s="32" t="s">
        <v>1394</v>
      </c>
      <c r="C153" s="32" t="s">
        <v>1395</v>
      </c>
      <c r="D153" s="32" t="s">
        <v>1396</v>
      </c>
      <c r="E153" s="32" t="s">
        <v>5090</v>
      </c>
      <c r="F153" s="32" t="e">
        <v>#N/A</v>
      </c>
      <c r="G153" s="39"/>
      <c r="H153" s="32" t="s">
        <v>1397</v>
      </c>
      <c r="I153" s="32" t="s">
        <v>5122</v>
      </c>
      <c r="J153" s="32" t="s">
        <v>1398</v>
      </c>
      <c r="K153" s="33" t="s">
        <v>1399</v>
      </c>
      <c r="L153" s="32">
        <v>3.181836E7</v>
      </c>
      <c r="M153" s="32" t="e">
        <v>#N/A</v>
      </c>
      <c r="N153" s="32" t="s">
        <v>5089</v>
      </c>
      <c r="O153" s="32" t="s">
        <v>4730</v>
      </c>
      <c r="P153" s="32">
        <v>2649.0</v>
      </c>
      <c r="Q153" s="34">
        <v>2164.0</v>
      </c>
      <c r="R153" s="40">
        <v>2199.0</v>
      </c>
      <c r="S153" s="35">
        <v>2119.2</v>
      </c>
      <c r="T153" s="36">
        <v>17.0</v>
      </c>
      <c r="U153" s="36">
        <v>11.0</v>
      </c>
      <c r="V153" s="36">
        <v>9.0</v>
      </c>
      <c r="W153" s="36">
        <v>10.0</v>
      </c>
      <c r="X153" s="36">
        <v>0.0</v>
      </c>
      <c r="Y153" s="36">
        <v>47.0</v>
      </c>
    </row>
    <row r="154">
      <c r="A154" s="32" t="s">
        <v>2792</v>
      </c>
      <c r="B154" s="32" t="s">
        <v>2792</v>
      </c>
      <c r="C154" s="32" t="s">
        <v>2793</v>
      </c>
      <c r="D154" s="32" t="s">
        <v>2794</v>
      </c>
      <c r="E154" s="32" t="s">
        <v>5073</v>
      </c>
      <c r="F154" s="32" t="e">
        <v>#N/A</v>
      </c>
      <c r="G154" s="32" t="e">
        <v>#N/A</v>
      </c>
      <c r="H154" s="32" t="s">
        <v>2792</v>
      </c>
      <c r="I154" s="32" t="s">
        <v>5073</v>
      </c>
      <c r="J154" s="32" t="s">
        <v>2795</v>
      </c>
      <c r="K154" s="33" t="s">
        <v>2796</v>
      </c>
      <c r="L154" s="32">
        <v>3.1818431E7</v>
      </c>
      <c r="M154" s="32" t="e">
        <v>#N/A</v>
      </c>
      <c r="N154" s="32" t="s">
        <v>5107</v>
      </c>
      <c r="O154" s="32" t="s">
        <v>4730</v>
      </c>
      <c r="P154" s="32">
        <v>2189.0</v>
      </c>
      <c r="Q154" s="34">
        <v>1792.0</v>
      </c>
      <c r="R154" s="40">
        <v>1799.0</v>
      </c>
      <c r="S154" s="35">
        <v>1641.75</v>
      </c>
      <c r="T154" s="36">
        <v>18.0</v>
      </c>
      <c r="U154" s="36">
        <v>15.0</v>
      </c>
      <c r="V154" s="36">
        <v>13.0</v>
      </c>
      <c r="W154" s="36">
        <v>0.0</v>
      </c>
      <c r="X154" s="36">
        <v>0.0</v>
      </c>
      <c r="Y154" s="36">
        <v>46.0</v>
      </c>
    </row>
    <row r="155">
      <c r="A155" s="32" t="s">
        <v>3062</v>
      </c>
      <c r="B155" s="32" t="s">
        <v>3062</v>
      </c>
      <c r="C155" s="32" t="s">
        <v>3063</v>
      </c>
      <c r="D155" s="32" t="s">
        <v>3064</v>
      </c>
      <c r="E155" s="32" t="s">
        <v>5073</v>
      </c>
      <c r="F155" s="32" t="e">
        <v>#N/A</v>
      </c>
      <c r="G155" s="38"/>
      <c r="H155" s="32" t="s">
        <v>3065</v>
      </c>
      <c r="I155" s="32" t="s">
        <v>5073</v>
      </c>
      <c r="J155" s="32" t="s">
        <v>3066</v>
      </c>
      <c r="K155" s="33" t="s">
        <v>3067</v>
      </c>
      <c r="L155" s="32" t="e">
        <v>#N/A</v>
      </c>
      <c r="M155" s="32" t="s">
        <v>3068</v>
      </c>
      <c r="N155" s="32" t="s">
        <v>5124</v>
      </c>
      <c r="O155" s="32" t="s">
        <v>4730</v>
      </c>
      <c r="P155" s="32">
        <v>5489.0</v>
      </c>
      <c r="Q155" s="38"/>
      <c r="R155" s="42" t="e">
        <v>#N/A</v>
      </c>
      <c r="S155" s="38"/>
      <c r="T155" s="36">
        <v>0.0</v>
      </c>
      <c r="U155" s="36">
        <v>0.0</v>
      </c>
      <c r="V155" s="36">
        <v>46.0</v>
      </c>
      <c r="W155" s="36">
        <v>0.0</v>
      </c>
      <c r="X155" s="36">
        <v>0.0</v>
      </c>
      <c r="Y155" s="36">
        <v>46.0</v>
      </c>
    </row>
    <row r="156">
      <c r="A156" s="32" t="s">
        <v>1638</v>
      </c>
      <c r="B156" s="32" t="s">
        <v>1638</v>
      </c>
      <c r="C156" s="32" t="s">
        <v>1639</v>
      </c>
      <c r="D156" s="32" t="s">
        <v>1640</v>
      </c>
      <c r="E156" s="32" t="s">
        <v>5073</v>
      </c>
      <c r="F156" s="32" t="e">
        <v>#N/A</v>
      </c>
      <c r="G156" s="39"/>
      <c r="H156" s="32" t="s">
        <v>1638</v>
      </c>
      <c r="I156" s="32" t="s">
        <v>5073</v>
      </c>
      <c r="J156" s="32" t="s">
        <v>1638</v>
      </c>
      <c r="K156" s="33" t="s">
        <v>1641</v>
      </c>
      <c r="L156" s="32">
        <v>3.1999076E7</v>
      </c>
      <c r="M156" s="32" t="s">
        <v>1642</v>
      </c>
      <c r="N156" s="32" t="s">
        <v>5112</v>
      </c>
      <c r="O156" s="32" t="s">
        <v>52</v>
      </c>
      <c r="P156" s="32">
        <v>25999.0</v>
      </c>
      <c r="Q156" s="34">
        <v>23399.0</v>
      </c>
      <c r="R156" s="40">
        <v>24699.0</v>
      </c>
      <c r="S156" s="35">
        <v>20019.23</v>
      </c>
      <c r="T156" s="36">
        <v>15.0</v>
      </c>
      <c r="U156" s="36">
        <v>4.0</v>
      </c>
      <c r="V156" s="36">
        <v>19.0</v>
      </c>
      <c r="W156" s="36">
        <v>8.0</v>
      </c>
      <c r="X156" s="36">
        <v>0.0</v>
      </c>
      <c r="Y156" s="36">
        <v>46.0</v>
      </c>
    </row>
    <row r="157">
      <c r="A157" s="32" t="s">
        <v>3644</v>
      </c>
      <c r="B157" s="32" t="s">
        <v>3644</v>
      </c>
      <c r="C157" s="32" t="s">
        <v>3645</v>
      </c>
      <c r="D157" s="32" t="s">
        <v>3646</v>
      </c>
      <c r="E157" s="32" t="s">
        <v>5073</v>
      </c>
      <c r="F157" s="32" t="s">
        <v>3647</v>
      </c>
      <c r="G157" s="32" t="s">
        <v>5073</v>
      </c>
      <c r="H157" s="32" t="s">
        <v>3648</v>
      </c>
      <c r="I157" s="32" t="s">
        <v>5073</v>
      </c>
      <c r="J157" s="32" t="s">
        <v>3649</v>
      </c>
      <c r="K157" s="33" t="s">
        <v>3650</v>
      </c>
      <c r="L157" s="32" t="e">
        <v>#N/A</v>
      </c>
      <c r="M157" s="32" t="e">
        <v>#N/A</v>
      </c>
      <c r="N157" s="32" t="s">
        <v>5098</v>
      </c>
      <c r="O157" s="32" t="s">
        <v>4730</v>
      </c>
      <c r="P157" s="32">
        <v>999.0</v>
      </c>
      <c r="Q157" s="34">
        <v>899.0</v>
      </c>
      <c r="R157" s="35">
        <v>899.0</v>
      </c>
      <c r="S157" s="35">
        <v>849.15</v>
      </c>
      <c r="T157" s="36">
        <v>0.0</v>
      </c>
      <c r="U157" s="36">
        <v>0.0</v>
      </c>
      <c r="V157" s="36">
        <v>26.0</v>
      </c>
      <c r="W157" s="36">
        <v>7.0</v>
      </c>
      <c r="X157" s="36">
        <v>12.0</v>
      </c>
      <c r="Y157" s="36">
        <v>45.0</v>
      </c>
    </row>
    <row r="158">
      <c r="A158" s="32" t="s">
        <v>3187</v>
      </c>
      <c r="B158" s="32" t="s">
        <v>3187</v>
      </c>
      <c r="C158" s="32" t="s">
        <v>3188</v>
      </c>
      <c r="D158" s="32" t="s">
        <v>3189</v>
      </c>
      <c r="E158" s="32" t="s">
        <v>5073</v>
      </c>
      <c r="F158" s="32" t="e">
        <v>#N/A</v>
      </c>
      <c r="G158" s="32" t="e">
        <v>#N/A</v>
      </c>
      <c r="H158" s="32" t="s">
        <v>3187</v>
      </c>
      <c r="I158" s="32" t="s">
        <v>5073</v>
      </c>
      <c r="J158" s="32" t="s">
        <v>3190</v>
      </c>
      <c r="K158" s="33" t="s">
        <v>3191</v>
      </c>
      <c r="L158" s="32" t="e">
        <v>#N/A</v>
      </c>
      <c r="M158" s="32" t="s">
        <v>3192</v>
      </c>
      <c r="N158" s="32" t="s">
        <v>5121</v>
      </c>
      <c r="O158" s="32" t="s">
        <v>4730</v>
      </c>
      <c r="P158" s="32">
        <v>2889.0</v>
      </c>
      <c r="Q158" s="34">
        <v>2499.0</v>
      </c>
      <c r="R158" s="40">
        <v>2499.0</v>
      </c>
      <c r="S158" s="35">
        <v>2399.0</v>
      </c>
      <c r="T158" s="36">
        <v>18.0</v>
      </c>
      <c r="U158" s="36">
        <v>0.0</v>
      </c>
      <c r="V158" s="36">
        <v>26.0</v>
      </c>
      <c r="W158" s="36">
        <v>0.0</v>
      </c>
      <c r="X158" s="36">
        <v>0.0</v>
      </c>
      <c r="Y158" s="36">
        <v>44.0</v>
      </c>
    </row>
    <row r="159">
      <c r="A159" s="32" t="s">
        <v>2733</v>
      </c>
      <c r="B159" s="32" t="s">
        <v>2733</v>
      </c>
      <c r="C159" s="32" t="s">
        <v>2734</v>
      </c>
      <c r="D159" s="32" t="s">
        <v>2735</v>
      </c>
      <c r="E159" s="32" t="s">
        <v>5073</v>
      </c>
      <c r="F159" s="32" t="e">
        <v>#N/A</v>
      </c>
      <c r="G159" s="39"/>
      <c r="H159" s="32" t="s">
        <v>2736</v>
      </c>
      <c r="I159" s="32" t="s">
        <v>5073</v>
      </c>
      <c r="J159" s="32" t="s">
        <v>2737</v>
      </c>
      <c r="K159" s="33" t="s">
        <v>2738</v>
      </c>
      <c r="L159" s="32">
        <v>3.1818408E7</v>
      </c>
      <c r="M159" s="32" t="e">
        <v>#N/A</v>
      </c>
      <c r="N159" s="32" t="s">
        <v>5107</v>
      </c>
      <c r="O159" s="32" t="s">
        <v>4730</v>
      </c>
      <c r="P159" s="32">
        <v>1989.0</v>
      </c>
      <c r="Q159" s="34">
        <v>1628.0</v>
      </c>
      <c r="R159" s="40">
        <v>1628.0</v>
      </c>
      <c r="S159" s="35">
        <v>1491.75</v>
      </c>
      <c r="T159" s="36">
        <v>7.0</v>
      </c>
      <c r="U159" s="36">
        <v>16.0</v>
      </c>
      <c r="V159" s="36">
        <v>21.0</v>
      </c>
      <c r="W159" s="36">
        <v>0.0</v>
      </c>
      <c r="X159" s="36">
        <v>0.0</v>
      </c>
      <c r="Y159" s="36">
        <v>44.0</v>
      </c>
    </row>
    <row r="160">
      <c r="A160" s="32" t="s">
        <v>3096</v>
      </c>
      <c r="B160" s="32" t="s">
        <v>3096</v>
      </c>
      <c r="C160" s="32" t="s">
        <v>3097</v>
      </c>
      <c r="D160" s="32" t="s">
        <v>3098</v>
      </c>
      <c r="E160" s="32" t="s">
        <v>5073</v>
      </c>
      <c r="F160" s="32" t="e">
        <v>#N/A</v>
      </c>
      <c r="G160" s="39"/>
      <c r="H160" s="32">
        <v>0.0</v>
      </c>
      <c r="I160" s="39"/>
      <c r="J160" s="32" t="s">
        <v>3099</v>
      </c>
      <c r="K160" s="33" t="s">
        <v>3100</v>
      </c>
      <c r="L160" s="32" t="e">
        <v>#N/A</v>
      </c>
      <c r="M160" s="32" t="e">
        <v>#N/A</v>
      </c>
      <c r="N160" s="32" t="s">
        <v>5087</v>
      </c>
      <c r="O160" s="32" t="s">
        <v>4730</v>
      </c>
      <c r="P160" s="32">
        <v>1989.0</v>
      </c>
      <c r="Q160" s="34">
        <v>1969.11</v>
      </c>
      <c r="R160" s="40">
        <v>1989.0</v>
      </c>
      <c r="S160" s="35">
        <v>1690.65</v>
      </c>
      <c r="T160" s="36">
        <v>10.0</v>
      </c>
      <c r="U160" s="36">
        <v>0.0</v>
      </c>
      <c r="V160" s="36">
        <v>34.0</v>
      </c>
      <c r="W160" s="36">
        <v>0.0</v>
      </c>
      <c r="X160" s="36">
        <v>0.0</v>
      </c>
      <c r="Y160" s="36">
        <v>44.0</v>
      </c>
    </row>
    <row r="161">
      <c r="A161" s="32" t="s">
        <v>1213</v>
      </c>
      <c r="B161" s="32" t="s">
        <v>1213</v>
      </c>
      <c r="C161" s="32" t="s">
        <v>1214</v>
      </c>
      <c r="D161" s="32" t="s">
        <v>1215</v>
      </c>
      <c r="E161" s="32" t="s">
        <v>5073</v>
      </c>
      <c r="F161" s="32" t="e">
        <v>#N/A</v>
      </c>
      <c r="G161" s="39"/>
      <c r="H161" s="32" t="s">
        <v>1216</v>
      </c>
      <c r="I161" s="32" t="s">
        <v>5073</v>
      </c>
      <c r="J161" s="32" t="s">
        <v>1217</v>
      </c>
      <c r="K161" s="33" t="s">
        <v>1218</v>
      </c>
      <c r="L161" s="32">
        <v>3.1818454E7</v>
      </c>
      <c r="M161" s="32" t="e">
        <v>#N/A</v>
      </c>
      <c r="N161" s="32" t="s">
        <v>5089</v>
      </c>
      <c r="O161" s="32" t="s">
        <v>4730</v>
      </c>
      <c r="P161" s="32">
        <v>1999.0</v>
      </c>
      <c r="Q161" s="34">
        <v>1629.0</v>
      </c>
      <c r="R161" s="40">
        <v>1629.0</v>
      </c>
      <c r="S161" s="35">
        <v>1599.2</v>
      </c>
      <c r="T161" s="36">
        <v>31.0</v>
      </c>
      <c r="U161" s="36">
        <v>1.0</v>
      </c>
      <c r="V161" s="36">
        <v>12.0</v>
      </c>
      <c r="W161" s="36">
        <v>0.0</v>
      </c>
      <c r="X161" s="36">
        <v>0.0</v>
      </c>
      <c r="Y161" s="36">
        <v>44.0</v>
      </c>
    </row>
    <row r="162">
      <c r="A162" s="32" t="s">
        <v>3513</v>
      </c>
      <c r="B162" s="32" t="s">
        <v>3513</v>
      </c>
      <c r="C162" s="32" t="s">
        <v>3514</v>
      </c>
      <c r="D162" s="32" t="s">
        <v>3515</v>
      </c>
      <c r="E162" s="32" t="s">
        <v>5073</v>
      </c>
      <c r="F162" s="32" t="e">
        <v>#N/A</v>
      </c>
      <c r="G162" s="32" t="e">
        <v>#N/A</v>
      </c>
      <c r="H162" s="32" t="s">
        <v>3513</v>
      </c>
      <c r="I162" s="32" t="s">
        <v>5073</v>
      </c>
      <c r="J162" s="32" t="s">
        <v>3513</v>
      </c>
      <c r="K162" s="33" t="s">
        <v>3516</v>
      </c>
      <c r="L162" s="32">
        <v>3.1745292E7</v>
      </c>
      <c r="M162" s="32" t="s">
        <v>3517</v>
      </c>
      <c r="N162" s="32" t="s">
        <v>5106</v>
      </c>
      <c r="O162" s="32" t="s">
        <v>4730</v>
      </c>
      <c r="P162" s="32">
        <v>3989.0</v>
      </c>
      <c r="Q162" s="34">
        <v>3399.0</v>
      </c>
      <c r="R162" s="40">
        <v>3599.0</v>
      </c>
      <c r="S162" s="35">
        <v>3390.65</v>
      </c>
      <c r="T162" s="36">
        <v>2.0</v>
      </c>
      <c r="U162" s="36">
        <v>0.0</v>
      </c>
      <c r="V162" s="36">
        <v>41.0</v>
      </c>
      <c r="W162" s="36">
        <v>0.0</v>
      </c>
      <c r="X162" s="36">
        <v>0.0</v>
      </c>
      <c r="Y162" s="36">
        <v>43.0</v>
      </c>
    </row>
    <row r="163">
      <c r="A163" s="32" t="s">
        <v>348</v>
      </c>
      <c r="B163" s="32" t="s">
        <v>348</v>
      </c>
      <c r="C163" s="32" t="s">
        <v>349</v>
      </c>
      <c r="D163" s="32" t="s">
        <v>350</v>
      </c>
      <c r="E163" s="32" t="s">
        <v>5073</v>
      </c>
      <c r="F163" s="32" t="e">
        <v>#N/A</v>
      </c>
      <c r="G163" s="39"/>
      <c r="H163" s="32" t="s">
        <v>351</v>
      </c>
      <c r="I163" s="32" t="s">
        <v>5073</v>
      </c>
      <c r="J163" s="32" t="s">
        <v>352</v>
      </c>
      <c r="K163" s="33" t="s">
        <v>353</v>
      </c>
      <c r="L163" s="32">
        <v>3.1999085E7</v>
      </c>
      <c r="M163" s="32" t="s">
        <v>354</v>
      </c>
      <c r="N163" s="32" t="s">
        <v>51</v>
      </c>
      <c r="O163" s="32" t="s">
        <v>52</v>
      </c>
      <c r="P163" s="32">
        <v>16199.0</v>
      </c>
      <c r="Q163" s="34">
        <v>13121.0</v>
      </c>
      <c r="R163" s="40">
        <v>14099.0</v>
      </c>
      <c r="S163" s="35">
        <v>12311.24</v>
      </c>
      <c r="T163" s="36">
        <v>5.0</v>
      </c>
      <c r="U163" s="36">
        <v>0.0</v>
      </c>
      <c r="V163" s="36">
        <v>35.0</v>
      </c>
      <c r="W163" s="36">
        <v>2.0</v>
      </c>
      <c r="X163" s="36">
        <v>0.0</v>
      </c>
      <c r="Y163" s="36">
        <v>42.0</v>
      </c>
    </row>
    <row r="164">
      <c r="A164" s="32" t="s">
        <v>2152</v>
      </c>
      <c r="B164" s="32" t="s">
        <v>2152</v>
      </c>
      <c r="C164" s="32" t="s">
        <v>2153</v>
      </c>
      <c r="D164" s="32" t="s">
        <v>2154</v>
      </c>
      <c r="E164" s="32" t="s">
        <v>5073</v>
      </c>
      <c r="F164" s="32" t="e">
        <v>#N/A</v>
      </c>
      <c r="G164" s="32" t="e">
        <v>#N/A</v>
      </c>
      <c r="H164" s="32" t="s">
        <v>5125</v>
      </c>
      <c r="I164" s="32" t="s">
        <v>5102</v>
      </c>
      <c r="J164" s="32" t="s">
        <v>2155</v>
      </c>
      <c r="K164" s="33" t="s">
        <v>2156</v>
      </c>
      <c r="L164" s="32" t="e">
        <v>#N/A</v>
      </c>
      <c r="M164" s="32" t="e">
        <v>#N/A</v>
      </c>
      <c r="N164" s="32" t="s">
        <v>5103</v>
      </c>
      <c r="O164" s="32" t="s">
        <v>4730</v>
      </c>
      <c r="P164" s="32">
        <v>6499.0</v>
      </c>
      <c r="Q164" s="34">
        <v>5199.0</v>
      </c>
      <c r="R164" s="40">
        <v>5799.0</v>
      </c>
      <c r="S164" s="35">
        <v>4874.25</v>
      </c>
      <c r="T164" s="36">
        <v>2.0</v>
      </c>
      <c r="U164" s="36">
        <v>0.0</v>
      </c>
      <c r="V164" s="36">
        <v>35.0</v>
      </c>
      <c r="W164" s="36">
        <v>0.0</v>
      </c>
      <c r="X164" s="36">
        <v>4.0</v>
      </c>
      <c r="Y164" s="36">
        <v>41.0</v>
      </c>
    </row>
    <row r="165">
      <c r="A165" s="32" t="s">
        <v>3379</v>
      </c>
      <c r="B165" s="32" t="s">
        <v>3379</v>
      </c>
      <c r="C165" s="32" t="s">
        <v>3380</v>
      </c>
      <c r="D165" s="32" t="s">
        <v>3381</v>
      </c>
      <c r="E165" s="32" t="s">
        <v>5073</v>
      </c>
      <c r="F165" s="32" t="e">
        <v>#N/A</v>
      </c>
      <c r="G165" s="38"/>
      <c r="H165" s="32" t="s">
        <v>3382</v>
      </c>
      <c r="I165" s="32" t="s">
        <v>5073</v>
      </c>
      <c r="J165" s="32" t="s">
        <v>3383</v>
      </c>
      <c r="K165" s="33" t="s">
        <v>3384</v>
      </c>
      <c r="L165" s="32">
        <v>3.1818425E7</v>
      </c>
      <c r="M165" s="32" t="e">
        <v>#N/A</v>
      </c>
      <c r="N165" s="32" t="s">
        <v>5086</v>
      </c>
      <c r="O165" s="32" t="s">
        <v>4730</v>
      </c>
      <c r="P165" s="32">
        <v>2189.0</v>
      </c>
      <c r="Q165" s="34">
        <v>1999.0</v>
      </c>
      <c r="R165" s="40">
        <v>1999.0</v>
      </c>
      <c r="S165" s="35">
        <v>1860.65</v>
      </c>
      <c r="T165" s="36">
        <v>0.0</v>
      </c>
      <c r="U165" s="36">
        <v>0.0</v>
      </c>
      <c r="V165" s="36">
        <v>41.0</v>
      </c>
      <c r="W165" s="36">
        <v>0.0</v>
      </c>
      <c r="X165" s="36">
        <v>0.0</v>
      </c>
      <c r="Y165" s="36">
        <v>41.0</v>
      </c>
    </row>
    <row r="166">
      <c r="A166" s="32" t="s">
        <v>2703</v>
      </c>
      <c r="B166" s="32" t="s">
        <v>2703</v>
      </c>
      <c r="C166" s="32" t="s">
        <v>2704</v>
      </c>
      <c r="D166" s="32" t="s">
        <v>2705</v>
      </c>
      <c r="E166" s="32" t="s">
        <v>5073</v>
      </c>
      <c r="F166" s="32" t="e">
        <v>#N/A</v>
      </c>
      <c r="G166" s="39"/>
      <c r="H166" s="32" t="s">
        <v>2706</v>
      </c>
      <c r="I166" s="32" t="s">
        <v>5073</v>
      </c>
      <c r="J166" s="32" t="s">
        <v>2707</v>
      </c>
      <c r="K166" s="33" t="s">
        <v>2708</v>
      </c>
      <c r="L166" s="32">
        <v>3.1818441E7</v>
      </c>
      <c r="M166" s="32" t="e">
        <v>#N/A</v>
      </c>
      <c r="N166" s="32" t="s">
        <v>5107</v>
      </c>
      <c r="O166" s="32" t="s">
        <v>4730</v>
      </c>
      <c r="P166" s="32">
        <v>1889.0</v>
      </c>
      <c r="Q166" s="34">
        <v>1548.0</v>
      </c>
      <c r="R166" s="40">
        <v>1548.0</v>
      </c>
      <c r="S166" s="35">
        <v>1416.75</v>
      </c>
      <c r="T166" s="36">
        <v>9.0</v>
      </c>
      <c r="U166" s="36">
        <v>6.0</v>
      </c>
      <c r="V166" s="36">
        <v>16.0</v>
      </c>
      <c r="W166" s="36">
        <v>10.0</v>
      </c>
      <c r="X166" s="36">
        <v>0.0</v>
      </c>
      <c r="Y166" s="36">
        <v>41.0</v>
      </c>
    </row>
    <row r="167">
      <c r="A167" s="32" t="s">
        <v>2783</v>
      </c>
      <c r="B167" s="32" t="s">
        <v>2783</v>
      </c>
      <c r="C167" s="32" t="s">
        <v>2784</v>
      </c>
      <c r="D167" s="32" t="s">
        <v>2785</v>
      </c>
      <c r="E167" s="32" t="s">
        <v>5073</v>
      </c>
      <c r="F167" s="32" t="e">
        <v>#N/A</v>
      </c>
      <c r="G167" s="39"/>
      <c r="H167" s="32" t="s">
        <v>2783</v>
      </c>
      <c r="I167" s="32" t="s">
        <v>5073</v>
      </c>
      <c r="J167" s="32" t="s">
        <v>2786</v>
      </c>
      <c r="K167" s="33" t="s">
        <v>2787</v>
      </c>
      <c r="L167" s="32">
        <v>3.1818439E7</v>
      </c>
      <c r="M167" s="32" t="s">
        <v>2788</v>
      </c>
      <c r="N167" s="32" t="s">
        <v>5107</v>
      </c>
      <c r="O167" s="32" t="s">
        <v>4730</v>
      </c>
      <c r="P167" s="32">
        <v>1989.0</v>
      </c>
      <c r="Q167" s="34">
        <v>1628.0</v>
      </c>
      <c r="R167" s="40">
        <v>1628.0</v>
      </c>
      <c r="S167" s="35">
        <v>1491.75</v>
      </c>
      <c r="T167" s="36">
        <v>0.0</v>
      </c>
      <c r="U167" s="36">
        <v>0.0</v>
      </c>
      <c r="V167" s="36">
        <v>41.0</v>
      </c>
      <c r="W167" s="36">
        <v>0.0</v>
      </c>
      <c r="X167" s="36">
        <v>0.0</v>
      </c>
      <c r="Y167" s="36">
        <v>41.0</v>
      </c>
    </row>
    <row r="168">
      <c r="A168" s="32" t="s">
        <v>2777</v>
      </c>
      <c r="B168" s="32" t="s">
        <v>2777</v>
      </c>
      <c r="C168" s="32" t="s">
        <v>2778</v>
      </c>
      <c r="D168" s="32" t="s">
        <v>5126</v>
      </c>
      <c r="E168" s="32" t="s">
        <v>5073</v>
      </c>
      <c r="F168" s="32" t="e">
        <v>#N/A</v>
      </c>
      <c r="G168" s="32" t="e">
        <v>#N/A</v>
      </c>
      <c r="H168" s="32" t="s">
        <v>2777</v>
      </c>
      <c r="I168" s="32" t="s">
        <v>5073</v>
      </c>
      <c r="J168" s="32" t="s">
        <v>2780</v>
      </c>
      <c r="K168" s="33" t="s">
        <v>2781</v>
      </c>
      <c r="L168" s="32">
        <v>3.1818377E7</v>
      </c>
      <c r="M168" s="32" t="s">
        <v>2782</v>
      </c>
      <c r="N168" s="32" t="s">
        <v>5107</v>
      </c>
      <c r="O168" s="32" t="s">
        <v>4730</v>
      </c>
      <c r="P168" s="32">
        <v>1989.0</v>
      </c>
      <c r="Q168" s="34">
        <v>1628.0</v>
      </c>
      <c r="R168" s="40">
        <v>1628.0</v>
      </c>
      <c r="S168" s="35">
        <v>1491.75</v>
      </c>
      <c r="T168" s="36">
        <v>0.0</v>
      </c>
      <c r="U168" s="36">
        <v>0.0</v>
      </c>
      <c r="V168" s="36">
        <v>40.0</v>
      </c>
      <c r="W168" s="36">
        <v>0.0</v>
      </c>
      <c r="X168" s="36">
        <v>0.0</v>
      </c>
      <c r="Y168" s="36">
        <v>40.0</v>
      </c>
    </row>
    <row r="169">
      <c r="A169" s="32" t="s">
        <v>341</v>
      </c>
      <c r="B169" s="32" t="s">
        <v>341</v>
      </c>
      <c r="C169" s="32" t="s">
        <v>342</v>
      </c>
      <c r="D169" s="32" t="s">
        <v>343</v>
      </c>
      <c r="E169" s="32" t="s">
        <v>5073</v>
      </c>
      <c r="F169" s="32" t="e">
        <v>#N/A</v>
      </c>
      <c r="G169" s="39"/>
      <c r="H169" s="32" t="s">
        <v>344</v>
      </c>
      <c r="I169" s="32" t="s">
        <v>5073</v>
      </c>
      <c r="J169" s="32" t="s">
        <v>345</v>
      </c>
      <c r="K169" s="33" t="s">
        <v>346</v>
      </c>
      <c r="L169" s="32">
        <v>3.199907E7</v>
      </c>
      <c r="M169" s="32" t="s">
        <v>347</v>
      </c>
      <c r="N169" s="32" t="s">
        <v>51</v>
      </c>
      <c r="O169" s="32" t="s">
        <v>52</v>
      </c>
      <c r="P169" s="32">
        <v>15999.0</v>
      </c>
      <c r="Q169" s="34">
        <v>12959.0</v>
      </c>
      <c r="R169" s="40">
        <v>13899.0</v>
      </c>
      <c r="S169" s="35">
        <v>12159.24</v>
      </c>
      <c r="T169" s="36">
        <v>15.0</v>
      </c>
      <c r="U169" s="36">
        <v>9.0</v>
      </c>
      <c r="V169" s="36">
        <v>9.0</v>
      </c>
      <c r="W169" s="36">
        <v>7.0</v>
      </c>
      <c r="X169" s="36">
        <v>0.0</v>
      </c>
      <c r="Y169" s="36">
        <v>40.0</v>
      </c>
    </row>
    <row r="170">
      <c r="A170" s="32" t="s">
        <v>2314</v>
      </c>
      <c r="B170" s="32" t="s">
        <v>2314</v>
      </c>
      <c r="C170" s="32" t="s">
        <v>2315</v>
      </c>
      <c r="D170" s="32" t="s">
        <v>2316</v>
      </c>
      <c r="E170" s="32" t="s">
        <v>5073</v>
      </c>
      <c r="F170" s="32" t="e">
        <v>#N/A</v>
      </c>
      <c r="G170" s="39"/>
      <c r="H170" s="32">
        <v>0.0</v>
      </c>
      <c r="I170" s="39"/>
      <c r="J170" s="32" t="s">
        <v>2317</v>
      </c>
      <c r="K170" s="33" t="s">
        <v>2318</v>
      </c>
      <c r="L170" s="32" t="e">
        <v>#N/A</v>
      </c>
      <c r="M170" s="32" t="e">
        <v>#N/A</v>
      </c>
      <c r="N170" s="32" t="s">
        <v>5077</v>
      </c>
      <c r="O170" s="32" t="s">
        <v>4730</v>
      </c>
      <c r="P170" s="32">
        <v>1049.0</v>
      </c>
      <c r="Q170" s="34">
        <v>997.0</v>
      </c>
      <c r="R170" s="35">
        <v>999.0</v>
      </c>
      <c r="S170" s="35">
        <v>944.1</v>
      </c>
      <c r="T170" s="36">
        <v>5.0</v>
      </c>
      <c r="U170" s="36">
        <v>10.0</v>
      </c>
      <c r="V170" s="36">
        <v>25.0</v>
      </c>
      <c r="W170" s="36">
        <v>0.0</v>
      </c>
      <c r="X170" s="36">
        <v>0.0</v>
      </c>
      <c r="Y170" s="36">
        <v>40.0</v>
      </c>
    </row>
    <row r="171">
      <c r="A171" s="32" t="s">
        <v>3530</v>
      </c>
      <c r="B171" s="32" t="s">
        <v>3530</v>
      </c>
      <c r="C171" s="32" t="s">
        <v>3531</v>
      </c>
      <c r="D171" s="32" t="s">
        <v>3533</v>
      </c>
      <c r="E171" s="32" t="s">
        <v>5073</v>
      </c>
      <c r="F171" s="32" t="e">
        <v>#N/A</v>
      </c>
      <c r="G171" s="32" t="e">
        <v>#N/A</v>
      </c>
      <c r="H171" s="32" t="s">
        <v>3534</v>
      </c>
      <c r="I171" s="32" t="s">
        <v>5073</v>
      </c>
      <c r="J171" s="32" t="s">
        <v>3535</v>
      </c>
      <c r="K171" s="33" t="s">
        <v>3536</v>
      </c>
      <c r="L171" s="32" t="e">
        <v>#N/A</v>
      </c>
      <c r="M171" s="32" t="e">
        <v>#N/A</v>
      </c>
      <c r="N171" s="32" t="s">
        <v>5098</v>
      </c>
      <c r="O171" s="32" t="s">
        <v>4730</v>
      </c>
      <c r="P171" s="32">
        <v>799.0</v>
      </c>
      <c r="Q171" s="34">
        <v>719.0</v>
      </c>
      <c r="R171" s="35">
        <v>719.0</v>
      </c>
      <c r="S171" s="35">
        <v>679.15</v>
      </c>
      <c r="T171" s="36">
        <v>0.0</v>
      </c>
      <c r="U171" s="36">
        <v>0.0</v>
      </c>
      <c r="V171" s="36">
        <v>31.0</v>
      </c>
      <c r="W171" s="36">
        <v>9.0</v>
      </c>
      <c r="X171" s="36">
        <v>0.0</v>
      </c>
      <c r="Y171" s="36">
        <v>40.0</v>
      </c>
    </row>
    <row r="172">
      <c r="A172" s="32" t="s">
        <v>668</v>
      </c>
      <c r="B172" s="32" t="s">
        <v>668</v>
      </c>
      <c r="C172" s="32" t="s">
        <v>669</v>
      </c>
      <c r="D172" s="32" t="s">
        <v>670</v>
      </c>
      <c r="E172" s="32" t="s">
        <v>5073</v>
      </c>
      <c r="F172" s="32" t="e">
        <v>#N/A</v>
      </c>
      <c r="G172" s="39"/>
      <c r="H172" s="32" t="s">
        <v>671</v>
      </c>
      <c r="I172" s="32" t="s">
        <v>5073</v>
      </c>
      <c r="J172" s="32" t="s">
        <v>672</v>
      </c>
      <c r="K172" s="33" t="s">
        <v>673</v>
      </c>
      <c r="L172" s="32">
        <v>3.2784144E7</v>
      </c>
      <c r="M172" s="32" t="s">
        <v>674</v>
      </c>
      <c r="N172" s="32" t="s">
        <v>51</v>
      </c>
      <c r="O172" s="32" t="s">
        <v>52</v>
      </c>
      <c r="P172" s="32">
        <v>22999.0</v>
      </c>
      <c r="Q172" s="34">
        <v>18629.0</v>
      </c>
      <c r="R172" s="40">
        <v>19999.0</v>
      </c>
      <c r="S172" s="35">
        <v>17479.24</v>
      </c>
      <c r="T172" s="36">
        <v>4.0</v>
      </c>
      <c r="U172" s="36">
        <v>5.0</v>
      </c>
      <c r="V172" s="36">
        <v>23.0</v>
      </c>
      <c r="W172" s="36">
        <v>2.0</v>
      </c>
      <c r="X172" s="36">
        <v>5.0</v>
      </c>
      <c r="Y172" s="36">
        <v>39.0</v>
      </c>
    </row>
    <row r="173">
      <c r="A173" s="32" t="s">
        <v>394</v>
      </c>
      <c r="B173" s="32" t="s">
        <v>394</v>
      </c>
      <c r="C173" s="32" t="s">
        <v>395</v>
      </c>
      <c r="D173" s="32" t="s">
        <v>396</v>
      </c>
      <c r="E173" s="32" t="s">
        <v>5073</v>
      </c>
      <c r="F173" s="32" t="e">
        <v>#N/A</v>
      </c>
      <c r="G173" s="39"/>
      <c r="H173" s="32" t="s">
        <v>397</v>
      </c>
      <c r="I173" s="32" t="s">
        <v>5073</v>
      </c>
      <c r="J173" s="32" t="s">
        <v>398</v>
      </c>
      <c r="K173" s="33" t="s">
        <v>399</v>
      </c>
      <c r="L173" s="32">
        <v>3.1999069E7</v>
      </c>
      <c r="M173" s="32" t="s">
        <v>400</v>
      </c>
      <c r="N173" s="32" t="s">
        <v>51</v>
      </c>
      <c r="O173" s="32" t="s">
        <v>52</v>
      </c>
      <c r="P173" s="32">
        <v>18499.0</v>
      </c>
      <c r="Q173" s="34">
        <v>14984.0</v>
      </c>
      <c r="R173" s="40">
        <v>16099.0</v>
      </c>
      <c r="S173" s="35">
        <v>14059.24</v>
      </c>
      <c r="T173" s="36">
        <v>31.0</v>
      </c>
      <c r="U173" s="36">
        <v>2.0</v>
      </c>
      <c r="V173" s="36">
        <v>6.0</v>
      </c>
      <c r="W173" s="36">
        <v>0.0</v>
      </c>
      <c r="X173" s="36">
        <v>0.0</v>
      </c>
      <c r="Y173" s="36">
        <v>39.0</v>
      </c>
    </row>
    <row r="174">
      <c r="A174" s="32" t="s">
        <v>2324</v>
      </c>
      <c r="B174" s="32" t="s">
        <v>2324</v>
      </c>
      <c r="C174" s="32" t="s">
        <v>2325</v>
      </c>
      <c r="D174" s="32" t="s">
        <v>2326</v>
      </c>
      <c r="E174" s="32" t="s">
        <v>5073</v>
      </c>
      <c r="F174" s="32" t="e">
        <v>#N/A</v>
      </c>
      <c r="G174" s="39"/>
      <c r="H174" s="32">
        <v>0.0</v>
      </c>
      <c r="I174" s="39"/>
      <c r="J174" s="32" t="s">
        <v>2327</v>
      </c>
      <c r="K174" s="33" t="s">
        <v>2328</v>
      </c>
      <c r="L174" s="32" t="e">
        <v>#N/A</v>
      </c>
      <c r="M174" s="32" t="e">
        <v>#N/A</v>
      </c>
      <c r="N174" s="32" t="s">
        <v>5077</v>
      </c>
      <c r="O174" s="32" t="s">
        <v>4730</v>
      </c>
      <c r="P174" s="32">
        <v>1049.0</v>
      </c>
      <c r="Q174" s="34">
        <v>997.0</v>
      </c>
      <c r="R174" s="35">
        <v>999.0</v>
      </c>
      <c r="S174" s="35">
        <v>944.1</v>
      </c>
      <c r="T174" s="36">
        <v>9.0</v>
      </c>
      <c r="U174" s="36">
        <v>0.0</v>
      </c>
      <c r="V174" s="36">
        <v>20.0</v>
      </c>
      <c r="W174" s="36">
        <v>0.0</v>
      </c>
      <c r="X174" s="36">
        <v>10.0</v>
      </c>
      <c r="Y174" s="36">
        <v>39.0</v>
      </c>
    </row>
    <row r="175">
      <c r="A175" s="32" t="s">
        <v>1357</v>
      </c>
      <c r="B175" s="32" t="s">
        <v>1357</v>
      </c>
      <c r="C175" s="32" t="s">
        <v>1358</v>
      </c>
      <c r="D175" s="32" t="s">
        <v>1359</v>
      </c>
      <c r="E175" s="32" t="s">
        <v>5073</v>
      </c>
      <c r="F175" s="32" t="e">
        <v>#N/A</v>
      </c>
      <c r="G175" s="39"/>
      <c r="H175" s="32" t="s">
        <v>1360</v>
      </c>
      <c r="I175" s="32" t="s">
        <v>5073</v>
      </c>
      <c r="J175" s="32" t="s">
        <v>1361</v>
      </c>
      <c r="K175" s="33" t="s">
        <v>1362</v>
      </c>
      <c r="L175" s="32">
        <v>3.1818362E7</v>
      </c>
      <c r="M175" s="32" t="e">
        <v>#N/A</v>
      </c>
      <c r="N175" s="32" t="s">
        <v>5089</v>
      </c>
      <c r="O175" s="32" t="s">
        <v>4730</v>
      </c>
      <c r="P175" s="32">
        <v>2649.0</v>
      </c>
      <c r="Q175" s="34">
        <v>2164.0</v>
      </c>
      <c r="R175" s="40">
        <v>2199.0</v>
      </c>
      <c r="S175" s="35">
        <v>2119.2</v>
      </c>
      <c r="T175" s="36">
        <v>0.0</v>
      </c>
      <c r="U175" s="36">
        <v>9.0</v>
      </c>
      <c r="V175" s="36">
        <v>9.0</v>
      </c>
      <c r="W175" s="36">
        <v>5.0</v>
      </c>
      <c r="X175" s="36">
        <v>16.0</v>
      </c>
      <c r="Y175" s="36">
        <v>39.0</v>
      </c>
    </row>
    <row r="176">
      <c r="A176" s="32" t="s">
        <v>1243</v>
      </c>
      <c r="B176" s="32" t="s">
        <v>1243</v>
      </c>
      <c r="C176" s="32" t="s">
        <v>1244</v>
      </c>
      <c r="D176" s="32" t="s">
        <v>1245</v>
      </c>
      <c r="E176" s="32" t="s">
        <v>5090</v>
      </c>
      <c r="F176" s="32" t="e">
        <v>#N/A</v>
      </c>
      <c r="G176" s="39"/>
      <c r="H176" s="32" t="s">
        <v>1246</v>
      </c>
      <c r="I176" s="32" t="s">
        <v>5122</v>
      </c>
      <c r="J176" s="32" t="s">
        <v>1247</v>
      </c>
      <c r="K176" s="33" t="s">
        <v>1248</v>
      </c>
      <c r="L176" s="32">
        <v>3.1818453E7</v>
      </c>
      <c r="M176" s="32" t="e">
        <v>#N/A</v>
      </c>
      <c r="N176" s="32" t="s">
        <v>5089</v>
      </c>
      <c r="O176" s="32" t="s">
        <v>4730</v>
      </c>
      <c r="P176" s="32">
        <v>1999.0</v>
      </c>
      <c r="Q176" s="34">
        <v>1629.0</v>
      </c>
      <c r="R176" s="40">
        <v>1629.0</v>
      </c>
      <c r="S176" s="35">
        <v>1599.2</v>
      </c>
      <c r="T176" s="36">
        <v>21.0</v>
      </c>
      <c r="U176" s="36">
        <v>4.0</v>
      </c>
      <c r="V176" s="36">
        <v>14.0</v>
      </c>
      <c r="W176" s="36">
        <v>0.0</v>
      </c>
      <c r="X176" s="36">
        <v>0.0</v>
      </c>
      <c r="Y176" s="36">
        <v>39.0</v>
      </c>
    </row>
    <row r="177">
      <c r="A177" s="32" t="s">
        <v>2807</v>
      </c>
      <c r="B177" s="32" t="s">
        <v>2807</v>
      </c>
      <c r="C177" s="32" t="s">
        <v>2808</v>
      </c>
      <c r="D177" s="32" t="s">
        <v>2810</v>
      </c>
      <c r="E177" s="32" t="s">
        <v>5073</v>
      </c>
      <c r="F177" s="32" t="e">
        <v>#N/A</v>
      </c>
      <c r="G177" s="39"/>
      <c r="H177" s="32" t="s">
        <v>2807</v>
      </c>
      <c r="I177" s="32" t="s">
        <v>5073</v>
      </c>
      <c r="J177" s="32" t="s">
        <v>2807</v>
      </c>
      <c r="K177" s="33" t="s">
        <v>2811</v>
      </c>
      <c r="L177" s="32">
        <v>3.1818428E7</v>
      </c>
      <c r="M177" s="32" t="e">
        <v>#N/A</v>
      </c>
      <c r="N177" s="32" t="s">
        <v>5107</v>
      </c>
      <c r="O177" s="32" t="s">
        <v>4730</v>
      </c>
      <c r="P177" s="32">
        <v>2189.0</v>
      </c>
      <c r="Q177" s="34">
        <v>1792.0</v>
      </c>
      <c r="R177" s="40">
        <v>1799.0</v>
      </c>
      <c r="S177" s="35">
        <v>1641.75</v>
      </c>
      <c r="T177" s="36">
        <v>0.0</v>
      </c>
      <c r="U177" s="36">
        <v>0.0</v>
      </c>
      <c r="V177" s="36">
        <v>36.0</v>
      </c>
      <c r="W177" s="36">
        <v>0.0</v>
      </c>
      <c r="X177" s="36">
        <v>2.0</v>
      </c>
      <c r="Y177" s="36">
        <v>38.0</v>
      </c>
    </row>
    <row r="178">
      <c r="A178" s="32" t="s">
        <v>3492</v>
      </c>
      <c r="B178" s="32" t="s">
        <v>3492</v>
      </c>
      <c r="C178" s="32" t="s">
        <v>3493</v>
      </c>
      <c r="D178" s="32" t="s">
        <v>3495</v>
      </c>
      <c r="E178" s="32" t="s">
        <v>5073</v>
      </c>
      <c r="F178" s="32" t="e">
        <v>#N/A</v>
      </c>
      <c r="G178" s="32" t="e">
        <v>#N/A</v>
      </c>
      <c r="H178" s="32" t="s">
        <v>3496</v>
      </c>
      <c r="I178" s="32" t="s">
        <v>5073</v>
      </c>
      <c r="J178" s="32" t="s">
        <v>3497</v>
      </c>
      <c r="K178" s="33" t="s">
        <v>3498</v>
      </c>
      <c r="L178" s="32" t="e">
        <v>#N/A</v>
      </c>
      <c r="M178" s="32" t="e">
        <v>#N/A</v>
      </c>
      <c r="N178" s="32" t="s">
        <v>5098</v>
      </c>
      <c r="O178" s="32" t="s">
        <v>4730</v>
      </c>
      <c r="P178" s="32">
        <v>899.0</v>
      </c>
      <c r="Q178" s="34">
        <v>809.0</v>
      </c>
      <c r="R178" s="35">
        <v>809.0</v>
      </c>
      <c r="S178" s="35">
        <v>764.15</v>
      </c>
      <c r="T178" s="36">
        <v>0.0</v>
      </c>
      <c r="U178" s="36">
        <v>0.0</v>
      </c>
      <c r="V178" s="36">
        <v>38.0</v>
      </c>
      <c r="W178" s="36">
        <v>0.0</v>
      </c>
      <c r="X178" s="36">
        <v>0.0</v>
      </c>
      <c r="Y178" s="36">
        <v>38.0</v>
      </c>
    </row>
    <row r="179">
      <c r="A179" s="32" t="s">
        <v>2893</v>
      </c>
      <c r="B179" s="32" t="s">
        <v>2893</v>
      </c>
      <c r="C179" s="32" t="s">
        <v>2894</v>
      </c>
      <c r="D179" s="32" t="s">
        <v>2895</v>
      </c>
      <c r="E179" s="32" t="s">
        <v>5073</v>
      </c>
      <c r="F179" s="32" t="e">
        <v>#N/A</v>
      </c>
      <c r="G179" s="39"/>
      <c r="H179" s="32" t="s">
        <v>2896</v>
      </c>
      <c r="I179" s="32" t="s">
        <v>5073</v>
      </c>
      <c r="J179" s="32" t="s">
        <v>2897</v>
      </c>
      <c r="K179" s="33" t="s">
        <v>2898</v>
      </c>
      <c r="L179" s="32" t="e">
        <v>#N/A</v>
      </c>
      <c r="M179" s="32" t="e">
        <v>#N/A</v>
      </c>
      <c r="N179" s="32" t="s">
        <v>5116</v>
      </c>
      <c r="O179" s="32" t="s">
        <v>4730</v>
      </c>
      <c r="P179" s="32">
        <v>2699.0</v>
      </c>
      <c r="Q179" s="34">
        <v>2399.0</v>
      </c>
      <c r="R179" s="40">
        <v>2399.0</v>
      </c>
      <c r="S179" s="35">
        <v>2294.15</v>
      </c>
      <c r="T179" s="36">
        <v>0.0</v>
      </c>
      <c r="U179" s="36">
        <v>0.0</v>
      </c>
      <c r="V179" s="36">
        <v>37.0</v>
      </c>
      <c r="W179" s="36">
        <v>0.0</v>
      </c>
      <c r="X179" s="36">
        <v>0.0</v>
      </c>
      <c r="Y179" s="36">
        <v>37.0</v>
      </c>
    </row>
    <row r="180">
      <c r="A180" s="32" t="s">
        <v>1279</v>
      </c>
      <c r="B180" s="32" t="s">
        <v>1279</v>
      </c>
      <c r="C180" s="32" t="s">
        <v>1280</v>
      </c>
      <c r="D180" s="32" t="s">
        <v>1281</v>
      </c>
      <c r="E180" s="32" t="s">
        <v>5073</v>
      </c>
      <c r="F180" s="32" t="e">
        <v>#N/A</v>
      </c>
      <c r="G180" s="39"/>
      <c r="H180" s="32" t="s">
        <v>1282</v>
      </c>
      <c r="I180" s="32" t="s">
        <v>5073</v>
      </c>
      <c r="J180" s="32" t="s">
        <v>1283</v>
      </c>
      <c r="K180" s="33" t="s">
        <v>1284</v>
      </c>
      <c r="L180" s="32">
        <v>3.1818444E7</v>
      </c>
      <c r="M180" s="32" t="e">
        <v>#N/A</v>
      </c>
      <c r="N180" s="32" t="s">
        <v>5089</v>
      </c>
      <c r="O180" s="32" t="s">
        <v>4730</v>
      </c>
      <c r="P180" s="32">
        <v>2449.0</v>
      </c>
      <c r="Q180" s="34">
        <v>2004.0</v>
      </c>
      <c r="R180" s="40">
        <v>2004.0</v>
      </c>
      <c r="S180" s="35">
        <v>1959.2</v>
      </c>
      <c r="T180" s="36">
        <v>27.0</v>
      </c>
      <c r="U180" s="36">
        <v>3.0</v>
      </c>
      <c r="V180" s="36">
        <v>7.0</v>
      </c>
      <c r="W180" s="36">
        <v>0.0</v>
      </c>
      <c r="X180" s="36">
        <v>0.0</v>
      </c>
      <c r="Y180" s="36">
        <v>37.0</v>
      </c>
    </row>
    <row r="181">
      <c r="A181" s="32" t="s">
        <v>2657</v>
      </c>
      <c r="B181" s="32" t="s">
        <v>2657</v>
      </c>
      <c r="C181" s="32" t="s">
        <v>2658</v>
      </c>
      <c r="D181" s="32" t="s">
        <v>2659</v>
      </c>
      <c r="E181" s="32" t="s">
        <v>5073</v>
      </c>
      <c r="F181" s="32" t="e">
        <v>#N/A</v>
      </c>
      <c r="G181" s="32" t="e">
        <v>#N/A</v>
      </c>
      <c r="H181" s="32" t="s">
        <v>2660</v>
      </c>
      <c r="I181" s="32" t="s">
        <v>5073</v>
      </c>
      <c r="J181" s="32" t="s">
        <v>2661</v>
      </c>
      <c r="K181" s="33" t="s">
        <v>2662</v>
      </c>
      <c r="L181" s="32">
        <v>3.1818449E7</v>
      </c>
      <c r="M181" s="32" t="e">
        <v>#N/A</v>
      </c>
      <c r="N181" s="32" t="s">
        <v>5107</v>
      </c>
      <c r="O181" s="32" t="s">
        <v>4730</v>
      </c>
      <c r="P181" s="32">
        <v>1389.0</v>
      </c>
      <c r="Q181" s="34">
        <v>1138.0</v>
      </c>
      <c r="R181" s="40">
        <v>1138.0</v>
      </c>
      <c r="S181" s="35">
        <v>1041.75</v>
      </c>
      <c r="T181" s="36">
        <v>19.0</v>
      </c>
      <c r="U181" s="36">
        <v>4.0</v>
      </c>
      <c r="V181" s="36">
        <v>11.0</v>
      </c>
      <c r="W181" s="36">
        <v>2.0</v>
      </c>
      <c r="X181" s="36">
        <v>0.0</v>
      </c>
      <c r="Y181" s="36">
        <v>36.0</v>
      </c>
    </row>
    <row r="182">
      <c r="A182" s="32" t="s">
        <v>2203</v>
      </c>
      <c r="B182" s="32" t="s">
        <v>2203</v>
      </c>
      <c r="C182" s="32" t="s">
        <v>2204</v>
      </c>
      <c r="D182" s="32" t="s">
        <v>2205</v>
      </c>
      <c r="E182" s="32" t="s">
        <v>5073</v>
      </c>
      <c r="F182" s="32" t="e">
        <v>#N/A</v>
      </c>
      <c r="G182" s="39"/>
      <c r="H182" s="32" t="s">
        <v>2206</v>
      </c>
      <c r="I182" s="32" t="s">
        <v>5073</v>
      </c>
      <c r="J182" s="32" t="s">
        <v>2207</v>
      </c>
      <c r="K182" s="33" t="s">
        <v>2208</v>
      </c>
      <c r="L182" s="32">
        <v>3.1862317E7</v>
      </c>
      <c r="M182" s="32" t="e">
        <v>#N/A</v>
      </c>
      <c r="N182" s="32" t="s">
        <v>5077</v>
      </c>
      <c r="O182" s="32" t="s">
        <v>4730</v>
      </c>
      <c r="P182" s="32">
        <v>789.0</v>
      </c>
      <c r="Q182" s="34">
        <v>750.0</v>
      </c>
      <c r="R182" s="35">
        <v>750.0</v>
      </c>
      <c r="S182" s="35">
        <v>710.1</v>
      </c>
      <c r="T182" s="36">
        <v>8.0</v>
      </c>
      <c r="U182" s="36">
        <v>2.0</v>
      </c>
      <c r="V182" s="36">
        <v>26.0</v>
      </c>
      <c r="W182" s="36">
        <v>0.0</v>
      </c>
      <c r="X182" s="36">
        <v>0.0</v>
      </c>
      <c r="Y182" s="36">
        <v>36.0</v>
      </c>
    </row>
    <row r="183">
      <c r="A183" s="32" t="s">
        <v>1333</v>
      </c>
      <c r="B183" s="32" t="s">
        <v>1333</v>
      </c>
      <c r="C183" s="32" t="s">
        <v>1334</v>
      </c>
      <c r="D183" s="32" t="s">
        <v>1335</v>
      </c>
      <c r="E183" s="32" t="s">
        <v>5073</v>
      </c>
      <c r="F183" s="32" t="e">
        <v>#N/A</v>
      </c>
      <c r="G183" s="39"/>
      <c r="H183" s="32" t="s">
        <v>1336</v>
      </c>
      <c r="I183" s="32" t="s">
        <v>5073</v>
      </c>
      <c r="J183" s="32" t="s">
        <v>1337</v>
      </c>
      <c r="K183" s="33" t="s">
        <v>1338</v>
      </c>
      <c r="L183" s="32">
        <v>3.18184E7</v>
      </c>
      <c r="M183" s="32" t="e">
        <v>#N/A</v>
      </c>
      <c r="N183" s="32" t="s">
        <v>5089</v>
      </c>
      <c r="O183" s="32" t="s">
        <v>4730</v>
      </c>
      <c r="P183" s="32">
        <v>2449.0</v>
      </c>
      <c r="Q183" s="34">
        <v>2004.0</v>
      </c>
      <c r="R183" s="40">
        <v>2004.0</v>
      </c>
      <c r="S183" s="35">
        <v>1959.2</v>
      </c>
      <c r="T183" s="36">
        <v>23.0</v>
      </c>
      <c r="U183" s="36">
        <v>2.0</v>
      </c>
      <c r="V183" s="36">
        <v>11.0</v>
      </c>
      <c r="W183" s="36">
        <v>0.0</v>
      </c>
      <c r="X183" s="36">
        <v>0.0</v>
      </c>
      <c r="Y183" s="36">
        <v>36.0</v>
      </c>
    </row>
    <row r="184">
      <c r="A184" s="32" t="s">
        <v>3544</v>
      </c>
      <c r="B184" s="32" t="s">
        <v>3544</v>
      </c>
      <c r="C184" s="32" t="s">
        <v>3545</v>
      </c>
      <c r="D184" s="32" t="s">
        <v>3547</v>
      </c>
      <c r="E184" s="32" t="s">
        <v>5073</v>
      </c>
      <c r="F184" s="32" t="e">
        <v>#N/A</v>
      </c>
      <c r="G184" s="32" t="e">
        <v>#N/A</v>
      </c>
      <c r="H184" s="32" t="s">
        <v>3548</v>
      </c>
      <c r="I184" s="32" t="s">
        <v>5073</v>
      </c>
      <c r="J184" s="32" t="s">
        <v>3549</v>
      </c>
      <c r="K184" s="33" t="s">
        <v>3550</v>
      </c>
      <c r="L184" s="32" t="e">
        <v>#N/A</v>
      </c>
      <c r="M184" s="32" t="e">
        <v>#N/A</v>
      </c>
      <c r="N184" s="32" t="s">
        <v>5098</v>
      </c>
      <c r="O184" s="32" t="s">
        <v>4730</v>
      </c>
      <c r="P184" s="32">
        <v>799.0</v>
      </c>
      <c r="Q184" s="34">
        <v>719.0</v>
      </c>
      <c r="R184" s="35">
        <v>719.0</v>
      </c>
      <c r="S184" s="35">
        <v>679.15</v>
      </c>
      <c r="T184" s="36">
        <v>0.0</v>
      </c>
      <c r="U184" s="36">
        <v>0.0</v>
      </c>
      <c r="V184" s="36">
        <v>20.0</v>
      </c>
      <c r="W184" s="36">
        <v>8.0</v>
      </c>
      <c r="X184" s="36">
        <v>8.0</v>
      </c>
      <c r="Y184" s="36">
        <v>36.0</v>
      </c>
    </row>
    <row r="185">
      <c r="A185" s="32" t="s">
        <v>1469</v>
      </c>
      <c r="B185" s="32" t="s">
        <v>1469</v>
      </c>
      <c r="C185" s="32" t="s">
        <v>1470</v>
      </c>
      <c r="D185" s="32" t="s">
        <v>1471</v>
      </c>
      <c r="E185" s="32" t="s">
        <v>5073</v>
      </c>
      <c r="F185" s="32" t="e">
        <v>#N/A</v>
      </c>
      <c r="G185" s="39"/>
      <c r="H185" s="32" t="s">
        <v>1472</v>
      </c>
      <c r="I185" s="32" t="s">
        <v>5073</v>
      </c>
      <c r="J185" s="32" t="s">
        <v>1473</v>
      </c>
      <c r="K185" s="33" t="s">
        <v>1474</v>
      </c>
      <c r="L185" s="32">
        <v>3.1818477E7</v>
      </c>
      <c r="M185" s="32" t="e">
        <v>#N/A</v>
      </c>
      <c r="N185" s="32" t="s">
        <v>5089</v>
      </c>
      <c r="O185" s="32" t="s">
        <v>4730</v>
      </c>
      <c r="P185" s="32">
        <v>2999.0</v>
      </c>
      <c r="Q185" s="34">
        <v>2449.0</v>
      </c>
      <c r="R185" s="40">
        <v>2449.0</v>
      </c>
      <c r="S185" s="35">
        <v>2399.2</v>
      </c>
      <c r="T185" s="36">
        <v>11.0</v>
      </c>
      <c r="U185" s="36">
        <v>0.0</v>
      </c>
      <c r="V185" s="36">
        <v>14.0</v>
      </c>
      <c r="W185" s="36">
        <v>10.0</v>
      </c>
      <c r="X185" s="36">
        <v>1.0</v>
      </c>
      <c r="Y185" s="36">
        <v>36.0</v>
      </c>
    </row>
    <row r="186">
      <c r="A186" s="32" t="s">
        <v>2677</v>
      </c>
      <c r="B186" s="32" t="s">
        <v>2677</v>
      </c>
      <c r="C186" s="32">
        <v>0.0</v>
      </c>
      <c r="D186" s="32" t="e">
        <v>#N/A</v>
      </c>
      <c r="E186" s="39"/>
      <c r="F186" s="32" t="e">
        <v>#N/A</v>
      </c>
      <c r="G186" s="39"/>
      <c r="H186" s="32" t="e">
        <v>#N/A</v>
      </c>
      <c r="I186" s="39"/>
      <c r="J186" s="32">
        <v>0.0</v>
      </c>
      <c r="K186" s="33" t="e">
        <v>#N/A</v>
      </c>
      <c r="L186" s="32" t="e">
        <v>#N/A</v>
      </c>
      <c r="M186" s="32" t="e">
        <v>#N/A</v>
      </c>
      <c r="N186" s="32" t="e">
        <v>#N/A</v>
      </c>
      <c r="O186" s="32" t="e">
        <v>#N/A</v>
      </c>
      <c r="P186" s="32" t="e">
        <v>#REF!</v>
      </c>
      <c r="Q186" s="32" t="e">
        <v>#N/A</v>
      </c>
      <c r="R186" s="42" t="e">
        <v>#N/A</v>
      </c>
      <c r="S186" s="42" t="e">
        <v>#N/A</v>
      </c>
      <c r="T186" s="36">
        <v>12.0</v>
      </c>
      <c r="U186" s="36">
        <v>12.0</v>
      </c>
      <c r="V186" s="36">
        <v>0.0</v>
      </c>
      <c r="W186" s="36">
        <v>9.0</v>
      </c>
      <c r="X186" s="36">
        <v>2.0</v>
      </c>
      <c r="Y186" s="36">
        <v>35.0</v>
      </c>
    </row>
    <row r="187">
      <c r="A187" s="32" t="s">
        <v>3159</v>
      </c>
      <c r="B187" s="32" t="s">
        <v>3159</v>
      </c>
      <c r="C187" s="32" t="s">
        <v>3160</v>
      </c>
      <c r="D187" s="32" t="s">
        <v>3161</v>
      </c>
      <c r="E187" s="32" t="s">
        <v>5073</v>
      </c>
      <c r="F187" s="32" t="e">
        <v>#N/A</v>
      </c>
      <c r="G187" s="39"/>
      <c r="H187" s="32">
        <v>0.0</v>
      </c>
      <c r="I187" s="39"/>
      <c r="J187" s="32" t="s">
        <v>3162</v>
      </c>
      <c r="K187" s="33" t="s">
        <v>3163</v>
      </c>
      <c r="L187" s="32" t="e">
        <v>#N/A</v>
      </c>
      <c r="M187" s="32" t="e">
        <v>#N/A</v>
      </c>
      <c r="N187" s="32" t="s">
        <v>5087</v>
      </c>
      <c r="O187" s="32" t="s">
        <v>4730</v>
      </c>
      <c r="P187" s="32">
        <v>2689.0</v>
      </c>
      <c r="Q187" s="34">
        <v>2268.0</v>
      </c>
      <c r="R187" s="40">
        <v>2299.0</v>
      </c>
      <c r="S187" s="35">
        <v>2285.65</v>
      </c>
      <c r="T187" s="36">
        <v>0.0</v>
      </c>
      <c r="U187" s="36">
        <v>0.0</v>
      </c>
      <c r="V187" s="36">
        <v>35.0</v>
      </c>
      <c r="W187" s="36">
        <v>0.0</v>
      </c>
      <c r="X187" s="36">
        <v>0.0</v>
      </c>
      <c r="Y187" s="36">
        <v>35.0</v>
      </c>
    </row>
    <row r="188">
      <c r="A188" s="32" t="s">
        <v>1285</v>
      </c>
      <c r="B188" s="32" t="s">
        <v>1285</v>
      </c>
      <c r="C188" s="32" t="s">
        <v>1286</v>
      </c>
      <c r="D188" s="32" t="s">
        <v>1287</v>
      </c>
      <c r="E188" s="32" t="s">
        <v>5073</v>
      </c>
      <c r="F188" s="32" t="e">
        <v>#N/A</v>
      </c>
      <c r="G188" s="39"/>
      <c r="H188" s="32" t="s">
        <v>1288</v>
      </c>
      <c r="I188" s="32" t="s">
        <v>5073</v>
      </c>
      <c r="J188" s="32" t="s">
        <v>1289</v>
      </c>
      <c r="K188" s="33" t="s">
        <v>1290</v>
      </c>
      <c r="L188" s="32">
        <v>3.1818414E7</v>
      </c>
      <c r="M188" s="32" t="e">
        <v>#N/A</v>
      </c>
      <c r="N188" s="32" t="s">
        <v>5089</v>
      </c>
      <c r="O188" s="32" t="s">
        <v>4730</v>
      </c>
      <c r="P188" s="32">
        <v>2449.0</v>
      </c>
      <c r="Q188" s="34">
        <v>2004.0</v>
      </c>
      <c r="R188" s="40">
        <v>2004.0</v>
      </c>
      <c r="S188" s="35">
        <v>1959.2</v>
      </c>
      <c r="T188" s="36">
        <v>29.0</v>
      </c>
      <c r="U188" s="36">
        <v>0.0</v>
      </c>
      <c r="V188" s="36">
        <v>6.0</v>
      </c>
      <c r="W188" s="36">
        <v>0.0</v>
      </c>
      <c r="X188" s="36">
        <v>0.0</v>
      </c>
      <c r="Y188" s="36">
        <v>35.0</v>
      </c>
    </row>
    <row r="189">
      <c r="A189" s="32" t="s">
        <v>1315</v>
      </c>
      <c r="B189" s="32" t="s">
        <v>1315</v>
      </c>
      <c r="C189" s="32" t="s">
        <v>1316</v>
      </c>
      <c r="D189" s="32" t="s">
        <v>1317</v>
      </c>
      <c r="E189" s="32" t="s">
        <v>5090</v>
      </c>
      <c r="F189" s="32" t="e">
        <v>#N/A</v>
      </c>
      <c r="G189" s="39"/>
      <c r="H189" s="32" t="s">
        <v>1318</v>
      </c>
      <c r="I189" s="32" t="s">
        <v>5122</v>
      </c>
      <c r="J189" s="32" t="s">
        <v>1319</v>
      </c>
      <c r="K189" s="33" t="s">
        <v>1320</v>
      </c>
      <c r="L189" s="32">
        <v>3.181838E7</v>
      </c>
      <c r="M189" s="32" t="e">
        <v>#N/A</v>
      </c>
      <c r="N189" s="32" t="s">
        <v>5089</v>
      </c>
      <c r="O189" s="32" t="s">
        <v>4730</v>
      </c>
      <c r="P189" s="32">
        <v>2449.0</v>
      </c>
      <c r="Q189" s="34">
        <v>2004.0</v>
      </c>
      <c r="R189" s="40">
        <v>2004.0</v>
      </c>
      <c r="S189" s="35">
        <v>1959.2</v>
      </c>
      <c r="T189" s="36">
        <v>28.0</v>
      </c>
      <c r="U189" s="36">
        <v>2.0</v>
      </c>
      <c r="V189" s="36">
        <v>5.0</v>
      </c>
      <c r="W189" s="36">
        <v>0.0</v>
      </c>
      <c r="X189" s="36">
        <v>0.0</v>
      </c>
      <c r="Y189" s="36">
        <v>35.0</v>
      </c>
    </row>
    <row r="190">
      <c r="A190" s="32" t="s">
        <v>3241</v>
      </c>
      <c r="B190" s="32" t="s">
        <v>3241</v>
      </c>
      <c r="C190" s="32" t="s">
        <v>3242</v>
      </c>
      <c r="D190" s="32" t="s">
        <v>3243</v>
      </c>
      <c r="E190" s="32" t="s">
        <v>5073</v>
      </c>
      <c r="F190" s="32" t="e">
        <v>#N/A</v>
      </c>
      <c r="G190" s="39"/>
      <c r="H190" s="32" t="s">
        <v>3244</v>
      </c>
      <c r="I190" s="32" t="s">
        <v>5073</v>
      </c>
      <c r="J190" s="32" t="s">
        <v>3245</v>
      </c>
      <c r="K190" s="33" t="s">
        <v>3246</v>
      </c>
      <c r="L190" s="32">
        <v>3.1818406E7</v>
      </c>
      <c r="M190" s="32" t="e">
        <v>#N/A</v>
      </c>
      <c r="N190" s="32" t="s">
        <v>5086</v>
      </c>
      <c r="O190" s="32" t="s">
        <v>4730</v>
      </c>
      <c r="P190" s="32">
        <v>1889.0</v>
      </c>
      <c r="Q190" s="34">
        <v>1699.0</v>
      </c>
      <c r="R190" s="40">
        <v>1699.0</v>
      </c>
      <c r="S190" s="35">
        <v>1605.65</v>
      </c>
      <c r="T190" s="36">
        <v>0.0</v>
      </c>
      <c r="U190" s="36">
        <v>0.0</v>
      </c>
      <c r="V190" s="36">
        <v>34.0</v>
      </c>
      <c r="W190" s="36">
        <v>0.0</v>
      </c>
      <c r="X190" s="36">
        <v>1.0</v>
      </c>
      <c r="Y190" s="36">
        <v>35.0</v>
      </c>
    </row>
    <row r="191">
      <c r="A191" s="32" t="s">
        <v>2791</v>
      </c>
      <c r="B191" s="32" t="s">
        <v>2791</v>
      </c>
      <c r="C191" s="32">
        <v>0.0</v>
      </c>
      <c r="D191" s="32" t="e">
        <v>#N/A</v>
      </c>
      <c r="E191" s="39"/>
      <c r="F191" s="32" t="e">
        <v>#N/A</v>
      </c>
      <c r="G191" s="39"/>
      <c r="H191" s="32" t="e">
        <v>#N/A</v>
      </c>
      <c r="I191" s="39"/>
      <c r="J191" s="32">
        <v>0.0</v>
      </c>
      <c r="K191" s="33" t="e">
        <v>#N/A</v>
      </c>
      <c r="L191" s="32" t="e">
        <v>#N/A</v>
      </c>
      <c r="M191" s="32" t="e">
        <v>#N/A</v>
      </c>
      <c r="N191" s="32" t="e">
        <v>#N/A</v>
      </c>
      <c r="O191" s="32" t="e">
        <v>#N/A</v>
      </c>
      <c r="P191" s="32" t="e">
        <v>#REF!</v>
      </c>
      <c r="Q191" s="32" t="e">
        <v>#N/A</v>
      </c>
      <c r="R191" s="42" t="e">
        <v>#N/A</v>
      </c>
      <c r="S191" s="42" t="e">
        <v>#N/A</v>
      </c>
      <c r="T191" s="36">
        <v>0.0</v>
      </c>
      <c r="U191" s="36">
        <v>0.0</v>
      </c>
      <c r="V191" s="36">
        <v>35.0</v>
      </c>
      <c r="W191" s="36">
        <v>0.0</v>
      </c>
      <c r="X191" s="36">
        <v>0.0</v>
      </c>
      <c r="Y191" s="36">
        <v>35.0</v>
      </c>
    </row>
    <row r="192">
      <c r="A192" s="32" t="s">
        <v>950</v>
      </c>
      <c r="B192" s="32" t="s">
        <v>950</v>
      </c>
      <c r="C192" s="32" t="s">
        <v>951</v>
      </c>
      <c r="D192" s="32" t="s">
        <v>952</v>
      </c>
      <c r="E192" s="32" t="s">
        <v>5073</v>
      </c>
      <c r="F192" s="32" t="e">
        <v>#N/A</v>
      </c>
      <c r="G192" s="32" t="e">
        <v>#N/A</v>
      </c>
      <c r="H192" s="32" t="s">
        <v>953</v>
      </c>
      <c r="I192" s="32" t="s">
        <v>5073</v>
      </c>
      <c r="J192" s="32" t="s">
        <v>954</v>
      </c>
      <c r="K192" s="33" t="s">
        <v>955</v>
      </c>
      <c r="L192" s="32">
        <v>3.1999068E7</v>
      </c>
      <c r="M192" s="32" t="s">
        <v>956</v>
      </c>
      <c r="N192" s="32" t="s">
        <v>5108</v>
      </c>
      <c r="O192" s="32" t="s">
        <v>52</v>
      </c>
      <c r="P192" s="32">
        <v>20199.0</v>
      </c>
      <c r="Q192" s="34">
        <v>16967.0</v>
      </c>
      <c r="R192" s="40">
        <v>18199.0</v>
      </c>
      <c r="S192" s="35">
        <v>16159.2</v>
      </c>
      <c r="T192" s="36">
        <v>29.0</v>
      </c>
      <c r="U192" s="36">
        <v>0.0</v>
      </c>
      <c r="V192" s="36">
        <v>5.0</v>
      </c>
      <c r="W192" s="36">
        <v>0.0</v>
      </c>
      <c r="X192" s="36">
        <v>0.0</v>
      </c>
      <c r="Y192" s="36">
        <v>34.0</v>
      </c>
    </row>
    <row r="193">
      <c r="A193" s="32" t="s">
        <v>4342</v>
      </c>
      <c r="B193" s="32" t="s">
        <v>4342</v>
      </c>
      <c r="C193" s="32" t="s">
        <v>4343</v>
      </c>
      <c r="D193" s="32" t="s">
        <v>4344</v>
      </c>
      <c r="E193" s="32" t="s">
        <v>5073</v>
      </c>
      <c r="F193" s="32" t="e">
        <v>#N/A</v>
      </c>
      <c r="G193" s="38"/>
      <c r="H193" s="32">
        <v>0.0</v>
      </c>
      <c r="I193" s="39"/>
      <c r="J193" s="32" t="s">
        <v>4345</v>
      </c>
      <c r="K193" s="33" t="s">
        <v>4346</v>
      </c>
      <c r="L193" s="32" t="e">
        <v>#N/A</v>
      </c>
      <c r="M193" s="32" t="s">
        <v>4347</v>
      </c>
      <c r="N193" s="32" t="s">
        <v>5118</v>
      </c>
      <c r="O193" s="32" t="s">
        <v>52</v>
      </c>
      <c r="P193" s="32">
        <v>15399.0</v>
      </c>
      <c r="Q193" s="34">
        <v>13859.0</v>
      </c>
      <c r="R193" s="40">
        <v>14799.0</v>
      </c>
      <c r="S193" s="35">
        <v>13529.34</v>
      </c>
      <c r="T193" s="36">
        <v>3.0</v>
      </c>
      <c r="U193" s="36">
        <v>1.0</v>
      </c>
      <c r="V193" s="36">
        <v>26.0</v>
      </c>
      <c r="W193" s="36">
        <v>1.0</v>
      </c>
      <c r="X193" s="36">
        <v>3.0</v>
      </c>
      <c r="Y193" s="36">
        <v>34.0</v>
      </c>
    </row>
    <row r="194">
      <c r="A194" s="32" t="s">
        <v>2745</v>
      </c>
      <c r="B194" s="32" t="s">
        <v>2745</v>
      </c>
      <c r="C194" s="32" t="s">
        <v>2746</v>
      </c>
      <c r="D194" s="32" t="s">
        <v>2747</v>
      </c>
      <c r="E194" s="32" t="s">
        <v>5073</v>
      </c>
      <c r="F194" s="32" t="e">
        <v>#N/A</v>
      </c>
      <c r="G194" s="39"/>
      <c r="H194" s="32" t="s">
        <v>2748</v>
      </c>
      <c r="I194" s="32" t="s">
        <v>5073</v>
      </c>
      <c r="J194" s="32" t="s">
        <v>2749</v>
      </c>
      <c r="K194" s="33" t="s">
        <v>2750</v>
      </c>
      <c r="L194" s="32" t="e">
        <v>#N/A</v>
      </c>
      <c r="M194" s="32" t="e">
        <v>#N/A</v>
      </c>
      <c r="N194" s="32" t="s">
        <v>5107</v>
      </c>
      <c r="O194" s="32" t="s">
        <v>4730</v>
      </c>
      <c r="P194" s="32">
        <v>1989.0</v>
      </c>
      <c r="Q194" s="34">
        <v>1628.0</v>
      </c>
      <c r="R194" s="40">
        <v>1628.0</v>
      </c>
      <c r="S194" s="35">
        <v>1491.75</v>
      </c>
      <c r="T194" s="36">
        <v>14.0</v>
      </c>
      <c r="U194" s="36">
        <v>0.0</v>
      </c>
      <c r="V194" s="36">
        <v>20.0</v>
      </c>
      <c r="W194" s="36">
        <v>0.0</v>
      </c>
      <c r="X194" s="36">
        <v>0.0</v>
      </c>
      <c r="Y194" s="36">
        <v>34.0</v>
      </c>
    </row>
    <row r="195">
      <c r="A195" s="32" t="s">
        <v>3866</v>
      </c>
      <c r="B195" s="32" t="s">
        <v>3866</v>
      </c>
      <c r="C195" s="32" t="s">
        <v>3867</v>
      </c>
      <c r="D195" s="32" t="s">
        <v>3868</v>
      </c>
      <c r="E195" s="32" t="s">
        <v>5073</v>
      </c>
      <c r="F195" s="32" t="e">
        <v>#N/A</v>
      </c>
      <c r="G195" s="39"/>
      <c r="H195" s="32">
        <v>0.0</v>
      </c>
      <c r="I195" s="39"/>
      <c r="J195" s="32" t="s">
        <v>3869</v>
      </c>
      <c r="K195" s="33" t="s">
        <v>3870</v>
      </c>
      <c r="L195" s="32" t="e">
        <v>#N/A</v>
      </c>
      <c r="M195" s="32" t="e">
        <v>#N/A</v>
      </c>
      <c r="N195" s="32" t="s">
        <v>4727</v>
      </c>
      <c r="O195" s="32" t="s">
        <v>4727</v>
      </c>
      <c r="P195" s="32">
        <v>1869.0</v>
      </c>
      <c r="Q195" s="34">
        <v>1495.0</v>
      </c>
      <c r="R195" s="40">
        <v>1499.0</v>
      </c>
      <c r="S195" s="35">
        <v>1401.75</v>
      </c>
      <c r="T195" s="36">
        <v>32.0</v>
      </c>
      <c r="U195" s="36">
        <v>0.0</v>
      </c>
      <c r="V195" s="36">
        <v>2.0</v>
      </c>
      <c r="W195" s="36">
        <v>0.0</v>
      </c>
      <c r="X195" s="36">
        <v>0.0</v>
      </c>
      <c r="Y195" s="36">
        <v>34.0</v>
      </c>
    </row>
    <row r="196">
      <c r="A196" s="32" t="s">
        <v>1261</v>
      </c>
      <c r="B196" s="32" t="s">
        <v>1261</v>
      </c>
      <c r="C196" s="32" t="s">
        <v>1262</v>
      </c>
      <c r="D196" s="32" t="s">
        <v>1263</v>
      </c>
      <c r="E196" s="32" t="s">
        <v>5073</v>
      </c>
      <c r="F196" s="32" t="e">
        <v>#N/A</v>
      </c>
      <c r="G196" s="39"/>
      <c r="H196" s="32" t="s">
        <v>1264</v>
      </c>
      <c r="I196" s="32" t="s">
        <v>5073</v>
      </c>
      <c r="J196" s="32" t="s">
        <v>1265</v>
      </c>
      <c r="K196" s="33" t="s">
        <v>1266</v>
      </c>
      <c r="L196" s="32">
        <v>3.1818472E7</v>
      </c>
      <c r="M196" s="32" t="e">
        <v>#N/A</v>
      </c>
      <c r="N196" s="32" t="s">
        <v>5089</v>
      </c>
      <c r="O196" s="32" t="s">
        <v>4730</v>
      </c>
      <c r="P196" s="32">
        <v>1999.0</v>
      </c>
      <c r="Q196" s="34">
        <v>1629.0</v>
      </c>
      <c r="R196" s="40">
        <v>1629.0</v>
      </c>
      <c r="S196" s="35">
        <v>1599.2</v>
      </c>
      <c r="T196" s="36">
        <v>23.0</v>
      </c>
      <c r="U196" s="36">
        <v>2.0</v>
      </c>
      <c r="V196" s="36">
        <v>9.0</v>
      </c>
      <c r="W196" s="36">
        <v>0.0</v>
      </c>
      <c r="X196" s="36">
        <v>0.0</v>
      </c>
      <c r="Y196" s="36">
        <v>34.0</v>
      </c>
    </row>
    <row r="197">
      <c r="A197" s="32" t="s">
        <v>1291</v>
      </c>
      <c r="B197" s="32" t="s">
        <v>1291</v>
      </c>
      <c r="C197" s="32" t="s">
        <v>1292</v>
      </c>
      <c r="D197" s="32" t="s">
        <v>1293</v>
      </c>
      <c r="E197" s="32" t="s">
        <v>5073</v>
      </c>
      <c r="F197" s="32" t="e">
        <v>#N/A</v>
      </c>
      <c r="G197" s="39"/>
      <c r="H197" s="32" t="s">
        <v>1294</v>
      </c>
      <c r="I197" s="32" t="s">
        <v>5073</v>
      </c>
      <c r="J197" s="32" t="s">
        <v>1295</v>
      </c>
      <c r="K197" s="33" t="s">
        <v>1296</v>
      </c>
      <c r="L197" s="32">
        <v>3.1818381E7</v>
      </c>
      <c r="M197" s="32" t="e">
        <v>#N/A</v>
      </c>
      <c r="N197" s="32" t="s">
        <v>5116</v>
      </c>
      <c r="O197" s="32" t="s">
        <v>4730</v>
      </c>
      <c r="P197" s="32">
        <v>2449.0</v>
      </c>
      <c r="Q197" s="34">
        <v>2099.0</v>
      </c>
      <c r="R197" s="40">
        <v>2099.0</v>
      </c>
      <c r="S197" s="35">
        <v>2081.65</v>
      </c>
      <c r="T197" s="36">
        <v>22.0</v>
      </c>
      <c r="U197" s="36">
        <v>0.0</v>
      </c>
      <c r="V197" s="36">
        <v>7.0</v>
      </c>
      <c r="W197" s="36">
        <v>5.0</v>
      </c>
      <c r="X197" s="36">
        <v>0.0</v>
      </c>
      <c r="Y197" s="36">
        <v>34.0</v>
      </c>
    </row>
    <row r="198">
      <c r="A198" s="32" t="s">
        <v>2757</v>
      </c>
      <c r="B198" s="32" t="s">
        <v>2757</v>
      </c>
      <c r="C198" s="32" t="s">
        <v>2758</v>
      </c>
      <c r="D198" s="32" t="s">
        <v>2759</v>
      </c>
      <c r="E198" s="32" t="s">
        <v>5073</v>
      </c>
      <c r="F198" s="32" t="e">
        <v>#N/A</v>
      </c>
      <c r="G198" s="39"/>
      <c r="H198" s="32" t="s">
        <v>2760</v>
      </c>
      <c r="I198" s="32" t="s">
        <v>5073</v>
      </c>
      <c r="J198" s="32" t="s">
        <v>2761</v>
      </c>
      <c r="K198" s="33" t="s">
        <v>2762</v>
      </c>
      <c r="L198" s="32" t="e">
        <v>#N/A</v>
      </c>
      <c r="M198" s="32" t="e">
        <v>#N/A</v>
      </c>
      <c r="N198" s="32" t="s">
        <v>5107</v>
      </c>
      <c r="O198" s="32" t="s">
        <v>4730</v>
      </c>
      <c r="P198" s="32">
        <v>1989.0</v>
      </c>
      <c r="Q198" s="34">
        <v>1628.0</v>
      </c>
      <c r="R198" s="40">
        <v>1628.0</v>
      </c>
      <c r="S198" s="35">
        <v>1491.75</v>
      </c>
      <c r="T198" s="36">
        <v>0.0</v>
      </c>
      <c r="U198" s="36">
        <v>0.0</v>
      </c>
      <c r="V198" s="36">
        <v>34.0</v>
      </c>
      <c r="W198" s="36">
        <v>0.0</v>
      </c>
      <c r="X198" s="36">
        <v>0.0</v>
      </c>
      <c r="Y198" s="36">
        <v>34.0</v>
      </c>
    </row>
    <row r="199">
      <c r="A199" s="32" t="s">
        <v>2601</v>
      </c>
      <c r="B199" s="32" t="s">
        <v>2601</v>
      </c>
      <c r="C199" s="32">
        <v>0.0</v>
      </c>
      <c r="D199" s="32" t="s">
        <v>1161</v>
      </c>
      <c r="E199" s="39"/>
      <c r="F199" s="32" t="e">
        <v>#N/A</v>
      </c>
      <c r="G199" s="39"/>
      <c r="H199" s="32">
        <v>0.0</v>
      </c>
      <c r="I199" s="39"/>
      <c r="J199" s="32" t="s">
        <v>2602</v>
      </c>
      <c r="K199" s="33" t="e">
        <v>#N/A</v>
      </c>
      <c r="L199" s="32" t="e">
        <v>#N/A</v>
      </c>
      <c r="M199" s="32" t="s">
        <v>2603</v>
      </c>
      <c r="N199" s="32" t="s">
        <v>5113</v>
      </c>
      <c r="O199" s="32" t="s">
        <v>5114</v>
      </c>
      <c r="P199" s="32">
        <v>4489.0</v>
      </c>
      <c r="Q199" s="34">
        <v>4444.11</v>
      </c>
      <c r="R199" s="40">
        <v>4489.0</v>
      </c>
      <c r="S199" s="35">
        <v>4449.0</v>
      </c>
      <c r="T199" s="36">
        <v>0.0</v>
      </c>
      <c r="U199" s="36">
        <v>2.0</v>
      </c>
      <c r="V199" s="36">
        <v>32.0</v>
      </c>
      <c r="W199" s="36">
        <v>0.0</v>
      </c>
      <c r="X199" s="36">
        <v>0.0</v>
      </c>
      <c r="Y199" s="36">
        <v>34.0</v>
      </c>
    </row>
    <row r="200">
      <c r="A200" s="32" t="s">
        <v>4940</v>
      </c>
      <c r="B200" s="32" t="s">
        <v>4940</v>
      </c>
      <c r="C200" s="32" t="s">
        <v>4941</v>
      </c>
      <c r="D200" s="32" t="s">
        <v>4942</v>
      </c>
      <c r="E200" s="32" t="s">
        <v>5102</v>
      </c>
      <c r="F200" s="32" t="e">
        <v>#N/A</v>
      </c>
      <c r="G200" s="32" t="e">
        <v>#N/A</v>
      </c>
      <c r="H200" s="32">
        <v>0.0</v>
      </c>
      <c r="I200" s="32">
        <v>0.0</v>
      </c>
      <c r="J200" s="32" t="s">
        <v>4943</v>
      </c>
      <c r="K200" s="38"/>
      <c r="L200" s="38"/>
      <c r="M200" s="38"/>
      <c r="N200" s="32" t="s">
        <v>5077</v>
      </c>
      <c r="O200" s="32" t="s">
        <v>4730</v>
      </c>
      <c r="P200" s="32">
        <v>1499.0</v>
      </c>
      <c r="Q200" s="44">
        <v>1424.0</v>
      </c>
      <c r="R200" s="40">
        <v>1424.0</v>
      </c>
      <c r="S200" s="35">
        <v>1349.1</v>
      </c>
      <c r="T200" s="36">
        <v>13.0</v>
      </c>
      <c r="U200" s="36">
        <v>0.0</v>
      </c>
      <c r="V200" s="36">
        <v>20.0</v>
      </c>
      <c r="W200" s="36">
        <v>0.0</v>
      </c>
      <c r="X200" s="36">
        <v>0.0</v>
      </c>
      <c r="Y200" s="36">
        <v>33.0</v>
      </c>
    </row>
    <row r="201">
      <c r="A201" s="32" t="s">
        <v>4644</v>
      </c>
      <c r="B201" s="32" t="s">
        <v>4644</v>
      </c>
      <c r="C201" s="32" t="s">
        <v>4645</v>
      </c>
      <c r="D201" s="32" t="s">
        <v>4646</v>
      </c>
      <c r="E201" s="32" t="s">
        <v>5102</v>
      </c>
      <c r="F201" s="32" t="e">
        <v>#N/A</v>
      </c>
      <c r="G201" s="39"/>
      <c r="H201" s="32">
        <v>0.0</v>
      </c>
      <c r="I201" s="39"/>
      <c r="J201" s="32" t="s">
        <v>4647</v>
      </c>
      <c r="K201" s="33" t="s">
        <v>4648</v>
      </c>
      <c r="L201" s="32" t="e">
        <v>#N/A</v>
      </c>
      <c r="M201" s="32" t="e">
        <v>#N/A</v>
      </c>
      <c r="N201" s="32" t="s">
        <v>5077</v>
      </c>
      <c r="O201" s="32" t="s">
        <v>4730</v>
      </c>
      <c r="P201" s="32">
        <v>1699.0</v>
      </c>
      <c r="Q201" s="34">
        <v>1614.0</v>
      </c>
      <c r="R201" s="40">
        <v>1614.0</v>
      </c>
      <c r="S201" s="35">
        <v>1529.1</v>
      </c>
      <c r="T201" s="36">
        <v>13.0</v>
      </c>
      <c r="U201" s="36">
        <v>9.0</v>
      </c>
      <c r="V201" s="36">
        <v>0.0</v>
      </c>
      <c r="W201" s="36">
        <v>8.0</v>
      </c>
      <c r="X201" s="36">
        <v>3.0</v>
      </c>
      <c r="Y201" s="36">
        <v>33.0</v>
      </c>
    </row>
    <row r="202">
      <c r="A202" s="32" t="s">
        <v>1321</v>
      </c>
      <c r="B202" s="32" t="s">
        <v>1321</v>
      </c>
      <c r="C202" s="32" t="s">
        <v>1322</v>
      </c>
      <c r="D202" s="32" t="s">
        <v>1323</v>
      </c>
      <c r="E202" s="32" t="s">
        <v>5073</v>
      </c>
      <c r="F202" s="32" t="e">
        <v>#N/A</v>
      </c>
      <c r="G202" s="39"/>
      <c r="H202" s="32" t="s">
        <v>1324</v>
      </c>
      <c r="I202" s="32" t="s">
        <v>5073</v>
      </c>
      <c r="J202" s="32" t="s">
        <v>1325</v>
      </c>
      <c r="K202" s="33" t="s">
        <v>1326</v>
      </c>
      <c r="L202" s="32">
        <v>3.1818374E7</v>
      </c>
      <c r="M202" s="32" t="e">
        <v>#N/A</v>
      </c>
      <c r="N202" s="32" t="s">
        <v>5089</v>
      </c>
      <c r="O202" s="32" t="s">
        <v>4730</v>
      </c>
      <c r="P202" s="32">
        <v>2449.0</v>
      </c>
      <c r="Q202" s="34">
        <v>2004.0</v>
      </c>
      <c r="R202" s="40">
        <v>2004.0</v>
      </c>
      <c r="S202" s="35">
        <v>1959.2</v>
      </c>
      <c r="T202" s="36">
        <v>17.0</v>
      </c>
      <c r="U202" s="36">
        <v>3.0</v>
      </c>
      <c r="V202" s="36">
        <v>13.0</v>
      </c>
      <c r="W202" s="36">
        <v>0.0</v>
      </c>
      <c r="X202" s="36">
        <v>0.0</v>
      </c>
      <c r="Y202" s="36">
        <v>33.0</v>
      </c>
    </row>
    <row r="203">
      <c r="A203" s="32" t="s">
        <v>4496</v>
      </c>
      <c r="B203" s="32" t="s">
        <v>4496</v>
      </c>
      <c r="C203" s="32" t="s">
        <v>4497</v>
      </c>
      <c r="D203" s="32" t="s">
        <v>4498</v>
      </c>
      <c r="E203" s="32" t="s">
        <v>5102</v>
      </c>
      <c r="F203" s="32" t="e">
        <v>#N/A</v>
      </c>
      <c r="G203" s="39"/>
      <c r="H203" s="32">
        <v>0.0</v>
      </c>
      <c r="I203" s="39"/>
      <c r="J203" s="32" t="s">
        <v>4499</v>
      </c>
      <c r="K203" s="33" t="s">
        <v>4500</v>
      </c>
      <c r="L203" s="32" t="e">
        <v>#N/A</v>
      </c>
      <c r="M203" s="32" t="e">
        <v>#N/A</v>
      </c>
      <c r="N203" s="32" t="s">
        <v>5077</v>
      </c>
      <c r="O203" s="32" t="s">
        <v>4730</v>
      </c>
      <c r="P203" s="32">
        <v>1199.0</v>
      </c>
      <c r="Q203" s="34">
        <v>1139.0</v>
      </c>
      <c r="R203" s="40">
        <v>1139.0</v>
      </c>
      <c r="S203" s="35">
        <v>1079.1</v>
      </c>
      <c r="T203" s="36">
        <v>1.0</v>
      </c>
      <c r="U203" s="36">
        <v>0.0</v>
      </c>
      <c r="V203" s="36">
        <v>31.0</v>
      </c>
      <c r="W203" s="36">
        <v>0.0</v>
      </c>
      <c r="X203" s="36">
        <v>0.0</v>
      </c>
      <c r="Y203" s="36">
        <v>32.0</v>
      </c>
    </row>
    <row r="204">
      <c r="A204" s="32" t="s">
        <v>569</v>
      </c>
      <c r="B204" s="32" t="s">
        <v>569</v>
      </c>
      <c r="C204" s="32" t="s">
        <v>570</v>
      </c>
      <c r="D204" s="32" t="s">
        <v>571</v>
      </c>
      <c r="E204" s="32" t="s">
        <v>5073</v>
      </c>
      <c r="F204" s="32" t="e">
        <v>#N/A</v>
      </c>
      <c r="G204" s="39"/>
      <c r="H204" s="32" t="s">
        <v>572</v>
      </c>
      <c r="I204" s="32" t="s">
        <v>5073</v>
      </c>
      <c r="J204" s="32" t="s">
        <v>573</v>
      </c>
      <c r="K204" s="33" t="s">
        <v>574</v>
      </c>
      <c r="L204" s="32">
        <v>3.199906E7</v>
      </c>
      <c r="M204" s="32" t="s">
        <v>575</v>
      </c>
      <c r="N204" s="32" t="s">
        <v>51</v>
      </c>
      <c r="O204" s="32" t="s">
        <v>52</v>
      </c>
      <c r="P204" s="32">
        <v>17999.0</v>
      </c>
      <c r="Q204" s="34">
        <v>14579.0</v>
      </c>
      <c r="R204" s="40">
        <v>15699.0</v>
      </c>
      <c r="S204" s="35">
        <v>13679.24</v>
      </c>
      <c r="T204" s="36">
        <v>0.0</v>
      </c>
      <c r="U204" s="36">
        <v>5.0</v>
      </c>
      <c r="V204" s="36">
        <v>26.0</v>
      </c>
      <c r="W204" s="36">
        <v>1.0</v>
      </c>
      <c r="X204" s="36">
        <v>0.0</v>
      </c>
      <c r="Y204" s="36">
        <v>32.0</v>
      </c>
    </row>
    <row r="205">
      <c r="A205" s="32" t="s">
        <v>2252</v>
      </c>
      <c r="B205" s="32" t="s">
        <v>2252</v>
      </c>
      <c r="C205" s="32" t="s">
        <v>2253</v>
      </c>
      <c r="D205" s="32" t="s">
        <v>2254</v>
      </c>
      <c r="E205" s="32" t="s">
        <v>5073</v>
      </c>
      <c r="F205" s="32" t="s">
        <v>2252</v>
      </c>
      <c r="G205" s="32" t="s">
        <v>5100</v>
      </c>
      <c r="H205" s="32">
        <v>0.0</v>
      </c>
      <c r="I205" s="39"/>
      <c r="J205" s="32" t="s">
        <v>2255</v>
      </c>
      <c r="K205" s="33" t="s">
        <v>2256</v>
      </c>
      <c r="L205" s="32" t="e">
        <v>#N/A</v>
      </c>
      <c r="M205" s="32" t="e">
        <v>#N/A</v>
      </c>
      <c r="N205" s="32" t="s">
        <v>5077</v>
      </c>
      <c r="O205" s="32" t="s">
        <v>4730</v>
      </c>
      <c r="P205" s="32">
        <v>889.0</v>
      </c>
      <c r="Q205" s="34">
        <v>845.0</v>
      </c>
      <c r="R205" s="35">
        <v>845.0</v>
      </c>
      <c r="S205" s="35">
        <v>800.1</v>
      </c>
      <c r="T205" s="36">
        <v>0.0</v>
      </c>
      <c r="U205" s="36">
        <v>7.0</v>
      </c>
      <c r="V205" s="36">
        <v>18.0</v>
      </c>
      <c r="W205" s="36">
        <v>0.0</v>
      </c>
      <c r="X205" s="36">
        <v>7.0</v>
      </c>
      <c r="Y205" s="36">
        <v>32.0</v>
      </c>
    </row>
    <row r="206">
      <c r="A206" s="32" t="s">
        <v>1463</v>
      </c>
      <c r="B206" s="32" t="s">
        <v>1463</v>
      </c>
      <c r="C206" s="32" t="s">
        <v>1464</v>
      </c>
      <c r="D206" s="32" t="s">
        <v>1465</v>
      </c>
      <c r="E206" s="32" t="s">
        <v>5090</v>
      </c>
      <c r="F206" s="32" t="e">
        <v>#N/A</v>
      </c>
      <c r="G206" s="39"/>
      <c r="H206" s="32" t="s">
        <v>1466</v>
      </c>
      <c r="I206" s="32" t="s">
        <v>5122</v>
      </c>
      <c r="J206" s="32" t="s">
        <v>1467</v>
      </c>
      <c r="K206" s="33" t="s">
        <v>1468</v>
      </c>
      <c r="L206" s="32">
        <v>3.1818463E7</v>
      </c>
      <c r="M206" s="32" t="e">
        <v>#N/A</v>
      </c>
      <c r="N206" s="32" t="s">
        <v>5089</v>
      </c>
      <c r="O206" s="32" t="s">
        <v>4730</v>
      </c>
      <c r="P206" s="32">
        <v>2999.0</v>
      </c>
      <c r="Q206" s="34">
        <v>2449.0</v>
      </c>
      <c r="R206" s="40">
        <v>2449.0</v>
      </c>
      <c r="S206" s="35">
        <v>2399.2</v>
      </c>
      <c r="T206" s="36">
        <v>9.0</v>
      </c>
      <c r="U206" s="36">
        <v>10.0</v>
      </c>
      <c r="V206" s="36">
        <v>13.0</v>
      </c>
      <c r="W206" s="36">
        <v>0.0</v>
      </c>
      <c r="X206" s="36">
        <v>0.0</v>
      </c>
      <c r="Y206" s="36">
        <v>32.0</v>
      </c>
    </row>
    <row r="207">
      <c r="A207" s="32" t="s">
        <v>1388</v>
      </c>
      <c r="B207" s="32" t="s">
        <v>1388</v>
      </c>
      <c r="C207" s="32" t="s">
        <v>1389</v>
      </c>
      <c r="D207" s="32" t="s">
        <v>1390</v>
      </c>
      <c r="E207" s="32" t="s">
        <v>5073</v>
      </c>
      <c r="F207" s="32" t="e">
        <v>#N/A</v>
      </c>
      <c r="G207" s="39"/>
      <c r="H207" s="32" t="s">
        <v>1391</v>
      </c>
      <c r="I207" s="32" t="s">
        <v>5073</v>
      </c>
      <c r="J207" s="32" t="s">
        <v>1392</v>
      </c>
      <c r="K207" s="33" t="s">
        <v>1393</v>
      </c>
      <c r="L207" s="32">
        <v>3.1818395E7</v>
      </c>
      <c r="M207" s="32" t="e">
        <v>#N/A</v>
      </c>
      <c r="N207" s="32" t="s">
        <v>5089</v>
      </c>
      <c r="O207" s="32" t="s">
        <v>4730</v>
      </c>
      <c r="P207" s="32">
        <v>2649.0</v>
      </c>
      <c r="Q207" s="34">
        <v>2164.0</v>
      </c>
      <c r="R207" s="40">
        <v>2199.0</v>
      </c>
      <c r="S207" s="35">
        <v>2119.2</v>
      </c>
      <c r="T207" s="36">
        <v>0.0</v>
      </c>
      <c r="U207" s="36">
        <v>0.0</v>
      </c>
      <c r="V207" s="36">
        <v>32.0</v>
      </c>
      <c r="W207" s="36">
        <v>0.0</v>
      </c>
      <c r="X207" s="36">
        <v>0.0</v>
      </c>
      <c r="Y207" s="36">
        <v>32.0</v>
      </c>
    </row>
    <row r="208">
      <c r="A208" s="32" t="s">
        <v>1303</v>
      </c>
      <c r="B208" s="32" t="s">
        <v>1303</v>
      </c>
      <c r="C208" s="32" t="s">
        <v>1304</v>
      </c>
      <c r="D208" s="32" t="s">
        <v>1305</v>
      </c>
      <c r="E208" s="32" t="s">
        <v>5073</v>
      </c>
      <c r="F208" s="32" t="e">
        <v>#N/A</v>
      </c>
      <c r="G208" s="39"/>
      <c r="H208" s="32" t="s">
        <v>1306</v>
      </c>
      <c r="I208" s="32" t="s">
        <v>5073</v>
      </c>
      <c r="J208" s="32" t="s">
        <v>1307</v>
      </c>
      <c r="K208" s="33" t="s">
        <v>1308</v>
      </c>
      <c r="L208" s="32">
        <v>3.1818474E7</v>
      </c>
      <c r="M208" s="32" t="e">
        <v>#N/A</v>
      </c>
      <c r="N208" s="32" t="s">
        <v>5089</v>
      </c>
      <c r="O208" s="32" t="s">
        <v>4730</v>
      </c>
      <c r="P208" s="32">
        <v>2449.0</v>
      </c>
      <c r="Q208" s="34">
        <v>2004.0</v>
      </c>
      <c r="R208" s="40">
        <v>2004.0</v>
      </c>
      <c r="S208" s="35">
        <v>1959.2</v>
      </c>
      <c r="T208" s="36">
        <v>24.0</v>
      </c>
      <c r="U208" s="36">
        <v>0.0</v>
      </c>
      <c r="V208" s="36">
        <v>8.0</v>
      </c>
      <c r="W208" s="36">
        <v>0.0</v>
      </c>
      <c r="X208" s="36">
        <v>0.0</v>
      </c>
      <c r="Y208" s="36">
        <v>32.0</v>
      </c>
    </row>
    <row r="209">
      <c r="A209" s="32" t="s">
        <v>4476</v>
      </c>
      <c r="B209" s="32" t="s">
        <v>4476</v>
      </c>
      <c r="C209" s="32" t="s">
        <v>4477</v>
      </c>
      <c r="D209" s="32" t="s">
        <v>4478</v>
      </c>
      <c r="E209" s="32" t="s">
        <v>5073</v>
      </c>
      <c r="F209" s="32" t="e">
        <v>#N/A</v>
      </c>
      <c r="G209" s="39"/>
      <c r="H209" s="32">
        <v>0.0</v>
      </c>
      <c r="I209" s="39"/>
      <c r="J209" s="32" t="s">
        <v>4479</v>
      </c>
      <c r="K209" s="33" t="s">
        <v>4480</v>
      </c>
      <c r="L209" s="32" t="e">
        <v>#N/A</v>
      </c>
      <c r="M209" s="32" t="e">
        <v>#N/A</v>
      </c>
      <c r="N209" s="32" t="s">
        <v>5077</v>
      </c>
      <c r="O209" s="32" t="s">
        <v>4730</v>
      </c>
      <c r="P209" s="32">
        <v>1199.0</v>
      </c>
      <c r="Q209" s="34">
        <v>1139.0</v>
      </c>
      <c r="R209" s="40">
        <v>1139.0</v>
      </c>
      <c r="S209" s="35">
        <v>1079.1</v>
      </c>
      <c r="T209" s="36">
        <v>11.0</v>
      </c>
      <c r="U209" s="36">
        <v>0.0</v>
      </c>
      <c r="V209" s="36">
        <v>21.0</v>
      </c>
      <c r="W209" s="36">
        <v>0.0</v>
      </c>
      <c r="X209" s="36">
        <v>0.0</v>
      </c>
      <c r="Y209" s="36">
        <v>32.0</v>
      </c>
    </row>
    <row r="210">
      <c r="A210" s="32" t="s">
        <v>2975</v>
      </c>
      <c r="B210" s="32" t="s">
        <v>2975</v>
      </c>
      <c r="C210" s="32" t="s">
        <v>4857</v>
      </c>
      <c r="D210" s="32" t="s">
        <v>4858</v>
      </c>
      <c r="E210" s="32" t="s">
        <v>5073</v>
      </c>
      <c r="F210" s="32" t="e">
        <v>#N/A</v>
      </c>
      <c r="G210" s="32" t="e">
        <v>#N/A</v>
      </c>
      <c r="H210" s="32" t="e">
        <v>#N/A</v>
      </c>
      <c r="I210" s="32">
        <v>0.0</v>
      </c>
      <c r="J210" s="32" t="s">
        <v>2976</v>
      </c>
      <c r="K210" s="33" t="s">
        <v>4859</v>
      </c>
      <c r="L210" s="32" t="e">
        <v>#N/A</v>
      </c>
      <c r="M210" s="32" t="e">
        <v>#N/A</v>
      </c>
      <c r="N210" s="33" t="s">
        <v>4729</v>
      </c>
      <c r="O210" s="33" t="s">
        <v>4730</v>
      </c>
      <c r="P210" s="32" t="e">
        <v>#REF!</v>
      </c>
      <c r="Q210" s="38"/>
      <c r="R210" s="42" t="e">
        <v>#N/A</v>
      </c>
      <c r="S210" s="38"/>
      <c r="T210" s="36">
        <v>16.0</v>
      </c>
      <c r="U210" s="36">
        <v>0.0</v>
      </c>
      <c r="V210" s="36">
        <v>15.0</v>
      </c>
      <c r="W210" s="36">
        <v>0.0</v>
      </c>
      <c r="X210" s="36">
        <v>0.0</v>
      </c>
      <c r="Y210" s="36">
        <v>31.0</v>
      </c>
    </row>
    <row r="211">
      <c r="A211" s="32" t="s">
        <v>937</v>
      </c>
      <c r="B211" s="32" t="s">
        <v>937</v>
      </c>
      <c r="C211" s="32" t="s">
        <v>938</v>
      </c>
      <c r="D211" s="32" t="s">
        <v>939</v>
      </c>
      <c r="E211" s="32" t="s">
        <v>5073</v>
      </c>
      <c r="F211" s="32" t="e">
        <v>#N/A</v>
      </c>
      <c r="G211" s="32" t="e">
        <v>#N/A</v>
      </c>
      <c r="H211" s="32">
        <v>0.0</v>
      </c>
      <c r="I211" s="39"/>
      <c r="J211" s="32" t="s">
        <v>940</v>
      </c>
      <c r="K211" s="33" t="s">
        <v>941</v>
      </c>
      <c r="L211" s="32">
        <v>3.1999058E7</v>
      </c>
      <c r="M211" s="32" t="s">
        <v>942</v>
      </c>
      <c r="N211" s="32" t="s">
        <v>5108</v>
      </c>
      <c r="O211" s="32" t="s">
        <v>52</v>
      </c>
      <c r="P211" s="32">
        <v>19399.0</v>
      </c>
      <c r="Q211" s="34">
        <v>16295.0</v>
      </c>
      <c r="R211" s="40">
        <v>17499.0</v>
      </c>
      <c r="S211" s="35">
        <v>15519.2</v>
      </c>
      <c r="T211" s="36">
        <v>1.0</v>
      </c>
      <c r="U211" s="36">
        <v>2.0</v>
      </c>
      <c r="V211" s="36">
        <v>16.0</v>
      </c>
      <c r="W211" s="36">
        <v>0.0</v>
      </c>
      <c r="X211" s="36">
        <v>12.0</v>
      </c>
      <c r="Y211" s="36">
        <v>31.0</v>
      </c>
    </row>
    <row r="212">
      <c r="A212" s="32" t="s">
        <v>917</v>
      </c>
      <c r="B212" s="32" t="s">
        <v>917</v>
      </c>
      <c r="C212" s="32" t="s">
        <v>918</v>
      </c>
      <c r="D212" s="32" t="s">
        <v>919</v>
      </c>
      <c r="E212" s="32" t="s">
        <v>5073</v>
      </c>
      <c r="F212" s="32" t="s">
        <v>920</v>
      </c>
      <c r="G212" s="32" t="s">
        <v>5100</v>
      </c>
      <c r="H212" s="32" t="s">
        <v>921</v>
      </c>
      <c r="I212" s="32" t="s">
        <v>5073</v>
      </c>
      <c r="J212" s="32" t="s">
        <v>922</v>
      </c>
      <c r="K212" s="33" t="s">
        <v>923</v>
      </c>
      <c r="L212" s="32">
        <v>3.1999071E7</v>
      </c>
      <c r="M212" s="32" t="s">
        <v>924</v>
      </c>
      <c r="N212" s="32" t="s">
        <v>5108</v>
      </c>
      <c r="O212" s="32" t="s">
        <v>52</v>
      </c>
      <c r="P212" s="32">
        <v>17299.0</v>
      </c>
      <c r="Q212" s="34">
        <v>14531.0</v>
      </c>
      <c r="R212" s="40">
        <v>15599.0</v>
      </c>
      <c r="S212" s="35">
        <v>13839.2</v>
      </c>
      <c r="T212" s="36">
        <v>14.0</v>
      </c>
      <c r="U212" s="36">
        <v>0.0</v>
      </c>
      <c r="V212" s="36">
        <v>16.0</v>
      </c>
      <c r="W212" s="36">
        <v>1.0</v>
      </c>
      <c r="X212" s="36">
        <v>0.0</v>
      </c>
      <c r="Y212" s="36">
        <v>31.0</v>
      </c>
    </row>
    <row r="213">
      <c r="A213" s="32" t="s">
        <v>4267</v>
      </c>
      <c r="B213" s="32" t="s">
        <v>4267</v>
      </c>
      <c r="C213" s="32" t="s">
        <v>4268</v>
      </c>
      <c r="D213" s="32" t="s">
        <v>4269</v>
      </c>
      <c r="E213" s="32" t="s">
        <v>5073</v>
      </c>
      <c r="F213" s="32" t="e">
        <v>#N/A</v>
      </c>
      <c r="G213" s="38"/>
      <c r="H213" s="32">
        <v>0.0</v>
      </c>
      <c r="I213" s="39"/>
      <c r="J213" s="32" t="s">
        <v>4270</v>
      </c>
      <c r="K213" s="33" t="s">
        <v>4271</v>
      </c>
      <c r="L213" s="32" t="e">
        <v>#N/A</v>
      </c>
      <c r="M213" s="32" t="s">
        <v>4272</v>
      </c>
      <c r="N213" s="32" t="s">
        <v>5118</v>
      </c>
      <c r="O213" s="32" t="s">
        <v>52</v>
      </c>
      <c r="P213" s="32">
        <v>10999.0</v>
      </c>
      <c r="Q213" s="34">
        <v>9899.0</v>
      </c>
      <c r="R213" s="40">
        <v>10599.0</v>
      </c>
      <c r="S213" s="35">
        <v>9701.34</v>
      </c>
      <c r="T213" s="36">
        <v>7.0</v>
      </c>
      <c r="U213" s="36">
        <v>4.0</v>
      </c>
      <c r="V213" s="36">
        <v>10.0</v>
      </c>
      <c r="W213" s="36">
        <v>6.0</v>
      </c>
      <c r="X213" s="36">
        <v>4.0</v>
      </c>
      <c r="Y213" s="36">
        <v>31.0</v>
      </c>
    </row>
    <row r="214">
      <c r="A214" s="32" t="s">
        <v>1178</v>
      </c>
      <c r="B214" s="32" t="s">
        <v>1178</v>
      </c>
      <c r="C214" s="32" t="s">
        <v>1179</v>
      </c>
      <c r="D214" s="32" t="s">
        <v>1180</v>
      </c>
      <c r="E214" s="32" t="s">
        <v>5102</v>
      </c>
      <c r="F214" s="32" t="e">
        <v>#N/A</v>
      </c>
      <c r="G214" s="39"/>
      <c r="H214" s="32">
        <v>0.0</v>
      </c>
      <c r="I214" s="39"/>
      <c r="J214" s="32" t="s">
        <v>1178</v>
      </c>
      <c r="K214" s="33" t="s">
        <v>1181</v>
      </c>
      <c r="L214" s="32" t="e">
        <v>#N/A</v>
      </c>
      <c r="M214" s="32" t="s">
        <v>1182</v>
      </c>
      <c r="N214" s="32" t="s">
        <v>1195</v>
      </c>
      <c r="O214" s="32" t="s">
        <v>5114</v>
      </c>
      <c r="P214" s="32">
        <v>1989.0</v>
      </c>
      <c r="Q214" s="34">
        <v>1969.11</v>
      </c>
      <c r="R214" s="40">
        <v>1399.0</v>
      </c>
      <c r="S214" s="35">
        <v>1392.3</v>
      </c>
      <c r="T214" s="36">
        <v>0.0</v>
      </c>
      <c r="U214" s="36">
        <v>2.0</v>
      </c>
      <c r="V214" s="36">
        <v>27.0</v>
      </c>
      <c r="W214" s="36">
        <v>0.0</v>
      </c>
      <c r="X214" s="36">
        <v>2.0</v>
      </c>
      <c r="Y214" s="36">
        <v>31.0</v>
      </c>
    </row>
    <row r="215">
      <c r="A215" s="32" t="s">
        <v>2352</v>
      </c>
      <c r="B215" s="32" t="s">
        <v>2352</v>
      </c>
      <c r="C215" s="32" t="s">
        <v>2353</v>
      </c>
      <c r="D215" s="32" t="s">
        <v>2354</v>
      </c>
      <c r="E215" s="32" t="s">
        <v>5073</v>
      </c>
      <c r="F215" s="32" t="e">
        <v>#N/A</v>
      </c>
      <c r="G215" s="39"/>
      <c r="H215" s="32">
        <v>0.0</v>
      </c>
      <c r="I215" s="39"/>
      <c r="J215" s="32" t="s">
        <v>2355</v>
      </c>
      <c r="K215" s="33" t="s">
        <v>2356</v>
      </c>
      <c r="L215" s="32" t="e">
        <v>#N/A</v>
      </c>
      <c r="M215" s="32" t="e">
        <v>#N/A</v>
      </c>
      <c r="N215" s="32" t="s">
        <v>5077</v>
      </c>
      <c r="O215" s="32" t="s">
        <v>4730</v>
      </c>
      <c r="P215" s="32">
        <v>1089.0</v>
      </c>
      <c r="Q215" s="34">
        <v>1035.0</v>
      </c>
      <c r="R215" s="40">
        <v>1035.0</v>
      </c>
      <c r="S215" s="35">
        <v>980.1</v>
      </c>
      <c r="T215" s="36">
        <v>17.0</v>
      </c>
      <c r="U215" s="36">
        <v>0.0</v>
      </c>
      <c r="V215" s="36">
        <v>0.0</v>
      </c>
      <c r="W215" s="36">
        <v>0.0</v>
      </c>
      <c r="X215" s="36">
        <v>14.0</v>
      </c>
      <c r="Y215" s="36">
        <v>31.0</v>
      </c>
    </row>
    <row r="216">
      <c r="A216" s="32" t="s">
        <v>1867</v>
      </c>
      <c r="B216" s="32" t="s">
        <v>1867</v>
      </c>
      <c r="C216" s="32" t="s">
        <v>1868</v>
      </c>
      <c r="D216" s="32" t="s">
        <v>1869</v>
      </c>
      <c r="E216" s="32" t="s">
        <v>5073</v>
      </c>
      <c r="F216" s="32" t="e">
        <v>#N/A</v>
      </c>
      <c r="G216" s="39"/>
      <c r="H216" s="32" t="s">
        <v>1870</v>
      </c>
      <c r="I216" s="32" t="s">
        <v>5122</v>
      </c>
      <c r="J216" s="32" t="s">
        <v>1871</v>
      </c>
      <c r="K216" s="33" t="s">
        <v>1872</v>
      </c>
      <c r="L216" s="32">
        <v>3.2784083E7</v>
      </c>
      <c r="M216" s="32" t="s">
        <v>1873</v>
      </c>
      <c r="N216" s="32" t="s">
        <v>5109</v>
      </c>
      <c r="O216" s="32" t="s">
        <v>52</v>
      </c>
      <c r="P216" s="32">
        <v>34999.0</v>
      </c>
      <c r="Q216" s="34">
        <v>31499.0</v>
      </c>
      <c r="R216" s="40">
        <v>33199.0</v>
      </c>
      <c r="S216" s="35">
        <v>29399.16</v>
      </c>
      <c r="T216" s="36">
        <v>4.0</v>
      </c>
      <c r="U216" s="36">
        <v>10.0</v>
      </c>
      <c r="V216" s="36">
        <v>15.0</v>
      </c>
      <c r="W216" s="36">
        <v>2.0</v>
      </c>
      <c r="X216" s="36">
        <v>0.0</v>
      </c>
      <c r="Y216" s="36">
        <v>31.0</v>
      </c>
    </row>
    <row r="217">
      <c r="A217" s="32" t="s">
        <v>2711</v>
      </c>
      <c r="B217" s="32" t="s">
        <v>2711</v>
      </c>
      <c r="C217" s="32">
        <v>0.0</v>
      </c>
      <c r="D217" s="32" t="e">
        <v>#N/A</v>
      </c>
      <c r="E217" s="39"/>
      <c r="F217" s="32" t="e">
        <v>#N/A</v>
      </c>
      <c r="G217" s="39"/>
      <c r="H217" s="32" t="e">
        <v>#N/A</v>
      </c>
      <c r="I217" s="39"/>
      <c r="J217" s="32">
        <v>0.0</v>
      </c>
      <c r="K217" s="33" t="e">
        <v>#N/A</v>
      </c>
      <c r="L217" s="32" t="e">
        <v>#N/A</v>
      </c>
      <c r="M217" s="32" t="e">
        <v>#N/A</v>
      </c>
      <c r="N217" s="32" t="e">
        <v>#N/A</v>
      </c>
      <c r="O217" s="32" t="e">
        <v>#N/A</v>
      </c>
      <c r="P217" s="32" t="e">
        <v>#REF!</v>
      </c>
      <c r="Q217" s="32" t="e">
        <v>#N/A</v>
      </c>
      <c r="R217" s="42" t="e">
        <v>#N/A</v>
      </c>
      <c r="S217" s="42" t="e">
        <v>#N/A</v>
      </c>
      <c r="T217" s="36">
        <v>16.0</v>
      </c>
      <c r="U217" s="36">
        <v>4.0</v>
      </c>
      <c r="V217" s="36">
        <v>11.0</v>
      </c>
      <c r="W217" s="36">
        <v>0.0</v>
      </c>
      <c r="X217" s="36">
        <v>0.0</v>
      </c>
      <c r="Y217" s="36">
        <v>31.0</v>
      </c>
    </row>
    <row r="218">
      <c r="A218" s="32" t="s">
        <v>2709</v>
      </c>
      <c r="B218" s="32" t="s">
        <v>2709</v>
      </c>
      <c r="C218" s="32">
        <v>0.0</v>
      </c>
      <c r="D218" s="32" t="e">
        <v>#N/A</v>
      </c>
      <c r="E218" s="39"/>
      <c r="F218" s="32" t="e">
        <v>#N/A</v>
      </c>
      <c r="G218" s="39"/>
      <c r="H218" s="32" t="e">
        <v>#N/A</v>
      </c>
      <c r="I218" s="39"/>
      <c r="J218" s="32">
        <v>0.0</v>
      </c>
      <c r="K218" s="33" t="e">
        <v>#N/A</v>
      </c>
      <c r="L218" s="32" t="e">
        <v>#N/A</v>
      </c>
      <c r="M218" s="32" t="e">
        <v>#N/A</v>
      </c>
      <c r="N218" s="32" t="e">
        <v>#N/A</v>
      </c>
      <c r="O218" s="32" t="e">
        <v>#N/A</v>
      </c>
      <c r="P218" s="32" t="e">
        <v>#REF!</v>
      </c>
      <c r="Q218" s="32" t="e">
        <v>#N/A</v>
      </c>
      <c r="R218" s="42" t="e">
        <v>#N/A</v>
      </c>
      <c r="S218" s="42" t="e">
        <v>#N/A</v>
      </c>
      <c r="T218" s="36">
        <v>17.0</v>
      </c>
      <c r="U218" s="36">
        <v>3.0</v>
      </c>
      <c r="V218" s="36">
        <v>11.0</v>
      </c>
      <c r="W218" s="36">
        <v>0.0</v>
      </c>
      <c r="X218" s="36">
        <v>0.0</v>
      </c>
      <c r="Y218" s="36">
        <v>31.0</v>
      </c>
    </row>
    <row r="219">
      <c r="A219" s="32" t="s">
        <v>1146</v>
      </c>
      <c r="B219" s="32" t="s">
        <v>1146</v>
      </c>
      <c r="C219" s="32" t="s">
        <v>1147</v>
      </c>
      <c r="D219" s="32" t="s">
        <v>1148</v>
      </c>
      <c r="E219" s="32" t="s">
        <v>5100</v>
      </c>
      <c r="F219" s="32" t="e">
        <v>#N/A</v>
      </c>
      <c r="G219" s="39"/>
      <c r="H219" s="32" t="s">
        <v>1149</v>
      </c>
      <c r="I219" s="32" t="s">
        <v>5117</v>
      </c>
      <c r="J219" s="32" t="s">
        <v>1150</v>
      </c>
      <c r="K219" s="33" t="s">
        <v>1151</v>
      </c>
      <c r="L219" s="32" t="e">
        <v>#N/A</v>
      </c>
      <c r="M219" s="32" t="s">
        <v>1152</v>
      </c>
      <c r="N219" s="32" t="s">
        <v>1195</v>
      </c>
      <c r="O219" s="32" t="s">
        <v>5114</v>
      </c>
      <c r="P219" s="32">
        <v>1989.0</v>
      </c>
      <c r="Q219" s="34">
        <v>1429.0</v>
      </c>
      <c r="R219" s="40">
        <v>1399.0</v>
      </c>
      <c r="S219" s="35">
        <v>1392.3</v>
      </c>
      <c r="T219" s="36">
        <v>0.0</v>
      </c>
      <c r="U219" s="36">
        <v>5.0</v>
      </c>
      <c r="V219" s="36">
        <v>25.0</v>
      </c>
      <c r="W219" s="36">
        <v>0.0</v>
      </c>
      <c r="X219" s="36">
        <v>0.0</v>
      </c>
      <c r="Y219" s="36">
        <v>30.0</v>
      </c>
    </row>
    <row r="220">
      <c r="A220" s="32" t="s">
        <v>2286</v>
      </c>
      <c r="B220" s="32" t="s">
        <v>2286</v>
      </c>
      <c r="C220" s="32" t="s">
        <v>2287</v>
      </c>
      <c r="D220" s="32" t="s">
        <v>2289</v>
      </c>
      <c r="E220" s="32" t="s">
        <v>5073</v>
      </c>
      <c r="F220" s="32" t="e">
        <v>#N/A</v>
      </c>
      <c r="G220" s="32" t="e">
        <v>#N/A</v>
      </c>
      <c r="H220" s="32" t="s">
        <v>2290</v>
      </c>
      <c r="I220" s="32" t="s">
        <v>5073</v>
      </c>
      <c r="J220" s="32" t="s">
        <v>2291</v>
      </c>
      <c r="K220" s="33" t="s">
        <v>2292</v>
      </c>
      <c r="L220" s="32">
        <v>3.1862343E7</v>
      </c>
      <c r="M220" s="32" t="e">
        <v>#N/A</v>
      </c>
      <c r="N220" s="32" t="s">
        <v>5077</v>
      </c>
      <c r="O220" s="32" t="s">
        <v>4730</v>
      </c>
      <c r="P220" s="32">
        <v>1049.0</v>
      </c>
      <c r="Q220" s="34">
        <v>997.0</v>
      </c>
      <c r="R220" s="35">
        <v>999.0</v>
      </c>
      <c r="S220" s="35">
        <v>944.1</v>
      </c>
      <c r="T220" s="36">
        <v>16.0</v>
      </c>
      <c r="U220" s="36">
        <v>0.0</v>
      </c>
      <c r="V220" s="36">
        <v>2.0</v>
      </c>
      <c r="W220" s="36">
        <v>0.0</v>
      </c>
      <c r="X220" s="36">
        <v>12.0</v>
      </c>
      <c r="Y220" s="36">
        <v>30.0</v>
      </c>
    </row>
    <row r="221">
      <c r="A221" s="32" t="s">
        <v>3537</v>
      </c>
      <c r="B221" s="32" t="s">
        <v>3537</v>
      </c>
      <c r="C221" s="32" t="s">
        <v>3538</v>
      </c>
      <c r="D221" s="32" t="s">
        <v>3540</v>
      </c>
      <c r="E221" s="32" t="s">
        <v>5073</v>
      </c>
      <c r="F221" s="32" t="s">
        <v>3539</v>
      </c>
      <c r="G221" s="32" t="s">
        <v>5090</v>
      </c>
      <c r="H221" s="32" t="s">
        <v>3541</v>
      </c>
      <c r="I221" s="32" t="s">
        <v>5073</v>
      </c>
      <c r="J221" s="32" t="s">
        <v>3542</v>
      </c>
      <c r="K221" s="33" t="s">
        <v>3543</v>
      </c>
      <c r="L221" s="32" t="e">
        <v>#N/A</v>
      </c>
      <c r="M221" s="32" t="e">
        <v>#N/A</v>
      </c>
      <c r="N221" s="32" t="s">
        <v>5098</v>
      </c>
      <c r="O221" s="32" t="s">
        <v>4730</v>
      </c>
      <c r="P221" s="32">
        <v>799.0</v>
      </c>
      <c r="Q221" s="34">
        <v>719.0</v>
      </c>
      <c r="R221" s="35">
        <v>719.0</v>
      </c>
      <c r="S221" s="35">
        <v>679.15</v>
      </c>
      <c r="T221" s="36">
        <v>0.0</v>
      </c>
      <c r="U221" s="36">
        <v>0.0</v>
      </c>
      <c r="V221" s="36">
        <v>30.0</v>
      </c>
      <c r="W221" s="36">
        <v>0.0</v>
      </c>
      <c r="X221" s="36">
        <v>0.0</v>
      </c>
      <c r="Y221" s="36">
        <v>30.0</v>
      </c>
    </row>
    <row r="222">
      <c r="A222" s="32" t="s">
        <v>1375</v>
      </c>
      <c r="B222" s="32" t="s">
        <v>1375</v>
      </c>
      <c r="C222" s="32" t="s">
        <v>1376</v>
      </c>
      <c r="D222" s="32" t="s">
        <v>1378</v>
      </c>
      <c r="E222" s="32" t="s">
        <v>5073</v>
      </c>
      <c r="F222" s="32" t="e">
        <v>#N/A</v>
      </c>
      <c r="G222" s="32" t="e">
        <v>#N/A</v>
      </c>
      <c r="H222" s="32" t="s">
        <v>1379</v>
      </c>
      <c r="I222" s="32" t="s">
        <v>5073</v>
      </c>
      <c r="J222" s="32" t="s">
        <v>1380</v>
      </c>
      <c r="K222" s="33" t="s">
        <v>1381</v>
      </c>
      <c r="L222" s="32">
        <v>3.1818419E7</v>
      </c>
      <c r="M222" s="32" t="e">
        <v>#N/A</v>
      </c>
      <c r="N222" s="32" t="s">
        <v>5089</v>
      </c>
      <c r="O222" s="32" t="s">
        <v>4730</v>
      </c>
      <c r="P222" s="32">
        <v>2649.0</v>
      </c>
      <c r="Q222" s="34">
        <v>2164.0</v>
      </c>
      <c r="R222" s="40">
        <v>2199.0</v>
      </c>
      <c r="S222" s="35">
        <v>2119.2</v>
      </c>
      <c r="T222" s="36">
        <v>0.0</v>
      </c>
      <c r="U222" s="36">
        <v>0.0</v>
      </c>
      <c r="V222" s="36">
        <v>30.0</v>
      </c>
      <c r="W222" s="36">
        <v>0.0</v>
      </c>
      <c r="X222" s="36">
        <v>0.0</v>
      </c>
      <c r="Y222" s="36">
        <v>30.0</v>
      </c>
    </row>
    <row r="223">
      <c r="A223" s="32" t="s">
        <v>2675</v>
      </c>
      <c r="B223" s="32" t="s">
        <v>2675</v>
      </c>
      <c r="C223" s="32">
        <v>0.0</v>
      </c>
      <c r="D223" s="32" t="e">
        <v>#N/A</v>
      </c>
      <c r="E223" s="39"/>
      <c r="F223" s="32" t="e">
        <v>#N/A</v>
      </c>
      <c r="G223" s="39"/>
      <c r="H223" s="32" t="e">
        <v>#N/A</v>
      </c>
      <c r="I223" s="39"/>
      <c r="J223" s="32">
        <v>0.0</v>
      </c>
      <c r="K223" s="33" t="e">
        <v>#N/A</v>
      </c>
      <c r="L223" s="32" t="e">
        <v>#N/A</v>
      </c>
      <c r="M223" s="32" t="e">
        <v>#N/A</v>
      </c>
      <c r="N223" s="32" t="e">
        <v>#N/A</v>
      </c>
      <c r="O223" s="32" t="e">
        <v>#N/A</v>
      </c>
      <c r="P223" s="32" t="e">
        <v>#REF!</v>
      </c>
      <c r="Q223" s="32" t="e">
        <v>#N/A</v>
      </c>
      <c r="R223" s="42" t="e">
        <v>#N/A</v>
      </c>
      <c r="S223" s="42" t="e">
        <v>#N/A</v>
      </c>
      <c r="T223" s="36">
        <v>28.0</v>
      </c>
      <c r="U223" s="36">
        <v>0.0</v>
      </c>
      <c r="V223" s="36">
        <v>2.0</v>
      </c>
      <c r="W223" s="36">
        <v>0.0</v>
      </c>
      <c r="X223" s="36">
        <v>0.0</v>
      </c>
      <c r="Y223" s="36">
        <v>30.0</v>
      </c>
    </row>
    <row r="224">
      <c r="A224" s="32" t="s">
        <v>4521</v>
      </c>
      <c r="B224" s="32" t="s">
        <v>4521</v>
      </c>
      <c r="C224" s="32" t="s">
        <v>4522</v>
      </c>
      <c r="D224" s="32" t="s">
        <v>4523</v>
      </c>
      <c r="E224" s="32" t="s">
        <v>5102</v>
      </c>
      <c r="F224" s="32" t="e">
        <v>#N/A</v>
      </c>
      <c r="G224" s="32" t="e">
        <v>#N/A</v>
      </c>
      <c r="H224" s="32">
        <v>0.0</v>
      </c>
      <c r="I224" s="32">
        <v>0.0</v>
      </c>
      <c r="J224" s="32" t="s">
        <v>4524</v>
      </c>
      <c r="K224" s="33" t="s">
        <v>4525</v>
      </c>
      <c r="L224" s="32" t="e">
        <v>#N/A</v>
      </c>
      <c r="M224" s="32" t="e">
        <v>#N/A</v>
      </c>
      <c r="N224" s="32" t="s">
        <v>5077</v>
      </c>
      <c r="O224" s="32" t="s">
        <v>4730</v>
      </c>
      <c r="P224" s="32">
        <v>1199.0</v>
      </c>
      <c r="Q224" s="34">
        <v>1139.0</v>
      </c>
      <c r="R224" s="40">
        <v>1139.0</v>
      </c>
      <c r="S224" s="35">
        <v>1079.1</v>
      </c>
      <c r="T224" s="36">
        <v>9.0</v>
      </c>
      <c r="U224" s="36">
        <v>0.0</v>
      </c>
      <c r="V224" s="36">
        <v>20.0</v>
      </c>
      <c r="W224" s="36">
        <v>0.0</v>
      </c>
      <c r="X224" s="36">
        <v>0.0</v>
      </c>
      <c r="Y224" s="36">
        <v>29.0</v>
      </c>
    </row>
    <row r="225">
      <c r="A225" s="32" t="s">
        <v>4629</v>
      </c>
      <c r="B225" s="32" t="s">
        <v>4629</v>
      </c>
      <c r="C225" s="32" t="s">
        <v>4630</v>
      </c>
      <c r="D225" s="32" t="s">
        <v>4631</v>
      </c>
      <c r="E225" s="32" t="s">
        <v>5073</v>
      </c>
      <c r="F225" s="32" t="e">
        <v>#N/A</v>
      </c>
      <c r="G225" s="39"/>
      <c r="H225" s="32">
        <v>0.0</v>
      </c>
      <c r="I225" s="39"/>
      <c r="J225" s="32" t="s">
        <v>4632</v>
      </c>
      <c r="K225" s="33" t="s">
        <v>4633</v>
      </c>
      <c r="L225" s="32" t="e">
        <v>#N/A</v>
      </c>
      <c r="M225" s="32" t="e">
        <v>#N/A</v>
      </c>
      <c r="N225" s="32" t="s">
        <v>5077</v>
      </c>
      <c r="O225" s="32" t="s">
        <v>4730</v>
      </c>
      <c r="P225" s="32">
        <v>1699.0</v>
      </c>
      <c r="Q225" s="34">
        <v>1614.0</v>
      </c>
      <c r="R225" s="40">
        <v>1614.0</v>
      </c>
      <c r="S225" s="35">
        <v>1529.1</v>
      </c>
      <c r="T225" s="36">
        <v>7.0</v>
      </c>
      <c r="U225" s="36">
        <v>0.0</v>
      </c>
      <c r="V225" s="36">
        <v>16.0</v>
      </c>
      <c r="W225" s="36">
        <v>6.0</v>
      </c>
      <c r="X225" s="36">
        <v>0.0</v>
      </c>
      <c r="Y225" s="36">
        <v>29.0</v>
      </c>
    </row>
    <row r="226">
      <c r="A226" s="32" t="s">
        <v>4501</v>
      </c>
      <c r="B226" s="32" t="s">
        <v>4501</v>
      </c>
      <c r="C226" s="32" t="s">
        <v>4502</v>
      </c>
      <c r="D226" s="32" t="s">
        <v>4503</v>
      </c>
      <c r="E226" s="32" t="s">
        <v>5073</v>
      </c>
      <c r="F226" s="32" t="e">
        <v>#N/A</v>
      </c>
      <c r="G226" s="39"/>
      <c r="H226" s="32">
        <v>0.0</v>
      </c>
      <c r="I226" s="39"/>
      <c r="J226" s="32" t="s">
        <v>4504</v>
      </c>
      <c r="K226" s="33" t="s">
        <v>4505</v>
      </c>
      <c r="L226" s="32" t="e">
        <v>#N/A</v>
      </c>
      <c r="M226" s="32" t="e">
        <v>#N/A</v>
      </c>
      <c r="N226" s="32" t="s">
        <v>5077</v>
      </c>
      <c r="O226" s="32" t="s">
        <v>4730</v>
      </c>
      <c r="P226" s="32">
        <v>1199.0</v>
      </c>
      <c r="Q226" s="34">
        <v>1139.0</v>
      </c>
      <c r="R226" s="40">
        <v>1139.0</v>
      </c>
      <c r="S226" s="35">
        <v>1079.1</v>
      </c>
      <c r="T226" s="36">
        <v>0.0</v>
      </c>
      <c r="U226" s="36">
        <v>0.0</v>
      </c>
      <c r="V226" s="36">
        <v>29.0</v>
      </c>
      <c r="W226" s="36">
        <v>0.0</v>
      </c>
      <c r="X226" s="36">
        <v>0.0</v>
      </c>
      <c r="Y226" s="36">
        <v>29.0</v>
      </c>
    </row>
    <row r="227">
      <c r="A227" s="32" t="s">
        <v>1327</v>
      </c>
      <c r="B227" s="32" t="s">
        <v>1327</v>
      </c>
      <c r="C227" s="32" t="s">
        <v>1328</v>
      </c>
      <c r="D227" s="32" t="s">
        <v>1329</v>
      </c>
      <c r="E227" s="32" t="s">
        <v>5073</v>
      </c>
      <c r="F227" s="32" t="e">
        <v>#N/A</v>
      </c>
      <c r="G227" s="39"/>
      <c r="H227" s="32" t="s">
        <v>1330</v>
      </c>
      <c r="I227" s="32" t="s">
        <v>5073</v>
      </c>
      <c r="J227" s="32" t="s">
        <v>1331</v>
      </c>
      <c r="K227" s="33" t="s">
        <v>1332</v>
      </c>
      <c r="L227" s="32">
        <v>3.1818397E7</v>
      </c>
      <c r="M227" s="32" t="e">
        <v>#N/A</v>
      </c>
      <c r="N227" s="32" t="s">
        <v>5089</v>
      </c>
      <c r="O227" s="32" t="s">
        <v>4730</v>
      </c>
      <c r="P227" s="32">
        <v>2449.0</v>
      </c>
      <c r="Q227" s="34">
        <v>2004.0</v>
      </c>
      <c r="R227" s="40">
        <v>2004.0</v>
      </c>
      <c r="S227" s="35">
        <v>1959.2</v>
      </c>
      <c r="T227" s="36">
        <v>0.0</v>
      </c>
      <c r="U227" s="36">
        <v>2.0</v>
      </c>
      <c r="V227" s="36">
        <v>27.0</v>
      </c>
      <c r="W227" s="36">
        <v>0.0</v>
      </c>
      <c r="X227" s="36">
        <v>0.0</v>
      </c>
      <c r="Y227" s="36">
        <v>29.0</v>
      </c>
    </row>
    <row r="228">
      <c r="A228" s="32" t="s">
        <v>1255</v>
      </c>
      <c r="B228" s="32" t="s">
        <v>1255</v>
      </c>
      <c r="C228" s="32" t="s">
        <v>1256</v>
      </c>
      <c r="D228" s="32" t="s">
        <v>1257</v>
      </c>
      <c r="E228" s="32" t="s">
        <v>5073</v>
      </c>
      <c r="F228" s="32" t="e">
        <v>#N/A</v>
      </c>
      <c r="G228" s="39"/>
      <c r="H228" s="32" t="s">
        <v>1258</v>
      </c>
      <c r="I228" s="32" t="s">
        <v>5073</v>
      </c>
      <c r="J228" s="32" t="s">
        <v>1259</v>
      </c>
      <c r="K228" s="33" t="s">
        <v>1260</v>
      </c>
      <c r="L228" s="32">
        <v>3.1818399E7</v>
      </c>
      <c r="M228" s="32" t="e">
        <v>#N/A</v>
      </c>
      <c r="N228" s="32" t="s">
        <v>5089</v>
      </c>
      <c r="O228" s="32" t="s">
        <v>4730</v>
      </c>
      <c r="P228" s="32">
        <v>1999.0</v>
      </c>
      <c r="Q228" s="34">
        <v>1629.0</v>
      </c>
      <c r="R228" s="40">
        <v>1629.0</v>
      </c>
      <c r="S228" s="35">
        <v>1599.2</v>
      </c>
      <c r="T228" s="36">
        <v>18.0</v>
      </c>
      <c r="U228" s="36">
        <v>0.0</v>
      </c>
      <c r="V228" s="36">
        <v>11.0</v>
      </c>
      <c r="W228" s="36">
        <v>0.0</v>
      </c>
      <c r="X228" s="36">
        <v>0.0</v>
      </c>
      <c r="Y228" s="36">
        <v>29.0</v>
      </c>
    </row>
    <row r="229">
      <c r="A229" s="32" t="s">
        <v>1225</v>
      </c>
      <c r="B229" s="32" t="s">
        <v>1225</v>
      </c>
      <c r="C229" s="32" t="s">
        <v>1226</v>
      </c>
      <c r="D229" s="32" t="s">
        <v>1227</v>
      </c>
      <c r="E229" s="32" t="s">
        <v>5073</v>
      </c>
      <c r="F229" s="32" t="e">
        <v>#N/A</v>
      </c>
      <c r="G229" s="39"/>
      <c r="H229" s="32" t="s">
        <v>1228</v>
      </c>
      <c r="I229" s="32" t="s">
        <v>5073</v>
      </c>
      <c r="J229" s="32" t="s">
        <v>1229</v>
      </c>
      <c r="K229" s="33" t="s">
        <v>1230</v>
      </c>
      <c r="L229" s="32">
        <v>3.1818372E7</v>
      </c>
      <c r="M229" s="32" t="e">
        <v>#N/A</v>
      </c>
      <c r="N229" s="32" t="s">
        <v>5089</v>
      </c>
      <c r="O229" s="32" t="s">
        <v>4730</v>
      </c>
      <c r="P229" s="32">
        <v>1999.0</v>
      </c>
      <c r="Q229" s="34">
        <v>1629.0</v>
      </c>
      <c r="R229" s="40">
        <v>1629.0</v>
      </c>
      <c r="S229" s="35">
        <v>1599.2</v>
      </c>
      <c r="T229" s="36">
        <v>22.0</v>
      </c>
      <c r="U229" s="36">
        <v>0.0</v>
      </c>
      <c r="V229" s="36">
        <v>7.0</v>
      </c>
      <c r="W229" s="36">
        <v>0.0</v>
      </c>
      <c r="X229" s="36">
        <v>0.0</v>
      </c>
      <c r="Y229" s="36">
        <v>29.0</v>
      </c>
    </row>
    <row r="230">
      <c r="A230" s="32" t="s">
        <v>4471</v>
      </c>
      <c r="B230" s="32" t="s">
        <v>4471</v>
      </c>
      <c r="C230" s="32" t="s">
        <v>4472</v>
      </c>
      <c r="D230" s="32" t="s">
        <v>4473</v>
      </c>
      <c r="E230" s="32" t="s">
        <v>5073</v>
      </c>
      <c r="F230" s="32" t="e">
        <v>#N/A</v>
      </c>
      <c r="G230" s="39"/>
      <c r="H230" s="32">
        <v>0.0</v>
      </c>
      <c r="I230" s="39"/>
      <c r="J230" s="32" t="s">
        <v>4474</v>
      </c>
      <c r="K230" s="33" t="s">
        <v>4475</v>
      </c>
      <c r="L230" s="32" t="e">
        <v>#N/A</v>
      </c>
      <c r="M230" s="32" t="e">
        <v>#N/A</v>
      </c>
      <c r="N230" s="32" t="s">
        <v>5077</v>
      </c>
      <c r="O230" s="32" t="s">
        <v>4730</v>
      </c>
      <c r="P230" s="32">
        <v>1199.0</v>
      </c>
      <c r="Q230" s="34">
        <v>1139.0</v>
      </c>
      <c r="R230" s="40">
        <v>1139.0</v>
      </c>
      <c r="S230" s="35">
        <v>1079.1</v>
      </c>
      <c r="T230" s="36">
        <v>13.0</v>
      </c>
      <c r="U230" s="36">
        <v>3.0</v>
      </c>
      <c r="V230" s="36">
        <v>13.0</v>
      </c>
      <c r="W230" s="36">
        <v>0.0</v>
      </c>
      <c r="X230" s="36">
        <v>0.0</v>
      </c>
      <c r="Y230" s="36">
        <v>29.0</v>
      </c>
    </row>
    <row r="231">
      <c r="A231" s="32" t="s">
        <v>2716</v>
      </c>
      <c r="B231" s="32" t="s">
        <v>2716</v>
      </c>
      <c r="C231" s="32">
        <v>0.0</v>
      </c>
      <c r="D231" s="32" t="e">
        <v>#N/A</v>
      </c>
      <c r="E231" s="39"/>
      <c r="F231" s="32" t="e">
        <v>#N/A</v>
      </c>
      <c r="G231" s="39"/>
      <c r="H231" s="32" t="e">
        <v>#N/A</v>
      </c>
      <c r="I231" s="39"/>
      <c r="J231" s="32">
        <v>0.0</v>
      </c>
      <c r="K231" s="33" t="e">
        <v>#N/A</v>
      </c>
      <c r="L231" s="32" t="e">
        <v>#N/A</v>
      </c>
      <c r="M231" s="32" t="e">
        <v>#N/A</v>
      </c>
      <c r="N231" s="32" t="e">
        <v>#N/A</v>
      </c>
      <c r="O231" s="32" t="e">
        <v>#N/A</v>
      </c>
      <c r="P231" s="32" t="e">
        <v>#REF!</v>
      </c>
      <c r="Q231" s="32" t="e">
        <v>#N/A</v>
      </c>
      <c r="R231" s="42" t="e">
        <v>#N/A</v>
      </c>
      <c r="S231" s="42" t="e">
        <v>#N/A</v>
      </c>
      <c r="T231" s="36">
        <v>13.0</v>
      </c>
      <c r="U231" s="36">
        <v>4.0</v>
      </c>
      <c r="V231" s="36">
        <v>12.0</v>
      </c>
      <c r="W231" s="36">
        <v>0.0</v>
      </c>
      <c r="X231" s="36">
        <v>0.0</v>
      </c>
      <c r="Y231" s="36">
        <v>29.0</v>
      </c>
    </row>
    <row r="232">
      <c r="A232" s="32" t="s">
        <v>2710</v>
      </c>
      <c r="B232" s="32" t="s">
        <v>2710</v>
      </c>
      <c r="C232" s="32">
        <v>0.0</v>
      </c>
      <c r="D232" s="32" t="e">
        <v>#N/A</v>
      </c>
      <c r="E232" s="39"/>
      <c r="F232" s="32" t="e">
        <v>#N/A</v>
      </c>
      <c r="G232" s="39"/>
      <c r="H232" s="32" t="e">
        <v>#N/A</v>
      </c>
      <c r="I232" s="39"/>
      <c r="J232" s="32">
        <v>0.0</v>
      </c>
      <c r="K232" s="33" t="e">
        <v>#N/A</v>
      </c>
      <c r="L232" s="32" t="e">
        <v>#N/A</v>
      </c>
      <c r="M232" s="32" t="e">
        <v>#N/A</v>
      </c>
      <c r="N232" s="32" t="e">
        <v>#N/A</v>
      </c>
      <c r="O232" s="32" t="e">
        <v>#N/A</v>
      </c>
      <c r="P232" s="32" t="e">
        <v>#REF!</v>
      </c>
      <c r="Q232" s="32" t="e">
        <v>#N/A</v>
      </c>
      <c r="R232" s="42" t="e">
        <v>#N/A</v>
      </c>
      <c r="S232" s="42" t="e">
        <v>#N/A</v>
      </c>
      <c r="T232" s="36">
        <v>20.0</v>
      </c>
      <c r="U232" s="36">
        <v>0.0</v>
      </c>
      <c r="V232" s="36">
        <v>9.0</v>
      </c>
      <c r="W232" s="36">
        <v>0.0</v>
      </c>
      <c r="X232" s="36">
        <v>0.0</v>
      </c>
      <c r="Y232" s="36">
        <v>29.0</v>
      </c>
    </row>
    <row r="233">
      <c r="A233" s="32" t="s">
        <v>2790</v>
      </c>
      <c r="B233" s="32" t="s">
        <v>2790</v>
      </c>
      <c r="C233" s="32">
        <v>0.0</v>
      </c>
      <c r="D233" s="32" t="e">
        <v>#N/A</v>
      </c>
      <c r="E233" s="39"/>
      <c r="F233" s="32" t="e">
        <v>#N/A</v>
      </c>
      <c r="G233" s="39"/>
      <c r="H233" s="32" t="e">
        <v>#N/A</v>
      </c>
      <c r="I233" s="39"/>
      <c r="J233" s="32">
        <v>0.0</v>
      </c>
      <c r="K233" s="33" t="e">
        <v>#N/A</v>
      </c>
      <c r="L233" s="32" t="e">
        <v>#N/A</v>
      </c>
      <c r="M233" s="32" t="e">
        <v>#N/A</v>
      </c>
      <c r="N233" s="32" t="e">
        <v>#N/A</v>
      </c>
      <c r="O233" s="32" t="e">
        <v>#N/A</v>
      </c>
      <c r="P233" s="32" t="e">
        <v>#REF!</v>
      </c>
      <c r="Q233" s="32" t="e">
        <v>#N/A</v>
      </c>
      <c r="R233" s="42" t="e">
        <v>#N/A</v>
      </c>
      <c r="S233" s="42" t="e">
        <v>#N/A</v>
      </c>
      <c r="T233" s="36">
        <v>14.0</v>
      </c>
      <c r="U233" s="36">
        <v>2.0</v>
      </c>
      <c r="V233" s="36">
        <v>11.0</v>
      </c>
      <c r="W233" s="36">
        <v>0.0</v>
      </c>
      <c r="X233" s="36">
        <v>2.0</v>
      </c>
      <c r="Y233" s="36">
        <v>29.0</v>
      </c>
    </row>
    <row r="234">
      <c r="A234" s="32" t="s">
        <v>2673</v>
      </c>
      <c r="B234" s="32" t="s">
        <v>2673</v>
      </c>
      <c r="C234" s="32">
        <v>0.0</v>
      </c>
      <c r="D234" s="32" t="e">
        <v>#N/A</v>
      </c>
      <c r="E234" s="39"/>
      <c r="F234" s="32" t="e">
        <v>#N/A</v>
      </c>
      <c r="G234" s="39"/>
      <c r="H234" s="32" t="e">
        <v>#N/A</v>
      </c>
      <c r="I234" s="39"/>
      <c r="J234" s="32">
        <v>0.0</v>
      </c>
      <c r="K234" s="33" t="e">
        <v>#N/A</v>
      </c>
      <c r="L234" s="32" t="e">
        <v>#N/A</v>
      </c>
      <c r="M234" s="32" t="e">
        <v>#N/A</v>
      </c>
      <c r="N234" s="32" t="e">
        <v>#N/A</v>
      </c>
      <c r="O234" s="32" t="e">
        <v>#N/A</v>
      </c>
      <c r="P234" s="32" t="e">
        <v>#REF!</v>
      </c>
      <c r="Q234" s="32" t="e">
        <v>#N/A</v>
      </c>
      <c r="R234" s="42" t="e">
        <v>#N/A</v>
      </c>
      <c r="S234" s="42" t="e">
        <v>#N/A</v>
      </c>
      <c r="T234" s="36">
        <v>24.0</v>
      </c>
      <c r="U234" s="36">
        <v>0.0</v>
      </c>
      <c r="V234" s="36">
        <v>5.0</v>
      </c>
      <c r="W234" s="36">
        <v>0.0</v>
      </c>
      <c r="X234" s="36">
        <v>0.0</v>
      </c>
      <c r="Y234" s="36">
        <v>29.0</v>
      </c>
    </row>
    <row r="235">
      <c r="A235" s="32" t="s">
        <v>3331</v>
      </c>
      <c r="B235" s="32" t="s">
        <v>3331</v>
      </c>
      <c r="C235" s="32" t="s">
        <v>3332</v>
      </c>
      <c r="D235" s="32" t="s">
        <v>3333</v>
      </c>
      <c r="E235" s="32" t="s">
        <v>5073</v>
      </c>
      <c r="F235" s="32" t="e">
        <v>#N/A</v>
      </c>
      <c r="G235" s="38"/>
      <c r="H235" s="32" t="s">
        <v>3334</v>
      </c>
      <c r="I235" s="32" t="s">
        <v>5073</v>
      </c>
      <c r="J235" s="32" t="s">
        <v>3335</v>
      </c>
      <c r="K235" s="33" t="s">
        <v>3336</v>
      </c>
      <c r="L235" s="32">
        <v>3.1818387E7</v>
      </c>
      <c r="M235" s="32" t="e">
        <v>#N/A</v>
      </c>
      <c r="N235" s="32" t="s">
        <v>5086</v>
      </c>
      <c r="O235" s="32" t="s">
        <v>4730</v>
      </c>
      <c r="P235" s="32">
        <v>2189.0</v>
      </c>
      <c r="Q235" s="34">
        <v>1999.0</v>
      </c>
      <c r="R235" s="40">
        <v>1999.0</v>
      </c>
      <c r="S235" s="35">
        <v>1860.65</v>
      </c>
      <c r="T235" s="36">
        <v>0.0</v>
      </c>
      <c r="U235" s="36">
        <v>0.0</v>
      </c>
      <c r="V235" s="36">
        <v>28.0</v>
      </c>
      <c r="W235" s="36">
        <v>0.0</v>
      </c>
      <c r="X235" s="36">
        <v>0.0</v>
      </c>
      <c r="Y235" s="36">
        <v>28.0</v>
      </c>
    </row>
    <row r="236">
      <c r="A236" s="32" t="s">
        <v>4570</v>
      </c>
      <c r="B236" s="32" t="s">
        <v>4570</v>
      </c>
      <c r="C236" s="32" t="s">
        <v>4571</v>
      </c>
      <c r="D236" s="32" t="s">
        <v>4572</v>
      </c>
      <c r="E236" s="32" t="s">
        <v>5073</v>
      </c>
      <c r="F236" s="32" t="e">
        <v>#N/A</v>
      </c>
      <c r="G236" s="39"/>
      <c r="H236" s="32">
        <v>0.0</v>
      </c>
      <c r="I236" s="39"/>
      <c r="J236" s="32" t="s">
        <v>4573</v>
      </c>
      <c r="K236" s="33" t="s">
        <v>4574</v>
      </c>
      <c r="L236" s="32" t="e">
        <v>#N/A</v>
      </c>
      <c r="M236" s="32" t="e">
        <v>#N/A</v>
      </c>
      <c r="N236" s="32" t="s">
        <v>5077</v>
      </c>
      <c r="O236" s="32" t="s">
        <v>4730</v>
      </c>
      <c r="P236" s="32">
        <v>1499.0</v>
      </c>
      <c r="Q236" s="34">
        <v>1424.0</v>
      </c>
      <c r="R236" s="40">
        <v>1424.0</v>
      </c>
      <c r="S236" s="35">
        <v>1349.1</v>
      </c>
      <c r="T236" s="36">
        <v>0.0</v>
      </c>
      <c r="U236" s="36">
        <v>0.0</v>
      </c>
      <c r="V236" s="36">
        <v>28.0</v>
      </c>
      <c r="W236" s="36">
        <v>0.0</v>
      </c>
      <c r="X236" s="36">
        <v>0.0</v>
      </c>
      <c r="Y236" s="36">
        <v>28.0</v>
      </c>
    </row>
    <row r="237">
      <c r="A237" s="32" t="s">
        <v>183</v>
      </c>
      <c r="B237" s="32" t="s">
        <v>183</v>
      </c>
      <c r="C237" s="32" t="s">
        <v>184</v>
      </c>
      <c r="D237" s="32" t="s">
        <v>185</v>
      </c>
      <c r="E237" s="32" t="s">
        <v>5073</v>
      </c>
      <c r="F237" s="32" t="e">
        <v>#N/A</v>
      </c>
      <c r="G237" s="39"/>
      <c r="H237" s="32">
        <v>0.0</v>
      </c>
      <c r="I237" s="39"/>
      <c r="J237" s="32" t="s">
        <v>186</v>
      </c>
      <c r="K237" s="33" t="s">
        <v>187</v>
      </c>
      <c r="L237" s="32" t="e">
        <v>#N/A</v>
      </c>
      <c r="M237" s="32" t="s">
        <v>188</v>
      </c>
      <c r="N237" s="32" t="s">
        <v>51</v>
      </c>
      <c r="O237" s="32" t="s">
        <v>52</v>
      </c>
      <c r="P237" s="32">
        <v>7889.0</v>
      </c>
      <c r="Q237" s="34">
        <v>6390.0</v>
      </c>
      <c r="R237" s="40">
        <v>6899.0</v>
      </c>
      <c r="S237" s="35">
        <v>5995.64</v>
      </c>
      <c r="T237" s="36">
        <v>0.0</v>
      </c>
      <c r="U237" s="36">
        <v>2.0</v>
      </c>
      <c r="V237" s="36">
        <v>11.0</v>
      </c>
      <c r="W237" s="36">
        <v>1.0</v>
      </c>
      <c r="X237" s="36">
        <v>14.0</v>
      </c>
      <c r="Y237" s="36">
        <v>28.0</v>
      </c>
    </row>
    <row r="238">
      <c r="A238" s="32" t="s">
        <v>3111</v>
      </c>
      <c r="B238" s="32" t="s">
        <v>3111</v>
      </c>
      <c r="C238" s="32" t="s">
        <v>3112</v>
      </c>
      <c r="D238" s="32" t="s">
        <v>3113</v>
      </c>
      <c r="E238" s="32" t="s">
        <v>5073</v>
      </c>
      <c r="F238" s="32" t="e">
        <v>#N/A</v>
      </c>
      <c r="G238" s="39"/>
      <c r="H238" s="32">
        <v>0.0</v>
      </c>
      <c r="I238" s="39"/>
      <c r="J238" s="32" t="s">
        <v>3114</v>
      </c>
      <c r="K238" s="33" t="s">
        <v>3115</v>
      </c>
      <c r="L238" s="32" t="e">
        <v>#N/A</v>
      </c>
      <c r="M238" s="32" t="e">
        <v>#N/A</v>
      </c>
      <c r="N238" s="32" t="s">
        <v>5087</v>
      </c>
      <c r="O238" s="32" t="s">
        <v>4730</v>
      </c>
      <c r="P238" s="32">
        <v>1989.0</v>
      </c>
      <c r="Q238" s="34">
        <v>1969.11</v>
      </c>
      <c r="R238" s="40">
        <v>1989.0</v>
      </c>
      <c r="S238" s="35">
        <v>1690.65</v>
      </c>
      <c r="T238" s="36">
        <v>7.0</v>
      </c>
      <c r="U238" s="36">
        <v>0.0</v>
      </c>
      <c r="V238" s="36">
        <v>21.0</v>
      </c>
      <c r="W238" s="36">
        <v>0.0</v>
      </c>
      <c r="X238" s="36">
        <v>0.0</v>
      </c>
      <c r="Y238" s="36">
        <v>28.0</v>
      </c>
    </row>
    <row r="239">
      <c r="A239" s="32" t="s">
        <v>1267</v>
      </c>
      <c r="B239" s="32" t="s">
        <v>1267</v>
      </c>
      <c r="C239" s="32" t="s">
        <v>1268</v>
      </c>
      <c r="D239" s="32" t="s">
        <v>1269</v>
      </c>
      <c r="E239" s="32" t="s">
        <v>5102</v>
      </c>
      <c r="F239" s="32" t="e">
        <v>#N/A</v>
      </c>
      <c r="G239" s="39"/>
      <c r="H239" s="32" t="s">
        <v>1270</v>
      </c>
      <c r="I239" s="32" t="s">
        <v>5073</v>
      </c>
      <c r="J239" s="32" t="s">
        <v>1271</v>
      </c>
      <c r="K239" s="33" t="s">
        <v>1272</v>
      </c>
      <c r="L239" s="32">
        <v>3.1818405E7</v>
      </c>
      <c r="M239" s="32" t="e">
        <v>#N/A</v>
      </c>
      <c r="N239" s="32" t="s">
        <v>5089</v>
      </c>
      <c r="O239" s="32" t="s">
        <v>4730</v>
      </c>
      <c r="P239" s="32">
        <v>1999.0</v>
      </c>
      <c r="Q239" s="34">
        <v>1629.0</v>
      </c>
      <c r="R239" s="40">
        <v>1629.0</v>
      </c>
      <c r="S239" s="35">
        <v>1599.2</v>
      </c>
      <c r="T239" s="36">
        <v>22.0</v>
      </c>
      <c r="U239" s="36">
        <v>0.0</v>
      </c>
      <c r="V239" s="36">
        <v>6.0</v>
      </c>
      <c r="W239" s="36">
        <v>0.0</v>
      </c>
      <c r="X239" s="36">
        <v>0.0</v>
      </c>
      <c r="Y239" s="36">
        <v>28.0</v>
      </c>
    </row>
    <row r="240">
      <c r="A240" s="32" t="s">
        <v>3391</v>
      </c>
      <c r="B240" s="32" t="s">
        <v>3391</v>
      </c>
      <c r="C240" s="32" t="s">
        <v>3392</v>
      </c>
      <c r="D240" s="32" t="s">
        <v>3393</v>
      </c>
      <c r="E240" s="32" t="s">
        <v>5073</v>
      </c>
      <c r="F240" s="32" t="e">
        <v>#N/A</v>
      </c>
      <c r="G240" s="39"/>
      <c r="H240" s="32" t="s">
        <v>3394</v>
      </c>
      <c r="I240" s="32" t="s">
        <v>5073</v>
      </c>
      <c r="J240" s="32" t="s">
        <v>3395</v>
      </c>
      <c r="K240" s="33" t="s">
        <v>3396</v>
      </c>
      <c r="L240" s="32">
        <v>3.1818388E7</v>
      </c>
      <c r="M240" s="32" t="e">
        <v>#N/A</v>
      </c>
      <c r="N240" s="32" t="s">
        <v>5086</v>
      </c>
      <c r="O240" s="32" t="s">
        <v>4730</v>
      </c>
      <c r="P240" s="32">
        <v>2189.0</v>
      </c>
      <c r="Q240" s="34">
        <v>1999.0</v>
      </c>
      <c r="R240" s="40">
        <v>1999.0</v>
      </c>
      <c r="S240" s="35">
        <v>1860.65</v>
      </c>
      <c r="T240" s="36">
        <v>0.0</v>
      </c>
      <c r="U240" s="36">
        <v>2.0</v>
      </c>
      <c r="V240" s="36">
        <v>26.0</v>
      </c>
      <c r="W240" s="36">
        <v>0.0</v>
      </c>
      <c r="X240" s="36">
        <v>0.0</v>
      </c>
      <c r="Y240" s="36">
        <v>28.0</v>
      </c>
    </row>
    <row r="241">
      <c r="A241" s="32" t="s">
        <v>4614</v>
      </c>
      <c r="B241" s="32" t="s">
        <v>4614</v>
      </c>
      <c r="C241" s="32" t="s">
        <v>4615</v>
      </c>
      <c r="D241" s="32" t="s">
        <v>4616</v>
      </c>
      <c r="E241" s="32" t="s">
        <v>5073</v>
      </c>
      <c r="F241" s="32" t="e">
        <v>#N/A</v>
      </c>
      <c r="G241" s="39"/>
      <c r="H241" s="32">
        <v>0.0</v>
      </c>
      <c r="I241" s="39"/>
      <c r="J241" s="32" t="s">
        <v>4617</v>
      </c>
      <c r="K241" s="33" t="s">
        <v>4618</v>
      </c>
      <c r="L241" s="32" t="e">
        <v>#N/A</v>
      </c>
      <c r="M241" s="32" t="e">
        <v>#N/A</v>
      </c>
      <c r="N241" s="32" t="s">
        <v>5077</v>
      </c>
      <c r="O241" s="32" t="s">
        <v>4730</v>
      </c>
      <c r="P241" s="32">
        <v>1699.0</v>
      </c>
      <c r="Q241" s="34">
        <v>1614.0</v>
      </c>
      <c r="R241" s="40">
        <v>1614.0</v>
      </c>
      <c r="S241" s="35">
        <v>1529.1</v>
      </c>
      <c r="T241" s="36">
        <v>5.0</v>
      </c>
      <c r="U241" s="36">
        <v>6.0</v>
      </c>
      <c r="V241" s="36">
        <v>17.0</v>
      </c>
      <c r="W241" s="36">
        <v>0.0</v>
      </c>
      <c r="X241" s="36">
        <v>0.0</v>
      </c>
      <c r="Y241" s="36">
        <v>28.0</v>
      </c>
    </row>
    <row r="242">
      <c r="A242" s="32" t="s">
        <v>2670</v>
      </c>
      <c r="B242" s="32" t="s">
        <v>2670</v>
      </c>
      <c r="C242" s="32">
        <v>0.0</v>
      </c>
      <c r="D242" s="32" t="e">
        <v>#N/A</v>
      </c>
      <c r="E242" s="39"/>
      <c r="F242" s="32" t="e">
        <v>#N/A</v>
      </c>
      <c r="G242" s="39"/>
      <c r="H242" s="32" t="e">
        <v>#N/A</v>
      </c>
      <c r="I242" s="39"/>
      <c r="J242" s="32">
        <v>0.0</v>
      </c>
      <c r="K242" s="33" t="e">
        <v>#N/A</v>
      </c>
      <c r="L242" s="32" t="e">
        <v>#N/A</v>
      </c>
      <c r="M242" s="32" t="e">
        <v>#N/A</v>
      </c>
      <c r="N242" s="32" t="e">
        <v>#N/A</v>
      </c>
      <c r="O242" s="32" t="e">
        <v>#N/A</v>
      </c>
      <c r="P242" s="32" t="e">
        <v>#REF!</v>
      </c>
      <c r="Q242" s="32" t="e">
        <v>#N/A</v>
      </c>
      <c r="R242" s="42" t="e">
        <v>#N/A</v>
      </c>
      <c r="S242" s="42" t="e">
        <v>#N/A</v>
      </c>
      <c r="T242" s="36">
        <v>10.0</v>
      </c>
      <c r="U242" s="36">
        <v>1.0</v>
      </c>
      <c r="V242" s="36">
        <v>17.0</v>
      </c>
      <c r="W242" s="36">
        <v>0.0</v>
      </c>
      <c r="X242" s="36">
        <v>0.0</v>
      </c>
      <c r="Y242" s="36">
        <v>28.0</v>
      </c>
    </row>
    <row r="243">
      <c r="A243" s="32" t="s">
        <v>4534</v>
      </c>
      <c r="B243" s="32" t="s">
        <v>4534</v>
      </c>
      <c r="C243" s="32">
        <v>0.0</v>
      </c>
      <c r="D243" s="32" t="e">
        <v>#N/A</v>
      </c>
      <c r="E243" s="39"/>
      <c r="F243" s="32" t="e">
        <v>#N/A</v>
      </c>
      <c r="G243" s="39"/>
      <c r="H243" s="32">
        <v>0.0</v>
      </c>
      <c r="I243" s="39"/>
      <c r="J243" s="32" t="s">
        <v>4536</v>
      </c>
      <c r="K243" s="33" t="e">
        <v>#N/A</v>
      </c>
      <c r="L243" s="32" t="e">
        <v>#N/A</v>
      </c>
      <c r="M243" s="32" t="e">
        <v>#N/A</v>
      </c>
      <c r="N243" s="32" t="s">
        <v>5077</v>
      </c>
      <c r="O243" s="32" t="s">
        <v>4730</v>
      </c>
      <c r="P243" s="32">
        <v>1499.0</v>
      </c>
      <c r="Q243" s="34">
        <v>1424.0</v>
      </c>
      <c r="R243" s="40">
        <v>1424.0</v>
      </c>
      <c r="S243" s="35">
        <v>1349.1</v>
      </c>
      <c r="T243" s="36">
        <v>3.0</v>
      </c>
      <c r="U243" s="36">
        <v>20.0</v>
      </c>
      <c r="V243" s="36">
        <v>4.0</v>
      </c>
      <c r="W243" s="36">
        <v>0.0</v>
      </c>
      <c r="X243" s="36">
        <v>1.0</v>
      </c>
      <c r="Y243" s="36">
        <v>28.0</v>
      </c>
    </row>
    <row r="244">
      <c r="A244" s="32" t="s">
        <v>4461</v>
      </c>
      <c r="B244" s="32" t="s">
        <v>4461</v>
      </c>
      <c r="C244" s="32" t="s">
        <v>4462</v>
      </c>
      <c r="D244" s="32" t="s">
        <v>4463</v>
      </c>
      <c r="E244" s="32" t="s">
        <v>5073</v>
      </c>
      <c r="F244" s="32" t="e">
        <v>#N/A</v>
      </c>
      <c r="G244" s="32" t="e">
        <v>#N/A</v>
      </c>
      <c r="H244" s="32">
        <v>0.0</v>
      </c>
      <c r="I244" s="32">
        <v>0.0</v>
      </c>
      <c r="J244" s="32" t="s">
        <v>4464</v>
      </c>
      <c r="K244" s="33" t="s">
        <v>4465</v>
      </c>
      <c r="L244" s="32" t="e">
        <v>#N/A</v>
      </c>
      <c r="M244" s="32" t="e">
        <v>#N/A</v>
      </c>
      <c r="N244" s="32" t="s">
        <v>5077</v>
      </c>
      <c r="O244" s="32" t="s">
        <v>4730</v>
      </c>
      <c r="P244" s="32">
        <v>999.0</v>
      </c>
      <c r="Q244" s="34">
        <v>949.0</v>
      </c>
      <c r="R244" s="35">
        <v>949.0</v>
      </c>
      <c r="S244" s="35">
        <v>899.1</v>
      </c>
      <c r="T244" s="36">
        <v>3.0</v>
      </c>
      <c r="U244" s="36">
        <v>4.0</v>
      </c>
      <c r="V244" s="36">
        <v>20.0</v>
      </c>
      <c r="W244" s="36">
        <v>0.0</v>
      </c>
      <c r="X244" s="36">
        <v>0.0</v>
      </c>
      <c r="Y244" s="36">
        <v>27.0</v>
      </c>
    </row>
    <row r="245">
      <c r="A245" s="32" t="s">
        <v>1165</v>
      </c>
      <c r="B245" s="32" t="s">
        <v>1165</v>
      </c>
      <c r="C245" s="32" t="s">
        <v>1166</v>
      </c>
      <c r="D245" s="32" t="s">
        <v>1167</v>
      </c>
      <c r="E245" s="32" t="s">
        <v>5073</v>
      </c>
      <c r="F245" s="32" t="e">
        <v>#N/A</v>
      </c>
      <c r="G245" s="39"/>
      <c r="H245" s="32">
        <v>0.0</v>
      </c>
      <c r="I245" s="39"/>
      <c r="J245" s="32" t="s">
        <v>1165</v>
      </c>
      <c r="K245" s="33" t="s">
        <v>1168</v>
      </c>
      <c r="L245" s="32" t="e">
        <v>#N/A</v>
      </c>
      <c r="M245" s="32" t="s">
        <v>1169</v>
      </c>
      <c r="N245" s="32" t="s">
        <v>1195</v>
      </c>
      <c r="O245" s="32" t="s">
        <v>5114</v>
      </c>
      <c r="P245" s="32">
        <v>1989.0</v>
      </c>
      <c r="Q245" s="34">
        <v>1429.0</v>
      </c>
      <c r="R245" s="40">
        <v>1399.0</v>
      </c>
      <c r="S245" s="35">
        <v>1392.3</v>
      </c>
      <c r="T245" s="36">
        <v>3.0</v>
      </c>
      <c r="U245" s="36">
        <v>0.0</v>
      </c>
      <c r="V245" s="36">
        <v>22.0</v>
      </c>
      <c r="W245" s="36">
        <v>0.0</v>
      </c>
      <c r="X245" s="36">
        <v>2.0</v>
      </c>
      <c r="Y245" s="36">
        <v>27.0</v>
      </c>
    </row>
    <row r="246">
      <c r="A246" s="32" t="s">
        <v>1339</v>
      </c>
      <c r="B246" s="32" t="s">
        <v>1339</v>
      </c>
      <c r="C246" s="32" t="s">
        <v>1340</v>
      </c>
      <c r="D246" s="32" t="s">
        <v>1341</v>
      </c>
      <c r="E246" s="32" t="s">
        <v>5073</v>
      </c>
      <c r="F246" s="32" t="e">
        <v>#N/A</v>
      </c>
      <c r="G246" s="39"/>
      <c r="H246" s="32" t="s">
        <v>1342</v>
      </c>
      <c r="I246" s="32" t="s">
        <v>5073</v>
      </c>
      <c r="J246" s="32" t="s">
        <v>1343</v>
      </c>
      <c r="K246" s="33" t="s">
        <v>1344</v>
      </c>
      <c r="L246" s="32">
        <v>3.1818422E7</v>
      </c>
      <c r="M246" s="32" t="e">
        <v>#N/A</v>
      </c>
      <c r="N246" s="32" t="s">
        <v>5089</v>
      </c>
      <c r="O246" s="32" t="s">
        <v>4730</v>
      </c>
      <c r="P246" s="32">
        <v>2449.0</v>
      </c>
      <c r="Q246" s="34">
        <v>2004.0</v>
      </c>
      <c r="R246" s="40">
        <v>2004.0</v>
      </c>
      <c r="S246" s="35">
        <v>1959.2</v>
      </c>
      <c r="T246" s="36">
        <v>20.0</v>
      </c>
      <c r="U246" s="36">
        <v>3.0</v>
      </c>
      <c r="V246" s="36">
        <v>4.0</v>
      </c>
      <c r="W246" s="36">
        <v>0.0</v>
      </c>
      <c r="X246" s="36">
        <v>0.0</v>
      </c>
      <c r="Y246" s="36">
        <v>27.0</v>
      </c>
    </row>
    <row r="247">
      <c r="A247" s="32" t="s">
        <v>1207</v>
      </c>
      <c r="B247" s="32" t="s">
        <v>1207</v>
      </c>
      <c r="C247" s="32" t="s">
        <v>1208</v>
      </c>
      <c r="D247" s="32" t="s">
        <v>1209</v>
      </c>
      <c r="E247" s="32" t="s">
        <v>5073</v>
      </c>
      <c r="F247" s="32" t="e">
        <v>#N/A</v>
      </c>
      <c r="G247" s="39"/>
      <c r="H247" s="32" t="s">
        <v>1210</v>
      </c>
      <c r="I247" s="32" t="s">
        <v>5073</v>
      </c>
      <c r="J247" s="32" t="s">
        <v>1211</v>
      </c>
      <c r="K247" s="33" t="s">
        <v>1212</v>
      </c>
      <c r="L247" s="32">
        <v>3.1818386E7</v>
      </c>
      <c r="M247" s="32" t="e">
        <v>#N/A</v>
      </c>
      <c r="N247" s="32" t="s">
        <v>5089</v>
      </c>
      <c r="O247" s="32" t="s">
        <v>4730</v>
      </c>
      <c r="P247" s="32">
        <v>1999.0</v>
      </c>
      <c r="Q247" s="34">
        <v>1629.0</v>
      </c>
      <c r="R247" s="40">
        <v>1629.0</v>
      </c>
      <c r="S247" s="35">
        <v>1599.2</v>
      </c>
      <c r="T247" s="36">
        <v>16.0</v>
      </c>
      <c r="U247" s="36">
        <v>5.0</v>
      </c>
      <c r="V247" s="36">
        <v>6.0</v>
      </c>
      <c r="W247" s="36">
        <v>0.0</v>
      </c>
      <c r="X247" s="36">
        <v>0.0</v>
      </c>
      <c r="Y247" s="36">
        <v>27.0</v>
      </c>
    </row>
    <row r="248">
      <c r="A248" s="32" t="s">
        <v>2899</v>
      </c>
      <c r="B248" s="32" t="s">
        <v>2899</v>
      </c>
      <c r="C248" s="32" t="s">
        <v>2900</v>
      </c>
      <c r="D248" s="32" t="s">
        <v>2901</v>
      </c>
      <c r="E248" s="32" t="s">
        <v>5073</v>
      </c>
      <c r="F248" s="32" t="e">
        <v>#N/A</v>
      </c>
      <c r="G248" s="39"/>
      <c r="H248" s="32" t="s">
        <v>2902</v>
      </c>
      <c r="I248" s="32" t="s">
        <v>5073</v>
      </c>
      <c r="J248" s="32" t="s">
        <v>2903</v>
      </c>
      <c r="K248" s="33" t="s">
        <v>2904</v>
      </c>
      <c r="L248" s="32" t="e">
        <v>#N/A</v>
      </c>
      <c r="M248" s="32" t="e">
        <v>#N/A</v>
      </c>
      <c r="N248" s="32" t="s">
        <v>5116</v>
      </c>
      <c r="O248" s="32" t="s">
        <v>4730</v>
      </c>
      <c r="P248" s="32">
        <v>2699.0</v>
      </c>
      <c r="Q248" s="34">
        <v>2399.0</v>
      </c>
      <c r="R248" s="40">
        <v>2399.0</v>
      </c>
      <c r="S248" s="35">
        <v>2294.15</v>
      </c>
      <c r="T248" s="36">
        <v>0.0</v>
      </c>
      <c r="U248" s="36">
        <v>0.0</v>
      </c>
      <c r="V248" s="36">
        <v>19.0</v>
      </c>
      <c r="W248" s="36">
        <v>5.0</v>
      </c>
      <c r="X248" s="36">
        <v>3.0</v>
      </c>
      <c r="Y248" s="36">
        <v>27.0</v>
      </c>
    </row>
    <row r="249">
      <c r="A249" s="32" t="s">
        <v>2713</v>
      </c>
      <c r="B249" s="32" t="s">
        <v>2713</v>
      </c>
      <c r="C249" s="32">
        <v>0.0</v>
      </c>
      <c r="D249" s="32" t="e">
        <v>#N/A</v>
      </c>
      <c r="E249" s="39"/>
      <c r="F249" s="32" t="e">
        <v>#N/A</v>
      </c>
      <c r="G249" s="39"/>
      <c r="H249" s="32" t="e">
        <v>#N/A</v>
      </c>
      <c r="I249" s="39"/>
      <c r="J249" s="32">
        <v>0.0</v>
      </c>
      <c r="K249" s="33" t="e">
        <v>#N/A</v>
      </c>
      <c r="L249" s="32" t="e">
        <v>#N/A</v>
      </c>
      <c r="M249" s="32" t="e">
        <v>#N/A</v>
      </c>
      <c r="N249" s="32" t="e">
        <v>#N/A</v>
      </c>
      <c r="O249" s="32" t="e">
        <v>#N/A</v>
      </c>
      <c r="P249" s="32" t="e">
        <v>#REF!</v>
      </c>
      <c r="Q249" s="32" t="e">
        <v>#N/A</v>
      </c>
      <c r="R249" s="42" t="e">
        <v>#N/A</v>
      </c>
      <c r="S249" s="42" t="e">
        <v>#N/A</v>
      </c>
      <c r="T249" s="36">
        <v>13.0</v>
      </c>
      <c r="U249" s="36">
        <v>0.0</v>
      </c>
      <c r="V249" s="36">
        <v>14.0</v>
      </c>
      <c r="W249" s="36">
        <v>0.0</v>
      </c>
      <c r="X249" s="36">
        <v>0.0</v>
      </c>
      <c r="Y249" s="36">
        <v>27.0</v>
      </c>
    </row>
    <row r="250">
      <c r="A250" s="32" t="s">
        <v>3083</v>
      </c>
      <c r="B250" s="32" t="s">
        <v>3083</v>
      </c>
      <c r="C250" s="32" t="s">
        <v>3084</v>
      </c>
      <c r="D250" s="32" t="s">
        <v>3085</v>
      </c>
      <c r="E250" s="32" t="s">
        <v>5073</v>
      </c>
      <c r="F250" s="32" t="e">
        <v>#N/A</v>
      </c>
      <c r="G250" s="32" t="e">
        <v>#N/A</v>
      </c>
      <c r="H250" s="32" t="s">
        <v>3086</v>
      </c>
      <c r="I250" s="32" t="s">
        <v>5073</v>
      </c>
      <c r="J250" s="32" t="s">
        <v>3087</v>
      </c>
      <c r="K250" s="33" t="s">
        <v>3088</v>
      </c>
      <c r="L250" s="32">
        <v>3.1745299E7</v>
      </c>
      <c r="M250" s="32" t="e">
        <v>#N/A</v>
      </c>
      <c r="N250" s="32" t="s">
        <v>5087</v>
      </c>
      <c r="O250" s="32" t="s">
        <v>4730</v>
      </c>
      <c r="P250" s="32">
        <v>1879.0</v>
      </c>
      <c r="Q250" s="34">
        <v>1587.0</v>
      </c>
      <c r="R250" s="40">
        <v>1599.0</v>
      </c>
      <c r="S250" s="35">
        <v>1597.15</v>
      </c>
      <c r="T250" s="36">
        <v>0.0</v>
      </c>
      <c r="U250" s="36">
        <v>10.0</v>
      </c>
      <c r="V250" s="36">
        <v>16.0</v>
      </c>
      <c r="W250" s="36">
        <v>0.0</v>
      </c>
      <c r="X250" s="36">
        <v>0.0</v>
      </c>
      <c r="Y250" s="36">
        <v>26.0</v>
      </c>
    </row>
    <row r="251">
      <c r="A251" s="32" t="s">
        <v>1047</v>
      </c>
      <c r="B251" s="32" t="s">
        <v>1047</v>
      </c>
      <c r="C251" s="32" t="s">
        <v>1048</v>
      </c>
      <c r="D251" s="32" t="s">
        <v>1049</v>
      </c>
      <c r="E251" s="32" t="s">
        <v>5073</v>
      </c>
      <c r="F251" s="32" t="e">
        <v>#N/A</v>
      </c>
      <c r="G251" s="32" t="e">
        <v>#N/A</v>
      </c>
      <c r="H251" s="32">
        <v>0.0</v>
      </c>
      <c r="I251" s="39"/>
      <c r="J251" s="32" t="s">
        <v>1050</v>
      </c>
      <c r="K251" s="33" t="s">
        <v>1051</v>
      </c>
      <c r="L251" s="32">
        <v>3.1999062E7</v>
      </c>
      <c r="M251" s="32" t="s">
        <v>1052</v>
      </c>
      <c r="N251" s="32" t="s">
        <v>5108</v>
      </c>
      <c r="O251" s="32" t="s">
        <v>52</v>
      </c>
      <c r="P251" s="32">
        <v>22699.0</v>
      </c>
      <c r="Q251" s="34">
        <v>19067.0</v>
      </c>
      <c r="R251" s="40">
        <v>20399.0</v>
      </c>
      <c r="S251" s="35">
        <v>18159.2</v>
      </c>
      <c r="T251" s="36">
        <v>3.0</v>
      </c>
      <c r="U251" s="36">
        <v>0.0</v>
      </c>
      <c r="V251" s="36">
        <v>23.0</v>
      </c>
      <c r="W251" s="36">
        <v>0.0</v>
      </c>
      <c r="X251" s="36">
        <v>0.0</v>
      </c>
      <c r="Y251" s="36">
        <v>26.0</v>
      </c>
    </row>
    <row r="252">
      <c r="A252" s="32" t="s">
        <v>4196</v>
      </c>
      <c r="B252" s="32" t="s">
        <v>4196</v>
      </c>
      <c r="C252" s="32" t="s">
        <v>4197</v>
      </c>
      <c r="D252" s="32" t="s">
        <v>4198</v>
      </c>
      <c r="E252" s="32" t="s">
        <v>5073</v>
      </c>
      <c r="F252" s="32" t="e">
        <v>#N/A</v>
      </c>
      <c r="G252" s="38"/>
      <c r="H252" s="32">
        <v>0.0</v>
      </c>
      <c r="I252" s="39"/>
      <c r="J252" s="32" t="s">
        <v>4199</v>
      </c>
      <c r="K252" s="33" t="s">
        <v>4200</v>
      </c>
      <c r="L252" s="32" t="e">
        <v>#N/A</v>
      </c>
      <c r="M252" s="32" t="e">
        <v>#N/A</v>
      </c>
      <c r="N252" s="32" t="s">
        <v>5118</v>
      </c>
      <c r="O252" s="32" t="s">
        <v>52</v>
      </c>
      <c r="P252" s="32">
        <v>17499.0</v>
      </c>
      <c r="Q252" s="34">
        <v>15749.0</v>
      </c>
      <c r="R252" s="40">
        <v>16799.0</v>
      </c>
      <c r="S252" s="35">
        <v>15377.34</v>
      </c>
      <c r="T252" s="36">
        <v>0.0</v>
      </c>
      <c r="U252" s="36">
        <v>0.0</v>
      </c>
      <c r="V252" s="36">
        <v>23.0</v>
      </c>
      <c r="W252" s="36">
        <v>0.0</v>
      </c>
      <c r="X252" s="36">
        <v>3.0</v>
      </c>
      <c r="Y252" s="36">
        <v>26.0</v>
      </c>
    </row>
    <row r="253">
      <c r="A253" s="32" t="s">
        <v>206</v>
      </c>
      <c r="B253" s="32" t="s">
        <v>206</v>
      </c>
      <c r="C253" s="32" t="s">
        <v>207</v>
      </c>
      <c r="D253" s="32" t="s">
        <v>208</v>
      </c>
      <c r="E253" s="32" t="s">
        <v>5073</v>
      </c>
      <c r="F253" s="32" t="e">
        <v>#N/A</v>
      </c>
      <c r="G253" s="39"/>
      <c r="H253" s="32" t="s">
        <v>209</v>
      </c>
      <c r="I253" s="32" t="s">
        <v>5073</v>
      </c>
      <c r="J253" s="32" t="s">
        <v>210</v>
      </c>
      <c r="K253" s="33" t="s">
        <v>211</v>
      </c>
      <c r="L253" s="32">
        <v>3.199909E7</v>
      </c>
      <c r="M253" s="32" t="s">
        <v>212</v>
      </c>
      <c r="N253" s="32" t="s">
        <v>51</v>
      </c>
      <c r="O253" s="32" t="s">
        <v>52</v>
      </c>
      <c r="P253" s="32">
        <v>12799.0</v>
      </c>
      <c r="Q253" s="34">
        <v>10367.0</v>
      </c>
      <c r="R253" s="40">
        <v>11099.0</v>
      </c>
      <c r="S253" s="35">
        <v>9727.24</v>
      </c>
      <c r="T253" s="36">
        <v>7.0</v>
      </c>
      <c r="U253" s="36">
        <v>4.0</v>
      </c>
      <c r="V253" s="36">
        <v>9.0</v>
      </c>
      <c r="W253" s="36">
        <v>4.0</v>
      </c>
      <c r="X253" s="36">
        <v>2.0</v>
      </c>
      <c r="Y253" s="36">
        <v>26.0</v>
      </c>
    </row>
    <row r="254">
      <c r="A254" s="32" t="s">
        <v>1309</v>
      </c>
      <c r="B254" s="32" t="s">
        <v>1309</v>
      </c>
      <c r="C254" s="32" t="s">
        <v>1310</v>
      </c>
      <c r="D254" s="32" t="s">
        <v>1311</v>
      </c>
      <c r="E254" s="32" t="s">
        <v>5073</v>
      </c>
      <c r="F254" s="32" t="e">
        <v>#N/A</v>
      </c>
      <c r="G254" s="39"/>
      <c r="H254" s="32" t="s">
        <v>1312</v>
      </c>
      <c r="I254" s="32" t="s">
        <v>5073</v>
      </c>
      <c r="J254" s="32" t="s">
        <v>1313</v>
      </c>
      <c r="K254" s="33" t="s">
        <v>1314</v>
      </c>
      <c r="L254" s="32">
        <v>3.181842E7</v>
      </c>
      <c r="M254" s="32" t="e">
        <v>#N/A</v>
      </c>
      <c r="N254" s="32" t="s">
        <v>5089</v>
      </c>
      <c r="O254" s="32" t="s">
        <v>4730</v>
      </c>
      <c r="P254" s="32">
        <v>2449.0</v>
      </c>
      <c r="Q254" s="34">
        <v>2004.0</v>
      </c>
      <c r="R254" s="40">
        <v>2004.0</v>
      </c>
      <c r="S254" s="35">
        <v>1959.2</v>
      </c>
      <c r="T254" s="36">
        <v>5.0</v>
      </c>
      <c r="U254" s="36">
        <v>4.0</v>
      </c>
      <c r="V254" s="36">
        <v>15.0</v>
      </c>
      <c r="W254" s="36">
        <v>2.0</v>
      </c>
      <c r="X254" s="36">
        <v>0.0</v>
      </c>
      <c r="Y254" s="36">
        <v>26.0</v>
      </c>
    </row>
    <row r="255">
      <c r="A255" s="32" t="s">
        <v>2663</v>
      </c>
      <c r="B255" s="32" t="s">
        <v>2663</v>
      </c>
      <c r="C255" s="32" t="s">
        <v>2664</v>
      </c>
      <c r="D255" s="32" t="s">
        <v>2665</v>
      </c>
      <c r="E255" s="32" t="s">
        <v>5073</v>
      </c>
      <c r="F255" s="32" t="e">
        <v>#N/A</v>
      </c>
      <c r="G255" s="39"/>
      <c r="H255" s="32" t="s">
        <v>2666</v>
      </c>
      <c r="I255" s="32" t="s">
        <v>5073</v>
      </c>
      <c r="J255" s="32" t="s">
        <v>2667</v>
      </c>
      <c r="K255" s="33" t="s">
        <v>2668</v>
      </c>
      <c r="L255" s="32">
        <v>3.1818393E7</v>
      </c>
      <c r="M255" s="32" t="e">
        <v>#N/A</v>
      </c>
      <c r="N255" s="32" t="s">
        <v>5107</v>
      </c>
      <c r="O255" s="32" t="s">
        <v>4730</v>
      </c>
      <c r="P255" s="32">
        <v>1389.0</v>
      </c>
      <c r="Q255" s="34">
        <v>1138.0</v>
      </c>
      <c r="R255" s="40">
        <v>1138.0</v>
      </c>
      <c r="S255" s="35">
        <v>1041.75</v>
      </c>
      <c r="T255" s="36">
        <v>0.0</v>
      </c>
      <c r="U255" s="36">
        <v>0.0</v>
      </c>
      <c r="V255" s="36">
        <v>26.0</v>
      </c>
      <c r="W255" s="36">
        <v>0.0</v>
      </c>
      <c r="X255" s="36">
        <v>0.0</v>
      </c>
      <c r="Y255" s="36">
        <v>26.0</v>
      </c>
    </row>
    <row r="256">
      <c r="A256" s="32" t="s">
        <v>4526</v>
      </c>
      <c r="B256" s="32" t="s">
        <v>4526</v>
      </c>
      <c r="C256" s="32" t="s">
        <v>4527</v>
      </c>
      <c r="D256" s="32" t="s">
        <v>4528</v>
      </c>
      <c r="E256" s="32" t="s">
        <v>5073</v>
      </c>
      <c r="F256" s="32" t="e">
        <v>#N/A</v>
      </c>
      <c r="G256" s="39"/>
      <c r="H256" s="32">
        <v>0.0</v>
      </c>
      <c r="I256" s="39"/>
      <c r="J256" s="32" t="s">
        <v>4529</v>
      </c>
      <c r="K256" s="33" t="s">
        <v>4530</v>
      </c>
      <c r="L256" s="32" t="e">
        <v>#N/A</v>
      </c>
      <c r="M256" s="32" t="e">
        <v>#N/A</v>
      </c>
      <c r="N256" s="32" t="s">
        <v>5077</v>
      </c>
      <c r="O256" s="32" t="s">
        <v>4730</v>
      </c>
      <c r="P256" s="32">
        <v>1499.0</v>
      </c>
      <c r="Q256" s="34">
        <v>1424.0</v>
      </c>
      <c r="R256" s="40">
        <v>1424.0</v>
      </c>
      <c r="S256" s="35">
        <v>1349.1</v>
      </c>
      <c r="T256" s="36">
        <v>3.0</v>
      </c>
      <c r="U256" s="36">
        <v>0.0</v>
      </c>
      <c r="V256" s="36">
        <v>23.0</v>
      </c>
      <c r="W256" s="36">
        <v>0.0</v>
      </c>
      <c r="X256" s="36">
        <v>0.0</v>
      </c>
      <c r="Y256" s="36">
        <v>26.0</v>
      </c>
    </row>
    <row r="257">
      <c r="A257" s="32" t="s">
        <v>4418</v>
      </c>
      <c r="B257" s="32" t="s">
        <v>4418</v>
      </c>
      <c r="C257" s="32" t="s">
        <v>4419</v>
      </c>
      <c r="D257" s="32" t="s">
        <v>4420</v>
      </c>
      <c r="E257" s="32" t="s">
        <v>5102</v>
      </c>
      <c r="F257" s="32" t="e">
        <v>#N/A</v>
      </c>
      <c r="G257" s="39"/>
      <c r="H257" s="32">
        <v>0.0</v>
      </c>
      <c r="I257" s="39"/>
      <c r="J257" s="32" t="s">
        <v>4421</v>
      </c>
      <c r="K257" s="33" t="s">
        <v>4422</v>
      </c>
      <c r="L257" s="32" t="e">
        <v>#N/A</v>
      </c>
      <c r="M257" s="32" t="e">
        <v>#N/A</v>
      </c>
      <c r="N257" s="32" t="s">
        <v>5077</v>
      </c>
      <c r="O257" s="32" t="s">
        <v>4730</v>
      </c>
      <c r="P257" s="32">
        <v>999.0</v>
      </c>
      <c r="Q257" s="34">
        <v>949.0</v>
      </c>
      <c r="R257" s="35">
        <v>949.0</v>
      </c>
      <c r="S257" s="35">
        <v>899.1</v>
      </c>
      <c r="T257" s="36">
        <v>0.0</v>
      </c>
      <c r="U257" s="36">
        <v>0.0</v>
      </c>
      <c r="V257" s="36">
        <v>18.0</v>
      </c>
      <c r="W257" s="36">
        <v>0.0</v>
      </c>
      <c r="X257" s="36">
        <v>8.0</v>
      </c>
      <c r="Y257" s="36">
        <v>26.0</v>
      </c>
    </row>
    <row r="258">
      <c r="A258" s="32" t="s">
        <v>3619</v>
      </c>
      <c r="B258" s="32" t="s">
        <v>3619</v>
      </c>
      <c r="C258" s="32" t="s">
        <v>3620</v>
      </c>
      <c r="D258" s="32" t="s">
        <v>3621</v>
      </c>
      <c r="E258" s="32" t="s">
        <v>5073</v>
      </c>
      <c r="F258" s="32" t="e">
        <v>#N/A</v>
      </c>
      <c r="G258" s="32" t="e">
        <v>#N/A</v>
      </c>
      <c r="H258" s="32" t="s">
        <v>3619</v>
      </c>
      <c r="I258" s="32" t="s">
        <v>5073</v>
      </c>
      <c r="J258" s="32" t="s">
        <v>3622</v>
      </c>
      <c r="K258" s="33" t="s">
        <v>3623</v>
      </c>
      <c r="L258" s="32" t="e">
        <v>#N/A</v>
      </c>
      <c r="M258" s="32" t="e">
        <v>#N/A</v>
      </c>
      <c r="N258" s="32" t="s">
        <v>5127</v>
      </c>
      <c r="O258" s="32" t="s">
        <v>4730</v>
      </c>
      <c r="P258" s="32">
        <v>899.0</v>
      </c>
      <c r="Q258" s="34">
        <v>799.0</v>
      </c>
      <c r="R258" s="35">
        <v>799.0</v>
      </c>
      <c r="S258" s="35">
        <v>749.0</v>
      </c>
      <c r="T258" s="36">
        <v>0.0</v>
      </c>
      <c r="U258" s="36">
        <v>0.0</v>
      </c>
      <c r="V258" s="36">
        <v>25.0</v>
      </c>
      <c r="W258" s="36">
        <v>0.0</v>
      </c>
      <c r="X258" s="36">
        <v>0.0</v>
      </c>
      <c r="Y258" s="36">
        <v>25.0</v>
      </c>
    </row>
    <row r="259">
      <c r="A259" s="32" t="s">
        <v>4491</v>
      </c>
      <c r="B259" s="32" t="s">
        <v>4491</v>
      </c>
      <c r="C259" s="32" t="s">
        <v>4492</v>
      </c>
      <c r="D259" s="32" t="s">
        <v>4493</v>
      </c>
      <c r="E259" s="32" t="s">
        <v>5073</v>
      </c>
      <c r="F259" s="32" t="e">
        <v>#N/A</v>
      </c>
      <c r="G259" s="39"/>
      <c r="H259" s="32">
        <v>0.0</v>
      </c>
      <c r="I259" s="39"/>
      <c r="J259" s="32" t="s">
        <v>4494</v>
      </c>
      <c r="K259" s="33" t="s">
        <v>4495</v>
      </c>
      <c r="L259" s="32" t="e">
        <v>#N/A</v>
      </c>
      <c r="M259" s="32" t="e">
        <v>#N/A</v>
      </c>
      <c r="N259" s="32" t="s">
        <v>5077</v>
      </c>
      <c r="O259" s="32" t="s">
        <v>4730</v>
      </c>
      <c r="P259" s="32">
        <v>1199.0</v>
      </c>
      <c r="Q259" s="34">
        <v>1139.0</v>
      </c>
      <c r="R259" s="40">
        <v>1139.0</v>
      </c>
      <c r="S259" s="35">
        <v>1079.1</v>
      </c>
      <c r="T259" s="36">
        <v>4.0</v>
      </c>
      <c r="U259" s="36">
        <v>9.0</v>
      </c>
      <c r="V259" s="36">
        <v>9.0</v>
      </c>
      <c r="W259" s="36">
        <v>0.0</v>
      </c>
      <c r="X259" s="36">
        <v>3.0</v>
      </c>
      <c r="Y259" s="36">
        <v>25.0</v>
      </c>
    </row>
    <row r="260">
      <c r="A260" s="32" t="s">
        <v>1153</v>
      </c>
      <c r="B260" s="32" t="s">
        <v>1153</v>
      </c>
      <c r="C260" s="32" t="s">
        <v>1154</v>
      </c>
      <c r="D260" s="32" t="s">
        <v>1155</v>
      </c>
      <c r="E260" s="32" t="s">
        <v>5117</v>
      </c>
      <c r="F260" s="32" t="e">
        <v>#N/A</v>
      </c>
      <c r="G260" s="32" t="e">
        <v>#N/A</v>
      </c>
      <c r="H260" s="32" t="s">
        <v>1156</v>
      </c>
      <c r="I260" s="32" t="s">
        <v>5102</v>
      </c>
      <c r="J260" s="32" t="s">
        <v>1157</v>
      </c>
      <c r="K260" s="33" t="s">
        <v>1158</v>
      </c>
      <c r="L260" s="32" t="e">
        <v>#N/A</v>
      </c>
      <c r="M260" s="32" t="s">
        <v>1159</v>
      </c>
      <c r="N260" s="32" t="s">
        <v>1195</v>
      </c>
      <c r="O260" s="32" t="s">
        <v>5114</v>
      </c>
      <c r="P260" s="32">
        <v>2489.0</v>
      </c>
      <c r="Q260" s="34">
        <v>1788.0</v>
      </c>
      <c r="R260" s="40">
        <v>1799.0</v>
      </c>
      <c r="S260" s="35">
        <v>1742.3</v>
      </c>
      <c r="T260" s="36">
        <v>0.0</v>
      </c>
      <c r="U260" s="36">
        <v>0.0</v>
      </c>
      <c r="V260" s="36">
        <v>25.0</v>
      </c>
      <c r="W260" s="36">
        <v>0.0</v>
      </c>
      <c r="X260" s="36">
        <v>0.0</v>
      </c>
      <c r="Y260" s="36">
        <v>25.0</v>
      </c>
    </row>
    <row r="261">
      <c r="A261" s="32" t="s">
        <v>3681</v>
      </c>
      <c r="B261" s="32" t="s">
        <v>3681</v>
      </c>
      <c r="C261" s="32" t="s">
        <v>3682</v>
      </c>
      <c r="D261" s="32" t="s">
        <v>3683</v>
      </c>
      <c r="E261" s="32" t="s">
        <v>5073</v>
      </c>
      <c r="F261" s="32" t="e">
        <v>#N/A</v>
      </c>
      <c r="G261" s="39"/>
      <c r="H261" s="32" t="s">
        <v>3681</v>
      </c>
      <c r="I261" s="32" t="s">
        <v>5073</v>
      </c>
      <c r="J261" s="32" t="s">
        <v>3684</v>
      </c>
      <c r="K261" s="33" t="s">
        <v>3685</v>
      </c>
      <c r="L261" s="32" t="e">
        <v>#N/A</v>
      </c>
      <c r="M261" s="32" t="e">
        <v>#N/A</v>
      </c>
      <c r="N261" s="32" t="s">
        <v>5127</v>
      </c>
      <c r="O261" s="32" t="s">
        <v>4730</v>
      </c>
      <c r="P261" s="32">
        <v>999.0</v>
      </c>
      <c r="Q261" s="34">
        <v>879.0</v>
      </c>
      <c r="R261" s="35">
        <v>899.0</v>
      </c>
      <c r="S261" s="35">
        <v>879.0</v>
      </c>
      <c r="T261" s="36">
        <v>0.0</v>
      </c>
      <c r="U261" s="36">
        <v>0.0</v>
      </c>
      <c r="V261" s="36">
        <v>25.0</v>
      </c>
      <c r="W261" s="36">
        <v>0.0</v>
      </c>
      <c r="X261" s="36">
        <v>0.0</v>
      </c>
      <c r="Y261" s="36">
        <v>25.0</v>
      </c>
    </row>
    <row r="262">
      <c r="A262" s="32" t="s">
        <v>2671</v>
      </c>
      <c r="B262" s="32" t="s">
        <v>2671</v>
      </c>
      <c r="C262" s="32">
        <v>0.0</v>
      </c>
      <c r="D262" s="32" t="e">
        <v>#N/A</v>
      </c>
      <c r="E262" s="39"/>
      <c r="F262" s="32" t="e">
        <v>#N/A</v>
      </c>
      <c r="G262" s="39"/>
      <c r="H262" s="32" t="e">
        <v>#N/A</v>
      </c>
      <c r="I262" s="39"/>
      <c r="J262" s="32">
        <v>0.0</v>
      </c>
      <c r="K262" s="33" t="e">
        <v>#N/A</v>
      </c>
      <c r="L262" s="32" t="e">
        <v>#N/A</v>
      </c>
      <c r="M262" s="32" t="e">
        <v>#N/A</v>
      </c>
      <c r="N262" s="32" t="e">
        <v>#N/A</v>
      </c>
      <c r="O262" s="32" t="e">
        <v>#N/A</v>
      </c>
      <c r="P262" s="32" t="e">
        <v>#REF!</v>
      </c>
      <c r="Q262" s="32" t="e">
        <v>#N/A</v>
      </c>
      <c r="R262" s="42" t="e">
        <v>#N/A</v>
      </c>
      <c r="S262" s="42" t="e">
        <v>#N/A</v>
      </c>
      <c r="T262" s="36">
        <v>11.0</v>
      </c>
      <c r="U262" s="36">
        <v>0.0</v>
      </c>
      <c r="V262" s="36">
        <v>14.0</v>
      </c>
      <c r="W262" s="36">
        <v>0.0</v>
      </c>
      <c r="X262" s="36">
        <v>0.0</v>
      </c>
      <c r="Y262" s="36">
        <v>25.0</v>
      </c>
    </row>
    <row r="263">
      <c r="A263" s="32" t="s">
        <v>2672</v>
      </c>
      <c r="B263" s="32" t="s">
        <v>2672</v>
      </c>
      <c r="C263" s="32">
        <v>0.0</v>
      </c>
      <c r="D263" s="32" t="e">
        <v>#N/A</v>
      </c>
      <c r="E263" s="39"/>
      <c r="F263" s="32" t="e">
        <v>#N/A</v>
      </c>
      <c r="G263" s="39"/>
      <c r="H263" s="32" t="e">
        <v>#N/A</v>
      </c>
      <c r="I263" s="39"/>
      <c r="J263" s="32">
        <v>0.0</v>
      </c>
      <c r="K263" s="33" t="e">
        <v>#N/A</v>
      </c>
      <c r="L263" s="32" t="e">
        <v>#N/A</v>
      </c>
      <c r="M263" s="32" t="e">
        <v>#N/A</v>
      </c>
      <c r="N263" s="32" t="e">
        <v>#N/A</v>
      </c>
      <c r="O263" s="32" t="e">
        <v>#N/A</v>
      </c>
      <c r="P263" s="32" t="e">
        <v>#REF!</v>
      </c>
      <c r="Q263" s="32" t="e">
        <v>#N/A</v>
      </c>
      <c r="R263" s="42" t="e">
        <v>#N/A</v>
      </c>
      <c r="S263" s="42" t="e">
        <v>#N/A</v>
      </c>
      <c r="T263" s="36">
        <v>14.0</v>
      </c>
      <c r="U263" s="36">
        <v>10.0</v>
      </c>
      <c r="V263" s="36">
        <v>0.0</v>
      </c>
      <c r="W263" s="36">
        <v>0.0</v>
      </c>
      <c r="X263" s="36">
        <v>0.0</v>
      </c>
      <c r="Y263" s="36">
        <v>24.0</v>
      </c>
    </row>
    <row r="264">
      <c r="A264" s="32" t="s">
        <v>4603</v>
      </c>
      <c r="B264" s="32" t="s">
        <v>4603</v>
      </c>
      <c r="C264" s="32" t="s">
        <v>4604</v>
      </c>
      <c r="D264" s="32" t="s">
        <v>4605</v>
      </c>
      <c r="E264" s="32" t="s">
        <v>5102</v>
      </c>
      <c r="F264" s="32" t="e">
        <v>#N/A</v>
      </c>
      <c r="G264" s="32" t="e">
        <v>#N/A</v>
      </c>
      <c r="H264" s="32">
        <v>0.0</v>
      </c>
      <c r="I264" s="32">
        <v>0.0</v>
      </c>
      <c r="J264" s="32" t="s">
        <v>4606</v>
      </c>
      <c r="K264" s="33" t="s">
        <v>4607</v>
      </c>
      <c r="L264" s="32" t="e">
        <v>#N/A</v>
      </c>
      <c r="M264" s="32" t="e">
        <v>#N/A</v>
      </c>
      <c r="N264" s="32" t="s">
        <v>5077</v>
      </c>
      <c r="O264" s="32" t="s">
        <v>4730</v>
      </c>
      <c r="P264" s="32">
        <v>1599.0</v>
      </c>
      <c r="Q264" s="34">
        <v>1519.0</v>
      </c>
      <c r="R264" s="40">
        <v>1519.0</v>
      </c>
      <c r="S264" s="35">
        <v>1439.1</v>
      </c>
      <c r="T264" s="36">
        <v>8.0</v>
      </c>
      <c r="U264" s="36">
        <v>0.0</v>
      </c>
      <c r="V264" s="36">
        <v>16.0</v>
      </c>
      <c r="W264" s="36">
        <v>0.0</v>
      </c>
      <c r="X264" s="36">
        <v>0.0</v>
      </c>
      <c r="Y264" s="36">
        <v>24.0</v>
      </c>
    </row>
    <row r="265">
      <c r="A265" s="32" t="s">
        <v>4952</v>
      </c>
      <c r="B265" s="32" t="s">
        <v>4952</v>
      </c>
      <c r="C265" s="32" t="s">
        <v>4953</v>
      </c>
      <c r="D265" s="32" t="s">
        <v>4954</v>
      </c>
      <c r="E265" s="32" t="s">
        <v>5102</v>
      </c>
      <c r="F265" s="32" t="e">
        <v>#N/A</v>
      </c>
      <c r="G265" s="32" t="e">
        <v>#N/A</v>
      </c>
      <c r="H265" s="32">
        <v>0.0</v>
      </c>
      <c r="I265" s="32">
        <v>0.0</v>
      </c>
      <c r="J265" s="32" t="s">
        <v>4955</v>
      </c>
      <c r="K265" s="38"/>
      <c r="L265" s="38"/>
      <c r="M265" s="38"/>
      <c r="N265" s="32" t="s">
        <v>5077</v>
      </c>
      <c r="O265" s="32" t="s">
        <v>4730</v>
      </c>
      <c r="P265" s="32">
        <v>1599.0</v>
      </c>
      <c r="Q265" s="44">
        <v>1519.0</v>
      </c>
      <c r="R265" s="40">
        <v>1519.0</v>
      </c>
      <c r="S265" s="35">
        <v>1439.1</v>
      </c>
      <c r="T265" s="36">
        <v>14.0</v>
      </c>
      <c r="U265" s="36">
        <v>0.0</v>
      </c>
      <c r="V265" s="36">
        <v>10.0</v>
      </c>
      <c r="W265" s="36">
        <v>0.0</v>
      </c>
      <c r="X265" s="36">
        <v>0.0</v>
      </c>
      <c r="Y265" s="36">
        <v>24.0</v>
      </c>
    </row>
    <row r="266">
      <c r="A266" s="32" t="s">
        <v>4448</v>
      </c>
      <c r="B266" s="32" t="s">
        <v>4448</v>
      </c>
      <c r="C266" s="32" t="s">
        <v>4449</v>
      </c>
      <c r="D266" s="32" t="s">
        <v>4450</v>
      </c>
      <c r="E266" s="32" t="s">
        <v>5073</v>
      </c>
      <c r="F266" s="32" t="e">
        <v>#N/A</v>
      </c>
      <c r="G266" s="39"/>
      <c r="H266" s="32">
        <v>0.0</v>
      </c>
      <c r="I266" s="39"/>
      <c r="J266" s="32" t="s">
        <v>4451</v>
      </c>
      <c r="K266" s="33" t="s">
        <v>4452</v>
      </c>
      <c r="L266" s="32" t="e">
        <v>#N/A</v>
      </c>
      <c r="M266" s="32" t="e">
        <v>#N/A</v>
      </c>
      <c r="N266" s="32" t="s">
        <v>5077</v>
      </c>
      <c r="O266" s="32" t="s">
        <v>4730</v>
      </c>
      <c r="P266" s="32">
        <v>999.0</v>
      </c>
      <c r="Q266" s="34">
        <v>949.0</v>
      </c>
      <c r="R266" s="35">
        <v>949.0</v>
      </c>
      <c r="S266" s="35">
        <v>899.1</v>
      </c>
      <c r="T266" s="36">
        <v>0.0</v>
      </c>
      <c r="U266" s="36">
        <v>0.0</v>
      </c>
      <c r="V266" s="36">
        <v>24.0</v>
      </c>
      <c r="W266" s="36">
        <v>0.0</v>
      </c>
      <c r="X266" s="36">
        <v>0.0</v>
      </c>
      <c r="Y266" s="36">
        <v>24.0</v>
      </c>
    </row>
    <row r="267">
      <c r="A267" s="32" t="s">
        <v>481</v>
      </c>
      <c r="B267" s="32" t="s">
        <v>481</v>
      </c>
      <c r="C267" s="32" t="s">
        <v>482</v>
      </c>
      <c r="D267" s="32" t="s">
        <v>483</v>
      </c>
      <c r="E267" s="32" t="s">
        <v>5073</v>
      </c>
      <c r="F267" s="32" t="e">
        <v>#N/A</v>
      </c>
      <c r="G267" s="39"/>
      <c r="H267" s="32">
        <v>0.0</v>
      </c>
      <c r="I267" s="39"/>
      <c r="J267" s="32" t="s">
        <v>484</v>
      </c>
      <c r="K267" s="33" t="s">
        <v>485</v>
      </c>
      <c r="L267" s="32" t="e">
        <v>#N/A</v>
      </c>
      <c r="M267" s="32" t="s">
        <v>486</v>
      </c>
      <c r="N267" s="32" t="s">
        <v>51</v>
      </c>
      <c r="O267" s="32" t="s">
        <v>52</v>
      </c>
      <c r="P267" s="32">
        <v>13879.0</v>
      </c>
      <c r="Q267" s="34">
        <v>11242.0</v>
      </c>
      <c r="R267" s="40">
        <v>12099.0</v>
      </c>
      <c r="S267" s="35">
        <v>10548.04</v>
      </c>
      <c r="T267" s="36">
        <v>0.0</v>
      </c>
      <c r="U267" s="36">
        <v>1.0</v>
      </c>
      <c r="V267" s="36">
        <v>19.0</v>
      </c>
      <c r="W267" s="36">
        <v>3.0</v>
      </c>
      <c r="X267" s="36">
        <v>1.0</v>
      </c>
      <c r="Y267" s="36">
        <v>24.0</v>
      </c>
    </row>
    <row r="268">
      <c r="A268" s="32" t="s">
        <v>2299</v>
      </c>
      <c r="B268" s="32" t="s">
        <v>2299</v>
      </c>
      <c r="C268" s="32" t="s">
        <v>2300</v>
      </c>
      <c r="D268" s="32" t="s">
        <v>2301</v>
      </c>
      <c r="E268" s="32" t="s">
        <v>5073</v>
      </c>
      <c r="F268" s="32" t="e">
        <v>#N/A</v>
      </c>
      <c r="G268" s="39"/>
      <c r="H268" s="32">
        <v>0.0</v>
      </c>
      <c r="I268" s="39"/>
      <c r="J268" s="32" t="s">
        <v>2302</v>
      </c>
      <c r="K268" s="33" t="s">
        <v>2303</v>
      </c>
      <c r="L268" s="32" t="e">
        <v>#N/A</v>
      </c>
      <c r="M268" s="32" t="e">
        <v>#N/A</v>
      </c>
      <c r="N268" s="32" t="s">
        <v>5077</v>
      </c>
      <c r="O268" s="32" t="s">
        <v>4730</v>
      </c>
      <c r="P268" s="32">
        <v>989.0</v>
      </c>
      <c r="Q268" s="34">
        <v>940.0</v>
      </c>
      <c r="R268" s="35">
        <v>940.0</v>
      </c>
      <c r="S268" s="35">
        <v>890.1</v>
      </c>
      <c r="T268" s="36">
        <v>15.0</v>
      </c>
      <c r="U268" s="36">
        <v>2.0</v>
      </c>
      <c r="V268" s="36">
        <v>0.0</v>
      </c>
      <c r="W268" s="36">
        <v>0.0</v>
      </c>
      <c r="X268" s="36">
        <v>7.0</v>
      </c>
      <c r="Y268" s="36">
        <v>24.0</v>
      </c>
    </row>
    <row r="269">
      <c r="A269" s="32" t="s">
        <v>1249</v>
      </c>
      <c r="B269" s="32" t="s">
        <v>1249</v>
      </c>
      <c r="C269" s="32" t="s">
        <v>1250</v>
      </c>
      <c r="D269" s="32" t="s">
        <v>1251</v>
      </c>
      <c r="E269" s="32" t="s">
        <v>5073</v>
      </c>
      <c r="F269" s="32" t="e">
        <v>#N/A</v>
      </c>
      <c r="G269" s="39"/>
      <c r="H269" s="32" t="s">
        <v>1252</v>
      </c>
      <c r="I269" s="32" t="s">
        <v>5073</v>
      </c>
      <c r="J269" s="32" t="s">
        <v>1253</v>
      </c>
      <c r="K269" s="33" t="s">
        <v>1254</v>
      </c>
      <c r="L269" s="32" t="e">
        <v>#N/A</v>
      </c>
      <c r="M269" s="32" t="e">
        <v>#N/A</v>
      </c>
      <c r="N269" s="32" t="s">
        <v>5089</v>
      </c>
      <c r="O269" s="32" t="s">
        <v>4730</v>
      </c>
      <c r="P269" s="32">
        <v>1999.0</v>
      </c>
      <c r="Q269" s="34">
        <v>1629.0</v>
      </c>
      <c r="R269" s="40">
        <v>1629.0</v>
      </c>
      <c r="S269" s="35">
        <v>1599.2</v>
      </c>
      <c r="T269" s="36">
        <v>24.0</v>
      </c>
      <c r="U269" s="36">
        <v>0.0</v>
      </c>
      <c r="V269" s="36">
        <v>0.0</v>
      </c>
      <c r="W269" s="36">
        <v>0.0</v>
      </c>
      <c r="X269" s="36">
        <v>0.0</v>
      </c>
      <c r="Y269" s="36">
        <v>24.0</v>
      </c>
    </row>
    <row r="270">
      <c r="A270" s="32" t="s">
        <v>1438</v>
      </c>
      <c r="B270" s="32" t="s">
        <v>1438</v>
      </c>
      <c r="C270" s="32" t="s">
        <v>1439</v>
      </c>
      <c r="D270" s="32" t="s">
        <v>1440</v>
      </c>
      <c r="E270" s="32" t="s">
        <v>5073</v>
      </c>
      <c r="F270" s="32" t="e">
        <v>#N/A</v>
      </c>
      <c r="G270" s="39"/>
      <c r="H270" s="32" t="s">
        <v>1441</v>
      </c>
      <c r="I270" s="32" t="s">
        <v>5073</v>
      </c>
      <c r="J270" s="32" t="s">
        <v>1442</v>
      </c>
      <c r="K270" s="33" t="s">
        <v>1443</v>
      </c>
      <c r="L270" s="32">
        <v>3.1818478E7</v>
      </c>
      <c r="M270" s="32" t="e">
        <v>#N/A</v>
      </c>
      <c r="N270" s="32" t="s">
        <v>5089</v>
      </c>
      <c r="O270" s="32" t="s">
        <v>4730</v>
      </c>
      <c r="P270" s="32">
        <v>2999.0</v>
      </c>
      <c r="Q270" s="34">
        <v>2449.0</v>
      </c>
      <c r="R270" s="40">
        <v>2449.0</v>
      </c>
      <c r="S270" s="35">
        <v>2399.2</v>
      </c>
      <c r="T270" s="36">
        <v>0.0</v>
      </c>
      <c r="U270" s="36">
        <v>0.0</v>
      </c>
      <c r="V270" s="36">
        <v>24.0</v>
      </c>
      <c r="W270" s="36">
        <v>0.0</v>
      </c>
      <c r="X270" s="36">
        <v>0.0</v>
      </c>
      <c r="Y270" s="36">
        <v>24.0</v>
      </c>
    </row>
    <row r="271">
      <c r="A271" s="32" t="s">
        <v>1231</v>
      </c>
      <c r="B271" s="32" t="s">
        <v>1231</v>
      </c>
      <c r="C271" s="32" t="s">
        <v>1232</v>
      </c>
      <c r="D271" s="32" t="s">
        <v>1233</v>
      </c>
      <c r="E271" s="32" t="s">
        <v>5073</v>
      </c>
      <c r="F271" s="32" t="e">
        <v>#N/A</v>
      </c>
      <c r="G271" s="39"/>
      <c r="H271" s="32" t="s">
        <v>1234</v>
      </c>
      <c r="I271" s="32" t="s">
        <v>5073</v>
      </c>
      <c r="J271" s="32" t="s">
        <v>1235</v>
      </c>
      <c r="K271" s="33" t="s">
        <v>1236</v>
      </c>
      <c r="L271" s="32">
        <v>3.1818426E7</v>
      </c>
      <c r="M271" s="32" t="e">
        <v>#N/A</v>
      </c>
      <c r="N271" s="32" t="s">
        <v>5089</v>
      </c>
      <c r="O271" s="32" t="s">
        <v>4730</v>
      </c>
      <c r="P271" s="32">
        <v>1999.0</v>
      </c>
      <c r="Q271" s="34">
        <v>1629.0</v>
      </c>
      <c r="R271" s="40">
        <v>1629.0</v>
      </c>
      <c r="S271" s="35">
        <v>1599.2</v>
      </c>
      <c r="T271" s="36">
        <v>11.0</v>
      </c>
      <c r="U271" s="36">
        <v>0.0</v>
      </c>
      <c r="V271" s="36">
        <v>7.0</v>
      </c>
      <c r="W271" s="36">
        <v>0.0</v>
      </c>
      <c r="X271" s="36">
        <v>6.0</v>
      </c>
      <c r="Y271" s="36">
        <v>24.0</v>
      </c>
    </row>
    <row r="272">
      <c r="A272" s="32" t="s">
        <v>4466</v>
      </c>
      <c r="B272" s="32" t="s">
        <v>4466</v>
      </c>
      <c r="C272" s="32" t="s">
        <v>4467</v>
      </c>
      <c r="D272" s="32" t="s">
        <v>4468</v>
      </c>
      <c r="E272" s="32" t="s">
        <v>5102</v>
      </c>
      <c r="F272" s="32" t="e">
        <v>#N/A</v>
      </c>
      <c r="G272" s="39"/>
      <c r="H272" s="32">
        <v>0.0</v>
      </c>
      <c r="I272" s="39"/>
      <c r="J272" s="32" t="s">
        <v>4469</v>
      </c>
      <c r="K272" s="33" t="s">
        <v>4470</v>
      </c>
      <c r="L272" s="32" t="e">
        <v>#N/A</v>
      </c>
      <c r="M272" s="32" t="e">
        <v>#N/A</v>
      </c>
      <c r="N272" s="32" t="s">
        <v>5077</v>
      </c>
      <c r="O272" s="32" t="s">
        <v>4730</v>
      </c>
      <c r="P272" s="32">
        <v>1199.0</v>
      </c>
      <c r="Q272" s="34">
        <v>1139.0</v>
      </c>
      <c r="R272" s="40">
        <v>1139.0</v>
      </c>
      <c r="S272" s="35">
        <v>1079.1</v>
      </c>
      <c r="T272" s="36">
        <v>11.0</v>
      </c>
      <c r="U272" s="36">
        <v>0.0</v>
      </c>
      <c r="V272" s="36">
        <v>13.0</v>
      </c>
      <c r="W272" s="36">
        <v>0.0</v>
      </c>
      <c r="X272" s="36">
        <v>0.0</v>
      </c>
      <c r="Y272" s="36">
        <v>24.0</v>
      </c>
    </row>
    <row r="273">
      <c r="A273" s="32" t="s">
        <v>2803</v>
      </c>
      <c r="B273" s="32" t="s">
        <v>2803</v>
      </c>
      <c r="C273" s="32">
        <v>0.0</v>
      </c>
      <c r="D273" s="32" t="e">
        <v>#N/A</v>
      </c>
      <c r="E273" s="39"/>
      <c r="F273" s="32" t="e">
        <v>#N/A</v>
      </c>
      <c r="G273" s="39"/>
      <c r="H273" s="32" t="e">
        <v>#N/A</v>
      </c>
      <c r="I273" s="39"/>
      <c r="J273" s="32">
        <v>0.0</v>
      </c>
      <c r="K273" s="33" t="e">
        <v>#N/A</v>
      </c>
      <c r="L273" s="32" t="e">
        <v>#N/A</v>
      </c>
      <c r="M273" s="32" t="e">
        <v>#N/A</v>
      </c>
      <c r="N273" s="32" t="e">
        <v>#N/A</v>
      </c>
      <c r="O273" s="32" t="e">
        <v>#N/A</v>
      </c>
      <c r="P273" s="32" t="e">
        <v>#REF!</v>
      </c>
      <c r="Q273" s="32" t="e">
        <v>#N/A</v>
      </c>
      <c r="R273" s="42" t="e">
        <v>#N/A</v>
      </c>
      <c r="S273" s="42" t="e">
        <v>#N/A</v>
      </c>
      <c r="T273" s="36">
        <v>8.0</v>
      </c>
      <c r="U273" s="36">
        <v>3.0</v>
      </c>
      <c r="V273" s="36">
        <v>13.0</v>
      </c>
      <c r="W273" s="36">
        <v>0.0</v>
      </c>
      <c r="X273" s="36">
        <v>0.0</v>
      </c>
      <c r="Y273" s="36">
        <v>24.0</v>
      </c>
    </row>
    <row r="274">
      <c r="A274" s="32" t="s">
        <v>2874</v>
      </c>
      <c r="B274" s="32" t="s">
        <v>2874</v>
      </c>
      <c r="C274" s="32" t="s">
        <v>2875</v>
      </c>
      <c r="D274" s="32" t="s">
        <v>2876</v>
      </c>
      <c r="E274" s="32" t="s">
        <v>5073</v>
      </c>
      <c r="F274" s="32" t="e">
        <v>#N/A</v>
      </c>
      <c r="G274" s="32" t="e">
        <v>#N/A</v>
      </c>
      <c r="H274" s="32">
        <v>0.0</v>
      </c>
      <c r="I274" s="32">
        <v>0.0</v>
      </c>
      <c r="J274" s="32" t="s">
        <v>2877</v>
      </c>
      <c r="K274" s="33" t="s">
        <v>2878</v>
      </c>
      <c r="L274" s="32" t="e">
        <v>#N/A</v>
      </c>
      <c r="M274" s="32" t="e">
        <v>#N/A</v>
      </c>
      <c r="N274" s="32" t="s">
        <v>5107</v>
      </c>
      <c r="O274" s="32" t="s">
        <v>4730</v>
      </c>
      <c r="P274" s="32">
        <v>2289.0</v>
      </c>
      <c r="Q274" s="34">
        <v>1875.0</v>
      </c>
      <c r="R274" s="40">
        <v>1899.0</v>
      </c>
      <c r="S274" s="35">
        <v>1716.75</v>
      </c>
      <c r="T274" s="36">
        <v>10.0</v>
      </c>
      <c r="U274" s="36">
        <v>0.0</v>
      </c>
      <c r="V274" s="36">
        <v>13.0</v>
      </c>
      <c r="W274" s="36">
        <v>0.0</v>
      </c>
      <c r="X274" s="36">
        <v>0.0</v>
      </c>
      <c r="Y274" s="36">
        <v>23.0</v>
      </c>
    </row>
    <row r="275">
      <c r="A275" s="32" t="s">
        <v>4443</v>
      </c>
      <c r="B275" s="32" t="s">
        <v>4443</v>
      </c>
      <c r="C275" s="32" t="s">
        <v>4444</v>
      </c>
      <c r="D275" s="32" t="s">
        <v>4445</v>
      </c>
      <c r="E275" s="32" t="s">
        <v>5073</v>
      </c>
      <c r="F275" s="32" t="e">
        <v>#N/A</v>
      </c>
      <c r="G275" s="39"/>
      <c r="H275" s="32">
        <v>0.0</v>
      </c>
      <c r="I275" s="39"/>
      <c r="J275" s="32" t="s">
        <v>4446</v>
      </c>
      <c r="K275" s="33" t="s">
        <v>4447</v>
      </c>
      <c r="L275" s="32" t="e">
        <v>#N/A</v>
      </c>
      <c r="M275" s="32" t="e">
        <v>#N/A</v>
      </c>
      <c r="N275" s="32" t="s">
        <v>5077</v>
      </c>
      <c r="O275" s="32" t="s">
        <v>4730</v>
      </c>
      <c r="P275" s="32">
        <v>999.0</v>
      </c>
      <c r="Q275" s="34">
        <v>949.0</v>
      </c>
      <c r="R275" s="35">
        <v>949.0</v>
      </c>
      <c r="S275" s="35">
        <v>899.1</v>
      </c>
      <c r="T275" s="36">
        <v>9.0</v>
      </c>
      <c r="U275" s="36">
        <v>0.0</v>
      </c>
      <c r="V275" s="36">
        <v>14.0</v>
      </c>
      <c r="W275" s="36">
        <v>0.0</v>
      </c>
      <c r="X275" s="36">
        <v>0.0</v>
      </c>
      <c r="Y275" s="36">
        <v>23.0</v>
      </c>
    </row>
    <row r="276">
      <c r="A276" s="32" t="s">
        <v>2248</v>
      </c>
      <c r="B276" s="32" t="s">
        <v>2248</v>
      </c>
      <c r="C276" s="32" t="s">
        <v>2249</v>
      </c>
      <c r="D276" s="32" t="s">
        <v>2248</v>
      </c>
      <c r="E276" s="32" t="s">
        <v>5102</v>
      </c>
      <c r="F276" s="32" t="e">
        <v>#N/A</v>
      </c>
      <c r="G276" s="39"/>
      <c r="H276" s="32">
        <v>0.0</v>
      </c>
      <c r="I276" s="39"/>
      <c r="J276" s="32" t="s">
        <v>2250</v>
      </c>
      <c r="K276" s="33" t="s">
        <v>2251</v>
      </c>
      <c r="L276" s="32" t="e">
        <v>#N/A</v>
      </c>
      <c r="M276" s="32" t="e">
        <v>#N/A</v>
      </c>
      <c r="N276" s="32" t="s">
        <v>5077</v>
      </c>
      <c r="O276" s="32" t="s">
        <v>4730</v>
      </c>
      <c r="P276" s="32">
        <v>889.0</v>
      </c>
      <c r="Q276" s="34">
        <v>845.0</v>
      </c>
      <c r="R276" s="35">
        <v>845.0</v>
      </c>
      <c r="S276" s="35">
        <v>800.1</v>
      </c>
      <c r="T276" s="36">
        <v>0.0</v>
      </c>
      <c r="U276" s="36">
        <v>0.0</v>
      </c>
      <c r="V276" s="36">
        <v>23.0</v>
      </c>
      <c r="W276" s="36">
        <v>0.0</v>
      </c>
      <c r="X276" s="36">
        <v>0.0</v>
      </c>
      <c r="Y276" s="36">
        <v>23.0</v>
      </c>
    </row>
    <row r="277">
      <c r="A277" s="32" t="s">
        <v>2319</v>
      </c>
      <c r="B277" s="32" t="s">
        <v>2319</v>
      </c>
      <c r="C277" s="32" t="s">
        <v>2320</v>
      </c>
      <c r="D277" s="32" t="s">
        <v>2321</v>
      </c>
      <c r="E277" s="32" t="s">
        <v>5073</v>
      </c>
      <c r="F277" s="32" t="e">
        <v>#N/A</v>
      </c>
      <c r="G277" s="39"/>
      <c r="H277" s="32">
        <v>0.0</v>
      </c>
      <c r="I277" s="39"/>
      <c r="J277" s="32" t="s">
        <v>2322</v>
      </c>
      <c r="K277" s="33" t="s">
        <v>2323</v>
      </c>
      <c r="L277" s="32" t="e">
        <v>#N/A</v>
      </c>
      <c r="M277" s="32" t="e">
        <v>#N/A</v>
      </c>
      <c r="N277" s="32" t="s">
        <v>5077</v>
      </c>
      <c r="O277" s="32" t="s">
        <v>4730</v>
      </c>
      <c r="P277" s="32">
        <v>1049.0</v>
      </c>
      <c r="Q277" s="34">
        <v>997.0</v>
      </c>
      <c r="R277" s="35">
        <v>999.0</v>
      </c>
      <c r="S277" s="35">
        <v>944.1</v>
      </c>
      <c r="T277" s="36">
        <v>5.0</v>
      </c>
      <c r="U277" s="36">
        <v>9.0</v>
      </c>
      <c r="V277" s="36">
        <v>5.0</v>
      </c>
      <c r="W277" s="36">
        <v>0.0</v>
      </c>
      <c r="X277" s="36">
        <v>4.0</v>
      </c>
      <c r="Y277" s="36">
        <v>23.0</v>
      </c>
    </row>
    <row r="278">
      <c r="A278" s="32" t="s">
        <v>2714</v>
      </c>
      <c r="B278" s="32" t="s">
        <v>2714</v>
      </c>
      <c r="C278" s="32">
        <v>0.0</v>
      </c>
      <c r="D278" s="32" t="e">
        <v>#N/A</v>
      </c>
      <c r="E278" s="39"/>
      <c r="F278" s="32" t="e">
        <v>#N/A</v>
      </c>
      <c r="G278" s="39"/>
      <c r="H278" s="32" t="e">
        <v>#N/A</v>
      </c>
      <c r="I278" s="39"/>
      <c r="J278" s="32">
        <v>0.0</v>
      </c>
      <c r="K278" s="33" t="e">
        <v>#N/A</v>
      </c>
      <c r="L278" s="32" t="e">
        <v>#N/A</v>
      </c>
      <c r="M278" s="32" t="e">
        <v>#N/A</v>
      </c>
      <c r="N278" s="32" t="e">
        <v>#N/A</v>
      </c>
      <c r="O278" s="32" t="e">
        <v>#N/A</v>
      </c>
      <c r="P278" s="32" t="e">
        <v>#REF!</v>
      </c>
      <c r="Q278" s="32" t="e">
        <v>#N/A</v>
      </c>
      <c r="R278" s="42" t="e">
        <v>#N/A</v>
      </c>
      <c r="S278" s="42" t="e">
        <v>#N/A</v>
      </c>
      <c r="T278" s="36">
        <v>7.0</v>
      </c>
      <c r="U278" s="36">
        <v>4.0</v>
      </c>
      <c r="V278" s="36">
        <v>12.0</v>
      </c>
      <c r="W278" s="36">
        <v>0.0</v>
      </c>
      <c r="X278" s="36">
        <v>0.0</v>
      </c>
      <c r="Y278" s="36">
        <v>23.0</v>
      </c>
    </row>
    <row r="279">
      <c r="A279" s="32" t="s">
        <v>1297</v>
      </c>
      <c r="B279" s="32" t="s">
        <v>1297</v>
      </c>
      <c r="C279" s="32" t="s">
        <v>1298</v>
      </c>
      <c r="D279" s="32" t="s">
        <v>1299</v>
      </c>
      <c r="E279" s="32" t="s">
        <v>5102</v>
      </c>
      <c r="F279" s="32" t="e">
        <v>#N/A</v>
      </c>
      <c r="G279" s="39"/>
      <c r="H279" s="32" t="s">
        <v>1300</v>
      </c>
      <c r="I279" s="32" t="s">
        <v>5073</v>
      </c>
      <c r="J279" s="32" t="s">
        <v>1301</v>
      </c>
      <c r="K279" s="33" t="s">
        <v>1302</v>
      </c>
      <c r="L279" s="32">
        <v>3.181843E7</v>
      </c>
      <c r="M279" s="32" t="e">
        <v>#N/A</v>
      </c>
      <c r="N279" s="32" t="s">
        <v>5089</v>
      </c>
      <c r="O279" s="32" t="s">
        <v>4730</v>
      </c>
      <c r="P279" s="32">
        <v>2449.0</v>
      </c>
      <c r="Q279" s="34">
        <v>2004.0</v>
      </c>
      <c r="R279" s="40">
        <v>2004.0</v>
      </c>
      <c r="S279" s="35">
        <v>1959.2</v>
      </c>
      <c r="T279" s="36">
        <v>15.0</v>
      </c>
      <c r="U279" s="36">
        <v>0.0</v>
      </c>
      <c r="V279" s="36">
        <v>7.0</v>
      </c>
      <c r="W279" s="36">
        <v>0.0</v>
      </c>
      <c r="X279" s="36">
        <v>0.0</v>
      </c>
      <c r="Y279" s="36">
        <v>22.0</v>
      </c>
    </row>
    <row r="280">
      <c r="A280" s="32" t="s">
        <v>3295</v>
      </c>
      <c r="B280" s="32" t="s">
        <v>3295</v>
      </c>
      <c r="C280" s="32" t="s">
        <v>3296</v>
      </c>
      <c r="D280" s="32" t="s">
        <v>3297</v>
      </c>
      <c r="E280" s="32" t="s">
        <v>5073</v>
      </c>
      <c r="F280" s="32" t="e">
        <v>#N/A</v>
      </c>
      <c r="G280" s="39"/>
      <c r="H280" s="32" t="s">
        <v>3298</v>
      </c>
      <c r="I280" s="32" t="s">
        <v>5073</v>
      </c>
      <c r="J280" s="32" t="s">
        <v>3299</v>
      </c>
      <c r="K280" s="33" t="s">
        <v>3300</v>
      </c>
      <c r="L280" s="32">
        <v>3.1818382E7</v>
      </c>
      <c r="M280" s="32" t="e">
        <v>#N/A</v>
      </c>
      <c r="N280" s="32" t="s">
        <v>5086</v>
      </c>
      <c r="O280" s="32" t="s">
        <v>4730</v>
      </c>
      <c r="P280" s="32">
        <v>1989.0</v>
      </c>
      <c r="Q280" s="34">
        <v>1799.0</v>
      </c>
      <c r="R280" s="40">
        <v>1799.0</v>
      </c>
      <c r="S280" s="35">
        <v>1690.65</v>
      </c>
      <c r="T280" s="36">
        <v>0.0</v>
      </c>
      <c r="U280" s="36">
        <v>0.0</v>
      </c>
      <c r="V280" s="36">
        <v>22.0</v>
      </c>
      <c r="W280" s="36">
        <v>0.0</v>
      </c>
      <c r="X280" s="36">
        <v>0.0</v>
      </c>
      <c r="Y280" s="36">
        <v>22.0</v>
      </c>
    </row>
    <row r="281">
      <c r="A281" s="32" t="s">
        <v>3938</v>
      </c>
      <c r="B281" s="32" t="s">
        <v>3938</v>
      </c>
      <c r="C281" s="32" t="s">
        <v>3939</v>
      </c>
      <c r="D281" s="32" t="s">
        <v>3940</v>
      </c>
      <c r="E281" s="32" t="s">
        <v>5073</v>
      </c>
      <c r="F281" s="32" t="e">
        <v>#N/A</v>
      </c>
      <c r="G281" s="38"/>
      <c r="H281" s="32">
        <v>0.0</v>
      </c>
      <c r="I281" s="39"/>
      <c r="J281" s="32" t="s">
        <v>3941</v>
      </c>
      <c r="K281" s="33" t="s">
        <v>3942</v>
      </c>
      <c r="L281" s="32" t="e">
        <v>#N/A</v>
      </c>
      <c r="M281" s="32" t="s">
        <v>3943</v>
      </c>
      <c r="N281" s="32" t="s">
        <v>5118</v>
      </c>
      <c r="O281" s="32" t="s">
        <v>52</v>
      </c>
      <c r="P281" s="32">
        <v>9699.0</v>
      </c>
      <c r="Q281" s="34">
        <v>8729.0</v>
      </c>
      <c r="R281" s="40">
        <v>9299.0</v>
      </c>
      <c r="S281" s="35">
        <v>8513.34</v>
      </c>
      <c r="T281" s="36">
        <v>1.0</v>
      </c>
      <c r="U281" s="36">
        <v>0.0</v>
      </c>
      <c r="V281" s="36">
        <v>18.0</v>
      </c>
      <c r="W281" s="36">
        <v>2.0</v>
      </c>
      <c r="X281" s="36">
        <v>0.0</v>
      </c>
      <c r="Y281" s="36">
        <v>21.0</v>
      </c>
    </row>
    <row r="282">
      <c r="A282" s="32" t="s">
        <v>4548</v>
      </c>
      <c r="B282" s="32" t="s">
        <v>4548</v>
      </c>
      <c r="C282" s="32" t="s">
        <v>4549</v>
      </c>
      <c r="D282" s="32" t="s">
        <v>4550</v>
      </c>
      <c r="E282" s="32" t="s">
        <v>5073</v>
      </c>
      <c r="F282" s="32" t="e">
        <v>#N/A</v>
      </c>
      <c r="G282" s="39"/>
      <c r="H282" s="32">
        <v>0.0</v>
      </c>
      <c r="I282" s="39"/>
      <c r="J282" s="32" t="s">
        <v>4551</v>
      </c>
      <c r="K282" s="33" t="s">
        <v>4552</v>
      </c>
      <c r="L282" s="32" t="e">
        <v>#N/A</v>
      </c>
      <c r="M282" s="32" t="e">
        <v>#N/A</v>
      </c>
      <c r="N282" s="32" t="s">
        <v>5077</v>
      </c>
      <c r="O282" s="32" t="s">
        <v>4730</v>
      </c>
      <c r="P282" s="32">
        <v>1499.0</v>
      </c>
      <c r="Q282" s="34">
        <v>1424.0</v>
      </c>
      <c r="R282" s="40">
        <v>1424.0</v>
      </c>
      <c r="S282" s="35">
        <v>1349.1</v>
      </c>
      <c r="T282" s="36">
        <v>6.0</v>
      </c>
      <c r="U282" s="36">
        <v>0.0</v>
      </c>
      <c r="V282" s="36">
        <v>13.0</v>
      </c>
      <c r="W282" s="36">
        <v>0.0</v>
      </c>
      <c r="X282" s="36">
        <v>2.0</v>
      </c>
      <c r="Y282" s="36">
        <v>21.0</v>
      </c>
    </row>
    <row r="283">
      <c r="A283" s="32" t="s">
        <v>2691</v>
      </c>
      <c r="B283" s="32" t="s">
        <v>2691</v>
      </c>
      <c r="C283" s="32" t="s">
        <v>2692</v>
      </c>
      <c r="D283" s="32" t="s">
        <v>2693</v>
      </c>
      <c r="E283" s="32" t="s">
        <v>5073</v>
      </c>
      <c r="F283" s="32" t="e">
        <v>#N/A</v>
      </c>
      <c r="G283" s="39"/>
      <c r="H283" s="32" t="s">
        <v>2694</v>
      </c>
      <c r="I283" s="32" t="s">
        <v>5073</v>
      </c>
      <c r="J283" s="32" t="s">
        <v>2695</v>
      </c>
      <c r="K283" s="33" t="s">
        <v>2696</v>
      </c>
      <c r="L283" s="32">
        <v>3.181839E7</v>
      </c>
      <c r="M283" s="32" t="e">
        <v>#N/A</v>
      </c>
      <c r="N283" s="32" t="s">
        <v>5107</v>
      </c>
      <c r="O283" s="32" t="s">
        <v>4730</v>
      </c>
      <c r="P283" s="32">
        <v>1889.0</v>
      </c>
      <c r="Q283" s="34">
        <v>1548.0</v>
      </c>
      <c r="R283" s="40">
        <v>1548.0</v>
      </c>
      <c r="S283" s="35">
        <v>1416.75</v>
      </c>
      <c r="T283" s="36">
        <v>0.0</v>
      </c>
      <c r="U283" s="36">
        <v>0.0</v>
      </c>
      <c r="V283" s="36">
        <v>21.0</v>
      </c>
      <c r="W283" s="36">
        <v>0.0</v>
      </c>
      <c r="X283" s="36">
        <v>0.0</v>
      </c>
      <c r="Y283" s="36">
        <v>21.0</v>
      </c>
    </row>
    <row r="284">
      <c r="A284" s="32" t="s">
        <v>563</v>
      </c>
      <c r="B284" s="32" t="s">
        <v>563</v>
      </c>
      <c r="C284" s="32" t="s">
        <v>564</v>
      </c>
      <c r="D284" s="32" t="s">
        <v>565</v>
      </c>
      <c r="E284" s="32" t="s">
        <v>5073</v>
      </c>
      <c r="F284" s="32" t="e">
        <v>#N/A</v>
      </c>
      <c r="G284" s="39"/>
      <c r="H284" s="32">
        <v>0.0</v>
      </c>
      <c r="I284" s="39"/>
      <c r="J284" s="32" t="s">
        <v>566</v>
      </c>
      <c r="K284" s="33" t="s">
        <v>567</v>
      </c>
      <c r="L284" s="32" t="e">
        <v>#N/A</v>
      </c>
      <c r="M284" s="32" t="s">
        <v>568</v>
      </c>
      <c r="N284" s="32" t="s">
        <v>51</v>
      </c>
      <c r="O284" s="32" t="s">
        <v>52</v>
      </c>
      <c r="P284" s="32">
        <v>17999.0</v>
      </c>
      <c r="Q284" s="34">
        <v>14579.0</v>
      </c>
      <c r="R284" s="40">
        <v>15699.0</v>
      </c>
      <c r="S284" s="35">
        <v>13679.24</v>
      </c>
      <c r="T284" s="36">
        <v>0.0</v>
      </c>
      <c r="U284" s="36">
        <v>3.0</v>
      </c>
      <c r="V284" s="36">
        <v>17.0</v>
      </c>
      <c r="W284" s="36">
        <v>1.0</v>
      </c>
      <c r="X284" s="36">
        <v>0.0</v>
      </c>
      <c r="Y284" s="36">
        <v>21.0</v>
      </c>
    </row>
    <row r="285">
      <c r="A285" s="32" t="s">
        <v>436</v>
      </c>
      <c r="B285" s="33" t="s">
        <v>436</v>
      </c>
      <c r="C285" s="32" t="s">
        <v>437</v>
      </c>
      <c r="D285" s="32" t="s">
        <v>438</v>
      </c>
      <c r="E285" s="32" t="s">
        <v>5073</v>
      </c>
      <c r="F285" s="32" t="e">
        <v>#N/A</v>
      </c>
      <c r="G285" s="39"/>
      <c r="H285" s="32" t="s">
        <v>439</v>
      </c>
      <c r="I285" s="32" t="s">
        <v>5073</v>
      </c>
      <c r="J285" s="32" t="s">
        <v>440</v>
      </c>
      <c r="K285" s="33" t="s">
        <v>441</v>
      </c>
      <c r="L285" s="32">
        <v>3.2783909E7</v>
      </c>
      <c r="M285" s="32" t="s">
        <v>442</v>
      </c>
      <c r="N285" s="32" t="s">
        <v>51</v>
      </c>
      <c r="O285" s="32" t="s">
        <v>52</v>
      </c>
      <c r="P285" s="32">
        <v>20799.0</v>
      </c>
      <c r="Q285" s="34">
        <v>16847.0</v>
      </c>
      <c r="R285" s="40">
        <v>18099.0</v>
      </c>
      <c r="S285" s="35">
        <v>15807.24</v>
      </c>
      <c r="T285" s="36">
        <v>9.0</v>
      </c>
      <c r="U285" s="36">
        <v>2.0</v>
      </c>
      <c r="V285" s="36">
        <v>7.0</v>
      </c>
      <c r="W285" s="36">
        <v>2.0</v>
      </c>
      <c r="X285" s="36">
        <v>1.0</v>
      </c>
      <c r="Y285" s="36">
        <v>21.0</v>
      </c>
    </row>
    <row r="286">
      <c r="A286" s="32" t="s">
        <v>1345</v>
      </c>
      <c r="B286" s="32" t="s">
        <v>1345</v>
      </c>
      <c r="C286" s="32" t="s">
        <v>1346</v>
      </c>
      <c r="D286" s="32" t="s">
        <v>1347</v>
      </c>
      <c r="E286" s="32" t="s">
        <v>5073</v>
      </c>
      <c r="F286" s="32" t="e">
        <v>#N/A</v>
      </c>
      <c r="G286" s="39"/>
      <c r="H286" s="32" t="s">
        <v>1348</v>
      </c>
      <c r="I286" s="32" t="s">
        <v>5073</v>
      </c>
      <c r="J286" s="32" t="s">
        <v>1349</v>
      </c>
      <c r="K286" s="33" t="s">
        <v>1350</v>
      </c>
      <c r="L286" s="32">
        <v>3.1818363E7</v>
      </c>
      <c r="M286" s="32" t="e">
        <v>#N/A</v>
      </c>
      <c r="N286" s="32" t="s">
        <v>5089</v>
      </c>
      <c r="O286" s="32" t="s">
        <v>4730</v>
      </c>
      <c r="P286" s="32">
        <v>2649.0</v>
      </c>
      <c r="Q286" s="34">
        <v>2164.0</v>
      </c>
      <c r="R286" s="40">
        <v>2199.0</v>
      </c>
      <c r="S286" s="35">
        <v>2119.2</v>
      </c>
      <c r="T286" s="36">
        <v>8.0</v>
      </c>
      <c r="U286" s="36">
        <v>0.0</v>
      </c>
      <c r="V286" s="36">
        <v>9.0</v>
      </c>
      <c r="W286" s="36">
        <v>4.0</v>
      </c>
      <c r="X286" s="36">
        <v>0.0</v>
      </c>
      <c r="Y286" s="36">
        <v>21.0</v>
      </c>
    </row>
    <row r="287">
      <c r="A287" s="32" t="s">
        <v>4413</v>
      </c>
      <c r="B287" s="32" t="s">
        <v>4413</v>
      </c>
      <c r="C287" s="32" t="s">
        <v>4414</v>
      </c>
      <c r="D287" s="32" t="s">
        <v>4415</v>
      </c>
      <c r="E287" s="32" t="s">
        <v>5073</v>
      </c>
      <c r="F287" s="32" t="e">
        <v>#N/A</v>
      </c>
      <c r="G287" s="39"/>
      <c r="H287" s="32">
        <v>0.0</v>
      </c>
      <c r="I287" s="39"/>
      <c r="J287" s="32" t="s">
        <v>4416</v>
      </c>
      <c r="K287" s="33" t="s">
        <v>4417</v>
      </c>
      <c r="L287" s="32" t="e">
        <v>#N/A</v>
      </c>
      <c r="M287" s="32" t="e">
        <v>#N/A</v>
      </c>
      <c r="N287" s="32" t="s">
        <v>5077</v>
      </c>
      <c r="O287" s="32" t="s">
        <v>4730</v>
      </c>
      <c r="P287" s="32">
        <v>999.0</v>
      </c>
      <c r="Q287" s="34">
        <v>949.0</v>
      </c>
      <c r="R287" s="35">
        <v>949.0</v>
      </c>
      <c r="S287" s="35">
        <v>899.1</v>
      </c>
      <c r="T287" s="36">
        <v>9.0</v>
      </c>
      <c r="U287" s="36">
        <v>0.0</v>
      </c>
      <c r="V287" s="36">
        <v>12.0</v>
      </c>
      <c r="W287" s="36">
        <v>0.0</v>
      </c>
      <c r="X287" s="36">
        <v>0.0</v>
      </c>
      <c r="Y287" s="36">
        <v>21.0</v>
      </c>
    </row>
    <row r="288">
      <c r="A288" s="32" t="s">
        <v>3289</v>
      </c>
      <c r="B288" s="32" t="s">
        <v>3289</v>
      </c>
      <c r="C288" s="32" t="s">
        <v>3290</v>
      </c>
      <c r="D288" s="32" t="s">
        <v>3291</v>
      </c>
      <c r="E288" s="32" t="s">
        <v>5073</v>
      </c>
      <c r="F288" s="32" t="e">
        <v>#N/A</v>
      </c>
      <c r="G288" s="39"/>
      <c r="H288" s="32" t="s">
        <v>3292</v>
      </c>
      <c r="I288" s="32" t="s">
        <v>5073</v>
      </c>
      <c r="J288" s="32" t="s">
        <v>3293</v>
      </c>
      <c r="K288" s="33" t="s">
        <v>3294</v>
      </c>
      <c r="L288" s="32">
        <v>3.1818396E7</v>
      </c>
      <c r="M288" s="32" t="e">
        <v>#N/A</v>
      </c>
      <c r="N288" s="32" t="s">
        <v>5086</v>
      </c>
      <c r="O288" s="32" t="s">
        <v>4730</v>
      </c>
      <c r="P288" s="32">
        <v>1989.0</v>
      </c>
      <c r="Q288" s="34">
        <v>1799.0</v>
      </c>
      <c r="R288" s="40">
        <v>1799.0</v>
      </c>
      <c r="S288" s="35">
        <v>1690.65</v>
      </c>
      <c r="T288" s="36">
        <v>0.0</v>
      </c>
      <c r="U288" s="36">
        <v>0.0</v>
      </c>
      <c r="V288" s="36">
        <v>21.0</v>
      </c>
      <c r="W288" s="36">
        <v>0.0</v>
      </c>
      <c r="X288" s="36">
        <v>0.0</v>
      </c>
      <c r="Y288" s="36">
        <v>21.0</v>
      </c>
    </row>
    <row r="289">
      <c r="A289" s="32" t="s">
        <v>2712</v>
      </c>
      <c r="B289" s="32" t="s">
        <v>2712</v>
      </c>
      <c r="C289" s="32">
        <v>0.0</v>
      </c>
      <c r="D289" s="32" t="e">
        <v>#N/A</v>
      </c>
      <c r="E289" s="39"/>
      <c r="F289" s="32" t="e">
        <v>#N/A</v>
      </c>
      <c r="G289" s="39"/>
      <c r="H289" s="32" t="e">
        <v>#N/A</v>
      </c>
      <c r="I289" s="39"/>
      <c r="J289" s="32">
        <v>0.0</v>
      </c>
      <c r="K289" s="33" t="e">
        <v>#N/A</v>
      </c>
      <c r="L289" s="32" t="e">
        <v>#N/A</v>
      </c>
      <c r="M289" s="32" t="e">
        <v>#N/A</v>
      </c>
      <c r="N289" s="32" t="e">
        <v>#N/A</v>
      </c>
      <c r="O289" s="32" t="e">
        <v>#N/A</v>
      </c>
      <c r="P289" s="32" t="e">
        <v>#REF!</v>
      </c>
      <c r="Q289" s="32" t="e">
        <v>#N/A</v>
      </c>
      <c r="R289" s="42" t="e">
        <v>#N/A</v>
      </c>
      <c r="S289" s="42" t="e">
        <v>#N/A</v>
      </c>
      <c r="T289" s="36">
        <v>13.0</v>
      </c>
      <c r="U289" s="36">
        <v>0.0</v>
      </c>
      <c r="V289" s="36">
        <v>7.0</v>
      </c>
      <c r="W289" s="36">
        <v>0.0</v>
      </c>
      <c r="X289" s="36">
        <v>0.0</v>
      </c>
      <c r="Y289" s="36">
        <v>20.0</v>
      </c>
    </row>
    <row r="290">
      <c r="A290" s="32" t="s">
        <v>2963</v>
      </c>
      <c r="B290" s="32" t="s">
        <v>2963</v>
      </c>
      <c r="C290" s="32" t="s">
        <v>2964</v>
      </c>
      <c r="D290" s="32" t="s">
        <v>2965</v>
      </c>
      <c r="E290" s="32" t="s">
        <v>5073</v>
      </c>
      <c r="F290" s="32" t="e">
        <v>#N/A</v>
      </c>
      <c r="G290" s="32" t="e">
        <v>#N/A</v>
      </c>
      <c r="H290" s="32" t="s">
        <v>2966</v>
      </c>
      <c r="I290" s="32" t="s">
        <v>5073</v>
      </c>
      <c r="J290" s="32" t="s">
        <v>2967</v>
      </c>
      <c r="K290" s="33" t="s">
        <v>2968</v>
      </c>
      <c r="L290" s="32" t="e">
        <v>#N/A</v>
      </c>
      <c r="M290" s="32" t="e">
        <v>#N/A</v>
      </c>
      <c r="N290" s="32" t="s">
        <v>5088</v>
      </c>
      <c r="O290" s="32" t="s">
        <v>4730</v>
      </c>
      <c r="P290" s="32">
        <v>2089.0</v>
      </c>
      <c r="Q290" s="34">
        <v>1627.0</v>
      </c>
      <c r="R290" s="40">
        <v>1899.0</v>
      </c>
      <c r="S290" s="35">
        <v>1671.2</v>
      </c>
      <c r="T290" s="36">
        <v>0.0</v>
      </c>
      <c r="U290" s="36">
        <v>2.0</v>
      </c>
      <c r="V290" s="36">
        <v>18.0</v>
      </c>
      <c r="W290" s="36">
        <v>0.0</v>
      </c>
      <c r="X290" s="36">
        <v>0.0</v>
      </c>
      <c r="Y290" s="36">
        <v>20.0</v>
      </c>
    </row>
    <row r="291">
      <c r="A291" s="32" t="s">
        <v>2172</v>
      </c>
      <c r="B291" s="32" t="s">
        <v>2172</v>
      </c>
      <c r="C291" s="32" t="s">
        <v>2173</v>
      </c>
      <c r="D291" s="32" t="s">
        <v>2174</v>
      </c>
      <c r="E291" s="32" t="s">
        <v>5073</v>
      </c>
      <c r="F291" s="32" t="e">
        <v>#N/A</v>
      </c>
      <c r="G291" s="32" t="e">
        <v>#N/A</v>
      </c>
      <c r="H291" s="32" t="s">
        <v>5128</v>
      </c>
      <c r="I291" s="32" t="s">
        <v>5102</v>
      </c>
      <c r="J291" s="32" t="s">
        <v>2175</v>
      </c>
      <c r="K291" s="33" t="s">
        <v>2176</v>
      </c>
      <c r="L291" s="32" t="e">
        <v>#N/A</v>
      </c>
      <c r="M291" s="32" t="e">
        <v>#N/A</v>
      </c>
      <c r="N291" s="32" t="s">
        <v>5103</v>
      </c>
      <c r="O291" s="32" t="s">
        <v>4730</v>
      </c>
      <c r="P291" s="32">
        <v>7499.0</v>
      </c>
      <c r="Q291" s="34">
        <v>5999.0</v>
      </c>
      <c r="R291" s="40">
        <v>6599.0</v>
      </c>
      <c r="S291" s="35">
        <v>5624.25</v>
      </c>
      <c r="T291" s="36">
        <v>2.0</v>
      </c>
      <c r="U291" s="36">
        <v>0.0</v>
      </c>
      <c r="V291" s="36">
        <v>16.0</v>
      </c>
      <c r="W291" s="36">
        <v>0.0</v>
      </c>
      <c r="X291" s="36">
        <v>2.0</v>
      </c>
      <c r="Y291" s="36">
        <v>20.0</v>
      </c>
    </row>
    <row r="292">
      <c r="A292" s="32" t="s">
        <v>4559</v>
      </c>
      <c r="B292" s="32" t="s">
        <v>4559</v>
      </c>
      <c r="C292" s="32" t="s">
        <v>4560</v>
      </c>
      <c r="D292" s="32" t="s">
        <v>4561</v>
      </c>
      <c r="E292" s="32" t="s">
        <v>5073</v>
      </c>
      <c r="F292" s="32" t="e">
        <v>#N/A</v>
      </c>
      <c r="G292" s="39"/>
      <c r="H292" s="32">
        <v>0.0</v>
      </c>
      <c r="I292" s="39"/>
      <c r="J292" s="32" t="s">
        <v>4562</v>
      </c>
      <c r="K292" s="33" t="s">
        <v>4563</v>
      </c>
      <c r="L292" s="32" t="e">
        <v>#N/A</v>
      </c>
      <c r="M292" s="32" t="e">
        <v>#N/A</v>
      </c>
      <c r="N292" s="32" t="s">
        <v>5077</v>
      </c>
      <c r="O292" s="32" t="s">
        <v>4730</v>
      </c>
      <c r="P292" s="32">
        <v>1599.0</v>
      </c>
      <c r="Q292" s="34">
        <v>1519.0</v>
      </c>
      <c r="R292" s="40">
        <v>1519.0</v>
      </c>
      <c r="S292" s="35">
        <v>1439.1</v>
      </c>
      <c r="T292" s="36">
        <v>4.0</v>
      </c>
      <c r="U292" s="36">
        <v>0.0</v>
      </c>
      <c r="V292" s="36">
        <v>16.0</v>
      </c>
      <c r="W292" s="36">
        <v>0.0</v>
      </c>
      <c r="X292" s="36">
        <v>0.0</v>
      </c>
      <c r="Y292" s="36">
        <v>20.0</v>
      </c>
    </row>
    <row r="293">
      <c r="A293" s="32" t="s">
        <v>2257</v>
      </c>
      <c r="B293" s="32" t="s">
        <v>2257</v>
      </c>
      <c r="C293" s="32" t="s">
        <v>2258</v>
      </c>
      <c r="D293" s="32" t="s">
        <v>2259</v>
      </c>
      <c r="E293" s="32" t="s">
        <v>5073</v>
      </c>
      <c r="F293" s="32" t="e">
        <v>#N/A</v>
      </c>
      <c r="G293" s="39"/>
      <c r="H293" s="32">
        <v>0.0</v>
      </c>
      <c r="I293" s="39"/>
      <c r="J293" s="32" t="s">
        <v>2260</v>
      </c>
      <c r="K293" s="33" t="s">
        <v>2261</v>
      </c>
      <c r="L293" s="32" t="e">
        <v>#N/A</v>
      </c>
      <c r="M293" s="32" t="e">
        <v>#N/A</v>
      </c>
      <c r="N293" s="32" t="s">
        <v>5077</v>
      </c>
      <c r="O293" s="32" t="s">
        <v>4730</v>
      </c>
      <c r="P293" s="32">
        <v>889.0</v>
      </c>
      <c r="Q293" s="34">
        <v>845.0</v>
      </c>
      <c r="R293" s="35">
        <v>845.0</v>
      </c>
      <c r="S293" s="35">
        <v>800.1</v>
      </c>
      <c r="T293" s="36">
        <v>9.0</v>
      </c>
      <c r="U293" s="36">
        <v>7.0</v>
      </c>
      <c r="V293" s="36">
        <v>0.0</v>
      </c>
      <c r="W293" s="36">
        <v>0.0</v>
      </c>
      <c r="X293" s="36">
        <v>4.0</v>
      </c>
      <c r="Y293" s="36">
        <v>20.0</v>
      </c>
    </row>
    <row r="294">
      <c r="A294" s="32" t="s">
        <v>1565</v>
      </c>
      <c r="B294" s="32" t="s">
        <v>1565</v>
      </c>
      <c r="C294" s="32" t="s">
        <v>1566</v>
      </c>
      <c r="D294" s="32" t="s">
        <v>1567</v>
      </c>
      <c r="E294" s="32" t="s">
        <v>5073</v>
      </c>
      <c r="F294" s="32" t="e">
        <v>#N/A</v>
      </c>
      <c r="G294" s="39"/>
      <c r="H294" s="32" t="s">
        <v>1565</v>
      </c>
      <c r="I294" s="32" t="s">
        <v>5073</v>
      </c>
      <c r="J294" s="32" t="s">
        <v>1565</v>
      </c>
      <c r="K294" s="33" t="s">
        <v>1568</v>
      </c>
      <c r="L294" s="32">
        <v>3.2784135E7</v>
      </c>
      <c r="M294" s="32" t="s">
        <v>1569</v>
      </c>
      <c r="N294" s="32" t="s">
        <v>5112</v>
      </c>
      <c r="O294" s="32" t="s">
        <v>52</v>
      </c>
      <c r="P294" s="32">
        <v>18999.0</v>
      </c>
      <c r="Q294" s="34">
        <v>17099.0</v>
      </c>
      <c r="R294" s="40">
        <v>17999.0</v>
      </c>
      <c r="S294" s="35">
        <v>14629.23</v>
      </c>
      <c r="T294" s="36">
        <v>4.0</v>
      </c>
      <c r="U294" s="36">
        <v>0.0</v>
      </c>
      <c r="V294" s="36">
        <v>14.0</v>
      </c>
      <c r="W294" s="36">
        <v>0.0</v>
      </c>
      <c r="X294" s="36">
        <v>2.0</v>
      </c>
      <c r="Y294" s="36">
        <v>20.0</v>
      </c>
    </row>
    <row r="295">
      <c r="A295" s="32" t="s">
        <v>2722</v>
      </c>
      <c r="B295" s="32" t="s">
        <v>2722</v>
      </c>
      <c r="C295" s="32" t="s">
        <v>2723</v>
      </c>
      <c r="D295" s="32" t="s">
        <v>2725</v>
      </c>
      <c r="E295" s="32" t="s">
        <v>5073</v>
      </c>
      <c r="F295" s="32" t="e">
        <v>#N/A</v>
      </c>
      <c r="G295" s="32" t="e">
        <v>#N/A</v>
      </c>
      <c r="H295" s="32" t="s">
        <v>2722</v>
      </c>
      <c r="I295" s="32" t="s">
        <v>5073</v>
      </c>
      <c r="J295" s="32" t="s">
        <v>2726</v>
      </c>
      <c r="K295" s="33" t="s">
        <v>2727</v>
      </c>
      <c r="L295" s="32">
        <v>3.1818458E7</v>
      </c>
      <c r="M295" s="32" t="e">
        <v>#N/A</v>
      </c>
      <c r="N295" s="32" t="s">
        <v>5107</v>
      </c>
      <c r="O295" s="32" t="s">
        <v>4730</v>
      </c>
      <c r="P295" s="32">
        <v>1989.0</v>
      </c>
      <c r="Q295" s="34">
        <v>1628.0</v>
      </c>
      <c r="R295" s="40">
        <v>1628.0</v>
      </c>
      <c r="S295" s="35">
        <v>1491.75</v>
      </c>
      <c r="T295" s="36">
        <v>0.0</v>
      </c>
      <c r="U295" s="36">
        <v>1.0</v>
      </c>
      <c r="V295" s="36">
        <v>18.0</v>
      </c>
      <c r="W295" s="36">
        <v>0.0</v>
      </c>
      <c r="X295" s="36">
        <v>0.0</v>
      </c>
      <c r="Y295" s="36">
        <v>19.0</v>
      </c>
    </row>
    <row r="296">
      <c r="A296" s="32" t="s">
        <v>3235</v>
      </c>
      <c r="B296" s="32" t="s">
        <v>3235</v>
      </c>
      <c r="C296" s="32" t="s">
        <v>3236</v>
      </c>
      <c r="D296" s="32" t="s">
        <v>3237</v>
      </c>
      <c r="E296" s="32" t="s">
        <v>5073</v>
      </c>
      <c r="F296" s="32" t="e">
        <v>#N/A</v>
      </c>
      <c r="G296" s="38"/>
      <c r="H296" s="32" t="s">
        <v>3238</v>
      </c>
      <c r="I296" s="32" t="s">
        <v>5073</v>
      </c>
      <c r="J296" s="32" t="s">
        <v>3239</v>
      </c>
      <c r="K296" s="33" t="s">
        <v>3240</v>
      </c>
      <c r="L296" s="32">
        <v>3.1818465E7</v>
      </c>
      <c r="M296" s="32" t="e">
        <v>#N/A</v>
      </c>
      <c r="N296" s="32" t="s">
        <v>5086</v>
      </c>
      <c r="O296" s="32" t="s">
        <v>4730</v>
      </c>
      <c r="P296" s="32">
        <v>1889.0</v>
      </c>
      <c r="Q296" s="34">
        <v>1699.0</v>
      </c>
      <c r="R296" s="40">
        <v>1699.0</v>
      </c>
      <c r="S296" s="35">
        <v>1605.65</v>
      </c>
      <c r="T296" s="36">
        <v>0.0</v>
      </c>
      <c r="U296" s="36">
        <v>0.0</v>
      </c>
      <c r="V296" s="36">
        <v>19.0</v>
      </c>
      <c r="W296" s="36">
        <v>0.0</v>
      </c>
      <c r="X296" s="36">
        <v>0.0</v>
      </c>
      <c r="Y296" s="36">
        <v>19.0</v>
      </c>
    </row>
    <row r="297">
      <c r="A297" s="32" t="s">
        <v>4486</v>
      </c>
      <c r="B297" s="32" t="s">
        <v>4486</v>
      </c>
      <c r="C297" s="32" t="s">
        <v>4487</v>
      </c>
      <c r="D297" s="32" t="s">
        <v>4488</v>
      </c>
      <c r="E297" s="32" t="s">
        <v>5073</v>
      </c>
      <c r="F297" s="32" t="e">
        <v>#N/A</v>
      </c>
      <c r="G297" s="39"/>
      <c r="H297" s="32">
        <v>0.0</v>
      </c>
      <c r="I297" s="39"/>
      <c r="J297" s="32" t="s">
        <v>4489</v>
      </c>
      <c r="K297" s="33" t="s">
        <v>4490</v>
      </c>
      <c r="L297" s="32" t="e">
        <v>#N/A</v>
      </c>
      <c r="M297" s="32" t="e">
        <v>#N/A</v>
      </c>
      <c r="N297" s="32" t="s">
        <v>5077</v>
      </c>
      <c r="O297" s="32" t="s">
        <v>4730</v>
      </c>
      <c r="P297" s="32">
        <v>1199.0</v>
      </c>
      <c r="Q297" s="34">
        <v>1139.0</v>
      </c>
      <c r="R297" s="40">
        <v>1139.0</v>
      </c>
      <c r="S297" s="35">
        <v>1079.1</v>
      </c>
      <c r="T297" s="36">
        <v>3.0</v>
      </c>
      <c r="U297" s="36">
        <v>0.0</v>
      </c>
      <c r="V297" s="36">
        <v>13.0</v>
      </c>
      <c r="W297" s="36">
        <v>0.0</v>
      </c>
      <c r="X297" s="36">
        <v>3.0</v>
      </c>
      <c r="Y297" s="36">
        <v>19.0</v>
      </c>
    </row>
    <row r="298">
      <c r="A298" s="32" t="s">
        <v>4976</v>
      </c>
      <c r="B298" s="32" t="s">
        <v>4976</v>
      </c>
      <c r="C298" s="32" t="s">
        <v>4977</v>
      </c>
      <c r="D298" s="32" t="s">
        <v>4978</v>
      </c>
      <c r="E298" s="32" t="s">
        <v>5102</v>
      </c>
      <c r="F298" s="38"/>
      <c r="G298" s="38"/>
      <c r="H298" s="38"/>
      <c r="I298" s="38"/>
      <c r="J298" s="32" t="s">
        <v>4979</v>
      </c>
      <c r="K298" s="38"/>
      <c r="L298" s="38"/>
      <c r="M298" s="38"/>
      <c r="N298" s="32" t="s">
        <v>5077</v>
      </c>
      <c r="O298" s="32" t="s">
        <v>4730</v>
      </c>
      <c r="P298" s="32">
        <v>1599.0</v>
      </c>
      <c r="Q298" s="44">
        <v>1519.0</v>
      </c>
      <c r="R298" s="40">
        <v>1519.0</v>
      </c>
      <c r="S298" s="35">
        <v>1439.1</v>
      </c>
      <c r="T298" s="36">
        <v>12.0</v>
      </c>
      <c r="U298" s="36">
        <v>0.0</v>
      </c>
      <c r="V298" s="36">
        <v>7.0</v>
      </c>
      <c r="W298" s="36">
        <v>0.0</v>
      </c>
      <c r="X298" s="36">
        <v>0.0</v>
      </c>
      <c r="Y298" s="36">
        <v>19.0</v>
      </c>
    </row>
    <row r="299">
      <c r="A299" s="32" t="s">
        <v>1487</v>
      </c>
      <c r="B299" s="32" t="s">
        <v>1487</v>
      </c>
      <c r="C299" s="32" t="s">
        <v>1488</v>
      </c>
      <c r="D299" s="32" t="s">
        <v>1489</v>
      </c>
      <c r="E299" s="32" t="s">
        <v>5073</v>
      </c>
      <c r="F299" s="32" t="e">
        <v>#N/A</v>
      </c>
      <c r="G299" s="39"/>
      <c r="H299" s="32" t="s">
        <v>1490</v>
      </c>
      <c r="I299" s="32" t="s">
        <v>5073</v>
      </c>
      <c r="J299" s="32" t="s">
        <v>1491</v>
      </c>
      <c r="K299" s="33" t="s">
        <v>1492</v>
      </c>
      <c r="L299" s="32">
        <v>3.1818452E7</v>
      </c>
      <c r="M299" s="32" t="e">
        <v>#N/A</v>
      </c>
      <c r="N299" s="32" t="s">
        <v>5089</v>
      </c>
      <c r="O299" s="32" t="s">
        <v>4730</v>
      </c>
      <c r="P299" s="32">
        <v>2999.0</v>
      </c>
      <c r="Q299" s="34">
        <v>2449.0</v>
      </c>
      <c r="R299" s="40">
        <v>2449.0</v>
      </c>
      <c r="S299" s="35">
        <v>2399.2</v>
      </c>
      <c r="T299" s="36">
        <v>0.0</v>
      </c>
      <c r="U299" s="36">
        <v>0.0</v>
      </c>
      <c r="V299" s="36">
        <v>12.0</v>
      </c>
      <c r="W299" s="36">
        <v>7.0</v>
      </c>
      <c r="X299" s="36">
        <v>0.0</v>
      </c>
      <c r="Y299" s="36">
        <v>19.0</v>
      </c>
    </row>
    <row r="300">
      <c r="A300" s="32" t="s">
        <v>1540</v>
      </c>
      <c r="B300" s="32" t="s">
        <v>1540</v>
      </c>
      <c r="C300" s="32" t="s">
        <v>1541</v>
      </c>
      <c r="D300" s="32" t="s">
        <v>1542</v>
      </c>
      <c r="E300" s="32" t="s">
        <v>5073</v>
      </c>
      <c r="F300" s="32" t="e">
        <v>#N/A</v>
      </c>
      <c r="G300" s="39"/>
      <c r="H300" s="32" t="s">
        <v>1540</v>
      </c>
      <c r="I300" s="32" t="s">
        <v>5073</v>
      </c>
      <c r="J300" s="32" t="s">
        <v>1540</v>
      </c>
      <c r="K300" s="33" t="s">
        <v>1543</v>
      </c>
      <c r="L300" s="32">
        <v>3.2783905E7</v>
      </c>
      <c r="M300" s="32" t="s">
        <v>1544</v>
      </c>
      <c r="N300" s="32" t="s">
        <v>5112</v>
      </c>
      <c r="O300" s="32" t="s">
        <v>52</v>
      </c>
      <c r="P300" s="32">
        <v>14999.0</v>
      </c>
      <c r="Q300" s="34">
        <v>13499.0</v>
      </c>
      <c r="R300" s="40">
        <v>14199.0</v>
      </c>
      <c r="S300" s="35">
        <v>11549.23</v>
      </c>
      <c r="T300" s="36">
        <v>5.0</v>
      </c>
      <c r="U300" s="36">
        <v>2.0</v>
      </c>
      <c r="V300" s="36">
        <v>3.0</v>
      </c>
      <c r="W300" s="36">
        <v>3.0</v>
      </c>
      <c r="X300" s="36">
        <v>6.0</v>
      </c>
      <c r="Y300" s="36">
        <v>19.0</v>
      </c>
    </row>
    <row r="301">
      <c r="A301" s="32" t="s">
        <v>4578</v>
      </c>
      <c r="B301" s="32" t="s">
        <v>4578</v>
      </c>
      <c r="C301" s="32">
        <v>0.0</v>
      </c>
      <c r="D301" s="32">
        <v>0.0</v>
      </c>
      <c r="E301" s="39"/>
      <c r="F301" s="32" t="e">
        <v>#N/A</v>
      </c>
      <c r="G301" s="39"/>
      <c r="H301" s="32">
        <v>0.0</v>
      </c>
      <c r="I301" s="39"/>
      <c r="J301" s="32" t="s">
        <v>4580</v>
      </c>
      <c r="K301" s="33" t="e">
        <v>#N/A</v>
      </c>
      <c r="L301" s="32" t="e">
        <v>#N/A</v>
      </c>
      <c r="M301" s="32" t="e">
        <v>#N/A</v>
      </c>
      <c r="N301" s="32" t="s">
        <v>5077</v>
      </c>
      <c r="O301" s="32" t="s">
        <v>4730</v>
      </c>
      <c r="P301" s="32">
        <v>1499.0</v>
      </c>
      <c r="Q301" s="34">
        <v>1424.0</v>
      </c>
      <c r="R301" s="40">
        <v>1424.0</v>
      </c>
      <c r="S301" s="35">
        <v>1349.1</v>
      </c>
      <c r="T301" s="36">
        <v>0.0</v>
      </c>
      <c r="U301" s="36">
        <v>0.0</v>
      </c>
      <c r="V301" s="36">
        <v>19.0</v>
      </c>
      <c r="W301" s="36">
        <v>0.0</v>
      </c>
      <c r="X301" s="36">
        <v>0.0</v>
      </c>
      <c r="Y301" s="36">
        <v>19.0</v>
      </c>
    </row>
    <row r="302">
      <c r="A302" s="32" t="s">
        <v>3696</v>
      </c>
      <c r="B302" s="32" t="s">
        <v>3696</v>
      </c>
      <c r="C302" s="32" t="s">
        <v>3697</v>
      </c>
      <c r="D302" s="32" t="s">
        <v>3698</v>
      </c>
      <c r="E302" s="32" t="s">
        <v>5073</v>
      </c>
      <c r="F302" s="32" t="e">
        <v>#N/A</v>
      </c>
      <c r="G302" s="32" t="e">
        <v>#N/A</v>
      </c>
      <c r="H302" s="32" t="s">
        <v>3696</v>
      </c>
      <c r="I302" s="32" t="s">
        <v>5073</v>
      </c>
      <c r="J302" s="32" t="s">
        <v>3699</v>
      </c>
      <c r="K302" s="33" t="s">
        <v>3700</v>
      </c>
      <c r="L302" s="32" t="e">
        <v>#N/A</v>
      </c>
      <c r="M302" s="32" t="e">
        <v>#N/A</v>
      </c>
      <c r="N302" s="32" t="s">
        <v>5127</v>
      </c>
      <c r="O302" s="32" t="s">
        <v>4730</v>
      </c>
      <c r="P302" s="32">
        <v>949.0</v>
      </c>
      <c r="Q302" s="34">
        <v>899.0</v>
      </c>
      <c r="R302" s="35">
        <v>899.0</v>
      </c>
      <c r="S302" s="35">
        <v>849.0</v>
      </c>
      <c r="T302" s="36">
        <v>0.0</v>
      </c>
      <c r="U302" s="36">
        <v>0.0</v>
      </c>
      <c r="V302" s="36">
        <v>18.0</v>
      </c>
      <c r="W302" s="36">
        <v>0.0</v>
      </c>
      <c r="X302" s="36">
        <v>0.0</v>
      </c>
      <c r="Y302" s="36">
        <v>18.0</v>
      </c>
    </row>
    <row r="303">
      <c r="A303" s="32" t="s">
        <v>1016</v>
      </c>
      <c r="B303" s="32" t="s">
        <v>1016</v>
      </c>
      <c r="C303" s="32" t="s">
        <v>1017</v>
      </c>
      <c r="D303" s="32" t="s">
        <v>1018</v>
      </c>
      <c r="E303" s="32" t="s">
        <v>5073</v>
      </c>
      <c r="F303" s="32" t="s">
        <v>5129</v>
      </c>
      <c r="G303" s="32" t="s">
        <v>5102</v>
      </c>
      <c r="H303" s="32" t="s">
        <v>5130</v>
      </c>
      <c r="I303" s="32" t="s">
        <v>5102</v>
      </c>
      <c r="J303" s="32" t="s">
        <v>1019</v>
      </c>
      <c r="K303" s="33" t="s">
        <v>1020</v>
      </c>
      <c r="L303" s="32">
        <v>3.1999065E7</v>
      </c>
      <c r="M303" s="32" t="s">
        <v>1021</v>
      </c>
      <c r="N303" s="32" t="s">
        <v>5108</v>
      </c>
      <c r="O303" s="32" t="s">
        <v>52</v>
      </c>
      <c r="P303" s="32">
        <v>19999.0</v>
      </c>
      <c r="Q303" s="34">
        <v>16799.0</v>
      </c>
      <c r="R303" s="40">
        <v>17999.0</v>
      </c>
      <c r="S303" s="35">
        <v>15999.2</v>
      </c>
      <c r="T303" s="36">
        <v>0.0</v>
      </c>
      <c r="U303" s="36">
        <v>0.0</v>
      </c>
      <c r="V303" s="36">
        <v>18.0</v>
      </c>
      <c r="W303" s="36">
        <v>0.0</v>
      </c>
      <c r="X303" s="36">
        <v>0.0</v>
      </c>
      <c r="Y303" s="36">
        <v>18.0</v>
      </c>
    </row>
    <row r="304">
      <c r="A304" s="32" t="s">
        <v>4229</v>
      </c>
      <c r="B304" s="32" t="s">
        <v>4229</v>
      </c>
      <c r="C304" s="32" t="s">
        <v>4230</v>
      </c>
      <c r="D304" s="32" t="s">
        <v>4231</v>
      </c>
      <c r="E304" s="32" t="s">
        <v>5073</v>
      </c>
      <c r="F304" s="32" t="e">
        <v>#N/A</v>
      </c>
      <c r="G304" s="38"/>
      <c r="H304" s="32">
        <v>0.0</v>
      </c>
      <c r="I304" s="39"/>
      <c r="J304" s="32" t="s">
        <v>4232</v>
      </c>
      <c r="K304" s="33" t="s">
        <v>4233</v>
      </c>
      <c r="L304" s="32" t="e">
        <v>#N/A</v>
      </c>
      <c r="M304" s="32" t="s">
        <v>4234</v>
      </c>
      <c r="N304" s="32" t="s">
        <v>5118</v>
      </c>
      <c r="O304" s="32" t="s">
        <v>52</v>
      </c>
      <c r="P304" s="32">
        <v>20699.0</v>
      </c>
      <c r="Q304" s="34">
        <v>18629.0</v>
      </c>
      <c r="R304" s="40">
        <v>19899.0</v>
      </c>
      <c r="S304" s="35">
        <v>18215.34</v>
      </c>
      <c r="T304" s="36">
        <v>0.0</v>
      </c>
      <c r="U304" s="36">
        <v>1.0</v>
      </c>
      <c r="V304" s="36">
        <v>15.0</v>
      </c>
      <c r="W304" s="36">
        <v>1.0</v>
      </c>
      <c r="X304" s="36">
        <v>1.0</v>
      </c>
      <c r="Y304" s="36">
        <v>18.0</v>
      </c>
    </row>
    <row r="305">
      <c r="A305" s="32" t="s">
        <v>582</v>
      </c>
      <c r="B305" s="32" t="s">
        <v>582</v>
      </c>
      <c r="C305" s="32" t="s">
        <v>583</v>
      </c>
      <c r="D305" s="32" t="s">
        <v>584</v>
      </c>
      <c r="E305" s="32" t="s">
        <v>5073</v>
      </c>
      <c r="F305" s="32" t="s">
        <v>585</v>
      </c>
      <c r="G305" s="32" t="s">
        <v>5100</v>
      </c>
      <c r="H305" s="32" t="s">
        <v>586</v>
      </c>
      <c r="I305" s="32" t="s">
        <v>5073</v>
      </c>
      <c r="J305" s="32" t="s">
        <v>587</v>
      </c>
      <c r="K305" s="33" t="s">
        <v>588</v>
      </c>
      <c r="L305" s="32">
        <v>3.1999083E7</v>
      </c>
      <c r="M305" s="32" t="s">
        <v>589</v>
      </c>
      <c r="N305" s="32" t="s">
        <v>51</v>
      </c>
      <c r="O305" s="32" t="s">
        <v>52</v>
      </c>
      <c r="P305" s="32">
        <v>18199.0</v>
      </c>
      <c r="Q305" s="34">
        <v>14741.0</v>
      </c>
      <c r="R305" s="40">
        <v>15799.0</v>
      </c>
      <c r="S305" s="35">
        <v>13831.24</v>
      </c>
      <c r="T305" s="36">
        <v>1.0</v>
      </c>
      <c r="U305" s="36">
        <v>1.0</v>
      </c>
      <c r="V305" s="36">
        <v>10.0</v>
      </c>
      <c r="W305" s="36">
        <v>2.0</v>
      </c>
      <c r="X305" s="36">
        <v>4.0</v>
      </c>
      <c r="Y305" s="36">
        <v>18.0</v>
      </c>
    </row>
    <row r="306">
      <c r="A306" s="32" t="s">
        <v>528</v>
      </c>
      <c r="B306" s="32" t="s">
        <v>528</v>
      </c>
      <c r="C306" s="32" t="s">
        <v>529</v>
      </c>
      <c r="D306" s="32" t="s">
        <v>530</v>
      </c>
      <c r="E306" s="32" t="s">
        <v>5073</v>
      </c>
      <c r="F306" s="32" t="e">
        <v>#N/A</v>
      </c>
      <c r="G306" s="39"/>
      <c r="H306" s="32">
        <v>0.0</v>
      </c>
      <c r="I306" s="39"/>
      <c r="J306" s="32" t="s">
        <v>531</v>
      </c>
      <c r="K306" s="33" t="s">
        <v>532</v>
      </c>
      <c r="L306" s="32" t="e">
        <v>#N/A</v>
      </c>
      <c r="M306" s="32" t="s">
        <v>533</v>
      </c>
      <c r="N306" s="32" t="s">
        <v>51</v>
      </c>
      <c r="O306" s="32" t="s">
        <v>52</v>
      </c>
      <c r="P306" s="32">
        <v>11569.0</v>
      </c>
      <c r="Q306" s="34">
        <v>9371.0</v>
      </c>
      <c r="R306" s="40">
        <v>10099.0</v>
      </c>
      <c r="S306" s="35">
        <v>8792.44</v>
      </c>
      <c r="T306" s="36">
        <v>0.0</v>
      </c>
      <c r="U306" s="36">
        <v>0.0</v>
      </c>
      <c r="V306" s="36">
        <v>10.0</v>
      </c>
      <c r="W306" s="36">
        <v>0.0</v>
      </c>
      <c r="X306" s="36">
        <v>8.0</v>
      </c>
      <c r="Y306" s="36">
        <v>18.0</v>
      </c>
    </row>
    <row r="307">
      <c r="A307" s="32" t="s">
        <v>2594</v>
      </c>
      <c r="B307" s="32" t="s">
        <v>2594</v>
      </c>
      <c r="C307" s="32" t="s">
        <v>2595</v>
      </c>
      <c r="D307" s="32" t="s">
        <v>2596</v>
      </c>
      <c r="E307" s="32" t="s">
        <v>5102</v>
      </c>
      <c r="F307" s="32" t="e">
        <v>#N/A</v>
      </c>
      <c r="G307" s="39"/>
      <c r="H307" s="32" t="s">
        <v>2597</v>
      </c>
      <c r="I307" s="32" t="s">
        <v>5117</v>
      </c>
      <c r="J307" s="32" t="s">
        <v>2598</v>
      </c>
      <c r="K307" s="33" t="s">
        <v>2599</v>
      </c>
      <c r="L307" s="32" t="e">
        <v>#N/A</v>
      </c>
      <c r="M307" s="32" t="s">
        <v>2600</v>
      </c>
      <c r="N307" s="32" t="s">
        <v>1195</v>
      </c>
      <c r="O307" s="32" t="s">
        <v>5114</v>
      </c>
      <c r="P307" s="32">
        <v>3489.0</v>
      </c>
      <c r="Q307" s="34">
        <v>2507.0</v>
      </c>
      <c r="R307" s="40">
        <v>2499.0</v>
      </c>
      <c r="S307" s="35">
        <v>2442.3</v>
      </c>
      <c r="T307" s="36">
        <v>3.0</v>
      </c>
      <c r="U307" s="36">
        <v>0.0</v>
      </c>
      <c r="V307" s="36">
        <v>9.0</v>
      </c>
      <c r="W307" s="36">
        <v>6.0</v>
      </c>
      <c r="X307" s="36">
        <v>0.0</v>
      </c>
      <c r="Y307" s="36">
        <v>18.0</v>
      </c>
    </row>
    <row r="308">
      <c r="A308" s="32" t="s">
        <v>2309</v>
      </c>
      <c r="B308" s="32" t="s">
        <v>2309</v>
      </c>
      <c r="C308" s="32" t="s">
        <v>2310</v>
      </c>
      <c r="D308" s="32" t="s">
        <v>2311</v>
      </c>
      <c r="E308" s="32" t="s">
        <v>5102</v>
      </c>
      <c r="F308" s="32" t="e">
        <v>#N/A</v>
      </c>
      <c r="G308" s="39"/>
      <c r="H308" s="32">
        <v>0.0</v>
      </c>
      <c r="I308" s="39"/>
      <c r="J308" s="32" t="s">
        <v>2312</v>
      </c>
      <c r="K308" s="33" t="s">
        <v>2313</v>
      </c>
      <c r="L308" s="32" t="e">
        <v>#N/A</v>
      </c>
      <c r="M308" s="32" t="e">
        <v>#N/A</v>
      </c>
      <c r="N308" s="32" t="s">
        <v>5077</v>
      </c>
      <c r="O308" s="32" t="s">
        <v>4730</v>
      </c>
      <c r="P308" s="32">
        <v>989.0</v>
      </c>
      <c r="Q308" s="34">
        <v>940.0</v>
      </c>
      <c r="R308" s="35">
        <v>940.0</v>
      </c>
      <c r="S308" s="35">
        <v>890.1</v>
      </c>
      <c r="T308" s="36">
        <v>0.0</v>
      </c>
      <c r="U308" s="36">
        <v>0.0</v>
      </c>
      <c r="V308" s="36">
        <v>18.0</v>
      </c>
      <c r="W308" s="36">
        <v>0.0</v>
      </c>
      <c r="X308" s="36">
        <v>0.0</v>
      </c>
      <c r="Y308" s="36">
        <v>18.0</v>
      </c>
    </row>
    <row r="309">
      <c r="A309" s="32" t="s">
        <v>1219</v>
      </c>
      <c r="B309" s="32" t="s">
        <v>1219</v>
      </c>
      <c r="C309" s="32" t="s">
        <v>1220</v>
      </c>
      <c r="D309" s="32" t="s">
        <v>1221</v>
      </c>
      <c r="E309" s="32" t="s">
        <v>5073</v>
      </c>
      <c r="F309" s="32" t="e">
        <v>#N/A</v>
      </c>
      <c r="G309" s="39"/>
      <c r="H309" s="32" t="s">
        <v>1222</v>
      </c>
      <c r="I309" s="32" t="s">
        <v>5073</v>
      </c>
      <c r="J309" s="32" t="s">
        <v>1223</v>
      </c>
      <c r="K309" s="33" t="s">
        <v>1224</v>
      </c>
      <c r="L309" s="32">
        <v>3.1818412E7</v>
      </c>
      <c r="M309" s="32" t="e">
        <v>#N/A</v>
      </c>
      <c r="N309" s="32" t="s">
        <v>5089</v>
      </c>
      <c r="O309" s="32" t="s">
        <v>4730</v>
      </c>
      <c r="P309" s="32">
        <v>1999.0</v>
      </c>
      <c r="Q309" s="34">
        <v>1629.0</v>
      </c>
      <c r="R309" s="40">
        <v>1629.0</v>
      </c>
      <c r="S309" s="35">
        <v>1599.2</v>
      </c>
      <c r="T309" s="36">
        <v>5.0</v>
      </c>
      <c r="U309" s="36">
        <v>3.0</v>
      </c>
      <c r="V309" s="36">
        <v>9.0</v>
      </c>
      <c r="W309" s="36">
        <v>1.0</v>
      </c>
      <c r="X309" s="36">
        <v>0.0</v>
      </c>
      <c r="Y309" s="36">
        <v>18.0</v>
      </c>
    </row>
    <row r="310">
      <c r="A310" s="32" t="s">
        <v>3587</v>
      </c>
      <c r="B310" s="32" t="s">
        <v>3587</v>
      </c>
      <c r="C310" s="32" t="s">
        <v>3588</v>
      </c>
      <c r="D310" s="32" t="s">
        <v>3589</v>
      </c>
      <c r="E310" s="32" t="s">
        <v>5073</v>
      </c>
      <c r="F310" s="32" t="e">
        <v>#N/A</v>
      </c>
      <c r="G310" s="39"/>
      <c r="H310" s="32" t="s">
        <v>3590</v>
      </c>
      <c r="I310" s="32" t="s">
        <v>5073</v>
      </c>
      <c r="J310" s="32" t="s">
        <v>3591</v>
      </c>
      <c r="K310" s="33" t="s">
        <v>3592</v>
      </c>
      <c r="L310" s="32" t="e">
        <v>#N/A</v>
      </c>
      <c r="M310" s="32" t="e">
        <v>#N/A</v>
      </c>
      <c r="N310" s="32" t="s">
        <v>5099</v>
      </c>
      <c r="O310" s="32" t="s">
        <v>4730</v>
      </c>
      <c r="P310" s="32">
        <v>2289.0</v>
      </c>
      <c r="Q310" s="34">
        <v>1999.0</v>
      </c>
      <c r="R310" s="40">
        <v>1999.0</v>
      </c>
      <c r="S310" s="35">
        <v>1945.65</v>
      </c>
      <c r="T310" s="36">
        <v>0.0</v>
      </c>
      <c r="U310" s="36">
        <v>2.0</v>
      </c>
      <c r="V310" s="36">
        <v>16.0</v>
      </c>
      <c r="W310" s="36">
        <v>0.0</v>
      </c>
      <c r="X310" s="36">
        <v>0.0</v>
      </c>
      <c r="Y310" s="36">
        <v>18.0</v>
      </c>
    </row>
    <row r="311">
      <c r="A311" s="32" t="s">
        <v>4988</v>
      </c>
      <c r="B311" s="32" t="s">
        <v>4988</v>
      </c>
      <c r="C311" s="32" t="s">
        <v>4989</v>
      </c>
      <c r="D311" s="32" t="s">
        <v>4990</v>
      </c>
      <c r="E311" s="32" t="s">
        <v>5102</v>
      </c>
      <c r="F311" s="38"/>
      <c r="G311" s="38"/>
      <c r="H311" s="38"/>
      <c r="I311" s="38"/>
      <c r="J311" s="32" t="s">
        <v>4991</v>
      </c>
      <c r="K311" s="38"/>
      <c r="L311" s="38"/>
      <c r="M311" s="38"/>
      <c r="N311" s="32" t="s">
        <v>5077</v>
      </c>
      <c r="O311" s="32" t="s">
        <v>4730</v>
      </c>
      <c r="P311" s="32">
        <v>1499.0</v>
      </c>
      <c r="Q311" s="44">
        <v>1424.0</v>
      </c>
      <c r="R311" s="40">
        <v>1424.0</v>
      </c>
      <c r="S311" s="35">
        <v>1349.1</v>
      </c>
      <c r="T311" s="36">
        <v>9.0</v>
      </c>
      <c r="U311" s="36">
        <v>0.0</v>
      </c>
      <c r="V311" s="36">
        <v>9.0</v>
      </c>
      <c r="W311" s="36">
        <v>0.0</v>
      </c>
      <c r="X311" s="36">
        <v>0.0</v>
      </c>
      <c r="Y311" s="36">
        <v>18.0</v>
      </c>
    </row>
    <row r="312">
      <c r="A312" s="32" t="s">
        <v>5000</v>
      </c>
      <c r="B312" s="32" t="s">
        <v>5000</v>
      </c>
      <c r="C312" s="32" t="s">
        <v>5001</v>
      </c>
      <c r="D312" s="32" t="s">
        <v>5002</v>
      </c>
      <c r="E312" s="32" t="s">
        <v>5102</v>
      </c>
      <c r="F312" s="38"/>
      <c r="G312" s="38"/>
      <c r="H312" s="38"/>
      <c r="I312" s="38"/>
      <c r="J312" s="32" t="s">
        <v>5003</v>
      </c>
      <c r="K312" s="38"/>
      <c r="L312" s="38"/>
      <c r="M312" s="38"/>
      <c r="N312" s="32" t="s">
        <v>5077</v>
      </c>
      <c r="O312" s="32" t="s">
        <v>4730</v>
      </c>
      <c r="P312" s="32">
        <v>1599.0</v>
      </c>
      <c r="Q312" s="44">
        <v>1519.0</v>
      </c>
      <c r="R312" s="40">
        <v>1519.0</v>
      </c>
      <c r="S312" s="35">
        <v>1439.1</v>
      </c>
      <c r="T312" s="36">
        <v>4.0</v>
      </c>
      <c r="U312" s="36">
        <v>0.0</v>
      </c>
      <c r="V312" s="36">
        <v>14.0</v>
      </c>
      <c r="W312" s="36">
        <v>0.0</v>
      </c>
      <c r="X312" s="36">
        <v>0.0</v>
      </c>
      <c r="Y312" s="36">
        <v>18.0</v>
      </c>
    </row>
    <row r="313">
      <c r="A313" s="32" t="s">
        <v>4556</v>
      </c>
      <c r="B313" s="32" t="s">
        <v>4556</v>
      </c>
      <c r="C313" s="32">
        <v>0.0</v>
      </c>
      <c r="D313" s="32">
        <v>0.0</v>
      </c>
      <c r="E313" s="39"/>
      <c r="F313" s="32" t="e">
        <v>#N/A</v>
      </c>
      <c r="G313" s="39"/>
      <c r="H313" s="32">
        <v>0.0</v>
      </c>
      <c r="I313" s="39"/>
      <c r="J313" s="32" t="s">
        <v>4558</v>
      </c>
      <c r="K313" s="33" t="e">
        <v>#N/A</v>
      </c>
      <c r="L313" s="32" t="e">
        <v>#N/A</v>
      </c>
      <c r="M313" s="32" t="e">
        <v>#N/A</v>
      </c>
      <c r="N313" s="32" t="s">
        <v>5077</v>
      </c>
      <c r="O313" s="32" t="s">
        <v>4730</v>
      </c>
      <c r="P313" s="32">
        <v>1499.0</v>
      </c>
      <c r="Q313" s="34">
        <v>1424.0</v>
      </c>
      <c r="R313" s="40">
        <v>1424.0</v>
      </c>
      <c r="S313" s="35">
        <v>1349.1</v>
      </c>
      <c r="T313" s="36">
        <v>0.0</v>
      </c>
      <c r="U313" s="36">
        <v>13.0</v>
      </c>
      <c r="V313" s="36">
        <v>1.0</v>
      </c>
      <c r="W313" s="36">
        <v>0.0</v>
      </c>
      <c r="X313" s="36">
        <v>4.0</v>
      </c>
      <c r="Y313" s="36">
        <v>18.0</v>
      </c>
    </row>
    <row r="314">
      <c r="A314" s="32" t="s">
        <v>4567</v>
      </c>
      <c r="B314" s="32" t="s">
        <v>4567</v>
      </c>
      <c r="C314" s="32">
        <v>0.0</v>
      </c>
      <c r="D314" s="32">
        <v>0.0</v>
      </c>
      <c r="E314" s="39"/>
      <c r="F314" s="32" t="e">
        <v>#N/A</v>
      </c>
      <c r="G314" s="39"/>
      <c r="H314" s="32">
        <v>0.0</v>
      </c>
      <c r="I314" s="39"/>
      <c r="J314" s="32" t="s">
        <v>4569</v>
      </c>
      <c r="K314" s="33" t="e">
        <v>#N/A</v>
      </c>
      <c r="L314" s="32" t="e">
        <v>#N/A</v>
      </c>
      <c r="M314" s="32" t="e">
        <v>#N/A</v>
      </c>
      <c r="N314" s="32" t="s">
        <v>5077</v>
      </c>
      <c r="O314" s="32" t="s">
        <v>4730</v>
      </c>
      <c r="P314" s="32">
        <v>1599.0</v>
      </c>
      <c r="Q314" s="34">
        <v>1519.0</v>
      </c>
      <c r="R314" s="40">
        <v>1519.0</v>
      </c>
      <c r="S314" s="35">
        <v>1439.1</v>
      </c>
      <c r="T314" s="36">
        <v>0.0</v>
      </c>
      <c r="U314" s="36">
        <v>0.0</v>
      </c>
      <c r="V314" s="36">
        <v>18.0</v>
      </c>
      <c r="W314" s="36">
        <v>0.0</v>
      </c>
      <c r="X314" s="36">
        <v>0.0</v>
      </c>
      <c r="Y314" s="36">
        <v>18.0</v>
      </c>
    </row>
    <row r="315">
      <c r="A315" s="32" t="s">
        <v>2715</v>
      </c>
      <c r="B315" s="32" t="s">
        <v>2715</v>
      </c>
      <c r="C315" s="32">
        <v>0.0</v>
      </c>
      <c r="D315" s="32" t="e">
        <v>#N/A</v>
      </c>
      <c r="E315" s="39"/>
      <c r="F315" s="32" t="e">
        <v>#N/A</v>
      </c>
      <c r="G315" s="39"/>
      <c r="H315" s="32" t="e">
        <v>#N/A</v>
      </c>
      <c r="I315" s="39"/>
      <c r="J315" s="32">
        <v>0.0</v>
      </c>
      <c r="K315" s="33" t="e">
        <v>#N/A</v>
      </c>
      <c r="L315" s="32" t="e">
        <v>#N/A</v>
      </c>
      <c r="M315" s="32" t="e">
        <v>#N/A</v>
      </c>
      <c r="N315" s="32" t="e">
        <v>#N/A</v>
      </c>
      <c r="O315" s="32" t="e">
        <v>#N/A</v>
      </c>
      <c r="P315" s="32" t="e">
        <v>#REF!</v>
      </c>
      <c r="Q315" s="32" t="e">
        <v>#N/A</v>
      </c>
      <c r="R315" s="42" t="e">
        <v>#N/A</v>
      </c>
      <c r="S315" s="42" t="e">
        <v>#N/A</v>
      </c>
      <c r="T315" s="36">
        <v>8.0</v>
      </c>
      <c r="U315" s="36">
        <v>0.0</v>
      </c>
      <c r="V315" s="36">
        <v>10.0</v>
      </c>
      <c r="W315" s="36">
        <v>0.0</v>
      </c>
      <c r="X315" s="36">
        <v>0.0</v>
      </c>
      <c r="Y315" s="36">
        <v>18.0</v>
      </c>
    </row>
    <row r="316">
      <c r="A316" s="32" t="s">
        <v>2720</v>
      </c>
      <c r="B316" s="32" t="s">
        <v>2720</v>
      </c>
      <c r="C316" s="32">
        <v>0.0</v>
      </c>
      <c r="D316" s="32" t="e">
        <v>#N/A</v>
      </c>
      <c r="E316" s="39"/>
      <c r="F316" s="32" t="e">
        <v>#N/A</v>
      </c>
      <c r="G316" s="39"/>
      <c r="H316" s="32" t="e">
        <v>#N/A</v>
      </c>
      <c r="I316" s="39"/>
      <c r="J316" s="32">
        <v>0.0</v>
      </c>
      <c r="K316" s="33" t="e">
        <v>#N/A</v>
      </c>
      <c r="L316" s="32" t="e">
        <v>#N/A</v>
      </c>
      <c r="M316" s="32" t="e">
        <v>#N/A</v>
      </c>
      <c r="N316" s="32" t="e">
        <v>#N/A</v>
      </c>
      <c r="O316" s="32" t="e">
        <v>#N/A</v>
      </c>
      <c r="P316" s="32" t="e">
        <v>#REF!</v>
      </c>
      <c r="Q316" s="32" t="e">
        <v>#N/A</v>
      </c>
      <c r="R316" s="42" t="e">
        <v>#N/A</v>
      </c>
      <c r="S316" s="42" t="e">
        <v>#N/A</v>
      </c>
      <c r="T316" s="36">
        <v>8.0</v>
      </c>
      <c r="U316" s="36">
        <v>0.0</v>
      </c>
      <c r="V316" s="36">
        <v>8.0</v>
      </c>
      <c r="W316" s="36">
        <v>2.0</v>
      </c>
      <c r="X316" s="36">
        <v>0.0</v>
      </c>
      <c r="Y316" s="36">
        <v>18.0</v>
      </c>
    </row>
    <row r="317">
      <c r="A317" s="32" t="s">
        <v>4944</v>
      </c>
      <c r="B317" s="32" t="s">
        <v>4944</v>
      </c>
      <c r="C317" s="32" t="s">
        <v>4945</v>
      </c>
      <c r="D317" s="32" t="s">
        <v>4946</v>
      </c>
      <c r="E317" s="32" t="s">
        <v>5102</v>
      </c>
      <c r="F317" s="32" t="e">
        <v>#N/A</v>
      </c>
      <c r="G317" s="32" t="e">
        <v>#N/A</v>
      </c>
      <c r="H317" s="32">
        <v>0.0</v>
      </c>
      <c r="I317" s="32">
        <v>0.0</v>
      </c>
      <c r="J317" s="32" t="s">
        <v>4947</v>
      </c>
      <c r="K317" s="38"/>
      <c r="L317" s="38"/>
      <c r="M317" s="38"/>
      <c r="N317" s="32" t="s">
        <v>5077</v>
      </c>
      <c r="O317" s="32" t="s">
        <v>4730</v>
      </c>
      <c r="P317" s="32">
        <v>1599.0</v>
      </c>
      <c r="Q317" s="44">
        <v>1519.0</v>
      </c>
      <c r="R317" s="40">
        <v>1519.0</v>
      </c>
      <c r="S317" s="35">
        <v>1439.1</v>
      </c>
      <c r="T317" s="36">
        <v>8.0</v>
      </c>
      <c r="U317" s="36">
        <v>0.0</v>
      </c>
      <c r="V317" s="36">
        <v>9.0</v>
      </c>
      <c r="W317" s="36">
        <v>0.0</v>
      </c>
      <c r="X317" s="36">
        <v>0.0</v>
      </c>
      <c r="Y317" s="36">
        <v>17.0</v>
      </c>
    </row>
    <row r="318">
      <c r="A318" s="32" t="s">
        <v>3355</v>
      </c>
      <c r="B318" s="32" t="s">
        <v>3355</v>
      </c>
      <c r="C318" s="32" t="s">
        <v>3356</v>
      </c>
      <c r="D318" s="32" t="s">
        <v>3357</v>
      </c>
      <c r="E318" s="32" t="s">
        <v>5102</v>
      </c>
      <c r="F318" s="32" t="e">
        <v>#N/A</v>
      </c>
      <c r="G318" s="38"/>
      <c r="H318" s="32" t="s">
        <v>3358</v>
      </c>
      <c r="I318" s="32" t="s">
        <v>5073</v>
      </c>
      <c r="J318" s="32" t="s">
        <v>3359</v>
      </c>
      <c r="K318" s="33" t="s">
        <v>3360</v>
      </c>
      <c r="L318" s="32">
        <v>3.1818438E7</v>
      </c>
      <c r="M318" s="32" t="e">
        <v>#N/A</v>
      </c>
      <c r="N318" s="32" t="s">
        <v>5086</v>
      </c>
      <c r="O318" s="32" t="s">
        <v>4730</v>
      </c>
      <c r="P318" s="32">
        <v>2189.0</v>
      </c>
      <c r="Q318" s="34">
        <v>1999.0</v>
      </c>
      <c r="R318" s="40">
        <v>1999.0</v>
      </c>
      <c r="S318" s="35">
        <v>1860.65</v>
      </c>
      <c r="T318" s="36">
        <v>0.0</v>
      </c>
      <c r="U318" s="36">
        <v>0.0</v>
      </c>
      <c r="V318" s="36">
        <v>17.0</v>
      </c>
      <c r="W318" s="36">
        <v>0.0</v>
      </c>
      <c r="X318" s="36">
        <v>0.0</v>
      </c>
      <c r="Y318" s="36">
        <v>17.0</v>
      </c>
    </row>
    <row r="319">
      <c r="A319" s="32" t="s">
        <v>4423</v>
      </c>
      <c r="B319" s="32" t="s">
        <v>4423</v>
      </c>
      <c r="C319" s="32" t="s">
        <v>4424</v>
      </c>
      <c r="D319" s="32" t="s">
        <v>4425</v>
      </c>
      <c r="E319" s="32" t="s">
        <v>5073</v>
      </c>
      <c r="F319" s="32" t="e">
        <v>#N/A</v>
      </c>
      <c r="G319" s="39"/>
      <c r="H319" s="32">
        <v>0.0</v>
      </c>
      <c r="I319" s="39"/>
      <c r="J319" s="32" t="s">
        <v>4426</v>
      </c>
      <c r="K319" s="33" t="s">
        <v>4427</v>
      </c>
      <c r="L319" s="32" t="e">
        <v>#N/A</v>
      </c>
      <c r="M319" s="32" t="e">
        <v>#N/A</v>
      </c>
      <c r="N319" s="32" t="s">
        <v>5077</v>
      </c>
      <c r="O319" s="32" t="s">
        <v>4730</v>
      </c>
      <c r="P319" s="32">
        <v>999.0</v>
      </c>
      <c r="Q319" s="34">
        <v>949.0</v>
      </c>
      <c r="R319" s="35">
        <v>949.0</v>
      </c>
      <c r="S319" s="35">
        <v>899.1</v>
      </c>
      <c r="T319" s="36">
        <v>0.0</v>
      </c>
      <c r="U319" s="36">
        <v>0.0</v>
      </c>
      <c r="V319" s="36">
        <v>17.0</v>
      </c>
      <c r="W319" s="36">
        <v>0.0</v>
      </c>
      <c r="X319" s="36">
        <v>0.0</v>
      </c>
      <c r="Y319" s="36">
        <v>17.0</v>
      </c>
    </row>
    <row r="320">
      <c r="A320" s="32" t="s">
        <v>4649</v>
      </c>
      <c r="B320" s="32" t="s">
        <v>4649</v>
      </c>
      <c r="C320" s="32" t="s">
        <v>4650</v>
      </c>
      <c r="D320" s="32" t="s">
        <v>4651</v>
      </c>
      <c r="E320" s="32" t="s">
        <v>5073</v>
      </c>
      <c r="F320" s="32" t="e">
        <v>#N/A</v>
      </c>
      <c r="G320" s="39"/>
      <c r="H320" s="32">
        <v>0.0</v>
      </c>
      <c r="I320" s="39"/>
      <c r="J320" s="32" t="s">
        <v>4652</v>
      </c>
      <c r="K320" s="33" t="s">
        <v>4653</v>
      </c>
      <c r="L320" s="32" t="e">
        <v>#N/A</v>
      </c>
      <c r="M320" s="32" t="e">
        <v>#N/A</v>
      </c>
      <c r="N320" s="32" t="s">
        <v>5077</v>
      </c>
      <c r="O320" s="32" t="s">
        <v>4730</v>
      </c>
      <c r="P320" s="32">
        <v>1699.0</v>
      </c>
      <c r="Q320" s="34">
        <v>1614.0</v>
      </c>
      <c r="R320" s="40">
        <v>1614.0</v>
      </c>
      <c r="S320" s="35">
        <v>1529.1</v>
      </c>
      <c r="T320" s="36">
        <v>2.0</v>
      </c>
      <c r="U320" s="36">
        <v>0.0</v>
      </c>
      <c r="V320" s="36">
        <v>15.0</v>
      </c>
      <c r="W320" s="36">
        <v>0.0</v>
      </c>
      <c r="X320" s="36">
        <v>0.0</v>
      </c>
      <c r="Y320" s="36">
        <v>17.0</v>
      </c>
    </row>
    <row r="321">
      <c r="A321" s="32" t="s">
        <v>2911</v>
      </c>
      <c r="B321" s="32" t="s">
        <v>2911</v>
      </c>
      <c r="C321" s="32" t="s">
        <v>2912</v>
      </c>
      <c r="D321" s="32" t="s">
        <v>2913</v>
      </c>
      <c r="E321" s="32" t="s">
        <v>5073</v>
      </c>
      <c r="F321" s="32" t="e">
        <v>#N/A</v>
      </c>
      <c r="G321" s="39"/>
      <c r="H321" s="32" t="s">
        <v>2914</v>
      </c>
      <c r="I321" s="32" t="s">
        <v>5073</v>
      </c>
      <c r="J321" s="32" t="s">
        <v>2915</v>
      </c>
      <c r="K321" s="33" t="s">
        <v>2916</v>
      </c>
      <c r="L321" s="32" t="e">
        <v>#N/A</v>
      </c>
      <c r="M321" s="32" t="e">
        <v>#N/A</v>
      </c>
      <c r="N321" s="32" t="s">
        <v>5116</v>
      </c>
      <c r="O321" s="32" t="s">
        <v>4730</v>
      </c>
      <c r="P321" s="32">
        <v>2699.0</v>
      </c>
      <c r="Q321" s="34">
        <v>2399.0</v>
      </c>
      <c r="R321" s="40">
        <v>2399.0</v>
      </c>
      <c r="S321" s="35">
        <v>2294.15</v>
      </c>
      <c r="T321" s="36">
        <v>0.0</v>
      </c>
      <c r="U321" s="36">
        <v>0.0</v>
      </c>
      <c r="V321" s="36">
        <v>12.0</v>
      </c>
      <c r="W321" s="36">
        <v>5.0</v>
      </c>
      <c r="X321" s="36">
        <v>0.0</v>
      </c>
      <c r="Y321" s="36">
        <v>17.0</v>
      </c>
    </row>
    <row r="322">
      <c r="A322" s="32" t="s">
        <v>1201</v>
      </c>
      <c r="B322" s="32" t="s">
        <v>1201</v>
      </c>
      <c r="C322" s="32" t="s">
        <v>1202</v>
      </c>
      <c r="D322" s="32" t="s">
        <v>1203</v>
      </c>
      <c r="E322" s="32" t="s">
        <v>5073</v>
      </c>
      <c r="F322" s="32" t="e">
        <v>#N/A</v>
      </c>
      <c r="G322" s="39"/>
      <c r="H322" s="32" t="s">
        <v>1204</v>
      </c>
      <c r="I322" s="32" t="s">
        <v>5073</v>
      </c>
      <c r="J322" s="32" t="s">
        <v>1205</v>
      </c>
      <c r="K322" s="33" t="s">
        <v>1206</v>
      </c>
      <c r="L322" s="32">
        <v>3.1818385E7</v>
      </c>
      <c r="M322" s="32" t="e">
        <v>#N/A</v>
      </c>
      <c r="N322" s="32" t="s">
        <v>5089</v>
      </c>
      <c r="O322" s="32" t="s">
        <v>4730</v>
      </c>
      <c r="P322" s="32">
        <v>1999.0</v>
      </c>
      <c r="Q322" s="34">
        <v>1629.0</v>
      </c>
      <c r="R322" s="40">
        <v>1629.0</v>
      </c>
      <c r="S322" s="35">
        <v>1599.2</v>
      </c>
      <c r="T322" s="36">
        <v>7.0</v>
      </c>
      <c r="U322" s="36">
        <v>2.0</v>
      </c>
      <c r="V322" s="36">
        <v>8.0</v>
      </c>
      <c r="W322" s="36">
        <v>0.0</v>
      </c>
      <c r="X322" s="36">
        <v>0.0</v>
      </c>
      <c r="Y322" s="36">
        <v>17.0</v>
      </c>
    </row>
    <row r="323">
      <c r="A323" s="32" t="s">
        <v>1382</v>
      </c>
      <c r="B323" s="32" t="s">
        <v>1382</v>
      </c>
      <c r="C323" s="32" t="s">
        <v>1383</v>
      </c>
      <c r="D323" s="32" t="s">
        <v>1384</v>
      </c>
      <c r="E323" s="32" t="s">
        <v>5073</v>
      </c>
      <c r="F323" s="32" t="e">
        <v>#N/A</v>
      </c>
      <c r="G323" s="39"/>
      <c r="H323" s="32" t="s">
        <v>1385</v>
      </c>
      <c r="I323" s="32" t="s">
        <v>5073</v>
      </c>
      <c r="J323" s="32" t="s">
        <v>1386</v>
      </c>
      <c r="K323" s="33" t="s">
        <v>1387</v>
      </c>
      <c r="L323" s="32">
        <v>3.1818401E7</v>
      </c>
      <c r="M323" s="32" t="e">
        <v>#N/A</v>
      </c>
      <c r="N323" s="32" t="s">
        <v>5089</v>
      </c>
      <c r="O323" s="32" t="s">
        <v>4730</v>
      </c>
      <c r="P323" s="32">
        <v>2649.0</v>
      </c>
      <c r="Q323" s="34">
        <v>2164.0</v>
      </c>
      <c r="R323" s="40">
        <v>2199.0</v>
      </c>
      <c r="S323" s="35">
        <v>2119.2</v>
      </c>
      <c r="T323" s="36">
        <v>0.0</v>
      </c>
      <c r="U323" s="36">
        <v>0.0</v>
      </c>
      <c r="V323" s="36">
        <v>17.0</v>
      </c>
      <c r="W323" s="36">
        <v>0.0</v>
      </c>
      <c r="X323" s="36">
        <v>0.0</v>
      </c>
      <c r="Y323" s="36">
        <v>17.0</v>
      </c>
    </row>
    <row r="324">
      <c r="A324" s="32" t="s">
        <v>2884</v>
      </c>
      <c r="B324" s="32" t="s">
        <v>2884</v>
      </c>
      <c r="C324" s="32" t="s">
        <v>2885</v>
      </c>
      <c r="D324" s="32" t="s">
        <v>2886</v>
      </c>
      <c r="E324" s="32" t="s">
        <v>5073</v>
      </c>
      <c r="F324" s="32" t="e">
        <v>#N/A</v>
      </c>
      <c r="G324" s="39"/>
      <c r="H324" s="32" t="s">
        <v>2884</v>
      </c>
      <c r="I324" s="32" t="s">
        <v>5073</v>
      </c>
      <c r="J324" s="32" t="s">
        <v>2887</v>
      </c>
      <c r="K324" s="33" t="s">
        <v>2888</v>
      </c>
      <c r="L324" s="32">
        <v>3.1818457E7</v>
      </c>
      <c r="M324" s="32" t="e">
        <v>#N/A</v>
      </c>
      <c r="N324" s="32" t="s">
        <v>5107</v>
      </c>
      <c r="O324" s="32" t="s">
        <v>4730</v>
      </c>
      <c r="P324" s="32">
        <v>2189.0</v>
      </c>
      <c r="Q324" s="34">
        <v>1792.0</v>
      </c>
      <c r="R324" s="40">
        <v>1799.0</v>
      </c>
      <c r="S324" s="35">
        <v>1641.75</v>
      </c>
      <c r="T324" s="36">
        <v>0.0</v>
      </c>
      <c r="U324" s="36">
        <v>0.0</v>
      </c>
      <c r="V324" s="36">
        <v>17.0</v>
      </c>
      <c r="W324" s="36">
        <v>0.0</v>
      </c>
      <c r="X324" s="36">
        <v>0.0</v>
      </c>
      <c r="Y324" s="36">
        <v>17.0</v>
      </c>
    </row>
    <row r="325">
      <c r="A325" s="32" t="s">
        <v>4537</v>
      </c>
      <c r="B325" s="32" t="s">
        <v>4537</v>
      </c>
      <c r="C325" s="32" t="s">
        <v>4538</v>
      </c>
      <c r="D325" s="32" t="s">
        <v>4539</v>
      </c>
      <c r="E325" s="32" t="s">
        <v>5073</v>
      </c>
      <c r="F325" s="32" t="e">
        <v>#N/A</v>
      </c>
      <c r="G325" s="39"/>
      <c r="H325" s="32">
        <v>0.0</v>
      </c>
      <c r="I325" s="39"/>
      <c r="J325" s="32" t="s">
        <v>4540</v>
      </c>
      <c r="K325" s="33" t="s">
        <v>4541</v>
      </c>
      <c r="L325" s="32" t="e">
        <v>#N/A</v>
      </c>
      <c r="M325" s="32" t="e">
        <v>#N/A</v>
      </c>
      <c r="N325" s="32" t="s">
        <v>5077</v>
      </c>
      <c r="O325" s="32" t="s">
        <v>4730</v>
      </c>
      <c r="P325" s="32">
        <v>1599.0</v>
      </c>
      <c r="Q325" s="34">
        <v>1519.0</v>
      </c>
      <c r="R325" s="40">
        <v>1519.0</v>
      </c>
      <c r="S325" s="35">
        <v>1439.1</v>
      </c>
      <c r="T325" s="36">
        <v>6.0</v>
      </c>
      <c r="U325" s="36">
        <v>0.0</v>
      </c>
      <c r="V325" s="36">
        <v>11.0</v>
      </c>
      <c r="W325" s="36">
        <v>0.0</v>
      </c>
      <c r="X325" s="36">
        <v>0.0</v>
      </c>
      <c r="Y325" s="36">
        <v>17.0</v>
      </c>
    </row>
    <row r="326">
      <c r="A326" s="32" t="s">
        <v>2789</v>
      </c>
      <c r="B326" s="32" t="s">
        <v>2789</v>
      </c>
      <c r="C326" s="32">
        <v>0.0</v>
      </c>
      <c r="D326" s="32" t="e">
        <v>#N/A</v>
      </c>
      <c r="E326" s="39"/>
      <c r="F326" s="32" t="e">
        <v>#N/A</v>
      </c>
      <c r="G326" s="39"/>
      <c r="H326" s="32" t="e">
        <v>#N/A</v>
      </c>
      <c r="I326" s="39"/>
      <c r="J326" s="32">
        <v>0.0</v>
      </c>
      <c r="K326" s="33" t="e">
        <v>#N/A</v>
      </c>
      <c r="L326" s="32" t="e">
        <v>#N/A</v>
      </c>
      <c r="M326" s="32" t="e">
        <v>#N/A</v>
      </c>
      <c r="N326" s="32" t="e">
        <v>#N/A</v>
      </c>
      <c r="O326" s="32" t="e">
        <v>#N/A</v>
      </c>
      <c r="P326" s="32" t="e">
        <v>#REF!</v>
      </c>
      <c r="Q326" s="32" t="e">
        <v>#N/A</v>
      </c>
      <c r="R326" s="42" t="e">
        <v>#N/A</v>
      </c>
      <c r="S326" s="42" t="e">
        <v>#N/A</v>
      </c>
      <c r="T326" s="36">
        <v>7.0</v>
      </c>
      <c r="U326" s="36">
        <v>3.0</v>
      </c>
      <c r="V326" s="36">
        <v>7.0</v>
      </c>
      <c r="W326" s="36">
        <v>0.0</v>
      </c>
      <c r="X326" s="36">
        <v>0.0</v>
      </c>
      <c r="Y326" s="36">
        <v>17.0</v>
      </c>
    </row>
    <row r="327">
      <c r="A327" s="32" t="s">
        <v>2805</v>
      </c>
      <c r="B327" s="32" t="s">
        <v>2805</v>
      </c>
      <c r="C327" s="32">
        <v>0.0</v>
      </c>
      <c r="D327" s="32" t="e">
        <v>#N/A</v>
      </c>
      <c r="E327" s="39"/>
      <c r="F327" s="32" t="e">
        <v>#N/A</v>
      </c>
      <c r="G327" s="39"/>
      <c r="H327" s="32" t="e">
        <v>#N/A</v>
      </c>
      <c r="I327" s="39"/>
      <c r="J327" s="32">
        <v>0.0</v>
      </c>
      <c r="K327" s="33" t="e">
        <v>#N/A</v>
      </c>
      <c r="L327" s="32" t="e">
        <v>#N/A</v>
      </c>
      <c r="M327" s="32" t="e">
        <v>#N/A</v>
      </c>
      <c r="N327" s="32" t="e">
        <v>#N/A</v>
      </c>
      <c r="O327" s="32" t="e">
        <v>#N/A</v>
      </c>
      <c r="P327" s="32" t="e">
        <v>#REF!</v>
      </c>
      <c r="Q327" s="32" t="e">
        <v>#N/A</v>
      </c>
      <c r="R327" s="42" t="e">
        <v>#N/A</v>
      </c>
      <c r="S327" s="42" t="e">
        <v>#N/A</v>
      </c>
      <c r="T327" s="36">
        <v>0.0</v>
      </c>
      <c r="U327" s="36">
        <v>0.0</v>
      </c>
      <c r="V327" s="36">
        <v>16.0</v>
      </c>
      <c r="W327" s="36">
        <v>0.0</v>
      </c>
      <c r="X327" s="36">
        <v>0.0</v>
      </c>
      <c r="Y327" s="36">
        <v>16.0</v>
      </c>
    </row>
    <row r="328">
      <c r="A328" s="32" t="s">
        <v>2189</v>
      </c>
      <c r="B328" s="32" t="s">
        <v>2189</v>
      </c>
      <c r="C328" s="32" t="s">
        <v>2190</v>
      </c>
      <c r="D328" s="33" t="s">
        <v>2191</v>
      </c>
      <c r="E328" s="32" t="s">
        <v>5073</v>
      </c>
      <c r="F328" s="32" t="e">
        <v>#N/A</v>
      </c>
      <c r="G328" s="32" t="e">
        <v>#N/A</v>
      </c>
      <c r="H328" s="32" t="s">
        <v>2193</v>
      </c>
      <c r="I328" s="32" t="s">
        <v>5073</v>
      </c>
      <c r="J328" s="32" t="s">
        <v>2194</v>
      </c>
      <c r="K328" s="33" t="s">
        <v>2195</v>
      </c>
      <c r="L328" s="32" t="e">
        <v>#N/A</v>
      </c>
      <c r="M328" s="32" t="s">
        <v>2196</v>
      </c>
      <c r="N328" s="32" t="s">
        <v>5093</v>
      </c>
      <c r="O328" s="32" t="s">
        <v>52</v>
      </c>
      <c r="P328" s="32">
        <v>3999.0</v>
      </c>
      <c r="Q328" s="34">
        <v>2999.0</v>
      </c>
      <c r="R328" s="40">
        <v>2999.0</v>
      </c>
      <c r="S328" s="35">
        <v>2599.35</v>
      </c>
      <c r="T328" s="36">
        <v>3.0</v>
      </c>
      <c r="U328" s="36">
        <v>0.0</v>
      </c>
      <c r="V328" s="36">
        <v>11.0</v>
      </c>
      <c r="W328" s="36">
        <v>2.0</v>
      </c>
      <c r="X328" s="36">
        <v>0.0</v>
      </c>
      <c r="Y328" s="36">
        <v>16.0</v>
      </c>
    </row>
    <row r="329">
      <c r="A329" s="32" t="s">
        <v>887</v>
      </c>
      <c r="B329" s="32" t="s">
        <v>887</v>
      </c>
      <c r="C329" s="32" t="s">
        <v>888</v>
      </c>
      <c r="D329" s="32" t="s">
        <v>889</v>
      </c>
      <c r="E329" s="32" t="s">
        <v>5073</v>
      </c>
      <c r="F329" s="32" t="e">
        <v>#N/A</v>
      </c>
      <c r="G329" s="32" t="e">
        <v>#N/A</v>
      </c>
      <c r="H329" s="32">
        <v>0.0</v>
      </c>
      <c r="I329" s="32">
        <v>0.0</v>
      </c>
      <c r="J329" s="32" t="s">
        <v>890</v>
      </c>
      <c r="K329" s="33" t="s">
        <v>891</v>
      </c>
      <c r="L329" s="32">
        <v>3.199908E7</v>
      </c>
      <c r="M329" s="32" t="s">
        <v>892</v>
      </c>
      <c r="N329" s="32" t="s">
        <v>5108</v>
      </c>
      <c r="O329" s="32" t="s">
        <v>52</v>
      </c>
      <c r="P329" s="32">
        <v>13899.0</v>
      </c>
      <c r="Q329" s="34">
        <v>11675.0</v>
      </c>
      <c r="R329" s="40">
        <v>12499.0</v>
      </c>
      <c r="S329" s="35">
        <v>11119.2</v>
      </c>
      <c r="T329" s="36">
        <v>4.0</v>
      </c>
      <c r="U329" s="36">
        <v>0.0</v>
      </c>
      <c r="V329" s="36">
        <v>12.0</v>
      </c>
      <c r="W329" s="36">
        <v>0.0</v>
      </c>
      <c r="X329" s="36">
        <v>0.0</v>
      </c>
      <c r="Y329" s="36">
        <v>16.0</v>
      </c>
    </row>
    <row r="330">
      <c r="A330" s="32" t="s">
        <v>1042</v>
      </c>
      <c r="B330" s="32" t="s">
        <v>1042</v>
      </c>
      <c r="C330" s="32" t="s">
        <v>1043</v>
      </c>
      <c r="D330" s="32" t="s">
        <v>1044</v>
      </c>
      <c r="E330" s="32" t="s">
        <v>5073</v>
      </c>
      <c r="F330" s="32" t="e">
        <v>#N/A</v>
      </c>
      <c r="G330" s="32" t="e">
        <v>#N/A</v>
      </c>
      <c r="H330" s="32">
        <v>0.0</v>
      </c>
      <c r="I330" s="39"/>
      <c r="J330" s="32" t="s">
        <v>1045</v>
      </c>
      <c r="K330" s="33" t="s">
        <v>1046</v>
      </c>
      <c r="L330" s="32" t="e">
        <v>#N/A</v>
      </c>
      <c r="M330" s="32" t="e">
        <v>#N/A</v>
      </c>
      <c r="N330" s="32" t="s">
        <v>5108</v>
      </c>
      <c r="O330" s="32" t="s">
        <v>52</v>
      </c>
      <c r="P330" s="32">
        <v>22999.0</v>
      </c>
      <c r="Q330" s="34">
        <v>19319.0</v>
      </c>
      <c r="R330" s="40">
        <v>20699.0</v>
      </c>
      <c r="S330" s="35">
        <v>18399.2</v>
      </c>
      <c r="T330" s="36">
        <v>0.0</v>
      </c>
      <c r="U330" s="36">
        <v>0.0</v>
      </c>
      <c r="V330" s="36">
        <v>16.0</v>
      </c>
      <c r="W330" s="36">
        <v>0.0</v>
      </c>
      <c r="X330" s="36">
        <v>0.0</v>
      </c>
      <c r="Y330" s="36">
        <v>16.0</v>
      </c>
    </row>
    <row r="331">
      <c r="A331" s="32" t="s">
        <v>4235</v>
      </c>
      <c r="B331" s="32" t="s">
        <v>4235</v>
      </c>
      <c r="C331" s="32" t="s">
        <v>4236</v>
      </c>
      <c r="D331" s="32" t="s">
        <v>4237</v>
      </c>
      <c r="E331" s="32" t="s">
        <v>5073</v>
      </c>
      <c r="F331" s="32" t="e">
        <v>#N/A</v>
      </c>
      <c r="G331" s="38"/>
      <c r="H331" s="32">
        <v>0.0</v>
      </c>
      <c r="I331" s="39"/>
      <c r="J331" s="32" t="s">
        <v>4238</v>
      </c>
      <c r="K331" s="33" t="s">
        <v>4239</v>
      </c>
      <c r="L331" s="32" t="e">
        <v>#N/A</v>
      </c>
      <c r="M331" s="32" t="s">
        <v>4240</v>
      </c>
      <c r="N331" s="32" t="s">
        <v>5118</v>
      </c>
      <c r="O331" s="32" t="s">
        <v>52</v>
      </c>
      <c r="P331" s="32">
        <v>20699.0</v>
      </c>
      <c r="Q331" s="34">
        <v>18629.0</v>
      </c>
      <c r="R331" s="40">
        <v>19899.0</v>
      </c>
      <c r="S331" s="35">
        <v>18215.34</v>
      </c>
      <c r="T331" s="36">
        <v>0.0</v>
      </c>
      <c r="U331" s="36">
        <v>0.0</v>
      </c>
      <c r="V331" s="36">
        <v>16.0</v>
      </c>
      <c r="W331" s="36">
        <v>0.0</v>
      </c>
      <c r="X331" s="36">
        <v>0.0</v>
      </c>
      <c r="Y331" s="36">
        <v>16.0</v>
      </c>
    </row>
    <row r="332">
      <c r="A332" s="32" t="s">
        <v>4481</v>
      </c>
      <c r="B332" s="32" t="s">
        <v>4481</v>
      </c>
      <c r="C332" s="32" t="s">
        <v>4482</v>
      </c>
      <c r="D332" s="32" t="s">
        <v>4483</v>
      </c>
      <c r="E332" s="32" t="s">
        <v>5102</v>
      </c>
      <c r="F332" s="32" t="e">
        <v>#N/A</v>
      </c>
      <c r="G332" s="39"/>
      <c r="H332" s="32">
        <v>0.0</v>
      </c>
      <c r="I332" s="39"/>
      <c r="J332" s="32" t="s">
        <v>4484</v>
      </c>
      <c r="K332" s="33" t="s">
        <v>4485</v>
      </c>
      <c r="L332" s="32" t="e">
        <v>#N/A</v>
      </c>
      <c r="M332" s="32" t="e">
        <v>#N/A</v>
      </c>
      <c r="N332" s="32" t="s">
        <v>5077</v>
      </c>
      <c r="O332" s="32" t="s">
        <v>4730</v>
      </c>
      <c r="P332" s="32">
        <v>1199.0</v>
      </c>
      <c r="Q332" s="34">
        <v>1139.0</v>
      </c>
      <c r="R332" s="40">
        <v>1139.0</v>
      </c>
      <c r="S332" s="35">
        <v>1079.1</v>
      </c>
      <c r="T332" s="36">
        <v>0.0</v>
      </c>
      <c r="U332" s="36">
        <v>0.0</v>
      </c>
      <c r="V332" s="36">
        <v>10.0</v>
      </c>
      <c r="W332" s="36">
        <v>0.0</v>
      </c>
      <c r="X332" s="36">
        <v>6.0</v>
      </c>
      <c r="Y332" s="36">
        <v>16.0</v>
      </c>
    </row>
    <row r="333">
      <c r="A333" s="32" t="s">
        <v>4506</v>
      </c>
      <c r="B333" s="32" t="s">
        <v>4506</v>
      </c>
      <c r="C333" s="32" t="s">
        <v>4507</v>
      </c>
      <c r="D333" s="32" t="s">
        <v>4508</v>
      </c>
      <c r="E333" s="32" t="s">
        <v>5073</v>
      </c>
      <c r="F333" s="32" t="e">
        <v>#N/A</v>
      </c>
      <c r="G333" s="39"/>
      <c r="H333" s="32">
        <v>0.0</v>
      </c>
      <c r="I333" s="39"/>
      <c r="J333" s="32" t="s">
        <v>4509</v>
      </c>
      <c r="K333" s="33" t="s">
        <v>4510</v>
      </c>
      <c r="L333" s="32" t="e">
        <v>#N/A</v>
      </c>
      <c r="M333" s="32" t="e">
        <v>#N/A</v>
      </c>
      <c r="N333" s="32" t="s">
        <v>5077</v>
      </c>
      <c r="O333" s="32" t="s">
        <v>4730</v>
      </c>
      <c r="P333" s="32">
        <v>1199.0</v>
      </c>
      <c r="Q333" s="34">
        <v>1139.0</v>
      </c>
      <c r="R333" s="40">
        <v>1139.0</v>
      </c>
      <c r="S333" s="35">
        <v>1079.1</v>
      </c>
      <c r="T333" s="36">
        <v>5.0</v>
      </c>
      <c r="U333" s="36">
        <v>1.0</v>
      </c>
      <c r="V333" s="36">
        <v>8.0</v>
      </c>
      <c r="W333" s="36">
        <v>0.0</v>
      </c>
      <c r="X333" s="36">
        <v>2.0</v>
      </c>
      <c r="Y333" s="36">
        <v>16.0</v>
      </c>
    </row>
    <row r="334">
      <c r="A334" s="32" t="s">
        <v>4581</v>
      </c>
      <c r="B334" s="32" t="s">
        <v>4581</v>
      </c>
      <c r="C334" s="32" t="s">
        <v>4582</v>
      </c>
      <c r="D334" s="32" t="s">
        <v>4583</v>
      </c>
      <c r="E334" s="32" t="s">
        <v>5073</v>
      </c>
      <c r="F334" s="32" t="e">
        <v>#N/A</v>
      </c>
      <c r="G334" s="39"/>
      <c r="H334" s="32">
        <v>0.0</v>
      </c>
      <c r="I334" s="39"/>
      <c r="J334" s="32" t="s">
        <v>4584</v>
      </c>
      <c r="K334" s="33" t="s">
        <v>4585</v>
      </c>
      <c r="L334" s="32" t="e">
        <v>#N/A</v>
      </c>
      <c r="M334" s="32" t="e">
        <v>#N/A</v>
      </c>
      <c r="N334" s="32" t="s">
        <v>5077</v>
      </c>
      <c r="O334" s="32" t="s">
        <v>4730</v>
      </c>
      <c r="P334" s="32">
        <v>1599.0</v>
      </c>
      <c r="Q334" s="34">
        <v>1519.0</v>
      </c>
      <c r="R334" s="40">
        <v>1519.0</v>
      </c>
      <c r="S334" s="35">
        <v>1439.1</v>
      </c>
      <c r="T334" s="36">
        <v>6.0</v>
      </c>
      <c r="U334" s="36">
        <v>0.0</v>
      </c>
      <c r="V334" s="36">
        <v>7.0</v>
      </c>
      <c r="W334" s="36">
        <v>0.0</v>
      </c>
      <c r="X334" s="36">
        <v>3.0</v>
      </c>
      <c r="Y334" s="36">
        <v>16.0</v>
      </c>
    </row>
    <row r="335">
      <c r="A335" s="32" t="s">
        <v>4984</v>
      </c>
      <c r="B335" s="32" t="s">
        <v>4984</v>
      </c>
      <c r="C335" s="32" t="s">
        <v>4985</v>
      </c>
      <c r="D335" s="32" t="s">
        <v>4986</v>
      </c>
      <c r="E335" s="32" t="s">
        <v>5102</v>
      </c>
      <c r="F335" s="38"/>
      <c r="G335" s="38"/>
      <c r="H335" s="38"/>
      <c r="I335" s="38"/>
      <c r="J335" s="32" t="s">
        <v>4987</v>
      </c>
      <c r="K335" s="38"/>
      <c r="L335" s="38"/>
      <c r="M335" s="38"/>
      <c r="N335" s="32" t="s">
        <v>5077</v>
      </c>
      <c r="O335" s="32" t="s">
        <v>4730</v>
      </c>
      <c r="P335" s="32">
        <v>1599.0</v>
      </c>
      <c r="Q335" s="44">
        <v>1519.0</v>
      </c>
      <c r="R335" s="40">
        <v>1519.0</v>
      </c>
      <c r="S335" s="35">
        <v>1439.1</v>
      </c>
      <c r="T335" s="36">
        <v>10.0</v>
      </c>
      <c r="U335" s="36">
        <v>0.0</v>
      </c>
      <c r="V335" s="36">
        <v>6.0</v>
      </c>
      <c r="W335" s="36">
        <v>0.0</v>
      </c>
      <c r="X335" s="36">
        <v>0.0</v>
      </c>
      <c r="Y335" s="36">
        <v>16.0</v>
      </c>
    </row>
    <row r="336">
      <c r="A336" s="32" t="s">
        <v>112</v>
      </c>
      <c r="B336" s="32" t="s">
        <v>112</v>
      </c>
      <c r="C336" s="32" t="s">
        <v>113</v>
      </c>
      <c r="D336" s="32" t="s">
        <v>114</v>
      </c>
      <c r="E336" s="32" t="s">
        <v>5073</v>
      </c>
      <c r="F336" s="32" t="e">
        <v>#N/A</v>
      </c>
      <c r="G336" s="39"/>
      <c r="H336" s="32">
        <v>0.0</v>
      </c>
      <c r="I336" s="39"/>
      <c r="J336" s="32" t="s">
        <v>115</v>
      </c>
      <c r="K336" s="33" t="s">
        <v>116</v>
      </c>
      <c r="L336" s="32" t="e">
        <v>#N/A</v>
      </c>
      <c r="M336" s="32" t="e">
        <v>#N/A</v>
      </c>
      <c r="N336" s="32" t="s">
        <v>51</v>
      </c>
      <c r="O336" s="32" t="s">
        <v>52</v>
      </c>
      <c r="P336" s="32">
        <v>9019.0</v>
      </c>
      <c r="Q336" s="34">
        <v>7305.0</v>
      </c>
      <c r="R336" s="40">
        <v>7799.0</v>
      </c>
      <c r="S336" s="35">
        <v>6854.44</v>
      </c>
      <c r="T336" s="36">
        <v>5.0</v>
      </c>
      <c r="U336" s="36">
        <v>1.0</v>
      </c>
      <c r="V336" s="36">
        <v>6.0</v>
      </c>
      <c r="W336" s="36">
        <v>1.0</v>
      </c>
      <c r="X336" s="36">
        <v>3.0</v>
      </c>
      <c r="Y336" s="36">
        <v>16.0</v>
      </c>
    </row>
    <row r="337">
      <c r="A337" s="32" t="s">
        <v>1815</v>
      </c>
      <c r="B337" s="32" t="s">
        <v>1815</v>
      </c>
      <c r="C337" s="32" t="s">
        <v>1816</v>
      </c>
      <c r="D337" s="32" t="s">
        <v>1817</v>
      </c>
      <c r="E337" s="32" t="s">
        <v>5073</v>
      </c>
      <c r="F337" s="32" t="e">
        <v>#N/A</v>
      </c>
      <c r="G337" s="39"/>
      <c r="H337" s="32" t="s">
        <v>1818</v>
      </c>
      <c r="I337" s="32" t="s">
        <v>5073</v>
      </c>
      <c r="J337" s="32" t="s">
        <v>1819</v>
      </c>
      <c r="K337" s="33" t="s">
        <v>1820</v>
      </c>
      <c r="L337" s="32">
        <v>3.2783808E7</v>
      </c>
      <c r="M337" s="32" t="s">
        <v>1821</v>
      </c>
      <c r="N337" s="32" t="s">
        <v>5109</v>
      </c>
      <c r="O337" s="32" t="s">
        <v>52</v>
      </c>
      <c r="P337" s="32">
        <v>34999.0</v>
      </c>
      <c r="Q337" s="34">
        <v>31499.0</v>
      </c>
      <c r="R337" s="40">
        <v>33199.0</v>
      </c>
      <c r="S337" s="35">
        <v>29399.16</v>
      </c>
      <c r="T337" s="36">
        <v>4.0</v>
      </c>
      <c r="U337" s="36">
        <v>1.0</v>
      </c>
      <c r="V337" s="36">
        <v>10.0</v>
      </c>
      <c r="W337" s="36">
        <v>1.0</v>
      </c>
      <c r="X337" s="36">
        <v>0.0</v>
      </c>
      <c r="Y337" s="36">
        <v>16.0</v>
      </c>
    </row>
    <row r="338">
      <c r="A338" s="32" t="s">
        <v>1520</v>
      </c>
      <c r="B338" s="32" t="s">
        <v>1520</v>
      </c>
      <c r="C338" s="32" t="s">
        <v>1521</v>
      </c>
      <c r="D338" s="32" t="s">
        <v>1522</v>
      </c>
      <c r="E338" s="32" t="s">
        <v>5073</v>
      </c>
      <c r="F338" s="32" t="e">
        <v>#N/A</v>
      </c>
      <c r="G338" s="39"/>
      <c r="H338" s="32" t="s">
        <v>1520</v>
      </c>
      <c r="I338" s="32" t="s">
        <v>5073</v>
      </c>
      <c r="J338" s="32" t="s">
        <v>1520</v>
      </c>
      <c r="K338" s="33" t="s">
        <v>1523</v>
      </c>
      <c r="L338" s="32">
        <v>3.2784184E7</v>
      </c>
      <c r="M338" s="32" t="s">
        <v>1524</v>
      </c>
      <c r="N338" s="32" t="s">
        <v>5112</v>
      </c>
      <c r="O338" s="32" t="s">
        <v>52</v>
      </c>
      <c r="P338" s="32">
        <v>13999.0</v>
      </c>
      <c r="Q338" s="34">
        <v>12599.0</v>
      </c>
      <c r="R338" s="40">
        <v>13299.0</v>
      </c>
      <c r="S338" s="35">
        <v>10779.23</v>
      </c>
      <c r="T338" s="36">
        <v>9.0</v>
      </c>
      <c r="U338" s="36">
        <v>0.0</v>
      </c>
      <c r="V338" s="36">
        <v>7.0</v>
      </c>
      <c r="W338" s="36">
        <v>0.0</v>
      </c>
      <c r="X338" s="36">
        <v>0.0</v>
      </c>
      <c r="Y338" s="36">
        <v>16.0</v>
      </c>
    </row>
    <row r="339">
      <c r="A339" s="32" t="s">
        <v>3020</v>
      </c>
      <c r="B339" s="32" t="s">
        <v>3020</v>
      </c>
      <c r="C339" s="32" t="s">
        <v>3021</v>
      </c>
      <c r="D339" s="32" t="s">
        <v>3022</v>
      </c>
      <c r="E339" s="32" t="s">
        <v>5073</v>
      </c>
      <c r="F339" s="32" t="e">
        <v>#N/A</v>
      </c>
      <c r="G339" s="39"/>
      <c r="H339" s="32" t="s">
        <v>3023</v>
      </c>
      <c r="I339" s="32" t="s">
        <v>5073</v>
      </c>
      <c r="J339" s="32" t="s">
        <v>3024</v>
      </c>
      <c r="K339" s="33" t="s">
        <v>3025</v>
      </c>
      <c r="L339" s="32" t="e">
        <v>#N/A</v>
      </c>
      <c r="M339" s="32" t="e">
        <v>#N/A</v>
      </c>
      <c r="N339" s="32" t="s">
        <v>5127</v>
      </c>
      <c r="O339" s="32" t="s">
        <v>4730</v>
      </c>
      <c r="P339" s="32">
        <v>2089.0</v>
      </c>
      <c r="Q339" s="34">
        <v>1899.0</v>
      </c>
      <c r="R339" s="40">
        <v>1899.0</v>
      </c>
      <c r="S339" s="35">
        <v>1799.0</v>
      </c>
      <c r="T339" s="36">
        <v>0.0</v>
      </c>
      <c r="U339" s="36">
        <v>0.0</v>
      </c>
      <c r="V339" s="36">
        <v>16.0</v>
      </c>
      <c r="W339" s="36">
        <v>0.0</v>
      </c>
      <c r="X339" s="36">
        <v>0.0</v>
      </c>
      <c r="Y339" s="36">
        <v>16.0</v>
      </c>
    </row>
    <row r="340">
      <c r="A340" s="32" t="s">
        <v>4458</v>
      </c>
      <c r="B340" s="32" t="s">
        <v>4458</v>
      </c>
      <c r="C340" s="32">
        <v>0.0</v>
      </c>
      <c r="D340" s="32" t="e">
        <v>#N/A</v>
      </c>
      <c r="E340" s="39"/>
      <c r="F340" s="32" t="e">
        <v>#N/A</v>
      </c>
      <c r="G340" s="39"/>
      <c r="H340" s="32">
        <v>0.0</v>
      </c>
      <c r="I340" s="39"/>
      <c r="J340" s="32" t="s">
        <v>4460</v>
      </c>
      <c r="K340" s="33" t="e">
        <v>#N/A</v>
      </c>
      <c r="L340" s="32" t="e">
        <v>#N/A</v>
      </c>
      <c r="M340" s="32" t="e">
        <v>#N/A</v>
      </c>
      <c r="N340" s="32" t="s">
        <v>5077</v>
      </c>
      <c r="O340" s="32" t="s">
        <v>4730</v>
      </c>
      <c r="P340" s="32">
        <v>999.0</v>
      </c>
      <c r="Q340" s="34">
        <v>949.0</v>
      </c>
      <c r="R340" s="35">
        <v>949.0</v>
      </c>
      <c r="S340" s="35">
        <v>899.1</v>
      </c>
      <c r="T340" s="36">
        <v>2.0</v>
      </c>
      <c r="U340" s="36">
        <v>0.0</v>
      </c>
      <c r="V340" s="36">
        <v>13.0</v>
      </c>
      <c r="W340" s="36">
        <v>0.0</v>
      </c>
      <c r="X340" s="36">
        <v>0.0</v>
      </c>
      <c r="Y340" s="36">
        <v>15.0</v>
      </c>
    </row>
    <row r="341">
      <c r="A341" s="32" t="s">
        <v>998</v>
      </c>
      <c r="B341" s="32" t="s">
        <v>998</v>
      </c>
      <c r="C341" s="32" t="s">
        <v>999</v>
      </c>
      <c r="D341" s="32" t="s">
        <v>1000</v>
      </c>
      <c r="E341" s="32" t="s">
        <v>5102</v>
      </c>
      <c r="F341" s="32" t="e">
        <v>#N/A</v>
      </c>
      <c r="G341" s="32" t="e">
        <v>#N/A</v>
      </c>
      <c r="H341" s="32" t="s">
        <v>1001</v>
      </c>
      <c r="I341" s="32" t="s">
        <v>5117</v>
      </c>
      <c r="J341" s="32" t="s">
        <v>1002</v>
      </c>
      <c r="K341" s="33" t="s">
        <v>1003</v>
      </c>
      <c r="L341" s="32" t="e">
        <v>#N/A</v>
      </c>
      <c r="M341" s="32" t="e">
        <v>#N/A</v>
      </c>
      <c r="N341" s="32" t="s">
        <v>5108</v>
      </c>
      <c r="O341" s="32" t="s">
        <v>52</v>
      </c>
      <c r="P341" s="32">
        <v>19999.0</v>
      </c>
      <c r="Q341" s="34">
        <v>16799.0</v>
      </c>
      <c r="R341" s="40">
        <v>17999.0</v>
      </c>
      <c r="S341" s="35">
        <v>15999.2</v>
      </c>
      <c r="T341" s="36">
        <v>0.0</v>
      </c>
      <c r="U341" s="36">
        <v>0.0</v>
      </c>
      <c r="V341" s="36">
        <v>15.0</v>
      </c>
      <c r="W341" s="36">
        <v>0.0</v>
      </c>
      <c r="X341" s="36">
        <v>0.0</v>
      </c>
      <c r="Y341" s="36">
        <v>15.0</v>
      </c>
    </row>
    <row r="342">
      <c r="A342" s="32" t="s">
        <v>4207</v>
      </c>
      <c r="B342" s="32" t="s">
        <v>4207</v>
      </c>
      <c r="C342" s="32" t="s">
        <v>4208</v>
      </c>
      <c r="D342" s="32" t="s">
        <v>4209</v>
      </c>
      <c r="E342" s="32" t="s">
        <v>5073</v>
      </c>
      <c r="F342" s="32" t="e">
        <v>#N/A</v>
      </c>
      <c r="G342" s="38"/>
      <c r="H342" s="32">
        <v>0.0</v>
      </c>
      <c r="I342" s="39"/>
      <c r="J342" s="32" t="s">
        <v>4210</v>
      </c>
      <c r="K342" s="33" t="s">
        <v>4211</v>
      </c>
      <c r="L342" s="32" t="e">
        <v>#N/A</v>
      </c>
      <c r="M342" s="32" t="s">
        <v>4212</v>
      </c>
      <c r="N342" s="32" t="s">
        <v>5118</v>
      </c>
      <c r="O342" s="32" t="s">
        <v>52</v>
      </c>
      <c r="P342" s="32">
        <v>18199.0</v>
      </c>
      <c r="Q342" s="34">
        <v>16379.0</v>
      </c>
      <c r="R342" s="40">
        <v>17499.0</v>
      </c>
      <c r="S342" s="35">
        <v>16037.34</v>
      </c>
      <c r="T342" s="36">
        <v>0.0</v>
      </c>
      <c r="U342" s="36">
        <v>0.0</v>
      </c>
      <c r="V342" s="36">
        <v>15.0</v>
      </c>
      <c r="W342" s="36">
        <v>0.0</v>
      </c>
      <c r="X342" s="36">
        <v>0.0</v>
      </c>
      <c r="Y342" s="36">
        <v>15.0</v>
      </c>
    </row>
    <row r="343">
      <c r="A343" s="32" t="s">
        <v>4296</v>
      </c>
      <c r="B343" s="32" t="s">
        <v>4296</v>
      </c>
      <c r="C343" s="32" t="s">
        <v>4297</v>
      </c>
      <c r="D343" s="32" t="s">
        <v>4298</v>
      </c>
      <c r="E343" s="32" t="s">
        <v>5073</v>
      </c>
      <c r="F343" s="32" t="e">
        <v>#N/A</v>
      </c>
      <c r="G343" s="38"/>
      <c r="H343" s="32">
        <v>0.0</v>
      </c>
      <c r="I343" s="39"/>
      <c r="J343" s="32" t="s">
        <v>4299</v>
      </c>
      <c r="K343" s="33" t="s">
        <v>4300</v>
      </c>
      <c r="L343" s="32" t="e">
        <v>#N/A</v>
      </c>
      <c r="M343" s="32" t="s">
        <v>4301</v>
      </c>
      <c r="N343" s="32" t="s">
        <v>5118</v>
      </c>
      <c r="O343" s="32" t="s">
        <v>52</v>
      </c>
      <c r="P343" s="32">
        <v>13199.0</v>
      </c>
      <c r="Q343" s="34">
        <v>11879.0</v>
      </c>
      <c r="R343" s="40">
        <v>12699.0</v>
      </c>
      <c r="S343" s="35">
        <v>11615.34</v>
      </c>
      <c r="T343" s="36">
        <v>1.0</v>
      </c>
      <c r="U343" s="36">
        <v>0.0</v>
      </c>
      <c r="V343" s="36">
        <v>9.0</v>
      </c>
      <c r="W343" s="36">
        <v>3.0</v>
      </c>
      <c r="X343" s="36">
        <v>2.0</v>
      </c>
      <c r="Y343" s="36">
        <v>15.0</v>
      </c>
    </row>
    <row r="344">
      <c r="A344" s="32" t="s">
        <v>4120</v>
      </c>
      <c r="B344" s="32" t="s">
        <v>4120</v>
      </c>
      <c r="C344" s="32" t="s">
        <v>4121</v>
      </c>
      <c r="D344" s="32" t="s">
        <v>4122</v>
      </c>
      <c r="E344" s="32" t="s">
        <v>5073</v>
      </c>
      <c r="F344" s="32" t="e">
        <v>#N/A</v>
      </c>
      <c r="G344" s="38"/>
      <c r="H344" s="32">
        <v>0.0</v>
      </c>
      <c r="I344" s="39"/>
      <c r="J344" s="32" t="s">
        <v>4123</v>
      </c>
      <c r="K344" s="33" t="s">
        <v>4124</v>
      </c>
      <c r="L344" s="32" t="e">
        <v>#N/A</v>
      </c>
      <c r="M344" s="32" t="s">
        <v>4125</v>
      </c>
      <c r="N344" s="32" t="s">
        <v>5118</v>
      </c>
      <c r="O344" s="32" t="s">
        <v>52</v>
      </c>
      <c r="P344" s="32">
        <v>14999.0</v>
      </c>
      <c r="Q344" s="34">
        <v>13499.0</v>
      </c>
      <c r="R344" s="40">
        <v>14399.0</v>
      </c>
      <c r="S344" s="35">
        <v>13199.34</v>
      </c>
      <c r="T344" s="36">
        <v>0.0</v>
      </c>
      <c r="U344" s="36">
        <v>0.0</v>
      </c>
      <c r="V344" s="36">
        <v>0.0</v>
      </c>
      <c r="W344" s="36">
        <v>10.0</v>
      </c>
      <c r="X344" s="36">
        <v>5.0</v>
      </c>
      <c r="Y344" s="36">
        <v>15.0</v>
      </c>
    </row>
    <row r="345">
      <c r="A345" s="32" t="s">
        <v>3008</v>
      </c>
      <c r="B345" s="32" t="s">
        <v>3008</v>
      </c>
      <c r="C345" s="32" t="s">
        <v>3009</v>
      </c>
      <c r="D345" s="32" t="s">
        <v>3010</v>
      </c>
      <c r="E345" s="32" t="s">
        <v>5073</v>
      </c>
      <c r="F345" s="32" t="e">
        <v>#N/A</v>
      </c>
      <c r="G345" s="38"/>
      <c r="H345" s="32" t="s">
        <v>3011</v>
      </c>
      <c r="I345" s="32" t="s">
        <v>5073</v>
      </c>
      <c r="J345" s="32" t="s">
        <v>3012</v>
      </c>
      <c r="K345" s="33" t="s">
        <v>3013</v>
      </c>
      <c r="L345" s="32" t="e">
        <v>#N/A</v>
      </c>
      <c r="M345" s="32" t="e">
        <v>#N/A</v>
      </c>
      <c r="N345" s="32" t="s">
        <v>5131</v>
      </c>
      <c r="O345" s="32" t="s">
        <v>4730</v>
      </c>
      <c r="P345" s="32">
        <v>2089.0</v>
      </c>
      <c r="Q345" s="34">
        <v>1799.0</v>
      </c>
      <c r="R345" s="40">
        <v>1799.0</v>
      </c>
      <c r="S345" s="35">
        <v>1699.0</v>
      </c>
      <c r="T345" s="36">
        <v>0.0</v>
      </c>
      <c r="U345" s="36">
        <v>0.0</v>
      </c>
      <c r="V345" s="36">
        <v>15.0</v>
      </c>
      <c r="W345" s="36">
        <v>0.0</v>
      </c>
      <c r="X345" s="36">
        <v>0.0</v>
      </c>
      <c r="Y345" s="36">
        <v>15.0</v>
      </c>
    </row>
    <row r="346">
      <c r="A346" s="32" t="s">
        <v>2012</v>
      </c>
      <c r="B346" s="32" t="s">
        <v>2012</v>
      </c>
      <c r="C346" s="32" t="s">
        <v>2013</v>
      </c>
      <c r="D346" s="32" t="s">
        <v>2014</v>
      </c>
      <c r="E346" s="32" t="s">
        <v>5073</v>
      </c>
      <c r="F346" s="32" t="e">
        <v>#N/A</v>
      </c>
      <c r="G346" s="38"/>
      <c r="H346" s="32" t="s">
        <v>2015</v>
      </c>
      <c r="I346" s="32" t="s">
        <v>5073</v>
      </c>
      <c r="J346" s="32" t="s">
        <v>2016</v>
      </c>
      <c r="K346" s="33" t="s">
        <v>2017</v>
      </c>
      <c r="L346" s="32" t="e">
        <v>#N/A</v>
      </c>
      <c r="M346" s="32" t="e">
        <v>#N/A</v>
      </c>
      <c r="N346" s="32" t="s">
        <v>5132</v>
      </c>
      <c r="O346" s="32" t="s">
        <v>4730</v>
      </c>
      <c r="P346" s="32">
        <v>7499.0</v>
      </c>
      <c r="Q346" s="34">
        <v>5619.0</v>
      </c>
      <c r="R346" s="40">
        <v>6399.0</v>
      </c>
      <c r="S346" s="35">
        <v>5249.3</v>
      </c>
      <c r="T346" s="36">
        <v>10.0</v>
      </c>
      <c r="U346" s="36">
        <v>3.0</v>
      </c>
      <c r="V346" s="36">
        <v>0.0</v>
      </c>
      <c r="W346" s="36">
        <v>0.0</v>
      </c>
      <c r="X346" s="36">
        <v>2.0</v>
      </c>
      <c r="Y346" s="36">
        <v>15.0</v>
      </c>
    </row>
    <row r="347">
      <c r="A347" s="32" t="s">
        <v>2000</v>
      </c>
      <c r="B347" s="32" t="s">
        <v>2000</v>
      </c>
      <c r="C347" s="32" t="s">
        <v>2001</v>
      </c>
      <c r="D347" s="32" t="s">
        <v>2002</v>
      </c>
      <c r="E347" s="32" t="s">
        <v>5073</v>
      </c>
      <c r="F347" s="32" t="s">
        <v>2003</v>
      </c>
      <c r="G347" s="32" t="s">
        <v>5102</v>
      </c>
      <c r="H347" s="32" t="s">
        <v>2004</v>
      </c>
      <c r="I347" s="32" t="s">
        <v>5073</v>
      </c>
      <c r="J347" s="32" t="s">
        <v>2005</v>
      </c>
      <c r="K347" s="33" t="s">
        <v>2006</v>
      </c>
      <c r="L347" s="32" t="e">
        <v>#N/A</v>
      </c>
      <c r="M347" s="32" t="e">
        <v>#N/A</v>
      </c>
      <c r="N347" s="32" t="s">
        <v>5132</v>
      </c>
      <c r="O347" s="32" t="s">
        <v>4730</v>
      </c>
      <c r="P347" s="32">
        <v>6999.0</v>
      </c>
      <c r="Q347" s="34">
        <v>5239.0</v>
      </c>
      <c r="R347" s="40">
        <v>5999.0</v>
      </c>
      <c r="S347" s="35">
        <v>4899.3</v>
      </c>
      <c r="T347" s="36">
        <v>2.0</v>
      </c>
      <c r="U347" s="36">
        <v>2.0</v>
      </c>
      <c r="V347" s="36">
        <v>10.0</v>
      </c>
      <c r="W347" s="36">
        <v>0.0</v>
      </c>
      <c r="X347" s="36">
        <v>1.0</v>
      </c>
      <c r="Y347" s="36">
        <v>15.0</v>
      </c>
    </row>
    <row r="348">
      <c r="A348" s="32" t="s">
        <v>1419</v>
      </c>
      <c r="B348" s="32" t="s">
        <v>1419</v>
      </c>
      <c r="C348" s="32" t="s">
        <v>1420</v>
      </c>
      <c r="D348" s="32" t="s">
        <v>1421</v>
      </c>
      <c r="E348" s="32" t="s">
        <v>5073</v>
      </c>
      <c r="F348" s="32" t="e">
        <v>#N/A</v>
      </c>
      <c r="G348" s="39"/>
      <c r="H348" s="32" t="s">
        <v>1422</v>
      </c>
      <c r="I348" s="32" t="s">
        <v>5073</v>
      </c>
      <c r="J348" s="32" t="s">
        <v>1423</v>
      </c>
      <c r="K348" s="33" t="s">
        <v>1424</v>
      </c>
      <c r="L348" s="32">
        <v>3.1818468E7</v>
      </c>
      <c r="M348" s="32" t="e">
        <v>#N/A</v>
      </c>
      <c r="N348" s="32" t="s">
        <v>5089</v>
      </c>
      <c r="O348" s="32" t="s">
        <v>4730</v>
      </c>
      <c r="P348" s="32">
        <v>2999.0</v>
      </c>
      <c r="Q348" s="34">
        <v>2449.0</v>
      </c>
      <c r="R348" s="40">
        <v>2449.0</v>
      </c>
      <c r="S348" s="35">
        <v>2399.2</v>
      </c>
      <c r="T348" s="36">
        <v>0.0</v>
      </c>
      <c r="U348" s="36">
        <v>0.0</v>
      </c>
      <c r="V348" s="36">
        <v>15.0</v>
      </c>
      <c r="W348" s="36">
        <v>0.0</v>
      </c>
      <c r="X348" s="36">
        <v>0.0</v>
      </c>
      <c r="Y348" s="36">
        <v>15.0</v>
      </c>
    </row>
    <row r="349">
      <c r="A349" s="32" t="s">
        <v>1369</v>
      </c>
      <c r="B349" s="32" t="s">
        <v>1369</v>
      </c>
      <c r="C349" s="32" t="s">
        <v>1370</v>
      </c>
      <c r="D349" s="32" t="s">
        <v>1371</v>
      </c>
      <c r="E349" s="32" t="s">
        <v>5073</v>
      </c>
      <c r="F349" s="32" t="e">
        <v>#N/A</v>
      </c>
      <c r="G349" s="39"/>
      <c r="H349" s="32" t="s">
        <v>1372</v>
      </c>
      <c r="I349" s="32" t="s">
        <v>5073</v>
      </c>
      <c r="J349" s="32" t="s">
        <v>1373</v>
      </c>
      <c r="K349" s="33" t="s">
        <v>1374</v>
      </c>
      <c r="L349" s="32">
        <v>3.1818358E7</v>
      </c>
      <c r="M349" s="32" t="e">
        <v>#N/A</v>
      </c>
      <c r="N349" s="32" t="s">
        <v>5089</v>
      </c>
      <c r="O349" s="32" t="s">
        <v>4730</v>
      </c>
      <c r="P349" s="32">
        <v>2649.0</v>
      </c>
      <c r="Q349" s="34">
        <v>2164.0</v>
      </c>
      <c r="R349" s="40">
        <v>2199.0</v>
      </c>
      <c r="S349" s="35">
        <v>2119.2</v>
      </c>
      <c r="T349" s="36">
        <v>0.0</v>
      </c>
      <c r="U349" s="36">
        <v>0.0</v>
      </c>
      <c r="V349" s="36">
        <v>15.0</v>
      </c>
      <c r="W349" s="36">
        <v>0.0</v>
      </c>
      <c r="X349" s="36">
        <v>0.0</v>
      </c>
      <c r="Y349" s="36">
        <v>15.0</v>
      </c>
    </row>
    <row r="350">
      <c r="A350" s="32" t="s">
        <v>2728</v>
      </c>
      <c r="B350" s="32" t="s">
        <v>2728</v>
      </c>
      <c r="C350" s="32" t="s">
        <v>2729</v>
      </c>
      <c r="D350" s="32" t="s">
        <v>2730</v>
      </c>
      <c r="E350" s="32" t="s">
        <v>5073</v>
      </c>
      <c r="F350" s="32" t="e">
        <v>#N/A</v>
      </c>
      <c r="G350" s="39"/>
      <c r="H350" s="32" t="s">
        <v>2728</v>
      </c>
      <c r="I350" s="32" t="s">
        <v>5073</v>
      </c>
      <c r="J350" s="32" t="s">
        <v>2731</v>
      </c>
      <c r="K350" s="33" t="s">
        <v>2732</v>
      </c>
      <c r="L350" s="32">
        <v>3.1818403E7</v>
      </c>
      <c r="M350" s="32" t="e">
        <v>#N/A</v>
      </c>
      <c r="N350" s="32" t="s">
        <v>5107</v>
      </c>
      <c r="O350" s="32" t="s">
        <v>4730</v>
      </c>
      <c r="P350" s="32">
        <v>1989.0</v>
      </c>
      <c r="Q350" s="34">
        <v>1628.0</v>
      </c>
      <c r="R350" s="40">
        <v>1628.0</v>
      </c>
      <c r="S350" s="35">
        <v>1491.75</v>
      </c>
      <c r="T350" s="36">
        <v>2.0</v>
      </c>
      <c r="U350" s="36">
        <v>0.0</v>
      </c>
      <c r="V350" s="36">
        <v>13.0</v>
      </c>
      <c r="W350" s="36">
        <v>0.0</v>
      </c>
      <c r="X350" s="36">
        <v>0.0</v>
      </c>
      <c r="Y350" s="36">
        <v>15.0</v>
      </c>
    </row>
    <row r="351">
      <c r="A351" s="32" t="s">
        <v>1874</v>
      </c>
      <c r="B351" s="32" t="s">
        <v>1874</v>
      </c>
      <c r="C351" s="32" t="s">
        <v>1875</v>
      </c>
      <c r="D351" s="32" t="s">
        <v>1876</v>
      </c>
      <c r="E351" s="32" t="s">
        <v>5073</v>
      </c>
      <c r="F351" s="32" t="e">
        <v>#N/A</v>
      </c>
      <c r="G351" s="39"/>
      <c r="H351" s="32" t="s">
        <v>1877</v>
      </c>
      <c r="I351" s="32" t="s">
        <v>5073</v>
      </c>
      <c r="J351" s="32" t="s">
        <v>1878</v>
      </c>
      <c r="K351" s="33" t="s">
        <v>1879</v>
      </c>
      <c r="L351" s="32">
        <v>3.1999087E7</v>
      </c>
      <c r="M351" s="32" t="s">
        <v>1880</v>
      </c>
      <c r="N351" s="32" t="s">
        <v>5109</v>
      </c>
      <c r="O351" s="32" t="s">
        <v>52</v>
      </c>
      <c r="P351" s="32">
        <v>34999.0</v>
      </c>
      <c r="Q351" s="34">
        <v>31499.0</v>
      </c>
      <c r="R351" s="40">
        <v>33199.0</v>
      </c>
      <c r="S351" s="35">
        <v>29399.16</v>
      </c>
      <c r="T351" s="36">
        <v>4.0</v>
      </c>
      <c r="U351" s="36">
        <v>4.0</v>
      </c>
      <c r="V351" s="36">
        <v>1.0</v>
      </c>
      <c r="W351" s="36">
        <v>6.0</v>
      </c>
      <c r="X351" s="36">
        <v>0.0</v>
      </c>
      <c r="Y351" s="36">
        <v>15.0</v>
      </c>
    </row>
    <row r="352">
      <c r="A352" s="32" t="s">
        <v>3265</v>
      </c>
      <c r="B352" s="32" t="s">
        <v>3265</v>
      </c>
      <c r="C352" s="32" t="s">
        <v>3266</v>
      </c>
      <c r="D352" s="32" t="s">
        <v>3267</v>
      </c>
      <c r="E352" s="32" t="s">
        <v>5073</v>
      </c>
      <c r="F352" s="32" t="e">
        <v>#N/A</v>
      </c>
      <c r="G352" s="39"/>
      <c r="H352" s="32" t="s">
        <v>3268</v>
      </c>
      <c r="I352" s="32" t="s">
        <v>5073</v>
      </c>
      <c r="J352" s="32" t="s">
        <v>3269</v>
      </c>
      <c r="K352" s="33" t="s">
        <v>3270</v>
      </c>
      <c r="L352" s="32">
        <v>3.1818394E7</v>
      </c>
      <c r="M352" s="32" t="e">
        <v>#N/A</v>
      </c>
      <c r="N352" s="32" t="s">
        <v>5086</v>
      </c>
      <c r="O352" s="32" t="s">
        <v>4730</v>
      </c>
      <c r="P352" s="32">
        <v>1989.0</v>
      </c>
      <c r="Q352" s="34">
        <v>1799.0</v>
      </c>
      <c r="R352" s="40">
        <v>1799.0</v>
      </c>
      <c r="S352" s="35">
        <v>1690.65</v>
      </c>
      <c r="T352" s="36">
        <v>0.0</v>
      </c>
      <c r="U352" s="36">
        <v>0.0</v>
      </c>
      <c r="V352" s="36">
        <v>15.0</v>
      </c>
      <c r="W352" s="36">
        <v>0.0</v>
      </c>
      <c r="X352" s="36">
        <v>0.0</v>
      </c>
      <c r="Y352" s="36">
        <v>15.0</v>
      </c>
    </row>
    <row r="353">
      <c r="A353" s="32" t="s">
        <v>2162</v>
      </c>
      <c r="B353" s="32" t="s">
        <v>2162</v>
      </c>
      <c r="C353" s="32" t="s">
        <v>2163</v>
      </c>
      <c r="D353" s="32" t="s">
        <v>2164</v>
      </c>
      <c r="E353" s="32" t="s">
        <v>5073</v>
      </c>
      <c r="F353" s="32" t="e">
        <v>#N/A</v>
      </c>
      <c r="G353" s="32" t="e">
        <v>#N/A</v>
      </c>
      <c r="H353" s="32" t="s">
        <v>5133</v>
      </c>
      <c r="I353" s="32" t="s">
        <v>5102</v>
      </c>
      <c r="J353" s="32" t="s">
        <v>2165</v>
      </c>
      <c r="K353" s="33" t="s">
        <v>2166</v>
      </c>
      <c r="L353" s="32" t="e">
        <v>#N/A</v>
      </c>
      <c r="M353" s="32" t="e">
        <v>#N/A</v>
      </c>
      <c r="N353" s="32" t="s">
        <v>5103</v>
      </c>
      <c r="O353" s="32" t="s">
        <v>4730</v>
      </c>
      <c r="P353" s="32">
        <v>6499.0</v>
      </c>
      <c r="Q353" s="34">
        <v>5199.0</v>
      </c>
      <c r="R353" s="40">
        <v>5799.0</v>
      </c>
      <c r="S353" s="35">
        <v>4874.25</v>
      </c>
      <c r="T353" s="36">
        <v>0.0</v>
      </c>
      <c r="U353" s="36">
        <v>0.0</v>
      </c>
      <c r="V353" s="36">
        <v>14.0</v>
      </c>
      <c r="W353" s="36">
        <v>0.0</v>
      </c>
      <c r="X353" s="36">
        <v>0.0</v>
      </c>
      <c r="Y353" s="36">
        <v>14.0</v>
      </c>
    </row>
    <row r="354">
      <c r="A354" s="32" t="s">
        <v>861</v>
      </c>
      <c r="B354" s="32" t="s">
        <v>861</v>
      </c>
      <c r="C354" s="32" t="s">
        <v>862</v>
      </c>
      <c r="D354" s="32" t="s">
        <v>863</v>
      </c>
      <c r="E354" s="32" t="s">
        <v>5073</v>
      </c>
      <c r="F354" s="32" t="e">
        <v>#N/A</v>
      </c>
      <c r="G354" s="32" t="e">
        <v>#N/A</v>
      </c>
      <c r="H354" s="32" t="s">
        <v>864</v>
      </c>
      <c r="I354" s="32" t="s">
        <v>5073</v>
      </c>
      <c r="J354" s="32" t="s">
        <v>865</v>
      </c>
      <c r="K354" s="33" t="s">
        <v>866</v>
      </c>
      <c r="L354" s="32">
        <v>3.1999061E7</v>
      </c>
      <c r="M354" s="32" t="s">
        <v>867</v>
      </c>
      <c r="N354" s="32" t="s">
        <v>5108</v>
      </c>
      <c r="O354" s="32" t="s">
        <v>52</v>
      </c>
      <c r="P354" s="32">
        <v>16199.0</v>
      </c>
      <c r="Q354" s="34">
        <v>13607.0</v>
      </c>
      <c r="R354" s="40">
        <v>14599.0</v>
      </c>
      <c r="S354" s="35">
        <v>12959.2</v>
      </c>
      <c r="T354" s="36">
        <v>3.0</v>
      </c>
      <c r="U354" s="36">
        <v>0.0</v>
      </c>
      <c r="V354" s="36">
        <v>11.0</v>
      </c>
      <c r="W354" s="36">
        <v>0.0</v>
      </c>
      <c r="X354" s="36">
        <v>0.0</v>
      </c>
      <c r="Y354" s="36">
        <v>14.0</v>
      </c>
    </row>
    <row r="355">
      <c r="A355" s="32" t="s">
        <v>3804</v>
      </c>
      <c r="B355" s="32" t="s">
        <v>3804</v>
      </c>
      <c r="C355" s="32" t="s">
        <v>3805</v>
      </c>
      <c r="D355" s="32" t="s">
        <v>3806</v>
      </c>
      <c r="E355" s="32" t="s">
        <v>5102</v>
      </c>
      <c r="F355" s="32" t="e">
        <v>#N/A</v>
      </c>
      <c r="G355" s="39"/>
      <c r="H355" s="32" t="s">
        <v>5134</v>
      </c>
      <c r="I355" s="32" t="s">
        <v>5102</v>
      </c>
      <c r="J355" s="32" t="s">
        <v>3807</v>
      </c>
      <c r="K355" s="33" t="s">
        <v>3808</v>
      </c>
      <c r="L355" s="32" t="e">
        <v>#N/A</v>
      </c>
      <c r="M355" s="32" t="e">
        <v>#N/A</v>
      </c>
      <c r="N355" s="32" t="s">
        <v>5132</v>
      </c>
      <c r="O355" s="32" t="s">
        <v>4730</v>
      </c>
      <c r="P355" s="32">
        <v>9099.0</v>
      </c>
      <c r="Q355" s="34">
        <v>6816.0</v>
      </c>
      <c r="R355" s="40">
        <v>7699.0</v>
      </c>
      <c r="S355" s="35">
        <v>6369.3</v>
      </c>
      <c r="T355" s="36">
        <v>14.0</v>
      </c>
      <c r="U355" s="36">
        <v>0.0</v>
      </c>
      <c r="V355" s="36">
        <v>0.0</v>
      </c>
      <c r="W355" s="36">
        <v>0.0</v>
      </c>
      <c r="X355" s="36">
        <v>0.0</v>
      </c>
      <c r="Y355" s="36">
        <v>14.0</v>
      </c>
    </row>
    <row r="356">
      <c r="A356" s="32" t="s">
        <v>2462</v>
      </c>
      <c r="B356" s="32" t="s">
        <v>2462</v>
      </c>
      <c r="C356" s="32" t="s">
        <v>2463</v>
      </c>
      <c r="D356" s="32" t="s">
        <v>2464</v>
      </c>
      <c r="E356" s="32" t="s">
        <v>5102</v>
      </c>
      <c r="F356" s="32" t="e">
        <v>#N/A</v>
      </c>
      <c r="G356" s="39"/>
      <c r="H356" s="32">
        <v>0.0</v>
      </c>
      <c r="I356" s="39"/>
      <c r="J356" s="32" t="s">
        <v>2465</v>
      </c>
      <c r="K356" s="33" t="s">
        <v>2466</v>
      </c>
      <c r="L356" s="32" t="e">
        <v>#N/A</v>
      </c>
      <c r="M356" s="32" t="s">
        <v>2467</v>
      </c>
      <c r="N356" s="32" t="s">
        <v>5083</v>
      </c>
      <c r="O356" s="32" t="s">
        <v>1145</v>
      </c>
      <c r="P356" s="32">
        <v>3489.0</v>
      </c>
      <c r="Q356" s="34">
        <v>2687.0</v>
      </c>
      <c r="R356" s="40">
        <v>2687.0</v>
      </c>
      <c r="S356" s="35">
        <v>2599.0</v>
      </c>
      <c r="T356" s="36">
        <v>0.0</v>
      </c>
      <c r="U356" s="36">
        <v>3.0</v>
      </c>
      <c r="V356" s="36">
        <v>11.0</v>
      </c>
      <c r="W356" s="36">
        <v>0.0</v>
      </c>
      <c r="X356" s="36">
        <v>0.0</v>
      </c>
      <c r="Y356" s="36">
        <v>14.0</v>
      </c>
    </row>
    <row r="357">
      <c r="A357" s="32" t="s">
        <v>4634</v>
      </c>
      <c r="B357" s="32" t="s">
        <v>4634</v>
      </c>
      <c r="C357" s="32" t="s">
        <v>4635</v>
      </c>
      <c r="D357" s="32" t="s">
        <v>4636</v>
      </c>
      <c r="E357" s="32" t="s">
        <v>5073</v>
      </c>
      <c r="F357" s="32" t="e">
        <v>#N/A</v>
      </c>
      <c r="G357" s="39"/>
      <c r="H357" s="32">
        <v>0.0</v>
      </c>
      <c r="I357" s="39"/>
      <c r="J357" s="32" t="s">
        <v>4637</v>
      </c>
      <c r="K357" s="33" t="s">
        <v>4638</v>
      </c>
      <c r="L357" s="32" t="e">
        <v>#N/A</v>
      </c>
      <c r="M357" s="32" t="e">
        <v>#N/A</v>
      </c>
      <c r="N357" s="32" t="s">
        <v>5077</v>
      </c>
      <c r="O357" s="32" t="s">
        <v>4730</v>
      </c>
      <c r="P357" s="32">
        <v>1699.0</v>
      </c>
      <c r="Q357" s="34">
        <v>1614.0</v>
      </c>
      <c r="R357" s="40">
        <v>1614.0</v>
      </c>
      <c r="S357" s="35">
        <v>1529.1</v>
      </c>
      <c r="T357" s="36">
        <v>0.0</v>
      </c>
      <c r="U357" s="36">
        <v>4.0</v>
      </c>
      <c r="V357" s="36">
        <v>10.0</v>
      </c>
      <c r="W357" s="36">
        <v>0.0</v>
      </c>
      <c r="X357" s="36">
        <v>0.0</v>
      </c>
      <c r="Y357" s="36">
        <v>14.0</v>
      </c>
    </row>
    <row r="358">
      <c r="A358" s="32" t="s">
        <v>4956</v>
      </c>
      <c r="B358" s="32" t="s">
        <v>4956</v>
      </c>
      <c r="C358" s="32" t="s">
        <v>4957</v>
      </c>
      <c r="D358" s="32" t="s">
        <v>4958</v>
      </c>
      <c r="E358" s="32" t="s">
        <v>5102</v>
      </c>
      <c r="F358" s="38"/>
      <c r="G358" s="38"/>
      <c r="H358" s="38"/>
      <c r="I358" s="38"/>
      <c r="J358" s="32" t="s">
        <v>4959</v>
      </c>
      <c r="K358" s="38"/>
      <c r="L358" s="38"/>
      <c r="M358" s="38"/>
      <c r="N358" s="32" t="s">
        <v>5077</v>
      </c>
      <c r="O358" s="32" t="s">
        <v>4730</v>
      </c>
      <c r="P358" s="32">
        <v>1499.0</v>
      </c>
      <c r="Q358" s="44">
        <v>1424.0</v>
      </c>
      <c r="R358" s="40">
        <v>1424.0</v>
      </c>
      <c r="S358" s="35">
        <v>1349.1</v>
      </c>
      <c r="T358" s="36">
        <v>14.0</v>
      </c>
      <c r="U358" s="36">
        <v>0.0</v>
      </c>
      <c r="V358" s="36">
        <v>0.0</v>
      </c>
      <c r="W358" s="36">
        <v>0.0</v>
      </c>
      <c r="X358" s="36">
        <v>0.0</v>
      </c>
      <c r="Y358" s="36">
        <v>14.0</v>
      </c>
    </row>
    <row r="359">
      <c r="A359" s="32" t="s">
        <v>4960</v>
      </c>
      <c r="B359" s="32" t="s">
        <v>4960</v>
      </c>
      <c r="C359" s="32" t="s">
        <v>4961</v>
      </c>
      <c r="D359" s="32" t="s">
        <v>4962</v>
      </c>
      <c r="E359" s="32" t="s">
        <v>5102</v>
      </c>
      <c r="F359" s="38"/>
      <c r="G359" s="38"/>
      <c r="H359" s="38"/>
      <c r="I359" s="38"/>
      <c r="J359" s="32" t="s">
        <v>4963</v>
      </c>
      <c r="K359" s="38"/>
      <c r="L359" s="38"/>
      <c r="M359" s="38"/>
      <c r="N359" s="32" t="s">
        <v>5077</v>
      </c>
      <c r="O359" s="32" t="s">
        <v>4730</v>
      </c>
      <c r="P359" s="32">
        <v>1599.0</v>
      </c>
      <c r="Q359" s="44">
        <v>1519.0</v>
      </c>
      <c r="R359" s="40">
        <v>1519.0</v>
      </c>
      <c r="S359" s="35">
        <v>1439.1</v>
      </c>
      <c r="T359" s="36">
        <v>2.0</v>
      </c>
      <c r="U359" s="36">
        <v>0.0</v>
      </c>
      <c r="V359" s="36">
        <v>7.0</v>
      </c>
      <c r="W359" s="36">
        <v>0.0</v>
      </c>
      <c r="X359" s="36">
        <v>5.0</v>
      </c>
      <c r="Y359" s="36">
        <v>14.0</v>
      </c>
    </row>
    <row r="360">
      <c r="A360" s="32" t="s">
        <v>3247</v>
      </c>
      <c r="B360" s="32" t="s">
        <v>3247</v>
      </c>
      <c r="C360" s="32" t="s">
        <v>3248</v>
      </c>
      <c r="D360" s="32" t="s">
        <v>3249</v>
      </c>
      <c r="E360" s="32" t="s">
        <v>5073</v>
      </c>
      <c r="F360" s="32" t="e">
        <v>#N/A</v>
      </c>
      <c r="G360" s="39"/>
      <c r="H360" s="32" t="s">
        <v>3250</v>
      </c>
      <c r="I360" s="32" t="s">
        <v>5073</v>
      </c>
      <c r="J360" s="32" t="s">
        <v>3251</v>
      </c>
      <c r="K360" s="33" t="s">
        <v>3252</v>
      </c>
      <c r="L360" s="32">
        <v>3.1818402E7</v>
      </c>
      <c r="M360" s="32" t="e">
        <v>#N/A</v>
      </c>
      <c r="N360" s="32" t="s">
        <v>5086</v>
      </c>
      <c r="O360" s="32" t="s">
        <v>4730</v>
      </c>
      <c r="P360" s="32">
        <v>1889.0</v>
      </c>
      <c r="Q360" s="34">
        <v>1699.0</v>
      </c>
      <c r="R360" s="40">
        <v>1699.0</v>
      </c>
      <c r="S360" s="35">
        <v>1605.65</v>
      </c>
      <c r="T360" s="36">
        <v>0.0</v>
      </c>
      <c r="U360" s="36">
        <v>2.0</v>
      </c>
      <c r="V360" s="36">
        <v>8.0</v>
      </c>
      <c r="W360" s="36">
        <v>2.0</v>
      </c>
      <c r="X360" s="36">
        <v>2.0</v>
      </c>
      <c r="Y360" s="36">
        <v>14.0</v>
      </c>
    </row>
    <row r="361">
      <c r="A361" s="32" t="s">
        <v>2676</v>
      </c>
      <c r="B361" s="32" t="s">
        <v>2676</v>
      </c>
      <c r="C361" s="32">
        <v>0.0</v>
      </c>
      <c r="D361" s="32" t="e">
        <v>#N/A</v>
      </c>
      <c r="E361" s="39"/>
      <c r="F361" s="32" t="e">
        <v>#N/A</v>
      </c>
      <c r="G361" s="39"/>
      <c r="H361" s="32" t="e">
        <v>#N/A</v>
      </c>
      <c r="I361" s="39"/>
      <c r="J361" s="32">
        <v>0.0</v>
      </c>
      <c r="K361" s="33" t="e">
        <v>#N/A</v>
      </c>
      <c r="L361" s="32" t="e">
        <v>#N/A</v>
      </c>
      <c r="M361" s="32" t="e">
        <v>#N/A</v>
      </c>
      <c r="N361" s="32" t="e">
        <v>#N/A</v>
      </c>
      <c r="O361" s="32" t="e">
        <v>#N/A</v>
      </c>
      <c r="P361" s="32" t="e">
        <v>#REF!</v>
      </c>
      <c r="Q361" s="32" t="e">
        <v>#N/A</v>
      </c>
      <c r="R361" s="42" t="e">
        <v>#N/A</v>
      </c>
      <c r="S361" s="42" t="e">
        <v>#N/A</v>
      </c>
      <c r="T361" s="36">
        <v>6.0</v>
      </c>
      <c r="U361" s="36">
        <v>0.0</v>
      </c>
      <c r="V361" s="36">
        <v>8.0</v>
      </c>
      <c r="W361" s="36">
        <v>0.0</v>
      </c>
      <c r="X361" s="36">
        <v>0.0</v>
      </c>
      <c r="Y361" s="36">
        <v>14.0</v>
      </c>
    </row>
    <row r="362">
      <c r="A362" s="32" t="s">
        <v>4531</v>
      </c>
      <c r="B362" s="32" t="s">
        <v>4531</v>
      </c>
      <c r="C362" s="32">
        <v>0.0</v>
      </c>
      <c r="D362" s="32" t="e">
        <v>#N/A</v>
      </c>
      <c r="E362" s="39"/>
      <c r="F362" s="32" t="e">
        <v>#N/A</v>
      </c>
      <c r="G362" s="39"/>
      <c r="H362" s="32">
        <v>0.0</v>
      </c>
      <c r="I362" s="39"/>
      <c r="J362" s="32" t="s">
        <v>4533</v>
      </c>
      <c r="K362" s="33" t="e">
        <v>#N/A</v>
      </c>
      <c r="L362" s="32" t="e">
        <v>#N/A</v>
      </c>
      <c r="M362" s="32" t="e">
        <v>#N/A</v>
      </c>
      <c r="N362" s="32" t="s">
        <v>5077</v>
      </c>
      <c r="O362" s="32" t="s">
        <v>4730</v>
      </c>
      <c r="P362" s="32">
        <v>1499.0</v>
      </c>
      <c r="Q362" s="34">
        <v>1424.0</v>
      </c>
      <c r="R362" s="40">
        <v>1424.0</v>
      </c>
      <c r="S362" s="35">
        <v>1349.1</v>
      </c>
      <c r="T362" s="36">
        <v>1.0</v>
      </c>
      <c r="U362" s="36">
        <v>0.0</v>
      </c>
      <c r="V362" s="36">
        <v>13.0</v>
      </c>
      <c r="W362" s="36">
        <v>0.0</v>
      </c>
      <c r="X362" s="36">
        <v>0.0</v>
      </c>
      <c r="Y362" s="36">
        <v>14.0</v>
      </c>
    </row>
    <row r="363">
      <c r="A363" s="32" t="s">
        <v>2697</v>
      </c>
      <c r="B363" s="32" t="s">
        <v>2697</v>
      </c>
      <c r="C363" s="32" t="s">
        <v>2698</v>
      </c>
      <c r="D363" s="32" t="s">
        <v>2699</v>
      </c>
      <c r="E363" s="32" t="s">
        <v>5073</v>
      </c>
      <c r="F363" s="32" t="e">
        <v>#N/A</v>
      </c>
      <c r="G363" s="32" t="e">
        <v>#N/A</v>
      </c>
      <c r="H363" s="32" t="s">
        <v>2700</v>
      </c>
      <c r="I363" s="32" t="s">
        <v>5073</v>
      </c>
      <c r="J363" s="32" t="s">
        <v>2701</v>
      </c>
      <c r="K363" s="33" t="s">
        <v>2702</v>
      </c>
      <c r="L363" s="32">
        <v>3.1818432E7</v>
      </c>
      <c r="M363" s="32" t="e">
        <v>#N/A</v>
      </c>
      <c r="N363" s="32" t="s">
        <v>5107</v>
      </c>
      <c r="O363" s="32" t="s">
        <v>4730</v>
      </c>
      <c r="P363" s="32">
        <v>1889.0</v>
      </c>
      <c r="Q363" s="34">
        <v>1548.0</v>
      </c>
      <c r="R363" s="40">
        <v>1548.0</v>
      </c>
      <c r="S363" s="35">
        <v>1416.75</v>
      </c>
      <c r="T363" s="36">
        <v>4.0</v>
      </c>
      <c r="U363" s="36">
        <v>0.0</v>
      </c>
      <c r="V363" s="36">
        <v>0.0</v>
      </c>
      <c r="W363" s="36">
        <v>9.0</v>
      </c>
      <c r="X363" s="36">
        <v>0.0</v>
      </c>
      <c r="Y363" s="36">
        <v>13.0</v>
      </c>
    </row>
    <row r="364">
      <c r="A364" s="32" t="s">
        <v>4948</v>
      </c>
      <c r="B364" s="32" t="s">
        <v>4948</v>
      </c>
      <c r="C364" s="32" t="s">
        <v>4949</v>
      </c>
      <c r="D364" s="32" t="s">
        <v>4950</v>
      </c>
      <c r="E364" s="32" t="s">
        <v>5102</v>
      </c>
      <c r="F364" s="32" t="e">
        <v>#N/A</v>
      </c>
      <c r="G364" s="32" t="e">
        <v>#N/A</v>
      </c>
      <c r="H364" s="32">
        <v>0.0</v>
      </c>
      <c r="I364" s="32">
        <v>0.0</v>
      </c>
      <c r="J364" s="32" t="s">
        <v>4951</v>
      </c>
      <c r="K364" s="38"/>
      <c r="L364" s="38"/>
      <c r="M364" s="38"/>
      <c r="N364" s="32" t="s">
        <v>5077</v>
      </c>
      <c r="O364" s="32" t="s">
        <v>4730</v>
      </c>
      <c r="P364" s="32">
        <v>1499.0</v>
      </c>
      <c r="Q364" s="44">
        <v>1424.0</v>
      </c>
      <c r="R364" s="40">
        <v>1424.0</v>
      </c>
      <c r="S364" s="35">
        <v>1349.1</v>
      </c>
      <c r="T364" s="36">
        <v>1.0</v>
      </c>
      <c r="U364" s="36">
        <v>0.0</v>
      </c>
      <c r="V364" s="36">
        <v>9.0</v>
      </c>
      <c r="W364" s="36">
        <v>0.0</v>
      </c>
      <c r="X364" s="36">
        <v>3.0</v>
      </c>
      <c r="Y364" s="36">
        <v>13.0</v>
      </c>
    </row>
    <row r="365">
      <c r="A365" s="32" t="s">
        <v>4224</v>
      </c>
      <c r="B365" s="32" t="s">
        <v>4224</v>
      </c>
      <c r="C365" s="32" t="s">
        <v>4225</v>
      </c>
      <c r="D365" s="32" t="s">
        <v>4226</v>
      </c>
      <c r="E365" s="32" t="s">
        <v>5073</v>
      </c>
      <c r="F365" s="32" t="e">
        <v>#N/A</v>
      </c>
      <c r="G365" s="38"/>
      <c r="H365" s="32">
        <v>0.0</v>
      </c>
      <c r="I365" s="39"/>
      <c r="J365" s="32" t="s">
        <v>4227</v>
      </c>
      <c r="K365" s="33" t="s">
        <v>4228</v>
      </c>
      <c r="L365" s="32" t="e">
        <v>#N/A</v>
      </c>
      <c r="M365" s="32" t="e">
        <v>#N/A</v>
      </c>
      <c r="N365" s="32" t="s">
        <v>5118</v>
      </c>
      <c r="O365" s="32" t="s">
        <v>52</v>
      </c>
      <c r="P365" s="32">
        <v>19999.0</v>
      </c>
      <c r="Q365" s="34">
        <v>17999.0</v>
      </c>
      <c r="R365" s="40">
        <v>19199.0</v>
      </c>
      <c r="S365" s="35">
        <v>17621.34</v>
      </c>
      <c r="T365" s="36">
        <v>12.0</v>
      </c>
      <c r="U365" s="36">
        <v>0.0</v>
      </c>
      <c r="V365" s="36">
        <v>0.0</v>
      </c>
      <c r="W365" s="36">
        <v>1.0</v>
      </c>
      <c r="X365" s="36">
        <v>0.0</v>
      </c>
      <c r="Y365" s="36">
        <v>13.0</v>
      </c>
    </row>
    <row r="366">
      <c r="A366" s="32" t="s">
        <v>1981</v>
      </c>
      <c r="B366" s="32" t="s">
        <v>1981</v>
      </c>
      <c r="C366" s="32" t="s">
        <v>1982</v>
      </c>
      <c r="D366" s="32" t="s">
        <v>1983</v>
      </c>
      <c r="E366" s="32" t="s">
        <v>5073</v>
      </c>
      <c r="F366" s="32" t="e">
        <v>#N/A</v>
      </c>
      <c r="G366" s="38"/>
      <c r="H366" s="32" t="s">
        <v>1984</v>
      </c>
      <c r="I366" s="32" t="s">
        <v>5073</v>
      </c>
      <c r="J366" s="32" t="s">
        <v>1985</v>
      </c>
      <c r="K366" s="33" t="s">
        <v>1986</v>
      </c>
      <c r="L366" s="32" t="e">
        <v>#N/A</v>
      </c>
      <c r="M366" s="32" t="e">
        <v>#N/A</v>
      </c>
      <c r="N366" s="32" t="s">
        <v>5132</v>
      </c>
      <c r="O366" s="32" t="s">
        <v>4730</v>
      </c>
      <c r="P366" s="32">
        <v>5499.0</v>
      </c>
      <c r="Q366" s="34">
        <v>4119.0</v>
      </c>
      <c r="R366" s="40">
        <v>4599.0</v>
      </c>
      <c r="S366" s="35">
        <v>3849.3</v>
      </c>
      <c r="T366" s="36">
        <v>2.0</v>
      </c>
      <c r="U366" s="36">
        <v>0.0</v>
      </c>
      <c r="V366" s="36">
        <v>8.0</v>
      </c>
      <c r="W366" s="36">
        <v>1.0</v>
      </c>
      <c r="X366" s="36">
        <v>2.0</v>
      </c>
      <c r="Y366" s="36">
        <v>13.0</v>
      </c>
    </row>
    <row r="367">
      <c r="A367" s="32" t="s">
        <v>239</v>
      </c>
      <c r="B367" s="32" t="s">
        <v>239</v>
      </c>
      <c r="C367" s="32" t="s">
        <v>240</v>
      </c>
      <c r="D367" s="32" t="s">
        <v>241</v>
      </c>
      <c r="E367" s="32" t="s">
        <v>5073</v>
      </c>
      <c r="F367" s="32" t="e">
        <v>#N/A</v>
      </c>
      <c r="G367" s="39"/>
      <c r="H367" s="32" t="s">
        <v>242</v>
      </c>
      <c r="I367" s="32" t="s">
        <v>5073</v>
      </c>
      <c r="J367" s="32" t="s">
        <v>243</v>
      </c>
      <c r="K367" s="33" t="s">
        <v>244</v>
      </c>
      <c r="L367" s="32">
        <v>3.2784007E7</v>
      </c>
      <c r="M367" s="32" t="s">
        <v>245</v>
      </c>
      <c r="N367" s="32" t="s">
        <v>51</v>
      </c>
      <c r="O367" s="32" t="s">
        <v>52</v>
      </c>
      <c r="P367" s="32">
        <v>14899.0</v>
      </c>
      <c r="Q367" s="34">
        <v>12068.0</v>
      </c>
      <c r="R367" s="40">
        <v>12999.0</v>
      </c>
      <c r="S367" s="35">
        <v>11323.24</v>
      </c>
      <c r="T367" s="36">
        <v>2.0</v>
      </c>
      <c r="U367" s="36">
        <v>0.0</v>
      </c>
      <c r="V367" s="36">
        <v>6.0</v>
      </c>
      <c r="W367" s="36">
        <v>2.0</v>
      </c>
      <c r="X367" s="36">
        <v>3.0</v>
      </c>
      <c r="Y367" s="36">
        <v>13.0</v>
      </c>
    </row>
    <row r="368">
      <c r="A368" s="32" t="s">
        <v>714</v>
      </c>
      <c r="B368" s="32" t="s">
        <v>714</v>
      </c>
      <c r="C368" s="32" t="s">
        <v>715</v>
      </c>
      <c r="D368" s="32" t="s">
        <v>716</v>
      </c>
      <c r="E368" s="32" t="s">
        <v>5073</v>
      </c>
      <c r="F368" s="32" t="e">
        <v>#N/A</v>
      </c>
      <c r="G368" s="39"/>
      <c r="H368" s="32">
        <v>0.0</v>
      </c>
      <c r="I368" s="39"/>
      <c r="J368" s="32" t="s">
        <v>717</v>
      </c>
      <c r="K368" s="33" t="s">
        <v>718</v>
      </c>
      <c r="L368" s="32" t="e">
        <v>#N/A</v>
      </c>
      <c r="M368" s="32" t="e">
        <v>#REF!</v>
      </c>
      <c r="N368" s="32" t="s">
        <v>51</v>
      </c>
      <c r="O368" s="32" t="s">
        <v>52</v>
      </c>
      <c r="P368" s="32">
        <v>16659.0</v>
      </c>
      <c r="Q368" s="34">
        <v>13494.0</v>
      </c>
      <c r="R368" s="40">
        <v>14499.0</v>
      </c>
      <c r="S368" s="35">
        <v>12660.84</v>
      </c>
      <c r="T368" s="36">
        <v>4.0</v>
      </c>
      <c r="U368" s="36">
        <v>2.0</v>
      </c>
      <c r="V368" s="36">
        <v>0.0</v>
      </c>
      <c r="W368" s="36">
        <v>4.0</v>
      </c>
      <c r="X368" s="36">
        <v>3.0</v>
      </c>
      <c r="Y368" s="36">
        <v>13.0</v>
      </c>
    </row>
    <row r="369">
      <c r="A369" s="32" t="s">
        <v>23</v>
      </c>
      <c r="B369" s="32" t="s">
        <v>23</v>
      </c>
      <c r="C369" s="32" t="s">
        <v>24</v>
      </c>
      <c r="D369" s="32" t="s">
        <v>25</v>
      </c>
      <c r="E369" s="32" t="s">
        <v>5073</v>
      </c>
      <c r="F369" s="32" t="e">
        <v>#N/A</v>
      </c>
      <c r="G369" s="39"/>
      <c r="H369" s="32" t="s">
        <v>26</v>
      </c>
      <c r="I369" s="32" t="s">
        <v>5073</v>
      </c>
      <c r="J369" s="32" t="s">
        <v>27</v>
      </c>
      <c r="K369" s="33" t="s">
        <v>28</v>
      </c>
      <c r="L369" s="32">
        <v>3.2783812E7</v>
      </c>
      <c r="M369" s="32" t="s">
        <v>29</v>
      </c>
      <c r="N369" s="32" t="s">
        <v>51</v>
      </c>
      <c r="O369" s="32" t="s">
        <v>52</v>
      </c>
      <c r="P369" s="32">
        <v>10399.0</v>
      </c>
      <c r="Q369" s="34">
        <v>8423.0</v>
      </c>
      <c r="R369" s="40">
        <v>8999.0</v>
      </c>
      <c r="S369" s="35">
        <v>7903.24</v>
      </c>
      <c r="T369" s="36">
        <v>0.0</v>
      </c>
      <c r="U369" s="36">
        <v>3.0</v>
      </c>
      <c r="V369" s="36">
        <v>9.0</v>
      </c>
      <c r="W369" s="36">
        <v>1.0</v>
      </c>
      <c r="X369" s="36">
        <v>0.0</v>
      </c>
      <c r="Y369" s="36">
        <v>13.0</v>
      </c>
    </row>
    <row r="370">
      <c r="A370" s="32" t="s">
        <v>30</v>
      </c>
      <c r="B370" s="32" t="s">
        <v>30</v>
      </c>
      <c r="C370" s="32" t="s">
        <v>31</v>
      </c>
      <c r="D370" s="32" t="s">
        <v>32</v>
      </c>
      <c r="E370" s="32" t="s">
        <v>5073</v>
      </c>
      <c r="F370" s="32" t="e">
        <v>#N/A</v>
      </c>
      <c r="G370" s="39"/>
      <c r="H370" s="32" t="s">
        <v>33</v>
      </c>
      <c r="I370" s="32" t="s">
        <v>5073</v>
      </c>
      <c r="J370" s="32" t="s">
        <v>34</v>
      </c>
      <c r="K370" s="33" t="s">
        <v>35</v>
      </c>
      <c r="L370" s="32">
        <v>3.2783953E7</v>
      </c>
      <c r="M370" s="32" t="s">
        <v>36</v>
      </c>
      <c r="N370" s="32" t="s">
        <v>51</v>
      </c>
      <c r="O370" s="32" t="s">
        <v>52</v>
      </c>
      <c r="P370" s="32">
        <v>10599.0</v>
      </c>
      <c r="Q370" s="34">
        <v>8585.0</v>
      </c>
      <c r="R370" s="40">
        <v>9199.0</v>
      </c>
      <c r="S370" s="35">
        <v>8055.24</v>
      </c>
      <c r="T370" s="36">
        <v>2.0</v>
      </c>
      <c r="U370" s="36">
        <v>2.0</v>
      </c>
      <c r="V370" s="36">
        <v>2.0</v>
      </c>
      <c r="W370" s="36">
        <v>5.0</v>
      </c>
      <c r="X370" s="36">
        <v>2.0</v>
      </c>
      <c r="Y370" s="36">
        <v>13.0</v>
      </c>
    </row>
    <row r="371">
      <c r="A371" s="32" t="s">
        <v>1400</v>
      </c>
      <c r="B371" s="32" t="s">
        <v>1400</v>
      </c>
      <c r="C371" s="32" t="s">
        <v>1401</v>
      </c>
      <c r="D371" s="32" t="s">
        <v>1403</v>
      </c>
      <c r="E371" s="32" t="s">
        <v>5073</v>
      </c>
      <c r="F371" s="32" t="e">
        <v>#N/A</v>
      </c>
      <c r="G371" s="32" t="e">
        <v>#N/A</v>
      </c>
      <c r="H371" s="32" t="s">
        <v>1404</v>
      </c>
      <c r="I371" s="32" t="s">
        <v>5073</v>
      </c>
      <c r="J371" s="32" t="s">
        <v>1405</v>
      </c>
      <c r="K371" s="33" t="s">
        <v>1406</v>
      </c>
      <c r="L371" s="32">
        <v>3.1818411E7</v>
      </c>
      <c r="M371" s="32" t="e">
        <v>#N/A</v>
      </c>
      <c r="N371" s="32" t="s">
        <v>5089</v>
      </c>
      <c r="O371" s="32" t="s">
        <v>4730</v>
      </c>
      <c r="P371" s="32">
        <v>2649.0</v>
      </c>
      <c r="Q371" s="34">
        <v>2164.0</v>
      </c>
      <c r="R371" s="40">
        <v>2199.0</v>
      </c>
      <c r="S371" s="35">
        <v>2119.2</v>
      </c>
      <c r="T371" s="36">
        <v>0.0</v>
      </c>
      <c r="U371" s="36">
        <v>0.0</v>
      </c>
      <c r="V371" s="36">
        <v>13.0</v>
      </c>
      <c r="W371" s="36">
        <v>0.0</v>
      </c>
      <c r="X371" s="36">
        <v>0.0</v>
      </c>
      <c r="Y371" s="36">
        <v>13.0</v>
      </c>
    </row>
    <row r="372">
      <c r="A372" s="32" t="s">
        <v>2802</v>
      </c>
      <c r="B372" s="32" t="s">
        <v>2802</v>
      </c>
      <c r="C372" s="32">
        <v>0.0</v>
      </c>
      <c r="D372" s="32" t="e">
        <v>#N/A</v>
      </c>
      <c r="E372" s="39"/>
      <c r="F372" s="32" t="e">
        <v>#N/A</v>
      </c>
      <c r="G372" s="39"/>
      <c r="H372" s="32" t="e">
        <v>#N/A</v>
      </c>
      <c r="I372" s="39"/>
      <c r="J372" s="32">
        <v>0.0</v>
      </c>
      <c r="K372" s="33" t="e">
        <v>#N/A</v>
      </c>
      <c r="L372" s="32" t="e">
        <v>#N/A</v>
      </c>
      <c r="M372" s="32" t="e">
        <v>#N/A</v>
      </c>
      <c r="N372" s="32" t="e">
        <v>#N/A</v>
      </c>
      <c r="O372" s="32" t="e">
        <v>#N/A</v>
      </c>
      <c r="P372" s="32" t="e">
        <v>#REF!</v>
      </c>
      <c r="Q372" s="32" t="e">
        <v>#N/A</v>
      </c>
      <c r="R372" s="42" t="e">
        <v>#N/A</v>
      </c>
      <c r="S372" s="42" t="e">
        <v>#N/A</v>
      </c>
      <c r="T372" s="36">
        <v>3.0</v>
      </c>
      <c r="U372" s="36">
        <v>0.0</v>
      </c>
      <c r="V372" s="36">
        <v>10.0</v>
      </c>
      <c r="W372" s="36">
        <v>0.0</v>
      </c>
      <c r="X372" s="36">
        <v>0.0</v>
      </c>
      <c r="Y372" s="36">
        <v>13.0</v>
      </c>
    </row>
    <row r="373">
      <c r="A373" s="32" t="s">
        <v>2717</v>
      </c>
      <c r="B373" s="32" t="s">
        <v>2717</v>
      </c>
      <c r="C373" s="32">
        <v>0.0</v>
      </c>
      <c r="D373" s="32" t="e">
        <v>#N/A</v>
      </c>
      <c r="E373" s="39"/>
      <c r="F373" s="32" t="e">
        <v>#N/A</v>
      </c>
      <c r="G373" s="39"/>
      <c r="H373" s="32" t="e">
        <v>#N/A</v>
      </c>
      <c r="I373" s="39"/>
      <c r="J373" s="32">
        <v>0.0</v>
      </c>
      <c r="K373" s="33" t="e">
        <v>#N/A</v>
      </c>
      <c r="L373" s="32" t="e">
        <v>#N/A</v>
      </c>
      <c r="M373" s="32" t="e">
        <v>#N/A</v>
      </c>
      <c r="N373" s="32" t="e">
        <v>#N/A</v>
      </c>
      <c r="O373" s="32" t="e">
        <v>#N/A</v>
      </c>
      <c r="P373" s="32" t="e">
        <v>#REF!</v>
      </c>
      <c r="Q373" s="32" t="e">
        <v>#N/A</v>
      </c>
      <c r="R373" s="42" t="e">
        <v>#N/A</v>
      </c>
      <c r="S373" s="42" t="e">
        <v>#N/A</v>
      </c>
      <c r="T373" s="36">
        <v>9.0</v>
      </c>
      <c r="U373" s="36">
        <v>0.0</v>
      </c>
      <c r="V373" s="36">
        <v>3.0</v>
      </c>
      <c r="W373" s="36">
        <v>0.0</v>
      </c>
      <c r="X373" s="36">
        <v>0.0</v>
      </c>
      <c r="Y373" s="36">
        <v>12.0</v>
      </c>
    </row>
    <row r="374">
      <c r="A374" s="32" t="s">
        <v>4600</v>
      </c>
      <c r="B374" s="32" t="s">
        <v>4600</v>
      </c>
      <c r="C374" s="32">
        <v>0.0</v>
      </c>
      <c r="D374" s="32" t="e">
        <v>#N/A</v>
      </c>
      <c r="E374" s="39"/>
      <c r="F374" s="32" t="e">
        <v>#N/A</v>
      </c>
      <c r="G374" s="39"/>
      <c r="H374" s="32">
        <v>0.0</v>
      </c>
      <c r="I374" s="39"/>
      <c r="J374" s="32" t="s">
        <v>4602</v>
      </c>
      <c r="K374" s="33" t="e">
        <v>#N/A</v>
      </c>
      <c r="L374" s="32" t="e">
        <v>#N/A</v>
      </c>
      <c r="M374" s="32" t="e">
        <v>#N/A</v>
      </c>
      <c r="N374" s="32" t="s">
        <v>5077</v>
      </c>
      <c r="O374" s="32" t="s">
        <v>4730</v>
      </c>
      <c r="P374" s="32">
        <v>1499.0</v>
      </c>
      <c r="Q374" s="34">
        <v>1424.0</v>
      </c>
      <c r="R374" s="40">
        <v>1424.0</v>
      </c>
      <c r="S374" s="35">
        <v>1349.1</v>
      </c>
      <c r="T374" s="36">
        <v>0.0</v>
      </c>
      <c r="U374" s="36">
        <v>0.0</v>
      </c>
      <c r="V374" s="36">
        <v>12.0</v>
      </c>
      <c r="W374" s="36">
        <v>0.0</v>
      </c>
      <c r="X374" s="36">
        <v>0.0</v>
      </c>
      <c r="Y374" s="36">
        <v>12.0</v>
      </c>
    </row>
    <row r="375">
      <c r="A375" s="32" t="s">
        <v>2751</v>
      </c>
      <c r="B375" s="32" t="s">
        <v>2751</v>
      </c>
      <c r="C375" s="32" t="s">
        <v>2752</v>
      </c>
      <c r="D375" s="32" t="s">
        <v>2753</v>
      </c>
      <c r="E375" s="32" t="s">
        <v>5073</v>
      </c>
      <c r="F375" s="32" t="e">
        <v>#N/A</v>
      </c>
      <c r="G375" s="32" t="e">
        <v>#N/A</v>
      </c>
      <c r="H375" s="32" t="s">
        <v>2754</v>
      </c>
      <c r="I375" s="32" t="s">
        <v>5073</v>
      </c>
      <c r="J375" s="32" t="s">
        <v>2755</v>
      </c>
      <c r="K375" s="33" t="s">
        <v>2756</v>
      </c>
      <c r="L375" s="32">
        <v>3.1818366E7</v>
      </c>
      <c r="M375" s="32" t="e">
        <v>#N/A</v>
      </c>
      <c r="N375" s="32" t="s">
        <v>5107</v>
      </c>
      <c r="O375" s="32" t="s">
        <v>4730</v>
      </c>
      <c r="P375" s="32">
        <v>1989.0</v>
      </c>
      <c r="Q375" s="34">
        <v>1628.0</v>
      </c>
      <c r="R375" s="40">
        <v>1628.0</v>
      </c>
      <c r="S375" s="35">
        <v>1491.75</v>
      </c>
      <c r="T375" s="36">
        <v>2.0</v>
      </c>
      <c r="U375" s="36">
        <v>0.0</v>
      </c>
      <c r="V375" s="36">
        <v>5.0</v>
      </c>
      <c r="W375" s="36">
        <v>5.0</v>
      </c>
      <c r="X375" s="36">
        <v>0.0</v>
      </c>
      <c r="Y375" s="36">
        <v>12.0</v>
      </c>
    </row>
    <row r="376">
      <c r="A376" s="32" t="s">
        <v>4453</v>
      </c>
      <c r="B376" s="32" t="s">
        <v>4453</v>
      </c>
      <c r="C376" s="32" t="s">
        <v>4454</v>
      </c>
      <c r="D376" s="32" t="s">
        <v>4455</v>
      </c>
      <c r="E376" s="32" t="s">
        <v>5073</v>
      </c>
      <c r="F376" s="32" t="e">
        <v>#N/A</v>
      </c>
      <c r="G376" s="32" t="e">
        <v>#N/A</v>
      </c>
      <c r="H376" s="32">
        <v>0.0</v>
      </c>
      <c r="I376" s="32">
        <v>0.0</v>
      </c>
      <c r="J376" s="32" t="s">
        <v>4456</v>
      </c>
      <c r="K376" s="33" t="s">
        <v>4457</v>
      </c>
      <c r="L376" s="32" t="e">
        <v>#N/A</v>
      </c>
      <c r="M376" s="32" t="e">
        <v>#N/A</v>
      </c>
      <c r="N376" s="32" t="s">
        <v>5077</v>
      </c>
      <c r="O376" s="32" t="s">
        <v>4730</v>
      </c>
      <c r="P376" s="32">
        <v>999.0</v>
      </c>
      <c r="Q376" s="34">
        <v>949.0</v>
      </c>
      <c r="R376" s="35">
        <v>949.0</v>
      </c>
      <c r="S376" s="35">
        <v>899.1</v>
      </c>
      <c r="T376" s="36">
        <v>2.0</v>
      </c>
      <c r="U376" s="36">
        <v>0.0</v>
      </c>
      <c r="V376" s="36">
        <v>10.0</v>
      </c>
      <c r="W376" s="36">
        <v>0.0</v>
      </c>
      <c r="X376" s="36">
        <v>0.0</v>
      </c>
      <c r="Y376" s="36">
        <v>12.0</v>
      </c>
    </row>
    <row r="377">
      <c r="A377" s="32" t="s">
        <v>1070</v>
      </c>
      <c r="B377" s="32" t="s">
        <v>1070</v>
      </c>
      <c r="C377" s="32" t="s">
        <v>1071</v>
      </c>
      <c r="D377" s="32" t="s">
        <v>1072</v>
      </c>
      <c r="E377" s="32" t="s">
        <v>5073</v>
      </c>
      <c r="F377" s="32" t="s">
        <v>1073</v>
      </c>
      <c r="G377" s="32" t="s">
        <v>5073</v>
      </c>
      <c r="H377" s="32" t="s">
        <v>1074</v>
      </c>
      <c r="I377" s="32" t="s">
        <v>5073</v>
      </c>
      <c r="J377" s="32" t="s">
        <v>1075</v>
      </c>
      <c r="K377" s="33" t="s">
        <v>1076</v>
      </c>
      <c r="L377" s="32">
        <v>3.1999066E7</v>
      </c>
      <c r="M377" s="32" t="s">
        <v>1077</v>
      </c>
      <c r="N377" s="32" t="s">
        <v>5108</v>
      </c>
      <c r="O377" s="32" t="s">
        <v>52</v>
      </c>
      <c r="P377" s="32">
        <v>23799.0</v>
      </c>
      <c r="Q377" s="34">
        <v>19991.0</v>
      </c>
      <c r="R377" s="40">
        <v>21399.0</v>
      </c>
      <c r="S377" s="35">
        <v>19039.2</v>
      </c>
      <c r="T377" s="36">
        <v>12.0</v>
      </c>
      <c r="U377" s="36">
        <v>0.0</v>
      </c>
      <c r="V377" s="36">
        <v>0.0</v>
      </c>
      <c r="W377" s="36">
        <v>0.0</v>
      </c>
      <c r="X377" s="36">
        <v>0.0</v>
      </c>
      <c r="Y377" s="36">
        <v>12.0</v>
      </c>
    </row>
    <row r="378">
      <c r="A378" s="32" t="s">
        <v>810</v>
      </c>
      <c r="B378" s="32" t="s">
        <v>810</v>
      </c>
      <c r="C378" s="32" t="s">
        <v>811</v>
      </c>
      <c r="D378" s="32" t="s">
        <v>812</v>
      </c>
      <c r="E378" s="32" t="s">
        <v>5073</v>
      </c>
      <c r="F378" s="32" t="s">
        <v>813</v>
      </c>
      <c r="G378" s="32" t="s">
        <v>5073</v>
      </c>
      <c r="H378" s="32">
        <v>0.0</v>
      </c>
      <c r="I378" s="39"/>
      <c r="J378" s="32" t="s">
        <v>814</v>
      </c>
      <c r="K378" s="33" t="s">
        <v>815</v>
      </c>
      <c r="L378" s="32">
        <v>3.2784205E7</v>
      </c>
      <c r="M378" s="32" t="s">
        <v>816</v>
      </c>
      <c r="N378" s="32" t="s">
        <v>5108</v>
      </c>
      <c r="O378" s="32" t="s">
        <v>52</v>
      </c>
      <c r="P378" s="32">
        <v>11399.0</v>
      </c>
      <c r="Q378" s="34">
        <v>9575.0</v>
      </c>
      <c r="R378" s="40">
        <v>10299.0</v>
      </c>
      <c r="S378" s="35">
        <v>9119.2</v>
      </c>
      <c r="T378" s="36">
        <v>0.0</v>
      </c>
      <c r="U378" s="36">
        <v>0.0</v>
      </c>
      <c r="V378" s="36">
        <v>12.0</v>
      </c>
      <c r="W378" s="36">
        <v>0.0</v>
      </c>
      <c r="X378" s="36">
        <v>0.0</v>
      </c>
      <c r="Y378" s="36">
        <v>12.0</v>
      </c>
    </row>
    <row r="379">
      <c r="A379" s="32" t="s">
        <v>4428</v>
      </c>
      <c r="B379" s="32" t="s">
        <v>4428</v>
      </c>
      <c r="C379" s="32" t="s">
        <v>4429</v>
      </c>
      <c r="D379" s="32" t="s">
        <v>4430</v>
      </c>
      <c r="E379" s="32" t="s">
        <v>5073</v>
      </c>
      <c r="F379" s="32" t="e">
        <v>#N/A</v>
      </c>
      <c r="G379" s="39"/>
      <c r="H379" s="32">
        <v>0.0</v>
      </c>
      <c r="I379" s="39"/>
      <c r="J379" s="32" t="s">
        <v>4431</v>
      </c>
      <c r="K379" s="33" t="s">
        <v>4432</v>
      </c>
      <c r="L379" s="32" t="e">
        <v>#N/A</v>
      </c>
      <c r="M379" s="32" t="e">
        <v>#N/A</v>
      </c>
      <c r="N379" s="32" t="s">
        <v>5077</v>
      </c>
      <c r="O379" s="32" t="s">
        <v>4730</v>
      </c>
      <c r="P379" s="32">
        <v>999.0</v>
      </c>
      <c r="Q379" s="34">
        <v>949.0</v>
      </c>
      <c r="R379" s="35">
        <v>949.0</v>
      </c>
      <c r="S379" s="35">
        <v>899.1</v>
      </c>
      <c r="T379" s="36">
        <v>2.0</v>
      </c>
      <c r="U379" s="36">
        <v>0.0</v>
      </c>
      <c r="V379" s="36">
        <v>10.0</v>
      </c>
      <c r="W379" s="36">
        <v>0.0</v>
      </c>
      <c r="X379" s="36">
        <v>0.0</v>
      </c>
      <c r="Y379" s="36">
        <v>12.0</v>
      </c>
    </row>
    <row r="380">
      <c r="A380" s="32" t="s">
        <v>614</v>
      </c>
      <c r="B380" s="32" t="s">
        <v>614</v>
      </c>
      <c r="C380" s="32" t="s">
        <v>615</v>
      </c>
      <c r="D380" s="32" t="s">
        <v>616</v>
      </c>
      <c r="E380" s="32" t="s">
        <v>5073</v>
      </c>
      <c r="F380" s="32" t="e">
        <v>#N/A</v>
      </c>
      <c r="G380" s="39"/>
      <c r="H380" s="32">
        <v>0.0</v>
      </c>
      <c r="I380" s="39"/>
      <c r="J380" s="32" t="s">
        <v>617</v>
      </c>
      <c r="K380" s="33" t="s">
        <v>618</v>
      </c>
      <c r="L380" s="32" t="e">
        <v>#N/A</v>
      </c>
      <c r="M380" s="32" t="s">
        <v>619</v>
      </c>
      <c r="N380" s="32" t="s">
        <v>51</v>
      </c>
      <c r="O380" s="32" t="s">
        <v>52</v>
      </c>
      <c r="P380" s="32">
        <v>20399.0</v>
      </c>
      <c r="Q380" s="34">
        <v>16523.0</v>
      </c>
      <c r="R380" s="40">
        <v>17699.0</v>
      </c>
      <c r="S380" s="35">
        <v>15503.24</v>
      </c>
      <c r="T380" s="36">
        <v>0.0</v>
      </c>
      <c r="U380" s="36">
        <v>0.0</v>
      </c>
      <c r="V380" s="36">
        <v>3.0</v>
      </c>
      <c r="W380" s="36">
        <v>0.0</v>
      </c>
      <c r="X380" s="36">
        <v>9.0</v>
      </c>
      <c r="Y380" s="36">
        <v>12.0</v>
      </c>
    </row>
    <row r="381">
      <c r="A381" s="32" t="s">
        <v>487</v>
      </c>
      <c r="B381" s="32" t="s">
        <v>487</v>
      </c>
      <c r="C381" s="32" t="s">
        <v>488</v>
      </c>
      <c r="D381" s="32" t="s">
        <v>489</v>
      </c>
      <c r="E381" s="32" t="s">
        <v>5073</v>
      </c>
      <c r="F381" s="32" t="e">
        <v>#N/A</v>
      </c>
      <c r="G381" s="39"/>
      <c r="H381" s="32">
        <v>0.0</v>
      </c>
      <c r="I381" s="39"/>
      <c r="J381" s="32" t="s">
        <v>490</v>
      </c>
      <c r="K381" s="33" t="s">
        <v>491</v>
      </c>
      <c r="L381" s="32" t="e">
        <v>#N/A</v>
      </c>
      <c r="M381" s="32" t="s">
        <v>492</v>
      </c>
      <c r="N381" s="32" t="s">
        <v>51</v>
      </c>
      <c r="O381" s="32" t="s">
        <v>52</v>
      </c>
      <c r="P381" s="32">
        <v>14579.0</v>
      </c>
      <c r="Q381" s="34">
        <v>11809.0</v>
      </c>
      <c r="R381" s="40">
        <v>12699.0</v>
      </c>
      <c r="S381" s="35">
        <v>11080.04</v>
      </c>
      <c r="T381" s="36">
        <v>3.0</v>
      </c>
      <c r="U381" s="36">
        <v>1.0</v>
      </c>
      <c r="V381" s="36">
        <v>3.0</v>
      </c>
      <c r="W381" s="36">
        <v>3.0</v>
      </c>
      <c r="X381" s="36">
        <v>2.0</v>
      </c>
      <c r="Y381" s="36">
        <v>12.0</v>
      </c>
    </row>
    <row r="382">
      <c r="A382" s="32" t="s">
        <v>493</v>
      </c>
      <c r="B382" s="32" t="s">
        <v>493</v>
      </c>
      <c r="C382" s="32" t="s">
        <v>494</v>
      </c>
      <c r="D382" s="32" t="s">
        <v>495</v>
      </c>
      <c r="E382" s="32" t="s">
        <v>5073</v>
      </c>
      <c r="F382" s="32" t="e">
        <v>#N/A</v>
      </c>
      <c r="G382" s="39"/>
      <c r="H382" s="32">
        <v>0.0</v>
      </c>
      <c r="I382" s="39"/>
      <c r="J382" s="32" t="s">
        <v>496</v>
      </c>
      <c r="K382" s="33" t="s">
        <v>497</v>
      </c>
      <c r="L382" s="32" t="e">
        <v>#N/A</v>
      </c>
      <c r="M382" s="32" t="s">
        <v>498</v>
      </c>
      <c r="N382" s="32" t="s">
        <v>51</v>
      </c>
      <c r="O382" s="32" t="s">
        <v>52</v>
      </c>
      <c r="P382" s="32">
        <v>14849.0</v>
      </c>
      <c r="Q382" s="34">
        <v>12028.0</v>
      </c>
      <c r="R382" s="40">
        <v>12899.0</v>
      </c>
      <c r="S382" s="35">
        <v>11285.24</v>
      </c>
      <c r="T382" s="36">
        <v>0.0</v>
      </c>
      <c r="U382" s="36">
        <v>2.0</v>
      </c>
      <c r="V382" s="36">
        <v>10.0</v>
      </c>
      <c r="W382" s="36">
        <v>0.0</v>
      </c>
      <c r="X382" s="36">
        <v>0.0</v>
      </c>
      <c r="Y382" s="36">
        <v>12.0</v>
      </c>
    </row>
    <row r="383">
      <c r="A383" s="32" t="s">
        <v>2812</v>
      </c>
      <c r="B383" s="32" t="s">
        <v>2812</v>
      </c>
      <c r="C383" s="32" t="s">
        <v>2813</v>
      </c>
      <c r="D383" s="32" t="s">
        <v>2815</v>
      </c>
      <c r="E383" s="32" t="s">
        <v>5073</v>
      </c>
      <c r="F383" s="32" t="e">
        <v>#N/A</v>
      </c>
      <c r="G383" s="32" t="e">
        <v>#N/A</v>
      </c>
      <c r="H383" s="32" t="s">
        <v>2812</v>
      </c>
      <c r="I383" s="32" t="s">
        <v>5073</v>
      </c>
      <c r="J383" s="32" t="s">
        <v>2812</v>
      </c>
      <c r="K383" s="33" t="s">
        <v>2816</v>
      </c>
      <c r="L383" s="32">
        <v>3.1818378E7</v>
      </c>
      <c r="M383" s="32" t="e">
        <v>#N/A</v>
      </c>
      <c r="N383" s="32" t="s">
        <v>5107</v>
      </c>
      <c r="O383" s="32" t="s">
        <v>4730</v>
      </c>
      <c r="P383" s="32">
        <v>2489.0</v>
      </c>
      <c r="Q383" s="34">
        <v>2037.0</v>
      </c>
      <c r="R383" s="40">
        <v>2037.0</v>
      </c>
      <c r="S383" s="35">
        <v>1866.75</v>
      </c>
      <c r="T383" s="36">
        <v>0.0</v>
      </c>
      <c r="U383" s="36">
        <v>0.0</v>
      </c>
      <c r="V383" s="36">
        <v>0.0</v>
      </c>
      <c r="W383" s="36">
        <v>12.0</v>
      </c>
      <c r="X383" s="36">
        <v>0.0</v>
      </c>
      <c r="Y383" s="36">
        <v>12.0</v>
      </c>
    </row>
    <row r="384">
      <c r="A384" s="32" t="s">
        <v>1897</v>
      </c>
      <c r="B384" s="32" t="s">
        <v>1897</v>
      </c>
      <c r="C384" s="32" t="s">
        <v>1898</v>
      </c>
      <c r="D384" s="32" t="s">
        <v>1899</v>
      </c>
      <c r="E384" s="32" t="s">
        <v>5073</v>
      </c>
      <c r="F384" s="32" t="e">
        <v>#N/A</v>
      </c>
      <c r="G384" s="39"/>
      <c r="H384" s="32" t="s">
        <v>1900</v>
      </c>
      <c r="I384" s="32" t="s">
        <v>5122</v>
      </c>
      <c r="J384" s="32" t="s">
        <v>1901</v>
      </c>
      <c r="K384" s="33" t="s">
        <v>1902</v>
      </c>
      <c r="L384" s="32">
        <v>3.2784229E7</v>
      </c>
      <c r="M384" s="32" t="s">
        <v>1903</v>
      </c>
      <c r="N384" s="32" t="s">
        <v>5109</v>
      </c>
      <c r="O384" s="32" t="s">
        <v>52</v>
      </c>
      <c r="P384" s="32">
        <v>38999.0</v>
      </c>
      <c r="Q384" s="34">
        <v>35099.0</v>
      </c>
      <c r="R384" s="40">
        <v>36999.0</v>
      </c>
      <c r="S384" s="35">
        <v>32759.16</v>
      </c>
      <c r="T384" s="36">
        <v>3.0</v>
      </c>
      <c r="U384" s="36">
        <v>1.0</v>
      </c>
      <c r="V384" s="36">
        <v>3.0</v>
      </c>
      <c r="W384" s="36">
        <v>2.0</v>
      </c>
      <c r="X384" s="36">
        <v>3.0</v>
      </c>
      <c r="Y384" s="36">
        <v>12.0</v>
      </c>
    </row>
    <row r="385">
      <c r="A385" s="32" t="s">
        <v>1530</v>
      </c>
      <c r="B385" s="32" t="s">
        <v>1530</v>
      </c>
      <c r="C385" s="32" t="s">
        <v>1531</v>
      </c>
      <c r="D385" s="32" t="s">
        <v>1532</v>
      </c>
      <c r="E385" s="32" t="s">
        <v>5073</v>
      </c>
      <c r="F385" s="32" t="e">
        <v>#N/A</v>
      </c>
      <c r="G385" s="39"/>
      <c r="H385" s="32" t="s">
        <v>1530</v>
      </c>
      <c r="I385" s="32" t="s">
        <v>5073</v>
      </c>
      <c r="J385" s="32" t="s">
        <v>1530</v>
      </c>
      <c r="K385" s="33" t="s">
        <v>1533</v>
      </c>
      <c r="L385" s="32">
        <v>3.2784111E7</v>
      </c>
      <c r="M385" s="32" t="s">
        <v>1534</v>
      </c>
      <c r="N385" s="32" t="s">
        <v>5112</v>
      </c>
      <c r="O385" s="32" t="s">
        <v>52</v>
      </c>
      <c r="P385" s="32">
        <v>14999.0</v>
      </c>
      <c r="Q385" s="34">
        <v>13499.0</v>
      </c>
      <c r="R385" s="40">
        <v>14199.0</v>
      </c>
      <c r="S385" s="35">
        <v>11549.23</v>
      </c>
      <c r="T385" s="36">
        <v>0.0</v>
      </c>
      <c r="U385" s="36">
        <v>0.0</v>
      </c>
      <c r="V385" s="36">
        <v>12.0</v>
      </c>
      <c r="W385" s="36">
        <v>0.0</v>
      </c>
      <c r="X385" s="36">
        <v>0.0</v>
      </c>
      <c r="Y385" s="36">
        <v>12.0</v>
      </c>
    </row>
    <row r="386">
      <c r="A386" s="32" t="s">
        <v>4542</v>
      </c>
      <c r="B386" s="32" t="s">
        <v>4542</v>
      </c>
      <c r="C386" s="32">
        <v>0.0</v>
      </c>
      <c r="D386" s="32" t="e">
        <v>#N/A</v>
      </c>
      <c r="E386" s="39"/>
      <c r="F386" s="32" t="e">
        <v>#N/A</v>
      </c>
      <c r="G386" s="39"/>
      <c r="H386" s="32">
        <v>0.0</v>
      </c>
      <c r="I386" s="39"/>
      <c r="J386" s="32" t="s">
        <v>4544</v>
      </c>
      <c r="K386" s="33" t="e">
        <v>#N/A</v>
      </c>
      <c r="L386" s="32" t="e">
        <v>#N/A</v>
      </c>
      <c r="M386" s="32" t="e">
        <v>#N/A</v>
      </c>
      <c r="N386" s="32" t="s">
        <v>5077</v>
      </c>
      <c r="O386" s="32" t="s">
        <v>4730</v>
      </c>
      <c r="P386" s="32">
        <v>1599.0</v>
      </c>
      <c r="Q386" s="34">
        <v>1519.0</v>
      </c>
      <c r="R386" s="40">
        <v>1519.0</v>
      </c>
      <c r="S386" s="35">
        <v>1439.1</v>
      </c>
      <c r="T386" s="36">
        <v>0.0</v>
      </c>
      <c r="U386" s="36">
        <v>0.0</v>
      </c>
      <c r="V386" s="36">
        <v>12.0</v>
      </c>
      <c r="W386" s="36">
        <v>0.0</v>
      </c>
      <c r="X386" s="36">
        <v>0.0</v>
      </c>
      <c r="Y386" s="36">
        <v>12.0</v>
      </c>
    </row>
    <row r="387">
      <c r="A387" s="32" t="s">
        <v>4302</v>
      </c>
      <c r="B387" s="32" t="s">
        <v>4302</v>
      </c>
      <c r="C387" s="32" t="s">
        <v>4303</v>
      </c>
      <c r="D387" s="32" t="s">
        <v>4304</v>
      </c>
      <c r="E387" s="32" t="s">
        <v>5073</v>
      </c>
      <c r="F387" s="32" t="e">
        <v>#N/A</v>
      </c>
      <c r="G387" s="38"/>
      <c r="H387" s="32">
        <v>0.0</v>
      </c>
      <c r="I387" s="39"/>
      <c r="J387" s="32" t="s">
        <v>4305</v>
      </c>
      <c r="K387" s="33" t="s">
        <v>4306</v>
      </c>
      <c r="L387" s="32" t="e">
        <v>#N/A</v>
      </c>
      <c r="M387" s="32" t="s">
        <v>4307</v>
      </c>
      <c r="N387" s="32" t="s">
        <v>5118</v>
      </c>
      <c r="O387" s="32" t="s">
        <v>52</v>
      </c>
      <c r="P387" s="32">
        <v>13799.0</v>
      </c>
      <c r="Q387" s="34">
        <v>12419.0</v>
      </c>
      <c r="R387" s="40">
        <v>13199.0</v>
      </c>
      <c r="S387" s="35">
        <v>12143.34</v>
      </c>
      <c r="T387" s="36">
        <v>0.0</v>
      </c>
      <c r="U387" s="36">
        <v>0.0</v>
      </c>
      <c r="V387" s="36">
        <v>10.0</v>
      </c>
      <c r="W387" s="36">
        <v>1.0</v>
      </c>
      <c r="X387" s="36">
        <v>0.0</v>
      </c>
      <c r="Y387" s="36">
        <v>11.0</v>
      </c>
    </row>
    <row r="388">
      <c r="A388" s="32" t="s">
        <v>2007</v>
      </c>
      <c r="B388" s="32" t="s">
        <v>2007</v>
      </c>
      <c r="C388" s="32" t="s">
        <v>2008</v>
      </c>
      <c r="D388" s="32" t="s">
        <v>2009</v>
      </c>
      <c r="E388" s="32" t="s">
        <v>5073</v>
      </c>
      <c r="F388" s="32" t="e">
        <v>#N/A</v>
      </c>
      <c r="G388" s="38"/>
      <c r="H388" s="32" t="s">
        <v>5135</v>
      </c>
      <c r="I388" s="32" t="s">
        <v>5102</v>
      </c>
      <c r="J388" s="32" t="s">
        <v>2010</v>
      </c>
      <c r="K388" s="33" t="s">
        <v>2011</v>
      </c>
      <c r="L388" s="32" t="e">
        <v>#N/A</v>
      </c>
      <c r="M388" s="32" t="e">
        <v>#N/A</v>
      </c>
      <c r="N388" s="32" t="s">
        <v>5132</v>
      </c>
      <c r="O388" s="32" t="s">
        <v>4730</v>
      </c>
      <c r="P388" s="32">
        <v>7499.0</v>
      </c>
      <c r="Q388" s="34">
        <v>5619.0</v>
      </c>
      <c r="R388" s="40">
        <v>6399.0</v>
      </c>
      <c r="S388" s="35">
        <v>5249.3</v>
      </c>
      <c r="T388" s="36">
        <v>5.0</v>
      </c>
      <c r="U388" s="36">
        <v>2.0</v>
      </c>
      <c r="V388" s="36">
        <v>0.0</v>
      </c>
      <c r="W388" s="36">
        <v>0.0</v>
      </c>
      <c r="X388" s="36">
        <v>4.0</v>
      </c>
      <c r="Y388" s="36">
        <v>11.0</v>
      </c>
    </row>
    <row r="389">
      <c r="A389" s="32" t="s">
        <v>258</v>
      </c>
      <c r="B389" s="32" t="s">
        <v>258</v>
      </c>
      <c r="C389" s="32" t="s">
        <v>259</v>
      </c>
      <c r="D389" s="32" t="s">
        <v>260</v>
      </c>
      <c r="E389" s="32" t="s">
        <v>5073</v>
      </c>
      <c r="F389" s="32" t="e">
        <v>#N/A</v>
      </c>
      <c r="G389" s="39"/>
      <c r="H389" s="32" t="s">
        <v>261</v>
      </c>
      <c r="I389" s="32" t="s">
        <v>5073</v>
      </c>
      <c r="J389" s="32" t="s">
        <v>262</v>
      </c>
      <c r="K389" s="33" t="s">
        <v>263</v>
      </c>
      <c r="L389" s="32">
        <v>3.27841E7</v>
      </c>
      <c r="M389" s="32" t="s">
        <v>264</v>
      </c>
      <c r="N389" s="32" t="s">
        <v>51</v>
      </c>
      <c r="O389" s="32" t="s">
        <v>52</v>
      </c>
      <c r="P389" s="32">
        <v>16599.0</v>
      </c>
      <c r="Q389" s="34">
        <v>13445.0</v>
      </c>
      <c r="R389" s="40">
        <v>14399.0</v>
      </c>
      <c r="S389" s="35">
        <v>12615.24</v>
      </c>
      <c r="T389" s="36">
        <v>0.0</v>
      </c>
      <c r="U389" s="36">
        <v>1.0</v>
      </c>
      <c r="V389" s="36">
        <v>5.0</v>
      </c>
      <c r="W389" s="36">
        <v>2.0</v>
      </c>
      <c r="X389" s="36">
        <v>3.0</v>
      </c>
      <c r="Y389" s="36">
        <v>11.0</v>
      </c>
    </row>
    <row r="390">
      <c r="A390" s="32" t="s">
        <v>505</v>
      </c>
      <c r="B390" s="32" t="s">
        <v>505</v>
      </c>
      <c r="C390" s="32" t="s">
        <v>506</v>
      </c>
      <c r="D390" s="32" t="s">
        <v>507</v>
      </c>
      <c r="E390" s="32" t="s">
        <v>5073</v>
      </c>
      <c r="F390" s="32" t="e">
        <v>#N/A</v>
      </c>
      <c r="G390" s="39"/>
      <c r="H390" s="32">
        <v>0.0</v>
      </c>
      <c r="I390" s="39"/>
      <c r="J390" s="32" t="s">
        <v>508</v>
      </c>
      <c r="K390" s="33" t="s">
        <v>509</v>
      </c>
      <c r="L390" s="32" t="e">
        <v>#N/A</v>
      </c>
      <c r="M390" s="32" t="s">
        <v>510</v>
      </c>
      <c r="N390" s="32" t="s">
        <v>51</v>
      </c>
      <c r="O390" s="32" t="s">
        <v>52</v>
      </c>
      <c r="P390" s="32">
        <v>15969.0</v>
      </c>
      <c r="Q390" s="34">
        <v>12935.0</v>
      </c>
      <c r="R390" s="40">
        <v>13899.0</v>
      </c>
      <c r="S390" s="35">
        <v>12136.44</v>
      </c>
      <c r="T390" s="36">
        <v>3.0</v>
      </c>
      <c r="U390" s="36">
        <v>2.0</v>
      </c>
      <c r="V390" s="36">
        <v>6.0</v>
      </c>
      <c r="W390" s="36">
        <v>0.0</v>
      </c>
      <c r="X390" s="36">
        <v>0.0</v>
      </c>
      <c r="Y390" s="36">
        <v>11.0</v>
      </c>
    </row>
    <row r="391">
      <c r="A391" s="32" t="s">
        <v>2604</v>
      </c>
      <c r="B391" s="32" t="s">
        <v>2604</v>
      </c>
      <c r="C391" s="32" t="s">
        <v>2605</v>
      </c>
      <c r="D391" s="32" t="s">
        <v>2606</v>
      </c>
      <c r="E391" s="32" t="s">
        <v>5117</v>
      </c>
      <c r="F391" s="32" t="e">
        <v>#N/A</v>
      </c>
      <c r="G391" s="32" t="e">
        <v>#N/A</v>
      </c>
      <c r="H391" s="32" t="s">
        <v>2604</v>
      </c>
      <c r="I391" s="32" t="s">
        <v>5102</v>
      </c>
      <c r="J391" s="32" t="s">
        <v>2604</v>
      </c>
      <c r="K391" s="33" t="s">
        <v>2607</v>
      </c>
      <c r="L391" s="32" t="e">
        <v>#N/A</v>
      </c>
      <c r="M391" s="32" t="s">
        <v>2608</v>
      </c>
      <c r="N391" s="32" t="s">
        <v>1195</v>
      </c>
      <c r="O391" s="32" t="s">
        <v>5114</v>
      </c>
      <c r="P391" s="32">
        <v>2989.0</v>
      </c>
      <c r="Q391" s="34">
        <v>2147.0</v>
      </c>
      <c r="R391" s="40">
        <v>2099.0</v>
      </c>
      <c r="S391" s="35">
        <v>2092.3</v>
      </c>
      <c r="T391" s="36">
        <v>2.0</v>
      </c>
      <c r="U391" s="36">
        <v>3.0</v>
      </c>
      <c r="V391" s="36">
        <v>1.0</v>
      </c>
      <c r="W391" s="36">
        <v>4.0</v>
      </c>
      <c r="X391" s="36">
        <v>1.0</v>
      </c>
      <c r="Y391" s="36">
        <v>11.0</v>
      </c>
    </row>
    <row r="392">
      <c r="A392" s="32" t="s">
        <v>2604</v>
      </c>
      <c r="B392" s="32" t="s">
        <v>2604</v>
      </c>
      <c r="C392" s="32" t="s">
        <v>4793</v>
      </c>
      <c r="D392" s="32" t="s">
        <v>4794</v>
      </c>
      <c r="E392" s="32" t="s">
        <v>5073</v>
      </c>
      <c r="F392" s="32" t="e">
        <v>#N/A</v>
      </c>
      <c r="G392" s="39"/>
      <c r="H392" s="32" t="e">
        <v>#N/A</v>
      </c>
      <c r="I392" s="39"/>
      <c r="J392" s="32" t="s">
        <v>4795</v>
      </c>
      <c r="K392" s="33" t="s">
        <v>2607</v>
      </c>
      <c r="L392" s="32" t="e">
        <v>#N/A</v>
      </c>
      <c r="M392" s="32" t="e">
        <v>#N/A</v>
      </c>
      <c r="N392" s="32" t="s">
        <v>1195</v>
      </c>
      <c r="O392" s="32" t="s">
        <v>5114</v>
      </c>
      <c r="P392" s="32">
        <v>2989.0</v>
      </c>
      <c r="Q392" s="34">
        <v>2147.0</v>
      </c>
      <c r="R392" s="40">
        <v>2099.0</v>
      </c>
      <c r="S392" s="35">
        <v>2092.3</v>
      </c>
      <c r="T392" s="36">
        <v>2.0</v>
      </c>
      <c r="U392" s="36">
        <v>3.0</v>
      </c>
      <c r="V392" s="36">
        <v>1.0</v>
      </c>
      <c r="W392" s="36">
        <v>4.0</v>
      </c>
      <c r="X392" s="36">
        <v>1.0</v>
      </c>
      <c r="Y392" s="36">
        <v>11.0</v>
      </c>
    </row>
    <row r="393">
      <c r="A393" s="32" t="s">
        <v>1425</v>
      </c>
      <c r="B393" s="32" t="s">
        <v>1425</v>
      </c>
      <c r="C393" s="32" t="s">
        <v>1426</v>
      </c>
      <c r="D393" s="32" t="s">
        <v>1427</v>
      </c>
      <c r="E393" s="32" t="s">
        <v>5073</v>
      </c>
      <c r="F393" s="32" t="e">
        <v>#N/A</v>
      </c>
      <c r="G393" s="39"/>
      <c r="H393" s="32" t="s">
        <v>1428</v>
      </c>
      <c r="I393" s="32" t="s">
        <v>5073</v>
      </c>
      <c r="J393" s="32" t="s">
        <v>1429</v>
      </c>
      <c r="K393" s="33" t="s">
        <v>1430</v>
      </c>
      <c r="L393" s="32">
        <v>3.1818447E7</v>
      </c>
      <c r="M393" s="32" t="e">
        <v>#N/A</v>
      </c>
      <c r="N393" s="32" t="s">
        <v>5089</v>
      </c>
      <c r="O393" s="32" t="s">
        <v>4730</v>
      </c>
      <c r="P393" s="32">
        <v>2999.0</v>
      </c>
      <c r="Q393" s="34">
        <v>2449.0</v>
      </c>
      <c r="R393" s="40">
        <v>2449.0</v>
      </c>
      <c r="S393" s="35">
        <v>2399.2</v>
      </c>
      <c r="T393" s="36">
        <v>0.0</v>
      </c>
      <c r="U393" s="36">
        <v>0.0</v>
      </c>
      <c r="V393" s="36">
        <v>7.0</v>
      </c>
      <c r="W393" s="36">
        <v>2.0</v>
      </c>
      <c r="X393" s="36">
        <v>2.0</v>
      </c>
      <c r="Y393" s="36">
        <v>11.0</v>
      </c>
    </row>
    <row r="394">
      <c r="A394" s="32" t="s">
        <v>2905</v>
      </c>
      <c r="B394" s="32" t="s">
        <v>2905</v>
      </c>
      <c r="C394" s="32" t="s">
        <v>2906</v>
      </c>
      <c r="D394" s="32" t="s">
        <v>2907</v>
      </c>
      <c r="E394" s="32" t="s">
        <v>5073</v>
      </c>
      <c r="F394" s="32" t="e">
        <v>#N/A</v>
      </c>
      <c r="G394" s="39"/>
      <c r="H394" s="32" t="s">
        <v>2908</v>
      </c>
      <c r="I394" s="32" t="s">
        <v>5073</v>
      </c>
      <c r="J394" s="32" t="s">
        <v>2909</v>
      </c>
      <c r="K394" s="33" t="s">
        <v>2910</v>
      </c>
      <c r="L394" s="32" t="e">
        <v>#N/A</v>
      </c>
      <c r="M394" s="32" t="e">
        <v>#N/A</v>
      </c>
      <c r="N394" s="32" t="s">
        <v>5116</v>
      </c>
      <c r="O394" s="32" t="s">
        <v>4730</v>
      </c>
      <c r="P394" s="32">
        <v>2699.0</v>
      </c>
      <c r="Q394" s="34">
        <v>2399.0</v>
      </c>
      <c r="R394" s="40">
        <v>2399.0</v>
      </c>
      <c r="S394" s="35">
        <v>2294.15</v>
      </c>
      <c r="T394" s="36">
        <v>2.0</v>
      </c>
      <c r="U394" s="36">
        <v>1.0</v>
      </c>
      <c r="V394" s="36">
        <v>3.0</v>
      </c>
      <c r="W394" s="36">
        <v>3.0</v>
      </c>
      <c r="X394" s="36">
        <v>2.0</v>
      </c>
      <c r="Y394" s="36">
        <v>11.0</v>
      </c>
    </row>
    <row r="395">
      <c r="A395" s="32" t="s">
        <v>1450</v>
      </c>
      <c r="B395" s="32" t="s">
        <v>1450</v>
      </c>
      <c r="C395" s="32" t="s">
        <v>1451</v>
      </c>
      <c r="D395" s="32" t="s">
        <v>1453</v>
      </c>
      <c r="E395" s="32" t="s">
        <v>5073</v>
      </c>
      <c r="F395" s="32" t="s">
        <v>1452</v>
      </c>
      <c r="G395" s="32" t="s">
        <v>5100</v>
      </c>
      <c r="H395" s="32" t="s">
        <v>1454</v>
      </c>
      <c r="I395" s="32" t="s">
        <v>5073</v>
      </c>
      <c r="J395" s="32" t="s">
        <v>1455</v>
      </c>
      <c r="K395" s="33" t="s">
        <v>1456</v>
      </c>
      <c r="L395" s="32">
        <v>3.1818375E7</v>
      </c>
      <c r="M395" s="32" t="e">
        <v>#N/A</v>
      </c>
      <c r="N395" s="32" t="s">
        <v>5089</v>
      </c>
      <c r="O395" s="32" t="s">
        <v>4730</v>
      </c>
      <c r="P395" s="32">
        <v>2999.0</v>
      </c>
      <c r="Q395" s="34">
        <v>2449.0</v>
      </c>
      <c r="R395" s="40">
        <v>2449.0</v>
      </c>
      <c r="S395" s="35">
        <v>2399.2</v>
      </c>
      <c r="T395" s="36">
        <v>0.0</v>
      </c>
      <c r="U395" s="36">
        <v>0.0</v>
      </c>
      <c r="V395" s="36">
        <v>11.0</v>
      </c>
      <c r="W395" s="36">
        <v>0.0</v>
      </c>
      <c r="X395" s="36">
        <v>0.0</v>
      </c>
      <c r="Y395" s="36">
        <v>11.0</v>
      </c>
    </row>
    <row r="396">
      <c r="A396" s="32" t="s">
        <v>1747</v>
      </c>
      <c r="B396" s="32" t="s">
        <v>1747</v>
      </c>
      <c r="C396" s="32" t="s">
        <v>1748</v>
      </c>
      <c r="D396" s="32" t="s">
        <v>1749</v>
      </c>
      <c r="E396" s="32" t="s">
        <v>5073</v>
      </c>
      <c r="F396" s="32" t="e">
        <v>#N/A</v>
      </c>
      <c r="G396" s="39"/>
      <c r="H396" s="32" t="s">
        <v>1750</v>
      </c>
      <c r="I396" s="32" t="s">
        <v>5073</v>
      </c>
      <c r="J396" s="32" t="s">
        <v>1751</v>
      </c>
      <c r="K396" s="33" t="s">
        <v>1752</v>
      </c>
      <c r="L396" s="32">
        <v>3.2784152E7</v>
      </c>
      <c r="M396" s="32" t="s">
        <v>1753</v>
      </c>
      <c r="N396" s="32" t="s">
        <v>5109</v>
      </c>
      <c r="O396" s="32" t="s">
        <v>52</v>
      </c>
      <c r="P396" s="32">
        <v>24999.0</v>
      </c>
      <c r="Q396" s="34">
        <v>22499.0</v>
      </c>
      <c r="R396" s="40">
        <v>23699.0</v>
      </c>
      <c r="S396" s="35">
        <v>20999.16</v>
      </c>
      <c r="T396" s="36">
        <v>1.0</v>
      </c>
      <c r="U396" s="36">
        <v>3.0</v>
      </c>
      <c r="V396" s="36">
        <v>4.0</v>
      </c>
      <c r="W396" s="36">
        <v>0.0</v>
      </c>
      <c r="X396" s="36">
        <v>3.0</v>
      </c>
      <c r="Y396" s="36">
        <v>11.0</v>
      </c>
    </row>
    <row r="397">
      <c r="A397" s="32" t="s">
        <v>1535</v>
      </c>
      <c r="B397" s="32" t="s">
        <v>1535</v>
      </c>
      <c r="C397" s="32" t="s">
        <v>1536</v>
      </c>
      <c r="D397" s="32" t="s">
        <v>1537</v>
      </c>
      <c r="E397" s="32" t="s">
        <v>5073</v>
      </c>
      <c r="F397" s="32" t="e">
        <v>#N/A</v>
      </c>
      <c r="G397" s="39"/>
      <c r="H397" s="32" t="s">
        <v>1535</v>
      </c>
      <c r="I397" s="32" t="s">
        <v>5073</v>
      </c>
      <c r="J397" s="32" t="s">
        <v>1535</v>
      </c>
      <c r="K397" s="33" t="s">
        <v>1538</v>
      </c>
      <c r="L397" s="32">
        <v>3.2783981E7</v>
      </c>
      <c r="M397" s="32" t="s">
        <v>1539</v>
      </c>
      <c r="N397" s="32" t="s">
        <v>5112</v>
      </c>
      <c r="O397" s="32" t="s">
        <v>52</v>
      </c>
      <c r="P397" s="32">
        <v>14999.0</v>
      </c>
      <c r="Q397" s="34">
        <v>13499.0</v>
      </c>
      <c r="R397" s="40">
        <v>14199.0</v>
      </c>
      <c r="S397" s="35">
        <v>11549.23</v>
      </c>
      <c r="T397" s="36">
        <v>1.0</v>
      </c>
      <c r="U397" s="36">
        <v>2.0</v>
      </c>
      <c r="V397" s="36">
        <v>3.0</v>
      </c>
      <c r="W397" s="36">
        <v>3.0</v>
      </c>
      <c r="X397" s="36">
        <v>2.0</v>
      </c>
      <c r="Y397" s="36">
        <v>11.0</v>
      </c>
    </row>
    <row r="398">
      <c r="A398" s="32" t="s">
        <v>4992</v>
      </c>
      <c r="B398" s="32" t="s">
        <v>4992</v>
      </c>
      <c r="C398" s="32" t="s">
        <v>4993</v>
      </c>
      <c r="D398" s="32" t="s">
        <v>4994</v>
      </c>
      <c r="E398" s="32" t="s">
        <v>5102</v>
      </c>
      <c r="F398" s="38"/>
      <c r="G398" s="38"/>
      <c r="H398" s="38"/>
      <c r="I398" s="38"/>
      <c r="J398" s="32" t="s">
        <v>4995</v>
      </c>
      <c r="K398" s="38"/>
      <c r="L398" s="38"/>
      <c r="M398" s="38"/>
      <c r="N398" s="32" t="s">
        <v>5077</v>
      </c>
      <c r="O398" s="32" t="s">
        <v>4730</v>
      </c>
      <c r="P398" s="32">
        <v>1599.0</v>
      </c>
      <c r="Q398" s="44">
        <v>1519.0</v>
      </c>
      <c r="R398" s="40">
        <v>1519.0</v>
      </c>
      <c r="S398" s="35">
        <v>1439.1</v>
      </c>
      <c r="T398" s="36">
        <v>10.0</v>
      </c>
      <c r="U398" s="36">
        <v>0.0</v>
      </c>
      <c r="V398" s="36">
        <v>1.0</v>
      </c>
      <c r="W398" s="36">
        <v>0.0</v>
      </c>
      <c r="X398" s="36">
        <v>0.0</v>
      </c>
      <c r="Y398" s="36">
        <v>11.0</v>
      </c>
    </row>
    <row r="399">
      <c r="A399" s="32" t="s">
        <v>2669</v>
      </c>
      <c r="B399" s="32" t="s">
        <v>2669</v>
      </c>
      <c r="C399" s="32">
        <v>0.0</v>
      </c>
      <c r="D399" s="32" t="e">
        <v>#N/A</v>
      </c>
      <c r="E399" s="39"/>
      <c r="F399" s="32" t="e">
        <v>#N/A</v>
      </c>
      <c r="G399" s="39"/>
      <c r="H399" s="32" t="e">
        <v>#N/A</v>
      </c>
      <c r="I399" s="39"/>
      <c r="J399" s="32">
        <v>0.0</v>
      </c>
      <c r="K399" s="33" t="e">
        <v>#N/A</v>
      </c>
      <c r="L399" s="32" t="e">
        <v>#N/A</v>
      </c>
      <c r="M399" s="32" t="e">
        <v>#N/A</v>
      </c>
      <c r="N399" s="32" t="e">
        <v>#N/A</v>
      </c>
      <c r="O399" s="32" t="e">
        <v>#N/A</v>
      </c>
      <c r="P399" s="32" t="e">
        <v>#REF!</v>
      </c>
      <c r="Q399" s="32" t="e">
        <v>#N/A</v>
      </c>
      <c r="R399" s="42" t="e">
        <v>#N/A</v>
      </c>
      <c r="S399" s="42" t="e">
        <v>#N/A</v>
      </c>
      <c r="T399" s="36">
        <v>0.0</v>
      </c>
      <c r="U399" s="36">
        <v>0.0</v>
      </c>
      <c r="V399" s="36">
        <v>11.0</v>
      </c>
      <c r="W399" s="36">
        <v>0.0</v>
      </c>
      <c r="X399" s="36">
        <v>0.0</v>
      </c>
      <c r="Y399" s="36">
        <v>11.0</v>
      </c>
    </row>
    <row r="400">
      <c r="A400" s="32" t="s">
        <v>4589</v>
      </c>
      <c r="B400" s="32" t="s">
        <v>4589</v>
      </c>
      <c r="C400" s="32">
        <v>0.0</v>
      </c>
      <c r="D400" s="32">
        <v>0.0</v>
      </c>
      <c r="E400" s="39"/>
      <c r="F400" s="32" t="e">
        <v>#N/A</v>
      </c>
      <c r="G400" s="39"/>
      <c r="H400" s="32">
        <v>0.0</v>
      </c>
      <c r="I400" s="39"/>
      <c r="J400" s="32" t="s">
        <v>4591</v>
      </c>
      <c r="K400" s="33" t="e">
        <v>#N/A</v>
      </c>
      <c r="L400" s="32" t="e">
        <v>#N/A</v>
      </c>
      <c r="M400" s="32" t="e">
        <v>#N/A</v>
      </c>
      <c r="N400" s="32" t="s">
        <v>5077</v>
      </c>
      <c r="O400" s="32" t="s">
        <v>4730</v>
      </c>
      <c r="P400" s="32">
        <v>1599.0</v>
      </c>
      <c r="Q400" s="34">
        <v>1519.0</v>
      </c>
      <c r="R400" s="40">
        <v>1519.0</v>
      </c>
      <c r="S400" s="35">
        <v>1439.1</v>
      </c>
      <c r="T400" s="36">
        <v>0.0</v>
      </c>
      <c r="U400" s="36">
        <v>0.0</v>
      </c>
      <c r="V400" s="36">
        <v>10.0</v>
      </c>
      <c r="W400" s="36">
        <v>0.0</v>
      </c>
      <c r="X400" s="36">
        <v>0.0</v>
      </c>
      <c r="Y400" s="36">
        <v>10.0</v>
      </c>
    </row>
    <row r="401">
      <c r="A401" s="32" t="s">
        <v>1004</v>
      </c>
      <c r="B401" s="32" t="s">
        <v>1004</v>
      </c>
      <c r="C401" s="32" t="s">
        <v>1005</v>
      </c>
      <c r="D401" s="32" t="s">
        <v>1006</v>
      </c>
      <c r="E401" s="32" t="s">
        <v>5073</v>
      </c>
      <c r="F401" s="32" t="e">
        <v>#N/A</v>
      </c>
      <c r="G401" s="32" t="e">
        <v>#N/A</v>
      </c>
      <c r="H401" s="32" t="s">
        <v>1007</v>
      </c>
      <c r="I401" s="32" t="s">
        <v>5073</v>
      </c>
      <c r="J401" s="32" t="s">
        <v>1008</v>
      </c>
      <c r="K401" s="33" t="s">
        <v>1009</v>
      </c>
      <c r="L401" s="32">
        <v>3.1999075E7</v>
      </c>
      <c r="M401" s="32" t="s">
        <v>1010</v>
      </c>
      <c r="N401" s="32" t="s">
        <v>5108</v>
      </c>
      <c r="O401" s="32" t="s">
        <v>52</v>
      </c>
      <c r="P401" s="32">
        <v>19399.0</v>
      </c>
      <c r="Q401" s="34">
        <v>16295.0</v>
      </c>
      <c r="R401" s="40">
        <v>17499.0</v>
      </c>
      <c r="S401" s="35">
        <v>15519.2</v>
      </c>
      <c r="T401" s="36">
        <v>6.0</v>
      </c>
      <c r="U401" s="36">
        <v>4.0</v>
      </c>
      <c r="V401" s="36">
        <v>0.0</v>
      </c>
      <c r="W401" s="36">
        <v>0.0</v>
      </c>
      <c r="X401" s="36">
        <v>0.0</v>
      </c>
      <c r="Y401" s="36">
        <v>10.0</v>
      </c>
    </row>
    <row r="402">
      <c r="A402" s="32" t="s">
        <v>943</v>
      </c>
      <c r="B402" s="32" t="s">
        <v>943</v>
      </c>
      <c r="C402" s="32" t="s">
        <v>944</v>
      </c>
      <c r="D402" s="32" t="s">
        <v>945</v>
      </c>
      <c r="E402" s="32" t="s">
        <v>5073</v>
      </c>
      <c r="F402" s="32" t="e">
        <v>#N/A</v>
      </c>
      <c r="G402" s="32" t="e">
        <v>#N/A</v>
      </c>
      <c r="H402" s="32" t="s">
        <v>946</v>
      </c>
      <c r="I402" s="32" t="s">
        <v>5073</v>
      </c>
      <c r="J402" s="32" t="s">
        <v>947</v>
      </c>
      <c r="K402" s="33" t="s">
        <v>948</v>
      </c>
      <c r="L402" s="32">
        <v>3.1999084E7</v>
      </c>
      <c r="M402" s="32" t="s">
        <v>949</v>
      </c>
      <c r="N402" s="32" t="s">
        <v>5108</v>
      </c>
      <c r="O402" s="32" t="s">
        <v>52</v>
      </c>
      <c r="P402" s="32">
        <v>19799.0</v>
      </c>
      <c r="Q402" s="34">
        <v>16631.0</v>
      </c>
      <c r="R402" s="40">
        <v>17799.0</v>
      </c>
      <c r="S402" s="35">
        <v>15839.2</v>
      </c>
      <c r="T402" s="36">
        <v>1.0</v>
      </c>
      <c r="U402" s="36">
        <v>0.0</v>
      </c>
      <c r="V402" s="36">
        <v>8.0</v>
      </c>
      <c r="W402" s="36">
        <v>0.0</v>
      </c>
      <c r="X402" s="36">
        <v>1.0</v>
      </c>
      <c r="Y402" s="36">
        <v>10.0</v>
      </c>
    </row>
    <row r="403">
      <c r="A403" s="32" t="s">
        <v>2679</v>
      </c>
      <c r="B403" s="32" t="s">
        <v>2679</v>
      </c>
      <c r="C403" s="32" t="s">
        <v>2680</v>
      </c>
      <c r="D403" s="32" t="s">
        <v>2681</v>
      </c>
      <c r="E403" s="32" t="s">
        <v>5073</v>
      </c>
      <c r="F403" s="32" t="e">
        <v>#N/A</v>
      </c>
      <c r="G403" s="39"/>
      <c r="H403" s="32" t="s">
        <v>2682</v>
      </c>
      <c r="I403" s="32" t="s">
        <v>5073</v>
      </c>
      <c r="J403" s="32" t="s">
        <v>2683</v>
      </c>
      <c r="K403" s="33" t="s">
        <v>2684</v>
      </c>
      <c r="L403" s="32">
        <v>3.181837E7</v>
      </c>
      <c r="M403" s="32" t="e">
        <v>#N/A</v>
      </c>
      <c r="N403" s="32" t="s">
        <v>5107</v>
      </c>
      <c r="O403" s="32" t="s">
        <v>4730</v>
      </c>
      <c r="P403" s="32">
        <v>1889.0</v>
      </c>
      <c r="Q403" s="34">
        <v>1548.0</v>
      </c>
      <c r="R403" s="40">
        <v>1548.0</v>
      </c>
      <c r="S403" s="35">
        <v>1416.75</v>
      </c>
      <c r="T403" s="36">
        <v>0.0</v>
      </c>
      <c r="U403" s="36">
        <v>0.0</v>
      </c>
      <c r="V403" s="36">
        <v>10.0</v>
      </c>
      <c r="W403" s="36">
        <v>0.0</v>
      </c>
      <c r="X403" s="36">
        <v>0.0</v>
      </c>
      <c r="Y403" s="36">
        <v>10.0</v>
      </c>
    </row>
    <row r="404">
      <c r="A404" s="32" t="s">
        <v>3917</v>
      </c>
      <c r="B404" s="32" t="s">
        <v>3917</v>
      </c>
      <c r="C404" s="32">
        <v>0.0</v>
      </c>
      <c r="D404" s="32" t="e">
        <v>#N/A</v>
      </c>
      <c r="E404" s="39"/>
      <c r="F404" s="32" t="e">
        <v>#N/A</v>
      </c>
      <c r="G404" s="39"/>
      <c r="H404" s="32" t="e">
        <v>#N/A</v>
      </c>
      <c r="I404" s="39"/>
      <c r="J404" s="32">
        <v>0.0</v>
      </c>
      <c r="K404" s="33" t="e">
        <v>#N/A</v>
      </c>
      <c r="L404" s="32" t="e">
        <v>#N/A</v>
      </c>
      <c r="M404" s="32" t="e">
        <v>#N/A</v>
      </c>
      <c r="N404" s="32" t="e">
        <v>#N/A</v>
      </c>
      <c r="O404" s="32" t="e">
        <v>#N/A</v>
      </c>
      <c r="P404" s="32" t="e">
        <v>#REF!</v>
      </c>
      <c r="Q404" s="32" t="e">
        <v>#N/A</v>
      </c>
      <c r="R404" s="42" t="e">
        <v>#N/A</v>
      </c>
      <c r="S404" s="42" t="e">
        <v>#N/A</v>
      </c>
      <c r="T404" s="36">
        <v>1.0</v>
      </c>
      <c r="U404" s="36">
        <v>0.0</v>
      </c>
      <c r="V404" s="36">
        <v>8.0</v>
      </c>
      <c r="W404" s="36">
        <v>0.0</v>
      </c>
      <c r="X404" s="36">
        <v>0.0</v>
      </c>
      <c r="Y404" s="36">
        <v>9.0</v>
      </c>
    </row>
    <row r="405">
      <c r="A405" s="32" t="s">
        <v>1053</v>
      </c>
      <c r="B405" s="32" t="s">
        <v>1053</v>
      </c>
      <c r="C405" s="32" t="s">
        <v>1054</v>
      </c>
      <c r="D405" s="32" t="s">
        <v>1055</v>
      </c>
      <c r="E405" s="32" t="s">
        <v>5102</v>
      </c>
      <c r="F405" s="32" t="e">
        <v>#N/A</v>
      </c>
      <c r="G405" s="32" t="e">
        <v>#N/A</v>
      </c>
      <c r="H405" s="32">
        <v>0.0</v>
      </c>
      <c r="I405" s="39"/>
      <c r="J405" s="32" t="s">
        <v>1056</v>
      </c>
      <c r="K405" s="33" t="s">
        <v>1057</v>
      </c>
      <c r="L405" s="32" t="e">
        <v>#N/A</v>
      </c>
      <c r="M405" s="32" t="e">
        <v>#N/A</v>
      </c>
      <c r="N405" s="32" t="s">
        <v>5108</v>
      </c>
      <c r="O405" s="32" t="s">
        <v>52</v>
      </c>
      <c r="P405" s="32">
        <v>22999.0</v>
      </c>
      <c r="Q405" s="34">
        <v>19319.0</v>
      </c>
      <c r="R405" s="40">
        <v>20699.0</v>
      </c>
      <c r="S405" s="35">
        <v>18399.2</v>
      </c>
      <c r="T405" s="36">
        <v>0.0</v>
      </c>
      <c r="U405" s="36">
        <v>0.0</v>
      </c>
      <c r="V405" s="36">
        <v>9.0</v>
      </c>
      <c r="W405" s="36">
        <v>0.0</v>
      </c>
      <c r="X405" s="36">
        <v>0.0</v>
      </c>
      <c r="Y405" s="36">
        <v>9.0</v>
      </c>
    </row>
    <row r="406">
      <c r="A406" s="32" t="s">
        <v>1022</v>
      </c>
      <c r="B406" s="32" t="s">
        <v>1022</v>
      </c>
      <c r="C406" s="32" t="s">
        <v>1023</v>
      </c>
      <c r="D406" s="32" t="s">
        <v>1024</v>
      </c>
      <c r="E406" s="32" t="s">
        <v>5073</v>
      </c>
      <c r="F406" s="32" t="e">
        <v>#N/A</v>
      </c>
      <c r="G406" s="32" t="e">
        <v>#N/A</v>
      </c>
      <c r="H406" s="32">
        <v>0.0</v>
      </c>
      <c r="I406" s="39"/>
      <c r="J406" s="32" t="s">
        <v>1025</v>
      </c>
      <c r="K406" s="33" t="s">
        <v>1026</v>
      </c>
      <c r="L406" s="32" t="e">
        <v>#N/A</v>
      </c>
      <c r="M406" s="32" t="e">
        <v>#N/A</v>
      </c>
      <c r="N406" s="32" t="s">
        <v>5108</v>
      </c>
      <c r="O406" s="32" t="s">
        <v>52</v>
      </c>
      <c r="P406" s="32">
        <v>19999.0</v>
      </c>
      <c r="Q406" s="34">
        <v>16799.0</v>
      </c>
      <c r="R406" s="40">
        <v>17999.0</v>
      </c>
      <c r="S406" s="35">
        <v>15999.2</v>
      </c>
      <c r="T406" s="36">
        <v>0.0</v>
      </c>
      <c r="U406" s="36">
        <v>0.0</v>
      </c>
      <c r="V406" s="36">
        <v>9.0</v>
      </c>
      <c r="W406" s="36">
        <v>0.0</v>
      </c>
      <c r="X406" s="36">
        <v>0.0</v>
      </c>
      <c r="Y406" s="36">
        <v>9.0</v>
      </c>
    </row>
    <row r="407">
      <c r="A407" s="32" t="s">
        <v>3927</v>
      </c>
      <c r="B407" s="32" t="s">
        <v>3927</v>
      </c>
      <c r="C407" s="32" t="s">
        <v>3928</v>
      </c>
      <c r="D407" s="32" t="s">
        <v>3929</v>
      </c>
      <c r="E407" s="32" t="s">
        <v>5073</v>
      </c>
      <c r="F407" s="32" t="e">
        <v>#N/A</v>
      </c>
      <c r="G407" s="38"/>
      <c r="H407" s="32">
        <v>0.0</v>
      </c>
      <c r="I407" s="39"/>
      <c r="J407" s="32" t="s">
        <v>3930</v>
      </c>
      <c r="K407" s="33" t="s">
        <v>3931</v>
      </c>
      <c r="L407" s="32" t="e">
        <v>#N/A</v>
      </c>
      <c r="M407" s="32" t="s">
        <v>3932</v>
      </c>
      <c r="N407" s="32" t="s">
        <v>5118</v>
      </c>
      <c r="O407" s="32" t="s">
        <v>52</v>
      </c>
      <c r="P407" s="32">
        <v>8799.0</v>
      </c>
      <c r="Q407" s="34">
        <v>7919.0</v>
      </c>
      <c r="R407" s="40">
        <v>8399.0</v>
      </c>
      <c r="S407" s="35">
        <v>7721.34</v>
      </c>
      <c r="T407" s="36">
        <v>0.0</v>
      </c>
      <c r="U407" s="36">
        <v>0.0</v>
      </c>
      <c r="V407" s="36">
        <v>0.0</v>
      </c>
      <c r="W407" s="36">
        <v>0.0</v>
      </c>
      <c r="X407" s="36">
        <v>9.0</v>
      </c>
      <c r="Y407" s="36">
        <v>9.0</v>
      </c>
    </row>
    <row r="408">
      <c r="A408" s="32" t="s">
        <v>4433</v>
      </c>
      <c r="B408" s="32" t="s">
        <v>4433</v>
      </c>
      <c r="C408" s="32" t="s">
        <v>4434</v>
      </c>
      <c r="D408" s="32" t="s">
        <v>4435</v>
      </c>
      <c r="E408" s="32" t="s">
        <v>5073</v>
      </c>
      <c r="F408" s="32" t="e">
        <v>#N/A</v>
      </c>
      <c r="G408" s="39"/>
      <c r="H408" s="32">
        <v>0.0</v>
      </c>
      <c r="I408" s="39"/>
      <c r="J408" s="32" t="s">
        <v>4436</v>
      </c>
      <c r="K408" s="33" t="s">
        <v>4437</v>
      </c>
      <c r="L408" s="32" t="e">
        <v>#N/A</v>
      </c>
      <c r="M408" s="32" t="e">
        <v>#N/A</v>
      </c>
      <c r="N408" s="32" t="s">
        <v>5077</v>
      </c>
      <c r="O408" s="32" t="s">
        <v>4730</v>
      </c>
      <c r="P408" s="32">
        <v>999.0</v>
      </c>
      <c r="Q408" s="34">
        <v>949.0</v>
      </c>
      <c r="R408" s="35">
        <v>949.0</v>
      </c>
      <c r="S408" s="35">
        <v>899.1</v>
      </c>
      <c r="T408" s="36">
        <v>6.0</v>
      </c>
      <c r="U408" s="36">
        <v>0.0</v>
      </c>
      <c r="V408" s="36">
        <v>0.0</v>
      </c>
      <c r="W408" s="36">
        <v>0.0</v>
      </c>
      <c r="X408" s="36">
        <v>3.0</v>
      </c>
      <c r="Y408" s="36">
        <v>9.0</v>
      </c>
    </row>
    <row r="409">
      <c r="A409" s="32" t="s">
        <v>4438</v>
      </c>
      <c r="B409" s="32" t="s">
        <v>4438</v>
      </c>
      <c r="C409" s="32" t="s">
        <v>4439</v>
      </c>
      <c r="D409" s="32" t="s">
        <v>4440</v>
      </c>
      <c r="E409" s="32" t="s">
        <v>5073</v>
      </c>
      <c r="F409" s="32" t="e">
        <v>#N/A</v>
      </c>
      <c r="G409" s="39"/>
      <c r="H409" s="32">
        <v>0.0</v>
      </c>
      <c r="I409" s="39"/>
      <c r="J409" s="32" t="s">
        <v>4441</v>
      </c>
      <c r="K409" s="33" t="s">
        <v>4442</v>
      </c>
      <c r="L409" s="32" t="e">
        <v>#N/A</v>
      </c>
      <c r="M409" s="32" t="e">
        <v>#N/A</v>
      </c>
      <c r="N409" s="32" t="s">
        <v>5077</v>
      </c>
      <c r="O409" s="32" t="s">
        <v>4730</v>
      </c>
      <c r="P409" s="32">
        <v>999.0</v>
      </c>
      <c r="Q409" s="34">
        <v>949.0</v>
      </c>
      <c r="R409" s="35">
        <v>949.0</v>
      </c>
      <c r="S409" s="35">
        <v>899.1</v>
      </c>
      <c r="T409" s="36">
        <v>0.0</v>
      </c>
      <c r="U409" s="36">
        <v>7.0</v>
      </c>
      <c r="V409" s="36">
        <v>2.0</v>
      </c>
      <c r="W409" s="36">
        <v>0.0</v>
      </c>
      <c r="X409" s="36">
        <v>0.0</v>
      </c>
      <c r="Y409" s="36">
        <v>9.0</v>
      </c>
    </row>
    <row r="410">
      <c r="A410" s="32" t="s">
        <v>2268</v>
      </c>
      <c r="B410" s="32" t="s">
        <v>2268</v>
      </c>
      <c r="C410" s="32" t="s">
        <v>2269</v>
      </c>
      <c r="D410" s="32" t="s">
        <v>2270</v>
      </c>
      <c r="E410" s="32" t="s">
        <v>5073</v>
      </c>
      <c r="F410" s="32" t="e">
        <v>#N/A</v>
      </c>
      <c r="G410" s="39"/>
      <c r="H410" s="32" t="s">
        <v>2271</v>
      </c>
      <c r="I410" s="32" t="s">
        <v>5073</v>
      </c>
      <c r="J410" s="32" t="s">
        <v>2272</v>
      </c>
      <c r="K410" s="33" t="s">
        <v>2273</v>
      </c>
      <c r="L410" s="32">
        <v>3.1862328E7</v>
      </c>
      <c r="M410" s="32" t="e">
        <v>#N/A</v>
      </c>
      <c r="N410" s="32" t="s">
        <v>5077</v>
      </c>
      <c r="O410" s="32" t="s">
        <v>4730</v>
      </c>
      <c r="P410" s="32">
        <v>989.0</v>
      </c>
      <c r="Q410" s="34">
        <v>940.0</v>
      </c>
      <c r="R410" s="35">
        <v>940.0</v>
      </c>
      <c r="S410" s="35">
        <v>890.1</v>
      </c>
      <c r="T410" s="36">
        <v>0.0</v>
      </c>
      <c r="U410" s="36">
        <v>0.0</v>
      </c>
      <c r="V410" s="36">
        <v>9.0</v>
      </c>
      <c r="W410" s="36">
        <v>0.0</v>
      </c>
      <c r="X410" s="36">
        <v>0.0</v>
      </c>
      <c r="Y410" s="36">
        <v>9.0</v>
      </c>
    </row>
    <row r="411">
      <c r="A411" s="32" t="s">
        <v>1351</v>
      </c>
      <c r="B411" s="32" t="s">
        <v>1351</v>
      </c>
      <c r="C411" s="32" t="s">
        <v>1352</v>
      </c>
      <c r="D411" s="32" t="s">
        <v>1353</v>
      </c>
      <c r="E411" s="32" t="s">
        <v>5073</v>
      </c>
      <c r="F411" s="32" t="e">
        <v>#N/A</v>
      </c>
      <c r="G411" s="39"/>
      <c r="H411" s="32" t="s">
        <v>1354</v>
      </c>
      <c r="I411" s="32" t="s">
        <v>5073</v>
      </c>
      <c r="J411" s="32" t="s">
        <v>1355</v>
      </c>
      <c r="K411" s="33" t="s">
        <v>1356</v>
      </c>
      <c r="L411" s="32">
        <v>3.1818436E7</v>
      </c>
      <c r="M411" s="32" t="e">
        <v>#N/A</v>
      </c>
      <c r="N411" s="32" t="s">
        <v>5089</v>
      </c>
      <c r="O411" s="32" t="s">
        <v>4730</v>
      </c>
      <c r="P411" s="32">
        <v>2649.0</v>
      </c>
      <c r="Q411" s="34">
        <v>2164.0</v>
      </c>
      <c r="R411" s="40">
        <v>2199.0</v>
      </c>
      <c r="S411" s="35">
        <v>2119.2</v>
      </c>
      <c r="T411" s="36">
        <v>0.0</v>
      </c>
      <c r="U411" s="36">
        <v>1.0</v>
      </c>
      <c r="V411" s="36">
        <v>7.0</v>
      </c>
      <c r="W411" s="36">
        <v>1.0</v>
      </c>
      <c r="X411" s="36">
        <v>0.0</v>
      </c>
      <c r="Y411" s="36">
        <v>9.0</v>
      </c>
    </row>
    <row r="412">
      <c r="A412" s="32" t="s">
        <v>1237</v>
      </c>
      <c r="B412" s="32" t="s">
        <v>1237</v>
      </c>
      <c r="C412" s="32" t="s">
        <v>1238</v>
      </c>
      <c r="D412" s="32" t="s">
        <v>1239</v>
      </c>
      <c r="E412" s="32" t="s">
        <v>5073</v>
      </c>
      <c r="F412" s="32" t="e">
        <v>#N/A</v>
      </c>
      <c r="G412" s="39"/>
      <c r="H412" s="32" t="s">
        <v>1240</v>
      </c>
      <c r="I412" s="32" t="s">
        <v>5073</v>
      </c>
      <c r="J412" s="32" t="s">
        <v>1241</v>
      </c>
      <c r="K412" s="33" t="s">
        <v>1242</v>
      </c>
      <c r="L412" s="32">
        <v>3.1818443E7</v>
      </c>
      <c r="M412" s="32" t="e">
        <v>#N/A</v>
      </c>
      <c r="N412" s="32" t="s">
        <v>5089</v>
      </c>
      <c r="O412" s="32" t="s">
        <v>4730</v>
      </c>
      <c r="P412" s="32">
        <v>1999.0</v>
      </c>
      <c r="Q412" s="34">
        <v>1629.0</v>
      </c>
      <c r="R412" s="40">
        <v>1629.0</v>
      </c>
      <c r="S412" s="35">
        <v>1599.2</v>
      </c>
      <c r="T412" s="36">
        <v>0.0</v>
      </c>
      <c r="U412" s="36">
        <v>0.0</v>
      </c>
      <c r="V412" s="36">
        <v>9.0</v>
      </c>
      <c r="W412" s="36">
        <v>0.0</v>
      </c>
      <c r="X412" s="36">
        <v>0.0</v>
      </c>
      <c r="Y412" s="36">
        <v>9.0</v>
      </c>
    </row>
    <row r="413">
      <c r="A413" s="32" t="s">
        <v>1595</v>
      </c>
      <c r="B413" s="32" t="s">
        <v>1595</v>
      </c>
      <c r="C413" s="32" t="s">
        <v>1596</v>
      </c>
      <c r="D413" s="32" t="s">
        <v>1597</v>
      </c>
      <c r="E413" s="32" t="s">
        <v>5073</v>
      </c>
      <c r="F413" s="32" t="e">
        <v>#N/A</v>
      </c>
      <c r="G413" s="39"/>
      <c r="H413" s="32" t="s">
        <v>1595</v>
      </c>
      <c r="I413" s="32" t="s">
        <v>5073</v>
      </c>
      <c r="J413" s="32" t="s">
        <v>1595</v>
      </c>
      <c r="K413" s="33" t="s">
        <v>1598</v>
      </c>
      <c r="L413" s="32">
        <v>3.2783924E7</v>
      </c>
      <c r="M413" s="32" t="s">
        <v>1599</v>
      </c>
      <c r="N413" s="32" t="s">
        <v>5112</v>
      </c>
      <c r="O413" s="32" t="s">
        <v>52</v>
      </c>
      <c r="P413" s="32">
        <v>25999.0</v>
      </c>
      <c r="Q413" s="34">
        <v>23399.0</v>
      </c>
      <c r="R413" s="40">
        <v>24699.0</v>
      </c>
      <c r="S413" s="35">
        <v>20019.23</v>
      </c>
      <c r="T413" s="36">
        <v>0.0</v>
      </c>
      <c r="U413" s="36">
        <v>2.0</v>
      </c>
      <c r="V413" s="36">
        <v>5.0</v>
      </c>
      <c r="W413" s="36">
        <v>0.0</v>
      </c>
      <c r="X413" s="36">
        <v>2.0</v>
      </c>
      <c r="Y413" s="36">
        <v>9.0</v>
      </c>
    </row>
    <row r="414">
      <c r="A414" s="32" t="s">
        <v>2721</v>
      </c>
      <c r="B414" s="32" t="s">
        <v>2721</v>
      </c>
      <c r="C414" s="32">
        <v>0.0</v>
      </c>
      <c r="D414" s="32" t="e">
        <v>#N/A</v>
      </c>
      <c r="E414" s="39"/>
      <c r="F414" s="32" t="e">
        <v>#N/A</v>
      </c>
      <c r="G414" s="39"/>
      <c r="H414" s="32" t="e">
        <v>#N/A</v>
      </c>
      <c r="I414" s="39"/>
      <c r="J414" s="32">
        <v>0.0</v>
      </c>
      <c r="K414" s="33" t="e">
        <v>#N/A</v>
      </c>
      <c r="L414" s="32" t="e">
        <v>#N/A</v>
      </c>
      <c r="M414" s="32" t="e">
        <v>#N/A</v>
      </c>
      <c r="N414" s="32" t="e">
        <v>#N/A</v>
      </c>
      <c r="O414" s="32" t="e">
        <v>#N/A</v>
      </c>
      <c r="P414" s="32" t="e">
        <v>#REF!</v>
      </c>
      <c r="Q414" s="32" t="e">
        <v>#N/A</v>
      </c>
      <c r="R414" s="42" t="e">
        <v>#N/A</v>
      </c>
      <c r="S414" s="42" t="e">
        <v>#N/A</v>
      </c>
      <c r="T414" s="36">
        <v>5.0</v>
      </c>
      <c r="U414" s="36">
        <v>2.0</v>
      </c>
      <c r="V414" s="36">
        <v>1.0</v>
      </c>
      <c r="W414" s="36">
        <v>0.0</v>
      </c>
      <c r="X414" s="36">
        <v>0.0</v>
      </c>
      <c r="Y414" s="36">
        <v>8.0</v>
      </c>
    </row>
    <row r="415">
      <c r="A415" s="32" t="s">
        <v>3824</v>
      </c>
      <c r="B415" s="32" t="s">
        <v>3824</v>
      </c>
      <c r="C415" s="32" t="s">
        <v>3825</v>
      </c>
      <c r="D415" s="32" t="s">
        <v>3826</v>
      </c>
      <c r="E415" s="32" t="s">
        <v>5073</v>
      </c>
      <c r="F415" s="32" t="e">
        <v>#N/A</v>
      </c>
      <c r="G415" s="32" t="e">
        <v>#N/A</v>
      </c>
      <c r="H415" s="32">
        <v>0.0</v>
      </c>
      <c r="I415" s="32">
        <v>0.0</v>
      </c>
      <c r="J415" s="32" t="s">
        <v>3827</v>
      </c>
      <c r="K415" s="33" t="s">
        <v>3828</v>
      </c>
      <c r="L415" s="32" t="e">
        <v>#N/A</v>
      </c>
      <c r="M415" s="32" t="s">
        <v>3829</v>
      </c>
      <c r="N415" s="32" t="s">
        <v>5136</v>
      </c>
      <c r="O415" s="32" t="s">
        <v>52</v>
      </c>
      <c r="P415" s="32">
        <v>5999.0</v>
      </c>
      <c r="Q415" s="45">
        <v>5099.0</v>
      </c>
      <c r="R415" s="40">
        <v>5199.0</v>
      </c>
      <c r="S415" s="35">
        <v>4799.2</v>
      </c>
      <c r="T415" s="36">
        <v>0.0</v>
      </c>
      <c r="U415" s="36">
        <v>0.0</v>
      </c>
      <c r="V415" s="36">
        <v>8.0</v>
      </c>
      <c r="W415" s="36">
        <v>0.0</v>
      </c>
      <c r="X415" s="36">
        <v>0.0</v>
      </c>
      <c r="Y415" s="36">
        <v>8.0</v>
      </c>
    </row>
    <row r="416">
      <c r="A416" s="32" t="s">
        <v>4114</v>
      </c>
      <c r="B416" s="32" t="s">
        <v>4114</v>
      </c>
      <c r="C416" s="32" t="s">
        <v>4115</v>
      </c>
      <c r="D416" s="32" t="s">
        <v>4116</v>
      </c>
      <c r="E416" s="32" t="s">
        <v>5073</v>
      </c>
      <c r="F416" s="32" t="e">
        <v>#N/A</v>
      </c>
      <c r="G416" s="38"/>
      <c r="H416" s="32">
        <v>0.0</v>
      </c>
      <c r="I416" s="39"/>
      <c r="J416" s="32" t="s">
        <v>4117</v>
      </c>
      <c r="K416" s="33" t="s">
        <v>4118</v>
      </c>
      <c r="L416" s="32" t="e">
        <v>#N/A</v>
      </c>
      <c r="M416" s="32" t="s">
        <v>4119</v>
      </c>
      <c r="N416" s="32" t="s">
        <v>5118</v>
      </c>
      <c r="O416" s="32" t="s">
        <v>52</v>
      </c>
      <c r="P416" s="32">
        <v>14999.0</v>
      </c>
      <c r="Q416" s="34">
        <v>13499.0</v>
      </c>
      <c r="R416" s="40">
        <v>14399.0</v>
      </c>
      <c r="S416" s="35">
        <v>13199.34</v>
      </c>
      <c r="T416" s="36">
        <v>0.0</v>
      </c>
      <c r="U416" s="36">
        <v>0.0</v>
      </c>
      <c r="V416" s="36">
        <v>6.0</v>
      </c>
      <c r="W416" s="36">
        <v>2.0</v>
      </c>
      <c r="X416" s="36">
        <v>0.0</v>
      </c>
      <c r="Y416" s="36">
        <v>8.0</v>
      </c>
    </row>
    <row r="417">
      <c r="A417" s="32" t="s">
        <v>4784</v>
      </c>
      <c r="B417" s="32" t="s">
        <v>4784</v>
      </c>
      <c r="C417" s="32" t="s">
        <v>4785</v>
      </c>
      <c r="D417" s="32" t="s">
        <v>4786</v>
      </c>
      <c r="E417" s="32" t="s">
        <v>5100</v>
      </c>
      <c r="F417" s="32" t="e">
        <v>#N/A</v>
      </c>
      <c r="G417" s="38"/>
      <c r="H417" s="32" t="s">
        <v>5137</v>
      </c>
      <c r="I417" s="32" t="s">
        <v>5102</v>
      </c>
      <c r="J417" s="32" t="s">
        <v>4787</v>
      </c>
      <c r="K417" s="33" t="s">
        <v>4788</v>
      </c>
      <c r="L417" s="32" t="e">
        <v>#N/A</v>
      </c>
      <c r="M417" s="32" t="e">
        <v>#N/A</v>
      </c>
      <c r="N417" s="32" t="s">
        <v>5132</v>
      </c>
      <c r="O417" s="32" t="s">
        <v>4730</v>
      </c>
      <c r="P417" s="32">
        <v>8999.0</v>
      </c>
      <c r="Q417" s="34">
        <v>6741.0</v>
      </c>
      <c r="R417" s="40">
        <v>7599.0</v>
      </c>
      <c r="S417" s="35">
        <v>6299.3</v>
      </c>
      <c r="T417" s="36">
        <v>0.0</v>
      </c>
      <c r="U417" s="36">
        <v>4.0</v>
      </c>
      <c r="V417" s="36">
        <v>0.0</v>
      </c>
      <c r="W417" s="36">
        <v>0.0</v>
      </c>
      <c r="X417" s="36">
        <v>4.0</v>
      </c>
      <c r="Y417" s="36">
        <v>8.0</v>
      </c>
    </row>
    <row r="418">
      <c r="A418" s="32" t="s">
        <v>709</v>
      </c>
      <c r="B418" s="32" t="s">
        <v>709</v>
      </c>
      <c r="C418" s="32" t="s">
        <v>710</v>
      </c>
      <c r="D418" s="32" t="s">
        <v>711</v>
      </c>
      <c r="E418" s="32" t="s">
        <v>5073</v>
      </c>
      <c r="F418" s="32" t="e">
        <v>#N/A</v>
      </c>
      <c r="G418" s="39"/>
      <c r="H418" s="32">
        <v>0.0</v>
      </c>
      <c r="I418" s="39"/>
      <c r="J418" s="32" t="s">
        <v>712</v>
      </c>
      <c r="K418" s="33" t="s">
        <v>713</v>
      </c>
      <c r="L418" s="32" t="e">
        <v>#N/A</v>
      </c>
      <c r="M418" s="32" t="e">
        <v>#REF!</v>
      </c>
      <c r="N418" s="32" t="s">
        <v>51</v>
      </c>
      <c r="O418" s="32" t="s">
        <v>52</v>
      </c>
      <c r="P418" s="32">
        <v>16239.0</v>
      </c>
      <c r="Q418" s="34">
        <v>13154.0</v>
      </c>
      <c r="R418" s="40">
        <v>14099.0</v>
      </c>
      <c r="S418" s="35">
        <v>12341.64</v>
      </c>
      <c r="T418" s="36">
        <v>0.0</v>
      </c>
      <c r="U418" s="36">
        <v>1.0</v>
      </c>
      <c r="V418" s="36">
        <v>5.0</v>
      </c>
      <c r="W418" s="36">
        <v>1.0</v>
      </c>
      <c r="X418" s="36">
        <v>1.0</v>
      </c>
      <c r="Y418" s="36">
        <v>8.0</v>
      </c>
    </row>
    <row r="419">
      <c r="A419" s="32" t="s">
        <v>74</v>
      </c>
      <c r="B419" s="32" t="s">
        <v>74</v>
      </c>
      <c r="C419" s="32" t="s">
        <v>75</v>
      </c>
      <c r="D419" s="32" t="s">
        <v>76</v>
      </c>
      <c r="E419" s="32" t="s">
        <v>5073</v>
      </c>
      <c r="F419" s="32" t="e">
        <v>#N/A</v>
      </c>
      <c r="G419" s="39"/>
      <c r="H419" s="32" t="s">
        <v>77</v>
      </c>
      <c r="I419" s="32" t="s">
        <v>5073</v>
      </c>
      <c r="J419" s="32" t="s">
        <v>78</v>
      </c>
      <c r="K419" s="33" t="s">
        <v>79</v>
      </c>
      <c r="L419" s="32">
        <v>3.2783928E7</v>
      </c>
      <c r="M419" s="32" t="s">
        <v>80</v>
      </c>
      <c r="N419" s="32" t="s">
        <v>51</v>
      </c>
      <c r="O419" s="32" t="s">
        <v>52</v>
      </c>
      <c r="P419" s="32">
        <v>12299.0</v>
      </c>
      <c r="Q419" s="34">
        <v>9962.0</v>
      </c>
      <c r="R419" s="40">
        <v>10699.0</v>
      </c>
      <c r="S419" s="35">
        <v>9347.24</v>
      </c>
      <c r="T419" s="36">
        <v>4.0</v>
      </c>
      <c r="U419" s="36">
        <v>2.0</v>
      </c>
      <c r="V419" s="36">
        <v>2.0</v>
      </c>
      <c r="W419" s="36">
        <v>0.0</v>
      </c>
      <c r="X419" s="36">
        <v>0.0</v>
      </c>
      <c r="Y419" s="36">
        <v>8.0</v>
      </c>
    </row>
    <row r="420">
      <c r="A420" s="32" t="s">
        <v>2587</v>
      </c>
      <c r="B420" s="32" t="s">
        <v>2587</v>
      </c>
      <c r="C420" s="32" t="s">
        <v>2588</v>
      </c>
      <c r="D420" s="32" t="s">
        <v>2589</v>
      </c>
      <c r="E420" s="32" t="s">
        <v>5100</v>
      </c>
      <c r="F420" s="32" t="e">
        <v>#N/A</v>
      </c>
      <c r="G420" s="39"/>
      <c r="H420" s="32" t="s">
        <v>2590</v>
      </c>
      <c r="I420" s="32" t="s">
        <v>5117</v>
      </c>
      <c r="J420" s="32" t="s">
        <v>2591</v>
      </c>
      <c r="K420" s="33" t="s">
        <v>2592</v>
      </c>
      <c r="L420" s="32" t="e">
        <v>#N/A</v>
      </c>
      <c r="M420" s="32" t="s">
        <v>2593</v>
      </c>
      <c r="N420" s="32" t="s">
        <v>1195</v>
      </c>
      <c r="O420" s="32" t="s">
        <v>5114</v>
      </c>
      <c r="P420" s="32">
        <v>2989.0</v>
      </c>
      <c r="Q420" s="34">
        <v>2147.0</v>
      </c>
      <c r="R420" s="40">
        <v>2099.0</v>
      </c>
      <c r="S420" s="35">
        <v>2092.3</v>
      </c>
      <c r="T420" s="36">
        <v>0.0</v>
      </c>
      <c r="U420" s="36">
        <v>0.0</v>
      </c>
      <c r="V420" s="36">
        <v>8.0</v>
      </c>
      <c r="W420" s="36">
        <v>0.0</v>
      </c>
      <c r="X420" s="36">
        <v>0.0</v>
      </c>
      <c r="Y420" s="36">
        <v>8.0</v>
      </c>
    </row>
    <row r="421">
      <c r="A421" s="32" t="s">
        <v>2225</v>
      </c>
      <c r="B421" s="32" t="s">
        <v>2225</v>
      </c>
      <c r="C421" s="32" t="s">
        <v>2226</v>
      </c>
      <c r="D421" s="32" t="s">
        <v>2227</v>
      </c>
      <c r="E421" s="32" t="s">
        <v>5073</v>
      </c>
      <c r="F421" s="32" t="e">
        <v>#N/A</v>
      </c>
      <c r="G421" s="39"/>
      <c r="H421" s="32">
        <v>0.0</v>
      </c>
      <c r="I421" s="39"/>
      <c r="J421" s="32" t="s">
        <v>2228</v>
      </c>
      <c r="K421" s="33" t="s">
        <v>2229</v>
      </c>
      <c r="L421" s="32" t="e">
        <v>#N/A</v>
      </c>
      <c r="M421" s="32" t="e">
        <v>#N/A</v>
      </c>
      <c r="N421" s="32" t="s">
        <v>5077</v>
      </c>
      <c r="O421" s="32" t="s">
        <v>4730</v>
      </c>
      <c r="P421" s="32">
        <v>789.0</v>
      </c>
      <c r="Q421" s="34">
        <v>750.0</v>
      </c>
      <c r="R421" s="35">
        <v>750.0</v>
      </c>
      <c r="S421" s="35">
        <v>710.1</v>
      </c>
      <c r="T421" s="36">
        <v>8.0</v>
      </c>
      <c r="U421" s="36">
        <v>0.0</v>
      </c>
      <c r="V421" s="36">
        <v>0.0</v>
      </c>
      <c r="W421" s="36">
        <v>0.0</v>
      </c>
      <c r="X421" s="36">
        <v>0.0</v>
      </c>
      <c r="Y421" s="36">
        <v>8.0</v>
      </c>
    </row>
    <row r="422">
      <c r="A422" s="32" t="s">
        <v>2644</v>
      </c>
      <c r="B422" s="32" t="s">
        <v>2644</v>
      </c>
      <c r="C422" s="32" t="s">
        <v>2645</v>
      </c>
      <c r="D422" s="32" t="s">
        <v>2647</v>
      </c>
      <c r="E422" s="32" t="s">
        <v>5073</v>
      </c>
      <c r="F422" s="32" t="e">
        <v>#N/A</v>
      </c>
      <c r="G422" s="32" t="e">
        <v>#N/A</v>
      </c>
      <c r="H422" s="32" t="s">
        <v>2648</v>
      </c>
      <c r="I422" s="32" t="s">
        <v>5073</v>
      </c>
      <c r="J422" s="32" t="s">
        <v>2649</v>
      </c>
      <c r="K422" s="33" t="s">
        <v>2650</v>
      </c>
      <c r="L422" s="32">
        <v>3.1818418E7</v>
      </c>
      <c r="M422" s="32" t="e">
        <v>#N/A</v>
      </c>
      <c r="N422" s="32" t="s">
        <v>5107</v>
      </c>
      <c r="O422" s="32" t="s">
        <v>4730</v>
      </c>
      <c r="P422" s="32">
        <v>1389.0</v>
      </c>
      <c r="Q422" s="34">
        <v>1138.0</v>
      </c>
      <c r="R422" s="40">
        <v>1138.0</v>
      </c>
      <c r="S422" s="35">
        <v>1041.75</v>
      </c>
      <c r="T422" s="36">
        <v>0.0</v>
      </c>
      <c r="U422" s="36">
        <v>0.0</v>
      </c>
      <c r="V422" s="36">
        <v>2.0</v>
      </c>
      <c r="W422" s="36">
        <v>2.0</v>
      </c>
      <c r="X422" s="36">
        <v>4.0</v>
      </c>
      <c r="Y422" s="36">
        <v>8.0</v>
      </c>
    </row>
    <row r="423">
      <c r="A423" s="32" t="s">
        <v>1475</v>
      </c>
      <c r="B423" s="32" t="s">
        <v>1475</v>
      </c>
      <c r="C423" s="32" t="s">
        <v>1476</v>
      </c>
      <c r="D423" s="32" t="s">
        <v>1477</v>
      </c>
      <c r="E423" s="32" t="s">
        <v>5073</v>
      </c>
      <c r="F423" s="32" t="e">
        <v>#N/A</v>
      </c>
      <c r="G423" s="39"/>
      <c r="H423" s="32" t="s">
        <v>1478</v>
      </c>
      <c r="I423" s="32" t="s">
        <v>5073</v>
      </c>
      <c r="J423" s="32" t="s">
        <v>1479</v>
      </c>
      <c r="K423" s="33" t="s">
        <v>1480</v>
      </c>
      <c r="L423" s="32">
        <v>3.1818368E7</v>
      </c>
      <c r="M423" s="32" t="e">
        <v>#N/A</v>
      </c>
      <c r="N423" s="32" t="s">
        <v>5089</v>
      </c>
      <c r="O423" s="32" t="s">
        <v>4730</v>
      </c>
      <c r="P423" s="32">
        <v>2999.0</v>
      </c>
      <c r="Q423" s="34">
        <v>2449.0</v>
      </c>
      <c r="R423" s="40">
        <v>2449.0</v>
      </c>
      <c r="S423" s="35">
        <v>2399.2</v>
      </c>
      <c r="T423" s="36">
        <v>2.0</v>
      </c>
      <c r="U423" s="36">
        <v>0.0</v>
      </c>
      <c r="V423" s="36">
        <v>4.0</v>
      </c>
      <c r="W423" s="36">
        <v>2.0</v>
      </c>
      <c r="X423" s="36">
        <v>0.0</v>
      </c>
      <c r="Y423" s="36">
        <v>8.0</v>
      </c>
    </row>
    <row r="424">
      <c r="A424" s="32" t="s">
        <v>4545</v>
      </c>
      <c r="B424" s="32" t="s">
        <v>4545</v>
      </c>
      <c r="C424" s="32">
        <v>0.0</v>
      </c>
      <c r="D424" s="32" t="e">
        <v>#N/A</v>
      </c>
      <c r="E424" s="39"/>
      <c r="F424" s="32" t="e">
        <v>#N/A</v>
      </c>
      <c r="G424" s="39"/>
      <c r="H424" s="32">
        <v>0.0</v>
      </c>
      <c r="I424" s="39"/>
      <c r="J424" s="32" t="s">
        <v>4547</v>
      </c>
      <c r="K424" s="33" t="e">
        <v>#N/A</v>
      </c>
      <c r="L424" s="32" t="e">
        <v>#N/A</v>
      </c>
      <c r="M424" s="32" t="e">
        <v>#N/A</v>
      </c>
      <c r="N424" s="32" t="s">
        <v>5077</v>
      </c>
      <c r="O424" s="32" t="s">
        <v>4730</v>
      </c>
      <c r="P424" s="32">
        <v>1599.0</v>
      </c>
      <c r="Q424" s="34">
        <v>1519.0</v>
      </c>
      <c r="R424" s="40">
        <v>1519.0</v>
      </c>
      <c r="S424" s="35">
        <v>1439.1</v>
      </c>
      <c r="T424" s="36">
        <v>0.0</v>
      </c>
      <c r="U424" s="36">
        <v>0.0</v>
      </c>
      <c r="V424" s="36">
        <v>8.0</v>
      </c>
      <c r="W424" s="36">
        <v>0.0</v>
      </c>
      <c r="X424" s="36">
        <v>0.0</v>
      </c>
      <c r="Y424" s="36">
        <v>8.0</v>
      </c>
    </row>
    <row r="425">
      <c r="A425" s="32" t="s">
        <v>2804</v>
      </c>
      <c r="B425" s="32" t="s">
        <v>2804</v>
      </c>
      <c r="C425" s="32">
        <v>0.0</v>
      </c>
      <c r="D425" s="32" t="e">
        <v>#N/A</v>
      </c>
      <c r="E425" s="39"/>
      <c r="F425" s="32" t="e">
        <v>#N/A</v>
      </c>
      <c r="G425" s="39"/>
      <c r="H425" s="32" t="e">
        <v>#N/A</v>
      </c>
      <c r="I425" s="39"/>
      <c r="J425" s="32">
        <v>0.0</v>
      </c>
      <c r="K425" s="33" t="e">
        <v>#N/A</v>
      </c>
      <c r="L425" s="32" t="e">
        <v>#N/A</v>
      </c>
      <c r="M425" s="32" t="e">
        <v>#N/A</v>
      </c>
      <c r="N425" s="32" t="e">
        <v>#N/A</v>
      </c>
      <c r="O425" s="32" t="e">
        <v>#N/A</v>
      </c>
      <c r="P425" s="32" t="e">
        <v>#REF!</v>
      </c>
      <c r="Q425" s="32" t="e">
        <v>#N/A</v>
      </c>
      <c r="R425" s="42" t="e">
        <v>#N/A</v>
      </c>
      <c r="S425" s="42" t="e">
        <v>#N/A</v>
      </c>
      <c r="T425" s="36">
        <v>6.0</v>
      </c>
      <c r="U425" s="36">
        <v>1.0</v>
      </c>
      <c r="V425" s="36">
        <v>0.0</v>
      </c>
      <c r="W425" s="36">
        <v>0.0</v>
      </c>
      <c r="X425" s="36">
        <v>0.0</v>
      </c>
      <c r="Y425" s="36">
        <v>7.0</v>
      </c>
    </row>
    <row r="426">
      <c r="A426" s="32" t="s">
        <v>3002</v>
      </c>
      <c r="B426" s="32" t="s">
        <v>3002</v>
      </c>
      <c r="C426" s="32" t="s">
        <v>3003</v>
      </c>
      <c r="D426" s="32" t="s">
        <v>3004</v>
      </c>
      <c r="E426" s="32" t="s">
        <v>5073</v>
      </c>
      <c r="F426" s="32" t="e">
        <v>#N/A</v>
      </c>
      <c r="G426" s="32" t="e">
        <v>#N/A</v>
      </c>
      <c r="H426" s="32" t="s">
        <v>3005</v>
      </c>
      <c r="I426" s="32" t="s">
        <v>5073</v>
      </c>
      <c r="J426" s="32" t="s">
        <v>3006</v>
      </c>
      <c r="K426" s="33" t="s">
        <v>3007</v>
      </c>
      <c r="L426" s="32" t="e">
        <v>#N/A</v>
      </c>
      <c r="M426" s="32" t="e">
        <v>#N/A</v>
      </c>
      <c r="N426" s="32" t="s">
        <v>5131</v>
      </c>
      <c r="O426" s="32" t="s">
        <v>4730</v>
      </c>
      <c r="P426" s="32">
        <v>2089.0</v>
      </c>
      <c r="Q426" s="34">
        <v>1799.0</v>
      </c>
      <c r="R426" s="40">
        <v>1799.0</v>
      </c>
      <c r="S426" s="35">
        <v>1699.0</v>
      </c>
      <c r="T426" s="36">
        <v>0.0</v>
      </c>
      <c r="U426" s="36">
        <v>0.0</v>
      </c>
      <c r="V426" s="36">
        <v>7.0</v>
      </c>
      <c r="W426" s="36">
        <v>0.0</v>
      </c>
      <c r="X426" s="36">
        <v>0.0</v>
      </c>
      <c r="Y426" s="36">
        <v>7.0</v>
      </c>
    </row>
    <row r="427">
      <c r="A427" s="32" t="s">
        <v>3229</v>
      </c>
      <c r="B427" s="32" t="s">
        <v>3229</v>
      </c>
      <c r="C427" s="32" t="s">
        <v>3230</v>
      </c>
      <c r="D427" s="32" t="s">
        <v>3231</v>
      </c>
      <c r="E427" s="32" t="s">
        <v>5073</v>
      </c>
      <c r="F427" s="32" t="e">
        <v>#N/A</v>
      </c>
      <c r="G427" s="32" t="e">
        <v>#N/A</v>
      </c>
      <c r="H427" s="32" t="s">
        <v>3232</v>
      </c>
      <c r="I427" s="32" t="s">
        <v>5073</v>
      </c>
      <c r="J427" s="32" t="s">
        <v>3233</v>
      </c>
      <c r="K427" s="33" t="s">
        <v>3234</v>
      </c>
      <c r="L427" s="32">
        <v>3.1818371E7</v>
      </c>
      <c r="M427" s="32" t="e">
        <v>#N/A</v>
      </c>
      <c r="N427" s="32" t="s">
        <v>5086</v>
      </c>
      <c r="O427" s="32" t="s">
        <v>4730</v>
      </c>
      <c r="P427" s="32">
        <v>1889.0</v>
      </c>
      <c r="Q427" s="34">
        <v>1699.0</v>
      </c>
      <c r="R427" s="40">
        <v>1699.0</v>
      </c>
      <c r="S427" s="35">
        <v>1605.65</v>
      </c>
      <c r="T427" s="36">
        <v>0.0</v>
      </c>
      <c r="U427" s="36">
        <v>0.0</v>
      </c>
      <c r="V427" s="36">
        <v>7.0</v>
      </c>
      <c r="W427" s="36">
        <v>0.0</v>
      </c>
      <c r="X427" s="36">
        <v>0.0</v>
      </c>
      <c r="Y427" s="36">
        <v>7.0</v>
      </c>
    </row>
    <row r="428">
      <c r="A428" s="32" t="s">
        <v>3253</v>
      </c>
      <c r="B428" s="32" t="s">
        <v>3253</v>
      </c>
      <c r="C428" s="32" t="s">
        <v>3254</v>
      </c>
      <c r="D428" s="32" t="s">
        <v>3255</v>
      </c>
      <c r="E428" s="32" t="s">
        <v>5073</v>
      </c>
      <c r="F428" s="32" t="e">
        <v>#N/A</v>
      </c>
      <c r="G428" s="32" t="e">
        <v>#N/A</v>
      </c>
      <c r="H428" s="32" t="s">
        <v>3256</v>
      </c>
      <c r="I428" s="32" t="s">
        <v>5073</v>
      </c>
      <c r="J428" s="32" t="s">
        <v>3257</v>
      </c>
      <c r="K428" s="33" t="s">
        <v>3258</v>
      </c>
      <c r="L428" s="32">
        <v>3.1818464E7</v>
      </c>
      <c r="M428" s="32" t="e">
        <v>#N/A</v>
      </c>
      <c r="N428" s="32" t="s">
        <v>5086</v>
      </c>
      <c r="O428" s="32" t="s">
        <v>4730</v>
      </c>
      <c r="P428" s="32">
        <v>1989.0</v>
      </c>
      <c r="Q428" s="34">
        <v>1799.0</v>
      </c>
      <c r="R428" s="40">
        <v>1799.0</v>
      </c>
      <c r="S428" s="35">
        <v>1690.65</v>
      </c>
      <c r="T428" s="36">
        <v>0.0</v>
      </c>
      <c r="U428" s="36">
        <v>0.0</v>
      </c>
      <c r="V428" s="36">
        <v>7.0</v>
      </c>
      <c r="W428" s="36">
        <v>0.0</v>
      </c>
      <c r="X428" s="36">
        <v>0.0</v>
      </c>
      <c r="Y428" s="36">
        <v>7.0</v>
      </c>
    </row>
    <row r="429">
      <c r="A429" s="32" t="s">
        <v>3211</v>
      </c>
      <c r="B429" s="32" t="s">
        <v>3211</v>
      </c>
      <c r="C429" s="32" t="s">
        <v>3212</v>
      </c>
      <c r="D429" s="32" t="s">
        <v>3213</v>
      </c>
      <c r="E429" s="32" t="s">
        <v>5073</v>
      </c>
      <c r="F429" s="32" t="e">
        <v>#N/A</v>
      </c>
      <c r="G429" s="38"/>
      <c r="H429" s="32" t="s">
        <v>3214</v>
      </c>
      <c r="I429" s="32" t="s">
        <v>5073</v>
      </c>
      <c r="J429" s="32" t="s">
        <v>3215</v>
      </c>
      <c r="K429" s="33" t="s">
        <v>3216</v>
      </c>
      <c r="L429" s="32">
        <v>3.1818446E7</v>
      </c>
      <c r="M429" s="32" t="e">
        <v>#N/A</v>
      </c>
      <c r="N429" s="32" t="s">
        <v>5086</v>
      </c>
      <c r="O429" s="32" t="s">
        <v>4730</v>
      </c>
      <c r="P429" s="32">
        <v>1389.0</v>
      </c>
      <c r="Q429" s="34">
        <v>1249.0</v>
      </c>
      <c r="R429" s="40">
        <v>1299.0</v>
      </c>
      <c r="S429" s="35">
        <v>1180.65</v>
      </c>
      <c r="T429" s="36">
        <v>0.0</v>
      </c>
      <c r="U429" s="36">
        <v>1.0</v>
      </c>
      <c r="V429" s="36">
        <v>6.0</v>
      </c>
      <c r="W429" s="36">
        <v>0.0</v>
      </c>
      <c r="X429" s="36">
        <v>0.0</v>
      </c>
      <c r="Y429" s="36">
        <v>7.0</v>
      </c>
    </row>
    <row r="430">
      <c r="A430" s="32" t="s">
        <v>232</v>
      </c>
      <c r="B430" s="32" t="s">
        <v>232</v>
      </c>
      <c r="C430" s="32" t="s">
        <v>233</v>
      </c>
      <c r="D430" s="32" t="s">
        <v>234</v>
      </c>
      <c r="E430" s="32" t="s">
        <v>5073</v>
      </c>
      <c r="F430" s="32" t="e">
        <v>#N/A</v>
      </c>
      <c r="G430" s="39"/>
      <c r="H430" s="32" t="s">
        <v>235</v>
      </c>
      <c r="I430" s="32" t="s">
        <v>5073</v>
      </c>
      <c r="J430" s="32" t="s">
        <v>236</v>
      </c>
      <c r="K430" s="33" t="s">
        <v>237</v>
      </c>
      <c r="L430" s="32">
        <v>3.2783804E7</v>
      </c>
      <c r="M430" s="32" t="s">
        <v>238</v>
      </c>
      <c r="N430" s="32" t="s">
        <v>51</v>
      </c>
      <c r="O430" s="32" t="s">
        <v>52</v>
      </c>
      <c r="P430" s="32">
        <v>14499.0</v>
      </c>
      <c r="Q430" s="34">
        <v>11744.0</v>
      </c>
      <c r="R430" s="40">
        <v>12599.0</v>
      </c>
      <c r="S430" s="35">
        <v>11019.24</v>
      </c>
      <c r="T430" s="36">
        <v>1.0</v>
      </c>
      <c r="U430" s="36">
        <v>2.0</v>
      </c>
      <c r="V430" s="36">
        <v>2.0</v>
      </c>
      <c r="W430" s="36">
        <v>1.0</v>
      </c>
      <c r="X430" s="36">
        <v>1.0</v>
      </c>
      <c r="Y430" s="36">
        <v>7.0</v>
      </c>
    </row>
    <row r="431">
      <c r="A431" s="32" t="s">
        <v>734</v>
      </c>
      <c r="B431" s="32" t="s">
        <v>734</v>
      </c>
      <c r="C431" s="32" t="s">
        <v>735</v>
      </c>
      <c r="D431" s="32" t="s">
        <v>736</v>
      </c>
      <c r="E431" s="32" t="s">
        <v>5073</v>
      </c>
      <c r="F431" s="32" t="e">
        <v>#N/A</v>
      </c>
      <c r="G431" s="39"/>
      <c r="H431" s="32">
        <v>0.0</v>
      </c>
      <c r="I431" s="39"/>
      <c r="J431" s="32" t="s">
        <v>737</v>
      </c>
      <c r="K431" s="33" t="s">
        <v>738</v>
      </c>
      <c r="L431" s="32" t="e">
        <v>#N/A</v>
      </c>
      <c r="M431" s="32" t="e">
        <v>#REF!</v>
      </c>
      <c r="N431" s="32" t="s">
        <v>51</v>
      </c>
      <c r="O431" s="32" t="s">
        <v>52</v>
      </c>
      <c r="P431" s="32">
        <v>13549.0</v>
      </c>
      <c r="Q431" s="34">
        <v>10975.0</v>
      </c>
      <c r="R431" s="40">
        <v>11799.0</v>
      </c>
      <c r="S431" s="35">
        <v>10297.24</v>
      </c>
      <c r="T431" s="36">
        <v>0.0</v>
      </c>
      <c r="U431" s="36">
        <v>0.0</v>
      </c>
      <c r="V431" s="36">
        <v>4.0</v>
      </c>
      <c r="W431" s="36">
        <v>1.0</v>
      </c>
      <c r="X431" s="36">
        <v>2.0</v>
      </c>
      <c r="Y431" s="36">
        <v>7.0</v>
      </c>
    </row>
    <row r="432">
      <c r="A432" s="32" t="s">
        <v>2609</v>
      </c>
      <c r="B432" s="32" t="s">
        <v>2609</v>
      </c>
      <c r="C432" s="32" t="s">
        <v>2610</v>
      </c>
      <c r="D432" s="32" t="s">
        <v>2611</v>
      </c>
      <c r="E432" s="32" t="s">
        <v>5073</v>
      </c>
      <c r="F432" s="32" t="e">
        <v>#N/A</v>
      </c>
      <c r="G432" s="39"/>
      <c r="H432" s="32">
        <v>0.0</v>
      </c>
      <c r="I432" s="39"/>
      <c r="J432" s="32" t="s">
        <v>2609</v>
      </c>
      <c r="K432" s="33" t="s">
        <v>2612</v>
      </c>
      <c r="L432" s="32" t="e">
        <v>#N/A</v>
      </c>
      <c r="M432" s="32" t="s">
        <v>2613</v>
      </c>
      <c r="N432" s="32" t="s">
        <v>1195</v>
      </c>
      <c r="O432" s="32" t="s">
        <v>5114</v>
      </c>
      <c r="P432" s="32">
        <v>3489.0</v>
      </c>
      <c r="Q432" s="34">
        <v>2507.0</v>
      </c>
      <c r="R432" s="40">
        <v>2499.0</v>
      </c>
      <c r="S432" s="35">
        <v>2442.3</v>
      </c>
      <c r="T432" s="36">
        <v>5.0</v>
      </c>
      <c r="U432" s="36">
        <v>0.0</v>
      </c>
      <c r="V432" s="36">
        <v>1.0</v>
      </c>
      <c r="W432" s="36">
        <v>0.0</v>
      </c>
      <c r="X432" s="36">
        <v>1.0</v>
      </c>
      <c r="Y432" s="36">
        <v>7.0</v>
      </c>
    </row>
    <row r="433">
      <c r="A433" s="32" t="s">
        <v>3430</v>
      </c>
      <c r="B433" s="32" t="s">
        <v>3430</v>
      </c>
      <c r="C433" s="32" t="s">
        <v>3431</v>
      </c>
      <c r="D433" s="32" t="s">
        <v>3433</v>
      </c>
      <c r="E433" s="32" t="s">
        <v>5073</v>
      </c>
      <c r="F433" s="32" t="e">
        <v>#N/A</v>
      </c>
      <c r="G433" s="32" t="e">
        <v>#N/A</v>
      </c>
      <c r="H433" s="32" t="s">
        <v>3430</v>
      </c>
      <c r="I433" s="32" t="s">
        <v>5073</v>
      </c>
      <c r="J433" s="32" t="s">
        <v>3434</v>
      </c>
      <c r="K433" s="33" t="s">
        <v>3435</v>
      </c>
      <c r="L433" s="32" t="e">
        <v>#N/A</v>
      </c>
      <c r="M433" s="32" t="e">
        <v>#N/A</v>
      </c>
      <c r="N433" s="32" t="s">
        <v>5078</v>
      </c>
      <c r="O433" s="32" t="s">
        <v>4730</v>
      </c>
      <c r="P433" s="32">
        <v>649.0</v>
      </c>
      <c r="Q433" s="34">
        <v>642.51</v>
      </c>
      <c r="R433" s="35">
        <v>649.0</v>
      </c>
      <c r="S433" s="35">
        <v>616.55</v>
      </c>
      <c r="T433" s="36">
        <v>0.0</v>
      </c>
      <c r="U433" s="36">
        <v>0.0</v>
      </c>
      <c r="V433" s="36">
        <v>7.0</v>
      </c>
      <c r="W433" s="36">
        <v>0.0</v>
      </c>
      <c r="X433" s="36">
        <v>0.0</v>
      </c>
      <c r="Y433" s="36">
        <v>7.0</v>
      </c>
    </row>
    <row r="434">
      <c r="A434" s="32" t="s">
        <v>1481</v>
      </c>
      <c r="B434" s="32" t="s">
        <v>1481</v>
      </c>
      <c r="C434" s="32" t="s">
        <v>1482</v>
      </c>
      <c r="D434" s="32" t="s">
        <v>1483</v>
      </c>
      <c r="E434" s="32" t="s">
        <v>5073</v>
      </c>
      <c r="F434" s="32" t="e">
        <v>#N/A</v>
      </c>
      <c r="G434" s="39"/>
      <c r="H434" s="32" t="s">
        <v>1484</v>
      </c>
      <c r="I434" s="32" t="s">
        <v>5073</v>
      </c>
      <c r="J434" s="32" t="s">
        <v>1485</v>
      </c>
      <c r="K434" s="33" t="s">
        <v>1486</v>
      </c>
      <c r="L434" s="32">
        <v>3.1818471E7</v>
      </c>
      <c r="M434" s="32" t="e">
        <v>#N/A</v>
      </c>
      <c r="N434" s="32" t="s">
        <v>5089</v>
      </c>
      <c r="O434" s="32" t="s">
        <v>4730</v>
      </c>
      <c r="P434" s="32">
        <v>2999.0</v>
      </c>
      <c r="Q434" s="34">
        <v>2449.0</v>
      </c>
      <c r="R434" s="40">
        <v>2449.0</v>
      </c>
      <c r="S434" s="35">
        <v>2399.2</v>
      </c>
      <c r="T434" s="36">
        <v>0.0</v>
      </c>
      <c r="U434" s="36">
        <v>0.0</v>
      </c>
      <c r="V434" s="36">
        <v>7.0</v>
      </c>
      <c r="W434" s="36">
        <v>0.0</v>
      </c>
      <c r="X434" s="36">
        <v>0.0</v>
      </c>
      <c r="Y434" s="36">
        <v>7.0</v>
      </c>
    </row>
    <row r="435">
      <c r="A435" s="32" t="s">
        <v>3686</v>
      </c>
      <c r="B435" s="32" t="s">
        <v>3686</v>
      </c>
      <c r="C435" s="32" t="s">
        <v>3687</v>
      </c>
      <c r="D435" s="32" t="s">
        <v>3688</v>
      </c>
      <c r="E435" s="32" t="s">
        <v>5073</v>
      </c>
      <c r="F435" s="32" t="e">
        <v>#N/A</v>
      </c>
      <c r="G435" s="32" t="e">
        <v>#N/A</v>
      </c>
      <c r="H435" s="32" t="s">
        <v>3686</v>
      </c>
      <c r="I435" s="32" t="s">
        <v>5073</v>
      </c>
      <c r="J435" s="32" t="s">
        <v>3689</v>
      </c>
      <c r="K435" s="33" t="s">
        <v>3690</v>
      </c>
      <c r="L435" s="32" t="e">
        <v>#N/A</v>
      </c>
      <c r="M435" s="32" t="e">
        <v>#N/A</v>
      </c>
      <c r="N435" s="32" t="s">
        <v>5127</v>
      </c>
      <c r="O435" s="32" t="s">
        <v>4730</v>
      </c>
      <c r="P435" s="32">
        <v>999.0</v>
      </c>
      <c r="Q435" s="34">
        <v>899.0</v>
      </c>
      <c r="R435" s="35">
        <v>899.0</v>
      </c>
      <c r="S435" s="35">
        <v>849.0</v>
      </c>
      <c r="T435" s="36">
        <v>0.0</v>
      </c>
      <c r="U435" s="36">
        <v>0.0</v>
      </c>
      <c r="V435" s="36">
        <v>6.0</v>
      </c>
      <c r="W435" s="36">
        <v>0.0</v>
      </c>
      <c r="X435" s="36">
        <v>0.0</v>
      </c>
      <c r="Y435" s="36">
        <v>6.0</v>
      </c>
    </row>
    <row r="436">
      <c r="A436" s="32" t="s">
        <v>4336</v>
      </c>
      <c r="B436" s="32" t="s">
        <v>4336</v>
      </c>
      <c r="C436" s="32" t="s">
        <v>4337</v>
      </c>
      <c r="D436" s="32" t="s">
        <v>4338</v>
      </c>
      <c r="E436" s="32" t="s">
        <v>5073</v>
      </c>
      <c r="F436" s="32" t="e">
        <v>#N/A</v>
      </c>
      <c r="G436" s="38"/>
      <c r="H436" s="32">
        <v>0.0</v>
      </c>
      <c r="I436" s="39"/>
      <c r="J436" s="32" t="s">
        <v>4339</v>
      </c>
      <c r="K436" s="33" t="s">
        <v>4340</v>
      </c>
      <c r="L436" s="32" t="e">
        <v>#N/A</v>
      </c>
      <c r="M436" s="32" t="s">
        <v>4341</v>
      </c>
      <c r="N436" s="32" t="s">
        <v>5118</v>
      </c>
      <c r="O436" s="32" t="s">
        <v>52</v>
      </c>
      <c r="P436" s="32">
        <v>14799.0</v>
      </c>
      <c r="Q436" s="34">
        <v>13319.0</v>
      </c>
      <c r="R436" s="40">
        <v>14199.0</v>
      </c>
      <c r="S436" s="35">
        <v>13001.34</v>
      </c>
      <c r="T436" s="36">
        <v>2.0</v>
      </c>
      <c r="U436" s="36">
        <v>2.0</v>
      </c>
      <c r="V436" s="36">
        <v>0.0</v>
      </c>
      <c r="W436" s="36">
        <v>1.0</v>
      </c>
      <c r="X436" s="36">
        <v>1.0</v>
      </c>
      <c r="Y436" s="36">
        <v>6.0</v>
      </c>
    </row>
    <row r="437">
      <c r="A437" s="32" t="s">
        <v>4290</v>
      </c>
      <c r="B437" s="32" t="s">
        <v>4290</v>
      </c>
      <c r="C437" s="32" t="s">
        <v>4291</v>
      </c>
      <c r="D437" s="32" t="s">
        <v>4292</v>
      </c>
      <c r="E437" s="32" t="s">
        <v>5073</v>
      </c>
      <c r="F437" s="32" t="e">
        <v>#N/A</v>
      </c>
      <c r="G437" s="38"/>
      <c r="H437" s="32">
        <v>0.0</v>
      </c>
      <c r="I437" s="39"/>
      <c r="J437" s="32" t="s">
        <v>4293</v>
      </c>
      <c r="K437" s="33" t="s">
        <v>4294</v>
      </c>
      <c r="L437" s="32" t="e">
        <v>#N/A</v>
      </c>
      <c r="M437" s="32" t="s">
        <v>4295</v>
      </c>
      <c r="N437" s="32" t="s">
        <v>5118</v>
      </c>
      <c r="O437" s="32" t="s">
        <v>52</v>
      </c>
      <c r="P437" s="32">
        <v>12499.0</v>
      </c>
      <c r="Q437" s="34">
        <v>11249.0</v>
      </c>
      <c r="R437" s="40">
        <v>11999.0</v>
      </c>
      <c r="S437" s="35">
        <v>11021.34</v>
      </c>
      <c r="T437" s="36">
        <v>0.0</v>
      </c>
      <c r="U437" s="36">
        <v>1.0</v>
      </c>
      <c r="V437" s="36">
        <v>4.0</v>
      </c>
      <c r="W437" s="36">
        <v>1.0</v>
      </c>
      <c r="X437" s="36">
        <v>0.0</v>
      </c>
      <c r="Y437" s="36">
        <v>6.0</v>
      </c>
    </row>
    <row r="438">
      <c r="A438" s="32" t="s">
        <v>4018</v>
      </c>
      <c r="B438" s="32" t="s">
        <v>4018</v>
      </c>
      <c r="C438" s="32" t="s">
        <v>4019</v>
      </c>
      <c r="D438" s="32" t="s">
        <v>4020</v>
      </c>
      <c r="E438" s="32" t="s">
        <v>5073</v>
      </c>
      <c r="F438" s="32" t="e">
        <v>#N/A</v>
      </c>
      <c r="G438" s="38"/>
      <c r="H438" s="32">
        <v>0.0</v>
      </c>
      <c r="I438" s="39"/>
      <c r="J438" s="32" t="s">
        <v>4021</v>
      </c>
      <c r="K438" s="33" t="s">
        <v>4022</v>
      </c>
      <c r="L438" s="32" t="e">
        <v>#N/A</v>
      </c>
      <c r="M438" s="32" t="s">
        <v>4023</v>
      </c>
      <c r="N438" s="32" t="s">
        <v>5118</v>
      </c>
      <c r="O438" s="32" t="s">
        <v>52</v>
      </c>
      <c r="P438" s="32">
        <v>8999.0</v>
      </c>
      <c r="Q438" s="34">
        <v>8099.0</v>
      </c>
      <c r="R438" s="40">
        <v>8599.0</v>
      </c>
      <c r="S438" s="35">
        <v>7919.34</v>
      </c>
      <c r="T438" s="36">
        <v>0.0</v>
      </c>
      <c r="U438" s="36">
        <v>0.0</v>
      </c>
      <c r="V438" s="36">
        <v>4.0</v>
      </c>
      <c r="W438" s="36">
        <v>2.0</v>
      </c>
      <c r="X438" s="36">
        <v>0.0</v>
      </c>
      <c r="Y438" s="36">
        <v>6.0</v>
      </c>
    </row>
    <row r="439">
      <c r="A439" s="32" t="s">
        <v>1987</v>
      </c>
      <c r="B439" s="32" t="s">
        <v>1987</v>
      </c>
      <c r="C439" s="32" t="s">
        <v>1988</v>
      </c>
      <c r="D439" s="32" t="s">
        <v>1989</v>
      </c>
      <c r="E439" s="32" t="s">
        <v>5073</v>
      </c>
      <c r="F439" s="32" t="s">
        <v>1990</v>
      </c>
      <c r="G439" s="32" t="s">
        <v>5102</v>
      </c>
      <c r="H439" s="32" t="s">
        <v>1991</v>
      </c>
      <c r="I439" s="32" t="s">
        <v>5073</v>
      </c>
      <c r="J439" s="32" t="s">
        <v>1992</v>
      </c>
      <c r="K439" s="33" t="s">
        <v>1993</v>
      </c>
      <c r="L439" s="32" t="e">
        <v>#N/A</v>
      </c>
      <c r="M439" s="32" t="e">
        <v>#N/A</v>
      </c>
      <c r="N439" s="32" t="s">
        <v>5132</v>
      </c>
      <c r="O439" s="32" t="s">
        <v>4730</v>
      </c>
      <c r="P439" s="32">
        <v>6499.0</v>
      </c>
      <c r="Q439" s="34">
        <v>4870.0</v>
      </c>
      <c r="R439" s="40">
        <v>5499.0</v>
      </c>
      <c r="S439" s="35">
        <v>4549.3</v>
      </c>
      <c r="T439" s="36">
        <v>2.0</v>
      </c>
      <c r="U439" s="36">
        <v>0.0</v>
      </c>
      <c r="V439" s="36">
        <v>0.0</v>
      </c>
      <c r="W439" s="36">
        <v>2.0</v>
      </c>
      <c r="X439" s="36">
        <v>2.0</v>
      </c>
      <c r="Y439" s="36">
        <v>6.0</v>
      </c>
    </row>
    <row r="440">
      <c r="A440" s="32" t="s">
        <v>272</v>
      </c>
      <c r="B440" s="32" t="s">
        <v>272</v>
      </c>
      <c r="C440" s="32" t="s">
        <v>273</v>
      </c>
      <c r="D440" s="32" t="s">
        <v>274</v>
      </c>
      <c r="E440" s="32" t="s">
        <v>5073</v>
      </c>
      <c r="F440" s="32" t="e">
        <v>#N/A</v>
      </c>
      <c r="G440" s="39"/>
      <c r="H440" s="32" t="s">
        <v>275</v>
      </c>
      <c r="I440" s="32" t="s">
        <v>5073</v>
      </c>
      <c r="J440" s="32" t="s">
        <v>276</v>
      </c>
      <c r="K440" s="33" t="s">
        <v>277</v>
      </c>
      <c r="L440" s="32">
        <v>3.2783819E7</v>
      </c>
      <c r="M440" s="32" t="s">
        <v>278</v>
      </c>
      <c r="N440" s="32" t="s">
        <v>51</v>
      </c>
      <c r="O440" s="32" t="s">
        <v>52</v>
      </c>
      <c r="P440" s="32">
        <v>16999.0</v>
      </c>
      <c r="Q440" s="34">
        <v>13769.0</v>
      </c>
      <c r="R440" s="40">
        <v>14799.0</v>
      </c>
      <c r="S440" s="35">
        <v>12919.24</v>
      </c>
      <c r="T440" s="36">
        <v>1.0</v>
      </c>
      <c r="U440" s="36">
        <v>2.0</v>
      </c>
      <c r="V440" s="36">
        <v>1.0</v>
      </c>
      <c r="W440" s="36">
        <v>0.0</v>
      </c>
      <c r="X440" s="36">
        <v>2.0</v>
      </c>
      <c r="Y440" s="36">
        <v>6.0</v>
      </c>
    </row>
    <row r="441">
      <c r="A441" s="32" t="s">
        <v>220</v>
      </c>
      <c r="B441" s="32" t="s">
        <v>220</v>
      </c>
      <c r="C441" s="32" t="s">
        <v>221</v>
      </c>
      <c r="D441" s="32" t="s">
        <v>222</v>
      </c>
      <c r="E441" s="32" t="s">
        <v>5073</v>
      </c>
      <c r="F441" s="32" t="e">
        <v>#N/A</v>
      </c>
      <c r="G441" s="39"/>
      <c r="H441" s="32" t="s">
        <v>223</v>
      </c>
      <c r="I441" s="32" t="s">
        <v>5073</v>
      </c>
      <c r="J441" s="32" t="s">
        <v>224</v>
      </c>
      <c r="K441" s="33" t="s">
        <v>225</v>
      </c>
      <c r="L441" s="32">
        <v>3.2784035E7</v>
      </c>
      <c r="M441" s="32" t="s">
        <v>226</v>
      </c>
      <c r="N441" s="32" t="s">
        <v>51</v>
      </c>
      <c r="O441" s="32" t="s">
        <v>52</v>
      </c>
      <c r="P441" s="32">
        <v>13399.0</v>
      </c>
      <c r="Q441" s="34">
        <v>10853.0</v>
      </c>
      <c r="R441" s="40">
        <v>11699.0</v>
      </c>
      <c r="S441" s="35">
        <v>10183.24</v>
      </c>
      <c r="T441" s="36">
        <v>1.0</v>
      </c>
      <c r="U441" s="36">
        <v>2.0</v>
      </c>
      <c r="V441" s="36">
        <v>0.0</v>
      </c>
      <c r="W441" s="36">
        <v>2.0</v>
      </c>
      <c r="X441" s="36">
        <v>1.0</v>
      </c>
      <c r="Y441" s="36">
        <v>6.0</v>
      </c>
    </row>
    <row r="442">
      <c r="A442" s="32" t="s">
        <v>117</v>
      </c>
      <c r="B442" s="32" t="s">
        <v>117</v>
      </c>
      <c r="C442" s="32" t="s">
        <v>118</v>
      </c>
      <c r="D442" s="32" t="s">
        <v>119</v>
      </c>
      <c r="E442" s="32" t="s">
        <v>5073</v>
      </c>
      <c r="F442" s="32" t="e">
        <v>#N/A</v>
      </c>
      <c r="G442" s="39"/>
      <c r="H442" s="32">
        <v>0.0</v>
      </c>
      <c r="I442" s="39"/>
      <c r="J442" s="32" t="s">
        <v>120</v>
      </c>
      <c r="K442" s="33" t="s">
        <v>121</v>
      </c>
      <c r="L442" s="32" t="e">
        <v>#N/A</v>
      </c>
      <c r="M442" s="32" t="s">
        <v>122</v>
      </c>
      <c r="N442" s="32" t="s">
        <v>51</v>
      </c>
      <c r="O442" s="32" t="s">
        <v>52</v>
      </c>
      <c r="P442" s="32">
        <v>9989.0</v>
      </c>
      <c r="Q442" s="34">
        <v>8091.0</v>
      </c>
      <c r="R442" s="40">
        <v>8699.0</v>
      </c>
      <c r="S442" s="35">
        <v>7591.64</v>
      </c>
      <c r="T442" s="36">
        <v>0.0</v>
      </c>
      <c r="U442" s="36">
        <v>0.0</v>
      </c>
      <c r="V442" s="36">
        <v>4.0</v>
      </c>
      <c r="W442" s="36">
        <v>1.0</v>
      </c>
      <c r="X442" s="36">
        <v>1.0</v>
      </c>
      <c r="Y442" s="36">
        <v>6.0</v>
      </c>
    </row>
    <row r="443">
      <c r="A443" s="32" t="s">
        <v>60</v>
      </c>
      <c r="B443" s="32" t="s">
        <v>60</v>
      </c>
      <c r="C443" s="32" t="s">
        <v>61</v>
      </c>
      <c r="D443" s="32" t="s">
        <v>62</v>
      </c>
      <c r="E443" s="32" t="s">
        <v>5073</v>
      </c>
      <c r="F443" s="32" t="e">
        <v>#N/A</v>
      </c>
      <c r="G443" s="39"/>
      <c r="H443" s="32" t="s">
        <v>63</v>
      </c>
      <c r="I443" s="32" t="s">
        <v>5073</v>
      </c>
      <c r="J443" s="32" t="s">
        <v>64</v>
      </c>
      <c r="K443" s="33" t="s">
        <v>65</v>
      </c>
      <c r="L443" s="32">
        <v>3.2783902E7</v>
      </c>
      <c r="M443" s="32" t="s">
        <v>66</v>
      </c>
      <c r="N443" s="32" t="s">
        <v>51</v>
      </c>
      <c r="O443" s="32" t="s">
        <v>52</v>
      </c>
      <c r="P443" s="32">
        <v>11599.0</v>
      </c>
      <c r="Q443" s="34">
        <v>9395.0</v>
      </c>
      <c r="R443" s="40">
        <v>10099.0</v>
      </c>
      <c r="S443" s="35">
        <v>8815.24</v>
      </c>
      <c r="T443" s="36">
        <v>0.0</v>
      </c>
      <c r="U443" s="36">
        <v>1.0</v>
      </c>
      <c r="V443" s="36">
        <v>2.0</v>
      </c>
      <c r="W443" s="36">
        <v>1.0</v>
      </c>
      <c r="X443" s="36">
        <v>2.0</v>
      </c>
      <c r="Y443" s="36">
        <v>6.0</v>
      </c>
    </row>
    <row r="444">
      <c r="A444" s="32" t="s">
        <v>2685</v>
      </c>
      <c r="B444" s="32" t="s">
        <v>2685</v>
      </c>
      <c r="C444" s="32" t="s">
        <v>2686</v>
      </c>
      <c r="D444" s="32" t="s">
        <v>2687</v>
      </c>
      <c r="E444" s="32" t="s">
        <v>5073</v>
      </c>
      <c r="F444" s="32" t="e">
        <v>#N/A</v>
      </c>
      <c r="G444" s="39"/>
      <c r="H444" s="32" t="s">
        <v>2688</v>
      </c>
      <c r="I444" s="32" t="s">
        <v>5073</v>
      </c>
      <c r="J444" s="32" t="s">
        <v>2689</v>
      </c>
      <c r="K444" s="33" t="s">
        <v>2690</v>
      </c>
      <c r="L444" s="32">
        <v>3.1818413E7</v>
      </c>
      <c r="M444" s="32" t="e">
        <v>#N/A</v>
      </c>
      <c r="N444" s="32" t="s">
        <v>5107</v>
      </c>
      <c r="O444" s="32" t="s">
        <v>4730</v>
      </c>
      <c r="P444" s="32">
        <v>1889.0</v>
      </c>
      <c r="Q444" s="34">
        <v>1548.0</v>
      </c>
      <c r="R444" s="40">
        <v>1548.0</v>
      </c>
      <c r="S444" s="35">
        <v>1416.75</v>
      </c>
      <c r="T444" s="36">
        <v>2.0</v>
      </c>
      <c r="U444" s="36">
        <v>0.0</v>
      </c>
      <c r="V444" s="36">
        <v>4.0</v>
      </c>
      <c r="W444" s="36">
        <v>0.0</v>
      </c>
      <c r="X444" s="36">
        <v>0.0</v>
      </c>
      <c r="Y444" s="36">
        <v>6.0</v>
      </c>
    </row>
    <row r="445">
      <c r="A445" s="32" t="s">
        <v>1457</v>
      </c>
      <c r="B445" s="32" t="s">
        <v>1457</v>
      </c>
      <c r="C445" s="32" t="s">
        <v>1458</v>
      </c>
      <c r="D445" s="32" t="s">
        <v>1459</v>
      </c>
      <c r="E445" s="32" t="s">
        <v>5073</v>
      </c>
      <c r="F445" s="32" t="e">
        <v>#N/A</v>
      </c>
      <c r="G445" s="39"/>
      <c r="H445" s="32" t="s">
        <v>1460</v>
      </c>
      <c r="I445" s="32" t="s">
        <v>5073</v>
      </c>
      <c r="J445" s="32" t="s">
        <v>1461</v>
      </c>
      <c r="K445" s="33" t="s">
        <v>1462</v>
      </c>
      <c r="L445" s="32">
        <v>3.1818409E7</v>
      </c>
      <c r="M445" s="32" t="e">
        <v>#N/A</v>
      </c>
      <c r="N445" s="32" t="s">
        <v>5089</v>
      </c>
      <c r="O445" s="32" t="s">
        <v>4730</v>
      </c>
      <c r="P445" s="32">
        <v>2999.0</v>
      </c>
      <c r="Q445" s="34">
        <v>2449.0</v>
      </c>
      <c r="R445" s="40">
        <v>2449.0</v>
      </c>
      <c r="S445" s="35">
        <v>2399.2</v>
      </c>
      <c r="T445" s="36">
        <v>1.0</v>
      </c>
      <c r="U445" s="36">
        <v>3.0</v>
      </c>
      <c r="V445" s="36">
        <v>0.0</v>
      </c>
      <c r="W445" s="36">
        <v>2.0</v>
      </c>
      <c r="X445" s="36">
        <v>0.0</v>
      </c>
      <c r="Y445" s="36">
        <v>6.0</v>
      </c>
    </row>
    <row r="446">
      <c r="A446" s="32" t="s">
        <v>3557</v>
      </c>
      <c r="B446" s="32" t="s">
        <v>3557</v>
      </c>
      <c r="C446" s="32" t="s">
        <v>3558</v>
      </c>
      <c r="D446" s="32" t="s">
        <v>3559</v>
      </c>
      <c r="E446" s="32" t="s">
        <v>5073</v>
      </c>
      <c r="F446" s="32" t="e">
        <v>#N/A</v>
      </c>
      <c r="G446" s="39"/>
      <c r="H446" s="32" t="s">
        <v>3560</v>
      </c>
      <c r="I446" s="32" t="s">
        <v>5073</v>
      </c>
      <c r="J446" s="32" t="s">
        <v>3561</v>
      </c>
      <c r="K446" s="33" t="s">
        <v>3562</v>
      </c>
      <c r="L446" s="32" t="e">
        <v>#N/A</v>
      </c>
      <c r="M446" s="32" t="e">
        <v>#N/A</v>
      </c>
      <c r="N446" s="32" t="s">
        <v>5099</v>
      </c>
      <c r="O446" s="32" t="s">
        <v>4730</v>
      </c>
      <c r="P446" s="32">
        <v>1689.0</v>
      </c>
      <c r="Q446" s="34">
        <v>1499.0</v>
      </c>
      <c r="R446" s="40">
        <v>1499.0</v>
      </c>
      <c r="S446" s="35">
        <v>1435.65</v>
      </c>
      <c r="T446" s="36">
        <v>0.0</v>
      </c>
      <c r="U446" s="36">
        <v>0.0</v>
      </c>
      <c r="V446" s="36">
        <v>6.0</v>
      </c>
      <c r="W446" s="36">
        <v>0.0</v>
      </c>
      <c r="X446" s="36">
        <v>0.0</v>
      </c>
      <c r="Y446" s="36">
        <v>6.0</v>
      </c>
    </row>
    <row r="447">
      <c r="A447" s="32" t="s">
        <v>1560</v>
      </c>
      <c r="B447" s="32" t="s">
        <v>1560</v>
      </c>
      <c r="C447" s="32" t="s">
        <v>1561</v>
      </c>
      <c r="D447" s="32" t="s">
        <v>1562</v>
      </c>
      <c r="E447" s="32" t="s">
        <v>5073</v>
      </c>
      <c r="F447" s="32" t="e">
        <v>#N/A</v>
      </c>
      <c r="G447" s="39"/>
      <c r="H447" s="32" t="s">
        <v>1560</v>
      </c>
      <c r="I447" s="32" t="s">
        <v>5073</v>
      </c>
      <c r="J447" s="32" t="s">
        <v>1560</v>
      </c>
      <c r="K447" s="33" t="s">
        <v>1563</v>
      </c>
      <c r="L447" s="32">
        <v>3.2783961E7</v>
      </c>
      <c r="M447" s="32" t="s">
        <v>1564</v>
      </c>
      <c r="N447" s="32" t="s">
        <v>5112</v>
      </c>
      <c r="O447" s="32" t="s">
        <v>52</v>
      </c>
      <c r="P447" s="32">
        <v>18999.0</v>
      </c>
      <c r="Q447" s="34">
        <v>17099.0</v>
      </c>
      <c r="R447" s="40">
        <v>17999.0</v>
      </c>
      <c r="S447" s="35">
        <v>14629.23</v>
      </c>
      <c r="T447" s="36">
        <v>0.0</v>
      </c>
      <c r="U447" s="36">
        <v>0.0</v>
      </c>
      <c r="V447" s="36">
        <v>6.0</v>
      </c>
      <c r="W447" s="36">
        <v>0.0</v>
      </c>
      <c r="X447" s="36">
        <v>0.0</v>
      </c>
      <c r="Y447" s="36">
        <v>6.0</v>
      </c>
    </row>
    <row r="448">
      <c r="A448" s="32" t="s">
        <v>3038</v>
      </c>
      <c r="B448" s="32" t="s">
        <v>3038</v>
      </c>
      <c r="C448" s="32" t="s">
        <v>3039</v>
      </c>
      <c r="D448" s="32" t="s">
        <v>3040</v>
      </c>
      <c r="E448" s="32" t="s">
        <v>5073</v>
      </c>
      <c r="F448" s="32" t="e">
        <v>#N/A</v>
      </c>
      <c r="G448" s="39"/>
      <c r="H448" s="32" t="s">
        <v>3041</v>
      </c>
      <c r="I448" s="32" t="s">
        <v>5073</v>
      </c>
      <c r="J448" s="32" t="s">
        <v>3042</v>
      </c>
      <c r="K448" s="33" t="s">
        <v>3043</v>
      </c>
      <c r="L448" s="32" t="e">
        <v>#N/A</v>
      </c>
      <c r="M448" s="32" t="e">
        <v>#N/A</v>
      </c>
      <c r="N448" s="32" t="s">
        <v>5086</v>
      </c>
      <c r="O448" s="32" t="s">
        <v>4730</v>
      </c>
      <c r="P448" s="32">
        <v>2989.0</v>
      </c>
      <c r="Q448" s="34">
        <v>2699.0</v>
      </c>
      <c r="R448" s="40">
        <v>2699.0</v>
      </c>
      <c r="S448" s="35">
        <v>2540.65</v>
      </c>
      <c r="T448" s="36">
        <v>0.0</v>
      </c>
      <c r="U448" s="36">
        <v>0.0</v>
      </c>
      <c r="V448" s="36">
        <v>6.0</v>
      </c>
      <c r="W448" s="36">
        <v>0.0</v>
      </c>
      <c r="X448" s="36">
        <v>0.0</v>
      </c>
      <c r="Y448" s="36">
        <v>6.0</v>
      </c>
    </row>
    <row r="449">
      <c r="A449" s="32" t="s">
        <v>2057</v>
      </c>
      <c r="B449" s="32" t="s">
        <v>2057</v>
      </c>
      <c r="C449" s="32" t="s">
        <v>2058</v>
      </c>
      <c r="D449" s="32" t="s">
        <v>2059</v>
      </c>
      <c r="E449" s="32" t="s">
        <v>5102</v>
      </c>
      <c r="F449" s="32" t="e">
        <v>#N/A</v>
      </c>
      <c r="G449" s="32" t="e">
        <v>#N/A</v>
      </c>
      <c r="H449" s="32" t="s">
        <v>2060</v>
      </c>
      <c r="I449" s="32" t="s">
        <v>5102</v>
      </c>
      <c r="J449" s="32">
        <v>0.0</v>
      </c>
      <c r="K449" s="33" t="s">
        <v>2062</v>
      </c>
      <c r="L449" s="32">
        <v>3.2789233E7</v>
      </c>
      <c r="M449" s="32" t="s">
        <v>2063</v>
      </c>
      <c r="N449" s="32" t="s">
        <v>5138</v>
      </c>
      <c r="O449" s="32" t="s">
        <v>52</v>
      </c>
      <c r="P449" s="32">
        <v>22999.0</v>
      </c>
      <c r="Q449" s="34">
        <v>20699.0</v>
      </c>
      <c r="R449" s="40">
        <v>20699.0</v>
      </c>
      <c r="S449" s="35">
        <v>18399.2</v>
      </c>
      <c r="T449" s="36">
        <v>0.0</v>
      </c>
      <c r="U449" s="36">
        <v>0.0</v>
      </c>
      <c r="V449" s="36">
        <v>3.0</v>
      </c>
      <c r="W449" s="36">
        <v>2.0</v>
      </c>
      <c r="X449" s="36">
        <v>0.0</v>
      </c>
      <c r="Y449" s="36">
        <v>5.0</v>
      </c>
    </row>
    <row r="450">
      <c r="A450" s="32" t="s">
        <v>1058</v>
      </c>
      <c r="B450" s="32" t="s">
        <v>1058</v>
      </c>
      <c r="C450" s="32" t="s">
        <v>1059</v>
      </c>
      <c r="D450" s="32" t="s">
        <v>1060</v>
      </c>
      <c r="E450" s="32" t="s">
        <v>5073</v>
      </c>
      <c r="F450" s="32" t="e">
        <v>#N/A</v>
      </c>
      <c r="G450" s="32" t="e">
        <v>#N/A</v>
      </c>
      <c r="H450" s="32" t="s">
        <v>1061</v>
      </c>
      <c r="I450" s="32" t="s">
        <v>5073</v>
      </c>
      <c r="J450" s="32" t="s">
        <v>1062</v>
      </c>
      <c r="K450" s="33" t="s">
        <v>1063</v>
      </c>
      <c r="L450" s="32">
        <v>3.1999089E7</v>
      </c>
      <c r="M450" s="32" t="s">
        <v>1064</v>
      </c>
      <c r="N450" s="32" t="s">
        <v>5108</v>
      </c>
      <c r="O450" s="32" t="s">
        <v>52</v>
      </c>
      <c r="P450" s="32">
        <v>23199.0</v>
      </c>
      <c r="Q450" s="34">
        <v>19487.0</v>
      </c>
      <c r="R450" s="40">
        <v>20899.0</v>
      </c>
      <c r="S450" s="35">
        <v>18559.2</v>
      </c>
      <c r="T450" s="36">
        <v>0.0</v>
      </c>
      <c r="U450" s="36">
        <v>0.0</v>
      </c>
      <c r="V450" s="36">
        <v>5.0</v>
      </c>
      <c r="W450" s="36">
        <v>0.0</v>
      </c>
      <c r="X450" s="36">
        <v>0.0</v>
      </c>
      <c r="Y450" s="36">
        <v>5.0</v>
      </c>
    </row>
    <row r="451">
      <c r="A451" s="32" t="s">
        <v>910</v>
      </c>
      <c r="B451" s="32" t="s">
        <v>910</v>
      </c>
      <c r="C451" s="32" t="s">
        <v>911</v>
      </c>
      <c r="D451" s="32" t="s">
        <v>912</v>
      </c>
      <c r="E451" s="32" t="s">
        <v>5073</v>
      </c>
      <c r="F451" s="32" t="e">
        <v>#N/A</v>
      </c>
      <c r="G451" s="32" t="e">
        <v>#N/A</v>
      </c>
      <c r="H451" s="32" t="s">
        <v>913</v>
      </c>
      <c r="I451" s="32" t="s">
        <v>5073</v>
      </c>
      <c r="J451" s="32" t="s">
        <v>914</v>
      </c>
      <c r="K451" s="33" t="s">
        <v>915</v>
      </c>
      <c r="L451" s="32">
        <v>3.1999088E7</v>
      </c>
      <c r="M451" s="32" t="s">
        <v>916</v>
      </c>
      <c r="N451" s="32" t="s">
        <v>5108</v>
      </c>
      <c r="O451" s="32" t="s">
        <v>52</v>
      </c>
      <c r="P451" s="32">
        <v>16999.0</v>
      </c>
      <c r="Q451" s="34">
        <v>14279.0</v>
      </c>
      <c r="R451" s="40">
        <v>15299.0</v>
      </c>
      <c r="S451" s="35">
        <v>13599.2</v>
      </c>
      <c r="T451" s="36">
        <v>2.0</v>
      </c>
      <c r="U451" s="36">
        <v>0.0</v>
      </c>
      <c r="V451" s="36">
        <v>1.0</v>
      </c>
      <c r="W451" s="36">
        <v>2.0</v>
      </c>
      <c r="X451" s="36">
        <v>0.0</v>
      </c>
      <c r="Y451" s="36">
        <v>5.0</v>
      </c>
    </row>
    <row r="452">
      <c r="A452" s="32" t="s">
        <v>4143</v>
      </c>
      <c r="B452" s="32" t="s">
        <v>4143</v>
      </c>
      <c r="C452" s="32" t="s">
        <v>4144</v>
      </c>
      <c r="D452" s="32" t="s">
        <v>4145</v>
      </c>
      <c r="E452" s="32" t="s">
        <v>5073</v>
      </c>
      <c r="F452" s="32" t="e">
        <v>#N/A</v>
      </c>
      <c r="G452" s="38"/>
      <c r="H452" s="32">
        <v>0.0</v>
      </c>
      <c r="I452" s="39"/>
      <c r="J452" s="32" t="s">
        <v>4146</v>
      </c>
      <c r="K452" s="33" t="s">
        <v>4147</v>
      </c>
      <c r="L452" s="32" t="e">
        <v>#N/A</v>
      </c>
      <c r="M452" s="32" t="s">
        <v>4148</v>
      </c>
      <c r="N452" s="32" t="s">
        <v>5118</v>
      </c>
      <c r="O452" s="32" t="s">
        <v>52</v>
      </c>
      <c r="P452" s="32">
        <v>17499.0</v>
      </c>
      <c r="Q452" s="34">
        <v>15749.0</v>
      </c>
      <c r="R452" s="40">
        <v>16799.0</v>
      </c>
      <c r="S452" s="35">
        <v>15377.34</v>
      </c>
      <c r="T452" s="36">
        <v>0.0</v>
      </c>
      <c r="U452" s="36">
        <v>0.0</v>
      </c>
      <c r="V452" s="36">
        <v>5.0</v>
      </c>
      <c r="W452" s="36">
        <v>0.0</v>
      </c>
      <c r="X452" s="36">
        <v>0.0</v>
      </c>
      <c r="Y452" s="36">
        <v>5.0</v>
      </c>
    </row>
    <row r="453">
      <c r="A453" s="32" t="s">
        <v>4024</v>
      </c>
      <c r="B453" s="32" t="s">
        <v>4024</v>
      </c>
      <c r="C453" s="32" t="s">
        <v>4025</v>
      </c>
      <c r="D453" s="32" t="s">
        <v>4026</v>
      </c>
      <c r="E453" s="32" t="s">
        <v>5073</v>
      </c>
      <c r="F453" s="32" t="e">
        <v>#N/A</v>
      </c>
      <c r="G453" s="38"/>
      <c r="H453" s="32">
        <v>0.0</v>
      </c>
      <c r="I453" s="39"/>
      <c r="J453" s="32" t="s">
        <v>4027</v>
      </c>
      <c r="K453" s="33" t="s">
        <v>4028</v>
      </c>
      <c r="L453" s="32" t="e">
        <v>#N/A</v>
      </c>
      <c r="M453" s="32" t="s">
        <v>4029</v>
      </c>
      <c r="N453" s="32" t="s">
        <v>5118</v>
      </c>
      <c r="O453" s="32" t="s">
        <v>52</v>
      </c>
      <c r="P453" s="32">
        <v>9199.0</v>
      </c>
      <c r="Q453" s="34">
        <v>8279.0</v>
      </c>
      <c r="R453" s="40">
        <v>8899.0</v>
      </c>
      <c r="S453" s="35">
        <v>8117.34</v>
      </c>
      <c r="T453" s="36">
        <v>0.0</v>
      </c>
      <c r="U453" s="36">
        <v>1.0</v>
      </c>
      <c r="V453" s="36">
        <v>4.0</v>
      </c>
      <c r="W453" s="36">
        <v>0.0</v>
      </c>
      <c r="X453" s="36">
        <v>0.0</v>
      </c>
      <c r="Y453" s="36">
        <v>5.0</v>
      </c>
    </row>
    <row r="454">
      <c r="A454" s="32" t="s">
        <v>4968</v>
      </c>
      <c r="B454" s="32" t="s">
        <v>4968</v>
      </c>
      <c r="C454" s="32" t="s">
        <v>4969</v>
      </c>
      <c r="D454" s="32" t="s">
        <v>4970</v>
      </c>
      <c r="E454" s="32" t="s">
        <v>5102</v>
      </c>
      <c r="F454" s="38"/>
      <c r="G454" s="38"/>
      <c r="H454" s="38"/>
      <c r="I454" s="38"/>
      <c r="J454" s="32" t="s">
        <v>4971</v>
      </c>
      <c r="K454" s="38"/>
      <c r="L454" s="38"/>
      <c r="M454" s="38"/>
      <c r="N454" s="32" t="s">
        <v>5077</v>
      </c>
      <c r="O454" s="32" t="s">
        <v>4730</v>
      </c>
      <c r="P454" s="32">
        <v>1599.0</v>
      </c>
      <c r="Q454" s="44">
        <v>1519.0</v>
      </c>
      <c r="R454" s="40">
        <v>1519.0</v>
      </c>
      <c r="S454" s="35">
        <v>1439.1</v>
      </c>
      <c r="T454" s="36">
        <v>5.0</v>
      </c>
      <c r="U454" s="36">
        <v>0.0</v>
      </c>
      <c r="V454" s="36">
        <v>0.0</v>
      </c>
      <c r="W454" s="36">
        <v>0.0</v>
      </c>
      <c r="X454" s="36">
        <v>0.0</v>
      </c>
      <c r="Y454" s="36">
        <v>5.0</v>
      </c>
    </row>
    <row r="455">
      <c r="A455" s="32" t="s">
        <v>4980</v>
      </c>
      <c r="B455" s="32" t="s">
        <v>4980</v>
      </c>
      <c r="C455" s="32" t="s">
        <v>4981</v>
      </c>
      <c r="D455" s="32" t="s">
        <v>4982</v>
      </c>
      <c r="E455" s="32" t="s">
        <v>5102</v>
      </c>
      <c r="F455" s="38"/>
      <c r="G455" s="38"/>
      <c r="H455" s="38"/>
      <c r="I455" s="38"/>
      <c r="J455" s="32" t="s">
        <v>4983</v>
      </c>
      <c r="K455" s="38"/>
      <c r="L455" s="38"/>
      <c r="M455" s="38"/>
      <c r="N455" s="32" t="s">
        <v>5077</v>
      </c>
      <c r="O455" s="32" t="s">
        <v>4730</v>
      </c>
      <c r="P455" s="32">
        <v>1499.0</v>
      </c>
      <c r="Q455" s="44">
        <v>1424.0</v>
      </c>
      <c r="R455" s="40">
        <v>1424.0</v>
      </c>
      <c r="S455" s="35">
        <v>1349.1</v>
      </c>
      <c r="T455" s="36">
        <v>0.0</v>
      </c>
      <c r="U455" s="36">
        <v>0.0</v>
      </c>
      <c r="V455" s="36">
        <v>5.0</v>
      </c>
      <c r="W455" s="36">
        <v>0.0</v>
      </c>
      <c r="X455" s="36">
        <v>0.0</v>
      </c>
      <c r="Y455" s="36">
        <v>5.0</v>
      </c>
    </row>
    <row r="456">
      <c r="A456" s="32" t="s">
        <v>422</v>
      </c>
      <c r="B456" s="32" t="s">
        <v>422</v>
      </c>
      <c r="C456" s="32" t="s">
        <v>423</v>
      </c>
      <c r="D456" s="32" t="s">
        <v>424</v>
      </c>
      <c r="E456" s="32" t="s">
        <v>5073</v>
      </c>
      <c r="F456" s="32" t="e">
        <v>#N/A</v>
      </c>
      <c r="G456" s="39"/>
      <c r="H456" s="32" t="s">
        <v>425</v>
      </c>
      <c r="I456" s="32" t="s">
        <v>5073</v>
      </c>
      <c r="J456" s="32" t="s">
        <v>426</v>
      </c>
      <c r="K456" s="33" t="s">
        <v>427</v>
      </c>
      <c r="L456" s="32">
        <v>3.2784058E7</v>
      </c>
      <c r="M456" s="32" t="s">
        <v>428</v>
      </c>
      <c r="N456" s="32" t="s">
        <v>51</v>
      </c>
      <c r="O456" s="32" t="s">
        <v>52</v>
      </c>
      <c r="P456" s="32">
        <v>19799.0</v>
      </c>
      <c r="Q456" s="34">
        <v>16037.0</v>
      </c>
      <c r="R456" s="40">
        <v>17199.0</v>
      </c>
      <c r="S456" s="35">
        <v>15047.24</v>
      </c>
      <c r="T456" s="36">
        <v>0.0</v>
      </c>
      <c r="U456" s="36">
        <v>0.0</v>
      </c>
      <c r="V456" s="36">
        <v>1.0</v>
      </c>
      <c r="W456" s="36">
        <v>3.0</v>
      </c>
      <c r="X456" s="36">
        <v>1.0</v>
      </c>
      <c r="Y456" s="36">
        <v>5.0</v>
      </c>
    </row>
    <row r="457">
      <c r="A457" s="32" t="s">
        <v>2629</v>
      </c>
      <c r="B457" s="32" t="s">
        <v>2629</v>
      </c>
      <c r="C457" s="32" t="s">
        <v>2630</v>
      </c>
      <c r="D457" s="32" t="s">
        <v>2631</v>
      </c>
      <c r="E457" s="32" t="s">
        <v>5102</v>
      </c>
      <c r="F457" s="32" t="e">
        <v>#N/A</v>
      </c>
      <c r="G457" s="39"/>
      <c r="H457" s="32">
        <v>0.0</v>
      </c>
      <c r="I457" s="39"/>
      <c r="J457" s="32" t="s">
        <v>2629</v>
      </c>
      <c r="K457" s="33" t="s">
        <v>2632</v>
      </c>
      <c r="L457" s="32" t="e">
        <v>#N/A</v>
      </c>
      <c r="M457" s="32" t="s">
        <v>2633</v>
      </c>
      <c r="N457" s="32" t="s">
        <v>1195</v>
      </c>
      <c r="O457" s="32" t="s">
        <v>5114</v>
      </c>
      <c r="P457" s="32">
        <v>4489.0</v>
      </c>
      <c r="Q457" s="34">
        <v>3225.0</v>
      </c>
      <c r="R457" s="40">
        <v>3199.0</v>
      </c>
      <c r="S457" s="35">
        <v>3142.3</v>
      </c>
      <c r="T457" s="36">
        <v>0.0</v>
      </c>
      <c r="U457" s="36">
        <v>2.0</v>
      </c>
      <c r="V457" s="36">
        <v>0.0</v>
      </c>
      <c r="W457" s="36">
        <v>0.0</v>
      </c>
      <c r="X457" s="36">
        <v>3.0</v>
      </c>
      <c r="Y457" s="36">
        <v>5.0</v>
      </c>
    </row>
    <row r="458">
      <c r="A458" s="32" t="s">
        <v>3569</v>
      </c>
      <c r="B458" s="32" t="s">
        <v>3569</v>
      </c>
      <c r="C458" s="32" t="s">
        <v>3570</v>
      </c>
      <c r="D458" s="32" t="s">
        <v>3571</v>
      </c>
      <c r="E458" s="32" t="s">
        <v>5073</v>
      </c>
      <c r="F458" s="32" t="e">
        <v>#N/A</v>
      </c>
      <c r="G458" s="39"/>
      <c r="H458" s="32" t="s">
        <v>3572</v>
      </c>
      <c r="I458" s="32" t="s">
        <v>5073</v>
      </c>
      <c r="J458" s="32" t="s">
        <v>3573</v>
      </c>
      <c r="K458" s="33" t="s">
        <v>3574</v>
      </c>
      <c r="L458" s="32" t="e">
        <v>#N/A</v>
      </c>
      <c r="M458" s="32" t="e">
        <v>#N/A</v>
      </c>
      <c r="N458" s="32" t="s">
        <v>5099</v>
      </c>
      <c r="O458" s="32" t="s">
        <v>4730</v>
      </c>
      <c r="P458" s="32">
        <v>1689.0</v>
      </c>
      <c r="Q458" s="34">
        <v>1499.0</v>
      </c>
      <c r="R458" s="40">
        <v>1499.0</v>
      </c>
      <c r="S458" s="35">
        <v>1435.65</v>
      </c>
      <c r="T458" s="36">
        <v>0.0</v>
      </c>
      <c r="U458" s="36">
        <v>0.0</v>
      </c>
      <c r="V458" s="36">
        <v>5.0</v>
      </c>
      <c r="W458" s="36">
        <v>0.0</v>
      </c>
      <c r="X458" s="36">
        <v>0.0</v>
      </c>
      <c r="Y458" s="36">
        <v>5.0</v>
      </c>
    </row>
    <row r="459">
      <c r="A459" s="32" t="s">
        <v>1668</v>
      </c>
      <c r="B459" s="32" t="s">
        <v>1668</v>
      </c>
      <c r="C459" s="32" t="s">
        <v>1669</v>
      </c>
      <c r="D459" s="32" t="s">
        <v>1670</v>
      </c>
      <c r="E459" s="32" t="s">
        <v>5073</v>
      </c>
      <c r="F459" s="32" t="e">
        <v>#N/A</v>
      </c>
      <c r="G459" s="39"/>
      <c r="H459" s="32" t="s">
        <v>1668</v>
      </c>
      <c r="I459" s="32" t="s">
        <v>5073</v>
      </c>
      <c r="J459" s="32" t="s">
        <v>1668</v>
      </c>
      <c r="K459" s="33" t="s">
        <v>1671</v>
      </c>
      <c r="L459" s="32">
        <v>3.1999086E7</v>
      </c>
      <c r="M459" s="32" t="s">
        <v>1672</v>
      </c>
      <c r="N459" s="32" t="s">
        <v>5112</v>
      </c>
      <c r="O459" s="32" t="s">
        <v>52</v>
      </c>
      <c r="P459" s="32">
        <v>29999.0</v>
      </c>
      <c r="Q459" s="34">
        <v>26999.0</v>
      </c>
      <c r="R459" s="40">
        <v>28499.0</v>
      </c>
      <c r="S459" s="35">
        <v>23099.23</v>
      </c>
      <c r="T459" s="36">
        <v>1.0</v>
      </c>
      <c r="U459" s="36">
        <v>3.0</v>
      </c>
      <c r="V459" s="36">
        <v>0.0</v>
      </c>
      <c r="W459" s="36">
        <v>1.0</v>
      </c>
      <c r="X459" s="36">
        <v>0.0</v>
      </c>
      <c r="Y459" s="36">
        <v>5.0</v>
      </c>
    </row>
    <row r="460">
      <c r="A460" s="32" t="s">
        <v>1585</v>
      </c>
      <c r="B460" s="32" t="s">
        <v>1585</v>
      </c>
      <c r="C460" s="32" t="s">
        <v>1586</v>
      </c>
      <c r="D460" s="32" t="s">
        <v>1587</v>
      </c>
      <c r="E460" s="32" t="s">
        <v>5073</v>
      </c>
      <c r="F460" s="32" t="e">
        <v>#N/A</v>
      </c>
      <c r="G460" s="39"/>
      <c r="H460" s="32" t="s">
        <v>1585</v>
      </c>
      <c r="I460" s="32" t="s">
        <v>5073</v>
      </c>
      <c r="J460" s="32" t="s">
        <v>1585</v>
      </c>
      <c r="K460" s="33" t="s">
        <v>1588</v>
      </c>
      <c r="L460" s="32">
        <v>3.2784054E7</v>
      </c>
      <c r="M460" s="32" t="s">
        <v>1589</v>
      </c>
      <c r="N460" s="32" t="s">
        <v>5112</v>
      </c>
      <c r="O460" s="32" t="s">
        <v>52</v>
      </c>
      <c r="P460" s="32">
        <v>25999.0</v>
      </c>
      <c r="Q460" s="34">
        <v>23399.0</v>
      </c>
      <c r="R460" s="40">
        <v>24699.0</v>
      </c>
      <c r="S460" s="35">
        <v>20019.23</v>
      </c>
      <c r="T460" s="36">
        <v>0.0</v>
      </c>
      <c r="U460" s="36">
        <v>1.0</v>
      </c>
      <c r="V460" s="36">
        <v>4.0</v>
      </c>
      <c r="W460" s="36">
        <v>0.0</v>
      </c>
      <c r="X460" s="36">
        <v>0.0</v>
      </c>
      <c r="Y460" s="36">
        <v>5.0</v>
      </c>
    </row>
    <row r="461">
      <c r="A461" s="32" t="s">
        <v>4553</v>
      </c>
      <c r="B461" s="32" t="s">
        <v>4553</v>
      </c>
      <c r="C461" s="32">
        <v>0.0</v>
      </c>
      <c r="D461" s="32">
        <v>0.0</v>
      </c>
      <c r="E461" s="39"/>
      <c r="F461" s="32" t="e">
        <v>#N/A</v>
      </c>
      <c r="G461" s="39"/>
      <c r="H461" s="32">
        <v>0.0</v>
      </c>
      <c r="I461" s="39"/>
      <c r="J461" s="32" t="s">
        <v>4555</v>
      </c>
      <c r="K461" s="33" t="e">
        <v>#N/A</v>
      </c>
      <c r="L461" s="32" t="e">
        <v>#N/A</v>
      </c>
      <c r="M461" s="32" t="e">
        <v>#N/A</v>
      </c>
      <c r="N461" s="32" t="s">
        <v>5077</v>
      </c>
      <c r="O461" s="32" t="s">
        <v>4730</v>
      </c>
      <c r="P461" s="32">
        <v>1499.0</v>
      </c>
      <c r="Q461" s="34">
        <v>1424.0</v>
      </c>
      <c r="R461" s="40">
        <v>1424.0</v>
      </c>
      <c r="S461" s="35">
        <v>1349.1</v>
      </c>
      <c r="T461" s="36">
        <v>0.0</v>
      </c>
      <c r="U461" s="36">
        <v>0.0</v>
      </c>
      <c r="V461" s="36">
        <v>4.0</v>
      </c>
      <c r="W461" s="36">
        <v>0.0</v>
      </c>
      <c r="X461" s="36">
        <v>0.0</v>
      </c>
      <c r="Y461" s="36">
        <v>4.0</v>
      </c>
    </row>
    <row r="462">
      <c r="A462" s="32" t="s">
        <v>4516</v>
      </c>
      <c r="B462" s="32" t="s">
        <v>4516</v>
      </c>
      <c r="C462" s="32" t="s">
        <v>4517</v>
      </c>
      <c r="D462" s="32" t="s">
        <v>4518</v>
      </c>
      <c r="E462" s="32" t="s">
        <v>5073</v>
      </c>
      <c r="F462" s="32" t="e">
        <v>#N/A</v>
      </c>
      <c r="G462" s="32" t="e">
        <v>#N/A</v>
      </c>
      <c r="H462" s="32">
        <v>0.0</v>
      </c>
      <c r="I462" s="32">
        <v>0.0</v>
      </c>
      <c r="J462" s="32" t="s">
        <v>4519</v>
      </c>
      <c r="K462" s="33" t="s">
        <v>4520</v>
      </c>
      <c r="L462" s="32" t="e">
        <v>#N/A</v>
      </c>
      <c r="M462" s="32" t="e">
        <v>#N/A</v>
      </c>
      <c r="N462" s="32" t="s">
        <v>5077</v>
      </c>
      <c r="O462" s="32" t="s">
        <v>4730</v>
      </c>
      <c r="P462" s="32">
        <v>1199.0</v>
      </c>
      <c r="Q462" s="34">
        <v>1139.0</v>
      </c>
      <c r="R462" s="40">
        <v>1139.0</v>
      </c>
      <c r="S462" s="35">
        <v>1079.1</v>
      </c>
      <c r="T462" s="36">
        <v>0.0</v>
      </c>
      <c r="U462" s="36">
        <v>0.0</v>
      </c>
      <c r="V462" s="36">
        <v>4.0</v>
      </c>
      <c r="W462" s="36">
        <v>0.0</v>
      </c>
      <c r="X462" s="36">
        <v>0.0</v>
      </c>
      <c r="Y462" s="36">
        <v>4.0</v>
      </c>
    </row>
    <row r="463">
      <c r="A463" s="32" t="s">
        <v>899</v>
      </c>
      <c r="B463" s="32" t="s">
        <v>899</v>
      </c>
      <c r="C463" s="32" t="s">
        <v>900</v>
      </c>
      <c r="D463" s="32" t="s">
        <v>901</v>
      </c>
      <c r="E463" s="32" t="s">
        <v>5102</v>
      </c>
      <c r="F463" s="32" t="e">
        <v>#N/A</v>
      </c>
      <c r="G463" s="32" t="e">
        <v>#N/A</v>
      </c>
      <c r="H463" s="32">
        <v>0.0</v>
      </c>
      <c r="I463" s="39"/>
      <c r="J463" s="32" t="s">
        <v>902</v>
      </c>
      <c r="K463" s="33" t="s">
        <v>903</v>
      </c>
      <c r="L463" s="32">
        <v>3.2783863E7</v>
      </c>
      <c r="M463" s="32" t="s">
        <v>904</v>
      </c>
      <c r="N463" s="32" t="s">
        <v>5108</v>
      </c>
      <c r="O463" s="32" t="s">
        <v>52</v>
      </c>
      <c r="P463" s="32">
        <v>14699.0</v>
      </c>
      <c r="Q463" s="34">
        <v>12347.0</v>
      </c>
      <c r="R463" s="40">
        <v>13199.0</v>
      </c>
      <c r="S463" s="35">
        <v>11759.2</v>
      </c>
      <c r="T463" s="36">
        <v>0.0</v>
      </c>
      <c r="U463" s="36">
        <v>0.0</v>
      </c>
      <c r="V463" s="36">
        <v>4.0</v>
      </c>
      <c r="W463" s="36">
        <v>0.0</v>
      </c>
      <c r="X463" s="36">
        <v>0.0</v>
      </c>
      <c r="Y463" s="36">
        <v>4.0</v>
      </c>
    </row>
    <row r="464">
      <c r="A464" s="32" t="s">
        <v>1065</v>
      </c>
      <c r="B464" s="32" t="s">
        <v>1065</v>
      </c>
      <c r="C464" s="32" t="s">
        <v>1066</v>
      </c>
      <c r="D464" s="32" t="s">
        <v>1067</v>
      </c>
      <c r="E464" s="32" t="s">
        <v>5102</v>
      </c>
      <c r="F464" s="32" t="e">
        <v>#N/A</v>
      </c>
      <c r="G464" s="32" t="e">
        <v>#N/A</v>
      </c>
      <c r="H464" s="32">
        <v>0.0</v>
      </c>
      <c r="I464" s="39"/>
      <c r="J464" s="32" t="s">
        <v>1068</v>
      </c>
      <c r="K464" s="33" t="s">
        <v>1069</v>
      </c>
      <c r="L464" s="32" t="e">
        <v>#N/A</v>
      </c>
      <c r="M464" s="32" t="e">
        <v>#N/A</v>
      </c>
      <c r="N464" s="32" t="s">
        <v>5108</v>
      </c>
      <c r="O464" s="32" t="s">
        <v>52</v>
      </c>
      <c r="P464" s="32">
        <v>22999.0</v>
      </c>
      <c r="Q464" s="34">
        <v>19319.0</v>
      </c>
      <c r="R464" s="40">
        <v>20699.0</v>
      </c>
      <c r="S464" s="35">
        <v>18399.2</v>
      </c>
      <c r="T464" s="36">
        <v>0.0</v>
      </c>
      <c r="U464" s="36">
        <v>0.0</v>
      </c>
      <c r="V464" s="36">
        <v>4.0</v>
      </c>
      <c r="W464" s="36">
        <v>0.0</v>
      </c>
      <c r="X464" s="36">
        <v>0.0</v>
      </c>
      <c r="Y464" s="36">
        <v>4.0</v>
      </c>
    </row>
    <row r="465">
      <c r="A465" s="32" t="s">
        <v>969</v>
      </c>
      <c r="B465" s="32" t="s">
        <v>969</v>
      </c>
      <c r="C465" s="32" t="s">
        <v>970</v>
      </c>
      <c r="D465" s="32" t="s">
        <v>971</v>
      </c>
      <c r="E465" s="32" t="s">
        <v>5102</v>
      </c>
      <c r="F465" s="32" t="e">
        <v>#N/A</v>
      </c>
      <c r="G465" s="32" t="e">
        <v>#N/A</v>
      </c>
      <c r="H465" s="32" t="s">
        <v>972</v>
      </c>
      <c r="I465" s="32" t="s">
        <v>5073</v>
      </c>
      <c r="J465" s="32" t="s">
        <v>973</v>
      </c>
      <c r="K465" s="33" t="s">
        <v>974</v>
      </c>
      <c r="L465" s="32" t="e">
        <v>#N/A</v>
      </c>
      <c r="M465" s="32" t="s">
        <v>975</v>
      </c>
      <c r="N465" s="32" t="s">
        <v>5108</v>
      </c>
      <c r="O465" s="32" t="s">
        <v>52</v>
      </c>
      <c r="P465" s="32">
        <v>19999.0</v>
      </c>
      <c r="Q465" s="34">
        <v>16799.0</v>
      </c>
      <c r="R465" s="40">
        <v>17999.0</v>
      </c>
      <c r="S465" s="35">
        <v>15999.2</v>
      </c>
      <c r="T465" s="36">
        <v>0.0</v>
      </c>
      <c r="U465" s="36">
        <v>0.0</v>
      </c>
      <c r="V465" s="36">
        <v>4.0</v>
      </c>
      <c r="W465" s="36">
        <v>0.0</v>
      </c>
      <c r="X465" s="36">
        <v>0.0</v>
      </c>
      <c r="Y465" s="36">
        <v>4.0</v>
      </c>
    </row>
    <row r="466">
      <c r="A466" s="32" t="s">
        <v>824</v>
      </c>
      <c r="B466" s="32" t="s">
        <v>824</v>
      </c>
      <c r="C466" s="32" t="s">
        <v>825</v>
      </c>
      <c r="D466" s="32" t="s">
        <v>826</v>
      </c>
      <c r="E466" s="32" t="s">
        <v>5102</v>
      </c>
      <c r="F466" s="32" t="e">
        <v>#N/A</v>
      </c>
      <c r="G466" s="32" t="e">
        <v>#N/A</v>
      </c>
      <c r="H466" s="32" t="s">
        <v>827</v>
      </c>
      <c r="I466" s="32" t="s">
        <v>5073</v>
      </c>
      <c r="J466" s="32" t="s">
        <v>828</v>
      </c>
      <c r="K466" s="33" t="s">
        <v>829</v>
      </c>
      <c r="L466" s="32">
        <v>3.2784149E7</v>
      </c>
      <c r="M466" s="32" t="s">
        <v>830</v>
      </c>
      <c r="N466" s="32" t="s">
        <v>5108</v>
      </c>
      <c r="O466" s="32" t="s">
        <v>52</v>
      </c>
      <c r="P466" s="32">
        <v>11899.0</v>
      </c>
      <c r="Q466" s="34">
        <v>9995.0</v>
      </c>
      <c r="R466" s="40">
        <v>10699.0</v>
      </c>
      <c r="S466" s="35">
        <v>9519.2</v>
      </c>
      <c r="T466" s="36">
        <v>0.0</v>
      </c>
      <c r="U466" s="36">
        <v>0.0</v>
      </c>
      <c r="V466" s="36">
        <v>4.0</v>
      </c>
      <c r="W466" s="36">
        <v>0.0</v>
      </c>
      <c r="X466" s="36">
        <v>0.0</v>
      </c>
      <c r="Y466" s="36">
        <v>4.0</v>
      </c>
    </row>
    <row r="467">
      <c r="A467" s="32" t="s">
        <v>3990</v>
      </c>
      <c r="B467" s="32" t="s">
        <v>3990</v>
      </c>
      <c r="C467" s="32" t="s">
        <v>3991</v>
      </c>
      <c r="D467" s="32" t="s">
        <v>3993</v>
      </c>
      <c r="E467" s="32" t="s">
        <v>5073</v>
      </c>
      <c r="F467" s="32" t="e">
        <v>#N/A</v>
      </c>
      <c r="G467" s="32" t="e">
        <v>#N/A</v>
      </c>
      <c r="H467" s="32">
        <v>0.0</v>
      </c>
      <c r="I467" s="39"/>
      <c r="J467" s="32" t="s">
        <v>3994</v>
      </c>
      <c r="K467" s="33" t="s">
        <v>3995</v>
      </c>
      <c r="L467" s="32" t="e">
        <v>#N/A</v>
      </c>
      <c r="M467" s="32" t="e">
        <v>#N/A</v>
      </c>
      <c r="N467" s="32" t="s">
        <v>5118</v>
      </c>
      <c r="O467" s="32" t="s">
        <v>52</v>
      </c>
      <c r="P467" s="32">
        <v>11299.0</v>
      </c>
      <c r="Q467" s="34">
        <v>10169.0</v>
      </c>
      <c r="R467" s="40">
        <v>10899.0</v>
      </c>
      <c r="S467" s="35">
        <v>9965.34</v>
      </c>
      <c r="T467" s="36">
        <v>0.0</v>
      </c>
      <c r="U467" s="36">
        <v>0.0</v>
      </c>
      <c r="V467" s="36">
        <v>4.0</v>
      </c>
      <c r="W467" s="36">
        <v>0.0</v>
      </c>
      <c r="X467" s="36">
        <v>0.0</v>
      </c>
      <c r="Y467" s="36">
        <v>4.0</v>
      </c>
    </row>
    <row r="468">
      <c r="A468" s="32" t="s">
        <v>213</v>
      </c>
      <c r="B468" s="32" t="s">
        <v>213</v>
      </c>
      <c r="C468" s="32" t="s">
        <v>214</v>
      </c>
      <c r="D468" s="32" t="s">
        <v>215</v>
      </c>
      <c r="E468" s="32" t="s">
        <v>5073</v>
      </c>
      <c r="F468" s="32" t="e">
        <v>#N/A</v>
      </c>
      <c r="G468" s="39"/>
      <c r="H468" s="32" t="s">
        <v>216</v>
      </c>
      <c r="I468" s="32" t="s">
        <v>5073</v>
      </c>
      <c r="J468" s="32" t="s">
        <v>217</v>
      </c>
      <c r="K468" s="33" t="s">
        <v>218</v>
      </c>
      <c r="L468" s="32">
        <v>3.2783919E7</v>
      </c>
      <c r="M468" s="32" t="s">
        <v>219</v>
      </c>
      <c r="N468" s="32" t="s">
        <v>51</v>
      </c>
      <c r="O468" s="32" t="s">
        <v>52</v>
      </c>
      <c r="P468" s="32">
        <v>12999.0</v>
      </c>
      <c r="Q468" s="34">
        <v>10529.0</v>
      </c>
      <c r="R468" s="40">
        <v>11299.0</v>
      </c>
      <c r="S468" s="35">
        <v>9879.24</v>
      </c>
      <c r="T468" s="36">
        <v>0.0</v>
      </c>
      <c r="U468" s="36">
        <v>2.0</v>
      </c>
      <c r="V468" s="36">
        <v>0.0</v>
      </c>
      <c r="W468" s="36">
        <v>2.0</v>
      </c>
      <c r="X468" s="36">
        <v>0.0</v>
      </c>
      <c r="Y468" s="36">
        <v>4.0</v>
      </c>
    </row>
    <row r="469">
      <c r="A469" s="32" t="s">
        <v>680</v>
      </c>
      <c r="B469" s="32" t="s">
        <v>680</v>
      </c>
      <c r="C469" s="32" t="s">
        <v>681</v>
      </c>
      <c r="D469" s="32" t="s">
        <v>682</v>
      </c>
      <c r="E469" s="32" t="s">
        <v>5073</v>
      </c>
      <c r="F469" s="32" t="e">
        <v>#N/A</v>
      </c>
      <c r="G469" s="39"/>
      <c r="H469" s="32" t="s">
        <v>683</v>
      </c>
      <c r="I469" s="32" t="s">
        <v>5073</v>
      </c>
      <c r="J469" s="32" t="s">
        <v>684</v>
      </c>
      <c r="K469" s="33" t="s">
        <v>685</v>
      </c>
      <c r="L469" s="32">
        <v>3.2784137E7</v>
      </c>
      <c r="M469" s="32" t="s">
        <v>686</v>
      </c>
      <c r="N469" s="32" t="s">
        <v>51</v>
      </c>
      <c r="O469" s="32" t="s">
        <v>52</v>
      </c>
      <c r="P469" s="32">
        <v>23599.0</v>
      </c>
      <c r="Q469" s="34">
        <v>19115.0</v>
      </c>
      <c r="R469" s="40">
        <v>20499.0</v>
      </c>
      <c r="S469" s="35">
        <v>17935.24</v>
      </c>
      <c r="T469" s="36">
        <v>1.0</v>
      </c>
      <c r="U469" s="36">
        <v>1.0</v>
      </c>
      <c r="V469" s="36">
        <v>1.0</v>
      </c>
      <c r="W469" s="36">
        <v>0.0</v>
      </c>
      <c r="X469" s="36">
        <v>1.0</v>
      </c>
      <c r="Y469" s="36">
        <v>4.0</v>
      </c>
    </row>
    <row r="470">
      <c r="A470" s="32" t="s">
        <v>692</v>
      </c>
      <c r="B470" s="32" t="s">
        <v>692</v>
      </c>
      <c r="C470" s="32" t="s">
        <v>693</v>
      </c>
      <c r="D470" s="32" t="s">
        <v>694</v>
      </c>
      <c r="E470" s="32" t="s">
        <v>5073</v>
      </c>
      <c r="F470" s="32" t="e">
        <v>#N/A</v>
      </c>
      <c r="G470" s="39"/>
      <c r="H470" s="32" t="s">
        <v>695</v>
      </c>
      <c r="I470" s="32" t="s">
        <v>5073</v>
      </c>
      <c r="J470" s="32" t="s">
        <v>696</v>
      </c>
      <c r="K470" s="33" t="s">
        <v>697</v>
      </c>
      <c r="L470" s="32">
        <v>3.1999073E7</v>
      </c>
      <c r="M470" s="32" t="s">
        <v>698</v>
      </c>
      <c r="N470" s="32" t="s">
        <v>51</v>
      </c>
      <c r="O470" s="32" t="s">
        <v>52</v>
      </c>
      <c r="P470" s="32">
        <v>24499.0</v>
      </c>
      <c r="Q470" s="34">
        <v>19844.0</v>
      </c>
      <c r="R470" s="40">
        <v>21299.0</v>
      </c>
      <c r="S470" s="35">
        <v>18619.24</v>
      </c>
      <c r="T470" s="36">
        <v>0.0</v>
      </c>
      <c r="U470" s="36">
        <v>0.0</v>
      </c>
      <c r="V470" s="36">
        <v>0.0</v>
      </c>
      <c r="W470" s="36">
        <v>1.0</v>
      </c>
      <c r="X470" s="36">
        <v>3.0</v>
      </c>
      <c r="Y470" s="36">
        <v>4.0</v>
      </c>
    </row>
    <row r="471">
      <c r="A471" s="32" t="s">
        <v>499</v>
      </c>
      <c r="B471" s="32" t="s">
        <v>499</v>
      </c>
      <c r="C471" s="32" t="s">
        <v>500</v>
      </c>
      <c r="D471" s="32" t="s">
        <v>501</v>
      </c>
      <c r="E471" s="32" t="s">
        <v>5073</v>
      </c>
      <c r="F471" s="32" t="e">
        <v>#N/A</v>
      </c>
      <c r="G471" s="39"/>
      <c r="H471" s="32">
        <v>0.0</v>
      </c>
      <c r="I471" s="39"/>
      <c r="J471" s="32" t="s">
        <v>502</v>
      </c>
      <c r="K471" s="33" t="s">
        <v>503</v>
      </c>
      <c r="L471" s="32" t="e">
        <v>#N/A</v>
      </c>
      <c r="M471" s="32" t="s">
        <v>504</v>
      </c>
      <c r="N471" s="32" t="s">
        <v>51</v>
      </c>
      <c r="O471" s="32" t="s">
        <v>52</v>
      </c>
      <c r="P471" s="32">
        <v>15689.0</v>
      </c>
      <c r="Q471" s="34">
        <v>12708.0</v>
      </c>
      <c r="R471" s="40">
        <v>13599.0</v>
      </c>
      <c r="S471" s="35">
        <v>11923.64</v>
      </c>
      <c r="T471" s="36">
        <v>1.0</v>
      </c>
      <c r="U471" s="36">
        <v>0.0</v>
      </c>
      <c r="V471" s="36">
        <v>2.0</v>
      </c>
      <c r="W471" s="36">
        <v>0.0</v>
      </c>
      <c r="X471" s="36">
        <v>1.0</v>
      </c>
      <c r="Y471" s="36">
        <v>4.0</v>
      </c>
    </row>
    <row r="472">
      <c r="A472" s="32" t="s">
        <v>86</v>
      </c>
      <c r="B472" s="32" t="s">
        <v>86</v>
      </c>
      <c r="C472" s="32" t="s">
        <v>87</v>
      </c>
      <c r="D472" s="32" t="s">
        <v>88</v>
      </c>
      <c r="E472" s="32" t="s">
        <v>5073</v>
      </c>
      <c r="F472" s="32" t="e">
        <v>#N/A</v>
      </c>
      <c r="G472" s="39"/>
      <c r="H472" s="32" t="s">
        <v>89</v>
      </c>
      <c r="I472" s="32" t="s">
        <v>5073</v>
      </c>
      <c r="J472" s="32" t="s">
        <v>90</v>
      </c>
      <c r="K472" s="33" t="s">
        <v>91</v>
      </c>
      <c r="L472" s="32">
        <v>3.278405E7</v>
      </c>
      <c r="M472" s="32" t="s">
        <v>92</v>
      </c>
      <c r="N472" s="32" t="s">
        <v>51</v>
      </c>
      <c r="O472" s="32" t="s">
        <v>52</v>
      </c>
      <c r="P472" s="32">
        <v>12999.0</v>
      </c>
      <c r="Q472" s="34">
        <v>10529.0</v>
      </c>
      <c r="R472" s="40">
        <v>11299.0</v>
      </c>
      <c r="S472" s="35">
        <v>9879.24</v>
      </c>
      <c r="T472" s="36">
        <v>0.0</v>
      </c>
      <c r="U472" s="36">
        <v>1.0</v>
      </c>
      <c r="V472" s="36">
        <v>0.0</v>
      </c>
      <c r="W472" s="36">
        <v>0.0</v>
      </c>
      <c r="X472" s="36">
        <v>3.0</v>
      </c>
      <c r="Y472" s="36">
        <v>4.0</v>
      </c>
    </row>
    <row r="473">
      <c r="A473" s="32" t="s">
        <v>129</v>
      </c>
      <c r="B473" s="32" t="s">
        <v>129</v>
      </c>
      <c r="C473" s="32" t="s">
        <v>130</v>
      </c>
      <c r="D473" s="32" t="s">
        <v>131</v>
      </c>
      <c r="E473" s="32" t="s">
        <v>5073</v>
      </c>
      <c r="F473" s="32" t="e">
        <v>#N/A</v>
      </c>
      <c r="G473" s="39"/>
      <c r="H473" s="32">
        <v>0.0</v>
      </c>
      <c r="I473" s="39"/>
      <c r="J473" s="32" t="s">
        <v>132</v>
      </c>
      <c r="K473" s="33" t="s">
        <v>133</v>
      </c>
      <c r="L473" s="32" t="e">
        <v>#N/A</v>
      </c>
      <c r="M473" s="32" t="e">
        <v>#N/A</v>
      </c>
      <c r="N473" s="32" t="s">
        <v>51</v>
      </c>
      <c r="O473" s="32" t="s">
        <v>52</v>
      </c>
      <c r="P473" s="32">
        <v>9439.0</v>
      </c>
      <c r="Q473" s="34">
        <v>7646.0</v>
      </c>
      <c r="R473" s="40">
        <v>8199.0</v>
      </c>
      <c r="S473" s="35">
        <v>7173.64</v>
      </c>
      <c r="T473" s="36">
        <v>0.0</v>
      </c>
      <c r="U473" s="36">
        <v>0.0</v>
      </c>
      <c r="V473" s="36">
        <v>4.0</v>
      </c>
      <c r="W473" s="36">
        <v>0.0</v>
      </c>
      <c r="X473" s="36">
        <v>0.0</v>
      </c>
      <c r="Y473" s="36">
        <v>4.0</v>
      </c>
    </row>
    <row r="474">
      <c r="A474" s="32" t="s">
        <v>2614</v>
      </c>
      <c r="B474" s="32" t="s">
        <v>2614</v>
      </c>
      <c r="C474" s="32" t="s">
        <v>2615</v>
      </c>
      <c r="D474" s="32" t="s">
        <v>2616</v>
      </c>
      <c r="E474" s="32" t="s">
        <v>5117</v>
      </c>
      <c r="F474" s="32" t="e">
        <v>#N/A</v>
      </c>
      <c r="G474" s="32" t="e">
        <v>#N/A</v>
      </c>
      <c r="H474" s="32" t="s">
        <v>2614</v>
      </c>
      <c r="I474" s="32" t="s">
        <v>5102</v>
      </c>
      <c r="J474" s="32" t="s">
        <v>2614</v>
      </c>
      <c r="K474" s="33" t="s">
        <v>2617</v>
      </c>
      <c r="L474" s="32" t="e">
        <v>#N/A</v>
      </c>
      <c r="M474" s="32" t="s">
        <v>2618</v>
      </c>
      <c r="N474" s="32" t="s">
        <v>1195</v>
      </c>
      <c r="O474" s="32" t="s">
        <v>5114</v>
      </c>
      <c r="P474" s="32">
        <v>4489.0</v>
      </c>
      <c r="Q474" s="34">
        <v>3225.0</v>
      </c>
      <c r="R474" s="40">
        <v>3199.0</v>
      </c>
      <c r="S474" s="35">
        <v>3142.3</v>
      </c>
      <c r="T474" s="36">
        <v>0.0</v>
      </c>
      <c r="U474" s="36">
        <v>1.0</v>
      </c>
      <c r="V474" s="36">
        <v>0.0</v>
      </c>
      <c r="W474" s="36">
        <v>0.0</v>
      </c>
      <c r="X474" s="36">
        <v>3.0</v>
      </c>
      <c r="Y474" s="36">
        <v>4.0</v>
      </c>
    </row>
    <row r="475">
      <c r="A475" s="32" t="s">
        <v>2614</v>
      </c>
      <c r="B475" s="32" t="s">
        <v>2614</v>
      </c>
      <c r="C475" s="32" t="s">
        <v>4798</v>
      </c>
      <c r="D475" s="32" t="s">
        <v>4799</v>
      </c>
      <c r="E475" s="32" t="s">
        <v>5073</v>
      </c>
      <c r="F475" s="32" t="e">
        <v>#N/A</v>
      </c>
      <c r="G475" s="39"/>
      <c r="H475" s="32" t="e">
        <v>#N/A</v>
      </c>
      <c r="I475" s="39"/>
      <c r="J475" s="32" t="s">
        <v>4800</v>
      </c>
      <c r="K475" s="33" t="s">
        <v>2617</v>
      </c>
      <c r="L475" s="32" t="e">
        <v>#N/A</v>
      </c>
      <c r="M475" s="32" t="e">
        <v>#N/A</v>
      </c>
      <c r="N475" s="32" t="s">
        <v>1195</v>
      </c>
      <c r="O475" s="32" t="s">
        <v>5114</v>
      </c>
      <c r="P475" s="32">
        <v>4489.0</v>
      </c>
      <c r="Q475" s="34">
        <v>3225.0</v>
      </c>
      <c r="R475" s="40">
        <v>3199.0</v>
      </c>
      <c r="S475" s="35">
        <v>3142.3</v>
      </c>
      <c r="T475" s="36">
        <v>0.0</v>
      </c>
      <c r="U475" s="36">
        <v>1.0</v>
      </c>
      <c r="V475" s="36">
        <v>0.0</v>
      </c>
      <c r="W475" s="36">
        <v>0.0</v>
      </c>
      <c r="X475" s="36">
        <v>3.0</v>
      </c>
      <c r="Y475" s="36">
        <v>4.0</v>
      </c>
    </row>
    <row r="476">
      <c r="A476" s="32" t="s">
        <v>2357</v>
      </c>
      <c r="B476" s="32" t="s">
        <v>2357</v>
      </c>
      <c r="C476" s="32" t="s">
        <v>2358</v>
      </c>
      <c r="D476" s="32" t="s">
        <v>2359</v>
      </c>
      <c r="E476" s="32" t="s">
        <v>5073</v>
      </c>
      <c r="F476" s="32" t="e">
        <v>#N/A</v>
      </c>
      <c r="G476" s="39"/>
      <c r="H476" s="32">
        <v>0.0</v>
      </c>
      <c r="I476" s="39"/>
      <c r="J476" s="32" t="s">
        <v>2360</v>
      </c>
      <c r="K476" s="33" t="s">
        <v>2361</v>
      </c>
      <c r="L476" s="32" t="e">
        <v>#N/A</v>
      </c>
      <c r="M476" s="32" t="e">
        <v>#N/A</v>
      </c>
      <c r="N476" s="32" t="s">
        <v>5077</v>
      </c>
      <c r="O476" s="32" t="s">
        <v>4730</v>
      </c>
      <c r="P476" s="32">
        <v>1089.0</v>
      </c>
      <c r="Q476" s="34">
        <v>1035.0</v>
      </c>
      <c r="R476" s="40">
        <v>1035.0</v>
      </c>
      <c r="S476" s="35">
        <v>980.1</v>
      </c>
      <c r="T476" s="36">
        <v>0.0</v>
      </c>
      <c r="U476" s="36">
        <v>0.0</v>
      </c>
      <c r="V476" s="36">
        <v>4.0</v>
      </c>
      <c r="W476" s="36">
        <v>0.0</v>
      </c>
      <c r="X476" s="36">
        <v>0.0</v>
      </c>
      <c r="Y476" s="36">
        <v>4.0</v>
      </c>
    </row>
    <row r="477">
      <c r="A477" s="32" t="s">
        <v>3056</v>
      </c>
      <c r="B477" s="32" t="s">
        <v>3056</v>
      </c>
      <c r="C477" s="32" t="s">
        <v>3057</v>
      </c>
      <c r="D477" s="32" t="s">
        <v>3058</v>
      </c>
      <c r="E477" s="32" t="s">
        <v>5073</v>
      </c>
      <c r="F477" s="32" t="e">
        <v>#N/A</v>
      </c>
      <c r="G477" s="39"/>
      <c r="H477" s="32" t="s">
        <v>3059</v>
      </c>
      <c r="I477" s="32" t="s">
        <v>5073</v>
      </c>
      <c r="J477" s="32" t="s">
        <v>3060</v>
      </c>
      <c r="K477" s="33" t="s">
        <v>3061</v>
      </c>
      <c r="L477" s="32" t="e">
        <v>#N/A</v>
      </c>
      <c r="M477" s="32" t="e">
        <v>#N/A</v>
      </c>
      <c r="N477" s="32" t="s">
        <v>5139</v>
      </c>
      <c r="O477" s="32" t="s">
        <v>4730</v>
      </c>
      <c r="P477" s="32">
        <v>5199.0</v>
      </c>
      <c r="Q477" s="34">
        <v>4399.0</v>
      </c>
      <c r="R477" s="40">
        <v>4399.0</v>
      </c>
      <c r="S477" s="35">
        <v>4159.2</v>
      </c>
      <c r="T477" s="36">
        <v>0.0</v>
      </c>
      <c r="U477" s="36">
        <v>0.0</v>
      </c>
      <c r="V477" s="36">
        <v>4.0</v>
      </c>
      <c r="W477" s="36">
        <v>0.0</v>
      </c>
      <c r="X477" s="36">
        <v>0.0</v>
      </c>
      <c r="Y477" s="36">
        <v>4.0</v>
      </c>
    </row>
    <row r="478">
      <c r="A478" s="32" t="s">
        <v>1407</v>
      </c>
      <c r="B478" s="32" t="s">
        <v>1407</v>
      </c>
      <c r="C478" s="32" t="s">
        <v>1408</v>
      </c>
      <c r="D478" s="32" t="s">
        <v>1409</v>
      </c>
      <c r="E478" s="32" t="s">
        <v>5073</v>
      </c>
      <c r="F478" s="32" t="e">
        <v>#N/A</v>
      </c>
      <c r="G478" s="39"/>
      <c r="H478" s="32" t="s">
        <v>1410</v>
      </c>
      <c r="I478" s="32" t="s">
        <v>5073</v>
      </c>
      <c r="J478" s="32" t="s">
        <v>1411</v>
      </c>
      <c r="K478" s="33" t="s">
        <v>1412</v>
      </c>
      <c r="L478" s="32">
        <v>3.1818434E7</v>
      </c>
      <c r="M478" s="32" t="e">
        <v>#N/A</v>
      </c>
      <c r="N478" s="32" t="s">
        <v>5089</v>
      </c>
      <c r="O478" s="32" t="s">
        <v>4730</v>
      </c>
      <c r="P478" s="32">
        <v>2649.0</v>
      </c>
      <c r="Q478" s="34">
        <v>2164.0</v>
      </c>
      <c r="R478" s="40">
        <v>2199.0</v>
      </c>
      <c r="S478" s="35">
        <v>2119.2</v>
      </c>
      <c r="T478" s="36">
        <v>0.0</v>
      </c>
      <c r="U478" s="36">
        <v>0.0</v>
      </c>
      <c r="V478" s="36">
        <v>4.0</v>
      </c>
      <c r="W478" s="36">
        <v>0.0</v>
      </c>
      <c r="X478" s="36">
        <v>0.0</v>
      </c>
      <c r="Y478" s="36">
        <v>4.0</v>
      </c>
    </row>
    <row r="479">
      <c r="A479" s="32" t="s">
        <v>1766</v>
      </c>
      <c r="B479" s="32" t="s">
        <v>1766</v>
      </c>
      <c r="C479" s="32" t="s">
        <v>1767</v>
      </c>
      <c r="D479" s="32" t="s">
        <v>1768</v>
      </c>
      <c r="E479" s="32" t="s">
        <v>5073</v>
      </c>
      <c r="F479" s="32" t="e">
        <v>#N/A</v>
      </c>
      <c r="G479" s="39"/>
      <c r="H479" s="32">
        <v>0.0</v>
      </c>
      <c r="I479" s="39"/>
      <c r="J479" s="32" t="s">
        <v>1769</v>
      </c>
      <c r="K479" s="33" t="s">
        <v>1770</v>
      </c>
      <c r="L479" s="32" t="e">
        <v>#N/A</v>
      </c>
      <c r="M479" s="32" t="e">
        <v>#N/A</v>
      </c>
      <c r="N479" s="32" t="s">
        <v>5109</v>
      </c>
      <c r="O479" s="32" t="s">
        <v>52</v>
      </c>
      <c r="P479" s="32">
        <v>31999.0</v>
      </c>
      <c r="Q479" s="34">
        <v>28799.0</v>
      </c>
      <c r="R479" s="40">
        <v>30399.0</v>
      </c>
      <c r="S479" s="35">
        <v>26879.16</v>
      </c>
      <c r="T479" s="36">
        <v>0.0</v>
      </c>
      <c r="U479" s="36">
        <v>2.0</v>
      </c>
      <c r="V479" s="36">
        <v>1.0</v>
      </c>
      <c r="W479" s="36">
        <v>0.0</v>
      </c>
      <c r="X479" s="36">
        <v>1.0</v>
      </c>
      <c r="Y479" s="36">
        <v>4.0</v>
      </c>
    </row>
    <row r="480">
      <c r="A480" s="32" t="s">
        <v>3830</v>
      </c>
      <c r="B480" s="32" t="s">
        <v>3830</v>
      </c>
      <c r="C480" s="32" t="s">
        <v>3831</v>
      </c>
      <c r="D480" s="32" t="s">
        <v>3832</v>
      </c>
      <c r="E480" s="32" t="s">
        <v>5073</v>
      </c>
      <c r="F480" s="32" t="e">
        <v>#N/A</v>
      </c>
      <c r="G480" s="32" t="e">
        <v>#N/A</v>
      </c>
      <c r="H480" s="32">
        <v>0.0</v>
      </c>
      <c r="I480" s="32">
        <v>0.0</v>
      </c>
      <c r="J480" s="32" t="s">
        <v>3833</v>
      </c>
      <c r="K480" s="33" t="s">
        <v>3834</v>
      </c>
      <c r="L480" s="32" t="e">
        <v>#N/A</v>
      </c>
      <c r="M480" s="32" t="s">
        <v>3835</v>
      </c>
      <c r="N480" s="32" t="s">
        <v>5136</v>
      </c>
      <c r="O480" s="32" t="s">
        <v>52</v>
      </c>
      <c r="P480" s="32">
        <v>7499.0</v>
      </c>
      <c r="Q480" s="34">
        <v>6374.0</v>
      </c>
      <c r="R480" s="40">
        <v>6399.0</v>
      </c>
      <c r="S480" s="35">
        <v>5999.2</v>
      </c>
      <c r="T480" s="36">
        <v>0.0</v>
      </c>
      <c r="U480" s="36">
        <v>0.0</v>
      </c>
      <c r="V480" s="36">
        <v>3.0</v>
      </c>
      <c r="W480" s="36">
        <v>0.0</v>
      </c>
      <c r="X480" s="36">
        <v>0.0</v>
      </c>
      <c r="Y480" s="36">
        <v>3.0</v>
      </c>
    </row>
    <row r="481">
      <c r="A481" s="32" t="s">
        <v>449</v>
      </c>
      <c r="B481" s="32" t="s">
        <v>449</v>
      </c>
      <c r="C481" s="32" t="s">
        <v>450</v>
      </c>
      <c r="D481" s="32" t="s">
        <v>451</v>
      </c>
      <c r="E481" s="32" t="s">
        <v>5073</v>
      </c>
      <c r="F481" s="32" t="e">
        <v>#N/A</v>
      </c>
      <c r="G481" s="39"/>
      <c r="H481" s="32" t="s">
        <v>452</v>
      </c>
      <c r="I481" s="32" t="s">
        <v>5073</v>
      </c>
      <c r="J481" s="32" t="s">
        <v>453</v>
      </c>
      <c r="K481" s="33" t="s">
        <v>454</v>
      </c>
      <c r="L481" s="32">
        <v>3.2784067E7</v>
      </c>
      <c r="M481" s="32" t="e">
        <v>#N/A</v>
      </c>
      <c r="N481" s="32" t="s">
        <v>51</v>
      </c>
      <c r="O481" s="32" t="s">
        <v>52</v>
      </c>
      <c r="P481" s="32">
        <v>21499.0</v>
      </c>
      <c r="Q481" s="34">
        <v>17414.0</v>
      </c>
      <c r="R481" s="40">
        <v>18699.0</v>
      </c>
      <c r="S481" s="35">
        <v>16339.24</v>
      </c>
      <c r="T481" s="36">
        <v>0.0</v>
      </c>
      <c r="U481" s="36">
        <v>1.0</v>
      </c>
      <c r="V481" s="36">
        <v>2.0</v>
      </c>
      <c r="W481" s="36">
        <v>0.0</v>
      </c>
      <c r="X481" s="36">
        <v>0.0</v>
      </c>
      <c r="Y481" s="36">
        <v>3.0</v>
      </c>
    </row>
    <row r="482">
      <c r="A482" s="32" t="s">
        <v>406</v>
      </c>
      <c r="B482" s="32" t="s">
        <v>406</v>
      </c>
      <c r="C482" s="32" t="s">
        <v>407</v>
      </c>
      <c r="D482" s="32" t="s">
        <v>408</v>
      </c>
      <c r="E482" s="32" t="s">
        <v>5102</v>
      </c>
      <c r="F482" s="32" t="e">
        <v>#N/A</v>
      </c>
      <c r="G482" s="39"/>
      <c r="H482" s="32" t="s">
        <v>409</v>
      </c>
      <c r="I482" s="32" t="s">
        <v>5073</v>
      </c>
      <c r="J482" s="32" t="s">
        <v>410</v>
      </c>
      <c r="K482" s="33" t="s">
        <v>411</v>
      </c>
      <c r="L482" s="32">
        <v>3.2783971E7</v>
      </c>
      <c r="M482" s="32" t="e">
        <v>#N/A</v>
      </c>
      <c r="N482" s="32" t="s">
        <v>51</v>
      </c>
      <c r="O482" s="32" t="s">
        <v>52</v>
      </c>
      <c r="P482" s="32">
        <v>19999.0</v>
      </c>
      <c r="Q482" s="34">
        <v>16199.0</v>
      </c>
      <c r="R482" s="40">
        <v>17399.0</v>
      </c>
      <c r="S482" s="35">
        <v>15199.24</v>
      </c>
      <c r="T482" s="36">
        <v>1.0</v>
      </c>
      <c r="U482" s="36">
        <v>2.0</v>
      </c>
      <c r="V482" s="36">
        <v>0.0</v>
      </c>
      <c r="W482" s="36">
        <v>0.0</v>
      </c>
      <c r="X482" s="36">
        <v>0.0</v>
      </c>
      <c r="Y482" s="36">
        <v>3.0</v>
      </c>
    </row>
    <row r="483">
      <c r="A483" s="32" t="s">
        <v>37</v>
      </c>
      <c r="B483" s="32" t="s">
        <v>37</v>
      </c>
      <c r="C483" s="32" t="s">
        <v>38</v>
      </c>
      <c r="D483" s="32" t="s">
        <v>39</v>
      </c>
      <c r="E483" s="32" t="s">
        <v>5102</v>
      </c>
      <c r="F483" s="32" t="e">
        <v>#N/A</v>
      </c>
      <c r="G483" s="39"/>
      <c r="H483" s="32" t="s">
        <v>40</v>
      </c>
      <c r="I483" s="32" t="s">
        <v>5073</v>
      </c>
      <c r="J483" s="32" t="s">
        <v>41</v>
      </c>
      <c r="K483" s="33" t="s">
        <v>42</v>
      </c>
      <c r="L483" s="32">
        <v>3.2784166E7</v>
      </c>
      <c r="M483" s="32" t="s">
        <v>43</v>
      </c>
      <c r="N483" s="32" t="s">
        <v>51</v>
      </c>
      <c r="O483" s="32" t="s">
        <v>52</v>
      </c>
      <c r="P483" s="32">
        <v>10999.0</v>
      </c>
      <c r="Q483" s="34">
        <v>8909.0</v>
      </c>
      <c r="R483" s="40">
        <v>9599.0</v>
      </c>
      <c r="S483" s="35">
        <v>8359.24</v>
      </c>
      <c r="T483" s="36">
        <v>2.0</v>
      </c>
      <c r="U483" s="36">
        <v>1.0</v>
      </c>
      <c r="V483" s="36">
        <v>0.0</v>
      </c>
      <c r="W483" s="36">
        <v>0.0</v>
      </c>
      <c r="X483" s="36">
        <v>0.0</v>
      </c>
      <c r="Y483" s="36">
        <v>3.0</v>
      </c>
    </row>
    <row r="484">
      <c r="A484" s="32" t="s">
        <v>1663</v>
      </c>
      <c r="B484" s="32" t="s">
        <v>1663</v>
      </c>
      <c r="C484" s="32" t="s">
        <v>1664</v>
      </c>
      <c r="D484" s="32" t="s">
        <v>1665</v>
      </c>
      <c r="E484" s="32" t="s">
        <v>5073</v>
      </c>
      <c r="F484" s="32" t="e">
        <v>#N/A</v>
      </c>
      <c r="G484" s="39"/>
      <c r="H484" s="32" t="s">
        <v>1663</v>
      </c>
      <c r="I484" s="32" t="s">
        <v>5073</v>
      </c>
      <c r="J484" s="32" t="s">
        <v>1663</v>
      </c>
      <c r="K484" s="33" t="s">
        <v>1666</v>
      </c>
      <c r="L484" s="32">
        <v>3.2784042E7</v>
      </c>
      <c r="M484" s="32" t="s">
        <v>1667</v>
      </c>
      <c r="N484" s="32" t="s">
        <v>5112</v>
      </c>
      <c r="O484" s="32" t="s">
        <v>52</v>
      </c>
      <c r="P484" s="32">
        <v>29999.0</v>
      </c>
      <c r="Q484" s="34">
        <v>26999.0</v>
      </c>
      <c r="R484" s="40">
        <v>28499.0</v>
      </c>
      <c r="S484" s="35">
        <v>23099.23</v>
      </c>
      <c r="T484" s="36">
        <v>0.0</v>
      </c>
      <c r="U484" s="36">
        <v>0.0</v>
      </c>
      <c r="V484" s="36">
        <v>3.0</v>
      </c>
      <c r="W484" s="36">
        <v>0.0</v>
      </c>
      <c r="X484" s="36">
        <v>0.0</v>
      </c>
      <c r="Y484" s="36">
        <v>3.0</v>
      </c>
    </row>
    <row r="485">
      <c r="A485" s="32" t="s">
        <v>1688</v>
      </c>
      <c r="B485" s="32" t="s">
        <v>1688</v>
      </c>
      <c r="C485" s="32" t="s">
        <v>1689</v>
      </c>
      <c r="D485" s="32" t="s">
        <v>1690</v>
      </c>
      <c r="E485" s="32" t="s">
        <v>5102</v>
      </c>
      <c r="F485" s="32" t="s">
        <v>1691</v>
      </c>
      <c r="G485" s="32" t="s">
        <v>5140</v>
      </c>
      <c r="H485" s="32" t="s">
        <v>1692</v>
      </c>
      <c r="I485" s="32" t="s">
        <v>5073</v>
      </c>
      <c r="J485" s="32" t="s">
        <v>1693</v>
      </c>
      <c r="K485" s="33" t="s">
        <v>1694</v>
      </c>
      <c r="L485" s="32">
        <v>3.2784015E7</v>
      </c>
      <c r="M485" s="32" t="s">
        <v>1695</v>
      </c>
      <c r="N485" s="32" t="s">
        <v>5109</v>
      </c>
      <c r="O485" s="32" t="s">
        <v>52</v>
      </c>
      <c r="P485" s="32">
        <v>18999.0</v>
      </c>
      <c r="Q485" s="34">
        <v>17099.0</v>
      </c>
      <c r="R485" s="40">
        <v>17999.0</v>
      </c>
      <c r="S485" s="35">
        <v>15959.16</v>
      </c>
      <c r="T485" s="36">
        <v>1.0</v>
      </c>
      <c r="U485" s="36">
        <v>0.0</v>
      </c>
      <c r="V485" s="36">
        <v>0.0</v>
      </c>
      <c r="W485" s="36">
        <v>2.0</v>
      </c>
      <c r="X485" s="36">
        <v>0.0</v>
      </c>
      <c r="Y485" s="36">
        <v>3.0</v>
      </c>
    </row>
    <row r="486">
      <c r="A486" s="32" t="s">
        <v>1703</v>
      </c>
      <c r="B486" s="32" t="s">
        <v>1703</v>
      </c>
      <c r="C486" s="32" t="s">
        <v>1704</v>
      </c>
      <c r="D486" s="32" t="s">
        <v>1705</v>
      </c>
      <c r="E486" s="32" t="s">
        <v>5073</v>
      </c>
      <c r="F486" s="32" t="e">
        <v>#N/A</v>
      </c>
      <c r="G486" s="39"/>
      <c r="H486" s="32" t="s">
        <v>1706</v>
      </c>
      <c r="I486" s="32" t="s">
        <v>5073</v>
      </c>
      <c r="J486" s="32" t="s">
        <v>1707</v>
      </c>
      <c r="K486" s="33" t="s">
        <v>1708</v>
      </c>
      <c r="L486" s="32">
        <v>3.2783829E7</v>
      </c>
      <c r="M486" s="32" t="s">
        <v>1709</v>
      </c>
      <c r="N486" s="32" t="s">
        <v>5109</v>
      </c>
      <c r="O486" s="32" t="s">
        <v>52</v>
      </c>
      <c r="P486" s="32">
        <v>18999.0</v>
      </c>
      <c r="Q486" s="34">
        <v>17099.0</v>
      </c>
      <c r="R486" s="40">
        <v>17999.0</v>
      </c>
      <c r="S486" s="35">
        <v>15959.16</v>
      </c>
      <c r="T486" s="36">
        <v>0.0</v>
      </c>
      <c r="U486" s="36">
        <v>2.0</v>
      </c>
      <c r="V486" s="36">
        <v>1.0</v>
      </c>
      <c r="W486" s="36">
        <v>0.0</v>
      </c>
      <c r="X486" s="36">
        <v>0.0</v>
      </c>
      <c r="Y486" s="36">
        <v>3.0</v>
      </c>
    </row>
    <row r="487">
      <c r="A487" s="32" t="s">
        <v>2064</v>
      </c>
      <c r="B487" s="32" t="s">
        <v>2064</v>
      </c>
      <c r="C487" s="32" t="s">
        <v>2065</v>
      </c>
      <c r="D487" s="32" t="s">
        <v>2066</v>
      </c>
      <c r="E487" s="32" t="s">
        <v>5102</v>
      </c>
      <c r="F487" s="32" t="e">
        <v>#N/A</v>
      </c>
      <c r="G487" s="32" t="e">
        <v>#N/A</v>
      </c>
      <c r="H487" s="32" t="s">
        <v>2067</v>
      </c>
      <c r="I487" s="32" t="s">
        <v>5102</v>
      </c>
      <c r="J487" s="32" t="s">
        <v>2068</v>
      </c>
      <c r="K487" s="33" t="s">
        <v>2069</v>
      </c>
      <c r="L487" s="32">
        <v>3.2789215E7</v>
      </c>
      <c r="M487" s="32" t="s">
        <v>2070</v>
      </c>
      <c r="N487" s="32" t="s">
        <v>5138</v>
      </c>
      <c r="O487" s="32" t="s">
        <v>52</v>
      </c>
      <c r="P487" s="32">
        <v>22999.0</v>
      </c>
      <c r="Q487" s="34">
        <v>20699.0</v>
      </c>
      <c r="R487" s="40">
        <v>20699.0</v>
      </c>
      <c r="S487" s="35">
        <v>18399.2</v>
      </c>
      <c r="T487" s="36">
        <v>0.0</v>
      </c>
      <c r="U487" s="36">
        <v>0.0</v>
      </c>
      <c r="V487" s="36">
        <v>2.0</v>
      </c>
      <c r="W487" s="36">
        <v>0.0</v>
      </c>
      <c r="X487" s="36">
        <v>0.0</v>
      </c>
      <c r="Y487" s="36">
        <v>2.0</v>
      </c>
    </row>
    <row r="488">
      <c r="A488" s="32" t="s">
        <v>2835</v>
      </c>
      <c r="B488" s="32" t="s">
        <v>2835</v>
      </c>
      <c r="C488" s="32" t="s">
        <v>2836</v>
      </c>
      <c r="D488" s="32" t="s">
        <v>2837</v>
      </c>
      <c r="E488" s="32" t="s">
        <v>5073</v>
      </c>
      <c r="F488" s="32" t="e">
        <v>#N/A</v>
      </c>
      <c r="G488" s="32" t="e">
        <v>#N/A</v>
      </c>
      <c r="H488" s="32">
        <v>0.0</v>
      </c>
      <c r="I488" s="32">
        <v>0.0</v>
      </c>
      <c r="J488" s="32" t="s">
        <v>2800</v>
      </c>
      <c r="K488" s="33" t="s">
        <v>2838</v>
      </c>
      <c r="L488" s="32" t="e">
        <v>#N/A</v>
      </c>
      <c r="M488" s="32" t="e">
        <v>#N/A</v>
      </c>
      <c r="N488" s="32" t="s">
        <v>5107</v>
      </c>
      <c r="O488" s="32" t="s">
        <v>4730</v>
      </c>
      <c r="P488" s="32">
        <v>1589.0</v>
      </c>
      <c r="Q488" s="34">
        <v>1302.0</v>
      </c>
      <c r="R488" s="40">
        <v>1302.0</v>
      </c>
      <c r="S488" s="35">
        <v>1191.75</v>
      </c>
      <c r="T488" s="36">
        <v>0.0</v>
      </c>
      <c r="U488" s="36">
        <v>0.0</v>
      </c>
      <c r="V488" s="36">
        <v>2.0</v>
      </c>
      <c r="W488" s="36">
        <v>0.0</v>
      </c>
      <c r="X488" s="36">
        <v>0.0</v>
      </c>
      <c r="Y488" s="36">
        <v>2.0</v>
      </c>
    </row>
    <row r="489">
      <c r="A489" s="32" t="s">
        <v>817</v>
      </c>
      <c r="B489" s="32" t="s">
        <v>817</v>
      </c>
      <c r="C489" s="32" t="s">
        <v>818</v>
      </c>
      <c r="D489" s="32" t="s">
        <v>819</v>
      </c>
      <c r="E489" s="32" t="s">
        <v>5073</v>
      </c>
      <c r="F489" s="32" t="e">
        <v>#N/A</v>
      </c>
      <c r="G489" s="32" t="e">
        <v>#N/A</v>
      </c>
      <c r="H489" s="32" t="s">
        <v>820</v>
      </c>
      <c r="I489" s="32" t="s">
        <v>5073</v>
      </c>
      <c r="J489" s="32" t="s">
        <v>821</v>
      </c>
      <c r="K489" s="33" t="s">
        <v>822</v>
      </c>
      <c r="L489" s="32">
        <v>3.2783791E7</v>
      </c>
      <c r="M489" s="32" t="s">
        <v>823</v>
      </c>
      <c r="N489" s="32" t="s">
        <v>5108</v>
      </c>
      <c r="O489" s="32" t="s">
        <v>52</v>
      </c>
      <c r="P489" s="32">
        <v>11499.0</v>
      </c>
      <c r="Q489" s="34">
        <v>9659.0</v>
      </c>
      <c r="R489" s="40">
        <v>10299.0</v>
      </c>
      <c r="S489" s="35">
        <v>9199.2</v>
      </c>
      <c r="T489" s="36">
        <v>1.0</v>
      </c>
      <c r="U489" s="36">
        <v>1.0</v>
      </c>
      <c r="V489" s="36">
        <v>0.0</v>
      </c>
      <c r="W489" s="36">
        <v>0.0</v>
      </c>
      <c r="X489" s="36">
        <v>0.0</v>
      </c>
      <c r="Y489" s="36">
        <v>2.0</v>
      </c>
    </row>
    <row r="490">
      <c r="A490" s="32" t="s">
        <v>843</v>
      </c>
      <c r="B490" s="32" t="s">
        <v>843</v>
      </c>
      <c r="C490" s="32" t="s">
        <v>844</v>
      </c>
      <c r="D490" s="16" t="s">
        <v>845</v>
      </c>
      <c r="E490" s="32" t="s">
        <v>5110</v>
      </c>
      <c r="F490" s="32" t="e">
        <v>#N/A</v>
      </c>
      <c r="G490" s="32" t="e">
        <v>#N/A</v>
      </c>
      <c r="H490" s="32">
        <v>0.0</v>
      </c>
      <c r="I490" s="39"/>
      <c r="J490" s="32" t="s">
        <v>846</v>
      </c>
      <c r="K490" s="33" t="s">
        <v>847</v>
      </c>
      <c r="L490" s="32">
        <v>3.2783988E7</v>
      </c>
      <c r="M490" s="32" t="s">
        <v>848</v>
      </c>
      <c r="N490" s="32" t="s">
        <v>5108</v>
      </c>
      <c r="O490" s="32" t="s">
        <v>52</v>
      </c>
      <c r="P490" s="32">
        <v>12999.0</v>
      </c>
      <c r="Q490" s="34">
        <v>10919.0</v>
      </c>
      <c r="R490" s="40">
        <v>11699.0</v>
      </c>
      <c r="S490" s="35">
        <v>10399.2</v>
      </c>
      <c r="T490" s="36">
        <v>0.0</v>
      </c>
      <c r="U490" s="36">
        <v>0.0</v>
      </c>
      <c r="V490" s="36">
        <v>2.0</v>
      </c>
      <c r="W490" s="36">
        <v>0.0</v>
      </c>
      <c r="X490" s="36">
        <v>0.0</v>
      </c>
      <c r="Y490" s="36">
        <v>2.0</v>
      </c>
    </row>
    <row r="491">
      <c r="A491" s="32" t="s">
        <v>246</v>
      </c>
      <c r="B491" s="32" t="s">
        <v>246</v>
      </c>
      <c r="C491" s="32" t="s">
        <v>247</v>
      </c>
      <c r="D491" s="32" t="s">
        <v>248</v>
      </c>
      <c r="E491" s="32" t="s">
        <v>5102</v>
      </c>
      <c r="F491" s="32" t="e">
        <v>#N/A</v>
      </c>
      <c r="G491" s="39"/>
      <c r="H491" s="32" t="s">
        <v>249</v>
      </c>
      <c r="I491" s="32" t="s">
        <v>5073</v>
      </c>
      <c r="J491" s="32" t="s">
        <v>250</v>
      </c>
      <c r="K491" s="33" t="s">
        <v>251</v>
      </c>
      <c r="L491" s="32">
        <v>3.2784189E7</v>
      </c>
      <c r="M491" s="32" t="s">
        <v>252</v>
      </c>
      <c r="N491" s="32" t="s">
        <v>51</v>
      </c>
      <c r="O491" s="32" t="s">
        <v>52</v>
      </c>
      <c r="P491" s="32">
        <v>14999.0</v>
      </c>
      <c r="Q491" s="34">
        <v>12149.0</v>
      </c>
      <c r="R491" s="40">
        <v>12999.0</v>
      </c>
      <c r="S491" s="35">
        <v>11399.24</v>
      </c>
      <c r="T491" s="36">
        <v>1.0</v>
      </c>
      <c r="U491" s="36">
        <v>0.0</v>
      </c>
      <c r="V491" s="36">
        <v>0.0</v>
      </c>
      <c r="W491" s="36">
        <v>1.0</v>
      </c>
      <c r="X491" s="36">
        <v>0.0</v>
      </c>
      <c r="Y491" s="36">
        <v>2.0</v>
      </c>
    </row>
    <row r="492">
      <c r="A492" s="32" t="s">
        <v>279</v>
      </c>
      <c r="B492" s="32" t="s">
        <v>279</v>
      </c>
      <c r="C492" s="32" t="s">
        <v>280</v>
      </c>
      <c r="D492" s="32" t="s">
        <v>281</v>
      </c>
      <c r="E492" s="32" t="s">
        <v>5073</v>
      </c>
      <c r="F492" s="32" t="e">
        <v>#N/A</v>
      </c>
      <c r="G492" s="39"/>
      <c r="H492" s="32">
        <v>0.0</v>
      </c>
      <c r="I492" s="39"/>
      <c r="J492" s="32" t="s">
        <v>282</v>
      </c>
      <c r="K492" s="33" t="s">
        <v>283</v>
      </c>
      <c r="L492" s="32" t="e">
        <v>#N/A</v>
      </c>
      <c r="M492" s="32" t="e">
        <v>#REF!</v>
      </c>
      <c r="N492" s="32" t="s">
        <v>51</v>
      </c>
      <c r="O492" s="32" t="s">
        <v>52</v>
      </c>
      <c r="P492" s="32">
        <v>20999.0</v>
      </c>
      <c r="Q492" s="34">
        <v>17009.0</v>
      </c>
      <c r="R492" s="40">
        <v>18299.0</v>
      </c>
      <c r="S492" s="35">
        <v>15959.24</v>
      </c>
      <c r="T492" s="36">
        <v>0.0</v>
      </c>
      <c r="U492" s="36">
        <v>0.0</v>
      </c>
      <c r="V492" s="36">
        <v>2.0</v>
      </c>
      <c r="W492" s="36">
        <v>0.0</v>
      </c>
      <c r="X492" s="36">
        <v>0.0</v>
      </c>
      <c r="Y492" s="36">
        <v>2.0</v>
      </c>
    </row>
    <row r="493">
      <c r="A493" s="32" t="s">
        <v>16</v>
      </c>
      <c r="B493" s="32" t="s">
        <v>16</v>
      </c>
      <c r="C493" s="32" t="s">
        <v>17</v>
      </c>
      <c r="D493" s="32" t="s">
        <v>18</v>
      </c>
      <c r="E493" s="32" t="s">
        <v>5073</v>
      </c>
      <c r="F493" s="32" t="e">
        <v>#N/A</v>
      </c>
      <c r="G493" s="39"/>
      <c r="H493" s="32" t="s">
        <v>19</v>
      </c>
      <c r="I493" s="32" t="s">
        <v>5073</v>
      </c>
      <c r="J493" s="32" t="s">
        <v>20</v>
      </c>
      <c r="K493" s="33" t="s">
        <v>21</v>
      </c>
      <c r="L493" s="32">
        <v>3.2783978E7</v>
      </c>
      <c r="M493" s="32" t="s">
        <v>22</v>
      </c>
      <c r="N493" s="32" t="s">
        <v>51</v>
      </c>
      <c r="O493" s="32" t="s">
        <v>52</v>
      </c>
      <c r="P493" s="32">
        <v>9399.0</v>
      </c>
      <c r="Q493" s="34">
        <v>7613.0</v>
      </c>
      <c r="R493" s="40">
        <v>8199.0</v>
      </c>
      <c r="S493" s="35">
        <v>7143.24</v>
      </c>
      <c r="T493" s="36">
        <v>0.0</v>
      </c>
      <c r="U493" s="36">
        <v>1.0</v>
      </c>
      <c r="V493" s="36">
        <v>1.0</v>
      </c>
      <c r="W493" s="36">
        <v>0.0</v>
      </c>
      <c r="X493" s="36">
        <v>0.0</v>
      </c>
      <c r="Y493" s="36">
        <v>2.0</v>
      </c>
    </row>
    <row r="494">
      <c r="A494" s="32" t="s">
        <v>1173</v>
      </c>
      <c r="B494" s="32" t="s">
        <v>1173</v>
      </c>
      <c r="C494" s="32" t="s">
        <v>1174</v>
      </c>
      <c r="D494" s="32" t="s">
        <v>1175</v>
      </c>
      <c r="E494" s="32" t="s">
        <v>5102</v>
      </c>
      <c r="F494" s="32" t="e">
        <v>#N/A</v>
      </c>
      <c r="G494" s="39"/>
      <c r="H494" s="32">
        <v>0.0</v>
      </c>
      <c r="I494" s="39"/>
      <c r="J494" s="32" t="s">
        <v>1173</v>
      </c>
      <c r="K494" s="33" t="s">
        <v>1176</v>
      </c>
      <c r="L494" s="32" t="e">
        <v>#N/A</v>
      </c>
      <c r="M494" s="32" t="s">
        <v>1177</v>
      </c>
      <c r="N494" s="32" t="s">
        <v>1195</v>
      </c>
      <c r="O494" s="32" t="s">
        <v>5114</v>
      </c>
      <c r="P494" s="32">
        <v>2989.0</v>
      </c>
      <c r="Q494" s="34">
        <v>2147.0</v>
      </c>
      <c r="R494" s="40">
        <v>2099.0</v>
      </c>
      <c r="S494" s="35">
        <v>2092.3</v>
      </c>
      <c r="T494" s="36">
        <v>0.0</v>
      </c>
      <c r="U494" s="36">
        <v>0.0</v>
      </c>
      <c r="V494" s="36">
        <v>0.0</v>
      </c>
      <c r="W494" s="36">
        <v>0.0</v>
      </c>
      <c r="X494" s="36">
        <v>2.0</v>
      </c>
      <c r="Y494" s="36">
        <v>2.0</v>
      </c>
    </row>
    <row r="495">
      <c r="A495" s="32" t="s">
        <v>2624</v>
      </c>
      <c r="B495" s="32" t="s">
        <v>2624</v>
      </c>
      <c r="C495" s="32" t="s">
        <v>2625</v>
      </c>
      <c r="D495" s="32" t="s">
        <v>2626</v>
      </c>
      <c r="E495" s="32" t="s">
        <v>5102</v>
      </c>
      <c r="F495" s="32" t="e">
        <v>#N/A</v>
      </c>
      <c r="G495" s="39"/>
      <c r="H495" s="32">
        <v>0.0</v>
      </c>
      <c r="I495" s="39"/>
      <c r="J495" s="32" t="s">
        <v>2624</v>
      </c>
      <c r="K495" s="33" t="s">
        <v>2627</v>
      </c>
      <c r="L495" s="32" t="e">
        <v>#N/A</v>
      </c>
      <c r="M495" s="32" t="s">
        <v>2628</v>
      </c>
      <c r="N495" s="32" t="s">
        <v>1195</v>
      </c>
      <c r="O495" s="32" t="s">
        <v>5114</v>
      </c>
      <c r="P495" s="32">
        <v>3489.0</v>
      </c>
      <c r="Q495" s="34">
        <v>2507.0</v>
      </c>
      <c r="R495" s="40">
        <v>2499.0</v>
      </c>
      <c r="S495" s="35">
        <v>2442.3</v>
      </c>
      <c r="T495" s="36">
        <v>0.0</v>
      </c>
      <c r="U495" s="36">
        <v>0.0</v>
      </c>
      <c r="V495" s="36">
        <v>0.0</v>
      </c>
      <c r="W495" s="36">
        <v>0.0</v>
      </c>
      <c r="X495" s="36">
        <v>2.0</v>
      </c>
      <c r="Y495" s="36">
        <v>2.0</v>
      </c>
    </row>
    <row r="496">
      <c r="A496" s="32" t="s">
        <v>1363</v>
      </c>
      <c r="B496" s="32" t="s">
        <v>1363</v>
      </c>
      <c r="C496" s="32" t="s">
        <v>1364</v>
      </c>
      <c r="D496" s="32" t="s">
        <v>1365</v>
      </c>
      <c r="E496" s="32" t="s">
        <v>5073</v>
      </c>
      <c r="F496" s="32" t="e">
        <v>#N/A</v>
      </c>
      <c r="G496" s="39"/>
      <c r="H496" s="32" t="s">
        <v>1366</v>
      </c>
      <c r="I496" s="32" t="s">
        <v>5073</v>
      </c>
      <c r="J496" s="32" t="s">
        <v>1367</v>
      </c>
      <c r="K496" s="33" t="s">
        <v>1368</v>
      </c>
      <c r="L496" s="32">
        <v>3.1818389E7</v>
      </c>
      <c r="M496" s="32" t="e">
        <v>#N/A</v>
      </c>
      <c r="N496" s="32" t="s">
        <v>5089</v>
      </c>
      <c r="O496" s="32" t="s">
        <v>4730</v>
      </c>
      <c r="P496" s="32">
        <v>2649.0</v>
      </c>
      <c r="Q496" s="34">
        <v>2164.0</v>
      </c>
      <c r="R496" s="40">
        <v>2199.0</v>
      </c>
      <c r="S496" s="35">
        <v>2119.2</v>
      </c>
      <c r="T496" s="36">
        <v>0.0</v>
      </c>
      <c r="U496" s="36">
        <v>0.0</v>
      </c>
      <c r="V496" s="36">
        <v>2.0</v>
      </c>
      <c r="W496" s="36">
        <v>0.0</v>
      </c>
      <c r="X496" s="36">
        <v>0.0</v>
      </c>
      <c r="Y496" s="36">
        <v>2.0</v>
      </c>
    </row>
    <row r="497">
      <c r="A497" s="32" t="s">
        <v>1881</v>
      </c>
      <c r="B497" s="32" t="s">
        <v>1881</v>
      </c>
      <c r="C497" s="32" t="s">
        <v>1882</v>
      </c>
      <c r="D497" s="32" t="s">
        <v>1883</v>
      </c>
      <c r="E497" s="32" t="s">
        <v>5102</v>
      </c>
      <c r="F497" s="32" t="e">
        <v>#N/A</v>
      </c>
      <c r="G497" s="39"/>
      <c r="H497" s="32" t="s">
        <v>5141</v>
      </c>
      <c r="I497" s="32" t="s">
        <v>5102</v>
      </c>
      <c r="J497" s="32" t="s">
        <v>1884</v>
      </c>
      <c r="K497" s="33" t="s">
        <v>1885</v>
      </c>
      <c r="L497" s="32">
        <v>3.2784168E7</v>
      </c>
      <c r="M497" s="32" t="e">
        <v>#N/A</v>
      </c>
      <c r="N497" s="32" t="s">
        <v>5109</v>
      </c>
      <c r="O497" s="32" t="s">
        <v>52</v>
      </c>
      <c r="P497" s="32">
        <v>42999.0</v>
      </c>
      <c r="Q497" s="34">
        <v>38699.0</v>
      </c>
      <c r="R497" s="40">
        <v>40799.0</v>
      </c>
      <c r="S497" s="35">
        <v>36119.16</v>
      </c>
      <c r="T497" s="36">
        <v>2.0</v>
      </c>
      <c r="U497" s="36">
        <v>0.0</v>
      </c>
      <c r="V497" s="36">
        <v>0.0</v>
      </c>
      <c r="W497" s="36">
        <v>0.0</v>
      </c>
      <c r="X497" s="36">
        <v>0.0</v>
      </c>
      <c r="Y497" s="36">
        <v>2.0</v>
      </c>
    </row>
    <row r="498">
      <c r="A498" s="32" t="s">
        <v>1782</v>
      </c>
      <c r="B498" s="32" t="s">
        <v>1782</v>
      </c>
      <c r="C498" s="32" t="s">
        <v>1783</v>
      </c>
      <c r="D498" s="32" t="s">
        <v>1784</v>
      </c>
      <c r="E498" s="32" t="s">
        <v>5102</v>
      </c>
      <c r="F498" s="32" t="e">
        <v>#N/A</v>
      </c>
      <c r="G498" s="39"/>
      <c r="H498" s="32" t="s">
        <v>1785</v>
      </c>
      <c r="I498" s="32" t="s">
        <v>5122</v>
      </c>
      <c r="J498" s="32" t="s">
        <v>1786</v>
      </c>
      <c r="K498" s="33" t="s">
        <v>1787</v>
      </c>
      <c r="L498" s="32">
        <v>3.2783888E7</v>
      </c>
      <c r="M498" s="32" t="s">
        <v>1788</v>
      </c>
      <c r="N498" s="32" t="s">
        <v>5109</v>
      </c>
      <c r="O498" s="32" t="s">
        <v>52</v>
      </c>
      <c r="P498" s="32">
        <v>31999.0</v>
      </c>
      <c r="Q498" s="34">
        <v>28799.0</v>
      </c>
      <c r="R498" s="40">
        <v>30399.0</v>
      </c>
      <c r="S498" s="35">
        <v>26879.16</v>
      </c>
      <c r="T498" s="36">
        <v>0.0</v>
      </c>
      <c r="U498" s="36">
        <v>0.0</v>
      </c>
      <c r="V498" s="36">
        <v>2.0</v>
      </c>
      <c r="W498" s="36">
        <v>0.0</v>
      </c>
      <c r="X498" s="36">
        <v>0.0</v>
      </c>
      <c r="Y498" s="36">
        <v>2.0</v>
      </c>
    </row>
    <row r="499">
      <c r="A499" s="32" t="s">
        <v>1681</v>
      </c>
      <c r="B499" s="32" t="s">
        <v>1681</v>
      </c>
      <c r="C499" s="32" t="s">
        <v>1682</v>
      </c>
      <c r="D499" s="32" t="s">
        <v>1683</v>
      </c>
      <c r="E499" s="32" t="s">
        <v>5102</v>
      </c>
      <c r="F499" s="32" t="e">
        <v>#N/A</v>
      </c>
      <c r="G499" s="39"/>
      <c r="H499" s="32" t="s">
        <v>1684</v>
      </c>
      <c r="I499" s="32" t="s">
        <v>5073</v>
      </c>
      <c r="J499" s="32" t="s">
        <v>1685</v>
      </c>
      <c r="K499" s="33" t="s">
        <v>1686</v>
      </c>
      <c r="L499" s="32">
        <v>3.278409E7</v>
      </c>
      <c r="M499" s="32" t="s">
        <v>1687</v>
      </c>
      <c r="N499" s="32" t="s">
        <v>5109</v>
      </c>
      <c r="O499" s="32" t="s">
        <v>52</v>
      </c>
      <c r="P499" s="32">
        <v>18999.0</v>
      </c>
      <c r="Q499" s="34">
        <v>17099.0</v>
      </c>
      <c r="R499" s="40">
        <v>17999.0</v>
      </c>
      <c r="S499" s="35">
        <v>15959.16</v>
      </c>
      <c r="T499" s="36">
        <v>2.0</v>
      </c>
      <c r="U499" s="36">
        <v>0.0</v>
      </c>
      <c r="V499" s="36">
        <v>0.0</v>
      </c>
      <c r="W499" s="36">
        <v>0.0</v>
      </c>
      <c r="X499" s="36">
        <v>0.0</v>
      </c>
      <c r="Y499" s="36">
        <v>2.0</v>
      </c>
    </row>
    <row r="500">
      <c r="A500" s="32" t="s">
        <v>1715</v>
      </c>
      <c r="B500" s="32" t="s">
        <v>1715</v>
      </c>
      <c r="C500" s="32" t="s">
        <v>1716</v>
      </c>
      <c r="D500" s="32" t="s">
        <v>1717</v>
      </c>
      <c r="E500" s="32" t="s">
        <v>5073</v>
      </c>
      <c r="F500" s="32" t="e">
        <v>#N/A</v>
      </c>
      <c r="G500" s="39"/>
      <c r="H500" s="32" t="s">
        <v>1718</v>
      </c>
      <c r="I500" s="32" t="s">
        <v>5073</v>
      </c>
      <c r="J500" s="32" t="s">
        <v>1719</v>
      </c>
      <c r="K500" s="33" t="s">
        <v>1720</v>
      </c>
      <c r="L500" s="32">
        <v>3.2783786E7</v>
      </c>
      <c r="M500" s="32" t="s">
        <v>1721</v>
      </c>
      <c r="N500" s="32" t="s">
        <v>5109</v>
      </c>
      <c r="O500" s="32" t="s">
        <v>52</v>
      </c>
      <c r="P500" s="32">
        <v>20999.0</v>
      </c>
      <c r="Q500" s="34">
        <v>18899.0</v>
      </c>
      <c r="R500" s="40">
        <v>19899.0</v>
      </c>
      <c r="S500" s="35">
        <v>17639.16</v>
      </c>
      <c r="T500" s="36">
        <v>0.0</v>
      </c>
      <c r="U500" s="36">
        <v>0.0</v>
      </c>
      <c r="V500" s="36">
        <v>1.0</v>
      </c>
      <c r="W500" s="36">
        <v>0.0</v>
      </c>
      <c r="X500" s="36">
        <v>1.0</v>
      </c>
      <c r="Y500" s="36">
        <v>2.0</v>
      </c>
    </row>
    <row r="501">
      <c r="A501" s="32" t="s">
        <v>3217</v>
      </c>
      <c r="B501" s="32" t="s">
        <v>3217</v>
      </c>
      <c r="C501" s="32" t="s">
        <v>3218</v>
      </c>
      <c r="D501" s="32" t="s">
        <v>3219</v>
      </c>
      <c r="E501" s="32" t="s">
        <v>5073</v>
      </c>
      <c r="F501" s="32" t="e">
        <v>#N/A</v>
      </c>
      <c r="G501" s="39"/>
      <c r="H501" s="32" t="s">
        <v>3220</v>
      </c>
      <c r="I501" s="32" t="s">
        <v>5073</v>
      </c>
      <c r="J501" s="32" t="s">
        <v>3221</v>
      </c>
      <c r="K501" s="33" t="s">
        <v>3222</v>
      </c>
      <c r="L501" s="32">
        <v>3.1818369E7</v>
      </c>
      <c r="M501" s="32" t="e">
        <v>#N/A</v>
      </c>
      <c r="N501" s="32" t="s">
        <v>5142</v>
      </c>
      <c r="O501" s="32" t="s">
        <v>4730</v>
      </c>
      <c r="P501" s="32">
        <v>1389.0</v>
      </c>
      <c r="Q501" s="34">
        <v>1299.0</v>
      </c>
      <c r="R501" s="40">
        <v>1299.0</v>
      </c>
      <c r="S501" s="35">
        <v>1199.0</v>
      </c>
      <c r="T501" s="36">
        <v>0.0</v>
      </c>
      <c r="U501" s="36">
        <v>0.0</v>
      </c>
      <c r="V501" s="36">
        <v>2.0</v>
      </c>
      <c r="W501" s="36">
        <v>0.0</v>
      </c>
      <c r="X501" s="36">
        <v>0.0</v>
      </c>
      <c r="Y501" s="36">
        <v>2.0</v>
      </c>
    </row>
    <row r="502">
      <c r="A502" s="32" t="s">
        <v>3909</v>
      </c>
      <c r="B502" s="32" t="s">
        <v>3909</v>
      </c>
      <c r="C502" s="32">
        <v>0.0</v>
      </c>
      <c r="D502" s="32" t="e">
        <v>#N/A</v>
      </c>
      <c r="E502" s="39"/>
      <c r="F502" s="32" t="e">
        <v>#N/A</v>
      </c>
      <c r="G502" s="39"/>
      <c r="H502" s="32" t="e">
        <v>#N/A</v>
      </c>
      <c r="I502" s="39"/>
      <c r="J502" s="32">
        <v>0.0</v>
      </c>
      <c r="K502" s="33" t="e">
        <v>#N/A</v>
      </c>
      <c r="L502" s="32" t="e">
        <v>#N/A</v>
      </c>
      <c r="M502" s="32" t="e">
        <v>#N/A</v>
      </c>
      <c r="N502" s="32" t="e">
        <v>#N/A</v>
      </c>
      <c r="O502" s="32" t="e">
        <v>#N/A</v>
      </c>
      <c r="P502" s="32" t="e">
        <v>#REF!</v>
      </c>
      <c r="Q502" s="32" t="e">
        <v>#N/A</v>
      </c>
      <c r="R502" s="42" t="e">
        <v>#N/A</v>
      </c>
      <c r="S502" s="42" t="e">
        <v>#N/A</v>
      </c>
      <c r="T502" s="36">
        <v>0.0</v>
      </c>
      <c r="U502" s="36">
        <v>0.0</v>
      </c>
      <c r="V502" s="36">
        <v>1.0</v>
      </c>
      <c r="W502" s="36">
        <v>0.0</v>
      </c>
      <c r="X502" s="36">
        <v>0.0</v>
      </c>
      <c r="Y502" s="36">
        <v>1.0</v>
      </c>
    </row>
    <row r="503">
      <c r="A503" s="32" t="s">
        <v>3907</v>
      </c>
      <c r="B503" s="32" t="s">
        <v>3907</v>
      </c>
      <c r="C503" s="32">
        <v>0.0</v>
      </c>
      <c r="D503" s="32" t="e">
        <v>#N/A</v>
      </c>
      <c r="E503" s="39"/>
      <c r="F503" s="32" t="e">
        <v>#N/A</v>
      </c>
      <c r="G503" s="39"/>
      <c r="H503" s="32" t="e">
        <v>#N/A</v>
      </c>
      <c r="I503" s="39"/>
      <c r="J503" s="32">
        <v>0.0</v>
      </c>
      <c r="K503" s="33" t="e">
        <v>#N/A</v>
      </c>
      <c r="L503" s="32" t="e">
        <v>#N/A</v>
      </c>
      <c r="M503" s="32" t="e">
        <v>#N/A</v>
      </c>
      <c r="N503" s="32" t="e">
        <v>#N/A</v>
      </c>
      <c r="O503" s="32" t="e">
        <v>#N/A</v>
      </c>
      <c r="P503" s="32" t="e">
        <v>#REF!</v>
      </c>
      <c r="Q503" s="32" t="e">
        <v>#N/A</v>
      </c>
      <c r="R503" s="42" t="e">
        <v>#N/A</v>
      </c>
      <c r="S503" s="42" t="e">
        <v>#N/A</v>
      </c>
      <c r="T503" s="36">
        <v>0.0</v>
      </c>
      <c r="U503" s="36">
        <v>0.0</v>
      </c>
      <c r="V503" s="36">
        <v>1.0</v>
      </c>
      <c r="W503" s="36">
        <v>0.0</v>
      </c>
      <c r="X503" s="36">
        <v>0.0</v>
      </c>
      <c r="Y503" s="36">
        <v>1.0</v>
      </c>
    </row>
    <row r="504">
      <c r="A504" s="32" t="s">
        <v>4611</v>
      </c>
      <c r="B504" s="32" t="s">
        <v>4611</v>
      </c>
      <c r="C504" s="32">
        <v>0.0</v>
      </c>
      <c r="D504" s="32" t="e">
        <v>#N/A</v>
      </c>
      <c r="E504" s="39"/>
      <c r="F504" s="32" t="e">
        <v>#N/A</v>
      </c>
      <c r="G504" s="39"/>
      <c r="H504" s="32">
        <v>0.0</v>
      </c>
      <c r="I504" s="39"/>
      <c r="J504" s="32" t="s">
        <v>4613</v>
      </c>
      <c r="K504" s="33" t="e">
        <v>#N/A</v>
      </c>
      <c r="L504" s="32" t="e">
        <v>#N/A</v>
      </c>
      <c r="M504" s="32" t="e">
        <v>#N/A</v>
      </c>
      <c r="N504" s="32" t="s">
        <v>5077</v>
      </c>
      <c r="O504" s="32" t="s">
        <v>4730</v>
      </c>
      <c r="P504" s="32">
        <v>1599.0</v>
      </c>
      <c r="Q504" s="34">
        <v>1519.0</v>
      </c>
      <c r="R504" s="40">
        <v>1519.0</v>
      </c>
      <c r="S504" s="35">
        <v>1439.1</v>
      </c>
      <c r="T504" s="36">
        <v>0.0</v>
      </c>
      <c r="U504" s="36">
        <v>0.0</v>
      </c>
      <c r="V504" s="36">
        <v>1.0</v>
      </c>
      <c r="W504" s="36">
        <v>0.0</v>
      </c>
      <c r="X504" s="36">
        <v>0.0</v>
      </c>
      <c r="Y504" s="36">
        <v>1.0</v>
      </c>
    </row>
    <row r="505">
      <c r="A505" s="32" t="s">
        <v>962</v>
      </c>
      <c r="B505" s="32" t="s">
        <v>962</v>
      </c>
      <c r="C505" s="32">
        <v>0.0</v>
      </c>
      <c r="D505" s="32">
        <v>0.0</v>
      </c>
      <c r="E505" s="39"/>
      <c r="F505" s="32" t="e">
        <v>#N/A</v>
      </c>
      <c r="G505" s="39"/>
      <c r="H505" s="32">
        <v>0.0</v>
      </c>
      <c r="I505" s="39"/>
      <c r="J505" s="32" t="s">
        <v>963</v>
      </c>
      <c r="K505" s="33" t="e">
        <v>#N/A</v>
      </c>
      <c r="L505" s="32" t="e">
        <v>#N/A</v>
      </c>
      <c r="M505" s="32" t="e">
        <v>#N/A</v>
      </c>
      <c r="N505" s="32" t="s">
        <v>5108</v>
      </c>
      <c r="O505" s="32" t="s">
        <v>52</v>
      </c>
      <c r="P505" s="32">
        <v>19999.0</v>
      </c>
      <c r="Q505" s="34">
        <v>16799.0</v>
      </c>
      <c r="R505" s="40">
        <v>17999.0</v>
      </c>
      <c r="S505" s="35">
        <v>15999.2</v>
      </c>
      <c r="T505" s="36">
        <v>0.0</v>
      </c>
      <c r="U505" s="36">
        <v>0.0</v>
      </c>
      <c r="V505" s="36">
        <v>1.0</v>
      </c>
      <c r="W505" s="36">
        <v>0.0</v>
      </c>
      <c r="X505" s="36">
        <v>0.0</v>
      </c>
      <c r="Y505" s="36">
        <v>1.0</v>
      </c>
    </row>
    <row r="506">
      <c r="A506" s="32" t="s">
        <v>3277</v>
      </c>
      <c r="B506" s="32" t="s">
        <v>3277</v>
      </c>
      <c r="C506" s="32" t="s">
        <v>3278</v>
      </c>
      <c r="D506" s="32" t="s">
        <v>3279</v>
      </c>
      <c r="E506" s="32" t="s">
        <v>5073</v>
      </c>
      <c r="F506" s="32" t="e">
        <v>#N/A</v>
      </c>
      <c r="G506" s="32" t="e">
        <v>#N/A</v>
      </c>
      <c r="H506" s="32" t="s">
        <v>3280</v>
      </c>
      <c r="I506" s="32" t="s">
        <v>5073</v>
      </c>
      <c r="J506" s="32" t="s">
        <v>3281</v>
      </c>
      <c r="K506" s="33" t="s">
        <v>3282</v>
      </c>
      <c r="L506" s="32">
        <v>3.1818445E7</v>
      </c>
      <c r="M506" s="32" t="e">
        <v>#N/A</v>
      </c>
      <c r="N506" s="32" t="s">
        <v>5086</v>
      </c>
      <c r="O506" s="32" t="s">
        <v>4730</v>
      </c>
      <c r="P506" s="32">
        <v>1989.0</v>
      </c>
      <c r="Q506" s="34">
        <v>1799.0</v>
      </c>
      <c r="R506" s="40">
        <v>1799.0</v>
      </c>
      <c r="S506" s="35">
        <v>1690.65</v>
      </c>
      <c r="T506" s="36">
        <v>0.0</v>
      </c>
      <c r="U506" s="36">
        <v>0.0</v>
      </c>
      <c r="V506" s="36">
        <v>1.0</v>
      </c>
      <c r="W506" s="36">
        <v>0.0</v>
      </c>
      <c r="X506" s="36">
        <v>0.0</v>
      </c>
      <c r="Y506" s="36">
        <v>1.0</v>
      </c>
    </row>
    <row r="507">
      <c r="A507" s="32" t="s">
        <v>2044</v>
      </c>
      <c r="B507" s="32" t="s">
        <v>2044</v>
      </c>
      <c r="C507" s="32" t="s">
        <v>2045</v>
      </c>
      <c r="D507" s="32" t="s">
        <v>2046</v>
      </c>
      <c r="E507" s="32" t="s">
        <v>5102</v>
      </c>
      <c r="F507" s="32" t="e">
        <v>#N/A</v>
      </c>
      <c r="G507" s="32" t="e">
        <v>#N/A</v>
      </c>
      <c r="H507" s="32" t="s">
        <v>2047</v>
      </c>
      <c r="I507" s="32" t="s">
        <v>5102</v>
      </c>
      <c r="J507" s="32">
        <v>0.0</v>
      </c>
      <c r="K507" s="33" t="s">
        <v>2048</v>
      </c>
      <c r="L507" s="32">
        <v>3.2789225E7</v>
      </c>
      <c r="M507" s="32" t="s">
        <v>2049</v>
      </c>
      <c r="N507" s="32" t="s">
        <v>5138</v>
      </c>
      <c r="O507" s="32" t="s">
        <v>52</v>
      </c>
      <c r="P507" s="32">
        <v>19999.0</v>
      </c>
      <c r="Q507" s="34">
        <v>17999.0</v>
      </c>
      <c r="R507" s="40">
        <v>17999.0</v>
      </c>
      <c r="S507" s="35">
        <v>15999.2</v>
      </c>
      <c r="T507" s="36">
        <v>0.0</v>
      </c>
      <c r="U507" s="36">
        <v>0.0</v>
      </c>
      <c r="V507" s="36">
        <v>1.0</v>
      </c>
      <c r="W507" s="36">
        <v>0.0</v>
      </c>
      <c r="X507" s="36">
        <v>0.0</v>
      </c>
      <c r="Y507" s="36">
        <v>1.0</v>
      </c>
    </row>
    <row r="508">
      <c r="A508" s="32" t="s">
        <v>893</v>
      </c>
      <c r="B508" s="32" t="s">
        <v>893</v>
      </c>
      <c r="C508" s="32" t="s">
        <v>894</v>
      </c>
      <c r="D508" s="32" t="s">
        <v>895</v>
      </c>
      <c r="E508" s="32" t="s">
        <v>5102</v>
      </c>
      <c r="F508" s="32" t="e">
        <v>#N/A</v>
      </c>
      <c r="G508" s="32" t="e">
        <v>#N/A</v>
      </c>
      <c r="H508" s="32">
        <v>0.0</v>
      </c>
      <c r="I508" s="39"/>
      <c r="J508" s="32" t="s">
        <v>896</v>
      </c>
      <c r="K508" s="33" t="s">
        <v>897</v>
      </c>
      <c r="L508" s="32">
        <v>3.2777943E7</v>
      </c>
      <c r="M508" s="32" t="s">
        <v>898</v>
      </c>
      <c r="N508" s="32" t="s">
        <v>5108</v>
      </c>
      <c r="O508" s="32" t="s">
        <v>52</v>
      </c>
      <c r="P508" s="32">
        <v>14199.0</v>
      </c>
      <c r="Q508" s="34">
        <v>11927.0</v>
      </c>
      <c r="R508" s="40">
        <v>12799.0</v>
      </c>
      <c r="S508" s="35">
        <v>11359.2</v>
      </c>
      <c r="T508" s="36">
        <v>1.0</v>
      </c>
      <c r="U508" s="36">
        <v>0.0</v>
      </c>
      <c r="V508" s="36">
        <v>0.0</v>
      </c>
      <c r="W508" s="36">
        <v>0.0</v>
      </c>
      <c r="X508" s="36">
        <v>0.0</v>
      </c>
      <c r="Y508" s="36">
        <v>1.0</v>
      </c>
    </row>
    <row r="509">
      <c r="A509" s="32" t="s">
        <v>932</v>
      </c>
      <c r="B509" s="32" t="s">
        <v>932</v>
      </c>
      <c r="C509" s="32" t="s">
        <v>933</v>
      </c>
      <c r="D509" s="32" t="s">
        <v>934</v>
      </c>
      <c r="E509" s="32" t="s">
        <v>5102</v>
      </c>
      <c r="F509" s="32" t="e">
        <v>#N/A</v>
      </c>
      <c r="G509" s="32" t="e">
        <v>#N/A</v>
      </c>
      <c r="H509" s="32">
        <v>0.0</v>
      </c>
      <c r="I509" s="39"/>
      <c r="J509" s="32" t="s">
        <v>935</v>
      </c>
      <c r="K509" s="33" t="s">
        <v>936</v>
      </c>
      <c r="L509" s="32" t="e">
        <v>#N/A</v>
      </c>
      <c r="M509" s="32" t="e">
        <v>#N/A</v>
      </c>
      <c r="N509" s="32" t="s">
        <v>5108</v>
      </c>
      <c r="O509" s="32" t="s">
        <v>52</v>
      </c>
      <c r="P509" s="32">
        <v>19999.0</v>
      </c>
      <c r="Q509" s="34">
        <v>16799.0</v>
      </c>
      <c r="R509" s="40">
        <v>17999.0</v>
      </c>
      <c r="S509" s="35">
        <v>15999.2</v>
      </c>
      <c r="T509" s="36">
        <v>0.0</v>
      </c>
      <c r="U509" s="36">
        <v>0.0</v>
      </c>
      <c r="V509" s="36">
        <v>1.0</v>
      </c>
      <c r="W509" s="36">
        <v>0.0</v>
      </c>
      <c r="X509" s="36">
        <v>0.0</v>
      </c>
      <c r="Y509" s="36">
        <v>1.0</v>
      </c>
    </row>
    <row r="510">
      <c r="A510" s="32" t="s">
        <v>4149</v>
      </c>
      <c r="B510" s="32" t="s">
        <v>4149</v>
      </c>
      <c r="C510" s="32" t="s">
        <v>4150</v>
      </c>
      <c r="D510" s="32" t="s">
        <v>4151</v>
      </c>
      <c r="E510" s="32" t="s">
        <v>5073</v>
      </c>
      <c r="F510" s="32" t="e">
        <v>#N/A</v>
      </c>
      <c r="G510" s="38"/>
      <c r="H510" s="32">
        <v>0.0</v>
      </c>
      <c r="I510" s="39"/>
      <c r="J510" s="32" t="s">
        <v>4152</v>
      </c>
      <c r="K510" s="33" t="s">
        <v>4153</v>
      </c>
      <c r="L510" s="32" t="e">
        <v>#N/A</v>
      </c>
      <c r="M510" s="32" t="s">
        <v>4154</v>
      </c>
      <c r="N510" s="32" t="s">
        <v>5118</v>
      </c>
      <c r="O510" s="32" t="s">
        <v>52</v>
      </c>
      <c r="P510" s="32">
        <v>18199.0</v>
      </c>
      <c r="Q510" s="34">
        <v>16379.0</v>
      </c>
      <c r="R510" s="40">
        <v>17499.0</v>
      </c>
      <c r="S510" s="35">
        <v>16037.34</v>
      </c>
      <c r="T510" s="36">
        <v>0.0</v>
      </c>
      <c r="U510" s="36">
        <v>0.0</v>
      </c>
      <c r="V510" s="36">
        <v>1.0</v>
      </c>
      <c r="W510" s="36">
        <v>0.0</v>
      </c>
      <c r="X510" s="36">
        <v>0.0</v>
      </c>
      <c r="Y510" s="36">
        <v>1.0</v>
      </c>
    </row>
    <row r="511">
      <c r="A511" s="32" t="s">
        <v>3933</v>
      </c>
      <c r="B511" s="32" t="s">
        <v>3933</v>
      </c>
      <c r="C511" s="32" t="s">
        <v>3934</v>
      </c>
      <c r="D511" s="32" t="s">
        <v>3935</v>
      </c>
      <c r="E511" s="32" t="s">
        <v>5073</v>
      </c>
      <c r="F511" s="32" t="e">
        <v>#N/A</v>
      </c>
      <c r="G511" s="38"/>
      <c r="H511" s="32">
        <v>0.0</v>
      </c>
      <c r="I511" s="39"/>
      <c r="J511" s="32" t="s">
        <v>3936</v>
      </c>
      <c r="K511" s="33" t="s">
        <v>3937</v>
      </c>
      <c r="L511" s="32" t="e">
        <v>#N/A</v>
      </c>
      <c r="M511" s="32" t="e">
        <v>#N/A</v>
      </c>
      <c r="N511" s="32" t="s">
        <v>5118</v>
      </c>
      <c r="O511" s="32" t="s">
        <v>52</v>
      </c>
      <c r="P511" s="32">
        <v>8799.0</v>
      </c>
      <c r="Q511" s="34">
        <v>7919.0</v>
      </c>
      <c r="R511" s="40">
        <v>8399.0</v>
      </c>
      <c r="S511" s="35">
        <v>7721.34</v>
      </c>
      <c r="T511" s="36">
        <v>0.0</v>
      </c>
      <c r="U511" s="36">
        <v>0.0</v>
      </c>
      <c r="V511" s="36">
        <v>1.0</v>
      </c>
      <c r="W511" s="36">
        <v>0.0</v>
      </c>
      <c r="X511" s="36">
        <v>0.0</v>
      </c>
      <c r="Y511" s="36">
        <v>1.0</v>
      </c>
    </row>
    <row r="512">
      <c r="A512" s="32" t="s">
        <v>3973</v>
      </c>
      <c r="B512" s="32" t="s">
        <v>3973</v>
      </c>
      <c r="C512" s="32" t="s">
        <v>3974</v>
      </c>
      <c r="D512" s="32" t="s">
        <v>3975</v>
      </c>
      <c r="E512" s="32" t="s">
        <v>5073</v>
      </c>
      <c r="F512" s="32" t="e">
        <v>#N/A</v>
      </c>
      <c r="G512" s="38"/>
      <c r="H512" s="32">
        <v>0.0</v>
      </c>
      <c r="I512" s="39"/>
      <c r="J512" s="32" t="s">
        <v>3976</v>
      </c>
      <c r="K512" s="33" t="s">
        <v>3977</v>
      </c>
      <c r="L512" s="32" t="e">
        <v>#N/A</v>
      </c>
      <c r="M512" s="32" t="e">
        <v>#N/A</v>
      </c>
      <c r="N512" s="32" t="s">
        <v>5118</v>
      </c>
      <c r="O512" s="32" t="s">
        <v>52</v>
      </c>
      <c r="P512" s="32">
        <v>9999.0</v>
      </c>
      <c r="Q512" s="34">
        <v>8999.0</v>
      </c>
      <c r="R512" s="40">
        <v>9599.0</v>
      </c>
      <c r="S512" s="35">
        <v>8777.34</v>
      </c>
      <c r="T512" s="36">
        <v>0.0</v>
      </c>
      <c r="U512" s="36">
        <v>0.0</v>
      </c>
      <c r="V512" s="36">
        <v>0.0</v>
      </c>
      <c r="W512" s="36">
        <v>0.0</v>
      </c>
      <c r="X512" s="36">
        <v>1.0</v>
      </c>
      <c r="Y512" s="36">
        <v>1.0</v>
      </c>
    </row>
    <row r="513">
      <c r="A513" s="32" t="s">
        <v>3259</v>
      </c>
      <c r="B513" s="32" t="s">
        <v>3259</v>
      </c>
      <c r="C513" s="32" t="s">
        <v>3260</v>
      </c>
      <c r="D513" s="32" t="s">
        <v>3261</v>
      </c>
      <c r="E513" s="32" t="s">
        <v>5073</v>
      </c>
      <c r="F513" s="32" t="e">
        <v>#N/A</v>
      </c>
      <c r="G513" s="38"/>
      <c r="H513" s="32" t="s">
        <v>3262</v>
      </c>
      <c r="I513" s="32" t="s">
        <v>5073</v>
      </c>
      <c r="J513" s="32" t="s">
        <v>3263</v>
      </c>
      <c r="K513" s="33" t="s">
        <v>3264</v>
      </c>
      <c r="L513" s="32" t="e">
        <v>#N/A</v>
      </c>
      <c r="M513" s="32" t="e">
        <v>#N/A</v>
      </c>
      <c r="N513" s="32" t="s">
        <v>5086</v>
      </c>
      <c r="O513" s="32" t="s">
        <v>4730</v>
      </c>
      <c r="P513" s="32">
        <v>1989.0</v>
      </c>
      <c r="Q513" s="34">
        <v>1799.0</v>
      </c>
      <c r="R513" s="40">
        <v>1799.0</v>
      </c>
      <c r="S513" s="35">
        <v>1690.65</v>
      </c>
      <c r="T513" s="36">
        <v>0.0</v>
      </c>
      <c r="U513" s="36">
        <v>0.0</v>
      </c>
      <c r="V513" s="36">
        <v>1.0</v>
      </c>
      <c r="W513" s="36">
        <v>0.0</v>
      </c>
      <c r="X513" s="36">
        <v>0.0</v>
      </c>
      <c r="Y513" s="36">
        <v>1.0</v>
      </c>
    </row>
    <row r="514">
      <c r="A514" s="32" t="s">
        <v>1994</v>
      </c>
      <c r="B514" s="32" t="s">
        <v>1994</v>
      </c>
      <c r="C514" s="32" t="s">
        <v>1995</v>
      </c>
      <c r="D514" s="32" t="s">
        <v>1996</v>
      </c>
      <c r="E514" s="32" t="s">
        <v>5102</v>
      </c>
      <c r="F514" s="32" t="e">
        <v>#N/A</v>
      </c>
      <c r="G514" s="39"/>
      <c r="H514" s="32" t="s">
        <v>1997</v>
      </c>
      <c r="I514" s="32" t="s">
        <v>5073</v>
      </c>
      <c r="J514" s="32" t="s">
        <v>1998</v>
      </c>
      <c r="K514" s="33" t="s">
        <v>1999</v>
      </c>
      <c r="L514" s="32" t="e">
        <v>#N/A</v>
      </c>
      <c r="M514" s="32" t="e">
        <v>#N/A</v>
      </c>
      <c r="N514" s="32" t="s">
        <v>5132</v>
      </c>
      <c r="O514" s="32" t="s">
        <v>4730</v>
      </c>
      <c r="P514" s="32">
        <v>6499.0</v>
      </c>
      <c r="Q514" s="34">
        <v>4868.0</v>
      </c>
      <c r="R514" s="40">
        <v>5499.0</v>
      </c>
      <c r="S514" s="35">
        <v>4549.3</v>
      </c>
      <c r="T514" s="36">
        <v>0.0</v>
      </c>
      <c r="U514" s="36">
        <v>1.0</v>
      </c>
      <c r="V514" s="36">
        <v>0.0</v>
      </c>
      <c r="W514" s="36">
        <v>0.0</v>
      </c>
      <c r="X514" s="36">
        <v>0.0</v>
      </c>
      <c r="Y514" s="36">
        <v>1.0</v>
      </c>
    </row>
    <row r="515">
      <c r="A515" s="32" t="s">
        <v>1974</v>
      </c>
      <c r="B515" s="32" t="s">
        <v>1974</v>
      </c>
      <c r="C515" s="32" t="s">
        <v>1975</v>
      </c>
      <c r="D515" s="32" t="s">
        <v>1976</v>
      </c>
      <c r="E515" s="32" t="s">
        <v>5073</v>
      </c>
      <c r="F515" s="32" t="e">
        <v>#N/A</v>
      </c>
      <c r="G515" s="39"/>
      <c r="H515" s="32" t="s">
        <v>1977</v>
      </c>
      <c r="I515" s="32" t="s">
        <v>5073</v>
      </c>
      <c r="J515" s="32" t="s">
        <v>1978</v>
      </c>
      <c r="K515" s="33" t="s">
        <v>1979</v>
      </c>
      <c r="L515" s="32" t="e">
        <v>#N/A</v>
      </c>
      <c r="M515" s="32" t="e">
        <v>#N/A</v>
      </c>
      <c r="N515" s="32" t="s">
        <v>5132</v>
      </c>
      <c r="O515" s="32" t="s">
        <v>4730</v>
      </c>
      <c r="P515" s="32">
        <v>4499.0</v>
      </c>
      <c r="Q515" s="34">
        <v>3369.0</v>
      </c>
      <c r="R515" s="40">
        <v>3799.0</v>
      </c>
      <c r="S515" s="35">
        <v>3149.3</v>
      </c>
      <c r="T515" s="36">
        <v>0.0</v>
      </c>
      <c r="U515" s="36">
        <v>0.0</v>
      </c>
      <c r="V515" s="36">
        <v>0.0</v>
      </c>
      <c r="W515" s="36">
        <v>0.0</v>
      </c>
      <c r="X515" s="36">
        <v>1.0</v>
      </c>
      <c r="Y515" s="36">
        <v>1.0</v>
      </c>
    </row>
    <row r="516">
      <c r="A516" s="32" t="s">
        <v>315</v>
      </c>
      <c r="B516" s="32" t="s">
        <v>315</v>
      </c>
      <c r="C516" s="32" t="s">
        <v>316</v>
      </c>
      <c r="D516" s="32" t="s">
        <v>317</v>
      </c>
      <c r="E516" s="32" t="s">
        <v>5102</v>
      </c>
      <c r="F516" s="32" t="e">
        <v>#N/A</v>
      </c>
      <c r="G516" s="39"/>
      <c r="H516" s="32">
        <v>0.0</v>
      </c>
      <c r="I516" s="39"/>
      <c r="J516" s="32" t="s">
        <v>318</v>
      </c>
      <c r="K516" s="33" t="s">
        <v>319</v>
      </c>
      <c r="L516" s="32" t="e">
        <v>#N/A</v>
      </c>
      <c r="M516" s="32" t="s">
        <v>320</v>
      </c>
      <c r="N516" s="32" t="s">
        <v>51</v>
      </c>
      <c r="O516" s="32" t="s">
        <v>52</v>
      </c>
      <c r="P516" s="32">
        <v>10259.0</v>
      </c>
      <c r="Q516" s="34">
        <v>8310.0</v>
      </c>
      <c r="R516" s="40">
        <v>8899.0</v>
      </c>
      <c r="S516" s="35">
        <v>7796.84</v>
      </c>
      <c r="T516" s="36">
        <v>0.0</v>
      </c>
      <c r="U516" s="36">
        <v>0.0</v>
      </c>
      <c r="V516" s="36">
        <v>0.0</v>
      </c>
      <c r="W516" s="36">
        <v>0.0</v>
      </c>
      <c r="X516" s="36">
        <v>1.0</v>
      </c>
      <c r="Y516" s="36">
        <v>1.0</v>
      </c>
    </row>
    <row r="517">
      <c r="A517" s="32" t="s">
        <v>620</v>
      </c>
      <c r="B517" s="32" t="s">
        <v>620</v>
      </c>
      <c r="C517" s="32" t="s">
        <v>621</v>
      </c>
      <c r="D517" s="32" t="s">
        <v>622</v>
      </c>
      <c r="E517" s="32" t="s">
        <v>5073</v>
      </c>
      <c r="F517" s="32" t="e">
        <v>#N/A</v>
      </c>
      <c r="G517" s="39"/>
      <c r="H517" s="32" t="s">
        <v>623</v>
      </c>
      <c r="I517" s="32" t="s">
        <v>5073</v>
      </c>
      <c r="J517" s="32" t="s">
        <v>624</v>
      </c>
      <c r="K517" s="33" t="s">
        <v>625</v>
      </c>
      <c r="L517" s="32">
        <v>3.1999079E7</v>
      </c>
      <c r="M517" s="32" t="s">
        <v>626</v>
      </c>
      <c r="N517" s="32" t="s">
        <v>51</v>
      </c>
      <c r="O517" s="32" t="s">
        <v>52</v>
      </c>
      <c r="P517" s="32">
        <v>20399.0</v>
      </c>
      <c r="Q517" s="34">
        <v>16523.0</v>
      </c>
      <c r="R517" s="40">
        <v>17699.0</v>
      </c>
      <c r="S517" s="35">
        <v>15503.24</v>
      </c>
      <c r="T517" s="36">
        <v>0.0</v>
      </c>
      <c r="U517" s="36">
        <v>0.0</v>
      </c>
      <c r="V517" s="36">
        <v>0.0</v>
      </c>
      <c r="W517" s="36">
        <v>1.0</v>
      </c>
      <c r="X517" s="36">
        <v>0.0</v>
      </c>
      <c r="Y517" s="36">
        <v>1.0</v>
      </c>
    </row>
    <row r="518">
      <c r="A518" s="32" t="s">
        <v>576</v>
      </c>
      <c r="B518" s="32" t="s">
        <v>576</v>
      </c>
      <c r="C518" s="32" t="s">
        <v>577</v>
      </c>
      <c r="D518" s="32" t="s">
        <v>578</v>
      </c>
      <c r="E518" s="32" t="s">
        <v>5102</v>
      </c>
      <c r="F518" s="32" t="e">
        <v>#N/A</v>
      </c>
      <c r="G518" s="39"/>
      <c r="H518" s="32">
        <v>0.0</v>
      </c>
      <c r="I518" s="39"/>
      <c r="J518" s="32" t="s">
        <v>579</v>
      </c>
      <c r="K518" s="33" t="s">
        <v>580</v>
      </c>
      <c r="L518" s="32" t="e">
        <v>#N/A</v>
      </c>
      <c r="M518" s="32" t="s">
        <v>581</v>
      </c>
      <c r="N518" s="32" t="s">
        <v>51</v>
      </c>
      <c r="O518" s="32" t="s">
        <v>52</v>
      </c>
      <c r="P518" s="32">
        <v>18199.0</v>
      </c>
      <c r="Q518" s="34">
        <v>14741.0</v>
      </c>
      <c r="R518" s="40">
        <v>15799.0</v>
      </c>
      <c r="S518" s="35">
        <v>13831.24</v>
      </c>
      <c r="T518" s="36">
        <v>1.0</v>
      </c>
      <c r="U518" s="36">
        <v>0.0</v>
      </c>
      <c r="V518" s="36">
        <v>0.0</v>
      </c>
      <c r="W518" s="36">
        <v>0.0</v>
      </c>
      <c r="X518" s="36">
        <v>0.0</v>
      </c>
      <c r="Y518" s="36">
        <v>1.0</v>
      </c>
    </row>
    <row r="519">
      <c r="A519" s="32" t="s">
        <v>401</v>
      </c>
      <c r="B519" s="32" t="s">
        <v>401</v>
      </c>
      <c r="C519" s="32" t="s">
        <v>402</v>
      </c>
      <c r="D519" s="32" t="s">
        <v>403</v>
      </c>
      <c r="E519" s="32" t="s">
        <v>5073</v>
      </c>
      <c r="F519" s="32" t="e">
        <v>#N/A</v>
      </c>
      <c r="G519" s="39"/>
      <c r="H519" s="32" t="s">
        <v>401</v>
      </c>
      <c r="I519" s="32" t="s">
        <v>5073</v>
      </c>
      <c r="J519" s="32" t="s">
        <v>404</v>
      </c>
      <c r="K519" s="33" t="s">
        <v>405</v>
      </c>
      <c r="L519" s="32">
        <v>3.2783896E7</v>
      </c>
      <c r="M519" s="32" t="e">
        <v>#N/A</v>
      </c>
      <c r="N519" s="32" t="s">
        <v>51</v>
      </c>
      <c r="O519" s="32" t="s">
        <v>52</v>
      </c>
      <c r="P519" s="32">
        <v>19799.0</v>
      </c>
      <c r="Q519" s="34">
        <v>16037.0</v>
      </c>
      <c r="R519" s="40">
        <v>17199.0</v>
      </c>
      <c r="S519" s="35">
        <v>15047.24</v>
      </c>
      <c r="T519" s="36">
        <v>0.0</v>
      </c>
      <c r="U519" s="36">
        <v>0.0</v>
      </c>
      <c r="V519" s="36">
        <v>0.0</v>
      </c>
      <c r="W519" s="36">
        <v>0.0</v>
      </c>
      <c r="X519" s="36">
        <v>1.0</v>
      </c>
      <c r="Y519" s="36">
        <v>1.0</v>
      </c>
    </row>
    <row r="520">
      <c r="A520" s="32" t="s">
        <v>166</v>
      </c>
      <c r="B520" s="32" t="s">
        <v>166</v>
      </c>
      <c r="C520" s="32" t="s">
        <v>167</v>
      </c>
      <c r="D520" s="32" t="s">
        <v>168</v>
      </c>
      <c r="E520" s="32" t="s">
        <v>5073</v>
      </c>
      <c r="F520" s="32" t="e">
        <v>#N/A</v>
      </c>
      <c r="G520" s="39"/>
      <c r="H520" s="32">
        <v>0.0</v>
      </c>
      <c r="I520" s="39"/>
      <c r="J520" s="32" t="s">
        <v>169</v>
      </c>
      <c r="K520" s="33" t="s">
        <v>170</v>
      </c>
      <c r="L520" s="32" t="e">
        <v>#N/A</v>
      </c>
      <c r="M520" s="32" t="s">
        <v>171</v>
      </c>
      <c r="N520" s="32" t="s">
        <v>51</v>
      </c>
      <c r="O520" s="32" t="s">
        <v>52</v>
      </c>
      <c r="P520" s="32">
        <v>7359.0</v>
      </c>
      <c r="Q520" s="34">
        <v>5961.0</v>
      </c>
      <c r="R520" s="40">
        <v>6399.0</v>
      </c>
      <c r="S520" s="35">
        <v>5592.84</v>
      </c>
      <c r="T520" s="36">
        <v>0.0</v>
      </c>
      <c r="U520" s="36">
        <v>0.0</v>
      </c>
      <c r="V520" s="36">
        <v>1.0</v>
      </c>
      <c r="W520" s="36">
        <v>0.0</v>
      </c>
      <c r="X520" s="36">
        <v>0.0</v>
      </c>
      <c r="Y520" s="36">
        <v>1.0</v>
      </c>
    </row>
    <row r="521">
      <c r="A521" s="32" t="s">
        <v>134</v>
      </c>
      <c r="B521" s="32" t="s">
        <v>134</v>
      </c>
      <c r="C521" s="32" t="s">
        <v>135</v>
      </c>
      <c r="D521" s="32" t="s">
        <v>136</v>
      </c>
      <c r="E521" s="32" t="s">
        <v>5073</v>
      </c>
      <c r="F521" s="32" t="e">
        <v>#N/A</v>
      </c>
      <c r="G521" s="39"/>
      <c r="H521" s="32">
        <v>0.0</v>
      </c>
      <c r="I521" s="39"/>
      <c r="J521" s="32" t="s">
        <v>137</v>
      </c>
      <c r="K521" s="33" t="s">
        <v>138</v>
      </c>
      <c r="L521" s="32" t="e">
        <v>#N/A</v>
      </c>
      <c r="M521" s="32" t="s">
        <v>139</v>
      </c>
      <c r="N521" s="32" t="s">
        <v>51</v>
      </c>
      <c r="O521" s="32" t="s">
        <v>52</v>
      </c>
      <c r="P521" s="32">
        <v>10269.0</v>
      </c>
      <c r="Q521" s="34">
        <v>8318.0</v>
      </c>
      <c r="R521" s="40">
        <v>8899.0</v>
      </c>
      <c r="S521" s="35">
        <v>7804.44</v>
      </c>
      <c r="T521" s="36">
        <v>0.0</v>
      </c>
      <c r="U521" s="36">
        <v>0.0</v>
      </c>
      <c r="V521" s="36">
        <v>1.0</v>
      </c>
      <c r="W521" s="36">
        <v>0.0</v>
      </c>
      <c r="X521" s="36">
        <v>0.0</v>
      </c>
      <c r="Y521" s="36">
        <v>1.0</v>
      </c>
    </row>
    <row r="522">
      <c r="A522" s="32" t="s">
        <v>107</v>
      </c>
      <c r="B522" s="32" t="s">
        <v>107</v>
      </c>
      <c r="C522" s="32" t="s">
        <v>108</v>
      </c>
      <c r="D522" s="32" t="s">
        <v>109</v>
      </c>
      <c r="E522" s="32" t="s">
        <v>5073</v>
      </c>
      <c r="F522" s="32" t="e">
        <v>#N/A</v>
      </c>
      <c r="G522" s="39"/>
      <c r="H522" s="32">
        <v>0.0</v>
      </c>
      <c r="I522" s="39"/>
      <c r="J522" s="32" t="s">
        <v>110</v>
      </c>
      <c r="K522" s="33" t="s">
        <v>111</v>
      </c>
      <c r="L522" s="32" t="e">
        <v>#N/A</v>
      </c>
      <c r="M522" s="32" t="e">
        <v>#N/A</v>
      </c>
      <c r="N522" s="32" t="s">
        <v>51</v>
      </c>
      <c r="O522" s="32" t="s">
        <v>52</v>
      </c>
      <c r="P522" s="32">
        <v>17999.0</v>
      </c>
      <c r="Q522" s="34">
        <v>14579.0</v>
      </c>
      <c r="R522" s="40">
        <v>15699.0</v>
      </c>
      <c r="S522" s="35">
        <v>13679.24</v>
      </c>
      <c r="T522" s="36">
        <v>0.0</v>
      </c>
      <c r="U522" s="36">
        <v>0.0</v>
      </c>
      <c r="V522" s="36">
        <v>1.0</v>
      </c>
      <c r="W522" s="36">
        <v>0.0</v>
      </c>
      <c r="X522" s="36">
        <v>0.0</v>
      </c>
      <c r="Y522" s="36">
        <v>1.0</v>
      </c>
    </row>
    <row r="523">
      <c r="A523" s="32" t="s">
        <v>81</v>
      </c>
      <c r="B523" s="32" t="s">
        <v>81</v>
      </c>
      <c r="C523" s="32" t="s">
        <v>82</v>
      </c>
      <c r="D523" s="32" t="s">
        <v>83</v>
      </c>
      <c r="E523" s="32" t="s">
        <v>5073</v>
      </c>
      <c r="F523" s="32" t="e">
        <v>#N/A</v>
      </c>
      <c r="G523" s="39"/>
      <c r="H523" s="32">
        <v>0.0</v>
      </c>
      <c r="I523" s="39"/>
      <c r="J523" s="32" t="s">
        <v>84</v>
      </c>
      <c r="K523" s="33" t="s">
        <v>85</v>
      </c>
      <c r="L523" s="32" t="e">
        <v>#N/A</v>
      </c>
      <c r="M523" s="32" t="e">
        <v>#N/A</v>
      </c>
      <c r="N523" s="32" t="s">
        <v>51</v>
      </c>
      <c r="O523" s="32" t="s">
        <v>52</v>
      </c>
      <c r="P523" s="32">
        <v>16999.0</v>
      </c>
      <c r="Q523" s="34">
        <v>13769.0</v>
      </c>
      <c r="R523" s="40">
        <v>14799.0</v>
      </c>
      <c r="S523" s="35">
        <v>12919.24</v>
      </c>
      <c r="T523" s="36">
        <v>0.0</v>
      </c>
      <c r="U523" s="36">
        <v>0.0</v>
      </c>
      <c r="V523" s="36">
        <v>1.0</v>
      </c>
      <c r="W523" s="36">
        <v>0.0</v>
      </c>
      <c r="X523" s="36">
        <v>0.0</v>
      </c>
      <c r="Y523" s="36">
        <v>1.0</v>
      </c>
    </row>
    <row r="524">
      <c r="A524" s="32" t="s">
        <v>1188</v>
      </c>
      <c r="B524" s="32" t="s">
        <v>1188</v>
      </c>
      <c r="C524" s="32" t="s">
        <v>1189</v>
      </c>
      <c r="D524" s="32" t="s">
        <v>1190</v>
      </c>
      <c r="E524" s="32" t="s">
        <v>5117</v>
      </c>
      <c r="F524" s="32" t="e">
        <v>#N/A</v>
      </c>
      <c r="G524" s="32" t="e">
        <v>#N/A</v>
      </c>
      <c r="H524" s="32" t="s">
        <v>1188</v>
      </c>
      <c r="I524" s="32" t="s">
        <v>5102</v>
      </c>
      <c r="J524" s="32" t="s">
        <v>1188</v>
      </c>
      <c r="K524" s="33" t="s">
        <v>1191</v>
      </c>
      <c r="L524" s="32" t="e">
        <v>#N/A</v>
      </c>
      <c r="M524" s="32" t="s">
        <v>1192</v>
      </c>
      <c r="N524" s="32" t="s">
        <v>1195</v>
      </c>
      <c r="O524" s="32" t="s">
        <v>5114</v>
      </c>
      <c r="P524" s="32">
        <v>2989.0</v>
      </c>
      <c r="Q524" s="34">
        <v>2147.0</v>
      </c>
      <c r="R524" s="40">
        <v>2099.0</v>
      </c>
      <c r="S524" s="35">
        <v>2092.3</v>
      </c>
      <c r="T524" s="36">
        <v>0.0</v>
      </c>
      <c r="U524" s="36">
        <v>1.0</v>
      </c>
      <c r="V524" s="36">
        <v>0.0</v>
      </c>
      <c r="W524" s="36">
        <v>0.0</v>
      </c>
      <c r="X524" s="36">
        <v>0.0</v>
      </c>
      <c r="Y524" s="36">
        <v>1.0</v>
      </c>
    </row>
    <row r="525">
      <c r="A525" s="32" t="s">
        <v>1188</v>
      </c>
      <c r="B525" s="32" t="s">
        <v>1188</v>
      </c>
      <c r="C525" s="32" t="s">
        <v>4804</v>
      </c>
      <c r="D525" s="32" t="s">
        <v>4805</v>
      </c>
      <c r="E525" s="32" t="s">
        <v>5102</v>
      </c>
      <c r="F525" s="32" t="e">
        <v>#N/A</v>
      </c>
      <c r="G525" s="39"/>
      <c r="H525" s="32" t="e">
        <v>#N/A</v>
      </c>
      <c r="I525" s="39"/>
      <c r="J525" s="32" t="s">
        <v>4806</v>
      </c>
      <c r="K525" s="33" t="s">
        <v>1191</v>
      </c>
      <c r="L525" s="32" t="e">
        <v>#N/A</v>
      </c>
      <c r="M525" s="32" t="e">
        <v>#N/A</v>
      </c>
      <c r="N525" s="32" t="s">
        <v>1195</v>
      </c>
      <c r="O525" s="32" t="s">
        <v>5114</v>
      </c>
      <c r="P525" s="32">
        <v>2989.0</v>
      </c>
      <c r="Q525" s="34">
        <v>2147.0</v>
      </c>
      <c r="R525" s="40">
        <v>2099.0</v>
      </c>
      <c r="S525" s="35">
        <v>2092.3</v>
      </c>
      <c r="T525" s="36">
        <v>0.0</v>
      </c>
      <c r="U525" s="36">
        <v>1.0</v>
      </c>
      <c r="V525" s="36">
        <v>0.0</v>
      </c>
      <c r="W525" s="36">
        <v>0.0</v>
      </c>
      <c r="X525" s="36">
        <v>0.0</v>
      </c>
      <c r="Y525" s="36">
        <v>1.0</v>
      </c>
    </row>
    <row r="526">
      <c r="A526" s="32" t="s">
        <v>4363</v>
      </c>
      <c r="B526" s="32" t="s">
        <v>4363</v>
      </c>
      <c r="C526" s="32" t="s">
        <v>4364</v>
      </c>
      <c r="D526" s="32" t="s">
        <v>4365</v>
      </c>
      <c r="E526" s="32" t="s">
        <v>5102</v>
      </c>
      <c r="F526" s="32" t="e">
        <v>#N/A</v>
      </c>
      <c r="G526" s="39"/>
      <c r="H526" s="32">
        <v>0.0</v>
      </c>
      <c r="I526" s="39"/>
      <c r="J526" s="32" t="s">
        <v>4366</v>
      </c>
      <c r="K526" s="33" t="s">
        <v>4367</v>
      </c>
      <c r="L526" s="32" t="e">
        <v>#N/A</v>
      </c>
      <c r="M526" s="32" t="e">
        <v>#N/A</v>
      </c>
      <c r="N526" s="32" t="s">
        <v>5143</v>
      </c>
      <c r="O526" s="32" t="s">
        <v>4730</v>
      </c>
      <c r="P526" s="32">
        <v>3959.0</v>
      </c>
      <c r="Q526" s="34">
        <v>3599.0</v>
      </c>
      <c r="R526" s="40">
        <v>3759.0</v>
      </c>
      <c r="S526" s="35">
        <v>3365.15</v>
      </c>
      <c r="T526" s="36">
        <v>0.0</v>
      </c>
      <c r="U526" s="36">
        <v>0.0</v>
      </c>
      <c r="V526" s="36">
        <v>0.0</v>
      </c>
      <c r="W526" s="36">
        <v>0.0</v>
      </c>
      <c r="X526" s="36">
        <v>1.0</v>
      </c>
      <c r="Y526" s="36">
        <v>1.0</v>
      </c>
    </row>
    <row r="527">
      <c r="A527" s="32" t="s">
        <v>4760</v>
      </c>
      <c r="B527" s="32" t="s">
        <v>4760</v>
      </c>
      <c r="C527" s="32" t="s">
        <v>4761</v>
      </c>
      <c r="D527" s="32" t="s">
        <v>4762</v>
      </c>
      <c r="E527" s="32" t="s">
        <v>5073</v>
      </c>
      <c r="F527" s="32" t="e">
        <v>#N/A</v>
      </c>
      <c r="G527" s="39"/>
      <c r="H527" s="32" t="s">
        <v>4760</v>
      </c>
      <c r="I527" s="32" t="s">
        <v>5073</v>
      </c>
      <c r="J527" s="32" t="s">
        <v>4760</v>
      </c>
      <c r="K527" s="33" t="s">
        <v>4763</v>
      </c>
      <c r="L527" s="32" t="e">
        <v>#N/A</v>
      </c>
      <c r="M527" s="32" t="e">
        <v>#N/A</v>
      </c>
      <c r="N527" s="32" t="s">
        <v>5112</v>
      </c>
      <c r="O527" s="32" t="s">
        <v>52</v>
      </c>
      <c r="P527" s="32">
        <v>18999.0</v>
      </c>
      <c r="Q527" s="34">
        <v>17099.0</v>
      </c>
      <c r="R527" s="40">
        <v>17999.0</v>
      </c>
      <c r="S527" s="35">
        <v>14629.23</v>
      </c>
      <c r="T527" s="36">
        <v>0.0</v>
      </c>
      <c r="U527" s="36">
        <v>0.0</v>
      </c>
      <c r="V527" s="36">
        <v>1.0</v>
      </c>
      <c r="W527" s="36">
        <v>0.0</v>
      </c>
      <c r="X527" s="36">
        <v>0.0</v>
      </c>
      <c r="Y527" s="36">
        <v>1.0</v>
      </c>
    </row>
    <row r="528">
      <c r="A528" s="32" t="s">
        <v>1740</v>
      </c>
      <c r="B528" s="32" t="s">
        <v>1740</v>
      </c>
      <c r="C528" s="32" t="s">
        <v>1741</v>
      </c>
      <c r="D528" s="32" t="s">
        <v>1742</v>
      </c>
      <c r="E528" s="32" t="s">
        <v>5102</v>
      </c>
      <c r="F528" s="32" t="e">
        <v>#N/A</v>
      </c>
      <c r="G528" s="39"/>
      <c r="H528" s="32" t="s">
        <v>1743</v>
      </c>
      <c r="I528" s="32" t="s">
        <v>5073</v>
      </c>
      <c r="J528" s="32" t="s">
        <v>1744</v>
      </c>
      <c r="K528" s="33" t="s">
        <v>1745</v>
      </c>
      <c r="L528" s="32">
        <v>3.2783932E7</v>
      </c>
      <c r="M528" s="32" t="s">
        <v>1746</v>
      </c>
      <c r="N528" s="32" t="s">
        <v>5109</v>
      </c>
      <c r="O528" s="32" t="s">
        <v>52</v>
      </c>
      <c r="P528" s="32">
        <v>24999.0</v>
      </c>
      <c r="Q528" s="34">
        <v>22499.0</v>
      </c>
      <c r="R528" s="40">
        <v>23699.0</v>
      </c>
      <c r="S528" s="35">
        <v>20999.16</v>
      </c>
      <c r="T528" s="36">
        <v>1.0</v>
      </c>
      <c r="U528" s="36">
        <v>0.0</v>
      </c>
      <c r="V528" s="36">
        <v>0.0</v>
      </c>
      <c r="W528" s="36">
        <v>0.0</v>
      </c>
      <c r="X528" s="36">
        <v>0.0</v>
      </c>
      <c r="Y528" s="36">
        <v>1.0</v>
      </c>
    </row>
    <row r="529">
      <c r="A529" s="32" t="s">
        <v>1859</v>
      </c>
      <c r="B529" s="32" t="s">
        <v>1859</v>
      </c>
      <c r="C529" s="32" t="s">
        <v>1860</v>
      </c>
      <c r="D529" s="32" t="s">
        <v>1861</v>
      </c>
      <c r="E529" s="32" t="s">
        <v>5102</v>
      </c>
      <c r="F529" s="32" t="s">
        <v>1862</v>
      </c>
      <c r="G529" s="32" t="s">
        <v>5140</v>
      </c>
      <c r="H529" s="32" t="s">
        <v>1863</v>
      </c>
      <c r="I529" s="32" t="s">
        <v>5122</v>
      </c>
      <c r="J529" s="32" t="s">
        <v>1864</v>
      </c>
      <c r="K529" s="33" t="s">
        <v>1865</v>
      </c>
      <c r="L529" s="32">
        <v>3.2783939E7</v>
      </c>
      <c r="M529" s="32" t="s">
        <v>1866</v>
      </c>
      <c r="N529" s="32" t="s">
        <v>5109</v>
      </c>
      <c r="O529" s="32" t="s">
        <v>52</v>
      </c>
      <c r="P529" s="32">
        <v>34999.0</v>
      </c>
      <c r="Q529" s="34">
        <v>31499.0</v>
      </c>
      <c r="R529" s="40">
        <v>33199.0</v>
      </c>
      <c r="S529" s="35">
        <v>29399.16</v>
      </c>
      <c r="T529" s="36">
        <v>1.0</v>
      </c>
      <c r="U529" s="36">
        <v>0.0</v>
      </c>
      <c r="V529" s="36">
        <v>0.0</v>
      </c>
      <c r="W529" s="36">
        <v>0.0</v>
      </c>
      <c r="X529" s="36">
        <v>0.0</v>
      </c>
      <c r="Y529" s="36">
        <v>1.0</v>
      </c>
    </row>
    <row r="530">
      <c r="A530" s="32" t="s">
        <v>1915</v>
      </c>
      <c r="B530" s="32" t="s">
        <v>1915</v>
      </c>
      <c r="C530" s="32" t="s">
        <v>1916</v>
      </c>
      <c r="D530" s="32" t="s">
        <v>1917</v>
      </c>
      <c r="E530" s="32" t="s">
        <v>5073</v>
      </c>
      <c r="F530" s="32" t="e">
        <v>#N/A</v>
      </c>
      <c r="G530" s="39"/>
      <c r="H530" s="32">
        <v>0.0</v>
      </c>
      <c r="I530" s="39"/>
      <c r="J530" s="32" t="s">
        <v>1918</v>
      </c>
      <c r="K530" s="33" t="s">
        <v>1919</v>
      </c>
      <c r="L530" s="32" t="e">
        <v>#N/A</v>
      </c>
      <c r="M530" s="32" t="e">
        <v>#N/A</v>
      </c>
      <c r="N530" s="32" t="s">
        <v>5109</v>
      </c>
      <c r="O530" s="32" t="s">
        <v>52</v>
      </c>
      <c r="P530" s="32">
        <v>48799.0</v>
      </c>
      <c r="Q530" s="34">
        <v>43919.0</v>
      </c>
      <c r="R530" s="40">
        <v>46399.0</v>
      </c>
      <c r="S530" s="35">
        <v>40991.16</v>
      </c>
      <c r="T530" s="36">
        <v>0.0</v>
      </c>
      <c r="U530" s="36">
        <v>0.0</v>
      </c>
      <c r="V530" s="36">
        <v>1.0</v>
      </c>
      <c r="W530" s="36">
        <v>0.0</v>
      </c>
      <c r="X530" s="36">
        <v>0.0</v>
      </c>
      <c r="Y530" s="36">
        <v>1.0</v>
      </c>
    </row>
    <row r="531">
      <c r="A531" s="32" t="s">
        <v>1808</v>
      </c>
      <c r="B531" s="32" t="s">
        <v>1808</v>
      </c>
      <c r="C531" s="32" t="s">
        <v>1809</v>
      </c>
      <c r="D531" s="32" t="s">
        <v>1810</v>
      </c>
      <c r="E531" s="32" t="s">
        <v>5102</v>
      </c>
      <c r="F531" s="32" t="e">
        <v>#N/A</v>
      </c>
      <c r="G531" s="39"/>
      <c r="H531" s="32" t="s">
        <v>1811</v>
      </c>
      <c r="I531" s="32" t="s">
        <v>5122</v>
      </c>
      <c r="J531" s="32" t="s">
        <v>1812</v>
      </c>
      <c r="K531" s="33" t="s">
        <v>1813</v>
      </c>
      <c r="L531" s="32">
        <v>3.2784212E7</v>
      </c>
      <c r="M531" s="32" t="s">
        <v>1814</v>
      </c>
      <c r="N531" s="32" t="s">
        <v>5109</v>
      </c>
      <c r="O531" s="32" t="s">
        <v>52</v>
      </c>
      <c r="P531" s="32">
        <v>34999.0</v>
      </c>
      <c r="Q531" s="34">
        <v>31499.0</v>
      </c>
      <c r="R531" s="40">
        <v>33199.0</v>
      </c>
      <c r="S531" s="35">
        <v>29399.16</v>
      </c>
      <c r="T531" s="36">
        <v>1.0</v>
      </c>
      <c r="U531" s="36">
        <v>0.0</v>
      </c>
      <c r="V531" s="36">
        <v>0.0</v>
      </c>
      <c r="W531" s="36">
        <v>0.0</v>
      </c>
      <c r="X531" s="36">
        <v>0.0</v>
      </c>
      <c r="Y531" s="36">
        <v>1.0</v>
      </c>
    </row>
    <row r="532">
      <c r="A532" s="32" t="s">
        <v>1822</v>
      </c>
      <c r="B532" s="32" t="s">
        <v>1822</v>
      </c>
      <c r="C532" s="32" t="s">
        <v>1823</v>
      </c>
      <c r="D532" s="32" t="s">
        <v>1824</v>
      </c>
      <c r="E532" s="32" t="s">
        <v>5102</v>
      </c>
      <c r="F532" s="32" t="e">
        <v>#N/A</v>
      </c>
      <c r="G532" s="39"/>
      <c r="H532" s="32" t="s">
        <v>1825</v>
      </c>
      <c r="I532" s="32" t="s">
        <v>5122</v>
      </c>
      <c r="J532" s="32" t="s">
        <v>1826</v>
      </c>
      <c r="K532" s="33" t="s">
        <v>1827</v>
      </c>
      <c r="L532" s="32">
        <v>3.2784086E7</v>
      </c>
      <c r="M532" s="32" t="s">
        <v>1828</v>
      </c>
      <c r="N532" s="32" t="s">
        <v>5109</v>
      </c>
      <c r="O532" s="32" t="s">
        <v>52</v>
      </c>
      <c r="P532" s="32">
        <v>34999.0</v>
      </c>
      <c r="Q532" s="34">
        <v>31499.0</v>
      </c>
      <c r="R532" s="40">
        <v>33199.0</v>
      </c>
      <c r="S532" s="35">
        <v>29399.16</v>
      </c>
      <c r="T532" s="36">
        <v>0.0</v>
      </c>
      <c r="U532" s="36">
        <v>0.0</v>
      </c>
      <c r="V532" s="36">
        <v>1.0</v>
      </c>
      <c r="W532" s="36">
        <v>0.0</v>
      </c>
      <c r="X532" s="36">
        <v>0.0</v>
      </c>
      <c r="Y532" s="36">
        <v>1.0</v>
      </c>
    </row>
    <row r="533">
      <c r="A533" s="32" t="s">
        <v>1570</v>
      </c>
      <c r="B533" s="32" t="s">
        <v>1570</v>
      </c>
      <c r="C533" s="32" t="s">
        <v>1571</v>
      </c>
      <c r="D533" s="32" t="s">
        <v>1572</v>
      </c>
      <c r="E533" s="32" t="s">
        <v>5102</v>
      </c>
      <c r="F533" s="32" t="e">
        <v>#N/A</v>
      </c>
      <c r="G533" s="39"/>
      <c r="H533" s="32" t="s">
        <v>1570</v>
      </c>
      <c r="I533" s="32" t="s">
        <v>5102</v>
      </c>
      <c r="J533" s="32" t="s">
        <v>1570</v>
      </c>
      <c r="K533" s="33" t="s">
        <v>1573</v>
      </c>
      <c r="L533" s="32">
        <v>3.2783898E7</v>
      </c>
      <c r="M533" s="32" t="s">
        <v>1574</v>
      </c>
      <c r="N533" s="32" t="s">
        <v>5112</v>
      </c>
      <c r="O533" s="32" t="s">
        <v>52</v>
      </c>
      <c r="P533" s="32">
        <v>22999.0</v>
      </c>
      <c r="Q533" s="34">
        <v>20699.0</v>
      </c>
      <c r="R533" s="40">
        <v>21799.0</v>
      </c>
      <c r="S533" s="35">
        <v>17709.23</v>
      </c>
      <c r="T533" s="36">
        <v>1.0</v>
      </c>
      <c r="U533" s="36">
        <v>0.0</v>
      </c>
      <c r="V533" s="36">
        <v>0.0</v>
      </c>
      <c r="W533" s="36">
        <v>0.0</v>
      </c>
      <c r="X533" s="36">
        <v>0.0</v>
      </c>
      <c r="Y533" s="36">
        <v>1.0</v>
      </c>
    </row>
    <row r="534">
      <c r="A534" s="32" t="s">
        <v>1600</v>
      </c>
      <c r="B534" s="32" t="s">
        <v>1600</v>
      </c>
      <c r="C534" s="32" t="s">
        <v>1601</v>
      </c>
      <c r="D534" s="32" t="s">
        <v>1602</v>
      </c>
      <c r="E534" s="32" t="s">
        <v>5102</v>
      </c>
      <c r="F534" s="32" t="e">
        <v>#N/A</v>
      </c>
      <c r="G534" s="39"/>
      <c r="H534" s="32">
        <v>0.0</v>
      </c>
      <c r="I534" s="39"/>
      <c r="J534" s="32" t="s">
        <v>1603</v>
      </c>
      <c r="K534" s="33" t="s">
        <v>1604</v>
      </c>
      <c r="L534" s="32" t="e">
        <v>#N/A</v>
      </c>
      <c r="M534" s="32" t="e">
        <v>#N/A</v>
      </c>
      <c r="N534" s="32" t="s">
        <v>5112</v>
      </c>
      <c r="O534" s="32" t="s">
        <v>52</v>
      </c>
      <c r="P534" s="32">
        <v>25999.0</v>
      </c>
      <c r="Q534" s="34">
        <v>23399.0</v>
      </c>
      <c r="R534" s="40">
        <v>24699.0</v>
      </c>
      <c r="S534" s="35">
        <v>20019.23</v>
      </c>
      <c r="T534" s="36">
        <v>0.0</v>
      </c>
      <c r="U534" s="36">
        <v>0.0</v>
      </c>
      <c r="V534" s="36">
        <v>1.0</v>
      </c>
      <c r="W534" s="36">
        <v>0.0</v>
      </c>
      <c r="X534" s="36">
        <v>0.0</v>
      </c>
      <c r="Y534" s="36">
        <v>1.0</v>
      </c>
    </row>
    <row r="535">
      <c r="A535" s="32" t="s">
        <v>1545</v>
      </c>
      <c r="B535" s="32" t="s">
        <v>1545</v>
      </c>
      <c r="C535" s="32" t="s">
        <v>1546</v>
      </c>
      <c r="D535" s="32" t="s">
        <v>1547</v>
      </c>
      <c r="E535" s="32" t="s">
        <v>5073</v>
      </c>
      <c r="F535" s="32" t="e">
        <v>#N/A</v>
      </c>
      <c r="G535" s="39"/>
      <c r="H535" s="32" t="s">
        <v>1545</v>
      </c>
      <c r="I535" s="32" t="s">
        <v>5073</v>
      </c>
      <c r="J535" s="32" t="s">
        <v>1545</v>
      </c>
      <c r="K535" s="33" t="s">
        <v>1548</v>
      </c>
      <c r="L535" s="32">
        <v>3.2784063E7</v>
      </c>
      <c r="M535" s="32" t="s">
        <v>1549</v>
      </c>
      <c r="N535" s="32" t="s">
        <v>5112</v>
      </c>
      <c r="O535" s="32" t="s">
        <v>52</v>
      </c>
      <c r="P535" s="32">
        <v>16999.0</v>
      </c>
      <c r="Q535" s="34">
        <v>15299.0</v>
      </c>
      <c r="R535" s="40">
        <v>16099.0</v>
      </c>
      <c r="S535" s="35">
        <v>13089.23</v>
      </c>
      <c r="T535" s="36">
        <v>0.0</v>
      </c>
      <c r="U535" s="36">
        <v>0.0</v>
      </c>
      <c r="V535" s="36">
        <v>1.0</v>
      </c>
      <c r="W535" s="36">
        <v>0.0</v>
      </c>
      <c r="X535" s="36">
        <v>0.0</v>
      </c>
      <c r="Y535" s="36">
        <v>1.0</v>
      </c>
    </row>
    <row r="536">
      <c r="A536" s="32" t="s">
        <v>1525</v>
      </c>
      <c r="B536" s="32" t="s">
        <v>1525</v>
      </c>
      <c r="C536" s="32" t="s">
        <v>1526</v>
      </c>
      <c r="D536" s="32" t="s">
        <v>1527</v>
      </c>
      <c r="E536" s="32" t="s">
        <v>5073</v>
      </c>
      <c r="F536" s="32" t="e">
        <v>#N/A</v>
      </c>
      <c r="G536" s="39"/>
      <c r="H536" s="32">
        <v>0.0</v>
      </c>
      <c r="I536" s="39"/>
      <c r="J536" s="32" t="s">
        <v>1528</v>
      </c>
      <c r="K536" s="33" t="s">
        <v>1529</v>
      </c>
      <c r="L536" s="32" t="e">
        <v>#N/A</v>
      </c>
      <c r="M536" s="32" t="e">
        <v>#N/A</v>
      </c>
      <c r="N536" s="32" t="s">
        <v>5112</v>
      </c>
      <c r="O536" s="32" t="s">
        <v>52</v>
      </c>
      <c r="P536" s="32">
        <v>13999.0</v>
      </c>
      <c r="Q536" s="34">
        <v>12599.0</v>
      </c>
      <c r="R536" s="40">
        <v>13299.0</v>
      </c>
      <c r="S536" s="35">
        <v>10779.23</v>
      </c>
      <c r="T536" s="36">
        <v>0.0</v>
      </c>
      <c r="U536" s="36">
        <v>0.0</v>
      </c>
      <c r="V536" s="36">
        <v>1.0</v>
      </c>
      <c r="W536" s="36">
        <v>0.0</v>
      </c>
      <c r="X536" s="36">
        <v>0.0</v>
      </c>
      <c r="Y536" s="36">
        <v>1.0</v>
      </c>
    </row>
    <row r="537">
      <c r="A537" s="32" t="s">
        <v>4359</v>
      </c>
      <c r="B537" s="32" t="s">
        <v>4359</v>
      </c>
      <c r="C537" s="32">
        <v>0.0</v>
      </c>
      <c r="D537" s="32" t="e">
        <v>#N/A</v>
      </c>
      <c r="E537" s="39"/>
      <c r="F537" s="32" t="e">
        <v>#N/A</v>
      </c>
      <c r="G537" s="39"/>
      <c r="H537" s="32" t="e">
        <v>#N/A</v>
      </c>
      <c r="I537" s="39"/>
      <c r="J537" s="32">
        <v>0.0</v>
      </c>
      <c r="K537" s="33" t="e">
        <v>#N/A</v>
      </c>
      <c r="L537" s="32" t="e">
        <v>#N/A</v>
      </c>
      <c r="M537" s="32" t="e">
        <v>#N/A</v>
      </c>
      <c r="N537" s="32" t="e">
        <v>#N/A</v>
      </c>
      <c r="O537" s="32" t="e">
        <v>#N/A</v>
      </c>
      <c r="P537" s="32" t="e">
        <v>#REF!</v>
      </c>
      <c r="Q537" s="32" t="e">
        <v>#N/A</v>
      </c>
      <c r="R537" s="42" t="e">
        <v>#N/A</v>
      </c>
      <c r="S537" s="42" t="e">
        <v>#N/A</v>
      </c>
      <c r="T537" s="36">
        <v>0.0</v>
      </c>
      <c r="U537" s="36">
        <v>0.0</v>
      </c>
      <c r="V537" s="36">
        <v>0.0</v>
      </c>
      <c r="W537" s="36">
        <v>0.0</v>
      </c>
      <c r="X537" s="36">
        <v>0.0</v>
      </c>
      <c r="Y537" s="36">
        <v>0.0</v>
      </c>
    </row>
    <row r="538">
      <c r="A538" s="32" t="s">
        <v>4360</v>
      </c>
      <c r="B538" s="32" t="s">
        <v>4360</v>
      </c>
      <c r="C538" s="32">
        <v>0.0</v>
      </c>
      <c r="D538" s="32" t="e">
        <v>#N/A</v>
      </c>
      <c r="E538" s="39"/>
      <c r="F538" s="32" t="e">
        <v>#N/A</v>
      </c>
      <c r="G538" s="39"/>
      <c r="H538" s="32" t="e">
        <v>#N/A</v>
      </c>
      <c r="I538" s="39"/>
      <c r="J538" s="32">
        <v>0.0</v>
      </c>
      <c r="K538" s="33" t="e">
        <v>#N/A</v>
      </c>
      <c r="L538" s="32" t="e">
        <v>#N/A</v>
      </c>
      <c r="M538" s="32" t="e">
        <v>#N/A</v>
      </c>
      <c r="N538" s="32" t="e">
        <v>#N/A</v>
      </c>
      <c r="O538" s="32" t="e">
        <v>#N/A</v>
      </c>
      <c r="P538" s="32" t="e">
        <v>#REF!</v>
      </c>
      <c r="Q538" s="32" t="e">
        <v>#N/A</v>
      </c>
      <c r="R538" s="42" t="e">
        <v>#N/A</v>
      </c>
      <c r="S538" s="42" t="e">
        <v>#N/A</v>
      </c>
      <c r="T538" s="36">
        <v>0.0</v>
      </c>
      <c r="U538" s="36">
        <v>0.0</v>
      </c>
      <c r="V538" s="36">
        <v>0.0</v>
      </c>
      <c r="W538" s="36">
        <v>0.0</v>
      </c>
      <c r="X538" s="36">
        <v>0.0</v>
      </c>
      <c r="Y538" s="36">
        <v>0.0</v>
      </c>
    </row>
    <row r="539">
      <c r="A539" s="32" t="s">
        <v>4361</v>
      </c>
      <c r="B539" s="32" t="s">
        <v>4361</v>
      </c>
      <c r="C539" s="32">
        <v>0.0</v>
      </c>
      <c r="D539" s="32" t="e">
        <v>#N/A</v>
      </c>
      <c r="E539" s="39"/>
      <c r="F539" s="32" t="e">
        <v>#N/A</v>
      </c>
      <c r="G539" s="39"/>
      <c r="H539" s="32" t="e">
        <v>#N/A</v>
      </c>
      <c r="I539" s="39"/>
      <c r="J539" s="32">
        <v>0.0</v>
      </c>
      <c r="K539" s="33" t="e">
        <v>#N/A</v>
      </c>
      <c r="L539" s="32" t="e">
        <v>#N/A</v>
      </c>
      <c r="M539" s="32" t="e">
        <v>#N/A</v>
      </c>
      <c r="N539" s="32" t="e">
        <v>#N/A</v>
      </c>
      <c r="O539" s="32" t="e">
        <v>#N/A</v>
      </c>
      <c r="P539" s="32" t="e">
        <v>#REF!</v>
      </c>
      <c r="Q539" s="32" t="e">
        <v>#N/A</v>
      </c>
      <c r="R539" s="42" t="e">
        <v>#N/A</v>
      </c>
      <c r="S539" s="42" t="e">
        <v>#N/A</v>
      </c>
      <c r="T539" s="36">
        <v>0.0</v>
      </c>
      <c r="U539" s="36">
        <v>0.0</v>
      </c>
      <c r="V539" s="36">
        <v>0.0</v>
      </c>
      <c r="W539" s="36">
        <v>0.0</v>
      </c>
      <c r="X539" s="36">
        <v>0.0</v>
      </c>
      <c r="Y539" s="36">
        <v>0.0</v>
      </c>
    </row>
    <row r="540">
      <c r="A540" s="32" t="s">
        <v>4362</v>
      </c>
      <c r="B540" s="32" t="s">
        <v>4362</v>
      </c>
      <c r="C540" s="32">
        <v>0.0</v>
      </c>
      <c r="D540" s="32" t="e">
        <v>#N/A</v>
      </c>
      <c r="E540" s="39"/>
      <c r="F540" s="32" t="e">
        <v>#N/A</v>
      </c>
      <c r="G540" s="39"/>
      <c r="H540" s="32" t="e">
        <v>#N/A</v>
      </c>
      <c r="I540" s="39"/>
      <c r="J540" s="32">
        <v>0.0</v>
      </c>
      <c r="K540" s="33" t="e">
        <v>#N/A</v>
      </c>
      <c r="L540" s="32" t="e">
        <v>#N/A</v>
      </c>
      <c r="M540" s="32" t="e">
        <v>#N/A</v>
      </c>
      <c r="N540" s="32" t="e">
        <v>#N/A</v>
      </c>
      <c r="O540" s="32" t="e">
        <v>#N/A</v>
      </c>
      <c r="P540" s="32" t="e">
        <v>#REF!</v>
      </c>
      <c r="Q540" s="32" t="e">
        <v>#N/A</v>
      </c>
      <c r="R540" s="42" t="e">
        <v>#N/A</v>
      </c>
      <c r="S540" s="42" t="e">
        <v>#N/A</v>
      </c>
      <c r="T540" s="36">
        <v>0.0</v>
      </c>
      <c r="U540" s="36">
        <v>0.0</v>
      </c>
      <c r="V540" s="36">
        <v>0.0</v>
      </c>
      <c r="W540" s="36">
        <v>0.0</v>
      </c>
      <c r="X540" s="36">
        <v>0.0</v>
      </c>
      <c r="Y540" s="36">
        <v>0.0</v>
      </c>
    </row>
    <row r="541">
      <c r="A541" s="32" t="s">
        <v>4725</v>
      </c>
      <c r="B541" s="32" t="s">
        <v>4725</v>
      </c>
      <c r="C541" s="32">
        <v>0.0</v>
      </c>
      <c r="D541" s="32" t="e">
        <v>#N/A</v>
      </c>
      <c r="E541" s="39"/>
      <c r="F541" s="32" t="e">
        <v>#N/A</v>
      </c>
      <c r="G541" s="39"/>
      <c r="H541" s="32" t="e">
        <v>#N/A</v>
      </c>
      <c r="I541" s="39"/>
      <c r="J541" s="32">
        <v>0.0</v>
      </c>
      <c r="K541" s="33" t="e">
        <v>#N/A</v>
      </c>
      <c r="L541" s="32" t="e">
        <v>#N/A</v>
      </c>
      <c r="M541" s="32" t="e">
        <v>#N/A</v>
      </c>
      <c r="N541" s="32" t="e">
        <v>#N/A</v>
      </c>
      <c r="O541" s="32" t="e">
        <v>#N/A</v>
      </c>
      <c r="P541" s="32" t="e">
        <v>#REF!</v>
      </c>
      <c r="Q541" s="32" t="e">
        <v>#N/A</v>
      </c>
      <c r="R541" s="42" t="e">
        <v>#N/A</v>
      </c>
      <c r="S541" s="42" t="e">
        <v>#N/A</v>
      </c>
      <c r="T541" s="36">
        <v>0.0</v>
      </c>
      <c r="U541" s="36">
        <v>0.0</v>
      </c>
      <c r="V541" s="36">
        <v>0.0</v>
      </c>
      <c r="W541" s="36">
        <v>0.0</v>
      </c>
      <c r="X541" s="36">
        <v>0.0</v>
      </c>
      <c r="Y541" s="36">
        <v>0.0</v>
      </c>
    </row>
    <row r="542">
      <c r="A542" s="32" t="s">
        <v>4726</v>
      </c>
      <c r="B542" s="32" t="s">
        <v>4726</v>
      </c>
      <c r="C542" s="32">
        <v>0.0</v>
      </c>
      <c r="D542" s="32" t="e">
        <v>#N/A</v>
      </c>
      <c r="E542" s="39"/>
      <c r="F542" s="32" t="e">
        <v>#N/A</v>
      </c>
      <c r="G542" s="39"/>
      <c r="H542" s="32" t="e">
        <v>#N/A</v>
      </c>
      <c r="I542" s="39"/>
      <c r="J542" s="32">
        <v>0.0</v>
      </c>
      <c r="K542" s="33" t="e">
        <v>#N/A</v>
      </c>
      <c r="L542" s="32" t="e">
        <v>#N/A</v>
      </c>
      <c r="M542" s="32" t="e">
        <v>#N/A</v>
      </c>
      <c r="N542" s="32" t="e">
        <v>#N/A</v>
      </c>
      <c r="O542" s="33" t="s">
        <v>4727</v>
      </c>
      <c r="P542" s="32" t="e">
        <v>#REF!</v>
      </c>
      <c r="Q542" s="32" t="e">
        <v>#N/A</v>
      </c>
      <c r="R542" s="42" t="e">
        <v>#N/A</v>
      </c>
      <c r="S542" s="42" t="e">
        <v>#N/A</v>
      </c>
      <c r="T542" s="36">
        <v>0.0</v>
      </c>
      <c r="U542" s="36">
        <v>0.0</v>
      </c>
      <c r="V542" s="36">
        <v>0.0</v>
      </c>
      <c r="W542" s="36">
        <v>0.0</v>
      </c>
      <c r="X542" s="36">
        <v>0.0</v>
      </c>
      <c r="Y542" s="36">
        <v>0.0</v>
      </c>
    </row>
    <row r="543">
      <c r="A543" s="32" t="s">
        <v>1607</v>
      </c>
      <c r="B543" s="32" t="s">
        <v>1607</v>
      </c>
      <c r="C543" s="32">
        <v>0.0</v>
      </c>
      <c r="D543" s="32">
        <v>0.0</v>
      </c>
      <c r="E543" s="39"/>
      <c r="F543" s="32" t="e">
        <v>#N/A</v>
      </c>
      <c r="G543" s="39"/>
      <c r="H543" s="32">
        <v>0.0</v>
      </c>
      <c r="I543" s="39"/>
      <c r="J543" s="32" t="s">
        <v>1610</v>
      </c>
      <c r="K543" s="33" t="s">
        <v>1611</v>
      </c>
      <c r="L543" s="32" t="e">
        <v>#N/A</v>
      </c>
      <c r="M543" s="32" t="e">
        <v>#N/A</v>
      </c>
      <c r="N543" s="32" t="s">
        <v>5112</v>
      </c>
      <c r="O543" s="32" t="s">
        <v>52</v>
      </c>
      <c r="P543" s="32">
        <v>25999.0</v>
      </c>
      <c r="Q543" s="34">
        <v>23399.0</v>
      </c>
      <c r="R543" s="40">
        <v>24699.0</v>
      </c>
      <c r="S543" s="35">
        <v>20019.23</v>
      </c>
      <c r="T543" s="36">
        <v>0.0</v>
      </c>
      <c r="U543" s="36">
        <v>0.0</v>
      </c>
      <c r="V543" s="36">
        <v>0.0</v>
      </c>
      <c r="W543" s="36">
        <v>0.0</v>
      </c>
      <c r="X543" s="36">
        <v>0.0</v>
      </c>
      <c r="Y543" s="36">
        <v>0.0</v>
      </c>
    </row>
    <row r="544">
      <c r="A544" s="32" t="s">
        <v>2383</v>
      </c>
      <c r="B544" s="32" t="s">
        <v>2383</v>
      </c>
      <c r="C544" s="32">
        <v>0.0</v>
      </c>
      <c r="D544" s="32" t="e">
        <v>#N/A</v>
      </c>
      <c r="E544" s="39"/>
      <c r="F544" s="32" t="e">
        <v>#N/A</v>
      </c>
      <c r="G544" s="39"/>
      <c r="H544" s="32" t="e">
        <v>#N/A</v>
      </c>
      <c r="I544" s="39"/>
      <c r="J544" s="32">
        <v>0.0</v>
      </c>
      <c r="K544" s="33" t="e">
        <v>#N/A</v>
      </c>
      <c r="L544" s="32" t="e">
        <v>#N/A</v>
      </c>
      <c r="M544" s="32" t="e">
        <v>#N/A</v>
      </c>
      <c r="N544" s="32" t="e">
        <v>#N/A</v>
      </c>
      <c r="O544" s="32" t="e">
        <v>#N/A</v>
      </c>
      <c r="P544" s="32" t="e">
        <v>#REF!</v>
      </c>
      <c r="Q544" s="32" t="e">
        <v>#N/A</v>
      </c>
      <c r="R544" s="42" t="e">
        <v>#N/A</v>
      </c>
      <c r="S544" s="42" t="e">
        <v>#N/A</v>
      </c>
      <c r="T544" s="36">
        <v>0.0</v>
      </c>
      <c r="U544" s="36">
        <v>0.0</v>
      </c>
      <c r="V544" s="36">
        <v>0.0</v>
      </c>
      <c r="W544" s="36">
        <v>0.0</v>
      </c>
      <c r="X544" s="36">
        <v>0.0</v>
      </c>
      <c r="Y544" s="36">
        <v>0.0</v>
      </c>
    </row>
    <row r="545">
      <c r="A545" s="32" t="s">
        <v>2382</v>
      </c>
      <c r="B545" s="32" t="s">
        <v>2382</v>
      </c>
      <c r="C545" s="32">
        <v>0.0</v>
      </c>
      <c r="D545" s="32" t="e">
        <v>#N/A</v>
      </c>
      <c r="E545" s="39"/>
      <c r="F545" s="32" t="e">
        <v>#N/A</v>
      </c>
      <c r="G545" s="39"/>
      <c r="H545" s="32" t="e">
        <v>#N/A</v>
      </c>
      <c r="I545" s="39"/>
      <c r="J545" s="32">
        <v>0.0</v>
      </c>
      <c r="K545" s="33" t="e">
        <v>#N/A</v>
      </c>
      <c r="L545" s="32" t="e">
        <v>#N/A</v>
      </c>
      <c r="M545" s="32" t="e">
        <v>#N/A</v>
      </c>
      <c r="N545" s="32" t="e">
        <v>#N/A</v>
      </c>
      <c r="O545" s="32" t="e">
        <v>#N/A</v>
      </c>
      <c r="P545" s="32" t="e">
        <v>#REF!</v>
      </c>
      <c r="Q545" s="32" t="e">
        <v>#N/A</v>
      </c>
      <c r="R545" s="42" t="e">
        <v>#N/A</v>
      </c>
      <c r="S545" s="42" t="e">
        <v>#N/A</v>
      </c>
      <c r="T545" s="36">
        <v>0.0</v>
      </c>
      <c r="U545" s="36">
        <v>0.0</v>
      </c>
      <c r="V545" s="36">
        <v>0.0</v>
      </c>
      <c r="W545" s="36">
        <v>0.0</v>
      </c>
      <c r="X545" s="36">
        <v>0.0</v>
      </c>
      <c r="Y545" s="36">
        <v>0.0</v>
      </c>
    </row>
    <row r="546">
      <c r="A546" s="32" t="s">
        <v>2381</v>
      </c>
      <c r="B546" s="32" t="s">
        <v>2381</v>
      </c>
      <c r="C546" s="32">
        <v>0.0</v>
      </c>
      <c r="D546" s="32" t="e">
        <v>#N/A</v>
      </c>
      <c r="E546" s="39"/>
      <c r="F546" s="32" t="e">
        <v>#N/A</v>
      </c>
      <c r="G546" s="39"/>
      <c r="H546" s="32" t="e">
        <v>#N/A</v>
      </c>
      <c r="I546" s="39"/>
      <c r="J546" s="32">
        <v>0.0</v>
      </c>
      <c r="K546" s="33" t="e">
        <v>#N/A</v>
      </c>
      <c r="L546" s="32" t="e">
        <v>#N/A</v>
      </c>
      <c r="M546" s="32" t="e">
        <v>#N/A</v>
      </c>
      <c r="N546" s="32" t="e">
        <v>#N/A</v>
      </c>
      <c r="O546" s="32" t="e">
        <v>#N/A</v>
      </c>
      <c r="P546" s="32" t="e">
        <v>#REF!</v>
      </c>
      <c r="Q546" s="32" t="e">
        <v>#N/A</v>
      </c>
      <c r="R546" s="42" t="e">
        <v>#N/A</v>
      </c>
      <c r="S546" s="42" t="e">
        <v>#N/A</v>
      </c>
      <c r="T546" s="36">
        <v>0.0</v>
      </c>
      <c r="U546" s="36">
        <v>0.0</v>
      </c>
      <c r="V546" s="36">
        <v>0.0</v>
      </c>
      <c r="W546" s="36">
        <v>0.0</v>
      </c>
      <c r="X546" s="36">
        <v>0.0</v>
      </c>
      <c r="Y546" s="36">
        <v>0.0</v>
      </c>
    </row>
    <row r="547">
      <c r="A547" s="32" t="s">
        <v>1196</v>
      </c>
      <c r="B547" s="32" t="s">
        <v>1196</v>
      </c>
      <c r="C547" s="32">
        <v>0.0</v>
      </c>
      <c r="D547" s="32" t="e">
        <v>#N/A</v>
      </c>
      <c r="E547" s="39"/>
      <c r="F547" s="32" t="e">
        <v>#N/A</v>
      </c>
      <c r="G547" s="39"/>
      <c r="H547" s="32" t="e">
        <v>#N/A</v>
      </c>
      <c r="I547" s="39"/>
      <c r="J547" s="32">
        <v>0.0</v>
      </c>
      <c r="K547" s="33" t="e">
        <v>#N/A</v>
      </c>
      <c r="L547" s="32" t="e">
        <v>#N/A</v>
      </c>
      <c r="M547" s="32" t="e">
        <v>#N/A</v>
      </c>
      <c r="N547" s="33" t="s">
        <v>1194</v>
      </c>
      <c r="O547" s="33" t="s">
        <v>1195</v>
      </c>
      <c r="P547" s="32" t="e">
        <v>#REF!</v>
      </c>
      <c r="Q547" s="32" t="e">
        <v>#N/A</v>
      </c>
      <c r="R547" s="42" t="e">
        <v>#N/A</v>
      </c>
      <c r="S547" s="42" t="e">
        <v>#N/A</v>
      </c>
      <c r="T547" s="36">
        <v>0.0</v>
      </c>
      <c r="U547" s="36">
        <v>0.0</v>
      </c>
      <c r="V547" s="36">
        <v>0.0</v>
      </c>
      <c r="W547" s="36">
        <v>0.0</v>
      </c>
      <c r="X547" s="36">
        <v>0.0</v>
      </c>
      <c r="Y547" s="36">
        <v>0.0</v>
      </c>
    </row>
    <row r="548">
      <c r="A548" s="32" t="s">
        <v>1193</v>
      </c>
      <c r="B548" s="32" t="s">
        <v>1193</v>
      </c>
      <c r="C548" s="32">
        <v>0.0</v>
      </c>
      <c r="D548" s="32" t="e">
        <v>#N/A</v>
      </c>
      <c r="E548" s="39"/>
      <c r="F548" s="32" t="e">
        <v>#N/A</v>
      </c>
      <c r="G548" s="39"/>
      <c r="H548" s="32" t="e">
        <v>#N/A</v>
      </c>
      <c r="I548" s="39"/>
      <c r="J548" s="32">
        <v>0.0</v>
      </c>
      <c r="K548" s="33" t="e">
        <v>#N/A</v>
      </c>
      <c r="L548" s="32" t="e">
        <v>#N/A</v>
      </c>
      <c r="M548" s="32" t="e">
        <v>#N/A</v>
      </c>
      <c r="N548" s="33" t="s">
        <v>1194</v>
      </c>
      <c r="O548" s="33" t="s">
        <v>1195</v>
      </c>
      <c r="P548" s="32" t="e">
        <v>#REF!</v>
      </c>
      <c r="Q548" s="32" t="e">
        <v>#N/A</v>
      </c>
      <c r="R548" s="42" t="e">
        <v>#N/A</v>
      </c>
      <c r="S548" s="42" t="e">
        <v>#N/A</v>
      </c>
      <c r="T548" s="36">
        <v>0.0</v>
      </c>
      <c r="U548" s="36">
        <v>0.0</v>
      </c>
      <c r="V548" s="36">
        <v>0.0</v>
      </c>
      <c r="W548" s="36">
        <v>0.0</v>
      </c>
      <c r="X548" s="36">
        <v>0.0</v>
      </c>
      <c r="Y548" s="36">
        <v>0.0</v>
      </c>
    </row>
    <row r="549">
      <c r="A549" s="32" t="s">
        <v>1197</v>
      </c>
      <c r="B549" s="32" t="s">
        <v>1197</v>
      </c>
      <c r="C549" s="32">
        <v>0.0</v>
      </c>
      <c r="D549" s="32" t="e">
        <v>#N/A</v>
      </c>
      <c r="E549" s="39"/>
      <c r="F549" s="32" t="e">
        <v>#N/A</v>
      </c>
      <c r="G549" s="39"/>
      <c r="H549" s="32" t="e">
        <v>#N/A</v>
      </c>
      <c r="I549" s="39"/>
      <c r="J549" s="32">
        <v>0.0</v>
      </c>
      <c r="K549" s="33" t="e">
        <v>#N/A</v>
      </c>
      <c r="L549" s="32" t="e">
        <v>#N/A</v>
      </c>
      <c r="M549" s="32" t="e">
        <v>#N/A</v>
      </c>
      <c r="N549" s="33" t="s">
        <v>1194</v>
      </c>
      <c r="O549" s="33" t="s">
        <v>1195</v>
      </c>
      <c r="P549" s="32" t="e">
        <v>#REF!</v>
      </c>
      <c r="Q549" s="32" t="e">
        <v>#N/A</v>
      </c>
      <c r="R549" s="42" t="e">
        <v>#N/A</v>
      </c>
      <c r="S549" s="42" t="e">
        <v>#N/A</v>
      </c>
      <c r="T549" s="36">
        <v>0.0</v>
      </c>
      <c r="U549" s="36">
        <v>0.0</v>
      </c>
      <c r="V549" s="36">
        <v>0.0</v>
      </c>
      <c r="W549" s="36">
        <v>0.0</v>
      </c>
      <c r="X549" s="36">
        <v>0.0</v>
      </c>
      <c r="Y549" s="36">
        <v>0.0</v>
      </c>
    </row>
    <row r="550">
      <c r="A550" s="32" t="s">
        <v>1199</v>
      </c>
      <c r="B550" s="32" t="s">
        <v>1199</v>
      </c>
      <c r="C550" s="32">
        <v>0.0</v>
      </c>
      <c r="D550" s="32" t="e">
        <v>#N/A</v>
      </c>
      <c r="E550" s="39"/>
      <c r="F550" s="32" t="e">
        <v>#N/A</v>
      </c>
      <c r="G550" s="39"/>
      <c r="H550" s="32" t="e">
        <v>#N/A</v>
      </c>
      <c r="I550" s="39"/>
      <c r="J550" s="32">
        <v>0.0</v>
      </c>
      <c r="K550" s="33" t="e">
        <v>#N/A</v>
      </c>
      <c r="L550" s="32" t="e">
        <v>#N/A</v>
      </c>
      <c r="M550" s="32" t="e">
        <v>#N/A</v>
      </c>
      <c r="N550" s="33" t="s">
        <v>1194</v>
      </c>
      <c r="O550" s="33" t="s">
        <v>1195</v>
      </c>
      <c r="P550" s="32" t="e">
        <v>#REF!</v>
      </c>
      <c r="Q550" s="32" t="e">
        <v>#N/A</v>
      </c>
      <c r="R550" s="42" t="e">
        <v>#N/A</v>
      </c>
      <c r="S550" s="42" t="e">
        <v>#N/A</v>
      </c>
      <c r="T550" s="36">
        <v>0.0</v>
      </c>
      <c r="U550" s="36">
        <v>0.0</v>
      </c>
      <c r="V550" s="36">
        <v>0.0</v>
      </c>
      <c r="W550" s="36">
        <v>0.0</v>
      </c>
      <c r="X550" s="36">
        <v>0.0</v>
      </c>
      <c r="Y550" s="36">
        <v>0.0</v>
      </c>
    </row>
    <row r="551">
      <c r="A551" s="32" t="s">
        <v>1198</v>
      </c>
      <c r="B551" s="32" t="s">
        <v>1198</v>
      </c>
      <c r="C551" s="32">
        <v>0.0</v>
      </c>
      <c r="D551" s="32" t="e">
        <v>#N/A</v>
      </c>
      <c r="E551" s="39"/>
      <c r="F551" s="32" t="e">
        <v>#N/A</v>
      </c>
      <c r="G551" s="39"/>
      <c r="H551" s="32" t="e">
        <v>#N/A</v>
      </c>
      <c r="I551" s="39"/>
      <c r="J551" s="32">
        <v>0.0</v>
      </c>
      <c r="K551" s="33" t="e">
        <v>#N/A</v>
      </c>
      <c r="L551" s="32" t="e">
        <v>#N/A</v>
      </c>
      <c r="M551" s="32" t="e">
        <v>#N/A</v>
      </c>
      <c r="N551" s="33" t="s">
        <v>1194</v>
      </c>
      <c r="O551" s="33" t="s">
        <v>1195</v>
      </c>
      <c r="P551" s="32" t="e">
        <v>#REF!</v>
      </c>
      <c r="Q551" s="32" t="e">
        <v>#N/A</v>
      </c>
      <c r="R551" s="42" t="e">
        <v>#N/A</v>
      </c>
      <c r="S551" s="42" t="e">
        <v>#N/A</v>
      </c>
      <c r="T551" s="36">
        <v>0.0</v>
      </c>
      <c r="U551" s="36">
        <v>0.0</v>
      </c>
      <c r="V551" s="36">
        <v>0.0</v>
      </c>
      <c r="W551" s="36">
        <v>0.0</v>
      </c>
      <c r="X551" s="36">
        <v>0.0</v>
      </c>
      <c r="Y551" s="36">
        <v>0.0</v>
      </c>
    </row>
    <row r="552">
      <c r="A552" s="32" t="s">
        <v>1200</v>
      </c>
      <c r="B552" s="32" t="s">
        <v>1200</v>
      </c>
      <c r="C552" s="32">
        <v>0.0</v>
      </c>
      <c r="D552" s="32" t="e">
        <v>#N/A</v>
      </c>
      <c r="E552" s="39"/>
      <c r="F552" s="32" t="e">
        <v>#N/A</v>
      </c>
      <c r="G552" s="39"/>
      <c r="H552" s="32" t="e">
        <v>#N/A</v>
      </c>
      <c r="I552" s="39"/>
      <c r="J552" s="32">
        <v>0.0</v>
      </c>
      <c r="K552" s="33" t="e">
        <v>#N/A</v>
      </c>
      <c r="L552" s="32" t="e">
        <v>#N/A</v>
      </c>
      <c r="M552" s="32" t="e">
        <v>#N/A</v>
      </c>
      <c r="N552" s="33" t="s">
        <v>1194</v>
      </c>
      <c r="O552" s="33" t="s">
        <v>1195</v>
      </c>
      <c r="P552" s="32" t="e">
        <v>#REF!</v>
      </c>
      <c r="Q552" s="32" t="e">
        <v>#N/A</v>
      </c>
      <c r="R552" s="42" t="e">
        <v>#N/A</v>
      </c>
      <c r="S552" s="42" t="e">
        <v>#N/A</v>
      </c>
      <c r="T552" s="36">
        <v>0.0</v>
      </c>
      <c r="U552" s="36">
        <v>0.0</v>
      </c>
      <c r="V552" s="36">
        <v>0.0</v>
      </c>
      <c r="W552" s="36">
        <v>0.0</v>
      </c>
      <c r="X552" s="36">
        <v>0.0</v>
      </c>
      <c r="Y552" s="36">
        <v>0.0</v>
      </c>
    </row>
    <row r="553">
      <c r="A553" s="32" t="s">
        <v>2634</v>
      </c>
      <c r="B553" s="32" t="s">
        <v>2634</v>
      </c>
      <c r="C553" s="32">
        <v>0.0</v>
      </c>
      <c r="D553" s="32" t="e">
        <v>#N/A</v>
      </c>
      <c r="E553" s="39"/>
      <c r="F553" s="32" t="e">
        <v>#N/A</v>
      </c>
      <c r="G553" s="39"/>
      <c r="H553" s="32" t="e">
        <v>#N/A</v>
      </c>
      <c r="I553" s="39"/>
      <c r="J553" s="32">
        <v>0.0</v>
      </c>
      <c r="K553" s="33" t="e">
        <v>#N/A</v>
      </c>
      <c r="L553" s="32" t="e">
        <v>#N/A</v>
      </c>
      <c r="M553" s="32" t="e">
        <v>#N/A</v>
      </c>
      <c r="N553" s="32" t="e">
        <v>#N/A</v>
      </c>
      <c r="O553" s="32" t="e">
        <v>#N/A</v>
      </c>
      <c r="P553" s="32" t="e">
        <v>#REF!</v>
      </c>
      <c r="Q553" s="32" t="e">
        <v>#N/A</v>
      </c>
      <c r="R553" s="42" t="e">
        <v>#N/A</v>
      </c>
      <c r="S553" s="42" t="e">
        <v>#N/A</v>
      </c>
      <c r="T553" s="36">
        <v>0.0</v>
      </c>
      <c r="U553" s="36">
        <v>0.0</v>
      </c>
      <c r="V553" s="36">
        <v>0.0</v>
      </c>
      <c r="W553" s="36">
        <v>0.0</v>
      </c>
      <c r="X553" s="36">
        <v>0.0</v>
      </c>
      <c r="Y553" s="36">
        <v>0.0</v>
      </c>
    </row>
    <row r="554">
      <c r="A554" s="32" t="s">
        <v>2635</v>
      </c>
      <c r="B554" s="32" t="s">
        <v>2635</v>
      </c>
      <c r="C554" s="32">
        <v>0.0</v>
      </c>
      <c r="D554" s="32" t="e">
        <v>#N/A</v>
      </c>
      <c r="E554" s="39"/>
      <c r="F554" s="32" t="e">
        <v>#N/A</v>
      </c>
      <c r="G554" s="39"/>
      <c r="H554" s="32" t="e">
        <v>#N/A</v>
      </c>
      <c r="I554" s="39"/>
      <c r="J554" s="32">
        <v>0.0</v>
      </c>
      <c r="K554" s="33" t="e">
        <v>#N/A</v>
      </c>
      <c r="L554" s="32" t="e">
        <v>#N/A</v>
      </c>
      <c r="M554" s="32" t="e">
        <v>#N/A</v>
      </c>
      <c r="N554" s="32" t="e">
        <v>#N/A</v>
      </c>
      <c r="O554" s="32" t="e">
        <v>#N/A</v>
      </c>
      <c r="P554" s="32" t="e">
        <v>#REF!</v>
      </c>
      <c r="Q554" s="32" t="e">
        <v>#N/A</v>
      </c>
      <c r="R554" s="42" t="e">
        <v>#N/A</v>
      </c>
      <c r="S554" s="42" t="e">
        <v>#N/A</v>
      </c>
      <c r="T554" s="36">
        <v>0.0</v>
      </c>
      <c r="U554" s="36">
        <v>0.0</v>
      </c>
      <c r="V554" s="36">
        <v>0.0</v>
      </c>
      <c r="W554" s="36">
        <v>0.0</v>
      </c>
      <c r="X554" s="36">
        <v>0.0</v>
      </c>
      <c r="Y554" s="36">
        <v>0.0</v>
      </c>
    </row>
    <row r="555">
      <c r="A555" s="32" t="s">
        <v>2636</v>
      </c>
      <c r="B555" s="32" t="s">
        <v>2636</v>
      </c>
      <c r="C555" s="32">
        <v>0.0</v>
      </c>
      <c r="D555" s="32" t="e">
        <v>#N/A</v>
      </c>
      <c r="E555" s="39"/>
      <c r="F555" s="32" t="e">
        <v>#N/A</v>
      </c>
      <c r="G555" s="39"/>
      <c r="H555" s="32" t="e">
        <v>#N/A</v>
      </c>
      <c r="I555" s="39"/>
      <c r="J555" s="32">
        <v>0.0</v>
      </c>
      <c r="K555" s="33" t="e">
        <v>#N/A</v>
      </c>
      <c r="L555" s="32" t="e">
        <v>#N/A</v>
      </c>
      <c r="M555" s="32" t="e">
        <v>#N/A</v>
      </c>
      <c r="N555" s="32" t="e">
        <v>#N/A</v>
      </c>
      <c r="O555" s="32" t="e">
        <v>#N/A</v>
      </c>
      <c r="P555" s="32" t="e">
        <v>#REF!</v>
      </c>
      <c r="Q555" s="32" t="e">
        <v>#N/A</v>
      </c>
      <c r="R555" s="42" t="e">
        <v>#N/A</v>
      </c>
      <c r="S555" s="42" t="e">
        <v>#N/A</v>
      </c>
      <c r="T555" s="36">
        <v>0.0</v>
      </c>
      <c r="U555" s="36">
        <v>0.0</v>
      </c>
      <c r="V555" s="36">
        <v>0.0</v>
      </c>
      <c r="W555" s="36">
        <v>0.0</v>
      </c>
      <c r="X555" s="36">
        <v>0.0</v>
      </c>
      <c r="Y555" s="36">
        <v>0.0</v>
      </c>
    </row>
    <row r="556">
      <c r="A556" s="32" t="s">
        <v>2637</v>
      </c>
      <c r="B556" s="32" t="s">
        <v>2637</v>
      </c>
      <c r="C556" s="32">
        <v>0.0</v>
      </c>
      <c r="D556" s="32" t="e">
        <v>#N/A</v>
      </c>
      <c r="E556" s="39"/>
      <c r="F556" s="32" t="e">
        <v>#N/A</v>
      </c>
      <c r="G556" s="39"/>
      <c r="H556" s="32" t="e">
        <v>#N/A</v>
      </c>
      <c r="I556" s="39"/>
      <c r="J556" s="32">
        <v>0.0</v>
      </c>
      <c r="K556" s="33" t="e">
        <v>#N/A</v>
      </c>
      <c r="L556" s="32" t="e">
        <v>#N/A</v>
      </c>
      <c r="M556" s="32" t="e">
        <v>#N/A</v>
      </c>
      <c r="N556" s="32" t="e">
        <v>#N/A</v>
      </c>
      <c r="O556" s="32" t="e">
        <v>#N/A</v>
      </c>
      <c r="P556" s="32" t="e">
        <v>#REF!</v>
      </c>
      <c r="Q556" s="32" t="e">
        <v>#N/A</v>
      </c>
      <c r="R556" s="42" t="e">
        <v>#N/A</v>
      </c>
      <c r="S556" s="42" t="e">
        <v>#N/A</v>
      </c>
      <c r="T556" s="36">
        <v>0.0</v>
      </c>
      <c r="U556" s="36">
        <v>0.0</v>
      </c>
      <c r="V556" s="36">
        <v>0.0</v>
      </c>
      <c r="W556" s="36">
        <v>0.0</v>
      </c>
      <c r="X556" s="36">
        <v>0.0</v>
      </c>
      <c r="Y556" s="36">
        <v>0.0</v>
      </c>
    </row>
    <row r="557">
      <c r="A557" s="32" t="s">
        <v>1927</v>
      </c>
      <c r="B557" s="32" t="s">
        <v>1927</v>
      </c>
      <c r="C557" s="32">
        <v>0.0</v>
      </c>
      <c r="D557" s="32" t="e">
        <v>#N/A</v>
      </c>
      <c r="E557" s="39"/>
      <c r="F557" s="32" t="e">
        <v>#N/A</v>
      </c>
      <c r="G557" s="39"/>
      <c r="H557" s="32" t="e">
        <v>#N/A</v>
      </c>
      <c r="I557" s="39"/>
      <c r="J557" s="32">
        <v>0.0</v>
      </c>
      <c r="K557" s="33" t="e">
        <v>#N/A</v>
      </c>
      <c r="L557" s="32" t="e">
        <v>#N/A</v>
      </c>
      <c r="M557" s="32" t="e">
        <v>#N/A</v>
      </c>
      <c r="N557" s="33" t="s">
        <v>1921</v>
      </c>
      <c r="O557" s="33" t="s">
        <v>52</v>
      </c>
      <c r="P557" s="32" t="e">
        <v>#REF!</v>
      </c>
      <c r="Q557" s="32" t="e">
        <v>#N/A</v>
      </c>
      <c r="R557" s="42" t="e">
        <v>#N/A</v>
      </c>
      <c r="S557" s="42" t="e">
        <v>#N/A</v>
      </c>
      <c r="T557" s="36">
        <v>0.0</v>
      </c>
      <c r="U557" s="36">
        <v>0.0</v>
      </c>
      <c r="V557" s="36">
        <v>0.0</v>
      </c>
      <c r="W557" s="36">
        <v>0.0</v>
      </c>
      <c r="X557" s="36">
        <v>0.0</v>
      </c>
      <c r="Y557" s="36">
        <v>0.0</v>
      </c>
    </row>
    <row r="558">
      <c r="A558" s="32" t="s">
        <v>1933</v>
      </c>
      <c r="B558" s="32" t="s">
        <v>1933</v>
      </c>
      <c r="C558" s="32">
        <v>0.0</v>
      </c>
      <c r="D558" s="32" t="e">
        <v>#N/A</v>
      </c>
      <c r="E558" s="39"/>
      <c r="F558" s="32" t="e">
        <v>#N/A</v>
      </c>
      <c r="G558" s="39"/>
      <c r="H558" s="32" t="e">
        <v>#N/A</v>
      </c>
      <c r="I558" s="39"/>
      <c r="J558" s="32">
        <v>0.0</v>
      </c>
      <c r="K558" s="33" t="e">
        <v>#N/A</v>
      </c>
      <c r="L558" s="32" t="e">
        <v>#N/A</v>
      </c>
      <c r="M558" s="32" t="e">
        <v>#N/A</v>
      </c>
      <c r="N558" s="33" t="s">
        <v>1921</v>
      </c>
      <c r="O558" s="33" t="s">
        <v>52</v>
      </c>
      <c r="P558" s="32" t="e">
        <v>#REF!</v>
      </c>
      <c r="Q558" s="32" t="e">
        <v>#N/A</v>
      </c>
      <c r="R558" s="42" t="e">
        <v>#N/A</v>
      </c>
      <c r="S558" s="42" t="e">
        <v>#N/A</v>
      </c>
      <c r="T558" s="36">
        <v>0.0</v>
      </c>
      <c r="U558" s="36">
        <v>0.0</v>
      </c>
      <c r="V558" s="36">
        <v>0.0</v>
      </c>
      <c r="W558" s="36">
        <v>0.0</v>
      </c>
      <c r="X558" s="36">
        <v>0.0</v>
      </c>
      <c r="Y558" s="36">
        <v>0.0</v>
      </c>
    </row>
    <row r="559">
      <c r="A559" s="32" t="s">
        <v>1935</v>
      </c>
      <c r="B559" s="32" t="s">
        <v>1935</v>
      </c>
      <c r="C559" s="32">
        <v>0.0</v>
      </c>
      <c r="D559" s="32" t="e">
        <v>#N/A</v>
      </c>
      <c r="E559" s="39"/>
      <c r="F559" s="32" t="e">
        <v>#N/A</v>
      </c>
      <c r="G559" s="39"/>
      <c r="H559" s="32" t="e">
        <v>#N/A</v>
      </c>
      <c r="I559" s="39"/>
      <c r="J559" s="32">
        <v>0.0</v>
      </c>
      <c r="K559" s="33" t="e">
        <v>#N/A</v>
      </c>
      <c r="L559" s="32" t="e">
        <v>#N/A</v>
      </c>
      <c r="M559" s="32" t="e">
        <v>#N/A</v>
      </c>
      <c r="N559" s="33" t="s">
        <v>1921</v>
      </c>
      <c r="O559" s="33" t="s">
        <v>52</v>
      </c>
      <c r="P559" s="32" t="e">
        <v>#REF!</v>
      </c>
      <c r="Q559" s="32" t="e">
        <v>#N/A</v>
      </c>
      <c r="R559" s="42" t="e">
        <v>#N/A</v>
      </c>
      <c r="S559" s="42" t="e">
        <v>#N/A</v>
      </c>
      <c r="T559" s="36">
        <v>0.0</v>
      </c>
      <c r="U559" s="36">
        <v>0.0</v>
      </c>
      <c r="V559" s="36">
        <v>0.0</v>
      </c>
      <c r="W559" s="36">
        <v>0.0</v>
      </c>
      <c r="X559" s="36">
        <v>0.0</v>
      </c>
      <c r="Y559" s="36">
        <v>0.0</v>
      </c>
    </row>
    <row r="560">
      <c r="A560" s="32" t="s">
        <v>1939</v>
      </c>
      <c r="B560" s="32" t="s">
        <v>1939</v>
      </c>
      <c r="C560" s="32">
        <v>0.0</v>
      </c>
      <c r="D560" s="32" t="e">
        <v>#N/A</v>
      </c>
      <c r="E560" s="39"/>
      <c r="F560" s="32" t="e">
        <v>#N/A</v>
      </c>
      <c r="G560" s="39"/>
      <c r="H560" s="32" t="e">
        <v>#N/A</v>
      </c>
      <c r="I560" s="39"/>
      <c r="J560" s="32">
        <v>0.0</v>
      </c>
      <c r="K560" s="33" t="e">
        <v>#N/A</v>
      </c>
      <c r="L560" s="32" t="e">
        <v>#N/A</v>
      </c>
      <c r="M560" s="32" t="e">
        <v>#N/A</v>
      </c>
      <c r="N560" s="33" t="s">
        <v>1921</v>
      </c>
      <c r="O560" s="33" t="s">
        <v>52</v>
      </c>
      <c r="P560" s="32" t="e">
        <v>#REF!</v>
      </c>
      <c r="Q560" s="32" t="e">
        <v>#N/A</v>
      </c>
      <c r="R560" s="42" t="e">
        <v>#N/A</v>
      </c>
      <c r="S560" s="42" t="e">
        <v>#N/A</v>
      </c>
      <c r="T560" s="36">
        <v>0.0</v>
      </c>
      <c r="U560" s="36">
        <v>0.0</v>
      </c>
      <c r="V560" s="36">
        <v>0.0</v>
      </c>
      <c r="W560" s="36">
        <v>0.0</v>
      </c>
      <c r="X560" s="36">
        <v>0.0</v>
      </c>
      <c r="Y560" s="36">
        <v>0.0</v>
      </c>
    </row>
    <row r="561">
      <c r="A561" s="32" t="s">
        <v>1928</v>
      </c>
      <c r="B561" s="32" t="s">
        <v>1928</v>
      </c>
      <c r="C561" s="32">
        <v>0.0</v>
      </c>
      <c r="D561" s="32" t="e">
        <v>#N/A</v>
      </c>
      <c r="E561" s="39"/>
      <c r="F561" s="32" t="e">
        <v>#N/A</v>
      </c>
      <c r="G561" s="39"/>
      <c r="H561" s="32" t="e">
        <v>#N/A</v>
      </c>
      <c r="I561" s="39"/>
      <c r="J561" s="32">
        <v>0.0</v>
      </c>
      <c r="K561" s="33" t="e">
        <v>#N/A</v>
      </c>
      <c r="L561" s="32" t="e">
        <v>#N/A</v>
      </c>
      <c r="M561" s="32" t="e">
        <v>#N/A</v>
      </c>
      <c r="N561" s="33" t="s">
        <v>1921</v>
      </c>
      <c r="O561" s="33" t="s">
        <v>52</v>
      </c>
      <c r="P561" s="32" t="e">
        <v>#REF!</v>
      </c>
      <c r="Q561" s="32" t="e">
        <v>#N/A</v>
      </c>
      <c r="R561" s="42" t="e">
        <v>#N/A</v>
      </c>
      <c r="S561" s="42" t="e">
        <v>#N/A</v>
      </c>
      <c r="T561" s="36">
        <v>0.0</v>
      </c>
      <c r="U561" s="36">
        <v>0.0</v>
      </c>
      <c r="V561" s="36">
        <v>0.0</v>
      </c>
      <c r="W561" s="36">
        <v>0.0</v>
      </c>
      <c r="X561" s="36">
        <v>0.0</v>
      </c>
      <c r="Y561" s="36">
        <v>0.0</v>
      </c>
    </row>
    <row r="562">
      <c r="A562" s="32" t="s">
        <v>1936</v>
      </c>
      <c r="B562" s="32" t="s">
        <v>1936</v>
      </c>
      <c r="C562" s="32">
        <v>0.0</v>
      </c>
      <c r="D562" s="32" t="e">
        <v>#N/A</v>
      </c>
      <c r="E562" s="39"/>
      <c r="F562" s="32" t="e">
        <v>#N/A</v>
      </c>
      <c r="G562" s="39"/>
      <c r="H562" s="32" t="e">
        <v>#N/A</v>
      </c>
      <c r="I562" s="39"/>
      <c r="J562" s="32">
        <v>0.0</v>
      </c>
      <c r="K562" s="33" t="e">
        <v>#N/A</v>
      </c>
      <c r="L562" s="32" t="e">
        <v>#N/A</v>
      </c>
      <c r="M562" s="32" t="e">
        <v>#N/A</v>
      </c>
      <c r="N562" s="33" t="s">
        <v>1921</v>
      </c>
      <c r="O562" s="33" t="s">
        <v>52</v>
      </c>
      <c r="P562" s="32" t="e">
        <v>#REF!</v>
      </c>
      <c r="Q562" s="32" t="e">
        <v>#N/A</v>
      </c>
      <c r="R562" s="42" t="e">
        <v>#N/A</v>
      </c>
      <c r="S562" s="42" t="e">
        <v>#N/A</v>
      </c>
      <c r="T562" s="36">
        <v>0.0</v>
      </c>
      <c r="U562" s="36">
        <v>0.0</v>
      </c>
      <c r="V562" s="36">
        <v>0.0</v>
      </c>
      <c r="W562" s="36">
        <v>0.0</v>
      </c>
      <c r="X562" s="36">
        <v>0.0</v>
      </c>
      <c r="Y562" s="36">
        <v>0.0</v>
      </c>
    </row>
    <row r="563">
      <c r="A563" s="32" t="s">
        <v>1929</v>
      </c>
      <c r="B563" s="32" t="s">
        <v>1929</v>
      </c>
      <c r="C563" s="32">
        <v>0.0</v>
      </c>
      <c r="D563" s="32" t="e">
        <v>#N/A</v>
      </c>
      <c r="E563" s="39"/>
      <c r="F563" s="32" t="e">
        <v>#N/A</v>
      </c>
      <c r="G563" s="39"/>
      <c r="H563" s="32" t="e">
        <v>#N/A</v>
      </c>
      <c r="I563" s="39"/>
      <c r="J563" s="32">
        <v>0.0</v>
      </c>
      <c r="K563" s="33" t="e">
        <v>#N/A</v>
      </c>
      <c r="L563" s="32" t="e">
        <v>#N/A</v>
      </c>
      <c r="M563" s="32" t="e">
        <v>#N/A</v>
      </c>
      <c r="N563" s="33" t="s">
        <v>1921</v>
      </c>
      <c r="O563" s="33" t="s">
        <v>52</v>
      </c>
      <c r="P563" s="32" t="e">
        <v>#REF!</v>
      </c>
      <c r="Q563" s="32" t="e">
        <v>#N/A</v>
      </c>
      <c r="R563" s="42" t="e">
        <v>#N/A</v>
      </c>
      <c r="S563" s="42" t="e">
        <v>#N/A</v>
      </c>
      <c r="T563" s="36">
        <v>0.0</v>
      </c>
      <c r="U563" s="36">
        <v>0.0</v>
      </c>
      <c r="V563" s="36">
        <v>0.0</v>
      </c>
      <c r="W563" s="36">
        <v>0.0</v>
      </c>
      <c r="X563" s="36">
        <v>0.0</v>
      </c>
      <c r="Y563" s="36">
        <v>0.0</v>
      </c>
    </row>
    <row r="564">
      <c r="A564" s="32" t="s">
        <v>1937</v>
      </c>
      <c r="B564" s="32" t="s">
        <v>1937</v>
      </c>
      <c r="C564" s="32">
        <v>0.0</v>
      </c>
      <c r="D564" s="32" t="e">
        <v>#N/A</v>
      </c>
      <c r="E564" s="39"/>
      <c r="F564" s="32" t="e">
        <v>#N/A</v>
      </c>
      <c r="G564" s="39"/>
      <c r="H564" s="32" t="e">
        <v>#N/A</v>
      </c>
      <c r="I564" s="39"/>
      <c r="J564" s="32">
        <v>0.0</v>
      </c>
      <c r="K564" s="33" t="e">
        <v>#N/A</v>
      </c>
      <c r="L564" s="32" t="e">
        <v>#N/A</v>
      </c>
      <c r="M564" s="32" t="e">
        <v>#N/A</v>
      </c>
      <c r="N564" s="33" t="s">
        <v>1921</v>
      </c>
      <c r="O564" s="33" t="s">
        <v>52</v>
      </c>
      <c r="P564" s="32" t="e">
        <v>#REF!</v>
      </c>
      <c r="Q564" s="32" t="e">
        <v>#N/A</v>
      </c>
      <c r="R564" s="42" t="e">
        <v>#N/A</v>
      </c>
      <c r="S564" s="42" t="e">
        <v>#N/A</v>
      </c>
      <c r="T564" s="36">
        <v>0.0</v>
      </c>
      <c r="U564" s="36">
        <v>0.0</v>
      </c>
      <c r="V564" s="36">
        <v>0.0</v>
      </c>
      <c r="W564" s="36">
        <v>0.0</v>
      </c>
      <c r="X564" s="36">
        <v>0.0</v>
      </c>
      <c r="Y564" s="36">
        <v>0.0</v>
      </c>
    </row>
    <row r="565">
      <c r="A565" s="32" t="s">
        <v>1934</v>
      </c>
      <c r="B565" s="32" t="s">
        <v>1934</v>
      </c>
      <c r="C565" s="32">
        <v>0.0</v>
      </c>
      <c r="D565" s="32" t="e">
        <v>#N/A</v>
      </c>
      <c r="E565" s="39"/>
      <c r="F565" s="32" t="e">
        <v>#N/A</v>
      </c>
      <c r="G565" s="39"/>
      <c r="H565" s="32" t="e">
        <v>#N/A</v>
      </c>
      <c r="I565" s="39"/>
      <c r="J565" s="32">
        <v>0.0</v>
      </c>
      <c r="K565" s="33" t="e">
        <v>#N/A</v>
      </c>
      <c r="L565" s="32" t="e">
        <v>#N/A</v>
      </c>
      <c r="M565" s="32" t="e">
        <v>#N/A</v>
      </c>
      <c r="N565" s="33" t="s">
        <v>1921</v>
      </c>
      <c r="O565" s="33" t="s">
        <v>52</v>
      </c>
      <c r="P565" s="32" t="e">
        <v>#REF!</v>
      </c>
      <c r="Q565" s="32" t="e">
        <v>#N/A</v>
      </c>
      <c r="R565" s="42" t="e">
        <v>#N/A</v>
      </c>
      <c r="S565" s="42" t="e">
        <v>#N/A</v>
      </c>
      <c r="T565" s="36">
        <v>0.0</v>
      </c>
      <c r="U565" s="36">
        <v>0.0</v>
      </c>
      <c r="V565" s="36">
        <v>0.0</v>
      </c>
      <c r="W565" s="36">
        <v>0.0</v>
      </c>
      <c r="X565" s="36">
        <v>0.0</v>
      </c>
      <c r="Y565" s="36">
        <v>0.0</v>
      </c>
    </row>
    <row r="566">
      <c r="A566" s="32" t="s">
        <v>1938</v>
      </c>
      <c r="B566" s="32" t="s">
        <v>1938</v>
      </c>
      <c r="C566" s="32">
        <v>0.0</v>
      </c>
      <c r="D566" s="32" t="e">
        <v>#N/A</v>
      </c>
      <c r="E566" s="39"/>
      <c r="F566" s="32" t="e">
        <v>#N/A</v>
      </c>
      <c r="G566" s="39"/>
      <c r="H566" s="32" t="e">
        <v>#N/A</v>
      </c>
      <c r="I566" s="39"/>
      <c r="J566" s="32">
        <v>0.0</v>
      </c>
      <c r="K566" s="33" t="e">
        <v>#N/A</v>
      </c>
      <c r="L566" s="32" t="e">
        <v>#N/A</v>
      </c>
      <c r="M566" s="32" t="e">
        <v>#N/A</v>
      </c>
      <c r="N566" s="33" t="s">
        <v>1921</v>
      </c>
      <c r="O566" s="33" t="s">
        <v>52</v>
      </c>
      <c r="P566" s="32" t="e">
        <v>#REF!</v>
      </c>
      <c r="Q566" s="32" t="e">
        <v>#N/A</v>
      </c>
      <c r="R566" s="42" t="e">
        <v>#N/A</v>
      </c>
      <c r="S566" s="42" t="e">
        <v>#N/A</v>
      </c>
      <c r="T566" s="36">
        <v>0.0</v>
      </c>
      <c r="U566" s="36">
        <v>0.0</v>
      </c>
      <c r="V566" s="36">
        <v>0.0</v>
      </c>
      <c r="W566" s="36">
        <v>0.0</v>
      </c>
      <c r="X566" s="36">
        <v>0.0</v>
      </c>
      <c r="Y566" s="36">
        <v>0.0</v>
      </c>
    </row>
    <row r="567">
      <c r="A567" s="32" t="s">
        <v>1955</v>
      </c>
      <c r="B567" s="32" t="s">
        <v>1955</v>
      </c>
      <c r="C567" s="32">
        <v>0.0</v>
      </c>
      <c r="D567" s="32" t="e">
        <v>#N/A</v>
      </c>
      <c r="E567" s="39"/>
      <c r="F567" s="32" t="e">
        <v>#N/A</v>
      </c>
      <c r="G567" s="39"/>
      <c r="H567" s="32" t="e">
        <v>#N/A</v>
      </c>
      <c r="I567" s="39"/>
      <c r="J567" s="32">
        <v>0.0</v>
      </c>
      <c r="K567" s="33" t="e">
        <v>#N/A</v>
      </c>
      <c r="L567" s="32" t="e">
        <v>#N/A</v>
      </c>
      <c r="M567" s="32" t="e">
        <v>#N/A</v>
      </c>
      <c r="N567" s="33" t="s">
        <v>1921</v>
      </c>
      <c r="O567" s="33" t="s">
        <v>52</v>
      </c>
      <c r="P567" s="32" t="e">
        <v>#REF!</v>
      </c>
      <c r="Q567" s="32" t="e">
        <v>#N/A</v>
      </c>
      <c r="R567" s="42" t="e">
        <v>#N/A</v>
      </c>
      <c r="S567" s="42" t="e">
        <v>#N/A</v>
      </c>
      <c r="T567" s="36">
        <v>0.0</v>
      </c>
      <c r="U567" s="36">
        <v>0.0</v>
      </c>
      <c r="V567" s="36">
        <v>0.0</v>
      </c>
      <c r="W567" s="36">
        <v>0.0</v>
      </c>
      <c r="X567" s="36">
        <v>0.0</v>
      </c>
      <c r="Y567" s="36">
        <v>0.0</v>
      </c>
    </row>
    <row r="568">
      <c r="A568" s="32" t="s">
        <v>1961</v>
      </c>
      <c r="B568" s="32" t="s">
        <v>1961</v>
      </c>
      <c r="C568" s="32">
        <v>0.0</v>
      </c>
      <c r="D568" s="32" t="e">
        <v>#N/A</v>
      </c>
      <c r="E568" s="39"/>
      <c r="F568" s="32" t="e">
        <v>#N/A</v>
      </c>
      <c r="G568" s="39"/>
      <c r="H568" s="32" t="e">
        <v>#N/A</v>
      </c>
      <c r="I568" s="39"/>
      <c r="J568" s="32">
        <v>0.0</v>
      </c>
      <c r="K568" s="33" t="e">
        <v>#N/A</v>
      </c>
      <c r="L568" s="32" t="e">
        <v>#N/A</v>
      </c>
      <c r="M568" s="32" t="e">
        <v>#N/A</v>
      </c>
      <c r="N568" s="33" t="s">
        <v>1921</v>
      </c>
      <c r="O568" s="33" t="s">
        <v>52</v>
      </c>
      <c r="P568" s="32" t="e">
        <v>#REF!</v>
      </c>
      <c r="Q568" s="32" t="e">
        <v>#N/A</v>
      </c>
      <c r="R568" s="42" t="e">
        <v>#N/A</v>
      </c>
      <c r="S568" s="42" t="e">
        <v>#N/A</v>
      </c>
      <c r="T568" s="36">
        <v>0.0</v>
      </c>
      <c r="U568" s="36">
        <v>0.0</v>
      </c>
      <c r="V568" s="36">
        <v>0.0</v>
      </c>
      <c r="W568" s="36">
        <v>0.0</v>
      </c>
      <c r="X568" s="36">
        <v>0.0</v>
      </c>
      <c r="Y568" s="36">
        <v>0.0</v>
      </c>
    </row>
    <row r="569">
      <c r="A569" s="32" t="s">
        <v>1968</v>
      </c>
      <c r="B569" s="32" t="s">
        <v>1968</v>
      </c>
      <c r="C569" s="32">
        <v>0.0</v>
      </c>
      <c r="D569" s="32" t="e">
        <v>#N/A</v>
      </c>
      <c r="E569" s="39"/>
      <c r="F569" s="32" t="e">
        <v>#N/A</v>
      </c>
      <c r="G569" s="39"/>
      <c r="H569" s="32" t="e">
        <v>#N/A</v>
      </c>
      <c r="I569" s="39"/>
      <c r="J569" s="32">
        <v>0.0</v>
      </c>
      <c r="K569" s="33" t="e">
        <v>#N/A</v>
      </c>
      <c r="L569" s="32" t="e">
        <v>#N/A</v>
      </c>
      <c r="M569" s="32" t="e">
        <v>#N/A</v>
      </c>
      <c r="N569" s="33" t="s">
        <v>1921</v>
      </c>
      <c r="O569" s="33" t="s">
        <v>52</v>
      </c>
      <c r="P569" s="32" t="e">
        <v>#REF!</v>
      </c>
      <c r="Q569" s="32" t="e">
        <v>#N/A</v>
      </c>
      <c r="R569" s="42" t="e">
        <v>#N/A</v>
      </c>
      <c r="S569" s="42" t="e">
        <v>#N/A</v>
      </c>
      <c r="T569" s="36">
        <v>0.0</v>
      </c>
      <c r="U569" s="36">
        <v>0.0</v>
      </c>
      <c r="V569" s="36">
        <v>0.0</v>
      </c>
      <c r="W569" s="36">
        <v>0.0</v>
      </c>
      <c r="X569" s="36">
        <v>0.0</v>
      </c>
      <c r="Y569" s="36">
        <v>0.0</v>
      </c>
    </row>
    <row r="570">
      <c r="A570" s="32" t="s">
        <v>1962</v>
      </c>
      <c r="B570" s="32" t="s">
        <v>1962</v>
      </c>
      <c r="C570" s="32">
        <v>0.0</v>
      </c>
      <c r="D570" s="32" t="e">
        <v>#N/A</v>
      </c>
      <c r="E570" s="39"/>
      <c r="F570" s="32" t="e">
        <v>#N/A</v>
      </c>
      <c r="G570" s="39"/>
      <c r="H570" s="32" t="e">
        <v>#N/A</v>
      </c>
      <c r="I570" s="39"/>
      <c r="J570" s="32">
        <v>0.0</v>
      </c>
      <c r="K570" s="33" t="e">
        <v>#N/A</v>
      </c>
      <c r="L570" s="32" t="e">
        <v>#N/A</v>
      </c>
      <c r="M570" s="32" t="e">
        <v>#N/A</v>
      </c>
      <c r="N570" s="33" t="s">
        <v>1921</v>
      </c>
      <c r="O570" s="33" t="s">
        <v>52</v>
      </c>
      <c r="P570" s="32" t="e">
        <v>#REF!</v>
      </c>
      <c r="Q570" s="32" t="e">
        <v>#N/A</v>
      </c>
      <c r="R570" s="42" t="e">
        <v>#N/A</v>
      </c>
      <c r="S570" s="42" t="e">
        <v>#N/A</v>
      </c>
      <c r="T570" s="36">
        <v>0.0</v>
      </c>
      <c r="U570" s="36">
        <v>0.0</v>
      </c>
      <c r="V570" s="36">
        <v>0.0</v>
      </c>
      <c r="W570" s="36">
        <v>0.0</v>
      </c>
      <c r="X570" s="36">
        <v>0.0</v>
      </c>
      <c r="Y570" s="36">
        <v>0.0</v>
      </c>
    </row>
    <row r="571">
      <c r="A571" s="32" t="s">
        <v>1969</v>
      </c>
      <c r="B571" s="32" t="s">
        <v>1969</v>
      </c>
      <c r="C571" s="32">
        <v>0.0</v>
      </c>
      <c r="D571" s="32" t="e">
        <v>#N/A</v>
      </c>
      <c r="E571" s="39"/>
      <c r="F571" s="32" t="e">
        <v>#N/A</v>
      </c>
      <c r="G571" s="39"/>
      <c r="H571" s="32" t="e">
        <v>#N/A</v>
      </c>
      <c r="I571" s="39"/>
      <c r="J571" s="32">
        <v>0.0</v>
      </c>
      <c r="K571" s="33" t="e">
        <v>#N/A</v>
      </c>
      <c r="L571" s="32" t="e">
        <v>#N/A</v>
      </c>
      <c r="M571" s="32" t="e">
        <v>#N/A</v>
      </c>
      <c r="N571" s="33" t="s">
        <v>1921</v>
      </c>
      <c r="O571" s="33" t="s">
        <v>52</v>
      </c>
      <c r="P571" s="32" t="e">
        <v>#REF!</v>
      </c>
      <c r="Q571" s="32" t="e">
        <v>#N/A</v>
      </c>
      <c r="R571" s="42" t="e">
        <v>#N/A</v>
      </c>
      <c r="S571" s="42" t="e">
        <v>#N/A</v>
      </c>
      <c r="T571" s="36">
        <v>0.0</v>
      </c>
      <c r="U571" s="36">
        <v>0.0</v>
      </c>
      <c r="V571" s="36">
        <v>0.0</v>
      </c>
      <c r="W571" s="36">
        <v>0.0</v>
      </c>
      <c r="X571" s="36">
        <v>0.0</v>
      </c>
      <c r="Y571" s="36">
        <v>0.0</v>
      </c>
    </row>
    <row r="572">
      <c r="A572" s="32" t="s">
        <v>1957</v>
      </c>
      <c r="B572" s="32" t="s">
        <v>1957</v>
      </c>
      <c r="C572" s="32">
        <v>0.0</v>
      </c>
      <c r="D572" s="32" t="e">
        <v>#N/A</v>
      </c>
      <c r="E572" s="39"/>
      <c r="F572" s="32" t="e">
        <v>#N/A</v>
      </c>
      <c r="G572" s="39"/>
      <c r="H572" s="32" t="e">
        <v>#N/A</v>
      </c>
      <c r="I572" s="39"/>
      <c r="J572" s="32">
        <v>0.0</v>
      </c>
      <c r="K572" s="33" t="e">
        <v>#N/A</v>
      </c>
      <c r="L572" s="32" t="e">
        <v>#N/A</v>
      </c>
      <c r="M572" s="32" t="e">
        <v>#N/A</v>
      </c>
      <c r="N572" s="33" t="s">
        <v>1921</v>
      </c>
      <c r="O572" s="33" t="s">
        <v>52</v>
      </c>
      <c r="P572" s="32" t="e">
        <v>#REF!</v>
      </c>
      <c r="Q572" s="32" t="e">
        <v>#N/A</v>
      </c>
      <c r="R572" s="42" t="e">
        <v>#N/A</v>
      </c>
      <c r="S572" s="42" t="e">
        <v>#N/A</v>
      </c>
      <c r="T572" s="36">
        <v>0.0</v>
      </c>
      <c r="U572" s="36">
        <v>0.0</v>
      </c>
      <c r="V572" s="36">
        <v>0.0</v>
      </c>
      <c r="W572" s="36">
        <v>0.0</v>
      </c>
      <c r="X572" s="36">
        <v>0.0</v>
      </c>
      <c r="Y572" s="36">
        <v>0.0</v>
      </c>
    </row>
    <row r="573">
      <c r="A573" s="32" t="s">
        <v>1963</v>
      </c>
      <c r="B573" s="32" t="s">
        <v>1963</v>
      </c>
      <c r="C573" s="32">
        <v>0.0</v>
      </c>
      <c r="D573" s="32" t="e">
        <v>#N/A</v>
      </c>
      <c r="E573" s="39"/>
      <c r="F573" s="32" t="e">
        <v>#N/A</v>
      </c>
      <c r="G573" s="39"/>
      <c r="H573" s="32" t="e">
        <v>#N/A</v>
      </c>
      <c r="I573" s="39"/>
      <c r="J573" s="32">
        <v>0.0</v>
      </c>
      <c r="K573" s="33" t="e">
        <v>#N/A</v>
      </c>
      <c r="L573" s="32" t="e">
        <v>#N/A</v>
      </c>
      <c r="M573" s="32" t="e">
        <v>#N/A</v>
      </c>
      <c r="N573" s="33" t="s">
        <v>1921</v>
      </c>
      <c r="O573" s="33" t="s">
        <v>52</v>
      </c>
      <c r="P573" s="32" t="e">
        <v>#REF!</v>
      </c>
      <c r="Q573" s="32" t="e">
        <v>#N/A</v>
      </c>
      <c r="R573" s="42" t="e">
        <v>#N/A</v>
      </c>
      <c r="S573" s="42" t="e">
        <v>#N/A</v>
      </c>
      <c r="T573" s="36">
        <v>0.0</v>
      </c>
      <c r="U573" s="36">
        <v>0.0</v>
      </c>
      <c r="V573" s="36">
        <v>0.0</v>
      </c>
      <c r="W573" s="36">
        <v>0.0</v>
      </c>
      <c r="X573" s="36">
        <v>0.0</v>
      </c>
      <c r="Y573" s="36">
        <v>0.0</v>
      </c>
    </row>
    <row r="574">
      <c r="A574" s="32" t="s">
        <v>1970</v>
      </c>
      <c r="B574" s="32" t="s">
        <v>1970</v>
      </c>
      <c r="C574" s="32">
        <v>0.0</v>
      </c>
      <c r="D574" s="32" t="e">
        <v>#N/A</v>
      </c>
      <c r="E574" s="39"/>
      <c r="F574" s="32" t="e">
        <v>#N/A</v>
      </c>
      <c r="G574" s="39"/>
      <c r="H574" s="32" t="e">
        <v>#N/A</v>
      </c>
      <c r="I574" s="39"/>
      <c r="J574" s="32">
        <v>0.0</v>
      </c>
      <c r="K574" s="33" t="e">
        <v>#N/A</v>
      </c>
      <c r="L574" s="32" t="e">
        <v>#N/A</v>
      </c>
      <c r="M574" s="32" t="e">
        <v>#N/A</v>
      </c>
      <c r="N574" s="33" t="s">
        <v>1921</v>
      </c>
      <c r="O574" s="33" t="s">
        <v>52</v>
      </c>
      <c r="P574" s="32" t="e">
        <v>#REF!</v>
      </c>
      <c r="Q574" s="32" t="e">
        <v>#N/A</v>
      </c>
      <c r="R574" s="42" t="e">
        <v>#N/A</v>
      </c>
      <c r="S574" s="42" t="e">
        <v>#N/A</v>
      </c>
      <c r="T574" s="36">
        <v>0.0</v>
      </c>
      <c r="U574" s="36">
        <v>0.0</v>
      </c>
      <c r="V574" s="36">
        <v>0.0</v>
      </c>
      <c r="W574" s="36">
        <v>0.0</v>
      </c>
      <c r="X574" s="36">
        <v>0.0</v>
      </c>
      <c r="Y574" s="36">
        <v>0.0</v>
      </c>
    </row>
    <row r="575">
      <c r="A575" s="32" t="s">
        <v>1964</v>
      </c>
      <c r="B575" s="32" t="s">
        <v>1964</v>
      </c>
      <c r="C575" s="32">
        <v>0.0</v>
      </c>
      <c r="D575" s="32" t="e">
        <v>#N/A</v>
      </c>
      <c r="E575" s="39"/>
      <c r="F575" s="32" t="e">
        <v>#N/A</v>
      </c>
      <c r="G575" s="39"/>
      <c r="H575" s="32" t="e">
        <v>#N/A</v>
      </c>
      <c r="I575" s="39"/>
      <c r="J575" s="32">
        <v>0.0</v>
      </c>
      <c r="K575" s="33" t="e">
        <v>#N/A</v>
      </c>
      <c r="L575" s="32" t="e">
        <v>#N/A</v>
      </c>
      <c r="M575" s="32" t="e">
        <v>#N/A</v>
      </c>
      <c r="N575" s="33" t="s">
        <v>1921</v>
      </c>
      <c r="O575" s="33" t="s">
        <v>52</v>
      </c>
      <c r="P575" s="32" t="e">
        <v>#REF!</v>
      </c>
      <c r="Q575" s="32" t="e">
        <v>#N/A</v>
      </c>
      <c r="R575" s="42" t="e">
        <v>#N/A</v>
      </c>
      <c r="S575" s="42" t="e">
        <v>#N/A</v>
      </c>
      <c r="T575" s="36">
        <v>0.0</v>
      </c>
      <c r="U575" s="36">
        <v>0.0</v>
      </c>
      <c r="V575" s="36">
        <v>0.0</v>
      </c>
      <c r="W575" s="36">
        <v>0.0</v>
      </c>
      <c r="X575" s="36">
        <v>0.0</v>
      </c>
      <c r="Y575" s="36">
        <v>0.0</v>
      </c>
    </row>
    <row r="576">
      <c r="A576" s="32" t="s">
        <v>1958</v>
      </c>
      <c r="B576" s="32" t="s">
        <v>1958</v>
      </c>
      <c r="C576" s="32">
        <v>0.0</v>
      </c>
      <c r="D576" s="32" t="e">
        <v>#N/A</v>
      </c>
      <c r="E576" s="39"/>
      <c r="F576" s="32" t="e">
        <v>#N/A</v>
      </c>
      <c r="G576" s="39"/>
      <c r="H576" s="32" t="e">
        <v>#N/A</v>
      </c>
      <c r="I576" s="39"/>
      <c r="J576" s="32">
        <v>0.0</v>
      </c>
      <c r="K576" s="33" t="e">
        <v>#N/A</v>
      </c>
      <c r="L576" s="32" t="e">
        <v>#N/A</v>
      </c>
      <c r="M576" s="32" t="e">
        <v>#N/A</v>
      </c>
      <c r="N576" s="33" t="s">
        <v>1921</v>
      </c>
      <c r="O576" s="33" t="s">
        <v>52</v>
      </c>
      <c r="P576" s="32" t="e">
        <v>#REF!</v>
      </c>
      <c r="Q576" s="32" t="e">
        <v>#N/A</v>
      </c>
      <c r="R576" s="42" t="e">
        <v>#N/A</v>
      </c>
      <c r="S576" s="42" t="e">
        <v>#N/A</v>
      </c>
      <c r="T576" s="36">
        <v>0.0</v>
      </c>
      <c r="U576" s="36">
        <v>0.0</v>
      </c>
      <c r="V576" s="36">
        <v>0.0</v>
      </c>
      <c r="W576" s="36">
        <v>0.0</v>
      </c>
      <c r="X576" s="36">
        <v>0.0</v>
      </c>
      <c r="Y576" s="36">
        <v>0.0</v>
      </c>
    </row>
    <row r="577">
      <c r="A577" s="32" t="s">
        <v>1965</v>
      </c>
      <c r="B577" s="32" t="s">
        <v>1965</v>
      </c>
      <c r="C577" s="32">
        <v>0.0</v>
      </c>
      <c r="D577" s="32" t="e">
        <v>#N/A</v>
      </c>
      <c r="E577" s="39"/>
      <c r="F577" s="32" t="e">
        <v>#N/A</v>
      </c>
      <c r="G577" s="39"/>
      <c r="H577" s="32" t="e">
        <v>#N/A</v>
      </c>
      <c r="I577" s="39"/>
      <c r="J577" s="32">
        <v>0.0</v>
      </c>
      <c r="K577" s="33" t="e">
        <v>#N/A</v>
      </c>
      <c r="L577" s="32" t="e">
        <v>#N/A</v>
      </c>
      <c r="M577" s="32" t="e">
        <v>#N/A</v>
      </c>
      <c r="N577" s="33" t="s">
        <v>1921</v>
      </c>
      <c r="O577" s="33" t="s">
        <v>52</v>
      </c>
      <c r="P577" s="32" t="e">
        <v>#REF!</v>
      </c>
      <c r="Q577" s="32" t="e">
        <v>#N/A</v>
      </c>
      <c r="R577" s="42" t="e">
        <v>#N/A</v>
      </c>
      <c r="S577" s="42" t="e">
        <v>#N/A</v>
      </c>
      <c r="T577" s="36">
        <v>0.0</v>
      </c>
      <c r="U577" s="36">
        <v>0.0</v>
      </c>
      <c r="V577" s="36">
        <v>0.0</v>
      </c>
      <c r="W577" s="36">
        <v>0.0</v>
      </c>
      <c r="X577" s="36">
        <v>0.0</v>
      </c>
      <c r="Y577" s="36">
        <v>0.0</v>
      </c>
    </row>
    <row r="578">
      <c r="A578" s="32" t="s">
        <v>1971</v>
      </c>
      <c r="B578" s="32" t="s">
        <v>1971</v>
      </c>
      <c r="C578" s="32">
        <v>0.0</v>
      </c>
      <c r="D578" s="32" t="e">
        <v>#N/A</v>
      </c>
      <c r="E578" s="39"/>
      <c r="F578" s="32" t="e">
        <v>#N/A</v>
      </c>
      <c r="G578" s="39"/>
      <c r="H578" s="32" t="e">
        <v>#N/A</v>
      </c>
      <c r="I578" s="39"/>
      <c r="J578" s="32">
        <v>0.0</v>
      </c>
      <c r="K578" s="33" t="e">
        <v>#N/A</v>
      </c>
      <c r="L578" s="32" t="e">
        <v>#N/A</v>
      </c>
      <c r="M578" s="32" t="e">
        <v>#N/A</v>
      </c>
      <c r="N578" s="33" t="s">
        <v>1921</v>
      </c>
      <c r="O578" s="33" t="s">
        <v>52</v>
      </c>
      <c r="P578" s="32" t="e">
        <v>#REF!</v>
      </c>
      <c r="Q578" s="32" t="e">
        <v>#N/A</v>
      </c>
      <c r="R578" s="42" t="e">
        <v>#N/A</v>
      </c>
      <c r="S578" s="42" t="e">
        <v>#N/A</v>
      </c>
      <c r="T578" s="36">
        <v>0.0</v>
      </c>
      <c r="U578" s="36">
        <v>0.0</v>
      </c>
      <c r="V578" s="36">
        <v>0.0</v>
      </c>
      <c r="W578" s="36">
        <v>0.0</v>
      </c>
      <c r="X578" s="36">
        <v>0.0</v>
      </c>
      <c r="Y578" s="36">
        <v>0.0</v>
      </c>
    </row>
    <row r="579">
      <c r="A579" s="32" t="s">
        <v>1959</v>
      </c>
      <c r="B579" s="32" t="s">
        <v>1959</v>
      </c>
      <c r="C579" s="32">
        <v>0.0</v>
      </c>
      <c r="D579" s="32" t="e">
        <v>#N/A</v>
      </c>
      <c r="E579" s="39"/>
      <c r="F579" s="32" t="e">
        <v>#N/A</v>
      </c>
      <c r="G579" s="39"/>
      <c r="H579" s="32" t="e">
        <v>#N/A</v>
      </c>
      <c r="I579" s="39"/>
      <c r="J579" s="32">
        <v>0.0</v>
      </c>
      <c r="K579" s="33" t="e">
        <v>#N/A</v>
      </c>
      <c r="L579" s="32" t="e">
        <v>#N/A</v>
      </c>
      <c r="M579" s="32" t="e">
        <v>#N/A</v>
      </c>
      <c r="N579" s="33" t="s">
        <v>1921</v>
      </c>
      <c r="O579" s="33" t="s">
        <v>52</v>
      </c>
      <c r="P579" s="32" t="e">
        <v>#REF!</v>
      </c>
      <c r="Q579" s="32" t="e">
        <v>#N/A</v>
      </c>
      <c r="R579" s="42" t="e">
        <v>#N/A</v>
      </c>
      <c r="S579" s="42" t="e">
        <v>#N/A</v>
      </c>
      <c r="T579" s="36">
        <v>0.0</v>
      </c>
      <c r="U579" s="36">
        <v>0.0</v>
      </c>
      <c r="V579" s="36">
        <v>0.0</v>
      </c>
      <c r="W579" s="36">
        <v>0.0</v>
      </c>
      <c r="X579" s="36">
        <v>0.0</v>
      </c>
      <c r="Y579" s="36">
        <v>0.0</v>
      </c>
    </row>
    <row r="580">
      <c r="A580" s="32" t="s">
        <v>1966</v>
      </c>
      <c r="B580" s="32" t="s">
        <v>1966</v>
      </c>
      <c r="C580" s="32">
        <v>0.0</v>
      </c>
      <c r="D580" s="32" t="e">
        <v>#N/A</v>
      </c>
      <c r="E580" s="39"/>
      <c r="F580" s="32" t="e">
        <v>#N/A</v>
      </c>
      <c r="G580" s="39"/>
      <c r="H580" s="32" t="e">
        <v>#N/A</v>
      </c>
      <c r="I580" s="39"/>
      <c r="J580" s="32">
        <v>0.0</v>
      </c>
      <c r="K580" s="33" t="e">
        <v>#N/A</v>
      </c>
      <c r="L580" s="32" t="e">
        <v>#N/A</v>
      </c>
      <c r="M580" s="32" t="e">
        <v>#N/A</v>
      </c>
      <c r="N580" s="33" t="s">
        <v>1921</v>
      </c>
      <c r="O580" s="33" t="s">
        <v>52</v>
      </c>
      <c r="P580" s="32" t="e">
        <v>#REF!</v>
      </c>
      <c r="Q580" s="32" t="e">
        <v>#N/A</v>
      </c>
      <c r="R580" s="42" t="e">
        <v>#N/A</v>
      </c>
      <c r="S580" s="42" t="e">
        <v>#N/A</v>
      </c>
      <c r="T580" s="36">
        <v>0.0</v>
      </c>
      <c r="U580" s="36">
        <v>0.0</v>
      </c>
      <c r="V580" s="36">
        <v>0.0</v>
      </c>
      <c r="W580" s="36">
        <v>0.0</v>
      </c>
      <c r="X580" s="36">
        <v>0.0</v>
      </c>
      <c r="Y580" s="36">
        <v>0.0</v>
      </c>
    </row>
    <row r="581">
      <c r="A581" s="32" t="s">
        <v>1972</v>
      </c>
      <c r="B581" s="32" t="s">
        <v>1972</v>
      </c>
      <c r="C581" s="32">
        <v>0.0</v>
      </c>
      <c r="D581" s="32" t="e">
        <v>#N/A</v>
      </c>
      <c r="E581" s="39"/>
      <c r="F581" s="32" t="e">
        <v>#N/A</v>
      </c>
      <c r="G581" s="39"/>
      <c r="H581" s="32" t="e">
        <v>#N/A</v>
      </c>
      <c r="I581" s="39"/>
      <c r="J581" s="32">
        <v>0.0</v>
      </c>
      <c r="K581" s="33" t="e">
        <v>#N/A</v>
      </c>
      <c r="L581" s="32" t="e">
        <v>#N/A</v>
      </c>
      <c r="M581" s="32" t="e">
        <v>#N/A</v>
      </c>
      <c r="N581" s="33" t="s">
        <v>1921</v>
      </c>
      <c r="O581" s="33" t="s">
        <v>52</v>
      </c>
      <c r="P581" s="32" t="e">
        <v>#REF!</v>
      </c>
      <c r="Q581" s="32" t="e">
        <v>#N/A</v>
      </c>
      <c r="R581" s="42" t="e">
        <v>#N/A</v>
      </c>
      <c r="S581" s="42" t="e">
        <v>#N/A</v>
      </c>
      <c r="T581" s="36">
        <v>0.0</v>
      </c>
      <c r="U581" s="36">
        <v>0.0</v>
      </c>
      <c r="V581" s="36">
        <v>0.0</v>
      </c>
      <c r="W581" s="36">
        <v>0.0</v>
      </c>
      <c r="X581" s="36">
        <v>0.0</v>
      </c>
      <c r="Y581" s="36">
        <v>0.0</v>
      </c>
    </row>
    <row r="582">
      <c r="A582" s="32" t="s">
        <v>1960</v>
      </c>
      <c r="B582" s="32" t="s">
        <v>1960</v>
      </c>
      <c r="C582" s="32">
        <v>0.0</v>
      </c>
      <c r="D582" s="32" t="e">
        <v>#N/A</v>
      </c>
      <c r="E582" s="39"/>
      <c r="F582" s="32" t="e">
        <v>#N/A</v>
      </c>
      <c r="G582" s="39"/>
      <c r="H582" s="32" t="e">
        <v>#N/A</v>
      </c>
      <c r="I582" s="39"/>
      <c r="J582" s="32">
        <v>0.0</v>
      </c>
      <c r="K582" s="33" t="e">
        <v>#N/A</v>
      </c>
      <c r="L582" s="32" t="e">
        <v>#N/A</v>
      </c>
      <c r="M582" s="32" t="e">
        <v>#N/A</v>
      </c>
      <c r="N582" s="33" t="s">
        <v>1921</v>
      </c>
      <c r="O582" s="33" t="s">
        <v>52</v>
      </c>
      <c r="P582" s="32" t="e">
        <v>#REF!</v>
      </c>
      <c r="Q582" s="32" t="e">
        <v>#N/A</v>
      </c>
      <c r="R582" s="42" t="e">
        <v>#N/A</v>
      </c>
      <c r="S582" s="42" t="e">
        <v>#N/A</v>
      </c>
      <c r="T582" s="36">
        <v>0.0</v>
      </c>
      <c r="U582" s="36">
        <v>0.0</v>
      </c>
      <c r="V582" s="36">
        <v>0.0</v>
      </c>
      <c r="W582" s="36">
        <v>0.0</v>
      </c>
      <c r="X582" s="36">
        <v>0.0</v>
      </c>
      <c r="Y582" s="36">
        <v>0.0</v>
      </c>
    </row>
    <row r="583">
      <c r="A583" s="32" t="s">
        <v>1967</v>
      </c>
      <c r="B583" s="32" t="s">
        <v>1967</v>
      </c>
      <c r="C583" s="32">
        <v>0.0</v>
      </c>
      <c r="D583" s="32" t="e">
        <v>#N/A</v>
      </c>
      <c r="E583" s="39"/>
      <c r="F583" s="32" t="e">
        <v>#N/A</v>
      </c>
      <c r="G583" s="39"/>
      <c r="H583" s="32" t="e">
        <v>#N/A</v>
      </c>
      <c r="I583" s="39"/>
      <c r="J583" s="32">
        <v>0.0</v>
      </c>
      <c r="K583" s="33" t="e">
        <v>#N/A</v>
      </c>
      <c r="L583" s="32" t="e">
        <v>#N/A</v>
      </c>
      <c r="M583" s="32" t="e">
        <v>#N/A</v>
      </c>
      <c r="N583" s="33" t="s">
        <v>1921</v>
      </c>
      <c r="O583" s="33" t="s">
        <v>52</v>
      </c>
      <c r="P583" s="32" t="e">
        <v>#REF!</v>
      </c>
      <c r="Q583" s="32" t="e">
        <v>#N/A</v>
      </c>
      <c r="R583" s="42" t="e">
        <v>#N/A</v>
      </c>
      <c r="S583" s="42" t="e">
        <v>#N/A</v>
      </c>
      <c r="T583" s="36">
        <v>0.0</v>
      </c>
      <c r="U583" s="36">
        <v>0.0</v>
      </c>
      <c r="V583" s="36">
        <v>0.0</v>
      </c>
      <c r="W583" s="36">
        <v>0.0</v>
      </c>
      <c r="X583" s="36">
        <v>0.0</v>
      </c>
      <c r="Y583" s="36">
        <v>0.0</v>
      </c>
    </row>
    <row r="584">
      <c r="A584" s="32" t="s">
        <v>1973</v>
      </c>
      <c r="B584" s="32" t="s">
        <v>1973</v>
      </c>
      <c r="C584" s="32">
        <v>0.0</v>
      </c>
      <c r="D584" s="32" t="e">
        <v>#N/A</v>
      </c>
      <c r="E584" s="39"/>
      <c r="F584" s="32" t="e">
        <v>#N/A</v>
      </c>
      <c r="G584" s="39"/>
      <c r="H584" s="32" t="e">
        <v>#N/A</v>
      </c>
      <c r="I584" s="39"/>
      <c r="J584" s="32">
        <v>0.0</v>
      </c>
      <c r="K584" s="33" t="e">
        <v>#N/A</v>
      </c>
      <c r="L584" s="32" t="e">
        <v>#N/A</v>
      </c>
      <c r="M584" s="32" t="e">
        <v>#N/A</v>
      </c>
      <c r="N584" s="33" t="s">
        <v>1921</v>
      </c>
      <c r="O584" s="33" t="s">
        <v>52</v>
      </c>
      <c r="P584" s="32" t="e">
        <v>#REF!</v>
      </c>
      <c r="Q584" s="32" t="e">
        <v>#N/A</v>
      </c>
      <c r="R584" s="42" t="e">
        <v>#N/A</v>
      </c>
      <c r="S584" s="42" t="e">
        <v>#N/A</v>
      </c>
      <c r="T584" s="36">
        <v>0.0</v>
      </c>
      <c r="U584" s="36">
        <v>0.0</v>
      </c>
      <c r="V584" s="36">
        <v>0.0</v>
      </c>
      <c r="W584" s="36">
        <v>0.0</v>
      </c>
      <c r="X584" s="36">
        <v>0.0</v>
      </c>
      <c r="Y584" s="36">
        <v>0.0</v>
      </c>
    </row>
    <row r="585">
      <c r="A585" s="32" t="s">
        <v>1940</v>
      </c>
      <c r="B585" s="32" t="s">
        <v>1940</v>
      </c>
      <c r="C585" s="32">
        <v>0.0</v>
      </c>
      <c r="D585" s="32" t="e">
        <v>#N/A</v>
      </c>
      <c r="E585" s="39"/>
      <c r="F585" s="32" t="e">
        <v>#N/A</v>
      </c>
      <c r="G585" s="39"/>
      <c r="H585" s="32" t="e">
        <v>#N/A</v>
      </c>
      <c r="I585" s="39"/>
      <c r="J585" s="32">
        <v>0.0</v>
      </c>
      <c r="K585" s="33" t="e">
        <v>#N/A</v>
      </c>
      <c r="L585" s="32" t="e">
        <v>#N/A</v>
      </c>
      <c r="M585" s="32" t="e">
        <v>#N/A</v>
      </c>
      <c r="N585" s="33" t="s">
        <v>1921</v>
      </c>
      <c r="O585" s="33" t="s">
        <v>52</v>
      </c>
      <c r="P585" s="32" t="e">
        <v>#REF!</v>
      </c>
      <c r="Q585" s="32" t="e">
        <v>#N/A</v>
      </c>
      <c r="R585" s="42" t="e">
        <v>#N/A</v>
      </c>
      <c r="S585" s="42" t="e">
        <v>#N/A</v>
      </c>
      <c r="T585" s="36">
        <v>0.0</v>
      </c>
      <c r="U585" s="36">
        <v>0.0</v>
      </c>
      <c r="V585" s="36">
        <v>0.0</v>
      </c>
      <c r="W585" s="36">
        <v>0.0</v>
      </c>
      <c r="X585" s="36">
        <v>0.0</v>
      </c>
      <c r="Y585" s="36">
        <v>0.0</v>
      </c>
    </row>
    <row r="586">
      <c r="A586" s="32" t="s">
        <v>1944</v>
      </c>
      <c r="B586" s="32" t="s">
        <v>1944</v>
      </c>
      <c r="C586" s="32">
        <v>0.0</v>
      </c>
      <c r="D586" s="32" t="e">
        <v>#N/A</v>
      </c>
      <c r="E586" s="39"/>
      <c r="F586" s="32" t="e">
        <v>#N/A</v>
      </c>
      <c r="G586" s="39"/>
      <c r="H586" s="32" t="e">
        <v>#N/A</v>
      </c>
      <c r="I586" s="39"/>
      <c r="J586" s="32">
        <v>0.0</v>
      </c>
      <c r="K586" s="33" t="e">
        <v>#N/A</v>
      </c>
      <c r="L586" s="32" t="e">
        <v>#N/A</v>
      </c>
      <c r="M586" s="32" t="e">
        <v>#N/A</v>
      </c>
      <c r="N586" s="33" t="s">
        <v>1921</v>
      </c>
      <c r="O586" s="33" t="s">
        <v>52</v>
      </c>
      <c r="P586" s="32" t="e">
        <v>#REF!</v>
      </c>
      <c r="Q586" s="32" t="e">
        <v>#N/A</v>
      </c>
      <c r="R586" s="42" t="e">
        <v>#N/A</v>
      </c>
      <c r="S586" s="42" t="e">
        <v>#N/A</v>
      </c>
      <c r="T586" s="36">
        <v>0.0</v>
      </c>
      <c r="U586" s="36">
        <v>0.0</v>
      </c>
      <c r="V586" s="36">
        <v>0.0</v>
      </c>
      <c r="W586" s="36">
        <v>0.0</v>
      </c>
      <c r="X586" s="36">
        <v>0.0</v>
      </c>
      <c r="Y586" s="36">
        <v>0.0</v>
      </c>
    </row>
    <row r="587">
      <c r="A587" s="32" t="s">
        <v>1951</v>
      </c>
      <c r="B587" s="32" t="s">
        <v>1951</v>
      </c>
      <c r="C587" s="32">
        <v>0.0</v>
      </c>
      <c r="D587" s="32" t="e">
        <v>#N/A</v>
      </c>
      <c r="E587" s="39"/>
      <c r="F587" s="32" t="e">
        <v>#N/A</v>
      </c>
      <c r="G587" s="39"/>
      <c r="H587" s="32" t="e">
        <v>#N/A</v>
      </c>
      <c r="I587" s="39"/>
      <c r="J587" s="32">
        <v>0.0</v>
      </c>
      <c r="K587" s="33" t="e">
        <v>#N/A</v>
      </c>
      <c r="L587" s="32" t="e">
        <v>#N/A</v>
      </c>
      <c r="M587" s="32" t="e">
        <v>#N/A</v>
      </c>
      <c r="N587" s="33" t="s">
        <v>1921</v>
      </c>
      <c r="O587" s="33" t="s">
        <v>52</v>
      </c>
      <c r="P587" s="32" t="e">
        <v>#REF!</v>
      </c>
      <c r="Q587" s="32" t="e">
        <v>#N/A</v>
      </c>
      <c r="R587" s="42" t="e">
        <v>#N/A</v>
      </c>
      <c r="S587" s="42" t="e">
        <v>#N/A</v>
      </c>
      <c r="T587" s="36">
        <v>0.0</v>
      </c>
      <c r="U587" s="36">
        <v>0.0</v>
      </c>
      <c r="V587" s="36">
        <v>0.0</v>
      </c>
      <c r="W587" s="36">
        <v>0.0</v>
      </c>
      <c r="X587" s="36">
        <v>0.0</v>
      </c>
      <c r="Y587" s="36">
        <v>0.0</v>
      </c>
    </row>
    <row r="588">
      <c r="A588" s="32" t="s">
        <v>1946</v>
      </c>
      <c r="B588" s="32" t="s">
        <v>1946</v>
      </c>
      <c r="C588" s="32">
        <v>0.0</v>
      </c>
      <c r="D588" s="32" t="e">
        <v>#N/A</v>
      </c>
      <c r="E588" s="39"/>
      <c r="F588" s="32" t="e">
        <v>#N/A</v>
      </c>
      <c r="G588" s="39"/>
      <c r="H588" s="32" t="e">
        <v>#N/A</v>
      </c>
      <c r="I588" s="39"/>
      <c r="J588" s="32">
        <v>0.0</v>
      </c>
      <c r="K588" s="33" t="e">
        <v>#N/A</v>
      </c>
      <c r="L588" s="32" t="e">
        <v>#N/A</v>
      </c>
      <c r="M588" s="32" t="e">
        <v>#N/A</v>
      </c>
      <c r="N588" s="33" t="s">
        <v>1921</v>
      </c>
      <c r="O588" s="33" t="s">
        <v>52</v>
      </c>
      <c r="P588" s="32" t="e">
        <v>#REF!</v>
      </c>
      <c r="Q588" s="32" t="e">
        <v>#N/A</v>
      </c>
      <c r="R588" s="42" t="e">
        <v>#N/A</v>
      </c>
      <c r="S588" s="42" t="e">
        <v>#N/A</v>
      </c>
      <c r="T588" s="36">
        <v>0.0</v>
      </c>
      <c r="U588" s="36">
        <v>0.0</v>
      </c>
      <c r="V588" s="36">
        <v>0.0</v>
      </c>
      <c r="W588" s="36">
        <v>0.0</v>
      </c>
      <c r="X588" s="36">
        <v>0.0</v>
      </c>
      <c r="Y588" s="36">
        <v>0.0</v>
      </c>
    </row>
    <row r="589">
      <c r="A589" s="32" t="s">
        <v>1945</v>
      </c>
      <c r="B589" s="32" t="s">
        <v>1945</v>
      </c>
      <c r="C589" s="32">
        <v>0.0</v>
      </c>
      <c r="D589" s="32" t="e">
        <v>#N/A</v>
      </c>
      <c r="E589" s="39"/>
      <c r="F589" s="32" t="e">
        <v>#N/A</v>
      </c>
      <c r="G589" s="39"/>
      <c r="H589" s="32" t="e">
        <v>#N/A</v>
      </c>
      <c r="I589" s="39"/>
      <c r="J589" s="32">
        <v>0.0</v>
      </c>
      <c r="K589" s="33" t="e">
        <v>#N/A</v>
      </c>
      <c r="L589" s="32" t="e">
        <v>#N/A</v>
      </c>
      <c r="M589" s="32" t="e">
        <v>#N/A</v>
      </c>
      <c r="N589" s="33" t="s">
        <v>1921</v>
      </c>
      <c r="O589" s="33" t="s">
        <v>52</v>
      </c>
      <c r="P589" s="32" t="e">
        <v>#REF!</v>
      </c>
      <c r="Q589" s="32" t="e">
        <v>#N/A</v>
      </c>
      <c r="R589" s="42" t="e">
        <v>#N/A</v>
      </c>
      <c r="S589" s="42" t="e">
        <v>#N/A</v>
      </c>
      <c r="T589" s="36">
        <v>0.0</v>
      </c>
      <c r="U589" s="36">
        <v>0.0</v>
      </c>
      <c r="V589" s="36">
        <v>0.0</v>
      </c>
      <c r="W589" s="36">
        <v>0.0</v>
      </c>
      <c r="X589" s="36">
        <v>0.0</v>
      </c>
      <c r="Y589" s="36">
        <v>0.0</v>
      </c>
    </row>
    <row r="590">
      <c r="A590" s="32" t="s">
        <v>1948</v>
      </c>
      <c r="B590" s="32" t="s">
        <v>1948</v>
      </c>
      <c r="C590" s="32">
        <v>0.0</v>
      </c>
      <c r="D590" s="32" t="e">
        <v>#N/A</v>
      </c>
      <c r="E590" s="39"/>
      <c r="F590" s="32" t="e">
        <v>#N/A</v>
      </c>
      <c r="G590" s="39"/>
      <c r="H590" s="32" t="e">
        <v>#N/A</v>
      </c>
      <c r="I590" s="39"/>
      <c r="J590" s="32">
        <v>0.0</v>
      </c>
      <c r="K590" s="33" t="e">
        <v>#N/A</v>
      </c>
      <c r="L590" s="32" t="e">
        <v>#N/A</v>
      </c>
      <c r="M590" s="32" t="e">
        <v>#N/A</v>
      </c>
      <c r="N590" s="33" t="s">
        <v>1921</v>
      </c>
      <c r="O590" s="33" t="s">
        <v>52</v>
      </c>
      <c r="P590" s="32" t="e">
        <v>#REF!</v>
      </c>
      <c r="Q590" s="32" t="e">
        <v>#N/A</v>
      </c>
      <c r="R590" s="42" t="e">
        <v>#N/A</v>
      </c>
      <c r="S590" s="42" t="e">
        <v>#N/A</v>
      </c>
      <c r="T590" s="36">
        <v>0.0</v>
      </c>
      <c r="U590" s="36">
        <v>0.0</v>
      </c>
      <c r="V590" s="36">
        <v>0.0</v>
      </c>
      <c r="W590" s="36">
        <v>0.0</v>
      </c>
      <c r="X590" s="36">
        <v>0.0</v>
      </c>
      <c r="Y590" s="36">
        <v>0.0</v>
      </c>
    </row>
    <row r="591">
      <c r="A591" s="32" t="s">
        <v>1952</v>
      </c>
      <c r="B591" s="32" t="s">
        <v>1952</v>
      </c>
      <c r="C591" s="32">
        <v>0.0</v>
      </c>
      <c r="D591" s="32" t="e">
        <v>#N/A</v>
      </c>
      <c r="E591" s="39"/>
      <c r="F591" s="32" t="e">
        <v>#N/A</v>
      </c>
      <c r="G591" s="39"/>
      <c r="H591" s="32" t="e">
        <v>#N/A</v>
      </c>
      <c r="I591" s="39"/>
      <c r="J591" s="32">
        <v>0.0</v>
      </c>
      <c r="K591" s="33" t="e">
        <v>#N/A</v>
      </c>
      <c r="L591" s="32" t="e">
        <v>#N/A</v>
      </c>
      <c r="M591" s="32" t="e">
        <v>#N/A</v>
      </c>
      <c r="N591" s="33" t="s">
        <v>1921</v>
      </c>
      <c r="O591" s="33" t="s">
        <v>52</v>
      </c>
      <c r="P591" s="32" t="e">
        <v>#REF!</v>
      </c>
      <c r="Q591" s="32" t="e">
        <v>#N/A</v>
      </c>
      <c r="R591" s="42" t="e">
        <v>#N/A</v>
      </c>
      <c r="S591" s="42" t="e">
        <v>#N/A</v>
      </c>
      <c r="T591" s="36">
        <v>0.0</v>
      </c>
      <c r="U591" s="36">
        <v>0.0</v>
      </c>
      <c r="V591" s="36">
        <v>0.0</v>
      </c>
      <c r="W591" s="36">
        <v>0.0</v>
      </c>
      <c r="X591" s="36">
        <v>0.0</v>
      </c>
      <c r="Y591" s="36">
        <v>0.0</v>
      </c>
    </row>
    <row r="592">
      <c r="A592" s="32" t="s">
        <v>1942</v>
      </c>
      <c r="B592" s="32" t="s">
        <v>1942</v>
      </c>
      <c r="C592" s="32">
        <v>0.0</v>
      </c>
      <c r="D592" s="32" t="e">
        <v>#N/A</v>
      </c>
      <c r="E592" s="39"/>
      <c r="F592" s="32" t="e">
        <v>#N/A</v>
      </c>
      <c r="G592" s="39"/>
      <c r="H592" s="32" t="e">
        <v>#N/A</v>
      </c>
      <c r="I592" s="39"/>
      <c r="J592" s="32">
        <v>0.0</v>
      </c>
      <c r="K592" s="33" t="e">
        <v>#N/A</v>
      </c>
      <c r="L592" s="32" t="e">
        <v>#N/A</v>
      </c>
      <c r="M592" s="32" t="e">
        <v>#N/A</v>
      </c>
      <c r="N592" s="33" t="s">
        <v>1921</v>
      </c>
      <c r="O592" s="33" t="s">
        <v>52</v>
      </c>
      <c r="P592" s="32" t="e">
        <v>#REF!</v>
      </c>
      <c r="Q592" s="32" t="e">
        <v>#N/A</v>
      </c>
      <c r="R592" s="42" t="e">
        <v>#N/A</v>
      </c>
      <c r="S592" s="42" t="e">
        <v>#N/A</v>
      </c>
      <c r="T592" s="36">
        <v>0.0</v>
      </c>
      <c r="U592" s="36">
        <v>0.0</v>
      </c>
      <c r="V592" s="36">
        <v>0.0</v>
      </c>
      <c r="W592" s="36">
        <v>0.0</v>
      </c>
      <c r="X592" s="36">
        <v>0.0</v>
      </c>
      <c r="Y592" s="36">
        <v>0.0</v>
      </c>
    </row>
    <row r="593">
      <c r="A593" s="32" t="s">
        <v>1949</v>
      </c>
      <c r="B593" s="32" t="s">
        <v>1949</v>
      </c>
      <c r="C593" s="32">
        <v>0.0</v>
      </c>
      <c r="D593" s="32" t="e">
        <v>#N/A</v>
      </c>
      <c r="E593" s="39"/>
      <c r="F593" s="32" t="e">
        <v>#N/A</v>
      </c>
      <c r="G593" s="39"/>
      <c r="H593" s="32" t="e">
        <v>#N/A</v>
      </c>
      <c r="I593" s="39"/>
      <c r="J593" s="32">
        <v>0.0</v>
      </c>
      <c r="K593" s="33" t="e">
        <v>#N/A</v>
      </c>
      <c r="L593" s="32" t="e">
        <v>#N/A</v>
      </c>
      <c r="M593" s="32" t="e">
        <v>#N/A</v>
      </c>
      <c r="N593" s="33" t="s">
        <v>1921</v>
      </c>
      <c r="O593" s="33" t="s">
        <v>52</v>
      </c>
      <c r="P593" s="32" t="e">
        <v>#REF!</v>
      </c>
      <c r="Q593" s="32" t="e">
        <v>#N/A</v>
      </c>
      <c r="R593" s="42" t="e">
        <v>#N/A</v>
      </c>
      <c r="S593" s="42" t="e">
        <v>#N/A</v>
      </c>
      <c r="T593" s="36">
        <v>0.0</v>
      </c>
      <c r="U593" s="36">
        <v>0.0</v>
      </c>
      <c r="V593" s="36">
        <v>0.0</v>
      </c>
      <c r="W593" s="36">
        <v>0.0</v>
      </c>
      <c r="X593" s="36">
        <v>0.0</v>
      </c>
      <c r="Y593" s="36">
        <v>0.0</v>
      </c>
    </row>
    <row r="594">
      <c r="A594" s="32" t="s">
        <v>1954</v>
      </c>
      <c r="B594" s="32" t="s">
        <v>1954</v>
      </c>
      <c r="C594" s="32">
        <v>0.0</v>
      </c>
      <c r="D594" s="32" t="e">
        <v>#N/A</v>
      </c>
      <c r="E594" s="39"/>
      <c r="F594" s="32" t="e">
        <v>#N/A</v>
      </c>
      <c r="G594" s="39"/>
      <c r="H594" s="32" t="e">
        <v>#N/A</v>
      </c>
      <c r="I594" s="39"/>
      <c r="J594" s="32">
        <v>0.0</v>
      </c>
      <c r="K594" s="33" t="e">
        <v>#N/A</v>
      </c>
      <c r="L594" s="32" t="e">
        <v>#N/A</v>
      </c>
      <c r="M594" s="32" t="e">
        <v>#N/A</v>
      </c>
      <c r="N594" s="33" t="s">
        <v>1921</v>
      </c>
      <c r="O594" s="33" t="s">
        <v>52</v>
      </c>
      <c r="P594" s="32" t="e">
        <v>#REF!</v>
      </c>
      <c r="Q594" s="32" t="e">
        <v>#N/A</v>
      </c>
      <c r="R594" s="42" t="e">
        <v>#N/A</v>
      </c>
      <c r="S594" s="42" t="e">
        <v>#N/A</v>
      </c>
      <c r="T594" s="36">
        <v>0.0</v>
      </c>
      <c r="U594" s="36">
        <v>0.0</v>
      </c>
      <c r="V594" s="36">
        <v>0.0</v>
      </c>
      <c r="W594" s="36">
        <v>0.0</v>
      </c>
      <c r="X594" s="36">
        <v>0.0</v>
      </c>
      <c r="Y594" s="36">
        <v>0.0</v>
      </c>
    </row>
    <row r="595">
      <c r="A595" s="32" t="s">
        <v>1943</v>
      </c>
      <c r="B595" s="32" t="s">
        <v>1943</v>
      </c>
      <c r="C595" s="32">
        <v>0.0</v>
      </c>
      <c r="D595" s="32" t="e">
        <v>#N/A</v>
      </c>
      <c r="E595" s="39"/>
      <c r="F595" s="32" t="e">
        <v>#N/A</v>
      </c>
      <c r="G595" s="39"/>
      <c r="H595" s="32" t="e">
        <v>#N/A</v>
      </c>
      <c r="I595" s="39"/>
      <c r="J595" s="32">
        <v>0.0</v>
      </c>
      <c r="K595" s="33" t="e">
        <v>#N/A</v>
      </c>
      <c r="L595" s="32" t="e">
        <v>#N/A</v>
      </c>
      <c r="M595" s="32" t="e">
        <v>#N/A</v>
      </c>
      <c r="N595" s="33" t="s">
        <v>1921</v>
      </c>
      <c r="O595" s="33" t="s">
        <v>52</v>
      </c>
      <c r="P595" s="32" t="e">
        <v>#REF!</v>
      </c>
      <c r="Q595" s="32" t="e">
        <v>#N/A</v>
      </c>
      <c r="R595" s="42" t="e">
        <v>#N/A</v>
      </c>
      <c r="S595" s="42" t="e">
        <v>#N/A</v>
      </c>
      <c r="T595" s="36">
        <v>0.0</v>
      </c>
      <c r="U595" s="36">
        <v>0.0</v>
      </c>
      <c r="V595" s="36">
        <v>0.0</v>
      </c>
      <c r="W595" s="36">
        <v>0.0</v>
      </c>
      <c r="X595" s="36">
        <v>0.0</v>
      </c>
      <c r="Y595" s="36">
        <v>0.0</v>
      </c>
    </row>
    <row r="596">
      <c r="A596" s="32" t="s">
        <v>1950</v>
      </c>
      <c r="B596" s="32" t="s">
        <v>1950</v>
      </c>
      <c r="C596" s="32">
        <v>0.0</v>
      </c>
      <c r="D596" s="32" t="e">
        <v>#N/A</v>
      </c>
      <c r="E596" s="39"/>
      <c r="F596" s="32" t="e">
        <v>#N/A</v>
      </c>
      <c r="G596" s="39"/>
      <c r="H596" s="32" t="e">
        <v>#N/A</v>
      </c>
      <c r="I596" s="39"/>
      <c r="J596" s="32">
        <v>0.0</v>
      </c>
      <c r="K596" s="33" t="e">
        <v>#N/A</v>
      </c>
      <c r="L596" s="32" t="e">
        <v>#N/A</v>
      </c>
      <c r="M596" s="32" t="e">
        <v>#N/A</v>
      </c>
      <c r="N596" s="33" t="s">
        <v>1921</v>
      </c>
      <c r="O596" s="33" t="s">
        <v>52</v>
      </c>
      <c r="P596" s="32" t="e">
        <v>#REF!</v>
      </c>
      <c r="Q596" s="32" t="e">
        <v>#N/A</v>
      </c>
      <c r="R596" s="42" t="e">
        <v>#N/A</v>
      </c>
      <c r="S596" s="42" t="e">
        <v>#N/A</v>
      </c>
      <c r="T596" s="36">
        <v>0.0</v>
      </c>
      <c r="U596" s="36">
        <v>0.0</v>
      </c>
      <c r="V596" s="36">
        <v>0.0</v>
      </c>
      <c r="W596" s="36">
        <v>0.0</v>
      </c>
      <c r="X596" s="36">
        <v>0.0</v>
      </c>
      <c r="Y596" s="36">
        <v>0.0</v>
      </c>
    </row>
    <row r="597">
      <c r="A597" s="32" t="s">
        <v>1953</v>
      </c>
      <c r="B597" s="32" t="s">
        <v>1953</v>
      </c>
      <c r="C597" s="32">
        <v>0.0</v>
      </c>
      <c r="D597" s="32" t="e">
        <v>#N/A</v>
      </c>
      <c r="E597" s="39"/>
      <c r="F597" s="32" t="e">
        <v>#N/A</v>
      </c>
      <c r="G597" s="39"/>
      <c r="H597" s="32" t="e">
        <v>#N/A</v>
      </c>
      <c r="I597" s="39"/>
      <c r="J597" s="32">
        <v>0.0</v>
      </c>
      <c r="K597" s="33" t="e">
        <v>#N/A</v>
      </c>
      <c r="L597" s="32" t="e">
        <v>#N/A</v>
      </c>
      <c r="M597" s="32" t="e">
        <v>#N/A</v>
      </c>
      <c r="N597" s="33" t="s">
        <v>1921</v>
      </c>
      <c r="O597" s="33" t="s">
        <v>52</v>
      </c>
      <c r="P597" s="32" t="e">
        <v>#REF!</v>
      </c>
      <c r="Q597" s="32" t="e">
        <v>#N/A</v>
      </c>
      <c r="R597" s="42" t="e">
        <v>#N/A</v>
      </c>
      <c r="S597" s="42" t="e">
        <v>#N/A</v>
      </c>
      <c r="T597" s="36">
        <v>0.0</v>
      </c>
      <c r="U597" s="36">
        <v>0.0</v>
      </c>
      <c r="V597" s="36">
        <v>0.0</v>
      </c>
      <c r="W597" s="36">
        <v>0.0</v>
      </c>
      <c r="X597" s="36">
        <v>0.0</v>
      </c>
      <c r="Y597" s="36">
        <v>0.0</v>
      </c>
    </row>
    <row r="598">
      <c r="A598" s="32" t="s">
        <v>1923</v>
      </c>
      <c r="B598" s="32" t="s">
        <v>1923</v>
      </c>
      <c r="C598" s="32">
        <v>0.0</v>
      </c>
      <c r="D598" s="32" t="e">
        <v>#N/A</v>
      </c>
      <c r="E598" s="39"/>
      <c r="F598" s="32" t="e">
        <v>#N/A</v>
      </c>
      <c r="G598" s="39"/>
      <c r="H598" s="32" t="e">
        <v>#N/A</v>
      </c>
      <c r="I598" s="39"/>
      <c r="J598" s="32">
        <v>0.0</v>
      </c>
      <c r="K598" s="33" t="e">
        <v>#N/A</v>
      </c>
      <c r="L598" s="32" t="e">
        <v>#N/A</v>
      </c>
      <c r="M598" s="32" t="e">
        <v>#N/A</v>
      </c>
      <c r="N598" s="33" t="s">
        <v>1921</v>
      </c>
      <c r="O598" s="33" t="s">
        <v>52</v>
      </c>
      <c r="P598" s="32" t="e">
        <v>#REF!</v>
      </c>
      <c r="Q598" s="32" t="e">
        <v>#N/A</v>
      </c>
      <c r="R598" s="42" t="e">
        <v>#N/A</v>
      </c>
      <c r="S598" s="42" t="e">
        <v>#N/A</v>
      </c>
      <c r="T598" s="36">
        <v>0.0</v>
      </c>
      <c r="U598" s="36">
        <v>0.0</v>
      </c>
      <c r="V598" s="36">
        <v>0.0</v>
      </c>
      <c r="W598" s="36">
        <v>0.0</v>
      </c>
      <c r="X598" s="36">
        <v>0.0</v>
      </c>
      <c r="Y598" s="36">
        <v>0.0</v>
      </c>
    </row>
    <row r="599">
      <c r="A599" s="32" t="s">
        <v>1920</v>
      </c>
      <c r="B599" s="32" t="s">
        <v>1920</v>
      </c>
      <c r="C599" s="32">
        <v>0.0</v>
      </c>
      <c r="D599" s="32" t="e">
        <v>#N/A</v>
      </c>
      <c r="E599" s="39"/>
      <c r="F599" s="32" t="e">
        <v>#N/A</v>
      </c>
      <c r="G599" s="39"/>
      <c r="H599" s="32" t="e">
        <v>#N/A</v>
      </c>
      <c r="I599" s="39"/>
      <c r="J599" s="32">
        <v>0.0</v>
      </c>
      <c r="K599" s="33" t="e">
        <v>#N/A</v>
      </c>
      <c r="L599" s="32" t="e">
        <v>#N/A</v>
      </c>
      <c r="M599" s="32" t="e">
        <v>#N/A</v>
      </c>
      <c r="N599" s="33" t="s">
        <v>1921</v>
      </c>
      <c r="O599" s="33" t="s">
        <v>52</v>
      </c>
      <c r="P599" s="32" t="e">
        <v>#REF!</v>
      </c>
      <c r="Q599" s="32" t="e">
        <v>#N/A</v>
      </c>
      <c r="R599" s="42" t="e">
        <v>#N/A</v>
      </c>
      <c r="S599" s="42" t="e">
        <v>#N/A</v>
      </c>
      <c r="T599" s="36">
        <v>0.0</v>
      </c>
      <c r="U599" s="36">
        <v>0.0</v>
      </c>
      <c r="V599" s="36">
        <v>0.0</v>
      </c>
      <c r="W599" s="36">
        <v>0.0</v>
      </c>
      <c r="X599" s="36">
        <v>0.0</v>
      </c>
      <c r="Y599" s="36">
        <v>0.0</v>
      </c>
    </row>
    <row r="600">
      <c r="A600" s="32" t="s">
        <v>1924</v>
      </c>
      <c r="B600" s="32" t="s">
        <v>1924</v>
      </c>
      <c r="C600" s="32">
        <v>0.0</v>
      </c>
      <c r="D600" s="32" t="e">
        <v>#N/A</v>
      </c>
      <c r="E600" s="39"/>
      <c r="F600" s="32" t="e">
        <v>#N/A</v>
      </c>
      <c r="G600" s="39"/>
      <c r="H600" s="32" t="e">
        <v>#N/A</v>
      </c>
      <c r="I600" s="39"/>
      <c r="J600" s="32">
        <v>0.0</v>
      </c>
      <c r="K600" s="33" t="e">
        <v>#N/A</v>
      </c>
      <c r="L600" s="32" t="e">
        <v>#N/A</v>
      </c>
      <c r="M600" s="32" t="e">
        <v>#N/A</v>
      </c>
      <c r="N600" s="33" t="s">
        <v>1921</v>
      </c>
      <c r="O600" s="33" t="s">
        <v>52</v>
      </c>
      <c r="P600" s="32" t="e">
        <v>#REF!</v>
      </c>
      <c r="Q600" s="32" t="e">
        <v>#N/A</v>
      </c>
      <c r="R600" s="42" t="e">
        <v>#N/A</v>
      </c>
      <c r="S600" s="42" t="e">
        <v>#N/A</v>
      </c>
      <c r="T600" s="36">
        <v>0.0</v>
      </c>
      <c r="U600" s="36">
        <v>0.0</v>
      </c>
      <c r="V600" s="36">
        <v>0.0</v>
      </c>
      <c r="W600" s="36">
        <v>0.0</v>
      </c>
      <c r="X600" s="36">
        <v>0.0</v>
      </c>
      <c r="Y600" s="36">
        <v>0.0</v>
      </c>
    </row>
    <row r="601">
      <c r="A601" s="32" t="s">
        <v>1931</v>
      </c>
      <c r="B601" s="32" t="s">
        <v>1931</v>
      </c>
      <c r="C601" s="32">
        <v>0.0</v>
      </c>
      <c r="D601" s="32" t="e">
        <v>#N/A</v>
      </c>
      <c r="E601" s="39"/>
      <c r="F601" s="32" t="e">
        <v>#N/A</v>
      </c>
      <c r="G601" s="39"/>
      <c r="H601" s="32" t="e">
        <v>#N/A</v>
      </c>
      <c r="I601" s="39"/>
      <c r="J601" s="32">
        <v>0.0</v>
      </c>
      <c r="K601" s="33" t="e">
        <v>#N/A</v>
      </c>
      <c r="L601" s="32" t="e">
        <v>#N/A</v>
      </c>
      <c r="M601" s="32" t="e">
        <v>#N/A</v>
      </c>
      <c r="N601" s="33" t="s">
        <v>1921</v>
      </c>
      <c r="O601" s="33" t="s">
        <v>52</v>
      </c>
      <c r="P601" s="32" t="e">
        <v>#REF!</v>
      </c>
      <c r="Q601" s="32" t="e">
        <v>#N/A</v>
      </c>
      <c r="R601" s="42" t="e">
        <v>#N/A</v>
      </c>
      <c r="S601" s="42" t="e">
        <v>#N/A</v>
      </c>
      <c r="T601" s="36">
        <v>0.0</v>
      </c>
      <c r="U601" s="36">
        <v>0.0</v>
      </c>
      <c r="V601" s="36">
        <v>0.0</v>
      </c>
      <c r="W601" s="36">
        <v>0.0</v>
      </c>
      <c r="X601" s="36">
        <v>0.0</v>
      </c>
      <c r="Y601" s="36">
        <v>0.0</v>
      </c>
    </row>
    <row r="602">
      <c r="A602" s="32" t="s">
        <v>1925</v>
      </c>
      <c r="B602" s="32" t="s">
        <v>1925</v>
      </c>
      <c r="C602" s="32">
        <v>0.0</v>
      </c>
      <c r="D602" s="32" t="e">
        <v>#N/A</v>
      </c>
      <c r="E602" s="39"/>
      <c r="F602" s="32" t="e">
        <v>#N/A</v>
      </c>
      <c r="G602" s="39"/>
      <c r="H602" s="32" t="e">
        <v>#N/A</v>
      </c>
      <c r="I602" s="39"/>
      <c r="J602" s="32">
        <v>0.0</v>
      </c>
      <c r="K602" s="33" t="e">
        <v>#N/A</v>
      </c>
      <c r="L602" s="32" t="e">
        <v>#N/A</v>
      </c>
      <c r="M602" s="32" t="e">
        <v>#N/A</v>
      </c>
      <c r="N602" s="33" t="s">
        <v>1921</v>
      </c>
      <c r="O602" s="33" t="s">
        <v>52</v>
      </c>
      <c r="P602" s="32" t="e">
        <v>#REF!</v>
      </c>
      <c r="Q602" s="32" t="e">
        <v>#N/A</v>
      </c>
      <c r="R602" s="42" t="e">
        <v>#N/A</v>
      </c>
      <c r="S602" s="42" t="e">
        <v>#N/A</v>
      </c>
      <c r="T602" s="36">
        <v>0.0</v>
      </c>
      <c r="U602" s="36">
        <v>0.0</v>
      </c>
      <c r="V602" s="36">
        <v>0.0</v>
      </c>
      <c r="W602" s="36">
        <v>0.0</v>
      </c>
      <c r="X602" s="36">
        <v>0.0</v>
      </c>
      <c r="Y602" s="36">
        <v>0.0</v>
      </c>
    </row>
    <row r="603">
      <c r="A603" s="32" t="s">
        <v>1926</v>
      </c>
      <c r="B603" s="32" t="s">
        <v>1926</v>
      </c>
      <c r="C603" s="32">
        <v>0.0</v>
      </c>
      <c r="D603" s="32" t="e">
        <v>#N/A</v>
      </c>
      <c r="E603" s="39"/>
      <c r="F603" s="32" t="e">
        <v>#N/A</v>
      </c>
      <c r="G603" s="39"/>
      <c r="H603" s="32" t="e">
        <v>#N/A</v>
      </c>
      <c r="I603" s="39"/>
      <c r="J603" s="32">
        <v>0.0</v>
      </c>
      <c r="K603" s="33" t="e">
        <v>#N/A</v>
      </c>
      <c r="L603" s="32" t="e">
        <v>#N/A</v>
      </c>
      <c r="M603" s="32" t="e">
        <v>#N/A</v>
      </c>
      <c r="N603" s="33" t="s">
        <v>1921</v>
      </c>
      <c r="O603" s="33" t="s">
        <v>52</v>
      </c>
      <c r="P603" s="32" t="e">
        <v>#REF!</v>
      </c>
      <c r="Q603" s="32" t="e">
        <v>#N/A</v>
      </c>
      <c r="R603" s="42" t="e">
        <v>#N/A</v>
      </c>
      <c r="S603" s="42" t="e">
        <v>#N/A</v>
      </c>
      <c r="T603" s="36">
        <v>0.0</v>
      </c>
      <c r="U603" s="36">
        <v>0.0</v>
      </c>
      <c r="V603" s="36">
        <v>0.0</v>
      </c>
      <c r="W603" s="36">
        <v>0.0</v>
      </c>
      <c r="X603" s="36">
        <v>0.0</v>
      </c>
      <c r="Y603" s="36">
        <v>0.0</v>
      </c>
    </row>
    <row r="604">
      <c r="A604" s="32" t="s">
        <v>1922</v>
      </c>
      <c r="B604" s="32" t="s">
        <v>1922</v>
      </c>
      <c r="C604" s="32">
        <v>0.0</v>
      </c>
      <c r="D604" s="32" t="e">
        <v>#N/A</v>
      </c>
      <c r="E604" s="39"/>
      <c r="F604" s="32" t="e">
        <v>#N/A</v>
      </c>
      <c r="G604" s="39"/>
      <c r="H604" s="32" t="e">
        <v>#N/A</v>
      </c>
      <c r="I604" s="39"/>
      <c r="J604" s="32">
        <v>0.0</v>
      </c>
      <c r="K604" s="33" t="e">
        <v>#N/A</v>
      </c>
      <c r="L604" s="32" t="e">
        <v>#N/A</v>
      </c>
      <c r="M604" s="32" t="e">
        <v>#N/A</v>
      </c>
      <c r="N604" s="33" t="s">
        <v>1921</v>
      </c>
      <c r="O604" s="33" t="s">
        <v>52</v>
      </c>
      <c r="P604" s="32" t="e">
        <v>#REF!</v>
      </c>
      <c r="Q604" s="32" t="e">
        <v>#N/A</v>
      </c>
      <c r="R604" s="42" t="e">
        <v>#N/A</v>
      </c>
      <c r="S604" s="42" t="e">
        <v>#N/A</v>
      </c>
      <c r="T604" s="36">
        <v>0.0</v>
      </c>
      <c r="U604" s="36">
        <v>0.0</v>
      </c>
      <c r="V604" s="36">
        <v>0.0</v>
      </c>
      <c r="W604" s="36">
        <v>0.0</v>
      </c>
      <c r="X604" s="36">
        <v>0.0</v>
      </c>
      <c r="Y604" s="36">
        <v>0.0</v>
      </c>
    </row>
    <row r="605">
      <c r="A605" s="32" t="s">
        <v>1930</v>
      </c>
      <c r="B605" s="32" t="s">
        <v>1930</v>
      </c>
      <c r="C605" s="32">
        <v>0.0</v>
      </c>
      <c r="D605" s="32" t="e">
        <v>#N/A</v>
      </c>
      <c r="E605" s="39"/>
      <c r="F605" s="32" t="e">
        <v>#N/A</v>
      </c>
      <c r="G605" s="39"/>
      <c r="H605" s="32" t="e">
        <v>#N/A</v>
      </c>
      <c r="I605" s="39"/>
      <c r="J605" s="32">
        <v>0.0</v>
      </c>
      <c r="K605" s="33" t="e">
        <v>#N/A</v>
      </c>
      <c r="L605" s="32" t="e">
        <v>#N/A</v>
      </c>
      <c r="M605" s="32" t="e">
        <v>#N/A</v>
      </c>
      <c r="N605" s="33" t="s">
        <v>1921</v>
      </c>
      <c r="O605" s="33" t="s">
        <v>52</v>
      </c>
      <c r="P605" s="32" t="e">
        <v>#REF!</v>
      </c>
      <c r="Q605" s="32" t="e">
        <v>#N/A</v>
      </c>
      <c r="R605" s="42" t="e">
        <v>#N/A</v>
      </c>
      <c r="S605" s="42" t="e">
        <v>#N/A</v>
      </c>
      <c r="T605" s="36">
        <v>0.0</v>
      </c>
      <c r="U605" s="36">
        <v>0.0</v>
      </c>
      <c r="V605" s="36">
        <v>0.0</v>
      </c>
      <c r="W605" s="36">
        <v>0.0</v>
      </c>
      <c r="X605" s="36">
        <v>0.0</v>
      </c>
      <c r="Y605" s="36">
        <v>0.0</v>
      </c>
    </row>
    <row r="606">
      <c r="A606" s="32" t="s">
        <v>1932</v>
      </c>
      <c r="B606" s="32" t="s">
        <v>1932</v>
      </c>
      <c r="C606" s="32">
        <v>0.0</v>
      </c>
      <c r="D606" s="32" t="e">
        <v>#N/A</v>
      </c>
      <c r="E606" s="39"/>
      <c r="F606" s="32" t="e">
        <v>#N/A</v>
      </c>
      <c r="G606" s="39"/>
      <c r="H606" s="32" t="e">
        <v>#N/A</v>
      </c>
      <c r="I606" s="39"/>
      <c r="J606" s="32">
        <v>0.0</v>
      </c>
      <c r="K606" s="33" t="e">
        <v>#N/A</v>
      </c>
      <c r="L606" s="32" t="e">
        <v>#N/A</v>
      </c>
      <c r="M606" s="32" t="e">
        <v>#N/A</v>
      </c>
      <c r="N606" s="33" t="s">
        <v>1921</v>
      </c>
      <c r="O606" s="33" t="s">
        <v>52</v>
      </c>
      <c r="P606" s="32" t="e">
        <v>#REF!</v>
      </c>
      <c r="Q606" s="32" t="e">
        <v>#N/A</v>
      </c>
      <c r="R606" s="42" t="e">
        <v>#N/A</v>
      </c>
      <c r="S606" s="42" t="e">
        <v>#N/A</v>
      </c>
      <c r="T606" s="36">
        <v>0.0</v>
      </c>
      <c r="U606" s="36">
        <v>0.0</v>
      </c>
      <c r="V606" s="36">
        <v>0.0</v>
      </c>
      <c r="W606" s="36">
        <v>0.0</v>
      </c>
      <c r="X606" s="36">
        <v>0.0</v>
      </c>
      <c r="Y606" s="36">
        <v>0.0</v>
      </c>
    </row>
    <row r="607">
      <c r="A607" s="32" t="s">
        <v>3478</v>
      </c>
      <c r="B607" s="32" t="s">
        <v>3478</v>
      </c>
      <c r="C607" s="32">
        <v>0.0</v>
      </c>
      <c r="D607" s="32" t="e">
        <v>#N/A</v>
      </c>
      <c r="E607" s="39"/>
      <c r="F607" s="32" t="e">
        <v>#N/A</v>
      </c>
      <c r="G607" s="39"/>
      <c r="H607" s="32" t="e">
        <v>#N/A</v>
      </c>
      <c r="I607" s="39"/>
      <c r="J607" s="32">
        <v>0.0</v>
      </c>
      <c r="K607" s="33" t="e">
        <v>#N/A</v>
      </c>
      <c r="L607" s="32" t="e">
        <v>#N/A</v>
      </c>
      <c r="M607" s="32" t="e">
        <v>#N/A</v>
      </c>
      <c r="N607" s="32" t="e">
        <v>#N/A</v>
      </c>
      <c r="O607" s="32" t="e">
        <v>#N/A</v>
      </c>
      <c r="P607" s="32" t="e">
        <v>#REF!</v>
      </c>
      <c r="Q607" s="38"/>
      <c r="R607" s="42" t="e">
        <v>#N/A</v>
      </c>
      <c r="S607" s="38"/>
      <c r="T607" s="36">
        <v>0.0</v>
      </c>
      <c r="U607" s="36">
        <v>0.0</v>
      </c>
      <c r="V607" s="36">
        <v>0.0</v>
      </c>
      <c r="W607" s="36">
        <v>0.0</v>
      </c>
      <c r="X607" s="36">
        <v>0.0</v>
      </c>
      <c r="Y607" s="36">
        <v>0.0</v>
      </c>
    </row>
    <row r="608">
      <c r="A608" s="32" t="s">
        <v>3448</v>
      </c>
      <c r="B608" s="32" t="s">
        <v>3448</v>
      </c>
      <c r="C608" s="32">
        <v>0.0</v>
      </c>
      <c r="D608" s="32" t="e">
        <v>#N/A</v>
      </c>
      <c r="E608" s="39"/>
      <c r="F608" s="32" t="e">
        <v>#N/A</v>
      </c>
      <c r="G608" s="39"/>
      <c r="H608" s="32" t="e">
        <v>#N/A</v>
      </c>
      <c r="I608" s="39"/>
      <c r="J608" s="32">
        <v>0.0</v>
      </c>
      <c r="K608" s="33" t="e">
        <v>#N/A</v>
      </c>
      <c r="L608" s="32" t="e">
        <v>#N/A</v>
      </c>
      <c r="M608" s="32" t="e">
        <v>#N/A</v>
      </c>
      <c r="N608" s="32" t="e">
        <v>#N/A</v>
      </c>
      <c r="O608" s="32" t="e">
        <v>#N/A</v>
      </c>
      <c r="P608" s="32" t="e">
        <v>#REF!</v>
      </c>
      <c r="Q608" s="38"/>
      <c r="R608" s="42" t="e">
        <v>#N/A</v>
      </c>
      <c r="S608" s="38"/>
      <c r="T608" s="36">
        <v>0.0</v>
      </c>
      <c r="U608" s="36">
        <v>0.0</v>
      </c>
      <c r="V608" s="36">
        <v>0.0</v>
      </c>
      <c r="W608" s="36">
        <v>0.0</v>
      </c>
      <c r="X608" s="36">
        <v>0.0</v>
      </c>
      <c r="Y608" s="36">
        <v>0.0</v>
      </c>
    </row>
    <row r="609">
      <c r="A609" s="32" t="s">
        <v>1519</v>
      </c>
      <c r="B609" s="32" t="s">
        <v>1519</v>
      </c>
      <c r="C609" s="32">
        <v>0.0</v>
      </c>
      <c r="D609" s="32" t="e">
        <v>#N/A</v>
      </c>
      <c r="E609" s="39"/>
      <c r="F609" s="32" t="e">
        <v>#N/A</v>
      </c>
      <c r="G609" s="39"/>
      <c r="H609" s="32" t="e">
        <v>#N/A</v>
      </c>
      <c r="I609" s="39"/>
      <c r="J609" s="32">
        <v>0.0</v>
      </c>
      <c r="K609" s="33" t="e">
        <v>#N/A</v>
      </c>
      <c r="L609" s="32" t="e">
        <v>#N/A</v>
      </c>
      <c r="M609" s="32" t="e">
        <v>#N/A</v>
      </c>
      <c r="N609" s="32" t="e">
        <v>#N/A</v>
      </c>
      <c r="O609" s="32" t="e">
        <v>#N/A</v>
      </c>
      <c r="P609" s="32" t="e">
        <v>#REF!</v>
      </c>
      <c r="Q609" s="38"/>
      <c r="R609" s="42" t="e">
        <v>#N/A</v>
      </c>
      <c r="S609" s="38"/>
      <c r="T609" s="36">
        <v>0.0</v>
      </c>
      <c r="U609" s="36">
        <v>0.0</v>
      </c>
      <c r="V609" s="36">
        <v>0.0</v>
      </c>
      <c r="W609" s="36">
        <v>0.0</v>
      </c>
      <c r="X609" s="36">
        <v>0.0</v>
      </c>
      <c r="Y609" s="36">
        <v>0.0</v>
      </c>
    </row>
    <row r="610">
      <c r="A610" s="32" t="s">
        <v>3906</v>
      </c>
      <c r="B610" s="32" t="s">
        <v>3906</v>
      </c>
      <c r="C610" s="32">
        <v>0.0</v>
      </c>
      <c r="D610" s="32" t="e">
        <v>#N/A</v>
      </c>
      <c r="E610" s="39"/>
      <c r="F610" s="32" t="e">
        <v>#N/A</v>
      </c>
      <c r="G610" s="39"/>
      <c r="H610" s="32" t="e">
        <v>#N/A</v>
      </c>
      <c r="I610" s="39"/>
      <c r="J610" s="32">
        <v>0.0</v>
      </c>
      <c r="K610" s="33" t="e">
        <v>#N/A</v>
      </c>
      <c r="L610" s="32" t="e">
        <v>#N/A</v>
      </c>
      <c r="M610" s="32" t="e">
        <v>#N/A</v>
      </c>
      <c r="N610" s="32" t="e">
        <v>#N/A</v>
      </c>
      <c r="O610" s="32" t="e">
        <v>#N/A</v>
      </c>
      <c r="P610" s="32" t="e">
        <v>#REF!</v>
      </c>
      <c r="Q610" s="32" t="e">
        <v>#N/A</v>
      </c>
      <c r="R610" s="42" t="e">
        <v>#N/A</v>
      </c>
      <c r="S610" s="42" t="e">
        <v>#N/A</v>
      </c>
      <c r="T610" s="36">
        <v>0.0</v>
      </c>
      <c r="U610" s="36">
        <v>0.0</v>
      </c>
      <c r="V610" s="36">
        <v>0.0</v>
      </c>
      <c r="W610" s="36">
        <v>0.0</v>
      </c>
      <c r="X610" s="36">
        <v>0.0</v>
      </c>
      <c r="Y610" s="36">
        <v>0.0</v>
      </c>
    </row>
    <row r="611">
      <c r="A611" s="32" t="s">
        <v>3912</v>
      </c>
      <c r="B611" s="32" t="s">
        <v>3912</v>
      </c>
      <c r="C611" s="32">
        <v>0.0</v>
      </c>
      <c r="D611" s="32" t="e">
        <v>#N/A</v>
      </c>
      <c r="E611" s="39"/>
      <c r="F611" s="32" t="e">
        <v>#N/A</v>
      </c>
      <c r="G611" s="39"/>
      <c r="H611" s="32" t="e">
        <v>#N/A</v>
      </c>
      <c r="I611" s="39"/>
      <c r="J611" s="32">
        <v>0.0</v>
      </c>
      <c r="K611" s="33" t="e">
        <v>#N/A</v>
      </c>
      <c r="L611" s="32" t="e">
        <v>#N/A</v>
      </c>
      <c r="M611" s="32" t="e">
        <v>#N/A</v>
      </c>
      <c r="N611" s="32" t="e">
        <v>#N/A</v>
      </c>
      <c r="O611" s="32" t="e">
        <v>#N/A</v>
      </c>
      <c r="P611" s="32" t="e">
        <v>#REF!</v>
      </c>
      <c r="Q611" s="32" t="e">
        <v>#N/A</v>
      </c>
      <c r="R611" s="42" t="e">
        <v>#N/A</v>
      </c>
      <c r="S611" s="42" t="e">
        <v>#N/A</v>
      </c>
      <c r="T611" s="36">
        <v>0.0</v>
      </c>
      <c r="U611" s="36">
        <v>0.0</v>
      </c>
      <c r="V611" s="36">
        <v>0.0</v>
      </c>
      <c r="W611" s="36">
        <v>0.0</v>
      </c>
      <c r="X611" s="36">
        <v>0.0</v>
      </c>
      <c r="Y611" s="36">
        <v>0.0</v>
      </c>
    </row>
    <row r="612">
      <c r="A612" s="32" t="s">
        <v>3915</v>
      </c>
      <c r="B612" s="32" t="s">
        <v>3915</v>
      </c>
      <c r="C612" s="32">
        <v>0.0</v>
      </c>
      <c r="D612" s="32" t="e">
        <v>#N/A</v>
      </c>
      <c r="E612" s="39"/>
      <c r="F612" s="32" t="e">
        <v>#N/A</v>
      </c>
      <c r="G612" s="39"/>
      <c r="H612" s="32" t="e">
        <v>#N/A</v>
      </c>
      <c r="I612" s="39"/>
      <c r="J612" s="32">
        <v>0.0</v>
      </c>
      <c r="K612" s="33" t="e">
        <v>#N/A</v>
      </c>
      <c r="L612" s="32" t="e">
        <v>#N/A</v>
      </c>
      <c r="M612" s="32" t="e">
        <v>#N/A</v>
      </c>
      <c r="N612" s="32" t="e">
        <v>#N/A</v>
      </c>
      <c r="O612" s="32" t="e">
        <v>#N/A</v>
      </c>
      <c r="P612" s="32" t="e">
        <v>#REF!</v>
      </c>
      <c r="Q612" s="32" t="e">
        <v>#N/A</v>
      </c>
      <c r="R612" s="42" t="e">
        <v>#N/A</v>
      </c>
      <c r="S612" s="42" t="e">
        <v>#N/A</v>
      </c>
      <c r="T612" s="36">
        <v>0.0</v>
      </c>
      <c r="U612" s="36">
        <v>0.0</v>
      </c>
      <c r="V612" s="36">
        <v>0.0</v>
      </c>
      <c r="W612" s="36">
        <v>0.0</v>
      </c>
      <c r="X612" s="36">
        <v>0.0</v>
      </c>
      <c r="Y612" s="36">
        <v>0.0</v>
      </c>
    </row>
    <row r="613">
      <c r="A613" s="32" t="s">
        <v>3918</v>
      </c>
      <c r="B613" s="32" t="s">
        <v>3918</v>
      </c>
      <c r="C613" s="32">
        <v>0.0</v>
      </c>
      <c r="D613" s="32" t="e">
        <v>#N/A</v>
      </c>
      <c r="E613" s="39"/>
      <c r="F613" s="32" t="e">
        <v>#N/A</v>
      </c>
      <c r="G613" s="39"/>
      <c r="H613" s="32" t="e">
        <v>#N/A</v>
      </c>
      <c r="I613" s="39"/>
      <c r="J613" s="32">
        <v>0.0</v>
      </c>
      <c r="K613" s="33" t="e">
        <v>#N/A</v>
      </c>
      <c r="L613" s="32" t="e">
        <v>#N/A</v>
      </c>
      <c r="M613" s="32" t="e">
        <v>#N/A</v>
      </c>
      <c r="N613" s="32" t="e">
        <v>#N/A</v>
      </c>
      <c r="O613" s="32" t="e">
        <v>#N/A</v>
      </c>
      <c r="P613" s="32" t="e">
        <v>#REF!</v>
      </c>
      <c r="Q613" s="32" t="e">
        <v>#N/A</v>
      </c>
      <c r="R613" s="42" t="e">
        <v>#N/A</v>
      </c>
      <c r="S613" s="42" t="e">
        <v>#N/A</v>
      </c>
      <c r="T613" s="36">
        <v>0.0</v>
      </c>
      <c r="U613" s="36">
        <v>0.0</v>
      </c>
      <c r="V613" s="36">
        <v>0.0</v>
      </c>
      <c r="W613" s="36">
        <v>0.0</v>
      </c>
      <c r="X613" s="36">
        <v>0.0</v>
      </c>
      <c r="Y613" s="36">
        <v>0.0</v>
      </c>
    </row>
    <row r="614">
      <c r="A614" s="32" t="s">
        <v>3910</v>
      </c>
      <c r="B614" s="32" t="s">
        <v>3910</v>
      </c>
      <c r="C614" s="32">
        <v>0.0</v>
      </c>
      <c r="D614" s="32" t="e">
        <v>#N/A</v>
      </c>
      <c r="E614" s="39"/>
      <c r="F614" s="32" t="e">
        <v>#N/A</v>
      </c>
      <c r="G614" s="39"/>
      <c r="H614" s="32" t="e">
        <v>#N/A</v>
      </c>
      <c r="I614" s="39"/>
      <c r="J614" s="32">
        <v>0.0</v>
      </c>
      <c r="K614" s="33" t="e">
        <v>#N/A</v>
      </c>
      <c r="L614" s="32" t="e">
        <v>#N/A</v>
      </c>
      <c r="M614" s="32" t="e">
        <v>#N/A</v>
      </c>
      <c r="N614" s="32" t="e">
        <v>#N/A</v>
      </c>
      <c r="O614" s="32" t="e">
        <v>#N/A</v>
      </c>
      <c r="P614" s="32" t="e">
        <v>#REF!</v>
      </c>
      <c r="Q614" s="32" t="e">
        <v>#N/A</v>
      </c>
      <c r="R614" s="42" t="e">
        <v>#N/A</v>
      </c>
      <c r="S614" s="42" t="e">
        <v>#N/A</v>
      </c>
      <c r="T614" s="36">
        <v>0.0</v>
      </c>
      <c r="U614" s="36">
        <v>0.0</v>
      </c>
      <c r="V614" s="36">
        <v>0.0</v>
      </c>
      <c r="W614" s="36">
        <v>0.0</v>
      </c>
      <c r="X614" s="36">
        <v>0.0</v>
      </c>
      <c r="Y614" s="36">
        <v>0.0</v>
      </c>
    </row>
    <row r="615">
      <c r="A615" s="32" t="s">
        <v>3913</v>
      </c>
      <c r="B615" s="32" t="s">
        <v>3913</v>
      </c>
      <c r="C615" s="32">
        <v>0.0</v>
      </c>
      <c r="D615" s="32" t="e">
        <v>#N/A</v>
      </c>
      <c r="E615" s="39"/>
      <c r="F615" s="32" t="e">
        <v>#N/A</v>
      </c>
      <c r="G615" s="39"/>
      <c r="H615" s="32" t="e">
        <v>#N/A</v>
      </c>
      <c r="I615" s="39"/>
      <c r="J615" s="32">
        <v>0.0</v>
      </c>
      <c r="K615" s="33" t="e">
        <v>#N/A</v>
      </c>
      <c r="L615" s="32" t="e">
        <v>#N/A</v>
      </c>
      <c r="M615" s="32" t="e">
        <v>#N/A</v>
      </c>
      <c r="N615" s="32" t="e">
        <v>#N/A</v>
      </c>
      <c r="O615" s="32" t="e">
        <v>#N/A</v>
      </c>
      <c r="P615" s="32" t="e">
        <v>#REF!</v>
      </c>
      <c r="Q615" s="32" t="e">
        <v>#N/A</v>
      </c>
      <c r="R615" s="42" t="e">
        <v>#N/A</v>
      </c>
      <c r="S615" s="42" t="e">
        <v>#N/A</v>
      </c>
      <c r="T615" s="36">
        <v>0.0</v>
      </c>
      <c r="U615" s="36">
        <v>0.0</v>
      </c>
      <c r="V615" s="36">
        <v>0.0</v>
      </c>
      <c r="W615" s="36">
        <v>0.0</v>
      </c>
      <c r="X615" s="36">
        <v>0.0</v>
      </c>
      <c r="Y615" s="36">
        <v>0.0</v>
      </c>
    </row>
    <row r="616">
      <c r="A616" s="32" t="s">
        <v>3916</v>
      </c>
      <c r="B616" s="32" t="s">
        <v>3916</v>
      </c>
      <c r="C616" s="32">
        <v>0.0</v>
      </c>
      <c r="D616" s="32" t="e">
        <v>#N/A</v>
      </c>
      <c r="E616" s="39"/>
      <c r="F616" s="32" t="e">
        <v>#N/A</v>
      </c>
      <c r="G616" s="39"/>
      <c r="H616" s="32" t="e">
        <v>#N/A</v>
      </c>
      <c r="I616" s="39"/>
      <c r="J616" s="32">
        <v>0.0</v>
      </c>
      <c r="K616" s="33" t="e">
        <v>#N/A</v>
      </c>
      <c r="L616" s="32" t="e">
        <v>#N/A</v>
      </c>
      <c r="M616" s="32" t="e">
        <v>#N/A</v>
      </c>
      <c r="N616" s="32" t="e">
        <v>#N/A</v>
      </c>
      <c r="O616" s="32" t="e">
        <v>#N/A</v>
      </c>
      <c r="P616" s="32" t="e">
        <v>#REF!</v>
      </c>
      <c r="Q616" s="32" t="e">
        <v>#N/A</v>
      </c>
      <c r="R616" s="42" t="e">
        <v>#N/A</v>
      </c>
      <c r="S616" s="42" t="e">
        <v>#N/A</v>
      </c>
      <c r="T616" s="36">
        <v>0.0</v>
      </c>
      <c r="U616" s="36">
        <v>0.0</v>
      </c>
      <c r="V616" s="36">
        <v>0.0</v>
      </c>
      <c r="W616" s="36">
        <v>0.0</v>
      </c>
      <c r="X616" s="36">
        <v>0.0</v>
      </c>
      <c r="Y616" s="36">
        <v>0.0</v>
      </c>
    </row>
    <row r="617">
      <c r="A617" s="32" t="s">
        <v>3919</v>
      </c>
      <c r="B617" s="32" t="s">
        <v>3919</v>
      </c>
      <c r="C617" s="32">
        <v>0.0</v>
      </c>
      <c r="D617" s="32" t="e">
        <v>#N/A</v>
      </c>
      <c r="E617" s="39"/>
      <c r="F617" s="32" t="e">
        <v>#N/A</v>
      </c>
      <c r="G617" s="39"/>
      <c r="H617" s="32" t="e">
        <v>#N/A</v>
      </c>
      <c r="I617" s="39"/>
      <c r="J617" s="32">
        <v>0.0</v>
      </c>
      <c r="K617" s="33" t="e">
        <v>#N/A</v>
      </c>
      <c r="L617" s="32" t="e">
        <v>#N/A</v>
      </c>
      <c r="M617" s="32" t="e">
        <v>#N/A</v>
      </c>
      <c r="N617" s="32" t="e">
        <v>#N/A</v>
      </c>
      <c r="O617" s="32" t="e">
        <v>#N/A</v>
      </c>
      <c r="P617" s="32" t="e">
        <v>#REF!</v>
      </c>
      <c r="Q617" s="32" t="e">
        <v>#N/A</v>
      </c>
      <c r="R617" s="42" t="e">
        <v>#N/A</v>
      </c>
      <c r="S617" s="42" t="e">
        <v>#N/A</v>
      </c>
      <c r="T617" s="36">
        <v>0.0</v>
      </c>
      <c r="U617" s="36">
        <v>0.0</v>
      </c>
      <c r="V617" s="36">
        <v>0.0</v>
      </c>
      <c r="W617" s="36">
        <v>0.0</v>
      </c>
      <c r="X617" s="36">
        <v>0.0</v>
      </c>
      <c r="Y617" s="36">
        <v>0.0</v>
      </c>
    </row>
    <row r="618">
      <c r="A618" s="32" t="s">
        <v>3908</v>
      </c>
      <c r="B618" s="32" t="s">
        <v>3908</v>
      </c>
      <c r="C618" s="32">
        <v>0.0</v>
      </c>
      <c r="D618" s="32" t="e">
        <v>#N/A</v>
      </c>
      <c r="E618" s="39"/>
      <c r="F618" s="32" t="e">
        <v>#N/A</v>
      </c>
      <c r="G618" s="39"/>
      <c r="H618" s="32" t="e">
        <v>#N/A</v>
      </c>
      <c r="I618" s="39"/>
      <c r="J618" s="32">
        <v>0.0</v>
      </c>
      <c r="K618" s="33" t="e">
        <v>#N/A</v>
      </c>
      <c r="L618" s="32" t="e">
        <v>#N/A</v>
      </c>
      <c r="M618" s="32" t="e">
        <v>#N/A</v>
      </c>
      <c r="N618" s="32" t="e">
        <v>#N/A</v>
      </c>
      <c r="O618" s="32" t="e">
        <v>#N/A</v>
      </c>
      <c r="P618" s="32" t="e">
        <v>#REF!</v>
      </c>
      <c r="Q618" s="32" t="e">
        <v>#N/A</v>
      </c>
      <c r="R618" s="42" t="e">
        <v>#N/A</v>
      </c>
      <c r="S618" s="42" t="e">
        <v>#N/A</v>
      </c>
      <c r="T618" s="36">
        <v>0.0</v>
      </c>
      <c r="U618" s="36">
        <v>0.0</v>
      </c>
      <c r="V618" s="36">
        <v>0.0</v>
      </c>
      <c r="W618" s="36">
        <v>0.0</v>
      </c>
      <c r="X618" s="36">
        <v>0.0</v>
      </c>
      <c r="Y618" s="36">
        <v>0.0</v>
      </c>
    </row>
    <row r="619">
      <c r="A619" s="32" t="s">
        <v>3911</v>
      </c>
      <c r="B619" s="32" t="s">
        <v>3911</v>
      </c>
      <c r="C619" s="32">
        <v>0.0</v>
      </c>
      <c r="D619" s="32" t="e">
        <v>#N/A</v>
      </c>
      <c r="E619" s="39"/>
      <c r="F619" s="32" t="e">
        <v>#N/A</v>
      </c>
      <c r="G619" s="39"/>
      <c r="H619" s="32" t="e">
        <v>#N/A</v>
      </c>
      <c r="I619" s="39"/>
      <c r="J619" s="32">
        <v>0.0</v>
      </c>
      <c r="K619" s="33" t="e">
        <v>#N/A</v>
      </c>
      <c r="L619" s="32" t="e">
        <v>#N/A</v>
      </c>
      <c r="M619" s="32" t="e">
        <v>#N/A</v>
      </c>
      <c r="N619" s="32" t="e">
        <v>#N/A</v>
      </c>
      <c r="O619" s="32" t="e">
        <v>#N/A</v>
      </c>
      <c r="P619" s="32" t="e">
        <v>#REF!</v>
      </c>
      <c r="Q619" s="32" t="e">
        <v>#N/A</v>
      </c>
      <c r="R619" s="42" t="e">
        <v>#N/A</v>
      </c>
      <c r="S619" s="42" t="e">
        <v>#N/A</v>
      </c>
      <c r="T619" s="36">
        <v>0.0</v>
      </c>
      <c r="U619" s="36">
        <v>0.0</v>
      </c>
      <c r="V619" s="36">
        <v>0.0</v>
      </c>
      <c r="W619" s="36">
        <v>0.0</v>
      </c>
      <c r="X619" s="36">
        <v>0.0</v>
      </c>
      <c r="Y619" s="36">
        <v>0.0</v>
      </c>
    </row>
    <row r="620">
      <c r="A620" s="32" t="s">
        <v>3914</v>
      </c>
      <c r="B620" s="32" t="s">
        <v>3914</v>
      </c>
      <c r="C620" s="32">
        <v>0.0</v>
      </c>
      <c r="D620" s="32" t="e">
        <v>#N/A</v>
      </c>
      <c r="E620" s="39"/>
      <c r="F620" s="32" t="e">
        <v>#N/A</v>
      </c>
      <c r="G620" s="39"/>
      <c r="H620" s="32" t="e">
        <v>#N/A</v>
      </c>
      <c r="I620" s="39"/>
      <c r="J620" s="32">
        <v>0.0</v>
      </c>
      <c r="K620" s="33" t="e">
        <v>#N/A</v>
      </c>
      <c r="L620" s="32" t="e">
        <v>#N/A</v>
      </c>
      <c r="M620" s="32" t="e">
        <v>#N/A</v>
      </c>
      <c r="N620" s="32" t="e">
        <v>#N/A</v>
      </c>
      <c r="O620" s="32" t="e">
        <v>#N/A</v>
      </c>
      <c r="P620" s="32" t="e">
        <v>#REF!</v>
      </c>
      <c r="Q620" s="32" t="e">
        <v>#N/A</v>
      </c>
      <c r="R620" s="42" t="e">
        <v>#N/A</v>
      </c>
      <c r="S620" s="42" t="e">
        <v>#N/A</v>
      </c>
      <c r="T620" s="36">
        <v>0.0</v>
      </c>
      <c r="U620" s="36">
        <v>0.0</v>
      </c>
      <c r="V620" s="36">
        <v>0.0</v>
      </c>
      <c r="W620" s="36">
        <v>0.0</v>
      </c>
      <c r="X620" s="36">
        <v>0.0</v>
      </c>
      <c r="Y620" s="36">
        <v>0.0</v>
      </c>
    </row>
    <row r="621">
      <c r="A621" s="32" t="s">
        <v>3920</v>
      </c>
      <c r="B621" s="32" t="s">
        <v>3920</v>
      </c>
      <c r="C621" s="32">
        <v>0.0</v>
      </c>
      <c r="D621" s="32" t="e">
        <v>#N/A</v>
      </c>
      <c r="E621" s="39"/>
      <c r="F621" s="32" t="e">
        <v>#N/A</v>
      </c>
      <c r="G621" s="39"/>
      <c r="H621" s="32" t="e">
        <v>#N/A</v>
      </c>
      <c r="I621" s="39"/>
      <c r="J621" s="32">
        <v>0.0</v>
      </c>
      <c r="K621" s="33" t="e">
        <v>#N/A</v>
      </c>
      <c r="L621" s="32" t="e">
        <v>#N/A</v>
      </c>
      <c r="M621" s="32" t="e">
        <v>#N/A</v>
      </c>
      <c r="N621" s="32" t="e">
        <v>#N/A</v>
      </c>
      <c r="O621" s="32" t="e">
        <v>#N/A</v>
      </c>
      <c r="P621" s="32" t="e">
        <v>#REF!</v>
      </c>
      <c r="Q621" s="32" t="e">
        <v>#N/A</v>
      </c>
      <c r="R621" s="42" t="e">
        <v>#N/A</v>
      </c>
      <c r="S621" s="42" t="e">
        <v>#N/A</v>
      </c>
      <c r="T621" s="36">
        <v>0.0</v>
      </c>
      <c r="U621" s="36">
        <v>0.0</v>
      </c>
      <c r="V621" s="36">
        <v>0.0</v>
      </c>
      <c r="W621" s="36">
        <v>0.0</v>
      </c>
      <c r="X621" s="36">
        <v>0.0</v>
      </c>
      <c r="Y621" s="36">
        <v>0.0</v>
      </c>
    </row>
    <row r="622">
      <c r="A622" s="32" t="s">
        <v>3921</v>
      </c>
      <c r="B622" s="32" t="s">
        <v>3921</v>
      </c>
      <c r="C622" s="32">
        <v>0.0</v>
      </c>
      <c r="D622" s="32" t="e">
        <v>#N/A</v>
      </c>
      <c r="E622" s="39"/>
      <c r="F622" s="32" t="e">
        <v>#N/A</v>
      </c>
      <c r="G622" s="39"/>
      <c r="H622" s="32" t="e">
        <v>#N/A</v>
      </c>
      <c r="I622" s="39"/>
      <c r="J622" s="32">
        <v>0.0</v>
      </c>
      <c r="K622" s="33" t="e">
        <v>#N/A</v>
      </c>
      <c r="L622" s="32" t="e">
        <v>#N/A</v>
      </c>
      <c r="M622" s="32" t="e">
        <v>#N/A</v>
      </c>
      <c r="N622" s="32" t="e">
        <v>#N/A</v>
      </c>
      <c r="O622" s="32" t="e">
        <v>#N/A</v>
      </c>
      <c r="P622" s="32" t="e">
        <v>#REF!</v>
      </c>
      <c r="Q622" s="32" t="e">
        <v>#N/A</v>
      </c>
      <c r="R622" s="42" t="e">
        <v>#N/A</v>
      </c>
      <c r="S622" s="42" t="e">
        <v>#N/A</v>
      </c>
      <c r="T622" s="36">
        <v>0.0</v>
      </c>
      <c r="U622" s="36">
        <v>0.0</v>
      </c>
      <c r="V622" s="36">
        <v>0.0</v>
      </c>
      <c r="W622" s="36">
        <v>0.0</v>
      </c>
      <c r="X622" s="36">
        <v>0.0</v>
      </c>
      <c r="Y622" s="36">
        <v>0.0</v>
      </c>
    </row>
    <row r="623">
      <c r="A623" s="32" t="s">
        <v>4694</v>
      </c>
      <c r="B623" s="32" t="s">
        <v>4694</v>
      </c>
      <c r="C623" s="32">
        <v>0.0</v>
      </c>
      <c r="D623" s="32" t="e">
        <v>#N/A</v>
      </c>
      <c r="E623" s="39"/>
      <c r="F623" s="32" t="e">
        <v>#N/A</v>
      </c>
      <c r="G623" s="39"/>
      <c r="H623" s="32" t="e">
        <v>#N/A</v>
      </c>
      <c r="I623" s="39"/>
      <c r="J623" s="32">
        <v>0.0</v>
      </c>
      <c r="K623" s="33" t="e">
        <v>#N/A</v>
      </c>
      <c r="L623" s="32" t="e">
        <v>#N/A</v>
      </c>
      <c r="M623" s="32" t="e">
        <v>#N/A</v>
      </c>
      <c r="N623" s="32" t="e">
        <v>#N/A</v>
      </c>
      <c r="O623" s="32" t="e">
        <v>#N/A</v>
      </c>
      <c r="P623" s="32" t="e">
        <v>#REF!</v>
      </c>
      <c r="Q623" s="32" t="e">
        <v>#N/A</v>
      </c>
      <c r="R623" s="42" t="e">
        <v>#N/A</v>
      </c>
      <c r="S623" s="42" t="e">
        <v>#N/A</v>
      </c>
      <c r="T623" s="36">
        <v>0.0</v>
      </c>
      <c r="U623" s="36">
        <v>0.0</v>
      </c>
      <c r="V623" s="36">
        <v>0.0</v>
      </c>
      <c r="W623" s="36">
        <v>0.0</v>
      </c>
      <c r="X623" s="36">
        <v>0.0</v>
      </c>
      <c r="Y623" s="36">
        <v>0.0</v>
      </c>
    </row>
    <row r="624">
      <c r="A624" s="32" t="s">
        <v>4904</v>
      </c>
      <c r="B624" s="32" t="s">
        <v>4904</v>
      </c>
      <c r="C624" s="32">
        <v>0.0</v>
      </c>
      <c r="D624" s="32" t="e">
        <v>#N/A</v>
      </c>
      <c r="E624" s="39"/>
      <c r="F624" s="38"/>
      <c r="G624" s="38"/>
      <c r="H624" s="38"/>
      <c r="I624" s="38"/>
      <c r="J624" s="32" t="s">
        <v>4690</v>
      </c>
      <c r="K624" s="38"/>
      <c r="L624" s="38"/>
      <c r="M624" s="38"/>
      <c r="N624" s="32" t="s">
        <v>4693</v>
      </c>
      <c r="O624" s="32" t="s">
        <v>1145</v>
      </c>
      <c r="P624" s="32">
        <v>1989.0</v>
      </c>
      <c r="Q624" s="44">
        <v>1698.0</v>
      </c>
      <c r="R624" s="40">
        <v>1699.0</v>
      </c>
      <c r="S624" s="35">
        <v>1499.0</v>
      </c>
      <c r="T624" s="36">
        <v>0.0</v>
      </c>
      <c r="U624" s="36">
        <v>0.0</v>
      </c>
      <c r="V624" s="36">
        <v>0.0</v>
      </c>
      <c r="W624" s="36">
        <v>0.0</v>
      </c>
      <c r="X624" s="36">
        <v>0.0</v>
      </c>
      <c r="Y624" s="36">
        <v>0.0</v>
      </c>
    </row>
    <row r="625">
      <c r="A625" s="32" t="s">
        <v>4905</v>
      </c>
      <c r="B625" s="32" t="s">
        <v>4905</v>
      </c>
      <c r="C625" s="32">
        <v>0.0</v>
      </c>
      <c r="D625" s="32" t="e">
        <v>#N/A</v>
      </c>
      <c r="E625" s="39"/>
      <c r="F625" s="38"/>
      <c r="G625" s="38"/>
      <c r="H625" s="38"/>
      <c r="I625" s="38"/>
      <c r="J625" s="32" t="s">
        <v>5144</v>
      </c>
      <c r="K625" s="38"/>
      <c r="L625" s="38"/>
      <c r="M625" s="38"/>
      <c r="N625" s="32" t="s">
        <v>4693</v>
      </c>
      <c r="O625" s="32" t="s">
        <v>1145</v>
      </c>
      <c r="P625" s="32">
        <v>1989.0</v>
      </c>
      <c r="Q625" s="44">
        <v>1790.0</v>
      </c>
      <c r="R625" s="40">
        <v>1699.0</v>
      </c>
      <c r="S625" s="35">
        <v>1499.0</v>
      </c>
      <c r="T625" s="36">
        <v>0.0</v>
      </c>
      <c r="U625" s="36">
        <v>0.0</v>
      </c>
      <c r="V625" s="36">
        <v>0.0</v>
      </c>
      <c r="W625" s="36">
        <v>0.0</v>
      </c>
      <c r="X625" s="36">
        <v>0.0</v>
      </c>
      <c r="Y625" s="36">
        <v>0.0</v>
      </c>
    </row>
    <row r="626">
      <c r="A626" s="32" t="s">
        <v>4597</v>
      </c>
      <c r="B626" s="32" t="s">
        <v>4597</v>
      </c>
      <c r="C626" s="32">
        <v>0.0</v>
      </c>
      <c r="D626" s="32" t="e">
        <v>#N/A</v>
      </c>
      <c r="E626" s="39"/>
      <c r="F626" s="32" t="e">
        <v>#N/A</v>
      </c>
      <c r="G626" s="39"/>
      <c r="H626" s="32">
        <v>0.0</v>
      </c>
      <c r="I626" s="39"/>
      <c r="J626" s="32" t="s">
        <v>4599</v>
      </c>
      <c r="K626" s="33" t="e">
        <v>#N/A</v>
      </c>
      <c r="L626" s="32" t="e">
        <v>#N/A</v>
      </c>
      <c r="M626" s="32" t="e">
        <v>#N/A</v>
      </c>
      <c r="N626" s="32" t="s">
        <v>5077</v>
      </c>
      <c r="O626" s="32" t="s">
        <v>4730</v>
      </c>
      <c r="P626" s="32">
        <v>1499.0</v>
      </c>
      <c r="Q626" s="34">
        <v>1424.0</v>
      </c>
      <c r="R626" s="40">
        <v>1424.0</v>
      </c>
      <c r="S626" s="35">
        <v>1349.1</v>
      </c>
      <c r="T626" s="36">
        <v>0.0</v>
      </c>
      <c r="U626" s="36">
        <v>0.0</v>
      </c>
      <c r="V626" s="36">
        <v>0.0</v>
      </c>
      <c r="W626" s="36">
        <v>0.0</v>
      </c>
      <c r="X626" s="36">
        <v>0.0</v>
      </c>
      <c r="Y626" s="36">
        <v>0.0</v>
      </c>
    </row>
    <row r="627">
      <c r="A627" s="32" t="s">
        <v>4608</v>
      </c>
      <c r="B627" s="32" t="s">
        <v>4608</v>
      </c>
      <c r="C627" s="32">
        <v>0.0</v>
      </c>
      <c r="D627" s="32" t="e">
        <v>#N/A</v>
      </c>
      <c r="E627" s="39"/>
      <c r="F627" s="32" t="e">
        <v>#N/A</v>
      </c>
      <c r="G627" s="39"/>
      <c r="H627" s="32">
        <v>0.0</v>
      </c>
      <c r="I627" s="39"/>
      <c r="J627" s="32" t="s">
        <v>4610</v>
      </c>
      <c r="K627" s="33" t="e">
        <v>#N/A</v>
      </c>
      <c r="L627" s="32" t="e">
        <v>#N/A</v>
      </c>
      <c r="M627" s="32" t="e">
        <v>#N/A</v>
      </c>
      <c r="N627" s="32" t="s">
        <v>5077</v>
      </c>
      <c r="O627" s="32" t="s">
        <v>4730</v>
      </c>
      <c r="P627" s="32">
        <v>1599.0</v>
      </c>
      <c r="Q627" s="34">
        <v>1519.0</v>
      </c>
      <c r="R627" s="40">
        <v>1519.0</v>
      </c>
      <c r="S627" s="35">
        <v>1439.1</v>
      </c>
      <c r="T627" s="36">
        <v>0.0</v>
      </c>
      <c r="U627" s="36">
        <v>0.0</v>
      </c>
      <c r="V627" s="36">
        <v>0.0</v>
      </c>
      <c r="W627" s="36">
        <v>0.0</v>
      </c>
      <c r="X627" s="36">
        <v>0.0</v>
      </c>
      <c r="Y627" s="36">
        <v>0.0</v>
      </c>
    </row>
    <row r="628">
      <c r="A628" s="32" t="s">
        <v>2569</v>
      </c>
      <c r="B628" s="32" t="s">
        <v>2569</v>
      </c>
      <c r="C628" s="32">
        <v>0.0</v>
      </c>
      <c r="D628" s="32" t="e">
        <v>#N/A</v>
      </c>
      <c r="E628" s="39"/>
      <c r="F628" s="32" t="e">
        <v>#N/A</v>
      </c>
      <c r="G628" s="39"/>
      <c r="H628" s="32" t="e">
        <v>#N/A</v>
      </c>
      <c r="I628" s="39"/>
      <c r="J628" s="32">
        <v>0.0</v>
      </c>
      <c r="K628" s="33" t="e">
        <v>#N/A</v>
      </c>
      <c r="L628" s="32" t="e">
        <v>#N/A</v>
      </c>
      <c r="M628" s="32" t="e">
        <v>#N/A</v>
      </c>
      <c r="N628" s="32" t="e">
        <v>#N/A</v>
      </c>
      <c r="O628" s="32" t="e">
        <v>#N/A</v>
      </c>
      <c r="P628" s="32" t="e">
        <v>#REF!</v>
      </c>
      <c r="Q628" s="32" t="e">
        <v>#N/A</v>
      </c>
      <c r="R628" s="42" t="e">
        <v>#N/A</v>
      </c>
      <c r="S628" s="42" t="e">
        <v>#N/A</v>
      </c>
      <c r="T628" s="36">
        <v>0.0</v>
      </c>
      <c r="U628" s="36">
        <v>0.0</v>
      </c>
      <c r="V628" s="36">
        <v>0.0</v>
      </c>
      <c r="W628" s="36">
        <v>0.0</v>
      </c>
      <c r="X628" s="36">
        <v>0.0</v>
      </c>
      <c r="Y628" s="36">
        <v>0.0</v>
      </c>
    </row>
    <row r="629">
      <c r="A629" s="32" t="s">
        <v>2572</v>
      </c>
      <c r="B629" s="32" t="s">
        <v>2572</v>
      </c>
      <c r="C629" s="32">
        <v>0.0</v>
      </c>
      <c r="D629" s="32" t="e">
        <v>#N/A</v>
      </c>
      <c r="E629" s="39"/>
      <c r="F629" s="32" t="e">
        <v>#N/A</v>
      </c>
      <c r="G629" s="39"/>
      <c r="H629" s="32" t="e">
        <v>#N/A</v>
      </c>
      <c r="I629" s="39"/>
      <c r="J629" s="32">
        <v>0.0</v>
      </c>
      <c r="K629" s="33" t="e">
        <v>#N/A</v>
      </c>
      <c r="L629" s="32" t="e">
        <v>#N/A</v>
      </c>
      <c r="M629" s="32" t="e">
        <v>#N/A</v>
      </c>
      <c r="N629" s="32" t="e">
        <v>#N/A</v>
      </c>
      <c r="O629" s="32" t="e">
        <v>#N/A</v>
      </c>
      <c r="P629" s="32" t="e">
        <v>#REF!</v>
      </c>
      <c r="Q629" s="32" t="e">
        <v>#N/A</v>
      </c>
      <c r="R629" s="42" t="e">
        <v>#N/A</v>
      </c>
      <c r="S629" s="42" t="e">
        <v>#N/A</v>
      </c>
      <c r="T629" s="36">
        <v>0.0</v>
      </c>
      <c r="U629" s="36">
        <v>0.0</v>
      </c>
      <c r="V629" s="36">
        <v>0.0</v>
      </c>
      <c r="W629" s="36">
        <v>0.0</v>
      </c>
      <c r="X629" s="36">
        <v>0.0</v>
      </c>
      <c r="Y629" s="36">
        <v>0.0</v>
      </c>
    </row>
    <row r="630">
      <c r="A630" s="32" t="s">
        <v>2570</v>
      </c>
      <c r="B630" s="32" t="s">
        <v>2570</v>
      </c>
      <c r="C630" s="32">
        <v>0.0</v>
      </c>
      <c r="D630" s="32" t="e">
        <v>#N/A</v>
      </c>
      <c r="E630" s="39"/>
      <c r="F630" s="32" t="e">
        <v>#N/A</v>
      </c>
      <c r="G630" s="39"/>
      <c r="H630" s="32" t="e">
        <v>#N/A</v>
      </c>
      <c r="I630" s="39"/>
      <c r="J630" s="32">
        <v>0.0</v>
      </c>
      <c r="K630" s="33" t="e">
        <v>#N/A</v>
      </c>
      <c r="L630" s="32" t="e">
        <v>#N/A</v>
      </c>
      <c r="M630" s="32" t="e">
        <v>#N/A</v>
      </c>
      <c r="N630" s="32" t="e">
        <v>#N/A</v>
      </c>
      <c r="O630" s="32" t="e">
        <v>#N/A</v>
      </c>
      <c r="P630" s="32" t="e">
        <v>#REF!</v>
      </c>
      <c r="Q630" s="32" t="e">
        <v>#N/A</v>
      </c>
      <c r="R630" s="42" t="e">
        <v>#N/A</v>
      </c>
      <c r="S630" s="42" t="e">
        <v>#N/A</v>
      </c>
      <c r="T630" s="36">
        <v>0.0</v>
      </c>
      <c r="U630" s="36">
        <v>0.0</v>
      </c>
      <c r="V630" s="36">
        <v>0.0</v>
      </c>
      <c r="W630" s="36">
        <v>0.0</v>
      </c>
      <c r="X630" s="36">
        <v>0.0</v>
      </c>
      <c r="Y630" s="36">
        <v>0.0</v>
      </c>
    </row>
    <row r="631">
      <c r="A631" s="32" t="s">
        <v>2573</v>
      </c>
      <c r="B631" s="32" t="s">
        <v>2573</v>
      </c>
      <c r="C631" s="32">
        <v>0.0</v>
      </c>
      <c r="D631" s="32" t="e">
        <v>#N/A</v>
      </c>
      <c r="E631" s="39"/>
      <c r="F631" s="32" t="e">
        <v>#N/A</v>
      </c>
      <c r="G631" s="39"/>
      <c r="H631" s="32" t="e">
        <v>#N/A</v>
      </c>
      <c r="I631" s="39"/>
      <c r="J631" s="32">
        <v>0.0</v>
      </c>
      <c r="K631" s="33" t="e">
        <v>#N/A</v>
      </c>
      <c r="L631" s="32" t="e">
        <v>#N/A</v>
      </c>
      <c r="M631" s="32" t="e">
        <v>#N/A</v>
      </c>
      <c r="N631" s="32" t="e">
        <v>#N/A</v>
      </c>
      <c r="O631" s="32" t="e">
        <v>#N/A</v>
      </c>
      <c r="P631" s="32" t="e">
        <v>#REF!</v>
      </c>
      <c r="Q631" s="32" t="e">
        <v>#N/A</v>
      </c>
      <c r="R631" s="42" t="e">
        <v>#N/A</v>
      </c>
      <c r="S631" s="42" t="e">
        <v>#N/A</v>
      </c>
      <c r="T631" s="36">
        <v>0.0</v>
      </c>
      <c r="U631" s="36">
        <v>0.0</v>
      </c>
      <c r="V631" s="36">
        <v>0.0</v>
      </c>
      <c r="W631" s="36">
        <v>0.0</v>
      </c>
      <c r="X631" s="36">
        <v>0.0</v>
      </c>
      <c r="Y631" s="36">
        <v>0.0</v>
      </c>
    </row>
    <row r="632">
      <c r="A632" s="32" t="s">
        <v>2571</v>
      </c>
      <c r="B632" s="32" t="s">
        <v>2571</v>
      </c>
      <c r="C632" s="32">
        <v>0.0</v>
      </c>
      <c r="D632" s="32" t="e">
        <v>#N/A</v>
      </c>
      <c r="E632" s="39"/>
      <c r="F632" s="32" t="e">
        <v>#N/A</v>
      </c>
      <c r="G632" s="39"/>
      <c r="H632" s="32" t="e">
        <v>#N/A</v>
      </c>
      <c r="I632" s="39"/>
      <c r="J632" s="32">
        <v>0.0</v>
      </c>
      <c r="K632" s="33" t="e">
        <v>#N/A</v>
      </c>
      <c r="L632" s="32" t="e">
        <v>#N/A</v>
      </c>
      <c r="M632" s="32" t="e">
        <v>#N/A</v>
      </c>
      <c r="N632" s="32" t="e">
        <v>#N/A</v>
      </c>
      <c r="O632" s="32" t="e">
        <v>#N/A</v>
      </c>
      <c r="P632" s="32" t="e">
        <v>#REF!</v>
      </c>
      <c r="Q632" s="32" t="e">
        <v>#N/A</v>
      </c>
      <c r="R632" s="42" t="e">
        <v>#N/A</v>
      </c>
      <c r="S632" s="42" t="e">
        <v>#N/A</v>
      </c>
      <c r="T632" s="36">
        <v>0.0</v>
      </c>
      <c r="U632" s="36">
        <v>0.0</v>
      </c>
      <c r="V632" s="36">
        <v>0.0</v>
      </c>
      <c r="W632" s="36">
        <v>0.0</v>
      </c>
      <c r="X632" s="36">
        <v>0.0</v>
      </c>
      <c r="Y632" s="36">
        <v>0.0</v>
      </c>
    </row>
    <row r="633">
      <c r="A633" s="32" t="s">
        <v>2574</v>
      </c>
      <c r="B633" s="32" t="s">
        <v>2574</v>
      </c>
      <c r="C633" s="32">
        <v>0.0</v>
      </c>
      <c r="D633" s="32" t="e">
        <v>#N/A</v>
      </c>
      <c r="E633" s="39"/>
      <c r="F633" s="32" t="e">
        <v>#N/A</v>
      </c>
      <c r="G633" s="39"/>
      <c r="H633" s="32" t="e">
        <v>#N/A</v>
      </c>
      <c r="I633" s="39"/>
      <c r="J633" s="32">
        <v>0.0</v>
      </c>
      <c r="K633" s="33" t="e">
        <v>#N/A</v>
      </c>
      <c r="L633" s="32" t="e">
        <v>#N/A</v>
      </c>
      <c r="M633" s="32" t="e">
        <v>#N/A</v>
      </c>
      <c r="N633" s="32" t="e">
        <v>#N/A</v>
      </c>
      <c r="O633" s="32" t="e">
        <v>#N/A</v>
      </c>
      <c r="P633" s="32" t="e">
        <v>#REF!</v>
      </c>
      <c r="Q633" s="32" t="e">
        <v>#N/A</v>
      </c>
      <c r="R633" s="42" t="e">
        <v>#N/A</v>
      </c>
      <c r="S633" s="42" t="e">
        <v>#N/A</v>
      </c>
      <c r="T633" s="36">
        <v>0.0</v>
      </c>
      <c r="U633" s="36">
        <v>0.0</v>
      </c>
      <c r="V633" s="36">
        <v>0.0</v>
      </c>
      <c r="W633" s="36">
        <v>0.0</v>
      </c>
      <c r="X633" s="36">
        <v>0.0</v>
      </c>
      <c r="Y633" s="36">
        <v>0.0</v>
      </c>
    </row>
    <row r="634">
      <c r="A634" s="32" t="s">
        <v>2581</v>
      </c>
      <c r="B634" s="32" t="s">
        <v>2581</v>
      </c>
      <c r="C634" s="32">
        <v>0.0</v>
      </c>
      <c r="D634" s="32" t="e">
        <v>#N/A</v>
      </c>
      <c r="E634" s="39"/>
      <c r="F634" s="32" t="e">
        <v>#N/A</v>
      </c>
      <c r="G634" s="39"/>
      <c r="H634" s="32" t="e">
        <v>#N/A</v>
      </c>
      <c r="I634" s="39"/>
      <c r="J634" s="32">
        <v>0.0</v>
      </c>
      <c r="K634" s="33" t="e">
        <v>#N/A</v>
      </c>
      <c r="L634" s="32" t="e">
        <v>#N/A</v>
      </c>
      <c r="M634" s="32" t="e">
        <v>#N/A</v>
      </c>
      <c r="N634" s="32" t="e">
        <v>#N/A</v>
      </c>
      <c r="O634" s="32" t="e">
        <v>#N/A</v>
      </c>
      <c r="P634" s="32" t="e">
        <v>#REF!</v>
      </c>
      <c r="Q634" s="32" t="e">
        <v>#N/A</v>
      </c>
      <c r="R634" s="42" t="e">
        <v>#N/A</v>
      </c>
      <c r="S634" s="42" t="e">
        <v>#N/A</v>
      </c>
      <c r="T634" s="36">
        <v>0.0</v>
      </c>
      <c r="U634" s="36">
        <v>0.0</v>
      </c>
      <c r="V634" s="36">
        <v>0.0</v>
      </c>
      <c r="W634" s="36">
        <v>0.0</v>
      </c>
      <c r="X634" s="36">
        <v>0.0</v>
      </c>
      <c r="Y634" s="36">
        <v>0.0</v>
      </c>
    </row>
    <row r="635">
      <c r="A635" s="32" t="s">
        <v>2584</v>
      </c>
      <c r="B635" s="32" t="s">
        <v>2584</v>
      </c>
      <c r="C635" s="32">
        <v>0.0</v>
      </c>
      <c r="D635" s="32" t="e">
        <v>#N/A</v>
      </c>
      <c r="E635" s="39"/>
      <c r="F635" s="32" t="e">
        <v>#N/A</v>
      </c>
      <c r="G635" s="39"/>
      <c r="H635" s="32" t="e">
        <v>#N/A</v>
      </c>
      <c r="I635" s="39"/>
      <c r="J635" s="32">
        <v>0.0</v>
      </c>
      <c r="K635" s="33" t="e">
        <v>#N/A</v>
      </c>
      <c r="L635" s="32" t="e">
        <v>#N/A</v>
      </c>
      <c r="M635" s="32" t="e">
        <v>#N/A</v>
      </c>
      <c r="N635" s="32" t="e">
        <v>#N/A</v>
      </c>
      <c r="O635" s="32" t="e">
        <v>#N/A</v>
      </c>
      <c r="P635" s="32" t="e">
        <v>#REF!</v>
      </c>
      <c r="Q635" s="32" t="e">
        <v>#N/A</v>
      </c>
      <c r="R635" s="42" t="e">
        <v>#N/A</v>
      </c>
      <c r="S635" s="42" t="e">
        <v>#N/A</v>
      </c>
      <c r="T635" s="36">
        <v>0.0</v>
      </c>
      <c r="U635" s="36">
        <v>0.0</v>
      </c>
      <c r="V635" s="36">
        <v>0.0</v>
      </c>
      <c r="W635" s="36">
        <v>0.0</v>
      </c>
      <c r="X635" s="36">
        <v>0.0</v>
      </c>
      <c r="Y635" s="36">
        <v>0.0</v>
      </c>
    </row>
    <row r="636">
      <c r="A636" s="32" t="s">
        <v>2582</v>
      </c>
      <c r="B636" s="32" t="s">
        <v>2582</v>
      </c>
      <c r="C636" s="32">
        <v>0.0</v>
      </c>
      <c r="D636" s="32" t="e">
        <v>#N/A</v>
      </c>
      <c r="E636" s="39"/>
      <c r="F636" s="32" t="e">
        <v>#N/A</v>
      </c>
      <c r="G636" s="39"/>
      <c r="H636" s="32" t="e">
        <v>#N/A</v>
      </c>
      <c r="I636" s="39"/>
      <c r="J636" s="32">
        <v>0.0</v>
      </c>
      <c r="K636" s="33" t="e">
        <v>#N/A</v>
      </c>
      <c r="L636" s="32" t="e">
        <v>#N/A</v>
      </c>
      <c r="M636" s="32" t="e">
        <v>#N/A</v>
      </c>
      <c r="N636" s="32" t="e">
        <v>#N/A</v>
      </c>
      <c r="O636" s="32" t="e">
        <v>#N/A</v>
      </c>
      <c r="P636" s="32" t="e">
        <v>#REF!</v>
      </c>
      <c r="Q636" s="32" t="e">
        <v>#N/A</v>
      </c>
      <c r="R636" s="42" t="e">
        <v>#N/A</v>
      </c>
      <c r="S636" s="42" t="e">
        <v>#N/A</v>
      </c>
      <c r="T636" s="36">
        <v>0.0</v>
      </c>
      <c r="U636" s="36">
        <v>0.0</v>
      </c>
      <c r="V636" s="36">
        <v>0.0</v>
      </c>
      <c r="W636" s="36">
        <v>0.0</v>
      </c>
      <c r="X636" s="36">
        <v>0.0</v>
      </c>
      <c r="Y636" s="36">
        <v>0.0</v>
      </c>
    </row>
    <row r="637">
      <c r="A637" s="32" t="s">
        <v>2585</v>
      </c>
      <c r="B637" s="32" t="s">
        <v>2585</v>
      </c>
      <c r="C637" s="32">
        <v>0.0</v>
      </c>
      <c r="D637" s="32" t="e">
        <v>#N/A</v>
      </c>
      <c r="E637" s="39"/>
      <c r="F637" s="32" t="e">
        <v>#N/A</v>
      </c>
      <c r="G637" s="39"/>
      <c r="H637" s="32" t="e">
        <v>#N/A</v>
      </c>
      <c r="I637" s="39"/>
      <c r="J637" s="32">
        <v>0.0</v>
      </c>
      <c r="K637" s="33" t="e">
        <v>#N/A</v>
      </c>
      <c r="L637" s="32" t="e">
        <v>#N/A</v>
      </c>
      <c r="M637" s="32" t="e">
        <v>#N/A</v>
      </c>
      <c r="N637" s="32" t="e">
        <v>#N/A</v>
      </c>
      <c r="O637" s="32" t="e">
        <v>#N/A</v>
      </c>
      <c r="P637" s="32" t="e">
        <v>#REF!</v>
      </c>
      <c r="Q637" s="32" t="e">
        <v>#N/A</v>
      </c>
      <c r="R637" s="42" t="e">
        <v>#N/A</v>
      </c>
      <c r="S637" s="42" t="e">
        <v>#N/A</v>
      </c>
      <c r="T637" s="36">
        <v>0.0</v>
      </c>
      <c r="U637" s="36">
        <v>0.0</v>
      </c>
      <c r="V637" s="36">
        <v>0.0</v>
      </c>
      <c r="W637" s="36">
        <v>0.0</v>
      </c>
      <c r="X637" s="36">
        <v>0.0</v>
      </c>
      <c r="Y637" s="36">
        <v>0.0</v>
      </c>
    </row>
    <row r="638">
      <c r="A638" s="32" t="s">
        <v>2583</v>
      </c>
      <c r="B638" s="32" t="s">
        <v>2583</v>
      </c>
      <c r="C638" s="32">
        <v>0.0</v>
      </c>
      <c r="D638" s="32" t="e">
        <v>#N/A</v>
      </c>
      <c r="E638" s="39"/>
      <c r="F638" s="32" t="e">
        <v>#N/A</v>
      </c>
      <c r="G638" s="39"/>
      <c r="H638" s="32" t="e">
        <v>#N/A</v>
      </c>
      <c r="I638" s="39"/>
      <c r="J638" s="32">
        <v>0.0</v>
      </c>
      <c r="K638" s="33" t="e">
        <v>#N/A</v>
      </c>
      <c r="L638" s="32" t="e">
        <v>#N/A</v>
      </c>
      <c r="M638" s="32" t="e">
        <v>#N/A</v>
      </c>
      <c r="N638" s="32" t="e">
        <v>#N/A</v>
      </c>
      <c r="O638" s="32" t="e">
        <v>#N/A</v>
      </c>
      <c r="P638" s="32" t="e">
        <v>#REF!</v>
      </c>
      <c r="Q638" s="32" t="e">
        <v>#N/A</v>
      </c>
      <c r="R638" s="42" t="e">
        <v>#N/A</v>
      </c>
      <c r="S638" s="42" t="e">
        <v>#N/A</v>
      </c>
      <c r="T638" s="36">
        <v>0.0</v>
      </c>
      <c r="U638" s="36">
        <v>0.0</v>
      </c>
      <c r="V638" s="36">
        <v>0.0</v>
      </c>
      <c r="W638" s="36">
        <v>0.0</v>
      </c>
      <c r="X638" s="36">
        <v>0.0</v>
      </c>
      <c r="Y638" s="36">
        <v>0.0</v>
      </c>
    </row>
    <row r="639">
      <c r="A639" s="32" t="s">
        <v>2586</v>
      </c>
      <c r="B639" s="32" t="s">
        <v>2586</v>
      </c>
      <c r="C639" s="32">
        <v>0.0</v>
      </c>
      <c r="D639" s="32" t="e">
        <v>#N/A</v>
      </c>
      <c r="E639" s="39"/>
      <c r="F639" s="32" t="e">
        <v>#N/A</v>
      </c>
      <c r="G639" s="39"/>
      <c r="H639" s="32" t="e">
        <v>#N/A</v>
      </c>
      <c r="I639" s="39"/>
      <c r="J639" s="32">
        <v>0.0</v>
      </c>
      <c r="K639" s="33" t="e">
        <v>#N/A</v>
      </c>
      <c r="L639" s="32" t="e">
        <v>#N/A</v>
      </c>
      <c r="M639" s="32" t="e">
        <v>#N/A</v>
      </c>
      <c r="N639" s="32" t="e">
        <v>#N/A</v>
      </c>
      <c r="O639" s="32" t="e">
        <v>#N/A</v>
      </c>
      <c r="P639" s="32" t="e">
        <v>#REF!</v>
      </c>
      <c r="Q639" s="32" t="e">
        <v>#N/A</v>
      </c>
      <c r="R639" s="42" t="e">
        <v>#N/A</v>
      </c>
      <c r="S639" s="42" t="e">
        <v>#N/A</v>
      </c>
      <c r="T639" s="36">
        <v>0.0</v>
      </c>
      <c r="U639" s="36">
        <v>0.0</v>
      </c>
      <c r="V639" s="36">
        <v>0.0</v>
      </c>
      <c r="W639" s="36">
        <v>0.0</v>
      </c>
      <c r="X639" s="36">
        <v>0.0</v>
      </c>
      <c r="Y639" s="36">
        <v>0.0</v>
      </c>
    </row>
    <row r="640">
      <c r="A640" s="32" t="s">
        <v>2575</v>
      </c>
      <c r="B640" s="32" t="s">
        <v>2575</v>
      </c>
      <c r="C640" s="32">
        <v>0.0</v>
      </c>
      <c r="D640" s="32" t="e">
        <v>#N/A</v>
      </c>
      <c r="E640" s="39"/>
      <c r="F640" s="32" t="e">
        <v>#N/A</v>
      </c>
      <c r="G640" s="39"/>
      <c r="H640" s="32" t="e">
        <v>#N/A</v>
      </c>
      <c r="I640" s="39"/>
      <c r="J640" s="32">
        <v>0.0</v>
      </c>
      <c r="K640" s="33" t="e">
        <v>#N/A</v>
      </c>
      <c r="L640" s="32" t="e">
        <v>#N/A</v>
      </c>
      <c r="M640" s="32" t="e">
        <v>#N/A</v>
      </c>
      <c r="N640" s="32" t="e">
        <v>#N/A</v>
      </c>
      <c r="O640" s="32" t="e">
        <v>#N/A</v>
      </c>
      <c r="P640" s="32" t="e">
        <v>#REF!</v>
      </c>
      <c r="Q640" s="32" t="e">
        <v>#N/A</v>
      </c>
      <c r="R640" s="42" t="e">
        <v>#N/A</v>
      </c>
      <c r="S640" s="42" t="e">
        <v>#N/A</v>
      </c>
      <c r="T640" s="36">
        <v>0.0</v>
      </c>
      <c r="U640" s="36">
        <v>0.0</v>
      </c>
      <c r="V640" s="36">
        <v>0.0</v>
      </c>
      <c r="W640" s="36">
        <v>0.0</v>
      </c>
      <c r="X640" s="36">
        <v>0.0</v>
      </c>
      <c r="Y640" s="36">
        <v>0.0</v>
      </c>
    </row>
    <row r="641">
      <c r="A641" s="32" t="s">
        <v>2578</v>
      </c>
      <c r="B641" s="32" t="s">
        <v>2578</v>
      </c>
      <c r="C641" s="32">
        <v>0.0</v>
      </c>
      <c r="D641" s="32" t="e">
        <v>#N/A</v>
      </c>
      <c r="E641" s="39"/>
      <c r="F641" s="32" t="e">
        <v>#N/A</v>
      </c>
      <c r="G641" s="39"/>
      <c r="H641" s="32" t="e">
        <v>#N/A</v>
      </c>
      <c r="I641" s="39"/>
      <c r="J641" s="32">
        <v>0.0</v>
      </c>
      <c r="K641" s="33" t="e">
        <v>#N/A</v>
      </c>
      <c r="L641" s="32" t="e">
        <v>#N/A</v>
      </c>
      <c r="M641" s="32" t="e">
        <v>#N/A</v>
      </c>
      <c r="N641" s="32" t="e">
        <v>#N/A</v>
      </c>
      <c r="O641" s="32" t="e">
        <v>#N/A</v>
      </c>
      <c r="P641" s="32" t="e">
        <v>#REF!</v>
      </c>
      <c r="Q641" s="32" t="e">
        <v>#N/A</v>
      </c>
      <c r="R641" s="42" t="e">
        <v>#N/A</v>
      </c>
      <c r="S641" s="42" t="e">
        <v>#N/A</v>
      </c>
      <c r="T641" s="36">
        <v>0.0</v>
      </c>
      <c r="U641" s="36">
        <v>0.0</v>
      </c>
      <c r="V641" s="36">
        <v>0.0</v>
      </c>
      <c r="W641" s="36">
        <v>0.0</v>
      </c>
      <c r="X641" s="36">
        <v>0.0</v>
      </c>
      <c r="Y641" s="36">
        <v>0.0</v>
      </c>
    </row>
    <row r="642">
      <c r="A642" s="32" t="s">
        <v>2576</v>
      </c>
      <c r="B642" s="32" t="s">
        <v>2576</v>
      </c>
      <c r="C642" s="32">
        <v>0.0</v>
      </c>
      <c r="D642" s="32" t="e">
        <v>#N/A</v>
      </c>
      <c r="E642" s="39"/>
      <c r="F642" s="32" t="e">
        <v>#N/A</v>
      </c>
      <c r="G642" s="39"/>
      <c r="H642" s="32" t="e">
        <v>#N/A</v>
      </c>
      <c r="I642" s="39"/>
      <c r="J642" s="32">
        <v>0.0</v>
      </c>
      <c r="K642" s="33" t="e">
        <v>#N/A</v>
      </c>
      <c r="L642" s="32" t="e">
        <v>#N/A</v>
      </c>
      <c r="M642" s="32" t="e">
        <v>#N/A</v>
      </c>
      <c r="N642" s="32" t="e">
        <v>#N/A</v>
      </c>
      <c r="O642" s="32" t="e">
        <v>#N/A</v>
      </c>
      <c r="P642" s="32" t="e">
        <v>#REF!</v>
      </c>
      <c r="Q642" s="32" t="e">
        <v>#N/A</v>
      </c>
      <c r="R642" s="42" t="e">
        <v>#N/A</v>
      </c>
      <c r="S642" s="42" t="e">
        <v>#N/A</v>
      </c>
      <c r="T642" s="36">
        <v>0.0</v>
      </c>
      <c r="U642" s="36">
        <v>0.0</v>
      </c>
      <c r="V642" s="36">
        <v>0.0</v>
      </c>
      <c r="W642" s="36">
        <v>0.0</v>
      </c>
      <c r="X642" s="36">
        <v>0.0</v>
      </c>
      <c r="Y642" s="36">
        <v>0.0</v>
      </c>
    </row>
    <row r="643">
      <c r="A643" s="32" t="s">
        <v>2579</v>
      </c>
      <c r="B643" s="32" t="s">
        <v>2579</v>
      </c>
      <c r="C643" s="32">
        <v>0.0</v>
      </c>
      <c r="D643" s="32" t="e">
        <v>#N/A</v>
      </c>
      <c r="E643" s="39"/>
      <c r="F643" s="32" t="e">
        <v>#N/A</v>
      </c>
      <c r="G643" s="39"/>
      <c r="H643" s="32" t="e">
        <v>#N/A</v>
      </c>
      <c r="I643" s="39"/>
      <c r="J643" s="32">
        <v>0.0</v>
      </c>
      <c r="K643" s="33" t="e">
        <v>#N/A</v>
      </c>
      <c r="L643" s="32" t="e">
        <v>#N/A</v>
      </c>
      <c r="M643" s="32" t="e">
        <v>#N/A</v>
      </c>
      <c r="N643" s="32" t="e">
        <v>#N/A</v>
      </c>
      <c r="O643" s="32" t="e">
        <v>#N/A</v>
      </c>
      <c r="P643" s="32" t="e">
        <v>#REF!</v>
      </c>
      <c r="Q643" s="32" t="e">
        <v>#N/A</v>
      </c>
      <c r="R643" s="42" t="e">
        <v>#N/A</v>
      </c>
      <c r="S643" s="42" t="e">
        <v>#N/A</v>
      </c>
      <c r="T643" s="36">
        <v>0.0</v>
      </c>
      <c r="U643" s="36">
        <v>0.0</v>
      </c>
      <c r="V643" s="36">
        <v>0.0</v>
      </c>
      <c r="W643" s="36">
        <v>0.0</v>
      </c>
      <c r="X643" s="36">
        <v>0.0</v>
      </c>
      <c r="Y643" s="36">
        <v>0.0</v>
      </c>
    </row>
    <row r="644">
      <c r="A644" s="32" t="s">
        <v>2577</v>
      </c>
      <c r="B644" s="32" t="s">
        <v>2577</v>
      </c>
      <c r="C644" s="32">
        <v>0.0</v>
      </c>
      <c r="D644" s="32" t="e">
        <v>#N/A</v>
      </c>
      <c r="E644" s="39"/>
      <c r="F644" s="32" t="e">
        <v>#N/A</v>
      </c>
      <c r="G644" s="39"/>
      <c r="H644" s="32" t="e">
        <v>#N/A</v>
      </c>
      <c r="I644" s="39"/>
      <c r="J644" s="32">
        <v>0.0</v>
      </c>
      <c r="K644" s="33" t="e">
        <v>#N/A</v>
      </c>
      <c r="L644" s="32" t="e">
        <v>#N/A</v>
      </c>
      <c r="M644" s="32" t="e">
        <v>#N/A</v>
      </c>
      <c r="N644" s="32" t="e">
        <v>#N/A</v>
      </c>
      <c r="O644" s="32" t="e">
        <v>#N/A</v>
      </c>
      <c r="P644" s="32" t="e">
        <v>#REF!</v>
      </c>
      <c r="Q644" s="32" t="e">
        <v>#N/A</v>
      </c>
      <c r="R644" s="42" t="e">
        <v>#N/A</v>
      </c>
      <c r="S644" s="42" t="e">
        <v>#N/A</v>
      </c>
      <c r="T644" s="36">
        <v>0.0</v>
      </c>
      <c r="U644" s="36">
        <v>0.0</v>
      </c>
      <c r="V644" s="36">
        <v>0.0</v>
      </c>
      <c r="W644" s="36">
        <v>0.0</v>
      </c>
      <c r="X644" s="36">
        <v>0.0</v>
      </c>
      <c r="Y644" s="36">
        <v>0.0</v>
      </c>
    </row>
    <row r="645">
      <c r="A645" s="32" t="s">
        <v>2580</v>
      </c>
      <c r="B645" s="32" t="s">
        <v>2580</v>
      </c>
      <c r="C645" s="32">
        <v>0.0</v>
      </c>
      <c r="D645" s="32" t="e">
        <v>#N/A</v>
      </c>
      <c r="E645" s="39"/>
      <c r="F645" s="32" t="e">
        <v>#N/A</v>
      </c>
      <c r="G645" s="39"/>
      <c r="H645" s="32" t="e">
        <v>#N/A</v>
      </c>
      <c r="I645" s="39"/>
      <c r="J645" s="32">
        <v>0.0</v>
      </c>
      <c r="K645" s="33" t="e">
        <v>#N/A</v>
      </c>
      <c r="L645" s="32" t="e">
        <v>#N/A</v>
      </c>
      <c r="M645" s="32" t="e">
        <v>#N/A</v>
      </c>
      <c r="N645" s="32" t="e">
        <v>#N/A</v>
      </c>
      <c r="O645" s="32" t="e">
        <v>#N/A</v>
      </c>
      <c r="P645" s="32" t="e">
        <v>#REF!</v>
      </c>
      <c r="Q645" s="32" t="e">
        <v>#N/A</v>
      </c>
      <c r="R645" s="42" t="e">
        <v>#N/A</v>
      </c>
      <c r="S645" s="42" t="e">
        <v>#N/A</v>
      </c>
      <c r="T645" s="36">
        <v>0.0</v>
      </c>
      <c r="U645" s="36">
        <v>0.0</v>
      </c>
      <c r="V645" s="36">
        <v>0.0</v>
      </c>
      <c r="W645" s="36">
        <v>0.0</v>
      </c>
      <c r="X645" s="36">
        <v>0.0</v>
      </c>
      <c r="Y645" s="36">
        <v>0.0</v>
      </c>
    </row>
    <row r="646">
      <c r="A646" s="32" t="s">
        <v>2563</v>
      </c>
      <c r="B646" s="32" t="s">
        <v>2563</v>
      </c>
      <c r="C646" s="32">
        <v>0.0</v>
      </c>
      <c r="D646" s="32" t="e">
        <v>#N/A</v>
      </c>
      <c r="E646" s="39"/>
      <c r="F646" s="32" t="e">
        <v>#N/A</v>
      </c>
      <c r="G646" s="39"/>
      <c r="H646" s="32" t="e">
        <v>#N/A</v>
      </c>
      <c r="I646" s="39"/>
      <c r="J646" s="32">
        <v>0.0</v>
      </c>
      <c r="K646" s="33" t="e">
        <v>#N/A</v>
      </c>
      <c r="L646" s="32" t="e">
        <v>#N/A</v>
      </c>
      <c r="M646" s="32" t="e">
        <v>#N/A</v>
      </c>
      <c r="N646" s="32" t="e">
        <v>#N/A</v>
      </c>
      <c r="O646" s="32" t="e">
        <v>#N/A</v>
      </c>
      <c r="P646" s="32" t="e">
        <v>#REF!</v>
      </c>
      <c r="Q646" s="32" t="e">
        <v>#N/A</v>
      </c>
      <c r="R646" s="42" t="e">
        <v>#N/A</v>
      </c>
      <c r="S646" s="42" t="e">
        <v>#N/A</v>
      </c>
      <c r="T646" s="36">
        <v>0.0</v>
      </c>
      <c r="U646" s="36">
        <v>0.0</v>
      </c>
      <c r="V646" s="36">
        <v>0.0</v>
      </c>
      <c r="W646" s="36">
        <v>0.0</v>
      </c>
      <c r="X646" s="36">
        <v>0.0</v>
      </c>
      <c r="Y646" s="36">
        <v>0.0</v>
      </c>
    </row>
    <row r="647">
      <c r="A647" s="32" t="s">
        <v>2566</v>
      </c>
      <c r="B647" s="32" t="s">
        <v>2566</v>
      </c>
      <c r="C647" s="32">
        <v>0.0</v>
      </c>
      <c r="D647" s="32" t="e">
        <v>#N/A</v>
      </c>
      <c r="E647" s="39"/>
      <c r="F647" s="32" t="e">
        <v>#N/A</v>
      </c>
      <c r="G647" s="39"/>
      <c r="H647" s="32" t="e">
        <v>#N/A</v>
      </c>
      <c r="I647" s="39"/>
      <c r="J647" s="32">
        <v>0.0</v>
      </c>
      <c r="K647" s="33" t="e">
        <v>#N/A</v>
      </c>
      <c r="L647" s="32" t="e">
        <v>#N/A</v>
      </c>
      <c r="M647" s="32" t="e">
        <v>#N/A</v>
      </c>
      <c r="N647" s="32" t="e">
        <v>#N/A</v>
      </c>
      <c r="O647" s="32" t="e">
        <v>#N/A</v>
      </c>
      <c r="P647" s="32" t="e">
        <v>#REF!</v>
      </c>
      <c r="Q647" s="32" t="e">
        <v>#N/A</v>
      </c>
      <c r="R647" s="42" t="e">
        <v>#N/A</v>
      </c>
      <c r="S647" s="42" t="e">
        <v>#N/A</v>
      </c>
      <c r="T647" s="36">
        <v>0.0</v>
      </c>
      <c r="U647" s="36">
        <v>0.0</v>
      </c>
      <c r="V647" s="36">
        <v>0.0</v>
      </c>
      <c r="W647" s="36">
        <v>0.0</v>
      </c>
      <c r="X647" s="36">
        <v>0.0</v>
      </c>
      <c r="Y647" s="36">
        <v>0.0</v>
      </c>
    </row>
    <row r="648">
      <c r="A648" s="32" t="s">
        <v>2564</v>
      </c>
      <c r="B648" s="32" t="s">
        <v>2564</v>
      </c>
      <c r="C648" s="32">
        <v>0.0</v>
      </c>
      <c r="D648" s="32" t="e">
        <v>#N/A</v>
      </c>
      <c r="E648" s="39"/>
      <c r="F648" s="32" t="e">
        <v>#N/A</v>
      </c>
      <c r="G648" s="39"/>
      <c r="H648" s="32" t="e">
        <v>#N/A</v>
      </c>
      <c r="I648" s="39"/>
      <c r="J648" s="32">
        <v>0.0</v>
      </c>
      <c r="K648" s="33" t="e">
        <v>#N/A</v>
      </c>
      <c r="L648" s="32" t="e">
        <v>#N/A</v>
      </c>
      <c r="M648" s="32" t="e">
        <v>#N/A</v>
      </c>
      <c r="N648" s="32" t="e">
        <v>#N/A</v>
      </c>
      <c r="O648" s="32" t="e">
        <v>#N/A</v>
      </c>
      <c r="P648" s="32" t="e">
        <v>#REF!</v>
      </c>
      <c r="Q648" s="32" t="e">
        <v>#N/A</v>
      </c>
      <c r="R648" s="42" t="e">
        <v>#N/A</v>
      </c>
      <c r="S648" s="42" t="e">
        <v>#N/A</v>
      </c>
      <c r="T648" s="36">
        <v>0.0</v>
      </c>
      <c r="U648" s="36">
        <v>0.0</v>
      </c>
      <c r="V648" s="36">
        <v>0.0</v>
      </c>
      <c r="W648" s="36">
        <v>0.0</v>
      </c>
      <c r="X648" s="36">
        <v>0.0</v>
      </c>
      <c r="Y648" s="36">
        <v>0.0</v>
      </c>
    </row>
    <row r="649">
      <c r="A649" s="32" t="s">
        <v>2567</v>
      </c>
      <c r="B649" s="32" t="s">
        <v>2567</v>
      </c>
      <c r="C649" s="32">
        <v>0.0</v>
      </c>
      <c r="D649" s="32" t="e">
        <v>#N/A</v>
      </c>
      <c r="E649" s="39"/>
      <c r="F649" s="32" t="e">
        <v>#N/A</v>
      </c>
      <c r="G649" s="39"/>
      <c r="H649" s="32" t="e">
        <v>#N/A</v>
      </c>
      <c r="I649" s="39"/>
      <c r="J649" s="32">
        <v>0.0</v>
      </c>
      <c r="K649" s="33" t="e">
        <v>#N/A</v>
      </c>
      <c r="L649" s="32" t="e">
        <v>#N/A</v>
      </c>
      <c r="M649" s="32" t="e">
        <v>#N/A</v>
      </c>
      <c r="N649" s="32" t="e">
        <v>#N/A</v>
      </c>
      <c r="O649" s="32" t="e">
        <v>#N/A</v>
      </c>
      <c r="P649" s="32" t="e">
        <v>#REF!</v>
      </c>
      <c r="Q649" s="32" t="e">
        <v>#N/A</v>
      </c>
      <c r="R649" s="42" t="e">
        <v>#N/A</v>
      </c>
      <c r="S649" s="42" t="e">
        <v>#N/A</v>
      </c>
      <c r="T649" s="36">
        <v>0.0</v>
      </c>
      <c r="U649" s="36">
        <v>0.0</v>
      </c>
      <c r="V649" s="36">
        <v>0.0</v>
      </c>
      <c r="W649" s="36">
        <v>0.0</v>
      </c>
      <c r="X649" s="36">
        <v>0.0</v>
      </c>
      <c r="Y649" s="36">
        <v>0.0</v>
      </c>
    </row>
    <row r="650">
      <c r="A650" s="32" t="s">
        <v>2565</v>
      </c>
      <c r="B650" s="32" t="s">
        <v>2565</v>
      </c>
      <c r="C650" s="32">
        <v>0.0</v>
      </c>
      <c r="D650" s="32" t="e">
        <v>#N/A</v>
      </c>
      <c r="E650" s="39"/>
      <c r="F650" s="32" t="e">
        <v>#N/A</v>
      </c>
      <c r="G650" s="39"/>
      <c r="H650" s="32" t="e">
        <v>#N/A</v>
      </c>
      <c r="I650" s="39"/>
      <c r="J650" s="32">
        <v>0.0</v>
      </c>
      <c r="K650" s="33" t="e">
        <v>#N/A</v>
      </c>
      <c r="L650" s="32" t="e">
        <v>#N/A</v>
      </c>
      <c r="M650" s="32" t="e">
        <v>#N/A</v>
      </c>
      <c r="N650" s="32" t="e">
        <v>#N/A</v>
      </c>
      <c r="O650" s="32" t="e">
        <v>#N/A</v>
      </c>
      <c r="P650" s="32" t="e">
        <v>#REF!</v>
      </c>
      <c r="Q650" s="32" t="e">
        <v>#N/A</v>
      </c>
      <c r="R650" s="42" t="e">
        <v>#N/A</v>
      </c>
      <c r="S650" s="42" t="e">
        <v>#N/A</v>
      </c>
      <c r="T650" s="36">
        <v>0.0</v>
      </c>
      <c r="U650" s="36">
        <v>0.0</v>
      </c>
      <c r="V650" s="36">
        <v>0.0</v>
      </c>
      <c r="W650" s="36">
        <v>0.0</v>
      </c>
      <c r="X650" s="36">
        <v>0.0</v>
      </c>
      <c r="Y650" s="36">
        <v>0.0</v>
      </c>
    </row>
    <row r="651">
      <c r="A651" s="32" t="s">
        <v>2568</v>
      </c>
      <c r="B651" s="32" t="s">
        <v>2568</v>
      </c>
      <c r="C651" s="32">
        <v>0.0</v>
      </c>
      <c r="D651" s="32" t="e">
        <v>#N/A</v>
      </c>
      <c r="E651" s="39"/>
      <c r="F651" s="32" t="e">
        <v>#N/A</v>
      </c>
      <c r="G651" s="39"/>
      <c r="H651" s="32" t="e">
        <v>#N/A</v>
      </c>
      <c r="I651" s="39"/>
      <c r="J651" s="32">
        <v>0.0</v>
      </c>
      <c r="K651" s="33" t="e">
        <v>#N/A</v>
      </c>
      <c r="L651" s="32" t="e">
        <v>#N/A</v>
      </c>
      <c r="M651" s="32" t="e">
        <v>#N/A</v>
      </c>
      <c r="N651" s="32" t="e">
        <v>#N/A</v>
      </c>
      <c r="O651" s="32" t="e">
        <v>#N/A</v>
      </c>
      <c r="P651" s="32" t="e">
        <v>#REF!</v>
      </c>
      <c r="Q651" s="32" t="e">
        <v>#N/A</v>
      </c>
      <c r="R651" s="42" t="e">
        <v>#N/A</v>
      </c>
      <c r="S651" s="42" t="e">
        <v>#N/A</v>
      </c>
      <c r="T651" s="36">
        <v>0.0</v>
      </c>
      <c r="U651" s="36">
        <v>0.0</v>
      </c>
      <c r="V651" s="36">
        <v>0.0</v>
      </c>
      <c r="W651" s="36">
        <v>0.0</v>
      </c>
      <c r="X651" s="36">
        <v>0.0</v>
      </c>
      <c r="Y651" s="36">
        <v>0.0</v>
      </c>
    </row>
    <row r="652">
      <c r="A652" s="32" t="s">
        <v>986</v>
      </c>
      <c r="B652" s="32" t="s">
        <v>986</v>
      </c>
      <c r="C652" s="32">
        <v>0.0</v>
      </c>
      <c r="D652" s="32">
        <v>0.0</v>
      </c>
      <c r="E652" s="39"/>
      <c r="F652" s="32" t="e">
        <v>#N/A</v>
      </c>
      <c r="G652" s="39"/>
      <c r="H652" s="32">
        <v>0.0</v>
      </c>
      <c r="I652" s="39"/>
      <c r="J652" s="32" t="s">
        <v>987</v>
      </c>
      <c r="K652" s="33" t="e">
        <v>#N/A</v>
      </c>
      <c r="L652" s="32" t="e">
        <v>#N/A</v>
      </c>
      <c r="M652" s="32" t="e">
        <v>#N/A</v>
      </c>
      <c r="N652" s="32" t="s">
        <v>5108</v>
      </c>
      <c r="O652" s="32" t="s">
        <v>52</v>
      </c>
      <c r="P652" s="32">
        <v>22999.0</v>
      </c>
      <c r="Q652" s="34">
        <v>19319.0</v>
      </c>
      <c r="R652" s="40">
        <v>20699.0</v>
      </c>
      <c r="S652" s="35">
        <v>18399.2</v>
      </c>
      <c r="T652" s="36">
        <v>0.0</v>
      </c>
      <c r="U652" s="36">
        <v>0.0</v>
      </c>
      <c r="V652" s="36">
        <v>0.0</v>
      </c>
      <c r="W652" s="36">
        <v>0.0</v>
      </c>
      <c r="X652" s="36">
        <v>0.0</v>
      </c>
      <c r="Y652" s="36">
        <v>0.0</v>
      </c>
    </row>
    <row r="653">
      <c r="A653" s="32" t="s">
        <v>2488</v>
      </c>
      <c r="B653" s="32" t="s">
        <v>2488</v>
      </c>
      <c r="C653" s="32">
        <v>0.0</v>
      </c>
      <c r="D653" s="32" t="e">
        <v>#N/A</v>
      </c>
      <c r="E653" s="39"/>
      <c r="F653" s="32" t="e">
        <v>#N/A</v>
      </c>
      <c r="G653" s="39"/>
      <c r="H653" s="32" t="e">
        <v>#N/A</v>
      </c>
      <c r="I653" s="39"/>
      <c r="J653" s="32">
        <v>0.0</v>
      </c>
      <c r="K653" s="33" t="e">
        <v>#N/A</v>
      </c>
      <c r="L653" s="32" t="e">
        <v>#N/A</v>
      </c>
      <c r="M653" s="32" t="e">
        <v>#N/A</v>
      </c>
      <c r="N653" s="32" t="e">
        <v>#N/A</v>
      </c>
      <c r="O653" s="32" t="e">
        <v>#N/A</v>
      </c>
      <c r="P653" s="32" t="e">
        <v>#REF!</v>
      </c>
      <c r="Q653" s="32" t="e">
        <v>#N/A</v>
      </c>
      <c r="R653" s="42" t="e">
        <v>#N/A</v>
      </c>
      <c r="S653" s="42" t="e">
        <v>#N/A</v>
      </c>
      <c r="T653" s="36">
        <v>0.0</v>
      </c>
      <c r="U653" s="36">
        <v>0.0</v>
      </c>
      <c r="V653" s="36">
        <v>0.0</v>
      </c>
      <c r="W653" s="36">
        <v>0.0</v>
      </c>
      <c r="X653" s="36">
        <v>0.0</v>
      </c>
      <c r="Y653" s="36">
        <v>0.0</v>
      </c>
    </row>
    <row r="654">
      <c r="A654" s="32" t="s">
        <v>4682</v>
      </c>
      <c r="B654" s="32" t="s">
        <v>4682</v>
      </c>
      <c r="C654" s="32">
        <v>0.0</v>
      </c>
      <c r="D654" s="32" t="e">
        <v>#N/A</v>
      </c>
      <c r="E654" s="39"/>
      <c r="F654" s="32" t="e">
        <v>#N/A</v>
      </c>
      <c r="G654" s="39"/>
      <c r="H654" s="32" t="e">
        <v>#N/A</v>
      </c>
      <c r="I654" s="39"/>
      <c r="J654" s="32">
        <v>0.0</v>
      </c>
      <c r="K654" s="33" t="e">
        <v>#N/A</v>
      </c>
      <c r="L654" s="32" t="e">
        <v>#N/A</v>
      </c>
      <c r="M654" s="32" t="e">
        <v>#N/A</v>
      </c>
      <c r="N654" s="32" t="e">
        <v>#N/A</v>
      </c>
      <c r="O654" s="32" t="e">
        <v>#N/A</v>
      </c>
      <c r="P654" s="32" t="e">
        <v>#REF!</v>
      </c>
      <c r="Q654" s="32" t="e">
        <v>#N/A</v>
      </c>
      <c r="R654" s="42" t="e">
        <v>#N/A</v>
      </c>
      <c r="S654" s="42" t="e">
        <v>#N/A</v>
      </c>
      <c r="T654" s="36">
        <v>0.0</v>
      </c>
      <c r="U654" s="36">
        <v>0.0</v>
      </c>
      <c r="V654" s="36">
        <v>0.0</v>
      </c>
      <c r="W654" s="36">
        <v>0.0</v>
      </c>
      <c r="X654" s="36">
        <v>0.0</v>
      </c>
      <c r="Y654" s="36">
        <v>0.0</v>
      </c>
    </row>
    <row r="655">
      <c r="A655" s="32" t="s">
        <v>4683</v>
      </c>
      <c r="B655" s="32" t="s">
        <v>4683</v>
      </c>
      <c r="C655" s="32">
        <v>0.0</v>
      </c>
      <c r="D655" s="32" t="e">
        <v>#N/A</v>
      </c>
      <c r="E655" s="39"/>
      <c r="F655" s="32" t="e">
        <v>#N/A</v>
      </c>
      <c r="G655" s="39"/>
      <c r="H655" s="32" t="e">
        <v>#N/A</v>
      </c>
      <c r="I655" s="39"/>
      <c r="J655" s="32">
        <v>0.0</v>
      </c>
      <c r="K655" s="33" t="e">
        <v>#N/A</v>
      </c>
      <c r="L655" s="32" t="e">
        <v>#N/A</v>
      </c>
      <c r="M655" s="32" t="e">
        <v>#N/A</v>
      </c>
      <c r="N655" s="32" t="e">
        <v>#N/A</v>
      </c>
      <c r="O655" s="32" t="e">
        <v>#N/A</v>
      </c>
      <c r="P655" s="32" t="e">
        <v>#REF!</v>
      </c>
      <c r="Q655" s="32" t="e">
        <v>#N/A</v>
      </c>
      <c r="R655" s="42" t="e">
        <v>#N/A</v>
      </c>
      <c r="S655" s="42" t="e">
        <v>#N/A</v>
      </c>
      <c r="T655" s="36">
        <v>0.0</v>
      </c>
      <c r="U655" s="36">
        <v>0.0</v>
      </c>
      <c r="V655" s="36">
        <v>0.0</v>
      </c>
      <c r="W655" s="36">
        <v>0.0</v>
      </c>
      <c r="X655" s="36">
        <v>0.0</v>
      </c>
      <c r="Y655" s="36">
        <v>0.0</v>
      </c>
    </row>
    <row r="656">
      <c r="A656" s="32" t="s">
        <v>2489</v>
      </c>
      <c r="B656" s="32" t="s">
        <v>2489</v>
      </c>
      <c r="C656" s="32">
        <v>0.0</v>
      </c>
      <c r="D656" s="32" t="e">
        <v>#N/A</v>
      </c>
      <c r="E656" s="39"/>
      <c r="F656" s="32" t="e">
        <v>#N/A</v>
      </c>
      <c r="G656" s="39"/>
      <c r="H656" s="32" t="e">
        <v>#N/A</v>
      </c>
      <c r="I656" s="39"/>
      <c r="J656" s="32">
        <v>0.0</v>
      </c>
      <c r="K656" s="33" t="e">
        <v>#N/A</v>
      </c>
      <c r="L656" s="32" t="e">
        <v>#N/A</v>
      </c>
      <c r="M656" s="32" t="e">
        <v>#N/A</v>
      </c>
      <c r="N656" s="32" t="e">
        <v>#N/A</v>
      </c>
      <c r="O656" s="32" t="e">
        <v>#N/A</v>
      </c>
      <c r="P656" s="32" t="e">
        <v>#REF!</v>
      </c>
      <c r="Q656" s="32" t="e">
        <v>#N/A</v>
      </c>
      <c r="R656" s="42" t="e">
        <v>#N/A</v>
      </c>
      <c r="S656" s="42" t="e">
        <v>#N/A</v>
      </c>
      <c r="T656" s="36">
        <v>0.0</v>
      </c>
      <c r="U656" s="36">
        <v>0.0</v>
      </c>
      <c r="V656" s="36">
        <v>0.0</v>
      </c>
      <c r="W656" s="36">
        <v>0.0</v>
      </c>
      <c r="X656" s="36">
        <v>0.0</v>
      </c>
      <c r="Y656" s="36">
        <v>0.0</v>
      </c>
    </row>
    <row r="657">
      <c r="A657" s="32" t="s">
        <v>4716</v>
      </c>
      <c r="B657" s="32" t="s">
        <v>4716</v>
      </c>
      <c r="C657" s="32">
        <v>0.0</v>
      </c>
      <c r="D657" s="32" t="e">
        <v>#N/A</v>
      </c>
      <c r="E657" s="39"/>
      <c r="F657" s="32" t="e">
        <v>#N/A</v>
      </c>
      <c r="G657" s="39"/>
      <c r="H657" s="32" t="e">
        <v>#N/A</v>
      </c>
      <c r="I657" s="39"/>
      <c r="J657" s="32">
        <v>0.0</v>
      </c>
      <c r="K657" s="33" t="e">
        <v>#N/A</v>
      </c>
      <c r="L657" s="32" t="e">
        <v>#N/A</v>
      </c>
      <c r="M657" s="32" t="e">
        <v>#N/A</v>
      </c>
      <c r="N657" s="32" t="e">
        <v>#N/A</v>
      </c>
      <c r="O657" s="32" t="e">
        <v>#N/A</v>
      </c>
      <c r="P657" s="32" t="e">
        <v>#REF!</v>
      </c>
      <c r="Q657" s="32" t="e">
        <v>#N/A</v>
      </c>
      <c r="R657" s="42" t="e">
        <v>#N/A</v>
      </c>
      <c r="S657" s="42" t="e">
        <v>#N/A</v>
      </c>
      <c r="T657" s="36">
        <v>0.0</v>
      </c>
      <c r="U657" s="36">
        <v>0.0</v>
      </c>
      <c r="V657" s="36">
        <v>0.0</v>
      </c>
      <c r="W657" s="36">
        <v>0.0</v>
      </c>
      <c r="X657" s="36">
        <v>0.0</v>
      </c>
      <c r="Y657" s="36">
        <v>0.0</v>
      </c>
    </row>
    <row r="658">
      <c r="A658" s="32" t="s">
        <v>4717</v>
      </c>
      <c r="B658" s="32" t="s">
        <v>4717</v>
      </c>
      <c r="C658" s="32">
        <v>0.0</v>
      </c>
      <c r="D658" s="32" t="e">
        <v>#N/A</v>
      </c>
      <c r="E658" s="39"/>
      <c r="F658" s="32" t="e">
        <v>#N/A</v>
      </c>
      <c r="G658" s="39"/>
      <c r="H658" s="32" t="e">
        <v>#N/A</v>
      </c>
      <c r="I658" s="39"/>
      <c r="J658" s="32">
        <v>0.0</v>
      </c>
      <c r="K658" s="33" t="e">
        <v>#N/A</v>
      </c>
      <c r="L658" s="32" t="e">
        <v>#N/A</v>
      </c>
      <c r="M658" s="32" t="e">
        <v>#N/A</v>
      </c>
      <c r="N658" s="32" t="e">
        <v>#N/A</v>
      </c>
      <c r="O658" s="32" t="e">
        <v>#N/A</v>
      </c>
      <c r="P658" s="32" t="e">
        <v>#REF!</v>
      </c>
      <c r="Q658" s="32" t="e">
        <v>#N/A</v>
      </c>
      <c r="R658" s="42" t="e">
        <v>#N/A</v>
      </c>
      <c r="S658" s="42" t="e">
        <v>#N/A</v>
      </c>
      <c r="T658" s="36">
        <v>0.0</v>
      </c>
      <c r="U658" s="36">
        <v>0.0</v>
      </c>
      <c r="V658" s="36">
        <v>0.0</v>
      </c>
      <c r="W658" s="36">
        <v>0.0</v>
      </c>
      <c r="X658" s="36">
        <v>0.0</v>
      </c>
      <c r="Y658" s="36">
        <v>0.0</v>
      </c>
    </row>
    <row r="659">
      <c r="A659" s="32" t="s">
        <v>4718</v>
      </c>
      <c r="B659" s="32" t="s">
        <v>4718</v>
      </c>
      <c r="C659" s="32">
        <v>0.0</v>
      </c>
      <c r="D659" s="32" t="e">
        <v>#N/A</v>
      </c>
      <c r="E659" s="39"/>
      <c r="F659" s="32" t="e">
        <v>#N/A</v>
      </c>
      <c r="G659" s="39"/>
      <c r="H659" s="32" t="e">
        <v>#N/A</v>
      </c>
      <c r="I659" s="39"/>
      <c r="J659" s="32">
        <v>0.0</v>
      </c>
      <c r="K659" s="33" t="e">
        <v>#N/A</v>
      </c>
      <c r="L659" s="32" t="e">
        <v>#N/A</v>
      </c>
      <c r="M659" s="32" t="e">
        <v>#N/A</v>
      </c>
      <c r="N659" s="32" t="e">
        <v>#N/A</v>
      </c>
      <c r="O659" s="32" t="e">
        <v>#N/A</v>
      </c>
      <c r="P659" s="32" t="e">
        <v>#REF!</v>
      </c>
      <c r="Q659" s="32" t="e">
        <v>#N/A</v>
      </c>
      <c r="R659" s="42" t="e">
        <v>#N/A</v>
      </c>
      <c r="S659" s="42" t="e">
        <v>#N/A</v>
      </c>
      <c r="T659" s="36">
        <v>0.0</v>
      </c>
      <c r="U659" s="36">
        <v>0.0</v>
      </c>
      <c r="V659" s="36">
        <v>0.0</v>
      </c>
      <c r="W659" s="36">
        <v>0.0</v>
      </c>
      <c r="X659" s="36">
        <v>0.0</v>
      </c>
      <c r="Y659" s="36">
        <v>0.0</v>
      </c>
    </row>
    <row r="660">
      <c r="A660" s="32" t="s">
        <v>4719</v>
      </c>
      <c r="B660" s="32" t="s">
        <v>4719</v>
      </c>
      <c r="C660" s="32">
        <v>0.0</v>
      </c>
      <c r="D660" s="32" t="e">
        <v>#N/A</v>
      </c>
      <c r="E660" s="39"/>
      <c r="F660" s="32" t="e">
        <v>#N/A</v>
      </c>
      <c r="G660" s="39"/>
      <c r="H660" s="32" t="e">
        <v>#N/A</v>
      </c>
      <c r="I660" s="39"/>
      <c r="J660" s="32">
        <v>0.0</v>
      </c>
      <c r="K660" s="33" t="e">
        <v>#N/A</v>
      </c>
      <c r="L660" s="32" t="e">
        <v>#N/A</v>
      </c>
      <c r="M660" s="32" t="e">
        <v>#N/A</v>
      </c>
      <c r="N660" s="32" t="e">
        <v>#N/A</v>
      </c>
      <c r="O660" s="32" t="e">
        <v>#N/A</v>
      </c>
      <c r="P660" s="32" t="e">
        <v>#REF!</v>
      </c>
      <c r="Q660" s="32" t="e">
        <v>#N/A</v>
      </c>
      <c r="R660" s="42" t="e">
        <v>#N/A</v>
      </c>
      <c r="S660" s="42" t="e">
        <v>#N/A</v>
      </c>
      <c r="T660" s="36">
        <v>0.0</v>
      </c>
      <c r="U660" s="36">
        <v>0.0</v>
      </c>
      <c r="V660" s="36">
        <v>0.0</v>
      </c>
      <c r="W660" s="36">
        <v>0.0</v>
      </c>
      <c r="X660" s="36">
        <v>0.0</v>
      </c>
      <c r="Y660" s="36">
        <v>0.0</v>
      </c>
    </row>
    <row r="661">
      <c r="A661" s="32" t="s">
        <v>2491</v>
      </c>
      <c r="B661" s="32" t="s">
        <v>2491</v>
      </c>
      <c r="C661" s="32">
        <v>0.0</v>
      </c>
      <c r="D661" s="32" t="e">
        <v>#N/A</v>
      </c>
      <c r="E661" s="39"/>
      <c r="F661" s="32" t="e">
        <v>#N/A</v>
      </c>
      <c r="G661" s="39"/>
      <c r="H661" s="32" t="e">
        <v>#N/A</v>
      </c>
      <c r="I661" s="39"/>
      <c r="J661" s="32">
        <v>0.0</v>
      </c>
      <c r="K661" s="33" t="e">
        <v>#N/A</v>
      </c>
      <c r="L661" s="32" t="e">
        <v>#N/A</v>
      </c>
      <c r="M661" s="32" t="e">
        <v>#N/A</v>
      </c>
      <c r="N661" s="32" t="e">
        <v>#N/A</v>
      </c>
      <c r="O661" s="32" t="e">
        <v>#N/A</v>
      </c>
      <c r="P661" s="32" t="e">
        <v>#REF!</v>
      </c>
      <c r="Q661" s="32" t="e">
        <v>#N/A</v>
      </c>
      <c r="R661" s="42" t="e">
        <v>#N/A</v>
      </c>
      <c r="S661" s="42" t="e">
        <v>#N/A</v>
      </c>
      <c r="T661" s="36">
        <v>0.0</v>
      </c>
      <c r="U661" s="36">
        <v>0.0</v>
      </c>
      <c r="V661" s="36">
        <v>0.0</v>
      </c>
      <c r="W661" s="36">
        <v>0.0</v>
      </c>
      <c r="X661" s="36">
        <v>0.0</v>
      </c>
      <c r="Y661" s="36">
        <v>0.0</v>
      </c>
    </row>
    <row r="662">
      <c r="A662" s="32" t="s">
        <v>2492</v>
      </c>
      <c r="B662" s="32" t="s">
        <v>2492</v>
      </c>
      <c r="C662" s="32">
        <v>0.0</v>
      </c>
      <c r="D662" s="32" t="e">
        <v>#N/A</v>
      </c>
      <c r="E662" s="39"/>
      <c r="F662" s="32" t="e">
        <v>#N/A</v>
      </c>
      <c r="G662" s="39"/>
      <c r="H662" s="32" t="e">
        <v>#N/A</v>
      </c>
      <c r="I662" s="39"/>
      <c r="J662" s="32">
        <v>0.0</v>
      </c>
      <c r="K662" s="33" t="e">
        <v>#N/A</v>
      </c>
      <c r="L662" s="32" t="e">
        <v>#N/A</v>
      </c>
      <c r="M662" s="32" t="e">
        <v>#N/A</v>
      </c>
      <c r="N662" s="32" t="e">
        <v>#N/A</v>
      </c>
      <c r="O662" s="32" t="e">
        <v>#N/A</v>
      </c>
      <c r="P662" s="32" t="e">
        <v>#REF!</v>
      </c>
      <c r="Q662" s="32" t="e">
        <v>#N/A</v>
      </c>
      <c r="R662" s="42" t="e">
        <v>#N/A</v>
      </c>
      <c r="S662" s="42" t="e">
        <v>#N/A</v>
      </c>
      <c r="T662" s="36">
        <v>0.0</v>
      </c>
      <c r="U662" s="36">
        <v>0.0</v>
      </c>
      <c r="V662" s="36">
        <v>0.0</v>
      </c>
      <c r="W662" s="36">
        <v>0.0</v>
      </c>
      <c r="X662" s="36">
        <v>0.0</v>
      </c>
      <c r="Y662" s="36">
        <v>0.0</v>
      </c>
    </row>
    <row r="663">
      <c r="A663" s="32" t="s">
        <v>4720</v>
      </c>
      <c r="B663" s="32" t="s">
        <v>4720</v>
      </c>
      <c r="C663" s="32">
        <v>0.0</v>
      </c>
      <c r="D663" s="32" t="e">
        <v>#N/A</v>
      </c>
      <c r="E663" s="39"/>
      <c r="F663" s="32" t="e">
        <v>#N/A</v>
      </c>
      <c r="G663" s="39"/>
      <c r="H663" s="32" t="e">
        <v>#N/A</v>
      </c>
      <c r="I663" s="39"/>
      <c r="J663" s="32">
        <v>0.0</v>
      </c>
      <c r="K663" s="33" t="e">
        <v>#N/A</v>
      </c>
      <c r="L663" s="32" t="e">
        <v>#N/A</v>
      </c>
      <c r="M663" s="32" t="e">
        <v>#N/A</v>
      </c>
      <c r="N663" s="32" t="e">
        <v>#N/A</v>
      </c>
      <c r="O663" s="32" t="e">
        <v>#N/A</v>
      </c>
      <c r="P663" s="32" t="e">
        <v>#REF!</v>
      </c>
      <c r="Q663" s="32" t="e">
        <v>#N/A</v>
      </c>
      <c r="R663" s="42" t="e">
        <v>#N/A</v>
      </c>
      <c r="S663" s="42" t="e">
        <v>#N/A</v>
      </c>
      <c r="T663" s="36">
        <v>0.0</v>
      </c>
      <c r="U663" s="36">
        <v>0.0</v>
      </c>
      <c r="V663" s="36">
        <v>0.0</v>
      </c>
      <c r="W663" s="36">
        <v>0.0</v>
      </c>
      <c r="X663" s="36">
        <v>0.0</v>
      </c>
      <c r="Y663" s="36">
        <v>0.0</v>
      </c>
    </row>
    <row r="664">
      <c r="A664" s="32" t="s">
        <v>4721</v>
      </c>
      <c r="B664" s="32" t="s">
        <v>4721</v>
      </c>
      <c r="C664" s="32">
        <v>0.0</v>
      </c>
      <c r="D664" s="32" t="e">
        <v>#N/A</v>
      </c>
      <c r="E664" s="39"/>
      <c r="F664" s="32" t="e">
        <v>#N/A</v>
      </c>
      <c r="G664" s="39"/>
      <c r="H664" s="32" t="e">
        <v>#N/A</v>
      </c>
      <c r="I664" s="39"/>
      <c r="J664" s="32">
        <v>0.0</v>
      </c>
      <c r="K664" s="33" t="e">
        <v>#N/A</v>
      </c>
      <c r="L664" s="32" t="e">
        <v>#N/A</v>
      </c>
      <c r="M664" s="32" t="e">
        <v>#N/A</v>
      </c>
      <c r="N664" s="32" t="e">
        <v>#N/A</v>
      </c>
      <c r="O664" s="32" t="e">
        <v>#N/A</v>
      </c>
      <c r="P664" s="32" t="e">
        <v>#REF!</v>
      </c>
      <c r="Q664" s="32" t="e">
        <v>#N/A</v>
      </c>
      <c r="R664" s="42" t="e">
        <v>#N/A</v>
      </c>
      <c r="S664" s="42" t="e">
        <v>#N/A</v>
      </c>
      <c r="T664" s="36">
        <v>0.0</v>
      </c>
      <c r="U664" s="36">
        <v>0.0</v>
      </c>
      <c r="V664" s="36">
        <v>0.0</v>
      </c>
      <c r="W664" s="36">
        <v>0.0</v>
      </c>
      <c r="X664" s="36">
        <v>0.0</v>
      </c>
      <c r="Y664" s="36">
        <v>0.0</v>
      </c>
    </row>
    <row r="665">
      <c r="A665" s="32" t="s">
        <v>2490</v>
      </c>
      <c r="B665" s="32" t="s">
        <v>2490</v>
      </c>
      <c r="C665" s="32">
        <v>0.0</v>
      </c>
      <c r="D665" s="32" t="e">
        <v>#N/A</v>
      </c>
      <c r="E665" s="39"/>
      <c r="F665" s="32" t="e">
        <v>#N/A</v>
      </c>
      <c r="G665" s="39"/>
      <c r="H665" s="32" t="e">
        <v>#N/A</v>
      </c>
      <c r="I665" s="39"/>
      <c r="J665" s="32">
        <v>0.0</v>
      </c>
      <c r="K665" s="33" t="e">
        <v>#N/A</v>
      </c>
      <c r="L665" s="32" t="e">
        <v>#N/A</v>
      </c>
      <c r="M665" s="32" t="e">
        <v>#N/A</v>
      </c>
      <c r="N665" s="32" t="e">
        <v>#N/A</v>
      </c>
      <c r="O665" s="32" t="e">
        <v>#N/A</v>
      </c>
      <c r="P665" s="32" t="e">
        <v>#REF!</v>
      </c>
      <c r="Q665" s="32" t="e">
        <v>#N/A</v>
      </c>
      <c r="R665" s="42" t="e">
        <v>#N/A</v>
      </c>
      <c r="S665" s="42" t="e">
        <v>#N/A</v>
      </c>
      <c r="T665" s="36">
        <v>0.0</v>
      </c>
      <c r="U665" s="36">
        <v>0.0</v>
      </c>
      <c r="V665" s="36">
        <v>0.0</v>
      </c>
      <c r="W665" s="36">
        <v>0.0</v>
      </c>
      <c r="X665" s="36">
        <v>0.0</v>
      </c>
      <c r="Y665" s="36">
        <v>0.0</v>
      </c>
    </row>
    <row r="666">
      <c r="A666" s="32" t="s">
        <v>4722</v>
      </c>
      <c r="B666" s="32" t="s">
        <v>4722</v>
      </c>
      <c r="C666" s="32">
        <v>0.0</v>
      </c>
      <c r="D666" s="32" t="e">
        <v>#N/A</v>
      </c>
      <c r="E666" s="39"/>
      <c r="F666" s="32" t="e">
        <v>#N/A</v>
      </c>
      <c r="G666" s="39"/>
      <c r="H666" s="32" t="e">
        <v>#N/A</v>
      </c>
      <c r="I666" s="39"/>
      <c r="J666" s="32">
        <v>0.0</v>
      </c>
      <c r="K666" s="33" t="e">
        <v>#N/A</v>
      </c>
      <c r="L666" s="32" t="e">
        <v>#N/A</v>
      </c>
      <c r="M666" s="32" t="e">
        <v>#N/A</v>
      </c>
      <c r="N666" s="32" t="e">
        <v>#N/A</v>
      </c>
      <c r="O666" s="32" t="e">
        <v>#N/A</v>
      </c>
      <c r="P666" s="32" t="e">
        <v>#REF!</v>
      </c>
      <c r="Q666" s="32" t="e">
        <v>#N/A</v>
      </c>
      <c r="R666" s="42" t="e">
        <v>#N/A</v>
      </c>
      <c r="S666" s="42" t="e">
        <v>#N/A</v>
      </c>
      <c r="T666" s="36">
        <v>0.0</v>
      </c>
      <c r="U666" s="36">
        <v>0.0</v>
      </c>
      <c r="V666" s="36">
        <v>0.0</v>
      </c>
      <c r="W666" s="36">
        <v>0.0</v>
      </c>
      <c r="X666" s="36">
        <v>0.0</v>
      </c>
      <c r="Y666" s="36">
        <v>0.0</v>
      </c>
    </row>
    <row r="667">
      <c r="A667" s="32" t="s">
        <v>4723</v>
      </c>
      <c r="B667" s="32" t="s">
        <v>4723</v>
      </c>
      <c r="C667" s="32">
        <v>0.0</v>
      </c>
      <c r="D667" s="32" t="e">
        <v>#N/A</v>
      </c>
      <c r="E667" s="39"/>
      <c r="F667" s="32" t="e">
        <v>#N/A</v>
      </c>
      <c r="G667" s="39"/>
      <c r="H667" s="32" t="e">
        <v>#N/A</v>
      </c>
      <c r="I667" s="39"/>
      <c r="J667" s="32">
        <v>0.0</v>
      </c>
      <c r="K667" s="33" t="e">
        <v>#N/A</v>
      </c>
      <c r="L667" s="32" t="e">
        <v>#N/A</v>
      </c>
      <c r="M667" s="32" t="e">
        <v>#N/A</v>
      </c>
      <c r="N667" s="32" t="e">
        <v>#N/A</v>
      </c>
      <c r="O667" s="32" t="e">
        <v>#N/A</v>
      </c>
      <c r="P667" s="32" t="e">
        <v>#REF!</v>
      </c>
      <c r="Q667" s="32" t="e">
        <v>#N/A</v>
      </c>
      <c r="R667" s="42" t="e">
        <v>#N/A</v>
      </c>
      <c r="S667" s="42" t="e">
        <v>#N/A</v>
      </c>
      <c r="T667" s="36">
        <v>0.0</v>
      </c>
      <c r="U667" s="36">
        <v>0.0</v>
      </c>
      <c r="V667" s="36">
        <v>0.0</v>
      </c>
      <c r="W667" s="36">
        <v>0.0</v>
      </c>
      <c r="X667" s="36">
        <v>0.0</v>
      </c>
      <c r="Y667" s="36">
        <v>0.0</v>
      </c>
    </row>
    <row r="668">
      <c r="A668" s="32" t="s">
        <v>4724</v>
      </c>
      <c r="B668" s="32" t="s">
        <v>4724</v>
      </c>
      <c r="C668" s="32">
        <v>0.0</v>
      </c>
      <c r="D668" s="32" t="e">
        <v>#N/A</v>
      </c>
      <c r="E668" s="39"/>
      <c r="F668" s="32" t="e">
        <v>#N/A</v>
      </c>
      <c r="G668" s="39"/>
      <c r="H668" s="32" t="e">
        <v>#N/A</v>
      </c>
      <c r="I668" s="39"/>
      <c r="J668" s="32">
        <v>0.0</v>
      </c>
      <c r="K668" s="33" t="e">
        <v>#N/A</v>
      </c>
      <c r="L668" s="32" t="e">
        <v>#N/A</v>
      </c>
      <c r="M668" s="32" t="e">
        <v>#N/A</v>
      </c>
      <c r="N668" s="32" t="e">
        <v>#N/A</v>
      </c>
      <c r="O668" s="32" t="e">
        <v>#N/A</v>
      </c>
      <c r="P668" s="32" t="e">
        <v>#REF!</v>
      </c>
      <c r="Q668" s="32" t="e">
        <v>#N/A</v>
      </c>
      <c r="R668" s="42" t="e">
        <v>#N/A</v>
      </c>
      <c r="S668" s="42" t="e">
        <v>#N/A</v>
      </c>
      <c r="T668" s="36">
        <v>0.0</v>
      </c>
      <c r="U668" s="36">
        <v>0.0</v>
      </c>
      <c r="V668" s="36">
        <v>0.0</v>
      </c>
      <c r="W668" s="36">
        <v>0.0</v>
      </c>
      <c r="X668" s="36">
        <v>0.0</v>
      </c>
      <c r="Y668" s="36">
        <v>0.0</v>
      </c>
    </row>
    <row r="669">
      <c r="A669" s="32" t="s">
        <v>3803</v>
      </c>
      <c r="B669" s="32" t="s">
        <v>3803</v>
      </c>
      <c r="C669" s="32">
        <v>0.0</v>
      </c>
      <c r="D669" s="32" t="e">
        <v>#N/A</v>
      </c>
      <c r="E669" s="39"/>
      <c r="F669" s="32" t="e">
        <v>#N/A</v>
      </c>
      <c r="G669" s="39"/>
      <c r="H669" s="32" t="e">
        <v>#N/A</v>
      </c>
      <c r="I669" s="39"/>
      <c r="J669" s="32">
        <v>0.0</v>
      </c>
      <c r="K669" s="33" t="e">
        <v>#N/A</v>
      </c>
      <c r="L669" s="32" t="e">
        <v>#N/A</v>
      </c>
      <c r="M669" s="32" t="e">
        <v>#N/A</v>
      </c>
      <c r="N669" s="32" t="e">
        <v>#N/A</v>
      </c>
      <c r="O669" s="32" t="e">
        <v>#N/A</v>
      </c>
      <c r="P669" s="32" t="e">
        <v>#REF!</v>
      </c>
      <c r="Q669" s="32" t="e">
        <v>#N/A</v>
      </c>
      <c r="R669" s="42" t="e">
        <v>#N/A</v>
      </c>
      <c r="S669" s="42" t="e">
        <v>#N/A</v>
      </c>
      <c r="T669" s="36">
        <v>0.0</v>
      </c>
      <c r="U669" s="36">
        <v>0.0</v>
      </c>
      <c r="V669" s="36">
        <v>0.0</v>
      </c>
      <c r="W669" s="36">
        <v>0.0</v>
      </c>
      <c r="X669" s="36">
        <v>0.0</v>
      </c>
      <c r="Y669" s="36">
        <v>0.0</v>
      </c>
    </row>
    <row r="670">
      <c r="A670" s="32" t="s">
        <v>1980</v>
      </c>
      <c r="B670" s="32" t="s">
        <v>1980</v>
      </c>
      <c r="C670" s="32">
        <v>0.0</v>
      </c>
      <c r="D670" s="32" t="e">
        <v>#N/A</v>
      </c>
      <c r="E670" s="39"/>
      <c r="F670" s="32" t="e">
        <v>#N/A</v>
      </c>
      <c r="G670" s="39"/>
      <c r="H670" s="32" t="e">
        <v>#N/A</v>
      </c>
      <c r="I670" s="39"/>
      <c r="J670" s="32">
        <v>0.0</v>
      </c>
      <c r="K670" s="33" t="e">
        <v>#N/A</v>
      </c>
      <c r="L670" s="32" t="e">
        <v>#N/A</v>
      </c>
      <c r="M670" s="32" t="e">
        <v>#N/A</v>
      </c>
      <c r="N670" s="32" t="e">
        <v>#N/A</v>
      </c>
      <c r="O670" s="32" t="e">
        <v>#N/A</v>
      </c>
      <c r="P670" s="32" t="e">
        <v>#REF!</v>
      </c>
      <c r="Q670" s="32" t="e">
        <v>#N/A</v>
      </c>
      <c r="R670" s="42" t="e">
        <v>#N/A</v>
      </c>
      <c r="S670" s="42" t="e">
        <v>#N/A</v>
      </c>
      <c r="T670" s="36">
        <v>0.0</v>
      </c>
      <c r="U670" s="36">
        <v>0.0</v>
      </c>
      <c r="V670" s="36">
        <v>0.0</v>
      </c>
      <c r="W670" s="36">
        <v>0.0</v>
      </c>
      <c r="X670" s="36">
        <v>0.0</v>
      </c>
      <c r="Y670" s="36">
        <v>0.0</v>
      </c>
    </row>
    <row r="671">
      <c r="A671" s="32" t="s">
        <v>2468</v>
      </c>
      <c r="B671" s="32" t="s">
        <v>2468</v>
      </c>
      <c r="C671" s="32">
        <v>0.0</v>
      </c>
      <c r="D671" s="32" t="e">
        <v>#N/A</v>
      </c>
      <c r="E671" s="39"/>
      <c r="F671" s="32" t="e">
        <v>#N/A</v>
      </c>
      <c r="G671" s="39"/>
      <c r="H671" s="32" t="e">
        <v>#N/A</v>
      </c>
      <c r="I671" s="39"/>
      <c r="J671" s="32">
        <v>0.0</v>
      </c>
      <c r="K671" s="33" t="e">
        <v>#N/A</v>
      </c>
      <c r="L671" s="32" t="e">
        <v>#N/A</v>
      </c>
      <c r="M671" s="32" t="e">
        <v>#N/A</v>
      </c>
      <c r="N671" s="32" t="e">
        <v>#N/A</v>
      </c>
      <c r="O671" s="32" t="e">
        <v>#N/A</v>
      </c>
      <c r="P671" s="32" t="e">
        <v>#REF!</v>
      </c>
      <c r="Q671" s="32" t="e">
        <v>#N/A</v>
      </c>
      <c r="R671" s="42" t="e">
        <v>#N/A</v>
      </c>
      <c r="S671" s="42" t="e">
        <v>#N/A</v>
      </c>
      <c r="T671" s="36">
        <v>0.0</v>
      </c>
      <c r="U671" s="36">
        <v>0.0</v>
      </c>
      <c r="V671" s="36">
        <v>0.0</v>
      </c>
      <c r="W671" s="36">
        <v>0.0</v>
      </c>
      <c r="X671" s="36">
        <v>0.0</v>
      </c>
      <c r="Y671" s="36">
        <v>0.0</v>
      </c>
    </row>
    <row r="672">
      <c r="A672" s="32" t="s">
        <v>1143</v>
      </c>
      <c r="B672" s="32" t="s">
        <v>1143</v>
      </c>
      <c r="C672" s="32">
        <v>0.0</v>
      </c>
      <c r="D672" s="32" t="e">
        <v>#N/A</v>
      </c>
      <c r="E672" s="39"/>
      <c r="F672" s="32" t="e">
        <v>#N/A</v>
      </c>
      <c r="G672" s="39"/>
      <c r="H672" s="32" t="e">
        <v>#N/A</v>
      </c>
      <c r="I672" s="39"/>
      <c r="J672" s="32">
        <v>0.0</v>
      </c>
      <c r="K672" s="33" t="e">
        <v>#N/A</v>
      </c>
      <c r="L672" s="32" t="e">
        <v>#N/A</v>
      </c>
      <c r="M672" s="32" t="e">
        <v>#N/A</v>
      </c>
      <c r="N672" s="33" t="s">
        <v>1144</v>
      </c>
      <c r="O672" s="33" t="s">
        <v>1145</v>
      </c>
      <c r="P672" s="32" t="e">
        <v>#REF!</v>
      </c>
      <c r="Q672" s="32" t="e">
        <v>#N/A</v>
      </c>
      <c r="R672" s="42" t="e">
        <v>#N/A</v>
      </c>
      <c r="S672" s="42" t="e">
        <v>#N/A</v>
      </c>
      <c r="T672" s="36">
        <v>0.0</v>
      </c>
      <c r="U672" s="36">
        <v>0.0</v>
      </c>
      <c r="V672" s="36">
        <v>0.0</v>
      </c>
      <c r="W672" s="36">
        <v>0.0</v>
      </c>
      <c r="X672" s="36">
        <v>0.0</v>
      </c>
      <c r="Y672" s="36">
        <v>0.0</v>
      </c>
    </row>
    <row r="673">
      <c r="A673" s="32" t="s">
        <v>2469</v>
      </c>
      <c r="B673" s="32" t="s">
        <v>2469</v>
      </c>
      <c r="C673" s="32">
        <v>0.0</v>
      </c>
      <c r="D673" s="32" t="e">
        <v>#N/A</v>
      </c>
      <c r="E673" s="39"/>
      <c r="F673" s="32" t="e">
        <v>#N/A</v>
      </c>
      <c r="G673" s="39"/>
      <c r="H673" s="32" t="e">
        <v>#N/A</v>
      </c>
      <c r="I673" s="39"/>
      <c r="J673" s="32">
        <v>0.0</v>
      </c>
      <c r="K673" s="33" t="e">
        <v>#N/A</v>
      </c>
      <c r="L673" s="32" t="e">
        <v>#N/A</v>
      </c>
      <c r="M673" s="32" t="e">
        <v>#N/A</v>
      </c>
      <c r="N673" s="32" t="e">
        <v>#N/A</v>
      </c>
      <c r="O673" s="32" t="e">
        <v>#N/A</v>
      </c>
      <c r="P673" s="32" t="e">
        <v>#REF!</v>
      </c>
      <c r="Q673" s="32" t="e">
        <v>#N/A</v>
      </c>
      <c r="R673" s="42" t="e">
        <v>#N/A</v>
      </c>
      <c r="S673" s="42" t="e">
        <v>#N/A</v>
      </c>
      <c r="T673" s="36">
        <v>0.0</v>
      </c>
      <c r="U673" s="36">
        <v>0.0</v>
      </c>
      <c r="V673" s="36">
        <v>0.0</v>
      </c>
      <c r="W673" s="36">
        <v>0.0</v>
      </c>
      <c r="X673" s="36">
        <v>0.0</v>
      </c>
      <c r="Y673" s="36">
        <v>0.0</v>
      </c>
    </row>
    <row r="674">
      <c r="A674" s="32" t="s">
        <v>2461</v>
      </c>
      <c r="B674" s="32" t="s">
        <v>2461</v>
      </c>
      <c r="C674" s="32">
        <v>0.0</v>
      </c>
      <c r="D674" s="32" t="e">
        <v>#N/A</v>
      </c>
      <c r="E674" s="39"/>
      <c r="F674" s="32" t="e">
        <v>#N/A</v>
      </c>
      <c r="G674" s="39"/>
      <c r="H674" s="32" t="e">
        <v>#N/A</v>
      </c>
      <c r="I674" s="39"/>
      <c r="J674" s="32">
        <v>0.0</v>
      </c>
      <c r="K674" s="33" t="e">
        <v>#N/A</v>
      </c>
      <c r="L674" s="32" t="e">
        <v>#N/A</v>
      </c>
      <c r="M674" s="32" t="e">
        <v>#N/A</v>
      </c>
      <c r="N674" s="32" t="e">
        <v>#N/A</v>
      </c>
      <c r="O674" s="32" t="e">
        <v>#N/A</v>
      </c>
      <c r="P674" s="32" t="e">
        <v>#REF!</v>
      </c>
      <c r="Q674" s="32" t="e">
        <v>#N/A</v>
      </c>
      <c r="R674" s="42" t="e">
        <v>#N/A</v>
      </c>
      <c r="S674" s="42" t="e">
        <v>#N/A</v>
      </c>
      <c r="T674" s="36">
        <v>0.0</v>
      </c>
      <c r="U674" s="36">
        <v>0.0</v>
      </c>
      <c r="V674" s="36">
        <v>0.0</v>
      </c>
      <c r="W674" s="36">
        <v>0.0</v>
      </c>
      <c r="X674" s="36">
        <v>0.0</v>
      </c>
      <c r="Y674" s="36">
        <v>0.0</v>
      </c>
    </row>
    <row r="675">
      <c r="A675" s="32" t="s">
        <v>4564</v>
      </c>
      <c r="B675" s="32" t="s">
        <v>4564</v>
      </c>
      <c r="C675" s="32">
        <v>0.0</v>
      </c>
      <c r="D675" s="32">
        <v>0.0</v>
      </c>
      <c r="E675" s="39"/>
      <c r="F675" s="32" t="e">
        <v>#N/A</v>
      </c>
      <c r="G675" s="39"/>
      <c r="H675" s="32">
        <v>0.0</v>
      </c>
      <c r="I675" s="39"/>
      <c r="J675" s="32" t="s">
        <v>4566</v>
      </c>
      <c r="K675" s="33" t="e">
        <v>#N/A</v>
      </c>
      <c r="L675" s="32" t="e">
        <v>#N/A</v>
      </c>
      <c r="M675" s="32" t="e">
        <v>#N/A</v>
      </c>
      <c r="N675" s="32" t="s">
        <v>5077</v>
      </c>
      <c r="O675" s="32" t="s">
        <v>4730</v>
      </c>
      <c r="P675" s="32">
        <v>1599.0</v>
      </c>
      <c r="Q675" s="34">
        <v>1519.0</v>
      </c>
      <c r="R675" s="40">
        <v>1519.0</v>
      </c>
      <c r="S675" s="35">
        <v>1439.1</v>
      </c>
      <c r="T675" s="36">
        <v>0.0</v>
      </c>
      <c r="U675" s="36">
        <v>0.0</v>
      </c>
      <c r="V675" s="36">
        <v>0.0</v>
      </c>
      <c r="W675" s="36">
        <v>0.0</v>
      </c>
      <c r="X675" s="36">
        <v>0.0</v>
      </c>
      <c r="Y675" s="36">
        <v>0.0</v>
      </c>
    </row>
    <row r="676">
      <c r="A676" s="32" t="s">
        <v>4575</v>
      </c>
      <c r="B676" s="32" t="s">
        <v>4575</v>
      </c>
      <c r="C676" s="32">
        <v>0.0</v>
      </c>
      <c r="D676" s="32">
        <v>0.0</v>
      </c>
      <c r="E676" s="39"/>
      <c r="F676" s="32" t="e">
        <v>#N/A</v>
      </c>
      <c r="G676" s="39"/>
      <c r="H676" s="32">
        <v>0.0</v>
      </c>
      <c r="I676" s="39"/>
      <c r="J676" s="32" t="s">
        <v>4577</v>
      </c>
      <c r="K676" s="33" t="e">
        <v>#N/A</v>
      </c>
      <c r="L676" s="32" t="e">
        <v>#N/A</v>
      </c>
      <c r="M676" s="32" t="e">
        <v>#N/A</v>
      </c>
      <c r="N676" s="32" t="s">
        <v>5077</v>
      </c>
      <c r="O676" s="32" t="s">
        <v>4730</v>
      </c>
      <c r="P676" s="32">
        <v>1499.0</v>
      </c>
      <c r="Q676" s="34">
        <v>1424.0</v>
      </c>
      <c r="R676" s="40">
        <v>1424.0</v>
      </c>
      <c r="S676" s="35">
        <v>1349.1</v>
      </c>
      <c r="T676" s="36">
        <v>0.0</v>
      </c>
      <c r="U676" s="36">
        <v>0.0</v>
      </c>
      <c r="V676" s="36">
        <v>0.0</v>
      </c>
      <c r="W676" s="36">
        <v>0.0</v>
      </c>
      <c r="X676" s="36">
        <v>0.0</v>
      </c>
      <c r="Y676" s="36">
        <v>0.0</v>
      </c>
    </row>
    <row r="677">
      <c r="A677" s="32" t="s">
        <v>4586</v>
      </c>
      <c r="B677" s="32" t="s">
        <v>4586</v>
      </c>
      <c r="C677" s="32">
        <v>0.0</v>
      </c>
      <c r="D677" s="32">
        <v>0.0</v>
      </c>
      <c r="E677" s="39"/>
      <c r="F677" s="32" t="e">
        <v>#N/A</v>
      </c>
      <c r="G677" s="39"/>
      <c r="H677" s="32">
        <v>0.0</v>
      </c>
      <c r="I677" s="39"/>
      <c r="J677" s="32" t="s">
        <v>4588</v>
      </c>
      <c r="K677" s="33" t="e">
        <v>#N/A</v>
      </c>
      <c r="L677" s="32" t="e">
        <v>#N/A</v>
      </c>
      <c r="M677" s="32" t="e">
        <v>#N/A</v>
      </c>
      <c r="N677" s="32" t="s">
        <v>5077</v>
      </c>
      <c r="O677" s="32" t="s">
        <v>4730</v>
      </c>
      <c r="P677" s="32">
        <v>1599.0</v>
      </c>
      <c r="Q677" s="34">
        <v>1519.0</v>
      </c>
      <c r="R677" s="40">
        <v>1519.0</v>
      </c>
      <c r="S677" s="35">
        <v>1439.1</v>
      </c>
      <c r="T677" s="36">
        <v>0.0</v>
      </c>
      <c r="U677" s="36">
        <v>0.0</v>
      </c>
      <c r="V677" s="36">
        <v>0.0</v>
      </c>
      <c r="W677" s="36">
        <v>0.0</v>
      </c>
      <c r="X677" s="36">
        <v>0.0</v>
      </c>
      <c r="Y677" s="36">
        <v>0.0</v>
      </c>
    </row>
    <row r="678">
      <c r="A678" s="32" t="s">
        <v>2494</v>
      </c>
      <c r="B678" s="32" t="s">
        <v>2494</v>
      </c>
      <c r="C678" s="32">
        <v>0.0</v>
      </c>
      <c r="D678" s="32" t="e">
        <v>#N/A</v>
      </c>
      <c r="E678" s="39"/>
      <c r="F678" s="32" t="e">
        <v>#N/A</v>
      </c>
      <c r="G678" s="39"/>
      <c r="H678" s="32" t="e">
        <v>#N/A</v>
      </c>
      <c r="I678" s="39"/>
      <c r="J678" s="32">
        <v>0.0</v>
      </c>
      <c r="K678" s="33" t="e">
        <v>#N/A</v>
      </c>
      <c r="L678" s="32" t="e">
        <v>#N/A</v>
      </c>
      <c r="M678" s="32" t="e">
        <v>#N/A</v>
      </c>
      <c r="N678" s="32" t="e">
        <v>#N/A</v>
      </c>
      <c r="O678" s="32" t="e">
        <v>#N/A</v>
      </c>
      <c r="P678" s="32" t="e">
        <v>#REF!</v>
      </c>
      <c r="Q678" s="32" t="e">
        <v>#N/A</v>
      </c>
      <c r="R678" s="42" t="e">
        <v>#N/A</v>
      </c>
      <c r="S678" s="42" t="e">
        <v>#N/A</v>
      </c>
      <c r="T678" s="36">
        <v>0.0</v>
      </c>
      <c r="U678" s="36">
        <v>0.0</v>
      </c>
      <c r="V678" s="36">
        <v>0.0</v>
      </c>
      <c r="W678" s="36">
        <v>0.0</v>
      </c>
      <c r="X678" s="36">
        <v>0.0</v>
      </c>
      <c r="Y678" s="36">
        <v>0.0</v>
      </c>
    </row>
    <row r="679">
      <c r="A679" s="32" t="s">
        <v>4695</v>
      </c>
      <c r="B679" s="32" t="s">
        <v>4695</v>
      </c>
      <c r="C679" s="32">
        <v>0.0</v>
      </c>
      <c r="D679" s="32" t="e">
        <v>#N/A</v>
      </c>
      <c r="E679" s="39"/>
      <c r="F679" s="32" t="e">
        <v>#N/A</v>
      </c>
      <c r="G679" s="39"/>
      <c r="H679" s="32" t="e">
        <v>#N/A</v>
      </c>
      <c r="I679" s="39"/>
      <c r="J679" s="32">
        <v>0.0</v>
      </c>
      <c r="K679" s="33" t="e">
        <v>#N/A</v>
      </c>
      <c r="L679" s="32" t="e">
        <v>#N/A</v>
      </c>
      <c r="M679" s="32" t="e">
        <v>#N/A</v>
      </c>
      <c r="N679" s="32" t="e">
        <v>#N/A</v>
      </c>
      <c r="O679" s="32" t="s">
        <v>5114</v>
      </c>
      <c r="P679" s="32" t="e">
        <v>#REF!</v>
      </c>
      <c r="Q679" s="32" t="e">
        <v>#N/A</v>
      </c>
      <c r="R679" s="42" t="e">
        <v>#N/A</v>
      </c>
      <c r="S679" s="42" t="e">
        <v>#N/A</v>
      </c>
      <c r="T679" s="36">
        <v>0.0</v>
      </c>
      <c r="U679" s="36">
        <v>0.0</v>
      </c>
      <c r="V679" s="36">
        <v>0.0</v>
      </c>
      <c r="W679" s="36">
        <v>0.0</v>
      </c>
      <c r="X679" s="36">
        <v>0.0</v>
      </c>
      <c r="Y679" s="36">
        <v>0.0</v>
      </c>
    </row>
    <row r="680">
      <c r="A680" s="32" t="s">
        <v>4696</v>
      </c>
      <c r="B680" s="32" t="s">
        <v>4696</v>
      </c>
      <c r="C680" s="32">
        <v>0.0</v>
      </c>
      <c r="D680" s="32" t="e">
        <v>#N/A</v>
      </c>
      <c r="E680" s="39"/>
      <c r="F680" s="32" t="e">
        <v>#N/A</v>
      </c>
      <c r="G680" s="39"/>
      <c r="H680" s="32" t="e">
        <v>#N/A</v>
      </c>
      <c r="I680" s="39"/>
      <c r="J680" s="32">
        <v>0.0</v>
      </c>
      <c r="K680" s="33" t="e">
        <v>#N/A</v>
      </c>
      <c r="L680" s="32" t="e">
        <v>#N/A</v>
      </c>
      <c r="M680" s="32" t="e">
        <v>#N/A</v>
      </c>
      <c r="N680" s="32" t="e">
        <v>#N/A</v>
      </c>
      <c r="O680" s="32" t="s">
        <v>5114</v>
      </c>
      <c r="P680" s="32" t="e">
        <v>#REF!</v>
      </c>
      <c r="Q680" s="32" t="e">
        <v>#N/A</v>
      </c>
      <c r="R680" s="42" t="e">
        <v>#N/A</v>
      </c>
      <c r="S680" s="42" t="e">
        <v>#N/A</v>
      </c>
      <c r="T680" s="36">
        <v>0.0</v>
      </c>
      <c r="U680" s="36">
        <v>0.0</v>
      </c>
      <c r="V680" s="36">
        <v>0.0</v>
      </c>
      <c r="W680" s="36">
        <v>0.0</v>
      </c>
      <c r="X680" s="36">
        <v>0.0</v>
      </c>
      <c r="Y680" s="36">
        <v>0.0</v>
      </c>
    </row>
    <row r="681">
      <c r="A681" s="32" t="s">
        <v>2495</v>
      </c>
      <c r="B681" s="32" t="s">
        <v>2495</v>
      </c>
      <c r="C681" s="32">
        <v>0.0</v>
      </c>
      <c r="D681" s="32" t="e">
        <v>#N/A</v>
      </c>
      <c r="E681" s="39"/>
      <c r="F681" s="32" t="e">
        <v>#N/A</v>
      </c>
      <c r="G681" s="39"/>
      <c r="H681" s="32" t="e">
        <v>#N/A</v>
      </c>
      <c r="I681" s="39"/>
      <c r="J681" s="32">
        <v>0.0</v>
      </c>
      <c r="K681" s="33" t="e">
        <v>#N/A</v>
      </c>
      <c r="L681" s="32" t="e">
        <v>#N/A</v>
      </c>
      <c r="M681" s="32" t="e">
        <v>#N/A</v>
      </c>
      <c r="N681" s="32" t="e">
        <v>#N/A</v>
      </c>
      <c r="O681" s="32" t="s">
        <v>5114</v>
      </c>
      <c r="P681" s="32" t="e">
        <v>#REF!</v>
      </c>
      <c r="Q681" s="32" t="e">
        <v>#N/A</v>
      </c>
      <c r="R681" s="42" t="e">
        <v>#N/A</v>
      </c>
      <c r="S681" s="42" t="e">
        <v>#N/A</v>
      </c>
      <c r="T681" s="36">
        <v>0.0</v>
      </c>
      <c r="U681" s="36">
        <v>0.0</v>
      </c>
      <c r="V681" s="36">
        <v>0.0</v>
      </c>
      <c r="W681" s="36">
        <v>0.0</v>
      </c>
      <c r="X681" s="36">
        <v>0.0</v>
      </c>
      <c r="Y681" s="36">
        <v>0.0</v>
      </c>
    </row>
    <row r="682">
      <c r="A682" s="32" t="s">
        <v>4697</v>
      </c>
      <c r="B682" s="32" t="s">
        <v>4697</v>
      </c>
      <c r="C682" s="32">
        <v>0.0</v>
      </c>
      <c r="D682" s="32" t="e">
        <v>#N/A</v>
      </c>
      <c r="E682" s="39"/>
      <c r="F682" s="32" t="e">
        <v>#N/A</v>
      </c>
      <c r="G682" s="39"/>
      <c r="H682" s="32" t="e">
        <v>#N/A</v>
      </c>
      <c r="I682" s="39"/>
      <c r="J682" s="32">
        <v>0.0</v>
      </c>
      <c r="K682" s="33" t="e">
        <v>#N/A</v>
      </c>
      <c r="L682" s="32" t="e">
        <v>#N/A</v>
      </c>
      <c r="M682" s="32" t="e">
        <v>#N/A</v>
      </c>
      <c r="N682" s="32" t="e">
        <v>#N/A</v>
      </c>
      <c r="O682" s="32" t="s">
        <v>5114</v>
      </c>
      <c r="P682" s="32" t="e">
        <v>#REF!</v>
      </c>
      <c r="Q682" s="32" t="e">
        <v>#N/A</v>
      </c>
      <c r="R682" s="42" t="e">
        <v>#N/A</v>
      </c>
      <c r="S682" s="42" t="e">
        <v>#N/A</v>
      </c>
      <c r="T682" s="36">
        <v>0.0</v>
      </c>
      <c r="U682" s="36">
        <v>0.0</v>
      </c>
      <c r="V682" s="36">
        <v>0.0</v>
      </c>
      <c r="W682" s="36">
        <v>0.0</v>
      </c>
      <c r="X682" s="36">
        <v>0.0</v>
      </c>
      <c r="Y682" s="36">
        <v>0.0</v>
      </c>
    </row>
    <row r="683">
      <c r="A683" s="32" t="s">
        <v>4698</v>
      </c>
      <c r="B683" s="32" t="s">
        <v>4698</v>
      </c>
      <c r="C683" s="32">
        <v>0.0</v>
      </c>
      <c r="D683" s="32" t="e">
        <v>#N/A</v>
      </c>
      <c r="E683" s="39"/>
      <c r="F683" s="32" t="e">
        <v>#N/A</v>
      </c>
      <c r="G683" s="39"/>
      <c r="H683" s="32" t="e">
        <v>#N/A</v>
      </c>
      <c r="I683" s="39"/>
      <c r="J683" s="32">
        <v>0.0</v>
      </c>
      <c r="K683" s="33" t="e">
        <v>#N/A</v>
      </c>
      <c r="L683" s="32" t="e">
        <v>#N/A</v>
      </c>
      <c r="M683" s="32" t="e">
        <v>#N/A</v>
      </c>
      <c r="N683" s="32" t="e">
        <v>#N/A</v>
      </c>
      <c r="O683" s="32" t="s">
        <v>5114</v>
      </c>
      <c r="P683" s="32" t="e">
        <v>#REF!</v>
      </c>
      <c r="Q683" s="32" t="e">
        <v>#N/A</v>
      </c>
      <c r="R683" s="42" t="e">
        <v>#N/A</v>
      </c>
      <c r="S683" s="42" t="e">
        <v>#N/A</v>
      </c>
      <c r="T683" s="36">
        <v>0.0</v>
      </c>
      <c r="U683" s="36">
        <v>0.0</v>
      </c>
      <c r="V683" s="36">
        <v>0.0</v>
      </c>
      <c r="W683" s="36">
        <v>0.0</v>
      </c>
      <c r="X683" s="36">
        <v>0.0</v>
      </c>
      <c r="Y683" s="36">
        <v>0.0</v>
      </c>
    </row>
    <row r="684">
      <c r="A684" s="32" t="s">
        <v>2499</v>
      </c>
      <c r="B684" s="32" t="s">
        <v>2499</v>
      </c>
      <c r="C684" s="32">
        <v>0.0</v>
      </c>
      <c r="D684" s="32" t="e">
        <v>#N/A</v>
      </c>
      <c r="E684" s="39"/>
      <c r="F684" s="32" t="e">
        <v>#N/A</v>
      </c>
      <c r="G684" s="39"/>
      <c r="H684" s="32" t="e">
        <v>#N/A</v>
      </c>
      <c r="I684" s="39"/>
      <c r="J684" s="32">
        <v>0.0</v>
      </c>
      <c r="K684" s="33" t="e">
        <v>#N/A</v>
      </c>
      <c r="L684" s="32" t="e">
        <v>#N/A</v>
      </c>
      <c r="M684" s="32" t="e">
        <v>#N/A</v>
      </c>
      <c r="N684" s="32" t="e">
        <v>#N/A</v>
      </c>
      <c r="O684" s="32" t="s">
        <v>5114</v>
      </c>
      <c r="P684" s="32" t="e">
        <v>#REF!</v>
      </c>
      <c r="Q684" s="32" t="e">
        <v>#N/A</v>
      </c>
      <c r="R684" s="42" t="e">
        <v>#N/A</v>
      </c>
      <c r="S684" s="42" t="e">
        <v>#N/A</v>
      </c>
      <c r="T684" s="36">
        <v>0.0</v>
      </c>
      <c r="U684" s="36">
        <v>0.0</v>
      </c>
      <c r="V684" s="36">
        <v>0.0</v>
      </c>
      <c r="W684" s="36">
        <v>0.0</v>
      </c>
      <c r="X684" s="36">
        <v>0.0</v>
      </c>
      <c r="Y684" s="36">
        <v>0.0</v>
      </c>
    </row>
    <row r="685">
      <c r="A685" s="32" t="s">
        <v>4699</v>
      </c>
      <c r="B685" s="32" t="s">
        <v>4699</v>
      </c>
      <c r="C685" s="32">
        <v>0.0</v>
      </c>
      <c r="D685" s="32" t="e">
        <v>#N/A</v>
      </c>
      <c r="E685" s="39"/>
      <c r="F685" s="32" t="e">
        <v>#N/A</v>
      </c>
      <c r="G685" s="39"/>
      <c r="H685" s="32" t="e">
        <v>#N/A</v>
      </c>
      <c r="I685" s="39"/>
      <c r="J685" s="32">
        <v>0.0</v>
      </c>
      <c r="K685" s="33" t="e">
        <v>#N/A</v>
      </c>
      <c r="L685" s="32" t="e">
        <v>#N/A</v>
      </c>
      <c r="M685" s="32" t="e">
        <v>#N/A</v>
      </c>
      <c r="N685" s="32" t="e">
        <v>#N/A</v>
      </c>
      <c r="O685" s="32" t="s">
        <v>5114</v>
      </c>
      <c r="P685" s="32" t="e">
        <v>#REF!</v>
      </c>
      <c r="Q685" s="32" t="e">
        <v>#N/A</v>
      </c>
      <c r="R685" s="42" t="e">
        <v>#N/A</v>
      </c>
      <c r="S685" s="42" t="e">
        <v>#N/A</v>
      </c>
      <c r="T685" s="36">
        <v>0.0</v>
      </c>
      <c r="U685" s="36">
        <v>0.0</v>
      </c>
      <c r="V685" s="36">
        <v>0.0</v>
      </c>
      <c r="W685" s="36">
        <v>0.0</v>
      </c>
      <c r="X685" s="36">
        <v>0.0</v>
      </c>
      <c r="Y685" s="36">
        <v>0.0</v>
      </c>
    </row>
    <row r="686">
      <c r="A686" s="32" t="s">
        <v>4700</v>
      </c>
      <c r="B686" s="32" t="s">
        <v>4700</v>
      </c>
      <c r="C686" s="32">
        <v>0.0</v>
      </c>
      <c r="D686" s="32" t="e">
        <v>#N/A</v>
      </c>
      <c r="E686" s="39"/>
      <c r="F686" s="32" t="e">
        <v>#N/A</v>
      </c>
      <c r="G686" s="39"/>
      <c r="H686" s="32" t="e">
        <v>#N/A</v>
      </c>
      <c r="I686" s="39"/>
      <c r="J686" s="32">
        <v>0.0</v>
      </c>
      <c r="K686" s="33" t="e">
        <v>#N/A</v>
      </c>
      <c r="L686" s="32" t="e">
        <v>#N/A</v>
      </c>
      <c r="M686" s="32" t="e">
        <v>#N/A</v>
      </c>
      <c r="N686" s="32" t="e">
        <v>#N/A</v>
      </c>
      <c r="O686" s="32" t="s">
        <v>5114</v>
      </c>
      <c r="P686" s="32" t="e">
        <v>#REF!</v>
      </c>
      <c r="Q686" s="32" t="e">
        <v>#N/A</v>
      </c>
      <c r="R686" s="42" t="e">
        <v>#N/A</v>
      </c>
      <c r="S686" s="42" t="e">
        <v>#N/A</v>
      </c>
      <c r="T686" s="36">
        <v>0.0</v>
      </c>
      <c r="U686" s="36">
        <v>0.0</v>
      </c>
      <c r="V686" s="36">
        <v>0.0</v>
      </c>
      <c r="W686" s="36">
        <v>0.0</v>
      </c>
      <c r="X686" s="36">
        <v>0.0</v>
      </c>
      <c r="Y686" s="36">
        <v>0.0</v>
      </c>
    </row>
    <row r="687">
      <c r="A687" s="32" t="s">
        <v>2500</v>
      </c>
      <c r="B687" s="32" t="s">
        <v>2500</v>
      </c>
      <c r="C687" s="32">
        <v>0.0</v>
      </c>
      <c r="D687" s="32" t="e">
        <v>#N/A</v>
      </c>
      <c r="E687" s="39"/>
      <c r="F687" s="32" t="e">
        <v>#N/A</v>
      </c>
      <c r="G687" s="39"/>
      <c r="H687" s="32" t="e">
        <v>#N/A</v>
      </c>
      <c r="I687" s="39"/>
      <c r="J687" s="32">
        <v>0.0</v>
      </c>
      <c r="K687" s="33" t="e">
        <v>#N/A</v>
      </c>
      <c r="L687" s="32" t="e">
        <v>#N/A</v>
      </c>
      <c r="M687" s="32" t="e">
        <v>#N/A</v>
      </c>
      <c r="N687" s="32" t="e">
        <v>#N/A</v>
      </c>
      <c r="O687" s="32" t="s">
        <v>5114</v>
      </c>
      <c r="P687" s="32" t="e">
        <v>#REF!</v>
      </c>
      <c r="Q687" s="32" t="e">
        <v>#N/A</v>
      </c>
      <c r="R687" s="42" t="e">
        <v>#N/A</v>
      </c>
      <c r="S687" s="42" t="e">
        <v>#N/A</v>
      </c>
      <c r="T687" s="36">
        <v>0.0</v>
      </c>
      <c r="U687" s="36">
        <v>0.0</v>
      </c>
      <c r="V687" s="36">
        <v>0.0</v>
      </c>
      <c r="W687" s="36">
        <v>0.0</v>
      </c>
      <c r="X687" s="36">
        <v>0.0</v>
      </c>
      <c r="Y687" s="36">
        <v>0.0</v>
      </c>
    </row>
    <row r="688">
      <c r="A688" s="32" t="s">
        <v>4701</v>
      </c>
      <c r="B688" s="32" t="s">
        <v>4701</v>
      </c>
      <c r="C688" s="32">
        <v>0.0</v>
      </c>
      <c r="D688" s="32" t="e">
        <v>#N/A</v>
      </c>
      <c r="E688" s="39"/>
      <c r="F688" s="32" t="e">
        <v>#N/A</v>
      </c>
      <c r="G688" s="39"/>
      <c r="H688" s="32" t="e">
        <v>#N/A</v>
      </c>
      <c r="I688" s="39"/>
      <c r="J688" s="32">
        <v>0.0</v>
      </c>
      <c r="K688" s="33" t="e">
        <v>#N/A</v>
      </c>
      <c r="L688" s="32" t="e">
        <v>#N/A</v>
      </c>
      <c r="M688" s="32" t="e">
        <v>#N/A</v>
      </c>
      <c r="N688" s="32" t="e">
        <v>#N/A</v>
      </c>
      <c r="O688" s="32" t="s">
        <v>5114</v>
      </c>
      <c r="P688" s="32" t="e">
        <v>#REF!</v>
      </c>
      <c r="Q688" s="32" t="e">
        <v>#N/A</v>
      </c>
      <c r="R688" s="42" t="e">
        <v>#N/A</v>
      </c>
      <c r="S688" s="42" t="e">
        <v>#N/A</v>
      </c>
      <c r="T688" s="36">
        <v>0.0</v>
      </c>
      <c r="U688" s="36">
        <v>0.0</v>
      </c>
      <c r="V688" s="36">
        <v>0.0</v>
      </c>
      <c r="W688" s="36">
        <v>0.0</v>
      </c>
      <c r="X688" s="36">
        <v>0.0</v>
      </c>
      <c r="Y688" s="36">
        <v>0.0</v>
      </c>
    </row>
    <row r="689">
      <c r="A689" s="32" t="s">
        <v>4702</v>
      </c>
      <c r="B689" s="32" t="s">
        <v>4702</v>
      </c>
      <c r="C689" s="32">
        <v>0.0</v>
      </c>
      <c r="D689" s="32" t="e">
        <v>#N/A</v>
      </c>
      <c r="E689" s="39"/>
      <c r="F689" s="32" t="e">
        <v>#N/A</v>
      </c>
      <c r="G689" s="39"/>
      <c r="H689" s="32" t="e">
        <v>#N/A</v>
      </c>
      <c r="I689" s="39"/>
      <c r="J689" s="32">
        <v>0.0</v>
      </c>
      <c r="K689" s="33" t="e">
        <v>#N/A</v>
      </c>
      <c r="L689" s="32" t="e">
        <v>#N/A</v>
      </c>
      <c r="M689" s="32" t="e">
        <v>#N/A</v>
      </c>
      <c r="N689" s="32" t="e">
        <v>#N/A</v>
      </c>
      <c r="O689" s="32" t="s">
        <v>5114</v>
      </c>
      <c r="P689" s="32" t="e">
        <v>#REF!</v>
      </c>
      <c r="Q689" s="32" t="e">
        <v>#N/A</v>
      </c>
      <c r="R689" s="42" t="e">
        <v>#N/A</v>
      </c>
      <c r="S689" s="42" t="e">
        <v>#N/A</v>
      </c>
      <c r="T689" s="36">
        <v>0.0</v>
      </c>
      <c r="U689" s="36">
        <v>0.0</v>
      </c>
      <c r="V689" s="36">
        <v>0.0</v>
      </c>
      <c r="W689" s="36">
        <v>0.0</v>
      </c>
      <c r="X689" s="36">
        <v>0.0</v>
      </c>
      <c r="Y689" s="36">
        <v>0.0</v>
      </c>
    </row>
    <row r="690">
      <c r="A690" s="32" t="s">
        <v>2501</v>
      </c>
      <c r="B690" s="32" t="s">
        <v>2501</v>
      </c>
      <c r="C690" s="32">
        <v>0.0</v>
      </c>
      <c r="D690" s="32" t="e">
        <v>#N/A</v>
      </c>
      <c r="E690" s="39"/>
      <c r="F690" s="32" t="e">
        <v>#N/A</v>
      </c>
      <c r="G690" s="39"/>
      <c r="H690" s="32" t="e">
        <v>#N/A</v>
      </c>
      <c r="I690" s="39"/>
      <c r="J690" s="32">
        <v>0.0</v>
      </c>
      <c r="K690" s="33" t="e">
        <v>#N/A</v>
      </c>
      <c r="L690" s="32" t="e">
        <v>#N/A</v>
      </c>
      <c r="M690" s="32" t="e">
        <v>#N/A</v>
      </c>
      <c r="N690" s="32" t="e">
        <v>#N/A</v>
      </c>
      <c r="O690" s="32" t="s">
        <v>5114</v>
      </c>
      <c r="P690" s="32" t="e">
        <v>#REF!</v>
      </c>
      <c r="Q690" s="32" t="e">
        <v>#N/A</v>
      </c>
      <c r="R690" s="42" t="e">
        <v>#N/A</v>
      </c>
      <c r="S690" s="42" t="e">
        <v>#N/A</v>
      </c>
      <c r="T690" s="36">
        <v>0.0</v>
      </c>
      <c r="U690" s="36">
        <v>0.0</v>
      </c>
      <c r="V690" s="36">
        <v>0.0</v>
      </c>
      <c r="W690" s="36">
        <v>0.0</v>
      </c>
      <c r="X690" s="36">
        <v>0.0</v>
      </c>
      <c r="Y690" s="36">
        <v>0.0</v>
      </c>
    </row>
    <row r="691">
      <c r="A691" s="32" t="s">
        <v>4703</v>
      </c>
      <c r="B691" s="32" t="s">
        <v>4703</v>
      </c>
      <c r="C691" s="32">
        <v>0.0</v>
      </c>
      <c r="D691" s="32" t="e">
        <v>#N/A</v>
      </c>
      <c r="E691" s="39"/>
      <c r="F691" s="32" t="e">
        <v>#N/A</v>
      </c>
      <c r="G691" s="39"/>
      <c r="H691" s="32" t="e">
        <v>#N/A</v>
      </c>
      <c r="I691" s="39"/>
      <c r="J691" s="32">
        <v>0.0</v>
      </c>
      <c r="K691" s="33" t="e">
        <v>#N/A</v>
      </c>
      <c r="L691" s="32" t="e">
        <v>#N/A</v>
      </c>
      <c r="M691" s="32" t="e">
        <v>#N/A</v>
      </c>
      <c r="N691" s="32" t="e">
        <v>#N/A</v>
      </c>
      <c r="O691" s="32" t="s">
        <v>5114</v>
      </c>
      <c r="P691" s="32" t="e">
        <v>#REF!</v>
      </c>
      <c r="Q691" s="32" t="e">
        <v>#N/A</v>
      </c>
      <c r="R691" s="42" t="e">
        <v>#N/A</v>
      </c>
      <c r="S691" s="42" t="e">
        <v>#N/A</v>
      </c>
      <c r="T691" s="36">
        <v>0.0</v>
      </c>
      <c r="U691" s="36">
        <v>0.0</v>
      </c>
      <c r="V691" s="36">
        <v>0.0</v>
      </c>
      <c r="W691" s="36">
        <v>0.0</v>
      </c>
      <c r="X691" s="36">
        <v>0.0</v>
      </c>
      <c r="Y691" s="36">
        <v>0.0</v>
      </c>
    </row>
    <row r="692">
      <c r="A692" s="32" t="s">
        <v>4704</v>
      </c>
      <c r="B692" s="32" t="s">
        <v>4704</v>
      </c>
      <c r="C692" s="32">
        <v>0.0</v>
      </c>
      <c r="D692" s="32" t="e">
        <v>#N/A</v>
      </c>
      <c r="E692" s="39"/>
      <c r="F692" s="32" t="e">
        <v>#N/A</v>
      </c>
      <c r="G692" s="39"/>
      <c r="H692" s="32" t="e">
        <v>#N/A</v>
      </c>
      <c r="I692" s="39"/>
      <c r="J692" s="32">
        <v>0.0</v>
      </c>
      <c r="K692" s="33" t="e">
        <v>#N/A</v>
      </c>
      <c r="L692" s="32" t="e">
        <v>#N/A</v>
      </c>
      <c r="M692" s="32" t="e">
        <v>#N/A</v>
      </c>
      <c r="N692" s="32" t="e">
        <v>#N/A</v>
      </c>
      <c r="O692" s="32" t="s">
        <v>5114</v>
      </c>
      <c r="P692" s="32" t="e">
        <v>#REF!</v>
      </c>
      <c r="Q692" s="32" t="e">
        <v>#N/A</v>
      </c>
      <c r="R692" s="42" t="e">
        <v>#N/A</v>
      </c>
      <c r="S692" s="42" t="e">
        <v>#N/A</v>
      </c>
      <c r="T692" s="36">
        <v>0.0</v>
      </c>
      <c r="U692" s="36">
        <v>0.0</v>
      </c>
      <c r="V692" s="36">
        <v>0.0</v>
      </c>
      <c r="W692" s="36">
        <v>0.0</v>
      </c>
      <c r="X692" s="36">
        <v>0.0</v>
      </c>
      <c r="Y692" s="36">
        <v>0.0</v>
      </c>
    </row>
    <row r="693">
      <c r="A693" s="32" t="s">
        <v>2496</v>
      </c>
      <c r="B693" s="32" t="s">
        <v>2496</v>
      </c>
      <c r="C693" s="32">
        <v>0.0</v>
      </c>
      <c r="D693" s="32" t="e">
        <v>#N/A</v>
      </c>
      <c r="E693" s="39"/>
      <c r="F693" s="32" t="e">
        <v>#N/A</v>
      </c>
      <c r="G693" s="39"/>
      <c r="H693" s="32" t="e">
        <v>#N/A</v>
      </c>
      <c r="I693" s="39"/>
      <c r="J693" s="32">
        <v>0.0</v>
      </c>
      <c r="K693" s="33" t="e">
        <v>#N/A</v>
      </c>
      <c r="L693" s="32" t="e">
        <v>#N/A</v>
      </c>
      <c r="M693" s="32" t="e">
        <v>#N/A</v>
      </c>
      <c r="N693" s="32" t="e">
        <v>#N/A</v>
      </c>
      <c r="O693" s="32" t="s">
        <v>5114</v>
      </c>
      <c r="P693" s="32" t="e">
        <v>#REF!</v>
      </c>
      <c r="Q693" s="32" t="e">
        <v>#N/A</v>
      </c>
      <c r="R693" s="42" t="e">
        <v>#N/A</v>
      </c>
      <c r="S693" s="42" t="e">
        <v>#N/A</v>
      </c>
      <c r="T693" s="36">
        <v>0.0</v>
      </c>
      <c r="U693" s="36">
        <v>0.0</v>
      </c>
      <c r="V693" s="36">
        <v>0.0</v>
      </c>
      <c r="W693" s="36">
        <v>0.0</v>
      </c>
      <c r="X693" s="36">
        <v>0.0</v>
      </c>
      <c r="Y693" s="36">
        <v>0.0</v>
      </c>
    </row>
    <row r="694">
      <c r="A694" s="32" t="s">
        <v>4705</v>
      </c>
      <c r="B694" s="32" t="s">
        <v>4705</v>
      </c>
      <c r="C694" s="32">
        <v>0.0</v>
      </c>
      <c r="D694" s="32" t="e">
        <v>#N/A</v>
      </c>
      <c r="E694" s="39"/>
      <c r="F694" s="32" t="e">
        <v>#N/A</v>
      </c>
      <c r="G694" s="39"/>
      <c r="H694" s="32" t="e">
        <v>#N/A</v>
      </c>
      <c r="I694" s="39"/>
      <c r="J694" s="32">
        <v>0.0</v>
      </c>
      <c r="K694" s="33" t="e">
        <v>#N/A</v>
      </c>
      <c r="L694" s="32" t="e">
        <v>#N/A</v>
      </c>
      <c r="M694" s="32" t="e">
        <v>#N/A</v>
      </c>
      <c r="N694" s="32" t="e">
        <v>#N/A</v>
      </c>
      <c r="O694" s="32" t="s">
        <v>5114</v>
      </c>
      <c r="P694" s="32" t="e">
        <v>#REF!</v>
      </c>
      <c r="Q694" s="32" t="e">
        <v>#N/A</v>
      </c>
      <c r="R694" s="42" t="e">
        <v>#N/A</v>
      </c>
      <c r="S694" s="42" t="e">
        <v>#N/A</v>
      </c>
      <c r="T694" s="36">
        <v>0.0</v>
      </c>
      <c r="U694" s="36">
        <v>0.0</v>
      </c>
      <c r="V694" s="36">
        <v>0.0</v>
      </c>
      <c r="W694" s="36">
        <v>0.0</v>
      </c>
      <c r="X694" s="36">
        <v>0.0</v>
      </c>
      <c r="Y694" s="36">
        <v>0.0</v>
      </c>
    </row>
    <row r="695">
      <c r="A695" s="32" t="s">
        <v>4706</v>
      </c>
      <c r="B695" s="32" t="s">
        <v>4706</v>
      </c>
      <c r="C695" s="32">
        <v>0.0</v>
      </c>
      <c r="D695" s="32" t="e">
        <v>#N/A</v>
      </c>
      <c r="E695" s="39"/>
      <c r="F695" s="32" t="e">
        <v>#N/A</v>
      </c>
      <c r="G695" s="39"/>
      <c r="H695" s="32" t="e">
        <v>#N/A</v>
      </c>
      <c r="I695" s="39"/>
      <c r="J695" s="32">
        <v>0.0</v>
      </c>
      <c r="K695" s="33" t="e">
        <v>#N/A</v>
      </c>
      <c r="L695" s="32" t="e">
        <v>#N/A</v>
      </c>
      <c r="M695" s="32" t="e">
        <v>#N/A</v>
      </c>
      <c r="N695" s="32" t="e">
        <v>#N/A</v>
      </c>
      <c r="O695" s="32" t="s">
        <v>5114</v>
      </c>
      <c r="P695" s="32" t="e">
        <v>#REF!</v>
      </c>
      <c r="Q695" s="32" t="e">
        <v>#N/A</v>
      </c>
      <c r="R695" s="42" t="e">
        <v>#N/A</v>
      </c>
      <c r="S695" s="42" t="e">
        <v>#N/A</v>
      </c>
      <c r="T695" s="36">
        <v>0.0</v>
      </c>
      <c r="U695" s="36">
        <v>0.0</v>
      </c>
      <c r="V695" s="36">
        <v>0.0</v>
      </c>
      <c r="W695" s="36">
        <v>0.0</v>
      </c>
      <c r="X695" s="36">
        <v>0.0</v>
      </c>
      <c r="Y695" s="36">
        <v>0.0</v>
      </c>
    </row>
    <row r="696">
      <c r="A696" s="32" t="s">
        <v>4707</v>
      </c>
      <c r="B696" s="32" t="s">
        <v>4707</v>
      </c>
      <c r="C696" s="32">
        <v>0.0</v>
      </c>
      <c r="D696" s="32" t="e">
        <v>#N/A</v>
      </c>
      <c r="E696" s="39"/>
      <c r="F696" s="32" t="e">
        <v>#N/A</v>
      </c>
      <c r="G696" s="39"/>
      <c r="H696" s="32" t="e">
        <v>#N/A</v>
      </c>
      <c r="I696" s="39"/>
      <c r="J696" s="32">
        <v>0.0</v>
      </c>
      <c r="K696" s="33" t="e">
        <v>#N/A</v>
      </c>
      <c r="L696" s="32" t="e">
        <v>#N/A</v>
      </c>
      <c r="M696" s="32" t="e">
        <v>#N/A</v>
      </c>
      <c r="N696" s="32" t="e">
        <v>#N/A</v>
      </c>
      <c r="O696" s="32" t="s">
        <v>5114</v>
      </c>
      <c r="P696" s="32" t="e">
        <v>#REF!</v>
      </c>
      <c r="Q696" s="32" t="e">
        <v>#N/A</v>
      </c>
      <c r="R696" s="42" t="e">
        <v>#N/A</v>
      </c>
      <c r="S696" s="42" t="e">
        <v>#N/A</v>
      </c>
      <c r="T696" s="36">
        <v>0.0</v>
      </c>
      <c r="U696" s="36">
        <v>0.0</v>
      </c>
      <c r="V696" s="36">
        <v>0.0</v>
      </c>
      <c r="W696" s="36">
        <v>0.0</v>
      </c>
      <c r="X696" s="36">
        <v>0.0</v>
      </c>
      <c r="Y696" s="36">
        <v>0.0</v>
      </c>
    </row>
    <row r="697">
      <c r="A697" s="32" t="s">
        <v>2497</v>
      </c>
      <c r="B697" s="32" t="s">
        <v>2497</v>
      </c>
      <c r="C697" s="32">
        <v>0.0</v>
      </c>
      <c r="D697" s="32" t="e">
        <v>#N/A</v>
      </c>
      <c r="E697" s="39"/>
      <c r="F697" s="32" t="e">
        <v>#N/A</v>
      </c>
      <c r="G697" s="39"/>
      <c r="H697" s="32" t="e">
        <v>#N/A</v>
      </c>
      <c r="I697" s="39"/>
      <c r="J697" s="32">
        <v>0.0</v>
      </c>
      <c r="K697" s="33" t="e">
        <v>#N/A</v>
      </c>
      <c r="L697" s="32" t="e">
        <v>#N/A</v>
      </c>
      <c r="M697" s="32" t="e">
        <v>#N/A</v>
      </c>
      <c r="N697" s="32" t="e">
        <v>#N/A</v>
      </c>
      <c r="O697" s="32" t="s">
        <v>5114</v>
      </c>
      <c r="P697" s="32" t="e">
        <v>#REF!</v>
      </c>
      <c r="Q697" s="32" t="e">
        <v>#N/A</v>
      </c>
      <c r="R697" s="42" t="e">
        <v>#N/A</v>
      </c>
      <c r="S697" s="42" t="e">
        <v>#N/A</v>
      </c>
      <c r="T697" s="36">
        <v>0.0</v>
      </c>
      <c r="U697" s="36">
        <v>0.0</v>
      </c>
      <c r="V697" s="36">
        <v>0.0</v>
      </c>
      <c r="W697" s="36">
        <v>0.0</v>
      </c>
      <c r="X697" s="36">
        <v>0.0</v>
      </c>
      <c r="Y697" s="36">
        <v>0.0</v>
      </c>
    </row>
    <row r="698">
      <c r="A698" s="32" t="s">
        <v>4708</v>
      </c>
      <c r="B698" s="32" t="s">
        <v>4708</v>
      </c>
      <c r="C698" s="32">
        <v>0.0</v>
      </c>
      <c r="D698" s="32" t="e">
        <v>#N/A</v>
      </c>
      <c r="E698" s="39"/>
      <c r="F698" s="32" t="e">
        <v>#N/A</v>
      </c>
      <c r="G698" s="39"/>
      <c r="H698" s="32" t="e">
        <v>#N/A</v>
      </c>
      <c r="I698" s="39"/>
      <c r="J698" s="32">
        <v>0.0</v>
      </c>
      <c r="K698" s="33" t="e">
        <v>#N/A</v>
      </c>
      <c r="L698" s="32" t="e">
        <v>#N/A</v>
      </c>
      <c r="M698" s="32" t="e">
        <v>#N/A</v>
      </c>
      <c r="N698" s="32" t="e">
        <v>#N/A</v>
      </c>
      <c r="O698" s="32" t="s">
        <v>5114</v>
      </c>
      <c r="P698" s="32" t="e">
        <v>#REF!</v>
      </c>
      <c r="Q698" s="32" t="e">
        <v>#N/A</v>
      </c>
      <c r="R698" s="42" t="e">
        <v>#N/A</v>
      </c>
      <c r="S698" s="42" t="e">
        <v>#N/A</v>
      </c>
      <c r="T698" s="36">
        <v>0.0</v>
      </c>
      <c r="U698" s="36">
        <v>0.0</v>
      </c>
      <c r="V698" s="36">
        <v>0.0</v>
      </c>
      <c r="W698" s="36">
        <v>0.0</v>
      </c>
      <c r="X698" s="36">
        <v>0.0</v>
      </c>
      <c r="Y698" s="36">
        <v>0.0</v>
      </c>
    </row>
    <row r="699">
      <c r="A699" s="32" t="s">
        <v>4710</v>
      </c>
      <c r="B699" s="32" t="s">
        <v>4710</v>
      </c>
      <c r="C699" s="32">
        <v>0.0</v>
      </c>
      <c r="D699" s="32" t="e">
        <v>#N/A</v>
      </c>
      <c r="E699" s="39"/>
      <c r="F699" s="32" t="e">
        <v>#N/A</v>
      </c>
      <c r="G699" s="39"/>
      <c r="H699" s="32" t="e">
        <v>#N/A</v>
      </c>
      <c r="I699" s="39"/>
      <c r="J699" s="32">
        <v>0.0</v>
      </c>
      <c r="K699" s="33" t="e">
        <v>#N/A</v>
      </c>
      <c r="L699" s="32" t="e">
        <v>#N/A</v>
      </c>
      <c r="M699" s="32" t="e">
        <v>#N/A</v>
      </c>
      <c r="N699" s="32" t="e">
        <v>#N/A</v>
      </c>
      <c r="O699" s="32" t="s">
        <v>5114</v>
      </c>
      <c r="P699" s="32" t="e">
        <v>#REF!</v>
      </c>
      <c r="Q699" s="32" t="e">
        <v>#N/A</v>
      </c>
      <c r="R699" s="42" t="e">
        <v>#N/A</v>
      </c>
      <c r="S699" s="42" t="e">
        <v>#N/A</v>
      </c>
      <c r="T699" s="36">
        <v>0.0</v>
      </c>
      <c r="U699" s="36">
        <v>0.0</v>
      </c>
      <c r="V699" s="36">
        <v>0.0</v>
      </c>
      <c r="W699" s="36">
        <v>0.0</v>
      </c>
      <c r="X699" s="36">
        <v>0.0</v>
      </c>
      <c r="Y699" s="36">
        <v>0.0</v>
      </c>
    </row>
    <row r="700">
      <c r="A700" s="32" t="s">
        <v>4709</v>
      </c>
      <c r="B700" s="32" t="s">
        <v>4709</v>
      </c>
      <c r="C700" s="32">
        <v>0.0</v>
      </c>
      <c r="D700" s="32" t="e">
        <v>#N/A</v>
      </c>
      <c r="E700" s="39"/>
      <c r="F700" s="32" t="e">
        <v>#N/A</v>
      </c>
      <c r="G700" s="39"/>
      <c r="H700" s="32" t="e">
        <v>#N/A</v>
      </c>
      <c r="I700" s="39"/>
      <c r="J700" s="32">
        <v>0.0</v>
      </c>
      <c r="K700" s="33" t="e">
        <v>#N/A</v>
      </c>
      <c r="L700" s="32" t="e">
        <v>#N/A</v>
      </c>
      <c r="M700" s="32" t="e">
        <v>#N/A</v>
      </c>
      <c r="N700" s="32" t="e">
        <v>#N/A</v>
      </c>
      <c r="O700" s="32" t="s">
        <v>5114</v>
      </c>
      <c r="P700" s="32" t="e">
        <v>#REF!</v>
      </c>
      <c r="Q700" s="32" t="e">
        <v>#N/A</v>
      </c>
      <c r="R700" s="42" t="e">
        <v>#N/A</v>
      </c>
      <c r="S700" s="42" t="e">
        <v>#N/A</v>
      </c>
      <c r="T700" s="36">
        <v>0.0</v>
      </c>
      <c r="U700" s="36">
        <v>0.0</v>
      </c>
      <c r="V700" s="36">
        <v>0.0</v>
      </c>
      <c r="W700" s="36">
        <v>0.0</v>
      </c>
      <c r="X700" s="36">
        <v>0.0</v>
      </c>
      <c r="Y700" s="36">
        <v>0.0</v>
      </c>
    </row>
    <row r="701">
      <c r="A701" s="32" t="s">
        <v>2498</v>
      </c>
      <c r="B701" s="32" t="s">
        <v>2498</v>
      </c>
      <c r="C701" s="32">
        <v>0.0</v>
      </c>
      <c r="D701" s="32" t="e">
        <v>#N/A</v>
      </c>
      <c r="E701" s="39"/>
      <c r="F701" s="32" t="e">
        <v>#N/A</v>
      </c>
      <c r="G701" s="39"/>
      <c r="H701" s="32" t="e">
        <v>#N/A</v>
      </c>
      <c r="I701" s="39"/>
      <c r="J701" s="32">
        <v>0.0</v>
      </c>
      <c r="K701" s="33" t="e">
        <v>#N/A</v>
      </c>
      <c r="L701" s="32" t="e">
        <v>#N/A</v>
      </c>
      <c r="M701" s="32" t="e">
        <v>#N/A</v>
      </c>
      <c r="N701" s="32" t="e">
        <v>#N/A</v>
      </c>
      <c r="O701" s="32" t="s">
        <v>5114</v>
      </c>
      <c r="P701" s="32" t="e">
        <v>#REF!</v>
      </c>
      <c r="Q701" s="32" t="e">
        <v>#N/A</v>
      </c>
      <c r="R701" s="42" t="e">
        <v>#N/A</v>
      </c>
      <c r="S701" s="42" t="e">
        <v>#N/A</v>
      </c>
      <c r="T701" s="36">
        <v>0.0</v>
      </c>
      <c r="U701" s="36">
        <v>0.0</v>
      </c>
      <c r="V701" s="36">
        <v>0.0</v>
      </c>
      <c r="W701" s="36">
        <v>0.0</v>
      </c>
      <c r="X701" s="36">
        <v>0.0</v>
      </c>
      <c r="Y701" s="36">
        <v>0.0</v>
      </c>
    </row>
    <row r="702">
      <c r="A702" s="32" t="s">
        <v>4711</v>
      </c>
      <c r="B702" s="32" t="s">
        <v>4711</v>
      </c>
      <c r="C702" s="32">
        <v>0.0</v>
      </c>
      <c r="D702" s="32" t="e">
        <v>#N/A</v>
      </c>
      <c r="E702" s="39"/>
      <c r="F702" s="32" t="e">
        <v>#N/A</v>
      </c>
      <c r="G702" s="39"/>
      <c r="H702" s="32" t="e">
        <v>#N/A</v>
      </c>
      <c r="I702" s="39"/>
      <c r="J702" s="32">
        <v>0.0</v>
      </c>
      <c r="K702" s="33" t="e">
        <v>#N/A</v>
      </c>
      <c r="L702" s="32" t="e">
        <v>#N/A</v>
      </c>
      <c r="M702" s="32" t="e">
        <v>#N/A</v>
      </c>
      <c r="N702" s="32" t="e">
        <v>#N/A</v>
      </c>
      <c r="O702" s="32" t="s">
        <v>5114</v>
      </c>
      <c r="P702" s="32" t="e">
        <v>#REF!</v>
      </c>
      <c r="Q702" s="32" t="e">
        <v>#N/A</v>
      </c>
      <c r="R702" s="42" t="e">
        <v>#N/A</v>
      </c>
      <c r="S702" s="42" t="e">
        <v>#N/A</v>
      </c>
      <c r="T702" s="36">
        <v>0.0</v>
      </c>
      <c r="U702" s="36">
        <v>0.0</v>
      </c>
      <c r="V702" s="36">
        <v>0.0</v>
      </c>
      <c r="W702" s="36">
        <v>0.0</v>
      </c>
      <c r="X702" s="36">
        <v>0.0</v>
      </c>
      <c r="Y702" s="36">
        <v>0.0</v>
      </c>
    </row>
    <row r="703">
      <c r="A703" s="32" t="s">
        <v>4712</v>
      </c>
      <c r="B703" s="32" t="s">
        <v>4712</v>
      </c>
      <c r="C703" s="32">
        <v>0.0</v>
      </c>
      <c r="D703" s="32" t="e">
        <v>#N/A</v>
      </c>
      <c r="E703" s="39"/>
      <c r="F703" s="32" t="e">
        <v>#N/A</v>
      </c>
      <c r="G703" s="39"/>
      <c r="H703" s="32" t="e">
        <v>#N/A</v>
      </c>
      <c r="I703" s="39"/>
      <c r="J703" s="32">
        <v>0.0</v>
      </c>
      <c r="K703" s="33" t="e">
        <v>#N/A</v>
      </c>
      <c r="L703" s="32" t="e">
        <v>#N/A</v>
      </c>
      <c r="M703" s="32" t="e">
        <v>#N/A</v>
      </c>
      <c r="N703" s="32" t="e">
        <v>#N/A</v>
      </c>
      <c r="O703" s="32" t="s">
        <v>5114</v>
      </c>
      <c r="P703" s="32" t="e">
        <v>#REF!</v>
      </c>
      <c r="Q703" s="32" t="e">
        <v>#N/A</v>
      </c>
      <c r="R703" s="42" t="e">
        <v>#N/A</v>
      </c>
      <c r="S703" s="42" t="e">
        <v>#N/A</v>
      </c>
      <c r="T703" s="36">
        <v>0.0</v>
      </c>
      <c r="U703" s="36">
        <v>0.0</v>
      </c>
      <c r="V703" s="36">
        <v>0.0</v>
      </c>
      <c r="W703" s="36">
        <v>0.0</v>
      </c>
      <c r="X703" s="36">
        <v>0.0</v>
      </c>
      <c r="Y703" s="36">
        <v>0.0</v>
      </c>
    </row>
    <row r="704">
      <c r="A704" s="32" t="s">
        <v>4713</v>
      </c>
      <c r="B704" s="32" t="s">
        <v>4713</v>
      </c>
      <c r="C704" s="32">
        <v>0.0</v>
      </c>
      <c r="D704" s="32" t="e">
        <v>#N/A</v>
      </c>
      <c r="E704" s="39"/>
      <c r="F704" s="32" t="e">
        <v>#N/A</v>
      </c>
      <c r="G704" s="39"/>
      <c r="H704" s="32" t="e">
        <v>#N/A</v>
      </c>
      <c r="I704" s="39"/>
      <c r="J704" s="32">
        <v>0.0</v>
      </c>
      <c r="K704" s="33" t="e">
        <v>#N/A</v>
      </c>
      <c r="L704" s="32" t="e">
        <v>#N/A</v>
      </c>
      <c r="M704" s="32" t="e">
        <v>#N/A</v>
      </c>
      <c r="N704" s="32" t="e">
        <v>#N/A</v>
      </c>
      <c r="O704" s="32" t="s">
        <v>5114</v>
      </c>
      <c r="P704" s="32" t="e">
        <v>#REF!</v>
      </c>
      <c r="Q704" s="32" t="e">
        <v>#N/A</v>
      </c>
      <c r="R704" s="42" t="e">
        <v>#N/A</v>
      </c>
      <c r="S704" s="42" t="e">
        <v>#N/A</v>
      </c>
      <c r="T704" s="36">
        <v>0.0</v>
      </c>
      <c r="U704" s="36">
        <v>0.0</v>
      </c>
      <c r="V704" s="36">
        <v>0.0</v>
      </c>
      <c r="W704" s="36">
        <v>0.0</v>
      </c>
      <c r="X704" s="36">
        <v>0.0</v>
      </c>
      <c r="Y704" s="36">
        <v>0.0</v>
      </c>
    </row>
    <row r="705">
      <c r="A705" s="32" t="s">
        <v>2493</v>
      </c>
      <c r="B705" s="32" t="s">
        <v>2493</v>
      </c>
      <c r="C705" s="32">
        <v>0.0</v>
      </c>
      <c r="D705" s="32" t="e">
        <v>#N/A</v>
      </c>
      <c r="E705" s="39"/>
      <c r="F705" s="32" t="e">
        <v>#N/A</v>
      </c>
      <c r="G705" s="39"/>
      <c r="H705" s="32" t="e">
        <v>#N/A</v>
      </c>
      <c r="I705" s="39"/>
      <c r="J705" s="32">
        <v>0.0</v>
      </c>
      <c r="K705" s="33" t="e">
        <v>#N/A</v>
      </c>
      <c r="L705" s="32" t="e">
        <v>#N/A</v>
      </c>
      <c r="M705" s="32" t="e">
        <v>#N/A</v>
      </c>
      <c r="N705" s="32" t="e">
        <v>#N/A</v>
      </c>
      <c r="O705" s="32" t="s">
        <v>5114</v>
      </c>
      <c r="P705" s="32" t="e">
        <v>#REF!</v>
      </c>
      <c r="Q705" s="32" t="e">
        <v>#N/A</v>
      </c>
      <c r="R705" s="42" t="e">
        <v>#N/A</v>
      </c>
      <c r="S705" s="42" t="e">
        <v>#N/A</v>
      </c>
      <c r="T705" s="36">
        <v>0.0</v>
      </c>
      <c r="U705" s="36">
        <v>0.0</v>
      </c>
      <c r="V705" s="36">
        <v>0.0</v>
      </c>
      <c r="W705" s="36">
        <v>0.0</v>
      </c>
      <c r="X705" s="36">
        <v>0.0</v>
      </c>
      <c r="Y705" s="36">
        <v>0.0</v>
      </c>
    </row>
    <row r="706">
      <c r="A706" s="32" t="s">
        <v>4714</v>
      </c>
      <c r="B706" s="32" t="s">
        <v>4714</v>
      </c>
      <c r="C706" s="32">
        <v>0.0</v>
      </c>
      <c r="D706" s="32" t="e">
        <v>#N/A</v>
      </c>
      <c r="E706" s="39"/>
      <c r="F706" s="32" t="e">
        <v>#N/A</v>
      </c>
      <c r="G706" s="39"/>
      <c r="H706" s="32" t="e">
        <v>#N/A</v>
      </c>
      <c r="I706" s="39"/>
      <c r="J706" s="32">
        <v>0.0</v>
      </c>
      <c r="K706" s="33" t="e">
        <v>#N/A</v>
      </c>
      <c r="L706" s="32" t="e">
        <v>#N/A</v>
      </c>
      <c r="M706" s="32" t="e">
        <v>#N/A</v>
      </c>
      <c r="N706" s="32" t="e">
        <v>#N/A</v>
      </c>
      <c r="O706" s="32" t="s">
        <v>5114</v>
      </c>
      <c r="P706" s="32" t="e">
        <v>#REF!</v>
      </c>
      <c r="Q706" s="32" t="e">
        <v>#N/A</v>
      </c>
      <c r="R706" s="42" t="e">
        <v>#N/A</v>
      </c>
      <c r="S706" s="42" t="e">
        <v>#N/A</v>
      </c>
      <c r="T706" s="36">
        <v>0.0</v>
      </c>
      <c r="U706" s="36">
        <v>0.0</v>
      </c>
      <c r="V706" s="36">
        <v>0.0</v>
      </c>
      <c r="W706" s="36">
        <v>0.0</v>
      </c>
      <c r="X706" s="36">
        <v>0.0</v>
      </c>
      <c r="Y706" s="36">
        <v>0.0</v>
      </c>
    </row>
    <row r="707">
      <c r="A707" s="32" t="s">
        <v>4715</v>
      </c>
      <c r="B707" s="32" t="s">
        <v>4715</v>
      </c>
      <c r="C707" s="32">
        <v>0.0</v>
      </c>
      <c r="D707" s="32" t="e">
        <v>#N/A</v>
      </c>
      <c r="E707" s="39"/>
      <c r="F707" s="32" t="e">
        <v>#N/A</v>
      </c>
      <c r="G707" s="39"/>
      <c r="H707" s="32" t="e">
        <v>#N/A</v>
      </c>
      <c r="I707" s="39"/>
      <c r="J707" s="32">
        <v>0.0</v>
      </c>
      <c r="K707" s="33" t="e">
        <v>#N/A</v>
      </c>
      <c r="L707" s="32" t="e">
        <v>#N/A</v>
      </c>
      <c r="M707" s="32" t="e">
        <v>#N/A</v>
      </c>
      <c r="N707" s="32" t="e">
        <v>#N/A</v>
      </c>
      <c r="O707" s="32" t="s">
        <v>5114</v>
      </c>
      <c r="P707" s="32" t="e">
        <v>#REF!</v>
      </c>
      <c r="Q707" s="32" t="e">
        <v>#N/A</v>
      </c>
      <c r="R707" s="42" t="e">
        <v>#N/A</v>
      </c>
      <c r="S707" s="42" t="e">
        <v>#N/A</v>
      </c>
      <c r="T707" s="36">
        <v>0.0</v>
      </c>
      <c r="U707" s="36">
        <v>0.0</v>
      </c>
      <c r="V707" s="36">
        <v>0.0</v>
      </c>
      <c r="W707" s="36">
        <v>0.0</v>
      </c>
      <c r="X707" s="36">
        <v>0.0</v>
      </c>
      <c r="Y707" s="36">
        <v>0.0</v>
      </c>
    </row>
    <row r="708">
      <c r="A708" s="32" t="s">
        <v>2542</v>
      </c>
      <c r="B708" s="32" t="s">
        <v>2542</v>
      </c>
      <c r="C708" s="32">
        <v>0.0</v>
      </c>
      <c r="D708" s="32" t="e">
        <v>#N/A</v>
      </c>
      <c r="E708" s="39"/>
      <c r="F708" s="32" t="e">
        <v>#N/A</v>
      </c>
      <c r="G708" s="39"/>
      <c r="H708" s="32" t="e">
        <v>#N/A</v>
      </c>
      <c r="I708" s="39"/>
      <c r="J708" s="32">
        <v>0.0</v>
      </c>
      <c r="K708" s="33" t="e">
        <v>#N/A</v>
      </c>
      <c r="L708" s="32" t="e">
        <v>#N/A</v>
      </c>
      <c r="M708" s="32" t="e">
        <v>#N/A</v>
      </c>
      <c r="N708" s="32" t="e">
        <v>#N/A</v>
      </c>
      <c r="O708" s="32" t="e">
        <v>#N/A</v>
      </c>
      <c r="P708" s="32" t="e">
        <v>#REF!</v>
      </c>
      <c r="Q708" s="32" t="e">
        <v>#N/A</v>
      </c>
      <c r="R708" s="42" t="e">
        <v>#N/A</v>
      </c>
      <c r="S708" s="42" t="e">
        <v>#N/A</v>
      </c>
      <c r="T708" s="36">
        <v>0.0</v>
      </c>
      <c r="U708" s="36">
        <v>0.0</v>
      </c>
      <c r="V708" s="36">
        <v>0.0</v>
      </c>
      <c r="W708" s="36">
        <v>0.0</v>
      </c>
      <c r="X708" s="36">
        <v>0.0</v>
      </c>
      <c r="Y708" s="36">
        <v>0.0</v>
      </c>
    </row>
    <row r="709">
      <c r="A709" s="32" t="s">
        <v>2536</v>
      </c>
      <c r="B709" s="32" t="s">
        <v>2536</v>
      </c>
      <c r="C709" s="32">
        <v>0.0</v>
      </c>
      <c r="D709" s="32" t="e">
        <v>#N/A</v>
      </c>
      <c r="E709" s="39"/>
      <c r="F709" s="32" t="e">
        <v>#N/A</v>
      </c>
      <c r="G709" s="39"/>
      <c r="H709" s="32" t="e">
        <v>#N/A</v>
      </c>
      <c r="I709" s="39"/>
      <c r="J709" s="32">
        <v>0.0</v>
      </c>
      <c r="K709" s="33" t="e">
        <v>#N/A</v>
      </c>
      <c r="L709" s="32" t="e">
        <v>#N/A</v>
      </c>
      <c r="M709" s="32" t="e">
        <v>#N/A</v>
      </c>
      <c r="N709" s="32" t="e">
        <v>#N/A</v>
      </c>
      <c r="O709" s="32" t="e">
        <v>#N/A</v>
      </c>
      <c r="P709" s="32" t="e">
        <v>#REF!</v>
      </c>
      <c r="Q709" s="32" t="e">
        <v>#N/A</v>
      </c>
      <c r="R709" s="42" t="e">
        <v>#N/A</v>
      </c>
      <c r="S709" s="42" t="e">
        <v>#N/A</v>
      </c>
      <c r="T709" s="36">
        <v>0.0</v>
      </c>
      <c r="U709" s="36">
        <v>0.0</v>
      </c>
      <c r="V709" s="36">
        <v>0.0</v>
      </c>
      <c r="W709" s="36">
        <v>0.0</v>
      </c>
      <c r="X709" s="36">
        <v>0.0</v>
      </c>
      <c r="Y709" s="36">
        <v>0.0</v>
      </c>
    </row>
    <row r="710">
      <c r="A710" s="32" t="s">
        <v>2539</v>
      </c>
      <c r="B710" s="32" t="s">
        <v>2539</v>
      </c>
      <c r="C710" s="32">
        <v>0.0</v>
      </c>
      <c r="D710" s="32" t="e">
        <v>#N/A</v>
      </c>
      <c r="E710" s="39"/>
      <c r="F710" s="32" t="e">
        <v>#N/A</v>
      </c>
      <c r="G710" s="39"/>
      <c r="H710" s="32" t="e">
        <v>#N/A</v>
      </c>
      <c r="I710" s="39"/>
      <c r="J710" s="32">
        <v>0.0</v>
      </c>
      <c r="K710" s="33" t="e">
        <v>#N/A</v>
      </c>
      <c r="L710" s="32" t="e">
        <v>#N/A</v>
      </c>
      <c r="M710" s="32" t="e">
        <v>#N/A</v>
      </c>
      <c r="N710" s="32" t="e">
        <v>#N/A</v>
      </c>
      <c r="O710" s="32" t="e">
        <v>#N/A</v>
      </c>
      <c r="P710" s="32" t="e">
        <v>#REF!</v>
      </c>
      <c r="Q710" s="32" t="e">
        <v>#N/A</v>
      </c>
      <c r="R710" s="42" t="e">
        <v>#N/A</v>
      </c>
      <c r="S710" s="42" t="e">
        <v>#N/A</v>
      </c>
      <c r="T710" s="36">
        <v>0.0</v>
      </c>
      <c r="U710" s="36">
        <v>0.0</v>
      </c>
      <c r="V710" s="36">
        <v>0.0</v>
      </c>
      <c r="W710" s="36">
        <v>0.0</v>
      </c>
      <c r="X710" s="36">
        <v>0.0</v>
      </c>
      <c r="Y710" s="36">
        <v>0.0</v>
      </c>
    </row>
    <row r="711">
      <c r="A711" s="32" t="s">
        <v>2543</v>
      </c>
      <c r="B711" s="32" t="s">
        <v>2543</v>
      </c>
      <c r="C711" s="32">
        <v>0.0</v>
      </c>
      <c r="D711" s="32" t="e">
        <v>#N/A</v>
      </c>
      <c r="E711" s="39"/>
      <c r="F711" s="32" t="e">
        <v>#N/A</v>
      </c>
      <c r="G711" s="39"/>
      <c r="H711" s="32" t="e">
        <v>#N/A</v>
      </c>
      <c r="I711" s="39"/>
      <c r="J711" s="32">
        <v>0.0</v>
      </c>
      <c r="K711" s="33" t="e">
        <v>#N/A</v>
      </c>
      <c r="L711" s="32" t="e">
        <v>#N/A</v>
      </c>
      <c r="M711" s="32" t="e">
        <v>#N/A</v>
      </c>
      <c r="N711" s="32" t="e">
        <v>#N/A</v>
      </c>
      <c r="O711" s="32" t="e">
        <v>#N/A</v>
      </c>
      <c r="P711" s="32" t="e">
        <v>#REF!</v>
      </c>
      <c r="Q711" s="32" t="e">
        <v>#N/A</v>
      </c>
      <c r="R711" s="42" t="e">
        <v>#N/A</v>
      </c>
      <c r="S711" s="42" t="e">
        <v>#N/A</v>
      </c>
      <c r="T711" s="36">
        <v>0.0</v>
      </c>
      <c r="U711" s="36">
        <v>0.0</v>
      </c>
      <c r="V711" s="36">
        <v>0.0</v>
      </c>
      <c r="W711" s="36">
        <v>0.0</v>
      </c>
      <c r="X711" s="36">
        <v>0.0</v>
      </c>
      <c r="Y711" s="36">
        <v>0.0</v>
      </c>
    </row>
    <row r="712">
      <c r="A712" s="32" t="s">
        <v>2537</v>
      </c>
      <c r="B712" s="32" t="s">
        <v>2537</v>
      </c>
      <c r="C712" s="32">
        <v>0.0</v>
      </c>
      <c r="D712" s="32" t="e">
        <v>#N/A</v>
      </c>
      <c r="E712" s="39"/>
      <c r="F712" s="32" t="e">
        <v>#N/A</v>
      </c>
      <c r="G712" s="39"/>
      <c r="H712" s="32" t="e">
        <v>#N/A</v>
      </c>
      <c r="I712" s="39"/>
      <c r="J712" s="32">
        <v>0.0</v>
      </c>
      <c r="K712" s="33" t="e">
        <v>#N/A</v>
      </c>
      <c r="L712" s="32" t="e">
        <v>#N/A</v>
      </c>
      <c r="M712" s="32" t="e">
        <v>#N/A</v>
      </c>
      <c r="N712" s="32" t="e">
        <v>#N/A</v>
      </c>
      <c r="O712" s="32" t="e">
        <v>#N/A</v>
      </c>
      <c r="P712" s="32" t="e">
        <v>#REF!</v>
      </c>
      <c r="Q712" s="32" t="e">
        <v>#N/A</v>
      </c>
      <c r="R712" s="42" t="e">
        <v>#N/A</v>
      </c>
      <c r="S712" s="42" t="e">
        <v>#N/A</v>
      </c>
      <c r="T712" s="36">
        <v>0.0</v>
      </c>
      <c r="U712" s="36">
        <v>0.0</v>
      </c>
      <c r="V712" s="36">
        <v>0.0</v>
      </c>
      <c r="W712" s="36">
        <v>0.0</v>
      </c>
      <c r="X712" s="36">
        <v>0.0</v>
      </c>
      <c r="Y712" s="36">
        <v>0.0</v>
      </c>
    </row>
    <row r="713">
      <c r="A713" s="32" t="s">
        <v>2540</v>
      </c>
      <c r="B713" s="32" t="s">
        <v>2540</v>
      </c>
      <c r="C713" s="32">
        <v>0.0</v>
      </c>
      <c r="D713" s="32" t="e">
        <v>#N/A</v>
      </c>
      <c r="E713" s="39"/>
      <c r="F713" s="32" t="e">
        <v>#N/A</v>
      </c>
      <c r="G713" s="39"/>
      <c r="H713" s="32" t="e">
        <v>#N/A</v>
      </c>
      <c r="I713" s="39"/>
      <c r="J713" s="32">
        <v>0.0</v>
      </c>
      <c r="K713" s="33" t="e">
        <v>#N/A</v>
      </c>
      <c r="L713" s="32" t="e">
        <v>#N/A</v>
      </c>
      <c r="M713" s="32" t="e">
        <v>#N/A</v>
      </c>
      <c r="N713" s="32" t="e">
        <v>#N/A</v>
      </c>
      <c r="O713" s="32" t="e">
        <v>#N/A</v>
      </c>
      <c r="P713" s="32" t="e">
        <v>#REF!</v>
      </c>
      <c r="Q713" s="32" t="e">
        <v>#N/A</v>
      </c>
      <c r="R713" s="42" t="e">
        <v>#N/A</v>
      </c>
      <c r="S713" s="42" t="e">
        <v>#N/A</v>
      </c>
      <c r="T713" s="36">
        <v>0.0</v>
      </c>
      <c r="U713" s="36">
        <v>0.0</v>
      </c>
      <c r="V713" s="36">
        <v>0.0</v>
      </c>
      <c r="W713" s="36">
        <v>0.0</v>
      </c>
      <c r="X713" s="36">
        <v>0.0</v>
      </c>
      <c r="Y713" s="36">
        <v>0.0</v>
      </c>
    </row>
    <row r="714">
      <c r="A714" s="32" t="s">
        <v>2544</v>
      </c>
      <c r="B714" s="32" t="s">
        <v>2544</v>
      </c>
      <c r="C714" s="32">
        <v>0.0</v>
      </c>
      <c r="D714" s="32" t="e">
        <v>#N/A</v>
      </c>
      <c r="E714" s="39"/>
      <c r="F714" s="32" t="e">
        <v>#N/A</v>
      </c>
      <c r="G714" s="39"/>
      <c r="H714" s="32" t="e">
        <v>#N/A</v>
      </c>
      <c r="I714" s="39"/>
      <c r="J714" s="32">
        <v>0.0</v>
      </c>
      <c r="K714" s="33" t="e">
        <v>#N/A</v>
      </c>
      <c r="L714" s="32" t="e">
        <v>#N/A</v>
      </c>
      <c r="M714" s="32" t="e">
        <v>#N/A</v>
      </c>
      <c r="N714" s="32" t="e">
        <v>#N/A</v>
      </c>
      <c r="O714" s="32" t="e">
        <v>#N/A</v>
      </c>
      <c r="P714" s="32" t="e">
        <v>#REF!</v>
      </c>
      <c r="Q714" s="32" t="e">
        <v>#N/A</v>
      </c>
      <c r="R714" s="42" t="e">
        <v>#N/A</v>
      </c>
      <c r="S714" s="42" t="e">
        <v>#N/A</v>
      </c>
      <c r="T714" s="36">
        <v>0.0</v>
      </c>
      <c r="U714" s="36">
        <v>0.0</v>
      </c>
      <c r="V714" s="36">
        <v>0.0</v>
      </c>
      <c r="W714" s="36">
        <v>0.0</v>
      </c>
      <c r="X714" s="36">
        <v>0.0</v>
      </c>
      <c r="Y714" s="36">
        <v>0.0</v>
      </c>
    </row>
    <row r="715">
      <c r="A715" s="32" t="s">
        <v>2538</v>
      </c>
      <c r="B715" s="32" t="s">
        <v>2538</v>
      </c>
      <c r="C715" s="32">
        <v>0.0</v>
      </c>
      <c r="D715" s="32" t="e">
        <v>#N/A</v>
      </c>
      <c r="E715" s="39"/>
      <c r="F715" s="32" t="e">
        <v>#N/A</v>
      </c>
      <c r="G715" s="39"/>
      <c r="H715" s="32" t="e">
        <v>#N/A</v>
      </c>
      <c r="I715" s="39"/>
      <c r="J715" s="32">
        <v>0.0</v>
      </c>
      <c r="K715" s="33" t="e">
        <v>#N/A</v>
      </c>
      <c r="L715" s="32" t="e">
        <v>#N/A</v>
      </c>
      <c r="M715" s="32" t="e">
        <v>#N/A</v>
      </c>
      <c r="N715" s="32" t="e">
        <v>#N/A</v>
      </c>
      <c r="O715" s="32" t="e">
        <v>#N/A</v>
      </c>
      <c r="P715" s="32" t="e">
        <v>#REF!</v>
      </c>
      <c r="Q715" s="32" t="e">
        <v>#N/A</v>
      </c>
      <c r="R715" s="42" t="e">
        <v>#N/A</v>
      </c>
      <c r="S715" s="42" t="e">
        <v>#N/A</v>
      </c>
      <c r="T715" s="36">
        <v>0.0</v>
      </c>
      <c r="U715" s="36">
        <v>0.0</v>
      </c>
      <c r="V715" s="36">
        <v>0.0</v>
      </c>
      <c r="W715" s="36">
        <v>0.0</v>
      </c>
      <c r="X715" s="36">
        <v>0.0</v>
      </c>
      <c r="Y715" s="36">
        <v>0.0</v>
      </c>
    </row>
    <row r="716">
      <c r="A716" s="32" t="s">
        <v>2541</v>
      </c>
      <c r="B716" s="32" t="s">
        <v>2541</v>
      </c>
      <c r="C716" s="32">
        <v>0.0</v>
      </c>
      <c r="D716" s="32" t="e">
        <v>#N/A</v>
      </c>
      <c r="E716" s="39"/>
      <c r="F716" s="32" t="e">
        <v>#N/A</v>
      </c>
      <c r="G716" s="39"/>
      <c r="H716" s="32" t="e">
        <v>#N/A</v>
      </c>
      <c r="I716" s="39"/>
      <c r="J716" s="32">
        <v>0.0</v>
      </c>
      <c r="K716" s="33" t="e">
        <v>#N/A</v>
      </c>
      <c r="L716" s="32" t="e">
        <v>#N/A</v>
      </c>
      <c r="M716" s="32" t="e">
        <v>#N/A</v>
      </c>
      <c r="N716" s="32" t="e">
        <v>#N/A</v>
      </c>
      <c r="O716" s="32" t="e">
        <v>#N/A</v>
      </c>
      <c r="P716" s="32" t="e">
        <v>#REF!</v>
      </c>
      <c r="Q716" s="32" t="e">
        <v>#N/A</v>
      </c>
      <c r="R716" s="42" t="e">
        <v>#N/A</v>
      </c>
      <c r="S716" s="42" t="e">
        <v>#N/A</v>
      </c>
      <c r="T716" s="36">
        <v>0.0</v>
      </c>
      <c r="U716" s="36">
        <v>0.0</v>
      </c>
      <c r="V716" s="36">
        <v>0.0</v>
      </c>
      <c r="W716" s="36">
        <v>0.0</v>
      </c>
      <c r="X716" s="36">
        <v>0.0</v>
      </c>
      <c r="Y716" s="36">
        <v>0.0</v>
      </c>
    </row>
    <row r="717">
      <c r="A717" s="32" t="s">
        <v>2560</v>
      </c>
      <c r="B717" s="32" t="s">
        <v>2560</v>
      </c>
      <c r="C717" s="32">
        <v>0.0</v>
      </c>
      <c r="D717" s="32" t="e">
        <v>#N/A</v>
      </c>
      <c r="E717" s="39"/>
      <c r="F717" s="32" t="e">
        <v>#N/A</v>
      </c>
      <c r="G717" s="39"/>
      <c r="H717" s="32" t="e">
        <v>#N/A</v>
      </c>
      <c r="I717" s="39"/>
      <c r="J717" s="32">
        <v>0.0</v>
      </c>
      <c r="K717" s="33" t="e">
        <v>#N/A</v>
      </c>
      <c r="L717" s="32" t="e">
        <v>#N/A</v>
      </c>
      <c r="M717" s="32" t="e">
        <v>#N/A</v>
      </c>
      <c r="N717" s="32" t="e">
        <v>#N/A</v>
      </c>
      <c r="O717" s="32" t="e">
        <v>#N/A</v>
      </c>
      <c r="P717" s="32" t="e">
        <v>#REF!</v>
      </c>
      <c r="Q717" s="32" t="e">
        <v>#N/A</v>
      </c>
      <c r="R717" s="42" t="e">
        <v>#N/A</v>
      </c>
      <c r="S717" s="42" t="e">
        <v>#N/A</v>
      </c>
      <c r="T717" s="36">
        <v>0.0</v>
      </c>
      <c r="U717" s="36">
        <v>0.0</v>
      </c>
      <c r="V717" s="36">
        <v>0.0</v>
      </c>
      <c r="W717" s="36">
        <v>0.0</v>
      </c>
      <c r="X717" s="36">
        <v>0.0</v>
      </c>
      <c r="Y717" s="36">
        <v>0.0</v>
      </c>
    </row>
    <row r="718">
      <c r="A718" s="32" t="s">
        <v>2554</v>
      </c>
      <c r="B718" s="32" t="s">
        <v>2554</v>
      </c>
      <c r="C718" s="32">
        <v>0.0</v>
      </c>
      <c r="D718" s="32" t="e">
        <v>#N/A</v>
      </c>
      <c r="E718" s="39"/>
      <c r="F718" s="32" t="e">
        <v>#N/A</v>
      </c>
      <c r="G718" s="39"/>
      <c r="H718" s="32" t="e">
        <v>#N/A</v>
      </c>
      <c r="I718" s="39"/>
      <c r="J718" s="32">
        <v>0.0</v>
      </c>
      <c r="K718" s="33" t="e">
        <v>#N/A</v>
      </c>
      <c r="L718" s="32" t="e">
        <v>#N/A</v>
      </c>
      <c r="M718" s="32" t="e">
        <v>#N/A</v>
      </c>
      <c r="N718" s="32" t="e">
        <v>#N/A</v>
      </c>
      <c r="O718" s="32" t="e">
        <v>#N/A</v>
      </c>
      <c r="P718" s="32" t="e">
        <v>#REF!</v>
      </c>
      <c r="Q718" s="32" t="e">
        <v>#N/A</v>
      </c>
      <c r="R718" s="42" t="e">
        <v>#N/A</v>
      </c>
      <c r="S718" s="42" t="e">
        <v>#N/A</v>
      </c>
      <c r="T718" s="36">
        <v>0.0</v>
      </c>
      <c r="U718" s="36">
        <v>0.0</v>
      </c>
      <c r="V718" s="36">
        <v>0.0</v>
      </c>
      <c r="W718" s="36">
        <v>0.0</v>
      </c>
      <c r="X718" s="36">
        <v>0.0</v>
      </c>
      <c r="Y718" s="36">
        <v>0.0</v>
      </c>
    </row>
    <row r="719">
      <c r="A719" s="32" t="s">
        <v>2557</v>
      </c>
      <c r="B719" s="32" t="s">
        <v>2557</v>
      </c>
      <c r="C719" s="32">
        <v>0.0</v>
      </c>
      <c r="D719" s="32" t="e">
        <v>#N/A</v>
      </c>
      <c r="E719" s="39"/>
      <c r="F719" s="32" t="e">
        <v>#N/A</v>
      </c>
      <c r="G719" s="39"/>
      <c r="H719" s="32" t="e">
        <v>#N/A</v>
      </c>
      <c r="I719" s="39"/>
      <c r="J719" s="32">
        <v>0.0</v>
      </c>
      <c r="K719" s="33" t="e">
        <v>#N/A</v>
      </c>
      <c r="L719" s="32" t="e">
        <v>#N/A</v>
      </c>
      <c r="M719" s="32" t="e">
        <v>#N/A</v>
      </c>
      <c r="N719" s="32" t="e">
        <v>#N/A</v>
      </c>
      <c r="O719" s="32" t="e">
        <v>#N/A</v>
      </c>
      <c r="P719" s="32" t="e">
        <v>#REF!</v>
      </c>
      <c r="Q719" s="32" t="e">
        <v>#N/A</v>
      </c>
      <c r="R719" s="42" t="e">
        <v>#N/A</v>
      </c>
      <c r="S719" s="42" t="e">
        <v>#N/A</v>
      </c>
      <c r="T719" s="36">
        <v>0.0</v>
      </c>
      <c r="U719" s="36">
        <v>0.0</v>
      </c>
      <c r="V719" s="36">
        <v>0.0</v>
      </c>
      <c r="W719" s="36">
        <v>0.0</v>
      </c>
      <c r="X719" s="36">
        <v>0.0</v>
      </c>
      <c r="Y719" s="36">
        <v>0.0</v>
      </c>
    </row>
    <row r="720">
      <c r="A720" s="32" t="s">
        <v>2561</v>
      </c>
      <c r="B720" s="32" t="s">
        <v>2561</v>
      </c>
      <c r="C720" s="32">
        <v>0.0</v>
      </c>
      <c r="D720" s="32" t="e">
        <v>#N/A</v>
      </c>
      <c r="E720" s="39"/>
      <c r="F720" s="32" t="e">
        <v>#N/A</v>
      </c>
      <c r="G720" s="39"/>
      <c r="H720" s="32" t="e">
        <v>#N/A</v>
      </c>
      <c r="I720" s="39"/>
      <c r="J720" s="32">
        <v>0.0</v>
      </c>
      <c r="K720" s="33" t="e">
        <v>#N/A</v>
      </c>
      <c r="L720" s="32" t="e">
        <v>#N/A</v>
      </c>
      <c r="M720" s="32" t="e">
        <v>#N/A</v>
      </c>
      <c r="N720" s="32" t="e">
        <v>#N/A</v>
      </c>
      <c r="O720" s="32" t="e">
        <v>#N/A</v>
      </c>
      <c r="P720" s="32" t="e">
        <v>#REF!</v>
      </c>
      <c r="Q720" s="32" t="e">
        <v>#N/A</v>
      </c>
      <c r="R720" s="42" t="e">
        <v>#N/A</v>
      </c>
      <c r="S720" s="42" t="e">
        <v>#N/A</v>
      </c>
      <c r="T720" s="36">
        <v>0.0</v>
      </c>
      <c r="U720" s="36">
        <v>0.0</v>
      </c>
      <c r="V720" s="36">
        <v>0.0</v>
      </c>
      <c r="W720" s="36">
        <v>0.0</v>
      </c>
      <c r="X720" s="36">
        <v>0.0</v>
      </c>
      <c r="Y720" s="36">
        <v>0.0</v>
      </c>
    </row>
    <row r="721">
      <c r="A721" s="32" t="s">
        <v>2555</v>
      </c>
      <c r="B721" s="32" t="s">
        <v>2555</v>
      </c>
      <c r="C721" s="32">
        <v>0.0</v>
      </c>
      <c r="D721" s="32" t="e">
        <v>#N/A</v>
      </c>
      <c r="E721" s="39"/>
      <c r="F721" s="32" t="e">
        <v>#N/A</v>
      </c>
      <c r="G721" s="39"/>
      <c r="H721" s="32" t="e">
        <v>#N/A</v>
      </c>
      <c r="I721" s="39"/>
      <c r="J721" s="32">
        <v>0.0</v>
      </c>
      <c r="K721" s="33" t="e">
        <v>#N/A</v>
      </c>
      <c r="L721" s="32" t="e">
        <v>#N/A</v>
      </c>
      <c r="M721" s="32" t="e">
        <v>#N/A</v>
      </c>
      <c r="N721" s="32" t="e">
        <v>#N/A</v>
      </c>
      <c r="O721" s="32" t="e">
        <v>#N/A</v>
      </c>
      <c r="P721" s="32" t="e">
        <v>#REF!</v>
      </c>
      <c r="Q721" s="32" t="e">
        <v>#N/A</v>
      </c>
      <c r="R721" s="42" t="e">
        <v>#N/A</v>
      </c>
      <c r="S721" s="42" t="e">
        <v>#N/A</v>
      </c>
      <c r="T721" s="36">
        <v>0.0</v>
      </c>
      <c r="U721" s="36">
        <v>0.0</v>
      </c>
      <c r="V721" s="36">
        <v>0.0</v>
      </c>
      <c r="W721" s="36">
        <v>0.0</v>
      </c>
      <c r="X721" s="36">
        <v>0.0</v>
      </c>
      <c r="Y721" s="36">
        <v>0.0</v>
      </c>
    </row>
    <row r="722">
      <c r="A722" s="32" t="s">
        <v>2558</v>
      </c>
      <c r="B722" s="32" t="s">
        <v>2558</v>
      </c>
      <c r="C722" s="32">
        <v>0.0</v>
      </c>
      <c r="D722" s="32" t="e">
        <v>#N/A</v>
      </c>
      <c r="E722" s="39"/>
      <c r="F722" s="32" t="e">
        <v>#N/A</v>
      </c>
      <c r="G722" s="39"/>
      <c r="H722" s="32" t="e">
        <v>#N/A</v>
      </c>
      <c r="I722" s="39"/>
      <c r="J722" s="32">
        <v>0.0</v>
      </c>
      <c r="K722" s="33" t="e">
        <v>#N/A</v>
      </c>
      <c r="L722" s="32" t="e">
        <v>#N/A</v>
      </c>
      <c r="M722" s="32" t="e">
        <v>#N/A</v>
      </c>
      <c r="N722" s="32" t="e">
        <v>#N/A</v>
      </c>
      <c r="O722" s="32" t="e">
        <v>#N/A</v>
      </c>
      <c r="P722" s="32" t="e">
        <v>#REF!</v>
      </c>
      <c r="Q722" s="32" t="e">
        <v>#N/A</v>
      </c>
      <c r="R722" s="42" t="e">
        <v>#N/A</v>
      </c>
      <c r="S722" s="42" t="e">
        <v>#N/A</v>
      </c>
      <c r="T722" s="36">
        <v>0.0</v>
      </c>
      <c r="U722" s="36">
        <v>0.0</v>
      </c>
      <c r="V722" s="36">
        <v>0.0</v>
      </c>
      <c r="W722" s="36">
        <v>0.0</v>
      </c>
      <c r="X722" s="36">
        <v>0.0</v>
      </c>
      <c r="Y722" s="36">
        <v>0.0</v>
      </c>
    </row>
    <row r="723">
      <c r="A723" s="32" t="s">
        <v>2562</v>
      </c>
      <c r="B723" s="32" t="s">
        <v>2562</v>
      </c>
      <c r="C723" s="32">
        <v>0.0</v>
      </c>
      <c r="D723" s="32" t="e">
        <v>#N/A</v>
      </c>
      <c r="E723" s="39"/>
      <c r="F723" s="32" t="e">
        <v>#N/A</v>
      </c>
      <c r="G723" s="39"/>
      <c r="H723" s="32" t="e">
        <v>#N/A</v>
      </c>
      <c r="I723" s="39"/>
      <c r="J723" s="32">
        <v>0.0</v>
      </c>
      <c r="K723" s="33" t="e">
        <v>#N/A</v>
      </c>
      <c r="L723" s="32" t="e">
        <v>#N/A</v>
      </c>
      <c r="M723" s="32" t="e">
        <v>#N/A</v>
      </c>
      <c r="N723" s="32" t="e">
        <v>#N/A</v>
      </c>
      <c r="O723" s="32" t="e">
        <v>#N/A</v>
      </c>
      <c r="P723" s="32" t="e">
        <v>#REF!</v>
      </c>
      <c r="Q723" s="32" t="e">
        <v>#N/A</v>
      </c>
      <c r="R723" s="42" t="e">
        <v>#N/A</v>
      </c>
      <c r="S723" s="42" t="e">
        <v>#N/A</v>
      </c>
      <c r="T723" s="36">
        <v>0.0</v>
      </c>
      <c r="U723" s="36">
        <v>0.0</v>
      </c>
      <c r="V723" s="36">
        <v>0.0</v>
      </c>
      <c r="W723" s="36">
        <v>0.0</v>
      </c>
      <c r="X723" s="36">
        <v>0.0</v>
      </c>
      <c r="Y723" s="36">
        <v>0.0</v>
      </c>
    </row>
    <row r="724">
      <c r="A724" s="32" t="s">
        <v>2556</v>
      </c>
      <c r="B724" s="32" t="s">
        <v>2556</v>
      </c>
      <c r="C724" s="32">
        <v>0.0</v>
      </c>
      <c r="D724" s="32" t="e">
        <v>#N/A</v>
      </c>
      <c r="E724" s="39"/>
      <c r="F724" s="32" t="e">
        <v>#N/A</v>
      </c>
      <c r="G724" s="39"/>
      <c r="H724" s="32" t="e">
        <v>#N/A</v>
      </c>
      <c r="I724" s="39"/>
      <c r="J724" s="32">
        <v>0.0</v>
      </c>
      <c r="K724" s="33" t="e">
        <v>#N/A</v>
      </c>
      <c r="L724" s="32" t="e">
        <v>#N/A</v>
      </c>
      <c r="M724" s="32" t="e">
        <v>#N/A</v>
      </c>
      <c r="N724" s="32" t="e">
        <v>#N/A</v>
      </c>
      <c r="O724" s="32" t="e">
        <v>#N/A</v>
      </c>
      <c r="P724" s="32" t="e">
        <v>#REF!</v>
      </c>
      <c r="Q724" s="32" t="e">
        <v>#N/A</v>
      </c>
      <c r="R724" s="42" t="e">
        <v>#N/A</v>
      </c>
      <c r="S724" s="42" t="e">
        <v>#N/A</v>
      </c>
      <c r="T724" s="36">
        <v>0.0</v>
      </c>
      <c r="U724" s="36">
        <v>0.0</v>
      </c>
      <c r="V724" s="36">
        <v>0.0</v>
      </c>
      <c r="W724" s="36">
        <v>0.0</v>
      </c>
      <c r="X724" s="36">
        <v>0.0</v>
      </c>
      <c r="Y724" s="36">
        <v>0.0</v>
      </c>
    </row>
    <row r="725">
      <c r="A725" s="32" t="s">
        <v>2559</v>
      </c>
      <c r="B725" s="32" t="s">
        <v>2559</v>
      </c>
      <c r="C725" s="32">
        <v>0.0</v>
      </c>
      <c r="D725" s="32" t="e">
        <v>#N/A</v>
      </c>
      <c r="E725" s="39"/>
      <c r="F725" s="32" t="e">
        <v>#N/A</v>
      </c>
      <c r="G725" s="39"/>
      <c r="H725" s="32" t="e">
        <v>#N/A</v>
      </c>
      <c r="I725" s="39"/>
      <c r="J725" s="32">
        <v>0.0</v>
      </c>
      <c r="K725" s="33" t="e">
        <v>#N/A</v>
      </c>
      <c r="L725" s="32" t="e">
        <v>#N/A</v>
      </c>
      <c r="M725" s="32" t="e">
        <v>#N/A</v>
      </c>
      <c r="N725" s="32" t="e">
        <v>#N/A</v>
      </c>
      <c r="O725" s="32" t="e">
        <v>#N/A</v>
      </c>
      <c r="P725" s="32" t="e">
        <v>#REF!</v>
      </c>
      <c r="Q725" s="32" t="e">
        <v>#N/A</v>
      </c>
      <c r="R725" s="42" t="e">
        <v>#N/A</v>
      </c>
      <c r="S725" s="42" t="e">
        <v>#N/A</v>
      </c>
      <c r="T725" s="36">
        <v>0.0</v>
      </c>
      <c r="U725" s="36">
        <v>0.0</v>
      </c>
      <c r="V725" s="36">
        <v>0.0</v>
      </c>
      <c r="W725" s="36">
        <v>0.0</v>
      </c>
      <c r="X725" s="36">
        <v>0.0</v>
      </c>
      <c r="Y725" s="36">
        <v>0.0</v>
      </c>
    </row>
    <row r="726">
      <c r="A726" s="32" t="s">
        <v>2551</v>
      </c>
      <c r="B726" s="32" t="s">
        <v>2551</v>
      </c>
      <c r="C726" s="32">
        <v>0.0</v>
      </c>
      <c r="D726" s="32" t="e">
        <v>#N/A</v>
      </c>
      <c r="E726" s="39"/>
      <c r="F726" s="32" t="e">
        <v>#N/A</v>
      </c>
      <c r="G726" s="39"/>
      <c r="H726" s="32" t="e">
        <v>#N/A</v>
      </c>
      <c r="I726" s="39"/>
      <c r="J726" s="32">
        <v>0.0</v>
      </c>
      <c r="K726" s="33" t="e">
        <v>#N/A</v>
      </c>
      <c r="L726" s="32" t="e">
        <v>#N/A</v>
      </c>
      <c r="M726" s="32" t="e">
        <v>#N/A</v>
      </c>
      <c r="N726" s="32" t="e">
        <v>#N/A</v>
      </c>
      <c r="O726" s="32" t="e">
        <v>#N/A</v>
      </c>
      <c r="P726" s="32" t="e">
        <v>#REF!</v>
      </c>
      <c r="Q726" s="32" t="e">
        <v>#N/A</v>
      </c>
      <c r="R726" s="42" t="e">
        <v>#N/A</v>
      </c>
      <c r="S726" s="42" t="e">
        <v>#N/A</v>
      </c>
      <c r="T726" s="36">
        <v>0.0</v>
      </c>
      <c r="U726" s="36">
        <v>0.0</v>
      </c>
      <c r="V726" s="36">
        <v>0.0</v>
      </c>
      <c r="W726" s="36">
        <v>0.0</v>
      </c>
      <c r="X726" s="36">
        <v>0.0</v>
      </c>
      <c r="Y726" s="36">
        <v>0.0</v>
      </c>
    </row>
    <row r="727">
      <c r="A727" s="32" t="s">
        <v>2545</v>
      </c>
      <c r="B727" s="32" t="s">
        <v>2545</v>
      </c>
      <c r="C727" s="32">
        <v>0.0</v>
      </c>
      <c r="D727" s="32" t="e">
        <v>#N/A</v>
      </c>
      <c r="E727" s="39"/>
      <c r="F727" s="32" t="e">
        <v>#N/A</v>
      </c>
      <c r="G727" s="39"/>
      <c r="H727" s="32" t="e">
        <v>#N/A</v>
      </c>
      <c r="I727" s="39"/>
      <c r="J727" s="32">
        <v>0.0</v>
      </c>
      <c r="K727" s="33" t="e">
        <v>#N/A</v>
      </c>
      <c r="L727" s="32" t="e">
        <v>#N/A</v>
      </c>
      <c r="M727" s="32" t="e">
        <v>#N/A</v>
      </c>
      <c r="N727" s="32" t="e">
        <v>#N/A</v>
      </c>
      <c r="O727" s="32" t="e">
        <v>#N/A</v>
      </c>
      <c r="P727" s="32" t="e">
        <v>#REF!</v>
      </c>
      <c r="Q727" s="32" t="e">
        <v>#N/A</v>
      </c>
      <c r="R727" s="42" t="e">
        <v>#N/A</v>
      </c>
      <c r="S727" s="42" t="e">
        <v>#N/A</v>
      </c>
      <c r="T727" s="36">
        <v>0.0</v>
      </c>
      <c r="U727" s="36">
        <v>0.0</v>
      </c>
      <c r="V727" s="36">
        <v>0.0</v>
      </c>
      <c r="W727" s="36">
        <v>0.0</v>
      </c>
      <c r="X727" s="36">
        <v>0.0</v>
      </c>
      <c r="Y727" s="36">
        <v>0.0</v>
      </c>
    </row>
    <row r="728">
      <c r="A728" s="32" t="s">
        <v>2548</v>
      </c>
      <c r="B728" s="32" t="s">
        <v>2548</v>
      </c>
      <c r="C728" s="32">
        <v>0.0</v>
      </c>
      <c r="D728" s="32" t="e">
        <v>#N/A</v>
      </c>
      <c r="E728" s="39"/>
      <c r="F728" s="32" t="e">
        <v>#N/A</v>
      </c>
      <c r="G728" s="39"/>
      <c r="H728" s="32" t="e">
        <v>#N/A</v>
      </c>
      <c r="I728" s="39"/>
      <c r="J728" s="32">
        <v>0.0</v>
      </c>
      <c r="K728" s="33" t="e">
        <v>#N/A</v>
      </c>
      <c r="L728" s="32" t="e">
        <v>#N/A</v>
      </c>
      <c r="M728" s="32" t="e">
        <v>#N/A</v>
      </c>
      <c r="N728" s="32" t="e">
        <v>#N/A</v>
      </c>
      <c r="O728" s="32" t="e">
        <v>#N/A</v>
      </c>
      <c r="P728" s="32" t="e">
        <v>#REF!</v>
      </c>
      <c r="Q728" s="32" t="e">
        <v>#N/A</v>
      </c>
      <c r="R728" s="42" t="e">
        <v>#N/A</v>
      </c>
      <c r="S728" s="42" t="e">
        <v>#N/A</v>
      </c>
      <c r="T728" s="36">
        <v>0.0</v>
      </c>
      <c r="U728" s="36">
        <v>0.0</v>
      </c>
      <c r="V728" s="36">
        <v>0.0</v>
      </c>
      <c r="W728" s="36">
        <v>0.0</v>
      </c>
      <c r="X728" s="36">
        <v>0.0</v>
      </c>
      <c r="Y728" s="36">
        <v>0.0</v>
      </c>
    </row>
    <row r="729">
      <c r="A729" s="32" t="s">
        <v>2552</v>
      </c>
      <c r="B729" s="32" t="s">
        <v>2552</v>
      </c>
      <c r="C729" s="32">
        <v>0.0</v>
      </c>
      <c r="D729" s="32" t="e">
        <v>#N/A</v>
      </c>
      <c r="E729" s="39"/>
      <c r="F729" s="32" t="e">
        <v>#N/A</v>
      </c>
      <c r="G729" s="39"/>
      <c r="H729" s="32" t="e">
        <v>#N/A</v>
      </c>
      <c r="I729" s="39"/>
      <c r="J729" s="32">
        <v>0.0</v>
      </c>
      <c r="K729" s="33" t="e">
        <v>#N/A</v>
      </c>
      <c r="L729" s="32" t="e">
        <v>#N/A</v>
      </c>
      <c r="M729" s="32" t="e">
        <v>#N/A</v>
      </c>
      <c r="N729" s="32" t="e">
        <v>#N/A</v>
      </c>
      <c r="O729" s="32" t="e">
        <v>#N/A</v>
      </c>
      <c r="P729" s="32" t="e">
        <v>#REF!</v>
      </c>
      <c r="Q729" s="32" t="e">
        <v>#N/A</v>
      </c>
      <c r="R729" s="42" t="e">
        <v>#N/A</v>
      </c>
      <c r="S729" s="42" t="e">
        <v>#N/A</v>
      </c>
      <c r="T729" s="36">
        <v>0.0</v>
      </c>
      <c r="U729" s="36">
        <v>0.0</v>
      </c>
      <c r="V729" s="36">
        <v>0.0</v>
      </c>
      <c r="W729" s="36">
        <v>0.0</v>
      </c>
      <c r="X729" s="36">
        <v>0.0</v>
      </c>
      <c r="Y729" s="36">
        <v>0.0</v>
      </c>
    </row>
    <row r="730">
      <c r="A730" s="32" t="s">
        <v>2546</v>
      </c>
      <c r="B730" s="32" t="s">
        <v>2546</v>
      </c>
      <c r="C730" s="32">
        <v>0.0</v>
      </c>
      <c r="D730" s="32" t="e">
        <v>#N/A</v>
      </c>
      <c r="E730" s="39"/>
      <c r="F730" s="32" t="e">
        <v>#N/A</v>
      </c>
      <c r="G730" s="39"/>
      <c r="H730" s="32" t="e">
        <v>#N/A</v>
      </c>
      <c r="I730" s="39"/>
      <c r="J730" s="32">
        <v>0.0</v>
      </c>
      <c r="K730" s="33" t="e">
        <v>#N/A</v>
      </c>
      <c r="L730" s="32" t="e">
        <v>#N/A</v>
      </c>
      <c r="M730" s="32" t="e">
        <v>#N/A</v>
      </c>
      <c r="N730" s="32" t="e">
        <v>#N/A</v>
      </c>
      <c r="O730" s="32" t="e">
        <v>#N/A</v>
      </c>
      <c r="P730" s="32" t="e">
        <v>#REF!</v>
      </c>
      <c r="Q730" s="32" t="e">
        <v>#N/A</v>
      </c>
      <c r="R730" s="42" t="e">
        <v>#N/A</v>
      </c>
      <c r="S730" s="42" t="e">
        <v>#N/A</v>
      </c>
      <c r="T730" s="36">
        <v>0.0</v>
      </c>
      <c r="U730" s="36">
        <v>0.0</v>
      </c>
      <c r="V730" s="36">
        <v>0.0</v>
      </c>
      <c r="W730" s="36">
        <v>0.0</v>
      </c>
      <c r="X730" s="36">
        <v>0.0</v>
      </c>
      <c r="Y730" s="36">
        <v>0.0</v>
      </c>
    </row>
    <row r="731">
      <c r="A731" s="32" t="s">
        <v>2549</v>
      </c>
      <c r="B731" s="32" t="s">
        <v>2549</v>
      </c>
      <c r="C731" s="32">
        <v>0.0</v>
      </c>
      <c r="D731" s="32" t="e">
        <v>#N/A</v>
      </c>
      <c r="E731" s="39"/>
      <c r="F731" s="32" t="e">
        <v>#N/A</v>
      </c>
      <c r="G731" s="39"/>
      <c r="H731" s="32" t="e">
        <v>#N/A</v>
      </c>
      <c r="I731" s="39"/>
      <c r="J731" s="32">
        <v>0.0</v>
      </c>
      <c r="K731" s="33" t="e">
        <v>#N/A</v>
      </c>
      <c r="L731" s="32" t="e">
        <v>#N/A</v>
      </c>
      <c r="M731" s="32" t="e">
        <v>#N/A</v>
      </c>
      <c r="N731" s="32" t="e">
        <v>#N/A</v>
      </c>
      <c r="O731" s="32" t="e">
        <v>#N/A</v>
      </c>
      <c r="P731" s="32" t="e">
        <v>#REF!</v>
      </c>
      <c r="Q731" s="32" t="e">
        <v>#N/A</v>
      </c>
      <c r="R731" s="42" t="e">
        <v>#N/A</v>
      </c>
      <c r="S731" s="42" t="e">
        <v>#N/A</v>
      </c>
      <c r="T731" s="36">
        <v>0.0</v>
      </c>
      <c r="U731" s="36">
        <v>0.0</v>
      </c>
      <c r="V731" s="36">
        <v>0.0</v>
      </c>
      <c r="W731" s="36">
        <v>0.0</v>
      </c>
      <c r="X731" s="36">
        <v>0.0</v>
      </c>
      <c r="Y731" s="36">
        <v>0.0</v>
      </c>
    </row>
    <row r="732">
      <c r="A732" s="32" t="s">
        <v>2553</v>
      </c>
      <c r="B732" s="32" t="s">
        <v>2553</v>
      </c>
      <c r="C732" s="32">
        <v>0.0</v>
      </c>
      <c r="D732" s="32" t="e">
        <v>#N/A</v>
      </c>
      <c r="E732" s="39"/>
      <c r="F732" s="32" t="e">
        <v>#N/A</v>
      </c>
      <c r="G732" s="39"/>
      <c r="H732" s="32" t="e">
        <v>#N/A</v>
      </c>
      <c r="I732" s="39"/>
      <c r="J732" s="32">
        <v>0.0</v>
      </c>
      <c r="K732" s="33" t="e">
        <v>#N/A</v>
      </c>
      <c r="L732" s="32" t="e">
        <v>#N/A</v>
      </c>
      <c r="M732" s="32" t="e">
        <v>#N/A</v>
      </c>
      <c r="N732" s="32" t="e">
        <v>#N/A</v>
      </c>
      <c r="O732" s="32" t="e">
        <v>#N/A</v>
      </c>
      <c r="P732" s="32" t="e">
        <v>#REF!</v>
      </c>
      <c r="Q732" s="32" t="e">
        <v>#N/A</v>
      </c>
      <c r="R732" s="42" t="e">
        <v>#N/A</v>
      </c>
      <c r="S732" s="42" t="e">
        <v>#N/A</v>
      </c>
      <c r="T732" s="36">
        <v>0.0</v>
      </c>
      <c r="U732" s="36">
        <v>0.0</v>
      </c>
      <c r="V732" s="36">
        <v>0.0</v>
      </c>
      <c r="W732" s="36">
        <v>0.0</v>
      </c>
      <c r="X732" s="36">
        <v>0.0</v>
      </c>
      <c r="Y732" s="36">
        <v>0.0</v>
      </c>
    </row>
    <row r="733">
      <c r="A733" s="32" t="s">
        <v>2547</v>
      </c>
      <c r="B733" s="32" t="s">
        <v>2547</v>
      </c>
      <c r="C733" s="32">
        <v>0.0</v>
      </c>
      <c r="D733" s="32" t="e">
        <v>#N/A</v>
      </c>
      <c r="E733" s="39"/>
      <c r="F733" s="32" t="e">
        <v>#N/A</v>
      </c>
      <c r="G733" s="39"/>
      <c r="H733" s="32" t="e">
        <v>#N/A</v>
      </c>
      <c r="I733" s="39"/>
      <c r="J733" s="32">
        <v>0.0</v>
      </c>
      <c r="K733" s="33" t="e">
        <v>#N/A</v>
      </c>
      <c r="L733" s="32" t="e">
        <v>#N/A</v>
      </c>
      <c r="M733" s="32" t="e">
        <v>#N/A</v>
      </c>
      <c r="N733" s="32" t="e">
        <v>#N/A</v>
      </c>
      <c r="O733" s="32" t="e">
        <v>#N/A</v>
      </c>
      <c r="P733" s="32" t="e">
        <v>#REF!</v>
      </c>
      <c r="Q733" s="32" t="e">
        <v>#N/A</v>
      </c>
      <c r="R733" s="42" t="e">
        <v>#N/A</v>
      </c>
      <c r="S733" s="42" t="e">
        <v>#N/A</v>
      </c>
      <c r="T733" s="36">
        <v>0.0</v>
      </c>
      <c r="U733" s="36">
        <v>0.0</v>
      </c>
      <c r="V733" s="36">
        <v>0.0</v>
      </c>
      <c r="W733" s="36">
        <v>0.0</v>
      </c>
      <c r="X733" s="36">
        <v>0.0</v>
      </c>
      <c r="Y733" s="36">
        <v>0.0</v>
      </c>
    </row>
    <row r="734">
      <c r="A734" s="32" t="s">
        <v>2550</v>
      </c>
      <c r="B734" s="32" t="s">
        <v>2550</v>
      </c>
      <c r="C734" s="32">
        <v>0.0</v>
      </c>
      <c r="D734" s="32" t="e">
        <v>#N/A</v>
      </c>
      <c r="E734" s="39"/>
      <c r="F734" s="32" t="e">
        <v>#N/A</v>
      </c>
      <c r="G734" s="39"/>
      <c r="H734" s="32" t="e">
        <v>#N/A</v>
      </c>
      <c r="I734" s="39"/>
      <c r="J734" s="32">
        <v>0.0</v>
      </c>
      <c r="K734" s="33" t="e">
        <v>#N/A</v>
      </c>
      <c r="L734" s="32" t="e">
        <v>#N/A</v>
      </c>
      <c r="M734" s="32" t="e">
        <v>#N/A</v>
      </c>
      <c r="N734" s="32" t="e">
        <v>#N/A</v>
      </c>
      <c r="O734" s="32" t="e">
        <v>#N/A</v>
      </c>
      <c r="P734" s="32" t="e">
        <v>#REF!</v>
      </c>
      <c r="Q734" s="32" t="e">
        <v>#N/A</v>
      </c>
      <c r="R734" s="42" t="e">
        <v>#N/A</v>
      </c>
      <c r="S734" s="42" t="e">
        <v>#N/A</v>
      </c>
      <c r="T734" s="36">
        <v>0.0</v>
      </c>
      <c r="U734" s="36">
        <v>0.0</v>
      </c>
      <c r="V734" s="36">
        <v>0.0</v>
      </c>
      <c r="W734" s="36">
        <v>0.0</v>
      </c>
      <c r="X734" s="36">
        <v>0.0</v>
      </c>
      <c r="Y734" s="36">
        <v>0.0</v>
      </c>
    </row>
    <row r="735">
      <c r="A735" s="32" t="s">
        <v>2533</v>
      </c>
      <c r="B735" s="32" t="s">
        <v>2533</v>
      </c>
      <c r="C735" s="32">
        <v>0.0</v>
      </c>
      <c r="D735" s="32" t="e">
        <v>#N/A</v>
      </c>
      <c r="E735" s="39"/>
      <c r="F735" s="32" t="e">
        <v>#N/A</v>
      </c>
      <c r="G735" s="39"/>
      <c r="H735" s="32" t="e">
        <v>#N/A</v>
      </c>
      <c r="I735" s="39"/>
      <c r="J735" s="32">
        <v>0.0</v>
      </c>
      <c r="K735" s="33" t="e">
        <v>#N/A</v>
      </c>
      <c r="L735" s="32" t="e">
        <v>#N/A</v>
      </c>
      <c r="M735" s="32" t="e">
        <v>#N/A</v>
      </c>
      <c r="N735" s="32" t="e">
        <v>#N/A</v>
      </c>
      <c r="O735" s="32" t="e">
        <v>#N/A</v>
      </c>
      <c r="P735" s="32" t="e">
        <v>#REF!</v>
      </c>
      <c r="Q735" s="32" t="e">
        <v>#N/A</v>
      </c>
      <c r="R735" s="42" t="e">
        <v>#N/A</v>
      </c>
      <c r="S735" s="42" t="e">
        <v>#N/A</v>
      </c>
      <c r="T735" s="36">
        <v>0.0</v>
      </c>
      <c r="U735" s="36">
        <v>0.0</v>
      </c>
      <c r="V735" s="36">
        <v>0.0</v>
      </c>
      <c r="W735" s="36">
        <v>0.0</v>
      </c>
      <c r="X735" s="36">
        <v>0.0</v>
      </c>
      <c r="Y735" s="36">
        <v>0.0</v>
      </c>
    </row>
    <row r="736">
      <c r="A736" s="32" t="s">
        <v>2527</v>
      </c>
      <c r="B736" s="32" t="s">
        <v>2527</v>
      </c>
      <c r="C736" s="32">
        <v>0.0</v>
      </c>
      <c r="D736" s="32" t="e">
        <v>#N/A</v>
      </c>
      <c r="E736" s="39"/>
      <c r="F736" s="32" t="e">
        <v>#N/A</v>
      </c>
      <c r="G736" s="39"/>
      <c r="H736" s="32" t="e">
        <v>#N/A</v>
      </c>
      <c r="I736" s="39"/>
      <c r="J736" s="32">
        <v>0.0</v>
      </c>
      <c r="K736" s="33" t="e">
        <v>#N/A</v>
      </c>
      <c r="L736" s="32" t="e">
        <v>#N/A</v>
      </c>
      <c r="M736" s="32" t="e">
        <v>#N/A</v>
      </c>
      <c r="N736" s="32" t="e">
        <v>#N/A</v>
      </c>
      <c r="O736" s="32" t="e">
        <v>#N/A</v>
      </c>
      <c r="P736" s="32" t="e">
        <v>#REF!</v>
      </c>
      <c r="Q736" s="32" t="e">
        <v>#N/A</v>
      </c>
      <c r="R736" s="42" t="e">
        <v>#N/A</v>
      </c>
      <c r="S736" s="42" t="e">
        <v>#N/A</v>
      </c>
      <c r="T736" s="36">
        <v>0.0</v>
      </c>
      <c r="U736" s="36">
        <v>0.0</v>
      </c>
      <c r="V736" s="36">
        <v>0.0</v>
      </c>
      <c r="W736" s="36">
        <v>0.0</v>
      </c>
      <c r="X736" s="36">
        <v>0.0</v>
      </c>
      <c r="Y736" s="36">
        <v>0.0</v>
      </c>
    </row>
    <row r="737">
      <c r="A737" s="32" t="s">
        <v>2530</v>
      </c>
      <c r="B737" s="32" t="s">
        <v>2530</v>
      </c>
      <c r="C737" s="32">
        <v>0.0</v>
      </c>
      <c r="D737" s="32" t="e">
        <v>#N/A</v>
      </c>
      <c r="E737" s="39"/>
      <c r="F737" s="32" t="e">
        <v>#N/A</v>
      </c>
      <c r="G737" s="39"/>
      <c r="H737" s="32" t="e">
        <v>#N/A</v>
      </c>
      <c r="I737" s="39"/>
      <c r="J737" s="32">
        <v>0.0</v>
      </c>
      <c r="K737" s="33" t="e">
        <v>#N/A</v>
      </c>
      <c r="L737" s="32" t="e">
        <v>#N/A</v>
      </c>
      <c r="M737" s="32" t="e">
        <v>#N/A</v>
      </c>
      <c r="N737" s="32" t="e">
        <v>#N/A</v>
      </c>
      <c r="O737" s="32" t="e">
        <v>#N/A</v>
      </c>
      <c r="P737" s="32" t="e">
        <v>#REF!</v>
      </c>
      <c r="Q737" s="32" t="e">
        <v>#N/A</v>
      </c>
      <c r="R737" s="42" t="e">
        <v>#N/A</v>
      </c>
      <c r="S737" s="42" t="e">
        <v>#N/A</v>
      </c>
      <c r="T737" s="36">
        <v>0.0</v>
      </c>
      <c r="U737" s="36">
        <v>0.0</v>
      </c>
      <c r="V737" s="36">
        <v>0.0</v>
      </c>
      <c r="W737" s="36">
        <v>0.0</v>
      </c>
      <c r="X737" s="36">
        <v>0.0</v>
      </c>
      <c r="Y737" s="36">
        <v>0.0</v>
      </c>
    </row>
    <row r="738">
      <c r="A738" s="32" t="s">
        <v>2534</v>
      </c>
      <c r="B738" s="32" t="s">
        <v>2534</v>
      </c>
      <c r="C738" s="32">
        <v>0.0</v>
      </c>
      <c r="D738" s="32" t="e">
        <v>#N/A</v>
      </c>
      <c r="E738" s="39"/>
      <c r="F738" s="32" t="e">
        <v>#N/A</v>
      </c>
      <c r="G738" s="39"/>
      <c r="H738" s="32" t="e">
        <v>#N/A</v>
      </c>
      <c r="I738" s="39"/>
      <c r="J738" s="32">
        <v>0.0</v>
      </c>
      <c r="K738" s="33" t="e">
        <v>#N/A</v>
      </c>
      <c r="L738" s="32" t="e">
        <v>#N/A</v>
      </c>
      <c r="M738" s="32" t="e">
        <v>#N/A</v>
      </c>
      <c r="N738" s="32" t="e">
        <v>#N/A</v>
      </c>
      <c r="O738" s="32" t="e">
        <v>#N/A</v>
      </c>
      <c r="P738" s="32" t="e">
        <v>#REF!</v>
      </c>
      <c r="Q738" s="32" t="e">
        <v>#N/A</v>
      </c>
      <c r="R738" s="42" t="e">
        <v>#N/A</v>
      </c>
      <c r="S738" s="42" t="e">
        <v>#N/A</v>
      </c>
      <c r="T738" s="36">
        <v>0.0</v>
      </c>
      <c r="U738" s="36">
        <v>0.0</v>
      </c>
      <c r="V738" s="36">
        <v>0.0</v>
      </c>
      <c r="W738" s="36">
        <v>0.0</v>
      </c>
      <c r="X738" s="36">
        <v>0.0</v>
      </c>
      <c r="Y738" s="36">
        <v>0.0</v>
      </c>
    </row>
    <row r="739">
      <c r="A739" s="32" t="s">
        <v>2528</v>
      </c>
      <c r="B739" s="32" t="s">
        <v>2528</v>
      </c>
      <c r="C739" s="32">
        <v>0.0</v>
      </c>
      <c r="D739" s="32" t="e">
        <v>#N/A</v>
      </c>
      <c r="E739" s="39"/>
      <c r="F739" s="32" t="e">
        <v>#N/A</v>
      </c>
      <c r="G739" s="39"/>
      <c r="H739" s="32" t="e">
        <v>#N/A</v>
      </c>
      <c r="I739" s="39"/>
      <c r="J739" s="32">
        <v>0.0</v>
      </c>
      <c r="K739" s="33" t="e">
        <v>#N/A</v>
      </c>
      <c r="L739" s="32" t="e">
        <v>#N/A</v>
      </c>
      <c r="M739" s="32" t="e">
        <v>#N/A</v>
      </c>
      <c r="N739" s="32" t="e">
        <v>#N/A</v>
      </c>
      <c r="O739" s="32" t="e">
        <v>#N/A</v>
      </c>
      <c r="P739" s="32" t="e">
        <v>#REF!</v>
      </c>
      <c r="Q739" s="32" t="e">
        <v>#N/A</v>
      </c>
      <c r="R739" s="42" t="e">
        <v>#N/A</v>
      </c>
      <c r="S739" s="42" t="e">
        <v>#N/A</v>
      </c>
      <c r="T739" s="36">
        <v>0.0</v>
      </c>
      <c r="U739" s="36">
        <v>0.0</v>
      </c>
      <c r="V739" s="36">
        <v>0.0</v>
      </c>
      <c r="W739" s="36">
        <v>0.0</v>
      </c>
      <c r="X739" s="36">
        <v>0.0</v>
      </c>
      <c r="Y739" s="36">
        <v>0.0</v>
      </c>
    </row>
    <row r="740">
      <c r="A740" s="32" t="s">
        <v>2531</v>
      </c>
      <c r="B740" s="32" t="s">
        <v>2531</v>
      </c>
      <c r="C740" s="32">
        <v>0.0</v>
      </c>
      <c r="D740" s="32" t="e">
        <v>#N/A</v>
      </c>
      <c r="E740" s="39"/>
      <c r="F740" s="32" t="e">
        <v>#N/A</v>
      </c>
      <c r="G740" s="39"/>
      <c r="H740" s="32" t="e">
        <v>#N/A</v>
      </c>
      <c r="I740" s="39"/>
      <c r="J740" s="32">
        <v>0.0</v>
      </c>
      <c r="K740" s="33" t="e">
        <v>#N/A</v>
      </c>
      <c r="L740" s="32" t="e">
        <v>#N/A</v>
      </c>
      <c r="M740" s="32" t="e">
        <v>#N/A</v>
      </c>
      <c r="N740" s="32" t="e">
        <v>#N/A</v>
      </c>
      <c r="O740" s="32" t="e">
        <v>#N/A</v>
      </c>
      <c r="P740" s="32" t="e">
        <v>#REF!</v>
      </c>
      <c r="Q740" s="32" t="e">
        <v>#N/A</v>
      </c>
      <c r="R740" s="42" t="e">
        <v>#N/A</v>
      </c>
      <c r="S740" s="42" t="e">
        <v>#N/A</v>
      </c>
      <c r="T740" s="36">
        <v>0.0</v>
      </c>
      <c r="U740" s="36">
        <v>0.0</v>
      </c>
      <c r="V740" s="36">
        <v>0.0</v>
      </c>
      <c r="W740" s="36">
        <v>0.0</v>
      </c>
      <c r="X740" s="36">
        <v>0.0</v>
      </c>
      <c r="Y740" s="36">
        <v>0.0</v>
      </c>
    </row>
    <row r="741">
      <c r="A741" s="32" t="s">
        <v>2535</v>
      </c>
      <c r="B741" s="32" t="s">
        <v>2535</v>
      </c>
      <c r="C741" s="32">
        <v>0.0</v>
      </c>
      <c r="D741" s="32" t="e">
        <v>#N/A</v>
      </c>
      <c r="E741" s="39"/>
      <c r="F741" s="32" t="e">
        <v>#N/A</v>
      </c>
      <c r="G741" s="39"/>
      <c r="H741" s="32" t="e">
        <v>#N/A</v>
      </c>
      <c r="I741" s="39"/>
      <c r="J741" s="32">
        <v>0.0</v>
      </c>
      <c r="K741" s="33" t="e">
        <v>#N/A</v>
      </c>
      <c r="L741" s="32" t="e">
        <v>#N/A</v>
      </c>
      <c r="M741" s="32" t="e">
        <v>#N/A</v>
      </c>
      <c r="N741" s="32" t="e">
        <v>#N/A</v>
      </c>
      <c r="O741" s="32" t="e">
        <v>#N/A</v>
      </c>
      <c r="P741" s="32" t="e">
        <v>#REF!</v>
      </c>
      <c r="Q741" s="32" t="e">
        <v>#N/A</v>
      </c>
      <c r="R741" s="42" t="e">
        <v>#N/A</v>
      </c>
      <c r="S741" s="42" t="e">
        <v>#N/A</v>
      </c>
      <c r="T741" s="36">
        <v>0.0</v>
      </c>
      <c r="U741" s="36">
        <v>0.0</v>
      </c>
      <c r="V741" s="36">
        <v>0.0</v>
      </c>
      <c r="W741" s="36">
        <v>0.0</v>
      </c>
      <c r="X741" s="36">
        <v>0.0</v>
      </c>
      <c r="Y741" s="36">
        <v>0.0</v>
      </c>
    </row>
    <row r="742">
      <c r="A742" s="32" t="s">
        <v>2529</v>
      </c>
      <c r="B742" s="32" t="s">
        <v>2529</v>
      </c>
      <c r="C742" s="32">
        <v>0.0</v>
      </c>
      <c r="D742" s="32" t="e">
        <v>#N/A</v>
      </c>
      <c r="E742" s="39"/>
      <c r="F742" s="32" t="e">
        <v>#N/A</v>
      </c>
      <c r="G742" s="39"/>
      <c r="H742" s="32" t="e">
        <v>#N/A</v>
      </c>
      <c r="I742" s="39"/>
      <c r="J742" s="32">
        <v>0.0</v>
      </c>
      <c r="K742" s="33" t="e">
        <v>#N/A</v>
      </c>
      <c r="L742" s="32" t="e">
        <v>#N/A</v>
      </c>
      <c r="M742" s="32" t="e">
        <v>#N/A</v>
      </c>
      <c r="N742" s="32" t="e">
        <v>#N/A</v>
      </c>
      <c r="O742" s="32" t="e">
        <v>#N/A</v>
      </c>
      <c r="P742" s="32" t="e">
        <v>#REF!</v>
      </c>
      <c r="Q742" s="32" t="e">
        <v>#N/A</v>
      </c>
      <c r="R742" s="42" t="e">
        <v>#N/A</v>
      </c>
      <c r="S742" s="42" t="e">
        <v>#N/A</v>
      </c>
      <c r="T742" s="36">
        <v>0.0</v>
      </c>
      <c r="U742" s="36">
        <v>0.0</v>
      </c>
      <c r="V742" s="36">
        <v>0.0</v>
      </c>
      <c r="W742" s="36">
        <v>0.0</v>
      </c>
      <c r="X742" s="36">
        <v>0.0</v>
      </c>
      <c r="Y742" s="36">
        <v>0.0</v>
      </c>
    </row>
    <row r="743">
      <c r="A743" s="32" t="s">
        <v>2532</v>
      </c>
      <c r="B743" s="32" t="s">
        <v>2532</v>
      </c>
      <c r="C743" s="32">
        <v>0.0</v>
      </c>
      <c r="D743" s="32" t="e">
        <v>#N/A</v>
      </c>
      <c r="E743" s="39"/>
      <c r="F743" s="32" t="e">
        <v>#N/A</v>
      </c>
      <c r="G743" s="39"/>
      <c r="H743" s="32" t="e">
        <v>#N/A</v>
      </c>
      <c r="I743" s="39"/>
      <c r="J743" s="32">
        <v>0.0</v>
      </c>
      <c r="K743" s="33" t="e">
        <v>#N/A</v>
      </c>
      <c r="L743" s="32" t="e">
        <v>#N/A</v>
      </c>
      <c r="M743" s="32" t="e">
        <v>#N/A</v>
      </c>
      <c r="N743" s="32" t="e">
        <v>#N/A</v>
      </c>
      <c r="O743" s="32" t="e">
        <v>#N/A</v>
      </c>
      <c r="P743" s="32" t="e">
        <v>#REF!</v>
      </c>
      <c r="Q743" s="32" t="e">
        <v>#N/A</v>
      </c>
      <c r="R743" s="42" t="e">
        <v>#N/A</v>
      </c>
      <c r="S743" s="42" t="e">
        <v>#N/A</v>
      </c>
      <c r="T743" s="36">
        <v>0.0</v>
      </c>
      <c r="U743" s="36">
        <v>0.0</v>
      </c>
      <c r="V743" s="36">
        <v>0.0</v>
      </c>
      <c r="W743" s="36">
        <v>0.0</v>
      </c>
      <c r="X743" s="36">
        <v>0.0</v>
      </c>
      <c r="Y743" s="36">
        <v>0.0</v>
      </c>
    </row>
    <row r="744">
      <c r="A744" s="32" t="s">
        <v>790</v>
      </c>
      <c r="B744" s="32" t="s">
        <v>790</v>
      </c>
      <c r="C744" s="32">
        <v>0.0</v>
      </c>
      <c r="D744" s="32" t="e">
        <v>#N/A</v>
      </c>
      <c r="E744" s="39"/>
      <c r="F744" s="32" t="e">
        <v>#N/A</v>
      </c>
      <c r="G744" s="39"/>
      <c r="H744" s="32" t="e">
        <v>#N/A</v>
      </c>
      <c r="I744" s="39"/>
      <c r="J744" s="32">
        <v>0.0</v>
      </c>
      <c r="K744" s="33" t="e">
        <v>#N/A</v>
      </c>
      <c r="L744" s="32" t="e">
        <v>#N/A</v>
      </c>
      <c r="M744" s="32" t="e">
        <v>#N/A</v>
      </c>
      <c r="N744" s="33" t="s">
        <v>51</v>
      </c>
      <c r="O744" s="33" t="s">
        <v>52</v>
      </c>
      <c r="P744" s="32" t="e">
        <v>#REF!</v>
      </c>
      <c r="Q744" s="32" t="e">
        <v>#N/A</v>
      </c>
      <c r="R744" s="42" t="e">
        <v>#N/A</v>
      </c>
      <c r="S744" s="42" t="e">
        <v>#N/A</v>
      </c>
      <c r="T744" s="36">
        <v>0.0</v>
      </c>
      <c r="U744" s="36">
        <v>0.0</v>
      </c>
      <c r="V744" s="36">
        <v>0.0</v>
      </c>
      <c r="W744" s="36">
        <v>0.0</v>
      </c>
      <c r="X744" s="36">
        <v>0.0</v>
      </c>
      <c r="Y744" s="36">
        <v>0.0</v>
      </c>
    </row>
    <row r="745">
      <c r="A745" s="32" t="s">
        <v>791</v>
      </c>
      <c r="B745" s="32" t="s">
        <v>791</v>
      </c>
      <c r="C745" s="32">
        <v>0.0</v>
      </c>
      <c r="D745" s="32" t="e">
        <v>#N/A</v>
      </c>
      <c r="E745" s="39"/>
      <c r="F745" s="32" t="e">
        <v>#N/A</v>
      </c>
      <c r="G745" s="39"/>
      <c r="H745" s="32" t="e">
        <v>#N/A</v>
      </c>
      <c r="I745" s="39"/>
      <c r="J745" s="32">
        <v>0.0</v>
      </c>
      <c r="K745" s="33" t="e">
        <v>#N/A</v>
      </c>
      <c r="L745" s="32" t="e">
        <v>#N/A</v>
      </c>
      <c r="M745" s="32" t="e">
        <v>#N/A</v>
      </c>
      <c r="N745" s="33" t="s">
        <v>51</v>
      </c>
      <c r="O745" s="33" t="s">
        <v>52</v>
      </c>
      <c r="P745" s="32" t="e">
        <v>#REF!</v>
      </c>
      <c r="Q745" s="32" t="e">
        <v>#N/A</v>
      </c>
      <c r="R745" s="42" t="e">
        <v>#N/A</v>
      </c>
      <c r="S745" s="42" t="e">
        <v>#N/A</v>
      </c>
      <c r="T745" s="36">
        <v>0.0</v>
      </c>
      <c r="U745" s="36">
        <v>0.0</v>
      </c>
      <c r="V745" s="36">
        <v>0.0</v>
      </c>
      <c r="W745" s="36">
        <v>0.0</v>
      </c>
      <c r="X745" s="36">
        <v>0.0</v>
      </c>
      <c r="Y745" s="36">
        <v>0.0</v>
      </c>
    </row>
    <row r="746">
      <c r="A746" s="32" t="s">
        <v>789</v>
      </c>
      <c r="B746" s="32" t="s">
        <v>789</v>
      </c>
      <c r="C746" s="32">
        <v>0.0</v>
      </c>
      <c r="D746" s="32" t="e">
        <v>#N/A</v>
      </c>
      <c r="E746" s="39"/>
      <c r="F746" s="32" t="e">
        <v>#N/A</v>
      </c>
      <c r="G746" s="39"/>
      <c r="H746" s="32" t="e">
        <v>#N/A</v>
      </c>
      <c r="I746" s="39"/>
      <c r="J746" s="32">
        <v>0.0</v>
      </c>
      <c r="K746" s="33" t="e">
        <v>#N/A</v>
      </c>
      <c r="L746" s="32" t="e">
        <v>#N/A</v>
      </c>
      <c r="M746" s="32" t="e">
        <v>#N/A</v>
      </c>
      <c r="N746" s="33" t="s">
        <v>51</v>
      </c>
      <c r="O746" s="33" t="s">
        <v>52</v>
      </c>
      <c r="P746" s="32" t="e">
        <v>#REF!</v>
      </c>
      <c r="Q746" s="32" t="e">
        <v>#N/A</v>
      </c>
      <c r="R746" s="42" t="e">
        <v>#N/A</v>
      </c>
      <c r="S746" s="42" t="e">
        <v>#N/A</v>
      </c>
      <c r="T746" s="36">
        <v>0.0</v>
      </c>
      <c r="U746" s="36">
        <v>0.0</v>
      </c>
      <c r="V746" s="36">
        <v>0.0</v>
      </c>
      <c r="W746" s="36">
        <v>0.0</v>
      </c>
      <c r="X746" s="36">
        <v>0.0</v>
      </c>
      <c r="Y746" s="36">
        <v>0.0</v>
      </c>
    </row>
    <row r="747">
      <c r="A747" s="32" t="s">
        <v>793</v>
      </c>
      <c r="B747" s="32" t="s">
        <v>793</v>
      </c>
      <c r="C747" s="32">
        <v>0.0</v>
      </c>
      <c r="D747" s="32" t="e">
        <v>#N/A</v>
      </c>
      <c r="E747" s="39"/>
      <c r="F747" s="32" t="e">
        <v>#N/A</v>
      </c>
      <c r="G747" s="39"/>
      <c r="H747" s="32" t="e">
        <v>#N/A</v>
      </c>
      <c r="I747" s="39"/>
      <c r="J747" s="32">
        <v>0.0</v>
      </c>
      <c r="K747" s="33" t="e">
        <v>#N/A</v>
      </c>
      <c r="L747" s="32" t="e">
        <v>#N/A</v>
      </c>
      <c r="M747" s="32" t="e">
        <v>#N/A</v>
      </c>
      <c r="N747" s="33" t="s">
        <v>51</v>
      </c>
      <c r="O747" s="33" t="s">
        <v>52</v>
      </c>
      <c r="P747" s="32" t="e">
        <v>#REF!</v>
      </c>
      <c r="Q747" s="32" t="e">
        <v>#N/A</v>
      </c>
      <c r="R747" s="42" t="e">
        <v>#N/A</v>
      </c>
      <c r="S747" s="42" t="e">
        <v>#N/A</v>
      </c>
      <c r="T747" s="36">
        <v>0.0</v>
      </c>
      <c r="U747" s="36">
        <v>0.0</v>
      </c>
      <c r="V747" s="36">
        <v>0.0</v>
      </c>
      <c r="W747" s="36">
        <v>0.0</v>
      </c>
      <c r="X747" s="36">
        <v>0.0</v>
      </c>
      <c r="Y747" s="36">
        <v>0.0</v>
      </c>
    </row>
    <row r="748">
      <c r="A748" s="32" t="s">
        <v>794</v>
      </c>
      <c r="B748" s="32" t="s">
        <v>794</v>
      </c>
      <c r="C748" s="32">
        <v>0.0</v>
      </c>
      <c r="D748" s="32" t="e">
        <v>#N/A</v>
      </c>
      <c r="E748" s="39"/>
      <c r="F748" s="32" t="e">
        <v>#N/A</v>
      </c>
      <c r="G748" s="39"/>
      <c r="H748" s="32" t="e">
        <v>#N/A</v>
      </c>
      <c r="I748" s="39"/>
      <c r="J748" s="32">
        <v>0.0</v>
      </c>
      <c r="K748" s="33" t="e">
        <v>#N/A</v>
      </c>
      <c r="L748" s="32" t="e">
        <v>#N/A</v>
      </c>
      <c r="M748" s="32" t="e">
        <v>#N/A</v>
      </c>
      <c r="N748" s="33" t="s">
        <v>51</v>
      </c>
      <c r="O748" s="33" t="s">
        <v>52</v>
      </c>
      <c r="P748" s="32" t="e">
        <v>#REF!</v>
      </c>
      <c r="Q748" s="32" t="e">
        <v>#N/A</v>
      </c>
      <c r="R748" s="42" t="e">
        <v>#N/A</v>
      </c>
      <c r="S748" s="42" t="e">
        <v>#N/A</v>
      </c>
      <c r="T748" s="36">
        <v>0.0</v>
      </c>
      <c r="U748" s="36">
        <v>0.0</v>
      </c>
      <c r="V748" s="36">
        <v>0.0</v>
      </c>
      <c r="W748" s="36">
        <v>0.0</v>
      </c>
      <c r="X748" s="36">
        <v>0.0</v>
      </c>
      <c r="Y748" s="36">
        <v>0.0</v>
      </c>
    </row>
    <row r="749">
      <c r="A749" s="32" t="s">
        <v>792</v>
      </c>
      <c r="B749" s="32" t="s">
        <v>792</v>
      </c>
      <c r="C749" s="32">
        <v>0.0</v>
      </c>
      <c r="D749" s="32" t="e">
        <v>#N/A</v>
      </c>
      <c r="E749" s="39"/>
      <c r="F749" s="32" t="e">
        <v>#N/A</v>
      </c>
      <c r="G749" s="39"/>
      <c r="H749" s="32" t="e">
        <v>#N/A</v>
      </c>
      <c r="I749" s="39"/>
      <c r="J749" s="32">
        <v>0.0</v>
      </c>
      <c r="K749" s="33" t="e">
        <v>#N/A</v>
      </c>
      <c r="L749" s="32" t="e">
        <v>#N/A</v>
      </c>
      <c r="M749" s="32" t="e">
        <v>#N/A</v>
      </c>
      <c r="N749" s="33" t="s">
        <v>51</v>
      </c>
      <c r="O749" s="33" t="s">
        <v>52</v>
      </c>
      <c r="P749" s="32" t="e">
        <v>#REF!</v>
      </c>
      <c r="Q749" s="32" t="e">
        <v>#N/A</v>
      </c>
      <c r="R749" s="42" t="e">
        <v>#N/A</v>
      </c>
      <c r="S749" s="42" t="e">
        <v>#N/A</v>
      </c>
      <c r="T749" s="36">
        <v>0.0</v>
      </c>
      <c r="U749" s="36">
        <v>0.0</v>
      </c>
      <c r="V749" s="36">
        <v>0.0</v>
      </c>
      <c r="W749" s="36">
        <v>0.0</v>
      </c>
      <c r="X749" s="36">
        <v>0.0</v>
      </c>
      <c r="Y749" s="36">
        <v>0.0</v>
      </c>
    </row>
    <row r="750">
      <c r="A750" s="32" t="s">
        <v>314</v>
      </c>
      <c r="B750" s="32" t="s">
        <v>314</v>
      </c>
      <c r="C750" s="32">
        <v>0.0</v>
      </c>
      <c r="D750" s="32" t="e">
        <v>#N/A</v>
      </c>
      <c r="E750" s="39"/>
      <c r="F750" s="32" t="e">
        <v>#N/A</v>
      </c>
      <c r="G750" s="39"/>
      <c r="H750" s="32" t="e">
        <v>#N/A</v>
      </c>
      <c r="I750" s="39"/>
      <c r="J750" s="32">
        <v>0.0</v>
      </c>
      <c r="K750" s="33" t="e">
        <v>#N/A</v>
      </c>
      <c r="L750" s="32" t="e">
        <v>#N/A</v>
      </c>
      <c r="M750" s="32" t="e">
        <v>#N/A</v>
      </c>
      <c r="N750" s="33" t="s">
        <v>51</v>
      </c>
      <c r="O750" s="33" t="s">
        <v>52</v>
      </c>
      <c r="P750" s="32" t="e">
        <v>#REF!</v>
      </c>
      <c r="Q750" s="32" t="e">
        <v>#N/A</v>
      </c>
      <c r="R750" s="42" t="e">
        <v>#N/A</v>
      </c>
      <c r="S750" s="42" t="e">
        <v>#N/A</v>
      </c>
      <c r="T750" s="36">
        <v>0.0</v>
      </c>
      <c r="U750" s="36">
        <v>0.0</v>
      </c>
      <c r="V750" s="36">
        <v>0.0</v>
      </c>
      <c r="W750" s="36">
        <v>0.0</v>
      </c>
      <c r="X750" s="36">
        <v>0.0</v>
      </c>
      <c r="Y750" s="36">
        <v>0.0</v>
      </c>
    </row>
    <row r="751">
      <c r="A751" s="32" t="s">
        <v>768</v>
      </c>
      <c r="B751" s="32" t="s">
        <v>768</v>
      </c>
      <c r="C751" s="32">
        <v>0.0</v>
      </c>
      <c r="D751" s="32" t="e">
        <v>#N/A</v>
      </c>
      <c r="E751" s="39"/>
      <c r="F751" s="32" t="e">
        <v>#N/A</v>
      </c>
      <c r="G751" s="39"/>
      <c r="H751" s="32" t="e">
        <v>#N/A</v>
      </c>
      <c r="I751" s="39"/>
      <c r="J751" s="32">
        <v>0.0</v>
      </c>
      <c r="K751" s="33" t="e">
        <v>#N/A</v>
      </c>
      <c r="L751" s="32" t="e">
        <v>#N/A</v>
      </c>
      <c r="M751" s="32" t="e">
        <v>#N/A</v>
      </c>
      <c r="N751" s="33" t="s">
        <v>51</v>
      </c>
      <c r="O751" s="33" t="s">
        <v>52</v>
      </c>
      <c r="P751" s="32" t="e">
        <v>#REF!</v>
      </c>
      <c r="Q751" s="32" t="e">
        <v>#N/A</v>
      </c>
      <c r="R751" s="42" t="e">
        <v>#N/A</v>
      </c>
      <c r="S751" s="42" t="e">
        <v>#N/A</v>
      </c>
      <c r="T751" s="36">
        <v>0.0</v>
      </c>
      <c r="U751" s="36">
        <v>0.0</v>
      </c>
      <c r="V751" s="36">
        <v>0.0</v>
      </c>
      <c r="W751" s="36">
        <v>0.0</v>
      </c>
      <c r="X751" s="36">
        <v>0.0</v>
      </c>
      <c r="Y751" s="36">
        <v>0.0</v>
      </c>
    </row>
    <row r="752">
      <c r="A752" s="32" t="s">
        <v>769</v>
      </c>
      <c r="B752" s="32" t="s">
        <v>769</v>
      </c>
      <c r="C752" s="32">
        <v>0.0</v>
      </c>
      <c r="D752" s="32" t="e">
        <v>#N/A</v>
      </c>
      <c r="E752" s="39"/>
      <c r="F752" s="32" t="e">
        <v>#N/A</v>
      </c>
      <c r="G752" s="39"/>
      <c r="H752" s="32" t="e">
        <v>#N/A</v>
      </c>
      <c r="I752" s="39"/>
      <c r="J752" s="32">
        <v>0.0</v>
      </c>
      <c r="K752" s="33" t="e">
        <v>#N/A</v>
      </c>
      <c r="L752" s="32" t="e">
        <v>#N/A</v>
      </c>
      <c r="M752" s="32" t="e">
        <v>#N/A</v>
      </c>
      <c r="N752" s="33" t="s">
        <v>51</v>
      </c>
      <c r="O752" s="33" t="s">
        <v>52</v>
      </c>
      <c r="P752" s="32" t="e">
        <v>#REF!</v>
      </c>
      <c r="Q752" s="32" t="e">
        <v>#N/A</v>
      </c>
      <c r="R752" s="42" t="e">
        <v>#N/A</v>
      </c>
      <c r="S752" s="42" t="e">
        <v>#N/A</v>
      </c>
      <c r="T752" s="36">
        <v>0.0</v>
      </c>
      <c r="U752" s="36">
        <v>0.0</v>
      </c>
      <c r="V752" s="36">
        <v>0.0</v>
      </c>
      <c r="W752" s="36">
        <v>0.0</v>
      </c>
      <c r="X752" s="36">
        <v>0.0</v>
      </c>
      <c r="Y752" s="36">
        <v>0.0</v>
      </c>
    </row>
    <row r="753">
      <c r="A753" s="32" t="s">
        <v>772</v>
      </c>
      <c r="B753" s="32" t="s">
        <v>772</v>
      </c>
      <c r="C753" s="32">
        <v>0.0</v>
      </c>
      <c r="D753" s="32" t="e">
        <v>#N/A</v>
      </c>
      <c r="E753" s="39"/>
      <c r="F753" s="32" t="e">
        <v>#N/A</v>
      </c>
      <c r="G753" s="39"/>
      <c r="H753" s="32" t="e">
        <v>#N/A</v>
      </c>
      <c r="I753" s="39"/>
      <c r="J753" s="32">
        <v>0.0</v>
      </c>
      <c r="K753" s="33" t="e">
        <v>#N/A</v>
      </c>
      <c r="L753" s="32" t="e">
        <v>#N/A</v>
      </c>
      <c r="M753" s="32" t="e">
        <v>#N/A</v>
      </c>
      <c r="N753" s="33" t="s">
        <v>51</v>
      </c>
      <c r="O753" s="33" t="s">
        <v>52</v>
      </c>
      <c r="P753" s="32" t="e">
        <v>#REF!</v>
      </c>
      <c r="Q753" s="32" t="e">
        <v>#N/A</v>
      </c>
      <c r="R753" s="42" t="e">
        <v>#N/A</v>
      </c>
      <c r="S753" s="42" t="e">
        <v>#N/A</v>
      </c>
      <c r="T753" s="36">
        <v>0.0</v>
      </c>
      <c r="U753" s="36">
        <v>0.0</v>
      </c>
      <c r="V753" s="36">
        <v>0.0</v>
      </c>
      <c r="W753" s="36">
        <v>0.0</v>
      </c>
      <c r="X753" s="36">
        <v>0.0</v>
      </c>
      <c r="Y753" s="36">
        <v>0.0</v>
      </c>
    </row>
    <row r="754">
      <c r="A754" s="32" t="s">
        <v>771</v>
      </c>
      <c r="B754" s="32" t="s">
        <v>771</v>
      </c>
      <c r="C754" s="32">
        <v>0.0</v>
      </c>
      <c r="D754" s="32" t="e">
        <v>#N/A</v>
      </c>
      <c r="E754" s="39"/>
      <c r="F754" s="32" t="e">
        <v>#N/A</v>
      </c>
      <c r="G754" s="39"/>
      <c r="H754" s="32" t="e">
        <v>#N/A</v>
      </c>
      <c r="I754" s="39"/>
      <c r="J754" s="32">
        <v>0.0</v>
      </c>
      <c r="K754" s="33" t="e">
        <v>#N/A</v>
      </c>
      <c r="L754" s="32" t="e">
        <v>#N/A</v>
      </c>
      <c r="M754" s="32" t="e">
        <v>#N/A</v>
      </c>
      <c r="N754" s="33" t="s">
        <v>51</v>
      </c>
      <c r="O754" s="33" t="s">
        <v>52</v>
      </c>
      <c r="P754" s="32" t="e">
        <v>#REF!</v>
      </c>
      <c r="Q754" s="32" t="e">
        <v>#N/A</v>
      </c>
      <c r="R754" s="42" t="e">
        <v>#N/A</v>
      </c>
      <c r="S754" s="42" t="e">
        <v>#N/A</v>
      </c>
      <c r="T754" s="36">
        <v>0.0</v>
      </c>
      <c r="U754" s="36">
        <v>0.0</v>
      </c>
      <c r="V754" s="36">
        <v>0.0</v>
      </c>
      <c r="W754" s="36">
        <v>0.0</v>
      </c>
      <c r="X754" s="36">
        <v>0.0</v>
      </c>
      <c r="Y754" s="36">
        <v>0.0</v>
      </c>
    </row>
    <row r="755">
      <c r="A755" s="32" t="s">
        <v>782</v>
      </c>
      <c r="B755" s="32" t="s">
        <v>782</v>
      </c>
      <c r="C755" s="32">
        <v>0.0</v>
      </c>
      <c r="D755" s="32" t="e">
        <v>#N/A</v>
      </c>
      <c r="E755" s="39"/>
      <c r="F755" s="32" t="e">
        <v>#N/A</v>
      </c>
      <c r="G755" s="39"/>
      <c r="H755" s="32" t="e">
        <v>#N/A</v>
      </c>
      <c r="I755" s="39"/>
      <c r="J755" s="32">
        <v>0.0</v>
      </c>
      <c r="K755" s="33" t="e">
        <v>#N/A</v>
      </c>
      <c r="L755" s="32" t="e">
        <v>#N/A</v>
      </c>
      <c r="M755" s="32" t="e">
        <v>#N/A</v>
      </c>
      <c r="N755" s="33" t="s">
        <v>51</v>
      </c>
      <c r="O755" s="33" t="s">
        <v>52</v>
      </c>
      <c r="P755" s="32" t="e">
        <v>#REF!</v>
      </c>
      <c r="Q755" s="32" t="e">
        <v>#N/A</v>
      </c>
      <c r="R755" s="42" t="e">
        <v>#N/A</v>
      </c>
      <c r="S755" s="42" t="e">
        <v>#N/A</v>
      </c>
      <c r="T755" s="36">
        <v>0.0</v>
      </c>
      <c r="U755" s="36">
        <v>0.0</v>
      </c>
      <c r="V755" s="36">
        <v>0.0</v>
      </c>
      <c r="W755" s="36">
        <v>0.0</v>
      </c>
      <c r="X755" s="36">
        <v>0.0</v>
      </c>
      <c r="Y755" s="36">
        <v>0.0</v>
      </c>
    </row>
    <row r="756">
      <c r="A756" s="32" t="s">
        <v>774</v>
      </c>
      <c r="B756" s="32" t="s">
        <v>774</v>
      </c>
      <c r="C756" s="32">
        <v>0.0</v>
      </c>
      <c r="D756" s="32" t="e">
        <v>#N/A</v>
      </c>
      <c r="E756" s="39"/>
      <c r="F756" s="32" t="e">
        <v>#N/A</v>
      </c>
      <c r="G756" s="39"/>
      <c r="H756" s="32" t="e">
        <v>#N/A</v>
      </c>
      <c r="I756" s="39"/>
      <c r="J756" s="32">
        <v>0.0</v>
      </c>
      <c r="K756" s="33" t="e">
        <v>#N/A</v>
      </c>
      <c r="L756" s="32" t="e">
        <v>#N/A</v>
      </c>
      <c r="M756" s="32" t="e">
        <v>#N/A</v>
      </c>
      <c r="N756" s="33" t="s">
        <v>51</v>
      </c>
      <c r="O756" s="33" t="s">
        <v>52</v>
      </c>
      <c r="P756" s="32" t="e">
        <v>#REF!</v>
      </c>
      <c r="Q756" s="32" t="e">
        <v>#N/A</v>
      </c>
      <c r="R756" s="42" t="e">
        <v>#N/A</v>
      </c>
      <c r="S756" s="42" t="e">
        <v>#N/A</v>
      </c>
      <c r="T756" s="36">
        <v>0.0</v>
      </c>
      <c r="U756" s="36">
        <v>0.0</v>
      </c>
      <c r="V756" s="36">
        <v>0.0</v>
      </c>
      <c r="W756" s="36">
        <v>0.0</v>
      </c>
      <c r="X756" s="36">
        <v>0.0</v>
      </c>
      <c r="Y756" s="36">
        <v>0.0</v>
      </c>
    </row>
    <row r="757">
      <c r="A757" s="32" t="s">
        <v>788</v>
      </c>
      <c r="B757" s="32" t="s">
        <v>788</v>
      </c>
      <c r="C757" s="32">
        <v>0.0</v>
      </c>
      <c r="D757" s="32" t="e">
        <v>#N/A</v>
      </c>
      <c r="E757" s="39"/>
      <c r="F757" s="32" t="e">
        <v>#N/A</v>
      </c>
      <c r="G757" s="39"/>
      <c r="H757" s="32" t="e">
        <v>#N/A</v>
      </c>
      <c r="I757" s="39"/>
      <c r="J757" s="32">
        <v>0.0</v>
      </c>
      <c r="K757" s="33" t="e">
        <v>#N/A</v>
      </c>
      <c r="L757" s="32" t="e">
        <v>#N/A</v>
      </c>
      <c r="M757" s="32" t="e">
        <v>#N/A</v>
      </c>
      <c r="N757" s="33" t="s">
        <v>51</v>
      </c>
      <c r="O757" s="33" t="s">
        <v>52</v>
      </c>
      <c r="P757" s="32" t="e">
        <v>#REF!</v>
      </c>
      <c r="Q757" s="32" t="e">
        <v>#N/A</v>
      </c>
      <c r="R757" s="42" t="e">
        <v>#N/A</v>
      </c>
      <c r="S757" s="42" t="e">
        <v>#N/A</v>
      </c>
      <c r="T757" s="36">
        <v>0.0</v>
      </c>
      <c r="U757" s="36">
        <v>0.0</v>
      </c>
      <c r="V757" s="36">
        <v>0.0</v>
      </c>
      <c r="W757" s="36">
        <v>0.0</v>
      </c>
      <c r="X757" s="36">
        <v>0.0</v>
      </c>
      <c r="Y757" s="36">
        <v>0.0</v>
      </c>
    </row>
    <row r="758">
      <c r="A758" s="32" t="s">
        <v>770</v>
      </c>
      <c r="B758" s="32" t="s">
        <v>770</v>
      </c>
      <c r="C758" s="32">
        <v>0.0</v>
      </c>
      <c r="D758" s="32" t="e">
        <v>#N/A</v>
      </c>
      <c r="E758" s="39"/>
      <c r="F758" s="32" t="e">
        <v>#N/A</v>
      </c>
      <c r="G758" s="39"/>
      <c r="H758" s="32" t="e">
        <v>#N/A</v>
      </c>
      <c r="I758" s="39"/>
      <c r="J758" s="32">
        <v>0.0</v>
      </c>
      <c r="K758" s="33" t="e">
        <v>#N/A</v>
      </c>
      <c r="L758" s="32" t="e">
        <v>#N/A</v>
      </c>
      <c r="M758" s="32" t="e">
        <v>#N/A</v>
      </c>
      <c r="N758" s="33" t="s">
        <v>51</v>
      </c>
      <c r="O758" s="33" t="s">
        <v>52</v>
      </c>
      <c r="P758" s="32" t="e">
        <v>#REF!</v>
      </c>
      <c r="Q758" s="32" t="e">
        <v>#N/A</v>
      </c>
      <c r="R758" s="42" t="e">
        <v>#N/A</v>
      </c>
      <c r="S758" s="42" t="e">
        <v>#N/A</v>
      </c>
      <c r="T758" s="36">
        <v>0.0</v>
      </c>
      <c r="U758" s="36">
        <v>0.0</v>
      </c>
      <c r="V758" s="36">
        <v>0.0</v>
      </c>
      <c r="W758" s="36">
        <v>0.0</v>
      </c>
      <c r="X758" s="36">
        <v>0.0</v>
      </c>
      <c r="Y758" s="36">
        <v>0.0</v>
      </c>
    </row>
    <row r="759">
      <c r="A759" s="32" t="s">
        <v>773</v>
      </c>
      <c r="B759" s="32" t="s">
        <v>773</v>
      </c>
      <c r="C759" s="32">
        <v>0.0</v>
      </c>
      <c r="D759" s="32" t="e">
        <v>#N/A</v>
      </c>
      <c r="E759" s="39"/>
      <c r="F759" s="32" t="e">
        <v>#N/A</v>
      </c>
      <c r="G759" s="39"/>
      <c r="H759" s="32" t="e">
        <v>#N/A</v>
      </c>
      <c r="I759" s="39"/>
      <c r="J759" s="32">
        <v>0.0</v>
      </c>
      <c r="K759" s="33" t="e">
        <v>#N/A</v>
      </c>
      <c r="L759" s="32" t="e">
        <v>#N/A</v>
      </c>
      <c r="M759" s="32" t="e">
        <v>#N/A</v>
      </c>
      <c r="N759" s="33" t="s">
        <v>51</v>
      </c>
      <c r="O759" s="33" t="s">
        <v>52</v>
      </c>
      <c r="P759" s="32" t="e">
        <v>#REF!</v>
      </c>
      <c r="Q759" s="32" t="e">
        <v>#N/A</v>
      </c>
      <c r="R759" s="42" t="e">
        <v>#N/A</v>
      </c>
      <c r="S759" s="42" t="e">
        <v>#N/A</v>
      </c>
      <c r="T759" s="36">
        <v>0.0</v>
      </c>
      <c r="U759" s="36">
        <v>0.0</v>
      </c>
      <c r="V759" s="36">
        <v>0.0</v>
      </c>
      <c r="W759" s="36">
        <v>0.0</v>
      </c>
      <c r="X759" s="36">
        <v>0.0</v>
      </c>
      <c r="Y759" s="36">
        <v>0.0</v>
      </c>
    </row>
    <row r="760">
      <c r="A760" s="32" t="s">
        <v>756</v>
      </c>
      <c r="B760" s="32" t="s">
        <v>756</v>
      </c>
      <c r="C760" s="32">
        <v>0.0</v>
      </c>
      <c r="D760" s="32" t="e">
        <v>#N/A</v>
      </c>
      <c r="E760" s="39"/>
      <c r="F760" s="32" t="e">
        <v>#N/A</v>
      </c>
      <c r="G760" s="39"/>
      <c r="H760" s="32" t="e">
        <v>#N/A</v>
      </c>
      <c r="I760" s="39"/>
      <c r="J760" s="32">
        <v>0.0</v>
      </c>
      <c r="K760" s="33" t="e">
        <v>#N/A</v>
      </c>
      <c r="L760" s="32" t="e">
        <v>#N/A</v>
      </c>
      <c r="M760" s="32" t="e">
        <v>#N/A</v>
      </c>
      <c r="N760" s="33" t="s">
        <v>51</v>
      </c>
      <c r="O760" s="33" t="s">
        <v>52</v>
      </c>
      <c r="P760" s="32" t="e">
        <v>#REF!</v>
      </c>
      <c r="Q760" s="32" t="e">
        <v>#N/A</v>
      </c>
      <c r="R760" s="42" t="e">
        <v>#N/A</v>
      </c>
      <c r="S760" s="42" t="e">
        <v>#N/A</v>
      </c>
      <c r="T760" s="36">
        <v>0.0</v>
      </c>
      <c r="U760" s="36">
        <v>0.0</v>
      </c>
      <c r="V760" s="36">
        <v>0.0</v>
      </c>
      <c r="W760" s="36">
        <v>0.0</v>
      </c>
      <c r="X760" s="36">
        <v>0.0</v>
      </c>
      <c r="Y760" s="36">
        <v>0.0</v>
      </c>
    </row>
    <row r="761">
      <c r="A761" s="32" t="s">
        <v>775</v>
      </c>
      <c r="B761" s="32" t="s">
        <v>775</v>
      </c>
      <c r="C761" s="32">
        <v>0.0</v>
      </c>
      <c r="D761" s="32" t="e">
        <v>#N/A</v>
      </c>
      <c r="E761" s="39"/>
      <c r="F761" s="32" t="e">
        <v>#N/A</v>
      </c>
      <c r="G761" s="39"/>
      <c r="H761" s="32" t="e">
        <v>#N/A</v>
      </c>
      <c r="I761" s="39"/>
      <c r="J761" s="32">
        <v>0.0</v>
      </c>
      <c r="K761" s="33" t="e">
        <v>#N/A</v>
      </c>
      <c r="L761" s="32" t="e">
        <v>#N/A</v>
      </c>
      <c r="M761" s="32" t="e">
        <v>#N/A</v>
      </c>
      <c r="N761" s="33" t="s">
        <v>51</v>
      </c>
      <c r="O761" s="33" t="s">
        <v>52</v>
      </c>
      <c r="P761" s="32" t="e">
        <v>#REF!</v>
      </c>
      <c r="Q761" s="32" t="e">
        <v>#N/A</v>
      </c>
      <c r="R761" s="42" t="e">
        <v>#N/A</v>
      </c>
      <c r="S761" s="42" t="e">
        <v>#N/A</v>
      </c>
      <c r="T761" s="36">
        <v>0.0</v>
      </c>
      <c r="U761" s="36">
        <v>0.0</v>
      </c>
      <c r="V761" s="36">
        <v>0.0</v>
      </c>
      <c r="W761" s="36">
        <v>0.0</v>
      </c>
      <c r="X761" s="36">
        <v>0.0</v>
      </c>
      <c r="Y761" s="36">
        <v>0.0</v>
      </c>
    </row>
    <row r="762">
      <c r="A762" s="32" t="s">
        <v>776</v>
      </c>
      <c r="B762" s="32" t="s">
        <v>776</v>
      </c>
      <c r="C762" s="32">
        <v>0.0</v>
      </c>
      <c r="D762" s="32" t="e">
        <v>#N/A</v>
      </c>
      <c r="E762" s="39"/>
      <c r="F762" s="32" t="e">
        <v>#N/A</v>
      </c>
      <c r="G762" s="39"/>
      <c r="H762" s="32" t="e">
        <v>#N/A</v>
      </c>
      <c r="I762" s="39"/>
      <c r="J762" s="32">
        <v>0.0</v>
      </c>
      <c r="K762" s="33" t="e">
        <v>#N/A</v>
      </c>
      <c r="L762" s="32" t="e">
        <v>#N/A</v>
      </c>
      <c r="M762" s="32" t="e">
        <v>#N/A</v>
      </c>
      <c r="N762" s="33" t="s">
        <v>51</v>
      </c>
      <c r="O762" s="33" t="s">
        <v>52</v>
      </c>
      <c r="P762" s="32" t="e">
        <v>#REF!</v>
      </c>
      <c r="Q762" s="32" t="e">
        <v>#N/A</v>
      </c>
      <c r="R762" s="42" t="e">
        <v>#N/A</v>
      </c>
      <c r="S762" s="42" t="e">
        <v>#N/A</v>
      </c>
      <c r="T762" s="36">
        <v>0.0</v>
      </c>
      <c r="U762" s="36">
        <v>0.0</v>
      </c>
      <c r="V762" s="36">
        <v>0.0</v>
      </c>
      <c r="W762" s="36">
        <v>0.0</v>
      </c>
      <c r="X762" s="36">
        <v>0.0</v>
      </c>
      <c r="Y762" s="36">
        <v>0.0</v>
      </c>
    </row>
    <row r="763">
      <c r="A763" s="32" t="s">
        <v>803</v>
      </c>
      <c r="B763" s="32" t="s">
        <v>803</v>
      </c>
      <c r="C763" s="32">
        <v>0.0</v>
      </c>
      <c r="D763" s="32" t="e">
        <v>#N/A</v>
      </c>
      <c r="E763" s="39"/>
      <c r="F763" s="32" t="e">
        <v>#N/A</v>
      </c>
      <c r="G763" s="39"/>
      <c r="H763" s="32" t="e">
        <v>#N/A</v>
      </c>
      <c r="I763" s="39"/>
      <c r="J763" s="32">
        <v>0.0</v>
      </c>
      <c r="K763" s="33" t="e">
        <v>#N/A</v>
      </c>
      <c r="L763" s="32" t="e">
        <v>#N/A</v>
      </c>
      <c r="M763" s="32" t="e">
        <v>#N/A</v>
      </c>
      <c r="N763" s="33" t="s">
        <v>51</v>
      </c>
      <c r="O763" s="33" t="s">
        <v>52</v>
      </c>
      <c r="P763" s="32" t="e">
        <v>#REF!</v>
      </c>
      <c r="Q763" s="32" t="e">
        <v>#N/A</v>
      </c>
      <c r="R763" s="42" t="e">
        <v>#N/A</v>
      </c>
      <c r="S763" s="42" t="e">
        <v>#N/A</v>
      </c>
      <c r="T763" s="36">
        <v>0.0</v>
      </c>
      <c r="U763" s="36">
        <v>0.0</v>
      </c>
      <c r="V763" s="36">
        <v>0.0</v>
      </c>
      <c r="W763" s="36">
        <v>0.0</v>
      </c>
      <c r="X763" s="36">
        <v>0.0</v>
      </c>
      <c r="Y763" s="36">
        <v>0.0</v>
      </c>
    </row>
    <row r="764">
      <c r="A764" s="32" t="s">
        <v>802</v>
      </c>
      <c r="B764" s="32" t="s">
        <v>802</v>
      </c>
      <c r="C764" s="32">
        <v>0.0</v>
      </c>
      <c r="D764" s="32" t="e">
        <v>#N/A</v>
      </c>
      <c r="E764" s="39"/>
      <c r="F764" s="32" t="e">
        <v>#N/A</v>
      </c>
      <c r="G764" s="39"/>
      <c r="H764" s="32" t="e">
        <v>#N/A</v>
      </c>
      <c r="I764" s="39"/>
      <c r="J764" s="32">
        <v>0.0</v>
      </c>
      <c r="K764" s="33" t="e">
        <v>#N/A</v>
      </c>
      <c r="L764" s="32" t="e">
        <v>#N/A</v>
      </c>
      <c r="M764" s="32" t="e">
        <v>#N/A</v>
      </c>
      <c r="N764" s="33" t="s">
        <v>51</v>
      </c>
      <c r="O764" s="33" t="s">
        <v>52</v>
      </c>
      <c r="P764" s="32" t="e">
        <v>#REF!</v>
      </c>
      <c r="Q764" s="32" t="e">
        <v>#N/A</v>
      </c>
      <c r="R764" s="42" t="e">
        <v>#N/A</v>
      </c>
      <c r="S764" s="42" t="e">
        <v>#N/A</v>
      </c>
      <c r="T764" s="36">
        <v>0.0</v>
      </c>
      <c r="U764" s="36">
        <v>0.0</v>
      </c>
      <c r="V764" s="36">
        <v>0.0</v>
      </c>
      <c r="W764" s="36">
        <v>0.0</v>
      </c>
      <c r="X764" s="36">
        <v>0.0</v>
      </c>
      <c r="Y764" s="36">
        <v>0.0</v>
      </c>
    </row>
    <row r="765">
      <c r="A765" s="32" t="s">
        <v>798</v>
      </c>
      <c r="B765" s="32" t="s">
        <v>798</v>
      </c>
      <c r="C765" s="32">
        <v>0.0</v>
      </c>
      <c r="D765" s="32" t="e">
        <v>#N/A</v>
      </c>
      <c r="E765" s="39"/>
      <c r="F765" s="32" t="e">
        <v>#N/A</v>
      </c>
      <c r="G765" s="39"/>
      <c r="H765" s="32" t="e">
        <v>#N/A</v>
      </c>
      <c r="I765" s="39"/>
      <c r="J765" s="32">
        <v>0.0</v>
      </c>
      <c r="K765" s="33" t="e">
        <v>#N/A</v>
      </c>
      <c r="L765" s="32" t="e">
        <v>#N/A</v>
      </c>
      <c r="M765" s="32" t="e">
        <v>#N/A</v>
      </c>
      <c r="N765" s="33" t="s">
        <v>51</v>
      </c>
      <c r="O765" s="33" t="s">
        <v>52</v>
      </c>
      <c r="P765" s="32" t="e">
        <v>#REF!</v>
      </c>
      <c r="Q765" s="32" t="e">
        <v>#N/A</v>
      </c>
      <c r="R765" s="42" t="e">
        <v>#N/A</v>
      </c>
      <c r="S765" s="42" t="e">
        <v>#N/A</v>
      </c>
      <c r="T765" s="36">
        <v>0.0</v>
      </c>
      <c r="U765" s="36">
        <v>0.0</v>
      </c>
      <c r="V765" s="36">
        <v>0.0</v>
      </c>
      <c r="W765" s="36">
        <v>0.0</v>
      </c>
      <c r="X765" s="36">
        <v>0.0</v>
      </c>
      <c r="Y765" s="36">
        <v>0.0</v>
      </c>
    </row>
    <row r="766">
      <c r="A766" s="32" t="s">
        <v>801</v>
      </c>
      <c r="B766" s="32" t="s">
        <v>801</v>
      </c>
      <c r="C766" s="32">
        <v>0.0</v>
      </c>
      <c r="D766" s="32" t="e">
        <v>#N/A</v>
      </c>
      <c r="E766" s="39"/>
      <c r="F766" s="32" t="e">
        <v>#N/A</v>
      </c>
      <c r="G766" s="39"/>
      <c r="H766" s="32" t="e">
        <v>#N/A</v>
      </c>
      <c r="I766" s="39"/>
      <c r="J766" s="32">
        <v>0.0</v>
      </c>
      <c r="K766" s="33" t="e">
        <v>#N/A</v>
      </c>
      <c r="L766" s="32" t="e">
        <v>#N/A</v>
      </c>
      <c r="M766" s="32" t="e">
        <v>#N/A</v>
      </c>
      <c r="N766" s="33" t="s">
        <v>51</v>
      </c>
      <c r="O766" s="33" t="s">
        <v>52</v>
      </c>
      <c r="P766" s="32" t="e">
        <v>#REF!</v>
      </c>
      <c r="Q766" s="32" t="e">
        <v>#N/A</v>
      </c>
      <c r="R766" s="42" t="e">
        <v>#N/A</v>
      </c>
      <c r="S766" s="42" t="e">
        <v>#N/A</v>
      </c>
      <c r="T766" s="36">
        <v>0.0</v>
      </c>
      <c r="U766" s="36">
        <v>0.0</v>
      </c>
      <c r="V766" s="36">
        <v>0.0</v>
      </c>
      <c r="W766" s="36">
        <v>0.0</v>
      </c>
      <c r="X766" s="36">
        <v>0.0</v>
      </c>
      <c r="Y766" s="36">
        <v>0.0</v>
      </c>
    </row>
    <row r="767">
      <c r="A767" s="32" t="s">
        <v>800</v>
      </c>
      <c r="B767" s="32" t="s">
        <v>800</v>
      </c>
      <c r="C767" s="32">
        <v>0.0</v>
      </c>
      <c r="D767" s="32" t="e">
        <v>#N/A</v>
      </c>
      <c r="E767" s="39"/>
      <c r="F767" s="32" t="e">
        <v>#N/A</v>
      </c>
      <c r="G767" s="39"/>
      <c r="H767" s="32" t="e">
        <v>#N/A</v>
      </c>
      <c r="I767" s="39"/>
      <c r="J767" s="32">
        <v>0.0</v>
      </c>
      <c r="K767" s="33" t="e">
        <v>#N/A</v>
      </c>
      <c r="L767" s="32" t="e">
        <v>#N/A</v>
      </c>
      <c r="M767" s="32" t="e">
        <v>#N/A</v>
      </c>
      <c r="N767" s="33" t="s">
        <v>51</v>
      </c>
      <c r="O767" s="33" t="s">
        <v>52</v>
      </c>
      <c r="P767" s="32" t="e">
        <v>#REF!</v>
      </c>
      <c r="Q767" s="32" t="e">
        <v>#N/A</v>
      </c>
      <c r="R767" s="42" t="e">
        <v>#N/A</v>
      </c>
      <c r="S767" s="42" t="e">
        <v>#N/A</v>
      </c>
      <c r="T767" s="36">
        <v>0.0</v>
      </c>
      <c r="U767" s="36">
        <v>0.0</v>
      </c>
      <c r="V767" s="36">
        <v>0.0</v>
      </c>
      <c r="W767" s="36">
        <v>0.0</v>
      </c>
      <c r="X767" s="36">
        <v>0.0</v>
      </c>
      <c r="Y767" s="36">
        <v>0.0</v>
      </c>
    </row>
    <row r="768">
      <c r="A768" s="32" t="s">
        <v>799</v>
      </c>
      <c r="B768" s="32" t="s">
        <v>799</v>
      </c>
      <c r="C768" s="32">
        <v>0.0</v>
      </c>
      <c r="D768" s="32" t="e">
        <v>#N/A</v>
      </c>
      <c r="E768" s="39"/>
      <c r="F768" s="32" t="e">
        <v>#N/A</v>
      </c>
      <c r="G768" s="39"/>
      <c r="H768" s="32" t="e">
        <v>#N/A</v>
      </c>
      <c r="I768" s="39"/>
      <c r="J768" s="32">
        <v>0.0</v>
      </c>
      <c r="K768" s="33" t="e">
        <v>#N/A</v>
      </c>
      <c r="L768" s="32" t="e">
        <v>#N/A</v>
      </c>
      <c r="M768" s="32" t="e">
        <v>#N/A</v>
      </c>
      <c r="N768" s="33" t="s">
        <v>51</v>
      </c>
      <c r="O768" s="33" t="s">
        <v>52</v>
      </c>
      <c r="P768" s="32" t="e">
        <v>#REF!</v>
      </c>
      <c r="Q768" s="32" t="e">
        <v>#N/A</v>
      </c>
      <c r="R768" s="42" t="e">
        <v>#N/A</v>
      </c>
      <c r="S768" s="42" t="e">
        <v>#N/A</v>
      </c>
      <c r="T768" s="36">
        <v>0.0</v>
      </c>
      <c r="U768" s="36">
        <v>0.0</v>
      </c>
      <c r="V768" s="36">
        <v>0.0</v>
      </c>
      <c r="W768" s="36">
        <v>0.0</v>
      </c>
      <c r="X768" s="36">
        <v>0.0</v>
      </c>
      <c r="Y768" s="36">
        <v>0.0</v>
      </c>
    </row>
    <row r="769">
      <c r="A769" s="32" t="s">
        <v>797</v>
      </c>
      <c r="B769" s="32" t="s">
        <v>797</v>
      </c>
      <c r="C769" s="32">
        <v>0.0</v>
      </c>
      <c r="D769" s="32" t="e">
        <v>#N/A</v>
      </c>
      <c r="E769" s="39"/>
      <c r="F769" s="32" t="e">
        <v>#N/A</v>
      </c>
      <c r="G769" s="39"/>
      <c r="H769" s="32" t="e">
        <v>#N/A</v>
      </c>
      <c r="I769" s="39"/>
      <c r="J769" s="32">
        <v>0.0</v>
      </c>
      <c r="K769" s="33" t="e">
        <v>#N/A</v>
      </c>
      <c r="L769" s="32" t="e">
        <v>#N/A</v>
      </c>
      <c r="M769" s="32" t="e">
        <v>#N/A</v>
      </c>
      <c r="N769" s="33" t="s">
        <v>51</v>
      </c>
      <c r="O769" s="33" t="s">
        <v>52</v>
      </c>
      <c r="P769" s="32" t="e">
        <v>#REF!</v>
      </c>
      <c r="Q769" s="32" t="e">
        <v>#N/A</v>
      </c>
      <c r="R769" s="42" t="e">
        <v>#N/A</v>
      </c>
      <c r="S769" s="42" t="e">
        <v>#N/A</v>
      </c>
      <c r="T769" s="36">
        <v>0.0</v>
      </c>
      <c r="U769" s="36">
        <v>0.0</v>
      </c>
      <c r="V769" s="36">
        <v>0.0</v>
      </c>
      <c r="W769" s="36">
        <v>0.0</v>
      </c>
      <c r="X769" s="36">
        <v>0.0</v>
      </c>
      <c r="Y769" s="36">
        <v>0.0</v>
      </c>
    </row>
    <row r="770">
      <c r="A770" s="32" t="s">
        <v>1629</v>
      </c>
      <c r="B770" s="32" t="s">
        <v>1629</v>
      </c>
      <c r="C770" s="32" t="s">
        <v>1608</v>
      </c>
      <c r="D770" s="32" t="s">
        <v>1609</v>
      </c>
      <c r="E770" s="32" t="s">
        <v>5102</v>
      </c>
      <c r="F770" s="32" t="e">
        <v>#N/A</v>
      </c>
      <c r="G770" s="32" t="e">
        <v>#N/A</v>
      </c>
      <c r="H770" s="32">
        <v>0.0</v>
      </c>
      <c r="I770" s="32">
        <v>0.0</v>
      </c>
      <c r="J770" s="32" t="s">
        <v>1630</v>
      </c>
      <c r="K770" s="33" t="s">
        <v>1631</v>
      </c>
      <c r="L770" s="32" t="e">
        <v>#N/A</v>
      </c>
      <c r="M770" s="32" t="e">
        <v>#N/A</v>
      </c>
      <c r="N770" s="32" t="s">
        <v>5112</v>
      </c>
      <c r="O770" s="32" t="s">
        <v>52</v>
      </c>
      <c r="P770" s="32">
        <v>32999.0</v>
      </c>
      <c r="Q770" s="34">
        <v>29699.0</v>
      </c>
      <c r="R770" s="40">
        <v>31299.0</v>
      </c>
      <c r="S770" s="35">
        <v>25409.23</v>
      </c>
      <c r="T770" s="36">
        <v>0.0</v>
      </c>
      <c r="U770" s="36">
        <v>0.0</v>
      </c>
      <c r="V770" s="36">
        <v>0.0</v>
      </c>
      <c r="W770" s="36">
        <v>0.0</v>
      </c>
      <c r="X770" s="36">
        <v>0.0</v>
      </c>
      <c r="Y770" s="36">
        <v>0.0</v>
      </c>
    </row>
    <row r="771">
      <c r="A771" s="32" t="s">
        <v>4888</v>
      </c>
      <c r="B771" s="32" t="s">
        <v>4888</v>
      </c>
      <c r="C771" s="32" t="s">
        <v>4889</v>
      </c>
      <c r="D771" s="46" t="s">
        <v>5145</v>
      </c>
      <c r="E771" s="32" t="s">
        <v>5073</v>
      </c>
      <c r="F771" s="38"/>
      <c r="G771" s="32" t="e">
        <v>#N/A</v>
      </c>
      <c r="H771" s="38"/>
      <c r="I771" s="32">
        <v>0.0</v>
      </c>
      <c r="J771" s="32" t="s">
        <v>4891</v>
      </c>
      <c r="K771" s="38"/>
      <c r="L771" s="38"/>
      <c r="M771" s="38"/>
      <c r="N771" s="32" t="s">
        <v>5146</v>
      </c>
      <c r="O771" s="32" t="s">
        <v>5114</v>
      </c>
      <c r="P771" s="32">
        <v>27999.0</v>
      </c>
      <c r="Q771" s="44">
        <v>23799.0</v>
      </c>
      <c r="R771" s="40">
        <v>23799.0</v>
      </c>
      <c r="S771" s="35">
        <v>23799.0</v>
      </c>
      <c r="T771" s="36">
        <v>0.0</v>
      </c>
      <c r="U771" s="36">
        <v>0.0</v>
      </c>
      <c r="V771" s="36">
        <v>0.0</v>
      </c>
      <c r="W771" s="36">
        <v>0.0</v>
      </c>
      <c r="X771" s="36">
        <v>0.0</v>
      </c>
      <c r="Y771" s="36">
        <v>0.0</v>
      </c>
    </row>
    <row r="772">
      <c r="A772" s="32" t="s">
        <v>795</v>
      </c>
      <c r="B772" s="32" t="s">
        <v>795</v>
      </c>
      <c r="C772" s="32">
        <v>0.0</v>
      </c>
      <c r="D772" s="32" t="e">
        <v>#N/A</v>
      </c>
      <c r="E772" s="39"/>
      <c r="F772" s="32" t="e">
        <v>#N/A</v>
      </c>
      <c r="G772" s="39"/>
      <c r="H772" s="32" t="e">
        <v>#N/A</v>
      </c>
      <c r="I772" s="39"/>
      <c r="J772" s="32">
        <v>0.0</v>
      </c>
      <c r="K772" s="33" t="e">
        <v>#N/A</v>
      </c>
      <c r="L772" s="32" t="e">
        <v>#N/A</v>
      </c>
      <c r="M772" s="32" t="e">
        <v>#N/A</v>
      </c>
      <c r="N772" s="33" t="s">
        <v>51</v>
      </c>
      <c r="O772" s="33" t="s">
        <v>52</v>
      </c>
      <c r="P772" s="32" t="e">
        <v>#REF!</v>
      </c>
      <c r="Q772" s="32" t="e">
        <v>#N/A</v>
      </c>
      <c r="R772" s="42" t="e">
        <v>#N/A</v>
      </c>
      <c r="S772" s="42" t="e">
        <v>#N/A</v>
      </c>
      <c r="T772" s="36">
        <v>0.0</v>
      </c>
      <c r="U772" s="36">
        <v>0.0</v>
      </c>
      <c r="V772" s="36">
        <v>0.0</v>
      </c>
      <c r="W772" s="36">
        <v>0.0</v>
      </c>
      <c r="X772" s="36">
        <v>0.0</v>
      </c>
      <c r="Y772" s="36">
        <v>0.0</v>
      </c>
    </row>
    <row r="773">
      <c r="A773" s="32" t="s">
        <v>796</v>
      </c>
      <c r="B773" s="32" t="s">
        <v>796</v>
      </c>
      <c r="C773" s="32">
        <v>0.0</v>
      </c>
      <c r="D773" s="32" t="e">
        <v>#N/A</v>
      </c>
      <c r="E773" s="39"/>
      <c r="F773" s="32" t="e">
        <v>#N/A</v>
      </c>
      <c r="G773" s="39"/>
      <c r="H773" s="32" t="e">
        <v>#N/A</v>
      </c>
      <c r="I773" s="39"/>
      <c r="J773" s="32">
        <v>0.0</v>
      </c>
      <c r="K773" s="33" t="e">
        <v>#N/A</v>
      </c>
      <c r="L773" s="32" t="e">
        <v>#N/A</v>
      </c>
      <c r="M773" s="32" t="e">
        <v>#N/A</v>
      </c>
      <c r="N773" s="33" t="s">
        <v>51</v>
      </c>
      <c r="O773" s="33" t="s">
        <v>52</v>
      </c>
      <c r="P773" s="32" t="e">
        <v>#REF!</v>
      </c>
      <c r="Q773" s="32" t="e">
        <v>#N/A</v>
      </c>
      <c r="R773" s="42" t="e">
        <v>#N/A</v>
      </c>
      <c r="S773" s="42" t="e">
        <v>#N/A</v>
      </c>
      <c r="T773" s="36">
        <v>0.0</v>
      </c>
      <c r="U773" s="36">
        <v>0.0</v>
      </c>
      <c r="V773" s="36">
        <v>0.0</v>
      </c>
      <c r="W773" s="36">
        <v>0.0</v>
      </c>
      <c r="X773" s="36">
        <v>0.0</v>
      </c>
      <c r="Y773" s="36">
        <v>0.0</v>
      </c>
    </row>
    <row r="774">
      <c r="A774" s="32" t="s">
        <v>4771</v>
      </c>
      <c r="B774" s="32" t="s">
        <v>4771</v>
      </c>
      <c r="C774" s="32" t="s">
        <v>4772</v>
      </c>
      <c r="D774" s="32" t="s">
        <v>4773</v>
      </c>
      <c r="E774" s="32" t="s">
        <v>5073</v>
      </c>
      <c r="F774" s="32" t="e">
        <v>#N/A</v>
      </c>
      <c r="G774" s="32" t="e">
        <v>#N/A</v>
      </c>
      <c r="H774" s="32" t="s">
        <v>4771</v>
      </c>
      <c r="I774" s="32" t="s">
        <v>5102</v>
      </c>
      <c r="J774" s="32" t="s">
        <v>4771</v>
      </c>
      <c r="K774" s="33" t="s">
        <v>4774</v>
      </c>
      <c r="L774" s="32" t="e">
        <v>#N/A</v>
      </c>
      <c r="M774" s="32" t="e">
        <v>#N/A</v>
      </c>
      <c r="N774" s="33" t="s">
        <v>4729</v>
      </c>
      <c r="O774" s="33" t="s">
        <v>4730</v>
      </c>
      <c r="P774" s="32" t="e">
        <v>#REF!</v>
      </c>
      <c r="Q774" s="38"/>
      <c r="R774" s="42" t="e">
        <v>#N/A</v>
      </c>
      <c r="S774" s="38"/>
      <c r="T774" s="36">
        <v>0.0</v>
      </c>
      <c r="U774" s="36">
        <v>0.0</v>
      </c>
      <c r="V774" s="36">
        <v>0.0</v>
      </c>
      <c r="W774" s="36">
        <v>0.0</v>
      </c>
      <c r="X774" s="36">
        <v>0.0</v>
      </c>
      <c r="Y774" s="36">
        <v>0.0</v>
      </c>
    </row>
    <row r="775">
      <c r="A775" s="32" t="s">
        <v>4819</v>
      </c>
      <c r="B775" s="32" t="s">
        <v>4819</v>
      </c>
      <c r="C775" s="32" t="s">
        <v>4820</v>
      </c>
      <c r="D775" s="32" t="s">
        <v>4819</v>
      </c>
      <c r="E775" s="32" t="s">
        <v>5073</v>
      </c>
      <c r="F775" s="32" t="e">
        <v>#N/A</v>
      </c>
      <c r="G775" s="32" t="e">
        <v>#N/A</v>
      </c>
      <c r="H775" s="32" t="e">
        <v>#N/A</v>
      </c>
      <c r="I775" s="32">
        <v>0.0</v>
      </c>
      <c r="J775" s="32" t="s">
        <v>5147</v>
      </c>
      <c r="K775" s="33" t="s">
        <v>4821</v>
      </c>
      <c r="L775" s="32" t="e">
        <v>#N/A</v>
      </c>
      <c r="M775" s="32" t="e">
        <v>#N/A</v>
      </c>
      <c r="N775" s="32" t="s">
        <v>5084</v>
      </c>
      <c r="O775" s="32" t="s">
        <v>1145</v>
      </c>
      <c r="P775" s="32">
        <v>6999.0</v>
      </c>
      <c r="Q775" s="34">
        <v>3699.0</v>
      </c>
      <c r="R775" s="40">
        <v>3699.0</v>
      </c>
      <c r="S775" s="35">
        <v>3499.0</v>
      </c>
      <c r="T775" s="36">
        <v>0.0</v>
      </c>
      <c r="U775" s="36">
        <v>0.0</v>
      </c>
      <c r="V775" s="36">
        <v>0.0</v>
      </c>
      <c r="W775" s="36">
        <v>0.0</v>
      </c>
      <c r="X775" s="36">
        <v>0.0</v>
      </c>
      <c r="Y775" s="36">
        <v>0.0</v>
      </c>
    </row>
    <row r="776">
      <c r="A776" s="32" t="s">
        <v>4816</v>
      </c>
      <c r="B776" s="32" t="s">
        <v>4816</v>
      </c>
      <c r="C776" s="32" t="s">
        <v>4817</v>
      </c>
      <c r="D776" s="32" t="s">
        <v>4816</v>
      </c>
      <c r="E776" s="32" t="s">
        <v>5073</v>
      </c>
      <c r="F776" s="32" t="e">
        <v>#N/A</v>
      </c>
      <c r="G776" s="32" t="e">
        <v>#N/A</v>
      </c>
      <c r="H776" s="32" t="e">
        <v>#N/A</v>
      </c>
      <c r="I776" s="32">
        <v>0.0</v>
      </c>
      <c r="J776" s="32" t="s">
        <v>5148</v>
      </c>
      <c r="K776" s="33" t="s">
        <v>4818</v>
      </c>
      <c r="L776" s="32" t="e">
        <v>#N/A</v>
      </c>
      <c r="M776" s="32" t="e">
        <v>#N/A</v>
      </c>
      <c r="N776" s="32" t="s">
        <v>5083</v>
      </c>
      <c r="O776" s="32" t="s">
        <v>1145</v>
      </c>
      <c r="P776" s="32">
        <v>10999.0</v>
      </c>
      <c r="Q776" s="34">
        <v>8999.0</v>
      </c>
      <c r="R776" s="40">
        <v>8999.0</v>
      </c>
      <c r="S776" s="35">
        <v>8499.0</v>
      </c>
      <c r="T776" s="36">
        <v>0.0</v>
      </c>
      <c r="U776" s="36">
        <v>0.0</v>
      </c>
      <c r="V776" s="36">
        <v>0.0</v>
      </c>
      <c r="W776" s="36">
        <v>0.0</v>
      </c>
      <c r="X776" s="36">
        <v>0.0</v>
      </c>
      <c r="Y776" s="36">
        <v>0.0</v>
      </c>
    </row>
    <row r="777">
      <c r="A777" s="32" t="s">
        <v>4812</v>
      </c>
      <c r="B777" s="32" t="s">
        <v>4812</v>
      </c>
      <c r="C777" s="32" t="s">
        <v>4813</v>
      </c>
      <c r="D777" s="32" t="s">
        <v>4812</v>
      </c>
      <c r="E777" s="32" t="s">
        <v>5073</v>
      </c>
      <c r="F777" s="32" t="e">
        <v>#N/A</v>
      </c>
      <c r="G777" s="32" t="e">
        <v>#N/A</v>
      </c>
      <c r="H777" s="32" t="e">
        <v>#N/A</v>
      </c>
      <c r="I777" s="32">
        <v>0.0</v>
      </c>
      <c r="J777" s="32" t="s">
        <v>4814</v>
      </c>
      <c r="K777" s="33" t="s">
        <v>4815</v>
      </c>
      <c r="L777" s="32" t="e">
        <v>#N/A</v>
      </c>
      <c r="M777" s="32" t="e">
        <v>#N/A</v>
      </c>
      <c r="N777" s="32" t="s">
        <v>5080</v>
      </c>
      <c r="O777" s="32" t="s">
        <v>1145</v>
      </c>
      <c r="P777" s="32">
        <v>5999.0</v>
      </c>
      <c r="Q777" s="34">
        <v>3799.0</v>
      </c>
      <c r="R777" s="40">
        <v>3799.0</v>
      </c>
      <c r="S777" s="35">
        <v>1799.0</v>
      </c>
      <c r="T777" s="36">
        <v>0.0</v>
      </c>
      <c r="U777" s="36">
        <v>0.0</v>
      </c>
      <c r="V777" s="36">
        <v>0.0</v>
      </c>
      <c r="W777" s="36">
        <v>0.0</v>
      </c>
      <c r="X777" s="36">
        <v>0.0</v>
      </c>
      <c r="Y777" s="36">
        <v>0.0</v>
      </c>
    </row>
    <row r="778">
      <c r="A778" s="32" t="s">
        <v>4906</v>
      </c>
      <c r="B778" s="32" t="s">
        <v>4906</v>
      </c>
      <c r="C778" s="32" t="s">
        <v>4907</v>
      </c>
      <c r="D778" s="46" t="s">
        <v>5149</v>
      </c>
      <c r="E778" s="47" t="s">
        <v>5102</v>
      </c>
      <c r="F778" s="32" t="e">
        <v>#N/A</v>
      </c>
      <c r="G778" s="32" t="e">
        <v>#N/A</v>
      </c>
      <c r="H778" s="37" t="s">
        <v>4906</v>
      </c>
      <c r="I778" s="37" t="s">
        <v>5102</v>
      </c>
      <c r="J778" s="32" t="s">
        <v>4909</v>
      </c>
      <c r="K778" s="38"/>
      <c r="L778" s="38"/>
      <c r="M778" s="38"/>
      <c r="N778" s="32" t="s">
        <v>5131</v>
      </c>
      <c r="O778" s="32" t="s">
        <v>4730</v>
      </c>
      <c r="P778" s="32">
        <v>2789.0</v>
      </c>
      <c r="Q778" s="44">
        <v>2299.0</v>
      </c>
      <c r="R778" s="40">
        <v>2299.0</v>
      </c>
      <c r="S778" s="35">
        <v>2199.0</v>
      </c>
      <c r="T778" s="36">
        <v>0.0</v>
      </c>
      <c r="U778" s="36">
        <v>0.0</v>
      </c>
      <c r="V778" s="36">
        <v>0.0</v>
      </c>
      <c r="W778" s="36">
        <v>0.0</v>
      </c>
      <c r="X778" s="36">
        <v>0.0</v>
      </c>
      <c r="Y778" s="36">
        <v>0.0</v>
      </c>
    </row>
    <row r="779">
      <c r="A779" s="32" t="s">
        <v>4892</v>
      </c>
      <c r="B779" s="32" t="s">
        <v>4892</v>
      </c>
      <c r="C779" s="32" t="s">
        <v>4893</v>
      </c>
      <c r="D779" s="46" t="s">
        <v>5150</v>
      </c>
      <c r="E779" s="47" t="s">
        <v>5102</v>
      </c>
      <c r="F779" s="32" t="e">
        <v>#N/A</v>
      </c>
      <c r="G779" s="32" t="e">
        <v>#N/A</v>
      </c>
      <c r="H779" s="37" t="s">
        <v>4892</v>
      </c>
      <c r="I779" s="37" t="s">
        <v>5102</v>
      </c>
      <c r="J779" s="32" t="s">
        <v>4895</v>
      </c>
      <c r="K779" s="38"/>
      <c r="L779" s="38"/>
      <c r="M779" s="38"/>
      <c r="N779" s="32" t="s">
        <v>5107</v>
      </c>
      <c r="O779" s="32" t="s">
        <v>4730</v>
      </c>
      <c r="P779" s="32">
        <v>2189.0</v>
      </c>
      <c r="Q779" s="44">
        <v>1792.0</v>
      </c>
      <c r="R779" s="40">
        <v>1799.0</v>
      </c>
      <c r="S779" s="35">
        <v>1641.75</v>
      </c>
      <c r="T779" s="36">
        <v>0.0</v>
      </c>
      <c r="U779" s="36">
        <v>0.0</v>
      </c>
      <c r="V779" s="36">
        <v>0.0</v>
      </c>
      <c r="W779" s="36">
        <v>0.0</v>
      </c>
      <c r="X779" s="36">
        <v>0.0</v>
      </c>
      <c r="Y779" s="36">
        <v>0.0</v>
      </c>
    </row>
    <row r="780">
      <c r="A780" s="32" t="s">
        <v>4896</v>
      </c>
      <c r="B780" s="32" t="s">
        <v>4896</v>
      </c>
      <c r="C780" s="32" t="s">
        <v>4897</v>
      </c>
      <c r="D780" s="46" t="s">
        <v>5151</v>
      </c>
      <c r="E780" s="47" t="s">
        <v>5102</v>
      </c>
      <c r="F780" s="32" t="e">
        <v>#N/A</v>
      </c>
      <c r="G780" s="32" t="e">
        <v>#N/A</v>
      </c>
      <c r="H780" s="37" t="s">
        <v>4896</v>
      </c>
      <c r="I780" s="37" t="s">
        <v>5102</v>
      </c>
      <c r="J780" s="32" t="s">
        <v>4899</v>
      </c>
      <c r="K780" s="38"/>
      <c r="L780" s="38"/>
      <c r="M780" s="38"/>
      <c r="N780" s="32" t="s">
        <v>5107</v>
      </c>
      <c r="O780" s="32" t="s">
        <v>4730</v>
      </c>
      <c r="P780" s="32">
        <v>1989.0</v>
      </c>
      <c r="Q780" s="44">
        <v>1628.0</v>
      </c>
      <c r="R780" s="40">
        <v>1628.0</v>
      </c>
      <c r="S780" s="35">
        <v>1491.75</v>
      </c>
      <c r="T780" s="36">
        <v>0.0</v>
      </c>
      <c r="U780" s="36">
        <v>0.0</v>
      </c>
      <c r="V780" s="36">
        <v>0.0</v>
      </c>
      <c r="W780" s="36">
        <v>0.0</v>
      </c>
      <c r="X780" s="36">
        <v>0.0</v>
      </c>
      <c r="Y780" s="36">
        <v>0.0</v>
      </c>
    </row>
    <row r="781">
      <c r="A781" s="32" t="s">
        <v>4900</v>
      </c>
      <c r="B781" s="32" t="s">
        <v>4900</v>
      </c>
      <c r="C781" s="32" t="s">
        <v>4901</v>
      </c>
      <c r="D781" s="46" t="s">
        <v>5152</v>
      </c>
      <c r="E781" s="47" t="s">
        <v>5102</v>
      </c>
      <c r="F781" s="32" t="e">
        <v>#N/A</v>
      </c>
      <c r="G781" s="32" t="e">
        <v>#N/A</v>
      </c>
      <c r="H781" s="37" t="s">
        <v>4900</v>
      </c>
      <c r="I781" s="37" t="s">
        <v>5102</v>
      </c>
      <c r="J781" s="32" t="s">
        <v>4903</v>
      </c>
      <c r="K781" s="38"/>
      <c r="L781" s="38"/>
      <c r="M781" s="38"/>
      <c r="N781" s="32" t="s">
        <v>5107</v>
      </c>
      <c r="O781" s="32" t="s">
        <v>4730</v>
      </c>
      <c r="P781" s="32">
        <v>1989.0</v>
      </c>
      <c r="Q781" s="44">
        <v>1628.0</v>
      </c>
      <c r="R781" s="40">
        <v>1628.0</v>
      </c>
      <c r="S781" s="35">
        <v>1491.75</v>
      </c>
      <c r="T781" s="36">
        <v>0.0</v>
      </c>
      <c r="U781" s="36">
        <v>0.0</v>
      </c>
      <c r="V781" s="36">
        <v>0.0</v>
      </c>
      <c r="W781" s="36">
        <v>0.0</v>
      </c>
      <c r="X781" s="36">
        <v>0.0</v>
      </c>
      <c r="Y781" s="36">
        <v>0.0</v>
      </c>
    </row>
    <row r="782">
      <c r="A782" s="32" t="s">
        <v>4841</v>
      </c>
      <c r="B782" s="32" t="s">
        <v>4841</v>
      </c>
      <c r="C782" s="32" t="s">
        <v>4842</v>
      </c>
      <c r="D782" s="32" t="s">
        <v>4843</v>
      </c>
      <c r="E782" s="47" t="s">
        <v>5102</v>
      </c>
      <c r="F782" s="32" t="e">
        <v>#N/A</v>
      </c>
      <c r="G782" s="32" t="e">
        <v>#N/A</v>
      </c>
      <c r="H782" s="32" t="e">
        <v>#N/A</v>
      </c>
      <c r="I782" s="32">
        <v>0.0</v>
      </c>
      <c r="J782" s="32" t="s">
        <v>5153</v>
      </c>
      <c r="K782" s="33" t="s">
        <v>4844</v>
      </c>
      <c r="L782" s="32" t="e">
        <v>#N/A</v>
      </c>
      <c r="M782" s="32" t="e">
        <v>#N/A</v>
      </c>
      <c r="N782" s="32" t="s">
        <v>4693</v>
      </c>
      <c r="O782" s="32" t="s">
        <v>1145</v>
      </c>
      <c r="P782" s="32">
        <v>3899.0</v>
      </c>
      <c r="Q782" s="34">
        <v>3299.0</v>
      </c>
      <c r="R782" s="40">
        <v>3299.0</v>
      </c>
      <c r="S782" s="35">
        <v>2999.0</v>
      </c>
      <c r="T782" s="36">
        <v>0.0</v>
      </c>
      <c r="U782" s="36">
        <v>0.0</v>
      </c>
      <c r="V782" s="36">
        <v>0.0</v>
      </c>
      <c r="W782" s="36">
        <v>0.0</v>
      </c>
      <c r="X782" s="36">
        <v>0.0</v>
      </c>
      <c r="Y782" s="36">
        <v>0.0</v>
      </c>
    </row>
    <row r="783">
      <c r="A783" s="32" t="s">
        <v>3026</v>
      </c>
      <c r="B783" s="32" t="s">
        <v>3026</v>
      </c>
      <c r="C783" s="32" t="s">
        <v>3027</v>
      </c>
      <c r="D783" s="32" t="s">
        <v>3028</v>
      </c>
      <c r="E783" s="32" t="s">
        <v>5102</v>
      </c>
      <c r="F783" s="32" t="e">
        <v>#N/A</v>
      </c>
      <c r="G783" s="32" t="e">
        <v>#N/A</v>
      </c>
      <c r="H783" s="32" t="s">
        <v>3029</v>
      </c>
      <c r="I783" s="32" t="s">
        <v>5102</v>
      </c>
      <c r="J783" s="32" t="s">
        <v>3030</v>
      </c>
      <c r="K783" s="33" t="s">
        <v>3031</v>
      </c>
      <c r="L783" s="32" t="e">
        <v>#N/A</v>
      </c>
      <c r="M783" s="32" t="e">
        <v>#N/A</v>
      </c>
      <c r="N783" s="32" t="s">
        <v>5131</v>
      </c>
      <c r="O783" s="32" t="s">
        <v>4730</v>
      </c>
      <c r="P783" s="32">
        <v>2989.0</v>
      </c>
      <c r="Q783" s="34">
        <v>2299.0</v>
      </c>
      <c r="R783" s="40">
        <v>2299.0</v>
      </c>
      <c r="S783" s="35">
        <v>2199.0</v>
      </c>
      <c r="T783" s="36">
        <v>0.0</v>
      </c>
      <c r="U783" s="36">
        <v>0.0</v>
      </c>
      <c r="V783" s="36">
        <v>0.0</v>
      </c>
      <c r="W783" s="36">
        <v>0.0</v>
      </c>
      <c r="X783" s="36">
        <v>0.0</v>
      </c>
      <c r="Y783" s="36">
        <v>0.0</v>
      </c>
    </row>
    <row r="784">
      <c r="A784" s="32" t="s">
        <v>50</v>
      </c>
      <c r="B784" s="32" t="s">
        <v>50</v>
      </c>
      <c r="C784" s="32">
        <v>0.0</v>
      </c>
      <c r="D784" s="32" t="e">
        <v>#N/A</v>
      </c>
      <c r="E784" s="39"/>
      <c r="F784" s="32" t="e">
        <v>#N/A</v>
      </c>
      <c r="G784" s="39"/>
      <c r="H784" s="32" t="e">
        <v>#N/A</v>
      </c>
      <c r="I784" s="39"/>
      <c r="J784" s="32">
        <v>0.0</v>
      </c>
      <c r="K784" s="33" t="e">
        <v>#N/A</v>
      </c>
      <c r="L784" s="32" t="e">
        <v>#N/A</v>
      </c>
      <c r="M784" s="32" t="e">
        <v>#N/A</v>
      </c>
      <c r="N784" s="33" t="s">
        <v>51</v>
      </c>
      <c r="O784" s="33" t="s">
        <v>52</v>
      </c>
      <c r="P784" s="32" t="e">
        <v>#REF!</v>
      </c>
      <c r="Q784" s="32" t="e">
        <v>#N/A</v>
      </c>
      <c r="R784" s="42" t="e">
        <v>#N/A</v>
      </c>
      <c r="S784" s="42" t="e">
        <v>#N/A</v>
      </c>
      <c r="T784" s="36">
        <v>0.0</v>
      </c>
      <c r="U784" s="36">
        <v>0.0</v>
      </c>
      <c r="V784" s="36">
        <v>0.0</v>
      </c>
      <c r="W784" s="36">
        <v>0.0</v>
      </c>
      <c r="X784" s="36">
        <v>0.0</v>
      </c>
      <c r="Y784" s="36">
        <v>0.0</v>
      </c>
    </row>
    <row r="785">
      <c r="A785" s="32" t="s">
        <v>3349</v>
      </c>
      <c r="B785" s="32" t="s">
        <v>3349</v>
      </c>
      <c r="C785" s="32" t="s">
        <v>3350</v>
      </c>
      <c r="D785" s="32" t="s">
        <v>3351</v>
      </c>
      <c r="E785" s="32" t="s">
        <v>5102</v>
      </c>
      <c r="F785" s="32" t="e">
        <v>#N/A</v>
      </c>
      <c r="G785" s="32" t="e">
        <v>#N/A</v>
      </c>
      <c r="H785" s="32" t="s">
        <v>3352</v>
      </c>
      <c r="I785" s="32" t="s">
        <v>5102</v>
      </c>
      <c r="J785" s="32" t="s">
        <v>3353</v>
      </c>
      <c r="K785" s="33" t="s">
        <v>3354</v>
      </c>
      <c r="L785" s="32">
        <v>3.1818373E7</v>
      </c>
      <c r="M785" s="32" t="e">
        <v>#N/A</v>
      </c>
      <c r="N785" s="32" t="s">
        <v>5086</v>
      </c>
      <c r="O785" s="32" t="s">
        <v>4730</v>
      </c>
      <c r="P785" s="32">
        <v>2189.0</v>
      </c>
      <c r="Q785" s="34">
        <v>1999.0</v>
      </c>
      <c r="R785" s="40">
        <v>1999.0</v>
      </c>
      <c r="S785" s="35">
        <v>1860.65</v>
      </c>
      <c r="T785" s="36">
        <v>0.0</v>
      </c>
      <c r="U785" s="36">
        <v>0.0</v>
      </c>
      <c r="V785" s="36">
        <v>0.0</v>
      </c>
      <c r="W785" s="36">
        <v>0.0</v>
      </c>
      <c r="X785" s="36">
        <v>0.0</v>
      </c>
      <c r="Y785" s="36">
        <v>0.0</v>
      </c>
    </row>
    <row r="786">
      <c r="A786" s="32" t="s">
        <v>3325</v>
      </c>
      <c r="B786" s="32" t="s">
        <v>3325</v>
      </c>
      <c r="C786" s="32" t="s">
        <v>3326</v>
      </c>
      <c r="D786" s="32" t="s">
        <v>3327</v>
      </c>
      <c r="E786" s="32" t="s">
        <v>5102</v>
      </c>
      <c r="F786" s="32" t="e">
        <v>#N/A</v>
      </c>
      <c r="G786" s="32" t="e">
        <v>#N/A</v>
      </c>
      <c r="H786" s="32" t="s">
        <v>3328</v>
      </c>
      <c r="I786" s="32" t="s">
        <v>5102</v>
      </c>
      <c r="J786" s="32" t="s">
        <v>3329</v>
      </c>
      <c r="K786" s="33" t="s">
        <v>3330</v>
      </c>
      <c r="L786" s="32">
        <v>3.1818429E7</v>
      </c>
      <c r="M786" s="32" t="e">
        <v>#N/A</v>
      </c>
      <c r="N786" s="32" t="s">
        <v>5086</v>
      </c>
      <c r="O786" s="32" t="s">
        <v>4730</v>
      </c>
      <c r="P786" s="32">
        <v>2189.0</v>
      </c>
      <c r="Q786" s="34">
        <v>1999.0</v>
      </c>
      <c r="R786" s="40">
        <v>1999.0</v>
      </c>
      <c r="S786" s="35">
        <v>1860.65</v>
      </c>
      <c r="T786" s="36">
        <v>0.0</v>
      </c>
      <c r="U786" s="36">
        <v>0.0</v>
      </c>
      <c r="V786" s="36">
        <v>0.0</v>
      </c>
      <c r="W786" s="36">
        <v>0.0</v>
      </c>
      <c r="X786" s="36">
        <v>0.0</v>
      </c>
      <c r="Y786" s="36">
        <v>0.0</v>
      </c>
    </row>
    <row r="787">
      <c r="A787" s="32" t="s">
        <v>3301</v>
      </c>
      <c r="B787" s="32" t="s">
        <v>3301</v>
      </c>
      <c r="C787" s="32" t="s">
        <v>3302</v>
      </c>
      <c r="D787" s="32" t="s">
        <v>3303</v>
      </c>
      <c r="E787" s="32" t="s">
        <v>5102</v>
      </c>
      <c r="F787" s="32" t="e">
        <v>#N/A</v>
      </c>
      <c r="G787" s="32" t="e">
        <v>#N/A</v>
      </c>
      <c r="H787" s="32" t="s">
        <v>3304</v>
      </c>
      <c r="I787" s="32" t="s">
        <v>5102</v>
      </c>
      <c r="J787" s="32" t="s">
        <v>3305</v>
      </c>
      <c r="K787" s="33" t="s">
        <v>3306</v>
      </c>
      <c r="L787" s="32">
        <v>3.1818361E7</v>
      </c>
      <c r="M787" s="32" t="e">
        <v>#N/A</v>
      </c>
      <c r="N787" s="32" t="s">
        <v>5086</v>
      </c>
      <c r="O787" s="32" t="s">
        <v>4730</v>
      </c>
      <c r="P787" s="32">
        <v>1989.0</v>
      </c>
      <c r="Q787" s="34">
        <v>1799.0</v>
      </c>
      <c r="R787" s="40">
        <v>1799.0</v>
      </c>
      <c r="S787" s="35">
        <v>1690.65</v>
      </c>
      <c r="T787" s="36">
        <v>0.0</v>
      </c>
      <c r="U787" s="36">
        <v>0.0</v>
      </c>
      <c r="V787" s="36">
        <v>0.0</v>
      </c>
      <c r="W787" s="36">
        <v>0.0</v>
      </c>
      <c r="X787" s="36">
        <v>0.0</v>
      </c>
      <c r="Y787" s="36">
        <v>0.0</v>
      </c>
    </row>
    <row r="788">
      <c r="A788" s="32" t="s">
        <v>3205</v>
      </c>
      <c r="B788" s="32" t="s">
        <v>3205</v>
      </c>
      <c r="C788" s="32" t="s">
        <v>3206</v>
      </c>
      <c r="D788" s="32" t="s">
        <v>3207</v>
      </c>
      <c r="E788" s="32" t="s">
        <v>5102</v>
      </c>
      <c r="F788" s="32" t="e">
        <v>#N/A</v>
      </c>
      <c r="G788" s="32" t="e">
        <v>#N/A</v>
      </c>
      <c r="H788" s="32" t="s">
        <v>3208</v>
      </c>
      <c r="I788" s="32" t="s">
        <v>5102</v>
      </c>
      <c r="J788" s="32" t="s">
        <v>3209</v>
      </c>
      <c r="K788" s="33" t="s">
        <v>3210</v>
      </c>
      <c r="L788" s="32">
        <v>3.181847E7</v>
      </c>
      <c r="M788" s="32" t="e">
        <v>#N/A</v>
      </c>
      <c r="N788" s="32" t="s">
        <v>5086</v>
      </c>
      <c r="O788" s="32" t="s">
        <v>4730</v>
      </c>
      <c r="P788" s="32">
        <v>1389.0</v>
      </c>
      <c r="Q788" s="34">
        <v>1249.0</v>
      </c>
      <c r="R788" s="40">
        <v>1299.0</v>
      </c>
      <c r="S788" s="35">
        <v>1180.65</v>
      </c>
      <c r="T788" s="36">
        <v>0.0</v>
      </c>
      <c r="U788" s="36">
        <v>0.0</v>
      </c>
      <c r="V788" s="36">
        <v>0.0</v>
      </c>
      <c r="W788" s="36">
        <v>0.0</v>
      </c>
      <c r="X788" s="36">
        <v>0.0</v>
      </c>
      <c r="Y788" s="36">
        <v>0.0</v>
      </c>
    </row>
    <row r="789">
      <c r="A789" s="32" t="s">
        <v>3746</v>
      </c>
      <c r="B789" s="32" t="s">
        <v>3746</v>
      </c>
      <c r="C789" s="32" t="s">
        <v>3747</v>
      </c>
      <c r="D789" s="32" t="s">
        <v>3748</v>
      </c>
      <c r="E789" s="32" t="s">
        <v>5102</v>
      </c>
      <c r="F789" s="32" t="e">
        <v>#N/A</v>
      </c>
      <c r="G789" s="32" t="e">
        <v>#N/A</v>
      </c>
      <c r="H789" s="32" t="s">
        <v>3746</v>
      </c>
      <c r="I789" s="32" t="s">
        <v>5102</v>
      </c>
      <c r="J789" s="32" t="s">
        <v>3749</v>
      </c>
      <c r="K789" s="33" t="s">
        <v>3750</v>
      </c>
      <c r="L789" s="32" t="e">
        <v>#N/A</v>
      </c>
      <c r="M789" s="32" t="e">
        <v>#N/A</v>
      </c>
      <c r="N789" s="32" t="s">
        <v>5154</v>
      </c>
      <c r="O789" s="32" t="s">
        <v>4730</v>
      </c>
      <c r="P789" s="32">
        <v>499.0</v>
      </c>
      <c r="Q789" s="34">
        <v>449.0</v>
      </c>
      <c r="R789" s="35">
        <v>449.0</v>
      </c>
      <c r="S789" s="35">
        <v>399.0</v>
      </c>
      <c r="T789" s="36">
        <v>0.0</v>
      </c>
      <c r="U789" s="36">
        <v>0.0</v>
      </c>
      <c r="V789" s="36">
        <v>0.0</v>
      </c>
      <c r="W789" s="36">
        <v>0.0</v>
      </c>
      <c r="X789" s="36">
        <v>0.0</v>
      </c>
      <c r="Y789" s="36">
        <v>0.0</v>
      </c>
    </row>
    <row r="790">
      <c r="A790" s="32" t="s">
        <v>3726</v>
      </c>
      <c r="B790" s="32" t="s">
        <v>3726</v>
      </c>
      <c r="C790" s="32" t="s">
        <v>3727</v>
      </c>
      <c r="D790" s="32" t="s">
        <v>3728</v>
      </c>
      <c r="E790" s="32" t="s">
        <v>5102</v>
      </c>
      <c r="F790" s="32" t="e">
        <v>#N/A</v>
      </c>
      <c r="G790" s="32" t="e">
        <v>#N/A</v>
      </c>
      <c r="H790" s="32" t="s">
        <v>3726</v>
      </c>
      <c r="I790" s="32" t="s">
        <v>5102</v>
      </c>
      <c r="J790" s="32" t="s">
        <v>3729</v>
      </c>
      <c r="K790" s="33" t="s">
        <v>3730</v>
      </c>
      <c r="L790" s="32" t="e">
        <v>#N/A</v>
      </c>
      <c r="M790" s="32" t="e">
        <v>#N/A</v>
      </c>
      <c r="N790" s="32" t="s">
        <v>5155</v>
      </c>
      <c r="O790" s="32" t="s">
        <v>4730</v>
      </c>
      <c r="P790" s="32">
        <v>649.0</v>
      </c>
      <c r="Q790" s="34">
        <v>599.0</v>
      </c>
      <c r="R790" s="35">
        <v>599.0</v>
      </c>
      <c r="S790" s="35">
        <v>549.0</v>
      </c>
      <c r="T790" s="36">
        <v>0.0</v>
      </c>
      <c r="U790" s="36">
        <v>0.0</v>
      </c>
      <c r="V790" s="36">
        <v>0.0</v>
      </c>
      <c r="W790" s="36">
        <v>0.0</v>
      </c>
      <c r="X790" s="36">
        <v>0.0</v>
      </c>
      <c r="Y790" s="36">
        <v>0.0</v>
      </c>
    </row>
    <row r="791">
      <c r="A791" s="32" t="s">
        <v>3604</v>
      </c>
      <c r="B791" s="32" t="s">
        <v>3604</v>
      </c>
      <c r="C791" s="32" t="s">
        <v>3605</v>
      </c>
      <c r="D791" s="32" t="s">
        <v>3606</v>
      </c>
      <c r="E791" s="32" t="s">
        <v>5102</v>
      </c>
      <c r="F791" s="32" t="e">
        <v>#N/A</v>
      </c>
      <c r="G791" s="32" t="e">
        <v>#N/A</v>
      </c>
      <c r="H791" s="32" t="s">
        <v>3604</v>
      </c>
      <c r="I791" s="32" t="s">
        <v>5102</v>
      </c>
      <c r="J791" s="32" t="s">
        <v>3607</v>
      </c>
      <c r="K791" s="33" t="s">
        <v>3608</v>
      </c>
      <c r="L791" s="32" t="e">
        <v>#N/A</v>
      </c>
      <c r="M791" s="32" t="e">
        <v>#N/A</v>
      </c>
      <c r="N791" s="32" t="s">
        <v>5155</v>
      </c>
      <c r="O791" s="32" t="s">
        <v>4730</v>
      </c>
      <c r="P791" s="32">
        <v>549.0</v>
      </c>
      <c r="Q791" s="34">
        <v>499.0</v>
      </c>
      <c r="R791" s="35">
        <v>499.0</v>
      </c>
      <c r="S791" s="35">
        <v>449.0</v>
      </c>
      <c r="T791" s="36">
        <v>0.0</v>
      </c>
      <c r="U791" s="36">
        <v>0.0</v>
      </c>
      <c r="V791" s="36">
        <v>0.0</v>
      </c>
      <c r="W791" s="36">
        <v>0.0</v>
      </c>
      <c r="X791" s="36">
        <v>0.0</v>
      </c>
      <c r="Y791" s="36">
        <v>0.0</v>
      </c>
    </row>
    <row r="792">
      <c r="A792" s="32" t="s">
        <v>2050</v>
      </c>
      <c r="B792" s="32" t="s">
        <v>2050</v>
      </c>
      <c r="C792" s="32" t="s">
        <v>2051</v>
      </c>
      <c r="D792" s="32" t="s">
        <v>2052</v>
      </c>
      <c r="E792" s="32" t="s">
        <v>5102</v>
      </c>
      <c r="F792" s="32" t="e">
        <v>#N/A</v>
      </c>
      <c r="G792" s="32" t="e">
        <v>#N/A</v>
      </c>
      <c r="H792" s="32" t="s">
        <v>2053</v>
      </c>
      <c r="I792" s="32" t="s">
        <v>5102</v>
      </c>
      <c r="J792" s="32" t="s">
        <v>2054</v>
      </c>
      <c r="K792" s="33" t="s">
        <v>2055</v>
      </c>
      <c r="L792" s="32">
        <v>3.2789217E7</v>
      </c>
      <c r="M792" s="32" t="s">
        <v>2056</v>
      </c>
      <c r="N792" s="32" t="s">
        <v>5138</v>
      </c>
      <c r="O792" s="32" t="s">
        <v>52</v>
      </c>
      <c r="P792" s="32">
        <v>22999.0</v>
      </c>
      <c r="Q792" s="34">
        <v>20699.0</v>
      </c>
      <c r="R792" s="40">
        <v>20699.0</v>
      </c>
      <c r="S792" s="35">
        <v>18399.2</v>
      </c>
      <c r="T792" s="36">
        <v>0.0</v>
      </c>
      <c r="U792" s="36">
        <v>0.0</v>
      </c>
      <c r="V792" s="36">
        <v>0.0</v>
      </c>
      <c r="W792" s="36">
        <v>0.0</v>
      </c>
      <c r="X792" s="36">
        <v>0.0</v>
      </c>
      <c r="Y792" s="36">
        <v>0.0</v>
      </c>
    </row>
    <row r="793">
      <c r="A793" s="32" t="s">
        <v>2111</v>
      </c>
      <c r="B793" s="32" t="s">
        <v>2111</v>
      </c>
      <c r="C793" s="32" t="s">
        <v>2112</v>
      </c>
      <c r="D793" s="32" t="s">
        <v>2113</v>
      </c>
      <c r="E793" s="32" t="s">
        <v>5102</v>
      </c>
      <c r="F793" s="32" t="e">
        <v>#N/A</v>
      </c>
      <c r="G793" s="32" t="e">
        <v>#N/A</v>
      </c>
      <c r="H793" s="32" t="s">
        <v>2114</v>
      </c>
      <c r="I793" s="32" t="s">
        <v>5102</v>
      </c>
      <c r="J793" s="32" t="s">
        <v>2115</v>
      </c>
      <c r="K793" s="33" t="s">
        <v>2116</v>
      </c>
      <c r="L793" s="32">
        <v>3.2789222E7</v>
      </c>
      <c r="M793" s="32" t="s">
        <v>2117</v>
      </c>
      <c r="N793" s="32" t="s">
        <v>5138</v>
      </c>
      <c r="O793" s="32" t="s">
        <v>52</v>
      </c>
      <c r="P793" s="32">
        <v>29999.0</v>
      </c>
      <c r="Q793" s="34">
        <v>26999.0</v>
      </c>
      <c r="R793" s="40">
        <v>26999.0</v>
      </c>
      <c r="S793" s="35">
        <v>23999.2</v>
      </c>
      <c r="T793" s="36">
        <v>0.0</v>
      </c>
      <c r="U793" s="36">
        <v>0.0</v>
      </c>
      <c r="V793" s="36">
        <v>0.0</v>
      </c>
      <c r="W793" s="36">
        <v>0.0</v>
      </c>
      <c r="X793" s="36">
        <v>0.0</v>
      </c>
      <c r="Y793" s="36">
        <v>0.0</v>
      </c>
    </row>
    <row r="794">
      <c r="A794" s="32" t="s">
        <v>2118</v>
      </c>
      <c r="B794" s="32" t="s">
        <v>2118</v>
      </c>
      <c r="C794" s="32" t="s">
        <v>2119</v>
      </c>
      <c r="D794" s="32" t="s">
        <v>2120</v>
      </c>
      <c r="E794" s="32" t="s">
        <v>5102</v>
      </c>
      <c r="F794" s="32" t="e">
        <v>#N/A</v>
      </c>
      <c r="G794" s="32" t="e">
        <v>#N/A</v>
      </c>
      <c r="H794" s="32" t="s">
        <v>2121</v>
      </c>
      <c r="I794" s="32" t="s">
        <v>5102</v>
      </c>
      <c r="J794" s="32" t="s">
        <v>2122</v>
      </c>
      <c r="K794" s="33" t="s">
        <v>2123</v>
      </c>
      <c r="L794" s="32" t="e">
        <v>#N/A</v>
      </c>
      <c r="M794" s="32" t="s">
        <v>2124</v>
      </c>
      <c r="N794" s="32" t="s">
        <v>5138</v>
      </c>
      <c r="O794" s="32" t="s">
        <v>52</v>
      </c>
      <c r="P794" s="32">
        <v>29999.0</v>
      </c>
      <c r="Q794" s="34">
        <v>26999.0</v>
      </c>
      <c r="R794" s="40">
        <v>26999.0</v>
      </c>
      <c r="S794" s="35">
        <v>23999.2</v>
      </c>
      <c r="T794" s="36">
        <v>0.0</v>
      </c>
      <c r="U794" s="36">
        <v>0.0</v>
      </c>
      <c r="V794" s="36">
        <v>0.0</v>
      </c>
      <c r="W794" s="36">
        <v>0.0</v>
      </c>
      <c r="X794" s="36">
        <v>0.0</v>
      </c>
      <c r="Y794" s="36">
        <v>0.0</v>
      </c>
    </row>
    <row r="795">
      <c r="A795" s="32" t="s">
        <v>2125</v>
      </c>
      <c r="B795" s="32" t="s">
        <v>2125</v>
      </c>
      <c r="C795" s="32" t="s">
        <v>2126</v>
      </c>
      <c r="D795" s="32" t="s">
        <v>2127</v>
      </c>
      <c r="E795" s="32" t="s">
        <v>5102</v>
      </c>
      <c r="F795" s="32" t="e">
        <v>#N/A</v>
      </c>
      <c r="G795" s="32" t="e">
        <v>#N/A</v>
      </c>
      <c r="H795" s="32" t="s">
        <v>2128</v>
      </c>
      <c r="I795" s="32" t="s">
        <v>5102</v>
      </c>
      <c r="J795" s="32" t="s">
        <v>2129</v>
      </c>
      <c r="K795" s="33" t="s">
        <v>2130</v>
      </c>
      <c r="L795" s="32">
        <v>3.278923E7</v>
      </c>
      <c r="M795" s="32" t="s">
        <v>2131</v>
      </c>
      <c r="N795" s="32" t="s">
        <v>5138</v>
      </c>
      <c r="O795" s="32" t="s">
        <v>52</v>
      </c>
      <c r="P795" s="32">
        <v>29999.0</v>
      </c>
      <c r="Q795" s="34">
        <v>26999.0</v>
      </c>
      <c r="R795" s="40">
        <v>26999.0</v>
      </c>
      <c r="S795" s="35">
        <v>23999.2</v>
      </c>
      <c r="T795" s="36">
        <v>0.0</v>
      </c>
      <c r="U795" s="36">
        <v>0.0</v>
      </c>
      <c r="V795" s="36">
        <v>0.0</v>
      </c>
      <c r="W795" s="36">
        <v>0.0</v>
      </c>
      <c r="X795" s="36">
        <v>0.0</v>
      </c>
      <c r="Y795" s="36">
        <v>0.0</v>
      </c>
    </row>
    <row r="796">
      <c r="A796" s="32" t="s">
        <v>2132</v>
      </c>
      <c r="B796" s="32" t="s">
        <v>2132</v>
      </c>
      <c r="C796" s="32" t="s">
        <v>2133</v>
      </c>
      <c r="D796" s="32" t="s">
        <v>2134</v>
      </c>
      <c r="E796" s="32" t="s">
        <v>5102</v>
      </c>
      <c r="F796" s="32" t="e">
        <v>#N/A</v>
      </c>
      <c r="G796" s="32" t="e">
        <v>#N/A</v>
      </c>
      <c r="H796" s="32" t="s">
        <v>2135</v>
      </c>
      <c r="I796" s="32" t="s">
        <v>5102</v>
      </c>
      <c r="J796" s="32">
        <v>0.0</v>
      </c>
      <c r="K796" s="33" t="s">
        <v>2136</v>
      </c>
      <c r="L796" s="32">
        <v>3.2789214E7</v>
      </c>
      <c r="M796" s="32" t="s">
        <v>2137</v>
      </c>
      <c r="N796" s="32" t="s">
        <v>5138</v>
      </c>
      <c r="O796" s="32" t="s">
        <v>52</v>
      </c>
      <c r="P796" s="32">
        <v>31999.0</v>
      </c>
      <c r="Q796" s="34">
        <v>28799.0</v>
      </c>
      <c r="R796" s="40">
        <v>28799.0</v>
      </c>
      <c r="S796" s="35">
        <v>25599.2</v>
      </c>
      <c r="T796" s="36">
        <v>0.0</v>
      </c>
      <c r="U796" s="36">
        <v>0.0</v>
      </c>
      <c r="V796" s="36">
        <v>0.0</v>
      </c>
      <c r="W796" s="36">
        <v>0.0</v>
      </c>
      <c r="X796" s="36">
        <v>0.0</v>
      </c>
      <c r="Y796" s="36">
        <v>0.0</v>
      </c>
    </row>
    <row r="797">
      <c r="A797" s="32" t="s">
        <v>2071</v>
      </c>
      <c r="B797" s="32" t="s">
        <v>2071</v>
      </c>
      <c r="C797" s="32" t="s">
        <v>2072</v>
      </c>
      <c r="D797" s="32" t="s">
        <v>2073</v>
      </c>
      <c r="E797" s="32" t="s">
        <v>5102</v>
      </c>
      <c r="F797" s="32" t="e">
        <v>#N/A</v>
      </c>
      <c r="G797" s="32" t="e">
        <v>#N/A</v>
      </c>
      <c r="H797" s="32" t="s">
        <v>2074</v>
      </c>
      <c r="I797" s="32" t="s">
        <v>5102</v>
      </c>
      <c r="J797" s="32" t="s">
        <v>2075</v>
      </c>
      <c r="K797" s="33" t="s">
        <v>2076</v>
      </c>
      <c r="L797" s="32">
        <v>3.2789227E7</v>
      </c>
      <c r="M797" s="32" t="s">
        <v>2077</v>
      </c>
      <c r="N797" s="32" t="s">
        <v>5138</v>
      </c>
      <c r="O797" s="32" t="s">
        <v>52</v>
      </c>
      <c r="P797" s="32">
        <v>25999.0</v>
      </c>
      <c r="Q797" s="34">
        <v>23399.0</v>
      </c>
      <c r="R797" s="40">
        <v>23399.0</v>
      </c>
      <c r="S797" s="35">
        <v>20799.2</v>
      </c>
      <c r="T797" s="36">
        <v>0.0</v>
      </c>
      <c r="U797" s="36">
        <v>0.0</v>
      </c>
      <c r="V797" s="36">
        <v>0.0</v>
      </c>
      <c r="W797" s="36">
        <v>0.0</v>
      </c>
      <c r="X797" s="36">
        <v>0.0</v>
      </c>
      <c r="Y797" s="36">
        <v>0.0</v>
      </c>
    </row>
    <row r="798">
      <c r="A798" s="32" t="s">
        <v>2092</v>
      </c>
      <c r="B798" s="32" t="s">
        <v>2092</v>
      </c>
      <c r="C798" s="32" t="s">
        <v>2093</v>
      </c>
      <c r="D798" s="32" t="s">
        <v>2094</v>
      </c>
      <c r="E798" s="32" t="s">
        <v>5102</v>
      </c>
      <c r="F798" s="32" t="e">
        <v>#N/A</v>
      </c>
      <c r="G798" s="32" t="e">
        <v>#N/A</v>
      </c>
      <c r="H798" s="32" t="s">
        <v>2095</v>
      </c>
      <c r="I798" s="32" t="s">
        <v>5102</v>
      </c>
      <c r="J798" s="32">
        <v>0.0</v>
      </c>
      <c r="K798" s="33" t="s">
        <v>2096</v>
      </c>
      <c r="L798" s="32" t="e">
        <v>#N/A</v>
      </c>
      <c r="M798" s="32" t="s">
        <v>2097</v>
      </c>
      <c r="N798" s="32" t="s">
        <v>5138</v>
      </c>
      <c r="O798" s="32" t="s">
        <v>52</v>
      </c>
      <c r="P798" s="32">
        <v>27999.0</v>
      </c>
      <c r="Q798" s="34">
        <v>25199.0</v>
      </c>
      <c r="R798" s="40">
        <v>25199.0</v>
      </c>
      <c r="S798" s="35">
        <v>22399.2</v>
      </c>
      <c r="T798" s="36">
        <v>0.0</v>
      </c>
      <c r="U798" s="36">
        <v>0.0</v>
      </c>
      <c r="V798" s="36">
        <v>0.0</v>
      </c>
      <c r="W798" s="36">
        <v>0.0</v>
      </c>
      <c r="X798" s="36">
        <v>0.0</v>
      </c>
      <c r="Y798" s="36">
        <v>0.0</v>
      </c>
    </row>
    <row r="799">
      <c r="A799" s="32" t="s">
        <v>2078</v>
      </c>
      <c r="B799" s="32" t="s">
        <v>2078</v>
      </c>
      <c r="C799" s="32" t="s">
        <v>2079</v>
      </c>
      <c r="D799" s="32" t="s">
        <v>2080</v>
      </c>
      <c r="E799" s="32" t="s">
        <v>5102</v>
      </c>
      <c r="F799" s="32" t="e">
        <v>#N/A</v>
      </c>
      <c r="G799" s="32" t="e">
        <v>#N/A</v>
      </c>
      <c r="H799" s="32" t="s">
        <v>2081</v>
      </c>
      <c r="I799" s="32" t="s">
        <v>5102</v>
      </c>
      <c r="J799" s="32" t="s">
        <v>2082</v>
      </c>
      <c r="K799" s="33" t="s">
        <v>2083</v>
      </c>
      <c r="L799" s="32">
        <v>3.2789213E7</v>
      </c>
      <c r="M799" s="32" t="s">
        <v>2084</v>
      </c>
      <c r="N799" s="32" t="s">
        <v>5138</v>
      </c>
      <c r="O799" s="32" t="s">
        <v>52</v>
      </c>
      <c r="P799" s="32">
        <v>25999.0</v>
      </c>
      <c r="Q799" s="34">
        <v>23399.0</v>
      </c>
      <c r="R799" s="40">
        <v>23399.0</v>
      </c>
      <c r="S799" s="35">
        <v>20799.2</v>
      </c>
      <c r="T799" s="36">
        <v>0.0</v>
      </c>
      <c r="U799" s="36">
        <v>0.0</v>
      </c>
      <c r="V799" s="36">
        <v>0.0</v>
      </c>
      <c r="W799" s="36">
        <v>0.0</v>
      </c>
      <c r="X799" s="36">
        <v>0.0</v>
      </c>
      <c r="Y799" s="36">
        <v>0.0</v>
      </c>
    </row>
    <row r="800">
      <c r="A800" s="32" t="s">
        <v>2098</v>
      </c>
      <c r="B800" s="32" t="s">
        <v>2098</v>
      </c>
      <c r="C800" s="32" t="s">
        <v>2099</v>
      </c>
      <c r="D800" s="32" t="s">
        <v>2100</v>
      </c>
      <c r="E800" s="32" t="s">
        <v>5102</v>
      </c>
      <c r="F800" s="32" t="e">
        <v>#N/A</v>
      </c>
      <c r="G800" s="32" t="e">
        <v>#N/A</v>
      </c>
      <c r="H800" s="32" t="s">
        <v>2101</v>
      </c>
      <c r="I800" s="32" t="s">
        <v>5102</v>
      </c>
      <c r="J800" s="32">
        <v>0.0</v>
      </c>
      <c r="K800" s="33" t="s">
        <v>2102</v>
      </c>
      <c r="L800" s="32">
        <v>3.2789231E7</v>
      </c>
      <c r="M800" s="32" t="s">
        <v>2103</v>
      </c>
      <c r="N800" s="32" t="s">
        <v>5138</v>
      </c>
      <c r="O800" s="32" t="s">
        <v>52</v>
      </c>
      <c r="P800" s="32">
        <v>27999.0</v>
      </c>
      <c r="Q800" s="34">
        <v>25199.0</v>
      </c>
      <c r="R800" s="40">
        <v>25199.0</v>
      </c>
      <c r="S800" s="35">
        <v>22399.2</v>
      </c>
      <c r="T800" s="36">
        <v>0.0</v>
      </c>
      <c r="U800" s="36">
        <v>0.0</v>
      </c>
      <c r="V800" s="36">
        <v>0.0</v>
      </c>
      <c r="W800" s="36">
        <v>0.0</v>
      </c>
      <c r="X800" s="36">
        <v>0.0</v>
      </c>
      <c r="Y800" s="36">
        <v>0.0</v>
      </c>
    </row>
    <row r="801">
      <c r="A801" s="32" t="s">
        <v>2085</v>
      </c>
      <c r="B801" s="32" t="s">
        <v>2085</v>
      </c>
      <c r="C801" s="32" t="s">
        <v>2086</v>
      </c>
      <c r="D801" s="32" t="s">
        <v>2087</v>
      </c>
      <c r="E801" s="32" t="s">
        <v>5102</v>
      </c>
      <c r="F801" s="32" t="e">
        <v>#N/A</v>
      </c>
      <c r="G801" s="32" t="e">
        <v>#N/A</v>
      </c>
      <c r="H801" s="32" t="s">
        <v>2088</v>
      </c>
      <c r="I801" s="32" t="s">
        <v>5102</v>
      </c>
      <c r="J801" s="32" t="s">
        <v>2089</v>
      </c>
      <c r="K801" s="33" t="s">
        <v>2090</v>
      </c>
      <c r="L801" s="32">
        <v>3.2789228E7</v>
      </c>
      <c r="M801" s="32" t="s">
        <v>2091</v>
      </c>
      <c r="N801" s="32" t="s">
        <v>5138</v>
      </c>
      <c r="O801" s="32" t="s">
        <v>52</v>
      </c>
      <c r="P801" s="32">
        <v>25999.0</v>
      </c>
      <c r="Q801" s="34">
        <v>23399.0</v>
      </c>
      <c r="R801" s="40">
        <v>23399.0</v>
      </c>
      <c r="S801" s="35">
        <v>20799.2</v>
      </c>
      <c r="T801" s="36">
        <v>0.0</v>
      </c>
      <c r="U801" s="36">
        <v>0.0</v>
      </c>
      <c r="V801" s="36">
        <v>0.0</v>
      </c>
      <c r="W801" s="36">
        <v>0.0</v>
      </c>
      <c r="X801" s="36">
        <v>0.0</v>
      </c>
      <c r="Y801" s="36">
        <v>0.0</v>
      </c>
    </row>
    <row r="802">
      <c r="A802" s="32" t="s">
        <v>2104</v>
      </c>
      <c r="B802" s="32" t="s">
        <v>2104</v>
      </c>
      <c r="C802" s="32" t="s">
        <v>2105</v>
      </c>
      <c r="D802" s="32" t="s">
        <v>2106</v>
      </c>
      <c r="E802" s="32" t="s">
        <v>5102</v>
      </c>
      <c r="F802" s="32" t="e">
        <v>#N/A</v>
      </c>
      <c r="G802" s="32" t="e">
        <v>#N/A</v>
      </c>
      <c r="H802" s="32" t="s">
        <v>2107</v>
      </c>
      <c r="I802" s="32" t="s">
        <v>5102</v>
      </c>
      <c r="J802" s="32" t="s">
        <v>2108</v>
      </c>
      <c r="K802" s="33" t="s">
        <v>2109</v>
      </c>
      <c r="L802" s="32">
        <v>3.2789223E7</v>
      </c>
      <c r="M802" s="32" t="s">
        <v>2110</v>
      </c>
      <c r="N802" s="32" t="s">
        <v>5138</v>
      </c>
      <c r="O802" s="32" t="s">
        <v>52</v>
      </c>
      <c r="P802" s="32">
        <v>27999.0</v>
      </c>
      <c r="Q802" s="34">
        <v>25199.0</v>
      </c>
      <c r="R802" s="40">
        <v>25199.0</v>
      </c>
      <c r="S802" s="35">
        <v>22399.2</v>
      </c>
      <c r="T802" s="36">
        <v>0.0</v>
      </c>
      <c r="U802" s="36">
        <v>0.0</v>
      </c>
      <c r="V802" s="36">
        <v>0.0</v>
      </c>
      <c r="W802" s="36">
        <v>0.0</v>
      </c>
      <c r="X802" s="36">
        <v>0.0</v>
      </c>
      <c r="Y802" s="36">
        <v>0.0</v>
      </c>
    </row>
    <row r="803">
      <c r="A803" s="32" t="s">
        <v>2025</v>
      </c>
      <c r="B803" s="32" t="s">
        <v>2025</v>
      </c>
      <c r="C803" s="32" t="s">
        <v>2026</v>
      </c>
      <c r="D803" s="32" t="s">
        <v>2027</v>
      </c>
      <c r="E803" s="32" t="s">
        <v>5102</v>
      </c>
      <c r="F803" s="32" t="e">
        <v>#N/A</v>
      </c>
      <c r="G803" s="32" t="e">
        <v>#N/A</v>
      </c>
      <c r="H803" s="32" t="s">
        <v>2028</v>
      </c>
      <c r="I803" s="32" t="s">
        <v>5102</v>
      </c>
      <c r="J803" s="32">
        <v>0.0</v>
      </c>
      <c r="K803" s="33" t="s">
        <v>2029</v>
      </c>
      <c r="L803" s="32" t="e">
        <v>#N/A</v>
      </c>
      <c r="M803" s="32" t="s">
        <v>2030</v>
      </c>
      <c r="N803" s="32" t="s">
        <v>5138</v>
      </c>
      <c r="O803" s="32" t="s">
        <v>52</v>
      </c>
      <c r="P803" s="32">
        <v>17999.0</v>
      </c>
      <c r="Q803" s="34">
        <v>16199.0</v>
      </c>
      <c r="R803" s="40">
        <v>16199.0</v>
      </c>
      <c r="S803" s="35">
        <v>14399.2</v>
      </c>
      <c r="T803" s="36">
        <v>0.0</v>
      </c>
      <c r="U803" s="36">
        <v>0.0</v>
      </c>
      <c r="V803" s="36">
        <v>0.0</v>
      </c>
      <c r="W803" s="36">
        <v>0.0</v>
      </c>
      <c r="X803" s="36">
        <v>0.0</v>
      </c>
      <c r="Y803" s="36">
        <v>0.0</v>
      </c>
    </row>
    <row r="804">
      <c r="A804" s="32" t="s">
        <v>2031</v>
      </c>
      <c r="B804" s="32" t="s">
        <v>2031</v>
      </c>
      <c r="C804" s="32" t="s">
        <v>2032</v>
      </c>
      <c r="D804" s="32" t="s">
        <v>2033</v>
      </c>
      <c r="E804" s="32" t="s">
        <v>5102</v>
      </c>
      <c r="F804" s="32" t="e">
        <v>#N/A</v>
      </c>
      <c r="G804" s="32" t="e">
        <v>#N/A</v>
      </c>
      <c r="H804" s="32" t="s">
        <v>2034</v>
      </c>
      <c r="I804" s="32" t="s">
        <v>5102</v>
      </c>
      <c r="J804" s="32" t="s">
        <v>2035</v>
      </c>
      <c r="K804" s="33" t="s">
        <v>2036</v>
      </c>
      <c r="L804" s="32">
        <v>3.2789232E7</v>
      </c>
      <c r="M804" s="32" t="s">
        <v>2037</v>
      </c>
      <c r="N804" s="32" t="s">
        <v>5138</v>
      </c>
      <c r="O804" s="32" t="s">
        <v>52</v>
      </c>
      <c r="P804" s="32">
        <v>19999.0</v>
      </c>
      <c r="Q804" s="34">
        <v>17999.0</v>
      </c>
      <c r="R804" s="40">
        <v>17999.0</v>
      </c>
      <c r="S804" s="35">
        <v>15999.2</v>
      </c>
      <c r="T804" s="36">
        <v>0.0</v>
      </c>
      <c r="U804" s="36">
        <v>0.0</v>
      </c>
      <c r="V804" s="36">
        <v>0.0</v>
      </c>
      <c r="W804" s="36">
        <v>0.0</v>
      </c>
      <c r="X804" s="36">
        <v>0.0</v>
      </c>
      <c r="Y804" s="36">
        <v>0.0</v>
      </c>
    </row>
    <row r="805">
      <c r="A805" s="32" t="s">
        <v>2038</v>
      </c>
      <c r="B805" s="32" t="s">
        <v>2038</v>
      </c>
      <c r="C805" s="32" t="s">
        <v>2039</v>
      </c>
      <c r="D805" s="32" t="s">
        <v>2040</v>
      </c>
      <c r="E805" s="32" t="s">
        <v>5102</v>
      </c>
      <c r="F805" s="32" t="e">
        <v>#N/A</v>
      </c>
      <c r="G805" s="32" t="e">
        <v>#N/A</v>
      </c>
      <c r="H805" s="32" t="s">
        <v>2041</v>
      </c>
      <c r="I805" s="32" t="s">
        <v>5102</v>
      </c>
      <c r="J805" s="32">
        <v>0.0</v>
      </c>
      <c r="K805" s="33" t="s">
        <v>2042</v>
      </c>
      <c r="L805" s="32">
        <v>3.2789219E7</v>
      </c>
      <c r="M805" s="32" t="s">
        <v>2043</v>
      </c>
      <c r="N805" s="32" t="s">
        <v>5138</v>
      </c>
      <c r="O805" s="32" t="s">
        <v>52</v>
      </c>
      <c r="P805" s="32">
        <v>19999.0</v>
      </c>
      <c r="Q805" s="34">
        <v>17999.0</v>
      </c>
      <c r="R805" s="40">
        <v>17999.0</v>
      </c>
      <c r="S805" s="35">
        <v>15999.2</v>
      </c>
      <c r="T805" s="36">
        <v>0.0</v>
      </c>
      <c r="U805" s="36">
        <v>0.0</v>
      </c>
      <c r="V805" s="36">
        <v>0.0</v>
      </c>
      <c r="W805" s="36">
        <v>0.0</v>
      </c>
      <c r="X805" s="36">
        <v>0.0</v>
      </c>
      <c r="Y805" s="36">
        <v>0.0</v>
      </c>
    </row>
    <row r="806">
      <c r="A806" s="32" t="s">
        <v>2415</v>
      </c>
      <c r="B806" s="32" t="s">
        <v>2415</v>
      </c>
      <c r="C806" s="32" t="s">
        <v>4753</v>
      </c>
      <c r="D806" s="32" t="s">
        <v>4754</v>
      </c>
      <c r="E806" s="32" t="s">
        <v>5073</v>
      </c>
      <c r="F806" s="32" t="e">
        <v>#N/A</v>
      </c>
      <c r="G806" s="32" t="e">
        <v>#N/A</v>
      </c>
      <c r="H806" s="32" t="s">
        <v>5156</v>
      </c>
      <c r="I806" s="32" t="s">
        <v>5102</v>
      </c>
      <c r="J806" s="32" t="s">
        <v>2417</v>
      </c>
      <c r="K806" s="33" t="s">
        <v>4755</v>
      </c>
      <c r="L806" s="32" t="e">
        <v>#N/A</v>
      </c>
      <c r="M806" s="32" t="e">
        <v>#N/A</v>
      </c>
      <c r="N806" s="32" t="s">
        <v>5074</v>
      </c>
      <c r="O806" s="32" t="s">
        <v>1145</v>
      </c>
      <c r="P806" s="32">
        <v>2599.0</v>
      </c>
      <c r="Q806" s="34">
        <v>2199.0</v>
      </c>
      <c r="R806" s="40">
        <v>2499.0</v>
      </c>
      <c r="S806" s="35">
        <v>1899.0</v>
      </c>
      <c r="T806" s="36">
        <v>0.0</v>
      </c>
      <c r="U806" s="36">
        <v>0.0</v>
      </c>
      <c r="V806" s="36">
        <v>0.0</v>
      </c>
      <c r="W806" s="36">
        <v>0.0</v>
      </c>
      <c r="X806" s="36">
        <v>0.0</v>
      </c>
      <c r="Y806" s="36">
        <v>0.0</v>
      </c>
    </row>
    <row r="807">
      <c r="A807" s="32" t="s">
        <v>2397</v>
      </c>
      <c r="B807" s="32" t="s">
        <v>2397</v>
      </c>
      <c r="C807" s="32" t="s">
        <v>2398</v>
      </c>
      <c r="D807" s="32" t="s">
        <v>2399</v>
      </c>
      <c r="E807" s="32" t="s">
        <v>5073</v>
      </c>
      <c r="F807" s="32" t="s">
        <v>2400</v>
      </c>
      <c r="G807" s="32" t="s">
        <v>5073</v>
      </c>
      <c r="H807" s="32">
        <v>0.0</v>
      </c>
      <c r="I807" s="32">
        <v>0.0</v>
      </c>
      <c r="J807" s="32" t="s">
        <v>2401</v>
      </c>
      <c r="K807" s="33" t="s">
        <v>2402</v>
      </c>
      <c r="L807" s="32">
        <v>3.277766E7</v>
      </c>
      <c r="M807" s="32" t="s">
        <v>2403</v>
      </c>
      <c r="N807" s="32" t="s">
        <v>5074</v>
      </c>
      <c r="O807" s="32" t="s">
        <v>1145</v>
      </c>
      <c r="P807" s="32">
        <v>2199.0</v>
      </c>
      <c r="Q807" s="34">
        <v>1899.0</v>
      </c>
      <c r="R807" s="40">
        <v>1899.0</v>
      </c>
      <c r="S807" s="35">
        <v>1799.0</v>
      </c>
      <c r="T807" s="36">
        <v>0.0</v>
      </c>
      <c r="U807" s="36">
        <v>0.0</v>
      </c>
      <c r="V807" s="36">
        <v>0.0</v>
      </c>
      <c r="W807" s="36">
        <v>0.0</v>
      </c>
      <c r="X807" s="36">
        <v>0.0</v>
      </c>
      <c r="Y807" s="36">
        <v>0.0</v>
      </c>
    </row>
    <row r="808">
      <c r="A808" s="32" t="s">
        <v>2418</v>
      </c>
      <c r="B808" s="32" t="s">
        <v>2418</v>
      </c>
      <c r="C808" s="32" t="s">
        <v>2419</v>
      </c>
      <c r="D808" s="32" t="s">
        <v>2420</v>
      </c>
      <c r="E808" s="32" t="s">
        <v>5073</v>
      </c>
      <c r="F808" s="32" t="e">
        <v>#N/A</v>
      </c>
      <c r="G808" s="32" t="e">
        <v>#N/A</v>
      </c>
      <c r="H808" s="32" t="s">
        <v>2421</v>
      </c>
      <c r="I808" s="32" t="s">
        <v>5073</v>
      </c>
      <c r="J808" s="32" t="s">
        <v>2422</v>
      </c>
      <c r="K808" s="33" t="s">
        <v>2423</v>
      </c>
      <c r="L808" s="32" t="e">
        <v>#N/A</v>
      </c>
      <c r="M808" s="32" t="e">
        <v>#N/A</v>
      </c>
      <c r="N808" s="32" t="s">
        <v>5074</v>
      </c>
      <c r="O808" s="32" t="s">
        <v>1145</v>
      </c>
      <c r="P808" s="32">
        <v>5956.0</v>
      </c>
      <c r="Q808" s="34">
        <v>4399.0</v>
      </c>
      <c r="R808" s="40">
        <v>4899.0</v>
      </c>
      <c r="S808" s="35">
        <v>3899.0</v>
      </c>
      <c r="T808" s="36">
        <v>0.0</v>
      </c>
      <c r="U808" s="36">
        <v>0.0</v>
      </c>
      <c r="V808" s="36">
        <v>0.0</v>
      </c>
      <c r="W808" s="36">
        <v>0.0</v>
      </c>
      <c r="X808" s="36">
        <v>0.0</v>
      </c>
      <c r="Y808" s="36">
        <v>0.0</v>
      </c>
    </row>
    <row r="809">
      <c r="A809" s="32" t="s">
        <v>2404</v>
      </c>
      <c r="B809" s="32" t="s">
        <v>2404</v>
      </c>
      <c r="C809" s="32" t="s">
        <v>2405</v>
      </c>
      <c r="D809" s="32" t="s">
        <v>2406</v>
      </c>
      <c r="E809" s="32" t="s">
        <v>5073</v>
      </c>
      <c r="F809" s="32" t="e">
        <v>#N/A</v>
      </c>
      <c r="G809" s="32" t="e">
        <v>#N/A</v>
      </c>
      <c r="H809" s="32" t="s">
        <v>2407</v>
      </c>
      <c r="I809" s="32" t="s">
        <v>5117</v>
      </c>
      <c r="J809" s="32" t="s">
        <v>2408</v>
      </c>
      <c r="K809" s="33" t="s">
        <v>2409</v>
      </c>
      <c r="L809" s="32">
        <v>3.2777662E7</v>
      </c>
      <c r="M809" s="32" t="s">
        <v>2410</v>
      </c>
      <c r="N809" s="32" t="s">
        <v>5074</v>
      </c>
      <c r="O809" s="32" t="s">
        <v>1145</v>
      </c>
      <c r="P809" s="32">
        <v>3999.0</v>
      </c>
      <c r="Q809" s="34">
        <v>3799.0</v>
      </c>
      <c r="R809" s="40">
        <v>3699.0</v>
      </c>
      <c r="S809" s="35">
        <v>3699.0</v>
      </c>
      <c r="T809" s="36">
        <v>0.0</v>
      </c>
      <c r="U809" s="36">
        <v>0.0</v>
      </c>
      <c r="V809" s="36">
        <v>0.0</v>
      </c>
      <c r="W809" s="36">
        <v>0.0</v>
      </c>
      <c r="X809" s="36">
        <v>0.0</v>
      </c>
      <c r="Y809" s="36">
        <v>0.0</v>
      </c>
    </row>
    <row r="810">
      <c r="A810" s="32" t="s">
        <v>4822</v>
      </c>
      <c r="B810" s="32" t="s">
        <v>4822</v>
      </c>
      <c r="C810" s="32" t="s">
        <v>4823</v>
      </c>
      <c r="D810" s="32" t="s">
        <v>4824</v>
      </c>
      <c r="E810" s="32" t="s">
        <v>5073</v>
      </c>
      <c r="F810" s="32" t="e">
        <v>#N/A</v>
      </c>
      <c r="G810" s="32" t="e">
        <v>#N/A</v>
      </c>
      <c r="H810" s="32" t="e">
        <v>#N/A</v>
      </c>
      <c r="I810" s="32">
        <v>0.0</v>
      </c>
      <c r="J810" s="32" t="s">
        <v>4825</v>
      </c>
      <c r="K810" s="33" t="s">
        <v>4826</v>
      </c>
      <c r="L810" s="32" t="e">
        <v>#N/A</v>
      </c>
      <c r="M810" s="32" t="e">
        <v>#N/A</v>
      </c>
      <c r="N810" s="32" t="s">
        <v>5084</v>
      </c>
      <c r="O810" s="32" t="s">
        <v>1145</v>
      </c>
      <c r="P810" s="32">
        <v>10999.0</v>
      </c>
      <c r="Q810" s="34">
        <v>7799.0</v>
      </c>
      <c r="R810" s="40">
        <v>7799.0</v>
      </c>
      <c r="S810" s="35">
        <v>7499.0</v>
      </c>
      <c r="T810" s="36">
        <v>0.0</v>
      </c>
      <c r="U810" s="36">
        <v>0.0</v>
      </c>
      <c r="V810" s="36">
        <v>0.0</v>
      </c>
      <c r="W810" s="36">
        <v>0.0</v>
      </c>
      <c r="X810" s="36">
        <v>0.0</v>
      </c>
      <c r="Y810" s="36">
        <v>0.0</v>
      </c>
    </row>
    <row r="811">
      <c r="A811" s="32" t="s">
        <v>4836</v>
      </c>
      <c r="B811" s="32" t="s">
        <v>4836</v>
      </c>
      <c r="C811" s="32" t="s">
        <v>4837</v>
      </c>
      <c r="D811" s="32" t="s">
        <v>4838</v>
      </c>
      <c r="E811" s="32" t="s">
        <v>5073</v>
      </c>
      <c r="F811" s="32" t="e">
        <v>#N/A</v>
      </c>
      <c r="G811" s="32" t="e">
        <v>#N/A</v>
      </c>
      <c r="H811" s="32" t="e">
        <v>#N/A</v>
      </c>
      <c r="I811" s="32">
        <v>0.0</v>
      </c>
      <c r="J811" s="32" t="s">
        <v>4839</v>
      </c>
      <c r="K811" s="33" t="s">
        <v>4840</v>
      </c>
      <c r="L811" s="32" t="e">
        <v>#N/A</v>
      </c>
      <c r="M811" s="32" t="e">
        <v>#N/A</v>
      </c>
      <c r="N811" s="32" t="s">
        <v>5091</v>
      </c>
      <c r="O811" s="32" t="s">
        <v>1145</v>
      </c>
      <c r="P811" s="32">
        <v>5599.0</v>
      </c>
      <c r="Q811" s="34">
        <v>4999.0</v>
      </c>
      <c r="R811" s="40">
        <v>4999.0</v>
      </c>
      <c r="S811" s="35">
        <v>4899.0</v>
      </c>
      <c r="T811" s="36">
        <v>0.0</v>
      </c>
      <c r="U811" s="36">
        <v>0.0</v>
      </c>
      <c r="V811" s="36">
        <v>0.0</v>
      </c>
      <c r="W811" s="36">
        <v>0.0</v>
      </c>
      <c r="X811" s="36">
        <v>0.0</v>
      </c>
      <c r="Y811" s="36">
        <v>0.0</v>
      </c>
    </row>
    <row r="812">
      <c r="A812" s="32" t="s">
        <v>4831</v>
      </c>
      <c r="B812" s="32" t="s">
        <v>4831</v>
      </c>
      <c r="C812" s="32" t="s">
        <v>4832</v>
      </c>
      <c r="D812" s="32" t="s">
        <v>4833</v>
      </c>
      <c r="E812" s="32" t="s">
        <v>5073</v>
      </c>
      <c r="F812" s="32" t="e">
        <v>#N/A</v>
      </c>
      <c r="G812" s="32" t="e">
        <v>#N/A</v>
      </c>
      <c r="H812" s="32" t="e">
        <v>#N/A</v>
      </c>
      <c r="I812" s="32">
        <v>0.0</v>
      </c>
      <c r="J812" s="32" t="s">
        <v>4834</v>
      </c>
      <c r="K812" s="33" t="s">
        <v>4835</v>
      </c>
      <c r="L812" s="32" t="e">
        <v>#N/A</v>
      </c>
      <c r="M812" s="32" t="e">
        <v>#N/A</v>
      </c>
      <c r="N812" s="32" t="s">
        <v>5082</v>
      </c>
      <c r="O812" s="32" t="s">
        <v>1145</v>
      </c>
      <c r="P812" s="32">
        <v>4999.0</v>
      </c>
      <c r="Q812" s="34">
        <v>4199.0</v>
      </c>
      <c r="R812" s="40">
        <v>4299.0</v>
      </c>
      <c r="S812" s="35">
        <v>3899.0</v>
      </c>
      <c r="T812" s="36">
        <v>0.0</v>
      </c>
      <c r="U812" s="36">
        <v>0.0</v>
      </c>
      <c r="V812" s="36">
        <v>0.0</v>
      </c>
      <c r="W812" s="36">
        <v>0.0</v>
      </c>
      <c r="X812" s="36">
        <v>0.0</v>
      </c>
      <c r="Y812" s="36">
        <v>0.0</v>
      </c>
    </row>
    <row r="813">
      <c r="A813" s="32" t="s">
        <v>3711</v>
      </c>
      <c r="B813" s="32" t="s">
        <v>3711</v>
      </c>
      <c r="C813" s="32" t="s">
        <v>3712</v>
      </c>
      <c r="D813" s="32" t="s">
        <v>3713</v>
      </c>
      <c r="E813" s="32" t="s">
        <v>5102</v>
      </c>
      <c r="F813" s="32" t="e">
        <v>#N/A</v>
      </c>
      <c r="G813" s="32" t="e">
        <v>#N/A</v>
      </c>
      <c r="H813" s="32" t="s">
        <v>3711</v>
      </c>
      <c r="I813" s="32" t="s">
        <v>5102</v>
      </c>
      <c r="J813" s="32" t="s">
        <v>3714</v>
      </c>
      <c r="K813" s="33" t="s">
        <v>3715</v>
      </c>
      <c r="L813" s="32" t="e">
        <v>#N/A</v>
      </c>
      <c r="M813" s="32" t="e">
        <v>#N/A</v>
      </c>
      <c r="N813" s="32" t="s">
        <v>5154</v>
      </c>
      <c r="O813" s="32" t="s">
        <v>4730</v>
      </c>
      <c r="P813" s="32">
        <v>949.0</v>
      </c>
      <c r="Q813" s="34">
        <v>899.0</v>
      </c>
      <c r="R813" s="35">
        <v>899.0</v>
      </c>
      <c r="S813" s="35">
        <v>849.0</v>
      </c>
      <c r="T813" s="36">
        <v>0.0</v>
      </c>
      <c r="U813" s="36">
        <v>0.0</v>
      </c>
      <c r="V813" s="36">
        <v>0.0</v>
      </c>
      <c r="W813" s="36">
        <v>0.0</v>
      </c>
      <c r="X813" s="36">
        <v>0.0</v>
      </c>
      <c r="Y813" s="36">
        <v>0.0</v>
      </c>
    </row>
    <row r="814">
      <c r="A814" s="32" t="s">
        <v>3634</v>
      </c>
      <c r="B814" s="32" t="s">
        <v>3634</v>
      </c>
      <c r="C814" s="32" t="s">
        <v>3635</v>
      </c>
      <c r="D814" s="32" t="s">
        <v>3636</v>
      </c>
      <c r="E814" s="32" t="s">
        <v>5102</v>
      </c>
      <c r="F814" s="32" t="e">
        <v>#N/A</v>
      </c>
      <c r="G814" s="32" t="e">
        <v>#N/A</v>
      </c>
      <c r="H814" s="32" t="s">
        <v>3634</v>
      </c>
      <c r="I814" s="32" t="s">
        <v>5102</v>
      </c>
      <c r="J814" s="32" t="s">
        <v>3637</v>
      </c>
      <c r="K814" s="33" t="s">
        <v>3638</v>
      </c>
      <c r="L814" s="32" t="e">
        <v>#N/A</v>
      </c>
      <c r="M814" s="32" t="e">
        <v>#N/A</v>
      </c>
      <c r="N814" s="32" t="s">
        <v>5127</v>
      </c>
      <c r="O814" s="32" t="s">
        <v>4730</v>
      </c>
      <c r="P814" s="32">
        <v>899.0</v>
      </c>
      <c r="Q814" s="34">
        <v>799.0</v>
      </c>
      <c r="R814" s="35">
        <v>799.0</v>
      </c>
      <c r="S814" s="35">
        <v>749.0</v>
      </c>
      <c r="T814" s="36">
        <v>0.0</v>
      </c>
      <c r="U814" s="36">
        <v>0.0</v>
      </c>
      <c r="V814" s="36">
        <v>0.0</v>
      </c>
      <c r="W814" s="36">
        <v>0.0</v>
      </c>
      <c r="X814" s="36">
        <v>0.0</v>
      </c>
      <c r="Y814" s="36">
        <v>0.0</v>
      </c>
    </row>
    <row r="815">
      <c r="A815" s="32" t="s">
        <v>1956</v>
      </c>
      <c r="B815" s="32" t="s">
        <v>1956</v>
      </c>
      <c r="C815" s="32" t="s">
        <v>4775</v>
      </c>
      <c r="D815" s="32" t="s">
        <v>4776</v>
      </c>
      <c r="E815" s="32" t="s">
        <v>5102</v>
      </c>
      <c r="F815" s="32" t="e">
        <v>#N/A</v>
      </c>
      <c r="G815" s="32" t="e">
        <v>#N/A</v>
      </c>
      <c r="H815" s="32" t="e">
        <v>#N/A</v>
      </c>
      <c r="I815" s="32">
        <v>0.0</v>
      </c>
      <c r="J815" s="32">
        <v>0.0</v>
      </c>
      <c r="K815" s="33">
        <v>0.0</v>
      </c>
      <c r="L815" s="32" t="e">
        <v>#N/A</v>
      </c>
      <c r="M815" s="32" t="e">
        <v>#N/A</v>
      </c>
      <c r="N815" s="33" t="s">
        <v>1921</v>
      </c>
      <c r="O815" s="33" t="s">
        <v>52</v>
      </c>
      <c r="P815" s="32" t="e">
        <v>#REF!</v>
      </c>
      <c r="Q815" s="32" t="e">
        <v>#N/A</v>
      </c>
      <c r="R815" s="42" t="e">
        <v>#N/A</v>
      </c>
      <c r="S815" s="42" t="e">
        <v>#N/A</v>
      </c>
      <c r="T815" s="36">
        <v>0.0</v>
      </c>
      <c r="U815" s="36">
        <v>0.0</v>
      </c>
      <c r="V815" s="36">
        <v>0.0</v>
      </c>
      <c r="W815" s="36">
        <v>0.0</v>
      </c>
      <c r="X815" s="36">
        <v>0.0</v>
      </c>
      <c r="Y815" s="36">
        <v>0.0</v>
      </c>
    </row>
    <row r="816">
      <c r="A816" s="32" t="s">
        <v>1941</v>
      </c>
      <c r="B816" s="32" t="s">
        <v>1941</v>
      </c>
      <c r="C816" s="32" t="s">
        <v>4777</v>
      </c>
      <c r="D816" s="32" t="s">
        <v>4778</v>
      </c>
      <c r="E816" s="32" t="s">
        <v>5102</v>
      </c>
      <c r="F816" s="32" t="e">
        <v>#N/A</v>
      </c>
      <c r="G816" s="32" t="e">
        <v>#N/A</v>
      </c>
      <c r="H816" s="32" t="e">
        <v>#N/A</v>
      </c>
      <c r="I816" s="32">
        <v>0.0</v>
      </c>
      <c r="J816" s="32">
        <v>0.0</v>
      </c>
      <c r="K816" s="33">
        <v>0.0</v>
      </c>
      <c r="L816" s="32" t="e">
        <v>#N/A</v>
      </c>
      <c r="M816" s="32" t="e">
        <v>#N/A</v>
      </c>
      <c r="N816" s="33" t="s">
        <v>1921</v>
      </c>
      <c r="O816" s="33" t="s">
        <v>52</v>
      </c>
      <c r="P816" s="32" t="e">
        <v>#REF!</v>
      </c>
      <c r="Q816" s="32" t="e">
        <v>#N/A</v>
      </c>
      <c r="R816" s="42" t="e">
        <v>#N/A</v>
      </c>
      <c r="S816" s="42" t="e">
        <v>#N/A</v>
      </c>
      <c r="T816" s="36">
        <v>0.0</v>
      </c>
      <c r="U816" s="36">
        <v>0.0</v>
      </c>
      <c r="V816" s="36">
        <v>0.0</v>
      </c>
      <c r="W816" s="36">
        <v>0.0</v>
      </c>
      <c r="X816" s="36">
        <v>0.0</v>
      </c>
      <c r="Y816" s="36">
        <v>0.0</v>
      </c>
    </row>
    <row r="817">
      <c r="A817" s="32" t="s">
        <v>1947</v>
      </c>
      <c r="B817" s="32" t="s">
        <v>1947</v>
      </c>
      <c r="C817" s="32" t="s">
        <v>4779</v>
      </c>
      <c r="D817" s="32" t="s">
        <v>4780</v>
      </c>
      <c r="E817" s="32" t="s">
        <v>5102</v>
      </c>
      <c r="F817" s="32" t="e">
        <v>#N/A</v>
      </c>
      <c r="G817" s="32" t="e">
        <v>#N/A</v>
      </c>
      <c r="H817" s="32" t="e">
        <v>#N/A</v>
      </c>
      <c r="I817" s="32">
        <v>0.0</v>
      </c>
      <c r="J817" s="32">
        <v>0.0</v>
      </c>
      <c r="K817" s="33">
        <v>0.0</v>
      </c>
      <c r="L817" s="32" t="e">
        <v>#N/A</v>
      </c>
      <c r="M817" s="32" t="e">
        <v>#N/A</v>
      </c>
      <c r="N817" s="33" t="s">
        <v>1921</v>
      </c>
      <c r="O817" s="33" t="s">
        <v>52</v>
      </c>
      <c r="P817" s="32" t="e">
        <v>#REF!</v>
      </c>
      <c r="Q817" s="32" t="e">
        <v>#N/A</v>
      </c>
      <c r="R817" s="42" t="e">
        <v>#N/A</v>
      </c>
      <c r="S817" s="42" t="e">
        <v>#N/A</v>
      </c>
      <c r="T817" s="36">
        <v>0.0</v>
      </c>
      <c r="U817" s="36">
        <v>0.0</v>
      </c>
      <c r="V817" s="36">
        <v>0.0</v>
      </c>
      <c r="W817" s="36">
        <v>0.0</v>
      </c>
      <c r="X817" s="36">
        <v>0.0</v>
      </c>
      <c r="Y817" s="36">
        <v>0.0</v>
      </c>
    </row>
    <row r="818">
      <c r="A818" s="32" t="s">
        <v>3671</v>
      </c>
      <c r="B818" s="32" t="s">
        <v>3671</v>
      </c>
      <c r="C818" s="32" t="s">
        <v>3672</v>
      </c>
      <c r="D818" s="32" t="s">
        <v>3673</v>
      </c>
      <c r="E818" s="32" t="s">
        <v>5073</v>
      </c>
      <c r="F818" s="32" t="e">
        <v>#N/A</v>
      </c>
      <c r="G818" s="32" t="e">
        <v>#N/A</v>
      </c>
      <c r="H818" s="32" t="s">
        <v>3671</v>
      </c>
      <c r="I818" s="32" t="s">
        <v>5073</v>
      </c>
      <c r="J818" s="32" t="s">
        <v>3674</v>
      </c>
      <c r="K818" s="33" t="s">
        <v>3675</v>
      </c>
      <c r="L818" s="32" t="e">
        <v>#N/A</v>
      </c>
      <c r="M818" s="32" t="e">
        <v>#N/A</v>
      </c>
      <c r="N818" s="32" t="s">
        <v>5127</v>
      </c>
      <c r="O818" s="32" t="s">
        <v>4730</v>
      </c>
      <c r="P818" s="32">
        <v>999.0</v>
      </c>
      <c r="Q818" s="34">
        <v>879.0</v>
      </c>
      <c r="R818" s="35">
        <v>899.0</v>
      </c>
      <c r="S818" s="35">
        <v>879.0</v>
      </c>
      <c r="T818" s="36">
        <v>0.0</v>
      </c>
      <c r="U818" s="36">
        <v>0.0</v>
      </c>
      <c r="V818" s="36">
        <v>0.0</v>
      </c>
      <c r="W818" s="36">
        <v>0.0</v>
      </c>
      <c r="X818" s="36">
        <v>0.0</v>
      </c>
      <c r="Y818" s="36">
        <v>0.0</v>
      </c>
    </row>
    <row r="819">
      <c r="A819" s="32" t="s">
        <v>3761</v>
      </c>
      <c r="B819" s="32" t="s">
        <v>3761</v>
      </c>
      <c r="C819" s="32" t="s">
        <v>3762</v>
      </c>
      <c r="D819" s="32" t="s">
        <v>3761</v>
      </c>
      <c r="E819" s="32" t="s">
        <v>5073</v>
      </c>
      <c r="F819" s="32" t="e">
        <v>#N/A</v>
      </c>
      <c r="G819" s="32" t="e">
        <v>#N/A</v>
      </c>
      <c r="H819" s="32" t="s">
        <v>3763</v>
      </c>
      <c r="I819" s="32" t="s">
        <v>5102</v>
      </c>
      <c r="J819" s="32" t="s">
        <v>5157</v>
      </c>
      <c r="K819" s="33" t="s">
        <v>3764</v>
      </c>
      <c r="L819" s="32" t="e">
        <v>#N/A</v>
      </c>
      <c r="M819" s="32" t="e">
        <v>#N/A</v>
      </c>
      <c r="N819" s="32" t="s">
        <v>5158</v>
      </c>
      <c r="O819" s="32" t="s">
        <v>5158</v>
      </c>
      <c r="P819" s="32">
        <v>43999.0</v>
      </c>
      <c r="Q819" s="34">
        <v>37399.0</v>
      </c>
      <c r="R819" s="40">
        <v>37399.0</v>
      </c>
      <c r="S819" s="35">
        <v>37399.0</v>
      </c>
      <c r="T819" s="36">
        <v>0.0</v>
      </c>
      <c r="U819" s="36">
        <v>0.0</v>
      </c>
      <c r="V819" s="36">
        <v>0.0</v>
      </c>
      <c r="W819" s="36">
        <v>0.0</v>
      </c>
      <c r="X819" s="36">
        <v>0.0</v>
      </c>
      <c r="Y819" s="36">
        <v>0.0</v>
      </c>
    </row>
    <row r="820">
      <c r="A820" s="32" t="s">
        <v>3765</v>
      </c>
      <c r="B820" s="32" t="s">
        <v>3765</v>
      </c>
      <c r="C820" s="32" t="s">
        <v>3766</v>
      </c>
      <c r="D820" s="32" t="s">
        <v>3767</v>
      </c>
      <c r="E820" s="32" t="s">
        <v>5073</v>
      </c>
      <c r="F820" s="32" t="e">
        <v>#N/A</v>
      </c>
      <c r="G820" s="32" t="e">
        <v>#N/A</v>
      </c>
      <c r="H820" s="32" t="s">
        <v>3768</v>
      </c>
      <c r="I820" s="32" t="s">
        <v>5073</v>
      </c>
      <c r="J820" s="32" t="s">
        <v>3769</v>
      </c>
      <c r="K820" s="33" t="s">
        <v>3770</v>
      </c>
      <c r="L820" s="32" t="e">
        <v>#N/A</v>
      </c>
      <c r="M820" s="32" t="e">
        <v>#N/A</v>
      </c>
      <c r="N820" s="32" t="s">
        <v>5158</v>
      </c>
      <c r="O820" s="32" t="s">
        <v>5158</v>
      </c>
      <c r="P820" s="32">
        <v>43999.0</v>
      </c>
      <c r="Q820" s="34">
        <v>37399.0</v>
      </c>
      <c r="R820" s="40">
        <v>37399.0</v>
      </c>
      <c r="S820" s="35">
        <v>37399.0</v>
      </c>
      <c r="T820" s="36">
        <v>0.0</v>
      </c>
      <c r="U820" s="36">
        <v>0.0</v>
      </c>
      <c r="V820" s="36">
        <v>0.0</v>
      </c>
      <c r="W820" s="36">
        <v>0.0</v>
      </c>
      <c r="X820" s="36">
        <v>0.0</v>
      </c>
      <c r="Y820" s="36">
        <v>0.0</v>
      </c>
    </row>
    <row r="821">
      <c r="A821" s="32" t="s">
        <v>2854</v>
      </c>
      <c r="B821" s="32" t="s">
        <v>2854</v>
      </c>
      <c r="C821" s="32" t="s">
        <v>2855</v>
      </c>
      <c r="D821" s="32" t="s">
        <v>2856</v>
      </c>
      <c r="E821" s="32" t="s">
        <v>5102</v>
      </c>
      <c r="F821" s="32" t="e">
        <v>#N/A</v>
      </c>
      <c r="G821" s="32" t="e">
        <v>#N/A</v>
      </c>
      <c r="H821" s="32">
        <v>0.0</v>
      </c>
      <c r="I821" s="32">
        <v>0.0</v>
      </c>
      <c r="J821" s="32" t="s">
        <v>2857</v>
      </c>
      <c r="K821" s="33" t="s">
        <v>2858</v>
      </c>
      <c r="L821" s="32" t="e">
        <v>#N/A</v>
      </c>
      <c r="M821" s="32" t="e">
        <v>#N/A</v>
      </c>
      <c r="N821" s="32" t="s">
        <v>5107</v>
      </c>
      <c r="O821" s="32" t="s">
        <v>4730</v>
      </c>
      <c r="P821" s="32">
        <v>1989.0</v>
      </c>
      <c r="Q821" s="34">
        <v>1629.0</v>
      </c>
      <c r="R821" s="40">
        <v>1629.0</v>
      </c>
      <c r="S821" s="35">
        <v>1491.75</v>
      </c>
      <c r="T821" s="36">
        <v>0.0</v>
      </c>
      <c r="U821" s="36">
        <v>0.0</v>
      </c>
      <c r="V821" s="36">
        <v>0.0</v>
      </c>
      <c r="W821" s="36">
        <v>0.0</v>
      </c>
      <c r="X821" s="36">
        <v>0.0</v>
      </c>
      <c r="Y821" s="36">
        <v>0.0</v>
      </c>
    </row>
    <row r="822">
      <c r="A822" s="32" t="s">
        <v>2859</v>
      </c>
      <c r="B822" s="32" t="s">
        <v>2859</v>
      </c>
      <c r="C822" s="32" t="s">
        <v>2860</v>
      </c>
      <c r="D822" s="32" t="s">
        <v>2861</v>
      </c>
      <c r="E822" s="32" t="s">
        <v>5102</v>
      </c>
      <c r="F822" s="32" t="e">
        <v>#N/A</v>
      </c>
      <c r="G822" s="32" t="e">
        <v>#N/A</v>
      </c>
      <c r="H822" s="32">
        <v>0.0</v>
      </c>
      <c r="I822" s="32">
        <v>0.0</v>
      </c>
      <c r="J822" s="32" t="s">
        <v>2862</v>
      </c>
      <c r="K822" s="33" t="s">
        <v>2863</v>
      </c>
      <c r="L822" s="32" t="e">
        <v>#N/A</v>
      </c>
      <c r="M822" s="32" t="e">
        <v>#N/A</v>
      </c>
      <c r="N822" s="32" t="s">
        <v>5107</v>
      </c>
      <c r="O822" s="32" t="s">
        <v>4730</v>
      </c>
      <c r="P822" s="32">
        <v>1989.0</v>
      </c>
      <c r="Q822" s="34">
        <v>1629.0</v>
      </c>
      <c r="R822" s="40">
        <v>1629.0</v>
      </c>
      <c r="S822" s="35">
        <v>1491.75</v>
      </c>
      <c r="T822" s="36">
        <v>0.0</v>
      </c>
      <c r="U822" s="36">
        <v>0.0</v>
      </c>
      <c r="V822" s="36">
        <v>0.0</v>
      </c>
      <c r="W822" s="36">
        <v>0.0</v>
      </c>
      <c r="X822" s="36">
        <v>0.0</v>
      </c>
      <c r="Y822" s="36">
        <v>0.0</v>
      </c>
    </row>
    <row r="823">
      <c r="A823" s="32" t="s">
        <v>2864</v>
      </c>
      <c r="B823" s="32" t="s">
        <v>2864</v>
      </c>
      <c r="C823" s="32" t="s">
        <v>2865</v>
      </c>
      <c r="D823" s="32" t="s">
        <v>2866</v>
      </c>
      <c r="E823" s="32" t="s">
        <v>5102</v>
      </c>
      <c r="F823" s="32" t="e">
        <v>#N/A</v>
      </c>
      <c r="G823" s="32" t="e">
        <v>#N/A</v>
      </c>
      <c r="H823" s="32">
        <v>0.0</v>
      </c>
      <c r="I823" s="32">
        <v>0.0</v>
      </c>
      <c r="J823" s="32" t="s">
        <v>2867</v>
      </c>
      <c r="K823" s="33" t="s">
        <v>2868</v>
      </c>
      <c r="L823" s="32" t="e">
        <v>#N/A</v>
      </c>
      <c r="M823" s="32" t="e">
        <v>#N/A</v>
      </c>
      <c r="N823" s="32" t="s">
        <v>5107</v>
      </c>
      <c r="O823" s="32" t="s">
        <v>4730</v>
      </c>
      <c r="P823" s="32">
        <v>1989.0</v>
      </c>
      <c r="Q823" s="34">
        <v>1629.0</v>
      </c>
      <c r="R823" s="40">
        <v>1629.0</v>
      </c>
      <c r="S823" s="35">
        <v>1491.75</v>
      </c>
      <c r="T823" s="36">
        <v>0.0</v>
      </c>
      <c r="U823" s="36">
        <v>0.0</v>
      </c>
      <c r="V823" s="36">
        <v>0.0</v>
      </c>
      <c r="W823" s="36">
        <v>0.0</v>
      </c>
      <c r="X823" s="36">
        <v>0.0</v>
      </c>
      <c r="Y823" s="36">
        <v>0.0</v>
      </c>
    </row>
    <row r="824">
      <c r="A824" s="32" t="s">
        <v>2797</v>
      </c>
      <c r="B824" s="32" t="s">
        <v>2797</v>
      </c>
      <c r="C824" s="32" t="s">
        <v>2798</v>
      </c>
      <c r="D824" s="32" t="s">
        <v>2799</v>
      </c>
      <c r="E824" s="32" t="s">
        <v>5102</v>
      </c>
      <c r="F824" s="32" t="e">
        <v>#N/A</v>
      </c>
      <c r="G824" s="32" t="e">
        <v>#N/A</v>
      </c>
      <c r="H824" s="32">
        <v>0.0</v>
      </c>
      <c r="I824" s="32">
        <v>0.0</v>
      </c>
      <c r="J824" s="32" t="s">
        <v>2800</v>
      </c>
      <c r="K824" s="33" t="s">
        <v>2801</v>
      </c>
      <c r="L824" s="32" t="e">
        <v>#N/A</v>
      </c>
      <c r="M824" s="32" t="e">
        <v>#N/A</v>
      </c>
      <c r="N824" s="32" t="s">
        <v>5107</v>
      </c>
      <c r="O824" s="32" t="s">
        <v>4730</v>
      </c>
      <c r="P824" s="32">
        <v>2489.0</v>
      </c>
      <c r="Q824" s="34">
        <v>2039.0</v>
      </c>
      <c r="R824" s="40">
        <v>2039.0</v>
      </c>
      <c r="S824" s="35">
        <v>1866.75</v>
      </c>
      <c r="T824" s="36">
        <v>0.0</v>
      </c>
      <c r="U824" s="36">
        <v>0.0</v>
      </c>
      <c r="V824" s="36">
        <v>0.0</v>
      </c>
      <c r="W824" s="36">
        <v>0.0</v>
      </c>
      <c r="X824" s="36">
        <v>0.0</v>
      </c>
      <c r="Y824" s="36">
        <v>0.0</v>
      </c>
    </row>
    <row r="825">
      <c r="A825" s="32" t="s">
        <v>2849</v>
      </c>
      <c r="B825" s="32" t="s">
        <v>2849</v>
      </c>
      <c r="C825" s="32" t="s">
        <v>2850</v>
      </c>
      <c r="D825" s="32" t="s">
        <v>2799</v>
      </c>
      <c r="E825" s="32" t="s">
        <v>5102</v>
      </c>
      <c r="F825" s="32" t="e">
        <v>#N/A</v>
      </c>
      <c r="G825" s="32" t="e">
        <v>#N/A</v>
      </c>
      <c r="H825" s="32">
        <v>0.0</v>
      </c>
      <c r="I825" s="32">
        <v>0.0</v>
      </c>
      <c r="J825" s="32" t="s">
        <v>2852</v>
      </c>
      <c r="K825" s="33" t="s">
        <v>2853</v>
      </c>
      <c r="L825" s="32" t="e">
        <v>#N/A</v>
      </c>
      <c r="M825" s="32" t="e">
        <v>#N/A</v>
      </c>
      <c r="N825" s="32" t="s">
        <v>5107</v>
      </c>
      <c r="O825" s="32" t="s">
        <v>4730</v>
      </c>
      <c r="P825" s="32">
        <v>2489.0</v>
      </c>
      <c r="Q825" s="34">
        <v>2039.0</v>
      </c>
      <c r="R825" s="40">
        <v>2039.0</v>
      </c>
      <c r="S825" s="35">
        <v>1866.75</v>
      </c>
      <c r="T825" s="36">
        <v>0.0</v>
      </c>
      <c r="U825" s="36">
        <v>0.0</v>
      </c>
      <c r="V825" s="36">
        <v>0.0</v>
      </c>
      <c r="W825" s="36">
        <v>0.0</v>
      </c>
      <c r="X825" s="36">
        <v>0.0</v>
      </c>
      <c r="Y825" s="36">
        <v>0.0</v>
      </c>
    </row>
    <row r="826">
      <c r="A826" s="32" t="s">
        <v>2869</v>
      </c>
      <c r="B826" s="32" t="s">
        <v>2869</v>
      </c>
      <c r="C826" s="32" t="s">
        <v>2870</v>
      </c>
      <c r="D826" s="32" t="s">
        <v>2871</v>
      </c>
      <c r="E826" s="32" t="s">
        <v>5102</v>
      </c>
      <c r="F826" s="32" t="e">
        <v>#N/A</v>
      </c>
      <c r="G826" s="32" t="e">
        <v>#N/A</v>
      </c>
      <c r="H826" s="32">
        <v>0.0</v>
      </c>
      <c r="I826" s="32">
        <v>0.0</v>
      </c>
      <c r="J826" s="32" t="s">
        <v>2872</v>
      </c>
      <c r="K826" s="33" t="s">
        <v>2873</v>
      </c>
      <c r="L826" s="32" t="e">
        <v>#N/A</v>
      </c>
      <c r="M826" s="32" t="e">
        <v>#N/A</v>
      </c>
      <c r="N826" s="32" t="s">
        <v>5107</v>
      </c>
      <c r="O826" s="32" t="s">
        <v>4730</v>
      </c>
      <c r="P826" s="32">
        <v>2289.0</v>
      </c>
      <c r="Q826" s="34">
        <v>1875.0</v>
      </c>
      <c r="R826" s="40">
        <v>1899.0</v>
      </c>
      <c r="S826" s="35">
        <v>1716.75</v>
      </c>
      <c r="T826" s="36">
        <v>0.0</v>
      </c>
      <c r="U826" s="36">
        <v>0.0</v>
      </c>
      <c r="V826" s="36">
        <v>0.0</v>
      </c>
      <c r="W826" s="36">
        <v>0.0</v>
      </c>
      <c r="X826" s="36">
        <v>0.0</v>
      </c>
      <c r="Y826" s="36">
        <v>0.0</v>
      </c>
    </row>
    <row r="827">
      <c r="A827" s="32" t="s">
        <v>2879</v>
      </c>
      <c r="B827" s="32" t="s">
        <v>2879</v>
      </c>
      <c r="C827" s="32" t="s">
        <v>2880</v>
      </c>
      <c r="D827" s="32" t="s">
        <v>2881</v>
      </c>
      <c r="E827" s="32" t="s">
        <v>5102</v>
      </c>
      <c r="F827" s="32" t="e">
        <v>#N/A</v>
      </c>
      <c r="G827" s="32" t="e">
        <v>#N/A</v>
      </c>
      <c r="H827" s="32">
        <v>0.0</v>
      </c>
      <c r="I827" s="32">
        <v>0.0</v>
      </c>
      <c r="J827" s="32" t="s">
        <v>2882</v>
      </c>
      <c r="K827" s="33" t="s">
        <v>2883</v>
      </c>
      <c r="L827" s="32" t="e">
        <v>#N/A</v>
      </c>
      <c r="M827" s="32" t="e">
        <v>#N/A</v>
      </c>
      <c r="N827" s="32" t="s">
        <v>5107</v>
      </c>
      <c r="O827" s="32" t="s">
        <v>4730</v>
      </c>
      <c r="P827" s="32">
        <v>2289.0</v>
      </c>
      <c r="Q827" s="34">
        <v>1875.0</v>
      </c>
      <c r="R827" s="40">
        <v>1899.0</v>
      </c>
      <c r="S827" s="35">
        <v>1716.75</v>
      </c>
      <c r="T827" s="36">
        <v>0.0</v>
      </c>
      <c r="U827" s="36">
        <v>0.0</v>
      </c>
      <c r="V827" s="36">
        <v>0.0</v>
      </c>
      <c r="W827" s="36">
        <v>0.0</v>
      </c>
      <c r="X827" s="36">
        <v>0.0</v>
      </c>
      <c r="Y827" s="36">
        <v>0.0</v>
      </c>
    </row>
    <row r="828">
      <c r="A828" s="32" t="s">
        <v>2839</v>
      </c>
      <c r="B828" s="32" t="s">
        <v>2839</v>
      </c>
      <c r="C828" s="32" t="s">
        <v>2840</v>
      </c>
      <c r="D828" s="32" t="s">
        <v>2841</v>
      </c>
      <c r="E828" s="32" t="s">
        <v>5102</v>
      </c>
      <c r="F828" s="32" t="e">
        <v>#N/A</v>
      </c>
      <c r="G828" s="32" t="e">
        <v>#N/A</v>
      </c>
      <c r="H828" s="32">
        <v>0.0</v>
      </c>
      <c r="I828" s="32">
        <v>0.0</v>
      </c>
      <c r="J828" s="32" t="s">
        <v>2842</v>
      </c>
      <c r="K828" s="33" t="s">
        <v>2843</v>
      </c>
      <c r="L828" s="32" t="e">
        <v>#N/A</v>
      </c>
      <c r="M828" s="32" t="e">
        <v>#N/A</v>
      </c>
      <c r="N828" s="32" t="s">
        <v>5107</v>
      </c>
      <c r="O828" s="32" t="s">
        <v>4730</v>
      </c>
      <c r="P828" s="32">
        <v>1589.0</v>
      </c>
      <c r="Q828" s="34">
        <v>1302.0</v>
      </c>
      <c r="R828" s="40">
        <v>1302.0</v>
      </c>
      <c r="S828" s="35">
        <v>1191.75</v>
      </c>
      <c r="T828" s="36">
        <v>0.0</v>
      </c>
      <c r="U828" s="36">
        <v>0.0</v>
      </c>
      <c r="V828" s="36">
        <v>0.0</v>
      </c>
      <c r="W828" s="36">
        <v>0.0</v>
      </c>
      <c r="X828" s="36">
        <v>0.0</v>
      </c>
      <c r="Y828" s="36">
        <v>0.0</v>
      </c>
    </row>
    <row r="829">
      <c r="A829" s="32" t="s">
        <v>2844</v>
      </c>
      <c r="B829" s="32" t="s">
        <v>2844</v>
      </c>
      <c r="C829" s="32" t="s">
        <v>2845</v>
      </c>
      <c r="D829" s="32" t="s">
        <v>2846</v>
      </c>
      <c r="E829" s="32" t="s">
        <v>5102</v>
      </c>
      <c r="F829" s="32" t="e">
        <v>#N/A</v>
      </c>
      <c r="G829" s="32" t="e">
        <v>#N/A</v>
      </c>
      <c r="H829" s="32">
        <v>0.0</v>
      </c>
      <c r="I829" s="32">
        <v>0.0</v>
      </c>
      <c r="J829" s="32" t="s">
        <v>2847</v>
      </c>
      <c r="K829" s="33" t="s">
        <v>2848</v>
      </c>
      <c r="L829" s="32" t="e">
        <v>#N/A</v>
      </c>
      <c r="M829" s="32" t="e">
        <v>#N/A</v>
      </c>
      <c r="N829" s="32" t="s">
        <v>5107</v>
      </c>
      <c r="O829" s="32" t="s">
        <v>4730</v>
      </c>
      <c r="P829" s="32">
        <v>1589.0</v>
      </c>
      <c r="Q829" s="34">
        <v>1302.0</v>
      </c>
      <c r="R829" s="40">
        <v>1302.0</v>
      </c>
      <c r="S829" s="35">
        <v>1191.75</v>
      </c>
      <c r="T829" s="36">
        <v>0.0</v>
      </c>
      <c r="U829" s="36">
        <v>0.0</v>
      </c>
      <c r="V829" s="36">
        <v>0.0</v>
      </c>
      <c r="W829" s="36">
        <v>0.0</v>
      </c>
      <c r="X829" s="36">
        <v>0.0</v>
      </c>
      <c r="Y829" s="36">
        <v>0.0</v>
      </c>
    </row>
    <row r="830">
      <c r="A830" s="32" t="s">
        <v>2817</v>
      </c>
      <c r="B830" s="32" t="s">
        <v>2817</v>
      </c>
      <c r="C830" s="32" t="s">
        <v>2818</v>
      </c>
      <c r="D830" s="32" t="s">
        <v>2819</v>
      </c>
      <c r="E830" s="32" t="s">
        <v>5073</v>
      </c>
      <c r="F830" s="32" t="e">
        <v>#N/A</v>
      </c>
      <c r="G830" s="32" t="e">
        <v>#N/A</v>
      </c>
      <c r="H830" s="32">
        <v>0.0</v>
      </c>
      <c r="I830" s="32">
        <v>0.0</v>
      </c>
      <c r="J830" s="32" t="s">
        <v>2820</v>
      </c>
      <c r="K830" s="33" t="s">
        <v>2821</v>
      </c>
      <c r="L830" s="32" t="e">
        <v>#N/A</v>
      </c>
      <c r="M830" s="32" t="e">
        <v>#N/A</v>
      </c>
      <c r="N830" s="32" t="s">
        <v>5107</v>
      </c>
      <c r="O830" s="32" t="s">
        <v>4730</v>
      </c>
      <c r="P830" s="32">
        <v>2489.0</v>
      </c>
      <c r="Q830" s="34">
        <v>2039.0</v>
      </c>
      <c r="R830" s="40">
        <v>2039.0</v>
      </c>
      <c r="S830" s="35">
        <v>1866.75</v>
      </c>
      <c r="T830" s="36">
        <v>0.0</v>
      </c>
      <c r="U830" s="36">
        <v>0.0</v>
      </c>
      <c r="V830" s="36">
        <v>0.0</v>
      </c>
      <c r="W830" s="36">
        <v>0.0</v>
      </c>
      <c r="X830" s="36">
        <v>0.0</v>
      </c>
      <c r="Y830" s="36">
        <v>0.0</v>
      </c>
    </row>
    <row r="831">
      <c r="A831" s="32" t="s">
        <v>2167</v>
      </c>
      <c r="B831" s="32" t="s">
        <v>2167</v>
      </c>
      <c r="C831" s="32" t="s">
        <v>2168</v>
      </c>
      <c r="D831" s="32" t="s">
        <v>2169</v>
      </c>
      <c r="E831" s="32" t="s">
        <v>5102</v>
      </c>
      <c r="F831" s="32" t="e">
        <v>#N/A</v>
      </c>
      <c r="G831" s="32" t="e">
        <v>#N/A</v>
      </c>
      <c r="H831" s="32" t="s">
        <v>5159</v>
      </c>
      <c r="I831" s="32" t="s">
        <v>5102</v>
      </c>
      <c r="J831" s="32" t="s">
        <v>2170</v>
      </c>
      <c r="K831" s="33" t="s">
        <v>2171</v>
      </c>
      <c r="L831" s="32" t="e">
        <v>#N/A</v>
      </c>
      <c r="M831" s="32" t="e">
        <v>#N/A</v>
      </c>
      <c r="N831" s="32" t="s">
        <v>5103</v>
      </c>
      <c r="O831" s="32" t="s">
        <v>4730</v>
      </c>
      <c r="P831" s="32">
        <v>7499.0</v>
      </c>
      <c r="Q831" s="34">
        <v>5999.0</v>
      </c>
      <c r="R831" s="40">
        <v>6599.0</v>
      </c>
      <c r="S831" s="35">
        <v>5624.25</v>
      </c>
      <c r="T831" s="36">
        <v>0.0</v>
      </c>
      <c r="U831" s="36">
        <v>0.0</v>
      </c>
      <c r="V831" s="36">
        <v>0.0</v>
      </c>
      <c r="W831" s="36">
        <v>0.0</v>
      </c>
      <c r="X831" s="36">
        <v>0.0</v>
      </c>
      <c r="Y831" s="36">
        <v>0.0</v>
      </c>
    </row>
    <row r="832">
      <c r="A832" s="32" t="s">
        <v>2177</v>
      </c>
      <c r="B832" s="32" t="s">
        <v>2177</v>
      </c>
      <c r="C832" s="32" t="s">
        <v>2178</v>
      </c>
      <c r="D832" s="32" t="s">
        <v>2179</v>
      </c>
      <c r="E832" s="32" t="s">
        <v>5073</v>
      </c>
      <c r="F832" s="32" t="e">
        <v>#N/A</v>
      </c>
      <c r="G832" s="32" t="e">
        <v>#N/A</v>
      </c>
      <c r="H832" s="32" t="s">
        <v>5160</v>
      </c>
      <c r="I832" s="32" t="s">
        <v>5102</v>
      </c>
      <c r="J832" s="32" t="s">
        <v>2180</v>
      </c>
      <c r="K832" s="33" t="s">
        <v>2181</v>
      </c>
      <c r="L832" s="32" t="e">
        <v>#N/A</v>
      </c>
      <c r="M832" s="32" t="e">
        <v>#N/A</v>
      </c>
      <c r="N832" s="32" t="s">
        <v>5103</v>
      </c>
      <c r="O832" s="32" t="s">
        <v>4730</v>
      </c>
      <c r="P832" s="32">
        <v>7499.0</v>
      </c>
      <c r="Q832" s="34">
        <v>5999.0</v>
      </c>
      <c r="R832" s="40">
        <v>6599.0</v>
      </c>
      <c r="S832" s="35">
        <v>5624.25</v>
      </c>
      <c r="T832" s="36">
        <v>0.0</v>
      </c>
      <c r="U832" s="36">
        <v>0.0</v>
      </c>
      <c r="V832" s="36">
        <v>0.0</v>
      </c>
      <c r="W832" s="36">
        <v>0.0</v>
      </c>
      <c r="X832" s="36">
        <v>0.0</v>
      </c>
      <c r="Y832" s="36">
        <v>0.0</v>
      </c>
    </row>
    <row r="833">
      <c r="A833" s="32" t="s">
        <v>4511</v>
      </c>
      <c r="B833" s="32" t="s">
        <v>4511</v>
      </c>
      <c r="C833" s="32" t="s">
        <v>4512</v>
      </c>
      <c r="D833" s="32" t="s">
        <v>4513</v>
      </c>
      <c r="E833" s="32" t="s">
        <v>5102</v>
      </c>
      <c r="F833" s="32" t="e">
        <v>#N/A</v>
      </c>
      <c r="G833" s="32" t="e">
        <v>#N/A</v>
      </c>
      <c r="H833" s="32">
        <v>0.0</v>
      </c>
      <c r="I833" s="32">
        <v>0.0</v>
      </c>
      <c r="J833" s="32" t="s">
        <v>4514</v>
      </c>
      <c r="K833" s="33" t="s">
        <v>4515</v>
      </c>
      <c r="L833" s="32" t="e">
        <v>#N/A</v>
      </c>
      <c r="M833" s="32" t="e">
        <v>#N/A</v>
      </c>
      <c r="N833" s="32" t="s">
        <v>5077</v>
      </c>
      <c r="O833" s="32" t="s">
        <v>4730</v>
      </c>
      <c r="P833" s="32">
        <v>1199.0</v>
      </c>
      <c r="Q833" s="34">
        <v>1139.0</v>
      </c>
      <c r="R833" s="40">
        <v>1139.0</v>
      </c>
      <c r="S833" s="35">
        <v>1079.1</v>
      </c>
      <c r="T833" s="36">
        <v>0.0</v>
      </c>
      <c r="U833" s="36">
        <v>0.0</v>
      </c>
      <c r="V833" s="36">
        <v>0.0</v>
      </c>
      <c r="W833" s="36">
        <v>0.0</v>
      </c>
      <c r="X833" s="36">
        <v>0.0</v>
      </c>
      <c r="Y833" s="36">
        <v>0.0</v>
      </c>
    </row>
    <row r="834">
      <c r="A834" s="32" t="s">
        <v>4659</v>
      </c>
      <c r="B834" s="32" t="s">
        <v>4659</v>
      </c>
      <c r="C834" s="32" t="s">
        <v>4660</v>
      </c>
      <c r="D834" s="32" t="s">
        <v>4661</v>
      </c>
      <c r="E834" s="32" t="s">
        <v>5102</v>
      </c>
      <c r="F834" s="32" t="e">
        <v>#N/A</v>
      </c>
      <c r="G834" s="32" t="e">
        <v>#N/A</v>
      </c>
      <c r="H834" s="32">
        <v>0.0</v>
      </c>
      <c r="I834" s="32">
        <v>0.0</v>
      </c>
      <c r="J834" s="32" t="s">
        <v>4662</v>
      </c>
      <c r="K834" s="33" t="s">
        <v>4663</v>
      </c>
      <c r="L834" s="32" t="e">
        <v>#N/A</v>
      </c>
      <c r="M834" s="32" t="e">
        <v>#N/A</v>
      </c>
      <c r="N834" s="32" t="s">
        <v>5077</v>
      </c>
      <c r="O834" s="32" t="s">
        <v>4730</v>
      </c>
      <c r="P834" s="32">
        <v>1699.0</v>
      </c>
      <c r="Q834" s="34">
        <v>1614.0</v>
      </c>
      <c r="R834" s="40">
        <v>1614.0</v>
      </c>
      <c r="S834" s="35">
        <v>1529.1</v>
      </c>
      <c r="T834" s="36">
        <v>0.0</v>
      </c>
      <c r="U834" s="36">
        <v>0.0</v>
      </c>
      <c r="V834" s="36">
        <v>0.0</v>
      </c>
      <c r="W834" s="36">
        <v>0.0</v>
      </c>
      <c r="X834" s="36">
        <v>0.0</v>
      </c>
      <c r="Y834" s="36">
        <v>0.0</v>
      </c>
    </row>
    <row r="835">
      <c r="A835" s="32" t="s">
        <v>4664</v>
      </c>
      <c r="B835" s="32" t="s">
        <v>4664</v>
      </c>
      <c r="C835" s="32" t="s">
        <v>4665</v>
      </c>
      <c r="D835" s="32" t="s">
        <v>4666</v>
      </c>
      <c r="E835" s="32" t="s">
        <v>5102</v>
      </c>
      <c r="F835" s="32" t="e">
        <v>#N/A</v>
      </c>
      <c r="G835" s="32" t="e">
        <v>#N/A</v>
      </c>
      <c r="H835" s="32">
        <v>0.0</v>
      </c>
      <c r="I835" s="32">
        <v>0.0</v>
      </c>
      <c r="J835" s="32" t="s">
        <v>4667</v>
      </c>
      <c r="K835" s="33" t="s">
        <v>4668</v>
      </c>
      <c r="L835" s="32" t="e">
        <v>#N/A</v>
      </c>
      <c r="M835" s="32" t="e">
        <v>#N/A</v>
      </c>
      <c r="N835" s="32" t="s">
        <v>5077</v>
      </c>
      <c r="O835" s="32" t="s">
        <v>4730</v>
      </c>
      <c r="P835" s="32">
        <v>1699.0</v>
      </c>
      <c r="Q835" s="34">
        <v>1614.0</v>
      </c>
      <c r="R835" s="40">
        <v>1614.0</v>
      </c>
      <c r="S835" s="35">
        <v>1529.1</v>
      </c>
      <c r="T835" s="36">
        <v>0.0</v>
      </c>
      <c r="U835" s="36">
        <v>0.0</v>
      </c>
      <c r="V835" s="36">
        <v>0.0</v>
      </c>
      <c r="W835" s="36">
        <v>0.0</v>
      </c>
      <c r="X835" s="36">
        <v>0.0</v>
      </c>
      <c r="Y835" s="36">
        <v>0.0</v>
      </c>
    </row>
    <row r="836">
      <c r="A836" s="32" t="s">
        <v>4669</v>
      </c>
      <c r="B836" s="32" t="s">
        <v>4669</v>
      </c>
      <c r="C836" s="32" t="s">
        <v>4670</v>
      </c>
      <c r="D836" s="32" t="s">
        <v>4671</v>
      </c>
      <c r="E836" s="32" t="s">
        <v>5102</v>
      </c>
      <c r="F836" s="32" t="e">
        <v>#N/A</v>
      </c>
      <c r="G836" s="32" t="e">
        <v>#N/A</v>
      </c>
      <c r="H836" s="32">
        <v>0.0</v>
      </c>
      <c r="I836" s="32">
        <v>0.0</v>
      </c>
      <c r="J836" s="32" t="s">
        <v>4672</v>
      </c>
      <c r="K836" s="33" t="s">
        <v>4673</v>
      </c>
      <c r="L836" s="32" t="e">
        <v>#N/A</v>
      </c>
      <c r="M836" s="32" t="e">
        <v>#N/A</v>
      </c>
      <c r="N836" s="32" t="s">
        <v>5077</v>
      </c>
      <c r="O836" s="32" t="s">
        <v>4730</v>
      </c>
      <c r="P836" s="32">
        <v>1699.0</v>
      </c>
      <c r="Q836" s="34">
        <v>1614.0</v>
      </c>
      <c r="R836" s="40">
        <v>1614.0</v>
      </c>
      <c r="S836" s="35">
        <v>1529.1</v>
      </c>
      <c r="T836" s="36">
        <v>0.0</v>
      </c>
      <c r="U836" s="36">
        <v>0.0</v>
      </c>
      <c r="V836" s="36">
        <v>0.0</v>
      </c>
      <c r="W836" s="36">
        <v>0.0</v>
      </c>
      <c r="X836" s="36">
        <v>0.0</v>
      </c>
      <c r="Y836" s="36">
        <v>0.0</v>
      </c>
    </row>
    <row r="837">
      <c r="A837" s="32" t="s">
        <v>4592</v>
      </c>
      <c r="B837" s="32" t="s">
        <v>4592</v>
      </c>
      <c r="C837" s="32" t="s">
        <v>4593</v>
      </c>
      <c r="D837" s="32" t="s">
        <v>4594</v>
      </c>
      <c r="E837" s="32" t="s">
        <v>5102</v>
      </c>
      <c r="F837" s="32" t="e">
        <v>#N/A</v>
      </c>
      <c r="G837" s="32" t="e">
        <v>#N/A</v>
      </c>
      <c r="H837" s="32">
        <v>0.0</v>
      </c>
      <c r="I837" s="32">
        <v>0.0</v>
      </c>
      <c r="J837" s="32" t="s">
        <v>4595</v>
      </c>
      <c r="K837" s="33" t="s">
        <v>4596</v>
      </c>
      <c r="L837" s="32" t="e">
        <v>#N/A</v>
      </c>
      <c r="M837" s="32" t="e">
        <v>#N/A</v>
      </c>
      <c r="N837" s="32" t="s">
        <v>5077</v>
      </c>
      <c r="O837" s="32" t="s">
        <v>4730</v>
      </c>
      <c r="P837" s="32">
        <v>1499.0</v>
      </c>
      <c r="Q837" s="34">
        <v>1424.0</v>
      </c>
      <c r="R837" s="40">
        <v>1424.0</v>
      </c>
      <c r="S837" s="35">
        <v>1349.1</v>
      </c>
      <c r="T837" s="36">
        <v>0.0</v>
      </c>
      <c r="U837" s="36">
        <v>0.0</v>
      </c>
      <c r="V837" s="36">
        <v>0.0</v>
      </c>
      <c r="W837" s="36">
        <v>0.0</v>
      </c>
      <c r="X837" s="36">
        <v>0.0</v>
      </c>
      <c r="Y837" s="36">
        <v>0.0</v>
      </c>
    </row>
    <row r="838">
      <c r="A838" s="32" t="s">
        <v>868</v>
      </c>
      <c r="B838" s="32" t="s">
        <v>868</v>
      </c>
      <c r="C838" s="32" t="s">
        <v>869</v>
      </c>
      <c r="D838" s="32" t="s">
        <v>870</v>
      </c>
      <c r="E838" s="32" t="s">
        <v>5102</v>
      </c>
      <c r="F838" s="32" t="e">
        <v>#N/A</v>
      </c>
      <c r="G838" s="32" t="e">
        <v>#N/A</v>
      </c>
      <c r="H838" s="32" t="s">
        <v>871</v>
      </c>
      <c r="I838" s="32" t="s">
        <v>5102</v>
      </c>
      <c r="J838" s="32" t="s">
        <v>872</v>
      </c>
      <c r="K838" s="33" t="s">
        <v>873</v>
      </c>
      <c r="L838" s="32">
        <v>3.1999072E7</v>
      </c>
      <c r="M838" s="32" t="s">
        <v>874</v>
      </c>
      <c r="N838" s="32" t="s">
        <v>5108</v>
      </c>
      <c r="O838" s="32" t="s">
        <v>52</v>
      </c>
      <c r="P838" s="32">
        <v>16499.0</v>
      </c>
      <c r="Q838" s="34">
        <v>13859.0</v>
      </c>
      <c r="R838" s="40">
        <v>14799.0</v>
      </c>
      <c r="S838" s="35">
        <v>13199.2</v>
      </c>
      <c r="T838" s="36">
        <v>0.0</v>
      </c>
      <c r="U838" s="36">
        <v>0.0</v>
      </c>
      <c r="V838" s="36">
        <v>0.0</v>
      </c>
      <c r="W838" s="36">
        <v>0.0</v>
      </c>
      <c r="X838" s="36">
        <v>0.0</v>
      </c>
      <c r="Y838" s="36">
        <v>0.0</v>
      </c>
    </row>
    <row r="839">
      <c r="A839" s="32" t="s">
        <v>875</v>
      </c>
      <c r="B839" s="32" t="s">
        <v>875</v>
      </c>
      <c r="C839" s="32" t="s">
        <v>876</v>
      </c>
      <c r="D839" s="32" t="s">
        <v>877</v>
      </c>
      <c r="E839" s="32" t="s">
        <v>5102</v>
      </c>
      <c r="F839" s="32" t="e">
        <v>#N/A</v>
      </c>
      <c r="G839" s="32" t="e">
        <v>#N/A</v>
      </c>
      <c r="H839" s="32" t="s">
        <v>878</v>
      </c>
      <c r="I839" s="32" t="s">
        <v>5102</v>
      </c>
      <c r="J839" s="32" t="s">
        <v>879</v>
      </c>
      <c r="K839" s="33" t="s">
        <v>880</v>
      </c>
      <c r="L839" s="32">
        <v>3.2783944E7</v>
      </c>
      <c r="M839" s="32" t="s">
        <v>881</v>
      </c>
      <c r="N839" s="32" t="s">
        <v>5108</v>
      </c>
      <c r="O839" s="32" t="s">
        <v>52</v>
      </c>
      <c r="P839" s="32">
        <v>16899.0</v>
      </c>
      <c r="Q839" s="34">
        <v>14195.0</v>
      </c>
      <c r="R839" s="40">
        <v>15199.0</v>
      </c>
      <c r="S839" s="35">
        <v>13519.2</v>
      </c>
      <c r="T839" s="36">
        <v>0.0</v>
      </c>
      <c r="U839" s="36">
        <v>0.0</v>
      </c>
      <c r="V839" s="36">
        <v>0.0</v>
      </c>
      <c r="W839" s="36">
        <v>0.0</v>
      </c>
      <c r="X839" s="36">
        <v>0.0</v>
      </c>
      <c r="Y839" s="36">
        <v>0.0</v>
      </c>
    </row>
    <row r="840">
      <c r="A840" s="32" t="s">
        <v>905</v>
      </c>
      <c r="B840" s="32" t="s">
        <v>905</v>
      </c>
      <c r="C840" s="32" t="s">
        <v>906</v>
      </c>
      <c r="D840" s="32" t="s">
        <v>907</v>
      </c>
      <c r="E840" s="32" t="s">
        <v>5102</v>
      </c>
      <c r="F840" s="32" t="e">
        <v>#N/A</v>
      </c>
      <c r="G840" s="32" t="e">
        <v>#N/A</v>
      </c>
      <c r="H840" s="32">
        <v>0.0</v>
      </c>
      <c r="I840" s="39"/>
      <c r="J840" s="32" t="s">
        <v>908</v>
      </c>
      <c r="K840" s="33" t="s">
        <v>909</v>
      </c>
      <c r="L840" s="32" t="e">
        <v>#N/A</v>
      </c>
      <c r="M840" s="32" t="e">
        <v>#N/A</v>
      </c>
      <c r="N840" s="32" t="s">
        <v>5108</v>
      </c>
      <c r="O840" s="32" t="s">
        <v>52</v>
      </c>
      <c r="P840" s="32">
        <v>16999.0</v>
      </c>
      <c r="Q840" s="34">
        <v>14279.0</v>
      </c>
      <c r="R840" s="40">
        <v>15299.0</v>
      </c>
      <c r="S840" s="35">
        <v>13599.2</v>
      </c>
      <c r="T840" s="36">
        <v>0.0</v>
      </c>
      <c r="U840" s="36">
        <v>0.0</v>
      </c>
      <c r="V840" s="36">
        <v>0.0</v>
      </c>
      <c r="W840" s="36">
        <v>0.0</v>
      </c>
      <c r="X840" s="36">
        <v>0.0</v>
      </c>
      <c r="Y840" s="36">
        <v>0.0</v>
      </c>
    </row>
    <row r="841">
      <c r="A841" s="32" t="s">
        <v>882</v>
      </c>
      <c r="B841" s="32" t="s">
        <v>882</v>
      </c>
      <c r="C841" s="32" t="s">
        <v>883</v>
      </c>
      <c r="D841" s="32" t="s">
        <v>884</v>
      </c>
      <c r="E841" s="32" t="s">
        <v>5102</v>
      </c>
      <c r="F841" s="32" t="e">
        <v>#N/A</v>
      </c>
      <c r="G841" s="32" t="e">
        <v>#N/A</v>
      </c>
      <c r="H841" s="32">
        <v>0.0</v>
      </c>
      <c r="I841" s="39"/>
      <c r="J841" s="32" t="s">
        <v>885</v>
      </c>
      <c r="K841" s="33" t="s">
        <v>886</v>
      </c>
      <c r="L841" s="32" t="e">
        <v>#N/A</v>
      </c>
      <c r="M841" s="32" t="e">
        <v>#N/A</v>
      </c>
      <c r="N841" s="32" t="s">
        <v>5108</v>
      </c>
      <c r="O841" s="32" t="s">
        <v>52</v>
      </c>
      <c r="P841" s="32">
        <v>18999.0</v>
      </c>
      <c r="Q841" s="34">
        <v>15959.0</v>
      </c>
      <c r="R841" s="40">
        <v>17099.0</v>
      </c>
      <c r="S841" s="35">
        <v>15199.2</v>
      </c>
      <c r="T841" s="36">
        <v>0.0</v>
      </c>
      <c r="U841" s="36">
        <v>0.0</v>
      </c>
      <c r="V841" s="36">
        <v>0.0</v>
      </c>
      <c r="W841" s="36">
        <v>0.0</v>
      </c>
      <c r="X841" s="36">
        <v>0.0</v>
      </c>
      <c r="Y841" s="36">
        <v>0.0</v>
      </c>
    </row>
    <row r="842">
      <c r="A842" s="32" t="s">
        <v>1011</v>
      </c>
      <c r="B842" s="32" t="s">
        <v>1011</v>
      </c>
      <c r="C842" s="32" t="s">
        <v>1012</v>
      </c>
      <c r="D842" s="32" t="s">
        <v>1013</v>
      </c>
      <c r="E842" s="32" t="s">
        <v>5102</v>
      </c>
      <c r="F842" s="32" t="e">
        <v>#N/A</v>
      </c>
      <c r="G842" s="32" t="e">
        <v>#N/A</v>
      </c>
      <c r="H842" s="32">
        <v>0.0</v>
      </c>
      <c r="I842" s="39"/>
      <c r="J842" s="32" t="s">
        <v>1014</v>
      </c>
      <c r="K842" s="33" t="s">
        <v>1015</v>
      </c>
      <c r="L842" s="32" t="e">
        <v>#N/A</v>
      </c>
      <c r="M842" s="32" t="e">
        <v>#N/A</v>
      </c>
      <c r="N842" s="32" t="s">
        <v>5108</v>
      </c>
      <c r="O842" s="32" t="s">
        <v>52</v>
      </c>
      <c r="P842" s="32">
        <v>19999.0</v>
      </c>
      <c r="Q842" s="34">
        <v>16799.0</v>
      </c>
      <c r="R842" s="40">
        <v>17999.0</v>
      </c>
      <c r="S842" s="35">
        <v>15999.2</v>
      </c>
      <c r="T842" s="36">
        <v>0.0</v>
      </c>
      <c r="U842" s="36">
        <v>0.0</v>
      </c>
      <c r="V842" s="36">
        <v>0.0</v>
      </c>
      <c r="W842" s="36">
        <v>0.0</v>
      </c>
      <c r="X842" s="36">
        <v>0.0</v>
      </c>
      <c r="Y842" s="36">
        <v>0.0</v>
      </c>
    </row>
    <row r="843">
      <c r="A843" s="32" t="s">
        <v>1034</v>
      </c>
      <c r="B843" s="32" t="s">
        <v>1034</v>
      </c>
      <c r="C843" s="32" t="s">
        <v>1035</v>
      </c>
      <c r="D843" s="32" t="s">
        <v>1036</v>
      </c>
      <c r="E843" s="32" t="s">
        <v>5102</v>
      </c>
      <c r="F843" s="32" t="e">
        <v>#N/A</v>
      </c>
      <c r="G843" s="32" t="e">
        <v>#N/A</v>
      </c>
      <c r="H843" s="32" t="s">
        <v>5161</v>
      </c>
      <c r="I843" s="32" t="s">
        <v>5102</v>
      </c>
      <c r="J843" s="32" t="s">
        <v>5162</v>
      </c>
      <c r="K843" s="33" t="s">
        <v>1037</v>
      </c>
      <c r="L843" s="32">
        <v>3.2783782E7</v>
      </c>
      <c r="M843" s="32" t="e">
        <v>#N/A</v>
      </c>
      <c r="N843" s="32" t="s">
        <v>5108</v>
      </c>
      <c r="O843" s="32" t="s">
        <v>52</v>
      </c>
      <c r="P843" s="32">
        <v>22999.0</v>
      </c>
      <c r="Q843" s="34">
        <v>19319.0</v>
      </c>
      <c r="R843" s="40">
        <v>20699.0</v>
      </c>
      <c r="S843" s="35">
        <v>18399.2</v>
      </c>
      <c r="T843" s="36">
        <v>0.0</v>
      </c>
      <c r="U843" s="36">
        <v>0.0</v>
      </c>
      <c r="V843" s="36">
        <v>0.0</v>
      </c>
      <c r="W843" s="36">
        <v>0.0</v>
      </c>
      <c r="X843" s="36">
        <v>0.0</v>
      </c>
      <c r="Y843" s="36">
        <v>0.0</v>
      </c>
    </row>
    <row r="844">
      <c r="A844" s="32" t="s">
        <v>1078</v>
      </c>
      <c r="B844" s="32" t="s">
        <v>1078</v>
      </c>
      <c r="C844" s="32" t="s">
        <v>1079</v>
      </c>
      <c r="D844" s="32" t="s">
        <v>1080</v>
      </c>
      <c r="E844" s="32" t="s">
        <v>5102</v>
      </c>
      <c r="F844" s="32" t="e">
        <v>#N/A</v>
      </c>
      <c r="G844" s="32" t="e">
        <v>#N/A</v>
      </c>
      <c r="H844" s="32" t="s">
        <v>5163</v>
      </c>
      <c r="I844" s="32" t="s">
        <v>5102</v>
      </c>
      <c r="J844" s="32" t="s">
        <v>1081</v>
      </c>
      <c r="K844" s="33" t="s">
        <v>1082</v>
      </c>
      <c r="L844" s="32">
        <v>3.2784071E7</v>
      </c>
      <c r="M844" s="32" t="e">
        <v>#N/A</v>
      </c>
      <c r="N844" s="32" t="s">
        <v>5108</v>
      </c>
      <c r="O844" s="32" t="s">
        <v>52</v>
      </c>
      <c r="P844" s="32">
        <v>26999.0</v>
      </c>
      <c r="Q844" s="34">
        <v>22679.0</v>
      </c>
      <c r="R844" s="40">
        <v>24299.0</v>
      </c>
      <c r="S844" s="35">
        <v>21599.2</v>
      </c>
      <c r="T844" s="36">
        <v>0.0</v>
      </c>
      <c r="U844" s="36">
        <v>0.0</v>
      </c>
      <c r="V844" s="36">
        <v>0.0</v>
      </c>
      <c r="W844" s="36">
        <v>0.0</v>
      </c>
      <c r="X844" s="36">
        <v>0.0</v>
      </c>
      <c r="Y844" s="36">
        <v>0.0</v>
      </c>
    </row>
    <row r="845">
      <c r="A845" s="32" t="s">
        <v>1038</v>
      </c>
      <c r="B845" s="32" t="s">
        <v>1038</v>
      </c>
      <c r="C845" s="32" t="s">
        <v>1039</v>
      </c>
      <c r="D845" s="32" t="s">
        <v>1040</v>
      </c>
      <c r="E845" s="32" t="s">
        <v>5102</v>
      </c>
      <c r="F845" s="32" t="e">
        <v>#N/A</v>
      </c>
      <c r="G845" s="32" t="e">
        <v>#N/A</v>
      </c>
      <c r="H845" s="32" t="s">
        <v>5164</v>
      </c>
      <c r="I845" s="32" t="s">
        <v>5102</v>
      </c>
      <c r="J845" s="32" t="s">
        <v>5165</v>
      </c>
      <c r="K845" s="33" t="s">
        <v>1041</v>
      </c>
      <c r="L845" s="32">
        <v>3.2784201E7</v>
      </c>
      <c r="M845" s="32" t="e">
        <v>#N/A</v>
      </c>
      <c r="N845" s="32" t="s">
        <v>5108</v>
      </c>
      <c r="O845" s="32" t="s">
        <v>52</v>
      </c>
      <c r="P845" s="32">
        <v>25999.0</v>
      </c>
      <c r="Q845" s="34">
        <v>21839.0</v>
      </c>
      <c r="R845" s="40">
        <v>23399.0</v>
      </c>
      <c r="S845" s="35">
        <v>20799.2</v>
      </c>
      <c r="T845" s="36">
        <v>0.0</v>
      </c>
      <c r="U845" s="36">
        <v>0.0</v>
      </c>
      <c r="V845" s="36">
        <v>0.0</v>
      </c>
      <c r="W845" s="36">
        <v>0.0</v>
      </c>
      <c r="X845" s="36">
        <v>0.0</v>
      </c>
      <c r="Y845" s="36">
        <v>0.0</v>
      </c>
    </row>
    <row r="846">
      <c r="A846" s="32" t="s">
        <v>1083</v>
      </c>
      <c r="B846" s="32" t="s">
        <v>1083</v>
      </c>
      <c r="C846" s="32" t="s">
        <v>1084</v>
      </c>
      <c r="D846" s="32" t="s">
        <v>1085</v>
      </c>
      <c r="E846" s="32" t="s">
        <v>5102</v>
      </c>
      <c r="F846" s="32" t="e">
        <v>#N/A</v>
      </c>
      <c r="G846" s="32" t="e">
        <v>#N/A</v>
      </c>
      <c r="H846" s="32" t="s">
        <v>5166</v>
      </c>
      <c r="I846" s="32" t="s">
        <v>5102</v>
      </c>
      <c r="J846" s="32" t="s">
        <v>5167</v>
      </c>
      <c r="K846" s="33" t="s">
        <v>1086</v>
      </c>
      <c r="L846" s="32">
        <v>3.2784095E7</v>
      </c>
      <c r="M846" s="32" t="e">
        <v>#N/A</v>
      </c>
      <c r="N846" s="32" t="s">
        <v>5108</v>
      </c>
      <c r="O846" s="32" t="s">
        <v>52</v>
      </c>
      <c r="P846" s="32">
        <v>28999.0</v>
      </c>
      <c r="Q846" s="34">
        <v>24359.0</v>
      </c>
      <c r="R846" s="40">
        <v>26099.0</v>
      </c>
      <c r="S846" s="35">
        <v>23199.2</v>
      </c>
      <c r="T846" s="36">
        <v>0.0</v>
      </c>
      <c r="U846" s="36">
        <v>0.0</v>
      </c>
      <c r="V846" s="36">
        <v>0.0</v>
      </c>
      <c r="W846" s="36">
        <v>0.0</v>
      </c>
      <c r="X846" s="36">
        <v>0.0</v>
      </c>
      <c r="Y846" s="36">
        <v>0.0</v>
      </c>
    </row>
    <row r="847">
      <c r="A847" s="32" t="s">
        <v>981</v>
      </c>
      <c r="B847" s="32" t="s">
        <v>981</v>
      </c>
      <c r="C847" s="32" t="s">
        <v>982</v>
      </c>
      <c r="D847" s="32" t="s">
        <v>983</v>
      </c>
      <c r="E847" s="32" t="s">
        <v>5102</v>
      </c>
      <c r="F847" s="32" t="e">
        <v>#N/A</v>
      </c>
      <c r="G847" s="32" t="e">
        <v>#N/A</v>
      </c>
      <c r="H847" s="32">
        <v>0.0</v>
      </c>
      <c r="I847" s="39"/>
      <c r="J847" s="32" t="s">
        <v>984</v>
      </c>
      <c r="K847" s="33" t="s">
        <v>985</v>
      </c>
      <c r="L847" s="32" t="e">
        <v>#N/A</v>
      </c>
      <c r="M847" s="32" t="e">
        <v>#N/A</v>
      </c>
      <c r="N847" s="32" t="s">
        <v>5108</v>
      </c>
      <c r="O847" s="32" t="s">
        <v>52</v>
      </c>
      <c r="P847" s="32">
        <v>22999.0</v>
      </c>
      <c r="Q847" s="34">
        <v>19319.0</v>
      </c>
      <c r="R847" s="40">
        <v>20699.0</v>
      </c>
      <c r="S847" s="35">
        <v>18399.2</v>
      </c>
      <c r="T847" s="36">
        <v>0.0</v>
      </c>
      <c r="U847" s="36">
        <v>0.0</v>
      </c>
      <c r="V847" s="36">
        <v>0.0</v>
      </c>
      <c r="W847" s="36">
        <v>0.0</v>
      </c>
      <c r="X847" s="36">
        <v>0.0</v>
      </c>
      <c r="Y847" s="36">
        <v>0.0</v>
      </c>
    </row>
    <row r="848">
      <c r="A848" s="32" t="s">
        <v>964</v>
      </c>
      <c r="B848" s="32" t="s">
        <v>964</v>
      </c>
      <c r="C848" s="32" t="s">
        <v>965</v>
      </c>
      <c r="D848" s="32" t="s">
        <v>966</v>
      </c>
      <c r="E848" s="32" t="s">
        <v>5102</v>
      </c>
      <c r="F848" s="32" t="e">
        <v>#N/A</v>
      </c>
      <c r="G848" s="32" t="e">
        <v>#N/A</v>
      </c>
      <c r="H848" s="32">
        <v>0.0</v>
      </c>
      <c r="I848" s="39"/>
      <c r="J848" s="32" t="s">
        <v>967</v>
      </c>
      <c r="K848" s="33" t="s">
        <v>968</v>
      </c>
      <c r="L848" s="32" t="e">
        <v>#N/A</v>
      </c>
      <c r="M848" s="32" t="e">
        <v>#N/A</v>
      </c>
      <c r="N848" s="32" t="s">
        <v>5108</v>
      </c>
      <c r="O848" s="32" t="s">
        <v>52</v>
      </c>
      <c r="P848" s="32">
        <v>19999.0</v>
      </c>
      <c r="Q848" s="34">
        <v>16799.0</v>
      </c>
      <c r="R848" s="40">
        <v>17999.0</v>
      </c>
      <c r="S848" s="35">
        <v>15999.2</v>
      </c>
      <c r="T848" s="36">
        <v>0.0</v>
      </c>
      <c r="U848" s="36">
        <v>0.0</v>
      </c>
      <c r="V848" s="36">
        <v>0.0</v>
      </c>
      <c r="W848" s="36">
        <v>0.0</v>
      </c>
      <c r="X848" s="36">
        <v>0.0</v>
      </c>
      <c r="Y848" s="36">
        <v>0.0</v>
      </c>
    </row>
    <row r="849">
      <c r="A849" s="32" t="s">
        <v>2719</v>
      </c>
      <c r="B849" s="32" t="s">
        <v>2719</v>
      </c>
      <c r="C849" s="32">
        <v>0.0</v>
      </c>
      <c r="D849" s="32" t="e">
        <v>#N/A</v>
      </c>
      <c r="E849" s="39"/>
      <c r="F849" s="32" t="e">
        <v>#N/A</v>
      </c>
      <c r="G849" s="39"/>
      <c r="H849" s="32" t="e">
        <v>#N/A</v>
      </c>
      <c r="I849" s="39"/>
      <c r="J849" s="32">
        <v>0.0</v>
      </c>
      <c r="K849" s="33" t="e">
        <v>#N/A</v>
      </c>
      <c r="L849" s="32" t="e">
        <v>#N/A</v>
      </c>
      <c r="M849" s="32" t="e">
        <v>#N/A</v>
      </c>
      <c r="N849" s="32" t="e">
        <v>#N/A</v>
      </c>
      <c r="O849" s="32" t="e">
        <v>#N/A</v>
      </c>
      <c r="P849" s="32" t="e">
        <v>#REF!</v>
      </c>
      <c r="Q849" s="32" t="e">
        <v>#N/A</v>
      </c>
      <c r="R849" s="42" t="e">
        <v>#N/A</v>
      </c>
      <c r="S849" s="42" t="e">
        <v>#N/A</v>
      </c>
      <c r="T849" s="36">
        <v>0.0</v>
      </c>
      <c r="U849" s="36">
        <v>0.0</v>
      </c>
      <c r="V849" s="36">
        <v>0.0</v>
      </c>
      <c r="W849" s="36">
        <v>0.0</v>
      </c>
      <c r="X849" s="36">
        <v>0.0</v>
      </c>
      <c r="Y849" s="36">
        <v>0.0</v>
      </c>
    </row>
    <row r="850">
      <c r="A850" s="32" t="s">
        <v>988</v>
      </c>
      <c r="B850" s="32" t="s">
        <v>988</v>
      </c>
      <c r="C850" s="32" t="s">
        <v>989</v>
      </c>
      <c r="D850" s="32" t="s">
        <v>990</v>
      </c>
      <c r="E850" s="32" t="s">
        <v>5102</v>
      </c>
      <c r="F850" s="32" t="e">
        <v>#N/A</v>
      </c>
      <c r="G850" s="32" t="e">
        <v>#N/A</v>
      </c>
      <c r="H850" s="32">
        <v>0.0</v>
      </c>
      <c r="I850" s="39"/>
      <c r="J850" s="32" t="s">
        <v>991</v>
      </c>
      <c r="K850" s="33" t="s">
        <v>992</v>
      </c>
      <c r="L850" s="32" t="e">
        <v>#N/A</v>
      </c>
      <c r="M850" s="32" t="e">
        <v>#N/A</v>
      </c>
      <c r="N850" s="32" t="s">
        <v>5108</v>
      </c>
      <c r="O850" s="32" t="s">
        <v>52</v>
      </c>
      <c r="P850" s="32">
        <v>22999.0</v>
      </c>
      <c r="Q850" s="34">
        <v>19319.0</v>
      </c>
      <c r="R850" s="40">
        <v>20699.0</v>
      </c>
      <c r="S850" s="35">
        <v>18399.2</v>
      </c>
      <c r="T850" s="36">
        <v>0.0</v>
      </c>
      <c r="U850" s="36">
        <v>0.0</v>
      </c>
      <c r="V850" s="36">
        <v>0.0</v>
      </c>
      <c r="W850" s="36">
        <v>0.0</v>
      </c>
      <c r="X850" s="36">
        <v>0.0</v>
      </c>
      <c r="Y850" s="36">
        <v>0.0</v>
      </c>
    </row>
    <row r="851">
      <c r="A851" s="32" t="s">
        <v>957</v>
      </c>
      <c r="B851" s="32" t="s">
        <v>957</v>
      </c>
      <c r="C851" s="32" t="s">
        <v>958</v>
      </c>
      <c r="D851" s="32" t="s">
        <v>959</v>
      </c>
      <c r="E851" s="32" t="s">
        <v>5102</v>
      </c>
      <c r="F851" s="32" t="e">
        <v>#N/A</v>
      </c>
      <c r="G851" s="32" t="e">
        <v>#N/A</v>
      </c>
      <c r="H851" s="32">
        <v>0.0</v>
      </c>
      <c r="I851" s="39"/>
      <c r="J851" s="32" t="s">
        <v>960</v>
      </c>
      <c r="K851" s="33" t="s">
        <v>961</v>
      </c>
      <c r="L851" s="32" t="e">
        <v>#N/A</v>
      </c>
      <c r="M851" s="32" t="e">
        <v>#N/A</v>
      </c>
      <c r="N851" s="32" t="s">
        <v>5108</v>
      </c>
      <c r="O851" s="32" t="s">
        <v>52</v>
      </c>
      <c r="P851" s="32">
        <v>22999.0</v>
      </c>
      <c r="Q851" s="34">
        <v>19319.0</v>
      </c>
      <c r="R851" s="40">
        <v>20699.0</v>
      </c>
      <c r="S851" s="35">
        <v>18399.2</v>
      </c>
      <c r="T851" s="36">
        <v>0.0</v>
      </c>
      <c r="U851" s="36">
        <v>0.0</v>
      </c>
      <c r="V851" s="36">
        <v>0.0</v>
      </c>
      <c r="W851" s="36">
        <v>0.0</v>
      </c>
      <c r="X851" s="36">
        <v>0.0</v>
      </c>
      <c r="Y851" s="36">
        <v>0.0</v>
      </c>
    </row>
    <row r="852">
      <c r="A852" s="32" t="s">
        <v>976</v>
      </c>
      <c r="B852" s="32" t="s">
        <v>976</v>
      </c>
      <c r="C852" s="32" t="s">
        <v>977</v>
      </c>
      <c r="D852" s="32" t="s">
        <v>978</v>
      </c>
      <c r="E852" s="32" t="s">
        <v>5102</v>
      </c>
      <c r="F852" s="32" t="e">
        <v>#N/A</v>
      </c>
      <c r="G852" s="32" t="e">
        <v>#N/A</v>
      </c>
      <c r="H852" s="32">
        <v>0.0</v>
      </c>
      <c r="I852" s="39"/>
      <c r="J852" s="32" t="s">
        <v>979</v>
      </c>
      <c r="K852" s="33" t="s">
        <v>980</v>
      </c>
      <c r="L852" s="32" t="e">
        <v>#N/A</v>
      </c>
      <c r="M852" s="32" t="e">
        <v>#N/A</v>
      </c>
      <c r="N852" s="32" t="s">
        <v>5108</v>
      </c>
      <c r="O852" s="32" t="s">
        <v>52</v>
      </c>
      <c r="P852" s="32">
        <v>23999.0</v>
      </c>
      <c r="Q852" s="34">
        <v>20159.0</v>
      </c>
      <c r="R852" s="40">
        <v>21599.0</v>
      </c>
      <c r="S852" s="35">
        <v>19199.2</v>
      </c>
      <c r="T852" s="36">
        <v>0.0</v>
      </c>
      <c r="U852" s="36">
        <v>0.0</v>
      </c>
      <c r="V852" s="36">
        <v>0.0</v>
      </c>
      <c r="W852" s="36">
        <v>0.0</v>
      </c>
      <c r="X852" s="36">
        <v>0.0</v>
      </c>
      <c r="Y852" s="36">
        <v>0.0</v>
      </c>
    </row>
    <row r="853">
      <c r="A853" s="32" t="s">
        <v>993</v>
      </c>
      <c r="B853" s="32" t="s">
        <v>993</v>
      </c>
      <c r="C853" s="32" t="s">
        <v>994</v>
      </c>
      <c r="D853" s="32" t="s">
        <v>995</v>
      </c>
      <c r="E853" s="32" t="s">
        <v>5102</v>
      </c>
      <c r="F853" s="32" t="e">
        <v>#N/A</v>
      </c>
      <c r="G853" s="32" t="e">
        <v>#N/A</v>
      </c>
      <c r="H853" s="32">
        <v>0.0</v>
      </c>
      <c r="I853" s="39"/>
      <c r="J853" s="32" t="s">
        <v>996</v>
      </c>
      <c r="K853" s="33" t="s">
        <v>997</v>
      </c>
      <c r="L853" s="32" t="e">
        <v>#N/A</v>
      </c>
      <c r="M853" s="32" t="e">
        <v>#N/A</v>
      </c>
      <c r="N853" s="32" t="s">
        <v>5108</v>
      </c>
      <c r="O853" s="32" t="s">
        <v>52</v>
      </c>
      <c r="P853" s="32">
        <v>26999.0</v>
      </c>
      <c r="Q853" s="34">
        <v>22679.0</v>
      </c>
      <c r="R853" s="40">
        <v>24299.0</v>
      </c>
      <c r="S853" s="35">
        <v>21599.2</v>
      </c>
      <c r="T853" s="36">
        <v>0.0</v>
      </c>
      <c r="U853" s="36">
        <v>0.0</v>
      </c>
      <c r="V853" s="36">
        <v>0.0</v>
      </c>
      <c r="W853" s="36">
        <v>0.0</v>
      </c>
      <c r="X853" s="36">
        <v>0.0</v>
      </c>
      <c r="Y853" s="36">
        <v>0.0</v>
      </c>
    </row>
    <row r="854">
      <c r="A854" s="32" t="s">
        <v>804</v>
      </c>
      <c r="B854" s="32" t="s">
        <v>804</v>
      </c>
      <c r="C854" s="32" t="s">
        <v>805</v>
      </c>
      <c r="D854" s="32" t="s">
        <v>806</v>
      </c>
      <c r="E854" s="32" t="s">
        <v>5102</v>
      </c>
      <c r="F854" s="32" t="e">
        <v>#N/A</v>
      </c>
      <c r="G854" s="32" t="e">
        <v>#N/A</v>
      </c>
      <c r="H854" s="32" t="s">
        <v>807</v>
      </c>
      <c r="I854" s="32" t="s">
        <v>5102</v>
      </c>
      <c r="J854" s="32" t="s">
        <v>808</v>
      </c>
      <c r="K854" s="33" t="s">
        <v>809</v>
      </c>
      <c r="L854" s="32">
        <v>3.2784129E7</v>
      </c>
      <c r="M854" s="32" t="e">
        <v>#N/A</v>
      </c>
      <c r="N854" s="32" t="s">
        <v>5108</v>
      </c>
      <c r="O854" s="32" t="s">
        <v>52</v>
      </c>
      <c r="P854" s="32">
        <v>10999.0</v>
      </c>
      <c r="Q854" s="34">
        <v>9239.0</v>
      </c>
      <c r="R854" s="40">
        <v>9899.0</v>
      </c>
      <c r="S854" s="35">
        <v>8799.2</v>
      </c>
      <c r="T854" s="36">
        <v>0.0</v>
      </c>
      <c r="U854" s="36">
        <v>0.0</v>
      </c>
      <c r="V854" s="36">
        <v>0.0</v>
      </c>
      <c r="W854" s="36">
        <v>0.0</v>
      </c>
      <c r="X854" s="36">
        <v>0.0</v>
      </c>
      <c r="Y854" s="36">
        <v>0.0</v>
      </c>
    </row>
    <row r="855">
      <c r="A855" s="32" t="s">
        <v>836</v>
      </c>
      <c r="B855" s="32" t="s">
        <v>836</v>
      </c>
      <c r="C855" s="32" t="s">
        <v>837</v>
      </c>
      <c r="D855" s="32" t="s">
        <v>838</v>
      </c>
      <c r="E855" s="32" t="s">
        <v>5102</v>
      </c>
      <c r="F855" s="32" t="e">
        <v>#N/A</v>
      </c>
      <c r="G855" s="32" t="e">
        <v>#N/A</v>
      </c>
      <c r="H855" s="32" t="s">
        <v>839</v>
      </c>
      <c r="I855" s="32" t="s">
        <v>5102</v>
      </c>
      <c r="J855" s="32" t="s">
        <v>840</v>
      </c>
      <c r="K855" s="33" t="s">
        <v>841</v>
      </c>
      <c r="L855" s="32">
        <v>3.2783881E7</v>
      </c>
      <c r="M855" s="32" t="s">
        <v>842</v>
      </c>
      <c r="N855" s="32" t="s">
        <v>5108</v>
      </c>
      <c r="O855" s="32" t="s">
        <v>52</v>
      </c>
      <c r="P855" s="32">
        <v>12899.0</v>
      </c>
      <c r="Q855" s="34">
        <v>10835.0</v>
      </c>
      <c r="R855" s="40">
        <v>11599.0</v>
      </c>
      <c r="S855" s="35">
        <v>10319.2</v>
      </c>
      <c r="T855" s="36">
        <v>0.0</v>
      </c>
      <c r="U855" s="36">
        <v>0.0</v>
      </c>
      <c r="V855" s="36">
        <v>0.0</v>
      </c>
      <c r="W855" s="36">
        <v>0.0</v>
      </c>
      <c r="X855" s="36">
        <v>0.0</v>
      </c>
      <c r="Y855" s="36">
        <v>0.0</v>
      </c>
    </row>
    <row r="856">
      <c r="A856" s="32" t="s">
        <v>849</v>
      </c>
      <c r="B856" s="32" t="s">
        <v>849</v>
      </c>
      <c r="C856" s="32" t="s">
        <v>850</v>
      </c>
      <c r="D856" s="32" t="s">
        <v>851</v>
      </c>
      <c r="E856" s="32" t="s">
        <v>5102</v>
      </c>
      <c r="F856" s="32" t="e">
        <v>#N/A</v>
      </c>
      <c r="G856" s="32" t="e">
        <v>#N/A</v>
      </c>
      <c r="H856" s="32" t="s">
        <v>852</v>
      </c>
      <c r="I856" s="32" t="s">
        <v>5102</v>
      </c>
      <c r="J856" s="32" t="s">
        <v>853</v>
      </c>
      <c r="K856" s="33" t="s">
        <v>854</v>
      </c>
      <c r="L856" s="32">
        <v>3.2784224E7</v>
      </c>
      <c r="M856" s="32" t="s">
        <v>855</v>
      </c>
      <c r="N856" s="32" t="s">
        <v>5108</v>
      </c>
      <c r="O856" s="32" t="s">
        <v>52</v>
      </c>
      <c r="P856" s="32">
        <v>13399.0</v>
      </c>
      <c r="Q856" s="34">
        <v>11255.0</v>
      </c>
      <c r="R856" s="40">
        <v>12099.0</v>
      </c>
      <c r="S856" s="35">
        <v>10719.2</v>
      </c>
      <c r="T856" s="36">
        <v>0.0</v>
      </c>
      <c r="U856" s="36">
        <v>0.0</v>
      </c>
      <c r="V856" s="36">
        <v>0.0</v>
      </c>
      <c r="W856" s="36">
        <v>0.0</v>
      </c>
      <c r="X856" s="36">
        <v>0.0</v>
      </c>
      <c r="Y856" s="36">
        <v>0.0</v>
      </c>
    </row>
    <row r="857">
      <c r="A857" s="32" t="s">
        <v>831</v>
      </c>
      <c r="B857" s="32" t="s">
        <v>831</v>
      </c>
      <c r="C857" s="32" t="s">
        <v>832</v>
      </c>
      <c r="D857" s="32" t="s">
        <v>833</v>
      </c>
      <c r="E857" s="32" t="s">
        <v>5102</v>
      </c>
      <c r="F857" s="32" t="e">
        <v>#N/A</v>
      </c>
      <c r="G857" s="32" t="e">
        <v>#N/A</v>
      </c>
      <c r="H857" s="32">
        <v>0.0</v>
      </c>
      <c r="I857" s="39"/>
      <c r="J857" s="32" t="s">
        <v>834</v>
      </c>
      <c r="K857" s="33" t="s">
        <v>835</v>
      </c>
      <c r="L857" s="32" t="e">
        <v>#N/A</v>
      </c>
      <c r="M857" s="32" t="e">
        <v>#N/A</v>
      </c>
      <c r="N857" s="32" t="s">
        <v>5108</v>
      </c>
      <c r="O857" s="32" t="s">
        <v>52</v>
      </c>
      <c r="P857" s="32">
        <v>13999.0</v>
      </c>
      <c r="Q857" s="34">
        <v>11759.0</v>
      </c>
      <c r="R857" s="40">
        <v>12599.0</v>
      </c>
      <c r="S857" s="35">
        <v>11199.2</v>
      </c>
      <c r="T857" s="36">
        <v>0.0</v>
      </c>
      <c r="U857" s="36">
        <v>0.0</v>
      </c>
      <c r="V857" s="36">
        <v>0.0</v>
      </c>
      <c r="W857" s="36">
        <v>0.0</v>
      </c>
      <c r="X857" s="36">
        <v>0.0</v>
      </c>
      <c r="Y857" s="36">
        <v>0.0</v>
      </c>
    </row>
    <row r="858">
      <c r="A858" s="32" t="s">
        <v>856</v>
      </c>
      <c r="B858" s="32" t="s">
        <v>856</v>
      </c>
      <c r="C858" s="32" t="s">
        <v>857</v>
      </c>
      <c r="D858" s="32" t="s">
        <v>858</v>
      </c>
      <c r="E858" s="32" t="s">
        <v>5102</v>
      </c>
      <c r="F858" s="32" t="e">
        <v>#N/A</v>
      </c>
      <c r="G858" s="32" t="e">
        <v>#N/A</v>
      </c>
      <c r="H858" s="32">
        <v>0.0</v>
      </c>
      <c r="I858" s="39"/>
      <c r="J858" s="32" t="s">
        <v>859</v>
      </c>
      <c r="K858" s="33" t="s">
        <v>860</v>
      </c>
      <c r="L858" s="32" t="e">
        <v>#N/A</v>
      </c>
      <c r="M858" s="32" t="e">
        <v>#N/A</v>
      </c>
      <c r="N858" s="32" t="s">
        <v>5108</v>
      </c>
      <c r="O858" s="32" t="s">
        <v>52</v>
      </c>
      <c r="P858" s="32">
        <v>15499.0</v>
      </c>
      <c r="Q858" s="34">
        <v>13019.0</v>
      </c>
      <c r="R858" s="40">
        <v>13899.0</v>
      </c>
      <c r="S858" s="35">
        <v>12399.2</v>
      </c>
      <c r="T858" s="36">
        <v>0.0</v>
      </c>
      <c r="U858" s="36">
        <v>0.0</v>
      </c>
      <c r="V858" s="36">
        <v>0.0</v>
      </c>
      <c r="W858" s="36">
        <v>0.0</v>
      </c>
      <c r="X858" s="36">
        <v>0.0</v>
      </c>
      <c r="Y858" s="36">
        <v>0.0</v>
      </c>
    </row>
    <row r="859">
      <c r="A859" s="32" t="s">
        <v>4914</v>
      </c>
      <c r="B859" s="32" t="s">
        <v>4914</v>
      </c>
      <c r="C859" s="32" t="s">
        <v>4915</v>
      </c>
      <c r="D859" s="46" t="s">
        <v>5168</v>
      </c>
      <c r="E859" s="32" t="s">
        <v>5102</v>
      </c>
      <c r="F859" s="32" t="e">
        <v>#N/A</v>
      </c>
      <c r="G859" s="32" t="e">
        <v>#N/A</v>
      </c>
      <c r="H859" s="38"/>
      <c r="I859" s="38"/>
      <c r="J859" s="32" t="s">
        <v>2428</v>
      </c>
      <c r="K859" s="38"/>
      <c r="L859" s="38"/>
      <c r="M859" s="38"/>
      <c r="N859" s="32" t="s">
        <v>5081</v>
      </c>
      <c r="O859" s="32" t="s">
        <v>1145</v>
      </c>
      <c r="P859" s="32">
        <v>2499.0</v>
      </c>
      <c r="Q859" s="44">
        <v>2499.0</v>
      </c>
      <c r="R859" s="40">
        <v>2499.0</v>
      </c>
      <c r="S859" s="35">
        <v>2399.0</v>
      </c>
      <c r="T859" s="36">
        <v>0.0</v>
      </c>
      <c r="U859" s="36">
        <v>0.0</v>
      </c>
      <c r="V859" s="36">
        <v>0.0</v>
      </c>
      <c r="W859" s="36">
        <v>0.0</v>
      </c>
      <c r="X859" s="36">
        <v>0.0</v>
      </c>
      <c r="Y859" s="36">
        <v>0.0</v>
      </c>
    </row>
    <row r="860">
      <c r="A860" s="32" t="s">
        <v>2431</v>
      </c>
      <c r="B860" s="32" t="s">
        <v>2431</v>
      </c>
      <c r="C860" s="32" t="s">
        <v>2432</v>
      </c>
      <c r="D860" s="32" t="s">
        <v>2433</v>
      </c>
      <c r="E860" s="32" t="s">
        <v>5073</v>
      </c>
      <c r="F860" s="32" t="s">
        <v>2434</v>
      </c>
      <c r="G860" s="32" t="s">
        <v>5073</v>
      </c>
      <c r="H860" s="32">
        <v>0.0</v>
      </c>
      <c r="I860" s="39"/>
      <c r="J860" s="32" t="s">
        <v>2435</v>
      </c>
      <c r="K860" s="33" t="s">
        <v>2436</v>
      </c>
      <c r="L860" s="32">
        <v>3.2777661E7</v>
      </c>
      <c r="M860" s="32" t="s">
        <v>2437</v>
      </c>
      <c r="N860" s="32" t="s">
        <v>5081</v>
      </c>
      <c r="O860" s="32" t="s">
        <v>1145</v>
      </c>
      <c r="P860" s="32">
        <v>3699.0</v>
      </c>
      <c r="Q860" s="34">
        <v>3499.0</v>
      </c>
      <c r="R860" s="40">
        <v>3499.0</v>
      </c>
      <c r="S860" s="35">
        <v>3499.0</v>
      </c>
      <c r="T860" s="36">
        <v>0.0</v>
      </c>
      <c r="U860" s="36">
        <v>0.0</v>
      </c>
      <c r="V860" s="36">
        <v>0.0</v>
      </c>
      <c r="W860" s="36">
        <v>0.0</v>
      </c>
      <c r="X860" s="36">
        <v>0.0</v>
      </c>
      <c r="Y860" s="36">
        <v>0.0</v>
      </c>
    </row>
    <row r="861">
      <c r="A861" s="32" t="s">
        <v>4910</v>
      </c>
      <c r="B861" s="32" t="s">
        <v>4910</v>
      </c>
      <c r="C861" s="32" t="s">
        <v>4911</v>
      </c>
      <c r="D861" s="46" t="s">
        <v>5169</v>
      </c>
      <c r="E861" s="32" t="s">
        <v>5073</v>
      </c>
      <c r="F861" s="32" t="e">
        <v>#N/A</v>
      </c>
      <c r="G861" s="38"/>
      <c r="H861" s="38"/>
      <c r="I861" s="38"/>
      <c r="J861" s="32" t="s">
        <v>4913</v>
      </c>
      <c r="K861" s="38"/>
      <c r="L861" s="38"/>
      <c r="M861" s="38"/>
      <c r="N861" s="32" t="s">
        <v>5081</v>
      </c>
      <c r="O861" s="32" t="s">
        <v>1145</v>
      </c>
      <c r="P861" s="32">
        <v>6999.0</v>
      </c>
      <c r="Q861" s="44">
        <v>6999.0</v>
      </c>
      <c r="R861" s="40">
        <v>6999.0</v>
      </c>
      <c r="S861" s="35">
        <v>6999.0</v>
      </c>
      <c r="T861" s="36">
        <v>0.0</v>
      </c>
      <c r="U861" s="36">
        <v>0.0</v>
      </c>
      <c r="V861" s="36">
        <v>0.0</v>
      </c>
      <c r="W861" s="36">
        <v>0.0</v>
      </c>
      <c r="X861" s="36">
        <v>0.0</v>
      </c>
      <c r="Y861" s="36">
        <v>0.0</v>
      </c>
    </row>
    <row r="862">
      <c r="A862" s="32" t="s">
        <v>4736</v>
      </c>
      <c r="B862" s="32" t="s">
        <v>4736</v>
      </c>
      <c r="C862" s="32" t="s">
        <v>4854</v>
      </c>
      <c r="D862" s="32" t="s">
        <v>4855</v>
      </c>
      <c r="E862" s="32" t="s">
        <v>5102</v>
      </c>
      <c r="F862" s="32" t="e">
        <v>#N/A</v>
      </c>
      <c r="G862" s="38"/>
      <c r="H862" s="32" t="e">
        <v>#N/A</v>
      </c>
      <c r="I862" s="39"/>
      <c r="J862" s="32" t="s">
        <v>5027</v>
      </c>
      <c r="K862" s="33" t="s">
        <v>4856</v>
      </c>
      <c r="L862" s="32" t="e">
        <v>#N/A</v>
      </c>
      <c r="M862" s="32" t="e">
        <v>#N/A</v>
      </c>
      <c r="N862" s="33" t="s">
        <v>4729</v>
      </c>
      <c r="O862" s="33" t="s">
        <v>4730</v>
      </c>
      <c r="P862" s="32" t="e">
        <v>#REF!</v>
      </c>
      <c r="Q862" s="38"/>
      <c r="R862" s="42" t="e">
        <v>#N/A</v>
      </c>
      <c r="S862" s="38"/>
      <c r="T862" s="36">
        <v>0.0</v>
      </c>
      <c r="U862" s="36">
        <v>0.0</v>
      </c>
      <c r="V862" s="36">
        <v>0.0</v>
      </c>
      <c r="W862" s="36">
        <v>0.0</v>
      </c>
      <c r="X862" s="36">
        <v>0.0</v>
      </c>
      <c r="Y862" s="36">
        <v>0.0</v>
      </c>
    </row>
    <row r="863">
      <c r="A863" s="32" t="s">
        <v>4744</v>
      </c>
      <c r="B863" s="32" t="s">
        <v>4744</v>
      </c>
      <c r="C863" s="32" t="s">
        <v>4745</v>
      </c>
      <c r="D863" s="32" t="s">
        <v>4746</v>
      </c>
      <c r="E863" s="32" t="s">
        <v>5102</v>
      </c>
      <c r="F863" s="32" t="e">
        <v>#N/A</v>
      </c>
      <c r="G863" s="38"/>
      <c r="H863" s="32">
        <v>0.0</v>
      </c>
      <c r="I863" s="39"/>
      <c r="J863" s="32" t="s">
        <v>4747</v>
      </c>
      <c r="K863" s="33" t="s">
        <v>4748</v>
      </c>
      <c r="L863" s="32" t="e">
        <v>#N/A</v>
      </c>
      <c r="M863" s="32" t="e">
        <v>#N/A</v>
      </c>
      <c r="N863" s="33" t="s">
        <v>4729</v>
      </c>
      <c r="O863" s="33" t="s">
        <v>4730</v>
      </c>
      <c r="P863" s="32" t="e">
        <v>#REF!</v>
      </c>
      <c r="Q863" s="38"/>
      <c r="R863" s="42" t="e">
        <v>#N/A</v>
      </c>
      <c r="S863" s="38"/>
      <c r="T863" s="36">
        <v>0.0</v>
      </c>
      <c r="U863" s="36">
        <v>0.0</v>
      </c>
      <c r="V863" s="36">
        <v>0.0</v>
      </c>
      <c r="W863" s="36">
        <v>0.0</v>
      </c>
      <c r="X863" s="36">
        <v>0.0</v>
      </c>
      <c r="Y863" s="36">
        <v>0.0</v>
      </c>
    </row>
    <row r="864">
      <c r="A864" s="32" t="s">
        <v>4749</v>
      </c>
      <c r="B864" s="32" t="s">
        <v>4749</v>
      </c>
      <c r="C864" s="32" t="s">
        <v>4851</v>
      </c>
      <c r="D864" s="32" t="s">
        <v>4852</v>
      </c>
      <c r="E864" s="32" t="s">
        <v>5102</v>
      </c>
      <c r="F864" s="32" t="e">
        <v>#N/A</v>
      </c>
      <c r="G864" s="38"/>
      <c r="H864" s="32" t="e">
        <v>#N/A</v>
      </c>
      <c r="I864" s="39"/>
      <c r="J864" s="32" t="s">
        <v>5033</v>
      </c>
      <c r="K864" s="33" t="s">
        <v>4853</v>
      </c>
      <c r="L864" s="32" t="e">
        <v>#N/A</v>
      </c>
      <c r="M864" s="32" t="e">
        <v>#N/A</v>
      </c>
      <c r="N864" s="33" t="s">
        <v>4729</v>
      </c>
      <c r="O864" s="33" t="s">
        <v>4730</v>
      </c>
      <c r="P864" s="32" t="e">
        <v>#REF!</v>
      </c>
      <c r="Q864" s="38"/>
      <c r="R864" s="42" t="e">
        <v>#N/A</v>
      </c>
      <c r="S864" s="38"/>
      <c r="T864" s="36">
        <v>0.0</v>
      </c>
      <c r="U864" s="36">
        <v>0.0</v>
      </c>
      <c r="V864" s="36">
        <v>0.0</v>
      </c>
      <c r="W864" s="36">
        <v>0.0</v>
      </c>
      <c r="X864" s="36">
        <v>0.0</v>
      </c>
      <c r="Y864" s="36">
        <v>0.0</v>
      </c>
    </row>
    <row r="865">
      <c r="A865" s="32" t="s">
        <v>4750</v>
      </c>
      <c r="B865" s="32" t="s">
        <v>4750</v>
      </c>
      <c r="C865" s="32" t="s">
        <v>4845</v>
      </c>
      <c r="D865" s="32" t="s">
        <v>4846</v>
      </c>
      <c r="E865" s="32" t="s">
        <v>5102</v>
      </c>
      <c r="F865" s="32" t="e">
        <v>#N/A</v>
      </c>
      <c r="G865" s="38"/>
      <c r="H865" s="32" t="e">
        <v>#N/A</v>
      </c>
      <c r="I865" s="39"/>
      <c r="J865" s="32" t="s">
        <v>5032</v>
      </c>
      <c r="K865" s="33" t="s">
        <v>4847</v>
      </c>
      <c r="L865" s="32" t="e">
        <v>#N/A</v>
      </c>
      <c r="M865" s="32" t="e">
        <v>#N/A</v>
      </c>
      <c r="N865" s="33" t="s">
        <v>4729</v>
      </c>
      <c r="O865" s="33" t="s">
        <v>4730</v>
      </c>
      <c r="P865" s="32" t="e">
        <v>#REF!</v>
      </c>
      <c r="Q865" s="38"/>
      <c r="R865" s="42" t="e">
        <v>#N/A</v>
      </c>
      <c r="S865" s="38"/>
      <c r="T865" s="36">
        <v>0.0</v>
      </c>
      <c r="U865" s="36">
        <v>0.0</v>
      </c>
      <c r="V865" s="36">
        <v>0.0</v>
      </c>
      <c r="W865" s="36">
        <v>0.0</v>
      </c>
      <c r="X865" s="36">
        <v>0.0</v>
      </c>
      <c r="Y865" s="36">
        <v>0.0</v>
      </c>
    </row>
    <row r="866">
      <c r="A866" s="32" t="s">
        <v>4737</v>
      </c>
      <c r="B866" s="32" t="s">
        <v>4737</v>
      </c>
      <c r="C866" s="32" t="s">
        <v>4738</v>
      </c>
      <c r="D866" s="32" t="s">
        <v>4739</v>
      </c>
      <c r="E866" s="32" t="s">
        <v>5102</v>
      </c>
      <c r="F866" s="32" t="e">
        <v>#N/A</v>
      </c>
      <c r="G866" s="38"/>
      <c r="H866" s="32">
        <v>0.0</v>
      </c>
      <c r="I866" s="39"/>
      <c r="J866" s="32" t="s">
        <v>4740</v>
      </c>
      <c r="K866" s="33" t="s">
        <v>4741</v>
      </c>
      <c r="L866" s="32" t="e">
        <v>#N/A</v>
      </c>
      <c r="M866" s="32" t="e">
        <v>#N/A</v>
      </c>
      <c r="N866" s="33" t="s">
        <v>4729</v>
      </c>
      <c r="O866" s="33" t="s">
        <v>4730</v>
      </c>
      <c r="P866" s="32" t="e">
        <v>#REF!</v>
      </c>
      <c r="Q866" s="38"/>
      <c r="R866" s="42" t="e">
        <v>#N/A</v>
      </c>
      <c r="S866" s="38"/>
      <c r="T866" s="36">
        <v>0.0</v>
      </c>
      <c r="U866" s="36">
        <v>0.0</v>
      </c>
      <c r="V866" s="36">
        <v>0.0</v>
      </c>
      <c r="W866" s="36">
        <v>0.0</v>
      </c>
      <c r="X866" s="36">
        <v>0.0</v>
      </c>
      <c r="Y866" s="36">
        <v>0.0</v>
      </c>
    </row>
    <row r="867">
      <c r="A867" s="32" t="s">
        <v>4742</v>
      </c>
      <c r="B867" s="32" t="s">
        <v>4742</v>
      </c>
      <c r="C867" s="32" t="s">
        <v>5034</v>
      </c>
      <c r="D867" s="32" t="s">
        <v>5035</v>
      </c>
      <c r="E867" s="32" t="s">
        <v>5102</v>
      </c>
      <c r="F867" s="38"/>
      <c r="G867" s="38"/>
      <c r="H867" s="38"/>
      <c r="I867" s="38"/>
      <c r="J867" s="32" t="s">
        <v>5036</v>
      </c>
      <c r="K867" s="38"/>
      <c r="L867" s="38"/>
      <c r="M867" s="38"/>
      <c r="N867" s="33" t="s">
        <v>4729</v>
      </c>
      <c r="O867" s="33" t="s">
        <v>4730</v>
      </c>
      <c r="P867" s="32" t="e">
        <v>#N/A</v>
      </c>
      <c r="Q867" s="34" t="e">
        <v>#N/A</v>
      </c>
      <c r="R867" s="42" t="e">
        <v>#N/A</v>
      </c>
      <c r="S867" s="42" t="e">
        <v>#N/A</v>
      </c>
      <c r="T867" s="36">
        <v>0.0</v>
      </c>
      <c r="U867" s="36">
        <v>0.0</v>
      </c>
      <c r="V867" s="36">
        <v>0.0</v>
      </c>
      <c r="W867" s="36">
        <v>0.0</v>
      </c>
      <c r="X867" s="36">
        <v>0.0</v>
      </c>
      <c r="Y867" s="36">
        <v>0.0</v>
      </c>
    </row>
    <row r="868">
      <c r="A868" s="32" t="s">
        <v>4743</v>
      </c>
      <c r="B868" s="32" t="s">
        <v>4743</v>
      </c>
      <c r="C868" s="32" t="s">
        <v>4848</v>
      </c>
      <c r="D868" s="32" t="s">
        <v>4849</v>
      </c>
      <c r="E868" s="32" t="s">
        <v>5102</v>
      </c>
      <c r="F868" s="32" t="e">
        <v>#N/A</v>
      </c>
      <c r="G868" s="38"/>
      <c r="H868" s="32" t="e">
        <v>#N/A</v>
      </c>
      <c r="I868" s="39"/>
      <c r="J868" s="32" t="s">
        <v>5031</v>
      </c>
      <c r="K868" s="33" t="s">
        <v>4850</v>
      </c>
      <c r="L868" s="32" t="e">
        <v>#N/A</v>
      </c>
      <c r="M868" s="32" t="e">
        <v>#N/A</v>
      </c>
      <c r="N868" s="33" t="s">
        <v>4729</v>
      </c>
      <c r="O868" s="33" t="s">
        <v>4730</v>
      </c>
      <c r="P868" s="32" t="e">
        <v>#REF!</v>
      </c>
      <c r="Q868" s="38"/>
      <c r="R868" s="42" t="e">
        <v>#N/A</v>
      </c>
      <c r="S868" s="38"/>
      <c r="T868" s="36">
        <v>0.0</v>
      </c>
      <c r="U868" s="36">
        <v>0.0</v>
      </c>
      <c r="V868" s="36">
        <v>0.0</v>
      </c>
      <c r="W868" s="36">
        <v>0.0</v>
      </c>
      <c r="X868" s="36">
        <v>0.0</v>
      </c>
      <c r="Y868" s="36">
        <v>0.0</v>
      </c>
    </row>
    <row r="869">
      <c r="A869" s="32" t="s">
        <v>4728</v>
      </c>
      <c r="B869" s="32" t="s">
        <v>4728</v>
      </c>
      <c r="C869" s="32" t="s">
        <v>5028</v>
      </c>
      <c r="D869" s="32" t="s">
        <v>5029</v>
      </c>
      <c r="E869" s="32" t="s">
        <v>5102</v>
      </c>
      <c r="F869" s="38"/>
      <c r="G869" s="38"/>
      <c r="H869" s="38"/>
      <c r="I869" s="38"/>
      <c r="J869" s="32" t="s">
        <v>5030</v>
      </c>
      <c r="K869" s="38"/>
      <c r="L869" s="38"/>
      <c r="M869" s="38"/>
      <c r="N869" s="33" t="s">
        <v>4729</v>
      </c>
      <c r="O869" s="33" t="s">
        <v>4730</v>
      </c>
      <c r="P869" s="32" t="e">
        <v>#N/A</v>
      </c>
      <c r="Q869" s="34" t="e">
        <v>#N/A</v>
      </c>
      <c r="R869" s="42" t="e">
        <v>#N/A</v>
      </c>
      <c r="S869" s="38"/>
      <c r="T869" s="36">
        <v>0.0</v>
      </c>
      <c r="U869" s="36">
        <v>0.0</v>
      </c>
      <c r="V869" s="36">
        <v>0.0</v>
      </c>
      <c r="W869" s="36">
        <v>0.0</v>
      </c>
      <c r="X869" s="36">
        <v>0.0</v>
      </c>
      <c r="Y869" s="36">
        <v>0.0</v>
      </c>
    </row>
    <row r="870">
      <c r="A870" s="32" t="s">
        <v>4731</v>
      </c>
      <c r="B870" s="32" t="s">
        <v>4731</v>
      </c>
      <c r="C870" s="32" t="s">
        <v>4732</v>
      </c>
      <c r="D870" s="32" t="s">
        <v>4733</v>
      </c>
      <c r="E870" s="32" t="s">
        <v>5102</v>
      </c>
      <c r="F870" s="32" t="e">
        <v>#N/A</v>
      </c>
      <c r="G870" s="38"/>
      <c r="H870" s="32">
        <v>0.0</v>
      </c>
      <c r="I870" s="39"/>
      <c r="J870" s="32" t="s">
        <v>4734</v>
      </c>
      <c r="K870" s="33" t="s">
        <v>4735</v>
      </c>
      <c r="L870" s="32" t="e">
        <v>#N/A</v>
      </c>
      <c r="M870" s="32" t="e">
        <v>#N/A</v>
      </c>
      <c r="N870" s="33" t="s">
        <v>4729</v>
      </c>
      <c r="O870" s="33" t="s">
        <v>4730</v>
      </c>
      <c r="P870" s="32" t="e">
        <v>#REF!</v>
      </c>
      <c r="Q870" s="38"/>
      <c r="R870" s="42" t="e">
        <v>#N/A</v>
      </c>
      <c r="S870" s="38"/>
      <c r="T870" s="36">
        <v>0.0</v>
      </c>
      <c r="U870" s="36">
        <v>0.0</v>
      </c>
      <c r="V870" s="36">
        <v>0.0</v>
      </c>
      <c r="W870" s="36">
        <v>0.0</v>
      </c>
      <c r="X870" s="36">
        <v>0.0</v>
      </c>
      <c r="Y870" s="36">
        <v>0.0</v>
      </c>
    </row>
    <row r="871">
      <c r="A871" s="33" t="s">
        <v>5037</v>
      </c>
      <c r="B871" s="38"/>
      <c r="C871" s="32" t="s">
        <v>5038</v>
      </c>
      <c r="D871" s="37" t="s">
        <v>5170</v>
      </c>
      <c r="E871" s="37" t="s">
        <v>5073</v>
      </c>
      <c r="F871" s="38"/>
      <c r="G871" s="38"/>
      <c r="H871" s="38"/>
      <c r="I871" s="38"/>
      <c r="J871" s="37" t="s">
        <v>5171</v>
      </c>
      <c r="K871" s="38"/>
      <c r="L871" s="38"/>
      <c r="M871" s="38"/>
      <c r="N871" s="37" t="s">
        <v>5075</v>
      </c>
      <c r="O871" s="37" t="s">
        <v>1145</v>
      </c>
      <c r="P871" s="35">
        <v>599.0</v>
      </c>
      <c r="Q871" s="38"/>
      <c r="R871" s="35">
        <v>499.0</v>
      </c>
      <c r="S871" s="35">
        <v>399.0</v>
      </c>
      <c r="T871" s="36">
        <v>0.0</v>
      </c>
      <c r="U871" s="36">
        <v>0.0</v>
      </c>
      <c r="V871" s="36">
        <v>0.0</v>
      </c>
      <c r="W871" s="36">
        <v>0.0</v>
      </c>
      <c r="X871" s="36">
        <v>0.0</v>
      </c>
      <c r="Y871" s="36">
        <v>0.0</v>
      </c>
    </row>
    <row r="872">
      <c r="A872" s="32" t="s">
        <v>3116</v>
      </c>
      <c r="B872" s="32" t="s">
        <v>3116</v>
      </c>
      <c r="C872" s="32" t="s">
        <v>3117</v>
      </c>
      <c r="D872" s="32" t="s">
        <v>3118</v>
      </c>
      <c r="E872" s="32" t="s">
        <v>5102</v>
      </c>
      <c r="F872" s="32" t="e">
        <v>#N/A</v>
      </c>
      <c r="G872" s="38"/>
      <c r="H872" s="32" t="s">
        <v>3119</v>
      </c>
      <c r="I872" s="32" t="s">
        <v>5102</v>
      </c>
      <c r="J872" s="32" t="s">
        <v>3120</v>
      </c>
      <c r="K872" s="33" t="s">
        <v>3121</v>
      </c>
      <c r="L872" s="32">
        <v>3.1745302E7</v>
      </c>
      <c r="M872" s="32" t="s">
        <v>3122</v>
      </c>
      <c r="N872" s="32" t="s">
        <v>5087</v>
      </c>
      <c r="O872" s="32" t="s">
        <v>4730</v>
      </c>
      <c r="P872" s="32">
        <v>2489.0</v>
      </c>
      <c r="Q872" s="34">
        <v>2098.0</v>
      </c>
      <c r="R872" s="40">
        <v>2099.0</v>
      </c>
      <c r="S872" s="35">
        <v>1999.0</v>
      </c>
      <c r="T872" s="36">
        <v>0.0</v>
      </c>
      <c r="U872" s="36">
        <v>0.0</v>
      </c>
      <c r="V872" s="36">
        <v>0.0</v>
      </c>
      <c r="W872" s="36">
        <v>0.0</v>
      </c>
      <c r="X872" s="36">
        <v>0.0</v>
      </c>
      <c r="Y872" s="36">
        <v>0.0</v>
      </c>
    </row>
    <row r="873">
      <c r="A873" s="32" t="s">
        <v>3069</v>
      </c>
      <c r="B873" s="32" t="s">
        <v>3069</v>
      </c>
      <c r="C873" s="32" t="s">
        <v>3070</v>
      </c>
      <c r="D873" s="32" t="s">
        <v>3071</v>
      </c>
      <c r="E873" s="32" t="s">
        <v>5102</v>
      </c>
      <c r="F873" s="32" t="e">
        <v>#N/A</v>
      </c>
      <c r="G873" s="38"/>
      <c r="H873" s="32" t="s">
        <v>3072</v>
      </c>
      <c r="I873" s="32" t="s">
        <v>5102</v>
      </c>
      <c r="J873" s="32" t="s">
        <v>3073</v>
      </c>
      <c r="K873" s="33" t="s">
        <v>3074</v>
      </c>
      <c r="L873" s="32">
        <v>3.1745294E7</v>
      </c>
      <c r="M873" s="32" t="s">
        <v>3075</v>
      </c>
      <c r="N873" s="32" t="s">
        <v>5087</v>
      </c>
      <c r="O873" s="32" t="s">
        <v>4730</v>
      </c>
      <c r="P873" s="32">
        <v>1879.0</v>
      </c>
      <c r="Q873" s="34">
        <v>1587.0</v>
      </c>
      <c r="R873" s="40">
        <v>1599.0</v>
      </c>
      <c r="S873" s="35">
        <v>1597.15</v>
      </c>
      <c r="T873" s="36">
        <v>0.0</v>
      </c>
      <c r="U873" s="36">
        <v>0.0</v>
      </c>
      <c r="V873" s="36">
        <v>0.0</v>
      </c>
      <c r="W873" s="36">
        <v>0.0</v>
      </c>
      <c r="X873" s="36">
        <v>0.0</v>
      </c>
      <c r="Y873" s="36">
        <v>0.0</v>
      </c>
    </row>
    <row r="874">
      <c r="A874" s="32" t="s">
        <v>4252</v>
      </c>
      <c r="B874" s="32" t="s">
        <v>4252</v>
      </c>
      <c r="C874" s="32" t="s">
        <v>4253</v>
      </c>
      <c r="D874" s="32" t="s">
        <v>4254</v>
      </c>
      <c r="E874" s="32" t="s">
        <v>5102</v>
      </c>
      <c r="F874" s="32" t="e">
        <v>#N/A</v>
      </c>
      <c r="G874" s="38"/>
      <c r="H874" s="32">
        <v>0.0</v>
      </c>
      <c r="I874" s="39"/>
      <c r="J874" s="32" t="s">
        <v>4255</v>
      </c>
      <c r="K874" s="33" t="s">
        <v>4256</v>
      </c>
      <c r="L874" s="32" t="e">
        <v>#N/A</v>
      </c>
      <c r="M874" s="32" t="e">
        <v>#N/A</v>
      </c>
      <c r="N874" s="32" t="s">
        <v>5118</v>
      </c>
      <c r="O874" s="32" t="s">
        <v>52</v>
      </c>
      <c r="P874" s="32">
        <v>9799.0</v>
      </c>
      <c r="Q874" s="34">
        <v>8819.0</v>
      </c>
      <c r="R874" s="40">
        <v>9399.0</v>
      </c>
      <c r="S874" s="35">
        <v>8645.34</v>
      </c>
      <c r="T874" s="36">
        <v>0.0</v>
      </c>
      <c r="U874" s="36">
        <v>0.0</v>
      </c>
      <c r="V874" s="36">
        <v>0.0</v>
      </c>
      <c r="W874" s="36">
        <v>0.0</v>
      </c>
      <c r="X874" s="36">
        <v>0.0</v>
      </c>
      <c r="Y874" s="36">
        <v>0.0</v>
      </c>
    </row>
    <row r="875">
      <c r="A875" s="32" t="s">
        <v>4040</v>
      </c>
      <c r="B875" s="32" t="s">
        <v>4040</v>
      </c>
      <c r="C875" s="32" t="s">
        <v>4041</v>
      </c>
      <c r="D875" s="32" t="s">
        <v>4042</v>
      </c>
      <c r="E875" s="32" t="s">
        <v>5102</v>
      </c>
      <c r="F875" s="32" t="e">
        <v>#N/A</v>
      </c>
      <c r="G875" s="38"/>
      <c r="H875" s="32">
        <v>0.0</v>
      </c>
      <c r="I875" s="39"/>
      <c r="J875" s="32" t="s">
        <v>4043</v>
      </c>
      <c r="K875" s="33" t="s">
        <v>4044</v>
      </c>
      <c r="L875" s="32" t="e">
        <v>#N/A</v>
      </c>
      <c r="M875" s="32" t="e">
        <v>#N/A</v>
      </c>
      <c r="N875" s="32" t="s">
        <v>5118</v>
      </c>
      <c r="O875" s="32" t="s">
        <v>52</v>
      </c>
      <c r="P875" s="32">
        <v>10699.0</v>
      </c>
      <c r="Q875" s="34">
        <v>9629.0</v>
      </c>
      <c r="R875" s="40">
        <v>10299.0</v>
      </c>
      <c r="S875" s="35">
        <v>9437.34</v>
      </c>
      <c r="T875" s="36">
        <v>0.0</v>
      </c>
      <c r="U875" s="36">
        <v>0.0</v>
      </c>
      <c r="V875" s="36">
        <v>0.0</v>
      </c>
      <c r="W875" s="36">
        <v>0.0</v>
      </c>
      <c r="X875" s="36">
        <v>0.0</v>
      </c>
      <c r="Y875" s="36">
        <v>0.0</v>
      </c>
    </row>
    <row r="876">
      <c r="A876" s="32" t="s">
        <v>4055</v>
      </c>
      <c r="B876" s="32" t="s">
        <v>4055</v>
      </c>
      <c r="C876" s="32" t="s">
        <v>4056</v>
      </c>
      <c r="D876" s="32" t="s">
        <v>4057</v>
      </c>
      <c r="E876" s="32" t="s">
        <v>5102</v>
      </c>
      <c r="F876" s="32" t="e">
        <v>#N/A</v>
      </c>
      <c r="G876" s="38"/>
      <c r="H876" s="32">
        <v>0.0</v>
      </c>
      <c r="I876" s="39"/>
      <c r="J876" s="32" t="s">
        <v>4058</v>
      </c>
      <c r="K876" s="33" t="s">
        <v>4059</v>
      </c>
      <c r="L876" s="32" t="e">
        <v>#N/A</v>
      </c>
      <c r="M876" s="32" t="e">
        <v>#N/A</v>
      </c>
      <c r="N876" s="32" t="s">
        <v>5118</v>
      </c>
      <c r="O876" s="32" t="s">
        <v>52</v>
      </c>
      <c r="P876" s="32">
        <v>12399.0</v>
      </c>
      <c r="Q876" s="34">
        <v>11159.0</v>
      </c>
      <c r="R876" s="40">
        <v>11899.0</v>
      </c>
      <c r="S876" s="35">
        <v>10889.34</v>
      </c>
      <c r="T876" s="36">
        <v>0.0</v>
      </c>
      <c r="U876" s="36">
        <v>0.0</v>
      </c>
      <c r="V876" s="36">
        <v>0.0</v>
      </c>
      <c r="W876" s="36">
        <v>0.0</v>
      </c>
      <c r="X876" s="36">
        <v>0.0</v>
      </c>
      <c r="Y876" s="36">
        <v>0.0</v>
      </c>
    </row>
    <row r="877">
      <c r="A877" s="32" t="s">
        <v>4092</v>
      </c>
      <c r="B877" s="32" t="s">
        <v>4092</v>
      </c>
      <c r="C877" s="32" t="s">
        <v>4093</v>
      </c>
      <c r="D877" s="32" t="s">
        <v>4094</v>
      </c>
      <c r="E877" s="32" t="s">
        <v>5102</v>
      </c>
      <c r="F877" s="32" t="e">
        <v>#N/A</v>
      </c>
      <c r="G877" s="38"/>
      <c r="H877" s="32">
        <v>0.0</v>
      </c>
      <c r="I877" s="39"/>
      <c r="J877" s="32" t="s">
        <v>4095</v>
      </c>
      <c r="K877" s="33" t="s">
        <v>4096</v>
      </c>
      <c r="L877" s="32" t="e">
        <v>#N/A</v>
      </c>
      <c r="M877" s="32" t="e">
        <v>#N/A</v>
      </c>
      <c r="N877" s="32" t="s">
        <v>5118</v>
      </c>
      <c r="O877" s="32" t="s">
        <v>52</v>
      </c>
      <c r="P877" s="32">
        <v>12299.0</v>
      </c>
      <c r="Q877" s="34">
        <v>11069.0</v>
      </c>
      <c r="R877" s="40">
        <v>11799.0</v>
      </c>
      <c r="S877" s="35">
        <v>10823.34</v>
      </c>
      <c r="T877" s="36">
        <v>0.0</v>
      </c>
      <c r="U877" s="36">
        <v>0.0</v>
      </c>
      <c r="V877" s="36">
        <v>0.0</v>
      </c>
      <c r="W877" s="36">
        <v>0.0</v>
      </c>
      <c r="X877" s="36">
        <v>0.0</v>
      </c>
      <c r="Y877" s="36">
        <v>0.0</v>
      </c>
    </row>
    <row r="878">
      <c r="A878" s="32" t="s">
        <v>4070</v>
      </c>
      <c r="B878" s="32" t="s">
        <v>4070</v>
      </c>
      <c r="C878" s="32" t="s">
        <v>4071</v>
      </c>
      <c r="D878" s="32" t="s">
        <v>4072</v>
      </c>
      <c r="E878" s="32" t="s">
        <v>5102</v>
      </c>
      <c r="F878" s="32" t="e">
        <v>#N/A</v>
      </c>
      <c r="G878" s="38"/>
      <c r="H878" s="32">
        <v>0.0</v>
      </c>
      <c r="I878" s="39"/>
      <c r="J878" s="32" t="s">
        <v>4073</v>
      </c>
      <c r="K878" s="33" t="s">
        <v>4074</v>
      </c>
      <c r="L878" s="32" t="e">
        <v>#N/A</v>
      </c>
      <c r="M878" s="32" t="s">
        <v>4075</v>
      </c>
      <c r="N878" s="32" t="s">
        <v>5118</v>
      </c>
      <c r="O878" s="32" t="s">
        <v>52</v>
      </c>
      <c r="P878" s="32">
        <v>14199.0</v>
      </c>
      <c r="Q878" s="34">
        <v>12779.0</v>
      </c>
      <c r="R878" s="40">
        <v>13599.0</v>
      </c>
      <c r="S878" s="35">
        <v>12473.34</v>
      </c>
      <c r="T878" s="36">
        <v>0.0</v>
      </c>
      <c r="U878" s="36">
        <v>0.0</v>
      </c>
      <c r="V878" s="36">
        <v>0.0</v>
      </c>
      <c r="W878" s="36">
        <v>0.0</v>
      </c>
      <c r="X878" s="36">
        <v>0.0</v>
      </c>
      <c r="Y878" s="36">
        <v>0.0</v>
      </c>
    </row>
    <row r="879">
      <c r="A879" s="32" t="s">
        <v>4257</v>
      </c>
      <c r="B879" s="32" t="s">
        <v>4257</v>
      </c>
      <c r="C879" s="32" t="s">
        <v>4258</v>
      </c>
      <c r="D879" s="32" t="s">
        <v>4259</v>
      </c>
      <c r="E879" s="32" t="s">
        <v>5102</v>
      </c>
      <c r="F879" s="32" t="e">
        <v>#N/A</v>
      </c>
      <c r="G879" s="38"/>
      <c r="H879" s="32">
        <v>0.0</v>
      </c>
      <c r="I879" s="39"/>
      <c r="J879" s="32" t="s">
        <v>4260</v>
      </c>
      <c r="K879" s="33" t="s">
        <v>4261</v>
      </c>
      <c r="L879" s="32" t="e">
        <v>#N/A</v>
      </c>
      <c r="M879" s="32" t="e">
        <v>#N/A</v>
      </c>
      <c r="N879" s="32" t="s">
        <v>5118</v>
      </c>
      <c r="O879" s="32" t="s">
        <v>52</v>
      </c>
      <c r="P879" s="32">
        <v>10299.0</v>
      </c>
      <c r="Q879" s="34">
        <v>9269.0</v>
      </c>
      <c r="R879" s="40">
        <v>9899.0</v>
      </c>
      <c r="S879" s="35">
        <v>9041.34</v>
      </c>
      <c r="T879" s="36">
        <v>0.0</v>
      </c>
      <c r="U879" s="36">
        <v>0.0</v>
      </c>
      <c r="V879" s="36">
        <v>0.0</v>
      </c>
      <c r="W879" s="36">
        <v>0.0</v>
      </c>
      <c r="X879" s="36">
        <v>0.0</v>
      </c>
      <c r="Y879" s="36">
        <v>0.0</v>
      </c>
    </row>
    <row r="880">
      <c r="A880" s="32" t="s">
        <v>4045</v>
      </c>
      <c r="B880" s="32" t="s">
        <v>4045</v>
      </c>
      <c r="C880" s="32" t="s">
        <v>4046</v>
      </c>
      <c r="D880" s="32" t="s">
        <v>4047</v>
      </c>
      <c r="E880" s="32" t="s">
        <v>5102</v>
      </c>
      <c r="F880" s="32" t="e">
        <v>#N/A</v>
      </c>
      <c r="G880" s="38"/>
      <c r="H880" s="32">
        <v>0.0</v>
      </c>
      <c r="I880" s="39"/>
      <c r="J880" s="32" t="s">
        <v>4048</v>
      </c>
      <c r="K880" s="33" t="s">
        <v>4049</v>
      </c>
      <c r="L880" s="32" t="e">
        <v>#N/A</v>
      </c>
      <c r="M880" s="32" t="e">
        <v>#N/A</v>
      </c>
      <c r="N880" s="32" t="s">
        <v>5118</v>
      </c>
      <c r="O880" s="32" t="s">
        <v>52</v>
      </c>
      <c r="P880" s="32">
        <v>11299.0</v>
      </c>
      <c r="Q880" s="34">
        <v>10169.0</v>
      </c>
      <c r="R880" s="40">
        <v>10899.0</v>
      </c>
      <c r="S880" s="35">
        <v>9965.34</v>
      </c>
      <c r="T880" s="36">
        <v>0.0</v>
      </c>
      <c r="U880" s="36">
        <v>0.0</v>
      </c>
      <c r="V880" s="36">
        <v>0.0</v>
      </c>
      <c r="W880" s="36">
        <v>0.0</v>
      </c>
      <c r="X880" s="36">
        <v>0.0</v>
      </c>
      <c r="Y880" s="36">
        <v>0.0</v>
      </c>
    </row>
    <row r="881">
      <c r="A881" s="32" t="s">
        <v>4060</v>
      </c>
      <c r="B881" s="32" t="s">
        <v>4060</v>
      </c>
      <c r="C881" s="32" t="s">
        <v>4061</v>
      </c>
      <c r="D881" s="32" t="s">
        <v>4062</v>
      </c>
      <c r="E881" s="32" t="s">
        <v>5102</v>
      </c>
      <c r="F881" s="32" t="e">
        <v>#N/A</v>
      </c>
      <c r="G881" s="38"/>
      <c r="H881" s="32">
        <v>0.0</v>
      </c>
      <c r="I881" s="39"/>
      <c r="J881" s="32" t="s">
        <v>4063</v>
      </c>
      <c r="K881" s="33" t="s">
        <v>4064</v>
      </c>
      <c r="L881" s="32" t="e">
        <v>#N/A</v>
      </c>
      <c r="M881" s="32" t="e">
        <v>#N/A</v>
      </c>
      <c r="N881" s="32" t="s">
        <v>5118</v>
      </c>
      <c r="O881" s="32" t="s">
        <v>52</v>
      </c>
      <c r="P881" s="32">
        <v>13199.0</v>
      </c>
      <c r="Q881" s="34">
        <v>11879.0</v>
      </c>
      <c r="R881" s="40">
        <v>12699.0</v>
      </c>
      <c r="S881" s="35">
        <v>11615.34</v>
      </c>
      <c r="T881" s="36">
        <v>0.0</v>
      </c>
      <c r="U881" s="36">
        <v>0.0</v>
      </c>
      <c r="V881" s="36">
        <v>0.0</v>
      </c>
      <c r="W881" s="36">
        <v>0.0</v>
      </c>
      <c r="X881" s="36">
        <v>0.0</v>
      </c>
      <c r="Y881" s="36">
        <v>0.0</v>
      </c>
    </row>
    <row r="882">
      <c r="A882" s="32" t="s">
        <v>4273</v>
      </c>
      <c r="B882" s="32" t="s">
        <v>4273</v>
      </c>
      <c r="C882" s="32" t="s">
        <v>4274</v>
      </c>
      <c r="D882" s="32" t="s">
        <v>4275</v>
      </c>
      <c r="E882" s="32" t="s">
        <v>5102</v>
      </c>
      <c r="F882" s="32" t="e">
        <v>#N/A</v>
      </c>
      <c r="G882" s="38"/>
      <c r="H882" s="32">
        <v>0.0</v>
      </c>
      <c r="I882" s="39"/>
      <c r="J882" s="32" t="s">
        <v>4276</v>
      </c>
      <c r="K882" s="33" t="s">
        <v>4277</v>
      </c>
      <c r="L882" s="32" t="e">
        <v>#N/A</v>
      </c>
      <c r="M882" s="32" t="s">
        <v>4278</v>
      </c>
      <c r="N882" s="32" t="s">
        <v>5118</v>
      </c>
      <c r="O882" s="32" t="s">
        <v>52</v>
      </c>
      <c r="P882" s="32">
        <v>11299.0</v>
      </c>
      <c r="Q882" s="34">
        <v>10169.0</v>
      </c>
      <c r="R882" s="40">
        <v>10899.0</v>
      </c>
      <c r="S882" s="35">
        <v>9965.34</v>
      </c>
      <c r="T882" s="36">
        <v>0.0</v>
      </c>
      <c r="U882" s="36">
        <v>0.0</v>
      </c>
      <c r="V882" s="36">
        <v>0.0</v>
      </c>
      <c r="W882" s="36">
        <v>0.0</v>
      </c>
      <c r="X882" s="36">
        <v>0.0</v>
      </c>
      <c r="Y882" s="36">
        <v>0.0</v>
      </c>
    </row>
    <row r="883">
      <c r="A883" s="32" t="s">
        <v>4097</v>
      </c>
      <c r="B883" s="32" t="s">
        <v>4097</v>
      </c>
      <c r="C883" s="32" t="s">
        <v>4098</v>
      </c>
      <c r="D883" s="32" t="s">
        <v>4099</v>
      </c>
      <c r="E883" s="32" t="s">
        <v>5102</v>
      </c>
      <c r="F883" s="32" t="e">
        <v>#N/A</v>
      </c>
      <c r="G883" s="38"/>
      <c r="H883" s="32">
        <v>0.0</v>
      </c>
      <c r="I883" s="39"/>
      <c r="J883" s="32" t="s">
        <v>4100</v>
      </c>
      <c r="K883" s="33" t="s">
        <v>4101</v>
      </c>
      <c r="L883" s="32" t="e">
        <v>#N/A</v>
      </c>
      <c r="M883" s="32" t="s">
        <v>4102</v>
      </c>
      <c r="N883" s="32" t="s">
        <v>5118</v>
      </c>
      <c r="O883" s="32" t="s">
        <v>52</v>
      </c>
      <c r="P883" s="32">
        <v>12299.0</v>
      </c>
      <c r="Q883" s="34">
        <v>11069.0</v>
      </c>
      <c r="R883" s="40">
        <v>11799.0</v>
      </c>
      <c r="S883" s="35">
        <v>10823.34</v>
      </c>
      <c r="T883" s="36">
        <v>0.0</v>
      </c>
      <c r="U883" s="36">
        <v>0.0</v>
      </c>
      <c r="V883" s="36">
        <v>0.0</v>
      </c>
      <c r="W883" s="36">
        <v>0.0</v>
      </c>
      <c r="X883" s="36">
        <v>0.0</v>
      </c>
      <c r="Y883" s="36">
        <v>0.0</v>
      </c>
    </row>
    <row r="884">
      <c r="A884" s="32" t="s">
        <v>4076</v>
      </c>
      <c r="B884" s="32" t="s">
        <v>4076</v>
      </c>
      <c r="C884" s="32" t="s">
        <v>4077</v>
      </c>
      <c r="D884" s="32" t="s">
        <v>4078</v>
      </c>
      <c r="E884" s="32" t="s">
        <v>5102</v>
      </c>
      <c r="F884" s="32" t="e">
        <v>#N/A</v>
      </c>
      <c r="G884" s="38"/>
      <c r="H884" s="32">
        <v>0.0</v>
      </c>
      <c r="I884" s="39"/>
      <c r="J884" s="32" t="s">
        <v>4079</v>
      </c>
      <c r="K884" s="33" t="s">
        <v>4080</v>
      </c>
      <c r="L884" s="32" t="e">
        <v>#N/A</v>
      </c>
      <c r="M884" s="32" t="s">
        <v>4081</v>
      </c>
      <c r="N884" s="32" t="s">
        <v>5118</v>
      </c>
      <c r="O884" s="32" t="s">
        <v>52</v>
      </c>
      <c r="P884" s="32">
        <v>14399.0</v>
      </c>
      <c r="Q884" s="34">
        <v>12959.0</v>
      </c>
      <c r="R884" s="40">
        <v>13799.0</v>
      </c>
      <c r="S884" s="35">
        <v>12671.34</v>
      </c>
      <c r="T884" s="36">
        <v>0.0</v>
      </c>
      <c r="U884" s="36">
        <v>0.0</v>
      </c>
      <c r="V884" s="36">
        <v>0.0</v>
      </c>
      <c r="W884" s="36">
        <v>0.0</v>
      </c>
      <c r="X884" s="36">
        <v>0.0</v>
      </c>
      <c r="Y884" s="36">
        <v>0.0</v>
      </c>
    </row>
    <row r="885">
      <c r="A885" s="32" t="s">
        <v>4262</v>
      </c>
      <c r="B885" s="32" t="s">
        <v>4262</v>
      </c>
      <c r="C885" s="32" t="s">
        <v>4263</v>
      </c>
      <c r="D885" s="32" t="s">
        <v>4264</v>
      </c>
      <c r="E885" s="32" t="s">
        <v>5102</v>
      </c>
      <c r="F885" s="32" t="e">
        <v>#N/A</v>
      </c>
      <c r="G885" s="38"/>
      <c r="H885" s="32">
        <v>0.0</v>
      </c>
      <c r="I885" s="39"/>
      <c r="J885" s="32" t="s">
        <v>4265</v>
      </c>
      <c r="K885" s="33" t="s">
        <v>4266</v>
      </c>
      <c r="L885" s="32" t="e">
        <v>#N/A</v>
      </c>
      <c r="M885" s="32" t="e">
        <v>#N/A</v>
      </c>
      <c r="N885" s="32" t="s">
        <v>5118</v>
      </c>
      <c r="O885" s="32" t="s">
        <v>52</v>
      </c>
      <c r="P885" s="32">
        <v>10299.0</v>
      </c>
      <c r="Q885" s="34">
        <v>9269.0</v>
      </c>
      <c r="R885" s="40">
        <v>9899.0</v>
      </c>
      <c r="S885" s="35">
        <v>9041.34</v>
      </c>
      <c r="T885" s="36">
        <v>0.0</v>
      </c>
      <c r="U885" s="36">
        <v>0.0</v>
      </c>
      <c r="V885" s="36">
        <v>0.0</v>
      </c>
      <c r="W885" s="36">
        <v>0.0</v>
      </c>
      <c r="X885" s="36">
        <v>0.0</v>
      </c>
      <c r="Y885" s="36">
        <v>0.0</v>
      </c>
    </row>
    <row r="886">
      <c r="A886" s="32" t="s">
        <v>4050</v>
      </c>
      <c r="B886" s="32" t="s">
        <v>4050</v>
      </c>
      <c r="C886" s="32" t="s">
        <v>4051</v>
      </c>
      <c r="D886" s="32" t="s">
        <v>4052</v>
      </c>
      <c r="E886" s="32" t="s">
        <v>5102</v>
      </c>
      <c r="F886" s="32" t="e">
        <v>#N/A</v>
      </c>
      <c r="G886" s="38"/>
      <c r="H886" s="32">
        <v>0.0</v>
      </c>
      <c r="I886" s="39"/>
      <c r="J886" s="32" t="s">
        <v>4053</v>
      </c>
      <c r="K886" s="33" t="s">
        <v>4054</v>
      </c>
      <c r="L886" s="32" t="e">
        <v>#N/A</v>
      </c>
      <c r="M886" s="32" t="e">
        <v>#N/A</v>
      </c>
      <c r="N886" s="32" t="s">
        <v>5118</v>
      </c>
      <c r="O886" s="32" t="s">
        <v>52</v>
      </c>
      <c r="P886" s="32">
        <v>11299.0</v>
      </c>
      <c r="Q886" s="34">
        <v>10169.0</v>
      </c>
      <c r="R886" s="40">
        <v>10899.0</v>
      </c>
      <c r="S886" s="35">
        <v>9965.34</v>
      </c>
      <c r="T886" s="36">
        <v>0.0</v>
      </c>
      <c r="U886" s="36">
        <v>0.0</v>
      </c>
      <c r="V886" s="36">
        <v>0.0</v>
      </c>
      <c r="W886" s="36">
        <v>0.0</v>
      </c>
      <c r="X886" s="36">
        <v>0.0</v>
      </c>
      <c r="Y886" s="36">
        <v>0.0</v>
      </c>
    </row>
    <row r="887">
      <c r="A887" s="32" t="s">
        <v>4065</v>
      </c>
      <c r="B887" s="32" t="s">
        <v>4065</v>
      </c>
      <c r="C887" s="32" t="s">
        <v>4066</v>
      </c>
      <c r="D887" s="32" t="s">
        <v>4067</v>
      </c>
      <c r="E887" s="32" t="s">
        <v>5102</v>
      </c>
      <c r="F887" s="32" t="e">
        <v>#N/A</v>
      </c>
      <c r="G887" s="38"/>
      <c r="H887" s="32">
        <v>0.0</v>
      </c>
      <c r="I887" s="39"/>
      <c r="J887" s="32" t="s">
        <v>4068</v>
      </c>
      <c r="K887" s="33" t="s">
        <v>4069</v>
      </c>
      <c r="L887" s="32" t="e">
        <v>#N/A</v>
      </c>
      <c r="M887" s="32" t="e">
        <v>#N/A</v>
      </c>
      <c r="N887" s="32" t="s">
        <v>5118</v>
      </c>
      <c r="O887" s="32" t="s">
        <v>52</v>
      </c>
      <c r="P887" s="32">
        <v>13199.0</v>
      </c>
      <c r="Q887" s="34">
        <v>11879.0</v>
      </c>
      <c r="R887" s="40">
        <v>12699.0</v>
      </c>
      <c r="S887" s="35">
        <v>11615.34</v>
      </c>
      <c r="T887" s="36">
        <v>0.0</v>
      </c>
      <c r="U887" s="36">
        <v>0.0</v>
      </c>
      <c r="V887" s="36">
        <v>0.0</v>
      </c>
      <c r="W887" s="36">
        <v>0.0</v>
      </c>
      <c r="X887" s="36">
        <v>0.0</v>
      </c>
      <c r="Y887" s="36">
        <v>0.0</v>
      </c>
    </row>
    <row r="888">
      <c r="A888" s="32" t="s">
        <v>4279</v>
      </c>
      <c r="B888" s="32" t="s">
        <v>4279</v>
      </c>
      <c r="C888" s="32" t="s">
        <v>4280</v>
      </c>
      <c r="D888" s="32" t="s">
        <v>4281</v>
      </c>
      <c r="E888" s="32" t="s">
        <v>5102</v>
      </c>
      <c r="F888" s="32" t="e">
        <v>#N/A</v>
      </c>
      <c r="G888" s="38"/>
      <c r="H888" s="32">
        <v>0.0</v>
      </c>
      <c r="I888" s="39"/>
      <c r="J888" s="32" t="s">
        <v>4282</v>
      </c>
      <c r="K888" s="33" t="s">
        <v>4283</v>
      </c>
      <c r="L888" s="32" t="e">
        <v>#N/A</v>
      </c>
      <c r="M888" s="32" t="s">
        <v>4284</v>
      </c>
      <c r="N888" s="32" t="s">
        <v>5118</v>
      </c>
      <c r="O888" s="32" t="s">
        <v>52</v>
      </c>
      <c r="P888" s="32">
        <v>11499.0</v>
      </c>
      <c r="Q888" s="34">
        <v>10349.0</v>
      </c>
      <c r="R888" s="40">
        <v>10999.0</v>
      </c>
      <c r="S888" s="35">
        <v>10097.34</v>
      </c>
      <c r="T888" s="36">
        <v>0.0</v>
      </c>
      <c r="U888" s="36">
        <v>0.0</v>
      </c>
      <c r="V888" s="36">
        <v>0.0</v>
      </c>
      <c r="W888" s="36">
        <v>0.0</v>
      </c>
      <c r="X888" s="36">
        <v>0.0</v>
      </c>
      <c r="Y888" s="36">
        <v>0.0</v>
      </c>
    </row>
    <row r="889">
      <c r="A889" s="32" t="s">
        <v>4103</v>
      </c>
      <c r="B889" s="32" t="s">
        <v>4103</v>
      </c>
      <c r="C889" s="32" t="s">
        <v>4104</v>
      </c>
      <c r="D889" s="32" t="s">
        <v>4105</v>
      </c>
      <c r="E889" s="32" t="s">
        <v>5102</v>
      </c>
      <c r="F889" s="32" t="e">
        <v>#N/A</v>
      </c>
      <c r="G889" s="38"/>
      <c r="H889" s="32">
        <v>0.0</v>
      </c>
      <c r="I889" s="39"/>
      <c r="J889" s="32" t="s">
        <v>4106</v>
      </c>
      <c r="K889" s="33" t="s">
        <v>4107</v>
      </c>
      <c r="L889" s="32" t="e">
        <v>#N/A</v>
      </c>
      <c r="M889" s="32" t="s">
        <v>4108</v>
      </c>
      <c r="N889" s="32" t="s">
        <v>5118</v>
      </c>
      <c r="O889" s="32" t="s">
        <v>52</v>
      </c>
      <c r="P889" s="32">
        <v>12499.0</v>
      </c>
      <c r="Q889" s="34">
        <v>11249.0</v>
      </c>
      <c r="R889" s="40">
        <v>11999.0</v>
      </c>
      <c r="S889" s="35">
        <v>11021.34</v>
      </c>
      <c r="T889" s="36">
        <v>0.0</v>
      </c>
      <c r="U889" s="36">
        <v>0.0</v>
      </c>
      <c r="V889" s="36">
        <v>0.0</v>
      </c>
      <c r="W889" s="36">
        <v>0.0</v>
      </c>
      <c r="X889" s="36">
        <v>0.0</v>
      </c>
      <c r="Y889" s="36">
        <v>0.0</v>
      </c>
    </row>
    <row r="890">
      <c r="A890" s="32" t="s">
        <v>4082</v>
      </c>
      <c r="B890" s="32" t="s">
        <v>4082</v>
      </c>
      <c r="C890" s="32" t="s">
        <v>4083</v>
      </c>
      <c r="D890" s="32" t="s">
        <v>4084</v>
      </c>
      <c r="E890" s="32" t="s">
        <v>5102</v>
      </c>
      <c r="F890" s="32" t="e">
        <v>#N/A</v>
      </c>
      <c r="G890" s="38"/>
      <c r="H890" s="32">
        <v>0.0</v>
      </c>
      <c r="I890" s="39"/>
      <c r="J890" s="32" t="s">
        <v>4085</v>
      </c>
      <c r="K890" s="33" t="s">
        <v>4086</v>
      </c>
      <c r="L890" s="32" t="e">
        <v>#N/A</v>
      </c>
      <c r="M890" s="32" t="e">
        <v>#N/A</v>
      </c>
      <c r="N890" s="32" t="s">
        <v>5118</v>
      </c>
      <c r="O890" s="32" t="s">
        <v>52</v>
      </c>
      <c r="P890" s="32">
        <v>14399.0</v>
      </c>
      <c r="Q890" s="34">
        <v>12959.0</v>
      </c>
      <c r="R890" s="40">
        <v>13799.0</v>
      </c>
      <c r="S890" s="35">
        <v>12671.34</v>
      </c>
      <c r="T890" s="36">
        <v>0.0</v>
      </c>
      <c r="U890" s="36">
        <v>0.0</v>
      </c>
      <c r="V890" s="36">
        <v>0.0</v>
      </c>
      <c r="W890" s="36">
        <v>0.0</v>
      </c>
      <c r="X890" s="36">
        <v>0.0</v>
      </c>
      <c r="Y890" s="36">
        <v>0.0</v>
      </c>
    </row>
    <row r="891">
      <c r="A891" s="32" t="s">
        <v>4285</v>
      </c>
      <c r="B891" s="32" t="s">
        <v>4285</v>
      </c>
      <c r="C891" s="32" t="s">
        <v>4286</v>
      </c>
      <c r="D891" s="32" t="s">
        <v>4287</v>
      </c>
      <c r="E891" s="32" t="s">
        <v>5102</v>
      </c>
      <c r="F891" s="32" t="e">
        <v>#N/A</v>
      </c>
      <c r="G891" s="38"/>
      <c r="H891" s="32">
        <v>0.0</v>
      </c>
      <c r="I891" s="39"/>
      <c r="J891" s="32" t="s">
        <v>4288</v>
      </c>
      <c r="K891" s="33" t="s">
        <v>4289</v>
      </c>
      <c r="L891" s="32" t="e">
        <v>#N/A</v>
      </c>
      <c r="M891" s="32" t="e">
        <v>#N/A</v>
      </c>
      <c r="N891" s="32" t="s">
        <v>5118</v>
      </c>
      <c r="O891" s="32" t="s">
        <v>52</v>
      </c>
      <c r="P891" s="32">
        <v>12799.0</v>
      </c>
      <c r="Q891" s="34">
        <v>11519.0</v>
      </c>
      <c r="R891" s="40">
        <v>12299.0</v>
      </c>
      <c r="S891" s="35">
        <v>11285.34</v>
      </c>
      <c r="T891" s="36">
        <v>0.0</v>
      </c>
      <c r="U891" s="36">
        <v>0.0</v>
      </c>
      <c r="V891" s="36">
        <v>0.0</v>
      </c>
      <c r="W891" s="36">
        <v>0.0</v>
      </c>
      <c r="X891" s="36">
        <v>0.0</v>
      </c>
      <c r="Y891" s="36">
        <v>0.0</v>
      </c>
    </row>
    <row r="892">
      <c r="A892" s="32" t="s">
        <v>4109</v>
      </c>
      <c r="B892" s="32" t="s">
        <v>4109</v>
      </c>
      <c r="C892" s="32" t="s">
        <v>4110</v>
      </c>
      <c r="D892" s="32" t="s">
        <v>4111</v>
      </c>
      <c r="E892" s="32" t="s">
        <v>5102</v>
      </c>
      <c r="F892" s="32" t="e">
        <v>#N/A</v>
      </c>
      <c r="G892" s="38"/>
      <c r="H892" s="32">
        <v>0.0</v>
      </c>
      <c r="I892" s="39"/>
      <c r="J892" s="32" t="s">
        <v>4112</v>
      </c>
      <c r="K892" s="33" t="s">
        <v>4113</v>
      </c>
      <c r="L892" s="32" t="e">
        <v>#N/A</v>
      </c>
      <c r="M892" s="32" t="e">
        <v>#N/A</v>
      </c>
      <c r="N892" s="32" t="s">
        <v>5118</v>
      </c>
      <c r="O892" s="32" t="s">
        <v>52</v>
      </c>
      <c r="P892" s="32">
        <v>15499.0</v>
      </c>
      <c r="Q892" s="34">
        <v>13949.0</v>
      </c>
      <c r="R892" s="40">
        <v>14899.0</v>
      </c>
      <c r="S892" s="35">
        <v>13661.34</v>
      </c>
      <c r="T892" s="36">
        <v>0.0</v>
      </c>
      <c r="U892" s="36">
        <v>0.0</v>
      </c>
      <c r="V892" s="36">
        <v>0.0</v>
      </c>
      <c r="W892" s="36">
        <v>0.0</v>
      </c>
      <c r="X892" s="36">
        <v>0.0</v>
      </c>
      <c r="Y892" s="36">
        <v>0.0</v>
      </c>
    </row>
    <row r="893">
      <c r="A893" s="32" t="s">
        <v>4087</v>
      </c>
      <c r="B893" s="32" t="s">
        <v>4087</v>
      </c>
      <c r="C893" s="32" t="s">
        <v>4088</v>
      </c>
      <c r="D893" s="32" t="s">
        <v>4089</v>
      </c>
      <c r="E893" s="32" t="s">
        <v>5102</v>
      </c>
      <c r="F893" s="32" t="e">
        <v>#N/A</v>
      </c>
      <c r="G893" s="38"/>
      <c r="H893" s="32">
        <v>0.0</v>
      </c>
      <c r="I893" s="39"/>
      <c r="J893" s="32" t="s">
        <v>4090</v>
      </c>
      <c r="K893" s="33" t="s">
        <v>4091</v>
      </c>
      <c r="L893" s="32" t="e">
        <v>#N/A</v>
      </c>
      <c r="M893" s="32" t="e">
        <v>#N/A</v>
      </c>
      <c r="N893" s="32" t="s">
        <v>5118</v>
      </c>
      <c r="O893" s="32" t="s">
        <v>52</v>
      </c>
      <c r="P893" s="32">
        <v>18199.0</v>
      </c>
      <c r="Q893" s="34">
        <v>16379.0</v>
      </c>
      <c r="R893" s="40">
        <v>17499.0</v>
      </c>
      <c r="S893" s="35">
        <v>16037.34</v>
      </c>
      <c r="T893" s="36">
        <v>0.0</v>
      </c>
      <c r="U893" s="36">
        <v>0.0</v>
      </c>
      <c r="V893" s="36">
        <v>0.0</v>
      </c>
      <c r="W893" s="36">
        <v>0.0</v>
      </c>
      <c r="X893" s="36">
        <v>0.0</v>
      </c>
      <c r="Y893" s="36">
        <v>0.0</v>
      </c>
    </row>
    <row r="894">
      <c r="A894" s="32" t="s">
        <v>4330</v>
      </c>
      <c r="B894" s="32" t="s">
        <v>4330</v>
      </c>
      <c r="C894" s="32" t="s">
        <v>4331</v>
      </c>
      <c r="D894" s="32" t="s">
        <v>4332</v>
      </c>
      <c r="E894" s="32" t="s">
        <v>5102</v>
      </c>
      <c r="F894" s="32" t="e">
        <v>#N/A</v>
      </c>
      <c r="G894" s="38"/>
      <c r="H894" s="32">
        <v>0.0</v>
      </c>
      <c r="I894" s="39"/>
      <c r="J894" s="32" t="s">
        <v>4333</v>
      </c>
      <c r="K894" s="33" t="s">
        <v>4334</v>
      </c>
      <c r="L894" s="32" t="e">
        <v>#N/A</v>
      </c>
      <c r="M894" s="32" t="s">
        <v>4335</v>
      </c>
      <c r="N894" s="32" t="s">
        <v>5118</v>
      </c>
      <c r="O894" s="32" t="s">
        <v>52</v>
      </c>
      <c r="P894" s="32">
        <v>14399.0</v>
      </c>
      <c r="Q894" s="34">
        <v>12959.0</v>
      </c>
      <c r="R894" s="40">
        <v>13799.0</v>
      </c>
      <c r="S894" s="35">
        <v>12671.34</v>
      </c>
      <c r="T894" s="36">
        <v>0.0</v>
      </c>
      <c r="U894" s="36">
        <v>0.0</v>
      </c>
      <c r="V894" s="36">
        <v>0.0</v>
      </c>
      <c r="W894" s="36">
        <v>0.0</v>
      </c>
      <c r="X894" s="36">
        <v>0.0</v>
      </c>
      <c r="Y894" s="36">
        <v>0.0</v>
      </c>
    </row>
    <row r="895">
      <c r="A895" s="32" t="s">
        <v>4201</v>
      </c>
      <c r="B895" s="32" t="s">
        <v>4201</v>
      </c>
      <c r="C895" s="32" t="s">
        <v>4202</v>
      </c>
      <c r="D895" s="32" t="s">
        <v>4203</v>
      </c>
      <c r="E895" s="32" t="s">
        <v>5102</v>
      </c>
      <c r="F895" s="32" t="e">
        <v>#N/A</v>
      </c>
      <c r="G895" s="38"/>
      <c r="H895" s="32">
        <v>0.0</v>
      </c>
      <c r="I895" s="39"/>
      <c r="J895" s="32" t="s">
        <v>4204</v>
      </c>
      <c r="K895" s="33" t="s">
        <v>4205</v>
      </c>
      <c r="L895" s="32" t="e">
        <v>#N/A</v>
      </c>
      <c r="M895" s="32" t="s">
        <v>4206</v>
      </c>
      <c r="N895" s="32" t="s">
        <v>5118</v>
      </c>
      <c r="O895" s="32" t="s">
        <v>52</v>
      </c>
      <c r="P895" s="32">
        <v>17499.0</v>
      </c>
      <c r="Q895" s="34">
        <v>15749.0</v>
      </c>
      <c r="R895" s="40">
        <v>16799.0</v>
      </c>
      <c r="S895" s="35">
        <v>15377.34</v>
      </c>
      <c r="T895" s="36">
        <v>0.0</v>
      </c>
      <c r="U895" s="36">
        <v>0.0</v>
      </c>
      <c r="V895" s="36">
        <v>0.0</v>
      </c>
      <c r="W895" s="36">
        <v>0.0</v>
      </c>
      <c r="X895" s="36">
        <v>0.0</v>
      </c>
      <c r="Y895" s="36">
        <v>0.0</v>
      </c>
    </row>
    <row r="896">
      <c r="A896" s="32" t="s">
        <v>4865</v>
      </c>
      <c r="B896" s="32" t="s">
        <v>4865</v>
      </c>
      <c r="C896" s="32" t="s">
        <v>4866</v>
      </c>
      <c r="D896" s="32" t="s">
        <v>4867</v>
      </c>
      <c r="E896" s="32" t="s">
        <v>5102</v>
      </c>
      <c r="F896" s="32" t="e">
        <v>#N/A</v>
      </c>
      <c r="G896" s="38"/>
      <c r="H896" s="38"/>
      <c r="I896" s="38"/>
      <c r="J896" s="32" t="s">
        <v>4868</v>
      </c>
      <c r="K896" s="38"/>
      <c r="L896" s="38"/>
      <c r="M896" s="38"/>
      <c r="N896" s="32" t="s">
        <v>5118</v>
      </c>
      <c r="O896" s="32" t="s">
        <v>52</v>
      </c>
      <c r="P896" s="48">
        <v>21699.0</v>
      </c>
      <c r="Q896" s="44">
        <v>14669.0</v>
      </c>
      <c r="R896" s="40">
        <v>15599.0</v>
      </c>
      <c r="S896" s="35">
        <v>14321.34</v>
      </c>
      <c r="T896" s="36">
        <v>0.0</v>
      </c>
      <c r="U896" s="36">
        <v>0.0</v>
      </c>
      <c r="V896" s="36">
        <v>0.0</v>
      </c>
      <c r="W896" s="36">
        <v>0.0</v>
      </c>
      <c r="X896" s="36">
        <v>0.0</v>
      </c>
      <c r="Y896" s="36">
        <v>0.0</v>
      </c>
    </row>
    <row r="897">
      <c r="A897" s="32" t="s">
        <v>4869</v>
      </c>
      <c r="B897" s="32" t="s">
        <v>4869</v>
      </c>
      <c r="C897" s="32" t="s">
        <v>4870</v>
      </c>
      <c r="D897" s="32" t="s">
        <v>4871</v>
      </c>
      <c r="E897" s="32" t="s">
        <v>5102</v>
      </c>
      <c r="F897" s="32" t="e">
        <v>#N/A</v>
      </c>
      <c r="G897" s="38"/>
      <c r="H897" s="38"/>
      <c r="I897" s="38"/>
      <c r="J897" s="32" t="s">
        <v>4872</v>
      </c>
      <c r="K897" s="38"/>
      <c r="L897" s="38"/>
      <c r="M897" s="38"/>
      <c r="N897" s="32" t="s">
        <v>5118</v>
      </c>
      <c r="O897" s="32" t="s">
        <v>52</v>
      </c>
      <c r="P897" s="48">
        <v>25099.0</v>
      </c>
      <c r="Q897" s="44">
        <v>16919.0</v>
      </c>
      <c r="R897" s="40">
        <v>18099.0</v>
      </c>
      <c r="S897" s="35">
        <v>16565.34</v>
      </c>
      <c r="T897" s="36">
        <v>0.0</v>
      </c>
      <c r="U897" s="36">
        <v>0.0</v>
      </c>
      <c r="V897" s="36">
        <v>0.0</v>
      </c>
      <c r="W897" s="36">
        <v>0.0</v>
      </c>
      <c r="X897" s="36">
        <v>0.0</v>
      </c>
      <c r="Y897" s="36">
        <v>0.0</v>
      </c>
    </row>
    <row r="898">
      <c r="A898" s="32" t="s">
        <v>4873</v>
      </c>
      <c r="B898" s="32" t="s">
        <v>4873</v>
      </c>
      <c r="C898" s="32" t="s">
        <v>4874</v>
      </c>
      <c r="D898" s="32" t="s">
        <v>4875</v>
      </c>
      <c r="E898" s="32" t="s">
        <v>5102</v>
      </c>
      <c r="F898" s="32" t="e">
        <v>#N/A</v>
      </c>
      <c r="G898" s="38"/>
      <c r="H898" s="38"/>
      <c r="I898" s="38"/>
      <c r="J898" s="32" t="s">
        <v>4876</v>
      </c>
      <c r="K898" s="38"/>
      <c r="L898" s="38"/>
      <c r="M898" s="38"/>
      <c r="N898" s="32" t="s">
        <v>5118</v>
      </c>
      <c r="O898" s="32" t="s">
        <v>52</v>
      </c>
      <c r="P898" s="48">
        <v>28399.0</v>
      </c>
      <c r="Q898" s="44">
        <v>19169.0</v>
      </c>
      <c r="R898" s="40">
        <v>20399.0</v>
      </c>
      <c r="S898" s="35">
        <v>18743.34</v>
      </c>
      <c r="T898" s="36">
        <v>0.0</v>
      </c>
      <c r="U898" s="36">
        <v>0.0</v>
      </c>
      <c r="V898" s="36">
        <v>0.0</v>
      </c>
      <c r="W898" s="36">
        <v>0.0</v>
      </c>
      <c r="X898" s="36">
        <v>0.0</v>
      </c>
      <c r="Y898" s="36">
        <v>0.0</v>
      </c>
    </row>
    <row r="899">
      <c r="A899" s="32" t="s">
        <v>4877</v>
      </c>
      <c r="B899" s="32" t="s">
        <v>4877</v>
      </c>
      <c r="C899" s="32" t="s">
        <v>4878</v>
      </c>
      <c r="D899" s="32" t="s">
        <v>4879</v>
      </c>
      <c r="E899" s="32" t="s">
        <v>5102</v>
      </c>
      <c r="F899" s="38"/>
      <c r="G899" s="38"/>
      <c r="H899" s="38"/>
      <c r="I899" s="38"/>
      <c r="J899" s="32" t="s">
        <v>4880</v>
      </c>
      <c r="K899" s="38"/>
      <c r="L899" s="38"/>
      <c r="M899" s="38"/>
      <c r="N899" s="32" t="s">
        <v>5118</v>
      </c>
      <c r="O899" s="32" t="s">
        <v>52</v>
      </c>
      <c r="P899" s="48">
        <v>21999.0</v>
      </c>
      <c r="Q899" s="44">
        <v>14849.0</v>
      </c>
      <c r="R899" s="40">
        <v>15799.0</v>
      </c>
      <c r="S899" s="35">
        <v>14519.34</v>
      </c>
      <c r="T899" s="36">
        <v>0.0</v>
      </c>
      <c r="U899" s="36">
        <v>0.0</v>
      </c>
      <c r="V899" s="36">
        <v>0.0</v>
      </c>
      <c r="W899" s="36">
        <v>0.0</v>
      </c>
      <c r="X899" s="36">
        <v>0.0</v>
      </c>
      <c r="Y899" s="36">
        <v>0.0</v>
      </c>
    </row>
    <row r="900">
      <c r="A900" s="32" t="s">
        <v>4881</v>
      </c>
      <c r="B900" s="32" t="s">
        <v>4881</v>
      </c>
      <c r="C900" s="32" t="s">
        <v>4878</v>
      </c>
      <c r="D900" s="32" t="s">
        <v>4882</v>
      </c>
      <c r="E900" s="32" t="s">
        <v>5102</v>
      </c>
      <c r="F900" s="49"/>
      <c r="G900" s="49"/>
      <c r="H900" s="38"/>
      <c r="I900" s="38"/>
      <c r="J900" s="32" t="s">
        <v>4883</v>
      </c>
      <c r="K900" s="38"/>
      <c r="L900" s="38"/>
      <c r="M900" s="38"/>
      <c r="N900" s="32" t="s">
        <v>5118</v>
      </c>
      <c r="O900" s="32" t="s">
        <v>52</v>
      </c>
      <c r="P900" s="48">
        <v>26699.0</v>
      </c>
      <c r="Q900" s="44">
        <v>17999.0</v>
      </c>
      <c r="R900" s="40">
        <v>19199.0</v>
      </c>
      <c r="S900" s="35">
        <v>17621.34</v>
      </c>
      <c r="T900" s="36">
        <v>0.0</v>
      </c>
      <c r="U900" s="36">
        <v>0.0</v>
      </c>
      <c r="V900" s="36">
        <v>0.0</v>
      </c>
      <c r="W900" s="36">
        <v>0.0</v>
      </c>
      <c r="X900" s="36">
        <v>0.0</v>
      </c>
      <c r="Y900" s="36">
        <v>0.0</v>
      </c>
    </row>
    <row r="901">
      <c r="A901" s="32" t="s">
        <v>4884</v>
      </c>
      <c r="B901" s="32" t="s">
        <v>4884</v>
      </c>
      <c r="C901" s="32" t="s">
        <v>4885</v>
      </c>
      <c r="D901" s="32" t="s">
        <v>4886</v>
      </c>
      <c r="E901" s="32" t="s">
        <v>5102</v>
      </c>
      <c r="F901" s="49"/>
      <c r="G901" s="49"/>
      <c r="H901" s="38"/>
      <c r="I901" s="38"/>
      <c r="J901" s="32" t="s">
        <v>4887</v>
      </c>
      <c r="K901" s="38"/>
      <c r="L901" s="38"/>
      <c r="M901" s="38"/>
      <c r="N901" s="32" t="s">
        <v>5118</v>
      </c>
      <c r="O901" s="32" t="s">
        <v>52</v>
      </c>
      <c r="P901" s="48">
        <v>29999.0</v>
      </c>
      <c r="Q901" s="44">
        <v>20249.0</v>
      </c>
      <c r="R901" s="40">
        <v>21599.0</v>
      </c>
      <c r="S901" s="35">
        <v>19799.34</v>
      </c>
      <c r="T901" s="36">
        <v>0.0</v>
      </c>
      <c r="U901" s="36">
        <v>0.0</v>
      </c>
      <c r="V901" s="36">
        <v>0.0</v>
      </c>
      <c r="W901" s="36">
        <v>0.0</v>
      </c>
      <c r="X901" s="36">
        <v>0.0</v>
      </c>
      <c r="Y901" s="36">
        <v>0.0</v>
      </c>
    </row>
    <row r="902">
      <c r="A902" s="32" t="s">
        <v>4348</v>
      </c>
      <c r="B902" s="32" t="s">
        <v>4348</v>
      </c>
      <c r="C902" s="32" t="s">
        <v>4349</v>
      </c>
      <c r="D902" s="32" t="s">
        <v>4350</v>
      </c>
      <c r="E902" s="32" t="s">
        <v>5102</v>
      </c>
      <c r="F902" s="32" t="e">
        <v>#N/A</v>
      </c>
      <c r="G902" s="38"/>
      <c r="H902" s="32">
        <v>0.0</v>
      </c>
      <c r="I902" s="39"/>
      <c r="J902" s="32" t="s">
        <v>4351</v>
      </c>
      <c r="K902" s="33" t="s">
        <v>4352</v>
      </c>
      <c r="L902" s="32" t="e">
        <v>#N/A</v>
      </c>
      <c r="M902" s="32" t="s">
        <v>4353</v>
      </c>
      <c r="N902" s="32" t="s">
        <v>5118</v>
      </c>
      <c r="O902" s="32" t="s">
        <v>52</v>
      </c>
      <c r="P902" s="32">
        <v>16899.0</v>
      </c>
      <c r="Q902" s="34">
        <v>15209.0</v>
      </c>
      <c r="R902" s="40">
        <v>16199.0</v>
      </c>
      <c r="S902" s="35">
        <v>14849.34</v>
      </c>
      <c r="T902" s="36">
        <v>0.0</v>
      </c>
      <c r="U902" s="36">
        <v>0.0</v>
      </c>
      <c r="V902" s="36">
        <v>0.0</v>
      </c>
      <c r="W902" s="36">
        <v>0.0</v>
      </c>
      <c r="X902" s="36">
        <v>0.0</v>
      </c>
      <c r="Y902" s="36">
        <v>0.0</v>
      </c>
    </row>
    <row r="903">
      <c r="A903" s="32" t="s">
        <v>4213</v>
      </c>
      <c r="B903" s="32" t="s">
        <v>4213</v>
      </c>
      <c r="C903" s="32" t="s">
        <v>4214</v>
      </c>
      <c r="D903" s="32" t="s">
        <v>4215</v>
      </c>
      <c r="E903" s="32" t="s">
        <v>5102</v>
      </c>
      <c r="F903" s="32" t="e">
        <v>#N/A</v>
      </c>
      <c r="G903" s="38"/>
      <c r="H903" s="32">
        <v>0.0</v>
      </c>
      <c r="I903" s="39"/>
      <c r="J903" s="32" t="s">
        <v>4216</v>
      </c>
      <c r="K903" s="33" t="s">
        <v>4217</v>
      </c>
      <c r="L903" s="32" t="e">
        <v>#N/A</v>
      </c>
      <c r="M903" s="32" t="s">
        <v>4218</v>
      </c>
      <c r="N903" s="32" t="s">
        <v>5118</v>
      </c>
      <c r="O903" s="32" t="s">
        <v>52</v>
      </c>
      <c r="P903" s="32">
        <v>19999.0</v>
      </c>
      <c r="Q903" s="34">
        <v>17999.0</v>
      </c>
      <c r="R903" s="40">
        <v>19199.0</v>
      </c>
      <c r="S903" s="35">
        <v>17621.34</v>
      </c>
      <c r="T903" s="36">
        <v>0.0</v>
      </c>
      <c r="U903" s="36">
        <v>0.0</v>
      </c>
      <c r="V903" s="36">
        <v>0.0</v>
      </c>
      <c r="W903" s="36">
        <v>0.0</v>
      </c>
      <c r="X903" s="36">
        <v>0.0</v>
      </c>
      <c r="Y903" s="36">
        <v>0.0</v>
      </c>
    </row>
    <row r="904">
      <c r="A904" s="32" t="s">
        <v>4241</v>
      </c>
      <c r="B904" s="32" t="s">
        <v>4241</v>
      </c>
      <c r="C904" s="32" t="s">
        <v>4242</v>
      </c>
      <c r="D904" s="32" t="s">
        <v>4243</v>
      </c>
      <c r="E904" s="32" t="s">
        <v>5102</v>
      </c>
      <c r="F904" s="32" t="e">
        <v>#N/A</v>
      </c>
      <c r="G904" s="38"/>
      <c r="H904" s="32">
        <v>0.0</v>
      </c>
      <c r="I904" s="39"/>
      <c r="J904" s="32" t="s">
        <v>4244</v>
      </c>
      <c r="K904" s="33" t="s">
        <v>4245</v>
      </c>
      <c r="L904" s="32" t="e">
        <v>#N/A</v>
      </c>
      <c r="M904" s="32" t="s">
        <v>4246</v>
      </c>
      <c r="N904" s="32" t="s">
        <v>5118</v>
      </c>
      <c r="O904" s="32" t="s">
        <v>52</v>
      </c>
      <c r="P904" s="32">
        <v>23199.0</v>
      </c>
      <c r="Q904" s="34">
        <v>20879.0</v>
      </c>
      <c r="R904" s="40">
        <v>22199.0</v>
      </c>
      <c r="S904" s="35">
        <v>20393.34</v>
      </c>
      <c r="T904" s="36">
        <v>0.0</v>
      </c>
      <c r="U904" s="36">
        <v>0.0</v>
      </c>
      <c r="V904" s="36">
        <v>0.0</v>
      </c>
      <c r="W904" s="36">
        <v>0.0</v>
      </c>
      <c r="X904" s="36">
        <v>0.0</v>
      </c>
      <c r="Y904" s="36">
        <v>0.0</v>
      </c>
    </row>
    <row r="905">
      <c r="A905" s="32" t="s">
        <v>4354</v>
      </c>
      <c r="B905" s="32" t="s">
        <v>4354</v>
      </c>
      <c r="C905" s="32" t="s">
        <v>4355</v>
      </c>
      <c r="D905" s="32" t="s">
        <v>4356</v>
      </c>
      <c r="E905" s="32" t="s">
        <v>5102</v>
      </c>
      <c r="F905" s="32" t="e">
        <v>#N/A</v>
      </c>
      <c r="G905" s="38"/>
      <c r="H905" s="32">
        <v>0.0</v>
      </c>
      <c r="I905" s="39"/>
      <c r="J905" s="32" t="s">
        <v>4357</v>
      </c>
      <c r="K905" s="33" t="s">
        <v>4358</v>
      </c>
      <c r="L905" s="32" t="e">
        <v>#N/A</v>
      </c>
      <c r="M905" s="32" t="e">
        <v>#N/A</v>
      </c>
      <c r="N905" s="32" t="s">
        <v>5118</v>
      </c>
      <c r="O905" s="32" t="s">
        <v>52</v>
      </c>
      <c r="P905" s="32">
        <v>17799.0</v>
      </c>
      <c r="Q905" s="34">
        <v>16019.0</v>
      </c>
      <c r="R905" s="40">
        <v>17099.0</v>
      </c>
      <c r="S905" s="35">
        <v>15641.34</v>
      </c>
      <c r="T905" s="36">
        <v>0.0</v>
      </c>
      <c r="U905" s="36">
        <v>0.0</v>
      </c>
      <c r="V905" s="36">
        <v>0.0</v>
      </c>
      <c r="W905" s="36">
        <v>0.0</v>
      </c>
      <c r="X905" s="36">
        <v>0.0</v>
      </c>
      <c r="Y905" s="36">
        <v>0.0</v>
      </c>
    </row>
    <row r="906">
      <c r="A906" s="32" t="s">
        <v>4219</v>
      </c>
      <c r="B906" s="32" t="s">
        <v>4219</v>
      </c>
      <c r="C906" s="32" t="s">
        <v>4220</v>
      </c>
      <c r="D906" s="32" t="s">
        <v>4221</v>
      </c>
      <c r="E906" s="32" t="s">
        <v>5102</v>
      </c>
      <c r="F906" s="32" t="e">
        <v>#N/A</v>
      </c>
      <c r="G906" s="38"/>
      <c r="H906" s="32">
        <v>0.0</v>
      </c>
      <c r="I906" s="39"/>
      <c r="J906" s="32" t="s">
        <v>4222</v>
      </c>
      <c r="K906" s="33" t="s">
        <v>4223</v>
      </c>
      <c r="L906" s="32" t="e">
        <v>#N/A</v>
      </c>
      <c r="M906" s="32" t="e">
        <v>#N/A</v>
      </c>
      <c r="N906" s="32" t="s">
        <v>5118</v>
      </c>
      <c r="O906" s="32" t="s">
        <v>52</v>
      </c>
      <c r="P906" s="32">
        <v>21299.0</v>
      </c>
      <c r="Q906" s="34">
        <v>19169.0</v>
      </c>
      <c r="R906" s="40">
        <v>20399.0</v>
      </c>
      <c r="S906" s="35">
        <v>18743.34</v>
      </c>
      <c r="T906" s="36">
        <v>0.0</v>
      </c>
      <c r="U906" s="36">
        <v>0.0</v>
      </c>
      <c r="V906" s="36">
        <v>0.0</v>
      </c>
      <c r="W906" s="36">
        <v>0.0</v>
      </c>
      <c r="X906" s="36">
        <v>0.0</v>
      </c>
      <c r="Y906" s="36">
        <v>0.0</v>
      </c>
    </row>
    <row r="907">
      <c r="A907" s="32" t="s">
        <v>4247</v>
      </c>
      <c r="B907" s="32" t="s">
        <v>4247</v>
      </c>
      <c r="C907" s="32" t="s">
        <v>4248</v>
      </c>
      <c r="D907" s="32" t="s">
        <v>4249</v>
      </c>
      <c r="E907" s="32" t="s">
        <v>5102</v>
      </c>
      <c r="F907" s="32" t="e">
        <v>#N/A</v>
      </c>
      <c r="G907" s="38"/>
      <c r="H907" s="32">
        <v>0.0</v>
      </c>
      <c r="I907" s="39"/>
      <c r="J907" s="32" t="s">
        <v>4250</v>
      </c>
      <c r="K907" s="33" t="s">
        <v>4251</v>
      </c>
      <c r="L907" s="32" t="e">
        <v>#N/A</v>
      </c>
      <c r="M907" s="32" t="e">
        <v>#N/A</v>
      </c>
      <c r="N907" s="32" t="s">
        <v>5118</v>
      </c>
      <c r="O907" s="32" t="s">
        <v>52</v>
      </c>
      <c r="P907" s="32">
        <v>24999.0</v>
      </c>
      <c r="Q907" s="34">
        <v>22499.0</v>
      </c>
      <c r="R907" s="40">
        <v>23999.0</v>
      </c>
      <c r="S907" s="35">
        <v>21977.34</v>
      </c>
      <c r="T907" s="36">
        <v>0.0</v>
      </c>
      <c r="U907" s="36">
        <v>0.0</v>
      </c>
      <c r="V907" s="36">
        <v>0.0</v>
      </c>
      <c r="W907" s="36">
        <v>0.0</v>
      </c>
      <c r="X907" s="36">
        <v>0.0</v>
      </c>
      <c r="Y907" s="36">
        <v>0.0</v>
      </c>
    </row>
    <row r="908">
      <c r="A908" s="32" t="s">
        <v>4308</v>
      </c>
      <c r="B908" s="32" t="s">
        <v>4308</v>
      </c>
      <c r="C908" s="32" t="s">
        <v>4309</v>
      </c>
      <c r="D908" s="32" t="s">
        <v>4310</v>
      </c>
      <c r="E908" s="32" t="s">
        <v>5102</v>
      </c>
      <c r="F908" s="32" t="e">
        <v>#N/A</v>
      </c>
      <c r="G908" s="38"/>
      <c r="H908" s="32">
        <v>0.0</v>
      </c>
      <c r="I908" s="39"/>
      <c r="J908" s="32" t="s">
        <v>4311</v>
      </c>
      <c r="K908" s="33" t="s">
        <v>4312</v>
      </c>
      <c r="L908" s="32" t="e">
        <v>#N/A</v>
      </c>
      <c r="M908" s="32" t="s">
        <v>4313</v>
      </c>
      <c r="N908" s="32" t="s">
        <v>5118</v>
      </c>
      <c r="O908" s="32" t="s">
        <v>52</v>
      </c>
      <c r="P908" s="32">
        <v>14899.0</v>
      </c>
      <c r="Q908" s="34">
        <v>13409.0</v>
      </c>
      <c r="R908" s="40">
        <v>14299.0</v>
      </c>
      <c r="S908" s="35">
        <v>13133.34</v>
      </c>
      <c r="T908" s="36">
        <v>0.0</v>
      </c>
      <c r="U908" s="36">
        <v>0.0</v>
      </c>
      <c r="V908" s="36">
        <v>0.0</v>
      </c>
      <c r="W908" s="36">
        <v>0.0</v>
      </c>
      <c r="X908" s="36">
        <v>0.0</v>
      </c>
      <c r="Y908" s="36">
        <v>0.0</v>
      </c>
    </row>
    <row r="909">
      <c r="A909" s="32" t="s">
        <v>4160</v>
      </c>
      <c r="B909" s="32" t="s">
        <v>4160</v>
      </c>
      <c r="C909" s="32" t="s">
        <v>4161</v>
      </c>
      <c r="D909" s="32" t="s">
        <v>4162</v>
      </c>
      <c r="E909" s="32" t="s">
        <v>5102</v>
      </c>
      <c r="F909" s="32" t="e">
        <v>#N/A</v>
      </c>
      <c r="G909" s="38"/>
      <c r="H909" s="32">
        <v>0.0</v>
      </c>
      <c r="I909" s="39"/>
      <c r="J909" s="32" t="s">
        <v>4163</v>
      </c>
      <c r="K909" s="33" t="s">
        <v>4164</v>
      </c>
      <c r="L909" s="32" t="e">
        <v>#N/A</v>
      </c>
      <c r="M909" s="32" t="s">
        <v>4165</v>
      </c>
      <c r="N909" s="32" t="s">
        <v>5118</v>
      </c>
      <c r="O909" s="32" t="s">
        <v>52</v>
      </c>
      <c r="P909" s="32">
        <v>17199.0</v>
      </c>
      <c r="Q909" s="34">
        <v>15479.0</v>
      </c>
      <c r="R909" s="40">
        <v>16499.0</v>
      </c>
      <c r="S909" s="35">
        <v>15113.34</v>
      </c>
      <c r="T909" s="36">
        <v>0.0</v>
      </c>
      <c r="U909" s="36">
        <v>0.0</v>
      </c>
      <c r="V909" s="36">
        <v>0.0</v>
      </c>
      <c r="W909" s="36">
        <v>0.0</v>
      </c>
      <c r="X909" s="36">
        <v>0.0</v>
      </c>
      <c r="Y909" s="36">
        <v>0.0</v>
      </c>
    </row>
    <row r="910">
      <c r="A910" s="32" t="s">
        <v>4178</v>
      </c>
      <c r="B910" s="32" t="s">
        <v>4178</v>
      </c>
      <c r="C910" s="32" t="s">
        <v>4179</v>
      </c>
      <c r="D910" s="32" t="s">
        <v>4180</v>
      </c>
      <c r="E910" s="32" t="s">
        <v>5102</v>
      </c>
      <c r="F910" s="32" t="e">
        <v>#N/A</v>
      </c>
      <c r="G910" s="38"/>
      <c r="H910" s="32">
        <v>0.0</v>
      </c>
      <c r="I910" s="39"/>
      <c r="J910" s="32" t="s">
        <v>4181</v>
      </c>
      <c r="K910" s="33" t="s">
        <v>4182</v>
      </c>
      <c r="L910" s="32" t="e">
        <v>#N/A</v>
      </c>
      <c r="M910" s="32" t="s">
        <v>4183</v>
      </c>
      <c r="N910" s="32" t="s">
        <v>5118</v>
      </c>
      <c r="O910" s="32" t="s">
        <v>52</v>
      </c>
      <c r="P910" s="32">
        <v>19399.0</v>
      </c>
      <c r="Q910" s="34">
        <v>17459.0</v>
      </c>
      <c r="R910" s="40">
        <v>18599.0</v>
      </c>
      <c r="S910" s="35">
        <v>17093.34</v>
      </c>
      <c r="T910" s="36">
        <v>0.0</v>
      </c>
      <c r="U910" s="36">
        <v>0.0</v>
      </c>
      <c r="V910" s="36">
        <v>0.0</v>
      </c>
      <c r="W910" s="36">
        <v>0.0</v>
      </c>
      <c r="X910" s="36">
        <v>0.0</v>
      </c>
      <c r="Y910" s="36">
        <v>0.0</v>
      </c>
    </row>
    <row r="911">
      <c r="A911" s="32" t="s">
        <v>4314</v>
      </c>
      <c r="B911" s="32" t="s">
        <v>4314</v>
      </c>
      <c r="C911" s="32" t="s">
        <v>4315</v>
      </c>
      <c r="D911" s="32" t="s">
        <v>4316</v>
      </c>
      <c r="E911" s="32" t="s">
        <v>5102</v>
      </c>
      <c r="F911" s="32" t="e">
        <v>#N/A</v>
      </c>
      <c r="G911" s="38"/>
      <c r="H911" s="32">
        <v>0.0</v>
      </c>
      <c r="I911" s="39"/>
      <c r="J911" s="32" t="s">
        <v>4317</v>
      </c>
      <c r="K911" s="33" t="s">
        <v>4318</v>
      </c>
      <c r="L911" s="32" t="e">
        <v>#N/A</v>
      </c>
      <c r="M911" s="32" t="s">
        <v>4319</v>
      </c>
      <c r="N911" s="32" t="s">
        <v>5118</v>
      </c>
      <c r="O911" s="32" t="s">
        <v>52</v>
      </c>
      <c r="P911" s="32">
        <v>15299.0</v>
      </c>
      <c r="Q911" s="34">
        <v>13769.0</v>
      </c>
      <c r="R911" s="40">
        <v>14699.0</v>
      </c>
      <c r="S911" s="35">
        <v>13463.34</v>
      </c>
      <c r="T911" s="36">
        <v>0.0</v>
      </c>
      <c r="U911" s="36">
        <v>0.0</v>
      </c>
      <c r="V911" s="36">
        <v>0.0</v>
      </c>
      <c r="W911" s="36">
        <v>0.0</v>
      </c>
      <c r="X911" s="36">
        <v>0.0</v>
      </c>
      <c r="Y911" s="36">
        <v>0.0</v>
      </c>
    </row>
    <row r="912">
      <c r="A912" s="32" t="s">
        <v>4166</v>
      </c>
      <c r="B912" s="32" t="s">
        <v>4166</v>
      </c>
      <c r="C912" s="32" t="s">
        <v>4167</v>
      </c>
      <c r="D912" s="32" t="s">
        <v>4168</v>
      </c>
      <c r="E912" s="32" t="s">
        <v>5102</v>
      </c>
      <c r="F912" s="32" t="e">
        <v>#N/A</v>
      </c>
      <c r="G912" s="38"/>
      <c r="H912" s="32">
        <v>0.0</v>
      </c>
      <c r="I912" s="39"/>
      <c r="J912" s="32" t="s">
        <v>4169</v>
      </c>
      <c r="K912" s="33" t="s">
        <v>4170</v>
      </c>
      <c r="L912" s="32" t="e">
        <v>#N/A</v>
      </c>
      <c r="M912" s="32" t="s">
        <v>4171</v>
      </c>
      <c r="N912" s="32" t="s">
        <v>5118</v>
      </c>
      <c r="O912" s="32" t="s">
        <v>52</v>
      </c>
      <c r="P912" s="32">
        <v>17499.0</v>
      </c>
      <c r="Q912" s="34">
        <v>15749.0</v>
      </c>
      <c r="R912" s="40">
        <v>16799.0</v>
      </c>
      <c r="S912" s="35">
        <v>15377.34</v>
      </c>
      <c r="T912" s="36">
        <v>0.0</v>
      </c>
      <c r="U912" s="36">
        <v>0.0</v>
      </c>
      <c r="V912" s="36">
        <v>0.0</v>
      </c>
      <c r="W912" s="36">
        <v>0.0</v>
      </c>
      <c r="X912" s="36">
        <v>0.0</v>
      </c>
      <c r="Y912" s="36">
        <v>0.0</v>
      </c>
    </row>
    <row r="913">
      <c r="A913" s="32" t="s">
        <v>4184</v>
      </c>
      <c r="B913" s="32" t="s">
        <v>4184</v>
      </c>
      <c r="C913" s="32" t="s">
        <v>4185</v>
      </c>
      <c r="D913" s="32" t="s">
        <v>4186</v>
      </c>
      <c r="E913" s="32" t="s">
        <v>5102</v>
      </c>
      <c r="F913" s="32" t="e">
        <v>#N/A</v>
      </c>
      <c r="G913" s="38"/>
      <c r="H913" s="32">
        <v>0.0</v>
      </c>
      <c r="I913" s="39"/>
      <c r="J913" s="32" t="s">
        <v>4187</v>
      </c>
      <c r="K913" s="33" t="s">
        <v>4188</v>
      </c>
      <c r="L913" s="32" t="e">
        <v>#N/A</v>
      </c>
      <c r="M913" s="32" t="s">
        <v>4189</v>
      </c>
      <c r="N913" s="32" t="s">
        <v>5118</v>
      </c>
      <c r="O913" s="32" t="s">
        <v>52</v>
      </c>
      <c r="P913" s="32">
        <v>19999.0</v>
      </c>
      <c r="Q913" s="34">
        <v>17999.0</v>
      </c>
      <c r="R913" s="40">
        <v>19199.0</v>
      </c>
      <c r="S913" s="35">
        <v>17621.34</v>
      </c>
      <c r="T913" s="36">
        <v>0.0</v>
      </c>
      <c r="U913" s="36">
        <v>0.0</v>
      </c>
      <c r="V913" s="36">
        <v>0.0</v>
      </c>
      <c r="W913" s="36">
        <v>0.0</v>
      </c>
      <c r="X913" s="36">
        <v>0.0</v>
      </c>
      <c r="Y913" s="36">
        <v>0.0</v>
      </c>
    </row>
    <row r="914">
      <c r="A914" s="32" t="s">
        <v>4126</v>
      </c>
      <c r="B914" s="32" t="s">
        <v>4126</v>
      </c>
      <c r="C914" s="32" t="s">
        <v>4127</v>
      </c>
      <c r="D914" s="32" t="s">
        <v>4128</v>
      </c>
      <c r="E914" s="32" t="s">
        <v>5102</v>
      </c>
      <c r="F914" s="32" t="e">
        <v>#N/A</v>
      </c>
      <c r="G914" s="38"/>
      <c r="H914" s="32">
        <v>0.0</v>
      </c>
      <c r="I914" s="39"/>
      <c r="J914" s="32" t="s">
        <v>4129</v>
      </c>
      <c r="K914" s="33" t="s">
        <v>4130</v>
      </c>
      <c r="L914" s="32" t="e">
        <v>#N/A</v>
      </c>
      <c r="M914" s="32" t="s">
        <v>4131</v>
      </c>
      <c r="N914" s="32" t="s">
        <v>5118</v>
      </c>
      <c r="O914" s="32" t="s">
        <v>52</v>
      </c>
      <c r="P914" s="32">
        <v>15399.0</v>
      </c>
      <c r="Q914" s="34">
        <v>13859.0</v>
      </c>
      <c r="R914" s="40">
        <v>14799.0</v>
      </c>
      <c r="S914" s="35">
        <v>13529.34</v>
      </c>
      <c r="T914" s="36">
        <v>0.0</v>
      </c>
      <c r="U914" s="36">
        <v>0.0</v>
      </c>
      <c r="V914" s="36">
        <v>0.0</v>
      </c>
      <c r="W914" s="36">
        <v>0.0</v>
      </c>
      <c r="X914" s="36">
        <v>0.0</v>
      </c>
      <c r="Y914" s="36">
        <v>0.0</v>
      </c>
    </row>
    <row r="915">
      <c r="A915" s="32" t="s">
        <v>4320</v>
      </c>
      <c r="B915" s="32" t="s">
        <v>4320</v>
      </c>
      <c r="C915" s="32" t="s">
        <v>4321</v>
      </c>
      <c r="D915" s="32" t="s">
        <v>4322</v>
      </c>
      <c r="E915" s="32" t="s">
        <v>5102</v>
      </c>
      <c r="F915" s="32" t="e">
        <v>#N/A</v>
      </c>
      <c r="G915" s="38"/>
      <c r="H915" s="32">
        <v>0.0</v>
      </c>
      <c r="I915" s="39"/>
      <c r="J915" s="32" t="s">
        <v>4323</v>
      </c>
      <c r="K915" s="33" t="s">
        <v>4324</v>
      </c>
      <c r="L915" s="32" t="e">
        <v>#N/A</v>
      </c>
      <c r="M915" s="32" t="e">
        <v>#N/A</v>
      </c>
      <c r="N915" s="32" t="s">
        <v>5118</v>
      </c>
      <c r="O915" s="32" t="s">
        <v>52</v>
      </c>
      <c r="P915" s="32">
        <v>15499.0</v>
      </c>
      <c r="Q915" s="34">
        <v>13949.0</v>
      </c>
      <c r="R915" s="40">
        <v>14899.0</v>
      </c>
      <c r="S915" s="35">
        <v>13661.34</v>
      </c>
      <c r="T915" s="36">
        <v>0.0</v>
      </c>
      <c r="U915" s="36">
        <v>0.0</v>
      </c>
      <c r="V915" s="36">
        <v>0.0</v>
      </c>
      <c r="W915" s="36">
        <v>0.0</v>
      </c>
      <c r="X915" s="36">
        <v>0.0</v>
      </c>
      <c r="Y915" s="36">
        <v>0.0</v>
      </c>
    </row>
    <row r="916">
      <c r="A916" s="32" t="s">
        <v>4172</v>
      </c>
      <c r="B916" s="32" t="s">
        <v>4172</v>
      </c>
      <c r="C916" s="32" t="s">
        <v>4173</v>
      </c>
      <c r="D916" s="32" t="s">
        <v>4174</v>
      </c>
      <c r="E916" s="32" t="s">
        <v>5102</v>
      </c>
      <c r="F916" s="32" t="e">
        <v>#N/A</v>
      </c>
      <c r="G916" s="38"/>
      <c r="H916" s="32">
        <v>0.0</v>
      </c>
      <c r="I916" s="39"/>
      <c r="J916" s="32" t="s">
        <v>4175</v>
      </c>
      <c r="K916" s="33" t="s">
        <v>4176</v>
      </c>
      <c r="L916" s="32" t="e">
        <v>#N/A</v>
      </c>
      <c r="M916" s="32" t="s">
        <v>4177</v>
      </c>
      <c r="N916" s="32" t="s">
        <v>5118</v>
      </c>
      <c r="O916" s="32" t="s">
        <v>52</v>
      </c>
      <c r="P916" s="32">
        <v>17299.0</v>
      </c>
      <c r="Q916" s="34">
        <v>15569.0</v>
      </c>
      <c r="R916" s="40">
        <v>16599.0</v>
      </c>
      <c r="S916" s="35">
        <v>15245.34</v>
      </c>
      <c r="T916" s="36">
        <v>0.0</v>
      </c>
      <c r="U916" s="36">
        <v>0.0</v>
      </c>
      <c r="V916" s="36">
        <v>0.0</v>
      </c>
      <c r="W916" s="36">
        <v>0.0</v>
      </c>
      <c r="X916" s="36">
        <v>0.0</v>
      </c>
      <c r="Y916" s="36">
        <v>0.0</v>
      </c>
    </row>
    <row r="917">
      <c r="A917" s="32" t="s">
        <v>4190</v>
      </c>
      <c r="B917" s="32" t="s">
        <v>4190</v>
      </c>
      <c r="C917" s="32" t="s">
        <v>4191</v>
      </c>
      <c r="D917" s="32" t="s">
        <v>4192</v>
      </c>
      <c r="E917" s="32" t="s">
        <v>5102</v>
      </c>
      <c r="F917" s="32" t="e">
        <v>#N/A</v>
      </c>
      <c r="G917" s="38"/>
      <c r="H917" s="32">
        <v>0.0</v>
      </c>
      <c r="I917" s="39"/>
      <c r="J917" s="32" t="s">
        <v>4193</v>
      </c>
      <c r="K917" s="33" t="s">
        <v>4194</v>
      </c>
      <c r="L917" s="32" t="e">
        <v>#N/A</v>
      </c>
      <c r="M917" s="32" t="s">
        <v>4195</v>
      </c>
      <c r="N917" s="32" t="s">
        <v>5118</v>
      </c>
      <c r="O917" s="32" t="s">
        <v>52</v>
      </c>
      <c r="P917" s="32">
        <v>19999.0</v>
      </c>
      <c r="Q917" s="34">
        <v>17999.0</v>
      </c>
      <c r="R917" s="40">
        <v>19199.0</v>
      </c>
      <c r="S917" s="35">
        <v>17621.34</v>
      </c>
      <c r="T917" s="36">
        <v>0.0</v>
      </c>
      <c r="U917" s="36">
        <v>0.0</v>
      </c>
      <c r="V917" s="36">
        <v>0.0</v>
      </c>
      <c r="W917" s="36">
        <v>0.0</v>
      </c>
      <c r="X917" s="36">
        <v>0.0</v>
      </c>
      <c r="Y917" s="36">
        <v>0.0</v>
      </c>
    </row>
    <row r="918">
      <c r="A918" s="32" t="s">
        <v>4325</v>
      </c>
      <c r="B918" s="32" t="s">
        <v>4325</v>
      </c>
      <c r="C918" s="32" t="s">
        <v>4326</v>
      </c>
      <c r="D918" s="32" t="s">
        <v>4327</v>
      </c>
      <c r="E918" s="32" t="s">
        <v>5102</v>
      </c>
      <c r="F918" s="32" t="e">
        <v>#N/A</v>
      </c>
      <c r="G918" s="38"/>
      <c r="H918" s="32">
        <v>0.0</v>
      </c>
      <c r="I918" s="39"/>
      <c r="J918" s="32" t="s">
        <v>4328</v>
      </c>
      <c r="K918" s="33" t="s">
        <v>4329</v>
      </c>
      <c r="L918" s="32" t="e">
        <v>#N/A</v>
      </c>
      <c r="M918" s="32" t="e">
        <v>#N/A</v>
      </c>
      <c r="N918" s="32" t="s">
        <v>5118</v>
      </c>
      <c r="O918" s="32" t="s">
        <v>52</v>
      </c>
      <c r="P918" s="32">
        <v>15699.0</v>
      </c>
      <c r="Q918" s="34">
        <v>14129.0</v>
      </c>
      <c r="R918" s="40">
        <v>14999.0</v>
      </c>
      <c r="S918" s="35">
        <v>13793.34</v>
      </c>
      <c r="T918" s="36">
        <v>0.0</v>
      </c>
      <c r="U918" s="36">
        <v>0.0</v>
      </c>
      <c r="V918" s="36">
        <v>0.0</v>
      </c>
      <c r="W918" s="36">
        <v>0.0</v>
      </c>
      <c r="X918" s="36">
        <v>0.0</v>
      </c>
      <c r="Y918" s="36">
        <v>0.0</v>
      </c>
    </row>
    <row r="919">
      <c r="A919" s="32" t="s">
        <v>4132</v>
      </c>
      <c r="B919" s="32" t="s">
        <v>4132</v>
      </c>
      <c r="C919" s="32" t="s">
        <v>4133</v>
      </c>
      <c r="D919" s="32" t="s">
        <v>4134</v>
      </c>
      <c r="E919" s="32" t="s">
        <v>5102</v>
      </c>
      <c r="F919" s="32" t="e">
        <v>#N/A</v>
      </c>
      <c r="G919" s="38"/>
      <c r="H919" s="32">
        <v>0.0</v>
      </c>
      <c r="I919" s="39"/>
      <c r="J919" s="32" t="s">
        <v>4135</v>
      </c>
      <c r="K919" s="33" t="s">
        <v>4136</v>
      </c>
      <c r="L919" s="32" t="e">
        <v>#N/A</v>
      </c>
      <c r="M919" s="32" t="e">
        <v>#N/A</v>
      </c>
      <c r="N919" s="32" t="s">
        <v>5118</v>
      </c>
      <c r="O919" s="32" t="s">
        <v>52</v>
      </c>
      <c r="P919" s="32">
        <v>17499.0</v>
      </c>
      <c r="Q919" s="34">
        <v>15749.0</v>
      </c>
      <c r="R919" s="40">
        <v>16799.0</v>
      </c>
      <c r="S919" s="35">
        <v>15377.34</v>
      </c>
      <c r="T919" s="36">
        <v>0.0</v>
      </c>
      <c r="U919" s="36">
        <v>0.0</v>
      </c>
      <c r="V919" s="36">
        <v>0.0</v>
      </c>
      <c r="W919" s="36">
        <v>0.0</v>
      </c>
      <c r="X919" s="36">
        <v>0.0</v>
      </c>
      <c r="Y919" s="36">
        <v>0.0</v>
      </c>
    </row>
    <row r="920">
      <c r="A920" s="32" t="s">
        <v>4155</v>
      </c>
      <c r="B920" s="32" t="s">
        <v>4155</v>
      </c>
      <c r="C920" s="32" t="s">
        <v>4156</v>
      </c>
      <c r="D920" s="32" t="s">
        <v>4157</v>
      </c>
      <c r="E920" s="32" t="s">
        <v>5102</v>
      </c>
      <c r="F920" s="32" t="e">
        <v>#N/A</v>
      </c>
      <c r="G920" s="38"/>
      <c r="H920" s="32">
        <v>0.0</v>
      </c>
      <c r="I920" s="39"/>
      <c r="J920" s="32" t="s">
        <v>4158</v>
      </c>
      <c r="K920" s="33" t="s">
        <v>4159</v>
      </c>
      <c r="L920" s="32" t="e">
        <v>#N/A</v>
      </c>
      <c r="M920" s="32" t="e">
        <v>#N/A</v>
      </c>
      <c r="N920" s="32" t="s">
        <v>5118</v>
      </c>
      <c r="O920" s="32" t="s">
        <v>52</v>
      </c>
      <c r="P920" s="32">
        <v>22499.0</v>
      </c>
      <c r="Q920" s="34">
        <v>20249.0</v>
      </c>
      <c r="R920" s="40">
        <v>21599.0</v>
      </c>
      <c r="S920" s="35">
        <v>19799.34</v>
      </c>
      <c r="T920" s="36">
        <v>0.0</v>
      </c>
      <c r="U920" s="36">
        <v>0.0</v>
      </c>
      <c r="V920" s="36">
        <v>0.0</v>
      </c>
      <c r="W920" s="36">
        <v>0.0</v>
      </c>
      <c r="X920" s="36">
        <v>0.0</v>
      </c>
      <c r="Y920" s="36">
        <v>0.0</v>
      </c>
    </row>
    <row r="921">
      <c r="A921" s="32" t="s">
        <v>4001</v>
      </c>
      <c r="B921" s="32" t="s">
        <v>4001</v>
      </c>
      <c r="C921" s="32" t="s">
        <v>4002</v>
      </c>
      <c r="D921" s="32" t="s">
        <v>4003</v>
      </c>
      <c r="E921" s="32" t="s">
        <v>5102</v>
      </c>
      <c r="F921" s="32" t="e">
        <v>#N/A</v>
      </c>
      <c r="G921" s="38"/>
      <c r="H921" s="32">
        <v>0.0</v>
      </c>
      <c r="I921" s="39"/>
      <c r="J921" s="32" t="s">
        <v>4004</v>
      </c>
      <c r="K921" s="33" t="s">
        <v>4005</v>
      </c>
      <c r="L921" s="32" t="e">
        <v>#N/A</v>
      </c>
      <c r="M921" s="32" t="s">
        <v>4006</v>
      </c>
      <c r="N921" s="32" t="s">
        <v>5118</v>
      </c>
      <c r="O921" s="32" t="s">
        <v>52</v>
      </c>
      <c r="P921" s="32">
        <v>7499.0</v>
      </c>
      <c r="Q921" s="34">
        <v>6749.0</v>
      </c>
      <c r="R921" s="40">
        <v>7199.0</v>
      </c>
      <c r="S921" s="35">
        <v>6599.34</v>
      </c>
      <c r="T921" s="36">
        <v>0.0</v>
      </c>
      <c r="U921" s="36">
        <v>0.0</v>
      </c>
      <c r="V921" s="36">
        <v>0.0</v>
      </c>
      <c r="W921" s="36">
        <v>0.0</v>
      </c>
      <c r="X921" s="36">
        <v>0.0</v>
      </c>
      <c r="Y921" s="36">
        <v>0.0</v>
      </c>
    </row>
    <row r="922">
      <c r="A922" s="32" t="s">
        <v>3922</v>
      </c>
      <c r="B922" s="32" t="s">
        <v>3922</v>
      </c>
      <c r="C922" s="32" t="s">
        <v>3923</v>
      </c>
      <c r="D922" s="32" t="s">
        <v>3924</v>
      </c>
      <c r="E922" s="32" t="s">
        <v>5102</v>
      </c>
      <c r="F922" s="32" t="e">
        <v>#N/A</v>
      </c>
      <c r="G922" s="38"/>
      <c r="H922" s="32">
        <v>0.0</v>
      </c>
      <c r="I922" s="39"/>
      <c r="J922" s="32" t="s">
        <v>3925</v>
      </c>
      <c r="K922" s="33" t="s">
        <v>3926</v>
      </c>
      <c r="L922" s="32" t="e">
        <v>#N/A</v>
      </c>
      <c r="M922" s="32" t="e">
        <v>#N/A</v>
      </c>
      <c r="N922" s="32" t="s">
        <v>5118</v>
      </c>
      <c r="O922" s="32" t="s">
        <v>52</v>
      </c>
      <c r="P922" s="32">
        <v>7899.0</v>
      </c>
      <c r="Q922" s="34">
        <v>7109.0</v>
      </c>
      <c r="R922" s="40">
        <v>7599.0</v>
      </c>
      <c r="S922" s="35">
        <v>6929.34</v>
      </c>
      <c r="T922" s="36">
        <v>0.0</v>
      </c>
      <c r="U922" s="36">
        <v>0.0</v>
      </c>
      <c r="V922" s="36">
        <v>0.0</v>
      </c>
      <c r="W922" s="36">
        <v>0.0</v>
      </c>
      <c r="X922" s="36">
        <v>0.0</v>
      </c>
      <c r="Y922" s="36">
        <v>0.0</v>
      </c>
    </row>
    <row r="923">
      <c r="A923" s="32" t="s">
        <v>3961</v>
      </c>
      <c r="B923" s="32" t="s">
        <v>3961</v>
      </c>
      <c r="C923" s="32" t="s">
        <v>3962</v>
      </c>
      <c r="D923" s="32" t="s">
        <v>3963</v>
      </c>
      <c r="E923" s="32" t="s">
        <v>5102</v>
      </c>
      <c r="F923" s="32" t="e">
        <v>#N/A</v>
      </c>
      <c r="G923" s="38"/>
      <c r="H923" s="32">
        <v>0.0</v>
      </c>
      <c r="I923" s="39"/>
      <c r="J923" s="32" t="s">
        <v>3964</v>
      </c>
      <c r="K923" s="33" t="s">
        <v>3965</v>
      </c>
      <c r="L923" s="32" t="e">
        <v>#N/A</v>
      </c>
      <c r="M923" s="32" t="s">
        <v>3966</v>
      </c>
      <c r="N923" s="32" t="s">
        <v>5118</v>
      </c>
      <c r="O923" s="32" t="s">
        <v>52</v>
      </c>
      <c r="P923" s="32">
        <v>9199.0</v>
      </c>
      <c r="Q923" s="34">
        <v>8279.0</v>
      </c>
      <c r="R923" s="40">
        <v>8899.0</v>
      </c>
      <c r="S923" s="35">
        <v>8117.34</v>
      </c>
      <c r="T923" s="36">
        <v>0.0</v>
      </c>
      <c r="U923" s="36">
        <v>0.0</v>
      </c>
      <c r="V923" s="36">
        <v>0.0</v>
      </c>
      <c r="W923" s="36">
        <v>0.0</v>
      </c>
      <c r="X923" s="36">
        <v>0.0</v>
      </c>
      <c r="Y923" s="36">
        <v>0.0</v>
      </c>
    </row>
    <row r="924">
      <c r="A924" s="32" t="s">
        <v>3978</v>
      </c>
      <c r="B924" s="32" t="s">
        <v>3978</v>
      </c>
      <c r="C924" s="32" t="s">
        <v>3979</v>
      </c>
      <c r="D924" s="32" t="s">
        <v>3980</v>
      </c>
      <c r="E924" s="32" t="s">
        <v>5102</v>
      </c>
      <c r="F924" s="32" t="e">
        <v>#N/A</v>
      </c>
      <c r="G924" s="38"/>
      <c r="H924" s="32">
        <v>0.0</v>
      </c>
      <c r="I924" s="39"/>
      <c r="J924" s="32" t="s">
        <v>3981</v>
      </c>
      <c r="K924" s="33" t="s">
        <v>3982</v>
      </c>
      <c r="L924" s="32" t="e">
        <v>#N/A</v>
      </c>
      <c r="M924" s="32" t="s">
        <v>3983</v>
      </c>
      <c r="N924" s="32" t="s">
        <v>5118</v>
      </c>
      <c r="O924" s="32" t="s">
        <v>52</v>
      </c>
      <c r="P924" s="32">
        <v>10799.0</v>
      </c>
      <c r="Q924" s="34">
        <v>9719.0</v>
      </c>
      <c r="R924" s="40">
        <v>10399.0</v>
      </c>
      <c r="S924" s="35">
        <v>9503.34</v>
      </c>
      <c r="T924" s="36">
        <v>0.0</v>
      </c>
      <c r="U924" s="36">
        <v>0.0</v>
      </c>
      <c r="V924" s="36">
        <v>0.0</v>
      </c>
      <c r="W924" s="36">
        <v>0.0</v>
      </c>
      <c r="X924" s="36">
        <v>0.0</v>
      </c>
      <c r="Y924" s="36">
        <v>0.0</v>
      </c>
    </row>
    <row r="925">
      <c r="A925" s="32" t="s">
        <v>4007</v>
      </c>
      <c r="B925" s="32" t="s">
        <v>4007</v>
      </c>
      <c r="C925" s="32" t="s">
        <v>4008</v>
      </c>
      <c r="D925" s="32" t="s">
        <v>4009</v>
      </c>
      <c r="E925" s="32" t="s">
        <v>5102</v>
      </c>
      <c r="F925" s="32" t="e">
        <v>#N/A</v>
      </c>
      <c r="G925" s="38"/>
      <c r="H925" s="32">
        <v>0.0</v>
      </c>
      <c r="I925" s="39"/>
      <c r="J925" s="32" t="s">
        <v>4010</v>
      </c>
      <c r="K925" s="33" t="s">
        <v>4011</v>
      </c>
      <c r="L925" s="32" t="e">
        <v>#N/A</v>
      </c>
      <c r="M925" s="32" t="s">
        <v>4012</v>
      </c>
      <c r="N925" s="32" t="s">
        <v>5118</v>
      </c>
      <c r="O925" s="32" t="s">
        <v>52</v>
      </c>
      <c r="P925" s="32">
        <v>7899.0</v>
      </c>
      <c r="Q925" s="34">
        <v>7109.0</v>
      </c>
      <c r="R925" s="40">
        <v>7599.0</v>
      </c>
      <c r="S925" s="35">
        <v>6929.34</v>
      </c>
      <c r="T925" s="36">
        <v>0.0</v>
      </c>
      <c r="U925" s="36">
        <v>0.0</v>
      </c>
      <c r="V925" s="36">
        <v>0.0</v>
      </c>
      <c r="W925" s="36">
        <v>0.0</v>
      </c>
      <c r="X925" s="36">
        <v>0.0</v>
      </c>
      <c r="Y925" s="36">
        <v>0.0</v>
      </c>
    </row>
    <row r="926">
      <c r="A926" s="32" t="s">
        <v>3967</v>
      </c>
      <c r="B926" s="32" t="s">
        <v>3967</v>
      </c>
      <c r="C926" s="32" t="s">
        <v>3968</v>
      </c>
      <c r="D926" s="32" t="s">
        <v>3969</v>
      </c>
      <c r="E926" s="32" t="s">
        <v>5102</v>
      </c>
      <c r="F926" s="32" t="e">
        <v>#N/A</v>
      </c>
      <c r="G926" s="38"/>
      <c r="H926" s="32">
        <v>0.0</v>
      </c>
      <c r="I926" s="39"/>
      <c r="J926" s="32" t="s">
        <v>3970</v>
      </c>
      <c r="K926" s="33" t="s">
        <v>3971</v>
      </c>
      <c r="L926" s="32" t="e">
        <v>#N/A</v>
      </c>
      <c r="M926" s="32" t="s">
        <v>3972</v>
      </c>
      <c r="N926" s="32" t="s">
        <v>5118</v>
      </c>
      <c r="O926" s="32" t="s">
        <v>52</v>
      </c>
      <c r="P926" s="32">
        <v>9999.0</v>
      </c>
      <c r="Q926" s="34">
        <v>8999.0</v>
      </c>
      <c r="R926" s="40">
        <v>9599.0</v>
      </c>
      <c r="S926" s="35">
        <v>8777.34</v>
      </c>
      <c r="T926" s="36">
        <v>0.0</v>
      </c>
      <c r="U926" s="36">
        <v>0.0</v>
      </c>
      <c r="V926" s="36">
        <v>0.0</v>
      </c>
      <c r="W926" s="36">
        <v>0.0</v>
      </c>
      <c r="X926" s="36">
        <v>0.0</v>
      </c>
      <c r="Y926" s="36">
        <v>0.0</v>
      </c>
    </row>
    <row r="927">
      <c r="A927" s="32" t="s">
        <v>3944</v>
      </c>
      <c r="B927" s="32" t="s">
        <v>3944</v>
      </c>
      <c r="C927" s="32" t="s">
        <v>3945</v>
      </c>
      <c r="D927" s="32" t="s">
        <v>3946</v>
      </c>
      <c r="E927" s="32" t="s">
        <v>5102</v>
      </c>
      <c r="F927" s="32" t="e">
        <v>#N/A</v>
      </c>
      <c r="G927" s="38"/>
      <c r="H927" s="32">
        <v>0.0</v>
      </c>
      <c r="I927" s="39"/>
      <c r="J927" s="32" t="s">
        <v>3947</v>
      </c>
      <c r="K927" s="33" t="s">
        <v>3948</v>
      </c>
      <c r="L927" s="32" t="e">
        <v>#N/A</v>
      </c>
      <c r="M927" s="32" t="s">
        <v>3949</v>
      </c>
      <c r="N927" s="32" t="s">
        <v>5118</v>
      </c>
      <c r="O927" s="32" t="s">
        <v>52</v>
      </c>
      <c r="P927" s="32">
        <v>9999.0</v>
      </c>
      <c r="Q927" s="34">
        <v>8999.0</v>
      </c>
      <c r="R927" s="40">
        <v>9599.0</v>
      </c>
      <c r="S927" s="35">
        <v>8777.34</v>
      </c>
      <c r="T927" s="36">
        <v>0.0</v>
      </c>
      <c r="U927" s="36">
        <v>0.0</v>
      </c>
      <c r="V927" s="36">
        <v>0.0</v>
      </c>
      <c r="W927" s="36">
        <v>0.0</v>
      </c>
      <c r="X927" s="36">
        <v>0.0</v>
      </c>
      <c r="Y927" s="36">
        <v>0.0</v>
      </c>
    </row>
    <row r="928">
      <c r="A928" s="32" t="s">
        <v>3984</v>
      </c>
      <c r="B928" s="32" t="s">
        <v>3984</v>
      </c>
      <c r="C928" s="32" t="s">
        <v>3985</v>
      </c>
      <c r="D928" s="32" t="s">
        <v>3986</v>
      </c>
      <c r="E928" s="32" t="s">
        <v>5102</v>
      </c>
      <c r="F928" s="32" t="e">
        <v>#N/A</v>
      </c>
      <c r="G928" s="38"/>
      <c r="H928" s="32">
        <v>0.0</v>
      </c>
      <c r="I928" s="39"/>
      <c r="J928" s="32" t="s">
        <v>3987</v>
      </c>
      <c r="K928" s="33" t="s">
        <v>3988</v>
      </c>
      <c r="L928" s="32" t="e">
        <v>#N/A</v>
      </c>
      <c r="M928" s="32" t="s">
        <v>3989</v>
      </c>
      <c r="N928" s="32" t="s">
        <v>5118</v>
      </c>
      <c r="O928" s="32" t="s">
        <v>52</v>
      </c>
      <c r="P928" s="32">
        <v>11299.0</v>
      </c>
      <c r="Q928" s="34">
        <v>10169.0</v>
      </c>
      <c r="R928" s="40">
        <v>10899.0</v>
      </c>
      <c r="S928" s="35">
        <v>9965.34</v>
      </c>
      <c r="T928" s="36">
        <v>0.0</v>
      </c>
      <c r="U928" s="36">
        <v>0.0</v>
      </c>
      <c r="V928" s="36">
        <v>0.0</v>
      </c>
      <c r="W928" s="36">
        <v>0.0</v>
      </c>
      <c r="X928" s="36">
        <v>0.0</v>
      </c>
      <c r="Y928" s="36">
        <v>0.0</v>
      </c>
    </row>
    <row r="929">
      <c r="A929" s="32" t="s">
        <v>4013</v>
      </c>
      <c r="B929" s="32" t="s">
        <v>4013</v>
      </c>
      <c r="C929" s="32" t="s">
        <v>4014</v>
      </c>
      <c r="D929" s="32" t="s">
        <v>4015</v>
      </c>
      <c r="E929" s="32" t="s">
        <v>5073</v>
      </c>
      <c r="F929" s="32" t="e">
        <v>#N/A</v>
      </c>
      <c r="G929" s="38"/>
      <c r="H929" s="32">
        <v>0.0</v>
      </c>
      <c r="I929" s="39"/>
      <c r="J929" s="32" t="s">
        <v>4016</v>
      </c>
      <c r="K929" s="33" t="s">
        <v>4017</v>
      </c>
      <c r="L929" s="32" t="e">
        <v>#N/A</v>
      </c>
      <c r="M929" s="32" t="e">
        <v>#N/A</v>
      </c>
      <c r="N929" s="32" t="s">
        <v>5118</v>
      </c>
      <c r="O929" s="32" t="s">
        <v>52</v>
      </c>
      <c r="P929" s="32">
        <v>8199.0</v>
      </c>
      <c r="Q929" s="34">
        <v>7379.0</v>
      </c>
      <c r="R929" s="40">
        <v>7799.0</v>
      </c>
      <c r="S929" s="35">
        <v>7193.34</v>
      </c>
      <c r="T929" s="36">
        <v>0.0</v>
      </c>
      <c r="U929" s="36">
        <v>0.0</v>
      </c>
      <c r="V929" s="36">
        <v>0.0</v>
      </c>
      <c r="W929" s="36">
        <v>0.0</v>
      </c>
      <c r="X929" s="36">
        <v>0.0</v>
      </c>
      <c r="Y929" s="36">
        <v>0.0</v>
      </c>
    </row>
    <row r="930">
      <c r="A930" s="32" t="s">
        <v>4030</v>
      </c>
      <c r="B930" s="32" t="s">
        <v>4030</v>
      </c>
      <c r="C930" s="32" t="s">
        <v>4031</v>
      </c>
      <c r="D930" s="32" t="s">
        <v>4032</v>
      </c>
      <c r="E930" s="32" t="s">
        <v>5102</v>
      </c>
      <c r="F930" s="32" t="e">
        <v>#N/A</v>
      </c>
      <c r="G930" s="38"/>
      <c r="H930" s="32">
        <v>0.0</v>
      </c>
      <c r="I930" s="39"/>
      <c r="J930" s="32" t="s">
        <v>4033</v>
      </c>
      <c r="K930" s="33" t="s">
        <v>4034</v>
      </c>
      <c r="L930" s="32" t="e">
        <v>#N/A</v>
      </c>
      <c r="M930" s="32" t="e">
        <v>#N/A</v>
      </c>
      <c r="N930" s="32" t="s">
        <v>5118</v>
      </c>
      <c r="O930" s="32" t="s">
        <v>52</v>
      </c>
      <c r="P930" s="32">
        <v>9399.0</v>
      </c>
      <c r="Q930" s="34">
        <v>8459.0</v>
      </c>
      <c r="R930" s="40">
        <v>8999.0</v>
      </c>
      <c r="S930" s="35">
        <v>8249.34</v>
      </c>
      <c r="T930" s="36">
        <v>0.0</v>
      </c>
      <c r="U930" s="36">
        <v>0.0</v>
      </c>
      <c r="V930" s="36">
        <v>0.0</v>
      </c>
      <c r="W930" s="36">
        <v>0.0</v>
      </c>
      <c r="X930" s="36">
        <v>0.0</v>
      </c>
      <c r="Y930" s="36">
        <v>0.0</v>
      </c>
    </row>
    <row r="931">
      <c r="A931" s="32" t="s">
        <v>3950</v>
      </c>
      <c r="B931" s="32" t="s">
        <v>3950</v>
      </c>
      <c r="C931" s="32" t="s">
        <v>3951</v>
      </c>
      <c r="D931" s="32" t="s">
        <v>3952</v>
      </c>
      <c r="E931" s="32" t="s">
        <v>5102</v>
      </c>
      <c r="F931" s="32" t="e">
        <v>#N/A</v>
      </c>
      <c r="G931" s="38"/>
      <c r="H931" s="32">
        <v>0.0</v>
      </c>
      <c r="I931" s="39"/>
      <c r="J931" s="32" t="s">
        <v>3953</v>
      </c>
      <c r="K931" s="33" t="s">
        <v>3954</v>
      </c>
      <c r="L931" s="32" t="e">
        <v>#N/A</v>
      </c>
      <c r="M931" s="32" t="s">
        <v>3955</v>
      </c>
      <c r="N931" s="32" t="s">
        <v>5118</v>
      </c>
      <c r="O931" s="32" t="s">
        <v>52</v>
      </c>
      <c r="P931" s="32">
        <v>9999.0</v>
      </c>
      <c r="Q931" s="34">
        <v>8999.0</v>
      </c>
      <c r="R931" s="40">
        <v>9599.0</v>
      </c>
      <c r="S931" s="35">
        <v>8777.34</v>
      </c>
      <c r="T931" s="36">
        <v>0.0</v>
      </c>
      <c r="U931" s="36">
        <v>0.0</v>
      </c>
      <c r="V931" s="36">
        <v>0.0</v>
      </c>
      <c r="W931" s="36">
        <v>0.0</v>
      </c>
      <c r="X931" s="36">
        <v>0.0</v>
      </c>
      <c r="Y931" s="36">
        <v>0.0</v>
      </c>
    </row>
    <row r="932">
      <c r="A932" s="32" t="s">
        <v>4035</v>
      </c>
      <c r="B932" s="32" t="s">
        <v>4035</v>
      </c>
      <c r="C932" s="32" t="s">
        <v>4036</v>
      </c>
      <c r="D932" s="32" t="s">
        <v>4037</v>
      </c>
      <c r="E932" s="32" t="s">
        <v>5102</v>
      </c>
      <c r="F932" s="32" t="e">
        <v>#N/A</v>
      </c>
      <c r="G932" s="38"/>
      <c r="H932" s="32">
        <v>0.0</v>
      </c>
      <c r="I932" s="39"/>
      <c r="J932" s="32" t="s">
        <v>4038</v>
      </c>
      <c r="K932" s="33" t="s">
        <v>4039</v>
      </c>
      <c r="L932" s="32" t="e">
        <v>#N/A</v>
      </c>
      <c r="M932" s="32" t="e">
        <v>#N/A</v>
      </c>
      <c r="N932" s="32" t="s">
        <v>5118</v>
      </c>
      <c r="O932" s="32" t="s">
        <v>52</v>
      </c>
      <c r="P932" s="32">
        <v>11299.0</v>
      </c>
      <c r="Q932" s="34">
        <v>10169.0</v>
      </c>
      <c r="R932" s="40">
        <v>10899.0</v>
      </c>
      <c r="S932" s="35">
        <v>9965.34</v>
      </c>
      <c r="T932" s="36">
        <v>0.0</v>
      </c>
      <c r="U932" s="36">
        <v>0.0</v>
      </c>
      <c r="V932" s="36">
        <v>0.0</v>
      </c>
      <c r="W932" s="36">
        <v>0.0</v>
      </c>
      <c r="X932" s="36">
        <v>0.0</v>
      </c>
      <c r="Y932" s="36">
        <v>0.0</v>
      </c>
    </row>
    <row r="933">
      <c r="A933" s="32" t="s">
        <v>3956</v>
      </c>
      <c r="B933" s="32" t="s">
        <v>3956</v>
      </c>
      <c r="C933" s="32" t="s">
        <v>3957</v>
      </c>
      <c r="D933" s="32" t="s">
        <v>3958</v>
      </c>
      <c r="E933" s="32" t="s">
        <v>5073</v>
      </c>
      <c r="F933" s="32" t="e">
        <v>#N/A</v>
      </c>
      <c r="G933" s="38"/>
      <c r="H933" s="32">
        <v>0.0</v>
      </c>
      <c r="I933" s="39"/>
      <c r="J933" s="32" t="s">
        <v>3959</v>
      </c>
      <c r="K933" s="33" t="s">
        <v>3960</v>
      </c>
      <c r="L933" s="32" t="e">
        <v>#N/A</v>
      </c>
      <c r="M933" s="32" t="e">
        <v>#N/A</v>
      </c>
      <c r="N933" s="32" t="s">
        <v>5118</v>
      </c>
      <c r="O933" s="32" t="s">
        <v>52</v>
      </c>
      <c r="P933" s="32">
        <v>12499.0</v>
      </c>
      <c r="Q933" s="34">
        <v>11249.0</v>
      </c>
      <c r="R933" s="40">
        <v>11999.0</v>
      </c>
      <c r="S933" s="35">
        <v>11021.34</v>
      </c>
      <c r="T933" s="36">
        <v>0.0</v>
      </c>
      <c r="U933" s="36">
        <v>0.0</v>
      </c>
      <c r="V933" s="36">
        <v>0.0</v>
      </c>
      <c r="W933" s="36">
        <v>0.0</v>
      </c>
      <c r="X933" s="36">
        <v>0.0</v>
      </c>
      <c r="Y933" s="36">
        <v>0.0</v>
      </c>
    </row>
    <row r="934">
      <c r="A934" s="32" t="s">
        <v>3996</v>
      </c>
      <c r="B934" s="32" t="s">
        <v>3996</v>
      </c>
      <c r="C934" s="32" t="s">
        <v>3997</v>
      </c>
      <c r="D934" s="32" t="s">
        <v>3998</v>
      </c>
      <c r="E934" s="32" t="s">
        <v>5102</v>
      </c>
      <c r="F934" s="32" t="e">
        <v>#N/A</v>
      </c>
      <c r="G934" s="38"/>
      <c r="H934" s="32">
        <v>0.0</v>
      </c>
      <c r="I934" s="39"/>
      <c r="J934" s="32" t="s">
        <v>3999</v>
      </c>
      <c r="K934" s="33" t="s">
        <v>4000</v>
      </c>
      <c r="L934" s="32" t="e">
        <v>#N/A</v>
      </c>
      <c r="M934" s="32" t="e">
        <v>#N/A</v>
      </c>
      <c r="N934" s="32" t="s">
        <v>5118</v>
      </c>
      <c r="O934" s="32" t="s">
        <v>52</v>
      </c>
      <c r="P934" s="32">
        <v>14399.0</v>
      </c>
      <c r="Q934" s="34">
        <v>12959.0</v>
      </c>
      <c r="R934" s="40">
        <v>13799.0</v>
      </c>
      <c r="S934" s="35">
        <v>12671.34</v>
      </c>
      <c r="T934" s="36">
        <v>0.0</v>
      </c>
      <c r="U934" s="36">
        <v>0.0</v>
      </c>
      <c r="V934" s="36">
        <v>0.0</v>
      </c>
      <c r="W934" s="36">
        <v>0.0</v>
      </c>
      <c r="X934" s="36">
        <v>0.0</v>
      </c>
      <c r="Y934" s="36">
        <v>0.0</v>
      </c>
    </row>
    <row r="935">
      <c r="A935" s="32" t="s">
        <v>3032</v>
      </c>
      <c r="B935" s="32" t="s">
        <v>3032</v>
      </c>
      <c r="C935" s="32" t="s">
        <v>3033</v>
      </c>
      <c r="D935" s="32" t="s">
        <v>3034</v>
      </c>
      <c r="E935" s="32" t="s">
        <v>5102</v>
      </c>
      <c r="F935" s="32" t="e">
        <v>#N/A</v>
      </c>
      <c r="G935" s="38"/>
      <c r="H935" s="32" t="s">
        <v>3035</v>
      </c>
      <c r="I935" s="32" t="s">
        <v>5102</v>
      </c>
      <c r="J935" s="32" t="s">
        <v>3036</v>
      </c>
      <c r="K935" s="33" t="s">
        <v>3037</v>
      </c>
      <c r="L935" s="32" t="e">
        <v>#N/A</v>
      </c>
      <c r="M935" s="32" t="e">
        <v>#N/A</v>
      </c>
      <c r="N935" s="32" t="s">
        <v>5131</v>
      </c>
      <c r="O935" s="32" t="s">
        <v>4730</v>
      </c>
      <c r="P935" s="32">
        <v>2989.0</v>
      </c>
      <c r="Q935" s="34">
        <v>2299.0</v>
      </c>
      <c r="R935" s="40">
        <v>2299.0</v>
      </c>
      <c r="S935" s="35">
        <v>2199.0</v>
      </c>
      <c r="T935" s="36">
        <v>0.0</v>
      </c>
      <c r="U935" s="36">
        <v>0.0</v>
      </c>
      <c r="V935" s="36">
        <v>0.0</v>
      </c>
      <c r="W935" s="36">
        <v>0.0</v>
      </c>
      <c r="X935" s="36">
        <v>0.0</v>
      </c>
      <c r="Y935" s="36">
        <v>0.0</v>
      </c>
    </row>
    <row r="936">
      <c r="A936" s="32" t="s">
        <v>3283</v>
      </c>
      <c r="B936" s="32" t="s">
        <v>3283</v>
      </c>
      <c r="C936" s="32" t="s">
        <v>3284</v>
      </c>
      <c r="D936" s="32" t="s">
        <v>3285</v>
      </c>
      <c r="E936" s="32" t="s">
        <v>5102</v>
      </c>
      <c r="F936" s="32" t="e">
        <v>#N/A</v>
      </c>
      <c r="G936" s="38"/>
      <c r="H936" s="32" t="s">
        <v>3286</v>
      </c>
      <c r="I936" s="32" t="s">
        <v>5102</v>
      </c>
      <c r="J936" s="32" t="s">
        <v>3287</v>
      </c>
      <c r="K936" s="33" t="s">
        <v>3288</v>
      </c>
      <c r="L936" s="32">
        <v>3.181845E7</v>
      </c>
      <c r="M936" s="32" t="e">
        <v>#N/A</v>
      </c>
      <c r="N936" s="32" t="s">
        <v>5086</v>
      </c>
      <c r="O936" s="32" t="s">
        <v>4730</v>
      </c>
      <c r="P936" s="32">
        <v>1989.0</v>
      </c>
      <c r="Q936" s="34">
        <v>1799.0</v>
      </c>
      <c r="R936" s="40">
        <v>1799.0</v>
      </c>
      <c r="S936" s="35">
        <v>1690.65</v>
      </c>
      <c r="T936" s="36">
        <v>0.0</v>
      </c>
      <c r="U936" s="36">
        <v>0.0</v>
      </c>
      <c r="V936" s="36">
        <v>0.0</v>
      </c>
      <c r="W936" s="36">
        <v>0.0</v>
      </c>
      <c r="X936" s="36">
        <v>0.0</v>
      </c>
      <c r="Y936" s="36">
        <v>0.0</v>
      </c>
    </row>
    <row r="937">
      <c r="A937" s="32" t="s">
        <v>3741</v>
      </c>
      <c r="B937" s="32" t="s">
        <v>3741</v>
      </c>
      <c r="C937" s="32" t="s">
        <v>3742</v>
      </c>
      <c r="D937" s="32" t="s">
        <v>3743</v>
      </c>
      <c r="E937" s="32" t="s">
        <v>5102</v>
      </c>
      <c r="F937" s="32" t="e">
        <v>#N/A</v>
      </c>
      <c r="G937" s="38"/>
      <c r="H937" s="32" t="s">
        <v>3741</v>
      </c>
      <c r="I937" s="32" t="s">
        <v>5102</v>
      </c>
      <c r="J937" s="32" t="s">
        <v>3744</v>
      </c>
      <c r="K937" s="33" t="s">
        <v>3745</v>
      </c>
      <c r="L937" s="32" t="e">
        <v>#N/A</v>
      </c>
      <c r="M937" s="32" t="e">
        <v>#N/A</v>
      </c>
      <c r="N937" s="32" t="s">
        <v>5155</v>
      </c>
      <c r="O937" s="32" t="s">
        <v>4730</v>
      </c>
      <c r="P937" s="32">
        <v>499.0</v>
      </c>
      <c r="Q937" s="34">
        <v>449.0</v>
      </c>
      <c r="R937" s="35">
        <v>499.0</v>
      </c>
      <c r="S937" s="35">
        <v>449.0</v>
      </c>
      <c r="T937" s="36">
        <v>0.0</v>
      </c>
      <c r="U937" s="36">
        <v>0.0</v>
      </c>
      <c r="V937" s="36">
        <v>0.0</v>
      </c>
      <c r="W937" s="36">
        <v>0.0</v>
      </c>
      <c r="X937" s="36">
        <v>0.0</v>
      </c>
      <c r="Y937" s="36">
        <v>0.0</v>
      </c>
    </row>
    <row r="938">
      <c r="A938" s="32" t="s">
        <v>3721</v>
      </c>
      <c r="B938" s="32" t="s">
        <v>3721</v>
      </c>
      <c r="C938" s="32" t="s">
        <v>3722</v>
      </c>
      <c r="D938" s="32" t="s">
        <v>3723</v>
      </c>
      <c r="E938" s="32" t="s">
        <v>5102</v>
      </c>
      <c r="F938" s="32" t="e">
        <v>#N/A</v>
      </c>
      <c r="G938" s="38"/>
      <c r="H938" s="32" t="s">
        <v>3721</v>
      </c>
      <c r="I938" s="32" t="s">
        <v>5102</v>
      </c>
      <c r="J938" s="32" t="s">
        <v>3724</v>
      </c>
      <c r="K938" s="33" t="s">
        <v>3725</v>
      </c>
      <c r="L938" s="32" t="e">
        <v>#N/A</v>
      </c>
      <c r="M938" s="32" t="e">
        <v>#N/A</v>
      </c>
      <c r="N938" s="32" t="s">
        <v>5155</v>
      </c>
      <c r="O938" s="32" t="s">
        <v>4730</v>
      </c>
      <c r="P938" s="32">
        <v>649.0</v>
      </c>
      <c r="Q938" s="34">
        <v>599.0</v>
      </c>
      <c r="R938" s="35">
        <v>599.0</v>
      </c>
      <c r="S938" s="35">
        <v>549.0</v>
      </c>
      <c r="T938" s="36">
        <v>0.0</v>
      </c>
      <c r="U938" s="36">
        <v>0.0</v>
      </c>
      <c r="V938" s="36">
        <v>0.0</v>
      </c>
      <c r="W938" s="36">
        <v>0.0</v>
      </c>
      <c r="X938" s="36">
        <v>0.0</v>
      </c>
      <c r="Y938" s="36">
        <v>0.0</v>
      </c>
    </row>
    <row r="939">
      <c r="A939" s="32" t="s">
        <v>3599</v>
      </c>
      <c r="B939" s="32" t="s">
        <v>3599</v>
      </c>
      <c r="C939" s="32" t="s">
        <v>3600</v>
      </c>
      <c r="D939" s="32" t="s">
        <v>3601</v>
      </c>
      <c r="E939" s="32" t="s">
        <v>5102</v>
      </c>
      <c r="F939" s="32" t="e">
        <v>#N/A</v>
      </c>
      <c r="G939" s="38"/>
      <c r="H939" s="32" t="s">
        <v>3599</v>
      </c>
      <c r="I939" s="32" t="s">
        <v>5102</v>
      </c>
      <c r="J939" s="32" t="s">
        <v>3602</v>
      </c>
      <c r="K939" s="33" t="s">
        <v>3603</v>
      </c>
      <c r="L939" s="32" t="e">
        <v>#N/A</v>
      </c>
      <c r="M939" s="32" t="e">
        <v>#N/A</v>
      </c>
      <c r="N939" s="32" t="s">
        <v>5155</v>
      </c>
      <c r="O939" s="32" t="s">
        <v>4730</v>
      </c>
      <c r="P939" s="32">
        <v>549.0</v>
      </c>
      <c r="Q939" s="34">
        <v>499.0</v>
      </c>
      <c r="R939" s="35">
        <v>499.0</v>
      </c>
      <c r="S939" s="35">
        <v>449.0</v>
      </c>
      <c r="T939" s="36">
        <v>0.0</v>
      </c>
      <c r="U939" s="36">
        <v>0.0</v>
      </c>
      <c r="V939" s="36">
        <v>0.0</v>
      </c>
      <c r="W939" s="36">
        <v>0.0</v>
      </c>
      <c r="X939" s="36">
        <v>0.0</v>
      </c>
      <c r="Y939" s="36">
        <v>0.0</v>
      </c>
    </row>
    <row r="940">
      <c r="A940" s="32" t="s">
        <v>3793</v>
      </c>
      <c r="B940" s="32" t="s">
        <v>3793</v>
      </c>
      <c r="C940" s="32" t="s">
        <v>3794</v>
      </c>
      <c r="D940" s="32" t="s">
        <v>3795</v>
      </c>
      <c r="E940" s="32" t="s">
        <v>5073</v>
      </c>
      <c r="F940" s="32" t="e">
        <v>#N/A</v>
      </c>
      <c r="G940" s="38"/>
      <c r="H940" s="32" t="s">
        <v>5172</v>
      </c>
      <c r="I940" s="32" t="s">
        <v>5122</v>
      </c>
      <c r="J940" s="32" t="s">
        <v>3796</v>
      </c>
      <c r="K940" s="33" t="s">
        <v>3797</v>
      </c>
      <c r="L940" s="32" t="e">
        <v>#N/A</v>
      </c>
      <c r="M940" s="32" t="e">
        <v>#N/A</v>
      </c>
      <c r="N940" s="32" t="s">
        <v>5132</v>
      </c>
      <c r="O940" s="32" t="s">
        <v>4730</v>
      </c>
      <c r="P940" s="32">
        <v>6999.0</v>
      </c>
      <c r="Q940" s="34">
        <v>5239.0</v>
      </c>
      <c r="R940" s="40">
        <v>5999.0</v>
      </c>
      <c r="S940" s="35">
        <v>4899.3</v>
      </c>
      <c r="T940" s="36">
        <v>0.0</v>
      </c>
      <c r="U940" s="36">
        <v>0.0</v>
      </c>
      <c r="V940" s="36">
        <v>0.0</v>
      </c>
      <c r="W940" s="36">
        <v>0.0</v>
      </c>
      <c r="X940" s="36">
        <v>0.0</v>
      </c>
      <c r="Y940" s="36">
        <v>0.0</v>
      </c>
    </row>
    <row r="941">
      <c r="A941" s="32" t="s">
        <v>3809</v>
      </c>
      <c r="B941" s="32" t="s">
        <v>3809</v>
      </c>
      <c r="C941" s="32" t="s">
        <v>3810</v>
      </c>
      <c r="D941" s="32" t="s">
        <v>3811</v>
      </c>
      <c r="E941" s="32" t="s">
        <v>5102</v>
      </c>
      <c r="F941" s="32" t="e">
        <v>#N/A</v>
      </c>
      <c r="G941" s="38"/>
      <c r="H941" s="32" t="s">
        <v>5173</v>
      </c>
      <c r="I941" s="32" t="s">
        <v>5122</v>
      </c>
      <c r="J941" s="32" t="s">
        <v>3812</v>
      </c>
      <c r="K941" s="33" t="s">
        <v>3813</v>
      </c>
      <c r="L941" s="32" t="e">
        <v>#N/A</v>
      </c>
      <c r="M941" s="32" t="e">
        <v>#N/A</v>
      </c>
      <c r="N941" s="32" t="s">
        <v>5132</v>
      </c>
      <c r="O941" s="32" t="s">
        <v>4730</v>
      </c>
      <c r="P941" s="32">
        <v>10499.0</v>
      </c>
      <c r="Q941" s="34">
        <v>7864.0</v>
      </c>
      <c r="R941" s="40">
        <v>8899.0</v>
      </c>
      <c r="S941" s="35">
        <v>7349.3</v>
      </c>
      <c r="T941" s="36">
        <v>0.0</v>
      </c>
      <c r="U941" s="36">
        <v>0.0</v>
      </c>
      <c r="V941" s="36">
        <v>0.0</v>
      </c>
      <c r="W941" s="36">
        <v>0.0</v>
      </c>
      <c r="X941" s="36">
        <v>0.0</v>
      </c>
      <c r="Y941" s="36">
        <v>0.0</v>
      </c>
    </row>
    <row r="942">
      <c r="A942" s="32" t="s">
        <v>3814</v>
      </c>
      <c r="B942" s="32" t="s">
        <v>3814</v>
      </c>
      <c r="C942" s="32" t="s">
        <v>3815</v>
      </c>
      <c r="D942" s="32" t="s">
        <v>3816</v>
      </c>
      <c r="E942" s="32" t="s">
        <v>5102</v>
      </c>
      <c r="F942" s="32" t="e">
        <v>#N/A</v>
      </c>
      <c r="G942" s="38"/>
      <c r="H942" s="32" t="s">
        <v>5174</v>
      </c>
      <c r="I942" s="32" t="s">
        <v>5102</v>
      </c>
      <c r="J942" s="32" t="s">
        <v>3817</v>
      </c>
      <c r="K942" s="33" t="s">
        <v>3818</v>
      </c>
      <c r="L942" s="32" t="e">
        <v>#N/A</v>
      </c>
      <c r="M942" s="32" t="e">
        <v>#N/A</v>
      </c>
      <c r="N942" s="32" t="s">
        <v>5132</v>
      </c>
      <c r="O942" s="32" t="s">
        <v>4730</v>
      </c>
      <c r="P942" s="32">
        <v>9499.0</v>
      </c>
      <c r="Q942" s="34">
        <v>7114.0</v>
      </c>
      <c r="R942" s="40">
        <v>7999.0</v>
      </c>
      <c r="S942" s="35">
        <v>6649.3</v>
      </c>
      <c r="T942" s="36">
        <v>0.0</v>
      </c>
      <c r="U942" s="36">
        <v>0.0</v>
      </c>
      <c r="V942" s="36">
        <v>0.0</v>
      </c>
      <c r="W942" s="36">
        <v>0.0</v>
      </c>
      <c r="X942" s="36">
        <v>0.0</v>
      </c>
      <c r="Y942" s="36">
        <v>0.0</v>
      </c>
    </row>
    <row r="943">
      <c r="A943" s="32" t="s">
        <v>2018</v>
      </c>
      <c r="B943" s="32" t="s">
        <v>2018</v>
      </c>
      <c r="C943" s="32" t="s">
        <v>2019</v>
      </c>
      <c r="D943" s="32" t="s">
        <v>2020</v>
      </c>
      <c r="E943" s="32" t="s">
        <v>5102</v>
      </c>
      <c r="F943" s="32" t="s">
        <v>2021</v>
      </c>
      <c r="G943" s="32" t="s">
        <v>5100</v>
      </c>
      <c r="H943" s="32" t="s">
        <v>2022</v>
      </c>
      <c r="I943" s="32" t="s">
        <v>5102</v>
      </c>
      <c r="J943" s="32" t="s">
        <v>2023</v>
      </c>
      <c r="K943" s="33" t="s">
        <v>2024</v>
      </c>
      <c r="L943" s="32" t="e">
        <v>#N/A</v>
      </c>
      <c r="M943" s="32" t="e">
        <v>#N/A</v>
      </c>
      <c r="N943" s="32" t="s">
        <v>5132</v>
      </c>
      <c r="O943" s="32" t="s">
        <v>4730</v>
      </c>
      <c r="P943" s="32">
        <v>7999.0</v>
      </c>
      <c r="Q943" s="34">
        <v>5989.0</v>
      </c>
      <c r="R943" s="40">
        <v>6799.0</v>
      </c>
      <c r="S943" s="35">
        <v>5599.3</v>
      </c>
      <c r="T943" s="36">
        <v>0.0</v>
      </c>
      <c r="U943" s="36">
        <v>0.0</v>
      </c>
      <c r="V943" s="36">
        <v>0.0</v>
      </c>
      <c r="W943" s="36">
        <v>0.0</v>
      </c>
      <c r="X943" s="36">
        <v>0.0</v>
      </c>
      <c r="Y943" s="36">
        <v>0.0</v>
      </c>
    </row>
    <row r="944">
      <c r="A944" s="32" t="s">
        <v>3819</v>
      </c>
      <c r="B944" s="32" t="s">
        <v>3819</v>
      </c>
      <c r="C944" s="32" t="s">
        <v>3820</v>
      </c>
      <c r="D944" s="32" t="s">
        <v>3821</v>
      </c>
      <c r="E944" s="32" t="s">
        <v>5102</v>
      </c>
      <c r="F944" s="32" t="e">
        <v>#N/A</v>
      </c>
      <c r="G944" s="39"/>
      <c r="H944" s="32" t="s">
        <v>5175</v>
      </c>
      <c r="I944" s="32" t="s">
        <v>5102</v>
      </c>
      <c r="J944" s="32" t="s">
        <v>3822</v>
      </c>
      <c r="K944" s="33" t="s">
        <v>3823</v>
      </c>
      <c r="L944" s="32" t="e">
        <v>#N/A</v>
      </c>
      <c r="M944" s="32" t="e">
        <v>#N/A</v>
      </c>
      <c r="N944" s="32" t="s">
        <v>5132</v>
      </c>
      <c r="O944" s="32" t="s">
        <v>4730</v>
      </c>
      <c r="P944" s="32">
        <v>10999.0</v>
      </c>
      <c r="Q944" s="34">
        <v>8239.0</v>
      </c>
      <c r="R944" s="40">
        <v>9299.0</v>
      </c>
      <c r="S944" s="35">
        <v>7699.3</v>
      </c>
      <c r="T944" s="36">
        <v>0.0</v>
      </c>
      <c r="U944" s="36">
        <v>0.0</v>
      </c>
      <c r="V944" s="36">
        <v>0.0</v>
      </c>
      <c r="W944" s="36">
        <v>0.0</v>
      </c>
      <c r="X944" s="36">
        <v>0.0</v>
      </c>
      <c r="Y944" s="36">
        <v>0.0</v>
      </c>
    </row>
    <row r="945">
      <c r="A945" s="32" t="s">
        <v>3798</v>
      </c>
      <c r="B945" s="32" t="s">
        <v>3798</v>
      </c>
      <c r="C945" s="32" t="s">
        <v>3799</v>
      </c>
      <c r="D945" s="32" t="s">
        <v>3800</v>
      </c>
      <c r="E945" s="32" t="s">
        <v>5102</v>
      </c>
      <c r="F945" s="32" t="e">
        <v>#N/A</v>
      </c>
      <c r="G945" s="39"/>
      <c r="H945" s="32" t="s">
        <v>5176</v>
      </c>
      <c r="I945" s="32" t="s">
        <v>5102</v>
      </c>
      <c r="J945" s="32" t="s">
        <v>3801</v>
      </c>
      <c r="K945" s="33" t="s">
        <v>3802</v>
      </c>
      <c r="L945" s="32" t="e">
        <v>#N/A</v>
      </c>
      <c r="M945" s="32" t="e">
        <v>#N/A</v>
      </c>
      <c r="N945" s="32" t="s">
        <v>5132</v>
      </c>
      <c r="O945" s="32" t="s">
        <v>4730</v>
      </c>
      <c r="P945" s="32">
        <v>8499.0</v>
      </c>
      <c r="Q945" s="34">
        <v>6366.0</v>
      </c>
      <c r="R945" s="40">
        <v>7199.0</v>
      </c>
      <c r="S945" s="35">
        <v>5949.3</v>
      </c>
      <c r="T945" s="36">
        <v>0.0</v>
      </c>
      <c r="U945" s="36">
        <v>0.0</v>
      </c>
      <c r="V945" s="36">
        <v>0.0</v>
      </c>
      <c r="W945" s="36">
        <v>0.0</v>
      </c>
      <c r="X945" s="36">
        <v>0.0</v>
      </c>
      <c r="Y945" s="36">
        <v>0.0</v>
      </c>
    </row>
    <row r="946">
      <c r="A946" s="32" t="s">
        <v>3783</v>
      </c>
      <c r="B946" s="32" t="s">
        <v>3783</v>
      </c>
      <c r="C946" s="32" t="s">
        <v>3784</v>
      </c>
      <c r="D946" s="32" t="s">
        <v>3785</v>
      </c>
      <c r="E946" s="32" t="s">
        <v>5102</v>
      </c>
      <c r="F946" s="32" t="e">
        <v>#N/A</v>
      </c>
      <c r="G946" s="39"/>
      <c r="H946" s="32" t="s">
        <v>5177</v>
      </c>
      <c r="I946" s="32" t="s">
        <v>5102</v>
      </c>
      <c r="J946" s="32" t="s">
        <v>3786</v>
      </c>
      <c r="K946" s="33" t="s">
        <v>3787</v>
      </c>
      <c r="L946" s="32" t="e">
        <v>#N/A</v>
      </c>
      <c r="M946" s="32" t="e">
        <v>#N/A</v>
      </c>
      <c r="N946" s="32" t="s">
        <v>5132</v>
      </c>
      <c r="O946" s="32" t="s">
        <v>4730</v>
      </c>
      <c r="P946" s="32">
        <v>5299.0</v>
      </c>
      <c r="Q946" s="34">
        <v>3964.0</v>
      </c>
      <c r="R946" s="40">
        <v>4499.0</v>
      </c>
      <c r="S946" s="35">
        <v>3709.3</v>
      </c>
      <c r="T946" s="36">
        <v>0.0</v>
      </c>
      <c r="U946" s="36">
        <v>0.0</v>
      </c>
      <c r="V946" s="36">
        <v>0.0</v>
      </c>
      <c r="W946" s="36">
        <v>0.0</v>
      </c>
      <c r="X946" s="36">
        <v>0.0</v>
      </c>
      <c r="Y946" s="36">
        <v>0.0</v>
      </c>
    </row>
    <row r="947">
      <c r="A947" s="32" t="s">
        <v>3788</v>
      </c>
      <c r="B947" s="32" t="s">
        <v>3788</v>
      </c>
      <c r="C947" s="32" t="s">
        <v>3789</v>
      </c>
      <c r="D947" s="32" t="s">
        <v>3790</v>
      </c>
      <c r="E947" s="32" t="s">
        <v>5102</v>
      </c>
      <c r="F947" s="32" t="e">
        <v>#N/A</v>
      </c>
      <c r="G947" s="39"/>
      <c r="H947" s="32" t="s">
        <v>5178</v>
      </c>
      <c r="I947" s="32" t="s">
        <v>5102</v>
      </c>
      <c r="J947" s="32" t="s">
        <v>3791</v>
      </c>
      <c r="K947" s="33" t="s">
        <v>3792</v>
      </c>
      <c r="L947" s="32" t="e">
        <v>#N/A</v>
      </c>
      <c r="M947" s="32" t="e">
        <v>#N/A</v>
      </c>
      <c r="N947" s="32" t="s">
        <v>5132</v>
      </c>
      <c r="O947" s="32" t="s">
        <v>4730</v>
      </c>
      <c r="P947" s="32">
        <v>5999.0</v>
      </c>
      <c r="Q947" s="34">
        <v>4499.0</v>
      </c>
      <c r="R947" s="40">
        <v>4999.0</v>
      </c>
      <c r="S947" s="35">
        <v>4199.3</v>
      </c>
      <c r="T947" s="36">
        <v>0.0</v>
      </c>
      <c r="U947" s="36">
        <v>0.0</v>
      </c>
      <c r="V947" s="36">
        <v>0.0</v>
      </c>
      <c r="W947" s="36">
        <v>0.0</v>
      </c>
      <c r="X947" s="36">
        <v>0.0</v>
      </c>
      <c r="Y947" s="36">
        <v>0.0</v>
      </c>
    </row>
    <row r="948">
      <c r="A948" s="32" t="s">
        <v>1138</v>
      </c>
      <c r="B948" s="32" t="s">
        <v>1138</v>
      </c>
      <c r="C948" s="32" t="s">
        <v>5179</v>
      </c>
      <c r="D948" s="32" t="s">
        <v>5180</v>
      </c>
      <c r="E948" s="32" t="s">
        <v>5073</v>
      </c>
      <c r="F948" s="32" t="e">
        <v>#N/A</v>
      </c>
      <c r="G948" s="39"/>
      <c r="H948" s="32" t="s">
        <v>1140</v>
      </c>
      <c r="I948" s="32" t="s">
        <v>5073</v>
      </c>
      <c r="J948" s="32" t="s">
        <v>1141</v>
      </c>
      <c r="K948" s="33" t="s">
        <v>1142</v>
      </c>
      <c r="L948" s="32">
        <v>3.2777665E7</v>
      </c>
      <c r="M948" s="32" t="e">
        <v>#N/A</v>
      </c>
      <c r="N948" s="32" t="s">
        <v>5084</v>
      </c>
      <c r="O948" s="32" t="s">
        <v>1145</v>
      </c>
      <c r="P948" s="32">
        <v>3699.0</v>
      </c>
      <c r="Q948" s="34">
        <v>1899.0</v>
      </c>
      <c r="R948" s="40">
        <v>1899.0</v>
      </c>
      <c r="S948" s="35">
        <v>1899.0</v>
      </c>
      <c r="T948" s="36">
        <v>0.0</v>
      </c>
      <c r="U948" s="36">
        <v>0.0</v>
      </c>
      <c r="V948" s="36">
        <v>0.0</v>
      </c>
      <c r="W948" s="36">
        <v>0.0</v>
      </c>
      <c r="X948" s="36">
        <v>0.0</v>
      </c>
      <c r="Y948" s="36">
        <v>0.0</v>
      </c>
    </row>
    <row r="949">
      <c r="A949" s="32" t="s">
        <v>1121</v>
      </c>
      <c r="B949" s="32" t="s">
        <v>1121</v>
      </c>
      <c r="C949" s="32" t="s">
        <v>1122</v>
      </c>
      <c r="D949" s="32" t="s">
        <v>1123</v>
      </c>
      <c r="E949" s="32" t="s">
        <v>5073</v>
      </c>
      <c r="F949" s="32" t="e">
        <v>#N/A</v>
      </c>
      <c r="G949" s="39"/>
      <c r="H949" s="32" t="s">
        <v>5181</v>
      </c>
      <c r="I949" s="32" t="s">
        <v>5102</v>
      </c>
      <c r="J949" s="32" t="s">
        <v>1124</v>
      </c>
      <c r="K949" s="33" t="s">
        <v>1125</v>
      </c>
      <c r="L949" s="32" t="e">
        <v>#N/A</v>
      </c>
      <c r="M949" s="32" t="s">
        <v>1126</v>
      </c>
      <c r="N949" s="32" t="s">
        <v>1144</v>
      </c>
      <c r="O949" s="32" t="s">
        <v>1145</v>
      </c>
      <c r="P949" s="32">
        <v>4599.0</v>
      </c>
      <c r="Q949" s="34">
        <v>3899.0</v>
      </c>
      <c r="R949" s="40">
        <v>3899.0</v>
      </c>
      <c r="S949" s="35">
        <v>2999.0</v>
      </c>
      <c r="T949" s="36">
        <v>0.0</v>
      </c>
      <c r="U949" s="36">
        <v>0.0</v>
      </c>
      <c r="V949" s="36">
        <v>0.0</v>
      </c>
      <c r="W949" s="36">
        <v>0.0</v>
      </c>
      <c r="X949" s="36">
        <v>0.0</v>
      </c>
      <c r="Y949" s="36">
        <v>0.0</v>
      </c>
    </row>
    <row r="950">
      <c r="A950" s="32" t="s">
        <v>1101</v>
      </c>
      <c r="B950" s="32" t="s">
        <v>1101</v>
      </c>
      <c r="C950" s="32" t="s">
        <v>1102</v>
      </c>
      <c r="D950" s="32" t="s">
        <v>1103</v>
      </c>
      <c r="E950" s="32" t="s">
        <v>5073</v>
      </c>
      <c r="F950" s="32" t="e">
        <v>#N/A</v>
      </c>
      <c r="G950" s="39"/>
      <c r="H950" s="32" t="s">
        <v>1104</v>
      </c>
      <c r="I950" s="32" t="s">
        <v>5073</v>
      </c>
      <c r="J950" s="32" t="s">
        <v>1105</v>
      </c>
      <c r="K950" s="33" t="s">
        <v>1106</v>
      </c>
      <c r="L950" s="32" t="e">
        <v>#N/A</v>
      </c>
      <c r="M950" s="32" t="s">
        <v>1107</v>
      </c>
      <c r="N950" s="32" t="s">
        <v>1144</v>
      </c>
      <c r="O950" s="32" t="s">
        <v>1145</v>
      </c>
      <c r="P950" s="32">
        <v>3699.0</v>
      </c>
      <c r="Q950" s="34">
        <v>1899.0</v>
      </c>
      <c r="R950" s="40">
        <v>1899.0</v>
      </c>
      <c r="S950" s="35">
        <v>1799.0</v>
      </c>
      <c r="T950" s="36">
        <v>0.0</v>
      </c>
      <c r="U950" s="36">
        <v>0.0</v>
      </c>
      <c r="V950" s="36">
        <v>0.0</v>
      </c>
      <c r="W950" s="36">
        <v>0.0</v>
      </c>
      <c r="X950" s="36">
        <v>0.0</v>
      </c>
      <c r="Y950" s="36">
        <v>0.0</v>
      </c>
    </row>
    <row r="951">
      <c r="A951" s="32" t="s">
        <v>2477</v>
      </c>
      <c r="B951" s="32" t="s">
        <v>2477</v>
      </c>
      <c r="C951" s="32" t="s">
        <v>2478</v>
      </c>
      <c r="D951" s="32" t="s">
        <v>4816</v>
      </c>
      <c r="E951" s="32" t="s">
        <v>5073</v>
      </c>
      <c r="F951" s="32" t="e">
        <v>#N/A</v>
      </c>
      <c r="G951" s="32" t="e">
        <v>#N/A</v>
      </c>
      <c r="H951" s="32" t="s">
        <v>2479</v>
      </c>
      <c r="I951" s="32" t="s">
        <v>5117</v>
      </c>
      <c r="J951" s="32" t="s">
        <v>2477</v>
      </c>
      <c r="K951" s="33" t="s">
        <v>2480</v>
      </c>
      <c r="L951" s="32">
        <v>3.2777657E7</v>
      </c>
      <c r="M951" s="32" t="e">
        <v>#N/A</v>
      </c>
      <c r="N951" s="32" t="s">
        <v>5083</v>
      </c>
      <c r="O951" s="32" t="s">
        <v>1145</v>
      </c>
      <c r="P951" s="32">
        <v>5599.0</v>
      </c>
      <c r="Q951" s="34">
        <v>3799.0</v>
      </c>
      <c r="R951" s="40">
        <v>3799.0</v>
      </c>
      <c r="S951" s="35">
        <v>3499.0</v>
      </c>
      <c r="T951" s="36">
        <v>0.0</v>
      </c>
      <c r="U951" s="36">
        <v>0.0</v>
      </c>
      <c r="V951" s="36">
        <v>0.0</v>
      </c>
      <c r="W951" s="36">
        <v>0.0</v>
      </c>
      <c r="X951" s="36">
        <v>0.0</v>
      </c>
      <c r="Y951" s="36">
        <v>0.0</v>
      </c>
    </row>
    <row r="952">
      <c r="A952" s="32" t="s">
        <v>2454</v>
      </c>
      <c r="B952" s="32" t="s">
        <v>2454</v>
      </c>
      <c r="C952" s="32" t="s">
        <v>2455</v>
      </c>
      <c r="D952" s="32" t="s">
        <v>2456</v>
      </c>
      <c r="E952" s="32" t="s">
        <v>5073</v>
      </c>
      <c r="F952" s="32" t="e">
        <v>#N/A</v>
      </c>
      <c r="G952" s="39"/>
      <c r="H952" s="32" t="s">
        <v>2457</v>
      </c>
      <c r="I952" s="32" t="s">
        <v>5073</v>
      </c>
      <c r="J952" s="32" t="s">
        <v>2458</v>
      </c>
      <c r="K952" s="33" t="s">
        <v>2459</v>
      </c>
      <c r="L952" s="32">
        <v>3.2777663E7</v>
      </c>
      <c r="M952" s="32" t="s">
        <v>2460</v>
      </c>
      <c r="N952" s="32" t="s">
        <v>5083</v>
      </c>
      <c r="O952" s="32" t="s">
        <v>1145</v>
      </c>
      <c r="P952" s="32">
        <v>5599.0</v>
      </c>
      <c r="Q952" s="34">
        <v>4499.0</v>
      </c>
      <c r="R952" s="40">
        <v>4499.0</v>
      </c>
      <c r="S952" s="35">
        <v>4299.0</v>
      </c>
      <c r="T952" s="36">
        <v>0.0</v>
      </c>
      <c r="U952" s="36">
        <v>0.0</v>
      </c>
      <c r="V952" s="36">
        <v>0.0</v>
      </c>
      <c r="W952" s="36">
        <v>0.0</v>
      </c>
      <c r="X952" s="36">
        <v>0.0</v>
      </c>
      <c r="Y952" s="36">
        <v>0.0</v>
      </c>
    </row>
    <row r="953">
      <c r="A953" s="32" t="s">
        <v>1127</v>
      </c>
      <c r="B953" s="32" t="s">
        <v>1127</v>
      </c>
      <c r="C953" s="32" t="s">
        <v>1128</v>
      </c>
      <c r="D953" s="32" t="s">
        <v>1129</v>
      </c>
      <c r="E953" s="32" t="s">
        <v>5102</v>
      </c>
      <c r="F953" s="32" t="e">
        <v>#N/A</v>
      </c>
      <c r="G953" s="39"/>
      <c r="H953" s="32">
        <v>0.0</v>
      </c>
      <c r="I953" s="39"/>
      <c r="J953" s="32" t="s">
        <v>1130</v>
      </c>
      <c r="K953" s="33" t="s">
        <v>1131</v>
      </c>
      <c r="L953" s="32" t="e">
        <v>#N/A</v>
      </c>
      <c r="M953" s="32" t="e">
        <v>#N/A</v>
      </c>
      <c r="N953" s="32" t="s">
        <v>1144</v>
      </c>
      <c r="O953" s="32" t="s">
        <v>1145</v>
      </c>
      <c r="P953" s="32">
        <v>8299.0</v>
      </c>
      <c r="Q953" s="34">
        <v>7799.0</v>
      </c>
      <c r="R953" s="40">
        <v>7799.0</v>
      </c>
      <c r="S953" s="35">
        <v>6299.0</v>
      </c>
      <c r="T953" s="36">
        <v>0.0</v>
      </c>
      <c r="U953" s="36">
        <v>0.0</v>
      </c>
      <c r="V953" s="36">
        <v>0.0</v>
      </c>
      <c r="W953" s="36">
        <v>0.0</v>
      </c>
      <c r="X953" s="36">
        <v>0.0</v>
      </c>
      <c r="Y953" s="36">
        <v>0.0</v>
      </c>
    </row>
    <row r="954">
      <c r="A954" s="32" t="s">
        <v>1108</v>
      </c>
      <c r="B954" s="32" t="s">
        <v>1108</v>
      </c>
      <c r="C954" s="32" t="s">
        <v>1109</v>
      </c>
      <c r="D954" s="32" t="s">
        <v>1110</v>
      </c>
      <c r="E954" s="32" t="s">
        <v>5073</v>
      </c>
      <c r="F954" s="32" t="e">
        <v>#N/A</v>
      </c>
      <c r="G954" s="39"/>
      <c r="H954" s="32" t="s">
        <v>1111</v>
      </c>
      <c r="I954" s="32" t="s">
        <v>5073</v>
      </c>
      <c r="J954" s="32" t="s">
        <v>1112</v>
      </c>
      <c r="K954" s="33" t="s">
        <v>1113</v>
      </c>
      <c r="L954" s="32" t="e">
        <v>#N/A</v>
      </c>
      <c r="M954" s="32" t="s">
        <v>1114</v>
      </c>
      <c r="N954" s="32" t="s">
        <v>1144</v>
      </c>
      <c r="O954" s="32" t="s">
        <v>1145</v>
      </c>
      <c r="P954" s="32">
        <v>6599.0</v>
      </c>
      <c r="Q954" s="34">
        <v>3799.0</v>
      </c>
      <c r="R954" s="40">
        <v>3799.0</v>
      </c>
      <c r="S954" s="35">
        <v>3499.0</v>
      </c>
      <c r="T954" s="36">
        <v>0.0</v>
      </c>
      <c r="U954" s="36">
        <v>0.0</v>
      </c>
      <c r="V954" s="36">
        <v>0.0</v>
      </c>
      <c r="W954" s="36">
        <v>0.0</v>
      </c>
      <c r="X954" s="36">
        <v>0.0</v>
      </c>
      <c r="Y954" s="36">
        <v>0.0</v>
      </c>
    </row>
    <row r="955">
      <c r="A955" s="32" t="s">
        <v>3424</v>
      </c>
      <c r="B955" s="32" t="s">
        <v>3424</v>
      </c>
      <c r="C955" s="32" t="s">
        <v>3425</v>
      </c>
      <c r="D955" s="32" t="s">
        <v>3427</v>
      </c>
      <c r="E955" s="32" t="s">
        <v>5102</v>
      </c>
      <c r="F955" s="32" t="e">
        <v>#N/A</v>
      </c>
      <c r="G955" s="32" t="e">
        <v>#N/A</v>
      </c>
      <c r="H955" s="32" t="s">
        <v>3424</v>
      </c>
      <c r="I955" s="32" t="s">
        <v>5102</v>
      </c>
      <c r="J955" s="32" t="s">
        <v>3428</v>
      </c>
      <c r="K955" s="33" t="s">
        <v>3429</v>
      </c>
      <c r="L955" s="32" t="e">
        <v>#N/A</v>
      </c>
      <c r="M955" s="32" t="e">
        <v>#N/A</v>
      </c>
      <c r="N955" s="32" t="s">
        <v>5078</v>
      </c>
      <c r="O955" s="32" t="s">
        <v>4730</v>
      </c>
      <c r="P955" s="32">
        <v>699.0</v>
      </c>
      <c r="Q955" s="34">
        <v>692.01</v>
      </c>
      <c r="R955" s="35">
        <v>699.0</v>
      </c>
      <c r="S955" s="35">
        <v>664.05</v>
      </c>
      <c r="T955" s="36">
        <v>0.0</v>
      </c>
      <c r="U955" s="36">
        <v>0.0</v>
      </c>
      <c r="V955" s="36">
        <v>0.0</v>
      </c>
      <c r="W955" s="36">
        <v>0.0</v>
      </c>
      <c r="X955" s="36">
        <v>0.0</v>
      </c>
      <c r="Y955" s="36">
        <v>0.0</v>
      </c>
    </row>
    <row r="956">
      <c r="A956" s="32" t="s">
        <v>3701</v>
      </c>
      <c r="B956" s="32" t="s">
        <v>3701</v>
      </c>
      <c r="C956" s="32" t="s">
        <v>3702</v>
      </c>
      <c r="D956" s="32" t="s">
        <v>3703</v>
      </c>
      <c r="E956" s="32" t="s">
        <v>5102</v>
      </c>
      <c r="F956" s="32" t="e">
        <v>#N/A</v>
      </c>
      <c r="G956" s="39"/>
      <c r="H956" s="32" t="s">
        <v>3701</v>
      </c>
      <c r="I956" s="32" t="s">
        <v>5102</v>
      </c>
      <c r="J956" s="32" t="s">
        <v>3704</v>
      </c>
      <c r="K956" s="33" t="s">
        <v>3705</v>
      </c>
      <c r="L956" s="32" t="e">
        <v>#N/A</v>
      </c>
      <c r="M956" s="32" t="e">
        <v>#N/A</v>
      </c>
      <c r="N956" s="32" t="s">
        <v>5127</v>
      </c>
      <c r="O956" s="32" t="s">
        <v>4730</v>
      </c>
      <c r="P956" s="32">
        <v>949.0</v>
      </c>
      <c r="Q956" s="34">
        <v>899.0</v>
      </c>
      <c r="R956" s="35">
        <v>899.0</v>
      </c>
      <c r="S956" s="35">
        <v>849.0</v>
      </c>
      <c r="T956" s="36">
        <v>0.0</v>
      </c>
      <c r="U956" s="36">
        <v>0.0</v>
      </c>
      <c r="V956" s="36">
        <v>0.0</v>
      </c>
      <c r="W956" s="36">
        <v>0.0</v>
      </c>
      <c r="X956" s="36">
        <v>0.0</v>
      </c>
      <c r="Y956" s="36">
        <v>0.0</v>
      </c>
    </row>
    <row r="957">
      <c r="A957" s="32" t="s">
        <v>3676</v>
      </c>
      <c r="B957" s="32" t="s">
        <v>3676</v>
      </c>
      <c r="C957" s="32" t="s">
        <v>3677</v>
      </c>
      <c r="D957" s="32" t="s">
        <v>3678</v>
      </c>
      <c r="E957" s="32" t="s">
        <v>5102</v>
      </c>
      <c r="F957" s="32" t="e">
        <v>#N/A</v>
      </c>
      <c r="G957" s="39"/>
      <c r="H957" s="32" t="s">
        <v>3676</v>
      </c>
      <c r="I957" s="32" t="s">
        <v>5102</v>
      </c>
      <c r="J957" s="32" t="s">
        <v>3679</v>
      </c>
      <c r="K957" s="33" t="s">
        <v>3680</v>
      </c>
      <c r="L957" s="32" t="e">
        <v>#N/A</v>
      </c>
      <c r="M957" s="32" t="e">
        <v>#N/A</v>
      </c>
      <c r="N957" s="32" t="s">
        <v>5127</v>
      </c>
      <c r="O957" s="32" t="s">
        <v>4730</v>
      </c>
      <c r="P957" s="32">
        <v>999.0</v>
      </c>
      <c r="Q957" s="34">
        <v>879.0</v>
      </c>
      <c r="R957" s="35">
        <v>899.0</v>
      </c>
      <c r="S957" s="35">
        <v>879.0</v>
      </c>
      <c r="T957" s="36">
        <v>0.0</v>
      </c>
      <c r="U957" s="36">
        <v>0.0</v>
      </c>
      <c r="V957" s="36">
        <v>0.0</v>
      </c>
      <c r="W957" s="36">
        <v>0.0</v>
      </c>
      <c r="X957" s="36">
        <v>0.0</v>
      </c>
      <c r="Y957" s="36">
        <v>0.0</v>
      </c>
    </row>
    <row r="958">
      <c r="A958" s="32" t="s">
        <v>3624</v>
      </c>
      <c r="B958" s="32" t="s">
        <v>3624</v>
      </c>
      <c r="C958" s="32" t="s">
        <v>3625</v>
      </c>
      <c r="D958" s="32" t="s">
        <v>3626</v>
      </c>
      <c r="E958" s="32" t="s">
        <v>5102</v>
      </c>
      <c r="F958" s="32" t="e">
        <v>#N/A</v>
      </c>
      <c r="G958" s="39"/>
      <c r="H958" s="32" t="s">
        <v>3624</v>
      </c>
      <c r="I958" s="32" t="s">
        <v>5102</v>
      </c>
      <c r="J958" s="32" t="s">
        <v>3627</v>
      </c>
      <c r="K958" s="33" t="s">
        <v>3628</v>
      </c>
      <c r="L958" s="32" t="e">
        <v>#N/A</v>
      </c>
      <c r="M958" s="32" t="e">
        <v>#N/A</v>
      </c>
      <c r="N958" s="32" t="s">
        <v>5127</v>
      </c>
      <c r="O958" s="32" t="s">
        <v>4730</v>
      </c>
      <c r="P958" s="32">
        <v>899.0</v>
      </c>
      <c r="Q958" s="34">
        <v>799.0</v>
      </c>
      <c r="R958" s="35">
        <v>799.0</v>
      </c>
      <c r="S958" s="35">
        <v>749.0</v>
      </c>
      <c r="T958" s="36">
        <v>0.0</v>
      </c>
      <c r="U958" s="36">
        <v>0.0</v>
      </c>
      <c r="V958" s="36">
        <v>0.0</v>
      </c>
      <c r="W958" s="36">
        <v>0.0</v>
      </c>
      <c r="X958" s="36">
        <v>0.0</v>
      </c>
      <c r="Y958" s="36">
        <v>0.0</v>
      </c>
    </row>
    <row r="959">
      <c r="A959" s="32" t="s">
        <v>304</v>
      </c>
      <c r="B959" s="32" t="s">
        <v>304</v>
      </c>
      <c r="C959" s="32" t="s">
        <v>305</v>
      </c>
      <c r="D959" s="32" t="s">
        <v>306</v>
      </c>
      <c r="E959" s="32" t="s">
        <v>5102</v>
      </c>
      <c r="F959" s="32" t="e">
        <v>#N/A</v>
      </c>
      <c r="G959" s="39"/>
      <c r="H959" s="32">
        <v>0.0</v>
      </c>
      <c r="I959" s="39"/>
      <c r="J959" s="32" t="s">
        <v>307</v>
      </c>
      <c r="K959" s="33" t="s">
        <v>308</v>
      </c>
      <c r="L959" s="32" t="e">
        <v>#N/A</v>
      </c>
      <c r="M959" s="32" t="e">
        <v>#N/A</v>
      </c>
      <c r="N959" s="32" t="s">
        <v>51</v>
      </c>
      <c r="O959" s="32" t="s">
        <v>52</v>
      </c>
      <c r="P959" s="32">
        <v>8809.0</v>
      </c>
      <c r="Q959" s="34">
        <v>7135.0</v>
      </c>
      <c r="R959" s="40">
        <v>7699.0</v>
      </c>
      <c r="S959" s="35">
        <v>6694.84</v>
      </c>
      <c r="T959" s="36">
        <v>0.0</v>
      </c>
      <c r="U959" s="36">
        <v>0.0</v>
      </c>
      <c r="V959" s="36">
        <v>0.0</v>
      </c>
      <c r="W959" s="36">
        <v>0.0</v>
      </c>
      <c r="X959" s="36">
        <v>0.0</v>
      </c>
      <c r="Y959" s="36">
        <v>0.0</v>
      </c>
    </row>
    <row r="960">
      <c r="A960" s="32" t="s">
        <v>309</v>
      </c>
      <c r="B960" s="32" t="s">
        <v>309</v>
      </c>
      <c r="C960" s="32" t="s">
        <v>310</v>
      </c>
      <c r="D960" s="32" t="s">
        <v>311</v>
      </c>
      <c r="E960" s="32" t="s">
        <v>5102</v>
      </c>
      <c r="F960" s="32" t="e">
        <v>#N/A</v>
      </c>
      <c r="G960" s="39"/>
      <c r="H960" s="32">
        <v>0.0</v>
      </c>
      <c r="I960" s="39"/>
      <c r="J960" s="32" t="s">
        <v>312</v>
      </c>
      <c r="K960" s="33" t="s">
        <v>313</v>
      </c>
      <c r="L960" s="32" t="e">
        <v>#N/A</v>
      </c>
      <c r="M960" s="32" t="e">
        <v>#REF!</v>
      </c>
      <c r="N960" s="32" t="s">
        <v>51</v>
      </c>
      <c r="O960" s="32" t="s">
        <v>52</v>
      </c>
      <c r="P960" s="32">
        <v>9069.0</v>
      </c>
      <c r="Q960" s="34">
        <v>7346.0</v>
      </c>
      <c r="R960" s="40">
        <v>7899.0</v>
      </c>
      <c r="S960" s="35">
        <v>6892.44</v>
      </c>
      <c r="T960" s="36">
        <v>0.0</v>
      </c>
      <c r="U960" s="36">
        <v>0.0</v>
      </c>
      <c r="V960" s="36">
        <v>0.0</v>
      </c>
      <c r="W960" s="36">
        <v>0.0</v>
      </c>
      <c r="X960" s="36">
        <v>0.0</v>
      </c>
      <c r="Y960" s="36">
        <v>0.0</v>
      </c>
    </row>
    <row r="961">
      <c r="A961" s="32" t="s">
        <v>265</v>
      </c>
      <c r="B961" s="32" t="s">
        <v>265</v>
      </c>
      <c r="C961" s="32" t="s">
        <v>266</v>
      </c>
      <c r="D961" s="32" t="s">
        <v>267</v>
      </c>
      <c r="E961" s="32" t="s">
        <v>5102</v>
      </c>
      <c r="F961" s="32" t="e">
        <v>#N/A</v>
      </c>
      <c r="G961" s="39"/>
      <c r="H961" s="32" t="s">
        <v>268</v>
      </c>
      <c r="I961" s="32" t="s">
        <v>5102</v>
      </c>
      <c r="J961" s="32" t="s">
        <v>269</v>
      </c>
      <c r="K961" s="33" t="s">
        <v>270</v>
      </c>
      <c r="L961" s="32">
        <v>3.2784004E7</v>
      </c>
      <c r="M961" s="32" t="s">
        <v>271</v>
      </c>
      <c r="N961" s="32" t="s">
        <v>51</v>
      </c>
      <c r="O961" s="32" t="s">
        <v>52</v>
      </c>
      <c r="P961" s="32">
        <v>16899.0</v>
      </c>
      <c r="Q961" s="34">
        <v>13688.0</v>
      </c>
      <c r="R961" s="40">
        <v>14699.0</v>
      </c>
      <c r="S961" s="35">
        <v>12843.24</v>
      </c>
      <c r="T961" s="36">
        <v>0.0</v>
      </c>
      <c r="U961" s="36">
        <v>0.0</v>
      </c>
      <c r="V961" s="36">
        <v>0.0</v>
      </c>
      <c r="W961" s="36">
        <v>0.0</v>
      </c>
      <c r="X961" s="36">
        <v>0.0</v>
      </c>
      <c r="Y961" s="36">
        <v>0.0</v>
      </c>
    </row>
    <row r="962">
      <c r="A962" s="32" t="s">
        <v>321</v>
      </c>
      <c r="B962" s="32" t="s">
        <v>321</v>
      </c>
      <c r="C962" s="32" t="s">
        <v>322</v>
      </c>
      <c r="D962" s="32" t="s">
        <v>323</v>
      </c>
      <c r="E962" s="32" t="s">
        <v>5102</v>
      </c>
      <c r="F962" s="32" t="e">
        <v>#N/A</v>
      </c>
      <c r="G962" s="39"/>
      <c r="H962" s="32">
        <v>0.0</v>
      </c>
      <c r="I962" s="39"/>
      <c r="J962" s="32" t="s">
        <v>324</v>
      </c>
      <c r="K962" s="33" t="s">
        <v>325</v>
      </c>
      <c r="L962" s="32" t="e">
        <v>#N/A</v>
      </c>
      <c r="M962" s="32" t="e">
        <v>#REF!</v>
      </c>
      <c r="N962" s="32" t="s">
        <v>51</v>
      </c>
      <c r="O962" s="32" t="s">
        <v>52</v>
      </c>
      <c r="P962" s="32">
        <v>10259.0</v>
      </c>
      <c r="Q962" s="34">
        <v>8310.0</v>
      </c>
      <c r="R962" s="40">
        <v>8899.0</v>
      </c>
      <c r="S962" s="35">
        <v>7796.84</v>
      </c>
      <c r="T962" s="36">
        <v>0.0</v>
      </c>
      <c r="U962" s="36">
        <v>0.0</v>
      </c>
      <c r="V962" s="36">
        <v>0.0</v>
      </c>
      <c r="W962" s="36">
        <v>0.0</v>
      </c>
      <c r="X962" s="36">
        <v>0.0</v>
      </c>
      <c r="Y962" s="36">
        <v>0.0</v>
      </c>
    </row>
    <row r="963">
      <c r="A963" s="32" t="s">
        <v>289</v>
      </c>
      <c r="B963" s="32" t="s">
        <v>289</v>
      </c>
      <c r="C963" s="32" t="s">
        <v>290</v>
      </c>
      <c r="D963" s="32" t="s">
        <v>291</v>
      </c>
      <c r="E963" s="32" t="s">
        <v>5102</v>
      </c>
      <c r="F963" s="32" t="e">
        <v>#N/A</v>
      </c>
      <c r="G963" s="39"/>
      <c r="H963" s="32">
        <v>0.0</v>
      </c>
      <c r="I963" s="39"/>
      <c r="J963" s="32" t="s">
        <v>292</v>
      </c>
      <c r="K963" s="33" t="s">
        <v>293</v>
      </c>
      <c r="L963" s="32" t="e">
        <v>#N/A</v>
      </c>
      <c r="M963" s="32" t="e">
        <v>#REF!</v>
      </c>
      <c r="N963" s="32" t="s">
        <v>51</v>
      </c>
      <c r="O963" s="32" t="s">
        <v>52</v>
      </c>
      <c r="P963" s="32">
        <v>12909.0</v>
      </c>
      <c r="Q963" s="34">
        <v>10456.0</v>
      </c>
      <c r="R963" s="40">
        <v>11199.0</v>
      </c>
      <c r="S963" s="35">
        <v>9810.84</v>
      </c>
      <c r="T963" s="36">
        <v>0.0</v>
      </c>
      <c r="U963" s="36">
        <v>0.0</v>
      </c>
      <c r="V963" s="36">
        <v>0.0</v>
      </c>
      <c r="W963" s="36">
        <v>0.0</v>
      </c>
      <c r="X963" s="36">
        <v>0.0</v>
      </c>
      <c r="Y963" s="36">
        <v>0.0</v>
      </c>
    </row>
    <row r="964">
      <c r="A964" s="32" t="s">
        <v>4920</v>
      </c>
      <c r="B964" s="32" t="s">
        <v>4920</v>
      </c>
      <c r="C964" s="32" t="s">
        <v>4921</v>
      </c>
      <c r="D964" s="46" t="s">
        <v>5182</v>
      </c>
      <c r="E964" s="47" t="s">
        <v>5102</v>
      </c>
      <c r="F964" s="38"/>
      <c r="G964" s="38"/>
      <c r="H964" s="38"/>
      <c r="I964" s="38"/>
      <c r="J964" s="32" t="s">
        <v>4923</v>
      </c>
      <c r="K964" s="38"/>
      <c r="L964" s="38"/>
      <c r="M964" s="38"/>
      <c r="N964" s="32" t="s">
        <v>51</v>
      </c>
      <c r="O964" s="32" t="s">
        <v>52</v>
      </c>
      <c r="P964" s="32">
        <v>9199.0</v>
      </c>
      <c r="Q964" s="44">
        <v>7451.0</v>
      </c>
      <c r="R964" s="40">
        <v>7999.0</v>
      </c>
      <c r="S964" s="35">
        <v>6991.24</v>
      </c>
      <c r="T964" s="36">
        <v>0.0</v>
      </c>
      <c r="U964" s="36">
        <v>0.0</v>
      </c>
      <c r="V964" s="36">
        <v>0.0</v>
      </c>
      <c r="W964" s="36">
        <v>0.0</v>
      </c>
      <c r="X964" s="36">
        <v>0.0</v>
      </c>
      <c r="Y964" s="36">
        <v>0.0</v>
      </c>
    </row>
    <row r="965">
      <c r="A965" s="32" t="s">
        <v>326</v>
      </c>
      <c r="B965" s="32" t="s">
        <v>326</v>
      </c>
      <c r="C965" s="32" t="s">
        <v>327</v>
      </c>
      <c r="D965" s="32" t="s">
        <v>328</v>
      </c>
      <c r="E965" s="32" t="s">
        <v>5102</v>
      </c>
      <c r="F965" s="32" t="e">
        <v>#N/A</v>
      </c>
      <c r="G965" s="39"/>
      <c r="H965" s="32">
        <v>0.0</v>
      </c>
      <c r="I965" s="39"/>
      <c r="J965" s="32" t="s">
        <v>329</v>
      </c>
      <c r="K965" s="33" t="s">
        <v>330</v>
      </c>
      <c r="L965" s="32" t="e">
        <v>#N/A</v>
      </c>
      <c r="M965" s="32" t="e">
        <v>#REF!</v>
      </c>
      <c r="N965" s="32" t="s">
        <v>51</v>
      </c>
      <c r="O965" s="32" t="s">
        <v>52</v>
      </c>
      <c r="P965" s="32">
        <v>10779.0</v>
      </c>
      <c r="Q965" s="34">
        <v>8731.0</v>
      </c>
      <c r="R965" s="40">
        <v>9399.0</v>
      </c>
      <c r="S965" s="35">
        <v>8192.04</v>
      </c>
      <c r="T965" s="36">
        <v>0.0</v>
      </c>
      <c r="U965" s="36">
        <v>0.0</v>
      </c>
      <c r="V965" s="36">
        <v>0.0</v>
      </c>
      <c r="W965" s="36">
        <v>0.0</v>
      </c>
      <c r="X965" s="36">
        <v>0.0</v>
      </c>
      <c r="Y965" s="36">
        <v>0.0</v>
      </c>
    </row>
    <row r="966">
      <c r="A966" s="32" t="s">
        <v>294</v>
      </c>
      <c r="B966" s="32" t="s">
        <v>294</v>
      </c>
      <c r="C966" s="32" t="s">
        <v>295</v>
      </c>
      <c r="D966" s="32" t="s">
        <v>296</v>
      </c>
      <c r="E966" s="32" t="s">
        <v>5102</v>
      </c>
      <c r="F966" s="32" t="e">
        <v>#N/A</v>
      </c>
      <c r="G966" s="39"/>
      <c r="H966" s="32">
        <v>0.0</v>
      </c>
      <c r="I966" s="39"/>
      <c r="J966" s="32" t="s">
        <v>297</v>
      </c>
      <c r="K966" s="33" t="s">
        <v>298</v>
      </c>
      <c r="L966" s="32" t="e">
        <v>#N/A</v>
      </c>
      <c r="M966" s="32" t="e">
        <v>#REF!</v>
      </c>
      <c r="N966" s="32" t="s">
        <v>51</v>
      </c>
      <c r="O966" s="32" t="s">
        <v>52</v>
      </c>
      <c r="P966" s="32">
        <v>13189.0</v>
      </c>
      <c r="Q966" s="34">
        <v>10683.0</v>
      </c>
      <c r="R966" s="40">
        <v>11499.0</v>
      </c>
      <c r="S966" s="35">
        <v>10023.64</v>
      </c>
      <c r="T966" s="36">
        <v>0.0</v>
      </c>
      <c r="U966" s="36">
        <v>0.0</v>
      </c>
      <c r="V966" s="36">
        <v>0.0</v>
      </c>
      <c r="W966" s="36">
        <v>0.0</v>
      </c>
      <c r="X966" s="36">
        <v>0.0</v>
      </c>
      <c r="Y966" s="36">
        <v>0.0</v>
      </c>
    </row>
    <row r="967">
      <c r="A967" s="32" t="s">
        <v>331</v>
      </c>
      <c r="B967" s="32" t="s">
        <v>331</v>
      </c>
      <c r="C967" s="32" t="s">
        <v>332</v>
      </c>
      <c r="D967" s="32" t="s">
        <v>333</v>
      </c>
      <c r="E967" s="32" t="s">
        <v>5102</v>
      </c>
      <c r="F967" s="32" t="e">
        <v>#N/A</v>
      </c>
      <c r="G967" s="39"/>
      <c r="H967" s="32">
        <v>0.0</v>
      </c>
      <c r="I967" s="39"/>
      <c r="J967" s="32" t="s">
        <v>334</v>
      </c>
      <c r="K967" s="33" t="s">
        <v>335</v>
      </c>
      <c r="L967" s="32" t="e">
        <v>#N/A</v>
      </c>
      <c r="M967" s="32" t="e">
        <v>#REF!</v>
      </c>
      <c r="N967" s="32" t="s">
        <v>51</v>
      </c>
      <c r="O967" s="32" t="s">
        <v>52</v>
      </c>
      <c r="P967" s="32">
        <v>10909.0</v>
      </c>
      <c r="Q967" s="34">
        <v>8836.0</v>
      </c>
      <c r="R967" s="40">
        <v>9499.0</v>
      </c>
      <c r="S967" s="35">
        <v>8290.84</v>
      </c>
      <c r="T967" s="36">
        <v>0.0</v>
      </c>
      <c r="U967" s="36">
        <v>0.0</v>
      </c>
      <c r="V967" s="36">
        <v>0.0</v>
      </c>
      <c r="W967" s="36">
        <v>0.0</v>
      </c>
      <c r="X967" s="36">
        <v>0.0</v>
      </c>
      <c r="Y967" s="36">
        <v>0.0</v>
      </c>
    </row>
    <row r="968">
      <c r="A968" s="32" t="s">
        <v>299</v>
      </c>
      <c r="B968" s="32" t="s">
        <v>299</v>
      </c>
      <c r="C968" s="32" t="s">
        <v>300</v>
      </c>
      <c r="D968" s="32" t="s">
        <v>301</v>
      </c>
      <c r="E968" s="32" t="s">
        <v>5102</v>
      </c>
      <c r="F968" s="32" t="e">
        <v>#N/A</v>
      </c>
      <c r="G968" s="39"/>
      <c r="H968" s="32">
        <v>0.0</v>
      </c>
      <c r="I968" s="39"/>
      <c r="J968" s="32" t="s">
        <v>302</v>
      </c>
      <c r="K968" s="33" t="s">
        <v>303</v>
      </c>
      <c r="L968" s="32" t="e">
        <v>#N/A</v>
      </c>
      <c r="M968" s="32" t="e">
        <v>#REF!</v>
      </c>
      <c r="N968" s="32" t="s">
        <v>51</v>
      </c>
      <c r="O968" s="32" t="s">
        <v>52</v>
      </c>
      <c r="P968" s="32">
        <v>13599.0</v>
      </c>
      <c r="Q968" s="34">
        <v>11015.0</v>
      </c>
      <c r="R968" s="40">
        <v>11799.0</v>
      </c>
      <c r="S968" s="35">
        <v>10335.24</v>
      </c>
      <c r="T968" s="36">
        <v>0.0</v>
      </c>
      <c r="U968" s="36">
        <v>0.0</v>
      </c>
      <c r="V968" s="36">
        <v>0.0</v>
      </c>
      <c r="W968" s="36">
        <v>0.0</v>
      </c>
      <c r="X968" s="36">
        <v>0.0</v>
      </c>
      <c r="Y968" s="36">
        <v>0.0</v>
      </c>
    </row>
    <row r="969">
      <c r="A969" s="32" t="s">
        <v>227</v>
      </c>
      <c r="B969" s="32" t="s">
        <v>227</v>
      </c>
      <c r="C969" s="32" t="s">
        <v>228</v>
      </c>
      <c r="D969" s="32" t="s">
        <v>229</v>
      </c>
      <c r="E969" s="32" t="s">
        <v>5102</v>
      </c>
      <c r="F969" s="32" t="e">
        <v>#N/A</v>
      </c>
      <c r="G969" s="39"/>
      <c r="H969" s="32">
        <v>0.0</v>
      </c>
      <c r="I969" s="39"/>
      <c r="J969" s="32" t="s">
        <v>230</v>
      </c>
      <c r="K969" s="33" t="s">
        <v>231</v>
      </c>
      <c r="L969" s="32" t="e">
        <v>#N/A</v>
      </c>
      <c r="M969" s="32" t="e">
        <v>#REF!</v>
      </c>
      <c r="N969" s="32" t="s">
        <v>51</v>
      </c>
      <c r="O969" s="32" t="s">
        <v>52</v>
      </c>
      <c r="P969" s="32">
        <v>16999.0</v>
      </c>
      <c r="Q969" s="34">
        <v>13769.0</v>
      </c>
      <c r="R969" s="40">
        <v>14799.0</v>
      </c>
      <c r="S969" s="35">
        <v>12919.24</v>
      </c>
      <c r="T969" s="36">
        <v>0.0</v>
      </c>
      <c r="U969" s="36">
        <v>0.0</v>
      </c>
      <c r="V969" s="36">
        <v>0.0</v>
      </c>
      <c r="W969" s="36">
        <v>0.0</v>
      </c>
      <c r="X969" s="36">
        <v>0.0</v>
      </c>
      <c r="Y969" s="36">
        <v>0.0</v>
      </c>
    </row>
    <row r="970">
      <c r="A970" s="32" t="s">
        <v>253</v>
      </c>
      <c r="B970" s="32" t="s">
        <v>253</v>
      </c>
      <c r="C970" s="32" t="s">
        <v>254</v>
      </c>
      <c r="D970" s="32" t="s">
        <v>255</v>
      </c>
      <c r="E970" s="32" t="s">
        <v>5102</v>
      </c>
      <c r="F970" s="32" t="e">
        <v>#N/A</v>
      </c>
      <c r="G970" s="39"/>
      <c r="H970" s="32">
        <v>0.0</v>
      </c>
      <c r="I970" s="39"/>
      <c r="J970" s="32" t="s">
        <v>256</v>
      </c>
      <c r="K970" s="33" t="s">
        <v>257</v>
      </c>
      <c r="L970" s="32" t="e">
        <v>#N/A</v>
      </c>
      <c r="M970" s="32" t="e">
        <v>#REF!</v>
      </c>
      <c r="N970" s="32" t="s">
        <v>51</v>
      </c>
      <c r="O970" s="32" t="s">
        <v>52</v>
      </c>
      <c r="P970" s="32">
        <v>18999.0</v>
      </c>
      <c r="Q970" s="34">
        <v>15389.0</v>
      </c>
      <c r="R970" s="40">
        <v>16499.0</v>
      </c>
      <c r="S970" s="35">
        <v>14439.24</v>
      </c>
      <c r="T970" s="36">
        <v>0.0</v>
      </c>
      <c r="U970" s="36">
        <v>0.0</v>
      </c>
      <c r="V970" s="36">
        <v>0.0</v>
      </c>
      <c r="W970" s="36">
        <v>0.0</v>
      </c>
      <c r="X970" s="36">
        <v>0.0</v>
      </c>
      <c r="Y970" s="36">
        <v>0.0</v>
      </c>
    </row>
    <row r="971">
      <c r="A971" s="32" t="s">
        <v>663</v>
      </c>
      <c r="B971" s="32" t="s">
        <v>663</v>
      </c>
      <c r="C971" s="32" t="s">
        <v>664</v>
      </c>
      <c r="D971" s="32" t="s">
        <v>665</v>
      </c>
      <c r="E971" s="32" t="s">
        <v>5102</v>
      </c>
      <c r="F971" s="32" t="e">
        <v>#N/A</v>
      </c>
      <c r="G971" s="39"/>
      <c r="H971" s="32">
        <v>0.0</v>
      </c>
      <c r="I971" s="39"/>
      <c r="J971" s="32" t="s">
        <v>666</v>
      </c>
      <c r="K971" s="33" t="s">
        <v>667</v>
      </c>
      <c r="L971" s="32" t="e">
        <v>#N/A</v>
      </c>
      <c r="M971" s="32" t="e">
        <v>#REF!</v>
      </c>
      <c r="N971" s="32" t="s">
        <v>51</v>
      </c>
      <c r="O971" s="32" t="s">
        <v>52</v>
      </c>
      <c r="P971" s="32">
        <v>22999.0</v>
      </c>
      <c r="Q971" s="34">
        <v>18629.0</v>
      </c>
      <c r="R971" s="40">
        <v>19999.0</v>
      </c>
      <c r="S971" s="35">
        <v>17479.24</v>
      </c>
      <c r="T971" s="36">
        <v>0.0</v>
      </c>
      <c r="U971" s="36">
        <v>0.0</v>
      </c>
      <c r="V971" s="36">
        <v>0.0</v>
      </c>
      <c r="W971" s="36">
        <v>0.0</v>
      </c>
      <c r="X971" s="36">
        <v>0.0</v>
      </c>
      <c r="Y971" s="36">
        <v>0.0</v>
      </c>
    </row>
    <row r="972">
      <c r="A972" s="32" t="s">
        <v>675</v>
      </c>
      <c r="B972" s="32" t="s">
        <v>675</v>
      </c>
      <c r="C972" s="32" t="s">
        <v>676</v>
      </c>
      <c r="D972" s="32" t="s">
        <v>677</v>
      </c>
      <c r="E972" s="32" t="s">
        <v>5102</v>
      </c>
      <c r="F972" s="32" t="e">
        <v>#N/A</v>
      </c>
      <c r="G972" s="39"/>
      <c r="H972" s="32">
        <v>0.0</v>
      </c>
      <c r="I972" s="39"/>
      <c r="J972" s="32" t="s">
        <v>678</v>
      </c>
      <c r="K972" s="33" t="s">
        <v>679</v>
      </c>
      <c r="L972" s="32" t="e">
        <v>#N/A</v>
      </c>
      <c r="M972" s="32" t="e">
        <v>#REF!</v>
      </c>
      <c r="N972" s="32" t="s">
        <v>51</v>
      </c>
      <c r="O972" s="32" t="s">
        <v>52</v>
      </c>
      <c r="P972" s="32">
        <v>23599.0</v>
      </c>
      <c r="Q972" s="34">
        <v>19115.0</v>
      </c>
      <c r="R972" s="40">
        <v>20499.0</v>
      </c>
      <c r="S972" s="35">
        <v>17935.24</v>
      </c>
      <c r="T972" s="36">
        <v>0.0</v>
      </c>
      <c r="U972" s="36">
        <v>0.0</v>
      </c>
      <c r="V972" s="36">
        <v>0.0</v>
      </c>
      <c r="W972" s="36">
        <v>0.0</v>
      </c>
      <c r="X972" s="36">
        <v>0.0</v>
      </c>
      <c r="Y972" s="36">
        <v>0.0</v>
      </c>
    </row>
    <row r="973">
      <c r="A973" s="32" t="s">
        <v>627</v>
      </c>
      <c r="B973" s="32" t="s">
        <v>627</v>
      </c>
      <c r="C973" s="32" t="s">
        <v>628</v>
      </c>
      <c r="D973" s="32" t="s">
        <v>629</v>
      </c>
      <c r="E973" s="32" t="s">
        <v>5073</v>
      </c>
      <c r="F973" s="32" t="e">
        <v>#N/A</v>
      </c>
      <c r="G973" s="39"/>
      <c r="H973" s="32">
        <v>0.0</v>
      </c>
      <c r="I973" s="39"/>
      <c r="J973" s="32" t="s">
        <v>630</v>
      </c>
      <c r="K973" s="33" t="s">
        <v>631</v>
      </c>
      <c r="L973" s="32" t="e">
        <v>#N/A</v>
      </c>
      <c r="M973" s="32" t="e">
        <v>#REF!</v>
      </c>
      <c r="N973" s="32" t="s">
        <v>51</v>
      </c>
      <c r="O973" s="32" t="s">
        <v>52</v>
      </c>
      <c r="P973" s="32">
        <v>20899.0</v>
      </c>
      <c r="Q973" s="34">
        <v>16928.0</v>
      </c>
      <c r="R973" s="40">
        <v>18199.0</v>
      </c>
      <c r="S973" s="35">
        <v>15883.24</v>
      </c>
      <c r="T973" s="36">
        <v>0.0</v>
      </c>
      <c r="U973" s="36">
        <v>0.0</v>
      </c>
      <c r="V973" s="36">
        <v>0.0</v>
      </c>
      <c r="W973" s="36">
        <v>0.0</v>
      </c>
      <c r="X973" s="36">
        <v>0.0</v>
      </c>
      <c r="Y973" s="36">
        <v>0.0</v>
      </c>
    </row>
    <row r="974">
      <c r="A974" s="32" t="s">
        <v>739</v>
      </c>
      <c r="B974" s="32" t="s">
        <v>739</v>
      </c>
      <c r="C974" s="32" t="s">
        <v>740</v>
      </c>
      <c r="D974" s="32" t="s">
        <v>741</v>
      </c>
      <c r="E974" s="32" t="s">
        <v>5102</v>
      </c>
      <c r="F974" s="32" t="e">
        <v>#N/A</v>
      </c>
      <c r="G974" s="39"/>
      <c r="H974" s="32">
        <v>0.0</v>
      </c>
      <c r="I974" s="39"/>
      <c r="J974" s="32" t="s">
        <v>742</v>
      </c>
      <c r="K974" s="33" t="s">
        <v>743</v>
      </c>
      <c r="L974" s="32" t="e">
        <v>#N/A</v>
      </c>
      <c r="M974" s="32" t="s">
        <v>744</v>
      </c>
      <c r="N974" s="32" t="s">
        <v>51</v>
      </c>
      <c r="O974" s="32" t="s">
        <v>52</v>
      </c>
      <c r="P974" s="32">
        <v>13809.0</v>
      </c>
      <c r="Q974" s="34">
        <v>11185.0</v>
      </c>
      <c r="R974" s="40">
        <v>11999.0</v>
      </c>
      <c r="S974" s="35">
        <v>10494.84</v>
      </c>
      <c r="T974" s="36">
        <v>0.0</v>
      </c>
      <c r="U974" s="36">
        <v>0.0</v>
      </c>
      <c r="V974" s="36">
        <v>0.0</v>
      </c>
      <c r="W974" s="36">
        <v>0.0</v>
      </c>
      <c r="X974" s="36">
        <v>0.0</v>
      </c>
      <c r="Y974" s="36">
        <v>0.0</v>
      </c>
    </row>
    <row r="975">
      <c r="A975" s="32" t="s">
        <v>632</v>
      </c>
      <c r="B975" s="32" t="s">
        <v>632</v>
      </c>
      <c r="C975" s="32" t="s">
        <v>633</v>
      </c>
      <c r="D975" s="32" t="s">
        <v>634</v>
      </c>
      <c r="E975" s="32" t="s">
        <v>5073</v>
      </c>
      <c r="F975" s="32" t="e">
        <v>#N/A</v>
      </c>
      <c r="G975" s="39"/>
      <c r="H975" s="32" t="s">
        <v>635</v>
      </c>
      <c r="I975" s="32" t="s">
        <v>5102</v>
      </c>
      <c r="J975" s="32" t="s">
        <v>636</v>
      </c>
      <c r="K975" s="33" t="s">
        <v>637</v>
      </c>
      <c r="L975" s="32">
        <v>3.1999059E7</v>
      </c>
      <c r="M975" s="32" t="s">
        <v>638</v>
      </c>
      <c r="N975" s="32" t="s">
        <v>51</v>
      </c>
      <c r="O975" s="32" t="s">
        <v>52</v>
      </c>
      <c r="P975" s="32">
        <v>20899.0</v>
      </c>
      <c r="Q975" s="34">
        <v>16928.0</v>
      </c>
      <c r="R975" s="40">
        <v>18199.0</v>
      </c>
      <c r="S975" s="35">
        <v>15883.24</v>
      </c>
      <c r="T975" s="36">
        <v>0.0</v>
      </c>
      <c r="U975" s="36">
        <v>0.0</v>
      </c>
      <c r="V975" s="36">
        <v>0.0</v>
      </c>
      <c r="W975" s="36">
        <v>0.0</v>
      </c>
      <c r="X975" s="36">
        <v>0.0</v>
      </c>
      <c r="Y975" s="36">
        <v>0.0</v>
      </c>
    </row>
    <row r="976">
      <c r="A976" s="32" t="s">
        <v>751</v>
      </c>
      <c r="B976" s="32" t="s">
        <v>751</v>
      </c>
      <c r="C976" s="32" t="s">
        <v>752</v>
      </c>
      <c r="D976" s="32" t="s">
        <v>753</v>
      </c>
      <c r="E976" s="32" t="s">
        <v>5102</v>
      </c>
      <c r="F976" s="32" t="e">
        <v>#N/A</v>
      </c>
      <c r="G976" s="39"/>
      <c r="H976" s="32">
        <v>0.0</v>
      </c>
      <c r="I976" s="39"/>
      <c r="J976" s="32" t="s">
        <v>754</v>
      </c>
      <c r="K976" s="33" t="s">
        <v>755</v>
      </c>
      <c r="L976" s="32" t="e">
        <v>#N/A</v>
      </c>
      <c r="M976" s="32" t="e">
        <v>#REF!</v>
      </c>
      <c r="N976" s="32" t="s">
        <v>51</v>
      </c>
      <c r="O976" s="32" t="s">
        <v>52</v>
      </c>
      <c r="P976" s="32">
        <v>14469.0</v>
      </c>
      <c r="Q976" s="34">
        <v>11720.0</v>
      </c>
      <c r="R976" s="40">
        <v>12599.0</v>
      </c>
      <c r="S976" s="35">
        <v>10996.44</v>
      </c>
      <c r="T976" s="36">
        <v>0.0</v>
      </c>
      <c r="U976" s="36">
        <v>0.0</v>
      </c>
      <c r="V976" s="36">
        <v>0.0</v>
      </c>
      <c r="W976" s="36">
        <v>0.0</v>
      </c>
      <c r="X976" s="36">
        <v>0.0</v>
      </c>
      <c r="Y976" s="36">
        <v>0.0</v>
      </c>
    </row>
    <row r="977">
      <c r="A977" s="32" t="s">
        <v>777</v>
      </c>
      <c r="B977" s="32" t="s">
        <v>777</v>
      </c>
      <c r="C977" s="32" t="s">
        <v>778</v>
      </c>
      <c r="D977" s="32" t="s">
        <v>779</v>
      </c>
      <c r="E977" s="32" t="s">
        <v>5102</v>
      </c>
      <c r="F977" s="32" t="e">
        <v>#N/A</v>
      </c>
      <c r="G977" s="39"/>
      <c r="H977" s="32">
        <v>0.0</v>
      </c>
      <c r="I977" s="39"/>
      <c r="J977" s="32" t="s">
        <v>780</v>
      </c>
      <c r="K977" s="33" t="s">
        <v>781</v>
      </c>
      <c r="L977" s="32" t="e">
        <v>#N/A</v>
      </c>
      <c r="M977" s="32" t="e">
        <v>#REF!</v>
      </c>
      <c r="N977" s="32" t="s">
        <v>51</v>
      </c>
      <c r="O977" s="32" t="s">
        <v>52</v>
      </c>
      <c r="P977" s="32">
        <v>17629.0</v>
      </c>
      <c r="Q977" s="34">
        <v>14279.0</v>
      </c>
      <c r="R977" s="40">
        <v>15299.0</v>
      </c>
      <c r="S977" s="35">
        <v>13398.04</v>
      </c>
      <c r="T977" s="36">
        <v>0.0</v>
      </c>
      <c r="U977" s="36">
        <v>0.0</v>
      </c>
      <c r="V977" s="36">
        <v>0.0</v>
      </c>
      <c r="W977" s="36">
        <v>0.0</v>
      </c>
      <c r="X977" s="36">
        <v>0.0</v>
      </c>
      <c r="Y977" s="36">
        <v>0.0</v>
      </c>
    </row>
    <row r="978">
      <c r="A978" s="32" t="s">
        <v>687</v>
      </c>
      <c r="B978" s="32" t="s">
        <v>687</v>
      </c>
      <c r="C978" s="32" t="s">
        <v>688</v>
      </c>
      <c r="D978" s="32" t="s">
        <v>689</v>
      </c>
      <c r="E978" s="32" t="s">
        <v>5102</v>
      </c>
      <c r="F978" s="32" t="e">
        <v>#N/A</v>
      </c>
      <c r="G978" s="39"/>
      <c r="H978" s="32">
        <v>0.0</v>
      </c>
      <c r="I978" s="39"/>
      <c r="J978" s="32" t="s">
        <v>690</v>
      </c>
      <c r="K978" s="33" t="s">
        <v>691</v>
      </c>
      <c r="L978" s="32" t="e">
        <v>#N/A</v>
      </c>
      <c r="M978" s="32" t="e">
        <v>#REF!</v>
      </c>
      <c r="N978" s="32" t="s">
        <v>51</v>
      </c>
      <c r="O978" s="32" t="s">
        <v>52</v>
      </c>
      <c r="P978" s="32">
        <v>24499.0</v>
      </c>
      <c r="Q978" s="34">
        <v>19844.0</v>
      </c>
      <c r="R978" s="40">
        <v>21299.0</v>
      </c>
      <c r="S978" s="35">
        <v>18619.24</v>
      </c>
      <c r="T978" s="36">
        <v>0.0</v>
      </c>
      <c r="U978" s="36">
        <v>0.0</v>
      </c>
      <c r="V978" s="36">
        <v>0.0</v>
      </c>
      <c r="W978" s="36">
        <v>0.0</v>
      </c>
      <c r="X978" s="36">
        <v>0.0</v>
      </c>
      <c r="Y978" s="36">
        <v>0.0</v>
      </c>
    </row>
    <row r="979">
      <c r="A979" s="32" t="s">
        <v>590</v>
      </c>
      <c r="B979" s="32" t="s">
        <v>590</v>
      </c>
      <c r="C979" s="32" t="s">
        <v>591</v>
      </c>
      <c r="D979" s="32" t="s">
        <v>592</v>
      </c>
      <c r="E979" s="32" t="s">
        <v>5102</v>
      </c>
      <c r="F979" s="32" t="e">
        <v>#N/A</v>
      </c>
      <c r="G979" s="39"/>
      <c r="H979" s="32">
        <v>0.0</v>
      </c>
      <c r="I979" s="39"/>
      <c r="J979" s="32" t="s">
        <v>593</v>
      </c>
      <c r="K979" s="33" t="s">
        <v>594</v>
      </c>
      <c r="L979" s="32" t="e">
        <v>#N/A</v>
      </c>
      <c r="M979" s="32" t="s">
        <v>595</v>
      </c>
      <c r="N979" s="32" t="s">
        <v>51</v>
      </c>
      <c r="O979" s="32" t="s">
        <v>52</v>
      </c>
      <c r="P979" s="32">
        <v>18399.0</v>
      </c>
      <c r="Q979" s="34">
        <v>14903.0</v>
      </c>
      <c r="R979" s="40">
        <v>15999.0</v>
      </c>
      <c r="S979" s="35">
        <v>13983.24</v>
      </c>
      <c r="T979" s="36">
        <v>0.0</v>
      </c>
      <c r="U979" s="36">
        <v>0.0</v>
      </c>
      <c r="V979" s="36">
        <v>0.0</v>
      </c>
      <c r="W979" s="36">
        <v>0.0</v>
      </c>
      <c r="X979" s="36">
        <v>0.0</v>
      </c>
      <c r="Y979" s="36">
        <v>0.0</v>
      </c>
    </row>
    <row r="980">
      <c r="A980" s="32" t="s">
        <v>646</v>
      </c>
      <c r="B980" s="32" t="s">
        <v>646</v>
      </c>
      <c r="C980" s="32" t="s">
        <v>647</v>
      </c>
      <c r="D980" s="32" t="s">
        <v>648</v>
      </c>
      <c r="E980" s="32" t="s">
        <v>5073</v>
      </c>
      <c r="F980" s="32" t="e">
        <v>#N/A</v>
      </c>
      <c r="G980" s="39"/>
      <c r="H980" s="32">
        <v>0.0</v>
      </c>
      <c r="I980" s="39"/>
      <c r="J980" s="32" t="s">
        <v>649</v>
      </c>
      <c r="K980" s="33" t="s">
        <v>650</v>
      </c>
      <c r="L980" s="32" t="e">
        <v>#N/A</v>
      </c>
      <c r="M980" s="32" t="s">
        <v>651</v>
      </c>
      <c r="N980" s="32" t="s">
        <v>51</v>
      </c>
      <c r="O980" s="32" t="s">
        <v>52</v>
      </c>
      <c r="P980" s="32">
        <v>21199.0</v>
      </c>
      <c r="Q980" s="34">
        <v>17171.0</v>
      </c>
      <c r="R980" s="40">
        <v>18399.0</v>
      </c>
      <c r="S980" s="35">
        <v>16111.24</v>
      </c>
      <c r="T980" s="36">
        <v>0.0</v>
      </c>
      <c r="U980" s="36">
        <v>0.0</v>
      </c>
      <c r="V980" s="36">
        <v>0.0</v>
      </c>
      <c r="W980" s="36">
        <v>0.0</v>
      </c>
      <c r="X980" s="36">
        <v>0.0</v>
      </c>
      <c r="Y980" s="36">
        <v>0.0</v>
      </c>
    </row>
    <row r="981">
      <c r="A981" s="32" t="s">
        <v>745</v>
      </c>
      <c r="B981" s="32" t="s">
        <v>745</v>
      </c>
      <c r="C981" s="32" t="s">
        <v>746</v>
      </c>
      <c r="D981" s="32" t="s">
        <v>747</v>
      </c>
      <c r="E981" s="32" t="s">
        <v>5102</v>
      </c>
      <c r="F981" s="32" t="e">
        <v>#N/A</v>
      </c>
      <c r="G981" s="39"/>
      <c r="H981" s="32">
        <v>0.0</v>
      </c>
      <c r="I981" s="39"/>
      <c r="J981" s="32" t="s">
        <v>748</v>
      </c>
      <c r="K981" s="33" t="s">
        <v>749</v>
      </c>
      <c r="L981" s="32" t="e">
        <v>#N/A</v>
      </c>
      <c r="M981" s="32" t="s">
        <v>750</v>
      </c>
      <c r="N981" s="32" t="s">
        <v>51</v>
      </c>
      <c r="O981" s="32" t="s">
        <v>52</v>
      </c>
      <c r="P981" s="32">
        <v>14469.0</v>
      </c>
      <c r="Q981" s="34">
        <v>11720.0</v>
      </c>
      <c r="R981" s="40">
        <v>12599.0</v>
      </c>
      <c r="S981" s="35">
        <v>10996.44</v>
      </c>
      <c r="T981" s="36">
        <v>0.0</v>
      </c>
      <c r="U981" s="36">
        <v>0.0</v>
      </c>
      <c r="V981" s="36">
        <v>0.0</v>
      </c>
      <c r="W981" s="36">
        <v>0.0</v>
      </c>
      <c r="X981" s="36">
        <v>0.0</v>
      </c>
      <c r="Y981" s="36">
        <v>0.0</v>
      </c>
    </row>
    <row r="982">
      <c r="A982" s="32" t="s">
        <v>719</v>
      </c>
      <c r="B982" s="32" t="s">
        <v>719</v>
      </c>
      <c r="C982" s="32" t="s">
        <v>720</v>
      </c>
      <c r="D982" s="32" t="s">
        <v>721</v>
      </c>
      <c r="E982" s="32" t="s">
        <v>5073</v>
      </c>
      <c r="F982" s="32" t="e">
        <v>#N/A</v>
      </c>
      <c r="G982" s="39"/>
      <c r="H982" s="32">
        <v>0.0</v>
      </c>
      <c r="I982" s="39"/>
      <c r="J982" s="32" t="s">
        <v>722</v>
      </c>
      <c r="K982" s="33" t="s">
        <v>723</v>
      </c>
      <c r="L982" s="32" t="e">
        <v>#N/A</v>
      </c>
      <c r="M982" s="32" t="e">
        <v>#REF!</v>
      </c>
      <c r="N982" s="32" t="s">
        <v>51</v>
      </c>
      <c r="O982" s="32" t="s">
        <v>52</v>
      </c>
      <c r="P982" s="32">
        <v>17219.0</v>
      </c>
      <c r="Q982" s="34">
        <v>13947.0</v>
      </c>
      <c r="R982" s="40">
        <v>14999.0</v>
      </c>
      <c r="S982" s="35">
        <v>13086.44</v>
      </c>
      <c r="T982" s="36">
        <v>0.0</v>
      </c>
      <c r="U982" s="36">
        <v>0.0</v>
      </c>
      <c r="V982" s="36">
        <v>0.0</v>
      </c>
      <c r="W982" s="36">
        <v>0.0</v>
      </c>
      <c r="X982" s="36">
        <v>0.0</v>
      </c>
      <c r="Y982" s="36">
        <v>0.0</v>
      </c>
    </row>
    <row r="983">
      <c r="A983" s="32" t="s">
        <v>2487</v>
      </c>
      <c r="B983" s="32" t="s">
        <v>2487</v>
      </c>
      <c r="C983" s="32">
        <v>0.0</v>
      </c>
      <c r="D983" s="32" t="e">
        <v>#N/A</v>
      </c>
      <c r="E983" s="39"/>
      <c r="F983" s="32" t="e">
        <v>#N/A</v>
      </c>
      <c r="G983" s="39"/>
      <c r="H983" s="32" t="e">
        <v>#N/A</v>
      </c>
      <c r="I983" s="39"/>
      <c r="J983" s="32">
        <v>0.0</v>
      </c>
      <c r="K983" s="33" t="e">
        <v>#N/A</v>
      </c>
      <c r="L983" s="32" t="e">
        <v>#N/A</v>
      </c>
      <c r="M983" s="32" t="e">
        <v>#N/A</v>
      </c>
      <c r="N983" s="32" t="e">
        <v>#N/A</v>
      </c>
      <c r="O983" s="32" t="s">
        <v>5158</v>
      </c>
      <c r="P983" s="32" t="e">
        <v>#REF!</v>
      </c>
      <c r="Q983" s="32" t="e">
        <v>#N/A</v>
      </c>
      <c r="R983" s="42" t="e">
        <v>#N/A</v>
      </c>
      <c r="S983" s="42" t="e">
        <v>#N/A</v>
      </c>
      <c r="T983" s="36">
        <v>0.0</v>
      </c>
      <c r="U983" s="36">
        <v>0.0</v>
      </c>
      <c r="V983" s="36">
        <v>0.0</v>
      </c>
      <c r="W983" s="36">
        <v>0.0</v>
      </c>
      <c r="X983" s="36">
        <v>0.0</v>
      </c>
      <c r="Y983" s="36">
        <v>0.0</v>
      </c>
    </row>
    <row r="984">
      <c r="A984" s="32" t="s">
        <v>4685</v>
      </c>
      <c r="B984" s="32" t="s">
        <v>4685</v>
      </c>
      <c r="C984" s="32">
        <v>0.0</v>
      </c>
      <c r="D984" s="32" t="e">
        <v>#N/A</v>
      </c>
      <c r="E984" s="39"/>
      <c r="F984" s="32" t="e">
        <v>#N/A</v>
      </c>
      <c r="G984" s="39"/>
      <c r="H984" s="32" t="e">
        <v>#N/A</v>
      </c>
      <c r="I984" s="39"/>
      <c r="J984" s="32">
        <v>0.0</v>
      </c>
      <c r="K984" s="33" t="e">
        <v>#N/A</v>
      </c>
      <c r="L984" s="32" t="e">
        <v>#N/A</v>
      </c>
      <c r="M984" s="32" t="e">
        <v>#N/A</v>
      </c>
      <c r="N984" s="32" t="e">
        <v>#N/A</v>
      </c>
      <c r="O984" s="32" t="s">
        <v>5158</v>
      </c>
      <c r="P984" s="32" t="e">
        <v>#REF!</v>
      </c>
      <c r="Q984" s="32" t="e">
        <v>#N/A</v>
      </c>
      <c r="R984" s="42" t="e">
        <v>#N/A</v>
      </c>
      <c r="S984" s="42" t="e">
        <v>#N/A</v>
      </c>
      <c r="T984" s="36">
        <v>0.0</v>
      </c>
      <c r="U984" s="36">
        <v>0.0</v>
      </c>
      <c r="V984" s="36">
        <v>0.0</v>
      </c>
      <c r="W984" s="36">
        <v>0.0</v>
      </c>
      <c r="X984" s="36">
        <v>0.0</v>
      </c>
      <c r="Y984" s="36">
        <v>0.0</v>
      </c>
    </row>
    <row r="985">
      <c r="A985" s="32" t="s">
        <v>4684</v>
      </c>
      <c r="B985" s="32" t="s">
        <v>4684</v>
      </c>
      <c r="C985" s="32">
        <v>0.0</v>
      </c>
      <c r="D985" s="32" t="e">
        <v>#N/A</v>
      </c>
      <c r="E985" s="39"/>
      <c r="F985" s="32" t="e">
        <v>#N/A</v>
      </c>
      <c r="G985" s="39"/>
      <c r="H985" s="32" t="e">
        <v>#N/A</v>
      </c>
      <c r="I985" s="39"/>
      <c r="J985" s="32">
        <v>0.0</v>
      </c>
      <c r="K985" s="33" t="e">
        <v>#N/A</v>
      </c>
      <c r="L985" s="32" t="e">
        <v>#N/A</v>
      </c>
      <c r="M985" s="32" t="e">
        <v>#N/A</v>
      </c>
      <c r="N985" s="32" t="e">
        <v>#N/A</v>
      </c>
      <c r="O985" s="32" t="s">
        <v>5158</v>
      </c>
      <c r="P985" s="32" t="e">
        <v>#REF!</v>
      </c>
      <c r="Q985" s="32" t="e">
        <v>#N/A</v>
      </c>
      <c r="R985" s="42" t="e">
        <v>#N/A</v>
      </c>
      <c r="S985" s="42" t="e">
        <v>#N/A</v>
      </c>
      <c r="T985" s="36">
        <v>0.0</v>
      </c>
      <c r="U985" s="36">
        <v>0.0</v>
      </c>
      <c r="V985" s="36">
        <v>0.0</v>
      </c>
      <c r="W985" s="36">
        <v>0.0</v>
      </c>
      <c r="X985" s="36">
        <v>0.0</v>
      </c>
      <c r="Y985" s="36">
        <v>0.0</v>
      </c>
    </row>
    <row r="986">
      <c r="A986" s="32" t="s">
        <v>4686</v>
      </c>
      <c r="B986" s="32" t="s">
        <v>4686</v>
      </c>
      <c r="C986" s="32">
        <v>0.0</v>
      </c>
      <c r="D986" s="32" t="e">
        <v>#N/A</v>
      </c>
      <c r="E986" s="39"/>
      <c r="F986" s="32" t="e">
        <v>#N/A</v>
      </c>
      <c r="G986" s="39"/>
      <c r="H986" s="32" t="e">
        <v>#N/A</v>
      </c>
      <c r="I986" s="39"/>
      <c r="J986" s="32">
        <v>0.0</v>
      </c>
      <c r="K986" s="33" t="e">
        <v>#N/A</v>
      </c>
      <c r="L986" s="32" t="e">
        <v>#N/A</v>
      </c>
      <c r="M986" s="32" t="e">
        <v>#N/A</v>
      </c>
      <c r="N986" s="32" t="e">
        <v>#N/A</v>
      </c>
      <c r="O986" s="32" t="s">
        <v>5158</v>
      </c>
      <c r="P986" s="32" t="e">
        <v>#REF!</v>
      </c>
      <c r="Q986" s="32" t="e">
        <v>#N/A</v>
      </c>
      <c r="R986" s="42" t="e">
        <v>#N/A</v>
      </c>
      <c r="S986" s="42" t="e">
        <v>#N/A</v>
      </c>
      <c r="T986" s="36">
        <v>0.0</v>
      </c>
      <c r="U986" s="36">
        <v>0.0</v>
      </c>
      <c r="V986" s="36">
        <v>0.0</v>
      </c>
      <c r="W986" s="36">
        <v>0.0</v>
      </c>
      <c r="X986" s="36">
        <v>0.0</v>
      </c>
      <c r="Y986" s="36">
        <v>0.0</v>
      </c>
    </row>
    <row r="987">
      <c r="A987" s="32" t="s">
        <v>3399</v>
      </c>
      <c r="B987" s="32" t="s">
        <v>3399</v>
      </c>
      <c r="C987" s="32">
        <v>0.0</v>
      </c>
      <c r="D987" s="32" t="e">
        <v>#N/A</v>
      </c>
      <c r="E987" s="39"/>
      <c r="F987" s="32" t="e">
        <v>#N/A</v>
      </c>
      <c r="G987" s="39"/>
      <c r="H987" s="32" t="e">
        <v>#N/A</v>
      </c>
      <c r="I987" s="39"/>
      <c r="J987" s="32">
        <v>0.0</v>
      </c>
      <c r="K987" s="33" t="e">
        <v>#N/A</v>
      </c>
      <c r="L987" s="32" t="e">
        <v>#N/A</v>
      </c>
      <c r="M987" s="32" t="e">
        <v>#N/A</v>
      </c>
      <c r="N987" s="32" t="e">
        <v>#N/A</v>
      </c>
      <c r="O987" s="32" t="s">
        <v>5158</v>
      </c>
      <c r="P987" s="32" t="e">
        <v>#REF!</v>
      </c>
      <c r="Q987" s="32" t="e">
        <v>#N/A</v>
      </c>
      <c r="R987" s="42" t="e">
        <v>#N/A</v>
      </c>
      <c r="S987" s="42" t="e">
        <v>#N/A</v>
      </c>
      <c r="T987" s="36">
        <v>0.0</v>
      </c>
      <c r="U987" s="36">
        <v>0.0</v>
      </c>
      <c r="V987" s="36">
        <v>0.0</v>
      </c>
      <c r="W987" s="36">
        <v>0.0</v>
      </c>
      <c r="X987" s="36">
        <v>0.0</v>
      </c>
      <c r="Y987" s="36">
        <v>0.0</v>
      </c>
    </row>
    <row r="988">
      <c r="A988" s="32" t="s">
        <v>2486</v>
      </c>
      <c r="B988" s="32" t="s">
        <v>2486</v>
      </c>
      <c r="C988" s="32">
        <v>0.0</v>
      </c>
      <c r="D988" s="32" t="e">
        <v>#N/A</v>
      </c>
      <c r="E988" s="39"/>
      <c r="F988" s="32" t="e">
        <v>#N/A</v>
      </c>
      <c r="G988" s="39"/>
      <c r="H988" s="32" t="e">
        <v>#N/A</v>
      </c>
      <c r="I988" s="39"/>
      <c r="J988" s="32">
        <v>0.0</v>
      </c>
      <c r="K988" s="33" t="e">
        <v>#N/A</v>
      </c>
      <c r="L988" s="32" t="e">
        <v>#N/A</v>
      </c>
      <c r="M988" s="32" t="e">
        <v>#N/A</v>
      </c>
      <c r="N988" s="32" t="e">
        <v>#N/A</v>
      </c>
      <c r="O988" s="32" t="s">
        <v>5158</v>
      </c>
      <c r="P988" s="32" t="e">
        <v>#REF!</v>
      </c>
      <c r="Q988" s="32" t="e">
        <v>#N/A</v>
      </c>
      <c r="R988" s="42" t="e">
        <v>#N/A</v>
      </c>
      <c r="S988" s="42" t="e">
        <v>#N/A</v>
      </c>
      <c r="T988" s="36">
        <v>0.0</v>
      </c>
      <c r="U988" s="36">
        <v>0.0</v>
      </c>
      <c r="V988" s="36">
        <v>0.0</v>
      </c>
      <c r="W988" s="36">
        <v>0.0</v>
      </c>
      <c r="X988" s="36">
        <v>0.0</v>
      </c>
      <c r="Y988" s="36">
        <v>0.0</v>
      </c>
    </row>
    <row r="989">
      <c r="A989" s="32" t="s">
        <v>3398</v>
      </c>
      <c r="B989" s="32" t="s">
        <v>3398</v>
      </c>
      <c r="C989" s="32">
        <v>0.0</v>
      </c>
      <c r="D989" s="32" t="e">
        <v>#N/A</v>
      </c>
      <c r="E989" s="39"/>
      <c r="F989" s="32" t="e">
        <v>#N/A</v>
      </c>
      <c r="G989" s="39"/>
      <c r="H989" s="32" t="e">
        <v>#N/A</v>
      </c>
      <c r="I989" s="39"/>
      <c r="J989" s="32">
        <v>0.0</v>
      </c>
      <c r="K989" s="33" t="e">
        <v>#N/A</v>
      </c>
      <c r="L989" s="32" t="e">
        <v>#N/A</v>
      </c>
      <c r="M989" s="32" t="e">
        <v>#N/A</v>
      </c>
      <c r="N989" s="32" t="e">
        <v>#N/A</v>
      </c>
      <c r="O989" s="32" t="s">
        <v>5158</v>
      </c>
      <c r="P989" s="32" t="e">
        <v>#REF!</v>
      </c>
      <c r="Q989" s="32" t="e">
        <v>#N/A</v>
      </c>
      <c r="R989" s="42" t="e">
        <v>#N/A</v>
      </c>
      <c r="S989" s="42" t="e">
        <v>#N/A</v>
      </c>
      <c r="T989" s="36">
        <v>0.0</v>
      </c>
      <c r="U989" s="36">
        <v>0.0</v>
      </c>
      <c r="V989" s="36">
        <v>0.0</v>
      </c>
      <c r="W989" s="36">
        <v>0.0</v>
      </c>
      <c r="X989" s="36">
        <v>0.0</v>
      </c>
      <c r="Y989" s="36">
        <v>0.0</v>
      </c>
    </row>
    <row r="990">
      <c r="A990" s="32" t="s">
        <v>2485</v>
      </c>
      <c r="B990" s="32" t="s">
        <v>2485</v>
      </c>
      <c r="C990" s="32">
        <v>0.0</v>
      </c>
      <c r="D990" s="32" t="e">
        <v>#N/A</v>
      </c>
      <c r="E990" s="39"/>
      <c r="F990" s="32" t="e">
        <v>#N/A</v>
      </c>
      <c r="G990" s="39"/>
      <c r="H990" s="32" t="e">
        <v>#N/A</v>
      </c>
      <c r="I990" s="39"/>
      <c r="J990" s="32">
        <v>0.0</v>
      </c>
      <c r="K990" s="33" t="e">
        <v>#N/A</v>
      </c>
      <c r="L990" s="32" t="e">
        <v>#N/A</v>
      </c>
      <c r="M990" s="32" t="e">
        <v>#N/A</v>
      </c>
      <c r="N990" s="32" t="e">
        <v>#N/A</v>
      </c>
      <c r="O990" s="32" t="s">
        <v>5158</v>
      </c>
      <c r="P990" s="32" t="e">
        <v>#REF!</v>
      </c>
      <c r="Q990" s="32" t="e">
        <v>#N/A</v>
      </c>
      <c r="R990" s="42" t="e">
        <v>#N/A</v>
      </c>
      <c r="S990" s="42" t="e">
        <v>#N/A</v>
      </c>
      <c r="T990" s="36">
        <v>0.0</v>
      </c>
      <c r="U990" s="36">
        <v>0.0</v>
      </c>
      <c r="V990" s="36">
        <v>0.0</v>
      </c>
      <c r="W990" s="36">
        <v>0.0</v>
      </c>
      <c r="X990" s="36">
        <v>0.0</v>
      </c>
      <c r="Y990" s="36">
        <v>0.0</v>
      </c>
    </row>
    <row r="991">
      <c r="A991" s="32" t="s">
        <v>3397</v>
      </c>
      <c r="B991" s="32" t="s">
        <v>3397</v>
      </c>
      <c r="C991" s="32">
        <v>0.0</v>
      </c>
      <c r="D991" s="32" t="e">
        <v>#N/A</v>
      </c>
      <c r="E991" s="39"/>
      <c r="F991" s="32" t="e">
        <v>#N/A</v>
      </c>
      <c r="G991" s="39"/>
      <c r="H991" s="32" t="e">
        <v>#N/A</v>
      </c>
      <c r="I991" s="39"/>
      <c r="J991" s="32">
        <v>0.0</v>
      </c>
      <c r="K991" s="33" t="e">
        <v>#N/A</v>
      </c>
      <c r="L991" s="32" t="e">
        <v>#N/A</v>
      </c>
      <c r="M991" s="32" t="e">
        <v>#N/A</v>
      </c>
      <c r="N991" s="32" t="e">
        <v>#N/A</v>
      </c>
      <c r="O991" s="32" t="s">
        <v>5158</v>
      </c>
      <c r="P991" s="32" t="e">
        <v>#REF!</v>
      </c>
      <c r="Q991" s="32" t="e">
        <v>#N/A</v>
      </c>
      <c r="R991" s="42" t="e">
        <v>#N/A</v>
      </c>
      <c r="S991" s="42" t="e">
        <v>#N/A</v>
      </c>
      <c r="T991" s="36">
        <v>0.0</v>
      </c>
      <c r="U991" s="36">
        <v>0.0</v>
      </c>
      <c r="V991" s="36">
        <v>0.0</v>
      </c>
      <c r="W991" s="36">
        <v>0.0</v>
      </c>
      <c r="X991" s="36">
        <v>0.0</v>
      </c>
      <c r="Y991" s="36">
        <v>0.0</v>
      </c>
    </row>
    <row r="992">
      <c r="A992" s="32" t="s">
        <v>4924</v>
      </c>
      <c r="B992" s="32" t="s">
        <v>4924</v>
      </c>
      <c r="C992" s="32" t="s">
        <v>4925</v>
      </c>
      <c r="D992" s="46" t="s">
        <v>5183</v>
      </c>
      <c r="E992" s="47" t="s">
        <v>5102</v>
      </c>
      <c r="F992" s="38"/>
      <c r="G992" s="38"/>
      <c r="H992" s="38"/>
      <c r="I992" s="38"/>
      <c r="J992" s="32" t="s">
        <v>4927</v>
      </c>
      <c r="K992" s="38"/>
      <c r="L992" s="38"/>
      <c r="M992" s="38"/>
      <c r="N992" s="32" t="s">
        <v>51</v>
      </c>
      <c r="O992" s="32" t="s">
        <v>52</v>
      </c>
      <c r="P992" s="32">
        <v>14989.0</v>
      </c>
      <c r="Q992" s="44">
        <v>12141.0</v>
      </c>
      <c r="R992" s="40">
        <v>12999.0</v>
      </c>
      <c r="S992" s="35">
        <v>11391.64</v>
      </c>
      <c r="T992" s="36">
        <v>0.0</v>
      </c>
      <c r="U992" s="36">
        <v>0.0</v>
      </c>
      <c r="V992" s="36">
        <v>0.0</v>
      </c>
      <c r="W992" s="36">
        <v>0.0</v>
      </c>
      <c r="X992" s="36">
        <v>0.0</v>
      </c>
      <c r="Y992" s="36">
        <v>0.0</v>
      </c>
    </row>
    <row r="993">
      <c r="A993" s="32" t="s">
        <v>783</v>
      </c>
      <c r="B993" s="32" t="s">
        <v>783</v>
      </c>
      <c r="C993" s="32" t="s">
        <v>784</v>
      </c>
      <c r="D993" s="32" t="s">
        <v>785</v>
      </c>
      <c r="E993" s="32" t="s">
        <v>5102</v>
      </c>
      <c r="F993" s="32" t="e">
        <v>#N/A</v>
      </c>
      <c r="G993" s="39"/>
      <c r="H993" s="32">
        <v>0.0</v>
      </c>
      <c r="I993" s="39"/>
      <c r="J993" s="32" t="s">
        <v>786</v>
      </c>
      <c r="K993" s="33" t="s">
        <v>787</v>
      </c>
      <c r="L993" s="32" t="e">
        <v>#N/A</v>
      </c>
      <c r="M993" s="32" t="e">
        <v>#REF!</v>
      </c>
      <c r="N993" s="32" t="s">
        <v>51</v>
      </c>
      <c r="O993" s="32" t="s">
        <v>52</v>
      </c>
      <c r="P993" s="32">
        <v>18049.0</v>
      </c>
      <c r="Q993" s="34">
        <v>14620.0</v>
      </c>
      <c r="R993" s="40">
        <v>15699.0</v>
      </c>
      <c r="S993" s="35">
        <v>13717.24</v>
      </c>
      <c r="T993" s="36">
        <v>0.0</v>
      </c>
      <c r="U993" s="36">
        <v>0.0</v>
      </c>
      <c r="V993" s="36">
        <v>0.0</v>
      </c>
      <c r="W993" s="36">
        <v>0.0</v>
      </c>
      <c r="X993" s="36">
        <v>0.0</v>
      </c>
      <c r="Y993" s="36">
        <v>0.0</v>
      </c>
    </row>
    <row r="994">
      <c r="A994" s="32" t="s">
        <v>699</v>
      </c>
      <c r="B994" s="32" t="s">
        <v>699</v>
      </c>
      <c r="C994" s="32" t="s">
        <v>700</v>
      </c>
      <c r="D994" s="32" t="s">
        <v>701</v>
      </c>
      <c r="E994" s="32" t="s">
        <v>5102</v>
      </c>
      <c r="F994" s="32" t="e">
        <v>#N/A</v>
      </c>
      <c r="G994" s="39"/>
      <c r="H994" s="32" t="s">
        <v>702</v>
      </c>
      <c r="I994" s="32" t="s">
        <v>5102</v>
      </c>
      <c r="J994" s="32" t="s">
        <v>703</v>
      </c>
      <c r="K994" s="33" t="s">
        <v>704</v>
      </c>
      <c r="L994" s="32">
        <v>3.2783964E7</v>
      </c>
      <c r="M994" s="32" t="e">
        <v>#REF!</v>
      </c>
      <c r="N994" s="32" t="s">
        <v>51</v>
      </c>
      <c r="O994" s="32" t="s">
        <v>52</v>
      </c>
      <c r="P994" s="32">
        <v>26499.0</v>
      </c>
      <c r="Q994" s="34">
        <v>21464.0</v>
      </c>
      <c r="R994" s="40">
        <v>23099.0</v>
      </c>
      <c r="S994" s="35">
        <v>20139.24</v>
      </c>
      <c r="T994" s="36">
        <v>0.0</v>
      </c>
      <c r="U994" s="36">
        <v>0.0</v>
      </c>
      <c r="V994" s="36">
        <v>0.0</v>
      </c>
      <c r="W994" s="36">
        <v>0.0</v>
      </c>
      <c r="X994" s="36">
        <v>0.0</v>
      </c>
      <c r="Y994" s="36">
        <v>0.0</v>
      </c>
    </row>
    <row r="995">
      <c r="A995" s="32" t="s">
        <v>757</v>
      </c>
      <c r="B995" s="32" t="s">
        <v>757</v>
      </c>
      <c r="C995" s="32" t="s">
        <v>758</v>
      </c>
      <c r="D995" s="32" t="s">
        <v>759</v>
      </c>
      <c r="E995" s="32" t="s">
        <v>5102</v>
      </c>
      <c r="F995" s="32" t="e">
        <v>#N/A</v>
      </c>
      <c r="G995" s="39"/>
      <c r="H995" s="32">
        <v>0.0</v>
      </c>
      <c r="I995" s="39"/>
      <c r="J995" s="32" t="s">
        <v>760</v>
      </c>
      <c r="K995" s="33" t="s">
        <v>761</v>
      </c>
      <c r="L995" s="32" t="e">
        <v>#N/A</v>
      </c>
      <c r="M995" s="50" t="s">
        <v>762</v>
      </c>
      <c r="N995" s="32" t="s">
        <v>51</v>
      </c>
      <c r="O995" s="32" t="s">
        <v>52</v>
      </c>
      <c r="P995" s="32">
        <v>14469.0</v>
      </c>
      <c r="Q995" s="34">
        <v>11720.0</v>
      </c>
      <c r="R995" s="40">
        <v>12599.0</v>
      </c>
      <c r="S995" s="35">
        <v>10996.44</v>
      </c>
      <c r="T995" s="36">
        <v>0.0</v>
      </c>
      <c r="U995" s="36">
        <v>0.0</v>
      </c>
      <c r="V995" s="36">
        <v>0.0</v>
      </c>
      <c r="W995" s="36">
        <v>0.0</v>
      </c>
      <c r="X995" s="36">
        <v>0.0</v>
      </c>
      <c r="Y995" s="36">
        <v>0.0</v>
      </c>
    </row>
    <row r="996">
      <c r="A996" s="32" t="s">
        <v>724</v>
      </c>
      <c r="B996" s="32" t="s">
        <v>724</v>
      </c>
      <c r="C996" s="32" t="s">
        <v>725</v>
      </c>
      <c r="D996" s="32" t="s">
        <v>726</v>
      </c>
      <c r="E996" s="32" t="s">
        <v>5102</v>
      </c>
      <c r="F996" s="32" t="e">
        <v>#N/A</v>
      </c>
      <c r="G996" s="39"/>
      <c r="H996" s="32">
        <v>0.0</v>
      </c>
      <c r="I996" s="39"/>
      <c r="J996" s="32" t="s">
        <v>727</v>
      </c>
      <c r="K996" s="33" t="s">
        <v>728</v>
      </c>
      <c r="L996" s="32" t="e">
        <v>#N/A</v>
      </c>
      <c r="M996" s="32" t="e">
        <v>#REF!</v>
      </c>
      <c r="N996" s="32" t="s">
        <v>51</v>
      </c>
      <c r="O996" s="32" t="s">
        <v>52</v>
      </c>
      <c r="P996" s="32">
        <v>18739.0</v>
      </c>
      <c r="Q996" s="34">
        <v>15179.0</v>
      </c>
      <c r="R996" s="40">
        <v>16299.0</v>
      </c>
      <c r="S996" s="35">
        <v>14241.64</v>
      </c>
      <c r="T996" s="36">
        <v>0.0</v>
      </c>
      <c r="U996" s="36">
        <v>0.0</v>
      </c>
      <c r="V996" s="36">
        <v>0.0</v>
      </c>
      <c r="W996" s="36">
        <v>0.0</v>
      </c>
      <c r="X996" s="36">
        <v>0.0</v>
      </c>
      <c r="Y996" s="36">
        <v>0.0</v>
      </c>
    </row>
    <row r="997">
      <c r="A997" s="32" t="s">
        <v>602</v>
      </c>
      <c r="B997" s="32" t="s">
        <v>602</v>
      </c>
      <c r="C997" s="32" t="s">
        <v>603</v>
      </c>
      <c r="D997" s="32" t="s">
        <v>604</v>
      </c>
      <c r="E997" s="32" t="s">
        <v>5102</v>
      </c>
      <c r="F997" s="32" t="e">
        <v>#N/A</v>
      </c>
      <c r="G997" s="39"/>
      <c r="H997" s="32" t="s">
        <v>605</v>
      </c>
      <c r="I997" s="32" t="s">
        <v>5102</v>
      </c>
      <c r="J997" s="32" t="s">
        <v>606</v>
      </c>
      <c r="K997" s="33" t="s">
        <v>607</v>
      </c>
      <c r="L997" s="32">
        <v>3.2783825E7</v>
      </c>
      <c r="M997" s="32" t="s">
        <v>608</v>
      </c>
      <c r="N997" s="32" t="s">
        <v>51</v>
      </c>
      <c r="O997" s="32" t="s">
        <v>52</v>
      </c>
      <c r="P997" s="32">
        <v>18999.0</v>
      </c>
      <c r="Q997" s="34">
        <v>15389.0</v>
      </c>
      <c r="R997" s="40">
        <v>16499.0</v>
      </c>
      <c r="S997" s="35">
        <v>14439.24</v>
      </c>
      <c r="T997" s="36">
        <v>0.0</v>
      </c>
      <c r="U997" s="36">
        <v>0.0</v>
      </c>
      <c r="V997" s="36">
        <v>0.0</v>
      </c>
      <c r="W997" s="36">
        <v>0.0</v>
      </c>
      <c r="X997" s="36">
        <v>0.0</v>
      </c>
      <c r="Y997" s="36">
        <v>0.0</v>
      </c>
    </row>
    <row r="998">
      <c r="A998" s="32" t="s">
        <v>652</v>
      </c>
      <c r="B998" s="32" t="s">
        <v>652</v>
      </c>
      <c r="C998" s="32" t="s">
        <v>653</v>
      </c>
      <c r="D998" s="32" t="s">
        <v>654</v>
      </c>
      <c r="E998" s="32" t="s">
        <v>5073</v>
      </c>
      <c r="F998" s="32" t="e">
        <v>#N/A</v>
      </c>
      <c r="G998" s="39"/>
      <c r="H998" s="32" t="s">
        <v>655</v>
      </c>
      <c r="I998" s="32" t="s">
        <v>5102</v>
      </c>
      <c r="J998" s="32" t="s">
        <v>656</v>
      </c>
      <c r="K998" s="33" t="s">
        <v>657</v>
      </c>
      <c r="L998" s="32">
        <v>3.2784174E7</v>
      </c>
      <c r="M998" s="32" t="s">
        <v>658</v>
      </c>
      <c r="N998" s="32" t="s">
        <v>51</v>
      </c>
      <c r="O998" s="32" t="s">
        <v>52</v>
      </c>
      <c r="P998" s="32">
        <v>21999.0</v>
      </c>
      <c r="Q998" s="34">
        <v>17819.0</v>
      </c>
      <c r="R998" s="40">
        <v>19099.0</v>
      </c>
      <c r="S998" s="35">
        <v>16719.24</v>
      </c>
      <c r="T998" s="36">
        <v>0.0</v>
      </c>
      <c r="U998" s="36">
        <v>0.0</v>
      </c>
      <c r="V998" s="36">
        <v>0.0</v>
      </c>
      <c r="W998" s="36">
        <v>0.0</v>
      </c>
      <c r="X998" s="36">
        <v>0.0</v>
      </c>
      <c r="Y998" s="36">
        <v>0.0</v>
      </c>
    </row>
    <row r="999">
      <c r="A999" s="32" t="s">
        <v>705</v>
      </c>
      <c r="B999" s="32" t="s">
        <v>705</v>
      </c>
      <c r="C999" s="32" t="s">
        <v>706</v>
      </c>
      <c r="D999" s="16" t="s">
        <v>707</v>
      </c>
      <c r="E999" s="32" t="s">
        <v>5110</v>
      </c>
      <c r="F999" s="32" t="e">
        <v>#N/A</v>
      </c>
      <c r="G999" s="32" t="e">
        <v>#N/A</v>
      </c>
      <c r="H999" s="32">
        <v>0.0</v>
      </c>
      <c r="I999" s="39"/>
      <c r="J999" s="32" t="s">
        <v>5184</v>
      </c>
      <c r="K999" s="33" t="s">
        <v>708</v>
      </c>
      <c r="L999" s="32">
        <v>3.2784172E7</v>
      </c>
      <c r="M999" s="32" t="e">
        <v>#N/A</v>
      </c>
      <c r="N999" s="32" t="s">
        <v>51</v>
      </c>
      <c r="O999" s="32" t="s">
        <v>52</v>
      </c>
      <c r="P999" s="32">
        <v>30999.0</v>
      </c>
      <c r="Q999" s="34">
        <v>25109.0</v>
      </c>
      <c r="R999" s="40">
        <v>26999.0</v>
      </c>
      <c r="S999" s="35">
        <v>23559.24</v>
      </c>
      <c r="T999" s="36">
        <v>0.0</v>
      </c>
      <c r="U999" s="36">
        <v>0.0</v>
      </c>
      <c r="V999" s="36">
        <v>0.0</v>
      </c>
      <c r="W999" s="36">
        <v>0.0</v>
      </c>
      <c r="X999" s="36">
        <v>0.0</v>
      </c>
      <c r="Y999" s="36">
        <v>0.0</v>
      </c>
    </row>
    <row r="1000">
      <c r="A1000" s="32" t="s">
        <v>763</v>
      </c>
      <c r="B1000" s="32" t="s">
        <v>763</v>
      </c>
      <c r="C1000" s="32" t="s">
        <v>764</v>
      </c>
      <c r="D1000" s="32" t="s">
        <v>765</v>
      </c>
      <c r="E1000" s="32" t="s">
        <v>5102</v>
      </c>
      <c r="F1000" s="32" t="e">
        <v>#N/A</v>
      </c>
      <c r="G1000" s="39"/>
      <c r="H1000" s="32">
        <v>0.0</v>
      </c>
      <c r="I1000" s="39"/>
      <c r="J1000" s="32" t="s">
        <v>766</v>
      </c>
      <c r="K1000" s="33" t="s">
        <v>767</v>
      </c>
      <c r="L1000" s="32" t="e">
        <v>#N/A</v>
      </c>
      <c r="M1000" s="32" t="e">
        <v>#N/A</v>
      </c>
      <c r="N1000" s="32" t="s">
        <v>51</v>
      </c>
      <c r="O1000" s="32" t="s">
        <v>52</v>
      </c>
      <c r="P1000" s="32">
        <v>16439.0</v>
      </c>
      <c r="Q1000" s="34">
        <v>13316.0</v>
      </c>
      <c r="R1000" s="40">
        <v>14299.0</v>
      </c>
      <c r="S1000" s="35">
        <v>12493.64</v>
      </c>
      <c r="T1000" s="36">
        <v>0.0</v>
      </c>
      <c r="U1000" s="36">
        <v>0.0</v>
      </c>
      <c r="V1000" s="36">
        <v>0.0</v>
      </c>
      <c r="W1000" s="36">
        <v>0.0</v>
      </c>
      <c r="X1000" s="36">
        <v>0.0</v>
      </c>
      <c r="Y1000" s="36">
        <v>0.0</v>
      </c>
    </row>
    <row r="1001">
      <c r="A1001" s="32" t="s">
        <v>729</v>
      </c>
      <c r="B1001" s="32" t="s">
        <v>729</v>
      </c>
      <c r="C1001" s="32" t="s">
        <v>730</v>
      </c>
      <c r="D1001" s="32" t="s">
        <v>731</v>
      </c>
      <c r="E1001" s="32" t="s">
        <v>5102</v>
      </c>
      <c r="F1001" s="32" t="e">
        <v>#N/A</v>
      </c>
      <c r="G1001" s="39"/>
      <c r="H1001" s="32">
        <v>0.0</v>
      </c>
      <c r="I1001" s="39"/>
      <c r="J1001" s="32" t="s">
        <v>732</v>
      </c>
      <c r="K1001" s="33" t="s">
        <v>733</v>
      </c>
      <c r="L1001" s="32" t="e">
        <v>#N/A</v>
      </c>
      <c r="M1001" s="32" t="e">
        <v>#N/A</v>
      </c>
      <c r="N1001" s="32" t="s">
        <v>51</v>
      </c>
      <c r="O1001" s="32" t="s">
        <v>52</v>
      </c>
      <c r="P1001" s="32">
        <v>19439.0</v>
      </c>
      <c r="Q1001" s="34">
        <v>15746.0</v>
      </c>
      <c r="R1001" s="40">
        <v>16899.0</v>
      </c>
      <c r="S1001" s="35">
        <v>14773.64</v>
      </c>
      <c r="T1001" s="36">
        <v>0.0</v>
      </c>
      <c r="U1001" s="36">
        <v>0.0</v>
      </c>
      <c r="V1001" s="36">
        <v>0.0</v>
      </c>
      <c r="W1001" s="36">
        <v>0.0</v>
      </c>
      <c r="X1001" s="36">
        <v>0.0</v>
      </c>
      <c r="Y1001" s="36">
        <v>0.0</v>
      </c>
    </row>
    <row r="1002">
      <c r="A1002" s="32" t="s">
        <v>609</v>
      </c>
      <c r="B1002" s="32" t="s">
        <v>609</v>
      </c>
      <c r="C1002" s="32" t="s">
        <v>610</v>
      </c>
      <c r="D1002" s="32" t="s">
        <v>611</v>
      </c>
      <c r="E1002" s="32" t="s">
        <v>5102</v>
      </c>
      <c r="F1002" s="32" t="e">
        <v>#N/A</v>
      </c>
      <c r="G1002" s="39"/>
      <c r="H1002" s="32" t="s">
        <v>5185</v>
      </c>
      <c r="I1002" s="32" t="s">
        <v>5102</v>
      </c>
      <c r="J1002" s="32" t="s">
        <v>612</v>
      </c>
      <c r="K1002" s="33" t="s">
        <v>613</v>
      </c>
      <c r="L1002" s="32">
        <v>3.2784113E7</v>
      </c>
      <c r="M1002" s="32" t="e">
        <v>#N/A</v>
      </c>
      <c r="N1002" s="32" t="s">
        <v>51</v>
      </c>
      <c r="O1002" s="32" t="s">
        <v>52</v>
      </c>
      <c r="P1002" s="32">
        <v>22999.0</v>
      </c>
      <c r="Q1002" s="34">
        <v>18629.0</v>
      </c>
      <c r="R1002" s="40">
        <v>19999.0</v>
      </c>
      <c r="S1002" s="35">
        <v>17479.24</v>
      </c>
      <c r="T1002" s="36">
        <v>0.0</v>
      </c>
      <c r="U1002" s="36">
        <v>0.0</v>
      </c>
      <c r="V1002" s="36">
        <v>0.0</v>
      </c>
      <c r="W1002" s="36">
        <v>0.0</v>
      </c>
      <c r="X1002" s="36">
        <v>0.0</v>
      </c>
      <c r="Y1002" s="36">
        <v>0.0</v>
      </c>
    </row>
    <row r="1003">
      <c r="A1003" s="32" t="s">
        <v>659</v>
      </c>
      <c r="B1003" s="32" t="s">
        <v>659</v>
      </c>
      <c r="C1003" s="32" t="s">
        <v>660</v>
      </c>
      <c r="D1003" s="32" t="s">
        <v>661</v>
      </c>
      <c r="E1003" s="32" t="s">
        <v>5102</v>
      </c>
      <c r="F1003" s="32" t="e">
        <v>#N/A</v>
      </c>
      <c r="G1003" s="39"/>
      <c r="H1003" s="51" t="s">
        <v>5186</v>
      </c>
      <c r="I1003" s="32" t="s">
        <v>5102</v>
      </c>
      <c r="J1003" s="32" t="s">
        <v>5187</v>
      </c>
      <c r="K1003" s="33" t="s">
        <v>662</v>
      </c>
      <c r="L1003" s="32">
        <v>3.2784198E7</v>
      </c>
      <c r="M1003" s="32" t="e">
        <v>#N/A</v>
      </c>
      <c r="N1003" s="32" t="s">
        <v>51</v>
      </c>
      <c r="O1003" s="32" t="s">
        <v>52</v>
      </c>
      <c r="P1003" s="32">
        <v>25999.0</v>
      </c>
      <c r="Q1003" s="34">
        <v>21059.0</v>
      </c>
      <c r="R1003" s="40">
        <v>22599.0</v>
      </c>
      <c r="S1003" s="35">
        <v>19759.24</v>
      </c>
      <c r="T1003" s="36">
        <v>0.0</v>
      </c>
      <c r="U1003" s="36">
        <v>0.0</v>
      </c>
      <c r="V1003" s="36">
        <v>0.0</v>
      </c>
      <c r="W1003" s="36">
        <v>0.0</v>
      </c>
      <c r="X1003" s="36">
        <v>0.0</v>
      </c>
      <c r="Y1003" s="36">
        <v>0.0</v>
      </c>
    </row>
    <row r="1004">
      <c r="A1004" s="32" t="s">
        <v>2511</v>
      </c>
      <c r="B1004" s="32" t="s">
        <v>2511</v>
      </c>
      <c r="C1004" s="32">
        <v>0.0</v>
      </c>
      <c r="D1004" s="32" t="e">
        <v>#N/A</v>
      </c>
      <c r="E1004" s="39"/>
      <c r="F1004" s="32" t="e">
        <v>#N/A</v>
      </c>
      <c r="G1004" s="39"/>
      <c r="H1004" s="32" t="e">
        <v>#N/A</v>
      </c>
      <c r="I1004" s="39"/>
      <c r="J1004" s="32">
        <v>0.0</v>
      </c>
      <c r="K1004" s="33" t="e">
        <v>#N/A</v>
      </c>
      <c r="L1004" s="32" t="e">
        <v>#N/A</v>
      </c>
      <c r="M1004" s="32" t="e">
        <v>#N/A</v>
      </c>
      <c r="N1004" s="32" t="e">
        <v>#N/A</v>
      </c>
      <c r="O1004" s="32" t="e">
        <v>#N/A</v>
      </c>
      <c r="P1004" s="32" t="e">
        <v>#REF!</v>
      </c>
      <c r="Q1004" s="32" t="e">
        <v>#N/A</v>
      </c>
      <c r="R1004" s="42" t="e">
        <v>#N/A</v>
      </c>
      <c r="S1004" s="42" t="e">
        <v>#N/A</v>
      </c>
      <c r="T1004" s="36">
        <v>0.0</v>
      </c>
      <c r="U1004" s="36">
        <v>0.0</v>
      </c>
      <c r="V1004" s="36">
        <v>0.0</v>
      </c>
      <c r="W1004" s="36">
        <v>0.0</v>
      </c>
      <c r="X1004" s="36">
        <v>0.0</v>
      </c>
      <c r="Y1004" s="36">
        <v>0.0</v>
      </c>
    </row>
    <row r="1005">
      <c r="A1005" s="32" t="s">
        <v>2508</v>
      </c>
      <c r="B1005" s="32" t="s">
        <v>2508</v>
      </c>
      <c r="C1005" s="32">
        <v>0.0</v>
      </c>
      <c r="D1005" s="32" t="e">
        <v>#N/A</v>
      </c>
      <c r="E1005" s="39"/>
      <c r="F1005" s="32" t="e">
        <v>#N/A</v>
      </c>
      <c r="G1005" s="39"/>
      <c r="H1005" s="32" t="e">
        <v>#N/A</v>
      </c>
      <c r="I1005" s="39"/>
      <c r="J1005" s="32">
        <v>0.0</v>
      </c>
      <c r="K1005" s="33" t="e">
        <v>#N/A</v>
      </c>
      <c r="L1005" s="32" t="e">
        <v>#N/A</v>
      </c>
      <c r="M1005" s="32" t="e">
        <v>#N/A</v>
      </c>
      <c r="N1005" s="32" t="e">
        <v>#N/A</v>
      </c>
      <c r="O1005" s="32" t="e">
        <v>#N/A</v>
      </c>
      <c r="P1005" s="32" t="e">
        <v>#REF!</v>
      </c>
      <c r="Q1005" s="32" t="e">
        <v>#N/A</v>
      </c>
      <c r="R1005" s="42" t="e">
        <v>#N/A</v>
      </c>
      <c r="S1005" s="42" t="e">
        <v>#N/A</v>
      </c>
      <c r="T1005" s="36">
        <v>0.0</v>
      </c>
      <c r="U1005" s="36">
        <v>0.0</v>
      </c>
      <c r="V1005" s="36">
        <v>0.0</v>
      </c>
      <c r="W1005" s="36">
        <v>0.0</v>
      </c>
      <c r="X1005" s="36">
        <v>0.0</v>
      </c>
      <c r="Y1005" s="36">
        <v>0.0</v>
      </c>
    </row>
    <row r="1006">
      <c r="A1006" s="32" t="s">
        <v>2512</v>
      </c>
      <c r="B1006" s="32" t="s">
        <v>2512</v>
      </c>
      <c r="C1006" s="32">
        <v>0.0</v>
      </c>
      <c r="D1006" s="32" t="e">
        <v>#N/A</v>
      </c>
      <c r="E1006" s="39"/>
      <c r="F1006" s="32" t="e">
        <v>#N/A</v>
      </c>
      <c r="G1006" s="39"/>
      <c r="H1006" s="32" t="e">
        <v>#N/A</v>
      </c>
      <c r="I1006" s="39"/>
      <c r="J1006" s="32">
        <v>0.0</v>
      </c>
      <c r="K1006" s="33" t="e">
        <v>#N/A</v>
      </c>
      <c r="L1006" s="32" t="e">
        <v>#N/A</v>
      </c>
      <c r="M1006" s="32" t="e">
        <v>#N/A</v>
      </c>
      <c r="N1006" s="32" t="e">
        <v>#N/A</v>
      </c>
      <c r="O1006" s="32" t="e">
        <v>#N/A</v>
      </c>
      <c r="P1006" s="32" t="e">
        <v>#REF!</v>
      </c>
      <c r="Q1006" s="32" t="e">
        <v>#N/A</v>
      </c>
      <c r="R1006" s="42" t="e">
        <v>#N/A</v>
      </c>
      <c r="S1006" s="42" t="e">
        <v>#N/A</v>
      </c>
      <c r="T1006" s="36">
        <v>0.0</v>
      </c>
      <c r="U1006" s="36">
        <v>0.0</v>
      </c>
      <c r="V1006" s="36">
        <v>0.0</v>
      </c>
      <c r="W1006" s="36">
        <v>0.0</v>
      </c>
      <c r="X1006" s="36">
        <v>0.0</v>
      </c>
      <c r="Y1006" s="36">
        <v>0.0</v>
      </c>
    </row>
    <row r="1007">
      <c r="A1007" s="32" t="s">
        <v>2509</v>
      </c>
      <c r="B1007" s="32" t="s">
        <v>2509</v>
      </c>
      <c r="C1007" s="32">
        <v>0.0</v>
      </c>
      <c r="D1007" s="32" t="e">
        <v>#N/A</v>
      </c>
      <c r="E1007" s="39"/>
      <c r="F1007" s="32" t="e">
        <v>#N/A</v>
      </c>
      <c r="G1007" s="39"/>
      <c r="H1007" s="32" t="e">
        <v>#N/A</v>
      </c>
      <c r="I1007" s="39"/>
      <c r="J1007" s="32">
        <v>0.0</v>
      </c>
      <c r="K1007" s="33" t="e">
        <v>#N/A</v>
      </c>
      <c r="L1007" s="32" t="e">
        <v>#N/A</v>
      </c>
      <c r="M1007" s="32" t="e">
        <v>#N/A</v>
      </c>
      <c r="N1007" s="32" t="e">
        <v>#N/A</v>
      </c>
      <c r="O1007" s="32" t="e">
        <v>#N/A</v>
      </c>
      <c r="P1007" s="32" t="e">
        <v>#REF!</v>
      </c>
      <c r="Q1007" s="32" t="e">
        <v>#N/A</v>
      </c>
      <c r="R1007" s="42" t="e">
        <v>#N/A</v>
      </c>
      <c r="S1007" s="42" t="e">
        <v>#N/A</v>
      </c>
      <c r="T1007" s="36">
        <v>0.0</v>
      </c>
      <c r="U1007" s="36">
        <v>0.0</v>
      </c>
      <c r="V1007" s="36">
        <v>0.0</v>
      </c>
      <c r="W1007" s="36">
        <v>0.0</v>
      </c>
      <c r="X1007" s="36">
        <v>0.0</v>
      </c>
      <c r="Y1007" s="36">
        <v>0.0</v>
      </c>
    </row>
    <row r="1008">
      <c r="A1008" s="32" t="s">
        <v>2513</v>
      </c>
      <c r="B1008" s="32" t="s">
        <v>2513</v>
      </c>
      <c r="C1008" s="32">
        <v>0.0</v>
      </c>
      <c r="D1008" s="32" t="e">
        <v>#N/A</v>
      </c>
      <c r="E1008" s="39"/>
      <c r="F1008" s="32" t="e">
        <v>#N/A</v>
      </c>
      <c r="G1008" s="39"/>
      <c r="H1008" s="32" t="e">
        <v>#N/A</v>
      </c>
      <c r="I1008" s="39"/>
      <c r="J1008" s="32">
        <v>0.0</v>
      </c>
      <c r="K1008" s="33" t="e">
        <v>#N/A</v>
      </c>
      <c r="L1008" s="32" t="e">
        <v>#N/A</v>
      </c>
      <c r="M1008" s="32" t="e">
        <v>#N/A</v>
      </c>
      <c r="N1008" s="32" t="e">
        <v>#N/A</v>
      </c>
      <c r="O1008" s="32" t="e">
        <v>#N/A</v>
      </c>
      <c r="P1008" s="32" t="e">
        <v>#REF!</v>
      </c>
      <c r="Q1008" s="32" t="e">
        <v>#N/A</v>
      </c>
      <c r="R1008" s="42" t="e">
        <v>#N/A</v>
      </c>
      <c r="S1008" s="42" t="e">
        <v>#N/A</v>
      </c>
      <c r="T1008" s="36">
        <v>0.0</v>
      </c>
      <c r="U1008" s="36">
        <v>0.0</v>
      </c>
      <c r="V1008" s="36">
        <v>0.0</v>
      </c>
      <c r="W1008" s="36">
        <v>0.0</v>
      </c>
      <c r="X1008" s="36">
        <v>0.0</v>
      </c>
      <c r="Y1008" s="36">
        <v>0.0</v>
      </c>
    </row>
    <row r="1009">
      <c r="A1009" s="32" t="s">
        <v>2510</v>
      </c>
      <c r="B1009" s="32" t="s">
        <v>2510</v>
      </c>
      <c r="C1009" s="32">
        <v>0.0</v>
      </c>
      <c r="D1009" s="32" t="e">
        <v>#N/A</v>
      </c>
      <c r="E1009" s="39"/>
      <c r="F1009" s="32" t="e">
        <v>#N/A</v>
      </c>
      <c r="G1009" s="39"/>
      <c r="H1009" s="32" t="e">
        <v>#N/A</v>
      </c>
      <c r="I1009" s="39"/>
      <c r="J1009" s="32">
        <v>0.0</v>
      </c>
      <c r="K1009" s="33" t="e">
        <v>#N/A</v>
      </c>
      <c r="L1009" s="32" t="e">
        <v>#N/A</v>
      </c>
      <c r="M1009" s="32" t="e">
        <v>#N/A</v>
      </c>
      <c r="N1009" s="32" t="e">
        <v>#N/A</v>
      </c>
      <c r="O1009" s="32" t="e">
        <v>#N/A</v>
      </c>
      <c r="P1009" s="32" t="e">
        <v>#REF!</v>
      </c>
      <c r="Q1009" s="32" t="e">
        <v>#N/A</v>
      </c>
      <c r="R1009" s="42" t="e">
        <v>#N/A</v>
      </c>
      <c r="S1009" s="42" t="e">
        <v>#N/A</v>
      </c>
      <c r="T1009" s="36">
        <v>0.0</v>
      </c>
      <c r="U1009" s="36">
        <v>0.0</v>
      </c>
      <c r="V1009" s="36">
        <v>0.0</v>
      </c>
      <c r="W1009" s="36">
        <v>0.0</v>
      </c>
      <c r="X1009" s="36">
        <v>0.0</v>
      </c>
      <c r="Y1009" s="36">
        <v>0.0</v>
      </c>
    </row>
    <row r="1010">
      <c r="A1010" s="32" t="s">
        <v>2524</v>
      </c>
      <c r="B1010" s="32" t="s">
        <v>2524</v>
      </c>
      <c r="C1010" s="32">
        <v>0.0</v>
      </c>
      <c r="D1010" s="32" t="e">
        <v>#N/A</v>
      </c>
      <c r="E1010" s="39"/>
      <c r="F1010" s="32" t="e">
        <v>#N/A</v>
      </c>
      <c r="G1010" s="39"/>
      <c r="H1010" s="32" t="e">
        <v>#N/A</v>
      </c>
      <c r="I1010" s="39"/>
      <c r="J1010" s="32">
        <v>0.0</v>
      </c>
      <c r="K1010" s="33" t="e">
        <v>#N/A</v>
      </c>
      <c r="L1010" s="32" t="e">
        <v>#N/A</v>
      </c>
      <c r="M1010" s="32" t="e">
        <v>#N/A</v>
      </c>
      <c r="N1010" s="32" t="e">
        <v>#N/A</v>
      </c>
      <c r="O1010" s="32" t="e">
        <v>#N/A</v>
      </c>
      <c r="P1010" s="32" t="e">
        <v>#REF!</v>
      </c>
      <c r="Q1010" s="32" t="e">
        <v>#N/A</v>
      </c>
      <c r="R1010" s="42" t="e">
        <v>#N/A</v>
      </c>
      <c r="S1010" s="42" t="e">
        <v>#N/A</v>
      </c>
      <c r="T1010" s="36">
        <v>0.0</v>
      </c>
      <c r="U1010" s="36">
        <v>0.0</v>
      </c>
      <c r="V1010" s="36">
        <v>0.0</v>
      </c>
      <c r="W1010" s="36">
        <v>0.0</v>
      </c>
      <c r="X1010" s="36">
        <v>0.0</v>
      </c>
      <c r="Y1010" s="36">
        <v>0.0</v>
      </c>
    </row>
    <row r="1011">
      <c r="A1011" s="32" t="s">
        <v>2520</v>
      </c>
      <c r="B1011" s="32" t="s">
        <v>2520</v>
      </c>
      <c r="C1011" s="32">
        <v>0.0</v>
      </c>
      <c r="D1011" s="32" t="e">
        <v>#N/A</v>
      </c>
      <c r="E1011" s="39"/>
      <c r="F1011" s="32" t="e">
        <v>#N/A</v>
      </c>
      <c r="G1011" s="39"/>
      <c r="H1011" s="32" t="e">
        <v>#N/A</v>
      </c>
      <c r="I1011" s="39"/>
      <c r="J1011" s="32">
        <v>0.0</v>
      </c>
      <c r="K1011" s="33" t="e">
        <v>#N/A</v>
      </c>
      <c r="L1011" s="32" t="e">
        <v>#N/A</v>
      </c>
      <c r="M1011" s="32" t="e">
        <v>#N/A</v>
      </c>
      <c r="N1011" s="32" t="e">
        <v>#N/A</v>
      </c>
      <c r="O1011" s="32" t="e">
        <v>#N/A</v>
      </c>
      <c r="P1011" s="32" t="e">
        <v>#REF!</v>
      </c>
      <c r="Q1011" s="32" t="e">
        <v>#N/A</v>
      </c>
      <c r="R1011" s="42" t="e">
        <v>#N/A</v>
      </c>
      <c r="S1011" s="42" t="e">
        <v>#N/A</v>
      </c>
      <c r="T1011" s="36">
        <v>0.0</v>
      </c>
      <c r="U1011" s="36">
        <v>0.0</v>
      </c>
      <c r="V1011" s="36">
        <v>0.0</v>
      </c>
      <c r="W1011" s="36">
        <v>0.0</v>
      </c>
      <c r="X1011" s="36">
        <v>0.0</v>
      </c>
      <c r="Y1011" s="36">
        <v>0.0</v>
      </c>
    </row>
    <row r="1012">
      <c r="A1012" s="32" t="s">
        <v>2525</v>
      </c>
      <c r="B1012" s="32" t="s">
        <v>2525</v>
      </c>
      <c r="C1012" s="32">
        <v>0.0</v>
      </c>
      <c r="D1012" s="32" t="e">
        <v>#N/A</v>
      </c>
      <c r="E1012" s="39"/>
      <c r="F1012" s="32" t="e">
        <v>#N/A</v>
      </c>
      <c r="G1012" s="39"/>
      <c r="H1012" s="32" t="e">
        <v>#N/A</v>
      </c>
      <c r="I1012" s="39"/>
      <c r="J1012" s="32">
        <v>0.0</v>
      </c>
      <c r="K1012" s="33" t="e">
        <v>#N/A</v>
      </c>
      <c r="L1012" s="32" t="e">
        <v>#N/A</v>
      </c>
      <c r="M1012" s="32" t="e">
        <v>#N/A</v>
      </c>
      <c r="N1012" s="32" t="e">
        <v>#N/A</v>
      </c>
      <c r="O1012" s="32" t="e">
        <v>#N/A</v>
      </c>
      <c r="P1012" s="32" t="e">
        <v>#REF!</v>
      </c>
      <c r="Q1012" s="32" t="e">
        <v>#N/A</v>
      </c>
      <c r="R1012" s="42" t="e">
        <v>#N/A</v>
      </c>
      <c r="S1012" s="42" t="e">
        <v>#N/A</v>
      </c>
      <c r="T1012" s="36">
        <v>0.0</v>
      </c>
      <c r="U1012" s="36">
        <v>0.0</v>
      </c>
      <c r="V1012" s="36">
        <v>0.0</v>
      </c>
      <c r="W1012" s="36">
        <v>0.0</v>
      </c>
      <c r="X1012" s="36">
        <v>0.0</v>
      </c>
      <c r="Y1012" s="36">
        <v>0.0</v>
      </c>
    </row>
    <row r="1013">
      <c r="A1013" s="32" t="s">
        <v>2521</v>
      </c>
      <c r="B1013" s="32" t="s">
        <v>2521</v>
      </c>
      <c r="C1013" s="32">
        <v>0.0</v>
      </c>
      <c r="D1013" s="32" t="e">
        <v>#N/A</v>
      </c>
      <c r="E1013" s="39"/>
      <c r="F1013" s="32" t="e">
        <v>#N/A</v>
      </c>
      <c r="G1013" s="39"/>
      <c r="H1013" s="32" t="e">
        <v>#N/A</v>
      </c>
      <c r="I1013" s="39"/>
      <c r="J1013" s="32">
        <v>0.0</v>
      </c>
      <c r="K1013" s="33" t="e">
        <v>#N/A</v>
      </c>
      <c r="L1013" s="32" t="e">
        <v>#N/A</v>
      </c>
      <c r="M1013" s="32" t="e">
        <v>#N/A</v>
      </c>
      <c r="N1013" s="32" t="e">
        <v>#N/A</v>
      </c>
      <c r="O1013" s="32" t="e">
        <v>#N/A</v>
      </c>
      <c r="P1013" s="32" t="e">
        <v>#REF!</v>
      </c>
      <c r="Q1013" s="32" t="e">
        <v>#N/A</v>
      </c>
      <c r="R1013" s="42" t="e">
        <v>#N/A</v>
      </c>
      <c r="S1013" s="42" t="e">
        <v>#N/A</v>
      </c>
      <c r="T1013" s="36">
        <v>0.0</v>
      </c>
      <c r="U1013" s="36">
        <v>0.0</v>
      </c>
      <c r="V1013" s="36">
        <v>0.0</v>
      </c>
      <c r="W1013" s="36">
        <v>0.0</v>
      </c>
      <c r="X1013" s="36">
        <v>0.0</v>
      </c>
      <c r="Y1013" s="36">
        <v>0.0</v>
      </c>
    </row>
    <row r="1014">
      <c r="A1014" s="32" t="s">
        <v>2526</v>
      </c>
      <c r="B1014" s="32" t="s">
        <v>2526</v>
      </c>
      <c r="C1014" s="32">
        <v>0.0</v>
      </c>
      <c r="D1014" s="32" t="e">
        <v>#N/A</v>
      </c>
      <c r="E1014" s="39"/>
      <c r="F1014" s="32" t="e">
        <v>#N/A</v>
      </c>
      <c r="G1014" s="39"/>
      <c r="H1014" s="32" t="e">
        <v>#N/A</v>
      </c>
      <c r="I1014" s="39"/>
      <c r="J1014" s="32">
        <v>0.0</v>
      </c>
      <c r="K1014" s="33" t="e">
        <v>#N/A</v>
      </c>
      <c r="L1014" s="32" t="e">
        <v>#N/A</v>
      </c>
      <c r="M1014" s="32" t="e">
        <v>#N/A</v>
      </c>
      <c r="N1014" s="32" t="e">
        <v>#N/A</v>
      </c>
      <c r="O1014" s="32" t="e">
        <v>#N/A</v>
      </c>
      <c r="P1014" s="32" t="e">
        <v>#REF!</v>
      </c>
      <c r="Q1014" s="32" t="e">
        <v>#N/A</v>
      </c>
      <c r="R1014" s="42" t="e">
        <v>#N/A</v>
      </c>
      <c r="S1014" s="42" t="e">
        <v>#N/A</v>
      </c>
      <c r="T1014" s="36">
        <v>0.0</v>
      </c>
      <c r="U1014" s="36">
        <v>0.0</v>
      </c>
      <c r="V1014" s="36">
        <v>0.0</v>
      </c>
      <c r="W1014" s="36">
        <v>0.0</v>
      </c>
      <c r="X1014" s="36">
        <v>0.0</v>
      </c>
      <c r="Y1014" s="36">
        <v>0.0</v>
      </c>
    </row>
    <row r="1015">
      <c r="A1015" s="32" t="s">
        <v>2522</v>
      </c>
      <c r="B1015" s="32" t="s">
        <v>2522</v>
      </c>
      <c r="C1015" s="32">
        <v>0.0</v>
      </c>
      <c r="D1015" s="32" t="e">
        <v>#N/A</v>
      </c>
      <c r="E1015" s="39"/>
      <c r="F1015" s="32" t="e">
        <v>#N/A</v>
      </c>
      <c r="G1015" s="39"/>
      <c r="H1015" s="32" t="e">
        <v>#N/A</v>
      </c>
      <c r="I1015" s="39"/>
      <c r="J1015" s="32">
        <v>0.0</v>
      </c>
      <c r="K1015" s="33" t="e">
        <v>#N/A</v>
      </c>
      <c r="L1015" s="32" t="e">
        <v>#N/A</v>
      </c>
      <c r="M1015" s="32" t="e">
        <v>#N/A</v>
      </c>
      <c r="N1015" s="32" t="e">
        <v>#N/A</v>
      </c>
      <c r="O1015" s="32" t="e">
        <v>#N/A</v>
      </c>
      <c r="P1015" s="32" t="e">
        <v>#REF!</v>
      </c>
      <c r="Q1015" s="32" t="e">
        <v>#N/A</v>
      </c>
      <c r="R1015" s="42" t="e">
        <v>#N/A</v>
      </c>
      <c r="S1015" s="42" t="e">
        <v>#N/A</v>
      </c>
      <c r="T1015" s="36">
        <v>0.0</v>
      </c>
      <c r="U1015" s="36">
        <v>0.0</v>
      </c>
      <c r="V1015" s="36">
        <v>0.0</v>
      </c>
      <c r="W1015" s="36">
        <v>0.0</v>
      </c>
      <c r="X1015" s="36">
        <v>0.0</v>
      </c>
      <c r="Y1015" s="36">
        <v>0.0</v>
      </c>
    </row>
    <row r="1016">
      <c r="A1016" s="32" t="s">
        <v>2523</v>
      </c>
      <c r="B1016" s="32" t="s">
        <v>2523</v>
      </c>
      <c r="C1016" s="32">
        <v>0.0</v>
      </c>
      <c r="D1016" s="32" t="e">
        <v>#N/A</v>
      </c>
      <c r="E1016" s="39"/>
      <c r="F1016" s="32" t="e">
        <v>#N/A</v>
      </c>
      <c r="G1016" s="39"/>
      <c r="H1016" s="32" t="e">
        <v>#N/A</v>
      </c>
      <c r="I1016" s="39"/>
      <c r="J1016" s="32">
        <v>0.0</v>
      </c>
      <c r="K1016" s="33" t="e">
        <v>#N/A</v>
      </c>
      <c r="L1016" s="32" t="e">
        <v>#N/A</v>
      </c>
      <c r="M1016" s="32" t="e">
        <v>#N/A</v>
      </c>
      <c r="N1016" s="32" t="e">
        <v>#N/A</v>
      </c>
      <c r="O1016" s="32" t="e">
        <v>#N/A</v>
      </c>
      <c r="P1016" s="32" t="e">
        <v>#REF!</v>
      </c>
      <c r="Q1016" s="32" t="e">
        <v>#N/A</v>
      </c>
      <c r="R1016" s="42" t="e">
        <v>#N/A</v>
      </c>
      <c r="S1016" s="42" t="e">
        <v>#N/A</v>
      </c>
      <c r="T1016" s="36">
        <v>0.0</v>
      </c>
      <c r="U1016" s="36">
        <v>0.0</v>
      </c>
      <c r="V1016" s="36">
        <v>0.0</v>
      </c>
      <c r="W1016" s="36">
        <v>0.0</v>
      </c>
      <c r="X1016" s="36">
        <v>0.0</v>
      </c>
      <c r="Y1016" s="36">
        <v>0.0</v>
      </c>
    </row>
    <row r="1017">
      <c r="A1017" s="32" t="s">
        <v>2517</v>
      </c>
      <c r="B1017" s="32" t="s">
        <v>2517</v>
      </c>
      <c r="C1017" s="32">
        <v>0.0</v>
      </c>
      <c r="D1017" s="32" t="e">
        <v>#N/A</v>
      </c>
      <c r="E1017" s="39"/>
      <c r="F1017" s="32" t="e">
        <v>#N/A</v>
      </c>
      <c r="G1017" s="39"/>
      <c r="H1017" s="32" t="e">
        <v>#N/A</v>
      </c>
      <c r="I1017" s="39"/>
      <c r="J1017" s="32">
        <v>0.0</v>
      </c>
      <c r="K1017" s="33" t="e">
        <v>#N/A</v>
      </c>
      <c r="L1017" s="32" t="e">
        <v>#N/A</v>
      </c>
      <c r="M1017" s="32" t="e">
        <v>#N/A</v>
      </c>
      <c r="N1017" s="32" t="e">
        <v>#N/A</v>
      </c>
      <c r="O1017" s="32" t="e">
        <v>#N/A</v>
      </c>
      <c r="P1017" s="32" t="e">
        <v>#REF!</v>
      </c>
      <c r="Q1017" s="32" t="e">
        <v>#N/A</v>
      </c>
      <c r="R1017" s="42" t="e">
        <v>#N/A</v>
      </c>
      <c r="S1017" s="42" t="e">
        <v>#N/A</v>
      </c>
      <c r="T1017" s="36">
        <v>0.0</v>
      </c>
      <c r="U1017" s="36">
        <v>0.0</v>
      </c>
      <c r="V1017" s="36">
        <v>0.0</v>
      </c>
      <c r="W1017" s="36">
        <v>0.0</v>
      </c>
      <c r="X1017" s="36">
        <v>0.0</v>
      </c>
      <c r="Y1017" s="36">
        <v>0.0</v>
      </c>
    </row>
    <row r="1018">
      <c r="A1018" s="32" t="s">
        <v>2514</v>
      </c>
      <c r="B1018" s="32" t="s">
        <v>2514</v>
      </c>
      <c r="C1018" s="32">
        <v>0.0</v>
      </c>
      <c r="D1018" s="32" t="e">
        <v>#N/A</v>
      </c>
      <c r="E1018" s="39"/>
      <c r="F1018" s="32" t="e">
        <v>#N/A</v>
      </c>
      <c r="G1018" s="39"/>
      <c r="H1018" s="32" t="e">
        <v>#N/A</v>
      </c>
      <c r="I1018" s="39"/>
      <c r="J1018" s="32">
        <v>0.0</v>
      </c>
      <c r="K1018" s="33" t="e">
        <v>#N/A</v>
      </c>
      <c r="L1018" s="32" t="e">
        <v>#N/A</v>
      </c>
      <c r="M1018" s="32" t="e">
        <v>#N/A</v>
      </c>
      <c r="N1018" s="32" t="e">
        <v>#N/A</v>
      </c>
      <c r="O1018" s="32" t="e">
        <v>#N/A</v>
      </c>
      <c r="P1018" s="32" t="e">
        <v>#REF!</v>
      </c>
      <c r="Q1018" s="32" t="e">
        <v>#N/A</v>
      </c>
      <c r="R1018" s="42" t="e">
        <v>#N/A</v>
      </c>
      <c r="S1018" s="42" t="e">
        <v>#N/A</v>
      </c>
      <c r="T1018" s="36">
        <v>0.0</v>
      </c>
      <c r="U1018" s="36">
        <v>0.0</v>
      </c>
      <c r="V1018" s="36">
        <v>0.0</v>
      </c>
      <c r="W1018" s="36">
        <v>0.0</v>
      </c>
      <c r="X1018" s="36">
        <v>0.0</v>
      </c>
      <c r="Y1018" s="36">
        <v>0.0</v>
      </c>
    </row>
    <row r="1019">
      <c r="A1019" s="32" t="s">
        <v>2518</v>
      </c>
      <c r="B1019" s="32" t="s">
        <v>2518</v>
      </c>
      <c r="C1019" s="32">
        <v>0.0</v>
      </c>
      <c r="D1019" s="32" t="e">
        <v>#N/A</v>
      </c>
      <c r="E1019" s="39"/>
      <c r="F1019" s="32" t="e">
        <v>#N/A</v>
      </c>
      <c r="G1019" s="39"/>
      <c r="H1019" s="32" t="e">
        <v>#N/A</v>
      </c>
      <c r="I1019" s="39"/>
      <c r="J1019" s="32">
        <v>0.0</v>
      </c>
      <c r="K1019" s="33" t="e">
        <v>#N/A</v>
      </c>
      <c r="L1019" s="32" t="e">
        <v>#N/A</v>
      </c>
      <c r="M1019" s="32" t="e">
        <v>#N/A</v>
      </c>
      <c r="N1019" s="32" t="e">
        <v>#N/A</v>
      </c>
      <c r="O1019" s="32" t="e">
        <v>#N/A</v>
      </c>
      <c r="P1019" s="32" t="e">
        <v>#REF!</v>
      </c>
      <c r="Q1019" s="32" t="e">
        <v>#N/A</v>
      </c>
      <c r="R1019" s="42" t="e">
        <v>#N/A</v>
      </c>
      <c r="S1019" s="42" t="e">
        <v>#N/A</v>
      </c>
      <c r="T1019" s="36">
        <v>0.0</v>
      </c>
      <c r="U1019" s="36">
        <v>0.0</v>
      </c>
      <c r="V1019" s="36">
        <v>0.0</v>
      </c>
      <c r="W1019" s="36">
        <v>0.0</v>
      </c>
      <c r="X1019" s="36">
        <v>0.0</v>
      </c>
      <c r="Y1019" s="36">
        <v>0.0</v>
      </c>
    </row>
    <row r="1020">
      <c r="A1020" s="32" t="s">
        <v>2515</v>
      </c>
      <c r="B1020" s="32" t="s">
        <v>2515</v>
      </c>
      <c r="C1020" s="32">
        <v>0.0</v>
      </c>
      <c r="D1020" s="32" t="e">
        <v>#N/A</v>
      </c>
      <c r="E1020" s="39"/>
      <c r="F1020" s="32" t="e">
        <v>#N/A</v>
      </c>
      <c r="G1020" s="39"/>
      <c r="H1020" s="32" t="e">
        <v>#N/A</v>
      </c>
      <c r="I1020" s="39"/>
      <c r="J1020" s="32">
        <v>0.0</v>
      </c>
      <c r="K1020" s="33" t="e">
        <v>#N/A</v>
      </c>
      <c r="L1020" s="32" t="e">
        <v>#N/A</v>
      </c>
      <c r="M1020" s="32" t="e">
        <v>#N/A</v>
      </c>
      <c r="N1020" s="32" t="e">
        <v>#N/A</v>
      </c>
      <c r="O1020" s="32" t="e">
        <v>#N/A</v>
      </c>
      <c r="P1020" s="32" t="e">
        <v>#REF!</v>
      </c>
      <c r="Q1020" s="32" t="e">
        <v>#N/A</v>
      </c>
      <c r="R1020" s="42" t="e">
        <v>#N/A</v>
      </c>
      <c r="S1020" s="42" t="e">
        <v>#N/A</v>
      </c>
      <c r="T1020" s="36">
        <v>0.0</v>
      </c>
      <c r="U1020" s="36">
        <v>0.0</v>
      </c>
      <c r="V1020" s="36">
        <v>0.0</v>
      </c>
      <c r="W1020" s="36">
        <v>0.0</v>
      </c>
      <c r="X1020" s="36">
        <v>0.0</v>
      </c>
      <c r="Y1020" s="36">
        <v>0.0</v>
      </c>
    </row>
    <row r="1021">
      <c r="A1021" s="32" t="s">
        <v>2519</v>
      </c>
      <c r="B1021" s="32" t="s">
        <v>2519</v>
      </c>
      <c r="C1021" s="32">
        <v>0.0</v>
      </c>
      <c r="D1021" s="32" t="e">
        <v>#N/A</v>
      </c>
      <c r="E1021" s="39"/>
      <c r="F1021" s="32" t="e">
        <v>#N/A</v>
      </c>
      <c r="G1021" s="39"/>
      <c r="H1021" s="32" t="e">
        <v>#N/A</v>
      </c>
      <c r="I1021" s="39"/>
      <c r="J1021" s="32">
        <v>0.0</v>
      </c>
      <c r="K1021" s="33" t="e">
        <v>#N/A</v>
      </c>
      <c r="L1021" s="32" t="e">
        <v>#N/A</v>
      </c>
      <c r="M1021" s="32" t="e">
        <v>#N/A</v>
      </c>
      <c r="N1021" s="32" t="e">
        <v>#N/A</v>
      </c>
      <c r="O1021" s="32" t="e">
        <v>#N/A</v>
      </c>
      <c r="P1021" s="32" t="e">
        <v>#REF!</v>
      </c>
      <c r="Q1021" s="32" t="e">
        <v>#N/A</v>
      </c>
      <c r="R1021" s="42" t="e">
        <v>#N/A</v>
      </c>
      <c r="S1021" s="42" t="e">
        <v>#N/A</v>
      </c>
      <c r="T1021" s="36">
        <v>0.0</v>
      </c>
      <c r="U1021" s="36">
        <v>0.0</v>
      </c>
      <c r="V1021" s="36">
        <v>0.0</v>
      </c>
      <c r="W1021" s="36">
        <v>0.0</v>
      </c>
      <c r="X1021" s="36">
        <v>0.0</v>
      </c>
      <c r="Y1021" s="36">
        <v>0.0</v>
      </c>
    </row>
    <row r="1022">
      <c r="A1022" s="32" t="s">
        <v>2516</v>
      </c>
      <c r="B1022" s="32" t="s">
        <v>2516</v>
      </c>
      <c r="C1022" s="32">
        <v>0.0</v>
      </c>
      <c r="D1022" s="32" t="e">
        <v>#N/A</v>
      </c>
      <c r="E1022" s="39"/>
      <c r="F1022" s="32" t="e">
        <v>#N/A</v>
      </c>
      <c r="G1022" s="39"/>
      <c r="H1022" s="32" t="e">
        <v>#N/A</v>
      </c>
      <c r="I1022" s="39"/>
      <c r="J1022" s="32">
        <v>0.0</v>
      </c>
      <c r="K1022" s="33" t="e">
        <v>#N/A</v>
      </c>
      <c r="L1022" s="32" t="e">
        <v>#N/A</v>
      </c>
      <c r="M1022" s="32" t="e">
        <v>#N/A</v>
      </c>
      <c r="N1022" s="32" t="e">
        <v>#N/A</v>
      </c>
      <c r="O1022" s="32" t="e">
        <v>#N/A</v>
      </c>
      <c r="P1022" s="32" t="e">
        <v>#REF!</v>
      </c>
      <c r="Q1022" s="32" t="e">
        <v>#N/A</v>
      </c>
      <c r="R1022" s="42" t="e">
        <v>#N/A</v>
      </c>
      <c r="S1022" s="42" t="e">
        <v>#N/A</v>
      </c>
      <c r="T1022" s="36">
        <v>0.0</v>
      </c>
      <c r="U1022" s="36">
        <v>0.0</v>
      </c>
      <c r="V1022" s="36">
        <v>0.0</v>
      </c>
      <c r="W1022" s="36">
        <v>0.0</v>
      </c>
      <c r="X1022" s="36">
        <v>0.0</v>
      </c>
      <c r="Y1022" s="36">
        <v>0.0</v>
      </c>
    </row>
    <row r="1023">
      <c r="A1023" s="32" t="s">
        <v>2505</v>
      </c>
      <c r="B1023" s="32" t="s">
        <v>2505</v>
      </c>
      <c r="C1023" s="32">
        <v>0.0</v>
      </c>
      <c r="D1023" s="32" t="e">
        <v>#N/A</v>
      </c>
      <c r="E1023" s="39"/>
      <c r="F1023" s="32" t="e">
        <v>#N/A</v>
      </c>
      <c r="G1023" s="39"/>
      <c r="H1023" s="32" t="e">
        <v>#N/A</v>
      </c>
      <c r="I1023" s="39"/>
      <c r="J1023" s="32">
        <v>0.0</v>
      </c>
      <c r="K1023" s="33" t="e">
        <v>#N/A</v>
      </c>
      <c r="L1023" s="32" t="e">
        <v>#N/A</v>
      </c>
      <c r="M1023" s="32" t="e">
        <v>#N/A</v>
      </c>
      <c r="N1023" s="32" t="e">
        <v>#N/A</v>
      </c>
      <c r="O1023" s="32" t="e">
        <v>#N/A</v>
      </c>
      <c r="P1023" s="32" t="e">
        <v>#REF!</v>
      </c>
      <c r="Q1023" s="32" t="e">
        <v>#N/A</v>
      </c>
      <c r="R1023" s="42" t="e">
        <v>#N/A</v>
      </c>
      <c r="S1023" s="42" t="e">
        <v>#N/A</v>
      </c>
      <c r="T1023" s="36">
        <v>0.0</v>
      </c>
      <c r="U1023" s="36">
        <v>0.0</v>
      </c>
      <c r="V1023" s="36">
        <v>0.0</v>
      </c>
      <c r="W1023" s="36">
        <v>0.0</v>
      </c>
      <c r="X1023" s="36">
        <v>0.0</v>
      </c>
      <c r="Y1023" s="36">
        <v>0.0</v>
      </c>
    </row>
    <row r="1024">
      <c r="A1024" s="32" t="s">
        <v>2502</v>
      </c>
      <c r="B1024" s="32" t="s">
        <v>2502</v>
      </c>
      <c r="C1024" s="32">
        <v>0.0</v>
      </c>
      <c r="D1024" s="32" t="e">
        <v>#N/A</v>
      </c>
      <c r="E1024" s="39"/>
      <c r="F1024" s="32" t="e">
        <v>#N/A</v>
      </c>
      <c r="G1024" s="39"/>
      <c r="H1024" s="32" t="e">
        <v>#N/A</v>
      </c>
      <c r="I1024" s="39"/>
      <c r="J1024" s="32">
        <v>0.0</v>
      </c>
      <c r="K1024" s="33" t="e">
        <v>#N/A</v>
      </c>
      <c r="L1024" s="32" t="e">
        <v>#N/A</v>
      </c>
      <c r="M1024" s="32" t="e">
        <v>#N/A</v>
      </c>
      <c r="N1024" s="32" t="e">
        <v>#N/A</v>
      </c>
      <c r="O1024" s="32" t="e">
        <v>#N/A</v>
      </c>
      <c r="P1024" s="32" t="e">
        <v>#REF!</v>
      </c>
      <c r="Q1024" s="32" t="e">
        <v>#N/A</v>
      </c>
      <c r="R1024" s="42" t="e">
        <v>#N/A</v>
      </c>
      <c r="S1024" s="42" t="e">
        <v>#N/A</v>
      </c>
      <c r="T1024" s="36">
        <v>0.0</v>
      </c>
      <c r="U1024" s="36">
        <v>0.0</v>
      </c>
      <c r="V1024" s="36">
        <v>0.0</v>
      </c>
      <c r="W1024" s="36">
        <v>0.0</v>
      </c>
      <c r="X1024" s="36">
        <v>0.0</v>
      </c>
      <c r="Y1024" s="36">
        <v>0.0</v>
      </c>
    </row>
    <row r="1025">
      <c r="A1025" s="32" t="s">
        <v>2506</v>
      </c>
      <c r="B1025" s="32" t="s">
        <v>2506</v>
      </c>
      <c r="C1025" s="32">
        <v>0.0</v>
      </c>
      <c r="D1025" s="32" t="e">
        <v>#N/A</v>
      </c>
      <c r="E1025" s="39"/>
      <c r="F1025" s="32" t="e">
        <v>#N/A</v>
      </c>
      <c r="G1025" s="39"/>
      <c r="H1025" s="32" t="e">
        <v>#N/A</v>
      </c>
      <c r="I1025" s="39"/>
      <c r="J1025" s="32">
        <v>0.0</v>
      </c>
      <c r="K1025" s="33" t="e">
        <v>#N/A</v>
      </c>
      <c r="L1025" s="32" t="e">
        <v>#N/A</v>
      </c>
      <c r="M1025" s="32" t="e">
        <v>#N/A</v>
      </c>
      <c r="N1025" s="32" t="e">
        <v>#N/A</v>
      </c>
      <c r="O1025" s="32" t="e">
        <v>#N/A</v>
      </c>
      <c r="P1025" s="32" t="e">
        <v>#REF!</v>
      </c>
      <c r="Q1025" s="32" t="e">
        <v>#N/A</v>
      </c>
      <c r="R1025" s="42" t="e">
        <v>#N/A</v>
      </c>
      <c r="S1025" s="42" t="e">
        <v>#N/A</v>
      </c>
      <c r="T1025" s="36">
        <v>0.0</v>
      </c>
      <c r="U1025" s="36">
        <v>0.0</v>
      </c>
      <c r="V1025" s="36">
        <v>0.0</v>
      </c>
      <c r="W1025" s="36">
        <v>0.0</v>
      </c>
      <c r="X1025" s="36">
        <v>0.0</v>
      </c>
      <c r="Y1025" s="36">
        <v>0.0</v>
      </c>
    </row>
    <row r="1026">
      <c r="A1026" s="32" t="s">
        <v>2503</v>
      </c>
      <c r="B1026" s="32" t="s">
        <v>2503</v>
      </c>
      <c r="C1026" s="32">
        <v>0.0</v>
      </c>
      <c r="D1026" s="32" t="e">
        <v>#N/A</v>
      </c>
      <c r="E1026" s="39"/>
      <c r="F1026" s="32" t="e">
        <v>#N/A</v>
      </c>
      <c r="G1026" s="39"/>
      <c r="H1026" s="32" t="e">
        <v>#N/A</v>
      </c>
      <c r="I1026" s="39"/>
      <c r="J1026" s="32">
        <v>0.0</v>
      </c>
      <c r="K1026" s="33" t="e">
        <v>#N/A</v>
      </c>
      <c r="L1026" s="32" t="e">
        <v>#N/A</v>
      </c>
      <c r="M1026" s="32" t="e">
        <v>#N/A</v>
      </c>
      <c r="N1026" s="32" t="e">
        <v>#N/A</v>
      </c>
      <c r="O1026" s="32" t="e">
        <v>#N/A</v>
      </c>
      <c r="P1026" s="32" t="e">
        <v>#REF!</v>
      </c>
      <c r="Q1026" s="32" t="e">
        <v>#N/A</v>
      </c>
      <c r="R1026" s="42" t="e">
        <v>#N/A</v>
      </c>
      <c r="S1026" s="42" t="e">
        <v>#N/A</v>
      </c>
      <c r="T1026" s="36">
        <v>0.0</v>
      </c>
      <c r="U1026" s="36">
        <v>0.0</v>
      </c>
      <c r="V1026" s="36">
        <v>0.0</v>
      </c>
      <c r="W1026" s="36">
        <v>0.0</v>
      </c>
      <c r="X1026" s="36">
        <v>0.0</v>
      </c>
      <c r="Y1026" s="36">
        <v>0.0</v>
      </c>
    </row>
    <row r="1027">
      <c r="A1027" s="32" t="s">
        <v>2507</v>
      </c>
      <c r="B1027" s="32" t="s">
        <v>2507</v>
      </c>
      <c r="C1027" s="32">
        <v>0.0</v>
      </c>
      <c r="D1027" s="32" t="e">
        <v>#N/A</v>
      </c>
      <c r="E1027" s="39"/>
      <c r="F1027" s="32" t="e">
        <v>#N/A</v>
      </c>
      <c r="G1027" s="39"/>
      <c r="H1027" s="32" t="e">
        <v>#N/A</v>
      </c>
      <c r="I1027" s="39"/>
      <c r="J1027" s="32">
        <v>0.0</v>
      </c>
      <c r="K1027" s="33" t="e">
        <v>#N/A</v>
      </c>
      <c r="L1027" s="32" t="e">
        <v>#N/A</v>
      </c>
      <c r="M1027" s="32" t="e">
        <v>#N/A</v>
      </c>
      <c r="N1027" s="32" t="e">
        <v>#N/A</v>
      </c>
      <c r="O1027" s="32" t="e">
        <v>#N/A</v>
      </c>
      <c r="P1027" s="32" t="e">
        <v>#REF!</v>
      </c>
      <c r="Q1027" s="32" t="e">
        <v>#N/A</v>
      </c>
      <c r="R1027" s="42" t="e">
        <v>#N/A</v>
      </c>
      <c r="S1027" s="42" t="e">
        <v>#N/A</v>
      </c>
      <c r="T1027" s="36">
        <v>0.0</v>
      </c>
      <c r="U1027" s="36">
        <v>0.0</v>
      </c>
      <c r="V1027" s="36">
        <v>0.0</v>
      </c>
      <c r="W1027" s="36">
        <v>0.0</v>
      </c>
      <c r="X1027" s="36">
        <v>0.0</v>
      </c>
      <c r="Y1027" s="36">
        <v>0.0</v>
      </c>
    </row>
    <row r="1028">
      <c r="A1028" s="32" t="s">
        <v>2504</v>
      </c>
      <c r="B1028" s="32" t="s">
        <v>2504</v>
      </c>
      <c r="C1028" s="32">
        <v>0.0</v>
      </c>
      <c r="D1028" s="32" t="e">
        <v>#N/A</v>
      </c>
      <c r="E1028" s="39"/>
      <c r="F1028" s="32" t="e">
        <v>#N/A</v>
      </c>
      <c r="G1028" s="39"/>
      <c r="H1028" s="32" t="e">
        <v>#N/A</v>
      </c>
      <c r="I1028" s="39"/>
      <c r="J1028" s="32">
        <v>0.0</v>
      </c>
      <c r="K1028" s="33" t="e">
        <v>#N/A</v>
      </c>
      <c r="L1028" s="32" t="e">
        <v>#N/A</v>
      </c>
      <c r="M1028" s="32" t="e">
        <v>#N/A</v>
      </c>
      <c r="N1028" s="32" t="e">
        <v>#N/A</v>
      </c>
      <c r="O1028" s="32" t="e">
        <v>#N/A</v>
      </c>
      <c r="P1028" s="32" t="e">
        <v>#REF!</v>
      </c>
      <c r="Q1028" s="32" t="e">
        <v>#N/A</v>
      </c>
      <c r="R1028" s="42" t="e">
        <v>#N/A</v>
      </c>
      <c r="S1028" s="42" t="e">
        <v>#N/A</v>
      </c>
      <c r="T1028" s="36">
        <v>0.0</v>
      </c>
      <c r="U1028" s="36">
        <v>0.0</v>
      </c>
      <c r="V1028" s="36">
        <v>0.0</v>
      </c>
      <c r="W1028" s="36">
        <v>0.0</v>
      </c>
      <c r="X1028" s="36">
        <v>0.0</v>
      </c>
      <c r="Y1028" s="36">
        <v>0.0</v>
      </c>
    </row>
    <row r="1029">
      <c r="A1029" s="32" t="s">
        <v>4936</v>
      </c>
      <c r="B1029" s="32" t="s">
        <v>4936</v>
      </c>
      <c r="C1029" s="32" t="s">
        <v>4937</v>
      </c>
      <c r="D1029" s="46" t="s">
        <v>5188</v>
      </c>
      <c r="E1029" s="32" t="s">
        <v>5102</v>
      </c>
      <c r="F1029" s="38"/>
      <c r="G1029" s="38"/>
      <c r="H1029" s="38"/>
      <c r="I1029" s="38"/>
      <c r="J1029" s="32" t="s">
        <v>4939</v>
      </c>
      <c r="K1029" s="38"/>
      <c r="L1029" s="38"/>
      <c r="M1029" s="38"/>
      <c r="N1029" s="32" t="s">
        <v>51</v>
      </c>
      <c r="O1029" s="32" t="s">
        <v>52</v>
      </c>
      <c r="P1029" s="32">
        <v>29999.0</v>
      </c>
      <c r="Q1029" s="44">
        <v>24299.0</v>
      </c>
      <c r="R1029" s="40">
        <v>26099.0</v>
      </c>
      <c r="S1029" s="35">
        <v>22799.24</v>
      </c>
      <c r="T1029" s="36">
        <v>0.0</v>
      </c>
      <c r="U1029" s="36">
        <v>0.0</v>
      </c>
      <c r="V1029" s="36">
        <v>0.0</v>
      </c>
      <c r="W1029" s="36">
        <v>0.0</v>
      </c>
      <c r="X1029" s="36">
        <v>0.0</v>
      </c>
      <c r="Y1029" s="36">
        <v>0.0</v>
      </c>
    </row>
    <row r="1030">
      <c r="A1030" s="32" t="s">
        <v>336</v>
      </c>
      <c r="B1030" s="32" t="s">
        <v>336</v>
      </c>
      <c r="C1030" s="32" t="s">
        <v>337</v>
      </c>
      <c r="D1030" s="32" t="s">
        <v>4751</v>
      </c>
      <c r="E1030" s="32" t="s">
        <v>5102</v>
      </c>
      <c r="F1030" s="32" t="e">
        <v>#N/A</v>
      </c>
      <c r="G1030" s="32" t="e">
        <v>#N/A</v>
      </c>
      <c r="H1030" s="32" t="s">
        <v>5189</v>
      </c>
      <c r="I1030" s="32" t="s">
        <v>5102</v>
      </c>
      <c r="J1030" s="32" t="s">
        <v>339</v>
      </c>
      <c r="K1030" s="33" t="s">
        <v>340</v>
      </c>
      <c r="L1030" s="32">
        <v>3.1999074E7</v>
      </c>
      <c r="M1030" s="32" t="e">
        <v>#N/A</v>
      </c>
      <c r="N1030" s="32" t="s">
        <v>51</v>
      </c>
      <c r="O1030" s="32" t="s">
        <v>52</v>
      </c>
      <c r="P1030" s="32">
        <v>15699.0</v>
      </c>
      <c r="Q1030" s="34">
        <v>12716.0</v>
      </c>
      <c r="R1030" s="40">
        <v>13699.0</v>
      </c>
      <c r="S1030" s="35">
        <v>11931.24</v>
      </c>
      <c r="T1030" s="36">
        <v>0.0</v>
      </c>
      <c r="U1030" s="36">
        <v>0.0</v>
      </c>
      <c r="V1030" s="36">
        <v>0.0</v>
      </c>
      <c r="W1030" s="36">
        <v>0.0</v>
      </c>
      <c r="X1030" s="36">
        <v>0.0</v>
      </c>
      <c r="Y1030" s="36">
        <v>0.0</v>
      </c>
    </row>
    <row r="1031">
      <c r="A1031" s="32" t="s">
        <v>443</v>
      </c>
      <c r="B1031" s="32" t="s">
        <v>443</v>
      </c>
      <c r="C1031" s="32" t="s">
        <v>444</v>
      </c>
      <c r="D1031" s="32" t="s">
        <v>445</v>
      </c>
      <c r="E1031" s="32" t="s">
        <v>5102</v>
      </c>
      <c r="F1031" s="32" t="e">
        <v>#N/A</v>
      </c>
      <c r="G1031" s="39"/>
      <c r="H1031" s="32" t="s">
        <v>446</v>
      </c>
      <c r="I1031" s="32" t="s">
        <v>5102</v>
      </c>
      <c r="J1031" s="32" t="s">
        <v>447</v>
      </c>
      <c r="K1031" s="33" t="s">
        <v>448</v>
      </c>
      <c r="L1031" s="32">
        <v>3.2784045E7</v>
      </c>
      <c r="M1031" s="32" t="e">
        <v>#N/A</v>
      </c>
      <c r="N1031" s="32" t="s">
        <v>51</v>
      </c>
      <c r="O1031" s="32" t="s">
        <v>52</v>
      </c>
      <c r="P1031" s="32">
        <v>22399.0</v>
      </c>
      <c r="Q1031" s="34">
        <v>18143.0</v>
      </c>
      <c r="R1031" s="40">
        <v>19499.0</v>
      </c>
      <c r="S1031" s="35">
        <v>17023.24</v>
      </c>
      <c r="T1031" s="36">
        <v>0.0</v>
      </c>
      <c r="U1031" s="36">
        <v>0.0</v>
      </c>
      <c r="V1031" s="36">
        <v>0.0</v>
      </c>
      <c r="W1031" s="36">
        <v>0.0</v>
      </c>
      <c r="X1031" s="36">
        <v>0.0</v>
      </c>
      <c r="Y1031" s="36">
        <v>0.0</v>
      </c>
    </row>
    <row r="1032">
      <c r="A1032" s="32" t="s">
        <v>540</v>
      </c>
      <c r="B1032" s="32" t="s">
        <v>540</v>
      </c>
      <c r="C1032" s="32" t="s">
        <v>541</v>
      </c>
      <c r="D1032" s="32" t="s">
        <v>542</v>
      </c>
      <c r="E1032" s="32" t="s">
        <v>5102</v>
      </c>
      <c r="F1032" s="32" t="e">
        <v>#N/A</v>
      </c>
      <c r="G1032" s="39"/>
      <c r="H1032" s="32">
        <v>0.0</v>
      </c>
      <c r="I1032" s="39"/>
      <c r="J1032" s="32" t="s">
        <v>543</v>
      </c>
      <c r="K1032" s="33" t="s">
        <v>544</v>
      </c>
      <c r="L1032" s="32" t="e">
        <v>#N/A</v>
      </c>
      <c r="M1032" s="32" t="s">
        <v>545</v>
      </c>
      <c r="N1032" s="32" t="s">
        <v>51</v>
      </c>
      <c r="O1032" s="32" t="s">
        <v>52</v>
      </c>
      <c r="P1032" s="32">
        <v>12229.0</v>
      </c>
      <c r="Q1032" s="34">
        <v>9905.0</v>
      </c>
      <c r="R1032" s="40">
        <v>10599.0</v>
      </c>
      <c r="S1032" s="35">
        <v>9294.04</v>
      </c>
      <c r="T1032" s="36">
        <v>0.0</v>
      </c>
      <c r="U1032" s="36">
        <v>0.0</v>
      </c>
      <c r="V1032" s="36">
        <v>0.0</v>
      </c>
      <c r="W1032" s="36">
        <v>0.0</v>
      </c>
      <c r="X1032" s="36">
        <v>0.0</v>
      </c>
      <c r="Y1032" s="36">
        <v>0.0</v>
      </c>
    </row>
    <row r="1033">
      <c r="A1033" s="32" t="s">
        <v>355</v>
      </c>
      <c r="B1033" s="32" t="s">
        <v>355</v>
      </c>
      <c r="C1033" s="32" t="s">
        <v>356</v>
      </c>
      <c r="D1033" s="32" t="s">
        <v>357</v>
      </c>
      <c r="E1033" s="32" t="s">
        <v>5102</v>
      </c>
      <c r="F1033" s="32" t="e">
        <v>#N/A</v>
      </c>
      <c r="G1033" s="39"/>
      <c r="H1033" s="32" t="s">
        <v>358</v>
      </c>
      <c r="I1033" s="32" t="s">
        <v>5102</v>
      </c>
      <c r="J1033" s="32" t="s">
        <v>359</v>
      </c>
      <c r="K1033" s="33" t="s">
        <v>360</v>
      </c>
      <c r="L1033" s="32">
        <v>3.278423E7</v>
      </c>
      <c r="M1033" s="32" t="e">
        <v>#N/A</v>
      </c>
      <c r="N1033" s="32" t="s">
        <v>51</v>
      </c>
      <c r="O1033" s="32" t="s">
        <v>52</v>
      </c>
      <c r="P1033" s="32">
        <v>17299.0</v>
      </c>
      <c r="Q1033" s="34">
        <v>14012.0</v>
      </c>
      <c r="R1033" s="40">
        <v>15099.0</v>
      </c>
      <c r="S1033" s="35">
        <v>13147.24</v>
      </c>
      <c r="T1033" s="36">
        <v>0.0</v>
      </c>
      <c r="U1033" s="36">
        <v>0.0</v>
      </c>
      <c r="V1033" s="36">
        <v>0.0</v>
      </c>
      <c r="W1033" s="36">
        <v>0.0</v>
      </c>
      <c r="X1033" s="36">
        <v>0.0</v>
      </c>
      <c r="Y1033" s="36">
        <v>0.0</v>
      </c>
    </row>
    <row r="1034">
      <c r="A1034" s="32" t="s">
        <v>429</v>
      </c>
      <c r="B1034" s="32" t="s">
        <v>429</v>
      </c>
      <c r="C1034" s="32" t="s">
        <v>430</v>
      </c>
      <c r="D1034" s="32" t="s">
        <v>431</v>
      </c>
      <c r="E1034" s="32" t="s">
        <v>5102</v>
      </c>
      <c r="F1034" s="32" t="e">
        <v>#N/A</v>
      </c>
      <c r="G1034" s="39"/>
      <c r="H1034" s="32" t="s">
        <v>432</v>
      </c>
      <c r="I1034" s="32" t="s">
        <v>5102</v>
      </c>
      <c r="J1034" s="32" t="s">
        <v>433</v>
      </c>
      <c r="K1034" s="33" t="s">
        <v>434</v>
      </c>
      <c r="L1034" s="32">
        <v>3.278419E7</v>
      </c>
      <c r="M1034" s="32" t="s">
        <v>435</v>
      </c>
      <c r="N1034" s="32" t="s">
        <v>51</v>
      </c>
      <c r="O1034" s="32" t="s">
        <v>52</v>
      </c>
      <c r="P1034" s="32">
        <v>20699.0</v>
      </c>
      <c r="Q1034" s="34">
        <v>16766.0</v>
      </c>
      <c r="R1034" s="40">
        <v>17999.0</v>
      </c>
      <c r="S1034" s="35">
        <v>15731.24</v>
      </c>
      <c r="T1034" s="36">
        <v>0.0</v>
      </c>
      <c r="U1034" s="36">
        <v>0.0</v>
      </c>
      <c r="V1034" s="36">
        <v>0.0</v>
      </c>
      <c r="W1034" s="36">
        <v>0.0</v>
      </c>
      <c r="X1034" s="36">
        <v>0.0</v>
      </c>
      <c r="Y1034" s="36">
        <v>0.0</v>
      </c>
    </row>
    <row r="1035">
      <c r="A1035" s="32" t="s">
        <v>546</v>
      </c>
      <c r="B1035" s="32" t="s">
        <v>546</v>
      </c>
      <c r="C1035" s="32" t="s">
        <v>547</v>
      </c>
      <c r="D1035" s="32" t="s">
        <v>548</v>
      </c>
      <c r="E1035" s="32" t="s">
        <v>5102</v>
      </c>
      <c r="F1035" s="32" t="e">
        <v>#N/A</v>
      </c>
      <c r="G1035" s="39"/>
      <c r="H1035" s="32">
        <v>0.0</v>
      </c>
      <c r="I1035" s="39"/>
      <c r="J1035" s="32" t="s">
        <v>549</v>
      </c>
      <c r="K1035" s="33" t="s">
        <v>550</v>
      </c>
      <c r="L1035" s="32" t="e">
        <v>#N/A</v>
      </c>
      <c r="M1035" s="32" t="s">
        <v>551</v>
      </c>
      <c r="N1035" s="32" t="s">
        <v>51</v>
      </c>
      <c r="O1035" s="32" t="s">
        <v>52</v>
      </c>
      <c r="P1035" s="32">
        <v>12889.0</v>
      </c>
      <c r="Q1035" s="34">
        <v>10440.0</v>
      </c>
      <c r="R1035" s="40">
        <v>11199.0</v>
      </c>
      <c r="S1035" s="35">
        <v>9795.64</v>
      </c>
      <c r="T1035" s="36">
        <v>0.0</v>
      </c>
      <c r="U1035" s="36">
        <v>0.0</v>
      </c>
      <c r="V1035" s="36">
        <v>0.0</v>
      </c>
      <c r="W1035" s="36">
        <v>0.0</v>
      </c>
      <c r="X1035" s="36">
        <v>0.0</v>
      </c>
      <c r="Y1035" s="36">
        <v>0.0</v>
      </c>
    </row>
    <row r="1036">
      <c r="A1036" s="32" t="s">
        <v>361</v>
      </c>
      <c r="B1036" s="32" t="s">
        <v>361</v>
      </c>
      <c r="C1036" s="32" t="s">
        <v>362</v>
      </c>
      <c r="D1036" s="32" t="s">
        <v>363</v>
      </c>
      <c r="E1036" s="32" t="s">
        <v>5102</v>
      </c>
      <c r="F1036" s="32" t="e">
        <v>#N/A</v>
      </c>
      <c r="G1036" s="39"/>
      <c r="H1036" s="32" t="s">
        <v>364</v>
      </c>
      <c r="I1036" s="32" t="s">
        <v>5102</v>
      </c>
      <c r="J1036" s="32" t="s">
        <v>365</v>
      </c>
      <c r="K1036" s="33" t="s">
        <v>366</v>
      </c>
      <c r="L1036" s="32">
        <v>3.2784103E7</v>
      </c>
      <c r="M1036" s="32" t="e">
        <v>#N/A</v>
      </c>
      <c r="N1036" s="32" t="s">
        <v>51</v>
      </c>
      <c r="O1036" s="32" t="s">
        <v>52</v>
      </c>
      <c r="P1036" s="32">
        <v>17699.0</v>
      </c>
      <c r="Q1036" s="34">
        <v>14336.0</v>
      </c>
      <c r="R1036" s="40">
        <v>15399.0</v>
      </c>
      <c r="S1036" s="35">
        <v>13451.24</v>
      </c>
      <c r="T1036" s="36">
        <v>0.0</v>
      </c>
      <c r="U1036" s="36">
        <v>0.0</v>
      </c>
      <c r="V1036" s="36">
        <v>0.0</v>
      </c>
      <c r="W1036" s="36">
        <v>0.0</v>
      </c>
      <c r="X1036" s="36">
        <v>0.0</v>
      </c>
      <c r="Y1036" s="36">
        <v>0.0</v>
      </c>
    </row>
    <row r="1037">
      <c r="A1037" s="32" t="s">
        <v>534</v>
      </c>
      <c r="B1037" s="32" t="s">
        <v>534</v>
      </c>
      <c r="C1037" s="32" t="s">
        <v>535</v>
      </c>
      <c r="D1037" s="32" t="s">
        <v>536</v>
      </c>
      <c r="E1037" s="32" t="s">
        <v>5102</v>
      </c>
      <c r="F1037" s="32" t="e">
        <v>#N/A</v>
      </c>
      <c r="G1037" s="39"/>
      <c r="H1037" s="32">
        <v>0.0</v>
      </c>
      <c r="I1037" s="39"/>
      <c r="J1037" s="32" t="s">
        <v>537</v>
      </c>
      <c r="K1037" s="33" t="s">
        <v>538</v>
      </c>
      <c r="L1037" s="32" t="e">
        <v>#N/A</v>
      </c>
      <c r="M1037" s="32" t="s">
        <v>539</v>
      </c>
      <c r="N1037" s="32" t="s">
        <v>51</v>
      </c>
      <c r="O1037" s="32" t="s">
        <v>52</v>
      </c>
      <c r="P1037" s="32">
        <v>11839.0</v>
      </c>
      <c r="Q1037" s="34">
        <v>9590.0</v>
      </c>
      <c r="R1037" s="40">
        <v>10299.0</v>
      </c>
      <c r="S1037" s="35">
        <v>8997.64</v>
      </c>
      <c r="T1037" s="36">
        <v>0.0</v>
      </c>
      <c r="U1037" s="36">
        <v>0.0</v>
      </c>
      <c r="V1037" s="36">
        <v>0.0</v>
      </c>
      <c r="W1037" s="36">
        <v>0.0</v>
      </c>
      <c r="X1037" s="36">
        <v>0.0</v>
      </c>
      <c r="Y1037" s="36">
        <v>0.0</v>
      </c>
    </row>
    <row r="1038">
      <c r="A1038" s="32" t="s">
        <v>455</v>
      </c>
      <c r="B1038" s="32" t="s">
        <v>455</v>
      </c>
      <c r="C1038" s="32" t="s">
        <v>456</v>
      </c>
      <c r="D1038" s="32" t="s">
        <v>457</v>
      </c>
      <c r="E1038" s="32" t="s">
        <v>5102</v>
      </c>
      <c r="F1038" s="32" t="e">
        <v>#N/A</v>
      </c>
      <c r="G1038" s="39"/>
      <c r="H1038" s="32" t="s">
        <v>458</v>
      </c>
      <c r="I1038" s="32" t="s">
        <v>5102</v>
      </c>
      <c r="J1038" s="32" t="s">
        <v>459</v>
      </c>
      <c r="K1038" s="33" t="s">
        <v>460</v>
      </c>
      <c r="L1038" s="32">
        <v>3.2784218E7</v>
      </c>
      <c r="M1038" s="32" t="e">
        <v>#N/A</v>
      </c>
      <c r="N1038" s="32" t="s">
        <v>51</v>
      </c>
      <c r="O1038" s="32" t="s">
        <v>52</v>
      </c>
      <c r="P1038" s="32">
        <v>23499.0</v>
      </c>
      <c r="Q1038" s="34">
        <v>19034.0</v>
      </c>
      <c r="R1038" s="40">
        <v>20399.0</v>
      </c>
      <c r="S1038" s="35">
        <v>17859.24</v>
      </c>
      <c r="T1038" s="36">
        <v>0.0</v>
      </c>
      <c r="U1038" s="36">
        <v>0.0</v>
      </c>
      <c r="V1038" s="36">
        <v>0.0</v>
      </c>
      <c r="W1038" s="36">
        <v>0.0</v>
      </c>
      <c r="X1038" s="36">
        <v>0.0</v>
      </c>
      <c r="Y1038" s="36">
        <v>0.0</v>
      </c>
    </row>
    <row r="1039">
      <c r="A1039" s="32" t="s">
        <v>557</v>
      </c>
      <c r="B1039" s="32" t="s">
        <v>557</v>
      </c>
      <c r="C1039" s="32" t="s">
        <v>558</v>
      </c>
      <c r="D1039" s="32" t="s">
        <v>559</v>
      </c>
      <c r="E1039" s="32" t="s">
        <v>5102</v>
      </c>
      <c r="F1039" s="32" t="e">
        <v>#N/A</v>
      </c>
      <c r="G1039" s="39"/>
      <c r="H1039" s="32">
        <v>0.0</v>
      </c>
      <c r="I1039" s="39"/>
      <c r="J1039" s="32" t="s">
        <v>560</v>
      </c>
      <c r="K1039" s="33" t="s">
        <v>561</v>
      </c>
      <c r="L1039" s="32" t="e">
        <v>#N/A</v>
      </c>
      <c r="M1039" s="32" t="s">
        <v>562</v>
      </c>
      <c r="N1039" s="32" t="s">
        <v>51</v>
      </c>
      <c r="O1039" s="32" t="s">
        <v>52</v>
      </c>
      <c r="P1039" s="32">
        <v>13149.0</v>
      </c>
      <c r="Q1039" s="34">
        <v>10651.0</v>
      </c>
      <c r="R1039" s="40">
        <v>11399.0</v>
      </c>
      <c r="S1039" s="35">
        <v>9993.24</v>
      </c>
      <c r="T1039" s="36">
        <v>0.0</v>
      </c>
      <c r="U1039" s="36">
        <v>0.0</v>
      </c>
      <c r="V1039" s="36">
        <v>0.0</v>
      </c>
      <c r="W1039" s="36">
        <v>0.0</v>
      </c>
      <c r="X1039" s="36">
        <v>0.0</v>
      </c>
      <c r="Y1039" s="36">
        <v>0.0</v>
      </c>
    </row>
    <row r="1040">
      <c r="A1040" s="32" t="s">
        <v>511</v>
      </c>
      <c r="B1040" s="32" t="s">
        <v>511</v>
      </c>
      <c r="C1040" s="32" t="s">
        <v>512</v>
      </c>
      <c r="D1040" s="32" t="s">
        <v>513</v>
      </c>
      <c r="E1040" s="32" t="s">
        <v>5102</v>
      </c>
      <c r="F1040" s="32" t="e">
        <v>#N/A</v>
      </c>
      <c r="G1040" s="39"/>
      <c r="H1040" s="32">
        <v>0.0</v>
      </c>
      <c r="I1040" s="39"/>
      <c r="J1040" s="32" t="s">
        <v>514</v>
      </c>
      <c r="K1040" s="33" t="s">
        <v>515</v>
      </c>
      <c r="L1040" s="32" t="e">
        <v>#N/A</v>
      </c>
      <c r="M1040" s="32" t="s">
        <v>516</v>
      </c>
      <c r="N1040" s="32" t="s">
        <v>51</v>
      </c>
      <c r="O1040" s="32" t="s">
        <v>52</v>
      </c>
      <c r="P1040" s="32">
        <v>16659.0</v>
      </c>
      <c r="Q1040" s="34">
        <v>13494.0</v>
      </c>
      <c r="R1040" s="40">
        <v>14499.0</v>
      </c>
      <c r="S1040" s="35">
        <v>12660.84</v>
      </c>
      <c r="T1040" s="36">
        <v>0.0</v>
      </c>
      <c r="U1040" s="36">
        <v>0.0</v>
      </c>
      <c r="V1040" s="36">
        <v>0.0</v>
      </c>
      <c r="W1040" s="36">
        <v>0.0</v>
      </c>
      <c r="X1040" s="36">
        <v>0.0</v>
      </c>
      <c r="Y1040" s="36">
        <v>0.0</v>
      </c>
    </row>
    <row r="1041">
      <c r="A1041" s="32" t="s">
        <v>367</v>
      </c>
      <c r="B1041" s="32" t="s">
        <v>367</v>
      </c>
      <c r="C1041" s="32" t="s">
        <v>368</v>
      </c>
      <c r="D1041" s="32" t="s">
        <v>369</v>
      </c>
      <c r="E1041" s="32" t="s">
        <v>5102</v>
      </c>
      <c r="F1041" s="32" t="e">
        <v>#N/A</v>
      </c>
      <c r="G1041" s="39"/>
      <c r="H1041" s="32" t="s">
        <v>370</v>
      </c>
      <c r="I1041" s="32" t="s">
        <v>5102</v>
      </c>
      <c r="J1041" s="32" t="s">
        <v>371</v>
      </c>
      <c r="K1041" s="33" t="s">
        <v>372</v>
      </c>
      <c r="L1041" s="32">
        <v>3.2784075E7</v>
      </c>
      <c r="M1041" s="32" t="s">
        <v>373</v>
      </c>
      <c r="N1041" s="32" t="s">
        <v>51</v>
      </c>
      <c r="O1041" s="32" t="s">
        <v>52</v>
      </c>
      <c r="P1041" s="32">
        <v>18199.0</v>
      </c>
      <c r="Q1041" s="34">
        <v>14741.0</v>
      </c>
      <c r="R1041" s="40">
        <v>15799.0</v>
      </c>
      <c r="S1041" s="35">
        <v>13831.24</v>
      </c>
      <c r="T1041" s="36">
        <v>0.0</v>
      </c>
      <c r="U1041" s="36">
        <v>0.0</v>
      </c>
      <c r="V1041" s="36">
        <v>0.0</v>
      </c>
      <c r="W1041" s="36">
        <v>0.0</v>
      </c>
      <c r="X1041" s="36">
        <v>0.0</v>
      </c>
      <c r="Y1041" s="36">
        <v>0.0</v>
      </c>
    </row>
    <row r="1042">
      <c r="A1042" s="32" t="s">
        <v>412</v>
      </c>
      <c r="B1042" s="32" t="s">
        <v>412</v>
      </c>
      <c r="C1042" s="32" t="s">
        <v>413</v>
      </c>
      <c r="D1042" s="32" t="s">
        <v>414</v>
      </c>
      <c r="E1042" s="32" t="s">
        <v>5102</v>
      </c>
      <c r="F1042" s="32" t="e">
        <v>#N/A</v>
      </c>
      <c r="G1042" s="39"/>
      <c r="H1042" s="32" t="s">
        <v>412</v>
      </c>
      <c r="I1042" s="32" t="s">
        <v>5102</v>
      </c>
      <c r="J1042" s="32" t="s">
        <v>415</v>
      </c>
      <c r="K1042" s="33" t="s">
        <v>416</v>
      </c>
      <c r="L1042" s="32">
        <v>3.2783869E7</v>
      </c>
      <c r="M1042" s="32" t="e">
        <v>#N/A</v>
      </c>
      <c r="N1042" s="32" t="s">
        <v>51</v>
      </c>
      <c r="O1042" s="32" t="s">
        <v>52</v>
      </c>
      <c r="P1042" s="32">
        <v>20699.0</v>
      </c>
      <c r="Q1042" s="34">
        <v>16766.0</v>
      </c>
      <c r="R1042" s="40">
        <v>17999.0</v>
      </c>
      <c r="S1042" s="35">
        <v>15731.24</v>
      </c>
      <c r="T1042" s="36">
        <v>0.0</v>
      </c>
      <c r="U1042" s="36">
        <v>0.0</v>
      </c>
      <c r="V1042" s="36">
        <v>0.0</v>
      </c>
      <c r="W1042" s="36">
        <v>0.0</v>
      </c>
      <c r="X1042" s="36">
        <v>0.0</v>
      </c>
      <c r="Y1042" s="36">
        <v>0.0</v>
      </c>
    </row>
    <row r="1043">
      <c r="A1043" s="32" t="s">
        <v>461</v>
      </c>
      <c r="B1043" s="32" t="s">
        <v>461</v>
      </c>
      <c r="C1043" s="32" t="s">
        <v>462</v>
      </c>
      <c r="D1043" s="32" t="s">
        <v>463</v>
      </c>
      <c r="E1043" s="32" t="s">
        <v>5102</v>
      </c>
      <c r="F1043" s="32" t="e">
        <v>#N/A</v>
      </c>
      <c r="G1043" s="39"/>
      <c r="H1043" s="32">
        <v>0.0</v>
      </c>
      <c r="I1043" s="39"/>
      <c r="J1043" s="32" t="s">
        <v>464</v>
      </c>
      <c r="K1043" s="33" t="s">
        <v>465</v>
      </c>
      <c r="L1043" s="32" t="e">
        <v>#N/A</v>
      </c>
      <c r="M1043" s="32" t="e">
        <v>#N/A</v>
      </c>
      <c r="N1043" s="32" t="s">
        <v>51</v>
      </c>
      <c r="O1043" s="32" t="s">
        <v>52</v>
      </c>
      <c r="P1043" s="32">
        <v>24999.0</v>
      </c>
      <c r="Q1043" s="34">
        <v>20249.0</v>
      </c>
      <c r="R1043" s="40">
        <v>21699.0</v>
      </c>
      <c r="S1043" s="35">
        <v>18999.24</v>
      </c>
      <c r="T1043" s="36">
        <v>0.0</v>
      </c>
      <c r="U1043" s="36">
        <v>0.0</v>
      </c>
      <c r="V1043" s="36">
        <v>0.0</v>
      </c>
      <c r="W1043" s="36">
        <v>0.0</v>
      </c>
      <c r="X1043" s="36">
        <v>0.0</v>
      </c>
      <c r="Y1043" s="36">
        <v>0.0</v>
      </c>
    </row>
    <row r="1044">
      <c r="A1044" s="32" t="s">
        <v>552</v>
      </c>
      <c r="B1044" s="32" t="s">
        <v>552</v>
      </c>
      <c r="C1044" s="32" t="s">
        <v>553</v>
      </c>
      <c r="D1044" s="32" t="s">
        <v>554</v>
      </c>
      <c r="E1044" s="32" t="s">
        <v>5102</v>
      </c>
      <c r="F1044" s="32" t="e">
        <v>#N/A</v>
      </c>
      <c r="G1044" s="39"/>
      <c r="H1044" s="32">
        <v>0.0</v>
      </c>
      <c r="I1044" s="39"/>
      <c r="J1044" s="32" t="s">
        <v>555</v>
      </c>
      <c r="K1044" s="33" t="s">
        <v>556</v>
      </c>
      <c r="L1044" s="32" t="e">
        <v>#N/A</v>
      </c>
      <c r="M1044" s="32" t="e">
        <v>#N/A</v>
      </c>
      <c r="N1044" s="32" t="s">
        <v>51</v>
      </c>
      <c r="O1044" s="32" t="s">
        <v>52</v>
      </c>
      <c r="P1044" s="32">
        <v>12889.0</v>
      </c>
      <c r="Q1044" s="34">
        <v>10440.0</v>
      </c>
      <c r="R1044" s="40">
        <v>11199.0</v>
      </c>
      <c r="S1044" s="35">
        <v>9795.64</v>
      </c>
      <c r="T1044" s="36">
        <v>0.0</v>
      </c>
      <c r="U1044" s="36">
        <v>0.0</v>
      </c>
      <c r="V1044" s="36">
        <v>0.0</v>
      </c>
      <c r="W1044" s="36">
        <v>0.0</v>
      </c>
      <c r="X1044" s="36">
        <v>0.0</v>
      </c>
      <c r="Y1044" s="36">
        <v>0.0</v>
      </c>
    </row>
    <row r="1045">
      <c r="A1045" s="32" t="s">
        <v>517</v>
      </c>
      <c r="B1045" s="32" t="s">
        <v>517</v>
      </c>
      <c r="C1045" s="32" t="s">
        <v>518</v>
      </c>
      <c r="D1045" s="32" t="s">
        <v>519</v>
      </c>
      <c r="E1045" s="32" t="s">
        <v>5102</v>
      </c>
      <c r="F1045" s="32" t="e">
        <v>#N/A</v>
      </c>
      <c r="G1045" s="39"/>
      <c r="H1045" s="32">
        <v>0.0</v>
      </c>
      <c r="I1045" s="39"/>
      <c r="J1045" s="32" t="s">
        <v>520</v>
      </c>
      <c r="K1045" s="33" t="s">
        <v>521</v>
      </c>
      <c r="L1045" s="32" t="e">
        <v>#N/A</v>
      </c>
      <c r="M1045" s="32" t="e">
        <v>#N/A</v>
      </c>
      <c r="N1045" s="32" t="s">
        <v>51</v>
      </c>
      <c r="O1045" s="32" t="s">
        <v>52</v>
      </c>
      <c r="P1045" s="32">
        <v>16659.0</v>
      </c>
      <c r="Q1045" s="34">
        <v>13494.0</v>
      </c>
      <c r="R1045" s="40">
        <v>14499.0</v>
      </c>
      <c r="S1045" s="35">
        <v>12660.84</v>
      </c>
      <c r="T1045" s="36">
        <v>0.0</v>
      </c>
      <c r="U1045" s="36">
        <v>0.0</v>
      </c>
      <c r="V1045" s="36">
        <v>0.0</v>
      </c>
      <c r="W1045" s="36">
        <v>0.0</v>
      </c>
      <c r="X1045" s="36">
        <v>0.0</v>
      </c>
      <c r="Y1045" s="36">
        <v>0.0</v>
      </c>
    </row>
    <row r="1046">
      <c r="A1046" s="32" t="s">
        <v>374</v>
      </c>
      <c r="B1046" s="32" t="s">
        <v>374</v>
      </c>
      <c r="C1046" s="32" t="s">
        <v>375</v>
      </c>
      <c r="D1046" s="32" t="s">
        <v>376</v>
      </c>
      <c r="E1046" s="32" t="s">
        <v>5102</v>
      </c>
      <c r="F1046" s="32" t="e">
        <v>#N/A</v>
      </c>
      <c r="G1046" s="39"/>
      <c r="H1046" s="32">
        <v>0.0</v>
      </c>
      <c r="I1046" s="39"/>
      <c r="J1046" s="32" t="s">
        <v>377</v>
      </c>
      <c r="K1046" s="33" t="s">
        <v>378</v>
      </c>
      <c r="L1046" s="32" t="e">
        <v>#N/A</v>
      </c>
      <c r="M1046" s="32" t="e">
        <v>#N/A</v>
      </c>
      <c r="N1046" s="32" t="s">
        <v>51</v>
      </c>
      <c r="O1046" s="32" t="s">
        <v>52</v>
      </c>
      <c r="P1046" s="32">
        <v>16999.0</v>
      </c>
      <c r="Q1046" s="34">
        <v>13769.0</v>
      </c>
      <c r="R1046" s="40">
        <v>14799.0</v>
      </c>
      <c r="S1046" s="35">
        <v>12919.24</v>
      </c>
      <c r="T1046" s="36">
        <v>0.0</v>
      </c>
      <c r="U1046" s="36">
        <v>0.0</v>
      </c>
      <c r="V1046" s="36">
        <v>0.0</v>
      </c>
      <c r="W1046" s="36">
        <v>0.0</v>
      </c>
      <c r="X1046" s="36">
        <v>0.0</v>
      </c>
      <c r="Y1046" s="36">
        <v>0.0</v>
      </c>
    </row>
    <row r="1047">
      <c r="A1047" s="32" t="s">
        <v>417</v>
      </c>
      <c r="B1047" s="32" t="s">
        <v>417</v>
      </c>
      <c r="C1047" s="32" t="s">
        <v>418</v>
      </c>
      <c r="D1047" s="32" t="s">
        <v>419</v>
      </c>
      <c r="E1047" s="32" t="s">
        <v>5102</v>
      </c>
      <c r="F1047" s="32" t="e">
        <v>#N/A</v>
      </c>
      <c r="G1047" s="39"/>
      <c r="H1047" s="32">
        <v>0.0</v>
      </c>
      <c r="I1047" s="39"/>
      <c r="J1047" s="32" t="s">
        <v>420</v>
      </c>
      <c r="K1047" s="33" t="s">
        <v>421</v>
      </c>
      <c r="L1047" s="32" t="e">
        <v>#N/A</v>
      </c>
      <c r="M1047" s="32" t="e">
        <v>#N/A</v>
      </c>
      <c r="N1047" s="32" t="s">
        <v>51</v>
      </c>
      <c r="O1047" s="32" t="s">
        <v>52</v>
      </c>
      <c r="P1047" s="32">
        <v>20999.0</v>
      </c>
      <c r="Q1047" s="34">
        <v>17009.0</v>
      </c>
      <c r="R1047" s="40">
        <v>18299.0</v>
      </c>
      <c r="S1047" s="35">
        <v>15959.24</v>
      </c>
      <c r="T1047" s="36">
        <v>0.0</v>
      </c>
      <c r="U1047" s="36">
        <v>0.0</v>
      </c>
      <c r="V1047" s="36">
        <v>0.0</v>
      </c>
      <c r="W1047" s="36">
        <v>0.0</v>
      </c>
      <c r="X1047" s="36">
        <v>0.0</v>
      </c>
      <c r="Y1047" s="36">
        <v>0.0</v>
      </c>
    </row>
    <row r="1048">
      <c r="A1048" s="32" t="s">
        <v>476</v>
      </c>
      <c r="B1048" s="32" t="s">
        <v>476</v>
      </c>
      <c r="C1048" s="32" t="s">
        <v>477</v>
      </c>
      <c r="D1048" s="32" t="s">
        <v>478</v>
      </c>
      <c r="E1048" s="32" t="s">
        <v>5102</v>
      </c>
      <c r="F1048" s="32" t="e">
        <v>#N/A</v>
      </c>
      <c r="G1048" s="39"/>
      <c r="H1048" s="32">
        <v>0.0</v>
      </c>
      <c r="I1048" s="39"/>
      <c r="J1048" s="32" t="s">
        <v>479</v>
      </c>
      <c r="K1048" s="33" t="s">
        <v>480</v>
      </c>
      <c r="L1048" s="32" t="e">
        <v>#N/A</v>
      </c>
      <c r="M1048" s="32" t="e">
        <v>#N/A</v>
      </c>
      <c r="N1048" s="32" t="s">
        <v>51</v>
      </c>
      <c r="O1048" s="32" t="s">
        <v>52</v>
      </c>
      <c r="P1048" s="32">
        <v>25999.0</v>
      </c>
      <c r="Q1048" s="34">
        <v>21059.0</v>
      </c>
      <c r="R1048" s="40">
        <v>22599.0</v>
      </c>
      <c r="S1048" s="35">
        <v>19759.24</v>
      </c>
      <c r="T1048" s="36">
        <v>0.0</v>
      </c>
      <c r="U1048" s="36">
        <v>0.0</v>
      </c>
      <c r="V1048" s="36">
        <v>0.0</v>
      </c>
      <c r="W1048" s="36">
        <v>0.0</v>
      </c>
      <c r="X1048" s="36">
        <v>0.0</v>
      </c>
      <c r="Y1048" s="36">
        <v>0.0</v>
      </c>
    </row>
    <row r="1049">
      <c r="A1049" s="32" t="s">
        <v>466</v>
      </c>
      <c r="B1049" s="32" t="s">
        <v>466</v>
      </c>
      <c r="C1049" s="32" t="s">
        <v>467</v>
      </c>
      <c r="D1049" s="32" t="s">
        <v>468</v>
      </c>
      <c r="E1049" s="32" t="s">
        <v>5102</v>
      </c>
      <c r="F1049" s="32" t="e">
        <v>#N/A</v>
      </c>
      <c r="G1049" s="39"/>
      <c r="H1049" s="32">
        <v>0.0</v>
      </c>
      <c r="I1049" s="39"/>
      <c r="J1049" s="32" t="s">
        <v>469</v>
      </c>
      <c r="K1049" s="33" t="s">
        <v>470</v>
      </c>
      <c r="L1049" s="32" t="e">
        <v>#N/A</v>
      </c>
      <c r="M1049" s="32" t="e">
        <v>#N/A</v>
      </c>
      <c r="N1049" s="32" t="s">
        <v>51</v>
      </c>
      <c r="O1049" s="32" t="s">
        <v>52</v>
      </c>
      <c r="P1049" s="32">
        <v>18999.0</v>
      </c>
      <c r="Q1049" s="34">
        <v>15389.0</v>
      </c>
      <c r="R1049" s="40">
        <v>16499.0</v>
      </c>
      <c r="S1049" s="35">
        <v>14439.24</v>
      </c>
      <c r="T1049" s="36">
        <v>0.0</v>
      </c>
      <c r="U1049" s="36">
        <v>0.0</v>
      </c>
      <c r="V1049" s="36">
        <v>0.0</v>
      </c>
      <c r="W1049" s="36">
        <v>0.0</v>
      </c>
      <c r="X1049" s="36">
        <v>0.0</v>
      </c>
      <c r="Y1049" s="36">
        <v>0.0</v>
      </c>
    </row>
    <row r="1050">
      <c r="A1050" s="32" t="s">
        <v>471</v>
      </c>
      <c r="B1050" s="32" t="s">
        <v>471</v>
      </c>
      <c r="C1050" s="32" t="s">
        <v>472</v>
      </c>
      <c r="D1050" s="32" t="s">
        <v>473</v>
      </c>
      <c r="E1050" s="32" t="s">
        <v>5102</v>
      </c>
      <c r="F1050" s="32" t="e">
        <v>#N/A</v>
      </c>
      <c r="G1050" s="39"/>
      <c r="H1050" s="32">
        <v>0.0</v>
      </c>
      <c r="I1050" s="39"/>
      <c r="J1050" s="32" t="s">
        <v>474</v>
      </c>
      <c r="K1050" s="33" t="s">
        <v>475</v>
      </c>
      <c r="L1050" s="32" t="e">
        <v>#N/A</v>
      </c>
      <c r="M1050" s="32" t="e">
        <v>#N/A</v>
      </c>
      <c r="N1050" s="32" t="s">
        <v>51</v>
      </c>
      <c r="O1050" s="32" t="s">
        <v>52</v>
      </c>
      <c r="P1050" s="32">
        <v>21999.0</v>
      </c>
      <c r="Q1050" s="34">
        <v>17819.0</v>
      </c>
      <c r="R1050" s="40">
        <v>19099.0</v>
      </c>
      <c r="S1050" s="35">
        <v>16719.24</v>
      </c>
      <c r="T1050" s="36">
        <v>0.0</v>
      </c>
      <c r="U1050" s="36">
        <v>0.0</v>
      </c>
      <c r="V1050" s="36">
        <v>0.0</v>
      </c>
      <c r="W1050" s="36">
        <v>0.0</v>
      </c>
      <c r="X1050" s="36">
        <v>0.0</v>
      </c>
      <c r="Y1050" s="36">
        <v>0.0</v>
      </c>
    </row>
    <row r="1051">
      <c r="A1051" s="32" t="s">
        <v>53</v>
      </c>
      <c r="B1051" s="32" t="s">
        <v>53</v>
      </c>
      <c r="C1051" s="32" t="s">
        <v>54</v>
      </c>
      <c r="D1051" s="32" t="s">
        <v>55</v>
      </c>
      <c r="E1051" s="32" t="s">
        <v>5073</v>
      </c>
      <c r="F1051" s="32" t="e">
        <v>#N/A</v>
      </c>
      <c r="G1051" s="39"/>
      <c r="H1051" s="32" t="s">
        <v>56</v>
      </c>
      <c r="I1051" s="32" t="s">
        <v>5102</v>
      </c>
      <c r="J1051" s="32" t="s">
        <v>57</v>
      </c>
      <c r="K1051" s="33" t="s">
        <v>58</v>
      </c>
      <c r="L1051" s="32">
        <v>3.2788739E7</v>
      </c>
      <c r="M1051" s="32" t="s">
        <v>59</v>
      </c>
      <c r="N1051" s="32" t="s">
        <v>51</v>
      </c>
      <c r="O1051" s="32" t="s">
        <v>52</v>
      </c>
      <c r="P1051" s="32">
        <v>10399.0</v>
      </c>
      <c r="Q1051" s="34">
        <v>8423.0</v>
      </c>
      <c r="R1051" s="40">
        <v>8999.0</v>
      </c>
      <c r="S1051" s="35">
        <v>7903.24</v>
      </c>
      <c r="T1051" s="36">
        <v>0.0</v>
      </c>
      <c r="U1051" s="36">
        <v>0.0</v>
      </c>
      <c r="V1051" s="36">
        <v>0.0</v>
      </c>
      <c r="W1051" s="36">
        <v>0.0</v>
      </c>
      <c r="X1051" s="36">
        <v>0.0</v>
      </c>
      <c r="Y1051" s="36">
        <v>0.0</v>
      </c>
    </row>
    <row r="1052">
      <c r="A1052" s="32" t="s">
        <v>151</v>
      </c>
      <c r="B1052" s="32" t="s">
        <v>151</v>
      </c>
      <c r="C1052" s="32" t="s">
        <v>152</v>
      </c>
      <c r="D1052" s="32" t="s">
        <v>153</v>
      </c>
      <c r="E1052" s="32" t="s">
        <v>5102</v>
      </c>
      <c r="F1052" s="32" t="e">
        <v>#N/A</v>
      </c>
      <c r="G1052" s="39"/>
      <c r="H1052" s="32">
        <v>0.0</v>
      </c>
      <c r="I1052" s="39"/>
      <c r="J1052" s="32" t="s">
        <v>154</v>
      </c>
      <c r="K1052" s="33" t="s">
        <v>155</v>
      </c>
      <c r="L1052" s="32" t="e">
        <v>#N/A</v>
      </c>
      <c r="M1052" s="32" t="e">
        <v>#N/A</v>
      </c>
      <c r="N1052" s="32" t="s">
        <v>51</v>
      </c>
      <c r="O1052" s="32" t="s">
        <v>52</v>
      </c>
      <c r="P1052" s="32">
        <v>11519.0</v>
      </c>
      <c r="Q1052" s="34">
        <v>9330.0</v>
      </c>
      <c r="R1052" s="40">
        <v>9999.0</v>
      </c>
      <c r="S1052" s="35">
        <v>8754.44</v>
      </c>
      <c r="T1052" s="36">
        <v>0.0</v>
      </c>
      <c r="U1052" s="36">
        <v>0.0</v>
      </c>
      <c r="V1052" s="36">
        <v>0.0</v>
      </c>
      <c r="W1052" s="36">
        <v>0.0</v>
      </c>
      <c r="X1052" s="36">
        <v>0.0</v>
      </c>
      <c r="Y1052" s="36">
        <v>0.0</v>
      </c>
    </row>
    <row r="1053">
      <c r="A1053" s="32" t="s">
        <v>4928</v>
      </c>
      <c r="B1053" s="32" t="s">
        <v>4928</v>
      </c>
      <c r="C1053" s="32" t="s">
        <v>4929</v>
      </c>
      <c r="D1053" s="46" t="s">
        <v>5190</v>
      </c>
      <c r="E1053" s="32" t="s">
        <v>5102</v>
      </c>
      <c r="F1053" s="38"/>
      <c r="G1053" s="38"/>
      <c r="H1053" s="37" t="s">
        <v>5191</v>
      </c>
      <c r="I1053" s="32" t="s">
        <v>5102</v>
      </c>
      <c r="J1053" s="32" t="s">
        <v>4931</v>
      </c>
      <c r="K1053" s="38"/>
      <c r="L1053" s="38"/>
      <c r="M1053" s="38"/>
      <c r="N1053" s="32" t="s">
        <v>51</v>
      </c>
      <c r="O1053" s="32" t="s">
        <v>52</v>
      </c>
      <c r="P1053" s="32">
        <v>11999.0</v>
      </c>
      <c r="Q1053" s="44">
        <v>9719.0</v>
      </c>
      <c r="R1053" s="40">
        <v>10399.0</v>
      </c>
      <c r="S1053" s="35">
        <v>9119.24</v>
      </c>
      <c r="T1053" s="36">
        <v>0.0</v>
      </c>
      <c r="U1053" s="36">
        <v>0.0</v>
      </c>
      <c r="V1053" s="36">
        <v>0.0</v>
      </c>
      <c r="W1053" s="36">
        <v>0.0</v>
      </c>
      <c r="X1053" s="36">
        <v>0.0</v>
      </c>
      <c r="Y1053" s="36">
        <v>0.0</v>
      </c>
    </row>
    <row r="1054">
      <c r="A1054" s="32" t="s">
        <v>172</v>
      </c>
      <c r="B1054" s="32" t="s">
        <v>172</v>
      </c>
      <c r="C1054" s="32" t="s">
        <v>173</v>
      </c>
      <c r="D1054" s="32" t="s">
        <v>174</v>
      </c>
      <c r="E1054" s="32" t="s">
        <v>5102</v>
      </c>
      <c r="F1054" s="32" t="e">
        <v>#N/A</v>
      </c>
      <c r="G1054" s="39"/>
      <c r="H1054" s="32">
        <v>0.0</v>
      </c>
      <c r="I1054" s="39"/>
      <c r="J1054" s="32" t="s">
        <v>175</v>
      </c>
      <c r="K1054" s="33" t="s">
        <v>176</v>
      </c>
      <c r="L1054" s="32" t="e">
        <v>#N/A</v>
      </c>
      <c r="M1054" s="32" t="s">
        <v>177</v>
      </c>
      <c r="N1054" s="32" t="s">
        <v>51</v>
      </c>
      <c r="O1054" s="32" t="s">
        <v>52</v>
      </c>
      <c r="P1054" s="32">
        <v>7489.0</v>
      </c>
      <c r="Q1054" s="34">
        <v>6066.0</v>
      </c>
      <c r="R1054" s="40">
        <v>6499.0</v>
      </c>
      <c r="S1054" s="35">
        <v>5691.64</v>
      </c>
      <c r="T1054" s="36">
        <v>0.0</v>
      </c>
      <c r="U1054" s="36">
        <v>0.0</v>
      </c>
      <c r="V1054" s="36">
        <v>0.0</v>
      </c>
      <c r="W1054" s="36">
        <v>0.0</v>
      </c>
      <c r="X1054" s="36">
        <v>0.0</v>
      </c>
      <c r="Y1054" s="36">
        <v>0.0</v>
      </c>
    </row>
    <row r="1055">
      <c r="A1055" s="32" t="s">
        <v>123</v>
      </c>
      <c r="B1055" s="32" t="s">
        <v>123</v>
      </c>
      <c r="C1055" s="32" t="s">
        <v>124</v>
      </c>
      <c r="D1055" s="32" t="s">
        <v>125</v>
      </c>
      <c r="E1055" s="32" t="s">
        <v>5102</v>
      </c>
      <c r="F1055" s="32" t="e">
        <v>#N/A</v>
      </c>
      <c r="G1055" s="39"/>
      <c r="H1055" s="32">
        <v>0.0</v>
      </c>
      <c r="I1055" s="39"/>
      <c r="J1055" s="32" t="s">
        <v>126</v>
      </c>
      <c r="K1055" s="33" t="s">
        <v>127</v>
      </c>
      <c r="L1055" s="32" t="e">
        <v>#N/A</v>
      </c>
      <c r="M1055" s="32" t="s">
        <v>128</v>
      </c>
      <c r="N1055" s="32" t="s">
        <v>51</v>
      </c>
      <c r="O1055" s="32" t="s">
        <v>52</v>
      </c>
      <c r="P1055" s="32">
        <v>9299.0</v>
      </c>
      <c r="Q1055" s="34">
        <v>7532.0</v>
      </c>
      <c r="R1055" s="40">
        <v>8099.0</v>
      </c>
      <c r="S1055" s="35">
        <v>7067.24</v>
      </c>
      <c r="T1055" s="36">
        <v>0.0</v>
      </c>
      <c r="U1055" s="36">
        <v>0.0</v>
      </c>
      <c r="V1055" s="36">
        <v>0.0</v>
      </c>
      <c r="W1055" s="36">
        <v>0.0</v>
      </c>
      <c r="X1055" s="36">
        <v>0.0</v>
      </c>
      <c r="Y1055" s="36">
        <v>0.0</v>
      </c>
    </row>
    <row r="1056">
      <c r="A1056" s="32" t="s">
        <v>93</v>
      </c>
      <c r="B1056" s="32" t="s">
        <v>93</v>
      </c>
      <c r="C1056" s="32" t="s">
        <v>94</v>
      </c>
      <c r="D1056" s="32" t="s">
        <v>95</v>
      </c>
      <c r="E1056" s="32" t="s">
        <v>5102</v>
      </c>
      <c r="F1056" s="32" t="e">
        <v>#N/A</v>
      </c>
      <c r="G1056" s="39"/>
      <c r="H1056" s="32" t="s">
        <v>96</v>
      </c>
      <c r="I1056" s="32" t="s">
        <v>5102</v>
      </c>
      <c r="J1056" s="32" t="s">
        <v>97</v>
      </c>
      <c r="K1056" s="33" t="s">
        <v>98</v>
      </c>
      <c r="L1056" s="32">
        <v>3.2783936E7</v>
      </c>
      <c r="M1056" s="32" t="s">
        <v>99</v>
      </c>
      <c r="N1056" s="32" t="s">
        <v>51</v>
      </c>
      <c r="O1056" s="32" t="s">
        <v>52</v>
      </c>
      <c r="P1056" s="32">
        <v>13499.0</v>
      </c>
      <c r="Q1056" s="34">
        <v>10934.0</v>
      </c>
      <c r="R1056" s="40">
        <v>11699.0</v>
      </c>
      <c r="S1056" s="35">
        <v>10259.24</v>
      </c>
      <c r="T1056" s="36">
        <v>0.0</v>
      </c>
      <c r="U1056" s="36">
        <v>0.0</v>
      </c>
      <c r="V1056" s="36">
        <v>0.0</v>
      </c>
      <c r="W1056" s="36">
        <v>0.0</v>
      </c>
      <c r="X1056" s="36">
        <v>0.0</v>
      </c>
      <c r="Y1056" s="36">
        <v>0.0</v>
      </c>
    </row>
    <row r="1057">
      <c r="A1057" s="32" t="s">
        <v>189</v>
      </c>
      <c r="B1057" s="32" t="s">
        <v>189</v>
      </c>
      <c r="C1057" s="32" t="s">
        <v>190</v>
      </c>
      <c r="D1057" s="32" t="s">
        <v>191</v>
      </c>
      <c r="E1057" s="32" t="s">
        <v>5102</v>
      </c>
      <c r="F1057" s="32" t="e">
        <v>#N/A</v>
      </c>
      <c r="G1057" s="39"/>
      <c r="H1057" s="32">
        <v>0.0</v>
      </c>
      <c r="I1057" s="39"/>
      <c r="J1057" s="32" t="s">
        <v>192</v>
      </c>
      <c r="K1057" s="33" t="s">
        <v>193</v>
      </c>
      <c r="L1057" s="32" t="e">
        <v>#N/A</v>
      </c>
      <c r="M1057" s="32" t="s">
        <v>194</v>
      </c>
      <c r="N1057" s="32" t="s">
        <v>51</v>
      </c>
      <c r="O1057" s="32" t="s">
        <v>52</v>
      </c>
      <c r="P1057" s="32">
        <v>8149.0</v>
      </c>
      <c r="Q1057" s="34">
        <v>6601.0</v>
      </c>
      <c r="R1057" s="40">
        <v>7099.0</v>
      </c>
      <c r="S1057" s="35">
        <v>6193.24</v>
      </c>
      <c r="T1057" s="36">
        <v>0.0</v>
      </c>
      <c r="U1057" s="36">
        <v>0.0</v>
      </c>
      <c r="V1057" s="36">
        <v>0.0</v>
      </c>
      <c r="W1057" s="36">
        <v>0.0</v>
      </c>
      <c r="X1057" s="36">
        <v>0.0</v>
      </c>
      <c r="Y1057" s="36">
        <v>0.0</v>
      </c>
    </row>
    <row r="1058">
      <c r="A1058" s="32" t="s">
        <v>67</v>
      </c>
      <c r="B1058" s="32" t="s">
        <v>67</v>
      </c>
      <c r="C1058" s="32" t="s">
        <v>68</v>
      </c>
      <c r="D1058" s="32" t="s">
        <v>69</v>
      </c>
      <c r="E1058" s="32" t="s">
        <v>5102</v>
      </c>
      <c r="F1058" s="32" t="e">
        <v>#N/A</v>
      </c>
      <c r="G1058" s="39"/>
      <c r="H1058" s="32" t="s">
        <v>70</v>
      </c>
      <c r="I1058" s="32" t="s">
        <v>5102</v>
      </c>
      <c r="J1058" s="32" t="s">
        <v>71</v>
      </c>
      <c r="K1058" s="33" t="s">
        <v>72</v>
      </c>
      <c r="L1058" s="32">
        <v>3.2783867E7</v>
      </c>
      <c r="M1058" s="32" t="s">
        <v>73</v>
      </c>
      <c r="N1058" s="32" t="s">
        <v>51</v>
      </c>
      <c r="O1058" s="32" t="s">
        <v>52</v>
      </c>
      <c r="P1058" s="32">
        <v>11999.0</v>
      </c>
      <c r="Q1058" s="34">
        <v>9719.0</v>
      </c>
      <c r="R1058" s="40">
        <v>10399.0</v>
      </c>
      <c r="S1058" s="35">
        <v>9119.24</v>
      </c>
      <c r="T1058" s="36">
        <v>0.0</v>
      </c>
      <c r="U1058" s="36">
        <v>0.0</v>
      </c>
      <c r="V1058" s="36">
        <v>0.0</v>
      </c>
      <c r="W1058" s="36">
        <v>0.0</v>
      </c>
      <c r="X1058" s="36">
        <v>0.0</v>
      </c>
      <c r="Y1058" s="36">
        <v>0.0</v>
      </c>
    </row>
    <row r="1059">
      <c r="A1059" s="32" t="s">
        <v>156</v>
      </c>
      <c r="B1059" s="32" t="s">
        <v>156</v>
      </c>
      <c r="C1059" s="32" t="s">
        <v>157</v>
      </c>
      <c r="D1059" s="32" t="s">
        <v>158</v>
      </c>
      <c r="E1059" s="32" t="s">
        <v>5102</v>
      </c>
      <c r="F1059" s="32" t="e">
        <v>#N/A</v>
      </c>
      <c r="G1059" s="39"/>
      <c r="H1059" s="32">
        <v>0.0</v>
      </c>
      <c r="I1059" s="39"/>
      <c r="J1059" s="32" t="s">
        <v>159</v>
      </c>
      <c r="K1059" s="33" t="s">
        <v>160</v>
      </c>
      <c r="L1059" s="32" t="e">
        <v>#N/A</v>
      </c>
      <c r="M1059" s="32" t="e">
        <v>#N/A</v>
      </c>
      <c r="N1059" s="32" t="s">
        <v>51</v>
      </c>
      <c r="O1059" s="32" t="s">
        <v>52</v>
      </c>
      <c r="P1059" s="32">
        <v>11799.0</v>
      </c>
      <c r="Q1059" s="34">
        <v>9557.0</v>
      </c>
      <c r="R1059" s="40">
        <v>10299.0</v>
      </c>
      <c r="S1059" s="35">
        <v>8967.24</v>
      </c>
      <c r="T1059" s="36">
        <v>0.0</v>
      </c>
      <c r="U1059" s="36">
        <v>0.0</v>
      </c>
      <c r="V1059" s="36">
        <v>0.0</v>
      </c>
      <c r="W1059" s="36">
        <v>0.0</v>
      </c>
      <c r="X1059" s="36">
        <v>0.0</v>
      </c>
      <c r="Y1059" s="36">
        <v>0.0</v>
      </c>
    </row>
    <row r="1060">
      <c r="A1060" s="32" t="s">
        <v>44</v>
      </c>
      <c r="B1060" s="32" t="s">
        <v>44</v>
      </c>
      <c r="C1060" s="32" t="s">
        <v>45</v>
      </c>
      <c r="D1060" s="32" t="s">
        <v>46</v>
      </c>
      <c r="E1060" s="32" t="s">
        <v>5102</v>
      </c>
      <c r="F1060" s="32" t="e">
        <v>#N/A</v>
      </c>
      <c r="G1060" s="39"/>
      <c r="H1060" s="32" t="s">
        <v>47</v>
      </c>
      <c r="I1060" s="32" t="s">
        <v>5102</v>
      </c>
      <c r="J1060" s="32" t="s">
        <v>48</v>
      </c>
      <c r="K1060" s="33" t="s">
        <v>49</v>
      </c>
      <c r="L1060" s="32">
        <v>3.2784038E7</v>
      </c>
      <c r="M1060" s="32" t="e">
        <v>#N/A</v>
      </c>
      <c r="N1060" s="32" t="s">
        <v>51</v>
      </c>
      <c r="O1060" s="32" t="s">
        <v>52</v>
      </c>
      <c r="P1060" s="32">
        <v>12399.0</v>
      </c>
      <c r="Q1060" s="34">
        <v>10043.0</v>
      </c>
      <c r="R1060" s="40">
        <v>10799.0</v>
      </c>
      <c r="S1060" s="35">
        <v>9423.24</v>
      </c>
      <c r="T1060" s="36">
        <v>0.0</v>
      </c>
      <c r="U1060" s="36">
        <v>0.0</v>
      </c>
      <c r="V1060" s="36">
        <v>0.0</v>
      </c>
      <c r="W1060" s="36">
        <v>0.0</v>
      </c>
      <c r="X1060" s="36">
        <v>0.0</v>
      </c>
      <c r="Y1060" s="36">
        <v>0.0</v>
      </c>
    </row>
    <row r="1061">
      <c r="A1061" s="32" t="s">
        <v>178</v>
      </c>
      <c r="B1061" s="32" t="s">
        <v>178</v>
      </c>
      <c r="C1061" s="32" t="s">
        <v>179</v>
      </c>
      <c r="D1061" s="32" t="s">
        <v>180</v>
      </c>
      <c r="E1061" s="32" t="s">
        <v>5102</v>
      </c>
      <c r="F1061" s="32" t="e">
        <v>#N/A</v>
      </c>
      <c r="G1061" s="39"/>
      <c r="H1061" s="32">
        <v>0.0</v>
      </c>
      <c r="I1061" s="39"/>
      <c r="J1061" s="32" t="s">
        <v>181</v>
      </c>
      <c r="K1061" s="33" t="s">
        <v>182</v>
      </c>
      <c r="L1061" s="32" t="e">
        <v>#N/A</v>
      </c>
      <c r="M1061" s="32" t="e">
        <v>#N/A</v>
      </c>
      <c r="N1061" s="32" t="s">
        <v>51</v>
      </c>
      <c r="O1061" s="32" t="s">
        <v>52</v>
      </c>
      <c r="P1061" s="32">
        <v>7889.0</v>
      </c>
      <c r="Q1061" s="34">
        <v>6390.0</v>
      </c>
      <c r="R1061" s="40">
        <v>6899.0</v>
      </c>
      <c r="S1061" s="35">
        <v>5995.64</v>
      </c>
      <c r="T1061" s="36">
        <v>0.0</v>
      </c>
      <c r="U1061" s="36">
        <v>0.0</v>
      </c>
      <c r="V1061" s="36">
        <v>0.0</v>
      </c>
      <c r="W1061" s="36">
        <v>0.0</v>
      </c>
      <c r="X1061" s="36">
        <v>0.0</v>
      </c>
      <c r="Y1061" s="36">
        <v>0.0</v>
      </c>
    </row>
    <row r="1062">
      <c r="A1062" s="32" t="s">
        <v>100</v>
      </c>
      <c r="B1062" s="32" t="s">
        <v>100</v>
      </c>
      <c r="C1062" s="32" t="s">
        <v>101</v>
      </c>
      <c r="D1062" s="32" t="s">
        <v>102</v>
      </c>
      <c r="E1062" s="32" t="s">
        <v>5102</v>
      </c>
      <c r="F1062" s="32" t="e">
        <v>#N/A</v>
      </c>
      <c r="G1062" s="39"/>
      <c r="H1062" s="32" t="s">
        <v>103</v>
      </c>
      <c r="I1062" s="32" t="s">
        <v>5102</v>
      </c>
      <c r="J1062" s="32" t="s">
        <v>104</v>
      </c>
      <c r="K1062" s="33" t="s">
        <v>105</v>
      </c>
      <c r="L1062" s="32">
        <v>3.2784121E7</v>
      </c>
      <c r="M1062" s="32" t="s">
        <v>106</v>
      </c>
      <c r="N1062" s="32" t="s">
        <v>51</v>
      </c>
      <c r="O1062" s="32" t="s">
        <v>52</v>
      </c>
      <c r="P1062" s="32">
        <v>13999.0</v>
      </c>
      <c r="Q1062" s="34">
        <v>11339.0</v>
      </c>
      <c r="R1062" s="40">
        <v>12199.0</v>
      </c>
      <c r="S1062" s="35">
        <v>10639.24</v>
      </c>
      <c r="T1062" s="36">
        <v>0.0</v>
      </c>
      <c r="U1062" s="36">
        <v>0.0</v>
      </c>
      <c r="V1062" s="36">
        <v>0.0</v>
      </c>
      <c r="W1062" s="36">
        <v>0.0</v>
      </c>
      <c r="X1062" s="36">
        <v>0.0</v>
      </c>
      <c r="Y1062" s="36">
        <v>0.0</v>
      </c>
    </row>
    <row r="1063">
      <c r="A1063" s="32" t="s">
        <v>195</v>
      </c>
      <c r="B1063" s="32" t="s">
        <v>195</v>
      </c>
      <c r="C1063" s="32" t="s">
        <v>196</v>
      </c>
      <c r="D1063" s="32" t="s">
        <v>197</v>
      </c>
      <c r="E1063" s="32" t="s">
        <v>5102</v>
      </c>
      <c r="F1063" s="32" t="e">
        <v>#N/A</v>
      </c>
      <c r="G1063" s="39"/>
      <c r="H1063" s="32">
        <v>0.0</v>
      </c>
      <c r="I1063" s="39"/>
      <c r="J1063" s="32" t="s">
        <v>198</v>
      </c>
      <c r="K1063" s="33" t="s">
        <v>199</v>
      </c>
      <c r="L1063" s="32" t="e">
        <v>#N/A</v>
      </c>
      <c r="M1063" s="32" t="s">
        <v>200</v>
      </c>
      <c r="N1063" s="32" t="s">
        <v>51</v>
      </c>
      <c r="O1063" s="32" t="s">
        <v>52</v>
      </c>
      <c r="P1063" s="32">
        <v>8279.0</v>
      </c>
      <c r="Q1063" s="34">
        <v>6706.0</v>
      </c>
      <c r="R1063" s="40">
        <v>7199.0</v>
      </c>
      <c r="S1063" s="35">
        <v>6292.04</v>
      </c>
      <c r="T1063" s="36">
        <v>0.0</v>
      </c>
      <c r="U1063" s="36">
        <v>0.0</v>
      </c>
      <c r="V1063" s="36">
        <v>0.0</v>
      </c>
      <c r="W1063" s="36">
        <v>0.0</v>
      </c>
      <c r="X1063" s="36">
        <v>0.0</v>
      </c>
      <c r="Y1063" s="36">
        <v>0.0</v>
      </c>
    </row>
    <row r="1064">
      <c r="A1064" s="32" t="s">
        <v>140</v>
      </c>
      <c r="B1064" s="32" t="s">
        <v>140</v>
      </c>
      <c r="C1064" s="32" t="s">
        <v>141</v>
      </c>
      <c r="D1064" s="32" t="s">
        <v>142</v>
      </c>
      <c r="E1064" s="32" t="s">
        <v>5102</v>
      </c>
      <c r="F1064" s="32" t="e">
        <v>#N/A</v>
      </c>
      <c r="G1064" s="39"/>
      <c r="H1064" s="32">
        <v>0.0</v>
      </c>
      <c r="I1064" s="39"/>
      <c r="J1064" s="32" t="s">
        <v>143</v>
      </c>
      <c r="K1064" s="33" t="s">
        <v>144</v>
      </c>
      <c r="L1064" s="32" t="e">
        <v>#N/A</v>
      </c>
      <c r="M1064" s="32" t="s">
        <v>145</v>
      </c>
      <c r="N1064" s="32" t="s">
        <v>51</v>
      </c>
      <c r="O1064" s="32" t="s">
        <v>52</v>
      </c>
      <c r="P1064" s="32">
        <v>10409.0</v>
      </c>
      <c r="Q1064" s="34">
        <v>8431.0</v>
      </c>
      <c r="R1064" s="40">
        <v>9099.0</v>
      </c>
      <c r="S1064" s="35">
        <v>7910.84</v>
      </c>
      <c r="T1064" s="36">
        <v>0.0</v>
      </c>
      <c r="U1064" s="36">
        <v>0.0</v>
      </c>
      <c r="V1064" s="36">
        <v>0.0</v>
      </c>
      <c r="W1064" s="36">
        <v>0.0</v>
      </c>
      <c r="X1064" s="36">
        <v>0.0</v>
      </c>
      <c r="Y1064" s="36">
        <v>0.0</v>
      </c>
    </row>
    <row r="1065">
      <c r="A1065" s="32" t="s">
        <v>161</v>
      </c>
      <c r="B1065" s="32" t="s">
        <v>161</v>
      </c>
      <c r="C1065" s="32" t="s">
        <v>162</v>
      </c>
      <c r="D1065" s="32" t="s">
        <v>163</v>
      </c>
      <c r="E1065" s="32" t="s">
        <v>5102</v>
      </c>
      <c r="F1065" s="32" t="e">
        <v>#N/A</v>
      </c>
      <c r="G1065" s="39"/>
      <c r="H1065" s="32">
        <v>0.0</v>
      </c>
      <c r="I1065" s="39"/>
      <c r="J1065" s="32" t="s">
        <v>164</v>
      </c>
      <c r="K1065" s="33" t="s">
        <v>165</v>
      </c>
      <c r="L1065" s="32" t="e">
        <v>#N/A</v>
      </c>
      <c r="M1065" s="32" t="e">
        <v>#N/A</v>
      </c>
      <c r="N1065" s="32" t="s">
        <v>51</v>
      </c>
      <c r="O1065" s="32" t="s">
        <v>52</v>
      </c>
      <c r="P1065" s="32">
        <v>12079.0</v>
      </c>
      <c r="Q1065" s="34">
        <v>9784.0</v>
      </c>
      <c r="R1065" s="40">
        <v>10499.0</v>
      </c>
      <c r="S1065" s="35">
        <v>9180.04</v>
      </c>
      <c r="T1065" s="36">
        <v>0.0</v>
      </c>
      <c r="U1065" s="36">
        <v>0.0</v>
      </c>
      <c r="V1065" s="36">
        <v>0.0</v>
      </c>
      <c r="W1065" s="36">
        <v>0.0</v>
      </c>
      <c r="X1065" s="36">
        <v>0.0</v>
      </c>
      <c r="Y1065" s="36">
        <v>0.0</v>
      </c>
    </row>
    <row r="1066">
      <c r="A1066" s="32" t="s">
        <v>1848</v>
      </c>
      <c r="B1066" s="32" t="s">
        <v>1848</v>
      </c>
      <c r="C1066" s="32">
        <v>0.0</v>
      </c>
      <c r="D1066" s="32" t="e">
        <v>#N/A</v>
      </c>
      <c r="E1066" s="39"/>
      <c r="F1066" s="32" t="e">
        <v>#N/A</v>
      </c>
      <c r="G1066" s="39"/>
      <c r="H1066" s="32">
        <v>0.0</v>
      </c>
      <c r="I1066" s="39"/>
      <c r="J1066" s="32" t="s">
        <v>1849</v>
      </c>
      <c r="K1066" s="33" t="e">
        <v>#N/A</v>
      </c>
      <c r="L1066" s="32" t="e">
        <v>#N/A</v>
      </c>
      <c r="M1066" s="32" t="e">
        <v>#N/A</v>
      </c>
      <c r="N1066" s="32" t="s">
        <v>5109</v>
      </c>
      <c r="O1066" s="32" t="s">
        <v>52</v>
      </c>
      <c r="P1066" s="32">
        <v>38999.0</v>
      </c>
      <c r="Q1066" s="34">
        <v>35099.0</v>
      </c>
      <c r="R1066" s="40">
        <v>36999.0</v>
      </c>
      <c r="S1066" s="35">
        <v>32759.16</v>
      </c>
      <c r="T1066" s="36">
        <v>0.0</v>
      </c>
      <c r="U1066" s="36">
        <v>0.0</v>
      </c>
      <c r="V1066" s="36">
        <v>0.0</v>
      </c>
      <c r="W1066" s="36">
        <v>0.0</v>
      </c>
      <c r="X1066" s="36">
        <v>0.0</v>
      </c>
      <c r="Y1066" s="36">
        <v>0.0</v>
      </c>
    </row>
    <row r="1067">
      <c r="A1067" s="32" t="s">
        <v>1834</v>
      </c>
      <c r="B1067" s="32" t="s">
        <v>1834</v>
      </c>
      <c r="C1067" s="32">
        <v>0.0</v>
      </c>
      <c r="D1067" s="32" t="e">
        <v>#N/A</v>
      </c>
      <c r="E1067" s="39"/>
      <c r="F1067" s="32" t="e">
        <v>#N/A</v>
      </c>
      <c r="G1067" s="39"/>
      <c r="H1067" s="32">
        <v>0.0</v>
      </c>
      <c r="I1067" s="39"/>
      <c r="J1067" s="32" t="s">
        <v>1835</v>
      </c>
      <c r="K1067" s="33" t="e">
        <v>#N/A</v>
      </c>
      <c r="L1067" s="32" t="e">
        <v>#N/A</v>
      </c>
      <c r="M1067" s="32" t="e">
        <v>#N/A</v>
      </c>
      <c r="N1067" s="32" t="s">
        <v>5109</v>
      </c>
      <c r="O1067" s="32" t="s">
        <v>52</v>
      </c>
      <c r="P1067" s="32">
        <v>34999.0</v>
      </c>
      <c r="Q1067" s="34">
        <v>31499.0</v>
      </c>
      <c r="R1067" s="40">
        <v>33199.0</v>
      </c>
      <c r="S1067" s="35">
        <v>29399.16</v>
      </c>
      <c r="T1067" s="36">
        <v>0.0</v>
      </c>
      <c r="U1067" s="36">
        <v>0.0</v>
      </c>
      <c r="V1067" s="36">
        <v>0.0</v>
      </c>
      <c r="W1067" s="36">
        <v>0.0</v>
      </c>
      <c r="X1067" s="36">
        <v>0.0</v>
      </c>
      <c r="Y1067" s="36">
        <v>0.0</v>
      </c>
    </row>
    <row r="1068">
      <c r="A1068" s="32" t="s">
        <v>4932</v>
      </c>
      <c r="B1068" s="32" t="s">
        <v>4932</v>
      </c>
      <c r="C1068" s="32" t="s">
        <v>4933</v>
      </c>
      <c r="D1068" s="46" t="s">
        <v>5192</v>
      </c>
      <c r="E1068" s="32" t="s">
        <v>5102</v>
      </c>
      <c r="F1068" s="38"/>
      <c r="G1068" s="38"/>
      <c r="H1068" s="37" t="s">
        <v>5193</v>
      </c>
      <c r="I1068" s="32" t="s">
        <v>5102</v>
      </c>
      <c r="J1068" s="32" t="s">
        <v>4935</v>
      </c>
      <c r="K1068" s="38"/>
      <c r="L1068" s="38"/>
      <c r="M1068" s="38"/>
      <c r="N1068" s="32" t="s">
        <v>51</v>
      </c>
      <c r="O1068" s="32" t="s">
        <v>52</v>
      </c>
      <c r="P1068" s="32">
        <v>11999.0</v>
      </c>
      <c r="Q1068" s="44">
        <v>9719.0</v>
      </c>
      <c r="R1068" s="40">
        <v>10399.0</v>
      </c>
      <c r="S1068" s="35">
        <v>9119.24</v>
      </c>
      <c r="T1068" s="36">
        <v>0.0</v>
      </c>
      <c r="U1068" s="36">
        <v>0.0</v>
      </c>
      <c r="V1068" s="36">
        <v>0.0</v>
      </c>
      <c r="W1068" s="36">
        <v>0.0</v>
      </c>
      <c r="X1068" s="36">
        <v>0.0</v>
      </c>
      <c r="Y1068" s="36">
        <v>0.0</v>
      </c>
    </row>
    <row r="1069">
      <c r="A1069" s="32" t="s">
        <v>201</v>
      </c>
      <c r="B1069" s="32" t="s">
        <v>201</v>
      </c>
      <c r="C1069" s="32" t="s">
        <v>202</v>
      </c>
      <c r="D1069" s="32" t="s">
        <v>203</v>
      </c>
      <c r="E1069" s="32" t="s">
        <v>5102</v>
      </c>
      <c r="F1069" s="32" t="e">
        <v>#N/A</v>
      </c>
      <c r="G1069" s="39"/>
      <c r="H1069" s="32">
        <v>0.0</v>
      </c>
      <c r="I1069" s="39"/>
      <c r="J1069" s="32" t="s">
        <v>204</v>
      </c>
      <c r="K1069" s="33" t="s">
        <v>205</v>
      </c>
      <c r="L1069" s="32" t="e">
        <v>#N/A</v>
      </c>
      <c r="M1069" s="32" t="e">
        <v>#N/A</v>
      </c>
      <c r="N1069" s="32" t="s">
        <v>51</v>
      </c>
      <c r="O1069" s="32" t="s">
        <v>52</v>
      </c>
      <c r="P1069" s="32">
        <v>9199.0</v>
      </c>
      <c r="Q1069" s="34">
        <v>7451.0</v>
      </c>
      <c r="R1069" s="40">
        <v>7999.0</v>
      </c>
      <c r="S1069" s="35">
        <v>6991.24</v>
      </c>
      <c r="T1069" s="36">
        <v>0.0</v>
      </c>
      <c r="U1069" s="36">
        <v>0.0</v>
      </c>
      <c r="V1069" s="36">
        <v>0.0</v>
      </c>
      <c r="W1069" s="36">
        <v>0.0</v>
      </c>
      <c r="X1069" s="36">
        <v>0.0</v>
      </c>
      <c r="Y1069" s="36">
        <v>0.0</v>
      </c>
    </row>
    <row r="1070">
      <c r="A1070" s="32" t="s">
        <v>146</v>
      </c>
      <c r="B1070" s="32" t="s">
        <v>146</v>
      </c>
      <c r="C1070" s="32" t="s">
        <v>147</v>
      </c>
      <c r="D1070" s="32" t="s">
        <v>148</v>
      </c>
      <c r="E1070" s="32" t="s">
        <v>5102</v>
      </c>
      <c r="F1070" s="32" t="e">
        <v>#N/A</v>
      </c>
      <c r="G1070" s="39"/>
      <c r="H1070" s="32">
        <v>0.0</v>
      </c>
      <c r="I1070" s="39"/>
      <c r="J1070" s="32" t="s">
        <v>149</v>
      </c>
      <c r="K1070" s="33" t="s">
        <v>150</v>
      </c>
      <c r="L1070" s="32" t="e">
        <v>#N/A</v>
      </c>
      <c r="M1070" s="32" t="e">
        <v>#N/A</v>
      </c>
      <c r="N1070" s="32" t="s">
        <v>51</v>
      </c>
      <c r="O1070" s="32" t="s">
        <v>52</v>
      </c>
      <c r="P1070" s="32">
        <v>11099.0</v>
      </c>
      <c r="Q1070" s="34">
        <v>8990.0</v>
      </c>
      <c r="R1070" s="40">
        <v>9699.0</v>
      </c>
      <c r="S1070" s="35">
        <v>8435.24</v>
      </c>
      <c r="T1070" s="36">
        <v>0.0</v>
      </c>
      <c r="U1070" s="36">
        <v>0.0</v>
      </c>
      <c r="V1070" s="36">
        <v>0.0</v>
      </c>
      <c r="W1070" s="36">
        <v>0.0</v>
      </c>
      <c r="X1070" s="36">
        <v>0.0</v>
      </c>
      <c r="Y1070" s="36">
        <v>0.0</v>
      </c>
    </row>
    <row r="1071">
      <c r="A1071" s="32" t="s">
        <v>1183</v>
      </c>
      <c r="B1071" s="32" t="s">
        <v>1183</v>
      </c>
      <c r="C1071" s="32" t="s">
        <v>1184</v>
      </c>
      <c r="D1071" s="32" t="s">
        <v>1185</v>
      </c>
      <c r="E1071" s="32" t="s">
        <v>5102</v>
      </c>
      <c r="F1071" s="32" t="e">
        <v>#N/A</v>
      </c>
      <c r="G1071" s="39"/>
      <c r="H1071" s="32">
        <v>0.0</v>
      </c>
      <c r="I1071" s="39"/>
      <c r="J1071" s="32" t="s">
        <v>1183</v>
      </c>
      <c r="K1071" s="33" t="s">
        <v>1186</v>
      </c>
      <c r="L1071" s="32" t="e">
        <v>#N/A</v>
      </c>
      <c r="M1071" s="32" t="s">
        <v>1187</v>
      </c>
      <c r="N1071" s="32" t="s">
        <v>1195</v>
      </c>
      <c r="O1071" s="32" t="s">
        <v>1195</v>
      </c>
      <c r="P1071" s="32">
        <v>2489.0</v>
      </c>
      <c r="Q1071" s="34">
        <v>2464.11</v>
      </c>
      <c r="R1071" s="40">
        <v>1799.0</v>
      </c>
      <c r="S1071" s="35">
        <v>1742.3</v>
      </c>
      <c r="T1071" s="36">
        <v>0.0</v>
      </c>
      <c r="U1071" s="36">
        <v>0.0</v>
      </c>
      <c r="V1071" s="36">
        <v>0.0</v>
      </c>
      <c r="W1071" s="36">
        <v>0.0</v>
      </c>
      <c r="X1071" s="36">
        <v>0.0</v>
      </c>
      <c r="Y1071" s="36">
        <v>0.0</v>
      </c>
    </row>
    <row r="1072">
      <c r="A1072" s="32" t="s">
        <v>2619</v>
      </c>
      <c r="B1072" s="32" t="s">
        <v>2619</v>
      </c>
      <c r="C1072" s="32" t="s">
        <v>2620</v>
      </c>
      <c r="D1072" s="32" t="s">
        <v>2621</v>
      </c>
      <c r="E1072" s="32" t="s">
        <v>5117</v>
      </c>
      <c r="F1072" s="32" t="e">
        <v>#N/A</v>
      </c>
      <c r="G1072" s="32" t="e">
        <v>#N/A</v>
      </c>
      <c r="H1072" s="32" t="s">
        <v>2619</v>
      </c>
      <c r="I1072" s="32" t="s">
        <v>5102</v>
      </c>
      <c r="J1072" s="32" t="s">
        <v>2619</v>
      </c>
      <c r="K1072" s="33" t="s">
        <v>2622</v>
      </c>
      <c r="L1072" s="32" t="e">
        <v>#N/A</v>
      </c>
      <c r="M1072" s="32" t="s">
        <v>2623</v>
      </c>
      <c r="N1072" s="32" t="s">
        <v>1195</v>
      </c>
      <c r="O1072" s="32" t="s">
        <v>1195</v>
      </c>
      <c r="P1072" s="32">
        <v>2989.0</v>
      </c>
      <c r="Q1072" s="34">
        <v>2147.0</v>
      </c>
      <c r="R1072" s="40">
        <v>2099.0</v>
      </c>
      <c r="S1072" s="35">
        <v>2092.3</v>
      </c>
      <c r="T1072" s="36">
        <v>0.0</v>
      </c>
      <c r="U1072" s="36">
        <v>0.0</v>
      </c>
      <c r="V1072" s="36">
        <v>0.0</v>
      </c>
      <c r="W1072" s="36">
        <v>0.0</v>
      </c>
      <c r="X1072" s="36">
        <v>0.0</v>
      </c>
      <c r="Y1072" s="36">
        <v>0.0</v>
      </c>
    </row>
    <row r="1073">
      <c r="A1073" s="32" t="s">
        <v>2619</v>
      </c>
      <c r="B1073" s="32" t="s">
        <v>2619</v>
      </c>
      <c r="C1073" s="32" t="s">
        <v>4801</v>
      </c>
      <c r="D1073" s="32" t="s">
        <v>4802</v>
      </c>
      <c r="E1073" s="32" t="s">
        <v>5102</v>
      </c>
      <c r="F1073" s="32" t="e">
        <v>#N/A</v>
      </c>
      <c r="G1073" s="39"/>
      <c r="H1073" s="32" t="e">
        <v>#N/A</v>
      </c>
      <c r="I1073" s="39"/>
      <c r="J1073" s="32" t="s">
        <v>4803</v>
      </c>
      <c r="K1073" s="33" t="s">
        <v>2622</v>
      </c>
      <c r="L1073" s="32" t="e">
        <v>#N/A</v>
      </c>
      <c r="M1073" s="32" t="e">
        <v>#N/A</v>
      </c>
      <c r="N1073" s="32" t="s">
        <v>1195</v>
      </c>
      <c r="O1073" s="32" t="s">
        <v>1195</v>
      </c>
      <c r="P1073" s="32">
        <v>2989.0</v>
      </c>
      <c r="Q1073" s="34">
        <v>2147.0</v>
      </c>
      <c r="R1073" s="40">
        <v>2099.0</v>
      </c>
      <c r="S1073" s="35">
        <v>2092.3</v>
      </c>
      <c r="T1073" s="36">
        <v>0.0</v>
      </c>
      <c r="U1073" s="36">
        <v>0.0</v>
      </c>
      <c r="V1073" s="36">
        <v>0.0</v>
      </c>
      <c r="W1073" s="36">
        <v>0.0</v>
      </c>
      <c r="X1073" s="36">
        <v>0.0</v>
      </c>
      <c r="Y1073" s="36">
        <v>0.0</v>
      </c>
    </row>
    <row r="1074">
      <c r="A1074" s="32" t="s">
        <v>1855</v>
      </c>
      <c r="B1074" s="32" t="s">
        <v>1855</v>
      </c>
      <c r="C1074" s="32">
        <v>0.0</v>
      </c>
      <c r="D1074" s="32" t="e">
        <v>#N/A</v>
      </c>
      <c r="E1074" s="39"/>
      <c r="F1074" s="32" t="e">
        <v>#N/A</v>
      </c>
      <c r="G1074" s="39"/>
      <c r="H1074" s="32">
        <v>0.0</v>
      </c>
      <c r="I1074" s="39"/>
      <c r="J1074" s="32" t="s">
        <v>1856</v>
      </c>
      <c r="K1074" s="33" t="e">
        <v>#N/A</v>
      </c>
      <c r="L1074" s="32" t="e">
        <v>#N/A</v>
      </c>
      <c r="M1074" s="32" t="e">
        <v>#N/A</v>
      </c>
      <c r="N1074" s="32" t="s">
        <v>5109</v>
      </c>
      <c r="O1074" s="32" t="s">
        <v>52</v>
      </c>
      <c r="P1074" s="32">
        <v>38999.0</v>
      </c>
      <c r="Q1074" s="34">
        <v>35099.0</v>
      </c>
      <c r="R1074" s="40">
        <v>36999.0</v>
      </c>
      <c r="S1074" s="35">
        <v>32759.16</v>
      </c>
      <c r="T1074" s="36">
        <v>0.0</v>
      </c>
      <c r="U1074" s="36">
        <v>0.0</v>
      </c>
      <c r="V1074" s="36">
        <v>0.0</v>
      </c>
      <c r="W1074" s="36">
        <v>0.0</v>
      </c>
      <c r="X1074" s="36">
        <v>0.0</v>
      </c>
      <c r="Y1074" s="36">
        <v>0.0</v>
      </c>
    </row>
    <row r="1075">
      <c r="A1075" s="32" t="s">
        <v>3089</v>
      </c>
      <c r="B1075" s="32" t="s">
        <v>3089</v>
      </c>
      <c r="C1075" s="32" t="s">
        <v>3090</v>
      </c>
      <c r="D1075" s="32" t="s">
        <v>3091</v>
      </c>
      <c r="E1075" s="32" t="s">
        <v>5073</v>
      </c>
      <c r="F1075" s="32" t="e">
        <v>#N/A</v>
      </c>
      <c r="G1075" s="39"/>
      <c r="H1075" s="32" t="s">
        <v>3092</v>
      </c>
      <c r="I1075" s="32" t="s">
        <v>5102</v>
      </c>
      <c r="J1075" s="32" t="s">
        <v>3093</v>
      </c>
      <c r="K1075" s="33" t="s">
        <v>3094</v>
      </c>
      <c r="L1075" s="32">
        <v>3.1745297E7</v>
      </c>
      <c r="M1075" s="32" t="s">
        <v>3095</v>
      </c>
      <c r="N1075" s="32" t="s">
        <v>5087</v>
      </c>
      <c r="O1075" s="32" t="s">
        <v>4730</v>
      </c>
      <c r="P1075" s="32">
        <v>1879.0</v>
      </c>
      <c r="Q1075" s="34">
        <v>1587.0</v>
      </c>
      <c r="R1075" s="40">
        <v>1599.0</v>
      </c>
      <c r="S1075" s="35">
        <v>1597.15</v>
      </c>
      <c r="T1075" s="36">
        <v>0.0</v>
      </c>
      <c r="U1075" s="36">
        <v>0.0</v>
      </c>
      <c r="V1075" s="36">
        <v>0.0</v>
      </c>
      <c r="W1075" s="36">
        <v>0.0</v>
      </c>
      <c r="X1075" s="36">
        <v>0.0</v>
      </c>
      <c r="Y1075" s="36">
        <v>0.0</v>
      </c>
    </row>
    <row r="1076">
      <c r="A1076" s="32" t="s">
        <v>2347</v>
      </c>
      <c r="B1076" s="32" t="s">
        <v>2347</v>
      </c>
      <c r="C1076" s="32" t="s">
        <v>2348</v>
      </c>
      <c r="D1076" s="32" t="s">
        <v>2349</v>
      </c>
      <c r="E1076" s="32" t="s">
        <v>5102</v>
      </c>
      <c r="F1076" s="32" t="e">
        <v>#N/A</v>
      </c>
      <c r="G1076" s="39"/>
      <c r="H1076" s="32">
        <v>0.0</v>
      </c>
      <c r="I1076" s="39"/>
      <c r="J1076" s="32" t="s">
        <v>2350</v>
      </c>
      <c r="K1076" s="33" t="s">
        <v>2351</v>
      </c>
      <c r="L1076" s="32" t="e">
        <v>#N/A</v>
      </c>
      <c r="M1076" s="32" t="e">
        <v>#N/A</v>
      </c>
      <c r="N1076" s="32" t="s">
        <v>5077</v>
      </c>
      <c r="O1076" s="32" t="s">
        <v>4730</v>
      </c>
      <c r="P1076" s="32">
        <v>1200.0</v>
      </c>
      <c r="Q1076" s="34">
        <v>1140.0</v>
      </c>
      <c r="R1076" s="40">
        <v>1140.0</v>
      </c>
      <c r="S1076" s="35">
        <v>1080.0</v>
      </c>
      <c r="T1076" s="36">
        <v>0.0</v>
      </c>
      <c r="U1076" s="36">
        <v>0.0</v>
      </c>
      <c r="V1076" s="36">
        <v>0.0</v>
      </c>
      <c r="W1076" s="36">
        <v>0.0</v>
      </c>
      <c r="X1076" s="36">
        <v>0.0</v>
      </c>
      <c r="Y1076" s="36">
        <v>0.0</v>
      </c>
    </row>
    <row r="1077">
      <c r="A1077" s="32" t="s">
        <v>4373</v>
      </c>
      <c r="B1077" s="32" t="s">
        <v>4373</v>
      </c>
      <c r="C1077" s="32" t="s">
        <v>4374</v>
      </c>
      <c r="D1077" s="32" t="s">
        <v>4375</v>
      </c>
      <c r="E1077" s="32" t="s">
        <v>5102</v>
      </c>
      <c r="F1077" s="32" t="e">
        <v>#N/A</v>
      </c>
      <c r="G1077" s="39"/>
      <c r="H1077" s="32">
        <v>0.0</v>
      </c>
      <c r="I1077" s="39"/>
      <c r="J1077" s="32" t="s">
        <v>4376</v>
      </c>
      <c r="K1077" s="33" t="s">
        <v>4377</v>
      </c>
      <c r="L1077" s="32" t="e">
        <v>#N/A</v>
      </c>
      <c r="M1077" s="32" t="e">
        <v>#N/A</v>
      </c>
      <c r="N1077" s="32" t="s">
        <v>5143</v>
      </c>
      <c r="O1077" s="32" t="s">
        <v>4730</v>
      </c>
      <c r="P1077" s="32">
        <v>4799.0</v>
      </c>
      <c r="Q1077" s="34">
        <v>4299.0</v>
      </c>
      <c r="R1077" s="40">
        <v>4499.0</v>
      </c>
      <c r="S1077" s="35">
        <v>4079.15</v>
      </c>
      <c r="T1077" s="36">
        <v>0.0</v>
      </c>
      <c r="U1077" s="36">
        <v>0.0</v>
      </c>
      <c r="V1077" s="36">
        <v>0.0</v>
      </c>
      <c r="W1077" s="36">
        <v>0.0</v>
      </c>
      <c r="X1077" s="36">
        <v>0.0</v>
      </c>
      <c r="Y1077" s="36">
        <v>0.0</v>
      </c>
    </row>
    <row r="1078">
      <c r="A1078" s="32" t="s">
        <v>1857</v>
      </c>
      <c r="B1078" s="32" t="s">
        <v>1857</v>
      </c>
      <c r="C1078" s="32">
        <v>0.0</v>
      </c>
      <c r="D1078" s="32" t="e">
        <v>#N/A</v>
      </c>
      <c r="E1078" s="39"/>
      <c r="F1078" s="32" t="e">
        <v>#N/A</v>
      </c>
      <c r="G1078" s="39"/>
      <c r="H1078" s="32">
        <v>0.0</v>
      </c>
      <c r="I1078" s="39"/>
      <c r="J1078" s="32" t="s">
        <v>1858</v>
      </c>
      <c r="K1078" s="33" t="e">
        <v>#N/A</v>
      </c>
      <c r="L1078" s="32" t="e">
        <v>#N/A</v>
      </c>
      <c r="M1078" s="32" t="e">
        <v>#N/A</v>
      </c>
      <c r="N1078" s="32" t="s">
        <v>5109</v>
      </c>
      <c r="O1078" s="32" t="s">
        <v>52</v>
      </c>
      <c r="P1078" s="32">
        <v>44999.0</v>
      </c>
      <c r="Q1078" s="34">
        <v>40499.0</v>
      </c>
      <c r="R1078" s="40">
        <v>42699.0</v>
      </c>
      <c r="S1078" s="35">
        <v>37799.16</v>
      </c>
      <c r="T1078" s="36">
        <v>0.0</v>
      </c>
      <c r="U1078" s="36">
        <v>0.0</v>
      </c>
      <c r="V1078" s="36">
        <v>0.0</v>
      </c>
      <c r="W1078" s="36">
        <v>0.0</v>
      </c>
      <c r="X1078" s="36">
        <v>0.0</v>
      </c>
      <c r="Y1078" s="36">
        <v>0.0</v>
      </c>
    </row>
    <row r="1079">
      <c r="A1079" s="32" t="s">
        <v>1846</v>
      </c>
      <c r="B1079" s="32" t="s">
        <v>1846</v>
      </c>
      <c r="C1079" s="32">
        <v>0.0</v>
      </c>
      <c r="D1079" s="32" t="e">
        <v>#N/A</v>
      </c>
      <c r="E1079" s="39"/>
      <c r="F1079" s="32" t="e">
        <v>#N/A</v>
      </c>
      <c r="G1079" s="39"/>
      <c r="H1079" s="32">
        <v>0.0</v>
      </c>
      <c r="I1079" s="39"/>
      <c r="J1079" s="32" t="s">
        <v>1847</v>
      </c>
      <c r="K1079" s="33" t="e">
        <v>#N/A</v>
      </c>
      <c r="L1079" s="32" t="e">
        <v>#N/A</v>
      </c>
      <c r="M1079" s="32" t="e">
        <v>#N/A</v>
      </c>
      <c r="N1079" s="32" t="s">
        <v>5109</v>
      </c>
      <c r="O1079" s="32" t="s">
        <v>52</v>
      </c>
      <c r="P1079" s="32">
        <v>42999.0</v>
      </c>
      <c r="Q1079" s="34">
        <v>38699.0</v>
      </c>
      <c r="R1079" s="40">
        <v>40799.0</v>
      </c>
      <c r="S1079" s="35">
        <v>36119.16</v>
      </c>
      <c r="T1079" s="36">
        <v>0.0</v>
      </c>
      <c r="U1079" s="36">
        <v>0.0</v>
      </c>
      <c r="V1079" s="36">
        <v>0.0</v>
      </c>
      <c r="W1079" s="36">
        <v>0.0</v>
      </c>
      <c r="X1079" s="36">
        <v>0.0</v>
      </c>
      <c r="Y1079" s="36">
        <v>0.0</v>
      </c>
    </row>
    <row r="1080">
      <c r="A1080" s="32" t="s">
        <v>4393</v>
      </c>
      <c r="B1080" s="32" t="s">
        <v>4393</v>
      </c>
      <c r="C1080" s="32" t="s">
        <v>4394</v>
      </c>
      <c r="D1080" s="32" t="s">
        <v>4395</v>
      </c>
      <c r="E1080" s="32" t="s">
        <v>5102</v>
      </c>
      <c r="F1080" s="32" t="e">
        <v>#N/A</v>
      </c>
      <c r="G1080" s="39"/>
      <c r="H1080" s="32">
        <v>0.0</v>
      </c>
      <c r="I1080" s="39"/>
      <c r="J1080" s="32" t="s">
        <v>4396</v>
      </c>
      <c r="K1080" s="33" t="s">
        <v>4397</v>
      </c>
      <c r="L1080" s="32" t="e">
        <v>#N/A</v>
      </c>
      <c r="M1080" s="32" t="e">
        <v>#N/A</v>
      </c>
      <c r="N1080" s="32" t="s">
        <v>5143</v>
      </c>
      <c r="O1080" s="32" t="s">
        <v>4730</v>
      </c>
      <c r="P1080" s="32">
        <v>6599.0</v>
      </c>
      <c r="Q1080" s="34">
        <v>5999.0</v>
      </c>
      <c r="R1080" s="40">
        <v>6299.0</v>
      </c>
      <c r="S1080" s="35">
        <v>5609.15</v>
      </c>
      <c r="T1080" s="36">
        <v>0.0</v>
      </c>
      <c r="U1080" s="36">
        <v>0.0</v>
      </c>
      <c r="V1080" s="36">
        <v>0.0</v>
      </c>
      <c r="W1080" s="36">
        <v>0.0</v>
      </c>
      <c r="X1080" s="36">
        <v>0.0</v>
      </c>
      <c r="Y1080" s="36">
        <v>0.0</v>
      </c>
    </row>
    <row r="1081">
      <c r="A1081" s="32" t="s">
        <v>4383</v>
      </c>
      <c r="B1081" s="32" t="s">
        <v>4383</v>
      </c>
      <c r="C1081" s="32" t="s">
        <v>4384</v>
      </c>
      <c r="D1081" s="32" t="s">
        <v>4385</v>
      </c>
      <c r="E1081" s="32" t="s">
        <v>5102</v>
      </c>
      <c r="F1081" s="32" t="e">
        <v>#N/A</v>
      </c>
      <c r="G1081" s="39"/>
      <c r="H1081" s="32">
        <v>0.0</v>
      </c>
      <c r="I1081" s="39"/>
      <c r="J1081" s="32" t="s">
        <v>4386</v>
      </c>
      <c r="K1081" s="33" t="s">
        <v>4387</v>
      </c>
      <c r="L1081" s="32" t="e">
        <v>#N/A</v>
      </c>
      <c r="M1081" s="32" t="e">
        <v>#N/A</v>
      </c>
      <c r="N1081" s="32" t="s">
        <v>5143</v>
      </c>
      <c r="O1081" s="32" t="s">
        <v>4730</v>
      </c>
      <c r="P1081" s="32">
        <v>5759.0</v>
      </c>
      <c r="Q1081" s="34">
        <v>5199.0</v>
      </c>
      <c r="R1081" s="40">
        <v>5499.0</v>
      </c>
      <c r="S1081" s="35">
        <v>4895.15</v>
      </c>
      <c r="T1081" s="36">
        <v>0.0</v>
      </c>
      <c r="U1081" s="36">
        <v>0.0</v>
      </c>
      <c r="V1081" s="36">
        <v>0.0</v>
      </c>
      <c r="W1081" s="36">
        <v>0.0</v>
      </c>
      <c r="X1081" s="36">
        <v>0.0</v>
      </c>
      <c r="Y1081" s="36">
        <v>0.0</v>
      </c>
    </row>
    <row r="1082">
      <c r="A1082" s="32" t="s">
        <v>4398</v>
      </c>
      <c r="B1082" s="32" t="s">
        <v>4398</v>
      </c>
      <c r="C1082" s="32" t="s">
        <v>4399</v>
      </c>
      <c r="D1082" s="32" t="s">
        <v>4400</v>
      </c>
      <c r="E1082" s="32" t="s">
        <v>5102</v>
      </c>
      <c r="F1082" s="32" t="e">
        <v>#N/A</v>
      </c>
      <c r="G1082" s="39"/>
      <c r="H1082" s="32">
        <v>0.0</v>
      </c>
      <c r="I1082" s="39"/>
      <c r="J1082" s="32" t="s">
        <v>4401</v>
      </c>
      <c r="K1082" s="33" t="s">
        <v>4402</v>
      </c>
      <c r="L1082" s="32" t="e">
        <v>#N/A</v>
      </c>
      <c r="M1082" s="32" t="e">
        <v>#N/A</v>
      </c>
      <c r="N1082" s="32" t="s">
        <v>5143</v>
      </c>
      <c r="O1082" s="32" t="s">
        <v>4730</v>
      </c>
      <c r="P1082" s="32">
        <v>6599.0</v>
      </c>
      <c r="Q1082" s="34">
        <v>5999.0</v>
      </c>
      <c r="R1082" s="40">
        <v>6299.0</v>
      </c>
      <c r="S1082" s="35">
        <v>5609.15</v>
      </c>
      <c r="T1082" s="36">
        <v>0.0</v>
      </c>
      <c r="U1082" s="36">
        <v>0.0</v>
      </c>
      <c r="V1082" s="36">
        <v>0.0</v>
      </c>
      <c r="W1082" s="36">
        <v>0.0</v>
      </c>
      <c r="X1082" s="36">
        <v>0.0</v>
      </c>
      <c r="Y1082" s="36">
        <v>0.0</v>
      </c>
    </row>
    <row r="1083">
      <c r="A1083" s="32" t="s">
        <v>4403</v>
      </c>
      <c r="B1083" s="32" t="s">
        <v>4403</v>
      </c>
      <c r="C1083" s="32" t="s">
        <v>4404</v>
      </c>
      <c r="D1083" s="32" t="s">
        <v>4405</v>
      </c>
      <c r="E1083" s="32" t="s">
        <v>5102</v>
      </c>
      <c r="F1083" s="32" t="e">
        <v>#N/A</v>
      </c>
      <c r="G1083" s="39"/>
      <c r="H1083" s="32">
        <v>0.0</v>
      </c>
      <c r="I1083" s="39"/>
      <c r="J1083" s="32" t="s">
        <v>4406</v>
      </c>
      <c r="K1083" s="33" t="s">
        <v>4407</v>
      </c>
      <c r="L1083" s="32" t="e">
        <v>#N/A</v>
      </c>
      <c r="M1083" s="32" t="e">
        <v>#N/A</v>
      </c>
      <c r="N1083" s="32" t="s">
        <v>5143</v>
      </c>
      <c r="O1083" s="32" t="s">
        <v>4730</v>
      </c>
      <c r="P1083" s="32">
        <v>6599.0</v>
      </c>
      <c r="Q1083" s="34">
        <v>5999.0</v>
      </c>
      <c r="R1083" s="40">
        <v>6299.0</v>
      </c>
      <c r="S1083" s="35">
        <v>5609.15</v>
      </c>
      <c r="T1083" s="36">
        <v>0.0</v>
      </c>
      <c r="U1083" s="36">
        <v>0.0</v>
      </c>
      <c r="V1083" s="36">
        <v>0.0</v>
      </c>
      <c r="W1083" s="36">
        <v>0.0</v>
      </c>
      <c r="X1083" s="36">
        <v>0.0</v>
      </c>
      <c r="Y1083" s="36">
        <v>0.0</v>
      </c>
    </row>
    <row r="1084">
      <c r="A1084" s="32" t="s">
        <v>4378</v>
      </c>
      <c r="B1084" s="32" t="s">
        <v>4378</v>
      </c>
      <c r="C1084" s="32" t="s">
        <v>4379</v>
      </c>
      <c r="D1084" s="32" t="s">
        <v>4380</v>
      </c>
      <c r="E1084" s="32" t="s">
        <v>5102</v>
      </c>
      <c r="F1084" s="32" t="e">
        <v>#N/A</v>
      </c>
      <c r="G1084" s="39"/>
      <c r="H1084" s="32">
        <v>0.0</v>
      </c>
      <c r="I1084" s="39"/>
      <c r="J1084" s="32" t="s">
        <v>4381</v>
      </c>
      <c r="K1084" s="33" t="s">
        <v>4382</v>
      </c>
      <c r="L1084" s="32" t="e">
        <v>#N/A</v>
      </c>
      <c r="M1084" s="32" t="e">
        <v>#N/A</v>
      </c>
      <c r="N1084" s="32" t="s">
        <v>5143</v>
      </c>
      <c r="O1084" s="32" t="s">
        <v>4730</v>
      </c>
      <c r="P1084" s="32">
        <v>5639.0</v>
      </c>
      <c r="Q1084" s="34">
        <v>5099.0</v>
      </c>
      <c r="R1084" s="40">
        <v>5299.0</v>
      </c>
      <c r="S1084" s="35">
        <v>4793.15</v>
      </c>
      <c r="T1084" s="36">
        <v>0.0</v>
      </c>
      <c r="U1084" s="36">
        <v>0.0</v>
      </c>
      <c r="V1084" s="36">
        <v>0.0</v>
      </c>
      <c r="W1084" s="36">
        <v>0.0</v>
      </c>
      <c r="X1084" s="36">
        <v>0.0</v>
      </c>
      <c r="Y1084" s="36">
        <v>0.0</v>
      </c>
    </row>
    <row r="1085">
      <c r="A1085" s="32" t="s">
        <v>4388</v>
      </c>
      <c r="B1085" s="32" t="s">
        <v>4388</v>
      </c>
      <c r="C1085" s="32" t="s">
        <v>4389</v>
      </c>
      <c r="D1085" s="32" t="s">
        <v>4390</v>
      </c>
      <c r="E1085" s="32" t="s">
        <v>5102</v>
      </c>
      <c r="F1085" s="32" t="e">
        <v>#N/A</v>
      </c>
      <c r="G1085" s="39"/>
      <c r="H1085" s="32">
        <v>0.0</v>
      </c>
      <c r="I1085" s="39"/>
      <c r="J1085" s="32" t="s">
        <v>4391</v>
      </c>
      <c r="K1085" s="33" t="s">
        <v>4392</v>
      </c>
      <c r="L1085" s="32" t="e">
        <v>#N/A</v>
      </c>
      <c r="M1085" s="32" t="e">
        <v>#N/A</v>
      </c>
      <c r="N1085" s="32" t="s">
        <v>5143</v>
      </c>
      <c r="O1085" s="32" t="s">
        <v>4730</v>
      </c>
      <c r="P1085" s="32">
        <v>5879.0</v>
      </c>
      <c r="Q1085" s="34">
        <v>5299.0</v>
      </c>
      <c r="R1085" s="40">
        <v>5599.0</v>
      </c>
      <c r="S1085" s="35">
        <v>4997.15</v>
      </c>
      <c r="T1085" s="36">
        <v>0.0</v>
      </c>
      <c r="U1085" s="36">
        <v>0.0</v>
      </c>
      <c r="V1085" s="36">
        <v>0.0</v>
      </c>
      <c r="W1085" s="36">
        <v>0.0</v>
      </c>
      <c r="X1085" s="36">
        <v>0.0</v>
      </c>
      <c r="Y1085" s="36">
        <v>0.0</v>
      </c>
    </row>
    <row r="1086">
      <c r="A1086" s="32" t="s">
        <v>4368</v>
      </c>
      <c r="B1086" s="32" t="s">
        <v>4368</v>
      </c>
      <c r="C1086" s="32" t="s">
        <v>4369</v>
      </c>
      <c r="D1086" s="32" t="s">
        <v>4811</v>
      </c>
      <c r="E1086" s="32" t="s">
        <v>5102</v>
      </c>
      <c r="F1086" s="32" t="e">
        <v>#N/A</v>
      </c>
      <c r="G1086" s="39"/>
      <c r="H1086" s="32">
        <v>0.0</v>
      </c>
      <c r="I1086" s="39"/>
      <c r="J1086" s="32" t="s">
        <v>4371</v>
      </c>
      <c r="K1086" s="33" t="s">
        <v>4372</v>
      </c>
      <c r="L1086" s="32" t="e">
        <v>#N/A</v>
      </c>
      <c r="M1086" s="32" t="e">
        <v>#N/A</v>
      </c>
      <c r="N1086" s="32" t="s">
        <v>5143</v>
      </c>
      <c r="O1086" s="32" t="s">
        <v>4730</v>
      </c>
      <c r="P1086" s="32">
        <v>4199.0</v>
      </c>
      <c r="Q1086" s="34">
        <v>3799.0</v>
      </c>
      <c r="R1086" s="40">
        <v>3999.0</v>
      </c>
      <c r="S1086" s="35">
        <v>3569.15</v>
      </c>
      <c r="T1086" s="36">
        <v>0.0</v>
      </c>
      <c r="U1086" s="36">
        <v>0.0</v>
      </c>
      <c r="V1086" s="36">
        <v>0.0</v>
      </c>
      <c r="W1086" s="36">
        <v>0.0</v>
      </c>
      <c r="X1086" s="36">
        <v>0.0</v>
      </c>
      <c r="Y1086" s="36">
        <v>0.0</v>
      </c>
    </row>
    <row r="1087">
      <c r="A1087" s="32" t="s">
        <v>3777</v>
      </c>
      <c r="B1087" s="32" t="s">
        <v>3777</v>
      </c>
      <c r="C1087" s="32" t="s">
        <v>3778</v>
      </c>
      <c r="D1087" s="32" t="s">
        <v>3779</v>
      </c>
      <c r="E1087" s="32" t="s">
        <v>5102</v>
      </c>
      <c r="F1087" s="32" t="e">
        <v>#N/A</v>
      </c>
      <c r="G1087" s="39"/>
      <c r="H1087" s="32" t="s">
        <v>3780</v>
      </c>
      <c r="I1087" s="32" t="s">
        <v>5102</v>
      </c>
      <c r="J1087" s="32" t="s">
        <v>3781</v>
      </c>
      <c r="K1087" s="33" t="s">
        <v>3782</v>
      </c>
      <c r="L1087" s="32" t="e">
        <v>#N/A</v>
      </c>
      <c r="M1087" s="32" t="e">
        <v>#N/A</v>
      </c>
      <c r="N1087" s="32" t="s">
        <v>5158</v>
      </c>
      <c r="O1087" s="32" t="s">
        <v>5158</v>
      </c>
      <c r="P1087" s="32">
        <v>26249.0</v>
      </c>
      <c r="Q1087" s="34">
        <v>22312.0</v>
      </c>
      <c r="R1087" s="40">
        <v>22312.0</v>
      </c>
      <c r="S1087" s="40">
        <v>22312.0</v>
      </c>
      <c r="T1087" s="36">
        <v>0.0</v>
      </c>
      <c r="U1087" s="36">
        <v>0.0</v>
      </c>
      <c r="V1087" s="36">
        <v>0.0</v>
      </c>
      <c r="W1087" s="36">
        <v>0.0</v>
      </c>
      <c r="X1087" s="36">
        <v>0.0</v>
      </c>
      <c r="Y1087" s="36">
        <v>0.0</v>
      </c>
    </row>
    <row r="1088">
      <c r="A1088" s="32" t="s">
        <v>3771</v>
      </c>
      <c r="B1088" s="32" t="s">
        <v>3771</v>
      </c>
      <c r="C1088" s="32" t="s">
        <v>3772</v>
      </c>
      <c r="D1088" s="32" t="s">
        <v>3773</v>
      </c>
      <c r="E1088" s="32" t="s">
        <v>5073</v>
      </c>
      <c r="F1088" s="32" t="e">
        <v>#N/A</v>
      </c>
      <c r="G1088" s="39"/>
      <c r="H1088" s="32" t="s">
        <v>3774</v>
      </c>
      <c r="I1088" s="32" t="s">
        <v>5102</v>
      </c>
      <c r="J1088" s="32" t="s">
        <v>3775</v>
      </c>
      <c r="K1088" s="33" t="s">
        <v>3776</v>
      </c>
      <c r="L1088" s="32" t="e">
        <v>#N/A</v>
      </c>
      <c r="M1088" s="32" t="e">
        <v>#N/A</v>
      </c>
      <c r="N1088" s="32" t="s">
        <v>5158</v>
      </c>
      <c r="O1088" s="32" t="s">
        <v>5158</v>
      </c>
      <c r="P1088" s="32">
        <v>26249.0</v>
      </c>
      <c r="Q1088" s="34">
        <v>22312.0</v>
      </c>
      <c r="R1088" s="40">
        <v>22312.0</v>
      </c>
      <c r="S1088" s="40">
        <v>22312.0</v>
      </c>
      <c r="T1088" s="36">
        <v>0.0</v>
      </c>
      <c r="U1088" s="36">
        <v>0.0</v>
      </c>
      <c r="V1088" s="36">
        <v>0.0</v>
      </c>
      <c r="W1088" s="36">
        <v>0.0</v>
      </c>
      <c r="X1088" s="36">
        <v>0.0</v>
      </c>
      <c r="Y1088" s="36">
        <v>0.0</v>
      </c>
    </row>
    <row r="1089">
      <c r="A1089" s="32" t="s">
        <v>3407</v>
      </c>
      <c r="B1089" s="32" t="s">
        <v>3407</v>
      </c>
      <c r="C1089" s="32" t="s">
        <v>3408</v>
      </c>
      <c r="D1089" s="32" t="s">
        <v>3409</v>
      </c>
      <c r="E1089" s="32" t="s">
        <v>5073</v>
      </c>
      <c r="F1089" s="32" t="e">
        <v>#N/A</v>
      </c>
      <c r="G1089" s="39"/>
      <c r="H1089" s="32" t="s">
        <v>3410</v>
      </c>
      <c r="I1089" s="32" t="s">
        <v>5073</v>
      </c>
      <c r="J1089" s="32" t="s">
        <v>3411</v>
      </c>
      <c r="K1089" s="33" t="s">
        <v>3412</v>
      </c>
      <c r="L1089" s="32">
        <v>3.2777658E7</v>
      </c>
      <c r="M1089" s="32" t="s">
        <v>3413</v>
      </c>
      <c r="N1089" s="32" t="s">
        <v>5076</v>
      </c>
      <c r="O1089" s="32" t="s">
        <v>1145</v>
      </c>
      <c r="P1089" s="32">
        <v>1849.0</v>
      </c>
      <c r="Q1089" s="34">
        <v>1799.0</v>
      </c>
      <c r="R1089" s="40">
        <v>1799.0</v>
      </c>
      <c r="S1089" s="35">
        <v>1699.0</v>
      </c>
      <c r="T1089" s="36">
        <v>0.0</v>
      </c>
      <c r="U1089" s="36">
        <v>0.0</v>
      </c>
      <c r="V1089" s="36">
        <v>0.0</v>
      </c>
      <c r="W1089" s="36">
        <v>0.0</v>
      </c>
      <c r="X1089" s="36">
        <v>0.0</v>
      </c>
      <c r="Y1089" s="36">
        <v>0.0</v>
      </c>
    </row>
    <row r="1090">
      <c r="A1090" s="32" t="s">
        <v>3418</v>
      </c>
      <c r="B1090" s="32" t="s">
        <v>3418</v>
      </c>
      <c r="C1090" s="32" t="s">
        <v>3419</v>
      </c>
      <c r="D1090" s="32" t="s">
        <v>3421</v>
      </c>
      <c r="E1090" s="32" t="s">
        <v>5102</v>
      </c>
      <c r="F1090" s="32" t="e">
        <v>#N/A</v>
      </c>
      <c r="G1090" s="39"/>
      <c r="H1090" s="32" t="s">
        <v>3418</v>
      </c>
      <c r="I1090" s="32" t="s">
        <v>5102</v>
      </c>
      <c r="J1090" s="32" t="s">
        <v>3422</v>
      </c>
      <c r="K1090" s="33" t="s">
        <v>3423</v>
      </c>
      <c r="L1090" s="32" t="e">
        <v>#N/A</v>
      </c>
      <c r="M1090" s="32" t="e">
        <v>#N/A</v>
      </c>
      <c r="N1090" s="32" t="s">
        <v>5078</v>
      </c>
      <c r="O1090" s="32" t="s">
        <v>4730</v>
      </c>
      <c r="P1090" s="32">
        <v>699.0</v>
      </c>
      <c r="Q1090" s="34">
        <v>692.01</v>
      </c>
      <c r="R1090" s="35">
        <v>699.0</v>
      </c>
      <c r="S1090" s="35">
        <v>664.05</v>
      </c>
      <c r="T1090" s="36">
        <v>0.0</v>
      </c>
      <c r="U1090" s="36">
        <v>0.0</v>
      </c>
      <c r="V1090" s="36">
        <v>0.0</v>
      </c>
      <c r="W1090" s="36">
        <v>0.0</v>
      </c>
      <c r="X1090" s="36">
        <v>0.0</v>
      </c>
      <c r="Y1090" s="36">
        <v>0.0</v>
      </c>
    </row>
    <row r="1091">
      <c r="A1091" s="32" t="s">
        <v>4917</v>
      </c>
      <c r="B1091" s="32" t="s">
        <v>4917</v>
      </c>
      <c r="C1091" s="32" t="s">
        <v>4918</v>
      </c>
      <c r="D1091" s="46" t="s">
        <v>5194</v>
      </c>
      <c r="E1091" s="47" t="s">
        <v>5102</v>
      </c>
      <c r="F1091" s="38"/>
      <c r="G1091" s="38"/>
      <c r="H1091" s="38"/>
      <c r="I1091" s="38"/>
      <c r="J1091" s="32" t="s">
        <v>5195</v>
      </c>
      <c r="K1091" s="38"/>
      <c r="L1091" s="38"/>
      <c r="M1091" s="38"/>
      <c r="N1091" s="32" t="s">
        <v>1144</v>
      </c>
      <c r="O1091" s="32" t="s">
        <v>1145</v>
      </c>
      <c r="P1091" s="32">
        <v>2999.0</v>
      </c>
      <c r="Q1091" s="44">
        <v>1799.0</v>
      </c>
      <c r="R1091" s="40">
        <v>1799.0</v>
      </c>
      <c r="S1091" s="35">
        <v>1699.0</v>
      </c>
      <c r="T1091" s="36">
        <v>0.0</v>
      </c>
      <c r="U1091" s="36">
        <v>0.0</v>
      </c>
      <c r="V1091" s="36">
        <v>0.0</v>
      </c>
      <c r="W1091" s="36">
        <v>0.0</v>
      </c>
      <c r="X1091" s="36">
        <v>0.0</v>
      </c>
      <c r="Y1091" s="36">
        <v>0.0</v>
      </c>
    </row>
    <row r="1092">
      <c r="A1092" s="32" t="s">
        <v>3050</v>
      </c>
      <c r="B1092" s="32" t="s">
        <v>3050</v>
      </c>
      <c r="C1092" s="32" t="s">
        <v>3051</v>
      </c>
      <c r="D1092" s="32" t="s">
        <v>3052</v>
      </c>
      <c r="E1092" s="32" t="s">
        <v>5073</v>
      </c>
      <c r="F1092" s="32" t="e">
        <v>#N/A</v>
      </c>
      <c r="G1092" s="39"/>
      <c r="H1092" s="32" t="s">
        <v>3053</v>
      </c>
      <c r="I1092" s="32" t="s">
        <v>5102</v>
      </c>
      <c r="J1092" s="32" t="s">
        <v>3054</v>
      </c>
      <c r="K1092" s="33" t="s">
        <v>3055</v>
      </c>
      <c r="L1092" s="32" t="e">
        <v>#N/A</v>
      </c>
      <c r="M1092" s="32" t="e">
        <v>#N/A</v>
      </c>
      <c r="N1092" s="32" t="s">
        <v>5106</v>
      </c>
      <c r="O1092" s="32" t="s">
        <v>4730</v>
      </c>
      <c r="P1092" s="32">
        <v>3599.0</v>
      </c>
      <c r="Q1092" s="34">
        <v>3059.0</v>
      </c>
      <c r="R1092" s="40">
        <v>3299.0</v>
      </c>
      <c r="S1092" s="35">
        <v>3059.15</v>
      </c>
      <c r="T1092" s="36">
        <v>0.0</v>
      </c>
      <c r="U1092" s="36">
        <v>0.0</v>
      </c>
      <c r="V1092" s="36">
        <v>0.0</v>
      </c>
      <c r="W1092" s="36">
        <v>0.0</v>
      </c>
      <c r="X1092" s="36">
        <v>0.0</v>
      </c>
      <c r="Y1092" s="36">
        <v>0.0</v>
      </c>
    </row>
    <row r="1093">
      <c r="A1093" s="32" t="s">
        <v>3716</v>
      </c>
      <c r="B1093" s="32" t="s">
        <v>3716</v>
      </c>
      <c r="C1093" s="32" t="s">
        <v>3717</v>
      </c>
      <c r="D1093" s="32" t="s">
        <v>3718</v>
      </c>
      <c r="E1093" s="32" t="s">
        <v>5102</v>
      </c>
      <c r="F1093" s="32" t="e">
        <v>#N/A</v>
      </c>
      <c r="G1093" s="39"/>
      <c r="H1093" s="32" t="s">
        <v>3716</v>
      </c>
      <c r="I1093" s="32" t="s">
        <v>5102</v>
      </c>
      <c r="J1093" s="32" t="s">
        <v>3719</v>
      </c>
      <c r="K1093" s="33" t="s">
        <v>3720</v>
      </c>
      <c r="L1093" s="32" t="e">
        <v>#N/A</v>
      </c>
      <c r="M1093" s="32" t="e">
        <v>#N/A</v>
      </c>
      <c r="N1093" s="32" t="s">
        <v>5127</v>
      </c>
      <c r="O1093" s="32" t="s">
        <v>4730</v>
      </c>
      <c r="P1093" s="32">
        <v>949.0</v>
      </c>
      <c r="Q1093" s="34">
        <v>939.51</v>
      </c>
      <c r="R1093" s="35">
        <v>949.0</v>
      </c>
      <c r="S1093" s="35">
        <v>899.0</v>
      </c>
      <c r="T1093" s="36">
        <v>0.0</v>
      </c>
      <c r="U1093" s="36">
        <v>0.0</v>
      </c>
      <c r="V1093" s="36">
        <v>0.0</v>
      </c>
      <c r="W1093" s="36">
        <v>0.0</v>
      </c>
      <c r="X1093" s="36">
        <v>0.0</v>
      </c>
      <c r="Y1093" s="36">
        <v>0.0</v>
      </c>
    </row>
    <row r="1094">
      <c r="A1094" s="32" t="s">
        <v>3691</v>
      </c>
      <c r="B1094" s="32" t="s">
        <v>3691</v>
      </c>
      <c r="C1094" s="32" t="s">
        <v>3692</v>
      </c>
      <c r="D1094" s="32" t="s">
        <v>3693</v>
      </c>
      <c r="E1094" s="32" t="s">
        <v>5102</v>
      </c>
      <c r="F1094" s="32" t="e">
        <v>#N/A</v>
      </c>
      <c r="G1094" s="39"/>
      <c r="H1094" s="32" t="s">
        <v>3691</v>
      </c>
      <c r="I1094" s="32" t="s">
        <v>5102</v>
      </c>
      <c r="J1094" s="32" t="s">
        <v>3694</v>
      </c>
      <c r="K1094" s="33" t="s">
        <v>3695</v>
      </c>
      <c r="L1094" s="32" t="e">
        <v>#N/A</v>
      </c>
      <c r="M1094" s="32" t="e">
        <v>#N/A</v>
      </c>
      <c r="N1094" s="32" t="s">
        <v>5127</v>
      </c>
      <c r="O1094" s="32" t="s">
        <v>4730</v>
      </c>
      <c r="P1094" s="32">
        <v>999.0</v>
      </c>
      <c r="Q1094" s="34">
        <v>899.0</v>
      </c>
      <c r="R1094" s="35">
        <v>899.0</v>
      </c>
      <c r="S1094" s="35">
        <v>849.0</v>
      </c>
      <c r="T1094" s="36">
        <v>0.0</v>
      </c>
      <c r="U1094" s="36">
        <v>0.0</v>
      </c>
      <c r="V1094" s="36">
        <v>0.0</v>
      </c>
      <c r="W1094" s="36">
        <v>0.0</v>
      </c>
      <c r="X1094" s="36">
        <v>0.0</v>
      </c>
      <c r="Y1094" s="36">
        <v>0.0</v>
      </c>
    </row>
    <row r="1095">
      <c r="A1095" s="32" t="s">
        <v>1622</v>
      </c>
      <c r="B1095" s="32" t="s">
        <v>1622</v>
      </c>
      <c r="C1095" s="32">
        <v>0.0</v>
      </c>
      <c r="D1095" s="32" t="e">
        <v>#N/A</v>
      </c>
      <c r="E1095" s="39"/>
      <c r="F1095" s="32" t="e">
        <v>#N/A</v>
      </c>
      <c r="G1095" s="39"/>
      <c r="H1095" s="32">
        <v>0.0</v>
      </c>
      <c r="I1095" s="39"/>
      <c r="J1095" s="32" t="s">
        <v>1623</v>
      </c>
      <c r="K1095" s="33" t="e">
        <v>#N/A</v>
      </c>
      <c r="L1095" s="32" t="e">
        <v>#N/A</v>
      </c>
      <c r="M1095" s="32" t="e">
        <v>#N/A</v>
      </c>
      <c r="N1095" s="32" t="s">
        <v>5112</v>
      </c>
      <c r="O1095" s="32" t="s">
        <v>52</v>
      </c>
      <c r="P1095" s="32">
        <v>29999.0</v>
      </c>
      <c r="Q1095" s="34">
        <v>26999.0</v>
      </c>
      <c r="R1095" s="40">
        <v>28499.0</v>
      </c>
      <c r="S1095" s="35">
        <v>23099.23</v>
      </c>
      <c r="T1095" s="36">
        <v>0.0</v>
      </c>
      <c r="U1095" s="36">
        <v>0.0</v>
      </c>
      <c r="V1095" s="36">
        <v>0.0</v>
      </c>
      <c r="W1095" s="36">
        <v>0.0</v>
      </c>
      <c r="X1095" s="36">
        <v>0.0</v>
      </c>
      <c r="Y1095" s="36">
        <v>0.0</v>
      </c>
    </row>
    <row r="1096">
      <c r="A1096" s="32" t="s">
        <v>1605</v>
      </c>
      <c r="B1096" s="32" t="s">
        <v>1605</v>
      </c>
      <c r="C1096" s="32">
        <v>0.0</v>
      </c>
      <c r="D1096" s="32" t="e">
        <v>#N/A</v>
      </c>
      <c r="E1096" s="39"/>
      <c r="F1096" s="32" t="e">
        <v>#N/A</v>
      </c>
      <c r="G1096" s="39"/>
      <c r="H1096" s="32">
        <v>0.0</v>
      </c>
      <c r="I1096" s="39"/>
      <c r="J1096" s="32" t="s">
        <v>1606</v>
      </c>
      <c r="K1096" s="33" t="e">
        <v>#N/A</v>
      </c>
      <c r="L1096" s="32" t="e">
        <v>#N/A</v>
      </c>
      <c r="M1096" s="32" t="e">
        <v>#N/A</v>
      </c>
      <c r="N1096" s="32" t="s">
        <v>5112</v>
      </c>
      <c r="O1096" s="32" t="s">
        <v>52</v>
      </c>
      <c r="P1096" s="32">
        <v>25999.0</v>
      </c>
      <c r="Q1096" s="34">
        <v>23399.0</v>
      </c>
      <c r="R1096" s="40">
        <v>24699.0</v>
      </c>
      <c r="S1096" s="35">
        <v>20019.23</v>
      </c>
      <c r="T1096" s="36">
        <v>0.0</v>
      </c>
      <c r="U1096" s="36">
        <v>0.0</v>
      </c>
      <c r="V1096" s="36">
        <v>0.0</v>
      </c>
      <c r="W1096" s="36">
        <v>0.0</v>
      </c>
      <c r="X1096" s="36">
        <v>0.0</v>
      </c>
      <c r="Y1096" s="36">
        <v>0.0</v>
      </c>
    </row>
    <row r="1097">
      <c r="A1097" s="32" t="s">
        <v>3639</v>
      </c>
      <c r="B1097" s="32" t="s">
        <v>3639</v>
      </c>
      <c r="C1097" s="32" t="s">
        <v>3640</v>
      </c>
      <c r="D1097" s="32" t="s">
        <v>3641</v>
      </c>
      <c r="E1097" s="32" t="s">
        <v>5102</v>
      </c>
      <c r="F1097" s="32" t="e">
        <v>#N/A</v>
      </c>
      <c r="G1097" s="39"/>
      <c r="H1097" s="32" t="s">
        <v>3639</v>
      </c>
      <c r="I1097" s="32" t="s">
        <v>5102</v>
      </c>
      <c r="J1097" s="32" t="s">
        <v>3642</v>
      </c>
      <c r="K1097" s="33" t="s">
        <v>3643</v>
      </c>
      <c r="L1097" s="32" t="e">
        <v>#N/A</v>
      </c>
      <c r="M1097" s="32" t="e">
        <v>#N/A</v>
      </c>
      <c r="N1097" s="32" t="s">
        <v>5127</v>
      </c>
      <c r="O1097" s="32" t="s">
        <v>4730</v>
      </c>
      <c r="P1097" s="32">
        <v>899.0</v>
      </c>
      <c r="Q1097" s="34">
        <v>799.0</v>
      </c>
      <c r="R1097" s="35">
        <v>799.0</v>
      </c>
      <c r="S1097" s="35">
        <v>749.0</v>
      </c>
      <c r="T1097" s="36">
        <v>0.0</v>
      </c>
      <c r="U1097" s="36">
        <v>0.0</v>
      </c>
      <c r="V1097" s="36">
        <v>0.0</v>
      </c>
      <c r="W1097" s="36">
        <v>0.0</v>
      </c>
      <c r="X1097" s="36">
        <v>0.0</v>
      </c>
      <c r="Y1097" s="36">
        <v>0.0</v>
      </c>
    </row>
    <row r="1098">
      <c r="A1098" s="32" t="s">
        <v>3706</v>
      </c>
      <c r="B1098" s="32" t="s">
        <v>3706</v>
      </c>
      <c r="C1098" s="32" t="s">
        <v>3707</v>
      </c>
      <c r="D1098" s="32" t="s">
        <v>3708</v>
      </c>
      <c r="E1098" s="32" t="s">
        <v>5102</v>
      </c>
      <c r="F1098" s="32" t="e">
        <v>#N/A</v>
      </c>
      <c r="G1098" s="39"/>
      <c r="H1098" s="32" t="s">
        <v>3706</v>
      </c>
      <c r="I1098" s="32" t="s">
        <v>5102</v>
      </c>
      <c r="J1098" s="32" t="s">
        <v>3709</v>
      </c>
      <c r="K1098" s="33" t="s">
        <v>3710</v>
      </c>
      <c r="L1098" s="32" t="e">
        <v>#N/A</v>
      </c>
      <c r="M1098" s="32" t="e">
        <v>#N/A</v>
      </c>
      <c r="N1098" s="32" t="s">
        <v>5127</v>
      </c>
      <c r="O1098" s="32" t="s">
        <v>4730</v>
      </c>
      <c r="P1098" s="32">
        <v>949.0</v>
      </c>
      <c r="Q1098" s="34">
        <v>899.0</v>
      </c>
      <c r="R1098" s="35">
        <v>899.0</v>
      </c>
      <c r="S1098" s="35">
        <v>849.0</v>
      </c>
      <c r="T1098" s="36">
        <v>0.0</v>
      </c>
      <c r="U1098" s="36">
        <v>0.0</v>
      </c>
      <c r="V1098" s="36">
        <v>0.0</v>
      </c>
      <c r="W1098" s="36">
        <v>0.0</v>
      </c>
      <c r="X1098" s="36">
        <v>0.0</v>
      </c>
      <c r="Y1098" s="36">
        <v>0.0</v>
      </c>
    </row>
    <row r="1099">
      <c r="A1099" s="32" t="s">
        <v>3629</v>
      </c>
      <c r="B1099" s="32" t="s">
        <v>3629</v>
      </c>
      <c r="C1099" s="32" t="s">
        <v>3630</v>
      </c>
      <c r="D1099" s="32" t="s">
        <v>3631</v>
      </c>
      <c r="E1099" s="32" t="s">
        <v>5102</v>
      </c>
      <c r="F1099" s="32" t="e">
        <v>#N/A</v>
      </c>
      <c r="G1099" s="39"/>
      <c r="H1099" s="32" t="s">
        <v>3629</v>
      </c>
      <c r="I1099" s="32" t="s">
        <v>5102</v>
      </c>
      <c r="J1099" s="32" t="s">
        <v>3632</v>
      </c>
      <c r="K1099" s="33" t="s">
        <v>3633</v>
      </c>
      <c r="L1099" s="32" t="e">
        <v>#N/A</v>
      </c>
      <c r="M1099" s="32" t="e">
        <v>#N/A</v>
      </c>
      <c r="N1099" s="32" t="s">
        <v>5127</v>
      </c>
      <c r="O1099" s="32" t="s">
        <v>4730</v>
      </c>
      <c r="P1099" s="32">
        <v>899.0</v>
      </c>
      <c r="Q1099" s="34">
        <v>799.0</v>
      </c>
      <c r="R1099" s="35">
        <v>799.0</v>
      </c>
      <c r="S1099" s="35">
        <v>749.0</v>
      </c>
      <c r="T1099" s="36">
        <v>0.0</v>
      </c>
      <c r="U1099" s="36">
        <v>0.0</v>
      </c>
      <c r="V1099" s="36">
        <v>0.0</v>
      </c>
      <c r="W1099" s="36">
        <v>0.0</v>
      </c>
      <c r="X1099" s="36">
        <v>0.0</v>
      </c>
      <c r="Y1099" s="36">
        <v>0.0</v>
      </c>
    </row>
    <row r="1100">
      <c r="A1100" s="32" t="s">
        <v>3563</v>
      </c>
      <c r="B1100" s="32" t="s">
        <v>3563</v>
      </c>
      <c r="C1100" s="32" t="s">
        <v>3564</v>
      </c>
      <c r="D1100" s="32" t="s">
        <v>3565</v>
      </c>
      <c r="E1100" s="32" t="s">
        <v>5102</v>
      </c>
      <c r="F1100" s="32" t="e">
        <v>#N/A</v>
      </c>
      <c r="G1100" s="39"/>
      <c r="H1100" s="32" t="s">
        <v>3566</v>
      </c>
      <c r="I1100" s="32" t="s">
        <v>5102</v>
      </c>
      <c r="J1100" s="32" t="s">
        <v>3567</v>
      </c>
      <c r="K1100" s="33" t="s">
        <v>3568</v>
      </c>
      <c r="L1100" s="32" t="e">
        <v>#N/A</v>
      </c>
      <c r="M1100" s="32" t="e">
        <v>#N/A</v>
      </c>
      <c r="N1100" s="32" t="s">
        <v>5099</v>
      </c>
      <c r="O1100" s="32" t="s">
        <v>4730</v>
      </c>
      <c r="P1100" s="32">
        <v>1689.0</v>
      </c>
      <c r="Q1100" s="34">
        <v>1499.0</v>
      </c>
      <c r="R1100" s="40">
        <v>1499.0</v>
      </c>
      <c r="S1100" s="35">
        <v>1435.65</v>
      </c>
      <c r="T1100" s="36">
        <v>0.0</v>
      </c>
      <c r="U1100" s="36">
        <v>0.0</v>
      </c>
      <c r="V1100" s="36">
        <v>0.0</v>
      </c>
      <c r="W1100" s="36">
        <v>0.0</v>
      </c>
      <c r="X1100" s="36">
        <v>0.0</v>
      </c>
      <c r="Y1100" s="36">
        <v>0.0</v>
      </c>
    </row>
    <row r="1101">
      <c r="A1101" s="32" t="s">
        <v>3575</v>
      </c>
      <c r="B1101" s="32" t="s">
        <v>3575</v>
      </c>
      <c r="C1101" s="32" t="s">
        <v>3576</v>
      </c>
      <c r="D1101" s="32" t="s">
        <v>3577</v>
      </c>
      <c r="E1101" s="32" t="s">
        <v>5102</v>
      </c>
      <c r="F1101" s="32" t="e">
        <v>#N/A</v>
      </c>
      <c r="G1101" s="39"/>
      <c r="H1101" s="32" t="s">
        <v>3578</v>
      </c>
      <c r="I1101" s="32" t="s">
        <v>5102</v>
      </c>
      <c r="J1101" s="32" t="s">
        <v>3579</v>
      </c>
      <c r="K1101" s="33" t="s">
        <v>3580</v>
      </c>
      <c r="L1101" s="32" t="e">
        <v>#N/A</v>
      </c>
      <c r="M1101" s="32" t="e">
        <v>#N/A</v>
      </c>
      <c r="N1101" s="32" t="s">
        <v>5099</v>
      </c>
      <c r="O1101" s="32" t="s">
        <v>4730</v>
      </c>
      <c r="P1101" s="32">
        <v>2289.0</v>
      </c>
      <c r="Q1101" s="34">
        <v>1999.0</v>
      </c>
      <c r="R1101" s="40">
        <v>1999.0</v>
      </c>
      <c r="S1101" s="35">
        <v>1945.65</v>
      </c>
      <c r="T1101" s="36">
        <v>0.0</v>
      </c>
      <c r="U1101" s="36">
        <v>0.0</v>
      </c>
      <c r="V1101" s="36">
        <v>0.0</v>
      </c>
      <c r="W1101" s="36">
        <v>0.0</v>
      </c>
      <c r="X1101" s="36">
        <v>0.0</v>
      </c>
      <c r="Y1101" s="36">
        <v>0.0</v>
      </c>
    </row>
    <row r="1102">
      <c r="A1102" s="32" t="s">
        <v>3551</v>
      </c>
      <c r="B1102" s="32" t="s">
        <v>3551</v>
      </c>
      <c r="C1102" s="32" t="s">
        <v>3552</v>
      </c>
      <c r="D1102" s="32" t="s">
        <v>3553</v>
      </c>
      <c r="E1102" s="32" t="s">
        <v>5102</v>
      </c>
      <c r="F1102" s="32" t="e">
        <v>#N/A</v>
      </c>
      <c r="G1102" s="39"/>
      <c r="H1102" s="32" t="s">
        <v>3554</v>
      </c>
      <c r="I1102" s="32" t="s">
        <v>5102</v>
      </c>
      <c r="J1102" s="32" t="s">
        <v>3555</v>
      </c>
      <c r="K1102" s="33" t="s">
        <v>3556</v>
      </c>
      <c r="L1102" s="32" t="e">
        <v>#N/A</v>
      </c>
      <c r="M1102" s="32" t="e">
        <v>#N/A</v>
      </c>
      <c r="N1102" s="32" t="s">
        <v>5099</v>
      </c>
      <c r="O1102" s="32" t="s">
        <v>4730</v>
      </c>
      <c r="P1102" s="32">
        <v>1689.0</v>
      </c>
      <c r="Q1102" s="34">
        <v>1499.0</v>
      </c>
      <c r="R1102" s="40">
        <v>1499.0</v>
      </c>
      <c r="S1102" s="35">
        <v>1435.65</v>
      </c>
      <c r="T1102" s="36">
        <v>0.0</v>
      </c>
      <c r="U1102" s="36">
        <v>0.0</v>
      </c>
      <c r="V1102" s="36">
        <v>0.0</v>
      </c>
      <c r="W1102" s="36">
        <v>0.0</v>
      </c>
      <c r="X1102" s="36">
        <v>0.0</v>
      </c>
      <c r="Y1102" s="36">
        <v>0.0</v>
      </c>
    </row>
    <row r="1103">
      <c r="A1103" s="32" t="s">
        <v>4827</v>
      </c>
      <c r="B1103" s="32" t="s">
        <v>4827</v>
      </c>
      <c r="C1103" s="32" t="s">
        <v>4828</v>
      </c>
      <c r="D1103" s="32" t="s">
        <v>4829</v>
      </c>
      <c r="E1103" s="32" t="s">
        <v>5073</v>
      </c>
      <c r="F1103" s="32" t="e">
        <v>#N/A</v>
      </c>
      <c r="G1103" s="39"/>
      <c r="H1103" s="32" t="e">
        <v>#N/A</v>
      </c>
      <c r="I1103" s="39"/>
      <c r="J1103" s="32" t="s">
        <v>5196</v>
      </c>
      <c r="K1103" s="33" t="s">
        <v>4830</v>
      </c>
      <c r="L1103" s="32" t="e">
        <v>#N/A</v>
      </c>
      <c r="M1103" s="32" t="e">
        <v>#N/A</v>
      </c>
      <c r="N1103" s="32" t="s">
        <v>5085</v>
      </c>
      <c r="O1103" s="32" t="s">
        <v>1145</v>
      </c>
      <c r="P1103" s="32">
        <v>3899.0</v>
      </c>
      <c r="Q1103" s="34">
        <v>3299.0</v>
      </c>
      <c r="R1103" s="40">
        <v>3299.0</v>
      </c>
      <c r="S1103" s="35">
        <v>2999.0</v>
      </c>
      <c r="T1103" s="36">
        <v>0.0</v>
      </c>
      <c r="U1103" s="36">
        <v>0.0</v>
      </c>
      <c r="V1103" s="36">
        <v>0.0</v>
      </c>
      <c r="W1103" s="36">
        <v>0.0</v>
      </c>
      <c r="X1103" s="36">
        <v>0.0</v>
      </c>
      <c r="Y1103" s="36">
        <v>0.0</v>
      </c>
    </row>
    <row r="1104">
      <c r="A1104" s="32" t="s">
        <v>1555</v>
      </c>
      <c r="B1104" s="32" t="s">
        <v>1555</v>
      </c>
      <c r="C1104" s="32" t="s">
        <v>1556</v>
      </c>
      <c r="D1104" s="32" t="s">
        <v>1557</v>
      </c>
      <c r="E1104" s="32" t="s">
        <v>5102</v>
      </c>
      <c r="F1104" s="32" t="e">
        <v>#N/A</v>
      </c>
      <c r="G1104" s="39"/>
      <c r="H1104" s="32" t="s">
        <v>1555</v>
      </c>
      <c r="I1104" s="32" t="s">
        <v>5102</v>
      </c>
      <c r="J1104" s="32" t="s">
        <v>1555</v>
      </c>
      <c r="K1104" s="33" t="s">
        <v>1558</v>
      </c>
      <c r="L1104" s="32">
        <v>3.2784215E7</v>
      </c>
      <c r="M1104" s="32" t="s">
        <v>1559</v>
      </c>
      <c r="N1104" s="32" t="s">
        <v>5112</v>
      </c>
      <c r="O1104" s="32" t="s">
        <v>52</v>
      </c>
      <c r="P1104" s="32">
        <v>18999.0</v>
      </c>
      <c r="Q1104" s="34">
        <v>17099.0</v>
      </c>
      <c r="R1104" s="40">
        <v>17999.0</v>
      </c>
      <c r="S1104" s="35">
        <v>14629.23</v>
      </c>
      <c r="T1104" s="36">
        <v>0.0</v>
      </c>
      <c r="U1104" s="36">
        <v>0.0</v>
      </c>
      <c r="V1104" s="36">
        <v>0.0</v>
      </c>
      <c r="W1104" s="36">
        <v>0.0</v>
      </c>
      <c r="X1104" s="36">
        <v>0.0</v>
      </c>
      <c r="Y1104" s="36">
        <v>0.0</v>
      </c>
    </row>
    <row r="1105">
      <c r="A1105" s="32" t="s">
        <v>4764</v>
      </c>
      <c r="B1105" s="32" t="s">
        <v>4764</v>
      </c>
      <c r="C1105" s="32" t="s">
        <v>4765</v>
      </c>
      <c r="D1105" s="32" t="s">
        <v>4766</v>
      </c>
      <c r="E1105" s="32" t="s">
        <v>5102</v>
      </c>
      <c r="F1105" s="32" t="e">
        <v>#N/A</v>
      </c>
      <c r="G1105" s="39"/>
      <c r="H1105" s="32" t="s">
        <v>4764</v>
      </c>
      <c r="I1105" s="32" t="s">
        <v>5102</v>
      </c>
      <c r="J1105" s="32" t="s">
        <v>4764</v>
      </c>
      <c r="K1105" s="33" t="s">
        <v>4767</v>
      </c>
      <c r="L1105" s="32" t="e">
        <v>#N/A</v>
      </c>
      <c r="M1105" s="32" t="e">
        <v>#N/A</v>
      </c>
      <c r="N1105" s="32" t="s">
        <v>5112</v>
      </c>
      <c r="O1105" s="32" t="s">
        <v>52</v>
      </c>
      <c r="P1105" s="32">
        <v>25999.0</v>
      </c>
      <c r="Q1105" s="34">
        <v>23399.0</v>
      </c>
      <c r="R1105" s="40">
        <v>24699.0</v>
      </c>
      <c r="S1105" s="35">
        <v>20019.23</v>
      </c>
      <c r="T1105" s="36">
        <v>0.0</v>
      </c>
      <c r="U1105" s="36">
        <v>0.0</v>
      </c>
      <c r="V1105" s="36">
        <v>0.0</v>
      </c>
      <c r="W1105" s="36">
        <v>0.0</v>
      </c>
      <c r="X1105" s="36">
        <v>0.0</v>
      </c>
      <c r="Y1105" s="36">
        <v>0.0</v>
      </c>
    </row>
    <row r="1106">
      <c r="A1106" s="32" t="s">
        <v>5008</v>
      </c>
      <c r="B1106" s="32" t="s">
        <v>5008</v>
      </c>
      <c r="C1106" s="32" t="s">
        <v>5009</v>
      </c>
      <c r="D1106" s="46" t="s">
        <v>5197</v>
      </c>
      <c r="E1106" s="47" t="s">
        <v>5102</v>
      </c>
      <c r="F1106" s="38"/>
      <c r="G1106" s="38"/>
      <c r="H1106" s="37" t="s">
        <v>5008</v>
      </c>
      <c r="I1106" s="32" t="s">
        <v>5102</v>
      </c>
      <c r="J1106" s="32" t="s">
        <v>5008</v>
      </c>
      <c r="K1106" s="38"/>
      <c r="L1106" s="38"/>
      <c r="M1106" s="38"/>
      <c r="N1106" s="32" t="s">
        <v>5112</v>
      </c>
      <c r="O1106" s="32" t="s">
        <v>52</v>
      </c>
      <c r="P1106" s="32">
        <v>21999.0</v>
      </c>
      <c r="Q1106" s="44">
        <v>19799.0</v>
      </c>
      <c r="R1106" s="40">
        <v>20899.0</v>
      </c>
      <c r="S1106" s="35">
        <v>16939.23</v>
      </c>
      <c r="T1106" s="36">
        <v>0.0</v>
      </c>
      <c r="U1106" s="36">
        <v>0.0</v>
      </c>
      <c r="V1106" s="36">
        <v>0.0</v>
      </c>
      <c r="W1106" s="36">
        <v>0.0</v>
      </c>
      <c r="X1106" s="36">
        <v>0.0</v>
      </c>
      <c r="Y1106" s="36">
        <v>0.0</v>
      </c>
    </row>
    <row r="1107">
      <c r="A1107" s="32" t="s">
        <v>5011</v>
      </c>
      <c r="B1107" s="32" t="s">
        <v>5011</v>
      </c>
      <c r="C1107" s="32" t="s">
        <v>5012</v>
      </c>
      <c r="D1107" s="46" t="s">
        <v>5198</v>
      </c>
      <c r="E1107" s="47" t="s">
        <v>5102</v>
      </c>
      <c r="F1107" s="38"/>
      <c r="G1107" s="38"/>
      <c r="H1107" s="38"/>
      <c r="I1107" s="38"/>
      <c r="J1107" s="32" t="s">
        <v>5014</v>
      </c>
      <c r="K1107" s="38"/>
      <c r="L1107" s="38"/>
      <c r="M1107" s="38"/>
      <c r="N1107" s="32" t="s">
        <v>5112</v>
      </c>
      <c r="O1107" s="32" t="s">
        <v>52</v>
      </c>
      <c r="P1107" s="32">
        <v>24299.0</v>
      </c>
      <c r="Q1107" s="44">
        <v>21869.0</v>
      </c>
      <c r="R1107" s="40">
        <v>23099.0</v>
      </c>
      <c r="S1107" s="35">
        <v>18710.23</v>
      </c>
      <c r="T1107" s="36">
        <v>0.0</v>
      </c>
      <c r="U1107" s="36">
        <v>0.0</v>
      </c>
      <c r="V1107" s="36">
        <v>0.0</v>
      </c>
      <c r="W1107" s="36">
        <v>0.0</v>
      </c>
      <c r="X1107" s="36">
        <v>0.0</v>
      </c>
      <c r="Y1107" s="36">
        <v>0.0</v>
      </c>
    </row>
    <row r="1108">
      <c r="A1108" s="32" t="s">
        <v>5004</v>
      </c>
      <c r="B1108" s="32" t="s">
        <v>5004</v>
      </c>
      <c r="C1108" s="32" t="s">
        <v>5005</v>
      </c>
      <c r="D1108" s="46" t="s">
        <v>5199</v>
      </c>
      <c r="E1108" s="47" t="s">
        <v>5102</v>
      </c>
      <c r="F1108" s="38"/>
      <c r="G1108" s="38"/>
      <c r="H1108" s="38"/>
      <c r="I1108" s="38"/>
      <c r="J1108" s="32" t="s">
        <v>5007</v>
      </c>
      <c r="K1108" s="38"/>
      <c r="L1108" s="38"/>
      <c r="M1108" s="38"/>
      <c r="N1108" s="32" t="s">
        <v>5112</v>
      </c>
      <c r="O1108" s="32" t="s">
        <v>52</v>
      </c>
      <c r="P1108" s="32">
        <v>21699.0</v>
      </c>
      <c r="Q1108" s="44">
        <v>19529.0</v>
      </c>
      <c r="R1108" s="40">
        <v>20599.0</v>
      </c>
      <c r="S1108" s="35">
        <v>16708.23</v>
      </c>
      <c r="T1108" s="36">
        <v>0.0</v>
      </c>
      <c r="U1108" s="36">
        <v>0.0</v>
      </c>
      <c r="V1108" s="36">
        <v>0.0</v>
      </c>
      <c r="W1108" s="36">
        <v>0.0</v>
      </c>
      <c r="X1108" s="36">
        <v>0.0</v>
      </c>
      <c r="Y1108" s="36">
        <v>0.0</v>
      </c>
    </row>
    <row r="1109">
      <c r="A1109" s="32" t="s">
        <v>1658</v>
      </c>
      <c r="B1109" s="32" t="s">
        <v>1658</v>
      </c>
      <c r="C1109" s="32" t="s">
        <v>1659</v>
      </c>
      <c r="D1109" s="32" t="s">
        <v>1660</v>
      </c>
      <c r="E1109" s="47" t="s">
        <v>5102</v>
      </c>
      <c r="F1109" s="32" t="e">
        <v>#N/A</v>
      </c>
      <c r="G1109" s="39"/>
      <c r="H1109" s="32" t="s">
        <v>1658</v>
      </c>
      <c r="I1109" s="32" t="s">
        <v>5102</v>
      </c>
      <c r="J1109" s="32" t="s">
        <v>1658</v>
      </c>
      <c r="K1109" s="33" t="s">
        <v>1661</v>
      </c>
      <c r="L1109" s="32">
        <v>3.2784021E7</v>
      </c>
      <c r="M1109" s="32" t="s">
        <v>1662</v>
      </c>
      <c r="N1109" s="32" t="s">
        <v>5112</v>
      </c>
      <c r="O1109" s="32" t="s">
        <v>52</v>
      </c>
      <c r="P1109" s="32">
        <v>29999.0</v>
      </c>
      <c r="Q1109" s="34">
        <v>26999.0</v>
      </c>
      <c r="R1109" s="40">
        <v>28499.0</v>
      </c>
      <c r="S1109" s="35">
        <v>23099.23</v>
      </c>
      <c r="T1109" s="36">
        <v>0.0</v>
      </c>
      <c r="U1109" s="36">
        <v>0.0</v>
      </c>
      <c r="V1109" s="36">
        <v>0.0</v>
      </c>
      <c r="W1109" s="36">
        <v>0.0</v>
      </c>
      <c r="X1109" s="36">
        <v>0.0</v>
      </c>
      <c r="Y1109" s="36">
        <v>0.0</v>
      </c>
    </row>
    <row r="1110">
      <c r="A1110" s="32" t="s">
        <v>1632</v>
      </c>
      <c r="B1110" s="32" t="s">
        <v>1632</v>
      </c>
      <c r="C1110" s="32" t="s">
        <v>1633</v>
      </c>
      <c r="D1110" s="32" t="s">
        <v>1634</v>
      </c>
      <c r="E1110" s="47" t="s">
        <v>5102</v>
      </c>
      <c r="F1110" s="32" t="s">
        <v>1635</v>
      </c>
      <c r="G1110" s="32" t="s">
        <v>5100</v>
      </c>
      <c r="H1110" s="32" t="s">
        <v>1632</v>
      </c>
      <c r="I1110" s="32" t="s">
        <v>5102</v>
      </c>
      <c r="J1110" s="32" t="s">
        <v>1632</v>
      </c>
      <c r="K1110" s="33" t="s">
        <v>1636</v>
      </c>
      <c r="L1110" s="32">
        <v>3.2783815E7</v>
      </c>
      <c r="M1110" s="32" t="s">
        <v>1637</v>
      </c>
      <c r="N1110" s="32" t="s">
        <v>5112</v>
      </c>
      <c r="O1110" s="32" t="s">
        <v>52</v>
      </c>
      <c r="P1110" s="32">
        <v>25999.0</v>
      </c>
      <c r="Q1110" s="34">
        <v>23399.0</v>
      </c>
      <c r="R1110" s="40">
        <v>24699.0</v>
      </c>
      <c r="S1110" s="35">
        <v>20019.23</v>
      </c>
      <c r="T1110" s="36">
        <v>0.0</v>
      </c>
      <c r="U1110" s="36">
        <v>0.0</v>
      </c>
      <c r="V1110" s="36">
        <v>0.0</v>
      </c>
      <c r="W1110" s="36">
        <v>0.0</v>
      </c>
      <c r="X1110" s="36">
        <v>0.0</v>
      </c>
      <c r="Y1110" s="36">
        <v>0.0</v>
      </c>
    </row>
    <row r="1111">
      <c r="A1111" s="32" t="s">
        <v>1673</v>
      </c>
      <c r="B1111" s="32" t="s">
        <v>1673</v>
      </c>
      <c r="C1111" s="32" t="s">
        <v>1674</v>
      </c>
      <c r="D1111" s="32" t="s">
        <v>1675</v>
      </c>
      <c r="E1111" s="32" t="s">
        <v>5102</v>
      </c>
      <c r="F1111" s="32" t="e">
        <v>#N/A</v>
      </c>
      <c r="G1111" s="39"/>
      <c r="H1111" s="32" t="s">
        <v>5200</v>
      </c>
      <c r="I1111" s="32" t="s">
        <v>5102</v>
      </c>
      <c r="J1111" s="32" t="s">
        <v>5201</v>
      </c>
      <c r="K1111" s="33" t="s">
        <v>1676</v>
      </c>
      <c r="L1111" s="32">
        <v>3.2784183E7</v>
      </c>
      <c r="M1111" s="32" t="e">
        <v>#N/A</v>
      </c>
      <c r="N1111" s="32" t="s">
        <v>5112</v>
      </c>
      <c r="O1111" s="32" t="s">
        <v>52</v>
      </c>
      <c r="P1111" s="32">
        <v>32999.0</v>
      </c>
      <c r="Q1111" s="34">
        <v>29699.0</v>
      </c>
      <c r="R1111" s="40">
        <v>31299.0</v>
      </c>
      <c r="S1111" s="35">
        <v>25409.23</v>
      </c>
      <c r="T1111" s="36">
        <v>0.0</v>
      </c>
      <c r="U1111" s="36">
        <v>0.0</v>
      </c>
      <c r="V1111" s="36">
        <v>0.0</v>
      </c>
      <c r="W1111" s="36">
        <v>0.0</v>
      </c>
      <c r="X1111" s="36">
        <v>0.0</v>
      </c>
      <c r="Y1111" s="36">
        <v>0.0</v>
      </c>
    </row>
    <row r="1112">
      <c r="A1112" s="32" t="s">
        <v>1648</v>
      </c>
      <c r="B1112" s="32" t="s">
        <v>1648</v>
      </c>
      <c r="C1112" s="32" t="s">
        <v>1649</v>
      </c>
      <c r="D1112" s="32" t="s">
        <v>1650</v>
      </c>
      <c r="E1112" s="32" t="s">
        <v>5102</v>
      </c>
      <c r="F1112" s="32" t="e">
        <v>#N/A</v>
      </c>
      <c r="G1112" s="39"/>
      <c r="H1112" s="32" t="s">
        <v>1648</v>
      </c>
      <c r="I1112" s="32" t="s">
        <v>5102</v>
      </c>
      <c r="J1112" s="32" t="s">
        <v>1648</v>
      </c>
      <c r="K1112" s="33" t="s">
        <v>1651</v>
      </c>
      <c r="L1112" s="32">
        <v>3.2784158E7</v>
      </c>
      <c r="M1112" s="32" t="s">
        <v>1652</v>
      </c>
      <c r="N1112" s="32" t="s">
        <v>5112</v>
      </c>
      <c r="O1112" s="32" t="s">
        <v>52</v>
      </c>
      <c r="P1112" s="32">
        <v>29999.0</v>
      </c>
      <c r="Q1112" s="34">
        <v>26999.0</v>
      </c>
      <c r="R1112" s="40">
        <v>28499.0</v>
      </c>
      <c r="S1112" s="35">
        <v>23099.23</v>
      </c>
      <c r="T1112" s="36">
        <v>0.0</v>
      </c>
      <c r="U1112" s="36">
        <v>0.0</v>
      </c>
      <c r="V1112" s="36">
        <v>0.0</v>
      </c>
      <c r="W1112" s="36">
        <v>0.0</v>
      </c>
      <c r="X1112" s="36">
        <v>0.0</v>
      </c>
      <c r="Y1112" s="36">
        <v>0.0</v>
      </c>
    </row>
    <row r="1113">
      <c r="A1113" s="32" t="s">
        <v>1677</v>
      </c>
      <c r="B1113" s="32" t="s">
        <v>1677</v>
      </c>
      <c r="C1113" s="32" t="s">
        <v>1678</v>
      </c>
      <c r="D1113" s="32" t="s">
        <v>1679</v>
      </c>
      <c r="E1113" s="32" t="s">
        <v>5102</v>
      </c>
      <c r="F1113" s="32" t="e">
        <v>#N/A</v>
      </c>
      <c r="G1113" s="39"/>
      <c r="H1113" s="32" t="s">
        <v>5200</v>
      </c>
      <c r="I1113" s="32" t="s">
        <v>5102</v>
      </c>
      <c r="J1113" s="32" t="s">
        <v>5202</v>
      </c>
      <c r="K1113" s="33" t="s">
        <v>1680</v>
      </c>
      <c r="L1113" s="32">
        <v>3.2784142E7</v>
      </c>
      <c r="M1113" s="32" t="e">
        <v>#N/A</v>
      </c>
      <c r="N1113" s="32" t="s">
        <v>5112</v>
      </c>
      <c r="O1113" s="32" t="s">
        <v>52</v>
      </c>
      <c r="P1113" s="32">
        <v>35999.0</v>
      </c>
      <c r="Q1113" s="34">
        <v>32399.0</v>
      </c>
      <c r="R1113" s="40">
        <v>34199.0</v>
      </c>
      <c r="S1113" s="35">
        <v>27719.23</v>
      </c>
      <c r="T1113" s="36">
        <v>0.0</v>
      </c>
      <c r="U1113" s="36">
        <v>0.0</v>
      </c>
      <c r="V1113" s="36">
        <v>0.0</v>
      </c>
      <c r="W1113" s="36">
        <v>0.0</v>
      </c>
      <c r="X1113" s="36">
        <v>0.0</v>
      </c>
      <c r="Y1113" s="36">
        <v>0.0</v>
      </c>
    </row>
    <row r="1114">
      <c r="A1114" s="32" t="s">
        <v>1653</v>
      </c>
      <c r="B1114" s="32" t="s">
        <v>1653</v>
      </c>
      <c r="C1114" s="32" t="s">
        <v>1654</v>
      </c>
      <c r="D1114" s="32" t="s">
        <v>1655</v>
      </c>
      <c r="E1114" s="32" t="s">
        <v>5102</v>
      </c>
      <c r="F1114" s="32" t="e">
        <v>#N/A</v>
      </c>
      <c r="G1114" s="39"/>
      <c r="H1114" s="32" t="s">
        <v>5203</v>
      </c>
      <c r="I1114" s="32" t="s">
        <v>5102</v>
      </c>
      <c r="J1114" s="32" t="s">
        <v>1656</v>
      </c>
      <c r="K1114" s="33" t="s">
        <v>1657</v>
      </c>
      <c r="L1114" s="32">
        <v>3.2784195E7</v>
      </c>
      <c r="M1114" s="32" t="e">
        <v>#N/A</v>
      </c>
      <c r="N1114" s="32" t="s">
        <v>5112</v>
      </c>
      <c r="O1114" s="32" t="s">
        <v>52</v>
      </c>
      <c r="P1114" s="32">
        <v>31999.0</v>
      </c>
      <c r="Q1114" s="34">
        <v>28799.0</v>
      </c>
      <c r="R1114" s="40">
        <v>30399.0</v>
      </c>
      <c r="S1114" s="35">
        <v>24639.23</v>
      </c>
      <c r="T1114" s="36">
        <v>0.0</v>
      </c>
      <c r="U1114" s="36">
        <v>0.0</v>
      </c>
      <c r="V1114" s="36">
        <v>0.0</v>
      </c>
      <c r="W1114" s="36">
        <v>0.0</v>
      </c>
      <c r="X1114" s="36">
        <v>0.0</v>
      </c>
      <c r="Y1114" s="36">
        <v>0.0</v>
      </c>
    </row>
    <row r="1115">
      <c r="A1115" s="32" t="s">
        <v>1771</v>
      </c>
      <c r="B1115" s="32" t="s">
        <v>1771</v>
      </c>
      <c r="C1115" s="32" t="s">
        <v>1772</v>
      </c>
      <c r="D1115" s="32" t="s">
        <v>1773</v>
      </c>
      <c r="E1115" s="32" t="s">
        <v>5102</v>
      </c>
      <c r="F1115" s="32" t="e">
        <v>#N/A</v>
      </c>
      <c r="G1115" s="39"/>
      <c r="H1115" s="32" t="s">
        <v>5204</v>
      </c>
      <c r="I1115" s="32" t="s">
        <v>5102</v>
      </c>
      <c r="J1115" s="32" t="s">
        <v>1774</v>
      </c>
      <c r="K1115" s="33" t="s">
        <v>1775</v>
      </c>
      <c r="L1115" s="32">
        <v>3.2784079E7</v>
      </c>
      <c r="M1115" s="32" t="s">
        <v>1776</v>
      </c>
      <c r="N1115" s="32" t="s">
        <v>5109</v>
      </c>
      <c r="O1115" s="32" t="s">
        <v>52</v>
      </c>
      <c r="P1115" s="32">
        <v>26999.0</v>
      </c>
      <c r="Q1115" s="34">
        <v>24299.0</v>
      </c>
      <c r="R1115" s="40">
        <v>25599.0</v>
      </c>
      <c r="S1115" s="35">
        <v>22679.16</v>
      </c>
      <c r="T1115" s="36">
        <v>0.0</v>
      </c>
      <c r="U1115" s="36">
        <v>0.0</v>
      </c>
      <c r="V1115" s="36">
        <v>0.0</v>
      </c>
      <c r="W1115" s="36">
        <v>0.0</v>
      </c>
      <c r="X1115" s="36">
        <v>0.0</v>
      </c>
      <c r="Y1115" s="36">
        <v>0.0</v>
      </c>
    </row>
    <row r="1116">
      <c r="A1116" s="32" t="s">
        <v>1754</v>
      </c>
      <c r="B1116" s="32" t="s">
        <v>1754</v>
      </c>
      <c r="C1116" s="32" t="s">
        <v>1755</v>
      </c>
      <c r="D1116" s="32" t="s">
        <v>1756</v>
      </c>
      <c r="E1116" s="32" t="s">
        <v>5102</v>
      </c>
      <c r="F1116" s="32" t="e">
        <v>#N/A</v>
      </c>
      <c r="G1116" s="39"/>
      <c r="H1116" s="32" t="s">
        <v>1757</v>
      </c>
      <c r="I1116" s="32" t="s">
        <v>5102</v>
      </c>
      <c r="J1116" s="32" t="s">
        <v>1758</v>
      </c>
      <c r="K1116" s="33" t="s">
        <v>1759</v>
      </c>
      <c r="L1116" s="32">
        <v>3.2783797E7</v>
      </c>
      <c r="M1116" s="32" t="s">
        <v>1760</v>
      </c>
      <c r="N1116" s="32" t="s">
        <v>5109</v>
      </c>
      <c r="O1116" s="32" t="s">
        <v>52</v>
      </c>
      <c r="P1116" s="32">
        <v>24999.0</v>
      </c>
      <c r="Q1116" s="34">
        <v>22499.0</v>
      </c>
      <c r="R1116" s="40">
        <v>23699.0</v>
      </c>
      <c r="S1116" s="35">
        <v>20999.16</v>
      </c>
      <c r="T1116" s="36">
        <v>0.0</v>
      </c>
      <c r="U1116" s="36">
        <v>0.0</v>
      </c>
      <c r="V1116" s="36">
        <v>0.0</v>
      </c>
      <c r="W1116" s="36">
        <v>0.0</v>
      </c>
      <c r="X1116" s="36">
        <v>0.0</v>
      </c>
      <c r="Y1116" s="36">
        <v>0.0</v>
      </c>
    </row>
    <row r="1117">
      <c r="A1117" s="32" t="s">
        <v>1777</v>
      </c>
      <c r="B1117" s="32" t="s">
        <v>1777</v>
      </c>
      <c r="C1117" s="32" t="s">
        <v>1778</v>
      </c>
      <c r="D1117" s="32" t="s">
        <v>1779</v>
      </c>
      <c r="E1117" s="32" t="s">
        <v>5102</v>
      </c>
      <c r="F1117" s="32" t="e">
        <v>#N/A</v>
      </c>
      <c r="G1117" s="39"/>
      <c r="H1117" s="32">
        <v>0.0</v>
      </c>
      <c r="I1117" s="39"/>
      <c r="J1117" s="32" t="s">
        <v>1780</v>
      </c>
      <c r="K1117" s="33" t="s">
        <v>1781</v>
      </c>
      <c r="L1117" s="32" t="e">
        <v>#N/A</v>
      </c>
      <c r="M1117" s="32" t="e">
        <v>#N/A</v>
      </c>
      <c r="N1117" s="32" t="s">
        <v>5109</v>
      </c>
      <c r="O1117" s="32" t="s">
        <v>52</v>
      </c>
      <c r="P1117" s="32">
        <v>29999.0</v>
      </c>
      <c r="Q1117" s="34">
        <v>26999.0</v>
      </c>
      <c r="R1117" s="40">
        <v>28499.0</v>
      </c>
      <c r="S1117" s="35">
        <v>25199.16</v>
      </c>
      <c r="T1117" s="36">
        <v>0.0</v>
      </c>
      <c r="U1117" s="36">
        <v>0.0</v>
      </c>
      <c r="V1117" s="36">
        <v>0.0</v>
      </c>
      <c r="W1117" s="36">
        <v>0.0</v>
      </c>
      <c r="X1117" s="36">
        <v>0.0</v>
      </c>
      <c r="Y1117" s="36">
        <v>0.0</v>
      </c>
    </row>
    <row r="1118">
      <c r="A1118" s="32" t="s">
        <v>1761</v>
      </c>
      <c r="B1118" s="32" t="s">
        <v>1761</v>
      </c>
      <c r="C1118" s="32" t="s">
        <v>1762</v>
      </c>
      <c r="D1118" s="32" t="s">
        <v>1763</v>
      </c>
      <c r="E1118" s="32" t="s">
        <v>5102</v>
      </c>
      <c r="F1118" s="32" t="e">
        <v>#N/A</v>
      </c>
      <c r="G1118" s="39"/>
      <c r="H1118" s="32">
        <v>0.0</v>
      </c>
      <c r="I1118" s="39"/>
      <c r="J1118" s="32" t="s">
        <v>1764</v>
      </c>
      <c r="K1118" s="33" t="s">
        <v>1765</v>
      </c>
      <c r="L1118" s="32" t="e">
        <v>#N/A</v>
      </c>
      <c r="M1118" s="32" t="e">
        <v>#N/A</v>
      </c>
      <c r="N1118" s="32" t="s">
        <v>5109</v>
      </c>
      <c r="O1118" s="32" t="s">
        <v>52</v>
      </c>
      <c r="P1118" s="32">
        <v>28999.0</v>
      </c>
      <c r="Q1118" s="34">
        <v>26099.0</v>
      </c>
      <c r="R1118" s="40">
        <v>27499.0</v>
      </c>
      <c r="S1118" s="35">
        <v>24359.16</v>
      </c>
      <c r="T1118" s="36">
        <v>0.0</v>
      </c>
      <c r="U1118" s="36">
        <v>0.0</v>
      </c>
      <c r="V1118" s="36">
        <v>0.0</v>
      </c>
      <c r="W1118" s="36">
        <v>0.0</v>
      </c>
      <c r="X1118" s="36">
        <v>0.0</v>
      </c>
      <c r="Y1118" s="36">
        <v>0.0</v>
      </c>
    </row>
    <row r="1119">
      <c r="A1119" s="32" t="s">
        <v>1891</v>
      </c>
      <c r="B1119" s="32" t="s">
        <v>1891</v>
      </c>
      <c r="C1119" s="32" t="s">
        <v>1892</v>
      </c>
      <c r="D1119" s="32" t="s">
        <v>1893</v>
      </c>
      <c r="E1119" s="32" t="s">
        <v>5102</v>
      </c>
      <c r="F1119" s="32" t="e">
        <v>#N/A</v>
      </c>
      <c r="G1119" s="39"/>
      <c r="H1119" s="32" t="s">
        <v>1894</v>
      </c>
      <c r="I1119" s="32" t="s">
        <v>5122</v>
      </c>
      <c r="J1119" s="32" t="s">
        <v>5205</v>
      </c>
      <c r="K1119" s="33" t="s">
        <v>1895</v>
      </c>
      <c r="L1119" s="32">
        <v>3.2783885E7</v>
      </c>
      <c r="M1119" s="32" t="s">
        <v>1896</v>
      </c>
      <c r="N1119" s="32" t="s">
        <v>5109</v>
      </c>
      <c r="O1119" s="32" t="s">
        <v>52</v>
      </c>
      <c r="P1119" s="32">
        <v>38999.0</v>
      </c>
      <c r="Q1119" s="34">
        <v>35099.0</v>
      </c>
      <c r="R1119" s="40">
        <v>36999.0</v>
      </c>
      <c r="S1119" s="35">
        <v>32759.16</v>
      </c>
      <c r="T1119" s="36">
        <v>0.0</v>
      </c>
      <c r="U1119" s="36">
        <v>0.0</v>
      </c>
      <c r="V1119" s="36">
        <v>0.0</v>
      </c>
      <c r="W1119" s="36">
        <v>0.0</v>
      </c>
      <c r="X1119" s="36">
        <v>0.0</v>
      </c>
      <c r="Y1119" s="36">
        <v>0.0</v>
      </c>
    </row>
    <row r="1120">
      <c r="A1120" s="32" t="s">
        <v>1904</v>
      </c>
      <c r="B1120" s="32" t="s">
        <v>1904</v>
      </c>
      <c r="C1120" s="32" t="s">
        <v>1905</v>
      </c>
      <c r="D1120" s="32" t="s">
        <v>1906</v>
      </c>
      <c r="E1120" s="32" t="s">
        <v>5102</v>
      </c>
      <c r="F1120" s="32" t="e">
        <v>#N/A</v>
      </c>
      <c r="G1120" s="39"/>
      <c r="H1120" s="32" t="s">
        <v>1907</v>
      </c>
      <c r="I1120" s="32" t="s">
        <v>5122</v>
      </c>
      <c r="J1120" s="32" t="s">
        <v>1908</v>
      </c>
      <c r="K1120" s="33" t="s">
        <v>1909</v>
      </c>
      <c r="L1120" s="32">
        <v>3.2783822E7</v>
      </c>
      <c r="M1120" s="32" t="s">
        <v>1910</v>
      </c>
      <c r="N1120" s="32" t="s">
        <v>5109</v>
      </c>
      <c r="O1120" s="32" t="s">
        <v>52</v>
      </c>
      <c r="P1120" s="32">
        <v>38999.0</v>
      </c>
      <c r="Q1120" s="34">
        <v>35099.0</v>
      </c>
      <c r="R1120" s="40">
        <v>36999.0</v>
      </c>
      <c r="S1120" s="35">
        <v>32759.16</v>
      </c>
      <c r="T1120" s="36">
        <v>0.0</v>
      </c>
      <c r="U1120" s="36">
        <v>0.0</v>
      </c>
      <c r="V1120" s="36">
        <v>0.0</v>
      </c>
      <c r="W1120" s="36">
        <v>0.0</v>
      </c>
      <c r="X1120" s="36">
        <v>0.0</v>
      </c>
      <c r="Y1120" s="36">
        <v>0.0</v>
      </c>
    </row>
    <row r="1121">
      <c r="A1121" s="32" t="s">
        <v>1911</v>
      </c>
      <c r="B1121" s="32" t="s">
        <v>1911</v>
      </c>
      <c r="C1121" s="32" t="s">
        <v>1912</v>
      </c>
      <c r="D1121" s="32" t="s">
        <v>1913</v>
      </c>
      <c r="E1121" s="32" t="s">
        <v>5102</v>
      </c>
      <c r="F1121" s="32" t="e">
        <v>#N/A</v>
      </c>
      <c r="G1121" s="39"/>
      <c r="H1121" s="32" t="s">
        <v>5206</v>
      </c>
      <c r="I1121" s="32" t="s">
        <v>5102</v>
      </c>
      <c r="J1121" s="32" t="s">
        <v>5207</v>
      </c>
      <c r="K1121" s="33" t="s">
        <v>1914</v>
      </c>
      <c r="L1121" s="32">
        <v>3.2784207E7</v>
      </c>
      <c r="M1121" s="32" t="e">
        <v>#N/A</v>
      </c>
      <c r="N1121" s="32" t="s">
        <v>5109</v>
      </c>
      <c r="O1121" s="32" t="s">
        <v>52</v>
      </c>
      <c r="P1121" s="32">
        <v>44999.0</v>
      </c>
      <c r="Q1121" s="34">
        <v>40499.0</v>
      </c>
      <c r="R1121" s="40">
        <v>42699.0</v>
      </c>
      <c r="S1121" s="35">
        <v>37799.16</v>
      </c>
      <c r="T1121" s="36">
        <v>0.0</v>
      </c>
      <c r="U1121" s="36">
        <v>0.0</v>
      </c>
      <c r="V1121" s="36">
        <v>0.0</v>
      </c>
      <c r="W1121" s="36">
        <v>0.0</v>
      </c>
      <c r="X1121" s="36">
        <v>0.0</v>
      </c>
      <c r="Y1121" s="36">
        <v>0.0</v>
      </c>
    </row>
    <row r="1122">
      <c r="A1122" s="32" t="s">
        <v>1886</v>
      </c>
      <c r="B1122" s="32" t="s">
        <v>1886</v>
      </c>
      <c r="C1122" s="32" t="s">
        <v>1887</v>
      </c>
      <c r="D1122" s="32" t="s">
        <v>1888</v>
      </c>
      <c r="E1122" s="32" t="s">
        <v>5102</v>
      </c>
      <c r="F1122" s="32" t="e">
        <v>#N/A</v>
      </c>
      <c r="G1122" s="39"/>
      <c r="H1122" s="32">
        <v>0.0</v>
      </c>
      <c r="I1122" s="39"/>
      <c r="J1122" s="32" t="s">
        <v>1889</v>
      </c>
      <c r="K1122" s="33" t="s">
        <v>1890</v>
      </c>
      <c r="L1122" s="32" t="e">
        <v>#N/A</v>
      </c>
      <c r="M1122" s="32" t="e">
        <v>#N/A</v>
      </c>
      <c r="N1122" s="32" t="s">
        <v>5109</v>
      </c>
      <c r="O1122" s="32" t="s">
        <v>52</v>
      </c>
      <c r="P1122" s="32">
        <v>46999.0</v>
      </c>
      <c r="Q1122" s="34">
        <v>42299.0</v>
      </c>
      <c r="R1122" s="40">
        <v>44599.0</v>
      </c>
      <c r="S1122" s="35">
        <v>39479.16</v>
      </c>
      <c r="T1122" s="36">
        <v>0.0</v>
      </c>
      <c r="U1122" s="36">
        <v>0.0</v>
      </c>
      <c r="V1122" s="36">
        <v>0.0</v>
      </c>
      <c r="W1122" s="36">
        <v>0.0</v>
      </c>
      <c r="X1122" s="36">
        <v>0.0</v>
      </c>
      <c r="Y1122" s="36">
        <v>0.0</v>
      </c>
    </row>
    <row r="1123">
      <c r="A1123" s="32" t="s">
        <v>1850</v>
      </c>
      <c r="B1123" s="32" t="s">
        <v>1850</v>
      </c>
      <c r="C1123" s="32" t="s">
        <v>1851</v>
      </c>
      <c r="D1123" s="32" t="s">
        <v>1852</v>
      </c>
      <c r="E1123" s="32" t="s">
        <v>5102</v>
      </c>
      <c r="F1123" s="32" t="e">
        <v>#N/A</v>
      </c>
      <c r="G1123" s="39"/>
      <c r="H1123" s="32">
        <v>0.0</v>
      </c>
      <c r="I1123" s="39"/>
      <c r="J1123" s="32" t="s">
        <v>1853</v>
      </c>
      <c r="K1123" s="33" t="s">
        <v>1854</v>
      </c>
      <c r="L1123" s="32" t="e">
        <v>#N/A</v>
      </c>
      <c r="M1123" s="32" t="e">
        <v>#N/A</v>
      </c>
      <c r="N1123" s="32" t="s">
        <v>5109</v>
      </c>
      <c r="O1123" s="32" t="s">
        <v>52</v>
      </c>
      <c r="P1123" s="32">
        <v>38999.0</v>
      </c>
      <c r="Q1123" s="34">
        <v>35099.0</v>
      </c>
      <c r="R1123" s="40">
        <v>36999.0</v>
      </c>
      <c r="S1123" s="35">
        <v>32759.16</v>
      </c>
      <c r="T1123" s="36">
        <v>0.0</v>
      </c>
      <c r="U1123" s="36">
        <v>0.0</v>
      </c>
      <c r="V1123" s="36">
        <v>0.0</v>
      </c>
      <c r="W1123" s="36">
        <v>0.0</v>
      </c>
      <c r="X1123" s="36">
        <v>0.0</v>
      </c>
      <c r="Y1123" s="36">
        <v>0.0</v>
      </c>
    </row>
    <row r="1124">
      <c r="A1124" s="32" t="s">
        <v>1836</v>
      </c>
      <c r="B1124" s="32" t="s">
        <v>1836</v>
      </c>
      <c r="C1124" s="32" t="s">
        <v>1837</v>
      </c>
      <c r="D1124" s="32" t="s">
        <v>1838</v>
      </c>
      <c r="E1124" s="32" t="s">
        <v>5102</v>
      </c>
      <c r="F1124" s="32" t="e">
        <v>#N/A</v>
      </c>
      <c r="G1124" s="39"/>
      <c r="H1124" s="32">
        <v>0.0</v>
      </c>
      <c r="I1124" s="39"/>
      <c r="J1124" s="32" t="s">
        <v>1839</v>
      </c>
      <c r="K1124" s="33" t="s">
        <v>1840</v>
      </c>
      <c r="L1124" s="32" t="e">
        <v>#N/A</v>
      </c>
      <c r="M1124" s="32" t="e">
        <v>#N/A</v>
      </c>
      <c r="N1124" s="32" t="s">
        <v>5109</v>
      </c>
      <c r="O1124" s="32" t="s">
        <v>52</v>
      </c>
      <c r="P1124" s="32">
        <v>34999.0</v>
      </c>
      <c r="Q1124" s="34">
        <v>31499.0</v>
      </c>
      <c r="R1124" s="40">
        <v>33199.0</v>
      </c>
      <c r="S1124" s="35">
        <v>29399.16</v>
      </c>
      <c r="T1124" s="36">
        <v>0.0</v>
      </c>
      <c r="U1124" s="36">
        <v>0.0</v>
      </c>
      <c r="V1124" s="36">
        <v>0.0</v>
      </c>
      <c r="W1124" s="36">
        <v>0.0</v>
      </c>
      <c r="X1124" s="36">
        <v>0.0</v>
      </c>
      <c r="Y1124" s="36">
        <v>0.0</v>
      </c>
    </row>
    <row r="1125">
      <c r="A1125" s="32" t="s">
        <v>1841</v>
      </c>
      <c r="B1125" s="32" t="s">
        <v>1841</v>
      </c>
      <c r="C1125" s="32" t="s">
        <v>1842</v>
      </c>
      <c r="D1125" s="32" t="s">
        <v>1843</v>
      </c>
      <c r="E1125" s="32" t="s">
        <v>5102</v>
      </c>
      <c r="F1125" s="32" t="e">
        <v>#N/A</v>
      </c>
      <c r="G1125" s="39"/>
      <c r="H1125" s="32">
        <v>0.0</v>
      </c>
      <c r="I1125" s="39"/>
      <c r="J1125" s="32" t="s">
        <v>1844</v>
      </c>
      <c r="K1125" s="33" t="s">
        <v>1845</v>
      </c>
      <c r="L1125" s="32" t="e">
        <v>#N/A</v>
      </c>
      <c r="M1125" s="32" t="e">
        <v>#N/A</v>
      </c>
      <c r="N1125" s="32" t="s">
        <v>5109</v>
      </c>
      <c r="O1125" s="32" t="s">
        <v>52</v>
      </c>
      <c r="P1125" s="32">
        <v>34999.0</v>
      </c>
      <c r="Q1125" s="34">
        <v>31499.0</v>
      </c>
      <c r="R1125" s="40">
        <v>33199.0</v>
      </c>
      <c r="S1125" s="35">
        <v>29399.16</v>
      </c>
      <c r="T1125" s="36">
        <v>0.0</v>
      </c>
      <c r="U1125" s="36">
        <v>0.0</v>
      </c>
      <c r="V1125" s="36">
        <v>0.0</v>
      </c>
      <c r="W1125" s="36">
        <v>0.0</v>
      </c>
      <c r="X1125" s="36">
        <v>0.0</v>
      </c>
      <c r="Y1125" s="36">
        <v>0.0</v>
      </c>
    </row>
    <row r="1126">
      <c r="A1126" s="32" t="s">
        <v>1829</v>
      </c>
      <c r="B1126" s="32" t="s">
        <v>1829</v>
      </c>
      <c r="C1126" s="32" t="s">
        <v>1830</v>
      </c>
      <c r="D1126" s="32" t="s">
        <v>1831</v>
      </c>
      <c r="E1126" s="32" t="s">
        <v>5102</v>
      </c>
      <c r="F1126" s="32" t="e">
        <v>#N/A</v>
      </c>
      <c r="G1126" s="39"/>
      <c r="H1126" s="32">
        <v>0.0</v>
      </c>
      <c r="I1126" s="39"/>
      <c r="J1126" s="32" t="s">
        <v>1832</v>
      </c>
      <c r="K1126" s="33" t="s">
        <v>1833</v>
      </c>
      <c r="L1126" s="32" t="e">
        <v>#N/A</v>
      </c>
      <c r="M1126" s="32" t="e">
        <v>#N/A</v>
      </c>
      <c r="N1126" s="32" t="s">
        <v>5109</v>
      </c>
      <c r="O1126" s="32" t="s">
        <v>52</v>
      </c>
      <c r="P1126" s="32">
        <v>37499.0</v>
      </c>
      <c r="Q1126" s="34">
        <v>33749.0</v>
      </c>
      <c r="R1126" s="40">
        <v>35599.0</v>
      </c>
      <c r="S1126" s="35">
        <v>31499.16</v>
      </c>
      <c r="T1126" s="36">
        <v>0.0</v>
      </c>
      <c r="U1126" s="36">
        <v>0.0</v>
      </c>
      <c r="V1126" s="36">
        <v>0.0</v>
      </c>
      <c r="W1126" s="36">
        <v>0.0</v>
      </c>
      <c r="X1126" s="36">
        <v>0.0</v>
      </c>
      <c r="Y1126" s="36">
        <v>0.0</v>
      </c>
    </row>
    <row r="1127">
      <c r="A1127" s="32" t="s">
        <v>1803</v>
      </c>
      <c r="B1127" s="32" t="s">
        <v>1803</v>
      </c>
      <c r="C1127" s="32" t="s">
        <v>1804</v>
      </c>
      <c r="D1127" s="32" t="s">
        <v>1805</v>
      </c>
      <c r="E1127" s="32" t="s">
        <v>5102</v>
      </c>
      <c r="F1127" s="32" t="e">
        <v>#N/A</v>
      </c>
      <c r="G1127" s="39"/>
      <c r="H1127" s="32">
        <v>0.0</v>
      </c>
      <c r="I1127" s="39"/>
      <c r="J1127" s="32" t="s">
        <v>1806</v>
      </c>
      <c r="K1127" s="33" t="s">
        <v>1807</v>
      </c>
      <c r="L1127" s="32" t="e">
        <v>#N/A</v>
      </c>
      <c r="M1127" s="32" t="e">
        <v>#N/A</v>
      </c>
      <c r="N1127" s="32" t="s">
        <v>5109</v>
      </c>
      <c r="O1127" s="32" t="s">
        <v>52</v>
      </c>
      <c r="P1127" s="32">
        <v>35999.0</v>
      </c>
      <c r="Q1127" s="34">
        <v>32399.0</v>
      </c>
      <c r="R1127" s="40">
        <v>34199.0</v>
      </c>
      <c r="S1127" s="35">
        <v>30239.16</v>
      </c>
      <c r="T1127" s="36">
        <v>0.0</v>
      </c>
      <c r="U1127" s="36">
        <v>0.0</v>
      </c>
      <c r="V1127" s="36">
        <v>0.0</v>
      </c>
      <c r="W1127" s="36">
        <v>0.0</v>
      </c>
      <c r="X1127" s="36">
        <v>0.0</v>
      </c>
      <c r="Y1127" s="36">
        <v>0.0</v>
      </c>
    </row>
    <row r="1128">
      <c r="A1128" s="32" t="s">
        <v>1722</v>
      </c>
      <c r="B1128" s="32" t="s">
        <v>1722</v>
      </c>
      <c r="C1128" s="32" t="s">
        <v>1723</v>
      </c>
      <c r="D1128" s="32" t="s">
        <v>1724</v>
      </c>
      <c r="E1128" s="32" t="s">
        <v>5102</v>
      </c>
      <c r="F1128" s="32" t="e">
        <v>#N/A</v>
      </c>
      <c r="G1128" s="39"/>
      <c r="H1128" s="32" t="s">
        <v>1725</v>
      </c>
      <c r="I1128" s="32" t="s">
        <v>5102</v>
      </c>
      <c r="J1128" s="32" t="s">
        <v>5208</v>
      </c>
      <c r="K1128" s="33" t="s">
        <v>1726</v>
      </c>
      <c r="L1128" s="32">
        <v>3.2783878E7</v>
      </c>
      <c r="M1128" s="32" t="s">
        <v>1727</v>
      </c>
      <c r="N1128" s="32" t="s">
        <v>5109</v>
      </c>
      <c r="O1128" s="32" t="s">
        <v>52</v>
      </c>
      <c r="P1128" s="32">
        <v>20999.0</v>
      </c>
      <c r="Q1128" s="34">
        <v>18899.0</v>
      </c>
      <c r="R1128" s="40">
        <v>19899.0</v>
      </c>
      <c r="S1128" s="35">
        <v>17639.16</v>
      </c>
      <c r="T1128" s="36">
        <v>0.0</v>
      </c>
      <c r="U1128" s="36">
        <v>0.0</v>
      </c>
      <c r="V1128" s="36">
        <v>0.0</v>
      </c>
      <c r="W1128" s="36">
        <v>0.0</v>
      </c>
      <c r="X1128" s="36">
        <v>0.0</v>
      </c>
      <c r="Y1128" s="36">
        <v>0.0</v>
      </c>
    </row>
    <row r="1129">
      <c r="A1129" s="32" t="s">
        <v>1696</v>
      </c>
      <c r="B1129" s="32" t="s">
        <v>1696</v>
      </c>
      <c r="C1129" s="32" t="s">
        <v>1697</v>
      </c>
      <c r="D1129" s="32" t="s">
        <v>1698</v>
      </c>
      <c r="E1129" s="32" t="s">
        <v>5102</v>
      </c>
      <c r="F1129" s="32" t="e">
        <v>#N/A</v>
      </c>
      <c r="G1129" s="39"/>
      <c r="H1129" s="32" t="s">
        <v>1699</v>
      </c>
      <c r="I1129" s="32" t="s">
        <v>5102</v>
      </c>
      <c r="J1129" s="32" t="s">
        <v>1700</v>
      </c>
      <c r="K1129" s="33" t="s">
        <v>1701</v>
      </c>
      <c r="L1129" s="32">
        <v>3.2783913E7</v>
      </c>
      <c r="M1129" s="32" t="s">
        <v>1702</v>
      </c>
      <c r="N1129" s="32" t="s">
        <v>5109</v>
      </c>
      <c r="O1129" s="32" t="s">
        <v>52</v>
      </c>
      <c r="P1129" s="32">
        <v>18999.0</v>
      </c>
      <c r="Q1129" s="34">
        <v>17099.0</v>
      </c>
      <c r="R1129" s="40">
        <v>17999.0</v>
      </c>
      <c r="S1129" s="35">
        <v>15959.16</v>
      </c>
      <c r="T1129" s="36">
        <v>0.0</v>
      </c>
      <c r="U1129" s="36">
        <v>0.0</v>
      </c>
      <c r="V1129" s="36">
        <v>0.0</v>
      </c>
      <c r="W1129" s="36">
        <v>0.0</v>
      </c>
      <c r="X1129" s="36">
        <v>0.0</v>
      </c>
      <c r="Y1129" s="36">
        <v>0.0</v>
      </c>
    </row>
    <row r="1130">
      <c r="A1130" s="32" t="s">
        <v>1728</v>
      </c>
      <c r="B1130" s="32" t="s">
        <v>1728</v>
      </c>
      <c r="C1130" s="32" t="s">
        <v>1729</v>
      </c>
      <c r="D1130" s="32" t="s">
        <v>1730</v>
      </c>
      <c r="E1130" s="32" t="s">
        <v>5102</v>
      </c>
      <c r="F1130" s="32" t="e">
        <v>#N/A</v>
      </c>
      <c r="G1130" s="39"/>
      <c r="H1130" s="32" t="s">
        <v>1731</v>
      </c>
      <c r="I1130" s="32" t="s">
        <v>5102</v>
      </c>
      <c r="J1130" s="32" t="s">
        <v>1732</v>
      </c>
      <c r="K1130" s="33" t="s">
        <v>1733</v>
      </c>
      <c r="L1130" s="32">
        <v>3.278401E7</v>
      </c>
      <c r="M1130" s="32" t="s">
        <v>1734</v>
      </c>
      <c r="N1130" s="32" t="s">
        <v>5109</v>
      </c>
      <c r="O1130" s="32" t="s">
        <v>52</v>
      </c>
      <c r="P1130" s="32">
        <v>20999.0</v>
      </c>
      <c r="Q1130" s="34">
        <v>18899.0</v>
      </c>
      <c r="R1130" s="40">
        <v>19899.0</v>
      </c>
      <c r="S1130" s="35">
        <v>17639.16</v>
      </c>
      <c r="T1130" s="36">
        <v>0.0</v>
      </c>
      <c r="U1130" s="36">
        <v>0.0</v>
      </c>
      <c r="V1130" s="36">
        <v>0.0</v>
      </c>
      <c r="W1130" s="36">
        <v>0.0</v>
      </c>
      <c r="X1130" s="36">
        <v>0.0</v>
      </c>
      <c r="Y1130" s="36">
        <v>0.0</v>
      </c>
    </row>
    <row r="1131">
      <c r="A1131" s="32" t="s">
        <v>1735</v>
      </c>
      <c r="B1131" s="32" t="s">
        <v>1735</v>
      </c>
      <c r="C1131" s="32" t="s">
        <v>1736</v>
      </c>
      <c r="D1131" s="32" t="s">
        <v>1737</v>
      </c>
      <c r="E1131" s="32" t="s">
        <v>5102</v>
      </c>
      <c r="F1131" s="32" t="e">
        <v>#N/A</v>
      </c>
      <c r="G1131" s="39"/>
      <c r="H1131" s="32">
        <v>0.0</v>
      </c>
      <c r="I1131" s="39"/>
      <c r="J1131" s="32" t="s">
        <v>1738</v>
      </c>
      <c r="K1131" s="33" t="s">
        <v>1739</v>
      </c>
      <c r="L1131" s="32" t="e">
        <v>#N/A</v>
      </c>
      <c r="M1131" s="32" t="e">
        <v>#N/A</v>
      </c>
      <c r="N1131" s="32" t="s">
        <v>5109</v>
      </c>
      <c r="O1131" s="32" t="s">
        <v>52</v>
      </c>
      <c r="P1131" s="32">
        <v>23499.0</v>
      </c>
      <c r="Q1131" s="34">
        <v>21149.0</v>
      </c>
      <c r="R1131" s="40">
        <v>22299.0</v>
      </c>
      <c r="S1131" s="35">
        <v>19739.16</v>
      </c>
      <c r="T1131" s="36">
        <v>0.0</v>
      </c>
      <c r="U1131" s="36">
        <v>0.0</v>
      </c>
      <c r="V1131" s="36">
        <v>0.0</v>
      </c>
      <c r="W1131" s="36">
        <v>0.0</v>
      </c>
      <c r="X1131" s="36">
        <v>0.0</v>
      </c>
      <c r="Y1131" s="36">
        <v>0.0</v>
      </c>
    </row>
    <row r="1132">
      <c r="A1132" s="32" t="s">
        <v>1710</v>
      </c>
      <c r="B1132" s="32" t="s">
        <v>1710</v>
      </c>
      <c r="C1132" s="32" t="s">
        <v>1711</v>
      </c>
      <c r="D1132" s="32" t="s">
        <v>1712</v>
      </c>
      <c r="E1132" s="32" t="s">
        <v>5102</v>
      </c>
      <c r="F1132" s="32" t="e">
        <v>#N/A</v>
      </c>
      <c r="G1132" s="39"/>
      <c r="H1132" s="32">
        <v>0.0</v>
      </c>
      <c r="I1132" s="39"/>
      <c r="J1132" s="32" t="s">
        <v>1713</v>
      </c>
      <c r="K1132" s="33" t="s">
        <v>1714</v>
      </c>
      <c r="L1132" s="32" t="e">
        <v>#N/A</v>
      </c>
      <c r="M1132" s="32" t="e">
        <v>#N/A</v>
      </c>
      <c r="N1132" s="32" t="s">
        <v>5109</v>
      </c>
      <c r="O1132" s="32" t="s">
        <v>52</v>
      </c>
      <c r="P1132" s="32">
        <v>23499.0</v>
      </c>
      <c r="Q1132" s="34">
        <v>21149.0</v>
      </c>
      <c r="R1132" s="40">
        <v>22299.0</v>
      </c>
      <c r="S1132" s="35">
        <v>19739.16</v>
      </c>
      <c r="T1132" s="36">
        <v>0.0</v>
      </c>
      <c r="U1132" s="36">
        <v>0.0</v>
      </c>
      <c r="V1132" s="36">
        <v>0.0</v>
      </c>
      <c r="W1132" s="36">
        <v>0.0</v>
      </c>
      <c r="X1132" s="36">
        <v>0.0</v>
      </c>
      <c r="Y1132" s="36">
        <v>0.0</v>
      </c>
    </row>
    <row r="1133">
      <c r="A1133" s="32" t="s">
        <v>1617</v>
      </c>
      <c r="B1133" s="32" t="s">
        <v>1617</v>
      </c>
      <c r="C1133" s="32" t="s">
        <v>1618</v>
      </c>
      <c r="D1133" s="32" t="s">
        <v>1619</v>
      </c>
      <c r="E1133" s="32" t="s">
        <v>5102</v>
      </c>
      <c r="F1133" s="32" t="e">
        <v>#N/A</v>
      </c>
      <c r="G1133" s="39"/>
      <c r="H1133" s="32">
        <v>0.0</v>
      </c>
      <c r="I1133" s="39"/>
      <c r="J1133" s="32" t="s">
        <v>1620</v>
      </c>
      <c r="K1133" s="33" t="s">
        <v>1621</v>
      </c>
      <c r="L1133" s="32" t="e">
        <v>#N/A</v>
      </c>
      <c r="M1133" s="32" t="e">
        <v>#N/A</v>
      </c>
      <c r="N1133" s="32" t="s">
        <v>5112</v>
      </c>
      <c r="O1133" s="32" t="s">
        <v>52</v>
      </c>
      <c r="P1133" s="32">
        <v>29999.0</v>
      </c>
      <c r="Q1133" s="34">
        <v>26999.0</v>
      </c>
      <c r="R1133" s="40">
        <v>28499.0</v>
      </c>
      <c r="S1133" s="35">
        <v>23099.23</v>
      </c>
      <c r="T1133" s="36">
        <v>0.0</v>
      </c>
      <c r="U1133" s="36">
        <v>0.0</v>
      </c>
      <c r="V1133" s="36">
        <v>0.0</v>
      </c>
      <c r="W1133" s="36">
        <v>0.0</v>
      </c>
      <c r="X1133" s="36">
        <v>0.0</v>
      </c>
      <c r="Y1133" s="36">
        <v>0.0</v>
      </c>
    </row>
    <row r="1134">
      <c r="A1134" s="32" t="s">
        <v>1590</v>
      </c>
      <c r="B1134" s="32" t="s">
        <v>1590</v>
      </c>
      <c r="C1134" s="32" t="s">
        <v>1591</v>
      </c>
      <c r="D1134" s="32" t="s">
        <v>1592</v>
      </c>
      <c r="E1134" s="32" t="s">
        <v>5102</v>
      </c>
      <c r="F1134" s="32" t="e">
        <v>#N/A</v>
      </c>
      <c r="G1134" s="39"/>
      <c r="H1134" s="32" t="s">
        <v>1590</v>
      </c>
      <c r="I1134" s="32" t="s">
        <v>5102</v>
      </c>
      <c r="J1134" s="32" t="s">
        <v>1590</v>
      </c>
      <c r="K1134" s="33" t="s">
        <v>1593</v>
      </c>
      <c r="L1134" s="32">
        <v>3.2784178E7</v>
      </c>
      <c r="M1134" s="32" t="s">
        <v>1594</v>
      </c>
      <c r="N1134" s="32" t="s">
        <v>5112</v>
      </c>
      <c r="O1134" s="32" t="s">
        <v>52</v>
      </c>
      <c r="P1134" s="32">
        <v>25999.0</v>
      </c>
      <c r="Q1134" s="34">
        <v>23399.0</v>
      </c>
      <c r="R1134" s="40">
        <v>24699.0</v>
      </c>
      <c r="S1134" s="35">
        <v>20019.23</v>
      </c>
      <c r="T1134" s="36">
        <v>0.0</v>
      </c>
      <c r="U1134" s="36">
        <v>0.0</v>
      </c>
      <c r="V1134" s="36">
        <v>0.0</v>
      </c>
      <c r="W1134" s="36">
        <v>0.0</v>
      </c>
      <c r="X1134" s="36">
        <v>0.0</v>
      </c>
      <c r="Y1134" s="36">
        <v>0.0</v>
      </c>
    </row>
    <row r="1135">
      <c r="A1135" s="32" t="s">
        <v>1624</v>
      </c>
      <c r="B1135" s="32" t="s">
        <v>1624</v>
      </c>
      <c r="C1135" s="32" t="s">
        <v>1625</v>
      </c>
      <c r="D1135" s="32" t="s">
        <v>1626</v>
      </c>
      <c r="E1135" s="32" t="s">
        <v>5102</v>
      </c>
      <c r="F1135" s="32" t="e">
        <v>#N/A</v>
      </c>
      <c r="G1135" s="39"/>
      <c r="H1135" s="32">
        <v>0.0</v>
      </c>
      <c r="I1135" s="39"/>
      <c r="J1135" s="32" t="s">
        <v>1627</v>
      </c>
      <c r="K1135" s="33" t="s">
        <v>1628</v>
      </c>
      <c r="L1135" s="32" t="e">
        <v>#N/A</v>
      </c>
      <c r="M1135" s="32" t="e">
        <v>#N/A</v>
      </c>
      <c r="N1135" s="32" t="s">
        <v>5112</v>
      </c>
      <c r="O1135" s="32" t="s">
        <v>52</v>
      </c>
      <c r="P1135" s="32">
        <v>29999.0</v>
      </c>
      <c r="Q1135" s="34">
        <v>26999.0</v>
      </c>
      <c r="R1135" s="40">
        <v>28499.0</v>
      </c>
      <c r="S1135" s="35">
        <v>23099.23</v>
      </c>
      <c r="T1135" s="36">
        <v>0.0</v>
      </c>
      <c r="U1135" s="36">
        <v>0.0</v>
      </c>
      <c r="V1135" s="36">
        <v>0.0</v>
      </c>
      <c r="W1135" s="36">
        <v>0.0</v>
      </c>
      <c r="X1135" s="36">
        <v>0.0</v>
      </c>
      <c r="Y1135" s="36">
        <v>0.0</v>
      </c>
    </row>
    <row r="1136">
      <c r="A1136" s="32" t="s">
        <v>5015</v>
      </c>
      <c r="B1136" s="32" t="s">
        <v>5015</v>
      </c>
      <c r="C1136" s="32" t="s">
        <v>5016</v>
      </c>
      <c r="D1136" s="46" t="s">
        <v>5209</v>
      </c>
      <c r="E1136" s="47" t="s">
        <v>5102</v>
      </c>
      <c r="F1136" s="38"/>
      <c r="G1136" s="38"/>
      <c r="H1136" s="38"/>
      <c r="I1136" s="38"/>
      <c r="J1136" s="32" t="s">
        <v>5018</v>
      </c>
      <c r="K1136" s="38"/>
      <c r="L1136" s="38"/>
      <c r="M1136" s="38"/>
      <c r="N1136" s="32" t="s">
        <v>5112</v>
      </c>
      <c r="O1136" s="32" t="s">
        <v>52</v>
      </c>
      <c r="P1136" s="32">
        <v>26899.0</v>
      </c>
      <c r="Q1136" s="44">
        <v>24209.0</v>
      </c>
      <c r="R1136" s="40">
        <v>25599.0</v>
      </c>
      <c r="S1136" s="35">
        <v>20712.23</v>
      </c>
      <c r="T1136" s="36">
        <v>0.0</v>
      </c>
      <c r="U1136" s="36">
        <v>0.0</v>
      </c>
      <c r="V1136" s="36">
        <v>0.0</v>
      </c>
      <c r="W1136" s="36">
        <v>0.0</v>
      </c>
      <c r="X1136" s="36">
        <v>0.0</v>
      </c>
      <c r="Y1136" s="36">
        <v>0.0</v>
      </c>
    </row>
    <row r="1137">
      <c r="A1137" s="32" t="s">
        <v>5019</v>
      </c>
      <c r="B1137" s="32" t="s">
        <v>5019</v>
      </c>
      <c r="C1137" s="32" t="s">
        <v>5020</v>
      </c>
      <c r="D1137" s="46" t="s">
        <v>5210</v>
      </c>
      <c r="E1137" s="47" t="s">
        <v>5102</v>
      </c>
      <c r="F1137" s="38"/>
      <c r="G1137" s="38"/>
      <c r="H1137" s="38"/>
      <c r="I1137" s="38"/>
      <c r="J1137" s="32" t="s">
        <v>5022</v>
      </c>
      <c r="K1137" s="38"/>
      <c r="L1137" s="38"/>
      <c r="M1137" s="38"/>
      <c r="N1137" s="32" t="s">
        <v>5112</v>
      </c>
      <c r="O1137" s="32" t="s">
        <v>52</v>
      </c>
      <c r="P1137" s="32">
        <v>26899.0</v>
      </c>
      <c r="Q1137" s="44">
        <v>24209.0</v>
      </c>
      <c r="R1137" s="40">
        <v>25599.0</v>
      </c>
      <c r="S1137" s="35">
        <v>20712.23</v>
      </c>
      <c r="T1137" s="36">
        <v>0.0</v>
      </c>
      <c r="U1137" s="36">
        <v>0.0</v>
      </c>
      <c r="V1137" s="36">
        <v>0.0</v>
      </c>
      <c r="W1137" s="36">
        <v>0.0</v>
      </c>
      <c r="X1137" s="36">
        <v>0.0</v>
      </c>
      <c r="Y1137" s="36">
        <v>0.0</v>
      </c>
    </row>
    <row r="1138">
      <c r="A1138" s="32" t="s">
        <v>1612</v>
      </c>
      <c r="B1138" s="32" t="s">
        <v>1612</v>
      </c>
      <c r="C1138" s="32" t="s">
        <v>1613</v>
      </c>
      <c r="D1138" s="32" t="s">
        <v>1614</v>
      </c>
      <c r="E1138" s="47" t="s">
        <v>5102</v>
      </c>
      <c r="F1138" s="32" t="e">
        <v>#N/A</v>
      </c>
      <c r="G1138" s="39"/>
      <c r="H1138" s="32">
        <v>0.0</v>
      </c>
      <c r="I1138" s="39"/>
      <c r="J1138" s="32" t="s">
        <v>1615</v>
      </c>
      <c r="K1138" s="33" t="s">
        <v>1616</v>
      </c>
      <c r="L1138" s="32" t="e">
        <v>#N/A</v>
      </c>
      <c r="M1138" s="32" t="e">
        <v>#N/A</v>
      </c>
      <c r="N1138" s="32" t="s">
        <v>5112</v>
      </c>
      <c r="O1138" s="32" t="s">
        <v>52</v>
      </c>
      <c r="P1138" s="32">
        <v>29999.0</v>
      </c>
      <c r="Q1138" s="34">
        <v>26999.0</v>
      </c>
      <c r="R1138" s="40">
        <v>28499.0</v>
      </c>
      <c r="S1138" s="35">
        <v>23099.23</v>
      </c>
      <c r="T1138" s="36">
        <v>0.0</v>
      </c>
      <c r="U1138" s="36">
        <v>0.0</v>
      </c>
      <c r="V1138" s="36">
        <v>0.0</v>
      </c>
      <c r="W1138" s="36">
        <v>0.0</v>
      </c>
      <c r="X1138" s="36">
        <v>0.0</v>
      </c>
      <c r="Y1138" s="36">
        <v>0.0</v>
      </c>
    </row>
    <row r="1139">
      <c r="A1139" s="32" t="s">
        <v>5023</v>
      </c>
      <c r="B1139" s="32" t="s">
        <v>5023</v>
      </c>
      <c r="C1139" s="32" t="s">
        <v>5024</v>
      </c>
      <c r="D1139" s="46" t="s">
        <v>5211</v>
      </c>
      <c r="E1139" s="47" t="s">
        <v>5102</v>
      </c>
      <c r="F1139" s="38"/>
      <c r="G1139" s="38"/>
      <c r="H1139" s="37" t="s">
        <v>5023</v>
      </c>
      <c r="I1139" s="32" t="s">
        <v>5102</v>
      </c>
      <c r="J1139" s="32" t="s">
        <v>5026</v>
      </c>
      <c r="K1139" s="38"/>
      <c r="L1139" s="38"/>
      <c r="M1139" s="38"/>
      <c r="N1139" s="32" t="s">
        <v>5112</v>
      </c>
      <c r="O1139" s="32" t="s">
        <v>52</v>
      </c>
      <c r="P1139" s="32">
        <v>16999.0</v>
      </c>
      <c r="Q1139" s="44">
        <v>15299.0</v>
      </c>
      <c r="R1139" s="40">
        <v>16099.0</v>
      </c>
      <c r="S1139" s="35">
        <v>13089.23</v>
      </c>
      <c r="T1139" s="36">
        <v>0.0</v>
      </c>
      <c r="U1139" s="36">
        <v>0.0</v>
      </c>
      <c r="V1139" s="36">
        <v>0.0</v>
      </c>
      <c r="W1139" s="36">
        <v>0.0</v>
      </c>
      <c r="X1139" s="36">
        <v>0.0</v>
      </c>
      <c r="Y1139" s="36">
        <v>0.0</v>
      </c>
    </row>
    <row r="1140">
      <c r="A1140" s="32" t="s">
        <v>1550</v>
      </c>
      <c r="B1140" s="32" t="s">
        <v>1550</v>
      </c>
      <c r="C1140" s="32" t="s">
        <v>1551</v>
      </c>
      <c r="D1140" s="32" t="s">
        <v>1552</v>
      </c>
      <c r="E1140" s="32" t="s">
        <v>5102</v>
      </c>
      <c r="F1140" s="32" t="e">
        <v>#N/A</v>
      </c>
      <c r="G1140" s="39"/>
      <c r="H1140" s="32" t="s">
        <v>1550</v>
      </c>
      <c r="I1140" s="32" t="s">
        <v>5102</v>
      </c>
      <c r="J1140" s="32" t="s">
        <v>1550</v>
      </c>
      <c r="K1140" s="33" t="s">
        <v>1553</v>
      </c>
      <c r="L1140" s="32">
        <v>3.2783946E7</v>
      </c>
      <c r="M1140" s="32" t="s">
        <v>1554</v>
      </c>
      <c r="N1140" s="32" t="s">
        <v>5112</v>
      </c>
      <c r="O1140" s="32" t="s">
        <v>52</v>
      </c>
      <c r="P1140" s="32">
        <v>16999.0</v>
      </c>
      <c r="Q1140" s="34">
        <v>15299.0</v>
      </c>
      <c r="R1140" s="40">
        <v>16099.0</v>
      </c>
      <c r="S1140" s="35">
        <v>13089.23</v>
      </c>
      <c r="T1140" s="36">
        <v>0.0</v>
      </c>
      <c r="U1140" s="36">
        <v>0.0</v>
      </c>
      <c r="V1140" s="36">
        <v>0.0</v>
      </c>
      <c r="W1140" s="36">
        <v>0.0</v>
      </c>
      <c r="X1140" s="36">
        <v>0.0</v>
      </c>
      <c r="Y1140" s="36">
        <v>0.0</v>
      </c>
    </row>
    <row r="1141">
      <c r="A1141" s="32" t="s">
        <v>4807</v>
      </c>
      <c r="B1141" s="32" t="s">
        <v>4807</v>
      </c>
      <c r="C1141" s="32" t="s">
        <v>4808</v>
      </c>
      <c r="D1141" s="32" t="s">
        <v>4809</v>
      </c>
      <c r="E1141" s="32" t="s">
        <v>5102</v>
      </c>
      <c r="F1141" s="32" t="e">
        <v>#N/A</v>
      </c>
      <c r="G1141" s="39"/>
      <c r="H1141" s="32" t="e">
        <v>#N/A</v>
      </c>
      <c r="I1141" s="39"/>
      <c r="J1141" s="32" t="s">
        <v>5212</v>
      </c>
      <c r="K1141" s="33" t="s">
        <v>4810</v>
      </c>
      <c r="L1141" s="32" t="e">
        <v>#N/A</v>
      </c>
      <c r="M1141" s="32" t="e">
        <v>#N/A</v>
      </c>
      <c r="N1141" s="32" t="s">
        <v>5112</v>
      </c>
      <c r="O1141" s="32" t="s">
        <v>52</v>
      </c>
      <c r="P1141" s="32">
        <v>20499.0</v>
      </c>
      <c r="Q1141" s="34">
        <v>18449.0</v>
      </c>
      <c r="R1141" s="40">
        <v>19499.0</v>
      </c>
      <c r="S1141" s="35">
        <v>15784.23</v>
      </c>
      <c r="T1141" s="36">
        <v>0.0</v>
      </c>
      <c r="U1141" s="36">
        <v>0.0</v>
      </c>
      <c r="V1141" s="36">
        <v>0.0</v>
      </c>
      <c r="W1141" s="36">
        <v>0.0</v>
      </c>
      <c r="X1141" s="36">
        <v>0.0</v>
      </c>
      <c r="Y1141" s="36">
        <v>0.0</v>
      </c>
    </row>
    <row r="1142">
      <c r="A1142" s="32" t="s">
        <v>4789</v>
      </c>
      <c r="B1142" s="32" t="s">
        <v>4789</v>
      </c>
      <c r="C1142" s="32" t="s">
        <v>4790</v>
      </c>
      <c r="D1142" s="32" t="s">
        <v>4791</v>
      </c>
      <c r="E1142" s="32" t="s">
        <v>5073</v>
      </c>
      <c r="F1142" s="32" t="e">
        <v>#N/A</v>
      </c>
      <c r="G1142" s="39"/>
      <c r="H1142" s="32" t="e">
        <v>#N/A</v>
      </c>
      <c r="I1142" s="39"/>
      <c r="J1142" s="32" t="s">
        <v>5213</v>
      </c>
      <c r="K1142" s="33" t="s">
        <v>4792</v>
      </c>
      <c r="L1142" s="32" t="e">
        <v>#N/A</v>
      </c>
      <c r="M1142" s="32" t="e">
        <v>#N/A</v>
      </c>
      <c r="N1142" s="32" t="s">
        <v>5112</v>
      </c>
      <c r="O1142" s="32" t="s">
        <v>52</v>
      </c>
      <c r="P1142" s="32">
        <v>17899.0</v>
      </c>
      <c r="Q1142" s="34">
        <v>16109.0</v>
      </c>
      <c r="R1142" s="40">
        <v>16999.0</v>
      </c>
      <c r="S1142" s="35">
        <v>13782.23</v>
      </c>
      <c r="T1142" s="36">
        <v>0.0</v>
      </c>
      <c r="U1142" s="36">
        <v>0.0</v>
      </c>
      <c r="V1142" s="36">
        <v>0.0</v>
      </c>
      <c r="W1142" s="36">
        <v>0.0</v>
      </c>
      <c r="X1142" s="36">
        <v>0.0</v>
      </c>
      <c r="Y1142" s="36">
        <v>0.0</v>
      </c>
    </row>
    <row r="1143">
      <c r="A1143" s="32" t="s">
        <v>3014</v>
      </c>
      <c r="B1143" s="32" t="s">
        <v>3014</v>
      </c>
      <c r="C1143" s="32" t="s">
        <v>3015</v>
      </c>
      <c r="D1143" s="32" t="s">
        <v>3016</v>
      </c>
      <c r="E1143" s="32" t="s">
        <v>5102</v>
      </c>
      <c r="F1143" s="32" t="e">
        <v>#N/A</v>
      </c>
      <c r="G1143" s="39"/>
      <c r="H1143" s="32" t="s">
        <v>3017</v>
      </c>
      <c r="I1143" s="32" t="s">
        <v>5102</v>
      </c>
      <c r="J1143" s="32" t="s">
        <v>3018</v>
      </c>
      <c r="K1143" s="33" t="s">
        <v>3019</v>
      </c>
      <c r="L1143" s="32" t="e">
        <v>#N/A</v>
      </c>
      <c r="M1143" s="32" t="e">
        <v>#N/A</v>
      </c>
      <c r="N1143" s="32" t="s">
        <v>5086</v>
      </c>
      <c r="O1143" s="32" t="s">
        <v>4730</v>
      </c>
      <c r="P1143" s="32">
        <v>2089.0</v>
      </c>
      <c r="Q1143" s="34">
        <v>1899.0</v>
      </c>
      <c r="R1143" s="40">
        <v>1899.0</v>
      </c>
      <c r="S1143" s="35">
        <v>1775.65</v>
      </c>
      <c r="T1143" s="36">
        <v>0.0</v>
      </c>
      <c r="U1143" s="36">
        <v>0.0</v>
      </c>
      <c r="V1143" s="36">
        <v>0.0</v>
      </c>
      <c r="W1143" s="36">
        <v>0.0</v>
      </c>
      <c r="X1143" s="36">
        <v>0.0</v>
      </c>
      <c r="Y1143" s="36">
        <v>0.0</v>
      </c>
    </row>
    <row r="1144">
      <c r="A1144" s="32" t="s">
        <v>3367</v>
      </c>
      <c r="B1144" s="32" t="s">
        <v>3367</v>
      </c>
      <c r="C1144" s="32" t="s">
        <v>3368</v>
      </c>
      <c r="D1144" s="32" t="s">
        <v>3369</v>
      </c>
      <c r="E1144" s="32" t="s">
        <v>5102</v>
      </c>
      <c r="F1144" s="32" t="e">
        <v>#N/A</v>
      </c>
      <c r="G1144" s="39"/>
      <c r="H1144" s="32" t="s">
        <v>3370</v>
      </c>
      <c r="I1144" s="32" t="s">
        <v>5102</v>
      </c>
      <c r="J1144" s="32" t="s">
        <v>3371</v>
      </c>
      <c r="K1144" s="33" t="s">
        <v>3372</v>
      </c>
      <c r="L1144" s="32">
        <v>3.1818407E7</v>
      </c>
      <c r="M1144" s="32" t="e">
        <v>#N/A</v>
      </c>
      <c r="N1144" s="32" t="s">
        <v>5086</v>
      </c>
      <c r="O1144" s="32" t="s">
        <v>4730</v>
      </c>
      <c r="P1144" s="32">
        <v>2189.0</v>
      </c>
      <c r="Q1144" s="34">
        <v>1999.0</v>
      </c>
      <c r="R1144" s="40">
        <v>1999.0</v>
      </c>
      <c r="S1144" s="35">
        <v>1860.65</v>
      </c>
      <c r="T1144" s="36">
        <v>0.0</v>
      </c>
      <c r="U1144" s="36">
        <v>0.0</v>
      </c>
      <c r="V1144" s="36">
        <v>0.0</v>
      </c>
      <c r="W1144" s="36">
        <v>0.0</v>
      </c>
      <c r="X1144" s="36">
        <v>0.0</v>
      </c>
      <c r="Y1144" s="36">
        <v>0.0</v>
      </c>
    </row>
    <row r="1145">
      <c r="A1145" s="32" t="s">
        <v>3343</v>
      </c>
      <c r="B1145" s="32" t="s">
        <v>3343</v>
      </c>
      <c r="C1145" s="32" t="s">
        <v>3344</v>
      </c>
      <c r="D1145" s="32" t="s">
        <v>3345</v>
      </c>
      <c r="E1145" s="32" t="s">
        <v>5102</v>
      </c>
      <c r="F1145" s="32" t="e">
        <v>#N/A</v>
      </c>
      <c r="G1145" s="39"/>
      <c r="H1145" s="32" t="s">
        <v>3346</v>
      </c>
      <c r="I1145" s="32" t="s">
        <v>5102</v>
      </c>
      <c r="J1145" s="32" t="s">
        <v>3347</v>
      </c>
      <c r="K1145" s="33" t="s">
        <v>3348</v>
      </c>
      <c r="L1145" s="32">
        <v>3.1818476E7</v>
      </c>
      <c r="M1145" s="32" t="e">
        <v>#N/A</v>
      </c>
      <c r="N1145" s="32" t="s">
        <v>5086</v>
      </c>
      <c r="O1145" s="32" t="s">
        <v>4730</v>
      </c>
      <c r="P1145" s="32">
        <v>2189.0</v>
      </c>
      <c r="Q1145" s="34">
        <v>1999.0</v>
      </c>
      <c r="R1145" s="40">
        <v>1999.0</v>
      </c>
      <c r="S1145" s="35">
        <v>1860.65</v>
      </c>
      <c r="T1145" s="36">
        <v>0.0</v>
      </c>
      <c r="U1145" s="36">
        <v>0.0</v>
      </c>
      <c r="V1145" s="36">
        <v>0.0</v>
      </c>
      <c r="W1145" s="36">
        <v>0.0</v>
      </c>
      <c r="X1145" s="36">
        <v>0.0</v>
      </c>
      <c r="Y1145" s="36">
        <v>0.0</v>
      </c>
    </row>
    <row r="1146">
      <c r="A1146" s="32" t="s">
        <v>3319</v>
      </c>
      <c r="B1146" s="32" t="s">
        <v>3319</v>
      </c>
      <c r="C1146" s="32" t="s">
        <v>3320</v>
      </c>
      <c r="D1146" s="32" t="s">
        <v>3321</v>
      </c>
      <c r="E1146" s="32" t="s">
        <v>5102</v>
      </c>
      <c r="F1146" s="32" t="e">
        <v>#N/A</v>
      </c>
      <c r="G1146" s="39"/>
      <c r="H1146" s="32" t="s">
        <v>3322</v>
      </c>
      <c r="I1146" s="32" t="s">
        <v>5102</v>
      </c>
      <c r="J1146" s="32" t="s">
        <v>3323</v>
      </c>
      <c r="K1146" s="33" t="s">
        <v>3324</v>
      </c>
      <c r="L1146" s="32">
        <v>3.1818442E7</v>
      </c>
      <c r="M1146" s="32" t="e">
        <v>#N/A</v>
      </c>
      <c r="N1146" s="32" t="s">
        <v>5086</v>
      </c>
      <c r="O1146" s="32" t="s">
        <v>4730</v>
      </c>
      <c r="P1146" s="32">
        <v>1989.0</v>
      </c>
      <c r="Q1146" s="34">
        <v>1799.0</v>
      </c>
      <c r="R1146" s="40">
        <v>1799.0</v>
      </c>
      <c r="S1146" s="35">
        <v>1690.65</v>
      </c>
      <c r="T1146" s="36">
        <v>0.0</v>
      </c>
      <c r="U1146" s="36">
        <v>0.0</v>
      </c>
      <c r="V1146" s="36">
        <v>0.0</v>
      </c>
      <c r="W1146" s="36">
        <v>0.0</v>
      </c>
      <c r="X1146" s="36">
        <v>0.0</v>
      </c>
      <c r="Y1146" s="36">
        <v>0.0</v>
      </c>
    </row>
    <row r="1147">
      <c r="A1147" s="32" t="s">
        <v>3223</v>
      </c>
      <c r="B1147" s="32" t="s">
        <v>3223</v>
      </c>
      <c r="C1147" s="32" t="s">
        <v>3224</v>
      </c>
      <c r="D1147" s="32" t="s">
        <v>3225</v>
      </c>
      <c r="E1147" s="32" t="s">
        <v>5102</v>
      </c>
      <c r="F1147" s="32" t="e">
        <v>#N/A</v>
      </c>
      <c r="G1147" s="39"/>
      <c r="H1147" s="32" t="s">
        <v>3226</v>
      </c>
      <c r="I1147" s="32" t="s">
        <v>5102</v>
      </c>
      <c r="J1147" s="32" t="s">
        <v>3227</v>
      </c>
      <c r="K1147" s="33" t="s">
        <v>3228</v>
      </c>
      <c r="L1147" s="32" t="e">
        <v>#N/A</v>
      </c>
      <c r="M1147" s="32" t="e">
        <v>#N/A</v>
      </c>
      <c r="N1147" s="32" t="s">
        <v>5086</v>
      </c>
      <c r="O1147" s="32" t="s">
        <v>4730</v>
      </c>
      <c r="P1147" s="32">
        <v>1389.0</v>
      </c>
      <c r="Q1147" s="34">
        <v>1249.0</v>
      </c>
      <c r="R1147" s="40">
        <v>1299.0</v>
      </c>
      <c r="S1147" s="35">
        <v>1180.65</v>
      </c>
      <c r="T1147" s="36">
        <v>0.0</v>
      </c>
      <c r="U1147" s="36">
        <v>0.0</v>
      </c>
      <c r="V1147" s="36">
        <v>0.0</v>
      </c>
      <c r="W1147" s="36">
        <v>0.0</v>
      </c>
      <c r="X1147" s="36">
        <v>0.0</v>
      </c>
      <c r="Y1147" s="36">
        <v>0.0</v>
      </c>
    </row>
    <row r="1148">
      <c r="A1148" s="32" t="s">
        <v>3756</v>
      </c>
      <c r="B1148" s="32" t="s">
        <v>3756</v>
      </c>
      <c r="C1148" s="32" t="s">
        <v>3757</v>
      </c>
      <c r="D1148" s="32" t="s">
        <v>3758</v>
      </c>
      <c r="E1148" s="32" t="s">
        <v>5102</v>
      </c>
      <c r="F1148" s="32" t="e">
        <v>#N/A</v>
      </c>
      <c r="G1148" s="39"/>
      <c r="H1148" s="32" t="s">
        <v>3756</v>
      </c>
      <c r="I1148" s="32" t="s">
        <v>5102</v>
      </c>
      <c r="J1148" s="32" t="s">
        <v>3759</v>
      </c>
      <c r="K1148" s="33" t="s">
        <v>3760</v>
      </c>
      <c r="L1148" s="32" t="e">
        <v>#N/A</v>
      </c>
      <c r="M1148" s="32" t="e">
        <v>#N/A</v>
      </c>
      <c r="N1148" s="32" t="s">
        <v>5086</v>
      </c>
      <c r="O1148" s="32" t="s">
        <v>4730</v>
      </c>
      <c r="P1148" s="32">
        <v>499.0</v>
      </c>
      <c r="Q1148" s="34">
        <v>449.0</v>
      </c>
      <c r="R1148" s="35">
        <v>499.0</v>
      </c>
      <c r="S1148" s="35">
        <v>424.15</v>
      </c>
      <c r="T1148" s="36">
        <v>0.0</v>
      </c>
      <c r="U1148" s="36">
        <v>0.0</v>
      </c>
      <c r="V1148" s="36">
        <v>0.0</v>
      </c>
      <c r="W1148" s="36">
        <v>0.0</v>
      </c>
      <c r="X1148" s="36">
        <v>0.0</v>
      </c>
      <c r="Y1148" s="36">
        <v>0.0</v>
      </c>
    </row>
    <row r="1149">
      <c r="A1149" s="32" t="s">
        <v>3736</v>
      </c>
      <c r="B1149" s="32" t="s">
        <v>3736</v>
      </c>
      <c r="C1149" s="32" t="s">
        <v>3737</v>
      </c>
      <c r="D1149" s="32" t="s">
        <v>3738</v>
      </c>
      <c r="E1149" s="32" t="s">
        <v>5102</v>
      </c>
      <c r="F1149" s="32" t="e">
        <v>#N/A</v>
      </c>
      <c r="G1149" s="39"/>
      <c r="H1149" s="32" t="s">
        <v>3736</v>
      </c>
      <c r="I1149" s="32" t="s">
        <v>5102</v>
      </c>
      <c r="J1149" s="32" t="s">
        <v>3739</v>
      </c>
      <c r="K1149" s="33" t="s">
        <v>3740</v>
      </c>
      <c r="L1149" s="32" t="e">
        <v>#N/A</v>
      </c>
      <c r="M1149" s="32" t="e">
        <v>#N/A</v>
      </c>
      <c r="N1149" s="32" t="s">
        <v>5086</v>
      </c>
      <c r="O1149" s="32" t="s">
        <v>4730</v>
      </c>
      <c r="P1149" s="32">
        <v>649.0</v>
      </c>
      <c r="Q1149" s="34">
        <v>599.0</v>
      </c>
      <c r="R1149" s="35">
        <v>599.0</v>
      </c>
      <c r="S1149" s="35">
        <v>551.65</v>
      </c>
      <c r="T1149" s="36">
        <v>0.0</v>
      </c>
      <c r="U1149" s="36">
        <v>0.0</v>
      </c>
      <c r="V1149" s="36">
        <v>0.0</v>
      </c>
      <c r="W1149" s="36">
        <v>0.0</v>
      </c>
      <c r="X1149" s="36">
        <v>0.0</v>
      </c>
      <c r="Y1149" s="36">
        <v>0.0</v>
      </c>
    </row>
    <row r="1150">
      <c r="A1150" s="32" t="s">
        <v>3614</v>
      </c>
      <c r="B1150" s="32" t="s">
        <v>3614</v>
      </c>
      <c r="C1150" s="32" t="s">
        <v>3615</v>
      </c>
      <c r="D1150" s="32" t="s">
        <v>3616</v>
      </c>
      <c r="E1150" s="32" t="s">
        <v>5102</v>
      </c>
      <c r="F1150" s="32" t="e">
        <v>#N/A</v>
      </c>
      <c r="G1150" s="39"/>
      <c r="H1150" s="32" t="s">
        <v>3614</v>
      </c>
      <c r="I1150" s="32" t="s">
        <v>5102</v>
      </c>
      <c r="J1150" s="32" t="s">
        <v>3617</v>
      </c>
      <c r="K1150" s="33" t="s">
        <v>3618</v>
      </c>
      <c r="L1150" s="32" t="e">
        <v>#N/A</v>
      </c>
      <c r="M1150" s="32" t="e">
        <v>#N/A</v>
      </c>
      <c r="N1150" s="32" t="s">
        <v>5086</v>
      </c>
      <c r="O1150" s="32" t="s">
        <v>4730</v>
      </c>
      <c r="P1150" s="32">
        <v>549.0</v>
      </c>
      <c r="Q1150" s="34">
        <v>499.0</v>
      </c>
      <c r="R1150" s="35">
        <v>499.0</v>
      </c>
      <c r="S1150" s="35">
        <v>466.65</v>
      </c>
      <c r="T1150" s="36">
        <v>0.0</v>
      </c>
      <c r="U1150" s="36">
        <v>0.0</v>
      </c>
      <c r="V1150" s="36">
        <v>0.0</v>
      </c>
      <c r="W1150" s="36">
        <v>0.0</v>
      </c>
      <c r="X1150" s="36">
        <v>0.0</v>
      </c>
      <c r="Y1150" s="36">
        <v>0.0</v>
      </c>
    </row>
    <row r="1151">
      <c r="A1151" s="32" t="s">
        <v>3044</v>
      </c>
      <c r="B1151" s="32" t="s">
        <v>3044</v>
      </c>
      <c r="C1151" s="32" t="s">
        <v>3045</v>
      </c>
      <c r="D1151" s="32" t="s">
        <v>3046</v>
      </c>
      <c r="E1151" s="32" t="s">
        <v>5102</v>
      </c>
      <c r="F1151" s="32" t="e">
        <v>#N/A</v>
      </c>
      <c r="G1151" s="39"/>
      <c r="H1151" s="32" t="s">
        <v>3047</v>
      </c>
      <c r="I1151" s="32" t="s">
        <v>5102</v>
      </c>
      <c r="J1151" s="32" t="s">
        <v>3048</v>
      </c>
      <c r="K1151" s="33" t="s">
        <v>3049</v>
      </c>
      <c r="L1151" s="32" t="e">
        <v>#N/A</v>
      </c>
      <c r="M1151" s="32" t="e">
        <v>#N/A</v>
      </c>
      <c r="N1151" s="32" t="s">
        <v>5127</v>
      </c>
      <c r="O1151" s="32" t="s">
        <v>4730</v>
      </c>
      <c r="P1151" s="32">
        <v>2989.0</v>
      </c>
      <c r="Q1151" s="34">
        <v>2299.0</v>
      </c>
      <c r="R1151" s="40">
        <v>2299.0</v>
      </c>
      <c r="S1151" s="35">
        <v>2199.0</v>
      </c>
      <c r="T1151" s="36">
        <v>0.0</v>
      </c>
      <c r="U1151" s="36">
        <v>0.0</v>
      </c>
      <c r="V1151" s="36">
        <v>0.0</v>
      </c>
      <c r="W1151" s="36">
        <v>0.0</v>
      </c>
      <c r="X1151" s="36">
        <v>0.0</v>
      </c>
      <c r="Y1151" s="36">
        <v>0.0</v>
      </c>
    </row>
    <row r="1152">
      <c r="A1152" s="32" t="s">
        <v>3385</v>
      </c>
      <c r="B1152" s="32" t="s">
        <v>3385</v>
      </c>
      <c r="C1152" s="32" t="s">
        <v>3386</v>
      </c>
      <c r="D1152" s="32" t="s">
        <v>3387</v>
      </c>
      <c r="E1152" s="32" t="s">
        <v>5102</v>
      </c>
      <c r="F1152" s="32" t="e">
        <v>#N/A</v>
      </c>
      <c r="G1152" s="39"/>
      <c r="H1152" s="32" t="s">
        <v>3388</v>
      </c>
      <c r="I1152" s="32" t="s">
        <v>5102</v>
      </c>
      <c r="J1152" s="32" t="s">
        <v>3389</v>
      </c>
      <c r="K1152" s="33" t="s">
        <v>3390</v>
      </c>
      <c r="L1152" s="32" t="e">
        <v>#N/A</v>
      </c>
      <c r="M1152" s="32" t="e">
        <v>#N/A</v>
      </c>
      <c r="N1152" s="32" t="s">
        <v>5086</v>
      </c>
      <c r="O1152" s="32" t="s">
        <v>4730</v>
      </c>
      <c r="P1152" s="32">
        <v>2189.0</v>
      </c>
      <c r="Q1152" s="34">
        <v>1999.0</v>
      </c>
      <c r="R1152" s="40">
        <v>1999.0</v>
      </c>
      <c r="S1152" s="35">
        <v>1860.65</v>
      </c>
      <c r="T1152" s="36">
        <v>0.0</v>
      </c>
      <c r="U1152" s="36">
        <v>0.0</v>
      </c>
      <c r="V1152" s="36">
        <v>0.0</v>
      </c>
      <c r="W1152" s="36">
        <v>0.0</v>
      </c>
      <c r="X1152" s="36">
        <v>0.0</v>
      </c>
      <c r="Y1152" s="36">
        <v>0.0</v>
      </c>
    </row>
    <row r="1153">
      <c r="A1153" s="32" t="s">
        <v>3361</v>
      </c>
      <c r="B1153" s="32" t="s">
        <v>3361</v>
      </c>
      <c r="C1153" s="32" t="s">
        <v>3362</v>
      </c>
      <c r="D1153" s="32" t="s">
        <v>3363</v>
      </c>
      <c r="E1153" s="32" t="s">
        <v>5102</v>
      </c>
      <c r="F1153" s="32" t="e">
        <v>#N/A</v>
      </c>
      <c r="G1153" s="39"/>
      <c r="H1153" s="32" t="s">
        <v>3364</v>
      </c>
      <c r="I1153" s="32" t="s">
        <v>5102</v>
      </c>
      <c r="J1153" s="32" t="s">
        <v>3365</v>
      </c>
      <c r="K1153" s="33" t="s">
        <v>3366</v>
      </c>
      <c r="L1153" s="32" t="e">
        <v>#N/A</v>
      </c>
      <c r="M1153" s="32" t="e">
        <v>#N/A</v>
      </c>
      <c r="N1153" s="32" t="s">
        <v>5086</v>
      </c>
      <c r="O1153" s="32" t="s">
        <v>4730</v>
      </c>
      <c r="P1153" s="32">
        <v>2189.0</v>
      </c>
      <c r="Q1153" s="34">
        <v>1999.0</v>
      </c>
      <c r="R1153" s="40">
        <v>1999.0</v>
      </c>
      <c r="S1153" s="35">
        <v>1860.65</v>
      </c>
      <c r="T1153" s="36">
        <v>0.0</v>
      </c>
      <c r="U1153" s="36">
        <v>0.0</v>
      </c>
      <c r="V1153" s="36">
        <v>0.0</v>
      </c>
      <c r="W1153" s="36">
        <v>0.0</v>
      </c>
      <c r="X1153" s="36">
        <v>0.0</v>
      </c>
      <c r="Y1153" s="36">
        <v>0.0</v>
      </c>
    </row>
    <row r="1154">
      <c r="A1154" s="32" t="s">
        <v>3337</v>
      </c>
      <c r="B1154" s="32" t="s">
        <v>3337</v>
      </c>
      <c r="C1154" s="32" t="s">
        <v>3338</v>
      </c>
      <c r="D1154" s="32" t="s">
        <v>3339</v>
      </c>
      <c r="E1154" s="32" t="s">
        <v>5102</v>
      </c>
      <c r="F1154" s="32" t="e">
        <v>#N/A</v>
      </c>
      <c r="G1154" s="39"/>
      <c r="H1154" s="32" t="s">
        <v>3340</v>
      </c>
      <c r="I1154" s="32" t="s">
        <v>5102</v>
      </c>
      <c r="J1154" s="32" t="s">
        <v>3341</v>
      </c>
      <c r="K1154" s="33" t="s">
        <v>3342</v>
      </c>
      <c r="L1154" s="32" t="e">
        <v>#N/A</v>
      </c>
      <c r="M1154" s="32" t="e">
        <v>#N/A</v>
      </c>
      <c r="N1154" s="32" t="s">
        <v>5142</v>
      </c>
      <c r="O1154" s="32" t="s">
        <v>4730</v>
      </c>
      <c r="P1154" s="32">
        <v>2189.0</v>
      </c>
      <c r="Q1154" s="34">
        <v>1999.0</v>
      </c>
      <c r="R1154" s="40">
        <v>1999.0</v>
      </c>
      <c r="S1154" s="35">
        <v>1899.0</v>
      </c>
      <c r="T1154" s="36">
        <v>0.0</v>
      </c>
      <c r="U1154" s="36">
        <v>0.0</v>
      </c>
      <c r="V1154" s="36">
        <v>0.0</v>
      </c>
      <c r="W1154" s="36">
        <v>0.0</v>
      </c>
      <c r="X1154" s="36">
        <v>0.0</v>
      </c>
      <c r="Y1154" s="36">
        <v>0.0</v>
      </c>
    </row>
    <row r="1155">
      <c r="A1155" s="32" t="s">
        <v>3313</v>
      </c>
      <c r="B1155" s="32" t="s">
        <v>3313</v>
      </c>
      <c r="C1155" s="32" t="s">
        <v>3314</v>
      </c>
      <c r="D1155" s="32" t="s">
        <v>3315</v>
      </c>
      <c r="E1155" s="32" t="s">
        <v>5102</v>
      </c>
      <c r="F1155" s="32" t="e">
        <v>#N/A</v>
      </c>
      <c r="G1155" s="39"/>
      <c r="H1155" s="32" t="s">
        <v>3316</v>
      </c>
      <c r="I1155" s="32" t="s">
        <v>5102</v>
      </c>
      <c r="J1155" s="32" t="s">
        <v>3317</v>
      </c>
      <c r="K1155" s="33" t="s">
        <v>3318</v>
      </c>
      <c r="L1155" s="32" t="e">
        <v>#N/A</v>
      </c>
      <c r="M1155" s="32" t="e">
        <v>#N/A</v>
      </c>
      <c r="N1155" s="32" t="s">
        <v>5142</v>
      </c>
      <c r="O1155" s="32" t="s">
        <v>4730</v>
      </c>
      <c r="P1155" s="32">
        <v>1989.0</v>
      </c>
      <c r="Q1155" s="34">
        <v>1799.0</v>
      </c>
      <c r="R1155" s="40">
        <v>1799.0</v>
      </c>
      <c r="S1155" s="35">
        <v>1699.0</v>
      </c>
      <c r="T1155" s="36">
        <v>0.0</v>
      </c>
      <c r="U1155" s="36">
        <v>0.0</v>
      </c>
      <c r="V1155" s="36">
        <v>0.0</v>
      </c>
      <c r="W1155" s="36">
        <v>0.0</v>
      </c>
      <c r="X1155" s="36">
        <v>0.0</v>
      </c>
      <c r="Y1155" s="36">
        <v>0.0</v>
      </c>
    </row>
    <row r="1156">
      <c r="A1156" s="32" t="s">
        <v>3751</v>
      </c>
      <c r="B1156" s="32" t="s">
        <v>3751</v>
      </c>
      <c r="C1156" s="32" t="s">
        <v>3752</v>
      </c>
      <c r="D1156" s="32" t="s">
        <v>3753</v>
      </c>
      <c r="E1156" s="32" t="s">
        <v>5102</v>
      </c>
      <c r="F1156" s="32" t="e">
        <v>#N/A</v>
      </c>
      <c r="G1156" s="39"/>
      <c r="H1156" s="32" t="s">
        <v>3751</v>
      </c>
      <c r="I1156" s="32" t="s">
        <v>5102</v>
      </c>
      <c r="J1156" s="32" t="s">
        <v>3754</v>
      </c>
      <c r="K1156" s="33" t="s">
        <v>3755</v>
      </c>
      <c r="L1156" s="32" t="e">
        <v>#N/A</v>
      </c>
      <c r="M1156" s="32" t="e">
        <v>#N/A</v>
      </c>
      <c r="N1156" s="32" t="s">
        <v>5154</v>
      </c>
      <c r="O1156" s="32" t="s">
        <v>4730</v>
      </c>
      <c r="P1156" s="32">
        <v>499.0</v>
      </c>
      <c r="Q1156" s="34">
        <v>449.0</v>
      </c>
      <c r="R1156" s="35">
        <v>449.0</v>
      </c>
      <c r="S1156" s="35">
        <v>399.0</v>
      </c>
      <c r="T1156" s="36">
        <v>0.0</v>
      </c>
      <c r="U1156" s="36">
        <v>0.0</v>
      </c>
      <c r="V1156" s="36">
        <v>0.0</v>
      </c>
      <c r="W1156" s="36">
        <v>0.0</v>
      </c>
      <c r="X1156" s="36">
        <v>0.0</v>
      </c>
      <c r="Y1156" s="36">
        <v>0.0</v>
      </c>
    </row>
    <row r="1157">
      <c r="A1157" s="32" t="s">
        <v>3731</v>
      </c>
      <c r="B1157" s="32" t="s">
        <v>3731</v>
      </c>
      <c r="C1157" s="32" t="s">
        <v>3732</v>
      </c>
      <c r="D1157" s="32" t="s">
        <v>3733</v>
      </c>
      <c r="E1157" s="32" t="s">
        <v>5102</v>
      </c>
      <c r="F1157" s="32" t="e">
        <v>#N/A</v>
      </c>
      <c r="G1157" s="39"/>
      <c r="H1157" s="32" t="s">
        <v>3731</v>
      </c>
      <c r="I1157" s="32" t="s">
        <v>5102</v>
      </c>
      <c r="J1157" s="32" t="s">
        <v>3734</v>
      </c>
      <c r="K1157" s="33" t="s">
        <v>3735</v>
      </c>
      <c r="L1157" s="32" t="e">
        <v>#N/A</v>
      </c>
      <c r="M1157" s="32" t="e">
        <v>#N/A</v>
      </c>
      <c r="N1157" s="32" t="s">
        <v>5155</v>
      </c>
      <c r="O1157" s="32" t="s">
        <v>4730</v>
      </c>
      <c r="P1157" s="32">
        <v>649.0</v>
      </c>
      <c r="Q1157" s="34">
        <v>599.0</v>
      </c>
      <c r="R1157" s="35">
        <v>599.0</v>
      </c>
      <c r="S1157" s="35">
        <v>549.0</v>
      </c>
      <c r="T1157" s="36">
        <v>0.0</v>
      </c>
      <c r="U1157" s="36">
        <v>0.0</v>
      </c>
      <c r="V1157" s="36">
        <v>0.0</v>
      </c>
      <c r="W1157" s="36">
        <v>0.0</v>
      </c>
      <c r="X1157" s="36">
        <v>0.0</v>
      </c>
      <c r="Y1157" s="36">
        <v>0.0</v>
      </c>
    </row>
    <row r="1158">
      <c r="A1158" s="32" t="s">
        <v>3609</v>
      </c>
      <c r="B1158" s="32" t="s">
        <v>3609</v>
      </c>
      <c r="C1158" s="32" t="s">
        <v>3610</v>
      </c>
      <c r="D1158" s="32" t="s">
        <v>3611</v>
      </c>
      <c r="E1158" s="32" t="s">
        <v>5102</v>
      </c>
      <c r="F1158" s="32" t="e">
        <v>#N/A</v>
      </c>
      <c r="G1158" s="39"/>
      <c r="H1158" s="32" t="s">
        <v>3609</v>
      </c>
      <c r="I1158" s="32" t="s">
        <v>5102</v>
      </c>
      <c r="J1158" s="32" t="s">
        <v>3612</v>
      </c>
      <c r="K1158" s="33" t="s">
        <v>3613</v>
      </c>
      <c r="L1158" s="32" t="e">
        <v>#N/A</v>
      </c>
      <c r="M1158" s="32" t="e">
        <v>#N/A</v>
      </c>
      <c r="N1158" s="32" t="s">
        <v>5155</v>
      </c>
      <c r="O1158" s="32" t="s">
        <v>4730</v>
      </c>
      <c r="P1158" s="32">
        <v>549.0</v>
      </c>
      <c r="Q1158" s="34">
        <v>499.0</v>
      </c>
      <c r="R1158" s="35">
        <v>499.0</v>
      </c>
      <c r="S1158" s="35">
        <v>449.0</v>
      </c>
      <c r="T1158" s="36">
        <v>0.0</v>
      </c>
      <c r="U1158" s="36">
        <v>0.0</v>
      </c>
      <c r="V1158" s="36">
        <v>0.0</v>
      </c>
      <c r="W1158" s="36">
        <v>0.0</v>
      </c>
      <c r="X1158" s="36">
        <v>0.0</v>
      </c>
      <c r="Y1158" s="36">
        <v>0.0</v>
      </c>
    </row>
    <row r="1159">
      <c r="A1159" s="43" t="s">
        <v>1093</v>
      </c>
      <c r="B1159" s="32"/>
      <c r="C1159" s="43" t="s">
        <v>5214</v>
      </c>
      <c r="D1159" s="32"/>
      <c r="E1159" s="32"/>
      <c r="F1159" s="32"/>
      <c r="G1159" s="39"/>
      <c r="H1159" s="32"/>
      <c r="I1159" s="32"/>
      <c r="J1159" s="32"/>
      <c r="K1159" s="33"/>
      <c r="L1159" s="32"/>
      <c r="M1159" s="32"/>
      <c r="N1159" s="32"/>
      <c r="O1159" s="32"/>
      <c r="P1159" s="32"/>
      <c r="Q1159" s="34"/>
      <c r="R1159" s="35"/>
      <c r="S1159" s="35"/>
      <c r="T1159" s="36"/>
      <c r="U1159" s="36"/>
      <c r="V1159" s="36"/>
      <c r="W1159" s="36"/>
      <c r="X1159" s="36"/>
      <c r="Y1159" s="36"/>
    </row>
    <row r="1160">
      <c r="A1160" s="13" t="s">
        <v>5215</v>
      </c>
      <c r="B1160" s="32"/>
      <c r="C1160" s="13" t="s">
        <v>5216</v>
      </c>
      <c r="D1160" s="32"/>
      <c r="E1160" s="32"/>
      <c r="F1160" s="32"/>
      <c r="G1160" s="39"/>
      <c r="H1160" s="32"/>
      <c r="I1160" s="32"/>
      <c r="J1160" s="32"/>
      <c r="K1160" s="33"/>
      <c r="L1160" s="32"/>
      <c r="M1160" s="32"/>
      <c r="N1160" s="32"/>
      <c r="O1160" s="32"/>
      <c r="P1160" s="32"/>
      <c r="Q1160" s="34"/>
      <c r="R1160" s="35"/>
      <c r="S1160" s="35"/>
      <c r="T1160" s="36"/>
      <c r="U1160" s="36"/>
      <c r="V1160" s="36"/>
      <c r="W1160" s="36"/>
      <c r="X1160" s="36"/>
      <c r="Y1160" s="36"/>
    </row>
    <row r="1161">
      <c r="A1161" s="13" t="s">
        <v>5217</v>
      </c>
      <c r="B1161" s="32"/>
      <c r="C1161" s="13" t="s">
        <v>5218</v>
      </c>
      <c r="D1161" s="32"/>
      <c r="E1161" s="32"/>
      <c r="F1161" s="32"/>
      <c r="G1161" s="39"/>
      <c r="H1161" s="32"/>
      <c r="I1161" s="32"/>
      <c r="J1161" s="32"/>
      <c r="K1161" s="33"/>
      <c r="L1161" s="32"/>
      <c r="M1161" s="32"/>
      <c r="N1161" s="32"/>
      <c r="O1161" s="32"/>
      <c r="P1161" s="32"/>
      <c r="Q1161" s="34"/>
      <c r="R1161" s="35"/>
      <c r="S1161" s="35"/>
      <c r="T1161" s="36"/>
      <c r="U1161" s="36"/>
      <c r="V1161" s="36"/>
      <c r="W1161" s="36"/>
      <c r="X1161" s="36"/>
      <c r="Y1161" s="36"/>
    </row>
    <row r="1162">
      <c r="A1162" s="32"/>
      <c r="B1162" s="32"/>
      <c r="C1162" s="32"/>
      <c r="D1162" s="32"/>
      <c r="E1162" s="32"/>
      <c r="F1162" s="32"/>
      <c r="G1162" s="39"/>
      <c r="H1162" s="32"/>
      <c r="I1162" s="32"/>
      <c r="J1162" s="32"/>
      <c r="K1162" s="33"/>
      <c r="L1162" s="32"/>
      <c r="M1162" s="32"/>
      <c r="N1162" s="32"/>
      <c r="O1162" s="32"/>
      <c r="P1162" s="32"/>
      <c r="Q1162" s="34"/>
      <c r="R1162" s="35"/>
      <c r="S1162" s="35"/>
      <c r="T1162" s="36"/>
      <c r="U1162" s="36"/>
      <c r="V1162" s="36"/>
      <c r="W1162" s="36"/>
      <c r="X1162" s="36"/>
      <c r="Y1162" s="36"/>
    </row>
    <row r="1163">
      <c r="A1163" s="32"/>
      <c r="B1163" s="32"/>
      <c r="C1163" s="32"/>
      <c r="D1163" s="32"/>
      <c r="E1163" s="32"/>
      <c r="F1163" s="32"/>
      <c r="G1163" s="39"/>
      <c r="H1163" s="32"/>
      <c r="I1163" s="32"/>
      <c r="J1163" s="32"/>
      <c r="K1163" s="33"/>
      <c r="L1163" s="32"/>
      <c r="M1163" s="32"/>
      <c r="N1163" s="32"/>
      <c r="O1163" s="32"/>
      <c r="P1163" s="32"/>
      <c r="Q1163" s="34"/>
      <c r="R1163" s="35"/>
      <c r="S1163" s="35"/>
      <c r="T1163" s="36"/>
      <c r="U1163" s="36"/>
      <c r="V1163" s="36"/>
      <c r="W1163" s="36"/>
      <c r="X1163" s="36"/>
      <c r="Y1163" s="36"/>
    </row>
    <row r="1164">
      <c r="A1164" s="32"/>
      <c r="B1164" s="32"/>
      <c r="C1164" s="32"/>
      <c r="D1164" s="32"/>
      <c r="E1164" s="32"/>
      <c r="F1164" s="32"/>
      <c r="G1164" s="39"/>
      <c r="H1164" s="32"/>
      <c r="I1164" s="32"/>
      <c r="J1164" s="32"/>
      <c r="K1164" s="33"/>
      <c r="L1164" s="32"/>
      <c r="M1164" s="32"/>
      <c r="N1164" s="32"/>
      <c r="O1164" s="32"/>
      <c r="P1164" s="32"/>
      <c r="Q1164" s="34"/>
      <c r="R1164" s="35"/>
      <c r="S1164" s="35"/>
      <c r="T1164" s="36"/>
      <c r="U1164" s="36"/>
      <c r="V1164" s="36"/>
      <c r="W1164" s="36"/>
      <c r="X1164" s="36"/>
      <c r="Y1164" s="36"/>
    </row>
    <row r="1165">
      <c r="A1165" s="32"/>
      <c r="B1165" s="32"/>
      <c r="C1165" s="32"/>
      <c r="D1165" s="32"/>
      <c r="E1165" s="32"/>
      <c r="F1165" s="32"/>
      <c r="G1165" s="39"/>
      <c r="H1165" s="32"/>
      <c r="I1165" s="32"/>
      <c r="J1165" s="32"/>
      <c r="K1165" s="33"/>
      <c r="L1165" s="32"/>
      <c r="M1165" s="32"/>
      <c r="N1165" s="32"/>
      <c r="O1165" s="32"/>
      <c r="P1165" s="32"/>
      <c r="Q1165" s="34"/>
      <c r="R1165" s="35"/>
      <c r="S1165" s="35"/>
      <c r="T1165" s="36"/>
      <c r="U1165" s="36"/>
      <c r="V1165" s="36"/>
      <c r="W1165" s="36"/>
      <c r="X1165" s="36"/>
      <c r="Y1165" s="36"/>
    </row>
    <row r="1166">
      <c r="A1166" s="32"/>
      <c r="B1166" s="32"/>
      <c r="C1166" s="32"/>
      <c r="D1166" s="32"/>
      <c r="E1166" s="32"/>
      <c r="F1166" s="32"/>
      <c r="G1166" s="39"/>
      <c r="H1166" s="32"/>
      <c r="I1166" s="32"/>
      <c r="J1166" s="32"/>
      <c r="K1166" s="33"/>
      <c r="L1166" s="32"/>
      <c r="M1166" s="32"/>
      <c r="N1166" s="32"/>
      <c r="O1166" s="32"/>
      <c r="P1166" s="32"/>
      <c r="Q1166" s="34"/>
      <c r="R1166" s="35"/>
      <c r="S1166" s="35"/>
      <c r="T1166" s="36"/>
      <c r="U1166" s="36"/>
      <c r="V1166" s="36"/>
      <c r="W1166" s="36"/>
      <c r="X1166" s="36"/>
      <c r="Y1166" s="36"/>
    </row>
    <row r="1167">
      <c r="A1167" s="32"/>
      <c r="B1167" s="32"/>
      <c r="C1167" s="32"/>
      <c r="D1167" s="32"/>
      <c r="E1167" s="32"/>
      <c r="F1167" s="32"/>
      <c r="G1167" s="39"/>
      <c r="H1167" s="32"/>
      <c r="I1167" s="32"/>
      <c r="J1167" s="32"/>
      <c r="K1167" s="33"/>
      <c r="L1167" s="32"/>
      <c r="M1167" s="32"/>
      <c r="N1167" s="32"/>
      <c r="O1167" s="32"/>
      <c r="P1167" s="32"/>
      <c r="Q1167" s="34"/>
      <c r="R1167" s="35"/>
      <c r="S1167" s="35"/>
      <c r="T1167" s="36"/>
      <c r="U1167" s="36"/>
      <c r="V1167" s="36"/>
      <c r="W1167" s="36"/>
      <c r="X1167" s="36"/>
      <c r="Y1167" s="36"/>
    </row>
    <row r="1168">
      <c r="A1168" s="32"/>
      <c r="B1168" s="32"/>
      <c r="C1168" s="32"/>
      <c r="D1168" s="32"/>
      <c r="E1168" s="32"/>
      <c r="F1168" s="32"/>
      <c r="G1168" s="39"/>
      <c r="H1168" s="32"/>
      <c r="I1168" s="32"/>
      <c r="J1168" s="32"/>
      <c r="K1168" s="33"/>
      <c r="L1168" s="32"/>
      <c r="M1168" s="32"/>
      <c r="N1168" s="32"/>
      <c r="O1168" s="32"/>
      <c r="P1168" s="32"/>
      <c r="Q1168" s="34"/>
      <c r="R1168" s="35"/>
      <c r="S1168" s="35"/>
      <c r="T1168" s="36"/>
      <c r="U1168" s="36"/>
      <c r="V1168" s="36"/>
      <c r="W1168" s="36"/>
      <c r="X1168" s="36"/>
      <c r="Y1168" s="36"/>
    </row>
    <row r="1169">
      <c r="A1169" s="32"/>
      <c r="B1169" s="32"/>
      <c r="C1169" s="32"/>
      <c r="D1169" s="32"/>
      <c r="E1169" s="32"/>
      <c r="F1169" s="32"/>
      <c r="G1169" s="39"/>
      <c r="H1169" s="32"/>
      <c r="I1169" s="32"/>
      <c r="J1169" s="32"/>
      <c r="K1169" s="33"/>
      <c r="L1169" s="32"/>
      <c r="M1169" s="32"/>
      <c r="N1169" s="32"/>
      <c r="O1169" s="32"/>
      <c r="P1169" s="32"/>
      <c r="Q1169" s="34"/>
      <c r="R1169" s="35"/>
      <c r="S1169" s="35"/>
      <c r="T1169" s="36"/>
      <c r="U1169" s="36"/>
      <c r="V1169" s="36"/>
      <c r="W1169" s="36"/>
      <c r="X1169" s="36"/>
      <c r="Y1169" s="36"/>
    </row>
    <row r="1170">
      <c r="A1170" s="32"/>
      <c r="B1170" s="32"/>
      <c r="C1170" s="32"/>
      <c r="D1170" s="32"/>
      <c r="E1170" s="32"/>
      <c r="F1170" s="32"/>
      <c r="G1170" s="39"/>
      <c r="H1170" s="32"/>
      <c r="I1170" s="32"/>
      <c r="J1170" s="32"/>
      <c r="K1170" s="33"/>
      <c r="L1170" s="32"/>
      <c r="M1170" s="32"/>
      <c r="N1170" s="32"/>
      <c r="O1170" s="32"/>
      <c r="P1170" s="32"/>
      <c r="Q1170" s="34"/>
      <c r="R1170" s="35"/>
      <c r="S1170" s="35"/>
      <c r="T1170" s="36"/>
      <c r="U1170" s="36"/>
      <c r="V1170" s="36"/>
      <c r="W1170" s="36"/>
      <c r="X1170" s="36"/>
      <c r="Y1170" s="36"/>
    </row>
    <row r="1171">
      <c r="A1171" s="32"/>
      <c r="B1171" s="32"/>
      <c r="C1171" s="32"/>
      <c r="D1171" s="32"/>
      <c r="E1171" s="32"/>
      <c r="F1171" s="32"/>
      <c r="G1171" s="39"/>
      <c r="H1171" s="32"/>
      <c r="I1171" s="32"/>
      <c r="J1171" s="32"/>
      <c r="K1171" s="33"/>
      <c r="L1171" s="32"/>
      <c r="M1171" s="32"/>
      <c r="N1171" s="32"/>
      <c r="O1171" s="32"/>
      <c r="P1171" s="32"/>
      <c r="Q1171" s="34"/>
      <c r="R1171" s="35"/>
      <c r="S1171" s="35"/>
      <c r="T1171" s="36"/>
      <c r="U1171" s="36"/>
      <c r="V1171" s="36"/>
      <c r="W1171" s="36"/>
      <c r="X1171" s="36"/>
      <c r="Y1171" s="36"/>
    </row>
    <row r="1172">
      <c r="A1172" s="32"/>
      <c r="B1172" s="32"/>
      <c r="C1172" s="32"/>
      <c r="D1172" s="32"/>
      <c r="E1172" s="32"/>
      <c r="F1172" s="32"/>
      <c r="G1172" s="39"/>
      <c r="H1172" s="32"/>
      <c r="I1172" s="32"/>
      <c r="J1172" s="32"/>
      <c r="K1172" s="33"/>
      <c r="L1172" s="32"/>
      <c r="M1172" s="32"/>
      <c r="N1172" s="32"/>
      <c r="O1172" s="32"/>
      <c r="P1172" s="32"/>
      <c r="Q1172" s="34"/>
      <c r="R1172" s="35"/>
      <c r="S1172" s="35"/>
      <c r="T1172" s="36"/>
      <c r="U1172" s="36"/>
      <c r="V1172" s="36"/>
      <c r="W1172" s="36"/>
      <c r="X1172" s="36"/>
      <c r="Y1172" s="36"/>
    </row>
    <row r="1173">
      <c r="A1173" s="32"/>
      <c r="B1173" s="32"/>
      <c r="C1173" s="32"/>
      <c r="D1173" s="32"/>
      <c r="E1173" s="32"/>
      <c r="F1173" s="32"/>
      <c r="G1173" s="39"/>
      <c r="H1173" s="32"/>
      <c r="I1173" s="32"/>
      <c r="J1173" s="32"/>
      <c r="K1173" s="33"/>
      <c r="L1173" s="32"/>
      <c r="M1173" s="32"/>
      <c r="N1173" s="32"/>
      <c r="O1173" s="32"/>
      <c r="P1173" s="32"/>
      <c r="Q1173" s="34"/>
      <c r="R1173" s="35"/>
      <c r="S1173" s="35"/>
      <c r="T1173" s="36"/>
      <c r="U1173" s="36"/>
      <c r="V1173" s="36"/>
      <c r="W1173" s="36"/>
      <c r="X1173" s="36"/>
      <c r="Y1173" s="36"/>
    </row>
    <row r="1174">
      <c r="A1174" s="32"/>
      <c r="B1174" s="32"/>
      <c r="C1174" s="32"/>
      <c r="D1174" s="32"/>
      <c r="E1174" s="32"/>
      <c r="F1174" s="32"/>
      <c r="G1174" s="39"/>
      <c r="H1174" s="32"/>
      <c r="I1174" s="32"/>
      <c r="J1174" s="32"/>
      <c r="K1174" s="33"/>
      <c r="L1174" s="32"/>
      <c r="M1174" s="32"/>
      <c r="N1174" s="32"/>
      <c r="O1174" s="32"/>
      <c r="P1174" s="32"/>
      <c r="Q1174" s="34"/>
      <c r="R1174" s="35"/>
      <c r="S1174" s="35"/>
      <c r="T1174" s="36"/>
      <c r="U1174" s="36"/>
      <c r="V1174" s="36"/>
      <c r="W1174" s="36"/>
      <c r="X1174" s="36"/>
      <c r="Y1174" s="36"/>
    </row>
    <row r="1175">
      <c r="A1175" s="32"/>
      <c r="B1175" s="32"/>
      <c r="C1175" s="32"/>
      <c r="D1175" s="32"/>
      <c r="E1175" s="32"/>
      <c r="F1175" s="32"/>
      <c r="G1175" s="39"/>
      <c r="H1175" s="32"/>
      <c r="I1175" s="32"/>
      <c r="J1175" s="32"/>
      <c r="K1175" s="33"/>
      <c r="L1175" s="32"/>
      <c r="M1175" s="32"/>
      <c r="N1175" s="32"/>
      <c r="O1175" s="32"/>
      <c r="P1175" s="32"/>
      <c r="Q1175" s="34"/>
      <c r="R1175" s="35"/>
      <c r="S1175" s="35"/>
      <c r="T1175" s="36"/>
      <c r="U1175" s="36"/>
      <c r="V1175" s="36"/>
      <c r="W1175" s="36"/>
      <c r="X1175" s="36"/>
      <c r="Y1175" s="36"/>
    </row>
    <row r="1176">
      <c r="A1176" s="32"/>
      <c r="B1176" s="32"/>
      <c r="C1176" s="32"/>
      <c r="D1176" s="32"/>
      <c r="E1176" s="32"/>
      <c r="F1176" s="32"/>
      <c r="G1176" s="39"/>
      <c r="H1176" s="32"/>
      <c r="I1176" s="32"/>
      <c r="J1176" s="32"/>
      <c r="K1176" s="33"/>
      <c r="L1176" s="32"/>
      <c r="M1176" s="32"/>
      <c r="N1176" s="32"/>
      <c r="O1176" s="32"/>
      <c r="P1176" s="32"/>
      <c r="Q1176" s="34"/>
      <c r="R1176" s="35"/>
      <c r="S1176" s="35"/>
      <c r="T1176" s="36"/>
      <c r="U1176" s="36"/>
      <c r="V1176" s="36"/>
      <c r="W1176" s="36"/>
      <c r="X1176" s="36"/>
      <c r="Y1176" s="36"/>
    </row>
    <row r="1177">
      <c r="A1177" s="32"/>
      <c r="B1177" s="32"/>
      <c r="C1177" s="32"/>
      <c r="D1177" s="32"/>
      <c r="E1177" s="32"/>
      <c r="F1177" s="32"/>
      <c r="G1177" s="39"/>
      <c r="H1177" s="32"/>
      <c r="I1177" s="32"/>
      <c r="J1177" s="32"/>
      <c r="K1177" s="33"/>
      <c r="L1177" s="32"/>
      <c r="M1177" s="32"/>
      <c r="N1177" s="32"/>
      <c r="O1177" s="32"/>
      <c r="P1177" s="32"/>
      <c r="Q1177" s="34"/>
      <c r="R1177" s="35"/>
      <c r="S1177" s="35"/>
      <c r="T1177" s="36"/>
      <c r="U1177" s="36"/>
      <c r="V1177" s="36"/>
      <c r="W1177" s="36"/>
      <c r="X1177" s="36"/>
      <c r="Y1177" s="36"/>
    </row>
    <row r="1178">
      <c r="A1178" s="32"/>
      <c r="B1178" s="32"/>
      <c r="C1178" s="32"/>
      <c r="D1178" s="32"/>
      <c r="E1178" s="32"/>
      <c r="F1178" s="32"/>
      <c r="G1178" s="39"/>
      <c r="H1178" s="32"/>
      <c r="I1178" s="32"/>
      <c r="J1178" s="32"/>
      <c r="K1178" s="33"/>
      <c r="L1178" s="32"/>
      <c r="M1178" s="32"/>
      <c r="N1178" s="32"/>
      <c r="O1178" s="32"/>
      <c r="P1178" s="32"/>
      <c r="Q1178" s="34"/>
      <c r="R1178" s="35"/>
      <c r="S1178" s="35"/>
      <c r="T1178" s="36"/>
      <c r="U1178" s="36"/>
      <c r="V1178" s="36"/>
      <c r="W1178" s="36"/>
      <c r="X1178" s="36"/>
      <c r="Y1178" s="36"/>
    </row>
    <row r="1179">
      <c r="A1179" s="32"/>
      <c r="B1179" s="32"/>
      <c r="C1179" s="32"/>
      <c r="D1179" s="32"/>
      <c r="E1179" s="32"/>
      <c r="F1179" s="32"/>
      <c r="G1179" s="39"/>
      <c r="H1179" s="32"/>
      <c r="I1179" s="32"/>
      <c r="J1179" s="32"/>
      <c r="K1179" s="33"/>
      <c r="L1179" s="32"/>
      <c r="M1179" s="32"/>
      <c r="N1179" s="32"/>
      <c r="O1179" s="32"/>
      <c r="P1179" s="32"/>
      <c r="Q1179" s="34"/>
      <c r="R1179" s="35"/>
      <c r="S1179" s="35"/>
      <c r="T1179" s="36"/>
      <c r="U1179" s="36"/>
      <c r="V1179" s="36"/>
      <c r="W1179" s="36"/>
      <c r="X1179" s="36"/>
      <c r="Y1179" s="36"/>
    </row>
    <row r="1180">
      <c r="A1180" s="32"/>
      <c r="B1180" s="32"/>
      <c r="C1180" s="32"/>
      <c r="D1180" s="32"/>
      <c r="E1180" s="32"/>
      <c r="F1180" s="32"/>
      <c r="G1180" s="39"/>
      <c r="H1180" s="32"/>
      <c r="I1180" s="32"/>
      <c r="J1180" s="32"/>
      <c r="K1180" s="33"/>
      <c r="L1180" s="32"/>
      <c r="M1180" s="32"/>
      <c r="N1180" s="32"/>
      <c r="O1180" s="32"/>
      <c r="P1180" s="32"/>
      <c r="Q1180" s="34"/>
      <c r="R1180" s="35"/>
      <c r="S1180" s="35"/>
      <c r="T1180" s="36"/>
      <c r="U1180" s="36"/>
      <c r="V1180" s="36"/>
      <c r="W1180" s="36"/>
      <c r="X1180" s="36"/>
      <c r="Y1180" s="36"/>
    </row>
    <row r="1181">
      <c r="A1181" s="32"/>
      <c r="B1181" s="32"/>
      <c r="C1181" s="32"/>
      <c r="D1181" s="32"/>
      <c r="E1181" s="32"/>
      <c r="F1181" s="32"/>
      <c r="G1181" s="39"/>
      <c r="H1181" s="32"/>
      <c r="I1181" s="32"/>
      <c r="J1181" s="32"/>
      <c r="K1181" s="33"/>
      <c r="L1181" s="32"/>
      <c r="M1181" s="32"/>
      <c r="N1181" s="32"/>
      <c r="O1181" s="32"/>
      <c r="P1181" s="32"/>
      <c r="Q1181" s="34"/>
      <c r="R1181" s="35"/>
      <c r="S1181" s="35"/>
      <c r="T1181" s="36"/>
      <c r="U1181" s="36"/>
      <c r="V1181" s="36"/>
      <c r="W1181" s="36"/>
      <c r="X1181" s="36"/>
      <c r="Y1181" s="36"/>
    </row>
    <row r="1182">
      <c r="A1182" s="32"/>
      <c r="B1182" s="32"/>
      <c r="C1182" s="32"/>
      <c r="D1182" s="32"/>
      <c r="E1182" s="32"/>
      <c r="F1182" s="32"/>
      <c r="G1182" s="39"/>
      <c r="H1182" s="32"/>
      <c r="I1182" s="32"/>
      <c r="J1182" s="32"/>
      <c r="K1182" s="33"/>
      <c r="L1182" s="32"/>
      <c r="M1182" s="32"/>
      <c r="N1182" s="32"/>
      <c r="O1182" s="32"/>
      <c r="P1182" s="32"/>
      <c r="Q1182" s="34"/>
      <c r="R1182" s="35"/>
      <c r="S1182" s="35"/>
      <c r="T1182" s="36"/>
      <c r="U1182" s="36"/>
      <c r="V1182" s="36"/>
      <c r="W1182" s="36"/>
      <c r="X1182" s="36"/>
      <c r="Y1182" s="36"/>
    </row>
    <row r="1183">
      <c r="A1183" s="32"/>
      <c r="B1183" s="32"/>
      <c r="C1183" s="32"/>
      <c r="D1183" s="32"/>
      <c r="E1183" s="32"/>
      <c r="F1183" s="32"/>
      <c r="G1183" s="39"/>
      <c r="H1183" s="32"/>
      <c r="I1183" s="32"/>
      <c r="J1183" s="32"/>
      <c r="K1183" s="33"/>
      <c r="L1183" s="32"/>
      <c r="M1183" s="32"/>
      <c r="N1183" s="32"/>
      <c r="O1183" s="32"/>
      <c r="P1183" s="32"/>
      <c r="Q1183" s="34"/>
      <c r="R1183" s="35"/>
      <c r="S1183" s="35"/>
      <c r="T1183" s="36"/>
      <c r="U1183" s="36"/>
      <c r="V1183" s="36"/>
      <c r="W1183" s="36"/>
      <c r="X1183" s="36"/>
      <c r="Y1183" s="36"/>
    </row>
    <row r="1184">
      <c r="A1184" s="32"/>
      <c r="B1184" s="32"/>
      <c r="C1184" s="32"/>
      <c r="D1184" s="32"/>
      <c r="E1184" s="32"/>
      <c r="F1184" s="32"/>
      <c r="G1184" s="39"/>
      <c r="H1184" s="32"/>
      <c r="I1184" s="32"/>
      <c r="J1184" s="32"/>
      <c r="K1184" s="33"/>
      <c r="L1184" s="32"/>
      <c r="M1184" s="32"/>
      <c r="N1184" s="32"/>
      <c r="O1184" s="32"/>
      <c r="P1184" s="32"/>
      <c r="Q1184" s="34"/>
      <c r="R1184" s="35"/>
      <c r="S1184" s="35"/>
      <c r="T1184" s="36"/>
      <c r="U1184" s="36"/>
      <c r="V1184" s="36"/>
      <c r="W1184" s="36"/>
      <c r="X1184" s="36"/>
      <c r="Y1184" s="36"/>
    </row>
    <row r="1185">
      <c r="A1185" s="32"/>
      <c r="B1185" s="32"/>
      <c r="C1185" s="32"/>
      <c r="D1185" s="32"/>
      <c r="E1185" s="32"/>
      <c r="F1185" s="32"/>
      <c r="G1185" s="39"/>
      <c r="H1185" s="32"/>
      <c r="I1185" s="32"/>
      <c r="J1185" s="32"/>
      <c r="K1185" s="33"/>
      <c r="L1185" s="32"/>
      <c r="M1185" s="32"/>
      <c r="N1185" s="32"/>
      <c r="O1185" s="32"/>
      <c r="P1185" s="32"/>
      <c r="Q1185" s="34"/>
      <c r="R1185" s="35"/>
      <c r="S1185" s="35"/>
      <c r="T1185" s="36"/>
      <c r="U1185" s="36"/>
      <c r="V1185" s="36"/>
      <c r="W1185" s="36"/>
      <c r="X1185" s="36"/>
      <c r="Y1185" s="36"/>
    </row>
    <row r="1186">
      <c r="A1186" s="32"/>
      <c r="B1186" s="32"/>
      <c r="C1186" s="32"/>
      <c r="D1186" s="32"/>
      <c r="E1186" s="32"/>
      <c r="F1186" s="32"/>
      <c r="G1186" s="39"/>
      <c r="H1186" s="32"/>
      <c r="I1186" s="32"/>
      <c r="J1186" s="32"/>
      <c r="K1186" s="33"/>
      <c r="L1186" s="32"/>
      <c r="M1186" s="32"/>
      <c r="N1186" s="32"/>
      <c r="O1186" s="32"/>
      <c r="P1186" s="32"/>
      <c r="Q1186" s="34"/>
      <c r="R1186" s="35"/>
      <c r="S1186" s="35"/>
      <c r="T1186" s="36"/>
      <c r="U1186" s="36"/>
      <c r="V1186" s="36"/>
      <c r="W1186" s="36"/>
      <c r="X1186" s="36"/>
      <c r="Y1186" s="36"/>
    </row>
    <row r="1187">
      <c r="A1187" s="32"/>
      <c r="B1187" s="32"/>
      <c r="C1187" s="32"/>
      <c r="D1187" s="32"/>
      <c r="E1187" s="32"/>
      <c r="F1187" s="32"/>
      <c r="G1187" s="39"/>
      <c r="H1187" s="32"/>
      <c r="I1187" s="32"/>
      <c r="J1187" s="32"/>
      <c r="K1187" s="33"/>
      <c r="L1187" s="32"/>
      <c r="M1187" s="32"/>
      <c r="N1187" s="32"/>
      <c r="O1187" s="32"/>
      <c r="P1187" s="32"/>
      <c r="Q1187" s="34"/>
      <c r="R1187" s="35"/>
      <c r="S1187" s="35"/>
      <c r="T1187" s="36"/>
      <c r="U1187" s="36"/>
      <c r="V1187" s="36"/>
      <c r="W1187" s="36"/>
      <c r="X1187" s="36"/>
      <c r="Y1187" s="36"/>
    </row>
    <row r="1188">
      <c r="A1188" s="32"/>
      <c r="B1188" s="32"/>
      <c r="C1188" s="32"/>
      <c r="D1188" s="32"/>
      <c r="E1188" s="32"/>
      <c r="F1188" s="32"/>
      <c r="G1188" s="39"/>
      <c r="H1188" s="32"/>
      <c r="I1188" s="32"/>
      <c r="J1188" s="32"/>
      <c r="K1188" s="33"/>
      <c r="L1188" s="32"/>
      <c r="M1188" s="32"/>
      <c r="N1188" s="32"/>
      <c r="O1188" s="32"/>
      <c r="P1188" s="32"/>
      <c r="Q1188" s="34"/>
      <c r="R1188" s="35"/>
      <c r="S1188" s="35"/>
      <c r="T1188" s="36"/>
      <c r="U1188" s="36"/>
      <c r="V1188" s="36"/>
      <c r="W1188" s="36"/>
      <c r="X1188" s="36"/>
      <c r="Y1188" s="36"/>
    </row>
    <row r="1189">
      <c r="A1189" s="32"/>
      <c r="B1189" s="32"/>
      <c r="C1189" s="32"/>
      <c r="D1189" s="32"/>
      <c r="E1189" s="32"/>
      <c r="F1189" s="32"/>
      <c r="G1189" s="39"/>
      <c r="H1189" s="32"/>
      <c r="I1189" s="32"/>
      <c r="J1189" s="32"/>
      <c r="K1189" s="33"/>
      <c r="L1189" s="32"/>
      <c r="M1189" s="32"/>
      <c r="N1189" s="32"/>
      <c r="O1189" s="32"/>
      <c r="P1189" s="32"/>
      <c r="Q1189" s="34"/>
      <c r="R1189" s="35"/>
      <c r="S1189" s="35"/>
      <c r="T1189" s="36"/>
      <c r="U1189" s="36"/>
      <c r="V1189" s="36"/>
      <c r="W1189" s="36"/>
      <c r="X1189" s="36"/>
      <c r="Y1189" s="36"/>
    </row>
    <row r="1190">
      <c r="A1190" s="32"/>
      <c r="B1190" s="32"/>
      <c r="C1190" s="32"/>
      <c r="D1190" s="32"/>
      <c r="E1190" s="32"/>
      <c r="F1190" s="32"/>
      <c r="G1190" s="39"/>
      <c r="H1190" s="32"/>
      <c r="I1190" s="32"/>
      <c r="J1190" s="32"/>
      <c r="K1190" s="33"/>
      <c r="L1190" s="32"/>
      <c r="M1190" s="32"/>
      <c r="N1190" s="32"/>
      <c r="O1190" s="32"/>
      <c r="P1190" s="32"/>
      <c r="Q1190" s="34"/>
      <c r="R1190" s="35"/>
      <c r="S1190" s="35"/>
      <c r="T1190" s="36"/>
      <c r="U1190" s="36"/>
      <c r="V1190" s="36"/>
      <c r="W1190" s="36"/>
      <c r="X1190" s="36"/>
      <c r="Y1190" s="36"/>
    </row>
    <row r="1191">
      <c r="A1191" s="32"/>
      <c r="B1191" s="32"/>
      <c r="C1191" s="32"/>
      <c r="D1191" s="32"/>
      <c r="E1191" s="32"/>
      <c r="F1191" s="32"/>
      <c r="G1191" s="39"/>
      <c r="H1191" s="32"/>
      <c r="I1191" s="32"/>
      <c r="J1191" s="32"/>
      <c r="K1191" s="33"/>
      <c r="L1191" s="32"/>
      <c r="M1191" s="32"/>
      <c r="N1191" s="32"/>
      <c r="O1191" s="32"/>
      <c r="P1191" s="32"/>
      <c r="Q1191" s="34"/>
      <c r="R1191" s="35"/>
      <c r="S1191" s="35"/>
      <c r="T1191" s="36"/>
      <c r="U1191" s="36"/>
      <c r="V1191" s="36"/>
      <c r="W1191" s="36"/>
      <c r="X1191" s="36"/>
      <c r="Y1191" s="36"/>
    </row>
    <row r="1192">
      <c r="A1192" s="32"/>
      <c r="B1192" s="32"/>
      <c r="C1192" s="32"/>
      <c r="D1192" s="32"/>
      <c r="E1192" s="32"/>
      <c r="F1192" s="32"/>
      <c r="G1192" s="39"/>
      <c r="H1192" s="32"/>
      <c r="I1192" s="32"/>
      <c r="J1192" s="32"/>
      <c r="K1192" s="33"/>
      <c r="L1192" s="32"/>
      <c r="M1192" s="32"/>
      <c r="N1192" s="32"/>
      <c r="O1192" s="32"/>
      <c r="P1192" s="32"/>
      <c r="Q1192" s="34"/>
      <c r="R1192" s="35"/>
      <c r="S1192" s="35"/>
      <c r="T1192" s="36"/>
      <c r="U1192" s="36"/>
      <c r="V1192" s="36"/>
      <c r="W1192" s="36"/>
      <c r="X1192" s="36"/>
      <c r="Y1192" s="36"/>
    </row>
    <row r="1193">
      <c r="A1193" s="32"/>
      <c r="B1193" s="32"/>
      <c r="C1193" s="32"/>
      <c r="D1193" s="32"/>
      <c r="E1193" s="32"/>
      <c r="F1193" s="32"/>
      <c r="G1193" s="39"/>
      <c r="H1193" s="32"/>
      <c r="I1193" s="32"/>
      <c r="J1193" s="32"/>
      <c r="K1193" s="33"/>
      <c r="L1193" s="32"/>
      <c r="M1193" s="32"/>
      <c r="N1193" s="32"/>
      <c r="O1193" s="32"/>
      <c r="P1193" s="32"/>
      <c r="Q1193" s="34"/>
      <c r="R1193" s="35"/>
      <c r="S1193" s="35"/>
      <c r="T1193" s="36"/>
      <c r="U1193" s="36"/>
      <c r="V1193" s="36"/>
      <c r="W1193" s="36"/>
      <c r="X1193" s="36"/>
      <c r="Y1193" s="36"/>
    </row>
    <row r="1194">
      <c r="A1194" s="32"/>
      <c r="B1194" s="32"/>
      <c r="C1194" s="32"/>
      <c r="D1194" s="32"/>
      <c r="E1194" s="32"/>
      <c r="F1194" s="32"/>
      <c r="G1194" s="39"/>
      <c r="H1194" s="32"/>
      <c r="I1194" s="32"/>
      <c r="J1194" s="32"/>
      <c r="K1194" s="33"/>
      <c r="L1194" s="32"/>
      <c r="M1194" s="32"/>
      <c r="N1194" s="32"/>
      <c r="O1194" s="32"/>
      <c r="P1194" s="32"/>
      <c r="Q1194" s="34"/>
      <c r="R1194" s="35"/>
      <c r="S1194" s="35"/>
      <c r="T1194" s="36"/>
      <c r="U1194" s="36"/>
      <c r="V1194" s="36"/>
      <c r="W1194" s="36"/>
      <c r="X1194" s="36"/>
      <c r="Y1194" s="36"/>
    </row>
    <row r="1195">
      <c r="A1195" s="32"/>
      <c r="B1195" s="32"/>
      <c r="C1195" s="32"/>
      <c r="D1195" s="32"/>
      <c r="E1195" s="32"/>
      <c r="F1195" s="32"/>
      <c r="G1195" s="39"/>
      <c r="H1195" s="32"/>
      <c r="I1195" s="32"/>
      <c r="J1195" s="32"/>
      <c r="K1195" s="33"/>
      <c r="L1195" s="32"/>
      <c r="M1195" s="32"/>
      <c r="N1195" s="32"/>
      <c r="O1195" s="32"/>
      <c r="P1195" s="32"/>
      <c r="Q1195" s="34"/>
      <c r="R1195" s="35"/>
      <c r="S1195" s="35"/>
      <c r="T1195" s="36"/>
      <c r="U1195" s="36"/>
      <c r="V1195" s="36"/>
      <c r="W1195" s="36"/>
      <c r="X1195" s="36"/>
      <c r="Y1195" s="36"/>
    </row>
    <row r="1196">
      <c r="A1196" s="32"/>
      <c r="B1196" s="32"/>
      <c r="C1196" s="32"/>
      <c r="D1196" s="32"/>
      <c r="E1196" s="32"/>
      <c r="F1196" s="32"/>
      <c r="G1196" s="39"/>
      <c r="H1196" s="32"/>
      <c r="I1196" s="32"/>
      <c r="J1196" s="32"/>
      <c r="K1196" s="33"/>
      <c r="L1196" s="32"/>
      <c r="M1196" s="32"/>
      <c r="N1196" s="32"/>
      <c r="O1196" s="32"/>
      <c r="P1196" s="32"/>
      <c r="Q1196" s="34"/>
      <c r="R1196" s="35"/>
      <c r="S1196" s="35"/>
      <c r="T1196" s="36"/>
      <c r="U1196" s="36"/>
      <c r="V1196" s="36"/>
      <c r="W1196" s="36"/>
      <c r="X1196" s="36"/>
      <c r="Y1196" s="36"/>
    </row>
    <row r="1197">
      <c r="A1197" s="32"/>
      <c r="B1197" s="32"/>
      <c r="C1197" s="32"/>
      <c r="D1197" s="32"/>
      <c r="E1197" s="32"/>
      <c r="F1197" s="32"/>
      <c r="G1197" s="39"/>
      <c r="H1197" s="32"/>
      <c r="I1197" s="32"/>
      <c r="J1197" s="32"/>
      <c r="K1197" s="33"/>
      <c r="L1197" s="32"/>
      <c r="M1197" s="32"/>
      <c r="N1197" s="32"/>
      <c r="O1197" s="32"/>
      <c r="P1197" s="32"/>
      <c r="Q1197" s="34"/>
      <c r="R1197" s="35"/>
      <c r="S1197" s="35"/>
      <c r="T1197" s="36"/>
      <c r="U1197" s="36"/>
      <c r="V1197" s="36"/>
      <c r="W1197" s="36"/>
      <c r="X1197" s="36"/>
      <c r="Y1197" s="36"/>
    </row>
    <row r="1198">
      <c r="A1198" s="32"/>
      <c r="B1198" s="32"/>
      <c r="C1198" s="32"/>
      <c r="D1198" s="32"/>
      <c r="E1198" s="32"/>
      <c r="F1198" s="32"/>
      <c r="G1198" s="39"/>
      <c r="H1198" s="32"/>
      <c r="I1198" s="32"/>
      <c r="J1198" s="32"/>
      <c r="K1198" s="33"/>
      <c r="L1198" s="32"/>
      <c r="M1198" s="32"/>
      <c r="N1198" s="32"/>
      <c r="O1198" s="32"/>
      <c r="P1198" s="32"/>
      <c r="Q1198" s="34"/>
      <c r="R1198" s="35"/>
      <c r="S1198" s="35"/>
      <c r="T1198" s="36"/>
      <c r="U1198" s="36"/>
      <c r="V1198" s="36"/>
      <c r="W1198" s="36"/>
      <c r="X1198" s="36"/>
      <c r="Y1198" s="36"/>
    </row>
    <row r="1199">
      <c r="A1199" s="32"/>
      <c r="B1199" s="32"/>
      <c r="C1199" s="32"/>
      <c r="D1199" s="32"/>
      <c r="E1199" s="32"/>
      <c r="F1199" s="32"/>
      <c r="G1199" s="39"/>
      <c r="H1199" s="32"/>
      <c r="I1199" s="32"/>
      <c r="J1199" s="32"/>
      <c r="K1199" s="33"/>
      <c r="L1199" s="32"/>
      <c r="M1199" s="32"/>
      <c r="N1199" s="32"/>
      <c r="O1199" s="32"/>
      <c r="P1199" s="32"/>
      <c r="Q1199" s="34"/>
      <c r="R1199" s="35"/>
      <c r="S1199" s="35"/>
      <c r="T1199" s="36"/>
      <c r="U1199" s="36"/>
      <c r="V1199" s="36"/>
      <c r="W1199" s="36"/>
      <c r="X1199" s="36"/>
      <c r="Y1199" s="36"/>
    </row>
    <row r="1200">
      <c r="A1200" s="32"/>
      <c r="B1200" s="32"/>
      <c r="C1200" s="32"/>
      <c r="D1200" s="32"/>
      <c r="E1200" s="32"/>
      <c r="F1200" s="32"/>
      <c r="G1200" s="39"/>
      <c r="H1200" s="32"/>
      <c r="I1200" s="32"/>
      <c r="J1200" s="32"/>
      <c r="K1200" s="33"/>
      <c r="L1200" s="32"/>
      <c r="M1200" s="32"/>
      <c r="N1200" s="32"/>
      <c r="O1200" s="32"/>
      <c r="P1200" s="32"/>
      <c r="Q1200" s="34"/>
      <c r="R1200" s="35"/>
      <c r="S1200" s="35"/>
      <c r="T1200" s="36"/>
      <c r="U1200" s="36"/>
      <c r="V1200" s="36"/>
      <c r="W1200" s="36"/>
      <c r="X1200" s="36"/>
      <c r="Y1200" s="36"/>
    </row>
    <row r="1201">
      <c r="A1201" s="32"/>
      <c r="B1201" s="32"/>
      <c r="C1201" s="32"/>
      <c r="D1201" s="32"/>
      <c r="E1201" s="32"/>
      <c r="F1201" s="32"/>
      <c r="G1201" s="39"/>
      <c r="H1201" s="32"/>
      <c r="I1201" s="32"/>
      <c r="J1201" s="32"/>
      <c r="K1201" s="33"/>
      <c r="L1201" s="32"/>
      <c r="M1201" s="32"/>
      <c r="N1201" s="32"/>
      <c r="O1201" s="32"/>
      <c r="P1201" s="32"/>
      <c r="Q1201" s="34"/>
      <c r="R1201" s="35"/>
      <c r="S1201" s="35"/>
      <c r="T1201" s="36"/>
      <c r="U1201" s="36"/>
      <c r="V1201" s="36"/>
      <c r="W1201" s="36"/>
      <c r="X1201" s="36"/>
      <c r="Y1201" s="36"/>
    </row>
    <row r="1202">
      <c r="A1202" s="32"/>
      <c r="B1202" s="32"/>
      <c r="C1202" s="32"/>
      <c r="D1202" s="32"/>
      <c r="E1202" s="32"/>
      <c r="F1202" s="32"/>
      <c r="G1202" s="39"/>
      <c r="H1202" s="32"/>
      <c r="I1202" s="32"/>
      <c r="J1202" s="32"/>
      <c r="K1202" s="33"/>
      <c r="L1202" s="32"/>
      <c r="M1202" s="32"/>
      <c r="N1202" s="32"/>
      <c r="O1202" s="32"/>
      <c r="P1202" s="32"/>
      <c r="Q1202" s="34"/>
      <c r="R1202" s="35"/>
      <c r="S1202" s="35"/>
      <c r="T1202" s="36"/>
      <c r="U1202" s="36"/>
      <c r="V1202" s="36"/>
      <c r="W1202" s="36"/>
      <c r="X1202" s="36"/>
      <c r="Y1202" s="36"/>
    </row>
    <row r="1203">
      <c r="A1203" s="32"/>
      <c r="B1203" s="32"/>
      <c r="C1203" s="32"/>
      <c r="D1203" s="32"/>
      <c r="E1203" s="32"/>
      <c r="F1203" s="32"/>
      <c r="G1203" s="39"/>
      <c r="H1203" s="32"/>
      <c r="I1203" s="32"/>
      <c r="J1203" s="32"/>
      <c r="K1203" s="33"/>
      <c r="L1203" s="32"/>
      <c r="M1203" s="32"/>
      <c r="N1203" s="32"/>
      <c r="O1203" s="32"/>
      <c r="P1203" s="32"/>
      <c r="Q1203" s="34"/>
      <c r="R1203" s="35"/>
      <c r="S1203" s="35"/>
      <c r="T1203" s="36"/>
      <c r="U1203" s="36"/>
      <c r="V1203" s="36"/>
      <c r="W1203" s="36"/>
      <c r="X1203" s="36"/>
      <c r="Y1203" s="36"/>
    </row>
    <row r="1204">
      <c r="A1204" s="32"/>
      <c r="B1204" s="32"/>
      <c r="C1204" s="32"/>
      <c r="D1204" s="32"/>
      <c r="E1204" s="32"/>
      <c r="F1204" s="32"/>
      <c r="G1204" s="39"/>
      <c r="H1204" s="32"/>
      <c r="I1204" s="32"/>
      <c r="J1204" s="32"/>
      <c r="K1204" s="33"/>
      <c r="L1204" s="32"/>
      <c r="M1204" s="32"/>
      <c r="N1204" s="32"/>
      <c r="O1204" s="32"/>
      <c r="P1204" s="32"/>
      <c r="Q1204" s="34"/>
      <c r="R1204" s="35"/>
      <c r="S1204" s="35"/>
      <c r="T1204" s="36"/>
      <c r="U1204" s="36"/>
      <c r="V1204" s="36"/>
      <c r="W1204" s="36"/>
      <c r="X1204" s="36"/>
      <c r="Y1204" s="36"/>
    </row>
    <row r="1205">
      <c r="A1205" s="32"/>
      <c r="B1205" s="32"/>
      <c r="C1205" s="32"/>
      <c r="D1205" s="32"/>
      <c r="E1205" s="32"/>
      <c r="F1205" s="32"/>
      <c r="G1205" s="39"/>
      <c r="H1205" s="32"/>
      <c r="I1205" s="32"/>
      <c r="J1205" s="32"/>
      <c r="K1205" s="33"/>
      <c r="L1205" s="32"/>
      <c r="M1205" s="32"/>
      <c r="N1205" s="32"/>
      <c r="O1205" s="32"/>
      <c r="P1205" s="32"/>
      <c r="Q1205" s="34"/>
      <c r="R1205" s="35"/>
      <c r="S1205" s="35"/>
      <c r="T1205" s="36"/>
      <c r="U1205" s="36"/>
      <c r="V1205" s="36"/>
      <c r="W1205" s="36"/>
      <c r="X1205" s="36"/>
      <c r="Y1205" s="36"/>
    </row>
    <row r="1206">
      <c r="A1206" s="32"/>
      <c r="B1206" s="32"/>
      <c r="C1206" s="32"/>
      <c r="D1206" s="32"/>
      <c r="E1206" s="32"/>
      <c r="F1206" s="32"/>
      <c r="G1206" s="39"/>
      <c r="H1206" s="32"/>
      <c r="I1206" s="32"/>
      <c r="J1206" s="32"/>
      <c r="K1206" s="33"/>
      <c r="L1206" s="32"/>
      <c r="M1206" s="32"/>
      <c r="N1206" s="32"/>
      <c r="O1206" s="32"/>
      <c r="P1206" s="32"/>
      <c r="Q1206" s="34"/>
      <c r="R1206" s="35"/>
      <c r="S1206" s="35"/>
      <c r="T1206" s="36"/>
      <c r="U1206" s="36"/>
      <c r="V1206" s="36"/>
      <c r="W1206" s="36"/>
      <c r="X1206" s="36"/>
      <c r="Y1206" s="36"/>
    </row>
    <row r="1207">
      <c r="A1207" s="32"/>
      <c r="B1207" s="32"/>
      <c r="C1207" s="32"/>
      <c r="D1207" s="32"/>
      <c r="E1207" s="32"/>
      <c r="F1207" s="32"/>
      <c r="G1207" s="39"/>
      <c r="H1207" s="32"/>
      <c r="I1207" s="32"/>
      <c r="J1207" s="32"/>
      <c r="K1207" s="33"/>
      <c r="L1207" s="32"/>
      <c r="M1207" s="32"/>
      <c r="N1207" s="32"/>
      <c r="O1207" s="32"/>
      <c r="P1207" s="32"/>
      <c r="Q1207" s="34"/>
      <c r="R1207" s="35"/>
      <c r="S1207" s="35"/>
      <c r="T1207" s="36"/>
      <c r="U1207" s="36"/>
      <c r="V1207" s="36"/>
      <c r="W1207" s="36"/>
      <c r="X1207" s="36"/>
      <c r="Y1207" s="36"/>
    </row>
    <row r="1208">
      <c r="A1208" s="32"/>
      <c r="B1208" s="32"/>
      <c r="C1208" s="32"/>
      <c r="D1208" s="32"/>
      <c r="E1208" s="32"/>
      <c r="F1208" s="32"/>
      <c r="G1208" s="39"/>
      <c r="H1208" s="32"/>
      <c r="I1208" s="32"/>
      <c r="J1208" s="32"/>
      <c r="K1208" s="33"/>
      <c r="L1208" s="32"/>
      <c r="M1208" s="32"/>
      <c r="N1208" s="32"/>
      <c r="O1208" s="32"/>
      <c r="P1208" s="32"/>
      <c r="Q1208" s="34"/>
      <c r="R1208" s="35"/>
      <c r="S1208" s="35"/>
      <c r="T1208" s="36"/>
      <c r="U1208" s="36"/>
      <c r="V1208" s="36"/>
      <c r="W1208" s="36"/>
      <c r="X1208" s="36"/>
      <c r="Y1208" s="36"/>
    </row>
    <row r="1209">
      <c r="A1209" s="32"/>
      <c r="B1209" s="32"/>
      <c r="C1209" s="32"/>
      <c r="D1209" s="32"/>
      <c r="E1209" s="32"/>
      <c r="F1209" s="32"/>
      <c r="G1209" s="39"/>
      <c r="H1209" s="32"/>
      <c r="I1209" s="32"/>
      <c r="J1209" s="32"/>
      <c r="K1209" s="33"/>
      <c r="L1209" s="32"/>
      <c r="M1209" s="32"/>
      <c r="N1209" s="32"/>
      <c r="O1209" s="32"/>
      <c r="P1209" s="32"/>
      <c r="Q1209" s="34"/>
      <c r="R1209" s="35"/>
      <c r="S1209" s="35"/>
      <c r="T1209" s="36"/>
      <c r="U1209" s="36"/>
      <c r="V1209" s="36"/>
      <c r="W1209" s="36"/>
      <c r="X1209" s="36"/>
      <c r="Y1209" s="36"/>
    </row>
    <row r="1210">
      <c r="A1210" s="32"/>
      <c r="B1210" s="32"/>
      <c r="C1210" s="32"/>
      <c r="D1210" s="32"/>
      <c r="E1210" s="32"/>
      <c r="F1210" s="32"/>
      <c r="G1210" s="39"/>
      <c r="H1210" s="32"/>
      <c r="I1210" s="32"/>
      <c r="J1210" s="32"/>
      <c r="K1210" s="33"/>
      <c r="L1210" s="32"/>
      <c r="M1210" s="32"/>
      <c r="N1210" s="32"/>
      <c r="O1210" s="32"/>
      <c r="P1210" s="32"/>
      <c r="Q1210" s="34"/>
      <c r="R1210" s="35"/>
      <c r="S1210" s="35"/>
      <c r="T1210" s="36"/>
      <c r="U1210" s="36"/>
      <c r="V1210" s="36"/>
      <c r="W1210" s="36"/>
      <c r="X1210" s="36"/>
      <c r="Y1210" s="36"/>
    </row>
    <row r="1211">
      <c r="A1211" s="32"/>
      <c r="B1211" s="32"/>
      <c r="C1211" s="32"/>
      <c r="D1211" s="32"/>
      <c r="E1211" s="32"/>
      <c r="F1211" s="32"/>
      <c r="G1211" s="39"/>
      <c r="H1211" s="32"/>
      <c r="I1211" s="32"/>
      <c r="J1211" s="32"/>
      <c r="K1211" s="33"/>
      <c r="L1211" s="32"/>
      <c r="M1211" s="32"/>
      <c r="N1211" s="32"/>
      <c r="O1211" s="32"/>
      <c r="P1211" s="32"/>
      <c r="Q1211" s="34"/>
      <c r="R1211" s="35"/>
      <c r="S1211" s="35"/>
      <c r="T1211" s="36"/>
      <c r="U1211" s="36"/>
      <c r="V1211" s="36"/>
      <c r="W1211" s="36"/>
      <c r="X1211" s="36"/>
      <c r="Y1211" s="36"/>
    </row>
    <row r="1212">
      <c r="A1212" s="32"/>
      <c r="B1212" s="32"/>
      <c r="C1212" s="32"/>
      <c r="D1212" s="32"/>
      <c r="E1212" s="32"/>
      <c r="F1212" s="32"/>
      <c r="G1212" s="39"/>
      <c r="H1212" s="32"/>
      <c r="I1212" s="32"/>
      <c r="J1212" s="32"/>
      <c r="K1212" s="33"/>
      <c r="L1212" s="32"/>
      <c r="M1212" s="32"/>
      <c r="N1212" s="32"/>
      <c r="O1212" s="32"/>
      <c r="P1212" s="32"/>
      <c r="Q1212" s="34"/>
      <c r="R1212" s="35"/>
      <c r="S1212" s="35"/>
      <c r="T1212" s="36"/>
      <c r="U1212" s="36"/>
      <c r="V1212" s="36"/>
      <c r="W1212" s="36"/>
      <c r="X1212" s="36"/>
      <c r="Y1212" s="36"/>
    </row>
    <row r="1213">
      <c r="A1213" s="32"/>
      <c r="B1213" s="32"/>
      <c r="C1213" s="32"/>
      <c r="D1213" s="32"/>
      <c r="E1213" s="32"/>
      <c r="F1213" s="32"/>
      <c r="G1213" s="39"/>
      <c r="H1213" s="32"/>
      <c r="I1213" s="32"/>
      <c r="J1213" s="32"/>
      <c r="K1213" s="33"/>
      <c r="L1213" s="32"/>
      <c r="M1213" s="32"/>
      <c r="N1213" s="32"/>
      <c r="O1213" s="32"/>
      <c r="P1213" s="32"/>
      <c r="Q1213" s="34"/>
      <c r="R1213" s="35"/>
      <c r="S1213" s="35"/>
      <c r="T1213" s="36"/>
      <c r="U1213" s="36"/>
      <c r="V1213" s="36"/>
      <c r="W1213" s="36"/>
      <c r="X1213" s="36"/>
      <c r="Y1213" s="36"/>
    </row>
    <row r="1214">
      <c r="A1214" s="32"/>
      <c r="B1214" s="32"/>
      <c r="C1214" s="32"/>
      <c r="D1214" s="32"/>
      <c r="E1214" s="32"/>
      <c r="F1214" s="32"/>
      <c r="G1214" s="39"/>
      <c r="H1214" s="32"/>
      <c r="I1214" s="32"/>
      <c r="J1214" s="32"/>
      <c r="K1214" s="33"/>
      <c r="L1214" s="32"/>
      <c r="M1214" s="32"/>
      <c r="N1214" s="32"/>
      <c r="O1214" s="32"/>
      <c r="P1214" s="32"/>
      <c r="Q1214" s="34"/>
      <c r="R1214" s="35"/>
      <c r="S1214" s="35"/>
      <c r="T1214" s="36"/>
      <c r="U1214" s="36"/>
      <c r="V1214" s="36"/>
      <c r="W1214" s="36"/>
      <c r="X1214" s="36"/>
      <c r="Y1214" s="36"/>
    </row>
    <row r="1215">
      <c r="A1215" s="32"/>
      <c r="B1215" s="32"/>
      <c r="C1215" s="32"/>
      <c r="D1215" s="32"/>
      <c r="E1215" s="32"/>
      <c r="F1215" s="32"/>
      <c r="G1215" s="39"/>
      <c r="H1215" s="32"/>
      <c r="I1215" s="32"/>
      <c r="J1215" s="32"/>
      <c r="K1215" s="33"/>
      <c r="L1215" s="32"/>
      <c r="M1215" s="32"/>
      <c r="N1215" s="32"/>
      <c r="O1215" s="32"/>
      <c r="P1215" s="32"/>
      <c r="Q1215" s="34"/>
      <c r="R1215" s="35"/>
      <c r="S1215" s="35"/>
      <c r="T1215" s="36"/>
      <c r="U1215" s="36"/>
      <c r="V1215" s="36"/>
      <c r="W1215" s="36"/>
      <c r="X1215" s="36"/>
      <c r="Y1215" s="36"/>
    </row>
    <row r="1216">
      <c r="A1216" s="32"/>
      <c r="B1216" s="32"/>
      <c r="C1216" s="32"/>
      <c r="D1216" s="32"/>
      <c r="E1216" s="32"/>
      <c r="F1216" s="32"/>
      <c r="G1216" s="39"/>
      <c r="H1216" s="32"/>
      <c r="I1216" s="32"/>
      <c r="J1216" s="32"/>
      <c r="K1216" s="33"/>
      <c r="L1216" s="32"/>
      <c r="M1216" s="32"/>
      <c r="N1216" s="32"/>
      <c r="O1216" s="32"/>
      <c r="P1216" s="32"/>
      <c r="Q1216" s="34"/>
      <c r="R1216" s="35"/>
      <c r="S1216" s="35"/>
      <c r="T1216" s="36"/>
      <c r="U1216" s="36"/>
      <c r="V1216" s="36"/>
      <c r="W1216" s="36"/>
      <c r="X1216" s="36"/>
      <c r="Y1216" s="36"/>
    </row>
    <row r="1217">
      <c r="A1217" s="32"/>
      <c r="B1217" s="32"/>
      <c r="C1217" s="32"/>
      <c r="D1217" s="32"/>
      <c r="E1217" s="32"/>
      <c r="F1217" s="32"/>
      <c r="G1217" s="39"/>
      <c r="H1217" s="32"/>
      <c r="I1217" s="32"/>
      <c r="J1217" s="32"/>
      <c r="K1217" s="33"/>
      <c r="L1217" s="32"/>
      <c r="M1217" s="32"/>
      <c r="N1217" s="32"/>
      <c r="O1217" s="32"/>
      <c r="P1217" s="32"/>
      <c r="Q1217" s="34"/>
      <c r="R1217" s="35"/>
      <c r="S1217" s="35"/>
      <c r="T1217" s="36"/>
      <c r="U1217" s="36"/>
      <c r="V1217" s="36"/>
      <c r="W1217" s="36"/>
      <c r="X1217" s="36"/>
      <c r="Y1217" s="36"/>
    </row>
    <row r="1218">
      <c r="A1218" s="32"/>
      <c r="B1218" s="32"/>
      <c r="C1218" s="32"/>
      <c r="D1218" s="32"/>
      <c r="E1218" s="32"/>
      <c r="F1218" s="32"/>
      <c r="G1218" s="39"/>
      <c r="H1218" s="32"/>
      <c r="I1218" s="32"/>
      <c r="J1218" s="32"/>
      <c r="K1218" s="33"/>
      <c r="L1218" s="32"/>
      <c r="M1218" s="32"/>
      <c r="N1218" s="32"/>
      <c r="O1218" s="32"/>
      <c r="P1218" s="32"/>
      <c r="Q1218" s="34"/>
      <c r="R1218" s="35"/>
      <c r="S1218" s="35"/>
      <c r="T1218" s="36"/>
      <c r="U1218" s="36"/>
      <c r="V1218" s="36"/>
      <c r="W1218" s="36"/>
      <c r="X1218" s="36"/>
      <c r="Y1218" s="36"/>
    </row>
    <row r="1219">
      <c r="A1219" s="32"/>
      <c r="B1219" s="32"/>
      <c r="C1219" s="32"/>
      <c r="D1219" s="32"/>
      <c r="E1219" s="32"/>
      <c r="F1219" s="32"/>
      <c r="G1219" s="39"/>
      <c r="H1219" s="32"/>
      <c r="I1219" s="32"/>
      <c r="J1219" s="32"/>
      <c r="K1219" s="33"/>
      <c r="L1219" s="32"/>
      <c r="M1219" s="32"/>
      <c r="N1219" s="32"/>
      <c r="O1219" s="32"/>
      <c r="P1219" s="32"/>
      <c r="Q1219" s="34"/>
      <c r="R1219" s="35"/>
      <c r="S1219" s="35"/>
      <c r="T1219" s="36"/>
      <c r="U1219" s="36"/>
      <c r="V1219" s="36"/>
      <c r="W1219" s="36"/>
      <c r="X1219" s="36"/>
      <c r="Y1219" s="36"/>
    </row>
    <row r="1220">
      <c r="A1220" s="32"/>
      <c r="B1220" s="32"/>
      <c r="C1220" s="32"/>
      <c r="D1220" s="32"/>
      <c r="E1220" s="32"/>
      <c r="F1220" s="32"/>
      <c r="G1220" s="39"/>
      <c r="H1220" s="32"/>
      <c r="I1220" s="32"/>
      <c r="J1220" s="32"/>
      <c r="K1220" s="33"/>
      <c r="L1220" s="32"/>
      <c r="M1220" s="32"/>
      <c r="N1220" s="32"/>
      <c r="O1220" s="32"/>
      <c r="P1220" s="32"/>
      <c r="Q1220" s="34"/>
      <c r="R1220" s="35"/>
      <c r="S1220" s="35"/>
      <c r="T1220" s="36"/>
      <c r="U1220" s="36"/>
      <c r="V1220" s="36"/>
      <c r="W1220" s="36"/>
      <c r="X1220" s="36"/>
      <c r="Y1220" s="36"/>
    </row>
    <row r="1221">
      <c r="A1221" s="32"/>
      <c r="B1221" s="32"/>
      <c r="C1221" s="32"/>
      <c r="D1221" s="32"/>
      <c r="E1221" s="32"/>
      <c r="F1221" s="32"/>
      <c r="G1221" s="39"/>
      <c r="H1221" s="32"/>
      <c r="I1221" s="32"/>
      <c r="J1221" s="32"/>
      <c r="K1221" s="33"/>
      <c r="L1221" s="32"/>
      <c r="M1221" s="32"/>
      <c r="N1221" s="32"/>
      <c r="O1221" s="32"/>
      <c r="P1221" s="32"/>
      <c r="Q1221" s="34"/>
      <c r="R1221" s="35"/>
      <c r="S1221" s="35"/>
      <c r="T1221" s="36"/>
      <c r="U1221" s="36"/>
      <c r="V1221" s="36"/>
      <c r="W1221" s="36"/>
      <c r="X1221" s="36"/>
      <c r="Y1221" s="36"/>
    </row>
    <row r="1222">
      <c r="A1222" s="32"/>
      <c r="B1222" s="32"/>
      <c r="C1222" s="32"/>
      <c r="D1222" s="32"/>
      <c r="E1222" s="32"/>
      <c r="F1222" s="32"/>
      <c r="G1222" s="39"/>
      <c r="H1222" s="32"/>
      <c r="I1222" s="32"/>
      <c r="J1222" s="32"/>
      <c r="K1222" s="33"/>
      <c r="L1222" s="32"/>
      <c r="M1222" s="32"/>
      <c r="N1222" s="32"/>
      <c r="O1222" s="32"/>
      <c r="P1222" s="32"/>
      <c r="Q1222" s="34"/>
      <c r="R1222" s="35"/>
      <c r="S1222" s="35"/>
      <c r="T1222" s="36"/>
      <c r="U1222" s="36"/>
      <c r="V1222" s="36"/>
      <c r="W1222" s="36"/>
      <c r="X1222" s="36"/>
      <c r="Y1222" s="36"/>
    </row>
    <row r="1223">
      <c r="A1223" s="32"/>
      <c r="B1223" s="32"/>
      <c r="C1223" s="32"/>
      <c r="D1223" s="32"/>
      <c r="E1223" s="32"/>
      <c r="F1223" s="32"/>
      <c r="G1223" s="39"/>
      <c r="H1223" s="32"/>
      <c r="I1223" s="32"/>
      <c r="J1223" s="32"/>
      <c r="K1223" s="33"/>
      <c r="L1223" s="32"/>
      <c r="M1223" s="32"/>
      <c r="N1223" s="32"/>
      <c r="O1223" s="32"/>
      <c r="P1223" s="32"/>
      <c r="Q1223" s="34"/>
      <c r="R1223" s="35"/>
      <c r="S1223" s="35"/>
      <c r="T1223" s="36"/>
      <c r="U1223" s="36"/>
      <c r="V1223" s="36"/>
      <c r="W1223" s="36"/>
      <c r="X1223" s="36"/>
      <c r="Y1223" s="36"/>
    </row>
    <row r="1224">
      <c r="A1224" s="32"/>
      <c r="B1224" s="32"/>
      <c r="C1224" s="32"/>
      <c r="D1224" s="32"/>
      <c r="E1224" s="32"/>
      <c r="F1224" s="32"/>
      <c r="G1224" s="39"/>
      <c r="H1224" s="32"/>
      <c r="I1224" s="32"/>
      <c r="J1224" s="32"/>
      <c r="K1224" s="33"/>
      <c r="L1224" s="32"/>
      <c r="M1224" s="32"/>
      <c r="N1224" s="32"/>
      <c r="O1224" s="32"/>
      <c r="P1224" s="32"/>
      <c r="Q1224" s="34"/>
      <c r="R1224" s="35"/>
      <c r="S1224" s="35"/>
      <c r="T1224" s="36"/>
      <c r="U1224" s="36"/>
      <c r="V1224" s="36"/>
      <c r="W1224" s="36"/>
      <c r="X1224" s="36"/>
      <c r="Y1224" s="36"/>
    </row>
    <row r="1225">
      <c r="A1225" s="32"/>
      <c r="B1225" s="32"/>
      <c r="C1225" s="32"/>
      <c r="D1225" s="32"/>
      <c r="E1225" s="32"/>
      <c r="F1225" s="32"/>
      <c r="G1225" s="39"/>
      <c r="H1225" s="32"/>
      <c r="I1225" s="32"/>
      <c r="J1225" s="32"/>
      <c r="K1225" s="33"/>
      <c r="L1225" s="32"/>
      <c r="M1225" s="32"/>
      <c r="N1225" s="32"/>
      <c r="O1225" s="32"/>
      <c r="P1225" s="32"/>
      <c r="Q1225" s="34"/>
      <c r="R1225" s="35"/>
      <c r="S1225" s="35"/>
      <c r="T1225" s="36"/>
      <c r="U1225" s="36"/>
      <c r="V1225" s="36"/>
      <c r="W1225" s="36"/>
      <c r="X1225" s="36"/>
      <c r="Y1225" s="36"/>
    </row>
    <row r="1226">
      <c r="A1226" s="32"/>
      <c r="B1226" s="32"/>
      <c r="C1226" s="32"/>
      <c r="D1226" s="32"/>
      <c r="E1226" s="32"/>
      <c r="F1226" s="32"/>
      <c r="G1226" s="39"/>
      <c r="H1226" s="32"/>
      <c r="I1226" s="32"/>
      <c r="J1226" s="32"/>
      <c r="K1226" s="33"/>
      <c r="L1226" s="32"/>
      <c r="M1226" s="32"/>
      <c r="N1226" s="32"/>
      <c r="O1226" s="32"/>
      <c r="P1226" s="32"/>
      <c r="Q1226" s="34"/>
      <c r="R1226" s="35"/>
      <c r="S1226" s="35"/>
      <c r="T1226" s="36"/>
      <c r="U1226" s="36"/>
      <c r="V1226" s="36"/>
      <c r="W1226" s="36"/>
      <c r="X1226" s="36"/>
      <c r="Y1226" s="36"/>
    </row>
    <row r="1227">
      <c r="A1227" s="32"/>
      <c r="B1227" s="32"/>
      <c r="C1227" s="32"/>
      <c r="D1227" s="32"/>
      <c r="E1227" s="32"/>
      <c r="F1227" s="32"/>
      <c r="G1227" s="39"/>
      <c r="H1227" s="32"/>
      <c r="I1227" s="32"/>
      <c r="J1227" s="32"/>
      <c r="K1227" s="33"/>
      <c r="L1227" s="32"/>
      <c r="M1227" s="32"/>
      <c r="N1227" s="32"/>
      <c r="O1227" s="32"/>
      <c r="P1227" s="32"/>
      <c r="Q1227" s="34"/>
      <c r="R1227" s="35"/>
      <c r="S1227" s="35"/>
      <c r="T1227" s="36"/>
      <c r="U1227" s="36"/>
      <c r="V1227" s="36"/>
      <c r="W1227" s="36"/>
      <c r="X1227" s="36"/>
      <c r="Y1227" s="36"/>
    </row>
    <row r="1228">
      <c r="A1228" s="32"/>
      <c r="B1228" s="32"/>
      <c r="C1228" s="32"/>
      <c r="D1228" s="32"/>
      <c r="E1228" s="32"/>
      <c r="F1228" s="32"/>
      <c r="G1228" s="39"/>
      <c r="H1228" s="32"/>
      <c r="I1228" s="32"/>
      <c r="J1228" s="32"/>
      <c r="K1228" s="33"/>
      <c r="L1228" s="32"/>
      <c r="M1228" s="32"/>
      <c r="N1228" s="32"/>
      <c r="O1228" s="32"/>
      <c r="P1228" s="32"/>
      <c r="Q1228" s="34"/>
      <c r="R1228" s="35"/>
      <c r="S1228" s="35"/>
      <c r="T1228" s="36"/>
      <c r="U1228" s="36"/>
      <c r="V1228" s="36"/>
      <c r="W1228" s="36"/>
      <c r="X1228" s="36"/>
      <c r="Y1228" s="36"/>
    </row>
    <row r="1229">
      <c r="A1229" s="32"/>
      <c r="B1229" s="32"/>
      <c r="C1229" s="32"/>
      <c r="D1229" s="32"/>
      <c r="E1229" s="32"/>
      <c r="F1229" s="32"/>
      <c r="G1229" s="39"/>
      <c r="H1229" s="32"/>
      <c r="I1229" s="32"/>
      <c r="J1229" s="32"/>
      <c r="K1229" s="33"/>
      <c r="L1229" s="32"/>
      <c r="M1229" s="32"/>
      <c r="N1229" s="32"/>
      <c r="O1229" s="32"/>
      <c r="P1229" s="32"/>
      <c r="Q1229" s="34"/>
      <c r="R1229" s="35"/>
      <c r="S1229" s="35"/>
      <c r="T1229" s="36"/>
      <c r="U1229" s="36"/>
      <c r="V1229" s="36"/>
      <c r="W1229" s="36"/>
      <c r="X1229" s="36"/>
      <c r="Y1229" s="36"/>
    </row>
    <row r="1230">
      <c r="A1230" s="32"/>
      <c r="B1230" s="32"/>
      <c r="C1230" s="32"/>
      <c r="D1230" s="32"/>
      <c r="E1230" s="32"/>
      <c r="F1230" s="32"/>
      <c r="G1230" s="39"/>
      <c r="H1230" s="32"/>
      <c r="I1230" s="32"/>
      <c r="J1230" s="32"/>
      <c r="K1230" s="33"/>
      <c r="L1230" s="32"/>
      <c r="M1230" s="32"/>
      <c r="N1230" s="32"/>
      <c r="O1230" s="32"/>
      <c r="P1230" s="32"/>
      <c r="Q1230" s="34"/>
      <c r="R1230" s="35"/>
      <c r="S1230" s="35"/>
      <c r="T1230" s="36"/>
      <c r="U1230" s="36"/>
      <c r="V1230" s="36"/>
      <c r="W1230" s="36"/>
      <c r="X1230" s="36"/>
      <c r="Y1230" s="36"/>
    </row>
    <row r="1231">
      <c r="A1231" s="32"/>
      <c r="B1231" s="32"/>
      <c r="C1231" s="32"/>
      <c r="D1231" s="32"/>
      <c r="E1231" s="32"/>
      <c r="F1231" s="32"/>
      <c r="G1231" s="39"/>
      <c r="H1231" s="32"/>
      <c r="I1231" s="32"/>
      <c r="J1231" s="32"/>
      <c r="K1231" s="33"/>
      <c r="L1231" s="32"/>
      <c r="M1231" s="32"/>
      <c r="N1231" s="32"/>
      <c r="O1231" s="32"/>
      <c r="P1231" s="32"/>
      <c r="Q1231" s="34"/>
      <c r="R1231" s="35"/>
      <c r="S1231" s="35"/>
      <c r="T1231" s="36"/>
      <c r="U1231" s="36"/>
      <c r="V1231" s="36"/>
      <c r="W1231" s="36"/>
      <c r="X1231" s="36"/>
      <c r="Y1231" s="36"/>
    </row>
    <row r="1232">
      <c r="A1232" s="32"/>
      <c r="B1232" s="32"/>
      <c r="C1232" s="32"/>
      <c r="D1232" s="32"/>
      <c r="E1232" s="32"/>
      <c r="F1232" s="32"/>
      <c r="G1232" s="39"/>
      <c r="H1232" s="32"/>
      <c r="I1232" s="32"/>
      <c r="J1232" s="32"/>
      <c r="K1232" s="33"/>
      <c r="L1232" s="32"/>
      <c r="M1232" s="32"/>
      <c r="N1232" s="32"/>
      <c r="O1232" s="32"/>
      <c r="P1232" s="32"/>
      <c r="Q1232" s="34"/>
      <c r="R1232" s="35"/>
      <c r="S1232" s="35"/>
      <c r="T1232" s="36"/>
      <c r="U1232" s="36"/>
      <c r="V1232" s="36"/>
      <c r="W1232" s="36"/>
      <c r="X1232" s="36"/>
      <c r="Y1232" s="36"/>
    </row>
    <row r="1233">
      <c r="A1233" s="32"/>
      <c r="B1233" s="32"/>
      <c r="C1233" s="32"/>
      <c r="D1233" s="32"/>
      <c r="E1233" s="32"/>
      <c r="F1233" s="32"/>
      <c r="G1233" s="39"/>
      <c r="H1233" s="32"/>
      <c r="I1233" s="32"/>
      <c r="J1233" s="32"/>
      <c r="K1233" s="33"/>
      <c r="L1233" s="32"/>
      <c r="M1233" s="32"/>
      <c r="N1233" s="32"/>
      <c r="O1233" s="32"/>
      <c r="P1233" s="32"/>
      <c r="Q1233" s="34"/>
      <c r="R1233" s="35"/>
      <c r="S1233" s="35"/>
      <c r="T1233" s="36"/>
      <c r="U1233" s="36"/>
      <c r="V1233" s="36"/>
      <c r="W1233" s="36"/>
      <c r="X1233" s="36"/>
      <c r="Y1233" s="36"/>
    </row>
    <row r="1234">
      <c r="A1234" s="32"/>
      <c r="B1234" s="32"/>
      <c r="C1234" s="32"/>
      <c r="D1234" s="32"/>
      <c r="E1234" s="32"/>
      <c r="F1234" s="32"/>
      <c r="G1234" s="39"/>
      <c r="H1234" s="32"/>
      <c r="I1234" s="32"/>
      <c r="J1234" s="32"/>
      <c r="K1234" s="33"/>
      <c r="L1234" s="32"/>
      <c r="M1234" s="32"/>
      <c r="N1234" s="32"/>
      <c r="O1234" s="32"/>
      <c r="P1234" s="32"/>
      <c r="Q1234" s="34"/>
      <c r="R1234" s="35"/>
      <c r="S1234" s="35"/>
      <c r="T1234" s="36"/>
      <c r="U1234" s="36"/>
      <c r="V1234" s="36"/>
      <c r="W1234" s="36"/>
      <c r="X1234" s="36"/>
      <c r="Y1234" s="36"/>
    </row>
    <row r="1235">
      <c r="A1235" s="32"/>
      <c r="B1235" s="32"/>
      <c r="C1235" s="32"/>
      <c r="D1235" s="32"/>
      <c r="E1235" s="32"/>
      <c r="F1235" s="32"/>
      <c r="G1235" s="39"/>
      <c r="H1235" s="32"/>
      <c r="I1235" s="32"/>
      <c r="J1235" s="32"/>
      <c r="K1235" s="33"/>
      <c r="L1235" s="32"/>
      <c r="M1235" s="32"/>
      <c r="N1235" s="32"/>
      <c r="O1235" s="32"/>
      <c r="P1235" s="32"/>
      <c r="Q1235" s="34"/>
      <c r="R1235" s="35"/>
      <c r="S1235" s="35"/>
      <c r="T1235" s="36"/>
      <c r="U1235" s="36"/>
      <c r="V1235" s="36"/>
      <c r="W1235" s="36"/>
      <c r="X1235" s="36"/>
      <c r="Y1235" s="36"/>
    </row>
    <row r="1236">
      <c r="A1236" s="32"/>
      <c r="B1236" s="32"/>
      <c r="C1236" s="32"/>
      <c r="D1236" s="32"/>
      <c r="E1236" s="32"/>
      <c r="F1236" s="32"/>
      <c r="G1236" s="39"/>
      <c r="H1236" s="32"/>
      <c r="I1236" s="32"/>
      <c r="J1236" s="32"/>
      <c r="K1236" s="33"/>
      <c r="L1236" s="32"/>
      <c r="M1236" s="32"/>
      <c r="N1236" s="32"/>
      <c r="O1236" s="32"/>
      <c r="P1236" s="32"/>
      <c r="Q1236" s="34"/>
      <c r="R1236" s="35"/>
      <c r="S1236" s="35"/>
      <c r="T1236" s="36"/>
      <c r="U1236" s="36"/>
      <c r="V1236" s="36"/>
      <c r="W1236" s="36"/>
      <c r="X1236" s="36"/>
      <c r="Y1236" s="36"/>
    </row>
    <row r="1237">
      <c r="A1237" s="32"/>
      <c r="B1237" s="32"/>
      <c r="C1237" s="32"/>
      <c r="D1237" s="32"/>
      <c r="E1237" s="32"/>
      <c r="F1237" s="32"/>
      <c r="G1237" s="39"/>
      <c r="H1237" s="32"/>
      <c r="I1237" s="32"/>
      <c r="J1237" s="32"/>
      <c r="K1237" s="33"/>
      <c r="L1237" s="32"/>
      <c r="M1237" s="32"/>
      <c r="N1237" s="32"/>
      <c r="O1237" s="32"/>
      <c r="P1237" s="32"/>
      <c r="Q1237" s="34"/>
      <c r="R1237" s="35"/>
      <c r="S1237" s="35"/>
      <c r="T1237" s="36"/>
      <c r="U1237" s="36"/>
      <c r="V1237" s="36"/>
      <c r="W1237" s="36"/>
      <c r="X1237" s="36"/>
      <c r="Y1237" s="36"/>
    </row>
    <row r="1238">
      <c r="A1238" s="32"/>
      <c r="B1238" s="32"/>
      <c r="C1238" s="32"/>
      <c r="D1238" s="32"/>
      <c r="E1238" s="32"/>
      <c r="F1238" s="32"/>
      <c r="G1238" s="39"/>
      <c r="H1238" s="32"/>
      <c r="I1238" s="32"/>
      <c r="J1238" s="32"/>
      <c r="K1238" s="33"/>
      <c r="L1238" s="32"/>
      <c r="M1238" s="32"/>
      <c r="N1238" s="32"/>
      <c r="O1238" s="32"/>
      <c r="P1238" s="32"/>
      <c r="Q1238" s="34"/>
      <c r="R1238" s="35"/>
      <c r="S1238" s="35"/>
      <c r="T1238" s="36"/>
      <c r="U1238" s="36"/>
      <c r="V1238" s="36"/>
      <c r="W1238" s="36"/>
      <c r="X1238" s="36"/>
      <c r="Y1238" s="36"/>
    </row>
    <row r="1239">
      <c r="A1239" s="32"/>
      <c r="B1239" s="32"/>
      <c r="C1239" s="32"/>
      <c r="D1239" s="32"/>
      <c r="E1239" s="32"/>
      <c r="F1239" s="32"/>
      <c r="G1239" s="39"/>
      <c r="H1239" s="32"/>
      <c r="I1239" s="32"/>
      <c r="J1239" s="32"/>
      <c r="K1239" s="33"/>
      <c r="L1239" s="32"/>
      <c r="M1239" s="32"/>
      <c r="N1239" s="32"/>
      <c r="O1239" s="32"/>
      <c r="P1239" s="32"/>
      <c r="Q1239" s="34"/>
      <c r="R1239" s="35"/>
      <c r="S1239" s="35"/>
      <c r="T1239" s="36"/>
      <c r="U1239" s="36"/>
      <c r="V1239" s="36"/>
      <c r="W1239" s="36"/>
      <c r="X1239" s="36"/>
      <c r="Y1239" s="36"/>
    </row>
    <row r="1240">
      <c r="A1240" s="32"/>
      <c r="B1240" s="32"/>
      <c r="C1240" s="32"/>
      <c r="D1240" s="32"/>
      <c r="E1240" s="32"/>
      <c r="F1240" s="32"/>
      <c r="G1240" s="39"/>
      <c r="H1240" s="32"/>
      <c r="I1240" s="32"/>
      <c r="J1240" s="32"/>
      <c r="K1240" s="33"/>
      <c r="L1240" s="32"/>
      <c r="M1240" s="32"/>
      <c r="N1240" s="32"/>
      <c r="O1240" s="32"/>
      <c r="P1240" s="32"/>
      <c r="Q1240" s="34"/>
      <c r="R1240" s="35"/>
      <c r="S1240" s="35"/>
      <c r="T1240" s="36"/>
      <c r="U1240" s="36"/>
      <c r="V1240" s="36"/>
      <c r="W1240" s="36"/>
      <c r="X1240" s="36"/>
      <c r="Y1240" s="36"/>
    </row>
    <row r="1241">
      <c r="A1241" s="32"/>
      <c r="B1241" s="32"/>
      <c r="C1241" s="32"/>
      <c r="D1241" s="32"/>
      <c r="E1241" s="32"/>
      <c r="F1241" s="32"/>
      <c r="G1241" s="39"/>
      <c r="H1241" s="32"/>
      <c r="I1241" s="32"/>
      <c r="J1241" s="32"/>
      <c r="K1241" s="33"/>
      <c r="L1241" s="32"/>
      <c r="M1241" s="32"/>
      <c r="N1241" s="32"/>
      <c r="O1241" s="32"/>
      <c r="P1241" s="32"/>
      <c r="Q1241" s="34"/>
      <c r="R1241" s="35"/>
      <c r="S1241" s="35"/>
      <c r="T1241" s="36"/>
      <c r="U1241" s="36"/>
      <c r="V1241" s="36"/>
      <c r="W1241" s="36"/>
      <c r="X1241" s="36"/>
      <c r="Y1241" s="36"/>
    </row>
    <row r="1242">
      <c r="A1242" s="32"/>
      <c r="B1242" s="32"/>
      <c r="C1242" s="32"/>
      <c r="D1242" s="32"/>
      <c r="E1242" s="32"/>
      <c r="F1242" s="32"/>
      <c r="G1242" s="39"/>
      <c r="H1242" s="32"/>
      <c r="I1242" s="32"/>
      <c r="J1242" s="32"/>
      <c r="K1242" s="33"/>
      <c r="L1242" s="32"/>
      <c r="M1242" s="32"/>
      <c r="N1242" s="32"/>
      <c r="O1242" s="32"/>
      <c r="P1242" s="32"/>
      <c r="Q1242" s="34"/>
      <c r="R1242" s="35"/>
      <c r="S1242" s="35"/>
      <c r="T1242" s="36"/>
      <c r="U1242" s="36"/>
      <c r="V1242" s="36"/>
      <c r="W1242" s="36"/>
      <c r="X1242" s="36"/>
      <c r="Y1242" s="36"/>
    </row>
    <row r="1243">
      <c r="A1243" s="32"/>
      <c r="B1243" s="32"/>
      <c r="C1243" s="32"/>
      <c r="D1243" s="32"/>
      <c r="E1243" s="32"/>
      <c r="F1243" s="32"/>
      <c r="G1243" s="39"/>
      <c r="H1243" s="32"/>
      <c r="I1243" s="32"/>
      <c r="J1243" s="32"/>
      <c r="K1243" s="33"/>
      <c r="L1243" s="32"/>
      <c r="M1243" s="32"/>
      <c r="N1243" s="32"/>
      <c r="O1243" s="32"/>
      <c r="P1243" s="32"/>
      <c r="Q1243" s="34"/>
      <c r="R1243" s="35"/>
      <c r="S1243" s="35"/>
      <c r="T1243" s="36"/>
      <c r="U1243" s="36"/>
      <c r="V1243" s="36"/>
      <c r="W1243" s="36"/>
      <c r="X1243" s="36"/>
      <c r="Y1243" s="36"/>
    </row>
    <row r="1244">
      <c r="A1244" s="32"/>
      <c r="B1244" s="32"/>
      <c r="C1244" s="32"/>
      <c r="D1244" s="32"/>
      <c r="E1244" s="32"/>
      <c r="F1244" s="32"/>
      <c r="G1244" s="39"/>
      <c r="H1244" s="32"/>
      <c r="I1244" s="32"/>
      <c r="J1244" s="32"/>
      <c r="K1244" s="33"/>
      <c r="L1244" s="32"/>
      <c r="M1244" s="32"/>
      <c r="N1244" s="32"/>
      <c r="O1244" s="32"/>
      <c r="P1244" s="32"/>
      <c r="Q1244" s="34"/>
      <c r="R1244" s="35"/>
      <c r="S1244" s="35"/>
      <c r="T1244" s="36"/>
      <c r="U1244" s="36"/>
      <c r="V1244" s="36"/>
      <c r="W1244" s="36"/>
      <c r="X1244" s="36"/>
      <c r="Y1244" s="36"/>
    </row>
    <row r="1245">
      <c r="A1245" s="32"/>
      <c r="B1245" s="32"/>
      <c r="C1245" s="32"/>
      <c r="D1245" s="32"/>
      <c r="E1245" s="32"/>
      <c r="F1245" s="32"/>
      <c r="G1245" s="39"/>
      <c r="H1245" s="32"/>
      <c r="I1245" s="32"/>
      <c r="J1245" s="32"/>
      <c r="K1245" s="33"/>
      <c r="L1245" s="32"/>
      <c r="M1245" s="32"/>
      <c r="N1245" s="32"/>
      <c r="O1245" s="32"/>
      <c r="P1245" s="32"/>
      <c r="Q1245" s="34"/>
      <c r="R1245" s="35"/>
      <c r="S1245" s="35"/>
      <c r="T1245" s="36"/>
      <c r="U1245" s="36"/>
      <c r="V1245" s="36"/>
      <c r="W1245" s="36"/>
      <c r="X1245" s="36"/>
      <c r="Y1245" s="36"/>
    </row>
    <row r="1246">
      <c r="A1246" s="32"/>
      <c r="B1246" s="32"/>
      <c r="C1246" s="32"/>
      <c r="D1246" s="32"/>
      <c r="E1246" s="32"/>
      <c r="F1246" s="32"/>
      <c r="G1246" s="39"/>
      <c r="H1246" s="32"/>
      <c r="I1246" s="32"/>
      <c r="J1246" s="32"/>
      <c r="K1246" s="33"/>
      <c r="L1246" s="32"/>
      <c r="M1246" s="32"/>
      <c r="N1246" s="32"/>
      <c r="O1246" s="32"/>
      <c r="P1246" s="32"/>
      <c r="Q1246" s="34"/>
      <c r="R1246" s="35"/>
      <c r="S1246" s="35"/>
      <c r="T1246" s="36"/>
      <c r="U1246" s="36"/>
      <c r="V1246" s="36"/>
      <c r="W1246" s="36"/>
      <c r="X1246" s="36"/>
      <c r="Y1246" s="36"/>
    </row>
    <row r="1247">
      <c r="A1247" s="32"/>
      <c r="B1247" s="32"/>
      <c r="C1247" s="32"/>
      <c r="D1247" s="32"/>
      <c r="E1247" s="32"/>
      <c r="F1247" s="32"/>
      <c r="G1247" s="39"/>
      <c r="H1247" s="32"/>
      <c r="I1247" s="32"/>
      <c r="J1247" s="32"/>
      <c r="K1247" s="33"/>
      <c r="L1247" s="32"/>
      <c r="M1247" s="32"/>
      <c r="N1247" s="32"/>
      <c r="O1247" s="32"/>
      <c r="P1247" s="32"/>
      <c r="Q1247" s="34"/>
      <c r="R1247" s="35"/>
      <c r="S1247" s="35"/>
      <c r="T1247" s="36"/>
      <c r="U1247" s="36"/>
      <c r="V1247" s="36"/>
      <c r="W1247" s="36"/>
      <c r="X1247" s="36"/>
      <c r="Y1247" s="36"/>
    </row>
    <row r="1248">
      <c r="A1248" s="32"/>
      <c r="B1248" s="32"/>
      <c r="C1248" s="32"/>
      <c r="D1248" s="32"/>
      <c r="E1248" s="32"/>
      <c r="F1248" s="32"/>
      <c r="G1248" s="39"/>
      <c r="H1248" s="32"/>
      <c r="I1248" s="32"/>
      <c r="J1248" s="32"/>
      <c r="K1248" s="33"/>
      <c r="L1248" s="32"/>
      <c r="M1248" s="32"/>
      <c r="N1248" s="32"/>
      <c r="O1248" s="32"/>
      <c r="P1248" s="32"/>
      <c r="Q1248" s="34"/>
      <c r="R1248" s="35"/>
      <c r="S1248" s="35"/>
      <c r="T1248" s="36"/>
      <c r="U1248" s="36"/>
      <c r="V1248" s="36"/>
      <c r="W1248" s="36"/>
      <c r="X1248" s="36"/>
      <c r="Y1248" s="36"/>
    </row>
    <row r="1249">
      <c r="A1249" s="32"/>
      <c r="B1249" s="32"/>
      <c r="C1249" s="32"/>
      <c r="D1249" s="32"/>
      <c r="E1249" s="32"/>
      <c r="F1249" s="32"/>
      <c r="G1249" s="39"/>
      <c r="H1249" s="32"/>
      <c r="I1249" s="32"/>
      <c r="J1249" s="32"/>
      <c r="K1249" s="33"/>
      <c r="L1249" s="32"/>
      <c r="M1249" s="32"/>
      <c r="N1249" s="32"/>
      <c r="O1249" s="32"/>
      <c r="P1249" s="32"/>
      <c r="Q1249" s="34"/>
      <c r="R1249" s="35"/>
      <c r="S1249" s="35"/>
      <c r="T1249" s="36"/>
      <c r="U1249" s="36"/>
      <c r="V1249" s="36"/>
      <c r="W1249" s="36"/>
      <c r="X1249" s="36"/>
      <c r="Y1249" s="36"/>
    </row>
    <row r="1250">
      <c r="A1250" s="32"/>
      <c r="B1250" s="32"/>
      <c r="C1250" s="32"/>
      <c r="D1250" s="32"/>
      <c r="E1250" s="32"/>
      <c r="F1250" s="32"/>
      <c r="G1250" s="39"/>
      <c r="H1250" s="32"/>
      <c r="I1250" s="32"/>
      <c r="J1250" s="32"/>
      <c r="K1250" s="33"/>
      <c r="L1250" s="32"/>
      <c r="M1250" s="32"/>
      <c r="N1250" s="32"/>
      <c r="O1250" s="32"/>
      <c r="P1250" s="32"/>
      <c r="Q1250" s="34"/>
      <c r="R1250" s="35"/>
      <c r="S1250" s="35"/>
      <c r="T1250" s="36"/>
      <c r="U1250" s="36"/>
      <c r="V1250" s="36"/>
      <c r="W1250" s="36"/>
      <c r="X1250" s="36"/>
      <c r="Y1250" s="36"/>
    </row>
    <row r="1251">
      <c r="A1251" s="32"/>
      <c r="B1251" s="32"/>
      <c r="C1251" s="32"/>
      <c r="D1251" s="32"/>
      <c r="E1251" s="32"/>
      <c r="F1251" s="32"/>
      <c r="G1251" s="39"/>
      <c r="H1251" s="32"/>
      <c r="I1251" s="32"/>
      <c r="J1251" s="32"/>
      <c r="K1251" s="33"/>
      <c r="L1251" s="32"/>
      <c r="M1251" s="32"/>
      <c r="N1251" s="32"/>
      <c r="O1251" s="32"/>
      <c r="P1251" s="32"/>
      <c r="Q1251" s="34"/>
      <c r="R1251" s="35"/>
      <c r="S1251" s="35"/>
      <c r="T1251" s="36"/>
      <c r="U1251" s="36"/>
      <c r="V1251" s="36"/>
      <c r="W1251" s="36"/>
      <c r="X1251" s="36"/>
      <c r="Y1251" s="36"/>
    </row>
    <row r="1252">
      <c r="A1252" s="32"/>
      <c r="B1252" s="32"/>
      <c r="C1252" s="32"/>
      <c r="D1252" s="32"/>
      <c r="E1252" s="32"/>
      <c r="F1252" s="32"/>
      <c r="G1252" s="39"/>
      <c r="H1252" s="32"/>
      <c r="I1252" s="32"/>
      <c r="J1252" s="32"/>
      <c r="K1252" s="33"/>
      <c r="L1252" s="32"/>
      <c r="M1252" s="32"/>
      <c r="N1252" s="32"/>
      <c r="O1252" s="32"/>
      <c r="P1252" s="32"/>
      <c r="Q1252" s="34"/>
      <c r="R1252" s="35"/>
      <c r="S1252" s="35"/>
      <c r="T1252" s="36"/>
      <c r="U1252" s="36"/>
      <c r="V1252" s="36"/>
      <c r="W1252" s="36"/>
      <c r="X1252" s="36"/>
      <c r="Y1252" s="36"/>
    </row>
    <row r="1253">
      <c r="A1253" s="32"/>
      <c r="B1253" s="32"/>
      <c r="C1253" s="32"/>
      <c r="D1253" s="32"/>
      <c r="E1253" s="32"/>
      <c r="F1253" s="32"/>
      <c r="G1253" s="39"/>
      <c r="H1253" s="32"/>
      <c r="I1253" s="32"/>
      <c r="J1253" s="32"/>
      <c r="K1253" s="33"/>
      <c r="L1253" s="32"/>
      <c r="M1253" s="32"/>
      <c r="N1253" s="32"/>
      <c r="O1253" s="32"/>
      <c r="P1253" s="32"/>
      <c r="Q1253" s="34"/>
      <c r="R1253" s="35"/>
      <c r="S1253" s="35"/>
      <c r="T1253" s="36"/>
      <c r="U1253" s="36"/>
      <c r="V1253" s="36"/>
      <c r="W1253" s="36"/>
      <c r="X1253" s="36"/>
      <c r="Y1253" s="36"/>
    </row>
    <row r="1254">
      <c r="A1254" s="32"/>
      <c r="B1254" s="32"/>
      <c r="C1254" s="32"/>
      <c r="D1254" s="32"/>
      <c r="E1254" s="32"/>
      <c r="F1254" s="32"/>
      <c r="G1254" s="39"/>
      <c r="H1254" s="32"/>
      <c r="I1254" s="32"/>
      <c r="J1254" s="32"/>
      <c r="K1254" s="33"/>
      <c r="L1254" s="32"/>
      <c r="M1254" s="32"/>
      <c r="N1254" s="32"/>
      <c r="O1254" s="32"/>
      <c r="P1254" s="32"/>
      <c r="Q1254" s="34"/>
      <c r="R1254" s="35"/>
      <c r="S1254" s="35"/>
      <c r="T1254" s="36"/>
      <c r="U1254" s="36"/>
      <c r="V1254" s="36"/>
      <c r="W1254" s="36"/>
      <c r="X1254" s="36"/>
      <c r="Y1254" s="36"/>
    </row>
    <row r="1255">
      <c r="A1255" s="32"/>
      <c r="B1255" s="32"/>
      <c r="C1255" s="32"/>
      <c r="D1255" s="32"/>
      <c r="E1255" s="32"/>
      <c r="F1255" s="32"/>
      <c r="G1255" s="39"/>
      <c r="H1255" s="32"/>
      <c r="I1255" s="32"/>
      <c r="J1255" s="32"/>
      <c r="K1255" s="33"/>
      <c r="L1255" s="32"/>
      <c r="M1255" s="32"/>
      <c r="N1255" s="32"/>
      <c r="O1255" s="32"/>
      <c r="P1255" s="32"/>
      <c r="Q1255" s="34"/>
      <c r="R1255" s="35"/>
      <c r="S1255" s="35"/>
      <c r="T1255" s="36"/>
      <c r="U1255" s="36"/>
      <c r="V1255" s="36"/>
      <c r="W1255" s="36"/>
      <c r="X1255" s="36"/>
      <c r="Y1255" s="36"/>
    </row>
    <row r="1256">
      <c r="A1256" s="32"/>
      <c r="B1256" s="32"/>
      <c r="C1256" s="32"/>
      <c r="D1256" s="32"/>
      <c r="E1256" s="32"/>
      <c r="F1256" s="32"/>
      <c r="G1256" s="39"/>
      <c r="H1256" s="32"/>
      <c r="I1256" s="32"/>
      <c r="J1256" s="32"/>
      <c r="K1256" s="33"/>
      <c r="L1256" s="32"/>
      <c r="M1256" s="32"/>
      <c r="N1256" s="32"/>
      <c r="O1256" s="32"/>
      <c r="P1256" s="32"/>
      <c r="Q1256" s="34"/>
      <c r="R1256" s="35"/>
      <c r="S1256" s="35"/>
      <c r="T1256" s="36"/>
      <c r="U1256" s="36"/>
      <c r="V1256" s="36"/>
      <c r="W1256" s="36"/>
      <c r="X1256" s="36"/>
      <c r="Y1256" s="36"/>
    </row>
    <row r="1257">
      <c r="A1257" s="32"/>
      <c r="B1257" s="32"/>
      <c r="C1257" s="32"/>
      <c r="D1257" s="32"/>
      <c r="E1257" s="32"/>
      <c r="F1257" s="32"/>
      <c r="G1257" s="39"/>
      <c r="H1257" s="32"/>
      <c r="I1257" s="32"/>
      <c r="J1257" s="32"/>
      <c r="K1257" s="33"/>
      <c r="L1257" s="32"/>
      <c r="M1257" s="32"/>
      <c r="N1257" s="32"/>
      <c r="O1257" s="32"/>
      <c r="P1257" s="32"/>
      <c r="Q1257" s="34"/>
      <c r="R1257" s="35"/>
      <c r="S1257" s="35"/>
      <c r="T1257" s="36"/>
      <c r="U1257" s="36"/>
      <c r="V1257" s="36"/>
      <c r="W1257" s="36"/>
      <c r="X1257" s="36"/>
      <c r="Y1257" s="36"/>
    </row>
    <row r="1258">
      <c r="A1258" s="32"/>
      <c r="B1258" s="32"/>
      <c r="C1258" s="32"/>
      <c r="D1258" s="32"/>
      <c r="E1258" s="32"/>
      <c r="F1258" s="32"/>
      <c r="G1258" s="39"/>
      <c r="H1258" s="32"/>
      <c r="I1258" s="32"/>
      <c r="J1258" s="32"/>
      <c r="K1258" s="33"/>
      <c r="L1258" s="32"/>
      <c r="M1258" s="32"/>
      <c r="N1258" s="32"/>
      <c r="O1258" s="32"/>
      <c r="P1258" s="32"/>
      <c r="Q1258" s="34"/>
      <c r="R1258" s="35"/>
      <c r="S1258" s="35"/>
      <c r="T1258" s="36"/>
      <c r="U1258" s="36"/>
      <c r="V1258" s="36"/>
      <c r="W1258" s="36"/>
      <c r="X1258" s="36"/>
      <c r="Y1258" s="36"/>
    </row>
    <row r="1259">
      <c r="A1259" s="32"/>
      <c r="B1259" s="32"/>
      <c r="C1259" s="32"/>
      <c r="D1259" s="32"/>
      <c r="E1259" s="32"/>
      <c r="F1259" s="32"/>
      <c r="G1259" s="39"/>
      <c r="H1259" s="32"/>
      <c r="I1259" s="32"/>
      <c r="J1259" s="32"/>
      <c r="K1259" s="33"/>
      <c r="L1259" s="32"/>
      <c r="M1259" s="32"/>
      <c r="N1259" s="32"/>
      <c r="O1259" s="32"/>
      <c r="P1259" s="32"/>
      <c r="Q1259" s="34"/>
      <c r="R1259" s="35"/>
      <c r="S1259" s="35"/>
      <c r="T1259" s="36"/>
      <c r="U1259" s="36"/>
      <c r="V1259" s="36"/>
      <c r="W1259" s="36"/>
      <c r="X1259" s="36"/>
      <c r="Y1259" s="36"/>
    </row>
    <row r="1260">
      <c r="A1260" s="32"/>
      <c r="B1260" s="32"/>
      <c r="C1260" s="32"/>
      <c r="D1260" s="32"/>
      <c r="E1260" s="32"/>
      <c r="F1260" s="32"/>
      <c r="G1260" s="39"/>
      <c r="H1260" s="32"/>
      <c r="I1260" s="32"/>
      <c r="J1260" s="32"/>
      <c r="K1260" s="33"/>
      <c r="L1260" s="32"/>
      <c r="M1260" s="32"/>
      <c r="N1260" s="32"/>
      <c r="O1260" s="32"/>
      <c r="P1260" s="32"/>
      <c r="Q1260" s="34"/>
      <c r="R1260" s="35"/>
      <c r="S1260" s="35"/>
      <c r="T1260" s="36"/>
      <c r="U1260" s="36"/>
      <c r="V1260" s="36"/>
      <c r="W1260" s="36"/>
      <c r="X1260" s="36"/>
      <c r="Y1260" s="36"/>
    </row>
    <row r="1261">
      <c r="A1261" s="32"/>
      <c r="B1261" s="32"/>
      <c r="C1261" s="32"/>
      <c r="D1261" s="32"/>
      <c r="E1261" s="32"/>
      <c r="F1261" s="32"/>
      <c r="G1261" s="39"/>
      <c r="H1261" s="32"/>
      <c r="I1261" s="32"/>
      <c r="J1261" s="32"/>
      <c r="K1261" s="33"/>
      <c r="L1261" s="32"/>
      <c r="M1261" s="32"/>
      <c r="N1261" s="32"/>
      <c r="O1261" s="32"/>
      <c r="P1261" s="32"/>
      <c r="Q1261" s="34"/>
      <c r="R1261" s="35"/>
      <c r="S1261" s="35"/>
      <c r="T1261" s="36"/>
      <c r="U1261" s="36"/>
      <c r="V1261" s="36"/>
      <c r="W1261" s="36"/>
      <c r="X1261" s="36"/>
      <c r="Y1261" s="36"/>
    </row>
    <row r="1262">
      <c r="A1262" s="32"/>
      <c r="B1262" s="32"/>
      <c r="C1262" s="32"/>
      <c r="D1262" s="32"/>
      <c r="E1262" s="32"/>
      <c r="F1262" s="32"/>
      <c r="G1262" s="39"/>
      <c r="H1262" s="32"/>
      <c r="I1262" s="32"/>
      <c r="J1262" s="32"/>
      <c r="K1262" s="33"/>
      <c r="L1262" s="32"/>
      <c r="M1262" s="32"/>
      <c r="N1262" s="32"/>
      <c r="O1262" s="32"/>
      <c r="P1262" s="32"/>
      <c r="Q1262" s="34"/>
      <c r="R1262" s="35"/>
      <c r="S1262" s="35"/>
      <c r="T1262" s="36"/>
      <c r="U1262" s="36"/>
      <c r="V1262" s="36"/>
      <c r="W1262" s="36"/>
      <c r="X1262" s="36"/>
      <c r="Y1262" s="36"/>
    </row>
    <row r="1263">
      <c r="A1263" s="32"/>
      <c r="B1263" s="32"/>
      <c r="C1263" s="32"/>
      <c r="D1263" s="32"/>
      <c r="E1263" s="32"/>
      <c r="F1263" s="32"/>
      <c r="G1263" s="39"/>
      <c r="H1263" s="32"/>
      <c r="I1263" s="32"/>
      <c r="J1263" s="32"/>
      <c r="K1263" s="33"/>
      <c r="L1263" s="32"/>
      <c r="M1263" s="32"/>
      <c r="N1263" s="32"/>
      <c r="O1263" s="32"/>
      <c r="P1263" s="32"/>
      <c r="Q1263" s="34"/>
      <c r="R1263" s="35"/>
      <c r="S1263" s="35"/>
      <c r="T1263" s="36"/>
      <c r="U1263" s="36"/>
      <c r="V1263" s="36"/>
      <c r="W1263" s="36"/>
      <c r="X1263" s="36"/>
      <c r="Y1263" s="36"/>
    </row>
    <row r="1264">
      <c r="A1264" s="32"/>
      <c r="B1264" s="32"/>
      <c r="C1264" s="32"/>
      <c r="D1264" s="32"/>
      <c r="E1264" s="32"/>
      <c r="F1264" s="32"/>
      <c r="G1264" s="39"/>
      <c r="H1264" s="32"/>
      <c r="I1264" s="32"/>
      <c r="J1264" s="32"/>
      <c r="K1264" s="33"/>
      <c r="L1264" s="32"/>
      <c r="M1264" s="32"/>
      <c r="N1264" s="32"/>
      <c r="O1264" s="32"/>
      <c r="P1264" s="32"/>
      <c r="Q1264" s="34"/>
      <c r="R1264" s="35"/>
      <c r="S1264" s="35"/>
      <c r="T1264" s="36"/>
      <c r="U1264" s="36"/>
      <c r="V1264" s="36"/>
      <c r="W1264" s="36"/>
      <c r="X1264" s="36"/>
      <c r="Y1264" s="36"/>
    </row>
    <row r="1265">
      <c r="A1265" s="32"/>
      <c r="B1265" s="32"/>
      <c r="C1265" s="32"/>
      <c r="D1265" s="32"/>
      <c r="E1265" s="32"/>
      <c r="F1265" s="32"/>
      <c r="G1265" s="39"/>
      <c r="H1265" s="32"/>
      <c r="I1265" s="32"/>
      <c r="J1265" s="32"/>
      <c r="K1265" s="33"/>
      <c r="L1265" s="32"/>
      <c r="M1265" s="32"/>
      <c r="N1265" s="32"/>
      <c r="O1265" s="32"/>
      <c r="P1265" s="32"/>
      <c r="Q1265" s="34"/>
      <c r="R1265" s="35"/>
      <c r="S1265" s="35"/>
      <c r="T1265" s="36"/>
      <c r="U1265" s="36"/>
      <c r="V1265" s="36"/>
      <c r="W1265" s="36"/>
      <c r="X1265" s="36"/>
      <c r="Y1265" s="36"/>
    </row>
    <row r="1266">
      <c r="A1266" s="32"/>
      <c r="B1266" s="32"/>
      <c r="C1266" s="32"/>
      <c r="D1266" s="32"/>
      <c r="E1266" s="32"/>
      <c r="F1266" s="32"/>
      <c r="G1266" s="39"/>
      <c r="H1266" s="32"/>
      <c r="I1266" s="32"/>
      <c r="J1266" s="32"/>
      <c r="K1266" s="33"/>
      <c r="L1266" s="32"/>
      <c r="M1266" s="32"/>
      <c r="N1266" s="32"/>
      <c r="O1266" s="32"/>
      <c r="P1266" s="32"/>
      <c r="Q1266" s="34"/>
      <c r="R1266" s="35"/>
      <c r="S1266" s="35"/>
      <c r="T1266" s="36"/>
      <c r="U1266" s="36"/>
      <c r="V1266" s="36"/>
      <c r="W1266" s="36"/>
      <c r="X1266" s="36"/>
      <c r="Y1266" s="36"/>
    </row>
    <row r="1267">
      <c r="A1267" s="32"/>
      <c r="B1267" s="32"/>
      <c r="C1267" s="32"/>
      <c r="D1267" s="32"/>
      <c r="E1267" s="32"/>
      <c r="F1267" s="32"/>
      <c r="G1267" s="39"/>
      <c r="H1267" s="32"/>
      <c r="I1267" s="32"/>
      <c r="J1267" s="32"/>
      <c r="K1267" s="33"/>
      <c r="L1267" s="32"/>
      <c r="M1267" s="32"/>
      <c r="N1267" s="32"/>
      <c r="O1267" s="32"/>
      <c r="P1267" s="32"/>
      <c r="Q1267" s="34"/>
      <c r="R1267" s="35"/>
      <c r="S1267" s="35"/>
      <c r="T1267" s="36"/>
      <c r="U1267" s="36"/>
      <c r="V1267" s="36"/>
      <c r="W1267" s="36"/>
      <c r="X1267" s="36"/>
      <c r="Y1267" s="36"/>
    </row>
    <row r="1268">
      <c r="A1268" s="32"/>
      <c r="B1268" s="32"/>
      <c r="C1268" s="32"/>
      <c r="D1268" s="32"/>
      <c r="E1268" s="32"/>
      <c r="F1268" s="32"/>
      <c r="G1268" s="39"/>
      <c r="H1268" s="32"/>
      <c r="I1268" s="32"/>
      <c r="J1268" s="32"/>
      <c r="K1268" s="33"/>
      <c r="L1268" s="32"/>
      <c r="M1268" s="32"/>
      <c r="N1268" s="32"/>
      <c r="O1268" s="32"/>
      <c r="P1268" s="32"/>
      <c r="Q1268" s="34"/>
      <c r="R1268" s="35"/>
      <c r="S1268" s="35"/>
      <c r="T1268" s="36"/>
      <c r="U1268" s="36"/>
      <c r="V1268" s="36"/>
      <c r="W1268" s="36"/>
      <c r="X1268" s="36"/>
      <c r="Y1268" s="36"/>
    </row>
    <row r="1269">
      <c r="A1269" s="32"/>
      <c r="B1269" s="32"/>
      <c r="C1269" s="32"/>
      <c r="D1269" s="32"/>
      <c r="E1269" s="32"/>
      <c r="F1269" s="32"/>
      <c r="G1269" s="39"/>
      <c r="H1269" s="32"/>
      <c r="I1269" s="32"/>
      <c r="J1269" s="32"/>
      <c r="K1269" s="33"/>
      <c r="L1269" s="32"/>
      <c r="M1269" s="32"/>
      <c r="N1269" s="32"/>
      <c r="O1269" s="32"/>
      <c r="P1269" s="32"/>
      <c r="Q1269" s="34"/>
      <c r="R1269" s="35"/>
      <c r="S1269" s="35"/>
      <c r="T1269" s="36"/>
      <c r="U1269" s="36"/>
      <c r="V1269" s="36"/>
      <c r="W1269" s="36"/>
      <c r="X1269" s="36"/>
      <c r="Y1269" s="36"/>
    </row>
    <row r="1270">
      <c r="A1270" s="32"/>
      <c r="B1270" s="32"/>
      <c r="C1270" s="32"/>
      <c r="D1270" s="32"/>
      <c r="E1270" s="32"/>
      <c r="F1270" s="32"/>
      <c r="G1270" s="39"/>
      <c r="H1270" s="32"/>
      <c r="I1270" s="32"/>
      <c r="J1270" s="32"/>
      <c r="K1270" s="33"/>
      <c r="L1270" s="32"/>
      <c r="M1270" s="32"/>
      <c r="N1270" s="32"/>
      <c r="O1270" s="32"/>
      <c r="P1270" s="32"/>
      <c r="Q1270" s="34"/>
      <c r="R1270" s="35"/>
      <c r="S1270" s="35"/>
      <c r="T1270" s="36"/>
      <c r="U1270" s="36"/>
      <c r="V1270" s="36"/>
      <c r="W1270" s="36"/>
      <c r="X1270" s="36"/>
      <c r="Y1270" s="36"/>
    </row>
    <row r="1271">
      <c r="A1271" s="32"/>
      <c r="B1271" s="32"/>
      <c r="C1271" s="32"/>
      <c r="D1271" s="32"/>
      <c r="E1271" s="32"/>
      <c r="F1271" s="32"/>
      <c r="G1271" s="39"/>
      <c r="H1271" s="32"/>
      <c r="I1271" s="32"/>
      <c r="J1271" s="32"/>
      <c r="K1271" s="33"/>
      <c r="L1271" s="32"/>
      <c r="M1271" s="32"/>
      <c r="N1271" s="32"/>
      <c r="O1271" s="32"/>
      <c r="P1271" s="32"/>
      <c r="Q1271" s="34"/>
      <c r="R1271" s="35"/>
      <c r="S1271" s="35"/>
      <c r="T1271" s="36"/>
      <c r="U1271" s="36"/>
      <c r="V1271" s="36"/>
      <c r="W1271" s="36"/>
      <c r="X1271" s="36"/>
      <c r="Y1271" s="36"/>
    </row>
    <row r="1272">
      <c r="A1272" s="32"/>
      <c r="B1272" s="32"/>
      <c r="C1272" s="32"/>
      <c r="D1272" s="32"/>
      <c r="E1272" s="32"/>
      <c r="F1272" s="32"/>
      <c r="G1272" s="39"/>
      <c r="H1272" s="32"/>
      <c r="I1272" s="32"/>
      <c r="J1272" s="32"/>
      <c r="K1272" s="33"/>
      <c r="L1272" s="32"/>
      <c r="M1272" s="32"/>
      <c r="N1272" s="32"/>
      <c r="O1272" s="32"/>
      <c r="P1272" s="32"/>
      <c r="Q1272" s="34"/>
      <c r="R1272" s="35"/>
      <c r="S1272" s="35"/>
      <c r="T1272" s="36"/>
      <c r="U1272" s="36"/>
      <c r="V1272" s="36"/>
      <c r="W1272" s="36"/>
      <c r="X1272" s="36"/>
      <c r="Y1272" s="36"/>
    </row>
    <row r="1273">
      <c r="A1273" s="32"/>
      <c r="B1273" s="32"/>
      <c r="C1273" s="32"/>
      <c r="D1273" s="32"/>
      <c r="E1273" s="32"/>
      <c r="F1273" s="32"/>
      <c r="G1273" s="39"/>
      <c r="H1273" s="32"/>
      <c r="I1273" s="32"/>
      <c r="J1273" s="32"/>
      <c r="K1273" s="33"/>
      <c r="L1273" s="32"/>
      <c r="M1273" s="32"/>
      <c r="N1273" s="32"/>
      <c r="O1273" s="32"/>
      <c r="P1273" s="32"/>
      <c r="Q1273" s="34"/>
      <c r="R1273" s="35"/>
      <c r="S1273" s="35"/>
      <c r="T1273" s="36"/>
      <c r="U1273" s="36"/>
      <c r="V1273" s="36"/>
      <c r="W1273" s="36"/>
      <c r="X1273" s="36"/>
      <c r="Y1273" s="36"/>
    </row>
    <row r="1274">
      <c r="A1274" s="32"/>
      <c r="B1274" s="32"/>
      <c r="C1274" s="32"/>
      <c r="D1274" s="32"/>
      <c r="E1274" s="32"/>
      <c r="F1274" s="32"/>
      <c r="G1274" s="39"/>
      <c r="H1274" s="32"/>
      <c r="I1274" s="32"/>
      <c r="J1274" s="32"/>
      <c r="K1274" s="33"/>
      <c r="L1274" s="32"/>
      <c r="M1274" s="32"/>
      <c r="N1274" s="32"/>
      <c r="O1274" s="32"/>
      <c r="P1274" s="32"/>
      <c r="Q1274" s="34"/>
      <c r="R1274" s="35"/>
      <c r="S1274" s="35"/>
      <c r="T1274" s="36"/>
      <c r="U1274" s="36"/>
      <c r="V1274" s="36"/>
      <c r="W1274" s="36"/>
      <c r="X1274" s="36"/>
      <c r="Y1274" s="36"/>
    </row>
    <row r="1275">
      <c r="A1275" s="32"/>
      <c r="B1275" s="32"/>
      <c r="C1275" s="32"/>
      <c r="D1275" s="32"/>
      <c r="E1275" s="32"/>
      <c r="F1275" s="32"/>
      <c r="G1275" s="39"/>
      <c r="H1275" s="32"/>
      <c r="I1275" s="32"/>
      <c r="J1275" s="32"/>
      <c r="K1275" s="33"/>
      <c r="L1275" s="32"/>
      <c r="M1275" s="32"/>
      <c r="N1275" s="32"/>
      <c r="O1275" s="32"/>
      <c r="P1275" s="32"/>
      <c r="Q1275" s="34"/>
      <c r="R1275" s="35"/>
      <c r="S1275" s="35"/>
      <c r="T1275" s="36"/>
      <c r="U1275" s="36"/>
      <c r="V1275" s="36"/>
      <c r="W1275" s="36"/>
      <c r="X1275" s="36"/>
      <c r="Y1275" s="36"/>
    </row>
    <row r="1276">
      <c r="A1276" s="32"/>
      <c r="B1276" s="32"/>
      <c r="C1276" s="32"/>
      <c r="D1276" s="32"/>
      <c r="E1276" s="32"/>
      <c r="F1276" s="32"/>
      <c r="G1276" s="39"/>
      <c r="H1276" s="32"/>
      <c r="I1276" s="32"/>
      <c r="J1276" s="32"/>
      <c r="K1276" s="33"/>
      <c r="L1276" s="32"/>
      <c r="M1276" s="32"/>
      <c r="N1276" s="32"/>
      <c r="O1276" s="32"/>
      <c r="P1276" s="32"/>
      <c r="Q1276" s="34"/>
      <c r="R1276" s="35"/>
      <c r="S1276" s="35"/>
      <c r="T1276" s="36"/>
      <c r="U1276" s="36"/>
      <c r="V1276" s="36"/>
      <c r="W1276" s="36"/>
      <c r="X1276" s="36"/>
      <c r="Y1276" s="36"/>
    </row>
    <row r="1277">
      <c r="A1277" s="32"/>
      <c r="B1277" s="32"/>
      <c r="C1277" s="32"/>
      <c r="D1277" s="32"/>
      <c r="E1277" s="32"/>
      <c r="F1277" s="32"/>
      <c r="G1277" s="39"/>
      <c r="H1277" s="32"/>
      <c r="I1277" s="32"/>
      <c r="J1277" s="32"/>
      <c r="K1277" s="33"/>
      <c r="L1277" s="32"/>
      <c r="M1277" s="32"/>
      <c r="N1277" s="32"/>
      <c r="O1277" s="32"/>
      <c r="P1277" s="32"/>
      <c r="Q1277" s="34"/>
      <c r="R1277" s="35"/>
      <c r="S1277" s="35"/>
      <c r="T1277" s="36"/>
      <c r="U1277" s="36"/>
      <c r="V1277" s="36"/>
      <c r="W1277" s="36"/>
      <c r="X1277" s="36"/>
      <c r="Y1277" s="36"/>
    </row>
    <row r="1278">
      <c r="A1278" s="32"/>
      <c r="B1278" s="32"/>
      <c r="C1278" s="32"/>
      <c r="D1278" s="32"/>
      <c r="E1278" s="32"/>
      <c r="F1278" s="32"/>
      <c r="G1278" s="39"/>
      <c r="H1278" s="32"/>
      <c r="I1278" s="32"/>
      <c r="J1278" s="32"/>
      <c r="K1278" s="33"/>
      <c r="L1278" s="32"/>
      <c r="M1278" s="32"/>
      <c r="N1278" s="32"/>
      <c r="O1278" s="32"/>
      <c r="P1278" s="32"/>
      <c r="Q1278" s="34"/>
      <c r="R1278" s="35"/>
      <c r="S1278" s="35"/>
      <c r="T1278" s="36"/>
      <c r="U1278" s="36"/>
      <c r="V1278" s="36"/>
      <c r="W1278" s="36"/>
      <c r="X1278" s="36"/>
      <c r="Y1278" s="36"/>
    </row>
    <row r="1279">
      <c r="A1279" s="32"/>
      <c r="B1279" s="32"/>
      <c r="C1279" s="32"/>
      <c r="D1279" s="32"/>
      <c r="E1279" s="32"/>
      <c r="F1279" s="32"/>
      <c r="G1279" s="39"/>
      <c r="H1279" s="32"/>
      <c r="I1279" s="32"/>
      <c r="J1279" s="32"/>
      <c r="K1279" s="33"/>
      <c r="L1279" s="32"/>
      <c r="M1279" s="32"/>
      <c r="N1279" s="32"/>
      <c r="O1279" s="32"/>
      <c r="P1279" s="32"/>
      <c r="Q1279" s="34"/>
      <c r="R1279" s="35"/>
      <c r="S1279" s="35"/>
      <c r="T1279" s="36"/>
      <c r="U1279" s="36"/>
      <c r="V1279" s="36"/>
      <c r="W1279" s="36"/>
      <c r="X1279" s="36"/>
      <c r="Y1279" s="36"/>
    </row>
    <row r="1280">
      <c r="A1280" s="32"/>
      <c r="B1280" s="32"/>
      <c r="C1280" s="32"/>
      <c r="D1280" s="32"/>
      <c r="E1280" s="32"/>
      <c r="F1280" s="32"/>
      <c r="G1280" s="39"/>
      <c r="H1280" s="32"/>
      <c r="I1280" s="32"/>
      <c r="J1280" s="32"/>
      <c r="K1280" s="33"/>
      <c r="L1280" s="32"/>
      <c r="M1280" s="32"/>
      <c r="N1280" s="32"/>
      <c r="O1280" s="32"/>
      <c r="P1280" s="32"/>
      <c r="Q1280" s="34"/>
      <c r="R1280" s="35"/>
      <c r="S1280" s="35"/>
      <c r="T1280" s="36"/>
      <c r="U1280" s="36"/>
      <c r="V1280" s="36"/>
      <c r="W1280" s="36"/>
      <c r="X1280" s="36"/>
      <c r="Y1280" s="36"/>
    </row>
    <row r="1281">
      <c r="A1281" s="32"/>
      <c r="B1281" s="32"/>
      <c r="C1281" s="32"/>
      <c r="D1281" s="32"/>
      <c r="E1281" s="32"/>
      <c r="F1281" s="32"/>
      <c r="G1281" s="39"/>
      <c r="H1281" s="32"/>
      <c r="I1281" s="32"/>
      <c r="J1281" s="32"/>
      <c r="K1281" s="33"/>
      <c r="L1281" s="32"/>
      <c r="M1281" s="32"/>
      <c r="N1281" s="32"/>
      <c r="O1281" s="32"/>
      <c r="P1281" s="32"/>
      <c r="Q1281" s="34"/>
      <c r="R1281" s="35"/>
      <c r="S1281" s="35"/>
      <c r="T1281" s="36"/>
      <c r="U1281" s="36"/>
      <c r="V1281" s="36"/>
      <c r="W1281" s="36"/>
      <c r="X1281" s="36"/>
      <c r="Y1281" s="36"/>
    </row>
    <row r="1282">
      <c r="A1282" s="32"/>
      <c r="B1282" s="32"/>
      <c r="C1282" s="32"/>
      <c r="D1282" s="32"/>
      <c r="E1282" s="32"/>
      <c r="F1282" s="32"/>
      <c r="G1282" s="39"/>
      <c r="H1282" s="32"/>
      <c r="I1282" s="32"/>
      <c r="J1282" s="32"/>
      <c r="K1282" s="33"/>
      <c r="L1282" s="32"/>
      <c r="M1282" s="32"/>
      <c r="N1282" s="32"/>
      <c r="O1282" s="32"/>
      <c r="P1282" s="32"/>
      <c r="Q1282" s="34"/>
      <c r="R1282" s="35"/>
      <c r="S1282" s="35"/>
      <c r="T1282" s="36"/>
      <c r="U1282" s="36"/>
      <c r="V1282" s="36"/>
      <c r="W1282" s="36"/>
      <c r="X1282" s="36"/>
      <c r="Y1282" s="36"/>
    </row>
    <row r="1283">
      <c r="A1283" s="32"/>
      <c r="B1283" s="32"/>
      <c r="C1283" s="32"/>
      <c r="D1283" s="32"/>
      <c r="E1283" s="32"/>
      <c r="F1283" s="32"/>
      <c r="G1283" s="39"/>
      <c r="H1283" s="32"/>
      <c r="I1283" s="32"/>
      <c r="J1283" s="32"/>
      <c r="K1283" s="33"/>
      <c r="L1283" s="32"/>
      <c r="M1283" s="32"/>
      <c r="N1283" s="32"/>
      <c r="O1283" s="32"/>
      <c r="P1283" s="32"/>
      <c r="Q1283" s="34"/>
      <c r="R1283" s="35"/>
      <c r="S1283" s="35"/>
      <c r="T1283" s="36"/>
      <c r="U1283" s="36"/>
      <c r="V1283" s="36"/>
      <c r="W1283" s="36"/>
      <c r="X1283" s="36"/>
      <c r="Y1283" s="36"/>
    </row>
    <row r="1284">
      <c r="A1284" s="32"/>
      <c r="B1284" s="32"/>
      <c r="C1284" s="32"/>
      <c r="D1284" s="32"/>
      <c r="E1284" s="32"/>
      <c r="F1284" s="32"/>
      <c r="G1284" s="39"/>
      <c r="H1284" s="32"/>
      <c r="I1284" s="32"/>
      <c r="J1284" s="32"/>
      <c r="K1284" s="33"/>
      <c r="L1284" s="32"/>
      <c r="M1284" s="32"/>
      <c r="N1284" s="32"/>
      <c r="O1284" s="32"/>
      <c r="P1284" s="32"/>
      <c r="Q1284" s="34"/>
      <c r="R1284" s="35"/>
      <c r="S1284" s="35"/>
      <c r="T1284" s="36"/>
      <c r="U1284" s="36"/>
      <c r="V1284" s="36"/>
      <c r="W1284" s="36"/>
      <c r="X1284" s="36"/>
      <c r="Y1284" s="36"/>
    </row>
    <row r="1285">
      <c r="A1285" s="32"/>
      <c r="B1285" s="32"/>
      <c r="C1285" s="32"/>
      <c r="D1285" s="32"/>
      <c r="E1285" s="32"/>
      <c r="F1285" s="32"/>
      <c r="G1285" s="39"/>
      <c r="H1285" s="32"/>
      <c r="I1285" s="32"/>
      <c r="J1285" s="32"/>
      <c r="K1285" s="33"/>
      <c r="L1285" s="32"/>
      <c r="M1285" s="32"/>
      <c r="N1285" s="32"/>
      <c r="O1285" s="32"/>
      <c r="P1285" s="32"/>
      <c r="Q1285" s="34"/>
      <c r="R1285" s="35"/>
      <c r="S1285" s="35"/>
      <c r="T1285" s="36"/>
      <c r="U1285" s="36"/>
      <c r="V1285" s="36"/>
      <c r="W1285" s="36"/>
      <c r="X1285" s="36"/>
      <c r="Y1285" s="36"/>
    </row>
    <row r="1286">
      <c r="A1286" s="32"/>
      <c r="B1286" s="32"/>
      <c r="C1286" s="32"/>
      <c r="D1286" s="32"/>
      <c r="E1286" s="32"/>
      <c r="F1286" s="32"/>
      <c r="G1286" s="39"/>
      <c r="H1286" s="32"/>
      <c r="I1286" s="32"/>
      <c r="J1286" s="32"/>
      <c r="K1286" s="33"/>
      <c r="L1286" s="32"/>
      <c r="M1286" s="32"/>
      <c r="N1286" s="32"/>
      <c r="O1286" s="32"/>
      <c r="P1286" s="32"/>
      <c r="Q1286" s="34"/>
      <c r="R1286" s="35"/>
      <c r="S1286" s="35"/>
      <c r="T1286" s="36"/>
      <c r="U1286" s="36"/>
      <c r="V1286" s="36"/>
      <c r="W1286" s="36"/>
      <c r="X1286" s="36"/>
      <c r="Y1286" s="36"/>
    </row>
    <row r="1287">
      <c r="A1287" s="32"/>
      <c r="B1287" s="32"/>
      <c r="C1287" s="32"/>
      <c r="D1287" s="32"/>
      <c r="E1287" s="32"/>
      <c r="F1287" s="32"/>
      <c r="G1287" s="39"/>
      <c r="H1287" s="32"/>
      <c r="I1287" s="32"/>
      <c r="J1287" s="32"/>
      <c r="K1287" s="33"/>
      <c r="L1287" s="32"/>
      <c r="M1287" s="32"/>
      <c r="N1287" s="32"/>
      <c r="O1287" s="32"/>
      <c r="P1287" s="32"/>
      <c r="Q1287" s="34"/>
      <c r="R1287" s="35"/>
      <c r="S1287" s="35"/>
      <c r="T1287" s="36"/>
      <c r="U1287" s="36"/>
      <c r="V1287" s="36"/>
      <c r="W1287" s="36"/>
      <c r="X1287" s="36"/>
      <c r="Y1287" s="36"/>
    </row>
    <row r="1288">
      <c r="A1288" s="32"/>
      <c r="B1288" s="32"/>
      <c r="C1288" s="32"/>
      <c r="D1288" s="32"/>
      <c r="E1288" s="32"/>
      <c r="F1288" s="32"/>
      <c r="G1288" s="39"/>
      <c r="H1288" s="32"/>
      <c r="I1288" s="32"/>
      <c r="J1288" s="32"/>
      <c r="K1288" s="33"/>
      <c r="L1288" s="32"/>
      <c r="M1288" s="32"/>
      <c r="N1288" s="32"/>
      <c r="O1288" s="32"/>
      <c r="P1288" s="32"/>
      <c r="Q1288" s="34"/>
      <c r="R1288" s="35"/>
      <c r="S1288" s="35"/>
      <c r="T1288" s="36"/>
      <c r="U1288" s="36"/>
      <c r="V1288" s="36"/>
      <c r="W1288" s="36"/>
      <c r="X1288" s="36"/>
      <c r="Y1288" s="36"/>
    </row>
    <row r="1289">
      <c r="A1289" s="32"/>
      <c r="B1289" s="32"/>
      <c r="C1289" s="32"/>
      <c r="D1289" s="32"/>
      <c r="E1289" s="32"/>
      <c r="F1289" s="32"/>
      <c r="G1289" s="39"/>
      <c r="H1289" s="32"/>
      <c r="I1289" s="32"/>
      <c r="J1289" s="32"/>
      <c r="K1289" s="33"/>
      <c r="L1289" s="32"/>
      <c r="M1289" s="32"/>
      <c r="N1289" s="32"/>
      <c r="O1289" s="32"/>
      <c r="P1289" s="32"/>
      <c r="Q1289" s="34"/>
      <c r="R1289" s="35"/>
      <c r="S1289" s="35"/>
      <c r="T1289" s="36"/>
      <c r="U1289" s="36"/>
      <c r="V1289" s="36"/>
      <c r="W1289" s="36"/>
      <c r="X1289" s="36"/>
      <c r="Y1289" s="36"/>
    </row>
    <row r="1290">
      <c r="A1290" s="32"/>
      <c r="B1290" s="32"/>
      <c r="C1290" s="32"/>
      <c r="D1290" s="32"/>
      <c r="E1290" s="32"/>
      <c r="F1290" s="32"/>
      <c r="G1290" s="39"/>
      <c r="H1290" s="32"/>
      <c r="I1290" s="32"/>
      <c r="J1290" s="32"/>
      <c r="K1290" s="33"/>
      <c r="L1290" s="32"/>
      <c r="M1290" s="32"/>
      <c r="N1290" s="32"/>
      <c r="O1290" s="32"/>
      <c r="P1290" s="32"/>
      <c r="Q1290" s="34"/>
      <c r="R1290" s="35"/>
      <c r="S1290" s="35"/>
      <c r="T1290" s="36"/>
      <c r="U1290" s="36"/>
      <c r="V1290" s="36"/>
      <c r="W1290" s="36"/>
      <c r="X1290" s="36"/>
      <c r="Y1290" s="36"/>
    </row>
    <row r="1291">
      <c r="A1291" s="32"/>
      <c r="B1291" s="32"/>
      <c r="C1291" s="32"/>
      <c r="D1291" s="32"/>
      <c r="E1291" s="32"/>
      <c r="F1291" s="32"/>
      <c r="G1291" s="39"/>
      <c r="H1291" s="32"/>
      <c r="I1291" s="32"/>
      <c r="J1291" s="32"/>
      <c r="K1291" s="33"/>
      <c r="L1291" s="32"/>
      <c r="M1291" s="32"/>
      <c r="N1291" s="32"/>
      <c r="O1291" s="32"/>
      <c r="P1291" s="32"/>
      <c r="Q1291" s="34"/>
      <c r="R1291" s="35"/>
      <c r="S1291" s="35"/>
      <c r="T1291" s="36"/>
      <c r="U1291" s="36"/>
      <c r="V1291" s="36"/>
      <c r="W1291" s="36"/>
      <c r="X1291" s="36"/>
      <c r="Y1291" s="36"/>
    </row>
    <row r="1292">
      <c r="A1292" s="32"/>
      <c r="B1292" s="32"/>
      <c r="C1292" s="32"/>
      <c r="D1292" s="32"/>
      <c r="E1292" s="32"/>
      <c r="F1292" s="32"/>
      <c r="G1292" s="39"/>
      <c r="H1292" s="32"/>
      <c r="I1292" s="32"/>
      <c r="J1292" s="32"/>
      <c r="K1292" s="33"/>
      <c r="L1292" s="32"/>
      <c r="M1292" s="32"/>
      <c r="N1292" s="32"/>
      <c r="O1292" s="32"/>
      <c r="P1292" s="32"/>
      <c r="Q1292" s="34"/>
      <c r="R1292" s="35"/>
      <c r="S1292" s="35"/>
      <c r="T1292" s="36"/>
      <c r="U1292" s="36"/>
      <c r="V1292" s="36"/>
      <c r="W1292" s="36"/>
      <c r="X1292" s="36"/>
      <c r="Y1292" s="36"/>
    </row>
    <row r="1293">
      <c r="A1293" s="32"/>
      <c r="B1293" s="32"/>
      <c r="C1293" s="32"/>
      <c r="D1293" s="32"/>
      <c r="E1293" s="32"/>
      <c r="F1293" s="32"/>
      <c r="G1293" s="39"/>
      <c r="H1293" s="32"/>
      <c r="I1293" s="32"/>
      <c r="J1293" s="32"/>
      <c r="K1293" s="33"/>
      <c r="L1293" s="32"/>
      <c r="M1293" s="32"/>
      <c r="N1293" s="32"/>
      <c r="O1293" s="32"/>
      <c r="P1293" s="32"/>
      <c r="Q1293" s="34"/>
      <c r="R1293" s="35"/>
      <c r="S1293" s="35"/>
      <c r="T1293" s="36"/>
      <c r="U1293" s="36"/>
      <c r="V1293" s="36"/>
      <c r="W1293" s="36"/>
      <c r="X1293" s="36"/>
      <c r="Y1293" s="36"/>
    </row>
    <row r="1294">
      <c r="A1294" s="32"/>
      <c r="B1294" s="32"/>
      <c r="C1294" s="32"/>
      <c r="D1294" s="32"/>
      <c r="E1294" s="32"/>
      <c r="F1294" s="32"/>
      <c r="G1294" s="39"/>
      <c r="H1294" s="32"/>
      <c r="I1294" s="32"/>
      <c r="J1294" s="32"/>
      <c r="K1294" s="33"/>
      <c r="L1294" s="32"/>
      <c r="M1294" s="32"/>
      <c r="N1294" s="32"/>
      <c r="O1294" s="32"/>
      <c r="P1294" s="32"/>
      <c r="Q1294" s="34"/>
      <c r="R1294" s="35"/>
      <c r="S1294" s="35"/>
      <c r="T1294" s="36"/>
      <c r="U1294" s="36"/>
      <c r="V1294" s="36"/>
      <c r="W1294" s="36"/>
      <c r="X1294" s="36"/>
      <c r="Y1294" s="36"/>
    </row>
    <row r="1295">
      <c r="A1295" s="32"/>
      <c r="B1295" s="32"/>
      <c r="C1295" s="32"/>
      <c r="D1295" s="32"/>
      <c r="E1295" s="32"/>
      <c r="F1295" s="32"/>
      <c r="G1295" s="39"/>
      <c r="H1295" s="32"/>
      <c r="I1295" s="32"/>
      <c r="J1295" s="32"/>
      <c r="K1295" s="33"/>
      <c r="L1295" s="32"/>
      <c r="M1295" s="32"/>
      <c r="N1295" s="32"/>
      <c r="O1295" s="32"/>
      <c r="P1295" s="32"/>
      <c r="Q1295" s="34"/>
      <c r="R1295" s="35"/>
      <c r="S1295" s="35"/>
      <c r="T1295" s="36"/>
      <c r="U1295" s="36"/>
      <c r="V1295" s="36"/>
      <c r="W1295" s="36"/>
      <c r="X1295" s="36"/>
      <c r="Y1295" s="36"/>
    </row>
    <row r="1296">
      <c r="A1296" s="32"/>
      <c r="B1296" s="32"/>
      <c r="C1296" s="32"/>
      <c r="D1296" s="32"/>
      <c r="E1296" s="32"/>
      <c r="F1296" s="32"/>
      <c r="G1296" s="39"/>
      <c r="H1296" s="32"/>
      <c r="I1296" s="32"/>
      <c r="J1296" s="32"/>
      <c r="K1296" s="33"/>
      <c r="L1296" s="32"/>
      <c r="M1296" s="32"/>
      <c r="N1296" s="32"/>
      <c r="O1296" s="32"/>
      <c r="P1296" s="32"/>
      <c r="Q1296" s="34"/>
      <c r="R1296" s="35"/>
      <c r="S1296" s="35"/>
      <c r="T1296" s="36"/>
      <c r="U1296" s="36"/>
      <c r="V1296" s="36"/>
      <c r="W1296" s="36"/>
      <c r="X1296" s="36"/>
      <c r="Y1296" s="36"/>
    </row>
    <row r="1297">
      <c r="A1297" s="32"/>
      <c r="B1297" s="32"/>
      <c r="C1297" s="32"/>
      <c r="D1297" s="32"/>
      <c r="E1297" s="32"/>
      <c r="F1297" s="32"/>
      <c r="G1297" s="39"/>
      <c r="H1297" s="32"/>
      <c r="I1297" s="32"/>
      <c r="J1297" s="32"/>
      <c r="K1297" s="33"/>
      <c r="L1297" s="32"/>
      <c r="M1297" s="32"/>
      <c r="N1297" s="32"/>
      <c r="O1297" s="32"/>
      <c r="P1297" s="32"/>
      <c r="Q1297" s="34"/>
      <c r="R1297" s="35"/>
      <c r="S1297" s="35"/>
      <c r="T1297" s="36"/>
      <c r="U1297" s="36"/>
      <c r="V1297" s="36"/>
      <c r="W1297" s="36"/>
      <c r="X1297" s="36"/>
      <c r="Y1297" s="36"/>
    </row>
    <row r="1298">
      <c r="A1298" s="32"/>
      <c r="B1298" s="32"/>
      <c r="C1298" s="32"/>
      <c r="D1298" s="32"/>
      <c r="E1298" s="32"/>
      <c r="F1298" s="32"/>
      <c r="G1298" s="39"/>
      <c r="H1298" s="32"/>
      <c r="I1298" s="32"/>
      <c r="J1298" s="32"/>
      <c r="K1298" s="33"/>
      <c r="L1298" s="32"/>
      <c r="M1298" s="32"/>
      <c r="N1298" s="32"/>
      <c r="O1298" s="32"/>
      <c r="P1298" s="32"/>
      <c r="Q1298" s="34"/>
      <c r="R1298" s="35"/>
      <c r="S1298" s="35"/>
      <c r="T1298" s="36"/>
      <c r="U1298" s="36"/>
      <c r="V1298" s="36"/>
      <c r="W1298" s="36"/>
      <c r="X1298" s="36"/>
      <c r="Y1298" s="36"/>
    </row>
    <row r="1299">
      <c r="A1299" s="32"/>
      <c r="B1299" s="32"/>
      <c r="C1299" s="32"/>
      <c r="D1299" s="32"/>
      <c r="E1299" s="32"/>
      <c r="F1299" s="32"/>
      <c r="G1299" s="39"/>
      <c r="H1299" s="32"/>
      <c r="I1299" s="32"/>
      <c r="J1299" s="32"/>
      <c r="K1299" s="33"/>
      <c r="L1299" s="32"/>
      <c r="M1299" s="32"/>
      <c r="N1299" s="32"/>
      <c r="O1299" s="32"/>
      <c r="P1299" s="32"/>
      <c r="Q1299" s="34"/>
      <c r="R1299" s="35"/>
      <c r="S1299" s="35"/>
      <c r="T1299" s="36"/>
      <c r="U1299" s="36"/>
      <c r="V1299" s="36"/>
      <c r="W1299" s="36"/>
      <c r="X1299" s="36"/>
      <c r="Y1299" s="36"/>
    </row>
    <row r="1300">
      <c r="A1300" s="32"/>
      <c r="B1300" s="32"/>
      <c r="C1300" s="32"/>
      <c r="D1300" s="32"/>
      <c r="E1300" s="32"/>
      <c r="F1300" s="32"/>
      <c r="G1300" s="39"/>
      <c r="H1300" s="32"/>
      <c r="I1300" s="32"/>
      <c r="J1300" s="32"/>
      <c r="K1300" s="33"/>
      <c r="L1300" s="32"/>
      <c r="M1300" s="32"/>
      <c r="N1300" s="32"/>
      <c r="O1300" s="32"/>
      <c r="P1300" s="32"/>
      <c r="Q1300" s="34"/>
      <c r="R1300" s="35"/>
      <c r="S1300" s="35"/>
      <c r="T1300" s="36"/>
      <c r="U1300" s="36"/>
      <c r="V1300" s="36"/>
      <c r="W1300" s="36"/>
      <c r="X1300" s="36"/>
      <c r="Y1300" s="36"/>
    </row>
    <row r="1301">
      <c r="A1301" s="32"/>
      <c r="B1301" s="32"/>
      <c r="C1301" s="32"/>
      <c r="D1301" s="32"/>
      <c r="E1301" s="32"/>
      <c r="F1301" s="32"/>
      <c r="G1301" s="39"/>
      <c r="H1301" s="32"/>
      <c r="I1301" s="32"/>
      <c r="J1301" s="32"/>
      <c r="K1301" s="33"/>
      <c r="L1301" s="32"/>
      <c r="M1301" s="32"/>
      <c r="N1301" s="32"/>
      <c r="O1301" s="32"/>
      <c r="P1301" s="32"/>
      <c r="Q1301" s="34"/>
      <c r="R1301" s="35"/>
      <c r="S1301" s="35"/>
      <c r="T1301" s="36"/>
      <c r="U1301" s="36"/>
      <c r="V1301" s="36"/>
      <c r="W1301" s="36"/>
      <c r="X1301" s="36"/>
      <c r="Y1301" s="36"/>
    </row>
    <row r="1302">
      <c r="A1302" s="32"/>
      <c r="B1302" s="32"/>
      <c r="C1302" s="32"/>
      <c r="D1302" s="32"/>
      <c r="E1302" s="32"/>
      <c r="F1302" s="32"/>
      <c r="G1302" s="39"/>
      <c r="H1302" s="32"/>
      <c r="I1302" s="32"/>
      <c r="J1302" s="32"/>
      <c r="K1302" s="33"/>
      <c r="L1302" s="32"/>
      <c r="M1302" s="32"/>
      <c r="N1302" s="32"/>
      <c r="O1302" s="32"/>
      <c r="P1302" s="32"/>
      <c r="Q1302" s="34"/>
      <c r="R1302" s="35"/>
      <c r="S1302" s="35"/>
      <c r="T1302" s="36"/>
      <c r="U1302" s="36"/>
      <c r="V1302" s="36"/>
      <c r="W1302" s="36"/>
      <c r="X1302" s="36"/>
      <c r="Y1302" s="36"/>
    </row>
    <row r="1303">
      <c r="A1303" s="32"/>
      <c r="B1303" s="32"/>
      <c r="C1303" s="32"/>
      <c r="D1303" s="32"/>
      <c r="E1303" s="32"/>
      <c r="F1303" s="32"/>
      <c r="G1303" s="39"/>
      <c r="H1303" s="32"/>
      <c r="I1303" s="32"/>
      <c r="J1303" s="32"/>
      <c r="K1303" s="33"/>
      <c r="L1303" s="32"/>
      <c r="M1303" s="32"/>
      <c r="N1303" s="32"/>
      <c r="O1303" s="32"/>
      <c r="P1303" s="32"/>
      <c r="Q1303" s="34"/>
      <c r="R1303" s="35"/>
      <c r="S1303" s="35"/>
      <c r="T1303" s="36"/>
      <c r="U1303" s="36"/>
      <c r="V1303" s="36"/>
      <c r="W1303" s="36"/>
      <c r="X1303" s="36"/>
      <c r="Y1303" s="36"/>
    </row>
    <row r="1304">
      <c r="A1304" s="32"/>
      <c r="B1304" s="32"/>
      <c r="C1304" s="32"/>
      <c r="D1304" s="32"/>
      <c r="E1304" s="32"/>
      <c r="F1304" s="32"/>
      <c r="G1304" s="39"/>
      <c r="H1304" s="32"/>
      <c r="I1304" s="32"/>
      <c r="J1304" s="32"/>
      <c r="K1304" s="33"/>
      <c r="L1304" s="32"/>
      <c r="M1304" s="32"/>
      <c r="N1304" s="32"/>
      <c r="O1304" s="32"/>
      <c r="P1304" s="32"/>
      <c r="Q1304" s="34"/>
      <c r="R1304" s="35"/>
      <c r="S1304" s="35"/>
      <c r="T1304" s="36"/>
      <c r="U1304" s="36"/>
      <c r="V1304" s="36"/>
      <c r="W1304" s="36"/>
      <c r="X1304" s="36"/>
      <c r="Y1304" s="36"/>
    </row>
    <row r="1305">
      <c r="A1305" s="32"/>
      <c r="B1305" s="32"/>
      <c r="C1305" s="32"/>
      <c r="D1305" s="32"/>
      <c r="E1305" s="32"/>
      <c r="F1305" s="32"/>
      <c r="G1305" s="39"/>
      <c r="H1305" s="32"/>
      <c r="I1305" s="32"/>
      <c r="J1305" s="32"/>
      <c r="K1305" s="33"/>
      <c r="L1305" s="32"/>
      <c r="M1305" s="32"/>
      <c r="N1305" s="32"/>
      <c r="O1305" s="32"/>
      <c r="P1305" s="32"/>
      <c r="Q1305" s="34"/>
      <c r="R1305" s="35"/>
      <c r="S1305" s="35"/>
      <c r="T1305" s="36"/>
      <c r="U1305" s="36"/>
      <c r="V1305" s="36"/>
      <c r="W1305" s="36"/>
      <c r="X1305" s="36"/>
      <c r="Y1305" s="36"/>
    </row>
    <row r="1306">
      <c r="A1306" s="32"/>
      <c r="B1306" s="32"/>
      <c r="C1306" s="32"/>
      <c r="D1306" s="32"/>
      <c r="E1306" s="32"/>
      <c r="F1306" s="32"/>
      <c r="G1306" s="39"/>
      <c r="H1306" s="32"/>
      <c r="I1306" s="32"/>
      <c r="J1306" s="32"/>
      <c r="K1306" s="33"/>
      <c r="L1306" s="32"/>
      <c r="M1306" s="32"/>
      <c r="N1306" s="32"/>
      <c r="O1306" s="32"/>
      <c r="P1306" s="32"/>
      <c r="Q1306" s="34"/>
      <c r="R1306" s="35"/>
      <c r="S1306" s="35"/>
      <c r="T1306" s="36"/>
      <c r="U1306" s="36"/>
      <c r="V1306" s="36"/>
      <c r="W1306" s="36"/>
      <c r="X1306" s="36"/>
      <c r="Y1306" s="36"/>
    </row>
    <row r="1307">
      <c r="A1307" s="32"/>
      <c r="B1307" s="32"/>
      <c r="C1307" s="32"/>
      <c r="D1307" s="32"/>
      <c r="E1307" s="32"/>
      <c r="F1307" s="32"/>
      <c r="G1307" s="39"/>
      <c r="H1307" s="32"/>
      <c r="I1307" s="32"/>
      <c r="J1307" s="32"/>
      <c r="K1307" s="33"/>
      <c r="L1307" s="32"/>
      <c r="M1307" s="32"/>
      <c r="N1307" s="32"/>
      <c r="O1307" s="32"/>
      <c r="P1307" s="32"/>
      <c r="Q1307" s="34"/>
      <c r="R1307" s="35"/>
      <c r="S1307" s="35"/>
      <c r="T1307" s="36"/>
      <c r="U1307" s="36"/>
      <c r="V1307" s="36"/>
      <c r="W1307" s="36"/>
      <c r="X1307" s="36"/>
      <c r="Y1307" s="36"/>
    </row>
    <row r="1308">
      <c r="A1308" s="32"/>
      <c r="B1308" s="32"/>
      <c r="C1308" s="32"/>
      <c r="D1308" s="32"/>
      <c r="E1308" s="32"/>
      <c r="F1308" s="32"/>
      <c r="G1308" s="39"/>
      <c r="H1308" s="32"/>
      <c r="I1308" s="32"/>
      <c r="J1308" s="32"/>
      <c r="K1308" s="33"/>
      <c r="L1308" s="32"/>
      <c r="M1308" s="32"/>
      <c r="N1308" s="32"/>
      <c r="O1308" s="32"/>
      <c r="P1308" s="32"/>
      <c r="Q1308" s="34"/>
      <c r="R1308" s="35"/>
      <c r="S1308" s="35"/>
      <c r="T1308" s="36"/>
      <c r="U1308" s="36"/>
      <c r="V1308" s="36"/>
      <c r="W1308" s="36"/>
      <c r="X1308" s="36"/>
      <c r="Y1308" s="36"/>
    </row>
    <row r="1309">
      <c r="A1309" s="32"/>
      <c r="B1309" s="32"/>
      <c r="C1309" s="32"/>
      <c r="D1309" s="32"/>
      <c r="E1309" s="32"/>
      <c r="F1309" s="32"/>
      <c r="G1309" s="39"/>
      <c r="H1309" s="32"/>
      <c r="I1309" s="32"/>
      <c r="J1309" s="32"/>
      <c r="K1309" s="33"/>
      <c r="L1309" s="32"/>
      <c r="M1309" s="32"/>
      <c r="N1309" s="32"/>
      <c r="O1309" s="32"/>
      <c r="P1309" s="32"/>
      <c r="Q1309" s="34"/>
      <c r="R1309" s="35"/>
      <c r="S1309" s="35"/>
      <c r="T1309" s="36"/>
      <c r="U1309" s="36"/>
      <c r="V1309" s="36"/>
      <c r="W1309" s="36"/>
      <c r="X1309" s="36"/>
      <c r="Y1309" s="36"/>
    </row>
    <row r="1310">
      <c r="A1310" s="32"/>
      <c r="B1310" s="32"/>
      <c r="C1310" s="32"/>
      <c r="D1310" s="32"/>
      <c r="E1310" s="32"/>
      <c r="F1310" s="32"/>
      <c r="G1310" s="39"/>
      <c r="H1310" s="32"/>
      <c r="I1310" s="32"/>
      <c r="J1310" s="32"/>
      <c r="K1310" s="33"/>
      <c r="L1310" s="32"/>
      <c r="M1310" s="32"/>
      <c r="N1310" s="32"/>
      <c r="O1310" s="32"/>
      <c r="P1310" s="32"/>
      <c r="Q1310" s="34"/>
      <c r="R1310" s="35"/>
      <c r="S1310" s="35"/>
      <c r="T1310" s="36"/>
      <c r="U1310" s="36"/>
      <c r="V1310" s="36"/>
      <c r="W1310" s="36"/>
      <c r="X1310" s="36"/>
      <c r="Y1310" s="36"/>
    </row>
    <row r="1311">
      <c r="A1311" s="32"/>
      <c r="B1311" s="32"/>
      <c r="C1311" s="32"/>
      <c r="D1311" s="32"/>
      <c r="E1311" s="32"/>
      <c r="F1311" s="32"/>
      <c r="G1311" s="39"/>
      <c r="H1311" s="32"/>
      <c r="I1311" s="32"/>
      <c r="J1311" s="32"/>
      <c r="K1311" s="33"/>
      <c r="L1311" s="32"/>
      <c r="M1311" s="32"/>
      <c r="N1311" s="32"/>
      <c r="O1311" s="32"/>
      <c r="P1311" s="32"/>
      <c r="Q1311" s="34"/>
      <c r="R1311" s="35"/>
      <c r="S1311" s="35"/>
      <c r="T1311" s="36"/>
      <c r="U1311" s="36"/>
      <c r="V1311" s="36"/>
      <c r="W1311" s="36"/>
      <c r="X1311" s="36"/>
      <c r="Y1311" s="36"/>
    </row>
    <row r="1312">
      <c r="A1312" s="32"/>
      <c r="B1312" s="32"/>
      <c r="C1312" s="32"/>
      <c r="D1312" s="32"/>
      <c r="E1312" s="32"/>
      <c r="F1312" s="32"/>
      <c r="G1312" s="39"/>
      <c r="H1312" s="32"/>
      <c r="I1312" s="32"/>
      <c r="J1312" s="32"/>
      <c r="K1312" s="33"/>
      <c r="L1312" s="32"/>
      <c r="M1312" s="32"/>
      <c r="N1312" s="32"/>
      <c r="O1312" s="32"/>
      <c r="P1312" s="32"/>
      <c r="Q1312" s="34"/>
      <c r="R1312" s="35"/>
      <c r="S1312" s="35"/>
      <c r="T1312" s="36"/>
      <c r="U1312" s="36"/>
      <c r="V1312" s="36"/>
      <c r="W1312" s="36"/>
      <c r="X1312" s="36"/>
      <c r="Y1312" s="36"/>
    </row>
    <row r="1313">
      <c r="A1313" s="32"/>
      <c r="B1313" s="32"/>
      <c r="C1313" s="32"/>
      <c r="D1313" s="32"/>
      <c r="E1313" s="32"/>
      <c r="F1313" s="32"/>
      <c r="G1313" s="39"/>
      <c r="H1313" s="32"/>
      <c r="I1313" s="32"/>
      <c r="J1313" s="32"/>
      <c r="K1313" s="33"/>
      <c r="L1313" s="32"/>
      <c r="M1313" s="32"/>
      <c r="N1313" s="32"/>
      <c r="O1313" s="32"/>
      <c r="P1313" s="32"/>
      <c r="Q1313" s="34"/>
      <c r="R1313" s="35"/>
      <c r="S1313" s="35"/>
      <c r="T1313" s="36"/>
      <c r="U1313" s="36"/>
      <c r="V1313" s="36"/>
      <c r="W1313" s="36"/>
      <c r="X1313" s="36"/>
      <c r="Y1313" s="36"/>
    </row>
    <row r="1314">
      <c r="A1314" s="32"/>
      <c r="B1314" s="32"/>
      <c r="C1314" s="32"/>
      <c r="D1314" s="32"/>
      <c r="E1314" s="32"/>
      <c r="F1314" s="32"/>
      <c r="G1314" s="39"/>
      <c r="H1314" s="32"/>
      <c r="I1314" s="32"/>
      <c r="J1314" s="32"/>
      <c r="K1314" s="33"/>
      <c r="L1314" s="32"/>
      <c r="M1314" s="32"/>
      <c r="N1314" s="32"/>
      <c r="O1314" s="32"/>
      <c r="P1314" s="32"/>
      <c r="Q1314" s="34"/>
      <c r="R1314" s="35"/>
      <c r="S1314" s="35"/>
      <c r="T1314" s="36"/>
      <c r="U1314" s="36"/>
      <c r="V1314" s="36"/>
      <c r="W1314" s="36"/>
      <c r="X1314" s="36"/>
      <c r="Y1314" s="36"/>
    </row>
    <row r="1315">
      <c r="A1315" s="32"/>
      <c r="B1315" s="32"/>
      <c r="C1315" s="32"/>
      <c r="D1315" s="32"/>
      <c r="E1315" s="32"/>
      <c r="F1315" s="32"/>
      <c r="G1315" s="39"/>
      <c r="H1315" s="32"/>
      <c r="I1315" s="32"/>
      <c r="J1315" s="32"/>
      <c r="K1315" s="33"/>
      <c r="L1315" s="32"/>
      <c r="M1315" s="32"/>
      <c r="N1315" s="32"/>
      <c r="O1315" s="32"/>
      <c r="P1315" s="32"/>
      <c r="Q1315" s="34"/>
      <c r="R1315" s="35"/>
      <c r="S1315" s="35"/>
      <c r="T1315" s="36"/>
      <c r="U1315" s="36"/>
      <c r="V1315" s="36"/>
      <c r="W1315" s="36"/>
      <c r="X1315" s="36"/>
      <c r="Y1315" s="36"/>
    </row>
    <row r="1316">
      <c r="A1316" s="32"/>
      <c r="B1316" s="32"/>
      <c r="C1316" s="32"/>
      <c r="D1316" s="32"/>
      <c r="E1316" s="32"/>
      <c r="F1316" s="32"/>
      <c r="G1316" s="39"/>
      <c r="H1316" s="32"/>
      <c r="I1316" s="32"/>
      <c r="J1316" s="32"/>
      <c r="K1316" s="33"/>
      <c r="L1316" s="32"/>
      <c r="M1316" s="32"/>
      <c r="N1316" s="32"/>
      <c r="O1316" s="32"/>
      <c r="P1316" s="32"/>
      <c r="Q1316" s="34"/>
      <c r="R1316" s="35"/>
      <c r="S1316" s="35"/>
      <c r="T1316" s="36"/>
      <c r="U1316" s="36"/>
      <c r="V1316" s="36"/>
      <c r="W1316" s="36"/>
      <c r="X1316" s="36"/>
      <c r="Y1316" s="36"/>
    </row>
    <row r="1317">
      <c r="A1317" s="32"/>
      <c r="B1317" s="32"/>
      <c r="C1317" s="32"/>
      <c r="D1317" s="32"/>
      <c r="E1317" s="32"/>
      <c r="F1317" s="32"/>
      <c r="G1317" s="39"/>
      <c r="H1317" s="32"/>
      <c r="I1317" s="32"/>
      <c r="J1317" s="32"/>
      <c r="K1317" s="33"/>
      <c r="L1317" s="32"/>
      <c r="M1317" s="32"/>
      <c r="N1317" s="32"/>
      <c r="O1317" s="32"/>
      <c r="P1317" s="32"/>
      <c r="Q1317" s="34"/>
      <c r="R1317" s="35"/>
      <c r="S1317" s="35"/>
      <c r="T1317" s="36"/>
      <c r="U1317" s="36"/>
      <c r="V1317" s="36"/>
      <c r="W1317" s="36"/>
      <c r="X1317" s="36"/>
      <c r="Y1317" s="36"/>
    </row>
    <row r="1318">
      <c r="A1318" s="32"/>
      <c r="B1318" s="32"/>
      <c r="C1318" s="32"/>
      <c r="D1318" s="32"/>
      <c r="E1318" s="32"/>
      <c r="F1318" s="32"/>
      <c r="G1318" s="39"/>
      <c r="H1318" s="32"/>
      <c r="I1318" s="32"/>
      <c r="J1318" s="32"/>
      <c r="K1318" s="33"/>
      <c r="L1318" s="32"/>
      <c r="M1318" s="32"/>
      <c r="N1318" s="32"/>
      <c r="O1318" s="32"/>
      <c r="P1318" s="32"/>
      <c r="Q1318" s="34"/>
      <c r="R1318" s="35"/>
      <c r="S1318" s="35"/>
      <c r="T1318" s="36"/>
      <c r="U1318" s="36"/>
      <c r="V1318" s="36"/>
      <c r="W1318" s="36"/>
      <c r="X1318" s="36"/>
      <c r="Y1318" s="36"/>
    </row>
    <row r="1319">
      <c r="A1319" s="32"/>
      <c r="B1319" s="32"/>
      <c r="C1319" s="32"/>
      <c r="D1319" s="32"/>
      <c r="E1319" s="32"/>
      <c r="F1319" s="32"/>
      <c r="G1319" s="39"/>
      <c r="H1319" s="32"/>
      <c r="I1319" s="32"/>
      <c r="J1319" s="32"/>
      <c r="K1319" s="33"/>
      <c r="L1319" s="32"/>
      <c r="M1319" s="32"/>
      <c r="N1319" s="32"/>
      <c r="O1319" s="32"/>
      <c r="P1319" s="32"/>
      <c r="Q1319" s="34"/>
      <c r="R1319" s="35"/>
      <c r="S1319" s="35"/>
      <c r="T1319" s="36"/>
      <c r="U1319" s="36"/>
      <c r="V1319" s="36"/>
      <c r="W1319" s="36"/>
      <c r="X1319" s="36"/>
      <c r="Y1319" s="36"/>
    </row>
    <row r="1320">
      <c r="A1320" s="32"/>
      <c r="B1320" s="32"/>
      <c r="C1320" s="32"/>
      <c r="D1320" s="32"/>
      <c r="E1320" s="32"/>
      <c r="F1320" s="32"/>
      <c r="G1320" s="39"/>
      <c r="H1320" s="32"/>
      <c r="I1320" s="32"/>
      <c r="J1320" s="32"/>
      <c r="K1320" s="33"/>
      <c r="L1320" s="32"/>
      <c r="M1320" s="32"/>
      <c r="N1320" s="32"/>
      <c r="O1320" s="32"/>
      <c r="P1320" s="32"/>
      <c r="Q1320" s="34"/>
      <c r="R1320" s="35"/>
      <c r="S1320" s="35"/>
      <c r="T1320" s="36"/>
      <c r="U1320" s="36"/>
      <c r="V1320" s="36"/>
      <c r="W1320" s="36"/>
      <c r="X1320" s="36"/>
      <c r="Y1320" s="36"/>
    </row>
    <row r="1321">
      <c r="A1321" s="32"/>
      <c r="B1321" s="32"/>
      <c r="C1321" s="32"/>
      <c r="D1321" s="32"/>
      <c r="E1321" s="32"/>
      <c r="F1321" s="32"/>
      <c r="G1321" s="39"/>
      <c r="H1321" s="32"/>
      <c r="I1321" s="32"/>
      <c r="J1321" s="32"/>
      <c r="K1321" s="33"/>
      <c r="L1321" s="32"/>
      <c r="M1321" s="32"/>
      <c r="N1321" s="32"/>
      <c r="O1321" s="32"/>
      <c r="P1321" s="32"/>
      <c r="Q1321" s="34"/>
      <c r="R1321" s="35"/>
      <c r="S1321" s="35"/>
      <c r="T1321" s="36"/>
      <c r="U1321" s="36"/>
      <c r="V1321" s="36"/>
      <c r="W1321" s="36"/>
      <c r="X1321" s="36"/>
      <c r="Y1321" s="36"/>
    </row>
    <row r="1322">
      <c r="A1322" s="32"/>
      <c r="B1322" s="32"/>
      <c r="C1322" s="32"/>
      <c r="D1322" s="32"/>
      <c r="E1322" s="32"/>
      <c r="F1322" s="32"/>
      <c r="G1322" s="39"/>
      <c r="H1322" s="32"/>
      <c r="I1322" s="32"/>
      <c r="J1322" s="32"/>
      <c r="K1322" s="33"/>
      <c r="L1322" s="32"/>
      <c r="M1322" s="32"/>
      <c r="N1322" s="32"/>
      <c r="O1322" s="32"/>
      <c r="P1322" s="32"/>
      <c r="Q1322" s="34"/>
      <c r="R1322" s="35"/>
      <c r="S1322" s="35"/>
      <c r="T1322" s="36"/>
      <c r="U1322" s="36"/>
      <c r="V1322" s="36"/>
      <c r="W1322" s="36"/>
      <c r="X1322" s="36"/>
      <c r="Y1322" s="36"/>
    </row>
    <row r="1323">
      <c r="A1323" s="32"/>
      <c r="B1323" s="32"/>
      <c r="C1323" s="32"/>
      <c r="D1323" s="32"/>
      <c r="E1323" s="32"/>
      <c r="F1323" s="32"/>
      <c r="G1323" s="39"/>
      <c r="H1323" s="32"/>
      <c r="I1323" s="32"/>
      <c r="J1323" s="32"/>
      <c r="K1323" s="33"/>
      <c r="L1323" s="32"/>
      <c r="M1323" s="32"/>
      <c r="N1323" s="32"/>
      <c r="O1323" s="32"/>
      <c r="P1323" s="32"/>
      <c r="Q1323" s="34"/>
      <c r="R1323" s="35"/>
      <c r="S1323" s="35"/>
      <c r="T1323" s="36"/>
      <c r="U1323" s="36"/>
      <c r="V1323" s="36"/>
      <c r="W1323" s="36"/>
      <c r="X1323" s="36"/>
      <c r="Y1323" s="36"/>
    </row>
    <row r="1324">
      <c r="A1324" s="32"/>
      <c r="B1324" s="32"/>
      <c r="C1324" s="32"/>
      <c r="D1324" s="32"/>
      <c r="E1324" s="32"/>
      <c r="F1324" s="32"/>
      <c r="G1324" s="39"/>
      <c r="H1324" s="32"/>
      <c r="I1324" s="32"/>
      <c r="J1324" s="32"/>
      <c r="K1324" s="33"/>
      <c r="L1324" s="32"/>
      <c r="M1324" s="32"/>
      <c r="N1324" s="32"/>
      <c r="O1324" s="32"/>
      <c r="P1324" s="32"/>
      <c r="Q1324" s="34"/>
      <c r="R1324" s="35"/>
      <c r="S1324" s="35"/>
      <c r="T1324" s="36"/>
      <c r="U1324" s="36"/>
      <c r="V1324" s="36"/>
      <c r="W1324" s="36"/>
      <c r="X1324" s="36"/>
      <c r="Y1324" s="36"/>
    </row>
    <row r="1325">
      <c r="A1325" s="32"/>
      <c r="B1325" s="32"/>
      <c r="C1325" s="32"/>
      <c r="D1325" s="32"/>
      <c r="E1325" s="32"/>
      <c r="F1325" s="32"/>
      <c r="G1325" s="39"/>
      <c r="H1325" s="32"/>
      <c r="I1325" s="32"/>
      <c r="J1325" s="32"/>
      <c r="K1325" s="33"/>
      <c r="L1325" s="32"/>
      <c r="M1325" s="32"/>
      <c r="N1325" s="32"/>
      <c r="O1325" s="32"/>
      <c r="P1325" s="32"/>
      <c r="Q1325" s="34"/>
      <c r="R1325" s="35"/>
      <c r="S1325" s="35"/>
      <c r="T1325" s="36"/>
      <c r="U1325" s="36"/>
      <c r="V1325" s="36"/>
      <c r="W1325" s="36"/>
      <c r="X1325" s="36"/>
      <c r="Y1325" s="36"/>
    </row>
    <row r="1326">
      <c r="A1326" s="32"/>
      <c r="B1326" s="32"/>
      <c r="C1326" s="32"/>
      <c r="D1326" s="32"/>
      <c r="E1326" s="32"/>
      <c r="F1326" s="32"/>
      <c r="G1326" s="39"/>
      <c r="H1326" s="32"/>
      <c r="I1326" s="32"/>
      <c r="J1326" s="32"/>
      <c r="K1326" s="33"/>
      <c r="L1326" s="32"/>
      <c r="M1326" s="32"/>
      <c r="N1326" s="32"/>
      <c r="O1326" s="32"/>
      <c r="P1326" s="32"/>
      <c r="Q1326" s="34"/>
      <c r="R1326" s="35"/>
      <c r="S1326" s="35"/>
      <c r="T1326" s="36"/>
      <c r="U1326" s="36"/>
      <c r="V1326" s="36"/>
      <c r="W1326" s="36"/>
      <c r="X1326" s="36"/>
      <c r="Y1326" s="36"/>
    </row>
    <row r="1327">
      <c r="A1327" s="32"/>
      <c r="B1327" s="32"/>
      <c r="C1327" s="32"/>
      <c r="D1327" s="32"/>
      <c r="E1327" s="32"/>
      <c r="F1327" s="32"/>
      <c r="G1327" s="39"/>
      <c r="H1327" s="32"/>
      <c r="I1327" s="32"/>
      <c r="J1327" s="32"/>
      <c r="K1327" s="33"/>
      <c r="L1327" s="32"/>
      <c r="M1327" s="32"/>
      <c r="N1327" s="32"/>
      <c r="O1327" s="32"/>
      <c r="P1327" s="32"/>
      <c r="Q1327" s="34"/>
      <c r="R1327" s="35"/>
      <c r="S1327" s="35"/>
      <c r="T1327" s="36"/>
      <c r="U1327" s="36"/>
      <c r="V1327" s="36"/>
      <c r="W1327" s="36"/>
      <c r="X1327" s="36"/>
      <c r="Y1327" s="36"/>
    </row>
    <row r="1328">
      <c r="A1328" s="32"/>
      <c r="B1328" s="32"/>
      <c r="C1328" s="32"/>
      <c r="D1328" s="32"/>
      <c r="E1328" s="32"/>
      <c r="F1328" s="32"/>
      <c r="G1328" s="39"/>
      <c r="H1328" s="32"/>
      <c r="I1328" s="32"/>
      <c r="J1328" s="32"/>
      <c r="K1328" s="33"/>
      <c r="L1328" s="32"/>
      <c r="M1328" s="32"/>
      <c r="N1328" s="32"/>
      <c r="O1328" s="32"/>
      <c r="P1328" s="32"/>
      <c r="Q1328" s="34"/>
      <c r="R1328" s="35"/>
      <c r="S1328" s="35"/>
      <c r="T1328" s="36"/>
      <c r="U1328" s="36"/>
      <c r="V1328" s="36"/>
      <c r="W1328" s="36"/>
      <c r="X1328" s="36"/>
      <c r="Y1328" s="36"/>
    </row>
    <row r="1329">
      <c r="A1329" s="32"/>
      <c r="B1329" s="32"/>
      <c r="C1329" s="32"/>
      <c r="D1329" s="32"/>
      <c r="E1329" s="32"/>
      <c r="F1329" s="32"/>
      <c r="G1329" s="39"/>
      <c r="H1329" s="32"/>
      <c r="I1329" s="32"/>
      <c r="J1329" s="32"/>
      <c r="K1329" s="33"/>
      <c r="L1329" s="32"/>
      <c r="M1329" s="32"/>
      <c r="N1329" s="32"/>
      <c r="O1329" s="32"/>
      <c r="P1329" s="32"/>
      <c r="Q1329" s="34"/>
      <c r="R1329" s="35"/>
      <c r="S1329" s="35"/>
      <c r="T1329" s="36"/>
      <c r="U1329" s="36"/>
      <c r="V1329" s="36"/>
      <c r="W1329" s="36"/>
      <c r="X1329" s="36"/>
      <c r="Y1329" s="36"/>
    </row>
    <row r="1330">
      <c r="A1330" s="32"/>
      <c r="B1330" s="32"/>
      <c r="C1330" s="32"/>
      <c r="D1330" s="32"/>
      <c r="E1330" s="32"/>
      <c r="F1330" s="32"/>
      <c r="G1330" s="39"/>
      <c r="H1330" s="32"/>
      <c r="I1330" s="32"/>
      <c r="J1330" s="32"/>
      <c r="K1330" s="33"/>
      <c r="L1330" s="32"/>
      <c r="M1330" s="32"/>
      <c r="N1330" s="32"/>
      <c r="O1330" s="32"/>
      <c r="P1330" s="32"/>
      <c r="Q1330" s="34"/>
      <c r="R1330" s="35"/>
      <c r="S1330" s="35"/>
      <c r="T1330" s="36"/>
      <c r="U1330" s="36"/>
      <c r="V1330" s="36"/>
      <c r="W1330" s="36"/>
      <c r="X1330" s="36"/>
      <c r="Y1330" s="36"/>
    </row>
    <row r="1331">
      <c r="A1331" s="32"/>
      <c r="B1331" s="32"/>
      <c r="C1331" s="32"/>
      <c r="D1331" s="32"/>
      <c r="E1331" s="32"/>
      <c r="F1331" s="32"/>
      <c r="G1331" s="39"/>
      <c r="H1331" s="32"/>
      <c r="I1331" s="32"/>
      <c r="J1331" s="32"/>
      <c r="K1331" s="33"/>
      <c r="L1331" s="32"/>
      <c r="M1331" s="32"/>
      <c r="N1331" s="32"/>
      <c r="O1331" s="32"/>
      <c r="P1331" s="32"/>
      <c r="Q1331" s="34"/>
      <c r="R1331" s="35"/>
      <c r="S1331" s="35"/>
      <c r="T1331" s="36"/>
      <c r="U1331" s="36"/>
      <c r="V1331" s="36"/>
      <c r="W1331" s="36"/>
      <c r="X1331" s="36"/>
      <c r="Y1331" s="36"/>
    </row>
    <row r="1332">
      <c r="A1332" s="32"/>
      <c r="B1332" s="32"/>
      <c r="C1332" s="32"/>
      <c r="D1332" s="32"/>
      <c r="E1332" s="32"/>
      <c r="F1332" s="32"/>
      <c r="G1332" s="39"/>
      <c r="H1332" s="32"/>
      <c r="I1332" s="32"/>
      <c r="J1332" s="32"/>
      <c r="K1332" s="33"/>
      <c r="L1332" s="32"/>
      <c r="M1332" s="32"/>
      <c r="N1332" s="32"/>
      <c r="O1332" s="32"/>
      <c r="P1332" s="32"/>
      <c r="Q1332" s="34"/>
      <c r="R1332" s="35"/>
      <c r="S1332" s="35"/>
      <c r="T1332" s="36"/>
      <c r="U1332" s="36"/>
      <c r="V1332" s="36"/>
      <c r="W1332" s="36"/>
      <c r="X1332" s="36"/>
      <c r="Y1332" s="36"/>
    </row>
    <row r="1333">
      <c r="A1333" s="32"/>
      <c r="B1333" s="32"/>
      <c r="C1333" s="32"/>
      <c r="D1333" s="32"/>
      <c r="E1333" s="32"/>
      <c r="F1333" s="32"/>
      <c r="G1333" s="39"/>
      <c r="H1333" s="32"/>
      <c r="I1333" s="32"/>
      <c r="J1333" s="32"/>
      <c r="K1333" s="33"/>
      <c r="L1333" s="32"/>
      <c r="M1333" s="32"/>
      <c r="N1333" s="32"/>
      <c r="O1333" s="32"/>
      <c r="P1333" s="32"/>
      <c r="Q1333" s="34"/>
      <c r="R1333" s="35"/>
      <c r="S1333" s="35"/>
      <c r="T1333" s="36"/>
      <c r="U1333" s="36"/>
      <c r="V1333" s="36"/>
      <c r="W1333" s="36"/>
      <c r="X1333" s="36"/>
      <c r="Y1333" s="36"/>
    </row>
    <row r="1334">
      <c r="A1334" s="32"/>
      <c r="B1334" s="32"/>
      <c r="C1334" s="32"/>
      <c r="D1334" s="32"/>
      <c r="E1334" s="32"/>
      <c r="F1334" s="32"/>
      <c r="G1334" s="39"/>
      <c r="H1334" s="32"/>
      <c r="I1334" s="32"/>
      <c r="J1334" s="32"/>
      <c r="K1334" s="33"/>
      <c r="L1334" s="32"/>
      <c r="M1334" s="32"/>
      <c r="N1334" s="32"/>
      <c r="O1334" s="32"/>
      <c r="P1334" s="32"/>
      <c r="Q1334" s="34"/>
      <c r="R1334" s="35"/>
      <c r="S1334" s="35"/>
      <c r="T1334" s="36"/>
      <c r="U1334" s="36"/>
      <c r="V1334" s="36"/>
      <c r="W1334" s="36"/>
      <c r="X1334" s="36"/>
      <c r="Y1334" s="36"/>
    </row>
    <row r="1335">
      <c r="A1335" s="32"/>
      <c r="B1335" s="32"/>
      <c r="C1335" s="32"/>
      <c r="D1335" s="32"/>
      <c r="E1335" s="32"/>
      <c r="F1335" s="32"/>
      <c r="G1335" s="39"/>
      <c r="H1335" s="32"/>
      <c r="I1335" s="32"/>
      <c r="J1335" s="32"/>
      <c r="K1335" s="33"/>
      <c r="L1335" s="32"/>
      <c r="M1335" s="32"/>
      <c r="N1335" s="32"/>
      <c r="O1335" s="32"/>
      <c r="P1335" s="32"/>
      <c r="Q1335" s="34"/>
      <c r="R1335" s="35"/>
      <c r="S1335" s="35"/>
      <c r="T1335" s="36"/>
      <c r="U1335" s="36"/>
      <c r="V1335" s="36"/>
      <c r="W1335" s="36"/>
      <c r="X1335" s="36"/>
      <c r="Y1335" s="36"/>
    </row>
    <row r="1336">
      <c r="A1336" s="32"/>
      <c r="B1336" s="32"/>
      <c r="C1336" s="32"/>
      <c r="D1336" s="32"/>
      <c r="E1336" s="32"/>
      <c r="F1336" s="32"/>
      <c r="G1336" s="39"/>
      <c r="H1336" s="32"/>
      <c r="I1336" s="32"/>
      <c r="J1336" s="32"/>
      <c r="K1336" s="33"/>
      <c r="L1336" s="32"/>
      <c r="M1336" s="32"/>
      <c r="N1336" s="32"/>
      <c r="O1336" s="32"/>
      <c r="P1336" s="32"/>
      <c r="Q1336" s="34"/>
      <c r="R1336" s="35"/>
      <c r="S1336" s="35"/>
      <c r="T1336" s="36"/>
      <c r="U1336" s="36"/>
      <c r="V1336" s="36"/>
      <c r="W1336" s="36"/>
      <c r="X1336" s="36"/>
      <c r="Y1336" s="36"/>
    </row>
    <row r="1337">
      <c r="A1337" s="32"/>
      <c r="B1337" s="32"/>
      <c r="C1337" s="32"/>
      <c r="D1337" s="32"/>
      <c r="E1337" s="32"/>
      <c r="F1337" s="32"/>
      <c r="G1337" s="39"/>
      <c r="H1337" s="32"/>
      <c r="I1337" s="32"/>
      <c r="J1337" s="32"/>
      <c r="K1337" s="33"/>
      <c r="L1337" s="32"/>
      <c r="M1337" s="32"/>
      <c r="N1337" s="32"/>
      <c r="O1337" s="32"/>
      <c r="P1337" s="32"/>
      <c r="Q1337" s="34"/>
      <c r="R1337" s="35"/>
      <c r="S1337" s="35"/>
      <c r="T1337" s="36"/>
      <c r="U1337" s="36"/>
      <c r="V1337" s="36"/>
      <c r="W1337" s="36"/>
      <c r="X1337" s="36"/>
      <c r="Y1337" s="36"/>
    </row>
    <row r="1338">
      <c r="A1338" s="32"/>
      <c r="B1338" s="32"/>
      <c r="C1338" s="32"/>
      <c r="D1338" s="32"/>
      <c r="E1338" s="32"/>
      <c r="F1338" s="32"/>
      <c r="G1338" s="39"/>
      <c r="H1338" s="32"/>
      <c r="I1338" s="32"/>
      <c r="J1338" s="32"/>
      <c r="K1338" s="33"/>
      <c r="L1338" s="32"/>
      <c r="M1338" s="32"/>
      <c r="N1338" s="32"/>
      <c r="O1338" s="32"/>
      <c r="P1338" s="32"/>
      <c r="Q1338" s="34"/>
      <c r="R1338" s="35"/>
      <c r="S1338" s="35"/>
      <c r="T1338" s="36"/>
      <c r="U1338" s="36"/>
      <c r="V1338" s="36"/>
      <c r="W1338" s="36"/>
      <c r="X1338" s="36"/>
      <c r="Y1338" s="36"/>
    </row>
    <row r="1339">
      <c r="A1339" s="32"/>
      <c r="B1339" s="32"/>
      <c r="C1339" s="32"/>
      <c r="D1339" s="32"/>
      <c r="E1339" s="32"/>
      <c r="F1339" s="32"/>
      <c r="G1339" s="39"/>
      <c r="H1339" s="32"/>
      <c r="I1339" s="32"/>
      <c r="J1339" s="32"/>
      <c r="K1339" s="33"/>
      <c r="L1339" s="32"/>
      <c r="M1339" s="32"/>
      <c r="N1339" s="32"/>
      <c r="O1339" s="32"/>
      <c r="P1339" s="32"/>
      <c r="Q1339" s="34"/>
      <c r="R1339" s="35"/>
      <c r="S1339" s="35"/>
      <c r="T1339" s="36"/>
      <c r="U1339" s="36"/>
      <c r="V1339" s="36"/>
      <c r="W1339" s="36"/>
      <c r="X1339" s="36"/>
      <c r="Y1339" s="36"/>
    </row>
    <row r="1340">
      <c r="A1340" s="32"/>
      <c r="B1340" s="32"/>
      <c r="C1340" s="32"/>
      <c r="D1340" s="32"/>
      <c r="E1340" s="32"/>
      <c r="F1340" s="32"/>
      <c r="G1340" s="39"/>
      <c r="H1340" s="32"/>
      <c r="I1340" s="32"/>
      <c r="J1340" s="32"/>
      <c r="K1340" s="33"/>
      <c r="L1340" s="32"/>
      <c r="M1340" s="32"/>
      <c r="N1340" s="32"/>
      <c r="O1340" s="32"/>
      <c r="P1340" s="32"/>
      <c r="Q1340" s="34"/>
      <c r="R1340" s="35"/>
      <c r="S1340" s="35"/>
      <c r="T1340" s="36"/>
      <c r="U1340" s="36"/>
      <c r="V1340" s="36"/>
      <c r="W1340" s="36"/>
      <c r="X1340" s="36"/>
      <c r="Y1340" s="36"/>
    </row>
    <row r="1341">
      <c r="A1341" s="32"/>
      <c r="B1341" s="32"/>
      <c r="C1341" s="32"/>
      <c r="D1341" s="32"/>
      <c r="E1341" s="32"/>
      <c r="F1341" s="32"/>
      <c r="G1341" s="39"/>
      <c r="H1341" s="32"/>
      <c r="I1341" s="32"/>
      <c r="J1341" s="32"/>
      <c r="K1341" s="33"/>
      <c r="L1341" s="32"/>
      <c r="M1341" s="32"/>
      <c r="N1341" s="32"/>
      <c r="O1341" s="32"/>
      <c r="P1341" s="32"/>
      <c r="Q1341" s="34"/>
      <c r="R1341" s="35"/>
      <c r="S1341" s="35"/>
      <c r="T1341" s="36"/>
      <c r="U1341" s="36"/>
      <c r="V1341" s="36"/>
      <c r="W1341" s="36"/>
      <c r="X1341" s="36"/>
      <c r="Y1341" s="36"/>
    </row>
    <row r="1342">
      <c r="A1342" s="32"/>
      <c r="B1342" s="32"/>
      <c r="C1342" s="32"/>
      <c r="D1342" s="32"/>
      <c r="E1342" s="32"/>
      <c r="F1342" s="32"/>
      <c r="G1342" s="39"/>
      <c r="H1342" s="32"/>
      <c r="I1342" s="32"/>
      <c r="J1342" s="32"/>
      <c r="K1342" s="33"/>
      <c r="L1342" s="32"/>
      <c r="M1342" s="32"/>
      <c r="N1342" s="32"/>
      <c r="O1342" s="32"/>
      <c r="P1342" s="32"/>
      <c r="Q1342" s="34"/>
      <c r="R1342" s="35"/>
      <c r="S1342" s="35"/>
      <c r="T1342" s="36"/>
      <c r="U1342" s="36"/>
      <c r="V1342" s="36"/>
      <c r="W1342" s="36"/>
      <c r="X1342" s="36"/>
      <c r="Y1342" s="36"/>
    </row>
    <row r="1343">
      <c r="A1343" s="32"/>
      <c r="B1343" s="32"/>
      <c r="C1343" s="32"/>
      <c r="D1343" s="32"/>
      <c r="E1343" s="32"/>
      <c r="F1343" s="32"/>
      <c r="G1343" s="39"/>
      <c r="H1343" s="32"/>
      <c r="I1343" s="32"/>
      <c r="J1343" s="32"/>
      <c r="K1343" s="33"/>
      <c r="L1343" s="32"/>
      <c r="M1343" s="32"/>
      <c r="N1343" s="32"/>
      <c r="O1343" s="32"/>
      <c r="P1343" s="32"/>
      <c r="Q1343" s="34"/>
      <c r="R1343" s="35"/>
      <c r="S1343" s="35"/>
      <c r="T1343" s="36"/>
      <c r="U1343" s="36"/>
      <c r="V1343" s="36"/>
      <c r="W1343" s="36"/>
      <c r="X1343" s="36"/>
      <c r="Y1343" s="36"/>
    </row>
    <row r="1344">
      <c r="A1344" s="32"/>
      <c r="B1344" s="32"/>
      <c r="C1344" s="32"/>
      <c r="D1344" s="32"/>
      <c r="E1344" s="32"/>
      <c r="F1344" s="32"/>
      <c r="G1344" s="39"/>
      <c r="H1344" s="32"/>
      <c r="I1344" s="32"/>
      <c r="J1344" s="32"/>
      <c r="K1344" s="33"/>
      <c r="L1344" s="32"/>
      <c r="M1344" s="32"/>
      <c r="N1344" s="32"/>
      <c r="O1344" s="32"/>
      <c r="P1344" s="32"/>
      <c r="Q1344" s="34"/>
      <c r="R1344" s="35"/>
      <c r="S1344" s="35"/>
      <c r="T1344" s="36"/>
      <c r="U1344" s="36"/>
      <c r="V1344" s="36"/>
      <c r="W1344" s="36"/>
      <c r="X1344" s="36"/>
      <c r="Y1344" s="36"/>
    </row>
    <row r="1345">
      <c r="A1345" s="32"/>
      <c r="B1345" s="32"/>
      <c r="C1345" s="32"/>
      <c r="D1345" s="32"/>
      <c r="E1345" s="32"/>
      <c r="F1345" s="32"/>
      <c r="G1345" s="39"/>
      <c r="H1345" s="32"/>
      <c r="I1345" s="32"/>
      <c r="J1345" s="32"/>
      <c r="K1345" s="33"/>
      <c r="L1345" s="32"/>
      <c r="M1345" s="32"/>
      <c r="N1345" s="32"/>
      <c r="O1345" s="32"/>
      <c r="P1345" s="32"/>
      <c r="Q1345" s="34"/>
      <c r="R1345" s="35"/>
      <c r="S1345" s="35"/>
      <c r="T1345" s="36"/>
      <c r="U1345" s="36"/>
      <c r="V1345" s="36"/>
      <c r="W1345" s="36"/>
      <c r="X1345" s="36"/>
      <c r="Y1345" s="36"/>
    </row>
    <row r="1346">
      <c r="A1346" s="32"/>
      <c r="B1346" s="32"/>
      <c r="C1346" s="32"/>
      <c r="D1346" s="32"/>
      <c r="E1346" s="32"/>
      <c r="F1346" s="32"/>
      <c r="G1346" s="39"/>
      <c r="H1346" s="32"/>
      <c r="I1346" s="32"/>
      <c r="J1346" s="32"/>
      <c r="K1346" s="33"/>
      <c r="L1346" s="32"/>
      <c r="M1346" s="32"/>
      <c r="N1346" s="32"/>
      <c r="O1346" s="32"/>
      <c r="P1346" s="32"/>
      <c r="Q1346" s="34"/>
      <c r="R1346" s="35"/>
      <c r="S1346" s="35"/>
      <c r="T1346" s="36"/>
      <c r="U1346" s="36"/>
      <c r="V1346" s="36"/>
      <c r="W1346" s="36"/>
      <c r="X1346" s="36"/>
      <c r="Y1346" s="36"/>
    </row>
    <row r="1347">
      <c r="A1347" s="32"/>
      <c r="B1347" s="32"/>
      <c r="C1347" s="32"/>
      <c r="D1347" s="32"/>
      <c r="E1347" s="32"/>
      <c r="F1347" s="32"/>
      <c r="G1347" s="39"/>
      <c r="H1347" s="32"/>
      <c r="I1347" s="32"/>
      <c r="J1347" s="32"/>
      <c r="K1347" s="33"/>
      <c r="L1347" s="32"/>
      <c r="M1347" s="32"/>
      <c r="N1347" s="32"/>
      <c r="O1347" s="32"/>
      <c r="P1347" s="32"/>
      <c r="Q1347" s="34"/>
      <c r="R1347" s="35"/>
      <c r="S1347" s="35"/>
      <c r="T1347" s="36"/>
      <c r="U1347" s="36"/>
      <c r="V1347" s="36"/>
      <c r="W1347" s="36"/>
      <c r="X1347" s="36"/>
      <c r="Y1347" s="36"/>
    </row>
    <row r="1348">
      <c r="A1348" s="32"/>
      <c r="B1348" s="32"/>
      <c r="C1348" s="32"/>
      <c r="D1348" s="32"/>
      <c r="E1348" s="32"/>
      <c r="F1348" s="32"/>
      <c r="G1348" s="39"/>
      <c r="H1348" s="32"/>
      <c r="I1348" s="32"/>
      <c r="J1348" s="32"/>
      <c r="K1348" s="33"/>
      <c r="L1348" s="32"/>
      <c r="M1348" s="32"/>
      <c r="N1348" s="32"/>
      <c r="O1348" s="32"/>
      <c r="P1348" s="32"/>
      <c r="Q1348" s="34"/>
      <c r="R1348" s="35"/>
      <c r="S1348" s="35"/>
      <c r="T1348" s="36"/>
      <c r="U1348" s="36"/>
      <c r="V1348" s="36"/>
      <c r="W1348" s="36"/>
      <c r="X1348" s="36"/>
      <c r="Y1348" s="36"/>
    </row>
    <row r="1349">
      <c r="A1349" s="32"/>
      <c r="B1349" s="32"/>
      <c r="C1349" s="32"/>
      <c r="D1349" s="32"/>
      <c r="E1349" s="32"/>
      <c r="F1349" s="32"/>
      <c r="G1349" s="39"/>
      <c r="H1349" s="32"/>
      <c r="I1349" s="32"/>
      <c r="J1349" s="32"/>
      <c r="K1349" s="33"/>
      <c r="L1349" s="32"/>
      <c r="M1349" s="32"/>
      <c r="N1349" s="32"/>
      <c r="O1349" s="32"/>
      <c r="P1349" s="32"/>
      <c r="Q1349" s="34"/>
      <c r="R1349" s="35"/>
      <c r="S1349" s="35"/>
      <c r="T1349" s="36"/>
      <c r="U1349" s="36"/>
      <c r="V1349" s="36"/>
      <c r="W1349" s="36"/>
      <c r="X1349" s="36"/>
      <c r="Y1349" s="36"/>
    </row>
    <row r="1350">
      <c r="A1350" s="32"/>
      <c r="B1350" s="32"/>
      <c r="C1350" s="32"/>
      <c r="D1350" s="32"/>
      <c r="E1350" s="32"/>
      <c r="F1350" s="32"/>
      <c r="G1350" s="39"/>
      <c r="H1350" s="32"/>
      <c r="I1350" s="32"/>
      <c r="J1350" s="32"/>
      <c r="K1350" s="33"/>
      <c r="L1350" s="32"/>
      <c r="M1350" s="32"/>
      <c r="N1350" s="32"/>
      <c r="O1350" s="32"/>
      <c r="P1350" s="32"/>
      <c r="Q1350" s="34"/>
      <c r="R1350" s="35"/>
      <c r="S1350" s="35"/>
      <c r="T1350" s="36"/>
      <c r="U1350" s="36"/>
      <c r="V1350" s="36"/>
      <c r="W1350" s="36"/>
      <c r="X1350" s="36"/>
      <c r="Y1350" s="36"/>
    </row>
    <row r="1351">
      <c r="A1351" s="32"/>
      <c r="B1351" s="32"/>
      <c r="C1351" s="32"/>
      <c r="D1351" s="32"/>
      <c r="E1351" s="32"/>
      <c r="F1351" s="32"/>
      <c r="G1351" s="39"/>
      <c r="H1351" s="32"/>
      <c r="I1351" s="32"/>
      <c r="J1351" s="32"/>
      <c r="K1351" s="33"/>
      <c r="L1351" s="32"/>
      <c r="M1351" s="32"/>
      <c r="N1351" s="32"/>
      <c r="O1351" s="32"/>
      <c r="P1351" s="32"/>
      <c r="Q1351" s="34"/>
      <c r="R1351" s="35"/>
      <c r="S1351" s="35"/>
      <c r="T1351" s="36"/>
      <c r="U1351" s="36"/>
      <c r="V1351" s="36"/>
      <c r="W1351" s="36"/>
      <c r="X1351" s="36"/>
      <c r="Y1351" s="36"/>
    </row>
    <row r="1352">
      <c r="A1352" s="32"/>
      <c r="B1352" s="32"/>
      <c r="C1352" s="32"/>
      <c r="D1352" s="32"/>
      <c r="E1352" s="32"/>
      <c r="F1352" s="32"/>
      <c r="G1352" s="39"/>
      <c r="H1352" s="32"/>
      <c r="I1352" s="32"/>
      <c r="J1352" s="32"/>
      <c r="K1352" s="33"/>
      <c r="L1352" s="32"/>
      <c r="M1352" s="32"/>
      <c r="N1352" s="32"/>
      <c r="O1352" s="32"/>
      <c r="P1352" s="32"/>
      <c r="Q1352" s="34"/>
      <c r="R1352" s="35"/>
      <c r="S1352" s="35"/>
      <c r="T1352" s="36"/>
      <c r="U1352" s="36"/>
      <c r="V1352" s="36"/>
      <c r="W1352" s="36"/>
      <c r="X1352" s="36"/>
      <c r="Y1352" s="36"/>
    </row>
    <row r="1353">
      <c r="A1353" s="32"/>
      <c r="B1353" s="32"/>
      <c r="C1353" s="32"/>
      <c r="D1353" s="32"/>
      <c r="E1353" s="32"/>
      <c r="F1353" s="32"/>
      <c r="G1353" s="39"/>
      <c r="H1353" s="32"/>
      <c r="I1353" s="32"/>
      <c r="J1353" s="32"/>
      <c r="K1353" s="33"/>
      <c r="L1353" s="32"/>
      <c r="M1353" s="32"/>
      <c r="N1353" s="32"/>
      <c r="O1353" s="32"/>
      <c r="P1353" s="32"/>
      <c r="Q1353" s="34"/>
      <c r="R1353" s="35"/>
      <c r="S1353" s="35"/>
      <c r="T1353" s="36"/>
      <c r="U1353" s="36"/>
      <c r="V1353" s="36"/>
      <c r="W1353" s="36"/>
      <c r="X1353" s="36"/>
      <c r="Y1353" s="36"/>
    </row>
    <row r="1354">
      <c r="A1354" s="32"/>
      <c r="B1354" s="32"/>
      <c r="C1354" s="32"/>
      <c r="D1354" s="32"/>
      <c r="E1354" s="32"/>
      <c r="F1354" s="32"/>
      <c r="G1354" s="39"/>
      <c r="H1354" s="32"/>
      <c r="I1354" s="32"/>
      <c r="J1354" s="32"/>
      <c r="K1354" s="33"/>
      <c r="L1354" s="32"/>
      <c r="M1354" s="32"/>
      <c r="N1354" s="32"/>
      <c r="O1354" s="32"/>
      <c r="P1354" s="32"/>
      <c r="Q1354" s="34"/>
      <c r="R1354" s="35"/>
      <c r="S1354" s="35"/>
      <c r="T1354" s="36"/>
      <c r="U1354" s="36"/>
      <c r="V1354" s="36"/>
      <c r="W1354" s="36"/>
      <c r="X1354" s="36"/>
      <c r="Y1354" s="36"/>
    </row>
    <row r="1355">
      <c r="A1355" s="32"/>
      <c r="B1355" s="32"/>
      <c r="C1355" s="32"/>
      <c r="D1355" s="32"/>
      <c r="E1355" s="32"/>
      <c r="F1355" s="32"/>
      <c r="G1355" s="39"/>
      <c r="H1355" s="32"/>
      <c r="I1355" s="32"/>
      <c r="J1355" s="32"/>
      <c r="K1355" s="33"/>
      <c r="L1355" s="32"/>
      <c r="M1355" s="32"/>
      <c r="N1355" s="32"/>
      <c r="O1355" s="32"/>
      <c r="P1355" s="32"/>
      <c r="Q1355" s="34"/>
      <c r="R1355" s="35"/>
      <c r="S1355" s="35"/>
      <c r="T1355" s="36"/>
      <c r="U1355" s="36"/>
      <c r="V1355" s="36"/>
      <c r="W1355" s="36"/>
      <c r="X1355" s="36"/>
      <c r="Y1355" s="36"/>
    </row>
    <row r="1356">
      <c r="A1356" s="32"/>
      <c r="B1356" s="32"/>
      <c r="C1356" s="32"/>
      <c r="D1356" s="32"/>
      <c r="E1356" s="32"/>
      <c r="F1356" s="32"/>
      <c r="G1356" s="39"/>
      <c r="H1356" s="32"/>
      <c r="I1356" s="32"/>
      <c r="J1356" s="32"/>
      <c r="K1356" s="33"/>
      <c r="L1356" s="32"/>
      <c r="M1356" s="32"/>
      <c r="N1356" s="32"/>
      <c r="O1356" s="32"/>
      <c r="P1356" s="32"/>
      <c r="Q1356" s="34"/>
      <c r="R1356" s="35"/>
      <c r="S1356" s="35"/>
      <c r="T1356" s="36"/>
      <c r="U1356" s="36"/>
      <c r="V1356" s="36"/>
      <c r="W1356" s="36"/>
      <c r="X1356" s="36"/>
      <c r="Y1356" s="36"/>
    </row>
    <row r="1357">
      <c r="A1357" s="32"/>
      <c r="B1357" s="32"/>
      <c r="C1357" s="32"/>
      <c r="D1357" s="32"/>
      <c r="E1357" s="32"/>
      <c r="F1357" s="32"/>
      <c r="G1357" s="39"/>
      <c r="H1357" s="32"/>
      <c r="I1357" s="32"/>
      <c r="J1357" s="32"/>
      <c r="K1357" s="33"/>
      <c r="L1357" s="32"/>
      <c r="M1357" s="32"/>
      <c r="N1357" s="32"/>
      <c r="O1357" s="32"/>
      <c r="P1357" s="32"/>
      <c r="Q1357" s="34"/>
      <c r="R1357" s="35"/>
      <c r="S1357" s="35"/>
      <c r="T1357" s="36"/>
      <c r="U1357" s="36"/>
      <c r="V1357" s="36"/>
      <c r="W1357" s="36"/>
      <c r="X1357" s="36"/>
      <c r="Y1357" s="36"/>
    </row>
    <row r="1358">
      <c r="A1358" s="32"/>
      <c r="B1358" s="32"/>
      <c r="C1358" s="32"/>
      <c r="D1358" s="32"/>
      <c r="E1358" s="32"/>
      <c r="F1358" s="32"/>
      <c r="G1358" s="39"/>
      <c r="H1358" s="32"/>
      <c r="I1358" s="32"/>
      <c r="J1358" s="32"/>
      <c r="K1358" s="33"/>
      <c r="L1358" s="32"/>
      <c r="M1358" s="32"/>
      <c r="N1358" s="32"/>
      <c r="O1358" s="32"/>
      <c r="P1358" s="32"/>
      <c r="Q1358" s="34"/>
      <c r="R1358" s="35"/>
      <c r="S1358" s="35"/>
      <c r="T1358" s="36"/>
      <c r="U1358" s="36"/>
      <c r="V1358" s="36"/>
      <c r="W1358" s="36"/>
      <c r="X1358" s="36"/>
      <c r="Y1358" s="36"/>
    </row>
    <row r="1359">
      <c r="A1359" s="32"/>
      <c r="B1359" s="32"/>
      <c r="C1359" s="32"/>
      <c r="D1359" s="32"/>
      <c r="E1359" s="32"/>
      <c r="F1359" s="32"/>
      <c r="G1359" s="39"/>
      <c r="H1359" s="32"/>
      <c r="I1359" s="32"/>
      <c r="J1359" s="32"/>
      <c r="K1359" s="33"/>
      <c r="L1359" s="32"/>
      <c r="M1359" s="32"/>
      <c r="N1359" s="32"/>
      <c r="O1359" s="32"/>
      <c r="P1359" s="32"/>
      <c r="Q1359" s="34"/>
      <c r="R1359" s="35"/>
      <c r="S1359" s="35"/>
      <c r="T1359" s="36"/>
      <c r="U1359" s="36"/>
      <c r="V1359" s="36"/>
      <c r="W1359" s="36"/>
      <c r="X1359" s="36"/>
      <c r="Y1359" s="36"/>
    </row>
    <row r="1360">
      <c r="A1360" s="32"/>
      <c r="B1360" s="32"/>
      <c r="C1360" s="32"/>
      <c r="D1360" s="32"/>
      <c r="E1360" s="32"/>
      <c r="F1360" s="32"/>
      <c r="G1360" s="39"/>
      <c r="H1360" s="32"/>
      <c r="I1360" s="32"/>
      <c r="J1360" s="32"/>
      <c r="K1360" s="33"/>
      <c r="L1360" s="32"/>
      <c r="M1360" s="32"/>
      <c r="N1360" s="32"/>
      <c r="O1360" s="32"/>
      <c r="P1360" s="32"/>
      <c r="Q1360" s="34"/>
      <c r="R1360" s="35"/>
      <c r="S1360" s="35"/>
      <c r="T1360" s="36"/>
      <c r="U1360" s="36"/>
      <c r="V1360" s="36"/>
      <c r="W1360" s="36"/>
      <c r="X1360" s="36"/>
      <c r="Y1360" s="36"/>
    </row>
    <row r="1361">
      <c r="A1361" s="32"/>
      <c r="B1361" s="32"/>
      <c r="C1361" s="32"/>
      <c r="D1361" s="32"/>
      <c r="E1361" s="32"/>
      <c r="F1361" s="32"/>
      <c r="G1361" s="39"/>
      <c r="H1361" s="32"/>
      <c r="I1361" s="32"/>
      <c r="J1361" s="32"/>
      <c r="K1361" s="33"/>
      <c r="L1361" s="32"/>
      <c r="M1361" s="32"/>
      <c r="N1361" s="32"/>
      <c r="O1361" s="32"/>
      <c r="P1361" s="32"/>
      <c r="Q1361" s="34"/>
      <c r="R1361" s="35"/>
      <c r="S1361" s="35"/>
      <c r="T1361" s="36"/>
      <c r="U1361" s="36"/>
      <c r="V1361" s="36"/>
      <c r="W1361" s="36"/>
      <c r="X1361" s="36"/>
      <c r="Y1361" s="36"/>
    </row>
    <row r="1362">
      <c r="A1362" s="32"/>
      <c r="B1362" s="32"/>
      <c r="C1362" s="32"/>
      <c r="D1362" s="32"/>
      <c r="E1362" s="32"/>
      <c r="F1362" s="32"/>
      <c r="G1362" s="39"/>
      <c r="H1362" s="32"/>
      <c r="I1362" s="32"/>
      <c r="J1362" s="32"/>
      <c r="K1362" s="33"/>
      <c r="L1362" s="32"/>
      <c r="M1362" s="32"/>
      <c r="N1362" s="32"/>
      <c r="O1362" s="32"/>
      <c r="P1362" s="32"/>
      <c r="Q1362" s="34"/>
      <c r="R1362" s="35"/>
      <c r="S1362" s="35"/>
      <c r="T1362" s="36"/>
      <c r="U1362" s="36"/>
      <c r="V1362" s="36"/>
      <c r="W1362" s="36"/>
      <c r="X1362" s="36"/>
      <c r="Y1362" s="36"/>
    </row>
    <row r="1363">
      <c r="A1363" s="32"/>
      <c r="B1363" s="32"/>
      <c r="C1363" s="32"/>
      <c r="D1363" s="32"/>
      <c r="E1363" s="32"/>
      <c r="F1363" s="32"/>
      <c r="G1363" s="39"/>
      <c r="H1363" s="32"/>
      <c r="I1363" s="32"/>
      <c r="J1363" s="32"/>
      <c r="K1363" s="33"/>
      <c r="L1363" s="32"/>
      <c r="M1363" s="32"/>
      <c r="N1363" s="32"/>
      <c r="O1363" s="32"/>
      <c r="P1363" s="32"/>
      <c r="Q1363" s="34"/>
      <c r="R1363" s="35"/>
      <c r="S1363" s="35"/>
      <c r="T1363" s="36"/>
      <c r="U1363" s="36"/>
      <c r="V1363" s="36"/>
      <c r="W1363" s="36"/>
      <c r="X1363" s="36"/>
      <c r="Y1363" s="36"/>
    </row>
    <row r="1364">
      <c r="A1364" s="32"/>
      <c r="B1364" s="32"/>
      <c r="C1364" s="32"/>
      <c r="D1364" s="32"/>
      <c r="E1364" s="32"/>
      <c r="F1364" s="32"/>
      <c r="G1364" s="39"/>
      <c r="H1364" s="32"/>
      <c r="I1364" s="32"/>
      <c r="J1364" s="32"/>
      <c r="K1364" s="33"/>
      <c r="L1364" s="32"/>
      <c r="M1364" s="32"/>
      <c r="N1364" s="32"/>
      <c r="O1364" s="32"/>
      <c r="P1364" s="32"/>
      <c r="Q1364" s="34"/>
      <c r="R1364" s="35"/>
      <c r="S1364" s="35"/>
      <c r="T1364" s="36"/>
      <c r="U1364" s="36"/>
      <c r="V1364" s="36"/>
      <c r="W1364" s="36"/>
      <c r="X1364" s="36"/>
      <c r="Y1364" s="36"/>
    </row>
    <row r="1365">
      <c r="A1365" s="32"/>
      <c r="B1365" s="32"/>
      <c r="C1365" s="32"/>
      <c r="D1365" s="32"/>
      <c r="E1365" s="32"/>
      <c r="F1365" s="32"/>
      <c r="G1365" s="39"/>
      <c r="H1365" s="32"/>
      <c r="I1365" s="32"/>
      <c r="J1365" s="32"/>
      <c r="K1365" s="33"/>
      <c r="L1365" s="32"/>
      <c r="M1365" s="32"/>
      <c r="N1365" s="32"/>
      <c r="O1365" s="32"/>
      <c r="P1365" s="32"/>
      <c r="Q1365" s="34"/>
      <c r="R1365" s="35"/>
      <c r="S1365" s="35"/>
      <c r="T1365" s="36"/>
      <c r="U1365" s="36"/>
      <c r="V1365" s="36"/>
      <c r="W1365" s="36"/>
      <c r="X1365" s="36"/>
      <c r="Y1365" s="36"/>
    </row>
    <row r="1366">
      <c r="A1366" s="32"/>
      <c r="B1366" s="32"/>
      <c r="C1366" s="32"/>
      <c r="D1366" s="32"/>
      <c r="E1366" s="32"/>
      <c r="F1366" s="32"/>
      <c r="G1366" s="39"/>
      <c r="H1366" s="32"/>
      <c r="I1366" s="32"/>
      <c r="J1366" s="32"/>
      <c r="K1366" s="33"/>
      <c r="L1366" s="32"/>
      <c r="M1366" s="32"/>
      <c r="N1366" s="32"/>
      <c r="O1366" s="32"/>
      <c r="P1366" s="32"/>
      <c r="Q1366" s="34"/>
      <c r="R1366" s="35"/>
      <c r="S1366" s="35"/>
      <c r="T1366" s="36"/>
      <c r="U1366" s="36"/>
      <c r="V1366" s="36"/>
      <c r="W1366" s="36"/>
      <c r="X1366" s="36"/>
      <c r="Y1366" s="36"/>
    </row>
    <row r="1367">
      <c r="A1367" s="32"/>
      <c r="B1367" s="32"/>
      <c r="C1367" s="32"/>
      <c r="D1367" s="32"/>
      <c r="E1367" s="32"/>
      <c r="F1367" s="32"/>
      <c r="G1367" s="39"/>
      <c r="H1367" s="32"/>
      <c r="I1367" s="32"/>
      <c r="J1367" s="32"/>
      <c r="K1367" s="33"/>
      <c r="L1367" s="32"/>
      <c r="M1367" s="32"/>
      <c r="N1367" s="32"/>
      <c r="O1367" s="32"/>
      <c r="P1367" s="32"/>
      <c r="Q1367" s="34"/>
      <c r="R1367" s="35"/>
      <c r="S1367" s="35"/>
      <c r="T1367" s="36"/>
      <c r="U1367" s="36"/>
      <c r="V1367" s="36"/>
      <c r="W1367" s="36"/>
      <c r="X1367" s="36"/>
      <c r="Y1367" s="36"/>
    </row>
    <row r="1368">
      <c r="A1368" s="32"/>
      <c r="B1368" s="32"/>
      <c r="C1368" s="32"/>
      <c r="D1368" s="32"/>
      <c r="E1368" s="32"/>
      <c r="F1368" s="32"/>
      <c r="G1368" s="39"/>
      <c r="H1368" s="32"/>
      <c r="I1368" s="32"/>
      <c r="J1368" s="32"/>
      <c r="K1368" s="33"/>
      <c r="L1368" s="32"/>
      <c r="M1368" s="32"/>
      <c r="N1368" s="32"/>
      <c r="O1368" s="32"/>
      <c r="P1368" s="32"/>
      <c r="Q1368" s="34"/>
      <c r="R1368" s="35"/>
      <c r="S1368" s="35"/>
      <c r="T1368" s="36"/>
      <c r="U1368" s="36"/>
      <c r="V1368" s="36"/>
      <c r="W1368" s="36"/>
      <c r="X1368" s="36"/>
      <c r="Y1368" s="36"/>
    </row>
    <row r="1369">
      <c r="A1369" s="32"/>
      <c r="B1369" s="32"/>
      <c r="C1369" s="32"/>
      <c r="D1369" s="32"/>
      <c r="E1369" s="32"/>
      <c r="F1369" s="32"/>
      <c r="G1369" s="39"/>
      <c r="H1369" s="32"/>
      <c r="I1369" s="32"/>
      <c r="J1369" s="32"/>
      <c r="K1369" s="33"/>
      <c r="L1369" s="32"/>
      <c r="M1369" s="32"/>
      <c r="N1369" s="32"/>
      <c r="O1369" s="32"/>
      <c r="P1369" s="32"/>
      <c r="Q1369" s="34"/>
      <c r="R1369" s="35"/>
      <c r="S1369" s="35"/>
      <c r="T1369" s="36"/>
      <c r="U1369" s="36"/>
      <c r="V1369" s="36"/>
      <c r="W1369" s="36"/>
      <c r="X1369" s="36"/>
      <c r="Y1369" s="36"/>
    </row>
    <row r="1370">
      <c r="A1370" s="32"/>
      <c r="B1370" s="32"/>
      <c r="C1370" s="32"/>
      <c r="D1370" s="32"/>
      <c r="E1370" s="32"/>
      <c r="F1370" s="32"/>
      <c r="G1370" s="39"/>
      <c r="H1370" s="32"/>
      <c r="I1370" s="32"/>
      <c r="J1370" s="32"/>
      <c r="K1370" s="33"/>
      <c r="L1370" s="32"/>
      <c r="M1370" s="32"/>
      <c r="N1370" s="32"/>
      <c r="O1370" s="32"/>
      <c r="P1370" s="32"/>
      <c r="Q1370" s="34"/>
      <c r="R1370" s="35"/>
      <c r="S1370" s="35"/>
      <c r="T1370" s="36"/>
      <c r="U1370" s="36"/>
      <c r="V1370" s="36"/>
      <c r="W1370" s="36"/>
      <c r="X1370" s="36"/>
      <c r="Y1370" s="36"/>
    </row>
    <row r="1371">
      <c r="A1371" s="32"/>
      <c r="B1371" s="32"/>
      <c r="C1371" s="32"/>
      <c r="D1371" s="32"/>
      <c r="E1371" s="32"/>
      <c r="F1371" s="32"/>
      <c r="G1371" s="39"/>
      <c r="H1371" s="32"/>
      <c r="I1371" s="32"/>
      <c r="J1371" s="32"/>
      <c r="K1371" s="33"/>
      <c r="L1371" s="32"/>
      <c r="M1371" s="32"/>
      <c r="N1371" s="32"/>
      <c r="O1371" s="32"/>
      <c r="P1371" s="32"/>
      <c r="Q1371" s="34"/>
      <c r="R1371" s="35"/>
      <c r="S1371" s="35"/>
      <c r="T1371" s="36"/>
      <c r="U1371" s="36"/>
      <c r="V1371" s="36"/>
      <c r="W1371" s="36"/>
      <c r="X1371" s="36"/>
      <c r="Y1371" s="36"/>
    </row>
    <row r="1372">
      <c r="A1372" s="32"/>
      <c r="B1372" s="32"/>
      <c r="C1372" s="32"/>
      <c r="D1372" s="32"/>
      <c r="E1372" s="32"/>
      <c r="F1372" s="32"/>
      <c r="G1372" s="39"/>
      <c r="H1372" s="32"/>
      <c r="I1372" s="32"/>
      <c r="J1372" s="32"/>
      <c r="K1372" s="33"/>
      <c r="L1372" s="32"/>
      <c r="M1372" s="32"/>
      <c r="N1372" s="32"/>
      <c r="O1372" s="32"/>
      <c r="P1372" s="32"/>
      <c r="Q1372" s="34"/>
      <c r="R1372" s="35"/>
      <c r="S1372" s="35"/>
      <c r="T1372" s="36"/>
      <c r="U1372" s="36"/>
      <c r="V1372" s="36"/>
      <c r="W1372" s="36"/>
      <c r="X1372" s="36"/>
      <c r="Y1372" s="36"/>
    </row>
    <row r="1373">
      <c r="A1373" s="32"/>
      <c r="B1373" s="32"/>
      <c r="C1373" s="32"/>
      <c r="D1373" s="32"/>
      <c r="E1373" s="32"/>
      <c r="F1373" s="32"/>
      <c r="G1373" s="39"/>
      <c r="H1373" s="32"/>
      <c r="I1373" s="32"/>
      <c r="J1373" s="32"/>
      <c r="K1373" s="33"/>
      <c r="L1373" s="32"/>
      <c r="M1373" s="32"/>
      <c r="N1373" s="32"/>
      <c r="O1373" s="32"/>
      <c r="P1373" s="32"/>
      <c r="Q1373" s="34"/>
      <c r="R1373" s="35"/>
      <c r="S1373" s="35"/>
      <c r="T1373" s="36"/>
      <c r="U1373" s="36"/>
      <c r="V1373" s="36"/>
      <c r="W1373" s="36"/>
      <c r="X1373" s="36"/>
      <c r="Y1373" s="36"/>
    </row>
    <row r="1374">
      <c r="A1374" s="32"/>
      <c r="B1374" s="32"/>
      <c r="C1374" s="32"/>
      <c r="D1374" s="32"/>
      <c r="E1374" s="32"/>
      <c r="F1374" s="32"/>
      <c r="G1374" s="39"/>
      <c r="H1374" s="32"/>
      <c r="I1374" s="32"/>
      <c r="J1374" s="32"/>
      <c r="K1374" s="33"/>
      <c r="L1374" s="32"/>
      <c r="M1374" s="32"/>
      <c r="N1374" s="32"/>
      <c r="O1374" s="32"/>
      <c r="P1374" s="32"/>
      <c r="Q1374" s="34"/>
      <c r="R1374" s="35"/>
      <c r="S1374" s="35"/>
      <c r="T1374" s="36"/>
      <c r="U1374" s="36"/>
      <c r="V1374" s="36"/>
      <c r="W1374" s="36"/>
      <c r="X1374" s="36"/>
      <c r="Y1374" s="36"/>
    </row>
    <row r="1375">
      <c r="A1375" s="32"/>
      <c r="B1375" s="32"/>
      <c r="C1375" s="32"/>
      <c r="D1375" s="32"/>
      <c r="E1375" s="32"/>
      <c r="F1375" s="32"/>
      <c r="G1375" s="39"/>
      <c r="H1375" s="32"/>
      <c r="I1375" s="32"/>
      <c r="J1375" s="32"/>
      <c r="K1375" s="33"/>
      <c r="L1375" s="32"/>
      <c r="M1375" s="32"/>
      <c r="N1375" s="32"/>
      <c r="O1375" s="32"/>
      <c r="P1375" s="32"/>
      <c r="Q1375" s="34"/>
      <c r="R1375" s="35"/>
      <c r="S1375" s="35"/>
      <c r="T1375" s="36"/>
      <c r="U1375" s="36"/>
      <c r="V1375" s="36"/>
      <c r="W1375" s="36"/>
      <c r="X1375" s="36"/>
      <c r="Y1375" s="36"/>
    </row>
    <row r="1376">
      <c r="A1376" s="32"/>
      <c r="B1376" s="32"/>
      <c r="C1376" s="32"/>
      <c r="D1376" s="32"/>
      <c r="E1376" s="32"/>
      <c r="F1376" s="32"/>
      <c r="G1376" s="39"/>
      <c r="H1376" s="32"/>
      <c r="I1376" s="32"/>
      <c r="J1376" s="32"/>
      <c r="K1376" s="33"/>
      <c r="L1376" s="32"/>
      <c r="M1376" s="32"/>
      <c r="N1376" s="32"/>
      <c r="O1376" s="32"/>
      <c r="P1376" s="32"/>
      <c r="Q1376" s="34"/>
      <c r="R1376" s="35"/>
      <c r="S1376" s="35"/>
      <c r="T1376" s="36"/>
      <c r="U1376" s="36"/>
      <c r="V1376" s="36"/>
      <c r="W1376" s="36"/>
      <c r="X1376" s="36"/>
      <c r="Y1376" s="36"/>
    </row>
    <row r="1377">
      <c r="A1377" s="32"/>
      <c r="B1377" s="32"/>
      <c r="C1377" s="32"/>
      <c r="D1377" s="32"/>
      <c r="E1377" s="32"/>
      <c r="F1377" s="32"/>
      <c r="G1377" s="39"/>
      <c r="H1377" s="32"/>
      <c r="I1377" s="32"/>
      <c r="J1377" s="32"/>
      <c r="K1377" s="33"/>
      <c r="L1377" s="32"/>
      <c r="M1377" s="32"/>
      <c r="N1377" s="32"/>
      <c r="O1377" s="32"/>
      <c r="P1377" s="32"/>
      <c r="Q1377" s="34"/>
      <c r="R1377" s="35"/>
      <c r="S1377" s="35"/>
      <c r="T1377" s="36"/>
      <c r="U1377" s="36"/>
      <c r="V1377" s="36"/>
      <c r="W1377" s="36"/>
      <c r="X1377" s="36"/>
      <c r="Y1377" s="36"/>
    </row>
    <row r="1378">
      <c r="A1378" s="32"/>
      <c r="B1378" s="32"/>
      <c r="C1378" s="32"/>
      <c r="D1378" s="32"/>
      <c r="E1378" s="32"/>
      <c r="F1378" s="32"/>
      <c r="G1378" s="39"/>
      <c r="H1378" s="32"/>
      <c r="I1378" s="32"/>
      <c r="J1378" s="32"/>
      <c r="K1378" s="33"/>
      <c r="L1378" s="32"/>
      <c r="M1378" s="32"/>
      <c r="N1378" s="32"/>
      <c r="O1378" s="32"/>
      <c r="P1378" s="32"/>
      <c r="Q1378" s="34"/>
      <c r="R1378" s="35"/>
      <c r="S1378" s="35"/>
      <c r="T1378" s="36"/>
      <c r="U1378" s="36"/>
      <c r="V1378" s="36"/>
      <c r="W1378" s="36"/>
      <c r="X1378" s="36"/>
      <c r="Y1378" s="36"/>
    </row>
    <row r="1379">
      <c r="A1379" s="32"/>
      <c r="B1379" s="32"/>
      <c r="C1379" s="32"/>
      <c r="D1379" s="32"/>
      <c r="E1379" s="32"/>
      <c r="F1379" s="32"/>
      <c r="G1379" s="39"/>
      <c r="H1379" s="32"/>
      <c r="I1379" s="32"/>
      <c r="J1379" s="32"/>
      <c r="K1379" s="33"/>
      <c r="L1379" s="32"/>
      <c r="M1379" s="32"/>
      <c r="N1379" s="32"/>
      <c r="O1379" s="32"/>
      <c r="P1379" s="32"/>
      <c r="Q1379" s="34"/>
      <c r="R1379" s="35"/>
      <c r="S1379" s="35"/>
      <c r="T1379" s="36"/>
      <c r="U1379" s="36"/>
      <c r="V1379" s="36"/>
      <c r="W1379" s="36"/>
      <c r="X1379" s="36"/>
      <c r="Y1379" s="36"/>
    </row>
    <row r="1380">
      <c r="A1380" s="32"/>
      <c r="B1380" s="32"/>
      <c r="C1380" s="32"/>
      <c r="D1380" s="32"/>
      <c r="E1380" s="32"/>
      <c r="F1380" s="32"/>
      <c r="G1380" s="39"/>
      <c r="H1380" s="32"/>
      <c r="I1380" s="32"/>
      <c r="J1380" s="32"/>
      <c r="K1380" s="33"/>
      <c r="L1380" s="32"/>
      <c r="M1380" s="32"/>
      <c r="N1380" s="32"/>
      <c r="O1380" s="32"/>
      <c r="P1380" s="32"/>
      <c r="Q1380" s="34"/>
      <c r="R1380" s="35"/>
      <c r="S1380" s="35"/>
      <c r="T1380" s="36"/>
      <c r="U1380" s="36"/>
      <c r="V1380" s="36"/>
      <c r="W1380" s="36"/>
      <c r="X1380" s="36"/>
      <c r="Y1380" s="36"/>
    </row>
    <row r="1381">
      <c r="A1381" s="32"/>
      <c r="B1381" s="32"/>
      <c r="C1381" s="32"/>
      <c r="D1381" s="32"/>
      <c r="E1381" s="32"/>
      <c r="F1381" s="32"/>
      <c r="G1381" s="39"/>
      <c r="H1381" s="32"/>
      <c r="I1381" s="32"/>
      <c r="J1381" s="32"/>
      <c r="K1381" s="33"/>
      <c r="L1381" s="32"/>
      <c r="M1381" s="32"/>
      <c r="N1381" s="32"/>
      <c r="O1381" s="32"/>
      <c r="P1381" s="32"/>
      <c r="Q1381" s="34"/>
      <c r="R1381" s="35"/>
      <c r="S1381" s="35"/>
      <c r="T1381" s="36"/>
      <c r="U1381" s="36"/>
      <c r="V1381" s="36"/>
      <c r="W1381" s="36"/>
      <c r="X1381" s="36"/>
      <c r="Y1381" s="36"/>
    </row>
    <row r="1382">
      <c r="A1382" s="32"/>
      <c r="B1382" s="32"/>
      <c r="C1382" s="32"/>
      <c r="D1382" s="32"/>
      <c r="E1382" s="32"/>
      <c r="F1382" s="32"/>
      <c r="G1382" s="39"/>
      <c r="H1382" s="32"/>
      <c r="I1382" s="32"/>
      <c r="J1382" s="32"/>
      <c r="K1382" s="33"/>
      <c r="L1382" s="32"/>
      <c r="M1382" s="32"/>
      <c r="N1382" s="32"/>
      <c r="O1382" s="32"/>
      <c r="P1382" s="32"/>
      <c r="Q1382" s="34"/>
      <c r="R1382" s="35"/>
      <c r="S1382" s="35"/>
      <c r="T1382" s="36"/>
      <c r="U1382" s="36"/>
      <c r="V1382" s="36"/>
      <c r="W1382" s="36"/>
      <c r="X1382" s="36"/>
      <c r="Y1382" s="36"/>
    </row>
    <row r="1383">
      <c r="A1383" s="32"/>
      <c r="B1383" s="32"/>
      <c r="C1383" s="32"/>
      <c r="D1383" s="32"/>
      <c r="E1383" s="32"/>
      <c r="F1383" s="32"/>
      <c r="G1383" s="39"/>
      <c r="H1383" s="32"/>
      <c r="I1383" s="32"/>
      <c r="J1383" s="32"/>
      <c r="K1383" s="33"/>
      <c r="L1383" s="32"/>
      <c r="M1383" s="32"/>
      <c r="N1383" s="32"/>
      <c r="O1383" s="32"/>
      <c r="P1383" s="32"/>
      <c r="Q1383" s="34"/>
      <c r="R1383" s="35"/>
      <c r="S1383" s="35"/>
      <c r="T1383" s="36"/>
      <c r="U1383" s="36"/>
      <c r="V1383" s="36"/>
      <c r="W1383" s="36"/>
      <c r="X1383" s="36"/>
      <c r="Y1383" s="36"/>
    </row>
    <row r="1384">
      <c r="A1384" s="32"/>
      <c r="B1384" s="32"/>
      <c r="C1384" s="32"/>
      <c r="D1384" s="32"/>
      <c r="E1384" s="32"/>
      <c r="F1384" s="32"/>
      <c r="G1384" s="39"/>
      <c r="H1384" s="32"/>
      <c r="I1384" s="32"/>
      <c r="J1384" s="32"/>
      <c r="K1384" s="33"/>
      <c r="L1384" s="32"/>
      <c r="M1384" s="32"/>
      <c r="N1384" s="32"/>
      <c r="O1384" s="32"/>
      <c r="P1384" s="32"/>
      <c r="Q1384" s="34"/>
      <c r="R1384" s="35"/>
      <c r="S1384" s="35"/>
      <c r="T1384" s="36"/>
      <c r="U1384" s="36"/>
      <c r="V1384" s="36"/>
      <c r="W1384" s="36"/>
      <c r="X1384" s="36"/>
      <c r="Y1384" s="36"/>
    </row>
    <row r="1385">
      <c r="A1385" s="32"/>
      <c r="B1385" s="32"/>
      <c r="C1385" s="32"/>
      <c r="D1385" s="32"/>
      <c r="E1385" s="32"/>
      <c r="F1385" s="32"/>
      <c r="G1385" s="39"/>
      <c r="H1385" s="32"/>
      <c r="I1385" s="32"/>
      <c r="J1385" s="32"/>
      <c r="K1385" s="33"/>
      <c r="L1385" s="32"/>
      <c r="M1385" s="32"/>
      <c r="N1385" s="32"/>
      <c r="O1385" s="32"/>
      <c r="P1385" s="32"/>
      <c r="Q1385" s="34"/>
      <c r="R1385" s="35"/>
      <c r="S1385" s="35"/>
      <c r="T1385" s="36"/>
      <c r="U1385" s="36"/>
      <c r="V1385" s="36"/>
      <c r="W1385" s="36"/>
      <c r="X1385" s="36"/>
      <c r="Y1385" s="36"/>
    </row>
    <row r="1386">
      <c r="A1386" s="32"/>
      <c r="B1386" s="32"/>
      <c r="C1386" s="32"/>
      <c r="D1386" s="32"/>
      <c r="E1386" s="32"/>
      <c r="F1386" s="32"/>
      <c r="G1386" s="39"/>
      <c r="H1386" s="32"/>
      <c r="I1386" s="32"/>
      <c r="J1386" s="32"/>
      <c r="K1386" s="33"/>
      <c r="L1386" s="32"/>
      <c r="M1386" s="32"/>
      <c r="N1386" s="32"/>
      <c r="O1386" s="32"/>
      <c r="P1386" s="32"/>
      <c r="Q1386" s="34"/>
      <c r="R1386" s="35"/>
      <c r="S1386" s="35"/>
      <c r="T1386" s="36"/>
      <c r="U1386" s="36"/>
      <c r="V1386" s="36"/>
      <c r="W1386" s="36"/>
      <c r="X1386" s="36"/>
      <c r="Y1386" s="36"/>
    </row>
    <row r="1387">
      <c r="A1387" s="32"/>
      <c r="B1387" s="32"/>
      <c r="C1387" s="32"/>
      <c r="D1387" s="32"/>
      <c r="E1387" s="32"/>
      <c r="F1387" s="32"/>
      <c r="G1387" s="39"/>
      <c r="H1387" s="32"/>
      <c r="I1387" s="32"/>
      <c r="J1387" s="32"/>
      <c r="K1387" s="33"/>
      <c r="L1387" s="32"/>
      <c r="M1387" s="32"/>
      <c r="N1387" s="32"/>
      <c r="O1387" s="32"/>
      <c r="P1387" s="32"/>
      <c r="Q1387" s="34"/>
      <c r="R1387" s="35"/>
      <c r="S1387" s="35"/>
      <c r="T1387" s="36"/>
      <c r="U1387" s="36"/>
      <c r="V1387" s="36"/>
      <c r="W1387" s="36"/>
      <c r="X1387" s="36"/>
      <c r="Y1387" s="36"/>
    </row>
    <row r="1388">
      <c r="A1388" s="32"/>
      <c r="B1388" s="32"/>
      <c r="C1388" s="32"/>
      <c r="D1388" s="32"/>
      <c r="E1388" s="32"/>
      <c r="F1388" s="32"/>
      <c r="G1388" s="39"/>
      <c r="H1388" s="32"/>
      <c r="I1388" s="32"/>
      <c r="J1388" s="32"/>
      <c r="K1388" s="33"/>
      <c r="L1388" s="32"/>
      <c r="M1388" s="32"/>
      <c r="N1388" s="32"/>
      <c r="O1388" s="32"/>
      <c r="P1388" s="32"/>
      <c r="Q1388" s="34"/>
      <c r="R1388" s="35"/>
      <c r="S1388" s="35"/>
      <c r="T1388" s="36"/>
      <c r="U1388" s="36"/>
      <c r="V1388" s="36"/>
      <c r="W1388" s="36"/>
      <c r="X1388" s="36"/>
      <c r="Y1388" s="36"/>
    </row>
    <row r="1389">
      <c r="A1389" s="32"/>
      <c r="B1389" s="32"/>
      <c r="C1389" s="32"/>
      <c r="D1389" s="32"/>
      <c r="E1389" s="32"/>
      <c r="F1389" s="32"/>
      <c r="G1389" s="39"/>
      <c r="H1389" s="32"/>
      <c r="I1389" s="32"/>
      <c r="J1389" s="32"/>
      <c r="K1389" s="33"/>
      <c r="L1389" s="32"/>
      <c r="M1389" s="32"/>
      <c r="N1389" s="32"/>
      <c r="O1389" s="32"/>
      <c r="P1389" s="32"/>
      <c r="Q1389" s="34"/>
      <c r="R1389" s="35"/>
      <c r="S1389" s="35"/>
      <c r="T1389" s="36"/>
      <c r="U1389" s="36"/>
      <c r="V1389" s="36"/>
      <c r="W1389" s="36"/>
      <c r="X1389" s="36"/>
      <c r="Y1389" s="36"/>
    </row>
    <row r="1390">
      <c r="A1390" s="32"/>
      <c r="B1390" s="32"/>
      <c r="C1390" s="32"/>
      <c r="D1390" s="32"/>
      <c r="E1390" s="32"/>
      <c r="F1390" s="32"/>
      <c r="G1390" s="39"/>
      <c r="H1390" s="32"/>
      <c r="I1390" s="32"/>
      <c r="J1390" s="32"/>
      <c r="K1390" s="33"/>
      <c r="L1390" s="32"/>
      <c r="M1390" s="32"/>
      <c r="N1390" s="32"/>
      <c r="O1390" s="32"/>
      <c r="P1390" s="32"/>
      <c r="Q1390" s="34"/>
      <c r="R1390" s="35"/>
      <c r="S1390" s="35"/>
      <c r="T1390" s="36"/>
      <c r="U1390" s="36"/>
      <c r="V1390" s="36"/>
      <c r="W1390" s="36"/>
      <c r="X1390" s="36"/>
      <c r="Y1390" s="36"/>
    </row>
    <row r="1391">
      <c r="A1391" s="32"/>
      <c r="B1391" s="32"/>
      <c r="C1391" s="32"/>
      <c r="D1391" s="32"/>
      <c r="E1391" s="32"/>
      <c r="F1391" s="32"/>
      <c r="G1391" s="39"/>
      <c r="H1391" s="32"/>
      <c r="I1391" s="32"/>
      <c r="J1391" s="32"/>
      <c r="K1391" s="33"/>
      <c r="L1391" s="32"/>
      <c r="M1391" s="32"/>
      <c r="N1391" s="32"/>
      <c r="O1391" s="32"/>
      <c r="P1391" s="32"/>
      <c r="Q1391" s="34"/>
      <c r="R1391" s="35"/>
      <c r="S1391" s="35"/>
      <c r="T1391" s="36"/>
      <c r="U1391" s="36"/>
      <c r="V1391" s="36"/>
      <c r="W1391" s="36"/>
      <c r="X1391" s="36"/>
      <c r="Y1391" s="36"/>
    </row>
    <row r="1392">
      <c r="A1392" s="32"/>
      <c r="B1392" s="32"/>
      <c r="C1392" s="32"/>
      <c r="D1392" s="32"/>
      <c r="E1392" s="32"/>
      <c r="F1392" s="32"/>
      <c r="G1392" s="39"/>
      <c r="H1392" s="32"/>
      <c r="I1392" s="32"/>
      <c r="J1392" s="32"/>
      <c r="K1392" s="33"/>
      <c r="L1392" s="32"/>
      <c r="M1392" s="32"/>
      <c r="N1392" s="32"/>
      <c r="O1392" s="32"/>
      <c r="P1392" s="32"/>
      <c r="Q1392" s="34"/>
      <c r="R1392" s="35"/>
      <c r="S1392" s="35"/>
      <c r="T1392" s="36"/>
      <c r="U1392" s="36"/>
      <c r="V1392" s="36"/>
      <c r="W1392" s="36"/>
      <c r="X1392" s="36"/>
      <c r="Y1392" s="36"/>
    </row>
    <row r="1393">
      <c r="A1393" s="32"/>
      <c r="B1393" s="32"/>
      <c r="C1393" s="32"/>
      <c r="D1393" s="32"/>
      <c r="E1393" s="32"/>
      <c r="F1393" s="32"/>
      <c r="G1393" s="39"/>
      <c r="H1393" s="32"/>
      <c r="I1393" s="32"/>
      <c r="J1393" s="32"/>
      <c r="K1393" s="33"/>
      <c r="L1393" s="32"/>
      <c r="M1393" s="32"/>
      <c r="N1393" s="32"/>
      <c r="O1393" s="32"/>
      <c r="P1393" s="32"/>
      <c r="Q1393" s="34"/>
      <c r="R1393" s="35"/>
      <c r="S1393" s="35"/>
      <c r="T1393" s="36"/>
      <c r="U1393" s="36"/>
      <c r="V1393" s="36"/>
      <c r="W1393" s="36"/>
      <c r="X1393" s="36"/>
      <c r="Y1393" s="36"/>
    </row>
    <row r="1394">
      <c r="A1394" s="32"/>
      <c r="B1394" s="32"/>
      <c r="C1394" s="32"/>
      <c r="D1394" s="32"/>
      <c r="E1394" s="32"/>
      <c r="F1394" s="32"/>
      <c r="G1394" s="39"/>
      <c r="H1394" s="32"/>
      <c r="I1394" s="32"/>
      <c r="J1394" s="32"/>
      <c r="K1394" s="33"/>
      <c r="L1394" s="32"/>
      <c r="M1394" s="32"/>
      <c r="N1394" s="32"/>
      <c r="O1394" s="32"/>
      <c r="P1394" s="32"/>
      <c r="Q1394" s="34"/>
      <c r="R1394" s="35"/>
      <c r="S1394" s="35"/>
      <c r="T1394" s="36"/>
      <c r="U1394" s="36"/>
      <c r="V1394" s="36"/>
      <c r="W1394" s="36"/>
      <c r="X1394" s="36"/>
      <c r="Y1394" s="36"/>
    </row>
    <row r="1395">
      <c r="A1395" s="32"/>
      <c r="B1395" s="32"/>
      <c r="C1395" s="32"/>
      <c r="D1395" s="32"/>
      <c r="E1395" s="32"/>
      <c r="F1395" s="32"/>
      <c r="G1395" s="39"/>
      <c r="H1395" s="32"/>
      <c r="I1395" s="32"/>
      <c r="J1395" s="32"/>
      <c r="K1395" s="33"/>
      <c r="L1395" s="32"/>
      <c r="M1395" s="32"/>
      <c r="N1395" s="32"/>
      <c r="O1395" s="32"/>
      <c r="P1395" s="32"/>
      <c r="Q1395" s="34"/>
      <c r="R1395" s="35"/>
      <c r="S1395" s="35"/>
      <c r="T1395" s="36"/>
      <c r="U1395" s="36"/>
      <c r="V1395" s="36"/>
      <c r="W1395" s="36"/>
      <c r="X1395" s="36"/>
      <c r="Y1395" s="36"/>
    </row>
    <row r="1396">
      <c r="A1396" s="32"/>
      <c r="B1396" s="32"/>
      <c r="C1396" s="32"/>
      <c r="D1396" s="32"/>
      <c r="E1396" s="32"/>
      <c r="F1396" s="32"/>
      <c r="G1396" s="39"/>
      <c r="H1396" s="32"/>
      <c r="I1396" s="32"/>
      <c r="J1396" s="32"/>
      <c r="K1396" s="33"/>
      <c r="L1396" s="32"/>
      <c r="M1396" s="32"/>
      <c r="N1396" s="32"/>
      <c r="O1396" s="32"/>
      <c r="P1396" s="32"/>
      <c r="Q1396" s="34"/>
      <c r="R1396" s="35"/>
      <c r="S1396" s="35"/>
      <c r="T1396" s="36"/>
      <c r="U1396" s="36"/>
      <c r="V1396" s="36"/>
      <c r="W1396" s="36"/>
      <c r="X1396" s="36"/>
      <c r="Y1396" s="36"/>
    </row>
    <row r="1397">
      <c r="A1397" s="32"/>
      <c r="B1397" s="32"/>
      <c r="C1397" s="32"/>
      <c r="D1397" s="32"/>
      <c r="E1397" s="32"/>
      <c r="F1397" s="32"/>
      <c r="G1397" s="39"/>
      <c r="H1397" s="32"/>
      <c r="I1397" s="32"/>
      <c r="J1397" s="32"/>
      <c r="K1397" s="33"/>
      <c r="L1397" s="32"/>
      <c r="M1397" s="32"/>
      <c r="N1397" s="32"/>
      <c r="O1397" s="32"/>
      <c r="P1397" s="32"/>
      <c r="Q1397" s="34"/>
      <c r="R1397" s="35"/>
      <c r="S1397" s="35"/>
      <c r="T1397" s="36"/>
      <c r="U1397" s="36"/>
      <c r="V1397" s="36"/>
      <c r="W1397" s="36"/>
      <c r="X1397" s="36"/>
      <c r="Y1397" s="36"/>
    </row>
    <row r="1398">
      <c r="A1398" s="32"/>
      <c r="B1398" s="32"/>
      <c r="C1398" s="32"/>
      <c r="D1398" s="32"/>
      <c r="E1398" s="32"/>
      <c r="F1398" s="32"/>
      <c r="G1398" s="39"/>
      <c r="H1398" s="32"/>
      <c r="I1398" s="32"/>
      <c r="J1398" s="32"/>
      <c r="K1398" s="33"/>
      <c r="L1398" s="32"/>
      <c r="M1398" s="32"/>
      <c r="N1398" s="32"/>
      <c r="O1398" s="32"/>
      <c r="P1398" s="32"/>
      <c r="Q1398" s="34"/>
      <c r="R1398" s="35"/>
      <c r="S1398" s="35"/>
      <c r="T1398" s="36"/>
      <c r="U1398" s="36"/>
      <c r="V1398" s="36"/>
      <c r="W1398" s="36"/>
      <c r="X1398" s="36"/>
      <c r="Y1398" s="36"/>
    </row>
    <row r="1399">
      <c r="A1399" s="32"/>
      <c r="B1399" s="32"/>
      <c r="C1399" s="32"/>
      <c r="D1399" s="32"/>
      <c r="E1399" s="32"/>
      <c r="F1399" s="32"/>
      <c r="G1399" s="39"/>
      <c r="H1399" s="32"/>
      <c r="I1399" s="32"/>
      <c r="J1399" s="32"/>
      <c r="K1399" s="33"/>
      <c r="L1399" s="32"/>
      <c r="M1399" s="32"/>
      <c r="N1399" s="32"/>
      <c r="O1399" s="32"/>
      <c r="P1399" s="32"/>
      <c r="Q1399" s="34"/>
      <c r="R1399" s="35"/>
      <c r="S1399" s="35"/>
      <c r="T1399" s="36"/>
      <c r="U1399" s="36"/>
      <c r="V1399" s="36"/>
      <c r="W1399" s="36"/>
      <c r="X1399" s="36"/>
      <c r="Y1399" s="36"/>
    </row>
    <row r="1400">
      <c r="A1400" s="32"/>
      <c r="B1400" s="32"/>
      <c r="C1400" s="32"/>
      <c r="D1400" s="32"/>
      <c r="E1400" s="32"/>
      <c r="F1400" s="32"/>
      <c r="G1400" s="39"/>
      <c r="H1400" s="32"/>
      <c r="I1400" s="32"/>
      <c r="J1400" s="32"/>
      <c r="K1400" s="33"/>
      <c r="L1400" s="32"/>
      <c r="M1400" s="32"/>
      <c r="N1400" s="32"/>
      <c r="O1400" s="32"/>
      <c r="P1400" s="32"/>
      <c r="Q1400" s="34"/>
      <c r="R1400" s="35"/>
      <c r="S1400" s="35"/>
      <c r="T1400" s="36"/>
      <c r="U1400" s="36"/>
      <c r="V1400" s="36"/>
      <c r="W1400" s="36"/>
      <c r="X1400" s="36"/>
      <c r="Y1400" s="36"/>
    </row>
    <row r="1401">
      <c r="A1401" s="32"/>
      <c r="B1401" s="32"/>
      <c r="C1401" s="32"/>
      <c r="D1401" s="32"/>
      <c r="E1401" s="32"/>
      <c r="F1401" s="32"/>
      <c r="G1401" s="39"/>
      <c r="H1401" s="32"/>
      <c r="I1401" s="32"/>
      <c r="J1401" s="32"/>
      <c r="K1401" s="33"/>
      <c r="L1401" s="32"/>
      <c r="M1401" s="32"/>
      <c r="N1401" s="32"/>
      <c r="O1401" s="32"/>
      <c r="P1401" s="32"/>
      <c r="Q1401" s="34"/>
      <c r="R1401" s="35"/>
      <c r="S1401" s="35"/>
      <c r="T1401" s="36"/>
      <c r="U1401" s="36"/>
      <c r="V1401" s="36"/>
      <c r="W1401" s="36"/>
      <c r="X1401" s="36"/>
      <c r="Y1401" s="36"/>
    </row>
    <row r="1402">
      <c r="A1402" s="32"/>
      <c r="B1402" s="32"/>
      <c r="C1402" s="32"/>
      <c r="D1402" s="32"/>
      <c r="E1402" s="32"/>
      <c r="F1402" s="32"/>
      <c r="G1402" s="39"/>
      <c r="H1402" s="32"/>
      <c r="I1402" s="32"/>
      <c r="J1402" s="32"/>
      <c r="K1402" s="33"/>
      <c r="L1402" s="32"/>
      <c r="M1402" s="32"/>
      <c r="N1402" s="32"/>
      <c r="O1402" s="32"/>
      <c r="P1402" s="32"/>
      <c r="Q1402" s="34"/>
      <c r="R1402" s="35"/>
      <c r="S1402" s="35"/>
      <c r="T1402" s="36"/>
      <c r="U1402" s="36"/>
      <c r="V1402" s="36"/>
      <c r="W1402" s="36"/>
      <c r="X1402" s="36"/>
      <c r="Y1402" s="36"/>
    </row>
    <row r="1403">
      <c r="A1403" s="32"/>
      <c r="B1403" s="32"/>
      <c r="C1403" s="32"/>
      <c r="D1403" s="32"/>
      <c r="E1403" s="32"/>
      <c r="F1403" s="32"/>
      <c r="G1403" s="39"/>
      <c r="H1403" s="32"/>
      <c r="I1403" s="32"/>
      <c r="J1403" s="32"/>
      <c r="K1403" s="33"/>
      <c r="L1403" s="32"/>
      <c r="M1403" s="32"/>
      <c r="N1403" s="32"/>
      <c r="O1403" s="32"/>
      <c r="P1403" s="32"/>
      <c r="Q1403" s="34"/>
      <c r="R1403" s="35"/>
      <c r="S1403" s="35"/>
      <c r="T1403" s="36"/>
      <c r="U1403" s="36"/>
      <c r="V1403" s="36"/>
      <c r="W1403" s="36"/>
      <c r="X1403" s="36"/>
      <c r="Y1403" s="36"/>
    </row>
    <row r="1404">
      <c r="A1404" s="32"/>
      <c r="B1404" s="32"/>
      <c r="C1404" s="32"/>
      <c r="D1404" s="32"/>
      <c r="E1404" s="32"/>
      <c r="F1404" s="32"/>
      <c r="G1404" s="39"/>
      <c r="H1404" s="32"/>
      <c r="I1404" s="32"/>
      <c r="J1404" s="32"/>
      <c r="K1404" s="33"/>
      <c r="L1404" s="32"/>
      <c r="M1404" s="32"/>
      <c r="N1404" s="32"/>
      <c r="O1404" s="32"/>
      <c r="P1404" s="32"/>
      <c r="Q1404" s="34"/>
      <c r="R1404" s="35"/>
      <c r="S1404" s="35"/>
      <c r="T1404" s="36"/>
      <c r="U1404" s="36"/>
      <c r="V1404" s="36"/>
      <c r="W1404" s="36"/>
      <c r="X1404" s="36"/>
      <c r="Y1404" s="36"/>
    </row>
    <row r="1405">
      <c r="A1405" s="32"/>
      <c r="B1405" s="32"/>
      <c r="C1405" s="32"/>
      <c r="D1405" s="32"/>
      <c r="E1405" s="32"/>
      <c r="F1405" s="32"/>
      <c r="G1405" s="39"/>
      <c r="H1405" s="32"/>
      <c r="I1405" s="32"/>
      <c r="J1405" s="32"/>
      <c r="K1405" s="33"/>
      <c r="L1405" s="32"/>
      <c r="M1405" s="32"/>
      <c r="N1405" s="32"/>
      <c r="O1405" s="32"/>
      <c r="P1405" s="32"/>
      <c r="Q1405" s="34"/>
      <c r="R1405" s="35"/>
      <c r="S1405" s="35"/>
      <c r="T1405" s="36"/>
      <c r="U1405" s="36"/>
      <c r="V1405" s="36"/>
      <c r="W1405" s="36"/>
      <c r="X1405" s="36"/>
      <c r="Y1405" s="36"/>
    </row>
    <row r="1406">
      <c r="A1406" s="32"/>
      <c r="B1406" s="32"/>
      <c r="C1406" s="32"/>
      <c r="D1406" s="32"/>
      <c r="E1406" s="32"/>
      <c r="F1406" s="32"/>
      <c r="G1406" s="39"/>
      <c r="H1406" s="32"/>
      <c r="I1406" s="32"/>
      <c r="J1406" s="32"/>
      <c r="K1406" s="33"/>
      <c r="L1406" s="32"/>
      <c r="M1406" s="32"/>
      <c r="N1406" s="32"/>
      <c r="O1406" s="32"/>
      <c r="P1406" s="32"/>
      <c r="Q1406" s="34"/>
      <c r="R1406" s="35"/>
      <c r="S1406" s="35"/>
      <c r="T1406" s="36"/>
      <c r="U1406" s="36"/>
      <c r="V1406" s="36"/>
      <c r="W1406" s="36"/>
      <c r="X1406" s="36"/>
      <c r="Y1406" s="36"/>
    </row>
    <row r="1407">
      <c r="A1407" s="32"/>
      <c r="B1407" s="32"/>
      <c r="C1407" s="32"/>
      <c r="D1407" s="32"/>
      <c r="E1407" s="32"/>
      <c r="F1407" s="32"/>
      <c r="G1407" s="39"/>
      <c r="H1407" s="32"/>
      <c r="I1407" s="32"/>
      <c r="J1407" s="32"/>
      <c r="K1407" s="33"/>
      <c r="L1407" s="32"/>
      <c r="M1407" s="32"/>
      <c r="N1407" s="32"/>
      <c r="O1407" s="32"/>
      <c r="P1407" s="32"/>
      <c r="Q1407" s="34"/>
      <c r="R1407" s="35"/>
      <c r="S1407" s="35"/>
      <c r="T1407" s="36"/>
      <c r="U1407" s="36"/>
      <c r="V1407" s="36"/>
      <c r="W1407" s="36"/>
      <c r="X1407" s="36"/>
      <c r="Y1407" s="36"/>
    </row>
    <row r="1408">
      <c r="A1408" s="32"/>
      <c r="B1408" s="32"/>
      <c r="C1408" s="32"/>
      <c r="D1408" s="32"/>
      <c r="E1408" s="32"/>
      <c r="F1408" s="32"/>
      <c r="G1408" s="39"/>
      <c r="H1408" s="32"/>
      <c r="I1408" s="32"/>
      <c r="J1408" s="32"/>
      <c r="K1408" s="33"/>
      <c r="L1408" s="32"/>
      <c r="M1408" s="32"/>
      <c r="N1408" s="32"/>
      <c r="O1408" s="32"/>
      <c r="P1408" s="32"/>
      <c r="Q1408" s="34"/>
      <c r="R1408" s="35"/>
      <c r="S1408" s="35"/>
      <c r="T1408" s="36"/>
      <c r="U1408" s="36"/>
      <c r="V1408" s="36"/>
      <c r="W1408" s="36"/>
      <c r="X1408" s="36"/>
      <c r="Y1408" s="36"/>
    </row>
    <row r="1409">
      <c r="A1409" s="32"/>
      <c r="B1409" s="32"/>
      <c r="C1409" s="32"/>
      <c r="D1409" s="32"/>
      <c r="E1409" s="32"/>
      <c r="F1409" s="32"/>
      <c r="G1409" s="39"/>
      <c r="H1409" s="32"/>
      <c r="I1409" s="32"/>
      <c r="J1409" s="32"/>
      <c r="K1409" s="33"/>
      <c r="L1409" s="32"/>
      <c r="M1409" s="32"/>
      <c r="N1409" s="32"/>
      <c r="O1409" s="32"/>
      <c r="P1409" s="32"/>
      <c r="Q1409" s="34"/>
      <c r="R1409" s="35"/>
      <c r="S1409" s="35"/>
      <c r="T1409" s="36"/>
      <c r="U1409" s="36"/>
      <c r="V1409" s="36"/>
      <c r="W1409" s="36"/>
      <c r="X1409" s="36"/>
      <c r="Y1409" s="36"/>
    </row>
    <row r="1410">
      <c r="A1410" s="32"/>
      <c r="B1410" s="32"/>
      <c r="C1410" s="32"/>
      <c r="D1410" s="32"/>
      <c r="E1410" s="32"/>
      <c r="F1410" s="32"/>
      <c r="G1410" s="39"/>
      <c r="H1410" s="32"/>
      <c r="I1410" s="32"/>
      <c r="J1410" s="32"/>
      <c r="K1410" s="33"/>
      <c r="L1410" s="32"/>
      <c r="M1410" s="32"/>
      <c r="N1410" s="32"/>
      <c r="O1410" s="32"/>
      <c r="P1410" s="32"/>
      <c r="Q1410" s="34"/>
      <c r="R1410" s="35"/>
      <c r="S1410" s="35"/>
      <c r="T1410" s="36"/>
      <c r="U1410" s="36"/>
      <c r="V1410" s="36"/>
      <c r="W1410" s="36"/>
      <c r="X1410" s="36"/>
      <c r="Y1410" s="36"/>
    </row>
    <row r="1411">
      <c r="A1411" s="32"/>
      <c r="B1411" s="32"/>
      <c r="C1411" s="32"/>
      <c r="D1411" s="32"/>
      <c r="E1411" s="32"/>
      <c r="F1411" s="32"/>
      <c r="G1411" s="39"/>
      <c r="H1411" s="32"/>
      <c r="I1411" s="32"/>
      <c r="J1411" s="32"/>
      <c r="K1411" s="33"/>
      <c r="L1411" s="32"/>
      <c r="M1411" s="32"/>
      <c r="N1411" s="32"/>
      <c r="O1411" s="32"/>
      <c r="P1411" s="32"/>
      <c r="Q1411" s="34"/>
      <c r="R1411" s="35"/>
      <c r="S1411" s="35"/>
      <c r="T1411" s="36"/>
      <c r="U1411" s="36"/>
      <c r="V1411" s="36"/>
      <c r="W1411" s="36"/>
      <c r="X1411" s="36"/>
      <c r="Y1411" s="36"/>
    </row>
    <row r="1412">
      <c r="A1412" s="32"/>
      <c r="B1412" s="32"/>
      <c r="C1412" s="32"/>
      <c r="D1412" s="32"/>
      <c r="E1412" s="32"/>
      <c r="F1412" s="32"/>
      <c r="G1412" s="39"/>
      <c r="H1412" s="32"/>
      <c r="I1412" s="32"/>
      <c r="J1412" s="32"/>
      <c r="K1412" s="33"/>
      <c r="L1412" s="32"/>
      <c r="M1412" s="32"/>
      <c r="N1412" s="32"/>
      <c r="O1412" s="32"/>
      <c r="P1412" s="32"/>
      <c r="Q1412" s="34"/>
      <c r="R1412" s="35"/>
      <c r="S1412" s="35"/>
      <c r="T1412" s="36"/>
      <c r="U1412" s="36"/>
      <c r="V1412" s="36"/>
      <c r="W1412" s="36"/>
      <c r="X1412" s="36"/>
      <c r="Y1412" s="36"/>
    </row>
    <row r="1413">
      <c r="A1413" s="32"/>
      <c r="B1413" s="32"/>
      <c r="C1413" s="32"/>
      <c r="D1413" s="32"/>
      <c r="E1413" s="32"/>
      <c r="F1413" s="32"/>
      <c r="G1413" s="39"/>
      <c r="H1413" s="32"/>
      <c r="I1413" s="32"/>
      <c r="J1413" s="32"/>
      <c r="K1413" s="33"/>
      <c r="L1413" s="32"/>
      <c r="M1413" s="32"/>
      <c r="N1413" s="32"/>
      <c r="O1413" s="32"/>
      <c r="P1413" s="32"/>
      <c r="Q1413" s="34"/>
      <c r="R1413" s="35"/>
      <c r="S1413" s="35"/>
      <c r="T1413" s="36"/>
      <c r="U1413" s="36"/>
      <c r="V1413" s="36"/>
      <c r="W1413" s="36"/>
      <c r="X1413" s="36"/>
      <c r="Y1413" s="36"/>
    </row>
    <row r="1414">
      <c r="A1414" s="32"/>
      <c r="B1414" s="32"/>
      <c r="C1414" s="32"/>
      <c r="D1414" s="32"/>
      <c r="E1414" s="32"/>
      <c r="F1414" s="32"/>
      <c r="G1414" s="39"/>
      <c r="H1414" s="32"/>
      <c r="I1414" s="32"/>
      <c r="J1414" s="32"/>
      <c r="K1414" s="33"/>
      <c r="L1414" s="32"/>
      <c r="M1414" s="32"/>
      <c r="N1414" s="32"/>
      <c r="O1414" s="32"/>
      <c r="P1414" s="32"/>
      <c r="Q1414" s="34"/>
      <c r="R1414" s="35"/>
      <c r="S1414" s="35"/>
      <c r="T1414" s="36"/>
      <c r="U1414" s="36"/>
      <c r="V1414" s="36"/>
      <c r="W1414" s="36"/>
      <c r="X1414" s="36"/>
      <c r="Y1414" s="36"/>
    </row>
    <row r="1415">
      <c r="A1415" s="32"/>
      <c r="B1415" s="32"/>
      <c r="C1415" s="32"/>
      <c r="D1415" s="32"/>
      <c r="E1415" s="32"/>
      <c r="F1415" s="32"/>
      <c r="G1415" s="39"/>
      <c r="H1415" s="32"/>
      <c r="I1415" s="32"/>
      <c r="J1415" s="32"/>
      <c r="K1415" s="33"/>
      <c r="L1415" s="32"/>
      <c r="M1415" s="32"/>
      <c r="N1415" s="32"/>
      <c r="O1415" s="32"/>
      <c r="P1415" s="32"/>
      <c r="Q1415" s="34"/>
      <c r="R1415" s="35"/>
      <c r="S1415" s="35"/>
      <c r="T1415" s="36"/>
      <c r="U1415" s="36"/>
      <c r="V1415" s="36"/>
      <c r="W1415" s="36"/>
      <c r="X1415" s="36"/>
      <c r="Y1415" s="36"/>
    </row>
    <row r="1416">
      <c r="A1416" s="32"/>
      <c r="B1416" s="32"/>
      <c r="C1416" s="32"/>
      <c r="D1416" s="32"/>
      <c r="E1416" s="32"/>
      <c r="F1416" s="32"/>
      <c r="G1416" s="39"/>
      <c r="H1416" s="32"/>
      <c r="I1416" s="32"/>
      <c r="J1416" s="32"/>
      <c r="K1416" s="33"/>
      <c r="L1416" s="32"/>
      <c r="M1416" s="32"/>
      <c r="N1416" s="32"/>
      <c r="O1416" s="32"/>
      <c r="P1416" s="32"/>
      <c r="Q1416" s="34"/>
      <c r="R1416" s="35"/>
      <c r="S1416" s="35"/>
      <c r="T1416" s="36"/>
      <c r="U1416" s="36"/>
      <c r="V1416" s="36"/>
      <c r="W1416" s="36"/>
      <c r="X1416" s="36"/>
      <c r="Y1416" s="36"/>
    </row>
    <row r="1417">
      <c r="A1417" s="32"/>
      <c r="B1417" s="32"/>
      <c r="C1417" s="32"/>
      <c r="D1417" s="32"/>
      <c r="E1417" s="32"/>
      <c r="F1417" s="32"/>
      <c r="G1417" s="39"/>
      <c r="H1417" s="32"/>
      <c r="I1417" s="32"/>
      <c r="J1417" s="32"/>
      <c r="K1417" s="33"/>
      <c r="L1417" s="32"/>
      <c r="M1417" s="32"/>
      <c r="N1417" s="32"/>
      <c r="O1417" s="32"/>
      <c r="P1417" s="32"/>
      <c r="Q1417" s="34"/>
      <c r="R1417" s="35"/>
      <c r="S1417" s="35"/>
      <c r="T1417" s="36"/>
      <c r="U1417" s="36"/>
      <c r="V1417" s="36"/>
      <c r="W1417" s="36"/>
      <c r="X1417" s="36"/>
      <c r="Y1417" s="36"/>
    </row>
    <row r="1418">
      <c r="A1418" s="32"/>
      <c r="B1418" s="32"/>
      <c r="C1418" s="32"/>
      <c r="D1418" s="32"/>
      <c r="E1418" s="32"/>
      <c r="F1418" s="32"/>
      <c r="G1418" s="39"/>
      <c r="H1418" s="32"/>
      <c r="I1418" s="32"/>
      <c r="J1418" s="32"/>
      <c r="K1418" s="33"/>
      <c r="L1418" s="32"/>
      <c r="M1418" s="32"/>
      <c r="N1418" s="32"/>
      <c r="O1418" s="32"/>
      <c r="P1418" s="32"/>
      <c r="Q1418" s="34"/>
      <c r="R1418" s="35"/>
      <c r="S1418" s="35"/>
      <c r="T1418" s="36"/>
      <c r="U1418" s="36"/>
      <c r="V1418" s="36"/>
      <c r="W1418" s="36"/>
      <c r="X1418" s="36"/>
      <c r="Y1418" s="36"/>
    </row>
    <row r="1419">
      <c r="A1419" s="32"/>
      <c r="B1419" s="32"/>
      <c r="C1419" s="32"/>
      <c r="D1419" s="32"/>
      <c r="E1419" s="32"/>
      <c r="F1419" s="32"/>
      <c r="G1419" s="39"/>
      <c r="H1419" s="32"/>
      <c r="I1419" s="32"/>
      <c r="J1419" s="32"/>
      <c r="K1419" s="33"/>
      <c r="L1419" s="32"/>
      <c r="M1419" s="32"/>
      <c r="N1419" s="32"/>
      <c r="O1419" s="32"/>
      <c r="P1419" s="32"/>
      <c r="Q1419" s="34"/>
      <c r="R1419" s="35"/>
      <c r="S1419" s="35"/>
      <c r="T1419" s="36"/>
      <c r="U1419" s="36"/>
      <c r="V1419" s="36"/>
      <c r="W1419" s="36"/>
      <c r="X1419" s="36"/>
      <c r="Y1419" s="36"/>
    </row>
    <row r="1420">
      <c r="A1420" s="32"/>
      <c r="B1420" s="32"/>
      <c r="C1420" s="32"/>
      <c r="D1420" s="32"/>
      <c r="E1420" s="32"/>
      <c r="F1420" s="32"/>
      <c r="G1420" s="39"/>
      <c r="H1420" s="32"/>
      <c r="I1420" s="32"/>
      <c r="J1420" s="32"/>
      <c r="K1420" s="33"/>
      <c r="L1420" s="32"/>
      <c r="M1420" s="32"/>
      <c r="N1420" s="32"/>
      <c r="O1420" s="32"/>
      <c r="P1420" s="32"/>
      <c r="Q1420" s="34"/>
      <c r="R1420" s="35"/>
      <c r="S1420" s="35"/>
      <c r="T1420" s="36"/>
      <c r="U1420" s="36"/>
      <c r="V1420" s="36"/>
      <c r="W1420" s="36"/>
      <c r="X1420" s="36"/>
      <c r="Y1420" s="36"/>
    </row>
    <row r="1421">
      <c r="A1421" s="32"/>
      <c r="B1421" s="32"/>
      <c r="C1421" s="32"/>
      <c r="D1421" s="32"/>
      <c r="E1421" s="32"/>
      <c r="F1421" s="32"/>
      <c r="G1421" s="39"/>
      <c r="H1421" s="32"/>
      <c r="I1421" s="32"/>
      <c r="J1421" s="32"/>
      <c r="K1421" s="33"/>
      <c r="L1421" s="32"/>
      <c r="M1421" s="32"/>
      <c r="N1421" s="32"/>
      <c r="O1421" s="32"/>
      <c r="P1421" s="32"/>
      <c r="Q1421" s="34"/>
      <c r="R1421" s="35"/>
      <c r="S1421" s="35"/>
      <c r="T1421" s="36"/>
      <c r="U1421" s="36"/>
      <c r="V1421" s="36"/>
      <c r="W1421" s="36"/>
      <c r="X1421" s="36"/>
      <c r="Y1421" s="36"/>
    </row>
    <row r="1422">
      <c r="A1422" s="32"/>
      <c r="B1422" s="32"/>
      <c r="C1422" s="32"/>
      <c r="D1422" s="32"/>
      <c r="E1422" s="32"/>
      <c r="F1422" s="32"/>
      <c r="G1422" s="39"/>
      <c r="H1422" s="32"/>
      <c r="I1422" s="32"/>
      <c r="J1422" s="32"/>
      <c r="K1422" s="33"/>
      <c r="L1422" s="32"/>
      <c r="M1422" s="32"/>
      <c r="N1422" s="32"/>
      <c r="O1422" s="32"/>
      <c r="P1422" s="32"/>
      <c r="Q1422" s="34"/>
      <c r="R1422" s="35"/>
      <c r="S1422" s="35"/>
      <c r="T1422" s="36"/>
      <c r="U1422" s="36"/>
      <c r="V1422" s="36"/>
      <c r="W1422" s="36"/>
      <c r="X1422" s="36"/>
      <c r="Y1422" s="36"/>
    </row>
    <row r="1423">
      <c r="A1423" s="32"/>
      <c r="B1423" s="32"/>
      <c r="C1423" s="32"/>
      <c r="D1423" s="32"/>
      <c r="E1423" s="32"/>
      <c r="F1423" s="32"/>
      <c r="G1423" s="39"/>
      <c r="H1423" s="32"/>
      <c r="I1423" s="32"/>
      <c r="J1423" s="32"/>
      <c r="K1423" s="33"/>
      <c r="L1423" s="32"/>
      <c r="M1423" s="32"/>
      <c r="N1423" s="32"/>
      <c r="O1423" s="32"/>
      <c r="P1423" s="32"/>
      <c r="Q1423" s="34"/>
      <c r="R1423" s="35"/>
      <c r="S1423" s="35"/>
      <c r="T1423" s="36"/>
      <c r="U1423" s="36"/>
      <c r="V1423" s="36"/>
      <c r="W1423" s="36"/>
      <c r="X1423" s="36"/>
      <c r="Y1423" s="36"/>
    </row>
    <row r="1424">
      <c r="A1424" s="32"/>
      <c r="B1424" s="32"/>
      <c r="C1424" s="32"/>
      <c r="D1424" s="32"/>
      <c r="E1424" s="32"/>
      <c r="F1424" s="32"/>
      <c r="G1424" s="39"/>
      <c r="H1424" s="32"/>
      <c r="I1424" s="32"/>
      <c r="J1424" s="32"/>
      <c r="K1424" s="33"/>
      <c r="L1424" s="32"/>
      <c r="M1424" s="32"/>
      <c r="N1424" s="32"/>
      <c r="O1424" s="32"/>
      <c r="P1424" s="32"/>
      <c r="Q1424" s="34"/>
      <c r="R1424" s="35"/>
      <c r="S1424" s="35"/>
      <c r="T1424" s="36"/>
      <c r="U1424" s="36"/>
      <c r="V1424" s="36"/>
      <c r="W1424" s="36"/>
      <c r="X1424" s="36"/>
      <c r="Y1424" s="36"/>
    </row>
    <row r="1425">
      <c r="A1425" s="32"/>
      <c r="B1425" s="32"/>
      <c r="C1425" s="32"/>
      <c r="D1425" s="32"/>
      <c r="E1425" s="32"/>
      <c r="F1425" s="32"/>
      <c r="G1425" s="39"/>
      <c r="H1425" s="32"/>
      <c r="I1425" s="32"/>
      <c r="J1425" s="32"/>
      <c r="K1425" s="33"/>
      <c r="L1425" s="32"/>
      <c r="M1425" s="32"/>
      <c r="N1425" s="32"/>
      <c r="O1425" s="32"/>
      <c r="P1425" s="32"/>
      <c r="Q1425" s="34"/>
      <c r="R1425" s="35"/>
      <c r="S1425" s="35"/>
      <c r="T1425" s="36"/>
      <c r="U1425" s="36"/>
      <c r="V1425" s="36"/>
      <c r="W1425" s="36"/>
      <c r="X1425" s="36"/>
      <c r="Y1425" s="36"/>
    </row>
    <row r="1426">
      <c r="A1426" s="32"/>
      <c r="B1426" s="32"/>
      <c r="C1426" s="32"/>
      <c r="D1426" s="32"/>
      <c r="E1426" s="32"/>
      <c r="F1426" s="32"/>
      <c r="G1426" s="39"/>
      <c r="H1426" s="32"/>
      <c r="I1426" s="32"/>
      <c r="J1426" s="32"/>
      <c r="K1426" s="33"/>
      <c r="L1426" s="32"/>
      <c r="M1426" s="32"/>
      <c r="N1426" s="32"/>
      <c r="O1426" s="32"/>
      <c r="P1426" s="32"/>
      <c r="Q1426" s="34"/>
      <c r="R1426" s="35"/>
      <c r="S1426" s="35"/>
      <c r="T1426" s="36"/>
      <c r="U1426" s="36"/>
      <c r="V1426" s="36"/>
      <c r="W1426" s="36"/>
      <c r="X1426" s="36"/>
      <c r="Y1426" s="36"/>
    </row>
    <row r="1427">
      <c r="A1427" s="32"/>
      <c r="B1427" s="32"/>
      <c r="C1427" s="32"/>
      <c r="D1427" s="32"/>
      <c r="E1427" s="32"/>
      <c r="F1427" s="32"/>
      <c r="G1427" s="39"/>
      <c r="H1427" s="32"/>
      <c r="I1427" s="32"/>
      <c r="J1427" s="32"/>
      <c r="K1427" s="33"/>
      <c r="L1427" s="32"/>
      <c r="M1427" s="32"/>
      <c r="N1427" s="32"/>
      <c r="O1427" s="32"/>
      <c r="P1427" s="32"/>
      <c r="Q1427" s="34"/>
      <c r="R1427" s="35"/>
      <c r="S1427" s="35"/>
      <c r="T1427" s="36"/>
      <c r="U1427" s="36"/>
      <c r="V1427" s="36"/>
      <c r="W1427" s="36"/>
      <c r="X1427" s="36"/>
      <c r="Y1427" s="36"/>
    </row>
    <row r="1428">
      <c r="A1428" s="32"/>
      <c r="B1428" s="32"/>
      <c r="C1428" s="32"/>
      <c r="D1428" s="32"/>
      <c r="E1428" s="32"/>
      <c r="F1428" s="32"/>
      <c r="G1428" s="39"/>
      <c r="H1428" s="32"/>
      <c r="I1428" s="32"/>
      <c r="J1428" s="32"/>
      <c r="K1428" s="33"/>
      <c r="L1428" s="32"/>
      <c r="M1428" s="32"/>
      <c r="N1428" s="32"/>
      <c r="O1428" s="32"/>
      <c r="P1428" s="32"/>
      <c r="Q1428" s="34"/>
      <c r="R1428" s="35"/>
      <c r="S1428" s="35"/>
      <c r="T1428" s="36"/>
      <c r="U1428" s="36"/>
      <c r="V1428" s="36"/>
      <c r="W1428" s="36"/>
      <c r="X1428" s="36"/>
      <c r="Y1428" s="36"/>
    </row>
    <row r="1429">
      <c r="A1429" s="32"/>
      <c r="B1429" s="32"/>
      <c r="C1429" s="32"/>
      <c r="D1429" s="32"/>
      <c r="E1429" s="32"/>
      <c r="F1429" s="32"/>
      <c r="G1429" s="39"/>
      <c r="H1429" s="32"/>
      <c r="I1429" s="32"/>
      <c r="J1429" s="32"/>
      <c r="K1429" s="33"/>
      <c r="L1429" s="32"/>
      <c r="M1429" s="32"/>
      <c r="N1429" s="32"/>
      <c r="O1429" s="32"/>
      <c r="P1429" s="32"/>
      <c r="Q1429" s="34"/>
      <c r="R1429" s="35"/>
      <c r="S1429" s="35"/>
      <c r="T1429" s="36"/>
      <c r="U1429" s="36"/>
      <c r="V1429" s="36"/>
      <c r="W1429" s="36"/>
      <c r="X1429" s="36"/>
      <c r="Y1429" s="36"/>
    </row>
    <row r="1430">
      <c r="A1430" s="32"/>
      <c r="B1430" s="32"/>
      <c r="C1430" s="32"/>
      <c r="D1430" s="32"/>
      <c r="E1430" s="32"/>
      <c r="F1430" s="32"/>
      <c r="G1430" s="39"/>
      <c r="H1430" s="32"/>
      <c r="I1430" s="32"/>
      <c r="J1430" s="32"/>
      <c r="K1430" s="33"/>
      <c r="L1430" s="32"/>
      <c r="M1430" s="32"/>
      <c r="N1430" s="32"/>
      <c r="O1430" s="32"/>
      <c r="P1430" s="32"/>
      <c r="Q1430" s="34"/>
      <c r="R1430" s="35"/>
      <c r="S1430" s="35"/>
      <c r="T1430" s="36"/>
      <c r="U1430" s="36"/>
      <c r="V1430" s="36"/>
      <c r="W1430" s="36"/>
      <c r="X1430" s="36"/>
      <c r="Y1430" s="36"/>
    </row>
    <row r="1431">
      <c r="A1431" s="32"/>
      <c r="B1431" s="32"/>
      <c r="C1431" s="32"/>
      <c r="D1431" s="32"/>
      <c r="E1431" s="32"/>
      <c r="F1431" s="32"/>
      <c r="G1431" s="39"/>
      <c r="H1431" s="32"/>
      <c r="I1431" s="32"/>
      <c r="J1431" s="32"/>
      <c r="K1431" s="33"/>
      <c r="L1431" s="32"/>
      <c r="M1431" s="32"/>
      <c r="N1431" s="32"/>
      <c r="O1431" s="32"/>
      <c r="P1431" s="32"/>
      <c r="Q1431" s="34"/>
      <c r="R1431" s="35"/>
      <c r="S1431" s="35"/>
      <c r="T1431" s="36"/>
      <c r="U1431" s="36"/>
      <c r="V1431" s="36"/>
      <c r="W1431" s="36"/>
      <c r="X1431" s="36"/>
      <c r="Y1431" s="36"/>
    </row>
    <row r="1432">
      <c r="A1432" s="32"/>
      <c r="B1432" s="32"/>
      <c r="C1432" s="32"/>
      <c r="D1432" s="32"/>
      <c r="E1432" s="32"/>
      <c r="F1432" s="32"/>
      <c r="G1432" s="39"/>
      <c r="H1432" s="32"/>
      <c r="I1432" s="32"/>
      <c r="J1432" s="32"/>
      <c r="K1432" s="33"/>
      <c r="L1432" s="32"/>
      <c r="M1432" s="32"/>
      <c r="N1432" s="32"/>
      <c r="O1432" s="32"/>
      <c r="P1432" s="32"/>
      <c r="Q1432" s="34"/>
      <c r="R1432" s="35"/>
      <c r="S1432" s="35"/>
      <c r="T1432" s="36"/>
      <c r="U1432" s="36"/>
      <c r="V1432" s="36"/>
      <c r="W1432" s="36"/>
      <c r="X1432" s="36"/>
      <c r="Y1432" s="36"/>
    </row>
    <row r="1433">
      <c r="A1433" s="32"/>
      <c r="B1433" s="32"/>
      <c r="C1433" s="32"/>
      <c r="D1433" s="32"/>
      <c r="E1433" s="32"/>
      <c r="F1433" s="32"/>
      <c r="G1433" s="39"/>
      <c r="H1433" s="32"/>
      <c r="I1433" s="32"/>
      <c r="J1433" s="32"/>
      <c r="K1433" s="33"/>
      <c r="L1433" s="32"/>
      <c r="M1433" s="32"/>
      <c r="N1433" s="32"/>
      <c r="O1433" s="32"/>
      <c r="P1433" s="32"/>
      <c r="Q1433" s="34"/>
      <c r="R1433" s="35"/>
      <c r="S1433" s="35"/>
      <c r="T1433" s="36"/>
      <c r="U1433" s="36"/>
      <c r="V1433" s="36"/>
      <c r="W1433" s="36"/>
      <c r="X1433" s="36"/>
      <c r="Y1433" s="36"/>
    </row>
    <row r="1434">
      <c r="A1434" s="32"/>
      <c r="B1434" s="32"/>
      <c r="C1434" s="32"/>
      <c r="D1434" s="32"/>
      <c r="E1434" s="32"/>
      <c r="F1434" s="32"/>
      <c r="G1434" s="39"/>
      <c r="H1434" s="32"/>
      <c r="I1434" s="32"/>
      <c r="J1434" s="32"/>
      <c r="K1434" s="33"/>
      <c r="L1434" s="32"/>
      <c r="M1434" s="32"/>
      <c r="N1434" s="32"/>
      <c r="O1434" s="32"/>
      <c r="P1434" s="32"/>
      <c r="Q1434" s="34"/>
      <c r="R1434" s="35"/>
      <c r="S1434" s="35"/>
      <c r="T1434" s="36"/>
      <c r="U1434" s="36"/>
      <c r="V1434" s="36"/>
      <c r="W1434" s="36"/>
      <c r="X1434" s="36"/>
      <c r="Y1434" s="36"/>
    </row>
    <row r="1435">
      <c r="A1435" s="32"/>
      <c r="B1435" s="32"/>
      <c r="C1435" s="32"/>
      <c r="D1435" s="32"/>
      <c r="E1435" s="32"/>
      <c r="F1435" s="32"/>
      <c r="G1435" s="39"/>
      <c r="H1435" s="32"/>
      <c r="I1435" s="32"/>
      <c r="J1435" s="32"/>
      <c r="K1435" s="33"/>
      <c r="L1435" s="32"/>
      <c r="M1435" s="32"/>
      <c r="N1435" s="32"/>
      <c r="O1435" s="32"/>
      <c r="P1435" s="32"/>
      <c r="Q1435" s="34"/>
      <c r="R1435" s="35"/>
      <c r="S1435" s="35"/>
      <c r="T1435" s="36"/>
      <c r="U1435" s="36"/>
      <c r="V1435" s="36"/>
      <c r="W1435" s="36"/>
      <c r="X1435" s="36"/>
      <c r="Y1435" s="36"/>
    </row>
    <row r="1436">
      <c r="A1436" s="32"/>
      <c r="B1436" s="32"/>
      <c r="C1436" s="32"/>
      <c r="D1436" s="32"/>
      <c r="E1436" s="32"/>
      <c r="F1436" s="32"/>
      <c r="G1436" s="39"/>
      <c r="H1436" s="32"/>
      <c r="I1436" s="32"/>
      <c r="J1436" s="32"/>
      <c r="K1436" s="33"/>
      <c r="L1436" s="32"/>
      <c r="M1436" s="32"/>
      <c r="N1436" s="32"/>
      <c r="O1436" s="32"/>
      <c r="P1436" s="32"/>
      <c r="Q1436" s="34"/>
      <c r="R1436" s="35"/>
      <c r="S1436" s="35"/>
      <c r="T1436" s="36"/>
      <c r="U1436" s="36"/>
      <c r="V1436" s="36"/>
      <c r="W1436" s="36"/>
      <c r="X1436" s="36"/>
      <c r="Y1436" s="36"/>
    </row>
    <row r="1437">
      <c r="A1437" s="32"/>
      <c r="B1437" s="32"/>
      <c r="C1437" s="32"/>
      <c r="D1437" s="32"/>
      <c r="E1437" s="32"/>
      <c r="F1437" s="32"/>
      <c r="G1437" s="39"/>
      <c r="H1437" s="32"/>
      <c r="I1437" s="32"/>
      <c r="J1437" s="32"/>
      <c r="K1437" s="33"/>
      <c r="L1437" s="32"/>
      <c r="M1437" s="32"/>
      <c r="N1437" s="32"/>
      <c r="O1437" s="32"/>
      <c r="P1437" s="32"/>
      <c r="Q1437" s="34"/>
      <c r="R1437" s="35"/>
      <c r="S1437" s="35"/>
      <c r="T1437" s="36"/>
      <c r="U1437" s="36"/>
      <c r="V1437" s="36"/>
      <c r="W1437" s="36"/>
      <c r="X1437" s="36"/>
      <c r="Y1437" s="36"/>
    </row>
    <row r="1438">
      <c r="A1438" s="32"/>
      <c r="B1438" s="32"/>
      <c r="C1438" s="32"/>
      <c r="D1438" s="32"/>
      <c r="E1438" s="32"/>
      <c r="F1438" s="32"/>
      <c r="G1438" s="39"/>
      <c r="H1438" s="32"/>
      <c r="I1438" s="32"/>
      <c r="J1438" s="32"/>
      <c r="K1438" s="33"/>
      <c r="L1438" s="32"/>
      <c r="M1438" s="32"/>
      <c r="N1438" s="32"/>
      <c r="O1438" s="32"/>
      <c r="P1438" s="32"/>
      <c r="Q1438" s="34"/>
      <c r="R1438" s="35"/>
      <c r="S1438" s="35"/>
      <c r="T1438" s="36"/>
      <c r="U1438" s="36"/>
      <c r="V1438" s="36"/>
      <c r="W1438" s="36"/>
      <c r="X1438" s="36"/>
      <c r="Y1438" s="36"/>
    </row>
    <row r="1439">
      <c r="A1439" s="32"/>
      <c r="B1439" s="32"/>
      <c r="C1439" s="32"/>
      <c r="D1439" s="32"/>
      <c r="E1439" s="32"/>
      <c r="F1439" s="32"/>
      <c r="G1439" s="39"/>
      <c r="H1439" s="32"/>
      <c r="I1439" s="32"/>
      <c r="J1439" s="32"/>
      <c r="K1439" s="33"/>
      <c r="L1439" s="32"/>
      <c r="M1439" s="32"/>
      <c r="N1439" s="32"/>
      <c r="O1439" s="32"/>
      <c r="P1439" s="32"/>
      <c r="Q1439" s="34"/>
      <c r="R1439" s="35"/>
      <c r="S1439" s="35"/>
      <c r="T1439" s="36"/>
      <c r="U1439" s="36"/>
      <c r="V1439" s="36"/>
      <c r="W1439" s="36"/>
      <c r="X1439" s="36"/>
      <c r="Y1439" s="36"/>
    </row>
    <row r="1440">
      <c r="A1440" s="32"/>
      <c r="B1440" s="32"/>
      <c r="C1440" s="32"/>
      <c r="D1440" s="32"/>
      <c r="E1440" s="32"/>
      <c r="F1440" s="32"/>
      <c r="G1440" s="39"/>
      <c r="H1440" s="32"/>
      <c r="I1440" s="32"/>
      <c r="J1440" s="32"/>
      <c r="K1440" s="33"/>
      <c r="L1440" s="32"/>
      <c r="M1440" s="32"/>
      <c r="N1440" s="32"/>
      <c r="O1440" s="32"/>
      <c r="P1440" s="32"/>
      <c r="Q1440" s="34"/>
      <c r="R1440" s="35"/>
      <c r="S1440" s="35"/>
      <c r="T1440" s="36"/>
      <c r="U1440" s="36"/>
      <c r="V1440" s="36"/>
      <c r="W1440" s="36"/>
      <c r="X1440" s="36"/>
      <c r="Y1440" s="36"/>
    </row>
    <row r="1441">
      <c r="A1441" s="32"/>
      <c r="B1441" s="32"/>
      <c r="C1441" s="32"/>
      <c r="D1441" s="32"/>
      <c r="E1441" s="32"/>
      <c r="F1441" s="32"/>
      <c r="G1441" s="39"/>
      <c r="H1441" s="32"/>
      <c r="I1441" s="32"/>
      <c r="J1441" s="32"/>
      <c r="K1441" s="33"/>
      <c r="L1441" s="32"/>
      <c r="M1441" s="32"/>
      <c r="N1441" s="32"/>
      <c r="O1441" s="32"/>
      <c r="P1441" s="32"/>
      <c r="Q1441" s="34"/>
      <c r="R1441" s="35"/>
      <c r="S1441" s="35"/>
      <c r="T1441" s="36"/>
      <c r="U1441" s="36"/>
      <c r="V1441" s="36"/>
      <c r="W1441" s="36"/>
      <c r="X1441" s="36"/>
      <c r="Y1441" s="36"/>
    </row>
    <row r="1442">
      <c r="A1442" s="32"/>
      <c r="B1442" s="32"/>
      <c r="C1442" s="32"/>
      <c r="D1442" s="32"/>
      <c r="E1442" s="32"/>
      <c r="F1442" s="32"/>
      <c r="G1442" s="39"/>
      <c r="H1442" s="32"/>
      <c r="I1442" s="32"/>
      <c r="J1442" s="32"/>
      <c r="K1442" s="33"/>
      <c r="L1442" s="32"/>
      <c r="M1442" s="32"/>
      <c r="N1442" s="32"/>
      <c r="O1442" s="32"/>
      <c r="P1442" s="32"/>
      <c r="Q1442" s="34"/>
      <c r="R1442" s="35"/>
      <c r="S1442" s="35"/>
      <c r="T1442" s="36"/>
      <c r="U1442" s="36"/>
      <c r="V1442" s="36"/>
      <c r="W1442" s="36"/>
      <c r="X1442" s="36"/>
      <c r="Y1442" s="36"/>
    </row>
    <row r="1443">
      <c r="A1443" s="32"/>
      <c r="B1443" s="32"/>
      <c r="C1443" s="32"/>
      <c r="D1443" s="32"/>
      <c r="E1443" s="32"/>
      <c r="F1443" s="32"/>
      <c r="G1443" s="39"/>
      <c r="H1443" s="32"/>
      <c r="I1443" s="32"/>
      <c r="J1443" s="32"/>
      <c r="K1443" s="33"/>
      <c r="L1443" s="32"/>
      <c r="M1443" s="32"/>
      <c r="N1443" s="32"/>
      <c r="O1443" s="32"/>
      <c r="P1443" s="32"/>
      <c r="Q1443" s="34"/>
      <c r="R1443" s="35"/>
      <c r="S1443" s="35"/>
      <c r="T1443" s="36"/>
      <c r="U1443" s="36"/>
      <c r="V1443" s="36"/>
      <c r="W1443" s="36"/>
      <c r="X1443" s="36"/>
      <c r="Y1443" s="36"/>
    </row>
    <row r="1444">
      <c r="A1444" s="32"/>
      <c r="B1444" s="32"/>
      <c r="C1444" s="32"/>
      <c r="D1444" s="32"/>
      <c r="E1444" s="32"/>
      <c r="F1444" s="32"/>
      <c r="G1444" s="39"/>
      <c r="H1444" s="32"/>
      <c r="I1444" s="32"/>
      <c r="J1444" s="32"/>
      <c r="K1444" s="33"/>
      <c r="L1444" s="32"/>
      <c r="M1444" s="32"/>
      <c r="N1444" s="32"/>
      <c r="O1444" s="32"/>
      <c r="P1444" s="32"/>
      <c r="Q1444" s="34"/>
      <c r="R1444" s="35"/>
      <c r="S1444" s="35"/>
      <c r="T1444" s="36"/>
      <c r="U1444" s="36"/>
      <c r="V1444" s="36"/>
      <c r="W1444" s="36"/>
      <c r="X1444" s="36"/>
      <c r="Y1444" s="36"/>
    </row>
    <row r="1445">
      <c r="A1445" s="32"/>
      <c r="B1445" s="32"/>
      <c r="C1445" s="32"/>
      <c r="D1445" s="32"/>
      <c r="E1445" s="32"/>
      <c r="F1445" s="32"/>
      <c r="G1445" s="39"/>
      <c r="H1445" s="32"/>
      <c r="I1445" s="32"/>
      <c r="J1445" s="32"/>
      <c r="K1445" s="33"/>
      <c r="L1445" s="32"/>
      <c r="M1445" s="32"/>
      <c r="N1445" s="32"/>
      <c r="O1445" s="32"/>
      <c r="P1445" s="32"/>
      <c r="Q1445" s="34"/>
      <c r="R1445" s="35"/>
      <c r="S1445" s="35"/>
      <c r="T1445" s="36"/>
      <c r="U1445" s="36"/>
      <c r="V1445" s="36"/>
      <c r="W1445" s="36"/>
      <c r="X1445" s="36"/>
      <c r="Y1445" s="36"/>
    </row>
    <row r="1446">
      <c r="A1446" s="32"/>
      <c r="B1446" s="32"/>
      <c r="C1446" s="32"/>
      <c r="D1446" s="32"/>
      <c r="E1446" s="32"/>
      <c r="F1446" s="32"/>
      <c r="G1446" s="39"/>
      <c r="H1446" s="32"/>
      <c r="I1446" s="32"/>
      <c r="J1446" s="32"/>
      <c r="K1446" s="33"/>
      <c r="L1446" s="32"/>
      <c r="M1446" s="32"/>
      <c r="N1446" s="32"/>
      <c r="O1446" s="32"/>
      <c r="P1446" s="32"/>
      <c r="Q1446" s="34"/>
      <c r="R1446" s="35"/>
      <c r="S1446" s="35"/>
      <c r="T1446" s="36"/>
      <c r="U1446" s="36"/>
      <c r="V1446" s="36"/>
      <c r="W1446" s="36"/>
      <c r="X1446" s="36"/>
      <c r="Y1446" s="36"/>
    </row>
    <row r="1447">
      <c r="A1447" s="32"/>
      <c r="B1447" s="32"/>
      <c r="C1447" s="32"/>
      <c r="D1447" s="32"/>
      <c r="E1447" s="32"/>
      <c r="F1447" s="32"/>
      <c r="G1447" s="39"/>
      <c r="H1447" s="32"/>
      <c r="I1447" s="32"/>
      <c r="J1447" s="32"/>
      <c r="K1447" s="33"/>
      <c r="L1447" s="32"/>
      <c r="M1447" s="32"/>
      <c r="N1447" s="32"/>
      <c r="O1447" s="32"/>
      <c r="P1447" s="32"/>
      <c r="Q1447" s="34"/>
      <c r="R1447" s="35"/>
      <c r="S1447" s="35"/>
      <c r="T1447" s="36"/>
      <c r="U1447" s="36"/>
      <c r="V1447" s="36"/>
      <c r="W1447" s="36"/>
      <c r="X1447" s="36"/>
      <c r="Y1447" s="36"/>
    </row>
    <row r="1448">
      <c r="A1448" s="32"/>
      <c r="B1448" s="32"/>
      <c r="C1448" s="32"/>
      <c r="D1448" s="32"/>
      <c r="E1448" s="32"/>
      <c r="F1448" s="32"/>
      <c r="G1448" s="39"/>
      <c r="H1448" s="32"/>
      <c r="I1448" s="32"/>
      <c r="J1448" s="32"/>
      <c r="K1448" s="33"/>
      <c r="L1448" s="32"/>
      <c r="M1448" s="32"/>
      <c r="N1448" s="32"/>
      <c r="O1448" s="32"/>
      <c r="P1448" s="32"/>
      <c r="Q1448" s="34"/>
      <c r="R1448" s="35"/>
      <c r="S1448" s="35"/>
      <c r="T1448" s="36"/>
      <c r="U1448" s="36"/>
      <c r="V1448" s="36"/>
      <c r="W1448" s="36"/>
      <c r="X1448" s="36"/>
      <c r="Y1448" s="36"/>
    </row>
    <row r="1449">
      <c r="A1449" s="32"/>
      <c r="B1449" s="32"/>
      <c r="C1449" s="32"/>
      <c r="D1449" s="32"/>
      <c r="E1449" s="32"/>
      <c r="F1449" s="32"/>
      <c r="G1449" s="39"/>
      <c r="H1449" s="32"/>
      <c r="I1449" s="32"/>
      <c r="J1449" s="32"/>
      <c r="K1449" s="33"/>
      <c r="L1449" s="32"/>
      <c r="M1449" s="32"/>
      <c r="N1449" s="32"/>
      <c r="O1449" s="32"/>
      <c r="P1449" s="32"/>
      <c r="Q1449" s="34"/>
      <c r="R1449" s="35"/>
      <c r="S1449" s="35"/>
      <c r="T1449" s="36"/>
      <c r="U1449" s="36"/>
      <c r="V1449" s="36"/>
      <c r="W1449" s="36"/>
      <c r="X1449" s="36"/>
      <c r="Y1449" s="36"/>
    </row>
    <row r="1450">
      <c r="A1450" s="32"/>
      <c r="B1450" s="32"/>
      <c r="C1450" s="32"/>
      <c r="D1450" s="32"/>
      <c r="E1450" s="32"/>
      <c r="F1450" s="32"/>
      <c r="G1450" s="39"/>
      <c r="H1450" s="32"/>
      <c r="I1450" s="32"/>
      <c r="J1450" s="32"/>
      <c r="K1450" s="33"/>
      <c r="L1450" s="32"/>
      <c r="M1450" s="32"/>
      <c r="N1450" s="32"/>
      <c r="O1450" s="32"/>
      <c r="P1450" s="32"/>
      <c r="Q1450" s="34"/>
      <c r="R1450" s="35"/>
      <c r="S1450" s="35"/>
      <c r="T1450" s="36"/>
      <c r="U1450" s="36"/>
      <c r="V1450" s="36"/>
      <c r="W1450" s="36"/>
      <c r="X1450" s="36"/>
      <c r="Y1450" s="36"/>
    </row>
    <row r="1451">
      <c r="A1451" s="32"/>
      <c r="B1451" s="32"/>
      <c r="C1451" s="32"/>
      <c r="D1451" s="32"/>
      <c r="E1451" s="32"/>
      <c r="F1451" s="32"/>
      <c r="G1451" s="39"/>
      <c r="H1451" s="32"/>
      <c r="I1451" s="32"/>
      <c r="J1451" s="32"/>
      <c r="K1451" s="33"/>
      <c r="L1451" s="32"/>
      <c r="M1451" s="32"/>
      <c r="N1451" s="32"/>
      <c r="O1451" s="32"/>
      <c r="P1451" s="32"/>
      <c r="Q1451" s="34"/>
      <c r="R1451" s="35"/>
      <c r="S1451" s="35"/>
      <c r="T1451" s="36"/>
      <c r="U1451" s="36"/>
      <c r="V1451" s="36"/>
      <c r="W1451" s="36"/>
      <c r="X1451" s="36"/>
      <c r="Y1451" s="36"/>
    </row>
    <row r="1452">
      <c r="A1452" s="32"/>
      <c r="B1452" s="32"/>
      <c r="C1452" s="32"/>
      <c r="D1452" s="32"/>
      <c r="E1452" s="32"/>
      <c r="F1452" s="32"/>
      <c r="G1452" s="39"/>
      <c r="H1452" s="32"/>
      <c r="I1452" s="32"/>
      <c r="J1452" s="32"/>
      <c r="K1452" s="33"/>
      <c r="L1452" s="32"/>
      <c r="M1452" s="32"/>
      <c r="N1452" s="32"/>
      <c r="O1452" s="32"/>
      <c r="P1452" s="32"/>
      <c r="Q1452" s="34"/>
      <c r="R1452" s="35"/>
      <c r="S1452" s="35"/>
      <c r="T1452" s="36"/>
      <c r="U1452" s="36"/>
      <c r="V1452" s="36"/>
      <c r="W1452" s="36"/>
      <c r="X1452" s="36"/>
      <c r="Y1452" s="36"/>
    </row>
    <row r="1453">
      <c r="A1453" s="32"/>
      <c r="B1453" s="32"/>
      <c r="C1453" s="32"/>
      <c r="D1453" s="32"/>
      <c r="E1453" s="32"/>
      <c r="F1453" s="32"/>
      <c r="G1453" s="39"/>
      <c r="H1453" s="32"/>
      <c r="I1453" s="32"/>
      <c r="J1453" s="32"/>
      <c r="K1453" s="33"/>
      <c r="L1453" s="32"/>
      <c r="M1453" s="32"/>
      <c r="N1453" s="32"/>
      <c r="O1453" s="32"/>
      <c r="P1453" s="32"/>
      <c r="Q1453" s="34"/>
      <c r="R1453" s="35"/>
      <c r="S1453" s="35"/>
      <c r="T1453" s="36"/>
      <c r="U1453" s="36"/>
      <c r="V1453" s="36"/>
      <c r="W1453" s="36"/>
      <c r="X1453" s="36"/>
      <c r="Y1453" s="36"/>
    </row>
    <row r="1454">
      <c r="A1454" s="32"/>
      <c r="B1454" s="32"/>
      <c r="C1454" s="32"/>
      <c r="D1454" s="32"/>
      <c r="E1454" s="32"/>
      <c r="F1454" s="32"/>
      <c r="G1454" s="39"/>
      <c r="H1454" s="32"/>
      <c r="I1454" s="32"/>
      <c r="J1454" s="32"/>
      <c r="K1454" s="33"/>
      <c r="L1454" s="32"/>
      <c r="M1454" s="32"/>
      <c r="N1454" s="32"/>
      <c r="O1454" s="32"/>
      <c r="P1454" s="32"/>
      <c r="Q1454" s="34"/>
      <c r="R1454" s="35"/>
      <c r="S1454" s="35"/>
      <c r="T1454" s="36"/>
      <c r="U1454" s="36"/>
      <c r="V1454" s="36"/>
      <c r="W1454" s="36"/>
      <c r="X1454" s="36"/>
      <c r="Y1454" s="36"/>
    </row>
    <row r="1455">
      <c r="A1455" s="32"/>
      <c r="B1455" s="32"/>
      <c r="C1455" s="32"/>
      <c r="D1455" s="32"/>
      <c r="E1455" s="32"/>
      <c r="F1455" s="32"/>
      <c r="G1455" s="39"/>
      <c r="H1455" s="32"/>
      <c r="I1455" s="32"/>
      <c r="J1455" s="32"/>
      <c r="K1455" s="33"/>
      <c r="L1455" s="32"/>
      <c r="M1455" s="32"/>
      <c r="N1455" s="32"/>
      <c r="O1455" s="32"/>
      <c r="P1455" s="32"/>
      <c r="Q1455" s="34"/>
      <c r="R1455" s="35"/>
      <c r="S1455" s="35"/>
      <c r="T1455" s="36"/>
      <c r="U1455" s="36"/>
      <c r="V1455" s="36"/>
      <c r="W1455" s="36"/>
      <c r="X1455" s="36"/>
      <c r="Y1455" s="36"/>
    </row>
    <row r="1456">
      <c r="A1456" s="32"/>
      <c r="B1456" s="32"/>
      <c r="C1456" s="32"/>
      <c r="D1456" s="32"/>
      <c r="E1456" s="32"/>
      <c r="F1456" s="32"/>
      <c r="G1456" s="39"/>
      <c r="H1456" s="32"/>
      <c r="I1456" s="32"/>
      <c r="J1456" s="32"/>
      <c r="K1456" s="33"/>
      <c r="L1456" s="32"/>
      <c r="M1456" s="32"/>
      <c r="N1456" s="32"/>
      <c r="O1456" s="32"/>
      <c r="P1456" s="32"/>
      <c r="Q1456" s="34"/>
      <c r="R1456" s="35"/>
      <c r="S1456" s="35"/>
      <c r="T1456" s="36"/>
      <c r="U1456" s="36"/>
      <c r="V1456" s="36"/>
      <c r="W1456" s="36"/>
      <c r="X1456" s="36"/>
      <c r="Y1456" s="36"/>
    </row>
    <row r="1457">
      <c r="A1457" s="32"/>
      <c r="B1457" s="32"/>
      <c r="C1457" s="32"/>
      <c r="D1457" s="32"/>
      <c r="E1457" s="32"/>
      <c r="F1457" s="32"/>
      <c r="G1457" s="39"/>
      <c r="H1457" s="32"/>
      <c r="I1457" s="32"/>
      <c r="J1457" s="32"/>
      <c r="K1457" s="33"/>
      <c r="L1457" s="32"/>
      <c r="M1457" s="32"/>
      <c r="N1457" s="32"/>
      <c r="O1457" s="32"/>
      <c r="P1457" s="32"/>
      <c r="Q1457" s="34"/>
      <c r="R1457" s="35"/>
      <c r="S1457" s="35"/>
      <c r="T1457" s="36"/>
      <c r="U1457" s="36"/>
      <c r="V1457" s="36"/>
      <c r="W1457" s="36"/>
      <c r="X1457" s="36"/>
      <c r="Y1457" s="36"/>
    </row>
    <row r="1458">
      <c r="A1458" s="32"/>
      <c r="B1458" s="32"/>
      <c r="C1458" s="32"/>
      <c r="D1458" s="32"/>
      <c r="E1458" s="32"/>
      <c r="F1458" s="32"/>
      <c r="G1458" s="39"/>
      <c r="H1458" s="32"/>
      <c r="I1458" s="32"/>
      <c r="J1458" s="32"/>
      <c r="K1458" s="33"/>
      <c r="L1458" s="32"/>
      <c r="M1458" s="32"/>
      <c r="N1458" s="32"/>
      <c r="O1458" s="32"/>
      <c r="P1458" s="32"/>
      <c r="Q1458" s="34"/>
      <c r="R1458" s="35"/>
      <c r="S1458" s="35"/>
      <c r="T1458" s="36"/>
      <c r="U1458" s="36"/>
      <c r="V1458" s="36"/>
      <c r="W1458" s="36"/>
      <c r="X1458" s="36"/>
      <c r="Y1458" s="36"/>
    </row>
    <row r="1459">
      <c r="A1459" s="32"/>
      <c r="B1459" s="32"/>
      <c r="C1459" s="32"/>
      <c r="D1459" s="32"/>
      <c r="E1459" s="32"/>
      <c r="F1459" s="32"/>
      <c r="G1459" s="39"/>
      <c r="H1459" s="32"/>
      <c r="I1459" s="32"/>
      <c r="J1459" s="32"/>
      <c r="K1459" s="33"/>
      <c r="L1459" s="32"/>
      <c r="M1459" s="32"/>
      <c r="N1459" s="32"/>
      <c r="O1459" s="32"/>
      <c r="P1459" s="32"/>
      <c r="Q1459" s="34"/>
      <c r="R1459" s="35"/>
      <c r="S1459" s="35"/>
      <c r="T1459" s="36"/>
      <c r="U1459" s="36"/>
      <c r="V1459" s="36"/>
      <c r="W1459" s="36"/>
      <c r="X1459" s="36"/>
      <c r="Y1459" s="36"/>
    </row>
    <row r="1460">
      <c r="A1460" s="32"/>
      <c r="B1460" s="32"/>
      <c r="C1460" s="32"/>
      <c r="D1460" s="32"/>
      <c r="E1460" s="32"/>
      <c r="F1460" s="32"/>
      <c r="G1460" s="39"/>
      <c r="H1460" s="32"/>
      <c r="I1460" s="32"/>
      <c r="J1460" s="32"/>
      <c r="K1460" s="33"/>
      <c r="L1460" s="32"/>
      <c r="M1460" s="32"/>
      <c r="N1460" s="32"/>
      <c r="O1460" s="32"/>
      <c r="P1460" s="32"/>
      <c r="Q1460" s="34"/>
      <c r="R1460" s="35"/>
      <c r="S1460" s="35"/>
      <c r="T1460" s="36"/>
      <c r="U1460" s="36"/>
      <c r="V1460" s="36"/>
      <c r="W1460" s="36"/>
      <c r="X1460" s="36"/>
      <c r="Y1460" s="36"/>
    </row>
    <row r="1461">
      <c r="A1461" s="32"/>
      <c r="B1461" s="32"/>
      <c r="C1461" s="32"/>
      <c r="D1461" s="32"/>
      <c r="E1461" s="32"/>
      <c r="F1461" s="32"/>
      <c r="G1461" s="39"/>
      <c r="H1461" s="32"/>
      <c r="I1461" s="32"/>
      <c r="J1461" s="32"/>
      <c r="K1461" s="33"/>
      <c r="L1461" s="32"/>
      <c r="M1461" s="32"/>
      <c r="N1461" s="32"/>
      <c r="O1461" s="32"/>
      <c r="P1461" s="32"/>
      <c r="Q1461" s="34"/>
      <c r="R1461" s="35"/>
      <c r="S1461" s="35"/>
      <c r="T1461" s="36"/>
      <c r="U1461" s="36"/>
      <c r="V1461" s="36"/>
      <c r="W1461" s="36"/>
      <c r="X1461" s="36"/>
      <c r="Y1461" s="36"/>
    </row>
    <row r="1462">
      <c r="A1462" s="32"/>
      <c r="B1462" s="32"/>
      <c r="C1462" s="32"/>
      <c r="D1462" s="32"/>
      <c r="E1462" s="32"/>
      <c r="F1462" s="32"/>
      <c r="G1462" s="39"/>
      <c r="H1462" s="32"/>
      <c r="I1462" s="32"/>
      <c r="J1462" s="32"/>
      <c r="K1462" s="33"/>
      <c r="L1462" s="32"/>
      <c r="M1462" s="32"/>
      <c r="N1462" s="32"/>
      <c r="O1462" s="32"/>
      <c r="P1462" s="32"/>
      <c r="Q1462" s="34"/>
      <c r="R1462" s="35"/>
      <c r="S1462" s="35"/>
      <c r="T1462" s="36"/>
      <c r="U1462" s="36"/>
      <c r="V1462" s="36"/>
      <c r="W1462" s="36"/>
      <c r="X1462" s="36"/>
      <c r="Y1462" s="36"/>
    </row>
    <row r="1463">
      <c r="A1463" s="32"/>
      <c r="B1463" s="32"/>
      <c r="C1463" s="32"/>
      <c r="D1463" s="32"/>
      <c r="E1463" s="32"/>
      <c r="F1463" s="32"/>
      <c r="G1463" s="39"/>
      <c r="H1463" s="32"/>
      <c r="I1463" s="32"/>
      <c r="J1463" s="32"/>
      <c r="K1463" s="33"/>
      <c r="L1463" s="32"/>
      <c r="M1463" s="32"/>
      <c r="N1463" s="32"/>
      <c r="O1463" s="32"/>
      <c r="P1463" s="32"/>
      <c r="Q1463" s="34"/>
      <c r="R1463" s="35"/>
      <c r="S1463" s="35"/>
      <c r="T1463" s="36"/>
      <c r="U1463" s="36"/>
      <c r="V1463" s="36"/>
      <c r="W1463" s="36"/>
      <c r="X1463" s="36"/>
      <c r="Y1463" s="36"/>
    </row>
    <row r="1464">
      <c r="A1464" s="32"/>
      <c r="B1464" s="32"/>
      <c r="C1464" s="32"/>
      <c r="D1464" s="32"/>
      <c r="E1464" s="32"/>
      <c r="F1464" s="32"/>
      <c r="G1464" s="39"/>
      <c r="H1464" s="32"/>
      <c r="I1464" s="32"/>
      <c r="J1464" s="32"/>
      <c r="K1464" s="33"/>
      <c r="L1464" s="32"/>
      <c r="M1464" s="32"/>
      <c r="N1464" s="32"/>
      <c r="O1464" s="32"/>
      <c r="P1464" s="32"/>
      <c r="Q1464" s="34"/>
      <c r="R1464" s="35"/>
      <c r="S1464" s="35"/>
      <c r="T1464" s="36"/>
      <c r="U1464" s="36"/>
      <c r="V1464" s="36"/>
      <c r="W1464" s="36"/>
      <c r="X1464" s="36"/>
      <c r="Y1464" s="36"/>
    </row>
    <row r="1465">
      <c r="A1465" s="32"/>
      <c r="B1465" s="32"/>
      <c r="C1465" s="32"/>
      <c r="D1465" s="32"/>
      <c r="E1465" s="32"/>
      <c r="F1465" s="32"/>
      <c r="G1465" s="39"/>
      <c r="H1465" s="32"/>
      <c r="I1465" s="32"/>
      <c r="J1465" s="32"/>
      <c r="K1465" s="33"/>
      <c r="L1465" s="32"/>
      <c r="M1465" s="32"/>
      <c r="N1465" s="32"/>
      <c r="O1465" s="32"/>
      <c r="P1465" s="32"/>
      <c r="Q1465" s="34"/>
      <c r="R1465" s="35"/>
      <c r="S1465" s="35"/>
      <c r="T1465" s="36"/>
      <c r="U1465" s="36"/>
      <c r="V1465" s="36"/>
      <c r="W1465" s="36"/>
      <c r="X1465" s="36"/>
      <c r="Y1465" s="36"/>
    </row>
    <row r="1466">
      <c r="A1466" s="32"/>
      <c r="B1466" s="32"/>
      <c r="C1466" s="32"/>
      <c r="D1466" s="32"/>
      <c r="E1466" s="32"/>
      <c r="F1466" s="32"/>
      <c r="G1466" s="39"/>
      <c r="H1466" s="32"/>
      <c r="I1466" s="32"/>
      <c r="J1466" s="32"/>
      <c r="K1466" s="33"/>
      <c r="L1466" s="32"/>
      <c r="M1466" s="32"/>
      <c r="N1466" s="32"/>
      <c r="O1466" s="32"/>
      <c r="P1466" s="32"/>
      <c r="Q1466" s="34"/>
      <c r="R1466" s="35"/>
      <c r="S1466" s="35"/>
      <c r="T1466" s="36"/>
      <c r="U1466" s="36"/>
      <c r="V1466" s="36"/>
      <c r="W1466" s="36"/>
      <c r="X1466" s="36"/>
      <c r="Y1466" s="36"/>
    </row>
    <row r="1467">
      <c r="A1467" s="32"/>
      <c r="B1467" s="32"/>
      <c r="C1467" s="32"/>
      <c r="D1467" s="32"/>
      <c r="E1467" s="32"/>
      <c r="F1467" s="32"/>
      <c r="G1467" s="39"/>
      <c r="H1467" s="32"/>
      <c r="I1467" s="32"/>
      <c r="J1467" s="32"/>
      <c r="K1467" s="33"/>
      <c r="L1467" s="32"/>
      <c r="M1467" s="32"/>
      <c r="N1467" s="32"/>
      <c r="O1467" s="32"/>
      <c r="P1467" s="32"/>
      <c r="Q1467" s="34"/>
      <c r="R1467" s="35"/>
      <c r="S1467" s="35"/>
      <c r="T1467" s="36"/>
      <c r="U1467" s="36"/>
      <c r="V1467" s="36"/>
      <c r="W1467" s="36"/>
      <c r="X1467" s="36"/>
      <c r="Y1467" s="36"/>
    </row>
    <row r="1468">
      <c r="A1468" s="32"/>
      <c r="B1468" s="32"/>
      <c r="C1468" s="32"/>
      <c r="D1468" s="32"/>
      <c r="E1468" s="32"/>
      <c r="F1468" s="32"/>
      <c r="G1468" s="39"/>
      <c r="H1468" s="32"/>
      <c r="I1468" s="32"/>
      <c r="J1468" s="32"/>
      <c r="K1468" s="33"/>
      <c r="L1468" s="32"/>
      <c r="M1468" s="32"/>
      <c r="N1468" s="32"/>
      <c r="O1468" s="32"/>
      <c r="P1468" s="32"/>
      <c r="Q1468" s="34"/>
      <c r="R1468" s="35"/>
      <c r="S1468" s="35"/>
      <c r="T1468" s="36"/>
      <c r="U1468" s="36"/>
      <c r="V1468" s="36"/>
      <c r="W1468" s="36"/>
      <c r="X1468" s="36"/>
      <c r="Y1468" s="36"/>
    </row>
    <row r="1469">
      <c r="A1469" s="32"/>
      <c r="B1469" s="32"/>
      <c r="C1469" s="32"/>
      <c r="D1469" s="32"/>
      <c r="E1469" s="32"/>
      <c r="F1469" s="32"/>
      <c r="G1469" s="39"/>
      <c r="H1469" s="32"/>
      <c r="I1469" s="32"/>
      <c r="J1469" s="32"/>
      <c r="K1469" s="33"/>
      <c r="L1469" s="32"/>
      <c r="M1469" s="32"/>
      <c r="N1469" s="32"/>
      <c r="O1469" s="32"/>
      <c r="P1469" s="32"/>
      <c r="Q1469" s="34"/>
      <c r="R1469" s="35"/>
      <c r="S1469" s="35"/>
      <c r="T1469" s="36"/>
      <c r="U1469" s="36"/>
      <c r="V1469" s="36"/>
      <c r="W1469" s="36"/>
      <c r="X1469" s="36"/>
      <c r="Y1469" s="36"/>
    </row>
    <row r="1470">
      <c r="A1470" s="32"/>
      <c r="B1470" s="32"/>
      <c r="C1470" s="32"/>
      <c r="D1470" s="32"/>
      <c r="E1470" s="32"/>
      <c r="F1470" s="32"/>
      <c r="G1470" s="39"/>
      <c r="H1470" s="32"/>
      <c r="I1470" s="32"/>
      <c r="J1470" s="32"/>
      <c r="K1470" s="33"/>
      <c r="L1470" s="32"/>
      <c r="M1470" s="32"/>
      <c r="N1470" s="32"/>
      <c r="O1470" s="32"/>
      <c r="P1470" s="32"/>
      <c r="Q1470" s="34"/>
      <c r="R1470" s="35"/>
      <c r="S1470" s="35"/>
      <c r="T1470" s="36"/>
      <c r="U1470" s="36"/>
      <c r="V1470" s="36"/>
      <c r="W1470" s="36"/>
      <c r="X1470" s="36"/>
      <c r="Y1470" s="36"/>
    </row>
    <row r="1471">
      <c r="A1471" s="32"/>
      <c r="B1471" s="32"/>
      <c r="C1471" s="32"/>
      <c r="D1471" s="32"/>
      <c r="E1471" s="32"/>
      <c r="F1471" s="32"/>
      <c r="G1471" s="39"/>
      <c r="H1471" s="32"/>
      <c r="I1471" s="32"/>
      <c r="J1471" s="32"/>
      <c r="K1471" s="33"/>
      <c r="L1471" s="32"/>
      <c r="M1471" s="32"/>
      <c r="N1471" s="32"/>
      <c r="O1471" s="32"/>
      <c r="P1471" s="32"/>
      <c r="Q1471" s="34"/>
      <c r="R1471" s="35"/>
      <c r="S1471" s="35"/>
      <c r="T1471" s="36"/>
      <c r="U1471" s="36"/>
      <c r="V1471" s="36"/>
      <c r="W1471" s="36"/>
      <c r="X1471" s="36"/>
      <c r="Y1471" s="36"/>
    </row>
    <row r="1472">
      <c r="A1472" s="32"/>
      <c r="B1472" s="32"/>
      <c r="C1472" s="32"/>
      <c r="D1472" s="32"/>
      <c r="E1472" s="32"/>
      <c r="F1472" s="32"/>
      <c r="G1472" s="39"/>
      <c r="H1472" s="32"/>
      <c r="I1472" s="32"/>
      <c r="J1472" s="32"/>
      <c r="K1472" s="33"/>
      <c r="L1472" s="32"/>
      <c r="M1472" s="32"/>
      <c r="N1472" s="32"/>
      <c r="O1472" s="32"/>
      <c r="P1472" s="32"/>
      <c r="Q1472" s="34"/>
      <c r="R1472" s="35"/>
      <c r="S1472" s="35"/>
      <c r="T1472" s="36"/>
      <c r="U1472" s="36"/>
      <c r="V1472" s="36"/>
      <c r="W1472" s="36"/>
      <c r="X1472" s="36"/>
      <c r="Y1472" s="36"/>
    </row>
    <row r="1473">
      <c r="A1473" s="32"/>
      <c r="B1473" s="32"/>
      <c r="C1473" s="32"/>
      <c r="D1473" s="32"/>
      <c r="E1473" s="32"/>
      <c r="F1473" s="32"/>
      <c r="G1473" s="39"/>
      <c r="H1473" s="32"/>
      <c r="I1473" s="32"/>
      <c r="J1473" s="32"/>
      <c r="K1473" s="33"/>
      <c r="L1473" s="32"/>
      <c r="M1473" s="32"/>
      <c r="N1473" s="32"/>
      <c r="O1473" s="32"/>
      <c r="P1473" s="32"/>
      <c r="Q1473" s="34"/>
      <c r="R1473" s="35"/>
      <c r="S1473" s="35"/>
      <c r="T1473" s="36"/>
      <c r="U1473" s="36"/>
      <c r="V1473" s="36"/>
      <c r="W1473" s="36"/>
      <c r="X1473" s="36"/>
      <c r="Y1473" s="36"/>
    </row>
    <row r="1474">
      <c r="A1474" s="32"/>
      <c r="B1474" s="32"/>
      <c r="C1474" s="32"/>
      <c r="D1474" s="32"/>
      <c r="E1474" s="32"/>
      <c r="F1474" s="32"/>
      <c r="G1474" s="39"/>
      <c r="H1474" s="32"/>
      <c r="I1474" s="32"/>
      <c r="J1474" s="32"/>
      <c r="K1474" s="33"/>
      <c r="L1474" s="32"/>
      <c r="M1474" s="32"/>
      <c r="N1474" s="32"/>
      <c r="O1474" s="32"/>
      <c r="P1474" s="32"/>
      <c r="Q1474" s="34"/>
      <c r="R1474" s="35"/>
      <c r="S1474" s="35"/>
      <c r="T1474" s="36"/>
      <c r="U1474" s="36"/>
      <c r="V1474" s="36"/>
      <c r="W1474" s="36"/>
      <c r="X1474" s="36"/>
      <c r="Y1474" s="36"/>
    </row>
    <row r="1475">
      <c r="A1475" s="32"/>
      <c r="B1475" s="32"/>
      <c r="C1475" s="32"/>
      <c r="D1475" s="32"/>
      <c r="E1475" s="32"/>
      <c r="F1475" s="32"/>
      <c r="G1475" s="39"/>
      <c r="H1475" s="32"/>
      <c r="I1475" s="32"/>
      <c r="J1475" s="32"/>
      <c r="K1475" s="33"/>
      <c r="L1475" s="32"/>
      <c r="M1475" s="32"/>
      <c r="N1475" s="32"/>
      <c r="O1475" s="32"/>
      <c r="P1475" s="32"/>
      <c r="Q1475" s="34"/>
      <c r="R1475" s="35"/>
      <c r="S1475" s="35"/>
      <c r="T1475" s="36"/>
      <c r="U1475" s="36"/>
      <c r="V1475" s="36"/>
      <c r="W1475" s="36"/>
      <c r="X1475" s="36"/>
      <c r="Y1475" s="36"/>
    </row>
    <row r="1476">
      <c r="A1476" s="32"/>
      <c r="B1476" s="32"/>
      <c r="C1476" s="32"/>
      <c r="D1476" s="32"/>
      <c r="E1476" s="32"/>
      <c r="F1476" s="32"/>
      <c r="G1476" s="39"/>
      <c r="H1476" s="32"/>
      <c r="I1476" s="32"/>
      <c r="J1476" s="32"/>
      <c r="K1476" s="33"/>
      <c r="L1476" s="32"/>
      <c r="M1476" s="32"/>
      <c r="N1476" s="32"/>
      <c r="O1476" s="32"/>
      <c r="P1476" s="32"/>
      <c r="Q1476" s="34"/>
      <c r="R1476" s="35"/>
      <c r="S1476" s="35"/>
      <c r="T1476" s="36"/>
      <c r="U1476" s="36"/>
      <c r="V1476" s="36"/>
      <c r="W1476" s="36"/>
      <c r="X1476" s="36"/>
      <c r="Y1476" s="36"/>
    </row>
    <row r="1477">
      <c r="A1477" s="32"/>
      <c r="B1477" s="32"/>
      <c r="C1477" s="32"/>
      <c r="D1477" s="32"/>
      <c r="E1477" s="32"/>
      <c r="F1477" s="32"/>
      <c r="G1477" s="39"/>
      <c r="H1477" s="32"/>
      <c r="I1477" s="32"/>
      <c r="J1477" s="32"/>
      <c r="K1477" s="33"/>
      <c r="L1477" s="32"/>
      <c r="M1477" s="32"/>
      <c r="N1477" s="32"/>
      <c r="O1477" s="32"/>
      <c r="P1477" s="32"/>
      <c r="Q1477" s="34"/>
      <c r="R1477" s="35"/>
      <c r="S1477" s="35"/>
      <c r="T1477" s="36"/>
      <c r="U1477" s="36"/>
      <c r="V1477" s="36"/>
      <c r="W1477" s="36"/>
      <c r="X1477" s="36"/>
      <c r="Y1477" s="36"/>
    </row>
    <row r="1478">
      <c r="A1478" s="32"/>
      <c r="B1478" s="32"/>
      <c r="C1478" s="32"/>
      <c r="D1478" s="32"/>
      <c r="E1478" s="32"/>
      <c r="F1478" s="32"/>
      <c r="G1478" s="39"/>
      <c r="H1478" s="32"/>
      <c r="I1478" s="32"/>
      <c r="J1478" s="32"/>
      <c r="K1478" s="33"/>
      <c r="L1478" s="32"/>
      <c r="M1478" s="32"/>
      <c r="N1478" s="32"/>
      <c r="O1478" s="32"/>
      <c r="P1478" s="32"/>
      <c r="Q1478" s="34"/>
      <c r="R1478" s="35"/>
      <c r="S1478" s="35"/>
      <c r="T1478" s="36"/>
      <c r="U1478" s="36"/>
      <c r="V1478" s="36"/>
      <c r="W1478" s="36"/>
      <c r="X1478" s="36"/>
      <c r="Y1478" s="36"/>
    </row>
    <row r="1479">
      <c r="A1479" s="32"/>
      <c r="B1479" s="32"/>
      <c r="C1479" s="32"/>
      <c r="D1479" s="32"/>
      <c r="E1479" s="32"/>
      <c r="F1479" s="32"/>
      <c r="G1479" s="39"/>
      <c r="H1479" s="32"/>
      <c r="I1479" s="32"/>
      <c r="J1479" s="32"/>
      <c r="K1479" s="33"/>
      <c r="L1479" s="32"/>
      <c r="M1479" s="32"/>
      <c r="N1479" s="32"/>
      <c r="O1479" s="32"/>
      <c r="P1479" s="32"/>
      <c r="Q1479" s="34"/>
      <c r="R1479" s="35"/>
      <c r="S1479" s="35"/>
      <c r="T1479" s="36"/>
      <c r="U1479" s="36"/>
      <c r="V1479" s="36"/>
      <c r="W1479" s="36"/>
      <c r="X1479" s="36"/>
      <c r="Y1479" s="36"/>
    </row>
    <row r="1480">
      <c r="A1480" s="32"/>
      <c r="B1480" s="32"/>
      <c r="C1480" s="32"/>
      <c r="D1480" s="32"/>
      <c r="E1480" s="32"/>
      <c r="F1480" s="32"/>
      <c r="G1480" s="39"/>
      <c r="H1480" s="32"/>
      <c r="I1480" s="32"/>
      <c r="J1480" s="32"/>
      <c r="K1480" s="33"/>
      <c r="L1480" s="32"/>
      <c r="M1480" s="32"/>
      <c r="N1480" s="32"/>
      <c r="O1480" s="32"/>
      <c r="P1480" s="32"/>
      <c r="Q1480" s="34"/>
      <c r="R1480" s="35"/>
      <c r="S1480" s="35"/>
      <c r="T1480" s="36"/>
      <c r="U1480" s="36"/>
      <c r="V1480" s="36"/>
      <c r="W1480" s="36"/>
      <c r="X1480" s="36"/>
      <c r="Y1480" s="36"/>
    </row>
    <row r="1481">
      <c r="A1481" s="32"/>
      <c r="B1481" s="32"/>
      <c r="C1481" s="32"/>
      <c r="D1481" s="32"/>
      <c r="E1481" s="32"/>
      <c r="F1481" s="32"/>
      <c r="G1481" s="39"/>
      <c r="H1481" s="32"/>
      <c r="I1481" s="32"/>
      <c r="J1481" s="32"/>
      <c r="K1481" s="33"/>
      <c r="L1481" s="32"/>
      <c r="M1481" s="32"/>
      <c r="N1481" s="32"/>
      <c r="O1481" s="32"/>
      <c r="P1481" s="32"/>
      <c r="Q1481" s="34"/>
      <c r="R1481" s="35"/>
      <c r="S1481" s="35"/>
      <c r="T1481" s="36"/>
      <c r="U1481" s="36"/>
      <c r="V1481" s="36"/>
      <c r="W1481" s="36"/>
      <c r="X1481" s="36"/>
      <c r="Y1481" s="36"/>
    </row>
    <row r="1482">
      <c r="A1482" s="32"/>
      <c r="B1482" s="32"/>
      <c r="C1482" s="32"/>
      <c r="D1482" s="32"/>
      <c r="E1482" s="32"/>
      <c r="F1482" s="32"/>
      <c r="G1482" s="39"/>
      <c r="H1482" s="32"/>
      <c r="I1482" s="32"/>
      <c r="J1482" s="32"/>
      <c r="K1482" s="33"/>
      <c r="L1482" s="32"/>
      <c r="M1482" s="32"/>
      <c r="N1482" s="32"/>
      <c r="O1482" s="32"/>
      <c r="P1482" s="32"/>
      <c r="Q1482" s="34"/>
      <c r="R1482" s="35"/>
      <c r="S1482" s="35"/>
      <c r="T1482" s="36"/>
      <c r="U1482" s="36"/>
      <c r="V1482" s="36"/>
      <c r="W1482" s="36"/>
      <c r="X1482" s="36"/>
      <c r="Y1482" s="36"/>
    </row>
    <row r="1483">
      <c r="A1483" s="32"/>
      <c r="B1483" s="32"/>
      <c r="C1483" s="32"/>
      <c r="D1483" s="32"/>
      <c r="E1483" s="32"/>
      <c r="F1483" s="32"/>
      <c r="G1483" s="39"/>
      <c r="H1483" s="32"/>
      <c r="I1483" s="32"/>
      <c r="J1483" s="32"/>
      <c r="K1483" s="33"/>
      <c r="L1483" s="32"/>
      <c r="M1483" s="32"/>
      <c r="N1483" s="32"/>
      <c r="O1483" s="32"/>
      <c r="P1483" s="32"/>
      <c r="Q1483" s="34"/>
      <c r="R1483" s="35"/>
      <c r="S1483" s="35"/>
      <c r="T1483" s="36"/>
      <c r="U1483" s="36"/>
      <c r="V1483" s="36"/>
      <c r="W1483" s="36"/>
      <c r="X1483" s="36"/>
      <c r="Y1483" s="36"/>
    </row>
    <row r="1484">
      <c r="A1484" s="32"/>
      <c r="B1484" s="32"/>
      <c r="C1484" s="32"/>
      <c r="D1484" s="32"/>
      <c r="E1484" s="32"/>
      <c r="F1484" s="32"/>
      <c r="G1484" s="39"/>
      <c r="H1484" s="32"/>
      <c r="I1484" s="32"/>
      <c r="J1484" s="32"/>
      <c r="K1484" s="33"/>
      <c r="L1484" s="32"/>
      <c r="M1484" s="32"/>
      <c r="N1484" s="32"/>
      <c r="O1484" s="32"/>
      <c r="P1484" s="32"/>
      <c r="Q1484" s="34"/>
      <c r="R1484" s="35"/>
      <c r="S1484" s="35"/>
      <c r="T1484" s="36"/>
      <c r="U1484" s="36"/>
      <c r="V1484" s="36"/>
      <c r="W1484" s="36"/>
      <c r="X1484" s="36"/>
      <c r="Y1484" s="36"/>
    </row>
    <row r="1485">
      <c r="A1485" s="32"/>
      <c r="B1485" s="32"/>
      <c r="C1485" s="32"/>
      <c r="D1485" s="32"/>
      <c r="E1485" s="32"/>
      <c r="F1485" s="32"/>
      <c r="G1485" s="39"/>
      <c r="H1485" s="32"/>
      <c r="I1485" s="32"/>
      <c r="J1485" s="32"/>
      <c r="K1485" s="33"/>
      <c r="L1485" s="32"/>
      <c r="M1485" s="32"/>
      <c r="N1485" s="32"/>
      <c r="O1485" s="32"/>
      <c r="P1485" s="32"/>
      <c r="Q1485" s="34"/>
      <c r="R1485" s="35"/>
      <c r="S1485" s="35"/>
      <c r="T1485" s="36"/>
      <c r="U1485" s="36"/>
      <c r="V1485" s="36"/>
      <c r="W1485" s="36"/>
      <c r="X1485" s="36"/>
      <c r="Y1485" s="36"/>
    </row>
    <row r="1486">
      <c r="A1486" s="32"/>
      <c r="B1486" s="32"/>
      <c r="C1486" s="32"/>
      <c r="D1486" s="32"/>
      <c r="E1486" s="32"/>
      <c r="F1486" s="32"/>
      <c r="G1486" s="39"/>
      <c r="H1486" s="32"/>
      <c r="I1486" s="32"/>
      <c r="J1486" s="32"/>
      <c r="K1486" s="33"/>
      <c r="L1486" s="32"/>
      <c r="M1486" s="32"/>
      <c r="N1486" s="32"/>
      <c r="O1486" s="32"/>
      <c r="P1486" s="32"/>
      <c r="Q1486" s="34"/>
      <c r="R1486" s="35"/>
      <c r="S1486" s="35"/>
      <c r="T1486" s="36"/>
      <c r="U1486" s="36"/>
      <c r="V1486" s="36"/>
      <c r="W1486" s="36"/>
      <c r="X1486" s="36"/>
      <c r="Y1486" s="36"/>
    </row>
    <row r="1487">
      <c r="A1487" s="32"/>
      <c r="B1487" s="32"/>
      <c r="C1487" s="32"/>
      <c r="D1487" s="32"/>
      <c r="E1487" s="32"/>
      <c r="F1487" s="32"/>
      <c r="G1487" s="39"/>
      <c r="H1487" s="32"/>
      <c r="I1487" s="32"/>
      <c r="J1487" s="32"/>
      <c r="K1487" s="33"/>
      <c r="L1487" s="32"/>
      <c r="M1487" s="32"/>
      <c r="N1487" s="32"/>
      <c r="O1487" s="32"/>
      <c r="P1487" s="32"/>
      <c r="Q1487" s="34"/>
      <c r="R1487" s="35"/>
      <c r="S1487" s="35"/>
      <c r="T1487" s="36"/>
      <c r="U1487" s="36"/>
      <c r="V1487" s="36"/>
      <c r="W1487" s="36"/>
      <c r="X1487" s="36"/>
      <c r="Y1487" s="36"/>
    </row>
    <row r="1488">
      <c r="A1488" s="32"/>
      <c r="B1488" s="32"/>
      <c r="C1488" s="32"/>
      <c r="D1488" s="32"/>
      <c r="E1488" s="32"/>
      <c r="F1488" s="32"/>
      <c r="G1488" s="39"/>
      <c r="H1488" s="32"/>
      <c r="I1488" s="32"/>
      <c r="J1488" s="32"/>
      <c r="K1488" s="33"/>
      <c r="L1488" s="32"/>
      <c r="M1488" s="32"/>
      <c r="N1488" s="32"/>
      <c r="O1488" s="32"/>
      <c r="P1488" s="32"/>
      <c r="Q1488" s="34"/>
      <c r="R1488" s="35"/>
      <c r="S1488" s="35"/>
      <c r="T1488" s="36"/>
      <c r="U1488" s="36"/>
      <c r="V1488" s="36"/>
      <c r="W1488" s="36"/>
      <c r="X1488" s="36"/>
      <c r="Y1488" s="36"/>
    </row>
    <row r="1489">
      <c r="A1489" s="32"/>
      <c r="B1489" s="32"/>
      <c r="C1489" s="32"/>
      <c r="D1489" s="32"/>
      <c r="E1489" s="32"/>
      <c r="F1489" s="32"/>
      <c r="G1489" s="39"/>
      <c r="H1489" s="32"/>
      <c r="I1489" s="32"/>
      <c r="J1489" s="32"/>
      <c r="K1489" s="33"/>
      <c r="L1489" s="32"/>
      <c r="M1489" s="32"/>
      <c r="N1489" s="32"/>
      <c r="O1489" s="32"/>
      <c r="P1489" s="32"/>
      <c r="Q1489" s="34"/>
      <c r="R1489" s="35"/>
      <c r="S1489" s="35"/>
      <c r="T1489" s="36"/>
      <c r="U1489" s="36"/>
      <c r="V1489" s="36"/>
      <c r="W1489" s="36"/>
      <c r="X1489" s="36"/>
      <c r="Y1489" s="36"/>
    </row>
    <row r="1490">
      <c r="A1490" s="32"/>
      <c r="B1490" s="32"/>
      <c r="C1490" s="32"/>
      <c r="D1490" s="32"/>
      <c r="E1490" s="32"/>
      <c r="F1490" s="32"/>
      <c r="G1490" s="39"/>
      <c r="H1490" s="32"/>
      <c r="I1490" s="32"/>
      <c r="J1490" s="32"/>
      <c r="K1490" s="33"/>
      <c r="L1490" s="32"/>
      <c r="M1490" s="32"/>
      <c r="N1490" s="32"/>
      <c r="O1490" s="32"/>
      <c r="P1490" s="32"/>
      <c r="Q1490" s="34"/>
      <c r="R1490" s="35"/>
      <c r="S1490" s="35"/>
      <c r="T1490" s="36"/>
      <c r="U1490" s="36"/>
      <c r="V1490" s="36"/>
      <c r="W1490" s="36"/>
      <c r="X1490" s="36"/>
      <c r="Y1490" s="36"/>
    </row>
    <row r="1491">
      <c r="A1491" s="32"/>
      <c r="B1491" s="32"/>
      <c r="C1491" s="32"/>
      <c r="D1491" s="32"/>
      <c r="E1491" s="32"/>
      <c r="F1491" s="32"/>
      <c r="G1491" s="39"/>
      <c r="H1491" s="32"/>
      <c r="I1491" s="32"/>
      <c r="J1491" s="32"/>
      <c r="K1491" s="33"/>
      <c r="L1491" s="32"/>
      <c r="M1491" s="32"/>
      <c r="N1491" s="32"/>
      <c r="O1491" s="32"/>
      <c r="P1491" s="32"/>
      <c r="Q1491" s="34"/>
      <c r="R1491" s="35"/>
      <c r="S1491" s="35"/>
      <c r="T1491" s="36"/>
      <c r="U1491" s="36"/>
      <c r="V1491" s="36"/>
      <c r="W1491" s="36"/>
      <c r="X1491" s="36"/>
      <c r="Y1491" s="36"/>
    </row>
    <row r="1492">
      <c r="A1492" s="32"/>
      <c r="B1492" s="32"/>
      <c r="C1492" s="32"/>
      <c r="D1492" s="32"/>
      <c r="E1492" s="32"/>
      <c r="F1492" s="32"/>
      <c r="G1492" s="39"/>
      <c r="H1492" s="32"/>
      <c r="I1492" s="32"/>
      <c r="J1492" s="32"/>
      <c r="K1492" s="33"/>
      <c r="L1492" s="32"/>
      <c r="M1492" s="32"/>
      <c r="N1492" s="32"/>
      <c r="O1492" s="32"/>
      <c r="P1492" s="32"/>
      <c r="Q1492" s="34"/>
      <c r="R1492" s="35"/>
      <c r="S1492" s="35"/>
      <c r="T1492" s="36"/>
      <c r="U1492" s="36"/>
      <c r="V1492" s="36"/>
      <c r="W1492" s="36"/>
      <c r="X1492" s="36"/>
      <c r="Y1492" s="36"/>
    </row>
    <row r="1493">
      <c r="A1493" s="32"/>
      <c r="B1493" s="32"/>
      <c r="C1493" s="32"/>
      <c r="D1493" s="32"/>
      <c r="E1493" s="32"/>
      <c r="F1493" s="32"/>
      <c r="G1493" s="39"/>
      <c r="H1493" s="32"/>
      <c r="I1493" s="32"/>
      <c r="J1493" s="32"/>
      <c r="K1493" s="33"/>
      <c r="L1493" s="32"/>
      <c r="M1493" s="32"/>
      <c r="N1493" s="32"/>
      <c r="O1493" s="32"/>
      <c r="P1493" s="32"/>
      <c r="Q1493" s="34"/>
      <c r="R1493" s="35"/>
      <c r="S1493" s="35"/>
      <c r="T1493" s="36"/>
      <c r="U1493" s="36"/>
      <c r="V1493" s="36"/>
      <c r="W1493" s="36"/>
      <c r="X1493" s="36"/>
      <c r="Y1493" s="36"/>
    </row>
    <row r="1494">
      <c r="A1494" s="32"/>
      <c r="B1494" s="32"/>
      <c r="C1494" s="32"/>
      <c r="D1494" s="32"/>
      <c r="E1494" s="32"/>
      <c r="F1494" s="32"/>
      <c r="G1494" s="39"/>
      <c r="H1494" s="32"/>
      <c r="I1494" s="32"/>
      <c r="J1494" s="32"/>
      <c r="K1494" s="33"/>
      <c r="L1494" s="32"/>
      <c r="M1494" s="32"/>
      <c r="N1494" s="32"/>
      <c r="O1494" s="32"/>
      <c r="P1494" s="32"/>
      <c r="Q1494" s="34"/>
      <c r="R1494" s="35"/>
      <c r="S1494" s="35"/>
      <c r="T1494" s="36"/>
      <c r="U1494" s="36"/>
      <c r="V1494" s="36"/>
      <c r="W1494" s="36"/>
      <c r="X1494" s="36"/>
      <c r="Y1494" s="36"/>
    </row>
    <row r="1495">
      <c r="A1495" s="32"/>
      <c r="B1495" s="32"/>
      <c r="C1495" s="32"/>
      <c r="D1495" s="32"/>
      <c r="E1495" s="32"/>
      <c r="F1495" s="32"/>
      <c r="G1495" s="39"/>
      <c r="H1495" s="32"/>
      <c r="I1495" s="32"/>
      <c r="J1495" s="32"/>
      <c r="K1495" s="33"/>
      <c r="L1495" s="32"/>
      <c r="M1495" s="32"/>
      <c r="N1495" s="32"/>
      <c r="O1495" s="32"/>
      <c r="P1495" s="32"/>
      <c r="Q1495" s="34"/>
      <c r="R1495" s="35"/>
      <c r="S1495" s="35"/>
      <c r="T1495" s="36"/>
      <c r="U1495" s="36"/>
      <c r="V1495" s="36"/>
      <c r="W1495" s="36"/>
      <c r="X1495" s="36"/>
      <c r="Y1495" s="36"/>
    </row>
    <row r="1496">
      <c r="A1496" s="32"/>
      <c r="B1496" s="32"/>
      <c r="C1496" s="32"/>
      <c r="D1496" s="32"/>
      <c r="E1496" s="32"/>
      <c r="F1496" s="32"/>
      <c r="G1496" s="39"/>
      <c r="H1496" s="32"/>
      <c r="I1496" s="32"/>
      <c r="J1496" s="32"/>
      <c r="K1496" s="33"/>
      <c r="L1496" s="32"/>
      <c r="M1496" s="32"/>
      <c r="N1496" s="32"/>
      <c r="O1496" s="32"/>
      <c r="P1496" s="32"/>
      <c r="Q1496" s="34"/>
      <c r="R1496" s="35"/>
      <c r="S1496" s="35"/>
      <c r="T1496" s="36"/>
      <c r="U1496" s="36"/>
      <c r="V1496" s="36"/>
      <c r="W1496" s="36"/>
      <c r="X1496" s="36"/>
      <c r="Y1496" s="36"/>
    </row>
    <row r="1497">
      <c r="A1497" s="32"/>
      <c r="B1497" s="32"/>
      <c r="C1497" s="32"/>
      <c r="D1497" s="32"/>
      <c r="E1497" s="32"/>
      <c r="F1497" s="32"/>
      <c r="G1497" s="39"/>
      <c r="H1497" s="32"/>
      <c r="I1497" s="32"/>
      <c r="J1497" s="32"/>
      <c r="K1497" s="33"/>
      <c r="L1497" s="32"/>
      <c r="M1497" s="32"/>
      <c r="N1497" s="32"/>
      <c r="O1497" s="32"/>
      <c r="P1497" s="32"/>
      <c r="Q1497" s="34"/>
      <c r="R1497" s="35"/>
      <c r="S1497" s="35"/>
      <c r="T1497" s="36"/>
      <c r="U1497" s="36"/>
      <c r="V1497" s="36"/>
      <c r="W1497" s="36"/>
      <c r="X1497" s="36"/>
      <c r="Y1497" s="36"/>
    </row>
    <row r="1498">
      <c r="A1498" s="32"/>
      <c r="B1498" s="32"/>
      <c r="C1498" s="32"/>
      <c r="D1498" s="32"/>
      <c r="E1498" s="32"/>
      <c r="F1498" s="32"/>
      <c r="G1498" s="39"/>
      <c r="H1498" s="32"/>
      <c r="I1498" s="32"/>
      <c r="J1498" s="32"/>
      <c r="K1498" s="33"/>
      <c r="L1498" s="32"/>
      <c r="M1498" s="32"/>
      <c r="N1498" s="32"/>
      <c r="O1498" s="32"/>
      <c r="P1498" s="32"/>
      <c r="Q1498" s="34"/>
      <c r="R1498" s="35"/>
      <c r="S1498" s="35"/>
      <c r="T1498" s="36"/>
      <c r="U1498" s="36"/>
      <c r="V1498" s="36"/>
      <c r="W1498" s="36"/>
      <c r="X1498" s="36"/>
      <c r="Y1498" s="36"/>
    </row>
    <row r="1499">
      <c r="A1499" s="32"/>
      <c r="B1499" s="32"/>
      <c r="C1499" s="32"/>
      <c r="D1499" s="32"/>
      <c r="E1499" s="32"/>
      <c r="F1499" s="32"/>
      <c r="G1499" s="39"/>
      <c r="H1499" s="32"/>
      <c r="I1499" s="32"/>
      <c r="J1499" s="32"/>
      <c r="K1499" s="33"/>
      <c r="L1499" s="32"/>
      <c r="M1499" s="32"/>
      <c r="N1499" s="32"/>
      <c r="O1499" s="32"/>
      <c r="P1499" s="32"/>
      <c r="Q1499" s="34"/>
      <c r="R1499" s="35"/>
      <c r="S1499" s="35"/>
      <c r="T1499" s="36"/>
      <c r="U1499" s="36"/>
      <c r="V1499" s="36"/>
      <c r="W1499" s="36"/>
      <c r="X1499" s="36"/>
      <c r="Y1499" s="36"/>
    </row>
    <row r="1500">
      <c r="A1500" s="32"/>
      <c r="B1500" s="32"/>
      <c r="C1500" s="32"/>
      <c r="D1500" s="32"/>
      <c r="E1500" s="32"/>
      <c r="F1500" s="32"/>
      <c r="G1500" s="39"/>
      <c r="H1500" s="32"/>
      <c r="I1500" s="32"/>
      <c r="J1500" s="32"/>
      <c r="K1500" s="33"/>
      <c r="L1500" s="32"/>
      <c r="M1500" s="32"/>
      <c r="N1500" s="32"/>
      <c r="O1500" s="32"/>
      <c r="P1500" s="32"/>
      <c r="Q1500" s="34"/>
      <c r="R1500" s="35"/>
      <c r="S1500" s="35"/>
      <c r="T1500" s="36"/>
      <c r="U1500" s="36"/>
      <c r="V1500" s="36"/>
      <c r="W1500" s="36"/>
      <c r="X1500" s="36"/>
      <c r="Y1500" s="36"/>
    </row>
    <row r="1501">
      <c r="A1501" s="32"/>
      <c r="B1501" s="32"/>
      <c r="C1501" s="32"/>
      <c r="D1501" s="32"/>
      <c r="E1501" s="32"/>
      <c r="F1501" s="32"/>
      <c r="G1501" s="39"/>
      <c r="H1501" s="32"/>
      <c r="I1501" s="32"/>
      <c r="J1501" s="32"/>
      <c r="K1501" s="33"/>
      <c r="L1501" s="32"/>
      <c r="M1501" s="32"/>
      <c r="N1501" s="32"/>
      <c r="O1501" s="32"/>
      <c r="P1501" s="32"/>
      <c r="Q1501" s="34"/>
      <c r="R1501" s="35"/>
      <c r="S1501" s="35"/>
      <c r="T1501" s="36"/>
      <c r="U1501" s="36"/>
      <c r="V1501" s="36"/>
      <c r="W1501" s="36"/>
      <c r="X1501" s="36"/>
      <c r="Y1501" s="36"/>
    </row>
    <row r="1502">
      <c r="A1502" s="32"/>
      <c r="B1502" s="32"/>
      <c r="C1502" s="32"/>
      <c r="D1502" s="32"/>
      <c r="E1502" s="32"/>
      <c r="F1502" s="32"/>
      <c r="G1502" s="39"/>
      <c r="H1502" s="32"/>
      <c r="I1502" s="32"/>
      <c r="J1502" s="32"/>
      <c r="K1502" s="33"/>
      <c r="L1502" s="32"/>
      <c r="M1502" s="32"/>
      <c r="N1502" s="32"/>
      <c r="O1502" s="32"/>
      <c r="P1502" s="32"/>
      <c r="Q1502" s="34"/>
      <c r="R1502" s="35"/>
      <c r="S1502" s="35"/>
      <c r="T1502" s="36"/>
      <c r="U1502" s="36"/>
      <c r="V1502" s="36"/>
      <c r="W1502" s="36"/>
      <c r="X1502" s="36"/>
      <c r="Y1502" s="36"/>
    </row>
    <row r="1503">
      <c r="A1503" s="32"/>
      <c r="B1503" s="32"/>
      <c r="C1503" s="32"/>
      <c r="D1503" s="32"/>
      <c r="E1503" s="32"/>
      <c r="F1503" s="32"/>
      <c r="G1503" s="39"/>
      <c r="H1503" s="32"/>
      <c r="I1503" s="32"/>
      <c r="J1503" s="32"/>
      <c r="K1503" s="33"/>
      <c r="L1503" s="32"/>
      <c r="M1503" s="32"/>
      <c r="N1503" s="32"/>
      <c r="O1503" s="32"/>
      <c r="P1503" s="32"/>
      <c r="Q1503" s="34"/>
      <c r="R1503" s="35"/>
      <c r="S1503" s="35"/>
      <c r="T1503" s="36"/>
      <c r="U1503" s="36"/>
      <c r="V1503" s="36"/>
      <c r="W1503" s="36"/>
      <c r="X1503" s="36"/>
      <c r="Y1503" s="36"/>
    </row>
    <row r="1504">
      <c r="A1504" s="32"/>
      <c r="B1504" s="32"/>
      <c r="C1504" s="32"/>
      <c r="D1504" s="32"/>
      <c r="E1504" s="32"/>
      <c r="F1504" s="32"/>
      <c r="G1504" s="39"/>
      <c r="H1504" s="32"/>
      <c r="I1504" s="32"/>
      <c r="J1504" s="32"/>
      <c r="K1504" s="33"/>
      <c r="L1504" s="32"/>
      <c r="M1504" s="32"/>
      <c r="N1504" s="32"/>
      <c r="O1504" s="32"/>
      <c r="P1504" s="32"/>
      <c r="Q1504" s="34"/>
      <c r="R1504" s="35"/>
      <c r="S1504" s="35"/>
      <c r="T1504" s="36"/>
      <c r="U1504" s="36"/>
      <c r="V1504" s="36"/>
      <c r="W1504" s="36"/>
      <c r="X1504" s="36"/>
      <c r="Y1504" s="36"/>
    </row>
    <row r="1505">
      <c r="A1505" s="32"/>
      <c r="B1505" s="32"/>
      <c r="C1505" s="32"/>
      <c r="D1505" s="32"/>
      <c r="E1505" s="32"/>
      <c r="F1505" s="32"/>
      <c r="G1505" s="39"/>
      <c r="H1505" s="32"/>
      <c r="I1505" s="32"/>
      <c r="J1505" s="32"/>
      <c r="K1505" s="33"/>
      <c r="L1505" s="32"/>
      <c r="M1505" s="32"/>
      <c r="N1505" s="32"/>
      <c r="O1505" s="32"/>
      <c r="P1505" s="32"/>
      <c r="Q1505" s="34"/>
      <c r="R1505" s="35"/>
      <c r="S1505" s="35"/>
      <c r="T1505" s="36"/>
      <c r="U1505" s="36"/>
      <c r="V1505" s="36"/>
      <c r="W1505" s="36"/>
      <c r="X1505" s="36"/>
      <c r="Y1505" s="36"/>
    </row>
    <row r="1506">
      <c r="A1506" s="32"/>
      <c r="B1506" s="32"/>
      <c r="C1506" s="32"/>
      <c r="D1506" s="32"/>
      <c r="E1506" s="32"/>
      <c r="F1506" s="32"/>
      <c r="G1506" s="39"/>
      <c r="H1506" s="32"/>
      <c r="I1506" s="32"/>
      <c r="J1506" s="32"/>
      <c r="K1506" s="33"/>
      <c r="L1506" s="32"/>
      <c r="M1506" s="32"/>
      <c r="N1506" s="32"/>
      <c r="O1506" s="32"/>
      <c r="P1506" s="32"/>
      <c r="Q1506" s="34"/>
      <c r="R1506" s="35"/>
      <c r="S1506" s="35"/>
      <c r="T1506" s="36"/>
      <c r="U1506" s="36"/>
      <c r="V1506" s="36"/>
      <c r="W1506" s="36"/>
      <c r="X1506" s="36"/>
      <c r="Y1506" s="36"/>
    </row>
    <row r="1507">
      <c r="A1507" s="32"/>
      <c r="B1507" s="32"/>
      <c r="C1507" s="32"/>
      <c r="D1507" s="32"/>
      <c r="E1507" s="32"/>
      <c r="F1507" s="32"/>
      <c r="G1507" s="39"/>
      <c r="H1507" s="32"/>
      <c r="I1507" s="32"/>
      <c r="J1507" s="32"/>
      <c r="K1507" s="33"/>
      <c r="L1507" s="32"/>
      <c r="M1507" s="32"/>
      <c r="N1507" s="32"/>
      <c r="O1507" s="32"/>
      <c r="P1507" s="32"/>
      <c r="Q1507" s="34"/>
      <c r="R1507" s="35"/>
      <c r="S1507" s="35"/>
      <c r="T1507" s="36"/>
      <c r="U1507" s="36"/>
      <c r="V1507" s="36"/>
      <c r="W1507" s="36"/>
      <c r="X1507" s="36"/>
      <c r="Y1507" s="36"/>
    </row>
    <row r="1508">
      <c r="A1508" s="32"/>
      <c r="B1508" s="32"/>
      <c r="C1508" s="32"/>
      <c r="D1508" s="32"/>
      <c r="E1508" s="32"/>
      <c r="F1508" s="32"/>
      <c r="G1508" s="39"/>
      <c r="H1508" s="32"/>
      <c r="I1508" s="32"/>
      <c r="J1508" s="32"/>
      <c r="K1508" s="33"/>
      <c r="L1508" s="32"/>
      <c r="M1508" s="32"/>
      <c r="N1508" s="32"/>
      <c r="O1508" s="32"/>
      <c r="P1508" s="32"/>
      <c r="Q1508" s="34"/>
      <c r="R1508" s="35"/>
      <c r="S1508" s="35"/>
      <c r="T1508" s="36"/>
      <c r="U1508" s="36"/>
      <c r="V1508" s="36"/>
      <c r="W1508" s="36"/>
      <c r="X1508" s="36"/>
      <c r="Y1508" s="36"/>
    </row>
    <row r="1509">
      <c r="A1509" s="32"/>
      <c r="B1509" s="32"/>
      <c r="C1509" s="32"/>
      <c r="D1509" s="32"/>
      <c r="E1509" s="32"/>
      <c r="F1509" s="32"/>
      <c r="G1509" s="39"/>
      <c r="H1509" s="32"/>
      <c r="I1509" s="32"/>
      <c r="J1509" s="32"/>
      <c r="K1509" s="33"/>
      <c r="L1509" s="32"/>
      <c r="M1509" s="32"/>
      <c r="N1509" s="32"/>
      <c r="O1509" s="32"/>
      <c r="P1509" s="32"/>
      <c r="Q1509" s="34"/>
      <c r="R1509" s="35"/>
      <c r="S1509" s="35"/>
      <c r="T1509" s="36"/>
      <c r="U1509" s="36"/>
      <c r="V1509" s="36"/>
      <c r="W1509" s="36"/>
      <c r="X1509" s="36"/>
      <c r="Y1509" s="36"/>
    </row>
    <row r="1510">
      <c r="A1510" s="32"/>
      <c r="B1510" s="32"/>
      <c r="C1510" s="32"/>
      <c r="D1510" s="32"/>
      <c r="E1510" s="32"/>
      <c r="F1510" s="32"/>
      <c r="G1510" s="39"/>
      <c r="H1510" s="32"/>
      <c r="I1510" s="32"/>
      <c r="J1510" s="32"/>
      <c r="K1510" s="33"/>
      <c r="L1510" s="32"/>
      <c r="M1510" s="32"/>
      <c r="N1510" s="32"/>
      <c r="O1510" s="32"/>
      <c r="P1510" s="32"/>
      <c r="Q1510" s="34"/>
      <c r="R1510" s="35"/>
      <c r="S1510" s="35"/>
      <c r="T1510" s="36"/>
      <c r="U1510" s="36"/>
      <c r="V1510" s="36"/>
      <c r="W1510" s="36"/>
      <c r="X1510" s="36"/>
      <c r="Y1510" s="36"/>
    </row>
    <row r="1511">
      <c r="A1511" s="32"/>
      <c r="B1511" s="32"/>
      <c r="C1511" s="32"/>
      <c r="D1511" s="32"/>
      <c r="E1511" s="32"/>
      <c r="F1511" s="32"/>
      <c r="G1511" s="39"/>
      <c r="H1511" s="32"/>
      <c r="I1511" s="32"/>
      <c r="J1511" s="32"/>
      <c r="K1511" s="33"/>
      <c r="L1511" s="32"/>
      <c r="M1511" s="32"/>
      <c r="N1511" s="32"/>
      <c r="O1511" s="32"/>
      <c r="P1511" s="32"/>
      <c r="Q1511" s="34"/>
      <c r="R1511" s="35"/>
      <c r="S1511" s="35"/>
      <c r="T1511" s="36"/>
      <c r="U1511" s="36"/>
      <c r="V1511" s="36"/>
      <c r="W1511" s="36"/>
      <c r="X1511" s="36"/>
      <c r="Y1511" s="36"/>
    </row>
    <row r="1512">
      <c r="A1512" s="32"/>
      <c r="B1512" s="32"/>
      <c r="C1512" s="32"/>
      <c r="D1512" s="32"/>
      <c r="E1512" s="32"/>
      <c r="F1512" s="32"/>
      <c r="G1512" s="39"/>
      <c r="H1512" s="32"/>
      <c r="I1512" s="32"/>
      <c r="J1512" s="32"/>
      <c r="K1512" s="33"/>
      <c r="L1512" s="32"/>
      <c r="M1512" s="32"/>
      <c r="N1512" s="32"/>
      <c r="O1512" s="32"/>
      <c r="P1512" s="32"/>
      <c r="Q1512" s="34"/>
      <c r="R1512" s="35"/>
      <c r="S1512" s="35"/>
      <c r="T1512" s="36"/>
      <c r="U1512" s="36"/>
      <c r="V1512" s="36"/>
      <c r="W1512" s="36"/>
      <c r="X1512" s="36"/>
      <c r="Y1512" s="36"/>
    </row>
    <row r="1513">
      <c r="A1513" s="32"/>
      <c r="B1513" s="32"/>
      <c r="C1513" s="32"/>
      <c r="D1513" s="32"/>
      <c r="E1513" s="32"/>
      <c r="F1513" s="32"/>
      <c r="G1513" s="39"/>
      <c r="H1513" s="32"/>
      <c r="I1513" s="32"/>
      <c r="J1513" s="32"/>
      <c r="K1513" s="33"/>
      <c r="L1513" s="32"/>
      <c r="M1513" s="32"/>
      <c r="N1513" s="32"/>
      <c r="O1513" s="32"/>
      <c r="P1513" s="32"/>
      <c r="Q1513" s="34"/>
      <c r="R1513" s="35"/>
      <c r="S1513" s="35"/>
      <c r="T1513" s="36"/>
      <c r="U1513" s="36"/>
      <c r="V1513" s="36"/>
      <c r="W1513" s="36"/>
      <c r="X1513" s="36"/>
      <c r="Y1513" s="36"/>
    </row>
    <row r="1514">
      <c r="A1514" s="32"/>
      <c r="B1514" s="32"/>
      <c r="C1514" s="32"/>
      <c r="D1514" s="32"/>
      <c r="E1514" s="32"/>
      <c r="F1514" s="32"/>
      <c r="G1514" s="39"/>
      <c r="H1514" s="32"/>
      <c r="I1514" s="32"/>
      <c r="J1514" s="32"/>
      <c r="K1514" s="33"/>
      <c r="L1514" s="32"/>
      <c r="M1514" s="32"/>
      <c r="N1514" s="32"/>
      <c r="O1514" s="32"/>
      <c r="P1514" s="32"/>
      <c r="Q1514" s="34"/>
      <c r="R1514" s="35"/>
      <c r="S1514" s="35"/>
      <c r="T1514" s="36"/>
      <c r="U1514" s="36"/>
      <c r="V1514" s="36"/>
      <c r="W1514" s="36"/>
      <c r="X1514" s="36"/>
      <c r="Y1514" s="36"/>
    </row>
    <row r="1515">
      <c r="A1515" s="32"/>
      <c r="B1515" s="32"/>
      <c r="C1515" s="32"/>
      <c r="D1515" s="32"/>
      <c r="E1515" s="32"/>
      <c r="F1515" s="32"/>
      <c r="G1515" s="39"/>
      <c r="H1515" s="32"/>
      <c r="I1515" s="32"/>
      <c r="J1515" s="32"/>
      <c r="K1515" s="33"/>
      <c r="L1515" s="32"/>
      <c r="M1515" s="32"/>
      <c r="N1515" s="32"/>
      <c r="O1515" s="32"/>
      <c r="P1515" s="32"/>
      <c r="Q1515" s="34"/>
      <c r="R1515" s="35"/>
      <c r="S1515" s="35"/>
      <c r="T1515" s="36"/>
      <c r="U1515" s="36"/>
      <c r="V1515" s="36"/>
      <c r="W1515" s="36"/>
      <c r="X1515" s="36"/>
      <c r="Y1515" s="36"/>
    </row>
    <row r="1516">
      <c r="A1516" s="32"/>
      <c r="B1516" s="32"/>
      <c r="C1516" s="32"/>
      <c r="D1516" s="32"/>
      <c r="E1516" s="32"/>
      <c r="F1516" s="32"/>
      <c r="G1516" s="39"/>
      <c r="H1516" s="32"/>
      <c r="I1516" s="32"/>
      <c r="J1516" s="32"/>
      <c r="K1516" s="33"/>
      <c r="L1516" s="32"/>
      <c r="M1516" s="32"/>
      <c r="N1516" s="32"/>
      <c r="O1516" s="32"/>
      <c r="P1516" s="32"/>
      <c r="Q1516" s="34"/>
      <c r="R1516" s="35"/>
      <c r="S1516" s="35"/>
      <c r="T1516" s="36"/>
      <c r="U1516" s="36"/>
      <c r="V1516" s="36"/>
      <c r="W1516" s="36"/>
      <c r="X1516" s="36"/>
      <c r="Y1516" s="36"/>
    </row>
    <row r="1517">
      <c r="A1517" s="32"/>
      <c r="B1517" s="32"/>
      <c r="C1517" s="32"/>
      <c r="D1517" s="32"/>
      <c r="E1517" s="32"/>
      <c r="F1517" s="32"/>
      <c r="G1517" s="39"/>
      <c r="H1517" s="32"/>
      <c r="I1517" s="32"/>
      <c r="J1517" s="32"/>
      <c r="K1517" s="33"/>
      <c r="L1517" s="32"/>
      <c r="M1517" s="32"/>
      <c r="N1517" s="32"/>
      <c r="O1517" s="32"/>
      <c r="P1517" s="32"/>
      <c r="Q1517" s="34"/>
      <c r="R1517" s="35"/>
      <c r="S1517" s="35"/>
      <c r="T1517" s="36"/>
      <c r="U1517" s="36"/>
      <c r="V1517" s="36"/>
      <c r="W1517" s="36"/>
      <c r="X1517" s="36"/>
      <c r="Y1517" s="36"/>
    </row>
    <row r="1518">
      <c r="A1518" s="32"/>
      <c r="B1518" s="32"/>
      <c r="C1518" s="32"/>
      <c r="D1518" s="32"/>
      <c r="E1518" s="32"/>
      <c r="F1518" s="32"/>
      <c r="G1518" s="39"/>
      <c r="H1518" s="32"/>
      <c r="I1518" s="32"/>
      <c r="J1518" s="32"/>
      <c r="K1518" s="33"/>
      <c r="L1518" s="32"/>
      <c r="M1518" s="32"/>
      <c r="N1518" s="32"/>
      <c r="O1518" s="32"/>
      <c r="P1518" s="32"/>
      <c r="Q1518" s="34"/>
      <c r="R1518" s="35"/>
      <c r="S1518" s="35"/>
      <c r="T1518" s="36"/>
      <c r="U1518" s="36"/>
      <c r="V1518" s="36"/>
      <c r="W1518" s="36"/>
      <c r="X1518" s="36"/>
      <c r="Y1518" s="36"/>
    </row>
    <row r="1519">
      <c r="A1519" s="32"/>
      <c r="B1519" s="32"/>
      <c r="C1519" s="32"/>
      <c r="D1519" s="32"/>
      <c r="E1519" s="32"/>
      <c r="F1519" s="32"/>
      <c r="G1519" s="39"/>
      <c r="H1519" s="32"/>
      <c r="I1519" s="32"/>
      <c r="J1519" s="32"/>
      <c r="K1519" s="33"/>
      <c r="L1519" s="32"/>
      <c r="M1519" s="32"/>
      <c r="N1519" s="32"/>
      <c r="O1519" s="32"/>
      <c r="P1519" s="32"/>
      <c r="Q1519" s="34"/>
      <c r="R1519" s="35"/>
      <c r="S1519" s="35"/>
      <c r="T1519" s="36"/>
      <c r="U1519" s="36"/>
      <c r="V1519" s="36"/>
      <c r="W1519" s="36"/>
      <c r="X1519" s="36"/>
      <c r="Y1519" s="36"/>
    </row>
    <row r="1520">
      <c r="A1520" s="32"/>
      <c r="B1520" s="32"/>
      <c r="C1520" s="32"/>
      <c r="D1520" s="32"/>
      <c r="E1520" s="32"/>
      <c r="F1520" s="32"/>
      <c r="G1520" s="39"/>
      <c r="H1520" s="32"/>
      <c r="I1520" s="32"/>
      <c r="J1520" s="32"/>
      <c r="K1520" s="33"/>
      <c r="L1520" s="32"/>
      <c r="M1520" s="32"/>
      <c r="N1520" s="32"/>
      <c r="O1520" s="32"/>
      <c r="P1520" s="32"/>
      <c r="Q1520" s="34"/>
      <c r="R1520" s="35"/>
      <c r="S1520" s="35"/>
      <c r="T1520" s="36"/>
      <c r="U1520" s="36"/>
      <c r="V1520" s="36"/>
      <c r="W1520" s="36"/>
      <c r="X1520" s="36"/>
      <c r="Y1520" s="36"/>
    </row>
    <row r="1521">
      <c r="A1521" s="32"/>
      <c r="B1521" s="32"/>
      <c r="C1521" s="32"/>
      <c r="D1521" s="32"/>
      <c r="E1521" s="32"/>
      <c r="F1521" s="32"/>
      <c r="G1521" s="39"/>
      <c r="H1521" s="32"/>
      <c r="I1521" s="32"/>
      <c r="J1521" s="32"/>
      <c r="K1521" s="33"/>
      <c r="L1521" s="32"/>
      <c r="M1521" s="32"/>
      <c r="N1521" s="32"/>
      <c r="O1521" s="32"/>
      <c r="P1521" s="32"/>
      <c r="Q1521" s="34"/>
      <c r="R1521" s="35"/>
      <c r="S1521" s="35"/>
      <c r="T1521" s="36"/>
      <c r="U1521" s="36"/>
      <c r="V1521" s="36"/>
      <c r="W1521" s="36"/>
      <c r="X1521" s="36"/>
      <c r="Y1521" s="36"/>
    </row>
    <row r="1522">
      <c r="A1522" s="32"/>
      <c r="B1522" s="32"/>
      <c r="C1522" s="32"/>
      <c r="D1522" s="32"/>
      <c r="E1522" s="32"/>
      <c r="F1522" s="32"/>
      <c r="G1522" s="39"/>
      <c r="H1522" s="32"/>
      <c r="I1522" s="32"/>
      <c r="J1522" s="32"/>
      <c r="K1522" s="33"/>
      <c r="L1522" s="32"/>
      <c r="M1522" s="32"/>
      <c r="N1522" s="32"/>
      <c r="O1522" s="32"/>
      <c r="P1522" s="32"/>
      <c r="Q1522" s="34"/>
      <c r="R1522" s="35"/>
      <c r="S1522" s="35"/>
      <c r="T1522" s="36"/>
      <c r="U1522" s="36"/>
      <c r="V1522" s="36"/>
      <c r="W1522" s="36"/>
      <c r="X1522" s="36"/>
      <c r="Y1522" s="36"/>
    </row>
    <row r="1523">
      <c r="A1523" s="32"/>
      <c r="B1523" s="32"/>
      <c r="C1523" s="32"/>
      <c r="D1523" s="32"/>
      <c r="E1523" s="32"/>
      <c r="F1523" s="32"/>
      <c r="G1523" s="39"/>
      <c r="H1523" s="32"/>
      <c r="I1523" s="32"/>
      <c r="J1523" s="32"/>
      <c r="K1523" s="33"/>
      <c r="L1523" s="32"/>
      <c r="M1523" s="32"/>
      <c r="N1523" s="32"/>
      <c r="O1523" s="32"/>
      <c r="P1523" s="32"/>
      <c r="Q1523" s="34"/>
      <c r="R1523" s="35"/>
      <c r="S1523" s="35"/>
      <c r="T1523" s="36"/>
      <c r="U1523" s="36"/>
      <c r="V1523" s="36"/>
      <c r="W1523" s="36"/>
      <c r="X1523" s="36"/>
      <c r="Y1523" s="36"/>
    </row>
    <row r="1524">
      <c r="A1524" s="32"/>
      <c r="B1524" s="32"/>
      <c r="C1524" s="32"/>
      <c r="D1524" s="32"/>
      <c r="E1524" s="32"/>
      <c r="F1524" s="32"/>
      <c r="G1524" s="39"/>
      <c r="H1524" s="32"/>
      <c r="I1524" s="32"/>
      <c r="J1524" s="32"/>
      <c r="K1524" s="33"/>
      <c r="L1524" s="32"/>
      <c r="M1524" s="32"/>
      <c r="N1524" s="32"/>
      <c r="O1524" s="32"/>
      <c r="P1524" s="32"/>
      <c r="Q1524" s="34"/>
      <c r="R1524" s="35"/>
      <c r="S1524" s="35"/>
      <c r="T1524" s="36"/>
      <c r="U1524" s="36"/>
      <c r="V1524" s="36"/>
      <c r="W1524" s="36"/>
      <c r="X1524" s="36"/>
      <c r="Y1524" s="36"/>
    </row>
    <row r="1525">
      <c r="A1525" s="32"/>
      <c r="B1525" s="32"/>
      <c r="C1525" s="32"/>
      <c r="D1525" s="32"/>
      <c r="E1525" s="32"/>
      <c r="F1525" s="32"/>
      <c r="G1525" s="39"/>
      <c r="H1525" s="32"/>
      <c r="I1525" s="32"/>
      <c r="J1525" s="32"/>
      <c r="K1525" s="33"/>
      <c r="L1525" s="32"/>
      <c r="M1525" s="32"/>
      <c r="N1525" s="32"/>
      <c r="O1525" s="32"/>
      <c r="P1525" s="32"/>
      <c r="Q1525" s="34"/>
      <c r="R1525" s="35"/>
      <c r="S1525" s="35"/>
      <c r="T1525" s="36"/>
      <c r="U1525" s="36"/>
      <c r="V1525" s="36"/>
      <c r="W1525" s="36"/>
      <c r="X1525" s="36"/>
      <c r="Y1525" s="36"/>
    </row>
    <row r="1526">
      <c r="A1526" s="32"/>
      <c r="B1526" s="32"/>
      <c r="C1526" s="32"/>
      <c r="D1526" s="32"/>
      <c r="E1526" s="32"/>
      <c r="F1526" s="32"/>
      <c r="G1526" s="39"/>
      <c r="H1526" s="32"/>
      <c r="I1526" s="32"/>
      <c r="J1526" s="32"/>
      <c r="K1526" s="33"/>
      <c r="L1526" s="32"/>
      <c r="M1526" s="32"/>
      <c r="N1526" s="32"/>
      <c r="O1526" s="32"/>
      <c r="P1526" s="32"/>
      <c r="Q1526" s="34"/>
      <c r="R1526" s="35"/>
      <c r="S1526" s="35"/>
      <c r="T1526" s="36"/>
      <c r="U1526" s="36"/>
      <c r="V1526" s="36"/>
      <c r="W1526" s="36"/>
      <c r="X1526" s="36"/>
      <c r="Y1526" s="36"/>
    </row>
    <row r="1527">
      <c r="A1527" s="32"/>
      <c r="B1527" s="32"/>
      <c r="C1527" s="32"/>
      <c r="D1527" s="32"/>
      <c r="E1527" s="32"/>
      <c r="F1527" s="32"/>
      <c r="G1527" s="39"/>
      <c r="H1527" s="32"/>
      <c r="I1527" s="32"/>
      <c r="J1527" s="32"/>
      <c r="K1527" s="33"/>
      <c r="L1527" s="32"/>
      <c r="M1527" s="32"/>
      <c r="N1527" s="32"/>
      <c r="O1527" s="32"/>
      <c r="P1527" s="32"/>
      <c r="Q1527" s="34"/>
      <c r="R1527" s="35"/>
      <c r="S1527" s="35"/>
      <c r="T1527" s="36"/>
      <c r="U1527" s="36"/>
      <c r="V1527" s="36"/>
      <c r="W1527" s="36"/>
      <c r="X1527" s="36"/>
      <c r="Y1527" s="36"/>
    </row>
    <row r="1528">
      <c r="A1528" s="32"/>
      <c r="B1528" s="32"/>
      <c r="C1528" s="32"/>
      <c r="D1528" s="32"/>
      <c r="E1528" s="32"/>
      <c r="F1528" s="32"/>
      <c r="G1528" s="39"/>
      <c r="H1528" s="32"/>
      <c r="I1528" s="32"/>
      <c r="J1528" s="32"/>
      <c r="K1528" s="33"/>
      <c r="L1528" s="32"/>
      <c r="M1528" s="32"/>
      <c r="N1528" s="32"/>
      <c r="O1528" s="32"/>
      <c r="P1528" s="32"/>
      <c r="Q1528" s="34"/>
      <c r="R1528" s="35"/>
      <c r="S1528" s="35"/>
      <c r="T1528" s="36"/>
      <c r="U1528" s="36"/>
      <c r="V1528" s="36"/>
      <c r="W1528" s="36"/>
      <c r="X1528" s="36"/>
      <c r="Y1528" s="36"/>
    </row>
    <row r="1529">
      <c r="A1529" s="32"/>
      <c r="B1529" s="32"/>
      <c r="C1529" s="32"/>
      <c r="D1529" s="32"/>
      <c r="E1529" s="32"/>
      <c r="F1529" s="32"/>
      <c r="G1529" s="39"/>
      <c r="H1529" s="32"/>
      <c r="I1529" s="32"/>
      <c r="J1529" s="32"/>
      <c r="K1529" s="33"/>
      <c r="L1529" s="32"/>
      <c r="M1529" s="32"/>
      <c r="N1529" s="32"/>
      <c r="O1529" s="32"/>
      <c r="P1529" s="32"/>
      <c r="Q1529" s="34"/>
      <c r="R1529" s="35"/>
      <c r="S1529" s="35"/>
      <c r="T1529" s="36"/>
      <c r="U1529" s="36"/>
      <c r="V1529" s="36"/>
      <c r="W1529" s="36"/>
      <c r="X1529" s="36"/>
      <c r="Y1529" s="36"/>
    </row>
    <row r="1530">
      <c r="A1530" s="32"/>
      <c r="B1530" s="32"/>
      <c r="C1530" s="32"/>
      <c r="D1530" s="32"/>
      <c r="E1530" s="32"/>
      <c r="F1530" s="32"/>
      <c r="G1530" s="39"/>
      <c r="H1530" s="32"/>
      <c r="I1530" s="32"/>
      <c r="J1530" s="32"/>
      <c r="K1530" s="33"/>
      <c r="L1530" s="32"/>
      <c r="M1530" s="32"/>
      <c r="N1530" s="32"/>
      <c r="O1530" s="32"/>
      <c r="P1530" s="32"/>
      <c r="Q1530" s="34"/>
      <c r="R1530" s="35"/>
      <c r="S1530" s="35"/>
      <c r="T1530" s="36"/>
      <c r="U1530" s="36"/>
      <c r="V1530" s="36"/>
      <c r="W1530" s="36"/>
      <c r="X1530" s="36"/>
      <c r="Y1530" s="36"/>
    </row>
    <row r="1531">
      <c r="A1531" s="32"/>
      <c r="B1531" s="32"/>
      <c r="C1531" s="32"/>
      <c r="D1531" s="32"/>
      <c r="E1531" s="32"/>
      <c r="F1531" s="32"/>
      <c r="G1531" s="39"/>
      <c r="H1531" s="32"/>
      <c r="I1531" s="32"/>
      <c r="J1531" s="32"/>
      <c r="K1531" s="33"/>
      <c r="L1531" s="32"/>
      <c r="M1531" s="32"/>
      <c r="N1531" s="32"/>
      <c r="O1531" s="32"/>
      <c r="P1531" s="32"/>
      <c r="Q1531" s="34"/>
      <c r="R1531" s="35"/>
      <c r="S1531" s="35"/>
      <c r="T1531" s="36"/>
      <c r="U1531" s="36"/>
      <c r="V1531" s="36"/>
      <c r="W1531" s="36"/>
      <c r="X1531" s="36"/>
      <c r="Y1531" s="36"/>
    </row>
    <row r="1532">
      <c r="A1532" s="32"/>
      <c r="B1532" s="32"/>
      <c r="C1532" s="32"/>
      <c r="D1532" s="32"/>
      <c r="E1532" s="32"/>
      <c r="F1532" s="32"/>
      <c r="G1532" s="39"/>
      <c r="H1532" s="32"/>
      <c r="I1532" s="32"/>
      <c r="J1532" s="32"/>
      <c r="K1532" s="33"/>
      <c r="L1532" s="32"/>
      <c r="M1532" s="32"/>
      <c r="N1532" s="32"/>
      <c r="O1532" s="32"/>
      <c r="P1532" s="32"/>
      <c r="Q1532" s="34"/>
      <c r="R1532" s="35"/>
      <c r="S1532" s="35"/>
      <c r="T1532" s="36"/>
      <c r="U1532" s="36"/>
      <c r="V1532" s="36"/>
      <c r="W1532" s="36"/>
      <c r="X1532" s="36"/>
      <c r="Y1532" s="36"/>
    </row>
    <row r="1533">
      <c r="A1533" s="32"/>
      <c r="B1533" s="32"/>
      <c r="C1533" s="32"/>
      <c r="D1533" s="32"/>
      <c r="E1533" s="32"/>
      <c r="F1533" s="32"/>
      <c r="G1533" s="39"/>
      <c r="H1533" s="32"/>
      <c r="I1533" s="32"/>
      <c r="J1533" s="32"/>
      <c r="K1533" s="33"/>
      <c r="L1533" s="32"/>
      <c r="M1533" s="32"/>
      <c r="N1533" s="32"/>
      <c r="O1533" s="32"/>
      <c r="P1533" s="32"/>
      <c r="Q1533" s="34"/>
      <c r="R1533" s="35"/>
      <c r="S1533" s="35"/>
      <c r="T1533" s="36"/>
      <c r="U1533" s="36"/>
      <c r="V1533" s="36"/>
      <c r="W1533" s="36"/>
      <c r="X1533" s="36"/>
      <c r="Y1533" s="36"/>
    </row>
    <row r="1534">
      <c r="A1534" s="32"/>
      <c r="B1534" s="32"/>
      <c r="C1534" s="32"/>
      <c r="D1534" s="32"/>
      <c r="E1534" s="32"/>
      <c r="F1534" s="32"/>
      <c r="G1534" s="39"/>
      <c r="H1534" s="32"/>
      <c r="I1534" s="32"/>
      <c r="J1534" s="32"/>
      <c r="K1534" s="33"/>
      <c r="L1534" s="32"/>
      <c r="M1534" s="32"/>
      <c r="N1534" s="32"/>
      <c r="O1534" s="32"/>
      <c r="P1534" s="32"/>
      <c r="Q1534" s="34"/>
      <c r="R1534" s="35"/>
      <c r="S1534" s="35"/>
      <c r="T1534" s="36"/>
      <c r="U1534" s="36"/>
      <c r="V1534" s="36"/>
      <c r="W1534" s="36"/>
      <c r="X1534" s="36"/>
      <c r="Y1534" s="36"/>
    </row>
    <row r="1535">
      <c r="A1535" s="32"/>
      <c r="B1535" s="32"/>
      <c r="C1535" s="32"/>
      <c r="D1535" s="32"/>
      <c r="E1535" s="32"/>
      <c r="F1535" s="32"/>
      <c r="G1535" s="39"/>
      <c r="H1535" s="32"/>
      <c r="I1535" s="32"/>
      <c r="J1535" s="32"/>
      <c r="K1535" s="33"/>
      <c r="L1535" s="32"/>
      <c r="M1535" s="32"/>
      <c r="N1535" s="32"/>
      <c r="O1535" s="32"/>
      <c r="P1535" s="32"/>
      <c r="Q1535" s="34"/>
      <c r="R1535" s="35"/>
      <c r="S1535" s="35"/>
      <c r="T1535" s="36"/>
      <c r="U1535" s="36"/>
      <c r="V1535" s="36"/>
      <c r="W1535" s="36"/>
      <c r="X1535" s="36"/>
      <c r="Y1535" s="36"/>
    </row>
    <row r="1536">
      <c r="A1536" s="32"/>
      <c r="B1536" s="32"/>
      <c r="C1536" s="32"/>
      <c r="D1536" s="32"/>
      <c r="E1536" s="32"/>
      <c r="F1536" s="32"/>
      <c r="G1536" s="39"/>
      <c r="H1536" s="32"/>
      <c r="I1536" s="32"/>
      <c r="J1536" s="32"/>
      <c r="K1536" s="33"/>
      <c r="L1536" s="32"/>
      <c r="M1536" s="32"/>
      <c r="N1536" s="32"/>
      <c r="O1536" s="32"/>
      <c r="P1536" s="32"/>
      <c r="Q1536" s="34"/>
      <c r="R1536" s="35"/>
      <c r="S1536" s="35"/>
      <c r="T1536" s="36"/>
      <c r="U1536" s="36"/>
      <c r="V1536" s="36"/>
      <c r="W1536" s="36"/>
      <c r="X1536" s="36"/>
      <c r="Y1536" s="36"/>
    </row>
    <row r="1537">
      <c r="A1537" s="32"/>
      <c r="B1537" s="32"/>
      <c r="C1537" s="32"/>
      <c r="D1537" s="32"/>
      <c r="E1537" s="32"/>
      <c r="F1537" s="32"/>
      <c r="G1537" s="39"/>
      <c r="H1537" s="32"/>
      <c r="I1537" s="32"/>
      <c r="J1537" s="32"/>
      <c r="K1537" s="33"/>
      <c r="L1537" s="32"/>
      <c r="M1537" s="32"/>
      <c r="N1537" s="32"/>
      <c r="O1537" s="32"/>
      <c r="P1537" s="32"/>
      <c r="Q1537" s="34"/>
      <c r="R1537" s="35"/>
      <c r="S1537" s="35"/>
      <c r="T1537" s="36"/>
      <c r="U1537" s="36"/>
      <c r="V1537" s="36"/>
      <c r="W1537" s="36"/>
      <c r="X1537" s="36"/>
      <c r="Y1537" s="36"/>
    </row>
    <row r="1538">
      <c r="A1538" s="32"/>
      <c r="B1538" s="32"/>
      <c r="C1538" s="32"/>
      <c r="D1538" s="32"/>
      <c r="E1538" s="32"/>
      <c r="F1538" s="32"/>
      <c r="G1538" s="39"/>
      <c r="H1538" s="32"/>
      <c r="I1538" s="32"/>
      <c r="J1538" s="32"/>
      <c r="K1538" s="33"/>
      <c r="L1538" s="32"/>
      <c r="M1538" s="32"/>
      <c r="N1538" s="32"/>
      <c r="O1538" s="32"/>
      <c r="P1538" s="32"/>
      <c r="Q1538" s="34"/>
      <c r="R1538" s="35"/>
      <c r="S1538" s="35"/>
      <c r="T1538" s="36"/>
      <c r="U1538" s="36"/>
      <c r="V1538" s="36"/>
      <c r="W1538" s="36"/>
      <c r="X1538" s="36"/>
      <c r="Y1538" s="36"/>
    </row>
    <row r="1539">
      <c r="A1539" s="32"/>
      <c r="B1539" s="32"/>
      <c r="C1539" s="32"/>
      <c r="D1539" s="32"/>
      <c r="E1539" s="32"/>
      <c r="F1539" s="32"/>
      <c r="G1539" s="39"/>
      <c r="H1539" s="32"/>
      <c r="I1539" s="32"/>
      <c r="J1539" s="32"/>
      <c r="K1539" s="33"/>
      <c r="L1539" s="32"/>
      <c r="M1539" s="32"/>
      <c r="N1539" s="32"/>
      <c r="O1539" s="32"/>
      <c r="P1539" s="32"/>
      <c r="Q1539" s="34"/>
      <c r="R1539" s="35"/>
      <c r="S1539" s="35"/>
      <c r="T1539" s="36"/>
      <c r="U1539" s="36"/>
      <c r="V1539" s="36"/>
      <c r="W1539" s="36"/>
      <c r="X1539" s="36"/>
      <c r="Y1539" s="36"/>
    </row>
    <row r="1540">
      <c r="A1540" s="32"/>
      <c r="B1540" s="32"/>
      <c r="C1540" s="32"/>
      <c r="D1540" s="32"/>
      <c r="E1540" s="32"/>
      <c r="F1540" s="32"/>
      <c r="G1540" s="39"/>
      <c r="H1540" s="32"/>
      <c r="I1540" s="32"/>
      <c r="J1540" s="32"/>
      <c r="K1540" s="33"/>
      <c r="L1540" s="32"/>
      <c r="M1540" s="32"/>
      <c r="N1540" s="32"/>
      <c r="O1540" s="32"/>
      <c r="P1540" s="32"/>
      <c r="Q1540" s="34"/>
      <c r="R1540" s="35"/>
      <c r="S1540" s="35"/>
      <c r="T1540" s="36"/>
      <c r="U1540" s="36"/>
      <c r="V1540" s="36"/>
      <c r="W1540" s="36"/>
      <c r="X1540" s="36"/>
      <c r="Y1540" s="36"/>
    </row>
    <row r="1541">
      <c r="A1541" s="32"/>
      <c r="B1541" s="32"/>
      <c r="C1541" s="32"/>
      <c r="D1541" s="32"/>
      <c r="E1541" s="32"/>
      <c r="F1541" s="32"/>
      <c r="G1541" s="39"/>
      <c r="H1541" s="32"/>
      <c r="I1541" s="32"/>
      <c r="J1541" s="32"/>
      <c r="K1541" s="33"/>
      <c r="L1541" s="32"/>
      <c r="M1541" s="32"/>
      <c r="N1541" s="32"/>
      <c r="O1541" s="32"/>
      <c r="P1541" s="32"/>
      <c r="Q1541" s="34"/>
      <c r="R1541" s="35"/>
      <c r="S1541" s="35"/>
      <c r="T1541" s="36"/>
      <c r="U1541" s="36"/>
      <c r="V1541" s="36"/>
      <c r="W1541" s="36"/>
      <c r="X1541" s="36"/>
      <c r="Y1541" s="36"/>
    </row>
    <row r="1542">
      <c r="A1542" s="32"/>
      <c r="B1542" s="32"/>
      <c r="C1542" s="32"/>
      <c r="D1542" s="32"/>
      <c r="E1542" s="32"/>
      <c r="F1542" s="32"/>
      <c r="G1542" s="39"/>
      <c r="H1542" s="32"/>
      <c r="I1542" s="32"/>
      <c r="J1542" s="32"/>
      <c r="K1542" s="33"/>
      <c r="L1542" s="32"/>
      <c r="M1542" s="32"/>
      <c r="N1542" s="32"/>
      <c r="O1542" s="32"/>
      <c r="P1542" s="32"/>
      <c r="Q1542" s="34"/>
      <c r="R1542" s="35"/>
      <c r="S1542" s="35"/>
      <c r="T1542" s="36"/>
      <c r="U1542" s="36"/>
      <c r="V1542" s="36"/>
      <c r="W1542" s="36"/>
      <c r="X1542" s="36"/>
      <c r="Y1542" s="36"/>
    </row>
    <row r="1543">
      <c r="A1543" s="32"/>
      <c r="B1543" s="32"/>
      <c r="C1543" s="32"/>
      <c r="D1543" s="32"/>
      <c r="E1543" s="32"/>
      <c r="F1543" s="32"/>
      <c r="G1543" s="39"/>
      <c r="H1543" s="32"/>
      <c r="I1543" s="32"/>
      <c r="J1543" s="32"/>
      <c r="K1543" s="33"/>
      <c r="L1543" s="32"/>
      <c r="M1543" s="32"/>
      <c r="N1543" s="32"/>
      <c r="O1543" s="32"/>
      <c r="P1543" s="32"/>
      <c r="Q1543" s="34"/>
      <c r="R1543" s="35"/>
      <c r="S1543" s="35"/>
      <c r="T1543" s="36"/>
      <c r="U1543" s="36"/>
      <c r="V1543" s="36"/>
      <c r="W1543" s="36"/>
      <c r="X1543" s="36"/>
      <c r="Y1543" s="36"/>
    </row>
    <row r="1544">
      <c r="A1544" s="32"/>
      <c r="B1544" s="32"/>
      <c r="C1544" s="32"/>
      <c r="D1544" s="32"/>
      <c r="E1544" s="32"/>
      <c r="F1544" s="32"/>
      <c r="G1544" s="39"/>
      <c r="H1544" s="32"/>
      <c r="I1544" s="32"/>
      <c r="J1544" s="32"/>
      <c r="K1544" s="33"/>
      <c r="L1544" s="32"/>
      <c r="M1544" s="32"/>
      <c r="N1544" s="32"/>
      <c r="O1544" s="32"/>
      <c r="P1544" s="32"/>
      <c r="Q1544" s="34"/>
      <c r="R1544" s="35"/>
      <c r="S1544" s="35"/>
      <c r="T1544" s="36"/>
      <c r="U1544" s="36"/>
      <c r="V1544" s="36"/>
      <c r="W1544" s="36"/>
      <c r="X1544" s="36"/>
      <c r="Y1544" s="36"/>
    </row>
    <row r="1545">
      <c r="A1545" s="32"/>
      <c r="B1545" s="32"/>
      <c r="C1545" s="32"/>
      <c r="D1545" s="32"/>
      <c r="E1545" s="32"/>
      <c r="F1545" s="32"/>
      <c r="G1545" s="39"/>
      <c r="H1545" s="32"/>
      <c r="I1545" s="32"/>
      <c r="J1545" s="32"/>
      <c r="K1545" s="33"/>
      <c r="L1545" s="32"/>
      <c r="M1545" s="32"/>
      <c r="N1545" s="32"/>
      <c r="O1545" s="32"/>
      <c r="P1545" s="32"/>
      <c r="Q1545" s="34"/>
      <c r="R1545" s="35"/>
      <c r="S1545" s="35"/>
      <c r="T1545" s="36"/>
      <c r="U1545" s="36"/>
      <c r="V1545" s="36"/>
      <c r="W1545" s="36"/>
      <c r="X1545" s="36"/>
      <c r="Y1545" s="36"/>
    </row>
    <row r="1546">
      <c r="A1546" s="32"/>
      <c r="B1546" s="32"/>
      <c r="C1546" s="32"/>
      <c r="D1546" s="32"/>
      <c r="E1546" s="32"/>
      <c r="F1546" s="32"/>
      <c r="G1546" s="39"/>
      <c r="H1546" s="32"/>
      <c r="I1546" s="32"/>
      <c r="J1546" s="32"/>
      <c r="K1546" s="33"/>
      <c r="L1546" s="32"/>
      <c r="M1546" s="32"/>
      <c r="N1546" s="32"/>
      <c r="O1546" s="32"/>
      <c r="P1546" s="32"/>
      <c r="Q1546" s="34"/>
      <c r="R1546" s="35"/>
      <c r="S1546" s="35"/>
      <c r="T1546" s="36"/>
      <c r="U1546" s="36"/>
      <c r="V1546" s="36"/>
      <c r="W1546" s="36"/>
      <c r="X1546" s="36"/>
      <c r="Y1546" s="36"/>
    </row>
    <row r="1547">
      <c r="A1547" s="32"/>
      <c r="B1547" s="32"/>
      <c r="C1547" s="32"/>
      <c r="D1547" s="32"/>
      <c r="E1547" s="32"/>
      <c r="F1547" s="32"/>
      <c r="G1547" s="39"/>
      <c r="H1547" s="32"/>
      <c r="I1547" s="32"/>
      <c r="J1547" s="32"/>
      <c r="K1547" s="33"/>
      <c r="L1547" s="32"/>
      <c r="M1547" s="32"/>
      <c r="N1547" s="32"/>
      <c r="O1547" s="32"/>
      <c r="P1547" s="32"/>
      <c r="Q1547" s="34"/>
      <c r="R1547" s="35"/>
      <c r="S1547" s="35"/>
      <c r="T1547" s="36"/>
      <c r="U1547" s="36"/>
      <c r="V1547" s="36"/>
      <c r="W1547" s="36"/>
      <c r="X1547" s="36"/>
      <c r="Y1547" s="36"/>
    </row>
    <row r="1548">
      <c r="A1548" s="32"/>
      <c r="B1548" s="32"/>
      <c r="C1548" s="32"/>
      <c r="D1548" s="32"/>
      <c r="E1548" s="32"/>
      <c r="F1548" s="32"/>
      <c r="G1548" s="39"/>
      <c r="H1548" s="32"/>
      <c r="I1548" s="32"/>
      <c r="J1548" s="32"/>
      <c r="K1548" s="33"/>
      <c r="L1548" s="32"/>
      <c r="M1548" s="32"/>
      <c r="N1548" s="32"/>
      <c r="O1548" s="32"/>
      <c r="P1548" s="32"/>
      <c r="Q1548" s="34"/>
      <c r="R1548" s="35"/>
      <c r="S1548" s="35"/>
      <c r="T1548" s="36"/>
      <c r="U1548" s="36"/>
      <c r="V1548" s="36"/>
      <c r="W1548" s="36"/>
      <c r="X1548" s="36"/>
      <c r="Y1548" s="36"/>
    </row>
    <row r="1549">
      <c r="A1549" s="32"/>
      <c r="B1549" s="32"/>
      <c r="C1549" s="32"/>
      <c r="D1549" s="32"/>
      <c r="E1549" s="32"/>
      <c r="F1549" s="32"/>
      <c r="G1549" s="39"/>
      <c r="H1549" s="32"/>
      <c r="I1549" s="32"/>
      <c r="J1549" s="32"/>
      <c r="K1549" s="33"/>
      <c r="L1549" s="32"/>
      <c r="M1549" s="32"/>
      <c r="N1549" s="32"/>
      <c r="O1549" s="32"/>
      <c r="P1549" s="32"/>
      <c r="Q1549" s="34"/>
      <c r="R1549" s="35"/>
      <c r="S1549" s="35"/>
      <c r="T1549" s="36"/>
      <c r="U1549" s="36"/>
      <c r="V1549" s="36"/>
      <c r="W1549" s="36"/>
      <c r="X1549" s="36"/>
      <c r="Y1549" s="36"/>
    </row>
    <row r="1550">
      <c r="A1550" s="32"/>
      <c r="B1550" s="32"/>
      <c r="C1550" s="32"/>
      <c r="D1550" s="32"/>
      <c r="E1550" s="32"/>
      <c r="F1550" s="32"/>
      <c r="G1550" s="39"/>
      <c r="H1550" s="32"/>
      <c r="I1550" s="32"/>
      <c r="J1550" s="32"/>
      <c r="K1550" s="33"/>
      <c r="L1550" s="32"/>
      <c r="M1550" s="32"/>
      <c r="N1550" s="32"/>
      <c r="O1550" s="32"/>
      <c r="P1550" s="32"/>
      <c r="Q1550" s="34"/>
      <c r="R1550" s="35"/>
      <c r="S1550" s="35"/>
      <c r="T1550" s="36"/>
      <c r="U1550" s="36"/>
      <c r="V1550" s="36"/>
      <c r="W1550" s="36"/>
      <c r="X1550" s="36"/>
      <c r="Y1550" s="36"/>
    </row>
    <row r="1551">
      <c r="A1551" s="32"/>
      <c r="B1551" s="32"/>
      <c r="C1551" s="32"/>
      <c r="D1551" s="32"/>
      <c r="E1551" s="32"/>
      <c r="F1551" s="32"/>
      <c r="G1551" s="39"/>
      <c r="H1551" s="32"/>
      <c r="I1551" s="32"/>
      <c r="J1551" s="32"/>
      <c r="K1551" s="33"/>
      <c r="L1551" s="32"/>
      <c r="M1551" s="32"/>
      <c r="N1551" s="32"/>
      <c r="O1551" s="32"/>
      <c r="P1551" s="32"/>
      <c r="Q1551" s="34"/>
      <c r="R1551" s="35"/>
      <c r="S1551" s="35"/>
      <c r="T1551" s="36"/>
      <c r="U1551" s="36"/>
      <c r="V1551" s="36"/>
      <c r="W1551" s="36"/>
      <c r="X1551" s="36"/>
      <c r="Y1551" s="36"/>
    </row>
    <row r="1552">
      <c r="A1552" s="32"/>
      <c r="B1552" s="32"/>
      <c r="C1552" s="32"/>
      <c r="D1552" s="32"/>
      <c r="E1552" s="32"/>
      <c r="F1552" s="32"/>
      <c r="G1552" s="39"/>
      <c r="H1552" s="32"/>
      <c r="I1552" s="32"/>
      <c r="J1552" s="32"/>
      <c r="K1552" s="33"/>
      <c r="L1552" s="32"/>
      <c r="M1552" s="32"/>
      <c r="N1552" s="32"/>
      <c r="O1552" s="32"/>
      <c r="P1552" s="32"/>
      <c r="Q1552" s="34"/>
      <c r="R1552" s="35"/>
      <c r="S1552" s="35"/>
      <c r="T1552" s="36"/>
      <c r="U1552" s="36"/>
      <c r="V1552" s="36"/>
      <c r="W1552" s="36"/>
      <c r="X1552" s="36"/>
      <c r="Y1552" s="36"/>
    </row>
    <row r="1553">
      <c r="A1553" s="32"/>
      <c r="B1553" s="32"/>
      <c r="C1553" s="32"/>
      <c r="D1553" s="32"/>
      <c r="E1553" s="32"/>
      <c r="F1553" s="32"/>
      <c r="G1553" s="39"/>
      <c r="H1553" s="32"/>
      <c r="I1553" s="32"/>
      <c r="J1553" s="32"/>
      <c r="K1553" s="33"/>
      <c r="L1553" s="32"/>
      <c r="M1553" s="32"/>
      <c r="N1553" s="32"/>
      <c r="O1553" s="32"/>
      <c r="P1553" s="32"/>
      <c r="Q1553" s="34"/>
      <c r="R1553" s="35"/>
      <c r="S1553" s="35"/>
      <c r="T1553" s="36"/>
      <c r="U1553" s="36"/>
      <c r="V1553" s="36"/>
      <c r="W1553" s="36"/>
      <c r="X1553" s="36"/>
      <c r="Y1553" s="36"/>
    </row>
    <row r="1554">
      <c r="A1554" s="32"/>
      <c r="B1554" s="32"/>
      <c r="C1554" s="32"/>
      <c r="D1554" s="32"/>
      <c r="E1554" s="32"/>
      <c r="F1554" s="32"/>
      <c r="G1554" s="39"/>
      <c r="H1554" s="32"/>
      <c r="I1554" s="32"/>
      <c r="J1554" s="32"/>
      <c r="K1554" s="33"/>
      <c r="L1554" s="32"/>
      <c r="M1554" s="32"/>
      <c r="N1554" s="32"/>
      <c r="O1554" s="32"/>
      <c r="P1554" s="32"/>
      <c r="Q1554" s="34"/>
      <c r="R1554" s="35"/>
      <c r="S1554" s="35"/>
      <c r="T1554" s="36"/>
      <c r="U1554" s="36"/>
      <c r="V1554" s="36"/>
      <c r="W1554" s="36"/>
      <c r="X1554" s="36"/>
      <c r="Y1554" s="36"/>
    </row>
    <row r="1555">
      <c r="A1555" s="32"/>
      <c r="B1555" s="32"/>
      <c r="C1555" s="32"/>
      <c r="D1555" s="32"/>
      <c r="E1555" s="32"/>
      <c r="F1555" s="32"/>
      <c r="G1555" s="39"/>
      <c r="H1555" s="32"/>
      <c r="I1555" s="32"/>
      <c r="J1555" s="32"/>
      <c r="K1555" s="33"/>
      <c r="L1555" s="32"/>
      <c r="M1555" s="32"/>
      <c r="N1555" s="32"/>
      <c r="O1555" s="32"/>
      <c r="P1555" s="32"/>
      <c r="Q1555" s="34"/>
      <c r="R1555" s="35"/>
      <c r="S1555" s="35"/>
      <c r="T1555" s="36"/>
      <c r="U1555" s="36"/>
      <c r="V1555" s="36"/>
      <c r="W1555" s="36"/>
      <c r="X1555" s="36"/>
      <c r="Y1555" s="36"/>
    </row>
    <row r="1556">
      <c r="A1556" s="32"/>
      <c r="B1556" s="32"/>
      <c r="C1556" s="32"/>
      <c r="D1556" s="32"/>
      <c r="E1556" s="32"/>
      <c r="F1556" s="32"/>
      <c r="G1556" s="39"/>
      <c r="H1556" s="32"/>
      <c r="I1556" s="32"/>
      <c r="J1556" s="32"/>
      <c r="K1556" s="33"/>
      <c r="L1556" s="32"/>
      <c r="M1556" s="32"/>
      <c r="N1556" s="32"/>
      <c r="O1556" s="32"/>
      <c r="P1556" s="32"/>
      <c r="Q1556" s="34"/>
      <c r="R1556" s="35"/>
      <c r="S1556" s="35"/>
      <c r="T1556" s="36"/>
      <c r="U1556" s="36"/>
      <c r="V1556" s="36"/>
      <c r="W1556" s="36"/>
      <c r="X1556" s="36"/>
      <c r="Y1556" s="36"/>
    </row>
    <row r="1557">
      <c r="A1557" s="32"/>
      <c r="B1557" s="32"/>
      <c r="C1557" s="32"/>
      <c r="D1557" s="32"/>
      <c r="E1557" s="32"/>
      <c r="F1557" s="32"/>
      <c r="G1557" s="39"/>
      <c r="H1557" s="32"/>
      <c r="I1557" s="32"/>
      <c r="J1557" s="32"/>
      <c r="K1557" s="33"/>
      <c r="L1557" s="32"/>
      <c r="M1557" s="32"/>
      <c r="N1557" s="32"/>
      <c r="O1557" s="32"/>
      <c r="P1557" s="32"/>
      <c r="Q1557" s="34"/>
      <c r="R1557" s="35"/>
      <c r="S1557" s="35"/>
      <c r="T1557" s="36"/>
      <c r="U1557" s="36"/>
      <c r="V1557" s="36"/>
      <c r="W1557" s="36"/>
      <c r="X1557" s="36"/>
      <c r="Y1557" s="36"/>
    </row>
    <row r="1558">
      <c r="A1558" s="32"/>
      <c r="B1558" s="32"/>
      <c r="C1558" s="32"/>
      <c r="D1558" s="32"/>
      <c r="E1558" s="32"/>
      <c r="F1558" s="32"/>
      <c r="G1558" s="39"/>
      <c r="H1558" s="32"/>
      <c r="I1558" s="32"/>
      <c r="J1558" s="32"/>
      <c r="K1558" s="33"/>
      <c r="L1558" s="32"/>
      <c r="M1558" s="32"/>
      <c r="N1558" s="32"/>
      <c r="O1558" s="32"/>
      <c r="P1558" s="32"/>
      <c r="Q1558" s="34"/>
      <c r="R1558" s="35"/>
      <c r="S1558" s="35"/>
      <c r="T1558" s="36"/>
      <c r="U1558" s="36"/>
      <c r="V1558" s="36"/>
      <c r="W1558" s="36"/>
      <c r="X1558" s="36"/>
      <c r="Y1558" s="36"/>
    </row>
    <row r="1559">
      <c r="A1559" s="32"/>
      <c r="B1559" s="32"/>
      <c r="C1559" s="32"/>
      <c r="D1559" s="32"/>
      <c r="E1559" s="32"/>
      <c r="F1559" s="32"/>
      <c r="G1559" s="39"/>
      <c r="H1559" s="32"/>
      <c r="I1559" s="32"/>
      <c r="J1559" s="32"/>
      <c r="K1559" s="33"/>
      <c r="L1559" s="32"/>
      <c r="M1559" s="32"/>
      <c r="N1559" s="32"/>
      <c r="O1559" s="32"/>
      <c r="P1559" s="32"/>
      <c r="Q1559" s="34"/>
      <c r="R1559" s="35"/>
      <c r="S1559" s="35"/>
      <c r="T1559" s="36"/>
      <c r="U1559" s="36"/>
      <c r="V1559" s="36"/>
      <c r="W1559" s="36"/>
      <c r="X1559" s="36"/>
      <c r="Y1559" s="36"/>
    </row>
    <row r="1560">
      <c r="A1560" s="32"/>
      <c r="B1560" s="32"/>
      <c r="C1560" s="32"/>
      <c r="D1560" s="32"/>
      <c r="E1560" s="32"/>
      <c r="F1560" s="32"/>
      <c r="G1560" s="39"/>
      <c r="H1560" s="32"/>
      <c r="I1560" s="32"/>
      <c r="J1560" s="32"/>
      <c r="K1560" s="33"/>
      <c r="L1560" s="32"/>
      <c r="M1560" s="32"/>
      <c r="N1560" s="32"/>
      <c r="O1560" s="32"/>
      <c r="P1560" s="32"/>
      <c r="Q1560" s="34"/>
      <c r="R1560" s="35"/>
      <c r="S1560" s="35"/>
      <c r="T1560" s="36"/>
      <c r="U1560" s="36"/>
      <c r="V1560" s="36"/>
      <c r="W1560" s="36"/>
      <c r="X1560" s="36"/>
      <c r="Y1560" s="36"/>
    </row>
    <row r="1561">
      <c r="A1561" s="32"/>
      <c r="B1561" s="32"/>
      <c r="C1561" s="32"/>
      <c r="D1561" s="32"/>
      <c r="E1561" s="32"/>
      <c r="F1561" s="32"/>
      <c r="G1561" s="39"/>
      <c r="H1561" s="32"/>
      <c r="I1561" s="32"/>
      <c r="J1561" s="32"/>
      <c r="K1561" s="33"/>
      <c r="L1561" s="32"/>
      <c r="M1561" s="32"/>
      <c r="N1561" s="32"/>
      <c r="O1561" s="32"/>
      <c r="P1561" s="32"/>
      <c r="Q1561" s="34"/>
      <c r="R1561" s="35"/>
      <c r="S1561" s="35"/>
      <c r="T1561" s="36"/>
      <c r="U1561" s="36"/>
      <c r="V1561" s="36"/>
      <c r="W1561" s="36"/>
      <c r="X1561" s="36"/>
      <c r="Y1561" s="36"/>
    </row>
    <row r="1562">
      <c r="A1562" s="32"/>
      <c r="B1562" s="32"/>
      <c r="C1562" s="32"/>
      <c r="D1562" s="32"/>
      <c r="E1562" s="32"/>
      <c r="F1562" s="32"/>
      <c r="G1562" s="39"/>
      <c r="H1562" s="32"/>
      <c r="I1562" s="32"/>
      <c r="J1562" s="32"/>
      <c r="K1562" s="33"/>
      <c r="L1562" s="32"/>
      <c r="M1562" s="32"/>
      <c r="N1562" s="32"/>
      <c r="O1562" s="32"/>
      <c r="P1562" s="32"/>
      <c r="Q1562" s="34"/>
      <c r="R1562" s="35"/>
      <c r="S1562" s="35"/>
      <c r="T1562" s="36"/>
      <c r="U1562" s="36"/>
      <c r="V1562" s="36"/>
      <c r="W1562" s="36"/>
      <c r="X1562" s="36"/>
      <c r="Y1562" s="36"/>
    </row>
    <row r="1563">
      <c r="A1563" s="32"/>
      <c r="B1563" s="32"/>
      <c r="C1563" s="32"/>
      <c r="D1563" s="32"/>
      <c r="E1563" s="32"/>
      <c r="F1563" s="32"/>
      <c r="G1563" s="39"/>
      <c r="H1563" s="32"/>
      <c r="I1563" s="32"/>
      <c r="J1563" s="32"/>
      <c r="K1563" s="33"/>
      <c r="L1563" s="32"/>
      <c r="M1563" s="32"/>
      <c r="N1563" s="32"/>
      <c r="O1563" s="32"/>
      <c r="P1563" s="32"/>
      <c r="Q1563" s="34"/>
      <c r="R1563" s="35"/>
      <c r="S1563" s="35"/>
      <c r="T1563" s="36"/>
      <c r="U1563" s="36"/>
      <c r="V1563" s="36"/>
      <c r="W1563" s="36"/>
      <c r="X1563" s="36"/>
      <c r="Y1563" s="36"/>
    </row>
    <row r="1564">
      <c r="A1564" s="32"/>
      <c r="B1564" s="32"/>
      <c r="C1564" s="32"/>
      <c r="D1564" s="32"/>
      <c r="E1564" s="32"/>
      <c r="F1564" s="32"/>
      <c r="G1564" s="39"/>
      <c r="H1564" s="32"/>
      <c r="I1564" s="32"/>
      <c r="J1564" s="32"/>
      <c r="K1564" s="33"/>
      <c r="L1564" s="32"/>
      <c r="M1564" s="32"/>
      <c r="N1564" s="32"/>
      <c r="O1564" s="32"/>
      <c r="P1564" s="32"/>
      <c r="Q1564" s="34"/>
      <c r="R1564" s="35"/>
      <c r="S1564" s="35"/>
      <c r="T1564" s="36"/>
      <c r="U1564" s="36"/>
      <c r="V1564" s="36"/>
      <c r="W1564" s="36"/>
      <c r="X1564" s="36"/>
      <c r="Y1564" s="36"/>
    </row>
    <row r="1565">
      <c r="A1565" s="32"/>
      <c r="B1565" s="32"/>
      <c r="C1565" s="32"/>
      <c r="D1565" s="32"/>
      <c r="E1565" s="32"/>
      <c r="F1565" s="32"/>
      <c r="G1565" s="39"/>
      <c r="H1565" s="32"/>
      <c r="I1565" s="32"/>
      <c r="J1565" s="32"/>
      <c r="K1565" s="33"/>
      <c r="L1565" s="32"/>
      <c r="M1565" s="32"/>
      <c r="N1565" s="32"/>
      <c r="O1565" s="32"/>
      <c r="P1565" s="32"/>
      <c r="Q1565" s="34"/>
      <c r="R1565" s="35"/>
      <c r="S1565" s="35"/>
      <c r="T1565" s="36"/>
      <c r="U1565" s="36"/>
      <c r="V1565" s="36"/>
      <c r="W1565" s="36"/>
      <c r="X1565" s="36"/>
      <c r="Y1565" s="36"/>
    </row>
    <row r="1566">
      <c r="A1566" s="32"/>
      <c r="B1566" s="32"/>
      <c r="C1566" s="32"/>
      <c r="D1566" s="32"/>
      <c r="E1566" s="32"/>
      <c r="F1566" s="32"/>
      <c r="G1566" s="39"/>
      <c r="H1566" s="32"/>
      <c r="I1566" s="32"/>
      <c r="J1566" s="32"/>
      <c r="K1566" s="33"/>
      <c r="L1566" s="32"/>
      <c r="M1566" s="32"/>
      <c r="N1566" s="32"/>
      <c r="O1566" s="32"/>
      <c r="P1566" s="32"/>
      <c r="Q1566" s="34"/>
      <c r="R1566" s="35"/>
      <c r="S1566" s="35"/>
      <c r="T1566" s="36"/>
      <c r="U1566" s="36"/>
      <c r="V1566" s="36"/>
      <c r="W1566" s="36"/>
      <c r="X1566" s="36"/>
      <c r="Y1566" s="36"/>
    </row>
    <row r="1567">
      <c r="A1567" s="32"/>
      <c r="B1567" s="32"/>
      <c r="C1567" s="32"/>
      <c r="D1567" s="32"/>
      <c r="E1567" s="32"/>
      <c r="F1567" s="32"/>
      <c r="G1567" s="39"/>
      <c r="H1567" s="32"/>
      <c r="I1567" s="32"/>
      <c r="J1567" s="32"/>
      <c r="K1567" s="33"/>
      <c r="L1567" s="32"/>
      <c r="M1567" s="32"/>
      <c r="N1567" s="32"/>
      <c r="O1567" s="32"/>
      <c r="P1567" s="32"/>
      <c r="Q1567" s="34"/>
      <c r="R1567" s="35"/>
      <c r="S1567" s="35"/>
      <c r="T1567" s="36"/>
      <c r="U1567" s="36"/>
      <c r="V1567" s="36"/>
      <c r="W1567" s="36"/>
      <c r="X1567" s="36"/>
      <c r="Y1567" s="36"/>
    </row>
    <row r="1568">
      <c r="A1568" s="32"/>
      <c r="B1568" s="32"/>
      <c r="C1568" s="32"/>
      <c r="D1568" s="32"/>
      <c r="E1568" s="32"/>
      <c r="F1568" s="32"/>
      <c r="G1568" s="39"/>
      <c r="H1568" s="32"/>
      <c r="I1568" s="32"/>
      <c r="J1568" s="32"/>
      <c r="K1568" s="33"/>
      <c r="L1568" s="32"/>
      <c r="M1568" s="32"/>
      <c r="N1568" s="32"/>
      <c r="O1568" s="32"/>
      <c r="P1568" s="32"/>
      <c r="Q1568" s="34"/>
      <c r="R1568" s="35"/>
      <c r="S1568" s="35"/>
      <c r="T1568" s="36"/>
      <c r="U1568" s="36"/>
      <c r="V1568" s="36"/>
      <c r="W1568" s="36"/>
      <c r="X1568" s="36"/>
      <c r="Y1568" s="36"/>
    </row>
    <row r="1569">
      <c r="A1569" s="32"/>
      <c r="B1569" s="32"/>
      <c r="C1569" s="32"/>
      <c r="D1569" s="32"/>
      <c r="E1569" s="32"/>
      <c r="F1569" s="32"/>
      <c r="G1569" s="39"/>
      <c r="H1569" s="32"/>
      <c r="I1569" s="32"/>
      <c r="J1569" s="32"/>
      <c r="K1569" s="33"/>
      <c r="L1569" s="32"/>
      <c r="M1569" s="32"/>
      <c r="N1569" s="32"/>
      <c r="O1569" s="32"/>
      <c r="P1569" s="32"/>
      <c r="Q1569" s="34"/>
      <c r="R1569" s="35"/>
      <c r="S1569" s="35"/>
      <c r="T1569" s="36"/>
      <c r="U1569" s="36"/>
      <c r="V1569" s="36"/>
      <c r="W1569" s="36"/>
      <c r="X1569" s="36"/>
      <c r="Y1569" s="36"/>
    </row>
    <row r="1570">
      <c r="A1570" s="32"/>
      <c r="B1570" s="32"/>
      <c r="C1570" s="32"/>
      <c r="D1570" s="32"/>
      <c r="E1570" s="32"/>
      <c r="F1570" s="32"/>
      <c r="G1570" s="39"/>
      <c r="H1570" s="32"/>
      <c r="I1570" s="32"/>
      <c r="J1570" s="32"/>
      <c r="K1570" s="33"/>
      <c r="L1570" s="32"/>
      <c r="M1570" s="32"/>
      <c r="N1570" s="32"/>
      <c r="O1570" s="32"/>
      <c r="P1570" s="32"/>
      <c r="Q1570" s="34"/>
      <c r="R1570" s="35"/>
      <c r="S1570" s="35"/>
      <c r="T1570" s="36"/>
      <c r="U1570" s="36"/>
      <c r="V1570" s="36"/>
      <c r="W1570" s="36"/>
      <c r="X1570" s="36"/>
      <c r="Y1570" s="36"/>
    </row>
    <row r="1571">
      <c r="A1571" s="32"/>
      <c r="B1571" s="32"/>
      <c r="C1571" s="32"/>
      <c r="D1571" s="32"/>
      <c r="E1571" s="32"/>
      <c r="F1571" s="32"/>
      <c r="G1571" s="39"/>
      <c r="H1571" s="32"/>
      <c r="I1571" s="32"/>
      <c r="J1571" s="32"/>
      <c r="K1571" s="33"/>
      <c r="L1571" s="32"/>
      <c r="M1571" s="32"/>
      <c r="N1571" s="32"/>
      <c r="O1571" s="32"/>
      <c r="P1571" s="32"/>
      <c r="Q1571" s="34"/>
      <c r="R1571" s="35"/>
      <c r="S1571" s="35"/>
      <c r="T1571" s="36"/>
      <c r="U1571" s="36"/>
      <c r="V1571" s="36"/>
      <c r="W1571" s="36"/>
      <c r="X1571" s="36"/>
      <c r="Y1571" s="36"/>
    </row>
    <row r="1572">
      <c r="A1572" s="32"/>
      <c r="B1572" s="32"/>
      <c r="C1572" s="32"/>
      <c r="D1572" s="32"/>
      <c r="E1572" s="32"/>
      <c r="F1572" s="32"/>
      <c r="G1572" s="39"/>
      <c r="H1572" s="32"/>
      <c r="I1572" s="32"/>
      <c r="J1572" s="32"/>
      <c r="K1572" s="33"/>
      <c r="L1572" s="32"/>
      <c r="M1572" s="32"/>
      <c r="N1572" s="32"/>
      <c r="O1572" s="32"/>
      <c r="P1572" s="32"/>
      <c r="Q1572" s="34"/>
      <c r="R1572" s="35"/>
      <c r="S1572" s="35"/>
      <c r="T1572" s="36"/>
      <c r="U1572" s="36"/>
      <c r="V1572" s="36"/>
      <c r="W1572" s="36"/>
      <c r="X1572" s="36"/>
      <c r="Y1572" s="36"/>
    </row>
    <row r="1573">
      <c r="A1573" s="32"/>
      <c r="B1573" s="32"/>
      <c r="C1573" s="32"/>
      <c r="D1573" s="32"/>
      <c r="E1573" s="32"/>
      <c r="F1573" s="32"/>
      <c r="G1573" s="39"/>
      <c r="H1573" s="32"/>
      <c r="I1573" s="32"/>
      <c r="J1573" s="32"/>
      <c r="K1573" s="33"/>
      <c r="L1573" s="32"/>
      <c r="M1573" s="32"/>
      <c r="N1573" s="32"/>
      <c r="O1573" s="32"/>
      <c r="P1573" s="32"/>
      <c r="Q1573" s="34"/>
      <c r="R1573" s="35"/>
      <c r="S1573" s="35"/>
      <c r="T1573" s="36"/>
      <c r="U1573" s="36"/>
      <c r="V1573" s="36"/>
      <c r="W1573" s="36"/>
      <c r="X1573" s="36"/>
      <c r="Y1573" s="36"/>
    </row>
    <row r="1574">
      <c r="A1574" s="32"/>
      <c r="B1574" s="32"/>
      <c r="C1574" s="32"/>
      <c r="D1574" s="32"/>
      <c r="E1574" s="32"/>
      <c r="F1574" s="32"/>
      <c r="G1574" s="39"/>
      <c r="H1574" s="32"/>
      <c r="I1574" s="32"/>
      <c r="J1574" s="32"/>
      <c r="K1574" s="33"/>
      <c r="L1574" s="32"/>
      <c r="M1574" s="32"/>
      <c r="N1574" s="32"/>
      <c r="O1574" s="32"/>
      <c r="P1574" s="32"/>
      <c r="Q1574" s="34"/>
      <c r="R1574" s="35"/>
      <c r="S1574" s="35"/>
      <c r="T1574" s="36"/>
      <c r="U1574" s="36"/>
      <c r="V1574" s="36"/>
      <c r="W1574" s="36"/>
      <c r="X1574" s="36"/>
      <c r="Y1574" s="36"/>
    </row>
    <row r="1575">
      <c r="A1575" s="32"/>
      <c r="B1575" s="32"/>
      <c r="C1575" s="32"/>
      <c r="D1575" s="32"/>
      <c r="E1575" s="32"/>
      <c r="F1575" s="32"/>
      <c r="G1575" s="39"/>
      <c r="H1575" s="32"/>
      <c r="I1575" s="32"/>
      <c r="J1575" s="32"/>
      <c r="K1575" s="33"/>
      <c r="L1575" s="32"/>
      <c r="M1575" s="32"/>
      <c r="N1575" s="32"/>
      <c r="O1575" s="32"/>
      <c r="P1575" s="32"/>
      <c r="Q1575" s="34"/>
      <c r="R1575" s="35"/>
      <c r="S1575" s="35"/>
      <c r="T1575" s="36"/>
      <c r="U1575" s="36"/>
      <c r="V1575" s="36"/>
      <c r="W1575" s="36"/>
      <c r="X1575" s="36"/>
      <c r="Y1575" s="36"/>
    </row>
    <row r="1576">
      <c r="A1576" s="32"/>
      <c r="B1576" s="32"/>
      <c r="C1576" s="32"/>
      <c r="D1576" s="32"/>
      <c r="E1576" s="32"/>
      <c r="F1576" s="32"/>
      <c r="G1576" s="39"/>
      <c r="H1576" s="32"/>
      <c r="I1576" s="32"/>
      <c r="J1576" s="32"/>
      <c r="K1576" s="33"/>
      <c r="L1576" s="32"/>
      <c r="M1576" s="32"/>
      <c r="N1576" s="32"/>
      <c r="O1576" s="32"/>
      <c r="P1576" s="32"/>
      <c r="Q1576" s="34"/>
      <c r="R1576" s="35"/>
      <c r="S1576" s="35"/>
      <c r="T1576" s="36"/>
      <c r="U1576" s="36"/>
      <c r="V1576" s="36"/>
      <c r="W1576" s="36"/>
      <c r="X1576" s="36"/>
      <c r="Y1576" s="36"/>
    </row>
    <row r="1577">
      <c r="A1577" s="32"/>
      <c r="B1577" s="32"/>
      <c r="C1577" s="32"/>
      <c r="D1577" s="32"/>
      <c r="E1577" s="32"/>
      <c r="F1577" s="32"/>
      <c r="G1577" s="39"/>
      <c r="H1577" s="32"/>
      <c r="I1577" s="32"/>
      <c r="J1577" s="32"/>
      <c r="K1577" s="33"/>
      <c r="L1577" s="32"/>
      <c r="M1577" s="32"/>
      <c r="N1577" s="32"/>
      <c r="O1577" s="32"/>
      <c r="P1577" s="32"/>
      <c r="Q1577" s="34"/>
      <c r="R1577" s="35"/>
      <c r="S1577" s="35"/>
      <c r="T1577" s="36"/>
      <c r="U1577" s="36"/>
      <c r="V1577" s="36"/>
      <c r="W1577" s="36"/>
      <c r="X1577" s="36"/>
      <c r="Y1577" s="36"/>
    </row>
    <row r="1578">
      <c r="A1578" s="32"/>
      <c r="B1578" s="32"/>
      <c r="C1578" s="32"/>
      <c r="D1578" s="32"/>
      <c r="E1578" s="32"/>
      <c r="F1578" s="32"/>
      <c r="G1578" s="39"/>
      <c r="H1578" s="32"/>
      <c r="I1578" s="32"/>
      <c r="J1578" s="32"/>
      <c r="K1578" s="33"/>
      <c r="L1578" s="32"/>
      <c r="M1578" s="32"/>
      <c r="N1578" s="32"/>
      <c r="O1578" s="32"/>
      <c r="P1578" s="32"/>
      <c r="Q1578" s="34"/>
      <c r="R1578" s="35"/>
      <c r="S1578" s="35"/>
      <c r="T1578" s="36"/>
      <c r="U1578" s="36"/>
      <c r="V1578" s="36"/>
      <c r="W1578" s="36"/>
      <c r="X1578" s="36"/>
      <c r="Y1578" s="36"/>
    </row>
    <row r="1579">
      <c r="A1579" s="32"/>
      <c r="B1579" s="32"/>
      <c r="C1579" s="32"/>
      <c r="D1579" s="32"/>
      <c r="E1579" s="32"/>
      <c r="F1579" s="32"/>
      <c r="G1579" s="39"/>
      <c r="H1579" s="32"/>
      <c r="I1579" s="32"/>
      <c r="J1579" s="32"/>
      <c r="K1579" s="33"/>
      <c r="L1579" s="32"/>
      <c r="M1579" s="32"/>
      <c r="N1579" s="32"/>
      <c r="O1579" s="32"/>
      <c r="P1579" s="32"/>
      <c r="Q1579" s="34"/>
      <c r="R1579" s="35"/>
      <c r="S1579" s="35"/>
      <c r="T1579" s="36"/>
      <c r="U1579" s="36"/>
      <c r="V1579" s="36"/>
      <c r="W1579" s="36"/>
      <c r="X1579" s="36"/>
      <c r="Y1579" s="36"/>
    </row>
    <row r="1580">
      <c r="A1580" s="32"/>
      <c r="B1580" s="32"/>
      <c r="C1580" s="32"/>
      <c r="D1580" s="32"/>
      <c r="E1580" s="32"/>
      <c r="F1580" s="32"/>
      <c r="G1580" s="39"/>
      <c r="H1580" s="32"/>
      <c r="I1580" s="32"/>
      <c r="J1580" s="32"/>
      <c r="K1580" s="33"/>
      <c r="L1580" s="32"/>
      <c r="M1580" s="32"/>
      <c r="N1580" s="32"/>
      <c r="O1580" s="32"/>
      <c r="P1580" s="32"/>
      <c r="Q1580" s="34"/>
      <c r="R1580" s="35"/>
      <c r="S1580" s="35"/>
      <c r="T1580" s="36"/>
      <c r="U1580" s="36"/>
      <c r="V1580" s="36"/>
      <c r="W1580" s="36"/>
      <c r="X1580" s="36"/>
      <c r="Y1580" s="36"/>
    </row>
    <row r="1581">
      <c r="A1581" s="32"/>
      <c r="B1581" s="32"/>
      <c r="C1581" s="32"/>
      <c r="D1581" s="32"/>
      <c r="E1581" s="32"/>
      <c r="F1581" s="32"/>
      <c r="G1581" s="39"/>
      <c r="H1581" s="32"/>
      <c r="I1581" s="32"/>
      <c r="J1581" s="32"/>
      <c r="K1581" s="33"/>
      <c r="L1581" s="32"/>
      <c r="M1581" s="32"/>
      <c r="N1581" s="32"/>
      <c r="O1581" s="32"/>
      <c r="P1581" s="32"/>
      <c r="Q1581" s="34"/>
      <c r="R1581" s="35"/>
      <c r="S1581" s="35"/>
      <c r="T1581" s="36"/>
      <c r="U1581" s="36"/>
      <c r="V1581" s="36"/>
      <c r="W1581" s="36"/>
      <c r="X1581" s="36"/>
      <c r="Y1581" s="36"/>
    </row>
    <row r="1582">
      <c r="A1582" s="32"/>
      <c r="B1582" s="32"/>
      <c r="C1582" s="32"/>
      <c r="D1582" s="32"/>
      <c r="E1582" s="32"/>
      <c r="F1582" s="32"/>
      <c r="G1582" s="39"/>
      <c r="H1582" s="32"/>
      <c r="I1582" s="32"/>
      <c r="J1582" s="32"/>
      <c r="K1582" s="33"/>
      <c r="L1582" s="32"/>
      <c r="M1582" s="32"/>
      <c r="N1582" s="32"/>
      <c r="O1582" s="32"/>
      <c r="P1582" s="32"/>
      <c r="Q1582" s="34"/>
      <c r="R1582" s="35"/>
      <c r="S1582" s="35"/>
      <c r="T1582" s="36"/>
      <c r="U1582" s="36"/>
      <c r="V1582" s="36"/>
      <c r="W1582" s="36"/>
      <c r="X1582" s="36"/>
      <c r="Y1582" s="36"/>
    </row>
    <row r="1583">
      <c r="A1583" s="32"/>
      <c r="B1583" s="32"/>
      <c r="C1583" s="32"/>
      <c r="D1583" s="32"/>
      <c r="E1583" s="32"/>
      <c r="F1583" s="32"/>
      <c r="G1583" s="39"/>
      <c r="H1583" s="32"/>
      <c r="I1583" s="32"/>
      <c r="J1583" s="32"/>
      <c r="K1583" s="33"/>
      <c r="L1583" s="32"/>
      <c r="M1583" s="32"/>
      <c r="N1583" s="32"/>
      <c r="O1583" s="32"/>
      <c r="P1583" s="32"/>
      <c r="Q1583" s="34"/>
      <c r="R1583" s="35"/>
      <c r="S1583" s="35"/>
      <c r="T1583" s="36"/>
      <c r="U1583" s="36"/>
      <c r="V1583" s="36"/>
      <c r="W1583" s="36"/>
      <c r="X1583" s="36"/>
      <c r="Y1583" s="36"/>
    </row>
    <row r="1584">
      <c r="A1584" s="32"/>
      <c r="B1584" s="32"/>
      <c r="C1584" s="32"/>
      <c r="D1584" s="32"/>
      <c r="E1584" s="32"/>
      <c r="F1584" s="32"/>
      <c r="G1584" s="39"/>
      <c r="H1584" s="32"/>
      <c r="I1584" s="32"/>
      <c r="J1584" s="32"/>
      <c r="K1584" s="33"/>
      <c r="L1584" s="32"/>
      <c r="M1584" s="32"/>
      <c r="N1584" s="32"/>
      <c r="O1584" s="32"/>
      <c r="P1584" s="32"/>
      <c r="Q1584" s="34"/>
      <c r="R1584" s="35"/>
      <c r="S1584" s="35"/>
      <c r="T1584" s="36"/>
      <c r="U1584" s="36"/>
      <c r="V1584" s="36"/>
      <c r="W1584" s="36"/>
      <c r="X1584" s="36"/>
      <c r="Y1584" s="36"/>
    </row>
    <row r="1585">
      <c r="A1585" s="32"/>
      <c r="B1585" s="32"/>
      <c r="C1585" s="32"/>
      <c r="D1585" s="32"/>
      <c r="E1585" s="32"/>
      <c r="F1585" s="32"/>
      <c r="G1585" s="39"/>
      <c r="H1585" s="32"/>
      <c r="I1585" s="32"/>
      <c r="J1585" s="32"/>
      <c r="K1585" s="33"/>
      <c r="L1585" s="32"/>
      <c r="M1585" s="32"/>
      <c r="N1585" s="32"/>
      <c r="O1585" s="32"/>
      <c r="P1585" s="32"/>
      <c r="Q1585" s="34"/>
      <c r="R1585" s="35"/>
      <c r="S1585" s="35"/>
      <c r="T1585" s="36"/>
      <c r="U1585" s="36"/>
      <c r="V1585" s="36"/>
      <c r="W1585" s="36"/>
      <c r="X1585" s="36"/>
      <c r="Y1585" s="36"/>
    </row>
    <row r="1586">
      <c r="A1586" s="32"/>
      <c r="B1586" s="32"/>
      <c r="C1586" s="32"/>
      <c r="D1586" s="32"/>
      <c r="E1586" s="32"/>
      <c r="F1586" s="32"/>
      <c r="G1586" s="39"/>
      <c r="H1586" s="32"/>
      <c r="I1586" s="32"/>
      <c r="J1586" s="32"/>
      <c r="K1586" s="33"/>
      <c r="L1586" s="32"/>
      <c r="M1586" s="32"/>
      <c r="N1586" s="32"/>
      <c r="O1586" s="32"/>
      <c r="P1586" s="32"/>
      <c r="Q1586" s="34"/>
      <c r="R1586" s="35"/>
      <c r="S1586" s="35"/>
      <c r="T1586" s="36"/>
      <c r="U1586" s="36"/>
      <c r="V1586" s="36"/>
      <c r="W1586" s="36"/>
      <c r="X1586" s="36"/>
      <c r="Y1586" s="36"/>
    </row>
    <row r="1587">
      <c r="A1587" s="32"/>
      <c r="B1587" s="32"/>
      <c r="C1587" s="32"/>
      <c r="D1587" s="32"/>
      <c r="E1587" s="32"/>
      <c r="F1587" s="32"/>
      <c r="G1587" s="39"/>
      <c r="H1587" s="32"/>
      <c r="I1587" s="32"/>
      <c r="J1587" s="32"/>
      <c r="K1587" s="33"/>
      <c r="L1587" s="32"/>
      <c r="M1587" s="32"/>
      <c r="N1587" s="32"/>
      <c r="O1587" s="32"/>
      <c r="P1587" s="32"/>
      <c r="Q1587" s="34"/>
      <c r="R1587" s="35"/>
      <c r="S1587" s="35"/>
      <c r="T1587" s="36"/>
      <c r="U1587" s="36"/>
      <c r="V1587" s="36"/>
      <c r="W1587" s="36"/>
      <c r="X1587" s="36"/>
      <c r="Y1587" s="36"/>
    </row>
    <row r="1588">
      <c r="A1588" s="32"/>
      <c r="B1588" s="32"/>
      <c r="C1588" s="32"/>
      <c r="D1588" s="32"/>
      <c r="E1588" s="32"/>
      <c r="F1588" s="32"/>
      <c r="G1588" s="39"/>
      <c r="H1588" s="32"/>
      <c r="I1588" s="32"/>
      <c r="J1588" s="32"/>
      <c r="K1588" s="33"/>
      <c r="L1588" s="32"/>
      <c r="M1588" s="32"/>
      <c r="N1588" s="32"/>
      <c r="O1588" s="32"/>
      <c r="P1588" s="32"/>
      <c r="Q1588" s="34"/>
      <c r="R1588" s="35"/>
      <c r="S1588" s="35"/>
      <c r="T1588" s="36"/>
      <c r="U1588" s="36"/>
      <c r="V1588" s="36"/>
      <c r="W1588" s="36"/>
      <c r="X1588" s="36"/>
      <c r="Y1588" s="36"/>
    </row>
    <row r="1589">
      <c r="A1589" s="32"/>
      <c r="B1589" s="32"/>
      <c r="C1589" s="32"/>
      <c r="D1589" s="32"/>
      <c r="E1589" s="32"/>
      <c r="F1589" s="32"/>
      <c r="G1589" s="39"/>
      <c r="H1589" s="32"/>
      <c r="I1589" s="32"/>
      <c r="J1589" s="32"/>
      <c r="K1589" s="33"/>
      <c r="L1589" s="32"/>
      <c r="M1589" s="32"/>
      <c r="N1589" s="32"/>
      <c r="O1589" s="32"/>
      <c r="P1589" s="32"/>
      <c r="Q1589" s="34"/>
      <c r="R1589" s="35"/>
      <c r="S1589" s="35"/>
      <c r="T1589" s="36"/>
      <c r="U1589" s="36"/>
      <c r="V1589" s="36"/>
      <c r="W1589" s="36"/>
      <c r="X1589" s="36"/>
      <c r="Y1589" s="36"/>
    </row>
    <row r="1590">
      <c r="A1590" s="32"/>
      <c r="B1590" s="32"/>
      <c r="C1590" s="32"/>
      <c r="D1590" s="32"/>
      <c r="E1590" s="32"/>
      <c r="F1590" s="32"/>
      <c r="G1590" s="39"/>
      <c r="H1590" s="32"/>
      <c r="I1590" s="32"/>
      <c r="J1590" s="32"/>
      <c r="K1590" s="33"/>
      <c r="L1590" s="32"/>
      <c r="M1590" s="32"/>
      <c r="N1590" s="32"/>
      <c r="O1590" s="32"/>
      <c r="P1590" s="32"/>
      <c r="Q1590" s="34"/>
      <c r="R1590" s="35"/>
      <c r="S1590" s="35"/>
      <c r="T1590" s="36"/>
      <c r="U1590" s="36"/>
      <c r="V1590" s="36"/>
      <c r="W1590" s="36"/>
      <c r="X1590" s="36"/>
      <c r="Y1590" s="36"/>
    </row>
    <row r="1591">
      <c r="A1591" s="32"/>
      <c r="B1591" s="32"/>
      <c r="C1591" s="32"/>
      <c r="D1591" s="32"/>
      <c r="E1591" s="32"/>
      <c r="F1591" s="32"/>
      <c r="G1591" s="39"/>
      <c r="H1591" s="32"/>
      <c r="I1591" s="32"/>
      <c r="J1591" s="32"/>
      <c r="K1591" s="33"/>
      <c r="L1591" s="32"/>
      <c r="M1591" s="32"/>
      <c r="N1591" s="32"/>
      <c r="O1591" s="32"/>
      <c r="P1591" s="32"/>
      <c r="Q1591" s="34"/>
      <c r="R1591" s="35"/>
      <c r="S1591" s="35"/>
      <c r="T1591" s="36"/>
      <c r="U1591" s="36"/>
      <c r="V1591" s="36"/>
      <c r="W1591" s="36"/>
      <c r="X1591" s="36"/>
      <c r="Y1591" s="36"/>
    </row>
    <row r="1592">
      <c r="A1592" s="32"/>
      <c r="B1592" s="32"/>
      <c r="C1592" s="32"/>
      <c r="D1592" s="32"/>
      <c r="E1592" s="32"/>
      <c r="F1592" s="32"/>
      <c r="G1592" s="39"/>
      <c r="H1592" s="32"/>
      <c r="I1592" s="32"/>
      <c r="J1592" s="32"/>
      <c r="K1592" s="33"/>
      <c r="L1592" s="32"/>
      <c r="M1592" s="32"/>
      <c r="N1592" s="32"/>
      <c r="O1592" s="32"/>
      <c r="P1592" s="32"/>
      <c r="Q1592" s="34"/>
      <c r="R1592" s="35"/>
      <c r="S1592" s="35"/>
      <c r="T1592" s="36"/>
      <c r="U1592" s="36"/>
      <c r="V1592" s="36"/>
      <c r="W1592" s="36"/>
      <c r="X1592" s="36"/>
      <c r="Y1592" s="36"/>
    </row>
    <row r="1593">
      <c r="A1593" s="32"/>
      <c r="B1593" s="32"/>
      <c r="C1593" s="32"/>
      <c r="D1593" s="32"/>
      <c r="E1593" s="32"/>
      <c r="F1593" s="32"/>
      <c r="G1593" s="39"/>
      <c r="H1593" s="32"/>
      <c r="I1593" s="32"/>
      <c r="J1593" s="32"/>
      <c r="K1593" s="33"/>
      <c r="L1593" s="32"/>
      <c r="M1593" s="32"/>
      <c r="N1593" s="32"/>
      <c r="O1593" s="32"/>
      <c r="P1593" s="32"/>
      <c r="Q1593" s="34"/>
      <c r="R1593" s="35"/>
      <c r="S1593" s="35"/>
      <c r="T1593" s="36"/>
      <c r="U1593" s="36"/>
      <c r="V1593" s="36"/>
      <c r="W1593" s="36"/>
      <c r="X1593" s="36"/>
      <c r="Y1593" s="36"/>
    </row>
    <row r="1594">
      <c r="A1594" s="32"/>
      <c r="B1594" s="32"/>
      <c r="C1594" s="32"/>
      <c r="D1594" s="32"/>
      <c r="E1594" s="32"/>
      <c r="F1594" s="32"/>
      <c r="G1594" s="39"/>
      <c r="H1594" s="32"/>
      <c r="I1594" s="32"/>
      <c r="J1594" s="32"/>
      <c r="K1594" s="33"/>
      <c r="L1594" s="32"/>
      <c r="M1594" s="32"/>
      <c r="N1594" s="32"/>
      <c r="O1594" s="32"/>
      <c r="P1594" s="32"/>
      <c r="Q1594" s="34"/>
      <c r="R1594" s="35"/>
      <c r="S1594" s="35"/>
      <c r="T1594" s="36"/>
      <c r="U1594" s="36"/>
      <c r="V1594" s="36"/>
      <c r="W1594" s="36"/>
      <c r="X1594" s="36"/>
      <c r="Y1594" s="36"/>
    </row>
    <row r="1595">
      <c r="A1595" s="32"/>
      <c r="B1595" s="32"/>
      <c r="C1595" s="32"/>
      <c r="D1595" s="32"/>
      <c r="E1595" s="32"/>
      <c r="F1595" s="32"/>
      <c r="G1595" s="39"/>
      <c r="H1595" s="32"/>
      <c r="I1595" s="32"/>
      <c r="J1595" s="32"/>
      <c r="K1595" s="33"/>
      <c r="L1595" s="32"/>
      <c r="M1595" s="32"/>
      <c r="N1595" s="32"/>
      <c r="O1595" s="32"/>
      <c r="P1595" s="32"/>
      <c r="Q1595" s="34"/>
      <c r="R1595" s="35"/>
      <c r="S1595" s="35"/>
      <c r="T1595" s="36"/>
      <c r="U1595" s="36"/>
      <c r="V1595" s="36"/>
      <c r="W1595" s="36"/>
      <c r="X1595" s="36"/>
      <c r="Y1595" s="36"/>
    </row>
    <row r="1596">
      <c r="A1596" s="32"/>
      <c r="B1596" s="32"/>
      <c r="C1596" s="32"/>
      <c r="D1596" s="32"/>
      <c r="E1596" s="32"/>
      <c r="F1596" s="32"/>
      <c r="G1596" s="39"/>
      <c r="H1596" s="32"/>
      <c r="I1596" s="32"/>
      <c r="J1596" s="32"/>
      <c r="K1596" s="33"/>
      <c r="L1596" s="32"/>
      <c r="M1596" s="32"/>
      <c r="N1596" s="32"/>
      <c r="O1596" s="32"/>
      <c r="P1596" s="32"/>
      <c r="Q1596" s="34"/>
      <c r="R1596" s="35"/>
      <c r="S1596" s="35"/>
      <c r="T1596" s="36"/>
      <c r="U1596" s="36"/>
      <c r="V1596" s="36"/>
      <c r="W1596" s="36"/>
      <c r="X1596" s="36"/>
      <c r="Y1596" s="36"/>
    </row>
    <row r="1597">
      <c r="A1597" s="32"/>
      <c r="B1597" s="32"/>
      <c r="C1597" s="32"/>
      <c r="D1597" s="32"/>
      <c r="E1597" s="32"/>
      <c r="F1597" s="32"/>
      <c r="G1597" s="39"/>
      <c r="H1597" s="32"/>
      <c r="I1597" s="32"/>
      <c r="J1597" s="32"/>
      <c r="K1597" s="33"/>
      <c r="L1597" s="32"/>
      <c r="M1597" s="32"/>
      <c r="N1597" s="32"/>
      <c r="O1597" s="32"/>
      <c r="P1597" s="32"/>
      <c r="Q1597" s="34"/>
      <c r="R1597" s="35"/>
      <c r="S1597" s="35"/>
      <c r="T1597" s="36"/>
      <c r="U1597" s="36"/>
      <c r="V1597" s="36"/>
      <c r="W1597" s="36"/>
      <c r="X1597" s="36"/>
      <c r="Y1597" s="36"/>
    </row>
    <row r="1598">
      <c r="A1598" s="32"/>
      <c r="B1598" s="32"/>
      <c r="C1598" s="32"/>
      <c r="D1598" s="32"/>
      <c r="E1598" s="32"/>
      <c r="F1598" s="32"/>
      <c r="G1598" s="39"/>
      <c r="H1598" s="32"/>
      <c r="I1598" s="32"/>
      <c r="J1598" s="32"/>
      <c r="K1598" s="33"/>
      <c r="L1598" s="32"/>
      <c r="M1598" s="32"/>
      <c r="N1598" s="32"/>
      <c r="O1598" s="32"/>
      <c r="P1598" s="32"/>
      <c r="Q1598" s="34"/>
      <c r="R1598" s="35"/>
      <c r="S1598" s="35"/>
      <c r="T1598" s="36"/>
      <c r="U1598" s="36"/>
      <c r="V1598" s="36"/>
      <c r="W1598" s="36"/>
      <c r="X1598" s="36"/>
      <c r="Y1598" s="36"/>
    </row>
    <row r="1599">
      <c r="A1599" s="32"/>
      <c r="B1599" s="32"/>
      <c r="C1599" s="32"/>
      <c r="D1599" s="32"/>
      <c r="E1599" s="32"/>
      <c r="F1599" s="32"/>
      <c r="G1599" s="39"/>
      <c r="H1599" s="32"/>
      <c r="I1599" s="32"/>
      <c r="J1599" s="32"/>
      <c r="K1599" s="33"/>
      <c r="L1599" s="32"/>
      <c r="M1599" s="32"/>
      <c r="N1599" s="32"/>
      <c r="O1599" s="32"/>
      <c r="P1599" s="32"/>
      <c r="Q1599" s="34"/>
      <c r="R1599" s="35"/>
      <c r="S1599" s="35"/>
      <c r="T1599" s="36"/>
      <c r="U1599" s="36"/>
      <c r="V1599" s="36"/>
      <c r="W1599" s="36"/>
      <c r="X1599" s="36"/>
      <c r="Y1599" s="36"/>
    </row>
    <row r="1600">
      <c r="A1600" s="32"/>
      <c r="B1600" s="32"/>
      <c r="C1600" s="32"/>
      <c r="D1600" s="32"/>
      <c r="E1600" s="32"/>
      <c r="F1600" s="32"/>
      <c r="G1600" s="39"/>
      <c r="H1600" s="32"/>
      <c r="I1600" s="32"/>
      <c r="J1600" s="32"/>
      <c r="K1600" s="33"/>
      <c r="L1600" s="32"/>
      <c r="M1600" s="32"/>
      <c r="N1600" s="32"/>
      <c r="O1600" s="32"/>
      <c r="P1600" s="32"/>
      <c r="Q1600" s="34"/>
      <c r="R1600" s="35"/>
      <c r="S1600" s="35"/>
      <c r="T1600" s="36"/>
      <c r="U1600" s="36"/>
      <c r="V1600" s="36"/>
      <c r="W1600" s="36"/>
      <c r="X1600" s="36"/>
      <c r="Y1600" s="36"/>
    </row>
    <row r="1601">
      <c r="A1601" s="32"/>
      <c r="B1601" s="32"/>
      <c r="C1601" s="32"/>
      <c r="D1601" s="32"/>
      <c r="E1601" s="32"/>
      <c r="F1601" s="32"/>
      <c r="G1601" s="39"/>
      <c r="H1601" s="32"/>
      <c r="I1601" s="32"/>
      <c r="J1601" s="32"/>
      <c r="K1601" s="33"/>
      <c r="L1601" s="32"/>
      <c r="M1601" s="32"/>
      <c r="N1601" s="32"/>
      <c r="O1601" s="32"/>
      <c r="P1601" s="32"/>
      <c r="Q1601" s="34"/>
      <c r="R1601" s="35"/>
      <c r="S1601" s="35"/>
      <c r="T1601" s="36"/>
      <c r="U1601" s="36"/>
      <c r="V1601" s="36"/>
      <c r="W1601" s="36"/>
      <c r="X1601" s="36"/>
      <c r="Y1601" s="36"/>
    </row>
    <row r="1602">
      <c r="A1602" s="32"/>
      <c r="B1602" s="32"/>
      <c r="C1602" s="32"/>
      <c r="D1602" s="32"/>
      <c r="E1602" s="32"/>
      <c r="F1602" s="32"/>
      <c r="G1602" s="39"/>
      <c r="H1602" s="32"/>
      <c r="I1602" s="32"/>
      <c r="J1602" s="32"/>
      <c r="K1602" s="33"/>
      <c r="L1602" s="32"/>
      <c r="M1602" s="32"/>
      <c r="N1602" s="32"/>
      <c r="O1602" s="32"/>
      <c r="P1602" s="32"/>
      <c r="Q1602" s="34"/>
      <c r="R1602" s="35"/>
      <c r="S1602" s="35"/>
      <c r="T1602" s="36"/>
      <c r="U1602" s="36"/>
      <c r="V1602" s="36"/>
      <c r="W1602" s="36"/>
      <c r="X1602" s="36"/>
      <c r="Y1602" s="36"/>
    </row>
    <row r="1603">
      <c r="A1603" s="32"/>
      <c r="B1603" s="32"/>
      <c r="C1603" s="32"/>
      <c r="D1603" s="32"/>
      <c r="E1603" s="32"/>
      <c r="F1603" s="32"/>
      <c r="G1603" s="39"/>
      <c r="H1603" s="32"/>
      <c r="I1603" s="32"/>
      <c r="J1603" s="32"/>
      <c r="K1603" s="33"/>
      <c r="L1603" s="32"/>
      <c r="M1603" s="32"/>
      <c r="N1603" s="32"/>
      <c r="O1603" s="32"/>
      <c r="P1603" s="32"/>
      <c r="Q1603" s="34"/>
      <c r="R1603" s="35"/>
      <c r="S1603" s="35"/>
      <c r="T1603" s="36"/>
      <c r="U1603" s="36"/>
      <c r="V1603" s="36"/>
      <c r="W1603" s="36"/>
      <c r="X1603" s="36"/>
      <c r="Y1603" s="36"/>
    </row>
    <row r="1604">
      <c r="A1604" s="32"/>
      <c r="B1604" s="32"/>
      <c r="C1604" s="32"/>
      <c r="D1604" s="32"/>
      <c r="E1604" s="32"/>
      <c r="F1604" s="32"/>
      <c r="G1604" s="39"/>
      <c r="H1604" s="32"/>
      <c r="I1604" s="32"/>
      <c r="J1604" s="32"/>
      <c r="K1604" s="33"/>
      <c r="L1604" s="32"/>
      <c r="M1604" s="32"/>
      <c r="N1604" s="32"/>
      <c r="O1604" s="32"/>
      <c r="P1604" s="32"/>
      <c r="Q1604" s="34"/>
      <c r="R1604" s="35"/>
      <c r="S1604" s="35"/>
      <c r="T1604" s="36"/>
      <c r="U1604" s="36"/>
      <c r="V1604" s="36"/>
      <c r="W1604" s="36"/>
      <c r="X1604" s="36"/>
      <c r="Y1604" s="36"/>
    </row>
    <row r="1605">
      <c r="A1605" s="32"/>
      <c r="B1605" s="32"/>
      <c r="C1605" s="32"/>
      <c r="D1605" s="32"/>
      <c r="E1605" s="32"/>
      <c r="F1605" s="32"/>
      <c r="G1605" s="39"/>
      <c r="H1605" s="32"/>
      <c r="I1605" s="32"/>
      <c r="J1605" s="32"/>
      <c r="K1605" s="33"/>
      <c r="L1605" s="32"/>
      <c r="M1605" s="32"/>
      <c r="N1605" s="32"/>
      <c r="O1605" s="32"/>
      <c r="P1605" s="32"/>
      <c r="Q1605" s="34"/>
      <c r="R1605" s="35"/>
      <c r="S1605" s="35"/>
      <c r="T1605" s="36"/>
      <c r="U1605" s="36"/>
      <c r="V1605" s="36"/>
      <c r="W1605" s="36"/>
      <c r="X1605" s="36"/>
      <c r="Y1605" s="36"/>
    </row>
    <row r="1606">
      <c r="A1606" s="32"/>
      <c r="B1606" s="32"/>
      <c r="C1606" s="32"/>
      <c r="D1606" s="32"/>
      <c r="E1606" s="32"/>
      <c r="F1606" s="32"/>
      <c r="G1606" s="39"/>
      <c r="H1606" s="32"/>
      <c r="I1606" s="32"/>
      <c r="J1606" s="32"/>
      <c r="K1606" s="33"/>
      <c r="L1606" s="32"/>
      <c r="M1606" s="32"/>
      <c r="N1606" s="32"/>
      <c r="O1606" s="32"/>
      <c r="P1606" s="32"/>
      <c r="Q1606" s="34"/>
      <c r="R1606" s="35"/>
      <c r="S1606" s="35"/>
      <c r="T1606" s="36"/>
      <c r="U1606" s="36"/>
      <c r="V1606" s="36"/>
      <c r="W1606" s="36"/>
      <c r="X1606" s="36"/>
      <c r="Y1606" s="36"/>
    </row>
    <row r="1607">
      <c r="A1607" s="32"/>
      <c r="B1607" s="32"/>
      <c r="C1607" s="32"/>
      <c r="D1607" s="32"/>
      <c r="E1607" s="32"/>
      <c r="F1607" s="32"/>
      <c r="G1607" s="39"/>
      <c r="H1607" s="32"/>
      <c r="I1607" s="32"/>
      <c r="J1607" s="32"/>
      <c r="K1607" s="33"/>
      <c r="L1607" s="32"/>
      <c r="M1607" s="32"/>
      <c r="N1607" s="32"/>
      <c r="O1607" s="32"/>
      <c r="P1607" s="32"/>
      <c r="Q1607" s="34"/>
      <c r="R1607" s="35"/>
      <c r="S1607" s="35"/>
      <c r="T1607" s="36"/>
      <c r="U1607" s="36"/>
      <c r="V1607" s="36"/>
      <c r="W1607" s="36"/>
      <c r="X1607" s="36"/>
      <c r="Y1607" s="36"/>
    </row>
    <row r="1608">
      <c r="A1608" s="32"/>
      <c r="B1608" s="32"/>
      <c r="C1608" s="32"/>
      <c r="D1608" s="32"/>
      <c r="E1608" s="32"/>
      <c r="F1608" s="32"/>
      <c r="G1608" s="39"/>
      <c r="H1608" s="32"/>
      <c r="I1608" s="32"/>
      <c r="J1608" s="32"/>
      <c r="K1608" s="33"/>
      <c r="L1608" s="32"/>
      <c r="M1608" s="32"/>
      <c r="N1608" s="32"/>
      <c r="O1608" s="32"/>
      <c r="P1608" s="32"/>
      <c r="Q1608" s="34"/>
      <c r="R1608" s="35"/>
      <c r="S1608" s="35"/>
      <c r="T1608" s="36"/>
      <c r="U1608" s="36"/>
      <c r="V1608" s="36"/>
      <c r="W1608" s="36"/>
      <c r="X1608" s="36"/>
      <c r="Y1608" s="36"/>
    </row>
    <row r="1609">
      <c r="A1609" s="32"/>
      <c r="B1609" s="32"/>
      <c r="C1609" s="32"/>
      <c r="D1609" s="32"/>
      <c r="E1609" s="32"/>
      <c r="F1609" s="32"/>
      <c r="G1609" s="39"/>
      <c r="H1609" s="32"/>
      <c r="I1609" s="32"/>
      <c r="J1609" s="32"/>
      <c r="K1609" s="33"/>
      <c r="L1609" s="32"/>
      <c r="M1609" s="32"/>
      <c r="N1609" s="32"/>
      <c r="O1609" s="32"/>
      <c r="P1609" s="32"/>
      <c r="Q1609" s="34"/>
      <c r="R1609" s="35"/>
      <c r="S1609" s="35"/>
      <c r="T1609" s="36"/>
      <c r="U1609" s="36"/>
      <c r="V1609" s="36"/>
      <c r="W1609" s="36"/>
      <c r="X1609" s="36"/>
      <c r="Y1609" s="36"/>
    </row>
    <row r="1610">
      <c r="A1610" s="32"/>
      <c r="B1610" s="32"/>
      <c r="C1610" s="32"/>
      <c r="D1610" s="32"/>
      <c r="E1610" s="32"/>
      <c r="F1610" s="32"/>
      <c r="G1610" s="39"/>
      <c r="H1610" s="32"/>
      <c r="I1610" s="32"/>
      <c r="J1610" s="32"/>
      <c r="K1610" s="33"/>
      <c r="L1610" s="32"/>
      <c r="M1610" s="32"/>
      <c r="N1610" s="32"/>
      <c r="O1610" s="32"/>
      <c r="P1610" s="32"/>
      <c r="Q1610" s="34"/>
      <c r="R1610" s="35"/>
      <c r="S1610" s="35"/>
      <c r="T1610" s="36"/>
      <c r="U1610" s="36"/>
      <c r="V1610" s="36"/>
      <c r="W1610" s="36"/>
      <c r="X1610" s="36"/>
      <c r="Y1610" s="36"/>
    </row>
    <row r="1611">
      <c r="A1611" s="32"/>
      <c r="B1611" s="32"/>
      <c r="C1611" s="32"/>
      <c r="D1611" s="32"/>
      <c r="E1611" s="32"/>
      <c r="F1611" s="32"/>
      <c r="G1611" s="39"/>
      <c r="H1611" s="32"/>
      <c r="I1611" s="32"/>
      <c r="J1611" s="32"/>
      <c r="K1611" s="33"/>
      <c r="L1611" s="32"/>
      <c r="M1611" s="32"/>
      <c r="N1611" s="32"/>
      <c r="O1611" s="32"/>
      <c r="P1611" s="32"/>
      <c r="Q1611" s="34"/>
      <c r="R1611" s="35"/>
      <c r="S1611" s="35"/>
      <c r="T1611" s="36"/>
      <c r="U1611" s="36"/>
      <c r="V1611" s="36"/>
      <c r="W1611" s="36"/>
      <c r="X1611" s="36"/>
      <c r="Y1611" s="36"/>
    </row>
    <row r="1612">
      <c r="A1612" s="32"/>
      <c r="B1612" s="32"/>
      <c r="C1612" s="32"/>
      <c r="D1612" s="32"/>
      <c r="E1612" s="32"/>
      <c r="F1612" s="32"/>
      <c r="G1612" s="39"/>
      <c r="H1612" s="32"/>
      <c r="I1612" s="32"/>
      <c r="J1612" s="32"/>
      <c r="K1612" s="33"/>
      <c r="L1612" s="32"/>
      <c r="M1612" s="32"/>
      <c r="N1612" s="32"/>
      <c r="O1612" s="32"/>
      <c r="P1612" s="32"/>
      <c r="Q1612" s="34"/>
      <c r="R1612" s="35"/>
      <c r="S1612" s="35"/>
      <c r="T1612" s="36"/>
      <c r="U1612" s="36"/>
      <c r="V1612" s="36"/>
      <c r="W1612" s="36"/>
      <c r="X1612" s="36"/>
      <c r="Y1612" s="36"/>
    </row>
    <row r="1613">
      <c r="A1613" s="32"/>
      <c r="B1613" s="32"/>
      <c r="C1613" s="32"/>
      <c r="D1613" s="32"/>
      <c r="E1613" s="32"/>
      <c r="F1613" s="32"/>
      <c r="G1613" s="39"/>
      <c r="H1613" s="32"/>
      <c r="I1613" s="32"/>
      <c r="J1613" s="32"/>
      <c r="K1613" s="33"/>
      <c r="L1613" s="32"/>
      <c r="M1613" s="32"/>
      <c r="N1613" s="32"/>
      <c r="O1613" s="32"/>
      <c r="P1613" s="32"/>
      <c r="Q1613" s="34"/>
      <c r="R1613" s="35"/>
      <c r="S1613" s="35"/>
      <c r="T1613" s="36"/>
      <c r="U1613" s="36"/>
      <c r="V1613" s="36"/>
      <c r="W1613" s="36"/>
      <c r="X1613" s="36"/>
      <c r="Y1613" s="36"/>
    </row>
    <row r="1614">
      <c r="A1614" s="32"/>
      <c r="B1614" s="32"/>
      <c r="C1614" s="32"/>
      <c r="D1614" s="32"/>
      <c r="E1614" s="32"/>
      <c r="F1614" s="32"/>
      <c r="G1614" s="39"/>
      <c r="H1614" s="32"/>
      <c r="I1614" s="32"/>
      <c r="J1614" s="32"/>
      <c r="K1614" s="33"/>
      <c r="L1614" s="32"/>
      <c r="M1614" s="32"/>
      <c r="N1614" s="32"/>
      <c r="O1614" s="32"/>
      <c r="P1614" s="32"/>
      <c r="Q1614" s="34"/>
      <c r="R1614" s="35"/>
      <c r="S1614" s="35"/>
      <c r="T1614" s="36"/>
      <c r="U1614" s="36"/>
      <c r="V1614" s="36"/>
      <c r="W1614" s="36"/>
      <c r="X1614" s="36"/>
      <c r="Y1614" s="36"/>
    </row>
    <row r="1615">
      <c r="A1615" s="32"/>
      <c r="B1615" s="32"/>
      <c r="C1615" s="32"/>
      <c r="D1615" s="32"/>
      <c r="E1615" s="32"/>
      <c r="F1615" s="32"/>
      <c r="G1615" s="39"/>
      <c r="H1615" s="32"/>
      <c r="I1615" s="32"/>
      <c r="J1615" s="32"/>
      <c r="K1615" s="33"/>
      <c r="L1615" s="32"/>
      <c r="M1615" s="32"/>
      <c r="N1615" s="32"/>
      <c r="O1615" s="32"/>
      <c r="P1615" s="32"/>
      <c r="Q1615" s="34"/>
      <c r="R1615" s="35"/>
      <c r="S1615" s="35"/>
      <c r="T1615" s="36"/>
      <c r="U1615" s="36"/>
      <c r="V1615" s="36"/>
      <c r="W1615" s="36"/>
      <c r="X1615" s="36"/>
      <c r="Y1615" s="36"/>
    </row>
    <row r="1616">
      <c r="A1616" s="32"/>
      <c r="B1616" s="32"/>
      <c r="C1616" s="32"/>
      <c r="D1616" s="32"/>
      <c r="E1616" s="32"/>
      <c r="F1616" s="32"/>
      <c r="G1616" s="39"/>
      <c r="H1616" s="32"/>
      <c r="I1616" s="32"/>
      <c r="J1616" s="32"/>
      <c r="K1616" s="33"/>
      <c r="L1616" s="32"/>
      <c r="M1616" s="32"/>
      <c r="N1616" s="32"/>
      <c r="O1616" s="32"/>
      <c r="P1616" s="32"/>
      <c r="Q1616" s="34"/>
      <c r="R1616" s="35"/>
      <c r="S1616" s="35"/>
      <c r="T1616" s="36"/>
      <c r="U1616" s="36"/>
      <c r="V1616" s="36"/>
      <c r="W1616" s="36"/>
      <c r="X1616" s="36"/>
      <c r="Y1616" s="36"/>
    </row>
    <row r="1617">
      <c r="A1617" s="32"/>
      <c r="B1617" s="32"/>
      <c r="C1617" s="32"/>
      <c r="D1617" s="32"/>
      <c r="E1617" s="32"/>
      <c r="F1617" s="32"/>
      <c r="G1617" s="39"/>
      <c r="H1617" s="32"/>
      <c r="I1617" s="32"/>
      <c r="J1617" s="32"/>
      <c r="K1617" s="33"/>
      <c r="L1617" s="32"/>
      <c r="M1617" s="32"/>
      <c r="N1617" s="32"/>
      <c r="O1617" s="32"/>
      <c r="P1617" s="32"/>
      <c r="Q1617" s="34"/>
      <c r="R1617" s="35"/>
      <c r="S1617" s="35"/>
      <c r="T1617" s="36"/>
      <c r="U1617" s="36"/>
      <c r="V1617" s="36"/>
      <c r="W1617" s="36"/>
      <c r="X1617" s="36"/>
      <c r="Y1617" s="36"/>
    </row>
    <row r="1618">
      <c r="A1618" s="32"/>
      <c r="B1618" s="32"/>
      <c r="C1618" s="32"/>
      <c r="D1618" s="32"/>
      <c r="E1618" s="32"/>
      <c r="F1618" s="32"/>
      <c r="G1618" s="39"/>
      <c r="H1618" s="32"/>
      <c r="I1618" s="32"/>
      <c r="J1618" s="32"/>
      <c r="K1618" s="33"/>
      <c r="L1618" s="32"/>
      <c r="M1618" s="32"/>
      <c r="N1618" s="32"/>
      <c r="O1618" s="32"/>
      <c r="P1618" s="32"/>
      <c r="Q1618" s="34"/>
      <c r="R1618" s="35"/>
      <c r="S1618" s="35"/>
      <c r="T1618" s="36"/>
      <c r="U1618" s="36"/>
      <c r="V1618" s="36"/>
      <c r="W1618" s="36"/>
      <c r="X1618" s="36"/>
      <c r="Y1618" s="36"/>
    </row>
    <row r="1619">
      <c r="A1619" s="32"/>
      <c r="B1619" s="32"/>
      <c r="C1619" s="32"/>
      <c r="D1619" s="32"/>
      <c r="E1619" s="32"/>
      <c r="F1619" s="32"/>
      <c r="G1619" s="39"/>
      <c r="H1619" s="32"/>
      <c r="I1619" s="32"/>
      <c r="J1619" s="32"/>
      <c r="K1619" s="33"/>
      <c r="L1619" s="32"/>
      <c r="M1619" s="32"/>
      <c r="N1619" s="32"/>
      <c r="O1619" s="32"/>
      <c r="P1619" s="32"/>
      <c r="Q1619" s="34"/>
      <c r="R1619" s="35"/>
      <c r="S1619" s="35"/>
      <c r="T1619" s="36"/>
      <c r="U1619" s="36"/>
      <c r="V1619" s="36"/>
      <c r="W1619" s="36"/>
      <c r="X1619" s="36"/>
      <c r="Y1619" s="36"/>
    </row>
    <row r="1620">
      <c r="A1620" s="32"/>
      <c r="B1620" s="32"/>
      <c r="C1620" s="32"/>
      <c r="D1620" s="32"/>
      <c r="E1620" s="32"/>
      <c r="F1620" s="32"/>
      <c r="G1620" s="39"/>
      <c r="H1620" s="32"/>
      <c r="I1620" s="32"/>
      <c r="J1620" s="32"/>
      <c r="K1620" s="33"/>
      <c r="L1620" s="32"/>
      <c r="M1620" s="32"/>
      <c r="N1620" s="32"/>
      <c r="O1620" s="32"/>
      <c r="P1620" s="32"/>
      <c r="Q1620" s="34"/>
      <c r="R1620" s="35"/>
      <c r="S1620" s="35"/>
      <c r="T1620" s="36"/>
      <c r="U1620" s="36"/>
      <c r="V1620" s="36"/>
      <c r="W1620" s="36"/>
      <c r="X1620" s="36"/>
      <c r="Y1620" s="36"/>
    </row>
    <row r="1621">
      <c r="A1621" s="32"/>
      <c r="B1621" s="32"/>
      <c r="C1621" s="32"/>
      <c r="D1621" s="32"/>
      <c r="E1621" s="32"/>
      <c r="F1621" s="32"/>
      <c r="G1621" s="39"/>
      <c r="H1621" s="32"/>
      <c r="I1621" s="32"/>
      <c r="J1621" s="32"/>
      <c r="K1621" s="33"/>
      <c r="L1621" s="32"/>
      <c r="M1621" s="32"/>
      <c r="N1621" s="32"/>
      <c r="O1621" s="32"/>
      <c r="P1621" s="32"/>
      <c r="Q1621" s="34"/>
      <c r="R1621" s="35"/>
      <c r="S1621" s="35"/>
      <c r="T1621" s="36"/>
      <c r="U1621" s="36"/>
      <c r="V1621" s="36"/>
      <c r="W1621" s="36"/>
      <c r="X1621" s="36"/>
      <c r="Y1621" s="36"/>
    </row>
    <row r="1622">
      <c r="A1622" s="32"/>
      <c r="B1622" s="32"/>
      <c r="C1622" s="32"/>
      <c r="D1622" s="32"/>
      <c r="E1622" s="32"/>
      <c r="F1622" s="32"/>
      <c r="G1622" s="39"/>
      <c r="H1622" s="32"/>
      <c r="I1622" s="32"/>
      <c r="J1622" s="32"/>
      <c r="K1622" s="33"/>
      <c r="L1622" s="32"/>
      <c r="M1622" s="32"/>
      <c r="N1622" s="32"/>
      <c r="O1622" s="32"/>
      <c r="P1622" s="32"/>
      <c r="Q1622" s="34"/>
      <c r="R1622" s="35"/>
      <c r="S1622" s="35"/>
      <c r="T1622" s="36"/>
      <c r="U1622" s="36"/>
      <c r="V1622" s="36"/>
      <c r="W1622" s="36"/>
      <c r="X1622" s="36"/>
      <c r="Y1622" s="36"/>
    </row>
    <row r="1623">
      <c r="A1623" s="32"/>
      <c r="B1623" s="32"/>
      <c r="C1623" s="32"/>
      <c r="D1623" s="32"/>
      <c r="E1623" s="32"/>
      <c r="F1623" s="32"/>
      <c r="G1623" s="39"/>
      <c r="H1623" s="32"/>
      <c r="I1623" s="32"/>
      <c r="J1623" s="32"/>
      <c r="K1623" s="33"/>
      <c r="L1623" s="32"/>
      <c r="M1623" s="32"/>
      <c r="N1623" s="32"/>
      <c r="O1623" s="32"/>
      <c r="P1623" s="32"/>
      <c r="Q1623" s="34"/>
      <c r="R1623" s="35"/>
      <c r="S1623" s="35"/>
      <c r="T1623" s="36"/>
      <c r="U1623" s="36"/>
      <c r="V1623" s="36"/>
      <c r="W1623" s="36"/>
      <c r="X1623" s="36"/>
      <c r="Y1623" s="36"/>
    </row>
    <row r="1624">
      <c r="A1624" s="32"/>
      <c r="B1624" s="32"/>
      <c r="C1624" s="32"/>
      <c r="D1624" s="32"/>
      <c r="E1624" s="32"/>
      <c r="F1624" s="32"/>
      <c r="G1624" s="39"/>
      <c r="H1624" s="32"/>
      <c r="I1624" s="32"/>
      <c r="J1624" s="32"/>
      <c r="K1624" s="33"/>
      <c r="L1624" s="32"/>
      <c r="M1624" s="32"/>
      <c r="N1624" s="32"/>
      <c r="O1624" s="32"/>
      <c r="P1624" s="32"/>
      <c r="Q1624" s="34"/>
      <c r="R1624" s="35"/>
      <c r="S1624" s="35"/>
      <c r="T1624" s="36"/>
      <c r="U1624" s="36"/>
      <c r="V1624" s="36"/>
      <c r="W1624" s="36"/>
      <c r="X1624" s="36"/>
      <c r="Y1624" s="36"/>
    </row>
    <row r="1625">
      <c r="A1625" s="32"/>
      <c r="B1625" s="32"/>
      <c r="C1625" s="32"/>
      <c r="D1625" s="32"/>
      <c r="E1625" s="32"/>
      <c r="F1625" s="32"/>
      <c r="G1625" s="39"/>
      <c r="H1625" s="32"/>
      <c r="I1625" s="32"/>
      <c r="J1625" s="32"/>
      <c r="K1625" s="33"/>
      <c r="L1625" s="32"/>
      <c r="M1625" s="32"/>
      <c r="N1625" s="32"/>
      <c r="O1625" s="32"/>
      <c r="P1625" s="32"/>
      <c r="Q1625" s="34"/>
      <c r="R1625" s="35"/>
      <c r="S1625" s="35"/>
      <c r="T1625" s="36"/>
      <c r="U1625" s="36"/>
      <c r="V1625" s="36"/>
      <c r="W1625" s="36"/>
      <c r="X1625" s="36"/>
      <c r="Y1625" s="36"/>
    </row>
    <row r="1626">
      <c r="A1626" s="32"/>
      <c r="B1626" s="32"/>
      <c r="C1626" s="32"/>
      <c r="D1626" s="32"/>
      <c r="E1626" s="32"/>
      <c r="F1626" s="32"/>
      <c r="G1626" s="39"/>
      <c r="H1626" s="32"/>
      <c r="I1626" s="32"/>
      <c r="J1626" s="32"/>
      <c r="K1626" s="33"/>
      <c r="L1626" s="32"/>
      <c r="M1626" s="32"/>
      <c r="N1626" s="32"/>
      <c r="O1626" s="32"/>
      <c r="P1626" s="32"/>
      <c r="Q1626" s="34"/>
      <c r="R1626" s="35"/>
      <c r="S1626" s="35"/>
      <c r="T1626" s="36"/>
      <c r="U1626" s="36"/>
      <c r="V1626" s="36"/>
      <c r="W1626" s="36"/>
      <c r="X1626" s="36"/>
      <c r="Y1626" s="36"/>
    </row>
    <row r="1627">
      <c r="A1627" s="32"/>
      <c r="B1627" s="32"/>
      <c r="C1627" s="32"/>
      <c r="D1627" s="32"/>
      <c r="E1627" s="32"/>
      <c r="F1627" s="32"/>
      <c r="G1627" s="39"/>
      <c r="H1627" s="32"/>
      <c r="I1627" s="32"/>
      <c r="J1627" s="32"/>
      <c r="K1627" s="33"/>
      <c r="L1627" s="32"/>
      <c r="M1627" s="32"/>
      <c r="N1627" s="32"/>
      <c r="O1627" s="32"/>
      <c r="P1627" s="32"/>
      <c r="Q1627" s="34"/>
      <c r="R1627" s="35"/>
      <c r="S1627" s="35"/>
      <c r="T1627" s="36"/>
      <c r="U1627" s="36"/>
      <c r="V1627" s="36"/>
      <c r="W1627" s="36"/>
      <c r="X1627" s="36"/>
      <c r="Y1627" s="36"/>
    </row>
    <row r="1628">
      <c r="A1628" s="32"/>
      <c r="B1628" s="32"/>
      <c r="C1628" s="32"/>
      <c r="D1628" s="32"/>
      <c r="E1628" s="32"/>
      <c r="F1628" s="32"/>
      <c r="G1628" s="39"/>
      <c r="H1628" s="32"/>
      <c r="I1628" s="32"/>
      <c r="J1628" s="32"/>
      <c r="K1628" s="33"/>
      <c r="L1628" s="32"/>
      <c r="M1628" s="32"/>
      <c r="N1628" s="32"/>
      <c r="O1628" s="32"/>
      <c r="P1628" s="32"/>
      <c r="Q1628" s="34"/>
      <c r="R1628" s="35"/>
      <c r="S1628" s="35"/>
      <c r="T1628" s="36"/>
      <c r="U1628" s="36"/>
      <c r="V1628" s="36"/>
      <c r="W1628" s="36"/>
      <c r="X1628" s="36"/>
      <c r="Y1628" s="36"/>
    </row>
    <row r="1629">
      <c r="A1629" s="32"/>
      <c r="B1629" s="32"/>
      <c r="C1629" s="32"/>
      <c r="D1629" s="32"/>
      <c r="E1629" s="32"/>
      <c r="F1629" s="32"/>
      <c r="G1629" s="39"/>
      <c r="H1629" s="32"/>
      <c r="I1629" s="32"/>
      <c r="J1629" s="32"/>
      <c r="K1629" s="33"/>
      <c r="L1629" s="32"/>
      <c r="M1629" s="32"/>
      <c r="N1629" s="32"/>
      <c r="O1629" s="32"/>
      <c r="P1629" s="32"/>
      <c r="Q1629" s="34"/>
      <c r="R1629" s="35"/>
      <c r="S1629" s="35"/>
      <c r="T1629" s="36"/>
      <c r="U1629" s="36"/>
      <c r="V1629" s="36"/>
      <c r="W1629" s="36"/>
      <c r="X1629" s="36"/>
      <c r="Y1629" s="36"/>
    </row>
    <row r="1630">
      <c r="A1630" s="32"/>
      <c r="B1630" s="32"/>
      <c r="C1630" s="32"/>
      <c r="D1630" s="32"/>
      <c r="E1630" s="32"/>
      <c r="F1630" s="32"/>
      <c r="G1630" s="39"/>
      <c r="H1630" s="32"/>
      <c r="I1630" s="32"/>
      <c r="J1630" s="32"/>
      <c r="K1630" s="33"/>
      <c r="L1630" s="32"/>
      <c r="M1630" s="32"/>
      <c r="N1630" s="32"/>
      <c r="O1630" s="32"/>
      <c r="P1630" s="32"/>
      <c r="Q1630" s="34"/>
      <c r="R1630" s="35"/>
      <c r="S1630" s="35"/>
      <c r="T1630" s="36"/>
      <c r="U1630" s="36"/>
      <c r="V1630" s="36"/>
      <c r="W1630" s="36"/>
      <c r="X1630" s="36"/>
      <c r="Y1630" s="36"/>
    </row>
    <row r="1631">
      <c r="A1631" s="32"/>
      <c r="B1631" s="32"/>
      <c r="C1631" s="32"/>
      <c r="D1631" s="32"/>
      <c r="E1631" s="32"/>
      <c r="F1631" s="32"/>
      <c r="G1631" s="39"/>
      <c r="H1631" s="32"/>
      <c r="I1631" s="32"/>
      <c r="J1631" s="32"/>
      <c r="K1631" s="33"/>
      <c r="L1631" s="32"/>
      <c r="M1631" s="32"/>
      <c r="N1631" s="32"/>
      <c r="O1631" s="32"/>
      <c r="P1631" s="32"/>
      <c r="Q1631" s="34"/>
      <c r="R1631" s="35"/>
      <c r="S1631" s="35"/>
      <c r="T1631" s="36"/>
      <c r="U1631" s="36"/>
      <c r="V1631" s="36"/>
      <c r="W1631" s="36"/>
      <c r="X1631" s="36"/>
      <c r="Y1631" s="36"/>
    </row>
    <row r="1632">
      <c r="A1632" s="32"/>
      <c r="B1632" s="32"/>
      <c r="C1632" s="32"/>
      <c r="D1632" s="32"/>
      <c r="E1632" s="32"/>
      <c r="F1632" s="32"/>
      <c r="G1632" s="39"/>
      <c r="H1632" s="32"/>
      <c r="I1632" s="32"/>
      <c r="J1632" s="32"/>
      <c r="K1632" s="33"/>
      <c r="L1632" s="32"/>
      <c r="M1632" s="32"/>
      <c r="N1632" s="32"/>
      <c r="O1632" s="32"/>
      <c r="P1632" s="32"/>
      <c r="Q1632" s="34"/>
      <c r="R1632" s="35"/>
      <c r="S1632" s="35"/>
      <c r="T1632" s="36"/>
      <c r="U1632" s="36"/>
      <c r="V1632" s="36"/>
      <c r="W1632" s="36"/>
      <c r="X1632" s="36"/>
      <c r="Y1632" s="36"/>
    </row>
    <row r="1633">
      <c r="A1633" s="32"/>
      <c r="B1633" s="32"/>
      <c r="C1633" s="32"/>
      <c r="D1633" s="32"/>
      <c r="E1633" s="32"/>
      <c r="F1633" s="32"/>
      <c r="G1633" s="39"/>
      <c r="H1633" s="32"/>
      <c r="I1633" s="32"/>
      <c r="J1633" s="32"/>
      <c r="K1633" s="33"/>
      <c r="L1633" s="32"/>
      <c r="M1633" s="32"/>
      <c r="N1633" s="32"/>
      <c r="O1633" s="32"/>
      <c r="P1633" s="32"/>
      <c r="Q1633" s="34"/>
      <c r="R1633" s="35"/>
      <c r="S1633" s="35"/>
      <c r="T1633" s="36"/>
      <c r="U1633" s="36"/>
      <c r="V1633" s="36"/>
      <c r="W1633" s="36"/>
      <c r="X1633" s="36"/>
      <c r="Y1633" s="36"/>
    </row>
    <row r="1634">
      <c r="A1634" s="32"/>
      <c r="B1634" s="32"/>
      <c r="C1634" s="32"/>
      <c r="D1634" s="32"/>
      <c r="E1634" s="32"/>
      <c r="F1634" s="32"/>
      <c r="G1634" s="39"/>
      <c r="H1634" s="32"/>
      <c r="I1634" s="32"/>
      <c r="J1634" s="32"/>
      <c r="K1634" s="33"/>
      <c r="L1634" s="32"/>
      <c r="M1634" s="32"/>
      <c r="N1634" s="32"/>
      <c r="O1634" s="32"/>
      <c r="P1634" s="32"/>
      <c r="Q1634" s="34"/>
      <c r="R1634" s="35"/>
      <c r="S1634" s="35"/>
      <c r="T1634" s="36"/>
      <c r="U1634" s="36"/>
      <c r="V1634" s="36"/>
      <c r="W1634" s="36"/>
      <c r="X1634" s="36"/>
      <c r="Y1634" s="36"/>
    </row>
    <row r="1635">
      <c r="A1635" s="32"/>
      <c r="B1635" s="32"/>
      <c r="C1635" s="32"/>
      <c r="D1635" s="32"/>
      <c r="E1635" s="32"/>
      <c r="F1635" s="32"/>
      <c r="G1635" s="39"/>
      <c r="H1635" s="32"/>
      <c r="I1635" s="32"/>
      <c r="J1635" s="32"/>
      <c r="K1635" s="33"/>
      <c r="L1635" s="32"/>
      <c r="M1635" s="32"/>
      <c r="N1635" s="32"/>
      <c r="O1635" s="32"/>
      <c r="P1635" s="32"/>
      <c r="Q1635" s="34"/>
      <c r="R1635" s="35"/>
      <c r="S1635" s="35"/>
      <c r="T1635" s="36"/>
      <c r="U1635" s="36"/>
      <c r="V1635" s="36"/>
      <c r="W1635" s="36"/>
      <c r="X1635" s="36"/>
      <c r="Y1635" s="36"/>
    </row>
    <row r="1636">
      <c r="A1636" s="32"/>
      <c r="B1636" s="32"/>
      <c r="C1636" s="32"/>
      <c r="D1636" s="32"/>
      <c r="E1636" s="32"/>
      <c r="F1636" s="32"/>
      <c r="G1636" s="39"/>
      <c r="H1636" s="32"/>
      <c r="I1636" s="32"/>
      <c r="J1636" s="32"/>
      <c r="K1636" s="33"/>
      <c r="L1636" s="32"/>
      <c r="M1636" s="32"/>
      <c r="N1636" s="32"/>
      <c r="O1636" s="32"/>
      <c r="P1636" s="32"/>
      <c r="Q1636" s="34"/>
      <c r="R1636" s="35"/>
      <c r="S1636" s="35"/>
      <c r="T1636" s="36"/>
      <c r="U1636" s="36"/>
      <c r="V1636" s="36"/>
      <c r="W1636" s="36"/>
      <c r="X1636" s="36"/>
      <c r="Y1636" s="36"/>
    </row>
    <row r="1637">
      <c r="A1637" s="32"/>
      <c r="B1637" s="32"/>
      <c r="C1637" s="32"/>
      <c r="D1637" s="32"/>
      <c r="E1637" s="32"/>
      <c r="F1637" s="32"/>
      <c r="G1637" s="39"/>
      <c r="H1637" s="32"/>
      <c r="I1637" s="32"/>
      <c r="J1637" s="32"/>
      <c r="K1637" s="33"/>
      <c r="L1637" s="32"/>
      <c r="M1637" s="32"/>
      <c r="N1637" s="32"/>
      <c r="O1637" s="32"/>
      <c r="P1637" s="32"/>
      <c r="Q1637" s="34"/>
      <c r="R1637" s="35"/>
      <c r="S1637" s="35"/>
      <c r="T1637" s="36"/>
      <c r="U1637" s="36"/>
      <c r="V1637" s="36"/>
      <c r="W1637" s="36"/>
      <c r="X1637" s="36"/>
      <c r="Y1637" s="36"/>
    </row>
    <row r="1638">
      <c r="A1638" s="32"/>
      <c r="B1638" s="32"/>
      <c r="C1638" s="32"/>
      <c r="D1638" s="32"/>
      <c r="E1638" s="32"/>
      <c r="F1638" s="32"/>
      <c r="G1638" s="39"/>
      <c r="H1638" s="32"/>
      <c r="I1638" s="32"/>
      <c r="J1638" s="32"/>
      <c r="K1638" s="33"/>
      <c r="L1638" s="32"/>
      <c r="M1638" s="32"/>
      <c r="N1638" s="32"/>
      <c r="O1638" s="32"/>
      <c r="P1638" s="32"/>
      <c r="Q1638" s="34"/>
      <c r="R1638" s="35"/>
      <c r="S1638" s="35"/>
      <c r="T1638" s="36"/>
      <c r="U1638" s="36"/>
      <c r="V1638" s="36"/>
      <c r="W1638" s="36"/>
      <c r="X1638" s="36"/>
      <c r="Y1638" s="36"/>
    </row>
    <row r="1639">
      <c r="A1639" s="32"/>
      <c r="B1639" s="32"/>
      <c r="C1639" s="32"/>
      <c r="D1639" s="32"/>
      <c r="E1639" s="32"/>
      <c r="F1639" s="32"/>
      <c r="G1639" s="39"/>
      <c r="H1639" s="32"/>
      <c r="I1639" s="32"/>
      <c r="J1639" s="32"/>
      <c r="K1639" s="33"/>
      <c r="L1639" s="32"/>
      <c r="M1639" s="32"/>
      <c r="N1639" s="32"/>
      <c r="O1639" s="32"/>
      <c r="P1639" s="32"/>
      <c r="Q1639" s="34"/>
      <c r="R1639" s="35"/>
      <c r="S1639" s="35"/>
      <c r="T1639" s="36"/>
      <c r="U1639" s="36"/>
      <c r="V1639" s="36"/>
      <c r="W1639" s="36"/>
      <c r="X1639" s="36"/>
      <c r="Y1639" s="36"/>
    </row>
    <row r="1640">
      <c r="A1640" s="32"/>
      <c r="B1640" s="32"/>
      <c r="C1640" s="32"/>
      <c r="D1640" s="32"/>
      <c r="E1640" s="32"/>
      <c r="F1640" s="32"/>
      <c r="G1640" s="39"/>
      <c r="H1640" s="32"/>
      <c r="I1640" s="32"/>
      <c r="J1640" s="32"/>
      <c r="K1640" s="33"/>
      <c r="L1640" s="32"/>
      <c r="M1640" s="32"/>
      <c r="N1640" s="32"/>
      <c r="O1640" s="32"/>
      <c r="P1640" s="32"/>
      <c r="Q1640" s="34"/>
      <c r="R1640" s="35"/>
      <c r="S1640" s="35"/>
      <c r="T1640" s="36"/>
      <c r="U1640" s="36"/>
      <c r="V1640" s="36"/>
      <c r="W1640" s="36"/>
      <c r="X1640" s="36"/>
      <c r="Y1640" s="36"/>
    </row>
    <row r="1641">
      <c r="A1641" s="32"/>
      <c r="B1641" s="32"/>
      <c r="C1641" s="32"/>
      <c r="D1641" s="32"/>
      <c r="E1641" s="32"/>
      <c r="F1641" s="32"/>
      <c r="G1641" s="39"/>
      <c r="H1641" s="32"/>
      <c r="I1641" s="32"/>
      <c r="J1641" s="32"/>
      <c r="K1641" s="33"/>
      <c r="L1641" s="32"/>
      <c r="M1641" s="32"/>
      <c r="N1641" s="32"/>
      <c r="O1641" s="32"/>
      <c r="P1641" s="32"/>
      <c r="Q1641" s="34"/>
      <c r="R1641" s="35"/>
      <c r="S1641" s="35"/>
      <c r="T1641" s="36"/>
      <c r="U1641" s="36"/>
      <c r="V1641" s="36"/>
      <c r="W1641" s="36"/>
      <c r="X1641" s="36"/>
      <c r="Y1641" s="36"/>
    </row>
    <row r="1642">
      <c r="A1642" s="32"/>
      <c r="B1642" s="32"/>
      <c r="C1642" s="32"/>
      <c r="D1642" s="32"/>
      <c r="E1642" s="32"/>
      <c r="F1642" s="32"/>
      <c r="G1642" s="39"/>
      <c r="H1642" s="32"/>
      <c r="I1642" s="32"/>
      <c r="J1642" s="32"/>
      <c r="K1642" s="33"/>
      <c r="L1642" s="32"/>
      <c r="M1642" s="32"/>
      <c r="N1642" s="32"/>
      <c r="O1642" s="32"/>
      <c r="P1642" s="32"/>
      <c r="Q1642" s="34"/>
      <c r="R1642" s="35"/>
      <c r="S1642" s="35"/>
      <c r="T1642" s="36"/>
      <c r="U1642" s="36"/>
      <c r="V1642" s="36"/>
      <c r="W1642" s="36"/>
      <c r="X1642" s="36"/>
      <c r="Y1642" s="36"/>
    </row>
    <row r="1643">
      <c r="A1643" s="32"/>
      <c r="B1643" s="32"/>
      <c r="C1643" s="32"/>
      <c r="D1643" s="32"/>
      <c r="E1643" s="32"/>
      <c r="F1643" s="32"/>
      <c r="G1643" s="39"/>
      <c r="H1643" s="32"/>
      <c r="I1643" s="32"/>
      <c r="J1643" s="32"/>
      <c r="K1643" s="33"/>
      <c r="L1643" s="32"/>
      <c r="M1643" s="32"/>
      <c r="N1643" s="32"/>
      <c r="O1643" s="32"/>
      <c r="P1643" s="32"/>
      <c r="Q1643" s="34"/>
      <c r="R1643" s="35"/>
      <c r="S1643" s="35"/>
      <c r="T1643" s="36"/>
      <c r="U1643" s="36"/>
      <c r="V1643" s="36"/>
      <c r="W1643" s="36"/>
      <c r="X1643" s="36"/>
      <c r="Y1643" s="36"/>
    </row>
    <row r="1644">
      <c r="A1644" s="32"/>
      <c r="B1644" s="32"/>
      <c r="C1644" s="32"/>
      <c r="D1644" s="32"/>
      <c r="E1644" s="32"/>
      <c r="F1644" s="32"/>
      <c r="G1644" s="39"/>
      <c r="H1644" s="32"/>
      <c r="I1644" s="32"/>
      <c r="J1644" s="32"/>
      <c r="K1644" s="33"/>
      <c r="L1644" s="32"/>
      <c r="M1644" s="32"/>
      <c r="N1644" s="32"/>
      <c r="O1644" s="32"/>
      <c r="P1644" s="32"/>
      <c r="Q1644" s="34"/>
      <c r="R1644" s="35"/>
      <c r="S1644" s="35"/>
      <c r="T1644" s="36"/>
      <c r="U1644" s="36"/>
      <c r="V1644" s="36"/>
      <c r="W1644" s="36"/>
      <c r="X1644" s="36"/>
      <c r="Y1644" s="36"/>
    </row>
    <row r="1645">
      <c r="A1645" s="32"/>
      <c r="B1645" s="32"/>
      <c r="C1645" s="32"/>
      <c r="D1645" s="32"/>
      <c r="E1645" s="32"/>
      <c r="F1645" s="32"/>
      <c r="G1645" s="39"/>
      <c r="H1645" s="32"/>
      <c r="I1645" s="32"/>
      <c r="J1645" s="32"/>
      <c r="K1645" s="33"/>
      <c r="L1645" s="32"/>
      <c r="M1645" s="32"/>
      <c r="N1645" s="32"/>
      <c r="O1645" s="32"/>
      <c r="P1645" s="32"/>
      <c r="Q1645" s="34"/>
      <c r="R1645" s="35"/>
      <c r="S1645" s="35"/>
      <c r="T1645" s="36"/>
      <c r="U1645" s="36"/>
      <c r="V1645" s="36"/>
      <c r="W1645" s="36"/>
      <c r="X1645" s="36"/>
      <c r="Y1645" s="36"/>
    </row>
    <row r="1646">
      <c r="A1646" s="32"/>
      <c r="B1646" s="32"/>
      <c r="C1646" s="32"/>
      <c r="D1646" s="32"/>
      <c r="E1646" s="32"/>
      <c r="F1646" s="32"/>
      <c r="G1646" s="39"/>
      <c r="H1646" s="32"/>
      <c r="I1646" s="32"/>
      <c r="J1646" s="32"/>
      <c r="K1646" s="33"/>
      <c r="L1646" s="32"/>
      <c r="M1646" s="32"/>
      <c r="N1646" s="32"/>
      <c r="O1646" s="32"/>
      <c r="P1646" s="32"/>
      <c r="Q1646" s="34"/>
      <c r="R1646" s="35"/>
      <c r="S1646" s="35"/>
      <c r="T1646" s="36"/>
      <c r="U1646" s="36"/>
      <c r="V1646" s="36"/>
      <c r="W1646" s="36"/>
      <c r="X1646" s="36"/>
      <c r="Y1646" s="36"/>
    </row>
    <row r="1647">
      <c r="A1647" s="32"/>
      <c r="B1647" s="32"/>
      <c r="C1647" s="32"/>
      <c r="D1647" s="32"/>
      <c r="E1647" s="32"/>
      <c r="F1647" s="32"/>
      <c r="G1647" s="39"/>
      <c r="H1647" s="32"/>
      <c r="I1647" s="32"/>
      <c r="J1647" s="32"/>
      <c r="K1647" s="33"/>
      <c r="L1647" s="32"/>
      <c r="M1647" s="32"/>
      <c r="N1647" s="32"/>
      <c r="O1647" s="32"/>
      <c r="P1647" s="32"/>
      <c r="Q1647" s="34"/>
      <c r="R1647" s="35"/>
      <c r="S1647" s="35"/>
      <c r="T1647" s="36"/>
      <c r="U1647" s="36"/>
      <c r="V1647" s="36"/>
      <c r="W1647" s="36"/>
      <c r="X1647" s="36"/>
      <c r="Y1647" s="36"/>
    </row>
    <row r="1648">
      <c r="A1648" s="32"/>
      <c r="B1648" s="32"/>
      <c r="C1648" s="32"/>
      <c r="D1648" s="32"/>
      <c r="E1648" s="32"/>
      <c r="F1648" s="32"/>
      <c r="G1648" s="39"/>
      <c r="H1648" s="32"/>
      <c r="I1648" s="32"/>
      <c r="J1648" s="32"/>
      <c r="K1648" s="33"/>
      <c r="L1648" s="32"/>
      <c r="M1648" s="32"/>
      <c r="N1648" s="32"/>
      <c r="O1648" s="32"/>
      <c r="P1648" s="32"/>
      <c r="Q1648" s="34"/>
      <c r="R1648" s="35"/>
      <c r="S1648" s="35"/>
      <c r="T1648" s="36"/>
      <c r="U1648" s="36"/>
      <c r="V1648" s="36"/>
      <c r="W1648" s="36"/>
      <c r="X1648" s="36"/>
      <c r="Y1648" s="36"/>
    </row>
    <row r="1649">
      <c r="A1649" s="32"/>
      <c r="B1649" s="32"/>
      <c r="C1649" s="32"/>
      <c r="D1649" s="32"/>
      <c r="E1649" s="32"/>
      <c r="F1649" s="32"/>
      <c r="G1649" s="39"/>
      <c r="H1649" s="32"/>
      <c r="I1649" s="32"/>
      <c r="J1649" s="32"/>
      <c r="K1649" s="33"/>
      <c r="L1649" s="32"/>
      <c r="M1649" s="32"/>
      <c r="N1649" s="32"/>
      <c r="O1649" s="32"/>
      <c r="P1649" s="32"/>
      <c r="Q1649" s="34"/>
      <c r="R1649" s="35"/>
      <c r="S1649" s="35"/>
      <c r="T1649" s="36"/>
      <c r="U1649" s="36"/>
      <c r="V1649" s="36"/>
      <c r="W1649" s="36"/>
      <c r="X1649" s="36"/>
      <c r="Y1649" s="36"/>
    </row>
    <row r="1650">
      <c r="A1650" s="32"/>
      <c r="B1650" s="32"/>
      <c r="C1650" s="32"/>
      <c r="D1650" s="32"/>
      <c r="E1650" s="32"/>
      <c r="F1650" s="32"/>
      <c r="G1650" s="39"/>
      <c r="H1650" s="32"/>
      <c r="I1650" s="32"/>
      <c r="J1650" s="32"/>
      <c r="K1650" s="33"/>
      <c r="L1650" s="32"/>
      <c r="M1650" s="32"/>
      <c r="N1650" s="32"/>
      <c r="O1650" s="32"/>
      <c r="P1650" s="32"/>
      <c r="Q1650" s="34"/>
      <c r="R1650" s="35"/>
      <c r="S1650" s="35"/>
      <c r="T1650" s="36"/>
      <c r="U1650" s="36"/>
      <c r="V1650" s="36"/>
      <c r="W1650" s="36"/>
      <c r="X1650" s="36"/>
      <c r="Y1650" s="36"/>
    </row>
    <row r="1651">
      <c r="A1651" s="32"/>
      <c r="B1651" s="32"/>
      <c r="C1651" s="32"/>
      <c r="D1651" s="32"/>
      <c r="E1651" s="32"/>
      <c r="F1651" s="32"/>
      <c r="G1651" s="39"/>
      <c r="H1651" s="32"/>
      <c r="I1651" s="32"/>
      <c r="J1651" s="32"/>
      <c r="K1651" s="33"/>
      <c r="L1651" s="32"/>
      <c r="M1651" s="32"/>
      <c r="N1651" s="32"/>
      <c r="O1651" s="32"/>
      <c r="P1651" s="32"/>
      <c r="Q1651" s="34"/>
      <c r="R1651" s="35"/>
      <c r="S1651" s="35"/>
      <c r="T1651" s="36"/>
      <c r="U1651" s="36"/>
      <c r="V1651" s="36"/>
      <c r="W1651" s="36"/>
      <c r="X1651" s="36"/>
      <c r="Y1651" s="36"/>
    </row>
    <row r="1652">
      <c r="A1652" s="32"/>
      <c r="B1652" s="32"/>
      <c r="C1652" s="32"/>
      <c r="D1652" s="32"/>
      <c r="E1652" s="32"/>
      <c r="F1652" s="32"/>
      <c r="G1652" s="39"/>
      <c r="H1652" s="32"/>
      <c r="I1652" s="32"/>
      <c r="J1652" s="32"/>
      <c r="K1652" s="33"/>
      <c r="L1652" s="32"/>
      <c r="M1652" s="32"/>
      <c r="N1652" s="32"/>
      <c r="O1652" s="32"/>
      <c r="P1652" s="32"/>
      <c r="Q1652" s="34"/>
      <c r="R1652" s="35"/>
      <c r="S1652" s="35"/>
      <c r="T1652" s="36"/>
      <c r="U1652" s="36"/>
      <c r="V1652" s="36"/>
      <c r="W1652" s="36"/>
      <c r="X1652" s="36"/>
      <c r="Y1652" s="36"/>
    </row>
    <row r="1653">
      <c r="A1653" s="32"/>
      <c r="B1653" s="32"/>
      <c r="C1653" s="32"/>
      <c r="D1653" s="32"/>
      <c r="E1653" s="32"/>
      <c r="F1653" s="32"/>
      <c r="G1653" s="39"/>
      <c r="H1653" s="32"/>
      <c r="I1653" s="32"/>
      <c r="J1653" s="32"/>
      <c r="K1653" s="33"/>
      <c r="L1653" s="32"/>
      <c r="M1653" s="32"/>
      <c r="N1653" s="32"/>
      <c r="O1653" s="32"/>
      <c r="P1653" s="32"/>
      <c r="Q1653" s="34"/>
      <c r="R1653" s="35"/>
      <c r="S1653" s="35"/>
      <c r="T1653" s="36"/>
      <c r="U1653" s="36"/>
      <c r="V1653" s="36"/>
      <c r="W1653" s="36"/>
      <c r="X1653" s="36"/>
      <c r="Y1653" s="36"/>
    </row>
    <row r="1654">
      <c r="A1654" s="32"/>
      <c r="B1654" s="32"/>
      <c r="C1654" s="32"/>
      <c r="D1654" s="32"/>
      <c r="E1654" s="32"/>
      <c r="F1654" s="32"/>
      <c r="G1654" s="39"/>
      <c r="H1654" s="32"/>
      <c r="I1654" s="32"/>
      <c r="J1654" s="32"/>
      <c r="K1654" s="33"/>
      <c r="L1654" s="32"/>
      <c r="M1654" s="32"/>
      <c r="N1654" s="32"/>
      <c r="O1654" s="32"/>
      <c r="P1654" s="32"/>
      <c r="Q1654" s="34"/>
      <c r="R1654" s="35"/>
      <c r="S1654" s="35"/>
      <c r="T1654" s="36"/>
      <c r="U1654" s="36"/>
      <c r="V1654" s="36"/>
      <c r="W1654" s="36"/>
      <c r="X1654" s="36"/>
      <c r="Y1654" s="36"/>
    </row>
    <row r="1655">
      <c r="A1655" s="32"/>
      <c r="B1655" s="32"/>
      <c r="C1655" s="32"/>
      <c r="D1655" s="32"/>
      <c r="E1655" s="32"/>
      <c r="F1655" s="32"/>
      <c r="G1655" s="39"/>
      <c r="H1655" s="32"/>
      <c r="I1655" s="32"/>
      <c r="J1655" s="32"/>
      <c r="K1655" s="33"/>
      <c r="L1655" s="32"/>
      <c r="M1655" s="32"/>
      <c r="N1655" s="32"/>
      <c r="O1655" s="32"/>
      <c r="P1655" s="32"/>
      <c r="Q1655" s="34"/>
      <c r="R1655" s="35"/>
      <c r="S1655" s="35"/>
      <c r="T1655" s="36"/>
      <c r="U1655" s="36"/>
      <c r="V1655" s="36"/>
      <c r="W1655" s="36"/>
      <c r="X1655" s="36"/>
      <c r="Y1655" s="36"/>
    </row>
    <row r="1656">
      <c r="A1656" s="32"/>
      <c r="B1656" s="32"/>
      <c r="C1656" s="32"/>
      <c r="D1656" s="32"/>
      <c r="E1656" s="32"/>
      <c r="F1656" s="32"/>
      <c r="G1656" s="39"/>
      <c r="H1656" s="32"/>
      <c r="I1656" s="32"/>
      <c r="J1656" s="32"/>
      <c r="K1656" s="33"/>
      <c r="L1656" s="32"/>
      <c r="M1656" s="32"/>
      <c r="N1656" s="32"/>
      <c r="O1656" s="32"/>
      <c r="P1656" s="32"/>
      <c r="Q1656" s="34"/>
      <c r="R1656" s="35"/>
      <c r="S1656" s="35"/>
      <c r="T1656" s="36"/>
      <c r="U1656" s="36"/>
      <c r="V1656" s="36"/>
      <c r="W1656" s="36"/>
      <c r="X1656" s="36"/>
      <c r="Y1656" s="36"/>
    </row>
    <row r="1657">
      <c r="A1657" s="32"/>
      <c r="B1657" s="32"/>
      <c r="C1657" s="32"/>
      <c r="D1657" s="32"/>
      <c r="E1657" s="32"/>
      <c r="F1657" s="32"/>
      <c r="G1657" s="39"/>
      <c r="H1657" s="32"/>
      <c r="I1657" s="32"/>
      <c r="J1657" s="32"/>
      <c r="K1657" s="33"/>
      <c r="L1657" s="32"/>
      <c r="M1657" s="32"/>
      <c r="N1657" s="32"/>
      <c r="O1657" s="32"/>
      <c r="P1657" s="32"/>
      <c r="Q1657" s="34"/>
      <c r="R1657" s="35"/>
      <c r="S1657" s="35"/>
      <c r="T1657" s="36"/>
      <c r="U1657" s="36"/>
      <c r="V1657" s="36"/>
      <c r="W1657" s="36"/>
      <c r="X1657" s="36"/>
      <c r="Y1657" s="36"/>
    </row>
    <row r="1658">
      <c r="A1658" s="32"/>
      <c r="B1658" s="32"/>
      <c r="C1658" s="32"/>
      <c r="D1658" s="32"/>
      <c r="E1658" s="32"/>
      <c r="F1658" s="32"/>
      <c r="G1658" s="39"/>
      <c r="H1658" s="32"/>
      <c r="I1658" s="32"/>
      <c r="J1658" s="32"/>
      <c r="K1658" s="33"/>
      <c r="L1658" s="32"/>
      <c r="M1658" s="32"/>
      <c r="N1658" s="32"/>
      <c r="O1658" s="32"/>
      <c r="P1658" s="32"/>
      <c r="Q1658" s="34"/>
      <c r="R1658" s="35"/>
      <c r="S1658" s="35"/>
      <c r="T1658" s="36"/>
      <c r="U1658" s="36"/>
      <c r="V1658" s="36"/>
      <c r="W1658" s="36"/>
      <c r="X1658" s="36"/>
      <c r="Y1658" s="36"/>
    </row>
    <row r="1659">
      <c r="A1659" s="32"/>
      <c r="B1659" s="32"/>
      <c r="C1659" s="32"/>
      <c r="D1659" s="32"/>
      <c r="E1659" s="32"/>
      <c r="F1659" s="32"/>
      <c r="G1659" s="39"/>
      <c r="H1659" s="32"/>
      <c r="I1659" s="32"/>
      <c r="J1659" s="32"/>
      <c r="K1659" s="33"/>
      <c r="L1659" s="32"/>
      <c r="M1659" s="32"/>
      <c r="N1659" s="32"/>
      <c r="O1659" s="32"/>
      <c r="P1659" s="32"/>
      <c r="Q1659" s="34"/>
      <c r="R1659" s="35"/>
      <c r="S1659" s="35"/>
      <c r="T1659" s="36"/>
      <c r="U1659" s="36"/>
      <c r="V1659" s="36"/>
      <c r="W1659" s="36"/>
      <c r="X1659" s="36"/>
      <c r="Y1659" s="36"/>
    </row>
    <row r="1660">
      <c r="A1660" s="32"/>
      <c r="B1660" s="32"/>
      <c r="C1660" s="32"/>
      <c r="D1660" s="32"/>
      <c r="E1660" s="32"/>
      <c r="F1660" s="32"/>
      <c r="G1660" s="39"/>
      <c r="H1660" s="32"/>
      <c r="I1660" s="32"/>
      <c r="J1660" s="32"/>
      <c r="K1660" s="33"/>
      <c r="L1660" s="32"/>
      <c r="M1660" s="32"/>
      <c r="N1660" s="32"/>
      <c r="O1660" s="32"/>
      <c r="P1660" s="32"/>
      <c r="Q1660" s="34"/>
      <c r="R1660" s="35"/>
      <c r="S1660" s="35"/>
      <c r="T1660" s="36"/>
      <c r="U1660" s="36"/>
      <c r="V1660" s="36"/>
      <c r="W1660" s="36"/>
      <c r="X1660" s="36"/>
      <c r="Y1660" s="36"/>
    </row>
    <row r="1661">
      <c r="A1661" s="32"/>
      <c r="B1661" s="32"/>
      <c r="C1661" s="32"/>
      <c r="D1661" s="32"/>
      <c r="E1661" s="32"/>
      <c r="F1661" s="32"/>
      <c r="G1661" s="39"/>
      <c r="H1661" s="32"/>
      <c r="I1661" s="32"/>
      <c r="J1661" s="32"/>
      <c r="K1661" s="33"/>
      <c r="L1661" s="32"/>
      <c r="M1661" s="32"/>
      <c r="N1661" s="32"/>
      <c r="O1661" s="32"/>
      <c r="P1661" s="32"/>
      <c r="Q1661" s="34"/>
      <c r="R1661" s="35"/>
      <c r="S1661" s="35"/>
      <c r="T1661" s="36"/>
      <c r="U1661" s="36"/>
      <c r="V1661" s="36"/>
      <c r="W1661" s="36"/>
      <c r="X1661" s="36"/>
      <c r="Y1661" s="36"/>
    </row>
    <row r="1662">
      <c r="A1662" s="32"/>
      <c r="B1662" s="32"/>
      <c r="C1662" s="32"/>
      <c r="D1662" s="32"/>
      <c r="E1662" s="32"/>
      <c r="F1662" s="32"/>
      <c r="G1662" s="39"/>
      <c r="H1662" s="32"/>
      <c r="I1662" s="32"/>
      <c r="J1662" s="32"/>
      <c r="K1662" s="33"/>
      <c r="L1662" s="32"/>
      <c r="M1662" s="32"/>
      <c r="N1662" s="32"/>
      <c r="O1662" s="32"/>
      <c r="P1662" s="32"/>
      <c r="Q1662" s="34"/>
      <c r="R1662" s="35"/>
      <c r="S1662" s="35"/>
      <c r="T1662" s="36"/>
      <c r="U1662" s="36"/>
      <c r="V1662" s="36"/>
      <c r="W1662" s="36"/>
      <c r="X1662" s="36"/>
      <c r="Y1662" s="36"/>
    </row>
    <row r="1663">
      <c r="A1663" s="32"/>
      <c r="B1663" s="32"/>
      <c r="C1663" s="32"/>
      <c r="D1663" s="32"/>
      <c r="E1663" s="32"/>
      <c r="F1663" s="32"/>
      <c r="G1663" s="39"/>
      <c r="H1663" s="32"/>
      <c r="I1663" s="32"/>
      <c r="J1663" s="32"/>
      <c r="K1663" s="33"/>
      <c r="L1663" s="32"/>
      <c r="M1663" s="32"/>
      <c r="N1663" s="32"/>
      <c r="O1663" s="32"/>
      <c r="P1663" s="32"/>
      <c r="Q1663" s="34"/>
      <c r="R1663" s="35"/>
      <c r="S1663" s="35"/>
      <c r="T1663" s="36"/>
      <c r="U1663" s="36"/>
      <c r="V1663" s="36"/>
      <c r="W1663" s="36"/>
      <c r="X1663" s="36"/>
      <c r="Y1663" s="36"/>
    </row>
    <row r="1664">
      <c r="A1664" s="32"/>
      <c r="B1664" s="32"/>
      <c r="C1664" s="32"/>
      <c r="D1664" s="32"/>
      <c r="E1664" s="32"/>
      <c r="F1664" s="32"/>
      <c r="G1664" s="39"/>
      <c r="H1664" s="32"/>
      <c r="I1664" s="32"/>
      <c r="J1664" s="32"/>
      <c r="K1664" s="33"/>
      <c r="L1664" s="32"/>
      <c r="M1664" s="32"/>
      <c r="N1664" s="32"/>
      <c r="O1664" s="32"/>
      <c r="P1664" s="32"/>
      <c r="Q1664" s="34"/>
      <c r="R1664" s="35"/>
      <c r="S1664" s="35"/>
      <c r="T1664" s="36"/>
      <c r="U1664" s="36"/>
      <c r="V1664" s="36"/>
      <c r="W1664" s="36"/>
      <c r="X1664" s="36"/>
      <c r="Y1664" s="36"/>
    </row>
    <row r="1665">
      <c r="A1665" s="32"/>
      <c r="B1665" s="32"/>
      <c r="C1665" s="32"/>
      <c r="D1665" s="32"/>
      <c r="E1665" s="32"/>
      <c r="F1665" s="32"/>
      <c r="G1665" s="39"/>
      <c r="H1665" s="32"/>
      <c r="I1665" s="32"/>
      <c r="J1665" s="32"/>
      <c r="K1665" s="33"/>
      <c r="L1665" s="32"/>
      <c r="M1665" s="32"/>
      <c r="N1665" s="32"/>
      <c r="O1665" s="32"/>
      <c r="P1665" s="32"/>
      <c r="Q1665" s="34"/>
      <c r="R1665" s="35"/>
      <c r="S1665" s="35"/>
      <c r="T1665" s="36"/>
      <c r="U1665" s="36"/>
      <c r="V1665" s="36"/>
      <c r="W1665" s="36"/>
      <c r="X1665" s="36"/>
      <c r="Y1665" s="36"/>
    </row>
    <row r="1666">
      <c r="A1666" s="32"/>
      <c r="B1666" s="32"/>
      <c r="C1666" s="32"/>
      <c r="D1666" s="32"/>
      <c r="E1666" s="32"/>
      <c r="F1666" s="32"/>
      <c r="G1666" s="39"/>
      <c r="H1666" s="32"/>
      <c r="I1666" s="32"/>
      <c r="J1666" s="32"/>
      <c r="K1666" s="33"/>
      <c r="L1666" s="32"/>
      <c r="M1666" s="32"/>
      <c r="N1666" s="32"/>
      <c r="O1666" s="32"/>
      <c r="P1666" s="32"/>
      <c r="Q1666" s="34"/>
      <c r="R1666" s="35"/>
      <c r="S1666" s="35"/>
      <c r="T1666" s="36"/>
      <c r="U1666" s="36"/>
      <c r="V1666" s="36"/>
      <c r="W1666" s="36"/>
      <c r="X1666" s="36"/>
      <c r="Y1666" s="36"/>
    </row>
    <row r="1667">
      <c r="A1667" s="32"/>
      <c r="B1667" s="32"/>
      <c r="C1667" s="32"/>
      <c r="D1667" s="32"/>
      <c r="E1667" s="32"/>
      <c r="F1667" s="32"/>
      <c r="G1667" s="39"/>
      <c r="H1667" s="32"/>
      <c r="I1667" s="32"/>
      <c r="J1667" s="32"/>
      <c r="K1667" s="33"/>
      <c r="L1667" s="32"/>
      <c r="M1667" s="32"/>
      <c r="N1667" s="32"/>
      <c r="O1667" s="32"/>
      <c r="P1667" s="32"/>
      <c r="Q1667" s="34"/>
      <c r="R1667" s="35"/>
      <c r="S1667" s="35"/>
      <c r="T1667" s="36"/>
      <c r="U1667" s="36"/>
      <c r="V1667" s="36"/>
      <c r="W1667" s="36"/>
      <c r="X1667" s="36"/>
      <c r="Y1667" s="36"/>
    </row>
    <row r="1668">
      <c r="A1668" s="32"/>
      <c r="B1668" s="32"/>
      <c r="C1668" s="32"/>
      <c r="D1668" s="32"/>
      <c r="E1668" s="32"/>
      <c r="F1668" s="32"/>
      <c r="G1668" s="39"/>
      <c r="H1668" s="32"/>
      <c r="I1668" s="32"/>
      <c r="J1668" s="32"/>
      <c r="K1668" s="33"/>
      <c r="L1668" s="32"/>
      <c r="M1668" s="32"/>
      <c r="N1668" s="32"/>
      <c r="O1668" s="32"/>
      <c r="P1668" s="32"/>
      <c r="Q1668" s="34"/>
      <c r="R1668" s="35"/>
      <c r="S1668" s="35"/>
      <c r="T1668" s="36"/>
      <c r="U1668" s="36"/>
      <c r="V1668" s="36"/>
      <c r="W1668" s="36"/>
      <c r="X1668" s="36"/>
      <c r="Y1668" s="36"/>
    </row>
    <row r="1669">
      <c r="A1669" s="32"/>
      <c r="B1669" s="32"/>
      <c r="C1669" s="32"/>
      <c r="D1669" s="32"/>
      <c r="E1669" s="32"/>
      <c r="F1669" s="32"/>
      <c r="G1669" s="39"/>
      <c r="H1669" s="32"/>
      <c r="I1669" s="32"/>
      <c r="J1669" s="32"/>
      <c r="K1669" s="33"/>
      <c r="L1669" s="32"/>
      <c r="M1669" s="32"/>
      <c r="N1669" s="32"/>
      <c r="O1669" s="32"/>
      <c r="P1669" s="32"/>
      <c r="Q1669" s="34"/>
      <c r="R1669" s="35"/>
      <c r="S1669" s="35"/>
      <c r="T1669" s="36"/>
      <c r="U1669" s="36"/>
      <c r="V1669" s="36"/>
      <c r="W1669" s="36"/>
      <c r="X1669" s="36"/>
      <c r="Y1669" s="36"/>
    </row>
    <row r="1670">
      <c r="A1670" s="32"/>
      <c r="B1670" s="32"/>
      <c r="C1670" s="32"/>
      <c r="D1670" s="32"/>
      <c r="E1670" s="32"/>
      <c r="F1670" s="32"/>
      <c r="G1670" s="39"/>
      <c r="H1670" s="32"/>
      <c r="I1670" s="32"/>
      <c r="J1670" s="32"/>
      <c r="K1670" s="33"/>
      <c r="L1670" s="32"/>
      <c r="M1670" s="32"/>
      <c r="N1670" s="32"/>
      <c r="O1670" s="32"/>
      <c r="P1670" s="32"/>
      <c r="Q1670" s="34"/>
      <c r="R1670" s="35"/>
      <c r="S1670" s="35"/>
      <c r="T1670" s="36"/>
      <c r="U1670" s="36"/>
      <c r="V1670" s="36"/>
      <c r="W1670" s="36"/>
      <c r="X1670" s="36"/>
      <c r="Y1670" s="36"/>
    </row>
    <row r="1671">
      <c r="A1671" s="32"/>
      <c r="B1671" s="32"/>
      <c r="C1671" s="32"/>
      <c r="D1671" s="32"/>
      <c r="E1671" s="32"/>
      <c r="F1671" s="32"/>
      <c r="G1671" s="39"/>
      <c r="H1671" s="32"/>
      <c r="I1671" s="32"/>
      <c r="J1671" s="32"/>
      <c r="K1671" s="33"/>
      <c r="L1671" s="32"/>
      <c r="M1671" s="32"/>
      <c r="N1671" s="32"/>
      <c r="O1671" s="32"/>
      <c r="P1671" s="32"/>
      <c r="Q1671" s="34"/>
      <c r="R1671" s="35"/>
      <c r="S1671" s="35"/>
      <c r="T1671" s="36"/>
      <c r="U1671" s="36"/>
      <c r="V1671" s="36"/>
      <c r="W1671" s="36"/>
      <c r="X1671" s="36"/>
      <c r="Y1671" s="36"/>
    </row>
    <row r="1672">
      <c r="A1672" s="32"/>
      <c r="B1672" s="32"/>
      <c r="C1672" s="32"/>
      <c r="D1672" s="32"/>
      <c r="E1672" s="32"/>
      <c r="F1672" s="32"/>
      <c r="G1672" s="39"/>
      <c r="H1672" s="32"/>
      <c r="I1672" s="32"/>
      <c r="J1672" s="32"/>
      <c r="K1672" s="33"/>
      <c r="L1672" s="32"/>
      <c r="M1672" s="32"/>
      <c r="N1672" s="32"/>
      <c r="O1672" s="32"/>
      <c r="P1672" s="32"/>
      <c r="Q1672" s="34"/>
      <c r="R1672" s="35"/>
      <c r="S1672" s="35"/>
      <c r="T1672" s="36"/>
      <c r="U1672" s="36"/>
      <c r="V1672" s="36"/>
      <c r="W1672" s="36"/>
      <c r="X1672" s="36"/>
      <c r="Y1672" s="36"/>
    </row>
    <row r="1673">
      <c r="A1673" s="32"/>
      <c r="B1673" s="32"/>
      <c r="C1673" s="32"/>
      <c r="D1673" s="32"/>
      <c r="E1673" s="32"/>
      <c r="F1673" s="32"/>
      <c r="G1673" s="39"/>
      <c r="H1673" s="32"/>
      <c r="I1673" s="32"/>
      <c r="J1673" s="32"/>
      <c r="K1673" s="33"/>
      <c r="L1673" s="32"/>
      <c r="M1673" s="32"/>
      <c r="N1673" s="32"/>
      <c r="O1673" s="32"/>
      <c r="P1673" s="32"/>
      <c r="Q1673" s="34"/>
      <c r="R1673" s="35"/>
      <c r="S1673" s="35"/>
      <c r="T1673" s="36"/>
      <c r="U1673" s="36"/>
      <c r="V1673" s="36"/>
      <c r="W1673" s="36"/>
      <c r="X1673" s="36"/>
      <c r="Y1673" s="36"/>
    </row>
    <row r="1674">
      <c r="A1674" s="32"/>
      <c r="B1674" s="32"/>
      <c r="C1674" s="32"/>
      <c r="D1674" s="32"/>
      <c r="E1674" s="32"/>
      <c r="F1674" s="32"/>
      <c r="G1674" s="39"/>
      <c r="H1674" s="32"/>
      <c r="I1674" s="32"/>
      <c r="J1674" s="32"/>
      <c r="K1674" s="33"/>
      <c r="L1674" s="32"/>
      <c r="M1674" s="32"/>
      <c r="N1674" s="32"/>
      <c r="O1674" s="32"/>
      <c r="P1674" s="32"/>
      <c r="Q1674" s="34"/>
      <c r="R1674" s="35"/>
      <c r="S1674" s="35"/>
      <c r="T1674" s="36"/>
      <c r="U1674" s="36"/>
      <c r="V1674" s="36"/>
      <c r="W1674" s="36"/>
      <c r="X1674" s="36"/>
      <c r="Y1674" s="36"/>
    </row>
    <row r="1675">
      <c r="A1675" s="32"/>
      <c r="B1675" s="32"/>
      <c r="C1675" s="32"/>
      <c r="D1675" s="32"/>
      <c r="E1675" s="32"/>
      <c r="F1675" s="32"/>
      <c r="G1675" s="39"/>
      <c r="H1675" s="32"/>
      <c r="I1675" s="32"/>
      <c r="J1675" s="32"/>
      <c r="K1675" s="33"/>
      <c r="L1675" s="32"/>
      <c r="M1675" s="32"/>
      <c r="N1675" s="32"/>
      <c r="O1675" s="32"/>
      <c r="P1675" s="32"/>
      <c r="Q1675" s="34"/>
      <c r="R1675" s="35"/>
      <c r="S1675" s="35"/>
      <c r="T1675" s="36"/>
      <c r="U1675" s="36"/>
      <c r="V1675" s="36"/>
      <c r="W1675" s="36"/>
      <c r="X1675" s="36"/>
      <c r="Y1675" s="36"/>
    </row>
    <row r="1676">
      <c r="A1676" s="32"/>
      <c r="B1676" s="32"/>
      <c r="C1676" s="32"/>
      <c r="D1676" s="32"/>
      <c r="E1676" s="32"/>
      <c r="F1676" s="32"/>
      <c r="G1676" s="39"/>
      <c r="H1676" s="32"/>
      <c r="I1676" s="32"/>
      <c r="J1676" s="32"/>
      <c r="K1676" s="33"/>
      <c r="L1676" s="32"/>
      <c r="M1676" s="32"/>
      <c r="N1676" s="32"/>
      <c r="O1676" s="32"/>
      <c r="P1676" s="32"/>
      <c r="Q1676" s="34"/>
      <c r="R1676" s="35"/>
      <c r="S1676" s="35"/>
      <c r="T1676" s="36"/>
      <c r="U1676" s="36"/>
      <c r="V1676" s="36"/>
      <c r="W1676" s="36"/>
      <c r="X1676" s="36"/>
      <c r="Y1676" s="36"/>
    </row>
    <row r="1677">
      <c r="A1677" s="32"/>
      <c r="B1677" s="32"/>
      <c r="C1677" s="32"/>
      <c r="D1677" s="32"/>
      <c r="E1677" s="32"/>
      <c r="F1677" s="32"/>
      <c r="G1677" s="39"/>
      <c r="H1677" s="32"/>
      <c r="I1677" s="32"/>
      <c r="J1677" s="32"/>
      <c r="K1677" s="33"/>
      <c r="L1677" s="32"/>
      <c r="M1677" s="32"/>
      <c r="N1677" s="32"/>
      <c r="O1677" s="32"/>
      <c r="P1677" s="32"/>
      <c r="Q1677" s="34"/>
      <c r="R1677" s="35"/>
      <c r="S1677" s="35"/>
      <c r="T1677" s="36"/>
      <c r="U1677" s="36"/>
      <c r="V1677" s="36"/>
      <c r="W1677" s="36"/>
      <c r="X1677" s="36"/>
      <c r="Y1677" s="36"/>
    </row>
    <row r="1678">
      <c r="A1678" s="32"/>
      <c r="B1678" s="32"/>
      <c r="C1678" s="32"/>
      <c r="D1678" s="32"/>
      <c r="E1678" s="32"/>
      <c r="F1678" s="32"/>
      <c r="G1678" s="39"/>
      <c r="H1678" s="32"/>
      <c r="I1678" s="32"/>
      <c r="J1678" s="32"/>
      <c r="K1678" s="33"/>
      <c r="L1678" s="32"/>
      <c r="M1678" s="32"/>
      <c r="N1678" s="32"/>
      <c r="O1678" s="32"/>
      <c r="P1678" s="32"/>
      <c r="Q1678" s="34"/>
      <c r="R1678" s="35"/>
      <c r="S1678" s="35"/>
      <c r="T1678" s="36"/>
      <c r="U1678" s="36"/>
      <c r="V1678" s="36"/>
      <c r="W1678" s="36"/>
      <c r="X1678" s="36"/>
      <c r="Y1678" s="36"/>
    </row>
    <row r="1679">
      <c r="A1679" s="32"/>
      <c r="B1679" s="32"/>
      <c r="C1679" s="32"/>
      <c r="D1679" s="32"/>
      <c r="E1679" s="32"/>
      <c r="F1679" s="32"/>
      <c r="G1679" s="39"/>
      <c r="H1679" s="32"/>
      <c r="I1679" s="32"/>
      <c r="J1679" s="32"/>
      <c r="K1679" s="33"/>
      <c r="L1679" s="32"/>
      <c r="M1679" s="32"/>
      <c r="N1679" s="32"/>
      <c r="O1679" s="32"/>
      <c r="P1679" s="32"/>
      <c r="Q1679" s="34"/>
      <c r="R1679" s="35"/>
      <c r="S1679" s="35"/>
      <c r="T1679" s="36"/>
      <c r="U1679" s="36"/>
      <c r="V1679" s="36"/>
      <c r="W1679" s="36"/>
      <c r="X1679" s="36"/>
      <c r="Y1679" s="36"/>
    </row>
    <row r="1680">
      <c r="A1680" s="32"/>
      <c r="B1680" s="32"/>
      <c r="C1680" s="32"/>
      <c r="D1680" s="32"/>
      <c r="E1680" s="32"/>
      <c r="F1680" s="32"/>
      <c r="G1680" s="39"/>
      <c r="H1680" s="32"/>
      <c r="I1680" s="32"/>
      <c r="J1680" s="32"/>
      <c r="K1680" s="33"/>
      <c r="L1680" s="32"/>
      <c r="M1680" s="32"/>
      <c r="N1680" s="32"/>
      <c r="O1680" s="32"/>
      <c r="P1680" s="32"/>
      <c r="Q1680" s="34"/>
      <c r="R1680" s="35"/>
      <c r="S1680" s="35"/>
      <c r="T1680" s="36"/>
      <c r="U1680" s="36"/>
      <c r="V1680" s="36"/>
      <c r="W1680" s="36"/>
      <c r="X1680" s="36"/>
      <c r="Y1680" s="36"/>
    </row>
    <row r="1681">
      <c r="A1681" s="32"/>
      <c r="B1681" s="32"/>
      <c r="C1681" s="32"/>
      <c r="D1681" s="32"/>
      <c r="E1681" s="32"/>
      <c r="F1681" s="32"/>
      <c r="G1681" s="39"/>
      <c r="H1681" s="32"/>
      <c r="I1681" s="32"/>
      <c r="J1681" s="32"/>
      <c r="K1681" s="33"/>
      <c r="L1681" s="32"/>
      <c r="M1681" s="32"/>
      <c r="N1681" s="32"/>
      <c r="O1681" s="32"/>
      <c r="P1681" s="32"/>
      <c r="Q1681" s="34"/>
      <c r="R1681" s="35"/>
      <c r="S1681" s="35"/>
      <c r="T1681" s="36"/>
      <c r="U1681" s="36"/>
      <c r="V1681" s="36"/>
      <c r="W1681" s="36"/>
      <c r="X1681" s="36"/>
      <c r="Y1681" s="36"/>
    </row>
    <row r="1682">
      <c r="A1682" s="32"/>
      <c r="B1682" s="32"/>
      <c r="C1682" s="32"/>
      <c r="D1682" s="32"/>
      <c r="E1682" s="32"/>
      <c r="F1682" s="32"/>
      <c r="G1682" s="39"/>
      <c r="H1682" s="32"/>
      <c r="I1682" s="32"/>
      <c r="J1682" s="32"/>
      <c r="K1682" s="33"/>
      <c r="L1682" s="32"/>
      <c r="M1682" s="32"/>
      <c r="N1682" s="32"/>
      <c r="O1682" s="32"/>
      <c r="P1682" s="32"/>
      <c r="Q1682" s="34"/>
      <c r="R1682" s="35"/>
      <c r="S1682" s="35"/>
      <c r="T1682" s="36"/>
      <c r="U1682" s="36"/>
      <c r="V1682" s="36"/>
      <c r="W1682" s="36"/>
      <c r="X1682" s="36"/>
      <c r="Y1682" s="36"/>
    </row>
    <row r="1683">
      <c r="A1683" s="32"/>
      <c r="B1683" s="32"/>
      <c r="C1683" s="32"/>
      <c r="D1683" s="32"/>
      <c r="E1683" s="32"/>
      <c r="F1683" s="32"/>
      <c r="G1683" s="39"/>
      <c r="H1683" s="32"/>
      <c r="I1683" s="32"/>
      <c r="J1683" s="32"/>
      <c r="K1683" s="33"/>
      <c r="L1683" s="32"/>
      <c r="M1683" s="32"/>
      <c r="N1683" s="32"/>
      <c r="O1683" s="32"/>
      <c r="P1683" s="32"/>
      <c r="Q1683" s="34"/>
      <c r="R1683" s="35"/>
      <c r="S1683" s="35"/>
      <c r="T1683" s="36"/>
      <c r="U1683" s="36"/>
      <c r="V1683" s="36"/>
      <c r="W1683" s="36"/>
      <c r="X1683" s="36"/>
      <c r="Y1683" s="36"/>
    </row>
    <row r="1684">
      <c r="A1684" s="32"/>
      <c r="B1684" s="32"/>
      <c r="C1684" s="32"/>
      <c r="D1684" s="32"/>
      <c r="E1684" s="32"/>
      <c r="F1684" s="32"/>
      <c r="G1684" s="39"/>
      <c r="H1684" s="32"/>
      <c r="I1684" s="32"/>
      <c r="J1684" s="32"/>
      <c r="K1684" s="33"/>
      <c r="L1684" s="32"/>
      <c r="M1684" s="32"/>
      <c r="N1684" s="32"/>
      <c r="O1684" s="32"/>
      <c r="P1684" s="32"/>
      <c r="Q1684" s="34"/>
      <c r="R1684" s="35"/>
      <c r="S1684" s="35"/>
      <c r="T1684" s="36"/>
      <c r="U1684" s="36"/>
      <c r="V1684" s="36"/>
      <c r="W1684" s="36"/>
      <c r="X1684" s="36"/>
      <c r="Y1684" s="36"/>
    </row>
    <row r="1685">
      <c r="A1685" s="32"/>
      <c r="B1685" s="32"/>
      <c r="C1685" s="32"/>
      <c r="D1685" s="32"/>
      <c r="E1685" s="32"/>
      <c r="F1685" s="32"/>
      <c r="G1685" s="39"/>
      <c r="H1685" s="32"/>
      <c r="I1685" s="32"/>
      <c r="J1685" s="32"/>
      <c r="K1685" s="33"/>
      <c r="L1685" s="32"/>
      <c r="M1685" s="32"/>
      <c r="N1685" s="32"/>
      <c r="O1685" s="32"/>
      <c r="P1685" s="32"/>
      <c r="Q1685" s="34"/>
      <c r="R1685" s="35"/>
      <c r="S1685" s="35"/>
      <c r="T1685" s="36"/>
      <c r="U1685" s="36"/>
      <c r="V1685" s="36"/>
      <c r="W1685" s="36"/>
      <c r="X1685" s="36"/>
      <c r="Y1685" s="36"/>
    </row>
    <row r="1686">
      <c r="A1686" s="32"/>
      <c r="B1686" s="32"/>
      <c r="C1686" s="32"/>
      <c r="D1686" s="32"/>
      <c r="E1686" s="32"/>
      <c r="F1686" s="32"/>
      <c r="G1686" s="39"/>
      <c r="H1686" s="32"/>
      <c r="I1686" s="32"/>
      <c r="J1686" s="32"/>
      <c r="K1686" s="33"/>
      <c r="L1686" s="32"/>
      <c r="M1686" s="32"/>
      <c r="N1686" s="32"/>
      <c r="O1686" s="32"/>
      <c r="P1686" s="32"/>
      <c r="Q1686" s="34"/>
      <c r="R1686" s="35"/>
      <c r="S1686" s="35"/>
      <c r="T1686" s="36"/>
      <c r="U1686" s="36"/>
      <c r="V1686" s="36"/>
      <c r="W1686" s="36"/>
      <c r="X1686" s="36"/>
      <c r="Y1686" s="36"/>
    </row>
    <row r="1687">
      <c r="A1687" s="32"/>
      <c r="B1687" s="32"/>
      <c r="C1687" s="32"/>
      <c r="D1687" s="32"/>
      <c r="E1687" s="32"/>
      <c r="F1687" s="32"/>
      <c r="G1687" s="39"/>
      <c r="H1687" s="32"/>
      <c r="I1687" s="32"/>
      <c r="J1687" s="32"/>
      <c r="K1687" s="33"/>
      <c r="L1687" s="32"/>
      <c r="M1687" s="32"/>
      <c r="N1687" s="32"/>
      <c r="O1687" s="32"/>
      <c r="P1687" s="32"/>
      <c r="Q1687" s="34"/>
      <c r="R1687" s="35"/>
      <c r="S1687" s="35"/>
      <c r="T1687" s="36"/>
      <c r="U1687" s="36"/>
      <c r="V1687" s="36"/>
      <c r="W1687" s="36"/>
      <c r="X1687" s="36"/>
      <c r="Y1687" s="36"/>
    </row>
    <row r="1688">
      <c r="A1688" s="32"/>
      <c r="B1688" s="32"/>
      <c r="C1688" s="32"/>
      <c r="D1688" s="32"/>
      <c r="E1688" s="32"/>
      <c r="F1688" s="32"/>
      <c r="G1688" s="39"/>
      <c r="H1688" s="32"/>
      <c r="I1688" s="32"/>
      <c r="J1688" s="32"/>
      <c r="K1688" s="33"/>
      <c r="L1688" s="32"/>
      <c r="M1688" s="32"/>
      <c r="N1688" s="32"/>
      <c r="O1688" s="32"/>
      <c r="P1688" s="32"/>
      <c r="Q1688" s="34"/>
      <c r="R1688" s="35"/>
      <c r="S1688" s="35"/>
      <c r="T1688" s="36"/>
      <c r="U1688" s="36"/>
      <c r="V1688" s="36"/>
      <c r="W1688" s="36"/>
      <c r="X1688" s="36"/>
      <c r="Y1688" s="36"/>
    </row>
    <row r="1689">
      <c r="A1689" s="32"/>
      <c r="B1689" s="32"/>
      <c r="C1689" s="32"/>
      <c r="D1689" s="32"/>
      <c r="E1689" s="32"/>
      <c r="F1689" s="32"/>
      <c r="G1689" s="39"/>
      <c r="H1689" s="32"/>
      <c r="I1689" s="32"/>
      <c r="J1689" s="32"/>
      <c r="K1689" s="33"/>
      <c r="L1689" s="32"/>
      <c r="M1689" s="32"/>
      <c r="N1689" s="32"/>
      <c r="O1689" s="32"/>
      <c r="P1689" s="32"/>
      <c r="Q1689" s="34"/>
      <c r="R1689" s="35"/>
      <c r="S1689" s="35"/>
      <c r="T1689" s="36"/>
      <c r="U1689" s="36"/>
      <c r="V1689" s="36"/>
      <c r="W1689" s="36"/>
      <c r="X1689" s="36"/>
      <c r="Y1689" s="36"/>
    </row>
    <row r="1690">
      <c r="A1690" s="32"/>
      <c r="B1690" s="32"/>
      <c r="C1690" s="32"/>
      <c r="D1690" s="32"/>
      <c r="E1690" s="32"/>
      <c r="F1690" s="32"/>
      <c r="G1690" s="39"/>
      <c r="H1690" s="32"/>
      <c r="I1690" s="32"/>
      <c r="J1690" s="32"/>
      <c r="K1690" s="33"/>
      <c r="L1690" s="32"/>
      <c r="M1690" s="32"/>
      <c r="N1690" s="32"/>
      <c r="O1690" s="32"/>
      <c r="P1690" s="32"/>
      <c r="Q1690" s="34"/>
      <c r="R1690" s="35"/>
      <c r="S1690" s="35"/>
      <c r="T1690" s="36"/>
      <c r="U1690" s="36"/>
      <c r="V1690" s="36"/>
      <c r="W1690" s="36"/>
      <c r="X1690" s="36"/>
      <c r="Y1690" s="36"/>
    </row>
    <row r="1691">
      <c r="A1691" s="32"/>
      <c r="B1691" s="32"/>
      <c r="C1691" s="32"/>
      <c r="D1691" s="32"/>
      <c r="E1691" s="32"/>
      <c r="F1691" s="32"/>
      <c r="G1691" s="39"/>
      <c r="H1691" s="32"/>
      <c r="I1691" s="32"/>
      <c r="J1691" s="32"/>
      <c r="K1691" s="33"/>
      <c r="L1691" s="32"/>
      <c r="M1691" s="32"/>
      <c r="N1691" s="32"/>
      <c r="O1691" s="32"/>
      <c r="P1691" s="32"/>
      <c r="Q1691" s="34"/>
      <c r="R1691" s="35"/>
      <c r="S1691" s="35"/>
      <c r="T1691" s="36"/>
      <c r="U1691" s="36"/>
      <c r="V1691" s="36"/>
      <c r="W1691" s="36"/>
      <c r="X1691" s="36"/>
      <c r="Y1691" s="36"/>
    </row>
    <row r="1692">
      <c r="A1692" s="32"/>
      <c r="B1692" s="32"/>
      <c r="C1692" s="32"/>
      <c r="D1692" s="32"/>
      <c r="E1692" s="32"/>
      <c r="F1692" s="32"/>
      <c r="G1692" s="39"/>
      <c r="H1692" s="32"/>
      <c r="I1692" s="32"/>
      <c r="J1692" s="32"/>
      <c r="K1692" s="33"/>
      <c r="L1692" s="32"/>
      <c r="M1692" s="32"/>
      <c r="N1692" s="32"/>
      <c r="O1692" s="32"/>
      <c r="P1692" s="32"/>
      <c r="Q1692" s="34"/>
      <c r="R1692" s="35"/>
      <c r="S1692" s="35"/>
      <c r="T1692" s="36"/>
      <c r="U1692" s="36"/>
      <c r="V1692" s="36"/>
      <c r="W1692" s="36"/>
      <c r="X1692" s="36"/>
      <c r="Y1692" s="36"/>
    </row>
    <row r="1693">
      <c r="A1693" s="32"/>
      <c r="B1693" s="32"/>
      <c r="C1693" s="32"/>
      <c r="D1693" s="32"/>
      <c r="E1693" s="32"/>
      <c r="F1693" s="32"/>
      <c r="G1693" s="39"/>
      <c r="H1693" s="32"/>
      <c r="I1693" s="32"/>
      <c r="J1693" s="32"/>
      <c r="K1693" s="33"/>
      <c r="L1693" s="32"/>
      <c r="M1693" s="32"/>
      <c r="N1693" s="32"/>
      <c r="O1693" s="32"/>
      <c r="P1693" s="32"/>
      <c r="Q1693" s="34"/>
      <c r="R1693" s="35"/>
      <c r="S1693" s="35"/>
      <c r="T1693" s="36"/>
      <c r="U1693" s="36"/>
      <c r="V1693" s="36"/>
      <c r="W1693" s="36"/>
      <c r="X1693" s="36"/>
      <c r="Y1693" s="36"/>
    </row>
    <row r="1694">
      <c r="A1694" s="32"/>
      <c r="B1694" s="32"/>
      <c r="C1694" s="32"/>
      <c r="D1694" s="32"/>
      <c r="E1694" s="32"/>
      <c r="F1694" s="32"/>
      <c r="G1694" s="39"/>
      <c r="H1694" s="32"/>
      <c r="I1694" s="32"/>
      <c r="J1694" s="32"/>
      <c r="K1694" s="33"/>
      <c r="L1694" s="32"/>
      <c r="M1694" s="32"/>
      <c r="N1694" s="32"/>
      <c r="O1694" s="32"/>
      <c r="P1694" s="32"/>
      <c r="Q1694" s="34"/>
      <c r="R1694" s="35"/>
      <c r="S1694" s="35"/>
      <c r="T1694" s="36"/>
      <c r="U1694" s="36"/>
      <c r="V1694" s="36"/>
      <c r="W1694" s="36"/>
      <c r="X1694" s="36"/>
      <c r="Y1694" s="36"/>
    </row>
    <row r="1695">
      <c r="A1695" s="32"/>
      <c r="B1695" s="32"/>
      <c r="C1695" s="32"/>
      <c r="D1695" s="32"/>
      <c r="E1695" s="32"/>
      <c r="F1695" s="32"/>
      <c r="G1695" s="39"/>
      <c r="H1695" s="32"/>
      <c r="I1695" s="32"/>
      <c r="J1695" s="32"/>
      <c r="K1695" s="33"/>
      <c r="L1695" s="32"/>
      <c r="M1695" s="32"/>
      <c r="N1695" s="32"/>
      <c r="O1695" s="32"/>
      <c r="P1695" s="32"/>
      <c r="Q1695" s="34"/>
      <c r="R1695" s="35"/>
      <c r="S1695" s="35"/>
      <c r="T1695" s="36"/>
      <c r="U1695" s="36"/>
      <c r="V1695" s="36"/>
      <c r="W1695" s="36"/>
      <c r="X1695" s="36"/>
      <c r="Y1695" s="36"/>
    </row>
    <row r="1696">
      <c r="A1696" s="32"/>
      <c r="B1696" s="32"/>
      <c r="C1696" s="32"/>
      <c r="D1696" s="32"/>
      <c r="E1696" s="32"/>
      <c r="F1696" s="32"/>
      <c r="G1696" s="39"/>
      <c r="H1696" s="32"/>
      <c r="I1696" s="32"/>
      <c r="J1696" s="32"/>
      <c r="K1696" s="33"/>
      <c r="L1696" s="32"/>
      <c r="M1696" s="32"/>
      <c r="N1696" s="32"/>
      <c r="O1696" s="32"/>
      <c r="P1696" s="32"/>
      <c r="Q1696" s="34"/>
      <c r="R1696" s="35"/>
      <c r="S1696" s="35"/>
      <c r="T1696" s="36"/>
      <c r="U1696" s="36"/>
      <c r="V1696" s="36"/>
      <c r="W1696" s="36"/>
      <c r="X1696" s="36"/>
      <c r="Y1696" s="36"/>
    </row>
    <row r="1697">
      <c r="A1697" s="32"/>
      <c r="B1697" s="32"/>
      <c r="C1697" s="32"/>
      <c r="D1697" s="32"/>
      <c r="E1697" s="32"/>
      <c r="F1697" s="32"/>
      <c r="G1697" s="39"/>
      <c r="H1697" s="32"/>
      <c r="I1697" s="32"/>
      <c r="J1697" s="32"/>
      <c r="K1697" s="33"/>
      <c r="L1697" s="32"/>
      <c r="M1697" s="32"/>
      <c r="N1697" s="32"/>
      <c r="O1697" s="32"/>
      <c r="P1697" s="32"/>
      <c r="Q1697" s="34"/>
      <c r="R1697" s="35"/>
      <c r="S1697" s="35"/>
      <c r="T1697" s="36"/>
      <c r="U1697" s="36"/>
      <c r="V1697" s="36"/>
      <c r="W1697" s="36"/>
      <c r="X1697" s="36"/>
      <c r="Y1697" s="36"/>
    </row>
    <row r="1698">
      <c r="A1698" s="32"/>
      <c r="B1698" s="32"/>
      <c r="C1698" s="32"/>
      <c r="D1698" s="32"/>
      <c r="E1698" s="32"/>
      <c r="F1698" s="32"/>
      <c r="G1698" s="39"/>
      <c r="H1698" s="32"/>
      <c r="I1698" s="32"/>
      <c r="J1698" s="32"/>
      <c r="K1698" s="33"/>
      <c r="L1698" s="32"/>
      <c r="M1698" s="32"/>
      <c r="N1698" s="32"/>
      <c r="O1698" s="32"/>
      <c r="P1698" s="32"/>
      <c r="Q1698" s="34"/>
      <c r="R1698" s="35"/>
      <c r="S1698" s="35"/>
      <c r="T1698" s="36"/>
      <c r="U1698" s="36"/>
      <c r="V1698" s="36"/>
      <c r="W1698" s="36"/>
      <c r="X1698" s="36"/>
      <c r="Y1698" s="36"/>
    </row>
    <row r="1699">
      <c r="A1699" s="32"/>
      <c r="B1699" s="32"/>
      <c r="C1699" s="32"/>
      <c r="D1699" s="32"/>
      <c r="E1699" s="32"/>
      <c r="F1699" s="32"/>
      <c r="G1699" s="39"/>
      <c r="H1699" s="32"/>
      <c r="I1699" s="32"/>
      <c r="J1699" s="32"/>
      <c r="K1699" s="33"/>
      <c r="L1699" s="32"/>
      <c r="M1699" s="32"/>
      <c r="N1699" s="32"/>
      <c r="O1699" s="32"/>
      <c r="P1699" s="32"/>
      <c r="Q1699" s="34"/>
      <c r="R1699" s="35"/>
      <c r="S1699" s="35"/>
      <c r="T1699" s="36"/>
      <c r="U1699" s="36"/>
      <c r="V1699" s="36"/>
      <c r="W1699" s="36"/>
      <c r="X1699" s="36"/>
      <c r="Y1699" s="36"/>
    </row>
    <row r="1700">
      <c r="A1700" s="32"/>
      <c r="B1700" s="32"/>
      <c r="C1700" s="32"/>
      <c r="D1700" s="32"/>
      <c r="E1700" s="32"/>
      <c r="F1700" s="32"/>
      <c r="G1700" s="39"/>
      <c r="H1700" s="32"/>
      <c r="I1700" s="32"/>
      <c r="J1700" s="32"/>
      <c r="K1700" s="33"/>
      <c r="L1700" s="32"/>
      <c r="M1700" s="32"/>
      <c r="N1700" s="32"/>
      <c r="O1700" s="32"/>
      <c r="P1700" s="32"/>
      <c r="Q1700" s="34"/>
      <c r="R1700" s="35"/>
      <c r="S1700" s="35"/>
      <c r="T1700" s="36"/>
      <c r="U1700" s="36"/>
      <c r="V1700" s="36"/>
      <c r="W1700" s="36"/>
      <c r="X1700" s="36"/>
      <c r="Y1700" s="36"/>
    </row>
    <row r="1701">
      <c r="A1701" s="32"/>
      <c r="B1701" s="32"/>
      <c r="C1701" s="32"/>
      <c r="D1701" s="32"/>
      <c r="E1701" s="32"/>
      <c r="F1701" s="32"/>
      <c r="G1701" s="39"/>
      <c r="H1701" s="32"/>
      <c r="I1701" s="32"/>
      <c r="J1701" s="32"/>
      <c r="K1701" s="33"/>
      <c r="L1701" s="32"/>
      <c r="M1701" s="32"/>
      <c r="N1701" s="32"/>
      <c r="O1701" s="32"/>
      <c r="P1701" s="32"/>
      <c r="Q1701" s="34"/>
      <c r="R1701" s="35"/>
      <c r="S1701" s="35"/>
      <c r="T1701" s="36"/>
      <c r="U1701" s="36"/>
      <c r="V1701" s="36"/>
      <c r="W1701" s="36"/>
      <c r="X1701" s="36"/>
      <c r="Y1701" s="36"/>
    </row>
    <row r="1702">
      <c r="A1702" s="32"/>
      <c r="B1702" s="32"/>
      <c r="C1702" s="32"/>
      <c r="D1702" s="32"/>
      <c r="E1702" s="32"/>
      <c r="F1702" s="32"/>
      <c r="G1702" s="39"/>
      <c r="H1702" s="32"/>
      <c r="I1702" s="32"/>
      <c r="J1702" s="32"/>
      <c r="K1702" s="33"/>
      <c r="L1702" s="32"/>
      <c r="M1702" s="32"/>
      <c r="N1702" s="32"/>
      <c r="O1702" s="32"/>
      <c r="P1702" s="32"/>
      <c r="Q1702" s="34"/>
      <c r="R1702" s="35"/>
      <c r="S1702" s="35"/>
      <c r="T1702" s="36"/>
      <c r="U1702" s="36"/>
      <c r="V1702" s="36"/>
      <c r="W1702" s="36"/>
      <c r="X1702" s="36"/>
      <c r="Y1702" s="36"/>
    </row>
    <row r="1703">
      <c r="A1703" s="32"/>
      <c r="B1703" s="32"/>
      <c r="C1703" s="32"/>
      <c r="D1703" s="32"/>
      <c r="E1703" s="32"/>
      <c r="F1703" s="32"/>
      <c r="G1703" s="39"/>
      <c r="H1703" s="32"/>
      <c r="I1703" s="32"/>
      <c r="J1703" s="32"/>
      <c r="K1703" s="33"/>
      <c r="L1703" s="32"/>
      <c r="M1703" s="32"/>
      <c r="N1703" s="32"/>
      <c r="O1703" s="32"/>
      <c r="P1703" s="32"/>
      <c r="Q1703" s="34"/>
      <c r="R1703" s="35"/>
      <c r="S1703" s="35"/>
      <c r="T1703" s="36"/>
      <c r="U1703" s="36"/>
      <c r="V1703" s="36"/>
      <c r="W1703" s="36"/>
      <c r="X1703" s="36"/>
      <c r="Y1703" s="36"/>
    </row>
    <row r="1704">
      <c r="A1704" s="32"/>
      <c r="B1704" s="32"/>
      <c r="C1704" s="32"/>
      <c r="D1704" s="32"/>
      <c r="E1704" s="32"/>
      <c r="F1704" s="32"/>
      <c r="G1704" s="39"/>
      <c r="H1704" s="32"/>
      <c r="I1704" s="32"/>
      <c r="J1704" s="32"/>
      <c r="K1704" s="33"/>
      <c r="L1704" s="32"/>
      <c r="M1704" s="32"/>
      <c r="N1704" s="32"/>
      <c r="O1704" s="32"/>
      <c r="P1704" s="32"/>
      <c r="Q1704" s="34"/>
      <c r="R1704" s="35"/>
      <c r="S1704" s="35"/>
      <c r="T1704" s="36"/>
      <c r="U1704" s="36"/>
      <c r="V1704" s="36"/>
      <c r="W1704" s="36"/>
      <c r="X1704" s="36"/>
      <c r="Y1704" s="36"/>
    </row>
    <row r="1705">
      <c r="A1705" s="32"/>
      <c r="B1705" s="32"/>
      <c r="C1705" s="32"/>
      <c r="D1705" s="32"/>
      <c r="E1705" s="32"/>
      <c r="F1705" s="32"/>
      <c r="G1705" s="39"/>
      <c r="H1705" s="32"/>
      <c r="I1705" s="32"/>
      <c r="J1705" s="32"/>
      <c r="K1705" s="33"/>
      <c r="L1705" s="32"/>
      <c r="M1705" s="32"/>
      <c r="N1705" s="32"/>
      <c r="O1705" s="32"/>
      <c r="P1705" s="32"/>
      <c r="Q1705" s="34"/>
      <c r="R1705" s="35"/>
      <c r="S1705" s="35"/>
      <c r="T1705" s="36"/>
      <c r="U1705" s="36"/>
      <c r="V1705" s="36"/>
      <c r="W1705" s="36"/>
      <c r="X1705" s="36"/>
      <c r="Y1705" s="36"/>
    </row>
    <row r="1706">
      <c r="A1706" s="32"/>
      <c r="B1706" s="32"/>
      <c r="C1706" s="32"/>
      <c r="D1706" s="32"/>
      <c r="E1706" s="32"/>
      <c r="F1706" s="32"/>
      <c r="G1706" s="39"/>
      <c r="H1706" s="32"/>
      <c r="I1706" s="32"/>
      <c r="J1706" s="32"/>
      <c r="K1706" s="33"/>
      <c r="L1706" s="32"/>
      <c r="M1706" s="32"/>
      <c r="N1706" s="32"/>
      <c r="O1706" s="32"/>
      <c r="P1706" s="32"/>
      <c r="Q1706" s="34"/>
      <c r="R1706" s="35"/>
      <c r="S1706" s="35"/>
      <c r="T1706" s="36"/>
      <c r="U1706" s="36"/>
      <c r="V1706" s="36"/>
      <c r="W1706" s="36"/>
      <c r="X1706" s="36"/>
      <c r="Y1706" s="36"/>
    </row>
    <row r="1707">
      <c r="A1707" s="32"/>
      <c r="B1707" s="32"/>
      <c r="C1707" s="32"/>
      <c r="D1707" s="32"/>
      <c r="E1707" s="32"/>
      <c r="F1707" s="32"/>
      <c r="G1707" s="39"/>
      <c r="H1707" s="32"/>
      <c r="I1707" s="32"/>
      <c r="J1707" s="32"/>
      <c r="K1707" s="33"/>
      <c r="L1707" s="32"/>
      <c r="M1707" s="32"/>
      <c r="N1707" s="32"/>
      <c r="O1707" s="32"/>
      <c r="P1707" s="32"/>
      <c r="Q1707" s="34"/>
      <c r="R1707" s="35"/>
      <c r="S1707" s="35"/>
      <c r="T1707" s="36"/>
      <c r="U1707" s="36"/>
      <c r="V1707" s="36"/>
      <c r="W1707" s="36"/>
      <c r="X1707" s="36"/>
      <c r="Y1707" s="36"/>
    </row>
    <row r="1708">
      <c r="A1708" s="32"/>
      <c r="B1708" s="32"/>
      <c r="C1708" s="32"/>
      <c r="D1708" s="32"/>
      <c r="E1708" s="32"/>
      <c r="F1708" s="32"/>
      <c r="G1708" s="39"/>
      <c r="H1708" s="32"/>
      <c r="I1708" s="32"/>
      <c r="J1708" s="32"/>
      <c r="K1708" s="33"/>
      <c r="L1708" s="32"/>
      <c r="M1708" s="32"/>
      <c r="N1708" s="32"/>
      <c r="O1708" s="32"/>
      <c r="P1708" s="32"/>
      <c r="Q1708" s="34"/>
      <c r="R1708" s="35"/>
      <c r="S1708" s="35"/>
      <c r="T1708" s="36"/>
      <c r="U1708" s="36"/>
      <c r="V1708" s="36"/>
      <c r="W1708" s="36"/>
      <c r="X1708" s="36"/>
      <c r="Y1708" s="36"/>
    </row>
    <row r="1709">
      <c r="A1709" s="32"/>
      <c r="B1709" s="32"/>
      <c r="C1709" s="32"/>
      <c r="D1709" s="32"/>
      <c r="E1709" s="32"/>
      <c r="F1709" s="32"/>
      <c r="G1709" s="39"/>
      <c r="H1709" s="32"/>
      <c r="I1709" s="32"/>
      <c r="J1709" s="32"/>
      <c r="K1709" s="33"/>
      <c r="L1709" s="32"/>
      <c r="M1709" s="32"/>
      <c r="N1709" s="32"/>
      <c r="O1709" s="32"/>
      <c r="P1709" s="32"/>
      <c r="Q1709" s="34"/>
      <c r="R1709" s="35"/>
      <c r="S1709" s="35"/>
      <c r="T1709" s="36"/>
      <c r="U1709" s="36"/>
      <c r="V1709" s="36"/>
      <c r="W1709" s="36"/>
      <c r="X1709" s="36"/>
      <c r="Y1709" s="36"/>
    </row>
    <row r="1710">
      <c r="A1710" s="32"/>
      <c r="B1710" s="32"/>
      <c r="C1710" s="32"/>
      <c r="D1710" s="32"/>
      <c r="E1710" s="32"/>
      <c r="F1710" s="32"/>
      <c r="G1710" s="39"/>
      <c r="H1710" s="32"/>
      <c r="I1710" s="32"/>
      <c r="J1710" s="32"/>
      <c r="K1710" s="33"/>
      <c r="L1710" s="32"/>
      <c r="M1710" s="32"/>
      <c r="N1710" s="32"/>
      <c r="O1710" s="32"/>
      <c r="P1710" s="32"/>
      <c r="Q1710" s="34"/>
      <c r="R1710" s="35"/>
      <c r="S1710" s="35"/>
      <c r="T1710" s="36"/>
      <c r="U1710" s="36"/>
      <c r="V1710" s="36"/>
      <c r="W1710" s="36"/>
      <c r="X1710" s="36"/>
      <c r="Y1710" s="36"/>
    </row>
    <row r="1711">
      <c r="A1711" s="32"/>
      <c r="B1711" s="32"/>
      <c r="C1711" s="32"/>
      <c r="D1711" s="32"/>
      <c r="E1711" s="32"/>
      <c r="F1711" s="32"/>
      <c r="G1711" s="39"/>
      <c r="H1711" s="32"/>
      <c r="I1711" s="32"/>
      <c r="J1711" s="32"/>
      <c r="K1711" s="33"/>
      <c r="L1711" s="32"/>
      <c r="M1711" s="32"/>
      <c r="N1711" s="32"/>
      <c r="O1711" s="32"/>
      <c r="P1711" s="32"/>
      <c r="Q1711" s="34"/>
      <c r="R1711" s="35"/>
      <c r="S1711" s="35"/>
      <c r="T1711" s="36"/>
      <c r="U1711" s="36"/>
      <c r="V1711" s="36"/>
      <c r="W1711" s="36"/>
      <c r="X1711" s="36"/>
      <c r="Y1711" s="36"/>
    </row>
    <row r="1712">
      <c r="A1712" s="32"/>
      <c r="B1712" s="32"/>
      <c r="C1712" s="32"/>
      <c r="D1712" s="32"/>
      <c r="E1712" s="32"/>
      <c r="F1712" s="32"/>
      <c r="G1712" s="39"/>
      <c r="H1712" s="32"/>
      <c r="I1712" s="32"/>
      <c r="J1712" s="32"/>
      <c r="K1712" s="33"/>
      <c r="L1712" s="32"/>
      <c r="M1712" s="32"/>
      <c r="N1712" s="32"/>
      <c r="O1712" s="32"/>
      <c r="P1712" s="32"/>
      <c r="Q1712" s="34"/>
      <c r="R1712" s="35"/>
      <c r="S1712" s="35"/>
      <c r="T1712" s="36"/>
      <c r="U1712" s="36"/>
      <c r="V1712" s="36"/>
      <c r="W1712" s="36"/>
      <c r="X1712" s="36"/>
      <c r="Y1712" s="36"/>
    </row>
    <row r="1713">
      <c r="A1713" s="32"/>
      <c r="B1713" s="32"/>
      <c r="C1713" s="32"/>
      <c r="D1713" s="32"/>
      <c r="E1713" s="32"/>
      <c r="F1713" s="32"/>
      <c r="G1713" s="39"/>
      <c r="H1713" s="32"/>
      <c r="I1713" s="32"/>
      <c r="J1713" s="32"/>
      <c r="K1713" s="33"/>
      <c r="L1713" s="32"/>
      <c r="M1713" s="32"/>
      <c r="N1713" s="32"/>
      <c r="O1713" s="32"/>
      <c r="P1713" s="32"/>
      <c r="Q1713" s="34"/>
      <c r="R1713" s="35"/>
      <c r="S1713" s="35"/>
      <c r="T1713" s="36"/>
      <c r="U1713" s="36"/>
      <c r="V1713" s="36"/>
      <c r="W1713" s="36"/>
      <c r="X1713" s="36"/>
      <c r="Y1713" s="36"/>
    </row>
    <row r="1714">
      <c r="A1714" s="32"/>
      <c r="B1714" s="32"/>
      <c r="C1714" s="32"/>
      <c r="D1714" s="32"/>
      <c r="E1714" s="32"/>
      <c r="F1714" s="32"/>
      <c r="G1714" s="39"/>
      <c r="H1714" s="32"/>
      <c r="I1714" s="32"/>
      <c r="J1714" s="32"/>
      <c r="K1714" s="33"/>
      <c r="L1714" s="32"/>
      <c r="M1714" s="32"/>
      <c r="N1714" s="32"/>
      <c r="O1714" s="32"/>
      <c r="P1714" s="32"/>
      <c r="Q1714" s="34"/>
      <c r="R1714" s="35"/>
      <c r="S1714" s="35"/>
      <c r="T1714" s="36"/>
      <c r="U1714" s="36"/>
      <c r="V1714" s="36"/>
      <c r="W1714" s="36"/>
      <c r="X1714" s="36"/>
      <c r="Y1714" s="36"/>
    </row>
    <row r="1715">
      <c r="A1715" s="32"/>
      <c r="B1715" s="32"/>
      <c r="C1715" s="32"/>
      <c r="D1715" s="32"/>
      <c r="E1715" s="32"/>
      <c r="F1715" s="32"/>
      <c r="G1715" s="39"/>
      <c r="H1715" s="32"/>
      <c r="I1715" s="32"/>
      <c r="J1715" s="32"/>
      <c r="K1715" s="33"/>
      <c r="L1715" s="32"/>
      <c r="M1715" s="32"/>
      <c r="N1715" s="32"/>
      <c r="O1715" s="32"/>
      <c r="P1715" s="32"/>
      <c r="Q1715" s="34"/>
      <c r="R1715" s="35"/>
      <c r="S1715" s="35"/>
      <c r="T1715" s="36"/>
      <c r="U1715" s="36"/>
      <c r="V1715" s="36"/>
      <c r="W1715" s="36"/>
      <c r="X1715" s="36"/>
      <c r="Y1715" s="36"/>
    </row>
    <row r="1716">
      <c r="A1716" s="32"/>
      <c r="B1716" s="32"/>
      <c r="C1716" s="32"/>
      <c r="D1716" s="32"/>
      <c r="E1716" s="32"/>
      <c r="F1716" s="32"/>
      <c r="G1716" s="39"/>
      <c r="H1716" s="32"/>
      <c r="I1716" s="32"/>
      <c r="J1716" s="32"/>
      <c r="K1716" s="33"/>
      <c r="L1716" s="32"/>
      <c r="M1716" s="32"/>
      <c r="N1716" s="32"/>
      <c r="O1716" s="32"/>
      <c r="P1716" s="32"/>
      <c r="Q1716" s="34"/>
      <c r="R1716" s="35"/>
      <c r="S1716" s="35"/>
      <c r="T1716" s="36"/>
      <c r="U1716" s="36"/>
      <c r="V1716" s="36"/>
      <c r="W1716" s="36"/>
      <c r="X1716" s="36"/>
      <c r="Y1716" s="36"/>
    </row>
    <row r="1717">
      <c r="A1717" s="32"/>
      <c r="B1717" s="32"/>
      <c r="C1717" s="32"/>
      <c r="D1717" s="32"/>
      <c r="E1717" s="32"/>
      <c r="F1717" s="32"/>
      <c r="G1717" s="39"/>
      <c r="H1717" s="32"/>
      <c r="I1717" s="32"/>
      <c r="J1717" s="32"/>
      <c r="K1717" s="33"/>
      <c r="L1717" s="32"/>
      <c r="M1717" s="32"/>
      <c r="N1717" s="32"/>
      <c r="O1717" s="32"/>
      <c r="P1717" s="32"/>
      <c r="Q1717" s="34"/>
      <c r="R1717" s="35"/>
      <c r="S1717" s="35"/>
      <c r="T1717" s="36"/>
      <c r="U1717" s="36"/>
      <c r="V1717" s="36"/>
      <c r="W1717" s="36"/>
      <c r="X1717" s="36"/>
      <c r="Y1717" s="36"/>
    </row>
    <row r="1718">
      <c r="A1718" s="32"/>
      <c r="B1718" s="32"/>
      <c r="C1718" s="32"/>
      <c r="D1718" s="32"/>
      <c r="E1718" s="32"/>
      <c r="F1718" s="32"/>
      <c r="G1718" s="39"/>
      <c r="H1718" s="32"/>
      <c r="I1718" s="32"/>
      <c r="J1718" s="32"/>
      <c r="K1718" s="33"/>
      <c r="L1718" s="32"/>
      <c r="M1718" s="32"/>
      <c r="N1718" s="32"/>
      <c r="O1718" s="32"/>
      <c r="P1718" s="32"/>
      <c r="Q1718" s="34"/>
      <c r="R1718" s="35"/>
      <c r="S1718" s="35"/>
      <c r="T1718" s="36"/>
      <c r="U1718" s="36"/>
      <c r="V1718" s="36"/>
      <c r="W1718" s="36"/>
      <c r="X1718" s="36"/>
      <c r="Y1718" s="36"/>
    </row>
    <row r="1719">
      <c r="A1719" s="32"/>
      <c r="B1719" s="32"/>
      <c r="C1719" s="32"/>
      <c r="D1719" s="32"/>
      <c r="E1719" s="32"/>
      <c r="F1719" s="32"/>
      <c r="G1719" s="39"/>
      <c r="H1719" s="32"/>
      <c r="I1719" s="32"/>
      <c r="J1719" s="32"/>
      <c r="K1719" s="33"/>
      <c r="L1719" s="32"/>
      <c r="M1719" s="32"/>
      <c r="N1719" s="32"/>
      <c r="O1719" s="32"/>
      <c r="P1719" s="32"/>
      <c r="Q1719" s="34"/>
      <c r="R1719" s="35"/>
      <c r="S1719" s="35"/>
      <c r="T1719" s="36"/>
      <c r="U1719" s="36"/>
      <c r="V1719" s="36"/>
      <c r="W1719" s="36"/>
      <c r="X1719" s="36"/>
      <c r="Y1719" s="36"/>
    </row>
    <row r="1720">
      <c r="A1720" s="32"/>
      <c r="B1720" s="32"/>
      <c r="C1720" s="32"/>
      <c r="D1720" s="32"/>
      <c r="E1720" s="32"/>
      <c r="F1720" s="32"/>
      <c r="G1720" s="39"/>
      <c r="H1720" s="32"/>
      <c r="I1720" s="32"/>
      <c r="J1720" s="32"/>
      <c r="K1720" s="33"/>
      <c r="L1720" s="32"/>
      <c r="M1720" s="32"/>
      <c r="N1720" s="32"/>
      <c r="O1720" s="32"/>
      <c r="P1720" s="32"/>
      <c r="Q1720" s="34"/>
      <c r="R1720" s="35"/>
      <c r="S1720" s="35"/>
      <c r="T1720" s="36"/>
      <c r="U1720" s="36"/>
      <c r="V1720" s="36"/>
      <c r="W1720" s="36"/>
      <c r="X1720" s="36"/>
      <c r="Y1720" s="36"/>
    </row>
    <row r="1721">
      <c r="A1721" s="32"/>
      <c r="B1721" s="32"/>
      <c r="C1721" s="32"/>
      <c r="D1721" s="32"/>
      <c r="E1721" s="32"/>
      <c r="F1721" s="32"/>
      <c r="G1721" s="39"/>
      <c r="H1721" s="32"/>
      <c r="I1721" s="32"/>
      <c r="J1721" s="32"/>
      <c r="K1721" s="33"/>
      <c r="L1721" s="32"/>
      <c r="M1721" s="32"/>
      <c r="N1721" s="32"/>
      <c r="O1721" s="32"/>
      <c r="P1721" s="32"/>
      <c r="Q1721" s="34"/>
      <c r="R1721" s="35"/>
      <c r="S1721" s="35"/>
      <c r="T1721" s="36"/>
      <c r="U1721" s="36"/>
      <c r="V1721" s="36"/>
      <c r="W1721" s="36"/>
      <c r="X1721" s="36"/>
      <c r="Y1721" s="36"/>
    </row>
    <row r="1722">
      <c r="A1722" s="32"/>
      <c r="B1722" s="32"/>
      <c r="C1722" s="32"/>
      <c r="D1722" s="32"/>
      <c r="E1722" s="32"/>
      <c r="F1722" s="32"/>
      <c r="G1722" s="39"/>
      <c r="H1722" s="32"/>
      <c r="I1722" s="32"/>
      <c r="J1722" s="32"/>
      <c r="K1722" s="33"/>
      <c r="L1722" s="32"/>
      <c r="M1722" s="32"/>
      <c r="N1722" s="32"/>
      <c r="O1722" s="32"/>
      <c r="P1722" s="32"/>
      <c r="Q1722" s="34"/>
      <c r="R1722" s="35"/>
      <c r="S1722" s="35"/>
      <c r="T1722" s="36"/>
      <c r="U1722" s="36"/>
      <c r="V1722" s="36"/>
      <c r="W1722" s="36"/>
      <c r="X1722" s="36"/>
      <c r="Y1722" s="36"/>
    </row>
    <row r="1723">
      <c r="A1723" s="32"/>
      <c r="B1723" s="32"/>
      <c r="C1723" s="32"/>
      <c r="D1723" s="32"/>
      <c r="E1723" s="32"/>
      <c r="F1723" s="32"/>
      <c r="G1723" s="39"/>
      <c r="H1723" s="32"/>
      <c r="I1723" s="32"/>
      <c r="J1723" s="32"/>
      <c r="K1723" s="33"/>
      <c r="L1723" s="32"/>
      <c r="M1723" s="32"/>
      <c r="N1723" s="32"/>
      <c r="O1723" s="32"/>
      <c r="P1723" s="32"/>
      <c r="Q1723" s="34"/>
      <c r="R1723" s="35"/>
      <c r="S1723" s="35"/>
      <c r="T1723" s="36"/>
      <c r="U1723" s="36"/>
      <c r="V1723" s="36"/>
      <c r="W1723" s="36"/>
      <c r="X1723" s="36"/>
      <c r="Y1723" s="36"/>
    </row>
    <row r="1724">
      <c r="A1724" s="32"/>
      <c r="B1724" s="32"/>
      <c r="C1724" s="32"/>
      <c r="D1724" s="32"/>
      <c r="E1724" s="32"/>
      <c r="F1724" s="32"/>
      <c r="G1724" s="39"/>
      <c r="H1724" s="32"/>
      <c r="I1724" s="32"/>
      <c r="J1724" s="32"/>
      <c r="K1724" s="33"/>
      <c r="L1724" s="32"/>
      <c r="M1724" s="32"/>
      <c r="N1724" s="32"/>
      <c r="O1724" s="32"/>
      <c r="P1724" s="32"/>
      <c r="Q1724" s="34"/>
      <c r="R1724" s="35"/>
      <c r="S1724" s="35"/>
      <c r="T1724" s="36"/>
      <c r="U1724" s="36"/>
      <c r="V1724" s="36"/>
      <c r="W1724" s="36"/>
      <c r="X1724" s="36"/>
      <c r="Y1724" s="36"/>
    </row>
    <row r="1725">
      <c r="A1725" s="32"/>
      <c r="B1725" s="32"/>
      <c r="C1725" s="32"/>
      <c r="D1725" s="32"/>
      <c r="E1725" s="32"/>
      <c r="F1725" s="32"/>
      <c r="G1725" s="39"/>
      <c r="H1725" s="32"/>
      <c r="I1725" s="32"/>
      <c r="J1725" s="32"/>
      <c r="K1725" s="33"/>
      <c r="L1725" s="32"/>
      <c r="M1725" s="32"/>
      <c r="N1725" s="32"/>
      <c r="O1725" s="32"/>
      <c r="P1725" s="32"/>
      <c r="Q1725" s="34"/>
      <c r="R1725" s="35"/>
      <c r="S1725" s="35"/>
      <c r="T1725" s="36"/>
      <c r="U1725" s="36"/>
      <c r="V1725" s="36"/>
      <c r="W1725" s="36"/>
      <c r="X1725" s="36"/>
      <c r="Y1725" s="36"/>
    </row>
    <row r="1726">
      <c r="A1726" s="32"/>
      <c r="B1726" s="32"/>
      <c r="C1726" s="32"/>
      <c r="D1726" s="32"/>
      <c r="E1726" s="32"/>
      <c r="F1726" s="32"/>
      <c r="G1726" s="39"/>
      <c r="H1726" s="32"/>
      <c r="I1726" s="32"/>
      <c r="J1726" s="32"/>
      <c r="K1726" s="33"/>
      <c r="L1726" s="32"/>
      <c r="M1726" s="32"/>
      <c r="N1726" s="32"/>
      <c r="O1726" s="32"/>
      <c r="P1726" s="32"/>
      <c r="Q1726" s="34"/>
      <c r="R1726" s="35"/>
      <c r="S1726" s="35"/>
      <c r="T1726" s="36"/>
      <c r="U1726" s="36"/>
      <c r="V1726" s="36"/>
      <c r="W1726" s="36"/>
      <c r="X1726" s="36"/>
      <c r="Y1726" s="36"/>
    </row>
    <row r="1727">
      <c r="A1727" s="32"/>
      <c r="B1727" s="32"/>
      <c r="C1727" s="32"/>
      <c r="D1727" s="32"/>
      <c r="E1727" s="32"/>
      <c r="F1727" s="32"/>
      <c r="G1727" s="39"/>
      <c r="H1727" s="32"/>
      <c r="I1727" s="32"/>
      <c r="J1727" s="32"/>
      <c r="K1727" s="33"/>
      <c r="L1727" s="32"/>
      <c r="M1727" s="32"/>
      <c r="N1727" s="32"/>
      <c r="O1727" s="32"/>
      <c r="P1727" s="32"/>
      <c r="Q1727" s="34"/>
      <c r="R1727" s="35"/>
      <c r="S1727" s="35"/>
      <c r="T1727" s="36"/>
      <c r="U1727" s="36"/>
      <c r="V1727" s="36"/>
      <c r="W1727" s="36"/>
      <c r="X1727" s="36"/>
      <c r="Y1727" s="36"/>
    </row>
    <row r="1728">
      <c r="A1728" s="32"/>
      <c r="B1728" s="32"/>
      <c r="C1728" s="32"/>
      <c r="D1728" s="32"/>
      <c r="E1728" s="32"/>
      <c r="F1728" s="32"/>
      <c r="G1728" s="39"/>
      <c r="H1728" s="32"/>
      <c r="I1728" s="32"/>
      <c r="J1728" s="32"/>
      <c r="K1728" s="33"/>
      <c r="L1728" s="32"/>
      <c r="M1728" s="32"/>
      <c r="N1728" s="32"/>
      <c r="O1728" s="32"/>
      <c r="P1728" s="32"/>
      <c r="Q1728" s="34"/>
      <c r="R1728" s="35"/>
      <c r="S1728" s="35"/>
      <c r="T1728" s="36"/>
      <c r="U1728" s="36"/>
      <c r="V1728" s="36"/>
      <c r="W1728" s="36"/>
      <c r="X1728" s="36"/>
      <c r="Y1728" s="36"/>
    </row>
    <row r="1729">
      <c r="A1729" s="32"/>
      <c r="B1729" s="32"/>
      <c r="C1729" s="32"/>
      <c r="D1729" s="32"/>
      <c r="E1729" s="32"/>
      <c r="F1729" s="32"/>
      <c r="G1729" s="39"/>
      <c r="H1729" s="32"/>
      <c r="I1729" s="32"/>
      <c r="J1729" s="32"/>
      <c r="K1729" s="33"/>
      <c r="L1729" s="32"/>
      <c r="M1729" s="32"/>
      <c r="N1729" s="32"/>
      <c r="O1729" s="32"/>
      <c r="P1729" s="32"/>
      <c r="Q1729" s="34"/>
      <c r="R1729" s="35"/>
      <c r="S1729" s="35"/>
      <c r="T1729" s="36"/>
      <c r="U1729" s="36"/>
      <c r="V1729" s="36"/>
      <c r="W1729" s="36"/>
      <c r="X1729" s="36"/>
      <c r="Y1729" s="36"/>
    </row>
    <row r="1730">
      <c r="A1730" s="32"/>
      <c r="B1730" s="32"/>
      <c r="C1730" s="32"/>
      <c r="D1730" s="32"/>
      <c r="E1730" s="32"/>
      <c r="F1730" s="32"/>
      <c r="G1730" s="39"/>
      <c r="H1730" s="32"/>
      <c r="I1730" s="32"/>
      <c r="J1730" s="32"/>
      <c r="K1730" s="33"/>
      <c r="L1730" s="32"/>
      <c r="M1730" s="32"/>
      <c r="N1730" s="32"/>
      <c r="O1730" s="32"/>
      <c r="P1730" s="32"/>
      <c r="Q1730" s="34"/>
      <c r="R1730" s="35"/>
      <c r="S1730" s="35"/>
      <c r="T1730" s="36"/>
      <c r="U1730" s="36"/>
      <c r="V1730" s="36"/>
      <c r="W1730" s="36"/>
      <c r="X1730" s="36"/>
      <c r="Y1730" s="36"/>
    </row>
    <row r="1731">
      <c r="A1731" s="32"/>
      <c r="B1731" s="32"/>
      <c r="C1731" s="32"/>
      <c r="D1731" s="32"/>
      <c r="E1731" s="32"/>
      <c r="F1731" s="32"/>
      <c r="G1731" s="39"/>
      <c r="H1731" s="32"/>
      <c r="I1731" s="32"/>
      <c r="J1731" s="32"/>
      <c r="K1731" s="33"/>
      <c r="L1731" s="32"/>
      <c r="M1731" s="32"/>
      <c r="N1731" s="32"/>
      <c r="O1731" s="32"/>
      <c r="P1731" s="32"/>
      <c r="Q1731" s="34"/>
      <c r="R1731" s="35"/>
      <c r="S1731" s="35"/>
      <c r="T1731" s="36"/>
      <c r="U1731" s="36"/>
      <c r="V1731" s="36"/>
      <c r="W1731" s="36"/>
      <c r="X1731" s="36"/>
      <c r="Y1731" s="36"/>
    </row>
    <row r="1732">
      <c r="A1732" s="32"/>
      <c r="B1732" s="32"/>
      <c r="C1732" s="32"/>
      <c r="D1732" s="32"/>
      <c r="E1732" s="32"/>
      <c r="F1732" s="32"/>
      <c r="G1732" s="39"/>
      <c r="H1732" s="32"/>
      <c r="I1732" s="32"/>
      <c r="J1732" s="32"/>
      <c r="K1732" s="33"/>
      <c r="L1732" s="32"/>
      <c r="M1732" s="32"/>
      <c r="N1732" s="32"/>
      <c r="O1732" s="32"/>
      <c r="P1732" s="32"/>
      <c r="Q1732" s="34"/>
      <c r="R1732" s="35"/>
      <c r="S1732" s="35"/>
      <c r="T1732" s="36"/>
      <c r="U1732" s="36"/>
      <c r="V1732" s="36"/>
      <c r="W1732" s="36"/>
      <c r="X1732" s="36"/>
      <c r="Y1732" s="36"/>
    </row>
    <row r="1733">
      <c r="A1733" s="32"/>
      <c r="B1733" s="32"/>
      <c r="C1733" s="32"/>
      <c r="D1733" s="32"/>
      <c r="E1733" s="32"/>
      <c r="F1733" s="32"/>
      <c r="G1733" s="39"/>
      <c r="H1733" s="32"/>
      <c r="I1733" s="32"/>
      <c r="J1733" s="32"/>
      <c r="K1733" s="33"/>
      <c r="L1733" s="32"/>
      <c r="M1733" s="32"/>
      <c r="N1733" s="32"/>
      <c r="O1733" s="32"/>
      <c r="P1733" s="32"/>
      <c r="Q1733" s="34"/>
      <c r="R1733" s="35"/>
      <c r="S1733" s="35"/>
      <c r="T1733" s="36"/>
      <c r="U1733" s="36"/>
      <c r="V1733" s="36"/>
      <c r="W1733" s="36"/>
      <c r="X1733" s="36"/>
      <c r="Y1733" s="36"/>
    </row>
    <row r="1734">
      <c r="A1734" s="32"/>
      <c r="B1734" s="32"/>
      <c r="C1734" s="32"/>
      <c r="D1734" s="32"/>
      <c r="E1734" s="32"/>
      <c r="F1734" s="32"/>
      <c r="G1734" s="39"/>
      <c r="H1734" s="32"/>
      <c r="I1734" s="32"/>
      <c r="J1734" s="32"/>
      <c r="K1734" s="33"/>
      <c r="L1734" s="32"/>
      <c r="M1734" s="32"/>
      <c r="N1734" s="32"/>
      <c r="O1734" s="32"/>
      <c r="P1734" s="32"/>
      <c r="Q1734" s="34"/>
      <c r="R1734" s="35"/>
      <c r="S1734" s="35"/>
      <c r="T1734" s="36"/>
      <c r="U1734" s="36"/>
      <c r="V1734" s="36"/>
      <c r="W1734" s="36"/>
      <c r="X1734" s="36"/>
      <c r="Y1734" s="36"/>
    </row>
    <row r="1735">
      <c r="A1735" s="32"/>
      <c r="B1735" s="32"/>
      <c r="C1735" s="32"/>
      <c r="D1735" s="32"/>
      <c r="E1735" s="32"/>
      <c r="F1735" s="32"/>
      <c r="G1735" s="39"/>
      <c r="H1735" s="32"/>
      <c r="I1735" s="32"/>
      <c r="J1735" s="32"/>
      <c r="K1735" s="33"/>
      <c r="L1735" s="32"/>
      <c r="M1735" s="32"/>
      <c r="N1735" s="32"/>
      <c r="O1735" s="32"/>
      <c r="P1735" s="32"/>
      <c r="Q1735" s="34"/>
      <c r="R1735" s="35"/>
      <c r="S1735" s="35"/>
      <c r="T1735" s="36"/>
      <c r="U1735" s="36"/>
      <c r="V1735" s="36"/>
      <c r="W1735" s="36"/>
      <c r="X1735" s="36"/>
      <c r="Y1735" s="36"/>
    </row>
    <row r="1736">
      <c r="A1736" s="32"/>
      <c r="B1736" s="32"/>
      <c r="C1736" s="32"/>
      <c r="D1736" s="32"/>
      <c r="E1736" s="32"/>
      <c r="F1736" s="32"/>
      <c r="G1736" s="39"/>
      <c r="H1736" s="32"/>
      <c r="I1736" s="32"/>
      <c r="J1736" s="32"/>
      <c r="K1736" s="33"/>
      <c r="L1736" s="32"/>
      <c r="M1736" s="32"/>
      <c r="N1736" s="32"/>
      <c r="O1736" s="32"/>
      <c r="P1736" s="32"/>
      <c r="Q1736" s="34"/>
      <c r="R1736" s="35"/>
      <c r="S1736" s="35"/>
      <c r="T1736" s="36"/>
      <c r="U1736" s="36"/>
      <c r="V1736" s="36"/>
      <c r="W1736" s="36"/>
      <c r="X1736" s="36"/>
      <c r="Y1736" s="36"/>
    </row>
    <row r="1737">
      <c r="A1737" s="32"/>
      <c r="B1737" s="32"/>
      <c r="C1737" s="32"/>
      <c r="D1737" s="32"/>
      <c r="E1737" s="32"/>
      <c r="F1737" s="32"/>
      <c r="G1737" s="39"/>
      <c r="H1737" s="32"/>
      <c r="I1737" s="32"/>
      <c r="J1737" s="32"/>
      <c r="K1737" s="33"/>
      <c r="L1737" s="32"/>
      <c r="M1737" s="32"/>
      <c r="N1737" s="32"/>
      <c r="O1737" s="32"/>
      <c r="P1737" s="32"/>
      <c r="Q1737" s="34"/>
      <c r="R1737" s="35"/>
      <c r="S1737" s="35"/>
      <c r="T1737" s="36"/>
      <c r="U1737" s="36"/>
      <c r="V1737" s="36"/>
      <c r="W1737" s="36"/>
      <c r="X1737" s="36"/>
      <c r="Y1737" s="36"/>
    </row>
    <row r="1738">
      <c r="A1738" s="32"/>
      <c r="B1738" s="32"/>
      <c r="C1738" s="32"/>
      <c r="D1738" s="32"/>
      <c r="E1738" s="32"/>
      <c r="F1738" s="32"/>
      <c r="G1738" s="39"/>
      <c r="H1738" s="32"/>
      <c r="I1738" s="32"/>
      <c r="J1738" s="32"/>
      <c r="K1738" s="33"/>
      <c r="L1738" s="32"/>
      <c r="M1738" s="32"/>
      <c r="N1738" s="32"/>
      <c r="O1738" s="32"/>
      <c r="P1738" s="32"/>
      <c r="Q1738" s="34"/>
      <c r="R1738" s="35"/>
      <c r="S1738" s="35"/>
      <c r="T1738" s="36"/>
      <c r="U1738" s="36"/>
      <c r="V1738" s="36"/>
      <c r="W1738" s="36"/>
      <c r="X1738" s="36"/>
      <c r="Y1738" s="36"/>
    </row>
    <row r="1739">
      <c r="A1739" s="32"/>
      <c r="B1739" s="32"/>
      <c r="C1739" s="32"/>
      <c r="D1739" s="32"/>
      <c r="E1739" s="32"/>
      <c r="F1739" s="32"/>
      <c r="G1739" s="39"/>
      <c r="H1739" s="32"/>
      <c r="I1739" s="32"/>
      <c r="J1739" s="32"/>
      <c r="K1739" s="33"/>
      <c r="L1739" s="32"/>
      <c r="M1739" s="32"/>
      <c r="N1739" s="32"/>
      <c r="O1739" s="32"/>
      <c r="P1739" s="32"/>
      <c r="Q1739" s="34"/>
      <c r="R1739" s="35"/>
      <c r="S1739" s="35"/>
      <c r="T1739" s="36"/>
      <c r="U1739" s="36"/>
      <c r="V1739" s="36"/>
      <c r="W1739" s="36"/>
      <c r="X1739" s="36"/>
      <c r="Y1739" s="36"/>
    </row>
    <row r="1740">
      <c r="A1740" s="32"/>
      <c r="B1740" s="32"/>
      <c r="C1740" s="32"/>
      <c r="D1740" s="32"/>
      <c r="E1740" s="32"/>
      <c r="F1740" s="32"/>
      <c r="G1740" s="39"/>
      <c r="H1740" s="32"/>
      <c r="I1740" s="32"/>
      <c r="J1740" s="32"/>
      <c r="K1740" s="33"/>
      <c r="L1740" s="32"/>
      <c r="M1740" s="32"/>
      <c r="N1740" s="32"/>
      <c r="O1740" s="32"/>
      <c r="P1740" s="32"/>
      <c r="Q1740" s="34"/>
      <c r="R1740" s="35"/>
      <c r="S1740" s="35"/>
      <c r="T1740" s="36"/>
      <c r="U1740" s="36"/>
      <c r="V1740" s="36"/>
      <c r="W1740" s="36"/>
      <c r="X1740" s="36"/>
      <c r="Y1740" s="36"/>
    </row>
    <row r="1741">
      <c r="A1741" s="32"/>
      <c r="B1741" s="32"/>
      <c r="C1741" s="32"/>
      <c r="D1741" s="32"/>
      <c r="E1741" s="32"/>
      <c r="F1741" s="32"/>
      <c r="G1741" s="39"/>
      <c r="H1741" s="32"/>
      <c r="I1741" s="32"/>
      <c r="J1741" s="32"/>
      <c r="K1741" s="33"/>
      <c r="L1741" s="32"/>
      <c r="M1741" s="32"/>
      <c r="N1741" s="32"/>
      <c r="O1741" s="32"/>
      <c r="P1741" s="32"/>
      <c r="Q1741" s="34"/>
      <c r="R1741" s="35"/>
      <c r="S1741" s="35"/>
      <c r="T1741" s="36"/>
      <c r="U1741" s="36"/>
      <c r="V1741" s="36"/>
      <c r="W1741" s="36"/>
      <c r="X1741" s="36"/>
      <c r="Y1741" s="36"/>
    </row>
    <row r="1742">
      <c r="A1742" s="32"/>
      <c r="B1742" s="32"/>
      <c r="C1742" s="32"/>
      <c r="D1742" s="32"/>
      <c r="E1742" s="32"/>
      <c r="F1742" s="32"/>
      <c r="G1742" s="39"/>
      <c r="H1742" s="32"/>
      <c r="I1742" s="32"/>
      <c r="J1742" s="32"/>
      <c r="K1742" s="33"/>
      <c r="L1742" s="32"/>
      <c r="M1742" s="32"/>
      <c r="N1742" s="32"/>
      <c r="O1742" s="32"/>
      <c r="P1742" s="32"/>
      <c r="Q1742" s="34"/>
      <c r="R1742" s="35"/>
      <c r="S1742" s="35"/>
      <c r="T1742" s="36"/>
      <c r="U1742" s="36"/>
      <c r="V1742" s="36"/>
      <c r="W1742" s="36"/>
      <c r="X1742" s="36"/>
      <c r="Y1742" s="36"/>
    </row>
    <row r="1743">
      <c r="A1743" s="32"/>
      <c r="B1743" s="32"/>
      <c r="C1743" s="32"/>
      <c r="D1743" s="32"/>
      <c r="E1743" s="32"/>
      <c r="F1743" s="32"/>
      <c r="G1743" s="39"/>
      <c r="H1743" s="32"/>
      <c r="I1743" s="32"/>
      <c r="J1743" s="32"/>
      <c r="K1743" s="33"/>
      <c r="L1743" s="32"/>
      <c r="M1743" s="32"/>
      <c r="N1743" s="32"/>
      <c r="O1743" s="32"/>
      <c r="P1743" s="32"/>
      <c r="Q1743" s="34"/>
      <c r="R1743" s="35"/>
      <c r="S1743" s="35"/>
      <c r="T1743" s="36"/>
      <c r="U1743" s="36"/>
      <c r="V1743" s="36"/>
      <c r="W1743" s="36"/>
      <c r="X1743" s="36"/>
      <c r="Y1743" s="36"/>
    </row>
    <row r="1744">
      <c r="A1744" s="32"/>
      <c r="B1744" s="32"/>
      <c r="C1744" s="32"/>
      <c r="D1744" s="32"/>
      <c r="E1744" s="32"/>
      <c r="F1744" s="32"/>
      <c r="G1744" s="39"/>
      <c r="H1744" s="32"/>
      <c r="I1744" s="32"/>
      <c r="J1744" s="32"/>
      <c r="K1744" s="33"/>
      <c r="L1744" s="32"/>
      <c r="M1744" s="32"/>
      <c r="N1744" s="32"/>
      <c r="O1744" s="32"/>
      <c r="P1744" s="32"/>
      <c r="Q1744" s="34"/>
      <c r="R1744" s="35"/>
      <c r="S1744" s="35"/>
      <c r="T1744" s="36"/>
      <c r="U1744" s="36"/>
      <c r="V1744" s="36"/>
      <c r="W1744" s="36"/>
      <c r="X1744" s="36"/>
      <c r="Y1744" s="36"/>
    </row>
    <row r="1745">
      <c r="A1745" s="32"/>
      <c r="B1745" s="32"/>
      <c r="C1745" s="32"/>
      <c r="D1745" s="32"/>
      <c r="E1745" s="32"/>
      <c r="F1745" s="32"/>
      <c r="G1745" s="39"/>
      <c r="H1745" s="32"/>
      <c r="I1745" s="32"/>
      <c r="J1745" s="32"/>
      <c r="K1745" s="33"/>
      <c r="L1745" s="32"/>
      <c r="M1745" s="32"/>
      <c r="N1745" s="32"/>
      <c r="O1745" s="32"/>
      <c r="P1745" s="32"/>
      <c r="Q1745" s="34"/>
      <c r="R1745" s="35"/>
      <c r="S1745" s="35"/>
      <c r="T1745" s="36"/>
      <c r="U1745" s="36"/>
      <c r="V1745" s="36"/>
      <c r="W1745" s="36"/>
      <c r="X1745" s="36"/>
      <c r="Y1745" s="36"/>
    </row>
    <row r="1746">
      <c r="A1746" s="32"/>
      <c r="B1746" s="32"/>
      <c r="C1746" s="32"/>
      <c r="D1746" s="32"/>
      <c r="E1746" s="32"/>
      <c r="F1746" s="32"/>
      <c r="G1746" s="39"/>
      <c r="H1746" s="32"/>
      <c r="I1746" s="32"/>
      <c r="J1746" s="32"/>
      <c r="K1746" s="33"/>
      <c r="L1746" s="32"/>
      <c r="M1746" s="32"/>
      <c r="N1746" s="32"/>
      <c r="O1746" s="32"/>
      <c r="P1746" s="32"/>
      <c r="Q1746" s="34"/>
      <c r="R1746" s="35"/>
      <c r="S1746" s="35"/>
      <c r="T1746" s="36"/>
      <c r="U1746" s="36"/>
      <c r="V1746" s="36"/>
      <c r="W1746" s="36"/>
      <c r="X1746" s="36"/>
      <c r="Y1746" s="36"/>
    </row>
    <row r="1747">
      <c r="A1747" s="32"/>
      <c r="B1747" s="32"/>
      <c r="C1747" s="32"/>
      <c r="D1747" s="32"/>
      <c r="E1747" s="32"/>
      <c r="F1747" s="32"/>
      <c r="G1747" s="39"/>
      <c r="H1747" s="32"/>
      <c r="I1747" s="32"/>
      <c r="J1747" s="32"/>
      <c r="K1747" s="33"/>
      <c r="L1747" s="32"/>
      <c r="M1747" s="32"/>
      <c r="N1747" s="32"/>
      <c r="O1747" s="32"/>
      <c r="P1747" s="32"/>
      <c r="Q1747" s="34"/>
      <c r="R1747" s="35"/>
      <c r="S1747" s="35"/>
      <c r="T1747" s="36"/>
      <c r="U1747" s="36"/>
      <c r="V1747" s="36"/>
      <c r="W1747" s="36"/>
      <c r="X1747" s="36"/>
      <c r="Y1747" s="36"/>
    </row>
    <row r="1748">
      <c r="A1748" s="32"/>
      <c r="B1748" s="32"/>
      <c r="C1748" s="32"/>
      <c r="D1748" s="32"/>
      <c r="E1748" s="32"/>
      <c r="F1748" s="32"/>
      <c r="G1748" s="39"/>
      <c r="H1748" s="32"/>
      <c r="I1748" s="32"/>
      <c r="J1748" s="32"/>
      <c r="K1748" s="33"/>
      <c r="L1748" s="32"/>
      <c r="M1748" s="32"/>
      <c r="N1748" s="32"/>
      <c r="O1748" s="32"/>
      <c r="P1748" s="32"/>
      <c r="Q1748" s="34"/>
      <c r="R1748" s="35"/>
      <c r="S1748" s="35"/>
      <c r="T1748" s="36"/>
      <c r="U1748" s="36"/>
      <c r="V1748" s="36"/>
      <c r="W1748" s="36"/>
      <c r="X1748" s="36"/>
      <c r="Y1748" s="36"/>
    </row>
    <row r="1749">
      <c r="A1749" s="32"/>
      <c r="B1749" s="32"/>
      <c r="C1749" s="32"/>
      <c r="D1749" s="32"/>
      <c r="E1749" s="32"/>
      <c r="F1749" s="32"/>
      <c r="G1749" s="39"/>
      <c r="H1749" s="32"/>
      <c r="I1749" s="32"/>
      <c r="J1749" s="32"/>
      <c r="K1749" s="33"/>
      <c r="L1749" s="32"/>
      <c r="M1749" s="32"/>
      <c r="N1749" s="32"/>
      <c r="O1749" s="32"/>
      <c r="P1749" s="32"/>
      <c r="Q1749" s="34"/>
      <c r="R1749" s="35"/>
      <c r="S1749" s="35"/>
      <c r="T1749" s="36"/>
      <c r="U1749" s="36"/>
      <c r="V1749" s="36"/>
      <c r="W1749" s="36"/>
      <c r="X1749" s="36"/>
      <c r="Y1749" s="36"/>
    </row>
    <row r="1750">
      <c r="A1750" s="32"/>
      <c r="B1750" s="32"/>
      <c r="C1750" s="32"/>
      <c r="D1750" s="32"/>
      <c r="E1750" s="32"/>
      <c r="F1750" s="32"/>
      <c r="G1750" s="39"/>
      <c r="H1750" s="32"/>
      <c r="I1750" s="32"/>
      <c r="J1750" s="32"/>
      <c r="K1750" s="33"/>
      <c r="L1750" s="32"/>
      <c r="M1750" s="32"/>
      <c r="N1750" s="32"/>
      <c r="O1750" s="32"/>
      <c r="P1750" s="32"/>
      <c r="Q1750" s="34"/>
      <c r="R1750" s="35"/>
      <c r="S1750" s="35"/>
      <c r="T1750" s="36"/>
      <c r="U1750" s="36"/>
      <c r="V1750" s="36"/>
      <c r="W1750" s="36"/>
      <c r="X1750" s="36"/>
      <c r="Y1750" s="36"/>
    </row>
    <row r="1751">
      <c r="A1751" s="32"/>
      <c r="B1751" s="32"/>
      <c r="C1751" s="32"/>
      <c r="D1751" s="32"/>
      <c r="E1751" s="32"/>
      <c r="F1751" s="32"/>
      <c r="G1751" s="39"/>
      <c r="H1751" s="32"/>
      <c r="I1751" s="32"/>
      <c r="J1751" s="32"/>
      <c r="K1751" s="33"/>
      <c r="L1751" s="32"/>
      <c r="M1751" s="32"/>
      <c r="N1751" s="32"/>
      <c r="O1751" s="32"/>
      <c r="P1751" s="32"/>
      <c r="Q1751" s="34"/>
      <c r="R1751" s="35"/>
      <c r="S1751" s="35"/>
      <c r="T1751" s="36"/>
      <c r="U1751" s="36"/>
      <c r="V1751" s="36"/>
      <c r="W1751" s="36"/>
      <c r="X1751" s="36"/>
      <c r="Y1751" s="36"/>
    </row>
    <row r="1752">
      <c r="A1752" s="32"/>
      <c r="B1752" s="32"/>
      <c r="C1752" s="32"/>
      <c r="D1752" s="32"/>
      <c r="E1752" s="32"/>
      <c r="F1752" s="32"/>
      <c r="G1752" s="39"/>
      <c r="H1752" s="32"/>
      <c r="I1752" s="32"/>
      <c r="J1752" s="32"/>
      <c r="K1752" s="33"/>
      <c r="L1752" s="32"/>
      <c r="M1752" s="32"/>
      <c r="N1752" s="32"/>
      <c r="O1752" s="32"/>
      <c r="P1752" s="32"/>
      <c r="Q1752" s="34"/>
      <c r="R1752" s="35"/>
      <c r="S1752" s="35"/>
      <c r="T1752" s="36"/>
      <c r="U1752" s="36"/>
      <c r="V1752" s="36"/>
      <c r="W1752" s="36"/>
      <c r="X1752" s="36"/>
      <c r="Y1752" s="36"/>
    </row>
    <row r="1753">
      <c r="A1753" s="32"/>
      <c r="B1753" s="32"/>
      <c r="C1753" s="32"/>
      <c r="D1753" s="32"/>
      <c r="E1753" s="32"/>
      <c r="F1753" s="32"/>
      <c r="G1753" s="39"/>
      <c r="H1753" s="32"/>
      <c r="I1753" s="32"/>
      <c r="J1753" s="32"/>
      <c r="K1753" s="33"/>
      <c r="L1753" s="32"/>
      <c r="M1753" s="32"/>
      <c r="N1753" s="32"/>
      <c r="O1753" s="32"/>
      <c r="P1753" s="32"/>
      <c r="Q1753" s="34"/>
      <c r="R1753" s="35"/>
      <c r="S1753" s="35"/>
      <c r="T1753" s="36"/>
      <c r="U1753" s="36"/>
      <c r="V1753" s="36"/>
      <c r="W1753" s="36"/>
      <c r="X1753" s="36"/>
      <c r="Y1753" s="36"/>
    </row>
    <row r="1754">
      <c r="A1754" s="32"/>
      <c r="B1754" s="32"/>
      <c r="C1754" s="32"/>
      <c r="D1754" s="32"/>
      <c r="E1754" s="32"/>
      <c r="F1754" s="32"/>
      <c r="G1754" s="39"/>
      <c r="H1754" s="32"/>
      <c r="I1754" s="32"/>
      <c r="J1754" s="32"/>
      <c r="K1754" s="33"/>
      <c r="L1754" s="32"/>
      <c r="M1754" s="32"/>
      <c r="N1754" s="32"/>
      <c r="O1754" s="32"/>
      <c r="P1754" s="32"/>
      <c r="Q1754" s="34"/>
      <c r="R1754" s="35"/>
      <c r="S1754" s="35"/>
      <c r="T1754" s="36"/>
      <c r="U1754" s="36"/>
      <c r="V1754" s="36"/>
      <c r="W1754" s="36"/>
      <c r="X1754" s="36"/>
      <c r="Y1754" s="36"/>
    </row>
    <row r="1755">
      <c r="A1755" s="32"/>
      <c r="B1755" s="32"/>
      <c r="C1755" s="32"/>
      <c r="D1755" s="32"/>
      <c r="E1755" s="32"/>
      <c r="F1755" s="32"/>
      <c r="G1755" s="39"/>
      <c r="H1755" s="32"/>
      <c r="I1755" s="32"/>
      <c r="J1755" s="32"/>
      <c r="K1755" s="33"/>
      <c r="L1755" s="32"/>
      <c r="M1755" s="32"/>
      <c r="N1755" s="32"/>
      <c r="O1755" s="32"/>
      <c r="P1755" s="32"/>
      <c r="Q1755" s="34"/>
      <c r="R1755" s="35"/>
      <c r="S1755" s="35"/>
      <c r="T1755" s="36"/>
      <c r="U1755" s="36"/>
      <c r="V1755" s="36"/>
      <c r="W1755" s="36"/>
      <c r="X1755" s="36"/>
      <c r="Y1755" s="36"/>
    </row>
    <row r="1756">
      <c r="A1756" s="32"/>
      <c r="B1756" s="32"/>
      <c r="C1756" s="32"/>
      <c r="D1756" s="32"/>
      <c r="E1756" s="32"/>
      <c r="F1756" s="32"/>
      <c r="G1756" s="39"/>
      <c r="H1756" s="32"/>
      <c r="I1756" s="32"/>
      <c r="J1756" s="32"/>
      <c r="K1756" s="33"/>
      <c r="L1756" s="32"/>
      <c r="M1756" s="32"/>
      <c r="N1756" s="32"/>
      <c r="O1756" s="32"/>
      <c r="P1756" s="32"/>
      <c r="Q1756" s="34"/>
      <c r="R1756" s="35"/>
      <c r="S1756" s="35"/>
      <c r="T1756" s="36"/>
      <c r="U1756" s="36"/>
      <c r="V1756" s="36"/>
      <c r="W1756" s="36"/>
      <c r="X1756" s="36"/>
      <c r="Y1756" s="36"/>
    </row>
    <row r="1757">
      <c r="A1757" s="32"/>
      <c r="B1757" s="32"/>
      <c r="C1757" s="32"/>
      <c r="D1757" s="32"/>
      <c r="E1757" s="32"/>
      <c r="F1757" s="32"/>
      <c r="G1757" s="39"/>
      <c r="H1757" s="32"/>
      <c r="I1757" s="32"/>
      <c r="J1757" s="32"/>
      <c r="K1757" s="33"/>
      <c r="L1757" s="32"/>
      <c r="M1757" s="32"/>
      <c r="N1757" s="32"/>
      <c r="O1757" s="32"/>
      <c r="P1757" s="32"/>
      <c r="Q1757" s="34"/>
      <c r="R1757" s="35"/>
      <c r="S1757" s="35"/>
      <c r="T1757" s="36"/>
      <c r="U1757" s="36"/>
      <c r="V1757" s="36"/>
      <c r="W1757" s="36"/>
      <c r="X1757" s="36"/>
      <c r="Y1757" s="36"/>
    </row>
    <row r="1758">
      <c r="A1758" s="32"/>
      <c r="B1758" s="32"/>
      <c r="C1758" s="32"/>
      <c r="D1758" s="32"/>
      <c r="E1758" s="32"/>
      <c r="F1758" s="32"/>
      <c r="G1758" s="39"/>
      <c r="H1758" s="32"/>
      <c r="I1758" s="32"/>
      <c r="J1758" s="32"/>
      <c r="K1758" s="33"/>
      <c r="L1758" s="32"/>
      <c r="M1758" s="32"/>
      <c r="N1758" s="32"/>
      <c r="O1758" s="32"/>
      <c r="P1758" s="32"/>
      <c r="Q1758" s="34"/>
      <c r="R1758" s="35"/>
      <c r="S1758" s="35"/>
      <c r="T1758" s="36"/>
      <c r="U1758" s="36"/>
      <c r="V1758" s="36"/>
      <c r="W1758" s="36"/>
      <c r="X1758" s="36"/>
      <c r="Y1758" s="36"/>
    </row>
    <row r="1759">
      <c r="A1759" s="32"/>
      <c r="B1759" s="32"/>
      <c r="C1759" s="32"/>
      <c r="D1759" s="32"/>
      <c r="E1759" s="32"/>
      <c r="F1759" s="32"/>
      <c r="G1759" s="39"/>
      <c r="H1759" s="32"/>
      <c r="I1759" s="32"/>
      <c r="J1759" s="32"/>
      <c r="K1759" s="33"/>
      <c r="L1759" s="32"/>
      <c r="M1759" s="32"/>
      <c r="N1759" s="32"/>
      <c r="O1759" s="32"/>
      <c r="P1759" s="32"/>
      <c r="Q1759" s="34"/>
      <c r="R1759" s="35"/>
      <c r="S1759" s="35"/>
      <c r="T1759" s="36"/>
      <c r="U1759" s="36"/>
      <c r="V1759" s="36"/>
      <c r="W1759" s="36"/>
      <c r="X1759" s="36"/>
      <c r="Y1759" s="36"/>
    </row>
    <row r="1760">
      <c r="A1760" s="32"/>
      <c r="B1760" s="32"/>
      <c r="C1760" s="32"/>
      <c r="D1760" s="32"/>
      <c r="E1760" s="32"/>
      <c r="F1760" s="32"/>
      <c r="G1760" s="39"/>
      <c r="H1760" s="32"/>
      <c r="I1760" s="32"/>
      <c r="J1760" s="32"/>
      <c r="K1760" s="33"/>
      <c r="L1760" s="32"/>
      <c r="M1760" s="32"/>
      <c r="N1760" s="32"/>
      <c r="O1760" s="32"/>
      <c r="P1760" s="32"/>
      <c r="Q1760" s="34"/>
      <c r="R1760" s="35"/>
      <c r="S1760" s="35"/>
      <c r="T1760" s="36"/>
      <c r="U1760" s="36"/>
      <c r="V1760" s="36"/>
      <c r="W1760" s="36"/>
      <c r="X1760" s="36"/>
      <c r="Y1760" s="36"/>
    </row>
    <row r="1761">
      <c r="A1761" s="32"/>
      <c r="B1761" s="32"/>
      <c r="C1761" s="32"/>
      <c r="D1761" s="32"/>
      <c r="E1761" s="32"/>
      <c r="F1761" s="32"/>
      <c r="G1761" s="39"/>
      <c r="H1761" s="32"/>
      <c r="I1761" s="32"/>
      <c r="J1761" s="32"/>
      <c r="K1761" s="33"/>
      <c r="L1761" s="32"/>
      <c r="M1761" s="32"/>
      <c r="N1761" s="32"/>
      <c r="O1761" s="32"/>
      <c r="P1761" s="32"/>
      <c r="Q1761" s="34"/>
      <c r="R1761" s="35"/>
      <c r="S1761" s="35"/>
      <c r="T1761" s="36"/>
      <c r="U1761" s="36"/>
      <c r="V1761" s="36"/>
      <c r="W1761" s="36"/>
      <c r="X1761" s="36"/>
      <c r="Y1761" s="36"/>
    </row>
    <row r="1762">
      <c r="A1762" s="32"/>
      <c r="B1762" s="32"/>
      <c r="C1762" s="32"/>
      <c r="D1762" s="32"/>
      <c r="E1762" s="32"/>
      <c r="F1762" s="32"/>
      <c r="G1762" s="39"/>
      <c r="H1762" s="32"/>
      <c r="I1762" s="32"/>
      <c r="J1762" s="32"/>
      <c r="K1762" s="33"/>
      <c r="L1762" s="32"/>
      <c r="M1762" s="32"/>
      <c r="N1762" s="32"/>
      <c r="O1762" s="32"/>
      <c r="P1762" s="32"/>
      <c r="Q1762" s="34"/>
      <c r="R1762" s="35"/>
      <c r="S1762" s="35"/>
      <c r="T1762" s="36"/>
      <c r="U1762" s="36"/>
      <c r="V1762" s="36"/>
      <c r="W1762" s="36"/>
      <c r="X1762" s="36"/>
      <c r="Y1762" s="36"/>
    </row>
    <row r="1763">
      <c r="A1763" s="32"/>
      <c r="B1763" s="32"/>
      <c r="C1763" s="32"/>
      <c r="D1763" s="32"/>
      <c r="E1763" s="32"/>
      <c r="F1763" s="32"/>
      <c r="G1763" s="39"/>
      <c r="H1763" s="32"/>
      <c r="I1763" s="32"/>
      <c r="J1763" s="32"/>
      <c r="K1763" s="33"/>
      <c r="L1763" s="32"/>
      <c r="M1763" s="32"/>
      <c r="N1763" s="32"/>
      <c r="O1763" s="32"/>
      <c r="P1763" s="32"/>
      <c r="Q1763" s="34"/>
      <c r="R1763" s="35"/>
      <c r="S1763" s="35"/>
      <c r="T1763" s="36"/>
      <c r="U1763" s="36"/>
      <c r="V1763" s="36"/>
      <c r="W1763" s="36"/>
      <c r="X1763" s="36"/>
      <c r="Y1763" s="36"/>
    </row>
    <row r="1764">
      <c r="A1764" s="32"/>
      <c r="B1764" s="32"/>
      <c r="C1764" s="32"/>
      <c r="D1764" s="32"/>
      <c r="E1764" s="32"/>
      <c r="F1764" s="32"/>
      <c r="G1764" s="39"/>
      <c r="H1764" s="32"/>
      <c r="I1764" s="32"/>
      <c r="J1764" s="32"/>
      <c r="K1764" s="33"/>
      <c r="L1764" s="32"/>
      <c r="M1764" s="32"/>
      <c r="N1764" s="32"/>
      <c r="O1764" s="32"/>
      <c r="P1764" s="32"/>
      <c r="Q1764" s="34"/>
      <c r="R1764" s="35"/>
      <c r="S1764" s="35"/>
      <c r="T1764" s="36"/>
      <c r="U1764" s="36"/>
      <c r="V1764" s="36"/>
      <c r="W1764" s="36"/>
      <c r="X1764" s="36"/>
      <c r="Y1764" s="36"/>
    </row>
    <row r="1765">
      <c r="A1765" s="32"/>
      <c r="B1765" s="32"/>
      <c r="C1765" s="32"/>
      <c r="D1765" s="32"/>
      <c r="E1765" s="32"/>
      <c r="F1765" s="32"/>
      <c r="G1765" s="39"/>
      <c r="H1765" s="32"/>
      <c r="I1765" s="32"/>
      <c r="J1765" s="32"/>
      <c r="K1765" s="33"/>
      <c r="L1765" s="32"/>
      <c r="M1765" s="32"/>
      <c r="N1765" s="32"/>
      <c r="O1765" s="32"/>
      <c r="P1765" s="32"/>
      <c r="Q1765" s="34"/>
      <c r="R1765" s="35"/>
      <c r="S1765" s="35"/>
      <c r="T1765" s="36"/>
      <c r="U1765" s="36"/>
      <c r="V1765" s="36"/>
      <c r="W1765" s="36"/>
      <c r="X1765" s="36"/>
      <c r="Y1765" s="36"/>
    </row>
    <row r="1766">
      <c r="A1766" s="32"/>
      <c r="B1766" s="32"/>
      <c r="C1766" s="32"/>
      <c r="D1766" s="32"/>
      <c r="E1766" s="32"/>
      <c r="F1766" s="32"/>
      <c r="G1766" s="39"/>
      <c r="H1766" s="32"/>
      <c r="I1766" s="32"/>
      <c r="J1766" s="32"/>
      <c r="K1766" s="33"/>
      <c r="L1766" s="32"/>
      <c r="M1766" s="32"/>
      <c r="N1766" s="32"/>
      <c r="O1766" s="32"/>
      <c r="P1766" s="32"/>
      <c r="Q1766" s="34"/>
      <c r="R1766" s="35"/>
      <c r="S1766" s="35"/>
      <c r="T1766" s="36"/>
      <c r="U1766" s="36"/>
      <c r="V1766" s="36"/>
      <c r="W1766" s="36"/>
      <c r="X1766" s="36"/>
      <c r="Y1766" s="36"/>
    </row>
    <row r="1767">
      <c r="A1767" s="32"/>
      <c r="B1767" s="32"/>
      <c r="C1767" s="32"/>
      <c r="D1767" s="32"/>
      <c r="E1767" s="32"/>
      <c r="F1767" s="32"/>
      <c r="G1767" s="39"/>
      <c r="H1767" s="32"/>
      <c r="I1767" s="32"/>
      <c r="J1767" s="32"/>
      <c r="K1767" s="33"/>
      <c r="L1767" s="32"/>
      <c r="M1767" s="32"/>
      <c r="N1767" s="32"/>
      <c r="O1767" s="32"/>
      <c r="P1767" s="32"/>
      <c r="Q1767" s="34"/>
      <c r="R1767" s="35"/>
      <c r="S1767" s="35"/>
      <c r="T1767" s="36"/>
      <c r="U1767" s="36"/>
      <c r="V1767" s="36"/>
      <c r="W1767" s="36"/>
      <c r="X1767" s="36"/>
      <c r="Y1767" s="36"/>
    </row>
    <row r="1768">
      <c r="A1768" s="32"/>
      <c r="B1768" s="32"/>
      <c r="C1768" s="32"/>
      <c r="D1768" s="32"/>
      <c r="E1768" s="32"/>
      <c r="F1768" s="32"/>
      <c r="G1768" s="39"/>
      <c r="H1768" s="32"/>
      <c r="I1768" s="32"/>
      <c r="J1768" s="32"/>
      <c r="K1768" s="33"/>
      <c r="L1768" s="32"/>
      <c r="M1768" s="32"/>
      <c r="N1768" s="32"/>
      <c r="O1768" s="32"/>
      <c r="P1768" s="32"/>
      <c r="Q1768" s="34"/>
      <c r="R1768" s="35"/>
      <c r="S1768" s="35"/>
      <c r="T1768" s="36"/>
      <c r="U1768" s="36"/>
      <c r="V1768" s="36"/>
      <c r="W1768" s="36"/>
      <c r="X1768" s="36"/>
      <c r="Y1768" s="36"/>
    </row>
    <row r="1769">
      <c r="A1769" s="32"/>
      <c r="B1769" s="32"/>
      <c r="C1769" s="32"/>
      <c r="D1769" s="32"/>
      <c r="E1769" s="32"/>
      <c r="F1769" s="32"/>
      <c r="G1769" s="39"/>
      <c r="H1769" s="32"/>
      <c r="I1769" s="32"/>
      <c r="J1769" s="32"/>
      <c r="K1769" s="33"/>
      <c r="L1769" s="32"/>
      <c r="M1769" s="32"/>
      <c r="N1769" s="32"/>
      <c r="O1769" s="32"/>
      <c r="P1769" s="32"/>
      <c r="Q1769" s="34"/>
      <c r="R1769" s="35"/>
      <c r="S1769" s="35"/>
      <c r="T1769" s="36"/>
      <c r="U1769" s="36"/>
      <c r="V1769" s="36"/>
      <c r="W1769" s="36"/>
      <c r="X1769" s="36"/>
      <c r="Y1769" s="36"/>
    </row>
    <row r="1770">
      <c r="A1770" s="32"/>
      <c r="B1770" s="32"/>
      <c r="C1770" s="32"/>
      <c r="D1770" s="32"/>
      <c r="E1770" s="32"/>
      <c r="F1770" s="32"/>
      <c r="G1770" s="39"/>
      <c r="H1770" s="32"/>
      <c r="I1770" s="32"/>
      <c r="J1770" s="32"/>
      <c r="K1770" s="33"/>
      <c r="L1770" s="32"/>
      <c r="M1770" s="32"/>
      <c r="N1770" s="32"/>
      <c r="O1770" s="32"/>
      <c r="P1770" s="32"/>
      <c r="Q1770" s="34"/>
      <c r="R1770" s="35"/>
      <c r="S1770" s="35"/>
      <c r="T1770" s="36"/>
      <c r="U1770" s="36"/>
      <c r="V1770" s="36"/>
      <c r="W1770" s="36"/>
      <c r="X1770" s="36"/>
      <c r="Y1770" s="36"/>
    </row>
    <row r="1771">
      <c r="A1771" s="32"/>
      <c r="B1771" s="32"/>
      <c r="C1771" s="32"/>
      <c r="D1771" s="32"/>
      <c r="E1771" s="32"/>
      <c r="F1771" s="32"/>
      <c r="G1771" s="39"/>
      <c r="H1771" s="32"/>
      <c r="I1771" s="32"/>
      <c r="J1771" s="32"/>
      <c r="K1771" s="33"/>
      <c r="L1771" s="32"/>
      <c r="M1771" s="32"/>
      <c r="N1771" s="32"/>
      <c r="O1771" s="32"/>
      <c r="P1771" s="32"/>
      <c r="Q1771" s="34"/>
      <c r="R1771" s="35"/>
      <c r="S1771" s="35"/>
      <c r="T1771" s="36"/>
      <c r="U1771" s="36"/>
      <c r="V1771" s="36"/>
      <c r="W1771" s="36"/>
      <c r="X1771" s="36"/>
      <c r="Y1771" s="36"/>
    </row>
    <row r="1772">
      <c r="A1772" s="32"/>
      <c r="B1772" s="32"/>
      <c r="C1772" s="32"/>
      <c r="D1772" s="32"/>
      <c r="E1772" s="32"/>
      <c r="F1772" s="32"/>
      <c r="G1772" s="39"/>
      <c r="H1772" s="32"/>
      <c r="I1772" s="32"/>
      <c r="J1772" s="32"/>
      <c r="K1772" s="33"/>
      <c r="L1772" s="32"/>
      <c r="M1772" s="32"/>
      <c r="N1772" s="32"/>
      <c r="O1772" s="32"/>
      <c r="P1772" s="32"/>
      <c r="Q1772" s="34"/>
      <c r="R1772" s="35"/>
      <c r="S1772" s="35"/>
      <c r="T1772" s="36"/>
      <c r="U1772" s="36"/>
      <c r="V1772" s="36"/>
      <c r="W1772" s="36"/>
      <c r="X1772" s="36"/>
      <c r="Y1772" s="36"/>
    </row>
    <row r="1773">
      <c r="A1773" s="32"/>
      <c r="B1773" s="32"/>
      <c r="C1773" s="32"/>
      <c r="D1773" s="32"/>
      <c r="E1773" s="32"/>
      <c r="F1773" s="32"/>
      <c r="G1773" s="39"/>
      <c r="H1773" s="32"/>
      <c r="I1773" s="32"/>
      <c r="J1773" s="32"/>
      <c r="K1773" s="33"/>
      <c r="L1773" s="32"/>
      <c r="M1773" s="32"/>
      <c r="N1773" s="32"/>
      <c r="O1773" s="32"/>
      <c r="P1773" s="32"/>
      <c r="Q1773" s="34"/>
      <c r="R1773" s="35"/>
      <c r="S1773" s="35"/>
      <c r="T1773" s="36"/>
      <c r="U1773" s="36"/>
      <c r="V1773" s="36"/>
      <c r="W1773" s="36"/>
      <c r="X1773" s="36"/>
      <c r="Y1773" s="36"/>
    </row>
    <row r="1774">
      <c r="A1774" s="32"/>
      <c r="B1774" s="32"/>
      <c r="C1774" s="32"/>
      <c r="D1774" s="32"/>
      <c r="E1774" s="32"/>
      <c r="F1774" s="32"/>
      <c r="G1774" s="39"/>
      <c r="H1774" s="32"/>
      <c r="I1774" s="32"/>
      <c r="J1774" s="32"/>
      <c r="K1774" s="33"/>
      <c r="L1774" s="32"/>
      <c r="M1774" s="32"/>
      <c r="N1774" s="32"/>
      <c r="O1774" s="32"/>
      <c r="P1774" s="32"/>
      <c r="Q1774" s="34"/>
      <c r="R1774" s="35"/>
      <c r="S1774" s="35"/>
      <c r="T1774" s="36"/>
      <c r="U1774" s="36"/>
      <c r="V1774" s="36"/>
      <c r="W1774" s="36"/>
      <c r="X1774" s="36"/>
      <c r="Y1774" s="36"/>
    </row>
    <row r="1775">
      <c r="A1775" s="32"/>
      <c r="B1775" s="32"/>
      <c r="C1775" s="32"/>
      <c r="D1775" s="32"/>
      <c r="E1775" s="32"/>
      <c r="F1775" s="32"/>
      <c r="G1775" s="39"/>
      <c r="H1775" s="32"/>
      <c r="I1775" s="32"/>
      <c r="J1775" s="32"/>
      <c r="K1775" s="33"/>
      <c r="L1775" s="32"/>
      <c r="M1775" s="32"/>
      <c r="N1775" s="32"/>
      <c r="O1775" s="32"/>
      <c r="P1775" s="32"/>
      <c r="Q1775" s="34"/>
      <c r="R1775" s="35"/>
      <c r="S1775" s="35"/>
      <c r="T1775" s="36"/>
      <c r="U1775" s="36"/>
      <c r="V1775" s="36"/>
      <c r="W1775" s="36"/>
      <c r="X1775" s="36"/>
      <c r="Y1775" s="36"/>
    </row>
    <row r="1776">
      <c r="A1776" s="32"/>
      <c r="B1776" s="32"/>
      <c r="C1776" s="32"/>
      <c r="D1776" s="32"/>
      <c r="E1776" s="32"/>
      <c r="F1776" s="32"/>
      <c r="G1776" s="39"/>
      <c r="H1776" s="32"/>
      <c r="I1776" s="32"/>
      <c r="J1776" s="32"/>
      <c r="K1776" s="33"/>
      <c r="L1776" s="32"/>
      <c r="M1776" s="32"/>
      <c r="N1776" s="32"/>
      <c r="O1776" s="32"/>
      <c r="P1776" s="32"/>
      <c r="Q1776" s="34"/>
      <c r="R1776" s="35"/>
      <c r="S1776" s="35"/>
      <c r="T1776" s="36"/>
      <c r="U1776" s="36"/>
      <c r="V1776" s="36"/>
      <c r="W1776" s="36"/>
      <c r="X1776" s="36"/>
      <c r="Y1776" s="36"/>
    </row>
    <row r="1777">
      <c r="A1777" s="32"/>
      <c r="B1777" s="32"/>
      <c r="C1777" s="32"/>
      <c r="D1777" s="32"/>
      <c r="E1777" s="32"/>
      <c r="F1777" s="32"/>
      <c r="G1777" s="39"/>
      <c r="H1777" s="32"/>
      <c r="I1777" s="32"/>
      <c r="J1777" s="32"/>
      <c r="K1777" s="33"/>
      <c r="L1777" s="32"/>
      <c r="M1777" s="32"/>
      <c r="N1777" s="32"/>
      <c r="O1777" s="32"/>
      <c r="P1777" s="32"/>
      <c r="Q1777" s="34"/>
      <c r="R1777" s="35"/>
      <c r="S1777" s="35"/>
      <c r="T1777" s="36"/>
      <c r="U1777" s="36"/>
      <c r="V1777" s="36"/>
      <c r="W1777" s="36"/>
      <c r="X1777" s="36"/>
      <c r="Y1777" s="36"/>
    </row>
    <row r="1778">
      <c r="A1778" s="32"/>
      <c r="B1778" s="32"/>
      <c r="C1778" s="32"/>
      <c r="D1778" s="32"/>
      <c r="E1778" s="32"/>
      <c r="F1778" s="32"/>
      <c r="G1778" s="39"/>
      <c r="H1778" s="32"/>
      <c r="I1778" s="32"/>
      <c r="J1778" s="32"/>
      <c r="K1778" s="33"/>
      <c r="L1778" s="32"/>
      <c r="M1778" s="32"/>
      <c r="N1778" s="32"/>
      <c r="O1778" s="32"/>
      <c r="P1778" s="32"/>
      <c r="Q1778" s="34"/>
      <c r="R1778" s="35"/>
      <c r="S1778" s="35"/>
      <c r="T1778" s="36"/>
      <c r="U1778" s="36"/>
      <c r="V1778" s="36"/>
      <c r="W1778" s="36"/>
      <c r="X1778" s="36"/>
      <c r="Y1778" s="36"/>
    </row>
    <row r="1779">
      <c r="A1779" s="32"/>
      <c r="B1779" s="32"/>
      <c r="C1779" s="32"/>
      <c r="D1779" s="32"/>
      <c r="E1779" s="32"/>
      <c r="F1779" s="32"/>
      <c r="G1779" s="39"/>
      <c r="H1779" s="32"/>
      <c r="I1779" s="32"/>
      <c r="J1779" s="32"/>
      <c r="K1779" s="33"/>
      <c r="L1779" s="32"/>
      <c r="M1779" s="32"/>
      <c r="N1779" s="32"/>
      <c r="O1779" s="32"/>
      <c r="P1779" s="32"/>
      <c r="Q1779" s="34"/>
      <c r="R1779" s="35"/>
      <c r="S1779" s="35"/>
      <c r="T1779" s="36"/>
      <c r="U1779" s="36"/>
      <c r="V1779" s="36"/>
      <c r="W1779" s="36"/>
      <c r="X1779" s="36"/>
      <c r="Y1779" s="36"/>
    </row>
    <row r="1780">
      <c r="A1780" s="32"/>
      <c r="B1780" s="32"/>
      <c r="C1780" s="32"/>
      <c r="D1780" s="32"/>
      <c r="E1780" s="32"/>
      <c r="F1780" s="32"/>
      <c r="G1780" s="39"/>
      <c r="H1780" s="32"/>
      <c r="I1780" s="32"/>
      <c r="J1780" s="32"/>
      <c r="K1780" s="33"/>
      <c r="L1780" s="32"/>
      <c r="M1780" s="32"/>
      <c r="N1780" s="32"/>
      <c r="O1780" s="32"/>
      <c r="P1780" s="32"/>
      <c r="Q1780" s="34"/>
      <c r="R1780" s="35"/>
      <c r="S1780" s="35"/>
      <c r="T1780" s="36"/>
      <c r="U1780" s="36"/>
      <c r="V1780" s="36"/>
      <c r="W1780" s="36"/>
      <c r="X1780" s="36"/>
      <c r="Y1780" s="36"/>
    </row>
    <row r="1781">
      <c r="A1781" s="32"/>
      <c r="B1781" s="32"/>
      <c r="C1781" s="32"/>
      <c r="D1781" s="32"/>
      <c r="E1781" s="32"/>
      <c r="F1781" s="32"/>
      <c r="G1781" s="39"/>
      <c r="H1781" s="32"/>
      <c r="I1781" s="32"/>
      <c r="J1781" s="32"/>
      <c r="K1781" s="33"/>
      <c r="L1781" s="32"/>
      <c r="M1781" s="32"/>
      <c r="N1781" s="32"/>
      <c r="O1781" s="32"/>
      <c r="P1781" s="32"/>
      <c r="Q1781" s="34"/>
      <c r="R1781" s="35"/>
      <c r="S1781" s="35"/>
      <c r="T1781" s="36"/>
      <c r="U1781" s="36"/>
      <c r="V1781" s="36"/>
      <c r="W1781" s="36"/>
      <c r="X1781" s="36"/>
      <c r="Y1781" s="36"/>
    </row>
    <row r="1782">
      <c r="A1782" s="32"/>
      <c r="B1782" s="32"/>
      <c r="C1782" s="32"/>
      <c r="D1782" s="32"/>
      <c r="E1782" s="32"/>
      <c r="F1782" s="32"/>
      <c r="G1782" s="39"/>
      <c r="H1782" s="32"/>
      <c r="I1782" s="32"/>
      <c r="J1782" s="32"/>
      <c r="K1782" s="33"/>
      <c r="L1782" s="32"/>
      <c r="M1782" s="32"/>
      <c r="N1782" s="32"/>
      <c r="O1782" s="32"/>
      <c r="P1782" s="32"/>
      <c r="Q1782" s="34"/>
      <c r="R1782" s="35"/>
      <c r="S1782" s="35"/>
      <c r="T1782" s="36"/>
      <c r="U1782" s="36"/>
      <c r="V1782" s="36"/>
      <c r="W1782" s="36"/>
      <c r="X1782" s="36"/>
      <c r="Y1782" s="36"/>
    </row>
    <row r="1783">
      <c r="A1783" s="32"/>
      <c r="B1783" s="32"/>
      <c r="C1783" s="32"/>
      <c r="D1783" s="32"/>
      <c r="E1783" s="32"/>
      <c r="F1783" s="32"/>
      <c r="G1783" s="39"/>
      <c r="H1783" s="32"/>
      <c r="I1783" s="32"/>
      <c r="J1783" s="32"/>
      <c r="K1783" s="33"/>
      <c r="L1783" s="32"/>
      <c r="M1783" s="32"/>
      <c r="N1783" s="32"/>
      <c r="O1783" s="32"/>
      <c r="P1783" s="32"/>
      <c r="Q1783" s="34"/>
      <c r="R1783" s="35"/>
      <c r="S1783" s="35"/>
      <c r="T1783" s="36"/>
      <c r="U1783" s="36"/>
      <c r="V1783" s="36"/>
      <c r="W1783" s="36"/>
      <c r="X1783" s="36"/>
      <c r="Y1783" s="36"/>
    </row>
    <row r="1784">
      <c r="A1784" s="32"/>
      <c r="B1784" s="32"/>
      <c r="C1784" s="32"/>
      <c r="D1784" s="32"/>
      <c r="E1784" s="32"/>
      <c r="F1784" s="32"/>
      <c r="G1784" s="39"/>
      <c r="H1784" s="32"/>
      <c r="I1784" s="32"/>
      <c r="J1784" s="32"/>
      <c r="K1784" s="33"/>
      <c r="L1784" s="32"/>
      <c r="M1784" s="32"/>
      <c r="N1784" s="32"/>
      <c r="O1784" s="32"/>
      <c r="P1784" s="32"/>
      <c r="Q1784" s="34"/>
      <c r="R1784" s="35"/>
      <c r="S1784" s="35"/>
      <c r="T1784" s="36"/>
      <c r="U1784" s="36"/>
      <c r="V1784" s="36"/>
      <c r="W1784" s="36"/>
      <c r="X1784" s="36"/>
      <c r="Y1784" s="36"/>
    </row>
    <row r="1785">
      <c r="A1785" s="32"/>
      <c r="B1785" s="32"/>
      <c r="C1785" s="32"/>
      <c r="D1785" s="32"/>
      <c r="E1785" s="32"/>
      <c r="F1785" s="32"/>
      <c r="G1785" s="39"/>
      <c r="H1785" s="32"/>
      <c r="I1785" s="32"/>
      <c r="J1785" s="32"/>
      <c r="K1785" s="33"/>
      <c r="L1785" s="32"/>
      <c r="M1785" s="32"/>
      <c r="N1785" s="32"/>
      <c r="O1785" s="32"/>
      <c r="P1785" s="32"/>
      <c r="Q1785" s="34"/>
      <c r="R1785" s="35"/>
      <c r="S1785" s="35"/>
      <c r="T1785" s="36"/>
      <c r="U1785" s="36"/>
      <c r="V1785" s="36"/>
      <c r="W1785" s="36"/>
      <c r="X1785" s="36"/>
      <c r="Y1785" s="36"/>
    </row>
    <row r="1786">
      <c r="A1786" s="32"/>
      <c r="B1786" s="32"/>
      <c r="C1786" s="32"/>
      <c r="D1786" s="32"/>
      <c r="E1786" s="32"/>
      <c r="F1786" s="32"/>
      <c r="G1786" s="39"/>
      <c r="H1786" s="32"/>
      <c r="I1786" s="32"/>
      <c r="J1786" s="32"/>
      <c r="K1786" s="33"/>
      <c r="L1786" s="32"/>
      <c r="M1786" s="32"/>
      <c r="N1786" s="32"/>
      <c r="O1786" s="32"/>
      <c r="P1786" s="32"/>
      <c r="Q1786" s="34"/>
      <c r="R1786" s="35"/>
      <c r="S1786" s="35"/>
      <c r="T1786" s="36"/>
      <c r="U1786" s="36"/>
      <c r="V1786" s="36"/>
      <c r="W1786" s="36"/>
      <c r="X1786" s="36"/>
      <c r="Y1786" s="36"/>
    </row>
    <row r="1787">
      <c r="A1787" s="32"/>
      <c r="B1787" s="32"/>
      <c r="C1787" s="32"/>
      <c r="D1787" s="32"/>
      <c r="E1787" s="32"/>
      <c r="F1787" s="32"/>
      <c r="G1787" s="39"/>
      <c r="H1787" s="32"/>
      <c r="I1787" s="32"/>
      <c r="J1787" s="32"/>
      <c r="K1787" s="33"/>
      <c r="L1787" s="32"/>
      <c r="M1787" s="32"/>
      <c r="N1787" s="32"/>
      <c r="O1787" s="32"/>
      <c r="P1787" s="32"/>
      <c r="Q1787" s="34"/>
      <c r="R1787" s="35"/>
      <c r="S1787" s="35"/>
      <c r="T1787" s="36"/>
      <c r="U1787" s="36"/>
      <c r="V1787" s="36"/>
      <c r="W1787" s="36"/>
      <c r="X1787" s="36"/>
      <c r="Y1787" s="36"/>
    </row>
    <row r="1788">
      <c r="A1788" s="32"/>
      <c r="B1788" s="32"/>
      <c r="C1788" s="32"/>
      <c r="D1788" s="32"/>
      <c r="E1788" s="32"/>
      <c r="F1788" s="32"/>
      <c r="G1788" s="39"/>
      <c r="H1788" s="32"/>
      <c r="I1788" s="32"/>
      <c r="J1788" s="32"/>
      <c r="K1788" s="33"/>
      <c r="L1788" s="32"/>
      <c r="M1788" s="32"/>
      <c r="N1788" s="32"/>
      <c r="O1788" s="32"/>
      <c r="P1788" s="32"/>
      <c r="Q1788" s="34"/>
      <c r="R1788" s="35"/>
      <c r="S1788" s="35"/>
      <c r="T1788" s="36"/>
      <c r="U1788" s="36"/>
      <c r="V1788" s="36"/>
      <c r="W1788" s="36"/>
      <c r="X1788" s="36"/>
      <c r="Y1788" s="36"/>
    </row>
    <row r="1789">
      <c r="A1789" s="32"/>
      <c r="B1789" s="32"/>
      <c r="C1789" s="32"/>
      <c r="D1789" s="32"/>
      <c r="E1789" s="32"/>
      <c r="F1789" s="32"/>
      <c r="G1789" s="39"/>
      <c r="H1789" s="32"/>
      <c r="I1789" s="32"/>
      <c r="J1789" s="32"/>
      <c r="K1789" s="33"/>
      <c r="L1789" s="32"/>
      <c r="M1789" s="32"/>
      <c r="N1789" s="32"/>
      <c r="O1789" s="32"/>
      <c r="P1789" s="32"/>
      <c r="Q1789" s="34"/>
      <c r="R1789" s="35"/>
      <c r="S1789" s="35"/>
      <c r="T1789" s="36"/>
      <c r="U1789" s="36"/>
      <c r="V1789" s="36"/>
      <c r="W1789" s="36"/>
      <c r="X1789" s="36"/>
      <c r="Y1789" s="36"/>
    </row>
    <row r="1790">
      <c r="A1790" s="32"/>
      <c r="B1790" s="32"/>
      <c r="C1790" s="32"/>
      <c r="D1790" s="32"/>
      <c r="E1790" s="32"/>
      <c r="F1790" s="32"/>
      <c r="G1790" s="39"/>
      <c r="H1790" s="32"/>
      <c r="I1790" s="32"/>
      <c r="J1790" s="32"/>
      <c r="K1790" s="33"/>
      <c r="L1790" s="32"/>
      <c r="M1790" s="32"/>
      <c r="N1790" s="32"/>
      <c r="O1790" s="32"/>
      <c r="P1790" s="32"/>
      <c r="Q1790" s="34"/>
      <c r="R1790" s="35"/>
      <c r="S1790" s="35"/>
      <c r="T1790" s="36"/>
      <c r="U1790" s="36"/>
      <c r="V1790" s="36"/>
      <c r="W1790" s="36"/>
      <c r="X1790" s="36"/>
      <c r="Y1790" s="36"/>
    </row>
    <row r="1791">
      <c r="A1791" s="32"/>
      <c r="B1791" s="32"/>
      <c r="C1791" s="32"/>
      <c r="D1791" s="32"/>
      <c r="E1791" s="32"/>
      <c r="F1791" s="32"/>
      <c r="G1791" s="39"/>
      <c r="H1791" s="32"/>
      <c r="I1791" s="32"/>
      <c r="J1791" s="32"/>
      <c r="K1791" s="33"/>
      <c r="L1791" s="32"/>
      <c r="M1791" s="32"/>
      <c r="N1791" s="32"/>
      <c r="O1791" s="32"/>
      <c r="P1791" s="32"/>
      <c r="Q1791" s="34"/>
      <c r="R1791" s="35"/>
      <c r="S1791" s="35"/>
      <c r="T1791" s="36"/>
      <c r="U1791" s="36"/>
      <c r="V1791" s="36"/>
      <c r="W1791" s="36"/>
      <c r="X1791" s="36"/>
      <c r="Y1791" s="36"/>
    </row>
    <row r="1792">
      <c r="A1792" s="32"/>
      <c r="B1792" s="32"/>
      <c r="C1792" s="32"/>
      <c r="D1792" s="32"/>
      <c r="E1792" s="32"/>
      <c r="F1792" s="32"/>
      <c r="G1792" s="39"/>
      <c r="H1792" s="32"/>
      <c r="I1792" s="32"/>
      <c r="J1792" s="32"/>
      <c r="K1792" s="33"/>
      <c r="L1792" s="32"/>
      <c r="M1792" s="32"/>
      <c r="N1792" s="32"/>
      <c r="O1792" s="32"/>
      <c r="P1792" s="32"/>
      <c r="Q1792" s="34"/>
      <c r="R1792" s="35"/>
      <c r="S1792" s="35"/>
      <c r="T1792" s="36"/>
      <c r="U1792" s="36"/>
      <c r="V1792" s="36"/>
      <c r="W1792" s="36"/>
      <c r="X1792" s="36"/>
      <c r="Y1792" s="36"/>
    </row>
    <row r="1793">
      <c r="A1793" s="32"/>
      <c r="B1793" s="32"/>
      <c r="C1793" s="32"/>
      <c r="D1793" s="32"/>
      <c r="E1793" s="32"/>
      <c r="F1793" s="32"/>
      <c r="G1793" s="39"/>
      <c r="H1793" s="32"/>
      <c r="I1793" s="32"/>
      <c r="J1793" s="32"/>
      <c r="K1793" s="33"/>
      <c r="L1793" s="32"/>
      <c r="M1793" s="32"/>
      <c r="N1793" s="32"/>
      <c r="O1793" s="32"/>
      <c r="P1793" s="32"/>
      <c r="Q1793" s="34"/>
      <c r="R1793" s="35"/>
      <c r="S1793" s="35"/>
      <c r="T1793" s="36"/>
      <c r="U1793" s="36"/>
      <c r="V1793" s="36"/>
      <c r="W1793" s="36"/>
      <c r="X1793" s="36"/>
      <c r="Y1793" s="36"/>
    </row>
    <row r="1794">
      <c r="A1794" s="32"/>
      <c r="B1794" s="32"/>
      <c r="C1794" s="32"/>
      <c r="D1794" s="32"/>
      <c r="E1794" s="32"/>
      <c r="F1794" s="32"/>
      <c r="G1794" s="39"/>
      <c r="H1794" s="32"/>
      <c r="I1794" s="32"/>
      <c r="J1794" s="32"/>
      <c r="K1794" s="33"/>
      <c r="L1794" s="32"/>
      <c r="M1794" s="32"/>
      <c r="N1794" s="32"/>
      <c r="O1794" s="32"/>
      <c r="P1794" s="32"/>
      <c r="Q1794" s="34"/>
      <c r="R1794" s="35"/>
      <c r="S1794" s="35"/>
      <c r="T1794" s="36"/>
      <c r="U1794" s="36"/>
      <c r="V1794" s="36"/>
      <c r="W1794" s="36"/>
      <c r="X1794" s="36"/>
      <c r="Y1794" s="36"/>
    </row>
    <row r="1795">
      <c r="A1795" s="32"/>
      <c r="B1795" s="32"/>
      <c r="C1795" s="32"/>
      <c r="D1795" s="32"/>
      <c r="E1795" s="32"/>
      <c r="F1795" s="32"/>
      <c r="G1795" s="39"/>
      <c r="H1795" s="32"/>
      <c r="I1795" s="32"/>
      <c r="J1795" s="32"/>
      <c r="K1795" s="33"/>
      <c r="L1795" s="32"/>
      <c r="M1795" s="32"/>
      <c r="N1795" s="32"/>
      <c r="O1795" s="32"/>
      <c r="P1795" s="32"/>
      <c r="Q1795" s="34"/>
      <c r="R1795" s="35"/>
      <c r="S1795" s="35"/>
      <c r="T1795" s="36"/>
      <c r="U1795" s="36"/>
      <c r="V1795" s="36"/>
      <c r="W1795" s="36"/>
      <c r="X1795" s="36"/>
      <c r="Y1795" s="36"/>
    </row>
    <row r="1796">
      <c r="A1796" s="32"/>
      <c r="B1796" s="32"/>
      <c r="C1796" s="32"/>
      <c r="D1796" s="32"/>
      <c r="E1796" s="32"/>
      <c r="F1796" s="32"/>
      <c r="G1796" s="39"/>
      <c r="H1796" s="32"/>
      <c r="I1796" s="32"/>
      <c r="J1796" s="32"/>
      <c r="K1796" s="33"/>
      <c r="L1796" s="32"/>
      <c r="M1796" s="32"/>
      <c r="N1796" s="32"/>
      <c r="O1796" s="32"/>
      <c r="P1796" s="32"/>
      <c r="Q1796" s="34"/>
      <c r="R1796" s="35"/>
      <c r="S1796" s="35"/>
      <c r="T1796" s="36"/>
      <c r="U1796" s="36"/>
      <c r="V1796" s="36"/>
      <c r="W1796" s="36"/>
      <c r="X1796" s="36"/>
      <c r="Y1796" s="36"/>
    </row>
    <row r="1797">
      <c r="A1797" s="32"/>
      <c r="B1797" s="32"/>
      <c r="C1797" s="32"/>
      <c r="D1797" s="32"/>
      <c r="E1797" s="32"/>
      <c r="F1797" s="32"/>
      <c r="G1797" s="39"/>
      <c r="H1797" s="32"/>
      <c r="I1797" s="32"/>
      <c r="J1797" s="32"/>
      <c r="K1797" s="33"/>
      <c r="L1797" s="32"/>
      <c r="M1797" s="32"/>
      <c r="N1797" s="32"/>
      <c r="O1797" s="32"/>
      <c r="P1797" s="32"/>
      <c r="Q1797" s="34"/>
      <c r="R1797" s="35"/>
      <c r="S1797" s="35"/>
      <c r="T1797" s="36"/>
      <c r="U1797" s="36"/>
      <c r="V1797" s="36"/>
      <c r="W1797" s="36"/>
      <c r="X1797" s="36"/>
      <c r="Y1797" s="36"/>
    </row>
    <row r="1798">
      <c r="A1798" s="32"/>
      <c r="B1798" s="32"/>
      <c r="C1798" s="32"/>
      <c r="D1798" s="32"/>
      <c r="E1798" s="32"/>
      <c r="F1798" s="32"/>
      <c r="G1798" s="39"/>
      <c r="H1798" s="32"/>
      <c r="I1798" s="32"/>
      <c r="J1798" s="32"/>
      <c r="K1798" s="33"/>
      <c r="L1798" s="32"/>
      <c r="M1798" s="32"/>
      <c r="N1798" s="32"/>
      <c r="O1798" s="32"/>
      <c r="P1798" s="32"/>
      <c r="Q1798" s="34"/>
      <c r="R1798" s="35"/>
      <c r="S1798" s="35"/>
      <c r="T1798" s="36"/>
      <c r="U1798" s="36"/>
      <c r="V1798" s="36"/>
      <c r="W1798" s="36"/>
      <c r="X1798" s="36"/>
      <c r="Y1798" s="36"/>
    </row>
    <row r="1799">
      <c r="A1799" s="32"/>
      <c r="B1799" s="32"/>
      <c r="C1799" s="32"/>
      <c r="D1799" s="32"/>
      <c r="E1799" s="32"/>
      <c r="F1799" s="32"/>
      <c r="G1799" s="39"/>
      <c r="H1799" s="32"/>
      <c r="I1799" s="32"/>
      <c r="J1799" s="32"/>
      <c r="K1799" s="33"/>
      <c r="L1799" s="32"/>
      <c r="M1799" s="32"/>
      <c r="N1799" s="32"/>
      <c r="O1799" s="32"/>
      <c r="P1799" s="32"/>
      <c r="Q1799" s="34"/>
      <c r="R1799" s="35"/>
      <c r="S1799" s="35"/>
      <c r="T1799" s="36"/>
      <c r="U1799" s="36"/>
      <c r="V1799" s="36"/>
      <c r="W1799" s="36"/>
      <c r="X1799" s="36"/>
      <c r="Y1799" s="36"/>
    </row>
    <row r="1800">
      <c r="A1800" s="32"/>
      <c r="B1800" s="32"/>
      <c r="C1800" s="32"/>
      <c r="D1800" s="32"/>
      <c r="E1800" s="32"/>
      <c r="F1800" s="32"/>
      <c r="G1800" s="39"/>
      <c r="H1800" s="32"/>
      <c r="I1800" s="32"/>
      <c r="J1800" s="32"/>
      <c r="K1800" s="33"/>
      <c r="L1800" s="32"/>
      <c r="M1800" s="32"/>
      <c r="N1800" s="32"/>
      <c r="O1800" s="32"/>
      <c r="P1800" s="32"/>
      <c r="Q1800" s="34"/>
      <c r="R1800" s="35"/>
      <c r="S1800" s="35"/>
      <c r="T1800" s="36"/>
      <c r="U1800" s="36"/>
      <c r="V1800" s="36"/>
      <c r="W1800" s="36"/>
      <c r="X1800" s="36"/>
      <c r="Y1800" s="36"/>
    </row>
    <row r="1801">
      <c r="A1801" s="32"/>
      <c r="B1801" s="32"/>
      <c r="C1801" s="32"/>
      <c r="D1801" s="32"/>
      <c r="E1801" s="32"/>
      <c r="F1801" s="32"/>
      <c r="G1801" s="39"/>
      <c r="H1801" s="32"/>
      <c r="I1801" s="32"/>
      <c r="J1801" s="32"/>
      <c r="K1801" s="33"/>
      <c r="L1801" s="32"/>
      <c r="M1801" s="32"/>
      <c r="N1801" s="32"/>
      <c r="O1801" s="32"/>
      <c r="P1801" s="32"/>
      <c r="Q1801" s="34"/>
      <c r="R1801" s="35"/>
      <c r="S1801" s="35"/>
      <c r="T1801" s="36"/>
      <c r="U1801" s="36"/>
      <c r="V1801" s="36"/>
      <c r="W1801" s="36"/>
      <c r="X1801" s="36"/>
      <c r="Y1801" s="36"/>
    </row>
    <row r="1802">
      <c r="A1802" s="32"/>
      <c r="B1802" s="32"/>
      <c r="C1802" s="32"/>
      <c r="D1802" s="32"/>
      <c r="E1802" s="32"/>
      <c r="F1802" s="32"/>
      <c r="G1802" s="39"/>
      <c r="H1802" s="32"/>
      <c r="I1802" s="32"/>
      <c r="J1802" s="32"/>
      <c r="K1802" s="33"/>
      <c r="L1802" s="32"/>
      <c r="M1802" s="32"/>
      <c r="N1802" s="32"/>
      <c r="O1802" s="32"/>
      <c r="P1802" s="32"/>
      <c r="Q1802" s="34"/>
      <c r="R1802" s="35"/>
      <c r="S1802" s="35"/>
      <c r="T1802" s="36"/>
      <c r="U1802" s="36"/>
      <c r="V1802" s="36"/>
      <c r="W1802" s="36"/>
      <c r="X1802" s="36"/>
      <c r="Y1802" s="36"/>
    </row>
    <row r="1803">
      <c r="A1803" s="32"/>
      <c r="B1803" s="32"/>
      <c r="C1803" s="32"/>
      <c r="D1803" s="32"/>
      <c r="E1803" s="32"/>
      <c r="F1803" s="32"/>
      <c r="G1803" s="39"/>
      <c r="H1803" s="32"/>
      <c r="I1803" s="32"/>
      <c r="J1803" s="32"/>
      <c r="K1803" s="33"/>
      <c r="L1803" s="32"/>
      <c r="M1803" s="32"/>
      <c r="N1803" s="32"/>
      <c r="O1803" s="32"/>
      <c r="P1803" s="32"/>
      <c r="Q1803" s="34"/>
      <c r="R1803" s="35"/>
      <c r="S1803" s="35"/>
      <c r="T1803" s="36"/>
      <c r="U1803" s="36"/>
      <c r="V1803" s="36"/>
      <c r="W1803" s="36"/>
      <c r="X1803" s="36"/>
      <c r="Y1803" s="36"/>
    </row>
    <row r="1804">
      <c r="A1804" s="32"/>
      <c r="B1804" s="32"/>
      <c r="C1804" s="32"/>
      <c r="D1804" s="32"/>
      <c r="E1804" s="32"/>
      <c r="F1804" s="32"/>
      <c r="G1804" s="39"/>
      <c r="H1804" s="32"/>
      <c r="I1804" s="32"/>
      <c r="J1804" s="32"/>
      <c r="K1804" s="33"/>
      <c r="L1804" s="32"/>
      <c r="M1804" s="32"/>
      <c r="N1804" s="32"/>
      <c r="O1804" s="32"/>
      <c r="P1804" s="32"/>
      <c r="Q1804" s="34"/>
      <c r="R1804" s="35"/>
      <c r="S1804" s="35"/>
      <c r="T1804" s="36"/>
      <c r="U1804" s="36"/>
      <c r="V1804" s="36"/>
      <c r="W1804" s="36"/>
      <c r="X1804" s="36"/>
      <c r="Y1804" s="36"/>
    </row>
    <row r="1805">
      <c r="A1805" s="32"/>
      <c r="B1805" s="32"/>
      <c r="C1805" s="32"/>
      <c r="D1805" s="32"/>
      <c r="E1805" s="32"/>
      <c r="F1805" s="32"/>
      <c r="G1805" s="39"/>
      <c r="H1805" s="32"/>
      <c r="I1805" s="32"/>
      <c r="J1805" s="32"/>
      <c r="K1805" s="33"/>
      <c r="L1805" s="32"/>
      <c r="M1805" s="32"/>
      <c r="N1805" s="32"/>
      <c r="O1805" s="32"/>
      <c r="P1805" s="32"/>
      <c r="Q1805" s="34"/>
      <c r="R1805" s="35"/>
      <c r="S1805" s="35"/>
      <c r="T1805" s="36"/>
      <c r="U1805" s="36"/>
      <c r="V1805" s="36"/>
      <c r="W1805" s="36"/>
      <c r="X1805" s="36"/>
      <c r="Y1805" s="36"/>
    </row>
    <row r="1806">
      <c r="A1806" s="32"/>
      <c r="B1806" s="32"/>
      <c r="C1806" s="32"/>
      <c r="D1806" s="32"/>
      <c r="E1806" s="32"/>
      <c r="F1806" s="32"/>
      <c r="G1806" s="39"/>
      <c r="H1806" s="32"/>
      <c r="I1806" s="32"/>
      <c r="J1806" s="32"/>
      <c r="K1806" s="33"/>
      <c r="L1806" s="32"/>
      <c r="M1806" s="32"/>
      <c r="N1806" s="32"/>
      <c r="O1806" s="32"/>
      <c r="P1806" s="32"/>
      <c r="Q1806" s="34"/>
      <c r="R1806" s="35"/>
      <c r="S1806" s="35"/>
      <c r="T1806" s="36"/>
      <c r="U1806" s="36"/>
      <c r="V1806" s="36"/>
      <c r="W1806" s="36"/>
      <c r="X1806" s="36"/>
      <c r="Y1806" s="36"/>
    </row>
    <row r="1807">
      <c r="A1807" s="32"/>
      <c r="B1807" s="32"/>
      <c r="C1807" s="32"/>
      <c r="D1807" s="32"/>
      <c r="E1807" s="32"/>
      <c r="F1807" s="32"/>
      <c r="G1807" s="39"/>
      <c r="H1807" s="32"/>
      <c r="I1807" s="32"/>
      <c r="J1807" s="32"/>
      <c r="K1807" s="33"/>
      <c r="L1807" s="32"/>
      <c r="M1807" s="32"/>
      <c r="N1807" s="32"/>
      <c r="O1807" s="32"/>
      <c r="P1807" s="32"/>
      <c r="Q1807" s="34"/>
      <c r="R1807" s="35"/>
      <c r="S1807" s="35"/>
      <c r="T1807" s="36"/>
      <c r="U1807" s="36"/>
      <c r="V1807" s="36"/>
      <c r="W1807" s="36"/>
      <c r="X1807" s="36"/>
      <c r="Y1807" s="36"/>
    </row>
    <row r="1808">
      <c r="A1808" s="32"/>
      <c r="B1808" s="32"/>
      <c r="C1808" s="32"/>
      <c r="D1808" s="32"/>
      <c r="E1808" s="32"/>
      <c r="F1808" s="32"/>
      <c r="G1808" s="39"/>
      <c r="H1808" s="32"/>
      <c r="I1808" s="32"/>
      <c r="J1808" s="32"/>
      <c r="K1808" s="33"/>
      <c r="L1808" s="32"/>
      <c r="M1808" s="32"/>
      <c r="N1808" s="32"/>
      <c r="O1808" s="32"/>
      <c r="P1808" s="32"/>
      <c r="Q1808" s="34"/>
      <c r="R1808" s="35"/>
      <c r="S1808" s="35"/>
      <c r="T1808" s="36"/>
      <c r="U1808" s="36"/>
      <c r="V1808" s="36"/>
      <c r="W1808" s="36"/>
      <c r="X1808" s="36"/>
      <c r="Y1808" s="36"/>
    </row>
    <row r="1809">
      <c r="A1809" s="32"/>
      <c r="B1809" s="32"/>
      <c r="C1809" s="32"/>
      <c r="D1809" s="32"/>
      <c r="E1809" s="32"/>
      <c r="F1809" s="32"/>
      <c r="G1809" s="39"/>
      <c r="H1809" s="32"/>
      <c r="I1809" s="32"/>
      <c r="J1809" s="32"/>
      <c r="K1809" s="33"/>
      <c r="L1809" s="32"/>
      <c r="M1809" s="32"/>
      <c r="N1809" s="32"/>
      <c r="O1809" s="32"/>
      <c r="P1809" s="32"/>
      <c r="Q1809" s="34"/>
      <c r="R1809" s="35"/>
      <c r="S1809" s="35"/>
      <c r="T1809" s="36"/>
      <c r="U1809" s="36"/>
      <c r="V1809" s="36"/>
      <c r="W1809" s="36"/>
      <c r="X1809" s="36"/>
      <c r="Y1809" s="36"/>
    </row>
    <row r="1810">
      <c r="A1810" s="32"/>
      <c r="B1810" s="32"/>
      <c r="C1810" s="32"/>
      <c r="D1810" s="32"/>
      <c r="E1810" s="32"/>
      <c r="F1810" s="32"/>
      <c r="G1810" s="39"/>
      <c r="H1810" s="32"/>
      <c r="I1810" s="32"/>
      <c r="J1810" s="32"/>
      <c r="K1810" s="33"/>
      <c r="L1810" s="32"/>
      <c r="M1810" s="32"/>
      <c r="N1810" s="32"/>
      <c r="O1810" s="32"/>
      <c r="P1810" s="32"/>
      <c r="Q1810" s="34"/>
      <c r="R1810" s="35"/>
      <c r="S1810" s="35"/>
      <c r="T1810" s="36"/>
      <c r="U1810" s="36"/>
      <c r="V1810" s="36"/>
      <c r="W1810" s="36"/>
      <c r="X1810" s="36"/>
      <c r="Y1810" s="36"/>
    </row>
    <row r="1811">
      <c r="A1811" s="32"/>
      <c r="B1811" s="32"/>
      <c r="C1811" s="32"/>
      <c r="D1811" s="32"/>
      <c r="E1811" s="32"/>
      <c r="F1811" s="32"/>
      <c r="G1811" s="39"/>
      <c r="H1811" s="32"/>
      <c r="I1811" s="32"/>
      <c r="J1811" s="32"/>
      <c r="K1811" s="33"/>
      <c r="L1811" s="32"/>
      <c r="M1811" s="32"/>
      <c r="N1811" s="32"/>
      <c r="O1811" s="32"/>
      <c r="P1811" s="32"/>
      <c r="Q1811" s="34"/>
      <c r="R1811" s="35"/>
      <c r="S1811" s="35"/>
      <c r="T1811" s="36"/>
      <c r="U1811" s="36"/>
      <c r="V1811" s="36"/>
      <c r="W1811" s="36"/>
      <c r="X1811" s="36"/>
      <c r="Y1811" s="36"/>
    </row>
    <row r="1812">
      <c r="A1812" s="32"/>
      <c r="B1812" s="32"/>
      <c r="C1812" s="32"/>
      <c r="D1812" s="32"/>
      <c r="E1812" s="32"/>
      <c r="F1812" s="32"/>
      <c r="G1812" s="39"/>
      <c r="H1812" s="32"/>
      <c r="I1812" s="32"/>
      <c r="J1812" s="32"/>
      <c r="K1812" s="33"/>
      <c r="L1812" s="32"/>
      <c r="M1812" s="32"/>
      <c r="N1812" s="32"/>
      <c r="O1812" s="32"/>
      <c r="P1812" s="32"/>
      <c r="Q1812" s="34"/>
      <c r="R1812" s="35"/>
      <c r="S1812" s="35"/>
      <c r="T1812" s="36"/>
      <c r="U1812" s="36"/>
      <c r="V1812" s="36"/>
      <c r="W1812" s="36"/>
      <c r="X1812" s="36"/>
      <c r="Y1812" s="36"/>
    </row>
    <row r="1813">
      <c r="A1813" s="32"/>
      <c r="B1813" s="32"/>
      <c r="C1813" s="32"/>
      <c r="D1813" s="32"/>
      <c r="E1813" s="32"/>
      <c r="F1813" s="32"/>
      <c r="G1813" s="39"/>
      <c r="H1813" s="32"/>
      <c r="I1813" s="32"/>
      <c r="J1813" s="32"/>
      <c r="K1813" s="33"/>
      <c r="L1813" s="32"/>
      <c r="M1813" s="32"/>
      <c r="N1813" s="32"/>
      <c r="O1813" s="32"/>
      <c r="P1813" s="32"/>
      <c r="Q1813" s="34"/>
      <c r="R1813" s="35"/>
      <c r="S1813" s="35"/>
      <c r="T1813" s="36"/>
      <c r="U1813" s="36"/>
      <c r="V1813" s="36"/>
      <c r="W1813" s="36"/>
      <c r="X1813" s="36"/>
      <c r="Y1813" s="36"/>
    </row>
    <row r="1814">
      <c r="A1814" s="32"/>
      <c r="B1814" s="32"/>
      <c r="C1814" s="32"/>
      <c r="D1814" s="32"/>
      <c r="E1814" s="32"/>
      <c r="F1814" s="32"/>
      <c r="G1814" s="39"/>
      <c r="H1814" s="32"/>
      <c r="I1814" s="32"/>
      <c r="J1814" s="32"/>
      <c r="K1814" s="33"/>
      <c r="L1814" s="32"/>
      <c r="M1814" s="32"/>
      <c r="N1814" s="32"/>
      <c r="O1814" s="32"/>
      <c r="P1814" s="32"/>
      <c r="Q1814" s="34"/>
      <c r="R1814" s="35"/>
      <c r="S1814" s="35"/>
      <c r="T1814" s="36"/>
      <c r="U1814" s="36"/>
      <c r="V1814" s="36"/>
      <c r="W1814" s="36"/>
      <c r="X1814" s="36"/>
      <c r="Y1814" s="36"/>
    </row>
    <row r="1815">
      <c r="A1815" s="32"/>
      <c r="B1815" s="32"/>
      <c r="C1815" s="32"/>
      <c r="D1815" s="32"/>
      <c r="E1815" s="32"/>
      <c r="F1815" s="32"/>
      <c r="G1815" s="39"/>
      <c r="H1815" s="32"/>
      <c r="I1815" s="32"/>
      <c r="J1815" s="32"/>
      <c r="K1815" s="33"/>
      <c r="L1815" s="32"/>
      <c r="M1815" s="32"/>
      <c r="N1815" s="32"/>
      <c r="O1815" s="32"/>
      <c r="P1815" s="32"/>
      <c r="Q1815" s="34"/>
      <c r="R1815" s="35"/>
      <c r="S1815" s="35"/>
      <c r="T1815" s="36"/>
      <c r="U1815" s="36"/>
      <c r="V1815" s="36"/>
      <c r="W1815" s="36"/>
      <c r="X1815" s="36"/>
      <c r="Y1815" s="36"/>
    </row>
    <row r="1816">
      <c r="A1816" s="32"/>
      <c r="B1816" s="32"/>
      <c r="C1816" s="32"/>
      <c r="D1816" s="32"/>
      <c r="E1816" s="32"/>
      <c r="F1816" s="32"/>
      <c r="G1816" s="39"/>
      <c r="H1816" s="32"/>
      <c r="I1816" s="32"/>
      <c r="J1816" s="32"/>
      <c r="K1816" s="33"/>
      <c r="L1816" s="32"/>
      <c r="M1816" s="32"/>
      <c r="N1816" s="32"/>
      <c r="O1816" s="32"/>
      <c r="P1816" s="32"/>
      <c r="Q1816" s="34"/>
      <c r="R1816" s="35"/>
      <c r="S1816" s="35"/>
      <c r="T1816" s="36"/>
      <c r="U1816" s="36"/>
      <c r="V1816" s="36"/>
      <c r="W1816" s="36"/>
      <c r="X1816" s="36"/>
      <c r="Y1816" s="36"/>
    </row>
    <row r="1817">
      <c r="A1817" s="32"/>
      <c r="B1817" s="32"/>
      <c r="C1817" s="32"/>
      <c r="D1817" s="32"/>
      <c r="E1817" s="32"/>
      <c r="F1817" s="32"/>
      <c r="G1817" s="39"/>
      <c r="H1817" s="32"/>
      <c r="I1817" s="32"/>
      <c r="J1817" s="32"/>
      <c r="K1817" s="33"/>
      <c r="L1817" s="32"/>
      <c r="M1817" s="32"/>
      <c r="N1817" s="32"/>
      <c r="O1817" s="32"/>
      <c r="P1817" s="32"/>
      <c r="Q1817" s="34"/>
      <c r="R1817" s="35"/>
      <c r="S1817" s="35"/>
      <c r="T1817" s="36"/>
      <c r="U1817" s="36"/>
      <c r="V1817" s="36"/>
      <c r="W1817" s="36"/>
      <c r="X1817" s="36"/>
      <c r="Y1817" s="36"/>
    </row>
    <row r="1818">
      <c r="A1818" s="32"/>
      <c r="B1818" s="32"/>
      <c r="C1818" s="32"/>
      <c r="D1818" s="32"/>
      <c r="E1818" s="32"/>
      <c r="F1818" s="32"/>
      <c r="G1818" s="39"/>
      <c r="H1818" s="32"/>
      <c r="I1818" s="32"/>
      <c r="J1818" s="32"/>
      <c r="K1818" s="33"/>
      <c r="L1818" s="32"/>
      <c r="M1818" s="32"/>
      <c r="N1818" s="32"/>
      <c r="O1818" s="32"/>
      <c r="P1818" s="32"/>
      <c r="Q1818" s="34"/>
      <c r="R1818" s="35"/>
      <c r="S1818" s="35"/>
      <c r="T1818" s="36"/>
      <c r="U1818" s="36"/>
      <c r="V1818" s="36"/>
      <c r="W1818" s="36"/>
      <c r="X1818" s="36"/>
      <c r="Y1818" s="36"/>
    </row>
    <row r="1819">
      <c r="A1819" s="32"/>
      <c r="B1819" s="32"/>
      <c r="C1819" s="32"/>
      <c r="D1819" s="32"/>
      <c r="E1819" s="32"/>
      <c r="F1819" s="32"/>
      <c r="G1819" s="39"/>
      <c r="H1819" s="32"/>
      <c r="I1819" s="32"/>
      <c r="J1819" s="32"/>
      <c r="K1819" s="33"/>
      <c r="L1819" s="32"/>
      <c r="M1819" s="32"/>
      <c r="N1819" s="32"/>
      <c r="O1819" s="32"/>
      <c r="P1819" s="32"/>
      <c r="Q1819" s="34"/>
      <c r="R1819" s="35"/>
      <c r="S1819" s="35"/>
      <c r="T1819" s="36"/>
      <c r="U1819" s="36"/>
      <c r="V1819" s="36"/>
      <c r="W1819" s="36"/>
      <c r="X1819" s="36"/>
      <c r="Y1819" s="36"/>
    </row>
    <row r="1820">
      <c r="A1820" s="32"/>
      <c r="B1820" s="32"/>
      <c r="C1820" s="32"/>
      <c r="D1820" s="32"/>
      <c r="E1820" s="32"/>
      <c r="F1820" s="32"/>
      <c r="G1820" s="39"/>
      <c r="H1820" s="32"/>
      <c r="I1820" s="32"/>
      <c r="J1820" s="32"/>
      <c r="K1820" s="33"/>
      <c r="L1820" s="32"/>
      <c r="M1820" s="32"/>
      <c r="N1820" s="32"/>
      <c r="O1820" s="32"/>
      <c r="P1820" s="32"/>
      <c r="Q1820" s="34"/>
      <c r="R1820" s="35"/>
      <c r="S1820" s="35"/>
      <c r="T1820" s="36"/>
      <c r="U1820" s="36"/>
      <c r="V1820" s="36"/>
      <c r="W1820" s="36"/>
      <c r="X1820" s="36"/>
      <c r="Y1820" s="36"/>
    </row>
    <row r="1821">
      <c r="A1821" s="32"/>
      <c r="B1821" s="32"/>
      <c r="C1821" s="32"/>
      <c r="D1821" s="32"/>
      <c r="E1821" s="32"/>
      <c r="F1821" s="32"/>
      <c r="G1821" s="39"/>
      <c r="H1821" s="32"/>
      <c r="I1821" s="32"/>
      <c r="J1821" s="32"/>
      <c r="K1821" s="33"/>
      <c r="L1821" s="32"/>
      <c r="M1821" s="32"/>
      <c r="N1821" s="32"/>
      <c r="O1821" s="32"/>
      <c r="P1821" s="32"/>
      <c r="Q1821" s="34"/>
      <c r="R1821" s="35"/>
      <c r="S1821" s="35"/>
      <c r="T1821" s="36"/>
      <c r="U1821" s="36"/>
      <c r="V1821" s="36"/>
      <c r="W1821" s="36"/>
      <c r="X1821" s="36"/>
      <c r="Y1821" s="36"/>
    </row>
    <row r="1822">
      <c r="A1822" s="32"/>
      <c r="B1822" s="32"/>
      <c r="C1822" s="32"/>
      <c r="D1822" s="32"/>
      <c r="E1822" s="32"/>
      <c r="F1822" s="32"/>
      <c r="G1822" s="39"/>
      <c r="H1822" s="32"/>
      <c r="I1822" s="32"/>
      <c r="J1822" s="32"/>
      <c r="K1822" s="33"/>
      <c r="L1822" s="32"/>
      <c r="M1822" s="32"/>
      <c r="N1822" s="32"/>
      <c r="O1822" s="32"/>
      <c r="P1822" s="32"/>
      <c r="Q1822" s="34"/>
      <c r="R1822" s="35"/>
      <c r="S1822" s="35"/>
      <c r="T1822" s="36"/>
      <c r="U1822" s="36"/>
      <c r="V1822" s="36"/>
      <c r="W1822" s="36"/>
      <c r="X1822" s="36"/>
      <c r="Y1822" s="36"/>
    </row>
    <row r="1823">
      <c r="A1823" s="32"/>
      <c r="B1823" s="32"/>
      <c r="C1823" s="32"/>
      <c r="D1823" s="32"/>
      <c r="E1823" s="32"/>
      <c r="F1823" s="32"/>
      <c r="G1823" s="39"/>
      <c r="H1823" s="32"/>
      <c r="I1823" s="32"/>
      <c r="J1823" s="32"/>
      <c r="K1823" s="33"/>
      <c r="L1823" s="32"/>
      <c r="M1823" s="32"/>
      <c r="N1823" s="32"/>
      <c r="O1823" s="32"/>
      <c r="P1823" s="32"/>
      <c r="Q1823" s="34"/>
      <c r="R1823" s="35"/>
      <c r="S1823" s="35"/>
      <c r="T1823" s="36"/>
      <c r="U1823" s="36"/>
      <c r="V1823" s="36"/>
      <c r="W1823" s="36"/>
      <c r="X1823" s="36"/>
      <c r="Y1823" s="36"/>
    </row>
    <row r="1824">
      <c r="A1824" s="32"/>
      <c r="B1824" s="32"/>
      <c r="C1824" s="32"/>
      <c r="D1824" s="32"/>
      <c r="E1824" s="32"/>
      <c r="F1824" s="32"/>
      <c r="G1824" s="39"/>
      <c r="H1824" s="32"/>
      <c r="I1824" s="32"/>
      <c r="J1824" s="32"/>
      <c r="K1824" s="33"/>
      <c r="L1824" s="32"/>
      <c r="M1824" s="32"/>
      <c r="N1824" s="32"/>
      <c r="O1824" s="32"/>
      <c r="P1824" s="32"/>
      <c r="Q1824" s="34"/>
      <c r="R1824" s="35"/>
      <c r="S1824" s="35"/>
      <c r="T1824" s="36"/>
      <c r="U1824" s="36"/>
      <c r="V1824" s="36"/>
      <c r="W1824" s="36"/>
      <c r="X1824" s="36"/>
      <c r="Y1824" s="36"/>
    </row>
    <row r="1825">
      <c r="A1825" s="32"/>
      <c r="B1825" s="32"/>
      <c r="C1825" s="32"/>
      <c r="D1825" s="32"/>
      <c r="E1825" s="32"/>
      <c r="F1825" s="32"/>
      <c r="G1825" s="39"/>
      <c r="H1825" s="32"/>
      <c r="I1825" s="32"/>
      <c r="J1825" s="32"/>
      <c r="K1825" s="33"/>
      <c r="L1825" s="32"/>
      <c r="M1825" s="32"/>
      <c r="N1825" s="32"/>
      <c r="O1825" s="32"/>
      <c r="P1825" s="32"/>
      <c r="Q1825" s="34"/>
      <c r="R1825" s="35"/>
      <c r="S1825" s="35"/>
      <c r="T1825" s="36"/>
      <c r="U1825" s="36"/>
      <c r="V1825" s="36"/>
      <c r="W1825" s="36"/>
      <c r="X1825" s="36"/>
      <c r="Y1825" s="36"/>
    </row>
    <row r="1826">
      <c r="A1826" s="32"/>
      <c r="B1826" s="32"/>
      <c r="C1826" s="32"/>
      <c r="D1826" s="32"/>
      <c r="E1826" s="32"/>
      <c r="F1826" s="32"/>
      <c r="G1826" s="39"/>
      <c r="H1826" s="32"/>
      <c r="I1826" s="32"/>
      <c r="J1826" s="32"/>
      <c r="K1826" s="33"/>
      <c r="L1826" s="32"/>
      <c r="M1826" s="32"/>
      <c r="N1826" s="32"/>
      <c r="O1826" s="32"/>
      <c r="P1826" s="32"/>
      <c r="Q1826" s="34"/>
      <c r="R1826" s="35"/>
      <c r="S1826" s="35"/>
      <c r="T1826" s="36"/>
      <c r="U1826" s="36"/>
      <c r="V1826" s="36"/>
      <c r="W1826" s="36"/>
      <c r="X1826" s="36"/>
      <c r="Y1826" s="36"/>
    </row>
    <row r="1827">
      <c r="A1827" s="32"/>
      <c r="B1827" s="32"/>
      <c r="C1827" s="32"/>
      <c r="D1827" s="32"/>
      <c r="E1827" s="32"/>
      <c r="F1827" s="32"/>
      <c r="G1827" s="39"/>
      <c r="H1827" s="32"/>
      <c r="I1827" s="32"/>
      <c r="J1827" s="32"/>
      <c r="K1827" s="33"/>
      <c r="L1827" s="32"/>
      <c r="M1827" s="32"/>
      <c r="N1827" s="32"/>
      <c r="O1827" s="32"/>
      <c r="P1827" s="32"/>
      <c r="Q1827" s="34"/>
      <c r="R1827" s="35"/>
      <c r="S1827" s="35"/>
      <c r="T1827" s="36"/>
      <c r="U1827" s="36"/>
      <c r="V1827" s="36"/>
      <c r="W1827" s="36"/>
      <c r="X1827" s="36"/>
      <c r="Y1827" s="36"/>
    </row>
    <row r="1828">
      <c r="A1828" s="32"/>
      <c r="B1828" s="32"/>
      <c r="C1828" s="32"/>
      <c r="D1828" s="32"/>
      <c r="E1828" s="32"/>
      <c r="F1828" s="32"/>
      <c r="G1828" s="39"/>
      <c r="H1828" s="32"/>
      <c r="I1828" s="32"/>
      <c r="J1828" s="32"/>
      <c r="K1828" s="33"/>
      <c r="L1828" s="32"/>
      <c r="M1828" s="32"/>
      <c r="N1828" s="32"/>
      <c r="O1828" s="32"/>
      <c r="P1828" s="32"/>
      <c r="Q1828" s="34"/>
      <c r="R1828" s="35"/>
      <c r="S1828" s="35"/>
      <c r="T1828" s="36"/>
      <c r="U1828" s="36"/>
      <c r="V1828" s="36"/>
      <c r="W1828" s="36"/>
      <c r="X1828" s="36"/>
      <c r="Y1828" s="36"/>
    </row>
    <row r="1829">
      <c r="A1829" s="32"/>
      <c r="B1829" s="32"/>
      <c r="C1829" s="32"/>
      <c r="D1829" s="32"/>
      <c r="E1829" s="32"/>
      <c r="F1829" s="32"/>
      <c r="G1829" s="39"/>
      <c r="H1829" s="32"/>
      <c r="I1829" s="32"/>
      <c r="J1829" s="32"/>
      <c r="K1829" s="33"/>
      <c r="L1829" s="32"/>
      <c r="M1829" s="32"/>
      <c r="N1829" s="32"/>
      <c r="O1829" s="32"/>
      <c r="P1829" s="32"/>
      <c r="Q1829" s="34"/>
      <c r="R1829" s="35"/>
      <c r="S1829" s="35"/>
      <c r="T1829" s="36"/>
      <c r="U1829" s="36"/>
      <c r="V1829" s="36"/>
      <c r="W1829" s="36"/>
      <c r="X1829" s="36"/>
      <c r="Y1829" s="36"/>
    </row>
    <row r="1830">
      <c r="A1830" s="32"/>
      <c r="B1830" s="32"/>
      <c r="C1830" s="32"/>
      <c r="D1830" s="32"/>
      <c r="E1830" s="32"/>
      <c r="F1830" s="32"/>
      <c r="G1830" s="39"/>
      <c r="H1830" s="32"/>
      <c r="I1830" s="32"/>
      <c r="J1830" s="32"/>
      <c r="K1830" s="33"/>
      <c r="L1830" s="32"/>
      <c r="M1830" s="32"/>
      <c r="N1830" s="32"/>
      <c r="O1830" s="32"/>
      <c r="P1830" s="32"/>
      <c r="Q1830" s="34"/>
      <c r="R1830" s="35"/>
      <c r="S1830" s="35"/>
      <c r="T1830" s="36"/>
      <c r="U1830" s="36"/>
      <c r="V1830" s="36"/>
      <c r="W1830" s="36"/>
      <c r="X1830" s="36"/>
      <c r="Y1830" s="36"/>
    </row>
    <row r="1831">
      <c r="A1831" s="32"/>
      <c r="B1831" s="32"/>
      <c r="C1831" s="32"/>
      <c r="D1831" s="32"/>
      <c r="E1831" s="32"/>
      <c r="F1831" s="32"/>
      <c r="G1831" s="39"/>
      <c r="H1831" s="32"/>
      <c r="I1831" s="32"/>
      <c r="J1831" s="32"/>
      <c r="K1831" s="33"/>
      <c r="L1831" s="32"/>
      <c r="M1831" s="32"/>
      <c r="N1831" s="32"/>
      <c r="O1831" s="32"/>
      <c r="P1831" s="32"/>
      <c r="Q1831" s="34"/>
      <c r="R1831" s="35"/>
      <c r="S1831" s="35"/>
      <c r="T1831" s="36"/>
      <c r="U1831" s="36"/>
      <c r="V1831" s="36"/>
      <c r="W1831" s="36"/>
      <c r="X1831" s="36"/>
      <c r="Y1831" s="36"/>
    </row>
    <row r="1832">
      <c r="A1832" s="32"/>
      <c r="B1832" s="32"/>
      <c r="C1832" s="32"/>
      <c r="D1832" s="32"/>
      <c r="E1832" s="32"/>
      <c r="F1832" s="32"/>
      <c r="G1832" s="39"/>
      <c r="H1832" s="32"/>
      <c r="I1832" s="32"/>
      <c r="J1832" s="32"/>
      <c r="K1832" s="33"/>
      <c r="L1832" s="32"/>
      <c r="M1832" s="32"/>
      <c r="N1832" s="32"/>
      <c r="O1832" s="32"/>
      <c r="P1832" s="32"/>
      <c r="Q1832" s="34"/>
      <c r="R1832" s="35"/>
      <c r="S1832" s="35"/>
      <c r="T1832" s="36"/>
      <c r="U1832" s="36"/>
      <c r="V1832" s="36"/>
      <c r="W1832" s="36"/>
      <c r="X1832" s="36"/>
      <c r="Y1832" s="36"/>
    </row>
    <row r="1833">
      <c r="A1833" s="32"/>
      <c r="B1833" s="32"/>
      <c r="C1833" s="32"/>
      <c r="D1833" s="32"/>
      <c r="E1833" s="32"/>
      <c r="F1833" s="32"/>
      <c r="G1833" s="39"/>
      <c r="H1833" s="32"/>
      <c r="I1833" s="32"/>
      <c r="J1833" s="32"/>
      <c r="K1833" s="33"/>
      <c r="L1833" s="32"/>
      <c r="M1833" s="32"/>
      <c r="N1833" s="32"/>
      <c r="O1833" s="32"/>
      <c r="P1833" s="32"/>
      <c r="Q1833" s="34"/>
      <c r="R1833" s="35"/>
      <c r="S1833" s="35"/>
      <c r="T1833" s="36"/>
      <c r="U1833" s="36"/>
      <c r="V1833" s="36"/>
      <c r="W1833" s="36"/>
      <c r="X1833" s="36"/>
      <c r="Y1833" s="36"/>
    </row>
    <row r="1834">
      <c r="A1834" s="32"/>
      <c r="B1834" s="32"/>
      <c r="C1834" s="32"/>
      <c r="D1834" s="32"/>
      <c r="E1834" s="32"/>
      <c r="F1834" s="32"/>
      <c r="G1834" s="39"/>
      <c r="H1834" s="32"/>
      <c r="I1834" s="32"/>
      <c r="J1834" s="32"/>
      <c r="K1834" s="33"/>
      <c r="L1834" s="32"/>
      <c r="M1834" s="32"/>
      <c r="N1834" s="32"/>
      <c r="O1834" s="32"/>
      <c r="P1834" s="32"/>
      <c r="Q1834" s="34"/>
      <c r="R1834" s="35"/>
      <c r="S1834" s="35"/>
      <c r="T1834" s="36"/>
      <c r="U1834" s="36"/>
      <c r="V1834" s="36"/>
      <c r="W1834" s="36"/>
      <c r="X1834" s="36"/>
      <c r="Y1834" s="36"/>
    </row>
    <row r="1835">
      <c r="A1835" s="32"/>
      <c r="B1835" s="32"/>
      <c r="C1835" s="32"/>
      <c r="D1835" s="32"/>
      <c r="E1835" s="32"/>
      <c r="F1835" s="32"/>
      <c r="G1835" s="39"/>
      <c r="H1835" s="32"/>
      <c r="I1835" s="32"/>
      <c r="J1835" s="32"/>
      <c r="K1835" s="33"/>
      <c r="L1835" s="32"/>
      <c r="M1835" s="32"/>
      <c r="N1835" s="32"/>
      <c r="O1835" s="32"/>
      <c r="P1835" s="32"/>
      <c r="Q1835" s="34"/>
      <c r="R1835" s="35"/>
      <c r="S1835" s="35"/>
      <c r="T1835" s="36"/>
      <c r="U1835" s="36"/>
      <c r="V1835" s="36"/>
      <c r="W1835" s="36"/>
      <c r="X1835" s="36"/>
      <c r="Y1835" s="36"/>
    </row>
    <row r="1836">
      <c r="A1836" s="32"/>
      <c r="B1836" s="32"/>
      <c r="C1836" s="32"/>
      <c r="D1836" s="32"/>
      <c r="E1836" s="32"/>
      <c r="F1836" s="32"/>
      <c r="G1836" s="39"/>
      <c r="H1836" s="32"/>
      <c r="I1836" s="32"/>
      <c r="J1836" s="32"/>
      <c r="K1836" s="33"/>
      <c r="L1836" s="32"/>
      <c r="M1836" s="32"/>
      <c r="N1836" s="32"/>
      <c r="O1836" s="32"/>
      <c r="P1836" s="32"/>
      <c r="Q1836" s="34"/>
      <c r="R1836" s="35"/>
      <c r="S1836" s="35"/>
      <c r="T1836" s="36"/>
      <c r="U1836" s="36"/>
      <c r="V1836" s="36"/>
      <c r="W1836" s="36"/>
      <c r="X1836" s="36"/>
      <c r="Y1836" s="36"/>
    </row>
    <row r="1837">
      <c r="A1837" s="32"/>
      <c r="B1837" s="32"/>
      <c r="C1837" s="32"/>
      <c r="D1837" s="32"/>
      <c r="E1837" s="32"/>
      <c r="F1837" s="32"/>
      <c r="G1837" s="39"/>
      <c r="H1837" s="32"/>
      <c r="I1837" s="32"/>
      <c r="J1837" s="32"/>
      <c r="K1837" s="33"/>
      <c r="L1837" s="32"/>
      <c r="M1837" s="32"/>
      <c r="N1837" s="32"/>
      <c r="O1837" s="32"/>
      <c r="P1837" s="32"/>
      <c r="Q1837" s="34"/>
      <c r="R1837" s="35"/>
      <c r="S1837" s="35"/>
      <c r="T1837" s="36"/>
      <c r="U1837" s="36"/>
      <c r="V1837" s="36"/>
      <c r="W1837" s="36"/>
      <c r="X1837" s="36"/>
      <c r="Y1837" s="36"/>
    </row>
    <row r="1838">
      <c r="A1838" s="32"/>
      <c r="B1838" s="32"/>
      <c r="C1838" s="32"/>
      <c r="D1838" s="32"/>
      <c r="E1838" s="32"/>
      <c r="F1838" s="32"/>
      <c r="G1838" s="39"/>
      <c r="H1838" s="32"/>
      <c r="I1838" s="32"/>
      <c r="J1838" s="32"/>
      <c r="K1838" s="33"/>
      <c r="L1838" s="32"/>
      <c r="M1838" s="32"/>
      <c r="N1838" s="32"/>
      <c r="O1838" s="32"/>
      <c r="P1838" s="32"/>
      <c r="Q1838" s="34"/>
      <c r="R1838" s="35"/>
      <c r="S1838" s="35"/>
      <c r="T1838" s="36"/>
      <c r="U1838" s="36"/>
      <c r="V1838" s="36"/>
      <c r="W1838" s="36"/>
      <c r="X1838" s="36"/>
      <c r="Y1838" s="36"/>
    </row>
    <row r="1839">
      <c r="A1839" s="32"/>
      <c r="B1839" s="32"/>
      <c r="C1839" s="32"/>
      <c r="D1839" s="32"/>
      <c r="E1839" s="32"/>
      <c r="F1839" s="32"/>
      <c r="G1839" s="39"/>
      <c r="H1839" s="32"/>
      <c r="I1839" s="32"/>
      <c r="J1839" s="32"/>
      <c r="K1839" s="33"/>
      <c r="L1839" s="32"/>
      <c r="M1839" s="32"/>
      <c r="N1839" s="32"/>
      <c r="O1839" s="32"/>
      <c r="P1839" s="32"/>
      <c r="Q1839" s="34"/>
      <c r="R1839" s="35"/>
      <c r="S1839" s="35"/>
      <c r="T1839" s="36"/>
      <c r="U1839" s="36"/>
      <c r="V1839" s="36"/>
      <c r="W1839" s="36"/>
      <c r="X1839" s="36"/>
      <c r="Y1839" s="36"/>
    </row>
    <row r="1840">
      <c r="A1840" s="32"/>
      <c r="B1840" s="32"/>
      <c r="C1840" s="32"/>
      <c r="D1840" s="32"/>
      <c r="E1840" s="32"/>
      <c r="F1840" s="32"/>
      <c r="G1840" s="39"/>
      <c r="H1840" s="32"/>
      <c r="I1840" s="32"/>
      <c r="J1840" s="32"/>
      <c r="K1840" s="33"/>
      <c r="L1840" s="32"/>
      <c r="M1840" s="32"/>
      <c r="N1840" s="32"/>
      <c r="O1840" s="32"/>
      <c r="P1840" s="32"/>
      <c r="Q1840" s="34"/>
      <c r="R1840" s="35"/>
      <c r="S1840" s="35"/>
      <c r="T1840" s="36"/>
      <c r="U1840" s="36"/>
      <c r="V1840" s="36"/>
      <c r="W1840" s="36"/>
      <c r="X1840" s="36"/>
      <c r="Y1840" s="36"/>
    </row>
    <row r="1841">
      <c r="A1841" s="32"/>
      <c r="B1841" s="32"/>
      <c r="C1841" s="32"/>
      <c r="D1841" s="32"/>
      <c r="E1841" s="32"/>
      <c r="F1841" s="32"/>
      <c r="G1841" s="39"/>
      <c r="H1841" s="32"/>
      <c r="I1841" s="32"/>
      <c r="J1841" s="32"/>
      <c r="K1841" s="33"/>
      <c r="L1841" s="32"/>
      <c r="M1841" s="32"/>
      <c r="N1841" s="32"/>
      <c r="O1841" s="32"/>
      <c r="P1841" s="32"/>
      <c r="Q1841" s="34"/>
      <c r="R1841" s="35"/>
      <c r="S1841" s="35"/>
      <c r="T1841" s="36"/>
      <c r="U1841" s="36"/>
      <c r="V1841" s="36"/>
      <c r="W1841" s="36"/>
      <c r="X1841" s="36"/>
      <c r="Y1841" s="36"/>
    </row>
    <row r="1842">
      <c r="A1842" s="32"/>
      <c r="B1842" s="32"/>
      <c r="C1842" s="32"/>
      <c r="D1842" s="32"/>
      <c r="E1842" s="32"/>
      <c r="F1842" s="32"/>
      <c r="G1842" s="39"/>
      <c r="H1842" s="32"/>
      <c r="I1842" s="32"/>
      <c r="J1842" s="32"/>
      <c r="K1842" s="33"/>
      <c r="L1842" s="32"/>
      <c r="M1842" s="32"/>
      <c r="N1842" s="32"/>
      <c r="O1842" s="32"/>
      <c r="P1842" s="32"/>
      <c r="Q1842" s="34"/>
      <c r="R1842" s="35"/>
      <c r="S1842" s="35"/>
      <c r="T1842" s="36"/>
      <c r="U1842" s="36"/>
      <c r="V1842" s="36"/>
      <c r="W1842" s="36"/>
      <c r="X1842" s="36"/>
      <c r="Y1842" s="36"/>
    </row>
    <row r="1843">
      <c r="A1843" s="32"/>
      <c r="B1843" s="32"/>
      <c r="C1843" s="32"/>
      <c r="D1843" s="32"/>
      <c r="E1843" s="32"/>
      <c r="F1843" s="32"/>
      <c r="G1843" s="39"/>
      <c r="H1843" s="32"/>
      <c r="I1843" s="32"/>
      <c r="J1843" s="32"/>
      <c r="K1843" s="33"/>
      <c r="L1843" s="32"/>
      <c r="M1843" s="32"/>
      <c r="N1843" s="32"/>
      <c r="O1843" s="32"/>
      <c r="P1843" s="32"/>
      <c r="Q1843" s="34"/>
      <c r="R1843" s="35"/>
      <c r="S1843" s="35"/>
      <c r="T1843" s="36"/>
      <c r="U1843" s="36"/>
      <c r="V1843" s="36"/>
      <c r="W1843" s="36"/>
      <c r="X1843" s="36"/>
      <c r="Y1843" s="36"/>
    </row>
    <row r="1844">
      <c r="A1844" s="32"/>
      <c r="B1844" s="32"/>
      <c r="C1844" s="32"/>
      <c r="D1844" s="32"/>
      <c r="E1844" s="32"/>
      <c r="F1844" s="32"/>
      <c r="G1844" s="39"/>
      <c r="H1844" s="32"/>
      <c r="I1844" s="32"/>
      <c r="J1844" s="32"/>
      <c r="K1844" s="33"/>
      <c r="L1844" s="32"/>
      <c r="M1844" s="32"/>
      <c r="N1844" s="32"/>
      <c r="O1844" s="32"/>
      <c r="P1844" s="32"/>
      <c r="Q1844" s="34"/>
      <c r="R1844" s="35"/>
      <c r="S1844" s="35"/>
      <c r="T1844" s="36"/>
      <c r="U1844" s="36"/>
      <c r="V1844" s="36"/>
      <c r="W1844" s="36"/>
      <c r="X1844" s="36"/>
      <c r="Y1844" s="36"/>
    </row>
    <row r="1845">
      <c r="A1845" s="32"/>
      <c r="B1845" s="32"/>
      <c r="C1845" s="32"/>
      <c r="D1845" s="32"/>
      <c r="E1845" s="32"/>
      <c r="F1845" s="32"/>
      <c r="G1845" s="39"/>
      <c r="H1845" s="32"/>
      <c r="I1845" s="32"/>
      <c r="J1845" s="32"/>
      <c r="K1845" s="33"/>
      <c r="L1845" s="32"/>
      <c r="M1845" s="32"/>
      <c r="N1845" s="32"/>
      <c r="O1845" s="32"/>
      <c r="P1845" s="32"/>
      <c r="Q1845" s="34"/>
      <c r="R1845" s="35"/>
      <c r="S1845" s="35"/>
      <c r="T1845" s="36"/>
      <c r="U1845" s="36"/>
      <c r="V1845" s="36"/>
      <c r="W1845" s="36"/>
      <c r="X1845" s="36"/>
      <c r="Y1845" s="36"/>
    </row>
    <row r="1846">
      <c r="A1846" s="32"/>
      <c r="B1846" s="32"/>
      <c r="C1846" s="32"/>
      <c r="D1846" s="32"/>
      <c r="E1846" s="32"/>
      <c r="F1846" s="32"/>
      <c r="G1846" s="39"/>
      <c r="H1846" s="32"/>
      <c r="I1846" s="32"/>
      <c r="J1846" s="32"/>
      <c r="K1846" s="33"/>
      <c r="L1846" s="32"/>
      <c r="M1846" s="32"/>
      <c r="N1846" s="32"/>
      <c r="O1846" s="32"/>
      <c r="P1846" s="32"/>
      <c r="Q1846" s="34"/>
      <c r="R1846" s="35"/>
      <c r="S1846" s="35"/>
      <c r="T1846" s="36"/>
      <c r="U1846" s="36"/>
      <c r="V1846" s="36"/>
      <c r="W1846" s="36"/>
      <c r="X1846" s="36"/>
      <c r="Y1846" s="36"/>
    </row>
    <row r="1847">
      <c r="A1847" s="32"/>
      <c r="B1847" s="32"/>
      <c r="C1847" s="32"/>
      <c r="D1847" s="32"/>
      <c r="E1847" s="32"/>
      <c r="F1847" s="32"/>
      <c r="G1847" s="39"/>
      <c r="H1847" s="32"/>
      <c r="I1847" s="32"/>
      <c r="J1847" s="32"/>
      <c r="K1847" s="33"/>
      <c r="L1847" s="32"/>
      <c r="M1847" s="32"/>
      <c r="N1847" s="32"/>
      <c r="O1847" s="32"/>
      <c r="P1847" s="32"/>
      <c r="Q1847" s="34"/>
      <c r="R1847" s="35"/>
      <c r="S1847" s="35"/>
      <c r="T1847" s="36"/>
      <c r="U1847" s="36"/>
      <c r="V1847" s="36"/>
      <c r="W1847" s="36"/>
      <c r="X1847" s="36"/>
      <c r="Y1847" s="36"/>
    </row>
    <row r="1848">
      <c r="A1848" s="32"/>
      <c r="B1848" s="32"/>
      <c r="C1848" s="32"/>
      <c r="D1848" s="32"/>
      <c r="E1848" s="32"/>
      <c r="F1848" s="32"/>
      <c r="G1848" s="39"/>
      <c r="H1848" s="32"/>
      <c r="I1848" s="32"/>
      <c r="J1848" s="32"/>
      <c r="K1848" s="33"/>
      <c r="L1848" s="32"/>
      <c r="M1848" s="32"/>
      <c r="N1848" s="32"/>
      <c r="O1848" s="32"/>
      <c r="P1848" s="32"/>
      <c r="Q1848" s="34"/>
      <c r="R1848" s="35"/>
      <c r="S1848" s="35"/>
      <c r="T1848" s="36"/>
      <c r="U1848" s="36"/>
      <c r="V1848" s="36"/>
      <c r="W1848" s="36"/>
      <c r="X1848" s="36"/>
      <c r="Y1848" s="36"/>
    </row>
    <row r="1849">
      <c r="A1849" s="32"/>
      <c r="B1849" s="32"/>
      <c r="C1849" s="32"/>
      <c r="D1849" s="32"/>
      <c r="E1849" s="32"/>
      <c r="F1849" s="32"/>
      <c r="G1849" s="39"/>
      <c r="H1849" s="32"/>
      <c r="I1849" s="32"/>
      <c r="J1849" s="32"/>
      <c r="K1849" s="33"/>
      <c r="L1849" s="32"/>
      <c r="M1849" s="32"/>
      <c r="N1849" s="32"/>
      <c r="O1849" s="32"/>
      <c r="P1849" s="32"/>
      <c r="Q1849" s="34"/>
      <c r="R1849" s="35"/>
      <c r="S1849" s="35"/>
      <c r="T1849" s="36"/>
      <c r="U1849" s="36"/>
      <c r="V1849" s="36"/>
      <c r="W1849" s="36"/>
      <c r="X1849" s="36"/>
      <c r="Y1849" s="36"/>
    </row>
    <row r="1850">
      <c r="A1850" s="32"/>
      <c r="B1850" s="32"/>
      <c r="C1850" s="32"/>
      <c r="D1850" s="32"/>
      <c r="E1850" s="32"/>
      <c r="F1850" s="32"/>
      <c r="G1850" s="39"/>
      <c r="H1850" s="32"/>
      <c r="I1850" s="32"/>
      <c r="J1850" s="32"/>
      <c r="K1850" s="33"/>
      <c r="L1850" s="32"/>
      <c r="M1850" s="32"/>
      <c r="N1850" s="32"/>
      <c r="O1850" s="32"/>
      <c r="P1850" s="32"/>
      <c r="Q1850" s="34"/>
      <c r="R1850" s="35"/>
      <c r="S1850" s="35"/>
      <c r="T1850" s="36"/>
      <c r="U1850" s="36"/>
      <c r="V1850" s="36"/>
      <c r="W1850" s="36"/>
      <c r="X1850" s="36"/>
      <c r="Y1850" s="36"/>
    </row>
    <row r="1851">
      <c r="A1851" s="32"/>
      <c r="B1851" s="32"/>
      <c r="C1851" s="32"/>
      <c r="D1851" s="32"/>
      <c r="E1851" s="32"/>
      <c r="F1851" s="32"/>
      <c r="G1851" s="39"/>
      <c r="H1851" s="32"/>
      <c r="I1851" s="32"/>
      <c r="J1851" s="32"/>
      <c r="K1851" s="33"/>
      <c r="L1851" s="32"/>
      <c r="M1851" s="32"/>
      <c r="N1851" s="32"/>
      <c r="O1851" s="32"/>
      <c r="P1851" s="32"/>
      <c r="Q1851" s="34"/>
      <c r="R1851" s="35"/>
      <c r="S1851" s="35"/>
      <c r="T1851" s="36"/>
      <c r="U1851" s="36"/>
      <c r="V1851" s="36"/>
      <c r="W1851" s="36"/>
      <c r="X1851" s="36"/>
      <c r="Y1851" s="36"/>
    </row>
    <row r="1852">
      <c r="A1852" s="32"/>
      <c r="B1852" s="32"/>
      <c r="C1852" s="32"/>
      <c r="D1852" s="32"/>
      <c r="E1852" s="32"/>
      <c r="F1852" s="32"/>
      <c r="G1852" s="39"/>
      <c r="H1852" s="32"/>
      <c r="I1852" s="32"/>
      <c r="J1852" s="32"/>
      <c r="K1852" s="33"/>
      <c r="L1852" s="32"/>
      <c r="M1852" s="32"/>
      <c r="N1852" s="32"/>
      <c r="O1852" s="32"/>
      <c r="P1852" s="32"/>
      <c r="Q1852" s="34"/>
      <c r="R1852" s="35"/>
      <c r="S1852" s="35"/>
      <c r="T1852" s="36"/>
      <c r="U1852" s="36"/>
      <c r="V1852" s="36"/>
      <c r="W1852" s="36"/>
      <c r="X1852" s="36"/>
      <c r="Y1852" s="36"/>
    </row>
    <row r="1853">
      <c r="A1853" s="32"/>
      <c r="B1853" s="32"/>
      <c r="C1853" s="32"/>
      <c r="D1853" s="32"/>
      <c r="E1853" s="32"/>
      <c r="F1853" s="32"/>
      <c r="G1853" s="39"/>
      <c r="H1853" s="32"/>
      <c r="I1853" s="32"/>
      <c r="J1853" s="32"/>
      <c r="K1853" s="33"/>
      <c r="L1853" s="32"/>
      <c r="M1853" s="32"/>
      <c r="N1853" s="32"/>
      <c r="O1853" s="32"/>
      <c r="P1853" s="32"/>
      <c r="Q1853" s="34"/>
      <c r="R1853" s="35"/>
      <c r="S1853" s="35"/>
      <c r="T1853" s="36"/>
      <c r="U1853" s="36"/>
      <c r="V1853" s="36"/>
      <c r="W1853" s="36"/>
      <c r="X1853" s="36"/>
      <c r="Y1853" s="36"/>
    </row>
    <row r="1854">
      <c r="A1854" s="32"/>
      <c r="B1854" s="32"/>
      <c r="C1854" s="32"/>
      <c r="D1854" s="32"/>
      <c r="E1854" s="32"/>
      <c r="F1854" s="32"/>
      <c r="G1854" s="39"/>
      <c r="H1854" s="32"/>
      <c r="I1854" s="32"/>
      <c r="J1854" s="32"/>
      <c r="K1854" s="33"/>
      <c r="L1854" s="32"/>
      <c r="M1854" s="32"/>
      <c r="N1854" s="32"/>
      <c r="O1854" s="32"/>
      <c r="P1854" s="32"/>
      <c r="Q1854" s="34"/>
      <c r="R1854" s="35"/>
      <c r="S1854" s="35"/>
      <c r="T1854" s="36"/>
      <c r="U1854" s="36"/>
      <c r="V1854" s="36"/>
      <c r="W1854" s="36"/>
      <c r="X1854" s="36"/>
      <c r="Y1854" s="36"/>
    </row>
    <row r="1855">
      <c r="A1855" s="32"/>
      <c r="B1855" s="32"/>
      <c r="C1855" s="32"/>
      <c r="D1855" s="32"/>
      <c r="E1855" s="32"/>
      <c r="F1855" s="32"/>
      <c r="G1855" s="39"/>
      <c r="H1855" s="32"/>
      <c r="I1855" s="32"/>
      <c r="J1855" s="32"/>
      <c r="K1855" s="33"/>
      <c r="L1855" s="32"/>
      <c r="M1855" s="32"/>
      <c r="N1855" s="32"/>
      <c r="O1855" s="32"/>
      <c r="P1855" s="32"/>
      <c r="Q1855" s="34"/>
      <c r="R1855" s="35"/>
      <c r="S1855" s="35"/>
      <c r="T1855" s="36"/>
      <c r="U1855" s="36"/>
      <c r="V1855" s="36"/>
      <c r="W1855" s="36"/>
      <c r="X1855" s="36"/>
      <c r="Y1855" s="36"/>
    </row>
    <row r="1856">
      <c r="A1856" s="32"/>
      <c r="B1856" s="32"/>
      <c r="C1856" s="32"/>
      <c r="D1856" s="32"/>
      <c r="E1856" s="32"/>
      <c r="F1856" s="32"/>
      <c r="G1856" s="39"/>
      <c r="H1856" s="32"/>
      <c r="I1856" s="32"/>
      <c r="J1856" s="32"/>
      <c r="K1856" s="33"/>
      <c r="L1856" s="32"/>
      <c r="M1856" s="32"/>
      <c r="N1856" s="32"/>
      <c r="O1856" s="32"/>
      <c r="P1856" s="32"/>
      <c r="Q1856" s="34"/>
      <c r="R1856" s="35"/>
      <c r="S1856" s="35"/>
      <c r="T1856" s="36"/>
      <c r="U1856" s="36"/>
      <c r="V1856" s="36"/>
      <c r="W1856" s="36"/>
      <c r="X1856" s="36"/>
      <c r="Y1856" s="36"/>
    </row>
    <row r="1857">
      <c r="A1857" s="32"/>
      <c r="B1857" s="32"/>
      <c r="C1857" s="32"/>
      <c r="D1857" s="32"/>
      <c r="E1857" s="32"/>
      <c r="F1857" s="32"/>
      <c r="G1857" s="39"/>
      <c r="H1857" s="32"/>
      <c r="I1857" s="32"/>
      <c r="J1857" s="32"/>
      <c r="K1857" s="33"/>
      <c r="L1857" s="32"/>
      <c r="M1857" s="32"/>
      <c r="N1857" s="32"/>
      <c r="O1857" s="32"/>
      <c r="P1857" s="32"/>
      <c r="Q1857" s="34"/>
      <c r="R1857" s="35"/>
      <c r="S1857" s="35"/>
      <c r="T1857" s="36"/>
      <c r="U1857" s="36"/>
      <c r="V1857" s="36"/>
      <c r="W1857" s="36"/>
      <c r="X1857" s="36"/>
      <c r="Y1857" s="36"/>
    </row>
    <row r="1858">
      <c r="A1858" s="32"/>
      <c r="B1858" s="32"/>
      <c r="C1858" s="32"/>
      <c r="D1858" s="32"/>
      <c r="E1858" s="32"/>
      <c r="F1858" s="32"/>
      <c r="G1858" s="39"/>
      <c r="H1858" s="32"/>
      <c r="I1858" s="32"/>
      <c r="J1858" s="32"/>
      <c r="K1858" s="33"/>
      <c r="L1858" s="32"/>
      <c r="M1858" s="32"/>
      <c r="N1858" s="32"/>
      <c r="O1858" s="32"/>
      <c r="P1858" s="32"/>
      <c r="Q1858" s="34"/>
      <c r="R1858" s="35"/>
      <c r="S1858" s="35"/>
      <c r="T1858" s="36"/>
      <c r="U1858" s="36"/>
      <c r="V1858" s="36"/>
      <c r="W1858" s="36"/>
      <c r="X1858" s="36"/>
      <c r="Y1858" s="36"/>
    </row>
    <row r="1859">
      <c r="A1859" s="32"/>
      <c r="B1859" s="32"/>
      <c r="C1859" s="32"/>
      <c r="D1859" s="32"/>
      <c r="E1859" s="32"/>
      <c r="F1859" s="32"/>
      <c r="G1859" s="39"/>
      <c r="H1859" s="32"/>
      <c r="I1859" s="32"/>
      <c r="J1859" s="32"/>
      <c r="K1859" s="33"/>
      <c r="L1859" s="32"/>
      <c r="M1859" s="32"/>
      <c r="N1859" s="32"/>
      <c r="O1859" s="32"/>
      <c r="P1859" s="32"/>
      <c r="Q1859" s="34"/>
      <c r="R1859" s="35"/>
      <c r="S1859" s="35"/>
      <c r="T1859" s="36"/>
      <c r="U1859" s="36"/>
      <c r="V1859" s="36"/>
      <c r="W1859" s="36"/>
      <c r="X1859" s="36"/>
      <c r="Y1859" s="36"/>
    </row>
    <row r="1860">
      <c r="A1860" s="32"/>
      <c r="B1860" s="32"/>
      <c r="C1860" s="32"/>
      <c r="D1860" s="32"/>
      <c r="E1860" s="32"/>
      <c r="F1860" s="32"/>
      <c r="G1860" s="39"/>
      <c r="H1860" s="32"/>
      <c r="I1860" s="32"/>
      <c r="J1860" s="32"/>
      <c r="K1860" s="33"/>
      <c r="L1860" s="32"/>
      <c r="M1860" s="32"/>
      <c r="N1860" s="32"/>
      <c r="O1860" s="32"/>
      <c r="P1860" s="32"/>
      <c r="Q1860" s="34"/>
      <c r="R1860" s="35"/>
      <c r="S1860" s="35"/>
      <c r="T1860" s="36"/>
      <c r="U1860" s="36"/>
      <c r="V1860" s="36"/>
      <c r="W1860" s="36"/>
      <c r="X1860" s="36"/>
      <c r="Y1860" s="36"/>
    </row>
    <row r="1861">
      <c r="A1861" s="32"/>
      <c r="B1861" s="32"/>
      <c r="C1861" s="32"/>
      <c r="D1861" s="32"/>
      <c r="E1861" s="32"/>
      <c r="F1861" s="32"/>
      <c r="G1861" s="39"/>
      <c r="H1861" s="32"/>
      <c r="I1861" s="32"/>
      <c r="J1861" s="32"/>
      <c r="K1861" s="33"/>
      <c r="L1861" s="32"/>
      <c r="M1861" s="32"/>
      <c r="N1861" s="32"/>
      <c r="O1861" s="32"/>
      <c r="P1861" s="32"/>
      <c r="Q1861" s="34"/>
      <c r="R1861" s="35"/>
      <c r="S1861" s="35"/>
      <c r="T1861" s="36"/>
      <c r="U1861" s="36"/>
      <c r="V1861" s="36"/>
      <c r="W1861" s="36"/>
      <c r="X1861" s="36"/>
      <c r="Y1861" s="36"/>
    </row>
    <row r="1862">
      <c r="A1862" s="32"/>
      <c r="B1862" s="32"/>
      <c r="C1862" s="32"/>
      <c r="D1862" s="32"/>
      <c r="E1862" s="32"/>
      <c r="F1862" s="32"/>
      <c r="G1862" s="39"/>
      <c r="H1862" s="32"/>
      <c r="I1862" s="32"/>
      <c r="J1862" s="32"/>
      <c r="K1862" s="33"/>
      <c r="L1862" s="32"/>
      <c r="M1862" s="32"/>
      <c r="N1862" s="32"/>
      <c r="O1862" s="32"/>
      <c r="P1862" s="32"/>
      <c r="Q1862" s="34"/>
      <c r="R1862" s="35"/>
      <c r="S1862" s="35"/>
      <c r="T1862" s="36"/>
      <c r="U1862" s="36"/>
      <c r="V1862" s="36"/>
      <c r="W1862" s="36"/>
      <c r="X1862" s="36"/>
      <c r="Y1862" s="36"/>
    </row>
    <row r="1863">
      <c r="A1863" s="32"/>
      <c r="B1863" s="32"/>
      <c r="C1863" s="32"/>
      <c r="D1863" s="32"/>
      <c r="E1863" s="32"/>
      <c r="F1863" s="32"/>
      <c r="G1863" s="39"/>
      <c r="H1863" s="32"/>
      <c r="I1863" s="32"/>
      <c r="J1863" s="32"/>
      <c r="K1863" s="33"/>
      <c r="L1863" s="32"/>
      <c r="M1863" s="32"/>
      <c r="N1863" s="32"/>
      <c r="O1863" s="32"/>
      <c r="P1863" s="32"/>
      <c r="Q1863" s="34"/>
      <c r="R1863" s="35"/>
      <c r="S1863" s="35"/>
      <c r="T1863" s="36"/>
      <c r="U1863" s="36"/>
      <c r="V1863" s="36"/>
      <c r="W1863" s="36"/>
      <c r="X1863" s="36"/>
      <c r="Y1863" s="36"/>
    </row>
    <row r="1864">
      <c r="A1864" s="32"/>
      <c r="B1864" s="32"/>
      <c r="C1864" s="32"/>
      <c r="D1864" s="32"/>
      <c r="E1864" s="32"/>
      <c r="F1864" s="32"/>
      <c r="G1864" s="39"/>
      <c r="H1864" s="32"/>
      <c r="I1864" s="32"/>
      <c r="J1864" s="32"/>
      <c r="K1864" s="33"/>
      <c r="L1864" s="32"/>
      <c r="M1864" s="32"/>
      <c r="N1864" s="32"/>
      <c r="O1864" s="32"/>
      <c r="P1864" s="32"/>
      <c r="Q1864" s="34"/>
      <c r="R1864" s="35"/>
      <c r="S1864" s="35"/>
      <c r="T1864" s="36"/>
      <c r="U1864" s="36"/>
      <c r="V1864" s="36"/>
      <c r="W1864" s="36"/>
      <c r="X1864" s="36"/>
      <c r="Y1864" s="36"/>
    </row>
    <row r="1865">
      <c r="A1865" s="32"/>
      <c r="B1865" s="32"/>
      <c r="C1865" s="32"/>
      <c r="D1865" s="32"/>
      <c r="E1865" s="32"/>
      <c r="F1865" s="32"/>
      <c r="G1865" s="39"/>
      <c r="H1865" s="32"/>
      <c r="I1865" s="32"/>
      <c r="J1865" s="32"/>
      <c r="K1865" s="33"/>
      <c r="L1865" s="32"/>
      <c r="M1865" s="32"/>
      <c r="N1865" s="32"/>
      <c r="O1865" s="32"/>
      <c r="P1865" s="32"/>
      <c r="Q1865" s="34"/>
      <c r="R1865" s="35"/>
      <c r="S1865" s="35"/>
      <c r="T1865" s="36"/>
      <c r="U1865" s="36"/>
      <c r="V1865" s="36"/>
      <c r="W1865" s="36"/>
      <c r="X1865" s="36"/>
      <c r="Y1865" s="36"/>
    </row>
    <row r="1866">
      <c r="A1866" s="32"/>
      <c r="B1866" s="32"/>
      <c r="C1866" s="32"/>
      <c r="D1866" s="32"/>
      <c r="E1866" s="32"/>
      <c r="F1866" s="32"/>
      <c r="G1866" s="39"/>
      <c r="H1866" s="32"/>
      <c r="I1866" s="32"/>
      <c r="J1866" s="32"/>
      <c r="K1866" s="33"/>
      <c r="L1866" s="32"/>
      <c r="M1866" s="32"/>
      <c r="N1866" s="32"/>
      <c r="O1866" s="32"/>
      <c r="P1866" s="32"/>
      <c r="Q1866" s="34"/>
      <c r="R1866" s="35"/>
      <c r="S1866" s="35"/>
      <c r="T1866" s="36"/>
      <c r="U1866" s="36"/>
      <c r="V1866" s="36"/>
      <c r="W1866" s="36"/>
      <c r="X1866" s="36"/>
      <c r="Y1866" s="36"/>
    </row>
    <row r="1867">
      <c r="A1867" s="32"/>
      <c r="B1867" s="32"/>
      <c r="C1867" s="32"/>
      <c r="D1867" s="32"/>
      <c r="E1867" s="32"/>
      <c r="F1867" s="32"/>
      <c r="G1867" s="39"/>
      <c r="H1867" s="32"/>
      <c r="I1867" s="32"/>
      <c r="J1867" s="32"/>
      <c r="K1867" s="33"/>
      <c r="L1867" s="32"/>
      <c r="M1867" s="32"/>
      <c r="N1867" s="32"/>
      <c r="O1867" s="32"/>
      <c r="P1867" s="32"/>
      <c r="Q1867" s="34"/>
      <c r="R1867" s="35"/>
      <c r="S1867" s="35"/>
      <c r="T1867" s="36"/>
      <c r="U1867" s="36"/>
      <c r="V1867" s="36"/>
      <c r="W1867" s="36"/>
      <c r="X1867" s="36"/>
      <c r="Y1867" s="36"/>
    </row>
    <row r="1868">
      <c r="A1868" s="32"/>
      <c r="B1868" s="32"/>
      <c r="C1868" s="32"/>
      <c r="D1868" s="32"/>
      <c r="E1868" s="32"/>
      <c r="F1868" s="32"/>
      <c r="G1868" s="39"/>
      <c r="H1868" s="32"/>
      <c r="I1868" s="32"/>
      <c r="J1868" s="32"/>
      <c r="K1868" s="33"/>
      <c r="L1868" s="32"/>
      <c r="M1868" s="32"/>
      <c r="N1868" s="32"/>
      <c r="O1868" s="32"/>
      <c r="P1868" s="32"/>
      <c r="Q1868" s="34"/>
      <c r="R1868" s="35"/>
      <c r="S1868" s="35"/>
      <c r="T1868" s="36"/>
      <c r="U1868" s="36"/>
      <c r="V1868" s="36"/>
      <c r="W1868" s="36"/>
      <c r="X1868" s="36"/>
      <c r="Y1868" s="36"/>
    </row>
    <row r="1869">
      <c r="A1869" s="32"/>
      <c r="B1869" s="32"/>
      <c r="C1869" s="32"/>
      <c r="D1869" s="32"/>
      <c r="E1869" s="32"/>
      <c r="F1869" s="32"/>
      <c r="G1869" s="39"/>
      <c r="H1869" s="32"/>
      <c r="I1869" s="32"/>
      <c r="J1869" s="32"/>
      <c r="K1869" s="33"/>
      <c r="L1869" s="32"/>
      <c r="M1869" s="32"/>
      <c r="N1869" s="32"/>
      <c r="O1869" s="32"/>
      <c r="P1869" s="32"/>
      <c r="Q1869" s="34"/>
      <c r="R1869" s="35"/>
      <c r="S1869" s="35"/>
      <c r="T1869" s="36"/>
      <c r="U1869" s="36"/>
      <c r="V1869" s="36"/>
      <c r="W1869" s="36"/>
      <c r="X1869" s="36"/>
      <c r="Y1869" s="36"/>
    </row>
    <row r="1870">
      <c r="A1870" s="32"/>
      <c r="B1870" s="32"/>
      <c r="C1870" s="32"/>
      <c r="D1870" s="32"/>
      <c r="E1870" s="32"/>
      <c r="F1870" s="32"/>
      <c r="G1870" s="39"/>
      <c r="H1870" s="32"/>
      <c r="I1870" s="32"/>
      <c r="J1870" s="32"/>
      <c r="K1870" s="33"/>
      <c r="L1870" s="32"/>
      <c r="M1870" s="32"/>
      <c r="N1870" s="32"/>
      <c r="O1870" s="32"/>
      <c r="P1870" s="32"/>
      <c r="Q1870" s="34"/>
      <c r="R1870" s="35"/>
      <c r="S1870" s="35"/>
      <c r="T1870" s="36"/>
      <c r="U1870" s="36"/>
      <c r="V1870" s="36"/>
      <c r="W1870" s="36"/>
      <c r="X1870" s="36"/>
      <c r="Y1870" s="36"/>
    </row>
    <row r="1871">
      <c r="A1871" s="32"/>
      <c r="B1871" s="32"/>
      <c r="C1871" s="32"/>
      <c r="D1871" s="32"/>
      <c r="E1871" s="32"/>
      <c r="F1871" s="32"/>
      <c r="G1871" s="39"/>
      <c r="H1871" s="32"/>
      <c r="I1871" s="32"/>
      <c r="J1871" s="32"/>
      <c r="K1871" s="33"/>
      <c r="L1871" s="32"/>
      <c r="M1871" s="32"/>
      <c r="N1871" s="32"/>
      <c r="O1871" s="32"/>
      <c r="P1871" s="32"/>
      <c r="Q1871" s="34"/>
      <c r="R1871" s="35"/>
      <c r="S1871" s="35"/>
      <c r="T1871" s="36"/>
      <c r="U1871" s="36"/>
      <c r="V1871" s="36"/>
      <c r="W1871" s="36"/>
      <c r="X1871" s="36"/>
      <c r="Y1871" s="36"/>
    </row>
    <row r="1872">
      <c r="A1872" s="32"/>
      <c r="B1872" s="32"/>
      <c r="C1872" s="32"/>
      <c r="D1872" s="32"/>
      <c r="E1872" s="32"/>
      <c r="F1872" s="32"/>
      <c r="G1872" s="39"/>
      <c r="H1872" s="32"/>
      <c r="I1872" s="32"/>
      <c r="J1872" s="32"/>
      <c r="K1872" s="33"/>
      <c r="L1872" s="32"/>
      <c r="M1872" s="32"/>
      <c r="N1872" s="32"/>
      <c r="O1872" s="32"/>
      <c r="P1872" s="32"/>
      <c r="Q1872" s="34"/>
      <c r="R1872" s="35"/>
      <c r="S1872" s="35"/>
      <c r="T1872" s="36"/>
      <c r="U1872" s="36"/>
      <c r="V1872" s="36"/>
      <c r="W1872" s="36"/>
      <c r="X1872" s="36"/>
      <c r="Y1872" s="36"/>
    </row>
    <row r="1873">
      <c r="A1873" s="32"/>
      <c r="B1873" s="32"/>
      <c r="C1873" s="32"/>
      <c r="D1873" s="32"/>
      <c r="E1873" s="32"/>
      <c r="F1873" s="32"/>
      <c r="G1873" s="39"/>
      <c r="H1873" s="32"/>
      <c r="I1873" s="32"/>
      <c r="J1873" s="32"/>
      <c r="K1873" s="33"/>
      <c r="L1873" s="32"/>
      <c r="M1873" s="32"/>
      <c r="N1873" s="32"/>
      <c r="O1873" s="32"/>
      <c r="P1873" s="32"/>
      <c r="Q1873" s="34"/>
      <c r="R1873" s="35"/>
      <c r="S1873" s="35"/>
      <c r="T1873" s="36"/>
      <c r="U1873" s="36"/>
      <c r="V1873" s="36"/>
      <c r="W1873" s="36"/>
      <c r="X1873" s="36"/>
      <c r="Y1873" s="36"/>
    </row>
    <row r="1874">
      <c r="A1874" s="32"/>
      <c r="B1874" s="32"/>
      <c r="C1874" s="32"/>
      <c r="D1874" s="32"/>
      <c r="E1874" s="32"/>
      <c r="F1874" s="32"/>
      <c r="G1874" s="39"/>
      <c r="H1874" s="32"/>
      <c r="I1874" s="32"/>
      <c r="J1874" s="32"/>
      <c r="K1874" s="33"/>
      <c r="L1874" s="32"/>
      <c r="M1874" s="32"/>
      <c r="N1874" s="32"/>
      <c r="O1874" s="32"/>
      <c r="P1874" s="32"/>
      <c r="Q1874" s="34"/>
      <c r="R1874" s="35"/>
      <c r="S1874" s="35"/>
      <c r="T1874" s="36"/>
      <c r="U1874" s="36"/>
      <c r="V1874" s="36"/>
      <c r="W1874" s="36"/>
      <c r="X1874" s="36"/>
      <c r="Y1874" s="36"/>
    </row>
    <row r="1875">
      <c r="A1875" s="32"/>
      <c r="B1875" s="32"/>
      <c r="C1875" s="32"/>
      <c r="D1875" s="32"/>
      <c r="E1875" s="32"/>
      <c r="F1875" s="32"/>
      <c r="G1875" s="39"/>
      <c r="H1875" s="32"/>
      <c r="I1875" s="32"/>
      <c r="J1875" s="32"/>
      <c r="K1875" s="33"/>
      <c r="L1875" s="32"/>
      <c r="M1875" s="32"/>
      <c r="N1875" s="32"/>
      <c r="O1875" s="32"/>
      <c r="P1875" s="32"/>
      <c r="Q1875" s="34"/>
      <c r="R1875" s="35"/>
      <c r="S1875" s="35"/>
      <c r="T1875" s="36"/>
      <c r="U1875" s="36"/>
      <c r="V1875" s="36"/>
      <c r="W1875" s="36"/>
      <c r="X1875" s="36"/>
      <c r="Y1875" s="36"/>
    </row>
    <row r="1876">
      <c r="A1876" s="32"/>
      <c r="B1876" s="32"/>
      <c r="C1876" s="32"/>
      <c r="D1876" s="32"/>
      <c r="E1876" s="32"/>
      <c r="F1876" s="32"/>
      <c r="G1876" s="39"/>
      <c r="H1876" s="32"/>
      <c r="I1876" s="32"/>
      <c r="J1876" s="32"/>
      <c r="K1876" s="33"/>
      <c r="L1876" s="32"/>
      <c r="M1876" s="32"/>
      <c r="N1876" s="32"/>
      <c r="O1876" s="32"/>
      <c r="P1876" s="32"/>
      <c r="Q1876" s="34"/>
      <c r="R1876" s="35"/>
      <c r="S1876" s="35"/>
      <c r="T1876" s="36"/>
      <c r="U1876" s="36"/>
      <c r="V1876" s="36"/>
      <c r="W1876" s="36"/>
      <c r="X1876" s="36"/>
      <c r="Y1876" s="36"/>
    </row>
    <row r="1877">
      <c r="A1877" s="32"/>
      <c r="B1877" s="32"/>
      <c r="C1877" s="32"/>
      <c r="D1877" s="32"/>
      <c r="E1877" s="32"/>
      <c r="F1877" s="32"/>
      <c r="G1877" s="39"/>
      <c r="H1877" s="32"/>
      <c r="I1877" s="32"/>
      <c r="J1877" s="32"/>
      <c r="K1877" s="33"/>
      <c r="L1877" s="32"/>
      <c r="M1877" s="32"/>
      <c r="N1877" s="32"/>
      <c r="O1877" s="32"/>
      <c r="P1877" s="32"/>
      <c r="Q1877" s="34"/>
      <c r="R1877" s="35"/>
      <c r="S1877" s="35"/>
      <c r="T1877" s="36"/>
      <c r="U1877" s="36"/>
      <c r="V1877" s="36"/>
      <c r="W1877" s="36"/>
      <c r="X1877" s="36"/>
      <c r="Y1877" s="36"/>
    </row>
    <row r="1878">
      <c r="A1878" s="32"/>
      <c r="B1878" s="32"/>
      <c r="C1878" s="32"/>
      <c r="D1878" s="32"/>
      <c r="E1878" s="32"/>
      <c r="F1878" s="32"/>
      <c r="G1878" s="39"/>
      <c r="H1878" s="32"/>
      <c r="I1878" s="32"/>
      <c r="J1878" s="32"/>
      <c r="K1878" s="33"/>
      <c r="L1878" s="32"/>
      <c r="M1878" s="32"/>
      <c r="N1878" s="32"/>
      <c r="O1878" s="32"/>
      <c r="P1878" s="32"/>
      <c r="Q1878" s="34"/>
      <c r="R1878" s="35"/>
      <c r="S1878" s="35"/>
      <c r="T1878" s="36"/>
      <c r="U1878" s="36"/>
      <c r="V1878" s="36"/>
      <c r="W1878" s="36"/>
      <c r="X1878" s="36"/>
      <c r="Y1878" s="36"/>
    </row>
    <row r="1879">
      <c r="A1879" s="32"/>
      <c r="B1879" s="32"/>
      <c r="C1879" s="32"/>
      <c r="D1879" s="32"/>
      <c r="E1879" s="32"/>
      <c r="F1879" s="32"/>
      <c r="G1879" s="39"/>
      <c r="H1879" s="32"/>
      <c r="I1879" s="32"/>
      <c r="J1879" s="32"/>
      <c r="K1879" s="33"/>
      <c r="L1879" s="32"/>
      <c r="M1879" s="32"/>
      <c r="N1879" s="32"/>
      <c r="O1879" s="32"/>
      <c r="P1879" s="32"/>
      <c r="Q1879" s="34"/>
      <c r="R1879" s="35"/>
      <c r="S1879" s="35"/>
      <c r="T1879" s="36"/>
      <c r="U1879" s="36"/>
      <c r="V1879" s="36"/>
      <c r="W1879" s="36"/>
      <c r="X1879" s="36"/>
      <c r="Y1879" s="36"/>
    </row>
    <row r="1880">
      <c r="A1880" s="32"/>
      <c r="B1880" s="32"/>
      <c r="C1880" s="32"/>
      <c r="D1880" s="32"/>
      <c r="E1880" s="32"/>
      <c r="F1880" s="32"/>
      <c r="G1880" s="39"/>
      <c r="H1880" s="32"/>
      <c r="I1880" s="32"/>
      <c r="J1880" s="32"/>
      <c r="K1880" s="33"/>
      <c r="L1880" s="32"/>
      <c r="M1880" s="32"/>
      <c r="N1880" s="32"/>
      <c r="O1880" s="32"/>
      <c r="P1880" s="32"/>
      <c r="Q1880" s="34"/>
      <c r="R1880" s="35"/>
      <c r="S1880" s="35"/>
      <c r="T1880" s="36"/>
      <c r="U1880" s="36"/>
      <c r="V1880" s="36"/>
      <c r="W1880" s="36"/>
      <c r="X1880" s="36"/>
      <c r="Y1880" s="36"/>
    </row>
    <row r="1881">
      <c r="A1881" s="32"/>
      <c r="B1881" s="32"/>
      <c r="C1881" s="32"/>
      <c r="D1881" s="32"/>
      <c r="E1881" s="32"/>
      <c r="F1881" s="32"/>
      <c r="G1881" s="39"/>
      <c r="H1881" s="32"/>
      <c r="I1881" s="32"/>
      <c r="J1881" s="32"/>
      <c r="K1881" s="33"/>
      <c r="L1881" s="32"/>
      <c r="M1881" s="32"/>
      <c r="N1881" s="32"/>
      <c r="O1881" s="32"/>
      <c r="P1881" s="32"/>
      <c r="Q1881" s="34"/>
      <c r="R1881" s="35"/>
      <c r="S1881" s="35"/>
      <c r="T1881" s="36"/>
      <c r="U1881" s="36"/>
      <c r="V1881" s="36"/>
      <c r="W1881" s="36"/>
      <c r="X1881" s="36"/>
      <c r="Y1881" s="36"/>
    </row>
    <row r="1882">
      <c r="A1882" s="32"/>
      <c r="B1882" s="32"/>
      <c r="C1882" s="32"/>
      <c r="D1882" s="32"/>
      <c r="E1882" s="32"/>
      <c r="F1882" s="32"/>
      <c r="G1882" s="39"/>
      <c r="H1882" s="32"/>
      <c r="I1882" s="32"/>
      <c r="J1882" s="32"/>
      <c r="K1882" s="33"/>
      <c r="L1882" s="32"/>
      <c r="M1882" s="32"/>
      <c r="N1882" s="32"/>
      <c r="O1882" s="32"/>
      <c r="P1882" s="32"/>
      <c r="Q1882" s="34"/>
      <c r="R1882" s="35"/>
      <c r="S1882" s="35"/>
      <c r="T1882" s="36"/>
      <c r="U1882" s="36"/>
      <c r="V1882" s="36"/>
      <c r="W1882" s="36"/>
      <c r="X1882" s="36"/>
      <c r="Y1882" s="36"/>
    </row>
    <row r="1883">
      <c r="A1883" s="32"/>
      <c r="B1883" s="32"/>
      <c r="C1883" s="32"/>
      <c r="D1883" s="32"/>
      <c r="E1883" s="32"/>
      <c r="F1883" s="32"/>
      <c r="G1883" s="39"/>
      <c r="H1883" s="32"/>
      <c r="I1883" s="32"/>
      <c r="J1883" s="32"/>
      <c r="K1883" s="33"/>
      <c r="L1883" s="32"/>
      <c r="M1883" s="32"/>
      <c r="N1883" s="32"/>
      <c r="O1883" s="32"/>
      <c r="P1883" s="32"/>
      <c r="Q1883" s="34"/>
      <c r="R1883" s="35"/>
      <c r="S1883" s="35"/>
      <c r="T1883" s="36"/>
      <c r="U1883" s="36"/>
      <c r="V1883" s="36"/>
      <c r="W1883" s="36"/>
      <c r="X1883" s="36"/>
      <c r="Y1883" s="36"/>
    </row>
    <row r="1884">
      <c r="A1884" s="32"/>
      <c r="B1884" s="32"/>
      <c r="C1884" s="32"/>
      <c r="D1884" s="32"/>
      <c r="E1884" s="32"/>
      <c r="F1884" s="32"/>
      <c r="G1884" s="39"/>
      <c r="H1884" s="32"/>
      <c r="I1884" s="32"/>
      <c r="J1884" s="32"/>
      <c r="K1884" s="33"/>
      <c r="L1884" s="32"/>
      <c r="M1884" s="32"/>
      <c r="N1884" s="32"/>
      <c r="O1884" s="32"/>
      <c r="P1884" s="32"/>
      <c r="Q1884" s="34"/>
      <c r="R1884" s="35"/>
      <c r="S1884" s="35"/>
      <c r="T1884" s="36"/>
      <c r="U1884" s="36"/>
      <c r="V1884" s="36"/>
      <c r="W1884" s="36"/>
      <c r="X1884" s="36"/>
      <c r="Y1884" s="36"/>
    </row>
    <row r="1885">
      <c r="A1885" s="32"/>
      <c r="B1885" s="32"/>
      <c r="C1885" s="32"/>
      <c r="D1885" s="32"/>
      <c r="E1885" s="32"/>
      <c r="F1885" s="32"/>
      <c r="G1885" s="39"/>
      <c r="H1885" s="32"/>
      <c r="I1885" s="32"/>
      <c r="J1885" s="32"/>
      <c r="K1885" s="33"/>
      <c r="L1885" s="32"/>
      <c r="M1885" s="32"/>
      <c r="N1885" s="32"/>
      <c r="O1885" s="32"/>
      <c r="P1885" s="32"/>
      <c r="Q1885" s="34"/>
      <c r="R1885" s="35"/>
      <c r="S1885" s="35"/>
      <c r="T1885" s="36"/>
      <c r="U1885" s="36"/>
      <c r="V1885" s="36"/>
      <c r="W1885" s="36"/>
      <c r="X1885" s="36"/>
      <c r="Y1885" s="36"/>
    </row>
    <row r="1886">
      <c r="A1886" s="32"/>
      <c r="B1886" s="32"/>
      <c r="C1886" s="32"/>
      <c r="D1886" s="32"/>
      <c r="E1886" s="32"/>
      <c r="F1886" s="32"/>
      <c r="G1886" s="39"/>
      <c r="H1886" s="32"/>
      <c r="I1886" s="32"/>
      <c r="J1886" s="32"/>
      <c r="K1886" s="33"/>
      <c r="L1886" s="32"/>
      <c r="M1886" s="32"/>
      <c r="N1886" s="32"/>
      <c r="O1886" s="32"/>
      <c r="P1886" s="32"/>
      <c r="Q1886" s="34"/>
      <c r="R1886" s="35"/>
      <c r="S1886" s="35"/>
      <c r="T1886" s="36"/>
      <c r="U1886" s="36"/>
      <c r="V1886" s="36"/>
      <c r="W1886" s="36"/>
      <c r="X1886" s="36"/>
      <c r="Y1886" s="36"/>
    </row>
    <row r="1887">
      <c r="A1887" s="32"/>
      <c r="B1887" s="32"/>
      <c r="C1887" s="32"/>
      <c r="D1887" s="32"/>
      <c r="E1887" s="32"/>
      <c r="F1887" s="32"/>
      <c r="G1887" s="39"/>
      <c r="H1887" s="32"/>
      <c r="I1887" s="32"/>
      <c r="J1887" s="32"/>
      <c r="K1887" s="33"/>
      <c r="L1887" s="32"/>
      <c r="M1887" s="32"/>
      <c r="N1887" s="32"/>
      <c r="O1887" s="32"/>
      <c r="P1887" s="32"/>
      <c r="Q1887" s="34"/>
      <c r="R1887" s="35"/>
      <c r="S1887" s="35"/>
      <c r="T1887" s="36"/>
      <c r="U1887" s="36"/>
      <c r="V1887" s="36"/>
      <c r="W1887" s="36"/>
      <c r="X1887" s="36"/>
      <c r="Y1887" s="36"/>
    </row>
    <row r="1888">
      <c r="A1888" s="32"/>
      <c r="B1888" s="32"/>
      <c r="C1888" s="32"/>
      <c r="D1888" s="32"/>
      <c r="E1888" s="32"/>
      <c r="F1888" s="32"/>
      <c r="G1888" s="39"/>
      <c r="H1888" s="32"/>
      <c r="I1888" s="32"/>
      <c r="J1888" s="32"/>
      <c r="K1888" s="33"/>
      <c r="L1888" s="32"/>
      <c r="M1888" s="32"/>
      <c r="N1888" s="32"/>
      <c r="O1888" s="32"/>
      <c r="P1888" s="32"/>
      <c r="Q1888" s="34"/>
      <c r="R1888" s="35"/>
      <c r="S1888" s="35"/>
      <c r="T1888" s="36"/>
      <c r="U1888" s="36"/>
      <c r="V1888" s="36"/>
      <c r="W1888" s="36"/>
      <c r="X1888" s="36"/>
      <c r="Y1888" s="36"/>
    </row>
    <row r="1889">
      <c r="A1889" s="32"/>
      <c r="B1889" s="32"/>
      <c r="C1889" s="32"/>
      <c r="D1889" s="32"/>
      <c r="E1889" s="32"/>
      <c r="F1889" s="32"/>
      <c r="G1889" s="39"/>
      <c r="H1889" s="32"/>
      <c r="I1889" s="32"/>
      <c r="J1889" s="32"/>
      <c r="K1889" s="33"/>
      <c r="L1889" s="32"/>
      <c r="M1889" s="32"/>
      <c r="N1889" s="32"/>
      <c r="O1889" s="32"/>
      <c r="P1889" s="32"/>
      <c r="Q1889" s="34"/>
      <c r="R1889" s="35"/>
      <c r="S1889" s="35"/>
      <c r="T1889" s="36"/>
      <c r="U1889" s="36"/>
      <c r="V1889" s="36"/>
      <c r="W1889" s="36"/>
      <c r="X1889" s="36"/>
      <c r="Y1889" s="36"/>
    </row>
    <row r="1890">
      <c r="A1890" s="32"/>
      <c r="B1890" s="32"/>
      <c r="C1890" s="32"/>
      <c r="D1890" s="32"/>
      <c r="E1890" s="32"/>
      <c r="F1890" s="32"/>
      <c r="G1890" s="39"/>
      <c r="H1890" s="32"/>
      <c r="I1890" s="32"/>
      <c r="J1890" s="32"/>
      <c r="K1890" s="33"/>
      <c r="L1890" s="32"/>
      <c r="M1890" s="32"/>
      <c r="N1890" s="32"/>
      <c r="O1890" s="32"/>
      <c r="P1890" s="32"/>
      <c r="Q1890" s="34"/>
      <c r="R1890" s="35"/>
      <c r="S1890" s="35"/>
      <c r="T1890" s="36"/>
      <c r="U1890" s="36"/>
      <c r="V1890" s="36"/>
      <c r="W1890" s="36"/>
      <c r="X1890" s="36"/>
      <c r="Y1890" s="36"/>
    </row>
    <row r="1891">
      <c r="A1891" s="32"/>
      <c r="B1891" s="32"/>
      <c r="C1891" s="32"/>
      <c r="D1891" s="32"/>
      <c r="E1891" s="32"/>
      <c r="F1891" s="32"/>
      <c r="G1891" s="39"/>
      <c r="H1891" s="32"/>
      <c r="I1891" s="32"/>
      <c r="J1891" s="32"/>
      <c r="K1891" s="33"/>
      <c r="L1891" s="32"/>
      <c r="M1891" s="32"/>
      <c r="N1891" s="32"/>
      <c r="O1891" s="32"/>
      <c r="P1891" s="32"/>
      <c r="Q1891" s="34"/>
      <c r="R1891" s="35"/>
      <c r="S1891" s="35"/>
      <c r="T1891" s="36"/>
      <c r="U1891" s="36"/>
      <c r="V1891" s="36"/>
      <c r="W1891" s="36"/>
      <c r="X1891" s="36"/>
      <c r="Y1891" s="36"/>
    </row>
    <row r="1892">
      <c r="A1892" s="32"/>
      <c r="B1892" s="32"/>
      <c r="C1892" s="32"/>
      <c r="D1892" s="32"/>
      <c r="E1892" s="32"/>
      <c r="F1892" s="32"/>
      <c r="G1892" s="39"/>
      <c r="H1892" s="32"/>
      <c r="I1892" s="32"/>
      <c r="J1892" s="32"/>
      <c r="K1892" s="33"/>
      <c r="L1892" s="32"/>
      <c r="M1892" s="32"/>
      <c r="N1892" s="32"/>
      <c r="O1892" s="32"/>
      <c r="P1892" s="32"/>
      <c r="Q1892" s="34"/>
      <c r="R1892" s="35"/>
      <c r="S1892" s="35"/>
      <c r="T1892" s="36"/>
      <c r="U1892" s="36"/>
      <c r="V1892" s="36"/>
      <c r="W1892" s="36"/>
      <c r="X1892" s="36"/>
      <c r="Y1892" s="36"/>
    </row>
    <row r="1893">
      <c r="A1893" s="32"/>
      <c r="B1893" s="32"/>
      <c r="C1893" s="32"/>
      <c r="D1893" s="32"/>
      <c r="E1893" s="32"/>
      <c r="F1893" s="32"/>
      <c r="G1893" s="39"/>
      <c r="H1893" s="32"/>
      <c r="I1893" s="32"/>
      <c r="J1893" s="32"/>
      <c r="K1893" s="33"/>
      <c r="L1893" s="32"/>
      <c r="M1893" s="32"/>
      <c r="N1893" s="32"/>
      <c r="O1893" s="32"/>
      <c r="P1893" s="32"/>
      <c r="Q1893" s="34"/>
      <c r="R1893" s="35"/>
      <c r="S1893" s="35"/>
      <c r="T1893" s="36"/>
      <c r="U1893" s="36"/>
      <c r="V1893" s="36"/>
      <c r="W1893" s="36"/>
      <c r="X1893" s="36"/>
      <c r="Y1893" s="36"/>
    </row>
    <row r="1894">
      <c r="A1894" s="32"/>
      <c r="B1894" s="32"/>
      <c r="C1894" s="32"/>
      <c r="D1894" s="32"/>
      <c r="E1894" s="32"/>
      <c r="F1894" s="32"/>
      <c r="G1894" s="39"/>
      <c r="H1894" s="32"/>
      <c r="I1894" s="32"/>
      <c r="J1894" s="32"/>
      <c r="K1894" s="33"/>
      <c r="L1894" s="32"/>
      <c r="M1894" s="32"/>
      <c r="N1894" s="32"/>
      <c r="O1894" s="32"/>
      <c r="P1894" s="32"/>
      <c r="Q1894" s="34"/>
      <c r="R1894" s="35"/>
      <c r="S1894" s="35"/>
      <c r="T1894" s="36"/>
      <c r="U1894" s="36"/>
      <c r="V1894" s="36"/>
      <c r="W1894" s="36"/>
      <c r="X1894" s="36"/>
      <c r="Y1894" s="36"/>
    </row>
    <row r="1895">
      <c r="A1895" s="32"/>
      <c r="B1895" s="32"/>
      <c r="C1895" s="32"/>
      <c r="D1895" s="32"/>
      <c r="E1895" s="32"/>
      <c r="F1895" s="32"/>
      <c r="G1895" s="39"/>
      <c r="H1895" s="32"/>
      <c r="I1895" s="32"/>
      <c r="J1895" s="32"/>
      <c r="K1895" s="33"/>
      <c r="L1895" s="32"/>
      <c r="M1895" s="32"/>
      <c r="N1895" s="32"/>
      <c r="O1895" s="32"/>
      <c r="P1895" s="32"/>
      <c r="Q1895" s="34"/>
      <c r="R1895" s="35"/>
      <c r="S1895" s="35"/>
      <c r="T1895" s="36"/>
      <c r="U1895" s="36"/>
      <c r="V1895" s="36"/>
      <c r="W1895" s="36"/>
      <c r="X1895" s="36"/>
      <c r="Y1895" s="36"/>
    </row>
    <row r="1896">
      <c r="A1896" s="32"/>
      <c r="B1896" s="32"/>
      <c r="C1896" s="32"/>
      <c r="D1896" s="32"/>
      <c r="E1896" s="32"/>
      <c r="F1896" s="32"/>
      <c r="G1896" s="39"/>
      <c r="H1896" s="32"/>
      <c r="I1896" s="32"/>
      <c r="J1896" s="32"/>
      <c r="K1896" s="33"/>
      <c r="L1896" s="32"/>
      <c r="M1896" s="32"/>
      <c r="N1896" s="32"/>
      <c r="O1896" s="32"/>
      <c r="P1896" s="32"/>
      <c r="Q1896" s="34"/>
      <c r="R1896" s="35"/>
      <c r="S1896" s="35"/>
      <c r="T1896" s="36"/>
      <c r="U1896" s="36"/>
      <c r="V1896" s="36"/>
      <c r="W1896" s="36"/>
      <c r="X1896" s="36"/>
      <c r="Y1896" s="36"/>
    </row>
    <row r="1897">
      <c r="A1897" s="32"/>
      <c r="B1897" s="32"/>
      <c r="C1897" s="32"/>
      <c r="D1897" s="32"/>
      <c r="E1897" s="32"/>
      <c r="F1897" s="32"/>
      <c r="G1897" s="39"/>
      <c r="H1897" s="32"/>
      <c r="I1897" s="32"/>
      <c r="J1897" s="32"/>
      <c r="K1897" s="33"/>
      <c r="L1897" s="32"/>
      <c r="M1897" s="32"/>
      <c r="N1897" s="32"/>
      <c r="O1897" s="32"/>
      <c r="P1897" s="32"/>
      <c r="Q1897" s="34"/>
      <c r="R1897" s="35"/>
      <c r="S1897" s="35"/>
      <c r="T1897" s="36"/>
      <c r="U1897" s="36"/>
      <c r="V1897" s="36"/>
      <c r="W1897" s="36"/>
      <c r="X1897" s="36"/>
      <c r="Y1897" s="36"/>
    </row>
    <row r="1898">
      <c r="A1898" s="32"/>
      <c r="B1898" s="32"/>
      <c r="C1898" s="32"/>
      <c r="D1898" s="32"/>
      <c r="E1898" s="32"/>
      <c r="F1898" s="32"/>
      <c r="G1898" s="39"/>
      <c r="H1898" s="32"/>
      <c r="I1898" s="32"/>
      <c r="J1898" s="32"/>
      <c r="K1898" s="33"/>
      <c r="L1898" s="32"/>
      <c r="M1898" s="32"/>
      <c r="N1898" s="32"/>
      <c r="O1898" s="32"/>
      <c r="P1898" s="32"/>
      <c r="Q1898" s="34"/>
      <c r="R1898" s="35"/>
      <c r="S1898" s="35"/>
      <c r="T1898" s="36"/>
      <c r="U1898" s="36"/>
      <c r="V1898" s="36"/>
      <c r="W1898" s="36"/>
      <c r="X1898" s="36"/>
      <c r="Y1898" s="36"/>
    </row>
    <row r="1899">
      <c r="A1899" s="32"/>
      <c r="B1899" s="32"/>
      <c r="C1899" s="32"/>
      <c r="D1899" s="32"/>
      <c r="E1899" s="32"/>
      <c r="F1899" s="32"/>
      <c r="G1899" s="39"/>
      <c r="H1899" s="32"/>
      <c r="I1899" s="32"/>
      <c r="J1899" s="32"/>
      <c r="K1899" s="33"/>
      <c r="L1899" s="32"/>
      <c r="M1899" s="32"/>
      <c r="N1899" s="32"/>
      <c r="O1899" s="32"/>
      <c r="P1899" s="32"/>
      <c r="Q1899" s="34"/>
      <c r="R1899" s="35"/>
      <c r="S1899" s="35"/>
      <c r="T1899" s="36"/>
      <c r="U1899" s="36"/>
      <c r="V1899" s="36"/>
      <c r="W1899" s="36"/>
      <c r="X1899" s="36"/>
      <c r="Y1899" s="36"/>
    </row>
    <row r="1900">
      <c r="A1900" s="32"/>
      <c r="B1900" s="32"/>
      <c r="C1900" s="32"/>
      <c r="D1900" s="32"/>
      <c r="E1900" s="32"/>
      <c r="F1900" s="32"/>
      <c r="G1900" s="39"/>
      <c r="H1900" s="32"/>
      <c r="I1900" s="32"/>
      <c r="J1900" s="32"/>
      <c r="K1900" s="33"/>
      <c r="L1900" s="32"/>
      <c r="M1900" s="32"/>
      <c r="N1900" s="32"/>
      <c r="O1900" s="32"/>
      <c r="P1900" s="32"/>
      <c r="Q1900" s="34"/>
      <c r="R1900" s="35"/>
      <c r="S1900" s="35"/>
      <c r="T1900" s="36"/>
      <c r="U1900" s="36"/>
      <c r="V1900" s="36"/>
      <c r="W1900" s="36"/>
      <c r="X1900" s="36"/>
      <c r="Y1900" s="36"/>
    </row>
    <row r="1901">
      <c r="A1901" s="32"/>
      <c r="B1901" s="32"/>
      <c r="C1901" s="32"/>
      <c r="D1901" s="32"/>
      <c r="E1901" s="32"/>
      <c r="F1901" s="32"/>
      <c r="G1901" s="39"/>
      <c r="H1901" s="32"/>
      <c r="I1901" s="32"/>
      <c r="J1901" s="32"/>
      <c r="K1901" s="33"/>
      <c r="L1901" s="32"/>
      <c r="M1901" s="32"/>
      <c r="N1901" s="32"/>
      <c r="O1901" s="32"/>
      <c r="P1901" s="32"/>
      <c r="Q1901" s="34"/>
      <c r="R1901" s="35"/>
      <c r="S1901" s="35"/>
      <c r="T1901" s="36"/>
      <c r="U1901" s="36"/>
      <c r="V1901" s="36"/>
      <c r="W1901" s="36"/>
      <c r="X1901" s="36"/>
      <c r="Y1901" s="36"/>
    </row>
    <row r="1902">
      <c r="A1902" s="32"/>
      <c r="B1902" s="32"/>
      <c r="C1902" s="32"/>
      <c r="D1902" s="32"/>
      <c r="E1902" s="32"/>
      <c r="F1902" s="32"/>
      <c r="G1902" s="39"/>
      <c r="H1902" s="32"/>
      <c r="I1902" s="32"/>
      <c r="J1902" s="32"/>
      <c r="K1902" s="33"/>
      <c r="L1902" s="32"/>
      <c r="M1902" s="32"/>
      <c r="N1902" s="32"/>
      <c r="O1902" s="32"/>
      <c r="P1902" s="32"/>
      <c r="Q1902" s="34"/>
      <c r="R1902" s="35"/>
      <c r="S1902" s="35"/>
      <c r="T1902" s="36"/>
      <c r="U1902" s="36"/>
      <c r="V1902" s="36"/>
      <c r="W1902" s="36"/>
      <c r="X1902" s="36"/>
      <c r="Y1902" s="36"/>
    </row>
    <row r="1903">
      <c r="A1903" s="32"/>
      <c r="B1903" s="32"/>
      <c r="C1903" s="32"/>
      <c r="D1903" s="32"/>
      <c r="E1903" s="32"/>
      <c r="F1903" s="32"/>
      <c r="G1903" s="39"/>
      <c r="H1903" s="32"/>
      <c r="I1903" s="32"/>
      <c r="J1903" s="32"/>
      <c r="K1903" s="33"/>
      <c r="L1903" s="32"/>
      <c r="M1903" s="32"/>
      <c r="N1903" s="32"/>
      <c r="O1903" s="32"/>
      <c r="P1903" s="32"/>
      <c r="Q1903" s="34"/>
      <c r="R1903" s="35"/>
      <c r="S1903" s="35"/>
      <c r="T1903" s="36"/>
      <c r="U1903" s="36"/>
      <c r="V1903" s="36"/>
      <c r="W1903" s="36"/>
      <c r="X1903" s="36"/>
      <c r="Y1903" s="36"/>
    </row>
    <row r="1904">
      <c r="A1904" s="32"/>
      <c r="B1904" s="32"/>
      <c r="C1904" s="32"/>
      <c r="D1904" s="32"/>
      <c r="E1904" s="32"/>
      <c r="F1904" s="32"/>
      <c r="G1904" s="39"/>
      <c r="H1904" s="32"/>
      <c r="I1904" s="32"/>
      <c r="J1904" s="32"/>
      <c r="K1904" s="33"/>
      <c r="L1904" s="32"/>
      <c r="M1904" s="32"/>
      <c r="N1904" s="32"/>
      <c r="O1904" s="32"/>
      <c r="P1904" s="32"/>
      <c r="Q1904" s="34"/>
      <c r="R1904" s="35"/>
      <c r="S1904" s="35"/>
      <c r="T1904" s="36"/>
      <c r="U1904" s="36"/>
      <c r="V1904" s="36"/>
      <c r="W1904" s="36"/>
      <c r="X1904" s="36"/>
      <c r="Y1904" s="36"/>
    </row>
    <row r="1905">
      <c r="A1905" s="32"/>
      <c r="B1905" s="32"/>
      <c r="C1905" s="32"/>
      <c r="D1905" s="32"/>
      <c r="E1905" s="32"/>
      <c r="F1905" s="32"/>
      <c r="G1905" s="39"/>
      <c r="H1905" s="32"/>
      <c r="I1905" s="32"/>
      <c r="J1905" s="32"/>
      <c r="K1905" s="33"/>
      <c r="L1905" s="32"/>
      <c r="M1905" s="32"/>
      <c r="N1905" s="32"/>
      <c r="O1905" s="32"/>
      <c r="P1905" s="32"/>
      <c r="Q1905" s="34"/>
      <c r="R1905" s="35"/>
      <c r="S1905" s="35"/>
      <c r="T1905" s="36"/>
      <c r="U1905" s="36"/>
      <c r="V1905" s="36"/>
      <c r="W1905" s="36"/>
      <c r="X1905" s="36"/>
      <c r="Y1905" s="36"/>
    </row>
    <row r="1906">
      <c r="A1906" s="32"/>
      <c r="B1906" s="32"/>
      <c r="C1906" s="32"/>
      <c r="D1906" s="32"/>
      <c r="E1906" s="32"/>
      <c r="F1906" s="32"/>
      <c r="G1906" s="39"/>
      <c r="H1906" s="32"/>
      <c r="I1906" s="32"/>
      <c r="J1906" s="32"/>
      <c r="K1906" s="33"/>
      <c r="L1906" s="32"/>
      <c r="M1906" s="32"/>
      <c r="N1906" s="32"/>
      <c r="O1906" s="32"/>
      <c r="P1906" s="32"/>
      <c r="Q1906" s="34"/>
      <c r="R1906" s="35"/>
      <c r="S1906" s="35"/>
      <c r="T1906" s="36"/>
      <c r="U1906" s="36"/>
      <c r="V1906" s="36"/>
      <c r="W1906" s="36"/>
      <c r="X1906" s="36"/>
      <c r="Y1906" s="36"/>
    </row>
    <row r="1907">
      <c r="A1907" s="32"/>
      <c r="B1907" s="32"/>
      <c r="C1907" s="32"/>
      <c r="D1907" s="32"/>
      <c r="E1907" s="32"/>
      <c r="F1907" s="32"/>
      <c r="G1907" s="39"/>
      <c r="H1907" s="32"/>
      <c r="I1907" s="32"/>
      <c r="J1907" s="32"/>
      <c r="K1907" s="33"/>
      <c r="L1907" s="32"/>
      <c r="M1907" s="32"/>
      <c r="N1907" s="32"/>
      <c r="O1907" s="32"/>
      <c r="P1907" s="32"/>
      <c r="Q1907" s="34"/>
      <c r="R1907" s="35"/>
      <c r="S1907" s="35"/>
      <c r="T1907" s="36"/>
      <c r="U1907" s="36"/>
      <c r="V1907" s="36"/>
      <c r="W1907" s="36"/>
      <c r="X1907" s="36"/>
      <c r="Y1907" s="36"/>
    </row>
    <row r="1908">
      <c r="A1908" s="32"/>
      <c r="B1908" s="32"/>
      <c r="C1908" s="32"/>
      <c r="D1908" s="32"/>
      <c r="E1908" s="32"/>
      <c r="F1908" s="32"/>
      <c r="G1908" s="39"/>
      <c r="H1908" s="32"/>
      <c r="I1908" s="32"/>
      <c r="J1908" s="32"/>
      <c r="K1908" s="33"/>
      <c r="L1908" s="32"/>
      <c r="M1908" s="32"/>
      <c r="N1908" s="32"/>
      <c r="O1908" s="32"/>
      <c r="P1908" s="32"/>
      <c r="Q1908" s="34"/>
      <c r="R1908" s="35"/>
      <c r="S1908" s="35"/>
      <c r="T1908" s="36"/>
      <c r="U1908" s="36"/>
      <c r="V1908" s="36"/>
      <c r="W1908" s="36"/>
      <c r="X1908" s="36"/>
      <c r="Y1908" s="36"/>
    </row>
    <row r="1909">
      <c r="A1909" s="32"/>
      <c r="B1909" s="32"/>
      <c r="C1909" s="32"/>
      <c r="D1909" s="32"/>
      <c r="E1909" s="32"/>
      <c r="F1909" s="32"/>
      <c r="G1909" s="39"/>
      <c r="H1909" s="32"/>
      <c r="I1909" s="32"/>
      <c r="J1909" s="32"/>
      <c r="K1909" s="33"/>
      <c r="L1909" s="32"/>
      <c r="M1909" s="32"/>
      <c r="N1909" s="32"/>
      <c r="O1909" s="32"/>
      <c r="P1909" s="32"/>
      <c r="Q1909" s="34"/>
      <c r="R1909" s="35"/>
      <c r="S1909" s="35"/>
      <c r="T1909" s="36"/>
      <c r="U1909" s="36"/>
      <c r="V1909" s="36"/>
      <c r="W1909" s="36"/>
      <c r="X1909" s="36"/>
      <c r="Y1909" s="36"/>
    </row>
    <row r="1910">
      <c r="A1910" s="32"/>
      <c r="B1910" s="32"/>
      <c r="C1910" s="32"/>
      <c r="D1910" s="32"/>
      <c r="E1910" s="32"/>
      <c r="F1910" s="32"/>
      <c r="G1910" s="39"/>
      <c r="H1910" s="32"/>
      <c r="I1910" s="32"/>
      <c r="J1910" s="32"/>
      <c r="K1910" s="33"/>
      <c r="L1910" s="32"/>
      <c r="M1910" s="32"/>
      <c r="N1910" s="32"/>
      <c r="O1910" s="32"/>
      <c r="P1910" s="32"/>
      <c r="Q1910" s="34"/>
      <c r="R1910" s="35"/>
      <c r="S1910" s="35"/>
      <c r="T1910" s="36"/>
      <c r="U1910" s="36"/>
      <c r="V1910" s="36"/>
      <c r="W1910" s="36"/>
      <c r="X1910" s="36"/>
      <c r="Y1910" s="36"/>
    </row>
    <row r="1911">
      <c r="A1911" s="32"/>
      <c r="B1911" s="32"/>
      <c r="C1911" s="32"/>
      <c r="D1911" s="32"/>
      <c r="E1911" s="32"/>
      <c r="F1911" s="32"/>
      <c r="G1911" s="39"/>
      <c r="H1911" s="32"/>
      <c r="I1911" s="32"/>
      <c r="J1911" s="32"/>
      <c r="K1911" s="33"/>
      <c r="L1911" s="32"/>
      <c r="M1911" s="32"/>
      <c r="N1911" s="32"/>
      <c r="O1911" s="32"/>
      <c r="P1911" s="32"/>
      <c r="Q1911" s="34"/>
      <c r="R1911" s="35"/>
      <c r="S1911" s="35"/>
      <c r="T1911" s="36"/>
      <c r="U1911" s="36"/>
      <c r="V1911" s="36"/>
      <c r="W1911" s="36"/>
      <c r="X1911" s="36"/>
      <c r="Y1911" s="36"/>
    </row>
    <row r="1912">
      <c r="A1912" s="32"/>
      <c r="B1912" s="32"/>
      <c r="C1912" s="32"/>
      <c r="D1912" s="32"/>
      <c r="E1912" s="32"/>
      <c r="F1912" s="32"/>
      <c r="G1912" s="39"/>
      <c r="H1912" s="32"/>
      <c r="I1912" s="32"/>
      <c r="J1912" s="32"/>
      <c r="K1912" s="33"/>
      <c r="L1912" s="32"/>
      <c r="M1912" s="32"/>
      <c r="N1912" s="32"/>
      <c r="O1912" s="32"/>
      <c r="P1912" s="32"/>
      <c r="Q1912" s="34"/>
      <c r="R1912" s="35"/>
      <c r="S1912" s="35"/>
      <c r="T1912" s="36"/>
      <c r="U1912" s="36"/>
      <c r="V1912" s="36"/>
      <c r="W1912" s="36"/>
      <c r="X1912" s="36"/>
      <c r="Y1912" s="36"/>
    </row>
    <row r="1913">
      <c r="A1913" s="32"/>
      <c r="B1913" s="32"/>
      <c r="C1913" s="32"/>
      <c r="D1913" s="32"/>
      <c r="E1913" s="32"/>
      <c r="F1913" s="32"/>
      <c r="G1913" s="39"/>
      <c r="H1913" s="32"/>
      <c r="I1913" s="32"/>
      <c r="J1913" s="32"/>
      <c r="K1913" s="33"/>
      <c r="L1913" s="32"/>
      <c r="M1913" s="32"/>
      <c r="N1913" s="32"/>
      <c r="O1913" s="32"/>
      <c r="P1913" s="32"/>
      <c r="Q1913" s="34"/>
      <c r="R1913" s="35"/>
      <c r="S1913" s="35"/>
      <c r="T1913" s="36"/>
      <c r="U1913" s="36"/>
      <c r="V1913" s="36"/>
      <c r="W1913" s="36"/>
      <c r="X1913" s="36"/>
      <c r="Y1913" s="36"/>
    </row>
    <row r="1914">
      <c r="A1914" s="32"/>
      <c r="B1914" s="32"/>
      <c r="C1914" s="32"/>
      <c r="D1914" s="32"/>
      <c r="E1914" s="32"/>
      <c r="F1914" s="32"/>
      <c r="G1914" s="39"/>
      <c r="H1914" s="32"/>
      <c r="I1914" s="32"/>
      <c r="J1914" s="32"/>
      <c r="K1914" s="33"/>
      <c r="L1914" s="32"/>
      <c r="M1914" s="32"/>
      <c r="N1914" s="32"/>
      <c r="O1914" s="32"/>
      <c r="P1914" s="32"/>
      <c r="Q1914" s="34"/>
      <c r="R1914" s="35"/>
      <c r="S1914" s="35"/>
      <c r="T1914" s="36"/>
      <c r="U1914" s="36"/>
      <c r="V1914" s="36"/>
      <c r="W1914" s="36"/>
      <c r="X1914" s="36"/>
      <c r="Y1914" s="36"/>
    </row>
    <row r="1915">
      <c r="A1915" s="32"/>
      <c r="B1915" s="32"/>
      <c r="C1915" s="32"/>
      <c r="D1915" s="32"/>
      <c r="E1915" s="32"/>
      <c r="F1915" s="32"/>
      <c r="G1915" s="39"/>
      <c r="H1915" s="32"/>
      <c r="I1915" s="32"/>
      <c r="J1915" s="32"/>
      <c r="K1915" s="33"/>
      <c r="L1915" s="32"/>
      <c r="M1915" s="32"/>
      <c r="N1915" s="32"/>
      <c r="O1915" s="32"/>
      <c r="P1915" s="32"/>
      <c r="Q1915" s="34"/>
      <c r="R1915" s="35"/>
      <c r="S1915" s="35"/>
      <c r="T1915" s="36"/>
      <c r="U1915" s="36"/>
      <c r="V1915" s="36"/>
      <c r="W1915" s="36"/>
      <c r="X1915" s="36"/>
      <c r="Y1915" s="36"/>
    </row>
    <row r="1916">
      <c r="A1916" s="32"/>
      <c r="B1916" s="32"/>
      <c r="C1916" s="32"/>
      <c r="D1916" s="32"/>
      <c r="E1916" s="32"/>
      <c r="F1916" s="32"/>
      <c r="G1916" s="39"/>
      <c r="H1916" s="32"/>
      <c r="I1916" s="32"/>
      <c r="J1916" s="32"/>
      <c r="K1916" s="33"/>
      <c r="L1916" s="32"/>
      <c r="M1916" s="32"/>
      <c r="N1916" s="32"/>
      <c r="O1916" s="32"/>
      <c r="P1916" s="32"/>
      <c r="Q1916" s="34"/>
      <c r="R1916" s="35"/>
      <c r="S1916" s="35"/>
      <c r="T1916" s="36"/>
      <c r="U1916" s="36"/>
      <c r="V1916" s="36"/>
      <c r="W1916" s="36"/>
      <c r="X1916" s="36"/>
      <c r="Y1916" s="36"/>
    </row>
    <row r="1917">
      <c r="A1917" s="32"/>
      <c r="B1917" s="32"/>
      <c r="C1917" s="32"/>
      <c r="D1917" s="32"/>
      <c r="E1917" s="32"/>
      <c r="F1917" s="32"/>
      <c r="G1917" s="39"/>
      <c r="H1917" s="32"/>
      <c r="I1917" s="32"/>
      <c r="J1917" s="32"/>
      <c r="K1917" s="33"/>
      <c r="L1917" s="32"/>
      <c r="M1917" s="32"/>
      <c r="N1917" s="32"/>
      <c r="O1917" s="32"/>
      <c r="P1917" s="32"/>
      <c r="Q1917" s="34"/>
      <c r="R1917" s="35"/>
      <c r="S1917" s="35"/>
      <c r="T1917" s="36"/>
      <c r="U1917" s="36"/>
      <c r="V1917" s="36"/>
      <c r="W1917" s="36"/>
      <c r="X1917" s="36"/>
      <c r="Y1917" s="36"/>
    </row>
    <row r="1918">
      <c r="A1918" s="32"/>
      <c r="B1918" s="32"/>
      <c r="C1918" s="32"/>
      <c r="D1918" s="32"/>
      <c r="E1918" s="32"/>
      <c r="F1918" s="32"/>
      <c r="G1918" s="39"/>
      <c r="H1918" s="32"/>
      <c r="I1918" s="32"/>
      <c r="J1918" s="32"/>
      <c r="K1918" s="33"/>
      <c r="L1918" s="32"/>
      <c r="M1918" s="32"/>
      <c r="N1918" s="32"/>
      <c r="O1918" s="32"/>
      <c r="P1918" s="32"/>
      <c r="Q1918" s="34"/>
      <c r="R1918" s="35"/>
      <c r="S1918" s="35"/>
      <c r="T1918" s="36"/>
      <c r="U1918" s="36"/>
      <c r="V1918" s="36"/>
      <c r="W1918" s="36"/>
      <c r="X1918" s="36"/>
      <c r="Y1918" s="36"/>
    </row>
    <row r="1919">
      <c r="A1919" s="32"/>
      <c r="B1919" s="32"/>
      <c r="C1919" s="32"/>
      <c r="D1919" s="32"/>
      <c r="E1919" s="32"/>
      <c r="F1919" s="32"/>
      <c r="G1919" s="39"/>
      <c r="H1919" s="32"/>
      <c r="I1919" s="32"/>
      <c r="J1919" s="32"/>
      <c r="K1919" s="33"/>
      <c r="L1919" s="32"/>
      <c r="M1919" s="32"/>
      <c r="N1919" s="32"/>
      <c r="O1919" s="32"/>
      <c r="P1919" s="32"/>
      <c r="Q1919" s="34"/>
      <c r="R1919" s="35"/>
      <c r="S1919" s="35"/>
      <c r="T1919" s="36"/>
      <c r="U1919" s="36"/>
      <c r="V1919" s="36"/>
      <c r="W1919" s="36"/>
      <c r="X1919" s="36"/>
      <c r="Y1919" s="36"/>
    </row>
    <row r="1920">
      <c r="A1920" s="32"/>
      <c r="B1920" s="32"/>
      <c r="C1920" s="32"/>
      <c r="D1920" s="32"/>
      <c r="E1920" s="32"/>
      <c r="F1920" s="32"/>
      <c r="G1920" s="39"/>
      <c r="H1920" s="32"/>
      <c r="I1920" s="32"/>
      <c r="J1920" s="32"/>
      <c r="K1920" s="33"/>
      <c r="L1920" s="32"/>
      <c r="M1920" s="32"/>
      <c r="N1920" s="32"/>
      <c r="O1920" s="32"/>
      <c r="P1920" s="32"/>
      <c r="Q1920" s="34"/>
      <c r="R1920" s="35"/>
      <c r="S1920" s="35"/>
      <c r="T1920" s="36"/>
      <c r="U1920" s="36"/>
      <c r="V1920" s="36"/>
      <c r="W1920" s="36"/>
      <c r="X1920" s="36"/>
      <c r="Y1920" s="36"/>
    </row>
    <row r="1921">
      <c r="A1921" s="32"/>
      <c r="B1921" s="32"/>
      <c r="C1921" s="32"/>
      <c r="D1921" s="32"/>
      <c r="E1921" s="32"/>
      <c r="F1921" s="32"/>
      <c r="G1921" s="39"/>
      <c r="H1921" s="32"/>
      <c r="I1921" s="32"/>
      <c r="J1921" s="32"/>
      <c r="K1921" s="33"/>
      <c r="L1921" s="32"/>
      <c r="M1921" s="32"/>
      <c r="N1921" s="32"/>
      <c r="O1921" s="32"/>
      <c r="P1921" s="32"/>
      <c r="Q1921" s="34"/>
      <c r="R1921" s="35"/>
      <c r="S1921" s="35"/>
      <c r="T1921" s="36"/>
      <c r="U1921" s="36"/>
      <c r="V1921" s="36"/>
      <c r="W1921" s="36"/>
      <c r="X1921" s="36"/>
      <c r="Y1921" s="36"/>
    </row>
    <row r="1922">
      <c r="A1922" s="32"/>
      <c r="B1922" s="32"/>
      <c r="C1922" s="32"/>
      <c r="D1922" s="32"/>
      <c r="E1922" s="32"/>
      <c r="F1922" s="32"/>
      <c r="G1922" s="39"/>
      <c r="H1922" s="32"/>
      <c r="I1922" s="32"/>
      <c r="J1922" s="32"/>
      <c r="K1922" s="33"/>
      <c r="L1922" s="32"/>
      <c r="M1922" s="32"/>
      <c r="N1922" s="32"/>
      <c r="O1922" s="32"/>
      <c r="P1922" s="32"/>
      <c r="Q1922" s="34"/>
      <c r="R1922" s="35"/>
      <c r="S1922" s="35"/>
      <c r="T1922" s="36"/>
      <c r="U1922" s="36"/>
      <c r="V1922" s="36"/>
      <c r="W1922" s="36"/>
      <c r="X1922" s="36"/>
      <c r="Y1922" s="36"/>
    </row>
    <row r="1923">
      <c r="A1923" s="32"/>
      <c r="B1923" s="32"/>
      <c r="C1923" s="32"/>
      <c r="D1923" s="32"/>
      <c r="E1923" s="32"/>
      <c r="F1923" s="32"/>
      <c r="G1923" s="39"/>
      <c r="H1923" s="32"/>
      <c r="I1923" s="32"/>
      <c r="J1923" s="32"/>
      <c r="K1923" s="33"/>
      <c r="L1923" s="32"/>
      <c r="M1923" s="32"/>
      <c r="N1923" s="32"/>
      <c r="O1923" s="32"/>
      <c r="P1923" s="32"/>
      <c r="Q1923" s="34"/>
      <c r="R1923" s="35"/>
      <c r="S1923" s="35"/>
      <c r="T1923" s="36"/>
      <c r="U1923" s="36"/>
      <c r="V1923" s="36"/>
      <c r="W1923" s="36"/>
      <c r="X1923" s="36"/>
      <c r="Y1923" s="36"/>
    </row>
    <row r="1924">
      <c r="A1924" s="32"/>
      <c r="B1924" s="32"/>
      <c r="C1924" s="32"/>
      <c r="D1924" s="32"/>
      <c r="E1924" s="32"/>
      <c r="F1924" s="32"/>
      <c r="G1924" s="39"/>
      <c r="H1924" s="32"/>
      <c r="I1924" s="32"/>
      <c r="J1924" s="32"/>
      <c r="K1924" s="33"/>
      <c r="L1924" s="32"/>
      <c r="M1924" s="32"/>
      <c r="N1924" s="32"/>
      <c r="O1924" s="32"/>
      <c r="P1924" s="32"/>
      <c r="Q1924" s="34"/>
      <c r="R1924" s="35"/>
      <c r="S1924" s="35"/>
      <c r="T1924" s="36"/>
      <c r="U1924" s="36"/>
      <c r="V1924" s="36"/>
      <c r="W1924" s="36"/>
      <c r="X1924" s="36"/>
      <c r="Y1924" s="36"/>
    </row>
    <row r="1925">
      <c r="A1925" s="32"/>
      <c r="B1925" s="32"/>
      <c r="C1925" s="32"/>
      <c r="D1925" s="32"/>
      <c r="E1925" s="32"/>
      <c r="F1925" s="32"/>
      <c r="G1925" s="39"/>
      <c r="H1925" s="32"/>
      <c r="I1925" s="32"/>
      <c r="J1925" s="32"/>
      <c r="K1925" s="33"/>
      <c r="L1925" s="32"/>
      <c r="M1925" s="32"/>
      <c r="N1925" s="32"/>
      <c r="O1925" s="32"/>
      <c r="P1925" s="32"/>
      <c r="Q1925" s="34"/>
      <c r="R1925" s="35"/>
      <c r="S1925" s="35"/>
      <c r="T1925" s="36"/>
      <c r="U1925" s="36"/>
      <c r="V1925" s="36"/>
      <c r="W1925" s="36"/>
      <c r="X1925" s="36"/>
      <c r="Y1925" s="36"/>
    </row>
    <row r="1926">
      <c r="A1926" s="32"/>
      <c r="B1926" s="32"/>
      <c r="C1926" s="32"/>
      <c r="D1926" s="32"/>
      <c r="E1926" s="32"/>
      <c r="F1926" s="32"/>
      <c r="G1926" s="39"/>
      <c r="H1926" s="32"/>
      <c r="I1926" s="32"/>
      <c r="J1926" s="32"/>
      <c r="K1926" s="33"/>
      <c r="L1926" s="32"/>
      <c r="M1926" s="32"/>
      <c r="N1926" s="32"/>
      <c r="O1926" s="32"/>
      <c r="P1926" s="32"/>
      <c r="Q1926" s="34"/>
      <c r="R1926" s="35"/>
      <c r="S1926" s="35"/>
      <c r="T1926" s="36"/>
      <c r="U1926" s="36"/>
      <c r="V1926" s="36"/>
      <c r="W1926" s="36"/>
      <c r="X1926" s="36"/>
      <c r="Y1926" s="36"/>
    </row>
    <row r="1927">
      <c r="A1927" s="32"/>
      <c r="B1927" s="32"/>
      <c r="C1927" s="32"/>
      <c r="D1927" s="32"/>
      <c r="E1927" s="32"/>
      <c r="F1927" s="32"/>
      <c r="G1927" s="39"/>
      <c r="H1927" s="32"/>
      <c r="I1927" s="32"/>
      <c r="J1927" s="32"/>
      <c r="K1927" s="33"/>
      <c r="L1927" s="32"/>
      <c r="M1927" s="32"/>
      <c r="N1927" s="32"/>
      <c r="O1927" s="32"/>
      <c r="P1927" s="32"/>
      <c r="Q1927" s="34"/>
      <c r="R1927" s="35"/>
      <c r="S1927" s="35"/>
      <c r="T1927" s="36"/>
      <c r="U1927" s="36"/>
      <c r="V1927" s="36"/>
      <c r="W1927" s="36"/>
      <c r="X1927" s="36"/>
      <c r="Y1927" s="36"/>
    </row>
    <row r="1928">
      <c r="A1928" s="32"/>
      <c r="B1928" s="32"/>
      <c r="C1928" s="32"/>
      <c r="D1928" s="32"/>
      <c r="E1928" s="32"/>
      <c r="F1928" s="32"/>
      <c r="G1928" s="39"/>
      <c r="H1928" s="32"/>
      <c r="I1928" s="32"/>
      <c r="J1928" s="32"/>
      <c r="K1928" s="33"/>
      <c r="L1928" s="32"/>
      <c r="M1928" s="32"/>
      <c r="N1928" s="32"/>
      <c r="O1928" s="32"/>
      <c r="P1928" s="32"/>
      <c r="Q1928" s="34"/>
      <c r="R1928" s="35"/>
      <c r="S1928" s="35"/>
      <c r="T1928" s="36"/>
      <c r="U1928" s="36"/>
      <c r="V1928" s="36"/>
      <c r="W1928" s="36"/>
      <c r="X1928" s="36"/>
      <c r="Y1928" s="36"/>
    </row>
    <row r="1929">
      <c r="A1929" s="32"/>
      <c r="B1929" s="32"/>
      <c r="C1929" s="32"/>
      <c r="D1929" s="32"/>
      <c r="E1929" s="32"/>
      <c r="F1929" s="32"/>
      <c r="G1929" s="39"/>
      <c r="H1929" s="32"/>
      <c r="I1929" s="32"/>
      <c r="J1929" s="32"/>
      <c r="K1929" s="33"/>
      <c r="L1929" s="32"/>
      <c r="M1929" s="32"/>
      <c r="N1929" s="32"/>
      <c r="O1929" s="32"/>
      <c r="P1929" s="32"/>
      <c r="Q1929" s="34"/>
      <c r="R1929" s="35"/>
      <c r="S1929" s="35"/>
      <c r="T1929" s="36"/>
      <c r="U1929" s="36"/>
      <c r="V1929" s="36"/>
      <c r="W1929" s="36"/>
      <c r="X1929" s="36"/>
      <c r="Y1929" s="36"/>
    </row>
    <row r="1930">
      <c r="A1930" s="32"/>
      <c r="B1930" s="32"/>
      <c r="C1930" s="32"/>
      <c r="D1930" s="32"/>
      <c r="E1930" s="32"/>
      <c r="F1930" s="32"/>
      <c r="G1930" s="39"/>
      <c r="H1930" s="32"/>
      <c r="I1930" s="32"/>
      <c r="J1930" s="32"/>
      <c r="K1930" s="33"/>
      <c r="L1930" s="32"/>
      <c r="M1930" s="32"/>
      <c r="N1930" s="32"/>
      <c r="O1930" s="32"/>
      <c r="P1930" s="32"/>
      <c r="Q1930" s="34"/>
      <c r="R1930" s="35"/>
      <c r="S1930" s="35"/>
      <c r="T1930" s="36"/>
      <c r="U1930" s="36"/>
      <c r="V1930" s="36"/>
      <c r="W1930" s="36"/>
      <c r="X1930" s="36"/>
      <c r="Y1930" s="36"/>
    </row>
    <row r="1931">
      <c r="A1931" s="32"/>
      <c r="B1931" s="32"/>
      <c r="C1931" s="32"/>
      <c r="D1931" s="32"/>
      <c r="E1931" s="32"/>
      <c r="F1931" s="32"/>
      <c r="G1931" s="39"/>
      <c r="H1931" s="32"/>
      <c r="I1931" s="32"/>
      <c r="J1931" s="32"/>
      <c r="K1931" s="33"/>
      <c r="L1931" s="32"/>
      <c r="M1931" s="32"/>
      <c r="N1931" s="32"/>
      <c r="O1931" s="32"/>
      <c r="P1931" s="32"/>
      <c r="Q1931" s="34"/>
      <c r="R1931" s="35"/>
      <c r="S1931" s="35"/>
      <c r="T1931" s="36"/>
      <c r="U1931" s="36"/>
      <c r="V1931" s="36"/>
      <c r="W1931" s="36"/>
      <c r="X1931" s="36"/>
      <c r="Y1931" s="36"/>
    </row>
    <row r="1932">
      <c r="A1932" s="32"/>
      <c r="B1932" s="32"/>
      <c r="C1932" s="32"/>
      <c r="D1932" s="32"/>
      <c r="E1932" s="32"/>
      <c r="F1932" s="32"/>
      <c r="G1932" s="39"/>
      <c r="H1932" s="32"/>
      <c r="I1932" s="32"/>
      <c r="J1932" s="32"/>
      <c r="K1932" s="33"/>
      <c r="L1932" s="32"/>
      <c r="M1932" s="32"/>
      <c r="N1932" s="32"/>
      <c r="O1932" s="32"/>
      <c r="P1932" s="32"/>
      <c r="Q1932" s="34"/>
      <c r="R1932" s="35"/>
      <c r="S1932" s="35"/>
      <c r="T1932" s="36"/>
      <c r="U1932" s="36"/>
      <c r="V1932" s="36"/>
      <c r="W1932" s="36"/>
      <c r="X1932" s="36"/>
      <c r="Y1932" s="36"/>
    </row>
    <row r="1933">
      <c r="A1933" s="32"/>
      <c r="B1933" s="32"/>
      <c r="C1933" s="32"/>
      <c r="D1933" s="32"/>
      <c r="E1933" s="32"/>
      <c r="F1933" s="32"/>
      <c r="G1933" s="39"/>
      <c r="H1933" s="32"/>
      <c r="I1933" s="32"/>
      <c r="J1933" s="32"/>
      <c r="K1933" s="33"/>
      <c r="L1933" s="32"/>
      <c r="M1933" s="32"/>
      <c r="N1933" s="32"/>
      <c r="O1933" s="32"/>
      <c r="P1933" s="32"/>
      <c r="Q1933" s="34"/>
      <c r="R1933" s="35"/>
      <c r="S1933" s="35"/>
      <c r="T1933" s="36"/>
      <c r="U1933" s="36"/>
      <c r="V1933" s="36"/>
      <c r="W1933" s="36"/>
      <c r="X1933" s="36"/>
      <c r="Y1933" s="36"/>
    </row>
    <row r="1934">
      <c r="A1934" s="32"/>
      <c r="B1934" s="32"/>
      <c r="C1934" s="32"/>
      <c r="D1934" s="32"/>
      <c r="E1934" s="32"/>
      <c r="F1934" s="32"/>
      <c r="G1934" s="39"/>
      <c r="H1934" s="32"/>
      <c r="I1934" s="32"/>
      <c r="J1934" s="32"/>
      <c r="K1934" s="33"/>
      <c r="L1934" s="32"/>
      <c r="M1934" s="32"/>
      <c r="N1934" s="32"/>
      <c r="O1934" s="32"/>
      <c r="P1934" s="32"/>
      <c r="Q1934" s="34"/>
      <c r="R1934" s="35"/>
      <c r="S1934" s="35"/>
      <c r="T1934" s="36"/>
      <c r="U1934" s="36"/>
      <c r="V1934" s="36"/>
      <c r="W1934" s="36"/>
      <c r="X1934" s="36"/>
      <c r="Y1934" s="36"/>
    </row>
    <row r="1935">
      <c r="A1935" s="32"/>
      <c r="B1935" s="32"/>
      <c r="C1935" s="32"/>
      <c r="D1935" s="32"/>
      <c r="E1935" s="32"/>
      <c r="F1935" s="32"/>
      <c r="G1935" s="39"/>
      <c r="H1935" s="32"/>
      <c r="I1935" s="32"/>
      <c r="J1935" s="32"/>
      <c r="K1935" s="33"/>
      <c r="L1935" s="32"/>
      <c r="M1935" s="32"/>
      <c r="N1935" s="32"/>
      <c r="O1935" s="32"/>
      <c r="P1935" s="32"/>
      <c r="Q1935" s="34"/>
      <c r="R1935" s="35"/>
      <c r="S1935" s="35"/>
      <c r="T1935" s="36"/>
      <c r="U1935" s="36"/>
      <c r="V1935" s="36"/>
      <c r="W1935" s="36"/>
      <c r="X1935" s="36"/>
      <c r="Y1935" s="36"/>
    </row>
    <row r="1936">
      <c r="A1936" s="32"/>
      <c r="B1936" s="32"/>
      <c r="C1936" s="32"/>
      <c r="D1936" s="32"/>
      <c r="E1936" s="32"/>
      <c r="F1936" s="32"/>
      <c r="G1936" s="39"/>
      <c r="H1936" s="32"/>
      <c r="I1936" s="32"/>
      <c r="J1936" s="32"/>
      <c r="K1936" s="33"/>
      <c r="L1936" s="32"/>
      <c r="M1936" s="32"/>
      <c r="N1936" s="32"/>
      <c r="O1936" s="32"/>
      <c r="P1936" s="32"/>
      <c r="Q1936" s="34"/>
      <c r="R1936" s="35"/>
      <c r="S1936" s="35"/>
      <c r="T1936" s="36"/>
      <c r="U1936" s="36"/>
      <c r="V1936" s="36"/>
      <c r="W1936" s="36"/>
      <c r="X1936" s="36"/>
      <c r="Y1936" s="36"/>
    </row>
    <row r="1937">
      <c r="A1937" s="32"/>
      <c r="B1937" s="32"/>
      <c r="C1937" s="32"/>
      <c r="D1937" s="32"/>
      <c r="E1937" s="32"/>
      <c r="F1937" s="32"/>
      <c r="G1937" s="39"/>
      <c r="H1937" s="32"/>
      <c r="I1937" s="32"/>
      <c r="J1937" s="32"/>
      <c r="K1937" s="33"/>
      <c r="L1937" s="32"/>
      <c r="M1937" s="32"/>
      <c r="N1937" s="32"/>
      <c r="O1937" s="32"/>
      <c r="P1937" s="32"/>
      <c r="Q1937" s="34"/>
      <c r="R1937" s="35"/>
      <c r="S1937" s="35"/>
      <c r="T1937" s="36"/>
      <c r="U1937" s="36"/>
      <c r="V1937" s="36"/>
      <c r="W1937" s="36"/>
      <c r="X1937" s="36"/>
      <c r="Y1937" s="36"/>
    </row>
    <row r="1938">
      <c r="A1938" s="32"/>
      <c r="B1938" s="32"/>
      <c r="C1938" s="32"/>
      <c r="D1938" s="32"/>
      <c r="E1938" s="32"/>
      <c r="F1938" s="32"/>
      <c r="G1938" s="39"/>
      <c r="H1938" s="32"/>
      <c r="I1938" s="32"/>
      <c r="J1938" s="32"/>
      <c r="K1938" s="33"/>
      <c r="L1938" s="32"/>
      <c r="M1938" s="32"/>
      <c r="N1938" s="32"/>
      <c r="O1938" s="32"/>
      <c r="P1938" s="32"/>
      <c r="Q1938" s="34"/>
      <c r="R1938" s="35"/>
      <c r="S1938" s="35"/>
      <c r="T1938" s="36"/>
      <c r="U1938" s="36"/>
      <c r="V1938" s="36"/>
      <c r="W1938" s="36"/>
      <c r="X1938" s="36"/>
      <c r="Y1938" s="36"/>
    </row>
    <row r="1939">
      <c r="A1939" s="32"/>
      <c r="B1939" s="32"/>
      <c r="C1939" s="32"/>
      <c r="D1939" s="32"/>
      <c r="E1939" s="32"/>
      <c r="F1939" s="32"/>
      <c r="G1939" s="39"/>
      <c r="H1939" s="32"/>
      <c r="I1939" s="32"/>
      <c r="J1939" s="32"/>
      <c r="K1939" s="33"/>
      <c r="L1939" s="32"/>
      <c r="M1939" s="32"/>
      <c r="N1939" s="32"/>
      <c r="O1939" s="32"/>
      <c r="P1939" s="32"/>
      <c r="Q1939" s="34"/>
      <c r="R1939" s="35"/>
      <c r="S1939" s="35"/>
      <c r="T1939" s="36"/>
      <c r="U1939" s="36"/>
      <c r="V1939" s="36"/>
      <c r="W1939" s="36"/>
      <c r="X1939" s="36"/>
      <c r="Y1939" s="36"/>
    </row>
    <row r="1940">
      <c r="A1940" s="32"/>
      <c r="B1940" s="32"/>
      <c r="C1940" s="32"/>
      <c r="D1940" s="32"/>
      <c r="E1940" s="32"/>
      <c r="F1940" s="32"/>
      <c r="G1940" s="39"/>
      <c r="H1940" s="32"/>
      <c r="I1940" s="32"/>
      <c r="J1940" s="32"/>
      <c r="K1940" s="33"/>
      <c r="L1940" s="32"/>
      <c r="M1940" s="32"/>
      <c r="N1940" s="32"/>
      <c r="O1940" s="32"/>
      <c r="P1940" s="32"/>
      <c r="Q1940" s="34"/>
      <c r="R1940" s="35"/>
      <c r="S1940" s="35"/>
      <c r="T1940" s="36"/>
      <c r="U1940" s="36"/>
      <c r="V1940" s="36"/>
      <c r="W1940" s="36"/>
      <c r="X1940" s="36"/>
      <c r="Y1940" s="36"/>
    </row>
    <row r="1941">
      <c r="A1941" s="32"/>
      <c r="B1941" s="32"/>
      <c r="C1941" s="32"/>
      <c r="D1941" s="32"/>
      <c r="E1941" s="32"/>
      <c r="F1941" s="32"/>
      <c r="G1941" s="39"/>
      <c r="H1941" s="32"/>
      <c r="I1941" s="32"/>
      <c r="J1941" s="32"/>
      <c r="K1941" s="33"/>
      <c r="L1941" s="32"/>
      <c r="M1941" s="32"/>
      <c r="N1941" s="32"/>
      <c r="O1941" s="32"/>
      <c r="P1941" s="32"/>
      <c r="Q1941" s="34"/>
      <c r="R1941" s="35"/>
      <c r="S1941" s="35"/>
      <c r="T1941" s="36"/>
      <c r="U1941" s="36"/>
      <c r="V1941" s="36"/>
      <c r="W1941" s="36"/>
      <c r="X1941" s="36"/>
      <c r="Y1941" s="36"/>
    </row>
    <row r="1942">
      <c r="A1942" s="32"/>
      <c r="B1942" s="32"/>
      <c r="C1942" s="32"/>
      <c r="D1942" s="32"/>
      <c r="E1942" s="32"/>
      <c r="F1942" s="32"/>
      <c r="G1942" s="39"/>
      <c r="H1942" s="32"/>
      <c r="I1942" s="32"/>
      <c r="J1942" s="32"/>
      <c r="K1942" s="33"/>
      <c r="L1942" s="32"/>
      <c r="M1942" s="32"/>
      <c r="N1942" s="32"/>
      <c r="O1942" s="32"/>
      <c r="P1942" s="32"/>
      <c r="Q1942" s="34"/>
      <c r="R1942" s="35"/>
      <c r="S1942" s="35"/>
      <c r="T1942" s="36"/>
      <c r="U1942" s="36"/>
      <c r="V1942" s="36"/>
      <c r="W1942" s="36"/>
      <c r="X1942" s="36"/>
      <c r="Y1942" s="36"/>
    </row>
    <row r="1943">
      <c r="A1943" s="32"/>
      <c r="B1943" s="32"/>
      <c r="C1943" s="32"/>
      <c r="D1943" s="32"/>
      <c r="E1943" s="32"/>
      <c r="F1943" s="32"/>
      <c r="G1943" s="39"/>
      <c r="H1943" s="32"/>
      <c r="I1943" s="32"/>
      <c r="J1943" s="32"/>
      <c r="K1943" s="33"/>
      <c r="L1943" s="32"/>
      <c r="M1943" s="32"/>
      <c r="N1943" s="32"/>
      <c r="O1943" s="32"/>
      <c r="P1943" s="32"/>
      <c r="Q1943" s="34"/>
      <c r="R1943" s="35"/>
      <c r="S1943" s="35"/>
      <c r="T1943" s="36"/>
      <c r="U1943" s="36"/>
      <c r="V1943" s="36"/>
      <c r="W1943" s="36"/>
      <c r="X1943" s="36"/>
      <c r="Y1943" s="36"/>
    </row>
    <row r="1944">
      <c r="A1944" s="32"/>
      <c r="B1944" s="32"/>
      <c r="C1944" s="32"/>
      <c r="D1944" s="32"/>
      <c r="E1944" s="32"/>
      <c r="F1944" s="32"/>
      <c r="G1944" s="39"/>
      <c r="H1944" s="32"/>
      <c r="I1944" s="32"/>
      <c r="J1944" s="32"/>
      <c r="K1944" s="33"/>
      <c r="L1944" s="32"/>
      <c r="M1944" s="32"/>
      <c r="N1944" s="32"/>
      <c r="O1944" s="32"/>
      <c r="P1944" s="32"/>
      <c r="Q1944" s="34"/>
      <c r="R1944" s="35"/>
      <c r="S1944" s="35"/>
      <c r="T1944" s="36"/>
      <c r="U1944" s="36"/>
      <c r="V1944" s="36"/>
      <c r="W1944" s="36"/>
      <c r="X1944" s="36"/>
      <c r="Y1944" s="36"/>
    </row>
    <row r="1945">
      <c r="A1945" s="32"/>
      <c r="B1945" s="32"/>
      <c r="C1945" s="32"/>
      <c r="D1945" s="32"/>
      <c r="E1945" s="32"/>
      <c r="F1945" s="32"/>
      <c r="G1945" s="39"/>
      <c r="H1945" s="32"/>
      <c r="I1945" s="32"/>
      <c r="J1945" s="32"/>
      <c r="K1945" s="33"/>
      <c r="L1945" s="32"/>
      <c r="M1945" s="32"/>
      <c r="N1945" s="32"/>
      <c r="O1945" s="32"/>
      <c r="P1945" s="32"/>
      <c r="Q1945" s="34"/>
      <c r="R1945" s="35"/>
      <c r="S1945" s="35"/>
      <c r="T1945" s="36"/>
      <c r="U1945" s="36"/>
      <c r="V1945" s="36"/>
      <c r="W1945" s="36"/>
      <c r="X1945" s="36"/>
      <c r="Y1945" s="36"/>
    </row>
    <row r="1946">
      <c r="A1946" s="32"/>
      <c r="B1946" s="32"/>
      <c r="C1946" s="32"/>
      <c r="D1946" s="32"/>
      <c r="E1946" s="32"/>
      <c r="F1946" s="32"/>
      <c r="G1946" s="39"/>
      <c r="H1946" s="32"/>
      <c r="I1946" s="32"/>
      <c r="J1946" s="32"/>
      <c r="K1946" s="33"/>
      <c r="L1946" s="32"/>
      <c r="M1946" s="32"/>
      <c r="N1946" s="32"/>
      <c r="O1946" s="32"/>
      <c r="P1946" s="32"/>
      <c r="Q1946" s="34"/>
      <c r="R1946" s="35"/>
      <c r="S1946" s="35"/>
      <c r="T1946" s="36"/>
      <c r="U1946" s="36"/>
      <c r="V1946" s="36"/>
      <c r="W1946" s="36"/>
      <c r="X1946" s="36"/>
      <c r="Y1946" s="36"/>
    </row>
    <row r="1947">
      <c r="A1947" s="32"/>
      <c r="B1947" s="32"/>
      <c r="C1947" s="32"/>
      <c r="D1947" s="32"/>
      <c r="E1947" s="32"/>
      <c r="F1947" s="32"/>
      <c r="G1947" s="39"/>
      <c r="H1947" s="32"/>
      <c r="I1947" s="32"/>
      <c r="J1947" s="32"/>
      <c r="K1947" s="33"/>
      <c r="L1947" s="32"/>
      <c r="M1947" s="32"/>
      <c r="N1947" s="32"/>
      <c r="O1947" s="32"/>
      <c r="P1947" s="32"/>
      <c r="Q1947" s="34"/>
      <c r="R1947" s="35"/>
      <c r="S1947" s="35"/>
      <c r="T1947" s="36"/>
      <c r="U1947" s="36"/>
      <c r="V1947" s="36"/>
      <c r="W1947" s="36"/>
      <c r="X1947" s="36"/>
      <c r="Y1947" s="36"/>
    </row>
    <row r="1948">
      <c r="A1948" s="32"/>
      <c r="B1948" s="32"/>
      <c r="C1948" s="32"/>
      <c r="D1948" s="32"/>
      <c r="E1948" s="32"/>
      <c r="F1948" s="32"/>
      <c r="G1948" s="39"/>
      <c r="H1948" s="32"/>
      <c r="I1948" s="32"/>
      <c r="J1948" s="32"/>
      <c r="K1948" s="33"/>
      <c r="L1948" s="32"/>
      <c r="M1948" s="32"/>
      <c r="N1948" s="32"/>
      <c r="O1948" s="32"/>
      <c r="P1948" s="32"/>
      <c r="Q1948" s="34"/>
      <c r="R1948" s="35"/>
      <c r="S1948" s="35"/>
      <c r="T1948" s="36"/>
      <c r="U1948" s="36"/>
      <c r="V1948" s="36"/>
      <c r="W1948" s="36"/>
      <c r="X1948" s="36"/>
      <c r="Y1948" s="36"/>
    </row>
    <row r="1949">
      <c r="A1949" s="32"/>
      <c r="B1949" s="32"/>
      <c r="C1949" s="32"/>
      <c r="D1949" s="32"/>
      <c r="E1949" s="32"/>
      <c r="F1949" s="32"/>
      <c r="G1949" s="39"/>
      <c r="H1949" s="32"/>
      <c r="I1949" s="32"/>
      <c r="J1949" s="32"/>
      <c r="K1949" s="33"/>
      <c r="L1949" s="32"/>
      <c r="M1949" s="32"/>
      <c r="N1949" s="32"/>
      <c r="O1949" s="32"/>
      <c r="P1949" s="32"/>
      <c r="Q1949" s="34"/>
      <c r="R1949" s="35"/>
      <c r="S1949" s="35"/>
      <c r="T1949" s="36"/>
      <c r="U1949" s="36"/>
      <c r="V1949" s="36"/>
      <c r="W1949" s="36"/>
      <c r="X1949" s="36"/>
      <c r="Y1949" s="36"/>
    </row>
    <row r="1950">
      <c r="A1950" s="32"/>
      <c r="B1950" s="32"/>
      <c r="C1950" s="32"/>
      <c r="D1950" s="32"/>
      <c r="E1950" s="32"/>
      <c r="F1950" s="32"/>
      <c r="G1950" s="39"/>
      <c r="H1950" s="32"/>
      <c r="I1950" s="32"/>
      <c r="J1950" s="32"/>
      <c r="K1950" s="33"/>
      <c r="L1950" s="32"/>
      <c r="M1950" s="32"/>
      <c r="N1950" s="32"/>
      <c r="O1950" s="32"/>
      <c r="P1950" s="32"/>
      <c r="Q1950" s="34"/>
      <c r="R1950" s="35"/>
      <c r="S1950" s="35"/>
      <c r="T1950" s="36"/>
      <c r="U1950" s="36"/>
      <c r="V1950" s="36"/>
      <c r="W1950" s="36"/>
      <c r="X1950" s="36"/>
      <c r="Y1950" s="36"/>
    </row>
    <row r="1951">
      <c r="A1951" s="32"/>
      <c r="B1951" s="32"/>
      <c r="C1951" s="32"/>
      <c r="D1951" s="32"/>
      <c r="E1951" s="32"/>
      <c r="F1951" s="32"/>
      <c r="G1951" s="39"/>
      <c r="H1951" s="32"/>
      <c r="I1951" s="32"/>
      <c r="J1951" s="32"/>
      <c r="K1951" s="33"/>
      <c r="L1951" s="32"/>
      <c r="M1951" s="32"/>
      <c r="N1951" s="32"/>
      <c r="O1951" s="32"/>
      <c r="P1951" s="32"/>
      <c r="Q1951" s="34"/>
      <c r="R1951" s="35"/>
      <c r="S1951" s="35"/>
      <c r="T1951" s="36"/>
      <c r="U1951" s="36"/>
      <c r="V1951" s="36"/>
      <c r="W1951" s="36"/>
      <c r="X1951" s="36"/>
      <c r="Y1951" s="36"/>
    </row>
    <row r="1952">
      <c r="A1952" s="32"/>
      <c r="B1952" s="32"/>
      <c r="C1952" s="32"/>
      <c r="D1952" s="32"/>
      <c r="E1952" s="32"/>
      <c r="F1952" s="32"/>
      <c r="G1952" s="39"/>
      <c r="H1952" s="32"/>
      <c r="I1952" s="32"/>
      <c r="J1952" s="32"/>
      <c r="K1952" s="33"/>
      <c r="L1952" s="32"/>
      <c r="M1952" s="32"/>
      <c r="N1952" s="32"/>
      <c r="O1952" s="32"/>
      <c r="P1952" s="32"/>
      <c r="Q1952" s="34"/>
      <c r="R1952" s="35"/>
      <c r="S1952" s="35"/>
      <c r="T1952" s="36"/>
      <c r="U1952" s="36"/>
      <c r="V1952" s="36"/>
      <c r="W1952" s="36"/>
      <c r="X1952" s="36"/>
      <c r="Y1952" s="36"/>
    </row>
    <row r="1953">
      <c r="A1953" s="32"/>
      <c r="B1953" s="32"/>
      <c r="C1953" s="32"/>
      <c r="D1953" s="32"/>
      <c r="E1953" s="32"/>
      <c r="F1953" s="32"/>
      <c r="G1953" s="39"/>
      <c r="H1953" s="32"/>
      <c r="I1953" s="32"/>
      <c r="J1953" s="32"/>
      <c r="K1953" s="33"/>
      <c r="L1953" s="32"/>
      <c r="M1953" s="32"/>
      <c r="N1953" s="32"/>
      <c r="O1953" s="32"/>
      <c r="P1953" s="32"/>
      <c r="Q1953" s="34"/>
      <c r="R1953" s="35"/>
      <c r="S1953" s="35"/>
      <c r="T1953" s="36"/>
      <c r="U1953" s="36"/>
      <c r="V1953" s="36"/>
      <c r="W1953" s="36"/>
      <c r="X1953" s="36"/>
      <c r="Y1953" s="36"/>
    </row>
    <row r="1954">
      <c r="A1954" s="32"/>
      <c r="B1954" s="32"/>
      <c r="C1954" s="32"/>
      <c r="D1954" s="32"/>
      <c r="E1954" s="32"/>
      <c r="F1954" s="32"/>
      <c r="G1954" s="39"/>
      <c r="H1954" s="32"/>
      <c r="I1954" s="32"/>
      <c r="J1954" s="32"/>
      <c r="K1954" s="33"/>
      <c r="L1954" s="32"/>
      <c r="M1954" s="32"/>
      <c r="N1954" s="32"/>
      <c r="O1954" s="32"/>
      <c r="P1954" s="32"/>
      <c r="Q1954" s="34"/>
      <c r="R1954" s="35"/>
      <c r="S1954" s="35"/>
      <c r="T1954" s="36"/>
      <c r="U1954" s="36"/>
      <c r="V1954" s="36"/>
      <c r="W1954" s="36"/>
      <c r="X1954" s="36"/>
      <c r="Y1954" s="36"/>
    </row>
    <row r="1955">
      <c r="A1955" s="32"/>
      <c r="B1955" s="32"/>
      <c r="C1955" s="32"/>
      <c r="D1955" s="32"/>
      <c r="E1955" s="32"/>
      <c r="F1955" s="32"/>
      <c r="G1955" s="39"/>
      <c r="H1955" s="32"/>
      <c r="I1955" s="32"/>
      <c r="J1955" s="32"/>
      <c r="K1955" s="33"/>
      <c r="L1955" s="32"/>
      <c r="M1955" s="32"/>
      <c r="N1955" s="32"/>
      <c r="O1955" s="32"/>
      <c r="P1955" s="32"/>
      <c r="Q1955" s="34"/>
      <c r="R1955" s="35"/>
      <c r="S1955" s="35"/>
      <c r="T1955" s="36"/>
      <c r="U1955" s="36"/>
      <c r="V1955" s="36"/>
      <c r="W1955" s="36"/>
      <c r="X1955" s="36"/>
      <c r="Y1955" s="36"/>
    </row>
    <row r="1956">
      <c r="A1956" s="32"/>
      <c r="B1956" s="32"/>
      <c r="C1956" s="32"/>
      <c r="D1956" s="32"/>
      <c r="E1956" s="32"/>
      <c r="F1956" s="32"/>
      <c r="G1956" s="39"/>
      <c r="H1956" s="32"/>
      <c r="I1956" s="32"/>
      <c r="J1956" s="32"/>
      <c r="K1956" s="33"/>
      <c r="L1956" s="32"/>
      <c r="M1956" s="32"/>
      <c r="N1956" s="32"/>
      <c r="O1956" s="32"/>
      <c r="P1956" s="32"/>
      <c r="Q1956" s="34"/>
      <c r="R1956" s="35"/>
      <c r="S1956" s="35"/>
      <c r="T1956" s="36"/>
      <c r="U1956" s="36"/>
      <c r="V1956" s="36"/>
      <c r="W1956" s="36"/>
      <c r="X1956" s="36"/>
      <c r="Y1956" s="36"/>
    </row>
    <row r="1957">
      <c r="A1957" s="32"/>
      <c r="B1957" s="32"/>
      <c r="C1957" s="32"/>
      <c r="D1957" s="32"/>
      <c r="E1957" s="32"/>
      <c r="F1957" s="32"/>
      <c r="G1957" s="39"/>
      <c r="H1957" s="32"/>
      <c r="I1957" s="32"/>
      <c r="J1957" s="32"/>
      <c r="K1957" s="33"/>
      <c r="L1957" s="32"/>
      <c r="M1957" s="32"/>
      <c r="N1957" s="32"/>
      <c r="O1957" s="32"/>
      <c r="P1957" s="32"/>
      <c r="Q1957" s="34"/>
      <c r="R1957" s="35"/>
      <c r="S1957" s="35"/>
      <c r="T1957" s="36"/>
      <c r="U1957" s="36"/>
      <c r="V1957" s="36"/>
      <c r="W1957" s="36"/>
      <c r="X1957" s="36"/>
      <c r="Y1957" s="36"/>
    </row>
    <row r="1958">
      <c r="A1958" s="32"/>
      <c r="B1958" s="32"/>
      <c r="C1958" s="32"/>
      <c r="D1958" s="32"/>
      <c r="E1958" s="32"/>
      <c r="F1958" s="32"/>
      <c r="G1958" s="39"/>
      <c r="H1958" s="32"/>
      <c r="I1958" s="32"/>
      <c r="J1958" s="32"/>
      <c r="K1958" s="33"/>
      <c r="L1958" s="32"/>
      <c r="M1958" s="32"/>
      <c r="N1958" s="32"/>
      <c r="O1958" s="32"/>
      <c r="P1958" s="32"/>
      <c r="Q1958" s="34"/>
      <c r="R1958" s="35"/>
      <c r="S1958" s="35"/>
      <c r="T1958" s="36"/>
      <c r="U1958" s="36"/>
      <c r="V1958" s="36"/>
      <c r="W1958" s="36"/>
      <c r="X1958" s="36"/>
      <c r="Y1958" s="36"/>
    </row>
    <row r="1959">
      <c r="A1959" s="32"/>
      <c r="B1959" s="32"/>
      <c r="C1959" s="32"/>
      <c r="D1959" s="32"/>
      <c r="E1959" s="32"/>
      <c r="F1959" s="32"/>
      <c r="G1959" s="39"/>
      <c r="H1959" s="32"/>
      <c r="I1959" s="32"/>
      <c r="J1959" s="32"/>
      <c r="K1959" s="33"/>
      <c r="L1959" s="32"/>
      <c r="M1959" s="32"/>
      <c r="N1959" s="32"/>
      <c r="O1959" s="32"/>
      <c r="P1959" s="32"/>
      <c r="Q1959" s="34"/>
      <c r="R1959" s="35"/>
      <c r="S1959" s="35"/>
      <c r="T1959" s="36"/>
      <c r="U1959" s="36"/>
      <c r="V1959" s="36"/>
      <c r="W1959" s="36"/>
      <c r="X1959" s="36"/>
      <c r="Y1959" s="36"/>
    </row>
    <row r="1960">
      <c r="A1960" s="32"/>
      <c r="B1960" s="32"/>
      <c r="C1960" s="32"/>
      <c r="D1960" s="32"/>
      <c r="E1960" s="32"/>
      <c r="F1960" s="32"/>
      <c r="G1960" s="39"/>
      <c r="H1960" s="32"/>
      <c r="I1960" s="32"/>
      <c r="J1960" s="32"/>
      <c r="K1960" s="33"/>
      <c r="L1960" s="32"/>
      <c r="M1960" s="32"/>
      <c r="N1960" s="32"/>
      <c r="O1960" s="32"/>
      <c r="P1960" s="32"/>
      <c r="Q1960" s="34"/>
      <c r="R1960" s="35"/>
      <c r="S1960" s="35"/>
      <c r="T1960" s="36"/>
      <c r="U1960" s="36"/>
      <c r="V1960" s="36"/>
      <c r="W1960" s="36"/>
      <c r="X1960" s="36"/>
      <c r="Y1960" s="36"/>
    </row>
    <row r="1961">
      <c r="A1961" s="32"/>
      <c r="B1961" s="32"/>
      <c r="C1961" s="32"/>
      <c r="D1961" s="32"/>
      <c r="E1961" s="32"/>
      <c r="F1961" s="32"/>
      <c r="G1961" s="39"/>
      <c r="H1961" s="32"/>
      <c r="I1961" s="32"/>
      <c r="J1961" s="32"/>
      <c r="K1961" s="33"/>
      <c r="L1961" s="32"/>
      <c r="M1961" s="32"/>
      <c r="N1961" s="32"/>
      <c r="O1961" s="32"/>
      <c r="P1961" s="32"/>
      <c r="Q1961" s="34"/>
      <c r="R1961" s="35"/>
      <c r="S1961" s="35"/>
      <c r="T1961" s="36"/>
      <c r="U1961" s="36"/>
      <c r="V1961" s="36"/>
      <c r="W1961" s="36"/>
      <c r="X1961" s="36"/>
      <c r="Y1961" s="36"/>
    </row>
    <row r="1962">
      <c r="A1962" s="32"/>
      <c r="B1962" s="32"/>
      <c r="C1962" s="32"/>
      <c r="D1962" s="32"/>
      <c r="E1962" s="32"/>
      <c r="F1962" s="32"/>
      <c r="G1962" s="39"/>
      <c r="H1962" s="32"/>
      <c r="I1962" s="32"/>
      <c r="J1962" s="32"/>
      <c r="K1962" s="33"/>
      <c r="L1962" s="32"/>
      <c r="M1962" s="32"/>
      <c r="N1962" s="32"/>
      <c r="O1962" s="32"/>
      <c r="P1962" s="32"/>
      <c r="Q1962" s="34"/>
      <c r="R1962" s="35"/>
      <c r="S1962" s="35"/>
      <c r="T1962" s="36"/>
      <c r="U1962" s="36"/>
      <c r="V1962" s="36"/>
      <c r="W1962" s="36"/>
      <c r="X1962" s="36"/>
      <c r="Y1962" s="36"/>
    </row>
    <row r="1963">
      <c r="A1963" s="32"/>
      <c r="B1963" s="32"/>
      <c r="C1963" s="32"/>
      <c r="D1963" s="32"/>
      <c r="E1963" s="32"/>
      <c r="F1963" s="32"/>
      <c r="G1963" s="39"/>
      <c r="H1963" s="32"/>
      <c r="I1963" s="32"/>
      <c r="J1963" s="32"/>
      <c r="K1963" s="33"/>
      <c r="L1963" s="32"/>
      <c r="M1963" s="32"/>
      <c r="N1963" s="32"/>
      <c r="O1963" s="32"/>
      <c r="P1963" s="32"/>
      <c r="Q1963" s="34"/>
      <c r="R1963" s="35"/>
      <c r="S1963" s="35"/>
      <c r="T1963" s="36"/>
      <c r="U1963" s="36"/>
      <c r="V1963" s="36"/>
      <c r="W1963" s="36"/>
      <c r="X1963" s="36"/>
      <c r="Y1963" s="36"/>
    </row>
    <row r="1964">
      <c r="A1964" s="32"/>
      <c r="B1964" s="32"/>
      <c r="C1964" s="32"/>
      <c r="D1964" s="32"/>
      <c r="E1964" s="32"/>
      <c r="F1964" s="32"/>
      <c r="G1964" s="39"/>
      <c r="H1964" s="32"/>
      <c r="I1964" s="32"/>
      <c r="J1964" s="32"/>
      <c r="K1964" s="33"/>
      <c r="L1964" s="32"/>
      <c r="M1964" s="32"/>
      <c r="N1964" s="32"/>
      <c r="O1964" s="32"/>
      <c r="P1964" s="32"/>
      <c r="Q1964" s="34"/>
      <c r="R1964" s="35"/>
      <c r="S1964" s="35"/>
      <c r="T1964" s="36"/>
      <c r="U1964" s="36"/>
      <c r="V1964" s="36"/>
      <c r="W1964" s="36"/>
      <c r="X1964" s="36"/>
      <c r="Y1964" s="36"/>
    </row>
    <row r="1965">
      <c r="A1965" s="32"/>
      <c r="B1965" s="32"/>
      <c r="C1965" s="32"/>
      <c r="D1965" s="32"/>
      <c r="E1965" s="32"/>
      <c r="F1965" s="32"/>
      <c r="G1965" s="39"/>
      <c r="H1965" s="32"/>
      <c r="I1965" s="32"/>
      <c r="J1965" s="32"/>
      <c r="K1965" s="33"/>
      <c r="L1965" s="32"/>
      <c r="M1965" s="32"/>
      <c r="N1965" s="32"/>
      <c r="O1965" s="32"/>
      <c r="P1965" s="32"/>
      <c r="Q1965" s="34"/>
      <c r="R1965" s="35"/>
      <c r="S1965" s="35"/>
      <c r="T1965" s="36"/>
      <c r="U1965" s="36"/>
      <c r="V1965" s="36"/>
      <c r="W1965" s="36"/>
      <c r="X1965" s="36"/>
      <c r="Y1965" s="36"/>
    </row>
    <row r="1966">
      <c r="A1966" s="32"/>
      <c r="B1966" s="32"/>
      <c r="C1966" s="32"/>
      <c r="D1966" s="32"/>
      <c r="E1966" s="32"/>
      <c r="F1966" s="32"/>
      <c r="G1966" s="39"/>
      <c r="H1966" s="32"/>
      <c r="I1966" s="32"/>
      <c r="J1966" s="32"/>
      <c r="K1966" s="33"/>
      <c r="L1966" s="32"/>
      <c r="M1966" s="32"/>
      <c r="N1966" s="32"/>
      <c r="O1966" s="32"/>
      <c r="P1966" s="32"/>
      <c r="Q1966" s="34"/>
      <c r="R1966" s="35"/>
      <c r="S1966" s="35"/>
      <c r="T1966" s="36"/>
      <c r="U1966" s="36"/>
      <c r="V1966" s="36"/>
      <c r="W1966" s="36"/>
      <c r="X1966" s="36"/>
      <c r="Y1966" s="36"/>
    </row>
    <row r="1967">
      <c r="A1967" s="32"/>
      <c r="B1967" s="32"/>
      <c r="C1967" s="32"/>
      <c r="D1967" s="32"/>
      <c r="E1967" s="32"/>
      <c r="F1967" s="32"/>
      <c r="G1967" s="39"/>
      <c r="H1967" s="32"/>
      <c r="I1967" s="32"/>
      <c r="J1967" s="32"/>
      <c r="K1967" s="33"/>
      <c r="L1967" s="32"/>
      <c r="M1967" s="32"/>
      <c r="N1967" s="32"/>
      <c r="O1967" s="32"/>
      <c r="P1967" s="32"/>
      <c r="Q1967" s="34"/>
      <c r="R1967" s="35"/>
      <c r="S1967" s="35"/>
      <c r="T1967" s="36"/>
      <c r="U1967" s="36"/>
      <c r="V1967" s="36"/>
      <c r="W1967" s="36"/>
      <c r="X1967" s="36"/>
      <c r="Y1967" s="36"/>
    </row>
    <row r="1968">
      <c r="A1968" s="32"/>
      <c r="B1968" s="32"/>
      <c r="C1968" s="32"/>
      <c r="D1968" s="32"/>
      <c r="E1968" s="32"/>
      <c r="F1968" s="32"/>
      <c r="G1968" s="39"/>
      <c r="H1968" s="32"/>
      <c r="I1968" s="32"/>
      <c r="J1968" s="32"/>
      <c r="K1968" s="33"/>
      <c r="L1968" s="32"/>
      <c r="M1968" s="32"/>
      <c r="N1968" s="32"/>
      <c r="O1968" s="32"/>
      <c r="P1968" s="32"/>
      <c r="Q1968" s="34"/>
      <c r="R1968" s="35"/>
      <c r="S1968" s="35"/>
      <c r="T1968" s="36"/>
      <c r="U1968" s="36"/>
      <c r="V1968" s="36"/>
      <c r="W1968" s="36"/>
      <c r="X1968" s="36"/>
      <c r="Y1968" s="36"/>
    </row>
    <row r="1969">
      <c r="A1969" s="32"/>
      <c r="B1969" s="32"/>
      <c r="C1969" s="32"/>
      <c r="D1969" s="32"/>
      <c r="E1969" s="32"/>
      <c r="F1969" s="32"/>
      <c r="G1969" s="39"/>
      <c r="H1969" s="32"/>
      <c r="I1969" s="32"/>
      <c r="J1969" s="32"/>
      <c r="K1969" s="33"/>
      <c r="L1969" s="32"/>
      <c r="M1969" s="32"/>
      <c r="N1969" s="32"/>
      <c r="O1969" s="32"/>
      <c r="P1969" s="32"/>
      <c r="Q1969" s="34"/>
      <c r="R1969" s="35"/>
      <c r="S1969" s="35"/>
      <c r="T1969" s="36"/>
      <c r="U1969" s="36"/>
      <c r="V1969" s="36"/>
      <c r="W1969" s="36"/>
      <c r="X1969" s="36"/>
      <c r="Y1969" s="36"/>
    </row>
    <row r="1970">
      <c r="A1970" s="32"/>
      <c r="B1970" s="32"/>
      <c r="C1970" s="32"/>
      <c r="D1970" s="32"/>
      <c r="E1970" s="32"/>
      <c r="F1970" s="32"/>
      <c r="G1970" s="39"/>
      <c r="H1970" s="32"/>
      <c r="I1970" s="32"/>
      <c r="J1970" s="32"/>
      <c r="K1970" s="33"/>
      <c r="L1970" s="32"/>
      <c r="M1970" s="32"/>
      <c r="N1970" s="32"/>
      <c r="O1970" s="32"/>
      <c r="P1970" s="32"/>
      <c r="Q1970" s="34"/>
      <c r="R1970" s="35"/>
      <c r="S1970" s="35"/>
      <c r="T1970" s="36"/>
      <c r="U1970" s="36"/>
      <c r="V1970" s="36"/>
      <c r="W1970" s="36"/>
      <c r="X1970" s="36"/>
      <c r="Y1970" s="36"/>
    </row>
    <row r="1971">
      <c r="A1971" s="32"/>
      <c r="B1971" s="32"/>
      <c r="C1971" s="32"/>
      <c r="D1971" s="32"/>
      <c r="E1971" s="32"/>
      <c r="F1971" s="32"/>
      <c r="G1971" s="39"/>
      <c r="H1971" s="32"/>
      <c r="I1971" s="32"/>
      <c r="J1971" s="32"/>
      <c r="K1971" s="33"/>
      <c r="L1971" s="32"/>
      <c r="M1971" s="32"/>
      <c r="N1971" s="32"/>
      <c r="O1971" s="32"/>
      <c r="P1971" s="32"/>
      <c r="Q1971" s="34"/>
      <c r="R1971" s="35"/>
      <c r="S1971" s="35"/>
      <c r="T1971" s="36"/>
      <c r="U1971" s="36"/>
      <c r="V1971" s="36"/>
      <c r="W1971" s="36"/>
      <c r="X1971" s="36"/>
      <c r="Y1971" s="36"/>
    </row>
    <row r="1972">
      <c r="A1972" s="32"/>
      <c r="B1972" s="32"/>
      <c r="C1972" s="32"/>
      <c r="D1972" s="32"/>
      <c r="E1972" s="32"/>
      <c r="F1972" s="32"/>
      <c r="G1972" s="39"/>
      <c r="H1972" s="32"/>
      <c r="I1972" s="32"/>
      <c r="J1972" s="32"/>
      <c r="K1972" s="33"/>
      <c r="L1972" s="32"/>
      <c r="M1972" s="32"/>
      <c r="N1972" s="32"/>
      <c r="O1972" s="32"/>
      <c r="P1972" s="32"/>
      <c r="Q1972" s="34"/>
      <c r="R1972" s="35"/>
      <c r="S1972" s="35"/>
      <c r="T1972" s="36"/>
      <c r="U1972" s="36"/>
      <c r="V1972" s="36"/>
      <c r="W1972" s="36"/>
      <c r="X1972" s="36"/>
      <c r="Y1972" s="36"/>
    </row>
    <row r="1973">
      <c r="A1973" s="32"/>
      <c r="B1973" s="32"/>
      <c r="C1973" s="32"/>
      <c r="D1973" s="32"/>
      <c r="E1973" s="32"/>
      <c r="F1973" s="32"/>
      <c r="G1973" s="39"/>
      <c r="H1973" s="32"/>
      <c r="I1973" s="32"/>
      <c r="J1973" s="32"/>
      <c r="K1973" s="33"/>
      <c r="L1973" s="32"/>
      <c r="M1973" s="32"/>
      <c r="N1973" s="32"/>
      <c r="O1973" s="32"/>
      <c r="P1973" s="32"/>
      <c r="Q1973" s="34"/>
      <c r="R1973" s="35"/>
      <c r="S1973" s="35"/>
      <c r="T1973" s="36"/>
      <c r="U1973" s="36"/>
      <c r="V1973" s="36"/>
      <c r="W1973" s="36"/>
      <c r="X1973" s="36"/>
      <c r="Y1973" s="36"/>
    </row>
    <row r="1974">
      <c r="A1974" s="32"/>
      <c r="B1974" s="32"/>
      <c r="C1974" s="32"/>
      <c r="D1974" s="32"/>
      <c r="E1974" s="32"/>
      <c r="F1974" s="32"/>
      <c r="G1974" s="39"/>
      <c r="H1974" s="32"/>
      <c r="I1974" s="32"/>
      <c r="J1974" s="32"/>
      <c r="K1974" s="33"/>
      <c r="L1974" s="32"/>
      <c r="M1974" s="32"/>
      <c r="N1974" s="32"/>
      <c r="O1974" s="32"/>
      <c r="P1974" s="32"/>
      <c r="Q1974" s="34"/>
      <c r="R1974" s="35"/>
      <c r="S1974" s="35"/>
      <c r="T1974" s="36"/>
      <c r="U1974" s="36"/>
      <c r="V1974" s="36"/>
      <c r="W1974" s="36"/>
      <c r="X1974" s="36"/>
      <c r="Y1974" s="36"/>
    </row>
    <row r="1975">
      <c r="A1975" s="32"/>
      <c r="B1975" s="32"/>
      <c r="C1975" s="32"/>
      <c r="D1975" s="32"/>
      <c r="E1975" s="32"/>
      <c r="F1975" s="32"/>
      <c r="G1975" s="39"/>
      <c r="H1975" s="32"/>
      <c r="I1975" s="32"/>
      <c r="J1975" s="32"/>
      <c r="K1975" s="33"/>
      <c r="L1975" s="32"/>
      <c r="M1975" s="32"/>
      <c r="N1975" s="32"/>
      <c r="O1975" s="32"/>
      <c r="P1975" s="32"/>
      <c r="Q1975" s="34"/>
      <c r="R1975" s="35"/>
      <c r="S1975" s="35"/>
      <c r="T1975" s="36"/>
      <c r="U1975" s="36"/>
      <c r="V1975" s="36"/>
      <c r="W1975" s="36"/>
      <c r="X1975" s="36"/>
      <c r="Y1975" s="36"/>
    </row>
    <row r="1976">
      <c r="A1976" s="32"/>
      <c r="B1976" s="32"/>
      <c r="C1976" s="32"/>
      <c r="D1976" s="32"/>
      <c r="E1976" s="32"/>
      <c r="F1976" s="32"/>
      <c r="G1976" s="39"/>
      <c r="H1976" s="32"/>
      <c r="I1976" s="32"/>
      <c r="J1976" s="32"/>
      <c r="K1976" s="33"/>
      <c r="L1976" s="32"/>
      <c r="M1976" s="32"/>
      <c r="N1976" s="32"/>
      <c r="O1976" s="32"/>
      <c r="P1976" s="32"/>
      <c r="Q1976" s="34"/>
      <c r="R1976" s="35"/>
      <c r="S1976" s="35"/>
      <c r="T1976" s="36"/>
      <c r="U1976" s="36"/>
      <c r="V1976" s="36"/>
      <c r="W1976" s="36"/>
      <c r="X1976" s="36"/>
      <c r="Y1976" s="36"/>
    </row>
    <row r="1977">
      <c r="A1977" s="32"/>
      <c r="B1977" s="32"/>
      <c r="C1977" s="32"/>
      <c r="D1977" s="32"/>
      <c r="E1977" s="32"/>
      <c r="F1977" s="32"/>
      <c r="G1977" s="39"/>
      <c r="H1977" s="32"/>
      <c r="I1977" s="32"/>
      <c r="J1977" s="32"/>
      <c r="K1977" s="33"/>
      <c r="L1977" s="32"/>
      <c r="M1977" s="32"/>
      <c r="N1977" s="32"/>
      <c r="O1977" s="32"/>
      <c r="P1977" s="32"/>
      <c r="Q1977" s="34"/>
      <c r="R1977" s="35"/>
      <c r="S1977" s="35"/>
      <c r="T1977" s="36"/>
      <c r="U1977" s="36"/>
      <c r="V1977" s="36"/>
      <c r="W1977" s="36"/>
      <c r="X1977" s="36"/>
      <c r="Y1977" s="36"/>
    </row>
    <row r="1978">
      <c r="A1978" s="32"/>
      <c r="B1978" s="32"/>
      <c r="C1978" s="32"/>
      <c r="D1978" s="32"/>
      <c r="E1978" s="32"/>
      <c r="F1978" s="32"/>
      <c r="G1978" s="39"/>
      <c r="H1978" s="32"/>
      <c r="I1978" s="32"/>
      <c r="J1978" s="32"/>
      <c r="K1978" s="33"/>
      <c r="L1978" s="32"/>
      <c r="M1978" s="32"/>
      <c r="N1978" s="32"/>
      <c r="O1978" s="32"/>
      <c r="P1978" s="32"/>
      <c r="Q1978" s="34"/>
      <c r="R1978" s="35"/>
      <c r="S1978" s="35"/>
      <c r="T1978" s="36"/>
      <c r="U1978" s="36"/>
      <c r="V1978" s="36"/>
      <c r="W1978" s="36"/>
      <c r="X1978" s="36"/>
      <c r="Y1978" s="36"/>
    </row>
    <row r="1979">
      <c r="A1979" s="32"/>
      <c r="B1979" s="32"/>
      <c r="C1979" s="32"/>
      <c r="D1979" s="32"/>
      <c r="E1979" s="32"/>
      <c r="F1979" s="32"/>
      <c r="G1979" s="39"/>
      <c r="H1979" s="32"/>
      <c r="I1979" s="32"/>
      <c r="J1979" s="32"/>
      <c r="K1979" s="33"/>
      <c r="L1979" s="32"/>
      <c r="M1979" s="32"/>
      <c r="N1979" s="32"/>
      <c r="O1979" s="32"/>
      <c r="P1979" s="32"/>
      <c r="Q1979" s="34"/>
      <c r="R1979" s="35"/>
      <c r="S1979" s="35"/>
      <c r="T1979" s="36"/>
      <c r="U1979" s="36"/>
      <c r="V1979" s="36"/>
      <c r="W1979" s="36"/>
      <c r="X1979" s="36"/>
      <c r="Y1979" s="36"/>
    </row>
    <row r="1980">
      <c r="A1980" s="32"/>
      <c r="B1980" s="32"/>
      <c r="C1980" s="32"/>
      <c r="D1980" s="32"/>
      <c r="E1980" s="32"/>
      <c r="F1980" s="32"/>
      <c r="G1980" s="39"/>
      <c r="H1980" s="32"/>
      <c r="I1980" s="32"/>
      <c r="J1980" s="32"/>
      <c r="K1980" s="33"/>
      <c r="L1980" s="32"/>
      <c r="M1980" s="32"/>
      <c r="N1980" s="32"/>
      <c r="O1980" s="32"/>
      <c r="P1980" s="32"/>
      <c r="Q1980" s="34"/>
      <c r="R1980" s="35"/>
      <c r="S1980" s="35"/>
      <c r="T1980" s="36"/>
      <c r="U1980" s="36"/>
      <c r="V1980" s="36"/>
      <c r="W1980" s="36"/>
      <c r="X1980" s="36"/>
      <c r="Y1980" s="36"/>
    </row>
    <row r="1981">
      <c r="A1981" s="32"/>
      <c r="B1981" s="32"/>
      <c r="C1981" s="32"/>
      <c r="D1981" s="32"/>
      <c r="E1981" s="32"/>
      <c r="F1981" s="32"/>
      <c r="G1981" s="39"/>
      <c r="H1981" s="32"/>
      <c r="I1981" s="32"/>
      <c r="J1981" s="32"/>
      <c r="K1981" s="33"/>
      <c r="L1981" s="32"/>
      <c r="M1981" s="32"/>
      <c r="N1981" s="32"/>
      <c r="O1981" s="32"/>
      <c r="P1981" s="32"/>
      <c r="Q1981" s="34"/>
      <c r="R1981" s="35"/>
      <c r="S1981" s="35"/>
      <c r="T1981" s="36"/>
      <c r="U1981" s="36"/>
      <c r="V1981" s="36"/>
      <c r="W1981" s="36"/>
      <c r="X1981" s="36"/>
      <c r="Y1981" s="36"/>
    </row>
    <row r="1982">
      <c r="A1982" s="32"/>
      <c r="B1982" s="32"/>
      <c r="C1982" s="32"/>
      <c r="D1982" s="32"/>
      <c r="E1982" s="32"/>
      <c r="F1982" s="32"/>
      <c r="G1982" s="39"/>
      <c r="H1982" s="32"/>
      <c r="I1982" s="32"/>
      <c r="J1982" s="32"/>
      <c r="K1982" s="33"/>
      <c r="L1982" s="32"/>
      <c r="M1982" s="32"/>
      <c r="N1982" s="32"/>
      <c r="O1982" s="32"/>
      <c r="P1982" s="32"/>
      <c r="Q1982" s="34"/>
      <c r="R1982" s="35"/>
      <c r="S1982" s="35"/>
      <c r="T1982" s="36"/>
      <c r="U1982" s="36"/>
      <c r="V1982" s="36"/>
      <c r="W1982" s="36"/>
      <c r="X1982" s="36"/>
      <c r="Y1982" s="36"/>
    </row>
    <row r="1983">
      <c r="A1983" s="32"/>
      <c r="B1983" s="32"/>
      <c r="C1983" s="32"/>
      <c r="D1983" s="32"/>
      <c r="E1983" s="32"/>
      <c r="F1983" s="32"/>
      <c r="G1983" s="39"/>
      <c r="H1983" s="32"/>
      <c r="I1983" s="32"/>
      <c r="J1983" s="32"/>
      <c r="K1983" s="33"/>
      <c r="L1983" s="32"/>
      <c r="M1983" s="32"/>
      <c r="N1983" s="32"/>
      <c r="O1983" s="32"/>
      <c r="P1983" s="32"/>
      <c r="Q1983" s="34"/>
      <c r="R1983" s="35"/>
      <c r="S1983" s="35"/>
      <c r="T1983" s="36"/>
      <c r="U1983" s="36"/>
      <c r="V1983" s="36"/>
      <c r="W1983" s="36"/>
      <c r="X1983" s="36"/>
      <c r="Y1983" s="36"/>
    </row>
    <row r="1984">
      <c r="A1984" s="32"/>
      <c r="B1984" s="32"/>
      <c r="C1984" s="32"/>
      <c r="D1984" s="32"/>
      <c r="E1984" s="32"/>
      <c r="F1984" s="32"/>
      <c r="G1984" s="39"/>
      <c r="H1984" s="32"/>
      <c r="I1984" s="32"/>
      <c r="J1984" s="32"/>
      <c r="K1984" s="33"/>
      <c r="L1984" s="32"/>
      <c r="M1984" s="32"/>
      <c r="N1984" s="32"/>
      <c r="O1984" s="32"/>
      <c r="P1984" s="32"/>
      <c r="Q1984" s="34"/>
      <c r="R1984" s="35"/>
      <c r="S1984" s="35"/>
      <c r="T1984" s="36"/>
      <c r="U1984" s="36"/>
      <c r="V1984" s="36"/>
      <c r="W1984" s="36"/>
      <c r="X1984" s="36"/>
      <c r="Y1984" s="36"/>
    </row>
    <row r="1985">
      <c r="A1985" s="32"/>
      <c r="B1985" s="32"/>
      <c r="C1985" s="32"/>
      <c r="D1985" s="32"/>
      <c r="E1985" s="32"/>
      <c r="F1985" s="32"/>
      <c r="G1985" s="39"/>
      <c r="H1985" s="32"/>
      <c r="I1985" s="32"/>
      <c r="J1985" s="32"/>
      <c r="K1985" s="33"/>
      <c r="L1985" s="32"/>
      <c r="M1985" s="32"/>
      <c r="N1985" s="32"/>
      <c r="O1985" s="32"/>
      <c r="P1985" s="32"/>
      <c r="Q1985" s="34"/>
      <c r="R1985" s="35"/>
      <c r="S1985" s="35"/>
      <c r="T1985" s="36"/>
      <c r="U1985" s="36"/>
      <c r="V1985" s="36"/>
      <c r="W1985" s="36"/>
      <c r="X1985" s="36"/>
      <c r="Y1985" s="36"/>
    </row>
    <row r="1986">
      <c r="A1986" s="32"/>
      <c r="B1986" s="32"/>
      <c r="C1986" s="32"/>
      <c r="D1986" s="32"/>
      <c r="E1986" s="32"/>
      <c r="F1986" s="32"/>
      <c r="G1986" s="39"/>
      <c r="H1986" s="32"/>
      <c r="I1986" s="32"/>
      <c r="J1986" s="32"/>
      <c r="K1986" s="33"/>
      <c r="L1986" s="32"/>
      <c r="M1986" s="32"/>
      <c r="N1986" s="32"/>
      <c r="O1986" s="32"/>
      <c r="P1986" s="32"/>
      <c r="Q1986" s="34"/>
      <c r="R1986" s="35"/>
      <c r="S1986" s="35"/>
      <c r="T1986" s="36"/>
      <c r="U1986" s="36"/>
      <c r="V1986" s="36"/>
      <c r="W1986" s="36"/>
      <c r="X1986" s="36"/>
      <c r="Y1986" s="36"/>
    </row>
    <row r="1987">
      <c r="A1987" s="32"/>
      <c r="B1987" s="32"/>
      <c r="C1987" s="32"/>
      <c r="D1987" s="32"/>
      <c r="E1987" s="32"/>
      <c r="F1987" s="32"/>
      <c r="G1987" s="39"/>
      <c r="H1987" s="32"/>
      <c r="I1987" s="32"/>
      <c r="J1987" s="32"/>
      <c r="K1987" s="33"/>
      <c r="L1987" s="32"/>
      <c r="M1987" s="32"/>
      <c r="N1987" s="32"/>
      <c r="O1987" s="32"/>
      <c r="P1987" s="32"/>
      <c r="Q1987" s="34"/>
      <c r="R1987" s="35"/>
      <c r="S1987" s="35"/>
      <c r="T1987" s="36"/>
      <c r="U1987" s="36"/>
      <c r="V1987" s="36"/>
      <c r="W1987" s="36"/>
      <c r="X1987" s="36"/>
      <c r="Y1987" s="36"/>
    </row>
    <row r="1988">
      <c r="A1988" s="32"/>
      <c r="B1988" s="32"/>
      <c r="C1988" s="32"/>
      <c r="D1988" s="32"/>
      <c r="E1988" s="32"/>
      <c r="F1988" s="32"/>
      <c r="G1988" s="39"/>
      <c r="H1988" s="32"/>
      <c r="I1988" s="32"/>
      <c r="J1988" s="32"/>
      <c r="K1988" s="33"/>
      <c r="L1988" s="32"/>
      <c r="M1988" s="32"/>
      <c r="N1988" s="32"/>
      <c r="O1988" s="32"/>
      <c r="P1988" s="32"/>
      <c r="Q1988" s="34"/>
      <c r="R1988" s="35"/>
      <c r="S1988" s="35"/>
      <c r="T1988" s="36"/>
      <c r="U1988" s="36"/>
      <c r="V1988" s="36"/>
      <c r="W1988" s="36"/>
      <c r="X1988" s="36"/>
      <c r="Y1988" s="36"/>
    </row>
    <row r="1989">
      <c r="A1989" s="32"/>
      <c r="B1989" s="32"/>
      <c r="C1989" s="32"/>
      <c r="D1989" s="32"/>
      <c r="E1989" s="32"/>
      <c r="F1989" s="32"/>
      <c r="G1989" s="39"/>
      <c r="H1989" s="32"/>
      <c r="I1989" s="32"/>
      <c r="J1989" s="32"/>
      <c r="K1989" s="33"/>
      <c r="L1989" s="32"/>
      <c r="M1989" s="32"/>
      <c r="N1989" s="32"/>
      <c r="O1989" s="32"/>
      <c r="P1989" s="32"/>
      <c r="Q1989" s="34"/>
      <c r="R1989" s="35"/>
      <c r="S1989" s="35"/>
      <c r="T1989" s="36"/>
      <c r="U1989" s="36"/>
      <c r="V1989" s="36"/>
      <c r="W1989" s="36"/>
      <c r="X1989" s="36"/>
      <c r="Y1989" s="36"/>
    </row>
    <row r="1990">
      <c r="A1990" s="32"/>
      <c r="B1990" s="32"/>
      <c r="C1990" s="32"/>
      <c r="D1990" s="32"/>
      <c r="E1990" s="32"/>
      <c r="F1990" s="32"/>
      <c r="G1990" s="39"/>
      <c r="H1990" s="32"/>
      <c r="I1990" s="32"/>
      <c r="J1990" s="32"/>
      <c r="K1990" s="33"/>
      <c r="L1990" s="32"/>
      <c r="M1990" s="32"/>
      <c r="N1990" s="32"/>
      <c r="O1990" s="32"/>
      <c r="P1990" s="32"/>
      <c r="Q1990" s="34"/>
      <c r="R1990" s="35"/>
      <c r="S1990" s="35"/>
      <c r="T1990" s="36"/>
      <c r="U1990" s="36"/>
      <c r="V1990" s="36"/>
      <c r="W1990" s="36"/>
      <c r="X1990" s="36"/>
      <c r="Y1990" s="36"/>
    </row>
    <row r="1991">
      <c r="A1991" s="32"/>
      <c r="B1991" s="32"/>
      <c r="C1991" s="32"/>
      <c r="D1991" s="32"/>
      <c r="E1991" s="32"/>
      <c r="F1991" s="32"/>
      <c r="G1991" s="39"/>
      <c r="H1991" s="32"/>
      <c r="I1991" s="32"/>
      <c r="J1991" s="32"/>
      <c r="K1991" s="33"/>
      <c r="L1991" s="32"/>
      <c r="M1991" s="32"/>
      <c r="N1991" s="32"/>
      <c r="O1991" s="32"/>
      <c r="P1991" s="32"/>
      <c r="Q1991" s="34"/>
      <c r="R1991" s="35"/>
      <c r="S1991" s="35"/>
      <c r="T1991" s="36"/>
      <c r="U1991" s="36"/>
      <c r="V1991" s="36"/>
      <c r="W1991" s="36"/>
      <c r="X1991" s="36"/>
      <c r="Y1991" s="36"/>
    </row>
    <row r="1992">
      <c r="A1992" s="32"/>
      <c r="B1992" s="32"/>
      <c r="C1992" s="32"/>
      <c r="D1992" s="32"/>
      <c r="E1992" s="32"/>
      <c r="F1992" s="32"/>
      <c r="G1992" s="39"/>
      <c r="H1992" s="32"/>
      <c r="I1992" s="32"/>
      <c r="J1992" s="32"/>
      <c r="K1992" s="33"/>
      <c r="L1992" s="32"/>
      <c r="M1992" s="32"/>
      <c r="N1992" s="32"/>
      <c r="O1992" s="32"/>
      <c r="P1992" s="32"/>
      <c r="Q1992" s="34"/>
      <c r="R1992" s="35"/>
      <c r="S1992" s="35"/>
      <c r="T1992" s="36"/>
      <c r="U1992" s="36"/>
      <c r="V1992" s="36"/>
      <c r="W1992" s="36"/>
      <c r="X1992" s="36"/>
      <c r="Y1992" s="36"/>
    </row>
    <row r="1993">
      <c r="A1993" s="32"/>
      <c r="B1993" s="32"/>
      <c r="C1993" s="32"/>
      <c r="D1993" s="32"/>
      <c r="E1993" s="32"/>
      <c r="F1993" s="32"/>
      <c r="G1993" s="39"/>
      <c r="H1993" s="32"/>
      <c r="I1993" s="32"/>
      <c r="J1993" s="32"/>
      <c r="K1993" s="33"/>
      <c r="L1993" s="32"/>
      <c r="M1993" s="32"/>
      <c r="N1993" s="32"/>
      <c r="O1993" s="32"/>
      <c r="P1993" s="32"/>
      <c r="Q1993" s="34"/>
      <c r="R1993" s="35"/>
      <c r="S1993" s="35"/>
      <c r="T1993" s="36"/>
      <c r="U1993" s="36"/>
      <c r="V1993" s="36"/>
      <c r="W1993" s="36"/>
      <c r="X1993" s="36"/>
      <c r="Y1993" s="36"/>
    </row>
    <row r="1994">
      <c r="A1994" s="32"/>
      <c r="B1994" s="32"/>
      <c r="C1994" s="32"/>
      <c r="D1994" s="32"/>
      <c r="E1994" s="32"/>
      <c r="F1994" s="32"/>
      <c r="G1994" s="39"/>
      <c r="H1994" s="32"/>
      <c r="I1994" s="32"/>
      <c r="J1994" s="32"/>
      <c r="K1994" s="33"/>
      <c r="L1994" s="32"/>
      <c r="M1994" s="32"/>
      <c r="N1994" s="32"/>
      <c r="O1994" s="32"/>
      <c r="P1994" s="32"/>
      <c r="Q1994" s="34"/>
      <c r="R1994" s="35"/>
      <c r="S1994" s="35"/>
      <c r="T1994" s="36"/>
      <c r="U1994" s="36"/>
      <c r="V1994" s="36"/>
      <c r="W1994" s="36"/>
      <c r="X1994" s="36"/>
      <c r="Y1994" s="36"/>
    </row>
    <row r="1995">
      <c r="A1995" s="32"/>
      <c r="B1995" s="32"/>
      <c r="C1995" s="32"/>
      <c r="D1995" s="32"/>
      <c r="E1995" s="32"/>
      <c r="F1995" s="32"/>
      <c r="G1995" s="39"/>
      <c r="H1995" s="32"/>
      <c r="I1995" s="32"/>
      <c r="J1995" s="32"/>
      <c r="K1995" s="33"/>
      <c r="L1995" s="32"/>
      <c r="M1995" s="32"/>
      <c r="N1995" s="32"/>
      <c r="O1995" s="32"/>
      <c r="P1995" s="32"/>
      <c r="Q1995" s="34"/>
      <c r="R1995" s="35"/>
      <c r="S1995" s="35"/>
      <c r="T1995" s="36"/>
      <c r="U1995" s="36"/>
      <c r="V1995" s="36"/>
      <c r="W1995" s="36"/>
      <c r="X1995" s="36"/>
      <c r="Y1995" s="36"/>
    </row>
    <row r="1996">
      <c r="A1996" s="32"/>
      <c r="B1996" s="32"/>
      <c r="C1996" s="32"/>
      <c r="D1996" s="32"/>
      <c r="E1996" s="32"/>
      <c r="F1996" s="32"/>
      <c r="G1996" s="39"/>
      <c r="H1996" s="32"/>
      <c r="I1996" s="32"/>
      <c r="J1996" s="32"/>
      <c r="K1996" s="33"/>
      <c r="L1996" s="32"/>
      <c r="M1996" s="32"/>
      <c r="N1996" s="32"/>
      <c r="O1996" s="32"/>
      <c r="P1996" s="32"/>
      <c r="Q1996" s="34"/>
      <c r="R1996" s="35"/>
      <c r="S1996" s="35"/>
      <c r="T1996" s="36"/>
      <c r="U1996" s="36"/>
      <c r="V1996" s="36"/>
      <c r="W1996" s="36"/>
      <c r="X1996" s="36"/>
      <c r="Y1996" s="36"/>
    </row>
    <row r="1997">
      <c r="A1997" s="32"/>
      <c r="B1997" s="32"/>
      <c r="C1997" s="32"/>
      <c r="D1997" s="32"/>
      <c r="E1997" s="32"/>
      <c r="F1997" s="32"/>
      <c r="G1997" s="39"/>
      <c r="H1997" s="32"/>
      <c r="I1997" s="32"/>
      <c r="J1997" s="32"/>
      <c r="K1997" s="33"/>
      <c r="L1997" s="32"/>
      <c r="M1997" s="32"/>
      <c r="N1997" s="32"/>
      <c r="O1997" s="32"/>
      <c r="P1997" s="32"/>
      <c r="Q1997" s="34"/>
      <c r="R1997" s="35"/>
      <c r="S1997" s="35"/>
      <c r="T1997" s="36"/>
      <c r="U1997" s="36"/>
      <c r="V1997" s="36"/>
      <c r="W1997" s="36"/>
      <c r="X1997" s="36"/>
      <c r="Y1997" s="36"/>
    </row>
    <row r="1998">
      <c r="A1998" s="32"/>
      <c r="B1998" s="32"/>
      <c r="C1998" s="32"/>
      <c r="D1998" s="32"/>
      <c r="E1998" s="32"/>
      <c r="F1998" s="32"/>
      <c r="G1998" s="39"/>
      <c r="H1998" s="32"/>
      <c r="I1998" s="32"/>
      <c r="J1998" s="32"/>
      <c r="K1998" s="33"/>
      <c r="L1998" s="32"/>
      <c r="M1998" s="32"/>
      <c r="N1998" s="32"/>
      <c r="O1998" s="32"/>
      <c r="P1998" s="32"/>
      <c r="Q1998" s="34"/>
      <c r="R1998" s="35"/>
      <c r="S1998" s="35"/>
      <c r="T1998" s="36"/>
      <c r="U1998" s="36"/>
      <c r="V1998" s="36"/>
      <c r="W1998" s="36"/>
      <c r="X1998" s="36"/>
      <c r="Y1998" s="36"/>
    </row>
    <row r="1999">
      <c r="A1999" s="32"/>
      <c r="B1999" s="32"/>
      <c r="C1999" s="32"/>
      <c r="D1999" s="32"/>
      <c r="E1999" s="32"/>
      <c r="F1999" s="32"/>
      <c r="G1999" s="39"/>
      <c r="H1999" s="32"/>
      <c r="I1999" s="32"/>
      <c r="J1999" s="32"/>
      <c r="K1999" s="33"/>
      <c r="L1999" s="32"/>
      <c r="M1999" s="32"/>
      <c r="N1999" s="32"/>
      <c r="O1999" s="32"/>
      <c r="P1999" s="32"/>
      <c r="Q1999" s="34"/>
      <c r="R1999" s="35"/>
      <c r="S1999" s="35"/>
      <c r="T1999" s="36"/>
      <c r="U1999" s="36"/>
      <c r="V1999" s="36"/>
      <c r="W1999" s="36"/>
      <c r="X1999" s="36"/>
      <c r="Y1999" s="36"/>
    </row>
    <row r="2000">
      <c r="A2000" s="32"/>
      <c r="B2000" s="32"/>
      <c r="C2000" s="32"/>
      <c r="D2000" s="32"/>
      <c r="E2000" s="32"/>
      <c r="F2000" s="32"/>
      <c r="G2000" s="39"/>
      <c r="H2000" s="32"/>
      <c r="I2000" s="32"/>
      <c r="J2000" s="32"/>
      <c r="K2000" s="33"/>
      <c r="L2000" s="32"/>
      <c r="M2000" s="32"/>
      <c r="N2000" s="32"/>
      <c r="O2000" s="32"/>
      <c r="P2000" s="32"/>
      <c r="Q2000" s="34"/>
      <c r="R2000" s="35"/>
      <c r="S2000" s="35"/>
      <c r="T2000" s="36"/>
      <c r="U2000" s="36"/>
      <c r="V2000" s="36"/>
      <c r="W2000" s="36"/>
      <c r="X2000" s="36"/>
      <c r="Y2000" s="36"/>
    </row>
    <row r="2001">
      <c r="A2001" s="32"/>
      <c r="B2001" s="32"/>
      <c r="C2001" s="32"/>
      <c r="D2001" s="32"/>
      <c r="E2001" s="32"/>
      <c r="F2001" s="32"/>
      <c r="G2001" s="39"/>
      <c r="H2001" s="32"/>
      <c r="I2001" s="32"/>
      <c r="J2001" s="32"/>
      <c r="K2001" s="33"/>
      <c r="L2001" s="32"/>
      <c r="M2001" s="32"/>
      <c r="N2001" s="32"/>
      <c r="O2001" s="32"/>
      <c r="P2001" s="32"/>
      <c r="Q2001" s="34"/>
      <c r="R2001" s="35"/>
      <c r="S2001" s="35"/>
      <c r="T2001" s="36"/>
      <c r="U2001" s="36"/>
      <c r="V2001" s="36"/>
      <c r="W2001" s="36"/>
      <c r="X2001" s="36"/>
      <c r="Y2001" s="36"/>
    </row>
    <row r="2002">
      <c r="A2002" s="32"/>
      <c r="B2002" s="32"/>
      <c r="C2002" s="32"/>
      <c r="D2002" s="32"/>
      <c r="E2002" s="32"/>
      <c r="F2002" s="32"/>
      <c r="G2002" s="39"/>
      <c r="H2002" s="32"/>
      <c r="I2002" s="32"/>
      <c r="J2002" s="32"/>
      <c r="K2002" s="33"/>
      <c r="L2002" s="32"/>
      <c r="M2002" s="32"/>
      <c r="N2002" s="32"/>
      <c r="O2002" s="32"/>
      <c r="P2002" s="32"/>
      <c r="Q2002" s="34"/>
      <c r="R2002" s="35"/>
      <c r="S2002" s="35"/>
      <c r="T2002" s="36"/>
      <c r="U2002" s="36"/>
      <c r="V2002" s="36"/>
      <c r="W2002" s="36"/>
      <c r="X2002" s="36"/>
      <c r="Y2002" s="36"/>
    </row>
    <row r="2003">
      <c r="A2003" s="32"/>
      <c r="B2003" s="32"/>
      <c r="C2003" s="32"/>
      <c r="D2003" s="32"/>
      <c r="E2003" s="32"/>
      <c r="F2003" s="32"/>
      <c r="G2003" s="39"/>
      <c r="H2003" s="32"/>
      <c r="I2003" s="32"/>
      <c r="J2003" s="32"/>
      <c r="K2003" s="33"/>
      <c r="L2003" s="32"/>
      <c r="M2003" s="32"/>
      <c r="N2003" s="32"/>
      <c r="O2003" s="32"/>
      <c r="P2003" s="32"/>
      <c r="Q2003" s="34"/>
      <c r="R2003" s="35"/>
      <c r="S2003" s="35"/>
      <c r="T2003" s="36"/>
      <c r="U2003" s="36"/>
      <c r="V2003" s="36"/>
      <c r="W2003" s="36"/>
      <c r="X2003" s="36"/>
      <c r="Y2003" s="36"/>
    </row>
    <row r="2004">
      <c r="A2004" s="32"/>
      <c r="B2004" s="32"/>
      <c r="C2004" s="32"/>
      <c r="D2004" s="32"/>
      <c r="E2004" s="32"/>
      <c r="F2004" s="32"/>
      <c r="G2004" s="39"/>
      <c r="H2004" s="32"/>
      <c r="I2004" s="32"/>
      <c r="J2004" s="32"/>
      <c r="K2004" s="33"/>
      <c r="L2004" s="32"/>
      <c r="M2004" s="32"/>
      <c r="N2004" s="32"/>
      <c r="O2004" s="32"/>
      <c r="P2004" s="32"/>
      <c r="Q2004" s="34"/>
      <c r="R2004" s="35"/>
      <c r="S2004" s="35"/>
      <c r="T2004" s="36"/>
      <c r="U2004" s="36"/>
      <c r="V2004" s="36"/>
      <c r="W2004" s="36"/>
      <c r="X2004" s="36"/>
      <c r="Y2004" s="36"/>
    </row>
    <row r="2005">
      <c r="A2005" s="32"/>
      <c r="B2005" s="32"/>
      <c r="C2005" s="32"/>
      <c r="D2005" s="32"/>
      <c r="E2005" s="32"/>
      <c r="F2005" s="32"/>
      <c r="G2005" s="39"/>
      <c r="H2005" s="32"/>
      <c r="I2005" s="32"/>
      <c r="J2005" s="32"/>
      <c r="K2005" s="33"/>
      <c r="L2005" s="32"/>
      <c r="M2005" s="32"/>
      <c r="N2005" s="32"/>
      <c r="O2005" s="32"/>
      <c r="P2005" s="32"/>
      <c r="Q2005" s="34"/>
      <c r="R2005" s="35"/>
      <c r="S2005" s="35"/>
      <c r="T2005" s="36"/>
      <c r="U2005" s="36"/>
      <c r="V2005" s="36"/>
      <c r="W2005" s="36"/>
      <c r="X2005" s="36"/>
      <c r="Y2005" s="36"/>
    </row>
    <row r="2006">
      <c r="A2006" s="32"/>
      <c r="B2006" s="32"/>
      <c r="C2006" s="32"/>
      <c r="D2006" s="32"/>
      <c r="E2006" s="32"/>
      <c r="F2006" s="32"/>
      <c r="G2006" s="39"/>
      <c r="H2006" s="32"/>
      <c r="I2006" s="32"/>
      <c r="J2006" s="32"/>
      <c r="K2006" s="33"/>
      <c r="L2006" s="32"/>
      <c r="M2006" s="32"/>
      <c r="N2006" s="32"/>
      <c r="O2006" s="32"/>
      <c r="P2006" s="32"/>
      <c r="Q2006" s="34"/>
      <c r="R2006" s="35"/>
      <c r="S2006" s="35"/>
      <c r="T2006" s="36"/>
      <c r="U2006" s="36"/>
      <c r="V2006" s="36"/>
      <c r="W2006" s="36"/>
      <c r="X2006" s="36"/>
      <c r="Y2006" s="36"/>
    </row>
    <row r="2007">
      <c r="A2007" s="32"/>
      <c r="B2007" s="32"/>
      <c r="C2007" s="32"/>
      <c r="D2007" s="32"/>
      <c r="E2007" s="32"/>
      <c r="F2007" s="32"/>
      <c r="G2007" s="39"/>
      <c r="H2007" s="32"/>
      <c r="I2007" s="32"/>
      <c r="J2007" s="32"/>
      <c r="K2007" s="33"/>
      <c r="L2007" s="32"/>
      <c r="M2007" s="32"/>
      <c r="N2007" s="32"/>
      <c r="O2007" s="32"/>
      <c r="P2007" s="32"/>
      <c r="Q2007" s="34"/>
      <c r="R2007" s="35"/>
      <c r="S2007" s="35"/>
      <c r="T2007" s="36"/>
      <c r="U2007" s="36"/>
      <c r="V2007" s="36"/>
      <c r="W2007" s="36"/>
      <c r="X2007" s="36"/>
      <c r="Y2007" s="36"/>
    </row>
    <row r="2008">
      <c r="A2008" s="32"/>
      <c r="B2008" s="32"/>
      <c r="C2008" s="32"/>
      <c r="D2008" s="32"/>
      <c r="E2008" s="32"/>
      <c r="F2008" s="32"/>
      <c r="G2008" s="39"/>
      <c r="H2008" s="32"/>
      <c r="I2008" s="32"/>
      <c r="J2008" s="32"/>
      <c r="K2008" s="33"/>
      <c r="L2008" s="32"/>
      <c r="M2008" s="32"/>
      <c r="N2008" s="32"/>
      <c r="O2008" s="32"/>
      <c r="P2008" s="32"/>
      <c r="Q2008" s="34"/>
      <c r="R2008" s="35"/>
      <c r="S2008" s="35"/>
      <c r="T2008" s="36"/>
      <c r="U2008" s="36"/>
      <c r="V2008" s="36"/>
      <c r="W2008" s="36"/>
      <c r="X2008" s="36"/>
      <c r="Y2008" s="36"/>
    </row>
    <row r="2009">
      <c r="A2009" s="32"/>
      <c r="B2009" s="32"/>
      <c r="C2009" s="32"/>
      <c r="D2009" s="32"/>
      <c r="E2009" s="32"/>
      <c r="F2009" s="32"/>
      <c r="G2009" s="39"/>
      <c r="H2009" s="32"/>
      <c r="I2009" s="32"/>
      <c r="J2009" s="32"/>
      <c r="K2009" s="33"/>
      <c r="L2009" s="32"/>
      <c r="M2009" s="32"/>
      <c r="N2009" s="32"/>
      <c r="O2009" s="32"/>
      <c r="P2009" s="32"/>
      <c r="Q2009" s="34"/>
      <c r="R2009" s="35"/>
      <c r="S2009" s="35"/>
      <c r="T2009" s="36"/>
      <c r="U2009" s="36"/>
      <c r="V2009" s="36"/>
      <c r="W2009" s="36"/>
      <c r="X2009" s="36"/>
      <c r="Y2009" s="36"/>
    </row>
    <row r="2010">
      <c r="A2010" s="32"/>
      <c r="B2010" s="32"/>
      <c r="C2010" s="32"/>
      <c r="D2010" s="32"/>
      <c r="E2010" s="32"/>
      <c r="F2010" s="32"/>
      <c r="G2010" s="39"/>
      <c r="H2010" s="32"/>
      <c r="I2010" s="32"/>
      <c r="J2010" s="32"/>
      <c r="K2010" s="33"/>
      <c r="L2010" s="32"/>
      <c r="M2010" s="32"/>
      <c r="N2010" s="32"/>
      <c r="O2010" s="32"/>
      <c r="P2010" s="32"/>
      <c r="Q2010" s="34"/>
      <c r="R2010" s="35"/>
      <c r="S2010" s="35"/>
      <c r="T2010" s="36"/>
      <c r="U2010" s="36"/>
      <c r="V2010" s="36"/>
      <c r="W2010" s="36"/>
      <c r="X2010" s="36"/>
      <c r="Y2010" s="36"/>
    </row>
    <row r="2011">
      <c r="A2011" s="32"/>
      <c r="B2011" s="32"/>
      <c r="C2011" s="32"/>
      <c r="D2011" s="32"/>
      <c r="E2011" s="32"/>
      <c r="F2011" s="32"/>
      <c r="G2011" s="39"/>
      <c r="H2011" s="32"/>
      <c r="I2011" s="32"/>
      <c r="J2011" s="32"/>
      <c r="K2011" s="33"/>
      <c r="L2011" s="32"/>
      <c r="M2011" s="32"/>
      <c r="N2011" s="32"/>
      <c r="O2011" s="32"/>
      <c r="P2011" s="32"/>
      <c r="Q2011" s="34"/>
      <c r="R2011" s="35"/>
      <c r="S2011" s="35"/>
      <c r="T2011" s="36"/>
      <c r="U2011" s="36"/>
      <c r="V2011" s="36"/>
      <c r="W2011" s="36"/>
      <c r="X2011" s="36"/>
      <c r="Y2011" s="36"/>
    </row>
    <row r="2012">
      <c r="A2012" s="32"/>
      <c r="B2012" s="32"/>
      <c r="C2012" s="32"/>
      <c r="D2012" s="32"/>
      <c r="E2012" s="32"/>
      <c r="F2012" s="32"/>
      <c r="G2012" s="39"/>
      <c r="H2012" s="32"/>
      <c r="I2012" s="32"/>
      <c r="J2012" s="32"/>
      <c r="K2012" s="33"/>
      <c r="L2012" s="32"/>
      <c r="M2012" s="32"/>
      <c r="N2012" s="32"/>
      <c r="O2012" s="32"/>
      <c r="P2012" s="32"/>
      <c r="Q2012" s="34"/>
      <c r="R2012" s="35"/>
      <c r="S2012" s="35"/>
      <c r="T2012" s="36"/>
      <c r="U2012" s="36"/>
      <c r="V2012" s="36"/>
      <c r="W2012" s="36"/>
      <c r="X2012" s="36"/>
      <c r="Y2012" s="36"/>
    </row>
    <row r="2013">
      <c r="A2013" s="32"/>
      <c r="B2013" s="32"/>
      <c r="C2013" s="32"/>
      <c r="D2013" s="32"/>
      <c r="E2013" s="32"/>
      <c r="F2013" s="32"/>
      <c r="G2013" s="39"/>
      <c r="H2013" s="32"/>
      <c r="I2013" s="32"/>
      <c r="J2013" s="32"/>
      <c r="K2013" s="33"/>
      <c r="L2013" s="32"/>
      <c r="M2013" s="32"/>
      <c r="N2013" s="32"/>
      <c r="O2013" s="32"/>
      <c r="P2013" s="32"/>
      <c r="Q2013" s="34"/>
      <c r="R2013" s="35"/>
      <c r="S2013" s="35"/>
      <c r="T2013" s="36"/>
      <c r="U2013" s="36"/>
      <c r="V2013" s="36"/>
      <c r="W2013" s="36"/>
      <c r="X2013" s="36"/>
      <c r="Y2013" s="36"/>
    </row>
    <row r="2014">
      <c r="A2014" s="32"/>
      <c r="B2014" s="32"/>
      <c r="C2014" s="32"/>
      <c r="D2014" s="32"/>
      <c r="E2014" s="32"/>
      <c r="F2014" s="32"/>
      <c r="G2014" s="39"/>
      <c r="H2014" s="32"/>
      <c r="I2014" s="32"/>
      <c r="J2014" s="32"/>
      <c r="K2014" s="33"/>
      <c r="L2014" s="32"/>
      <c r="M2014" s="32"/>
      <c r="N2014" s="32"/>
      <c r="O2014" s="32"/>
      <c r="P2014" s="32"/>
      <c r="Q2014" s="34"/>
      <c r="R2014" s="35"/>
      <c r="S2014" s="35"/>
      <c r="T2014" s="36"/>
      <c r="U2014" s="36"/>
      <c r="V2014" s="36"/>
      <c r="W2014" s="36"/>
      <c r="X2014" s="36"/>
      <c r="Y2014" s="36"/>
    </row>
    <row r="2015">
      <c r="A2015" s="32"/>
      <c r="B2015" s="32"/>
      <c r="C2015" s="32"/>
      <c r="D2015" s="32"/>
      <c r="E2015" s="32"/>
      <c r="F2015" s="32"/>
      <c r="G2015" s="39"/>
      <c r="H2015" s="32"/>
      <c r="I2015" s="32"/>
      <c r="J2015" s="32"/>
      <c r="K2015" s="33"/>
      <c r="L2015" s="32"/>
      <c r="M2015" s="32"/>
      <c r="N2015" s="32"/>
      <c r="O2015" s="32"/>
      <c r="P2015" s="32"/>
      <c r="Q2015" s="34"/>
      <c r="R2015" s="35"/>
      <c r="S2015" s="35"/>
      <c r="T2015" s="36"/>
      <c r="U2015" s="36"/>
      <c r="V2015" s="36"/>
      <c r="W2015" s="36"/>
      <c r="X2015" s="36"/>
      <c r="Y2015" s="36"/>
    </row>
    <row r="2016">
      <c r="A2016" s="32"/>
      <c r="B2016" s="32"/>
      <c r="C2016" s="32"/>
      <c r="D2016" s="32"/>
      <c r="E2016" s="32"/>
      <c r="F2016" s="32"/>
      <c r="G2016" s="39"/>
      <c r="H2016" s="32"/>
      <c r="I2016" s="32"/>
      <c r="J2016" s="32"/>
      <c r="K2016" s="33"/>
      <c r="L2016" s="32"/>
      <c r="M2016" s="32"/>
      <c r="N2016" s="32"/>
      <c r="O2016" s="32"/>
      <c r="P2016" s="32"/>
      <c r="Q2016" s="34"/>
      <c r="R2016" s="35"/>
      <c r="S2016" s="35"/>
      <c r="T2016" s="36"/>
      <c r="U2016" s="36"/>
      <c r="V2016" s="36"/>
      <c r="W2016" s="36"/>
      <c r="X2016" s="36"/>
      <c r="Y2016" s="36"/>
    </row>
    <row r="2017">
      <c r="A2017" s="32"/>
      <c r="B2017" s="32"/>
      <c r="C2017" s="32"/>
      <c r="D2017" s="32"/>
      <c r="E2017" s="32"/>
      <c r="F2017" s="32"/>
      <c r="G2017" s="39"/>
      <c r="H2017" s="32"/>
      <c r="I2017" s="32"/>
      <c r="J2017" s="32"/>
      <c r="K2017" s="33"/>
      <c r="L2017" s="32"/>
      <c r="M2017" s="32"/>
      <c r="N2017" s="32"/>
      <c r="O2017" s="32"/>
      <c r="P2017" s="32"/>
      <c r="Q2017" s="34"/>
      <c r="R2017" s="35"/>
      <c r="S2017" s="35"/>
      <c r="T2017" s="36"/>
      <c r="U2017" s="36"/>
      <c r="V2017" s="36"/>
      <c r="W2017" s="36"/>
      <c r="X2017" s="36"/>
      <c r="Y2017" s="36"/>
    </row>
    <row r="2018">
      <c r="A2018" s="32"/>
      <c r="B2018" s="32"/>
      <c r="C2018" s="32"/>
      <c r="D2018" s="32"/>
      <c r="E2018" s="32"/>
      <c r="F2018" s="32"/>
      <c r="G2018" s="39"/>
      <c r="H2018" s="32"/>
      <c r="I2018" s="32"/>
      <c r="J2018" s="32"/>
      <c r="K2018" s="33"/>
      <c r="L2018" s="32"/>
      <c r="M2018" s="32"/>
      <c r="N2018" s="32"/>
      <c r="O2018" s="32"/>
      <c r="P2018" s="32"/>
      <c r="Q2018" s="34"/>
      <c r="R2018" s="35"/>
      <c r="S2018" s="35"/>
      <c r="T2018" s="36"/>
      <c r="U2018" s="36"/>
      <c r="V2018" s="36"/>
      <c r="W2018" s="36"/>
      <c r="X2018" s="36"/>
      <c r="Y2018" s="36"/>
    </row>
    <row r="2019">
      <c r="A2019" s="32"/>
      <c r="B2019" s="32"/>
      <c r="C2019" s="32"/>
      <c r="D2019" s="32"/>
      <c r="E2019" s="32"/>
      <c r="F2019" s="32"/>
      <c r="G2019" s="39"/>
      <c r="H2019" s="32"/>
      <c r="I2019" s="32"/>
      <c r="J2019" s="32"/>
      <c r="K2019" s="33"/>
      <c r="L2019" s="32"/>
      <c r="M2019" s="32"/>
      <c r="N2019" s="32"/>
      <c r="O2019" s="32"/>
      <c r="P2019" s="32"/>
      <c r="Q2019" s="34"/>
      <c r="R2019" s="35"/>
      <c r="S2019" s="35"/>
      <c r="T2019" s="36"/>
      <c r="U2019" s="36"/>
      <c r="V2019" s="36"/>
      <c r="W2019" s="36"/>
      <c r="X2019" s="36"/>
      <c r="Y2019" s="36"/>
    </row>
    <row r="2020">
      <c r="A2020" s="32"/>
      <c r="B2020" s="32"/>
      <c r="C2020" s="32"/>
      <c r="D2020" s="32"/>
      <c r="E2020" s="32"/>
      <c r="F2020" s="32"/>
      <c r="G2020" s="39"/>
      <c r="H2020" s="32"/>
      <c r="I2020" s="32"/>
      <c r="J2020" s="32"/>
      <c r="K2020" s="33"/>
      <c r="L2020" s="32"/>
      <c r="M2020" s="32"/>
      <c r="N2020" s="32"/>
      <c r="O2020" s="32"/>
      <c r="P2020" s="32"/>
      <c r="Q2020" s="34"/>
      <c r="R2020" s="35"/>
      <c r="S2020" s="35"/>
      <c r="T2020" s="36"/>
      <c r="U2020" s="36"/>
      <c r="V2020" s="36"/>
      <c r="W2020" s="36"/>
      <c r="X2020" s="36"/>
      <c r="Y2020" s="36"/>
    </row>
    <row r="2021">
      <c r="A2021" s="32"/>
      <c r="B2021" s="32"/>
      <c r="C2021" s="32"/>
      <c r="D2021" s="32"/>
      <c r="E2021" s="32"/>
      <c r="F2021" s="32"/>
      <c r="G2021" s="39"/>
      <c r="H2021" s="32"/>
      <c r="I2021" s="32"/>
      <c r="J2021" s="32"/>
      <c r="K2021" s="33"/>
      <c r="L2021" s="32"/>
      <c r="M2021" s="32"/>
      <c r="N2021" s="32"/>
      <c r="O2021" s="32"/>
      <c r="P2021" s="32"/>
      <c r="Q2021" s="34"/>
      <c r="R2021" s="35"/>
      <c r="S2021" s="35"/>
      <c r="T2021" s="36"/>
      <c r="U2021" s="36"/>
      <c r="V2021" s="36"/>
      <c r="W2021" s="36"/>
      <c r="X2021" s="36"/>
      <c r="Y2021" s="36"/>
    </row>
    <row r="2022">
      <c r="A2022" s="32"/>
      <c r="B2022" s="32"/>
      <c r="C2022" s="32"/>
      <c r="D2022" s="32"/>
      <c r="E2022" s="32"/>
      <c r="F2022" s="32"/>
      <c r="G2022" s="39"/>
      <c r="H2022" s="32"/>
      <c r="I2022" s="32"/>
      <c r="J2022" s="32"/>
      <c r="K2022" s="33"/>
      <c r="L2022" s="32"/>
      <c r="M2022" s="32"/>
      <c r="N2022" s="32"/>
      <c r="O2022" s="32"/>
      <c r="P2022" s="32"/>
      <c r="Q2022" s="34"/>
      <c r="R2022" s="35"/>
      <c r="S2022" s="35"/>
      <c r="T2022" s="36"/>
      <c r="U2022" s="36"/>
      <c r="V2022" s="36"/>
      <c r="W2022" s="36"/>
      <c r="X2022" s="36"/>
      <c r="Y2022" s="36"/>
    </row>
    <row r="2023">
      <c r="A2023" s="32"/>
      <c r="B2023" s="32"/>
      <c r="C2023" s="32"/>
      <c r="D2023" s="32"/>
      <c r="E2023" s="32"/>
      <c r="F2023" s="32"/>
      <c r="G2023" s="39"/>
      <c r="H2023" s="32"/>
      <c r="I2023" s="32"/>
      <c r="J2023" s="32"/>
      <c r="K2023" s="33"/>
      <c r="L2023" s="32"/>
      <c r="M2023" s="32"/>
      <c r="N2023" s="32"/>
      <c r="O2023" s="32"/>
      <c r="P2023" s="32"/>
      <c r="Q2023" s="34"/>
      <c r="R2023" s="35"/>
      <c r="S2023" s="35"/>
      <c r="T2023" s="36"/>
      <c r="U2023" s="36"/>
      <c r="V2023" s="36"/>
      <c r="W2023" s="36"/>
      <c r="X2023" s="36"/>
      <c r="Y2023" s="36"/>
    </row>
    <row r="2024">
      <c r="A2024" s="32"/>
      <c r="B2024" s="32"/>
      <c r="C2024" s="32"/>
      <c r="D2024" s="32"/>
      <c r="E2024" s="32"/>
      <c r="F2024" s="32"/>
      <c r="G2024" s="39"/>
      <c r="H2024" s="32"/>
      <c r="I2024" s="32"/>
      <c r="J2024" s="32"/>
      <c r="K2024" s="33"/>
      <c r="L2024" s="32"/>
      <c r="M2024" s="32"/>
      <c r="N2024" s="32"/>
      <c r="O2024" s="32"/>
      <c r="P2024" s="32"/>
      <c r="Q2024" s="34"/>
      <c r="R2024" s="35"/>
      <c r="S2024" s="35"/>
      <c r="T2024" s="36"/>
      <c r="U2024" s="36"/>
      <c r="V2024" s="36"/>
      <c r="W2024" s="36"/>
      <c r="X2024" s="36"/>
      <c r="Y2024" s="36"/>
    </row>
    <row r="2025">
      <c r="A2025" s="32"/>
      <c r="B2025" s="32"/>
      <c r="C2025" s="32"/>
      <c r="D2025" s="32"/>
      <c r="E2025" s="32"/>
      <c r="F2025" s="32"/>
      <c r="G2025" s="39"/>
      <c r="H2025" s="32"/>
      <c r="I2025" s="32"/>
      <c r="J2025" s="32"/>
      <c r="K2025" s="33"/>
      <c r="L2025" s="32"/>
      <c r="M2025" s="32"/>
      <c r="N2025" s="32"/>
      <c r="O2025" s="32"/>
      <c r="P2025" s="32"/>
      <c r="Q2025" s="34"/>
      <c r="R2025" s="35"/>
      <c r="S2025" s="35"/>
      <c r="T2025" s="36"/>
      <c r="U2025" s="36"/>
      <c r="V2025" s="36"/>
      <c r="W2025" s="36"/>
      <c r="X2025" s="36"/>
      <c r="Y2025" s="36"/>
    </row>
    <row r="2026">
      <c r="A2026" s="32"/>
      <c r="B2026" s="32"/>
      <c r="C2026" s="32"/>
      <c r="D2026" s="32"/>
      <c r="E2026" s="32"/>
      <c r="F2026" s="32"/>
      <c r="G2026" s="39"/>
      <c r="H2026" s="32"/>
      <c r="I2026" s="32"/>
      <c r="J2026" s="32"/>
      <c r="K2026" s="33"/>
      <c r="L2026" s="32"/>
      <c r="M2026" s="32"/>
      <c r="N2026" s="32"/>
      <c r="O2026" s="32"/>
      <c r="P2026" s="32"/>
      <c r="Q2026" s="34"/>
      <c r="R2026" s="35"/>
      <c r="S2026" s="35"/>
      <c r="T2026" s="36"/>
      <c r="U2026" s="36"/>
      <c r="V2026" s="36"/>
      <c r="W2026" s="36"/>
      <c r="X2026" s="36"/>
      <c r="Y2026" s="36"/>
    </row>
    <row r="2027">
      <c r="A2027" s="32"/>
      <c r="B2027" s="32"/>
      <c r="C2027" s="32"/>
      <c r="D2027" s="32"/>
      <c r="E2027" s="32"/>
      <c r="F2027" s="32"/>
      <c r="G2027" s="39"/>
      <c r="H2027" s="32"/>
      <c r="I2027" s="32"/>
      <c r="J2027" s="32"/>
      <c r="K2027" s="33"/>
      <c r="L2027" s="32"/>
      <c r="M2027" s="32"/>
      <c r="N2027" s="32"/>
      <c r="O2027" s="32"/>
      <c r="P2027" s="32"/>
      <c r="Q2027" s="34"/>
      <c r="R2027" s="35"/>
      <c r="S2027" s="35"/>
      <c r="T2027" s="36"/>
      <c r="U2027" s="36"/>
      <c r="V2027" s="36"/>
      <c r="W2027" s="36"/>
      <c r="X2027" s="36"/>
      <c r="Y2027" s="36"/>
    </row>
    <row r="2028">
      <c r="A2028" s="32"/>
      <c r="B2028" s="32"/>
      <c r="C2028" s="32"/>
      <c r="D2028" s="32"/>
      <c r="E2028" s="32"/>
      <c r="F2028" s="32"/>
      <c r="G2028" s="39"/>
      <c r="H2028" s="32"/>
      <c r="I2028" s="32"/>
      <c r="J2028" s="32"/>
      <c r="K2028" s="33"/>
      <c r="L2028" s="32"/>
      <c r="M2028" s="32"/>
      <c r="N2028" s="32"/>
      <c r="O2028" s="32"/>
      <c r="P2028" s="32"/>
      <c r="Q2028" s="34"/>
      <c r="R2028" s="35"/>
      <c r="S2028" s="35"/>
      <c r="T2028" s="36"/>
      <c r="U2028" s="36"/>
      <c r="V2028" s="36"/>
      <c r="W2028" s="36"/>
      <c r="X2028" s="36"/>
      <c r="Y2028" s="36"/>
    </row>
    <row r="2029">
      <c r="A2029" s="32"/>
      <c r="B2029" s="32"/>
      <c r="C2029" s="32"/>
      <c r="D2029" s="32"/>
      <c r="E2029" s="32"/>
      <c r="F2029" s="32"/>
      <c r="G2029" s="39"/>
      <c r="H2029" s="32"/>
      <c r="I2029" s="32"/>
      <c r="J2029" s="32"/>
      <c r="K2029" s="33"/>
      <c r="L2029" s="32"/>
      <c r="M2029" s="32"/>
      <c r="N2029" s="32"/>
      <c r="O2029" s="32"/>
      <c r="P2029" s="32"/>
      <c r="Q2029" s="34"/>
      <c r="R2029" s="35"/>
      <c r="S2029" s="35"/>
      <c r="T2029" s="36"/>
      <c r="U2029" s="36"/>
      <c r="V2029" s="36"/>
      <c r="W2029" s="36"/>
      <c r="X2029" s="36"/>
      <c r="Y2029" s="36"/>
    </row>
    <row r="2030">
      <c r="A2030" s="32"/>
      <c r="B2030" s="32"/>
      <c r="C2030" s="32"/>
      <c r="D2030" s="32"/>
      <c r="E2030" s="32"/>
      <c r="F2030" s="32"/>
      <c r="G2030" s="39"/>
      <c r="H2030" s="32"/>
      <c r="I2030" s="32"/>
      <c r="J2030" s="32"/>
      <c r="K2030" s="33"/>
      <c r="L2030" s="32"/>
      <c r="M2030" s="32"/>
      <c r="N2030" s="32"/>
      <c r="O2030" s="32"/>
      <c r="P2030" s="32"/>
      <c r="Q2030" s="34"/>
      <c r="R2030" s="35"/>
      <c r="S2030" s="35"/>
      <c r="T2030" s="36"/>
      <c r="U2030" s="36"/>
      <c r="V2030" s="36"/>
      <c r="W2030" s="36"/>
      <c r="X2030" s="36"/>
      <c r="Y2030" s="36"/>
    </row>
    <row r="2031">
      <c r="A2031" s="32"/>
      <c r="B2031" s="32"/>
      <c r="C2031" s="32"/>
      <c r="D2031" s="32"/>
      <c r="E2031" s="32"/>
      <c r="F2031" s="32"/>
      <c r="G2031" s="39"/>
      <c r="H2031" s="32"/>
      <c r="I2031" s="32"/>
      <c r="J2031" s="32"/>
      <c r="K2031" s="33"/>
      <c r="L2031" s="32"/>
      <c r="M2031" s="32"/>
      <c r="N2031" s="32"/>
      <c r="O2031" s="32"/>
      <c r="P2031" s="32"/>
      <c r="Q2031" s="34"/>
      <c r="R2031" s="35"/>
      <c r="S2031" s="35"/>
      <c r="T2031" s="36"/>
      <c r="U2031" s="36"/>
      <c r="V2031" s="36"/>
      <c r="W2031" s="36"/>
      <c r="X2031" s="36"/>
      <c r="Y2031" s="36"/>
    </row>
    <row r="2032">
      <c r="A2032" s="32"/>
      <c r="B2032" s="32"/>
      <c r="C2032" s="32"/>
      <c r="D2032" s="32"/>
      <c r="E2032" s="32"/>
      <c r="F2032" s="32"/>
      <c r="G2032" s="39"/>
      <c r="H2032" s="32"/>
      <c r="I2032" s="32"/>
      <c r="J2032" s="32"/>
      <c r="K2032" s="33"/>
      <c r="L2032" s="32"/>
      <c r="M2032" s="32"/>
      <c r="N2032" s="32"/>
      <c r="O2032" s="32"/>
      <c r="P2032" s="32"/>
      <c r="Q2032" s="34"/>
      <c r="R2032" s="35"/>
      <c r="S2032" s="35"/>
      <c r="T2032" s="36"/>
      <c r="U2032" s="36"/>
      <c r="V2032" s="36"/>
      <c r="W2032" s="36"/>
      <c r="X2032" s="36"/>
      <c r="Y2032" s="36"/>
    </row>
    <row r="2033">
      <c r="A2033" s="32"/>
      <c r="B2033" s="32"/>
      <c r="C2033" s="32"/>
      <c r="D2033" s="32"/>
      <c r="E2033" s="32"/>
      <c r="F2033" s="32"/>
      <c r="G2033" s="39"/>
      <c r="H2033" s="32"/>
      <c r="I2033" s="32"/>
      <c r="J2033" s="32"/>
      <c r="K2033" s="33"/>
      <c r="L2033" s="32"/>
      <c r="M2033" s="32"/>
      <c r="N2033" s="32"/>
      <c r="O2033" s="32"/>
      <c r="P2033" s="32"/>
      <c r="Q2033" s="34"/>
      <c r="R2033" s="35"/>
      <c r="S2033" s="35"/>
      <c r="T2033" s="36"/>
      <c r="U2033" s="36"/>
      <c r="V2033" s="36"/>
      <c r="W2033" s="36"/>
      <c r="X2033" s="36"/>
      <c r="Y2033" s="36"/>
    </row>
    <row r="2034">
      <c r="A2034" s="32"/>
      <c r="B2034" s="32"/>
      <c r="C2034" s="32"/>
      <c r="D2034" s="32"/>
      <c r="E2034" s="32"/>
      <c r="F2034" s="32"/>
      <c r="G2034" s="39"/>
      <c r="H2034" s="32"/>
      <c r="I2034" s="32"/>
      <c r="J2034" s="32"/>
      <c r="K2034" s="33"/>
      <c r="L2034" s="32"/>
      <c r="M2034" s="32"/>
      <c r="N2034" s="32"/>
      <c r="O2034" s="32"/>
      <c r="P2034" s="32"/>
      <c r="Q2034" s="34"/>
      <c r="R2034" s="35"/>
      <c r="S2034" s="35"/>
      <c r="T2034" s="36"/>
      <c r="U2034" s="36"/>
      <c r="V2034" s="36"/>
      <c r="W2034" s="36"/>
      <c r="X2034" s="36"/>
      <c r="Y2034" s="36"/>
    </row>
    <row r="2035">
      <c r="A2035" s="32"/>
      <c r="B2035" s="32"/>
      <c r="C2035" s="32"/>
      <c r="D2035" s="32"/>
      <c r="E2035" s="32"/>
      <c r="F2035" s="32"/>
      <c r="G2035" s="39"/>
      <c r="H2035" s="32"/>
      <c r="I2035" s="32"/>
      <c r="J2035" s="32"/>
      <c r="K2035" s="33"/>
      <c r="L2035" s="32"/>
      <c r="M2035" s="32"/>
      <c r="N2035" s="32"/>
      <c r="O2035" s="32"/>
      <c r="P2035" s="32"/>
      <c r="Q2035" s="34"/>
      <c r="R2035" s="35"/>
      <c r="S2035" s="35"/>
      <c r="T2035" s="36"/>
      <c r="U2035" s="36"/>
      <c r="V2035" s="36"/>
      <c r="W2035" s="36"/>
      <c r="X2035" s="36"/>
      <c r="Y2035" s="36"/>
    </row>
    <row r="2036">
      <c r="A2036" s="32"/>
      <c r="B2036" s="32"/>
      <c r="C2036" s="32"/>
      <c r="D2036" s="32"/>
      <c r="E2036" s="32"/>
      <c r="F2036" s="32"/>
      <c r="G2036" s="39"/>
      <c r="H2036" s="32"/>
      <c r="I2036" s="32"/>
      <c r="J2036" s="32"/>
      <c r="K2036" s="33"/>
      <c r="L2036" s="32"/>
      <c r="M2036" s="32"/>
      <c r="N2036" s="32"/>
      <c r="O2036" s="32"/>
      <c r="P2036" s="32"/>
      <c r="Q2036" s="34"/>
      <c r="R2036" s="35"/>
      <c r="S2036" s="35"/>
      <c r="T2036" s="36"/>
      <c r="U2036" s="36"/>
      <c r="V2036" s="36"/>
      <c r="W2036" s="36"/>
      <c r="X2036" s="36"/>
      <c r="Y2036" s="36"/>
    </row>
    <row r="2037">
      <c r="A2037" s="32"/>
      <c r="B2037" s="32"/>
      <c r="C2037" s="32"/>
      <c r="D2037" s="32"/>
      <c r="E2037" s="32"/>
      <c r="F2037" s="32"/>
      <c r="G2037" s="39"/>
      <c r="H2037" s="32"/>
      <c r="I2037" s="32"/>
      <c r="J2037" s="32"/>
      <c r="K2037" s="33"/>
      <c r="L2037" s="32"/>
      <c r="M2037" s="32"/>
      <c r="N2037" s="32"/>
      <c r="O2037" s="32"/>
      <c r="P2037" s="32"/>
      <c r="Q2037" s="34"/>
      <c r="R2037" s="35"/>
      <c r="S2037" s="35"/>
      <c r="T2037" s="36"/>
      <c r="U2037" s="36"/>
      <c r="V2037" s="36"/>
      <c r="W2037" s="36"/>
      <c r="X2037" s="36"/>
      <c r="Y2037" s="36"/>
    </row>
    <row r="2038">
      <c r="A2038" s="32"/>
      <c r="B2038" s="32"/>
      <c r="C2038" s="32"/>
      <c r="D2038" s="32"/>
      <c r="E2038" s="32"/>
      <c r="F2038" s="32"/>
      <c r="G2038" s="39"/>
      <c r="H2038" s="32"/>
      <c r="I2038" s="32"/>
      <c r="J2038" s="32"/>
      <c r="K2038" s="33"/>
      <c r="L2038" s="32"/>
      <c r="M2038" s="32"/>
      <c r="N2038" s="32"/>
      <c r="O2038" s="32"/>
      <c r="P2038" s="32"/>
      <c r="Q2038" s="34"/>
      <c r="R2038" s="35"/>
      <c r="S2038" s="35"/>
      <c r="T2038" s="36"/>
      <c r="U2038" s="36"/>
      <c r="V2038" s="36"/>
      <c r="W2038" s="36"/>
      <c r="X2038" s="36"/>
      <c r="Y2038" s="36"/>
    </row>
    <row r="2039">
      <c r="A2039" s="32"/>
      <c r="B2039" s="32"/>
      <c r="C2039" s="32"/>
      <c r="D2039" s="32"/>
      <c r="E2039" s="32"/>
      <c r="F2039" s="32"/>
      <c r="G2039" s="39"/>
      <c r="H2039" s="32"/>
      <c r="I2039" s="32"/>
      <c r="J2039" s="32"/>
      <c r="K2039" s="33"/>
      <c r="L2039" s="32"/>
      <c r="M2039" s="32"/>
      <c r="N2039" s="32"/>
      <c r="O2039" s="32"/>
      <c r="P2039" s="32"/>
      <c r="Q2039" s="34"/>
      <c r="R2039" s="35"/>
      <c r="S2039" s="35"/>
      <c r="T2039" s="36"/>
      <c r="U2039" s="36"/>
      <c r="V2039" s="36"/>
      <c r="W2039" s="36"/>
      <c r="X2039" s="36"/>
      <c r="Y2039" s="36"/>
    </row>
    <row r="2040">
      <c r="A2040" s="32"/>
      <c r="B2040" s="32"/>
      <c r="C2040" s="32"/>
      <c r="D2040" s="32"/>
      <c r="E2040" s="32"/>
      <c r="F2040" s="32"/>
      <c r="G2040" s="39"/>
      <c r="H2040" s="32"/>
      <c r="I2040" s="32"/>
      <c r="J2040" s="32"/>
      <c r="K2040" s="33"/>
      <c r="L2040" s="32"/>
      <c r="M2040" s="32"/>
      <c r="N2040" s="32"/>
      <c r="O2040" s="32"/>
      <c r="P2040" s="32"/>
      <c r="Q2040" s="34"/>
      <c r="R2040" s="35"/>
      <c r="S2040" s="35"/>
      <c r="T2040" s="36"/>
      <c r="U2040" s="36"/>
      <c r="V2040" s="36"/>
      <c r="W2040" s="36"/>
      <c r="X2040" s="36"/>
      <c r="Y2040" s="36"/>
    </row>
    <row r="2041">
      <c r="A2041" s="32"/>
      <c r="B2041" s="32"/>
      <c r="C2041" s="32"/>
      <c r="D2041" s="32"/>
      <c r="E2041" s="32"/>
      <c r="F2041" s="32"/>
      <c r="G2041" s="39"/>
      <c r="H2041" s="32"/>
      <c r="I2041" s="32"/>
      <c r="J2041" s="32"/>
      <c r="K2041" s="33"/>
      <c r="L2041" s="32"/>
      <c r="M2041" s="32"/>
      <c r="N2041" s="32"/>
      <c r="O2041" s="32"/>
      <c r="P2041" s="32"/>
      <c r="Q2041" s="34"/>
      <c r="R2041" s="35"/>
      <c r="S2041" s="35"/>
      <c r="T2041" s="36"/>
      <c r="U2041" s="36"/>
      <c r="V2041" s="36"/>
      <c r="W2041" s="36"/>
      <c r="X2041" s="36"/>
      <c r="Y2041" s="36"/>
    </row>
    <row r="2042">
      <c r="A2042" s="32"/>
      <c r="B2042" s="32"/>
      <c r="C2042" s="32"/>
      <c r="D2042" s="32"/>
      <c r="E2042" s="32"/>
      <c r="F2042" s="32"/>
      <c r="G2042" s="39"/>
      <c r="H2042" s="32"/>
      <c r="I2042" s="32"/>
      <c r="J2042" s="32"/>
      <c r="K2042" s="33"/>
      <c r="L2042" s="32"/>
      <c r="M2042" s="32"/>
      <c r="N2042" s="32"/>
      <c r="O2042" s="32"/>
      <c r="P2042" s="32"/>
      <c r="Q2042" s="34"/>
      <c r="R2042" s="35"/>
      <c r="S2042" s="35"/>
      <c r="T2042" s="36"/>
      <c r="U2042" s="36"/>
      <c r="V2042" s="36"/>
      <c r="W2042" s="36"/>
      <c r="X2042" s="36"/>
      <c r="Y2042" s="36"/>
    </row>
    <row r="2043">
      <c r="A2043" s="32"/>
      <c r="B2043" s="32"/>
      <c r="C2043" s="32"/>
      <c r="D2043" s="32"/>
      <c r="E2043" s="32"/>
      <c r="F2043" s="32"/>
      <c r="G2043" s="39"/>
      <c r="H2043" s="32"/>
      <c r="I2043" s="32"/>
      <c r="J2043" s="32"/>
      <c r="K2043" s="33"/>
      <c r="L2043" s="32"/>
      <c r="M2043" s="32"/>
      <c r="N2043" s="32"/>
      <c r="O2043" s="32"/>
      <c r="P2043" s="32"/>
      <c r="Q2043" s="34"/>
      <c r="R2043" s="35"/>
      <c r="S2043" s="35"/>
      <c r="T2043" s="36"/>
      <c r="U2043" s="36"/>
      <c r="V2043" s="36"/>
      <c r="W2043" s="36"/>
      <c r="X2043" s="36"/>
      <c r="Y2043" s="36"/>
    </row>
    <row r="2044">
      <c r="A2044" s="32"/>
      <c r="B2044" s="32"/>
      <c r="C2044" s="32"/>
      <c r="D2044" s="32"/>
      <c r="E2044" s="32"/>
      <c r="F2044" s="32"/>
      <c r="G2044" s="39"/>
      <c r="H2044" s="32"/>
      <c r="I2044" s="32"/>
      <c r="J2044" s="32"/>
      <c r="K2044" s="33"/>
      <c r="L2044" s="32"/>
      <c r="M2044" s="32"/>
      <c r="N2044" s="32"/>
      <c r="O2044" s="32"/>
      <c r="P2044" s="32"/>
      <c r="Q2044" s="34"/>
      <c r="R2044" s="35"/>
      <c r="S2044" s="35"/>
      <c r="T2044" s="36"/>
      <c r="U2044" s="36"/>
      <c r="V2044" s="36"/>
      <c r="W2044" s="36"/>
      <c r="X2044" s="36"/>
      <c r="Y2044" s="36"/>
    </row>
    <row r="2045">
      <c r="A2045" s="32"/>
      <c r="B2045" s="32"/>
      <c r="C2045" s="32"/>
      <c r="D2045" s="32"/>
      <c r="E2045" s="32"/>
      <c r="F2045" s="32"/>
      <c r="G2045" s="39"/>
      <c r="H2045" s="32"/>
      <c r="I2045" s="32"/>
      <c r="J2045" s="32"/>
      <c r="K2045" s="33"/>
      <c r="L2045" s="32"/>
      <c r="M2045" s="32"/>
      <c r="N2045" s="32"/>
      <c r="O2045" s="32"/>
      <c r="P2045" s="32"/>
      <c r="Q2045" s="34"/>
      <c r="R2045" s="35"/>
      <c r="S2045" s="35"/>
      <c r="T2045" s="36"/>
      <c r="U2045" s="36"/>
      <c r="V2045" s="36"/>
      <c r="W2045" s="36"/>
      <c r="X2045" s="36"/>
      <c r="Y2045" s="36"/>
    </row>
    <row r="2046">
      <c r="A2046" s="32"/>
      <c r="B2046" s="32"/>
      <c r="C2046" s="32"/>
      <c r="D2046" s="32"/>
      <c r="E2046" s="32"/>
      <c r="F2046" s="32"/>
      <c r="G2046" s="39"/>
      <c r="H2046" s="32"/>
      <c r="I2046" s="32"/>
      <c r="J2046" s="32"/>
      <c r="K2046" s="33"/>
      <c r="L2046" s="32"/>
      <c r="M2046" s="32"/>
      <c r="N2046" s="32"/>
      <c r="O2046" s="32"/>
      <c r="P2046" s="32"/>
      <c r="Q2046" s="34"/>
      <c r="R2046" s="35"/>
      <c r="S2046" s="35"/>
      <c r="T2046" s="36"/>
      <c r="U2046" s="36"/>
      <c r="V2046" s="36"/>
      <c r="W2046" s="36"/>
      <c r="X2046" s="36"/>
      <c r="Y2046" s="36"/>
    </row>
    <row r="2047">
      <c r="A2047" s="32"/>
      <c r="B2047" s="32"/>
      <c r="C2047" s="32"/>
      <c r="D2047" s="32"/>
      <c r="E2047" s="32"/>
      <c r="F2047" s="32"/>
      <c r="G2047" s="39"/>
      <c r="H2047" s="32"/>
      <c r="I2047" s="32"/>
      <c r="J2047" s="32"/>
      <c r="K2047" s="33"/>
      <c r="L2047" s="32"/>
      <c r="M2047" s="32"/>
      <c r="N2047" s="32"/>
      <c r="O2047" s="32"/>
      <c r="P2047" s="32"/>
      <c r="Q2047" s="34"/>
      <c r="R2047" s="35"/>
      <c r="S2047" s="35"/>
      <c r="T2047" s="36"/>
      <c r="U2047" s="36"/>
      <c r="V2047" s="36"/>
      <c r="W2047" s="36"/>
      <c r="X2047" s="36"/>
      <c r="Y2047" s="36"/>
    </row>
    <row r="2048">
      <c r="A2048" s="32"/>
      <c r="B2048" s="32"/>
      <c r="C2048" s="32"/>
      <c r="D2048" s="32"/>
      <c r="E2048" s="32"/>
      <c r="F2048" s="32"/>
      <c r="G2048" s="39"/>
      <c r="H2048" s="32"/>
      <c r="I2048" s="32"/>
      <c r="J2048" s="32"/>
      <c r="K2048" s="33"/>
      <c r="L2048" s="32"/>
      <c r="M2048" s="32"/>
      <c r="N2048" s="32"/>
      <c r="O2048" s="32"/>
      <c r="P2048" s="32"/>
      <c r="Q2048" s="34"/>
      <c r="R2048" s="35"/>
      <c r="S2048" s="35"/>
      <c r="T2048" s="36"/>
      <c r="U2048" s="36"/>
      <c r="V2048" s="36"/>
      <c r="W2048" s="36"/>
      <c r="X2048" s="36"/>
      <c r="Y2048" s="36"/>
    </row>
    <row r="2049">
      <c r="A2049" s="32"/>
      <c r="B2049" s="32"/>
      <c r="C2049" s="32"/>
      <c r="D2049" s="32"/>
      <c r="E2049" s="32"/>
      <c r="F2049" s="32"/>
      <c r="G2049" s="39"/>
      <c r="H2049" s="32"/>
      <c r="I2049" s="32"/>
      <c r="J2049" s="32"/>
      <c r="K2049" s="33"/>
      <c r="L2049" s="32"/>
      <c r="M2049" s="32"/>
      <c r="N2049" s="32"/>
      <c r="O2049" s="32"/>
      <c r="P2049" s="32"/>
      <c r="Q2049" s="34"/>
      <c r="R2049" s="35"/>
      <c r="S2049" s="35"/>
      <c r="T2049" s="36"/>
      <c r="U2049" s="36"/>
      <c r="V2049" s="36"/>
      <c r="W2049" s="36"/>
      <c r="X2049" s="36"/>
      <c r="Y2049" s="36"/>
    </row>
    <row r="2050">
      <c r="A2050" s="32"/>
      <c r="B2050" s="32"/>
      <c r="C2050" s="32"/>
      <c r="D2050" s="32"/>
      <c r="E2050" s="32"/>
      <c r="F2050" s="32"/>
      <c r="G2050" s="39"/>
      <c r="H2050" s="32"/>
      <c r="I2050" s="32"/>
      <c r="J2050" s="32"/>
      <c r="K2050" s="33"/>
      <c r="L2050" s="32"/>
      <c r="M2050" s="32"/>
      <c r="N2050" s="32"/>
      <c r="O2050" s="32"/>
      <c r="P2050" s="32"/>
      <c r="Q2050" s="34"/>
      <c r="R2050" s="35"/>
      <c r="S2050" s="35"/>
      <c r="T2050" s="36"/>
      <c r="U2050" s="36"/>
      <c r="V2050" s="36"/>
      <c r="W2050" s="36"/>
      <c r="X2050" s="36"/>
      <c r="Y2050" s="36"/>
    </row>
    <row r="2051">
      <c r="A2051" s="32"/>
      <c r="B2051" s="32"/>
      <c r="C2051" s="32"/>
      <c r="D2051" s="32"/>
      <c r="E2051" s="32"/>
      <c r="F2051" s="32"/>
      <c r="G2051" s="39"/>
      <c r="H2051" s="32"/>
      <c r="I2051" s="32"/>
      <c r="J2051" s="32"/>
      <c r="K2051" s="33"/>
      <c r="L2051" s="32"/>
      <c r="M2051" s="32"/>
      <c r="N2051" s="32"/>
      <c r="O2051" s="32"/>
      <c r="P2051" s="32"/>
      <c r="Q2051" s="34"/>
      <c r="R2051" s="35"/>
      <c r="S2051" s="35"/>
      <c r="T2051" s="36"/>
      <c r="U2051" s="36"/>
      <c r="V2051" s="36"/>
      <c r="W2051" s="36"/>
      <c r="X2051" s="36"/>
      <c r="Y2051" s="36"/>
    </row>
    <row r="2052">
      <c r="A2052" s="32"/>
      <c r="B2052" s="32"/>
      <c r="C2052" s="32"/>
      <c r="D2052" s="32"/>
      <c r="E2052" s="32"/>
      <c r="F2052" s="32"/>
      <c r="G2052" s="39"/>
      <c r="H2052" s="32"/>
      <c r="I2052" s="32"/>
      <c r="J2052" s="32"/>
      <c r="K2052" s="33"/>
      <c r="L2052" s="32"/>
      <c r="M2052" s="32"/>
      <c r="N2052" s="32"/>
      <c r="O2052" s="32"/>
      <c r="P2052" s="32"/>
      <c r="Q2052" s="34"/>
      <c r="R2052" s="35"/>
      <c r="S2052" s="35"/>
      <c r="T2052" s="36"/>
      <c r="U2052" s="36"/>
      <c r="V2052" s="36"/>
      <c r="W2052" s="36"/>
      <c r="X2052" s="36"/>
      <c r="Y2052" s="36"/>
    </row>
    <row r="2053">
      <c r="A2053" s="32"/>
      <c r="B2053" s="32"/>
      <c r="C2053" s="32"/>
      <c r="D2053" s="32"/>
      <c r="E2053" s="32"/>
      <c r="F2053" s="32"/>
      <c r="G2053" s="39"/>
      <c r="H2053" s="32"/>
      <c r="I2053" s="32"/>
      <c r="J2053" s="32"/>
      <c r="K2053" s="33"/>
      <c r="L2053" s="32"/>
      <c r="M2053" s="32"/>
      <c r="N2053" s="32"/>
      <c r="O2053" s="32"/>
      <c r="P2053" s="32"/>
      <c r="Q2053" s="34"/>
      <c r="R2053" s="35"/>
      <c r="S2053" s="35"/>
      <c r="T2053" s="36"/>
      <c r="U2053" s="36"/>
      <c r="V2053" s="36"/>
      <c r="W2053" s="36"/>
      <c r="X2053" s="36"/>
      <c r="Y2053" s="36"/>
    </row>
    <row r="2054">
      <c r="A2054" s="32"/>
      <c r="B2054" s="32"/>
      <c r="C2054" s="32"/>
      <c r="D2054" s="32"/>
      <c r="E2054" s="32"/>
      <c r="F2054" s="32"/>
      <c r="G2054" s="39"/>
      <c r="H2054" s="32"/>
      <c r="I2054" s="32"/>
      <c r="J2054" s="32"/>
      <c r="K2054" s="33"/>
      <c r="L2054" s="32"/>
      <c r="M2054" s="32"/>
      <c r="N2054" s="32"/>
      <c r="O2054" s="32"/>
      <c r="P2054" s="32"/>
      <c r="Q2054" s="34"/>
      <c r="R2054" s="35"/>
      <c r="S2054" s="35"/>
      <c r="T2054" s="36"/>
      <c r="U2054" s="36"/>
      <c r="V2054" s="36"/>
      <c r="W2054" s="36"/>
      <c r="X2054" s="36"/>
      <c r="Y2054" s="36"/>
    </row>
    <row r="2055">
      <c r="A2055" s="32"/>
      <c r="B2055" s="32"/>
      <c r="C2055" s="32"/>
      <c r="D2055" s="32"/>
      <c r="E2055" s="32"/>
      <c r="F2055" s="32"/>
      <c r="G2055" s="39"/>
      <c r="H2055" s="32"/>
      <c r="I2055" s="32"/>
      <c r="J2055" s="32"/>
      <c r="K2055" s="33"/>
      <c r="L2055" s="32"/>
      <c r="M2055" s="32"/>
      <c r="N2055" s="32"/>
      <c r="O2055" s="32"/>
      <c r="P2055" s="32"/>
      <c r="Q2055" s="34"/>
      <c r="R2055" s="35"/>
      <c r="S2055" s="35"/>
      <c r="T2055" s="36"/>
      <c r="U2055" s="36"/>
      <c r="V2055" s="36"/>
      <c r="W2055" s="36"/>
      <c r="X2055" s="36"/>
      <c r="Y2055" s="36"/>
    </row>
    <row r="2056">
      <c r="A2056" s="32"/>
      <c r="B2056" s="32"/>
      <c r="C2056" s="32"/>
      <c r="D2056" s="32"/>
      <c r="E2056" s="32"/>
      <c r="F2056" s="32"/>
      <c r="G2056" s="39"/>
      <c r="H2056" s="32"/>
      <c r="I2056" s="32"/>
      <c r="J2056" s="32"/>
      <c r="K2056" s="33"/>
      <c r="L2056" s="32"/>
      <c r="M2056" s="32"/>
      <c r="N2056" s="32"/>
      <c r="O2056" s="32"/>
      <c r="P2056" s="32"/>
      <c r="Q2056" s="34"/>
      <c r="R2056" s="35"/>
      <c r="S2056" s="35"/>
      <c r="T2056" s="36"/>
      <c r="U2056" s="36"/>
      <c r="V2056" s="36"/>
      <c r="W2056" s="36"/>
      <c r="X2056" s="36"/>
      <c r="Y2056" s="36"/>
    </row>
    <row r="2057">
      <c r="A2057" s="32"/>
      <c r="B2057" s="32"/>
      <c r="C2057" s="32"/>
      <c r="D2057" s="32"/>
      <c r="E2057" s="32"/>
      <c r="F2057" s="32"/>
      <c r="G2057" s="39"/>
      <c r="H2057" s="32"/>
      <c r="I2057" s="32"/>
      <c r="J2057" s="32"/>
      <c r="K2057" s="33"/>
      <c r="L2057" s="32"/>
      <c r="M2057" s="32"/>
      <c r="N2057" s="32"/>
      <c r="O2057" s="32"/>
      <c r="P2057" s="32"/>
      <c r="Q2057" s="34"/>
      <c r="R2057" s="35"/>
      <c r="S2057" s="35"/>
      <c r="T2057" s="36"/>
      <c r="U2057" s="36"/>
      <c r="V2057" s="36"/>
      <c r="W2057" s="36"/>
      <c r="X2057" s="36"/>
      <c r="Y2057" s="36"/>
    </row>
    <row r="2058">
      <c r="A2058" s="32"/>
      <c r="B2058" s="32"/>
      <c r="C2058" s="32"/>
      <c r="D2058" s="32"/>
      <c r="E2058" s="32"/>
      <c r="F2058" s="32"/>
      <c r="G2058" s="39"/>
      <c r="H2058" s="32"/>
      <c r="I2058" s="32"/>
      <c r="J2058" s="32"/>
      <c r="K2058" s="33"/>
      <c r="L2058" s="32"/>
      <c r="M2058" s="32"/>
      <c r="N2058" s="32"/>
      <c r="O2058" s="32"/>
      <c r="P2058" s="32"/>
      <c r="Q2058" s="34"/>
      <c r="R2058" s="35"/>
      <c r="S2058" s="35"/>
      <c r="T2058" s="36"/>
      <c r="U2058" s="36"/>
      <c r="V2058" s="36"/>
      <c r="W2058" s="36"/>
      <c r="X2058" s="36"/>
      <c r="Y2058" s="36"/>
    </row>
    <row r="2059">
      <c r="A2059" s="32"/>
      <c r="B2059" s="32"/>
      <c r="C2059" s="32"/>
      <c r="D2059" s="32"/>
      <c r="E2059" s="32"/>
      <c r="F2059" s="32"/>
      <c r="G2059" s="39"/>
      <c r="H2059" s="32"/>
      <c r="I2059" s="32"/>
      <c r="J2059" s="32"/>
      <c r="K2059" s="33"/>
      <c r="L2059" s="32"/>
      <c r="M2059" s="32"/>
      <c r="N2059" s="32"/>
      <c r="O2059" s="32"/>
      <c r="P2059" s="32"/>
      <c r="Q2059" s="34"/>
      <c r="R2059" s="35"/>
      <c r="S2059" s="35"/>
      <c r="T2059" s="36"/>
      <c r="U2059" s="36"/>
      <c r="V2059" s="36"/>
      <c r="W2059" s="36"/>
      <c r="X2059" s="36"/>
      <c r="Y2059" s="36"/>
    </row>
    <row r="2060">
      <c r="A2060" s="32"/>
      <c r="B2060" s="32"/>
      <c r="C2060" s="32"/>
      <c r="D2060" s="32"/>
      <c r="E2060" s="32"/>
      <c r="F2060" s="32"/>
      <c r="G2060" s="39"/>
      <c r="H2060" s="32"/>
      <c r="I2060" s="32"/>
      <c r="J2060" s="32"/>
      <c r="K2060" s="33"/>
      <c r="L2060" s="32"/>
      <c r="M2060" s="32"/>
      <c r="N2060" s="32"/>
      <c r="O2060" s="32"/>
      <c r="P2060" s="32"/>
      <c r="Q2060" s="34"/>
      <c r="R2060" s="35"/>
      <c r="S2060" s="35"/>
      <c r="T2060" s="36"/>
      <c r="U2060" s="36"/>
      <c r="V2060" s="36"/>
      <c r="W2060" s="36"/>
      <c r="X2060" s="36"/>
      <c r="Y2060" s="36"/>
    </row>
    <row r="2061">
      <c r="A2061" s="32"/>
      <c r="B2061" s="32"/>
      <c r="C2061" s="32"/>
      <c r="D2061" s="32"/>
      <c r="E2061" s="32"/>
      <c r="F2061" s="32"/>
      <c r="G2061" s="39"/>
      <c r="H2061" s="32"/>
      <c r="I2061" s="32"/>
      <c r="J2061" s="32"/>
      <c r="K2061" s="33"/>
      <c r="L2061" s="32"/>
      <c r="M2061" s="32"/>
      <c r="N2061" s="32"/>
      <c r="O2061" s="32"/>
      <c r="P2061" s="32"/>
      <c r="Q2061" s="34"/>
      <c r="R2061" s="35"/>
      <c r="S2061" s="35"/>
      <c r="T2061" s="36"/>
      <c r="U2061" s="36"/>
      <c r="V2061" s="36"/>
      <c r="W2061" s="36"/>
      <c r="X2061" s="36"/>
      <c r="Y2061" s="36"/>
    </row>
    <row r="2062">
      <c r="A2062" s="32"/>
      <c r="B2062" s="32"/>
      <c r="C2062" s="32"/>
      <c r="D2062" s="32"/>
      <c r="E2062" s="32"/>
      <c r="F2062" s="32"/>
      <c r="G2062" s="39"/>
      <c r="H2062" s="32"/>
      <c r="I2062" s="32"/>
      <c r="J2062" s="32"/>
      <c r="K2062" s="33"/>
      <c r="L2062" s="32"/>
      <c r="M2062" s="32"/>
      <c r="N2062" s="32"/>
      <c r="O2062" s="32"/>
      <c r="P2062" s="32"/>
      <c r="Q2062" s="34"/>
      <c r="R2062" s="35"/>
      <c r="S2062" s="35"/>
      <c r="T2062" s="36"/>
      <c r="U2062" s="36"/>
      <c r="V2062" s="36"/>
      <c r="W2062" s="36"/>
      <c r="X2062" s="36"/>
      <c r="Y2062" s="36"/>
    </row>
    <row r="2063">
      <c r="A2063" s="32"/>
      <c r="B2063" s="32"/>
      <c r="C2063" s="32"/>
      <c r="D2063" s="32"/>
      <c r="E2063" s="32"/>
      <c r="F2063" s="32"/>
      <c r="G2063" s="39"/>
      <c r="H2063" s="32"/>
      <c r="I2063" s="32"/>
      <c r="J2063" s="32"/>
      <c r="K2063" s="33"/>
      <c r="L2063" s="32"/>
      <c r="M2063" s="32"/>
      <c r="N2063" s="32"/>
      <c r="O2063" s="32"/>
      <c r="P2063" s="32"/>
      <c r="Q2063" s="34"/>
      <c r="R2063" s="35"/>
      <c r="S2063" s="35"/>
      <c r="T2063" s="36"/>
      <c r="U2063" s="36"/>
      <c r="V2063" s="36"/>
      <c r="W2063" s="36"/>
      <c r="X2063" s="36"/>
      <c r="Y2063" s="36"/>
    </row>
    <row r="2064">
      <c r="A2064" s="32"/>
      <c r="B2064" s="32"/>
      <c r="C2064" s="32"/>
      <c r="D2064" s="32"/>
      <c r="E2064" s="32"/>
      <c r="F2064" s="32"/>
      <c r="G2064" s="39"/>
      <c r="H2064" s="32"/>
      <c r="I2064" s="32"/>
      <c r="J2064" s="32"/>
      <c r="K2064" s="33"/>
      <c r="L2064" s="32"/>
      <c r="M2064" s="32"/>
      <c r="N2064" s="32"/>
      <c r="O2064" s="32"/>
      <c r="P2064" s="32"/>
      <c r="Q2064" s="34"/>
      <c r="R2064" s="35"/>
      <c r="S2064" s="35"/>
      <c r="T2064" s="36"/>
      <c r="U2064" s="36"/>
      <c r="V2064" s="36"/>
      <c r="W2064" s="36"/>
      <c r="X2064" s="36"/>
      <c r="Y2064" s="36"/>
    </row>
    <row r="2065">
      <c r="A2065" s="32"/>
      <c r="B2065" s="32"/>
      <c r="C2065" s="32"/>
      <c r="D2065" s="32"/>
      <c r="E2065" s="32"/>
      <c r="F2065" s="32"/>
      <c r="G2065" s="39"/>
      <c r="H2065" s="32"/>
      <c r="I2065" s="32"/>
      <c r="J2065" s="32"/>
      <c r="K2065" s="33"/>
      <c r="L2065" s="32"/>
      <c r="M2065" s="32"/>
      <c r="N2065" s="32"/>
      <c r="O2065" s="32"/>
      <c r="P2065" s="32"/>
      <c r="Q2065" s="34"/>
      <c r="R2065" s="35"/>
      <c r="S2065" s="35"/>
      <c r="T2065" s="36"/>
      <c r="U2065" s="36"/>
      <c r="V2065" s="36"/>
      <c r="W2065" s="36"/>
      <c r="X2065" s="36"/>
      <c r="Y2065" s="36"/>
    </row>
    <row r="2066">
      <c r="A2066" s="32"/>
      <c r="B2066" s="32"/>
      <c r="C2066" s="32"/>
      <c r="D2066" s="32"/>
      <c r="E2066" s="32"/>
      <c r="F2066" s="32"/>
      <c r="G2066" s="39"/>
      <c r="H2066" s="32"/>
      <c r="I2066" s="32"/>
      <c r="J2066" s="32"/>
      <c r="K2066" s="33"/>
      <c r="L2066" s="32"/>
      <c r="M2066" s="32"/>
      <c r="N2066" s="32"/>
      <c r="O2066" s="32"/>
      <c r="P2066" s="32"/>
      <c r="Q2066" s="34"/>
      <c r="R2066" s="35"/>
      <c r="S2066" s="35"/>
      <c r="T2066" s="36"/>
      <c r="U2066" s="36"/>
      <c r="V2066" s="36"/>
      <c r="W2066" s="36"/>
      <c r="X2066" s="36"/>
      <c r="Y2066" s="36"/>
    </row>
    <row r="2067">
      <c r="A2067" s="32"/>
      <c r="B2067" s="32"/>
      <c r="C2067" s="32"/>
      <c r="D2067" s="32"/>
      <c r="E2067" s="32"/>
      <c r="F2067" s="32"/>
      <c r="G2067" s="39"/>
      <c r="H2067" s="32"/>
      <c r="I2067" s="32"/>
      <c r="J2067" s="32"/>
      <c r="K2067" s="33"/>
      <c r="L2067" s="32"/>
      <c r="M2067" s="32"/>
      <c r="N2067" s="32"/>
      <c r="O2067" s="32"/>
      <c r="P2067" s="32"/>
      <c r="Q2067" s="34"/>
      <c r="R2067" s="35"/>
      <c r="S2067" s="35"/>
      <c r="T2067" s="36"/>
      <c r="U2067" s="36"/>
      <c r="V2067" s="36"/>
      <c r="W2067" s="36"/>
      <c r="X2067" s="36"/>
      <c r="Y2067" s="36"/>
    </row>
    <row r="2068">
      <c r="A2068" s="32"/>
      <c r="B2068" s="32"/>
      <c r="C2068" s="32"/>
      <c r="D2068" s="32"/>
      <c r="E2068" s="32"/>
      <c r="F2068" s="32"/>
      <c r="G2068" s="39"/>
      <c r="H2068" s="32"/>
      <c r="I2068" s="32"/>
      <c r="J2068" s="32"/>
      <c r="K2068" s="33"/>
      <c r="L2068" s="32"/>
      <c r="M2068" s="32"/>
      <c r="N2068" s="32"/>
      <c r="O2068" s="32"/>
      <c r="P2068" s="32"/>
      <c r="Q2068" s="34"/>
      <c r="R2068" s="35"/>
      <c r="S2068" s="35"/>
      <c r="T2068" s="36"/>
      <c r="U2068" s="36"/>
      <c r="V2068" s="36"/>
      <c r="W2068" s="36"/>
      <c r="X2068" s="36"/>
      <c r="Y2068" s="36"/>
    </row>
    <row r="2069">
      <c r="A2069" s="32"/>
      <c r="B2069" s="32"/>
      <c r="C2069" s="32"/>
      <c r="D2069" s="32"/>
      <c r="E2069" s="32"/>
      <c r="F2069" s="32"/>
      <c r="G2069" s="39"/>
      <c r="H2069" s="32"/>
      <c r="I2069" s="32"/>
      <c r="J2069" s="32"/>
      <c r="K2069" s="33"/>
      <c r="L2069" s="32"/>
      <c r="M2069" s="32"/>
      <c r="N2069" s="32"/>
      <c r="O2069" s="32"/>
      <c r="P2069" s="32"/>
      <c r="Q2069" s="34"/>
      <c r="R2069" s="35"/>
      <c r="S2069" s="35"/>
      <c r="T2069" s="36"/>
      <c r="U2069" s="36"/>
      <c r="V2069" s="36"/>
      <c r="W2069" s="36"/>
      <c r="X2069" s="36"/>
      <c r="Y2069" s="36"/>
    </row>
    <row r="2070">
      <c r="A2070" s="32"/>
      <c r="B2070" s="32"/>
      <c r="C2070" s="32"/>
      <c r="D2070" s="32"/>
      <c r="E2070" s="32"/>
      <c r="F2070" s="32"/>
      <c r="G2070" s="39"/>
      <c r="H2070" s="32"/>
      <c r="I2070" s="32"/>
      <c r="J2070" s="32"/>
      <c r="K2070" s="33"/>
      <c r="L2070" s="32"/>
      <c r="M2070" s="32"/>
      <c r="N2070" s="32"/>
      <c r="O2070" s="32"/>
      <c r="P2070" s="32"/>
      <c r="Q2070" s="34"/>
      <c r="R2070" s="35"/>
      <c r="S2070" s="35"/>
      <c r="T2070" s="36"/>
      <c r="U2070" s="36"/>
      <c r="V2070" s="36"/>
      <c r="W2070" s="36"/>
      <c r="X2070" s="36"/>
      <c r="Y2070" s="36"/>
    </row>
    <row r="2071">
      <c r="A2071" s="32"/>
      <c r="B2071" s="32"/>
      <c r="C2071" s="32"/>
      <c r="D2071" s="32"/>
      <c r="E2071" s="32"/>
      <c r="F2071" s="32"/>
      <c r="G2071" s="39"/>
      <c r="H2071" s="32"/>
      <c r="I2071" s="32"/>
      <c r="J2071" s="32"/>
      <c r="K2071" s="33"/>
      <c r="L2071" s="32"/>
      <c r="M2071" s="32"/>
      <c r="N2071" s="32"/>
      <c r="O2071" s="32"/>
      <c r="P2071" s="32"/>
      <c r="Q2071" s="34"/>
      <c r="R2071" s="35"/>
      <c r="S2071" s="35"/>
      <c r="T2071" s="36"/>
      <c r="U2071" s="36"/>
      <c r="V2071" s="36"/>
      <c r="W2071" s="36"/>
      <c r="X2071" s="36"/>
      <c r="Y2071" s="36"/>
    </row>
    <row r="2072">
      <c r="A2072" s="32"/>
      <c r="B2072" s="32"/>
      <c r="C2072" s="32"/>
      <c r="D2072" s="32"/>
      <c r="E2072" s="32"/>
      <c r="F2072" s="32"/>
      <c r="G2072" s="39"/>
      <c r="H2072" s="32"/>
      <c r="I2072" s="32"/>
      <c r="J2072" s="32"/>
      <c r="K2072" s="33"/>
      <c r="L2072" s="32"/>
      <c r="M2072" s="32"/>
      <c r="N2072" s="32"/>
      <c r="O2072" s="32"/>
      <c r="P2072" s="32"/>
      <c r="Q2072" s="34"/>
      <c r="R2072" s="35"/>
      <c r="S2072" s="35"/>
      <c r="T2072" s="36"/>
      <c r="U2072" s="36"/>
      <c r="V2072" s="36"/>
      <c r="W2072" s="36"/>
      <c r="X2072" s="36"/>
      <c r="Y2072" s="36"/>
    </row>
    <row r="2073">
      <c r="A2073" s="32"/>
      <c r="B2073" s="32"/>
      <c r="C2073" s="32"/>
      <c r="D2073" s="32"/>
      <c r="E2073" s="32"/>
      <c r="F2073" s="32"/>
      <c r="G2073" s="39"/>
      <c r="H2073" s="32"/>
      <c r="I2073" s="32"/>
      <c r="J2073" s="32"/>
      <c r="K2073" s="33"/>
      <c r="L2073" s="32"/>
      <c r="M2073" s="32"/>
      <c r="N2073" s="32"/>
      <c r="O2073" s="32"/>
      <c r="P2073" s="32"/>
      <c r="Q2073" s="34"/>
      <c r="R2073" s="35"/>
      <c r="S2073" s="35"/>
      <c r="T2073" s="36"/>
      <c r="U2073" s="36"/>
      <c r="V2073" s="36"/>
      <c r="W2073" s="36"/>
      <c r="X2073" s="36"/>
      <c r="Y2073" s="36"/>
    </row>
    <row r="2074">
      <c r="A2074" s="32"/>
      <c r="B2074" s="32"/>
      <c r="C2074" s="32"/>
      <c r="D2074" s="32"/>
      <c r="E2074" s="32"/>
      <c r="F2074" s="32"/>
      <c r="G2074" s="39"/>
      <c r="H2074" s="32"/>
      <c r="I2074" s="32"/>
      <c r="J2074" s="32"/>
      <c r="K2074" s="33"/>
      <c r="L2074" s="32"/>
      <c r="M2074" s="32"/>
      <c r="N2074" s="32"/>
      <c r="O2074" s="32"/>
      <c r="P2074" s="32"/>
      <c r="Q2074" s="34"/>
      <c r="R2074" s="35"/>
      <c r="S2074" s="35"/>
      <c r="T2074" s="36"/>
      <c r="U2074" s="36"/>
      <c r="V2074" s="36"/>
      <c r="W2074" s="36"/>
      <c r="X2074" s="36"/>
      <c r="Y2074" s="36"/>
    </row>
    <row r="2075">
      <c r="A2075" s="32"/>
      <c r="B2075" s="32"/>
      <c r="C2075" s="32"/>
      <c r="D2075" s="32"/>
      <c r="E2075" s="32"/>
      <c r="F2075" s="32"/>
      <c r="G2075" s="39"/>
      <c r="H2075" s="32"/>
      <c r="I2075" s="32"/>
      <c r="J2075" s="32"/>
      <c r="K2075" s="33"/>
      <c r="L2075" s="32"/>
      <c r="M2075" s="32"/>
      <c r="N2075" s="32"/>
      <c r="O2075" s="32"/>
      <c r="P2075" s="32"/>
      <c r="Q2075" s="34"/>
      <c r="R2075" s="35"/>
      <c r="S2075" s="35"/>
      <c r="T2075" s="36"/>
      <c r="U2075" s="36"/>
      <c r="V2075" s="36"/>
      <c r="W2075" s="36"/>
      <c r="X2075" s="36"/>
      <c r="Y2075" s="36"/>
    </row>
    <row r="2076">
      <c r="A2076" s="32"/>
      <c r="B2076" s="32"/>
      <c r="C2076" s="32"/>
      <c r="D2076" s="32"/>
      <c r="E2076" s="32"/>
      <c r="F2076" s="32"/>
      <c r="G2076" s="39"/>
      <c r="H2076" s="32"/>
      <c r="I2076" s="32"/>
      <c r="J2076" s="32"/>
      <c r="K2076" s="33"/>
      <c r="L2076" s="32"/>
      <c r="M2076" s="32"/>
      <c r="N2076" s="32"/>
      <c r="O2076" s="32"/>
      <c r="P2076" s="32"/>
      <c r="Q2076" s="34"/>
      <c r="R2076" s="35"/>
      <c r="S2076" s="35"/>
      <c r="T2076" s="36"/>
      <c r="U2076" s="36"/>
      <c r="V2076" s="36"/>
      <c r="W2076" s="36"/>
      <c r="X2076" s="36"/>
      <c r="Y2076" s="36"/>
    </row>
    <row r="2077">
      <c r="A2077" s="32"/>
      <c r="B2077" s="32"/>
      <c r="C2077" s="32"/>
      <c r="D2077" s="32"/>
      <c r="E2077" s="32"/>
      <c r="F2077" s="32"/>
      <c r="G2077" s="39"/>
      <c r="H2077" s="32"/>
      <c r="I2077" s="32"/>
      <c r="J2077" s="32"/>
      <c r="K2077" s="33"/>
      <c r="L2077" s="32"/>
      <c r="M2077" s="32"/>
      <c r="N2077" s="32"/>
      <c r="O2077" s="32"/>
      <c r="P2077" s="32"/>
      <c r="Q2077" s="34"/>
      <c r="R2077" s="35"/>
      <c r="S2077" s="35"/>
      <c r="T2077" s="36"/>
      <c r="U2077" s="36"/>
      <c r="V2077" s="36"/>
      <c r="W2077" s="36"/>
      <c r="X2077" s="36"/>
      <c r="Y2077" s="36"/>
    </row>
    <row r="2078">
      <c r="A2078" s="32"/>
      <c r="B2078" s="32"/>
      <c r="C2078" s="32"/>
      <c r="D2078" s="32"/>
      <c r="E2078" s="32"/>
      <c r="F2078" s="32"/>
      <c r="G2078" s="39"/>
      <c r="H2078" s="32"/>
      <c r="I2078" s="32"/>
      <c r="J2078" s="32"/>
      <c r="K2078" s="33"/>
      <c r="L2078" s="32"/>
      <c r="M2078" s="32"/>
      <c r="N2078" s="32"/>
      <c r="O2078" s="32"/>
      <c r="P2078" s="32"/>
      <c r="Q2078" s="34"/>
      <c r="R2078" s="35"/>
      <c r="S2078" s="35"/>
      <c r="T2078" s="36"/>
      <c r="U2078" s="36"/>
      <c r="V2078" s="36"/>
      <c r="W2078" s="36"/>
      <c r="X2078" s="36"/>
      <c r="Y2078" s="36"/>
    </row>
    <row r="2079">
      <c r="A2079" s="32"/>
      <c r="B2079" s="32"/>
      <c r="C2079" s="32"/>
      <c r="D2079" s="32"/>
      <c r="E2079" s="32"/>
      <c r="F2079" s="32"/>
      <c r="G2079" s="39"/>
      <c r="H2079" s="32"/>
      <c r="I2079" s="32"/>
      <c r="J2079" s="32"/>
      <c r="K2079" s="33"/>
      <c r="L2079" s="32"/>
      <c r="M2079" s="32"/>
      <c r="N2079" s="32"/>
      <c r="O2079" s="32"/>
      <c r="P2079" s="32"/>
      <c r="Q2079" s="34"/>
      <c r="R2079" s="35"/>
      <c r="S2079" s="35"/>
      <c r="T2079" s="36"/>
      <c r="U2079" s="36"/>
      <c r="V2079" s="36"/>
      <c r="W2079" s="36"/>
      <c r="X2079" s="36"/>
      <c r="Y2079" s="36"/>
    </row>
    <row r="2080">
      <c r="A2080" s="32"/>
      <c r="B2080" s="32"/>
      <c r="C2080" s="32"/>
      <c r="D2080" s="32"/>
      <c r="E2080" s="32"/>
      <c r="F2080" s="32"/>
      <c r="G2080" s="39"/>
      <c r="H2080" s="32"/>
      <c r="I2080" s="32"/>
      <c r="J2080" s="32"/>
      <c r="K2080" s="33"/>
      <c r="L2080" s="32"/>
      <c r="M2080" s="32"/>
      <c r="N2080" s="32"/>
      <c r="O2080" s="32"/>
      <c r="P2080" s="32"/>
      <c r="Q2080" s="34"/>
      <c r="R2080" s="35"/>
      <c r="S2080" s="35"/>
      <c r="T2080" s="36"/>
      <c r="U2080" s="36"/>
      <c r="V2080" s="36"/>
      <c r="W2080" s="36"/>
      <c r="X2080" s="36"/>
      <c r="Y2080" s="36"/>
    </row>
    <row r="2081">
      <c r="A2081" s="32"/>
      <c r="B2081" s="32"/>
      <c r="C2081" s="32"/>
      <c r="D2081" s="32"/>
      <c r="E2081" s="32"/>
      <c r="F2081" s="32"/>
      <c r="G2081" s="39"/>
      <c r="H2081" s="32"/>
      <c r="I2081" s="32"/>
      <c r="J2081" s="32"/>
      <c r="K2081" s="33"/>
      <c r="L2081" s="32"/>
      <c r="M2081" s="32"/>
      <c r="N2081" s="32"/>
      <c r="O2081" s="32"/>
      <c r="P2081" s="32"/>
      <c r="Q2081" s="34"/>
      <c r="R2081" s="35"/>
      <c r="S2081" s="35"/>
      <c r="T2081" s="36"/>
      <c r="U2081" s="36"/>
      <c r="V2081" s="36"/>
      <c r="W2081" s="36"/>
      <c r="X2081" s="36"/>
      <c r="Y2081" s="36"/>
    </row>
    <row r="2082">
      <c r="A2082" s="32"/>
      <c r="B2082" s="32"/>
      <c r="C2082" s="32"/>
      <c r="D2082" s="32"/>
      <c r="E2082" s="32"/>
      <c r="F2082" s="32"/>
      <c r="G2082" s="39"/>
      <c r="H2082" s="32"/>
      <c r="I2082" s="32"/>
      <c r="J2082" s="32"/>
      <c r="K2082" s="33"/>
      <c r="L2082" s="32"/>
      <c r="M2082" s="32"/>
      <c r="N2082" s="32"/>
      <c r="O2082" s="32"/>
      <c r="P2082" s="32"/>
      <c r="Q2082" s="34"/>
      <c r="R2082" s="35"/>
      <c r="S2082" s="35"/>
      <c r="T2082" s="36"/>
      <c r="U2082" s="36"/>
      <c r="V2082" s="36"/>
      <c r="W2082" s="36"/>
      <c r="X2082" s="36"/>
      <c r="Y2082" s="36"/>
    </row>
    <row r="2083">
      <c r="A2083" s="32"/>
      <c r="B2083" s="32"/>
      <c r="C2083" s="32"/>
      <c r="D2083" s="32"/>
      <c r="E2083" s="32"/>
      <c r="F2083" s="32"/>
      <c r="G2083" s="39"/>
      <c r="H2083" s="32"/>
      <c r="I2083" s="32"/>
      <c r="J2083" s="32"/>
      <c r="K2083" s="33"/>
      <c r="L2083" s="32"/>
      <c r="M2083" s="32"/>
      <c r="N2083" s="32"/>
      <c r="O2083" s="32"/>
      <c r="P2083" s="32"/>
      <c r="Q2083" s="34"/>
      <c r="R2083" s="35"/>
      <c r="S2083" s="35"/>
      <c r="T2083" s="36"/>
      <c r="U2083" s="36"/>
      <c r="V2083" s="36"/>
      <c r="W2083" s="36"/>
      <c r="X2083" s="36"/>
      <c r="Y2083" s="36"/>
    </row>
    <row r="2084">
      <c r="A2084" s="32"/>
      <c r="B2084" s="32"/>
      <c r="C2084" s="32"/>
      <c r="D2084" s="32"/>
      <c r="E2084" s="32"/>
      <c r="F2084" s="32"/>
      <c r="G2084" s="39"/>
      <c r="H2084" s="32"/>
      <c r="I2084" s="32"/>
      <c r="J2084" s="32"/>
      <c r="K2084" s="33"/>
      <c r="L2084" s="32"/>
      <c r="M2084" s="32"/>
      <c r="N2084" s="32"/>
      <c r="O2084" s="32"/>
      <c r="P2084" s="32"/>
      <c r="Q2084" s="34"/>
      <c r="R2084" s="35"/>
      <c r="S2084" s="35"/>
      <c r="T2084" s="36"/>
      <c r="U2084" s="36"/>
      <c r="V2084" s="36"/>
      <c r="W2084" s="36"/>
      <c r="X2084" s="36"/>
      <c r="Y2084" s="36"/>
    </row>
    <row r="2085">
      <c r="A2085" s="32"/>
      <c r="B2085" s="32"/>
      <c r="C2085" s="32"/>
      <c r="D2085" s="32"/>
      <c r="E2085" s="32"/>
      <c r="F2085" s="32"/>
      <c r="G2085" s="39"/>
      <c r="H2085" s="32"/>
      <c r="I2085" s="32"/>
      <c r="J2085" s="32"/>
      <c r="K2085" s="33"/>
      <c r="L2085" s="32"/>
      <c r="M2085" s="32"/>
      <c r="N2085" s="32"/>
      <c r="O2085" s="32"/>
      <c r="P2085" s="32"/>
      <c r="Q2085" s="34"/>
      <c r="R2085" s="35"/>
      <c r="S2085" s="35"/>
      <c r="T2085" s="36"/>
      <c r="U2085" s="36"/>
      <c r="V2085" s="36"/>
      <c r="W2085" s="36"/>
      <c r="X2085" s="36"/>
      <c r="Y2085" s="36"/>
    </row>
    <row r="2086">
      <c r="A2086" s="32"/>
      <c r="B2086" s="32"/>
      <c r="C2086" s="32"/>
      <c r="D2086" s="32"/>
      <c r="E2086" s="32"/>
      <c r="F2086" s="32"/>
      <c r="G2086" s="39"/>
      <c r="H2086" s="32"/>
      <c r="I2086" s="32"/>
      <c r="J2086" s="32"/>
      <c r="K2086" s="33"/>
      <c r="L2086" s="32"/>
      <c r="M2086" s="32"/>
      <c r="N2086" s="32"/>
      <c r="O2086" s="32"/>
      <c r="P2086" s="32"/>
      <c r="Q2086" s="34"/>
      <c r="R2086" s="35"/>
      <c r="S2086" s="35"/>
      <c r="T2086" s="36"/>
      <c r="U2086" s="36"/>
      <c r="V2086" s="36"/>
      <c r="W2086" s="36"/>
      <c r="X2086" s="36"/>
      <c r="Y2086" s="36"/>
    </row>
    <row r="2087">
      <c r="A2087" s="32"/>
      <c r="B2087" s="32"/>
      <c r="C2087" s="32"/>
      <c r="D2087" s="32"/>
      <c r="E2087" s="32"/>
      <c r="F2087" s="32"/>
      <c r="G2087" s="39"/>
      <c r="H2087" s="32"/>
      <c r="I2087" s="32"/>
      <c r="J2087" s="32"/>
      <c r="K2087" s="33"/>
      <c r="L2087" s="32"/>
      <c r="M2087" s="32"/>
      <c r="N2087" s="32"/>
      <c r="O2087" s="32"/>
      <c r="P2087" s="32"/>
      <c r="Q2087" s="34"/>
      <c r="R2087" s="35"/>
      <c r="S2087" s="35"/>
      <c r="T2087" s="36"/>
      <c r="U2087" s="36"/>
      <c r="V2087" s="36"/>
      <c r="W2087" s="36"/>
      <c r="X2087" s="36"/>
      <c r="Y2087" s="36"/>
    </row>
    <row r="2088">
      <c r="A2088" s="32"/>
      <c r="B2088" s="32"/>
      <c r="C2088" s="32"/>
      <c r="D2088" s="32"/>
      <c r="E2088" s="32"/>
      <c r="F2088" s="32"/>
      <c r="G2088" s="39"/>
      <c r="H2088" s="32"/>
      <c r="I2088" s="32"/>
      <c r="J2088" s="32"/>
      <c r="K2088" s="33"/>
      <c r="L2088" s="32"/>
      <c r="M2088" s="32"/>
      <c r="N2088" s="32"/>
      <c r="O2088" s="32"/>
      <c r="P2088" s="32"/>
      <c r="Q2088" s="34"/>
      <c r="R2088" s="35"/>
      <c r="S2088" s="35"/>
      <c r="T2088" s="36"/>
      <c r="U2088" s="36"/>
      <c r="V2088" s="36"/>
      <c r="W2088" s="36"/>
      <c r="X2088" s="36"/>
      <c r="Y2088" s="36"/>
    </row>
    <row r="2089">
      <c r="A2089" s="32"/>
      <c r="B2089" s="32"/>
      <c r="C2089" s="32"/>
      <c r="D2089" s="32"/>
      <c r="E2089" s="32"/>
      <c r="F2089" s="32"/>
      <c r="G2089" s="39"/>
      <c r="H2089" s="32"/>
      <c r="I2089" s="32"/>
      <c r="J2089" s="32"/>
      <c r="K2089" s="33"/>
      <c r="L2089" s="32"/>
      <c r="M2089" s="32"/>
      <c r="N2089" s="32"/>
      <c r="O2089" s="32"/>
      <c r="P2089" s="32"/>
      <c r="Q2089" s="34"/>
      <c r="R2089" s="35"/>
      <c r="S2089" s="35"/>
      <c r="T2089" s="36"/>
      <c r="U2089" s="36"/>
      <c r="V2089" s="36"/>
      <c r="W2089" s="36"/>
      <c r="X2089" s="36"/>
      <c r="Y2089" s="36"/>
    </row>
    <row r="2090">
      <c r="A2090" s="32"/>
      <c r="B2090" s="32"/>
      <c r="C2090" s="32"/>
      <c r="D2090" s="32"/>
      <c r="E2090" s="32"/>
      <c r="F2090" s="32"/>
      <c r="G2090" s="39"/>
      <c r="H2090" s="32"/>
      <c r="I2090" s="32"/>
      <c r="J2090" s="32"/>
      <c r="K2090" s="33"/>
      <c r="L2090" s="32"/>
      <c r="M2090" s="32"/>
      <c r="N2090" s="32"/>
      <c r="O2090" s="32"/>
      <c r="P2090" s="32"/>
      <c r="Q2090" s="34"/>
      <c r="R2090" s="35"/>
      <c r="S2090" s="35"/>
      <c r="T2090" s="36"/>
      <c r="U2090" s="36"/>
      <c r="V2090" s="36"/>
      <c r="W2090" s="36"/>
      <c r="X2090" s="36"/>
      <c r="Y2090" s="36"/>
    </row>
    <row r="2091">
      <c r="A2091" s="32"/>
      <c r="B2091" s="32"/>
      <c r="C2091" s="32"/>
      <c r="D2091" s="32"/>
      <c r="E2091" s="32"/>
      <c r="F2091" s="32"/>
      <c r="G2091" s="39"/>
      <c r="H2091" s="32"/>
      <c r="I2091" s="32"/>
      <c r="J2091" s="32"/>
      <c r="K2091" s="33"/>
      <c r="L2091" s="32"/>
      <c r="M2091" s="32"/>
      <c r="N2091" s="32"/>
      <c r="O2091" s="32"/>
      <c r="P2091" s="32"/>
      <c r="Q2091" s="34"/>
      <c r="R2091" s="35"/>
      <c r="S2091" s="35"/>
      <c r="T2091" s="36"/>
      <c r="U2091" s="36"/>
      <c r="V2091" s="36"/>
      <c r="W2091" s="36"/>
      <c r="X2091" s="36"/>
      <c r="Y2091" s="36"/>
    </row>
    <row r="2092">
      <c r="A2092" s="32"/>
      <c r="B2092" s="32"/>
      <c r="C2092" s="32"/>
      <c r="D2092" s="32"/>
      <c r="E2092" s="32"/>
      <c r="F2092" s="32"/>
      <c r="G2092" s="39"/>
      <c r="H2092" s="32"/>
      <c r="I2092" s="32"/>
      <c r="J2092" s="32"/>
      <c r="K2092" s="33"/>
      <c r="L2092" s="32"/>
      <c r="M2092" s="32"/>
      <c r="N2092" s="32"/>
      <c r="O2092" s="32"/>
      <c r="P2092" s="32"/>
      <c r="Q2092" s="34"/>
      <c r="R2092" s="35"/>
      <c r="S2092" s="35"/>
      <c r="T2092" s="36"/>
      <c r="U2092" s="36"/>
      <c r="V2092" s="36"/>
      <c r="W2092" s="36"/>
      <c r="X2092" s="36"/>
      <c r="Y2092" s="36"/>
    </row>
    <row r="2093">
      <c r="A2093" s="32"/>
      <c r="B2093" s="32"/>
      <c r="C2093" s="32"/>
      <c r="D2093" s="32"/>
      <c r="E2093" s="32"/>
      <c r="F2093" s="32"/>
      <c r="G2093" s="39"/>
      <c r="H2093" s="32"/>
      <c r="I2093" s="32"/>
      <c r="J2093" s="32"/>
      <c r="K2093" s="33"/>
      <c r="L2093" s="32"/>
      <c r="M2093" s="32"/>
      <c r="N2093" s="32"/>
      <c r="O2093" s="32"/>
      <c r="P2093" s="32"/>
      <c r="Q2093" s="34"/>
      <c r="R2093" s="35"/>
      <c r="S2093" s="35"/>
      <c r="T2093" s="36"/>
      <c r="U2093" s="36"/>
      <c r="V2093" s="36"/>
      <c r="W2093" s="36"/>
      <c r="X2093" s="36"/>
      <c r="Y2093" s="36"/>
    </row>
    <row r="2094">
      <c r="A2094" s="32"/>
      <c r="B2094" s="32"/>
      <c r="C2094" s="32"/>
      <c r="D2094" s="32"/>
      <c r="E2094" s="32"/>
      <c r="F2094" s="32"/>
      <c r="G2094" s="39"/>
      <c r="H2094" s="32"/>
      <c r="I2094" s="32"/>
      <c r="J2094" s="32"/>
      <c r="K2094" s="33"/>
      <c r="L2094" s="32"/>
      <c r="M2094" s="32"/>
      <c r="N2094" s="32"/>
      <c r="O2094" s="32"/>
      <c r="P2094" s="32"/>
      <c r="Q2094" s="34"/>
      <c r="R2094" s="35"/>
      <c r="S2094" s="35"/>
      <c r="T2094" s="36"/>
      <c r="U2094" s="36"/>
      <c r="V2094" s="36"/>
      <c r="W2094" s="36"/>
      <c r="X2094" s="36"/>
      <c r="Y2094" s="36"/>
    </row>
    <row r="2095">
      <c r="A2095" s="32"/>
      <c r="B2095" s="32"/>
      <c r="C2095" s="32"/>
      <c r="D2095" s="32"/>
      <c r="E2095" s="32"/>
      <c r="F2095" s="32"/>
      <c r="G2095" s="39"/>
      <c r="H2095" s="32"/>
      <c r="I2095" s="32"/>
      <c r="J2095" s="32"/>
      <c r="K2095" s="33"/>
      <c r="L2095" s="32"/>
      <c r="M2095" s="32"/>
      <c r="N2095" s="32"/>
      <c r="O2095" s="32"/>
      <c r="P2095" s="32"/>
      <c r="Q2095" s="34"/>
      <c r="R2095" s="35"/>
      <c r="S2095" s="35"/>
      <c r="T2095" s="36"/>
      <c r="U2095" s="36"/>
      <c r="V2095" s="36"/>
      <c r="W2095" s="36"/>
      <c r="X2095" s="36"/>
      <c r="Y2095" s="36"/>
    </row>
    <row r="2096">
      <c r="A2096" s="32"/>
      <c r="B2096" s="32"/>
      <c r="C2096" s="32"/>
      <c r="D2096" s="32"/>
      <c r="E2096" s="32"/>
      <c r="F2096" s="32"/>
      <c r="G2096" s="39"/>
      <c r="H2096" s="32"/>
      <c r="I2096" s="32"/>
      <c r="J2096" s="32"/>
      <c r="K2096" s="33"/>
      <c r="L2096" s="32"/>
      <c r="M2096" s="32"/>
      <c r="N2096" s="32"/>
      <c r="O2096" s="32"/>
      <c r="P2096" s="32"/>
      <c r="Q2096" s="34"/>
      <c r="R2096" s="35"/>
      <c r="S2096" s="35"/>
      <c r="T2096" s="36"/>
      <c r="U2096" s="36"/>
      <c r="V2096" s="36"/>
      <c r="W2096" s="36"/>
      <c r="X2096" s="36"/>
      <c r="Y2096" s="36"/>
    </row>
    <row r="2097">
      <c r="A2097" s="32"/>
      <c r="B2097" s="32"/>
      <c r="C2097" s="32"/>
      <c r="D2097" s="32"/>
      <c r="E2097" s="32"/>
      <c r="F2097" s="32"/>
      <c r="G2097" s="39"/>
      <c r="H2097" s="32"/>
      <c r="I2097" s="32"/>
      <c r="J2097" s="32"/>
      <c r="K2097" s="33"/>
      <c r="L2097" s="32"/>
      <c r="M2097" s="32"/>
      <c r="N2097" s="32"/>
      <c r="O2097" s="32"/>
      <c r="P2097" s="32"/>
      <c r="Q2097" s="34"/>
      <c r="R2097" s="35"/>
      <c r="S2097" s="35"/>
      <c r="T2097" s="36"/>
      <c r="U2097" s="36"/>
      <c r="V2097" s="36"/>
      <c r="W2097" s="36"/>
      <c r="X2097" s="36"/>
      <c r="Y2097" s="36"/>
    </row>
    <row r="2098">
      <c r="A2098" s="32"/>
      <c r="B2098" s="32"/>
      <c r="C2098" s="32"/>
      <c r="D2098" s="32"/>
      <c r="E2098" s="32"/>
      <c r="F2098" s="32"/>
      <c r="G2098" s="39"/>
      <c r="H2098" s="32"/>
      <c r="I2098" s="32"/>
      <c r="J2098" s="32"/>
      <c r="K2098" s="33"/>
      <c r="L2098" s="32"/>
      <c r="M2098" s="32"/>
      <c r="N2098" s="32"/>
      <c r="O2098" s="32"/>
      <c r="P2098" s="32"/>
      <c r="Q2098" s="34"/>
      <c r="R2098" s="35"/>
      <c r="S2098" s="35"/>
      <c r="T2098" s="36"/>
      <c r="U2098" s="36"/>
      <c r="V2098" s="36"/>
      <c r="W2098" s="36"/>
      <c r="X2098" s="36"/>
      <c r="Y2098" s="36"/>
    </row>
    <row r="2099">
      <c r="A2099" s="32"/>
      <c r="B2099" s="32"/>
      <c r="C2099" s="32"/>
      <c r="D2099" s="32"/>
      <c r="E2099" s="32"/>
      <c r="F2099" s="32"/>
      <c r="G2099" s="39"/>
      <c r="H2099" s="32"/>
      <c r="I2099" s="32"/>
      <c r="J2099" s="32"/>
      <c r="K2099" s="33"/>
      <c r="L2099" s="32"/>
      <c r="M2099" s="32"/>
      <c r="N2099" s="32"/>
      <c r="O2099" s="32"/>
      <c r="P2099" s="32"/>
      <c r="Q2099" s="34"/>
      <c r="R2099" s="35"/>
      <c r="S2099" s="35"/>
      <c r="T2099" s="36"/>
      <c r="U2099" s="36"/>
      <c r="V2099" s="36"/>
      <c r="W2099" s="36"/>
      <c r="X2099" s="36"/>
      <c r="Y2099" s="36"/>
    </row>
    <row r="2100">
      <c r="A2100" s="32"/>
      <c r="B2100" s="32"/>
      <c r="C2100" s="32"/>
      <c r="D2100" s="32"/>
      <c r="E2100" s="32"/>
      <c r="F2100" s="32"/>
      <c r="G2100" s="39"/>
      <c r="H2100" s="32"/>
      <c r="I2100" s="32"/>
      <c r="J2100" s="32"/>
      <c r="K2100" s="33"/>
      <c r="L2100" s="32"/>
      <c r="M2100" s="32"/>
      <c r="N2100" s="32"/>
      <c r="O2100" s="32"/>
      <c r="P2100" s="32"/>
      <c r="Q2100" s="34"/>
      <c r="R2100" s="35"/>
      <c r="S2100" s="35"/>
      <c r="T2100" s="36"/>
      <c r="U2100" s="36"/>
      <c r="V2100" s="36"/>
      <c r="W2100" s="36"/>
      <c r="X2100" s="36"/>
      <c r="Y2100" s="36"/>
    </row>
    <row r="2101">
      <c r="A2101" s="32"/>
      <c r="B2101" s="32"/>
      <c r="C2101" s="32"/>
      <c r="D2101" s="32"/>
      <c r="E2101" s="32"/>
      <c r="F2101" s="32"/>
      <c r="G2101" s="39"/>
      <c r="H2101" s="32"/>
      <c r="I2101" s="32"/>
      <c r="J2101" s="32"/>
      <c r="K2101" s="33"/>
      <c r="L2101" s="32"/>
      <c r="M2101" s="32"/>
      <c r="N2101" s="32"/>
      <c r="O2101" s="32"/>
      <c r="P2101" s="32"/>
      <c r="Q2101" s="34"/>
      <c r="R2101" s="35"/>
      <c r="S2101" s="35"/>
      <c r="T2101" s="36"/>
      <c r="U2101" s="36"/>
      <c r="V2101" s="36"/>
      <c r="W2101" s="36"/>
      <c r="X2101" s="36"/>
      <c r="Y2101" s="36"/>
    </row>
    <row r="2102">
      <c r="A2102" s="32"/>
      <c r="B2102" s="32"/>
      <c r="C2102" s="32"/>
      <c r="D2102" s="32"/>
      <c r="E2102" s="32"/>
      <c r="F2102" s="32"/>
      <c r="G2102" s="39"/>
      <c r="H2102" s="32"/>
      <c r="I2102" s="32"/>
      <c r="J2102" s="32"/>
      <c r="K2102" s="33"/>
      <c r="L2102" s="32"/>
      <c r="M2102" s="32"/>
      <c r="N2102" s="32"/>
      <c r="O2102" s="32"/>
      <c r="P2102" s="32"/>
      <c r="Q2102" s="34"/>
      <c r="R2102" s="35"/>
      <c r="S2102" s="35"/>
      <c r="T2102" s="36"/>
      <c r="U2102" s="36"/>
      <c r="V2102" s="36"/>
      <c r="W2102" s="36"/>
      <c r="X2102" s="36"/>
      <c r="Y2102" s="36"/>
    </row>
    <row r="2103">
      <c r="A2103" s="32"/>
      <c r="B2103" s="32"/>
      <c r="C2103" s="32"/>
      <c r="D2103" s="32"/>
      <c r="E2103" s="32"/>
      <c r="F2103" s="32"/>
      <c r="G2103" s="39"/>
      <c r="H2103" s="32"/>
      <c r="I2103" s="32"/>
      <c r="J2103" s="32"/>
      <c r="K2103" s="33"/>
      <c r="L2103" s="32"/>
      <c r="M2103" s="32"/>
      <c r="N2103" s="32"/>
      <c r="O2103" s="32"/>
      <c r="P2103" s="32"/>
      <c r="Q2103" s="34"/>
      <c r="R2103" s="35"/>
      <c r="S2103" s="35"/>
      <c r="T2103" s="36"/>
      <c r="U2103" s="36"/>
      <c r="V2103" s="36"/>
      <c r="W2103" s="36"/>
      <c r="X2103" s="36"/>
      <c r="Y2103" s="36"/>
    </row>
    <row r="2104">
      <c r="A2104" s="32"/>
      <c r="B2104" s="32"/>
      <c r="C2104" s="32"/>
      <c r="D2104" s="32"/>
      <c r="E2104" s="32"/>
      <c r="F2104" s="32"/>
      <c r="G2104" s="39"/>
      <c r="H2104" s="32"/>
      <c r="I2104" s="32"/>
      <c r="J2104" s="32"/>
      <c r="K2104" s="33"/>
      <c r="L2104" s="32"/>
      <c r="M2104" s="32"/>
      <c r="N2104" s="32"/>
      <c r="O2104" s="32"/>
      <c r="P2104" s="32"/>
      <c r="Q2104" s="34"/>
      <c r="R2104" s="35"/>
      <c r="S2104" s="35"/>
      <c r="T2104" s="36"/>
      <c r="U2104" s="36"/>
      <c r="V2104" s="36"/>
      <c r="W2104" s="36"/>
      <c r="X2104" s="36"/>
      <c r="Y2104" s="36"/>
    </row>
    <row r="2105">
      <c r="A2105" s="32"/>
      <c r="B2105" s="32"/>
      <c r="C2105" s="32"/>
      <c r="D2105" s="32"/>
      <c r="E2105" s="32"/>
      <c r="F2105" s="32"/>
      <c r="G2105" s="39"/>
      <c r="H2105" s="32"/>
      <c r="I2105" s="32"/>
      <c r="J2105" s="32"/>
      <c r="K2105" s="33"/>
      <c r="L2105" s="32"/>
      <c r="M2105" s="32"/>
      <c r="N2105" s="32"/>
      <c r="O2105" s="32"/>
      <c r="P2105" s="32"/>
      <c r="Q2105" s="34"/>
      <c r="R2105" s="35"/>
      <c r="S2105" s="35"/>
      <c r="T2105" s="36"/>
      <c r="U2105" s="36"/>
      <c r="V2105" s="36"/>
      <c r="W2105" s="36"/>
      <c r="X2105" s="36"/>
      <c r="Y2105" s="36"/>
    </row>
    <row r="2106">
      <c r="A2106" s="32"/>
      <c r="B2106" s="32"/>
      <c r="C2106" s="32"/>
      <c r="D2106" s="32"/>
      <c r="E2106" s="32"/>
      <c r="F2106" s="32"/>
      <c r="G2106" s="39"/>
      <c r="H2106" s="32"/>
      <c r="I2106" s="32"/>
      <c r="J2106" s="32"/>
      <c r="K2106" s="33"/>
      <c r="L2106" s="32"/>
      <c r="M2106" s="32"/>
      <c r="N2106" s="32"/>
      <c r="O2106" s="32"/>
      <c r="P2106" s="32"/>
      <c r="Q2106" s="34"/>
      <c r="R2106" s="35"/>
      <c r="S2106" s="35"/>
      <c r="T2106" s="36"/>
      <c r="U2106" s="36"/>
      <c r="V2106" s="36"/>
      <c r="W2106" s="36"/>
      <c r="X2106" s="36"/>
      <c r="Y2106" s="36"/>
    </row>
    <row r="2107">
      <c r="A2107" s="32"/>
      <c r="B2107" s="32"/>
      <c r="C2107" s="32"/>
      <c r="D2107" s="32"/>
      <c r="E2107" s="32"/>
      <c r="F2107" s="32"/>
      <c r="G2107" s="39"/>
      <c r="H2107" s="32"/>
      <c r="I2107" s="32"/>
      <c r="J2107" s="32"/>
      <c r="K2107" s="33"/>
      <c r="L2107" s="32"/>
      <c r="M2107" s="32"/>
      <c r="N2107" s="32"/>
      <c r="O2107" s="32"/>
      <c r="P2107" s="32"/>
      <c r="Q2107" s="34"/>
      <c r="R2107" s="35"/>
      <c r="S2107" s="35"/>
      <c r="T2107" s="36"/>
      <c r="U2107" s="36"/>
      <c r="V2107" s="36"/>
      <c r="W2107" s="36"/>
      <c r="X2107" s="36"/>
      <c r="Y2107" s="36"/>
    </row>
    <row r="2108">
      <c r="A2108" s="32"/>
      <c r="B2108" s="32"/>
      <c r="C2108" s="32"/>
      <c r="D2108" s="32"/>
      <c r="E2108" s="32"/>
      <c r="F2108" s="32"/>
      <c r="G2108" s="39"/>
      <c r="H2108" s="32"/>
      <c r="I2108" s="32"/>
      <c r="J2108" s="32"/>
      <c r="K2108" s="33"/>
      <c r="L2108" s="32"/>
      <c r="M2108" s="32"/>
      <c r="N2108" s="32"/>
      <c r="O2108" s="32"/>
      <c r="P2108" s="32"/>
      <c r="Q2108" s="34"/>
      <c r="R2108" s="35"/>
      <c r="S2108" s="35"/>
      <c r="T2108" s="36"/>
      <c r="U2108" s="36"/>
      <c r="V2108" s="36"/>
      <c r="W2108" s="36"/>
      <c r="X2108" s="36"/>
      <c r="Y2108" s="36"/>
    </row>
    <row r="2109">
      <c r="A2109" s="32"/>
      <c r="B2109" s="32"/>
      <c r="C2109" s="32"/>
      <c r="D2109" s="32"/>
      <c r="E2109" s="32"/>
      <c r="F2109" s="32"/>
      <c r="G2109" s="39"/>
      <c r="H2109" s="32"/>
      <c r="I2109" s="32"/>
      <c r="J2109" s="32"/>
      <c r="K2109" s="33"/>
      <c r="L2109" s="32"/>
      <c r="M2109" s="32"/>
      <c r="N2109" s="32"/>
      <c r="O2109" s="32"/>
      <c r="P2109" s="32"/>
      <c r="Q2109" s="34"/>
      <c r="R2109" s="35"/>
      <c r="S2109" s="35"/>
      <c r="T2109" s="36"/>
      <c r="U2109" s="36"/>
      <c r="V2109" s="36"/>
      <c r="W2109" s="36"/>
      <c r="X2109" s="36"/>
      <c r="Y2109" s="36"/>
    </row>
    <row r="2110">
      <c r="A2110" s="32"/>
      <c r="B2110" s="32"/>
      <c r="C2110" s="32"/>
      <c r="D2110" s="32"/>
      <c r="E2110" s="32"/>
      <c r="F2110" s="32"/>
      <c r="G2110" s="39"/>
      <c r="H2110" s="32"/>
      <c r="I2110" s="32"/>
      <c r="J2110" s="32"/>
      <c r="K2110" s="33"/>
      <c r="L2110" s="32"/>
      <c r="M2110" s="32"/>
      <c r="N2110" s="32"/>
      <c r="O2110" s="32"/>
      <c r="P2110" s="32"/>
      <c r="Q2110" s="34"/>
      <c r="R2110" s="35"/>
      <c r="S2110" s="35"/>
      <c r="T2110" s="36"/>
      <c r="U2110" s="36"/>
      <c r="V2110" s="36"/>
      <c r="W2110" s="36"/>
      <c r="X2110" s="36"/>
      <c r="Y2110" s="36"/>
    </row>
    <row r="2111">
      <c r="A2111" s="32"/>
      <c r="B2111" s="32"/>
      <c r="C2111" s="32"/>
      <c r="D2111" s="32"/>
      <c r="E2111" s="32"/>
      <c r="F2111" s="32"/>
      <c r="G2111" s="39"/>
      <c r="H2111" s="32"/>
      <c r="I2111" s="32"/>
      <c r="J2111" s="32"/>
      <c r="K2111" s="33"/>
      <c r="L2111" s="32"/>
      <c r="M2111" s="32"/>
      <c r="N2111" s="32"/>
      <c r="O2111" s="32"/>
      <c r="P2111" s="32"/>
      <c r="Q2111" s="34"/>
      <c r="R2111" s="35"/>
      <c r="S2111" s="35"/>
      <c r="T2111" s="36"/>
      <c r="U2111" s="36"/>
      <c r="V2111" s="36"/>
      <c r="W2111" s="36"/>
      <c r="X2111" s="36"/>
      <c r="Y2111" s="36"/>
    </row>
    <row r="2112">
      <c r="A2112" s="32"/>
      <c r="B2112" s="32"/>
      <c r="C2112" s="32"/>
      <c r="D2112" s="32"/>
      <c r="E2112" s="32"/>
      <c r="F2112" s="32"/>
      <c r="G2112" s="39"/>
      <c r="H2112" s="32"/>
      <c r="I2112" s="32"/>
      <c r="J2112" s="32"/>
      <c r="K2112" s="33"/>
      <c r="L2112" s="32"/>
      <c r="M2112" s="32"/>
      <c r="N2112" s="32"/>
      <c r="O2112" s="32"/>
      <c r="P2112" s="32"/>
      <c r="Q2112" s="34"/>
      <c r="R2112" s="35"/>
      <c r="S2112" s="35"/>
      <c r="T2112" s="36"/>
      <c r="U2112" s="36"/>
      <c r="V2112" s="36"/>
      <c r="W2112" s="36"/>
      <c r="X2112" s="36"/>
      <c r="Y2112" s="36"/>
    </row>
    <row r="2113">
      <c r="A2113" s="32"/>
      <c r="B2113" s="32"/>
      <c r="C2113" s="32"/>
      <c r="D2113" s="32"/>
      <c r="E2113" s="32"/>
      <c r="F2113" s="32"/>
      <c r="G2113" s="39"/>
      <c r="H2113" s="32"/>
      <c r="I2113" s="32"/>
      <c r="J2113" s="32"/>
      <c r="K2113" s="33"/>
      <c r="L2113" s="32"/>
      <c r="M2113" s="32"/>
      <c r="N2113" s="32"/>
      <c r="O2113" s="32"/>
      <c r="P2113" s="32"/>
      <c r="Q2113" s="34"/>
      <c r="R2113" s="35"/>
      <c r="S2113" s="35"/>
      <c r="T2113" s="36"/>
      <c r="U2113" s="36"/>
      <c r="V2113" s="36"/>
      <c r="W2113" s="36"/>
      <c r="X2113" s="36"/>
      <c r="Y2113" s="36"/>
    </row>
    <row r="2114">
      <c r="A2114" s="32"/>
      <c r="B2114" s="32"/>
      <c r="C2114" s="32"/>
      <c r="D2114" s="32"/>
      <c r="E2114" s="32"/>
      <c r="F2114" s="32"/>
      <c r="G2114" s="39"/>
      <c r="H2114" s="32"/>
      <c r="I2114" s="32"/>
      <c r="J2114" s="32"/>
      <c r="K2114" s="33"/>
      <c r="L2114" s="32"/>
      <c r="M2114" s="32"/>
      <c r="N2114" s="32"/>
      <c r="O2114" s="32"/>
      <c r="P2114" s="32"/>
      <c r="Q2114" s="34"/>
      <c r="R2114" s="35"/>
      <c r="S2114" s="35"/>
      <c r="T2114" s="36"/>
      <c r="U2114" s="36"/>
      <c r="V2114" s="36"/>
      <c r="W2114" s="36"/>
      <c r="X2114" s="36"/>
      <c r="Y2114" s="36"/>
    </row>
    <row r="2115">
      <c r="A2115" s="32"/>
      <c r="B2115" s="32"/>
      <c r="C2115" s="32"/>
      <c r="D2115" s="32"/>
      <c r="E2115" s="32"/>
      <c r="F2115" s="32"/>
      <c r="G2115" s="39"/>
      <c r="H2115" s="32"/>
      <c r="I2115" s="32"/>
      <c r="J2115" s="32"/>
      <c r="K2115" s="33"/>
      <c r="L2115" s="32"/>
      <c r="M2115" s="32"/>
      <c r="N2115" s="32"/>
      <c r="O2115" s="32"/>
      <c r="P2115" s="32"/>
      <c r="Q2115" s="34"/>
      <c r="R2115" s="35"/>
      <c r="S2115" s="35"/>
      <c r="T2115" s="36"/>
      <c r="U2115" s="36"/>
      <c r="V2115" s="36"/>
      <c r="W2115" s="36"/>
      <c r="X2115" s="36"/>
      <c r="Y2115" s="36"/>
    </row>
    <row r="2116">
      <c r="A2116" s="32"/>
      <c r="B2116" s="32"/>
      <c r="C2116" s="32"/>
      <c r="D2116" s="32"/>
      <c r="E2116" s="32"/>
      <c r="F2116" s="32"/>
      <c r="G2116" s="39"/>
      <c r="H2116" s="32"/>
      <c r="I2116" s="32"/>
      <c r="J2116" s="32"/>
      <c r="K2116" s="33"/>
      <c r="L2116" s="32"/>
      <c r="M2116" s="32"/>
      <c r="N2116" s="32"/>
      <c r="O2116" s="32"/>
      <c r="P2116" s="32"/>
      <c r="Q2116" s="34"/>
      <c r="R2116" s="35"/>
      <c r="S2116" s="35"/>
      <c r="T2116" s="36"/>
      <c r="U2116" s="36"/>
      <c r="V2116" s="36"/>
      <c r="W2116" s="36"/>
      <c r="X2116" s="36"/>
      <c r="Y2116" s="36"/>
    </row>
    <row r="2117">
      <c r="A2117" s="32"/>
      <c r="B2117" s="32"/>
      <c r="C2117" s="32"/>
      <c r="D2117" s="32"/>
      <c r="E2117" s="32"/>
      <c r="F2117" s="32"/>
      <c r="G2117" s="39"/>
      <c r="H2117" s="32"/>
      <c r="I2117" s="32"/>
      <c r="J2117" s="32"/>
      <c r="K2117" s="33"/>
      <c r="L2117" s="32"/>
      <c r="M2117" s="32"/>
      <c r="N2117" s="32"/>
      <c r="O2117" s="32"/>
      <c r="P2117" s="32"/>
      <c r="Q2117" s="34"/>
      <c r="R2117" s="35"/>
      <c r="S2117" s="35"/>
      <c r="T2117" s="36"/>
      <c r="U2117" s="36"/>
      <c r="V2117" s="36"/>
      <c r="W2117" s="36"/>
      <c r="X2117" s="36"/>
      <c r="Y2117" s="36"/>
    </row>
    <row r="2118">
      <c r="A2118" s="32"/>
      <c r="B2118" s="32"/>
      <c r="C2118" s="32"/>
      <c r="D2118" s="32"/>
      <c r="E2118" s="32"/>
      <c r="F2118" s="32"/>
      <c r="G2118" s="39"/>
      <c r="H2118" s="32"/>
      <c r="I2118" s="32"/>
      <c r="J2118" s="32"/>
      <c r="K2118" s="33"/>
      <c r="L2118" s="32"/>
      <c r="M2118" s="32"/>
      <c r="N2118" s="32"/>
      <c r="O2118" s="32"/>
      <c r="P2118" s="32"/>
      <c r="Q2118" s="34"/>
      <c r="R2118" s="35"/>
      <c r="S2118" s="35"/>
      <c r="T2118" s="36"/>
      <c r="U2118" s="36"/>
      <c r="V2118" s="36"/>
      <c r="W2118" s="36"/>
      <c r="X2118" s="36"/>
      <c r="Y2118" s="36"/>
    </row>
    <row r="2119">
      <c r="A2119" s="32"/>
      <c r="B2119" s="32"/>
      <c r="C2119" s="32"/>
      <c r="D2119" s="32"/>
      <c r="E2119" s="32"/>
      <c r="F2119" s="32"/>
      <c r="G2119" s="39"/>
      <c r="H2119" s="32"/>
      <c r="I2119" s="32"/>
      <c r="J2119" s="32"/>
      <c r="K2119" s="33"/>
      <c r="L2119" s="32"/>
      <c r="M2119" s="32"/>
      <c r="N2119" s="32"/>
      <c r="O2119" s="32"/>
      <c r="P2119" s="32"/>
      <c r="Q2119" s="34"/>
      <c r="R2119" s="35"/>
      <c r="S2119" s="35"/>
      <c r="T2119" s="36"/>
      <c r="U2119" s="36"/>
      <c r="V2119" s="36"/>
      <c r="W2119" s="36"/>
      <c r="X2119" s="36"/>
      <c r="Y2119" s="36"/>
    </row>
    <row r="2120">
      <c r="A2120" s="32"/>
      <c r="B2120" s="32"/>
      <c r="C2120" s="32"/>
      <c r="D2120" s="32"/>
      <c r="E2120" s="32"/>
      <c r="F2120" s="32"/>
      <c r="G2120" s="39"/>
      <c r="H2120" s="32"/>
      <c r="I2120" s="32"/>
      <c r="J2120" s="32"/>
      <c r="K2120" s="33"/>
      <c r="L2120" s="32"/>
      <c r="M2120" s="32"/>
      <c r="N2120" s="32"/>
      <c r="O2120" s="32"/>
      <c r="P2120" s="32"/>
      <c r="Q2120" s="34"/>
      <c r="R2120" s="35"/>
      <c r="S2120" s="35"/>
      <c r="T2120" s="36"/>
      <c r="U2120" s="36"/>
      <c r="V2120" s="36"/>
      <c r="W2120" s="36"/>
      <c r="X2120" s="36"/>
      <c r="Y2120" s="36"/>
    </row>
    <row r="2121">
      <c r="A2121" s="32"/>
      <c r="B2121" s="32"/>
      <c r="C2121" s="32"/>
      <c r="D2121" s="32"/>
      <c r="E2121" s="32"/>
      <c r="F2121" s="32"/>
      <c r="G2121" s="39"/>
      <c r="H2121" s="32"/>
      <c r="I2121" s="32"/>
      <c r="J2121" s="32"/>
      <c r="K2121" s="33"/>
      <c r="L2121" s="32"/>
      <c r="M2121" s="32"/>
      <c r="N2121" s="32"/>
      <c r="O2121" s="32"/>
      <c r="P2121" s="32"/>
      <c r="Q2121" s="34"/>
      <c r="R2121" s="35"/>
      <c r="S2121" s="35"/>
      <c r="T2121" s="36"/>
      <c r="U2121" s="36"/>
      <c r="V2121" s="36"/>
      <c r="W2121" s="36"/>
      <c r="X2121" s="36"/>
      <c r="Y2121" s="36"/>
    </row>
    <row r="2122">
      <c r="A2122" s="32"/>
      <c r="B2122" s="32"/>
      <c r="C2122" s="32"/>
      <c r="D2122" s="32"/>
      <c r="E2122" s="32"/>
      <c r="F2122" s="32"/>
      <c r="G2122" s="39"/>
      <c r="H2122" s="32"/>
      <c r="I2122" s="32"/>
      <c r="J2122" s="32"/>
      <c r="K2122" s="33"/>
      <c r="L2122" s="32"/>
      <c r="M2122" s="32"/>
      <c r="N2122" s="32"/>
      <c r="O2122" s="32"/>
      <c r="P2122" s="32"/>
      <c r="Q2122" s="34"/>
      <c r="R2122" s="35"/>
      <c r="S2122" s="35"/>
      <c r="T2122" s="36"/>
      <c r="U2122" s="36"/>
      <c r="V2122" s="36"/>
      <c r="W2122" s="36"/>
      <c r="X2122" s="36"/>
      <c r="Y2122" s="36"/>
    </row>
    <row r="2123">
      <c r="A2123" s="32"/>
      <c r="B2123" s="32"/>
      <c r="C2123" s="32"/>
      <c r="D2123" s="32"/>
      <c r="E2123" s="32"/>
      <c r="F2123" s="32"/>
      <c r="G2123" s="39"/>
      <c r="H2123" s="32"/>
      <c r="I2123" s="32"/>
      <c r="J2123" s="32"/>
      <c r="K2123" s="33"/>
      <c r="L2123" s="32"/>
      <c r="M2123" s="32"/>
      <c r="N2123" s="32"/>
      <c r="O2123" s="32"/>
      <c r="P2123" s="32"/>
      <c r="Q2123" s="34"/>
      <c r="R2123" s="35"/>
      <c r="S2123" s="35"/>
      <c r="T2123" s="36"/>
      <c r="U2123" s="36"/>
      <c r="V2123" s="36"/>
      <c r="W2123" s="36"/>
      <c r="X2123" s="36"/>
      <c r="Y2123" s="36"/>
    </row>
    <row r="2124">
      <c r="A2124" s="32"/>
      <c r="B2124" s="32"/>
      <c r="C2124" s="32"/>
      <c r="D2124" s="32"/>
      <c r="E2124" s="32"/>
      <c r="F2124" s="32"/>
      <c r="G2124" s="39"/>
      <c r="H2124" s="32"/>
      <c r="I2124" s="32"/>
      <c r="J2124" s="32"/>
      <c r="K2124" s="33"/>
      <c r="L2124" s="32"/>
      <c r="M2124" s="32"/>
      <c r="N2124" s="32"/>
      <c r="O2124" s="32"/>
      <c r="P2124" s="32"/>
      <c r="Q2124" s="34"/>
      <c r="R2124" s="35"/>
      <c r="S2124" s="35"/>
      <c r="T2124" s="36"/>
      <c r="U2124" s="36"/>
      <c r="V2124" s="36"/>
      <c r="W2124" s="36"/>
      <c r="X2124" s="36"/>
      <c r="Y2124" s="36"/>
    </row>
    <row r="2125">
      <c r="A2125" s="32"/>
      <c r="B2125" s="32"/>
      <c r="C2125" s="32"/>
      <c r="D2125" s="32"/>
      <c r="E2125" s="32"/>
      <c r="F2125" s="32"/>
      <c r="G2125" s="39"/>
      <c r="H2125" s="32"/>
      <c r="I2125" s="32"/>
      <c r="J2125" s="32"/>
      <c r="K2125" s="33"/>
      <c r="L2125" s="32"/>
      <c r="M2125" s="32"/>
      <c r="N2125" s="32"/>
      <c r="O2125" s="32"/>
      <c r="P2125" s="32"/>
      <c r="Q2125" s="34"/>
      <c r="R2125" s="35"/>
      <c r="S2125" s="35"/>
      <c r="T2125" s="36"/>
      <c r="U2125" s="36"/>
      <c r="V2125" s="36"/>
      <c r="W2125" s="36"/>
      <c r="X2125" s="36"/>
      <c r="Y2125" s="36"/>
    </row>
    <row r="2126">
      <c r="A2126" s="32"/>
      <c r="B2126" s="32"/>
      <c r="C2126" s="32"/>
      <c r="D2126" s="32"/>
      <c r="E2126" s="32"/>
      <c r="F2126" s="32"/>
      <c r="G2126" s="39"/>
      <c r="H2126" s="32"/>
      <c r="I2126" s="32"/>
      <c r="J2126" s="32"/>
      <c r="K2126" s="33"/>
      <c r="L2126" s="32"/>
      <c r="M2126" s="32"/>
      <c r="N2126" s="32"/>
      <c r="O2126" s="32"/>
      <c r="P2126" s="32"/>
      <c r="Q2126" s="34"/>
      <c r="R2126" s="35"/>
      <c r="S2126" s="35"/>
      <c r="T2126" s="36"/>
      <c r="U2126" s="36"/>
      <c r="V2126" s="36"/>
      <c r="W2126" s="36"/>
      <c r="X2126" s="36"/>
      <c r="Y2126" s="36"/>
    </row>
    <row r="2127">
      <c r="A2127" s="32"/>
      <c r="B2127" s="32"/>
      <c r="C2127" s="32"/>
      <c r="D2127" s="32"/>
      <c r="E2127" s="32"/>
      <c r="F2127" s="32"/>
      <c r="G2127" s="39"/>
      <c r="H2127" s="32"/>
      <c r="I2127" s="32"/>
      <c r="J2127" s="32"/>
      <c r="K2127" s="33"/>
      <c r="L2127" s="32"/>
      <c r="M2127" s="32"/>
      <c r="N2127" s="32"/>
      <c r="O2127" s="32"/>
      <c r="P2127" s="32"/>
      <c r="Q2127" s="34"/>
      <c r="R2127" s="35"/>
      <c r="S2127" s="35"/>
      <c r="T2127" s="36"/>
      <c r="U2127" s="36"/>
      <c r="V2127" s="36"/>
      <c r="W2127" s="36"/>
      <c r="X2127" s="36"/>
      <c r="Y2127" s="36"/>
    </row>
    <row r="2128">
      <c r="A2128" s="32"/>
      <c r="B2128" s="32"/>
      <c r="C2128" s="32"/>
      <c r="D2128" s="32"/>
      <c r="E2128" s="32"/>
      <c r="F2128" s="32"/>
      <c r="G2128" s="39"/>
      <c r="H2128" s="32"/>
      <c r="I2128" s="32"/>
      <c r="J2128" s="32"/>
      <c r="K2128" s="33"/>
      <c r="L2128" s="32"/>
      <c r="M2128" s="32"/>
      <c r="N2128" s="32"/>
      <c r="O2128" s="32"/>
      <c r="P2128" s="32"/>
      <c r="Q2128" s="34"/>
      <c r="R2128" s="35"/>
      <c r="S2128" s="35"/>
      <c r="T2128" s="36"/>
      <c r="U2128" s="36"/>
      <c r="V2128" s="36"/>
      <c r="W2128" s="36"/>
      <c r="X2128" s="36"/>
      <c r="Y2128" s="36"/>
    </row>
    <row r="2129">
      <c r="A2129" s="32"/>
      <c r="B2129" s="32"/>
      <c r="C2129" s="32"/>
      <c r="D2129" s="32"/>
      <c r="E2129" s="32"/>
      <c r="F2129" s="32"/>
      <c r="G2129" s="39"/>
      <c r="H2129" s="32"/>
      <c r="I2129" s="32"/>
      <c r="J2129" s="32"/>
      <c r="K2129" s="33"/>
      <c r="L2129" s="32"/>
      <c r="M2129" s="32"/>
      <c r="N2129" s="32"/>
      <c r="O2129" s="32"/>
      <c r="P2129" s="32"/>
      <c r="Q2129" s="34"/>
      <c r="R2129" s="35"/>
      <c r="S2129" s="35"/>
      <c r="T2129" s="36"/>
      <c r="U2129" s="36"/>
      <c r="V2129" s="36"/>
      <c r="W2129" s="36"/>
      <c r="X2129" s="36"/>
      <c r="Y2129" s="36"/>
    </row>
    <row r="2130">
      <c r="A2130" s="32"/>
      <c r="B2130" s="32"/>
      <c r="C2130" s="32"/>
      <c r="D2130" s="32"/>
      <c r="E2130" s="32"/>
      <c r="F2130" s="32"/>
      <c r="G2130" s="39"/>
      <c r="H2130" s="32"/>
      <c r="I2130" s="32"/>
      <c r="J2130" s="32"/>
      <c r="K2130" s="33"/>
      <c r="L2130" s="32"/>
      <c r="M2130" s="32"/>
      <c r="N2130" s="32"/>
      <c r="O2130" s="32"/>
      <c r="P2130" s="32"/>
      <c r="Q2130" s="34"/>
      <c r="R2130" s="35"/>
      <c r="S2130" s="35"/>
      <c r="T2130" s="36"/>
      <c r="U2130" s="36"/>
      <c r="V2130" s="36"/>
      <c r="W2130" s="36"/>
      <c r="X2130" s="36"/>
      <c r="Y2130" s="36"/>
    </row>
    <row r="2131">
      <c r="A2131" s="32"/>
      <c r="B2131" s="32"/>
      <c r="C2131" s="32"/>
      <c r="D2131" s="32"/>
      <c r="E2131" s="32"/>
      <c r="F2131" s="32"/>
      <c r="G2131" s="39"/>
      <c r="H2131" s="32"/>
      <c r="I2131" s="32"/>
      <c r="J2131" s="32"/>
      <c r="K2131" s="33"/>
      <c r="L2131" s="32"/>
      <c r="M2131" s="32"/>
      <c r="N2131" s="32"/>
      <c r="O2131" s="32"/>
      <c r="P2131" s="32"/>
      <c r="Q2131" s="34"/>
      <c r="R2131" s="35"/>
      <c r="S2131" s="35"/>
      <c r="T2131" s="36"/>
      <c r="U2131" s="36"/>
      <c r="V2131" s="36"/>
      <c r="W2131" s="36"/>
      <c r="X2131" s="36"/>
      <c r="Y2131" s="36"/>
    </row>
    <row r="2132">
      <c r="A2132" s="32"/>
      <c r="B2132" s="32"/>
      <c r="C2132" s="32"/>
      <c r="D2132" s="32"/>
      <c r="E2132" s="32"/>
      <c r="F2132" s="32"/>
      <c r="G2132" s="39"/>
      <c r="H2132" s="32"/>
      <c r="I2132" s="32"/>
      <c r="J2132" s="32"/>
      <c r="K2132" s="33"/>
      <c r="L2132" s="32"/>
      <c r="M2132" s="32"/>
      <c r="N2132" s="32"/>
      <c r="O2132" s="32"/>
      <c r="P2132" s="32"/>
      <c r="Q2132" s="34"/>
      <c r="R2132" s="35"/>
      <c r="S2132" s="35"/>
      <c r="T2132" s="36"/>
      <c r="U2132" s="36"/>
      <c r="V2132" s="36"/>
      <c r="W2132" s="36"/>
      <c r="X2132" s="36"/>
      <c r="Y2132" s="36"/>
    </row>
    <row r="2133">
      <c r="A2133" s="32"/>
      <c r="B2133" s="32"/>
      <c r="C2133" s="32"/>
      <c r="D2133" s="32"/>
      <c r="E2133" s="32"/>
      <c r="F2133" s="32"/>
      <c r="G2133" s="39"/>
      <c r="H2133" s="32"/>
      <c r="I2133" s="32"/>
      <c r="J2133" s="32"/>
      <c r="K2133" s="33"/>
      <c r="L2133" s="32"/>
      <c r="M2133" s="32"/>
      <c r="N2133" s="32"/>
      <c r="O2133" s="32"/>
      <c r="P2133" s="32"/>
      <c r="Q2133" s="34"/>
      <c r="R2133" s="35"/>
      <c r="S2133" s="35"/>
      <c r="T2133" s="36"/>
      <c r="U2133" s="36"/>
      <c r="V2133" s="36"/>
      <c r="W2133" s="36"/>
      <c r="X2133" s="36"/>
      <c r="Y2133" s="36"/>
    </row>
    <row r="2134">
      <c r="A2134" s="32"/>
      <c r="B2134" s="32"/>
      <c r="C2134" s="32"/>
      <c r="D2134" s="32"/>
      <c r="E2134" s="32"/>
      <c r="F2134" s="32"/>
      <c r="G2134" s="39"/>
      <c r="H2134" s="32"/>
      <c r="I2134" s="32"/>
      <c r="J2134" s="32"/>
      <c r="K2134" s="33"/>
      <c r="L2134" s="32"/>
      <c r="M2134" s="32"/>
      <c r="N2134" s="32"/>
      <c r="O2134" s="32"/>
      <c r="P2134" s="32"/>
      <c r="Q2134" s="34"/>
      <c r="R2134" s="35"/>
      <c r="S2134" s="35"/>
      <c r="T2134" s="36"/>
      <c r="U2134" s="36"/>
      <c r="V2134" s="36"/>
      <c r="W2134" s="36"/>
      <c r="X2134" s="36"/>
      <c r="Y2134" s="36"/>
    </row>
    <row r="2135">
      <c r="A2135" s="32"/>
      <c r="B2135" s="32"/>
      <c r="C2135" s="32"/>
      <c r="D2135" s="32"/>
      <c r="E2135" s="32"/>
      <c r="F2135" s="32"/>
      <c r="G2135" s="39"/>
      <c r="H2135" s="32"/>
      <c r="I2135" s="32"/>
      <c r="J2135" s="32"/>
      <c r="K2135" s="33"/>
      <c r="L2135" s="32"/>
      <c r="M2135" s="32"/>
      <c r="N2135" s="32"/>
      <c r="O2135" s="32"/>
      <c r="P2135" s="32"/>
      <c r="Q2135" s="34"/>
      <c r="R2135" s="35"/>
      <c r="S2135" s="35"/>
      <c r="T2135" s="36"/>
      <c r="U2135" s="36"/>
      <c r="V2135" s="36"/>
      <c r="W2135" s="36"/>
      <c r="X2135" s="36"/>
      <c r="Y2135" s="36"/>
    </row>
    <row r="2136">
      <c r="A2136" s="32"/>
      <c r="B2136" s="32"/>
      <c r="C2136" s="32"/>
      <c r="D2136" s="32"/>
      <c r="E2136" s="32"/>
      <c r="F2136" s="32"/>
      <c r="G2136" s="39"/>
      <c r="H2136" s="32"/>
      <c r="I2136" s="32"/>
      <c r="J2136" s="32"/>
      <c r="K2136" s="33"/>
      <c r="L2136" s="32"/>
      <c r="M2136" s="32"/>
      <c r="N2136" s="32"/>
      <c r="O2136" s="32"/>
      <c r="P2136" s="32"/>
      <c r="Q2136" s="34"/>
      <c r="R2136" s="35"/>
      <c r="S2136" s="35"/>
      <c r="T2136" s="36"/>
      <c r="U2136" s="36"/>
      <c r="V2136" s="36"/>
      <c r="W2136" s="36"/>
      <c r="X2136" s="36"/>
      <c r="Y2136" s="36"/>
    </row>
    <row r="2137">
      <c r="A2137" s="32"/>
      <c r="B2137" s="32"/>
      <c r="C2137" s="32"/>
      <c r="D2137" s="32"/>
      <c r="E2137" s="32"/>
      <c r="F2137" s="32"/>
      <c r="G2137" s="39"/>
      <c r="H2137" s="32"/>
      <c r="I2137" s="32"/>
      <c r="J2137" s="32"/>
      <c r="K2137" s="33"/>
      <c r="L2137" s="32"/>
      <c r="M2137" s="32"/>
      <c r="N2137" s="32"/>
      <c r="O2137" s="32"/>
      <c r="P2137" s="32"/>
      <c r="Q2137" s="34"/>
      <c r="R2137" s="35"/>
      <c r="S2137" s="35"/>
      <c r="T2137" s="36"/>
      <c r="U2137" s="36"/>
      <c r="V2137" s="36"/>
      <c r="W2137" s="36"/>
      <c r="X2137" s="36"/>
      <c r="Y2137" s="36"/>
    </row>
    <row r="2138">
      <c r="A2138" s="32"/>
      <c r="B2138" s="32"/>
      <c r="C2138" s="32"/>
      <c r="D2138" s="32"/>
      <c r="E2138" s="32"/>
      <c r="F2138" s="32"/>
      <c r="G2138" s="39"/>
      <c r="H2138" s="32"/>
      <c r="I2138" s="32"/>
      <c r="J2138" s="32"/>
      <c r="K2138" s="33"/>
      <c r="L2138" s="32"/>
      <c r="M2138" s="32"/>
      <c r="N2138" s="32"/>
      <c r="O2138" s="32"/>
      <c r="P2138" s="32"/>
      <c r="Q2138" s="34"/>
      <c r="R2138" s="35"/>
      <c r="S2138" s="35"/>
      <c r="T2138" s="36"/>
      <c r="U2138" s="36"/>
      <c r="V2138" s="36"/>
      <c r="W2138" s="36"/>
      <c r="X2138" s="36"/>
      <c r="Y2138" s="36"/>
    </row>
    <row r="2139">
      <c r="A2139" s="32"/>
      <c r="B2139" s="32"/>
      <c r="C2139" s="32"/>
      <c r="D2139" s="32"/>
      <c r="E2139" s="32"/>
      <c r="F2139" s="32"/>
      <c r="G2139" s="39"/>
      <c r="H2139" s="32"/>
      <c r="I2139" s="32"/>
      <c r="J2139" s="32"/>
      <c r="K2139" s="33"/>
      <c r="L2139" s="32"/>
      <c r="M2139" s="32"/>
      <c r="N2139" s="32"/>
      <c r="O2139" s="32"/>
      <c r="P2139" s="32"/>
      <c r="Q2139" s="34"/>
      <c r="R2139" s="35"/>
      <c r="S2139" s="35"/>
      <c r="T2139" s="36"/>
      <c r="U2139" s="36"/>
      <c r="V2139" s="36"/>
      <c r="W2139" s="36"/>
      <c r="X2139" s="36"/>
      <c r="Y2139" s="36"/>
    </row>
    <row r="2140">
      <c r="A2140" s="32"/>
      <c r="B2140" s="32"/>
      <c r="C2140" s="32"/>
      <c r="D2140" s="32"/>
      <c r="E2140" s="32"/>
      <c r="F2140" s="32"/>
      <c r="G2140" s="39"/>
      <c r="H2140" s="32"/>
      <c r="I2140" s="32"/>
      <c r="J2140" s="32"/>
      <c r="K2140" s="33"/>
      <c r="L2140" s="32"/>
      <c r="M2140" s="32"/>
      <c r="N2140" s="32"/>
      <c r="O2140" s="32"/>
      <c r="P2140" s="32"/>
      <c r="Q2140" s="34"/>
      <c r="R2140" s="35"/>
      <c r="S2140" s="35"/>
      <c r="T2140" s="36"/>
      <c r="U2140" s="36"/>
      <c r="V2140" s="36"/>
      <c r="W2140" s="36"/>
      <c r="X2140" s="36"/>
      <c r="Y2140" s="36"/>
    </row>
    <row r="2141">
      <c r="A2141" s="32"/>
      <c r="B2141" s="32"/>
      <c r="C2141" s="32"/>
      <c r="D2141" s="32"/>
      <c r="E2141" s="32"/>
      <c r="F2141" s="32"/>
      <c r="G2141" s="39"/>
      <c r="H2141" s="32"/>
      <c r="I2141" s="32"/>
      <c r="J2141" s="32"/>
      <c r="K2141" s="33"/>
      <c r="L2141" s="32"/>
      <c r="M2141" s="32"/>
      <c r="N2141" s="32"/>
      <c r="O2141" s="32"/>
      <c r="P2141" s="32"/>
      <c r="Q2141" s="34"/>
      <c r="R2141" s="35"/>
      <c r="S2141" s="35"/>
      <c r="T2141" s="36"/>
      <c r="U2141" s="36"/>
      <c r="V2141" s="36"/>
      <c r="W2141" s="36"/>
      <c r="X2141" s="36"/>
      <c r="Y2141" s="36"/>
    </row>
    <row r="2142">
      <c r="A2142" s="32"/>
      <c r="B2142" s="32"/>
      <c r="C2142" s="32"/>
      <c r="D2142" s="32"/>
      <c r="E2142" s="32"/>
      <c r="F2142" s="32"/>
      <c r="G2142" s="39"/>
      <c r="H2142" s="32"/>
      <c r="I2142" s="32"/>
      <c r="J2142" s="32"/>
      <c r="K2142" s="33"/>
      <c r="L2142" s="32"/>
      <c r="M2142" s="32"/>
      <c r="N2142" s="32"/>
      <c r="O2142" s="32"/>
      <c r="P2142" s="32"/>
      <c r="Q2142" s="34"/>
      <c r="R2142" s="35"/>
      <c r="S2142" s="35"/>
      <c r="T2142" s="36"/>
      <c r="U2142" s="36"/>
      <c r="V2142" s="36"/>
      <c r="W2142" s="36"/>
      <c r="X2142" s="36"/>
      <c r="Y2142" s="36"/>
    </row>
    <row r="2143">
      <c r="A2143" s="32"/>
      <c r="B2143" s="32"/>
      <c r="C2143" s="32"/>
      <c r="D2143" s="32"/>
      <c r="E2143" s="32"/>
      <c r="F2143" s="32"/>
      <c r="G2143" s="39"/>
      <c r="H2143" s="32"/>
      <c r="I2143" s="32"/>
      <c r="J2143" s="32"/>
      <c r="K2143" s="33"/>
      <c r="L2143" s="32"/>
      <c r="M2143" s="32"/>
      <c r="N2143" s="32"/>
      <c r="O2143" s="32"/>
      <c r="P2143" s="32"/>
      <c r="Q2143" s="34"/>
      <c r="R2143" s="35"/>
      <c r="S2143" s="35"/>
      <c r="T2143" s="36"/>
      <c r="U2143" s="36"/>
      <c r="V2143" s="36"/>
      <c r="W2143" s="36"/>
      <c r="X2143" s="36"/>
      <c r="Y2143" s="36"/>
    </row>
    <row r="2144">
      <c r="A2144" s="32"/>
      <c r="B2144" s="32"/>
      <c r="C2144" s="32"/>
      <c r="D2144" s="32"/>
      <c r="E2144" s="32"/>
      <c r="F2144" s="32"/>
      <c r="G2144" s="39"/>
      <c r="H2144" s="32"/>
      <c r="I2144" s="32"/>
      <c r="J2144" s="32"/>
      <c r="K2144" s="33"/>
      <c r="L2144" s="32"/>
      <c r="M2144" s="32"/>
      <c r="N2144" s="32"/>
      <c r="O2144" s="32"/>
      <c r="P2144" s="32"/>
      <c r="Q2144" s="34"/>
      <c r="R2144" s="35"/>
      <c r="S2144" s="35"/>
      <c r="T2144" s="36"/>
      <c r="U2144" s="36"/>
      <c r="V2144" s="36"/>
      <c r="W2144" s="36"/>
      <c r="X2144" s="36"/>
      <c r="Y2144" s="36"/>
    </row>
    <row r="2145">
      <c r="A2145" s="32"/>
      <c r="B2145" s="32"/>
      <c r="C2145" s="32"/>
      <c r="D2145" s="32"/>
      <c r="E2145" s="32"/>
      <c r="F2145" s="32"/>
      <c r="G2145" s="39"/>
      <c r="H2145" s="32"/>
      <c r="I2145" s="32"/>
      <c r="J2145" s="32"/>
      <c r="K2145" s="33"/>
      <c r="L2145" s="32"/>
      <c r="M2145" s="32"/>
      <c r="N2145" s="32"/>
      <c r="O2145" s="32"/>
      <c r="P2145" s="32"/>
      <c r="Q2145" s="34"/>
      <c r="R2145" s="35"/>
      <c r="S2145" s="35"/>
      <c r="T2145" s="36"/>
      <c r="U2145" s="36"/>
      <c r="V2145" s="36"/>
      <c r="W2145" s="36"/>
      <c r="X2145" s="36"/>
      <c r="Y2145" s="36"/>
    </row>
    <row r="2146">
      <c r="A2146" s="32"/>
      <c r="B2146" s="32"/>
      <c r="C2146" s="32"/>
      <c r="D2146" s="32"/>
      <c r="E2146" s="32"/>
      <c r="F2146" s="32"/>
      <c r="G2146" s="39"/>
      <c r="H2146" s="32"/>
      <c r="I2146" s="32"/>
      <c r="J2146" s="32"/>
      <c r="K2146" s="33"/>
      <c r="L2146" s="32"/>
      <c r="M2146" s="32"/>
      <c r="N2146" s="32"/>
      <c r="O2146" s="32"/>
      <c r="P2146" s="32"/>
      <c r="Q2146" s="34"/>
      <c r="R2146" s="35"/>
      <c r="S2146" s="35"/>
      <c r="T2146" s="36"/>
      <c r="U2146" s="36"/>
      <c r="V2146" s="36"/>
      <c r="W2146" s="36"/>
      <c r="X2146" s="36"/>
      <c r="Y2146" s="36"/>
    </row>
    <row r="2147">
      <c r="A2147" s="32"/>
      <c r="B2147" s="32"/>
      <c r="C2147" s="32"/>
      <c r="D2147" s="32"/>
      <c r="E2147" s="32"/>
      <c r="F2147" s="32"/>
      <c r="G2147" s="39"/>
      <c r="H2147" s="32"/>
      <c r="I2147" s="32"/>
      <c r="J2147" s="32"/>
      <c r="K2147" s="33"/>
      <c r="L2147" s="32"/>
      <c r="M2147" s="32"/>
      <c r="N2147" s="32"/>
      <c r="O2147" s="32"/>
      <c r="P2147" s="32"/>
      <c r="Q2147" s="34"/>
      <c r="R2147" s="35"/>
      <c r="S2147" s="35"/>
      <c r="T2147" s="36"/>
      <c r="U2147" s="36"/>
      <c r="V2147" s="36"/>
      <c r="W2147" s="36"/>
      <c r="X2147" s="36"/>
      <c r="Y2147" s="36"/>
    </row>
    <row r="2148">
      <c r="A2148" s="32"/>
      <c r="B2148" s="32"/>
      <c r="C2148" s="32"/>
      <c r="D2148" s="32"/>
      <c r="E2148" s="32"/>
      <c r="F2148" s="32"/>
      <c r="G2148" s="39"/>
      <c r="H2148" s="32"/>
      <c r="I2148" s="32"/>
      <c r="J2148" s="32"/>
      <c r="K2148" s="33"/>
      <c r="L2148" s="32"/>
      <c r="M2148" s="32"/>
      <c r="N2148" s="32"/>
      <c r="O2148" s="32"/>
      <c r="P2148" s="32"/>
      <c r="Q2148" s="34"/>
      <c r="R2148" s="35"/>
      <c r="S2148" s="35"/>
      <c r="T2148" s="36"/>
      <c r="U2148" s="36"/>
      <c r="V2148" s="36"/>
      <c r="W2148" s="36"/>
      <c r="X2148" s="36"/>
      <c r="Y2148" s="36"/>
    </row>
    <row r="2149">
      <c r="A2149" s="32"/>
      <c r="B2149" s="32"/>
      <c r="C2149" s="32"/>
      <c r="D2149" s="32"/>
      <c r="E2149" s="32"/>
      <c r="F2149" s="32"/>
      <c r="G2149" s="39"/>
      <c r="H2149" s="32"/>
      <c r="I2149" s="32"/>
      <c r="J2149" s="32"/>
      <c r="K2149" s="33"/>
      <c r="L2149" s="32"/>
      <c r="M2149" s="32"/>
      <c r="N2149" s="32"/>
      <c r="O2149" s="32"/>
      <c r="P2149" s="32"/>
      <c r="Q2149" s="34"/>
      <c r="R2149" s="35"/>
      <c r="S2149" s="35"/>
      <c r="T2149" s="36"/>
      <c r="U2149" s="36"/>
      <c r="V2149" s="36"/>
      <c r="W2149" s="36"/>
      <c r="X2149" s="36"/>
      <c r="Y2149" s="36"/>
    </row>
    <row r="2150">
      <c r="A2150" s="32"/>
      <c r="B2150" s="32"/>
      <c r="C2150" s="32"/>
      <c r="D2150" s="32"/>
      <c r="E2150" s="32"/>
      <c r="F2150" s="32"/>
      <c r="G2150" s="39"/>
      <c r="H2150" s="32"/>
      <c r="I2150" s="32"/>
      <c r="J2150" s="32"/>
      <c r="K2150" s="33"/>
      <c r="L2150" s="32"/>
      <c r="M2150" s="32"/>
      <c r="N2150" s="32"/>
      <c r="O2150" s="32"/>
      <c r="P2150" s="32"/>
      <c r="Q2150" s="34"/>
      <c r="R2150" s="35"/>
      <c r="S2150" s="35"/>
      <c r="T2150" s="36"/>
      <c r="U2150" s="36"/>
      <c r="V2150" s="36"/>
      <c r="W2150" s="36"/>
      <c r="X2150" s="36"/>
      <c r="Y2150" s="36"/>
    </row>
    <row r="2151">
      <c r="A2151" s="32"/>
      <c r="B2151" s="32"/>
      <c r="C2151" s="32"/>
      <c r="D2151" s="32"/>
      <c r="E2151" s="32"/>
      <c r="F2151" s="32"/>
      <c r="G2151" s="39"/>
      <c r="H2151" s="32"/>
      <c r="I2151" s="32"/>
      <c r="J2151" s="32"/>
      <c r="K2151" s="33"/>
      <c r="L2151" s="32"/>
      <c r="M2151" s="32"/>
      <c r="N2151" s="32"/>
      <c r="O2151" s="32"/>
      <c r="P2151" s="32"/>
      <c r="Q2151" s="34"/>
      <c r="R2151" s="35"/>
      <c r="S2151" s="35"/>
      <c r="T2151" s="36"/>
      <c r="U2151" s="36"/>
      <c r="V2151" s="36"/>
      <c r="W2151" s="36"/>
      <c r="X2151" s="36"/>
      <c r="Y2151" s="36"/>
    </row>
    <row r="2152">
      <c r="A2152" s="32"/>
      <c r="B2152" s="32"/>
      <c r="C2152" s="32"/>
      <c r="D2152" s="32"/>
      <c r="E2152" s="32"/>
      <c r="F2152" s="32"/>
      <c r="G2152" s="39"/>
      <c r="H2152" s="32"/>
      <c r="I2152" s="32"/>
      <c r="J2152" s="32"/>
      <c r="K2152" s="33"/>
      <c r="L2152" s="32"/>
      <c r="M2152" s="32"/>
      <c r="N2152" s="32"/>
      <c r="O2152" s="32"/>
      <c r="P2152" s="32"/>
      <c r="Q2152" s="34"/>
      <c r="R2152" s="35"/>
      <c r="S2152" s="35"/>
      <c r="T2152" s="36"/>
      <c r="U2152" s="36"/>
      <c r="V2152" s="36"/>
      <c r="W2152" s="36"/>
      <c r="X2152" s="36"/>
      <c r="Y2152" s="36"/>
    </row>
    <row r="2153">
      <c r="A2153" s="32"/>
      <c r="B2153" s="32"/>
      <c r="C2153" s="32"/>
      <c r="D2153" s="32"/>
      <c r="E2153" s="32"/>
      <c r="F2153" s="32"/>
      <c r="G2153" s="39"/>
      <c r="H2153" s="32"/>
      <c r="I2153" s="32"/>
      <c r="J2153" s="32"/>
      <c r="K2153" s="33"/>
      <c r="L2153" s="32"/>
      <c r="M2153" s="32"/>
      <c r="N2153" s="32"/>
      <c r="O2153" s="32"/>
      <c r="P2153" s="32"/>
      <c r="Q2153" s="34"/>
      <c r="R2153" s="35"/>
      <c r="S2153" s="35"/>
      <c r="T2153" s="36"/>
      <c r="U2153" s="36"/>
      <c r="V2153" s="36"/>
      <c r="W2153" s="36"/>
      <c r="X2153" s="36"/>
      <c r="Y2153" s="36"/>
    </row>
  </sheetData>
  <autoFilter ref="$A$1:$Z$1161"/>
  <hyperlinks>
    <hyperlink r:id="rId1" ref="D771"/>
    <hyperlink r:id="rId2" ref="D778"/>
    <hyperlink r:id="rId3" ref="D779"/>
    <hyperlink r:id="rId4" ref="D780"/>
    <hyperlink r:id="rId5" ref="D781"/>
    <hyperlink r:id="rId6" ref="D859"/>
    <hyperlink r:id="rId7" ref="D861"/>
    <hyperlink r:id="rId8" ref="D964"/>
    <hyperlink r:id="rId9" ref="D992"/>
    <hyperlink r:id="rId10" ref="D1029"/>
    <hyperlink r:id="rId11" ref="D1053"/>
    <hyperlink r:id="rId12" ref="D1068"/>
    <hyperlink r:id="rId13" ref="D1091"/>
    <hyperlink r:id="rId14" ref="D1106"/>
    <hyperlink r:id="rId15" ref="D1107"/>
    <hyperlink r:id="rId16" ref="D1108"/>
    <hyperlink r:id="rId17" ref="D1136"/>
    <hyperlink r:id="rId18" ref="D1137"/>
    <hyperlink r:id="rId19" ref="D1139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</cols>
  <sheetData>
    <row r="1">
      <c r="A1" s="25" t="s">
        <v>0</v>
      </c>
      <c r="B1" s="25" t="s">
        <v>1</v>
      </c>
      <c r="C1" s="2" t="s">
        <v>2</v>
      </c>
      <c r="D1" s="2" t="s">
        <v>3</v>
      </c>
      <c r="E1" s="2" t="s">
        <v>5064</v>
      </c>
      <c r="F1" s="2" t="s">
        <v>4</v>
      </c>
      <c r="G1" s="2" t="s">
        <v>5065</v>
      </c>
      <c r="H1" s="2" t="s">
        <v>5</v>
      </c>
      <c r="I1" s="2" t="s">
        <v>5066</v>
      </c>
      <c r="J1" s="25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6" t="s">
        <v>13</v>
      </c>
      <c r="R1" s="27" t="s">
        <v>14</v>
      </c>
      <c r="S1" s="28" t="s">
        <v>15</v>
      </c>
      <c r="T1" s="29" t="s">
        <v>5067</v>
      </c>
      <c r="U1" s="29" t="s">
        <v>5068</v>
      </c>
      <c r="V1" s="29" t="s">
        <v>5069</v>
      </c>
      <c r="W1" s="29" t="s">
        <v>5070</v>
      </c>
      <c r="X1" s="30" t="s">
        <v>5071</v>
      </c>
      <c r="Y1" s="31" t="s">
        <v>5072</v>
      </c>
    </row>
    <row r="2">
      <c r="A2" s="32" t="s">
        <v>2390</v>
      </c>
      <c r="B2" s="32" t="s">
        <v>2390</v>
      </c>
      <c r="C2" s="32" t="s">
        <v>2391</v>
      </c>
      <c r="D2" s="32" t="s">
        <v>2392</v>
      </c>
      <c r="E2" s="32" t="s">
        <v>5073</v>
      </c>
      <c r="F2" s="32" t="s">
        <v>2393</v>
      </c>
      <c r="G2" s="32" t="s">
        <v>5073</v>
      </c>
      <c r="H2" s="32">
        <v>0.0</v>
      </c>
      <c r="I2" s="32">
        <v>0.0</v>
      </c>
      <c r="J2" s="32" t="s">
        <v>2394</v>
      </c>
      <c r="K2" s="33" t="s">
        <v>2395</v>
      </c>
      <c r="L2" s="32">
        <v>3.1629881E7</v>
      </c>
      <c r="M2" s="32" t="s">
        <v>2396</v>
      </c>
      <c r="N2" s="32" t="s">
        <v>5074</v>
      </c>
      <c r="O2" s="32" t="s">
        <v>1145</v>
      </c>
      <c r="P2" s="32">
        <v>1189.0</v>
      </c>
      <c r="Q2" s="34">
        <v>999.0</v>
      </c>
      <c r="R2" s="35">
        <v>999.0</v>
      </c>
      <c r="S2" s="35">
        <v>949.0</v>
      </c>
      <c r="T2" s="36">
        <v>527.0</v>
      </c>
      <c r="U2" s="36">
        <v>383.0</v>
      </c>
      <c r="V2" s="36">
        <v>634.0</v>
      </c>
      <c r="W2" s="36">
        <v>342.0</v>
      </c>
      <c r="X2" s="36">
        <v>421.0</v>
      </c>
      <c r="Y2" s="36">
        <v>2307.0</v>
      </c>
    </row>
    <row r="3">
      <c r="A3" s="32" t="s">
        <v>2375</v>
      </c>
      <c r="B3" s="32" t="s">
        <v>2375</v>
      </c>
      <c r="C3" s="32" t="s">
        <v>2376</v>
      </c>
      <c r="D3" s="32" t="s">
        <v>2377</v>
      </c>
      <c r="E3" s="37" t="s">
        <v>5073</v>
      </c>
      <c r="F3" s="32" t="e">
        <v>#N/A</v>
      </c>
      <c r="G3" s="38"/>
      <c r="H3" s="32" t="s">
        <v>2378</v>
      </c>
      <c r="I3" s="32" t="s">
        <v>5073</v>
      </c>
      <c r="J3" s="32" t="s">
        <v>2379</v>
      </c>
      <c r="K3" s="33" t="s">
        <v>2380</v>
      </c>
      <c r="L3" s="32">
        <v>3.1645868E7</v>
      </c>
      <c r="M3" s="32" t="e">
        <v>#N/A</v>
      </c>
      <c r="N3" s="32" t="s">
        <v>5075</v>
      </c>
      <c r="O3" s="32" t="s">
        <v>1145</v>
      </c>
      <c r="P3" s="32">
        <v>999.0</v>
      </c>
      <c r="Q3" s="34">
        <v>849.0</v>
      </c>
      <c r="R3" s="35">
        <v>849.0</v>
      </c>
      <c r="S3" s="35">
        <v>749.0</v>
      </c>
      <c r="T3" s="36">
        <v>435.0</v>
      </c>
      <c r="U3" s="36">
        <v>254.0</v>
      </c>
      <c r="V3" s="36">
        <v>106.0</v>
      </c>
      <c r="W3" s="36">
        <v>406.0</v>
      </c>
      <c r="X3" s="36">
        <v>298.0</v>
      </c>
      <c r="Y3" s="36">
        <v>1499.0</v>
      </c>
    </row>
    <row r="4">
      <c r="A4" s="32" t="s">
        <v>1093</v>
      </c>
      <c r="B4" s="32" t="s">
        <v>1093</v>
      </c>
      <c r="C4" s="32" t="s">
        <v>1094</v>
      </c>
      <c r="D4" s="32" t="s">
        <v>1095</v>
      </c>
      <c r="E4" s="32" t="s">
        <v>5073</v>
      </c>
      <c r="F4" s="32" t="s">
        <v>1096</v>
      </c>
      <c r="G4" s="32" t="s">
        <v>5073</v>
      </c>
      <c r="H4" s="32" t="s">
        <v>1097</v>
      </c>
      <c r="I4" s="32" t="s">
        <v>5073</v>
      </c>
      <c r="J4" s="32" t="s">
        <v>1098</v>
      </c>
      <c r="K4" s="33" t="s">
        <v>1099</v>
      </c>
      <c r="L4" s="32">
        <v>3.1629886E7</v>
      </c>
      <c r="M4" s="32" t="s">
        <v>1100</v>
      </c>
      <c r="N4" s="32" t="s">
        <v>1144</v>
      </c>
      <c r="O4" s="32" t="s">
        <v>1145</v>
      </c>
      <c r="P4" s="32">
        <v>1989.0</v>
      </c>
      <c r="Q4" s="34">
        <v>1099.0</v>
      </c>
      <c r="R4" s="35">
        <v>999.0</v>
      </c>
      <c r="S4" s="35">
        <v>949.0</v>
      </c>
      <c r="T4" s="36">
        <v>154.0</v>
      </c>
      <c r="U4" s="36">
        <v>385.0</v>
      </c>
      <c r="V4" s="36">
        <v>633.0</v>
      </c>
      <c r="W4" s="36">
        <v>2.0</v>
      </c>
      <c r="X4" s="36">
        <v>0.0</v>
      </c>
      <c r="Y4" s="36">
        <v>1174.0</v>
      </c>
    </row>
    <row r="5">
      <c r="A5" s="32" t="s">
        <v>3400</v>
      </c>
      <c r="B5" s="32" t="s">
        <v>3400</v>
      </c>
      <c r="C5" s="32" t="s">
        <v>3401</v>
      </c>
      <c r="D5" s="32" t="s">
        <v>3402</v>
      </c>
      <c r="E5" s="32" t="s">
        <v>5073</v>
      </c>
      <c r="F5" s="32" t="e">
        <v>#N/A</v>
      </c>
      <c r="G5" s="39"/>
      <c r="H5" s="32" t="s">
        <v>3403</v>
      </c>
      <c r="I5" s="32" t="s">
        <v>5073</v>
      </c>
      <c r="J5" s="32" t="s">
        <v>3404</v>
      </c>
      <c r="K5" s="33" t="s">
        <v>3405</v>
      </c>
      <c r="L5" s="32">
        <v>3.1629882E7</v>
      </c>
      <c r="M5" s="32" t="s">
        <v>3406</v>
      </c>
      <c r="N5" s="32" t="s">
        <v>5076</v>
      </c>
      <c r="O5" s="32" t="s">
        <v>1145</v>
      </c>
      <c r="P5" s="32">
        <v>999.0</v>
      </c>
      <c r="Q5" s="34">
        <v>949.0</v>
      </c>
      <c r="R5" s="35">
        <v>949.0</v>
      </c>
      <c r="S5" s="35">
        <v>899.0</v>
      </c>
      <c r="T5" s="36">
        <v>353.0</v>
      </c>
      <c r="U5" s="36">
        <v>113.0</v>
      </c>
      <c r="V5" s="36">
        <v>420.0</v>
      </c>
      <c r="W5" s="36">
        <v>2.0</v>
      </c>
      <c r="X5" s="36">
        <v>197.0</v>
      </c>
      <c r="Y5" s="36">
        <v>1085.0</v>
      </c>
    </row>
    <row r="6">
      <c r="A6" s="32" t="s">
        <v>2274</v>
      </c>
      <c r="B6" s="32" t="s">
        <v>2274</v>
      </c>
      <c r="C6" s="32" t="s">
        <v>2275</v>
      </c>
      <c r="D6" s="32" t="s">
        <v>2276</v>
      </c>
      <c r="E6" s="32" t="s">
        <v>5073</v>
      </c>
      <c r="F6" s="32" t="e">
        <v>#N/A</v>
      </c>
      <c r="G6" s="39"/>
      <c r="H6" s="32" t="s">
        <v>2277</v>
      </c>
      <c r="I6" s="32" t="s">
        <v>5073</v>
      </c>
      <c r="J6" s="32" t="s">
        <v>2278</v>
      </c>
      <c r="K6" s="33" t="s">
        <v>2279</v>
      </c>
      <c r="L6" s="32">
        <v>3.1862352E7</v>
      </c>
      <c r="M6" s="32" t="e">
        <v>#N/A</v>
      </c>
      <c r="N6" s="32" t="s">
        <v>5077</v>
      </c>
      <c r="O6" s="32" t="s">
        <v>4730</v>
      </c>
      <c r="P6" s="32">
        <v>989.0</v>
      </c>
      <c r="Q6" s="34">
        <v>940.0</v>
      </c>
      <c r="R6" s="35">
        <v>940.0</v>
      </c>
      <c r="S6" s="35">
        <v>890.1</v>
      </c>
      <c r="T6" s="36">
        <v>205.0</v>
      </c>
      <c r="U6" s="36">
        <v>244.0</v>
      </c>
      <c r="V6" s="36">
        <v>442.0</v>
      </c>
      <c r="W6" s="36">
        <v>0.0</v>
      </c>
      <c r="X6" s="36">
        <v>114.0</v>
      </c>
      <c r="Y6" s="36">
        <v>1005.0</v>
      </c>
    </row>
    <row r="7">
      <c r="A7" s="32" t="s">
        <v>3467</v>
      </c>
      <c r="B7" s="32" t="s">
        <v>3467</v>
      </c>
      <c r="C7" s="32" t="s">
        <v>3468</v>
      </c>
      <c r="D7" s="32" t="s">
        <v>3469</v>
      </c>
      <c r="E7" s="32" t="s">
        <v>5073</v>
      </c>
      <c r="F7" s="32" t="e">
        <v>#N/A</v>
      </c>
      <c r="G7" s="32" t="e">
        <v>#N/A</v>
      </c>
      <c r="H7" s="32" t="s">
        <v>3467</v>
      </c>
      <c r="I7" s="32" t="s">
        <v>5073</v>
      </c>
      <c r="J7" s="32" t="s">
        <v>3470</v>
      </c>
      <c r="K7" s="33" t="s">
        <v>3471</v>
      </c>
      <c r="L7" s="32" t="e">
        <v>#N/A</v>
      </c>
      <c r="M7" s="32" t="e">
        <v>#N/A</v>
      </c>
      <c r="N7" s="32" t="s">
        <v>5078</v>
      </c>
      <c r="O7" s="32" t="s">
        <v>4730</v>
      </c>
      <c r="P7" s="32">
        <v>499.0</v>
      </c>
      <c r="Q7" s="34">
        <v>494.01</v>
      </c>
      <c r="R7" s="35">
        <v>499.0</v>
      </c>
      <c r="S7" s="35">
        <v>474.05</v>
      </c>
      <c r="T7" s="36">
        <v>45.0</v>
      </c>
      <c r="U7" s="36">
        <v>68.0</v>
      </c>
      <c r="V7" s="36">
        <v>623.0</v>
      </c>
      <c r="W7" s="36">
        <v>174.0</v>
      </c>
      <c r="X7" s="36">
        <v>70.0</v>
      </c>
      <c r="Y7" s="36">
        <v>980.0</v>
      </c>
    </row>
    <row r="8">
      <c r="A8" s="32" t="s">
        <v>2481</v>
      </c>
      <c r="B8" s="32" t="s">
        <v>2481</v>
      </c>
      <c r="C8" s="32" t="s">
        <v>2482</v>
      </c>
      <c r="D8" s="32" t="s">
        <v>2483</v>
      </c>
      <c r="E8" s="32" t="s">
        <v>5073</v>
      </c>
      <c r="F8" s="32" t="e">
        <v>#N/A</v>
      </c>
      <c r="G8" s="32" t="e">
        <v>#N/A</v>
      </c>
      <c r="H8" s="32" t="s">
        <v>2481</v>
      </c>
      <c r="I8" s="32" t="s">
        <v>5073</v>
      </c>
      <c r="J8" s="32" t="s">
        <v>2481</v>
      </c>
      <c r="K8" s="33" t="s">
        <v>2484</v>
      </c>
      <c r="L8" s="32">
        <v>3.1917204E7</v>
      </c>
      <c r="M8" s="32" t="e">
        <v>#N/A</v>
      </c>
      <c r="N8" s="32" t="s">
        <v>5079</v>
      </c>
      <c r="O8" s="32" t="s">
        <v>1145</v>
      </c>
      <c r="P8" s="32">
        <v>1489.0</v>
      </c>
      <c r="Q8" s="34">
        <v>999.0</v>
      </c>
      <c r="R8" s="35">
        <v>999.0</v>
      </c>
      <c r="S8" s="35">
        <v>949.0</v>
      </c>
      <c r="T8" s="36">
        <v>78.0</v>
      </c>
      <c r="U8" s="36">
        <v>0.0</v>
      </c>
      <c r="V8" s="36">
        <v>776.0</v>
      </c>
      <c r="W8" s="36">
        <v>0.0</v>
      </c>
      <c r="X8" s="36">
        <v>30.0</v>
      </c>
      <c r="Y8" s="36">
        <v>884.0</v>
      </c>
    </row>
    <row r="9">
      <c r="A9" s="32" t="s">
        <v>2341</v>
      </c>
      <c r="B9" s="32" t="s">
        <v>2341</v>
      </c>
      <c r="C9" s="32" t="s">
        <v>2342</v>
      </c>
      <c r="D9" s="32" t="s">
        <v>2343</v>
      </c>
      <c r="E9" s="32" t="s">
        <v>5073</v>
      </c>
      <c r="F9" s="32" t="e">
        <v>#N/A</v>
      </c>
      <c r="G9" s="39"/>
      <c r="H9" s="32" t="s">
        <v>2344</v>
      </c>
      <c r="I9" s="32" t="s">
        <v>5073</v>
      </c>
      <c r="J9" s="32" t="s">
        <v>2345</v>
      </c>
      <c r="K9" s="33" t="s">
        <v>2346</v>
      </c>
      <c r="L9" s="32">
        <v>3.186232E7</v>
      </c>
      <c r="M9" s="32" t="e">
        <v>#N/A</v>
      </c>
      <c r="N9" s="32" t="s">
        <v>5077</v>
      </c>
      <c r="O9" s="32" t="s">
        <v>4730</v>
      </c>
      <c r="P9" s="32">
        <v>1089.0</v>
      </c>
      <c r="Q9" s="34">
        <v>1035.0</v>
      </c>
      <c r="R9" s="40">
        <v>1035.0</v>
      </c>
      <c r="S9" s="35">
        <v>980.1</v>
      </c>
      <c r="T9" s="36">
        <v>99.0</v>
      </c>
      <c r="U9" s="36">
        <v>81.0</v>
      </c>
      <c r="V9" s="36">
        <v>397.0</v>
      </c>
      <c r="W9" s="36">
        <v>0.0</v>
      </c>
      <c r="X9" s="36">
        <v>184.0</v>
      </c>
      <c r="Y9" s="36">
        <v>761.0</v>
      </c>
    </row>
    <row r="10">
      <c r="A10" s="32" t="s">
        <v>3861</v>
      </c>
      <c r="B10" s="32" t="s">
        <v>3861</v>
      </c>
      <c r="C10" s="32" t="s">
        <v>3862</v>
      </c>
      <c r="D10" s="32" t="s">
        <v>3863</v>
      </c>
      <c r="E10" s="32" t="s">
        <v>5073</v>
      </c>
      <c r="F10" s="32" t="e">
        <v>#N/A</v>
      </c>
      <c r="G10" s="39"/>
      <c r="H10" s="32">
        <v>0.0</v>
      </c>
      <c r="I10" s="39"/>
      <c r="J10" s="32" t="s">
        <v>3864</v>
      </c>
      <c r="K10" s="33" t="s">
        <v>3865</v>
      </c>
      <c r="L10" s="32" t="e">
        <v>#N/A</v>
      </c>
      <c r="M10" s="32" t="e">
        <v>#N/A</v>
      </c>
      <c r="N10" s="32" t="s">
        <v>4727</v>
      </c>
      <c r="O10" s="32" t="s">
        <v>4727</v>
      </c>
      <c r="P10" s="32">
        <v>1869.0</v>
      </c>
      <c r="Q10" s="34">
        <v>1495.0</v>
      </c>
      <c r="R10" s="40">
        <v>1499.0</v>
      </c>
      <c r="S10" s="35">
        <v>1401.75</v>
      </c>
      <c r="T10" s="36">
        <v>64.0</v>
      </c>
      <c r="U10" s="36">
        <v>69.0</v>
      </c>
      <c r="V10" s="36">
        <v>442.0</v>
      </c>
      <c r="W10" s="36">
        <v>39.0</v>
      </c>
      <c r="X10" s="36">
        <v>60.0</v>
      </c>
      <c r="Y10" s="36">
        <v>674.0</v>
      </c>
    </row>
    <row r="11">
      <c r="A11" s="32" t="s">
        <v>1087</v>
      </c>
      <c r="B11" s="32" t="s">
        <v>1087</v>
      </c>
      <c r="C11" s="32" t="s">
        <v>1088</v>
      </c>
      <c r="D11" s="32" t="s">
        <v>1089</v>
      </c>
      <c r="E11" s="32" t="s">
        <v>5073</v>
      </c>
      <c r="F11" s="32" t="e">
        <v>#N/A</v>
      </c>
      <c r="G11" s="39"/>
      <c r="H11" s="32" t="s">
        <v>1090</v>
      </c>
      <c r="I11" s="32" t="s">
        <v>5073</v>
      </c>
      <c r="J11" s="32" t="s">
        <v>1091</v>
      </c>
      <c r="K11" s="33" t="s">
        <v>1092</v>
      </c>
      <c r="L11" s="32" t="e">
        <v>#N/A</v>
      </c>
      <c r="M11" s="32" t="e">
        <v>#N/A</v>
      </c>
      <c r="N11" s="32" t="s">
        <v>5080</v>
      </c>
      <c r="O11" s="32" t="s">
        <v>1145</v>
      </c>
      <c r="P11" s="32">
        <v>1599.0</v>
      </c>
      <c r="Q11" s="34">
        <v>999.0</v>
      </c>
      <c r="R11" s="35">
        <v>999.0</v>
      </c>
      <c r="S11" s="35">
        <v>959.0</v>
      </c>
      <c r="T11" s="36">
        <v>63.0</v>
      </c>
      <c r="U11" s="36">
        <v>110.0</v>
      </c>
      <c r="V11" s="36">
        <v>341.0</v>
      </c>
      <c r="W11" s="36">
        <v>2.0</v>
      </c>
      <c r="X11" s="36">
        <v>57.0</v>
      </c>
      <c r="Y11" s="36">
        <v>573.0</v>
      </c>
    </row>
    <row r="12">
      <c r="A12" s="32" t="s">
        <v>3891</v>
      </c>
      <c r="B12" s="32" t="s">
        <v>3891</v>
      </c>
      <c r="C12" s="32" t="s">
        <v>3892</v>
      </c>
      <c r="D12" s="32" t="s">
        <v>3893</v>
      </c>
      <c r="E12" s="32" t="s">
        <v>5073</v>
      </c>
      <c r="F12" s="32" t="e">
        <v>#N/A</v>
      </c>
      <c r="G12" s="39"/>
      <c r="H12" s="32">
        <v>0.0</v>
      </c>
      <c r="I12" s="39"/>
      <c r="J12" s="32" t="s">
        <v>3894</v>
      </c>
      <c r="K12" s="33" t="s">
        <v>3895</v>
      </c>
      <c r="L12" s="32" t="e">
        <v>#N/A</v>
      </c>
      <c r="M12" s="32" t="e">
        <v>#N/A</v>
      </c>
      <c r="N12" s="32" t="s">
        <v>4727</v>
      </c>
      <c r="O12" s="32" t="s">
        <v>4727</v>
      </c>
      <c r="P12" s="32">
        <v>1999.0</v>
      </c>
      <c r="Q12" s="34">
        <v>1599.0</v>
      </c>
      <c r="R12" s="40">
        <v>1599.0</v>
      </c>
      <c r="S12" s="35">
        <v>1499.25</v>
      </c>
      <c r="T12" s="36">
        <v>55.0</v>
      </c>
      <c r="U12" s="36">
        <v>51.0</v>
      </c>
      <c r="V12" s="36">
        <v>370.0</v>
      </c>
      <c r="W12" s="36">
        <v>18.0</v>
      </c>
      <c r="X12" s="36">
        <v>57.0</v>
      </c>
      <c r="Y12" s="36">
        <v>551.0</v>
      </c>
    </row>
    <row r="13">
      <c r="A13" s="32" t="s">
        <v>4687</v>
      </c>
      <c r="B13" s="32" t="s">
        <v>4687</v>
      </c>
      <c r="C13" s="32">
        <v>0.0</v>
      </c>
      <c r="D13" s="32">
        <v>0.0</v>
      </c>
      <c r="E13" s="39"/>
      <c r="F13" s="32" t="e">
        <v>#N/A</v>
      </c>
      <c r="G13" s="39"/>
      <c r="H13" s="32">
        <v>0.0</v>
      </c>
      <c r="I13" s="39"/>
      <c r="J13" s="32">
        <v>0.0</v>
      </c>
      <c r="K13" s="41"/>
      <c r="L13" s="41"/>
      <c r="M13" s="41"/>
      <c r="N13" s="33" t="s">
        <v>4693</v>
      </c>
      <c r="O13" s="33" t="s">
        <v>1145</v>
      </c>
      <c r="P13" s="32" t="e">
        <v>#REF!</v>
      </c>
      <c r="Q13" s="38"/>
      <c r="R13" s="42" t="e">
        <v>#N/A</v>
      </c>
      <c r="S13" s="35">
        <v>1499.0</v>
      </c>
      <c r="T13" s="36">
        <v>233.0</v>
      </c>
      <c r="U13" s="36">
        <v>168.0</v>
      </c>
      <c r="V13" s="36">
        <v>0.0</v>
      </c>
      <c r="W13" s="36">
        <v>59.0</v>
      </c>
      <c r="X13" s="36">
        <v>87.0</v>
      </c>
      <c r="Y13" s="36">
        <v>547.0</v>
      </c>
    </row>
    <row r="14">
      <c r="A14" s="32" t="s">
        <v>2367</v>
      </c>
      <c r="B14" s="32" t="s">
        <v>2367</v>
      </c>
      <c r="C14" s="32" t="s">
        <v>4688</v>
      </c>
      <c r="D14" s="32" t="s">
        <v>4689</v>
      </c>
      <c r="E14" s="32" t="s">
        <v>5073</v>
      </c>
      <c r="F14" s="32" t="e">
        <v>#N/A</v>
      </c>
      <c r="G14" s="32" t="e">
        <v>#N/A</v>
      </c>
      <c r="H14" s="32" t="s">
        <v>2368</v>
      </c>
      <c r="I14" s="32" t="s">
        <v>5073</v>
      </c>
      <c r="J14" s="32" t="s">
        <v>4690</v>
      </c>
      <c r="K14" s="33" t="s">
        <v>4691</v>
      </c>
      <c r="L14" s="32">
        <v>3.1629884E7</v>
      </c>
      <c r="M14" s="32" t="s">
        <v>4692</v>
      </c>
      <c r="N14" s="32" t="s">
        <v>4693</v>
      </c>
      <c r="O14" s="32" t="s">
        <v>1145</v>
      </c>
      <c r="P14" s="32">
        <v>1989.0</v>
      </c>
      <c r="Q14" s="34">
        <v>1698.0</v>
      </c>
      <c r="R14" s="40">
        <v>1699.0</v>
      </c>
      <c r="S14" s="35">
        <v>1499.0</v>
      </c>
      <c r="T14" s="36">
        <v>233.0</v>
      </c>
      <c r="U14" s="36">
        <v>168.0</v>
      </c>
      <c r="V14" s="36">
        <v>0.0</v>
      </c>
      <c r="W14" s="36">
        <v>59.0</v>
      </c>
      <c r="X14" s="36">
        <v>87.0</v>
      </c>
      <c r="Y14" s="36">
        <v>547.0</v>
      </c>
    </row>
    <row r="15">
      <c r="A15" s="32" t="s">
        <v>2424</v>
      </c>
      <c r="B15" s="32" t="s">
        <v>2424</v>
      </c>
      <c r="C15" s="32" t="s">
        <v>2425</v>
      </c>
      <c r="D15" s="32" t="s">
        <v>2426</v>
      </c>
      <c r="E15" s="32" t="s">
        <v>5073</v>
      </c>
      <c r="F15" s="32" t="e">
        <v>#N/A</v>
      </c>
      <c r="G15" s="32" t="e">
        <v>#N/A</v>
      </c>
      <c r="H15" s="32">
        <v>0.0</v>
      </c>
      <c r="I15" s="39"/>
      <c r="J15" s="32" t="s">
        <v>2428</v>
      </c>
      <c r="K15" s="33" t="s">
        <v>2429</v>
      </c>
      <c r="L15" s="32">
        <v>3.1629883E7</v>
      </c>
      <c r="M15" s="32" t="s">
        <v>2430</v>
      </c>
      <c r="N15" s="32" t="s">
        <v>5081</v>
      </c>
      <c r="O15" s="32" t="s">
        <v>1145</v>
      </c>
      <c r="P15" s="32">
        <v>1999.0</v>
      </c>
      <c r="Q15" s="34">
        <v>1799.0</v>
      </c>
      <c r="R15" s="40">
        <v>1899.0</v>
      </c>
      <c r="S15" s="35">
        <v>1799.0</v>
      </c>
      <c r="T15" s="36">
        <v>81.0</v>
      </c>
      <c r="U15" s="36">
        <v>28.0</v>
      </c>
      <c r="V15" s="36">
        <v>288.0</v>
      </c>
      <c r="W15" s="36">
        <v>0.0</v>
      </c>
      <c r="X15" s="36">
        <v>50.0</v>
      </c>
      <c r="Y15" s="36">
        <v>447.0</v>
      </c>
    </row>
    <row r="16">
      <c r="A16" s="32" t="s">
        <v>2262</v>
      </c>
      <c r="B16" s="32" t="s">
        <v>2262</v>
      </c>
      <c r="C16" s="32" t="s">
        <v>2263</v>
      </c>
      <c r="D16" s="32" t="s">
        <v>2264</v>
      </c>
      <c r="E16" s="32" t="s">
        <v>5073</v>
      </c>
      <c r="F16" s="32" t="e">
        <v>#N/A</v>
      </c>
      <c r="G16" s="39"/>
      <c r="H16" s="32" t="s">
        <v>2265</v>
      </c>
      <c r="I16" s="32" t="s">
        <v>5073</v>
      </c>
      <c r="J16" s="32" t="s">
        <v>2266</v>
      </c>
      <c r="K16" s="33" t="s">
        <v>2267</v>
      </c>
      <c r="L16" s="32">
        <v>3.1862322E7</v>
      </c>
      <c r="M16" s="32" t="e">
        <v>#N/A</v>
      </c>
      <c r="N16" s="32" t="s">
        <v>5077</v>
      </c>
      <c r="O16" s="32" t="s">
        <v>4730</v>
      </c>
      <c r="P16" s="32">
        <v>989.0</v>
      </c>
      <c r="Q16" s="34">
        <v>940.0</v>
      </c>
      <c r="R16" s="35">
        <v>940.0</v>
      </c>
      <c r="S16" s="35">
        <v>890.1</v>
      </c>
      <c r="T16" s="36">
        <v>61.0</v>
      </c>
      <c r="U16" s="36">
        <v>83.0</v>
      </c>
      <c r="V16" s="36">
        <v>230.0</v>
      </c>
      <c r="W16" s="36">
        <v>0.0</v>
      </c>
      <c r="X16" s="36">
        <v>52.0</v>
      </c>
      <c r="Y16" s="36">
        <v>426.0</v>
      </c>
    </row>
    <row r="17">
      <c r="A17" s="32" t="s">
        <v>2369</v>
      </c>
      <c r="B17" s="32" t="s">
        <v>2369</v>
      </c>
      <c r="C17" s="32" t="s">
        <v>2370</v>
      </c>
      <c r="D17" s="32" t="s">
        <v>2371</v>
      </c>
      <c r="E17" s="32" t="s">
        <v>5073</v>
      </c>
      <c r="F17" s="32" t="e">
        <v>#N/A</v>
      </c>
      <c r="G17" s="32" t="e">
        <v>#N/A</v>
      </c>
      <c r="H17" s="32" t="s">
        <v>2372</v>
      </c>
      <c r="I17" s="32" t="s">
        <v>5073</v>
      </c>
      <c r="J17" s="32" t="s">
        <v>2373</v>
      </c>
      <c r="K17" s="33" t="s">
        <v>2374</v>
      </c>
      <c r="L17" s="32">
        <v>3.3223713E7</v>
      </c>
      <c r="M17" s="32" t="e">
        <v>#N/A</v>
      </c>
      <c r="N17" s="32" t="s">
        <v>5082</v>
      </c>
      <c r="O17" s="32" t="s">
        <v>1145</v>
      </c>
      <c r="P17" s="32">
        <v>2499.0</v>
      </c>
      <c r="Q17" s="34">
        <v>2149.0</v>
      </c>
      <c r="R17" s="40">
        <v>2149.0</v>
      </c>
      <c r="S17" s="35">
        <v>1999.0</v>
      </c>
      <c r="T17" s="36">
        <v>136.0</v>
      </c>
      <c r="U17" s="36">
        <v>132.0</v>
      </c>
      <c r="V17" s="36">
        <v>94.0</v>
      </c>
      <c r="W17" s="36">
        <v>14.0</v>
      </c>
      <c r="X17" s="36">
        <v>41.0</v>
      </c>
      <c r="Y17" s="36">
        <v>417.0</v>
      </c>
    </row>
    <row r="18">
      <c r="A18" s="32" t="s">
        <v>1513</v>
      </c>
      <c r="B18" s="32" t="s">
        <v>1513</v>
      </c>
      <c r="C18" s="32" t="s">
        <v>1514</v>
      </c>
      <c r="D18" s="32" t="s">
        <v>1516</v>
      </c>
      <c r="E18" s="32" t="s">
        <v>5073</v>
      </c>
      <c r="F18" s="32" t="e">
        <v>#N/A</v>
      </c>
      <c r="G18" s="32" t="e">
        <v>#N/A</v>
      </c>
      <c r="H18" s="32" t="s">
        <v>1513</v>
      </c>
      <c r="I18" s="32" t="s">
        <v>5073</v>
      </c>
      <c r="J18" s="32" t="s">
        <v>1517</v>
      </c>
      <c r="K18" s="33" t="s">
        <v>1518</v>
      </c>
      <c r="L18" s="32" t="e">
        <v>#N/A</v>
      </c>
      <c r="M18" s="32" t="e">
        <v>#N/A</v>
      </c>
      <c r="N18" s="32" t="s">
        <v>5078</v>
      </c>
      <c r="O18" s="32" t="s">
        <v>4730</v>
      </c>
      <c r="P18" s="32">
        <v>549.0</v>
      </c>
      <c r="Q18" s="34">
        <v>543.51</v>
      </c>
      <c r="R18" s="35">
        <v>549.0</v>
      </c>
      <c r="S18" s="35">
        <v>521.55</v>
      </c>
      <c r="T18" s="36">
        <v>284.0</v>
      </c>
      <c r="U18" s="36">
        <v>13.0</v>
      </c>
      <c r="V18" s="36">
        <v>53.0</v>
      </c>
      <c r="W18" s="36">
        <v>57.0</v>
      </c>
      <c r="X18" s="36">
        <v>5.0</v>
      </c>
      <c r="Y18" s="36">
        <v>412.0</v>
      </c>
    </row>
    <row r="19">
      <c r="A19" s="32" t="s">
        <v>3871</v>
      </c>
      <c r="B19" s="32" t="s">
        <v>3871</v>
      </c>
      <c r="C19" s="32" t="s">
        <v>3872</v>
      </c>
      <c r="D19" s="32" t="s">
        <v>3873</v>
      </c>
      <c r="E19" s="32" t="s">
        <v>5073</v>
      </c>
      <c r="F19" s="32" t="e">
        <v>#N/A</v>
      </c>
      <c r="G19" s="39"/>
      <c r="H19" s="32">
        <v>0.0</v>
      </c>
      <c r="I19" s="39"/>
      <c r="J19" s="32" t="s">
        <v>3874</v>
      </c>
      <c r="K19" s="33" t="s">
        <v>3875</v>
      </c>
      <c r="L19" s="32" t="e">
        <v>#N/A</v>
      </c>
      <c r="M19" s="32" t="e">
        <v>#N/A</v>
      </c>
      <c r="N19" s="32" t="s">
        <v>4727</v>
      </c>
      <c r="O19" s="32" t="s">
        <v>4727</v>
      </c>
      <c r="P19" s="32">
        <v>1869.0</v>
      </c>
      <c r="Q19" s="34">
        <v>1495.0</v>
      </c>
      <c r="R19" s="40">
        <v>1499.0</v>
      </c>
      <c r="S19" s="35">
        <v>1401.75</v>
      </c>
      <c r="T19" s="36">
        <v>40.0</v>
      </c>
      <c r="U19" s="36">
        <v>50.0</v>
      </c>
      <c r="V19" s="36">
        <v>228.0</v>
      </c>
      <c r="W19" s="36">
        <v>33.0</v>
      </c>
      <c r="X19" s="36">
        <v>56.0</v>
      </c>
      <c r="Y19" s="36">
        <v>407.0</v>
      </c>
    </row>
    <row r="20">
      <c r="A20" s="32" t="s">
        <v>2411</v>
      </c>
      <c r="B20" s="32" t="s">
        <v>2411</v>
      </c>
      <c r="C20" s="32" t="s">
        <v>4756</v>
      </c>
      <c r="D20" s="32" t="s">
        <v>4757</v>
      </c>
      <c r="E20" s="32" t="s">
        <v>5073</v>
      </c>
      <c r="F20" s="32" t="e">
        <v>#N/A</v>
      </c>
      <c r="G20" s="32" t="e">
        <v>#N/A</v>
      </c>
      <c r="H20" s="32" t="s">
        <v>2413</v>
      </c>
      <c r="I20" s="32" t="s">
        <v>5073</v>
      </c>
      <c r="J20" s="32" t="s">
        <v>2414</v>
      </c>
      <c r="K20" s="33" t="s">
        <v>4758</v>
      </c>
      <c r="L20" s="32" t="e">
        <v>#N/A</v>
      </c>
      <c r="M20" s="32" t="e">
        <v>#N/A</v>
      </c>
      <c r="N20" s="32" t="s">
        <v>5074</v>
      </c>
      <c r="O20" s="32" t="s">
        <v>1145</v>
      </c>
      <c r="P20" s="32">
        <v>1489.0</v>
      </c>
      <c r="Q20" s="34">
        <v>1149.0</v>
      </c>
      <c r="R20" s="40">
        <v>1299.0</v>
      </c>
      <c r="S20" s="35">
        <v>999.0</v>
      </c>
      <c r="T20" s="36">
        <v>172.0</v>
      </c>
      <c r="U20" s="36">
        <v>208.0</v>
      </c>
      <c r="V20" s="36">
        <v>0.0</v>
      </c>
      <c r="W20" s="36">
        <v>20.0</v>
      </c>
      <c r="X20" s="36">
        <v>0.0</v>
      </c>
      <c r="Y20" s="36">
        <v>400.0</v>
      </c>
    </row>
    <row r="21">
      <c r="A21" s="32" t="s">
        <v>1508</v>
      </c>
      <c r="B21" s="32" t="s">
        <v>1508</v>
      </c>
      <c r="C21" s="32" t="s">
        <v>1509</v>
      </c>
      <c r="D21" s="32" t="s">
        <v>1510</v>
      </c>
      <c r="E21" s="32" t="s">
        <v>5073</v>
      </c>
      <c r="F21" s="32" t="e">
        <v>#N/A</v>
      </c>
      <c r="G21" s="32" t="e">
        <v>#N/A</v>
      </c>
      <c r="H21" s="32" t="s">
        <v>1508</v>
      </c>
      <c r="I21" s="32" t="s">
        <v>5073</v>
      </c>
      <c r="J21" s="32" t="s">
        <v>1511</v>
      </c>
      <c r="K21" s="33" t="s">
        <v>1512</v>
      </c>
      <c r="L21" s="32" t="e">
        <v>#N/A</v>
      </c>
      <c r="M21" s="32" t="e">
        <v>#N/A</v>
      </c>
      <c r="N21" s="32" t="s">
        <v>5078</v>
      </c>
      <c r="O21" s="32" t="s">
        <v>4730</v>
      </c>
      <c r="P21" s="32">
        <v>549.0</v>
      </c>
      <c r="Q21" s="34">
        <v>543.51</v>
      </c>
      <c r="R21" s="35">
        <v>549.0</v>
      </c>
      <c r="S21" s="35">
        <v>521.55</v>
      </c>
      <c r="T21" s="36">
        <v>142.0</v>
      </c>
      <c r="U21" s="36">
        <v>59.0</v>
      </c>
      <c r="V21" s="36">
        <v>125.0</v>
      </c>
      <c r="W21" s="36">
        <v>45.0</v>
      </c>
      <c r="X21" s="36">
        <v>15.0</v>
      </c>
      <c r="Y21" s="36">
        <v>386.0</v>
      </c>
    </row>
    <row r="22">
      <c r="A22" s="32" t="s">
        <v>3851</v>
      </c>
      <c r="B22" s="32" t="s">
        <v>3851</v>
      </c>
      <c r="C22" s="32" t="s">
        <v>3852</v>
      </c>
      <c r="D22" s="32" t="s">
        <v>3853</v>
      </c>
      <c r="E22" s="32" t="s">
        <v>5073</v>
      </c>
      <c r="F22" s="32" t="e">
        <v>#N/A</v>
      </c>
      <c r="G22" s="38"/>
      <c r="H22" s="32">
        <v>0.0</v>
      </c>
      <c r="I22" s="39"/>
      <c r="J22" s="32" t="s">
        <v>3854</v>
      </c>
      <c r="K22" s="33" t="s">
        <v>3855</v>
      </c>
      <c r="L22" s="32" t="e">
        <v>#N/A</v>
      </c>
      <c r="M22" s="32" t="e">
        <v>#N/A</v>
      </c>
      <c r="N22" s="32" t="s">
        <v>4727</v>
      </c>
      <c r="O22" s="32" t="s">
        <v>4727</v>
      </c>
      <c r="P22" s="32">
        <v>1249.0</v>
      </c>
      <c r="Q22" s="34">
        <v>999.0</v>
      </c>
      <c r="R22" s="35">
        <v>999.0</v>
      </c>
      <c r="S22" s="35">
        <v>936.75</v>
      </c>
      <c r="T22" s="36">
        <v>53.0</v>
      </c>
      <c r="U22" s="36">
        <v>56.0</v>
      </c>
      <c r="V22" s="36">
        <v>175.0</v>
      </c>
      <c r="W22" s="36">
        <v>18.0</v>
      </c>
      <c r="X22" s="36">
        <v>67.0</v>
      </c>
      <c r="Y22" s="36">
        <v>369.0</v>
      </c>
    </row>
    <row r="23">
      <c r="A23" s="32" t="s">
        <v>1493</v>
      </c>
      <c r="B23" s="32" t="s">
        <v>1493</v>
      </c>
      <c r="C23" s="32" t="s">
        <v>1494</v>
      </c>
      <c r="D23" s="32" t="s">
        <v>1495</v>
      </c>
      <c r="E23" s="32" t="s">
        <v>5073</v>
      </c>
      <c r="F23" s="32" t="e">
        <v>#N/A</v>
      </c>
      <c r="G23" s="39"/>
      <c r="H23" s="32" t="s">
        <v>1493</v>
      </c>
      <c r="I23" s="32" t="s">
        <v>5073</v>
      </c>
      <c r="J23" s="32" t="s">
        <v>1496</v>
      </c>
      <c r="K23" s="33" t="s">
        <v>1497</v>
      </c>
      <c r="L23" s="32" t="e">
        <v>#N/A</v>
      </c>
      <c r="M23" s="32" t="e">
        <v>#N/A</v>
      </c>
      <c r="N23" s="32" t="s">
        <v>5078</v>
      </c>
      <c r="O23" s="32" t="s">
        <v>4730</v>
      </c>
      <c r="P23" s="32">
        <v>649.0</v>
      </c>
      <c r="Q23" s="34">
        <v>642.51</v>
      </c>
      <c r="R23" s="35">
        <v>649.0</v>
      </c>
      <c r="S23" s="35">
        <v>616.55</v>
      </c>
      <c r="T23" s="36">
        <v>36.0</v>
      </c>
      <c r="U23" s="36">
        <v>177.0</v>
      </c>
      <c r="V23" s="36">
        <v>0.0</v>
      </c>
      <c r="W23" s="36">
        <v>143.0</v>
      </c>
      <c r="X23" s="36">
        <v>0.0</v>
      </c>
      <c r="Y23" s="36">
        <v>356.0</v>
      </c>
    </row>
    <row r="24">
      <c r="A24" s="32" t="s">
        <v>1498</v>
      </c>
      <c r="B24" s="32" t="s">
        <v>1498</v>
      </c>
      <c r="C24" s="32" t="s">
        <v>1499</v>
      </c>
      <c r="D24" s="32" t="s">
        <v>1500</v>
      </c>
      <c r="E24" s="32" t="s">
        <v>5073</v>
      </c>
      <c r="F24" s="32" t="e">
        <v>#N/A</v>
      </c>
      <c r="G24" s="39"/>
      <c r="H24" s="32" t="s">
        <v>1498</v>
      </c>
      <c r="I24" s="32" t="s">
        <v>5073</v>
      </c>
      <c r="J24" s="32" t="s">
        <v>1501</v>
      </c>
      <c r="K24" s="33" t="s">
        <v>1502</v>
      </c>
      <c r="L24" s="32" t="e">
        <v>#N/A</v>
      </c>
      <c r="M24" s="32" t="e">
        <v>#N/A</v>
      </c>
      <c r="N24" s="32" t="s">
        <v>5078</v>
      </c>
      <c r="O24" s="32" t="s">
        <v>4730</v>
      </c>
      <c r="P24" s="32">
        <v>649.0</v>
      </c>
      <c r="Q24" s="34">
        <v>642.51</v>
      </c>
      <c r="R24" s="35">
        <v>649.0</v>
      </c>
      <c r="S24" s="35">
        <v>616.55</v>
      </c>
      <c r="T24" s="36">
        <v>124.0</v>
      </c>
      <c r="U24" s="36">
        <v>28.0</v>
      </c>
      <c r="V24" s="36">
        <v>110.0</v>
      </c>
      <c r="W24" s="36">
        <v>87.0</v>
      </c>
      <c r="X24" s="36">
        <v>0.0</v>
      </c>
      <c r="Y24" s="36">
        <v>349.0</v>
      </c>
    </row>
    <row r="25">
      <c r="A25" s="32" t="s">
        <v>2448</v>
      </c>
      <c r="B25" s="32" t="s">
        <v>2448</v>
      </c>
      <c r="C25" s="32" t="s">
        <v>2449</v>
      </c>
      <c r="D25" s="32" t="s">
        <v>2450</v>
      </c>
      <c r="E25" s="32" t="s">
        <v>5073</v>
      </c>
      <c r="F25" s="32" t="e">
        <v>#N/A</v>
      </c>
      <c r="G25" s="39"/>
      <c r="H25" s="32" t="s">
        <v>2451</v>
      </c>
      <c r="I25" s="32" t="s">
        <v>5073</v>
      </c>
      <c r="J25" s="32" t="s">
        <v>2448</v>
      </c>
      <c r="K25" s="33" t="s">
        <v>2452</v>
      </c>
      <c r="L25" s="32">
        <v>3.1629885E7</v>
      </c>
      <c r="M25" s="32" t="s">
        <v>2453</v>
      </c>
      <c r="N25" s="32" t="s">
        <v>5083</v>
      </c>
      <c r="O25" s="32" t="s">
        <v>1145</v>
      </c>
      <c r="P25" s="32">
        <v>2989.0</v>
      </c>
      <c r="Q25" s="34">
        <v>2299.0</v>
      </c>
      <c r="R25" s="40">
        <v>2299.0</v>
      </c>
      <c r="S25" s="35">
        <v>2199.0</v>
      </c>
      <c r="T25" s="36">
        <v>40.0</v>
      </c>
      <c r="U25" s="36">
        <v>0.0</v>
      </c>
      <c r="V25" s="36">
        <v>261.0</v>
      </c>
      <c r="W25" s="36">
        <v>12.0</v>
      </c>
      <c r="X25" s="36">
        <v>21.0</v>
      </c>
      <c r="Y25" s="36">
        <v>334.0</v>
      </c>
    </row>
    <row r="26">
      <c r="A26" s="32" t="s">
        <v>1132</v>
      </c>
      <c r="B26" s="32" t="s">
        <v>1132</v>
      </c>
      <c r="C26" s="32" t="s">
        <v>1133</v>
      </c>
      <c r="D26" s="32" t="s">
        <v>1134</v>
      </c>
      <c r="E26" s="32" t="s">
        <v>5073</v>
      </c>
      <c r="F26" s="32" t="e">
        <v>#N/A</v>
      </c>
      <c r="G26" s="39"/>
      <c r="H26" s="32" t="s">
        <v>1135</v>
      </c>
      <c r="I26" s="32" t="s">
        <v>5073</v>
      </c>
      <c r="J26" s="32" t="s">
        <v>1132</v>
      </c>
      <c r="K26" s="33" t="s">
        <v>1136</v>
      </c>
      <c r="L26" s="32">
        <v>3.2777659E7</v>
      </c>
      <c r="M26" s="32" t="s">
        <v>1137</v>
      </c>
      <c r="N26" s="32" t="s">
        <v>5084</v>
      </c>
      <c r="O26" s="32" t="s">
        <v>1145</v>
      </c>
      <c r="P26" s="32">
        <v>1989.0</v>
      </c>
      <c r="Q26" s="34">
        <v>999.0</v>
      </c>
      <c r="R26" s="35">
        <v>999.0</v>
      </c>
      <c r="S26" s="35">
        <v>999.0</v>
      </c>
      <c r="T26" s="36">
        <v>86.0</v>
      </c>
      <c r="U26" s="36">
        <v>66.0</v>
      </c>
      <c r="V26" s="36">
        <v>178.0</v>
      </c>
      <c r="W26" s="36">
        <v>0.0</v>
      </c>
      <c r="X26" s="36">
        <v>0.0</v>
      </c>
      <c r="Y26" s="36">
        <v>330.0</v>
      </c>
    </row>
    <row r="27">
      <c r="A27" s="32" t="s">
        <v>3856</v>
      </c>
      <c r="B27" s="32" t="s">
        <v>3856</v>
      </c>
      <c r="C27" s="32" t="s">
        <v>3857</v>
      </c>
      <c r="D27" s="32" t="s">
        <v>3858</v>
      </c>
      <c r="E27" s="32" t="s">
        <v>5073</v>
      </c>
      <c r="F27" s="32" t="e">
        <v>#N/A</v>
      </c>
      <c r="G27" s="39"/>
      <c r="H27" s="32">
        <v>0.0</v>
      </c>
      <c r="I27" s="39"/>
      <c r="J27" s="32" t="s">
        <v>3859</v>
      </c>
      <c r="K27" s="33" t="s">
        <v>3860</v>
      </c>
      <c r="L27" s="32" t="e">
        <v>#N/A</v>
      </c>
      <c r="M27" s="32" t="e">
        <v>#N/A</v>
      </c>
      <c r="N27" s="32" t="s">
        <v>4727</v>
      </c>
      <c r="O27" s="32" t="s">
        <v>4727</v>
      </c>
      <c r="P27" s="32">
        <v>1869.0</v>
      </c>
      <c r="Q27" s="34">
        <v>1495.0</v>
      </c>
      <c r="R27" s="40">
        <v>1499.0</v>
      </c>
      <c r="S27" s="35">
        <v>1401.75</v>
      </c>
      <c r="T27" s="36">
        <v>5.0</v>
      </c>
      <c r="U27" s="36">
        <v>0.0</v>
      </c>
      <c r="V27" s="36">
        <v>315.0</v>
      </c>
      <c r="W27" s="36">
        <v>9.0</v>
      </c>
      <c r="X27" s="36">
        <v>0.0</v>
      </c>
      <c r="Y27" s="36">
        <v>329.0</v>
      </c>
    </row>
    <row r="28">
      <c r="A28" s="32" t="s">
        <v>2384</v>
      </c>
      <c r="B28" s="32" t="s">
        <v>2384</v>
      </c>
      <c r="C28" s="32" t="s">
        <v>2385</v>
      </c>
      <c r="D28" s="32" t="s">
        <v>2386</v>
      </c>
      <c r="E28" s="32" t="s">
        <v>5073</v>
      </c>
      <c r="F28" s="32" t="e">
        <v>#N/A</v>
      </c>
      <c r="G28" s="39"/>
      <c r="H28" s="32" t="s">
        <v>2387</v>
      </c>
      <c r="I28" s="32" t="s">
        <v>5073</v>
      </c>
      <c r="J28" s="32" t="s">
        <v>2388</v>
      </c>
      <c r="K28" s="33" t="s">
        <v>2389</v>
      </c>
      <c r="L28" s="32">
        <v>3.162988E7</v>
      </c>
      <c r="M28" s="32" t="e">
        <v>#N/A</v>
      </c>
      <c r="N28" s="32" t="s">
        <v>5085</v>
      </c>
      <c r="O28" s="32" t="s">
        <v>1145</v>
      </c>
      <c r="P28" s="32">
        <v>1989.0</v>
      </c>
      <c r="Q28" s="34">
        <v>1699.0</v>
      </c>
      <c r="R28" s="40">
        <v>1699.0</v>
      </c>
      <c r="S28" s="35">
        <v>1599.0</v>
      </c>
      <c r="T28" s="36">
        <v>152.0</v>
      </c>
      <c r="U28" s="36">
        <v>62.0</v>
      </c>
      <c r="V28" s="36">
        <v>90.0</v>
      </c>
      <c r="W28" s="36">
        <v>24.0</v>
      </c>
      <c r="X28" s="36">
        <v>0.0</v>
      </c>
      <c r="Y28" s="36">
        <v>328.0</v>
      </c>
    </row>
    <row r="29">
      <c r="A29" s="32" t="s">
        <v>3876</v>
      </c>
      <c r="B29" s="32" t="s">
        <v>3876</v>
      </c>
      <c r="C29" s="32" t="s">
        <v>3877</v>
      </c>
      <c r="D29" s="32" t="s">
        <v>3878</v>
      </c>
      <c r="E29" s="32" t="s">
        <v>5073</v>
      </c>
      <c r="F29" s="32" t="e">
        <v>#N/A</v>
      </c>
      <c r="G29" s="39"/>
      <c r="H29" s="32">
        <v>0.0</v>
      </c>
      <c r="I29" s="39"/>
      <c r="J29" s="32" t="s">
        <v>3879</v>
      </c>
      <c r="K29" s="33" t="s">
        <v>3880</v>
      </c>
      <c r="L29" s="32" t="e">
        <v>#N/A</v>
      </c>
      <c r="M29" s="32" t="e">
        <v>#N/A</v>
      </c>
      <c r="N29" s="32" t="s">
        <v>4727</v>
      </c>
      <c r="O29" s="32" t="s">
        <v>4727</v>
      </c>
      <c r="P29" s="32">
        <v>2499.0</v>
      </c>
      <c r="Q29" s="34">
        <v>1999.0</v>
      </c>
      <c r="R29" s="40">
        <v>1999.0</v>
      </c>
      <c r="S29" s="35">
        <v>1874.25</v>
      </c>
      <c r="T29" s="36">
        <v>48.0</v>
      </c>
      <c r="U29" s="36">
        <v>29.0</v>
      </c>
      <c r="V29" s="36">
        <v>194.0</v>
      </c>
      <c r="W29" s="36">
        <v>13.0</v>
      </c>
      <c r="X29" s="36">
        <v>40.0</v>
      </c>
      <c r="Y29" s="36">
        <v>324.0</v>
      </c>
    </row>
    <row r="30">
      <c r="A30" s="32" t="s">
        <v>3881</v>
      </c>
      <c r="B30" s="43" t="s">
        <v>3881</v>
      </c>
      <c r="C30" s="32" t="s">
        <v>3882</v>
      </c>
      <c r="D30" s="32" t="s">
        <v>3883</v>
      </c>
      <c r="E30" s="32" t="s">
        <v>5073</v>
      </c>
      <c r="F30" s="32" t="e">
        <v>#N/A</v>
      </c>
      <c r="G30" s="39"/>
      <c r="H30" s="32">
        <v>0.0</v>
      </c>
      <c r="I30" s="39"/>
      <c r="J30" s="32" t="s">
        <v>3884</v>
      </c>
      <c r="K30" s="33" t="s">
        <v>3885</v>
      </c>
      <c r="L30" s="32" t="e">
        <v>#N/A</v>
      </c>
      <c r="M30" s="32" t="e">
        <v>#N/A</v>
      </c>
      <c r="N30" s="32" t="s">
        <v>4727</v>
      </c>
      <c r="O30" s="32" t="s">
        <v>4727</v>
      </c>
      <c r="P30" s="32">
        <v>2499.0</v>
      </c>
      <c r="Q30" s="34">
        <v>1999.0</v>
      </c>
      <c r="R30" s="40">
        <v>1999.0</v>
      </c>
      <c r="S30" s="35">
        <v>1874.25</v>
      </c>
      <c r="T30" s="36">
        <v>0.0</v>
      </c>
      <c r="U30" s="36">
        <v>28.0</v>
      </c>
      <c r="V30" s="36">
        <v>222.0</v>
      </c>
      <c r="W30" s="36">
        <v>21.0</v>
      </c>
      <c r="X30" s="36">
        <v>43.0</v>
      </c>
      <c r="Y30" s="36">
        <v>314.0</v>
      </c>
    </row>
    <row r="31">
      <c r="A31" s="32" t="s">
        <v>3307</v>
      </c>
      <c r="B31" s="32" t="s">
        <v>3307</v>
      </c>
      <c r="C31" s="32" t="s">
        <v>3308</v>
      </c>
      <c r="D31" s="32" t="s">
        <v>3309</v>
      </c>
      <c r="E31" s="32" t="s">
        <v>5073</v>
      </c>
      <c r="F31" s="32" t="e">
        <v>#N/A</v>
      </c>
      <c r="G31" s="38"/>
      <c r="H31" s="32" t="s">
        <v>3310</v>
      </c>
      <c r="I31" s="32" t="s">
        <v>5073</v>
      </c>
      <c r="J31" s="32" t="s">
        <v>3311</v>
      </c>
      <c r="K31" s="33" t="s">
        <v>3312</v>
      </c>
      <c r="L31" s="32">
        <v>3.1818392E7</v>
      </c>
      <c r="M31" s="32" t="e">
        <v>#N/A</v>
      </c>
      <c r="N31" s="32" t="s">
        <v>5086</v>
      </c>
      <c r="O31" s="32" t="s">
        <v>4730</v>
      </c>
      <c r="P31" s="32">
        <v>1989.0</v>
      </c>
      <c r="Q31" s="34">
        <v>1799.0</v>
      </c>
      <c r="R31" s="40">
        <v>1799.0</v>
      </c>
      <c r="S31" s="35">
        <v>1690.65</v>
      </c>
      <c r="T31" s="36">
        <v>43.0</v>
      </c>
      <c r="U31" s="36">
        <v>26.0</v>
      </c>
      <c r="V31" s="36">
        <v>90.0</v>
      </c>
      <c r="W31" s="36">
        <v>45.0</v>
      </c>
      <c r="X31" s="36">
        <v>93.0</v>
      </c>
      <c r="Y31" s="36">
        <v>297.0</v>
      </c>
    </row>
    <row r="32">
      <c r="A32" s="32" t="s">
        <v>3414</v>
      </c>
      <c r="B32" s="32" t="s">
        <v>3414</v>
      </c>
      <c r="C32" s="32" t="s">
        <v>4863</v>
      </c>
      <c r="D32" s="32" t="s">
        <v>4864</v>
      </c>
      <c r="E32" s="32" t="s">
        <v>5073</v>
      </c>
      <c r="F32" s="32" t="e">
        <v>#N/A</v>
      </c>
      <c r="G32" s="39"/>
      <c r="H32" s="32" t="e">
        <v>#N/A</v>
      </c>
      <c r="I32" s="39"/>
      <c r="J32" s="32" t="s">
        <v>3416</v>
      </c>
      <c r="K32" s="33" t="s">
        <v>3417</v>
      </c>
      <c r="L32" s="32" t="e">
        <v>#N/A</v>
      </c>
      <c r="M32" s="32" t="e">
        <v>#N/A</v>
      </c>
      <c r="N32" s="32" t="s">
        <v>5076</v>
      </c>
      <c r="O32" s="32" t="s">
        <v>1145</v>
      </c>
      <c r="P32" s="32">
        <v>1489.0</v>
      </c>
      <c r="Q32" s="34">
        <v>1414.0</v>
      </c>
      <c r="R32" s="40">
        <v>1414.0</v>
      </c>
      <c r="S32" s="35">
        <v>1299.0</v>
      </c>
      <c r="T32" s="36">
        <v>107.0</v>
      </c>
      <c r="U32" s="36">
        <v>83.0</v>
      </c>
      <c r="V32" s="36">
        <v>54.0</v>
      </c>
      <c r="W32" s="36">
        <v>27.0</v>
      </c>
      <c r="X32" s="36">
        <v>23.0</v>
      </c>
      <c r="Y32" s="36">
        <v>294.0</v>
      </c>
    </row>
    <row r="33">
      <c r="A33" s="32" t="s">
        <v>3137</v>
      </c>
      <c r="B33" s="32" t="s">
        <v>3137</v>
      </c>
      <c r="C33" s="32" t="s">
        <v>3138</v>
      </c>
      <c r="D33" s="32" t="s">
        <v>3139</v>
      </c>
      <c r="E33" s="32" t="s">
        <v>5073</v>
      </c>
      <c r="F33" s="32" t="e">
        <v>#N/A</v>
      </c>
      <c r="G33" s="39"/>
      <c r="H33" s="32" t="s">
        <v>3140</v>
      </c>
      <c r="I33" s="32" t="s">
        <v>5073</v>
      </c>
      <c r="J33" s="32" t="s">
        <v>3141</v>
      </c>
      <c r="K33" s="33" t="s">
        <v>3142</v>
      </c>
      <c r="L33" s="32">
        <v>3.1745301E7</v>
      </c>
      <c r="M33" s="32" t="s">
        <v>3143</v>
      </c>
      <c r="N33" s="32" t="s">
        <v>5087</v>
      </c>
      <c r="O33" s="32" t="s">
        <v>4730</v>
      </c>
      <c r="P33" s="32">
        <v>2489.0</v>
      </c>
      <c r="Q33" s="34">
        <v>2098.0</v>
      </c>
      <c r="R33" s="40">
        <v>2099.0</v>
      </c>
      <c r="S33" s="35">
        <v>1999.0</v>
      </c>
      <c r="T33" s="36">
        <v>29.0</v>
      </c>
      <c r="U33" s="36">
        <v>27.0</v>
      </c>
      <c r="V33" s="36">
        <v>230.0</v>
      </c>
      <c r="W33" s="36">
        <v>0.0</v>
      </c>
      <c r="X33" s="36">
        <v>0.0</v>
      </c>
      <c r="Y33" s="36">
        <v>286.0</v>
      </c>
    </row>
    <row r="34">
      <c r="A34" s="32" t="s">
        <v>2951</v>
      </c>
      <c r="B34" s="32" t="s">
        <v>2951</v>
      </c>
      <c r="C34" s="32" t="s">
        <v>2952</v>
      </c>
      <c r="D34" s="32" t="s">
        <v>2953</v>
      </c>
      <c r="E34" s="32" t="s">
        <v>5073</v>
      </c>
      <c r="F34" s="32" t="e">
        <v>#N/A</v>
      </c>
      <c r="G34" s="39"/>
      <c r="H34" s="32" t="s">
        <v>2954</v>
      </c>
      <c r="I34" s="32" t="s">
        <v>5073</v>
      </c>
      <c r="J34" s="32" t="s">
        <v>2955</v>
      </c>
      <c r="K34" s="33" t="s">
        <v>2956</v>
      </c>
      <c r="L34" s="32" t="e">
        <v>#N/A</v>
      </c>
      <c r="M34" s="32" t="e">
        <v>#N/A</v>
      </c>
      <c r="N34" s="32" t="s">
        <v>5088</v>
      </c>
      <c r="O34" s="32" t="s">
        <v>4730</v>
      </c>
      <c r="P34" s="32">
        <v>2089.0</v>
      </c>
      <c r="Q34" s="34">
        <v>1899.0</v>
      </c>
      <c r="R34" s="40">
        <v>1899.0</v>
      </c>
      <c r="S34" s="35">
        <v>1671.2</v>
      </c>
      <c r="T34" s="36">
        <v>78.0</v>
      </c>
      <c r="U34" s="36">
        <v>45.0</v>
      </c>
      <c r="V34" s="36">
        <v>87.0</v>
      </c>
      <c r="W34" s="36">
        <v>43.0</v>
      </c>
      <c r="X34" s="36">
        <v>30.0</v>
      </c>
      <c r="Y34" s="36">
        <v>283.0</v>
      </c>
    </row>
    <row r="35">
      <c r="A35" s="32" t="s">
        <v>1503</v>
      </c>
      <c r="B35" s="32" t="s">
        <v>1503</v>
      </c>
      <c r="C35" s="32" t="s">
        <v>1504</v>
      </c>
      <c r="D35" s="32" t="s">
        <v>1505</v>
      </c>
      <c r="E35" s="32" t="s">
        <v>5073</v>
      </c>
      <c r="F35" s="32" t="e">
        <v>#N/A</v>
      </c>
      <c r="G35" s="39"/>
      <c r="H35" s="32" t="s">
        <v>1503</v>
      </c>
      <c r="I35" s="32" t="s">
        <v>5073</v>
      </c>
      <c r="J35" s="32" t="s">
        <v>1506</v>
      </c>
      <c r="K35" s="33" t="s">
        <v>1507</v>
      </c>
      <c r="L35" s="32" t="e">
        <v>#N/A</v>
      </c>
      <c r="M35" s="32" t="e">
        <v>#N/A</v>
      </c>
      <c r="N35" s="32" t="s">
        <v>5078</v>
      </c>
      <c r="O35" s="32" t="s">
        <v>4730</v>
      </c>
      <c r="P35" s="32">
        <v>549.0</v>
      </c>
      <c r="Q35" s="34">
        <v>543.51</v>
      </c>
      <c r="R35" s="35">
        <v>549.0</v>
      </c>
      <c r="S35" s="35">
        <v>521.55</v>
      </c>
      <c r="T35" s="36">
        <v>21.0</v>
      </c>
      <c r="U35" s="36">
        <v>176.0</v>
      </c>
      <c r="V35" s="36">
        <v>26.0</v>
      </c>
      <c r="W35" s="36">
        <v>45.0</v>
      </c>
      <c r="X35" s="36">
        <v>0.0</v>
      </c>
      <c r="Y35" s="36">
        <v>268.0</v>
      </c>
    </row>
    <row r="36">
      <c r="A36" s="32" t="s">
        <v>3886</v>
      </c>
      <c r="B36" s="32" t="s">
        <v>3886</v>
      </c>
      <c r="C36" s="32" t="s">
        <v>3887</v>
      </c>
      <c r="D36" s="32" t="s">
        <v>3888</v>
      </c>
      <c r="E36" s="32" t="s">
        <v>5073</v>
      </c>
      <c r="F36" s="32" t="e">
        <v>#N/A</v>
      </c>
      <c r="G36" s="39"/>
      <c r="H36" s="32">
        <v>0.0</v>
      </c>
      <c r="I36" s="39"/>
      <c r="J36" s="32" t="s">
        <v>3889</v>
      </c>
      <c r="K36" s="33" t="s">
        <v>3890</v>
      </c>
      <c r="L36" s="32" t="e">
        <v>#N/A</v>
      </c>
      <c r="M36" s="32" t="e">
        <v>#N/A</v>
      </c>
      <c r="N36" s="32" t="s">
        <v>4727</v>
      </c>
      <c r="O36" s="32" t="s">
        <v>4727</v>
      </c>
      <c r="P36" s="32">
        <v>1999.0</v>
      </c>
      <c r="Q36" s="34">
        <v>1599.0</v>
      </c>
      <c r="R36" s="40">
        <v>1599.0</v>
      </c>
      <c r="S36" s="35">
        <v>1499.25</v>
      </c>
      <c r="T36" s="36">
        <v>43.0</v>
      </c>
      <c r="U36" s="36">
        <v>18.0</v>
      </c>
      <c r="V36" s="36">
        <v>174.0</v>
      </c>
      <c r="W36" s="36">
        <v>16.0</v>
      </c>
      <c r="X36" s="36">
        <v>14.0</v>
      </c>
      <c r="Y36" s="36">
        <v>265.0</v>
      </c>
    </row>
    <row r="37">
      <c r="A37" s="32" t="s">
        <v>2335</v>
      </c>
      <c r="B37" s="32" t="s">
        <v>2335</v>
      </c>
      <c r="C37" s="32" t="s">
        <v>2336</v>
      </c>
      <c r="D37" s="32" t="s">
        <v>2337</v>
      </c>
      <c r="E37" s="32" t="s">
        <v>5073</v>
      </c>
      <c r="F37" s="32" t="e">
        <v>#N/A</v>
      </c>
      <c r="G37" s="39"/>
      <c r="H37" s="32" t="s">
        <v>2338</v>
      </c>
      <c r="I37" s="32" t="s">
        <v>5073</v>
      </c>
      <c r="J37" s="32" t="s">
        <v>2339</v>
      </c>
      <c r="K37" s="33" t="s">
        <v>2340</v>
      </c>
      <c r="L37" s="32">
        <v>3.1862314E7</v>
      </c>
      <c r="M37" s="32" t="e">
        <v>#N/A</v>
      </c>
      <c r="N37" s="32" t="s">
        <v>5077</v>
      </c>
      <c r="O37" s="32" t="s">
        <v>4730</v>
      </c>
      <c r="P37" s="32">
        <v>1089.0</v>
      </c>
      <c r="Q37" s="34">
        <v>1035.0</v>
      </c>
      <c r="R37" s="40">
        <v>1035.0</v>
      </c>
      <c r="S37" s="35">
        <v>980.1</v>
      </c>
      <c r="T37" s="36">
        <v>19.0</v>
      </c>
      <c r="U37" s="36">
        <v>11.0</v>
      </c>
      <c r="V37" s="36">
        <v>130.0</v>
      </c>
      <c r="W37" s="36">
        <v>0.0</v>
      </c>
      <c r="X37" s="36">
        <v>95.0</v>
      </c>
      <c r="Y37" s="36">
        <v>255.0</v>
      </c>
    </row>
    <row r="38">
      <c r="A38" s="32" t="s">
        <v>1413</v>
      </c>
      <c r="B38" s="32" t="s">
        <v>1413</v>
      </c>
      <c r="C38" s="32" t="s">
        <v>1414</v>
      </c>
      <c r="D38" s="32" t="s">
        <v>1415</v>
      </c>
      <c r="E38" s="32" t="s">
        <v>5073</v>
      </c>
      <c r="F38" s="32" t="e">
        <v>#N/A</v>
      </c>
      <c r="G38" s="39"/>
      <c r="H38" s="32" t="s">
        <v>1416</v>
      </c>
      <c r="I38" s="32" t="s">
        <v>5073</v>
      </c>
      <c r="J38" s="32" t="s">
        <v>1417</v>
      </c>
      <c r="K38" s="33" t="s">
        <v>1418</v>
      </c>
      <c r="L38" s="32">
        <v>3.181841E7</v>
      </c>
      <c r="M38" s="32" t="e">
        <v>#N/A</v>
      </c>
      <c r="N38" s="32" t="s">
        <v>5089</v>
      </c>
      <c r="O38" s="32" t="s">
        <v>4730</v>
      </c>
      <c r="P38" s="32">
        <v>2649.0</v>
      </c>
      <c r="Q38" s="34">
        <v>2164.0</v>
      </c>
      <c r="R38" s="40">
        <v>2199.0</v>
      </c>
      <c r="S38" s="35">
        <v>2119.2</v>
      </c>
      <c r="T38" s="36">
        <v>26.0</v>
      </c>
      <c r="U38" s="36">
        <v>42.0</v>
      </c>
      <c r="V38" s="36">
        <v>76.0</v>
      </c>
      <c r="W38" s="36">
        <v>44.0</v>
      </c>
      <c r="X38" s="36">
        <v>53.0</v>
      </c>
      <c r="Y38" s="36">
        <v>241.0</v>
      </c>
    </row>
    <row r="39">
      <c r="A39" s="32" t="s">
        <v>2969</v>
      </c>
      <c r="B39" s="32" t="s">
        <v>2969</v>
      </c>
      <c r="C39" s="32" t="s">
        <v>2970</v>
      </c>
      <c r="D39" s="32" t="s">
        <v>2971</v>
      </c>
      <c r="E39" s="32" t="s">
        <v>5073</v>
      </c>
      <c r="F39" s="32" t="e">
        <v>#N/A</v>
      </c>
      <c r="G39" s="39"/>
      <c r="H39" s="32" t="s">
        <v>2972</v>
      </c>
      <c r="I39" s="32" t="s">
        <v>5073</v>
      </c>
      <c r="J39" s="32" t="s">
        <v>2973</v>
      </c>
      <c r="K39" s="33" t="s">
        <v>2974</v>
      </c>
      <c r="L39" s="32" t="e">
        <v>#N/A</v>
      </c>
      <c r="M39" s="32" t="e">
        <v>#N/A</v>
      </c>
      <c r="N39" s="32" t="s">
        <v>5088</v>
      </c>
      <c r="O39" s="32" t="s">
        <v>4730</v>
      </c>
      <c r="P39" s="32">
        <v>2089.0</v>
      </c>
      <c r="Q39" s="34">
        <v>1627.0</v>
      </c>
      <c r="R39" s="40">
        <v>1899.0</v>
      </c>
      <c r="S39" s="35">
        <v>1671.2</v>
      </c>
      <c r="T39" s="36">
        <v>56.0</v>
      </c>
      <c r="U39" s="36">
        <v>27.0</v>
      </c>
      <c r="V39" s="36">
        <v>96.0</v>
      </c>
      <c r="W39" s="36">
        <v>27.0</v>
      </c>
      <c r="X39" s="36">
        <v>31.0</v>
      </c>
      <c r="Y39" s="36">
        <v>237.0</v>
      </c>
    </row>
    <row r="40">
      <c r="A40" s="32" t="s">
        <v>4674</v>
      </c>
      <c r="B40" s="32" t="s">
        <v>4674</v>
      </c>
      <c r="C40" s="32" t="s">
        <v>4675</v>
      </c>
      <c r="D40" s="32" t="s">
        <v>4676</v>
      </c>
      <c r="E40" s="32" t="s">
        <v>5073</v>
      </c>
      <c r="F40" s="32" t="e">
        <v>#N/A</v>
      </c>
      <c r="G40" s="32" t="e">
        <v>#N/A</v>
      </c>
      <c r="H40" s="32">
        <v>0.0</v>
      </c>
      <c r="I40" s="32">
        <v>0.0</v>
      </c>
      <c r="J40" s="32">
        <v>0.0</v>
      </c>
      <c r="K40" s="33" t="s">
        <v>4677</v>
      </c>
      <c r="L40" s="32" t="e">
        <v>#N/A</v>
      </c>
      <c r="M40" s="32" t="e">
        <v>#N/A</v>
      </c>
      <c r="N40" s="32" t="s">
        <v>4727</v>
      </c>
      <c r="O40" s="32" t="s">
        <v>4727</v>
      </c>
      <c r="P40" s="32">
        <v>1299.0</v>
      </c>
      <c r="Q40" s="34">
        <v>999.0</v>
      </c>
      <c r="R40" s="35">
        <v>999.0</v>
      </c>
      <c r="S40" s="35">
        <v>974.25</v>
      </c>
      <c r="T40" s="36">
        <v>0.0</v>
      </c>
      <c r="U40" s="36">
        <v>0.0</v>
      </c>
      <c r="V40" s="36">
        <v>229.0</v>
      </c>
      <c r="W40" s="36">
        <v>0.0</v>
      </c>
      <c r="X40" s="36">
        <v>0.0</v>
      </c>
      <c r="Y40" s="36">
        <v>229.0</v>
      </c>
    </row>
    <row r="41">
      <c r="A41" s="32" t="s">
        <v>2329</v>
      </c>
      <c r="B41" s="32" t="s">
        <v>2329</v>
      </c>
      <c r="C41" s="32" t="s">
        <v>2330</v>
      </c>
      <c r="D41" s="32" t="s">
        <v>2331</v>
      </c>
      <c r="E41" s="32" t="s">
        <v>5073</v>
      </c>
      <c r="F41" s="32" t="e">
        <v>#N/A</v>
      </c>
      <c r="G41" s="39"/>
      <c r="H41" s="32" t="s">
        <v>2332</v>
      </c>
      <c r="I41" s="32" t="s">
        <v>5073</v>
      </c>
      <c r="J41" s="32" t="s">
        <v>2333</v>
      </c>
      <c r="K41" s="33" t="s">
        <v>2334</v>
      </c>
      <c r="L41" s="32">
        <v>3.1862333E7</v>
      </c>
      <c r="M41" s="32" t="e">
        <v>#N/A</v>
      </c>
      <c r="N41" s="32" t="s">
        <v>5077</v>
      </c>
      <c r="O41" s="32" t="s">
        <v>4730</v>
      </c>
      <c r="P41" s="32">
        <v>1089.0</v>
      </c>
      <c r="Q41" s="34">
        <v>1035.0</v>
      </c>
      <c r="R41" s="40">
        <v>1035.0</v>
      </c>
      <c r="S41" s="35">
        <v>980.1</v>
      </c>
      <c r="T41" s="36">
        <v>4.0</v>
      </c>
      <c r="U41" s="36">
        <v>11.0</v>
      </c>
      <c r="V41" s="36">
        <v>193.0</v>
      </c>
      <c r="W41" s="36">
        <v>0.0</v>
      </c>
      <c r="X41" s="36">
        <v>21.0</v>
      </c>
      <c r="Y41" s="36">
        <v>229.0</v>
      </c>
    </row>
    <row r="42">
      <c r="A42" s="32" t="s">
        <v>2977</v>
      </c>
      <c r="B42" s="32" t="s">
        <v>2977</v>
      </c>
      <c r="C42" s="32" t="s">
        <v>2978</v>
      </c>
      <c r="D42" s="32" t="s">
        <v>2979</v>
      </c>
      <c r="E42" s="32" t="s">
        <v>5090</v>
      </c>
      <c r="F42" s="32" t="e">
        <v>#N/A</v>
      </c>
      <c r="G42" s="39"/>
      <c r="H42" s="32" t="s">
        <v>2977</v>
      </c>
      <c r="I42" s="32" t="s">
        <v>5090</v>
      </c>
      <c r="J42" s="32" t="s">
        <v>2977</v>
      </c>
      <c r="K42" s="33" t="s">
        <v>2980</v>
      </c>
      <c r="L42" s="32" t="e">
        <v>#N/A</v>
      </c>
      <c r="M42" s="32" t="e">
        <v>#N/A</v>
      </c>
      <c r="N42" s="32" t="s">
        <v>5088</v>
      </c>
      <c r="O42" s="32" t="s">
        <v>4730</v>
      </c>
      <c r="P42" s="32">
        <v>2789.0</v>
      </c>
      <c r="Q42" s="34">
        <v>2499.0</v>
      </c>
      <c r="R42" s="40">
        <v>2499.0</v>
      </c>
      <c r="S42" s="35">
        <v>2231.2</v>
      </c>
      <c r="T42" s="36">
        <v>37.0</v>
      </c>
      <c r="U42" s="36">
        <v>31.0</v>
      </c>
      <c r="V42" s="36">
        <v>52.0</v>
      </c>
      <c r="W42" s="36">
        <v>62.0</v>
      </c>
      <c r="X42" s="36">
        <v>36.0</v>
      </c>
      <c r="Y42" s="36">
        <v>218.0</v>
      </c>
    </row>
    <row r="43">
      <c r="A43" s="32" t="s">
        <v>3479</v>
      </c>
      <c r="B43" s="32" t="s">
        <v>3479</v>
      </c>
      <c r="C43" s="32" t="s">
        <v>3480</v>
      </c>
      <c r="D43" s="32" t="s">
        <v>3481</v>
      </c>
      <c r="E43" s="32" t="s">
        <v>5073</v>
      </c>
      <c r="F43" s="32" t="e">
        <v>#N/A</v>
      </c>
      <c r="G43" s="32" t="e">
        <v>#N/A</v>
      </c>
      <c r="H43" s="32" t="s">
        <v>3482</v>
      </c>
      <c r="I43" s="32" t="s">
        <v>5073</v>
      </c>
      <c r="J43" s="32" t="s">
        <v>3483</v>
      </c>
      <c r="K43" s="33" t="s">
        <v>3484</v>
      </c>
      <c r="L43" s="32" t="e">
        <v>#N/A</v>
      </c>
      <c r="M43" s="32" t="e">
        <v>#N/A</v>
      </c>
      <c r="N43" s="32" t="s">
        <v>5091</v>
      </c>
      <c r="O43" s="32" t="s">
        <v>1145</v>
      </c>
      <c r="P43" s="32">
        <v>2989.0</v>
      </c>
      <c r="Q43" s="34">
        <v>2548.0</v>
      </c>
      <c r="R43" s="40">
        <v>2599.0</v>
      </c>
      <c r="S43" s="35">
        <v>2499.0</v>
      </c>
      <c r="T43" s="36">
        <v>47.0</v>
      </c>
      <c r="U43" s="36">
        <v>50.0</v>
      </c>
      <c r="V43" s="36">
        <v>50.0</v>
      </c>
      <c r="W43" s="36">
        <v>20.0</v>
      </c>
      <c r="X43" s="36">
        <v>46.0</v>
      </c>
      <c r="Y43" s="36">
        <v>213.0</v>
      </c>
    </row>
    <row r="44">
      <c r="A44" s="32" t="s">
        <v>3836</v>
      </c>
      <c r="B44" s="32" t="s">
        <v>3836</v>
      </c>
      <c r="C44" s="32" t="s">
        <v>3837</v>
      </c>
      <c r="D44" s="32" t="s">
        <v>3838</v>
      </c>
      <c r="E44" s="32" t="s">
        <v>5073</v>
      </c>
      <c r="F44" s="32" t="e">
        <v>#N/A</v>
      </c>
      <c r="G44" s="39"/>
      <c r="H44" s="32">
        <v>0.0</v>
      </c>
      <c r="I44" s="39"/>
      <c r="J44" s="32" t="s">
        <v>3839</v>
      </c>
      <c r="K44" s="33" t="s">
        <v>3840</v>
      </c>
      <c r="L44" s="32" t="e">
        <v>#N/A</v>
      </c>
      <c r="M44" s="32" t="e">
        <v>#N/A</v>
      </c>
      <c r="N44" s="32" t="s">
        <v>5092</v>
      </c>
      <c r="O44" s="32" t="s">
        <v>4727</v>
      </c>
      <c r="P44" s="32">
        <v>2499.0</v>
      </c>
      <c r="Q44" s="34">
        <v>1999.0</v>
      </c>
      <c r="R44" s="40">
        <v>1999.0</v>
      </c>
      <c r="S44" s="35">
        <v>1874.25</v>
      </c>
      <c r="T44" s="36">
        <v>25.0</v>
      </c>
      <c r="U44" s="36">
        <v>33.0</v>
      </c>
      <c r="V44" s="36">
        <v>139.0</v>
      </c>
      <c r="W44" s="36">
        <v>3.0</v>
      </c>
      <c r="X44" s="36">
        <v>9.0</v>
      </c>
      <c r="Y44" s="36">
        <v>209.0</v>
      </c>
    </row>
    <row r="45">
      <c r="A45" s="32" t="s">
        <v>2182</v>
      </c>
      <c r="B45" s="32" t="s">
        <v>2182</v>
      </c>
      <c r="C45" s="32" t="s">
        <v>2183</v>
      </c>
      <c r="D45" s="33" t="s">
        <v>2184</v>
      </c>
      <c r="E45" s="32" t="s">
        <v>5073</v>
      </c>
      <c r="F45" s="32" t="e">
        <v>#N/A</v>
      </c>
      <c r="G45" s="32" t="e">
        <v>#N/A</v>
      </c>
      <c r="H45" s="32" t="s">
        <v>2185</v>
      </c>
      <c r="I45" s="32" t="s">
        <v>5073</v>
      </c>
      <c r="J45" s="32" t="s">
        <v>2186</v>
      </c>
      <c r="K45" s="33" t="s">
        <v>2187</v>
      </c>
      <c r="L45" s="32" t="e">
        <v>#N/A</v>
      </c>
      <c r="M45" s="32" t="s">
        <v>2188</v>
      </c>
      <c r="N45" s="32" t="s">
        <v>5093</v>
      </c>
      <c r="O45" s="32" t="s">
        <v>52</v>
      </c>
      <c r="P45" s="32">
        <v>2999.0</v>
      </c>
      <c r="Q45" s="34">
        <v>2249.0</v>
      </c>
      <c r="R45" s="40">
        <v>2199.0</v>
      </c>
      <c r="S45" s="35">
        <v>1949.0</v>
      </c>
      <c r="T45" s="36">
        <v>49.0</v>
      </c>
      <c r="U45" s="36">
        <v>4.0</v>
      </c>
      <c r="V45" s="36">
        <v>117.0</v>
      </c>
      <c r="W45" s="36">
        <v>4.0</v>
      </c>
      <c r="X45" s="36">
        <v>21.0</v>
      </c>
      <c r="Y45" s="36">
        <v>195.0</v>
      </c>
    </row>
    <row r="46">
      <c r="A46" s="32" t="s">
        <v>2990</v>
      </c>
      <c r="B46" s="32" t="s">
        <v>2990</v>
      </c>
      <c r="C46" s="32" t="s">
        <v>2991</v>
      </c>
      <c r="D46" s="32" t="s">
        <v>2992</v>
      </c>
      <c r="E46" s="32" t="s">
        <v>5073</v>
      </c>
      <c r="F46" s="32" t="e">
        <v>#N/A</v>
      </c>
      <c r="G46" s="32" t="e">
        <v>#N/A</v>
      </c>
      <c r="H46" s="32" t="s">
        <v>2990</v>
      </c>
      <c r="I46" s="32" t="s">
        <v>5073</v>
      </c>
      <c r="J46" s="32" t="s">
        <v>2990</v>
      </c>
      <c r="K46" s="33" t="s">
        <v>2993</v>
      </c>
      <c r="L46" s="32" t="e">
        <v>#N/A</v>
      </c>
      <c r="M46" s="32" t="s">
        <v>2994</v>
      </c>
      <c r="N46" s="32" t="s">
        <v>5088</v>
      </c>
      <c r="O46" s="32" t="s">
        <v>4730</v>
      </c>
      <c r="P46" s="32">
        <v>2789.0</v>
      </c>
      <c r="Q46" s="34">
        <v>2499.0</v>
      </c>
      <c r="R46" s="40">
        <v>2499.0</v>
      </c>
      <c r="S46" s="35">
        <v>2231.2</v>
      </c>
      <c r="T46" s="36">
        <v>23.0</v>
      </c>
      <c r="U46" s="36">
        <v>36.0</v>
      </c>
      <c r="V46" s="36">
        <v>70.0</v>
      </c>
      <c r="W46" s="36">
        <v>35.0</v>
      </c>
      <c r="X46" s="36">
        <v>30.0</v>
      </c>
      <c r="Y46" s="36">
        <v>194.0</v>
      </c>
    </row>
    <row r="47">
      <c r="A47" s="32" t="s">
        <v>3846</v>
      </c>
      <c r="B47" s="32" t="s">
        <v>3846</v>
      </c>
      <c r="C47" s="32" t="s">
        <v>3847</v>
      </c>
      <c r="D47" s="32" t="s">
        <v>3848</v>
      </c>
      <c r="E47" s="32" t="s">
        <v>5073</v>
      </c>
      <c r="F47" s="32" t="e">
        <v>#N/A</v>
      </c>
      <c r="G47" s="38"/>
      <c r="H47" s="32">
        <v>0.0</v>
      </c>
      <c r="I47" s="39"/>
      <c r="J47" s="32" t="s">
        <v>3849</v>
      </c>
      <c r="K47" s="33" t="s">
        <v>3850</v>
      </c>
      <c r="L47" s="32" t="e">
        <v>#N/A</v>
      </c>
      <c r="M47" s="32" t="e">
        <v>#N/A</v>
      </c>
      <c r="N47" s="32" t="s">
        <v>4727</v>
      </c>
      <c r="O47" s="32" t="s">
        <v>4727</v>
      </c>
      <c r="P47" s="32">
        <v>1249.0</v>
      </c>
      <c r="Q47" s="34">
        <v>999.0</v>
      </c>
      <c r="R47" s="35">
        <v>999.0</v>
      </c>
      <c r="S47" s="35">
        <v>936.75</v>
      </c>
      <c r="T47" s="36">
        <v>35.0</v>
      </c>
      <c r="U47" s="36">
        <v>32.0</v>
      </c>
      <c r="V47" s="36">
        <v>54.0</v>
      </c>
      <c r="W47" s="36">
        <v>21.0</v>
      </c>
      <c r="X47" s="36">
        <v>39.0</v>
      </c>
      <c r="Y47" s="36">
        <v>181.0</v>
      </c>
    </row>
    <row r="48">
      <c r="A48" s="32" t="s">
        <v>596</v>
      </c>
      <c r="B48" s="32" t="s">
        <v>596</v>
      </c>
      <c r="C48" s="32" t="s">
        <v>597</v>
      </c>
      <c r="D48" s="32" t="s">
        <v>598</v>
      </c>
      <c r="E48" s="32" t="s">
        <v>5073</v>
      </c>
      <c r="F48" s="32" t="e">
        <v>#N/A</v>
      </c>
      <c r="G48" s="39"/>
      <c r="H48" s="32">
        <v>0.0</v>
      </c>
      <c r="I48" s="39"/>
      <c r="J48" s="32" t="s">
        <v>599</v>
      </c>
      <c r="K48" s="33" t="s">
        <v>600</v>
      </c>
      <c r="L48" s="32">
        <v>3.1999082E7</v>
      </c>
      <c r="M48" s="32" t="s">
        <v>601</v>
      </c>
      <c r="N48" s="32" t="s">
        <v>51</v>
      </c>
      <c r="O48" s="32" t="s">
        <v>52</v>
      </c>
      <c r="P48" s="32">
        <v>18399.0</v>
      </c>
      <c r="Q48" s="34">
        <v>14903.0</v>
      </c>
      <c r="R48" s="40">
        <v>15999.0</v>
      </c>
      <c r="S48" s="35">
        <v>13983.24</v>
      </c>
      <c r="T48" s="36">
        <v>22.0</v>
      </c>
      <c r="U48" s="36">
        <v>10.0</v>
      </c>
      <c r="V48" s="36">
        <v>145.0</v>
      </c>
      <c r="W48" s="36">
        <v>0.0</v>
      </c>
      <c r="X48" s="36">
        <v>1.0</v>
      </c>
      <c r="Y48" s="36">
        <v>178.0</v>
      </c>
    </row>
    <row r="49">
      <c r="A49" s="32" t="s">
        <v>3164</v>
      </c>
      <c r="B49" s="32" t="s">
        <v>3164</v>
      </c>
      <c r="C49" s="32" t="s">
        <v>3165</v>
      </c>
      <c r="D49" s="32" t="s">
        <v>3167</v>
      </c>
      <c r="E49" s="32" t="s">
        <v>5073</v>
      </c>
      <c r="F49" s="32" t="e">
        <v>#N/A</v>
      </c>
      <c r="G49" s="32" t="e">
        <v>#N/A</v>
      </c>
      <c r="H49" s="32" t="s">
        <v>3164</v>
      </c>
      <c r="I49" s="32" t="s">
        <v>5073</v>
      </c>
      <c r="J49" s="32" t="s">
        <v>3164</v>
      </c>
      <c r="K49" s="33" t="s">
        <v>3168</v>
      </c>
      <c r="L49" s="32">
        <v>3.1745305E7</v>
      </c>
      <c r="M49" s="32" t="e">
        <v>#N/A</v>
      </c>
      <c r="N49" s="32" t="s">
        <v>5094</v>
      </c>
      <c r="O49" s="32" t="s">
        <v>4730</v>
      </c>
      <c r="P49" s="32">
        <v>3989.0</v>
      </c>
      <c r="Q49" s="34">
        <v>3391.0</v>
      </c>
      <c r="R49" s="40">
        <v>3399.0</v>
      </c>
      <c r="S49" s="35">
        <v>3191.2</v>
      </c>
      <c r="T49" s="36">
        <v>0.0</v>
      </c>
      <c r="U49" s="36">
        <v>0.0</v>
      </c>
      <c r="V49" s="36">
        <v>169.0</v>
      </c>
      <c r="W49" s="36">
        <v>0.0</v>
      </c>
      <c r="X49" s="36">
        <v>0.0</v>
      </c>
      <c r="Y49" s="36">
        <v>169.0</v>
      </c>
    </row>
    <row r="50">
      <c r="A50" s="32" t="s">
        <v>2230</v>
      </c>
      <c r="B50" s="32" t="s">
        <v>2230</v>
      </c>
      <c r="C50" s="32" t="s">
        <v>2231</v>
      </c>
      <c r="D50" s="32" t="s">
        <v>2232</v>
      </c>
      <c r="E50" s="32" t="s">
        <v>5073</v>
      </c>
      <c r="F50" s="32" t="e">
        <v>#N/A</v>
      </c>
      <c r="G50" s="39"/>
      <c r="H50" s="32" t="s">
        <v>2233</v>
      </c>
      <c r="I50" s="32" t="s">
        <v>5073</v>
      </c>
      <c r="J50" s="32" t="s">
        <v>2234</v>
      </c>
      <c r="K50" s="33" t="s">
        <v>2235</v>
      </c>
      <c r="L50" s="32">
        <v>3.1862325E7</v>
      </c>
      <c r="M50" s="32" t="e">
        <v>#N/A</v>
      </c>
      <c r="N50" s="32" t="s">
        <v>5077</v>
      </c>
      <c r="O50" s="32" t="s">
        <v>4730</v>
      </c>
      <c r="P50" s="32">
        <v>889.0</v>
      </c>
      <c r="Q50" s="34">
        <v>845.0</v>
      </c>
      <c r="R50" s="35">
        <v>845.0</v>
      </c>
      <c r="S50" s="35">
        <v>800.1</v>
      </c>
      <c r="T50" s="36">
        <v>10.0</v>
      </c>
      <c r="U50" s="36">
        <v>0.0</v>
      </c>
      <c r="V50" s="36">
        <v>89.0</v>
      </c>
      <c r="W50" s="36">
        <v>0.0</v>
      </c>
      <c r="X50" s="36">
        <v>47.0</v>
      </c>
      <c r="Y50" s="36">
        <v>146.0</v>
      </c>
    </row>
    <row r="51">
      <c r="A51" s="32" t="s">
        <v>4678</v>
      </c>
      <c r="B51" s="32" t="s">
        <v>4678</v>
      </c>
      <c r="C51" s="32" t="s">
        <v>4679</v>
      </c>
      <c r="D51" s="32" t="s">
        <v>4680</v>
      </c>
      <c r="E51" s="32" t="s">
        <v>5073</v>
      </c>
      <c r="F51" s="32" t="e">
        <v>#N/A</v>
      </c>
      <c r="G51" s="32" t="e">
        <v>#N/A</v>
      </c>
      <c r="H51" s="32">
        <v>0.0</v>
      </c>
      <c r="I51" s="32">
        <v>0.0</v>
      </c>
      <c r="J51" s="32">
        <v>0.0</v>
      </c>
      <c r="K51" s="33" t="s">
        <v>4681</v>
      </c>
      <c r="L51" s="32" t="e">
        <v>#N/A</v>
      </c>
      <c r="M51" s="32" t="e">
        <v>#N/A</v>
      </c>
      <c r="N51" s="32" t="s">
        <v>4727</v>
      </c>
      <c r="O51" s="32" t="s">
        <v>4727</v>
      </c>
      <c r="P51" s="32">
        <v>1299.0</v>
      </c>
      <c r="Q51" s="34">
        <v>999.0</v>
      </c>
      <c r="R51" s="35">
        <v>999.0</v>
      </c>
      <c r="S51" s="35">
        <v>974.25</v>
      </c>
      <c r="T51" s="36">
        <v>4.0</v>
      </c>
      <c r="U51" s="36">
        <v>5.0</v>
      </c>
      <c r="V51" s="36">
        <v>130.0</v>
      </c>
      <c r="W51" s="36">
        <v>0.0</v>
      </c>
      <c r="X51" s="36">
        <v>5.0</v>
      </c>
      <c r="Y51" s="36">
        <v>144.0</v>
      </c>
    </row>
    <row r="52">
      <c r="A52" s="32" t="s">
        <v>2674</v>
      </c>
      <c r="B52" s="32" t="s">
        <v>2674</v>
      </c>
      <c r="C52" s="32">
        <v>0.0</v>
      </c>
      <c r="D52" s="32" t="e">
        <v>#N/A</v>
      </c>
      <c r="E52" s="39"/>
      <c r="F52" s="32" t="e">
        <v>#N/A</v>
      </c>
      <c r="G52" s="39"/>
      <c r="H52" s="32" t="e">
        <v>#N/A</v>
      </c>
      <c r="I52" s="39"/>
      <c r="J52" s="32">
        <v>0.0</v>
      </c>
      <c r="K52" s="33" t="e">
        <v>#N/A</v>
      </c>
      <c r="L52" s="32" t="e">
        <v>#N/A</v>
      </c>
      <c r="M52" s="32" t="e">
        <v>#N/A</v>
      </c>
      <c r="N52" s="32" t="e">
        <v>#N/A</v>
      </c>
      <c r="O52" s="32" t="e">
        <v>#N/A</v>
      </c>
      <c r="P52" s="32" t="e">
        <v>#REF!</v>
      </c>
      <c r="Q52" s="32" t="e">
        <v>#N/A</v>
      </c>
      <c r="R52" s="42" t="e">
        <v>#N/A</v>
      </c>
      <c r="S52" s="42" t="e">
        <v>#N/A</v>
      </c>
      <c r="T52" s="36">
        <v>42.0</v>
      </c>
      <c r="U52" s="36">
        <v>27.0</v>
      </c>
      <c r="V52" s="36">
        <v>35.0</v>
      </c>
      <c r="W52" s="36">
        <v>13.0</v>
      </c>
      <c r="X52" s="36">
        <v>27.0</v>
      </c>
      <c r="Y52" s="36">
        <v>144.0</v>
      </c>
    </row>
    <row r="53">
      <c r="A53" s="32" t="s">
        <v>2957</v>
      </c>
      <c r="B53" s="32" t="s">
        <v>2957</v>
      </c>
      <c r="C53" s="32" t="s">
        <v>2958</v>
      </c>
      <c r="D53" s="32" t="s">
        <v>2959</v>
      </c>
      <c r="E53" s="32" t="s">
        <v>5073</v>
      </c>
      <c r="F53" s="32" t="e">
        <v>#N/A</v>
      </c>
      <c r="G53" s="39"/>
      <c r="H53" s="32" t="s">
        <v>2960</v>
      </c>
      <c r="I53" s="32" t="s">
        <v>5073</v>
      </c>
      <c r="J53" s="32" t="s">
        <v>2961</v>
      </c>
      <c r="K53" s="33" t="s">
        <v>2962</v>
      </c>
      <c r="L53" s="32" t="e">
        <v>#N/A</v>
      </c>
      <c r="M53" s="32" t="e">
        <v>#N/A</v>
      </c>
      <c r="N53" s="32" t="s">
        <v>5088</v>
      </c>
      <c r="O53" s="32" t="s">
        <v>4730</v>
      </c>
      <c r="P53" s="32">
        <v>2089.0</v>
      </c>
      <c r="Q53" s="34">
        <v>1899.0</v>
      </c>
      <c r="R53" s="40">
        <v>1899.0</v>
      </c>
      <c r="S53" s="35">
        <v>1671.2</v>
      </c>
      <c r="T53" s="36">
        <v>18.0</v>
      </c>
      <c r="U53" s="36">
        <v>20.0</v>
      </c>
      <c r="V53" s="36">
        <v>46.0</v>
      </c>
      <c r="W53" s="36">
        <v>28.0</v>
      </c>
      <c r="X53" s="36">
        <v>28.0</v>
      </c>
      <c r="Y53" s="36">
        <v>140.0</v>
      </c>
    </row>
    <row r="54">
      <c r="A54" s="32" t="s">
        <v>3154</v>
      </c>
      <c r="B54" s="32" t="s">
        <v>3154</v>
      </c>
      <c r="C54" s="32" t="s">
        <v>3155</v>
      </c>
      <c r="D54" s="32" t="s">
        <v>3156</v>
      </c>
      <c r="E54" s="32" t="s">
        <v>5073</v>
      </c>
      <c r="F54" s="32" t="e">
        <v>#N/A</v>
      </c>
      <c r="G54" s="39"/>
      <c r="H54" s="32">
        <v>0.0</v>
      </c>
      <c r="I54" s="39"/>
      <c r="J54" s="32" t="s">
        <v>3157</v>
      </c>
      <c r="K54" s="33" t="s">
        <v>3158</v>
      </c>
      <c r="L54" s="32" t="e">
        <v>#N/A</v>
      </c>
      <c r="M54" s="32" t="e">
        <v>#N/A</v>
      </c>
      <c r="N54" s="32" t="s">
        <v>5087</v>
      </c>
      <c r="O54" s="32" t="s">
        <v>4730</v>
      </c>
      <c r="P54" s="32">
        <v>2689.0</v>
      </c>
      <c r="Q54" s="34">
        <v>2268.0</v>
      </c>
      <c r="R54" s="40">
        <v>2299.0</v>
      </c>
      <c r="S54" s="35">
        <v>2285.65</v>
      </c>
      <c r="T54" s="36">
        <v>33.0</v>
      </c>
      <c r="U54" s="36">
        <v>0.0</v>
      </c>
      <c r="V54" s="36">
        <v>105.0</v>
      </c>
      <c r="W54" s="36">
        <v>0.0</v>
      </c>
      <c r="X54" s="36">
        <v>0.0</v>
      </c>
      <c r="Y54" s="36">
        <v>138.0</v>
      </c>
    </row>
    <row r="55">
      <c r="A55" s="32" t="s">
        <v>2236</v>
      </c>
      <c r="B55" s="32" t="s">
        <v>2236</v>
      </c>
      <c r="C55" s="32" t="s">
        <v>2237</v>
      </c>
      <c r="D55" s="32" t="s">
        <v>2238</v>
      </c>
      <c r="E55" s="32" t="s">
        <v>5073</v>
      </c>
      <c r="F55" s="32" t="e">
        <v>#N/A</v>
      </c>
      <c r="G55" s="39"/>
      <c r="H55" s="32" t="s">
        <v>2239</v>
      </c>
      <c r="I55" s="32" t="s">
        <v>5073</v>
      </c>
      <c r="J55" s="32" t="s">
        <v>2240</v>
      </c>
      <c r="K55" s="33" t="s">
        <v>2241</v>
      </c>
      <c r="L55" s="32">
        <v>3.1862349E7</v>
      </c>
      <c r="M55" s="32" t="e">
        <v>#N/A</v>
      </c>
      <c r="N55" s="32" t="s">
        <v>5077</v>
      </c>
      <c r="O55" s="32" t="s">
        <v>4730</v>
      </c>
      <c r="P55" s="32">
        <v>889.0</v>
      </c>
      <c r="Q55" s="34">
        <v>845.0</v>
      </c>
      <c r="R55" s="35">
        <v>845.0</v>
      </c>
      <c r="S55" s="35">
        <v>800.1</v>
      </c>
      <c r="T55" s="36">
        <v>5.0</v>
      </c>
      <c r="U55" s="36">
        <v>46.0</v>
      </c>
      <c r="V55" s="36">
        <v>52.0</v>
      </c>
      <c r="W55" s="36">
        <v>0.0</v>
      </c>
      <c r="X55" s="36">
        <v>34.0</v>
      </c>
      <c r="Y55" s="36">
        <v>137.0</v>
      </c>
    </row>
    <row r="56">
      <c r="A56" s="32" t="s">
        <v>3472</v>
      </c>
      <c r="B56" s="32" t="s">
        <v>3472</v>
      </c>
      <c r="C56" s="32" t="s">
        <v>3473</v>
      </c>
      <c r="D56" s="32" t="s">
        <v>3474</v>
      </c>
      <c r="E56" s="32" t="s">
        <v>5073</v>
      </c>
      <c r="F56" s="32" t="s">
        <v>3475</v>
      </c>
      <c r="G56" s="32" t="s">
        <v>5073</v>
      </c>
      <c r="H56" s="32" t="s">
        <v>3472</v>
      </c>
      <c r="I56" s="32" t="s">
        <v>5073</v>
      </c>
      <c r="J56" s="13" t="s">
        <v>5095</v>
      </c>
      <c r="K56" s="33" t="s">
        <v>3477</v>
      </c>
      <c r="L56" s="32" t="e">
        <v>#N/A</v>
      </c>
      <c r="M56" s="32" t="e">
        <v>#N/A</v>
      </c>
      <c r="N56" s="32" t="s">
        <v>5078</v>
      </c>
      <c r="O56" s="32" t="s">
        <v>4730</v>
      </c>
      <c r="P56" s="32">
        <v>499.0</v>
      </c>
      <c r="Q56" s="34">
        <v>494.01</v>
      </c>
      <c r="R56" s="35">
        <v>499.0</v>
      </c>
      <c r="S56" s="35">
        <v>474.05</v>
      </c>
      <c r="T56" s="36">
        <v>46.0</v>
      </c>
      <c r="U56" s="36">
        <v>0.0</v>
      </c>
      <c r="V56" s="36">
        <v>90.0</v>
      </c>
      <c r="W56" s="36">
        <v>0.0</v>
      </c>
      <c r="X56" s="36">
        <v>0.0</v>
      </c>
      <c r="Y56" s="36">
        <v>136.0</v>
      </c>
    </row>
    <row r="57">
      <c r="A57" s="32" t="s">
        <v>3181</v>
      </c>
      <c r="B57" s="32" t="s">
        <v>3181</v>
      </c>
      <c r="C57" s="32" t="s">
        <v>3182</v>
      </c>
      <c r="D57" s="32" t="s">
        <v>3183</v>
      </c>
      <c r="E57" s="32" t="s">
        <v>5073</v>
      </c>
      <c r="F57" s="32" t="e">
        <v>#N/A</v>
      </c>
      <c r="G57" s="32" t="e">
        <v>#N/A</v>
      </c>
      <c r="H57" s="32" t="s">
        <v>3184</v>
      </c>
      <c r="I57" s="32" t="s">
        <v>5073</v>
      </c>
      <c r="J57" s="32" t="s">
        <v>3185</v>
      </c>
      <c r="K57" s="33" t="s">
        <v>3186</v>
      </c>
      <c r="L57" s="32" t="e">
        <v>#N/A</v>
      </c>
      <c r="M57" s="32" t="e">
        <v>#N/A</v>
      </c>
      <c r="N57" s="32" t="s">
        <v>5096</v>
      </c>
      <c r="O57" s="32" t="s">
        <v>4730</v>
      </c>
      <c r="P57" s="32">
        <v>2999.0</v>
      </c>
      <c r="Q57" s="34">
        <v>2599.0</v>
      </c>
      <c r="R57" s="40">
        <v>2599.0</v>
      </c>
      <c r="S57" s="35">
        <v>2549.15</v>
      </c>
      <c r="T57" s="36">
        <v>19.0</v>
      </c>
      <c r="U57" s="36">
        <v>2.0</v>
      </c>
      <c r="V57" s="36">
        <v>94.0</v>
      </c>
      <c r="W57" s="36">
        <v>0.0</v>
      </c>
      <c r="X57" s="36">
        <v>15.0</v>
      </c>
      <c r="Y57" s="36">
        <v>130.0</v>
      </c>
    </row>
    <row r="58">
      <c r="A58" s="32" t="s">
        <v>3175</v>
      </c>
      <c r="B58" s="32" t="s">
        <v>3175</v>
      </c>
      <c r="C58" s="32" t="s">
        <v>3176</v>
      </c>
      <c r="D58" s="32" t="s">
        <v>3177</v>
      </c>
      <c r="E58" s="32" t="s">
        <v>5073</v>
      </c>
      <c r="F58" s="32" t="e">
        <v>#N/A</v>
      </c>
      <c r="G58" s="39"/>
      <c r="H58" s="32" t="s">
        <v>3178</v>
      </c>
      <c r="I58" s="32" t="s">
        <v>5073</v>
      </c>
      <c r="J58" s="32" t="s">
        <v>3179</v>
      </c>
      <c r="K58" s="33" t="s">
        <v>3180</v>
      </c>
      <c r="L58" s="32" t="e">
        <v>#N/A</v>
      </c>
      <c r="M58" s="32" t="e">
        <v>#N/A</v>
      </c>
      <c r="N58" s="32" t="s">
        <v>5096</v>
      </c>
      <c r="O58" s="32" t="s">
        <v>4730</v>
      </c>
      <c r="P58" s="32">
        <v>2999.0</v>
      </c>
      <c r="Q58" s="34">
        <v>2599.0</v>
      </c>
      <c r="R58" s="40">
        <v>2599.0</v>
      </c>
      <c r="S58" s="35">
        <v>2549.15</v>
      </c>
      <c r="T58" s="36">
        <v>9.0</v>
      </c>
      <c r="U58" s="36">
        <v>0.0</v>
      </c>
      <c r="V58" s="36">
        <v>104.0</v>
      </c>
      <c r="W58" s="36">
        <v>0.0</v>
      </c>
      <c r="X58" s="36">
        <v>15.0</v>
      </c>
      <c r="Y58" s="36">
        <v>128.0</v>
      </c>
    </row>
    <row r="59">
      <c r="A59" s="32" t="s">
        <v>2438</v>
      </c>
      <c r="B59" s="32" t="s">
        <v>2438</v>
      </c>
      <c r="C59" s="32" t="s">
        <v>4781</v>
      </c>
      <c r="D59" s="32" t="s">
        <v>4782</v>
      </c>
      <c r="E59" s="32" t="s">
        <v>5073</v>
      </c>
      <c r="F59" s="32" t="e">
        <v>#N/A</v>
      </c>
      <c r="G59" s="39"/>
      <c r="H59" s="32" t="s">
        <v>2440</v>
      </c>
      <c r="I59" s="32" t="s">
        <v>5073</v>
      </c>
      <c r="J59" s="32" t="s">
        <v>2441</v>
      </c>
      <c r="K59" s="33" t="s">
        <v>4783</v>
      </c>
      <c r="L59" s="32" t="e">
        <v>#N/A</v>
      </c>
      <c r="M59" s="32" t="e">
        <v>#N/A</v>
      </c>
      <c r="N59" s="32" t="s">
        <v>5097</v>
      </c>
      <c r="O59" s="32" t="s">
        <v>1145</v>
      </c>
      <c r="P59" s="32">
        <v>2589.0</v>
      </c>
      <c r="Q59" s="34">
        <v>2330.0</v>
      </c>
      <c r="R59" s="40">
        <v>2330.0</v>
      </c>
      <c r="S59" s="35">
        <v>2199.0</v>
      </c>
      <c r="T59" s="36">
        <v>20.0</v>
      </c>
      <c r="U59" s="36">
        <v>0.0</v>
      </c>
      <c r="V59" s="36">
        <v>71.0</v>
      </c>
      <c r="W59" s="36">
        <v>37.0</v>
      </c>
      <c r="X59" s="36">
        <v>0.0</v>
      </c>
      <c r="Y59" s="36">
        <v>128.0</v>
      </c>
    </row>
    <row r="60">
      <c r="A60" s="32" t="s">
        <v>3169</v>
      </c>
      <c r="B60" s="32" t="s">
        <v>3169</v>
      </c>
      <c r="C60" s="32" t="s">
        <v>3170</v>
      </c>
      <c r="D60" s="32" t="s">
        <v>3171</v>
      </c>
      <c r="E60" s="32" t="s">
        <v>5073</v>
      </c>
      <c r="F60" s="32" t="e">
        <v>#N/A</v>
      </c>
      <c r="G60" s="38"/>
      <c r="H60" s="32" t="s">
        <v>3172</v>
      </c>
      <c r="I60" s="32" t="s">
        <v>5073</v>
      </c>
      <c r="J60" s="32" t="s">
        <v>3173</v>
      </c>
      <c r="K60" s="33" t="s">
        <v>3174</v>
      </c>
      <c r="L60" s="32" t="e">
        <v>#N/A</v>
      </c>
      <c r="M60" s="32" t="e">
        <v>#N/A</v>
      </c>
      <c r="N60" s="32" t="s">
        <v>5096</v>
      </c>
      <c r="O60" s="32" t="s">
        <v>4730</v>
      </c>
      <c r="P60" s="32">
        <v>2999.0</v>
      </c>
      <c r="Q60" s="34">
        <v>2599.0</v>
      </c>
      <c r="R60" s="40">
        <v>2599.0</v>
      </c>
      <c r="S60" s="35">
        <v>2549.15</v>
      </c>
      <c r="T60" s="36">
        <v>18.0</v>
      </c>
      <c r="U60" s="36">
        <v>0.0</v>
      </c>
      <c r="V60" s="36">
        <v>94.0</v>
      </c>
      <c r="W60" s="36">
        <v>0.0</v>
      </c>
      <c r="X60" s="36">
        <v>15.0</v>
      </c>
      <c r="Y60" s="36">
        <v>127.0</v>
      </c>
    </row>
    <row r="61">
      <c r="A61" s="32" t="s">
        <v>2362</v>
      </c>
      <c r="B61" s="32" t="s">
        <v>2362</v>
      </c>
      <c r="C61" s="32" t="s">
        <v>2363</v>
      </c>
      <c r="D61" s="32" t="s">
        <v>2364</v>
      </c>
      <c r="E61" s="32" t="s">
        <v>5073</v>
      </c>
      <c r="F61" s="32" t="e">
        <v>#N/A</v>
      </c>
      <c r="G61" s="39"/>
      <c r="H61" s="32">
        <v>0.0</v>
      </c>
      <c r="I61" s="39"/>
      <c r="J61" s="32" t="s">
        <v>2365</v>
      </c>
      <c r="K61" s="33" t="s">
        <v>2366</v>
      </c>
      <c r="L61" s="32" t="e">
        <v>#N/A</v>
      </c>
      <c r="M61" s="32" t="e">
        <v>#N/A</v>
      </c>
      <c r="N61" s="32" t="s">
        <v>5077</v>
      </c>
      <c r="O61" s="32" t="s">
        <v>4730</v>
      </c>
      <c r="P61" s="32">
        <v>1089.0</v>
      </c>
      <c r="Q61" s="34">
        <v>1035.0</v>
      </c>
      <c r="R61" s="40">
        <v>1035.0</v>
      </c>
      <c r="S61" s="35">
        <v>980.1</v>
      </c>
      <c r="T61" s="36">
        <v>28.0</v>
      </c>
      <c r="U61" s="36">
        <v>62.0</v>
      </c>
      <c r="V61" s="36">
        <v>15.0</v>
      </c>
      <c r="W61" s="36">
        <v>0.0</v>
      </c>
      <c r="X61" s="36">
        <v>18.0</v>
      </c>
      <c r="Y61" s="36">
        <v>123.0</v>
      </c>
    </row>
    <row r="62">
      <c r="A62" s="32" t="s">
        <v>2242</v>
      </c>
      <c r="B62" s="32" t="s">
        <v>2242</v>
      </c>
      <c r="C62" s="32" t="s">
        <v>2243</v>
      </c>
      <c r="D62" s="32" t="s">
        <v>2244</v>
      </c>
      <c r="E62" s="32" t="s">
        <v>5073</v>
      </c>
      <c r="F62" s="32" t="e">
        <v>#N/A</v>
      </c>
      <c r="G62" s="39"/>
      <c r="H62" s="32" t="s">
        <v>2245</v>
      </c>
      <c r="I62" s="32" t="s">
        <v>5073</v>
      </c>
      <c r="J62" s="32" t="s">
        <v>2246</v>
      </c>
      <c r="K62" s="33" t="s">
        <v>2247</v>
      </c>
      <c r="L62" s="32">
        <v>3.1862345E7</v>
      </c>
      <c r="M62" s="32" t="e">
        <v>#N/A</v>
      </c>
      <c r="N62" s="32" t="s">
        <v>5077</v>
      </c>
      <c r="O62" s="32" t="s">
        <v>4730</v>
      </c>
      <c r="P62" s="32">
        <v>889.0</v>
      </c>
      <c r="Q62" s="34">
        <v>845.0</v>
      </c>
      <c r="R62" s="35">
        <v>845.0</v>
      </c>
      <c r="S62" s="35">
        <v>800.1</v>
      </c>
      <c r="T62" s="36">
        <v>1.0</v>
      </c>
      <c r="U62" s="36">
        <v>0.0</v>
      </c>
      <c r="V62" s="36">
        <v>106.0</v>
      </c>
      <c r="W62" s="36">
        <v>0.0</v>
      </c>
      <c r="X62" s="36">
        <v>13.0</v>
      </c>
      <c r="Y62" s="36">
        <v>120.0</v>
      </c>
    </row>
    <row r="63">
      <c r="A63" s="32" t="s">
        <v>2293</v>
      </c>
      <c r="B63" s="32" t="s">
        <v>2293</v>
      </c>
      <c r="C63" s="32" t="s">
        <v>2294</v>
      </c>
      <c r="D63" s="32" t="s">
        <v>2295</v>
      </c>
      <c r="E63" s="32" t="s">
        <v>5073</v>
      </c>
      <c r="F63" s="32" t="e">
        <v>#N/A</v>
      </c>
      <c r="G63" s="39"/>
      <c r="H63" s="32" t="s">
        <v>2296</v>
      </c>
      <c r="I63" s="32" t="s">
        <v>5073</v>
      </c>
      <c r="J63" s="32" t="s">
        <v>2297</v>
      </c>
      <c r="K63" s="33" t="s">
        <v>2298</v>
      </c>
      <c r="L63" s="32">
        <v>3.1862339E7</v>
      </c>
      <c r="M63" s="32" t="e">
        <v>#N/A</v>
      </c>
      <c r="N63" s="32" t="s">
        <v>5077</v>
      </c>
      <c r="O63" s="32" t="s">
        <v>4730</v>
      </c>
      <c r="P63" s="32">
        <v>1049.0</v>
      </c>
      <c r="Q63" s="34">
        <v>997.0</v>
      </c>
      <c r="R63" s="35">
        <v>999.0</v>
      </c>
      <c r="S63" s="35">
        <v>944.1</v>
      </c>
      <c r="T63" s="36">
        <v>44.0</v>
      </c>
      <c r="U63" s="36">
        <v>25.0</v>
      </c>
      <c r="V63" s="36">
        <v>25.0</v>
      </c>
      <c r="W63" s="36">
        <v>0.0</v>
      </c>
      <c r="X63" s="36">
        <v>23.0</v>
      </c>
      <c r="Y63" s="36">
        <v>117.0</v>
      </c>
    </row>
    <row r="64">
      <c r="A64" s="32" t="s">
        <v>3658</v>
      </c>
      <c r="B64" s="32" t="s">
        <v>3658</v>
      </c>
      <c r="C64" s="32" t="s">
        <v>3659</v>
      </c>
      <c r="D64" s="32" t="s">
        <v>3660</v>
      </c>
      <c r="E64" s="32" t="s">
        <v>5073</v>
      </c>
      <c r="F64" s="32" t="e">
        <v>#N/A</v>
      </c>
      <c r="G64" s="39"/>
      <c r="H64" s="32" t="s">
        <v>3661</v>
      </c>
      <c r="I64" s="32" t="s">
        <v>5073</v>
      </c>
      <c r="J64" s="32" t="s">
        <v>3662</v>
      </c>
      <c r="K64" s="33" t="s">
        <v>3663</v>
      </c>
      <c r="L64" s="32" t="e">
        <v>#N/A</v>
      </c>
      <c r="M64" s="32" t="e">
        <v>#N/A</v>
      </c>
      <c r="N64" s="32" t="s">
        <v>5098</v>
      </c>
      <c r="O64" s="32" t="s">
        <v>4730</v>
      </c>
      <c r="P64" s="32">
        <v>999.0</v>
      </c>
      <c r="Q64" s="34">
        <v>899.0</v>
      </c>
      <c r="R64" s="35">
        <v>899.0</v>
      </c>
      <c r="S64" s="35">
        <v>849.15</v>
      </c>
      <c r="T64" s="36">
        <v>12.0</v>
      </c>
      <c r="U64" s="36">
        <v>8.0</v>
      </c>
      <c r="V64" s="36">
        <v>40.0</v>
      </c>
      <c r="W64" s="36">
        <v>15.0</v>
      </c>
      <c r="X64" s="36">
        <v>42.0</v>
      </c>
      <c r="Y64" s="36">
        <v>117.0</v>
      </c>
    </row>
    <row r="65">
      <c r="A65" s="32" t="s">
        <v>2197</v>
      </c>
      <c r="B65" s="32" t="s">
        <v>2197</v>
      </c>
      <c r="C65" s="32" t="s">
        <v>2198</v>
      </c>
      <c r="D65" s="32" t="s">
        <v>2199</v>
      </c>
      <c r="E65" s="32" t="s">
        <v>5073</v>
      </c>
      <c r="F65" s="32" t="e">
        <v>#N/A</v>
      </c>
      <c r="G65" s="39"/>
      <c r="H65" s="32" t="s">
        <v>2200</v>
      </c>
      <c r="I65" s="32" t="s">
        <v>5073</v>
      </c>
      <c r="J65" s="32" t="s">
        <v>2201</v>
      </c>
      <c r="K65" s="33" t="s">
        <v>2202</v>
      </c>
      <c r="L65" s="32">
        <v>3.1862312E7</v>
      </c>
      <c r="M65" s="32" t="e">
        <v>#N/A</v>
      </c>
      <c r="N65" s="32" t="s">
        <v>5077</v>
      </c>
      <c r="O65" s="32" t="s">
        <v>4730</v>
      </c>
      <c r="P65" s="32">
        <v>789.0</v>
      </c>
      <c r="Q65" s="34">
        <v>750.0</v>
      </c>
      <c r="R65" s="35">
        <v>750.0</v>
      </c>
      <c r="S65" s="35">
        <v>710.1</v>
      </c>
      <c r="T65" s="36">
        <v>11.0</v>
      </c>
      <c r="U65" s="36">
        <v>0.0</v>
      </c>
      <c r="V65" s="36">
        <v>87.0</v>
      </c>
      <c r="W65" s="36">
        <v>0.0</v>
      </c>
      <c r="X65" s="36">
        <v>15.0</v>
      </c>
      <c r="Y65" s="36">
        <v>113.0</v>
      </c>
    </row>
    <row r="66">
      <c r="A66" s="32" t="s">
        <v>3841</v>
      </c>
      <c r="B66" s="32" t="s">
        <v>3841</v>
      </c>
      <c r="C66" s="32" t="s">
        <v>3842</v>
      </c>
      <c r="D66" s="32" t="s">
        <v>3843</v>
      </c>
      <c r="E66" s="32" t="s">
        <v>5073</v>
      </c>
      <c r="F66" s="32" t="e">
        <v>#N/A</v>
      </c>
      <c r="G66" s="39"/>
      <c r="H66" s="32">
        <v>0.0</v>
      </c>
      <c r="I66" s="39"/>
      <c r="J66" s="32" t="s">
        <v>3844</v>
      </c>
      <c r="K66" s="33" t="s">
        <v>3845</v>
      </c>
      <c r="L66" s="32" t="e">
        <v>#N/A</v>
      </c>
      <c r="M66" s="32" t="e">
        <v>#N/A</v>
      </c>
      <c r="N66" s="32" t="s">
        <v>5092</v>
      </c>
      <c r="O66" s="32" t="s">
        <v>1145</v>
      </c>
      <c r="P66" s="32">
        <v>2499.0</v>
      </c>
      <c r="Q66" s="34">
        <v>1999.0</v>
      </c>
      <c r="R66" s="40">
        <v>1999.0</v>
      </c>
      <c r="S66" s="35">
        <v>1899.0</v>
      </c>
      <c r="T66" s="36">
        <v>0.0</v>
      </c>
      <c r="U66" s="36">
        <v>14.0</v>
      </c>
      <c r="V66" s="36">
        <v>99.0</v>
      </c>
      <c r="W66" s="36">
        <v>0.0</v>
      </c>
      <c r="X66" s="36">
        <v>0.0</v>
      </c>
      <c r="Y66" s="36">
        <v>113.0</v>
      </c>
    </row>
    <row r="67">
      <c r="A67" s="32" t="s">
        <v>3449</v>
      </c>
      <c r="B67" s="32" t="s">
        <v>3449</v>
      </c>
      <c r="C67" s="32" t="s">
        <v>3450</v>
      </c>
      <c r="D67" s="32" t="s">
        <v>3452</v>
      </c>
      <c r="E67" s="32" t="s">
        <v>5073</v>
      </c>
      <c r="F67" s="32" t="e">
        <v>#N/A</v>
      </c>
      <c r="G67" s="32" t="e">
        <v>#N/A</v>
      </c>
      <c r="H67" s="32" t="s">
        <v>3449</v>
      </c>
      <c r="I67" s="32" t="s">
        <v>5073</v>
      </c>
      <c r="J67" s="32" t="s">
        <v>3453</v>
      </c>
      <c r="K67" s="33" t="s">
        <v>3454</v>
      </c>
      <c r="L67" s="32" t="e">
        <v>#N/A</v>
      </c>
      <c r="M67" s="32" t="e">
        <v>#N/A</v>
      </c>
      <c r="N67" s="32" t="s">
        <v>5078</v>
      </c>
      <c r="O67" s="32" t="s">
        <v>4730</v>
      </c>
      <c r="P67" s="32">
        <v>549.0</v>
      </c>
      <c r="Q67" s="34">
        <v>543.51</v>
      </c>
      <c r="R67" s="35">
        <v>549.0</v>
      </c>
      <c r="S67" s="35">
        <v>521.55</v>
      </c>
      <c r="T67" s="36">
        <v>15.0</v>
      </c>
      <c r="U67" s="36">
        <v>0.0</v>
      </c>
      <c r="V67" s="36">
        <v>58.0</v>
      </c>
      <c r="W67" s="36">
        <v>30.0</v>
      </c>
      <c r="X67" s="36">
        <v>6.0</v>
      </c>
      <c r="Y67" s="36">
        <v>109.0</v>
      </c>
    </row>
    <row r="68">
      <c r="A68" s="32" t="s">
        <v>3593</v>
      </c>
      <c r="B68" s="32" t="s">
        <v>3593</v>
      </c>
      <c r="C68" s="32" t="s">
        <v>3594</v>
      </c>
      <c r="D68" s="32" t="s">
        <v>3595</v>
      </c>
      <c r="E68" s="32" t="s">
        <v>5073</v>
      </c>
      <c r="F68" s="32" t="e">
        <v>#N/A</v>
      </c>
      <c r="G68" s="39"/>
      <c r="H68" s="32" t="s">
        <v>3596</v>
      </c>
      <c r="I68" s="32" t="s">
        <v>5073</v>
      </c>
      <c r="J68" s="32" t="s">
        <v>3597</v>
      </c>
      <c r="K68" s="33" t="s">
        <v>3598</v>
      </c>
      <c r="L68" s="32" t="e">
        <v>#N/A</v>
      </c>
      <c r="M68" s="32" t="e">
        <v>#N/A</v>
      </c>
      <c r="N68" s="32" t="s">
        <v>5099</v>
      </c>
      <c r="O68" s="32" t="s">
        <v>4730</v>
      </c>
      <c r="P68" s="32">
        <v>2289.0</v>
      </c>
      <c r="Q68" s="34">
        <v>1999.0</v>
      </c>
      <c r="R68" s="40">
        <v>1999.0</v>
      </c>
      <c r="S68" s="35">
        <v>1945.65</v>
      </c>
      <c r="T68" s="36">
        <v>0.0</v>
      </c>
      <c r="U68" s="36">
        <v>29.0</v>
      </c>
      <c r="V68" s="36">
        <v>74.0</v>
      </c>
      <c r="W68" s="36">
        <v>0.0</v>
      </c>
      <c r="X68" s="36">
        <v>0.0</v>
      </c>
      <c r="Y68" s="36">
        <v>103.0</v>
      </c>
    </row>
    <row r="69">
      <c r="A69" s="32" t="s">
        <v>2806</v>
      </c>
      <c r="B69" s="32" t="s">
        <v>2806</v>
      </c>
      <c r="C69" s="32">
        <v>0.0</v>
      </c>
      <c r="D69" s="32" t="e">
        <v>#N/A</v>
      </c>
      <c r="E69" s="39"/>
      <c r="F69" s="32" t="e">
        <v>#N/A</v>
      </c>
      <c r="G69" s="39"/>
      <c r="H69" s="32" t="e">
        <v>#N/A</v>
      </c>
      <c r="I69" s="39"/>
      <c r="J69" s="32">
        <v>0.0</v>
      </c>
      <c r="K69" s="33" t="e">
        <v>#N/A</v>
      </c>
      <c r="L69" s="32" t="e">
        <v>#N/A</v>
      </c>
      <c r="M69" s="32" t="e">
        <v>#N/A</v>
      </c>
      <c r="N69" s="32" t="e">
        <v>#N/A</v>
      </c>
      <c r="O69" s="32" t="e">
        <v>#N/A</v>
      </c>
      <c r="P69" s="32" t="e">
        <v>#REF!</v>
      </c>
      <c r="Q69" s="32" t="e">
        <v>#N/A</v>
      </c>
      <c r="R69" s="42" t="e">
        <v>#N/A</v>
      </c>
      <c r="S69" s="42" t="e">
        <v>#N/A</v>
      </c>
      <c r="T69" s="36">
        <v>36.0</v>
      </c>
      <c r="U69" s="36">
        <v>19.0</v>
      </c>
      <c r="V69" s="36">
        <v>15.0</v>
      </c>
      <c r="W69" s="36">
        <v>12.0</v>
      </c>
      <c r="X69" s="36">
        <v>18.0</v>
      </c>
      <c r="Y69" s="36">
        <v>100.0</v>
      </c>
    </row>
    <row r="70">
      <c r="A70" s="32" t="s">
        <v>2995</v>
      </c>
      <c r="B70" s="32" t="s">
        <v>2995</v>
      </c>
      <c r="C70" s="32" t="s">
        <v>2996</v>
      </c>
      <c r="D70" s="32" t="s">
        <v>2997</v>
      </c>
      <c r="E70" s="32" t="s">
        <v>5073</v>
      </c>
      <c r="F70" s="32" t="e">
        <v>#N/A</v>
      </c>
      <c r="G70" s="39"/>
      <c r="H70" s="32" t="s">
        <v>2995</v>
      </c>
      <c r="I70" s="32" t="s">
        <v>5073</v>
      </c>
      <c r="J70" s="32" t="s">
        <v>2995</v>
      </c>
      <c r="K70" s="33" t="s">
        <v>2998</v>
      </c>
      <c r="L70" s="32" t="e">
        <v>#N/A</v>
      </c>
      <c r="M70" s="32" t="s">
        <v>2999</v>
      </c>
      <c r="N70" s="32" t="s">
        <v>5088</v>
      </c>
      <c r="O70" s="32" t="s">
        <v>4730</v>
      </c>
      <c r="P70" s="32">
        <v>2789.0</v>
      </c>
      <c r="Q70" s="34">
        <v>2499.0</v>
      </c>
      <c r="R70" s="40">
        <v>2499.0</v>
      </c>
      <c r="S70" s="35">
        <v>2231.2</v>
      </c>
      <c r="T70" s="36">
        <v>35.0</v>
      </c>
      <c r="U70" s="36">
        <v>15.0</v>
      </c>
      <c r="V70" s="36">
        <v>38.0</v>
      </c>
      <c r="W70" s="36">
        <v>10.0</v>
      </c>
      <c r="X70" s="36">
        <v>1.0</v>
      </c>
      <c r="Y70" s="36">
        <v>99.0</v>
      </c>
    </row>
    <row r="71">
      <c r="A71" s="32" t="s">
        <v>639</v>
      </c>
      <c r="B71" s="32" t="s">
        <v>639</v>
      </c>
      <c r="C71" s="32" t="s">
        <v>640</v>
      </c>
      <c r="D71" s="32" t="s">
        <v>4752</v>
      </c>
      <c r="E71" s="32" t="s">
        <v>5073</v>
      </c>
      <c r="F71" s="32" t="s">
        <v>641</v>
      </c>
      <c r="G71" s="32" t="s">
        <v>5100</v>
      </c>
      <c r="H71" s="32" t="s">
        <v>642</v>
      </c>
      <c r="I71" s="32" t="s">
        <v>5073</v>
      </c>
      <c r="J71" s="32" t="s">
        <v>643</v>
      </c>
      <c r="K71" s="33" t="s">
        <v>644</v>
      </c>
      <c r="L71" s="32">
        <v>3.1999064E7</v>
      </c>
      <c r="M71" s="32" t="s">
        <v>645</v>
      </c>
      <c r="N71" s="32" t="s">
        <v>51</v>
      </c>
      <c r="O71" s="32" t="s">
        <v>52</v>
      </c>
      <c r="P71" s="32">
        <v>21199.0</v>
      </c>
      <c r="Q71" s="34">
        <v>17171.0</v>
      </c>
      <c r="R71" s="40">
        <v>18399.0</v>
      </c>
      <c r="S71" s="35">
        <v>16111.24</v>
      </c>
      <c r="T71" s="36">
        <v>27.0</v>
      </c>
      <c r="U71" s="36">
        <v>0.0</v>
      </c>
      <c r="V71" s="36">
        <v>71.0</v>
      </c>
      <c r="W71" s="36">
        <v>0.0</v>
      </c>
      <c r="X71" s="36">
        <v>0.0</v>
      </c>
      <c r="Y71" s="36">
        <v>98.0</v>
      </c>
    </row>
    <row r="72">
      <c r="A72" s="32" t="s">
        <v>2147</v>
      </c>
      <c r="B72" s="32" t="s">
        <v>2147</v>
      </c>
      <c r="C72" s="32" t="s">
        <v>2148</v>
      </c>
      <c r="D72" s="32" t="s">
        <v>2149</v>
      </c>
      <c r="E72" s="32" t="s">
        <v>5073</v>
      </c>
      <c r="F72" s="32" t="e">
        <v>#N/A</v>
      </c>
      <c r="G72" s="32" t="e">
        <v>#N/A</v>
      </c>
      <c r="H72" s="32" t="s">
        <v>5101</v>
      </c>
      <c r="I72" s="32" t="s">
        <v>5102</v>
      </c>
      <c r="J72" s="32" t="s">
        <v>2150</v>
      </c>
      <c r="K72" s="33" t="s">
        <v>2151</v>
      </c>
      <c r="L72" s="32" t="e">
        <v>#N/A</v>
      </c>
      <c r="M72" s="32" t="e">
        <v>#N/A</v>
      </c>
      <c r="N72" s="32" t="s">
        <v>5103</v>
      </c>
      <c r="O72" s="32" t="s">
        <v>4730</v>
      </c>
      <c r="P72" s="32">
        <v>5499.0</v>
      </c>
      <c r="Q72" s="34">
        <v>4399.0</v>
      </c>
      <c r="R72" s="40">
        <v>4899.0</v>
      </c>
      <c r="S72" s="35">
        <v>4124.25</v>
      </c>
      <c r="T72" s="36">
        <v>17.0</v>
      </c>
      <c r="U72" s="36">
        <v>2.0</v>
      </c>
      <c r="V72" s="36">
        <v>75.0</v>
      </c>
      <c r="W72" s="36">
        <v>0.0</v>
      </c>
      <c r="X72" s="36">
        <v>3.0</v>
      </c>
      <c r="Y72" s="36">
        <v>97.0</v>
      </c>
    </row>
    <row r="73">
      <c r="A73" s="32" t="s">
        <v>2470</v>
      </c>
      <c r="B73" s="32" t="s">
        <v>2470</v>
      </c>
      <c r="C73" s="32" t="s">
        <v>2471</v>
      </c>
      <c r="D73" s="32" t="s">
        <v>2472</v>
      </c>
      <c r="E73" s="32" t="s">
        <v>5073</v>
      </c>
      <c r="F73" s="38"/>
      <c r="G73" s="38"/>
      <c r="H73" s="32" t="s">
        <v>2473</v>
      </c>
      <c r="I73" s="32" t="s">
        <v>5073</v>
      </c>
      <c r="J73" s="32" t="s">
        <v>2474</v>
      </c>
      <c r="K73" s="33" t="s">
        <v>2475</v>
      </c>
      <c r="L73" s="32">
        <v>3.2777656E7</v>
      </c>
      <c r="M73" s="32" t="s">
        <v>2476</v>
      </c>
      <c r="N73" s="32" t="s">
        <v>5084</v>
      </c>
      <c r="O73" s="32" t="s">
        <v>1145</v>
      </c>
      <c r="P73" s="32">
        <v>2989.0</v>
      </c>
      <c r="Q73" s="34">
        <v>1999.0</v>
      </c>
      <c r="R73" s="40">
        <v>1999.0</v>
      </c>
      <c r="S73" s="35">
        <v>1899.0</v>
      </c>
      <c r="T73" s="36">
        <v>96.0</v>
      </c>
      <c r="U73" s="36">
        <v>0.0</v>
      </c>
      <c r="V73" s="36">
        <v>0.0</v>
      </c>
      <c r="W73" s="36">
        <v>0.0</v>
      </c>
      <c r="X73" s="36">
        <v>0.0</v>
      </c>
      <c r="Y73" s="36">
        <v>96.0</v>
      </c>
    </row>
    <row r="74">
      <c r="A74" s="32" t="s">
        <v>3373</v>
      </c>
      <c r="B74" s="32" t="s">
        <v>3373</v>
      </c>
      <c r="C74" s="32" t="s">
        <v>3374</v>
      </c>
      <c r="D74" s="32" t="s">
        <v>3375</v>
      </c>
      <c r="E74" s="32" t="s">
        <v>5102</v>
      </c>
      <c r="F74" s="32" t="e">
        <v>#N/A</v>
      </c>
      <c r="G74" s="32" t="e">
        <v>#N/A</v>
      </c>
      <c r="H74" s="32" t="s">
        <v>3376</v>
      </c>
      <c r="I74" s="32" t="s">
        <v>5073</v>
      </c>
      <c r="J74" s="32" t="s">
        <v>3377</v>
      </c>
      <c r="K74" s="33" t="s">
        <v>3378</v>
      </c>
      <c r="L74" s="32">
        <v>3.1818379E7</v>
      </c>
      <c r="M74" s="32" t="e">
        <v>#N/A</v>
      </c>
      <c r="N74" s="32" t="s">
        <v>5086</v>
      </c>
      <c r="O74" s="32" t="s">
        <v>4730</v>
      </c>
      <c r="P74" s="32">
        <v>2189.0</v>
      </c>
      <c r="Q74" s="34">
        <v>1999.0</v>
      </c>
      <c r="R74" s="40">
        <v>1999.0</v>
      </c>
      <c r="S74" s="35">
        <v>1860.65</v>
      </c>
      <c r="T74" s="36">
        <v>0.0</v>
      </c>
      <c r="U74" s="36">
        <v>0.0</v>
      </c>
      <c r="V74" s="36">
        <v>95.0</v>
      </c>
      <c r="W74" s="36">
        <v>0.0</v>
      </c>
      <c r="X74" s="36">
        <v>0.0</v>
      </c>
      <c r="Y74" s="36">
        <v>95.0</v>
      </c>
    </row>
    <row r="75">
      <c r="A75" s="32" t="s">
        <v>1115</v>
      </c>
      <c r="B75" s="32" t="s">
        <v>1115</v>
      </c>
      <c r="C75" s="32" t="s">
        <v>1116</v>
      </c>
      <c r="D75" s="32" t="s">
        <v>1117</v>
      </c>
      <c r="E75" s="32" t="s">
        <v>5073</v>
      </c>
      <c r="F75" s="32" t="e">
        <v>#N/A</v>
      </c>
      <c r="G75" s="39"/>
      <c r="H75" s="32" t="s">
        <v>5104</v>
      </c>
      <c r="I75" s="32" t="s">
        <v>5102</v>
      </c>
      <c r="J75" s="32" t="s">
        <v>1118</v>
      </c>
      <c r="K75" s="33" t="s">
        <v>1119</v>
      </c>
      <c r="L75" s="32" t="e">
        <v>#N/A</v>
      </c>
      <c r="M75" s="32" t="s">
        <v>1120</v>
      </c>
      <c r="N75" s="32" t="s">
        <v>1144</v>
      </c>
      <c r="O75" s="32" t="s">
        <v>1145</v>
      </c>
      <c r="P75" s="32">
        <v>2489.0</v>
      </c>
      <c r="Q75" s="34">
        <v>1999.0</v>
      </c>
      <c r="R75" s="40">
        <v>1999.0</v>
      </c>
      <c r="S75" s="35">
        <v>1599.0</v>
      </c>
      <c r="T75" s="36">
        <v>64.0</v>
      </c>
      <c r="U75" s="36">
        <v>1.0</v>
      </c>
      <c r="V75" s="36">
        <v>0.0</v>
      </c>
      <c r="W75" s="36">
        <v>0.0</v>
      </c>
      <c r="X75" s="36">
        <v>29.0</v>
      </c>
      <c r="Y75" s="36">
        <v>94.0</v>
      </c>
    </row>
    <row r="76">
      <c r="A76" s="32" t="s">
        <v>4639</v>
      </c>
      <c r="B76" s="32" t="s">
        <v>4639</v>
      </c>
      <c r="C76" s="32" t="s">
        <v>4640</v>
      </c>
      <c r="D76" s="32" t="s">
        <v>4641</v>
      </c>
      <c r="E76" s="32" t="s">
        <v>5102</v>
      </c>
      <c r="F76" s="32" t="e">
        <v>#N/A</v>
      </c>
      <c r="G76" s="39"/>
      <c r="H76" s="32">
        <v>0.0</v>
      </c>
      <c r="I76" s="39"/>
      <c r="J76" s="32" t="s">
        <v>4642</v>
      </c>
      <c r="K76" s="33" t="s">
        <v>4643</v>
      </c>
      <c r="L76" s="32" t="e">
        <v>#N/A</v>
      </c>
      <c r="M76" s="32" t="e">
        <v>#N/A</v>
      </c>
      <c r="N76" s="32" t="s">
        <v>5077</v>
      </c>
      <c r="O76" s="32" t="s">
        <v>4730</v>
      </c>
      <c r="P76" s="32">
        <v>1699.0</v>
      </c>
      <c r="Q76" s="34">
        <v>1614.0</v>
      </c>
      <c r="R76" s="40">
        <v>1614.0</v>
      </c>
      <c r="S76" s="35">
        <v>1529.1</v>
      </c>
      <c r="T76" s="36">
        <v>0.0</v>
      </c>
      <c r="U76" s="36">
        <v>29.0</v>
      </c>
      <c r="V76" s="36">
        <v>61.0</v>
      </c>
      <c r="W76" s="36">
        <v>0.0</v>
      </c>
      <c r="X76" s="36">
        <v>3.0</v>
      </c>
      <c r="Y76" s="36">
        <v>93.0</v>
      </c>
    </row>
    <row r="77">
      <c r="A77" s="32" t="s">
        <v>3581</v>
      </c>
      <c r="B77" s="32" t="s">
        <v>3581</v>
      </c>
      <c r="C77" s="32" t="s">
        <v>3582</v>
      </c>
      <c r="D77" s="32" t="s">
        <v>3583</v>
      </c>
      <c r="E77" s="32" t="s">
        <v>5073</v>
      </c>
      <c r="F77" s="32" t="e">
        <v>#N/A</v>
      </c>
      <c r="G77" s="39"/>
      <c r="H77" s="32" t="s">
        <v>3584</v>
      </c>
      <c r="I77" s="32" t="s">
        <v>5073</v>
      </c>
      <c r="J77" s="32" t="s">
        <v>3585</v>
      </c>
      <c r="K77" s="33" t="s">
        <v>3586</v>
      </c>
      <c r="L77" s="32" t="e">
        <v>#N/A</v>
      </c>
      <c r="M77" s="32" t="e">
        <v>#N/A</v>
      </c>
      <c r="N77" s="32" t="s">
        <v>5099</v>
      </c>
      <c r="O77" s="32" t="s">
        <v>4730</v>
      </c>
      <c r="P77" s="32">
        <v>2289.0</v>
      </c>
      <c r="Q77" s="34">
        <v>1999.0</v>
      </c>
      <c r="R77" s="40">
        <v>1999.0</v>
      </c>
      <c r="S77" s="35">
        <v>1945.65</v>
      </c>
      <c r="T77" s="36">
        <v>10.0</v>
      </c>
      <c r="U77" s="36">
        <v>38.0</v>
      </c>
      <c r="V77" s="36">
        <v>45.0</v>
      </c>
      <c r="W77" s="36">
        <v>0.0</v>
      </c>
      <c r="X77" s="36">
        <v>0.0</v>
      </c>
      <c r="Y77" s="36">
        <v>93.0</v>
      </c>
    </row>
    <row r="78">
      <c r="A78" s="32" t="s">
        <v>2985</v>
      </c>
      <c r="B78" s="32" t="s">
        <v>2985</v>
      </c>
      <c r="C78" s="32" t="s">
        <v>2986</v>
      </c>
      <c r="D78" s="32" t="s">
        <v>2987</v>
      </c>
      <c r="E78" s="32" t="s">
        <v>5073</v>
      </c>
      <c r="F78" s="32" t="e">
        <v>#N/A</v>
      </c>
      <c r="G78" s="39"/>
      <c r="H78" s="32" t="s">
        <v>2985</v>
      </c>
      <c r="I78" s="32" t="s">
        <v>5073</v>
      </c>
      <c r="J78" s="32" t="s">
        <v>2985</v>
      </c>
      <c r="K78" s="33" t="s">
        <v>2988</v>
      </c>
      <c r="L78" s="32" t="e">
        <v>#N/A</v>
      </c>
      <c r="M78" s="32" t="s">
        <v>2989</v>
      </c>
      <c r="N78" s="32" t="s">
        <v>5088</v>
      </c>
      <c r="O78" s="32" t="s">
        <v>4730</v>
      </c>
      <c r="P78" s="32">
        <v>2989.0</v>
      </c>
      <c r="Q78" s="34">
        <v>2699.0</v>
      </c>
      <c r="R78" s="40">
        <v>2699.0</v>
      </c>
      <c r="S78" s="35">
        <v>2391.2</v>
      </c>
      <c r="T78" s="36">
        <v>20.0</v>
      </c>
      <c r="U78" s="36">
        <v>0.0</v>
      </c>
      <c r="V78" s="36">
        <v>62.0</v>
      </c>
      <c r="W78" s="36">
        <v>0.0</v>
      </c>
      <c r="X78" s="36">
        <v>10.0</v>
      </c>
      <c r="Y78" s="36">
        <v>92.0</v>
      </c>
    </row>
    <row r="79">
      <c r="A79" s="32" t="s">
        <v>3076</v>
      </c>
      <c r="B79" s="32" t="s">
        <v>3076</v>
      </c>
      <c r="C79" s="32" t="s">
        <v>3077</v>
      </c>
      <c r="D79" s="32" t="s">
        <v>3078</v>
      </c>
      <c r="E79" s="32" t="s">
        <v>5073</v>
      </c>
      <c r="F79" s="32" t="e">
        <v>#N/A</v>
      </c>
      <c r="G79" s="32" t="e">
        <v>#N/A</v>
      </c>
      <c r="H79" s="32" t="s">
        <v>3079</v>
      </c>
      <c r="I79" s="32" t="s">
        <v>5073</v>
      </c>
      <c r="J79" s="32" t="s">
        <v>3080</v>
      </c>
      <c r="K79" s="33" t="s">
        <v>3081</v>
      </c>
      <c r="L79" s="32">
        <v>3.1745296E7</v>
      </c>
      <c r="M79" s="32" t="s">
        <v>3082</v>
      </c>
      <c r="N79" s="32" t="s">
        <v>5087</v>
      </c>
      <c r="O79" s="32" t="s">
        <v>4730</v>
      </c>
      <c r="P79" s="32">
        <v>1879.0</v>
      </c>
      <c r="Q79" s="34">
        <v>1587.0</v>
      </c>
      <c r="R79" s="40">
        <v>1599.0</v>
      </c>
      <c r="S79" s="35">
        <v>1597.15</v>
      </c>
      <c r="T79" s="36">
        <v>0.0</v>
      </c>
      <c r="U79" s="36">
        <v>24.0</v>
      </c>
      <c r="V79" s="36">
        <v>67.0</v>
      </c>
      <c r="W79" s="36">
        <v>0.0</v>
      </c>
      <c r="X79" s="36">
        <v>0.0</v>
      </c>
      <c r="Y79" s="36">
        <v>91.0</v>
      </c>
    </row>
    <row r="80">
      <c r="A80" s="32" t="s">
        <v>4408</v>
      </c>
      <c r="B80" s="32" t="s">
        <v>4408</v>
      </c>
      <c r="C80" s="32" t="s">
        <v>4409</v>
      </c>
      <c r="D80" s="32" t="s">
        <v>4410</v>
      </c>
      <c r="E80" s="32" t="s">
        <v>5073</v>
      </c>
      <c r="F80" s="32" t="e">
        <v>#N/A</v>
      </c>
      <c r="G80" s="39"/>
      <c r="H80" s="32">
        <v>0.0</v>
      </c>
      <c r="I80" s="39"/>
      <c r="J80" s="32" t="s">
        <v>4411</v>
      </c>
      <c r="K80" s="33" t="s">
        <v>4412</v>
      </c>
      <c r="L80" s="32" t="e">
        <v>#N/A</v>
      </c>
      <c r="M80" s="32" t="e">
        <v>#N/A</v>
      </c>
      <c r="N80" s="32" t="s">
        <v>5077</v>
      </c>
      <c r="O80" s="32" t="s">
        <v>4730</v>
      </c>
      <c r="P80" s="32">
        <v>999.0</v>
      </c>
      <c r="Q80" s="34">
        <v>949.0</v>
      </c>
      <c r="R80" s="35">
        <v>949.0</v>
      </c>
      <c r="S80" s="35">
        <v>899.1</v>
      </c>
      <c r="T80" s="36">
        <v>10.0</v>
      </c>
      <c r="U80" s="36">
        <v>0.0</v>
      </c>
      <c r="V80" s="36">
        <v>75.0</v>
      </c>
      <c r="W80" s="36">
        <v>0.0</v>
      </c>
      <c r="X80" s="36">
        <v>5.0</v>
      </c>
      <c r="Y80" s="36">
        <v>90.0</v>
      </c>
    </row>
    <row r="81">
      <c r="A81" s="32" t="s">
        <v>3461</v>
      </c>
      <c r="B81" s="32" t="s">
        <v>3461</v>
      </c>
      <c r="C81" s="32" t="s">
        <v>3462</v>
      </c>
      <c r="D81" s="32" t="s">
        <v>3464</v>
      </c>
      <c r="E81" s="32" t="s">
        <v>5073</v>
      </c>
      <c r="F81" s="32" t="e">
        <v>#N/A</v>
      </c>
      <c r="G81" s="32" t="e">
        <v>#N/A</v>
      </c>
      <c r="H81" s="32" t="s">
        <v>3461</v>
      </c>
      <c r="I81" s="32" t="s">
        <v>5073</v>
      </c>
      <c r="J81" s="32" t="s">
        <v>3465</v>
      </c>
      <c r="K81" s="33" t="s">
        <v>3466</v>
      </c>
      <c r="L81" s="32" t="e">
        <v>#N/A</v>
      </c>
      <c r="M81" s="32" t="e">
        <v>#N/A</v>
      </c>
      <c r="N81" s="32" t="s">
        <v>5078</v>
      </c>
      <c r="O81" s="32" t="s">
        <v>4730</v>
      </c>
      <c r="P81" s="32">
        <v>499.0</v>
      </c>
      <c r="Q81" s="34">
        <v>494.01</v>
      </c>
      <c r="R81" s="35">
        <v>499.0</v>
      </c>
      <c r="S81" s="35">
        <v>474.05</v>
      </c>
      <c r="T81" s="36">
        <v>0.0</v>
      </c>
      <c r="U81" s="36">
        <v>0.0</v>
      </c>
      <c r="V81" s="36">
        <v>89.0</v>
      </c>
      <c r="W81" s="36">
        <v>0.0</v>
      </c>
      <c r="X81" s="36">
        <v>0.0</v>
      </c>
      <c r="Y81" s="36">
        <v>89.0</v>
      </c>
    </row>
    <row r="82">
      <c r="A82" s="32" t="s">
        <v>3506</v>
      </c>
      <c r="B82" s="32" t="s">
        <v>3506</v>
      </c>
      <c r="C82" s="32" t="s">
        <v>3507</v>
      </c>
      <c r="D82" s="32" t="s">
        <v>3508</v>
      </c>
      <c r="E82" s="32" t="s">
        <v>5073</v>
      </c>
      <c r="F82" s="32" t="s">
        <v>3509</v>
      </c>
      <c r="G82" s="32" t="s">
        <v>5100</v>
      </c>
      <c r="H82" s="32" t="s">
        <v>3510</v>
      </c>
      <c r="I82" s="32" t="s">
        <v>5073</v>
      </c>
      <c r="J82" s="32" t="s">
        <v>3511</v>
      </c>
      <c r="K82" s="33" t="s">
        <v>3512</v>
      </c>
      <c r="L82" s="32" t="e">
        <v>#N/A</v>
      </c>
      <c r="M82" s="32" t="e">
        <v>#N/A</v>
      </c>
      <c r="N82" s="32" t="s">
        <v>5098</v>
      </c>
      <c r="O82" s="32" t="s">
        <v>4730</v>
      </c>
      <c r="P82" s="32">
        <v>899.0</v>
      </c>
      <c r="Q82" s="34">
        <v>809.0</v>
      </c>
      <c r="R82" s="35">
        <v>809.0</v>
      </c>
      <c r="S82" s="35">
        <v>764.15</v>
      </c>
      <c r="T82" s="36">
        <v>0.0</v>
      </c>
      <c r="U82" s="36">
        <v>0.0</v>
      </c>
      <c r="V82" s="36">
        <v>87.0</v>
      </c>
      <c r="W82" s="36">
        <v>0.0</v>
      </c>
      <c r="X82" s="36">
        <v>0.0</v>
      </c>
      <c r="Y82" s="36">
        <v>87.0</v>
      </c>
    </row>
    <row r="83">
      <c r="A83" s="32" t="s">
        <v>2138</v>
      </c>
      <c r="B83" s="32" t="s">
        <v>2138</v>
      </c>
      <c r="C83" s="32" t="s">
        <v>2139</v>
      </c>
      <c r="D83" s="32" t="s">
        <v>2140</v>
      </c>
      <c r="E83" s="32" t="s">
        <v>5073</v>
      </c>
      <c r="F83" s="32" t="e">
        <v>#N/A</v>
      </c>
      <c r="G83" s="32" t="e">
        <v>#N/A</v>
      </c>
      <c r="H83" s="32" t="s">
        <v>5105</v>
      </c>
      <c r="I83" s="32" t="s">
        <v>5102</v>
      </c>
      <c r="J83" s="32" t="s">
        <v>2141</v>
      </c>
      <c r="K83" s="33" t="s">
        <v>2142</v>
      </c>
      <c r="L83" s="32" t="e">
        <v>#N/A</v>
      </c>
      <c r="M83" s="32" t="e">
        <v>#N/A</v>
      </c>
      <c r="N83" s="32" t="s">
        <v>5103</v>
      </c>
      <c r="O83" s="32" t="s">
        <v>4730</v>
      </c>
      <c r="P83" s="32">
        <v>4499.0</v>
      </c>
      <c r="Q83" s="34">
        <v>3599.0</v>
      </c>
      <c r="R83" s="40">
        <v>3999.0</v>
      </c>
      <c r="S83" s="35">
        <v>3374.25</v>
      </c>
      <c r="T83" s="36">
        <v>17.0</v>
      </c>
      <c r="U83" s="36">
        <v>0.0</v>
      </c>
      <c r="V83" s="36">
        <v>62.0</v>
      </c>
      <c r="W83" s="36">
        <v>0.0</v>
      </c>
      <c r="X83" s="36">
        <v>7.0</v>
      </c>
      <c r="Y83" s="36">
        <v>86.0</v>
      </c>
    </row>
    <row r="84">
      <c r="A84" s="32" t="s">
        <v>2718</v>
      </c>
      <c r="B84" s="32" t="s">
        <v>2718</v>
      </c>
      <c r="C84" s="32">
        <v>0.0</v>
      </c>
      <c r="D84" s="32" t="e">
        <v>#N/A</v>
      </c>
      <c r="E84" s="39"/>
      <c r="F84" s="32" t="e">
        <v>#N/A</v>
      </c>
      <c r="G84" s="39"/>
      <c r="H84" s="32" t="e">
        <v>#N/A</v>
      </c>
      <c r="I84" s="39"/>
      <c r="J84" s="32">
        <v>0.0</v>
      </c>
      <c r="K84" s="33" t="e">
        <v>#N/A</v>
      </c>
      <c r="L84" s="32" t="e">
        <v>#N/A</v>
      </c>
      <c r="M84" s="32" t="e">
        <v>#N/A</v>
      </c>
      <c r="N84" s="32" t="e">
        <v>#N/A</v>
      </c>
      <c r="O84" s="32" t="e">
        <v>#N/A</v>
      </c>
      <c r="P84" s="32" t="e">
        <v>#REF!</v>
      </c>
      <c r="Q84" s="32" t="e">
        <v>#N/A</v>
      </c>
      <c r="R84" s="42" t="e">
        <v>#N/A</v>
      </c>
      <c r="S84" s="42" t="e">
        <v>#N/A</v>
      </c>
      <c r="T84" s="36">
        <v>18.0</v>
      </c>
      <c r="U84" s="36">
        <v>20.0</v>
      </c>
      <c r="V84" s="36">
        <v>29.0</v>
      </c>
      <c r="W84" s="36">
        <v>4.0</v>
      </c>
      <c r="X84" s="36">
        <v>15.0</v>
      </c>
      <c r="Y84" s="36">
        <v>86.0</v>
      </c>
    </row>
    <row r="85">
      <c r="A85" s="32" t="s">
        <v>3518</v>
      </c>
      <c r="B85" s="32" t="s">
        <v>3518</v>
      </c>
      <c r="C85" s="32" t="s">
        <v>3519</v>
      </c>
      <c r="D85" s="32" t="s">
        <v>3520</v>
      </c>
      <c r="E85" s="32" t="s">
        <v>5073</v>
      </c>
      <c r="F85" s="32" t="e">
        <v>#N/A</v>
      </c>
      <c r="G85" s="32" t="e">
        <v>#N/A</v>
      </c>
      <c r="H85" s="32" t="s">
        <v>3518</v>
      </c>
      <c r="I85" s="32" t="s">
        <v>5073</v>
      </c>
      <c r="J85" s="32" t="s">
        <v>3518</v>
      </c>
      <c r="K85" s="33" t="s">
        <v>3521</v>
      </c>
      <c r="L85" s="32">
        <v>3.1745304E7</v>
      </c>
      <c r="M85" s="32" t="s">
        <v>3522</v>
      </c>
      <c r="N85" s="32" t="s">
        <v>5106</v>
      </c>
      <c r="O85" s="32" t="s">
        <v>4730</v>
      </c>
      <c r="P85" s="32">
        <v>5489.0</v>
      </c>
      <c r="Q85" s="34">
        <v>4999.0</v>
      </c>
      <c r="R85" s="40">
        <v>4999.0</v>
      </c>
      <c r="S85" s="35">
        <v>4665.65</v>
      </c>
      <c r="T85" s="36">
        <v>0.0</v>
      </c>
      <c r="U85" s="36">
        <v>18.0</v>
      </c>
      <c r="V85" s="36">
        <v>64.0</v>
      </c>
      <c r="W85" s="36">
        <v>3.0</v>
      </c>
      <c r="X85" s="36">
        <v>0.0</v>
      </c>
      <c r="Y85" s="36">
        <v>85.0</v>
      </c>
    </row>
    <row r="86">
      <c r="A86" s="32" t="s">
        <v>3442</v>
      </c>
      <c r="B86" s="32" t="s">
        <v>3442</v>
      </c>
      <c r="C86" s="32" t="s">
        <v>3443</v>
      </c>
      <c r="D86" s="32" t="s">
        <v>3445</v>
      </c>
      <c r="E86" s="32" t="s">
        <v>5102</v>
      </c>
      <c r="F86" s="32" t="e">
        <v>#N/A</v>
      </c>
      <c r="G86" s="32" t="e">
        <v>#N/A</v>
      </c>
      <c r="H86" s="32" t="s">
        <v>3442</v>
      </c>
      <c r="I86" s="32" t="s">
        <v>5073</v>
      </c>
      <c r="J86" s="32" t="s">
        <v>3446</v>
      </c>
      <c r="K86" s="33" t="s">
        <v>3447</v>
      </c>
      <c r="L86" s="32" t="e">
        <v>#N/A</v>
      </c>
      <c r="M86" s="32" t="e">
        <v>#N/A</v>
      </c>
      <c r="N86" s="32" t="s">
        <v>5078</v>
      </c>
      <c r="O86" s="32" t="s">
        <v>4730</v>
      </c>
      <c r="P86" s="32">
        <v>649.0</v>
      </c>
      <c r="Q86" s="34">
        <v>642.51</v>
      </c>
      <c r="R86" s="35">
        <v>649.0</v>
      </c>
      <c r="S86" s="35">
        <v>616.55</v>
      </c>
      <c r="T86" s="36">
        <v>42.0</v>
      </c>
      <c r="U86" s="36">
        <v>0.0</v>
      </c>
      <c r="V86" s="36">
        <v>43.0</v>
      </c>
      <c r="W86" s="36">
        <v>0.0</v>
      </c>
      <c r="X86" s="36">
        <v>0.0</v>
      </c>
      <c r="Y86" s="36">
        <v>85.0</v>
      </c>
    </row>
    <row r="87">
      <c r="A87" s="32" t="s">
        <v>4654</v>
      </c>
      <c r="B87" s="32" t="s">
        <v>4654</v>
      </c>
      <c r="C87" s="32" t="s">
        <v>4655</v>
      </c>
      <c r="D87" s="32" t="s">
        <v>4656</v>
      </c>
      <c r="E87" s="32" t="s">
        <v>5102</v>
      </c>
      <c r="F87" s="32" t="e">
        <v>#N/A</v>
      </c>
      <c r="G87" s="39"/>
      <c r="H87" s="32">
        <v>0.0</v>
      </c>
      <c r="I87" s="39"/>
      <c r="J87" s="32" t="s">
        <v>4657</v>
      </c>
      <c r="K87" s="33" t="s">
        <v>4658</v>
      </c>
      <c r="L87" s="32" t="e">
        <v>#N/A</v>
      </c>
      <c r="M87" s="32" t="e">
        <v>#N/A</v>
      </c>
      <c r="N87" s="32" t="s">
        <v>5077</v>
      </c>
      <c r="O87" s="32" t="s">
        <v>4730</v>
      </c>
      <c r="P87" s="32">
        <v>1699.0</v>
      </c>
      <c r="Q87" s="34">
        <v>1614.0</v>
      </c>
      <c r="R87" s="40">
        <v>1614.0</v>
      </c>
      <c r="S87" s="35">
        <v>1529.1</v>
      </c>
      <c r="T87" s="36">
        <v>0.0</v>
      </c>
      <c r="U87" s="36">
        <v>27.0</v>
      </c>
      <c r="V87" s="36">
        <v>35.0</v>
      </c>
      <c r="W87" s="36">
        <v>0.0</v>
      </c>
      <c r="X87" s="36">
        <v>21.0</v>
      </c>
      <c r="Y87" s="36">
        <v>83.0</v>
      </c>
    </row>
    <row r="88">
      <c r="A88" s="32" t="s">
        <v>3896</v>
      </c>
      <c r="B88" s="32" t="s">
        <v>3896</v>
      </c>
      <c r="C88" s="32" t="s">
        <v>3897</v>
      </c>
      <c r="D88" s="32" t="s">
        <v>3898</v>
      </c>
      <c r="E88" s="32" t="s">
        <v>5073</v>
      </c>
      <c r="F88" s="32" t="e">
        <v>#N/A</v>
      </c>
      <c r="G88" s="39"/>
      <c r="H88" s="32">
        <v>0.0</v>
      </c>
      <c r="I88" s="39"/>
      <c r="J88" s="32" t="s">
        <v>3899</v>
      </c>
      <c r="K88" s="33" t="s">
        <v>3900</v>
      </c>
      <c r="L88" s="32" t="e">
        <v>#N/A</v>
      </c>
      <c r="M88" s="32" t="e">
        <v>#N/A</v>
      </c>
      <c r="N88" s="32" t="s">
        <v>4727</v>
      </c>
      <c r="O88" s="32" t="s">
        <v>4727</v>
      </c>
      <c r="P88" s="32">
        <v>1999.0</v>
      </c>
      <c r="Q88" s="34">
        <v>1599.0</v>
      </c>
      <c r="R88" s="40">
        <v>1599.0</v>
      </c>
      <c r="S88" s="35">
        <v>1499.25</v>
      </c>
      <c r="T88" s="36">
        <v>15.0</v>
      </c>
      <c r="U88" s="36">
        <v>2.0</v>
      </c>
      <c r="V88" s="36">
        <v>62.0</v>
      </c>
      <c r="W88" s="36">
        <v>4.0</v>
      </c>
      <c r="X88" s="36">
        <v>0.0</v>
      </c>
      <c r="Y88" s="36">
        <v>83.0</v>
      </c>
    </row>
    <row r="89">
      <c r="A89" s="32" t="s">
        <v>2822</v>
      </c>
      <c r="B89" s="32" t="s">
        <v>2822</v>
      </c>
      <c r="C89" s="32" t="s">
        <v>2823</v>
      </c>
      <c r="D89" s="32" t="s">
        <v>2824</v>
      </c>
      <c r="E89" s="32" t="s">
        <v>5073</v>
      </c>
      <c r="F89" s="32" t="e">
        <v>#N/A</v>
      </c>
      <c r="G89" s="32" t="e">
        <v>#N/A</v>
      </c>
      <c r="H89" s="32" t="s">
        <v>2822</v>
      </c>
      <c r="I89" s="32" t="s">
        <v>5073</v>
      </c>
      <c r="J89" s="32" t="s">
        <v>2825</v>
      </c>
      <c r="K89" s="33" t="s">
        <v>2826</v>
      </c>
      <c r="L89" s="32">
        <v>3.1818451E7</v>
      </c>
      <c r="M89" s="32" t="s">
        <v>2827</v>
      </c>
      <c r="N89" s="32" t="s">
        <v>5107</v>
      </c>
      <c r="O89" s="32" t="s">
        <v>4730</v>
      </c>
      <c r="P89" s="32">
        <v>2189.0</v>
      </c>
      <c r="Q89" s="34">
        <v>1792.0</v>
      </c>
      <c r="R89" s="40">
        <v>1799.0</v>
      </c>
      <c r="S89" s="35">
        <v>1641.75</v>
      </c>
      <c r="T89" s="36">
        <v>14.0</v>
      </c>
      <c r="U89" s="36">
        <v>16.0</v>
      </c>
      <c r="V89" s="36">
        <v>48.0</v>
      </c>
      <c r="W89" s="36">
        <v>4.0</v>
      </c>
      <c r="X89" s="36">
        <v>0.0</v>
      </c>
      <c r="Y89" s="36">
        <v>82.0</v>
      </c>
    </row>
    <row r="90">
      <c r="A90" s="32" t="s">
        <v>3523</v>
      </c>
      <c r="B90" s="32" t="s">
        <v>3523</v>
      </c>
      <c r="C90" s="32" t="s">
        <v>3524</v>
      </c>
      <c r="D90" s="32" t="s">
        <v>3526</v>
      </c>
      <c r="E90" s="32" t="s">
        <v>5073</v>
      </c>
      <c r="F90" s="32" t="e">
        <v>#N/A</v>
      </c>
      <c r="G90" s="32" t="e">
        <v>#N/A</v>
      </c>
      <c r="H90" s="32" t="s">
        <v>3527</v>
      </c>
      <c r="I90" s="32" t="s">
        <v>5073</v>
      </c>
      <c r="J90" s="32" t="s">
        <v>3528</v>
      </c>
      <c r="K90" s="33" t="s">
        <v>3529</v>
      </c>
      <c r="L90" s="32" t="e">
        <v>#N/A</v>
      </c>
      <c r="M90" s="32" t="e">
        <v>#N/A</v>
      </c>
      <c r="N90" s="32" t="s">
        <v>5098</v>
      </c>
      <c r="O90" s="32" t="s">
        <v>4730</v>
      </c>
      <c r="P90" s="32">
        <v>799.0</v>
      </c>
      <c r="Q90" s="34">
        <v>719.0</v>
      </c>
      <c r="R90" s="35">
        <v>719.0</v>
      </c>
      <c r="S90" s="35">
        <v>679.15</v>
      </c>
      <c r="T90" s="36">
        <v>2.0</v>
      </c>
      <c r="U90" s="36">
        <v>4.0</v>
      </c>
      <c r="V90" s="36">
        <v>47.0</v>
      </c>
      <c r="W90" s="36">
        <v>14.0</v>
      </c>
      <c r="X90" s="36">
        <v>13.0</v>
      </c>
      <c r="Y90" s="36">
        <v>80.0</v>
      </c>
    </row>
    <row r="91">
      <c r="A91" s="32" t="s">
        <v>1027</v>
      </c>
      <c r="B91" s="32" t="s">
        <v>1027</v>
      </c>
      <c r="C91" s="32" t="s">
        <v>1028</v>
      </c>
      <c r="D91" s="32" t="s">
        <v>1029</v>
      </c>
      <c r="E91" s="32" t="s">
        <v>5073</v>
      </c>
      <c r="F91" s="32" t="e">
        <v>#N/A</v>
      </c>
      <c r="G91" s="32" t="e">
        <v>#N/A</v>
      </c>
      <c r="H91" s="32" t="s">
        <v>1030</v>
      </c>
      <c r="I91" s="32" t="s">
        <v>5073</v>
      </c>
      <c r="J91" s="32" t="s">
        <v>1031</v>
      </c>
      <c r="K91" s="33" t="s">
        <v>1032</v>
      </c>
      <c r="L91" s="32">
        <v>3.1999063E7</v>
      </c>
      <c r="M91" s="32" t="s">
        <v>1033</v>
      </c>
      <c r="N91" s="32" t="s">
        <v>5108</v>
      </c>
      <c r="O91" s="32" t="s">
        <v>52</v>
      </c>
      <c r="P91" s="32">
        <v>20699.0</v>
      </c>
      <c r="Q91" s="34">
        <v>17387.0</v>
      </c>
      <c r="R91" s="40">
        <v>18599.0</v>
      </c>
      <c r="S91" s="35">
        <v>16559.2</v>
      </c>
      <c r="T91" s="36">
        <v>38.0</v>
      </c>
      <c r="U91" s="36">
        <v>7.0</v>
      </c>
      <c r="V91" s="36">
        <v>32.0</v>
      </c>
      <c r="W91" s="36">
        <v>1.0</v>
      </c>
      <c r="X91" s="36">
        <v>0.0</v>
      </c>
      <c r="Y91" s="36">
        <v>78.0</v>
      </c>
    </row>
    <row r="92">
      <c r="A92" s="32" t="s">
        <v>3664</v>
      </c>
      <c r="B92" s="32" t="s">
        <v>3664</v>
      </c>
      <c r="C92" s="32" t="s">
        <v>3665</v>
      </c>
      <c r="D92" s="32" t="s">
        <v>3667</v>
      </c>
      <c r="E92" s="32" t="s">
        <v>5073</v>
      </c>
      <c r="F92" s="32" t="e">
        <v>#N/A</v>
      </c>
      <c r="G92" s="32" t="e">
        <v>#N/A</v>
      </c>
      <c r="H92" s="32" t="s">
        <v>3668</v>
      </c>
      <c r="I92" s="32" t="s">
        <v>5073</v>
      </c>
      <c r="J92" s="32" t="s">
        <v>3669</v>
      </c>
      <c r="K92" s="33" t="s">
        <v>3670</v>
      </c>
      <c r="L92" s="32" t="e">
        <v>#N/A</v>
      </c>
      <c r="M92" s="32" t="e">
        <v>#N/A</v>
      </c>
      <c r="N92" s="32" t="s">
        <v>5098</v>
      </c>
      <c r="O92" s="32" t="s">
        <v>4730</v>
      </c>
      <c r="P92" s="32">
        <v>999.0</v>
      </c>
      <c r="Q92" s="34">
        <v>899.0</v>
      </c>
      <c r="R92" s="35">
        <v>899.0</v>
      </c>
      <c r="S92" s="35">
        <v>849.15</v>
      </c>
      <c r="T92" s="36">
        <v>8.0</v>
      </c>
      <c r="U92" s="36">
        <v>0.0</v>
      </c>
      <c r="V92" s="36">
        <v>56.0</v>
      </c>
      <c r="W92" s="36">
        <v>6.0</v>
      </c>
      <c r="X92" s="36">
        <v>7.0</v>
      </c>
      <c r="Y92" s="36">
        <v>77.0</v>
      </c>
    </row>
    <row r="93">
      <c r="A93" s="32" t="s">
        <v>4624</v>
      </c>
      <c r="B93" s="32" t="s">
        <v>4624</v>
      </c>
      <c r="C93" s="32" t="s">
        <v>4625</v>
      </c>
      <c r="D93" s="32" t="s">
        <v>4626</v>
      </c>
      <c r="E93" s="32" t="s">
        <v>5073</v>
      </c>
      <c r="F93" s="32" t="e">
        <v>#N/A</v>
      </c>
      <c r="G93" s="39"/>
      <c r="H93" s="32">
        <v>0.0</v>
      </c>
      <c r="I93" s="39"/>
      <c r="J93" s="32" t="s">
        <v>4627</v>
      </c>
      <c r="K93" s="33" t="s">
        <v>4628</v>
      </c>
      <c r="L93" s="32" t="e">
        <v>#N/A</v>
      </c>
      <c r="M93" s="32" t="e">
        <v>#N/A</v>
      </c>
      <c r="N93" s="32" t="s">
        <v>5077</v>
      </c>
      <c r="O93" s="32" t="s">
        <v>4730</v>
      </c>
      <c r="P93" s="32">
        <v>1699.0</v>
      </c>
      <c r="Q93" s="34">
        <v>1614.0</v>
      </c>
      <c r="R93" s="40">
        <v>1614.0</v>
      </c>
      <c r="S93" s="35">
        <v>1529.1</v>
      </c>
      <c r="T93" s="36">
        <v>17.0</v>
      </c>
      <c r="U93" s="36">
        <v>12.0</v>
      </c>
      <c r="V93" s="36">
        <v>40.0</v>
      </c>
      <c r="W93" s="36">
        <v>0.0</v>
      </c>
      <c r="X93" s="36">
        <v>8.0</v>
      </c>
      <c r="Y93" s="36">
        <v>77.0</v>
      </c>
    </row>
    <row r="94">
      <c r="A94" s="32" t="s">
        <v>284</v>
      </c>
      <c r="B94" s="32" t="s">
        <v>284</v>
      </c>
      <c r="C94" s="32" t="s">
        <v>285</v>
      </c>
      <c r="D94" s="32" t="s">
        <v>286</v>
      </c>
      <c r="E94" s="32" t="s">
        <v>5073</v>
      </c>
      <c r="F94" s="32" t="e">
        <v>#N/A</v>
      </c>
      <c r="G94" s="39"/>
      <c r="H94" s="32">
        <v>0.0</v>
      </c>
      <c r="I94" s="39"/>
      <c r="J94" s="32" t="s">
        <v>287</v>
      </c>
      <c r="K94" s="33" t="s">
        <v>288</v>
      </c>
      <c r="L94" s="32" t="e">
        <v>#N/A</v>
      </c>
      <c r="M94" s="32" t="e">
        <v>#REF!</v>
      </c>
      <c r="N94" s="32" t="s">
        <v>51</v>
      </c>
      <c r="O94" s="32" t="s">
        <v>52</v>
      </c>
      <c r="P94" s="32">
        <v>12489.0</v>
      </c>
      <c r="Q94" s="34">
        <v>10116.0</v>
      </c>
      <c r="R94" s="40">
        <v>10899.0</v>
      </c>
      <c r="S94" s="35">
        <v>9491.64</v>
      </c>
      <c r="T94" s="36">
        <v>6.0</v>
      </c>
      <c r="U94" s="36">
        <v>7.0</v>
      </c>
      <c r="V94" s="36">
        <v>51.0</v>
      </c>
      <c r="W94" s="36">
        <v>1.0</v>
      </c>
      <c r="X94" s="36">
        <v>11.0</v>
      </c>
      <c r="Y94" s="36">
        <v>76.0</v>
      </c>
    </row>
    <row r="95">
      <c r="A95" s="32" t="s">
        <v>1796</v>
      </c>
      <c r="B95" s="32" t="s">
        <v>1796</v>
      </c>
      <c r="C95" s="32" t="s">
        <v>1797</v>
      </c>
      <c r="D95" s="32" t="s">
        <v>1798</v>
      </c>
      <c r="E95" s="32" t="s">
        <v>5073</v>
      </c>
      <c r="F95" s="32" t="e">
        <v>#N/A</v>
      </c>
      <c r="G95" s="39"/>
      <c r="H95" s="32" t="s">
        <v>1799</v>
      </c>
      <c r="I95" s="32" t="s">
        <v>5073</v>
      </c>
      <c r="J95" s="32" t="s">
        <v>1800</v>
      </c>
      <c r="K95" s="33" t="s">
        <v>1801</v>
      </c>
      <c r="L95" s="32">
        <v>3.2784001E7</v>
      </c>
      <c r="M95" s="32" t="s">
        <v>1802</v>
      </c>
      <c r="N95" s="32" t="s">
        <v>5109</v>
      </c>
      <c r="O95" s="32" t="s">
        <v>52</v>
      </c>
      <c r="P95" s="32">
        <v>31999.0</v>
      </c>
      <c r="Q95" s="34">
        <v>28799.0</v>
      </c>
      <c r="R95" s="40">
        <v>30399.0</v>
      </c>
      <c r="S95" s="35">
        <v>26879.16</v>
      </c>
      <c r="T95" s="36">
        <v>50.0</v>
      </c>
      <c r="U95" s="36">
        <v>11.0</v>
      </c>
      <c r="V95" s="36">
        <v>15.0</v>
      </c>
      <c r="W95" s="36">
        <v>0.0</v>
      </c>
      <c r="X95" s="36">
        <v>0.0</v>
      </c>
      <c r="Y95" s="36">
        <v>76.0</v>
      </c>
    </row>
    <row r="96">
      <c r="A96" s="32" t="s">
        <v>2981</v>
      </c>
      <c r="B96" s="32" t="s">
        <v>2981</v>
      </c>
      <c r="C96" s="32" t="s">
        <v>2982</v>
      </c>
      <c r="D96" s="32" t="s">
        <v>2983</v>
      </c>
      <c r="E96" s="32" t="s">
        <v>5073</v>
      </c>
      <c r="F96" s="32" t="e">
        <v>#N/A</v>
      </c>
      <c r="G96" s="39"/>
      <c r="H96" s="32" t="s">
        <v>2981</v>
      </c>
      <c r="I96" s="32" t="s">
        <v>5073</v>
      </c>
      <c r="J96" s="32" t="s">
        <v>2981</v>
      </c>
      <c r="K96" s="33" t="s">
        <v>2984</v>
      </c>
      <c r="L96" s="32" t="e">
        <v>#N/A</v>
      </c>
      <c r="M96" s="32" t="e">
        <v>#N/A</v>
      </c>
      <c r="N96" s="32" t="s">
        <v>5088</v>
      </c>
      <c r="O96" s="32" t="s">
        <v>4730</v>
      </c>
      <c r="P96" s="32">
        <v>2989.0</v>
      </c>
      <c r="Q96" s="34">
        <v>2699.0</v>
      </c>
      <c r="R96" s="40">
        <v>2699.0</v>
      </c>
      <c r="S96" s="35">
        <v>2391.2</v>
      </c>
      <c r="T96" s="36">
        <v>9.0</v>
      </c>
      <c r="U96" s="36">
        <v>2.0</v>
      </c>
      <c r="V96" s="36">
        <v>46.0</v>
      </c>
      <c r="W96" s="36">
        <v>17.0</v>
      </c>
      <c r="X96" s="36">
        <v>1.0</v>
      </c>
      <c r="Y96" s="36">
        <v>75.0</v>
      </c>
    </row>
    <row r="97">
      <c r="A97" s="32" t="s">
        <v>387</v>
      </c>
      <c r="B97" s="32" t="s">
        <v>387</v>
      </c>
      <c r="C97" s="32" t="s">
        <v>388</v>
      </c>
      <c r="D97" s="32" t="s">
        <v>389</v>
      </c>
      <c r="E97" s="32" t="s">
        <v>5073</v>
      </c>
      <c r="F97" s="32" t="e">
        <v>#N/A</v>
      </c>
      <c r="G97" s="39"/>
      <c r="H97" s="32" t="s">
        <v>390</v>
      </c>
      <c r="I97" s="32" t="s">
        <v>5073</v>
      </c>
      <c r="J97" s="32" t="s">
        <v>391</v>
      </c>
      <c r="K97" s="33" t="s">
        <v>392</v>
      </c>
      <c r="L97" s="32">
        <v>3.1999077E7</v>
      </c>
      <c r="M97" s="32" t="s">
        <v>393</v>
      </c>
      <c r="N97" s="32" t="s">
        <v>51</v>
      </c>
      <c r="O97" s="32" t="s">
        <v>52</v>
      </c>
      <c r="P97" s="32">
        <v>17999.0</v>
      </c>
      <c r="Q97" s="34">
        <v>14579.0</v>
      </c>
      <c r="R97" s="40">
        <v>15699.0</v>
      </c>
      <c r="S97" s="35">
        <v>13679.24</v>
      </c>
      <c r="T97" s="36">
        <v>25.0</v>
      </c>
      <c r="U97" s="36">
        <v>5.0</v>
      </c>
      <c r="V97" s="36">
        <v>13.0</v>
      </c>
      <c r="W97" s="36">
        <v>17.0</v>
      </c>
      <c r="X97" s="36">
        <v>14.0</v>
      </c>
      <c r="Y97" s="36">
        <v>74.0</v>
      </c>
    </row>
    <row r="98">
      <c r="A98" s="32" t="s">
        <v>2304</v>
      </c>
      <c r="B98" s="32" t="s">
        <v>2304</v>
      </c>
      <c r="C98" s="32" t="s">
        <v>2305</v>
      </c>
      <c r="D98" s="32" t="s">
        <v>2306</v>
      </c>
      <c r="E98" s="32" t="s">
        <v>5073</v>
      </c>
      <c r="F98" s="32" t="e">
        <v>#N/A</v>
      </c>
      <c r="G98" s="39"/>
      <c r="H98" s="32">
        <v>0.0</v>
      </c>
      <c r="I98" s="39"/>
      <c r="J98" s="32" t="s">
        <v>2307</v>
      </c>
      <c r="K98" s="33" t="s">
        <v>2308</v>
      </c>
      <c r="L98" s="32" t="e">
        <v>#N/A</v>
      </c>
      <c r="M98" s="32" t="e">
        <v>#N/A</v>
      </c>
      <c r="N98" s="32" t="s">
        <v>5077</v>
      </c>
      <c r="O98" s="32" t="s">
        <v>4730</v>
      </c>
      <c r="P98" s="32">
        <v>989.0</v>
      </c>
      <c r="Q98" s="34">
        <v>940.0</v>
      </c>
      <c r="R98" s="35">
        <v>940.0</v>
      </c>
      <c r="S98" s="35">
        <v>890.1</v>
      </c>
      <c r="T98" s="36">
        <v>6.0</v>
      </c>
      <c r="U98" s="36">
        <v>0.0</v>
      </c>
      <c r="V98" s="36">
        <v>19.0</v>
      </c>
      <c r="W98" s="36">
        <v>0.0</v>
      </c>
      <c r="X98" s="36">
        <v>47.0</v>
      </c>
      <c r="Y98" s="36">
        <v>72.0</v>
      </c>
    </row>
    <row r="99">
      <c r="A99" s="32" t="s">
        <v>2143</v>
      </c>
      <c r="B99" s="32" t="s">
        <v>2143</v>
      </c>
      <c r="C99" s="32" t="s">
        <v>2144</v>
      </c>
      <c r="D99" s="16" t="s">
        <v>2145</v>
      </c>
      <c r="E99" s="32" t="s">
        <v>5110</v>
      </c>
      <c r="F99" s="32" t="e">
        <v>#N/A</v>
      </c>
      <c r="G99" s="32" t="e">
        <v>#N/A</v>
      </c>
      <c r="H99" s="32" t="s">
        <v>2145</v>
      </c>
      <c r="I99" s="32" t="s">
        <v>5102</v>
      </c>
      <c r="J99" s="32" t="s">
        <v>5111</v>
      </c>
      <c r="K99" s="33" t="s">
        <v>2146</v>
      </c>
      <c r="L99" s="32" t="e">
        <v>#N/A</v>
      </c>
      <c r="M99" s="32" t="e">
        <v>#N/A</v>
      </c>
      <c r="N99" s="32" t="s">
        <v>5103</v>
      </c>
      <c r="O99" s="32" t="s">
        <v>4730</v>
      </c>
      <c r="P99" s="32">
        <v>4999.0</v>
      </c>
      <c r="Q99" s="34">
        <v>3999.0</v>
      </c>
      <c r="R99" s="40">
        <v>4599.0</v>
      </c>
      <c r="S99" s="35">
        <v>3749.25</v>
      </c>
      <c r="T99" s="36">
        <v>0.0</v>
      </c>
      <c r="U99" s="36">
        <v>0.0</v>
      </c>
      <c r="V99" s="36">
        <v>70.0</v>
      </c>
      <c r="W99" s="36">
        <v>0.0</v>
      </c>
      <c r="X99" s="36">
        <v>0.0</v>
      </c>
      <c r="Y99" s="36">
        <v>70.0</v>
      </c>
    </row>
    <row r="100">
      <c r="A100" s="32" t="s">
        <v>1580</v>
      </c>
      <c r="B100" s="32" t="s">
        <v>1580</v>
      </c>
      <c r="C100" s="32" t="s">
        <v>1581</v>
      </c>
      <c r="D100" s="32" t="s">
        <v>1582</v>
      </c>
      <c r="E100" s="32" t="s">
        <v>5073</v>
      </c>
      <c r="F100" s="32" t="e">
        <v>#N/A</v>
      </c>
      <c r="G100" s="39"/>
      <c r="H100" s="32" t="s">
        <v>1580</v>
      </c>
      <c r="I100" s="32" t="s">
        <v>5073</v>
      </c>
      <c r="J100" s="32" t="s">
        <v>1580</v>
      </c>
      <c r="K100" s="33" t="s">
        <v>1583</v>
      </c>
      <c r="L100" s="32">
        <v>3.1999078E7</v>
      </c>
      <c r="M100" s="32" t="s">
        <v>1584</v>
      </c>
      <c r="N100" s="32" t="s">
        <v>5112</v>
      </c>
      <c r="O100" s="32" t="s">
        <v>52</v>
      </c>
      <c r="P100" s="32">
        <v>22999.0</v>
      </c>
      <c r="Q100" s="34">
        <v>20699.0</v>
      </c>
      <c r="R100" s="40">
        <v>21799.0</v>
      </c>
      <c r="S100" s="35">
        <v>17709.23</v>
      </c>
      <c r="T100" s="36">
        <v>41.0</v>
      </c>
      <c r="U100" s="36">
        <v>6.0</v>
      </c>
      <c r="V100" s="36">
        <v>18.0</v>
      </c>
      <c r="W100" s="36">
        <v>1.0</v>
      </c>
      <c r="X100" s="36">
        <v>4.0</v>
      </c>
      <c r="Y100" s="36">
        <v>70.0</v>
      </c>
    </row>
    <row r="101">
      <c r="A101" s="32" t="s">
        <v>1160</v>
      </c>
      <c r="B101" s="32" t="s">
        <v>1160</v>
      </c>
      <c r="C101" s="32">
        <v>0.0</v>
      </c>
      <c r="D101" s="32" t="s">
        <v>1161</v>
      </c>
      <c r="E101" s="39"/>
      <c r="F101" s="32" t="e">
        <v>#N/A</v>
      </c>
      <c r="G101" s="39"/>
      <c r="H101" s="32" t="s">
        <v>1162</v>
      </c>
      <c r="I101" s="39"/>
      <c r="J101" s="32" t="s">
        <v>1163</v>
      </c>
      <c r="K101" s="33" t="e">
        <v>#N/A</v>
      </c>
      <c r="L101" s="32" t="e">
        <v>#N/A</v>
      </c>
      <c r="M101" s="32" t="s">
        <v>1164</v>
      </c>
      <c r="N101" s="32" t="s">
        <v>5113</v>
      </c>
      <c r="O101" s="32" t="s">
        <v>5114</v>
      </c>
      <c r="P101" s="32">
        <v>2989.0</v>
      </c>
      <c r="Q101" s="34">
        <v>2690.0</v>
      </c>
      <c r="R101" s="40">
        <v>2699.0</v>
      </c>
      <c r="S101" s="35">
        <v>2690.0</v>
      </c>
      <c r="T101" s="36">
        <v>4.0</v>
      </c>
      <c r="U101" s="36">
        <v>4.0</v>
      </c>
      <c r="V101" s="36">
        <v>55.0</v>
      </c>
      <c r="W101" s="36">
        <v>1.0</v>
      </c>
      <c r="X101" s="36">
        <v>6.0</v>
      </c>
      <c r="Y101" s="36">
        <v>70.0</v>
      </c>
    </row>
    <row r="102">
      <c r="A102" s="32" t="s">
        <v>925</v>
      </c>
      <c r="B102" s="32" t="s">
        <v>925</v>
      </c>
      <c r="C102" s="32" t="s">
        <v>926</v>
      </c>
      <c r="D102" s="32" t="s">
        <v>927</v>
      </c>
      <c r="E102" s="32" t="s">
        <v>5073</v>
      </c>
      <c r="F102" s="32" t="s">
        <v>927</v>
      </c>
      <c r="G102" s="32" t="s">
        <v>5073</v>
      </c>
      <c r="H102" s="32" t="s">
        <v>5115</v>
      </c>
      <c r="I102" s="32" t="s">
        <v>5102</v>
      </c>
      <c r="J102" s="32" t="s">
        <v>929</v>
      </c>
      <c r="K102" s="33" t="s">
        <v>930</v>
      </c>
      <c r="L102" s="32">
        <v>3.1999057E7</v>
      </c>
      <c r="M102" s="32" t="s">
        <v>931</v>
      </c>
      <c r="N102" s="32" t="s">
        <v>5108</v>
      </c>
      <c r="O102" s="32" t="s">
        <v>52</v>
      </c>
      <c r="P102" s="32">
        <v>17799.0</v>
      </c>
      <c r="Q102" s="34">
        <v>14951.0</v>
      </c>
      <c r="R102" s="40">
        <v>15999.0</v>
      </c>
      <c r="S102" s="35">
        <v>14239.2</v>
      </c>
      <c r="T102" s="36">
        <v>28.0</v>
      </c>
      <c r="U102" s="36">
        <v>0.0</v>
      </c>
      <c r="V102" s="36">
        <v>41.0</v>
      </c>
      <c r="W102" s="36">
        <v>0.0</v>
      </c>
      <c r="X102" s="36">
        <v>0.0</v>
      </c>
      <c r="Y102" s="36">
        <v>69.0</v>
      </c>
    </row>
    <row r="103">
      <c r="A103" s="32" t="s">
        <v>2209</v>
      </c>
      <c r="B103" s="32" t="s">
        <v>2209</v>
      </c>
      <c r="C103" s="32" t="s">
        <v>2210</v>
      </c>
      <c r="D103" s="32" t="s">
        <v>2211</v>
      </c>
      <c r="E103" s="32" t="s">
        <v>5073</v>
      </c>
      <c r="F103" s="32" t="e">
        <v>#N/A</v>
      </c>
      <c r="G103" s="39"/>
      <c r="H103" s="32" t="s">
        <v>2212</v>
      </c>
      <c r="I103" s="32" t="s">
        <v>5073</v>
      </c>
      <c r="J103" s="32" t="s">
        <v>2213</v>
      </c>
      <c r="K103" s="33" t="s">
        <v>2214</v>
      </c>
      <c r="L103" s="32">
        <v>3.1862332E7</v>
      </c>
      <c r="M103" s="32" t="e">
        <v>#N/A</v>
      </c>
      <c r="N103" s="32" t="s">
        <v>5077</v>
      </c>
      <c r="O103" s="32" t="s">
        <v>4730</v>
      </c>
      <c r="P103" s="32">
        <v>789.0</v>
      </c>
      <c r="Q103" s="34">
        <v>750.0</v>
      </c>
      <c r="R103" s="35">
        <v>750.0</v>
      </c>
      <c r="S103" s="35">
        <v>710.1</v>
      </c>
      <c r="T103" s="36">
        <v>2.0</v>
      </c>
      <c r="U103" s="36">
        <v>0.0</v>
      </c>
      <c r="V103" s="36">
        <v>62.0</v>
      </c>
      <c r="W103" s="36">
        <v>0.0</v>
      </c>
      <c r="X103" s="36">
        <v>5.0</v>
      </c>
      <c r="Y103" s="36">
        <v>69.0</v>
      </c>
    </row>
    <row r="104">
      <c r="A104" s="32" t="s">
        <v>3106</v>
      </c>
      <c r="B104" s="32" t="s">
        <v>3106</v>
      </c>
      <c r="C104" s="32" t="s">
        <v>3107</v>
      </c>
      <c r="D104" s="32" t="s">
        <v>3108</v>
      </c>
      <c r="E104" s="32" t="s">
        <v>5073</v>
      </c>
      <c r="F104" s="32" t="e">
        <v>#N/A</v>
      </c>
      <c r="G104" s="39"/>
      <c r="H104" s="32">
        <v>0.0</v>
      </c>
      <c r="I104" s="39"/>
      <c r="J104" s="32" t="s">
        <v>3109</v>
      </c>
      <c r="K104" s="33" t="s">
        <v>3110</v>
      </c>
      <c r="L104" s="32" t="e">
        <v>#N/A</v>
      </c>
      <c r="M104" s="32" t="e">
        <v>#N/A</v>
      </c>
      <c r="N104" s="32" t="s">
        <v>5087</v>
      </c>
      <c r="O104" s="32" t="s">
        <v>4730</v>
      </c>
      <c r="P104" s="32">
        <v>1989.0</v>
      </c>
      <c r="Q104" s="34">
        <v>1668.0</v>
      </c>
      <c r="R104" s="40">
        <v>1699.0</v>
      </c>
      <c r="S104" s="35">
        <v>1690.65</v>
      </c>
      <c r="T104" s="36">
        <v>23.0</v>
      </c>
      <c r="U104" s="36">
        <v>0.0</v>
      </c>
      <c r="V104" s="36">
        <v>45.0</v>
      </c>
      <c r="W104" s="36">
        <v>0.0</v>
      </c>
      <c r="X104" s="36">
        <v>0.0</v>
      </c>
      <c r="Y104" s="36">
        <v>68.0</v>
      </c>
    </row>
    <row r="105">
      <c r="A105" s="32" t="s">
        <v>2917</v>
      </c>
      <c r="B105" s="32" t="s">
        <v>2917</v>
      </c>
      <c r="C105" s="32" t="s">
        <v>2918</v>
      </c>
      <c r="D105" s="32" t="s">
        <v>2920</v>
      </c>
      <c r="E105" s="32" t="s">
        <v>5073</v>
      </c>
      <c r="F105" s="32" t="e">
        <v>#N/A</v>
      </c>
      <c r="G105" s="32" t="e">
        <v>#N/A</v>
      </c>
      <c r="H105" s="32" t="s">
        <v>2921</v>
      </c>
      <c r="I105" s="32" t="s">
        <v>5073</v>
      </c>
      <c r="J105" s="32" t="s">
        <v>2922</v>
      </c>
      <c r="K105" s="33" t="s">
        <v>2923</v>
      </c>
      <c r="L105" s="32" t="e">
        <v>#N/A</v>
      </c>
      <c r="M105" s="32" t="e">
        <v>#N/A</v>
      </c>
      <c r="N105" s="32" t="s">
        <v>5116</v>
      </c>
      <c r="O105" s="32" t="s">
        <v>4730</v>
      </c>
      <c r="P105" s="32">
        <v>3599.0</v>
      </c>
      <c r="Q105" s="34">
        <v>3099.0</v>
      </c>
      <c r="R105" s="40">
        <v>3099.0</v>
      </c>
      <c r="S105" s="35">
        <v>3059.15</v>
      </c>
      <c r="T105" s="36">
        <v>7.0</v>
      </c>
      <c r="U105" s="36">
        <v>9.0</v>
      </c>
      <c r="V105" s="36">
        <v>50.0</v>
      </c>
      <c r="W105" s="36">
        <v>1.0</v>
      </c>
      <c r="X105" s="36">
        <v>0.0</v>
      </c>
      <c r="Y105" s="36">
        <v>67.0</v>
      </c>
    </row>
    <row r="106">
      <c r="A106" s="32" t="s">
        <v>4996</v>
      </c>
      <c r="B106" s="32" t="s">
        <v>4996</v>
      </c>
      <c r="C106" s="32" t="s">
        <v>4997</v>
      </c>
      <c r="D106" s="32" t="s">
        <v>4998</v>
      </c>
      <c r="E106" s="32" t="s">
        <v>5102</v>
      </c>
      <c r="F106" s="38"/>
      <c r="G106" s="38"/>
      <c r="H106" s="38"/>
      <c r="I106" s="38"/>
      <c r="J106" s="32" t="s">
        <v>4999</v>
      </c>
      <c r="K106" s="38"/>
      <c r="L106" s="38"/>
      <c r="M106" s="38"/>
      <c r="N106" s="32" t="s">
        <v>5077</v>
      </c>
      <c r="O106" s="32" t="s">
        <v>4730</v>
      </c>
      <c r="P106" s="32">
        <v>1499.0</v>
      </c>
      <c r="Q106" s="44">
        <v>1424.0</v>
      </c>
      <c r="R106" s="40">
        <v>1424.0</v>
      </c>
      <c r="S106" s="35">
        <v>1349.1</v>
      </c>
      <c r="T106" s="36">
        <v>23.0</v>
      </c>
      <c r="U106" s="36">
        <v>0.0</v>
      </c>
      <c r="V106" s="36">
        <v>44.0</v>
      </c>
      <c r="W106" s="36">
        <v>0.0</v>
      </c>
      <c r="X106" s="36">
        <v>0.0</v>
      </c>
      <c r="Y106" s="36">
        <v>67.0</v>
      </c>
    </row>
    <row r="107">
      <c r="A107" s="32" t="s">
        <v>3144</v>
      </c>
      <c r="B107" s="32" t="s">
        <v>3144</v>
      </c>
      <c r="C107" s="32" t="s">
        <v>3145</v>
      </c>
      <c r="D107" s="32" t="s">
        <v>3146</v>
      </c>
      <c r="E107" s="32" t="s">
        <v>5073</v>
      </c>
      <c r="F107" s="32" t="e">
        <v>#N/A</v>
      </c>
      <c r="G107" s="39"/>
      <c r="H107" s="32">
        <v>0.0</v>
      </c>
      <c r="I107" s="39"/>
      <c r="J107" s="32" t="s">
        <v>3147</v>
      </c>
      <c r="K107" s="33" t="s">
        <v>3148</v>
      </c>
      <c r="L107" s="32" t="e">
        <v>#N/A</v>
      </c>
      <c r="M107" s="32" t="e">
        <v>#N/A</v>
      </c>
      <c r="N107" s="32" t="s">
        <v>5087</v>
      </c>
      <c r="O107" s="32" t="s">
        <v>4730</v>
      </c>
      <c r="P107" s="32">
        <v>2689.0</v>
      </c>
      <c r="Q107" s="34">
        <v>2268.0</v>
      </c>
      <c r="R107" s="40">
        <v>2299.0</v>
      </c>
      <c r="S107" s="35">
        <v>2285.65</v>
      </c>
      <c r="T107" s="36">
        <v>9.0</v>
      </c>
      <c r="U107" s="36">
        <v>6.0</v>
      </c>
      <c r="V107" s="36">
        <v>51.0</v>
      </c>
      <c r="W107" s="36">
        <v>0.0</v>
      </c>
      <c r="X107" s="36">
        <v>0.0</v>
      </c>
      <c r="Y107" s="36">
        <v>66.0</v>
      </c>
    </row>
    <row r="108">
      <c r="A108" s="32" t="s">
        <v>3455</v>
      </c>
      <c r="B108" s="32" t="s">
        <v>3455</v>
      </c>
      <c r="C108" s="32" t="s">
        <v>3456</v>
      </c>
      <c r="D108" s="32" t="s">
        <v>3457</v>
      </c>
      <c r="E108" s="32" t="s">
        <v>5073</v>
      </c>
      <c r="F108" s="32" t="s">
        <v>3458</v>
      </c>
      <c r="G108" s="32" t="s">
        <v>5073</v>
      </c>
      <c r="H108" s="32" t="s">
        <v>3455</v>
      </c>
      <c r="I108" s="32" t="s">
        <v>5073</v>
      </c>
      <c r="J108" s="32" t="s">
        <v>3459</v>
      </c>
      <c r="K108" s="33" t="s">
        <v>3460</v>
      </c>
      <c r="L108" s="32" t="e">
        <v>#N/A</v>
      </c>
      <c r="M108" s="32" t="e">
        <v>#N/A</v>
      </c>
      <c r="N108" s="32" t="s">
        <v>5078</v>
      </c>
      <c r="O108" s="32" t="s">
        <v>4730</v>
      </c>
      <c r="P108" s="32">
        <v>549.0</v>
      </c>
      <c r="Q108" s="34">
        <v>543.51</v>
      </c>
      <c r="R108" s="35">
        <v>549.0</v>
      </c>
      <c r="S108" s="35">
        <v>521.55</v>
      </c>
      <c r="T108" s="36">
        <v>0.0</v>
      </c>
      <c r="U108" s="36">
        <v>0.0</v>
      </c>
      <c r="V108" s="36">
        <v>45.0</v>
      </c>
      <c r="W108" s="36">
        <v>10.0</v>
      </c>
      <c r="X108" s="36">
        <v>10.0</v>
      </c>
      <c r="Y108" s="36">
        <v>65.0</v>
      </c>
    </row>
    <row r="109">
      <c r="A109" s="32" t="s">
        <v>3901</v>
      </c>
      <c r="B109" s="32" t="s">
        <v>3901</v>
      </c>
      <c r="C109" s="32" t="s">
        <v>3902</v>
      </c>
      <c r="D109" s="32" t="s">
        <v>3903</v>
      </c>
      <c r="E109" s="32" t="s">
        <v>5073</v>
      </c>
      <c r="F109" s="32" t="e">
        <v>#N/A</v>
      </c>
      <c r="G109" s="39"/>
      <c r="H109" s="32">
        <v>0.0</v>
      </c>
      <c r="I109" s="39"/>
      <c r="J109" s="32" t="s">
        <v>3904</v>
      </c>
      <c r="K109" s="33" t="s">
        <v>3905</v>
      </c>
      <c r="L109" s="32" t="e">
        <v>#N/A</v>
      </c>
      <c r="M109" s="32" t="e">
        <v>#N/A</v>
      </c>
      <c r="N109" s="32" t="s">
        <v>4727</v>
      </c>
      <c r="O109" s="32" t="s">
        <v>4727</v>
      </c>
      <c r="P109" s="32">
        <v>1999.0</v>
      </c>
      <c r="Q109" s="34">
        <v>1599.0</v>
      </c>
      <c r="R109" s="40">
        <v>1599.0</v>
      </c>
      <c r="S109" s="35">
        <v>1499.25</v>
      </c>
      <c r="T109" s="36">
        <v>0.0</v>
      </c>
      <c r="U109" s="36">
        <v>0.0</v>
      </c>
      <c r="V109" s="36">
        <v>63.0</v>
      </c>
      <c r="W109" s="36">
        <v>0.0</v>
      </c>
      <c r="X109" s="36">
        <v>2.0</v>
      </c>
      <c r="Y109" s="36">
        <v>65.0</v>
      </c>
    </row>
    <row r="110">
      <c r="A110" s="32" t="s">
        <v>4619</v>
      </c>
      <c r="B110" s="32" t="s">
        <v>4619</v>
      </c>
      <c r="C110" s="32" t="s">
        <v>4620</v>
      </c>
      <c r="D110" s="32" t="s">
        <v>4621</v>
      </c>
      <c r="E110" s="32" t="s">
        <v>5073</v>
      </c>
      <c r="F110" s="32" t="e">
        <v>#N/A</v>
      </c>
      <c r="G110" s="39"/>
      <c r="H110" s="32">
        <v>0.0</v>
      </c>
      <c r="I110" s="39"/>
      <c r="J110" s="32" t="s">
        <v>4622</v>
      </c>
      <c r="K110" s="33" t="s">
        <v>4623</v>
      </c>
      <c r="L110" s="32" t="e">
        <v>#N/A</v>
      </c>
      <c r="M110" s="32" t="e">
        <v>#N/A</v>
      </c>
      <c r="N110" s="32" t="s">
        <v>5077</v>
      </c>
      <c r="O110" s="32" t="s">
        <v>4730</v>
      </c>
      <c r="P110" s="32">
        <v>1699.0</v>
      </c>
      <c r="Q110" s="34">
        <v>1614.0</v>
      </c>
      <c r="R110" s="40">
        <v>1614.0</v>
      </c>
      <c r="S110" s="35">
        <v>1529.1</v>
      </c>
      <c r="T110" s="36">
        <v>6.0</v>
      </c>
      <c r="U110" s="36">
        <v>0.0</v>
      </c>
      <c r="V110" s="36">
        <v>58.0</v>
      </c>
      <c r="W110" s="36">
        <v>0.0</v>
      </c>
      <c r="X110" s="36">
        <v>0.0</v>
      </c>
      <c r="Y110" s="36">
        <v>64.0</v>
      </c>
    </row>
    <row r="111">
      <c r="A111" s="32" t="s">
        <v>379</v>
      </c>
      <c r="B111" s="32" t="s">
        <v>379</v>
      </c>
      <c r="C111" s="32" t="s">
        <v>380</v>
      </c>
      <c r="D111" s="32" t="s">
        <v>381</v>
      </c>
      <c r="E111" s="32" t="s">
        <v>5073</v>
      </c>
      <c r="F111" s="32" t="s">
        <v>382</v>
      </c>
      <c r="G111" s="32" t="s">
        <v>5117</v>
      </c>
      <c r="H111" s="32" t="s">
        <v>383</v>
      </c>
      <c r="I111" s="32" t="s">
        <v>5073</v>
      </c>
      <c r="J111" s="32" t="s">
        <v>384</v>
      </c>
      <c r="K111" s="33" t="s">
        <v>385</v>
      </c>
      <c r="L111" s="32">
        <v>3.1999081E7</v>
      </c>
      <c r="M111" s="32" t="s">
        <v>386</v>
      </c>
      <c r="N111" s="32" t="s">
        <v>51</v>
      </c>
      <c r="O111" s="32" t="s">
        <v>52</v>
      </c>
      <c r="P111" s="32">
        <v>17499.0</v>
      </c>
      <c r="Q111" s="34">
        <v>14174.0</v>
      </c>
      <c r="R111" s="40">
        <v>15199.0</v>
      </c>
      <c r="S111" s="35">
        <v>13299.24</v>
      </c>
      <c r="T111" s="36">
        <v>17.0</v>
      </c>
      <c r="U111" s="36">
        <v>18.0</v>
      </c>
      <c r="V111" s="36">
        <v>18.0</v>
      </c>
      <c r="W111" s="36">
        <v>10.0</v>
      </c>
      <c r="X111" s="36">
        <v>0.0</v>
      </c>
      <c r="Y111" s="36">
        <v>63.0</v>
      </c>
    </row>
    <row r="112">
      <c r="A112" s="32" t="s">
        <v>2938</v>
      </c>
      <c r="B112" s="32" t="s">
        <v>2938</v>
      </c>
      <c r="C112" s="32" t="s">
        <v>2939</v>
      </c>
      <c r="D112" s="32" t="s">
        <v>2941</v>
      </c>
      <c r="E112" s="32" t="s">
        <v>5073</v>
      </c>
      <c r="F112" s="32" t="e">
        <v>#N/A</v>
      </c>
      <c r="G112" s="32" t="e">
        <v>#N/A</v>
      </c>
      <c r="H112" s="32" t="s">
        <v>2942</v>
      </c>
      <c r="I112" s="32" t="s">
        <v>5073</v>
      </c>
      <c r="J112" s="32" t="s">
        <v>2943</v>
      </c>
      <c r="K112" s="33" t="s">
        <v>2944</v>
      </c>
      <c r="L112" s="32" t="e">
        <v>#N/A</v>
      </c>
      <c r="M112" s="32" t="e">
        <v>#N/A</v>
      </c>
      <c r="N112" s="32" t="s">
        <v>5116</v>
      </c>
      <c r="O112" s="32" t="s">
        <v>4730</v>
      </c>
      <c r="P112" s="32">
        <v>3599.0</v>
      </c>
      <c r="Q112" s="34">
        <v>3099.0</v>
      </c>
      <c r="R112" s="40">
        <v>3099.0</v>
      </c>
      <c r="S112" s="35">
        <v>3059.15</v>
      </c>
      <c r="T112" s="36">
        <v>16.0</v>
      </c>
      <c r="U112" s="36">
        <v>5.0</v>
      </c>
      <c r="V112" s="36">
        <v>36.0</v>
      </c>
      <c r="W112" s="36">
        <v>0.0</v>
      </c>
      <c r="X112" s="36">
        <v>6.0</v>
      </c>
      <c r="Y112" s="36">
        <v>63.0</v>
      </c>
    </row>
    <row r="113">
      <c r="A113" s="32" t="s">
        <v>2889</v>
      </c>
      <c r="B113" s="32" t="s">
        <v>2889</v>
      </c>
      <c r="C113" s="32" t="s">
        <v>2890</v>
      </c>
      <c r="D113" s="32" t="s">
        <v>2891</v>
      </c>
      <c r="E113" s="32" t="s">
        <v>5073</v>
      </c>
      <c r="F113" s="32" t="e">
        <v>#N/A</v>
      </c>
      <c r="G113" s="39"/>
      <c r="H113" s="32" t="s">
        <v>2889</v>
      </c>
      <c r="I113" s="32" t="s">
        <v>5073</v>
      </c>
      <c r="J113" s="32" t="s">
        <v>2889</v>
      </c>
      <c r="K113" s="33" t="s">
        <v>2892</v>
      </c>
      <c r="L113" s="32">
        <v>3.1818376E7</v>
      </c>
      <c r="M113" s="32" t="e">
        <v>#N/A</v>
      </c>
      <c r="N113" s="32" t="s">
        <v>5107</v>
      </c>
      <c r="O113" s="32" t="s">
        <v>4730</v>
      </c>
      <c r="P113" s="32">
        <v>2489.0</v>
      </c>
      <c r="Q113" s="34">
        <v>2037.0</v>
      </c>
      <c r="R113" s="40">
        <v>2037.0</v>
      </c>
      <c r="S113" s="35">
        <v>1866.75</v>
      </c>
      <c r="T113" s="36">
        <v>8.0</v>
      </c>
      <c r="U113" s="36">
        <v>0.0</v>
      </c>
      <c r="V113" s="36">
        <v>37.0</v>
      </c>
      <c r="W113" s="36">
        <v>5.0</v>
      </c>
      <c r="X113" s="36">
        <v>12.0</v>
      </c>
      <c r="Y113" s="36">
        <v>62.0</v>
      </c>
    </row>
    <row r="114">
      <c r="A114" s="32" t="s">
        <v>2828</v>
      </c>
      <c r="B114" s="32" t="s">
        <v>2828</v>
      </c>
      <c r="C114" s="32" t="s">
        <v>2829</v>
      </c>
      <c r="D114" s="32" t="s">
        <v>2831</v>
      </c>
      <c r="E114" s="32" t="s">
        <v>5073</v>
      </c>
      <c r="F114" s="32" t="e">
        <v>#N/A</v>
      </c>
      <c r="G114" s="32" t="e">
        <v>#N/A</v>
      </c>
      <c r="H114" s="32" t="s">
        <v>2828</v>
      </c>
      <c r="I114" s="32" t="s">
        <v>5073</v>
      </c>
      <c r="J114" s="32" t="s">
        <v>2832</v>
      </c>
      <c r="K114" s="33" t="s">
        <v>2833</v>
      </c>
      <c r="L114" s="32">
        <v>3.1818466E7</v>
      </c>
      <c r="M114" s="32" t="s">
        <v>2834</v>
      </c>
      <c r="N114" s="32" t="s">
        <v>5107</v>
      </c>
      <c r="O114" s="32" t="s">
        <v>4730</v>
      </c>
      <c r="P114" s="32">
        <v>2189.0</v>
      </c>
      <c r="Q114" s="34">
        <v>1792.0</v>
      </c>
      <c r="R114" s="40">
        <v>1799.0</v>
      </c>
      <c r="S114" s="35">
        <v>1641.75</v>
      </c>
      <c r="T114" s="36">
        <v>0.0</v>
      </c>
      <c r="U114" s="36">
        <v>10.0</v>
      </c>
      <c r="V114" s="36">
        <v>47.0</v>
      </c>
      <c r="W114" s="36">
        <v>5.0</v>
      </c>
      <c r="X114" s="36">
        <v>0.0</v>
      </c>
      <c r="Y114" s="36">
        <v>62.0</v>
      </c>
    </row>
    <row r="115">
      <c r="A115" s="32" t="s">
        <v>3123</v>
      </c>
      <c r="B115" s="32" t="s">
        <v>3123</v>
      </c>
      <c r="C115" s="32" t="s">
        <v>3124</v>
      </c>
      <c r="D115" s="32" t="s">
        <v>3125</v>
      </c>
      <c r="E115" s="32" t="s">
        <v>5073</v>
      </c>
      <c r="F115" s="32" t="s">
        <v>3126</v>
      </c>
      <c r="G115" s="32" t="s">
        <v>5073</v>
      </c>
      <c r="H115" s="32" t="s">
        <v>3127</v>
      </c>
      <c r="I115" s="32" t="s">
        <v>5073</v>
      </c>
      <c r="J115" s="32" t="s">
        <v>3128</v>
      </c>
      <c r="K115" s="33" t="s">
        <v>3129</v>
      </c>
      <c r="L115" s="32">
        <v>3.1745303E7</v>
      </c>
      <c r="M115" s="32" t="s">
        <v>3130</v>
      </c>
      <c r="N115" s="32" t="s">
        <v>5087</v>
      </c>
      <c r="O115" s="32" t="s">
        <v>4730</v>
      </c>
      <c r="P115" s="32">
        <v>2489.0</v>
      </c>
      <c r="Q115" s="34">
        <v>2098.0</v>
      </c>
      <c r="R115" s="40">
        <v>2099.0</v>
      </c>
      <c r="S115" s="35">
        <v>1999.0</v>
      </c>
      <c r="T115" s="36">
        <v>19.0</v>
      </c>
      <c r="U115" s="36">
        <v>2.0</v>
      </c>
      <c r="V115" s="36">
        <v>39.0</v>
      </c>
      <c r="W115" s="36">
        <v>1.0</v>
      </c>
      <c r="X115" s="36">
        <v>0.0</v>
      </c>
      <c r="Y115" s="36">
        <v>61.0</v>
      </c>
    </row>
    <row r="116">
      <c r="A116" s="32" t="s">
        <v>1431</v>
      </c>
      <c r="B116" s="32" t="s">
        <v>1431</v>
      </c>
      <c r="C116" s="32" t="s">
        <v>1432</v>
      </c>
      <c r="D116" s="32" t="s">
        <v>1434</v>
      </c>
      <c r="E116" s="32" t="s">
        <v>5073</v>
      </c>
      <c r="F116" s="32" t="e">
        <v>#N/A</v>
      </c>
      <c r="G116" s="32" t="e">
        <v>#N/A</v>
      </c>
      <c r="H116" s="32" t="s">
        <v>1435</v>
      </c>
      <c r="I116" s="32" t="s">
        <v>5073</v>
      </c>
      <c r="J116" s="32" t="s">
        <v>1436</v>
      </c>
      <c r="K116" s="33" t="s">
        <v>1437</v>
      </c>
      <c r="L116" s="32">
        <v>3.181846E7</v>
      </c>
      <c r="M116" s="32" t="e">
        <v>#N/A</v>
      </c>
      <c r="N116" s="32" t="s">
        <v>5089</v>
      </c>
      <c r="O116" s="32" t="s">
        <v>4730</v>
      </c>
      <c r="P116" s="32">
        <v>2999.0</v>
      </c>
      <c r="Q116" s="34">
        <v>2449.0</v>
      </c>
      <c r="R116" s="40">
        <v>2449.0</v>
      </c>
      <c r="S116" s="35">
        <v>2399.2</v>
      </c>
      <c r="T116" s="36">
        <v>19.0</v>
      </c>
      <c r="U116" s="36">
        <v>8.0</v>
      </c>
      <c r="V116" s="36">
        <v>28.0</v>
      </c>
      <c r="W116" s="36">
        <v>0.0</v>
      </c>
      <c r="X116" s="36">
        <v>6.0</v>
      </c>
      <c r="Y116" s="36">
        <v>61.0</v>
      </c>
    </row>
    <row r="117">
      <c r="A117" s="32" t="s">
        <v>4137</v>
      </c>
      <c r="B117" s="32" t="s">
        <v>4137</v>
      </c>
      <c r="C117" s="32" t="s">
        <v>4138</v>
      </c>
      <c r="D117" s="32" t="s">
        <v>4139</v>
      </c>
      <c r="E117" s="32" t="s">
        <v>5073</v>
      </c>
      <c r="F117" s="32" t="e">
        <v>#N/A</v>
      </c>
      <c r="G117" s="38"/>
      <c r="H117" s="32">
        <v>0.0</v>
      </c>
      <c r="I117" s="39"/>
      <c r="J117" s="32" t="s">
        <v>4140</v>
      </c>
      <c r="K117" s="33" t="s">
        <v>4141</v>
      </c>
      <c r="L117" s="32" t="e">
        <v>#N/A</v>
      </c>
      <c r="M117" s="32" t="s">
        <v>4142</v>
      </c>
      <c r="N117" s="32" t="s">
        <v>5118</v>
      </c>
      <c r="O117" s="32" t="s">
        <v>52</v>
      </c>
      <c r="P117" s="32">
        <v>17199.0</v>
      </c>
      <c r="Q117" s="34">
        <v>15479.0</v>
      </c>
      <c r="R117" s="40">
        <v>16499.0</v>
      </c>
      <c r="S117" s="35">
        <v>15113.34</v>
      </c>
      <c r="T117" s="36">
        <v>10.0</v>
      </c>
      <c r="U117" s="36">
        <v>9.0</v>
      </c>
      <c r="V117" s="36">
        <v>39.0</v>
      </c>
      <c r="W117" s="36">
        <v>0.0</v>
      </c>
      <c r="X117" s="36">
        <v>2.0</v>
      </c>
      <c r="Y117" s="36">
        <v>60.0</v>
      </c>
    </row>
    <row r="118">
      <c r="A118" s="32" t="s">
        <v>522</v>
      </c>
      <c r="B118" s="32" t="s">
        <v>522</v>
      </c>
      <c r="C118" s="32" t="s">
        <v>523</v>
      </c>
      <c r="D118" s="32" t="s">
        <v>524</v>
      </c>
      <c r="E118" s="32" t="s">
        <v>5073</v>
      </c>
      <c r="F118" s="32" t="e">
        <v>#N/A</v>
      </c>
      <c r="G118" s="39"/>
      <c r="H118" s="32">
        <v>0.0</v>
      </c>
      <c r="I118" s="39"/>
      <c r="J118" s="32" t="s">
        <v>525</v>
      </c>
      <c r="K118" s="33" t="s">
        <v>526</v>
      </c>
      <c r="L118" s="32" t="e">
        <v>#N/A</v>
      </c>
      <c r="M118" s="32" t="s">
        <v>527</v>
      </c>
      <c r="N118" s="32" t="s">
        <v>51</v>
      </c>
      <c r="O118" s="32" t="s">
        <v>52</v>
      </c>
      <c r="P118" s="32">
        <v>11179.0</v>
      </c>
      <c r="Q118" s="34">
        <v>9055.0</v>
      </c>
      <c r="R118" s="40">
        <v>9699.0</v>
      </c>
      <c r="S118" s="35">
        <v>8496.04</v>
      </c>
      <c r="T118" s="36">
        <v>14.0</v>
      </c>
      <c r="U118" s="36">
        <v>6.0</v>
      </c>
      <c r="V118" s="36">
        <v>29.0</v>
      </c>
      <c r="W118" s="36">
        <v>6.0</v>
      </c>
      <c r="X118" s="36">
        <v>5.0</v>
      </c>
      <c r="Y118" s="36">
        <v>60.0</v>
      </c>
    </row>
    <row r="119">
      <c r="A119" s="32" t="s">
        <v>1170</v>
      </c>
      <c r="B119" s="32" t="s">
        <v>1170</v>
      </c>
      <c r="C119" s="32" t="s">
        <v>4768</v>
      </c>
      <c r="D119" s="32" t="s">
        <v>4769</v>
      </c>
      <c r="E119" s="32" t="s">
        <v>5073</v>
      </c>
      <c r="F119" s="32" t="e">
        <v>#N/A</v>
      </c>
      <c r="G119" s="39"/>
      <c r="H119" s="32" t="s">
        <v>1170</v>
      </c>
      <c r="I119" s="32" t="s">
        <v>5102</v>
      </c>
      <c r="J119" s="32" t="s">
        <v>1170</v>
      </c>
      <c r="K119" s="33" t="s">
        <v>4770</v>
      </c>
      <c r="L119" s="32" t="e">
        <v>#N/A</v>
      </c>
      <c r="M119" s="32" t="e">
        <v>#N/A</v>
      </c>
      <c r="N119" s="32" t="s">
        <v>1195</v>
      </c>
      <c r="O119" s="32" t="s">
        <v>5114</v>
      </c>
      <c r="P119" s="32">
        <v>2489.0</v>
      </c>
      <c r="Q119" s="34">
        <v>1788.0</v>
      </c>
      <c r="R119" s="40">
        <v>1799.0</v>
      </c>
      <c r="S119" s="35">
        <v>1742.3</v>
      </c>
      <c r="T119" s="36">
        <v>12.0</v>
      </c>
      <c r="U119" s="36">
        <v>0.0</v>
      </c>
      <c r="V119" s="36">
        <v>46.0</v>
      </c>
      <c r="W119" s="36">
        <v>0.0</v>
      </c>
      <c r="X119" s="36">
        <v>1.0</v>
      </c>
      <c r="Y119" s="36">
        <v>59.0</v>
      </c>
    </row>
    <row r="120">
      <c r="A120" s="32" t="s">
        <v>2924</v>
      </c>
      <c r="B120" s="32" t="s">
        <v>2924</v>
      </c>
      <c r="C120" s="32" t="s">
        <v>2925</v>
      </c>
      <c r="D120" s="32" t="s">
        <v>2927</v>
      </c>
      <c r="E120" s="32" t="s">
        <v>5073</v>
      </c>
      <c r="F120" s="32" t="e">
        <v>#N/A</v>
      </c>
      <c r="G120" s="32" t="e">
        <v>#N/A</v>
      </c>
      <c r="H120" s="32" t="s">
        <v>2928</v>
      </c>
      <c r="I120" s="32" t="s">
        <v>5073</v>
      </c>
      <c r="J120" s="32" t="s">
        <v>2929</v>
      </c>
      <c r="K120" s="33" t="s">
        <v>2930</v>
      </c>
      <c r="L120" s="32" t="e">
        <v>#N/A</v>
      </c>
      <c r="M120" s="32" t="e">
        <v>#N/A</v>
      </c>
      <c r="N120" s="32" t="s">
        <v>5116</v>
      </c>
      <c r="O120" s="32" t="s">
        <v>4730</v>
      </c>
      <c r="P120" s="32">
        <v>3599.0</v>
      </c>
      <c r="Q120" s="34">
        <v>3099.0</v>
      </c>
      <c r="R120" s="40">
        <v>3099.0</v>
      </c>
      <c r="S120" s="35">
        <v>3059.15</v>
      </c>
      <c r="T120" s="36">
        <v>5.0</v>
      </c>
      <c r="U120" s="36">
        <v>0.0</v>
      </c>
      <c r="V120" s="36">
        <v>48.0</v>
      </c>
      <c r="W120" s="36">
        <v>5.0</v>
      </c>
      <c r="X120" s="36">
        <v>1.0</v>
      </c>
      <c r="Y120" s="36">
        <v>59.0</v>
      </c>
    </row>
    <row r="121">
      <c r="A121" s="32" t="s">
        <v>2280</v>
      </c>
      <c r="B121" s="32" t="s">
        <v>2280</v>
      </c>
      <c r="C121" s="32" t="s">
        <v>2281</v>
      </c>
      <c r="D121" s="32" t="s">
        <v>2282</v>
      </c>
      <c r="E121" s="32" t="s">
        <v>5073</v>
      </c>
      <c r="F121" s="32" t="e">
        <v>#N/A</v>
      </c>
      <c r="G121" s="39"/>
      <c r="H121" s="32" t="s">
        <v>2283</v>
      </c>
      <c r="I121" s="32" t="s">
        <v>5073</v>
      </c>
      <c r="J121" s="32" t="s">
        <v>2284</v>
      </c>
      <c r="K121" s="33" t="s">
        <v>2285</v>
      </c>
      <c r="L121" s="32">
        <v>3.1862337E7</v>
      </c>
      <c r="M121" s="32" t="e">
        <v>#N/A</v>
      </c>
      <c r="N121" s="32" t="s">
        <v>5077</v>
      </c>
      <c r="O121" s="32" t="s">
        <v>4730</v>
      </c>
      <c r="P121" s="32">
        <v>1049.0</v>
      </c>
      <c r="Q121" s="34">
        <v>997.0</v>
      </c>
      <c r="R121" s="35">
        <v>999.0</v>
      </c>
      <c r="S121" s="35">
        <v>944.1</v>
      </c>
      <c r="T121" s="36">
        <v>0.0</v>
      </c>
      <c r="U121" s="36">
        <v>0.0</v>
      </c>
      <c r="V121" s="36">
        <v>58.0</v>
      </c>
      <c r="W121" s="36">
        <v>0.0</v>
      </c>
      <c r="X121" s="36">
        <v>0.0</v>
      </c>
      <c r="Y121" s="36">
        <v>58.0</v>
      </c>
    </row>
    <row r="122">
      <c r="A122" s="32" t="s">
        <v>3485</v>
      </c>
      <c r="B122" s="32" t="s">
        <v>3485</v>
      </c>
      <c r="C122" s="32" t="s">
        <v>3486</v>
      </c>
      <c r="D122" s="32" t="s">
        <v>3488</v>
      </c>
      <c r="E122" s="32" t="s">
        <v>5073</v>
      </c>
      <c r="F122" s="32" t="e">
        <v>#N/A</v>
      </c>
      <c r="G122" s="32" t="e">
        <v>#N/A</v>
      </c>
      <c r="H122" s="32" t="s">
        <v>3489</v>
      </c>
      <c r="I122" s="32" t="s">
        <v>5073</v>
      </c>
      <c r="J122" s="32" t="s">
        <v>3490</v>
      </c>
      <c r="K122" s="33" t="s">
        <v>3491</v>
      </c>
      <c r="L122" s="32" t="e">
        <v>#N/A</v>
      </c>
      <c r="M122" s="32" t="e">
        <v>#N/A</v>
      </c>
      <c r="N122" s="32" t="s">
        <v>5098</v>
      </c>
      <c r="O122" s="32" t="s">
        <v>4730</v>
      </c>
      <c r="P122" s="32">
        <v>899.0</v>
      </c>
      <c r="Q122" s="34">
        <v>809.0</v>
      </c>
      <c r="R122" s="35">
        <v>809.0</v>
      </c>
      <c r="S122" s="35">
        <v>764.15</v>
      </c>
      <c r="T122" s="36">
        <v>0.0</v>
      </c>
      <c r="U122" s="36">
        <v>1.0</v>
      </c>
      <c r="V122" s="36">
        <v>45.0</v>
      </c>
      <c r="W122" s="36">
        <v>6.0</v>
      </c>
      <c r="X122" s="36">
        <v>6.0</v>
      </c>
      <c r="Y122" s="36">
        <v>58.0</v>
      </c>
    </row>
    <row r="123">
      <c r="A123" s="32" t="s">
        <v>2931</v>
      </c>
      <c r="B123" s="32" t="s">
        <v>2931</v>
      </c>
      <c r="C123" s="32" t="s">
        <v>2932</v>
      </c>
      <c r="D123" s="32" t="s">
        <v>2934</v>
      </c>
      <c r="E123" s="32" t="s">
        <v>5073</v>
      </c>
      <c r="F123" s="32" t="e">
        <v>#N/A</v>
      </c>
      <c r="G123" s="32" t="e">
        <v>#N/A</v>
      </c>
      <c r="H123" s="32" t="s">
        <v>2935</v>
      </c>
      <c r="I123" s="32" t="s">
        <v>5073</v>
      </c>
      <c r="J123" s="32" t="s">
        <v>2936</v>
      </c>
      <c r="K123" s="33" t="s">
        <v>2937</v>
      </c>
      <c r="L123" s="32" t="e">
        <v>#N/A</v>
      </c>
      <c r="M123" s="32" t="e">
        <v>#N/A</v>
      </c>
      <c r="N123" s="32" t="s">
        <v>5116</v>
      </c>
      <c r="O123" s="32" t="s">
        <v>4730</v>
      </c>
      <c r="P123" s="32">
        <v>3599.0</v>
      </c>
      <c r="Q123" s="34">
        <v>3099.0</v>
      </c>
      <c r="R123" s="40">
        <v>3099.0</v>
      </c>
      <c r="S123" s="35">
        <v>3059.15</v>
      </c>
      <c r="T123" s="36">
        <v>7.0</v>
      </c>
      <c r="U123" s="36">
        <v>5.0</v>
      </c>
      <c r="V123" s="36">
        <v>37.0</v>
      </c>
      <c r="W123" s="36">
        <v>8.0</v>
      </c>
      <c r="X123" s="36">
        <v>0.0</v>
      </c>
      <c r="Y123" s="36">
        <v>57.0</v>
      </c>
    </row>
    <row r="124">
      <c r="A124" s="32" t="s">
        <v>2678</v>
      </c>
      <c r="B124" s="32" t="s">
        <v>2678</v>
      </c>
      <c r="C124" s="32">
        <v>0.0</v>
      </c>
      <c r="D124" s="32" t="e">
        <v>#N/A</v>
      </c>
      <c r="E124" s="39"/>
      <c r="F124" s="32" t="e">
        <v>#N/A</v>
      </c>
      <c r="G124" s="39"/>
      <c r="H124" s="32" t="e">
        <v>#N/A</v>
      </c>
      <c r="I124" s="39"/>
      <c r="J124" s="32">
        <v>0.0</v>
      </c>
      <c r="K124" s="33" t="e">
        <v>#N/A</v>
      </c>
      <c r="L124" s="32" t="e">
        <v>#N/A</v>
      </c>
      <c r="M124" s="32" t="e">
        <v>#N/A</v>
      </c>
      <c r="N124" s="32" t="e">
        <v>#N/A</v>
      </c>
      <c r="O124" s="32" t="e">
        <v>#N/A</v>
      </c>
      <c r="P124" s="32" t="e">
        <v>#REF!</v>
      </c>
      <c r="Q124" s="32" t="e">
        <v>#N/A</v>
      </c>
      <c r="R124" s="42" t="e">
        <v>#N/A</v>
      </c>
      <c r="S124" s="42" t="e">
        <v>#N/A</v>
      </c>
      <c r="T124" s="36">
        <v>37.0</v>
      </c>
      <c r="U124" s="36">
        <v>8.0</v>
      </c>
      <c r="V124" s="36">
        <v>7.0</v>
      </c>
      <c r="W124" s="36">
        <v>0.0</v>
      </c>
      <c r="X124" s="36">
        <v>5.0</v>
      </c>
      <c r="Y124" s="36">
        <v>57.0</v>
      </c>
    </row>
    <row r="125">
      <c r="A125" s="32" t="s">
        <v>2945</v>
      </c>
      <c r="B125" s="32" t="s">
        <v>2945</v>
      </c>
      <c r="C125" s="32" t="s">
        <v>2946</v>
      </c>
      <c r="D125" s="32" t="s">
        <v>2947</v>
      </c>
      <c r="E125" s="32" t="s">
        <v>5073</v>
      </c>
      <c r="F125" s="32" t="e">
        <v>#N/A</v>
      </c>
      <c r="G125" s="39"/>
      <c r="H125" s="32" t="s">
        <v>2948</v>
      </c>
      <c r="I125" s="32" t="s">
        <v>5073</v>
      </c>
      <c r="J125" s="32" t="s">
        <v>2949</v>
      </c>
      <c r="K125" s="33" t="s">
        <v>2950</v>
      </c>
      <c r="L125" s="32" t="e">
        <v>#N/A</v>
      </c>
      <c r="M125" s="32" t="e">
        <v>#N/A</v>
      </c>
      <c r="N125" s="32" t="s">
        <v>5088</v>
      </c>
      <c r="O125" s="32" t="s">
        <v>4730</v>
      </c>
      <c r="P125" s="32">
        <v>2089.0</v>
      </c>
      <c r="Q125" s="34">
        <v>1627.0</v>
      </c>
      <c r="R125" s="40">
        <v>1899.0</v>
      </c>
      <c r="S125" s="35">
        <v>1671.2</v>
      </c>
      <c r="T125" s="36">
        <v>14.0</v>
      </c>
      <c r="U125" s="36">
        <v>13.0</v>
      </c>
      <c r="V125" s="36">
        <v>26.0</v>
      </c>
      <c r="W125" s="36">
        <v>0.0</v>
      </c>
      <c r="X125" s="36">
        <v>2.0</v>
      </c>
      <c r="Y125" s="36">
        <v>55.0</v>
      </c>
    </row>
    <row r="126">
      <c r="A126" s="32" t="s">
        <v>3651</v>
      </c>
      <c r="B126" s="32" t="s">
        <v>3651</v>
      </c>
      <c r="C126" s="32" t="s">
        <v>3652</v>
      </c>
      <c r="D126" s="32" t="s">
        <v>3654</v>
      </c>
      <c r="E126" s="32" t="s">
        <v>5073</v>
      </c>
      <c r="F126" s="32" t="e">
        <v>#N/A</v>
      </c>
      <c r="G126" s="32" t="e">
        <v>#N/A</v>
      </c>
      <c r="H126" s="32" t="s">
        <v>3655</v>
      </c>
      <c r="I126" s="32" t="s">
        <v>5073</v>
      </c>
      <c r="J126" s="32" t="s">
        <v>3656</v>
      </c>
      <c r="K126" s="33" t="s">
        <v>3657</v>
      </c>
      <c r="L126" s="32" t="e">
        <v>#N/A</v>
      </c>
      <c r="M126" s="32" t="e">
        <v>#N/A</v>
      </c>
      <c r="N126" s="32" t="s">
        <v>5098</v>
      </c>
      <c r="O126" s="32" t="s">
        <v>4730</v>
      </c>
      <c r="P126" s="32">
        <v>999.0</v>
      </c>
      <c r="Q126" s="34">
        <v>899.0</v>
      </c>
      <c r="R126" s="35">
        <v>899.0</v>
      </c>
      <c r="S126" s="35">
        <v>849.15</v>
      </c>
      <c r="T126" s="36">
        <v>0.0</v>
      </c>
      <c r="U126" s="36">
        <v>0.0</v>
      </c>
      <c r="V126" s="36">
        <v>36.0</v>
      </c>
      <c r="W126" s="36">
        <v>6.0</v>
      </c>
      <c r="X126" s="36">
        <v>13.0</v>
      </c>
      <c r="Y126" s="36">
        <v>55.0</v>
      </c>
    </row>
    <row r="127">
      <c r="A127" s="32" t="s">
        <v>3131</v>
      </c>
      <c r="B127" s="32" t="s">
        <v>3131</v>
      </c>
      <c r="C127" s="32" t="s">
        <v>3132</v>
      </c>
      <c r="D127" s="32" t="s">
        <v>3133</v>
      </c>
      <c r="E127" s="32" t="s">
        <v>5073</v>
      </c>
      <c r="F127" s="32" t="e">
        <v>#N/A</v>
      </c>
      <c r="G127" s="32" t="e">
        <v>#N/A</v>
      </c>
      <c r="H127" s="32" t="s">
        <v>3134</v>
      </c>
      <c r="I127" s="32" t="s">
        <v>5073</v>
      </c>
      <c r="J127" s="32" t="s">
        <v>3135</v>
      </c>
      <c r="K127" s="33" t="s">
        <v>3136</v>
      </c>
      <c r="L127" s="32">
        <v>3.17453E7</v>
      </c>
      <c r="M127" s="32" t="e">
        <v>#N/A</v>
      </c>
      <c r="N127" s="32" t="s">
        <v>5087</v>
      </c>
      <c r="O127" s="32" t="s">
        <v>4730</v>
      </c>
      <c r="P127" s="32">
        <v>2489.0</v>
      </c>
      <c r="Q127" s="34">
        <v>2098.0</v>
      </c>
      <c r="R127" s="40">
        <v>2099.0</v>
      </c>
      <c r="S127" s="35">
        <v>1999.0</v>
      </c>
      <c r="T127" s="36">
        <v>2.0</v>
      </c>
      <c r="U127" s="36">
        <v>18.0</v>
      </c>
      <c r="V127" s="36">
        <v>34.0</v>
      </c>
      <c r="W127" s="36">
        <v>0.0</v>
      </c>
      <c r="X127" s="36">
        <v>0.0</v>
      </c>
      <c r="Y127" s="36">
        <v>54.0</v>
      </c>
    </row>
    <row r="128">
      <c r="A128" s="32" t="s">
        <v>2157</v>
      </c>
      <c r="B128" s="32" t="s">
        <v>2157</v>
      </c>
      <c r="C128" s="32" t="s">
        <v>2158</v>
      </c>
      <c r="D128" s="32" t="s">
        <v>2159</v>
      </c>
      <c r="E128" s="32" t="s">
        <v>5073</v>
      </c>
      <c r="F128" s="32" t="e">
        <v>#N/A</v>
      </c>
      <c r="G128" s="32" t="e">
        <v>#N/A</v>
      </c>
      <c r="H128" s="32" t="s">
        <v>5119</v>
      </c>
      <c r="I128" s="32" t="s">
        <v>5102</v>
      </c>
      <c r="J128" s="32" t="s">
        <v>2160</v>
      </c>
      <c r="K128" s="33" t="s">
        <v>2161</v>
      </c>
      <c r="L128" s="32" t="e">
        <v>#N/A</v>
      </c>
      <c r="M128" s="32" t="e">
        <v>#N/A</v>
      </c>
      <c r="N128" s="32" t="s">
        <v>5103</v>
      </c>
      <c r="O128" s="32" t="s">
        <v>4730</v>
      </c>
      <c r="P128" s="32">
        <v>6499.0</v>
      </c>
      <c r="Q128" s="34">
        <v>5199.0</v>
      </c>
      <c r="R128" s="40">
        <v>5899.0</v>
      </c>
      <c r="S128" s="35">
        <v>4874.25</v>
      </c>
      <c r="T128" s="36">
        <v>7.0</v>
      </c>
      <c r="U128" s="36">
        <v>0.0</v>
      </c>
      <c r="V128" s="36">
        <v>35.0</v>
      </c>
      <c r="W128" s="36">
        <v>0.0</v>
      </c>
      <c r="X128" s="36">
        <v>12.0</v>
      </c>
      <c r="Y128" s="36">
        <v>54.0</v>
      </c>
    </row>
    <row r="129">
      <c r="A129" s="32" t="s">
        <v>3271</v>
      </c>
      <c r="B129" s="32" t="s">
        <v>3271</v>
      </c>
      <c r="C129" s="32" t="s">
        <v>3272</v>
      </c>
      <c r="D129" s="32" t="s">
        <v>3273</v>
      </c>
      <c r="E129" s="32" t="s">
        <v>5073</v>
      </c>
      <c r="F129" s="32" t="e">
        <v>#N/A</v>
      </c>
      <c r="G129" s="39"/>
      <c r="H129" s="32" t="s">
        <v>3274</v>
      </c>
      <c r="I129" s="32" t="s">
        <v>5073</v>
      </c>
      <c r="J129" s="32" t="s">
        <v>3275</v>
      </c>
      <c r="K129" s="33" t="s">
        <v>3276</v>
      </c>
      <c r="L129" s="32">
        <v>3.1818398E7</v>
      </c>
      <c r="M129" s="32" t="e">
        <v>#N/A</v>
      </c>
      <c r="N129" s="32" t="s">
        <v>5086</v>
      </c>
      <c r="O129" s="32" t="s">
        <v>4730</v>
      </c>
      <c r="P129" s="32">
        <v>1989.0</v>
      </c>
      <c r="Q129" s="34">
        <v>1799.0</v>
      </c>
      <c r="R129" s="40">
        <v>1799.0</v>
      </c>
      <c r="S129" s="35">
        <v>1690.65</v>
      </c>
      <c r="T129" s="36">
        <v>0.0</v>
      </c>
      <c r="U129" s="36">
        <v>0.0</v>
      </c>
      <c r="V129" s="36">
        <v>54.0</v>
      </c>
      <c r="W129" s="36">
        <v>0.0</v>
      </c>
      <c r="X129" s="36">
        <v>0.0</v>
      </c>
      <c r="Y129" s="36">
        <v>54.0</v>
      </c>
    </row>
    <row r="130">
      <c r="A130" s="32" t="s">
        <v>2773</v>
      </c>
      <c r="B130" s="32" t="s">
        <v>2773</v>
      </c>
      <c r="C130" s="32" t="s">
        <v>2774</v>
      </c>
      <c r="D130" s="32" t="s">
        <v>2775</v>
      </c>
      <c r="E130" s="32" t="s">
        <v>5073</v>
      </c>
      <c r="F130" s="32" t="e">
        <v>#N/A</v>
      </c>
      <c r="G130" s="39"/>
      <c r="H130" s="32" t="s">
        <v>2773</v>
      </c>
      <c r="I130" s="32" t="s">
        <v>5073</v>
      </c>
      <c r="J130" s="32" t="s">
        <v>2773</v>
      </c>
      <c r="K130" s="33" t="s">
        <v>2776</v>
      </c>
      <c r="L130" s="32">
        <v>3.1818416E7</v>
      </c>
      <c r="M130" s="32" t="e">
        <v>#N/A</v>
      </c>
      <c r="N130" s="32" t="s">
        <v>5107</v>
      </c>
      <c r="O130" s="32" t="s">
        <v>4730</v>
      </c>
      <c r="P130" s="32">
        <v>2489.0</v>
      </c>
      <c r="Q130" s="34">
        <v>2037.0</v>
      </c>
      <c r="R130" s="40">
        <v>2037.0</v>
      </c>
      <c r="S130" s="35">
        <v>1866.75</v>
      </c>
      <c r="T130" s="36">
        <v>0.0</v>
      </c>
      <c r="U130" s="36">
        <v>12.0</v>
      </c>
      <c r="V130" s="36">
        <v>7.0</v>
      </c>
      <c r="W130" s="36">
        <v>14.0</v>
      </c>
      <c r="X130" s="36">
        <v>20.0</v>
      </c>
      <c r="Y130" s="36">
        <v>53.0</v>
      </c>
    </row>
    <row r="131">
      <c r="A131" s="32" t="s">
        <v>2739</v>
      </c>
      <c r="B131" s="32" t="s">
        <v>2739</v>
      </c>
      <c r="C131" s="32" t="s">
        <v>2740</v>
      </c>
      <c r="D131" s="32" t="s">
        <v>2741</v>
      </c>
      <c r="E131" s="32" t="s">
        <v>5073</v>
      </c>
      <c r="F131" s="32" t="e">
        <v>#N/A</v>
      </c>
      <c r="G131" s="39"/>
      <c r="H131" s="32" t="s">
        <v>2742</v>
      </c>
      <c r="I131" s="32" t="s">
        <v>5073</v>
      </c>
      <c r="J131" s="32" t="s">
        <v>2743</v>
      </c>
      <c r="K131" s="33" t="s">
        <v>2744</v>
      </c>
      <c r="L131" s="32">
        <v>3.1818469E7</v>
      </c>
      <c r="M131" s="32" t="e">
        <v>#N/A</v>
      </c>
      <c r="N131" s="32" t="s">
        <v>5107</v>
      </c>
      <c r="O131" s="32" t="s">
        <v>4730</v>
      </c>
      <c r="P131" s="32">
        <v>1989.0</v>
      </c>
      <c r="Q131" s="34">
        <v>1628.0</v>
      </c>
      <c r="R131" s="40">
        <v>1628.0</v>
      </c>
      <c r="S131" s="35">
        <v>1491.75</v>
      </c>
      <c r="T131" s="36">
        <v>15.0</v>
      </c>
      <c r="U131" s="36">
        <v>12.0</v>
      </c>
      <c r="V131" s="36">
        <v>16.0</v>
      </c>
      <c r="W131" s="36">
        <v>10.0</v>
      </c>
      <c r="X131" s="36">
        <v>0.0</v>
      </c>
      <c r="Y131" s="36">
        <v>53.0</v>
      </c>
    </row>
    <row r="132">
      <c r="A132" s="32" t="s">
        <v>4964</v>
      </c>
      <c r="B132" s="32" t="s">
        <v>4964</v>
      </c>
      <c r="C132" s="32" t="s">
        <v>4965</v>
      </c>
      <c r="D132" s="32" t="s">
        <v>4966</v>
      </c>
      <c r="E132" s="32" t="s">
        <v>5102</v>
      </c>
      <c r="F132" s="38"/>
      <c r="G132" s="38"/>
      <c r="H132" s="38"/>
      <c r="I132" s="38"/>
      <c r="J132" s="32" t="s">
        <v>4967</v>
      </c>
      <c r="K132" s="38"/>
      <c r="L132" s="38"/>
      <c r="M132" s="38"/>
      <c r="N132" s="32" t="s">
        <v>5077</v>
      </c>
      <c r="O132" s="32" t="s">
        <v>4730</v>
      </c>
      <c r="P132" s="32">
        <v>1499.0</v>
      </c>
      <c r="Q132" s="44">
        <v>1424.0</v>
      </c>
      <c r="R132" s="40">
        <v>1424.0</v>
      </c>
      <c r="S132" s="35">
        <v>1349.1</v>
      </c>
      <c r="T132" s="36">
        <v>12.0</v>
      </c>
      <c r="U132" s="36">
        <v>0.0</v>
      </c>
      <c r="V132" s="36">
        <v>40.0</v>
      </c>
      <c r="W132" s="36">
        <v>0.0</v>
      </c>
      <c r="X132" s="36">
        <v>0.0</v>
      </c>
      <c r="Y132" s="36">
        <v>52.0</v>
      </c>
    </row>
    <row r="133">
      <c r="A133" s="32" t="s">
        <v>2638</v>
      </c>
      <c r="B133" s="32" t="s">
        <v>2638</v>
      </c>
      <c r="C133" s="32" t="s">
        <v>2639</v>
      </c>
      <c r="D133" s="32" t="s">
        <v>2640</v>
      </c>
      <c r="E133" s="32" t="s">
        <v>5073</v>
      </c>
      <c r="F133" s="32" t="e">
        <v>#N/A</v>
      </c>
      <c r="G133" s="39"/>
      <c r="H133" s="32" t="s">
        <v>2641</v>
      </c>
      <c r="I133" s="32" t="s">
        <v>5073</v>
      </c>
      <c r="J133" s="32" t="s">
        <v>2642</v>
      </c>
      <c r="K133" s="33" t="s">
        <v>2643</v>
      </c>
      <c r="L133" s="32">
        <v>3.1818435E7</v>
      </c>
      <c r="M133" s="32" t="e">
        <v>#N/A</v>
      </c>
      <c r="N133" s="32" t="s">
        <v>5107</v>
      </c>
      <c r="O133" s="32" t="s">
        <v>4730</v>
      </c>
      <c r="P133" s="32">
        <v>1389.0</v>
      </c>
      <c r="Q133" s="34">
        <v>1138.0</v>
      </c>
      <c r="R133" s="40">
        <v>1138.0</v>
      </c>
      <c r="S133" s="35">
        <v>1041.75</v>
      </c>
      <c r="T133" s="36">
        <v>20.0</v>
      </c>
      <c r="U133" s="36">
        <v>16.0</v>
      </c>
      <c r="V133" s="36">
        <v>16.0</v>
      </c>
      <c r="W133" s="36">
        <v>0.0</v>
      </c>
      <c r="X133" s="36">
        <v>0.0</v>
      </c>
      <c r="Y133" s="36">
        <v>52.0</v>
      </c>
    </row>
    <row r="134">
      <c r="A134" s="32" t="s">
        <v>3149</v>
      </c>
      <c r="B134" s="32" t="s">
        <v>3149</v>
      </c>
      <c r="C134" s="32" t="s">
        <v>3150</v>
      </c>
      <c r="D134" s="32" t="s">
        <v>3151</v>
      </c>
      <c r="E134" s="32" t="s">
        <v>5073</v>
      </c>
      <c r="F134" s="32" t="e">
        <v>#N/A</v>
      </c>
      <c r="G134" s="39"/>
      <c r="H134" s="32">
        <v>0.0</v>
      </c>
      <c r="I134" s="39"/>
      <c r="J134" s="32" t="s">
        <v>3152</v>
      </c>
      <c r="K134" s="33" t="s">
        <v>3153</v>
      </c>
      <c r="L134" s="32" t="e">
        <v>#N/A</v>
      </c>
      <c r="M134" s="32" t="e">
        <v>#N/A</v>
      </c>
      <c r="N134" s="32" t="s">
        <v>5087</v>
      </c>
      <c r="O134" s="32" t="s">
        <v>4730</v>
      </c>
      <c r="P134" s="32">
        <v>2689.0</v>
      </c>
      <c r="Q134" s="34">
        <v>2268.0</v>
      </c>
      <c r="R134" s="40">
        <v>2299.0</v>
      </c>
      <c r="S134" s="35">
        <v>2285.65</v>
      </c>
      <c r="T134" s="36">
        <v>16.0</v>
      </c>
      <c r="U134" s="36">
        <v>1.0</v>
      </c>
      <c r="V134" s="36">
        <v>35.0</v>
      </c>
      <c r="W134" s="36">
        <v>0.0</v>
      </c>
      <c r="X134" s="36">
        <v>0.0</v>
      </c>
      <c r="Y134" s="36">
        <v>52.0</v>
      </c>
    </row>
    <row r="135">
      <c r="A135" s="32" t="s">
        <v>1273</v>
      </c>
      <c r="B135" s="32" t="s">
        <v>1273</v>
      </c>
      <c r="C135" s="32" t="s">
        <v>1274</v>
      </c>
      <c r="D135" s="32" t="s">
        <v>1275</v>
      </c>
      <c r="E135" s="32" t="s">
        <v>5073</v>
      </c>
      <c r="F135" s="32" t="e">
        <v>#N/A</v>
      </c>
      <c r="G135" s="39"/>
      <c r="H135" s="32" t="s">
        <v>1276</v>
      </c>
      <c r="I135" s="32" t="s">
        <v>5073</v>
      </c>
      <c r="J135" s="32" t="s">
        <v>1277</v>
      </c>
      <c r="K135" s="33" t="s">
        <v>1278</v>
      </c>
      <c r="L135" s="32">
        <v>3.1818424E7</v>
      </c>
      <c r="M135" s="32" t="e">
        <v>#N/A</v>
      </c>
      <c r="N135" s="32" t="s">
        <v>5089</v>
      </c>
      <c r="O135" s="32" t="s">
        <v>4730</v>
      </c>
      <c r="P135" s="32">
        <v>2449.0</v>
      </c>
      <c r="Q135" s="34">
        <v>2004.0</v>
      </c>
      <c r="R135" s="40">
        <v>2004.0</v>
      </c>
      <c r="S135" s="35">
        <v>1959.2</v>
      </c>
      <c r="T135" s="36">
        <v>27.0</v>
      </c>
      <c r="U135" s="36">
        <v>17.0</v>
      </c>
      <c r="V135" s="36">
        <v>6.0</v>
      </c>
      <c r="W135" s="36">
        <v>2.0</v>
      </c>
      <c r="X135" s="36">
        <v>0.0</v>
      </c>
      <c r="Y135" s="36">
        <v>52.0</v>
      </c>
    </row>
    <row r="136">
      <c r="A136" s="32" t="s">
        <v>1575</v>
      </c>
      <c r="B136" s="32" t="s">
        <v>1575</v>
      </c>
      <c r="C136" s="32" t="s">
        <v>1576</v>
      </c>
      <c r="D136" s="32" t="s">
        <v>5120</v>
      </c>
      <c r="E136" s="32" t="s">
        <v>5073</v>
      </c>
      <c r="F136" s="32" t="e">
        <v>#N/A</v>
      </c>
      <c r="G136" s="32" t="e">
        <v>#N/A</v>
      </c>
      <c r="H136" s="32" t="s">
        <v>1575</v>
      </c>
      <c r="I136" s="32" t="s">
        <v>5073</v>
      </c>
      <c r="J136" s="32" t="s">
        <v>1575</v>
      </c>
      <c r="K136" s="33" t="s">
        <v>1578</v>
      </c>
      <c r="L136" s="32">
        <v>3.278395E7</v>
      </c>
      <c r="M136" s="32" t="s">
        <v>1579</v>
      </c>
      <c r="N136" s="32" t="s">
        <v>5112</v>
      </c>
      <c r="O136" s="32" t="s">
        <v>52</v>
      </c>
      <c r="P136" s="32">
        <v>22999.0</v>
      </c>
      <c r="Q136" s="34">
        <v>20699.0</v>
      </c>
      <c r="R136" s="40">
        <v>21799.0</v>
      </c>
      <c r="S136" s="35">
        <v>17709.23</v>
      </c>
      <c r="T136" s="36">
        <v>23.0</v>
      </c>
      <c r="U136" s="36">
        <v>22.0</v>
      </c>
      <c r="V136" s="36">
        <v>7.0</v>
      </c>
      <c r="W136" s="36">
        <v>0.0</v>
      </c>
      <c r="X136" s="36">
        <v>0.0</v>
      </c>
      <c r="Y136" s="36">
        <v>52.0</v>
      </c>
    </row>
    <row r="137">
      <c r="A137" s="32" t="s">
        <v>4972</v>
      </c>
      <c r="B137" s="32" t="s">
        <v>4972</v>
      </c>
      <c r="C137" s="32" t="s">
        <v>4973</v>
      </c>
      <c r="D137" s="32" t="s">
        <v>4974</v>
      </c>
      <c r="E137" s="32" t="s">
        <v>5102</v>
      </c>
      <c r="F137" s="38"/>
      <c r="G137" s="38"/>
      <c r="H137" s="38"/>
      <c r="I137" s="38"/>
      <c r="J137" s="32" t="s">
        <v>4975</v>
      </c>
      <c r="K137" s="38"/>
      <c r="L137" s="38"/>
      <c r="M137" s="38"/>
      <c r="N137" s="32" t="s">
        <v>5077</v>
      </c>
      <c r="O137" s="32" t="s">
        <v>4730</v>
      </c>
      <c r="P137" s="32">
        <v>1499.0</v>
      </c>
      <c r="Q137" s="44">
        <v>1424.0</v>
      </c>
      <c r="R137" s="40">
        <v>1424.0</v>
      </c>
      <c r="S137" s="35">
        <v>1349.1</v>
      </c>
      <c r="T137" s="36">
        <v>0.0</v>
      </c>
      <c r="U137" s="36">
        <v>0.0</v>
      </c>
      <c r="V137" s="36">
        <v>51.0</v>
      </c>
      <c r="W137" s="36">
        <v>0.0</v>
      </c>
      <c r="X137" s="36">
        <v>0.0</v>
      </c>
      <c r="Y137" s="36">
        <v>51.0</v>
      </c>
    </row>
    <row r="138">
      <c r="A138" s="32" t="s">
        <v>3193</v>
      </c>
      <c r="B138" s="32" t="s">
        <v>3193</v>
      </c>
      <c r="C138" s="32" t="s">
        <v>3194</v>
      </c>
      <c r="D138" s="32" t="s">
        <v>3195</v>
      </c>
      <c r="E138" s="32" t="s">
        <v>5073</v>
      </c>
      <c r="F138" s="32" t="e">
        <v>#N/A</v>
      </c>
      <c r="G138" s="39"/>
      <c r="H138" s="32" t="s">
        <v>3193</v>
      </c>
      <c r="I138" s="32" t="s">
        <v>5073</v>
      </c>
      <c r="J138" s="32" t="s">
        <v>3196</v>
      </c>
      <c r="K138" s="33" t="s">
        <v>3197</v>
      </c>
      <c r="L138" s="32" t="e">
        <v>#N/A</v>
      </c>
      <c r="M138" s="32" t="s">
        <v>3198</v>
      </c>
      <c r="N138" s="32" t="s">
        <v>5121</v>
      </c>
      <c r="O138" s="32" t="s">
        <v>4730</v>
      </c>
      <c r="P138" s="32">
        <v>2889.0</v>
      </c>
      <c r="Q138" s="34">
        <v>2499.0</v>
      </c>
      <c r="R138" s="40">
        <v>2499.0</v>
      </c>
      <c r="S138" s="35">
        <v>2399.0</v>
      </c>
      <c r="T138" s="36">
        <v>22.0</v>
      </c>
      <c r="U138" s="36">
        <v>0.0</v>
      </c>
      <c r="V138" s="36">
        <v>29.0</v>
      </c>
      <c r="W138" s="36">
        <v>0.0</v>
      </c>
      <c r="X138" s="36">
        <v>0.0</v>
      </c>
      <c r="Y138" s="36">
        <v>51.0</v>
      </c>
    </row>
    <row r="139">
      <c r="A139" s="32" t="s">
        <v>3101</v>
      </c>
      <c r="B139" s="32" t="s">
        <v>3101</v>
      </c>
      <c r="C139" s="32" t="s">
        <v>3102</v>
      </c>
      <c r="D139" s="32" t="s">
        <v>3103</v>
      </c>
      <c r="E139" s="32" t="s">
        <v>5073</v>
      </c>
      <c r="F139" s="32" t="e">
        <v>#N/A</v>
      </c>
      <c r="G139" s="39"/>
      <c r="H139" s="32">
        <v>0.0</v>
      </c>
      <c r="I139" s="39"/>
      <c r="J139" s="32" t="s">
        <v>3104</v>
      </c>
      <c r="K139" s="33" t="s">
        <v>3105</v>
      </c>
      <c r="L139" s="32" t="e">
        <v>#N/A</v>
      </c>
      <c r="M139" s="32" t="e">
        <v>#N/A</v>
      </c>
      <c r="N139" s="32" t="s">
        <v>5087</v>
      </c>
      <c r="O139" s="32" t="s">
        <v>4730</v>
      </c>
      <c r="P139" s="32">
        <v>1989.0</v>
      </c>
      <c r="Q139" s="34">
        <v>1969.11</v>
      </c>
      <c r="R139" s="40">
        <v>1989.0</v>
      </c>
      <c r="S139" s="35">
        <v>1690.65</v>
      </c>
      <c r="T139" s="36">
        <v>0.0</v>
      </c>
      <c r="U139" s="36">
        <v>0.0</v>
      </c>
      <c r="V139" s="36">
        <v>51.0</v>
      </c>
      <c r="W139" s="36">
        <v>0.0</v>
      </c>
      <c r="X139" s="36">
        <v>0.0</v>
      </c>
      <c r="Y139" s="36">
        <v>51.0</v>
      </c>
    </row>
    <row r="140">
      <c r="A140" s="32" t="s">
        <v>1789</v>
      </c>
      <c r="B140" s="32" t="s">
        <v>1789</v>
      </c>
      <c r="C140" s="32" t="s">
        <v>1790</v>
      </c>
      <c r="D140" s="32" t="s">
        <v>1791</v>
      </c>
      <c r="E140" s="32" t="s">
        <v>5073</v>
      </c>
      <c r="F140" s="32" t="e">
        <v>#N/A</v>
      </c>
      <c r="G140" s="39"/>
      <c r="H140" s="32" t="s">
        <v>1792</v>
      </c>
      <c r="I140" s="32" t="s">
        <v>5122</v>
      </c>
      <c r="J140" s="32" t="s">
        <v>1793</v>
      </c>
      <c r="K140" s="33" t="s">
        <v>1794</v>
      </c>
      <c r="L140" s="32">
        <v>3.2784019E7</v>
      </c>
      <c r="M140" s="32" t="s">
        <v>1795</v>
      </c>
      <c r="N140" s="32" t="s">
        <v>5109</v>
      </c>
      <c r="O140" s="32" t="s">
        <v>52</v>
      </c>
      <c r="P140" s="32">
        <v>31999.0</v>
      </c>
      <c r="Q140" s="34">
        <v>28799.0</v>
      </c>
      <c r="R140" s="40">
        <v>30399.0</v>
      </c>
      <c r="S140" s="35">
        <v>26879.16</v>
      </c>
      <c r="T140" s="36">
        <v>12.0</v>
      </c>
      <c r="U140" s="36">
        <v>9.0</v>
      </c>
      <c r="V140" s="36">
        <v>15.0</v>
      </c>
      <c r="W140" s="36">
        <v>13.0</v>
      </c>
      <c r="X140" s="36">
        <v>2.0</v>
      </c>
      <c r="Y140" s="36">
        <v>51.0</v>
      </c>
    </row>
    <row r="141">
      <c r="A141" s="32" t="s">
        <v>3436</v>
      </c>
      <c r="B141" s="32" t="s">
        <v>3436</v>
      </c>
      <c r="C141" s="32" t="s">
        <v>3437</v>
      </c>
      <c r="D141" s="32" t="s">
        <v>3439</v>
      </c>
      <c r="E141" s="32" t="s">
        <v>5073</v>
      </c>
      <c r="F141" s="32" t="s">
        <v>3438</v>
      </c>
      <c r="G141" s="32" t="s">
        <v>5100</v>
      </c>
      <c r="H141" s="32" t="s">
        <v>3436</v>
      </c>
      <c r="I141" s="32" t="s">
        <v>5073</v>
      </c>
      <c r="J141" s="32" t="s">
        <v>3440</v>
      </c>
      <c r="K141" s="33" t="s">
        <v>3441</v>
      </c>
      <c r="L141" s="32" t="e">
        <v>#N/A</v>
      </c>
      <c r="M141" s="32" t="e">
        <v>#N/A</v>
      </c>
      <c r="N141" s="32" t="s">
        <v>5078</v>
      </c>
      <c r="O141" s="32" t="s">
        <v>4730</v>
      </c>
      <c r="P141" s="32">
        <v>649.0</v>
      </c>
      <c r="Q141" s="34">
        <v>642.51</v>
      </c>
      <c r="R141" s="35">
        <v>649.0</v>
      </c>
      <c r="S141" s="35">
        <v>616.55</v>
      </c>
      <c r="T141" s="36">
        <v>2.0</v>
      </c>
      <c r="U141" s="36">
        <v>0.0</v>
      </c>
      <c r="V141" s="36">
        <v>41.0</v>
      </c>
      <c r="W141" s="36">
        <v>1.0</v>
      </c>
      <c r="X141" s="36">
        <v>6.0</v>
      </c>
      <c r="Y141" s="36">
        <v>50.0</v>
      </c>
    </row>
    <row r="142">
      <c r="A142" s="32" t="s">
        <v>3199</v>
      </c>
      <c r="B142" s="32" t="s">
        <v>3199</v>
      </c>
      <c r="C142" s="32" t="s">
        <v>3200</v>
      </c>
      <c r="D142" s="32" t="s">
        <v>3201</v>
      </c>
      <c r="E142" s="32" t="s">
        <v>5073</v>
      </c>
      <c r="F142" s="32" t="e">
        <v>#N/A</v>
      </c>
      <c r="G142" s="39"/>
      <c r="H142" s="32" t="s">
        <v>3199</v>
      </c>
      <c r="I142" s="32" t="s">
        <v>5073</v>
      </c>
      <c r="J142" s="32" t="s">
        <v>3202</v>
      </c>
      <c r="K142" s="33" t="s">
        <v>3203</v>
      </c>
      <c r="L142" s="32" t="e">
        <v>#N/A</v>
      </c>
      <c r="M142" s="32" t="s">
        <v>3204</v>
      </c>
      <c r="N142" s="32" t="s">
        <v>1195</v>
      </c>
      <c r="O142" s="32" t="s">
        <v>5114</v>
      </c>
      <c r="P142" s="32">
        <v>2889.0</v>
      </c>
      <c r="Q142" s="34">
        <v>2076.0</v>
      </c>
      <c r="R142" s="40">
        <v>2099.0</v>
      </c>
      <c r="S142" s="35">
        <v>2022.3</v>
      </c>
      <c r="T142" s="36">
        <v>19.0</v>
      </c>
      <c r="U142" s="36">
        <v>0.0</v>
      </c>
      <c r="V142" s="36">
        <v>31.0</v>
      </c>
      <c r="W142" s="36">
        <v>0.0</v>
      </c>
      <c r="X142" s="36">
        <v>0.0</v>
      </c>
      <c r="Y142" s="36">
        <v>50.0</v>
      </c>
    </row>
    <row r="143">
      <c r="A143" s="32" t="s">
        <v>2215</v>
      </c>
      <c r="B143" s="32" t="s">
        <v>2215</v>
      </c>
      <c r="C143" s="32" t="s">
        <v>2216</v>
      </c>
      <c r="D143" s="32" t="s">
        <v>2217</v>
      </c>
      <c r="E143" s="32" t="s">
        <v>5073</v>
      </c>
      <c r="F143" s="32" t="e">
        <v>#N/A</v>
      </c>
      <c r="G143" s="39"/>
      <c r="H143" s="32">
        <v>0.0</v>
      </c>
      <c r="I143" s="39"/>
      <c r="J143" s="32" t="s">
        <v>2218</v>
      </c>
      <c r="K143" s="33" t="s">
        <v>2219</v>
      </c>
      <c r="L143" s="32" t="e">
        <v>#N/A</v>
      </c>
      <c r="M143" s="32" t="e">
        <v>#N/A</v>
      </c>
      <c r="N143" s="32" t="s">
        <v>5077</v>
      </c>
      <c r="O143" s="32" t="s">
        <v>4730</v>
      </c>
      <c r="P143" s="32">
        <v>789.0</v>
      </c>
      <c r="Q143" s="34">
        <v>750.0</v>
      </c>
      <c r="R143" s="35">
        <v>750.0</v>
      </c>
      <c r="S143" s="35">
        <v>710.1</v>
      </c>
      <c r="T143" s="36">
        <v>11.0</v>
      </c>
      <c r="U143" s="36">
        <v>5.0</v>
      </c>
      <c r="V143" s="36">
        <v>24.0</v>
      </c>
      <c r="W143" s="36">
        <v>0.0</v>
      </c>
      <c r="X143" s="36">
        <v>10.0</v>
      </c>
      <c r="Y143" s="36">
        <v>50.0</v>
      </c>
    </row>
    <row r="144">
      <c r="A144" s="32" t="s">
        <v>2220</v>
      </c>
      <c r="B144" s="32" t="s">
        <v>2220</v>
      </c>
      <c r="C144" s="32" t="s">
        <v>2221</v>
      </c>
      <c r="D144" s="32" t="s">
        <v>2222</v>
      </c>
      <c r="E144" s="32" t="s">
        <v>5073</v>
      </c>
      <c r="F144" s="32" t="e">
        <v>#N/A</v>
      </c>
      <c r="G144" s="39"/>
      <c r="H144" s="32">
        <v>0.0</v>
      </c>
      <c r="I144" s="39"/>
      <c r="J144" s="32" t="s">
        <v>2223</v>
      </c>
      <c r="K144" s="33" t="s">
        <v>2224</v>
      </c>
      <c r="L144" s="32" t="e">
        <v>#N/A</v>
      </c>
      <c r="M144" s="32" t="e">
        <v>#N/A</v>
      </c>
      <c r="N144" s="32" t="s">
        <v>5077</v>
      </c>
      <c r="O144" s="32" t="s">
        <v>4730</v>
      </c>
      <c r="P144" s="32">
        <v>789.0</v>
      </c>
      <c r="Q144" s="34">
        <v>750.0</v>
      </c>
      <c r="R144" s="35">
        <v>750.0</v>
      </c>
      <c r="S144" s="35">
        <v>710.1</v>
      </c>
      <c r="T144" s="36">
        <v>8.0</v>
      </c>
      <c r="U144" s="36">
        <v>10.0</v>
      </c>
      <c r="V144" s="36">
        <v>22.0</v>
      </c>
      <c r="W144" s="36">
        <v>0.0</v>
      </c>
      <c r="X144" s="36">
        <v>10.0</v>
      </c>
      <c r="Y144" s="36">
        <v>50.0</v>
      </c>
    </row>
    <row r="145">
      <c r="A145" s="32" t="s">
        <v>2768</v>
      </c>
      <c r="B145" s="32" t="s">
        <v>2768</v>
      </c>
      <c r="C145" s="32" t="s">
        <v>2769</v>
      </c>
      <c r="D145" s="32" t="s">
        <v>2771</v>
      </c>
      <c r="E145" s="32" t="s">
        <v>5073</v>
      </c>
      <c r="F145" s="32" t="e">
        <v>#N/A</v>
      </c>
      <c r="G145" s="32" t="e">
        <v>#N/A</v>
      </c>
      <c r="H145" s="32" t="s">
        <v>2768</v>
      </c>
      <c r="I145" s="32" t="s">
        <v>5073</v>
      </c>
      <c r="J145" s="32" t="s">
        <v>2768</v>
      </c>
      <c r="K145" s="33" t="s">
        <v>2772</v>
      </c>
      <c r="L145" s="32">
        <v>3.1818423E7</v>
      </c>
      <c r="M145" s="32" t="e">
        <v>#N/A</v>
      </c>
      <c r="N145" s="32" t="s">
        <v>5107</v>
      </c>
      <c r="O145" s="32" t="s">
        <v>4730</v>
      </c>
      <c r="P145" s="32">
        <v>2289.0</v>
      </c>
      <c r="Q145" s="34">
        <v>1873.0</v>
      </c>
      <c r="R145" s="40">
        <v>1899.0</v>
      </c>
      <c r="S145" s="35">
        <v>1716.75</v>
      </c>
      <c r="T145" s="36">
        <v>0.0</v>
      </c>
      <c r="U145" s="36">
        <v>0.0</v>
      </c>
      <c r="V145" s="36">
        <v>41.0</v>
      </c>
      <c r="W145" s="36">
        <v>7.0</v>
      </c>
      <c r="X145" s="36">
        <v>2.0</v>
      </c>
      <c r="Y145" s="36">
        <v>50.0</v>
      </c>
    </row>
    <row r="146">
      <c r="A146" s="32" t="s">
        <v>1444</v>
      </c>
      <c r="B146" s="32" t="s">
        <v>1444</v>
      </c>
      <c r="C146" s="32" t="s">
        <v>1445</v>
      </c>
      <c r="D146" s="32" t="s">
        <v>1446</v>
      </c>
      <c r="E146" s="32" t="s">
        <v>5073</v>
      </c>
      <c r="F146" s="32" t="e">
        <v>#N/A</v>
      </c>
      <c r="G146" s="39"/>
      <c r="H146" s="32" t="s">
        <v>1447</v>
      </c>
      <c r="I146" s="32" t="s">
        <v>5073</v>
      </c>
      <c r="J146" s="32" t="s">
        <v>1448</v>
      </c>
      <c r="K146" s="33" t="s">
        <v>1449</v>
      </c>
      <c r="L146" s="32">
        <v>3.1818462E7</v>
      </c>
      <c r="M146" s="32" t="e">
        <v>#N/A</v>
      </c>
      <c r="N146" s="32" t="s">
        <v>5089</v>
      </c>
      <c r="O146" s="32" t="s">
        <v>4730</v>
      </c>
      <c r="P146" s="32">
        <v>2999.0</v>
      </c>
      <c r="Q146" s="34">
        <v>2449.0</v>
      </c>
      <c r="R146" s="40">
        <v>2449.0</v>
      </c>
      <c r="S146" s="35">
        <v>2399.2</v>
      </c>
      <c r="T146" s="36">
        <v>31.0</v>
      </c>
      <c r="U146" s="36">
        <v>1.0</v>
      </c>
      <c r="V146" s="36">
        <v>15.0</v>
      </c>
      <c r="W146" s="36">
        <v>2.0</v>
      </c>
      <c r="X146" s="36">
        <v>0.0</v>
      </c>
      <c r="Y146" s="36">
        <v>49.0</v>
      </c>
    </row>
    <row r="147">
      <c r="A147" s="32" t="s">
        <v>1643</v>
      </c>
      <c r="B147" s="32" t="s">
        <v>1643</v>
      </c>
      <c r="C147" s="32" t="s">
        <v>1644</v>
      </c>
      <c r="D147" s="32" t="s">
        <v>1645</v>
      </c>
      <c r="E147" s="32" t="s">
        <v>5073</v>
      </c>
      <c r="F147" s="32" t="e">
        <v>#N/A</v>
      </c>
      <c r="G147" s="39"/>
      <c r="H147" s="32" t="s">
        <v>1643</v>
      </c>
      <c r="I147" s="32" t="s">
        <v>5073</v>
      </c>
      <c r="J147" s="32" t="s">
        <v>1643</v>
      </c>
      <c r="K147" s="33" t="s">
        <v>1646</v>
      </c>
      <c r="L147" s="32">
        <v>3.1999067E7</v>
      </c>
      <c r="M147" s="32" t="s">
        <v>1647</v>
      </c>
      <c r="N147" s="32" t="s">
        <v>5112</v>
      </c>
      <c r="O147" s="32" t="s">
        <v>52</v>
      </c>
      <c r="P147" s="32">
        <v>25999.0</v>
      </c>
      <c r="Q147" s="34">
        <v>23399.0</v>
      </c>
      <c r="R147" s="40">
        <v>24699.0</v>
      </c>
      <c r="S147" s="35">
        <v>20019.23</v>
      </c>
      <c r="T147" s="36">
        <v>2.0</v>
      </c>
      <c r="U147" s="36">
        <v>0.0</v>
      </c>
      <c r="V147" s="36">
        <v>32.0</v>
      </c>
      <c r="W147" s="36">
        <v>15.0</v>
      </c>
      <c r="X147" s="36">
        <v>0.0</v>
      </c>
      <c r="Y147" s="36">
        <v>49.0</v>
      </c>
    </row>
    <row r="148">
      <c r="A148" s="32" t="s">
        <v>2442</v>
      </c>
      <c r="B148" s="32" t="s">
        <v>2442</v>
      </c>
      <c r="C148" s="32" t="s">
        <v>2443</v>
      </c>
      <c r="D148" s="32" t="s">
        <v>2444</v>
      </c>
      <c r="E148" s="32" t="s">
        <v>5073</v>
      </c>
      <c r="F148" s="32" t="e">
        <v>#N/A</v>
      </c>
      <c r="G148" s="32" t="e">
        <v>#N/A</v>
      </c>
      <c r="H148" s="32" t="s">
        <v>2445</v>
      </c>
      <c r="I148" s="32" t="s">
        <v>5073</v>
      </c>
      <c r="J148" s="32" t="s">
        <v>2446</v>
      </c>
      <c r="K148" s="33" t="s">
        <v>2447</v>
      </c>
      <c r="L148" s="32" t="e">
        <v>#N/A</v>
      </c>
      <c r="M148" s="32" t="e">
        <v>#N/A</v>
      </c>
      <c r="N148" s="32" t="s">
        <v>5123</v>
      </c>
      <c r="O148" s="32" t="s">
        <v>1145</v>
      </c>
      <c r="P148" s="32">
        <v>2589.0</v>
      </c>
      <c r="Q148" s="34">
        <v>2399.0</v>
      </c>
      <c r="R148" s="40">
        <v>2399.0</v>
      </c>
      <c r="S148" s="35">
        <v>2299.0</v>
      </c>
      <c r="T148" s="36">
        <v>24.0</v>
      </c>
      <c r="U148" s="36">
        <v>0.0</v>
      </c>
      <c r="V148" s="36">
        <v>24.0</v>
      </c>
      <c r="W148" s="36">
        <v>0.0</v>
      </c>
      <c r="X148" s="36">
        <v>0.0</v>
      </c>
      <c r="Y148" s="36">
        <v>48.0</v>
      </c>
    </row>
    <row r="149">
      <c r="A149" s="32" t="s">
        <v>2763</v>
      </c>
      <c r="B149" s="32" t="s">
        <v>2763</v>
      </c>
      <c r="C149" s="32" t="s">
        <v>2764</v>
      </c>
      <c r="D149" s="32" t="s">
        <v>2766</v>
      </c>
      <c r="E149" s="32" t="s">
        <v>5073</v>
      </c>
      <c r="F149" s="32" t="e">
        <v>#N/A</v>
      </c>
      <c r="G149" s="32" t="e">
        <v>#N/A</v>
      </c>
      <c r="H149" s="32" t="s">
        <v>2763</v>
      </c>
      <c r="I149" s="32" t="s">
        <v>5073</v>
      </c>
      <c r="J149" s="32" t="s">
        <v>2763</v>
      </c>
      <c r="K149" s="33" t="s">
        <v>2767</v>
      </c>
      <c r="L149" s="32">
        <v>3.1818404E7</v>
      </c>
      <c r="M149" s="32" t="e">
        <v>#N/A</v>
      </c>
      <c r="N149" s="32" t="s">
        <v>5107</v>
      </c>
      <c r="O149" s="32" t="s">
        <v>4730</v>
      </c>
      <c r="P149" s="32">
        <v>1989.0</v>
      </c>
      <c r="Q149" s="34">
        <v>1628.0</v>
      </c>
      <c r="R149" s="40">
        <v>1628.0</v>
      </c>
      <c r="S149" s="35">
        <v>1491.75</v>
      </c>
      <c r="T149" s="36">
        <v>0.0</v>
      </c>
      <c r="U149" s="36">
        <v>0.0</v>
      </c>
      <c r="V149" s="36">
        <v>48.0</v>
      </c>
      <c r="W149" s="36">
        <v>0.0</v>
      </c>
      <c r="X149" s="36">
        <v>0.0</v>
      </c>
      <c r="Y149" s="36">
        <v>48.0</v>
      </c>
    </row>
    <row r="150">
      <c r="A150" s="32" t="s">
        <v>3499</v>
      </c>
      <c r="B150" s="32" t="s">
        <v>3499</v>
      </c>
      <c r="C150" s="32" t="s">
        <v>3500</v>
      </c>
      <c r="D150" s="32" t="s">
        <v>3502</v>
      </c>
      <c r="E150" s="32" t="s">
        <v>5073</v>
      </c>
      <c r="F150" s="32" t="e">
        <v>#N/A</v>
      </c>
      <c r="G150" s="32" t="e">
        <v>#N/A</v>
      </c>
      <c r="H150" s="32" t="s">
        <v>3503</v>
      </c>
      <c r="I150" s="32" t="s">
        <v>5073</v>
      </c>
      <c r="J150" s="32" t="s">
        <v>3504</v>
      </c>
      <c r="K150" s="33" t="s">
        <v>3505</v>
      </c>
      <c r="L150" s="32" t="e">
        <v>#N/A</v>
      </c>
      <c r="M150" s="32" t="e">
        <v>#N/A</v>
      </c>
      <c r="N150" s="32" t="s">
        <v>5098</v>
      </c>
      <c r="O150" s="32" t="s">
        <v>4730</v>
      </c>
      <c r="P150" s="32">
        <v>899.0</v>
      </c>
      <c r="Q150" s="34">
        <v>809.0</v>
      </c>
      <c r="R150" s="35">
        <v>809.0</v>
      </c>
      <c r="S150" s="35">
        <v>764.15</v>
      </c>
      <c r="T150" s="36">
        <v>0.0</v>
      </c>
      <c r="U150" s="36">
        <v>0.0</v>
      </c>
      <c r="V150" s="36">
        <v>48.0</v>
      </c>
      <c r="W150" s="36">
        <v>0.0</v>
      </c>
      <c r="X150" s="36">
        <v>0.0</v>
      </c>
      <c r="Y150" s="36">
        <v>48.0</v>
      </c>
    </row>
    <row r="151">
      <c r="A151" s="32" t="s">
        <v>3000</v>
      </c>
      <c r="B151" s="32" t="s">
        <v>3000</v>
      </c>
      <c r="C151" s="32" t="s">
        <v>4860</v>
      </c>
      <c r="D151" s="32" t="s">
        <v>4861</v>
      </c>
      <c r="E151" s="32" t="s">
        <v>5073</v>
      </c>
      <c r="F151" s="32" t="e">
        <v>#N/A</v>
      </c>
      <c r="G151" s="32" t="e">
        <v>#N/A</v>
      </c>
      <c r="H151" s="32" t="e">
        <v>#N/A</v>
      </c>
      <c r="I151" s="32">
        <v>0.0</v>
      </c>
      <c r="J151" s="32" t="s">
        <v>3001</v>
      </c>
      <c r="K151" s="33" t="s">
        <v>4862</v>
      </c>
      <c r="L151" s="32" t="e">
        <v>#N/A</v>
      </c>
      <c r="M151" s="32" t="e">
        <v>#N/A</v>
      </c>
      <c r="N151" s="33" t="s">
        <v>4729</v>
      </c>
      <c r="O151" s="33" t="s">
        <v>4730</v>
      </c>
      <c r="P151" s="32" t="e">
        <v>#REF!</v>
      </c>
      <c r="Q151" s="38"/>
      <c r="R151" s="42" t="e">
        <v>#N/A</v>
      </c>
      <c r="S151" s="38"/>
      <c r="T151" s="36">
        <v>23.0</v>
      </c>
      <c r="U151" s="36">
        <v>0.0</v>
      </c>
      <c r="V151" s="36">
        <v>24.0</v>
      </c>
      <c r="W151" s="36">
        <v>0.0</v>
      </c>
      <c r="X151" s="36">
        <v>0.0</v>
      </c>
      <c r="Y151" s="36">
        <v>47.0</v>
      </c>
    </row>
    <row r="152">
      <c r="A152" s="32" t="s">
        <v>2651</v>
      </c>
      <c r="B152" s="32" t="s">
        <v>2651</v>
      </c>
      <c r="C152" s="32" t="s">
        <v>2652</v>
      </c>
      <c r="D152" s="32" t="s">
        <v>2653</v>
      </c>
      <c r="E152" s="32" t="s">
        <v>5073</v>
      </c>
      <c r="F152" s="32" t="e">
        <v>#N/A</v>
      </c>
      <c r="G152" s="39"/>
      <c r="H152" s="32" t="s">
        <v>2654</v>
      </c>
      <c r="I152" s="32" t="s">
        <v>5073</v>
      </c>
      <c r="J152" s="32" t="s">
        <v>2655</v>
      </c>
      <c r="K152" s="33" t="s">
        <v>2656</v>
      </c>
      <c r="L152" s="32">
        <v>3.181844E7</v>
      </c>
      <c r="M152" s="32" t="e">
        <v>#N/A</v>
      </c>
      <c r="N152" s="32" t="s">
        <v>5107</v>
      </c>
      <c r="O152" s="32" t="s">
        <v>4730</v>
      </c>
      <c r="P152" s="32">
        <v>1389.0</v>
      </c>
      <c r="Q152" s="34">
        <v>1138.0</v>
      </c>
      <c r="R152" s="40">
        <v>1138.0</v>
      </c>
      <c r="S152" s="35">
        <v>1041.75</v>
      </c>
      <c r="T152" s="36">
        <v>11.0</v>
      </c>
      <c r="U152" s="36">
        <v>9.0</v>
      </c>
      <c r="V152" s="36">
        <v>17.0</v>
      </c>
      <c r="W152" s="36">
        <v>10.0</v>
      </c>
      <c r="X152" s="36">
        <v>0.0</v>
      </c>
      <c r="Y152" s="36">
        <v>47.0</v>
      </c>
    </row>
    <row r="153">
      <c r="A153" s="32" t="s">
        <v>1394</v>
      </c>
      <c r="B153" s="32" t="s">
        <v>1394</v>
      </c>
      <c r="C153" s="32" t="s">
        <v>1395</v>
      </c>
      <c r="D153" s="32" t="s">
        <v>1396</v>
      </c>
      <c r="E153" s="32" t="s">
        <v>5090</v>
      </c>
      <c r="F153" s="32" t="e">
        <v>#N/A</v>
      </c>
      <c r="G153" s="39"/>
      <c r="H153" s="32" t="s">
        <v>1397</v>
      </c>
      <c r="I153" s="32" t="s">
        <v>5122</v>
      </c>
      <c r="J153" s="32" t="s">
        <v>1398</v>
      </c>
      <c r="K153" s="33" t="s">
        <v>1399</v>
      </c>
      <c r="L153" s="32">
        <v>3.181836E7</v>
      </c>
      <c r="M153" s="32" t="e">
        <v>#N/A</v>
      </c>
      <c r="N153" s="32" t="s">
        <v>5089</v>
      </c>
      <c r="O153" s="32" t="s">
        <v>4730</v>
      </c>
      <c r="P153" s="32">
        <v>2649.0</v>
      </c>
      <c r="Q153" s="34">
        <v>2164.0</v>
      </c>
      <c r="R153" s="40">
        <v>2199.0</v>
      </c>
      <c r="S153" s="35">
        <v>2119.2</v>
      </c>
      <c r="T153" s="36">
        <v>17.0</v>
      </c>
      <c r="U153" s="36">
        <v>11.0</v>
      </c>
      <c r="V153" s="36">
        <v>9.0</v>
      </c>
      <c r="W153" s="36">
        <v>10.0</v>
      </c>
      <c r="X153" s="36">
        <v>0.0</v>
      </c>
      <c r="Y153" s="36">
        <v>47.0</v>
      </c>
    </row>
    <row r="154">
      <c r="A154" s="32" t="s">
        <v>2792</v>
      </c>
      <c r="B154" s="32" t="s">
        <v>2792</v>
      </c>
      <c r="C154" s="32" t="s">
        <v>2793</v>
      </c>
      <c r="D154" s="32" t="s">
        <v>2794</v>
      </c>
      <c r="E154" s="32" t="s">
        <v>5073</v>
      </c>
      <c r="F154" s="32" t="e">
        <v>#N/A</v>
      </c>
      <c r="G154" s="32" t="e">
        <v>#N/A</v>
      </c>
      <c r="H154" s="32" t="s">
        <v>2792</v>
      </c>
      <c r="I154" s="32" t="s">
        <v>5073</v>
      </c>
      <c r="J154" s="32" t="s">
        <v>2795</v>
      </c>
      <c r="K154" s="33" t="s">
        <v>2796</v>
      </c>
      <c r="L154" s="32">
        <v>3.1818431E7</v>
      </c>
      <c r="M154" s="32" t="e">
        <v>#N/A</v>
      </c>
      <c r="N154" s="32" t="s">
        <v>5107</v>
      </c>
      <c r="O154" s="32" t="s">
        <v>4730</v>
      </c>
      <c r="P154" s="32">
        <v>2189.0</v>
      </c>
      <c r="Q154" s="34">
        <v>1792.0</v>
      </c>
      <c r="R154" s="40">
        <v>1799.0</v>
      </c>
      <c r="S154" s="35">
        <v>1641.75</v>
      </c>
      <c r="T154" s="36">
        <v>18.0</v>
      </c>
      <c r="U154" s="36">
        <v>15.0</v>
      </c>
      <c r="V154" s="36">
        <v>13.0</v>
      </c>
      <c r="W154" s="36">
        <v>0.0</v>
      </c>
      <c r="X154" s="36">
        <v>0.0</v>
      </c>
      <c r="Y154" s="36">
        <v>46.0</v>
      </c>
    </row>
    <row r="155">
      <c r="A155" s="32" t="s">
        <v>3062</v>
      </c>
      <c r="B155" s="32" t="s">
        <v>3062</v>
      </c>
      <c r="C155" s="32" t="s">
        <v>3063</v>
      </c>
      <c r="D155" s="32" t="s">
        <v>3064</v>
      </c>
      <c r="E155" s="32" t="s">
        <v>5073</v>
      </c>
      <c r="F155" s="32" t="e">
        <v>#N/A</v>
      </c>
      <c r="G155" s="38"/>
      <c r="H155" s="32" t="s">
        <v>3065</v>
      </c>
      <c r="I155" s="32" t="s">
        <v>5073</v>
      </c>
      <c r="J155" s="32" t="s">
        <v>3066</v>
      </c>
      <c r="K155" s="33" t="s">
        <v>3067</v>
      </c>
      <c r="L155" s="32" t="e">
        <v>#N/A</v>
      </c>
      <c r="M155" s="32" t="s">
        <v>3068</v>
      </c>
      <c r="N155" s="32" t="s">
        <v>5124</v>
      </c>
      <c r="O155" s="32" t="s">
        <v>4730</v>
      </c>
      <c r="P155" s="32">
        <v>5489.0</v>
      </c>
      <c r="Q155" s="38"/>
      <c r="R155" s="42" t="e">
        <v>#N/A</v>
      </c>
      <c r="S155" s="38"/>
      <c r="T155" s="36">
        <v>0.0</v>
      </c>
      <c r="U155" s="36">
        <v>0.0</v>
      </c>
      <c r="V155" s="36">
        <v>46.0</v>
      </c>
      <c r="W155" s="36">
        <v>0.0</v>
      </c>
      <c r="X155" s="36">
        <v>0.0</v>
      </c>
      <c r="Y155" s="36">
        <v>46.0</v>
      </c>
    </row>
    <row r="156">
      <c r="A156" s="32" t="s">
        <v>1638</v>
      </c>
      <c r="B156" s="32" t="s">
        <v>1638</v>
      </c>
      <c r="C156" s="32" t="s">
        <v>1639</v>
      </c>
      <c r="D156" s="32" t="s">
        <v>1640</v>
      </c>
      <c r="E156" s="32" t="s">
        <v>5073</v>
      </c>
      <c r="F156" s="32" t="e">
        <v>#N/A</v>
      </c>
      <c r="G156" s="39"/>
      <c r="H156" s="32" t="s">
        <v>1638</v>
      </c>
      <c r="I156" s="32" t="s">
        <v>5073</v>
      </c>
      <c r="J156" s="32" t="s">
        <v>1638</v>
      </c>
      <c r="K156" s="33" t="s">
        <v>1641</v>
      </c>
      <c r="L156" s="32">
        <v>3.1999076E7</v>
      </c>
      <c r="M156" s="32" t="s">
        <v>1642</v>
      </c>
      <c r="N156" s="32" t="s">
        <v>5112</v>
      </c>
      <c r="O156" s="32" t="s">
        <v>52</v>
      </c>
      <c r="P156" s="32">
        <v>25999.0</v>
      </c>
      <c r="Q156" s="34">
        <v>23399.0</v>
      </c>
      <c r="R156" s="40">
        <v>24699.0</v>
      </c>
      <c r="S156" s="35">
        <v>20019.23</v>
      </c>
      <c r="T156" s="36">
        <v>15.0</v>
      </c>
      <c r="U156" s="36">
        <v>4.0</v>
      </c>
      <c r="V156" s="36">
        <v>19.0</v>
      </c>
      <c r="W156" s="36">
        <v>8.0</v>
      </c>
      <c r="X156" s="36">
        <v>0.0</v>
      </c>
      <c r="Y156" s="36">
        <v>46.0</v>
      </c>
    </row>
    <row r="157">
      <c r="A157" s="32" t="s">
        <v>3644</v>
      </c>
      <c r="B157" s="32" t="s">
        <v>3644</v>
      </c>
      <c r="C157" s="32" t="s">
        <v>3645</v>
      </c>
      <c r="D157" s="32" t="s">
        <v>3646</v>
      </c>
      <c r="E157" s="32" t="s">
        <v>5073</v>
      </c>
      <c r="F157" s="32" t="s">
        <v>3647</v>
      </c>
      <c r="G157" s="32" t="s">
        <v>5073</v>
      </c>
      <c r="H157" s="32" t="s">
        <v>3648</v>
      </c>
      <c r="I157" s="32" t="s">
        <v>5073</v>
      </c>
      <c r="J157" s="32" t="s">
        <v>3649</v>
      </c>
      <c r="K157" s="33" t="s">
        <v>3650</v>
      </c>
      <c r="L157" s="32" t="e">
        <v>#N/A</v>
      </c>
      <c r="M157" s="32" t="e">
        <v>#N/A</v>
      </c>
      <c r="N157" s="32" t="s">
        <v>5098</v>
      </c>
      <c r="O157" s="32" t="s">
        <v>4730</v>
      </c>
      <c r="P157" s="32">
        <v>999.0</v>
      </c>
      <c r="Q157" s="34">
        <v>899.0</v>
      </c>
      <c r="R157" s="35">
        <v>899.0</v>
      </c>
      <c r="S157" s="35">
        <v>849.15</v>
      </c>
      <c r="T157" s="36">
        <v>0.0</v>
      </c>
      <c r="U157" s="36">
        <v>0.0</v>
      </c>
      <c r="V157" s="36">
        <v>26.0</v>
      </c>
      <c r="W157" s="36">
        <v>7.0</v>
      </c>
      <c r="X157" s="36">
        <v>12.0</v>
      </c>
      <c r="Y157" s="36">
        <v>45.0</v>
      </c>
    </row>
    <row r="158">
      <c r="A158" s="32" t="s">
        <v>3187</v>
      </c>
      <c r="B158" s="32" t="s">
        <v>3187</v>
      </c>
      <c r="C158" s="32" t="s">
        <v>3188</v>
      </c>
      <c r="D158" s="32" t="s">
        <v>3189</v>
      </c>
      <c r="E158" s="32" t="s">
        <v>5073</v>
      </c>
      <c r="F158" s="32" t="e">
        <v>#N/A</v>
      </c>
      <c r="G158" s="32" t="e">
        <v>#N/A</v>
      </c>
      <c r="H158" s="32" t="s">
        <v>3187</v>
      </c>
      <c r="I158" s="32" t="s">
        <v>5073</v>
      </c>
      <c r="J158" s="32" t="s">
        <v>3190</v>
      </c>
      <c r="K158" s="33" t="s">
        <v>3191</v>
      </c>
      <c r="L158" s="32" t="e">
        <v>#N/A</v>
      </c>
      <c r="M158" s="32" t="s">
        <v>3192</v>
      </c>
      <c r="N158" s="32" t="s">
        <v>5121</v>
      </c>
      <c r="O158" s="32" t="s">
        <v>4730</v>
      </c>
      <c r="P158" s="32">
        <v>2889.0</v>
      </c>
      <c r="Q158" s="34">
        <v>2499.0</v>
      </c>
      <c r="R158" s="40">
        <v>2499.0</v>
      </c>
      <c r="S158" s="35">
        <v>2399.0</v>
      </c>
      <c r="T158" s="36">
        <v>18.0</v>
      </c>
      <c r="U158" s="36">
        <v>0.0</v>
      </c>
      <c r="V158" s="36">
        <v>26.0</v>
      </c>
      <c r="W158" s="36">
        <v>0.0</v>
      </c>
      <c r="X158" s="36">
        <v>0.0</v>
      </c>
      <c r="Y158" s="36">
        <v>44.0</v>
      </c>
    </row>
    <row r="159">
      <c r="A159" s="32" t="s">
        <v>2733</v>
      </c>
      <c r="B159" s="32" t="s">
        <v>2733</v>
      </c>
      <c r="C159" s="32" t="s">
        <v>2734</v>
      </c>
      <c r="D159" s="32" t="s">
        <v>2735</v>
      </c>
      <c r="E159" s="32" t="s">
        <v>5073</v>
      </c>
      <c r="F159" s="32" t="e">
        <v>#N/A</v>
      </c>
      <c r="G159" s="39"/>
      <c r="H159" s="32" t="s">
        <v>2736</v>
      </c>
      <c r="I159" s="32" t="s">
        <v>5073</v>
      </c>
      <c r="J159" s="32" t="s">
        <v>2737</v>
      </c>
      <c r="K159" s="33" t="s">
        <v>2738</v>
      </c>
      <c r="L159" s="32">
        <v>3.1818408E7</v>
      </c>
      <c r="M159" s="32" t="e">
        <v>#N/A</v>
      </c>
      <c r="N159" s="32" t="s">
        <v>5107</v>
      </c>
      <c r="O159" s="32" t="s">
        <v>4730</v>
      </c>
      <c r="P159" s="32">
        <v>1989.0</v>
      </c>
      <c r="Q159" s="34">
        <v>1628.0</v>
      </c>
      <c r="R159" s="40">
        <v>1628.0</v>
      </c>
      <c r="S159" s="35">
        <v>1491.75</v>
      </c>
      <c r="T159" s="36">
        <v>7.0</v>
      </c>
      <c r="U159" s="36">
        <v>16.0</v>
      </c>
      <c r="V159" s="36">
        <v>21.0</v>
      </c>
      <c r="W159" s="36">
        <v>0.0</v>
      </c>
      <c r="X159" s="36">
        <v>0.0</v>
      </c>
      <c r="Y159" s="36">
        <v>44.0</v>
      </c>
    </row>
    <row r="160">
      <c r="A160" s="32" t="s">
        <v>3096</v>
      </c>
      <c r="B160" s="32" t="s">
        <v>3096</v>
      </c>
      <c r="C160" s="32" t="s">
        <v>3097</v>
      </c>
      <c r="D160" s="32" t="s">
        <v>3098</v>
      </c>
      <c r="E160" s="32" t="s">
        <v>5073</v>
      </c>
      <c r="F160" s="32" t="e">
        <v>#N/A</v>
      </c>
      <c r="G160" s="39"/>
      <c r="H160" s="32">
        <v>0.0</v>
      </c>
      <c r="I160" s="39"/>
      <c r="J160" s="32" t="s">
        <v>3099</v>
      </c>
      <c r="K160" s="33" t="s">
        <v>3100</v>
      </c>
      <c r="L160" s="32" t="e">
        <v>#N/A</v>
      </c>
      <c r="M160" s="32" t="e">
        <v>#N/A</v>
      </c>
      <c r="N160" s="32" t="s">
        <v>5087</v>
      </c>
      <c r="O160" s="32" t="s">
        <v>4730</v>
      </c>
      <c r="P160" s="32">
        <v>1989.0</v>
      </c>
      <c r="Q160" s="34">
        <v>1969.11</v>
      </c>
      <c r="R160" s="40">
        <v>1989.0</v>
      </c>
      <c r="S160" s="35">
        <v>1690.65</v>
      </c>
      <c r="T160" s="36">
        <v>10.0</v>
      </c>
      <c r="U160" s="36">
        <v>0.0</v>
      </c>
      <c r="V160" s="36">
        <v>34.0</v>
      </c>
      <c r="W160" s="36">
        <v>0.0</v>
      </c>
      <c r="X160" s="36">
        <v>0.0</v>
      </c>
      <c r="Y160" s="36">
        <v>44.0</v>
      </c>
    </row>
    <row r="161">
      <c r="A161" s="32" t="s">
        <v>1213</v>
      </c>
      <c r="B161" s="32" t="s">
        <v>1213</v>
      </c>
      <c r="C161" s="32" t="s">
        <v>1214</v>
      </c>
      <c r="D161" s="32" t="s">
        <v>1215</v>
      </c>
      <c r="E161" s="32" t="s">
        <v>5073</v>
      </c>
      <c r="F161" s="32" t="e">
        <v>#N/A</v>
      </c>
      <c r="G161" s="39"/>
      <c r="H161" s="32" t="s">
        <v>1216</v>
      </c>
      <c r="I161" s="32" t="s">
        <v>5073</v>
      </c>
      <c r="J161" s="32" t="s">
        <v>1217</v>
      </c>
      <c r="K161" s="33" t="s">
        <v>1218</v>
      </c>
      <c r="L161" s="32">
        <v>3.1818454E7</v>
      </c>
      <c r="M161" s="32" t="e">
        <v>#N/A</v>
      </c>
      <c r="N161" s="32" t="s">
        <v>5089</v>
      </c>
      <c r="O161" s="32" t="s">
        <v>4730</v>
      </c>
      <c r="P161" s="32">
        <v>1999.0</v>
      </c>
      <c r="Q161" s="34">
        <v>1629.0</v>
      </c>
      <c r="R161" s="40">
        <v>1629.0</v>
      </c>
      <c r="S161" s="35">
        <v>1599.2</v>
      </c>
      <c r="T161" s="36">
        <v>31.0</v>
      </c>
      <c r="U161" s="36">
        <v>1.0</v>
      </c>
      <c r="V161" s="36">
        <v>12.0</v>
      </c>
      <c r="W161" s="36">
        <v>0.0</v>
      </c>
      <c r="X161" s="36">
        <v>0.0</v>
      </c>
      <c r="Y161" s="36">
        <v>44.0</v>
      </c>
    </row>
    <row r="162">
      <c r="A162" s="32" t="s">
        <v>3513</v>
      </c>
      <c r="B162" s="32" t="s">
        <v>3513</v>
      </c>
      <c r="C162" s="32" t="s">
        <v>3514</v>
      </c>
      <c r="D162" s="32" t="s">
        <v>3515</v>
      </c>
      <c r="E162" s="32" t="s">
        <v>5073</v>
      </c>
      <c r="F162" s="32" t="e">
        <v>#N/A</v>
      </c>
      <c r="G162" s="32" t="e">
        <v>#N/A</v>
      </c>
      <c r="H162" s="32" t="s">
        <v>3513</v>
      </c>
      <c r="I162" s="32" t="s">
        <v>5073</v>
      </c>
      <c r="J162" s="32" t="s">
        <v>3513</v>
      </c>
      <c r="K162" s="33" t="s">
        <v>3516</v>
      </c>
      <c r="L162" s="32">
        <v>3.1745292E7</v>
      </c>
      <c r="M162" s="32" t="s">
        <v>3517</v>
      </c>
      <c r="N162" s="32" t="s">
        <v>5106</v>
      </c>
      <c r="O162" s="32" t="s">
        <v>4730</v>
      </c>
      <c r="P162" s="32">
        <v>3989.0</v>
      </c>
      <c r="Q162" s="34">
        <v>3399.0</v>
      </c>
      <c r="R162" s="40">
        <v>3599.0</v>
      </c>
      <c r="S162" s="35">
        <v>3390.65</v>
      </c>
      <c r="T162" s="36">
        <v>2.0</v>
      </c>
      <c r="U162" s="36">
        <v>0.0</v>
      </c>
      <c r="V162" s="36">
        <v>41.0</v>
      </c>
      <c r="W162" s="36">
        <v>0.0</v>
      </c>
      <c r="X162" s="36">
        <v>0.0</v>
      </c>
      <c r="Y162" s="36">
        <v>43.0</v>
      </c>
    </row>
    <row r="163">
      <c r="A163" s="32" t="s">
        <v>348</v>
      </c>
      <c r="B163" s="32" t="s">
        <v>348</v>
      </c>
      <c r="C163" s="32" t="s">
        <v>349</v>
      </c>
      <c r="D163" s="32" t="s">
        <v>350</v>
      </c>
      <c r="E163" s="32" t="s">
        <v>5073</v>
      </c>
      <c r="F163" s="32" t="e">
        <v>#N/A</v>
      </c>
      <c r="G163" s="39"/>
      <c r="H163" s="32" t="s">
        <v>351</v>
      </c>
      <c r="I163" s="32" t="s">
        <v>5073</v>
      </c>
      <c r="J163" s="32" t="s">
        <v>352</v>
      </c>
      <c r="K163" s="33" t="s">
        <v>353</v>
      </c>
      <c r="L163" s="32">
        <v>3.1999085E7</v>
      </c>
      <c r="M163" s="32" t="s">
        <v>354</v>
      </c>
      <c r="N163" s="32" t="s">
        <v>51</v>
      </c>
      <c r="O163" s="32" t="s">
        <v>52</v>
      </c>
      <c r="P163" s="32">
        <v>16199.0</v>
      </c>
      <c r="Q163" s="34">
        <v>13121.0</v>
      </c>
      <c r="R163" s="40">
        <v>14099.0</v>
      </c>
      <c r="S163" s="35">
        <v>12311.24</v>
      </c>
      <c r="T163" s="36">
        <v>5.0</v>
      </c>
      <c r="U163" s="36">
        <v>0.0</v>
      </c>
      <c r="V163" s="36">
        <v>35.0</v>
      </c>
      <c r="W163" s="36">
        <v>2.0</v>
      </c>
      <c r="X163" s="36">
        <v>0.0</v>
      </c>
      <c r="Y163" s="36">
        <v>42.0</v>
      </c>
    </row>
    <row r="164">
      <c r="A164" s="32" t="s">
        <v>2152</v>
      </c>
      <c r="B164" s="32" t="s">
        <v>2152</v>
      </c>
      <c r="C164" s="32" t="s">
        <v>2153</v>
      </c>
      <c r="D164" s="32" t="s">
        <v>2154</v>
      </c>
      <c r="E164" s="32" t="s">
        <v>5073</v>
      </c>
      <c r="F164" s="32" t="e">
        <v>#N/A</v>
      </c>
      <c r="G164" s="32" t="e">
        <v>#N/A</v>
      </c>
      <c r="H164" s="32" t="s">
        <v>5125</v>
      </c>
      <c r="I164" s="32" t="s">
        <v>5102</v>
      </c>
      <c r="J164" s="32" t="s">
        <v>2155</v>
      </c>
      <c r="K164" s="33" t="s">
        <v>2156</v>
      </c>
      <c r="L164" s="32" t="e">
        <v>#N/A</v>
      </c>
      <c r="M164" s="32" t="e">
        <v>#N/A</v>
      </c>
      <c r="N164" s="32" t="s">
        <v>5103</v>
      </c>
      <c r="O164" s="32" t="s">
        <v>4730</v>
      </c>
      <c r="P164" s="32">
        <v>6499.0</v>
      </c>
      <c r="Q164" s="34">
        <v>5199.0</v>
      </c>
      <c r="R164" s="40">
        <v>5799.0</v>
      </c>
      <c r="S164" s="35">
        <v>4874.25</v>
      </c>
      <c r="T164" s="36">
        <v>2.0</v>
      </c>
      <c r="U164" s="36">
        <v>0.0</v>
      </c>
      <c r="V164" s="36">
        <v>35.0</v>
      </c>
      <c r="W164" s="36">
        <v>0.0</v>
      </c>
      <c r="X164" s="36">
        <v>4.0</v>
      </c>
      <c r="Y164" s="36">
        <v>41.0</v>
      </c>
    </row>
    <row r="165">
      <c r="A165" s="32" t="s">
        <v>3379</v>
      </c>
      <c r="B165" s="32" t="s">
        <v>3379</v>
      </c>
      <c r="C165" s="32" t="s">
        <v>3380</v>
      </c>
      <c r="D165" s="32" t="s">
        <v>3381</v>
      </c>
      <c r="E165" s="32" t="s">
        <v>5073</v>
      </c>
      <c r="F165" s="32" t="e">
        <v>#N/A</v>
      </c>
      <c r="G165" s="38"/>
      <c r="H165" s="32" t="s">
        <v>3382</v>
      </c>
      <c r="I165" s="32" t="s">
        <v>5073</v>
      </c>
      <c r="J165" s="32" t="s">
        <v>3383</v>
      </c>
      <c r="K165" s="33" t="s">
        <v>3384</v>
      </c>
      <c r="L165" s="32">
        <v>3.1818425E7</v>
      </c>
      <c r="M165" s="32" t="e">
        <v>#N/A</v>
      </c>
      <c r="N165" s="32" t="s">
        <v>5086</v>
      </c>
      <c r="O165" s="32" t="s">
        <v>4730</v>
      </c>
      <c r="P165" s="32">
        <v>2189.0</v>
      </c>
      <c r="Q165" s="34">
        <v>1999.0</v>
      </c>
      <c r="R165" s="40">
        <v>1999.0</v>
      </c>
      <c r="S165" s="35">
        <v>1860.65</v>
      </c>
      <c r="T165" s="36">
        <v>0.0</v>
      </c>
      <c r="U165" s="36">
        <v>0.0</v>
      </c>
      <c r="V165" s="36">
        <v>41.0</v>
      </c>
      <c r="W165" s="36">
        <v>0.0</v>
      </c>
      <c r="X165" s="36">
        <v>0.0</v>
      </c>
      <c r="Y165" s="36">
        <v>41.0</v>
      </c>
    </row>
    <row r="166">
      <c r="A166" s="32" t="s">
        <v>2703</v>
      </c>
      <c r="B166" s="32" t="s">
        <v>2703</v>
      </c>
      <c r="C166" s="32" t="s">
        <v>2704</v>
      </c>
      <c r="D166" s="32" t="s">
        <v>2705</v>
      </c>
      <c r="E166" s="32" t="s">
        <v>5073</v>
      </c>
      <c r="F166" s="32" t="e">
        <v>#N/A</v>
      </c>
      <c r="G166" s="39"/>
      <c r="H166" s="32" t="s">
        <v>2706</v>
      </c>
      <c r="I166" s="32" t="s">
        <v>5073</v>
      </c>
      <c r="J166" s="32" t="s">
        <v>2707</v>
      </c>
      <c r="K166" s="33" t="s">
        <v>2708</v>
      </c>
      <c r="L166" s="32">
        <v>3.1818441E7</v>
      </c>
      <c r="M166" s="32" t="e">
        <v>#N/A</v>
      </c>
      <c r="N166" s="32" t="s">
        <v>5107</v>
      </c>
      <c r="O166" s="32" t="s">
        <v>4730</v>
      </c>
      <c r="P166" s="32">
        <v>1889.0</v>
      </c>
      <c r="Q166" s="34">
        <v>1548.0</v>
      </c>
      <c r="R166" s="40">
        <v>1548.0</v>
      </c>
      <c r="S166" s="35">
        <v>1416.75</v>
      </c>
      <c r="T166" s="36">
        <v>9.0</v>
      </c>
      <c r="U166" s="36">
        <v>6.0</v>
      </c>
      <c r="V166" s="36">
        <v>16.0</v>
      </c>
      <c r="W166" s="36">
        <v>10.0</v>
      </c>
      <c r="X166" s="36">
        <v>0.0</v>
      </c>
      <c r="Y166" s="36">
        <v>41.0</v>
      </c>
    </row>
    <row r="167">
      <c r="A167" s="32" t="s">
        <v>2783</v>
      </c>
      <c r="B167" s="32" t="s">
        <v>2783</v>
      </c>
      <c r="C167" s="32" t="s">
        <v>2784</v>
      </c>
      <c r="D167" s="32" t="s">
        <v>2785</v>
      </c>
      <c r="E167" s="32" t="s">
        <v>5073</v>
      </c>
      <c r="F167" s="32" t="e">
        <v>#N/A</v>
      </c>
      <c r="G167" s="39"/>
      <c r="H167" s="32" t="s">
        <v>2783</v>
      </c>
      <c r="I167" s="32" t="s">
        <v>5073</v>
      </c>
      <c r="J167" s="32" t="s">
        <v>2786</v>
      </c>
      <c r="K167" s="33" t="s">
        <v>2787</v>
      </c>
      <c r="L167" s="32">
        <v>3.1818439E7</v>
      </c>
      <c r="M167" s="32" t="s">
        <v>2788</v>
      </c>
      <c r="N167" s="32" t="s">
        <v>5107</v>
      </c>
      <c r="O167" s="32" t="s">
        <v>4730</v>
      </c>
      <c r="P167" s="32">
        <v>1989.0</v>
      </c>
      <c r="Q167" s="34">
        <v>1628.0</v>
      </c>
      <c r="R167" s="40">
        <v>1628.0</v>
      </c>
      <c r="S167" s="35">
        <v>1491.75</v>
      </c>
      <c r="T167" s="36">
        <v>0.0</v>
      </c>
      <c r="U167" s="36">
        <v>0.0</v>
      </c>
      <c r="V167" s="36">
        <v>41.0</v>
      </c>
      <c r="W167" s="36">
        <v>0.0</v>
      </c>
      <c r="X167" s="36">
        <v>0.0</v>
      </c>
      <c r="Y167" s="36">
        <v>41.0</v>
      </c>
    </row>
    <row r="168">
      <c r="A168" s="32" t="s">
        <v>2777</v>
      </c>
      <c r="B168" s="32" t="s">
        <v>2777</v>
      </c>
      <c r="C168" s="32" t="s">
        <v>2778</v>
      </c>
      <c r="D168" s="32" t="s">
        <v>5126</v>
      </c>
      <c r="E168" s="32" t="s">
        <v>5073</v>
      </c>
      <c r="F168" s="32" t="e">
        <v>#N/A</v>
      </c>
      <c r="G168" s="32" t="e">
        <v>#N/A</v>
      </c>
      <c r="H168" s="32" t="s">
        <v>2777</v>
      </c>
      <c r="I168" s="32" t="s">
        <v>5073</v>
      </c>
      <c r="J168" s="32" t="s">
        <v>2780</v>
      </c>
      <c r="K168" s="33" t="s">
        <v>2781</v>
      </c>
      <c r="L168" s="32">
        <v>3.1818377E7</v>
      </c>
      <c r="M168" s="32" t="s">
        <v>2782</v>
      </c>
      <c r="N168" s="32" t="s">
        <v>5107</v>
      </c>
      <c r="O168" s="32" t="s">
        <v>4730</v>
      </c>
      <c r="P168" s="32">
        <v>1989.0</v>
      </c>
      <c r="Q168" s="34">
        <v>1628.0</v>
      </c>
      <c r="R168" s="40">
        <v>1628.0</v>
      </c>
      <c r="S168" s="35">
        <v>1491.75</v>
      </c>
      <c r="T168" s="36">
        <v>0.0</v>
      </c>
      <c r="U168" s="36">
        <v>0.0</v>
      </c>
      <c r="V168" s="36">
        <v>40.0</v>
      </c>
      <c r="W168" s="36">
        <v>0.0</v>
      </c>
      <c r="X168" s="36">
        <v>0.0</v>
      </c>
      <c r="Y168" s="36">
        <v>40.0</v>
      </c>
    </row>
    <row r="169">
      <c r="A169" s="32" t="s">
        <v>341</v>
      </c>
      <c r="B169" s="32" t="s">
        <v>341</v>
      </c>
      <c r="C169" s="32" t="s">
        <v>342</v>
      </c>
      <c r="D169" s="32" t="s">
        <v>343</v>
      </c>
      <c r="E169" s="32" t="s">
        <v>5073</v>
      </c>
      <c r="F169" s="32" t="e">
        <v>#N/A</v>
      </c>
      <c r="G169" s="39"/>
      <c r="H169" s="32" t="s">
        <v>344</v>
      </c>
      <c r="I169" s="32" t="s">
        <v>5073</v>
      </c>
      <c r="J169" s="32" t="s">
        <v>345</v>
      </c>
      <c r="K169" s="33" t="s">
        <v>346</v>
      </c>
      <c r="L169" s="32">
        <v>3.199907E7</v>
      </c>
      <c r="M169" s="32" t="s">
        <v>347</v>
      </c>
      <c r="N169" s="32" t="s">
        <v>51</v>
      </c>
      <c r="O169" s="32" t="s">
        <v>52</v>
      </c>
      <c r="P169" s="32">
        <v>15999.0</v>
      </c>
      <c r="Q169" s="34">
        <v>12959.0</v>
      </c>
      <c r="R169" s="40">
        <v>13899.0</v>
      </c>
      <c r="S169" s="35">
        <v>12159.24</v>
      </c>
      <c r="T169" s="36">
        <v>15.0</v>
      </c>
      <c r="U169" s="36">
        <v>9.0</v>
      </c>
      <c r="V169" s="36">
        <v>9.0</v>
      </c>
      <c r="W169" s="36">
        <v>7.0</v>
      </c>
      <c r="X169" s="36">
        <v>0.0</v>
      </c>
      <c r="Y169" s="36">
        <v>40.0</v>
      </c>
    </row>
    <row r="170">
      <c r="A170" s="32" t="s">
        <v>2314</v>
      </c>
      <c r="B170" s="32" t="s">
        <v>2314</v>
      </c>
      <c r="C170" s="32" t="s">
        <v>2315</v>
      </c>
      <c r="D170" s="32" t="s">
        <v>2316</v>
      </c>
      <c r="E170" s="32" t="s">
        <v>5073</v>
      </c>
      <c r="F170" s="32" t="e">
        <v>#N/A</v>
      </c>
      <c r="G170" s="39"/>
      <c r="H170" s="32">
        <v>0.0</v>
      </c>
      <c r="I170" s="39"/>
      <c r="J170" s="32" t="s">
        <v>2317</v>
      </c>
      <c r="K170" s="33" t="s">
        <v>2318</v>
      </c>
      <c r="L170" s="32" t="e">
        <v>#N/A</v>
      </c>
      <c r="M170" s="32" t="e">
        <v>#N/A</v>
      </c>
      <c r="N170" s="32" t="s">
        <v>5077</v>
      </c>
      <c r="O170" s="32" t="s">
        <v>4730</v>
      </c>
      <c r="P170" s="32">
        <v>1049.0</v>
      </c>
      <c r="Q170" s="34">
        <v>997.0</v>
      </c>
      <c r="R170" s="35">
        <v>999.0</v>
      </c>
      <c r="S170" s="35">
        <v>944.1</v>
      </c>
      <c r="T170" s="36">
        <v>5.0</v>
      </c>
      <c r="U170" s="36">
        <v>10.0</v>
      </c>
      <c r="V170" s="36">
        <v>25.0</v>
      </c>
      <c r="W170" s="36">
        <v>0.0</v>
      </c>
      <c r="X170" s="36">
        <v>0.0</v>
      </c>
      <c r="Y170" s="36">
        <v>40.0</v>
      </c>
    </row>
    <row r="171">
      <c r="A171" s="32" t="s">
        <v>3530</v>
      </c>
      <c r="B171" s="32" t="s">
        <v>3530</v>
      </c>
      <c r="C171" s="32" t="s">
        <v>3531</v>
      </c>
      <c r="D171" s="32" t="s">
        <v>3533</v>
      </c>
      <c r="E171" s="32" t="s">
        <v>5073</v>
      </c>
      <c r="F171" s="32" t="e">
        <v>#N/A</v>
      </c>
      <c r="G171" s="32" t="e">
        <v>#N/A</v>
      </c>
      <c r="H171" s="32" t="s">
        <v>3534</v>
      </c>
      <c r="I171" s="32" t="s">
        <v>5073</v>
      </c>
      <c r="J171" s="32" t="s">
        <v>3535</v>
      </c>
      <c r="K171" s="33" t="s">
        <v>3536</v>
      </c>
      <c r="L171" s="32" t="e">
        <v>#N/A</v>
      </c>
      <c r="M171" s="32" t="e">
        <v>#N/A</v>
      </c>
      <c r="N171" s="32" t="s">
        <v>5098</v>
      </c>
      <c r="O171" s="32" t="s">
        <v>4730</v>
      </c>
      <c r="P171" s="32">
        <v>799.0</v>
      </c>
      <c r="Q171" s="34">
        <v>719.0</v>
      </c>
      <c r="R171" s="35">
        <v>719.0</v>
      </c>
      <c r="S171" s="35">
        <v>679.15</v>
      </c>
      <c r="T171" s="36">
        <v>0.0</v>
      </c>
      <c r="U171" s="36">
        <v>0.0</v>
      </c>
      <c r="V171" s="36">
        <v>31.0</v>
      </c>
      <c r="W171" s="36">
        <v>9.0</v>
      </c>
      <c r="X171" s="36">
        <v>0.0</v>
      </c>
      <c r="Y171" s="36">
        <v>40.0</v>
      </c>
    </row>
    <row r="172">
      <c r="A172" s="32" t="s">
        <v>668</v>
      </c>
      <c r="B172" s="32" t="s">
        <v>668</v>
      </c>
      <c r="C172" s="32" t="s">
        <v>669</v>
      </c>
      <c r="D172" s="32" t="s">
        <v>670</v>
      </c>
      <c r="E172" s="32" t="s">
        <v>5073</v>
      </c>
      <c r="F172" s="32" t="e">
        <v>#N/A</v>
      </c>
      <c r="G172" s="39"/>
      <c r="H172" s="32" t="s">
        <v>671</v>
      </c>
      <c r="I172" s="32" t="s">
        <v>5073</v>
      </c>
      <c r="J172" s="32" t="s">
        <v>672</v>
      </c>
      <c r="K172" s="33" t="s">
        <v>673</v>
      </c>
      <c r="L172" s="32">
        <v>3.2784144E7</v>
      </c>
      <c r="M172" s="32" t="s">
        <v>674</v>
      </c>
      <c r="N172" s="32" t="s">
        <v>51</v>
      </c>
      <c r="O172" s="32" t="s">
        <v>52</v>
      </c>
      <c r="P172" s="32">
        <v>22999.0</v>
      </c>
      <c r="Q172" s="34">
        <v>18629.0</v>
      </c>
      <c r="R172" s="40">
        <v>19999.0</v>
      </c>
      <c r="S172" s="35">
        <v>17479.24</v>
      </c>
      <c r="T172" s="36">
        <v>4.0</v>
      </c>
      <c r="U172" s="36">
        <v>5.0</v>
      </c>
      <c r="V172" s="36">
        <v>23.0</v>
      </c>
      <c r="W172" s="36">
        <v>2.0</v>
      </c>
      <c r="X172" s="36">
        <v>5.0</v>
      </c>
      <c r="Y172" s="36">
        <v>39.0</v>
      </c>
    </row>
    <row r="173">
      <c r="A173" s="32" t="s">
        <v>394</v>
      </c>
      <c r="B173" s="32" t="s">
        <v>394</v>
      </c>
      <c r="C173" s="32" t="s">
        <v>395</v>
      </c>
      <c r="D173" s="32" t="s">
        <v>396</v>
      </c>
      <c r="E173" s="32" t="s">
        <v>5073</v>
      </c>
      <c r="F173" s="32" t="e">
        <v>#N/A</v>
      </c>
      <c r="G173" s="39"/>
      <c r="H173" s="32" t="s">
        <v>397</v>
      </c>
      <c r="I173" s="32" t="s">
        <v>5073</v>
      </c>
      <c r="J173" s="32" t="s">
        <v>398</v>
      </c>
      <c r="K173" s="33" t="s">
        <v>399</v>
      </c>
      <c r="L173" s="32">
        <v>3.1999069E7</v>
      </c>
      <c r="M173" s="32" t="s">
        <v>400</v>
      </c>
      <c r="N173" s="32" t="s">
        <v>51</v>
      </c>
      <c r="O173" s="32" t="s">
        <v>52</v>
      </c>
      <c r="P173" s="32">
        <v>18499.0</v>
      </c>
      <c r="Q173" s="34">
        <v>14984.0</v>
      </c>
      <c r="R173" s="40">
        <v>16099.0</v>
      </c>
      <c r="S173" s="35">
        <v>14059.24</v>
      </c>
      <c r="T173" s="36">
        <v>31.0</v>
      </c>
      <c r="U173" s="36">
        <v>2.0</v>
      </c>
      <c r="V173" s="36">
        <v>6.0</v>
      </c>
      <c r="W173" s="36">
        <v>0.0</v>
      </c>
      <c r="X173" s="36">
        <v>0.0</v>
      </c>
      <c r="Y173" s="36">
        <v>39.0</v>
      </c>
    </row>
    <row r="174">
      <c r="A174" s="32" t="s">
        <v>2324</v>
      </c>
      <c r="B174" s="32" t="s">
        <v>2324</v>
      </c>
      <c r="C174" s="32" t="s">
        <v>2325</v>
      </c>
      <c r="D174" s="32" t="s">
        <v>2326</v>
      </c>
      <c r="E174" s="32" t="s">
        <v>5073</v>
      </c>
      <c r="F174" s="32" t="e">
        <v>#N/A</v>
      </c>
      <c r="G174" s="39"/>
      <c r="H174" s="32">
        <v>0.0</v>
      </c>
      <c r="I174" s="39"/>
      <c r="J174" s="32" t="s">
        <v>2327</v>
      </c>
      <c r="K174" s="33" t="s">
        <v>2328</v>
      </c>
      <c r="L174" s="32" t="e">
        <v>#N/A</v>
      </c>
      <c r="M174" s="32" t="e">
        <v>#N/A</v>
      </c>
      <c r="N174" s="32" t="s">
        <v>5077</v>
      </c>
      <c r="O174" s="32" t="s">
        <v>4730</v>
      </c>
      <c r="P174" s="32">
        <v>1049.0</v>
      </c>
      <c r="Q174" s="34">
        <v>997.0</v>
      </c>
      <c r="R174" s="35">
        <v>999.0</v>
      </c>
      <c r="S174" s="35">
        <v>944.1</v>
      </c>
      <c r="T174" s="36">
        <v>9.0</v>
      </c>
      <c r="U174" s="36">
        <v>0.0</v>
      </c>
      <c r="V174" s="36">
        <v>20.0</v>
      </c>
      <c r="W174" s="36">
        <v>0.0</v>
      </c>
      <c r="X174" s="36">
        <v>10.0</v>
      </c>
      <c r="Y174" s="36">
        <v>39.0</v>
      </c>
    </row>
    <row r="175">
      <c r="A175" s="32" t="s">
        <v>1357</v>
      </c>
      <c r="B175" s="32" t="s">
        <v>1357</v>
      </c>
      <c r="C175" s="32" t="s">
        <v>1358</v>
      </c>
      <c r="D175" s="32" t="s">
        <v>1359</v>
      </c>
      <c r="E175" s="32" t="s">
        <v>5073</v>
      </c>
      <c r="F175" s="32" t="e">
        <v>#N/A</v>
      </c>
      <c r="G175" s="39"/>
      <c r="H175" s="32" t="s">
        <v>1360</v>
      </c>
      <c r="I175" s="32" t="s">
        <v>5073</v>
      </c>
      <c r="J175" s="32" t="s">
        <v>1361</v>
      </c>
      <c r="K175" s="33" t="s">
        <v>1362</v>
      </c>
      <c r="L175" s="32">
        <v>3.1818362E7</v>
      </c>
      <c r="M175" s="32" t="e">
        <v>#N/A</v>
      </c>
      <c r="N175" s="32" t="s">
        <v>5089</v>
      </c>
      <c r="O175" s="32" t="s">
        <v>4730</v>
      </c>
      <c r="P175" s="32">
        <v>2649.0</v>
      </c>
      <c r="Q175" s="34">
        <v>2164.0</v>
      </c>
      <c r="R175" s="40">
        <v>2199.0</v>
      </c>
      <c r="S175" s="35">
        <v>2119.2</v>
      </c>
      <c r="T175" s="36">
        <v>0.0</v>
      </c>
      <c r="U175" s="36">
        <v>9.0</v>
      </c>
      <c r="V175" s="36">
        <v>9.0</v>
      </c>
      <c r="W175" s="36">
        <v>5.0</v>
      </c>
      <c r="X175" s="36">
        <v>16.0</v>
      </c>
      <c r="Y175" s="36">
        <v>39.0</v>
      </c>
    </row>
    <row r="176">
      <c r="A176" s="32" t="s">
        <v>1243</v>
      </c>
      <c r="B176" s="32" t="s">
        <v>1243</v>
      </c>
      <c r="C176" s="32" t="s">
        <v>1244</v>
      </c>
      <c r="D176" s="32" t="s">
        <v>1245</v>
      </c>
      <c r="E176" s="32" t="s">
        <v>5090</v>
      </c>
      <c r="F176" s="32" t="e">
        <v>#N/A</v>
      </c>
      <c r="G176" s="39"/>
      <c r="H176" s="32" t="s">
        <v>1246</v>
      </c>
      <c r="I176" s="32" t="s">
        <v>5122</v>
      </c>
      <c r="J176" s="32" t="s">
        <v>1247</v>
      </c>
      <c r="K176" s="33" t="s">
        <v>1248</v>
      </c>
      <c r="L176" s="32">
        <v>3.1818453E7</v>
      </c>
      <c r="M176" s="32" t="e">
        <v>#N/A</v>
      </c>
      <c r="N176" s="32" t="s">
        <v>5089</v>
      </c>
      <c r="O176" s="32" t="s">
        <v>4730</v>
      </c>
      <c r="P176" s="32">
        <v>1999.0</v>
      </c>
      <c r="Q176" s="34">
        <v>1629.0</v>
      </c>
      <c r="R176" s="40">
        <v>1629.0</v>
      </c>
      <c r="S176" s="35">
        <v>1599.2</v>
      </c>
      <c r="T176" s="36">
        <v>21.0</v>
      </c>
      <c r="U176" s="36">
        <v>4.0</v>
      </c>
      <c r="V176" s="36">
        <v>14.0</v>
      </c>
      <c r="W176" s="36">
        <v>0.0</v>
      </c>
      <c r="X176" s="36">
        <v>0.0</v>
      </c>
      <c r="Y176" s="36">
        <v>39.0</v>
      </c>
    </row>
    <row r="177">
      <c r="A177" s="32" t="s">
        <v>2807</v>
      </c>
      <c r="B177" s="32" t="s">
        <v>2807</v>
      </c>
      <c r="C177" s="32" t="s">
        <v>2808</v>
      </c>
      <c r="D177" s="32" t="s">
        <v>2810</v>
      </c>
      <c r="E177" s="32" t="s">
        <v>5073</v>
      </c>
      <c r="F177" s="32" t="e">
        <v>#N/A</v>
      </c>
      <c r="G177" s="39"/>
      <c r="H177" s="32" t="s">
        <v>2807</v>
      </c>
      <c r="I177" s="32" t="s">
        <v>5073</v>
      </c>
      <c r="J177" s="32" t="s">
        <v>2807</v>
      </c>
      <c r="K177" s="33" t="s">
        <v>2811</v>
      </c>
      <c r="L177" s="32">
        <v>3.1818428E7</v>
      </c>
      <c r="M177" s="32" t="e">
        <v>#N/A</v>
      </c>
      <c r="N177" s="32" t="s">
        <v>5107</v>
      </c>
      <c r="O177" s="32" t="s">
        <v>4730</v>
      </c>
      <c r="P177" s="32">
        <v>2189.0</v>
      </c>
      <c r="Q177" s="34">
        <v>1792.0</v>
      </c>
      <c r="R177" s="40">
        <v>1799.0</v>
      </c>
      <c r="S177" s="35">
        <v>1641.75</v>
      </c>
      <c r="T177" s="36">
        <v>0.0</v>
      </c>
      <c r="U177" s="36">
        <v>0.0</v>
      </c>
      <c r="V177" s="36">
        <v>36.0</v>
      </c>
      <c r="W177" s="36">
        <v>0.0</v>
      </c>
      <c r="X177" s="36">
        <v>2.0</v>
      </c>
      <c r="Y177" s="36">
        <v>38.0</v>
      </c>
    </row>
    <row r="178">
      <c r="A178" s="32" t="s">
        <v>3492</v>
      </c>
      <c r="B178" s="32" t="s">
        <v>3492</v>
      </c>
      <c r="C178" s="32" t="s">
        <v>3493</v>
      </c>
      <c r="D178" s="32" t="s">
        <v>3495</v>
      </c>
      <c r="E178" s="32" t="s">
        <v>5073</v>
      </c>
      <c r="F178" s="32" t="e">
        <v>#N/A</v>
      </c>
      <c r="G178" s="32" t="e">
        <v>#N/A</v>
      </c>
      <c r="H178" s="32" t="s">
        <v>3496</v>
      </c>
      <c r="I178" s="32" t="s">
        <v>5073</v>
      </c>
      <c r="J178" s="32" t="s">
        <v>3497</v>
      </c>
      <c r="K178" s="33" t="s">
        <v>3498</v>
      </c>
      <c r="L178" s="32" t="e">
        <v>#N/A</v>
      </c>
      <c r="M178" s="32" t="e">
        <v>#N/A</v>
      </c>
      <c r="N178" s="32" t="s">
        <v>5098</v>
      </c>
      <c r="O178" s="32" t="s">
        <v>4730</v>
      </c>
      <c r="P178" s="32">
        <v>899.0</v>
      </c>
      <c r="Q178" s="34">
        <v>809.0</v>
      </c>
      <c r="R178" s="35">
        <v>809.0</v>
      </c>
      <c r="S178" s="35">
        <v>764.15</v>
      </c>
      <c r="T178" s="36">
        <v>0.0</v>
      </c>
      <c r="U178" s="36">
        <v>0.0</v>
      </c>
      <c r="V178" s="36">
        <v>38.0</v>
      </c>
      <c r="W178" s="36">
        <v>0.0</v>
      </c>
      <c r="X178" s="36">
        <v>0.0</v>
      </c>
      <c r="Y178" s="36">
        <v>38.0</v>
      </c>
    </row>
    <row r="179">
      <c r="A179" s="32" t="s">
        <v>2893</v>
      </c>
      <c r="B179" s="32" t="s">
        <v>2893</v>
      </c>
      <c r="C179" s="32" t="s">
        <v>2894</v>
      </c>
      <c r="D179" s="32" t="s">
        <v>2895</v>
      </c>
      <c r="E179" s="32" t="s">
        <v>5073</v>
      </c>
      <c r="F179" s="32" t="e">
        <v>#N/A</v>
      </c>
      <c r="G179" s="39"/>
      <c r="H179" s="32" t="s">
        <v>2896</v>
      </c>
      <c r="I179" s="32" t="s">
        <v>5073</v>
      </c>
      <c r="J179" s="32" t="s">
        <v>2897</v>
      </c>
      <c r="K179" s="33" t="s">
        <v>2898</v>
      </c>
      <c r="L179" s="32" t="e">
        <v>#N/A</v>
      </c>
      <c r="M179" s="32" t="e">
        <v>#N/A</v>
      </c>
      <c r="N179" s="32" t="s">
        <v>5116</v>
      </c>
      <c r="O179" s="32" t="s">
        <v>4730</v>
      </c>
      <c r="P179" s="32">
        <v>2699.0</v>
      </c>
      <c r="Q179" s="34">
        <v>2399.0</v>
      </c>
      <c r="R179" s="40">
        <v>2399.0</v>
      </c>
      <c r="S179" s="35">
        <v>2294.15</v>
      </c>
      <c r="T179" s="36">
        <v>0.0</v>
      </c>
      <c r="U179" s="36">
        <v>0.0</v>
      </c>
      <c r="V179" s="36">
        <v>37.0</v>
      </c>
      <c r="W179" s="36">
        <v>0.0</v>
      </c>
      <c r="X179" s="36">
        <v>0.0</v>
      </c>
      <c r="Y179" s="36">
        <v>37.0</v>
      </c>
    </row>
    <row r="180">
      <c r="A180" s="32" t="s">
        <v>1279</v>
      </c>
      <c r="B180" s="32" t="s">
        <v>1279</v>
      </c>
      <c r="C180" s="32" t="s">
        <v>1280</v>
      </c>
      <c r="D180" s="32" t="s">
        <v>1281</v>
      </c>
      <c r="E180" s="32" t="s">
        <v>5073</v>
      </c>
      <c r="F180" s="32" t="e">
        <v>#N/A</v>
      </c>
      <c r="G180" s="39"/>
      <c r="H180" s="32" t="s">
        <v>1282</v>
      </c>
      <c r="I180" s="32" t="s">
        <v>5073</v>
      </c>
      <c r="J180" s="32" t="s">
        <v>1283</v>
      </c>
      <c r="K180" s="33" t="s">
        <v>1284</v>
      </c>
      <c r="L180" s="32">
        <v>3.1818444E7</v>
      </c>
      <c r="M180" s="32" t="e">
        <v>#N/A</v>
      </c>
      <c r="N180" s="32" t="s">
        <v>5089</v>
      </c>
      <c r="O180" s="32" t="s">
        <v>4730</v>
      </c>
      <c r="P180" s="32">
        <v>2449.0</v>
      </c>
      <c r="Q180" s="34">
        <v>2004.0</v>
      </c>
      <c r="R180" s="40">
        <v>2004.0</v>
      </c>
      <c r="S180" s="35">
        <v>1959.2</v>
      </c>
      <c r="T180" s="36">
        <v>27.0</v>
      </c>
      <c r="U180" s="36">
        <v>3.0</v>
      </c>
      <c r="V180" s="36">
        <v>7.0</v>
      </c>
      <c r="W180" s="36">
        <v>0.0</v>
      </c>
      <c r="X180" s="36">
        <v>0.0</v>
      </c>
      <c r="Y180" s="36">
        <v>37.0</v>
      </c>
    </row>
    <row r="181">
      <c r="A181" s="32" t="s">
        <v>2657</v>
      </c>
      <c r="B181" s="32" t="s">
        <v>2657</v>
      </c>
      <c r="C181" s="32" t="s">
        <v>2658</v>
      </c>
      <c r="D181" s="32" t="s">
        <v>2659</v>
      </c>
      <c r="E181" s="32" t="s">
        <v>5073</v>
      </c>
      <c r="F181" s="32" t="e">
        <v>#N/A</v>
      </c>
      <c r="G181" s="32" t="e">
        <v>#N/A</v>
      </c>
      <c r="H181" s="32" t="s">
        <v>2660</v>
      </c>
      <c r="I181" s="32" t="s">
        <v>5073</v>
      </c>
      <c r="J181" s="32" t="s">
        <v>2661</v>
      </c>
      <c r="K181" s="33" t="s">
        <v>2662</v>
      </c>
      <c r="L181" s="32">
        <v>3.1818449E7</v>
      </c>
      <c r="M181" s="32" t="e">
        <v>#N/A</v>
      </c>
      <c r="N181" s="32" t="s">
        <v>5107</v>
      </c>
      <c r="O181" s="32" t="s">
        <v>4730</v>
      </c>
      <c r="P181" s="32">
        <v>1389.0</v>
      </c>
      <c r="Q181" s="34">
        <v>1138.0</v>
      </c>
      <c r="R181" s="40">
        <v>1138.0</v>
      </c>
      <c r="S181" s="35">
        <v>1041.75</v>
      </c>
      <c r="T181" s="36">
        <v>19.0</v>
      </c>
      <c r="U181" s="36">
        <v>4.0</v>
      </c>
      <c r="V181" s="36">
        <v>11.0</v>
      </c>
      <c r="W181" s="36">
        <v>2.0</v>
      </c>
      <c r="X181" s="36">
        <v>0.0</v>
      </c>
      <c r="Y181" s="36">
        <v>36.0</v>
      </c>
    </row>
    <row r="182">
      <c r="A182" s="32" t="s">
        <v>2203</v>
      </c>
      <c r="B182" s="32" t="s">
        <v>2203</v>
      </c>
      <c r="C182" s="32" t="s">
        <v>2204</v>
      </c>
      <c r="D182" s="32" t="s">
        <v>2205</v>
      </c>
      <c r="E182" s="32" t="s">
        <v>5073</v>
      </c>
      <c r="F182" s="32" t="e">
        <v>#N/A</v>
      </c>
      <c r="G182" s="39"/>
      <c r="H182" s="32" t="s">
        <v>2206</v>
      </c>
      <c r="I182" s="32" t="s">
        <v>5073</v>
      </c>
      <c r="J182" s="32" t="s">
        <v>2207</v>
      </c>
      <c r="K182" s="33" t="s">
        <v>2208</v>
      </c>
      <c r="L182" s="32">
        <v>3.1862317E7</v>
      </c>
      <c r="M182" s="32" t="e">
        <v>#N/A</v>
      </c>
      <c r="N182" s="32" t="s">
        <v>5077</v>
      </c>
      <c r="O182" s="32" t="s">
        <v>4730</v>
      </c>
      <c r="P182" s="32">
        <v>789.0</v>
      </c>
      <c r="Q182" s="34">
        <v>750.0</v>
      </c>
      <c r="R182" s="35">
        <v>750.0</v>
      </c>
      <c r="S182" s="35">
        <v>710.1</v>
      </c>
      <c r="T182" s="36">
        <v>8.0</v>
      </c>
      <c r="U182" s="36">
        <v>2.0</v>
      </c>
      <c r="V182" s="36">
        <v>26.0</v>
      </c>
      <c r="W182" s="36">
        <v>0.0</v>
      </c>
      <c r="X182" s="36">
        <v>0.0</v>
      </c>
      <c r="Y182" s="36">
        <v>36.0</v>
      </c>
    </row>
    <row r="183">
      <c r="A183" s="32" t="s">
        <v>1333</v>
      </c>
      <c r="B183" s="32" t="s">
        <v>1333</v>
      </c>
      <c r="C183" s="32" t="s">
        <v>1334</v>
      </c>
      <c r="D183" s="32" t="s">
        <v>1335</v>
      </c>
      <c r="E183" s="32" t="s">
        <v>5073</v>
      </c>
      <c r="F183" s="32" t="e">
        <v>#N/A</v>
      </c>
      <c r="G183" s="39"/>
      <c r="H183" s="32" t="s">
        <v>1336</v>
      </c>
      <c r="I183" s="32" t="s">
        <v>5073</v>
      </c>
      <c r="J183" s="32" t="s">
        <v>1337</v>
      </c>
      <c r="K183" s="33" t="s">
        <v>1338</v>
      </c>
      <c r="L183" s="32">
        <v>3.18184E7</v>
      </c>
      <c r="M183" s="32" t="e">
        <v>#N/A</v>
      </c>
      <c r="N183" s="32" t="s">
        <v>5089</v>
      </c>
      <c r="O183" s="32" t="s">
        <v>4730</v>
      </c>
      <c r="P183" s="32">
        <v>2449.0</v>
      </c>
      <c r="Q183" s="34">
        <v>2004.0</v>
      </c>
      <c r="R183" s="40">
        <v>2004.0</v>
      </c>
      <c r="S183" s="35">
        <v>1959.2</v>
      </c>
      <c r="T183" s="36">
        <v>23.0</v>
      </c>
      <c r="U183" s="36">
        <v>2.0</v>
      </c>
      <c r="V183" s="36">
        <v>11.0</v>
      </c>
      <c r="W183" s="36">
        <v>0.0</v>
      </c>
      <c r="X183" s="36">
        <v>0.0</v>
      </c>
      <c r="Y183" s="36">
        <v>36.0</v>
      </c>
    </row>
    <row r="184">
      <c r="A184" s="32" t="s">
        <v>3544</v>
      </c>
      <c r="B184" s="32" t="s">
        <v>3544</v>
      </c>
      <c r="C184" s="32" t="s">
        <v>3545</v>
      </c>
      <c r="D184" s="32" t="s">
        <v>3547</v>
      </c>
      <c r="E184" s="32" t="s">
        <v>5073</v>
      </c>
      <c r="F184" s="32" t="e">
        <v>#N/A</v>
      </c>
      <c r="G184" s="32" t="e">
        <v>#N/A</v>
      </c>
      <c r="H184" s="32" t="s">
        <v>3548</v>
      </c>
      <c r="I184" s="32" t="s">
        <v>5073</v>
      </c>
      <c r="J184" s="32" t="s">
        <v>3549</v>
      </c>
      <c r="K184" s="33" t="s">
        <v>3550</v>
      </c>
      <c r="L184" s="32" t="e">
        <v>#N/A</v>
      </c>
      <c r="M184" s="32" t="e">
        <v>#N/A</v>
      </c>
      <c r="N184" s="32" t="s">
        <v>5098</v>
      </c>
      <c r="O184" s="32" t="s">
        <v>4730</v>
      </c>
      <c r="P184" s="32">
        <v>799.0</v>
      </c>
      <c r="Q184" s="34">
        <v>719.0</v>
      </c>
      <c r="R184" s="35">
        <v>719.0</v>
      </c>
      <c r="S184" s="35">
        <v>679.15</v>
      </c>
      <c r="T184" s="36">
        <v>0.0</v>
      </c>
      <c r="U184" s="36">
        <v>0.0</v>
      </c>
      <c r="V184" s="36">
        <v>20.0</v>
      </c>
      <c r="W184" s="36">
        <v>8.0</v>
      </c>
      <c r="X184" s="36">
        <v>8.0</v>
      </c>
      <c r="Y184" s="36">
        <v>36.0</v>
      </c>
    </row>
    <row r="185">
      <c r="A185" s="32" t="s">
        <v>1469</v>
      </c>
      <c r="B185" s="32" t="s">
        <v>1469</v>
      </c>
      <c r="C185" s="32" t="s">
        <v>1470</v>
      </c>
      <c r="D185" s="32" t="s">
        <v>1471</v>
      </c>
      <c r="E185" s="32" t="s">
        <v>5073</v>
      </c>
      <c r="F185" s="32" t="e">
        <v>#N/A</v>
      </c>
      <c r="G185" s="39"/>
      <c r="H185" s="32" t="s">
        <v>1472</v>
      </c>
      <c r="I185" s="32" t="s">
        <v>5073</v>
      </c>
      <c r="J185" s="32" t="s">
        <v>1473</v>
      </c>
      <c r="K185" s="33" t="s">
        <v>1474</v>
      </c>
      <c r="L185" s="32">
        <v>3.1818477E7</v>
      </c>
      <c r="M185" s="32" t="e">
        <v>#N/A</v>
      </c>
      <c r="N185" s="32" t="s">
        <v>5089</v>
      </c>
      <c r="O185" s="32" t="s">
        <v>4730</v>
      </c>
      <c r="P185" s="32">
        <v>2999.0</v>
      </c>
      <c r="Q185" s="34">
        <v>2449.0</v>
      </c>
      <c r="R185" s="40">
        <v>2449.0</v>
      </c>
      <c r="S185" s="35">
        <v>2399.2</v>
      </c>
      <c r="T185" s="36">
        <v>11.0</v>
      </c>
      <c r="U185" s="36">
        <v>0.0</v>
      </c>
      <c r="V185" s="36">
        <v>14.0</v>
      </c>
      <c r="W185" s="36">
        <v>10.0</v>
      </c>
      <c r="X185" s="36">
        <v>1.0</v>
      </c>
      <c r="Y185" s="36">
        <v>36.0</v>
      </c>
    </row>
    <row r="186">
      <c r="A186" s="32" t="s">
        <v>2677</v>
      </c>
      <c r="B186" s="32" t="s">
        <v>2677</v>
      </c>
      <c r="C186" s="32">
        <v>0.0</v>
      </c>
      <c r="D186" s="32" t="e">
        <v>#N/A</v>
      </c>
      <c r="E186" s="39"/>
      <c r="F186" s="32" t="e">
        <v>#N/A</v>
      </c>
      <c r="G186" s="39"/>
      <c r="H186" s="32" t="e">
        <v>#N/A</v>
      </c>
      <c r="I186" s="39"/>
      <c r="J186" s="32">
        <v>0.0</v>
      </c>
      <c r="K186" s="33" t="e">
        <v>#N/A</v>
      </c>
      <c r="L186" s="32" t="e">
        <v>#N/A</v>
      </c>
      <c r="M186" s="32" t="e">
        <v>#N/A</v>
      </c>
      <c r="N186" s="32" t="e">
        <v>#N/A</v>
      </c>
      <c r="O186" s="32" t="e">
        <v>#N/A</v>
      </c>
      <c r="P186" s="32" t="e">
        <v>#REF!</v>
      </c>
      <c r="Q186" s="32" t="e">
        <v>#N/A</v>
      </c>
      <c r="R186" s="42" t="e">
        <v>#N/A</v>
      </c>
      <c r="S186" s="42" t="e">
        <v>#N/A</v>
      </c>
      <c r="T186" s="36">
        <v>12.0</v>
      </c>
      <c r="U186" s="36">
        <v>12.0</v>
      </c>
      <c r="V186" s="36">
        <v>0.0</v>
      </c>
      <c r="W186" s="36">
        <v>9.0</v>
      </c>
      <c r="X186" s="36">
        <v>2.0</v>
      </c>
      <c r="Y186" s="36">
        <v>35.0</v>
      </c>
    </row>
    <row r="187">
      <c r="A187" s="32" t="s">
        <v>3159</v>
      </c>
      <c r="B187" s="32" t="s">
        <v>3159</v>
      </c>
      <c r="C187" s="32" t="s">
        <v>3160</v>
      </c>
      <c r="D187" s="32" t="s">
        <v>3161</v>
      </c>
      <c r="E187" s="32" t="s">
        <v>5073</v>
      </c>
      <c r="F187" s="32" t="e">
        <v>#N/A</v>
      </c>
      <c r="G187" s="39"/>
      <c r="H187" s="32">
        <v>0.0</v>
      </c>
      <c r="I187" s="39"/>
      <c r="J187" s="32" t="s">
        <v>3162</v>
      </c>
      <c r="K187" s="33" t="s">
        <v>3163</v>
      </c>
      <c r="L187" s="32" t="e">
        <v>#N/A</v>
      </c>
      <c r="M187" s="32" t="e">
        <v>#N/A</v>
      </c>
      <c r="N187" s="32" t="s">
        <v>5087</v>
      </c>
      <c r="O187" s="32" t="s">
        <v>4730</v>
      </c>
      <c r="P187" s="32">
        <v>2689.0</v>
      </c>
      <c r="Q187" s="34">
        <v>2268.0</v>
      </c>
      <c r="R187" s="40">
        <v>2299.0</v>
      </c>
      <c r="S187" s="35">
        <v>2285.65</v>
      </c>
      <c r="T187" s="36">
        <v>0.0</v>
      </c>
      <c r="U187" s="36">
        <v>0.0</v>
      </c>
      <c r="V187" s="36">
        <v>35.0</v>
      </c>
      <c r="W187" s="36">
        <v>0.0</v>
      </c>
      <c r="X187" s="36">
        <v>0.0</v>
      </c>
      <c r="Y187" s="36">
        <v>35.0</v>
      </c>
    </row>
    <row r="188">
      <c r="A188" s="32" t="s">
        <v>1285</v>
      </c>
      <c r="B188" s="32" t="s">
        <v>1285</v>
      </c>
      <c r="C188" s="32" t="s">
        <v>1286</v>
      </c>
      <c r="D188" s="32" t="s">
        <v>1287</v>
      </c>
      <c r="E188" s="32" t="s">
        <v>5073</v>
      </c>
      <c r="F188" s="32" t="e">
        <v>#N/A</v>
      </c>
      <c r="G188" s="39"/>
      <c r="H188" s="32" t="s">
        <v>1288</v>
      </c>
      <c r="I188" s="32" t="s">
        <v>5073</v>
      </c>
      <c r="J188" s="32" t="s">
        <v>1289</v>
      </c>
      <c r="K188" s="33" t="s">
        <v>1290</v>
      </c>
      <c r="L188" s="32">
        <v>3.1818414E7</v>
      </c>
      <c r="M188" s="32" t="e">
        <v>#N/A</v>
      </c>
      <c r="N188" s="32" t="s">
        <v>5089</v>
      </c>
      <c r="O188" s="32" t="s">
        <v>4730</v>
      </c>
      <c r="P188" s="32">
        <v>2449.0</v>
      </c>
      <c r="Q188" s="34">
        <v>2004.0</v>
      </c>
      <c r="R188" s="40">
        <v>2004.0</v>
      </c>
      <c r="S188" s="35">
        <v>1959.2</v>
      </c>
      <c r="T188" s="36">
        <v>29.0</v>
      </c>
      <c r="U188" s="36">
        <v>0.0</v>
      </c>
      <c r="V188" s="36">
        <v>6.0</v>
      </c>
      <c r="W188" s="36">
        <v>0.0</v>
      </c>
      <c r="X188" s="36">
        <v>0.0</v>
      </c>
      <c r="Y188" s="36">
        <v>35.0</v>
      </c>
    </row>
    <row r="189">
      <c r="A189" s="32" t="s">
        <v>1315</v>
      </c>
      <c r="B189" s="32" t="s">
        <v>1315</v>
      </c>
      <c r="C189" s="32" t="s">
        <v>1316</v>
      </c>
      <c r="D189" s="32" t="s">
        <v>1317</v>
      </c>
      <c r="E189" s="32" t="s">
        <v>5090</v>
      </c>
      <c r="F189" s="32" t="e">
        <v>#N/A</v>
      </c>
      <c r="G189" s="39"/>
      <c r="H189" s="32" t="s">
        <v>1318</v>
      </c>
      <c r="I189" s="32" t="s">
        <v>5122</v>
      </c>
      <c r="J189" s="32" t="s">
        <v>1319</v>
      </c>
      <c r="K189" s="33" t="s">
        <v>1320</v>
      </c>
      <c r="L189" s="32">
        <v>3.181838E7</v>
      </c>
      <c r="M189" s="32" t="e">
        <v>#N/A</v>
      </c>
      <c r="N189" s="32" t="s">
        <v>5089</v>
      </c>
      <c r="O189" s="32" t="s">
        <v>4730</v>
      </c>
      <c r="P189" s="32">
        <v>2449.0</v>
      </c>
      <c r="Q189" s="34">
        <v>2004.0</v>
      </c>
      <c r="R189" s="40">
        <v>2004.0</v>
      </c>
      <c r="S189" s="35">
        <v>1959.2</v>
      </c>
      <c r="T189" s="36">
        <v>28.0</v>
      </c>
      <c r="U189" s="36">
        <v>2.0</v>
      </c>
      <c r="V189" s="36">
        <v>5.0</v>
      </c>
      <c r="W189" s="36">
        <v>0.0</v>
      </c>
      <c r="X189" s="36">
        <v>0.0</v>
      </c>
      <c r="Y189" s="36">
        <v>35.0</v>
      </c>
    </row>
    <row r="190">
      <c r="A190" s="32" t="s">
        <v>3241</v>
      </c>
      <c r="B190" s="32" t="s">
        <v>3241</v>
      </c>
      <c r="C190" s="32" t="s">
        <v>3242</v>
      </c>
      <c r="D190" s="32" t="s">
        <v>3243</v>
      </c>
      <c r="E190" s="32" t="s">
        <v>5073</v>
      </c>
      <c r="F190" s="32" t="e">
        <v>#N/A</v>
      </c>
      <c r="G190" s="39"/>
      <c r="H190" s="32" t="s">
        <v>3244</v>
      </c>
      <c r="I190" s="32" t="s">
        <v>5073</v>
      </c>
      <c r="J190" s="32" t="s">
        <v>3245</v>
      </c>
      <c r="K190" s="33" t="s">
        <v>3246</v>
      </c>
      <c r="L190" s="32">
        <v>3.1818406E7</v>
      </c>
      <c r="M190" s="32" t="e">
        <v>#N/A</v>
      </c>
      <c r="N190" s="32" t="s">
        <v>5086</v>
      </c>
      <c r="O190" s="32" t="s">
        <v>4730</v>
      </c>
      <c r="P190" s="32">
        <v>1889.0</v>
      </c>
      <c r="Q190" s="34">
        <v>1699.0</v>
      </c>
      <c r="R190" s="40">
        <v>1699.0</v>
      </c>
      <c r="S190" s="35">
        <v>1605.65</v>
      </c>
      <c r="T190" s="36">
        <v>0.0</v>
      </c>
      <c r="U190" s="36">
        <v>0.0</v>
      </c>
      <c r="V190" s="36">
        <v>34.0</v>
      </c>
      <c r="W190" s="36">
        <v>0.0</v>
      </c>
      <c r="X190" s="36">
        <v>1.0</v>
      </c>
      <c r="Y190" s="36">
        <v>35.0</v>
      </c>
    </row>
    <row r="191">
      <c r="A191" s="32" t="s">
        <v>2791</v>
      </c>
      <c r="B191" s="32" t="s">
        <v>2791</v>
      </c>
      <c r="C191" s="32">
        <v>0.0</v>
      </c>
      <c r="D191" s="32" t="e">
        <v>#N/A</v>
      </c>
      <c r="E191" s="39"/>
      <c r="F191" s="32" t="e">
        <v>#N/A</v>
      </c>
      <c r="G191" s="39"/>
      <c r="H191" s="32" t="e">
        <v>#N/A</v>
      </c>
      <c r="I191" s="39"/>
      <c r="J191" s="32">
        <v>0.0</v>
      </c>
      <c r="K191" s="33" t="e">
        <v>#N/A</v>
      </c>
      <c r="L191" s="32" t="e">
        <v>#N/A</v>
      </c>
      <c r="M191" s="32" t="e">
        <v>#N/A</v>
      </c>
      <c r="N191" s="32" t="e">
        <v>#N/A</v>
      </c>
      <c r="O191" s="32" t="e">
        <v>#N/A</v>
      </c>
      <c r="P191" s="32" t="e">
        <v>#REF!</v>
      </c>
      <c r="Q191" s="32" t="e">
        <v>#N/A</v>
      </c>
      <c r="R191" s="42" t="e">
        <v>#N/A</v>
      </c>
      <c r="S191" s="42" t="e">
        <v>#N/A</v>
      </c>
      <c r="T191" s="36">
        <v>0.0</v>
      </c>
      <c r="U191" s="36">
        <v>0.0</v>
      </c>
      <c r="V191" s="36">
        <v>35.0</v>
      </c>
      <c r="W191" s="36">
        <v>0.0</v>
      </c>
      <c r="X191" s="36">
        <v>0.0</v>
      </c>
      <c r="Y191" s="36">
        <v>35.0</v>
      </c>
    </row>
    <row r="192">
      <c r="A192" s="32" t="s">
        <v>950</v>
      </c>
      <c r="B192" s="32" t="s">
        <v>950</v>
      </c>
      <c r="C192" s="32" t="s">
        <v>951</v>
      </c>
      <c r="D192" s="32" t="s">
        <v>952</v>
      </c>
      <c r="E192" s="32" t="s">
        <v>5073</v>
      </c>
      <c r="F192" s="32" t="e">
        <v>#N/A</v>
      </c>
      <c r="G192" s="32" t="e">
        <v>#N/A</v>
      </c>
      <c r="H192" s="32" t="s">
        <v>953</v>
      </c>
      <c r="I192" s="32" t="s">
        <v>5073</v>
      </c>
      <c r="J192" s="32" t="s">
        <v>954</v>
      </c>
      <c r="K192" s="33" t="s">
        <v>955</v>
      </c>
      <c r="L192" s="32">
        <v>3.1999068E7</v>
      </c>
      <c r="M192" s="32" t="s">
        <v>956</v>
      </c>
      <c r="N192" s="32" t="s">
        <v>5108</v>
      </c>
      <c r="O192" s="32" t="s">
        <v>52</v>
      </c>
      <c r="P192" s="32">
        <v>20199.0</v>
      </c>
      <c r="Q192" s="34">
        <v>16967.0</v>
      </c>
      <c r="R192" s="40">
        <v>18199.0</v>
      </c>
      <c r="S192" s="35">
        <v>16159.2</v>
      </c>
      <c r="T192" s="36">
        <v>29.0</v>
      </c>
      <c r="U192" s="36">
        <v>0.0</v>
      </c>
      <c r="V192" s="36">
        <v>5.0</v>
      </c>
      <c r="W192" s="36">
        <v>0.0</v>
      </c>
      <c r="X192" s="36">
        <v>0.0</v>
      </c>
      <c r="Y192" s="36">
        <v>34.0</v>
      </c>
    </row>
    <row r="193">
      <c r="A193" s="32" t="s">
        <v>4342</v>
      </c>
      <c r="B193" s="32" t="s">
        <v>4342</v>
      </c>
      <c r="C193" s="32" t="s">
        <v>4343</v>
      </c>
      <c r="D193" s="32" t="s">
        <v>4344</v>
      </c>
      <c r="E193" s="32" t="s">
        <v>5073</v>
      </c>
      <c r="F193" s="32" t="e">
        <v>#N/A</v>
      </c>
      <c r="G193" s="38"/>
      <c r="H193" s="32">
        <v>0.0</v>
      </c>
      <c r="I193" s="39"/>
      <c r="J193" s="32" t="s">
        <v>4345</v>
      </c>
      <c r="K193" s="33" t="s">
        <v>4346</v>
      </c>
      <c r="L193" s="32" t="e">
        <v>#N/A</v>
      </c>
      <c r="M193" s="32" t="s">
        <v>4347</v>
      </c>
      <c r="N193" s="32" t="s">
        <v>5118</v>
      </c>
      <c r="O193" s="32" t="s">
        <v>52</v>
      </c>
      <c r="P193" s="32">
        <v>15399.0</v>
      </c>
      <c r="Q193" s="34">
        <v>13859.0</v>
      </c>
      <c r="R193" s="40">
        <v>14799.0</v>
      </c>
      <c r="S193" s="35">
        <v>13529.34</v>
      </c>
      <c r="T193" s="36">
        <v>3.0</v>
      </c>
      <c r="U193" s="36">
        <v>1.0</v>
      </c>
      <c r="V193" s="36">
        <v>26.0</v>
      </c>
      <c r="W193" s="36">
        <v>1.0</v>
      </c>
      <c r="X193" s="36">
        <v>3.0</v>
      </c>
      <c r="Y193" s="36">
        <v>34.0</v>
      </c>
    </row>
    <row r="194">
      <c r="A194" s="32" t="s">
        <v>2745</v>
      </c>
      <c r="B194" s="32" t="s">
        <v>2745</v>
      </c>
      <c r="C194" s="32" t="s">
        <v>2746</v>
      </c>
      <c r="D194" s="32" t="s">
        <v>2747</v>
      </c>
      <c r="E194" s="32" t="s">
        <v>5073</v>
      </c>
      <c r="F194" s="32" t="e">
        <v>#N/A</v>
      </c>
      <c r="G194" s="39"/>
      <c r="H194" s="32" t="s">
        <v>2748</v>
      </c>
      <c r="I194" s="32" t="s">
        <v>5073</v>
      </c>
      <c r="J194" s="32" t="s">
        <v>2749</v>
      </c>
      <c r="K194" s="33" t="s">
        <v>2750</v>
      </c>
      <c r="L194" s="32" t="e">
        <v>#N/A</v>
      </c>
      <c r="M194" s="32" t="e">
        <v>#N/A</v>
      </c>
      <c r="N194" s="32" t="s">
        <v>5107</v>
      </c>
      <c r="O194" s="32" t="s">
        <v>4730</v>
      </c>
      <c r="P194" s="32">
        <v>1989.0</v>
      </c>
      <c r="Q194" s="34">
        <v>1628.0</v>
      </c>
      <c r="R194" s="40">
        <v>1628.0</v>
      </c>
      <c r="S194" s="35">
        <v>1491.75</v>
      </c>
      <c r="T194" s="36">
        <v>14.0</v>
      </c>
      <c r="U194" s="36">
        <v>0.0</v>
      </c>
      <c r="V194" s="36">
        <v>20.0</v>
      </c>
      <c r="W194" s="36">
        <v>0.0</v>
      </c>
      <c r="X194" s="36">
        <v>0.0</v>
      </c>
      <c r="Y194" s="36">
        <v>34.0</v>
      </c>
    </row>
    <row r="195">
      <c r="A195" s="32" t="s">
        <v>3866</v>
      </c>
      <c r="B195" s="32" t="s">
        <v>3866</v>
      </c>
      <c r="C195" s="32" t="s">
        <v>3867</v>
      </c>
      <c r="D195" s="32" t="s">
        <v>3868</v>
      </c>
      <c r="E195" s="32" t="s">
        <v>5073</v>
      </c>
      <c r="F195" s="32" t="e">
        <v>#N/A</v>
      </c>
      <c r="G195" s="39"/>
      <c r="H195" s="32">
        <v>0.0</v>
      </c>
      <c r="I195" s="39"/>
      <c r="J195" s="32" t="s">
        <v>3869</v>
      </c>
      <c r="K195" s="33" t="s">
        <v>3870</v>
      </c>
      <c r="L195" s="32" t="e">
        <v>#N/A</v>
      </c>
      <c r="M195" s="32" t="e">
        <v>#N/A</v>
      </c>
      <c r="N195" s="32" t="s">
        <v>4727</v>
      </c>
      <c r="O195" s="32" t="s">
        <v>4727</v>
      </c>
      <c r="P195" s="32">
        <v>1869.0</v>
      </c>
      <c r="Q195" s="34">
        <v>1495.0</v>
      </c>
      <c r="R195" s="40">
        <v>1499.0</v>
      </c>
      <c r="S195" s="35">
        <v>1401.75</v>
      </c>
      <c r="T195" s="36">
        <v>32.0</v>
      </c>
      <c r="U195" s="36">
        <v>0.0</v>
      </c>
      <c r="V195" s="36">
        <v>2.0</v>
      </c>
      <c r="W195" s="36">
        <v>0.0</v>
      </c>
      <c r="X195" s="36">
        <v>0.0</v>
      </c>
      <c r="Y195" s="36">
        <v>34.0</v>
      </c>
    </row>
    <row r="196">
      <c r="A196" s="32" t="s">
        <v>1261</v>
      </c>
      <c r="B196" s="32" t="s">
        <v>1261</v>
      </c>
      <c r="C196" s="32" t="s">
        <v>1262</v>
      </c>
      <c r="D196" s="32" t="s">
        <v>1263</v>
      </c>
      <c r="E196" s="32" t="s">
        <v>5073</v>
      </c>
      <c r="F196" s="32" t="e">
        <v>#N/A</v>
      </c>
      <c r="G196" s="39"/>
      <c r="H196" s="32" t="s">
        <v>1264</v>
      </c>
      <c r="I196" s="32" t="s">
        <v>5073</v>
      </c>
      <c r="J196" s="32" t="s">
        <v>1265</v>
      </c>
      <c r="K196" s="33" t="s">
        <v>1266</v>
      </c>
      <c r="L196" s="32">
        <v>3.1818472E7</v>
      </c>
      <c r="M196" s="32" t="e">
        <v>#N/A</v>
      </c>
      <c r="N196" s="32" t="s">
        <v>5089</v>
      </c>
      <c r="O196" s="32" t="s">
        <v>4730</v>
      </c>
      <c r="P196" s="32">
        <v>1999.0</v>
      </c>
      <c r="Q196" s="34">
        <v>1629.0</v>
      </c>
      <c r="R196" s="40">
        <v>1629.0</v>
      </c>
      <c r="S196" s="35">
        <v>1599.2</v>
      </c>
      <c r="T196" s="36">
        <v>23.0</v>
      </c>
      <c r="U196" s="36">
        <v>2.0</v>
      </c>
      <c r="V196" s="36">
        <v>9.0</v>
      </c>
      <c r="W196" s="36">
        <v>0.0</v>
      </c>
      <c r="X196" s="36">
        <v>0.0</v>
      </c>
      <c r="Y196" s="36">
        <v>34.0</v>
      </c>
    </row>
    <row r="197">
      <c r="A197" s="32" t="s">
        <v>1291</v>
      </c>
      <c r="B197" s="32" t="s">
        <v>1291</v>
      </c>
      <c r="C197" s="32" t="s">
        <v>1292</v>
      </c>
      <c r="D197" s="32" t="s">
        <v>1293</v>
      </c>
      <c r="E197" s="32" t="s">
        <v>5073</v>
      </c>
      <c r="F197" s="32" t="e">
        <v>#N/A</v>
      </c>
      <c r="G197" s="39"/>
      <c r="H197" s="32" t="s">
        <v>1294</v>
      </c>
      <c r="I197" s="32" t="s">
        <v>5073</v>
      </c>
      <c r="J197" s="32" t="s">
        <v>1295</v>
      </c>
      <c r="K197" s="33" t="s">
        <v>1296</v>
      </c>
      <c r="L197" s="32">
        <v>3.1818381E7</v>
      </c>
      <c r="M197" s="32" t="e">
        <v>#N/A</v>
      </c>
      <c r="N197" s="32" t="s">
        <v>5116</v>
      </c>
      <c r="O197" s="32" t="s">
        <v>4730</v>
      </c>
      <c r="P197" s="32">
        <v>2449.0</v>
      </c>
      <c r="Q197" s="34">
        <v>2099.0</v>
      </c>
      <c r="R197" s="40">
        <v>2099.0</v>
      </c>
      <c r="S197" s="35">
        <v>2081.65</v>
      </c>
      <c r="T197" s="36">
        <v>22.0</v>
      </c>
      <c r="U197" s="36">
        <v>0.0</v>
      </c>
      <c r="V197" s="36">
        <v>7.0</v>
      </c>
      <c r="W197" s="36">
        <v>5.0</v>
      </c>
      <c r="X197" s="36">
        <v>0.0</v>
      </c>
      <c r="Y197" s="36">
        <v>34.0</v>
      </c>
    </row>
    <row r="198">
      <c r="A198" s="32" t="s">
        <v>2757</v>
      </c>
      <c r="B198" s="32" t="s">
        <v>2757</v>
      </c>
      <c r="C198" s="32" t="s">
        <v>2758</v>
      </c>
      <c r="D198" s="32" t="s">
        <v>2759</v>
      </c>
      <c r="E198" s="32" t="s">
        <v>5073</v>
      </c>
      <c r="F198" s="32" t="e">
        <v>#N/A</v>
      </c>
      <c r="G198" s="39"/>
      <c r="H198" s="32" t="s">
        <v>2760</v>
      </c>
      <c r="I198" s="32" t="s">
        <v>5073</v>
      </c>
      <c r="J198" s="32" t="s">
        <v>2761</v>
      </c>
      <c r="K198" s="33" t="s">
        <v>2762</v>
      </c>
      <c r="L198" s="32" t="e">
        <v>#N/A</v>
      </c>
      <c r="M198" s="32" t="e">
        <v>#N/A</v>
      </c>
      <c r="N198" s="32" t="s">
        <v>5107</v>
      </c>
      <c r="O198" s="32" t="s">
        <v>4730</v>
      </c>
      <c r="P198" s="32">
        <v>1989.0</v>
      </c>
      <c r="Q198" s="34">
        <v>1628.0</v>
      </c>
      <c r="R198" s="40">
        <v>1628.0</v>
      </c>
      <c r="S198" s="35">
        <v>1491.75</v>
      </c>
      <c r="T198" s="36">
        <v>0.0</v>
      </c>
      <c r="U198" s="36">
        <v>0.0</v>
      </c>
      <c r="V198" s="36">
        <v>34.0</v>
      </c>
      <c r="W198" s="36">
        <v>0.0</v>
      </c>
      <c r="X198" s="36">
        <v>0.0</v>
      </c>
      <c r="Y198" s="36">
        <v>34.0</v>
      </c>
    </row>
    <row r="199">
      <c r="A199" s="32" t="s">
        <v>2601</v>
      </c>
      <c r="B199" s="32" t="s">
        <v>2601</v>
      </c>
      <c r="C199" s="32">
        <v>0.0</v>
      </c>
      <c r="D199" s="32" t="s">
        <v>1161</v>
      </c>
      <c r="E199" s="39"/>
      <c r="F199" s="32" t="e">
        <v>#N/A</v>
      </c>
      <c r="G199" s="39"/>
      <c r="H199" s="32">
        <v>0.0</v>
      </c>
      <c r="I199" s="39"/>
      <c r="J199" s="32" t="s">
        <v>2602</v>
      </c>
      <c r="K199" s="33" t="e">
        <v>#N/A</v>
      </c>
      <c r="L199" s="32" t="e">
        <v>#N/A</v>
      </c>
      <c r="M199" s="32" t="s">
        <v>2603</v>
      </c>
      <c r="N199" s="32" t="s">
        <v>5113</v>
      </c>
      <c r="O199" s="32" t="s">
        <v>5114</v>
      </c>
      <c r="P199" s="32">
        <v>4489.0</v>
      </c>
      <c r="Q199" s="34">
        <v>4444.11</v>
      </c>
      <c r="R199" s="40">
        <v>4489.0</v>
      </c>
      <c r="S199" s="35">
        <v>4449.0</v>
      </c>
      <c r="T199" s="36">
        <v>0.0</v>
      </c>
      <c r="U199" s="36">
        <v>2.0</v>
      </c>
      <c r="V199" s="36">
        <v>32.0</v>
      </c>
      <c r="W199" s="36">
        <v>0.0</v>
      </c>
      <c r="X199" s="36">
        <v>0.0</v>
      </c>
      <c r="Y199" s="36">
        <v>34.0</v>
      </c>
    </row>
    <row r="200">
      <c r="A200" s="32" t="s">
        <v>4940</v>
      </c>
      <c r="B200" s="32" t="s">
        <v>4940</v>
      </c>
      <c r="C200" s="32" t="s">
        <v>4941</v>
      </c>
      <c r="D200" s="32" t="s">
        <v>4942</v>
      </c>
      <c r="E200" s="32" t="s">
        <v>5102</v>
      </c>
      <c r="F200" s="32" t="e">
        <v>#N/A</v>
      </c>
      <c r="G200" s="32" t="e">
        <v>#N/A</v>
      </c>
      <c r="H200" s="32">
        <v>0.0</v>
      </c>
      <c r="I200" s="32">
        <v>0.0</v>
      </c>
      <c r="J200" s="32" t="s">
        <v>4943</v>
      </c>
      <c r="K200" s="38"/>
      <c r="L200" s="38"/>
      <c r="M200" s="38"/>
      <c r="N200" s="32" t="s">
        <v>5077</v>
      </c>
      <c r="O200" s="32" t="s">
        <v>4730</v>
      </c>
      <c r="P200" s="32">
        <v>1499.0</v>
      </c>
      <c r="Q200" s="44">
        <v>1424.0</v>
      </c>
      <c r="R200" s="40">
        <v>1424.0</v>
      </c>
      <c r="S200" s="35">
        <v>1349.1</v>
      </c>
      <c r="T200" s="36">
        <v>13.0</v>
      </c>
      <c r="U200" s="36">
        <v>0.0</v>
      </c>
      <c r="V200" s="36">
        <v>20.0</v>
      </c>
      <c r="W200" s="36">
        <v>0.0</v>
      </c>
      <c r="X200" s="36">
        <v>0.0</v>
      </c>
      <c r="Y200" s="36">
        <v>33.0</v>
      </c>
    </row>
    <row r="201">
      <c r="A201" s="32" t="s">
        <v>4644</v>
      </c>
      <c r="B201" s="32" t="s">
        <v>4644</v>
      </c>
      <c r="C201" s="32" t="s">
        <v>4645</v>
      </c>
      <c r="D201" s="32" t="s">
        <v>4646</v>
      </c>
      <c r="E201" s="32" t="s">
        <v>5102</v>
      </c>
      <c r="F201" s="32" t="e">
        <v>#N/A</v>
      </c>
      <c r="G201" s="39"/>
      <c r="H201" s="32">
        <v>0.0</v>
      </c>
      <c r="I201" s="39"/>
      <c r="J201" s="32" t="s">
        <v>4647</v>
      </c>
      <c r="K201" s="33" t="s">
        <v>4648</v>
      </c>
      <c r="L201" s="32" t="e">
        <v>#N/A</v>
      </c>
      <c r="M201" s="32" t="e">
        <v>#N/A</v>
      </c>
      <c r="N201" s="32" t="s">
        <v>5077</v>
      </c>
      <c r="O201" s="32" t="s">
        <v>4730</v>
      </c>
      <c r="P201" s="32">
        <v>1699.0</v>
      </c>
      <c r="Q201" s="34">
        <v>1614.0</v>
      </c>
      <c r="R201" s="40">
        <v>1614.0</v>
      </c>
      <c r="S201" s="35">
        <v>1529.1</v>
      </c>
      <c r="T201" s="36">
        <v>13.0</v>
      </c>
      <c r="U201" s="36">
        <v>9.0</v>
      </c>
      <c r="V201" s="36">
        <v>0.0</v>
      </c>
      <c r="W201" s="36">
        <v>8.0</v>
      </c>
      <c r="X201" s="36">
        <v>3.0</v>
      </c>
      <c r="Y201" s="36">
        <v>33.0</v>
      </c>
    </row>
    <row r="202">
      <c r="A202" s="32" t="s">
        <v>1321</v>
      </c>
      <c r="B202" s="32" t="s">
        <v>1321</v>
      </c>
      <c r="C202" s="32" t="s">
        <v>1322</v>
      </c>
      <c r="D202" s="32" t="s">
        <v>1323</v>
      </c>
      <c r="E202" s="32" t="s">
        <v>5073</v>
      </c>
      <c r="F202" s="32" t="e">
        <v>#N/A</v>
      </c>
      <c r="G202" s="39"/>
      <c r="H202" s="32" t="s">
        <v>1324</v>
      </c>
      <c r="I202" s="32" t="s">
        <v>5073</v>
      </c>
      <c r="J202" s="32" t="s">
        <v>1325</v>
      </c>
      <c r="K202" s="33" t="s">
        <v>1326</v>
      </c>
      <c r="L202" s="32">
        <v>3.1818374E7</v>
      </c>
      <c r="M202" s="32" t="e">
        <v>#N/A</v>
      </c>
      <c r="N202" s="32" t="s">
        <v>5089</v>
      </c>
      <c r="O202" s="32" t="s">
        <v>4730</v>
      </c>
      <c r="P202" s="32">
        <v>2449.0</v>
      </c>
      <c r="Q202" s="34">
        <v>2004.0</v>
      </c>
      <c r="R202" s="40">
        <v>2004.0</v>
      </c>
      <c r="S202" s="35">
        <v>1959.2</v>
      </c>
      <c r="T202" s="36">
        <v>17.0</v>
      </c>
      <c r="U202" s="36">
        <v>3.0</v>
      </c>
      <c r="V202" s="36">
        <v>13.0</v>
      </c>
      <c r="W202" s="36">
        <v>0.0</v>
      </c>
      <c r="X202" s="36">
        <v>0.0</v>
      </c>
      <c r="Y202" s="36">
        <v>33.0</v>
      </c>
    </row>
    <row r="203">
      <c r="A203" s="32" t="s">
        <v>4496</v>
      </c>
      <c r="B203" s="32" t="s">
        <v>4496</v>
      </c>
      <c r="C203" s="32" t="s">
        <v>4497</v>
      </c>
      <c r="D203" s="32" t="s">
        <v>4498</v>
      </c>
      <c r="E203" s="32" t="s">
        <v>5102</v>
      </c>
      <c r="F203" s="32" t="e">
        <v>#N/A</v>
      </c>
      <c r="G203" s="39"/>
      <c r="H203" s="32">
        <v>0.0</v>
      </c>
      <c r="I203" s="39"/>
      <c r="J203" s="32" t="s">
        <v>4499</v>
      </c>
      <c r="K203" s="33" t="s">
        <v>4500</v>
      </c>
      <c r="L203" s="32" t="e">
        <v>#N/A</v>
      </c>
      <c r="M203" s="32" t="e">
        <v>#N/A</v>
      </c>
      <c r="N203" s="32" t="s">
        <v>5077</v>
      </c>
      <c r="O203" s="32" t="s">
        <v>4730</v>
      </c>
      <c r="P203" s="32">
        <v>1199.0</v>
      </c>
      <c r="Q203" s="34">
        <v>1139.0</v>
      </c>
      <c r="R203" s="40">
        <v>1139.0</v>
      </c>
      <c r="S203" s="35">
        <v>1079.1</v>
      </c>
      <c r="T203" s="36">
        <v>1.0</v>
      </c>
      <c r="U203" s="36">
        <v>0.0</v>
      </c>
      <c r="V203" s="36">
        <v>31.0</v>
      </c>
      <c r="W203" s="36">
        <v>0.0</v>
      </c>
      <c r="X203" s="36">
        <v>0.0</v>
      </c>
      <c r="Y203" s="36">
        <v>32.0</v>
      </c>
    </row>
    <row r="204">
      <c r="A204" s="32" t="s">
        <v>569</v>
      </c>
      <c r="B204" s="32" t="s">
        <v>569</v>
      </c>
      <c r="C204" s="32" t="s">
        <v>570</v>
      </c>
      <c r="D204" s="32" t="s">
        <v>571</v>
      </c>
      <c r="E204" s="32" t="s">
        <v>5073</v>
      </c>
      <c r="F204" s="32" t="e">
        <v>#N/A</v>
      </c>
      <c r="G204" s="39"/>
      <c r="H204" s="32" t="s">
        <v>572</v>
      </c>
      <c r="I204" s="32" t="s">
        <v>5073</v>
      </c>
      <c r="J204" s="32" t="s">
        <v>573</v>
      </c>
      <c r="K204" s="33" t="s">
        <v>574</v>
      </c>
      <c r="L204" s="32">
        <v>3.199906E7</v>
      </c>
      <c r="M204" s="32" t="s">
        <v>575</v>
      </c>
      <c r="N204" s="32" t="s">
        <v>51</v>
      </c>
      <c r="O204" s="32" t="s">
        <v>52</v>
      </c>
      <c r="P204" s="32">
        <v>17999.0</v>
      </c>
      <c r="Q204" s="34">
        <v>14579.0</v>
      </c>
      <c r="R204" s="40">
        <v>15699.0</v>
      </c>
      <c r="S204" s="35">
        <v>13679.24</v>
      </c>
      <c r="T204" s="36">
        <v>0.0</v>
      </c>
      <c r="U204" s="36">
        <v>5.0</v>
      </c>
      <c r="V204" s="36">
        <v>26.0</v>
      </c>
      <c r="W204" s="36">
        <v>1.0</v>
      </c>
      <c r="X204" s="36">
        <v>0.0</v>
      </c>
      <c r="Y204" s="36">
        <v>32.0</v>
      </c>
    </row>
    <row r="205">
      <c r="A205" s="32" t="s">
        <v>2252</v>
      </c>
      <c r="B205" s="32" t="s">
        <v>2252</v>
      </c>
      <c r="C205" s="32" t="s">
        <v>2253</v>
      </c>
      <c r="D205" s="32" t="s">
        <v>2254</v>
      </c>
      <c r="E205" s="32" t="s">
        <v>5073</v>
      </c>
      <c r="F205" s="32" t="s">
        <v>2252</v>
      </c>
      <c r="G205" s="32" t="s">
        <v>5100</v>
      </c>
      <c r="H205" s="32">
        <v>0.0</v>
      </c>
      <c r="I205" s="39"/>
      <c r="J205" s="32" t="s">
        <v>2255</v>
      </c>
      <c r="K205" s="33" t="s">
        <v>2256</v>
      </c>
      <c r="L205" s="32" t="e">
        <v>#N/A</v>
      </c>
      <c r="M205" s="32" t="e">
        <v>#N/A</v>
      </c>
      <c r="N205" s="32" t="s">
        <v>5077</v>
      </c>
      <c r="O205" s="32" t="s">
        <v>4730</v>
      </c>
      <c r="P205" s="32">
        <v>889.0</v>
      </c>
      <c r="Q205" s="34">
        <v>845.0</v>
      </c>
      <c r="R205" s="35">
        <v>845.0</v>
      </c>
      <c r="S205" s="35">
        <v>800.1</v>
      </c>
      <c r="T205" s="36">
        <v>0.0</v>
      </c>
      <c r="U205" s="36">
        <v>7.0</v>
      </c>
      <c r="V205" s="36">
        <v>18.0</v>
      </c>
      <c r="W205" s="36">
        <v>0.0</v>
      </c>
      <c r="X205" s="36">
        <v>7.0</v>
      </c>
      <c r="Y205" s="36">
        <v>32.0</v>
      </c>
    </row>
    <row r="206">
      <c r="A206" s="32" t="s">
        <v>1463</v>
      </c>
      <c r="B206" s="32" t="s">
        <v>1463</v>
      </c>
      <c r="C206" s="32" t="s">
        <v>1464</v>
      </c>
      <c r="D206" s="32" t="s">
        <v>1465</v>
      </c>
      <c r="E206" s="32" t="s">
        <v>5090</v>
      </c>
      <c r="F206" s="32" t="e">
        <v>#N/A</v>
      </c>
      <c r="G206" s="39"/>
      <c r="H206" s="32" t="s">
        <v>1466</v>
      </c>
      <c r="I206" s="32" t="s">
        <v>5122</v>
      </c>
      <c r="J206" s="32" t="s">
        <v>1467</v>
      </c>
      <c r="K206" s="33" t="s">
        <v>1468</v>
      </c>
      <c r="L206" s="32">
        <v>3.1818463E7</v>
      </c>
      <c r="M206" s="32" t="e">
        <v>#N/A</v>
      </c>
      <c r="N206" s="32" t="s">
        <v>5089</v>
      </c>
      <c r="O206" s="32" t="s">
        <v>4730</v>
      </c>
      <c r="P206" s="32">
        <v>2999.0</v>
      </c>
      <c r="Q206" s="34">
        <v>2449.0</v>
      </c>
      <c r="R206" s="40">
        <v>2449.0</v>
      </c>
      <c r="S206" s="35">
        <v>2399.2</v>
      </c>
      <c r="T206" s="36">
        <v>9.0</v>
      </c>
      <c r="U206" s="36">
        <v>10.0</v>
      </c>
      <c r="V206" s="36">
        <v>13.0</v>
      </c>
      <c r="W206" s="36">
        <v>0.0</v>
      </c>
      <c r="X206" s="36">
        <v>0.0</v>
      </c>
      <c r="Y206" s="36">
        <v>32.0</v>
      </c>
    </row>
    <row r="207">
      <c r="A207" s="32" t="s">
        <v>1388</v>
      </c>
      <c r="B207" s="32" t="s">
        <v>1388</v>
      </c>
      <c r="C207" s="32" t="s">
        <v>1389</v>
      </c>
      <c r="D207" s="32" t="s">
        <v>1390</v>
      </c>
      <c r="E207" s="32" t="s">
        <v>5073</v>
      </c>
      <c r="F207" s="32" t="e">
        <v>#N/A</v>
      </c>
      <c r="G207" s="39"/>
      <c r="H207" s="32" t="s">
        <v>1391</v>
      </c>
      <c r="I207" s="32" t="s">
        <v>5073</v>
      </c>
      <c r="J207" s="32" t="s">
        <v>1392</v>
      </c>
      <c r="K207" s="33" t="s">
        <v>1393</v>
      </c>
      <c r="L207" s="32">
        <v>3.1818395E7</v>
      </c>
      <c r="M207" s="32" t="e">
        <v>#N/A</v>
      </c>
      <c r="N207" s="32" t="s">
        <v>5089</v>
      </c>
      <c r="O207" s="32" t="s">
        <v>4730</v>
      </c>
      <c r="P207" s="32">
        <v>2649.0</v>
      </c>
      <c r="Q207" s="34">
        <v>2164.0</v>
      </c>
      <c r="R207" s="40">
        <v>2199.0</v>
      </c>
      <c r="S207" s="35">
        <v>2119.2</v>
      </c>
      <c r="T207" s="36">
        <v>0.0</v>
      </c>
      <c r="U207" s="36">
        <v>0.0</v>
      </c>
      <c r="V207" s="36">
        <v>32.0</v>
      </c>
      <c r="W207" s="36">
        <v>0.0</v>
      </c>
      <c r="X207" s="36">
        <v>0.0</v>
      </c>
      <c r="Y207" s="36">
        <v>32.0</v>
      </c>
    </row>
    <row r="208">
      <c r="A208" s="32" t="s">
        <v>1303</v>
      </c>
      <c r="B208" s="32" t="s">
        <v>1303</v>
      </c>
      <c r="C208" s="32" t="s">
        <v>1304</v>
      </c>
      <c r="D208" s="32" t="s">
        <v>1305</v>
      </c>
      <c r="E208" s="32" t="s">
        <v>5073</v>
      </c>
      <c r="F208" s="32" t="e">
        <v>#N/A</v>
      </c>
      <c r="G208" s="39"/>
      <c r="H208" s="32" t="s">
        <v>1306</v>
      </c>
      <c r="I208" s="32" t="s">
        <v>5073</v>
      </c>
      <c r="J208" s="32" t="s">
        <v>1307</v>
      </c>
      <c r="K208" s="33" t="s">
        <v>1308</v>
      </c>
      <c r="L208" s="32">
        <v>3.1818474E7</v>
      </c>
      <c r="M208" s="32" t="e">
        <v>#N/A</v>
      </c>
      <c r="N208" s="32" t="s">
        <v>5089</v>
      </c>
      <c r="O208" s="32" t="s">
        <v>4730</v>
      </c>
      <c r="P208" s="32">
        <v>2449.0</v>
      </c>
      <c r="Q208" s="34">
        <v>2004.0</v>
      </c>
      <c r="R208" s="40">
        <v>2004.0</v>
      </c>
      <c r="S208" s="35">
        <v>1959.2</v>
      </c>
      <c r="T208" s="36">
        <v>24.0</v>
      </c>
      <c r="U208" s="36">
        <v>0.0</v>
      </c>
      <c r="V208" s="36">
        <v>8.0</v>
      </c>
      <c r="W208" s="36">
        <v>0.0</v>
      </c>
      <c r="X208" s="36">
        <v>0.0</v>
      </c>
      <c r="Y208" s="36">
        <v>32.0</v>
      </c>
    </row>
    <row r="209">
      <c r="A209" s="32" t="s">
        <v>4476</v>
      </c>
      <c r="B209" s="32" t="s">
        <v>4476</v>
      </c>
      <c r="C209" s="32" t="s">
        <v>4477</v>
      </c>
      <c r="D209" s="32" t="s">
        <v>4478</v>
      </c>
      <c r="E209" s="32" t="s">
        <v>5073</v>
      </c>
      <c r="F209" s="32" t="e">
        <v>#N/A</v>
      </c>
      <c r="G209" s="39"/>
      <c r="H209" s="32">
        <v>0.0</v>
      </c>
      <c r="I209" s="39"/>
      <c r="J209" s="32" t="s">
        <v>4479</v>
      </c>
      <c r="K209" s="33" t="s">
        <v>4480</v>
      </c>
      <c r="L209" s="32" t="e">
        <v>#N/A</v>
      </c>
      <c r="M209" s="32" t="e">
        <v>#N/A</v>
      </c>
      <c r="N209" s="32" t="s">
        <v>5077</v>
      </c>
      <c r="O209" s="32" t="s">
        <v>4730</v>
      </c>
      <c r="P209" s="32">
        <v>1199.0</v>
      </c>
      <c r="Q209" s="34">
        <v>1139.0</v>
      </c>
      <c r="R209" s="40">
        <v>1139.0</v>
      </c>
      <c r="S209" s="35">
        <v>1079.1</v>
      </c>
      <c r="T209" s="36">
        <v>11.0</v>
      </c>
      <c r="U209" s="36">
        <v>0.0</v>
      </c>
      <c r="V209" s="36">
        <v>21.0</v>
      </c>
      <c r="W209" s="36">
        <v>0.0</v>
      </c>
      <c r="X209" s="36">
        <v>0.0</v>
      </c>
      <c r="Y209" s="36">
        <v>32.0</v>
      </c>
    </row>
    <row r="210">
      <c r="A210" s="32" t="s">
        <v>2975</v>
      </c>
      <c r="B210" s="32" t="s">
        <v>2975</v>
      </c>
      <c r="C210" s="32" t="s">
        <v>4857</v>
      </c>
      <c r="D210" s="32" t="s">
        <v>4858</v>
      </c>
      <c r="E210" s="32" t="s">
        <v>5073</v>
      </c>
      <c r="F210" s="32" t="e">
        <v>#N/A</v>
      </c>
      <c r="G210" s="32" t="e">
        <v>#N/A</v>
      </c>
      <c r="H210" s="32" t="e">
        <v>#N/A</v>
      </c>
      <c r="I210" s="32">
        <v>0.0</v>
      </c>
      <c r="J210" s="32" t="s">
        <v>2976</v>
      </c>
      <c r="K210" s="33" t="s">
        <v>4859</v>
      </c>
      <c r="L210" s="32" t="e">
        <v>#N/A</v>
      </c>
      <c r="M210" s="32" t="e">
        <v>#N/A</v>
      </c>
      <c r="N210" s="33" t="s">
        <v>4729</v>
      </c>
      <c r="O210" s="33" t="s">
        <v>4730</v>
      </c>
      <c r="P210" s="32" t="e">
        <v>#REF!</v>
      </c>
      <c r="Q210" s="38"/>
      <c r="R210" s="42" t="e">
        <v>#N/A</v>
      </c>
      <c r="S210" s="38"/>
      <c r="T210" s="36">
        <v>16.0</v>
      </c>
      <c r="U210" s="36">
        <v>0.0</v>
      </c>
      <c r="V210" s="36">
        <v>15.0</v>
      </c>
      <c r="W210" s="36">
        <v>0.0</v>
      </c>
      <c r="X210" s="36">
        <v>0.0</v>
      </c>
      <c r="Y210" s="36">
        <v>31.0</v>
      </c>
    </row>
    <row r="211">
      <c r="A211" s="32" t="s">
        <v>937</v>
      </c>
      <c r="B211" s="32" t="s">
        <v>937</v>
      </c>
      <c r="C211" s="32" t="s">
        <v>938</v>
      </c>
      <c r="D211" s="32" t="s">
        <v>939</v>
      </c>
      <c r="E211" s="32" t="s">
        <v>5073</v>
      </c>
      <c r="F211" s="32" t="e">
        <v>#N/A</v>
      </c>
      <c r="G211" s="32" t="e">
        <v>#N/A</v>
      </c>
      <c r="H211" s="32">
        <v>0.0</v>
      </c>
      <c r="I211" s="39"/>
      <c r="J211" s="32" t="s">
        <v>940</v>
      </c>
      <c r="K211" s="33" t="s">
        <v>941</v>
      </c>
      <c r="L211" s="32">
        <v>3.1999058E7</v>
      </c>
      <c r="M211" s="32" t="s">
        <v>942</v>
      </c>
      <c r="N211" s="32" t="s">
        <v>5108</v>
      </c>
      <c r="O211" s="32" t="s">
        <v>52</v>
      </c>
      <c r="P211" s="32">
        <v>19399.0</v>
      </c>
      <c r="Q211" s="34">
        <v>16295.0</v>
      </c>
      <c r="R211" s="40">
        <v>17499.0</v>
      </c>
      <c r="S211" s="35">
        <v>15519.2</v>
      </c>
      <c r="T211" s="36">
        <v>1.0</v>
      </c>
      <c r="U211" s="36">
        <v>2.0</v>
      </c>
      <c r="V211" s="36">
        <v>16.0</v>
      </c>
      <c r="W211" s="36">
        <v>0.0</v>
      </c>
      <c r="X211" s="36">
        <v>12.0</v>
      </c>
      <c r="Y211" s="36">
        <v>31.0</v>
      </c>
    </row>
    <row r="212">
      <c r="A212" s="32" t="s">
        <v>917</v>
      </c>
      <c r="B212" s="32" t="s">
        <v>917</v>
      </c>
      <c r="C212" s="32" t="s">
        <v>918</v>
      </c>
      <c r="D212" s="32" t="s">
        <v>919</v>
      </c>
      <c r="E212" s="32" t="s">
        <v>5073</v>
      </c>
      <c r="F212" s="32" t="s">
        <v>920</v>
      </c>
      <c r="G212" s="32" t="s">
        <v>5100</v>
      </c>
      <c r="H212" s="32" t="s">
        <v>921</v>
      </c>
      <c r="I212" s="32" t="s">
        <v>5073</v>
      </c>
      <c r="J212" s="32" t="s">
        <v>922</v>
      </c>
      <c r="K212" s="33" t="s">
        <v>923</v>
      </c>
      <c r="L212" s="32">
        <v>3.1999071E7</v>
      </c>
      <c r="M212" s="32" t="s">
        <v>924</v>
      </c>
      <c r="N212" s="32" t="s">
        <v>5108</v>
      </c>
      <c r="O212" s="32" t="s">
        <v>52</v>
      </c>
      <c r="P212" s="32">
        <v>17299.0</v>
      </c>
      <c r="Q212" s="34">
        <v>14531.0</v>
      </c>
      <c r="R212" s="40">
        <v>15599.0</v>
      </c>
      <c r="S212" s="35">
        <v>13839.2</v>
      </c>
      <c r="T212" s="36">
        <v>14.0</v>
      </c>
      <c r="U212" s="36">
        <v>0.0</v>
      </c>
      <c r="V212" s="36">
        <v>16.0</v>
      </c>
      <c r="W212" s="36">
        <v>1.0</v>
      </c>
      <c r="X212" s="36">
        <v>0.0</v>
      </c>
      <c r="Y212" s="36">
        <v>31.0</v>
      </c>
    </row>
    <row r="213">
      <c r="A213" s="32" t="s">
        <v>4267</v>
      </c>
      <c r="B213" s="32" t="s">
        <v>4267</v>
      </c>
      <c r="C213" s="32" t="s">
        <v>4268</v>
      </c>
      <c r="D213" s="32" t="s">
        <v>4269</v>
      </c>
      <c r="E213" s="32" t="s">
        <v>5073</v>
      </c>
      <c r="F213" s="32" t="e">
        <v>#N/A</v>
      </c>
      <c r="G213" s="38"/>
      <c r="H213" s="32">
        <v>0.0</v>
      </c>
      <c r="I213" s="39"/>
      <c r="J213" s="32" t="s">
        <v>4270</v>
      </c>
      <c r="K213" s="33" t="s">
        <v>4271</v>
      </c>
      <c r="L213" s="32" t="e">
        <v>#N/A</v>
      </c>
      <c r="M213" s="32" t="s">
        <v>4272</v>
      </c>
      <c r="N213" s="32" t="s">
        <v>5118</v>
      </c>
      <c r="O213" s="32" t="s">
        <v>52</v>
      </c>
      <c r="P213" s="32">
        <v>10999.0</v>
      </c>
      <c r="Q213" s="34">
        <v>9899.0</v>
      </c>
      <c r="R213" s="40">
        <v>10599.0</v>
      </c>
      <c r="S213" s="35">
        <v>9701.34</v>
      </c>
      <c r="T213" s="36">
        <v>7.0</v>
      </c>
      <c r="U213" s="36">
        <v>4.0</v>
      </c>
      <c r="V213" s="36">
        <v>10.0</v>
      </c>
      <c r="W213" s="36">
        <v>6.0</v>
      </c>
      <c r="X213" s="36">
        <v>4.0</v>
      </c>
      <c r="Y213" s="36">
        <v>31.0</v>
      </c>
    </row>
    <row r="214">
      <c r="A214" s="32" t="s">
        <v>1178</v>
      </c>
      <c r="B214" s="32" t="s">
        <v>1178</v>
      </c>
      <c r="C214" s="32" t="s">
        <v>1179</v>
      </c>
      <c r="D214" s="32" t="s">
        <v>1180</v>
      </c>
      <c r="E214" s="32" t="s">
        <v>5102</v>
      </c>
      <c r="F214" s="32" t="e">
        <v>#N/A</v>
      </c>
      <c r="G214" s="39"/>
      <c r="H214" s="32">
        <v>0.0</v>
      </c>
      <c r="I214" s="39"/>
      <c r="J214" s="32" t="s">
        <v>1178</v>
      </c>
      <c r="K214" s="33" t="s">
        <v>1181</v>
      </c>
      <c r="L214" s="32" t="e">
        <v>#N/A</v>
      </c>
      <c r="M214" s="32" t="s">
        <v>1182</v>
      </c>
      <c r="N214" s="32" t="s">
        <v>1195</v>
      </c>
      <c r="O214" s="32" t="s">
        <v>5114</v>
      </c>
      <c r="P214" s="32">
        <v>1989.0</v>
      </c>
      <c r="Q214" s="34">
        <v>1969.11</v>
      </c>
      <c r="R214" s="40">
        <v>1399.0</v>
      </c>
      <c r="S214" s="35">
        <v>1392.3</v>
      </c>
      <c r="T214" s="36">
        <v>0.0</v>
      </c>
      <c r="U214" s="36">
        <v>2.0</v>
      </c>
      <c r="V214" s="36">
        <v>27.0</v>
      </c>
      <c r="W214" s="36">
        <v>0.0</v>
      </c>
      <c r="X214" s="36">
        <v>2.0</v>
      </c>
      <c r="Y214" s="36">
        <v>31.0</v>
      </c>
    </row>
    <row r="215">
      <c r="A215" s="32" t="s">
        <v>2352</v>
      </c>
      <c r="B215" s="32" t="s">
        <v>2352</v>
      </c>
      <c r="C215" s="32" t="s">
        <v>2353</v>
      </c>
      <c r="D215" s="32" t="s">
        <v>2354</v>
      </c>
      <c r="E215" s="32" t="s">
        <v>5073</v>
      </c>
      <c r="F215" s="32" t="e">
        <v>#N/A</v>
      </c>
      <c r="G215" s="39"/>
      <c r="H215" s="32">
        <v>0.0</v>
      </c>
      <c r="I215" s="39"/>
      <c r="J215" s="32" t="s">
        <v>2355</v>
      </c>
      <c r="K215" s="33" t="s">
        <v>2356</v>
      </c>
      <c r="L215" s="32" t="e">
        <v>#N/A</v>
      </c>
      <c r="M215" s="32" t="e">
        <v>#N/A</v>
      </c>
      <c r="N215" s="32" t="s">
        <v>5077</v>
      </c>
      <c r="O215" s="32" t="s">
        <v>4730</v>
      </c>
      <c r="P215" s="32">
        <v>1089.0</v>
      </c>
      <c r="Q215" s="34">
        <v>1035.0</v>
      </c>
      <c r="R215" s="40">
        <v>1035.0</v>
      </c>
      <c r="S215" s="35">
        <v>980.1</v>
      </c>
      <c r="T215" s="36">
        <v>17.0</v>
      </c>
      <c r="U215" s="36">
        <v>0.0</v>
      </c>
      <c r="V215" s="36">
        <v>0.0</v>
      </c>
      <c r="W215" s="36">
        <v>0.0</v>
      </c>
      <c r="X215" s="36">
        <v>14.0</v>
      </c>
      <c r="Y215" s="36">
        <v>31.0</v>
      </c>
    </row>
    <row r="216">
      <c r="A216" s="32" t="s">
        <v>1867</v>
      </c>
      <c r="B216" s="32" t="s">
        <v>1867</v>
      </c>
      <c r="C216" s="32" t="s">
        <v>1868</v>
      </c>
      <c r="D216" s="32" t="s">
        <v>1869</v>
      </c>
      <c r="E216" s="32" t="s">
        <v>5073</v>
      </c>
      <c r="F216" s="32" t="e">
        <v>#N/A</v>
      </c>
      <c r="G216" s="39"/>
      <c r="H216" s="32" t="s">
        <v>1870</v>
      </c>
      <c r="I216" s="32" t="s">
        <v>5122</v>
      </c>
      <c r="J216" s="32" t="s">
        <v>1871</v>
      </c>
      <c r="K216" s="33" t="s">
        <v>1872</v>
      </c>
      <c r="L216" s="32">
        <v>3.2784083E7</v>
      </c>
      <c r="M216" s="32" t="s">
        <v>1873</v>
      </c>
      <c r="N216" s="32" t="s">
        <v>5109</v>
      </c>
      <c r="O216" s="32" t="s">
        <v>52</v>
      </c>
      <c r="P216" s="32">
        <v>34999.0</v>
      </c>
      <c r="Q216" s="34">
        <v>31499.0</v>
      </c>
      <c r="R216" s="40">
        <v>33199.0</v>
      </c>
      <c r="S216" s="35">
        <v>29399.16</v>
      </c>
      <c r="T216" s="36">
        <v>4.0</v>
      </c>
      <c r="U216" s="36">
        <v>10.0</v>
      </c>
      <c r="V216" s="36">
        <v>15.0</v>
      </c>
      <c r="W216" s="36">
        <v>2.0</v>
      </c>
      <c r="X216" s="36">
        <v>0.0</v>
      </c>
      <c r="Y216" s="36">
        <v>31.0</v>
      </c>
    </row>
    <row r="217">
      <c r="A217" s="32" t="s">
        <v>2711</v>
      </c>
      <c r="B217" s="32" t="s">
        <v>2711</v>
      </c>
      <c r="C217" s="32">
        <v>0.0</v>
      </c>
      <c r="D217" s="32" t="e">
        <v>#N/A</v>
      </c>
      <c r="E217" s="39"/>
      <c r="F217" s="32" t="e">
        <v>#N/A</v>
      </c>
      <c r="G217" s="39"/>
      <c r="H217" s="32" t="e">
        <v>#N/A</v>
      </c>
      <c r="I217" s="39"/>
      <c r="J217" s="32">
        <v>0.0</v>
      </c>
      <c r="K217" s="33" t="e">
        <v>#N/A</v>
      </c>
      <c r="L217" s="32" t="e">
        <v>#N/A</v>
      </c>
      <c r="M217" s="32" t="e">
        <v>#N/A</v>
      </c>
      <c r="N217" s="32" t="e">
        <v>#N/A</v>
      </c>
      <c r="O217" s="32" t="e">
        <v>#N/A</v>
      </c>
      <c r="P217" s="32" t="e">
        <v>#REF!</v>
      </c>
      <c r="Q217" s="32" t="e">
        <v>#N/A</v>
      </c>
      <c r="R217" s="42" t="e">
        <v>#N/A</v>
      </c>
      <c r="S217" s="42" t="e">
        <v>#N/A</v>
      </c>
      <c r="T217" s="36">
        <v>16.0</v>
      </c>
      <c r="U217" s="36">
        <v>4.0</v>
      </c>
      <c r="V217" s="36">
        <v>11.0</v>
      </c>
      <c r="W217" s="36">
        <v>0.0</v>
      </c>
      <c r="X217" s="36">
        <v>0.0</v>
      </c>
      <c r="Y217" s="36">
        <v>31.0</v>
      </c>
    </row>
    <row r="218">
      <c r="A218" s="32" t="s">
        <v>2709</v>
      </c>
      <c r="B218" s="32" t="s">
        <v>2709</v>
      </c>
      <c r="C218" s="32">
        <v>0.0</v>
      </c>
      <c r="D218" s="32" t="e">
        <v>#N/A</v>
      </c>
      <c r="E218" s="39"/>
      <c r="F218" s="32" t="e">
        <v>#N/A</v>
      </c>
      <c r="G218" s="39"/>
      <c r="H218" s="32" t="e">
        <v>#N/A</v>
      </c>
      <c r="I218" s="39"/>
      <c r="J218" s="32">
        <v>0.0</v>
      </c>
      <c r="K218" s="33" t="e">
        <v>#N/A</v>
      </c>
      <c r="L218" s="32" t="e">
        <v>#N/A</v>
      </c>
      <c r="M218" s="32" t="e">
        <v>#N/A</v>
      </c>
      <c r="N218" s="32" t="e">
        <v>#N/A</v>
      </c>
      <c r="O218" s="32" t="e">
        <v>#N/A</v>
      </c>
      <c r="P218" s="32" t="e">
        <v>#REF!</v>
      </c>
      <c r="Q218" s="32" t="e">
        <v>#N/A</v>
      </c>
      <c r="R218" s="42" t="e">
        <v>#N/A</v>
      </c>
      <c r="S218" s="42" t="e">
        <v>#N/A</v>
      </c>
      <c r="T218" s="36">
        <v>17.0</v>
      </c>
      <c r="U218" s="36">
        <v>3.0</v>
      </c>
      <c r="V218" s="36">
        <v>11.0</v>
      </c>
      <c r="W218" s="36">
        <v>0.0</v>
      </c>
      <c r="X218" s="36">
        <v>0.0</v>
      </c>
      <c r="Y218" s="36">
        <v>31.0</v>
      </c>
    </row>
    <row r="219">
      <c r="A219" s="32" t="s">
        <v>1146</v>
      </c>
      <c r="B219" s="32" t="s">
        <v>1146</v>
      </c>
      <c r="C219" s="32" t="s">
        <v>1147</v>
      </c>
      <c r="D219" s="32" t="s">
        <v>1148</v>
      </c>
      <c r="E219" s="32" t="s">
        <v>5100</v>
      </c>
      <c r="F219" s="32" t="e">
        <v>#N/A</v>
      </c>
      <c r="G219" s="39"/>
      <c r="H219" s="32" t="s">
        <v>1149</v>
      </c>
      <c r="I219" s="32" t="s">
        <v>5117</v>
      </c>
      <c r="J219" s="32" t="s">
        <v>1150</v>
      </c>
      <c r="K219" s="33" t="s">
        <v>1151</v>
      </c>
      <c r="L219" s="32" t="e">
        <v>#N/A</v>
      </c>
      <c r="M219" s="32" t="s">
        <v>1152</v>
      </c>
      <c r="N219" s="32" t="s">
        <v>1195</v>
      </c>
      <c r="O219" s="32" t="s">
        <v>5114</v>
      </c>
      <c r="P219" s="32">
        <v>1989.0</v>
      </c>
      <c r="Q219" s="34">
        <v>1429.0</v>
      </c>
      <c r="R219" s="40">
        <v>1399.0</v>
      </c>
      <c r="S219" s="35">
        <v>1392.3</v>
      </c>
      <c r="T219" s="36">
        <v>0.0</v>
      </c>
      <c r="U219" s="36">
        <v>5.0</v>
      </c>
      <c r="V219" s="36">
        <v>25.0</v>
      </c>
      <c r="W219" s="36">
        <v>0.0</v>
      </c>
      <c r="X219" s="36">
        <v>0.0</v>
      </c>
      <c r="Y219" s="36">
        <v>30.0</v>
      </c>
    </row>
    <row r="220">
      <c r="A220" s="32" t="s">
        <v>2286</v>
      </c>
      <c r="B220" s="32" t="s">
        <v>2286</v>
      </c>
      <c r="C220" s="32" t="s">
        <v>2287</v>
      </c>
      <c r="D220" s="32" t="s">
        <v>2289</v>
      </c>
      <c r="E220" s="32" t="s">
        <v>5073</v>
      </c>
      <c r="F220" s="32" t="e">
        <v>#N/A</v>
      </c>
      <c r="G220" s="32" t="e">
        <v>#N/A</v>
      </c>
      <c r="H220" s="32" t="s">
        <v>2290</v>
      </c>
      <c r="I220" s="32" t="s">
        <v>5073</v>
      </c>
      <c r="J220" s="32" t="s">
        <v>2291</v>
      </c>
      <c r="K220" s="33" t="s">
        <v>2292</v>
      </c>
      <c r="L220" s="32">
        <v>3.1862343E7</v>
      </c>
      <c r="M220" s="32" t="e">
        <v>#N/A</v>
      </c>
      <c r="N220" s="32" t="s">
        <v>5077</v>
      </c>
      <c r="O220" s="32" t="s">
        <v>4730</v>
      </c>
      <c r="P220" s="32">
        <v>1049.0</v>
      </c>
      <c r="Q220" s="34">
        <v>997.0</v>
      </c>
      <c r="R220" s="35">
        <v>999.0</v>
      </c>
      <c r="S220" s="35">
        <v>944.1</v>
      </c>
      <c r="T220" s="36">
        <v>16.0</v>
      </c>
      <c r="U220" s="36">
        <v>0.0</v>
      </c>
      <c r="V220" s="36">
        <v>2.0</v>
      </c>
      <c r="W220" s="36">
        <v>0.0</v>
      </c>
      <c r="X220" s="36">
        <v>12.0</v>
      </c>
      <c r="Y220" s="36">
        <v>30.0</v>
      </c>
    </row>
    <row r="221">
      <c r="A221" s="32" t="s">
        <v>3537</v>
      </c>
      <c r="B221" s="32" t="s">
        <v>3537</v>
      </c>
      <c r="C221" s="32" t="s">
        <v>3538</v>
      </c>
      <c r="D221" s="32" t="s">
        <v>3540</v>
      </c>
      <c r="E221" s="32" t="s">
        <v>5073</v>
      </c>
      <c r="F221" s="32" t="s">
        <v>3539</v>
      </c>
      <c r="G221" s="32" t="s">
        <v>5090</v>
      </c>
      <c r="H221" s="32" t="s">
        <v>3541</v>
      </c>
      <c r="I221" s="32" t="s">
        <v>5073</v>
      </c>
      <c r="J221" s="32" t="s">
        <v>3542</v>
      </c>
      <c r="K221" s="33" t="s">
        <v>3543</v>
      </c>
      <c r="L221" s="32" t="e">
        <v>#N/A</v>
      </c>
      <c r="M221" s="32" t="e">
        <v>#N/A</v>
      </c>
      <c r="N221" s="32" t="s">
        <v>5098</v>
      </c>
      <c r="O221" s="32" t="s">
        <v>4730</v>
      </c>
      <c r="P221" s="32">
        <v>799.0</v>
      </c>
      <c r="Q221" s="34">
        <v>719.0</v>
      </c>
      <c r="R221" s="35">
        <v>719.0</v>
      </c>
      <c r="S221" s="35">
        <v>679.15</v>
      </c>
      <c r="T221" s="36">
        <v>0.0</v>
      </c>
      <c r="U221" s="36">
        <v>0.0</v>
      </c>
      <c r="V221" s="36">
        <v>30.0</v>
      </c>
      <c r="W221" s="36">
        <v>0.0</v>
      </c>
      <c r="X221" s="36">
        <v>0.0</v>
      </c>
      <c r="Y221" s="36">
        <v>30.0</v>
      </c>
    </row>
    <row r="222">
      <c r="A222" s="32" t="s">
        <v>1375</v>
      </c>
      <c r="B222" s="32" t="s">
        <v>1375</v>
      </c>
      <c r="C222" s="32" t="s">
        <v>1376</v>
      </c>
      <c r="D222" s="32" t="s">
        <v>1378</v>
      </c>
      <c r="E222" s="32" t="s">
        <v>5073</v>
      </c>
      <c r="F222" s="32" t="e">
        <v>#N/A</v>
      </c>
      <c r="G222" s="32" t="e">
        <v>#N/A</v>
      </c>
      <c r="H222" s="32" t="s">
        <v>1379</v>
      </c>
      <c r="I222" s="32" t="s">
        <v>5073</v>
      </c>
      <c r="J222" s="32" t="s">
        <v>1380</v>
      </c>
      <c r="K222" s="33" t="s">
        <v>1381</v>
      </c>
      <c r="L222" s="32">
        <v>3.1818419E7</v>
      </c>
      <c r="M222" s="32" t="e">
        <v>#N/A</v>
      </c>
      <c r="N222" s="32" t="s">
        <v>5089</v>
      </c>
      <c r="O222" s="32" t="s">
        <v>4730</v>
      </c>
      <c r="P222" s="32">
        <v>2649.0</v>
      </c>
      <c r="Q222" s="34">
        <v>2164.0</v>
      </c>
      <c r="R222" s="40">
        <v>2199.0</v>
      </c>
      <c r="S222" s="35">
        <v>2119.2</v>
      </c>
      <c r="T222" s="36">
        <v>0.0</v>
      </c>
      <c r="U222" s="36">
        <v>0.0</v>
      </c>
      <c r="V222" s="36">
        <v>30.0</v>
      </c>
      <c r="W222" s="36">
        <v>0.0</v>
      </c>
      <c r="X222" s="36">
        <v>0.0</v>
      </c>
      <c r="Y222" s="36">
        <v>30.0</v>
      </c>
    </row>
    <row r="223">
      <c r="A223" s="32" t="s">
        <v>2675</v>
      </c>
      <c r="B223" s="32" t="s">
        <v>2675</v>
      </c>
      <c r="C223" s="32">
        <v>0.0</v>
      </c>
      <c r="D223" s="32" t="e">
        <v>#N/A</v>
      </c>
      <c r="E223" s="39"/>
      <c r="F223" s="32" t="e">
        <v>#N/A</v>
      </c>
      <c r="G223" s="39"/>
      <c r="H223" s="32" t="e">
        <v>#N/A</v>
      </c>
      <c r="I223" s="39"/>
      <c r="J223" s="32">
        <v>0.0</v>
      </c>
      <c r="K223" s="33" t="e">
        <v>#N/A</v>
      </c>
      <c r="L223" s="32" t="e">
        <v>#N/A</v>
      </c>
      <c r="M223" s="32" t="e">
        <v>#N/A</v>
      </c>
      <c r="N223" s="32" t="e">
        <v>#N/A</v>
      </c>
      <c r="O223" s="32" t="e">
        <v>#N/A</v>
      </c>
      <c r="P223" s="32" t="e">
        <v>#REF!</v>
      </c>
      <c r="Q223" s="32" t="e">
        <v>#N/A</v>
      </c>
      <c r="R223" s="42" t="e">
        <v>#N/A</v>
      </c>
      <c r="S223" s="42" t="e">
        <v>#N/A</v>
      </c>
      <c r="T223" s="36">
        <v>28.0</v>
      </c>
      <c r="U223" s="36">
        <v>0.0</v>
      </c>
      <c r="V223" s="36">
        <v>2.0</v>
      </c>
      <c r="W223" s="36">
        <v>0.0</v>
      </c>
      <c r="X223" s="36">
        <v>0.0</v>
      </c>
      <c r="Y223" s="36">
        <v>30.0</v>
      </c>
    </row>
    <row r="224">
      <c r="A224" s="32" t="s">
        <v>4521</v>
      </c>
      <c r="B224" s="32" t="s">
        <v>4521</v>
      </c>
      <c r="C224" s="32" t="s">
        <v>4522</v>
      </c>
      <c r="D224" s="32" t="s">
        <v>4523</v>
      </c>
      <c r="E224" s="32" t="s">
        <v>5102</v>
      </c>
      <c r="F224" s="32" t="e">
        <v>#N/A</v>
      </c>
      <c r="G224" s="32" t="e">
        <v>#N/A</v>
      </c>
      <c r="H224" s="32">
        <v>0.0</v>
      </c>
      <c r="I224" s="32">
        <v>0.0</v>
      </c>
      <c r="J224" s="32" t="s">
        <v>4524</v>
      </c>
      <c r="K224" s="33" t="s">
        <v>4525</v>
      </c>
      <c r="L224" s="32" t="e">
        <v>#N/A</v>
      </c>
      <c r="M224" s="32" t="e">
        <v>#N/A</v>
      </c>
      <c r="N224" s="32" t="s">
        <v>5077</v>
      </c>
      <c r="O224" s="32" t="s">
        <v>4730</v>
      </c>
      <c r="P224" s="32">
        <v>1199.0</v>
      </c>
      <c r="Q224" s="34">
        <v>1139.0</v>
      </c>
      <c r="R224" s="40">
        <v>1139.0</v>
      </c>
      <c r="S224" s="35">
        <v>1079.1</v>
      </c>
      <c r="T224" s="36">
        <v>9.0</v>
      </c>
      <c r="U224" s="36">
        <v>0.0</v>
      </c>
      <c r="V224" s="36">
        <v>20.0</v>
      </c>
      <c r="W224" s="36">
        <v>0.0</v>
      </c>
      <c r="X224" s="36">
        <v>0.0</v>
      </c>
      <c r="Y224" s="36">
        <v>29.0</v>
      </c>
    </row>
    <row r="225">
      <c r="A225" s="32" t="s">
        <v>4629</v>
      </c>
      <c r="B225" s="32" t="s">
        <v>4629</v>
      </c>
      <c r="C225" s="32" t="s">
        <v>4630</v>
      </c>
      <c r="D225" s="32" t="s">
        <v>4631</v>
      </c>
      <c r="E225" s="32" t="s">
        <v>5073</v>
      </c>
      <c r="F225" s="32" t="e">
        <v>#N/A</v>
      </c>
      <c r="G225" s="39"/>
      <c r="H225" s="32">
        <v>0.0</v>
      </c>
      <c r="I225" s="39"/>
      <c r="J225" s="32" t="s">
        <v>4632</v>
      </c>
      <c r="K225" s="33" t="s">
        <v>4633</v>
      </c>
      <c r="L225" s="32" t="e">
        <v>#N/A</v>
      </c>
      <c r="M225" s="32" t="e">
        <v>#N/A</v>
      </c>
      <c r="N225" s="32" t="s">
        <v>5077</v>
      </c>
      <c r="O225" s="32" t="s">
        <v>4730</v>
      </c>
      <c r="P225" s="32">
        <v>1699.0</v>
      </c>
      <c r="Q225" s="34">
        <v>1614.0</v>
      </c>
      <c r="R225" s="40">
        <v>1614.0</v>
      </c>
      <c r="S225" s="35">
        <v>1529.1</v>
      </c>
      <c r="T225" s="36">
        <v>7.0</v>
      </c>
      <c r="U225" s="36">
        <v>0.0</v>
      </c>
      <c r="V225" s="36">
        <v>16.0</v>
      </c>
      <c r="W225" s="36">
        <v>6.0</v>
      </c>
      <c r="X225" s="36">
        <v>0.0</v>
      </c>
      <c r="Y225" s="36">
        <v>29.0</v>
      </c>
    </row>
    <row r="226">
      <c r="A226" s="32" t="s">
        <v>4501</v>
      </c>
      <c r="B226" s="32" t="s">
        <v>4501</v>
      </c>
      <c r="C226" s="32" t="s">
        <v>4502</v>
      </c>
      <c r="D226" s="32" t="s">
        <v>4503</v>
      </c>
      <c r="E226" s="32" t="s">
        <v>5073</v>
      </c>
      <c r="F226" s="32" t="e">
        <v>#N/A</v>
      </c>
      <c r="G226" s="39"/>
      <c r="H226" s="32">
        <v>0.0</v>
      </c>
      <c r="I226" s="39"/>
      <c r="J226" s="32" t="s">
        <v>4504</v>
      </c>
      <c r="K226" s="33" t="s">
        <v>4505</v>
      </c>
      <c r="L226" s="32" t="e">
        <v>#N/A</v>
      </c>
      <c r="M226" s="32" t="e">
        <v>#N/A</v>
      </c>
      <c r="N226" s="32" t="s">
        <v>5077</v>
      </c>
      <c r="O226" s="32" t="s">
        <v>4730</v>
      </c>
      <c r="P226" s="32">
        <v>1199.0</v>
      </c>
      <c r="Q226" s="34">
        <v>1139.0</v>
      </c>
      <c r="R226" s="40">
        <v>1139.0</v>
      </c>
      <c r="S226" s="35">
        <v>1079.1</v>
      </c>
      <c r="T226" s="36">
        <v>0.0</v>
      </c>
      <c r="U226" s="36">
        <v>0.0</v>
      </c>
      <c r="V226" s="36">
        <v>29.0</v>
      </c>
      <c r="W226" s="36">
        <v>0.0</v>
      </c>
      <c r="X226" s="36">
        <v>0.0</v>
      </c>
      <c r="Y226" s="36">
        <v>29.0</v>
      </c>
    </row>
    <row r="227">
      <c r="A227" s="32" t="s">
        <v>1327</v>
      </c>
      <c r="B227" s="32" t="s">
        <v>1327</v>
      </c>
      <c r="C227" s="32" t="s">
        <v>1328</v>
      </c>
      <c r="D227" s="32" t="s">
        <v>1329</v>
      </c>
      <c r="E227" s="32" t="s">
        <v>5073</v>
      </c>
      <c r="F227" s="32" t="e">
        <v>#N/A</v>
      </c>
      <c r="G227" s="39"/>
      <c r="H227" s="32" t="s">
        <v>1330</v>
      </c>
      <c r="I227" s="32" t="s">
        <v>5073</v>
      </c>
      <c r="J227" s="32" t="s">
        <v>1331</v>
      </c>
      <c r="K227" s="33" t="s">
        <v>1332</v>
      </c>
      <c r="L227" s="32">
        <v>3.1818397E7</v>
      </c>
      <c r="M227" s="32" t="e">
        <v>#N/A</v>
      </c>
      <c r="N227" s="32" t="s">
        <v>5089</v>
      </c>
      <c r="O227" s="32" t="s">
        <v>4730</v>
      </c>
      <c r="P227" s="32">
        <v>2449.0</v>
      </c>
      <c r="Q227" s="34">
        <v>2004.0</v>
      </c>
      <c r="R227" s="40">
        <v>2004.0</v>
      </c>
      <c r="S227" s="35">
        <v>1959.2</v>
      </c>
      <c r="T227" s="36">
        <v>0.0</v>
      </c>
      <c r="U227" s="36">
        <v>2.0</v>
      </c>
      <c r="V227" s="36">
        <v>27.0</v>
      </c>
      <c r="W227" s="36">
        <v>0.0</v>
      </c>
      <c r="X227" s="36">
        <v>0.0</v>
      </c>
      <c r="Y227" s="36">
        <v>29.0</v>
      </c>
    </row>
    <row r="228">
      <c r="A228" s="32" t="s">
        <v>1255</v>
      </c>
      <c r="B228" s="32" t="s">
        <v>1255</v>
      </c>
      <c r="C228" s="32" t="s">
        <v>1256</v>
      </c>
      <c r="D228" s="32" t="s">
        <v>1257</v>
      </c>
      <c r="E228" s="32" t="s">
        <v>5073</v>
      </c>
      <c r="F228" s="32" t="e">
        <v>#N/A</v>
      </c>
      <c r="G228" s="39"/>
      <c r="H228" s="32" t="s">
        <v>1258</v>
      </c>
      <c r="I228" s="32" t="s">
        <v>5073</v>
      </c>
      <c r="J228" s="32" t="s">
        <v>1259</v>
      </c>
      <c r="K228" s="33" t="s">
        <v>1260</v>
      </c>
      <c r="L228" s="32">
        <v>3.1818399E7</v>
      </c>
      <c r="M228" s="32" t="e">
        <v>#N/A</v>
      </c>
      <c r="N228" s="32" t="s">
        <v>5089</v>
      </c>
      <c r="O228" s="32" t="s">
        <v>4730</v>
      </c>
      <c r="P228" s="32">
        <v>1999.0</v>
      </c>
      <c r="Q228" s="34">
        <v>1629.0</v>
      </c>
      <c r="R228" s="40">
        <v>1629.0</v>
      </c>
      <c r="S228" s="35">
        <v>1599.2</v>
      </c>
      <c r="T228" s="36">
        <v>18.0</v>
      </c>
      <c r="U228" s="36">
        <v>0.0</v>
      </c>
      <c r="V228" s="36">
        <v>11.0</v>
      </c>
      <c r="W228" s="36">
        <v>0.0</v>
      </c>
      <c r="X228" s="36">
        <v>0.0</v>
      </c>
      <c r="Y228" s="36">
        <v>29.0</v>
      </c>
    </row>
    <row r="229">
      <c r="A229" s="32" t="s">
        <v>1225</v>
      </c>
      <c r="B229" s="32" t="s">
        <v>1225</v>
      </c>
      <c r="C229" s="32" t="s">
        <v>1226</v>
      </c>
      <c r="D229" s="32" t="s">
        <v>1227</v>
      </c>
      <c r="E229" s="32" t="s">
        <v>5073</v>
      </c>
      <c r="F229" s="32" t="e">
        <v>#N/A</v>
      </c>
      <c r="G229" s="39"/>
      <c r="H229" s="32" t="s">
        <v>1228</v>
      </c>
      <c r="I229" s="32" t="s">
        <v>5073</v>
      </c>
      <c r="J229" s="32" t="s">
        <v>1229</v>
      </c>
      <c r="K229" s="33" t="s">
        <v>1230</v>
      </c>
      <c r="L229" s="32">
        <v>3.1818372E7</v>
      </c>
      <c r="M229" s="32" t="e">
        <v>#N/A</v>
      </c>
      <c r="N229" s="32" t="s">
        <v>5089</v>
      </c>
      <c r="O229" s="32" t="s">
        <v>4730</v>
      </c>
      <c r="P229" s="32">
        <v>1999.0</v>
      </c>
      <c r="Q229" s="34">
        <v>1629.0</v>
      </c>
      <c r="R229" s="40">
        <v>1629.0</v>
      </c>
      <c r="S229" s="35">
        <v>1599.2</v>
      </c>
      <c r="T229" s="36">
        <v>22.0</v>
      </c>
      <c r="U229" s="36">
        <v>0.0</v>
      </c>
      <c r="V229" s="36">
        <v>7.0</v>
      </c>
      <c r="W229" s="36">
        <v>0.0</v>
      </c>
      <c r="X229" s="36">
        <v>0.0</v>
      </c>
      <c r="Y229" s="36">
        <v>29.0</v>
      </c>
    </row>
    <row r="230">
      <c r="A230" s="32" t="s">
        <v>4471</v>
      </c>
      <c r="B230" s="32" t="s">
        <v>4471</v>
      </c>
      <c r="C230" s="32" t="s">
        <v>4472</v>
      </c>
      <c r="D230" s="32" t="s">
        <v>4473</v>
      </c>
      <c r="E230" s="32" t="s">
        <v>5073</v>
      </c>
      <c r="F230" s="32" t="e">
        <v>#N/A</v>
      </c>
      <c r="G230" s="39"/>
      <c r="H230" s="32">
        <v>0.0</v>
      </c>
      <c r="I230" s="39"/>
      <c r="J230" s="32" t="s">
        <v>4474</v>
      </c>
      <c r="K230" s="33" t="s">
        <v>4475</v>
      </c>
      <c r="L230" s="32" t="e">
        <v>#N/A</v>
      </c>
      <c r="M230" s="32" t="e">
        <v>#N/A</v>
      </c>
      <c r="N230" s="32" t="s">
        <v>5077</v>
      </c>
      <c r="O230" s="32" t="s">
        <v>4730</v>
      </c>
      <c r="P230" s="32">
        <v>1199.0</v>
      </c>
      <c r="Q230" s="34">
        <v>1139.0</v>
      </c>
      <c r="R230" s="40">
        <v>1139.0</v>
      </c>
      <c r="S230" s="35">
        <v>1079.1</v>
      </c>
      <c r="T230" s="36">
        <v>13.0</v>
      </c>
      <c r="U230" s="36">
        <v>3.0</v>
      </c>
      <c r="V230" s="36">
        <v>13.0</v>
      </c>
      <c r="W230" s="36">
        <v>0.0</v>
      </c>
      <c r="X230" s="36">
        <v>0.0</v>
      </c>
      <c r="Y230" s="36">
        <v>29.0</v>
      </c>
    </row>
    <row r="231">
      <c r="A231" s="32" t="s">
        <v>2716</v>
      </c>
      <c r="B231" s="32" t="s">
        <v>2716</v>
      </c>
      <c r="C231" s="32">
        <v>0.0</v>
      </c>
      <c r="D231" s="32" t="e">
        <v>#N/A</v>
      </c>
      <c r="E231" s="39"/>
      <c r="F231" s="32" t="e">
        <v>#N/A</v>
      </c>
      <c r="G231" s="39"/>
      <c r="H231" s="32" t="e">
        <v>#N/A</v>
      </c>
      <c r="I231" s="39"/>
      <c r="J231" s="32">
        <v>0.0</v>
      </c>
      <c r="K231" s="33" t="e">
        <v>#N/A</v>
      </c>
      <c r="L231" s="32" t="e">
        <v>#N/A</v>
      </c>
      <c r="M231" s="32" t="e">
        <v>#N/A</v>
      </c>
      <c r="N231" s="32" t="e">
        <v>#N/A</v>
      </c>
      <c r="O231" s="32" t="e">
        <v>#N/A</v>
      </c>
      <c r="P231" s="32" t="e">
        <v>#REF!</v>
      </c>
      <c r="Q231" s="32" t="e">
        <v>#N/A</v>
      </c>
      <c r="R231" s="42" t="e">
        <v>#N/A</v>
      </c>
      <c r="S231" s="42" t="e">
        <v>#N/A</v>
      </c>
      <c r="T231" s="36">
        <v>13.0</v>
      </c>
      <c r="U231" s="36">
        <v>4.0</v>
      </c>
      <c r="V231" s="36">
        <v>12.0</v>
      </c>
      <c r="W231" s="36">
        <v>0.0</v>
      </c>
      <c r="X231" s="36">
        <v>0.0</v>
      </c>
      <c r="Y231" s="36">
        <v>29.0</v>
      </c>
    </row>
    <row r="232">
      <c r="A232" s="32" t="s">
        <v>2710</v>
      </c>
      <c r="B232" s="32" t="s">
        <v>2710</v>
      </c>
      <c r="C232" s="32">
        <v>0.0</v>
      </c>
      <c r="D232" s="32" t="e">
        <v>#N/A</v>
      </c>
      <c r="E232" s="39"/>
      <c r="F232" s="32" t="e">
        <v>#N/A</v>
      </c>
      <c r="G232" s="39"/>
      <c r="H232" s="32" t="e">
        <v>#N/A</v>
      </c>
      <c r="I232" s="39"/>
      <c r="J232" s="32">
        <v>0.0</v>
      </c>
      <c r="K232" s="33" t="e">
        <v>#N/A</v>
      </c>
      <c r="L232" s="32" t="e">
        <v>#N/A</v>
      </c>
      <c r="M232" s="32" t="e">
        <v>#N/A</v>
      </c>
      <c r="N232" s="32" t="e">
        <v>#N/A</v>
      </c>
      <c r="O232" s="32" t="e">
        <v>#N/A</v>
      </c>
      <c r="P232" s="32" t="e">
        <v>#REF!</v>
      </c>
      <c r="Q232" s="32" t="e">
        <v>#N/A</v>
      </c>
      <c r="R232" s="42" t="e">
        <v>#N/A</v>
      </c>
      <c r="S232" s="42" t="e">
        <v>#N/A</v>
      </c>
      <c r="T232" s="36">
        <v>20.0</v>
      </c>
      <c r="U232" s="36">
        <v>0.0</v>
      </c>
      <c r="V232" s="36">
        <v>9.0</v>
      </c>
      <c r="W232" s="36">
        <v>0.0</v>
      </c>
      <c r="X232" s="36">
        <v>0.0</v>
      </c>
      <c r="Y232" s="36">
        <v>29.0</v>
      </c>
    </row>
    <row r="233">
      <c r="A233" s="32" t="s">
        <v>2790</v>
      </c>
      <c r="B233" s="32" t="s">
        <v>2790</v>
      </c>
      <c r="C233" s="32">
        <v>0.0</v>
      </c>
      <c r="D233" s="32" t="e">
        <v>#N/A</v>
      </c>
      <c r="E233" s="39"/>
      <c r="F233" s="32" t="e">
        <v>#N/A</v>
      </c>
      <c r="G233" s="39"/>
      <c r="H233" s="32" t="e">
        <v>#N/A</v>
      </c>
      <c r="I233" s="39"/>
      <c r="J233" s="32">
        <v>0.0</v>
      </c>
      <c r="K233" s="33" t="e">
        <v>#N/A</v>
      </c>
      <c r="L233" s="32" t="e">
        <v>#N/A</v>
      </c>
      <c r="M233" s="32" t="e">
        <v>#N/A</v>
      </c>
      <c r="N233" s="32" t="e">
        <v>#N/A</v>
      </c>
      <c r="O233" s="32" t="e">
        <v>#N/A</v>
      </c>
      <c r="P233" s="32" t="e">
        <v>#REF!</v>
      </c>
      <c r="Q233" s="32" t="e">
        <v>#N/A</v>
      </c>
      <c r="R233" s="42" t="e">
        <v>#N/A</v>
      </c>
      <c r="S233" s="42" t="e">
        <v>#N/A</v>
      </c>
      <c r="T233" s="36">
        <v>14.0</v>
      </c>
      <c r="U233" s="36">
        <v>2.0</v>
      </c>
      <c r="V233" s="36">
        <v>11.0</v>
      </c>
      <c r="W233" s="36">
        <v>0.0</v>
      </c>
      <c r="X233" s="36">
        <v>2.0</v>
      </c>
      <c r="Y233" s="36">
        <v>29.0</v>
      </c>
    </row>
    <row r="234">
      <c r="A234" s="32" t="s">
        <v>2673</v>
      </c>
      <c r="B234" s="32" t="s">
        <v>2673</v>
      </c>
      <c r="C234" s="32">
        <v>0.0</v>
      </c>
      <c r="D234" s="32" t="e">
        <v>#N/A</v>
      </c>
      <c r="E234" s="39"/>
      <c r="F234" s="32" t="e">
        <v>#N/A</v>
      </c>
      <c r="G234" s="39"/>
      <c r="H234" s="32" t="e">
        <v>#N/A</v>
      </c>
      <c r="I234" s="39"/>
      <c r="J234" s="32">
        <v>0.0</v>
      </c>
      <c r="K234" s="33" t="e">
        <v>#N/A</v>
      </c>
      <c r="L234" s="32" t="e">
        <v>#N/A</v>
      </c>
      <c r="M234" s="32" t="e">
        <v>#N/A</v>
      </c>
      <c r="N234" s="32" t="e">
        <v>#N/A</v>
      </c>
      <c r="O234" s="32" t="e">
        <v>#N/A</v>
      </c>
      <c r="P234" s="32" t="e">
        <v>#REF!</v>
      </c>
      <c r="Q234" s="32" t="e">
        <v>#N/A</v>
      </c>
      <c r="R234" s="42" t="e">
        <v>#N/A</v>
      </c>
      <c r="S234" s="42" t="e">
        <v>#N/A</v>
      </c>
      <c r="T234" s="36">
        <v>24.0</v>
      </c>
      <c r="U234" s="36">
        <v>0.0</v>
      </c>
      <c r="V234" s="36">
        <v>5.0</v>
      </c>
      <c r="W234" s="36">
        <v>0.0</v>
      </c>
      <c r="X234" s="36">
        <v>0.0</v>
      </c>
      <c r="Y234" s="36">
        <v>29.0</v>
      </c>
    </row>
    <row r="235">
      <c r="A235" s="32" t="s">
        <v>3331</v>
      </c>
      <c r="B235" s="32" t="s">
        <v>3331</v>
      </c>
      <c r="C235" s="32" t="s">
        <v>3332</v>
      </c>
      <c r="D235" s="32" t="s">
        <v>3333</v>
      </c>
      <c r="E235" s="32" t="s">
        <v>5073</v>
      </c>
      <c r="F235" s="32" t="e">
        <v>#N/A</v>
      </c>
      <c r="G235" s="38"/>
      <c r="H235" s="32" t="s">
        <v>3334</v>
      </c>
      <c r="I235" s="32" t="s">
        <v>5073</v>
      </c>
      <c r="J235" s="32" t="s">
        <v>3335</v>
      </c>
      <c r="K235" s="33" t="s">
        <v>3336</v>
      </c>
      <c r="L235" s="32">
        <v>3.1818387E7</v>
      </c>
      <c r="M235" s="32" t="e">
        <v>#N/A</v>
      </c>
      <c r="N235" s="32" t="s">
        <v>5086</v>
      </c>
      <c r="O235" s="32" t="s">
        <v>4730</v>
      </c>
      <c r="P235" s="32">
        <v>2189.0</v>
      </c>
      <c r="Q235" s="34">
        <v>1999.0</v>
      </c>
      <c r="R235" s="40">
        <v>1999.0</v>
      </c>
      <c r="S235" s="35">
        <v>1860.65</v>
      </c>
      <c r="T235" s="36">
        <v>0.0</v>
      </c>
      <c r="U235" s="36">
        <v>0.0</v>
      </c>
      <c r="V235" s="36">
        <v>28.0</v>
      </c>
      <c r="W235" s="36">
        <v>0.0</v>
      </c>
      <c r="X235" s="36">
        <v>0.0</v>
      </c>
      <c r="Y235" s="36">
        <v>28.0</v>
      </c>
    </row>
    <row r="236">
      <c r="A236" s="32" t="s">
        <v>4570</v>
      </c>
      <c r="B236" s="32" t="s">
        <v>4570</v>
      </c>
      <c r="C236" s="32" t="s">
        <v>4571</v>
      </c>
      <c r="D236" s="32" t="s">
        <v>4572</v>
      </c>
      <c r="E236" s="32" t="s">
        <v>5073</v>
      </c>
      <c r="F236" s="32" t="e">
        <v>#N/A</v>
      </c>
      <c r="G236" s="39"/>
      <c r="H236" s="32">
        <v>0.0</v>
      </c>
      <c r="I236" s="39"/>
      <c r="J236" s="32" t="s">
        <v>4573</v>
      </c>
      <c r="K236" s="33" t="s">
        <v>4574</v>
      </c>
      <c r="L236" s="32" t="e">
        <v>#N/A</v>
      </c>
      <c r="M236" s="32" t="e">
        <v>#N/A</v>
      </c>
      <c r="N236" s="32" t="s">
        <v>5077</v>
      </c>
      <c r="O236" s="32" t="s">
        <v>4730</v>
      </c>
      <c r="P236" s="32">
        <v>1499.0</v>
      </c>
      <c r="Q236" s="34">
        <v>1424.0</v>
      </c>
      <c r="R236" s="40">
        <v>1424.0</v>
      </c>
      <c r="S236" s="35">
        <v>1349.1</v>
      </c>
      <c r="T236" s="36">
        <v>0.0</v>
      </c>
      <c r="U236" s="36">
        <v>0.0</v>
      </c>
      <c r="V236" s="36">
        <v>28.0</v>
      </c>
      <c r="W236" s="36">
        <v>0.0</v>
      </c>
      <c r="X236" s="36">
        <v>0.0</v>
      </c>
      <c r="Y236" s="36">
        <v>28.0</v>
      </c>
    </row>
    <row r="237">
      <c r="A237" s="32" t="s">
        <v>183</v>
      </c>
      <c r="B237" s="32" t="s">
        <v>183</v>
      </c>
      <c r="C237" s="32" t="s">
        <v>184</v>
      </c>
      <c r="D237" s="32" t="s">
        <v>185</v>
      </c>
      <c r="E237" s="32" t="s">
        <v>5073</v>
      </c>
      <c r="F237" s="32" t="e">
        <v>#N/A</v>
      </c>
      <c r="G237" s="39"/>
      <c r="H237" s="32">
        <v>0.0</v>
      </c>
      <c r="I237" s="39"/>
      <c r="J237" s="32" t="s">
        <v>186</v>
      </c>
      <c r="K237" s="33" t="s">
        <v>187</v>
      </c>
      <c r="L237" s="32" t="e">
        <v>#N/A</v>
      </c>
      <c r="M237" s="32" t="s">
        <v>188</v>
      </c>
      <c r="N237" s="32" t="s">
        <v>51</v>
      </c>
      <c r="O237" s="32" t="s">
        <v>52</v>
      </c>
      <c r="P237" s="32">
        <v>7889.0</v>
      </c>
      <c r="Q237" s="34">
        <v>6390.0</v>
      </c>
      <c r="R237" s="40">
        <v>6899.0</v>
      </c>
      <c r="S237" s="35">
        <v>5995.64</v>
      </c>
      <c r="T237" s="36">
        <v>0.0</v>
      </c>
      <c r="U237" s="36">
        <v>2.0</v>
      </c>
      <c r="V237" s="36">
        <v>11.0</v>
      </c>
      <c r="W237" s="36">
        <v>1.0</v>
      </c>
      <c r="X237" s="36">
        <v>14.0</v>
      </c>
      <c r="Y237" s="36">
        <v>28.0</v>
      </c>
    </row>
    <row r="238">
      <c r="A238" s="32" t="s">
        <v>3111</v>
      </c>
      <c r="B238" s="32" t="s">
        <v>3111</v>
      </c>
      <c r="C238" s="32" t="s">
        <v>3112</v>
      </c>
      <c r="D238" s="32" t="s">
        <v>3113</v>
      </c>
      <c r="E238" s="32" t="s">
        <v>5073</v>
      </c>
      <c r="F238" s="32" t="e">
        <v>#N/A</v>
      </c>
      <c r="G238" s="39"/>
      <c r="H238" s="32">
        <v>0.0</v>
      </c>
      <c r="I238" s="39"/>
      <c r="J238" s="32" t="s">
        <v>3114</v>
      </c>
      <c r="K238" s="33" t="s">
        <v>3115</v>
      </c>
      <c r="L238" s="32" t="e">
        <v>#N/A</v>
      </c>
      <c r="M238" s="32" t="e">
        <v>#N/A</v>
      </c>
      <c r="N238" s="32" t="s">
        <v>5087</v>
      </c>
      <c r="O238" s="32" t="s">
        <v>4730</v>
      </c>
      <c r="P238" s="32">
        <v>1989.0</v>
      </c>
      <c r="Q238" s="34">
        <v>1969.11</v>
      </c>
      <c r="R238" s="40">
        <v>1989.0</v>
      </c>
      <c r="S238" s="35">
        <v>1690.65</v>
      </c>
      <c r="T238" s="36">
        <v>7.0</v>
      </c>
      <c r="U238" s="36">
        <v>0.0</v>
      </c>
      <c r="V238" s="36">
        <v>21.0</v>
      </c>
      <c r="W238" s="36">
        <v>0.0</v>
      </c>
      <c r="X238" s="36">
        <v>0.0</v>
      </c>
      <c r="Y238" s="36">
        <v>28.0</v>
      </c>
    </row>
    <row r="239">
      <c r="A239" s="32" t="s">
        <v>1267</v>
      </c>
      <c r="B239" s="32" t="s">
        <v>1267</v>
      </c>
      <c r="C239" s="32" t="s">
        <v>1268</v>
      </c>
      <c r="D239" s="32" t="s">
        <v>1269</v>
      </c>
      <c r="E239" s="32" t="s">
        <v>5102</v>
      </c>
      <c r="F239" s="32" t="e">
        <v>#N/A</v>
      </c>
      <c r="G239" s="39"/>
      <c r="H239" s="32" t="s">
        <v>1270</v>
      </c>
      <c r="I239" s="32" t="s">
        <v>5073</v>
      </c>
      <c r="J239" s="32" t="s">
        <v>1271</v>
      </c>
      <c r="K239" s="33" t="s">
        <v>1272</v>
      </c>
      <c r="L239" s="32">
        <v>3.1818405E7</v>
      </c>
      <c r="M239" s="32" t="e">
        <v>#N/A</v>
      </c>
      <c r="N239" s="32" t="s">
        <v>5089</v>
      </c>
      <c r="O239" s="32" t="s">
        <v>4730</v>
      </c>
      <c r="P239" s="32">
        <v>1999.0</v>
      </c>
      <c r="Q239" s="34">
        <v>1629.0</v>
      </c>
      <c r="R239" s="40">
        <v>1629.0</v>
      </c>
      <c r="S239" s="35">
        <v>1599.2</v>
      </c>
      <c r="T239" s="36">
        <v>22.0</v>
      </c>
      <c r="U239" s="36">
        <v>0.0</v>
      </c>
      <c r="V239" s="36">
        <v>6.0</v>
      </c>
      <c r="W239" s="36">
        <v>0.0</v>
      </c>
      <c r="X239" s="36">
        <v>0.0</v>
      </c>
      <c r="Y239" s="36">
        <v>28.0</v>
      </c>
    </row>
    <row r="240">
      <c r="A240" s="32" t="s">
        <v>3391</v>
      </c>
      <c r="B240" s="32" t="s">
        <v>3391</v>
      </c>
      <c r="C240" s="32" t="s">
        <v>3392</v>
      </c>
      <c r="D240" s="32" t="s">
        <v>3393</v>
      </c>
      <c r="E240" s="32" t="s">
        <v>5073</v>
      </c>
      <c r="F240" s="32" t="e">
        <v>#N/A</v>
      </c>
      <c r="G240" s="39"/>
      <c r="H240" s="32" t="s">
        <v>3394</v>
      </c>
      <c r="I240" s="32" t="s">
        <v>5073</v>
      </c>
      <c r="J240" s="32" t="s">
        <v>3395</v>
      </c>
      <c r="K240" s="33" t="s">
        <v>3396</v>
      </c>
      <c r="L240" s="32">
        <v>3.1818388E7</v>
      </c>
      <c r="M240" s="32" t="e">
        <v>#N/A</v>
      </c>
      <c r="N240" s="32" t="s">
        <v>5086</v>
      </c>
      <c r="O240" s="32" t="s">
        <v>4730</v>
      </c>
      <c r="P240" s="32">
        <v>2189.0</v>
      </c>
      <c r="Q240" s="34">
        <v>1999.0</v>
      </c>
      <c r="R240" s="40">
        <v>1999.0</v>
      </c>
      <c r="S240" s="35">
        <v>1860.65</v>
      </c>
      <c r="T240" s="36">
        <v>0.0</v>
      </c>
      <c r="U240" s="36">
        <v>2.0</v>
      </c>
      <c r="V240" s="36">
        <v>26.0</v>
      </c>
      <c r="W240" s="36">
        <v>0.0</v>
      </c>
      <c r="X240" s="36">
        <v>0.0</v>
      </c>
      <c r="Y240" s="36">
        <v>28.0</v>
      </c>
    </row>
    <row r="241">
      <c r="A241" s="32" t="s">
        <v>4614</v>
      </c>
      <c r="B241" s="32" t="s">
        <v>4614</v>
      </c>
      <c r="C241" s="32" t="s">
        <v>4615</v>
      </c>
      <c r="D241" s="32" t="s">
        <v>4616</v>
      </c>
      <c r="E241" s="32" t="s">
        <v>5073</v>
      </c>
      <c r="F241" s="32" t="e">
        <v>#N/A</v>
      </c>
      <c r="G241" s="39"/>
      <c r="H241" s="32">
        <v>0.0</v>
      </c>
      <c r="I241" s="39"/>
      <c r="J241" s="32" t="s">
        <v>4617</v>
      </c>
      <c r="K241" s="33" t="s">
        <v>4618</v>
      </c>
      <c r="L241" s="32" t="e">
        <v>#N/A</v>
      </c>
      <c r="M241" s="32" t="e">
        <v>#N/A</v>
      </c>
      <c r="N241" s="32" t="s">
        <v>5077</v>
      </c>
      <c r="O241" s="32" t="s">
        <v>4730</v>
      </c>
      <c r="P241" s="32">
        <v>1699.0</v>
      </c>
      <c r="Q241" s="34">
        <v>1614.0</v>
      </c>
      <c r="R241" s="40">
        <v>1614.0</v>
      </c>
      <c r="S241" s="35">
        <v>1529.1</v>
      </c>
      <c r="T241" s="36">
        <v>5.0</v>
      </c>
      <c r="U241" s="36">
        <v>6.0</v>
      </c>
      <c r="V241" s="36">
        <v>17.0</v>
      </c>
      <c r="W241" s="36">
        <v>0.0</v>
      </c>
      <c r="X241" s="36">
        <v>0.0</v>
      </c>
      <c r="Y241" s="36">
        <v>28.0</v>
      </c>
    </row>
    <row r="242">
      <c r="A242" s="32" t="s">
        <v>2670</v>
      </c>
      <c r="B242" s="32" t="s">
        <v>2670</v>
      </c>
      <c r="C242" s="32">
        <v>0.0</v>
      </c>
      <c r="D242" s="32" t="e">
        <v>#N/A</v>
      </c>
      <c r="E242" s="39"/>
      <c r="F242" s="32" t="e">
        <v>#N/A</v>
      </c>
      <c r="G242" s="39"/>
      <c r="H242" s="32" t="e">
        <v>#N/A</v>
      </c>
      <c r="I242" s="39"/>
      <c r="J242" s="32">
        <v>0.0</v>
      </c>
      <c r="K242" s="33" t="e">
        <v>#N/A</v>
      </c>
      <c r="L242" s="32" t="e">
        <v>#N/A</v>
      </c>
      <c r="M242" s="32" t="e">
        <v>#N/A</v>
      </c>
      <c r="N242" s="32" t="e">
        <v>#N/A</v>
      </c>
      <c r="O242" s="32" t="e">
        <v>#N/A</v>
      </c>
      <c r="P242" s="32" t="e">
        <v>#REF!</v>
      </c>
      <c r="Q242" s="32" t="e">
        <v>#N/A</v>
      </c>
      <c r="R242" s="42" t="e">
        <v>#N/A</v>
      </c>
      <c r="S242" s="42" t="e">
        <v>#N/A</v>
      </c>
      <c r="T242" s="36">
        <v>10.0</v>
      </c>
      <c r="U242" s="36">
        <v>1.0</v>
      </c>
      <c r="V242" s="36">
        <v>17.0</v>
      </c>
      <c r="W242" s="36">
        <v>0.0</v>
      </c>
      <c r="X242" s="36">
        <v>0.0</v>
      </c>
      <c r="Y242" s="36">
        <v>28.0</v>
      </c>
    </row>
    <row r="243">
      <c r="A243" s="32" t="s">
        <v>4534</v>
      </c>
      <c r="B243" s="32" t="s">
        <v>4534</v>
      </c>
      <c r="C243" s="32">
        <v>0.0</v>
      </c>
      <c r="D243" s="32" t="e">
        <v>#N/A</v>
      </c>
      <c r="E243" s="39"/>
      <c r="F243" s="32" t="e">
        <v>#N/A</v>
      </c>
      <c r="G243" s="39"/>
      <c r="H243" s="32">
        <v>0.0</v>
      </c>
      <c r="I243" s="39"/>
      <c r="J243" s="32" t="s">
        <v>4536</v>
      </c>
      <c r="K243" s="33" t="e">
        <v>#N/A</v>
      </c>
      <c r="L243" s="32" t="e">
        <v>#N/A</v>
      </c>
      <c r="M243" s="32" t="e">
        <v>#N/A</v>
      </c>
      <c r="N243" s="32" t="s">
        <v>5077</v>
      </c>
      <c r="O243" s="32" t="s">
        <v>4730</v>
      </c>
      <c r="P243" s="32">
        <v>1499.0</v>
      </c>
      <c r="Q243" s="34">
        <v>1424.0</v>
      </c>
      <c r="R243" s="40">
        <v>1424.0</v>
      </c>
      <c r="S243" s="35">
        <v>1349.1</v>
      </c>
      <c r="T243" s="36">
        <v>3.0</v>
      </c>
      <c r="U243" s="36">
        <v>20.0</v>
      </c>
      <c r="V243" s="36">
        <v>4.0</v>
      </c>
      <c r="W243" s="36">
        <v>0.0</v>
      </c>
      <c r="X243" s="36">
        <v>1.0</v>
      </c>
      <c r="Y243" s="36">
        <v>28.0</v>
      </c>
    </row>
    <row r="244">
      <c r="A244" s="32" t="s">
        <v>4461</v>
      </c>
      <c r="B244" s="32" t="s">
        <v>4461</v>
      </c>
      <c r="C244" s="32" t="s">
        <v>4462</v>
      </c>
      <c r="D244" s="32" t="s">
        <v>4463</v>
      </c>
      <c r="E244" s="32" t="s">
        <v>5073</v>
      </c>
      <c r="F244" s="32" t="e">
        <v>#N/A</v>
      </c>
      <c r="G244" s="32" t="e">
        <v>#N/A</v>
      </c>
      <c r="H244" s="32">
        <v>0.0</v>
      </c>
      <c r="I244" s="32">
        <v>0.0</v>
      </c>
      <c r="J244" s="32" t="s">
        <v>4464</v>
      </c>
      <c r="K244" s="33" t="s">
        <v>4465</v>
      </c>
      <c r="L244" s="32" t="e">
        <v>#N/A</v>
      </c>
      <c r="M244" s="32" t="e">
        <v>#N/A</v>
      </c>
      <c r="N244" s="32" t="s">
        <v>5077</v>
      </c>
      <c r="O244" s="32" t="s">
        <v>4730</v>
      </c>
      <c r="P244" s="32">
        <v>999.0</v>
      </c>
      <c r="Q244" s="34">
        <v>949.0</v>
      </c>
      <c r="R244" s="35">
        <v>949.0</v>
      </c>
      <c r="S244" s="35">
        <v>899.1</v>
      </c>
      <c r="T244" s="36">
        <v>3.0</v>
      </c>
      <c r="U244" s="36">
        <v>4.0</v>
      </c>
      <c r="V244" s="36">
        <v>20.0</v>
      </c>
      <c r="W244" s="36">
        <v>0.0</v>
      </c>
      <c r="X244" s="36">
        <v>0.0</v>
      </c>
      <c r="Y244" s="36">
        <v>27.0</v>
      </c>
    </row>
    <row r="245">
      <c r="A245" s="32" t="s">
        <v>1165</v>
      </c>
      <c r="B245" s="32" t="s">
        <v>1165</v>
      </c>
      <c r="C245" s="32" t="s">
        <v>1166</v>
      </c>
      <c r="D245" s="32" t="s">
        <v>1167</v>
      </c>
      <c r="E245" s="32" t="s">
        <v>5073</v>
      </c>
      <c r="F245" s="32" t="e">
        <v>#N/A</v>
      </c>
      <c r="G245" s="39"/>
      <c r="H245" s="32">
        <v>0.0</v>
      </c>
      <c r="I245" s="39"/>
      <c r="J245" s="32" t="s">
        <v>1165</v>
      </c>
      <c r="K245" s="33" t="s">
        <v>1168</v>
      </c>
      <c r="L245" s="32" t="e">
        <v>#N/A</v>
      </c>
      <c r="M245" s="32" t="s">
        <v>1169</v>
      </c>
      <c r="N245" s="32" t="s">
        <v>1195</v>
      </c>
      <c r="O245" s="32" t="s">
        <v>5114</v>
      </c>
      <c r="P245" s="32">
        <v>1989.0</v>
      </c>
      <c r="Q245" s="34">
        <v>1429.0</v>
      </c>
      <c r="R245" s="40">
        <v>1399.0</v>
      </c>
      <c r="S245" s="35">
        <v>1392.3</v>
      </c>
      <c r="T245" s="36">
        <v>3.0</v>
      </c>
      <c r="U245" s="36">
        <v>0.0</v>
      </c>
      <c r="V245" s="36">
        <v>22.0</v>
      </c>
      <c r="W245" s="36">
        <v>0.0</v>
      </c>
      <c r="X245" s="36">
        <v>2.0</v>
      </c>
      <c r="Y245" s="36">
        <v>27.0</v>
      </c>
    </row>
    <row r="246">
      <c r="A246" s="32" t="s">
        <v>1339</v>
      </c>
      <c r="B246" s="32" t="s">
        <v>1339</v>
      </c>
      <c r="C246" s="32" t="s">
        <v>1340</v>
      </c>
      <c r="D246" s="32" t="s">
        <v>1341</v>
      </c>
      <c r="E246" s="32" t="s">
        <v>5073</v>
      </c>
      <c r="F246" s="32" t="e">
        <v>#N/A</v>
      </c>
      <c r="G246" s="39"/>
      <c r="H246" s="32" t="s">
        <v>1342</v>
      </c>
      <c r="I246" s="32" t="s">
        <v>5073</v>
      </c>
      <c r="J246" s="32" t="s">
        <v>1343</v>
      </c>
      <c r="K246" s="33" t="s">
        <v>1344</v>
      </c>
      <c r="L246" s="32">
        <v>3.1818422E7</v>
      </c>
      <c r="M246" s="32" t="e">
        <v>#N/A</v>
      </c>
      <c r="N246" s="32" t="s">
        <v>5089</v>
      </c>
      <c r="O246" s="32" t="s">
        <v>4730</v>
      </c>
      <c r="P246" s="32">
        <v>2449.0</v>
      </c>
      <c r="Q246" s="34">
        <v>2004.0</v>
      </c>
      <c r="R246" s="40">
        <v>2004.0</v>
      </c>
      <c r="S246" s="35">
        <v>1959.2</v>
      </c>
      <c r="T246" s="36">
        <v>20.0</v>
      </c>
      <c r="U246" s="36">
        <v>3.0</v>
      </c>
      <c r="V246" s="36">
        <v>4.0</v>
      </c>
      <c r="W246" s="36">
        <v>0.0</v>
      </c>
      <c r="X246" s="36">
        <v>0.0</v>
      </c>
      <c r="Y246" s="36">
        <v>27.0</v>
      </c>
    </row>
    <row r="247">
      <c r="A247" s="32" t="s">
        <v>1207</v>
      </c>
      <c r="B247" s="32" t="s">
        <v>1207</v>
      </c>
      <c r="C247" s="32" t="s">
        <v>1208</v>
      </c>
      <c r="D247" s="32" t="s">
        <v>1209</v>
      </c>
      <c r="E247" s="32" t="s">
        <v>5073</v>
      </c>
      <c r="F247" s="32" t="e">
        <v>#N/A</v>
      </c>
      <c r="G247" s="39"/>
      <c r="H247" s="32" t="s">
        <v>1210</v>
      </c>
      <c r="I247" s="32" t="s">
        <v>5073</v>
      </c>
      <c r="J247" s="32" t="s">
        <v>1211</v>
      </c>
      <c r="K247" s="33" t="s">
        <v>1212</v>
      </c>
      <c r="L247" s="32">
        <v>3.1818386E7</v>
      </c>
      <c r="M247" s="32" t="e">
        <v>#N/A</v>
      </c>
      <c r="N247" s="32" t="s">
        <v>5089</v>
      </c>
      <c r="O247" s="32" t="s">
        <v>4730</v>
      </c>
      <c r="P247" s="32">
        <v>1999.0</v>
      </c>
      <c r="Q247" s="34">
        <v>1629.0</v>
      </c>
      <c r="R247" s="40">
        <v>1629.0</v>
      </c>
      <c r="S247" s="35">
        <v>1599.2</v>
      </c>
      <c r="T247" s="36">
        <v>16.0</v>
      </c>
      <c r="U247" s="36">
        <v>5.0</v>
      </c>
      <c r="V247" s="36">
        <v>6.0</v>
      </c>
      <c r="W247" s="36">
        <v>0.0</v>
      </c>
      <c r="X247" s="36">
        <v>0.0</v>
      </c>
      <c r="Y247" s="36">
        <v>27.0</v>
      </c>
    </row>
    <row r="248">
      <c r="A248" s="32" t="s">
        <v>2899</v>
      </c>
      <c r="B248" s="32" t="s">
        <v>2899</v>
      </c>
      <c r="C248" s="32" t="s">
        <v>2900</v>
      </c>
      <c r="D248" s="32" t="s">
        <v>2901</v>
      </c>
      <c r="E248" s="32" t="s">
        <v>5073</v>
      </c>
      <c r="F248" s="32" t="e">
        <v>#N/A</v>
      </c>
      <c r="G248" s="39"/>
      <c r="H248" s="32" t="s">
        <v>2902</v>
      </c>
      <c r="I248" s="32" t="s">
        <v>5073</v>
      </c>
      <c r="J248" s="32" t="s">
        <v>2903</v>
      </c>
      <c r="K248" s="33" t="s">
        <v>2904</v>
      </c>
      <c r="L248" s="32" t="e">
        <v>#N/A</v>
      </c>
      <c r="M248" s="32" t="e">
        <v>#N/A</v>
      </c>
      <c r="N248" s="32" t="s">
        <v>5116</v>
      </c>
      <c r="O248" s="32" t="s">
        <v>4730</v>
      </c>
      <c r="P248" s="32">
        <v>2699.0</v>
      </c>
      <c r="Q248" s="34">
        <v>2399.0</v>
      </c>
      <c r="R248" s="40">
        <v>2399.0</v>
      </c>
      <c r="S248" s="35">
        <v>2294.15</v>
      </c>
      <c r="T248" s="36">
        <v>0.0</v>
      </c>
      <c r="U248" s="36">
        <v>0.0</v>
      </c>
      <c r="V248" s="36">
        <v>19.0</v>
      </c>
      <c r="W248" s="36">
        <v>5.0</v>
      </c>
      <c r="X248" s="36">
        <v>3.0</v>
      </c>
      <c r="Y248" s="36">
        <v>27.0</v>
      </c>
    </row>
    <row r="249">
      <c r="A249" s="32" t="s">
        <v>2713</v>
      </c>
      <c r="B249" s="32" t="s">
        <v>2713</v>
      </c>
      <c r="C249" s="32">
        <v>0.0</v>
      </c>
      <c r="D249" s="32" t="e">
        <v>#N/A</v>
      </c>
      <c r="E249" s="39"/>
      <c r="F249" s="32" t="e">
        <v>#N/A</v>
      </c>
      <c r="G249" s="39"/>
      <c r="H249" s="32" t="e">
        <v>#N/A</v>
      </c>
      <c r="I249" s="39"/>
      <c r="J249" s="32">
        <v>0.0</v>
      </c>
      <c r="K249" s="33" t="e">
        <v>#N/A</v>
      </c>
      <c r="L249" s="32" t="e">
        <v>#N/A</v>
      </c>
      <c r="M249" s="32" t="e">
        <v>#N/A</v>
      </c>
      <c r="N249" s="32" t="e">
        <v>#N/A</v>
      </c>
      <c r="O249" s="32" t="e">
        <v>#N/A</v>
      </c>
      <c r="P249" s="32" t="e">
        <v>#REF!</v>
      </c>
      <c r="Q249" s="32" t="e">
        <v>#N/A</v>
      </c>
      <c r="R249" s="42" t="e">
        <v>#N/A</v>
      </c>
      <c r="S249" s="42" t="e">
        <v>#N/A</v>
      </c>
      <c r="T249" s="36">
        <v>13.0</v>
      </c>
      <c r="U249" s="36">
        <v>0.0</v>
      </c>
      <c r="V249" s="36">
        <v>14.0</v>
      </c>
      <c r="W249" s="36">
        <v>0.0</v>
      </c>
      <c r="X249" s="36">
        <v>0.0</v>
      </c>
      <c r="Y249" s="36">
        <v>27.0</v>
      </c>
    </row>
    <row r="250">
      <c r="A250" s="32" t="s">
        <v>3083</v>
      </c>
      <c r="B250" s="32" t="s">
        <v>3083</v>
      </c>
      <c r="C250" s="32" t="s">
        <v>3084</v>
      </c>
      <c r="D250" s="32" t="s">
        <v>3085</v>
      </c>
      <c r="E250" s="32" t="s">
        <v>5073</v>
      </c>
      <c r="F250" s="32" t="e">
        <v>#N/A</v>
      </c>
      <c r="G250" s="32" t="e">
        <v>#N/A</v>
      </c>
      <c r="H250" s="32" t="s">
        <v>3086</v>
      </c>
      <c r="I250" s="32" t="s">
        <v>5073</v>
      </c>
      <c r="J250" s="32" t="s">
        <v>3087</v>
      </c>
      <c r="K250" s="33" t="s">
        <v>3088</v>
      </c>
      <c r="L250" s="32">
        <v>3.1745299E7</v>
      </c>
      <c r="M250" s="32" t="e">
        <v>#N/A</v>
      </c>
      <c r="N250" s="32" t="s">
        <v>5087</v>
      </c>
      <c r="O250" s="32" t="s">
        <v>4730</v>
      </c>
      <c r="P250" s="32">
        <v>1879.0</v>
      </c>
      <c r="Q250" s="34">
        <v>1587.0</v>
      </c>
      <c r="R250" s="40">
        <v>1599.0</v>
      </c>
      <c r="S250" s="35">
        <v>1597.15</v>
      </c>
      <c r="T250" s="36">
        <v>0.0</v>
      </c>
      <c r="U250" s="36">
        <v>10.0</v>
      </c>
      <c r="V250" s="36">
        <v>16.0</v>
      </c>
      <c r="W250" s="36">
        <v>0.0</v>
      </c>
      <c r="X250" s="36">
        <v>0.0</v>
      </c>
      <c r="Y250" s="36">
        <v>26.0</v>
      </c>
    </row>
    <row r="251">
      <c r="A251" s="32" t="s">
        <v>1047</v>
      </c>
      <c r="B251" s="32" t="s">
        <v>1047</v>
      </c>
      <c r="C251" s="32" t="s">
        <v>1048</v>
      </c>
      <c r="D251" s="32" t="s">
        <v>1049</v>
      </c>
      <c r="E251" s="32" t="s">
        <v>5073</v>
      </c>
      <c r="F251" s="32" t="e">
        <v>#N/A</v>
      </c>
      <c r="G251" s="32" t="e">
        <v>#N/A</v>
      </c>
      <c r="H251" s="32">
        <v>0.0</v>
      </c>
      <c r="I251" s="39"/>
      <c r="J251" s="32" t="s">
        <v>1050</v>
      </c>
      <c r="K251" s="33" t="s">
        <v>1051</v>
      </c>
      <c r="L251" s="32">
        <v>3.1999062E7</v>
      </c>
      <c r="M251" s="32" t="s">
        <v>1052</v>
      </c>
      <c r="N251" s="32" t="s">
        <v>5108</v>
      </c>
      <c r="O251" s="32" t="s">
        <v>52</v>
      </c>
      <c r="P251" s="32">
        <v>22699.0</v>
      </c>
      <c r="Q251" s="34">
        <v>19067.0</v>
      </c>
      <c r="R251" s="40">
        <v>20399.0</v>
      </c>
      <c r="S251" s="35">
        <v>18159.2</v>
      </c>
      <c r="T251" s="36">
        <v>3.0</v>
      </c>
      <c r="U251" s="36">
        <v>0.0</v>
      </c>
      <c r="V251" s="36">
        <v>23.0</v>
      </c>
      <c r="W251" s="36">
        <v>0.0</v>
      </c>
      <c r="X251" s="36">
        <v>0.0</v>
      </c>
      <c r="Y251" s="36">
        <v>26.0</v>
      </c>
    </row>
    <row r="252">
      <c r="A252" s="32" t="s">
        <v>4196</v>
      </c>
      <c r="B252" s="32" t="s">
        <v>4196</v>
      </c>
      <c r="C252" s="32" t="s">
        <v>4197</v>
      </c>
      <c r="D252" s="32" t="s">
        <v>4198</v>
      </c>
      <c r="E252" s="32" t="s">
        <v>5073</v>
      </c>
      <c r="F252" s="32" t="e">
        <v>#N/A</v>
      </c>
      <c r="G252" s="38"/>
      <c r="H252" s="32">
        <v>0.0</v>
      </c>
      <c r="I252" s="39"/>
      <c r="J252" s="32" t="s">
        <v>4199</v>
      </c>
      <c r="K252" s="33" t="s">
        <v>4200</v>
      </c>
      <c r="L252" s="32" t="e">
        <v>#N/A</v>
      </c>
      <c r="M252" s="32" t="e">
        <v>#N/A</v>
      </c>
      <c r="N252" s="32" t="s">
        <v>5118</v>
      </c>
      <c r="O252" s="32" t="s">
        <v>52</v>
      </c>
      <c r="P252" s="32">
        <v>17499.0</v>
      </c>
      <c r="Q252" s="34">
        <v>15749.0</v>
      </c>
      <c r="R252" s="40">
        <v>16799.0</v>
      </c>
      <c r="S252" s="35">
        <v>15377.34</v>
      </c>
      <c r="T252" s="36">
        <v>0.0</v>
      </c>
      <c r="U252" s="36">
        <v>0.0</v>
      </c>
      <c r="V252" s="36">
        <v>23.0</v>
      </c>
      <c r="W252" s="36">
        <v>0.0</v>
      </c>
      <c r="X252" s="36">
        <v>3.0</v>
      </c>
      <c r="Y252" s="36">
        <v>26.0</v>
      </c>
    </row>
    <row r="253">
      <c r="A253" s="32" t="s">
        <v>206</v>
      </c>
      <c r="B253" s="32" t="s">
        <v>206</v>
      </c>
      <c r="C253" s="32" t="s">
        <v>207</v>
      </c>
      <c r="D253" s="32" t="s">
        <v>208</v>
      </c>
      <c r="E253" s="32" t="s">
        <v>5073</v>
      </c>
      <c r="F253" s="32" t="e">
        <v>#N/A</v>
      </c>
      <c r="G253" s="39"/>
      <c r="H253" s="32" t="s">
        <v>209</v>
      </c>
      <c r="I253" s="32" t="s">
        <v>5073</v>
      </c>
      <c r="J253" s="32" t="s">
        <v>210</v>
      </c>
      <c r="K253" s="33" t="s">
        <v>211</v>
      </c>
      <c r="L253" s="32">
        <v>3.199909E7</v>
      </c>
      <c r="M253" s="32" t="s">
        <v>212</v>
      </c>
      <c r="N253" s="32" t="s">
        <v>51</v>
      </c>
      <c r="O253" s="32" t="s">
        <v>52</v>
      </c>
      <c r="P253" s="32">
        <v>12799.0</v>
      </c>
      <c r="Q253" s="34">
        <v>10367.0</v>
      </c>
      <c r="R253" s="40">
        <v>11099.0</v>
      </c>
      <c r="S253" s="35">
        <v>9727.24</v>
      </c>
      <c r="T253" s="36">
        <v>7.0</v>
      </c>
      <c r="U253" s="36">
        <v>4.0</v>
      </c>
      <c r="V253" s="36">
        <v>9.0</v>
      </c>
      <c r="W253" s="36">
        <v>4.0</v>
      </c>
      <c r="X253" s="36">
        <v>2.0</v>
      </c>
      <c r="Y253" s="36">
        <v>26.0</v>
      </c>
    </row>
    <row r="254">
      <c r="A254" s="32" t="s">
        <v>1309</v>
      </c>
      <c r="B254" s="32" t="s">
        <v>1309</v>
      </c>
      <c r="C254" s="32" t="s">
        <v>1310</v>
      </c>
      <c r="D254" s="32" t="s">
        <v>1311</v>
      </c>
      <c r="E254" s="32" t="s">
        <v>5073</v>
      </c>
      <c r="F254" s="32" t="e">
        <v>#N/A</v>
      </c>
      <c r="G254" s="39"/>
      <c r="H254" s="32" t="s">
        <v>1312</v>
      </c>
      <c r="I254" s="32" t="s">
        <v>5073</v>
      </c>
      <c r="J254" s="32" t="s">
        <v>1313</v>
      </c>
      <c r="K254" s="33" t="s">
        <v>1314</v>
      </c>
      <c r="L254" s="32">
        <v>3.181842E7</v>
      </c>
      <c r="M254" s="32" t="e">
        <v>#N/A</v>
      </c>
      <c r="N254" s="32" t="s">
        <v>5089</v>
      </c>
      <c r="O254" s="32" t="s">
        <v>4730</v>
      </c>
      <c r="P254" s="32">
        <v>2449.0</v>
      </c>
      <c r="Q254" s="34">
        <v>2004.0</v>
      </c>
      <c r="R254" s="40">
        <v>2004.0</v>
      </c>
      <c r="S254" s="35">
        <v>1959.2</v>
      </c>
      <c r="T254" s="36">
        <v>5.0</v>
      </c>
      <c r="U254" s="36">
        <v>4.0</v>
      </c>
      <c r="V254" s="36">
        <v>15.0</v>
      </c>
      <c r="W254" s="36">
        <v>2.0</v>
      </c>
      <c r="X254" s="36">
        <v>0.0</v>
      </c>
      <c r="Y254" s="36">
        <v>26.0</v>
      </c>
    </row>
    <row r="255">
      <c r="A255" s="32" t="s">
        <v>2663</v>
      </c>
      <c r="B255" s="32" t="s">
        <v>2663</v>
      </c>
      <c r="C255" s="32" t="s">
        <v>2664</v>
      </c>
      <c r="D255" s="32" t="s">
        <v>2665</v>
      </c>
      <c r="E255" s="32" t="s">
        <v>5073</v>
      </c>
      <c r="F255" s="32" t="e">
        <v>#N/A</v>
      </c>
      <c r="G255" s="39"/>
      <c r="H255" s="32" t="s">
        <v>2666</v>
      </c>
      <c r="I255" s="32" t="s">
        <v>5073</v>
      </c>
      <c r="J255" s="32" t="s">
        <v>2667</v>
      </c>
      <c r="K255" s="33" t="s">
        <v>2668</v>
      </c>
      <c r="L255" s="32">
        <v>3.1818393E7</v>
      </c>
      <c r="M255" s="32" t="e">
        <v>#N/A</v>
      </c>
      <c r="N255" s="32" t="s">
        <v>5107</v>
      </c>
      <c r="O255" s="32" t="s">
        <v>4730</v>
      </c>
      <c r="P255" s="32">
        <v>1389.0</v>
      </c>
      <c r="Q255" s="34">
        <v>1138.0</v>
      </c>
      <c r="R255" s="40">
        <v>1138.0</v>
      </c>
      <c r="S255" s="35">
        <v>1041.75</v>
      </c>
      <c r="T255" s="36">
        <v>0.0</v>
      </c>
      <c r="U255" s="36">
        <v>0.0</v>
      </c>
      <c r="V255" s="36">
        <v>26.0</v>
      </c>
      <c r="W255" s="36">
        <v>0.0</v>
      </c>
      <c r="X255" s="36">
        <v>0.0</v>
      </c>
      <c r="Y255" s="36">
        <v>26.0</v>
      </c>
    </row>
    <row r="256">
      <c r="A256" s="32" t="s">
        <v>4526</v>
      </c>
      <c r="B256" s="32" t="s">
        <v>4526</v>
      </c>
      <c r="C256" s="32" t="s">
        <v>4527</v>
      </c>
      <c r="D256" s="32" t="s">
        <v>4528</v>
      </c>
      <c r="E256" s="32" t="s">
        <v>5073</v>
      </c>
      <c r="F256" s="32" t="e">
        <v>#N/A</v>
      </c>
      <c r="G256" s="39"/>
      <c r="H256" s="32">
        <v>0.0</v>
      </c>
      <c r="I256" s="39"/>
      <c r="J256" s="32" t="s">
        <v>4529</v>
      </c>
      <c r="K256" s="33" t="s">
        <v>4530</v>
      </c>
      <c r="L256" s="32" t="e">
        <v>#N/A</v>
      </c>
      <c r="M256" s="32" t="e">
        <v>#N/A</v>
      </c>
      <c r="N256" s="32" t="s">
        <v>5077</v>
      </c>
      <c r="O256" s="32" t="s">
        <v>4730</v>
      </c>
      <c r="P256" s="32">
        <v>1499.0</v>
      </c>
      <c r="Q256" s="34">
        <v>1424.0</v>
      </c>
      <c r="R256" s="40">
        <v>1424.0</v>
      </c>
      <c r="S256" s="35">
        <v>1349.1</v>
      </c>
      <c r="T256" s="36">
        <v>3.0</v>
      </c>
      <c r="U256" s="36">
        <v>0.0</v>
      </c>
      <c r="V256" s="36">
        <v>23.0</v>
      </c>
      <c r="W256" s="36">
        <v>0.0</v>
      </c>
      <c r="X256" s="36">
        <v>0.0</v>
      </c>
      <c r="Y256" s="36">
        <v>26.0</v>
      </c>
    </row>
    <row r="257">
      <c r="A257" s="32" t="s">
        <v>4418</v>
      </c>
      <c r="B257" s="32" t="s">
        <v>4418</v>
      </c>
      <c r="C257" s="32" t="s">
        <v>4419</v>
      </c>
      <c r="D257" s="32" t="s">
        <v>4420</v>
      </c>
      <c r="E257" s="32" t="s">
        <v>5102</v>
      </c>
      <c r="F257" s="32" t="e">
        <v>#N/A</v>
      </c>
      <c r="G257" s="39"/>
      <c r="H257" s="32">
        <v>0.0</v>
      </c>
      <c r="I257" s="39"/>
      <c r="J257" s="32" t="s">
        <v>4421</v>
      </c>
      <c r="K257" s="33" t="s">
        <v>4422</v>
      </c>
      <c r="L257" s="32" t="e">
        <v>#N/A</v>
      </c>
      <c r="M257" s="32" t="e">
        <v>#N/A</v>
      </c>
      <c r="N257" s="32" t="s">
        <v>5077</v>
      </c>
      <c r="O257" s="32" t="s">
        <v>4730</v>
      </c>
      <c r="P257" s="32">
        <v>999.0</v>
      </c>
      <c r="Q257" s="34">
        <v>949.0</v>
      </c>
      <c r="R257" s="35">
        <v>949.0</v>
      </c>
      <c r="S257" s="35">
        <v>899.1</v>
      </c>
      <c r="T257" s="36">
        <v>0.0</v>
      </c>
      <c r="U257" s="36">
        <v>0.0</v>
      </c>
      <c r="V257" s="36">
        <v>18.0</v>
      </c>
      <c r="W257" s="36">
        <v>0.0</v>
      </c>
      <c r="X257" s="36">
        <v>8.0</v>
      </c>
      <c r="Y257" s="36">
        <v>26.0</v>
      </c>
    </row>
    <row r="258">
      <c r="A258" s="32" t="s">
        <v>3619</v>
      </c>
      <c r="B258" s="32" t="s">
        <v>3619</v>
      </c>
      <c r="C258" s="32" t="s">
        <v>3620</v>
      </c>
      <c r="D258" s="32" t="s">
        <v>3621</v>
      </c>
      <c r="E258" s="32" t="s">
        <v>5073</v>
      </c>
      <c r="F258" s="32" t="e">
        <v>#N/A</v>
      </c>
      <c r="G258" s="32" t="e">
        <v>#N/A</v>
      </c>
      <c r="H258" s="32" t="s">
        <v>3619</v>
      </c>
      <c r="I258" s="32" t="s">
        <v>5073</v>
      </c>
      <c r="J258" s="32" t="s">
        <v>3622</v>
      </c>
      <c r="K258" s="33" t="s">
        <v>3623</v>
      </c>
      <c r="L258" s="32" t="e">
        <v>#N/A</v>
      </c>
      <c r="M258" s="32" t="e">
        <v>#N/A</v>
      </c>
      <c r="N258" s="32" t="s">
        <v>5127</v>
      </c>
      <c r="O258" s="32" t="s">
        <v>4730</v>
      </c>
      <c r="P258" s="32">
        <v>899.0</v>
      </c>
      <c r="Q258" s="34">
        <v>799.0</v>
      </c>
      <c r="R258" s="35">
        <v>799.0</v>
      </c>
      <c r="S258" s="35">
        <v>749.0</v>
      </c>
      <c r="T258" s="36">
        <v>0.0</v>
      </c>
      <c r="U258" s="36">
        <v>0.0</v>
      </c>
      <c r="V258" s="36">
        <v>25.0</v>
      </c>
      <c r="W258" s="36">
        <v>0.0</v>
      </c>
      <c r="X258" s="36">
        <v>0.0</v>
      </c>
      <c r="Y258" s="36">
        <v>25.0</v>
      </c>
    </row>
    <row r="259">
      <c r="A259" s="32" t="s">
        <v>4491</v>
      </c>
      <c r="B259" s="32" t="s">
        <v>4491</v>
      </c>
      <c r="C259" s="32" t="s">
        <v>4492</v>
      </c>
      <c r="D259" s="32" t="s">
        <v>4493</v>
      </c>
      <c r="E259" s="32" t="s">
        <v>5073</v>
      </c>
      <c r="F259" s="32" t="e">
        <v>#N/A</v>
      </c>
      <c r="G259" s="39"/>
      <c r="H259" s="32">
        <v>0.0</v>
      </c>
      <c r="I259" s="39"/>
      <c r="J259" s="32" t="s">
        <v>4494</v>
      </c>
      <c r="K259" s="33" t="s">
        <v>4495</v>
      </c>
      <c r="L259" s="32" t="e">
        <v>#N/A</v>
      </c>
      <c r="M259" s="32" t="e">
        <v>#N/A</v>
      </c>
      <c r="N259" s="32" t="s">
        <v>5077</v>
      </c>
      <c r="O259" s="32" t="s">
        <v>4730</v>
      </c>
      <c r="P259" s="32">
        <v>1199.0</v>
      </c>
      <c r="Q259" s="34">
        <v>1139.0</v>
      </c>
      <c r="R259" s="40">
        <v>1139.0</v>
      </c>
      <c r="S259" s="35">
        <v>1079.1</v>
      </c>
      <c r="T259" s="36">
        <v>4.0</v>
      </c>
      <c r="U259" s="36">
        <v>9.0</v>
      </c>
      <c r="V259" s="36">
        <v>9.0</v>
      </c>
      <c r="W259" s="36">
        <v>0.0</v>
      </c>
      <c r="X259" s="36">
        <v>3.0</v>
      </c>
      <c r="Y259" s="36">
        <v>25.0</v>
      </c>
    </row>
    <row r="260">
      <c r="A260" s="32" t="s">
        <v>1153</v>
      </c>
      <c r="B260" s="32" t="s">
        <v>1153</v>
      </c>
      <c r="C260" s="32" t="s">
        <v>1154</v>
      </c>
      <c r="D260" s="32" t="s">
        <v>1155</v>
      </c>
      <c r="E260" s="32" t="s">
        <v>5117</v>
      </c>
      <c r="F260" s="32" t="e">
        <v>#N/A</v>
      </c>
      <c r="G260" s="32" t="e">
        <v>#N/A</v>
      </c>
      <c r="H260" s="32" t="s">
        <v>1156</v>
      </c>
      <c r="I260" s="32" t="s">
        <v>5102</v>
      </c>
      <c r="J260" s="32" t="s">
        <v>1157</v>
      </c>
      <c r="K260" s="33" t="s">
        <v>1158</v>
      </c>
      <c r="L260" s="32" t="e">
        <v>#N/A</v>
      </c>
      <c r="M260" s="32" t="s">
        <v>1159</v>
      </c>
      <c r="N260" s="32" t="s">
        <v>1195</v>
      </c>
      <c r="O260" s="32" t="s">
        <v>5114</v>
      </c>
      <c r="P260" s="32">
        <v>2489.0</v>
      </c>
      <c r="Q260" s="34">
        <v>1788.0</v>
      </c>
      <c r="R260" s="40">
        <v>1799.0</v>
      </c>
      <c r="S260" s="35">
        <v>1742.3</v>
      </c>
      <c r="T260" s="36">
        <v>0.0</v>
      </c>
      <c r="U260" s="36">
        <v>0.0</v>
      </c>
      <c r="V260" s="36">
        <v>25.0</v>
      </c>
      <c r="W260" s="36">
        <v>0.0</v>
      </c>
      <c r="X260" s="36">
        <v>0.0</v>
      </c>
      <c r="Y260" s="36">
        <v>25.0</v>
      </c>
    </row>
    <row r="261">
      <c r="A261" s="32" t="s">
        <v>3681</v>
      </c>
      <c r="B261" s="32" t="s">
        <v>3681</v>
      </c>
      <c r="C261" s="32" t="s">
        <v>3682</v>
      </c>
      <c r="D261" s="32" t="s">
        <v>3683</v>
      </c>
      <c r="E261" s="32" t="s">
        <v>5073</v>
      </c>
      <c r="F261" s="32" t="e">
        <v>#N/A</v>
      </c>
      <c r="G261" s="39"/>
      <c r="H261" s="32" t="s">
        <v>3681</v>
      </c>
      <c r="I261" s="32" t="s">
        <v>5073</v>
      </c>
      <c r="J261" s="32" t="s">
        <v>3684</v>
      </c>
      <c r="K261" s="33" t="s">
        <v>3685</v>
      </c>
      <c r="L261" s="32" t="e">
        <v>#N/A</v>
      </c>
      <c r="M261" s="32" t="e">
        <v>#N/A</v>
      </c>
      <c r="N261" s="32" t="s">
        <v>5127</v>
      </c>
      <c r="O261" s="32" t="s">
        <v>4730</v>
      </c>
      <c r="P261" s="32">
        <v>999.0</v>
      </c>
      <c r="Q261" s="34">
        <v>879.0</v>
      </c>
      <c r="R261" s="35">
        <v>899.0</v>
      </c>
      <c r="S261" s="35">
        <v>879.0</v>
      </c>
      <c r="T261" s="36">
        <v>0.0</v>
      </c>
      <c r="U261" s="36">
        <v>0.0</v>
      </c>
      <c r="V261" s="36">
        <v>25.0</v>
      </c>
      <c r="W261" s="36">
        <v>0.0</v>
      </c>
      <c r="X261" s="36">
        <v>0.0</v>
      </c>
      <c r="Y261" s="36">
        <v>25.0</v>
      </c>
    </row>
    <row r="262">
      <c r="A262" s="32" t="s">
        <v>2671</v>
      </c>
      <c r="B262" s="32" t="s">
        <v>2671</v>
      </c>
      <c r="C262" s="32">
        <v>0.0</v>
      </c>
      <c r="D262" s="32" t="e">
        <v>#N/A</v>
      </c>
      <c r="E262" s="39"/>
      <c r="F262" s="32" t="e">
        <v>#N/A</v>
      </c>
      <c r="G262" s="39"/>
      <c r="H262" s="32" t="e">
        <v>#N/A</v>
      </c>
      <c r="I262" s="39"/>
      <c r="J262" s="32">
        <v>0.0</v>
      </c>
      <c r="K262" s="33" t="e">
        <v>#N/A</v>
      </c>
      <c r="L262" s="32" t="e">
        <v>#N/A</v>
      </c>
      <c r="M262" s="32" t="e">
        <v>#N/A</v>
      </c>
      <c r="N262" s="32" t="e">
        <v>#N/A</v>
      </c>
      <c r="O262" s="32" t="e">
        <v>#N/A</v>
      </c>
      <c r="P262" s="32" t="e">
        <v>#REF!</v>
      </c>
      <c r="Q262" s="32" t="e">
        <v>#N/A</v>
      </c>
      <c r="R262" s="42" t="e">
        <v>#N/A</v>
      </c>
      <c r="S262" s="42" t="e">
        <v>#N/A</v>
      </c>
      <c r="T262" s="36">
        <v>11.0</v>
      </c>
      <c r="U262" s="36">
        <v>0.0</v>
      </c>
      <c r="V262" s="36">
        <v>14.0</v>
      </c>
      <c r="W262" s="36">
        <v>0.0</v>
      </c>
      <c r="X262" s="36">
        <v>0.0</v>
      </c>
      <c r="Y262" s="36">
        <v>25.0</v>
      </c>
    </row>
    <row r="263">
      <c r="A263" s="32" t="s">
        <v>2672</v>
      </c>
      <c r="B263" s="32" t="s">
        <v>2672</v>
      </c>
      <c r="C263" s="32">
        <v>0.0</v>
      </c>
      <c r="D263" s="32" t="e">
        <v>#N/A</v>
      </c>
      <c r="E263" s="39"/>
      <c r="F263" s="32" t="e">
        <v>#N/A</v>
      </c>
      <c r="G263" s="39"/>
      <c r="H263" s="32" t="e">
        <v>#N/A</v>
      </c>
      <c r="I263" s="39"/>
      <c r="J263" s="32">
        <v>0.0</v>
      </c>
      <c r="K263" s="33" t="e">
        <v>#N/A</v>
      </c>
      <c r="L263" s="32" t="e">
        <v>#N/A</v>
      </c>
      <c r="M263" s="32" t="e">
        <v>#N/A</v>
      </c>
      <c r="N263" s="32" t="e">
        <v>#N/A</v>
      </c>
      <c r="O263" s="32" t="e">
        <v>#N/A</v>
      </c>
      <c r="P263" s="32" t="e">
        <v>#REF!</v>
      </c>
      <c r="Q263" s="32" t="e">
        <v>#N/A</v>
      </c>
      <c r="R263" s="42" t="e">
        <v>#N/A</v>
      </c>
      <c r="S263" s="42" t="e">
        <v>#N/A</v>
      </c>
      <c r="T263" s="36">
        <v>14.0</v>
      </c>
      <c r="U263" s="36">
        <v>10.0</v>
      </c>
      <c r="V263" s="36">
        <v>0.0</v>
      </c>
      <c r="W263" s="36">
        <v>0.0</v>
      </c>
      <c r="X263" s="36">
        <v>0.0</v>
      </c>
      <c r="Y263" s="36">
        <v>24.0</v>
      </c>
    </row>
    <row r="264">
      <c r="A264" s="32" t="s">
        <v>4603</v>
      </c>
      <c r="B264" s="32" t="s">
        <v>4603</v>
      </c>
      <c r="C264" s="32" t="s">
        <v>4604</v>
      </c>
      <c r="D264" s="32" t="s">
        <v>4605</v>
      </c>
      <c r="E264" s="32" t="s">
        <v>5102</v>
      </c>
      <c r="F264" s="32" t="e">
        <v>#N/A</v>
      </c>
      <c r="G264" s="32" t="e">
        <v>#N/A</v>
      </c>
      <c r="H264" s="32">
        <v>0.0</v>
      </c>
      <c r="I264" s="32">
        <v>0.0</v>
      </c>
      <c r="J264" s="32" t="s">
        <v>4606</v>
      </c>
      <c r="K264" s="33" t="s">
        <v>4607</v>
      </c>
      <c r="L264" s="32" t="e">
        <v>#N/A</v>
      </c>
      <c r="M264" s="32" t="e">
        <v>#N/A</v>
      </c>
      <c r="N264" s="32" t="s">
        <v>5077</v>
      </c>
      <c r="O264" s="32" t="s">
        <v>4730</v>
      </c>
      <c r="P264" s="32">
        <v>1599.0</v>
      </c>
      <c r="Q264" s="34">
        <v>1519.0</v>
      </c>
      <c r="R264" s="40">
        <v>1519.0</v>
      </c>
      <c r="S264" s="35">
        <v>1439.1</v>
      </c>
      <c r="T264" s="36">
        <v>8.0</v>
      </c>
      <c r="U264" s="36">
        <v>0.0</v>
      </c>
      <c r="V264" s="36">
        <v>16.0</v>
      </c>
      <c r="W264" s="36">
        <v>0.0</v>
      </c>
      <c r="X264" s="36">
        <v>0.0</v>
      </c>
      <c r="Y264" s="36">
        <v>24.0</v>
      </c>
    </row>
    <row r="265">
      <c r="A265" s="32" t="s">
        <v>4952</v>
      </c>
      <c r="B265" s="32" t="s">
        <v>4952</v>
      </c>
      <c r="C265" s="32" t="s">
        <v>4953</v>
      </c>
      <c r="D265" s="32" t="s">
        <v>4954</v>
      </c>
      <c r="E265" s="32" t="s">
        <v>5102</v>
      </c>
      <c r="F265" s="32" t="e">
        <v>#N/A</v>
      </c>
      <c r="G265" s="32" t="e">
        <v>#N/A</v>
      </c>
      <c r="H265" s="32">
        <v>0.0</v>
      </c>
      <c r="I265" s="32">
        <v>0.0</v>
      </c>
      <c r="J265" s="32" t="s">
        <v>4955</v>
      </c>
      <c r="K265" s="38"/>
      <c r="L265" s="38"/>
      <c r="M265" s="38"/>
      <c r="N265" s="32" t="s">
        <v>5077</v>
      </c>
      <c r="O265" s="32" t="s">
        <v>4730</v>
      </c>
      <c r="P265" s="32">
        <v>1599.0</v>
      </c>
      <c r="Q265" s="44">
        <v>1519.0</v>
      </c>
      <c r="R265" s="40">
        <v>1519.0</v>
      </c>
      <c r="S265" s="35">
        <v>1439.1</v>
      </c>
      <c r="T265" s="36">
        <v>14.0</v>
      </c>
      <c r="U265" s="36">
        <v>0.0</v>
      </c>
      <c r="V265" s="36">
        <v>10.0</v>
      </c>
      <c r="W265" s="36">
        <v>0.0</v>
      </c>
      <c r="X265" s="36">
        <v>0.0</v>
      </c>
      <c r="Y265" s="36">
        <v>24.0</v>
      </c>
    </row>
    <row r="266">
      <c r="A266" s="32" t="s">
        <v>4448</v>
      </c>
      <c r="B266" s="32" t="s">
        <v>4448</v>
      </c>
      <c r="C266" s="32" t="s">
        <v>4449</v>
      </c>
      <c r="D266" s="32" t="s">
        <v>4450</v>
      </c>
      <c r="E266" s="32" t="s">
        <v>5073</v>
      </c>
      <c r="F266" s="32" t="e">
        <v>#N/A</v>
      </c>
      <c r="G266" s="39"/>
      <c r="H266" s="32">
        <v>0.0</v>
      </c>
      <c r="I266" s="39"/>
      <c r="J266" s="32" t="s">
        <v>4451</v>
      </c>
      <c r="K266" s="33" t="s">
        <v>4452</v>
      </c>
      <c r="L266" s="32" t="e">
        <v>#N/A</v>
      </c>
      <c r="M266" s="32" t="e">
        <v>#N/A</v>
      </c>
      <c r="N266" s="32" t="s">
        <v>5077</v>
      </c>
      <c r="O266" s="32" t="s">
        <v>4730</v>
      </c>
      <c r="P266" s="32">
        <v>999.0</v>
      </c>
      <c r="Q266" s="34">
        <v>949.0</v>
      </c>
      <c r="R266" s="35">
        <v>949.0</v>
      </c>
      <c r="S266" s="35">
        <v>899.1</v>
      </c>
      <c r="T266" s="36">
        <v>0.0</v>
      </c>
      <c r="U266" s="36">
        <v>0.0</v>
      </c>
      <c r="V266" s="36">
        <v>24.0</v>
      </c>
      <c r="W266" s="36">
        <v>0.0</v>
      </c>
      <c r="X266" s="36">
        <v>0.0</v>
      </c>
      <c r="Y266" s="36">
        <v>24.0</v>
      </c>
    </row>
    <row r="267">
      <c r="A267" s="32" t="s">
        <v>481</v>
      </c>
      <c r="B267" s="32" t="s">
        <v>481</v>
      </c>
      <c r="C267" s="32" t="s">
        <v>482</v>
      </c>
      <c r="D267" s="32" t="s">
        <v>483</v>
      </c>
      <c r="E267" s="32" t="s">
        <v>5073</v>
      </c>
      <c r="F267" s="32" t="e">
        <v>#N/A</v>
      </c>
      <c r="G267" s="39"/>
      <c r="H267" s="32">
        <v>0.0</v>
      </c>
      <c r="I267" s="39"/>
      <c r="J267" s="32" t="s">
        <v>484</v>
      </c>
      <c r="K267" s="33" t="s">
        <v>485</v>
      </c>
      <c r="L267" s="32" t="e">
        <v>#N/A</v>
      </c>
      <c r="M267" s="32" t="s">
        <v>486</v>
      </c>
      <c r="N267" s="32" t="s">
        <v>51</v>
      </c>
      <c r="O267" s="32" t="s">
        <v>52</v>
      </c>
      <c r="P267" s="32">
        <v>13879.0</v>
      </c>
      <c r="Q267" s="34">
        <v>11242.0</v>
      </c>
      <c r="R267" s="40">
        <v>12099.0</v>
      </c>
      <c r="S267" s="35">
        <v>10548.04</v>
      </c>
      <c r="T267" s="36">
        <v>0.0</v>
      </c>
      <c r="U267" s="36">
        <v>1.0</v>
      </c>
      <c r="V267" s="36">
        <v>19.0</v>
      </c>
      <c r="W267" s="36">
        <v>3.0</v>
      </c>
      <c r="X267" s="36">
        <v>1.0</v>
      </c>
      <c r="Y267" s="36">
        <v>24.0</v>
      </c>
    </row>
    <row r="268">
      <c r="A268" s="32" t="s">
        <v>2299</v>
      </c>
      <c r="B268" s="32" t="s">
        <v>2299</v>
      </c>
      <c r="C268" s="32" t="s">
        <v>2300</v>
      </c>
      <c r="D268" s="32" t="s">
        <v>2301</v>
      </c>
      <c r="E268" s="32" t="s">
        <v>5073</v>
      </c>
      <c r="F268" s="32" t="e">
        <v>#N/A</v>
      </c>
      <c r="G268" s="39"/>
      <c r="H268" s="32">
        <v>0.0</v>
      </c>
      <c r="I268" s="39"/>
      <c r="J268" s="32" t="s">
        <v>2302</v>
      </c>
      <c r="K268" s="33" t="s">
        <v>2303</v>
      </c>
      <c r="L268" s="32" t="e">
        <v>#N/A</v>
      </c>
      <c r="M268" s="32" t="e">
        <v>#N/A</v>
      </c>
      <c r="N268" s="32" t="s">
        <v>5077</v>
      </c>
      <c r="O268" s="32" t="s">
        <v>4730</v>
      </c>
      <c r="P268" s="32">
        <v>989.0</v>
      </c>
      <c r="Q268" s="34">
        <v>940.0</v>
      </c>
      <c r="R268" s="35">
        <v>940.0</v>
      </c>
      <c r="S268" s="35">
        <v>890.1</v>
      </c>
      <c r="T268" s="36">
        <v>15.0</v>
      </c>
      <c r="U268" s="36">
        <v>2.0</v>
      </c>
      <c r="V268" s="36">
        <v>0.0</v>
      </c>
      <c r="W268" s="36">
        <v>0.0</v>
      </c>
      <c r="X268" s="36">
        <v>7.0</v>
      </c>
      <c r="Y268" s="36">
        <v>24.0</v>
      </c>
    </row>
    <row r="269">
      <c r="A269" s="32" t="s">
        <v>1249</v>
      </c>
      <c r="B269" s="32" t="s">
        <v>1249</v>
      </c>
      <c r="C269" s="32" t="s">
        <v>1250</v>
      </c>
      <c r="D269" s="32" t="s">
        <v>1251</v>
      </c>
      <c r="E269" s="32" t="s">
        <v>5073</v>
      </c>
      <c r="F269" s="32" t="e">
        <v>#N/A</v>
      </c>
      <c r="G269" s="39"/>
      <c r="H269" s="32" t="s">
        <v>1252</v>
      </c>
      <c r="I269" s="32" t="s">
        <v>5073</v>
      </c>
      <c r="J269" s="32" t="s">
        <v>1253</v>
      </c>
      <c r="K269" s="33" t="s">
        <v>1254</v>
      </c>
      <c r="L269" s="32" t="e">
        <v>#N/A</v>
      </c>
      <c r="M269" s="32" t="e">
        <v>#N/A</v>
      </c>
      <c r="N269" s="32" t="s">
        <v>5089</v>
      </c>
      <c r="O269" s="32" t="s">
        <v>4730</v>
      </c>
      <c r="P269" s="32">
        <v>1999.0</v>
      </c>
      <c r="Q269" s="34">
        <v>1629.0</v>
      </c>
      <c r="R269" s="40">
        <v>1629.0</v>
      </c>
      <c r="S269" s="35">
        <v>1599.2</v>
      </c>
      <c r="T269" s="36">
        <v>24.0</v>
      </c>
      <c r="U269" s="36">
        <v>0.0</v>
      </c>
      <c r="V269" s="36">
        <v>0.0</v>
      </c>
      <c r="W269" s="36">
        <v>0.0</v>
      </c>
      <c r="X269" s="36">
        <v>0.0</v>
      </c>
      <c r="Y269" s="36">
        <v>24.0</v>
      </c>
    </row>
    <row r="270">
      <c r="A270" s="32" t="s">
        <v>1438</v>
      </c>
      <c r="B270" s="32" t="s">
        <v>1438</v>
      </c>
      <c r="C270" s="32" t="s">
        <v>1439</v>
      </c>
      <c r="D270" s="32" t="s">
        <v>1440</v>
      </c>
      <c r="E270" s="32" t="s">
        <v>5073</v>
      </c>
      <c r="F270" s="32" t="e">
        <v>#N/A</v>
      </c>
      <c r="G270" s="39"/>
      <c r="H270" s="32" t="s">
        <v>1441</v>
      </c>
      <c r="I270" s="32" t="s">
        <v>5073</v>
      </c>
      <c r="J270" s="32" t="s">
        <v>1442</v>
      </c>
      <c r="K270" s="33" t="s">
        <v>1443</v>
      </c>
      <c r="L270" s="32">
        <v>3.1818478E7</v>
      </c>
      <c r="M270" s="32" t="e">
        <v>#N/A</v>
      </c>
      <c r="N270" s="32" t="s">
        <v>5089</v>
      </c>
      <c r="O270" s="32" t="s">
        <v>4730</v>
      </c>
      <c r="P270" s="32">
        <v>2999.0</v>
      </c>
      <c r="Q270" s="34">
        <v>2449.0</v>
      </c>
      <c r="R270" s="40">
        <v>2449.0</v>
      </c>
      <c r="S270" s="35">
        <v>2399.2</v>
      </c>
      <c r="T270" s="36">
        <v>0.0</v>
      </c>
      <c r="U270" s="36">
        <v>0.0</v>
      </c>
      <c r="V270" s="36">
        <v>24.0</v>
      </c>
      <c r="W270" s="36">
        <v>0.0</v>
      </c>
      <c r="X270" s="36">
        <v>0.0</v>
      </c>
      <c r="Y270" s="36">
        <v>24.0</v>
      </c>
    </row>
    <row r="271">
      <c r="A271" s="32" t="s">
        <v>1231</v>
      </c>
      <c r="B271" s="32" t="s">
        <v>1231</v>
      </c>
      <c r="C271" s="32" t="s">
        <v>1232</v>
      </c>
      <c r="D271" s="32" t="s">
        <v>1233</v>
      </c>
      <c r="E271" s="32" t="s">
        <v>5073</v>
      </c>
      <c r="F271" s="32" t="e">
        <v>#N/A</v>
      </c>
      <c r="G271" s="39"/>
      <c r="H271" s="32" t="s">
        <v>1234</v>
      </c>
      <c r="I271" s="32" t="s">
        <v>5073</v>
      </c>
      <c r="J271" s="32" t="s">
        <v>1235</v>
      </c>
      <c r="K271" s="33" t="s">
        <v>1236</v>
      </c>
      <c r="L271" s="32">
        <v>3.1818426E7</v>
      </c>
      <c r="M271" s="32" t="e">
        <v>#N/A</v>
      </c>
      <c r="N271" s="32" t="s">
        <v>5089</v>
      </c>
      <c r="O271" s="32" t="s">
        <v>4730</v>
      </c>
      <c r="P271" s="32">
        <v>1999.0</v>
      </c>
      <c r="Q271" s="34">
        <v>1629.0</v>
      </c>
      <c r="R271" s="40">
        <v>1629.0</v>
      </c>
      <c r="S271" s="35">
        <v>1599.2</v>
      </c>
      <c r="T271" s="36">
        <v>11.0</v>
      </c>
      <c r="U271" s="36">
        <v>0.0</v>
      </c>
      <c r="V271" s="36">
        <v>7.0</v>
      </c>
      <c r="W271" s="36">
        <v>0.0</v>
      </c>
      <c r="X271" s="36">
        <v>6.0</v>
      </c>
      <c r="Y271" s="36">
        <v>24.0</v>
      </c>
    </row>
    <row r="272">
      <c r="A272" s="32" t="s">
        <v>4466</v>
      </c>
      <c r="B272" s="32" t="s">
        <v>4466</v>
      </c>
      <c r="C272" s="32" t="s">
        <v>4467</v>
      </c>
      <c r="D272" s="32" t="s">
        <v>4468</v>
      </c>
      <c r="E272" s="32" t="s">
        <v>5102</v>
      </c>
      <c r="F272" s="32" t="e">
        <v>#N/A</v>
      </c>
      <c r="G272" s="39"/>
      <c r="H272" s="32">
        <v>0.0</v>
      </c>
      <c r="I272" s="39"/>
      <c r="J272" s="32" t="s">
        <v>4469</v>
      </c>
      <c r="K272" s="33" t="s">
        <v>4470</v>
      </c>
      <c r="L272" s="32" t="e">
        <v>#N/A</v>
      </c>
      <c r="M272" s="32" t="e">
        <v>#N/A</v>
      </c>
      <c r="N272" s="32" t="s">
        <v>5077</v>
      </c>
      <c r="O272" s="32" t="s">
        <v>4730</v>
      </c>
      <c r="P272" s="32">
        <v>1199.0</v>
      </c>
      <c r="Q272" s="34">
        <v>1139.0</v>
      </c>
      <c r="R272" s="40">
        <v>1139.0</v>
      </c>
      <c r="S272" s="35">
        <v>1079.1</v>
      </c>
      <c r="T272" s="36">
        <v>11.0</v>
      </c>
      <c r="U272" s="36">
        <v>0.0</v>
      </c>
      <c r="V272" s="36">
        <v>13.0</v>
      </c>
      <c r="W272" s="36">
        <v>0.0</v>
      </c>
      <c r="X272" s="36">
        <v>0.0</v>
      </c>
      <c r="Y272" s="36">
        <v>24.0</v>
      </c>
    </row>
    <row r="273">
      <c r="A273" s="32" t="s">
        <v>2803</v>
      </c>
      <c r="B273" s="32" t="s">
        <v>2803</v>
      </c>
      <c r="C273" s="32">
        <v>0.0</v>
      </c>
      <c r="D273" s="32" t="e">
        <v>#N/A</v>
      </c>
      <c r="E273" s="39"/>
      <c r="F273" s="32" t="e">
        <v>#N/A</v>
      </c>
      <c r="G273" s="39"/>
      <c r="H273" s="32" t="e">
        <v>#N/A</v>
      </c>
      <c r="I273" s="39"/>
      <c r="J273" s="32">
        <v>0.0</v>
      </c>
      <c r="K273" s="33" t="e">
        <v>#N/A</v>
      </c>
      <c r="L273" s="32" t="e">
        <v>#N/A</v>
      </c>
      <c r="M273" s="32" t="e">
        <v>#N/A</v>
      </c>
      <c r="N273" s="32" t="e">
        <v>#N/A</v>
      </c>
      <c r="O273" s="32" t="e">
        <v>#N/A</v>
      </c>
      <c r="P273" s="32" t="e">
        <v>#REF!</v>
      </c>
      <c r="Q273" s="32" t="e">
        <v>#N/A</v>
      </c>
      <c r="R273" s="42" t="e">
        <v>#N/A</v>
      </c>
      <c r="S273" s="42" t="e">
        <v>#N/A</v>
      </c>
      <c r="T273" s="36">
        <v>8.0</v>
      </c>
      <c r="U273" s="36">
        <v>3.0</v>
      </c>
      <c r="V273" s="36">
        <v>13.0</v>
      </c>
      <c r="W273" s="36">
        <v>0.0</v>
      </c>
      <c r="X273" s="36">
        <v>0.0</v>
      </c>
      <c r="Y273" s="36">
        <v>24.0</v>
      </c>
    </row>
    <row r="274">
      <c r="A274" s="32" t="s">
        <v>2874</v>
      </c>
      <c r="B274" s="32" t="s">
        <v>2874</v>
      </c>
      <c r="C274" s="32" t="s">
        <v>2875</v>
      </c>
      <c r="D274" s="32" t="s">
        <v>2876</v>
      </c>
      <c r="E274" s="32" t="s">
        <v>5073</v>
      </c>
      <c r="F274" s="32" t="e">
        <v>#N/A</v>
      </c>
      <c r="G274" s="32" t="e">
        <v>#N/A</v>
      </c>
      <c r="H274" s="32">
        <v>0.0</v>
      </c>
      <c r="I274" s="32">
        <v>0.0</v>
      </c>
      <c r="J274" s="32" t="s">
        <v>2877</v>
      </c>
      <c r="K274" s="33" t="s">
        <v>2878</v>
      </c>
      <c r="L274" s="32" t="e">
        <v>#N/A</v>
      </c>
      <c r="M274" s="32" t="e">
        <v>#N/A</v>
      </c>
      <c r="N274" s="32" t="s">
        <v>5107</v>
      </c>
      <c r="O274" s="32" t="s">
        <v>4730</v>
      </c>
      <c r="P274" s="32">
        <v>2289.0</v>
      </c>
      <c r="Q274" s="34">
        <v>1875.0</v>
      </c>
      <c r="R274" s="40">
        <v>1899.0</v>
      </c>
      <c r="S274" s="35">
        <v>1716.75</v>
      </c>
      <c r="T274" s="36">
        <v>10.0</v>
      </c>
      <c r="U274" s="36">
        <v>0.0</v>
      </c>
      <c r="V274" s="36">
        <v>13.0</v>
      </c>
      <c r="W274" s="36">
        <v>0.0</v>
      </c>
      <c r="X274" s="36">
        <v>0.0</v>
      </c>
      <c r="Y274" s="36">
        <v>23.0</v>
      </c>
    </row>
    <row r="275">
      <c r="A275" s="32" t="s">
        <v>4443</v>
      </c>
      <c r="B275" s="32" t="s">
        <v>4443</v>
      </c>
      <c r="C275" s="32" t="s">
        <v>4444</v>
      </c>
      <c r="D275" s="32" t="s">
        <v>4445</v>
      </c>
      <c r="E275" s="32" t="s">
        <v>5073</v>
      </c>
      <c r="F275" s="32" t="e">
        <v>#N/A</v>
      </c>
      <c r="G275" s="39"/>
      <c r="H275" s="32">
        <v>0.0</v>
      </c>
      <c r="I275" s="39"/>
      <c r="J275" s="32" t="s">
        <v>4446</v>
      </c>
      <c r="K275" s="33" t="s">
        <v>4447</v>
      </c>
      <c r="L275" s="32" t="e">
        <v>#N/A</v>
      </c>
      <c r="M275" s="32" t="e">
        <v>#N/A</v>
      </c>
      <c r="N275" s="32" t="s">
        <v>5077</v>
      </c>
      <c r="O275" s="32" t="s">
        <v>4730</v>
      </c>
      <c r="P275" s="32">
        <v>999.0</v>
      </c>
      <c r="Q275" s="34">
        <v>949.0</v>
      </c>
      <c r="R275" s="35">
        <v>949.0</v>
      </c>
      <c r="S275" s="35">
        <v>899.1</v>
      </c>
      <c r="T275" s="36">
        <v>9.0</v>
      </c>
      <c r="U275" s="36">
        <v>0.0</v>
      </c>
      <c r="V275" s="36">
        <v>14.0</v>
      </c>
      <c r="W275" s="36">
        <v>0.0</v>
      </c>
      <c r="X275" s="36">
        <v>0.0</v>
      </c>
      <c r="Y275" s="36">
        <v>23.0</v>
      </c>
    </row>
    <row r="276">
      <c r="A276" s="32" t="s">
        <v>2248</v>
      </c>
      <c r="B276" s="32" t="s">
        <v>2248</v>
      </c>
      <c r="C276" s="32" t="s">
        <v>2249</v>
      </c>
      <c r="D276" s="32" t="s">
        <v>2248</v>
      </c>
      <c r="E276" s="32" t="s">
        <v>5102</v>
      </c>
      <c r="F276" s="32" t="e">
        <v>#N/A</v>
      </c>
      <c r="G276" s="39"/>
      <c r="H276" s="32">
        <v>0.0</v>
      </c>
      <c r="I276" s="39"/>
      <c r="J276" s="32" t="s">
        <v>2250</v>
      </c>
      <c r="K276" s="33" t="s">
        <v>2251</v>
      </c>
      <c r="L276" s="32" t="e">
        <v>#N/A</v>
      </c>
      <c r="M276" s="32" t="e">
        <v>#N/A</v>
      </c>
      <c r="N276" s="32" t="s">
        <v>5077</v>
      </c>
      <c r="O276" s="32" t="s">
        <v>4730</v>
      </c>
      <c r="P276" s="32">
        <v>889.0</v>
      </c>
      <c r="Q276" s="34">
        <v>845.0</v>
      </c>
      <c r="R276" s="35">
        <v>845.0</v>
      </c>
      <c r="S276" s="35">
        <v>800.1</v>
      </c>
      <c r="T276" s="36">
        <v>0.0</v>
      </c>
      <c r="U276" s="36">
        <v>0.0</v>
      </c>
      <c r="V276" s="36">
        <v>23.0</v>
      </c>
      <c r="W276" s="36">
        <v>0.0</v>
      </c>
      <c r="X276" s="36">
        <v>0.0</v>
      </c>
      <c r="Y276" s="36">
        <v>23.0</v>
      </c>
    </row>
    <row r="277">
      <c r="A277" s="32" t="s">
        <v>2319</v>
      </c>
      <c r="B277" s="32" t="s">
        <v>2319</v>
      </c>
      <c r="C277" s="32" t="s">
        <v>2320</v>
      </c>
      <c r="D277" s="32" t="s">
        <v>2321</v>
      </c>
      <c r="E277" s="32" t="s">
        <v>5073</v>
      </c>
      <c r="F277" s="32" t="e">
        <v>#N/A</v>
      </c>
      <c r="G277" s="39"/>
      <c r="H277" s="32">
        <v>0.0</v>
      </c>
      <c r="I277" s="39"/>
      <c r="J277" s="32" t="s">
        <v>2322</v>
      </c>
      <c r="K277" s="33" t="s">
        <v>2323</v>
      </c>
      <c r="L277" s="32" t="e">
        <v>#N/A</v>
      </c>
      <c r="M277" s="32" t="e">
        <v>#N/A</v>
      </c>
      <c r="N277" s="32" t="s">
        <v>5077</v>
      </c>
      <c r="O277" s="32" t="s">
        <v>4730</v>
      </c>
      <c r="P277" s="32">
        <v>1049.0</v>
      </c>
      <c r="Q277" s="34">
        <v>997.0</v>
      </c>
      <c r="R277" s="35">
        <v>999.0</v>
      </c>
      <c r="S277" s="35">
        <v>944.1</v>
      </c>
      <c r="T277" s="36">
        <v>5.0</v>
      </c>
      <c r="U277" s="36">
        <v>9.0</v>
      </c>
      <c r="V277" s="36">
        <v>5.0</v>
      </c>
      <c r="W277" s="36">
        <v>0.0</v>
      </c>
      <c r="X277" s="36">
        <v>4.0</v>
      </c>
      <c r="Y277" s="36">
        <v>23.0</v>
      </c>
    </row>
    <row r="278">
      <c r="A278" s="32" t="s">
        <v>2714</v>
      </c>
      <c r="B278" s="32" t="s">
        <v>2714</v>
      </c>
      <c r="C278" s="32">
        <v>0.0</v>
      </c>
      <c r="D278" s="32" t="e">
        <v>#N/A</v>
      </c>
      <c r="E278" s="39"/>
      <c r="F278" s="32" t="e">
        <v>#N/A</v>
      </c>
      <c r="G278" s="39"/>
      <c r="H278" s="32" t="e">
        <v>#N/A</v>
      </c>
      <c r="I278" s="39"/>
      <c r="J278" s="32">
        <v>0.0</v>
      </c>
      <c r="K278" s="33" t="e">
        <v>#N/A</v>
      </c>
      <c r="L278" s="32" t="e">
        <v>#N/A</v>
      </c>
      <c r="M278" s="32" t="e">
        <v>#N/A</v>
      </c>
      <c r="N278" s="32" t="e">
        <v>#N/A</v>
      </c>
      <c r="O278" s="32" t="e">
        <v>#N/A</v>
      </c>
      <c r="P278" s="32" t="e">
        <v>#REF!</v>
      </c>
      <c r="Q278" s="32" t="e">
        <v>#N/A</v>
      </c>
      <c r="R278" s="42" t="e">
        <v>#N/A</v>
      </c>
      <c r="S278" s="42" t="e">
        <v>#N/A</v>
      </c>
      <c r="T278" s="36">
        <v>7.0</v>
      </c>
      <c r="U278" s="36">
        <v>4.0</v>
      </c>
      <c r="V278" s="36">
        <v>12.0</v>
      </c>
      <c r="W278" s="36">
        <v>0.0</v>
      </c>
      <c r="X278" s="36">
        <v>0.0</v>
      </c>
      <c r="Y278" s="36">
        <v>23.0</v>
      </c>
    </row>
    <row r="279">
      <c r="A279" s="32" t="s">
        <v>1297</v>
      </c>
      <c r="B279" s="32" t="s">
        <v>1297</v>
      </c>
      <c r="C279" s="32" t="s">
        <v>1298</v>
      </c>
      <c r="D279" s="32" t="s">
        <v>1299</v>
      </c>
      <c r="E279" s="32" t="s">
        <v>5102</v>
      </c>
      <c r="F279" s="32" t="e">
        <v>#N/A</v>
      </c>
      <c r="G279" s="39"/>
      <c r="H279" s="32" t="s">
        <v>1300</v>
      </c>
      <c r="I279" s="32" t="s">
        <v>5073</v>
      </c>
      <c r="J279" s="32" t="s">
        <v>1301</v>
      </c>
      <c r="K279" s="33" t="s">
        <v>1302</v>
      </c>
      <c r="L279" s="32">
        <v>3.181843E7</v>
      </c>
      <c r="M279" s="32" t="e">
        <v>#N/A</v>
      </c>
      <c r="N279" s="32" t="s">
        <v>5089</v>
      </c>
      <c r="O279" s="32" t="s">
        <v>4730</v>
      </c>
      <c r="P279" s="32">
        <v>2449.0</v>
      </c>
      <c r="Q279" s="34">
        <v>2004.0</v>
      </c>
      <c r="R279" s="40">
        <v>2004.0</v>
      </c>
      <c r="S279" s="35">
        <v>1959.2</v>
      </c>
      <c r="T279" s="36">
        <v>15.0</v>
      </c>
      <c r="U279" s="36">
        <v>0.0</v>
      </c>
      <c r="V279" s="36">
        <v>7.0</v>
      </c>
      <c r="W279" s="36">
        <v>0.0</v>
      </c>
      <c r="X279" s="36">
        <v>0.0</v>
      </c>
      <c r="Y279" s="36">
        <v>22.0</v>
      </c>
    </row>
    <row r="280">
      <c r="A280" s="32" t="s">
        <v>3295</v>
      </c>
      <c r="B280" s="32" t="s">
        <v>3295</v>
      </c>
      <c r="C280" s="32" t="s">
        <v>3296</v>
      </c>
      <c r="D280" s="32" t="s">
        <v>3297</v>
      </c>
      <c r="E280" s="32" t="s">
        <v>5073</v>
      </c>
      <c r="F280" s="32" t="e">
        <v>#N/A</v>
      </c>
      <c r="G280" s="39"/>
      <c r="H280" s="32" t="s">
        <v>3298</v>
      </c>
      <c r="I280" s="32" t="s">
        <v>5073</v>
      </c>
      <c r="J280" s="32" t="s">
        <v>3299</v>
      </c>
      <c r="K280" s="33" t="s">
        <v>3300</v>
      </c>
      <c r="L280" s="32">
        <v>3.1818382E7</v>
      </c>
      <c r="M280" s="32" t="e">
        <v>#N/A</v>
      </c>
      <c r="N280" s="32" t="s">
        <v>5086</v>
      </c>
      <c r="O280" s="32" t="s">
        <v>4730</v>
      </c>
      <c r="P280" s="32">
        <v>1989.0</v>
      </c>
      <c r="Q280" s="34">
        <v>1799.0</v>
      </c>
      <c r="R280" s="40">
        <v>1799.0</v>
      </c>
      <c r="S280" s="35">
        <v>1690.65</v>
      </c>
      <c r="T280" s="36">
        <v>0.0</v>
      </c>
      <c r="U280" s="36">
        <v>0.0</v>
      </c>
      <c r="V280" s="36">
        <v>22.0</v>
      </c>
      <c r="W280" s="36">
        <v>0.0</v>
      </c>
      <c r="X280" s="36">
        <v>0.0</v>
      </c>
      <c r="Y280" s="36">
        <v>22.0</v>
      </c>
    </row>
    <row r="281">
      <c r="A281" s="32" t="s">
        <v>3938</v>
      </c>
      <c r="B281" s="32" t="s">
        <v>3938</v>
      </c>
      <c r="C281" s="32" t="s">
        <v>3939</v>
      </c>
      <c r="D281" s="32" t="s">
        <v>3940</v>
      </c>
      <c r="E281" s="32" t="s">
        <v>5073</v>
      </c>
      <c r="F281" s="32" t="e">
        <v>#N/A</v>
      </c>
      <c r="G281" s="38"/>
      <c r="H281" s="32">
        <v>0.0</v>
      </c>
      <c r="I281" s="39"/>
      <c r="J281" s="32" t="s">
        <v>3941</v>
      </c>
      <c r="K281" s="33" t="s">
        <v>3942</v>
      </c>
      <c r="L281" s="32" t="e">
        <v>#N/A</v>
      </c>
      <c r="M281" s="32" t="s">
        <v>3943</v>
      </c>
      <c r="N281" s="32" t="s">
        <v>5118</v>
      </c>
      <c r="O281" s="32" t="s">
        <v>52</v>
      </c>
      <c r="P281" s="32">
        <v>9699.0</v>
      </c>
      <c r="Q281" s="34">
        <v>8729.0</v>
      </c>
      <c r="R281" s="40">
        <v>9299.0</v>
      </c>
      <c r="S281" s="35">
        <v>8513.34</v>
      </c>
      <c r="T281" s="36">
        <v>1.0</v>
      </c>
      <c r="U281" s="36">
        <v>0.0</v>
      </c>
      <c r="V281" s="36">
        <v>18.0</v>
      </c>
      <c r="W281" s="36">
        <v>2.0</v>
      </c>
      <c r="X281" s="36">
        <v>0.0</v>
      </c>
      <c r="Y281" s="36">
        <v>21.0</v>
      </c>
    </row>
    <row r="282">
      <c r="A282" s="32" t="s">
        <v>4548</v>
      </c>
      <c r="B282" s="32" t="s">
        <v>4548</v>
      </c>
      <c r="C282" s="32" t="s">
        <v>4549</v>
      </c>
      <c r="D282" s="32" t="s">
        <v>4550</v>
      </c>
      <c r="E282" s="32" t="s">
        <v>5073</v>
      </c>
      <c r="F282" s="32" t="e">
        <v>#N/A</v>
      </c>
      <c r="G282" s="39"/>
      <c r="H282" s="32">
        <v>0.0</v>
      </c>
      <c r="I282" s="39"/>
      <c r="J282" s="32" t="s">
        <v>4551</v>
      </c>
      <c r="K282" s="33" t="s">
        <v>4552</v>
      </c>
      <c r="L282" s="32" t="e">
        <v>#N/A</v>
      </c>
      <c r="M282" s="32" t="e">
        <v>#N/A</v>
      </c>
      <c r="N282" s="32" t="s">
        <v>5077</v>
      </c>
      <c r="O282" s="32" t="s">
        <v>4730</v>
      </c>
      <c r="P282" s="32">
        <v>1499.0</v>
      </c>
      <c r="Q282" s="34">
        <v>1424.0</v>
      </c>
      <c r="R282" s="40">
        <v>1424.0</v>
      </c>
      <c r="S282" s="35">
        <v>1349.1</v>
      </c>
      <c r="T282" s="36">
        <v>6.0</v>
      </c>
      <c r="U282" s="36">
        <v>0.0</v>
      </c>
      <c r="V282" s="36">
        <v>13.0</v>
      </c>
      <c r="W282" s="36">
        <v>0.0</v>
      </c>
      <c r="X282" s="36">
        <v>2.0</v>
      </c>
      <c r="Y282" s="36">
        <v>21.0</v>
      </c>
    </row>
    <row r="283">
      <c r="A283" s="32" t="s">
        <v>2691</v>
      </c>
      <c r="B283" s="32" t="s">
        <v>2691</v>
      </c>
      <c r="C283" s="32" t="s">
        <v>2692</v>
      </c>
      <c r="D283" s="32" t="s">
        <v>2693</v>
      </c>
      <c r="E283" s="32" t="s">
        <v>5073</v>
      </c>
      <c r="F283" s="32" t="e">
        <v>#N/A</v>
      </c>
      <c r="G283" s="39"/>
      <c r="H283" s="32" t="s">
        <v>2694</v>
      </c>
      <c r="I283" s="32" t="s">
        <v>5073</v>
      </c>
      <c r="J283" s="32" t="s">
        <v>2695</v>
      </c>
      <c r="K283" s="33" t="s">
        <v>2696</v>
      </c>
      <c r="L283" s="32">
        <v>3.181839E7</v>
      </c>
      <c r="M283" s="32" t="e">
        <v>#N/A</v>
      </c>
      <c r="N283" s="32" t="s">
        <v>5107</v>
      </c>
      <c r="O283" s="32" t="s">
        <v>4730</v>
      </c>
      <c r="P283" s="32">
        <v>1889.0</v>
      </c>
      <c r="Q283" s="34">
        <v>1548.0</v>
      </c>
      <c r="R283" s="40">
        <v>1548.0</v>
      </c>
      <c r="S283" s="35">
        <v>1416.75</v>
      </c>
      <c r="T283" s="36">
        <v>0.0</v>
      </c>
      <c r="U283" s="36">
        <v>0.0</v>
      </c>
      <c r="V283" s="36">
        <v>21.0</v>
      </c>
      <c r="W283" s="36">
        <v>0.0</v>
      </c>
      <c r="X283" s="36">
        <v>0.0</v>
      </c>
      <c r="Y283" s="36">
        <v>21.0</v>
      </c>
    </row>
    <row r="284">
      <c r="A284" s="32" t="s">
        <v>563</v>
      </c>
      <c r="B284" s="32" t="s">
        <v>563</v>
      </c>
      <c r="C284" s="32" t="s">
        <v>564</v>
      </c>
      <c r="D284" s="32" t="s">
        <v>565</v>
      </c>
      <c r="E284" s="32" t="s">
        <v>5073</v>
      </c>
      <c r="F284" s="32" t="e">
        <v>#N/A</v>
      </c>
      <c r="G284" s="39"/>
      <c r="H284" s="32">
        <v>0.0</v>
      </c>
      <c r="I284" s="39"/>
      <c r="J284" s="32" t="s">
        <v>566</v>
      </c>
      <c r="K284" s="33" t="s">
        <v>567</v>
      </c>
      <c r="L284" s="32" t="e">
        <v>#N/A</v>
      </c>
      <c r="M284" s="32" t="s">
        <v>568</v>
      </c>
      <c r="N284" s="32" t="s">
        <v>51</v>
      </c>
      <c r="O284" s="32" t="s">
        <v>52</v>
      </c>
      <c r="P284" s="32">
        <v>17999.0</v>
      </c>
      <c r="Q284" s="34">
        <v>14579.0</v>
      </c>
      <c r="R284" s="40">
        <v>15699.0</v>
      </c>
      <c r="S284" s="35">
        <v>13679.24</v>
      </c>
      <c r="T284" s="36">
        <v>0.0</v>
      </c>
      <c r="U284" s="36">
        <v>3.0</v>
      </c>
      <c r="V284" s="36">
        <v>17.0</v>
      </c>
      <c r="W284" s="36">
        <v>1.0</v>
      </c>
      <c r="X284" s="36">
        <v>0.0</v>
      </c>
      <c r="Y284" s="36">
        <v>21.0</v>
      </c>
    </row>
    <row r="285">
      <c r="A285" s="32" t="s">
        <v>436</v>
      </c>
      <c r="B285" s="33" t="s">
        <v>436</v>
      </c>
      <c r="C285" s="32" t="s">
        <v>437</v>
      </c>
      <c r="D285" s="32" t="s">
        <v>438</v>
      </c>
      <c r="E285" s="32" t="s">
        <v>5073</v>
      </c>
      <c r="F285" s="32" t="e">
        <v>#N/A</v>
      </c>
      <c r="G285" s="39"/>
      <c r="H285" s="32" t="s">
        <v>439</v>
      </c>
      <c r="I285" s="32" t="s">
        <v>5073</v>
      </c>
      <c r="J285" s="32" t="s">
        <v>440</v>
      </c>
      <c r="K285" s="33" t="s">
        <v>441</v>
      </c>
      <c r="L285" s="32">
        <v>3.2783909E7</v>
      </c>
      <c r="M285" s="32" t="s">
        <v>442</v>
      </c>
      <c r="N285" s="32" t="s">
        <v>51</v>
      </c>
      <c r="O285" s="32" t="s">
        <v>52</v>
      </c>
      <c r="P285" s="32">
        <v>20799.0</v>
      </c>
      <c r="Q285" s="34">
        <v>16847.0</v>
      </c>
      <c r="R285" s="40">
        <v>18099.0</v>
      </c>
      <c r="S285" s="35">
        <v>15807.24</v>
      </c>
      <c r="T285" s="36">
        <v>9.0</v>
      </c>
      <c r="U285" s="36">
        <v>2.0</v>
      </c>
      <c r="V285" s="36">
        <v>7.0</v>
      </c>
      <c r="W285" s="36">
        <v>2.0</v>
      </c>
      <c r="X285" s="36">
        <v>1.0</v>
      </c>
      <c r="Y285" s="36">
        <v>21.0</v>
      </c>
    </row>
    <row r="286">
      <c r="A286" s="32" t="s">
        <v>1345</v>
      </c>
      <c r="B286" s="32" t="s">
        <v>1345</v>
      </c>
      <c r="C286" s="32" t="s">
        <v>1346</v>
      </c>
      <c r="D286" s="32" t="s">
        <v>1347</v>
      </c>
      <c r="E286" s="32" t="s">
        <v>5073</v>
      </c>
      <c r="F286" s="32" t="e">
        <v>#N/A</v>
      </c>
      <c r="G286" s="39"/>
      <c r="H286" s="32" t="s">
        <v>1348</v>
      </c>
      <c r="I286" s="32" t="s">
        <v>5073</v>
      </c>
      <c r="J286" s="32" t="s">
        <v>1349</v>
      </c>
      <c r="K286" s="33" t="s">
        <v>1350</v>
      </c>
      <c r="L286" s="32">
        <v>3.1818363E7</v>
      </c>
      <c r="M286" s="32" t="e">
        <v>#N/A</v>
      </c>
      <c r="N286" s="32" t="s">
        <v>5089</v>
      </c>
      <c r="O286" s="32" t="s">
        <v>4730</v>
      </c>
      <c r="P286" s="32">
        <v>2649.0</v>
      </c>
      <c r="Q286" s="34">
        <v>2164.0</v>
      </c>
      <c r="R286" s="40">
        <v>2199.0</v>
      </c>
      <c r="S286" s="35">
        <v>2119.2</v>
      </c>
      <c r="T286" s="36">
        <v>8.0</v>
      </c>
      <c r="U286" s="36">
        <v>0.0</v>
      </c>
      <c r="V286" s="36">
        <v>9.0</v>
      </c>
      <c r="W286" s="36">
        <v>4.0</v>
      </c>
      <c r="X286" s="36">
        <v>0.0</v>
      </c>
      <c r="Y286" s="36">
        <v>21.0</v>
      </c>
    </row>
    <row r="287">
      <c r="A287" s="32" t="s">
        <v>4413</v>
      </c>
      <c r="B287" s="32" t="s">
        <v>4413</v>
      </c>
      <c r="C287" s="32" t="s">
        <v>4414</v>
      </c>
      <c r="D287" s="32" t="s">
        <v>4415</v>
      </c>
      <c r="E287" s="32" t="s">
        <v>5073</v>
      </c>
      <c r="F287" s="32" t="e">
        <v>#N/A</v>
      </c>
      <c r="G287" s="39"/>
      <c r="H287" s="32">
        <v>0.0</v>
      </c>
      <c r="I287" s="39"/>
      <c r="J287" s="32" t="s">
        <v>4416</v>
      </c>
      <c r="K287" s="33" t="s">
        <v>4417</v>
      </c>
      <c r="L287" s="32" t="e">
        <v>#N/A</v>
      </c>
      <c r="M287" s="32" t="e">
        <v>#N/A</v>
      </c>
      <c r="N287" s="32" t="s">
        <v>5077</v>
      </c>
      <c r="O287" s="32" t="s">
        <v>4730</v>
      </c>
      <c r="P287" s="32">
        <v>999.0</v>
      </c>
      <c r="Q287" s="34">
        <v>949.0</v>
      </c>
      <c r="R287" s="35">
        <v>949.0</v>
      </c>
      <c r="S287" s="35">
        <v>899.1</v>
      </c>
      <c r="T287" s="36">
        <v>9.0</v>
      </c>
      <c r="U287" s="36">
        <v>0.0</v>
      </c>
      <c r="V287" s="36">
        <v>12.0</v>
      </c>
      <c r="W287" s="36">
        <v>0.0</v>
      </c>
      <c r="X287" s="36">
        <v>0.0</v>
      </c>
      <c r="Y287" s="36">
        <v>21.0</v>
      </c>
    </row>
    <row r="288">
      <c r="A288" s="32" t="s">
        <v>3289</v>
      </c>
      <c r="B288" s="32" t="s">
        <v>3289</v>
      </c>
      <c r="C288" s="32" t="s">
        <v>3290</v>
      </c>
      <c r="D288" s="32" t="s">
        <v>3291</v>
      </c>
      <c r="E288" s="32" t="s">
        <v>5073</v>
      </c>
      <c r="F288" s="32" t="e">
        <v>#N/A</v>
      </c>
      <c r="G288" s="39"/>
      <c r="H288" s="32" t="s">
        <v>3292</v>
      </c>
      <c r="I288" s="32" t="s">
        <v>5073</v>
      </c>
      <c r="J288" s="32" t="s">
        <v>3293</v>
      </c>
      <c r="K288" s="33" t="s">
        <v>3294</v>
      </c>
      <c r="L288" s="32">
        <v>3.1818396E7</v>
      </c>
      <c r="M288" s="32" t="e">
        <v>#N/A</v>
      </c>
      <c r="N288" s="32" t="s">
        <v>5086</v>
      </c>
      <c r="O288" s="32" t="s">
        <v>4730</v>
      </c>
      <c r="P288" s="32">
        <v>1989.0</v>
      </c>
      <c r="Q288" s="34">
        <v>1799.0</v>
      </c>
      <c r="R288" s="40">
        <v>1799.0</v>
      </c>
      <c r="S288" s="35">
        <v>1690.65</v>
      </c>
      <c r="T288" s="36">
        <v>0.0</v>
      </c>
      <c r="U288" s="36">
        <v>0.0</v>
      </c>
      <c r="V288" s="36">
        <v>21.0</v>
      </c>
      <c r="W288" s="36">
        <v>0.0</v>
      </c>
      <c r="X288" s="36">
        <v>0.0</v>
      </c>
      <c r="Y288" s="36">
        <v>21.0</v>
      </c>
    </row>
    <row r="289">
      <c r="A289" s="32" t="s">
        <v>2712</v>
      </c>
      <c r="B289" s="32" t="s">
        <v>2712</v>
      </c>
      <c r="C289" s="32">
        <v>0.0</v>
      </c>
      <c r="D289" s="32" t="e">
        <v>#N/A</v>
      </c>
      <c r="E289" s="39"/>
      <c r="F289" s="32" t="e">
        <v>#N/A</v>
      </c>
      <c r="G289" s="39"/>
      <c r="H289" s="32" t="e">
        <v>#N/A</v>
      </c>
      <c r="I289" s="39"/>
      <c r="J289" s="32">
        <v>0.0</v>
      </c>
      <c r="K289" s="33" t="e">
        <v>#N/A</v>
      </c>
      <c r="L289" s="32" t="e">
        <v>#N/A</v>
      </c>
      <c r="M289" s="32" t="e">
        <v>#N/A</v>
      </c>
      <c r="N289" s="32" t="e">
        <v>#N/A</v>
      </c>
      <c r="O289" s="32" t="e">
        <v>#N/A</v>
      </c>
      <c r="P289" s="32" t="e">
        <v>#REF!</v>
      </c>
      <c r="Q289" s="32" t="e">
        <v>#N/A</v>
      </c>
      <c r="R289" s="42" t="e">
        <v>#N/A</v>
      </c>
      <c r="S289" s="42" t="e">
        <v>#N/A</v>
      </c>
      <c r="T289" s="36">
        <v>13.0</v>
      </c>
      <c r="U289" s="36">
        <v>0.0</v>
      </c>
      <c r="V289" s="36">
        <v>7.0</v>
      </c>
      <c r="W289" s="36">
        <v>0.0</v>
      </c>
      <c r="X289" s="36">
        <v>0.0</v>
      </c>
      <c r="Y289" s="36">
        <v>20.0</v>
      </c>
    </row>
    <row r="290">
      <c r="A290" s="32" t="s">
        <v>2963</v>
      </c>
      <c r="B290" s="32" t="s">
        <v>2963</v>
      </c>
      <c r="C290" s="32" t="s">
        <v>2964</v>
      </c>
      <c r="D290" s="32" t="s">
        <v>2965</v>
      </c>
      <c r="E290" s="32" t="s">
        <v>5073</v>
      </c>
      <c r="F290" s="32" t="e">
        <v>#N/A</v>
      </c>
      <c r="G290" s="32" t="e">
        <v>#N/A</v>
      </c>
      <c r="H290" s="32" t="s">
        <v>2966</v>
      </c>
      <c r="I290" s="32" t="s">
        <v>5073</v>
      </c>
      <c r="J290" s="32" t="s">
        <v>2967</v>
      </c>
      <c r="K290" s="33" t="s">
        <v>2968</v>
      </c>
      <c r="L290" s="32" t="e">
        <v>#N/A</v>
      </c>
      <c r="M290" s="32" t="e">
        <v>#N/A</v>
      </c>
      <c r="N290" s="32" t="s">
        <v>5088</v>
      </c>
      <c r="O290" s="32" t="s">
        <v>4730</v>
      </c>
      <c r="P290" s="32">
        <v>2089.0</v>
      </c>
      <c r="Q290" s="34">
        <v>1627.0</v>
      </c>
      <c r="R290" s="40">
        <v>1899.0</v>
      </c>
      <c r="S290" s="35">
        <v>1671.2</v>
      </c>
      <c r="T290" s="36">
        <v>0.0</v>
      </c>
      <c r="U290" s="36">
        <v>2.0</v>
      </c>
      <c r="V290" s="36">
        <v>18.0</v>
      </c>
      <c r="W290" s="36">
        <v>0.0</v>
      </c>
      <c r="X290" s="36">
        <v>0.0</v>
      </c>
      <c r="Y290" s="36">
        <v>20.0</v>
      </c>
    </row>
    <row r="291">
      <c r="A291" s="32" t="s">
        <v>2172</v>
      </c>
      <c r="B291" s="32" t="s">
        <v>2172</v>
      </c>
      <c r="C291" s="32" t="s">
        <v>2173</v>
      </c>
      <c r="D291" s="32" t="s">
        <v>2174</v>
      </c>
      <c r="E291" s="32" t="s">
        <v>5073</v>
      </c>
      <c r="F291" s="32" t="e">
        <v>#N/A</v>
      </c>
      <c r="G291" s="32" t="e">
        <v>#N/A</v>
      </c>
      <c r="H291" s="32" t="s">
        <v>5128</v>
      </c>
      <c r="I291" s="32" t="s">
        <v>5102</v>
      </c>
      <c r="J291" s="32" t="s">
        <v>2175</v>
      </c>
      <c r="K291" s="33" t="s">
        <v>2176</v>
      </c>
      <c r="L291" s="32" t="e">
        <v>#N/A</v>
      </c>
      <c r="M291" s="32" t="e">
        <v>#N/A</v>
      </c>
      <c r="N291" s="32" t="s">
        <v>5103</v>
      </c>
      <c r="O291" s="32" t="s">
        <v>4730</v>
      </c>
      <c r="P291" s="32">
        <v>7499.0</v>
      </c>
      <c r="Q291" s="34">
        <v>5999.0</v>
      </c>
      <c r="R291" s="40">
        <v>6599.0</v>
      </c>
      <c r="S291" s="35">
        <v>5624.25</v>
      </c>
      <c r="T291" s="36">
        <v>2.0</v>
      </c>
      <c r="U291" s="36">
        <v>0.0</v>
      </c>
      <c r="V291" s="36">
        <v>16.0</v>
      </c>
      <c r="W291" s="36">
        <v>0.0</v>
      </c>
      <c r="X291" s="36">
        <v>2.0</v>
      </c>
      <c r="Y291" s="36">
        <v>20.0</v>
      </c>
    </row>
    <row r="292">
      <c r="A292" s="32" t="s">
        <v>4559</v>
      </c>
      <c r="B292" s="32" t="s">
        <v>4559</v>
      </c>
      <c r="C292" s="32" t="s">
        <v>4560</v>
      </c>
      <c r="D292" s="32" t="s">
        <v>4561</v>
      </c>
      <c r="E292" s="32" t="s">
        <v>5073</v>
      </c>
      <c r="F292" s="32" t="e">
        <v>#N/A</v>
      </c>
      <c r="G292" s="39"/>
      <c r="H292" s="32">
        <v>0.0</v>
      </c>
      <c r="I292" s="39"/>
      <c r="J292" s="32" t="s">
        <v>4562</v>
      </c>
      <c r="K292" s="33" t="s">
        <v>4563</v>
      </c>
      <c r="L292" s="32" t="e">
        <v>#N/A</v>
      </c>
      <c r="M292" s="32" t="e">
        <v>#N/A</v>
      </c>
      <c r="N292" s="32" t="s">
        <v>5077</v>
      </c>
      <c r="O292" s="32" t="s">
        <v>4730</v>
      </c>
      <c r="P292" s="32">
        <v>1599.0</v>
      </c>
      <c r="Q292" s="34">
        <v>1519.0</v>
      </c>
      <c r="R292" s="40">
        <v>1519.0</v>
      </c>
      <c r="S292" s="35">
        <v>1439.1</v>
      </c>
      <c r="T292" s="36">
        <v>4.0</v>
      </c>
      <c r="U292" s="36">
        <v>0.0</v>
      </c>
      <c r="V292" s="36">
        <v>16.0</v>
      </c>
      <c r="W292" s="36">
        <v>0.0</v>
      </c>
      <c r="X292" s="36">
        <v>0.0</v>
      </c>
      <c r="Y292" s="36">
        <v>20.0</v>
      </c>
    </row>
    <row r="293">
      <c r="A293" s="32" t="s">
        <v>2257</v>
      </c>
      <c r="B293" s="32" t="s">
        <v>2257</v>
      </c>
      <c r="C293" s="32" t="s">
        <v>2258</v>
      </c>
      <c r="D293" s="32" t="s">
        <v>2259</v>
      </c>
      <c r="E293" s="32" t="s">
        <v>5073</v>
      </c>
      <c r="F293" s="32" t="e">
        <v>#N/A</v>
      </c>
      <c r="G293" s="39"/>
      <c r="H293" s="32">
        <v>0.0</v>
      </c>
      <c r="I293" s="39"/>
      <c r="J293" s="32" t="s">
        <v>2260</v>
      </c>
      <c r="K293" s="33" t="s">
        <v>2261</v>
      </c>
      <c r="L293" s="32" t="e">
        <v>#N/A</v>
      </c>
      <c r="M293" s="32" t="e">
        <v>#N/A</v>
      </c>
      <c r="N293" s="32" t="s">
        <v>5077</v>
      </c>
      <c r="O293" s="32" t="s">
        <v>4730</v>
      </c>
      <c r="P293" s="32">
        <v>889.0</v>
      </c>
      <c r="Q293" s="34">
        <v>845.0</v>
      </c>
      <c r="R293" s="35">
        <v>845.0</v>
      </c>
      <c r="S293" s="35">
        <v>800.1</v>
      </c>
      <c r="T293" s="36">
        <v>9.0</v>
      </c>
      <c r="U293" s="36">
        <v>7.0</v>
      </c>
      <c r="V293" s="36">
        <v>0.0</v>
      </c>
      <c r="W293" s="36">
        <v>0.0</v>
      </c>
      <c r="X293" s="36">
        <v>4.0</v>
      </c>
      <c r="Y293" s="36">
        <v>20.0</v>
      </c>
    </row>
    <row r="294">
      <c r="A294" s="32" t="s">
        <v>1565</v>
      </c>
      <c r="B294" s="32" t="s">
        <v>1565</v>
      </c>
      <c r="C294" s="32" t="s">
        <v>1566</v>
      </c>
      <c r="D294" s="32" t="s">
        <v>1567</v>
      </c>
      <c r="E294" s="32" t="s">
        <v>5073</v>
      </c>
      <c r="F294" s="32" t="e">
        <v>#N/A</v>
      </c>
      <c r="G294" s="39"/>
      <c r="H294" s="32" t="s">
        <v>1565</v>
      </c>
      <c r="I294" s="32" t="s">
        <v>5073</v>
      </c>
      <c r="J294" s="32" t="s">
        <v>1565</v>
      </c>
      <c r="K294" s="33" t="s">
        <v>1568</v>
      </c>
      <c r="L294" s="32">
        <v>3.2784135E7</v>
      </c>
      <c r="M294" s="32" t="s">
        <v>1569</v>
      </c>
      <c r="N294" s="32" t="s">
        <v>5112</v>
      </c>
      <c r="O294" s="32" t="s">
        <v>52</v>
      </c>
      <c r="P294" s="32">
        <v>18999.0</v>
      </c>
      <c r="Q294" s="34">
        <v>17099.0</v>
      </c>
      <c r="R294" s="40">
        <v>17999.0</v>
      </c>
      <c r="S294" s="35">
        <v>14629.23</v>
      </c>
      <c r="T294" s="36">
        <v>4.0</v>
      </c>
      <c r="U294" s="36">
        <v>0.0</v>
      </c>
      <c r="V294" s="36">
        <v>14.0</v>
      </c>
      <c r="W294" s="36">
        <v>0.0</v>
      </c>
      <c r="X294" s="36">
        <v>2.0</v>
      </c>
      <c r="Y294" s="36">
        <v>20.0</v>
      </c>
    </row>
    <row r="295">
      <c r="A295" s="32" t="s">
        <v>2722</v>
      </c>
      <c r="B295" s="32" t="s">
        <v>2722</v>
      </c>
      <c r="C295" s="32" t="s">
        <v>2723</v>
      </c>
      <c r="D295" s="32" t="s">
        <v>2725</v>
      </c>
      <c r="E295" s="32" t="s">
        <v>5073</v>
      </c>
      <c r="F295" s="32" t="e">
        <v>#N/A</v>
      </c>
      <c r="G295" s="32" t="e">
        <v>#N/A</v>
      </c>
      <c r="H295" s="32" t="s">
        <v>2722</v>
      </c>
      <c r="I295" s="32" t="s">
        <v>5073</v>
      </c>
      <c r="J295" s="32" t="s">
        <v>2726</v>
      </c>
      <c r="K295" s="33" t="s">
        <v>2727</v>
      </c>
      <c r="L295" s="32">
        <v>3.1818458E7</v>
      </c>
      <c r="M295" s="32" t="e">
        <v>#N/A</v>
      </c>
      <c r="N295" s="32" t="s">
        <v>5107</v>
      </c>
      <c r="O295" s="32" t="s">
        <v>4730</v>
      </c>
      <c r="P295" s="32">
        <v>1989.0</v>
      </c>
      <c r="Q295" s="34">
        <v>1628.0</v>
      </c>
      <c r="R295" s="40">
        <v>1628.0</v>
      </c>
      <c r="S295" s="35">
        <v>1491.75</v>
      </c>
      <c r="T295" s="36">
        <v>0.0</v>
      </c>
      <c r="U295" s="36">
        <v>1.0</v>
      </c>
      <c r="V295" s="36">
        <v>18.0</v>
      </c>
      <c r="W295" s="36">
        <v>0.0</v>
      </c>
      <c r="X295" s="36">
        <v>0.0</v>
      </c>
      <c r="Y295" s="36">
        <v>19.0</v>
      </c>
    </row>
    <row r="296">
      <c r="A296" s="32" t="s">
        <v>3235</v>
      </c>
      <c r="B296" s="32" t="s">
        <v>3235</v>
      </c>
      <c r="C296" s="32" t="s">
        <v>3236</v>
      </c>
      <c r="D296" s="32" t="s">
        <v>3237</v>
      </c>
      <c r="E296" s="32" t="s">
        <v>5073</v>
      </c>
      <c r="F296" s="32" t="e">
        <v>#N/A</v>
      </c>
      <c r="G296" s="38"/>
      <c r="H296" s="32" t="s">
        <v>3238</v>
      </c>
      <c r="I296" s="32" t="s">
        <v>5073</v>
      </c>
      <c r="J296" s="32" t="s">
        <v>3239</v>
      </c>
      <c r="K296" s="33" t="s">
        <v>3240</v>
      </c>
      <c r="L296" s="32">
        <v>3.1818465E7</v>
      </c>
      <c r="M296" s="32" t="e">
        <v>#N/A</v>
      </c>
      <c r="N296" s="32" t="s">
        <v>5086</v>
      </c>
      <c r="O296" s="32" t="s">
        <v>4730</v>
      </c>
      <c r="P296" s="32">
        <v>1889.0</v>
      </c>
      <c r="Q296" s="34">
        <v>1699.0</v>
      </c>
      <c r="R296" s="40">
        <v>1699.0</v>
      </c>
      <c r="S296" s="35">
        <v>1605.65</v>
      </c>
      <c r="T296" s="36">
        <v>0.0</v>
      </c>
      <c r="U296" s="36">
        <v>0.0</v>
      </c>
      <c r="V296" s="36">
        <v>19.0</v>
      </c>
      <c r="W296" s="36">
        <v>0.0</v>
      </c>
      <c r="X296" s="36">
        <v>0.0</v>
      </c>
      <c r="Y296" s="36">
        <v>19.0</v>
      </c>
    </row>
    <row r="297">
      <c r="A297" s="32" t="s">
        <v>4486</v>
      </c>
      <c r="B297" s="32" t="s">
        <v>4486</v>
      </c>
      <c r="C297" s="32" t="s">
        <v>4487</v>
      </c>
      <c r="D297" s="32" t="s">
        <v>4488</v>
      </c>
      <c r="E297" s="32" t="s">
        <v>5073</v>
      </c>
      <c r="F297" s="32" t="e">
        <v>#N/A</v>
      </c>
      <c r="G297" s="39"/>
      <c r="H297" s="32">
        <v>0.0</v>
      </c>
      <c r="I297" s="39"/>
      <c r="J297" s="32" t="s">
        <v>4489</v>
      </c>
      <c r="K297" s="33" t="s">
        <v>4490</v>
      </c>
      <c r="L297" s="32" t="e">
        <v>#N/A</v>
      </c>
      <c r="M297" s="32" t="e">
        <v>#N/A</v>
      </c>
      <c r="N297" s="32" t="s">
        <v>5077</v>
      </c>
      <c r="O297" s="32" t="s">
        <v>4730</v>
      </c>
      <c r="P297" s="32">
        <v>1199.0</v>
      </c>
      <c r="Q297" s="34">
        <v>1139.0</v>
      </c>
      <c r="R297" s="40">
        <v>1139.0</v>
      </c>
      <c r="S297" s="35">
        <v>1079.1</v>
      </c>
      <c r="T297" s="36">
        <v>3.0</v>
      </c>
      <c r="U297" s="36">
        <v>0.0</v>
      </c>
      <c r="V297" s="36">
        <v>13.0</v>
      </c>
      <c r="W297" s="36">
        <v>0.0</v>
      </c>
      <c r="X297" s="36">
        <v>3.0</v>
      </c>
      <c r="Y297" s="36">
        <v>19.0</v>
      </c>
    </row>
    <row r="298">
      <c r="A298" s="32" t="s">
        <v>4976</v>
      </c>
      <c r="B298" s="32" t="s">
        <v>4976</v>
      </c>
      <c r="C298" s="32" t="s">
        <v>4977</v>
      </c>
      <c r="D298" s="32" t="s">
        <v>4978</v>
      </c>
      <c r="E298" s="32" t="s">
        <v>5102</v>
      </c>
      <c r="F298" s="38"/>
      <c r="G298" s="38"/>
      <c r="H298" s="38"/>
      <c r="I298" s="38"/>
      <c r="J298" s="32" t="s">
        <v>4979</v>
      </c>
      <c r="K298" s="38"/>
      <c r="L298" s="38"/>
      <c r="M298" s="38"/>
      <c r="N298" s="32" t="s">
        <v>5077</v>
      </c>
      <c r="O298" s="32" t="s">
        <v>4730</v>
      </c>
      <c r="P298" s="32">
        <v>1599.0</v>
      </c>
      <c r="Q298" s="44">
        <v>1519.0</v>
      </c>
      <c r="R298" s="40">
        <v>1519.0</v>
      </c>
      <c r="S298" s="35">
        <v>1439.1</v>
      </c>
      <c r="T298" s="36">
        <v>12.0</v>
      </c>
      <c r="U298" s="36">
        <v>0.0</v>
      </c>
      <c r="V298" s="36">
        <v>7.0</v>
      </c>
      <c r="W298" s="36">
        <v>0.0</v>
      </c>
      <c r="X298" s="36">
        <v>0.0</v>
      </c>
      <c r="Y298" s="36">
        <v>19.0</v>
      </c>
    </row>
    <row r="299">
      <c r="A299" s="32" t="s">
        <v>1487</v>
      </c>
      <c r="B299" s="32" t="s">
        <v>1487</v>
      </c>
      <c r="C299" s="32" t="s">
        <v>1488</v>
      </c>
      <c r="D299" s="32" t="s">
        <v>1489</v>
      </c>
      <c r="E299" s="32" t="s">
        <v>5073</v>
      </c>
      <c r="F299" s="32" t="e">
        <v>#N/A</v>
      </c>
      <c r="G299" s="39"/>
      <c r="H299" s="32" t="s">
        <v>1490</v>
      </c>
      <c r="I299" s="32" t="s">
        <v>5073</v>
      </c>
      <c r="J299" s="32" t="s">
        <v>1491</v>
      </c>
      <c r="K299" s="33" t="s">
        <v>1492</v>
      </c>
      <c r="L299" s="32">
        <v>3.1818452E7</v>
      </c>
      <c r="M299" s="32" t="e">
        <v>#N/A</v>
      </c>
      <c r="N299" s="32" t="s">
        <v>5089</v>
      </c>
      <c r="O299" s="32" t="s">
        <v>4730</v>
      </c>
      <c r="P299" s="32">
        <v>2999.0</v>
      </c>
      <c r="Q299" s="34">
        <v>2449.0</v>
      </c>
      <c r="R299" s="40">
        <v>2449.0</v>
      </c>
      <c r="S299" s="35">
        <v>2399.2</v>
      </c>
      <c r="T299" s="36">
        <v>0.0</v>
      </c>
      <c r="U299" s="36">
        <v>0.0</v>
      </c>
      <c r="V299" s="36">
        <v>12.0</v>
      </c>
      <c r="W299" s="36">
        <v>7.0</v>
      </c>
      <c r="X299" s="36">
        <v>0.0</v>
      </c>
      <c r="Y299" s="36">
        <v>19.0</v>
      </c>
    </row>
    <row r="300">
      <c r="A300" s="32" t="s">
        <v>1540</v>
      </c>
      <c r="B300" s="32" t="s">
        <v>1540</v>
      </c>
      <c r="C300" s="32" t="s">
        <v>1541</v>
      </c>
      <c r="D300" s="32" t="s">
        <v>1542</v>
      </c>
      <c r="E300" s="32" t="s">
        <v>5073</v>
      </c>
      <c r="F300" s="32" t="e">
        <v>#N/A</v>
      </c>
      <c r="G300" s="39"/>
      <c r="H300" s="32" t="s">
        <v>1540</v>
      </c>
      <c r="I300" s="32" t="s">
        <v>5073</v>
      </c>
      <c r="J300" s="32" t="s">
        <v>1540</v>
      </c>
      <c r="K300" s="33" t="s">
        <v>1543</v>
      </c>
      <c r="L300" s="32">
        <v>3.2783905E7</v>
      </c>
      <c r="M300" s="32" t="s">
        <v>1544</v>
      </c>
      <c r="N300" s="32" t="s">
        <v>5112</v>
      </c>
      <c r="O300" s="32" t="s">
        <v>52</v>
      </c>
      <c r="P300" s="32">
        <v>14999.0</v>
      </c>
      <c r="Q300" s="34">
        <v>13499.0</v>
      </c>
      <c r="R300" s="40">
        <v>14199.0</v>
      </c>
      <c r="S300" s="35">
        <v>11549.23</v>
      </c>
      <c r="T300" s="36">
        <v>5.0</v>
      </c>
      <c r="U300" s="36">
        <v>2.0</v>
      </c>
      <c r="V300" s="36">
        <v>3.0</v>
      </c>
      <c r="W300" s="36">
        <v>3.0</v>
      </c>
      <c r="X300" s="36">
        <v>6.0</v>
      </c>
      <c r="Y300" s="36">
        <v>19.0</v>
      </c>
    </row>
    <row r="301">
      <c r="A301" s="32" t="s">
        <v>4578</v>
      </c>
      <c r="B301" s="32" t="s">
        <v>4578</v>
      </c>
      <c r="C301" s="32">
        <v>0.0</v>
      </c>
      <c r="D301" s="32">
        <v>0.0</v>
      </c>
      <c r="E301" s="39"/>
      <c r="F301" s="32" t="e">
        <v>#N/A</v>
      </c>
      <c r="G301" s="39"/>
      <c r="H301" s="32">
        <v>0.0</v>
      </c>
      <c r="I301" s="39"/>
      <c r="J301" s="32" t="s">
        <v>4580</v>
      </c>
      <c r="K301" s="33" t="e">
        <v>#N/A</v>
      </c>
      <c r="L301" s="32" t="e">
        <v>#N/A</v>
      </c>
      <c r="M301" s="32" t="e">
        <v>#N/A</v>
      </c>
      <c r="N301" s="32" t="s">
        <v>5077</v>
      </c>
      <c r="O301" s="32" t="s">
        <v>4730</v>
      </c>
      <c r="P301" s="32">
        <v>1499.0</v>
      </c>
      <c r="Q301" s="34">
        <v>1424.0</v>
      </c>
      <c r="R301" s="40">
        <v>1424.0</v>
      </c>
      <c r="S301" s="35">
        <v>1349.1</v>
      </c>
      <c r="T301" s="36">
        <v>0.0</v>
      </c>
      <c r="U301" s="36">
        <v>0.0</v>
      </c>
      <c r="V301" s="36">
        <v>19.0</v>
      </c>
      <c r="W301" s="36">
        <v>0.0</v>
      </c>
      <c r="X301" s="36">
        <v>0.0</v>
      </c>
      <c r="Y301" s="36">
        <v>19.0</v>
      </c>
    </row>
    <row r="302">
      <c r="A302" s="32" t="s">
        <v>3696</v>
      </c>
      <c r="B302" s="32" t="s">
        <v>3696</v>
      </c>
      <c r="C302" s="32" t="s">
        <v>3697</v>
      </c>
      <c r="D302" s="32" t="s">
        <v>3698</v>
      </c>
      <c r="E302" s="32" t="s">
        <v>5073</v>
      </c>
      <c r="F302" s="32" t="e">
        <v>#N/A</v>
      </c>
      <c r="G302" s="32" t="e">
        <v>#N/A</v>
      </c>
      <c r="H302" s="32" t="s">
        <v>3696</v>
      </c>
      <c r="I302" s="32" t="s">
        <v>5073</v>
      </c>
      <c r="J302" s="32" t="s">
        <v>3699</v>
      </c>
      <c r="K302" s="33" t="s">
        <v>3700</v>
      </c>
      <c r="L302" s="32" t="e">
        <v>#N/A</v>
      </c>
      <c r="M302" s="32" t="e">
        <v>#N/A</v>
      </c>
      <c r="N302" s="32" t="s">
        <v>5127</v>
      </c>
      <c r="O302" s="32" t="s">
        <v>4730</v>
      </c>
      <c r="P302" s="32">
        <v>949.0</v>
      </c>
      <c r="Q302" s="34">
        <v>899.0</v>
      </c>
      <c r="R302" s="35">
        <v>899.0</v>
      </c>
      <c r="S302" s="35">
        <v>849.0</v>
      </c>
      <c r="T302" s="36">
        <v>0.0</v>
      </c>
      <c r="U302" s="36">
        <v>0.0</v>
      </c>
      <c r="V302" s="36">
        <v>18.0</v>
      </c>
      <c r="W302" s="36">
        <v>0.0</v>
      </c>
      <c r="X302" s="36">
        <v>0.0</v>
      </c>
      <c r="Y302" s="36">
        <v>18.0</v>
      </c>
    </row>
    <row r="303">
      <c r="A303" s="32" t="s">
        <v>1016</v>
      </c>
      <c r="B303" s="32" t="s">
        <v>1016</v>
      </c>
      <c r="C303" s="32" t="s">
        <v>1017</v>
      </c>
      <c r="D303" s="32" t="s">
        <v>1018</v>
      </c>
      <c r="E303" s="32" t="s">
        <v>5073</v>
      </c>
      <c r="F303" s="32" t="s">
        <v>5129</v>
      </c>
      <c r="G303" s="32" t="s">
        <v>5102</v>
      </c>
      <c r="H303" s="32" t="s">
        <v>5130</v>
      </c>
      <c r="I303" s="32" t="s">
        <v>5102</v>
      </c>
      <c r="J303" s="32" t="s">
        <v>1019</v>
      </c>
      <c r="K303" s="33" t="s">
        <v>1020</v>
      </c>
      <c r="L303" s="32">
        <v>3.1999065E7</v>
      </c>
      <c r="M303" s="32" t="s">
        <v>1021</v>
      </c>
      <c r="N303" s="32" t="s">
        <v>5108</v>
      </c>
      <c r="O303" s="32" t="s">
        <v>52</v>
      </c>
      <c r="P303" s="32">
        <v>19999.0</v>
      </c>
      <c r="Q303" s="34">
        <v>16799.0</v>
      </c>
      <c r="R303" s="40">
        <v>17999.0</v>
      </c>
      <c r="S303" s="35">
        <v>15999.2</v>
      </c>
      <c r="T303" s="36">
        <v>0.0</v>
      </c>
      <c r="U303" s="36">
        <v>0.0</v>
      </c>
      <c r="V303" s="36">
        <v>18.0</v>
      </c>
      <c r="W303" s="36">
        <v>0.0</v>
      </c>
      <c r="X303" s="36">
        <v>0.0</v>
      </c>
      <c r="Y303" s="36">
        <v>18.0</v>
      </c>
    </row>
    <row r="304">
      <c r="A304" s="32" t="s">
        <v>4229</v>
      </c>
      <c r="B304" s="32" t="s">
        <v>4229</v>
      </c>
      <c r="C304" s="32" t="s">
        <v>4230</v>
      </c>
      <c r="D304" s="32" t="s">
        <v>4231</v>
      </c>
      <c r="E304" s="32" t="s">
        <v>5073</v>
      </c>
      <c r="F304" s="32" t="e">
        <v>#N/A</v>
      </c>
      <c r="G304" s="38"/>
      <c r="H304" s="32">
        <v>0.0</v>
      </c>
      <c r="I304" s="39"/>
      <c r="J304" s="32" t="s">
        <v>4232</v>
      </c>
      <c r="K304" s="33" t="s">
        <v>4233</v>
      </c>
      <c r="L304" s="32" t="e">
        <v>#N/A</v>
      </c>
      <c r="M304" s="32" t="s">
        <v>4234</v>
      </c>
      <c r="N304" s="32" t="s">
        <v>5118</v>
      </c>
      <c r="O304" s="32" t="s">
        <v>52</v>
      </c>
      <c r="P304" s="32">
        <v>20699.0</v>
      </c>
      <c r="Q304" s="34">
        <v>18629.0</v>
      </c>
      <c r="R304" s="40">
        <v>19899.0</v>
      </c>
      <c r="S304" s="35">
        <v>18215.34</v>
      </c>
      <c r="T304" s="36">
        <v>0.0</v>
      </c>
      <c r="U304" s="36">
        <v>1.0</v>
      </c>
      <c r="V304" s="36">
        <v>15.0</v>
      </c>
      <c r="W304" s="36">
        <v>1.0</v>
      </c>
      <c r="X304" s="36">
        <v>1.0</v>
      </c>
      <c r="Y304" s="36">
        <v>18.0</v>
      </c>
    </row>
    <row r="305">
      <c r="A305" s="32" t="s">
        <v>582</v>
      </c>
      <c r="B305" s="32" t="s">
        <v>582</v>
      </c>
      <c r="C305" s="32" t="s">
        <v>583</v>
      </c>
      <c r="D305" s="32" t="s">
        <v>584</v>
      </c>
      <c r="E305" s="32" t="s">
        <v>5073</v>
      </c>
      <c r="F305" s="32" t="s">
        <v>585</v>
      </c>
      <c r="G305" s="32" t="s">
        <v>5100</v>
      </c>
      <c r="H305" s="32" t="s">
        <v>586</v>
      </c>
      <c r="I305" s="32" t="s">
        <v>5073</v>
      </c>
      <c r="J305" s="32" t="s">
        <v>587</v>
      </c>
      <c r="K305" s="33" t="s">
        <v>588</v>
      </c>
      <c r="L305" s="32">
        <v>3.1999083E7</v>
      </c>
      <c r="M305" s="32" t="s">
        <v>589</v>
      </c>
      <c r="N305" s="32" t="s">
        <v>51</v>
      </c>
      <c r="O305" s="32" t="s">
        <v>52</v>
      </c>
      <c r="P305" s="32">
        <v>18199.0</v>
      </c>
      <c r="Q305" s="34">
        <v>14741.0</v>
      </c>
      <c r="R305" s="40">
        <v>15799.0</v>
      </c>
      <c r="S305" s="35">
        <v>13831.24</v>
      </c>
      <c r="T305" s="36">
        <v>1.0</v>
      </c>
      <c r="U305" s="36">
        <v>1.0</v>
      </c>
      <c r="V305" s="36">
        <v>10.0</v>
      </c>
      <c r="W305" s="36">
        <v>2.0</v>
      </c>
      <c r="X305" s="36">
        <v>4.0</v>
      </c>
      <c r="Y305" s="36">
        <v>18.0</v>
      </c>
    </row>
    <row r="306">
      <c r="A306" s="32" t="s">
        <v>528</v>
      </c>
      <c r="B306" s="32" t="s">
        <v>528</v>
      </c>
      <c r="C306" s="32" t="s">
        <v>529</v>
      </c>
      <c r="D306" s="32" t="s">
        <v>530</v>
      </c>
      <c r="E306" s="32" t="s">
        <v>5073</v>
      </c>
      <c r="F306" s="32" t="e">
        <v>#N/A</v>
      </c>
      <c r="G306" s="39"/>
      <c r="H306" s="32">
        <v>0.0</v>
      </c>
      <c r="I306" s="39"/>
      <c r="J306" s="32" t="s">
        <v>531</v>
      </c>
      <c r="K306" s="33" t="s">
        <v>532</v>
      </c>
      <c r="L306" s="32" t="e">
        <v>#N/A</v>
      </c>
      <c r="M306" s="32" t="s">
        <v>533</v>
      </c>
      <c r="N306" s="32" t="s">
        <v>51</v>
      </c>
      <c r="O306" s="32" t="s">
        <v>52</v>
      </c>
      <c r="P306" s="32">
        <v>11569.0</v>
      </c>
      <c r="Q306" s="34">
        <v>9371.0</v>
      </c>
      <c r="R306" s="40">
        <v>10099.0</v>
      </c>
      <c r="S306" s="35">
        <v>8792.44</v>
      </c>
      <c r="T306" s="36">
        <v>0.0</v>
      </c>
      <c r="U306" s="36">
        <v>0.0</v>
      </c>
      <c r="V306" s="36">
        <v>10.0</v>
      </c>
      <c r="W306" s="36">
        <v>0.0</v>
      </c>
      <c r="X306" s="36">
        <v>8.0</v>
      </c>
      <c r="Y306" s="36">
        <v>18.0</v>
      </c>
    </row>
    <row r="307">
      <c r="A307" s="32" t="s">
        <v>2594</v>
      </c>
      <c r="B307" s="32" t="s">
        <v>2594</v>
      </c>
      <c r="C307" s="32" t="s">
        <v>2595</v>
      </c>
      <c r="D307" s="32" t="s">
        <v>2596</v>
      </c>
      <c r="E307" s="32" t="s">
        <v>5102</v>
      </c>
      <c r="F307" s="32" t="e">
        <v>#N/A</v>
      </c>
      <c r="G307" s="39"/>
      <c r="H307" s="32" t="s">
        <v>2597</v>
      </c>
      <c r="I307" s="32" t="s">
        <v>5117</v>
      </c>
      <c r="J307" s="32" t="s">
        <v>2598</v>
      </c>
      <c r="K307" s="33" t="s">
        <v>2599</v>
      </c>
      <c r="L307" s="32" t="e">
        <v>#N/A</v>
      </c>
      <c r="M307" s="32" t="s">
        <v>2600</v>
      </c>
      <c r="N307" s="32" t="s">
        <v>1195</v>
      </c>
      <c r="O307" s="32" t="s">
        <v>5114</v>
      </c>
      <c r="P307" s="32">
        <v>3489.0</v>
      </c>
      <c r="Q307" s="34">
        <v>2507.0</v>
      </c>
      <c r="R307" s="40">
        <v>2499.0</v>
      </c>
      <c r="S307" s="35">
        <v>2442.3</v>
      </c>
      <c r="T307" s="36">
        <v>3.0</v>
      </c>
      <c r="U307" s="36">
        <v>0.0</v>
      </c>
      <c r="V307" s="36">
        <v>9.0</v>
      </c>
      <c r="W307" s="36">
        <v>6.0</v>
      </c>
      <c r="X307" s="36">
        <v>0.0</v>
      </c>
      <c r="Y307" s="36">
        <v>18.0</v>
      </c>
    </row>
    <row r="308">
      <c r="A308" s="32" t="s">
        <v>2309</v>
      </c>
      <c r="B308" s="32" t="s">
        <v>2309</v>
      </c>
      <c r="C308" s="32" t="s">
        <v>2310</v>
      </c>
      <c r="D308" s="32" t="s">
        <v>2311</v>
      </c>
      <c r="E308" s="32" t="s">
        <v>5102</v>
      </c>
      <c r="F308" s="32" t="e">
        <v>#N/A</v>
      </c>
      <c r="G308" s="39"/>
      <c r="H308" s="32">
        <v>0.0</v>
      </c>
      <c r="I308" s="39"/>
      <c r="J308" s="32" t="s">
        <v>2312</v>
      </c>
      <c r="K308" s="33" t="s">
        <v>2313</v>
      </c>
      <c r="L308" s="32" t="e">
        <v>#N/A</v>
      </c>
      <c r="M308" s="32" t="e">
        <v>#N/A</v>
      </c>
      <c r="N308" s="32" t="s">
        <v>5077</v>
      </c>
      <c r="O308" s="32" t="s">
        <v>4730</v>
      </c>
      <c r="P308" s="32">
        <v>989.0</v>
      </c>
      <c r="Q308" s="34">
        <v>940.0</v>
      </c>
      <c r="R308" s="35">
        <v>940.0</v>
      </c>
      <c r="S308" s="35">
        <v>890.1</v>
      </c>
      <c r="T308" s="36">
        <v>0.0</v>
      </c>
      <c r="U308" s="36">
        <v>0.0</v>
      </c>
      <c r="V308" s="36">
        <v>18.0</v>
      </c>
      <c r="W308" s="36">
        <v>0.0</v>
      </c>
      <c r="X308" s="36">
        <v>0.0</v>
      </c>
      <c r="Y308" s="36">
        <v>18.0</v>
      </c>
    </row>
    <row r="309">
      <c r="A309" s="32" t="s">
        <v>1219</v>
      </c>
      <c r="B309" s="32" t="s">
        <v>1219</v>
      </c>
      <c r="C309" s="32" t="s">
        <v>1220</v>
      </c>
      <c r="D309" s="32" t="s">
        <v>1221</v>
      </c>
      <c r="E309" s="32" t="s">
        <v>5073</v>
      </c>
      <c r="F309" s="32" t="e">
        <v>#N/A</v>
      </c>
      <c r="G309" s="39"/>
      <c r="H309" s="32" t="s">
        <v>1222</v>
      </c>
      <c r="I309" s="32" t="s">
        <v>5073</v>
      </c>
      <c r="J309" s="32" t="s">
        <v>1223</v>
      </c>
      <c r="K309" s="33" t="s">
        <v>1224</v>
      </c>
      <c r="L309" s="32">
        <v>3.1818412E7</v>
      </c>
      <c r="M309" s="32" t="e">
        <v>#N/A</v>
      </c>
      <c r="N309" s="32" t="s">
        <v>5089</v>
      </c>
      <c r="O309" s="32" t="s">
        <v>4730</v>
      </c>
      <c r="P309" s="32">
        <v>1999.0</v>
      </c>
      <c r="Q309" s="34">
        <v>1629.0</v>
      </c>
      <c r="R309" s="40">
        <v>1629.0</v>
      </c>
      <c r="S309" s="35">
        <v>1599.2</v>
      </c>
      <c r="T309" s="36">
        <v>5.0</v>
      </c>
      <c r="U309" s="36">
        <v>3.0</v>
      </c>
      <c r="V309" s="36">
        <v>9.0</v>
      </c>
      <c r="W309" s="36">
        <v>1.0</v>
      </c>
      <c r="X309" s="36">
        <v>0.0</v>
      </c>
      <c r="Y309" s="36">
        <v>18.0</v>
      </c>
    </row>
    <row r="310">
      <c r="A310" s="32" t="s">
        <v>3587</v>
      </c>
      <c r="B310" s="32" t="s">
        <v>3587</v>
      </c>
      <c r="C310" s="32" t="s">
        <v>3588</v>
      </c>
      <c r="D310" s="32" t="s">
        <v>3589</v>
      </c>
      <c r="E310" s="32" t="s">
        <v>5073</v>
      </c>
      <c r="F310" s="32" t="e">
        <v>#N/A</v>
      </c>
      <c r="G310" s="39"/>
      <c r="H310" s="32" t="s">
        <v>3590</v>
      </c>
      <c r="I310" s="32" t="s">
        <v>5073</v>
      </c>
      <c r="J310" s="32" t="s">
        <v>3591</v>
      </c>
      <c r="K310" s="33" t="s">
        <v>3592</v>
      </c>
      <c r="L310" s="32" t="e">
        <v>#N/A</v>
      </c>
      <c r="M310" s="32" t="e">
        <v>#N/A</v>
      </c>
      <c r="N310" s="32" t="s">
        <v>5099</v>
      </c>
      <c r="O310" s="32" t="s">
        <v>4730</v>
      </c>
      <c r="P310" s="32">
        <v>2289.0</v>
      </c>
      <c r="Q310" s="34">
        <v>1999.0</v>
      </c>
      <c r="R310" s="40">
        <v>1999.0</v>
      </c>
      <c r="S310" s="35">
        <v>1945.65</v>
      </c>
      <c r="T310" s="36">
        <v>0.0</v>
      </c>
      <c r="U310" s="36">
        <v>2.0</v>
      </c>
      <c r="V310" s="36">
        <v>16.0</v>
      </c>
      <c r="W310" s="36">
        <v>0.0</v>
      </c>
      <c r="X310" s="36">
        <v>0.0</v>
      </c>
      <c r="Y310" s="36">
        <v>18.0</v>
      </c>
    </row>
    <row r="311">
      <c r="A311" s="32" t="s">
        <v>4988</v>
      </c>
      <c r="B311" s="32" t="s">
        <v>4988</v>
      </c>
      <c r="C311" s="32" t="s">
        <v>4989</v>
      </c>
      <c r="D311" s="32" t="s">
        <v>4990</v>
      </c>
      <c r="E311" s="32" t="s">
        <v>5102</v>
      </c>
      <c r="F311" s="38"/>
      <c r="G311" s="38"/>
      <c r="H311" s="38"/>
      <c r="I311" s="38"/>
      <c r="J311" s="32" t="s">
        <v>4991</v>
      </c>
      <c r="K311" s="38"/>
      <c r="L311" s="38"/>
      <c r="M311" s="38"/>
      <c r="N311" s="32" t="s">
        <v>5077</v>
      </c>
      <c r="O311" s="32" t="s">
        <v>4730</v>
      </c>
      <c r="P311" s="32">
        <v>1499.0</v>
      </c>
      <c r="Q311" s="44">
        <v>1424.0</v>
      </c>
      <c r="R311" s="40">
        <v>1424.0</v>
      </c>
      <c r="S311" s="35">
        <v>1349.1</v>
      </c>
      <c r="T311" s="36">
        <v>9.0</v>
      </c>
      <c r="U311" s="36">
        <v>0.0</v>
      </c>
      <c r="V311" s="36">
        <v>9.0</v>
      </c>
      <c r="W311" s="36">
        <v>0.0</v>
      </c>
      <c r="X311" s="36">
        <v>0.0</v>
      </c>
      <c r="Y311" s="36">
        <v>18.0</v>
      </c>
    </row>
    <row r="312">
      <c r="A312" s="32" t="s">
        <v>5000</v>
      </c>
      <c r="B312" s="32" t="s">
        <v>5000</v>
      </c>
      <c r="C312" s="32" t="s">
        <v>5001</v>
      </c>
      <c r="D312" s="32" t="s">
        <v>5002</v>
      </c>
      <c r="E312" s="32" t="s">
        <v>5102</v>
      </c>
      <c r="F312" s="38"/>
      <c r="G312" s="38"/>
      <c r="H312" s="38"/>
      <c r="I312" s="38"/>
      <c r="J312" s="32" t="s">
        <v>5003</v>
      </c>
      <c r="K312" s="38"/>
      <c r="L312" s="38"/>
      <c r="M312" s="38"/>
      <c r="N312" s="32" t="s">
        <v>5077</v>
      </c>
      <c r="O312" s="32" t="s">
        <v>4730</v>
      </c>
      <c r="P312" s="32">
        <v>1599.0</v>
      </c>
      <c r="Q312" s="44">
        <v>1519.0</v>
      </c>
      <c r="R312" s="40">
        <v>1519.0</v>
      </c>
      <c r="S312" s="35">
        <v>1439.1</v>
      </c>
      <c r="T312" s="36">
        <v>4.0</v>
      </c>
      <c r="U312" s="36">
        <v>0.0</v>
      </c>
      <c r="V312" s="36">
        <v>14.0</v>
      </c>
      <c r="W312" s="36">
        <v>0.0</v>
      </c>
      <c r="X312" s="36">
        <v>0.0</v>
      </c>
      <c r="Y312" s="36">
        <v>18.0</v>
      </c>
    </row>
    <row r="313">
      <c r="A313" s="32" t="s">
        <v>4556</v>
      </c>
      <c r="B313" s="32" t="s">
        <v>4556</v>
      </c>
      <c r="C313" s="32">
        <v>0.0</v>
      </c>
      <c r="D313" s="32">
        <v>0.0</v>
      </c>
      <c r="E313" s="39"/>
      <c r="F313" s="32" t="e">
        <v>#N/A</v>
      </c>
      <c r="G313" s="39"/>
      <c r="H313" s="32">
        <v>0.0</v>
      </c>
      <c r="I313" s="39"/>
      <c r="J313" s="32" t="s">
        <v>4558</v>
      </c>
      <c r="K313" s="33" t="e">
        <v>#N/A</v>
      </c>
      <c r="L313" s="32" t="e">
        <v>#N/A</v>
      </c>
      <c r="M313" s="32" t="e">
        <v>#N/A</v>
      </c>
      <c r="N313" s="32" t="s">
        <v>5077</v>
      </c>
      <c r="O313" s="32" t="s">
        <v>4730</v>
      </c>
      <c r="P313" s="32">
        <v>1499.0</v>
      </c>
      <c r="Q313" s="34">
        <v>1424.0</v>
      </c>
      <c r="R313" s="40">
        <v>1424.0</v>
      </c>
      <c r="S313" s="35">
        <v>1349.1</v>
      </c>
      <c r="T313" s="36">
        <v>0.0</v>
      </c>
      <c r="U313" s="36">
        <v>13.0</v>
      </c>
      <c r="V313" s="36">
        <v>1.0</v>
      </c>
      <c r="W313" s="36">
        <v>0.0</v>
      </c>
      <c r="X313" s="36">
        <v>4.0</v>
      </c>
      <c r="Y313" s="36">
        <v>18.0</v>
      </c>
    </row>
    <row r="314">
      <c r="A314" s="32" t="s">
        <v>4567</v>
      </c>
      <c r="B314" s="32" t="s">
        <v>4567</v>
      </c>
      <c r="C314" s="32">
        <v>0.0</v>
      </c>
      <c r="D314" s="32">
        <v>0.0</v>
      </c>
      <c r="E314" s="39"/>
      <c r="F314" s="32" t="e">
        <v>#N/A</v>
      </c>
      <c r="G314" s="39"/>
      <c r="H314" s="32">
        <v>0.0</v>
      </c>
      <c r="I314" s="39"/>
      <c r="J314" s="32" t="s">
        <v>4569</v>
      </c>
      <c r="K314" s="33" t="e">
        <v>#N/A</v>
      </c>
      <c r="L314" s="32" t="e">
        <v>#N/A</v>
      </c>
      <c r="M314" s="32" t="e">
        <v>#N/A</v>
      </c>
      <c r="N314" s="32" t="s">
        <v>5077</v>
      </c>
      <c r="O314" s="32" t="s">
        <v>4730</v>
      </c>
      <c r="P314" s="32">
        <v>1599.0</v>
      </c>
      <c r="Q314" s="34">
        <v>1519.0</v>
      </c>
      <c r="R314" s="40">
        <v>1519.0</v>
      </c>
      <c r="S314" s="35">
        <v>1439.1</v>
      </c>
      <c r="T314" s="36">
        <v>0.0</v>
      </c>
      <c r="U314" s="36">
        <v>0.0</v>
      </c>
      <c r="V314" s="36">
        <v>18.0</v>
      </c>
      <c r="W314" s="36">
        <v>0.0</v>
      </c>
      <c r="X314" s="36">
        <v>0.0</v>
      </c>
      <c r="Y314" s="36">
        <v>18.0</v>
      </c>
    </row>
    <row r="315">
      <c r="A315" s="32" t="s">
        <v>2715</v>
      </c>
      <c r="B315" s="32" t="s">
        <v>2715</v>
      </c>
      <c r="C315" s="32">
        <v>0.0</v>
      </c>
      <c r="D315" s="32" t="e">
        <v>#N/A</v>
      </c>
      <c r="E315" s="39"/>
      <c r="F315" s="32" t="e">
        <v>#N/A</v>
      </c>
      <c r="G315" s="39"/>
      <c r="H315" s="32" t="e">
        <v>#N/A</v>
      </c>
      <c r="I315" s="39"/>
      <c r="J315" s="32">
        <v>0.0</v>
      </c>
      <c r="K315" s="33" t="e">
        <v>#N/A</v>
      </c>
      <c r="L315" s="32" t="e">
        <v>#N/A</v>
      </c>
      <c r="M315" s="32" t="e">
        <v>#N/A</v>
      </c>
      <c r="N315" s="32" t="e">
        <v>#N/A</v>
      </c>
      <c r="O315" s="32" t="e">
        <v>#N/A</v>
      </c>
      <c r="P315" s="32" t="e">
        <v>#REF!</v>
      </c>
      <c r="Q315" s="32" t="e">
        <v>#N/A</v>
      </c>
      <c r="R315" s="42" t="e">
        <v>#N/A</v>
      </c>
      <c r="S315" s="42" t="e">
        <v>#N/A</v>
      </c>
      <c r="T315" s="36">
        <v>8.0</v>
      </c>
      <c r="U315" s="36">
        <v>0.0</v>
      </c>
      <c r="V315" s="36">
        <v>10.0</v>
      </c>
      <c r="W315" s="36">
        <v>0.0</v>
      </c>
      <c r="X315" s="36">
        <v>0.0</v>
      </c>
      <c r="Y315" s="36">
        <v>18.0</v>
      </c>
    </row>
    <row r="316">
      <c r="A316" s="32" t="s">
        <v>2720</v>
      </c>
      <c r="B316" s="32" t="s">
        <v>2720</v>
      </c>
      <c r="C316" s="32">
        <v>0.0</v>
      </c>
      <c r="D316" s="32" t="e">
        <v>#N/A</v>
      </c>
      <c r="E316" s="39"/>
      <c r="F316" s="32" t="e">
        <v>#N/A</v>
      </c>
      <c r="G316" s="39"/>
      <c r="H316" s="32" t="e">
        <v>#N/A</v>
      </c>
      <c r="I316" s="39"/>
      <c r="J316" s="32">
        <v>0.0</v>
      </c>
      <c r="K316" s="33" t="e">
        <v>#N/A</v>
      </c>
      <c r="L316" s="32" t="e">
        <v>#N/A</v>
      </c>
      <c r="M316" s="32" t="e">
        <v>#N/A</v>
      </c>
      <c r="N316" s="32" t="e">
        <v>#N/A</v>
      </c>
      <c r="O316" s="32" t="e">
        <v>#N/A</v>
      </c>
      <c r="P316" s="32" t="e">
        <v>#REF!</v>
      </c>
      <c r="Q316" s="32" t="e">
        <v>#N/A</v>
      </c>
      <c r="R316" s="42" t="e">
        <v>#N/A</v>
      </c>
      <c r="S316" s="42" t="e">
        <v>#N/A</v>
      </c>
      <c r="T316" s="36">
        <v>8.0</v>
      </c>
      <c r="U316" s="36">
        <v>0.0</v>
      </c>
      <c r="V316" s="36">
        <v>8.0</v>
      </c>
      <c r="W316" s="36">
        <v>2.0</v>
      </c>
      <c r="X316" s="36">
        <v>0.0</v>
      </c>
      <c r="Y316" s="36">
        <v>18.0</v>
      </c>
    </row>
    <row r="317">
      <c r="A317" s="32" t="s">
        <v>4944</v>
      </c>
      <c r="B317" s="32" t="s">
        <v>4944</v>
      </c>
      <c r="C317" s="32" t="s">
        <v>4945</v>
      </c>
      <c r="D317" s="32" t="s">
        <v>4946</v>
      </c>
      <c r="E317" s="32" t="s">
        <v>5102</v>
      </c>
      <c r="F317" s="32" t="e">
        <v>#N/A</v>
      </c>
      <c r="G317" s="32" t="e">
        <v>#N/A</v>
      </c>
      <c r="H317" s="32">
        <v>0.0</v>
      </c>
      <c r="I317" s="32">
        <v>0.0</v>
      </c>
      <c r="J317" s="32" t="s">
        <v>4947</v>
      </c>
      <c r="K317" s="38"/>
      <c r="L317" s="38"/>
      <c r="M317" s="38"/>
      <c r="N317" s="32" t="s">
        <v>5077</v>
      </c>
      <c r="O317" s="32" t="s">
        <v>4730</v>
      </c>
      <c r="P317" s="32">
        <v>1599.0</v>
      </c>
      <c r="Q317" s="44">
        <v>1519.0</v>
      </c>
      <c r="R317" s="40">
        <v>1519.0</v>
      </c>
      <c r="S317" s="35">
        <v>1439.1</v>
      </c>
      <c r="T317" s="36">
        <v>8.0</v>
      </c>
      <c r="U317" s="36">
        <v>0.0</v>
      </c>
      <c r="V317" s="36">
        <v>9.0</v>
      </c>
      <c r="W317" s="36">
        <v>0.0</v>
      </c>
      <c r="X317" s="36">
        <v>0.0</v>
      </c>
      <c r="Y317" s="36">
        <v>17.0</v>
      </c>
    </row>
    <row r="318">
      <c r="A318" s="32" t="s">
        <v>3355</v>
      </c>
      <c r="B318" s="32" t="s">
        <v>3355</v>
      </c>
      <c r="C318" s="32" t="s">
        <v>3356</v>
      </c>
      <c r="D318" s="32" t="s">
        <v>3357</v>
      </c>
      <c r="E318" s="32" t="s">
        <v>5102</v>
      </c>
      <c r="F318" s="32" t="e">
        <v>#N/A</v>
      </c>
      <c r="G318" s="38"/>
      <c r="H318" s="32" t="s">
        <v>3358</v>
      </c>
      <c r="I318" s="32" t="s">
        <v>5073</v>
      </c>
      <c r="J318" s="32" t="s">
        <v>3359</v>
      </c>
      <c r="K318" s="33" t="s">
        <v>3360</v>
      </c>
      <c r="L318" s="32">
        <v>3.1818438E7</v>
      </c>
      <c r="M318" s="32" t="e">
        <v>#N/A</v>
      </c>
      <c r="N318" s="32" t="s">
        <v>5086</v>
      </c>
      <c r="O318" s="32" t="s">
        <v>4730</v>
      </c>
      <c r="P318" s="32">
        <v>2189.0</v>
      </c>
      <c r="Q318" s="34">
        <v>1999.0</v>
      </c>
      <c r="R318" s="40">
        <v>1999.0</v>
      </c>
      <c r="S318" s="35">
        <v>1860.65</v>
      </c>
      <c r="T318" s="36">
        <v>0.0</v>
      </c>
      <c r="U318" s="36">
        <v>0.0</v>
      </c>
      <c r="V318" s="36">
        <v>17.0</v>
      </c>
      <c r="W318" s="36">
        <v>0.0</v>
      </c>
      <c r="X318" s="36">
        <v>0.0</v>
      </c>
      <c r="Y318" s="36">
        <v>17.0</v>
      </c>
    </row>
    <row r="319">
      <c r="A319" s="32" t="s">
        <v>4423</v>
      </c>
      <c r="B319" s="32" t="s">
        <v>4423</v>
      </c>
      <c r="C319" s="32" t="s">
        <v>4424</v>
      </c>
      <c r="D319" s="32" t="s">
        <v>4425</v>
      </c>
      <c r="E319" s="32" t="s">
        <v>5073</v>
      </c>
      <c r="F319" s="32" t="e">
        <v>#N/A</v>
      </c>
      <c r="G319" s="39"/>
      <c r="H319" s="32">
        <v>0.0</v>
      </c>
      <c r="I319" s="39"/>
      <c r="J319" s="32" t="s">
        <v>4426</v>
      </c>
      <c r="K319" s="33" t="s">
        <v>4427</v>
      </c>
      <c r="L319" s="32" t="e">
        <v>#N/A</v>
      </c>
      <c r="M319" s="32" t="e">
        <v>#N/A</v>
      </c>
      <c r="N319" s="32" t="s">
        <v>5077</v>
      </c>
      <c r="O319" s="32" t="s">
        <v>4730</v>
      </c>
      <c r="P319" s="32">
        <v>999.0</v>
      </c>
      <c r="Q319" s="34">
        <v>949.0</v>
      </c>
      <c r="R319" s="35">
        <v>949.0</v>
      </c>
      <c r="S319" s="35">
        <v>899.1</v>
      </c>
      <c r="T319" s="36">
        <v>0.0</v>
      </c>
      <c r="U319" s="36">
        <v>0.0</v>
      </c>
      <c r="V319" s="36">
        <v>17.0</v>
      </c>
      <c r="W319" s="36">
        <v>0.0</v>
      </c>
      <c r="X319" s="36">
        <v>0.0</v>
      </c>
      <c r="Y319" s="36">
        <v>17.0</v>
      </c>
    </row>
    <row r="320">
      <c r="A320" s="32" t="s">
        <v>4649</v>
      </c>
      <c r="B320" s="32" t="s">
        <v>4649</v>
      </c>
      <c r="C320" s="32" t="s">
        <v>4650</v>
      </c>
      <c r="D320" s="32" t="s">
        <v>4651</v>
      </c>
      <c r="E320" s="32" t="s">
        <v>5073</v>
      </c>
      <c r="F320" s="32" t="e">
        <v>#N/A</v>
      </c>
      <c r="G320" s="39"/>
      <c r="H320" s="32">
        <v>0.0</v>
      </c>
      <c r="I320" s="39"/>
      <c r="J320" s="32" t="s">
        <v>4652</v>
      </c>
      <c r="K320" s="33" t="s">
        <v>4653</v>
      </c>
      <c r="L320" s="32" t="e">
        <v>#N/A</v>
      </c>
      <c r="M320" s="32" t="e">
        <v>#N/A</v>
      </c>
      <c r="N320" s="32" t="s">
        <v>5077</v>
      </c>
      <c r="O320" s="32" t="s">
        <v>4730</v>
      </c>
      <c r="P320" s="32">
        <v>1699.0</v>
      </c>
      <c r="Q320" s="34">
        <v>1614.0</v>
      </c>
      <c r="R320" s="40">
        <v>1614.0</v>
      </c>
      <c r="S320" s="35">
        <v>1529.1</v>
      </c>
      <c r="T320" s="36">
        <v>2.0</v>
      </c>
      <c r="U320" s="36">
        <v>0.0</v>
      </c>
      <c r="V320" s="36">
        <v>15.0</v>
      </c>
      <c r="W320" s="36">
        <v>0.0</v>
      </c>
      <c r="X320" s="36">
        <v>0.0</v>
      </c>
      <c r="Y320" s="36">
        <v>17.0</v>
      </c>
    </row>
    <row r="321">
      <c r="A321" s="32" t="s">
        <v>2911</v>
      </c>
      <c r="B321" s="32" t="s">
        <v>2911</v>
      </c>
      <c r="C321" s="32" t="s">
        <v>2912</v>
      </c>
      <c r="D321" s="32" t="s">
        <v>2913</v>
      </c>
      <c r="E321" s="32" t="s">
        <v>5073</v>
      </c>
      <c r="F321" s="32" t="e">
        <v>#N/A</v>
      </c>
      <c r="G321" s="39"/>
      <c r="H321" s="32" t="s">
        <v>2914</v>
      </c>
      <c r="I321" s="32" t="s">
        <v>5073</v>
      </c>
      <c r="J321" s="32" t="s">
        <v>2915</v>
      </c>
      <c r="K321" s="33" t="s">
        <v>2916</v>
      </c>
      <c r="L321" s="32" t="e">
        <v>#N/A</v>
      </c>
      <c r="M321" s="32" t="e">
        <v>#N/A</v>
      </c>
      <c r="N321" s="32" t="s">
        <v>5116</v>
      </c>
      <c r="O321" s="32" t="s">
        <v>4730</v>
      </c>
      <c r="P321" s="32">
        <v>2699.0</v>
      </c>
      <c r="Q321" s="34">
        <v>2399.0</v>
      </c>
      <c r="R321" s="40">
        <v>2399.0</v>
      </c>
      <c r="S321" s="35">
        <v>2294.15</v>
      </c>
      <c r="T321" s="36">
        <v>0.0</v>
      </c>
      <c r="U321" s="36">
        <v>0.0</v>
      </c>
      <c r="V321" s="36">
        <v>12.0</v>
      </c>
      <c r="W321" s="36">
        <v>5.0</v>
      </c>
      <c r="X321" s="36">
        <v>0.0</v>
      </c>
      <c r="Y321" s="36">
        <v>17.0</v>
      </c>
    </row>
    <row r="322">
      <c r="A322" s="32" t="s">
        <v>1201</v>
      </c>
      <c r="B322" s="32" t="s">
        <v>1201</v>
      </c>
      <c r="C322" s="32" t="s">
        <v>1202</v>
      </c>
      <c r="D322" s="32" t="s">
        <v>1203</v>
      </c>
      <c r="E322" s="32" t="s">
        <v>5073</v>
      </c>
      <c r="F322" s="32" t="e">
        <v>#N/A</v>
      </c>
      <c r="G322" s="39"/>
      <c r="H322" s="32" t="s">
        <v>1204</v>
      </c>
      <c r="I322" s="32" t="s">
        <v>5073</v>
      </c>
      <c r="J322" s="32" t="s">
        <v>1205</v>
      </c>
      <c r="K322" s="33" t="s">
        <v>1206</v>
      </c>
      <c r="L322" s="32">
        <v>3.1818385E7</v>
      </c>
      <c r="M322" s="32" t="e">
        <v>#N/A</v>
      </c>
      <c r="N322" s="32" t="s">
        <v>5089</v>
      </c>
      <c r="O322" s="32" t="s">
        <v>4730</v>
      </c>
      <c r="P322" s="32">
        <v>1999.0</v>
      </c>
      <c r="Q322" s="34">
        <v>1629.0</v>
      </c>
      <c r="R322" s="40">
        <v>1629.0</v>
      </c>
      <c r="S322" s="35">
        <v>1599.2</v>
      </c>
      <c r="T322" s="36">
        <v>7.0</v>
      </c>
      <c r="U322" s="36">
        <v>2.0</v>
      </c>
      <c r="V322" s="36">
        <v>8.0</v>
      </c>
      <c r="W322" s="36">
        <v>0.0</v>
      </c>
      <c r="X322" s="36">
        <v>0.0</v>
      </c>
      <c r="Y322" s="36">
        <v>17.0</v>
      </c>
    </row>
    <row r="323">
      <c r="A323" s="32" t="s">
        <v>1382</v>
      </c>
      <c r="B323" s="32" t="s">
        <v>1382</v>
      </c>
      <c r="C323" s="32" t="s">
        <v>1383</v>
      </c>
      <c r="D323" s="32" t="s">
        <v>1384</v>
      </c>
      <c r="E323" s="32" t="s">
        <v>5073</v>
      </c>
      <c r="F323" s="32" t="e">
        <v>#N/A</v>
      </c>
      <c r="G323" s="39"/>
      <c r="H323" s="32" t="s">
        <v>1385</v>
      </c>
      <c r="I323" s="32" t="s">
        <v>5073</v>
      </c>
      <c r="J323" s="32" t="s">
        <v>1386</v>
      </c>
      <c r="K323" s="33" t="s">
        <v>1387</v>
      </c>
      <c r="L323" s="32">
        <v>3.1818401E7</v>
      </c>
      <c r="M323" s="32" t="e">
        <v>#N/A</v>
      </c>
      <c r="N323" s="32" t="s">
        <v>5089</v>
      </c>
      <c r="O323" s="32" t="s">
        <v>4730</v>
      </c>
      <c r="P323" s="32">
        <v>2649.0</v>
      </c>
      <c r="Q323" s="34">
        <v>2164.0</v>
      </c>
      <c r="R323" s="40">
        <v>2199.0</v>
      </c>
      <c r="S323" s="35">
        <v>2119.2</v>
      </c>
      <c r="T323" s="36">
        <v>0.0</v>
      </c>
      <c r="U323" s="36">
        <v>0.0</v>
      </c>
      <c r="V323" s="36">
        <v>17.0</v>
      </c>
      <c r="W323" s="36">
        <v>0.0</v>
      </c>
      <c r="X323" s="36">
        <v>0.0</v>
      </c>
      <c r="Y323" s="36">
        <v>17.0</v>
      </c>
    </row>
    <row r="324">
      <c r="A324" s="32" t="s">
        <v>2884</v>
      </c>
      <c r="B324" s="32" t="s">
        <v>2884</v>
      </c>
      <c r="C324" s="32" t="s">
        <v>2885</v>
      </c>
      <c r="D324" s="32" t="s">
        <v>2886</v>
      </c>
      <c r="E324" s="32" t="s">
        <v>5073</v>
      </c>
      <c r="F324" s="32" t="e">
        <v>#N/A</v>
      </c>
      <c r="G324" s="39"/>
      <c r="H324" s="32" t="s">
        <v>2884</v>
      </c>
      <c r="I324" s="32" t="s">
        <v>5073</v>
      </c>
      <c r="J324" s="32" t="s">
        <v>2887</v>
      </c>
      <c r="K324" s="33" t="s">
        <v>2888</v>
      </c>
      <c r="L324" s="32">
        <v>3.1818457E7</v>
      </c>
      <c r="M324" s="32" t="e">
        <v>#N/A</v>
      </c>
      <c r="N324" s="32" t="s">
        <v>5107</v>
      </c>
      <c r="O324" s="32" t="s">
        <v>4730</v>
      </c>
      <c r="P324" s="32">
        <v>2189.0</v>
      </c>
      <c r="Q324" s="34">
        <v>1792.0</v>
      </c>
      <c r="R324" s="40">
        <v>1799.0</v>
      </c>
      <c r="S324" s="35">
        <v>1641.75</v>
      </c>
      <c r="T324" s="36">
        <v>0.0</v>
      </c>
      <c r="U324" s="36">
        <v>0.0</v>
      </c>
      <c r="V324" s="36">
        <v>17.0</v>
      </c>
      <c r="W324" s="36">
        <v>0.0</v>
      </c>
      <c r="X324" s="36">
        <v>0.0</v>
      </c>
      <c r="Y324" s="36">
        <v>17.0</v>
      </c>
    </row>
    <row r="325">
      <c r="A325" s="32" t="s">
        <v>4537</v>
      </c>
      <c r="B325" s="32" t="s">
        <v>4537</v>
      </c>
      <c r="C325" s="32" t="s">
        <v>4538</v>
      </c>
      <c r="D325" s="32" t="s">
        <v>4539</v>
      </c>
      <c r="E325" s="32" t="s">
        <v>5073</v>
      </c>
      <c r="F325" s="32" t="e">
        <v>#N/A</v>
      </c>
      <c r="G325" s="39"/>
      <c r="H325" s="32">
        <v>0.0</v>
      </c>
      <c r="I325" s="39"/>
      <c r="J325" s="32" t="s">
        <v>4540</v>
      </c>
      <c r="K325" s="33" t="s">
        <v>4541</v>
      </c>
      <c r="L325" s="32" t="e">
        <v>#N/A</v>
      </c>
      <c r="M325" s="32" t="e">
        <v>#N/A</v>
      </c>
      <c r="N325" s="32" t="s">
        <v>5077</v>
      </c>
      <c r="O325" s="32" t="s">
        <v>4730</v>
      </c>
      <c r="P325" s="32">
        <v>1599.0</v>
      </c>
      <c r="Q325" s="34">
        <v>1519.0</v>
      </c>
      <c r="R325" s="40">
        <v>1519.0</v>
      </c>
      <c r="S325" s="35">
        <v>1439.1</v>
      </c>
      <c r="T325" s="36">
        <v>6.0</v>
      </c>
      <c r="U325" s="36">
        <v>0.0</v>
      </c>
      <c r="V325" s="36">
        <v>11.0</v>
      </c>
      <c r="W325" s="36">
        <v>0.0</v>
      </c>
      <c r="X325" s="36">
        <v>0.0</v>
      </c>
      <c r="Y325" s="36">
        <v>17.0</v>
      </c>
    </row>
    <row r="326">
      <c r="A326" s="32" t="s">
        <v>2789</v>
      </c>
      <c r="B326" s="32" t="s">
        <v>2789</v>
      </c>
      <c r="C326" s="32">
        <v>0.0</v>
      </c>
      <c r="D326" s="32" t="e">
        <v>#N/A</v>
      </c>
      <c r="E326" s="39"/>
      <c r="F326" s="32" t="e">
        <v>#N/A</v>
      </c>
      <c r="G326" s="39"/>
      <c r="H326" s="32" t="e">
        <v>#N/A</v>
      </c>
      <c r="I326" s="39"/>
      <c r="J326" s="32">
        <v>0.0</v>
      </c>
      <c r="K326" s="33" t="e">
        <v>#N/A</v>
      </c>
      <c r="L326" s="32" t="e">
        <v>#N/A</v>
      </c>
      <c r="M326" s="32" t="e">
        <v>#N/A</v>
      </c>
      <c r="N326" s="32" t="e">
        <v>#N/A</v>
      </c>
      <c r="O326" s="32" t="e">
        <v>#N/A</v>
      </c>
      <c r="P326" s="32" t="e">
        <v>#REF!</v>
      </c>
      <c r="Q326" s="32" t="e">
        <v>#N/A</v>
      </c>
      <c r="R326" s="42" t="e">
        <v>#N/A</v>
      </c>
      <c r="S326" s="42" t="e">
        <v>#N/A</v>
      </c>
      <c r="T326" s="36">
        <v>7.0</v>
      </c>
      <c r="U326" s="36">
        <v>3.0</v>
      </c>
      <c r="V326" s="36">
        <v>7.0</v>
      </c>
      <c r="W326" s="36">
        <v>0.0</v>
      </c>
      <c r="X326" s="36">
        <v>0.0</v>
      </c>
      <c r="Y326" s="36">
        <v>17.0</v>
      </c>
    </row>
    <row r="327">
      <c r="A327" s="32" t="s">
        <v>2805</v>
      </c>
      <c r="B327" s="32" t="s">
        <v>2805</v>
      </c>
      <c r="C327" s="32">
        <v>0.0</v>
      </c>
      <c r="D327" s="32" t="e">
        <v>#N/A</v>
      </c>
      <c r="E327" s="39"/>
      <c r="F327" s="32" t="e">
        <v>#N/A</v>
      </c>
      <c r="G327" s="39"/>
      <c r="H327" s="32" t="e">
        <v>#N/A</v>
      </c>
      <c r="I327" s="39"/>
      <c r="J327" s="32">
        <v>0.0</v>
      </c>
      <c r="K327" s="33" t="e">
        <v>#N/A</v>
      </c>
      <c r="L327" s="32" t="e">
        <v>#N/A</v>
      </c>
      <c r="M327" s="32" t="e">
        <v>#N/A</v>
      </c>
      <c r="N327" s="32" t="e">
        <v>#N/A</v>
      </c>
      <c r="O327" s="32" t="e">
        <v>#N/A</v>
      </c>
      <c r="P327" s="32" t="e">
        <v>#REF!</v>
      </c>
      <c r="Q327" s="32" t="e">
        <v>#N/A</v>
      </c>
      <c r="R327" s="42" t="e">
        <v>#N/A</v>
      </c>
      <c r="S327" s="42" t="e">
        <v>#N/A</v>
      </c>
      <c r="T327" s="36">
        <v>0.0</v>
      </c>
      <c r="U327" s="36">
        <v>0.0</v>
      </c>
      <c r="V327" s="36">
        <v>16.0</v>
      </c>
      <c r="W327" s="36">
        <v>0.0</v>
      </c>
      <c r="X327" s="36">
        <v>0.0</v>
      </c>
      <c r="Y327" s="36">
        <v>16.0</v>
      </c>
    </row>
    <row r="328">
      <c r="A328" s="32" t="s">
        <v>2189</v>
      </c>
      <c r="B328" s="32" t="s">
        <v>2189</v>
      </c>
      <c r="C328" s="32" t="s">
        <v>2190</v>
      </c>
      <c r="D328" s="33" t="s">
        <v>2191</v>
      </c>
      <c r="E328" s="32" t="s">
        <v>5073</v>
      </c>
      <c r="F328" s="32" t="e">
        <v>#N/A</v>
      </c>
      <c r="G328" s="32" t="e">
        <v>#N/A</v>
      </c>
      <c r="H328" s="32" t="s">
        <v>2193</v>
      </c>
      <c r="I328" s="32" t="s">
        <v>5073</v>
      </c>
      <c r="J328" s="32" t="s">
        <v>2194</v>
      </c>
      <c r="K328" s="33" t="s">
        <v>2195</v>
      </c>
      <c r="L328" s="32" t="e">
        <v>#N/A</v>
      </c>
      <c r="M328" s="32" t="s">
        <v>2196</v>
      </c>
      <c r="N328" s="32" t="s">
        <v>5093</v>
      </c>
      <c r="O328" s="32" t="s">
        <v>52</v>
      </c>
      <c r="P328" s="32">
        <v>3999.0</v>
      </c>
      <c r="Q328" s="34">
        <v>2999.0</v>
      </c>
      <c r="R328" s="40">
        <v>2999.0</v>
      </c>
      <c r="S328" s="35">
        <v>2599.35</v>
      </c>
      <c r="T328" s="36">
        <v>3.0</v>
      </c>
      <c r="U328" s="36">
        <v>0.0</v>
      </c>
      <c r="V328" s="36">
        <v>11.0</v>
      </c>
      <c r="W328" s="36">
        <v>2.0</v>
      </c>
      <c r="X328" s="36">
        <v>0.0</v>
      </c>
      <c r="Y328" s="36">
        <v>16.0</v>
      </c>
    </row>
    <row r="329">
      <c r="A329" s="32" t="s">
        <v>887</v>
      </c>
      <c r="B329" s="32" t="s">
        <v>887</v>
      </c>
      <c r="C329" s="32" t="s">
        <v>888</v>
      </c>
      <c r="D329" s="32" t="s">
        <v>889</v>
      </c>
      <c r="E329" s="32" t="s">
        <v>5073</v>
      </c>
      <c r="F329" s="32" t="e">
        <v>#N/A</v>
      </c>
      <c r="G329" s="32" t="e">
        <v>#N/A</v>
      </c>
      <c r="H329" s="32">
        <v>0.0</v>
      </c>
      <c r="I329" s="32">
        <v>0.0</v>
      </c>
      <c r="J329" s="32" t="s">
        <v>890</v>
      </c>
      <c r="K329" s="33" t="s">
        <v>891</v>
      </c>
      <c r="L329" s="32">
        <v>3.199908E7</v>
      </c>
      <c r="M329" s="32" t="s">
        <v>892</v>
      </c>
      <c r="N329" s="32" t="s">
        <v>5108</v>
      </c>
      <c r="O329" s="32" t="s">
        <v>52</v>
      </c>
      <c r="P329" s="32">
        <v>13899.0</v>
      </c>
      <c r="Q329" s="34">
        <v>11675.0</v>
      </c>
      <c r="R329" s="40">
        <v>12499.0</v>
      </c>
      <c r="S329" s="35">
        <v>11119.2</v>
      </c>
      <c r="T329" s="36">
        <v>4.0</v>
      </c>
      <c r="U329" s="36">
        <v>0.0</v>
      </c>
      <c r="V329" s="36">
        <v>12.0</v>
      </c>
      <c r="W329" s="36">
        <v>0.0</v>
      </c>
      <c r="X329" s="36">
        <v>0.0</v>
      </c>
      <c r="Y329" s="36">
        <v>16.0</v>
      </c>
    </row>
    <row r="330">
      <c r="A330" s="32" t="s">
        <v>1042</v>
      </c>
      <c r="B330" s="32" t="s">
        <v>1042</v>
      </c>
      <c r="C330" s="32" t="s">
        <v>1043</v>
      </c>
      <c r="D330" s="32" t="s">
        <v>1044</v>
      </c>
      <c r="E330" s="32" t="s">
        <v>5073</v>
      </c>
      <c r="F330" s="32" t="e">
        <v>#N/A</v>
      </c>
      <c r="G330" s="32" t="e">
        <v>#N/A</v>
      </c>
      <c r="H330" s="32">
        <v>0.0</v>
      </c>
      <c r="I330" s="39"/>
      <c r="J330" s="32" t="s">
        <v>1045</v>
      </c>
      <c r="K330" s="33" t="s">
        <v>1046</v>
      </c>
      <c r="L330" s="32" t="e">
        <v>#N/A</v>
      </c>
      <c r="M330" s="32" t="e">
        <v>#N/A</v>
      </c>
      <c r="N330" s="32" t="s">
        <v>5108</v>
      </c>
      <c r="O330" s="32" t="s">
        <v>52</v>
      </c>
      <c r="P330" s="32">
        <v>22999.0</v>
      </c>
      <c r="Q330" s="34">
        <v>19319.0</v>
      </c>
      <c r="R330" s="40">
        <v>20699.0</v>
      </c>
      <c r="S330" s="35">
        <v>18399.2</v>
      </c>
      <c r="T330" s="36">
        <v>0.0</v>
      </c>
      <c r="U330" s="36">
        <v>0.0</v>
      </c>
      <c r="V330" s="36">
        <v>16.0</v>
      </c>
      <c r="W330" s="36">
        <v>0.0</v>
      </c>
      <c r="X330" s="36">
        <v>0.0</v>
      </c>
      <c r="Y330" s="36">
        <v>16.0</v>
      </c>
    </row>
    <row r="331">
      <c r="A331" s="32" t="s">
        <v>4235</v>
      </c>
      <c r="B331" s="32" t="s">
        <v>4235</v>
      </c>
      <c r="C331" s="32" t="s">
        <v>4236</v>
      </c>
      <c r="D331" s="32" t="s">
        <v>4237</v>
      </c>
      <c r="E331" s="32" t="s">
        <v>5073</v>
      </c>
      <c r="F331" s="32" t="e">
        <v>#N/A</v>
      </c>
      <c r="G331" s="38"/>
      <c r="H331" s="32">
        <v>0.0</v>
      </c>
      <c r="I331" s="39"/>
      <c r="J331" s="32" t="s">
        <v>4238</v>
      </c>
      <c r="K331" s="33" t="s">
        <v>4239</v>
      </c>
      <c r="L331" s="32" t="e">
        <v>#N/A</v>
      </c>
      <c r="M331" s="32" t="s">
        <v>4240</v>
      </c>
      <c r="N331" s="32" t="s">
        <v>5118</v>
      </c>
      <c r="O331" s="32" t="s">
        <v>52</v>
      </c>
      <c r="P331" s="32">
        <v>20699.0</v>
      </c>
      <c r="Q331" s="34">
        <v>18629.0</v>
      </c>
      <c r="R331" s="40">
        <v>19899.0</v>
      </c>
      <c r="S331" s="35">
        <v>18215.34</v>
      </c>
      <c r="T331" s="36">
        <v>0.0</v>
      </c>
      <c r="U331" s="36">
        <v>0.0</v>
      </c>
      <c r="V331" s="36">
        <v>16.0</v>
      </c>
      <c r="W331" s="36">
        <v>0.0</v>
      </c>
      <c r="X331" s="36">
        <v>0.0</v>
      </c>
      <c r="Y331" s="36">
        <v>16.0</v>
      </c>
    </row>
    <row r="332">
      <c r="A332" s="32" t="s">
        <v>4481</v>
      </c>
      <c r="B332" s="32" t="s">
        <v>4481</v>
      </c>
      <c r="C332" s="32" t="s">
        <v>4482</v>
      </c>
      <c r="D332" s="32" t="s">
        <v>4483</v>
      </c>
      <c r="E332" s="32" t="s">
        <v>5102</v>
      </c>
      <c r="F332" s="32" t="e">
        <v>#N/A</v>
      </c>
      <c r="G332" s="39"/>
      <c r="H332" s="32">
        <v>0.0</v>
      </c>
      <c r="I332" s="39"/>
      <c r="J332" s="32" t="s">
        <v>4484</v>
      </c>
      <c r="K332" s="33" t="s">
        <v>4485</v>
      </c>
      <c r="L332" s="32" t="e">
        <v>#N/A</v>
      </c>
      <c r="M332" s="32" t="e">
        <v>#N/A</v>
      </c>
      <c r="N332" s="32" t="s">
        <v>5077</v>
      </c>
      <c r="O332" s="32" t="s">
        <v>4730</v>
      </c>
      <c r="P332" s="32">
        <v>1199.0</v>
      </c>
      <c r="Q332" s="34">
        <v>1139.0</v>
      </c>
      <c r="R332" s="40">
        <v>1139.0</v>
      </c>
      <c r="S332" s="35">
        <v>1079.1</v>
      </c>
      <c r="T332" s="36">
        <v>0.0</v>
      </c>
      <c r="U332" s="36">
        <v>0.0</v>
      </c>
      <c r="V332" s="36">
        <v>10.0</v>
      </c>
      <c r="W332" s="36">
        <v>0.0</v>
      </c>
      <c r="X332" s="36">
        <v>6.0</v>
      </c>
      <c r="Y332" s="36">
        <v>16.0</v>
      </c>
    </row>
    <row r="333">
      <c r="A333" s="32" t="s">
        <v>4506</v>
      </c>
      <c r="B333" s="32" t="s">
        <v>4506</v>
      </c>
      <c r="C333" s="32" t="s">
        <v>4507</v>
      </c>
      <c r="D333" s="32" t="s">
        <v>4508</v>
      </c>
      <c r="E333" s="32" t="s">
        <v>5073</v>
      </c>
      <c r="F333" s="32" t="e">
        <v>#N/A</v>
      </c>
      <c r="G333" s="39"/>
      <c r="H333" s="32">
        <v>0.0</v>
      </c>
      <c r="I333" s="39"/>
      <c r="J333" s="32" t="s">
        <v>4509</v>
      </c>
      <c r="K333" s="33" t="s">
        <v>4510</v>
      </c>
      <c r="L333" s="32" t="e">
        <v>#N/A</v>
      </c>
      <c r="M333" s="32" t="e">
        <v>#N/A</v>
      </c>
      <c r="N333" s="32" t="s">
        <v>5077</v>
      </c>
      <c r="O333" s="32" t="s">
        <v>4730</v>
      </c>
      <c r="P333" s="32">
        <v>1199.0</v>
      </c>
      <c r="Q333" s="34">
        <v>1139.0</v>
      </c>
      <c r="R333" s="40">
        <v>1139.0</v>
      </c>
      <c r="S333" s="35">
        <v>1079.1</v>
      </c>
      <c r="T333" s="36">
        <v>5.0</v>
      </c>
      <c r="U333" s="36">
        <v>1.0</v>
      </c>
      <c r="V333" s="36">
        <v>8.0</v>
      </c>
      <c r="W333" s="36">
        <v>0.0</v>
      </c>
      <c r="X333" s="36">
        <v>2.0</v>
      </c>
      <c r="Y333" s="36">
        <v>16.0</v>
      </c>
    </row>
    <row r="334">
      <c r="A334" s="32" t="s">
        <v>4581</v>
      </c>
      <c r="B334" s="32" t="s">
        <v>4581</v>
      </c>
      <c r="C334" s="32" t="s">
        <v>4582</v>
      </c>
      <c r="D334" s="32" t="s">
        <v>4583</v>
      </c>
      <c r="E334" s="32" t="s">
        <v>5073</v>
      </c>
      <c r="F334" s="32" t="e">
        <v>#N/A</v>
      </c>
      <c r="G334" s="39"/>
      <c r="H334" s="32">
        <v>0.0</v>
      </c>
      <c r="I334" s="39"/>
      <c r="J334" s="32" t="s">
        <v>4584</v>
      </c>
      <c r="K334" s="33" t="s">
        <v>4585</v>
      </c>
      <c r="L334" s="32" t="e">
        <v>#N/A</v>
      </c>
      <c r="M334" s="32" t="e">
        <v>#N/A</v>
      </c>
      <c r="N334" s="32" t="s">
        <v>5077</v>
      </c>
      <c r="O334" s="32" t="s">
        <v>4730</v>
      </c>
      <c r="P334" s="32">
        <v>1599.0</v>
      </c>
      <c r="Q334" s="34">
        <v>1519.0</v>
      </c>
      <c r="R334" s="40">
        <v>1519.0</v>
      </c>
      <c r="S334" s="35">
        <v>1439.1</v>
      </c>
      <c r="T334" s="36">
        <v>6.0</v>
      </c>
      <c r="U334" s="36">
        <v>0.0</v>
      </c>
      <c r="V334" s="36">
        <v>7.0</v>
      </c>
      <c r="W334" s="36">
        <v>0.0</v>
      </c>
      <c r="X334" s="36">
        <v>3.0</v>
      </c>
      <c r="Y334" s="36">
        <v>16.0</v>
      </c>
    </row>
    <row r="335">
      <c r="A335" s="32" t="s">
        <v>4984</v>
      </c>
      <c r="B335" s="32" t="s">
        <v>4984</v>
      </c>
      <c r="C335" s="32" t="s">
        <v>4985</v>
      </c>
      <c r="D335" s="32" t="s">
        <v>4986</v>
      </c>
      <c r="E335" s="32" t="s">
        <v>5102</v>
      </c>
      <c r="F335" s="38"/>
      <c r="G335" s="38"/>
      <c r="H335" s="38"/>
      <c r="I335" s="38"/>
      <c r="J335" s="32" t="s">
        <v>4987</v>
      </c>
      <c r="K335" s="38"/>
      <c r="L335" s="38"/>
      <c r="M335" s="38"/>
      <c r="N335" s="32" t="s">
        <v>5077</v>
      </c>
      <c r="O335" s="32" t="s">
        <v>4730</v>
      </c>
      <c r="P335" s="32">
        <v>1599.0</v>
      </c>
      <c r="Q335" s="44">
        <v>1519.0</v>
      </c>
      <c r="R335" s="40">
        <v>1519.0</v>
      </c>
      <c r="S335" s="35">
        <v>1439.1</v>
      </c>
      <c r="T335" s="36">
        <v>10.0</v>
      </c>
      <c r="U335" s="36">
        <v>0.0</v>
      </c>
      <c r="V335" s="36">
        <v>6.0</v>
      </c>
      <c r="W335" s="36">
        <v>0.0</v>
      </c>
      <c r="X335" s="36">
        <v>0.0</v>
      </c>
      <c r="Y335" s="36">
        <v>16.0</v>
      </c>
    </row>
    <row r="336">
      <c r="A336" s="32" t="s">
        <v>112</v>
      </c>
      <c r="B336" s="32" t="s">
        <v>112</v>
      </c>
      <c r="C336" s="32" t="s">
        <v>113</v>
      </c>
      <c r="D336" s="32" t="s">
        <v>114</v>
      </c>
      <c r="E336" s="32" t="s">
        <v>5073</v>
      </c>
      <c r="F336" s="32" t="e">
        <v>#N/A</v>
      </c>
      <c r="G336" s="39"/>
      <c r="H336" s="32">
        <v>0.0</v>
      </c>
      <c r="I336" s="39"/>
      <c r="J336" s="32" t="s">
        <v>115</v>
      </c>
      <c r="K336" s="33" t="s">
        <v>116</v>
      </c>
      <c r="L336" s="32" t="e">
        <v>#N/A</v>
      </c>
      <c r="M336" s="32" t="e">
        <v>#N/A</v>
      </c>
      <c r="N336" s="32" t="s">
        <v>51</v>
      </c>
      <c r="O336" s="32" t="s">
        <v>52</v>
      </c>
      <c r="P336" s="32">
        <v>9019.0</v>
      </c>
      <c r="Q336" s="34">
        <v>7305.0</v>
      </c>
      <c r="R336" s="40">
        <v>7799.0</v>
      </c>
      <c r="S336" s="35">
        <v>6854.44</v>
      </c>
      <c r="T336" s="36">
        <v>5.0</v>
      </c>
      <c r="U336" s="36">
        <v>1.0</v>
      </c>
      <c r="V336" s="36">
        <v>6.0</v>
      </c>
      <c r="W336" s="36">
        <v>1.0</v>
      </c>
      <c r="X336" s="36">
        <v>3.0</v>
      </c>
      <c r="Y336" s="36">
        <v>16.0</v>
      </c>
    </row>
    <row r="337">
      <c r="A337" s="32" t="s">
        <v>1815</v>
      </c>
      <c r="B337" s="32" t="s">
        <v>1815</v>
      </c>
      <c r="C337" s="32" t="s">
        <v>1816</v>
      </c>
      <c r="D337" s="32" t="s">
        <v>1817</v>
      </c>
      <c r="E337" s="32" t="s">
        <v>5073</v>
      </c>
      <c r="F337" s="32" t="e">
        <v>#N/A</v>
      </c>
      <c r="G337" s="39"/>
      <c r="H337" s="32" t="s">
        <v>1818</v>
      </c>
      <c r="I337" s="32" t="s">
        <v>5073</v>
      </c>
      <c r="J337" s="32" t="s">
        <v>1819</v>
      </c>
      <c r="K337" s="33" t="s">
        <v>1820</v>
      </c>
      <c r="L337" s="32">
        <v>3.2783808E7</v>
      </c>
      <c r="M337" s="32" t="s">
        <v>1821</v>
      </c>
      <c r="N337" s="32" t="s">
        <v>5109</v>
      </c>
      <c r="O337" s="32" t="s">
        <v>52</v>
      </c>
      <c r="P337" s="32">
        <v>34999.0</v>
      </c>
      <c r="Q337" s="34">
        <v>31499.0</v>
      </c>
      <c r="R337" s="40">
        <v>33199.0</v>
      </c>
      <c r="S337" s="35">
        <v>29399.16</v>
      </c>
      <c r="T337" s="36">
        <v>4.0</v>
      </c>
      <c r="U337" s="36">
        <v>1.0</v>
      </c>
      <c r="V337" s="36">
        <v>10.0</v>
      </c>
      <c r="W337" s="36">
        <v>1.0</v>
      </c>
      <c r="X337" s="36">
        <v>0.0</v>
      </c>
      <c r="Y337" s="36">
        <v>16.0</v>
      </c>
    </row>
    <row r="338">
      <c r="A338" s="32" t="s">
        <v>1520</v>
      </c>
      <c r="B338" s="32" t="s">
        <v>1520</v>
      </c>
      <c r="C338" s="32" t="s">
        <v>1521</v>
      </c>
      <c r="D338" s="32" t="s">
        <v>1522</v>
      </c>
      <c r="E338" s="32" t="s">
        <v>5073</v>
      </c>
      <c r="F338" s="32" t="e">
        <v>#N/A</v>
      </c>
      <c r="G338" s="39"/>
      <c r="H338" s="32" t="s">
        <v>1520</v>
      </c>
      <c r="I338" s="32" t="s">
        <v>5073</v>
      </c>
      <c r="J338" s="32" t="s">
        <v>1520</v>
      </c>
      <c r="K338" s="33" t="s">
        <v>1523</v>
      </c>
      <c r="L338" s="32">
        <v>3.2784184E7</v>
      </c>
      <c r="M338" s="32" t="s">
        <v>1524</v>
      </c>
      <c r="N338" s="32" t="s">
        <v>5112</v>
      </c>
      <c r="O338" s="32" t="s">
        <v>52</v>
      </c>
      <c r="P338" s="32">
        <v>13999.0</v>
      </c>
      <c r="Q338" s="34">
        <v>12599.0</v>
      </c>
      <c r="R338" s="40">
        <v>13299.0</v>
      </c>
      <c r="S338" s="35">
        <v>10779.23</v>
      </c>
      <c r="T338" s="36">
        <v>9.0</v>
      </c>
      <c r="U338" s="36">
        <v>0.0</v>
      </c>
      <c r="V338" s="36">
        <v>7.0</v>
      </c>
      <c r="W338" s="36">
        <v>0.0</v>
      </c>
      <c r="X338" s="36">
        <v>0.0</v>
      </c>
      <c r="Y338" s="36">
        <v>16.0</v>
      </c>
    </row>
    <row r="339">
      <c r="A339" s="32" t="s">
        <v>3020</v>
      </c>
      <c r="B339" s="32" t="s">
        <v>3020</v>
      </c>
      <c r="C339" s="32" t="s">
        <v>3021</v>
      </c>
      <c r="D339" s="32" t="s">
        <v>3022</v>
      </c>
      <c r="E339" s="32" t="s">
        <v>5073</v>
      </c>
      <c r="F339" s="32" t="e">
        <v>#N/A</v>
      </c>
      <c r="G339" s="39"/>
      <c r="H339" s="32" t="s">
        <v>3023</v>
      </c>
      <c r="I339" s="32" t="s">
        <v>5073</v>
      </c>
      <c r="J339" s="32" t="s">
        <v>3024</v>
      </c>
      <c r="K339" s="33" t="s">
        <v>3025</v>
      </c>
      <c r="L339" s="32" t="e">
        <v>#N/A</v>
      </c>
      <c r="M339" s="32" t="e">
        <v>#N/A</v>
      </c>
      <c r="N339" s="32" t="s">
        <v>5127</v>
      </c>
      <c r="O339" s="32" t="s">
        <v>4730</v>
      </c>
      <c r="P339" s="32">
        <v>2089.0</v>
      </c>
      <c r="Q339" s="34">
        <v>1899.0</v>
      </c>
      <c r="R339" s="40">
        <v>1899.0</v>
      </c>
      <c r="S339" s="35">
        <v>1799.0</v>
      </c>
      <c r="T339" s="36">
        <v>0.0</v>
      </c>
      <c r="U339" s="36">
        <v>0.0</v>
      </c>
      <c r="V339" s="36">
        <v>16.0</v>
      </c>
      <c r="W339" s="36">
        <v>0.0</v>
      </c>
      <c r="X339" s="36">
        <v>0.0</v>
      </c>
      <c r="Y339" s="36">
        <v>16.0</v>
      </c>
    </row>
    <row r="340">
      <c r="A340" s="32" t="s">
        <v>4458</v>
      </c>
      <c r="B340" s="32" t="s">
        <v>4458</v>
      </c>
      <c r="C340" s="32">
        <v>0.0</v>
      </c>
      <c r="D340" s="32" t="e">
        <v>#N/A</v>
      </c>
      <c r="E340" s="39"/>
      <c r="F340" s="32" t="e">
        <v>#N/A</v>
      </c>
      <c r="G340" s="39"/>
      <c r="H340" s="32">
        <v>0.0</v>
      </c>
      <c r="I340" s="39"/>
      <c r="J340" s="32" t="s">
        <v>4460</v>
      </c>
      <c r="K340" s="33" t="e">
        <v>#N/A</v>
      </c>
      <c r="L340" s="32" t="e">
        <v>#N/A</v>
      </c>
      <c r="M340" s="32" t="e">
        <v>#N/A</v>
      </c>
      <c r="N340" s="32" t="s">
        <v>5077</v>
      </c>
      <c r="O340" s="32" t="s">
        <v>4730</v>
      </c>
      <c r="P340" s="32">
        <v>999.0</v>
      </c>
      <c r="Q340" s="34">
        <v>949.0</v>
      </c>
      <c r="R340" s="35">
        <v>949.0</v>
      </c>
      <c r="S340" s="35">
        <v>899.1</v>
      </c>
      <c r="T340" s="36">
        <v>2.0</v>
      </c>
      <c r="U340" s="36">
        <v>0.0</v>
      </c>
      <c r="V340" s="36">
        <v>13.0</v>
      </c>
      <c r="W340" s="36">
        <v>0.0</v>
      </c>
      <c r="X340" s="36">
        <v>0.0</v>
      </c>
      <c r="Y340" s="36">
        <v>15.0</v>
      </c>
    </row>
    <row r="341">
      <c r="A341" s="32" t="s">
        <v>998</v>
      </c>
      <c r="B341" s="32" t="s">
        <v>998</v>
      </c>
      <c r="C341" s="32" t="s">
        <v>999</v>
      </c>
      <c r="D341" s="32" t="s">
        <v>1000</v>
      </c>
      <c r="E341" s="32" t="s">
        <v>5102</v>
      </c>
      <c r="F341" s="32" t="e">
        <v>#N/A</v>
      </c>
      <c r="G341" s="32" t="e">
        <v>#N/A</v>
      </c>
      <c r="H341" s="32" t="s">
        <v>1001</v>
      </c>
      <c r="I341" s="32" t="s">
        <v>5117</v>
      </c>
      <c r="J341" s="32" t="s">
        <v>1002</v>
      </c>
      <c r="K341" s="33" t="s">
        <v>1003</v>
      </c>
      <c r="L341" s="32" t="e">
        <v>#N/A</v>
      </c>
      <c r="M341" s="32" t="e">
        <v>#N/A</v>
      </c>
      <c r="N341" s="32" t="s">
        <v>5108</v>
      </c>
      <c r="O341" s="32" t="s">
        <v>52</v>
      </c>
      <c r="P341" s="32">
        <v>19999.0</v>
      </c>
      <c r="Q341" s="34">
        <v>16799.0</v>
      </c>
      <c r="R341" s="40">
        <v>17999.0</v>
      </c>
      <c r="S341" s="35">
        <v>15999.2</v>
      </c>
      <c r="T341" s="36">
        <v>0.0</v>
      </c>
      <c r="U341" s="36">
        <v>0.0</v>
      </c>
      <c r="V341" s="36">
        <v>15.0</v>
      </c>
      <c r="W341" s="36">
        <v>0.0</v>
      </c>
      <c r="X341" s="36">
        <v>0.0</v>
      </c>
      <c r="Y341" s="36">
        <v>15.0</v>
      </c>
    </row>
    <row r="342">
      <c r="A342" s="32" t="s">
        <v>4207</v>
      </c>
      <c r="B342" s="32" t="s">
        <v>4207</v>
      </c>
      <c r="C342" s="32" t="s">
        <v>4208</v>
      </c>
      <c r="D342" s="32" t="s">
        <v>4209</v>
      </c>
      <c r="E342" s="32" t="s">
        <v>5073</v>
      </c>
      <c r="F342" s="32" t="e">
        <v>#N/A</v>
      </c>
      <c r="G342" s="38"/>
      <c r="H342" s="32">
        <v>0.0</v>
      </c>
      <c r="I342" s="39"/>
      <c r="J342" s="32" t="s">
        <v>4210</v>
      </c>
      <c r="K342" s="33" t="s">
        <v>4211</v>
      </c>
      <c r="L342" s="32" t="e">
        <v>#N/A</v>
      </c>
      <c r="M342" s="32" t="s">
        <v>4212</v>
      </c>
      <c r="N342" s="32" t="s">
        <v>5118</v>
      </c>
      <c r="O342" s="32" t="s">
        <v>52</v>
      </c>
      <c r="P342" s="32">
        <v>18199.0</v>
      </c>
      <c r="Q342" s="34">
        <v>16379.0</v>
      </c>
      <c r="R342" s="40">
        <v>17499.0</v>
      </c>
      <c r="S342" s="35">
        <v>16037.34</v>
      </c>
      <c r="T342" s="36">
        <v>0.0</v>
      </c>
      <c r="U342" s="36">
        <v>0.0</v>
      </c>
      <c r="V342" s="36">
        <v>15.0</v>
      </c>
      <c r="W342" s="36">
        <v>0.0</v>
      </c>
      <c r="X342" s="36">
        <v>0.0</v>
      </c>
      <c r="Y342" s="36">
        <v>15.0</v>
      </c>
    </row>
    <row r="343">
      <c r="A343" s="32" t="s">
        <v>4296</v>
      </c>
      <c r="B343" s="32" t="s">
        <v>4296</v>
      </c>
      <c r="C343" s="32" t="s">
        <v>4297</v>
      </c>
      <c r="D343" s="32" t="s">
        <v>4298</v>
      </c>
      <c r="E343" s="32" t="s">
        <v>5073</v>
      </c>
      <c r="F343" s="32" t="e">
        <v>#N/A</v>
      </c>
      <c r="G343" s="38"/>
      <c r="H343" s="32">
        <v>0.0</v>
      </c>
      <c r="I343" s="39"/>
      <c r="J343" s="32" t="s">
        <v>4299</v>
      </c>
      <c r="K343" s="33" t="s">
        <v>4300</v>
      </c>
      <c r="L343" s="32" t="e">
        <v>#N/A</v>
      </c>
      <c r="M343" s="32" t="s">
        <v>4301</v>
      </c>
      <c r="N343" s="32" t="s">
        <v>5118</v>
      </c>
      <c r="O343" s="32" t="s">
        <v>52</v>
      </c>
      <c r="P343" s="32">
        <v>13199.0</v>
      </c>
      <c r="Q343" s="34">
        <v>11879.0</v>
      </c>
      <c r="R343" s="40">
        <v>12699.0</v>
      </c>
      <c r="S343" s="35">
        <v>11615.34</v>
      </c>
      <c r="T343" s="36">
        <v>1.0</v>
      </c>
      <c r="U343" s="36">
        <v>0.0</v>
      </c>
      <c r="V343" s="36">
        <v>9.0</v>
      </c>
      <c r="W343" s="36">
        <v>3.0</v>
      </c>
      <c r="X343" s="36">
        <v>2.0</v>
      </c>
      <c r="Y343" s="36">
        <v>15.0</v>
      </c>
    </row>
    <row r="344">
      <c r="A344" s="32" t="s">
        <v>4120</v>
      </c>
      <c r="B344" s="32" t="s">
        <v>4120</v>
      </c>
      <c r="C344" s="32" t="s">
        <v>4121</v>
      </c>
      <c r="D344" s="32" t="s">
        <v>4122</v>
      </c>
      <c r="E344" s="32" t="s">
        <v>5073</v>
      </c>
      <c r="F344" s="32" t="e">
        <v>#N/A</v>
      </c>
      <c r="G344" s="38"/>
      <c r="H344" s="32">
        <v>0.0</v>
      </c>
      <c r="I344" s="39"/>
      <c r="J344" s="32" t="s">
        <v>4123</v>
      </c>
      <c r="K344" s="33" t="s">
        <v>4124</v>
      </c>
      <c r="L344" s="32" t="e">
        <v>#N/A</v>
      </c>
      <c r="M344" s="32" t="s">
        <v>4125</v>
      </c>
      <c r="N344" s="32" t="s">
        <v>5118</v>
      </c>
      <c r="O344" s="32" t="s">
        <v>52</v>
      </c>
      <c r="P344" s="32">
        <v>14999.0</v>
      </c>
      <c r="Q344" s="34">
        <v>13499.0</v>
      </c>
      <c r="R344" s="40">
        <v>14399.0</v>
      </c>
      <c r="S344" s="35">
        <v>13199.34</v>
      </c>
      <c r="T344" s="36">
        <v>0.0</v>
      </c>
      <c r="U344" s="36">
        <v>0.0</v>
      </c>
      <c r="V344" s="36">
        <v>0.0</v>
      </c>
      <c r="W344" s="36">
        <v>10.0</v>
      </c>
      <c r="X344" s="36">
        <v>5.0</v>
      </c>
      <c r="Y344" s="36">
        <v>15.0</v>
      </c>
    </row>
    <row r="345">
      <c r="A345" s="32" t="s">
        <v>3008</v>
      </c>
      <c r="B345" s="32" t="s">
        <v>3008</v>
      </c>
      <c r="C345" s="32" t="s">
        <v>3009</v>
      </c>
      <c r="D345" s="32" t="s">
        <v>3010</v>
      </c>
      <c r="E345" s="32" t="s">
        <v>5073</v>
      </c>
      <c r="F345" s="32" t="e">
        <v>#N/A</v>
      </c>
      <c r="G345" s="38"/>
      <c r="H345" s="32" t="s">
        <v>3011</v>
      </c>
      <c r="I345" s="32" t="s">
        <v>5073</v>
      </c>
      <c r="J345" s="32" t="s">
        <v>3012</v>
      </c>
      <c r="K345" s="33" t="s">
        <v>3013</v>
      </c>
      <c r="L345" s="32" t="e">
        <v>#N/A</v>
      </c>
      <c r="M345" s="32" t="e">
        <v>#N/A</v>
      </c>
      <c r="N345" s="32" t="s">
        <v>5131</v>
      </c>
      <c r="O345" s="32" t="s">
        <v>4730</v>
      </c>
      <c r="P345" s="32">
        <v>2089.0</v>
      </c>
      <c r="Q345" s="34">
        <v>1799.0</v>
      </c>
      <c r="R345" s="40">
        <v>1799.0</v>
      </c>
      <c r="S345" s="35">
        <v>1699.0</v>
      </c>
      <c r="T345" s="36">
        <v>0.0</v>
      </c>
      <c r="U345" s="36">
        <v>0.0</v>
      </c>
      <c r="V345" s="36">
        <v>15.0</v>
      </c>
      <c r="W345" s="36">
        <v>0.0</v>
      </c>
      <c r="X345" s="36">
        <v>0.0</v>
      </c>
      <c r="Y345" s="36">
        <v>15.0</v>
      </c>
    </row>
    <row r="346">
      <c r="A346" s="32" t="s">
        <v>2012</v>
      </c>
      <c r="B346" s="32" t="s">
        <v>2012</v>
      </c>
      <c r="C346" s="32" t="s">
        <v>2013</v>
      </c>
      <c r="D346" s="32" t="s">
        <v>2014</v>
      </c>
      <c r="E346" s="32" t="s">
        <v>5073</v>
      </c>
      <c r="F346" s="32" t="e">
        <v>#N/A</v>
      </c>
      <c r="G346" s="38"/>
      <c r="H346" s="32" t="s">
        <v>2015</v>
      </c>
      <c r="I346" s="32" t="s">
        <v>5073</v>
      </c>
      <c r="J346" s="32" t="s">
        <v>2016</v>
      </c>
      <c r="K346" s="33" t="s">
        <v>2017</v>
      </c>
      <c r="L346" s="32" t="e">
        <v>#N/A</v>
      </c>
      <c r="M346" s="32" t="e">
        <v>#N/A</v>
      </c>
      <c r="N346" s="32" t="s">
        <v>5132</v>
      </c>
      <c r="O346" s="32" t="s">
        <v>4730</v>
      </c>
      <c r="P346" s="32">
        <v>7499.0</v>
      </c>
      <c r="Q346" s="34">
        <v>5619.0</v>
      </c>
      <c r="R346" s="40">
        <v>6399.0</v>
      </c>
      <c r="S346" s="35">
        <v>5249.3</v>
      </c>
      <c r="T346" s="36">
        <v>10.0</v>
      </c>
      <c r="U346" s="36">
        <v>3.0</v>
      </c>
      <c r="V346" s="36">
        <v>0.0</v>
      </c>
      <c r="W346" s="36">
        <v>0.0</v>
      </c>
      <c r="X346" s="36">
        <v>2.0</v>
      </c>
      <c r="Y346" s="36">
        <v>15.0</v>
      </c>
    </row>
    <row r="347">
      <c r="A347" s="32" t="s">
        <v>2000</v>
      </c>
      <c r="B347" s="32" t="s">
        <v>2000</v>
      </c>
      <c r="C347" s="32" t="s">
        <v>2001</v>
      </c>
      <c r="D347" s="32" t="s">
        <v>2002</v>
      </c>
      <c r="E347" s="32" t="s">
        <v>5073</v>
      </c>
      <c r="F347" s="32" t="s">
        <v>2003</v>
      </c>
      <c r="G347" s="32" t="s">
        <v>5102</v>
      </c>
      <c r="H347" s="32" t="s">
        <v>2004</v>
      </c>
      <c r="I347" s="32" t="s">
        <v>5073</v>
      </c>
      <c r="J347" s="32" t="s">
        <v>2005</v>
      </c>
      <c r="K347" s="33" t="s">
        <v>2006</v>
      </c>
      <c r="L347" s="32" t="e">
        <v>#N/A</v>
      </c>
      <c r="M347" s="32" t="e">
        <v>#N/A</v>
      </c>
      <c r="N347" s="32" t="s">
        <v>5132</v>
      </c>
      <c r="O347" s="32" t="s">
        <v>4730</v>
      </c>
      <c r="P347" s="32">
        <v>6999.0</v>
      </c>
      <c r="Q347" s="34">
        <v>5239.0</v>
      </c>
      <c r="R347" s="40">
        <v>5999.0</v>
      </c>
      <c r="S347" s="35">
        <v>4899.3</v>
      </c>
      <c r="T347" s="36">
        <v>2.0</v>
      </c>
      <c r="U347" s="36">
        <v>2.0</v>
      </c>
      <c r="V347" s="36">
        <v>10.0</v>
      </c>
      <c r="W347" s="36">
        <v>0.0</v>
      </c>
      <c r="X347" s="36">
        <v>1.0</v>
      </c>
      <c r="Y347" s="36">
        <v>15.0</v>
      </c>
    </row>
    <row r="348">
      <c r="A348" s="32" t="s">
        <v>1419</v>
      </c>
      <c r="B348" s="32" t="s">
        <v>1419</v>
      </c>
      <c r="C348" s="32" t="s">
        <v>1420</v>
      </c>
      <c r="D348" s="32" t="s">
        <v>1421</v>
      </c>
      <c r="E348" s="32" t="s">
        <v>5073</v>
      </c>
      <c r="F348" s="32" t="e">
        <v>#N/A</v>
      </c>
      <c r="G348" s="39"/>
      <c r="H348" s="32" t="s">
        <v>1422</v>
      </c>
      <c r="I348" s="32" t="s">
        <v>5073</v>
      </c>
      <c r="J348" s="32" t="s">
        <v>1423</v>
      </c>
      <c r="K348" s="33" t="s">
        <v>1424</v>
      </c>
      <c r="L348" s="32">
        <v>3.1818468E7</v>
      </c>
      <c r="M348" s="32" t="e">
        <v>#N/A</v>
      </c>
      <c r="N348" s="32" t="s">
        <v>5089</v>
      </c>
      <c r="O348" s="32" t="s">
        <v>4730</v>
      </c>
      <c r="P348" s="32">
        <v>2999.0</v>
      </c>
      <c r="Q348" s="34">
        <v>2449.0</v>
      </c>
      <c r="R348" s="40">
        <v>2449.0</v>
      </c>
      <c r="S348" s="35">
        <v>2399.2</v>
      </c>
      <c r="T348" s="36">
        <v>0.0</v>
      </c>
      <c r="U348" s="36">
        <v>0.0</v>
      </c>
      <c r="V348" s="36">
        <v>15.0</v>
      </c>
      <c r="W348" s="36">
        <v>0.0</v>
      </c>
      <c r="X348" s="36">
        <v>0.0</v>
      </c>
      <c r="Y348" s="36">
        <v>15.0</v>
      </c>
    </row>
    <row r="349">
      <c r="A349" s="32" t="s">
        <v>1369</v>
      </c>
      <c r="B349" s="32" t="s">
        <v>1369</v>
      </c>
      <c r="C349" s="32" t="s">
        <v>1370</v>
      </c>
      <c r="D349" s="32" t="s">
        <v>1371</v>
      </c>
      <c r="E349" s="32" t="s">
        <v>5073</v>
      </c>
      <c r="F349" s="32" t="e">
        <v>#N/A</v>
      </c>
      <c r="G349" s="39"/>
      <c r="H349" s="32" t="s">
        <v>1372</v>
      </c>
      <c r="I349" s="32" t="s">
        <v>5073</v>
      </c>
      <c r="J349" s="32" t="s">
        <v>1373</v>
      </c>
      <c r="K349" s="33" t="s">
        <v>1374</v>
      </c>
      <c r="L349" s="32">
        <v>3.1818358E7</v>
      </c>
      <c r="M349" s="32" t="e">
        <v>#N/A</v>
      </c>
      <c r="N349" s="32" t="s">
        <v>5089</v>
      </c>
      <c r="O349" s="32" t="s">
        <v>4730</v>
      </c>
      <c r="P349" s="32">
        <v>2649.0</v>
      </c>
      <c r="Q349" s="34">
        <v>2164.0</v>
      </c>
      <c r="R349" s="40">
        <v>2199.0</v>
      </c>
      <c r="S349" s="35">
        <v>2119.2</v>
      </c>
      <c r="T349" s="36">
        <v>0.0</v>
      </c>
      <c r="U349" s="36">
        <v>0.0</v>
      </c>
      <c r="V349" s="36">
        <v>15.0</v>
      </c>
      <c r="W349" s="36">
        <v>0.0</v>
      </c>
      <c r="X349" s="36">
        <v>0.0</v>
      </c>
      <c r="Y349" s="36">
        <v>15.0</v>
      </c>
    </row>
    <row r="350">
      <c r="A350" s="32" t="s">
        <v>2728</v>
      </c>
      <c r="B350" s="32" t="s">
        <v>2728</v>
      </c>
      <c r="C350" s="32" t="s">
        <v>2729</v>
      </c>
      <c r="D350" s="32" t="s">
        <v>2730</v>
      </c>
      <c r="E350" s="32" t="s">
        <v>5073</v>
      </c>
      <c r="F350" s="32" t="e">
        <v>#N/A</v>
      </c>
      <c r="G350" s="39"/>
      <c r="H350" s="32" t="s">
        <v>2728</v>
      </c>
      <c r="I350" s="32" t="s">
        <v>5073</v>
      </c>
      <c r="J350" s="32" t="s">
        <v>2731</v>
      </c>
      <c r="K350" s="33" t="s">
        <v>2732</v>
      </c>
      <c r="L350" s="32">
        <v>3.1818403E7</v>
      </c>
      <c r="M350" s="32" t="e">
        <v>#N/A</v>
      </c>
      <c r="N350" s="32" t="s">
        <v>5107</v>
      </c>
      <c r="O350" s="32" t="s">
        <v>4730</v>
      </c>
      <c r="P350" s="32">
        <v>1989.0</v>
      </c>
      <c r="Q350" s="34">
        <v>1628.0</v>
      </c>
      <c r="R350" s="40">
        <v>1628.0</v>
      </c>
      <c r="S350" s="35">
        <v>1491.75</v>
      </c>
      <c r="T350" s="36">
        <v>2.0</v>
      </c>
      <c r="U350" s="36">
        <v>0.0</v>
      </c>
      <c r="V350" s="36">
        <v>13.0</v>
      </c>
      <c r="W350" s="36">
        <v>0.0</v>
      </c>
      <c r="X350" s="36">
        <v>0.0</v>
      </c>
      <c r="Y350" s="36">
        <v>15.0</v>
      </c>
    </row>
    <row r="351">
      <c r="A351" s="32" t="s">
        <v>1874</v>
      </c>
      <c r="B351" s="32" t="s">
        <v>1874</v>
      </c>
      <c r="C351" s="32" t="s">
        <v>1875</v>
      </c>
      <c r="D351" s="32" t="s">
        <v>1876</v>
      </c>
      <c r="E351" s="32" t="s">
        <v>5073</v>
      </c>
      <c r="F351" s="32" t="e">
        <v>#N/A</v>
      </c>
      <c r="G351" s="39"/>
      <c r="H351" s="32" t="s">
        <v>1877</v>
      </c>
      <c r="I351" s="32" t="s">
        <v>5073</v>
      </c>
      <c r="J351" s="32" t="s">
        <v>1878</v>
      </c>
      <c r="K351" s="33" t="s">
        <v>1879</v>
      </c>
      <c r="L351" s="32">
        <v>3.1999087E7</v>
      </c>
      <c r="M351" s="32" t="s">
        <v>1880</v>
      </c>
      <c r="N351" s="32" t="s">
        <v>5109</v>
      </c>
      <c r="O351" s="32" t="s">
        <v>52</v>
      </c>
      <c r="P351" s="32">
        <v>34999.0</v>
      </c>
      <c r="Q351" s="34">
        <v>31499.0</v>
      </c>
      <c r="R351" s="40">
        <v>33199.0</v>
      </c>
      <c r="S351" s="35">
        <v>29399.16</v>
      </c>
      <c r="T351" s="36">
        <v>4.0</v>
      </c>
      <c r="U351" s="36">
        <v>4.0</v>
      </c>
      <c r="V351" s="36">
        <v>1.0</v>
      </c>
      <c r="W351" s="36">
        <v>6.0</v>
      </c>
      <c r="X351" s="36">
        <v>0.0</v>
      </c>
      <c r="Y351" s="36">
        <v>15.0</v>
      </c>
    </row>
    <row r="352">
      <c r="A352" s="32" t="s">
        <v>3265</v>
      </c>
      <c r="B352" s="32" t="s">
        <v>3265</v>
      </c>
      <c r="C352" s="32" t="s">
        <v>3266</v>
      </c>
      <c r="D352" s="32" t="s">
        <v>3267</v>
      </c>
      <c r="E352" s="32" t="s">
        <v>5073</v>
      </c>
      <c r="F352" s="32" t="e">
        <v>#N/A</v>
      </c>
      <c r="G352" s="39"/>
      <c r="H352" s="32" t="s">
        <v>3268</v>
      </c>
      <c r="I352" s="32" t="s">
        <v>5073</v>
      </c>
      <c r="J352" s="32" t="s">
        <v>3269</v>
      </c>
      <c r="K352" s="33" t="s">
        <v>3270</v>
      </c>
      <c r="L352" s="32">
        <v>3.1818394E7</v>
      </c>
      <c r="M352" s="32" t="e">
        <v>#N/A</v>
      </c>
      <c r="N352" s="32" t="s">
        <v>5086</v>
      </c>
      <c r="O352" s="32" t="s">
        <v>4730</v>
      </c>
      <c r="P352" s="32">
        <v>1989.0</v>
      </c>
      <c r="Q352" s="34">
        <v>1799.0</v>
      </c>
      <c r="R352" s="40">
        <v>1799.0</v>
      </c>
      <c r="S352" s="35">
        <v>1690.65</v>
      </c>
      <c r="T352" s="36">
        <v>0.0</v>
      </c>
      <c r="U352" s="36">
        <v>0.0</v>
      </c>
      <c r="V352" s="36">
        <v>15.0</v>
      </c>
      <c r="W352" s="36">
        <v>0.0</v>
      </c>
      <c r="X352" s="36">
        <v>0.0</v>
      </c>
      <c r="Y352" s="36">
        <v>15.0</v>
      </c>
    </row>
    <row r="353">
      <c r="A353" s="32" t="s">
        <v>2162</v>
      </c>
      <c r="B353" s="32" t="s">
        <v>2162</v>
      </c>
      <c r="C353" s="32" t="s">
        <v>2163</v>
      </c>
      <c r="D353" s="32" t="s">
        <v>2164</v>
      </c>
      <c r="E353" s="32" t="s">
        <v>5073</v>
      </c>
      <c r="F353" s="32" t="e">
        <v>#N/A</v>
      </c>
      <c r="G353" s="32" t="e">
        <v>#N/A</v>
      </c>
      <c r="H353" s="32" t="s">
        <v>5133</v>
      </c>
      <c r="I353" s="32" t="s">
        <v>5102</v>
      </c>
      <c r="J353" s="32" t="s">
        <v>2165</v>
      </c>
      <c r="K353" s="33" t="s">
        <v>2166</v>
      </c>
      <c r="L353" s="32" t="e">
        <v>#N/A</v>
      </c>
      <c r="M353" s="32" t="e">
        <v>#N/A</v>
      </c>
      <c r="N353" s="32" t="s">
        <v>5103</v>
      </c>
      <c r="O353" s="32" t="s">
        <v>4730</v>
      </c>
      <c r="P353" s="32">
        <v>6499.0</v>
      </c>
      <c r="Q353" s="34">
        <v>5199.0</v>
      </c>
      <c r="R353" s="40">
        <v>5799.0</v>
      </c>
      <c r="S353" s="35">
        <v>4874.25</v>
      </c>
      <c r="T353" s="36">
        <v>0.0</v>
      </c>
      <c r="U353" s="36">
        <v>0.0</v>
      </c>
      <c r="V353" s="36">
        <v>14.0</v>
      </c>
      <c r="W353" s="36">
        <v>0.0</v>
      </c>
      <c r="X353" s="36">
        <v>0.0</v>
      </c>
      <c r="Y353" s="36">
        <v>14.0</v>
      </c>
    </row>
    <row r="354">
      <c r="A354" s="32" t="s">
        <v>861</v>
      </c>
      <c r="B354" s="32" t="s">
        <v>861</v>
      </c>
      <c r="C354" s="32" t="s">
        <v>862</v>
      </c>
      <c r="D354" s="32" t="s">
        <v>863</v>
      </c>
      <c r="E354" s="32" t="s">
        <v>5073</v>
      </c>
      <c r="F354" s="32" t="e">
        <v>#N/A</v>
      </c>
      <c r="G354" s="32" t="e">
        <v>#N/A</v>
      </c>
      <c r="H354" s="32" t="s">
        <v>864</v>
      </c>
      <c r="I354" s="32" t="s">
        <v>5073</v>
      </c>
      <c r="J354" s="32" t="s">
        <v>865</v>
      </c>
      <c r="K354" s="33" t="s">
        <v>866</v>
      </c>
      <c r="L354" s="32">
        <v>3.1999061E7</v>
      </c>
      <c r="M354" s="32" t="s">
        <v>867</v>
      </c>
      <c r="N354" s="32" t="s">
        <v>5108</v>
      </c>
      <c r="O354" s="32" t="s">
        <v>52</v>
      </c>
      <c r="P354" s="32">
        <v>16199.0</v>
      </c>
      <c r="Q354" s="34">
        <v>13607.0</v>
      </c>
      <c r="R354" s="40">
        <v>14599.0</v>
      </c>
      <c r="S354" s="35">
        <v>12959.2</v>
      </c>
      <c r="T354" s="36">
        <v>3.0</v>
      </c>
      <c r="U354" s="36">
        <v>0.0</v>
      </c>
      <c r="V354" s="36">
        <v>11.0</v>
      </c>
      <c r="W354" s="36">
        <v>0.0</v>
      </c>
      <c r="X354" s="36">
        <v>0.0</v>
      </c>
      <c r="Y354" s="36">
        <v>14.0</v>
      </c>
    </row>
    <row r="355">
      <c r="A355" s="32" t="s">
        <v>3804</v>
      </c>
      <c r="B355" s="32" t="s">
        <v>3804</v>
      </c>
      <c r="C355" s="32" t="s">
        <v>3805</v>
      </c>
      <c r="D355" s="32" t="s">
        <v>3806</v>
      </c>
      <c r="E355" s="32" t="s">
        <v>5102</v>
      </c>
      <c r="F355" s="32" t="e">
        <v>#N/A</v>
      </c>
      <c r="G355" s="39"/>
      <c r="H355" s="32" t="s">
        <v>5134</v>
      </c>
      <c r="I355" s="32" t="s">
        <v>5102</v>
      </c>
      <c r="J355" s="32" t="s">
        <v>3807</v>
      </c>
      <c r="K355" s="33" t="s">
        <v>3808</v>
      </c>
      <c r="L355" s="32" t="e">
        <v>#N/A</v>
      </c>
      <c r="M355" s="32" t="e">
        <v>#N/A</v>
      </c>
      <c r="N355" s="32" t="s">
        <v>5132</v>
      </c>
      <c r="O355" s="32" t="s">
        <v>4730</v>
      </c>
      <c r="P355" s="32">
        <v>9099.0</v>
      </c>
      <c r="Q355" s="34">
        <v>6816.0</v>
      </c>
      <c r="R355" s="40">
        <v>7699.0</v>
      </c>
      <c r="S355" s="35">
        <v>6369.3</v>
      </c>
      <c r="T355" s="36">
        <v>14.0</v>
      </c>
      <c r="U355" s="36">
        <v>0.0</v>
      </c>
      <c r="V355" s="36">
        <v>0.0</v>
      </c>
      <c r="W355" s="36">
        <v>0.0</v>
      </c>
      <c r="X355" s="36">
        <v>0.0</v>
      </c>
      <c r="Y355" s="36">
        <v>14.0</v>
      </c>
    </row>
    <row r="356">
      <c r="A356" s="32" t="s">
        <v>2462</v>
      </c>
      <c r="B356" s="32" t="s">
        <v>2462</v>
      </c>
      <c r="C356" s="32" t="s">
        <v>2463</v>
      </c>
      <c r="D356" s="32" t="s">
        <v>2464</v>
      </c>
      <c r="E356" s="32" t="s">
        <v>5102</v>
      </c>
      <c r="F356" s="32" t="e">
        <v>#N/A</v>
      </c>
      <c r="G356" s="39"/>
      <c r="H356" s="32">
        <v>0.0</v>
      </c>
      <c r="I356" s="39"/>
      <c r="J356" s="32" t="s">
        <v>2465</v>
      </c>
      <c r="K356" s="33" t="s">
        <v>2466</v>
      </c>
      <c r="L356" s="32" t="e">
        <v>#N/A</v>
      </c>
      <c r="M356" s="32" t="s">
        <v>2467</v>
      </c>
      <c r="N356" s="32" t="s">
        <v>5083</v>
      </c>
      <c r="O356" s="32" t="s">
        <v>1145</v>
      </c>
      <c r="P356" s="32">
        <v>3489.0</v>
      </c>
      <c r="Q356" s="34">
        <v>2687.0</v>
      </c>
      <c r="R356" s="40">
        <v>2687.0</v>
      </c>
      <c r="S356" s="35">
        <v>2599.0</v>
      </c>
      <c r="T356" s="36">
        <v>0.0</v>
      </c>
      <c r="U356" s="36">
        <v>3.0</v>
      </c>
      <c r="V356" s="36">
        <v>11.0</v>
      </c>
      <c r="W356" s="36">
        <v>0.0</v>
      </c>
      <c r="X356" s="36">
        <v>0.0</v>
      </c>
      <c r="Y356" s="36">
        <v>14.0</v>
      </c>
    </row>
    <row r="357">
      <c r="A357" s="32" t="s">
        <v>4634</v>
      </c>
      <c r="B357" s="32" t="s">
        <v>4634</v>
      </c>
      <c r="C357" s="32" t="s">
        <v>4635</v>
      </c>
      <c r="D357" s="32" t="s">
        <v>4636</v>
      </c>
      <c r="E357" s="32" t="s">
        <v>5073</v>
      </c>
      <c r="F357" s="32" t="e">
        <v>#N/A</v>
      </c>
      <c r="G357" s="39"/>
      <c r="H357" s="32">
        <v>0.0</v>
      </c>
      <c r="I357" s="39"/>
      <c r="J357" s="32" t="s">
        <v>4637</v>
      </c>
      <c r="K357" s="33" t="s">
        <v>4638</v>
      </c>
      <c r="L357" s="32" t="e">
        <v>#N/A</v>
      </c>
      <c r="M357" s="32" t="e">
        <v>#N/A</v>
      </c>
      <c r="N357" s="32" t="s">
        <v>5077</v>
      </c>
      <c r="O357" s="32" t="s">
        <v>4730</v>
      </c>
      <c r="P357" s="32">
        <v>1699.0</v>
      </c>
      <c r="Q357" s="34">
        <v>1614.0</v>
      </c>
      <c r="R357" s="40">
        <v>1614.0</v>
      </c>
      <c r="S357" s="35">
        <v>1529.1</v>
      </c>
      <c r="T357" s="36">
        <v>0.0</v>
      </c>
      <c r="U357" s="36">
        <v>4.0</v>
      </c>
      <c r="V357" s="36">
        <v>10.0</v>
      </c>
      <c r="W357" s="36">
        <v>0.0</v>
      </c>
      <c r="X357" s="36">
        <v>0.0</v>
      </c>
      <c r="Y357" s="36">
        <v>14.0</v>
      </c>
    </row>
    <row r="358">
      <c r="A358" s="32" t="s">
        <v>4956</v>
      </c>
      <c r="B358" s="32" t="s">
        <v>4956</v>
      </c>
      <c r="C358" s="32" t="s">
        <v>4957</v>
      </c>
      <c r="D358" s="32" t="s">
        <v>4958</v>
      </c>
      <c r="E358" s="32" t="s">
        <v>5102</v>
      </c>
      <c r="F358" s="38"/>
      <c r="G358" s="38"/>
      <c r="H358" s="38"/>
      <c r="I358" s="38"/>
      <c r="J358" s="32" t="s">
        <v>4959</v>
      </c>
      <c r="K358" s="38"/>
      <c r="L358" s="38"/>
      <c r="M358" s="38"/>
      <c r="N358" s="32" t="s">
        <v>5077</v>
      </c>
      <c r="O358" s="32" t="s">
        <v>4730</v>
      </c>
      <c r="P358" s="32">
        <v>1499.0</v>
      </c>
      <c r="Q358" s="44">
        <v>1424.0</v>
      </c>
      <c r="R358" s="40">
        <v>1424.0</v>
      </c>
      <c r="S358" s="35">
        <v>1349.1</v>
      </c>
      <c r="T358" s="36">
        <v>14.0</v>
      </c>
      <c r="U358" s="36">
        <v>0.0</v>
      </c>
      <c r="V358" s="36">
        <v>0.0</v>
      </c>
      <c r="W358" s="36">
        <v>0.0</v>
      </c>
      <c r="X358" s="36">
        <v>0.0</v>
      </c>
      <c r="Y358" s="36">
        <v>14.0</v>
      </c>
    </row>
    <row r="359">
      <c r="A359" s="32" t="s">
        <v>4960</v>
      </c>
      <c r="B359" s="32" t="s">
        <v>4960</v>
      </c>
      <c r="C359" s="32" t="s">
        <v>4961</v>
      </c>
      <c r="D359" s="32" t="s">
        <v>4962</v>
      </c>
      <c r="E359" s="32" t="s">
        <v>5102</v>
      </c>
      <c r="F359" s="38"/>
      <c r="G359" s="38"/>
      <c r="H359" s="38"/>
      <c r="I359" s="38"/>
      <c r="J359" s="32" t="s">
        <v>4963</v>
      </c>
      <c r="K359" s="38"/>
      <c r="L359" s="38"/>
      <c r="M359" s="38"/>
      <c r="N359" s="32" t="s">
        <v>5077</v>
      </c>
      <c r="O359" s="32" t="s">
        <v>4730</v>
      </c>
      <c r="P359" s="32">
        <v>1599.0</v>
      </c>
      <c r="Q359" s="44">
        <v>1519.0</v>
      </c>
      <c r="R359" s="40">
        <v>1519.0</v>
      </c>
      <c r="S359" s="35">
        <v>1439.1</v>
      </c>
      <c r="T359" s="36">
        <v>2.0</v>
      </c>
      <c r="U359" s="36">
        <v>0.0</v>
      </c>
      <c r="V359" s="36">
        <v>7.0</v>
      </c>
      <c r="W359" s="36">
        <v>0.0</v>
      </c>
      <c r="X359" s="36">
        <v>5.0</v>
      </c>
      <c r="Y359" s="36">
        <v>14.0</v>
      </c>
    </row>
    <row r="360">
      <c r="A360" s="32" t="s">
        <v>3247</v>
      </c>
      <c r="B360" s="32" t="s">
        <v>3247</v>
      </c>
      <c r="C360" s="32" t="s">
        <v>3248</v>
      </c>
      <c r="D360" s="32" t="s">
        <v>3249</v>
      </c>
      <c r="E360" s="32" t="s">
        <v>5073</v>
      </c>
      <c r="F360" s="32" t="e">
        <v>#N/A</v>
      </c>
      <c r="G360" s="39"/>
      <c r="H360" s="32" t="s">
        <v>3250</v>
      </c>
      <c r="I360" s="32" t="s">
        <v>5073</v>
      </c>
      <c r="J360" s="32" t="s">
        <v>3251</v>
      </c>
      <c r="K360" s="33" t="s">
        <v>3252</v>
      </c>
      <c r="L360" s="32">
        <v>3.1818402E7</v>
      </c>
      <c r="M360" s="32" t="e">
        <v>#N/A</v>
      </c>
      <c r="N360" s="32" t="s">
        <v>5086</v>
      </c>
      <c r="O360" s="32" t="s">
        <v>4730</v>
      </c>
      <c r="P360" s="32">
        <v>1889.0</v>
      </c>
      <c r="Q360" s="34">
        <v>1699.0</v>
      </c>
      <c r="R360" s="40">
        <v>1699.0</v>
      </c>
      <c r="S360" s="35">
        <v>1605.65</v>
      </c>
      <c r="T360" s="36">
        <v>0.0</v>
      </c>
      <c r="U360" s="36">
        <v>2.0</v>
      </c>
      <c r="V360" s="36">
        <v>8.0</v>
      </c>
      <c r="W360" s="36">
        <v>2.0</v>
      </c>
      <c r="X360" s="36">
        <v>2.0</v>
      </c>
      <c r="Y360" s="36">
        <v>14.0</v>
      </c>
    </row>
    <row r="361">
      <c r="A361" s="32" t="s">
        <v>2676</v>
      </c>
      <c r="B361" s="32" t="s">
        <v>2676</v>
      </c>
      <c r="C361" s="32">
        <v>0.0</v>
      </c>
      <c r="D361" s="32" t="e">
        <v>#N/A</v>
      </c>
      <c r="E361" s="39"/>
      <c r="F361" s="32" t="e">
        <v>#N/A</v>
      </c>
      <c r="G361" s="39"/>
      <c r="H361" s="32" t="e">
        <v>#N/A</v>
      </c>
      <c r="I361" s="39"/>
      <c r="J361" s="32">
        <v>0.0</v>
      </c>
      <c r="K361" s="33" t="e">
        <v>#N/A</v>
      </c>
      <c r="L361" s="32" t="e">
        <v>#N/A</v>
      </c>
      <c r="M361" s="32" t="e">
        <v>#N/A</v>
      </c>
      <c r="N361" s="32" t="e">
        <v>#N/A</v>
      </c>
      <c r="O361" s="32" t="e">
        <v>#N/A</v>
      </c>
      <c r="P361" s="32" t="e">
        <v>#REF!</v>
      </c>
      <c r="Q361" s="32" t="e">
        <v>#N/A</v>
      </c>
      <c r="R361" s="42" t="e">
        <v>#N/A</v>
      </c>
      <c r="S361" s="42" t="e">
        <v>#N/A</v>
      </c>
      <c r="T361" s="36">
        <v>6.0</v>
      </c>
      <c r="U361" s="36">
        <v>0.0</v>
      </c>
      <c r="V361" s="36">
        <v>8.0</v>
      </c>
      <c r="W361" s="36">
        <v>0.0</v>
      </c>
      <c r="X361" s="36">
        <v>0.0</v>
      </c>
      <c r="Y361" s="36">
        <v>14.0</v>
      </c>
    </row>
    <row r="362">
      <c r="A362" s="32" t="s">
        <v>4531</v>
      </c>
      <c r="B362" s="32" t="s">
        <v>4531</v>
      </c>
      <c r="C362" s="32">
        <v>0.0</v>
      </c>
      <c r="D362" s="32" t="e">
        <v>#N/A</v>
      </c>
      <c r="E362" s="39"/>
      <c r="F362" s="32" t="e">
        <v>#N/A</v>
      </c>
      <c r="G362" s="39"/>
      <c r="H362" s="32">
        <v>0.0</v>
      </c>
      <c r="I362" s="39"/>
      <c r="J362" s="32" t="s">
        <v>4533</v>
      </c>
      <c r="K362" s="33" t="e">
        <v>#N/A</v>
      </c>
      <c r="L362" s="32" t="e">
        <v>#N/A</v>
      </c>
      <c r="M362" s="32" t="e">
        <v>#N/A</v>
      </c>
      <c r="N362" s="32" t="s">
        <v>5077</v>
      </c>
      <c r="O362" s="32" t="s">
        <v>4730</v>
      </c>
      <c r="P362" s="32">
        <v>1499.0</v>
      </c>
      <c r="Q362" s="34">
        <v>1424.0</v>
      </c>
      <c r="R362" s="40">
        <v>1424.0</v>
      </c>
      <c r="S362" s="35">
        <v>1349.1</v>
      </c>
      <c r="T362" s="36">
        <v>1.0</v>
      </c>
      <c r="U362" s="36">
        <v>0.0</v>
      </c>
      <c r="V362" s="36">
        <v>13.0</v>
      </c>
      <c r="W362" s="36">
        <v>0.0</v>
      </c>
      <c r="X362" s="36">
        <v>0.0</v>
      </c>
      <c r="Y362" s="36">
        <v>14.0</v>
      </c>
    </row>
    <row r="363">
      <c r="A363" s="32" t="s">
        <v>2697</v>
      </c>
      <c r="B363" s="32" t="s">
        <v>2697</v>
      </c>
      <c r="C363" s="32" t="s">
        <v>2698</v>
      </c>
      <c r="D363" s="32" t="s">
        <v>2699</v>
      </c>
      <c r="E363" s="32" t="s">
        <v>5073</v>
      </c>
      <c r="F363" s="32" t="e">
        <v>#N/A</v>
      </c>
      <c r="G363" s="32" t="e">
        <v>#N/A</v>
      </c>
      <c r="H363" s="32" t="s">
        <v>2700</v>
      </c>
      <c r="I363" s="32" t="s">
        <v>5073</v>
      </c>
      <c r="J363" s="32" t="s">
        <v>2701</v>
      </c>
      <c r="K363" s="33" t="s">
        <v>2702</v>
      </c>
      <c r="L363" s="32">
        <v>3.1818432E7</v>
      </c>
      <c r="M363" s="32" t="e">
        <v>#N/A</v>
      </c>
      <c r="N363" s="32" t="s">
        <v>5107</v>
      </c>
      <c r="O363" s="32" t="s">
        <v>4730</v>
      </c>
      <c r="P363" s="32">
        <v>1889.0</v>
      </c>
      <c r="Q363" s="34">
        <v>1548.0</v>
      </c>
      <c r="R363" s="40">
        <v>1548.0</v>
      </c>
      <c r="S363" s="35">
        <v>1416.75</v>
      </c>
      <c r="T363" s="36">
        <v>4.0</v>
      </c>
      <c r="U363" s="36">
        <v>0.0</v>
      </c>
      <c r="V363" s="36">
        <v>0.0</v>
      </c>
      <c r="W363" s="36">
        <v>9.0</v>
      </c>
      <c r="X363" s="36">
        <v>0.0</v>
      </c>
      <c r="Y363" s="36">
        <v>13.0</v>
      </c>
    </row>
    <row r="364">
      <c r="A364" s="32" t="s">
        <v>4948</v>
      </c>
      <c r="B364" s="32" t="s">
        <v>4948</v>
      </c>
      <c r="C364" s="32" t="s">
        <v>4949</v>
      </c>
      <c r="D364" s="32" t="s">
        <v>4950</v>
      </c>
      <c r="E364" s="32" t="s">
        <v>5102</v>
      </c>
      <c r="F364" s="32" t="e">
        <v>#N/A</v>
      </c>
      <c r="G364" s="32" t="e">
        <v>#N/A</v>
      </c>
      <c r="H364" s="32">
        <v>0.0</v>
      </c>
      <c r="I364" s="32">
        <v>0.0</v>
      </c>
      <c r="J364" s="32" t="s">
        <v>4951</v>
      </c>
      <c r="K364" s="38"/>
      <c r="L364" s="38"/>
      <c r="M364" s="38"/>
      <c r="N364" s="32" t="s">
        <v>5077</v>
      </c>
      <c r="O364" s="32" t="s">
        <v>4730</v>
      </c>
      <c r="P364" s="32">
        <v>1499.0</v>
      </c>
      <c r="Q364" s="44">
        <v>1424.0</v>
      </c>
      <c r="R364" s="40">
        <v>1424.0</v>
      </c>
      <c r="S364" s="35">
        <v>1349.1</v>
      </c>
      <c r="T364" s="36">
        <v>1.0</v>
      </c>
      <c r="U364" s="36">
        <v>0.0</v>
      </c>
      <c r="V364" s="36">
        <v>9.0</v>
      </c>
      <c r="W364" s="36">
        <v>0.0</v>
      </c>
      <c r="X364" s="36">
        <v>3.0</v>
      </c>
      <c r="Y364" s="36">
        <v>13.0</v>
      </c>
    </row>
    <row r="365">
      <c r="A365" s="32" t="s">
        <v>4224</v>
      </c>
      <c r="B365" s="32" t="s">
        <v>4224</v>
      </c>
      <c r="C365" s="32" t="s">
        <v>4225</v>
      </c>
      <c r="D365" s="32" t="s">
        <v>4226</v>
      </c>
      <c r="E365" s="32" t="s">
        <v>5073</v>
      </c>
      <c r="F365" s="32" t="e">
        <v>#N/A</v>
      </c>
      <c r="G365" s="38"/>
      <c r="H365" s="32">
        <v>0.0</v>
      </c>
      <c r="I365" s="39"/>
      <c r="J365" s="32" t="s">
        <v>4227</v>
      </c>
      <c r="K365" s="33" t="s">
        <v>4228</v>
      </c>
      <c r="L365" s="32" t="e">
        <v>#N/A</v>
      </c>
      <c r="M365" s="32" t="e">
        <v>#N/A</v>
      </c>
      <c r="N365" s="32" t="s">
        <v>5118</v>
      </c>
      <c r="O365" s="32" t="s">
        <v>52</v>
      </c>
      <c r="P365" s="32">
        <v>19999.0</v>
      </c>
      <c r="Q365" s="34">
        <v>17999.0</v>
      </c>
      <c r="R365" s="40">
        <v>19199.0</v>
      </c>
      <c r="S365" s="35">
        <v>17621.34</v>
      </c>
      <c r="T365" s="36">
        <v>12.0</v>
      </c>
      <c r="U365" s="36">
        <v>0.0</v>
      </c>
      <c r="V365" s="36">
        <v>0.0</v>
      </c>
      <c r="W365" s="36">
        <v>1.0</v>
      </c>
      <c r="X365" s="36">
        <v>0.0</v>
      </c>
      <c r="Y365" s="36">
        <v>13.0</v>
      </c>
    </row>
    <row r="366">
      <c r="A366" s="32" t="s">
        <v>1981</v>
      </c>
      <c r="B366" s="32" t="s">
        <v>1981</v>
      </c>
      <c r="C366" s="32" t="s">
        <v>1982</v>
      </c>
      <c r="D366" s="32" t="s">
        <v>1983</v>
      </c>
      <c r="E366" s="32" t="s">
        <v>5073</v>
      </c>
      <c r="F366" s="32" t="e">
        <v>#N/A</v>
      </c>
      <c r="G366" s="38"/>
      <c r="H366" s="32" t="s">
        <v>1984</v>
      </c>
      <c r="I366" s="32" t="s">
        <v>5073</v>
      </c>
      <c r="J366" s="32" t="s">
        <v>1985</v>
      </c>
      <c r="K366" s="33" t="s">
        <v>1986</v>
      </c>
      <c r="L366" s="32" t="e">
        <v>#N/A</v>
      </c>
      <c r="M366" s="32" t="e">
        <v>#N/A</v>
      </c>
      <c r="N366" s="32" t="s">
        <v>5132</v>
      </c>
      <c r="O366" s="32" t="s">
        <v>4730</v>
      </c>
      <c r="P366" s="32">
        <v>5499.0</v>
      </c>
      <c r="Q366" s="34">
        <v>4119.0</v>
      </c>
      <c r="R366" s="40">
        <v>4599.0</v>
      </c>
      <c r="S366" s="35">
        <v>3849.3</v>
      </c>
      <c r="T366" s="36">
        <v>2.0</v>
      </c>
      <c r="U366" s="36">
        <v>0.0</v>
      </c>
      <c r="V366" s="36">
        <v>8.0</v>
      </c>
      <c r="W366" s="36">
        <v>1.0</v>
      </c>
      <c r="X366" s="36">
        <v>2.0</v>
      </c>
      <c r="Y366" s="36">
        <v>13.0</v>
      </c>
    </row>
    <row r="367">
      <c r="A367" s="32" t="s">
        <v>239</v>
      </c>
      <c r="B367" s="32" t="s">
        <v>239</v>
      </c>
      <c r="C367" s="32" t="s">
        <v>240</v>
      </c>
      <c r="D367" s="32" t="s">
        <v>241</v>
      </c>
      <c r="E367" s="32" t="s">
        <v>5073</v>
      </c>
      <c r="F367" s="32" t="e">
        <v>#N/A</v>
      </c>
      <c r="G367" s="39"/>
      <c r="H367" s="32" t="s">
        <v>242</v>
      </c>
      <c r="I367" s="32" t="s">
        <v>5073</v>
      </c>
      <c r="J367" s="32" t="s">
        <v>243</v>
      </c>
      <c r="K367" s="33" t="s">
        <v>244</v>
      </c>
      <c r="L367" s="32">
        <v>3.2784007E7</v>
      </c>
      <c r="M367" s="32" t="s">
        <v>245</v>
      </c>
      <c r="N367" s="32" t="s">
        <v>51</v>
      </c>
      <c r="O367" s="32" t="s">
        <v>52</v>
      </c>
      <c r="P367" s="32">
        <v>14899.0</v>
      </c>
      <c r="Q367" s="34">
        <v>12068.0</v>
      </c>
      <c r="R367" s="40">
        <v>12999.0</v>
      </c>
      <c r="S367" s="35">
        <v>11323.24</v>
      </c>
      <c r="T367" s="36">
        <v>2.0</v>
      </c>
      <c r="U367" s="36">
        <v>0.0</v>
      </c>
      <c r="V367" s="36">
        <v>6.0</v>
      </c>
      <c r="W367" s="36">
        <v>2.0</v>
      </c>
      <c r="X367" s="36">
        <v>3.0</v>
      </c>
      <c r="Y367" s="36">
        <v>13.0</v>
      </c>
    </row>
    <row r="368">
      <c r="A368" s="32" t="s">
        <v>714</v>
      </c>
      <c r="B368" s="32" t="s">
        <v>714</v>
      </c>
      <c r="C368" s="32" t="s">
        <v>715</v>
      </c>
      <c r="D368" s="32" t="s">
        <v>716</v>
      </c>
      <c r="E368" s="32" t="s">
        <v>5073</v>
      </c>
      <c r="F368" s="32" t="e">
        <v>#N/A</v>
      </c>
      <c r="G368" s="39"/>
      <c r="H368" s="32">
        <v>0.0</v>
      </c>
      <c r="I368" s="39"/>
      <c r="J368" s="32" t="s">
        <v>717</v>
      </c>
      <c r="K368" s="33" t="s">
        <v>718</v>
      </c>
      <c r="L368" s="32" t="e">
        <v>#N/A</v>
      </c>
      <c r="M368" s="32" t="e">
        <v>#REF!</v>
      </c>
      <c r="N368" s="32" t="s">
        <v>51</v>
      </c>
      <c r="O368" s="32" t="s">
        <v>52</v>
      </c>
      <c r="P368" s="32">
        <v>16659.0</v>
      </c>
      <c r="Q368" s="34">
        <v>13494.0</v>
      </c>
      <c r="R368" s="40">
        <v>14499.0</v>
      </c>
      <c r="S368" s="35">
        <v>12660.84</v>
      </c>
      <c r="T368" s="36">
        <v>4.0</v>
      </c>
      <c r="U368" s="36">
        <v>2.0</v>
      </c>
      <c r="V368" s="36">
        <v>0.0</v>
      </c>
      <c r="W368" s="36">
        <v>4.0</v>
      </c>
      <c r="X368" s="36">
        <v>3.0</v>
      </c>
      <c r="Y368" s="36">
        <v>13.0</v>
      </c>
    </row>
    <row r="369">
      <c r="A369" s="32" t="s">
        <v>23</v>
      </c>
      <c r="B369" s="32" t="s">
        <v>23</v>
      </c>
      <c r="C369" s="32" t="s">
        <v>24</v>
      </c>
      <c r="D369" s="32" t="s">
        <v>25</v>
      </c>
      <c r="E369" s="32" t="s">
        <v>5073</v>
      </c>
      <c r="F369" s="32" t="e">
        <v>#N/A</v>
      </c>
      <c r="G369" s="39"/>
      <c r="H369" s="32" t="s">
        <v>26</v>
      </c>
      <c r="I369" s="32" t="s">
        <v>5073</v>
      </c>
      <c r="J369" s="32" t="s">
        <v>27</v>
      </c>
      <c r="K369" s="33" t="s">
        <v>28</v>
      </c>
      <c r="L369" s="32">
        <v>3.2783812E7</v>
      </c>
      <c r="M369" s="32" t="s">
        <v>29</v>
      </c>
      <c r="N369" s="32" t="s">
        <v>51</v>
      </c>
      <c r="O369" s="32" t="s">
        <v>52</v>
      </c>
      <c r="P369" s="32">
        <v>10399.0</v>
      </c>
      <c r="Q369" s="34">
        <v>8423.0</v>
      </c>
      <c r="R369" s="40">
        <v>8999.0</v>
      </c>
      <c r="S369" s="35">
        <v>7903.24</v>
      </c>
      <c r="T369" s="36">
        <v>0.0</v>
      </c>
      <c r="U369" s="36">
        <v>3.0</v>
      </c>
      <c r="V369" s="36">
        <v>9.0</v>
      </c>
      <c r="W369" s="36">
        <v>1.0</v>
      </c>
      <c r="X369" s="36">
        <v>0.0</v>
      </c>
      <c r="Y369" s="36">
        <v>13.0</v>
      </c>
    </row>
    <row r="370">
      <c r="A370" s="32" t="s">
        <v>30</v>
      </c>
      <c r="B370" s="32" t="s">
        <v>30</v>
      </c>
      <c r="C370" s="32" t="s">
        <v>31</v>
      </c>
      <c r="D370" s="32" t="s">
        <v>32</v>
      </c>
      <c r="E370" s="32" t="s">
        <v>5073</v>
      </c>
      <c r="F370" s="32" t="e">
        <v>#N/A</v>
      </c>
      <c r="G370" s="39"/>
      <c r="H370" s="32" t="s">
        <v>33</v>
      </c>
      <c r="I370" s="32" t="s">
        <v>5073</v>
      </c>
      <c r="J370" s="32" t="s">
        <v>34</v>
      </c>
      <c r="K370" s="33" t="s">
        <v>35</v>
      </c>
      <c r="L370" s="32">
        <v>3.2783953E7</v>
      </c>
      <c r="M370" s="32" t="s">
        <v>36</v>
      </c>
      <c r="N370" s="32" t="s">
        <v>51</v>
      </c>
      <c r="O370" s="32" t="s">
        <v>52</v>
      </c>
      <c r="P370" s="32">
        <v>10599.0</v>
      </c>
      <c r="Q370" s="34">
        <v>8585.0</v>
      </c>
      <c r="R370" s="40">
        <v>9199.0</v>
      </c>
      <c r="S370" s="35">
        <v>8055.24</v>
      </c>
      <c r="T370" s="36">
        <v>2.0</v>
      </c>
      <c r="U370" s="36">
        <v>2.0</v>
      </c>
      <c r="V370" s="36">
        <v>2.0</v>
      </c>
      <c r="W370" s="36">
        <v>5.0</v>
      </c>
      <c r="X370" s="36">
        <v>2.0</v>
      </c>
      <c r="Y370" s="36">
        <v>13.0</v>
      </c>
    </row>
    <row r="371">
      <c r="A371" s="32" t="s">
        <v>1400</v>
      </c>
      <c r="B371" s="32" t="s">
        <v>1400</v>
      </c>
      <c r="C371" s="32" t="s">
        <v>1401</v>
      </c>
      <c r="D371" s="32" t="s">
        <v>1403</v>
      </c>
      <c r="E371" s="32" t="s">
        <v>5073</v>
      </c>
      <c r="F371" s="32" t="e">
        <v>#N/A</v>
      </c>
      <c r="G371" s="32" t="e">
        <v>#N/A</v>
      </c>
      <c r="H371" s="32" t="s">
        <v>1404</v>
      </c>
      <c r="I371" s="32" t="s">
        <v>5073</v>
      </c>
      <c r="J371" s="32" t="s">
        <v>1405</v>
      </c>
      <c r="K371" s="33" t="s">
        <v>1406</v>
      </c>
      <c r="L371" s="32">
        <v>3.1818411E7</v>
      </c>
      <c r="M371" s="32" t="e">
        <v>#N/A</v>
      </c>
      <c r="N371" s="32" t="s">
        <v>5089</v>
      </c>
      <c r="O371" s="32" t="s">
        <v>4730</v>
      </c>
      <c r="P371" s="32">
        <v>2649.0</v>
      </c>
      <c r="Q371" s="34">
        <v>2164.0</v>
      </c>
      <c r="R371" s="40">
        <v>2199.0</v>
      </c>
      <c r="S371" s="35">
        <v>2119.2</v>
      </c>
      <c r="T371" s="36">
        <v>0.0</v>
      </c>
      <c r="U371" s="36">
        <v>0.0</v>
      </c>
      <c r="V371" s="36">
        <v>13.0</v>
      </c>
      <c r="W371" s="36">
        <v>0.0</v>
      </c>
      <c r="X371" s="36">
        <v>0.0</v>
      </c>
      <c r="Y371" s="36">
        <v>13.0</v>
      </c>
    </row>
    <row r="372">
      <c r="A372" s="32" t="s">
        <v>2802</v>
      </c>
      <c r="B372" s="32" t="s">
        <v>2802</v>
      </c>
      <c r="C372" s="32">
        <v>0.0</v>
      </c>
      <c r="D372" s="32" t="e">
        <v>#N/A</v>
      </c>
      <c r="E372" s="39"/>
      <c r="F372" s="32" t="e">
        <v>#N/A</v>
      </c>
      <c r="G372" s="39"/>
      <c r="H372" s="32" t="e">
        <v>#N/A</v>
      </c>
      <c r="I372" s="39"/>
      <c r="J372" s="32">
        <v>0.0</v>
      </c>
      <c r="K372" s="33" t="e">
        <v>#N/A</v>
      </c>
      <c r="L372" s="32" t="e">
        <v>#N/A</v>
      </c>
      <c r="M372" s="32" t="e">
        <v>#N/A</v>
      </c>
      <c r="N372" s="32" t="e">
        <v>#N/A</v>
      </c>
      <c r="O372" s="32" t="e">
        <v>#N/A</v>
      </c>
      <c r="P372" s="32" t="e">
        <v>#REF!</v>
      </c>
      <c r="Q372" s="32" t="e">
        <v>#N/A</v>
      </c>
      <c r="R372" s="42" t="e">
        <v>#N/A</v>
      </c>
      <c r="S372" s="42" t="e">
        <v>#N/A</v>
      </c>
      <c r="T372" s="36">
        <v>3.0</v>
      </c>
      <c r="U372" s="36">
        <v>0.0</v>
      </c>
      <c r="V372" s="36">
        <v>10.0</v>
      </c>
      <c r="W372" s="36">
        <v>0.0</v>
      </c>
      <c r="X372" s="36">
        <v>0.0</v>
      </c>
      <c r="Y372" s="36">
        <v>13.0</v>
      </c>
    </row>
    <row r="373">
      <c r="A373" s="32" t="s">
        <v>2717</v>
      </c>
      <c r="B373" s="32" t="s">
        <v>2717</v>
      </c>
      <c r="C373" s="32">
        <v>0.0</v>
      </c>
      <c r="D373" s="32" t="e">
        <v>#N/A</v>
      </c>
      <c r="E373" s="39"/>
      <c r="F373" s="32" t="e">
        <v>#N/A</v>
      </c>
      <c r="G373" s="39"/>
      <c r="H373" s="32" t="e">
        <v>#N/A</v>
      </c>
      <c r="I373" s="39"/>
      <c r="J373" s="32">
        <v>0.0</v>
      </c>
      <c r="K373" s="33" t="e">
        <v>#N/A</v>
      </c>
      <c r="L373" s="32" t="e">
        <v>#N/A</v>
      </c>
      <c r="M373" s="32" t="e">
        <v>#N/A</v>
      </c>
      <c r="N373" s="32" t="e">
        <v>#N/A</v>
      </c>
      <c r="O373" s="32" t="e">
        <v>#N/A</v>
      </c>
      <c r="P373" s="32" t="e">
        <v>#REF!</v>
      </c>
      <c r="Q373" s="32" t="e">
        <v>#N/A</v>
      </c>
      <c r="R373" s="42" t="e">
        <v>#N/A</v>
      </c>
      <c r="S373" s="42" t="e">
        <v>#N/A</v>
      </c>
      <c r="T373" s="36">
        <v>9.0</v>
      </c>
      <c r="U373" s="36">
        <v>0.0</v>
      </c>
      <c r="V373" s="36">
        <v>3.0</v>
      </c>
      <c r="W373" s="36">
        <v>0.0</v>
      </c>
      <c r="X373" s="36">
        <v>0.0</v>
      </c>
      <c r="Y373" s="36">
        <v>12.0</v>
      </c>
    </row>
    <row r="374">
      <c r="A374" s="32" t="s">
        <v>4600</v>
      </c>
      <c r="B374" s="32" t="s">
        <v>4600</v>
      </c>
      <c r="C374" s="32">
        <v>0.0</v>
      </c>
      <c r="D374" s="32" t="e">
        <v>#N/A</v>
      </c>
      <c r="E374" s="39"/>
      <c r="F374" s="32" t="e">
        <v>#N/A</v>
      </c>
      <c r="G374" s="39"/>
      <c r="H374" s="32">
        <v>0.0</v>
      </c>
      <c r="I374" s="39"/>
      <c r="J374" s="32" t="s">
        <v>4602</v>
      </c>
      <c r="K374" s="33" t="e">
        <v>#N/A</v>
      </c>
      <c r="L374" s="32" t="e">
        <v>#N/A</v>
      </c>
      <c r="M374" s="32" t="e">
        <v>#N/A</v>
      </c>
      <c r="N374" s="32" t="s">
        <v>5077</v>
      </c>
      <c r="O374" s="32" t="s">
        <v>4730</v>
      </c>
      <c r="P374" s="32">
        <v>1499.0</v>
      </c>
      <c r="Q374" s="34">
        <v>1424.0</v>
      </c>
      <c r="R374" s="40">
        <v>1424.0</v>
      </c>
      <c r="S374" s="35">
        <v>1349.1</v>
      </c>
      <c r="T374" s="36">
        <v>0.0</v>
      </c>
      <c r="U374" s="36">
        <v>0.0</v>
      </c>
      <c r="V374" s="36">
        <v>12.0</v>
      </c>
      <c r="W374" s="36">
        <v>0.0</v>
      </c>
      <c r="X374" s="36">
        <v>0.0</v>
      </c>
      <c r="Y374" s="36">
        <v>12.0</v>
      </c>
    </row>
    <row r="375">
      <c r="A375" s="32" t="s">
        <v>2751</v>
      </c>
      <c r="B375" s="32" t="s">
        <v>2751</v>
      </c>
      <c r="C375" s="32" t="s">
        <v>2752</v>
      </c>
      <c r="D375" s="32" t="s">
        <v>2753</v>
      </c>
      <c r="E375" s="32" t="s">
        <v>5073</v>
      </c>
      <c r="F375" s="32" t="e">
        <v>#N/A</v>
      </c>
      <c r="G375" s="32" t="e">
        <v>#N/A</v>
      </c>
      <c r="H375" s="32" t="s">
        <v>2754</v>
      </c>
      <c r="I375" s="32" t="s">
        <v>5073</v>
      </c>
      <c r="J375" s="32" t="s">
        <v>2755</v>
      </c>
      <c r="K375" s="33" t="s">
        <v>2756</v>
      </c>
      <c r="L375" s="32">
        <v>3.1818366E7</v>
      </c>
      <c r="M375" s="32" t="e">
        <v>#N/A</v>
      </c>
      <c r="N375" s="32" t="s">
        <v>5107</v>
      </c>
      <c r="O375" s="32" t="s">
        <v>4730</v>
      </c>
      <c r="P375" s="32">
        <v>1989.0</v>
      </c>
      <c r="Q375" s="34">
        <v>1628.0</v>
      </c>
      <c r="R375" s="40">
        <v>1628.0</v>
      </c>
      <c r="S375" s="35">
        <v>1491.75</v>
      </c>
      <c r="T375" s="36">
        <v>2.0</v>
      </c>
      <c r="U375" s="36">
        <v>0.0</v>
      </c>
      <c r="V375" s="36">
        <v>5.0</v>
      </c>
      <c r="W375" s="36">
        <v>5.0</v>
      </c>
      <c r="X375" s="36">
        <v>0.0</v>
      </c>
      <c r="Y375" s="36">
        <v>12.0</v>
      </c>
    </row>
    <row r="376">
      <c r="A376" s="32" t="s">
        <v>4453</v>
      </c>
      <c r="B376" s="32" t="s">
        <v>4453</v>
      </c>
      <c r="C376" s="32" t="s">
        <v>4454</v>
      </c>
      <c r="D376" s="32" t="s">
        <v>4455</v>
      </c>
      <c r="E376" s="32" t="s">
        <v>5073</v>
      </c>
      <c r="F376" s="32" t="e">
        <v>#N/A</v>
      </c>
      <c r="G376" s="32" t="e">
        <v>#N/A</v>
      </c>
      <c r="H376" s="32">
        <v>0.0</v>
      </c>
      <c r="I376" s="32">
        <v>0.0</v>
      </c>
      <c r="J376" s="32" t="s">
        <v>4456</v>
      </c>
      <c r="K376" s="33" t="s">
        <v>4457</v>
      </c>
      <c r="L376" s="32" t="e">
        <v>#N/A</v>
      </c>
      <c r="M376" s="32" t="e">
        <v>#N/A</v>
      </c>
      <c r="N376" s="32" t="s">
        <v>5077</v>
      </c>
      <c r="O376" s="32" t="s">
        <v>4730</v>
      </c>
      <c r="P376" s="32">
        <v>999.0</v>
      </c>
      <c r="Q376" s="34">
        <v>949.0</v>
      </c>
      <c r="R376" s="35">
        <v>949.0</v>
      </c>
      <c r="S376" s="35">
        <v>899.1</v>
      </c>
      <c r="T376" s="36">
        <v>2.0</v>
      </c>
      <c r="U376" s="36">
        <v>0.0</v>
      </c>
      <c r="V376" s="36">
        <v>10.0</v>
      </c>
      <c r="W376" s="36">
        <v>0.0</v>
      </c>
      <c r="X376" s="36">
        <v>0.0</v>
      </c>
      <c r="Y376" s="36">
        <v>12.0</v>
      </c>
    </row>
    <row r="377">
      <c r="A377" s="32" t="s">
        <v>1070</v>
      </c>
      <c r="B377" s="32" t="s">
        <v>1070</v>
      </c>
      <c r="C377" s="32" t="s">
        <v>1071</v>
      </c>
      <c r="D377" s="32" t="s">
        <v>1072</v>
      </c>
      <c r="E377" s="32" t="s">
        <v>5073</v>
      </c>
      <c r="F377" s="32" t="s">
        <v>1073</v>
      </c>
      <c r="G377" s="32" t="s">
        <v>5073</v>
      </c>
      <c r="H377" s="32" t="s">
        <v>1074</v>
      </c>
      <c r="I377" s="32" t="s">
        <v>5073</v>
      </c>
      <c r="J377" s="32" t="s">
        <v>1075</v>
      </c>
      <c r="K377" s="33" t="s">
        <v>1076</v>
      </c>
      <c r="L377" s="32">
        <v>3.1999066E7</v>
      </c>
      <c r="M377" s="32" t="s">
        <v>1077</v>
      </c>
      <c r="N377" s="32" t="s">
        <v>5108</v>
      </c>
      <c r="O377" s="32" t="s">
        <v>52</v>
      </c>
      <c r="P377" s="32">
        <v>23799.0</v>
      </c>
      <c r="Q377" s="34">
        <v>19991.0</v>
      </c>
      <c r="R377" s="40">
        <v>21399.0</v>
      </c>
      <c r="S377" s="35">
        <v>19039.2</v>
      </c>
      <c r="T377" s="36">
        <v>12.0</v>
      </c>
      <c r="U377" s="36">
        <v>0.0</v>
      </c>
      <c r="V377" s="36">
        <v>0.0</v>
      </c>
      <c r="W377" s="36">
        <v>0.0</v>
      </c>
      <c r="X377" s="36">
        <v>0.0</v>
      </c>
      <c r="Y377" s="36">
        <v>12.0</v>
      </c>
    </row>
    <row r="378">
      <c r="A378" s="32" t="s">
        <v>810</v>
      </c>
      <c r="B378" s="32" t="s">
        <v>810</v>
      </c>
      <c r="C378" s="32" t="s">
        <v>811</v>
      </c>
      <c r="D378" s="32" t="s">
        <v>812</v>
      </c>
      <c r="E378" s="32" t="s">
        <v>5073</v>
      </c>
      <c r="F378" s="32" t="s">
        <v>813</v>
      </c>
      <c r="G378" s="32" t="s">
        <v>5073</v>
      </c>
      <c r="H378" s="32">
        <v>0.0</v>
      </c>
      <c r="I378" s="39"/>
      <c r="J378" s="32" t="s">
        <v>814</v>
      </c>
      <c r="K378" s="33" t="s">
        <v>815</v>
      </c>
      <c r="L378" s="32">
        <v>3.2784205E7</v>
      </c>
      <c r="M378" s="32" t="s">
        <v>816</v>
      </c>
      <c r="N378" s="32" t="s">
        <v>5108</v>
      </c>
      <c r="O378" s="32" t="s">
        <v>52</v>
      </c>
      <c r="P378" s="32">
        <v>11399.0</v>
      </c>
      <c r="Q378" s="34">
        <v>9575.0</v>
      </c>
      <c r="R378" s="40">
        <v>10299.0</v>
      </c>
      <c r="S378" s="35">
        <v>9119.2</v>
      </c>
      <c r="T378" s="36">
        <v>0.0</v>
      </c>
      <c r="U378" s="36">
        <v>0.0</v>
      </c>
      <c r="V378" s="36">
        <v>12.0</v>
      </c>
      <c r="W378" s="36">
        <v>0.0</v>
      </c>
      <c r="X378" s="36">
        <v>0.0</v>
      </c>
      <c r="Y378" s="36">
        <v>12.0</v>
      </c>
    </row>
    <row r="379">
      <c r="A379" s="32" t="s">
        <v>4428</v>
      </c>
      <c r="B379" s="32" t="s">
        <v>4428</v>
      </c>
      <c r="C379" s="32" t="s">
        <v>4429</v>
      </c>
      <c r="D379" s="32" t="s">
        <v>4430</v>
      </c>
      <c r="E379" s="32" t="s">
        <v>5073</v>
      </c>
      <c r="F379" s="32" t="e">
        <v>#N/A</v>
      </c>
      <c r="G379" s="39"/>
      <c r="H379" s="32">
        <v>0.0</v>
      </c>
      <c r="I379" s="39"/>
      <c r="J379" s="32" t="s">
        <v>4431</v>
      </c>
      <c r="K379" s="33" t="s">
        <v>4432</v>
      </c>
      <c r="L379" s="32" t="e">
        <v>#N/A</v>
      </c>
      <c r="M379" s="32" t="e">
        <v>#N/A</v>
      </c>
      <c r="N379" s="32" t="s">
        <v>5077</v>
      </c>
      <c r="O379" s="32" t="s">
        <v>4730</v>
      </c>
      <c r="P379" s="32">
        <v>999.0</v>
      </c>
      <c r="Q379" s="34">
        <v>949.0</v>
      </c>
      <c r="R379" s="35">
        <v>949.0</v>
      </c>
      <c r="S379" s="35">
        <v>899.1</v>
      </c>
      <c r="T379" s="36">
        <v>2.0</v>
      </c>
      <c r="U379" s="36">
        <v>0.0</v>
      </c>
      <c r="V379" s="36">
        <v>10.0</v>
      </c>
      <c r="W379" s="36">
        <v>0.0</v>
      </c>
      <c r="X379" s="36">
        <v>0.0</v>
      </c>
      <c r="Y379" s="36">
        <v>12.0</v>
      </c>
    </row>
    <row r="380">
      <c r="A380" s="32" t="s">
        <v>614</v>
      </c>
      <c r="B380" s="32" t="s">
        <v>614</v>
      </c>
      <c r="C380" s="32" t="s">
        <v>615</v>
      </c>
      <c r="D380" s="32" t="s">
        <v>616</v>
      </c>
      <c r="E380" s="32" t="s">
        <v>5073</v>
      </c>
      <c r="F380" s="32" t="e">
        <v>#N/A</v>
      </c>
      <c r="G380" s="39"/>
      <c r="H380" s="32">
        <v>0.0</v>
      </c>
      <c r="I380" s="39"/>
      <c r="J380" s="32" t="s">
        <v>617</v>
      </c>
      <c r="K380" s="33" t="s">
        <v>618</v>
      </c>
      <c r="L380" s="32" t="e">
        <v>#N/A</v>
      </c>
      <c r="M380" s="32" t="s">
        <v>619</v>
      </c>
      <c r="N380" s="32" t="s">
        <v>51</v>
      </c>
      <c r="O380" s="32" t="s">
        <v>52</v>
      </c>
      <c r="P380" s="32">
        <v>20399.0</v>
      </c>
      <c r="Q380" s="34">
        <v>16523.0</v>
      </c>
      <c r="R380" s="40">
        <v>17699.0</v>
      </c>
      <c r="S380" s="35">
        <v>15503.24</v>
      </c>
      <c r="T380" s="36">
        <v>0.0</v>
      </c>
      <c r="U380" s="36">
        <v>0.0</v>
      </c>
      <c r="V380" s="36">
        <v>3.0</v>
      </c>
      <c r="W380" s="36">
        <v>0.0</v>
      </c>
      <c r="X380" s="36">
        <v>9.0</v>
      </c>
      <c r="Y380" s="36">
        <v>12.0</v>
      </c>
    </row>
    <row r="381">
      <c r="A381" s="32" t="s">
        <v>487</v>
      </c>
      <c r="B381" s="32" t="s">
        <v>487</v>
      </c>
      <c r="C381" s="32" t="s">
        <v>488</v>
      </c>
      <c r="D381" s="32" t="s">
        <v>489</v>
      </c>
      <c r="E381" s="32" t="s">
        <v>5073</v>
      </c>
      <c r="F381" s="32" t="e">
        <v>#N/A</v>
      </c>
      <c r="G381" s="39"/>
      <c r="H381" s="32">
        <v>0.0</v>
      </c>
      <c r="I381" s="39"/>
      <c r="J381" s="32" t="s">
        <v>490</v>
      </c>
      <c r="K381" s="33" t="s">
        <v>491</v>
      </c>
      <c r="L381" s="32" t="e">
        <v>#N/A</v>
      </c>
      <c r="M381" s="32" t="s">
        <v>492</v>
      </c>
      <c r="N381" s="32" t="s">
        <v>51</v>
      </c>
      <c r="O381" s="32" t="s">
        <v>52</v>
      </c>
      <c r="P381" s="32">
        <v>14579.0</v>
      </c>
      <c r="Q381" s="34">
        <v>11809.0</v>
      </c>
      <c r="R381" s="40">
        <v>12699.0</v>
      </c>
      <c r="S381" s="35">
        <v>11080.04</v>
      </c>
      <c r="T381" s="36">
        <v>3.0</v>
      </c>
      <c r="U381" s="36">
        <v>1.0</v>
      </c>
      <c r="V381" s="36">
        <v>3.0</v>
      </c>
      <c r="W381" s="36">
        <v>3.0</v>
      </c>
      <c r="X381" s="36">
        <v>2.0</v>
      </c>
      <c r="Y381" s="36">
        <v>12.0</v>
      </c>
    </row>
    <row r="382">
      <c r="A382" s="32" t="s">
        <v>493</v>
      </c>
      <c r="B382" s="32" t="s">
        <v>493</v>
      </c>
      <c r="C382" s="32" t="s">
        <v>494</v>
      </c>
      <c r="D382" s="32" t="s">
        <v>495</v>
      </c>
      <c r="E382" s="32" t="s">
        <v>5073</v>
      </c>
      <c r="F382" s="32" t="e">
        <v>#N/A</v>
      </c>
      <c r="G382" s="39"/>
      <c r="H382" s="32">
        <v>0.0</v>
      </c>
      <c r="I382" s="39"/>
      <c r="J382" s="32" t="s">
        <v>496</v>
      </c>
      <c r="K382" s="33" t="s">
        <v>497</v>
      </c>
      <c r="L382" s="32" t="e">
        <v>#N/A</v>
      </c>
      <c r="M382" s="32" t="s">
        <v>498</v>
      </c>
      <c r="N382" s="32" t="s">
        <v>51</v>
      </c>
      <c r="O382" s="32" t="s">
        <v>52</v>
      </c>
      <c r="P382" s="32">
        <v>14849.0</v>
      </c>
      <c r="Q382" s="34">
        <v>12028.0</v>
      </c>
      <c r="R382" s="40">
        <v>12899.0</v>
      </c>
      <c r="S382" s="35">
        <v>11285.24</v>
      </c>
      <c r="T382" s="36">
        <v>0.0</v>
      </c>
      <c r="U382" s="36">
        <v>2.0</v>
      </c>
      <c r="V382" s="36">
        <v>10.0</v>
      </c>
      <c r="W382" s="36">
        <v>0.0</v>
      </c>
      <c r="X382" s="36">
        <v>0.0</v>
      </c>
      <c r="Y382" s="36">
        <v>12.0</v>
      </c>
    </row>
    <row r="383">
      <c r="A383" s="32" t="s">
        <v>2812</v>
      </c>
      <c r="B383" s="32" t="s">
        <v>2812</v>
      </c>
      <c r="C383" s="32" t="s">
        <v>2813</v>
      </c>
      <c r="D383" s="32" t="s">
        <v>2815</v>
      </c>
      <c r="E383" s="32" t="s">
        <v>5073</v>
      </c>
      <c r="F383" s="32" t="e">
        <v>#N/A</v>
      </c>
      <c r="G383" s="32" t="e">
        <v>#N/A</v>
      </c>
      <c r="H383" s="32" t="s">
        <v>2812</v>
      </c>
      <c r="I383" s="32" t="s">
        <v>5073</v>
      </c>
      <c r="J383" s="32" t="s">
        <v>2812</v>
      </c>
      <c r="K383" s="33" t="s">
        <v>2816</v>
      </c>
      <c r="L383" s="32">
        <v>3.1818378E7</v>
      </c>
      <c r="M383" s="32" t="e">
        <v>#N/A</v>
      </c>
      <c r="N383" s="32" t="s">
        <v>5107</v>
      </c>
      <c r="O383" s="32" t="s">
        <v>4730</v>
      </c>
      <c r="P383" s="32">
        <v>2489.0</v>
      </c>
      <c r="Q383" s="34">
        <v>2037.0</v>
      </c>
      <c r="R383" s="40">
        <v>2037.0</v>
      </c>
      <c r="S383" s="35">
        <v>1866.75</v>
      </c>
      <c r="T383" s="36">
        <v>0.0</v>
      </c>
      <c r="U383" s="36">
        <v>0.0</v>
      </c>
      <c r="V383" s="36">
        <v>0.0</v>
      </c>
      <c r="W383" s="36">
        <v>12.0</v>
      </c>
      <c r="X383" s="36">
        <v>0.0</v>
      </c>
      <c r="Y383" s="36">
        <v>12.0</v>
      </c>
    </row>
    <row r="384">
      <c r="A384" s="32" t="s">
        <v>1897</v>
      </c>
      <c r="B384" s="32" t="s">
        <v>1897</v>
      </c>
      <c r="C384" s="32" t="s">
        <v>1898</v>
      </c>
      <c r="D384" s="32" t="s">
        <v>1899</v>
      </c>
      <c r="E384" s="32" t="s">
        <v>5073</v>
      </c>
      <c r="F384" s="32" t="e">
        <v>#N/A</v>
      </c>
      <c r="G384" s="39"/>
      <c r="H384" s="32" t="s">
        <v>1900</v>
      </c>
      <c r="I384" s="32" t="s">
        <v>5122</v>
      </c>
      <c r="J384" s="32" t="s">
        <v>1901</v>
      </c>
      <c r="K384" s="33" t="s">
        <v>1902</v>
      </c>
      <c r="L384" s="32">
        <v>3.2784229E7</v>
      </c>
      <c r="M384" s="32" t="s">
        <v>1903</v>
      </c>
      <c r="N384" s="32" t="s">
        <v>5109</v>
      </c>
      <c r="O384" s="32" t="s">
        <v>52</v>
      </c>
      <c r="P384" s="32">
        <v>38999.0</v>
      </c>
      <c r="Q384" s="34">
        <v>35099.0</v>
      </c>
      <c r="R384" s="40">
        <v>36999.0</v>
      </c>
      <c r="S384" s="35">
        <v>32759.16</v>
      </c>
      <c r="T384" s="36">
        <v>3.0</v>
      </c>
      <c r="U384" s="36">
        <v>1.0</v>
      </c>
      <c r="V384" s="36">
        <v>3.0</v>
      </c>
      <c r="W384" s="36">
        <v>2.0</v>
      </c>
      <c r="X384" s="36">
        <v>3.0</v>
      </c>
      <c r="Y384" s="36">
        <v>12.0</v>
      </c>
    </row>
    <row r="385">
      <c r="A385" s="32" t="s">
        <v>1530</v>
      </c>
      <c r="B385" s="32" t="s">
        <v>1530</v>
      </c>
      <c r="C385" s="32" t="s">
        <v>1531</v>
      </c>
      <c r="D385" s="32" t="s">
        <v>1532</v>
      </c>
      <c r="E385" s="32" t="s">
        <v>5073</v>
      </c>
      <c r="F385" s="32" t="e">
        <v>#N/A</v>
      </c>
      <c r="G385" s="39"/>
      <c r="H385" s="32" t="s">
        <v>1530</v>
      </c>
      <c r="I385" s="32" t="s">
        <v>5073</v>
      </c>
      <c r="J385" s="32" t="s">
        <v>1530</v>
      </c>
      <c r="K385" s="33" t="s">
        <v>1533</v>
      </c>
      <c r="L385" s="32">
        <v>3.2784111E7</v>
      </c>
      <c r="M385" s="32" t="s">
        <v>1534</v>
      </c>
      <c r="N385" s="32" t="s">
        <v>5112</v>
      </c>
      <c r="O385" s="32" t="s">
        <v>52</v>
      </c>
      <c r="P385" s="32">
        <v>14999.0</v>
      </c>
      <c r="Q385" s="34">
        <v>13499.0</v>
      </c>
      <c r="R385" s="40">
        <v>14199.0</v>
      </c>
      <c r="S385" s="35">
        <v>11549.23</v>
      </c>
      <c r="T385" s="36">
        <v>0.0</v>
      </c>
      <c r="U385" s="36">
        <v>0.0</v>
      </c>
      <c r="V385" s="36">
        <v>12.0</v>
      </c>
      <c r="W385" s="36">
        <v>0.0</v>
      </c>
      <c r="X385" s="36">
        <v>0.0</v>
      </c>
      <c r="Y385" s="36">
        <v>12.0</v>
      </c>
    </row>
    <row r="386">
      <c r="A386" s="32" t="s">
        <v>4542</v>
      </c>
      <c r="B386" s="32" t="s">
        <v>4542</v>
      </c>
      <c r="C386" s="32">
        <v>0.0</v>
      </c>
      <c r="D386" s="32" t="e">
        <v>#N/A</v>
      </c>
      <c r="E386" s="39"/>
      <c r="F386" s="32" t="e">
        <v>#N/A</v>
      </c>
      <c r="G386" s="39"/>
      <c r="H386" s="32">
        <v>0.0</v>
      </c>
      <c r="I386" s="39"/>
      <c r="J386" s="32" t="s">
        <v>4544</v>
      </c>
      <c r="K386" s="33" t="e">
        <v>#N/A</v>
      </c>
      <c r="L386" s="32" t="e">
        <v>#N/A</v>
      </c>
      <c r="M386" s="32" t="e">
        <v>#N/A</v>
      </c>
      <c r="N386" s="32" t="s">
        <v>5077</v>
      </c>
      <c r="O386" s="32" t="s">
        <v>4730</v>
      </c>
      <c r="P386" s="32">
        <v>1599.0</v>
      </c>
      <c r="Q386" s="34">
        <v>1519.0</v>
      </c>
      <c r="R386" s="40">
        <v>1519.0</v>
      </c>
      <c r="S386" s="35">
        <v>1439.1</v>
      </c>
      <c r="T386" s="36">
        <v>0.0</v>
      </c>
      <c r="U386" s="36">
        <v>0.0</v>
      </c>
      <c r="V386" s="36">
        <v>12.0</v>
      </c>
      <c r="W386" s="36">
        <v>0.0</v>
      </c>
      <c r="X386" s="36">
        <v>0.0</v>
      </c>
      <c r="Y386" s="36">
        <v>12.0</v>
      </c>
    </row>
    <row r="387">
      <c r="A387" s="32" t="s">
        <v>4302</v>
      </c>
      <c r="B387" s="32" t="s">
        <v>4302</v>
      </c>
      <c r="C387" s="32" t="s">
        <v>4303</v>
      </c>
      <c r="D387" s="32" t="s">
        <v>4304</v>
      </c>
      <c r="E387" s="32" t="s">
        <v>5073</v>
      </c>
      <c r="F387" s="32" t="e">
        <v>#N/A</v>
      </c>
      <c r="G387" s="38"/>
      <c r="H387" s="32">
        <v>0.0</v>
      </c>
      <c r="I387" s="39"/>
      <c r="J387" s="32" t="s">
        <v>4305</v>
      </c>
      <c r="K387" s="33" t="s">
        <v>4306</v>
      </c>
      <c r="L387" s="32" t="e">
        <v>#N/A</v>
      </c>
      <c r="M387" s="32" t="s">
        <v>4307</v>
      </c>
      <c r="N387" s="32" t="s">
        <v>5118</v>
      </c>
      <c r="O387" s="32" t="s">
        <v>52</v>
      </c>
      <c r="P387" s="32">
        <v>13799.0</v>
      </c>
      <c r="Q387" s="34">
        <v>12419.0</v>
      </c>
      <c r="R387" s="40">
        <v>13199.0</v>
      </c>
      <c r="S387" s="35">
        <v>12143.34</v>
      </c>
      <c r="T387" s="36">
        <v>0.0</v>
      </c>
      <c r="U387" s="36">
        <v>0.0</v>
      </c>
      <c r="V387" s="36">
        <v>10.0</v>
      </c>
      <c r="W387" s="36">
        <v>1.0</v>
      </c>
      <c r="X387" s="36">
        <v>0.0</v>
      </c>
      <c r="Y387" s="36">
        <v>11.0</v>
      </c>
    </row>
    <row r="388">
      <c r="A388" s="32" t="s">
        <v>2007</v>
      </c>
      <c r="B388" s="32" t="s">
        <v>2007</v>
      </c>
      <c r="C388" s="32" t="s">
        <v>2008</v>
      </c>
      <c r="D388" s="32" t="s">
        <v>2009</v>
      </c>
      <c r="E388" s="32" t="s">
        <v>5073</v>
      </c>
      <c r="F388" s="32" t="e">
        <v>#N/A</v>
      </c>
      <c r="G388" s="38"/>
      <c r="H388" s="32" t="s">
        <v>5135</v>
      </c>
      <c r="I388" s="32" t="s">
        <v>5102</v>
      </c>
      <c r="J388" s="32" t="s">
        <v>2010</v>
      </c>
      <c r="K388" s="33" t="s">
        <v>2011</v>
      </c>
      <c r="L388" s="32" t="e">
        <v>#N/A</v>
      </c>
      <c r="M388" s="32" t="e">
        <v>#N/A</v>
      </c>
      <c r="N388" s="32" t="s">
        <v>5132</v>
      </c>
      <c r="O388" s="32" t="s">
        <v>4730</v>
      </c>
      <c r="P388" s="32">
        <v>7499.0</v>
      </c>
      <c r="Q388" s="34">
        <v>5619.0</v>
      </c>
      <c r="R388" s="40">
        <v>6399.0</v>
      </c>
      <c r="S388" s="35">
        <v>5249.3</v>
      </c>
      <c r="T388" s="36">
        <v>5.0</v>
      </c>
      <c r="U388" s="36">
        <v>2.0</v>
      </c>
      <c r="V388" s="36">
        <v>0.0</v>
      </c>
      <c r="W388" s="36">
        <v>0.0</v>
      </c>
      <c r="X388" s="36">
        <v>4.0</v>
      </c>
      <c r="Y388" s="36">
        <v>11.0</v>
      </c>
    </row>
    <row r="389">
      <c r="A389" s="32" t="s">
        <v>258</v>
      </c>
      <c r="B389" s="32" t="s">
        <v>258</v>
      </c>
      <c r="C389" s="32" t="s">
        <v>259</v>
      </c>
      <c r="D389" s="32" t="s">
        <v>260</v>
      </c>
      <c r="E389" s="32" t="s">
        <v>5073</v>
      </c>
      <c r="F389" s="32" t="e">
        <v>#N/A</v>
      </c>
      <c r="G389" s="39"/>
      <c r="H389" s="32" t="s">
        <v>261</v>
      </c>
      <c r="I389" s="32" t="s">
        <v>5073</v>
      </c>
      <c r="J389" s="32" t="s">
        <v>262</v>
      </c>
      <c r="K389" s="33" t="s">
        <v>263</v>
      </c>
      <c r="L389" s="32">
        <v>3.27841E7</v>
      </c>
      <c r="M389" s="32" t="s">
        <v>264</v>
      </c>
      <c r="N389" s="32" t="s">
        <v>51</v>
      </c>
      <c r="O389" s="32" t="s">
        <v>52</v>
      </c>
      <c r="P389" s="32">
        <v>16599.0</v>
      </c>
      <c r="Q389" s="34">
        <v>13445.0</v>
      </c>
      <c r="R389" s="40">
        <v>14399.0</v>
      </c>
      <c r="S389" s="35">
        <v>12615.24</v>
      </c>
      <c r="T389" s="36">
        <v>0.0</v>
      </c>
      <c r="U389" s="36">
        <v>1.0</v>
      </c>
      <c r="V389" s="36">
        <v>5.0</v>
      </c>
      <c r="W389" s="36">
        <v>2.0</v>
      </c>
      <c r="X389" s="36">
        <v>3.0</v>
      </c>
      <c r="Y389" s="36">
        <v>11.0</v>
      </c>
    </row>
    <row r="390">
      <c r="A390" s="32" t="s">
        <v>505</v>
      </c>
      <c r="B390" s="32" t="s">
        <v>505</v>
      </c>
      <c r="C390" s="32" t="s">
        <v>506</v>
      </c>
      <c r="D390" s="32" t="s">
        <v>507</v>
      </c>
      <c r="E390" s="32" t="s">
        <v>5073</v>
      </c>
      <c r="F390" s="32" t="e">
        <v>#N/A</v>
      </c>
      <c r="G390" s="39"/>
      <c r="H390" s="32">
        <v>0.0</v>
      </c>
      <c r="I390" s="39"/>
      <c r="J390" s="32" t="s">
        <v>508</v>
      </c>
      <c r="K390" s="33" t="s">
        <v>509</v>
      </c>
      <c r="L390" s="32" t="e">
        <v>#N/A</v>
      </c>
      <c r="M390" s="32" t="s">
        <v>510</v>
      </c>
      <c r="N390" s="32" t="s">
        <v>51</v>
      </c>
      <c r="O390" s="32" t="s">
        <v>52</v>
      </c>
      <c r="P390" s="32">
        <v>15969.0</v>
      </c>
      <c r="Q390" s="34">
        <v>12935.0</v>
      </c>
      <c r="R390" s="40">
        <v>13899.0</v>
      </c>
      <c r="S390" s="35">
        <v>12136.44</v>
      </c>
      <c r="T390" s="36">
        <v>3.0</v>
      </c>
      <c r="U390" s="36">
        <v>2.0</v>
      </c>
      <c r="V390" s="36">
        <v>6.0</v>
      </c>
      <c r="W390" s="36">
        <v>0.0</v>
      </c>
      <c r="X390" s="36">
        <v>0.0</v>
      </c>
      <c r="Y390" s="36">
        <v>11.0</v>
      </c>
    </row>
    <row r="391">
      <c r="A391" s="32" t="s">
        <v>2604</v>
      </c>
      <c r="B391" s="32" t="s">
        <v>2604</v>
      </c>
      <c r="C391" s="32" t="s">
        <v>2605</v>
      </c>
      <c r="D391" s="32" t="s">
        <v>2606</v>
      </c>
      <c r="E391" s="32" t="s">
        <v>5117</v>
      </c>
      <c r="F391" s="32" t="e">
        <v>#N/A</v>
      </c>
      <c r="G391" s="32" t="e">
        <v>#N/A</v>
      </c>
      <c r="H391" s="32" t="s">
        <v>2604</v>
      </c>
      <c r="I391" s="32" t="s">
        <v>5102</v>
      </c>
      <c r="J391" s="32" t="s">
        <v>2604</v>
      </c>
      <c r="K391" s="33" t="s">
        <v>2607</v>
      </c>
      <c r="L391" s="32" t="e">
        <v>#N/A</v>
      </c>
      <c r="M391" s="32" t="s">
        <v>2608</v>
      </c>
      <c r="N391" s="32" t="s">
        <v>1195</v>
      </c>
      <c r="O391" s="32" t="s">
        <v>5114</v>
      </c>
      <c r="P391" s="32">
        <v>2989.0</v>
      </c>
      <c r="Q391" s="34">
        <v>2147.0</v>
      </c>
      <c r="R391" s="40">
        <v>2099.0</v>
      </c>
      <c r="S391" s="35">
        <v>2092.3</v>
      </c>
      <c r="T391" s="36">
        <v>2.0</v>
      </c>
      <c r="U391" s="36">
        <v>3.0</v>
      </c>
      <c r="V391" s="36">
        <v>1.0</v>
      </c>
      <c r="W391" s="36">
        <v>4.0</v>
      </c>
      <c r="X391" s="36">
        <v>1.0</v>
      </c>
      <c r="Y391" s="36">
        <v>11.0</v>
      </c>
    </row>
    <row r="392">
      <c r="A392" s="32" t="s">
        <v>2604</v>
      </c>
      <c r="B392" s="32" t="s">
        <v>2604</v>
      </c>
      <c r="C392" s="32" t="s">
        <v>4793</v>
      </c>
      <c r="D392" s="32" t="s">
        <v>4794</v>
      </c>
      <c r="E392" s="32" t="s">
        <v>5073</v>
      </c>
      <c r="F392" s="32" t="e">
        <v>#N/A</v>
      </c>
      <c r="G392" s="39"/>
      <c r="H392" s="32" t="e">
        <v>#N/A</v>
      </c>
      <c r="I392" s="39"/>
      <c r="J392" s="32" t="s">
        <v>4795</v>
      </c>
      <c r="K392" s="33" t="s">
        <v>2607</v>
      </c>
      <c r="L392" s="32" t="e">
        <v>#N/A</v>
      </c>
      <c r="M392" s="32" t="e">
        <v>#N/A</v>
      </c>
      <c r="N392" s="32" t="s">
        <v>1195</v>
      </c>
      <c r="O392" s="32" t="s">
        <v>5114</v>
      </c>
      <c r="P392" s="32">
        <v>2989.0</v>
      </c>
      <c r="Q392" s="34">
        <v>2147.0</v>
      </c>
      <c r="R392" s="40">
        <v>2099.0</v>
      </c>
      <c r="S392" s="35">
        <v>2092.3</v>
      </c>
      <c r="T392" s="36">
        <v>2.0</v>
      </c>
      <c r="U392" s="36">
        <v>3.0</v>
      </c>
      <c r="V392" s="36">
        <v>1.0</v>
      </c>
      <c r="W392" s="36">
        <v>4.0</v>
      </c>
      <c r="X392" s="36">
        <v>1.0</v>
      </c>
      <c r="Y392" s="36">
        <v>11.0</v>
      </c>
    </row>
    <row r="393">
      <c r="A393" s="32" t="s">
        <v>1425</v>
      </c>
      <c r="B393" s="32" t="s">
        <v>1425</v>
      </c>
      <c r="C393" s="32" t="s">
        <v>1426</v>
      </c>
      <c r="D393" s="32" t="s">
        <v>1427</v>
      </c>
      <c r="E393" s="32" t="s">
        <v>5073</v>
      </c>
      <c r="F393" s="32" t="e">
        <v>#N/A</v>
      </c>
      <c r="G393" s="39"/>
      <c r="H393" s="32" t="s">
        <v>1428</v>
      </c>
      <c r="I393" s="32" t="s">
        <v>5073</v>
      </c>
      <c r="J393" s="32" t="s">
        <v>1429</v>
      </c>
      <c r="K393" s="33" t="s">
        <v>1430</v>
      </c>
      <c r="L393" s="32">
        <v>3.1818447E7</v>
      </c>
      <c r="M393" s="32" t="e">
        <v>#N/A</v>
      </c>
      <c r="N393" s="32" t="s">
        <v>5089</v>
      </c>
      <c r="O393" s="32" t="s">
        <v>4730</v>
      </c>
      <c r="P393" s="32">
        <v>2999.0</v>
      </c>
      <c r="Q393" s="34">
        <v>2449.0</v>
      </c>
      <c r="R393" s="40">
        <v>2449.0</v>
      </c>
      <c r="S393" s="35">
        <v>2399.2</v>
      </c>
      <c r="T393" s="36">
        <v>0.0</v>
      </c>
      <c r="U393" s="36">
        <v>0.0</v>
      </c>
      <c r="V393" s="36">
        <v>7.0</v>
      </c>
      <c r="W393" s="36">
        <v>2.0</v>
      </c>
      <c r="X393" s="36">
        <v>2.0</v>
      </c>
      <c r="Y393" s="36">
        <v>11.0</v>
      </c>
    </row>
    <row r="394">
      <c r="A394" s="32" t="s">
        <v>2905</v>
      </c>
      <c r="B394" s="32" t="s">
        <v>2905</v>
      </c>
      <c r="C394" s="32" t="s">
        <v>2906</v>
      </c>
      <c r="D394" s="32" t="s">
        <v>2907</v>
      </c>
      <c r="E394" s="32" t="s">
        <v>5073</v>
      </c>
      <c r="F394" s="32" t="e">
        <v>#N/A</v>
      </c>
      <c r="G394" s="39"/>
      <c r="H394" s="32" t="s">
        <v>2908</v>
      </c>
      <c r="I394" s="32" t="s">
        <v>5073</v>
      </c>
      <c r="J394" s="32" t="s">
        <v>2909</v>
      </c>
      <c r="K394" s="33" t="s">
        <v>2910</v>
      </c>
      <c r="L394" s="32" t="e">
        <v>#N/A</v>
      </c>
      <c r="M394" s="32" t="e">
        <v>#N/A</v>
      </c>
      <c r="N394" s="32" t="s">
        <v>5116</v>
      </c>
      <c r="O394" s="32" t="s">
        <v>4730</v>
      </c>
      <c r="P394" s="32">
        <v>2699.0</v>
      </c>
      <c r="Q394" s="34">
        <v>2399.0</v>
      </c>
      <c r="R394" s="40">
        <v>2399.0</v>
      </c>
      <c r="S394" s="35">
        <v>2294.15</v>
      </c>
      <c r="T394" s="36">
        <v>2.0</v>
      </c>
      <c r="U394" s="36">
        <v>1.0</v>
      </c>
      <c r="V394" s="36">
        <v>3.0</v>
      </c>
      <c r="W394" s="36">
        <v>3.0</v>
      </c>
      <c r="X394" s="36">
        <v>2.0</v>
      </c>
      <c r="Y394" s="36">
        <v>11.0</v>
      </c>
    </row>
    <row r="395">
      <c r="A395" s="32" t="s">
        <v>1450</v>
      </c>
      <c r="B395" s="32" t="s">
        <v>1450</v>
      </c>
      <c r="C395" s="32" t="s">
        <v>1451</v>
      </c>
      <c r="D395" s="32" t="s">
        <v>1453</v>
      </c>
      <c r="E395" s="32" t="s">
        <v>5073</v>
      </c>
      <c r="F395" s="32" t="s">
        <v>1452</v>
      </c>
      <c r="G395" s="32" t="s">
        <v>5100</v>
      </c>
      <c r="H395" s="32" t="s">
        <v>1454</v>
      </c>
      <c r="I395" s="32" t="s">
        <v>5073</v>
      </c>
      <c r="J395" s="32" t="s">
        <v>1455</v>
      </c>
      <c r="K395" s="33" t="s">
        <v>1456</v>
      </c>
      <c r="L395" s="32">
        <v>3.1818375E7</v>
      </c>
      <c r="M395" s="32" t="e">
        <v>#N/A</v>
      </c>
      <c r="N395" s="32" t="s">
        <v>5089</v>
      </c>
      <c r="O395" s="32" t="s">
        <v>4730</v>
      </c>
      <c r="P395" s="32">
        <v>2999.0</v>
      </c>
      <c r="Q395" s="34">
        <v>2449.0</v>
      </c>
      <c r="R395" s="40">
        <v>2449.0</v>
      </c>
      <c r="S395" s="35">
        <v>2399.2</v>
      </c>
      <c r="T395" s="36">
        <v>0.0</v>
      </c>
      <c r="U395" s="36">
        <v>0.0</v>
      </c>
      <c r="V395" s="36">
        <v>11.0</v>
      </c>
      <c r="W395" s="36">
        <v>0.0</v>
      </c>
      <c r="X395" s="36">
        <v>0.0</v>
      </c>
      <c r="Y395" s="36">
        <v>11.0</v>
      </c>
    </row>
    <row r="396">
      <c r="A396" s="32" t="s">
        <v>1747</v>
      </c>
      <c r="B396" s="32" t="s">
        <v>1747</v>
      </c>
      <c r="C396" s="32" t="s">
        <v>1748</v>
      </c>
      <c r="D396" s="32" t="s">
        <v>1749</v>
      </c>
      <c r="E396" s="32" t="s">
        <v>5073</v>
      </c>
      <c r="F396" s="32" t="e">
        <v>#N/A</v>
      </c>
      <c r="G396" s="39"/>
      <c r="H396" s="32" t="s">
        <v>1750</v>
      </c>
      <c r="I396" s="32" t="s">
        <v>5073</v>
      </c>
      <c r="J396" s="32" t="s">
        <v>1751</v>
      </c>
      <c r="K396" s="33" t="s">
        <v>1752</v>
      </c>
      <c r="L396" s="32">
        <v>3.2784152E7</v>
      </c>
      <c r="M396" s="32" t="s">
        <v>1753</v>
      </c>
      <c r="N396" s="32" t="s">
        <v>5109</v>
      </c>
      <c r="O396" s="32" t="s">
        <v>52</v>
      </c>
      <c r="P396" s="32">
        <v>24999.0</v>
      </c>
      <c r="Q396" s="34">
        <v>22499.0</v>
      </c>
      <c r="R396" s="40">
        <v>23699.0</v>
      </c>
      <c r="S396" s="35">
        <v>20999.16</v>
      </c>
      <c r="T396" s="36">
        <v>1.0</v>
      </c>
      <c r="U396" s="36">
        <v>3.0</v>
      </c>
      <c r="V396" s="36">
        <v>4.0</v>
      </c>
      <c r="W396" s="36">
        <v>0.0</v>
      </c>
      <c r="X396" s="36">
        <v>3.0</v>
      </c>
      <c r="Y396" s="36">
        <v>11.0</v>
      </c>
    </row>
    <row r="397">
      <c r="A397" s="32" t="s">
        <v>1535</v>
      </c>
      <c r="B397" s="32" t="s">
        <v>1535</v>
      </c>
      <c r="C397" s="32" t="s">
        <v>1536</v>
      </c>
      <c r="D397" s="32" t="s">
        <v>1537</v>
      </c>
      <c r="E397" s="32" t="s">
        <v>5073</v>
      </c>
      <c r="F397" s="32" t="e">
        <v>#N/A</v>
      </c>
      <c r="G397" s="39"/>
      <c r="H397" s="32" t="s">
        <v>1535</v>
      </c>
      <c r="I397" s="32" t="s">
        <v>5073</v>
      </c>
      <c r="J397" s="32" t="s">
        <v>1535</v>
      </c>
      <c r="K397" s="33" t="s">
        <v>1538</v>
      </c>
      <c r="L397" s="32">
        <v>3.2783981E7</v>
      </c>
      <c r="M397" s="32" t="s">
        <v>1539</v>
      </c>
      <c r="N397" s="32" t="s">
        <v>5112</v>
      </c>
      <c r="O397" s="32" t="s">
        <v>52</v>
      </c>
      <c r="P397" s="32">
        <v>14999.0</v>
      </c>
      <c r="Q397" s="34">
        <v>13499.0</v>
      </c>
      <c r="R397" s="40">
        <v>14199.0</v>
      </c>
      <c r="S397" s="35">
        <v>11549.23</v>
      </c>
      <c r="T397" s="36">
        <v>1.0</v>
      </c>
      <c r="U397" s="36">
        <v>2.0</v>
      </c>
      <c r="V397" s="36">
        <v>3.0</v>
      </c>
      <c r="W397" s="36">
        <v>3.0</v>
      </c>
      <c r="X397" s="36">
        <v>2.0</v>
      </c>
      <c r="Y397" s="36">
        <v>11.0</v>
      </c>
    </row>
    <row r="398">
      <c r="A398" s="32" t="s">
        <v>4992</v>
      </c>
      <c r="B398" s="32" t="s">
        <v>4992</v>
      </c>
      <c r="C398" s="32" t="s">
        <v>4993</v>
      </c>
      <c r="D398" s="32" t="s">
        <v>4994</v>
      </c>
      <c r="E398" s="32" t="s">
        <v>5102</v>
      </c>
      <c r="F398" s="38"/>
      <c r="G398" s="38"/>
      <c r="H398" s="38"/>
      <c r="I398" s="38"/>
      <c r="J398" s="32" t="s">
        <v>4995</v>
      </c>
      <c r="K398" s="38"/>
      <c r="L398" s="38"/>
      <c r="M398" s="38"/>
      <c r="N398" s="32" t="s">
        <v>5077</v>
      </c>
      <c r="O398" s="32" t="s">
        <v>4730</v>
      </c>
      <c r="P398" s="32">
        <v>1599.0</v>
      </c>
      <c r="Q398" s="44">
        <v>1519.0</v>
      </c>
      <c r="R398" s="40">
        <v>1519.0</v>
      </c>
      <c r="S398" s="35">
        <v>1439.1</v>
      </c>
      <c r="T398" s="36">
        <v>10.0</v>
      </c>
      <c r="U398" s="36">
        <v>0.0</v>
      </c>
      <c r="V398" s="36">
        <v>1.0</v>
      </c>
      <c r="W398" s="36">
        <v>0.0</v>
      </c>
      <c r="X398" s="36">
        <v>0.0</v>
      </c>
      <c r="Y398" s="36">
        <v>11.0</v>
      </c>
    </row>
    <row r="399">
      <c r="A399" s="32" t="s">
        <v>2669</v>
      </c>
      <c r="B399" s="32" t="s">
        <v>2669</v>
      </c>
      <c r="C399" s="32">
        <v>0.0</v>
      </c>
      <c r="D399" s="32" t="e">
        <v>#N/A</v>
      </c>
      <c r="E399" s="39"/>
      <c r="F399" s="32" t="e">
        <v>#N/A</v>
      </c>
      <c r="G399" s="39"/>
      <c r="H399" s="32" t="e">
        <v>#N/A</v>
      </c>
      <c r="I399" s="39"/>
      <c r="J399" s="32">
        <v>0.0</v>
      </c>
      <c r="K399" s="33" t="e">
        <v>#N/A</v>
      </c>
      <c r="L399" s="32" t="e">
        <v>#N/A</v>
      </c>
      <c r="M399" s="32" t="e">
        <v>#N/A</v>
      </c>
      <c r="N399" s="32" t="e">
        <v>#N/A</v>
      </c>
      <c r="O399" s="32" t="e">
        <v>#N/A</v>
      </c>
      <c r="P399" s="32" t="e">
        <v>#REF!</v>
      </c>
      <c r="Q399" s="32" t="e">
        <v>#N/A</v>
      </c>
      <c r="R399" s="42" t="e">
        <v>#N/A</v>
      </c>
      <c r="S399" s="42" t="e">
        <v>#N/A</v>
      </c>
      <c r="T399" s="36">
        <v>0.0</v>
      </c>
      <c r="U399" s="36">
        <v>0.0</v>
      </c>
      <c r="V399" s="36">
        <v>11.0</v>
      </c>
      <c r="W399" s="36">
        <v>0.0</v>
      </c>
      <c r="X399" s="36">
        <v>0.0</v>
      </c>
      <c r="Y399" s="36">
        <v>11.0</v>
      </c>
    </row>
    <row r="400">
      <c r="A400" s="32" t="s">
        <v>4589</v>
      </c>
      <c r="B400" s="32" t="s">
        <v>4589</v>
      </c>
      <c r="C400" s="32">
        <v>0.0</v>
      </c>
      <c r="D400" s="32">
        <v>0.0</v>
      </c>
      <c r="E400" s="39"/>
      <c r="F400" s="32" t="e">
        <v>#N/A</v>
      </c>
      <c r="G400" s="39"/>
      <c r="H400" s="32">
        <v>0.0</v>
      </c>
      <c r="I400" s="39"/>
      <c r="J400" s="32" t="s">
        <v>4591</v>
      </c>
      <c r="K400" s="33" t="e">
        <v>#N/A</v>
      </c>
      <c r="L400" s="32" t="e">
        <v>#N/A</v>
      </c>
      <c r="M400" s="32" t="e">
        <v>#N/A</v>
      </c>
      <c r="N400" s="32" t="s">
        <v>5077</v>
      </c>
      <c r="O400" s="32" t="s">
        <v>4730</v>
      </c>
      <c r="P400" s="32">
        <v>1599.0</v>
      </c>
      <c r="Q400" s="34">
        <v>1519.0</v>
      </c>
      <c r="R400" s="40">
        <v>1519.0</v>
      </c>
      <c r="S400" s="35">
        <v>1439.1</v>
      </c>
      <c r="T400" s="36">
        <v>0.0</v>
      </c>
      <c r="U400" s="36">
        <v>0.0</v>
      </c>
      <c r="V400" s="36">
        <v>10.0</v>
      </c>
      <c r="W400" s="36">
        <v>0.0</v>
      </c>
      <c r="X400" s="36">
        <v>0.0</v>
      </c>
      <c r="Y400" s="36">
        <v>10.0</v>
      </c>
    </row>
    <row r="401">
      <c r="A401" s="32" t="s">
        <v>1004</v>
      </c>
      <c r="B401" s="32" t="s">
        <v>1004</v>
      </c>
      <c r="C401" s="32" t="s">
        <v>1005</v>
      </c>
      <c r="D401" s="32" t="s">
        <v>1006</v>
      </c>
      <c r="E401" s="32" t="s">
        <v>5073</v>
      </c>
      <c r="F401" s="32" t="e">
        <v>#N/A</v>
      </c>
      <c r="G401" s="32" t="e">
        <v>#N/A</v>
      </c>
      <c r="H401" s="32" t="s">
        <v>1007</v>
      </c>
      <c r="I401" s="32" t="s">
        <v>5073</v>
      </c>
      <c r="J401" s="32" t="s">
        <v>1008</v>
      </c>
      <c r="K401" s="33" t="s">
        <v>1009</v>
      </c>
      <c r="L401" s="32">
        <v>3.1999075E7</v>
      </c>
      <c r="M401" s="32" t="s">
        <v>1010</v>
      </c>
      <c r="N401" s="32" t="s">
        <v>5108</v>
      </c>
      <c r="O401" s="32" t="s">
        <v>52</v>
      </c>
      <c r="P401" s="32">
        <v>19399.0</v>
      </c>
      <c r="Q401" s="34">
        <v>16295.0</v>
      </c>
      <c r="R401" s="40">
        <v>17499.0</v>
      </c>
      <c r="S401" s="35">
        <v>15519.2</v>
      </c>
      <c r="T401" s="36">
        <v>6.0</v>
      </c>
      <c r="U401" s="36">
        <v>4.0</v>
      </c>
      <c r="V401" s="36">
        <v>0.0</v>
      </c>
      <c r="W401" s="36">
        <v>0.0</v>
      </c>
      <c r="X401" s="36">
        <v>0.0</v>
      </c>
      <c r="Y401" s="36">
        <v>10.0</v>
      </c>
    </row>
    <row r="402">
      <c r="A402" s="32" t="s">
        <v>943</v>
      </c>
      <c r="B402" s="32" t="s">
        <v>943</v>
      </c>
      <c r="C402" s="32" t="s">
        <v>944</v>
      </c>
      <c r="D402" s="32" t="s">
        <v>945</v>
      </c>
      <c r="E402" s="32" t="s">
        <v>5073</v>
      </c>
      <c r="F402" s="32" t="e">
        <v>#N/A</v>
      </c>
      <c r="G402" s="32" t="e">
        <v>#N/A</v>
      </c>
      <c r="H402" s="32" t="s">
        <v>946</v>
      </c>
      <c r="I402" s="32" t="s">
        <v>5073</v>
      </c>
      <c r="J402" s="32" t="s">
        <v>947</v>
      </c>
      <c r="K402" s="33" t="s">
        <v>948</v>
      </c>
      <c r="L402" s="32">
        <v>3.1999084E7</v>
      </c>
      <c r="M402" s="32" t="s">
        <v>949</v>
      </c>
      <c r="N402" s="32" t="s">
        <v>5108</v>
      </c>
      <c r="O402" s="32" t="s">
        <v>52</v>
      </c>
      <c r="P402" s="32">
        <v>19799.0</v>
      </c>
      <c r="Q402" s="34">
        <v>16631.0</v>
      </c>
      <c r="R402" s="40">
        <v>17799.0</v>
      </c>
      <c r="S402" s="35">
        <v>15839.2</v>
      </c>
      <c r="T402" s="36">
        <v>1.0</v>
      </c>
      <c r="U402" s="36">
        <v>0.0</v>
      </c>
      <c r="V402" s="36">
        <v>8.0</v>
      </c>
      <c r="W402" s="36">
        <v>0.0</v>
      </c>
      <c r="X402" s="36">
        <v>1.0</v>
      </c>
      <c r="Y402" s="36">
        <v>10.0</v>
      </c>
    </row>
    <row r="403">
      <c r="A403" s="32" t="s">
        <v>2679</v>
      </c>
      <c r="B403" s="32" t="s">
        <v>2679</v>
      </c>
      <c r="C403" s="32" t="s">
        <v>2680</v>
      </c>
      <c r="D403" s="32" t="s">
        <v>2681</v>
      </c>
      <c r="E403" s="32" t="s">
        <v>5073</v>
      </c>
      <c r="F403" s="32" t="e">
        <v>#N/A</v>
      </c>
      <c r="G403" s="39"/>
      <c r="H403" s="32" t="s">
        <v>2682</v>
      </c>
      <c r="I403" s="32" t="s">
        <v>5073</v>
      </c>
      <c r="J403" s="32" t="s">
        <v>2683</v>
      </c>
      <c r="K403" s="33" t="s">
        <v>2684</v>
      </c>
      <c r="L403" s="32">
        <v>3.181837E7</v>
      </c>
      <c r="M403" s="32" t="e">
        <v>#N/A</v>
      </c>
      <c r="N403" s="32" t="s">
        <v>5107</v>
      </c>
      <c r="O403" s="32" t="s">
        <v>4730</v>
      </c>
      <c r="P403" s="32">
        <v>1889.0</v>
      </c>
      <c r="Q403" s="34">
        <v>1548.0</v>
      </c>
      <c r="R403" s="40">
        <v>1548.0</v>
      </c>
      <c r="S403" s="35">
        <v>1416.75</v>
      </c>
      <c r="T403" s="36">
        <v>0.0</v>
      </c>
      <c r="U403" s="36">
        <v>0.0</v>
      </c>
      <c r="V403" s="36">
        <v>10.0</v>
      </c>
      <c r="W403" s="36">
        <v>0.0</v>
      </c>
      <c r="X403" s="36">
        <v>0.0</v>
      </c>
      <c r="Y403" s="36">
        <v>10.0</v>
      </c>
    </row>
    <row r="404">
      <c r="A404" s="32" t="s">
        <v>3917</v>
      </c>
      <c r="B404" s="32" t="s">
        <v>3917</v>
      </c>
      <c r="C404" s="32">
        <v>0.0</v>
      </c>
      <c r="D404" s="32" t="e">
        <v>#N/A</v>
      </c>
      <c r="E404" s="39"/>
      <c r="F404" s="32" t="e">
        <v>#N/A</v>
      </c>
      <c r="G404" s="39"/>
      <c r="H404" s="32" t="e">
        <v>#N/A</v>
      </c>
      <c r="I404" s="39"/>
      <c r="J404" s="32">
        <v>0.0</v>
      </c>
      <c r="K404" s="33" t="e">
        <v>#N/A</v>
      </c>
      <c r="L404" s="32" t="e">
        <v>#N/A</v>
      </c>
      <c r="M404" s="32" t="e">
        <v>#N/A</v>
      </c>
      <c r="N404" s="32" t="e">
        <v>#N/A</v>
      </c>
      <c r="O404" s="32" t="e">
        <v>#N/A</v>
      </c>
      <c r="P404" s="32" t="e">
        <v>#REF!</v>
      </c>
      <c r="Q404" s="32" t="e">
        <v>#N/A</v>
      </c>
      <c r="R404" s="42" t="e">
        <v>#N/A</v>
      </c>
      <c r="S404" s="42" t="e">
        <v>#N/A</v>
      </c>
      <c r="T404" s="36">
        <v>1.0</v>
      </c>
      <c r="U404" s="36">
        <v>0.0</v>
      </c>
      <c r="V404" s="36">
        <v>8.0</v>
      </c>
      <c r="W404" s="36">
        <v>0.0</v>
      </c>
      <c r="X404" s="36">
        <v>0.0</v>
      </c>
      <c r="Y404" s="36">
        <v>9.0</v>
      </c>
    </row>
    <row r="405">
      <c r="A405" s="32" t="s">
        <v>1053</v>
      </c>
      <c r="B405" s="32" t="s">
        <v>1053</v>
      </c>
      <c r="C405" s="32" t="s">
        <v>1054</v>
      </c>
      <c r="D405" s="32" t="s">
        <v>1055</v>
      </c>
      <c r="E405" s="32" t="s">
        <v>5102</v>
      </c>
      <c r="F405" s="32" t="e">
        <v>#N/A</v>
      </c>
      <c r="G405" s="32" t="e">
        <v>#N/A</v>
      </c>
      <c r="H405" s="32">
        <v>0.0</v>
      </c>
      <c r="I405" s="39"/>
      <c r="J405" s="32" t="s">
        <v>1056</v>
      </c>
      <c r="K405" s="33" t="s">
        <v>1057</v>
      </c>
      <c r="L405" s="32" t="e">
        <v>#N/A</v>
      </c>
      <c r="M405" s="32" t="e">
        <v>#N/A</v>
      </c>
      <c r="N405" s="32" t="s">
        <v>5108</v>
      </c>
      <c r="O405" s="32" t="s">
        <v>52</v>
      </c>
      <c r="P405" s="32">
        <v>22999.0</v>
      </c>
      <c r="Q405" s="34">
        <v>19319.0</v>
      </c>
      <c r="R405" s="40">
        <v>20699.0</v>
      </c>
      <c r="S405" s="35">
        <v>18399.2</v>
      </c>
      <c r="T405" s="36">
        <v>0.0</v>
      </c>
      <c r="U405" s="36">
        <v>0.0</v>
      </c>
      <c r="V405" s="36">
        <v>9.0</v>
      </c>
      <c r="W405" s="36">
        <v>0.0</v>
      </c>
      <c r="X405" s="36">
        <v>0.0</v>
      </c>
      <c r="Y405" s="36">
        <v>9.0</v>
      </c>
    </row>
    <row r="406">
      <c r="A406" s="32" t="s">
        <v>1022</v>
      </c>
      <c r="B406" s="32" t="s">
        <v>1022</v>
      </c>
      <c r="C406" s="32" t="s">
        <v>1023</v>
      </c>
      <c r="D406" s="32" t="s">
        <v>1024</v>
      </c>
      <c r="E406" s="32" t="s">
        <v>5073</v>
      </c>
      <c r="F406" s="32" t="e">
        <v>#N/A</v>
      </c>
      <c r="G406" s="32" t="e">
        <v>#N/A</v>
      </c>
      <c r="H406" s="32">
        <v>0.0</v>
      </c>
      <c r="I406" s="39"/>
      <c r="J406" s="32" t="s">
        <v>1025</v>
      </c>
      <c r="K406" s="33" t="s">
        <v>1026</v>
      </c>
      <c r="L406" s="32" t="e">
        <v>#N/A</v>
      </c>
      <c r="M406" s="32" t="e">
        <v>#N/A</v>
      </c>
      <c r="N406" s="32" t="s">
        <v>5108</v>
      </c>
      <c r="O406" s="32" t="s">
        <v>52</v>
      </c>
      <c r="P406" s="32">
        <v>19999.0</v>
      </c>
      <c r="Q406" s="34">
        <v>16799.0</v>
      </c>
      <c r="R406" s="40">
        <v>17999.0</v>
      </c>
      <c r="S406" s="35">
        <v>15999.2</v>
      </c>
      <c r="T406" s="36">
        <v>0.0</v>
      </c>
      <c r="U406" s="36">
        <v>0.0</v>
      </c>
      <c r="V406" s="36">
        <v>9.0</v>
      </c>
      <c r="W406" s="36">
        <v>0.0</v>
      </c>
      <c r="X406" s="36">
        <v>0.0</v>
      </c>
      <c r="Y406" s="36">
        <v>9.0</v>
      </c>
    </row>
    <row r="407">
      <c r="A407" s="32" t="s">
        <v>3927</v>
      </c>
      <c r="B407" s="32" t="s">
        <v>3927</v>
      </c>
      <c r="C407" s="32" t="s">
        <v>3928</v>
      </c>
      <c r="D407" s="32" t="s">
        <v>3929</v>
      </c>
      <c r="E407" s="32" t="s">
        <v>5073</v>
      </c>
      <c r="F407" s="32" t="e">
        <v>#N/A</v>
      </c>
      <c r="G407" s="38"/>
      <c r="H407" s="32">
        <v>0.0</v>
      </c>
      <c r="I407" s="39"/>
      <c r="J407" s="32" t="s">
        <v>3930</v>
      </c>
      <c r="K407" s="33" t="s">
        <v>3931</v>
      </c>
      <c r="L407" s="32" t="e">
        <v>#N/A</v>
      </c>
      <c r="M407" s="32" t="s">
        <v>3932</v>
      </c>
      <c r="N407" s="32" t="s">
        <v>5118</v>
      </c>
      <c r="O407" s="32" t="s">
        <v>52</v>
      </c>
      <c r="P407" s="32">
        <v>8799.0</v>
      </c>
      <c r="Q407" s="34">
        <v>7919.0</v>
      </c>
      <c r="R407" s="40">
        <v>8399.0</v>
      </c>
      <c r="S407" s="35">
        <v>7721.34</v>
      </c>
      <c r="T407" s="36">
        <v>0.0</v>
      </c>
      <c r="U407" s="36">
        <v>0.0</v>
      </c>
      <c r="V407" s="36">
        <v>0.0</v>
      </c>
      <c r="W407" s="36">
        <v>0.0</v>
      </c>
      <c r="X407" s="36">
        <v>9.0</v>
      </c>
      <c r="Y407" s="36">
        <v>9.0</v>
      </c>
    </row>
    <row r="408">
      <c r="A408" s="32" t="s">
        <v>4433</v>
      </c>
      <c r="B408" s="32" t="s">
        <v>4433</v>
      </c>
      <c r="C408" s="32" t="s">
        <v>4434</v>
      </c>
      <c r="D408" s="32" t="s">
        <v>4435</v>
      </c>
      <c r="E408" s="32" t="s">
        <v>5073</v>
      </c>
      <c r="F408" s="32" t="e">
        <v>#N/A</v>
      </c>
      <c r="G408" s="39"/>
      <c r="H408" s="32">
        <v>0.0</v>
      </c>
      <c r="I408" s="39"/>
      <c r="J408" s="32" t="s">
        <v>4436</v>
      </c>
      <c r="K408" s="33" t="s">
        <v>4437</v>
      </c>
      <c r="L408" s="32" t="e">
        <v>#N/A</v>
      </c>
      <c r="M408" s="32" t="e">
        <v>#N/A</v>
      </c>
      <c r="N408" s="32" t="s">
        <v>5077</v>
      </c>
      <c r="O408" s="32" t="s">
        <v>4730</v>
      </c>
      <c r="P408" s="32">
        <v>999.0</v>
      </c>
      <c r="Q408" s="34">
        <v>949.0</v>
      </c>
      <c r="R408" s="35">
        <v>949.0</v>
      </c>
      <c r="S408" s="35">
        <v>899.1</v>
      </c>
      <c r="T408" s="36">
        <v>6.0</v>
      </c>
      <c r="U408" s="36">
        <v>0.0</v>
      </c>
      <c r="V408" s="36">
        <v>0.0</v>
      </c>
      <c r="W408" s="36">
        <v>0.0</v>
      </c>
      <c r="X408" s="36">
        <v>3.0</v>
      </c>
      <c r="Y408" s="36">
        <v>9.0</v>
      </c>
    </row>
    <row r="409">
      <c r="A409" s="32" t="s">
        <v>4438</v>
      </c>
      <c r="B409" s="32" t="s">
        <v>4438</v>
      </c>
      <c r="C409" s="32" t="s">
        <v>4439</v>
      </c>
      <c r="D409" s="32" t="s">
        <v>4440</v>
      </c>
      <c r="E409" s="32" t="s">
        <v>5073</v>
      </c>
      <c r="F409" s="32" t="e">
        <v>#N/A</v>
      </c>
      <c r="G409" s="39"/>
      <c r="H409" s="32">
        <v>0.0</v>
      </c>
      <c r="I409" s="39"/>
      <c r="J409" s="32" t="s">
        <v>4441</v>
      </c>
      <c r="K409" s="33" t="s">
        <v>4442</v>
      </c>
      <c r="L409" s="32" t="e">
        <v>#N/A</v>
      </c>
      <c r="M409" s="32" t="e">
        <v>#N/A</v>
      </c>
      <c r="N409" s="32" t="s">
        <v>5077</v>
      </c>
      <c r="O409" s="32" t="s">
        <v>4730</v>
      </c>
      <c r="P409" s="32">
        <v>999.0</v>
      </c>
      <c r="Q409" s="34">
        <v>949.0</v>
      </c>
      <c r="R409" s="35">
        <v>949.0</v>
      </c>
      <c r="S409" s="35">
        <v>899.1</v>
      </c>
      <c r="T409" s="36">
        <v>0.0</v>
      </c>
      <c r="U409" s="36">
        <v>7.0</v>
      </c>
      <c r="V409" s="36">
        <v>2.0</v>
      </c>
      <c r="W409" s="36">
        <v>0.0</v>
      </c>
      <c r="X409" s="36">
        <v>0.0</v>
      </c>
      <c r="Y409" s="36">
        <v>9.0</v>
      </c>
    </row>
    <row r="410">
      <c r="A410" s="32" t="s">
        <v>2268</v>
      </c>
      <c r="B410" s="32" t="s">
        <v>2268</v>
      </c>
      <c r="C410" s="32" t="s">
        <v>2269</v>
      </c>
      <c r="D410" s="32" t="s">
        <v>2270</v>
      </c>
      <c r="E410" s="32" t="s">
        <v>5073</v>
      </c>
      <c r="F410" s="32" t="e">
        <v>#N/A</v>
      </c>
      <c r="G410" s="39"/>
      <c r="H410" s="32" t="s">
        <v>2271</v>
      </c>
      <c r="I410" s="32" t="s">
        <v>5073</v>
      </c>
      <c r="J410" s="32" t="s">
        <v>2272</v>
      </c>
      <c r="K410" s="33" t="s">
        <v>2273</v>
      </c>
      <c r="L410" s="32">
        <v>3.1862328E7</v>
      </c>
      <c r="M410" s="32" t="e">
        <v>#N/A</v>
      </c>
      <c r="N410" s="32" t="s">
        <v>5077</v>
      </c>
      <c r="O410" s="32" t="s">
        <v>4730</v>
      </c>
      <c r="P410" s="32">
        <v>989.0</v>
      </c>
      <c r="Q410" s="34">
        <v>940.0</v>
      </c>
      <c r="R410" s="35">
        <v>940.0</v>
      </c>
      <c r="S410" s="35">
        <v>890.1</v>
      </c>
      <c r="T410" s="36">
        <v>0.0</v>
      </c>
      <c r="U410" s="36">
        <v>0.0</v>
      </c>
      <c r="V410" s="36">
        <v>9.0</v>
      </c>
      <c r="W410" s="36">
        <v>0.0</v>
      </c>
      <c r="X410" s="36">
        <v>0.0</v>
      </c>
      <c r="Y410" s="36">
        <v>9.0</v>
      </c>
    </row>
    <row r="411">
      <c r="A411" s="32" t="s">
        <v>1351</v>
      </c>
      <c r="B411" s="32" t="s">
        <v>1351</v>
      </c>
      <c r="C411" s="32" t="s">
        <v>1352</v>
      </c>
      <c r="D411" s="32" t="s">
        <v>1353</v>
      </c>
      <c r="E411" s="32" t="s">
        <v>5073</v>
      </c>
      <c r="F411" s="32" t="e">
        <v>#N/A</v>
      </c>
      <c r="G411" s="39"/>
      <c r="H411" s="32" t="s">
        <v>1354</v>
      </c>
      <c r="I411" s="32" t="s">
        <v>5073</v>
      </c>
      <c r="J411" s="32" t="s">
        <v>1355</v>
      </c>
      <c r="K411" s="33" t="s">
        <v>1356</v>
      </c>
      <c r="L411" s="32">
        <v>3.1818436E7</v>
      </c>
      <c r="M411" s="32" t="e">
        <v>#N/A</v>
      </c>
      <c r="N411" s="32" t="s">
        <v>5089</v>
      </c>
      <c r="O411" s="32" t="s">
        <v>4730</v>
      </c>
      <c r="P411" s="32">
        <v>2649.0</v>
      </c>
      <c r="Q411" s="34">
        <v>2164.0</v>
      </c>
      <c r="R411" s="40">
        <v>2199.0</v>
      </c>
      <c r="S411" s="35">
        <v>2119.2</v>
      </c>
      <c r="T411" s="36">
        <v>0.0</v>
      </c>
      <c r="U411" s="36">
        <v>1.0</v>
      </c>
      <c r="V411" s="36">
        <v>7.0</v>
      </c>
      <c r="W411" s="36">
        <v>1.0</v>
      </c>
      <c r="X411" s="36">
        <v>0.0</v>
      </c>
      <c r="Y411" s="36">
        <v>9.0</v>
      </c>
    </row>
    <row r="412">
      <c r="A412" s="32" t="s">
        <v>1237</v>
      </c>
      <c r="B412" s="32" t="s">
        <v>1237</v>
      </c>
      <c r="C412" s="32" t="s">
        <v>1238</v>
      </c>
      <c r="D412" s="32" t="s">
        <v>1239</v>
      </c>
      <c r="E412" s="32" t="s">
        <v>5073</v>
      </c>
      <c r="F412" s="32" t="e">
        <v>#N/A</v>
      </c>
      <c r="G412" s="39"/>
      <c r="H412" s="32" t="s">
        <v>1240</v>
      </c>
      <c r="I412" s="32" t="s">
        <v>5073</v>
      </c>
      <c r="J412" s="32" t="s">
        <v>1241</v>
      </c>
      <c r="K412" s="33" t="s">
        <v>1242</v>
      </c>
      <c r="L412" s="32">
        <v>3.1818443E7</v>
      </c>
      <c r="M412" s="32" t="e">
        <v>#N/A</v>
      </c>
      <c r="N412" s="32" t="s">
        <v>5089</v>
      </c>
      <c r="O412" s="32" t="s">
        <v>4730</v>
      </c>
      <c r="P412" s="32">
        <v>1999.0</v>
      </c>
      <c r="Q412" s="34">
        <v>1629.0</v>
      </c>
      <c r="R412" s="40">
        <v>1629.0</v>
      </c>
      <c r="S412" s="35">
        <v>1599.2</v>
      </c>
      <c r="T412" s="36">
        <v>0.0</v>
      </c>
      <c r="U412" s="36">
        <v>0.0</v>
      </c>
      <c r="V412" s="36">
        <v>9.0</v>
      </c>
      <c r="W412" s="36">
        <v>0.0</v>
      </c>
      <c r="X412" s="36">
        <v>0.0</v>
      </c>
      <c r="Y412" s="36">
        <v>9.0</v>
      </c>
    </row>
    <row r="413">
      <c r="A413" s="32" t="s">
        <v>1595</v>
      </c>
      <c r="B413" s="32" t="s">
        <v>1595</v>
      </c>
      <c r="C413" s="32" t="s">
        <v>1596</v>
      </c>
      <c r="D413" s="32" t="s">
        <v>1597</v>
      </c>
      <c r="E413" s="32" t="s">
        <v>5073</v>
      </c>
      <c r="F413" s="32" t="e">
        <v>#N/A</v>
      </c>
      <c r="G413" s="39"/>
      <c r="H413" s="32" t="s">
        <v>1595</v>
      </c>
      <c r="I413" s="32" t="s">
        <v>5073</v>
      </c>
      <c r="J413" s="32" t="s">
        <v>1595</v>
      </c>
      <c r="K413" s="33" t="s">
        <v>1598</v>
      </c>
      <c r="L413" s="32">
        <v>3.2783924E7</v>
      </c>
      <c r="M413" s="32" t="s">
        <v>1599</v>
      </c>
      <c r="N413" s="32" t="s">
        <v>5112</v>
      </c>
      <c r="O413" s="32" t="s">
        <v>52</v>
      </c>
      <c r="P413" s="32">
        <v>25999.0</v>
      </c>
      <c r="Q413" s="34">
        <v>23399.0</v>
      </c>
      <c r="R413" s="40">
        <v>24699.0</v>
      </c>
      <c r="S413" s="35">
        <v>20019.23</v>
      </c>
      <c r="T413" s="36">
        <v>0.0</v>
      </c>
      <c r="U413" s="36">
        <v>2.0</v>
      </c>
      <c r="V413" s="36">
        <v>5.0</v>
      </c>
      <c r="W413" s="36">
        <v>0.0</v>
      </c>
      <c r="X413" s="36">
        <v>2.0</v>
      </c>
      <c r="Y413" s="36">
        <v>9.0</v>
      </c>
    </row>
    <row r="414">
      <c r="A414" s="32" t="s">
        <v>2721</v>
      </c>
      <c r="B414" s="32" t="s">
        <v>2721</v>
      </c>
      <c r="C414" s="32">
        <v>0.0</v>
      </c>
      <c r="D414" s="32" t="e">
        <v>#N/A</v>
      </c>
      <c r="E414" s="39"/>
      <c r="F414" s="32" t="e">
        <v>#N/A</v>
      </c>
      <c r="G414" s="39"/>
      <c r="H414" s="32" t="e">
        <v>#N/A</v>
      </c>
      <c r="I414" s="39"/>
      <c r="J414" s="32">
        <v>0.0</v>
      </c>
      <c r="K414" s="33" t="e">
        <v>#N/A</v>
      </c>
      <c r="L414" s="32" t="e">
        <v>#N/A</v>
      </c>
      <c r="M414" s="32" t="e">
        <v>#N/A</v>
      </c>
      <c r="N414" s="32" t="e">
        <v>#N/A</v>
      </c>
      <c r="O414" s="32" t="e">
        <v>#N/A</v>
      </c>
      <c r="P414" s="32" t="e">
        <v>#REF!</v>
      </c>
      <c r="Q414" s="32" t="e">
        <v>#N/A</v>
      </c>
      <c r="R414" s="42" t="e">
        <v>#N/A</v>
      </c>
      <c r="S414" s="42" t="e">
        <v>#N/A</v>
      </c>
      <c r="T414" s="36">
        <v>5.0</v>
      </c>
      <c r="U414" s="36">
        <v>2.0</v>
      </c>
      <c r="V414" s="36">
        <v>1.0</v>
      </c>
      <c r="W414" s="36">
        <v>0.0</v>
      </c>
      <c r="X414" s="36">
        <v>0.0</v>
      </c>
      <c r="Y414" s="36">
        <v>8.0</v>
      </c>
    </row>
    <row r="415">
      <c r="A415" s="32" t="s">
        <v>3824</v>
      </c>
      <c r="B415" s="32" t="s">
        <v>3824</v>
      </c>
      <c r="C415" s="32" t="s">
        <v>3825</v>
      </c>
      <c r="D415" s="32" t="s">
        <v>3826</v>
      </c>
      <c r="E415" s="32" t="s">
        <v>5073</v>
      </c>
      <c r="F415" s="32" t="e">
        <v>#N/A</v>
      </c>
      <c r="G415" s="32" t="e">
        <v>#N/A</v>
      </c>
      <c r="H415" s="32">
        <v>0.0</v>
      </c>
      <c r="I415" s="32">
        <v>0.0</v>
      </c>
      <c r="J415" s="32" t="s">
        <v>3827</v>
      </c>
      <c r="K415" s="33" t="s">
        <v>3828</v>
      </c>
      <c r="L415" s="32" t="e">
        <v>#N/A</v>
      </c>
      <c r="M415" s="32" t="s">
        <v>3829</v>
      </c>
      <c r="N415" s="32" t="s">
        <v>5136</v>
      </c>
      <c r="O415" s="32" t="s">
        <v>52</v>
      </c>
      <c r="P415" s="32">
        <v>5999.0</v>
      </c>
      <c r="Q415" s="45">
        <v>5099.0</v>
      </c>
      <c r="R415" s="40">
        <v>5199.0</v>
      </c>
      <c r="S415" s="35">
        <v>4799.2</v>
      </c>
      <c r="T415" s="36">
        <v>0.0</v>
      </c>
      <c r="U415" s="36">
        <v>0.0</v>
      </c>
      <c r="V415" s="36">
        <v>8.0</v>
      </c>
      <c r="W415" s="36">
        <v>0.0</v>
      </c>
      <c r="X415" s="36">
        <v>0.0</v>
      </c>
      <c r="Y415" s="36">
        <v>8.0</v>
      </c>
    </row>
    <row r="416">
      <c r="A416" s="32" t="s">
        <v>4114</v>
      </c>
      <c r="B416" s="32" t="s">
        <v>4114</v>
      </c>
      <c r="C416" s="32" t="s">
        <v>4115</v>
      </c>
      <c r="D416" s="32" t="s">
        <v>4116</v>
      </c>
      <c r="E416" s="32" t="s">
        <v>5073</v>
      </c>
      <c r="F416" s="32" t="e">
        <v>#N/A</v>
      </c>
      <c r="G416" s="38"/>
      <c r="H416" s="32">
        <v>0.0</v>
      </c>
      <c r="I416" s="39"/>
      <c r="J416" s="32" t="s">
        <v>4117</v>
      </c>
      <c r="K416" s="33" t="s">
        <v>4118</v>
      </c>
      <c r="L416" s="32" t="e">
        <v>#N/A</v>
      </c>
      <c r="M416" s="32" t="s">
        <v>4119</v>
      </c>
      <c r="N416" s="32" t="s">
        <v>5118</v>
      </c>
      <c r="O416" s="32" t="s">
        <v>52</v>
      </c>
      <c r="P416" s="32">
        <v>14999.0</v>
      </c>
      <c r="Q416" s="34">
        <v>13499.0</v>
      </c>
      <c r="R416" s="40">
        <v>14399.0</v>
      </c>
      <c r="S416" s="35">
        <v>13199.34</v>
      </c>
      <c r="T416" s="36">
        <v>0.0</v>
      </c>
      <c r="U416" s="36">
        <v>0.0</v>
      </c>
      <c r="V416" s="36">
        <v>6.0</v>
      </c>
      <c r="W416" s="36">
        <v>2.0</v>
      </c>
      <c r="X416" s="36">
        <v>0.0</v>
      </c>
      <c r="Y416" s="36">
        <v>8.0</v>
      </c>
    </row>
    <row r="417">
      <c r="A417" s="32" t="s">
        <v>4784</v>
      </c>
      <c r="B417" s="32" t="s">
        <v>4784</v>
      </c>
      <c r="C417" s="32" t="s">
        <v>4785</v>
      </c>
      <c r="D417" s="32" t="s">
        <v>4786</v>
      </c>
      <c r="E417" s="32" t="s">
        <v>5100</v>
      </c>
      <c r="F417" s="32" t="e">
        <v>#N/A</v>
      </c>
      <c r="G417" s="38"/>
      <c r="H417" s="32" t="s">
        <v>5137</v>
      </c>
      <c r="I417" s="32" t="s">
        <v>5102</v>
      </c>
      <c r="J417" s="32" t="s">
        <v>4787</v>
      </c>
      <c r="K417" s="33" t="s">
        <v>4788</v>
      </c>
      <c r="L417" s="32" t="e">
        <v>#N/A</v>
      </c>
      <c r="M417" s="32" t="e">
        <v>#N/A</v>
      </c>
      <c r="N417" s="32" t="s">
        <v>5132</v>
      </c>
      <c r="O417" s="32" t="s">
        <v>4730</v>
      </c>
      <c r="P417" s="32">
        <v>8999.0</v>
      </c>
      <c r="Q417" s="34">
        <v>6741.0</v>
      </c>
      <c r="R417" s="40">
        <v>7599.0</v>
      </c>
      <c r="S417" s="35">
        <v>6299.3</v>
      </c>
      <c r="T417" s="36">
        <v>0.0</v>
      </c>
      <c r="U417" s="36">
        <v>4.0</v>
      </c>
      <c r="V417" s="36">
        <v>0.0</v>
      </c>
      <c r="W417" s="36">
        <v>0.0</v>
      </c>
      <c r="X417" s="36">
        <v>4.0</v>
      </c>
      <c r="Y417" s="36">
        <v>8.0</v>
      </c>
    </row>
    <row r="418">
      <c r="A418" s="32" t="s">
        <v>709</v>
      </c>
      <c r="B418" s="32" t="s">
        <v>709</v>
      </c>
      <c r="C418" s="32" t="s">
        <v>710</v>
      </c>
      <c r="D418" s="32" t="s">
        <v>711</v>
      </c>
      <c r="E418" s="32" t="s">
        <v>5073</v>
      </c>
      <c r="F418" s="32" t="e">
        <v>#N/A</v>
      </c>
      <c r="G418" s="39"/>
      <c r="H418" s="32">
        <v>0.0</v>
      </c>
      <c r="I418" s="39"/>
      <c r="J418" s="32" t="s">
        <v>712</v>
      </c>
      <c r="K418" s="33" t="s">
        <v>713</v>
      </c>
      <c r="L418" s="32" t="e">
        <v>#N/A</v>
      </c>
      <c r="M418" s="32" t="e">
        <v>#REF!</v>
      </c>
      <c r="N418" s="32" t="s">
        <v>51</v>
      </c>
      <c r="O418" s="32" t="s">
        <v>52</v>
      </c>
      <c r="P418" s="32">
        <v>16239.0</v>
      </c>
      <c r="Q418" s="34">
        <v>13154.0</v>
      </c>
      <c r="R418" s="40">
        <v>14099.0</v>
      </c>
      <c r="S418" s="35">
        <v>12341.64</v>
      </c>
      <c r="T418" s="36">
        <v>0.0</v>
      </c>
      <c r="U418" s="36">
        <v>1.0</v>
      </c>
      <c r="V418" s="36">
        <v>5.0</v>
      </c>
      <c r="W418" s="36">
        <v>1.0</v>
      </c>
      <c r="X418" s="36">
        <v>1.0</v>
      </c>
      <c r="Y418" s="36">
        <v>8.0</v>
      </c>
    </row>
    <row r="419">
      <c r="A419" s="32" t="s">
        <v>74</v>
      </c>
      <c r="B419" s="32" t="s">
        <v>74</v>
      </c>
      <c r="C419" s="32" t="s">
        <v>75</v>
      </c>
      <c r="D419" s="32" t="s">
        <v>76</v>
      </c>
      <c r="E419" s="32" t="s">
        <v>5073</v>
      </c>
      <c r="F419" s="32" t="e">
        <v>#N/A</v>
      </c>
      <c r="G419" s="39"/>
      <c r="H419" s="32" t="s">
        <v>77</v>
      </c>
      <c r="I419" s="32" t="s">
        <v>5073</v>
      </c>
      <c r="J419" s="32" t="s">
        <v>78</v>
      </c>
      <c r="K419" s="33" t="s">
        <v>79</v>
      </c>
      <c r="L419" s="32">
        <v>3.2783928E7</v>
      </c>
      <c r="M419" s="32" t="s">
        <v>80</v>
      </c>
      <c r="N419" s="32" t="s">
        <v>51</v>
      </c>
      <c r="O419" s="32" t="s">
        <v>52</v>
      </c>
      <c r="P419" s="32">
        <v>12299.0</v>
      </c>
      <c r="Q419" s="34">
        <v>9962.0</v>
      </c>
      <c r="R419" s="40">
        <v>10699.0</v>
      </c>
      <c r="S419" s="35">
        <v>9347.24</v>
      </c>
      <c r="T419" s="36">
        <v>4.0</v>
      </c>
      <c r="U419" s="36">
        <v>2.0</v>
      </c>
      <c r="V419" s="36">
        <v>2.0</v>
      </c>
      <c r="W419" s="36">
        <v>0.0</v>
      </c>
      <c r="X419" s="36">
        <v>0.0</v>
      </c>
      <c r="Y419" s="36">
        <v>8.0</v>
      </c>
    </row>
    <row r="420">
      <c r="A420" s="32" t="s">
        <v>2587</v>
      </c>
      <c r="B420" s="32" t="s">
        <v>2587</v>
      </c>
      <c r="C420" s="32" t="s">
        <v>2588</v>
      </c>
      <c r="D420" s="32" t="s">
        <v>2589</v>
      </c>
      <c r="E420" s="32" t="s">
        <v>5100</v>
      </c>
      <c r="F420" s="32" t="e">
        <v>#N/A</v>
      </c>
      <c r="G420" s="39"/>
      <c r="H420" s="32" t="s">
        <v>2590</v>
      </c>
      <c r="I420" s="32" t="s">
        <v>5117</v>
      </c>
      <c r="J420" s="32" t="s">
        <v>2591</v>
      </c>
      <c r="K420" s="33" t="s">
        <v>2592</v>
      </c>
      <c r="L420" s="32" t="e">
        <v>#N/A</v>
      </c>
      <c r="M420" s="32" t="s">
        <v>2593</v>
      </c>
      <c r="N420" s="32" t="s">
        <v>1195</v>
      </c>
      <c r="O420" s="32" t="s">
        <v>5114</v>
      </c>
      <c r="P420" s="32">
        <v>2989.0</v>
      </c>
      <c r="Q420" s="34">
        <v>2147.0</v>
      </c>
      <c r="R420" s="40">
        <v>2099.0</v>
      </c>
      <c r="S420" s="35">
        <v>2092.3</v>
      </c>
      <c r="T420" s="36">
        <v>0.0</v>
      </c>
      <c r="U420" s="36">
        <v>0.0</v>
      </c>
      <c r="V420" s="36">
        <v>8.0</v>
      </c>
      <c r="W420" s="36">
        <v>0.0</v>
      </c>
      <c r="X420" s="36">
        <v>0.0</v>
      </c>
      <c r="Y420" s="36">
        <v>8.0</v>
      </c>
    </row>
    <row r="421">
      <c r="A421" s="32" t="s">
        <v>2225</v>
      </c>
      <c r="B421" s="32" t="s">
        <v>2225</v>
      </c>
      <c r="C421" s="32" t="s">
        <v>2226</v>
      </c>
      <c r="D421" s="32" t="s">
        <v>2227</v>
      </c>
      <c r="E421" s="32" t="s">
        <v>5073</v>
      </c>
      <c r="F421" s="32" t="e">
        <v>#N/A</v>
      </c>
      <c r="G421" s="39"/>
      <c r="H421" s="32">
        <v>0.0</v>
      </c>
      <c r="I421" s="39"/>
      <c r="J421" s="32" t="s">
        <v>2228</v>
      </c>
      <c r="K421" s="33" t="s">
        <v>2229</v>
      </c>
      <c r="L421" s="32" t="e">
        <v>#N/A</v>
      </c>
      <c r="M421" s="32" t="e">
        <v>#N/A</v>
      </c>
      <c r="N421" s="32" t="s">
        <v>5077</v>
      </c>
      <c r="O421" s="32" t="s">
        <v>4730</v>
      </c>
      <c r="P421" s="32">
        <v>789.0</v>
      </c>
      <c r="Q421" s="34">
        <v>750.0</v>
      </c>
      <c r="R421" s="35">
        <v>750.0</v>
      </c>
      <c r="S421" s="35">
        <v>710.1</v>
      </c>
      <c r="T421" s="36">
        <v>8.0</v>
      </c>
      <c r="U421" s="36">
        <v>0.0</v>
      </c>
      <c r="V421" s="36">
        <v>0.0</v>
      </c>
      <c r="W421" s="36">
        <v>0.0</v>
      </c>
      <c r="X421" s="36">
        <v>0.0</v>
      </c>
      <c r="Y421" s="36">
        <v>8.0</v>
      </c>
    </row>
    <row r="422">
      <c r="A422" s="32" t="s">
        <v>2644</v>
      </c>
      <c r="B422" s="32" t="s">
        <v>2644</v>
      </c>
      <c r="C422" s="32" t="s">
        <v>2645</v>
      </c>
      <c r="D422" s="32" t="s">
        <v>2647</v>
      </c>
      <c r="E422" s="32" t="s">
        <v>5073</v>
      </c>
      <c r="F422" s="32" t="e">
        <v>#N/A</v>
      </c>
      <c r="G422" s="32" t="e">
        <v>#N/A</v>
      </c>
      <c r="H422" s="32" t="s">
        <v>2648</v>
      </c>
      <c r="I422" s="32" t="s">
        <v>5073</v>
      </c>
      <c r="J422" s="32" t="s">
        <v>2649</v>
      </c>
      <c r="K422" s="33" t="s">
        <v>2650</v>
      </c>
      <c r="L422" s="32">
        <v>3.1818418E7</v>
      </c>
      <c r="M422" s="32" t="e">
        <v>#N/A</v>
      </c>
      <c r="N422" s="32" t="s">
        <v>5107</v>
      </c>
      <c r="O422" s="32" t="s">
        <v>4730</v>
      </c>
      <c r="P422" s="32">
        <v>1389.0</v>
      </c>
      <c r="Q422" s="34">
        <v>1138.0</v>
      </c>
      <c r="R422" s="40">
        <v>1138.0</v>
      </c>
      <c r="S422" s="35">
        <v>1041.75</v>
      </c>
      <c r="T422" s="36">
        <v>0.0</v>
      </c>
      <c r="U422" s="36">
        <v>0.0</v>
      </c>
      <c r="V422" s="36">
        <v>2.0</v>
      </c>
      <c r="W422" s="36">
        <v>2.0</v>
      </c>
      <c r="X422" s="36">
        <v>4.0</v>
      </c>
      <c r="Y422" s="36">
        <v>8.0</v>
      </c>
    </row>
    <row r="423">
      <c r="A423" s="32" t="s">
        <v>1475</v>
      </c>
      <c r="B423" s="32" t="s">
        <v>1475</v>
      </c>
      <c r="C423" s="32" t="s">
        <v>1476</v>
      </c>
      <c r="D423" s="32" t="s">
        <v>1477</v>
      </c>
      <c r="E423" s="32" t="s">
        <v>5073</v>
      </c>
      <c r="F423" s="32" t="e">
        <v>#N/A</v>
      </c>
      <c r="G423" s="39"/>
      <c r="H423" s="32" t="s">
        <v>1478</v>
      </c>
      <c r="I423" s="32" t="s">
        <v>5073</v>
      </c>
      <c r="J423" s="32" t="s">
        <v>1479</v>
      </c>
      <c r="K423" s="33" t="s">
        <v>1480</v>
      </c>
      <c r="L423" s="32">
        <v>3.1818368E7</v>
      </c>
      <c r="M423" s="32" t="e">
        <v>#N/A</v>
      </c>
      <c r="N423" s="32" t="s">
        <v>5089</v>
      </c>
      <c r="O423" s="32" t="s">
        <v>4730</v>
      </c>
      <c r="P423" s="32">
        <v>2999.0</v>
      </c>
      <c r="Q423" s="34">
        <v>2449.0</v>
      </c>
      <c r="R423" s="40">
        <v>2449.0</v>
      </c>
      <c r="S423" s="35">
        <v>2399.2</v>
      </c>
      <c r="T423" s="36">
        <v>2.0</v>
      </c>
      <c r="U423" s="36">
        <v>0.0</v>
      </c>
      <c r="V423" s="36">
        <v>4.0</v>
      </c>
      <c r="W423" s="36">
        <v>2.0</v>
      </c>
      <c r="X423" s="36">
        <v>0.0</v>
      </c>
      <c r="Y423" s="36">
        <v>8.0</v>
      </c>
    </row>
    <row r="424">
      <c r="A424" s="32" t="s">
        <v>4545</v>
      </c>
      <c r="B424" s="32" t="s">
        <v>4545</v>
      </c>
      <c r="C424" s="32">
        <v>0.0</v>
      </c>
      <c r="D424" s="32" t="e">
        <v>#N/A</v>
      </c>
      <c r="E424" s="39"/>
      <c r="F424" s="32" t="e">
        <v>#N/A</v>
      </c>
      <c r="G424" s="39"/>
      <c r="H424" s="32">
        <v>0.0</v>
      </c>
      <c r="I424" s="39"/>
      <c r="J424" s="32" t="s">
        <v>4547</v>
      </c>
      <c r="K424" s="33" t="e">
        <v>#N/A</v>
      </c>
      <c r="L424" s="32" t="e">
        <v>#N/A</v>
      </c>
      <c r="M424" s="32" t="e">
        <v>#N/A</v>
      </c>
      <c r="N424" s="32" t="s">
        <v>5077</v>
      </c>
      <c r="O424" s="32" t="s">
        <v>4730</v>
      </c>
      <c r="P424" s="32">
        <v>1599.0</v>
      </c>
      <c r="Q424" s="34">
        <v>1519.0</v>
      </c>
      <c r="R424" s="40">
        <v>1519.0</v>
      </c>
      <c r="S424" s="35">
        <v>1439.1</v>
      </c>
      <c r="T424" s="36">
        <v>0.0</v>
      </c>
      <c r="U424" s="36">
        <v>0.0</v>
      </c>
      <c r="V424" s="36">
        <v>8.0</v>
      </c>
      <c r="W424" s="36">
        <v>0.0</v>
      </c>
      <c r="X424" s="36">
        <v>0.0</v>
      </c>
      <c r="Y424" s="36">
        <v>8.0</v>
      </c>
    </row>
    <row r="425">
      <c r="A425" s="32" t="s">
        <v>2804</v>
      </c>
      <c r="B425" s="32" t="s">
        <v>2804</v>
      </c>
      <c r="C425" s="32">
        <v>0.0</v>
      </c>
      <c r="D425" s="32" t="e">
        <v>#N/A</v>
      </c>
      <c r="E425" s="39"/>
      <c r="F425" s="32" t="e">
        <v>#N/A</v>
      </c>
      <c r="G425" s="39"/>
      <c r="H425" s="32" t="e">
        <v>#N/A</v>
      </c>
      <c r="I425" s="39"/>
      <c r="J425" s="32">
        <v>0.0</v>
      </c>
      <c r="K425" s="33" t="e">
        <v>#N/A</v>
      </c>
      <c r="L425" s="32" t="e">
        <v>#N/A</v>
      </c>
      <c r="M425" s="32" t="e">
        <v>#N/A</v>
      </c>
      <c r="N425" s="32" t="e">
        <v>#N/A</v>
      </c>
      <c r="O425" s="32" t="e">
        <v>#N/A</v>
      </c>
      <c r="P425" s="32" t="e">
        <v>#REF!</v>
      </c>
      <c r="Q425" s="32" t="e">
        <v>#N/A</v>
      </c>
      <c r="R425" s="42" t="e">
        <v>#N/A</v>
      </c>
      <c r="S425" s="42" t="e">
        <v>#N/A</v>
      </c>
      <c r="T425" s="36">
        <v>6.0</v>
      </c>
      <c r="U425" s="36">
        <v>1.0</v>
      </c>
      <c r="V425" s="36">
        <v>0.0</v>
      </c>
      <c r="W425" s="36">
        <v>0.0</v>
      </c>
      <c r="X425" s="36">
        <v>0.0</v>
      </c>
      <c r="Y425" s="36">
        <v>7.0</v>
      </c>
    </row>
    <row r="426">
      <c r="A426" s="32" t="s">
        <v>3002</v>
      </c>
      <c r="B426" s="32" t="s">
        <v>3002</v>
      </c>
      <c r="C426" s="32" t="s">
        <v>3003</v>
      </c>
      <c r="D426" s="32" t="s">
        <v>3004</v>
      </c>
      <c r="E426" s="32" t="s">
        <v>5073</v>
      </c>
      <c r="F426" s="32" t="e">
        <v>#N/A</v>
      </c>
      <c r="G426" s="32" t="e">
        <v>#N/A</v>
      </c>
      <c r="H426" s="32" t="s">
        <v>3005</v>
      </c>
      <c r="I426" s="32" t="s">
        <v>5073</v>
      </c>
      <c r="J426" s="32" t="s">
        <v>3006</v>
      </c>
      <c r="K426" s="33" t="s">
        <v>3007</v>
      </c>
      <c r="L426" s="32" t="e">
        <v>#N/A</v>
      </c>
      <c r="M426" s="32" t="e">
        <v>#N/A</v>
      </c>
      <c r="N426" s="32" t="s">
        <v>5131</v>
      </c>
      <c r="O426" s="32" t="s">
        <v>4730</v>
      </c>
      <c r="P426" s="32">
        <v>2089.0</v>
      </c>
      <c r="Q426" s="34">
        <v>1799.0</v>
      </c>
      <c r="R426" s="40">
        <v>1799.0</v>
      </c>
      <c r="S426" s="35">
        <v>1699.0</v>
      </c>
      <c r="T426" s="36">
        <v>0.0</v>
      </c>
      <c r="U426" s="36">
        <v>0.0</v>
      </c>
      <c r="V426" s="36">
        <v>7.0</v>
      </c>
      <c r="W426" s="36">
        <v>0.0</v>
      </c>
      <c r="X426" s="36">
        <v>0.0</v>
      </c>
      <c r="Y426" s="36">
        <v>7.0</v>
      </c>
    </row>
    <row r="427">
      <c r="A427" s="32" t="s">
        <v>3229</v>
      </c>
      <c r="B427" s="32" t="s">
        <v>3229</v>
      </c>
      <c r="C427" s="32" t="s">
        <v>3230</v>
      </c>
      <c r="D427" s="32" t="s">
        <v>3231</v>
      </c>
      <c r="E427" s="32" t="s">
        <v>5073</v>
      </c>
      <c r="F427" s="32" t="e">
        <v>#N/A</v>
      </c>
      <c r="G427" s="32" t="e">
        <v>#N/A</v>
      </c>
      <c r="H427" s="32" t="s">
        <v>3232</v>
      </c>
      <c r="I427" s="32" t="s">
        <v>5073</v>
      </c>
      <c r="J427" s="32" t="s">
        <v>3233</v>
      </c>
      <c r="K427" s="33" t="s">
        <v>3234</v>
      </c>
      <c r="L427" s="32">
        <v>3.1818371E7</v>
      </c>
      <c r="M427" s="32" t="e">
        <v>#N/A</v>
      </c>
      <c r="N427" s="32" t="s">
        <v>5086</v>
      </c>
      <c r="O427" s="32" t="s">
        <v>4730</v>
      </c>
      <c r="P427" s="32">
        <v>1889.0</v>
      </c>
      <c r="Q427" s="34">
        <v>1699.0</v>
      </c>
      <c r="R427" s="40">
        <v>1699.0</v>
      </c>
      <c r="S427" s="35">
        <v>1605.65</v>
      </c>
      <c r="T427" s="36">
        <v>0.0</v>
      </c>
      <c r="U427" s="36">
        <v>0.0</v>
      </c>
      <c r="V427" s="36">
        <v>7.0</v>
      </c>
      <c r="W427" s="36">
        <v>0.0</v>
      </c>
      <c r="X427" s="36">
        <v>0.0</v>
      </c>
      <c r="Y427" s="36">
        <v>7.0</v>
      </c>
    </row>
    <row r="428">
      <c r="A428" s="32" t="s">
        <v>3253</v>
      </c>
      <c r="B428" s="32" t="s">
        <v>3253</v>
      </c>
      <c r="C428" s="32" t="s">
        <v>3254</v>
      </c>
      <c r="D428" s="32" t="s">
        <v>3255</v>
      </c>
      <c r="E428" s="32" t="s">
        <v>5073</v>
      </c>
      <c r="F428" s="32" t="e">
        <v>#N/A</v>
      </c>
      <c r="G428" s="32" t="e">
        <v>#N/A</v>
      </c>
      <c r="H428" s="32" t="s">
        <v>3256</v>
      </c>
      <c r="I428" s="32" t="s">
        <v>5073</v>
      </c>
      <c r="J428" s="32" t="s">
        <v>3257</v>
      </c>
      <c r="K428" s="33" t="s">
        <v>3258</v>
      </c>
      <c r="L428" s="32">
        <v>3.1818464E7</v>
      </c>
      <c r="M428" s="32" t="e">
        <v>#N/A</v>
      </c>
      <c r="N428" s="32" t="s">
        <v>5086</v>
      </c>
      <c r="O428" s="32" t="s">
        <v>4730</v>
      </c>
      <c r="P428" s="32">
        <v>1989.0</v>
      </c>
      <c r="Q428" s="34">
        <v>1799.0</v>
      </c>
      <c r="R428" s="40">
        <v>1799.0</v>
      </c>
      <c r="S428" s="35">
        <v>1690.65</v>
      </c>
      <c r="T428" s="36">
        <v>0.0</v>
      </c>
      <c r="U428" s="36">
        <v>0.0</v>
      </c>
      <c r="V428" s="36">
        <v>7.0</v>
      </c>
      <c r="W428" s="36">
        <v>0.0</v>
      </c>
      <c r="X428" s="36">
        <v>0.0</v>
      </c>
      <c r="Y428" s="36">
        <v>7.0</v>
      </c>
    </row>
    <row r="429">
      <c r="A429" s="32" t="s">
        <v>3211</v>
      </c>
      <c r="B429" s="32" t="s">
        <v>3211</v>
      </c>
      <c r="C429" s="32" t="s">
        <v>3212</v>
      </c>
      <c r="D429" s="32" t="s">
        <v>3213</v>
      </c>
      <c r="E429" s="32" t="s">
        <v>5073</v>
      </c>
      <c r="F429" s="32" t="e">
        <v>#N/A</v>
      </c>
      <c r="G429" s="38"/>
      <c r="H429" s="32" t="s">
        <v>3214</v>
      </c>
      <c r="I429" s="32" t="s">
        <v>5073</v>
      </c>
      <c r="J429" s="32" t="s">
        <v>3215</v>
      </c>
      <c r="K429" s="33" t="s">
        <v>3216</v>
      </c>
      <c r="L429" s="32">
        <v>3.1818446E7</v>
      </c>
      <c r="M429" s="32" t="e">
        <v>#N/A</v>
      </c>
      <c r="N429" s="32" t="s">
        <v>5086</v>
      </c>
      <c r="O429" s="32" t="s">
        <v>4730</v>
      </c>
      <c r="P429" s="32">
        <v>1389.0</v>
      </c>
      <c r="Q429" s="34">
        <v>1249.0</v>
      </c>
      <c r="R429" s="40">
        <v>1299.0</v>
      </c>
      <c r="S429" s="35">
        <v>1180.65</v>
      </c>
      <c r="T429" s="36">
        <v>0.0</v>
      </c>
      <c r="U429" s="36">
        <v>1.0</v>
      </c>
      <c r="V429" s="36">
        <v>6.0</v>
      </c>
      <c r="W429" s="36">
        <v>0.0</v>
      </c>
      <c r="X429" s="36">
        <v>0.0</v>
      </c>
      <c r="Y429" s="36">
        <v>7.0</v>
      </c>
    </row>
    <row r="430">
      <c r="A430" s="32" t="s">
        <v>232</v>
      </c>
      <c r="B430" s="32" t="s">
        <v>232</v>
      </c>
      <c r="C430" s="32" t="s">
        <v>233</v>
      </c>
      <c r="D430" s="32" t="s">
        <v>234</v>
      </c>
      <c r="E430" s="32" t="s">
        <v>5073</v>
      </c>
      <c r="F430" s="32" t="e">
        <v>#N/A</v>
      </c>
      <c r="G430" s="39"/>
      <c r="H430" s="32" t="s">
        <v>235</v>
      </c>
      <c r="I430" s="32" t="s">
        <v>5073</v>
      </c>
      <c r="J430" s="32" t="s">
        <v>236</v>
      </c>
      <c r="K430" s="33" t="s">
        <v>237</v>
      </c>
      <c r="L430" s="32">
        <v>3.2783804E7</v>
      </c>
      <c r="M430" s="32" t="s">
        <v>238</v>
      </c>
      <c r="N430" s="32" t="s">
        <v>51</v>
      </c>
      <c r="O430" s="32" t="s">
        <v>52</v>
      </c>
      <c r="P430" s="32">
        <v>14499.0</v>
      </c>
      <c r="Q430" s="34">
        <v>11744.0</v>
      </c>
      <c r="R430" s="40">
        <v>12599.0</v>
      </c>
      <c r="S430" s="35">
        <v>11019.24</v>
      </c>
      <c r="T430" s="36">
        <v>1.0</v>
      </c>
      <c r="U430" s="36">
        <v>2.0</v>
      </c>
      <c r="V430" s="36">
        <v>2.0</v>
      </c>
      <c r="W430" s="36">
        <v>1.0</v>
      </c>
      <c r="X430" s="36">
        <v>1.0</v>
      </c>
      <c r="Y430" s="36">
        <v>7.0</v>
      </c>
    </row>
    <row r="431">
      <c r="A431" s="32" t="s">
        <v>734</v>
      </c>
      <c r="B431" s="32" t="s">
        <v>734</v>
      </c>
      <c r="C431" s="32" t="s">
        <v>735</v>
      </c>
      <c r="D431" s="32" t="s">
        <v>736</v>
      </c>
      <c r="E431" s="32" t="s">
        <v>5073</v>
      </c>
      <c r="F431" s="32" t="e">
        <v>#N/A</v>
      </c>
      <c r="G431" s="39"/>
      <c r="H431" s="32">
        <v>0.0</v>
      </c>
      <c r="I431" s="39"/>
      <c r="J431" s="32" t="s">
        <v>737</v>
      </c>
      <c r="K431" s="33" t="s">
        <v>738</v>
      </c>
      <c r="L431" s="32" t="e">
        <v>#N/A</v>
      </c>
      <c r="M431" s="32" t="e">
        <v>#REF!</v>
      </c>
      <c r="N431" s="32" t="s">
        <v>51</v>
      </c>
      <c r="O431" s="32" t="s">
        <v>52</v>
      </c>
      <c r="P431" s="32">
        <v>13549.0</v>
      </c>
      <c r="Q431" s="34">
        <v>10975.0</v>
      </c>
      <c r="R431" s="40">
        <v>11799.0</v>
      </c>
      <c r="S431" s="35">
        <v>10297.24</v>
      </c>
      <c r="T431" s="36">
        <v>0.0</v>
      </c>
      <c r="U431" s="36">
        <v>0.0</v>
      </c>
      <c r="V431" s="36">
        <v>4.0</v>
      </c>
      <c r="W431" s="36">
        <v>1.0</v>
      </c>
      <c r="X431" s="36">
        <v>2.0</v>
      </c>
      <c r="Y431" s="36">
        <v>7.0</v>
      </c>
    </row>
    <row r="432">
      <c r="A432" s="32" t="s">
        <v>2609</v>
      </c>
      <c r="B432" s="32" t="s">
        <v>2609</v>
      </c>
      <c r="C432" s="32" t="s">
        <v>2610</v>
      </c>
      <c r="D432" s="32" t="s">
        <v>2611</v>
      </c>
      <c r="E432" s="32" t="s">
        <v>5073</v>
      </c>
      <c r="F432" s="32" t="e">
        <v>#N/A</v>
      </c>
      <c r="G432" s="39"/>
      <c r="H432" s="32">
        <v>0.0</v>
      </c>
      <c r="I432" s="39"/>
      <c r="J432" s="32" t="s">
        <v>2609</v>
      </c>
      <c r="K432" s="33" t="s">
        <v>2612</v>
      </c>
      <c r="L432" s="32" t="e">
        <v>#N/A</v>
      </c>
      <c r="M432" s="32" t="s">
        <v>2613</v>
      </c>
      <c r="N432" s="32" t="s">
        <v>1195</v>
      </c>
      <c r="O432" s="32" t="s">
        <v>5114</v>
      </c>
      <c r="P432" s="32">
        <v>3489.0</v>
      </c>
      <c r="Q432" s="34">
        <v>2507.0</v>
      </c>
      <c r="R432" s="40">
        <v>2499.0</v>
      </c>
      <c r="S432" s="35">
        <v>2442.3</v>
      </c>
      <c r="T432" s="36">
        <v>5.0</v>
      </c>
      <c r="U432" s="36">
        <v>0.0</v>
      </c>
      <c r="V432" s="36">
        <v>1.0</v>
      </c>
      <c r="W432" s="36">
        <v>0.0</v>
      </c>
      <c r="X432" s="36">
        <v>1.0</v>
      </c>
      <c r="Y432" s="36">
        <v>7.0</v>
      </c>
    </row>
    <row r="433">
      <c r="A433" s="32" t="s">
        <v>3430</v>
      </c>
      <c r="B433" s="32" t="s">
        <v>3430</v>
      </c>
      <c r="C433" s="32" t="s">
        <v>3431</v>
      </c>
      <c r="D433" s="32" t="s">
        <v>3433</v>
      </c>
      <c r="E433" s="32" t="s">
        <v>5073</v>
      </c>
      <c r="F433" s="32" t="e">
        <v>#N/A</v>
      </c>
      <c r="G433" s="32" t="e">
        <v>#N/A</v>
      </c>
      <c r="H433" s="32" t="s">
        <v>3430</v>
      </c>
      <c r="I433" s="32" t="s">
        <v>5073</v>
      </c>
      <c r="J433" s="32" t="s">
        <v>3434</v>
      </c>
      <c r="K433" s="33" t="s">
        <v>3435</v>
      </c>
      <c r="L433" s="32" t="e">
        <v>#N/A</v>
      </c>
      <c r="M433" s="32" t="e">
        <v>#N/A</v>
      </c>
      <c r="N433" s="32" t="s">
        <v>5078</v>
      </c>
      <c r="O433" s="32" t="s">
        <v>4730</v>
      </c>
      <c r="P433" s="32">
        <v>649.0</v>
      </c>
      <c r="Q433" s="34">
        <v>642.51</v>
      </c>
      <c r="R433" s="35">
        <v>649.0</v>
      </c>
      <c r="S433" s="35">
        <v>616.55</v>
      </c>
      <c r="T433" s="36">
        <v>0.0</v>
      </c>
      <c r="U433" s="36">
        <v>0.0</v>
      </c>
      <c r="V433" s="36">
        <v>7.0</v>
      </c>
      <c r="W433" s="36">
        <v>0.0</v>
      </c>
      <c r="X433" s="36">
        <v>0.0</v>
      </c>
      <c r="Y433" s="36">
        <v>7.0</v>
      </c>
    </row>
    <row r="434">
      <c r="A434" s="32" t="s">
        <v>1481</v>
      </c>
      <c r="B434" s="32" t="s">
        <v>1481</v>
      </c>
      <c r="C434" s="32" t="s">
        <v>1482</v>
      </c>
      <c r="D434" s="32" t="s">
        <v>1483</v>
      </c>
      <c r="E434" s="32" t="s">
        <v>5073</v>
      </c>
      <c r="F434" s="32" t="e">
        <v>#N/A</v>
      </c>
      <c r="G434" s="39"/>
      <c r="H434" s="32" t="s">
        <v>1484</v>
      </c>
      <c r="I434" s="32" t="s">
        <v>5073</v>
      </c>
      <c r="J434" s="32" t="s">
        <v>1485</v>
      </c>
      <c r="K434" s="33" t="s">
        <v>1486</v>
      </c>
      <c r="L434" s="32">
        <v>3.1818471E7</v>
      </c>
      <c r="M434" s="32" t="e">
        <v>#N/A</v>
      </c>
      <c r="N434" s="32" t="s">
        <v>5089</v>
      </c>
      <c r="O434" s="32" t="s">
        <v>4730</v>
      </c>
      <c r="P434" s="32">
        <v>2999.0</v>
      </c>
      <c r="Q434" s="34">
        <v>2449.0</v>
      </c>
      <c r="R434" s="40">
        <v>2449.0</v>
      </c>
      <c r="S434" s="35">
        <v>2399.2</v>
      </c>
      <c r="T434" s="36">
        <v>0.0</v>
      </c>
      <c r="U434" s="36">
        <v>0.0</v>
      </c>
      <c r="V434" s="36">
        <v>7.0</v>
      </c>
      <c r="W434" s="36">
        <v>0.0</v>
      </c>
      <c r="X434" s="36">
        <v>0.0</v>
      </c>
      <c r="Y434" s="36">
        <v>7.0</v>
      </c>
    </row>
    <row r="435">
      <c r="A435" s="32" t="s">
        <v>3686</v>
      </c>
      <c r="B435" s="32" t="s">
        <v>3686</v>
      </c>
      <c r="C435" s="32" t="s">
        <v>3687</v>
      </c>
      <c r="D435" s="32" t="s">
        <v>3688</v>
      </c>
      <c r="E435" s="32" t="s">
        <v>5073</v>
      </c>
      <c r="F435" s="32" t="e">
        <v>#N/A</v>
      </c>
      <c r="G435" s="32" t="e">
        <v>#N/A</v>
      </c>
      <c r="H435" s="32" t="s">
        <v>3686</v>
      </c>
      <c r="I435" s="32" t="s">
        <v>5073</v>
      </c>
      <c r="J435" s="32" t="s">
        <v>3689</v>
      </c>
      <c r="K435" s="33" t="s">
        <v>3690</v>
      </c>
      <c r="L435" s="32" t="e">
        <v>#N/A</v>
      </c>
      <c r="M435" s="32" t="e">
        <v>#N/A</v>
      </c>
      <c r="N435" s="32" t="s">
        <v>5127</v>
      </c>
      <c r="O435" s="32" t="s">
        <v>4730</v>
      </c>
      <c r="P435" s="32">
        <v>999.0</v>
      </c>
      <c r="Q435" s="34">
        <v>899.0</v>
      </c>
      <c r="R435" s="35">
        <v>899.0</v>
      </c>
      <c r="S435" s="35">
        <v>849.0</v>
      </c>
      <c r="T435" s="36">
        <v>0.0</v>
      </c>
      <c r="U435" s="36">
        <v>0.0</v>
      </c>
      <c r="V435" s="36">
        <v>6.0</v>
      </c>
      <c r="W435" s="36">
        <v>0.0</v>
      </c>
      <c r="X435" s="36">
        <v>0.0</v>
      </c>
      <c r="Y435" s="36">
        <v>6.0</v>
      </c>
    </row>
    <row r="436">
      <c r="A436" s="32" t="s">
        <v>4336</v>
      </c>
      <c r="B436" s="32" t="s">
        <v>4336</v>
      </c>
      <c r="C436" s="32" t="s">
        <v>4337</v>
      </c>
      <c r="D436" s="32" t="s">
        <v>4338</v>
      </c>
      <c r="E436" s="32" t="s">
        <v>5073</v>
      </c>
      <c r="F436" s="32" t="e">
        <v>#N/A</v>
      </c>
      <c r="G436" s="38"/>
      <c r="H436" s="32">
        <v>0.0</v>
      </c>
      <c r="I436" s="39"/>
      <c r="J436" s="32" t="s">
        <v>4339</v>
      </c>
      <c r="K436" s="33" t="s">
        <v>4340</v>
      </c>
      <c r="L436" s="32" t="e">
        <v>#N/A</v>
      </c>
      <c r="M436" s="32" t="s">
        <v>4341</v>
      </c>
      <c r="N436" s="32" t="s">
        <v>5118</v>
      </c>
      <c r="O436" s="32" t="s">
        <v>52</v>
      </c>
      <c r="P436" s="32">
        <v>14799.0</v>
      </c>
      <c r="Q436" s="34">
        <v>13319.0</v>
      </c>
      <c r="R436" s="40">
        <v>14199.0</v>
      </c>
      <c r="S436" s="35">
        <v>13001.34</v>
      </c>
      <c r="T436" s="36">
        <v>2.0</v>
      </c>
      <c r="U436" s="36">
        <v>2.0</v>
      </c>
      <c r="V436" s="36">
        <v>0.0</v>
      </c>
      <c r="W436" s="36">
        <v>1.0</v>
      </c>
      <c r="X436" s="36">
        <v>1.0</v>
      </c>
      <c r="Y436" s="36">
        <v>6.0</v>
      </c>
    </row>
    <row r="437">
      <c r="A437" s="32" t="s">
        <v>4290</v>
      </c>
      <c r="B437" s="32" t="s">
        <v>4290</v>
      </c>
      <c r="C437" s="32" t="s">
        <v>4291</v>
      </c>
      <c r="D437" s="32" t="s">
        <v>4292</v>
      </c>
      <c r="E437" s="32" t="s">
        <v>5073</v>
      </c>
      <c r="F437" s="32" t="e">
        <v>#N/A</v>
      </c>
      <c r="G437" s="38"/>
      <c r="H437" s="32">
        <v>0.0</v>
      </c>
      <c r="I437" s="39"/>
      <c r="J437" s="32" t="s">
        <v>4293</v>
      </c>
      <c r="K437" s="33" t="s">
        <v>4294</v>
      </c>
      <c r="L437" s="32" t="e">
        <v>#N/A</v>
      </c>
      <c r="M437" s="32" t="s">
        <v>4295</v>
      </c>
      <c r="N437" s="32" t="s">
        <v>5118</v>
      </c>
      <c r="O437" s="32" t="s">
        <v>52</v>
      </c>
      <c r="P437" s="32">
        <v>12499.0</v>
      </c>
      <c r="Q437" s="34">
        <v>11249.0</v>
      </c>
      <c r="R437" s="40">
        <v>11999.0</v>
      </c>
      <c r="S437" s="35">
        <v>11021.34</v>
      </c>
      <c r="T437" s="36">
        <v>0.0</v>
      </c>
      <c r="U437" s="36">
        <v>1.0</v>
      </c>
      <c r="V437" s="36">
        <v>4.0</v>
      </c>
      <c r="W437" s="36">
        <v>1.0</v>
      </c>
      <c r="X437" s="36">
        <v>0.0</v>
      </c>
      <c r="Y437" s="36">
        <v>6.0</v>
      </c>
    </row>
    <row r="438">
      <c r="A438" s="32" t="s">
        <v>4018</v>
      </c>
      <c r="B438" s="32" t="s">
        <v>4018</v>
      </c>
      <c r="C438" s="32" t="s">
        <v>4019</v>
      </c>
      <c r="D438" s="32" t="s">
        <v>4020</v>
      </c>
      <c r="E438" s="32" t="s">
        <v>5073</v>
      </c>
      <c r="F438" s="32" t="e">
        <v>#N/A</v>
      </c>
      <c r="G438" s="38"/>
      <c r="H438" s="32">
        <v>0.0</v>
      </c>
      <c r="I438" s="39"/>
      <c r="J438" s="32" t="s">
        <v>4021</v>
      </c>
      <c r="K438" s="33" t="s">
        <v>4022</v>
      </c>
      <c r="L438" s="32" t="e">
        <v>#N/A</v>
      </c>
      <c r="M438" s="32" t="s">
        <v>4023</v>
      </c>
      <c r="N438" s="32" t="s">
        <v>5118</v>
      </c>
      <c r="O438" s="32" t="s">
        <v>52</v>
      </c>
      <c r="P438" s="32">
        <v>8999.0</v>
      </c>
      <c r="Q438" s="34">
        <v>8099.0</v>
      </c>
      <c r="R438" s="40">
        <v>8599.0</v>
      </c>
      <c r="S438" s="35">
        <v>7919.34</v>
      </c>
      <c r="T438" s="36">
        <v>0.0</v>
      </c>
      <c r="U438" s="36">
        <v>0.0</v>
      </c>
      <c r="V438" s="36">
        <v>4.0</v>
      </c>
      <c r="W438" s="36">
        <v>2.0</v>
      </c>
      <c r="X438" s="36">
        <v>0.0</v>
      </c>
      <c r="Y438" s="36">
        <v>6.0</v>
      </c>
    </row>
    <row r="439">
      <c r="A439" s="32" t="s">
        <v>1987</v>
      </c>
      <c r="B439" s="32" t="s">
        <v>1987</v>
      </c>
      <c r="C439" s="32" t="s">
        <v>1988</v>
      </c>
      <c r="D439" s="32" t="s">
        <v>1989</v>
      </c>
      <c r="E439" s="32" t="s">
        <v>5073</v>
      </c>
      <c r="F439" s="32" t="s">
        <v>1990</v>
      </c>
      <c r="G439" s="32" t="s">
        <v>5102</v>
      </c>
      <c r="H439" s="32" t="s">
        <v>1991</v>
      </c>
      <c r="I439" s="32" t="s">
        <v>5073</v>
      </c>
      <c r="J439" s="32" t="s">
        <v>1992</v>
      </c>
      <c r="K439" s="33" t="s">
        <v>1993</v>
      </c>
      <c r="L439" s="32" t="e">
        <v>#N/A</v>
      </c>
      <c r="M439" s="32" t="e">
        <v>#N/A</v>
      </c>
      <c r="N439" s="32" t="s">
        <v>5132</v>
      </c>
      <c r="O439" s="32" t="s">
        <v>4730</v>
      </c>
      <c r="P439" s="32">
        <v>6499.0</v>
      </c>
      <c r="Q439" s="34">
        <v>4870.0</v>
      </c>
      <c r="R439" s="40">
        <v>5499.0</v>
      </c>
      <c r="S439" s="35">
        <v>4549.3</v>
      </c>
      <c r="T439" s="36">
        <v>2.0</v>
      </c>
      <c r="U439" s="36">
        <v>0.0</v>
      </c>
      <c r="V439" s="36">
        <v>0.0</v>
      </c>
      <c r="W439" s="36">
        <v>2.0</v>
      </c>
      <c r="X439" s="36">
        <v>2.0</v>
      </c>
      <c r="Y439" s="36">
        <v>6.0</v>
      </c>
    </row>
    <row r="440">
      <c r="A440" s="32" t="s">
        <v>272</v>
      </c>
      <c r="B440" s="32" t="s">
        <v>272</v>
      </c>
      <c r="C440" s="32" t="s">
        <v>273</v>
      </c>
      <c r="D440" s="32" t="s">
        <v>274</v>
      </c>
      <c r="E440" s="32" t="s">
        <v>5073</v>
      </c>
      <c r="F440" s="32" t="e">
        <v>#N/A</v>
      </c>
      <c r="G440" s="39"/>
      <c r="H440" s="32" t="s">
        <v>275</v>
      </c>
      <c r="I440" s="32" t="s">
        <v>5073</v>
      </c>
      <c r="J440" s="32" t="s">
        <v>276</v>
      </c>
      <c r="K440" s="33" t="s">
        <v>277</v>
      </c>
      <c r="L440" s="32">
        <v>3.2783819E7</v>
      </c>
      <c r="M440" s="32" t="s">
        <v>278</v>
      </c>
      <c r="N440" s="32" t="s">
        <v>51</v>
      </c>
      <c r="O440" s="32" t="s">
        <v>52</v>
      </c>
      <c r="P440" s="32">
        <v>16999.0</v>
      </c>
      <c r="Q440" s="34">
        <v>13769.0</v>
      </c>
      <c r="R440" s="40">
        <v>14799.0</v>
      </c>
      <c r="S440" s="35">
        <v>12919.24</v>
      </c>
      <c r="T440" s="36">
        <v>1.0</v>
      </c>
      <c r="U440" s="36">
        <v>2.0</v>
      </c>
      <c r="V440" s="36">
        <v>1.0</v>
      </c>
      <c r="W440" s="36">
        <v>0.0</v>
      </c>
      <c r="X440" s="36">
        <v>2.0</v>
      </c>
      <c r="Y440" s="36">
        <v>6.0</v>
      </c>
    </row>
    <row r="441">
      <c r="A441" s="32" t="s">
        <v>220</v>
      </c>
      <c r="B441" s="32" t="s">
        <v>220</v>
      </c>
      <c r="C441" s="32" t="s">
        <v>221</v>
      </c>
      <c r="D441" s="32" t="s">
        <v>222</v>
      </c>
      <c r="E441" s="32" t="s">
        <v>5073</v>
      </c>
      <c r="F441" s="32" t="e">
        <v>#N/A</v>
      </c>
      <c r="G441" s="39"/>
      <c r="H441" s="32" t="s">
        <v>223</v>
      </c>
      <c r="I441" s="32" t="s">
        <v>5073</v>
      </c>
      <c r="J441" s="32" t="s">
        <v>224</v>
      </c>
      <c r="K441" s="33" t="s">
        <v>225</v>
      </c>
      <c r="L441" s="32">
        <v>3.2784035E7</v>
      </c>
      <c r="M441" s="32" t="s">
        <v>226</v>
      </c>
      <c r="N441" s="32" t="s">
        <v>51</v>
      </c>
      <c r="O441" s="32" t="s">
        <v>52</v>
      </c>
      <c r="P441" s="32">
        <v>13399.0</v>
      </c>
      <c r="Q441" s="34">
        <v>10853.0</v>
      </c>
      <c r="R441" s="40">
        <v>11699.0</v>
      </c>
      <c r="S441" s="35">
        <v>10183.24</v>
      </c>
      <c r="T441" s="36">
        <v>1.0</v>
      </c>
      <c r="U441" s="36">
        <v>2.0</v>
      </c>
      <c r="V441" s="36">
        <v>0.0</v>
      </c>
      <c r="W441" s="36">
        <v>2.0</v>
      </c>
      <c r="X441" s="36">
        <v>1.0</v>
      </c>
      <c r="Y441" s="36">
        <v>6.0</v>
      </c>
    </row>
    <row r="442">
      <c r="A442" s="32" t="s">
        <v>117</v>
      </c>
      <c r="B442" s="32" t="s">
        <v>117</v>
      </c>
      <c r="C442" s="32" t="s">
        <v>118</v>
      </c>
      <c r="D442" s="32" t="s">
        <v>119</v>
      </c>
      <c r="E442" s="32" t="s">
        <v>5073</v>
      </c>
      <c r="F442" s="32" t="e">
        <v>#N/A</v>
      </c>
      <c r="G442" s="39"/>
      <c r="H442" s="32">
        <v>0.0</v>
      </c>
      <c r="I442" s="39"/>
      <c r="J442" s="32" t="s">
        <v>120</v>
      </c>
      <c r="K442" s="33" t="s">
        <v>121</v>
      </c>
      <c r="L442" s="32" t="e">
        <v>#N/A</v>
      </c>
      <c r="M442" s="32" t="s">
        <v>122</v>
      </c>
      <c r="N442" s="32" t="s">
        <v>51</v>
      </c>
      <c r="O442" s="32" t="s">
        <v>52</v>
      </c>
      <c r="P442" s="32">
        <v>9989.0</v>
      </c>
      <c r="Q442" s="34">
        <v>8091.0</v>
      </c>
      <c r="R442" s="40">
        <v>8699.0</v>
      </c>
      <c r="S442" s="35">
        <v>7591.64</v>
      </c>
      <c r="T442" s="36">
        <v>0.0</v>
      </c>
      <c r="U442" s="36">
        <v>0.0</v>
      </c>
      <c r="V442" s="36">
        <v>4.0</v>
      </c>
      <c r="W442" s="36">
        <v>1.0</v>
      </c>
      <c r="X442" s="36">
        <v>1.0</v>
      </c>
      <c r="Y442" s="36">
        <v>6.0</v>
      </c>
    </row>
    <row r="443">
      <c r="A443" s="32" t="s">
        <v>60</v>
      </c>
      <c r="B443" s="32" t="s">
        <v>60</v>
      </c>
      <c r="C443" s="32" t="s">
        <v>61</v>
      </c>
      <c r="D443" s="32" t="s">
        <v>62</v>
      </c>
      <c r="E443" s="32" t="s">
        <v>5073</v>
      </c>
      <c r="F443" s="32" t="e">
        <v>#N/A</v>
      </c>
      <c r="G443" s="39"/>
      <c r="H443" s="32" t="s">
        <v>63</v>
      </c>
      <c r="I443" s="32" t="s">
        <v>5073</v>
      </c>
      <c r="J443" s="32" t="s">
        <v>64</v>
      </c>
      <c r="K443" s="33" t="s">
        <v>65</v>
      </c>
      <c r="L443" s="32">
        <v>3.2783902E7</v>
      </c>
      <c r="M443" s="32" t="s">
        <v>66</v>
      </c>
      <c r="N443" s="32" t="s">
        <v>51</v>
      </c>
      <c r="O443" s="32" t="s">
        <v>52</v>
      </c>
      <c r="P443" s="32">
        <v>11599.0</v>
      </c>
      <c r="Q443" s="34">
        <v>9395.0</v>
      </c>
      <c r="R443" s="40">
        <v>10099.0</v>
      </c>
      <c r="S443" s="35">
        <v>8815.24</v>
      </c>
      <c r="T443" s="36">
        <v>0.0</v>
      </c>
      <c r="U443" s="36">
        <v>1.0</v>
      </c>
      <c r="V443" s="36">
        <v>2.0</v>
      </c>
      <c r="W443" s="36">
        <v>1.0</v>
      </c>
      <c r="X443" s="36">
        <v>2.0</v>
      </c>
      <c r="Y443" s="36">
        <v>6.0</v>
      </c>
    </row>
    <row r="444">
      <c r="A444" s="32" t="s">
        <v>2685</v>
      </c>
      <c r="B444" s="32" t="s">
        <v>2685</v>
      </c>
      <c r="C444" s="32" t="s">
        <v>2686</v>
      </c>
      <c r="D444" s="32" t="s">
        <v>2687</v>
      </c>
      <c r="E444" s="32" t="s">
        <v>5073</v>
      </c>
      <c r="F444" s="32" t="e">
        <v>#N/A</v>
      </c>
      <c r="G444" s="39"/>
      <c r="H444" s="32" t="s">
        <v>2688</v>
      </c>
      <c r="I444" s="32" t="s">
        <v>5073</v>
      </c>
      <c r="J444" s="32" t="s">
        <v>2689</v>
      </c>
      <c r="K444" s="33" t="s">
        <v>2690</v>
      </c>
      <c r="L444" s="32">
        <v>3.1818413E7</v>
      </c>
      <c r="M444" s="32" t="e">
        <v>#N/A</v>
      </c>
      <c r="N444" s="32" t="s">
        <v>5107</v>
      </c>
      <c r="O444" s="32" t="s">
        <v>4730</v>
      </c>
      <c r="P444" s="32">
        <v>1889.0</v>
      </c>
      <c r="Q444" s="34">
        <v>1548.0</v>
      </c>
      <c r="R444" s="40">
        <v>1548.0</v>
      </c>
      <c r="S444" s="35">
        <v>1416.75</v>
      </c>
      <c r="T444" s="36">
        <v>2.0</v>
      </c>
      <c r="U444" s="36">
        <v>0.0</v>
      </c>
      <c r="V444" s="36">
        <v>4.0</v>
      </c>
      <c r="W444" s="36">
        <v>0.0</v>
      </c>
      <c r="X444" s="36">
        <v>0.0</v>
      </c>
      <c r="Y444" s="36">
        <v>6.0</v>
      </c>
    </row>
    <row r="445">
      <c r="A445" s="32" t="s">
        <v>1457</v>
      </c>
      <c r="B445" s="32" t="s">
        <v>1457</v>
      </c>
      <c r="C445" s="32" t="s">
        <v>1458</v>
      </c>
      <c r="D445" s="32" t="s">
        <v>1459</v>
      </c>
      <c r="E445" s="32" t="s">
        <v>5073</v>
      </c>
      <c r="F445" s="32" t="e">
        <v>#N/A</v>
      </c>
      <c r="G445" s="39"/>
      <c r="H445" s="32" t="s">
        <v>1460</v>
      </c>
      <c r="I445" s="32" t="s">
        <v>5073</v>
      </c>
      <c r="J445" s="32" t="s">
        <v>1461</v>
      </c>
      <c r="K445" s="33" t="s">
        <v>1462</v>
      </c>
      <c r="L445" s="32">
        <v>3.1818409E7</v>
      </c>
      <c r="M445" s="32" t="e">
        <v>#N/A</v>
      </c>
      <c r="N445" s="32" t="s">
        <v>5089</v>
      </c>
      <c r="O445" s="32" t="s">
        <v>4730</v>
      </c>
      <c r="P445" s="32">
        <v>2999.0</v>
      </c>
      <c r="Q445" s="34">
        <v>2449.0</v>
      </c>
      <c r="R445" s="40">
        <v>2449.0</v>
      </c>
      <c r="S445" s="35">
        <v>2399.2</v>
      </c>
      <c r="T445" s="36">
        <v>1.0</v>
      </c>
      <c r="U445" s="36">
        <v>3.0</v>
      </c>
      <c r="V445" s="36">
        <v>0.0</v>
      </c>
      <c r="W445" s="36">
        <v>2.0</v>
      </c>
      <c r="X445" s="36">
        <v>0.0</v>
      </c>
      <c r="Y445" s="36">
        <v>6.0</v>
      </c>
    </row>
    <row r="446">
      <c r="A446" s="32" t="s">
        <v>3557</v>
      </c>
      <c r="B446" s="32" t="s">
        <v>3557</v>
      </c>
      <c r="C446" s="32" t="s">
        <v>3558</v>
      </c>
      <c r="D446" s="32" t="s">
        <v>3559</v>
      </c>
      <c r="E446" s="32" t="s">
        <v>5073</v>
      </c>
      <c r="F446" s="32" t="e">
        <v>#N/A</v>
      </c>
      <c r="G446" s="39"/>
      <c r="H446" s="32" t="s">
        <v>3560</v>
      </c>
      <c r="I446" s="32" t="s">
        <v>5073</v>
      </c>
      <c r="J446" s="32" t="s">
        <v>3561</v>
      </c>
      <c r="K446" s="33" t="s">
        <v>3562</v>
      </c>
      <c r="L446" s="32" t="e">
        <v>#N/A</v>
      </c>
      <c r="M446" s="32" t="e">
        <v>#N/A</v>
      </c>
      <c r="N446" s="32" t="s">
        <v>5099</v>
      </c>
      <c r="O446" s="32" t="s">
        <v>4730</v>
      </c>
      <c r="P446" s="32">
        <v>1689.0</v>
      </c>
      <c r="Q446" s="34">
        <v>1499.0</v>
      </c>
      <c r="R446" s="40">
        <v>1499.0</v>
      </c>
      <c r="S446" s="35">
        <v>1435.65</v>
      </c>
      <c r="T446" s="36">
        <v>0.0</v>
      </c>
      <c r="U446" s="36">
        <v>0.0</v>
      </c>
      <c r="V446" s="36">
        <v>6.0</v>
      </c>
      <c r="W446" s="36">
        <v>0.0</v>
      </c>
      <c r="X446" s="36">
        <v>0.0</v>
      </c>
      <c r="Y446" s="36">
        <v>6.0</v>
      </c>
    </row>
    <row r="447">
      <c r="A447" s="32" t="s">
        <v>1560</v>
      </c>
      <c r="B447" s="32" t="s">
        <v>1560</v>
      </c>
      <c r="C447" s="32" t="s">
        <v>1561</v>
      </c>
      <c r="D447" s="32" t="s">
        <v>1562</v>
      </c>
      <c r="E447" s="32" t="s">
        <v>5073</v>
      </c>
      <c r="F447" s="32" t="e">
        <v>#N/A</v>
      </c>
      <c r="G447" s="39"/>
      <c r="H447" s="32" t="s">
        <v>1560</v>
      </c>
      <c r="I447" s="32" t="s">
        <v>5073</v>
      </c>
      <c r="J447" s="32" t="s">
        <v>1560</v>
      </c>
      <c r="K447" s="33" t="s">
        <v>1563</v>
      </c>
      <c r="L447" s="32">
        <v>3.2783961E7</v>
      </c>
      <c r="M447" s="32" t="s">
        <v>1564</v>
      </c>
      <c r="N447" s="32" t="s">
        <v>5112</v>
      </c>
      <c r="O447" s="32" t="s">
        <v>52</v>
      </c>
      <c r="P447" s="32">
        <v>18999.0</v>
      </c>
      <c r="Q447" s="34">
        <v>17099.0</v>
      </c>
      <c r="R447" s="40">
        <v>17999.0</v>
      </c>
      <c r="S447" s="35">
        <v>14629.23</v>
      </c>
      <c r="T447" s="36">
        <v>0.0</v>
      </c>
      <c r="U447" s="36">
        <v>0.0</v>
      </c>
      <c r="V447" s="36">
        <v>6.0</v>
      </c>
      <c r="W447" s="36">
        <v>0.0</v>
      </c>
      <c r="X447" s="36">
        <v>0.0</v>
      </c>
      <c r="Y447" s="36">
        <v>6.0</v>
      </c>
    </row>
    <row r="448">
      <c r="A448" s="32" t="s">
        <v>3038</v>
      </c>
      <c r="B448" s="32" t="s">
        <v>3038</v>
      </c>
      <c r="C448" s="32" t="s">
        <v>3039</v>
      </c>
      <c r="D448" s="32" t="s">
        <v>3040</v>
      </c>
      <c r="E448" s="32" t="s">
        <v>5073</v>
      </c>
      <c r="F448" s="32" t="e">
        <v>#N/A</v>
      </c>
      <c r="G448" s="39"/>
      <c r="H448" s="32" t="s">
        <v>3041</v>
      </c>
      <c r="I448" s="32" t="s">
        <v>5073</v>
      </c>
      <c r="J448" s="32" t="s">
        <v>3042</v>
      </c>
      <c r="K448" s="33" t="s">
        <v>3043</v>
      </c>
      <c r="L448" s="32" t="e">
        <v>#N/A</v>
      </c>
      <c r="M448" s="32" t="e">
        <v>#N/A</v>
      </c>
      <c r="N448" s="32" t="s">
        <v>5086</v>
      </c>
      <c r="O448" s="32" t="s">
        <v>4730</v>
      </c>
      <c r="P448" s="32">
        <v>2989.0</v>
      </c>
      <c r="Q448" s="34">
        <v>2699.0</v>
      </c>
      <c r="R448" s="40">
        <v>2699.0</v>
      </c>
      <c r="S448" s="35">
        <v>2540.65</v>
      </c>
      <c r="T448" s="36">
        <v>0.0</v>
      </c>
      <c r="U448" s="36">
        <v>0.0</v>
      </c>
      <c r="V448" s="36">
        <v>6.0</v>
      </c>
      <c r="W448" s="36">
        <v>0.0</v>
      </c>
      <c r="X448" s="36">
        <v>0.0</v>
      </c>
      <c r="Y448" s="36">
        <v>6.0</v>
      </c>
    </row>
    <row r="449">
      <c r="A449" s="32" t="s">
        <v>2057</v>
      </c>
      <c r="B449" s="32" t="s">
        <v>2057</v>
      </c>
      <c r="C449" s="32" t="s">
        <v>2058</v>
      </c>
      <c r="D449" s="32" t="s">
        <v>2059</v>
      </c>
      <c r="E449" s="32" t="s">
        <v>5102</v>
      </c>
      <c r="F449" s="32" t="e">
        <v>#N/A</v>
      </c>
      <c r="G449" s="32" t="e">
        <v>#N/A</v>
      </c>
      <c r="H449" s="32" t="s">
        <v>2060</v>
      </c>
      <c r="I449" s="32" t="s">
        <v>5102</v>
      </c>
      <c r="J449" s="32">
        <v>0.0</v>
      </c>
      <c r="K449" s="33" t="s">
        <v>2062</v>
      </c>
      <c r="L449" s="32">
        <v>3.2789233E7</v>
      </c>
      <c r="M449" s="32" t="s">
        <v>2063</v>
      </c>
      <c r="N449" s="32" t="s">
        <v>5138</v>
      </c>
      <c r="O449" s="32" t="s">
        <v>52</v>
      </c>
      <c r="P449" s="32">
        <v>22999.0</v>
      </c>
      <c r="Q449" s="34">
        <v>20699.0</v>
      </c>
      <c r="R449" s="40">
        <v>20699.0</v>
      </c>
      <c r="S449" s="35">
        <v>18399.2</v>
      </c>
      <c r="T449" s="36">
        <v>0.0</v>
      </c>
      <c r="U449" s="36">
        <v>0.0</v>
      </c>
      <c r="V449" s="36">
        <v>3.0</v>
      </c>
      <c r="W449" s="36">
        <v>2.0</v>
      </c>
      <c r="X449" s="36">
        <v>0.0</v>
      </c>
      <c r="Y449" s="36">
        <v>5.0</v>
      </c>
    </row>
    <row r="450">
      <c r="A450" s="32" t="s">
        <v>1058</v>
      </c>
      <c r="B450" s="32" t="s">
        <v>1058</v>
      </c>
      <c r="C450" s="32" t="s">
        <v>1059</v>
      </c>
      <c r="D450" s="32" t="s">
        <v>1060</v>
      </c>
      <c r="E450" s="32" t="s">
        <v>5073</v>
      </c>
      <c r="F450" s="32" t="e">
        <v>#N/A</v>
      </c>
      <c r="G450" s="32" t="e">
        <v>#N/A</v>
      </c>
      <c r="H450" s="32" t="s">
        <v>1061</v>
      </c>
      <c r="I450" s="32" t="s">
        <v>5073</v>
      </c>
      <c r="J450" s="32" t="s">
        <v>1062</v>
      </c>
      <c r="K450" s="33" t="s">
        <v>1063</v>
      </c>
      <c r="L450" s="32">
        <v>3.1999089E7</v>
      </c>
      <c r="M450" s="32" t="s">
        <v>1064</v>
      </c>
      <c r="N450" s="32" t="s">
        <v>5108</v>
      </c>
      <c r="O450" s="32" t="s">
        <v>52</v>
      </c>
      <c r="P450" s="32">
        <v>23199.0</v>
      </c>
      <c r="Q450" s="34">
        <v>19487.0</v>
      </c>
      <c r="R450" s="40">
        <v>20899.0</v>
      </c>
      <c r="S450" s="35">
        <v>18559.2</v>
      </c>
      <c r="T450" s="36">
        <v>0.0</v>
      </c>
      <c r="U450" s="36">
        <v>0.0</v>
      </c>
      <c r="V450" s="36">
        <v>5.0</v>
      </c>
      <c r="W450" s="36">
        <v>0.0</v>
      </c>
      <c r="X450" s="36">
        <v>0.0</v>
      </c>
      <c r="Y450" s="36">
        <v>5.0</v>
      </c>
    </row>
    <row r="451">
      <c r="A451" s="32" t="s">
        <v>910</v>
      </c>
      <c r="B451" s="32" t="s">
        <v>910</v>
      </c>
      <c r="C451" s="32" t="s">
        <v>911</v>
      </c>
      <c r="D451" s="32" t="s">
        <v>912</v>
      </c>
      <c r="E451" s="32" t="s">
        <v>5073</v>
      </c>
      <c r="F451" s="32" t="e">
        <v>#N/A</v>
      </c>
      <c r="G451" s="32" t="e">
        <v>#N/A</v>
      </c>
      <c r="H451" s="32" t="s">
        <v>913</v>
      </c>
      <c r="I451" s="32" t="s">
        <v>5073</v>
      </c>
      <c r="J451" s="32" t="s">
        <v>914</v>
      </c>
      <c r="K451" s="33" t="s">
        <v>915</v>
      </c>
      <c r="L451" s="32">
        <v>3.1999088E7</v>
      </c>
      <c r="M451" s="32" t="s">
        <v>916</v>
      </c>
      <c r="N451" s="32" t="s">
        <v>5108</v>
      </c>
      <c r="O451" s="32" t="s">
        <v>52</v>
      </c>
      <c r="P451" s="32">
        <v>16999.0</v>
      </c>
      <c r="Q451" s="34">
        <v>14279.0</v>
      </c>
      <c r="R451" s="40">
        <v>15299.0</v>
      </c>
      <c r="S451" s="35">
        <v>13599.2</v>
      </c>
      <c r="T451" s="36">
        <v>2.0</v>
      </c>
      <c r="U451" s="36">
        <v>0.0</v>
      </c>
      <c r="V451" s="36">
        <v>1.0</v>
      </c>
      <c r="W451" s="36">
        <v>2.0</v>
      </c>
      <c r="X451" s="36">
        <v>0.0</v>
      </c>
      <c r="Y451" s="36">
        <v>5.0</v>
      </c>
    </row>
    <row r="452">
      <c r="A452" s="32" t="s">
        <v>4143</v>
      </c>
      <c r="B452" s="32" t="s">
        <v>4143</v>
      </c>
      <c r="C452" s="32" t="s">
        <v>4144</v>
      </c>
      <c r="D452" s="32" t="s">
        <v>4145</v>
      </c>
      <c r="E452" s="32" t="s">
        <v>5073</v>
      </c>
      <c r="F452" s="32" t="e">
        <v>#N/A</v>
      </c>
      <c r="G452" s="38"/>
      <c r="H452" s="32">
        <v>0.0</v>
      </c>
      <c r="I452" s="39"/>
      <c r="J452" s="32" t="s">
        <v>4146</v>
      </c>
      <c r="K452" s="33" t="s">
        <v>4147</v>
      </c>
      <c r="L452" s="32" t="e">
        <v>#N/A</v>
      </c>
      <c r="M452" s="32" t="s">
        <v>4148</v>
      </c>
      <c r="N452" s="32" t="s">
        <v>5118</v>
      </c>
      <c r="O452" s="32" t="s">
        <v>52</v>
      </c>
      <c r="P452" s="32">
        <v>17499.0</v>
      </c>
      <c r="Q452" s="34">
        <v>15749.0</v>
      </c>
      <c r="R452" s="40">
        <v>16799.0</v>
      </c>
      <c r="S452" s="35">
        <v>15377.34</v>
      </c>
      <c r="T452" s="36">
        <v>0.0</v>
      </c>
      <c r="U452" s="36">
        <v>0.0</v>
      </c>
      <c r="V452" s="36">
        <v>5.0</v>
      </c>
      <c r="W452" s="36">
        <v>0.0</v>
      </c>
      <c r="X452" s="36">
        <v>0.0</v>
      </c>
      <c r="Y452" s="36">
        <v>5.0</v>
      </c>
    </row>
    <row r="453">
      <c r="A453" s="32" t="s">
        <v>4024</v>
      </c>
      <c r="B453" s="32" t="s">
        <v>4024</v>
      </c>
      <c r="C453" s="32" t="s">
        <v>4025</v>
      </c>
      <c r="D453" s="32" t="s">
        <v>4026</v>
      </c>
      <c r="E453" s="32" t="s">
        <v>5073</v>
      </c>
      <c r="F453" s="32" t="e">
        <v>#N/A</v>
      </c>
      <c r="G453" s="38"/>
      <c r="H453" s="32">
        <v>0.0</v>
      </c>
      <c r="I453" s="39"/>
      <c r="J453" s="32" t="s">
        <v>4027</v>
      </c>
      <c r="K453" s="33" t="s">
        <v>4028</v>
      </c>
      <c r="L453" s="32" t="e">
        <v>#N/A</v>
      </c>
      <c r="M453" s="32" t="s">
        <v>4029</v>
      </c>
      <c r="N453" s="32" t="s">
        <v>5118</v>
      </c>
      <c r="O453" s="32" t="s">
        <v>52</v>
      </c>
      <c r="P453" s="32">
        <v>9199.0</v>
      </c>
      <c r="Q453" s="34">
        <v>8279.0</v>
      </c>
      <c r="R453" s="40">
        <v>8899.0</v>
      </c>
      <c r="S453" s="35">
        <v>8117.34</v>
      </c>
      <c r="T453" s="36">
        <v>0.0</v>
      </c>
      <c r="U453" s="36">
        <v>1.0</v>
      </c>
      <c r="V453" s="36">
        <v>4.0</v>
      </c>
      <c r="W453" s="36">
        <v>0.0</v>
      </c>
      <c r="X453" s="36">
        <v>0.0</v>
      </c>
      <c r="Y453" s="36">
        <v>5.0</v>
      </c>
    </row>
    <row r="454">
      <c r="A454" s="32" t="s">
        <v>4968</v>
      </c>
      <c r="B454" s="32" t="s">
        <v>4968</v>
      </c>
      <c r="C454" s="32" t="s">
        <v>4969</v>
      </c>
      <c r="D454" s="32" t="s">
        <v>4970</v>
      </c>
      <c r="E454" s="32" t="s">
        <v>5102</v>
      </c>
      <c r="F454" s="38"/>
      <c r="G454" s="38"/>
      <c r="H454" s="38"/>
      <c r="I454" s="38"/>
      <c r="J454" s="32" t="s">
        <v>4971</v>
      </c>
      <c r="K454" s="38"/>
      <c r="L454" s="38"/>
      <c r="M454" s="38"/>
      <c r="N454" s="32" t="s">
        <v>5077</v>
      </c>
      <c r="O454" s="32" t="s">
        <v>4730</v>
      </c>
      <c r="P454" s="32">
        <v>1599.0</v>
      </c>
      <c r="Q454" s="44">
        <v>1519.0</v>
      </c>
      <c r="R454" s="40">
        <v>1519.0</v>
      </c>
      <c r="S454" s="35">
        <v>1439.1</v>
      </c>
      <c r="T454" s="36">
        <v>5.0</v>
      </c>
      <c r="U454" s="36">
        <v>0.0</v>
      </c>
      <c r="V454" s="36">
        <v>0.0</v>
      </c>
      <c r="W454" s="36">
        <v>0.0</v>
      </c>
      <c r="X454" s="36">
        <v>0.0</v>
      </c>
      <c r="Y454" s="36">
        <v>5.0</v>
      </c>
    </row>
    <row r="455">
      <c r="A455" s="32" t="s">
        <v>4980</v>
      </c>
      <c r="B455" s="32" t="s">
        <v>4980</v>
      </c>
      <c r="C455" s="32" t="s">
        <v>4981</v>
      </c>
      <c r="D455" s="32" t="s">
        <v>4982</v>
      </c>
      <c r="E455" s="32" t="s">
        <v>5102</v>
      </c>
      <c r="F455" s="38"/>
      <c r="G455" s="38"/>
      <c r="H455" s="38"/>
      <c r="I455" s="38"/>
      <c r="J455" s="32" t="s">
        <v>4983</v>
      </c>
      <c r="K455" s="38"/>
      <c r="L455" s="38"/>
      <c r="M455" s="38"/>
      <c r="N455" s="32" t="s">
        <v>5077</v>
      </c>
      <c r="O455" s="32" t="s">
        <v>4730</v>
      </c>
      <c r="P455" s="32">
        <v>1499.0</v>
      </c>
      <c r="Q455" s="44">
        <v>1424.0</v>
      </c>
      <c r="R455" s="40">
        <v>1424.0</v>
      </c>
      <c r="S455" s="35">
        <v>1349.1</v>
      </c>
      <c r="T455" s="36">
        <v>0.0</v>
      </c>
      <c r="U455" s="36">
        <v>0.0</v>
      </c>
      <c r="V455" s="36">
        <v>5.0</v>
      </c>
      <c r="W455" s="36">
        <v>0.0</v>
      </c>
      <c r="X455" s="36">
        <v>0.0</v>
      </c>
      <c r="Y455" s="36">
        <v>5.0</v>
      </c>
    </row>
    <row r="456">
      <c r="A456" s="32" t="s">
        <v>422</v>
      </c>
      <c r="B456" s="32" t="s">
        <v>422</v>
      </c>
      <c r="C456" s="32" t="s">
        <v>423</v>
      </c>
      <c r="D456" s="32" t="s">
        <v>424</v>
      </c>
      <c r="E456" s="32" t="s">
        <v>5073</v>
      </c>
      <c r="F456" s="32" t="e">
        <v>#N/A</v>
      </c>
      <c r="G456" s="39"/>
      <c r="H456" s="32" t="s">
        <v>425</v>
      </c>
      <c r="I456" s="32" t="s">
        <v>5073</v>
      </c>
      <c r="J456" s="32" t="s">
        <v>426</v>
      </c>
      <c r="K456" s="33" t="s">
        <v>427</v>
      </c>
      <c r="L456" s="32">
        <v>3.2784058E7</v>
      </c>
      <c r="M456" s="32" t="s">
        <v>428</v>
      </c>
      <c r="N456" s="32" t="s">
        <v>51</v>
      </c>
      <c r="O456" s="32" t="s">
        <v>52</v>
      </c>
      <c r="P456" s="32">
        <v>19799.0</v>
      </c>
      <c r="Q456" s="34">
        <v>16037.0</v>
      </c>
      <c r="R456" s="40">
        <v>17199.0</v>
      </c>
      <c r="S456" s="35">
        <v>15047.24</v>
      </c>
      <c r="T456" s="36">
        <v>0.0</v>
      </c>
      <c r="U456" s="36">
        <v>0.0</v>
      </c>
      <c r="V456" s="36">
        <v>1.0</v>
      </c>
      <c r="W456" s="36">
        <v>3.0</v>
      </c>
      <c r="X456" s="36">
        <v>1.0</v>
      </c>
      <c r="Y456" s="36">
        <v>5.0</v>
      </c>
    </row>
    <row r="457">
      <c r="A457" s="32" t="s">
        <v>2629</v>
      </c>
      <c r="B457" s="32" t="s">
        <v>2629</v>
      </c>
      <c r="C457" s="32" t="s">
        <v>2630</v>
      </c>
      <c r="D457" s="32" t="s">
        <v>2631</v>
      </c>
      <c r="E457" s="32" t="s">
        <v>5102</v>
      </c>
      <c r="F457" s="32" t="e">
        <v>#N/A</v>
      </c>
      <c r="G457" s="39"/>
      <c r="H457" s="32">
        <v>0.0</v>
      </c>
      <c r="I457" s="39"/>
      <c r="J457" s="32" t="s">
        <v>2629</v>
      </c>
      <c r="K457" s="33" t="s">
        <v>2632</v>
      </c>
      <c r="L457" s="32" t="e">
        <v>#N/A</v>
      </c>
      <c r="M457" s="32" t="s">
        <v>2633</v>
      </c>
      <c r="N457" s="32" t="s">
        <v>1195</v>
      </c>
      <c r="O457" s="32" t="s">
        <v>5114</v>
      </c>
      <c r="P457" s="32">
        <v>4489.0</v>
      </c>
      <c r="Q457" s="34">
        <v>3225.0</v>
      </c>
      <c r="R457" s="40">
        <v>3199.0</v>
      </c>
      <c r="S457" s="35">
        <v>3142.3</v>
      </c>
      <c r="T457" s="36">
        <v>0.0</v>
      </c>
      <c r="U457" s="36">
        <v>2.0</v>
      </c>
      <c r="V457" s="36">
        <v>0.0</v>
      </c>
      <c r="W457" s="36">
        <v>0.0</v>
      </c>
      <c r="X457" s="36">
        <v>3.0</v>
      </c>
      <c r="Y457" s="36">
        <v>5.0</v>
      </c>
    </row>
    <row r="458">
      <c r="A458" s="32" t="s">
        <v>3569</v>
      </c>
      <c r="B458" s="32" t="s">
        <v>3569</v>
      </c>
      <c r="C458" s="32" t="s">
        <v>3570</v>
      </c>
      <c r="D458" s="32" t="s">
        <v>3571</v>
      </c>
      <c r="E458" s="32" t="s">
        <v>5073</v>
      </c>
      <c r="F458" s="32" t="e">
        <v>#N/A</v>
      </c>
      <c r="G458" s="39"/>
      <c r="H458" s="32" t="s">
        <v>3572</v>
      </c>
      <c r="I458" s="32" t="s">
        <v>5073</v>
      </c>
      <c r="J458" s="32" t="s">
        <v>3573</v>
      </c>
      <c r="K458" s="33" t="s">
        <v>3574</v>
      </c>
      <c r="L458" s="32" t="e">
        <v>#N/A</v>
      </c>
      <c r="M458" s="32" t="e">
        <v>#N/A</v>
      </c>
      <c r="N458" s="32" t="s">
        <v>5099</v>
      </c>
      <c r="O458" s="32" t="s">
        <v>4730</v>
      </c>
      <c r="P458" s="32">
        <v>1689.0</v>
      </c>
      <c r="Q458" s="34">
        <v>1499.0</v>
      </c>
      <c r="R458" s="40">
        <v>1499.0</v>
      </c>
      <c r="S458" s="35">
        <v>1435.65</v>
      </c>
      <c r="T458" s="36">
        <v>0.0</v>
      </c>
      <c r="U458" s="36">
        <v>0.0</v>
      </c>
      <c r="V458" s="36">
        <v>5.0</v>
      </c>
      <c r="W458" s="36">
        <v>0.0</v>
      </c>
      <c r="X458" s="36">
        <v>0.0</v>
      </c>
      <c r="Y458" s="36">
        <v>5.0</v>
      </c>
    </row>
    <row r="459">
      <c r="A459" s="32" t="s">
        <v>1668</v>
      </c>
      <c r="B459" s="32" t="s">
        <v>1668</v>
      </c>
      <c r="C459" s="32" t="s">
        <v>1669</v>
      </c>
      <c r="D459" s="32" t="s">
        <v>1670</v>
      </c>
      <c r="E459" s="32" t="s">
        <v>5073</v>
      </c>
      <c r="F459" s="32" t="e">
        <v>#N/A</v>
      </c>
      <c r="G459" s="39"/>
      <c r="H459" s="32" t="s">
        <v>1668</v>
      </c>
      <c r="I459" s="32" t="s">
        <v>5073</v>
      </c>
      <c r="J459" s="32" t="s">
        <v>1668</v>
      </c>
      <c r="K459" s="33" t="s">
        <v>1671</v>
      </c>
      <c r="L459" s="32">
        <v>3.1999086E7</v>
      </c>
      <c r="M459" s="32" t="s">
        <v>1672</v>
      </c>
      <c r="N459" s="32" t="s">
        <v>5112</v>
      </c>
      <c r="O459" s="32" t="s">
        <v>52</v>
      </c>
      <c r="P459" s="32">
        <v>29999.0</v>
      </c>
      <c r="Q459" s="34">
        <v>26999.0</v>
      </c>
      <c r="R459" s="40">
        <v>28499.0</v>
      </c>
      <c r="S459" s="35">
        <v>23099.23</v>
      </c>
      <c r="T459" s="36">
        <v>1.0</v>
      </c>
      <c r="U459" s="36">
        <v>3.0</v>
      </c>
      <c r="V459" s="36">
        <v>0.0</v>
      </c>
      <c r="W459" s="36">
        <v>1.0</v>
      </c>
      <c r="X459" s="36">
        <v>0.0</v>
      </c>
      <c r="Y459" s="36">
        <v>5.0</v>
      </c>
    </row>
    <row r="460">
      <c r="A460" s="32" t="s">
        <v>1585</v>
      </c>
      <c r="B460" s="32" t="s">
        <v>1585</v>
      </c>
      <c r="C460" s="32" t="s">
        <v>1586</v>
      </c>
      <c r="D460" s="32" t="s">
        <v>1587</v>
      </c>
      <c r="E460" s="32" t="s">
        <v>5073</v>
      </c>
      <c r="F460" s="32" t="e">
        <v>#N/A</v>
      </c>
      <c r="G460" s="39"/>
      <c r="H460" s="32" t="s">
        <v>1585</v>
      </c>
      <c r="I460" s="32" t="s">
        <v>5073</v>
      </c>
      <c r="J460" s="32" t="s">
        <v>1585</v>
      </c>
      <c r="K460" s="33" t="s">
        <v>1588</v>
      </c>
      <c r="L460" s="32">
        <v>3.2784054E7</v>
      </c>
      <c r="M460" s="32" t="s">
        <v>1589</v>
      </c>
      <c r="N460" s="32" t="s">
        <v>5112</v>
      </c>
      <c r="O460" s="32" t="s">
        <v>52</v>
      </c>
      <c r="P460" s="32">
        <v>25999.0</v>
      </c>
      <c r="Q460" s="34">
        <v>23399.0</v>
      </c>
      <c r="R460" s="40">
        <v>24699.0</v>
      </c>
      <c r="S460" s="35">
        <v>20019.23</v>
      </c>
      <c r="T460" s="36">
        <v>0.0</v>
      </c>
      <c r="U460" s="36">
        <v>1.0</v>
      </c>
      <c r="V460" s="36">
        <v>4.0</v>
      </c>
      <c r="W460" s="36">
        <v>0.0</v>
      </c>
      <c r="X460" s="36">
        <v>0.0</v>
      </c>
      <c r="Y460" s="36">
        <v>5.0</v>
      </c>
    </row>
    <row r="461">
      <c r="A461" s="32" t="s">
        <v>4553</v>
      </c>
      <c r="B461" s="32" t="s">
        <v>4553</v>
      </c>
      <c r="C461" s="32">
        <v>0.0</v>
      </c>
      <c r="D461" s="32">
        <v>0.0</v>
      </c>
      <c r="E461" s="39"/>
      <c r="F461" s="32" t="e">
        <v>#N/A</v>
      </c>
      <c r="G461" s="39"/>
      <c r="H461" s="32">
        <v>0.0</v>
      </c>
      <c r="I461" s="39"/>
      <c r="J461" s="32" t="s">
        <v>4555</v>
      </c>
      <c r="K461" s="33" t="e">
        <v>#N/A</v>
      </c>
      <c r="L461" s="32" t="e">
        <v>#N/A</v>
      </c>
      <c r="M461" s="32" t="e">
        <v>#N/A</v>
      </c>
      <c r="N461" s="32" t="s">
        <v>5077</v>
      </c>
      <c r="O461" s="32" t="s">
        <v>4730</v>
      </c>
      <c r="P461" s="32">
        <v>1499.0</v>
      </c>
      <c r="Q461" s="34">
        <v>1424.0</v>
      </c>
      <c r="R461" s="40">
        <v>1424.0</v>
      </c>
      <c r="S461" s="35">
        <v>1349.1</v>
      </c>
      <c r="T461" s="36">
        <v>0.0</v>
      </c>
      <c r="U461" s="36">
        <v>0.0</v>
      </c>
      <c r="V461" s="36">
        <v>4.0</v>
      </c>
      <c r="W461" s="36">
        <v>0.0</v>
      </c>
      <c r="X461" s="36">
        <v>0.0</v>
      </c>
      <c r="Y461" s="36">
        <v>4.0</v>
      </c>
    </row>
    <row r="462">
      <c r="A462" s="32" t="s">
        <v>4516</v>
      </c>
      <c r="B462" s="32" t="s">
        <v>4516</v>
      </c>
      <c r="C462" s="32" t="s">
        <v>4517</v>
      </c>
      <c r="D462" s="32" t="s">
        <v>4518</v>
      </c>
      <c r="E462" s="32" t="s">
        <v>5073</v>
      </c>
      <c r="F462" s="32" t="e">
        <v>#N/A</v>
      </c>
      <c r="G462" s="32" t="e">
        <v>#N/A</v>
      </c>
      <c r="H462" s="32">
        <v>0.0</v>
      </c>
      <c r="I462" s="32">
        <v>0.0</v>
      </c>
      <c r="J462" s="32" t="s">
        <v>4519</v>
      </c>
      <c r="K462" s="33" t="s">
        <v>4520</v>
      </c>
      <c r="L462" s="32" t="e">
        <v>#N/A</v>
      </c>
      <c r="M462" s="32" t="e">
        <v>#N/A</v>
      </c>
      <c r="N462" s="32" t="s">
        <v>5077</v>
      </c>
      <c r="O462" s="32" t="s">
        <v>4730</v>
      </c>
      <c r="P462" s="32">
        <v>1199.0</v>
      </c>
      <c r="Q462" s="34">
        <v>1139.0</v>
      </c>
      <c r="R462" s="40">
        <v>1139.0</v>
      </c>
      <c r="S462" s="35">
        <v>1079.1</v>
      </c>
      <c r="T462" s="36">
        <v>0.0</v>
      </c>
      <c r="U462" s="36">
        <v>0.0</v>
      </c>
      <c r="V462" s="36">
        <v>4.0</v>
      </c>
      <c r="W462" s="36">
        <v>0.0</v>
      </c>
      <c r="X462" s="36">
        <v>0.0</v>
      </c>
      <c r="Y462" s="36">
        <v>4.0</v>
      </c>
    </row>
    <row r="463">
      <c r="A463" s="32" t="s">
        <v>899</v>
      </c>
      <c r="B463" s="32" t="s">
        <v>899</v>
      </c>
      <c r="C463" s="32" t="s">
        <v>900</v>
      </c>
      <c r="D463" s="32" t="s">
        <v>901</v>
      </c>
      <c r="E463" s="32" t="s">
        <v>5102</v>
      </c>
      <c r="F463" s="32" t="e">
        <v>#N/A</v>
      </c>
      <c r="G463" s="32" t="e">
        <v>#N/A</v>
      </c>
      <c r="H463" s="32">
        <v>0.0</v>
      </c>
      <c r="I463" s="39"/>
      <c r="J463" s="32" t="s">
        <v>902</v>
      </c>
      <c r="K463" s="33" t="s">
        <v>903</v>
      </c>
      <c r="L463" s="32">
        <v>3.2783863E7</v>
      </c>
      <c r="M463" s="32" t="s">
        <v>904</v>
      </c>
      <c r="N463" s="32" t="s">
        <v>5108</v>
      </c>
      <c r="O463" s="32" t="s">
        <v>52</v>
      </c>
      <c r="P463" s="32">
        <v>14699.0</v>
      </c>
      <c r="Q463" s="34">
        <v>12347.0</v>
      </c>
      <c r="R463" s="40">
        <v>13199.0</v>
      </c>
      <c r="S463" s="35">
        <v>11759.2</v>
      </c>
      <c r="T463" s="36">
        <v>0.0</v>
      </c>
      <c r="U463" s="36">
        <v>0.0</v>
      </c>
      <c r="V463" s="36">
        <v>4.0</v>
      </c>
      <c r="W463" s="36">
        <v>0.0</v>
      </c>
      <c r="X463" s="36">
        <v>0.0</v>
      </c>
      <c r="Y463" s="36">
        <v>4.0</v>
      </c>
    </row>
    <row r="464">
      <c r="A464" s="32" t="s">
        <v>1065</v>
      </c>
      <c r="B464" s="32" t="s">
        <v>1065</v>
      </c>
      <c r="C464" s="32" t="s">
        <v>1066</v>
      </c>
      <c r="D464" s="32" t="s">
        <v>1067</v>
      </c>
      <c r="E464" s="32" t="s">
        <v>5102</v>
      </c>
      <c r="F464" s="32" t="e">
        <v>#N/A</v>
      </c>
      <c r="G464" s="32" t="e">
        <v>#N/A</v>
      </c>
      <c r="H464" s="32">
        <v>0.0</v>
      </c>
      <c r="I464" s="39"/>
      <c r="J464" s="32" t="s">
        <v>1068</v>
      </c>
      <c r="K464" s="33" t="s">
        <v>1069</v>
      </c>
      <c r="L464" s="32" t="e">
        <v>#N/A</v>
      </c>
      <c r="M464" s="32" t="e">
        <v>#N/A</v>
      </c>
      <c r="N464" s="32" t="s">
        <v>5108</v>
      </c>
      <c r="O464" s="32" t="s">
        <v>52</v>
      </c>
      <c r="P464" s="32">
        <v>22999.0</v>
      </c>
      <c r="Q464" s="34">
        <v>19319.0</v>
      </c>
      <c r="R464" s="40">
        <v>20699.0</v>
      </c>
      <c r="S464" s="35">
        <v>18399.2</v>
      </c>
      <c r="T464" s="36">
        <v>0.0</v>
      </c>
      <c r="U464" s="36">
        <v>0.0</v>
      </c>
      <c r="V464" s="36">
        <v>4.0</v>
      </c>
      <c r="W464" s="36">
        <v>0.0</v>
      </c>
      <c r="X464" s="36">
        <v>0.0</v>
      </c>
      <c r="Y464" s="36">
        <v>4.0</v>
      </c>
    </row>
    <row r="465">
      <c r="A465" s="32" t="s">
        <v>969</v>
      </c>
      <c r="B465" s="32" t="s">
        <v>969</v>
      </c>
      <c r="C465" s="32" t="s">
        <v>970</v>
      </c>
      <c r="D465" s="32" t="s">
        <v>971</v>
      </c>
      <c r="E465" s="32" t="s">
        <v>5102</v>
      </c>
      <c r="F465" s="32" t="e">
        <v>#N/A</v>
      </c>
      <c r="G465" s="32" t="e">
        <v>#N/A</v>
      </c>
      <c r="H465" s="32" t="s">
        <v>972</v>
      </c>
      <c r="I465" s="32" t="s">
        <v>5073</v>
      </c>
      <c r="J465" s="32" t="s">
        <v>973</v>
      </c>
      <c r="K465" s="33" t="s">
        <v>974</v>
      </c>
      <c r="L465" s="32" t="e">
        <v>#N/A</v>
      </c>
      <c r="M465" s="32" t="s">
        <v>975</v>
      </c>
      <c r="N465" s="32" t="s">
        <v>5108</v>
      </c>
      <c r="O465" s="32" t="s">
        <v>52</v>
      </c>
      <c r="P465" s="32">
        <v>19999.0</v>
      </c>
      <c r="Q465" s="34">
        <v>16799.0</v>
      </c>
      <c r="R465" s="40">
        <v>17999.0</v>
      </c>
      <c r="S465" s="35">
        <v>15999.2</v>
      </c>
      <c r="T465" s="36">
        <v>0.0</v>
      </c>
      <c r="U465" s="36">
        <v>0.0</v>
      </c>
      <c r="V465" s="36">
        <v>4.0</v>
      </c>
      <c r="W465" s="36">
        <v>0.0</v>
      </c>
      <c r="X465" s="36">
        <v>0.0</v>
      </c>
      <c r="Y465" s="36">
        <v>4.0</v>
      </c>
    </row>
    <row r="466">
      <c r="A466" s="32" t="s">
        <v>824</v>
      </c>
      <c r="B466" s="32" t="s">
        <v>824</v>
      </c>
      <c r="C466" s="32" t="s">
        <v>825</v>
      </c>
      <c r="D466" s="32" t="s">
        <v>826</v>
      </c>
      <c r="E466" s="32" t="s">
        <v>5102</v>
      </c>
      <c r="F466" s="32" t="e">
        <v>#N/A</v>
      </c>
      <c r="G466" s="32" t="e">
        <v>#N/A</v>
      </c>
      <c r="H466" s="32" t="s">
        <v>827</v>
      </c>
      <c r="I466" s="32" t="s">
        <v>5073</v>
      </c>
      <c r="J466" s="32" t="s">
        <v>828</v>
      </c>
      <c r="K466" s="33" t="s">
        <v>829</v>
      </c>
      <c r="L466" s="32">
        <v>3.2784149E7</v>
      </c>
      <c r="M466" s="32" t="s">
        <v>830</v>
      </c>
      <c r="N466" s="32" t="s">
        <v>5108</v>
      </c>
      <c r="O466" s="32" t="s">
        <v>52</v>
      </c>
      <c r="P466" s="32">
        <v>11899.0</v>
      </c>
      <c r="Q466" s="34">
        <v>9995.0</v>
      </c>
      <c r="R466" s="40">
        <v>10699.0</v>
      </c>
      <c r="S466" s="35">
        <v>9519.2</v>
      </c>
      <c r="T466" s="36">
        <v>0.0</v>
      </c>
      <c r="U466" s="36">
        <v>0.0</v>
      </c>
      <c r="V466" s="36">
        <v>4.0</v>
      </c>
      <c r="W466" s="36">
        <v>0.0</v>
      </c>
      <c r="X466" s="36">
        <v>0.0</v>
      </c>
      <c r="Y466" s="36">
        <v>4.0</v>
      </c>
    </row>
    <row r="467">
      <c r="A467" s="32" t="s">
        <v>3990</v>
      </c>
      <c r="B467" s="32" t="s">
        <v>3990</v>
      </c>
      <c r="C467" s="32" t="s">
        <v>3991</v>
      </c>
      <c r="D467" s="32" t="s">
        <v>3993</v>
      </c>
      <c r="E467" s="32" t="s">
        <v>5073</v>
      </c>
      <c r="F467" s="32" t="e">
        <v>#N/A</v>
      </c>
      <c r="G467" s="32" t="e">
        <v>#N/A</v>
      </c>
      <c r="H467" s="32">
        <v>0.0</v>
      </c>
      <c r="I467" s="39"/>
      <c r="J467" s="32" t="s">
        <v>3994</v>
      </c>
      <c r="K467" s="33" t="s">
        <v>3995</v>
      </c>
      <c r="L467" s="32" t="e">
        <v>#N/A</v>
      </c>
      <c r="M467" s="32" t="e">
        <v>#N/A</v>
      </c>
      <c r="N467" s="32" t="s">
        <v>5118</v>
      </c>
      <c r="O467" s="32" t="s">
        <v>52</v>
      </c>
      <c r="P467" s="32">
        <v>11299.0</v>
      </c>
      <c r="Q467" s="34">
        <v>10169.0</v>
      </c>
      <c r="R467" s="40">
        <v>10899.0</v>
      </c>
      <c r="S467" s="35">
        <v>9965.34</v>
      </c>
      <c r="T467" s="36">
        <v>0.0</v>
      </c>
      <c r="U467" s="36">
        <v>0.0</v>
      </c>
      <c r="V467" s="36">
        <v>4.0</v>
      </c>
      <c r="W467" s="36">
        <v>0.0</v>
      </c>
      <c r="X467" s="36">
        <v>0.0</v>
      </c>
      <c r="Y467" s="36">
        <v>4.0</v>
      </c>
    </row>
    <row r="468">
      <c r="A468" s="32" t="s">
        <v>213</v>
      </c>
      <c r="B468" s="32" t="s">
        <v>213</v>
      </c>
      <c r="C468" s="32" t="s">
        <v>214</v>
      </c>
      <c r="D468" s="32" t="s">
        <v>215</v>
      </c>
      <c r="E468" s="32" t="s">
        <v>5073</v>
      </c>
      <c r="F468" s="32" t="e">
        <v>#N/A</v>
      </c>
      <c r="G468" s="39"/>
      <c r="H468" s="32" t="s">
        <v>216</v>
      </c>
      <c r="I468" s="32" t="s">
        <v>5073</v>
      </c>
      <c r="J468" s="32" t="s">
        <v>217</v>
      </c>
      <c r="K468" s="33" t="s">
        <v>218</v>
      </c>
      <c r="L468" s="32">
        <v>3.2783919E7</v>
      </c>
      <c r="M468" s="32" t="s">
        <v>219</v>
      </c>
      <c r="N468" s="32" t="s">
        <v>51</v>
      </c>
      <c r="O468" s="32" t="s">
        <v>52</v>
      </c>
      <c r="P468" s="32">
        <v>12999.0</v>
      </c>
      <c r="Q468" s="34">
        <v>10529.0</v>
      </c>
      <c r="R468" s="40">
        <v>11299.0</v>
      </c>
      <c r="S468" s="35">
        <v>9879.24</v>
      </c>
      <c r="T468" s="36">
        <v>0.0</v>
      </c>
      <c r="U468" s="36">
        <v>2.0</v>
      </c>
      <c r="V468" s="36">
        <v>0.0</v>
      </c>
      <c r="W468" s="36">
        <v>2.0</v>
      </c>
      <c r="X468" s="36">
        <v>0.0</v>
      </c>
      <c r="Y468" s="36">
        <v>4.0</v>
      </c>
    </row>
    <row r="469">
      <c r="A469" s="32" t="s">
        <v>680</v>
      </c>
      <c r="B469" s="32" t="s">
        <v>680</v>
      </c>
      <c r="C469" s="32" t="s">
        <v>681</v>
      </c>
      <c r="D469" s="32" t="s">
        <v>682</v>
      </c>
      <c r="E469" s="32" t="s">
        <v>5073</v>
      </c>
      <c r="F469" s="32" t="e">
        <v>#N/A</v>
      </c>
      <c r="G469" s="39"/>
      <c r="H469" s="32" t="s">
        <v>683</v>
      </c>
      <c r="I469" s="32" t="s">
        <v>5073</v>
      </c>
      <c r="J469" s="32" t="s">
        <v>684</v>
      </c>
      <c r="K469" s="33" t="s">
        <v>685</v>
      </c>
      <c r="L469" s="32">
        <v>3.2784137E7</v>
      </c>
      <c r="M469" s="32" t="s">
        <v>686</v>
      </c>
      <c r="N469" s="32" t="s">
        <v>51</v>
      </c>
      <c r="O469" s="32" t="s">
        <v>52</v>
      </c>
      <c r="P469" s="32">
        <v>23599.0</v>
      </c>
      <c r="Q469" s="34">
        <v>19115.0</v>
      </c>
      <c r="R469" s="40">
        <v>20499.0</v>
      </c>
      <c r="S469" s="35">
        <v>17935.24</v>
      </c>
      <c r="T469" s="36">
        <v>1.0</v>
      </c>
      <c r="U469" s="36">
        <v>1.0</v>
      </c>
      <c r="V469" s="36">
        <v>1.0</v>
      </c>
      <c r="W469" s="36">
        <v>0.0</v>
      </c>
      <c r="X469" s="36">
        <v>1.0</v>
      </c>
      <c r="Y469" s="36">
        <v>4.0</v>
      </c>
    </row>
    <row r="470">
      <c r="A470" s="32" t="s">
        <v>692</v>
      </c>
      <c r="B470" s="32" t="s">
        <v>692</v>
      </c>
      <c r="C470" s="32" t="s">
        <v>693</v>
      </c>
      <c r="D470" s="32" t="s">
        <v>694</v>
      </c>
      <c r="E470" s="32" t="s">
        <v>5073</v>
      </c>
      <c r="F470" s="32" t="e">
        <v>#N/A</v>
      </c>
      <c r="G470" s="39"/>
      <c r="H470" s="32" t="s">
        <v>695</v>
      </c>
      <c r="I470" s="32" t="s">
        <v>5073</v>
      </c>
      <c r="J470" s="32" t="s">
        <v>696</v>
      </c>
      <c r="K470" s="33" t="s">
        <v>697</v>
      </c>
      <c r="L470" s="32">
        <v>3.1999073E7</v>
      </c>
      <c r="M470" s="32" t="s">
        <v>698</v>
      </c>
      <c r="N470" s="32" t="s">
        <v>51</v>
      </c>
      <c r="O470" s="32" t="s">
        <v>52</v>
      </c>
      <c r="P470" s="32">
        <v>24499.0</v>
      </c>
      <c r="Q470" s="34">
        <v>19844.0</v>
      </c>
      <c r="R470" s="40">
        <v>21299.0</v>
      </c>
      <c r="S470" s="35">
        <v>18619.24</v>
      </c>
      <c r="T470" s="36">
        <v>0.0</v>
      </c>
      <c r="U470" s="36">
        <v>0.0</v>
      </c>
      <c r="V470" s="36">
        <v>0.0</v>
      </c>
      <c r="W470" s="36">
        <v>1.0</v>
      </c>
      <c r="X470" s="36">
        <v>3.0</v>
      </c>
      <c r="Y470" s="36">
        <v>4.0</v>
      </c>
    </row>
    <row r="471">
      <c r="A471" s="32" t="s">
        <v>499</v>
      </c>
      <c r="B471" s="32" t="s">
        <v>499</v>
      </c>
      <c r="C471" s="32" t="s">
        <v>500</v>
      </c>
      <c r="D471" s="32" t="s">
        <v>501</v>
      </c>
      <c r="E471" s="32" t="s">
        <v>5073</v>
      </c>
      <c r="F471" s="32" t="e">
        <v>#N/A</v>
      </c>
      <c r="G471" s="39"/>
      <c r="H471" s="32">
        <v>0.0</v>
      </c>
      <c r="I471" s="39"/>
      <c r="J471" s="32" t="s">
        <v>502</v>
      </c>
      <c r="K471" s="33" t="s">
        <v>503</v>
      </c>
      <c r="L471" s="32" t="e">
        <v>#N/A</v>
      </c>
      <c r="M471" s="32" t="s">
        <v>504</v>
      </c>
      <c r="N471" s="32" t="s">
        <v>51</v>
      </c>
      <c r="O471" s="32" t="s">
        <v>52</v>
      </c>
      <c r="P471" s="32">
        <v>15689.0</v>
      </c>
      <c r="Q471" s="34">
        <v>12708.0</v>
      </c>
      <c r="R471" s="40">
        <v>13599.0</v>
      </c>
      <c r="S471" s="35">
        <v>11923.64</v>
      </c>
      <c r="T471" s="36">
        <v>1.0</v>
      </c>
      <c r="U471" s="36">
        <v>0.0</v>
      </c>
      <c r="V471" s="36">
        <v>2.0</v>
      </c>
      <c r="W471" s="36">
        <v>0.0</v>
      </c>
      <c r="X471" s="36">
        <v>1.0</v>
      </c>
      <c r="Y471" s="36">
        <v>4.0</v>
      </c>
    </row>
    <row r="472">
      <c r="A472" s="32" t="s">
        <v>86</v>
      </c>
      <c r="B472" s="32" t="s">
        <v>86</v>
      </c>
      <c r="C472" s="32" t="s">
        <v>87</v>
      </c>
      <c r="D472" s="32" t="s">
        <v>88</v>
      </c>
      <c r="E472" s="32" t="s">
        <v>5073</v>
      </c>
      <c r="F472" s="32" t="e">
        <v>#N/A</v>
      </c>
      <c r="G472" s="39"/>
      <c r="H472" s="32" t="s">
        <v>89</v>
      </c>
      <c r="I472" s="32" t="s">
        <v>5073</v>
      </c>
      <c r="J472" s="32" t="s">
        <v>90</v>
      </c>
      <c r="K472" s="33" t="s">
        <v>91</v>
      </c>
      <c r="L472" s="32">
        <v>3.278405E7</v>
      </c>
      <c r="M472" s="32" t="s">
        <v>92</v>
      </c>
      <c r="N472" s="32" t="s">
        <v>51</v>
      </c>
      <c r="O472" s="32" t="s">
        <v>52</v>
      </c>
      <c r="P472" s="32">
        <v>12999.0</v>
      </c>
      <c r="Q472" s="34">
        <v>10529.0</v>
      </c>
      <c r="R472" s="40">
        <v>11299.0</v>
      </c>
      <c r="S472" s="35">
        <v>9879.24</v>
      </c>
      <c r="T472" s="36">
        <v>0.0</v>
      </c>
      <c r="U472" s="36">
        <v>1.0</v>
      </c>
      <c r="V472" s="36">
        <v>0.0</v>
      </c>
      <c r="W472" s="36">
        <v>0.0</v>
      </c>
      <c r="X472" s="36">
        <v>3.0</v>
      </c>
      <c r="Y472" s="36">
        <v>4.0</v>
      </c>
    </row>
    <row r="473">
      <c r="A473" s="32" t="s">
        <v>129</v>
      </c>
      <c r="B473" s="32" t="s">
        <v>129</v>
      </c>
      <c r="C473" s="32" t="s">
        <v>130</v>
      </c>
      <c r="D473" s="32" t="s">
        <v>131</v>
      </c>
      <c r="E473" s="32" t="s">
        <v>5073</v>
      </c>
      <c r="F473" s="32" t="e">
        <v>#N/A</v>
      </c>
      <c r="G473" s="39"/>
      <c r="H473" s="32">
        <v>0.0</v>
      </c>
      <c r="I473" s="39"/>
      <c r="J473" s="32" t="s">
        <v>132</v>
      </c>
      <c r="K473" s="33" t="s">
        <v>133</v>
      </c>
      <c r="L473" s="32" t="e">
        <v>#N/A</v>
      </c>
      <c r="M473" s="32" t="e">
        <v>#N/A</v>
      </c>
      <c r="N473" s="32" t="s">
        <v>51</v>
      </c>
      <c r="O473" s="32" t="s">
        <v>52</v>
      </c>
      <c r="P473" s="32">
        <v>9439.0</v>
      </c>
      <c r="Q473" s="34">
        <v>7646.0</v>
      </c>
      <c r="R473" s="40">
        <v>8199.0</v>
      </c>
      <c r="S473" s="35">
        <v>7173.64</v>
      </c>
      <c r="T473" s="36">
        <v>0.0</v>
      </c>
      <c r="U473" s="36">
        <v>0.0</v>
      </c>
      <c r="V473" s="36">
        <v>4.0</v>
      </c>
      <c r="W473" s="36">
        <v>0.0</v>
      </c>
      <c r="X473" s="36">
        <v>0.0</v>
      </c>
      <c r="Y473" s="36">
        <v>4.0</v>
      </c>
    </row>
    <row r="474">
      <c r="A474" s="32" t="s">
        <v>2614</v>
      </c>
      <c r="B474" s="32" t="s">
        <v>2614</v>
      </c>
      <c r="C474" s="32" t="s">
        <v>2615</v>
      </c>
      <c r="D474" s="32" t="s">
        <v>2616</v>
      </c>
      <c r="E474" s="32" t="s">
        <v>5117</v>
      </c>
      <c r="F474" s="32" t="e">
        <v>#N/A</v>
      </c>
      <c r="G474" s="32" t="e">
        <v>#N/A</v>
      </c>
      <c r="H474" s="32" t="s">
        <v>2614</v>
      </c>
      <c r="I474" s="32" t="s">
        <v>5102</v>
      </c>
      <c r="J474" s="32" t="s">
        <v>2614</v>
      </c>
      <c r="K474" s="33" t="s">
        <v>2617</v>
      </c>
      <c r="L474" s="32" t="e">
        <v>#N/A</v>
      </c>
      <c r="M474" s="32" t="s">
        <v>2618</v>
      </c>
      <c r="N474" s="32" t="s">
        <v>1195</v>
      </c>
      <c r="O474" s="32" t="s">
        <v>5114</v>
      </c>
      <c r="P474" s="32">
        <v>4489.0</v>
      </c>
      <c r="Q474" s="34">
        <v>3225.0</v>
      </c>
      <c r="R474" s="40">
        <v>3199.0</v>
      </c>
      <c r="S474" s="35">
        <v>3142.3</v>
      </c>
      <c r="T474" s="36">
        <v>0.0</v>
      </c>
      <c r="U474" s="36">
        <v>1.0</v>
      </c>
      <c r="V474" s="36">
        <v>0.0</v>
      </c>
      <c r="W474" s="36">
        <v>0.0</v>
      </c>
      <c r="X474" s="36">
        <v>3.0</v>
      </c>
      <c r="Y474" s="36">
        <v>4.0</v>
      </c>
    </row>
    <row r="475">
      <c r="A475" s="32" t="s">
        <v>2614</v>
      </c>
      <c r="B475" s="32" t="s">
        <v>2614</v>
      </c>
      <c r="C475" s="32" t="s">
        <v>4798</v>
      </c>
      <c r="D475" s="32" t="s">
        <v>4799</v>
      </c>
      <c r="E475" s="32" t="s">
        <v>5073</v>
      </c>
      <c r="F475" s="32" t="e">
        <v>#N/A</v>
      </c>
      <c r="G475" s="39"/>
      <c r="H475" s="32" t="e">
        <v>#N/A</v>
      </c>
      <c r="I475" s="39"/>
      <c r="J475" s="32" t="s">
        <v>4800</v>
      </c>
      <c r="K475" s="33" t="s">
        <v>2617</v>
      </c>
      <c r="L475" s="32" t="e">
        <v>#N/A</v>
      </c>
      <c r="M475" s="32" t="e">
        <v>#N/A</v>
      </c>
      <c r="N475" s="32" t="s">
        <v>1195</v>
      </c>
      <c r="O475" s="32" t="s">
        <v>5114</v>
      </c>
      <c r="P475" s="32">
        <v>4489.0</v>
      </c>
      <c r="Q475" s="34">
        <v>3225.0</v>
      </c>
      <c r="R475" s="40">
        <v>3199.0</v>
      </c>
      <c r="S475" s="35">
        <v>3142.3</v>
      </c>
      <c r="T475" s="36">
        <v>0.0</v>
      </c>
      <c r="U475" s="36">
        <v>1.0</v>
      </c>
      <c r="V475" s="36">
        <v>0.0</v>
      </c>
      <c r="W475" s="36">
        <v>0.0</v>
      </c>
      <c r="X475" s="36">
        <v>3.0</v>
      </c>
      <c r="Y475" s="36">
        <v>4.0</v>
      </c>
    </row>
    <row r="476">
      <c r="A476" s="32" t="s">
        <v>2357</v>
      </c>
      <c r="B476" s="32" t="s">
        <v>2357</v>
      </c>
      <c r="C476" s="32" t="s">
        <v>2358</v>
      </c>
      <c r="D476" s="32" t="s">
        <v>2359</v>
      </c>
      <c r="E476" s="32" t="s">
        <v>5073</v>
      </c>
      <c r="F476" s="32" t="e">
        <v>#N/A</v>
      </c>
      <c r="G476" s="39"/>
      <c r="H476" s="32">
        <v>0.0</v>
      </c>
      <c r="I476" s="39"/>
      <c r="J476" s="32" t="s">
        <v>2360</v>
      </c>
      <c r="K476" s="33" t="s">
        <v>2361</v>
      </c>
      <c r="L476" s="32" t="e">
        <v>#N/A</v>
      </c>
      <c r="M476" s="32" t="e">
        <v>#N/A</v>
      </c>
      <c r="N476" s="32" t="s">
        <v>5077</v>
      </c>
      <c r="O476" s="32" t="s">
        <v>4730</v>
      </c>
      <c r="P476" s="32">
        <v>1089.0</v>
      </c>
      <c r="Q476" s="34">
        <v>1035.0</v>
      </c>
      <c r="R476" s="40">
        <v>1035.0</v>
      </c>
      <c r="S476" s="35">
        <v>980.1</v>
      </c>
      <c r="T476" s="36">
        <v>0.0</v>
      </c>
      <c r="U476" s="36">
        <v>0.0</v>
      </c>
      <c r="V476" s="36">
        <v>4.0</v>
      </c>
      <c r="W476" s="36">
        <v>0.0</v>
      </c>
      <c r="X476" s="36">
        <v>0.0</v>
      </c>
      <c r="Y476" s="36">
        <v>4.0</v>
      </c>
    </row>
    <row r="477">
      <c r="A477" s="32" t="s">
        <v>3056</v>
      </c>
      <c r="B477" s="32" t="s">
        <v>3056</v>
      </c>
      <c r="C477" s="32" t="s">
        <v>3057</v>
      </c>
      <c r="D477" s="32" t="s">
        <v>3058</v>
      </c>
      <c r="E477" s="32" t="s">
        <v>5073</v>
      </c>
      <c r="F477" s="32" t="e">
        <v>#N/A</v>
      </c>
      <c r="G477" s="39"/>
      <c r="H477" s="32" t="s">
        <v>3059</v>
      </c>
      <c r="I477" s="32" t="s">
        <v>5073</v>
      </c>
      <c r="J477" s="32" t="s">
        <v>3060</v>
      </c>
      <c r="K477" s="33" t="s">
        <v>3061</v>
      </c>
      <c r="L477" s="32" t="e">
        <v>#N/A</v>
      </c>
      <c r="M477" s="32" t="e">
        <v>#N/A</v>
      </c>
      <c r="N477" s="32" t="s">
        <v>5139</v>
      </c>
      <c r="O477" s="32" t="s">
        <v>4730</v>
      </c>
      <c r="P477" s="32">
        <v>5199.0</v>
      </c>
      <c r="Q477" s="34">
        <v>4399.0</v>
      </c>
      <c r="R477" s="40">
        <v>4399.0</v>
      </c>
      <c r="S477" s="35">
        <v>4159.2</v>
      </c>
      <c r="T477" s="36">
        <v>0.0</v>
      </c>
      <c r="U477" s="36">
        <v>0.0</v>
      </c>
      <c r="V477" s="36">
        <v>4.0</v>
      </c>
      <c r="W477" s="36">
        <v>0.0</v>
      </c>
      <c r="X477" s="36">
        <v>0.0</v>
      </c>
      <c r="Y477" s="36">
        <v>4.0</v>
      </c>
    </row>
    <row r="478">
      <c r="A478" s="32" t="s">
        <v>1407</v>
      </c>
      <c r="B478" s="32" t="s">
        <v>1407</v>
      </c>
      <c r="C478" s="32" t="s">
        <v>1408</v>
      </c>
      <c r="D478" s="32" t="s">
        <v>1409</v>
      </c>
      <c r="E478" s="32" t="s">
        <v>5073</v>
      </c>
      <c r="F478" s="32" t="e">
        <v>#N/A</v>
      </c>
      <c r="G478" s="39"/>
      <c r="H478" s="32" t="s">
        <v>1410</v>
      </c>
      <c r="I478" s="32" t="s">
        <v>5073</v>
      </c>
      <c r="J478" s="32" t="s">
        <v>1411</v>
      </c>
      <c r="K478" s="33" t="s">
        <v>1412</v>
      </c>
      <c r="L478" s="32">
        <v>3.1818434E7</v>
      </c>
      <c r="M478" s="32" t="e">
        <v>#N/A</v>
      </c>
      <c r="N478" s="32" t="s">
        <v>5089</v>
      </c>
      <c r="O478" s="32" t="s">
        <v>4730</v>
      </c>
      <c r="P478" s="32">
        <v>2649.0</v>
      </c>
      <c r="Q478" s="34">
        <v>2164.0</v>
      </c>
      <c r="R478" s="40">
        <v>2199.0</v>
      </c>
      <c r="S478" s="35">
        <v>2119.2</v>
      </c>
      <c r="T478" s="36">
        <v>0.0</v>
      </c>
      <c r="U478" s="36">
        <v>0.0</v>
      </c>
      <c r="V478" s="36">
        <v>4.0</v>
      </c>
      <c r="W478" s="36">
        <v>0.0</v>
      </c>
      <c r="X478" s="36">
        <v>0.0</v>
      </c>
      <c r="Y478" s="36">
        <v>4.0</v>
      </c>
    </row>
    <row r="479">
      <c r="A479" s="32" t="s">
        <v>1766</v>
      </c>
      <c r="B479" s="32" t="s">
        <v>1766</v>
      </c>
      <c r="C479" s="32" t="s">
        <v>1767</v>
      </c>
      <c r="D479" s="32" t="s">
        <v>1768</v>
      </c>
      <c r="E479" s="32" t="s">
        <v>5073</v>
      </c>
      <c r="F479" s="32" t="e">
        <v>#N/A</v>
      </c>
      <c r="G479" s="39"/>
      <c r="H479" s="32">
        <v>0.0</v>
      </c>
      <c r="I479" s="39"/>
      <c r="J479" s="32" t="s">
        <v>1769</v>
      </c>
      <c r="K479" s="33" t="s">
        <v>1770</v>
      </c>
      <c r="L479" s="32" t="e">
        <v>#N/A</v>
      </c>
      <c r="M479" s="32" t="e">
        <v>#N/A</v>
      </c>
      <c r="N479" s="32" t="s">
        <v>5109</v>
      </c>
      <c r="O479" s="32" t="s">
        <v>52</v>
      </c>
      <c r="P479" s="32">
        <v>31999.0</v>
      </c>
      <c r="Q479" s="34">
        <v>28799.0</v>
      </c>
      <c r="R479" s="40">
        <v>30399.0</v>
      </c>
      <c r="S479" s="35">
        <v>26879.16</v>
      </c>
      <c r="T479" s="36">
        <v>0.0</v>
      </c>
      <c r="U479" s="36">
        <v>2.0</v>
      </c>
      <c r="V479" s="36">
        <v>1.0</v>
      </c>
      <c r="W479" s="36">
        <v>0.0</v>
      </c>
      <c r="X479" s="36">
        <v>1.0</v>
      </c>
      <c r="Y479" s="36">
        <v>4.0</v>
      </c>
    </row>
    <row r="480">
      <c r="A480" s="32" t="s">
        <v>3830</v>
      </c>
      <c r="B480" s="32" t="s">
        <v>3830</v>
      </c>
      <c r="C480" s="32" t="s">
        <v>3831</v>
      </c>
      <c r="D480" s="32" t="s">
        <v>3832</v>
      </c>
      <c r="E480" s="32" t="s">
        <v>5073</v>
      </c>
      <c r="F480" s="32" t="e">
        <v>#N/A</v>
      </c>
      <c r="G480" s="32" t="e">
        <v>#N/A</v>
      </c>
      <c r="H480" s="32">
        <v>0.0</v>
      </c>
      <c r="I480" s="32">
        <v>0.0</v>
      </c>
      <c r="J480" s="32" t="s">
        <v>3833</v>
      </c>
      <c r="K480" s="33" t="s">
        <v>3834</v>
      </c>
      <c r="L480" s="32" t="e">
        <v>#N/A</v>
      </c>
      <c r="M480" s="32" t="s">
        <v>3835</v>
      </c>
      <c r="N480" s="32" t="s">
        <v>5136</v>
      </c>
      <c r="O480" s="32" t="s">
        <v>52</v>
      </c>
      <c r="P480" s="32">
        <v>7499.0</v>
      </c>
      <c r="Q480" s="34">
        <v>6374.0</v>
      </c>
      <c r="R480" s="40">
        <v>6399.0</v>
      </c>
      <c r="S480" s="35">
        <v>5999.2</v>
      </c>
      <c r="T480" s="36">
        <v>0.0</v>
      </c>
      <c r="U480" s="36">
        <v>0.0</v>
      </c>
      <c r="V480" s="36">
        <v>3.0</v>
      </c>
      <c r="W480" s="36">
        <v>0.0</v>
      </c>
      <c r="X480" s="36">
        <v>0.0</v>
      </c>
      <c r="Y480" s="36">
        <v>3.0</v>
      </c>
    </row>
    <row r="481">
      <c r="A481" s="32" t="s">
        <v>449</v>
      </c>
      <c r="B481" s="32" t="s">
        <v>449</v>
      </c>
      <c r="C481" s="32" t="s">
        <v>450</v>
      </c>
      <c r="D481" s="32" t="s">
        <v>451</v>
      </c>
      <c r="E481" s="32" t="s">
        <v>5073</v>
      </c>
      <c r="F481" s="32" t="e">
        <v>#N/A</v>
      </c>
      <c r="G481" s="39"/>
      <c r="H481" s="32" t="s">
        <v>452</v>
      </c>
      <c r="I481" s="32" t="s">
        <v>5073</v>
      </c>
      <c r="J481" s="32" t="s">
        <v>453</v>
      </c>
      <c r="K481" s="33" t="s">
        <v>454</v>
      </c>
      <c r="L481" s="32">
        <v>3.2784067E7</v>
      </c>
      <c r="M481" s="32" t="e">
        <v>#N/A</v>
      </c>
      <c r="N481" s="32" t="s">
        <v>51</v>
      </c>
      <c r="O481" s="32" t="s">
        <v>52</v>
      </c>
      <c r="P481" s="32">
        <v>21499.0</v>
      </c>
      <c r="Q481" s="34">
        <v>17414.0</v>
      </c>
      <c r="R481" s="40">
        <v>18699.0</v>
      </c>
      <c r="S481" s="35">
        <v>16339.24</v>
      </c>
      <c r="T481" s="36">
        <v>0.0</v>
      </c>
      <c r="U481" s="36">
        <v>1.0</v>
      </c>
      <c r="V481" s="36">
        <v>2.0</v>
      </c>
      <c r="W481" s="36">
        <v>0.0</v>
      </c>
      <c r="X481" s="36">
        <v>0.0</v>
      </c>
      <c r="Y481" s="36">
        <v>3.0</v>
      </c>
    </row>
    <row r="482">
      <c r="A482" s="32" t="s">
        <v>406</v>
      </c>
      <c r="B482" s="32" t="s">
        <v>406</v>
      </c>
      <c r="C482" s="32" t="s">
        <v>407</v>
      </c>
      <c r="D482" s="32" t="s">
        <v>408</v>
      </c>
      <c r="E482" s="32" t="s">
        <v>5102</v>
      </c>
      <c r="F482" s="32" t="e">
        <v>#N/A</v>
      </c>
      <c r="G482" s="39"/>
      <c r="H482" s="32" t="s">
        <v>409</v>
      </c>
      <c r="I482" s="32" t="s">
        <v>5073</v>
      </c>
      <c r="J482" s="32" t="s">
        <v>410</v>
      </c>
      <c r="K482" s="33" t="s">
        <v>411</v>
      </c>
      <c r="L482" s="32">
        <v>3.2783971E7</v>
      </c>
      <c r="M482" s="32" t="e">
        <v>#N/A</v>
      </c>
      <c r="N482" s="32" t="s">
        <v>51</v>
      </c>
      <c r="O482" s="32" t="s">
        <v>52</v>
      </c>
      <c r="P482" s="32">
        <v>19999.0</v>
      </c>
      <c r="Q482" s="34">
        <v>16199.0</v>
      </c>
      <c r="R482" s="40">
        <v>17399.0</v>
      </c>
      <c r="S482" s="35">
        <v>15199.24</v>
      </c>
      <c r="T482" s="36">
        <v>1.0</v>
      </c>
      <c r="U482" s="36">
        <v>2.0</v>
      </c>
      <c r="V482" s="36">
        <v>0.0</v>
      </c>
      <c r="W482" s="36">
        <v>0.0</v>
      </c>
      <c r="X482" s="36">
        <v>0.0</v>
      </c>
      <c r="Y482" s="36">
        <v>3.0</v>
      </c>
    </row>
    <row r="483">
      <c r="A483" s="32" t="s">
        <v>37</v>
      </c>
      <c r="B483" s="32" t="s">
        <v>37</v>
      </c>
      <c r="C483" s="32" t="s">
        <v>38</v>
      </c>
      <c r="D483" s="32" t="s">
        <v>39</v>
      </c>
      <c r="E483" s="32" t="s">
        <v>5102</v>
      </c>
      <c r="F483" s="32" t="e">
        <v>#N/A</v>
      </c>
      <c r="G483" s="39"/>
      <c r="H483" s="32" t="s">
        <v>40</v>
      </c>
      <c r="I483" s="32" t="s">
        <v>5073</v>
      </c>
      <c r="J483" s="32" t="s">
        <v>41</v>
      </c>
      <c r="K483" s="33" t="s">
        <v>42</v>
      </c>
      <c r="L483" s="32">
        <v>3.2784166E7</v>
      </c>
      <c r="M483" s="32" t="s">
        <v>43</v>
      </c>
      <c r="N483" s="32" t="s">
        <v>51</v>
      </c>
      <c r="O483" s="32" t="s">
        <v>52</v>
      </c>
      <c r="P483" s="32">
        <v>10999.0</v>
      </c>
      <c r="Q483" s="34">
        <v>8909.0</v>
      </c>
      <c r="R483" s="40">
        <v>9599.0</v>
      </c>
      <c r="S483" s="35">
        <v>8359.24</v>
      </c>
      <c r="T483" s="36">
        <v>2.0</v>
      </c>
      <c r="U483" s="36">
        <v>1.0</v>
      </c>
      <c r="V483" s="36">
        <v>0.0</v>
      </c>
      <c r="W483" s="36">
        <v>0.0</v>
      </c>
      <c r="X483" s="36">
        <v>0.0</v>
      </c>
      <c r="Y483" s="36">
        <v>3.0</v>
      </c>
    </row>
    <row r="484">
      <c r="A484" s="32" t="s">
        <v>1663</v>
      </c>
      <c r="B484" s="32" t="s">
        <v>1663</v>
      </c>
      <c r="C484" s="32" t="s">
        <v>1664</v>
      </c>
      <c r="D484" s="32" t="s">
        <v>1665</v>
      </c>
      <c r="E484" s="32" t="s">
        <v>5073</v>
      </c>
      <c r="F484" s="32" t="e">
        <v>#N/A</v>
      </c>
      <c r="G484" s="39"/>
      <c r="H484" s="32" t="s">
        <v>1663</v>
      </c>
      <c r="I484" s="32" t="s">
        <v>5073</v>
      </c>
      <c r="J484" s="32" t="s">
        <v>1663</v>
      </c>
      <c r="K484" s="33" t="s">
        <v>1666</v>
      </c>
      <c r="L484" s="32">
        <v>3.2784042E7</v>
      </c>
      <c r="M484" s="32" t="s">
        <v>1667</v>
      </c>
      <c r="N484" s="32" t="s">
        <v>5112</v>
      </c>
      <c r="O484" s="32" t="s">
        <v>52</v>
      </c>
      <c r="P484" s="32">
        <v>29999.0</v>
      </c>
      <c r="Q484" s="34">
        <v>26999.0</v>
      </c>
      <c r="R484" s="40">
        <v>28499.0</v>
      </c>
      <c r="S484" s="35">
        <v>23099.23</v>
      </c>
      <c r="T484" s="36">
        <v>0.0</v>
      </c>
      <c r="U484" s="36">
        <v>0.0</v>
      </c>
      <c r="V484" s="36">
        <v>3.0</v>
      </c>
      <c r="W484" s="36">
        <v>0.0</v>
      </c>
      <c r="X484" s="36">
        <v>0.0</v>
      </c>
      <c r="Y484" s="36">
        <v>3.0</v>
      </c>
    </row>
    <row r="485">
      <c r="A485" s="32" t="s">
        <v>1688</v>
      </c>
      <c r="B485" s="32" t="s">
        <v>1688</v>
      </c>
      <c r="C485" s="32" t="s">
        <v>1689</v>
      </c>
      <c r="D485" s="32" t="s">
        <v>1690</v>
      </c>
      <c r="E485" s="32" t="s">
        <v>5102</v>
      </c>
      <c r="F485" s="32" t="s">
        <v>1691</v>
      </c>
      <c r="G485" s="32" t="s">
        <v>5140</v>
      </c>
      <c r="H485" s="32" t="s">
        <v>1692</v>
      </c>
      <c r="I485" s="32" t="s">
        <v>5073</v>
      </c>
      <c r="J485" s="32" t="s">
        <v>1693</v>
      </c>
      <c r="K485" s="33" t="s">
        <v>1694</v>
      </c>
      <c r="L485" s="32">
        <v>3.2784015E7</v>
      </c>
      <c r="M485" s="32" t="s">
        <v>1695</v>
      </c>
      <c r="N485" s="32" t="s">
        <v>5109</v>
      </c>
      <c r="O485" s="32" t="s">
        <v>52</v>
      </c>
      <c r="P485" s="32">
        <v>18999.0</v>
      </c>
      <c r="Q485" s="34">
        <v>17099.0</v>
      </c>
      <c r="R485" s="40">
        <v>17999.0</v>
      </c>
      <c r="S485" s="35">
        <v>15959.16</v>
      </c>
      <c r="T485" s="36">
        <v>1.0</v>
      </c>
      <c r="U485" s="36">
        <v>0.0</v>
      </c>
      <c r="V485" s="36">
        <v>0.0</v>
      </c>
      <c r="W485" s="36">
        <v>2.0</v>
      </c>
      <c r="X485" s="36">
        <v>0.0</v>
      </c>
      <c r="Y485" s="36">
        <v>3.0</v>
      </c>
    </row>
    <row r="486">
      <c r="A486" s="32" t="s">
        <v>1703</v>
      </c>
      <c r="B486" s="32" t="s">
        <v>1703</v>
      </c>
      <c r="C486" s="32" t="s">
        <v>1704</v>
      </c>
      <c r="D486" s="32" t="s">
        <v>1705</v>
      </c>
      <c r="E486" s="32" t="s">
        <v>5073</v>
      </c>
      <c r="F486" s="32" t="e">
        <v>#N/A</v>
      </c>
      <c r="G486" s="39"/>
      <c r="H486" s="32" t="s">
        <v>1706</v>
      </c>
      <c r="I486" s="32" t="s">
        <v>5073</v>
      </c>
      <c r="J486" s="32" t="s">
        <v>1707</v>
      </c>
      <c r="K486" s="33" t="s">
        <v>1708</v>
      </c>
      <c r="L486" s="32">
        <v>3.2783829E7</v>
      </c>
      <c r="M486" s="32" t="s">
        <v>1709</v>
      </c>
      <c r="N486" s="32" t="s">
        <v>5109</v>
      </c>
      <c r="O486" s="32" t="s">
        <v>52</v>
      </c>
      <c r="P486" s="32">
        <v>18999.0</v>
      </c>
      <c r="Q486" s="34">
        <v>17099.0</v>
      </c>
      <c r="R486" s="40">
        <v>17999.0</v>
      </c>
      <c r="S486" s="35">
        <v>15959.16</v>
      </c>
      <c r="T486" s="36">
        <v>0.0</v>
      </c>
      <c r="U486" s="36">
        <v>2.0</v>
      </c>
      <c r="V486" s="36">
        <v>1.0</v>
      </c>
      <c r="W486" s="36">
        <v>0.0</v>
      </c>
      <c r="X486" s="36">
        <v>0.0</v>
      </c>
      <c r="Y486" s="36">
        <v>3.0</v>
      </c>
    </row>
    <row r="487">
      <c r="A487" s="32" t="s">
        <v>2064</v>
      </c>
      <c r="B487" s="32" t="s">
        <v>2064</v>
      </c>
      <c r="C487" s="32" t="s">
        <v>2065</v>
      </c>
      <c r="D487" s="32" t="s">
        <v>2066</v>
      </c>
      <c r="E487" s="32" t="s">
        <v>5102</v>
      </c>
      <c r="F487" s="32" t="e">
        <v>#N/A</v>
      </c>
      <c r="G487" s="32" t="e">
        <v>#N/A</v>
      </c>
      <c r="H487" s="32" t="s">
        <v>2067</v>
      </c>
      <c r="I487" s="32" t="s">
        <v>5102</v>
      </c>
      <c r="J487" s="32" t="s">
        <v>2068</v>
      </c>
      <c r="K487" s="33" t="s">
        <v>2069</v>
      </c>
      <c r="L487" s="32">
        <v>3.2789215E7</v>
      </c>
      <c r="M487" s="32" t="s">
        <v>2070</v>
      </c>
      <c r="N487" s="32" t="s">
        <v>5138</v>
      </c>
      <c r="O487" s="32" t="s">
        <v>52</v>
      </c>
      <c r="P487" s="32">
        <v>22999.0</v>
      </c>
      <c r="Q487" s="34">
        <v>20699.0</v>
      </c>
      <c r="R487" s="40">
        <v>20699.0</v>
      </c>
      <c r="S487" s="35">
        <v>18399.2</v>
      </c>
      <c r="T487" s="36">
        <v>0.0</v>
      </c>
      <c r="U487" s="36">
        <v>0.0</v>
      </c>
      <c r="V487" s="36">
        <v>2.0</v>
      </c>
      <c r="W487" s="36">
        <v>0.0</v>
      </c>
      <c r="X487" s="36">
        <v>0.0</v>
      </c>
      <c r="Y487" s="36">
        <v>2.0</v>
      </c>
    </row>
    <row r="488">
      <c r="A488" s="32" t="s">
        <v>2835</v>
      </c>
      <c r="B488" s="32" t="s">
        <v>2835</v>
      </c>
      <c r="C488" s="32" t="s">
        <v>2836</v>
      </c>
      <c r="D488" s="32" t="s">
        <v>2837</v>
      </c>
      <c r="E488" s="32" t="s">
        <v>5073</v>
      </c>
      <c r="F488" s="32" t="e">
        <v>#N/A</v>
      </c>
      <c r="G488" s="32" t="e">
        <v>#N/A</v>
      </c>
      <c r="H488" s="32">
        <v>0.0</v>
      </c>
      <c r="I488" s="32">
        <v>0.0</v>
      </c>
      <c r="J488" s="32" t="s">
        <v>2800</v>
      </c>
      <c r="K488" s="33" t="s">
        <v>2838</v>
      </c>
      <c r="L488" s="32" t="e">
        <v>#N/A</v>
      </c>
      <c r="M488" s="32" t="e">
        <v>#N/A</v>
      </c>
      <c r="N488" s="32" t="s">
        <v>5107</v>
      </c>
      <c r="O488" s="32" t="s">
        <v>4730</v>
      </c>
      <c r="P488" s="32">
        <v>1589.0</v>
      </c>
      <c r="Q488" s="34">
        <v>1302.0</v>
      </c>
      <c r="R488" s="40">
        <v>1302.0</v>
      </c>
      <c r="S488" s="35">
        <v>1191.75</v>
      </c>
      <c r="T488" s="36">
        <v>0.0</v>
      </c>
      <c r="U488" s="36">
        <v>0.0</v>
      </c>
      <c r="V488" s="36">
        <v>2.0</v>
      </c>
      <c r="W488" s="36">
        <v>0.0</v>
      </c>
      <c r="X488" s="36">
        <v>0.0</v>
      </c>
      <c r="Y488" s="36">
        <v>2.0</v>
      </c>
    </row>
    <row r="489">
      <c r="A489" s="32" t="s">
        <v>817</v>
      </c>
      <c r="B489" s="32" t="s">
        <v>817</v>
      </c>
      <c r="C489" s="32" t="s">
        <v>818</v>
      </c>
      <c r="D489" s="32" t="s">
        <v>819</v>
      </c>
      <c r="E489" s="32" t="s">
        <v>5073</v>
      </c>
      <c r="F489" s="32" t="e">
        <v>#N/A</v>
      </c>
      <c r="G489" s="32" t="e">
        <v>#N/A</v>
      </c>
      <c r="H489" s="32" t="s">
        <v>820</v>
      </c>
      <c r="I489" s="32" t="s">
        <v>5073</v>
      </c>
      <c r="J489" s="32" t="s">
        <v>821</v>
      </c>
      <c r="K489" s="33" t="s">
        <v>822</v>
      </c>
      <c r="L489" s="32">
        <v>3.2783791E7</v>
      </c>
      <c r="M489" s="32" t="s">
        <v>823</v>
      </c>
      <c r="N489" s="32" t="s">
        <v>5108</v>
      </c>
      <c r="O489" s="32" t="s">
        <v>52</v>
      </c>
      <c r="P489" s="32">
        <v>11499.0</v>
      </c>
      <c r="Q489" s="34">
        <v>9659.0</v>
      </c>
      <c r="R489" s="40">
        <v>10299.0</v>
      </c>
      <c r="S489" s="35">
        <v>9199.2</v>
      </c>
      <c r="T489" s="36">
        <v>1.0</v>
      </c>
      <c r="U489" s="36">
        <v>1.0</v>
      </c>
      <c r="V489" s="36">
        <v>0.0</v>
      </c>
      <c r="W489" s="36">
        <v>0.0</v>
      </c>
      <c r="X489" s="36">
        <v>0.0</v>
      </c>
      <c r="Y489" s="36">
        <v>2.0</v>
      </c>
    </row>
    <row r="490">
      <c r="A490" s="32" t="s">
        <v>843</v>
      </c>
      <c r="B490" s="32" t="s">
        <v>843</v>
      </c>
      <c r="C490" s="32" t="s">
        <v>844</v>
      </c>
      <c r="D490" s="16" t="s">
        <v>845</v>
      </c>
      <c r="E490" s="32" t="s">
        <v>5110</v>
      </c>
      <c r="F490" s="32" t="e">
        <v>#N/A</v>
      </c>
      <c r="G490" s="32" t="e">
        <v>#N/A</v>
      </c>
      <c r="H490" s="32">
        <v>0.0</v>
      </c>
      <c r="I490" s="39"/>
      <c r="J490" s="32" t="s">
        <v>846</v>
      </c>
      <c r="K490" s="33" t="s">
        <v>847</v>
      </c>
      <c r="L490" s="32">
        <v>3.2783988E7</v>
      </c>
      <c r="M490" s="32" t="s">
        <v>848</v>
      </c>
      <c r="N490" s="32" t="s">
        <v>5108</v>
      </c>
      <c r="O490" s="32" t="s">
        <v>52</v>
      </c>
      <c r="P490" s="32">
        <v>12999.0</v>
      </c>
      <c r="Q490" s="34">
        <v>10919.0</v>
      </c>
      <c r="R490" s="40">
        <v>11699.0</v>
      </c>
      <c r="S490" s="35">
        <v>10399.2</v>
      </c>
      <c r="T490" s="36">
        <v>0.0</v>
      </c>
      <c r="U490" s="36">
        <v>0.0</v>
      </c>
      <c r="V490" s="36">
        <v>2.0</v>
      </c>
      <c r="W490" s="36">
        <v>0.0</v>
      </c>
      <c r="X490" s="36">
        <v>0.0</v>
      </c>
      <c r="Y490" s="36">
        <v>2.0</v>
      </c>
    </row>
    <row r="491">
      <c r="A491" s="32" t="s">
        <v>246</v>
      </c>
      <c r="B491" s="32" t="s">
        <v>246</v>
      </c>
      <c r="C491" s="32" t="s">
        <v>247</v>
      </c>
      <c r="D491" s="32" t="s">
        <v>248</v>
      </c>
      <c r="E491" s="32" t="s">
        <v>5102</v>
      </c>
      <c r="F491" s="32" t="e">
        <v>#N/A</v>
      </c>
      <c r="G491" s="39"/>
      <c r="H491" s="32" t="s">
        <v>249</v>
      </c>
      <c r="I491" s="32" t="s">
        <v>5073</v>
      </c>
      <c r="J491" s="32" t="s">
        <v>250</v>
      </c>
      <c r="K491" s="33" t="s">
        <v>251</v>
      </c>
      <c r="L491" s="32">
        <v>3.2784189E7</v>
      </c>
      <c r="M491" s="32" t="s">
        <v>252</v>
      </c>
      <c r="N491" s="32" t="s">
        <v>51</v>
      </c>
      <c r="O491" s="32" t="s">
        <v>52</v>
      </c>
      <c r="P491" s="32">
        <v>14999.0</v>
      </c>
      <c r="Q491" s="34">
        <v>12149.0</v>
      </c>
      <c r="R491" s="40">
        <v>12999.0</v>
      </c>
      <c r="S491" s="35">
        <v>11399.24</v>
      </c>
      <c r="T491" s="36">
        <v>1.0</v>
      </c>
      <c r="U491" s="36">
        <v>0.0</v>
      </c>
      <c r="V491" s="36">
        <v>0.0</v>
      </c>
      <c r="W491" s="36">
        <v>1.0</v>
      </c>
      <c r="X491" s="36">
        <v>0.0</v>
      </c>
      <c r="Y491" s="36">
        <v>2.0</v>
      </c>
    </row>
    <row r="492">
      <c r="A492" s="32" t="s">
        <v>279</v>
      </c>
      <c r="B492" s="32" t="s">
        <v>279</v>
      </c>
      <c r="C492" s="32" t="s">
        <v>280</v>
      </c>
      <c r="D492" s="32" t="s">
        <v>281</v>
      </c>
      <c r="E492" s="32" t="s">
        <v>5073</v>
      </c>
      <c r="F492" s="32" t="e">
        <v>#N/A</v>
      </c>
      <c r="G492" s="39"/>
      <c r="H492" s="32">
        <v>0.0</v>
      </c>
      <c r="I492" s="39"/>
      <c r="J492" s="32" t="s">
        <v>282</v>
      </c>
      <c r="K492" s="33" t="s">
        <v>283</v>
      </c>
      <c r="L492" s="32" t="e">
        <v>#N/A</v>
      </c>
      <c r="M492" s="32" t="e">
        <v>#REF!</v>
      </c>
      <c r="N492" s="32" t="s">
        <v>51</v>
      </c>
      <c r="O492" s="32" t="s">
        <v>52</v>
      </c>
      <c r="P492" s="32">
        <v>20999.0</v>
      </c>
      <c r="Q492" s="34">
        <v>17009.0</v>
      </c>
      <c r="R492" s="40">
        <v>18299.0</v>
      </c>
      <c r="S492" s="35">
        <v>15959.24</v>
      </c>
      <c r="T492" s="36">
        <v>0.0</v>
      </c>
      <c r="U492" s="36">
        <v>0.0</v>
      </c>
      <c r="V492" s="36">
        <v>2.0</v>
      </c>
      <c r="W492" s="36">
        <v>0.0</v>
      </c>
      <c r="X492" s="36">
        <v>0.0</v>
      </c>
      <c r="Y492" s="36">
        <v>2.0</v>
      </c>
    </row>
    <row r="493">
      <c r="A493" s="32" t="s">
        <v>16</v>
      </c>
      <c r="B493" s="32" t="s">
        <v>16</v>
      </c>
      <c r="C493" s="32" t="s">
        <v>17</v>
      </c>
      <c r="D493" s="32" t="s">
        <v>18</v>
      </c>
      <c r="E493" s="32" t="s">
        <v>5073</v>
      </c>
      <c r="F493" s="32" t="e">
        <v>#N/A</v>
      </c>
      <c r="G493" s="39"/>
      <c r="H493" s="32" t="s">
        <v>19</v>
      </c>
      <c r="I493" s="32" t="s">
        <v>5073</v>
      </c>
      <c r="J493" s="32" t="s">
        <v>20</v>
      </c>
      <c r="K493" s="33" t="s">
        <v>21</v>
      </c>
      <c r="L493" s="32">
        <v>3.2783978E7</v>
      </c>
      <c r="M493" s="32" t="s">
        <v>22</v>
      </c>
      <c r="N493" s="32" t="s">
        <v>51</v>
      </c>
      <c r="O493" s="32" t="s">
        <v>52</v>
      </c>
      <c r="P493" s="32">
        <v>9399.0</v>
      </c>
      <c r="Q493" s="34">
        <v>7613.0</v>
      </c>
      <c r="R493" s="40">
        <v>8199.0</v>
      </c>
      <c r="S493" s="35">
        <v>7143.24</v>
      </c>
      <c r="T493" s="36">
        <v>0.0</v>
      </c>
      <c r="U493" s="36">
        <v>1.0</v>
      </c>
      <c r="V493" s="36">
        <v>1.0</v>
      </c>
      <c r="W493" s="36">
        <v>0.0</v>
      </c>
      <c r="X493" s="36">
        <v>0.0</v>
      </c>
      <c r="Y493" s="36">
        <v>2.0</v>
      </c>
    </row>
    <row r="494">
      <c r="A494" s="32" t="s">
        <v>1173</v>
      </c>
      <c r="B494" s="32" t="s">
        <v>1173</v>
      </c>
      <c r="C494" s="32" t="s">
        <v>1174</v>
      </c>
      <c r="D494" s="32" t="s">
        <v>1175</v>
      </c>
      <c r="E494" s="32" t="s">
        <v>5102</v>
      </c>
      <c r="F494" s="32" t="e">
        <v>#N/A</v>
      </c>
      <c r="G494" s="39"/>
      <c r="H494" s="32">
        <v>0.0</v>
      </c>
      <c r="I494" s="39"/>
      <c r="J494" s="32" t="s">
        <v>1173</v>
      </c>
      <c r="K494" s="33" t="s">
        <v>1176</v>
      </c>
      <c r="L494" s="32" t="e">
        <v>#N/A</v>
      </c>
      <c r="M494" s="32" t="s">
        <v>1177</v>
      </c>
      <c r="N494" s="32" t="s">
        <v>1195</v>
      </c>
      <c r="O494" s="32" t="s">
        <v>5114</v>
      </c>
      <c r="P494" s="32">
        <v>2989.0</v>
      </c>
      <c r="Q494" s="34">
        <v>2147.0</v>
      </c>
      <c r="R494" s="40">
        <v>2099.0</v>
      </c>
      <c r="S494" s="35">
        <v>2092.3</v>
      </c>
      <c r="T494" s="36">
        <v>0.0</v>
      </c>
      <c r="U494" s="36">
        <v>0.0</v>
      </c>
      <c r="V494" s="36">
        <v>0.0</v>
      </c>
      <c r="W494" s="36">
        <v>0.0</v>
      </c>
      <c r="X494" s="36">
        <v>2.0</v>
      </c>
      <c r="Y494" s="36">
        <v>2.0</v>
      </c>
    </row>
    <row r="495">
      <c r="A495" s="32" t="s">
        <v>2624</v>
      </c>
      <c r="B495" s="32" t="s">
        <v>2624</v>
      </c>
      <c r="C495" s="32" t="s">
        <v>2625</v>
      </c>
      <c r="D495" s="32" t="s">
        <v>2626</v>
      </c>
      <c r="E495" s="32" t="s">
        <v>5102</v>
      </c>
      <c r="F495" s="32" t="e">
        <v>#N/A</v>
      </c>
      <c r="G495" s="39"/>
      <c r="H495" s="32">
        <v>0.0</v>
      </c>
      <c r="I495" s="39"/>
      <c r="J495" s="32" t="s">
        <v>2624</v>
      </c>
      <c r="K495" s="33" t="s">
        <v>2627</v>
      </c>
      <c r="L495" s="32" t="e">
        <v>#N/A</v>
      </c>
      <c r="M495" s="32" t="s">
        <v>2628</v>
      </c>
      <c r="N495" s="32" t="s">
        <v>1195</v>
      </c>
      <c r="O495" s="32" t="s">
        <v>5114</v>
      </c>
      <c r="P495" s="32">
        <v>3489.0</v>
      </c>
      <c r="Q495" s="34">
        <v>2507.0</v>
      </c>
      <c r="R495" s="40">
        <v>2499.0</v>
      </c>
      <c r="S495" s="35">
        <v>2442.3</v>
      </c>
      <c r="T495" s="36">
        <v>0.0</v>
      </c>
      <c r="U495" s="36">
        <v>0.0</v>
      </c>
      <c r="V495" s="36">
        <v>0.0</v>
      </c>
      <c r="W495" s="36">
        <v>0.0</v>
      </c>
      <c r="X495" s="36">
        <v>2.0</v>
      </c>
      <c r="Y495" s="36">
        <v>2.0</v>
      </c>
    </row>
    <row r="496">
      <c r="A496" s="32" t="s">
        <v>1363</v>
      </c>
      <c r="B496" s="32" t="s">
        <v>1363</v>
      </c>
      <c r="C496" s="32" t="s">
        <v>1364</v>
      </c>
      <c r="D496" s="32" t="s">
        <v>1365</v>
      </c>
      <c r="E496" s="32" t="s">
        <v>5073</v>
      </c>
      <c r="F496" s="32" t="e">
        <v>#N/A</v>
      </c>
      <c r="G496" s="39"/>
      <c r="H496" s="32" t="s">
        <v>1366</v>
      </c>
      <c r="I496" s="32" t="s">
        <v>5073</v>
      </c>
      <c r="J496" s="32" t="s">
        <v>1367</v>
      </c>
      <c r="K496" s="33" t="s">
        <v>1368</v>
      </c>
      <c r="L496" s="32">
        <v>3.1818389E7</v>
      </c>
      <c r="M496" s="32" t="e">
        <v>#N/A</v>
      </c>
      <c r="N496" s="32" t="s">
        <v>5089</v>
      </c>
      <c r="O496" s="32" t="s">
        <v>4730</v>
      </c>
      <c r="P496" s="32">
        <v>2649.0</v>
      </c>
      <c r="Q496" s="34">
        <v>2164.0</v>
      </c>
      <c r="R496" s="40">
        <v>2199.0</v>
      </c>
      <c r="S496" s="35">
        <v>2119.2</v>
      </c>
      <c r="T496" s="36">
        <v>0.0</v>
      </c>
      <c r="U496" s="36">
        <v>0.0</v>
      </c>
      <c r="V496" s="36">
        <v>2.0</v>
      </c>
      <c r="W496" s="36">
        <v>0.0</v>
      </c>
      <c r="X496" s="36">
        <v>0.0</v>
      </c>
      <c r="Y496" s="36">
        <v>2.0</v>
      </c>
    </row>
    <row r="497">
      <c r="A497" s="32" t="s">
        <v>1881</v>
      </c>
      <c r="B497" s="32" t="s">
        <v>1881</v>
      </c>
      <c r="C497" s="32" t="s">
        <v>1882</v>
      </c>
      <c r="D497" s="32" t="s">
        <v>1883</v>
      </c>
      <c r="E497" s="32" t="s">
        <v>5102</v>
      </c>
      <c r="F497" s="32" t="e">
        <v>#N/A</v>
      </c>
      <c r="G497" s="39"/>
      <c r="H497" s="32" t="s">
        <v>5141</v>
      </c>
      <c r="I497" s="32" t="s">
        <v>5102</v>
      </c>
      <c r="J497" s="32" t="s">
        <v>1884</v>
      </c>
      <c r="K497" s="33" t="s">
        <v>1885</v>
      </c>
      <c r="L497" s="32">
        <v>3.2784168E7</v>
      </c>
      <c r="M497" s="32" t="e">
        <v>#N/A</v>
      </c>
      <c r="N497" s="32" t="s">
        <v>5109</v>
      </c>
      <c r="O497" s="32" t="s">
        <v>52</v>
      </c>
      <c r="P497" s="32">
        <v>42999.0</v>
      </c>
      <c r="Q497" s="34">
        <v>38699.0</v>
      </c>
      <c r="R497" s="40">
        <v>40799.0</v>
      </c>
      <c r="S497" s="35">
        <v>36119.16</v>
      </c>
      <c r="T497" s="36">
        <v>2.0</v>
      </c>
      <c r="U497" s="36">
        <v>0.0</v>
      </c>
      <c r="V497" s="36">
        <v>0.0</v>
      </c>
      <c r="W497" s="36">
        <v>0.0</v>
      </c>
      <c r="X497" s="36">
        <v>0.0</v>
      </c>
      <c r="Y497" s="36">
        <v>2.0</v>
      </c>
    </row>
    <row r="498">
      <c r="A498" s="32" t="s">
        <v>1782</v>
      </c>
      <c r="B498" s="32" t="s">
        <v>1782</v>
      </c>
      <c r="C498" s="32" t="s">
        <v>1783</v>
      </c>
      <c r="D498" s="32" t="s">
        <v>1784</v>
      </c>
      <c r="E498" s="32" t="s">
        <v>5102</v>
      </c>
      <c r="F498" s="32" t="e">
        <v>#N/A</v>
      </c>
      <c r="G498" s="39"/>
      <c r="H498" s="32" t="s">
        <v>1785</v>
      </c>
      <c r="I498" s="32" t="s">
        <v>5122</v>
      </c>
      <c r="J498" s="32" t="s">
        <v>1786</v>
      </c>
      <c r="K498" s="33" t="s">
        <v>1787</v>
      </c>
      <c r="L498" s="32">
        <v>3.2783888E7</v>
      </c>
      <c r="M498" s="32" t="s">
        <v>1788</v>
      </c>
      <c r="N498" s="32" t="s">
        <v>5109</v>
      </c>
      <c r="O498" s="32" t="s">
        <v>52</v>
      </c>
      <c r="P498" s="32">
        <v>31999.0</v>
      </c>
      <c r="Q498" s="34">
        <v>28799.0</v>
      </c>
      <c r="R498" s="40">
        <v>30399.0</v>
      </c>
      <c r="S498" s="35">
        <v>26879.16</v>
      </c>
      <c r="T498" s="36">
        <v>0.0</v>
      </c>
      <c r="U498" s="36">
        <v>0.0</v>
      </c>
      <c r="V498" s="36">
        <v>2.0</v>
      </c>
      <c r="W498" s="36">
        <v>0.0</v>
      </c>
      <c r="X498" s="36">
        <v>0.0</v>
      </c>
      <c r="Y498" s="36">
        <v>2.0</v>
      </c>
    </row>
    <row r="499">
      <c r="A499" s="32" t="s">
        <v>1681</v>
      </c>
      <c r="B499" s="32" t="s">
        <v>1681</v>
      </c>
      <c r="C499" s="32" t="s">
        <v>1682</v>
      </c>
      <c r="D499" s="32" t="s">
        <v>1683</v>
      </c>
      <c r="E499" s="32" t="s">
        <v>5102</v>
      </c>
      <c r="F499" s="32" t="e">
        <v>#N/A</v>
      </c>
      <c r="G499" s="39"/>
      <c r="H499" s="32" t="s">
        <v>1684</v>
      </c>
      <c r="I499" s="32" t="s">
        <v>5073</v>
      </c>
      <c r="J499" s="32" t="s">
        <v>1685</v>
      </c>
      <c r="K499" s="33" t="s">
        <v>1686</v>
      </c>
      <c r="L499" s="32">
        <v>3.278409E7</v>
      </c>
      <c r="M499" s="32" t="s">
        <v>1687</v>
      </c>
      <c r="N499" s="32" t="s">
        <v>5109</v>
      </c>
      <c r="O499" s="32" t="s">
        <v>52</v>
      </c>
      <c r="P499" s="32">
        <v>18999.0</v>
      </c>
      <c r="Q499" s="34">
        <v>17099.0</v>
      </c>
      <c r="R499" s="40">
        <v>17999.0</v>
      </c>
      <c r="S499" s="35">
        <v>15959.16</v>
      </c>
      <c r="T499" s="36">
        <v>2.0</v>
      </c>
      <c r="U499" s="36">
        <v>0.0</v>
      </c>
      <c r="V499" s="36">
        <v>0.0</v>
      </c>
      <c r="W499" s="36">
        <v>0.0</v>
      </c>
      <c r="X499" s="36">
        <v>0.0</v>
      </c>
      <c r="Y499" s="36">
        <v>2.0</v>
      </c>
    </row>
    <row r="500">
      <c r="A500" s="32" t="s">
        <v>1715</v>
      </c>
      <c r="B500" s="32" t="s">
        <v>1715</v>
      </c>
      <c r="C500" s="32" t="s">
        <v>1716</v>
      </c>
      <c r="D500" s="32" t="s">
        <v>1717</v>
      </c>
      <c r="E500" s="32" t="s">
        <v>5073</v>
      </c>
      <c r="F500" s="32" t="e">
        <v>#N/A</v>
      </c>
      <c r="G500" s="39"/>
      <c r="H500" s="32" t="s">
        <v>1718</v>
      </c>
      <c r="I500" s="32" t="s">
        <v>5073</v>
      </c>
      <c r="J500" s="32" t="s">
        <v>1719</v>
      </c>
      <c r="K500" s="33" t="s">
        <v>1720</v>
      </c>
      <c r="L500" s="32">
        <v>3.2783786E7</v>
      </c>
      <c r="M500" s="32" t="s">
        <v>1721</v>
      </c>
      <c r="N500" s="32" t="s">
        <v>5109</v>
      </c>
      <c r="O500" s="32" t="s">
        <v>52</v>
      </c>
      <c r="P500" s="32">
        <v>20999.0</v>
      </c>
      <c r="Q500" s="34">
        <v>18899.0</v>
      </c>
      <c r="R500" s="40">
        <v>19899.0</v>
      </c>
      <c r="S500" s="35">
        <v>17639.16</v>
      </c>
      <c r="T500" s="36">
        <v>0.0</v>
      </c>
      <c r="U500" s="36">
        <v>0.0</v>
      </c>
      <c r="V500" s="36">
        <v>1.0</v>
      </c>
      <c r="W500" s="36">
        <v>0.0</v>
      </c>
      <c r="X500" s="36">
        <v>1.0</v>
      </c>
      <c r="Y500" s="36">
        <v>2.0</v>
      </c>
    </row>
    <row r="501">
      <c r="A501" s="32" t="s">
        <v>3217</v>
      </c>
      <c r="B501" s="32" t="s">
        <v>3217</v>
      </c>
      <c r="C501" s="32" t="s">
        <v>3218</v>
      </c>
      <c r="D501" s="32" t="s">
        <v>3219</v>
      </c>
      <c r="E501" s="32" t="s">
        <v>5073</v>
      </c>
      <c r="F501" s="32" t="e">
        <v>#N/A</v>
      </c>
      <c r="G501" s="39"/>
      <c r="H501" s="32" t="s">
        <v>3220</v>
      </c>
      <c r="I501" s="32" t="s">
        <v>5073</v>
      </c>
      <c r="J501" s="32" t="s">
        <v>3221</v>
      </c>
      <c r="K501" s="33" t="s">
        <v>3222</v>
      </c>
      <c r="L501" s="32">
        <v>3.1818369E7</v>
      </c>
      <c r="M501" s="32" t="e">
        <v>#N/A</v>
      </c>
      <c r="N501" s="32" t="s">
        <v>5142</v>
      </c>
      <c r="O501" s="32" t="s">
        <v>4730</v>
      </c>
      <c r="P501" s="32">
        <v>1389.0</v>
      </c>
      <c r="Q501" s="34">
        <v>1299.0</v>
      </c>
      <c r="R501" s="40">
        <v>1299.0</v>
      </c>
      <c r="S501" s="35">
        <v>1199.0</v>
      </c>
      <c r="T501" s="36">
        <v>0.0</v>
      </c>
      <c r="U501" s="36">
        <v>0.0</v>
      </c>
      <c r="V501" s="36">
        <v>2.0</v>
      </c>
      <c r="W501" s="36">
        <v>0.0</v>
      </c>
      <c r="X501" s="36">
        <v>0.0</v>
      </c>
      <c r="Y501" s="36">
        <v>2.0</v>
      </c>
    </row>
    <row r="502">
      <c r="A502" s="32" t="s">
        <v>3909</v>
      </c>
      <c r="B502" s="32" t="s">
        <v>3909</v>
      </c>
      <c r="C502" s="32">
        <v>0.0</v>
      </c>
      <c r="D502" s="32" t="e">
        <v>#N/A</v>
      </c>
      <c r="E502" s="39"/>
      <c r="F502" s="32" t="e">
        <v>#N/A</v>
      </c>
      <c r="G502" s="39"/>
      <c r="H502" s="32" t="e">
        <v>#N/A</v>
      </c>
      <c r="I502" s="39"/>
      <c r="J502" s="32">
        <v>0.0</v>
      </c>
      <c r="K502" s="33" t="e">
        <v>#N/A</v>
      </c>
      <c r="L502" s="32" t="e">
        <v>#N/A</v>
      </c>
      <c r="M502" s="32" t="e">
        <v>#N/A</v>
      </c>
      <c r="N502" s="32" t="e">
        <v>#N/A</v>
      </c>
      <c r="O502" s="32" t="e">
        <v>#N/A</v>
      </c>
      <c r="P502" s="32" t="e">
        <v>#REF!</v>
      </c>
      <c r="Q502" s="32" t="e">
        <v>#N/A</v>
      </c>
      <c r="R502" s="42" t="e">
        <v>#N/A</v>
      </c>
      <c r="S502" s="42" t="e">
        <v>#N/A</v>
      </c>
      <c r="T502" s="36">
        <v>0.0</v>
      </c>
      <c r="U502" s="36">
        <v>0.0</v>
      </c>
      <c r="V502" s="36">
        <v>1.0</v>
      </c>
      <c r="W502" s="36">
        <v>0.0</v>
      </c>
      <c r="X502" s="36">
        <v>0.0</v>
      </c>
      <c r="Y502" s="36">
        <v>1.0</v>
      </c>
    </row>
    <row r="503">
      <c r="A503" s="32" t="s">
        <v>3907</v>
      </c>
      <c r="B503" s="32" t="s">
        <v>3907</v>
      </c>
      <c r="C503" s="32">
        <v>0.0</v>
      </c>
      <c r="D503" s="32" t="e">
        <v>#N/A</v>
      </c>
      <c r="E503" s="39"/>
      <c r="F503" s="32" t="e">
        <v>#N/A</v>
      </c>
      <c r="G503" s="39"/>
      <c r="H503" s="32" t="e">
        <v>#N/A</v>
      </c>
      <c r="I503" s="39"/>
      <c r="J503" s="32">
        <v>0.0</v>
      </c>
      <c r="K503" s="33" t="e">
        <v>#N/A</v>
      </c>
      <c r="L503" s="32" t="e">
        <v>#N/A</v>
      </c>
      <c r="M503" s="32" t="e">
        <v>#N/A</v>
      </c>
      <c r="N503" s="32" t="e">
        <v>#N/A</v>
      </c>
      <c r="O503" s="32" t="e">
        <v>#N/A</v>
      </c>
      <c r="P503" s="32" t="e">
        <v>#REF!</v>
      </c>
      <c r="Q503" s="32" t="e">
        <v>#N/A</v>
      </c>
      <c r="R503" s="42" t="e">
        <v>#N/A</v>
      </c>
      <c r="S503" s="42" t="e">
        <v>#N/A</v>
      </c>
      <c r="T503" s="36">
        <v>0.0</v>
      </c>
      <c r="U503" s="36">
        <v>0.0</v>
      </c>
      <c r="V503" s="36">
        <v>1.0</v>
      </c>
      <c r="W503" s="36">
        <v>0.0</v>
      </c>
      <c r="X503" s="36">
        <v>0.0</v>
      </c>
      <c r="Y503" s="36">
        <v>1.0</v>
      </c>
    </row>
    <row r="504">
      <c r="A504" s="32" t="s">
        <v>4611</v>
      </c>
      <c r="B504" s="32" t="s">
        <v>4611</v>
      </c>
      <c r="C504" s="32">
        <v>0.0</v>
      </c>
      <c r="D504" s="32" t="e">
        <v>#N/A</v>
      </c>
      <c r="E504" s="39"/>
      <c r="F504" s="32" t="e">
        <v>#N/A</v>
      </c>
      <c r="G504" s="39"/>
      <c r="H504" s="32">
        <v>0.0</v>
      </c>
      <c r="I504" s="39"/>
      <c r="J504" s="32" t="s">
        <v>4613</v>
      </c>
      <c r="K504" s="33" t="e">
        <v>#N/A</v>
      </c>
      <c r="L504" s="32" t="e">
        <v>#N/A</v>
      </c>
      <c r="M504" s="32" t="e">
        <v>#N/A</v>
      </c>
      <c r="N504" s="32" t="s">
        <v>5077</v>
      </c>
      <c r="O504" s="32" t="s">
        <v>4730</v>
      </c>
      <c r="P504" s="32">
        <v>1599.0</v>
      </c>
      <c r="Q504" s="34">
        <v>1519.0</v>
      </c>
      <c r="R504" s="40">
        <v>1519.0</v>
      </c>
      <c r="S504" s="35">
        <v>1439.1</v>
      </c>
      <c r="T504" s="36">
        <v>0.0</v>
      </c>
      <c r="U504" s="36">
        <v>0.0</v>
      </c>
      <c r="V504" s="36">
        <v>1.0</v>
      </c>
      <c r="W504" s="36">
        <v>0.0</v>
      </c>
      <c r="X504" s="36">
        <v>0.0</v>
      </c>
      <c r="Y504" s="36">
        <v>1.0</v>
      </c>
    </row>
    <row r="505">
      <c r="A505" s="32" t="s">
        <v>962</v>
      </c>
      <c r="B505" s="32" t="s">
        <v>962</v>
      </c>
      <c r="C505" s="32">
        <v>0.0</v>
      </c>
      <c r="D505" s="32">
        <v>0.0</v>
      </c>
      <c r="E505" s="39"/>
      <c r="F505" s="32" t="e">
        <v>#N/A</v>
      </c>
      <c r="G505" s="39"/>
      <c r="H505" s="32">
        <v>0.0</v>
      </c>
      <c r="I505" s="39"/>
      <c r="J505" s="32" t="s">
        <v>963</v>
      </c>
      <c r="K505" s="33" t="e">
        <v>#N/A</v>
      </c>
      <c r="L505" s="32" t="e">
        <v>#N/A</v>
      </c>
      <c r="M505" s="32" t="e">
        <v>#N/A</v>
      </c>
      <c r="N505" s="32" t="s">
        <v>5108</v>
      </c>
      <c r="O505" s="32" t="s">
        <v>52</v>
      </c>
      <c r="P505" s="32">
        <v>19999.0</v>
      </c>
      <c r="Q505" s="34">
        <v>16799.0</v>
      </c>
      <c r="R505" s="40">
        <v>17999.0</v>
      </c>
      <c r="S505" s="35">
        <v>15999.2</v>
      </c>
      <c r="T505" s="36">
        <v>0.0</v>
      </c>
      <c r="U505" s="36">
        <v>0.0</v>
      </c>
      <c r="V505" s="36">
        <v>1.0</v>
      </c>
      <c r="W505" s="36">
        <v>0.0</v>
      </c>
      <c r="X505" s="36">
        <v>0.0</v>
      </c>
      <c r="Y505" s="36">
        <v>1.0</v>
      </c>
    </row>
    <row r="506">
      <c r="A506" s="32" t="s">
        <v>3277</v>
      </c>
      <c r="B506" s="32" t="s">
        <v>3277</v>
      </c>
      <c r="C506" s="32" t="s">
        <v>3278</v>
      </c>
      <c r="D506" s="32" t="s">
        <v>3279</v>
      </c>
      <c r="E506" s="32" t="s">
        <v>5073</v>
      </c>
      <c r="F506" s="32" t="e">
        <v>#N/A</v>
      </c>
      <c r="G506" s="32" t="e">
        <v>#N/A</v>
      </c>
      <c r="H506" s="32" t="s">
        <v>3280</v>
      </c>
      <c r="I506" s="32" t="s">
        <v>5073</v>
      </c>
      <c r="J506" s="32" t="s">
        <v>3281</v>
      </c>
      <c r="K506" s="33" t="s">
        <v>3282</v>
      </c>
      <c r="L506" s="32">
        <v>3.1818445E7</v>
      </c>
      <c r="M506" s="32" t="e">
        <v>#N/A</v>
      </c>
      <c r="N506" s="32" t="s">
        <v>5086</v>
      </c>
      <c r="O506" s="32" t="s">
        <v>4730</v>
      </c>
      <c r="P506" s="32">
        <v>1989.0</v>
      </c>
      <c r="Q506" s="34">
        <v>1799.0</v>
      </c>
      <c r="R506" s="40">
        <v>1799.0</v>
      </c>
      <c r="S506" s="35">
        <v>1690.65</v>
      </c>
      <c r="T506" s="36">
        <v>0.0</v>
      </c>
      <c r="U506" s="36">
        <v>0.0</v>
      </c>
      <c r="V506" s="36">
        <v>1.0</v>
      </c>
      <c r="W506" s="36">
        <v>0.0</v>
      </c>
      <c r="X506" s="36">
        <v>0.0</v>
      </c>
      <c r="Y506" s="36">
        <v>1.0</v>
      </c>
    </row>
    <row r="507">
      <c r="A507" s="32" t="s">
        <v>2044</v>
      </c>
      <c r="B507" s="32" t="s">
        <v>2044</v>
      </c>
      <c r="C507" s="32" t="s">
        <v>2045</v>
      </c>
      <c r="D507" s="32" t="s">
        <v>2046</v>
      </c>
      <c r="E507" s="32" t="s">
        <v>5102</v>
      </c>
      <c r="F507" s="32" t="e">
        <v>#N/A</v>
      </c>
      <c r="G507" s="32" t="e">
        <v>#N/A</v>
      </c>
      <c r="H507" s="32" t="s">
        <v>2047</v>
      </c>
      <c r="I507" s="32" t="s">
        <v>5102</v>
      </c>
      <c r="J507" s="32">
        <v>0.0</v>
      </c>
      <c r="K507" s="33" t="s">
        <v>2048</v>
      </c>
      <c r="L507" s="32">
        <v>3.2789225E7</v>
      </c>
      <c r="M507" s="32" t="s">
        <v>2049</v>
      </c>
      <c r="N507" s="32" t="s">
        <v>5138</v>
      </c>
      <c r="O507" s="32" t="s">
        <v>52</v>
      </c>
      <c r="P507" s="32">
        <v>19999.0</v>
      </c>
      <c r="Q507" s="34">
        <v>17999.0</v>
      </c>
      <c r="R507" s="40">
        <v>17999.0</v>
      </c>
      <c r="S507" s="35">
        <v>15999.2</v>
      </c>
      <c r="T507" s="36">
        <v>0.0</v>
      </c>
      <c r="U507" s="36">
        <v>0.0</v>
      </c>
      <c r="V507" s="36">
        <v>1.0</v>
      </c>
      <c r="W507" s="36">
        <v>0.0</v>
      </c>
      <c r="X507" s="36">
        <v>0.0</v>
      </c>
      <c r="Y507" s="36">
        <v>1.0</v>
      </c>
    </row>
    <row r="508">
      <c r="A508" s="32" t="s">
        <v>893</v>
      </c>
      <c r="B508" s="32" t="s">
        <v>893</v>
      </c>
      <c r="C508" s="32" t="s">
        <v>894</v>
      </c>
      <c r="D508" s="32" t="s">
        <v>895</v>
      </c>
      <c r="E508" s="32" t="s">
        <v>5102</v>
      </c>
      <c r="F508" s="32" t="e">
        <v>#N/A</v>
      </c>
      <c r="G508" s="32" t="e">
        <v>#N/A</v>
      </c>
      <c r="H508" s="32">
        <v>0.0</v>
      </c>
      <c r="I508" s="39"/>
      <c r="J508" s="32" t="s">
        <v>896</v>
      </c>
      <c r="K508" s="33" t="s">
        <v>897</v>
      </c>
      <c r="L508" s="32">
        <v>3.2777943E7</v>
      </c>
      <c r="M508" s="32" t="s">
        <v>898</v>
      </c>
      <c r="N508" s="32" t="s">
        <v>5108</v>
      </c>
      <c r="O508" s="32" t="s">
        <v>52</v>
      </c>
      <c r="P508" s="32">
        <v>14199.0</v>
      </c>
      <c r="Q508" s="34">
        <v>11927.0</v>
      </c>
      <c r="R508" s="40">
        <v>12799.0</v>
      </c>
      <c r="S508" s="35">
        <v>11359.2</v>
      </c>
      <c r="T508" s="36">
        <v>1.0</v>
      </c>
      <c r="U508" s="36">
        <v>0.0</v>
      </c>
      <c r="V508" s="36">
        <v>0.0</v>
      </c>
      <c r="W508" s="36">
        <v>0.0</v>
      </c>
      <c r="X508" s="36">
        <v>0.0</v>
      </c>
      <c r="Y508" s="36">
        <v>1.0</v>
      </c>
    </row>
    <row r="509">
      <c r="A509" s="32" t="s">
        <v>932</v>
      </c>
      <c r="B509" s="32" t="s">
        <v>932</v>
      </c>
      <c r="C509" s="32" t="s">
        <v>933</v>
      </c>
      <c r="D509" s="32" t="s">
        <v>934</v>
      </c>
      <c r="E509" s="32" t="s">
        <v>5102</v>
      </c>
      <c r="F509" s="32" t="e">
        <v>#N/A</v>
      </c>
      <c r="G509" s="32" t="e">
        <v>#N/A</v>
      </c>
      <c r="H509" s="32">
        <v>0.0</v>
      </c>
      <c r="I509" s="39"/>
      <c r="J509" s="32" t="s">
        <v>935</v>
      </c>
      <c r="K509" s="33" t="s">
        <v>936</v>
      </c>
      <c r="L509" s="32" t="e">
        <v>#N/A</v>
      </c>
      <c r="M509" s="32" t="e">
        <v>#N/A</v>
      </c>
      <c r="N509" s="32" t="s">
        <v>5108</v>
      </c>
      <c r="O509" s="32" t="s">
        <v>52</v>
      </c>
      <c r="P509" s="32">
        <v>19999.0</v>
      </c>
      <c r="Q509" s="34">
        <v>16799.0</v>
      </c>
      <c r="R509" s="40">
        <v>17999.0</v>
      </c>
      <c r="S509" s="35">
        <v>15999.2</v>
      </c>
      <c r="T509" s="36">
        <v>0.0</v>
      </c>
      <c r="U509" s="36">
        <v>0.0</v>
      </c>
      <c r="V509" s="36">
        <v>1.0</v>
      </c>
      <c r="W509" s="36">
        <v>0.0</v>
      </c>
      <c r="X509" s="36">
        <v>0.0</v>
      </c>
      <c r="Y509" s="36">
        <v>1.0</v>
      </c>
    </row>
    <row r="510">
      <c r="A510" s="32" t="s">
        <v>4149</v>
      </c>
      <c r="B510" s="32" t="s">
        <v>4149</v>
      </c>
      <c r="C510" s="32" t="s">
        <v>4150</v>
      </c>
      <c r="D510" s="32" t="s">
        <v>4151</v>
      </c>
      <c r="E510" s="32" t="s">
        <v>5073</v>
      </c>
      <c r="F510" s="32" t="e">
        <v>#N/A</v>
      </c>
      <c r="G510" s="38"/>
      <c r="H510" s="32">
        <v>0.0</v>
      </c>
      <c r="I510" s="39"/>
      <c r="J510" s="32" t="s">
        <v>4152</v>
      </c>
      <c r="K510" s="33" t="s">
        <v>4153</v>
      </c>
      <c r="L510" s="32" t="e">
        <v>#N/A</v>
      </c>
      <c r="M510" s="32" t="s">
        <v>4154</v>
      </c>
      <c r="N510" s="32" t="s">
        <v>5118</v>
      </c>
      <c r="O510" s="32" t="s">
        <v>52</v>
      </c>
      <c r="P510" s="32">
        <v>18199.0</v>
      </c>
      <c r="Q510" s="34">
        <v>16379.0</v>
      </c>
      <c r="R510" s="40">
        <v>17499.0</v>
      </c>
      <c r="S510" s="35">
        <v>16037.34</v>
      </c>
      <c r="T510" s="36">
        <v>0.0</v>
      </c>
      <c r="U510" s="36">
        <v>0.0</v>
      </c>
      <c r="V510" s="36">
        <v>1.0</v>
      </c>
      <c r="W510" s="36">
        <v>0.0</v>
      </c>
      <c r="X510" s="36">
        <v>0.0</v>
      </c>
      <c r="Y510" s="36">
        <v>1.0</v>
      </c>
    </row>
    <row r="511">
      <c r="A511" s="32" t="s">
        <v>3933</v>
      </c>
      <c r="B511" s="32" t="s">
        <v>3933</v>
      </c>
      <c r="C511" s="32" t="s">
        <v>3934</v>
      </c>
      <c r="D511" s="32" t="s">
        <v>3935</v>
      </c>
      <c r="E511" s="32" t="s">
        <v>5073</v>
      </c>
      <c r="F511" s="32" t="e">
        <v>#N/A</v>
      </c>
      <c r="G511" s="38"/>
      <c r="H511" s="32">
        <v>0.0</v>
      </c>
      <c r="I511" s="39"/>
      <c r="J511" s="32" t="s">
        <v>3936</v>
      </c>
      <c r="K511" s="33" t="s">
        <v>3937</v>
      </c>
      <c r="L511" s="32" t="e">
        <v>#N/A</v>
      </c>
      <c r="M511" s="32" t="e">
        <v>#N/A</v>
      </c>
      <c r="N511" s="32" t="s">
        <v>5118</v>
      </c>
      <c r="O511" s="32" t="s">
        <v>52</v>
      </c>
      <c r="P511" s="32">
        <v>8799.0</v>
      </c>
      <c r="Q511" s="34">
        <v>7919.0</v>
      </c>
      <c r="R511" s="40">
        <v>8399.0</v>
      </c>
      <c r="S511" s="35">
        <v>7721.34</v>
      </c>
      <c r="T511" s="36">
        <v>0.0</v>
      </c>
      <c r="U511" s="36">
        <v>0.0</v>
      </c>
      <c r="V511" s="36">
        <v>1.0</v>
      </c>
      <c r="W511" s="36">
        <v>0.0</v>
      </c>
      <c r="X511" s="36">
        <v>0.0</v>
      </c>
      <c r="Y511" s="36">
        <v>1.0</v>
      </c>
    </row>
    <row r="512">
      <c r="A512" s="32" t="s">
        <v>3973</v>
      </c>
      <c r="B512" s="32" t="s">
        <v>3973</v>
      </c>
      <c r="C512" s="32" t="s">
        <v>3974</v>
      </c>
      <c r="D512" s="32" t="s">
        <v>3975</v>
      </c>
      <c r="E512" s="32" t="s">
        <v>5073</v>
      </c>
      <c r="F512" s="32" t="e">
        <v>#N/A</v>
      </c>
      <c r="G512" s="38"/>
      <c r="H512" s="32">
        <v>0.0</v>
      </c>
      <c r="I512" s="39"/>
      <c r="J512" s="32" t="s">
        <v>3976</v>
      </c>
      <c r="K512" s="33" t="s">
        <v>3977</v>
      </c>
      <c r="L512" s="32" t="e">
        <v>#N/A</v>
      </c>
      <c r="M512" s="32" t="e">
        <v>#N/A</v>
      </c>
      <c r="N512" s="32" t="s">
        <v>5118</v>
      </c>
      <c r="O512" s="32" t="s">
        <v>52</v>
      </c>
      <c r="P512" s="32">
        <v>9999.0</v>
      </c>
      <c r="Q512" s="34">
        <v>8999.0</v>
      </c>
      <c r="R512" s="40">
        <v>9599.0</v>
      </c>
      <c r="S512" s="35">
        <v>8777.34</v>
      </c>
      <c r="T512" s="36">
        <v>0.0</v>
      </c>
      <c r="U512" s="36">
        <v>0.0</v>
      </c>
      <c r="V512" s="36">
        <v>0.0</v>
      </c>
      <c r="W512" s="36">
        <v>0.0</v>
      </c>
      <c r="X512" s="36">
        <v>1.0</v>
      </c>
      <c r="Y512" s="36">
        <v>1.0</v>
      </c>
    </row>
    <row r="513">
      <c r="A513" s="32" t="s">
        <v>3259</v>
      </c>
      <c r="B513" s="32" t="s">
        <v>3259</v>
      </c>
      <c r="C513" s="32" t="s">
        <v>3260</v>
      </c>
      <c r="D513" s="32" t="s">
        <v>3261</v>
      </c>
      <c r="E513" s="32" t="s">
        <v>5073</v>
      </c>
      <c r="F513" s="32" t="e">
        <v>#N/A</v>
      </c>
      <c r="G513" s="38"/>
      <c r="H513" s="32" t="s">
        <v>3262</v>
      </c>
      <c r="I513" s="32" t="s">
        <v>5073</v>
      </c>
      <c r="J513" s="32" t="s">
        <v>3263</v>
      </c>
      <c r="K513" s="33" t="s">
        <v>3264</v>
      </c>
      <c r="L513" s="32" t="e">
        <v>#N/A</v>
      </c>
      <c r="M513" s="32" t="e">
        <v>#N/A</v>
      </c>
      <c r="N513" s="32" t="s">
        <v>5086</v>
      </c>
      <c r="O513" s="32" t="s">
        <v>4730</v>
      </c>
      <c r="P513" s="32">
        <v>1989.0</v>
      </c>
      <c r="Q513" s="34">
        <v>1799.0</v>
      </c>
      <c r="R513" s="40">
        <v>1799.0</v>
      </c>
      <c r="S513" s="35">
        <v>1690.65</v>
      </c>
      <c r="T513" s="36">
        <v>0.0</v>
      </c>
      <c r="U513" s="36">
        <v>0.0</v>
      </c>
      <c r="V513" s="36">
        <v>1.0</v>
      </c>
      <c r="W513" s="36">
        <v>0.0</v>
      </c>
      <c r="X513" s="36">
        <v>0.0</v>
      </c>
      <c r="Y513" s="36">
        <v>1.0</v>
      </c>
    </row>
    <row r="514">
      <c r="A514" s="32" t="s">
        <v>1994</v>
      </c>
      <c r="B514" s="32" t="s">
        <v>1994</v>
      </c>
      <c r="C514" s="32" t="s">
        <v>1995</v>
      </c>
      <c r="D514" s="32" t="s">
        <v>1996</v>
      </c>
      <c r="E514" s="32" t="s">
        <v>5102</v>
      </c>
      <c r="F514" s="32" t="e">
        <v>#N/A</v>
      </c>
      <c r="G514" s="39"/>
      <c r="H514" s="32" t="s">
        <v>1997</v>
      </c>
      <c r="I514" s="32" t="s">
        <v>5073</v>
      </c>
      <c r="J514" s="32" t="s">
        <v>1998</v>
      </c>
      <c r="K514" s="33" t="s">
        <v>1999</v>
      </c>
      <c r="L514" s="32" t="e">
        <v>#N/A</v>
      </c>
      <c r="M514" s="32" t="e">
        <v>#N/A</v>
      </c>
      <c r="N514" s="32" t="s">
        <v>5132</v>
      </c>
      <c r="O514" s="32" t="s">
        <v>4730</v>
      </c>
      <c r="P514" s="32">
        <v>6499.0</v>
      </c>
      <c r="Q514" s="34">
        <v>4868.0</v>
      </c>
      <c r="R514" s="40">
        <v>5499.0</v>
      </c>
      <c r="S514" s="35">
        <v>4549.3</v>
      </c>
      <c r="T514" s="36">
        <v>0.0</v>
      </c>
      <c r="U514" s="36">
        <v>1.0</v>
      </c>
      <c r="V514" s="36">
        <v>0.0</v>
      </c>
      <c r="W514" s="36">
        <v>0.0</v>
      </c>
      <c r="X514" s="36">
        <v>0.0</v>
      </c>
      <c r="Y514" s="36">
        <v>1.0</v>
      </c>
    </row>
    <row r="515">
      <c r="A515" s="32" t="s">
        <v>1974</v>
      </c>
      <c r="B515" s="32" t="s">
        <v>1974</v>
      </c>
      <c r="C515" s="32" t="s">
        <v>1975</v>
      </c>
      <c r="D515" s="32" t="s">
        <v>1976</v>
      </c>
      <c r="E515" s="32" t="s">
        <v>5073</v>
      </c>
      <c r="F515" s="32" t="e">
        <v>#N/A</v>
      </c>
      <c r="G515" s="39"/>
      <c r="H515" s="32" t="s">
        <v>1977</v>
      </c>
      <c r="I515" s="32" t="s">
        <v>5073</v>
      </c>
      <c r="J515" s="32" t="s">
        <v>1978</v>
      </c>
      <c r="K515" s="33" t="s">
        <v>1979</v>
      </c>
      <c r="L515" s="32" t="e">
        <v>#N/A</v>
      </c>
      <c r="M515" s="32" t="e">
        <v>#N/A</v>
      </c>
      <c r="N515" s="32" t="s">
        <v>5132</v>
      </c>
      <c r="O515" s="32" t="s">
        <v>4730</v>
      </c>
      <c r="P515" s="32">
        <v>4499.0</v>
      </c>
      <c r="Q515" s="34">
        <v>3369.0</v>
      </c>
      <c r="R515" s="40">
        <v>3799.0</v>
      </c>
      <c r="S515" s="35">
        <v>3149.3</v>
      </c>
      <c r="T515" s="36">
        <v>0.0</v>
      </c>
      <c r="U515" s="36">
        <v>0.0</v>
      </c>
      <c r="V515" s="36">
        <v>0.0</v>
      </c>
      <c r="W515" s="36">
        <v>0.0</v>
      </c>
      <c r="X515" s="36">
        <v>1.0</v>
      </c>
      <c r="Y515" s="36">
        <v>1.0</v>
      </c>
    </row>
    <row r="516">
      <c r="A516" s="32" t="s">
        <v>315</v>
      </c>
      <c r="B516" s="32" t="s">
        <v>315</v>
      </c>
      <c r="C516" s="32" t="s">
        <v>316</v>
      </c>
      <c r="D516" s="32" t="s">
        <v>317</v>
      </c>
      <c r="E516" s="32" t="s">
        <v>5102</v>
      </c>
      <c r="F516" s="32" t="e">
        <v>#N/A</v>
      </c>
      <c r="G516" s="39"/>
      <c r="H516" s="32">
        <v>0.0</v>
      </c>
      <c r="I516" s="39"/>
      <c r="J516" s="32" t="s">
        <v>318</v>
      </c>
      <c r="K516" s="33" t="s">
        <v>319</v>
      </c>
      <c r="L516" s="32" t="e">
        <v>#N/A</v>
      </c>
      <c r="M516" s="32" t="s">
        <v>320</v>
      </c>
      <c r="N516" s="32" t="s">
        <v>51</v>
      </c>
      <c r="O516" s="32" t="s">
        <v>52</v>
      </c>
      <c r="P516" s="32">
        <v>10259.0</v>
      </c>
      <c r="Q516" s="34">
        <v>8310.0</v>
      </c>
      <c r="R516" s="40">
        <v>8899.0</v>
      </c>
      <c r="S516" s="35">
        <v>7796.84</v>
      </c>
      <c r="T516" s="36">
        <v>0.0</v>
      </c>
      <c r="U516" s="36">
        <v>0.0</v>
      </c>
      <c r="V516" s="36">
        <v>0.0</v>
      </c>
      <c r="W516" s="36">
        <v>0.0</v>
      </c>
      <c r="X516" s="36">
        <v>1.0</v>
      </c>
      <c r="Y516" s="36">
        <v>1.0</v>
      </c>
    </row>
    <row r="517">
      <c r="A517" s="32" t="s">
        <v>620</v>
      </c>
      <c r="B517" s="32" t="s">
        <v>620</v>
      </c>
      <c r="C517" s="32" t="s">
        <v>621</v>
      </c>
      <c r="D517" s="32" t="s">
        <v>622</v>
      </c>
      <c r="E517" s="32" t="s">
        <v>5073</v>
      </c>
      <c r="F517" s="32" t="e">
        <v>#N/A</v>
      </c>
      <c r="G517" s="39"/>
      <c r="H517" s="32" t="s">
        <v>623</v>
      </c>
      <c r="I517" s="32" t="s">
        <v>5073</v>
      </c>
      <c r="J517" s="32" t="s">
        <v>624</v>
      </c>
      <c r="K517" s="33" t="s">
        <v>625</v>
      </c>
      <c r="L517" s="32">
        <v>3.1999079E7</v>
      </c>
      <c r="M517" s="32" t="s">
        <v>626</v>
      </c>
      <c r="N517" s="32" t="s">
        <v>51</v>
      </c>
      <c r="O517" s="32" t="s">
        <v>52</v>
      </c>
      <c r="P517" s="32">
        <v>20399.0</v>
      </c>
      <c r="Q517" s="34">
        <v>16523.0</v>
      </c>
      <c r="R517" s="40">
        <v>17699.0</v>
      </c>
      <c r="S517" s="35">
        <v>15503.24</v>
      </c>
      <c r="T517" s="36">
        <v>0.0</v>
      </c>
      <c r="U517" s="36">
        <v>0.0</v>
      </c>
      <c r="V517" s="36">
        <v>0.0</v>
      </c>
      <c r="W517" s="36">
        <v>1.0</v>
      </c>
      <c r="X517" s="36">
        <v>0.0</v>
      </c>
      <c r="Y517" s="36">
        <v>1.0</v>
      </c>
    </row>
    <row r="518">
      <c r="A518" s="32" t="s">
        <v>576</v>
      </c>
      <c r="B518" s="32" t="s">
        <v>576</v>
      </c>
      <c r="C518" s="32" t="s">
        <v>577</v>
      </c>
      <c r="D518" s="32" t="s">
        <v>578</v>
      </c>
      <c r="E518" s="32" t="s">
        <v>5102</v>
      </c>
      <c r="F518" s="32" t="e">
        <v>#N/A</v>
      </c>
      <c r="G518" s="39"/>
      <c r="H518" s="32">
        <v>0.0</v>
      </c>
      <c r="I518" s="39"/>
      <c r="J518" s="32" t="s">
        <v>579</v>
      </c>
      <c r="K518" s="33" t="s">
        <v>580</v>
      </c>
      <c r="L518" s="32" t="e">
        <v>#N/A</v>
      </c>
      <c r="M518" s="32" t="s">
        <v>581</v>
      </c>
      <c r="N518" s="32" t="s">
        <v>51</v>
      </c>
      <c r="O518" s="32" t="s">
        <v>52</v>
      </c>
      <c r="P518" s="32">
        <v>18199.0</v>
      </c>
      <c r="Q518" s="34">
        <v>14741.0</v>
      </c>
      <c r="R518" s="40">
        <v>15799.0</v>
      </c>
      <c r="S518" s="35">
        <v>13831.24</v>
      </c>
      <c r="T518" s="36">
        <v>1.0</v>
      </c>
      <c r="U518" s="36">
        <v>0.0</v>
      </c>
      <c r="V518" s="36">
        <v>0.0</v>
      </c>
      <c r="W518" s="36">
        <v>0.0</v>
      </c>
      <c r="X518" s="36">
        <v>0.0</v>
      </c>
      <c r="Y518" s="36">
        <v>1.0</v>
      </c>
    </row>
    <row r="519">
      <c r="A519" s="32" t="s">
        <v>401</v>
      </c>
      <c r="B519" s="32" t="s">
        <v>401</v>
      </c>
      <c r="C519" s="32" t="s">
        <v>402</v>
      </c>
      <c r="D519" s="32" t="s">
        <v>403</v>
      </c>
      <c r="E519" s="32" t="s">
        <v>5073</v>
      </c>
      <c r="F519" s="32" t="e">
        <v>#N/A</v>
      </c>
      <c r="G519" s="39"/>
      <c r="H519" s="32" t="s">
        <v>401</v>
      </c>
      <c r="I519" s="32" t="s">
        <v>5073</v>
      </c>
      <c r="J519" s="32" t="s">
        <v>404</v>
      </c>
      <c r="K519" s="33" t="s">
        <v>405</v>
      </c>
      <c r="L519" s="32">
        <v>3.2783896E7</v>
      </c>
      <c r="M519" s="32" t="e">
        <v>#N/A</v>
      </c>
      <c r="N519" s="32" t="s">
        <v>51</v>
      </c>
      <c r="O519" s="32" t="s">
        <v>52</v>
      </c>
      <c r="P519" s="32">
        <v>19799.0</v>
      </c>
      <c r="Q519" s="34">
        <v>16037.0</v>
      </c>
      <c r="R519" s="40">
        <v>17199.0</v>
      </c>
      <c r="S519" s="35">
        <v>15047.24</v>
      </c>
      <c r="T519" s="36">
        <v>0.0</v>
      </c>
      <c r="U519" s="36">
        <v>0.0</v>
      </c>
      <c r="V519" s="36">
        <v>0.0</v>
      </c>
      <c r="W519" s="36">
        <v>0.0</v>
      </c>
      <c r="X519" s="36">
        <v>1.0</v>
      </c>
      <c r="Y519" s="36">
        <v>1.0</v>
      </c>
    </row>
    <row r="520">
      <c r="A520" s="32" t="s">
        <v>166</v>
      </c>
      <c r="B520" s="32" t="s">
        <v>166</v>
      </c>
      <c r="C520" s="32" t="s">
        <v>167</v>
      </c>
      <c r="D520" s="32" t="s">
        <v>168</v>
      </c>
      <c r="E520" s="32" t="s">
        <v>5073</v>
      </c>
      <c r="F520" s="32" t="e">
        <v>#N/A</v>
      </c>
      <c r="G520" s="39"/>
      <c r="H520" s="32">
        <v>0.0</v>
      </c>
      <c r="I520" s="39"/>
      <c r="J520" s="32" t="s">
        <v>169</v>
      </c>
      <c r="K520" s="33" t="s">
        <v>170</v>
      </c>
      <c r="L520" s="32" t="e">
        <v>#N/A</v>
      </c>
      <c r="M520" s="32" t="s">
        <v>171</v>
      </c>
      <c r="N520" s="32" t="s">
        <v>51</v>
      </c>
      <c r="O520" s="32" t="s">
        <v>52</v>
      </c>
      <c r="P520" s="32">
        <v>7359.0</v>
      </c>
      <c r="Q520" s="34">
        <v>5961.0</v>
      </c>
      <c r="R520" s="40">
        <v>6399.0</v>
      </c>
      <c r="S520" s="35">
        <v>5592.84</v>
      </c>
      <c r="T520" s="36">
        <v>0.0</v>
      </c>
      <c r="U520" s="36">
        <v>0.0</v>
      </c>
      <c r="V520" s="36">
        <v>1.0</v>
      </c>
      <c r="W520" s="36">
        <v>0.0</v>
      </c>
      <c r="X520" s="36">
        <v>0.0</v>
      </c>
      <c r="Y520" s="36">
        <v>1.0</v>
      </c>
    </row>
    <row r="521">
      <c r="A521" s="32" t="s">
        <v>134</v>
      </c>
      <c r="B521" s="32" t="s">
        <v>134</v>
      </c>
      <c r="C521" s="32" t="s">
        <v>135</v>
      </c>
      <c r="D521" s="32" t="s">
        <v>136</v>
      </c>
      <c r="E521" s="32" t="s">
        <v>5073</v>
      </c>
      <c r="F521" s="32" t="e">
        <v>#N/A</v>
      </c>
      <c r="G521" s="39"/>
      <c r="H521" s="32">
        <v>0.0</v>
      </c>
      <c r="I521" s="39"/>
      <c r="J521" s="32" t="s">
        <v>137</v>
      </c>
      <c r="K521" s="33" t="s">
        <v>138</v>
      </c>
      <c r="L521" s="32" t="e">
        <v>#N/A</v>
      </c>
      <c r="M521" s="32" t="s">
        <v>139</v>
      </c>
      <c r="N521" s="32" t="s">
        <v>51</v>
      </c>
      <c r="O521" s="32" t="s">
        <v>52</v>
      </c>
      <c r="P521" s="32">
        <v>10269.0</v>
      </c>
      <c r="Q521" s="34">
        <v>8318.0</v>
      </c>
      <c r="R521" s="40">
        <v>8899.0</v>
      </c>
      <c r="S521" s="35">
        <v>7804.44</v>
      </c>
      <c r="T521" s="36">
        <v>0.0</v>
      </c>
      <c r="U521" s="36">
        <v>0.0</v>
      </c>
      <c r="V521" s="36">
        <v>1.0</v>
      </c>
      <c r="W521" s="36">
        <v>0.0</v>
      </c>
      <c r="X521" s="36">
        <v>0.0</v>
      </c>
      <c r="Y521" s="36">
        <v>1.0</v>
      </c>
    </row>
    <row r="522">
      <c r="A522" s="32" t="s">
        <v>107</v>
      </c>
      <c r="B522" s="32" t="s">
        <v>107</v>
      </c>
      <c r="C522" s="32" t="s">
        <v>108</v>
      </c>
      <c r="D522" s="32" t="s">
        <v>109</v>
      </c>
      <c r="E522" s="32" t="s">
        <v>5073</v>
      </c>
      <c r="F522" s="32" t="e">
        <v>#N/A</v>
      </c>
      <c r="G522" s="39"/>
      <c r="H522" s="32">
        <v>0.0</v>
      </c>
      <c r="I522" s="39"/>
      <c r="J522" s="32" t="s">
        <v>110</v>
      </c>
      <c r="K522" s="33" t="s">
        <v>111</v>
      </c>
      <c r="L522" s="32" t="e">
        <v>#N/A</v>
      </c>
      <c r="M522" s="32" t="e">
        <v>#N/A</v>
      </c>
      <c r="N522" s="32" t="s">
        <v>51</v>
      </c>
      <c r="O522" s="32" t="s">
        <v>52</v>
      </c>
      <c r="P522" s="32">
        <v>17999.0</v>
      </c>
      <c r="Q522" s="34">
        <v>14579.0</v>
      </c>
      <c r="R522" s="40">
        <v>15699.0</v>
      </c>
      <c r="S522" s="35">
        <v>13679.24</v>
      </c>
      <c r="T522" s="36">
        <v>0.0</v>
      </c>
      <c r="U522" s="36">
        <v>0.0</v>
      </c>
      <c r="V522" s="36">
        <v>1.0</v>
      </c>
      <c r="W522" s="36">
        <v>0.0</v>
      </c>
      <c r="X522" s="36">
        <v>0.0</v>
      </c>
      <c r="Y522" s="36">
        <v>1.0</v>
      </c>
    </row>
    <row r="523">
      <c r="A523" s="32" t="s">
        <v>81</v>
      </c>
      <c r="B523" s="32" t="s">
        <v>81</v>
      </c>
      <c r="C523" s="32" t="s">
        <v>82</v>
      </c>
      <c r="D523" s="32" t="s">
        <v>83</v>
      </c>
      <c r="E523" s="32" t="s">
        <v>5073</v>
      </c>
      <c r="F523" s="32" t="e">
        <v>#N/A</v>
      </c>
      <c r="G523" s="39"/>
      <c r="H523" s="32">
        <v>0.0</v>
      </c>
      <c r="I523" s="39"/>
      <c r="J523" s="32" t="s">
        <v>84</v>
      </c>
      <c r="K523" s="33" t="s">
        <v>85</v>
      </c>
      <c r="L523" s="32" t="e">
        <v>#N/A</v>
      </c>
      <c r="M523" s="32" t="e">
        <v>#N/A</v>
      </c>
      <c r="N523" s="32" t="s">
        <v>51</v>
      </c>
      <c r="O523" s="32" t="s">
        <v>52</v>
      </c>
      <c r="P523" s="32">
        <v>16999.0</v>
      </c>
      <c r="Q523" s="34">
        <v>13769.0</v>
      </c>
      <c r="R523" s="40">
        <v>14799.0</v>
      </c>
      <c r="S523" s="35">
        <v>12919.24</v>
      </c>
      <c r="T523" s="36">
        <v>0.0</v>
      </c>
      <c r="U523" s="36">
        <v>0.0</v>
      </c>
      <c r="V523" s="36">
        <v>1.0</v>
      </c>
      <c r="W523" s="36">
        <v>0.0</v>
      </c>
      <c r="X523" s="36">
        <v>0.0</v>
      </c>
      <c r="Y523" s="36">
        <v>1.0</v>
      </c>
    </row>
    <row r="524">
      <c r="A524" s="32" t="s">
        <v>1188</v>
      </c>
      <c r="B524" s="32" t="s">
        <v>1188</v>
      </c>
      <c r="C524" s="32" t="s">
        <v>1189</v>
      </c>
      <c r="D524" s="32" t="s">
        <v>1190</v>
      </c>
      <c r="E524" s="32" t="s">
        <v>5117</v>
      </c>
      <c r="F524" s="32" t="e">
        <v>#N/A</v>
      </c>
      <c r="G524" s="32" t="e">
        <v>#N/A</v>
      </c>
      <c r="H524" s="32" t="s">
        <v>1188</v>
      </c>
      <c r="I524" s="32" t="s">
        <v>5102</v>
      </c>
      <c r="J524" s="32" t="s">
        <v>1188</v>
      </c>
      <c r="K524" s="33" t="s">
        <v>1191</v>
      </c>
      <c r="L524" s="32" t="e">
        <v>#N/A</v>
      </c>
      <c r="M524" s="32" t="s">
        <v>1192</v>
      </c>
      <c r="N524" s="32" t="s">
        <v>1195</v>
      </c>
      <c r="O524" s="32" t="s">
        <v>5114</v>
      </c>
      <c r="P524" s="32">
        <v>2989.0</v>
      </c>
      <c r="Q524" s="34">
        <v>2147.0</v>
      </c>
      <c r="R524" s="40">
        <v>2099.0</v>
      </c>
      <c r="S524" s="35">
        <v>2092.3</v>
      </c>
      <c r="T524" s="36">
        <v>0.0</v>
      </c>
      <c r="U524" s="36">
        <v>1.0</v>
      </c>
      <c r="V524" s="36">
        <v>0.0</v>
      </c>
      <c r="W524" s="36">
        <v>0.0</v>
      </c>
      <c r="X524" s="36">
        <v>0.0</v>
      </c>
      <c r="Y524" s="36">
        <v>1.0</v>
      </c>
    </row>
    <row r="525">
      <c r="A525" s="32" t="s">
        <v>1188</v>
      </c>
      <c r="B525" s="32" t="s">
        <v>1188</v>
      </c>
      <c r="C525" s="32" t="s">
        <v>4804</v>
      </c>
      <c r="D525" s="32" t="s">
        <v>4805</v>
      </c>
      <c r="E525" s="32" t="s">
        <v>5102</v>
      </c>
      <c r="F525" s="32" t="e">
        <v>#N/A</v>
      </c>
      <c r="G525" s="39"/>
      <c r="H525" s="32" t="e">
        <v>#N/A</v>
      </c>
      <c r="I525" s="39"/>
      <c r="J525" s="32" t="s">
        <v>4806</v>
      </c>
      <c r="K525" s="33" t="s">
        <v>1191</v>
      </c>
      <c r="L525" s="32" t="e">
        <v>#N/A</v>
      </c>
      <c r="M525" s="32" t="e">
        <v>#N/A</v>
      </c>
      <c r="N525" s="32" t="s">
        <v>1195</v>
      </c>
      <c r="O525" s="32" t="s">
        <v>5114</v>
      </c>
      <c r="P525" s="32">
        <v>2989.0</v>
      </c>
      <c r="Q525" s="34">
        <v>2147.0</v>
      </c>
      <c r="R525" s="40">
        <v>2099.0</v>
      </c>
      <c r="S525" s="35">
        <v>2092.3</v>
      </c>
      <c r="T525" s="36">
        <v>0.0</v>
      </c>
      <c r="U525" s="36">
        <v>1.0</v>
      </c>
      <c r="V525" s="36">
        <v>0.0</v>
      </c>
      <c r="W525" s="36">
        <v>0.0</v>
      </c>
      <c r="X525" s="36">
        <v>0.0</v>
      </c>
      <c r="Y525" s="36">
        <v>1.0</v>
      </c>
    </row>
    <row r="526">
      <c r="A526" s="32" t="s">
        <v>4363</v>
      </c>
      <c r="B526" s="32" t="s">
        <v>4363</v>
      </c>
      <c r="C526" s="32" t="s">
        <v>4364</v>
      </c>
      <c r="D526" s="32" t="s">
        <v>4365</v>
      </c>
      <c r="E526" s="32" t="s">
        <v>5102</v>
      </c>
      <c r="F526" s="32" t="e">
        <v>#N/A</v>
      </c>
      <c r="G526" s="39"/>
      <c r="H526" s="32">
        <v>0.0</v>
      </c>
      <c r="I526" s="39"/>
      <c r="J526" s="32" t="s">
        <v>4366</v>
      </c>
      <c r="K526" s="33" t="s">
        <v>4367</v>
      </c>
      <c r="L526" s="32" t="e">
        <v>#N/A</v>
      </c>
      <c r="M526" s="32" t="e">
        <v>#N/A</v>
      </c>
      <c r="N526" s="32" t="s">
        <v>5143</v>
      </c>
      <c r="O526" s="32" t="s">
        <v>4730</v>
      </c>
      <c r="P526" s="32">
        <v>3959.0</v>
      </c>
      <c r="Q526" s="34">
        <v>3599.0</v>
      </c>
      <c r="R526" s="40">
        <v>3759.0</v>
      </c>
      <c r="S526" s="35">
        <v>3365.15</v>
      </c>
      <c r="T526" s="36">
        <v>0.0</v>
      </c>
      <c r="U526" s="36">
        <v>0.0</v>
      </c>
      <c r="V526" s="36">
        <v>0.0</v>
      </c>
      <c r="W526" s="36">
        <v>0.0</v>
      </c>
      <c r="X526" s="36">
        <v>1.0</v>
      </c>
      <c r="Y526" s="36">
        <v>1.0</v>
      </c>
    </row>
    <row r="527">
      <c r="A527" s="32" t="s">
        <v>4760</v>
      </c>
      <c r="B527" s="32" t="s">
        <v>4760</v>
      </c>
      <c r="C527" s="32" t="s">
        <v>4761</v>
      </c>
      <c r="D527" s="32" t="s">
        <v>4762</v>
      </c>
      <c r="E527" s="32" t="s">
        <v>5073</v>
      </c>
      <c r="F527" s="32" t="e">
        <v>#N/A</v>
      </c>
      <c r="G527" s="39"/>
      <c r="H527" s="32" t="s">
        <v>4760</v>
      </c>
      <c r="I527" s="32" t="s">
        <v>5073</v>
      </c>
      <c r="J527" s="32" t="s">
        <v>4760</v>
      </c>
      <c r="K527" s="33" t="s">
        <v>4763</v>
      </c>
      <c r="L527" s="32" t="e">
        <v>#N/A</v>
      </c>
      <c r="M527" s="32" t="e">
        <v>#N/A</v>
      </c>
      <c r="N527" s="32" t="s">
        <v>5112</v>
      </c>
      <c r="O527" s="32" t="s">
        <v>52</v>
      </c>
      <c r="P527" s="32">
        <v>18999.0</v>
      </c>
      <c r="Q527" s="34">
        <v>17099.0</v>
      </c>
      <c r="R527" s="40">
        <v>17999.0</v>
      </c>
      <c r="S527" s="35">
        <v>14629.23</v>
      </c>
      <c r="T527" s="36">
        <v>0.0</v>
      </c>
      <c r="U527" s="36">
        <v>0.0</v>
      </c>
      <c r="V527" s="36">
        <v>1.0</v>
      </c>
      <c r="W527" s="36">
        <v>0.0</v>
      </c>
      <c r="X527" s="36">
        <v>0.0</v>
      </c>
      <c r="Y527" s="36">
        <v>1.0</v>
      </c>
    </row>
    <row r="528">
      <c r="A528" s="32" t="s">
        <v>1740</v>
      </c>
      <c r="B528" s="32" t="s">
        <v>1740</v>
      </c>
      <c r="C528" s="32" t="s">
        <v>1741</v>
      </c>
      <c r="D528" s="32" t="s">
        <v>1742</v>
      </c>
      <c r="E528" s="32" t="s">
        <v>5102</v>
      </c>
      <c r="F528" s="32" t="e">
        <v>#N/A</v>
      </c>
      <c r="G528" s="39"/>
      <c r="H528" s="32" t="s">
        <v>1743</v>
      </c>
      <c r="I528" s="32" t="s">
        <v>5073</v>
      </c>
      <c r="J528" s="32" t="s">
        <v>1744</v>
      </c>
      <c r="K528" s="33" t="s">
        <v>1745</v>
      </c>
      <c r="L528" s="32">
        <v>3.2783932E7</v>
      </c>
      <c r="M528" s="32" t="s">
        <v>1746</v>
      </c>
      <c r="N528" s="32" t="s">
        <v>5109</v>
      </c>
      <c r="O528" s="32" t="s">
        <v>52</v>
      </c>
      <c r="P528" s="32">
        <v>24999.0</v>
      </c>
      <c r="Q528" s="34">
        <v>22499.0</v>
      </c>
      <c r="R528" s="40">
        <v>23699.0</v>
      </c>
      <c r="S528" s="35">
        <v>20999.16</v>
      </c>
      <c r="T528" s="36">
        <v>1.0</v>
      </c>
      <c r="U528" s="36">
        <v>0.0</v>
      </c>
      <c r="V528" s="36">
        <v>0.0</v>
      </c>
      <c r="W528" s="36">
        <v>0.0</v>
      </c>
      <c r="X528" s="36">
        <v>0.0</v>
      </c>
      <c r="Y528" s="36">
        <v>1.0</v>
      </c>
    </row>
    <row r="529">
      <c r="A529" s="32" t="s">
        <v>1859</v>
      </c>
      <c r="B529" s="32" t="s">
        <v>1859</v>
      </c>
      <c r="C529" s="32" t="s">
        <v>1860</v>
      </c>
      <c r="D529" s="32" t="s">
        <v>1861</v>
      </c>
      <c r="E529" s="32" t="s">
        <v>5102</v>
      </c>
      <c r="F529" s="32" t="s">
        <v>1862</v>
      </c>
      <c r="G529" s="32" t="s">
        <v>5140</v>
      </c>
      <c r="H529" s="32" t="s">
        <v>1863</v>
      </c>
      <c r="I529" s="32" t="s">
        <v>5122</v>
      </c>
      <c r="J529" s="32" t="s">
        <v>1864</v>
      </c>
      <c r="K529" s="33" t="s">
        <v>1865</v>
      </c>
      <c r="L529" s="32">
        <v>3.2783939E7</v>
      </c>
      <c r="M529" s="32" t="s">
        <v>1866</v>
      </c>
      <c r="N529" s="32" t="s">
        <v>5109</v>
      </c>
      <c r="O529" s="32" t="s">
        <v>52</v>
      </c>
      <c r="P529" s="32">
        <v>34999.0</v>
      </c>
      <c r="Q529" s="34">
        <v>31499.0</v>
      </c>
      <c r="R529" s="40">
        <v>33199.0</v>
      </c>
      <c r="S529" s="35">
        <v>29399.16</v>
      </c>
      <c r="T529" s="36">
        <v>1.0</v>
      </c>
      <c r="U529" s="36">
        <v>0.0</v>
      </c>
      <c r="V529" s="36">
        <v>0.0</v>
      </c>
      <c r="W529" s="36">
        <v>0.0</v>
      </c>
      <c r="X529" s="36">
        <v>0.0</v>
      </c>
      <c r="Y529" s="36">
        <v>1.0</v>
      </c>
    </row>
    <row r="530">
      <c r="A530" s="32" t="s">
        <v>1915</v>
      </c>
      <c r="B530" s="32" t="s">
        <v>1915</v>
      </c>
      <c r="C530" s="32" t="s">
        <v>1916</v>
      </c>
      <c r="D530" s="32" t="s">
        <v>1917</v>
      </c>
      <c r="E530" s="32" t="s">
        <v>5073</v>
      </c>
      <c r="F530" s="32" t="e">
        <v>#N/A</v>
      </c>
      <c r="G530" s="39"/>
      <c r="H530" s="32">
        <v>0.0</v>
      </c>
      <c r="I530" s="39"/>
      <c r="J530" s="32" t="s">
        <v>1918</v>
      </c>
      <c r="K530" s="33" t="s">
        <v>1919</v>
      </c>
      <c r="L530" s="32" t="e">
        <v>#N/A</v>
      </c>
      <c r="M530" s="32" t="e">
        <v>#N/A</v>
      </c>
      <c r="N530" s="32" t="s">
        <v>5109</v>
      </c>
      <c r="O530" s="32" t="s">
        <v>52</v>
      </c>
      <c r="P530" s="32">
        <v>48799.0</v>
      </c>
      <c r="Q530" s="34">
        <v>43919.0</v>
      </c>
      <c r="R530" s="40">
        <v>46399.0</v>
      </c>
      <c r="S530" s="35">
        <v>40991.16</v>
      </c>
      <c r="T530" s="36">
        <v>0.0</v>
      </c>
      <c r="U530" s="36">
        <v>0.0</v>
      </c>
      <c r="V530" s="36">
        <v>1.0</v>
      </c>
      <c r="W530" s="36">
        <v>0.0</v>
      </c>
      <c r="X530" s="36">
        <v>0.0</v>
      </c>
      <c r="Y530" s="36">
        <v>1.0</v>
      </c>
    </row>
    <row r="531">
      <c r="A531" s="32" t="s">
        <v>1808</v>
      </c>
      <c r="B531" s="32" t="s">
        <v>1808</v>
      </c>
      <c r="C531" s="32" t="s">
        <v>1809</v>
      </c>
      <c r="D531" s="32" t="s">
        <v>1810</v>
      </c>
      <c r="E531" s="32" t="s">
        <v>5102</v>
      </c>
      <c r="F531" s="32" t="e">
        <v>#N/A</v>
      </c>
      <c r="G531" s="39"/>
      <c r="H531" s="32" t="s">
        <v>1811</v>
      </c>
      <c r="I531" s="32" t="s">
        <v>5122</v>
      </c>
      <c r="J531" s="32" t="s">
        <v>1812</v>
      </c>
      <c r="K531" s="33" t="s">
        <v>1813</v>
      </c>
      <c r="L531" s="32">
        <v>3.2784212E7</v>
      </c>
      <c r="M531" s="32" t="s">
        <v>1814</v>
      </c>
      <c r="N531" s="32" t="s">
        <v>5109</v>
      </c>
      <c r="O531" s="32" t="s">
        <v>52</v>
      </c>
      <c r="P531" s="32">
        <v>34999.0</v>
      </c>
      <c r="Q531" s="34">
        <v>31499.0</v>
      </c>
      <c r="R531" s="40">
        <v>33199.0</v>
      </c>
      <c r="S531" s="35">
        <v>29399.16</v>
      </c>
      <c r="T531" s="36">
        <v>1.0</v>
      </c>
      <c r="U531" s="36">
        <v>0.0</v>
      </c>
      <c r="V531" s="36">
        <v>0.0</v>
      </c>
      <c r="W531" s="36">
        <v>0.0</v>
      </c>
      <c r="X531" s="36">
        <v>0.0</v>
      </c>
      <c r="Y531" s="36">
        <v>1.0</v>
      </c>
    </row>
    <row r="532">
      <c r="A532" s="32" t="s">
        <v>1822</v>
      </c>
      <c r="B532" s="32" t="s">
        <v>1822</v>
      </c>
      <c r="C532" s="32" t="s">
        <v>1823</v>
      </c>
      <c r="D532" s="32" t="s">
        <v>1824</v>
      </c>
      <c r="E532" s="32" t="s">
        <v>5102</v>
      </c>
      <c r="F532" s="32" t="e">
        <v>#N/A</v>
      </c>
      <c r="G532" s="39"/>
      <c r="H532" s="32" t="s">
        <v>1825</v>
      </c>
      <c r="I532" s="32" t="s">
        <v>5122</v>
      </c>
      <c r="J532" s="32" t="s">
        <v>1826</v>
      </c>
      <c r="K532" s="33" t="s">
        <v>1827</v>
      </c>
      <c r="L532" s="32">
        <v>3.2784086E7</v>
      </c>
      <c r="M532" s="32" t="s">
        <v>1828</v>
      </c>
      <c r="N532" s="32" t="s">
        <v>5109</v>
      </c>
      <c r="O532" s="32" t="s">
        <v>52</v>
      </c>
      <c r="P532" s="32">
        <v>34999.0</v>
      </c>
      <c r="Q532" s="34">
        <v>31499.0</v>
      </c>
      <c r="R532" s="40">
        <v>33199.0</v>
      </c>
      <c r="S532" s="35">
        <v>29399.16</v>
      </c>
      <c r="T532" s="36">
        <v>0.0</v>
      </c>
      <c r="U532" s="36">
        <v>0.0</v>
      </c>
      <c r="V532" s="36">
        <v>1.0</v>
      </c>
      <c r="W532" s="36">
        <v>0.0</v>
      </c>
      <c r="X532" s="36">
        <v>0.0</v>
      </c>
      <c r="Y532" s="36">
        <v>1.0</v>
      </c>
    </row>
    <row r="533">
      <c r="A533" s="32" t="s">
        <v>1570</v>
      </c>
      <c r="B533" s="32" t="s">
        <v>1570</v>
      </c>
      <c r="C533" s="32" t="s">
        <v>1571</v>
      </c>
      <c r="D533" s="32" t="s">
        <v>1572</v>
      </c>
      <c r="E533" s="32" t="s">
        <v>5102</v>
      </c>
      <c r="F533" s="32" t="e">
        <v>#N/A</v>
      </c>
      <c r="G533" s="39"/>
      <c r="H533" s="32" t="s">
        <v>1570</v>
      </c>
      <c r="I533" s="32" t="s">
        <v>5102</v>
      </c>
      <c r="J533" s="32" t="s">
        <v>1570</v>
      </c>
      <c r="K533" s="33" t="s">
        <v>1573</v>
      </c>
      <c r="L533" s="32">
        <v>3.2783898E7</v>
      </c>
      <c r="M533" s="32" t="s">
        <v>1574</v>
      </c>
      <c r="N533" s="32" t="s">
        <v>5112</v>
      </c>
      <c r="O533" s="32" t="s">
        <v>52</v>
      </c>
      <c r="P533" s="32">
        <v>22999.0</v>
      </c>
      <c r="Q533" s="34">
        <v>20699.0</v>
      </c>
      <c r="R533" s="40">
        <v>21799.0</v>
      </c>
      <c r="S533" s="35">
        <v>17709.23</v>
      </c>
      <c r="T533" s="36">
        <v>1.0</v>
      </c>
      <c r="U533" s="36">
        <v>0.0</v>
      </c>
      <c r="V533" s="36">
        <v>0.0</v>
      </c>
      <c r="W533" s="36">
        <v>0.0</v>
      </c>
      <c r="X533" s="36">
        <v>0.0</v>
      </c>
      <c r="Y533" s="36">
        <v>1.0</v>
      </c>
    </row>
    <row r="534">
      <c r="A534" s="32" t="s">
        <v>1600</v>
      </c>
      <c r="B534" s="32" t="s">
        <v>1600</v>
      </c>
      <c r="C534" s="32" t="s">
        <v>1601</v>
      </c>
      <c r="D534" s="32" t="s">
        <v>1602</v>
      </c>
      <c r="E534" s="32" t="s">
        <v>5102</v>
      </c>
      <c r="F534" s="32" t="e">
        <v>#N/A</v>
      </c>
      <c r="G534" s="39"/>
      <c r="H534" s="32">
        <v>0.0</v>
      </c>
      <c r="I534" s="39"/>
      <c r="J534" s="32" t="s">
        <v>1603</v>
      </c>
      <c r="K534" s="33" t="s">
        <v>1604</v>
      </c>
      <c r="L534" s="32" t="e">
        <v>#N/A</v>
      </c>
      <c r="M534" s="32" t="e">
        <v>#N/A</v>
      </c>
      <c r="N534" s="32" t="s">
        <v>5112</v>
      </c>
      <c r="O534" s="32" t="s">
        <v>52</v>
      </c>
      <c r="P534" s="32">
        <v>25999.0</v>
      </c>
      <c r="Q534" s="34">
        <v>23399.0</v>
      </c>
      <c r="R534" s="40">
        <v>24699.0</v>
      </c>
      <c r="S534" s="35">
        <v>20019.23</v>
      </c>
      <c r="T534" s="36">
        <v>0.0</v>
      </c>
      <c r="U534" s="36">
        <v>0.0</v>
      </c>
      <c r="V534" s="36">
        <v>1.0</v>
      </c>
      <c r="W534" s="36">
        <v>0.0</v>
      </c>
      <c r="X534" s="36">
        <v>0.0</v>
      </c>
      <c r="Y534" s="36">
        <v>1.0</v>
      </c>
    </row>
    <row r="535">
      <c r="A535" s="32" t="s">
        <v>1545</v>
      </c>
      <c r="B535" s="32" t="s">
        <v>1545</v>
      </c>
      <c r="C535" s="32" t="s">
        <v>1546</v>
      </c>
      <c r="D535" s="32" t="s">
        <v>1547</v>
      </c>
      <c r="E535" s="32" t="s">
        <v>5073</v>
      </c>
      <c r="F535" s="32" t="e">
        <v>#N/A</v>
      </c>
      <c r="G535" s="39"/>
      <c r="H535" s="32" t="s">
        <v>1545</v>
      </c>
      <c r="I535" s="32" t="s">
        <v>5073</v>
      </c>
      <c r="J535" s="32" t="s">
        <v>1545</v>
      </c>
      <c r="K535" s="33" t="s">
        <v>1548</v>
      </c>
      <c r="L535" s="32">
        <v>3.2784063E7</v>
      </c>
      <c r="M535" s="32" t="s">
        <v>1549</v>
      </c>
      <c r="N535" s="32" t="s">
        <v>5112</v>
      </c>
      <c r="O535" s="32" t="s">
        <v>52</v>
      </c>
      <c r="P535" s="32">
        <v>16999.0</v>
      </c>
      <c r="Q535" s="34">
        <v>15299.0</v>
      </c>
      <c r="R535" s="40">
        <v>16099.0</v>
      </c>
      <c r="S535" s="35">
        <v>13089.23</v>
      </c>
      <c r="T535" s="36">
        <v>0.0</v>
      </c>
      <c r="U535" s="36">
        <v>0.0</v>
      </c>
      <c r="V535" s="36">
        <v>1.0</v>
      </c>
      <c r="W535" s="36">
        <v>0.0</v>
      </c>
      <c r="X535" s="36">
        <v>0.0</v>
      </c>
      <c r="Y535" s="36">
        <v>1.0</v>
      </c>
    </row>
    <row r="536">
      <c r="A536" s="32" t="s">
        <v>1525</v>
      </c>
      <c r="B536" s="32" t="s">
        <v>1525</v>
      </c>
      <c r="C536" s="32" t="s">
        <v>1526</v>
      </c>
      <c r="D536" s="32" t="s">
        <v>1527</v>
      </c>
      <c r="E536" s="32" t="s">
        <v>5073</v>
      </c>
      <c r="F536" s="32" t="e">
        <v>#N/A</v>
      </c>
      <c r="G536" s="39"/>
      <c r="H536" s="32">
        <v>0.0</v>
      </c>
      <c r="I536" s="39"/>
      <c r="J536" s="32" t="s">
        <v>1528</v>
      </c>
      <c r="K536" s="33" t="s">
        <v>1529</v>
      </c>
      <c r="L536" s="32" t="e">
        <v>#N/A</v>
      </c>
      <c r="M536" s="32" t="e">
        <v>#N/A</v>
      </c>
      <c r="N536" s="32" t="s">
        <v>5112</v>
      </c>
      <c r="O536" s="32" t="s">
        <v>52</v>
      </c>
      <c r="P536" s="32">
        <v>13999.0</v>
      </c>
      <c r="Q536" s="34">
        <v>12599.0</v>
      </c>
      <c r="R536" s="40">
        <v>13299.0</v>
      </c>
      <c r="S536" s="35">
        <v>10779.23</v>
      </c>
      <c r="T536" s="36">
        <v>0.0</v>
      </c>
      <c r="U536" s="36">
        <v>0.0</v>
      </c>
      <c r="V536" s="36">
        <v>1.0</v>
      </c>
      <c r="W536" s="36">
        <v>0.0</v>
      </c>
      <c r="X536" s="36">
        <v>0.0</v>
      </c>
      <c r="Y536" s="36">
        <v>1.0</v>
      </c>
    </row>
    <row r="537">
      <c r="A537" s="32" t="s">
        <v>4359</v>
      </c>
      <c r="B537" s="32" t="s">
        <v>4359</v>
      </c>
      <c r="C537" s="32">
        <v>0.0</v>
      </c>
      <c r="D537" s="32" t="e">
        <v>#N/A</v>
      </c>
      <c r="E537" s="39"/>
      <c r="F537" s="32" t="e">
        <v>#N/A</v>
      </c>
      <c r="G537" s="39"/>
      <c r="H537" s="32" t="e">
        <v>#N/A</v>
      </c>
      <c r="I537" s="39"/>
      <c r="J537" s="32">
        <v>0.0</v>
      </c>
      <c r="K537" s="33" t="e">
        <v>#N/A</v>
      </c>
      <c r="L537" s="32" t="e">
        <v>#N/A</v>
      </c>
      <c r="M537" s="32" t="e">
        <v>#N/A</v>
      </c>
      <c r="N537" s="32" t="e">
        <v>#N/A</v>
      </c>
      <c r="O537" s="32" t="e">
        <v>#N/A</v>
      </c>
      <c r="P537" s="32" t="e">
        <v>#REF!</v>
      </c>
      <c r="Q537" s="32" t="e">
        <v>#N/A</v>
      </c>
      <c r="R537" s="42" t="e">
        <v>#N/A</v>
      </c>
      <c r="S537" s="42" t="e">
        <v>#N/A</v>
      </c>
      <c r="T537" s="36">
        <v>0.0</v>
      </c>
      <c r="U537" s="36">
        <v>0.0</v>
      </c>
      <c r="V537" s="36">
        <v>0.0</v>
      </c>
      <c r="W537" s="36">
        <v>0.0</v>
      </c>
      <c r="X537" s="36">
        <v>0.0</v>
      </c>
      <c r="Y537" s="36">
        <v>0.0</v>
      </c>
    </row>
    <row r="538">
      <c r="A538" s="32" t="s">
        <v>4360</v>
      </c>
      <c r="B538" s="32" t="s">
        <v>4360</v>
      </c>
      <c r="C538" s="32">
        <v>0.0</v>
      </c>
      <c r="D538" s="32" t="e">
        <v>#N/A</v>
      </c>
      <c r="E538" s="39"/>
      <c r="F538" s="32" t="e">
        <v>#N/A</v>
      </c>
      <c r="G538" s="39"/>
      <c r="H538" s="32" t="e">
        <v>#N/A</v>
      </c>
      <c r="I538" s="39"/>
      <c r="J538" s="32">
        <v>0.0</v>
      </c>
      <c r="K538" s="33" t="e">
        <v>#N/A</v>
      </c>
      <c r="L538" s="32" t="e">
        <v>#N/A</v>
      </c>
      <c r="M538" s="32" t="e">
        <v>#N/A</v>
      </c>
      <c r="N538" s="32" t="e">
        <v>#N/A</v>
      </c>
      <c r="O538" s="32" t="e">
        <v>#N/A</v>
      </c>
      <c r="P538" s="32" t="e">
        <v>#REF!</v>
      </c>
      <c r="Q538" s="32" t="e">
        <v>#N/A</v>
      </c>
      <c r="R538" s="42" t="e">
        <v>#N/A</v>
      </c>
      <c r="S538" s="42" t="e">
        <v>#N/A</v>
      </c>
      <c r="T538" s="36">
        <v>0.0</v>
      </c>
      <c r="U538" s="36">
        <v>0.0</v>
      </c>
      <c r="V538" s="36">
        <v>0.0</v>
      </c>
      <c r="W538" s="36">
        <v>0.0</v>
      </c>
      <c r="X538" s="36">
        <v>0.0</v>
      </c>
      <c r="Y538" s="36">
        <v>0.0</v>
      </c>
    </row>
    <row r="539">
      <c r="A539" s="32" t="s">
        <v>4361</v>
      </c>
      <c r="B539" s="32" t="s">
        <v>4361</v>
      </c>
      <c r="C539" s="32">
        <v>0.0</v>
      </c>
      <c r="D539" s="32" t="e">
        <v>#N/A</v>
      </c>
      <c r="E539" s="39"/>
      <c r="F539" s="32" t="e">
        <v>#N/A</v>
      </c>
      <c r="G539" s="39"/>
      <c r="H539" s="32" t="e">
        <v>#N/A</v>
      </c>
      <c r="I539" s="39"/>
      <c r="J539" s="32">
        <v>0.0</v>
      </c>
      <c r="K539" s="33" t="e">
        <v>#N/A</v>
      </c>
      <c r="L539" s="32" t="e">
        <v>#N/A</v>
      </c>
      <c r="M539" s="32" t="e">
        <v>#N/A</v>
      </c>
      <c r="N539" s="32" t="e">
        <v>#N/A</v>
      </c>
      <c r="O539" s="32" t="e">
        <v>#N/A</v>
      </c>
      <c r="P539" s="32" t="e">
        <v>#REF!</v>
      </c>
      <c r="Q539" s="32" t="e">
        <v>#N/A</v>
      </c>
      <c r="R539" s="42" t="e">
        <v>#N/A</v>
      </c>
      <c r="S539" s="42" t="e">
        <v>#N/A</v>
      </c>
      <c r="T539" s="36">
        <v>0.0</v>
      </c>
      <c r="U539" s="36">
        <v>0.0</v>
      </c>
      <c r="V539" s="36">
        <v>0.0</v>
      </c>
      <c r="W539" s="36">
        <v>0.0</v>
      </c>
      <c r="X539" s="36">
        <v>0.0</v>
      </c>
      <c r="Y539" s="36">
        <v>0.0</v>
      </c>
    </row>
    <row r="540">
      <c r="A540" s="32" t="s">
        <v>4362</v>
      </c>
      <c r="B540" s="32" t="s">
        <v>4362</v>
      </c>
      <c r="C540" s="32">
        <v>0.0</v>
      </c>
      <c r="D540" s="32" t="e">
        <v>#N/A</v>
      </c>
      <c r="E540" s="39"/>
      <c r="F540" s="32" t="e">
        <v>#N/A</v>
      </c>
      <c r="G540" s="39"/>
      <c r="H540" s="32" t="e">
        <v>#N/A</v>
      </c>
      <c r="I540" s="39"/>
      <c r="J540" s="32">
        <v>0.0</v>
      </c>
      <c r="K540" s="33" t="e">
        <v>#N/A</v>
      </c>
      <c r="L540" s="32" t="e">
        <v>#N/A</v>
      </c>
      <c r="M540" s="32" t="e">
        <v>#N/A</v>
      </c>
      <c r="N540" s="32" t="e">
        <v>#N/A</v>
      </c>
      <c r="O540" s="32" t="e">
        <v>#N/A</v>
      </c>
      <c r="P540" s="32" t="e">
        <v>#REF!</v>
      </c>
      <c r="Q540" s="32" t="e">
        <v>#N/A</v>
      </c>
      <c r="R540" s="42" t="e">
        <v>#N/A</v>
      </c>
      <c r="S540" s="42" t="e">
        <v>#N/A</v>
      </c>
      <c r="T540" s="36">
        <v>0.0</v>
      </c>
      <c r="U540" s="36">
        <v>0.0</v>
      </c>
      <c r="V540" s="36">
        <v>0.0</v>
      </c>
      <c r="W540" s="36">
        <v>0.0</v>
      </c>
      <c r="X540" s="36">
        <v>0.0</v>
      </c>
      <c r="Y540" s="36">
        <v>0.0</v>
      </c>
    </row>
    <row r="541">
      <c r="A541" s="32" t="s">
        <v>4725</v>
      </c>
      <c r="B541" s="32" t="s">
        <v>4725</v>
      </c>
      <c r="C541" s="32">
        <v>0.0</v>
      </c>
      <c r="D541" s="32" t="e">
        <v>#N/A</v>
      </c>
      <c r="E541" s="39"/>
      <c r="F541" s="32" t="e">
        <v>#N/A</v>
      </c>
      <c r="G541" s="39"/>
      <c r="H541" s="32" t="e">
        <v>#N/A</v>
      </c>
      <c r="I541" s="39"/>
      <c r="J541" s="32">
        <v>0.0</v>
      </c>
      <c r="K541" s="33" t="e">
        <v>#N/A</v>
      </c>
      <c r="L541" s="32" t="e">
        <v>#N/A</v>
      </c>
      <c r="M541" s="32" t="e">
        <v>#N/A</v>
      </c>
      <c r="N541" s="32" t="e">
        <v>#N/A</v>
      </c>
      <c r="O541" s="32" t="e">
        <v>#N/A</v>
      </c>
      <c r="P541" s="32" t="e">
        <v>#REF!</v>
      </c>
      <c r="Q541" s="32" t="e">
        <v>#N/A</v>
      </c>
      <c r="R541" s="42" t="e">
        <v>#N/A</v>
      </c>
      <c r="S541" s="42" t="e">
        <v>#N/A</v>
      </c>
      <c r="T541" s="36">
        <v>0.0</v>
      </c>
      <c r="U541" s="36">
        <v>0.0</v>
      </c>
      <c r="V541" s="36">
        <v>0.0</v>
      </c>
      <c r="W541" s="36">
        <v>0.0</v>
      </c>
      <c r="X541" s="36">
        <v>0.0</v>
      </c>
      <c r="Y541" s="36">
        <v>0.0</v>
      </c>
    </row>
    <row r="542">
      <c r="A542" s="32" t="s">
        <v>4726</v>
      </c>
      <c r="B542" s="32" t="s">
        <v>4726</v>
      </c>
      <c r="C542" s="32">
        <v>0.0</v>
      </c>
      <c r="D542" s="32" t="e">
        <v>#N/A</v>
      </c>
      <c r="E542" s="39"/>
      <c r="F542" s="32" t="e">
        <v>#N/A</v>
      </c>
      <c r="G542" s="39"/>
      <c r="H542" s="32" t="e">
        <v>#N/A</v>
      </c>
      <c r="I542" s="39"/>
      <c r="J542" s="32">
        <v>0.0</v>
      </c>
      <c r="K542" s="33" t="e">
        <v>#N/A</v>
      </c>
      <c r="L542" s="32" t="e">
        <v>#N/A</v>
      </c>
      <c r="M542" s="32" t="e">
        <v>#N/A</v>
      </c>
      <c r="N542" s="32" t="e">
        <v>#N/A</v>
      </c>
      <c r="O542" s="33" t="s">
        <v>4727</v>
      </c>
      <c r="P542" s="32" t="e">
        <v>#REF!</v>
      </c>
      <c r="Q542" s="32" t="e">
        <v>#N/A</v>
      </c>
      <c r="R542" s="42" t="e">
        <v>#N/A</v>
      </c>
      <c r="S542" s="42" t="e">
        <v>#N/A</v>
      </c>
      <c r="T542" s="36">
        <v>0.0</v>
      </c>
      <c r="U542" s="36">
        <v>0.0</v>
      </c>
      <c r="V542" s="36">
        <v>0.0</v>
      </c>
      <c r="W542" s="36">
        <v>0.0</v>
      </c>
      <c r="X542" s="36">
        <v>0.0</v>
      </c>
      <c r="Y542" s="36">
        <v>0.0</v>
      </c>
    </row>
    <row r="543">
      <c r="A543" s="32" t="s">
        <v>1607</v>
      </c>
      <c r="B543" s="32" t="s">
        <v>1607</v>
      </c>
      <c r="C543" s="32">
        <v>0.0</v>
      </c>
      <c r="D543" s="32">
        <v>0.0</v>
      </c>
      <c r="E543" s="39"/>
      <c r="F543" s="32" t="e">
        <v>#N/A</v>
      </c>
      <c r="G543" s="39"/>
      <c r="H543" s="32">
        <v>0.0</v>
      </c>
      <c r="I543" s="39"/>
      <c r="J543" s="32" t="s">
        <v>1610</v>
      </c>
      <c r="K543" s="33" t="s">
        <v>1611</v>
      </c>
      <c r="L543" s="32" t="e">
        <v>#N/A</v>
      </c>
      <c r="M543" s="32" t="e">
        <v>#N/A</v>
      </c>
      <c r="N543" s="32" t="s">
        <v>5112</v>
      </c>
      <c r="O543" s="32" t="s">
        <v>52</v>
      </c>
      <c r="P543" s="32">
        <v>25999.0</v>
      </c>
      <c r="Q543" s="34">
        <v>23399.0</v>
      </c>
      <c r="R543" s="40">
        <v>24699.0</v>
      </c>
      <c r="S543" s="35">
        <v>20019.23</v>
      </c>
      <c r="T543" s="36">
        <v>0.0</v>
      </c>
      <c r="U543" s="36">
        <v>0.0</v>
      </c>
      <c r="V543" s="36">
        <v>0.0</v>
      </c>
      <c r="W543" s="36">
        <v>0.0</v>
      </c>
      <c r="X543" s="36">
        <v>0.0</v>
      </c>
      <c r="Y543" s="36">
        <v>0.0</v>
      </c>
    </row>
    <row r="544">
      <c r="A544" s="32" t="s">
        <v>2383</v>
      </c>
      <c r="B544" s="32" t="s">
        <v>2383</v>
      </c>
      <c r="C544" s="32">
        <v>0.0</v>
      </c>
      <c r="D544" s="32" t="e">
        <v>#N/A</v>
      </c>
      <c r="E544" s="39"/>
      <c r="F544" s="32" t="e">
        <v>#N/A</v>
      </c>
      <c r="G544" s="39"/>
      <c r="H544" s="32" t="e">
        <v>#N/A</v>
      </c>
      <c r="I544" s="39"/>
      <c r="J544" s="32">
        <v>0.0</v>
      </c>
      <c r="K544" s="33" t="e">
        <v>#N/A</v>
      </c>
      <c r="L544" s="32" t="e">
        <v>#N/A</v>
      </c>
      <c r="M544" s="32" t="e">
        <v>#N/A</v>
      </c>
      <c r="N544" s="32" t="e">
        <v>#N/A</v>
      </c>
      <c r="O544" s="32" t="e">
        <v>#N/A</v>
      </c>
      <c r="P544" s="32" t="e">
        <v>#REF!</v>
      </c>
      <c r="Q544" s="32" t="e">
        <v>#N/A</v>
      </c>
      <c r="R544" s="42" t="e">
        <v>#N/A</v>
      </c>
      <c r="S544" s="42" t="e">
        <v>#N/A</v>
      </c>
      <c r="T544" s="36">
        <v>0.0</v>
      </c>
      <c r="U544" s="36">
        <v>0.0</v>
      </c>
      <c r="V544" s="36">
        <v>0.0</v>
      </c>
      <c r="W544" s="36">
        <v>0.0</v>
      </c>
      <c r="X544" s="36">
        <v>0.0</v>
      </c>
      <c r="Y544" s="36">
        <v>0.0</v>
      </c>
    </row>
    <row r="545">
      <c r="A545" s="32" t="s">
        <v>2382</v>
      </c>
      <c r="B545" s="32" t="s">
        <v>2382</v>
      </c>
      <c r="C545" s="32">
        <v>0.0</v>
      </c>
      <c r="D545" s="32" t="e">
        <v>#N/A</v>
      </c>
      <c r="E545" s="39"/>
      <c r="F545" s="32" t="e">
        <v>#N/A</v>
      </c>
      <c r="G545" s="39"/>
      <c r="H545" s="32" t="e">
        <v>#N/A</v>
      </c>
      <c r="I545" s="39"/>
      <c r="J545" s="32">
        <v>0.0</v>
      </c>
      <c r="K545" s="33" t="e">
        <v>#N/A</v>
      </c>
      <c r="L545" s="32" t="e">
        <v>#N/A</v>
      </c>
      <c r="M545" s="32" t="e">
        <v>#N/A</v>
      </c>
      <c r="N545" s="32" t="e">
        <v>#N/A</v>
      </c>
      <c r="O545" s="32" t="e">
        <v>#N/A</v>
      </c>
      <c r="P545" s="32" t="e">
        <v>#REF!</v>
      </c>
      <c r="Q545" s="32" t="e">
        <v>#N/A</v>
      </c>
      <c r="R545" s="42" t="e">
        <v>#N/A</v>
      </c>
      <c r="S545" s="42" t="e">
        <v>#N/A</v>
      </c>
      <c r="T545" s="36">
        <v>0.0</v>
      </c>
      <c r="U545" s="36">
        <v>0.0</v>
      </c>
      <c r="V545" s="36">
        <v>0.0</v>
      </c>
      <c r="W545" s="36">
        <v>0.0</v>
      </c>
      <c r="X545" s="36">
        <v>0.0</v>
      </c>
      <c r="Y545" s="36">
        <v>0.0</v>
      </c>
    </row>
    <row r="546">
      <c r="A546" s="32" t="s">
        <v>2381</v>
      </c>
      <c r="B546" s="32" t="s">
        <v>2381</v>
      </c>
      <c r="C546" s="32">
        <v>0.0</v>
      </c>
      <c r="D546" s="32" t="e">
        <v>#N/A</v>
      </c>
      <c r="E546" s="39"/>
      <c r="F546" s="32" t="e">
        <v>#N/A</v>
      </c>
      <c r="G546" s="39"/>
      <c r="H546" s="32" t="e">
        <v>#N/A</v>
      </c>
      <c r="I546" s="39"/>
      <c r="J546" s="32">
        <v>0.0</v>
      </c>
      <c r="K546" s="33" t="e">
        <v>#N/A</v>
      </c>
      <c r="L546" s="32" t="e">
        <v>#N/A</v>
      </c>
      <c r="M546" s="32" t="e">
        <v>#N/A</v>
      </c>
      <c r="N546" s="32" t="e">
        <v>#N/A</v>
      </c>
      <c r="O546" s="32" t="e">
        <v>#N/A</v>
      </c>
      <c r="P546" s="32" t="e">
        <v>#REF!</v>
      </c>
      <c r="Q546" s="32" t="e">
        <v>#N/A</v>
      </c>
      <c r="R546" s="42" t="e">
        <v>#N/A</v>
      </c>
      <c r="S546" s="42" t="e">
        <v>#N/A</v>
      </c>
      <c r="T546" s="36">
        <v>0.0</v>
      </c>
      <c r="U546" s="36">
        <v>0.0</v>
      </c>
      <c r="V546" s="36">
        <v>0.0</v>
      </c>
      <c r="W546" s="36">
        <v>0.0</v>
      </c>
      <c r="X546" s="36">
        <v>0.0</v>
      </c>
      <c r="Y546" s="36">
        <v>0.0</v>
      </c>
    </row>
    <row r="547">
      <c r="A547" s="32" t="s">
        <v>1196</v>
      </c>
      <c r="B547" s="32" t="s">
        <v>1196</v>
      </c>
      <c r="C547" s="32">
        <v>0.0</v>
      </c>
      <c r="D547" s="32" t="e">
        <v>#N/A</v>
      </c>
      <c r="E547" s="39"/>
      <c r="F547" s="32" t="e">
        <v>#N/A</v>
      </c>
      <c r="G547" s="39"/>
      <c r="H547" s="32" t="e">
        <v>#N/A</v>
      </c>
      <c r="I547" s="39"/>
      <c r="J547" s="32">
        <v>0.0</v>
      </c>
      <c r="K547" s="33" t="e">
        <v>#N/A</v>
      </c>
      <c r="L547" s="32" t="e">
        <v>#N/A</v>
      </c>
      <c r="M547" s="32" t="e">
        <v>#N/A</v>
      </c>
      <c r="N547" s="33" t="s">
        <v>1194</v>
      </c>
      <c r="O547" s="33" t="s">
        <v>1195</v>
      </c>
      <c r="P547" s="32" t="e">
        <v>#REF!</v>
      </c>
      <c r="Q547" s="32" t="e">
        <v>#N/A</v>
      </c>
      <c r="R547" s="42" t="e">
        <v>#N/A</v>
      </c>
      <c r="S547" s="42" t="e">
        <v>#N/A</v>
      </c>
      <c r="T547" s="36">
        <v>0.0</v>
      </c>
      <c r="U547" s="36">
        <v>0.0</v>
      </c>
      <c r="V547" s="36">
        <v>0.0</v>
      </c>
      <c r="W547" s="36">
        <v>0.0</v>
      </c>
      <c r="X547" s="36">
        <v>0.0</v>
      </c>
      <c r="Y547" s="36">
        <v>0.0</v>
      </c>
    </row>
    <row r="548">
      <c r="A548" s="32" t="s">
        <v>1193</v>
      </c>
      <c r="B548" s="32" t="s">
        <v>1193</v>
      </c>
      <c r="C548" s="32">
        <v>0.0</v>
      </c>
      <c r="D548" s="32" t="e">
        <v>#N/A</v>
      </c>
      <c r="E548" s="39"/>
      <c r="F548" s="32" t="e">
        <v>#N/A</v>
      </c>
      <c r="G548" s="39"/>
      <c r="H548" s="32" t="e">
        <v>#N/A</v>
      </c>
      <c r="I548" s="39"/>
      <c r="J548" s="32">
        <v>0.0</v>
      </c>
      <c r="K548" s="33" t="e">
        <v>#N/A</v>
      </c>
      <c r="L548" s="32" t="e">
        <v>#N/A</v>
      </c>
      <c r="M548" s="32" t="e">
        <v>#N/A</v>
      </c>
      <c r="N548" s="33" t="s">
        <v>1194</v>
      </c>
      <c r="O548" s="33" t="s">
        <v>1195</v>
      </c>
      <c r="P548" s="32" t="e">
        <v>#REF!</v>
      </c>
      <c r="Q548" s="32" t="e">
        <v>#N/A</v>
      </c>
      <c r="R548" s="42" t="e">
        <v>#N/A</v>
      </c>
      <c r="S548" s="42" t="e">
        <v>#N/A</v>
      </c>
      <c r="T548" s="36">
        <v>0.0</v>
      </c>
      <c r="U548" s="36">
        <v>0.0</v>
      </c>
      <c r="V548" s="36">
        <v>0.0</v>
      </c>
      <c r="W548" s="36">
        <v>0.0</v>
      </c>
      <c r="X548" s="36">
        <v>0.0</v>
      </c>
      <c r="Y548" s="36">
        <v>0.0</v>
      </c>
    </row>
    <row r="549">
      <c r="A549" s="32" t="s">
        <v>1197</v>
      </c>
      <c r="B549" s="32" t="s">
        <v>1197</v>
      </c>
      <c r="C549" s="32">
        <v>0.0</v>
      </c>
      <c r="D549" s="32" t="e">
        <v>#N/A</v>
      </c>
      <c r="E549" s="39"/>
      <c r="F549" s="32" t="e">
        <v>#N/A</v>
      </c>
      <c r="G549" s="39"/>
      <c r="H549" s="32" t="e">
        <v>#N/A</v>
      </c>
      <c r="I549" s="39"/>
      <c r="J549" s="32">
        <v>0.0</v>
      </c>
      <c r="K549" s="33" t="e">
        <v>#N/A</v>
      </c>
      <c r="L549" s="32" t="e">
        <v>#N/A</v>
      </c>
      <c r="M549" s="32" t="e">
        <v>#N/A</v>
      </c>
      <c r="N549" s="33" t="s">
        <v>1194</v>
      </c>
      <c r="O549" s="33" t="s">
        <v>1195</v>
      </c>
      <c r="P549" s="32" t="e">
        <v>#REF!</v>
      </c>
      <c r="Q549" s="32" t="e">
        <v>#N/A</v>
      </c>
      <c r="R549" s="42" t="e">
        <v>#N/A</v>
      </c>
      <c r="S549" s="42" t="e">
        <v>#N/A</v>
      </c>
      <c r="T549" s="36">
        <v>0.0</v>
      </c>
      <c r="U549" s="36">
        <v>0.0</v>
      </c>
      <c r="V549" s="36">
        <v>0.0</v>
      </c>
      <c r="W549" s="36">
        <v>0.0</v>
      </c>
      <c r="X549" s="36">
        <v>0.0</v>
      </c>
      <c r="Y549" s="36">
        <v>0.0</v>
      </c>
    </row>
    <row r="550">
      <c r="A550" s="32" t="s">
        <v>1199</v>
      </c>
      <c r="B550" s="32" t="s">
        <v>1199</v>
      </c>
      <c r="C550" s="32">
        <v>0.0</v>
      </c>
      <c r="D550" s="32" t="e">
        <v>#N/A</v>
      </c>
      <c r="E550" s="39"/>
      <c r="F550" s="32" t="e">
        <v>#N/A</v>
      </c>
      <c r="G550" s="39"/>
      <c r="H550" s="32" t="e">
        <v>#N/A</v>
      </c>
      <c r="I550" s="39"/>
      <c r="J550" s="32">
        <v>0.0</v>
      </c>
      <c r="K550" s="33" t="e">
        <v>#N/A</v>
      </c>
      <c r="L550" s="32" t="e">
        <v>#N/A</v>
      </c>
      <c r="M550" s="32" t="e">
        <v>#N/A</v>
      </c>
      <c r="N550" s="33" t="s">
        <v>1194</v>
      </c>
      <c r="O550" s="33" t="s">
        <v>1195</v>
      </c>
      <c r="P550" s="32" t="e">
        <v>#REF!</v>
      </c>
      <c r="Q550" s="32" t="e">
        <v>#N/A</v>
      </c>
      <c r="R550" s="42" t="e">
        <v>#N/A</v>
      </c>
      <c r="S550" s="42" t="e">
        <v>#N/A</v>
      </c>
      <c r="T550" s="36">
        <v>0.0</v>
      </c>
      <c r="U550" s="36">
        <v>0.0</v>
      </c>
      <c r="V550" s="36">
        <v>0.0</v>
      </c>
      <c r="W550" s="36">
        <v>0.0</v>
      </c>
      <c r="X550" s="36">
        <v>0.0</v>
      </c>
      <c r="Y550" s="36">
        <v>0.0</v>
      </c>
    </row>
    <row r="551">
      <c r="A551" s="32" t="s">
        <v>1198</v>
      </c>
      <c r="B551" s="32" t="s">
        <v>1198</v>
      </c>
      <c r="C551" s="32">
        <v>0.0</v>
      </c>
      <c r="D551" s="32" t="e">
        <v>#N/A</v>
      </c>
      <c r="E551" s="39"/>
      <c r="F551" s="32" t="e">
        <v>#N/A</v>
      </c>
      <c r="G551" s="39"/>
      <c r="H551" s="32" t="e">
        <v>#N/A</v>
      </c>
      <c r="I551" s="39"/>
      <c r="J551" s="32">
        <v>0.0</v>
      </c>
      <c r="K551" s="33" t="e">
        <v>#N/A</v>
      </c>
      <c r="L551" s="32" t="e">
        <v>#N/A</v>
      </c>
      <c r="M551" s="32" t="e">
        <v>#N/A</v>
      </c>
      <c r="N551" s="33" t="s">
        <v>1194</v>
      </c>
      <c r="O551" s="33" t="s">
        <v>1195</v>
      </c>
      <c r="P551" s="32" t="e">
        <v>#REF!</v>
      </c>
      <c r="Q551" s="32" t="e">
        <v>#N/A</v>
      </c>
      <c r="R551" s="42" t="e">
        <v>#N/A</v>
      </c>
      <c r="S551" s="42" t="e">
        <v>#N/A</v>
      </c>
      <c r="T551" s="36">
        <v>0.0</v>
      </c>
      <c r="U551" s="36">
        <v>0.0</v>
      </c>
      <c r="V551" s="36">
        <v>0.0</v>
      </c>
      <c r="W551" s="36">
        <v>0.0</v>
      </c>
      <c r="X551" s="36">
        <v>0.0</v>
      </c>
      <c r="Y551" s="36">
        <v>0.0</v>
      </c>
    </row>
    <row r="552">
      <c r="A552" s="32" t="s">
        <v>1200</v>
      </c>
      <c r="B552" s="32" t="s">
        <v>1200</v>
      </c>
      <c r="C552" s="32">
        <v>0.0</v>
      </c>
      <c r="D552" s="32" t="e">
        <v>#N/A</v>
      </c>
      <c r="E552" s="39"/>
      <c r="F552" s="32" t="e">
        <v>#N/A</v>
      </c>
      <c r="G552" s="39"/>
      <c r="H552" s="32" t="e">
        <v>#N/A</v>
      </c>
      <c r="I552" s="39"/>
      <c r="J552" s="32">
        <v>0.0</v>
      </c>
      <c r="K552" s="33" t="e">
        <v>#N/A</v>
      </c>
      <c r="L552" s="32" t="e">
        <v>#N/A</v>
      </c>
      <c r="M552" s="32" t="e">
        <v>#N/A</v>
      </c>
      <c r="N552" s="33" t="s">
        <v>1194</v>
      </c>
      <c r="O552" s="33" t="s">
        <v>1195</v>
      </c>
      <c r="P552" s="32" t="e">
        <v>#REF!</v>
      </c>
      <c r="Q552" s="32" t="e">
        <v>#N/A</v>
      </c>
      <c r="R552" s="42" t="e">
        <v>#N/A</v>
      </c>
      <c r="S552" s="42" t="e">
        <v>#N/A</v>
      </c>
      <c r="T552" s="36">
        <v>0.0</v>
      </c>
      <c r="U552" s="36">
        <v>0.0</v>
      </c>
      <c r="V552" s="36">
        <v>0.0</v>
      </c>
      <c r="W552" s="36">
        <v>0.0</v>
      </c>
      <c r="X552" s="36">
        <v>0.0</v>
      </c>
      <c r="Y552" s="36">
        <v>0.0</v>
      </c>
    </row>
    <row r="553">
      <c r="A553" s="32" t="s">
        <v>2634</v>
      </c>
      <c r="B553" s="32" t="s">
        <v>2634</v>
      </c>
      <c r="C553" s="32">
        <v>0.0</v>
      </c>
      <c r="D553" s="32" t="e">
        <v>#N/A</v>
      </c>
      <c r="E553" s="39"/>
      <c r="F553" s="32" t="e">
        <v>#N/A</v>
      </c>
      <c r="G553" s="39"/>
      <c r="H553" s="32" t="e">
        <v>#N/A</v>
      </c>
      <c r="I553" s="39"/>
      <c r="J553" s="32">
        <v>0.0</v>
      </c>
      <c r="K553" s="33" t="e">
        <v>#N/A</v>
      </c>
      <c r="L553" s="32" t="e">
        <v>#N/A</v>
      </c>
      <c r="M553" s="32" t="e">
        <v>#N/A</v>
      </c>
      <c r="N553" s="32" t="e">
        <v>#N/A</v>
      </c>
      <c r="O553" s="32" t="e">
        <v>#N/A</v>
      </c>
      <c r="P553" s="32" t="e">
        <v>#REF!</v>
      </c>
      <c r="Q553" s="32" t="e">
        <v>#N/A</v>
      </c>
      <c r="R553" s="42" t="e">
        <v>#N/A</v>
      </c>
      <c r="S553" s="42" t="e">
        <v>#N/A</v>
      </c>
      <c r="T553" s="36">
        <v>0.0</v>
      </c>
      <c r="U553" s="36">
        <v>0.0</v>
      </c>
      <c r="V553" s="36">
        <v>0.0</v>
      </c>
      <c r="W553" s="36">
        <v>0.0</v>
      </c>
      <c r="X553" s="36">
        <v>0.0</v>
      </c>
      <c r="Y553" s="36">
        <v>0.0</v>
      </c>
    </row>
    <row r="554">
      <c r="A554" s="32" t="s">
        <v>2635</v>
      </c>
      <c r="B554" s="32" t="s">
        <v>2635</v>
      </c>
      <c r="C554" s="32">
        <v>0.0</v>
      </c>
      <c r="D554" s="32" t="e">
        <v>#N/A</v>
      </c>
      <c r="E554" s="39"/>
      <c r="F554" s="32" t="e">
        <v>#N/A</v>
      </c>
      <c r="G554" s="39"/>
      <c r="H554" s="32" t="e">
        <v>#N/A</v>
      </c>
      <c r="I554" s="39"/>
      <c r="J554" s="32">
        <v>0.0</v>
      </c>
      <c r="K554" s="33" t="e">
        <v>#N/A</v>
      </c>
      <c r="L554" s="32" t="e">
        <v>#N/A</v>
      </c>
      <c r="M554" s="32" t="e">
        <v>#N/A</v>
      </c>
      <c r="N554" s="32" t="e">
        <v>#N/A</v>
      </c>
      <c r="O554" s="32" t="e">
        <v>#N/A</v>
      </c>
      <c r="P554" s="32" t="e">
        <v>#REF!</v>
      </c>
      <c r="Q554" s="32" t="e">
        <v>#N/A</v>
      </c>
      <c r="R554" s="42" t="e">
        <v>#N/A</v>
      </c>
      <c r="S554" s="42" t="e">
        <v>#N/A</v>
      </c>
      <c r="T554" s="36">
        <v>0.0</v>
      </c>
      <c r="U554" s="36">
        <v>0.0</v>
      </c>
      <c r="V554" s="36">
        <v>0.0</v>
      </c>
      <c r="W554" s="36">
        <v>0.0</v>
      </c>
      <c r="X554" s="36">
        <v>0.0</v>
      </c>
      <c r="Y554" s="36">
        <v>0.0</v>
      </c>
    </row>
    <row r="555">
      <c r="A555" s="32" t="s">
        <v>2636</v>
      </c>
      <c r="B555" s="32" t="s">
        <v>2636</v>
      </c>
      <c r="C555" s="32">
        <v>0.0</v>
      </c>
      <c r="D555" s="32" t="e">
        <v>#N/A</v>
      </c>
      <c r="E555" s="39"/>
      <c r="F555" s="32" t="e">
        <v>#N/A</v>
      </c>
      <c r="G555" s="39"/>
      <c r="H555" s="32" t="e">
        <v>#N/A</v>
      </c>
      <c r="I555" s="39"/>
      <c r="J555" s="32">
        <v>0.0</v>
      </c>
      <c r="K555" s="33" t="e">
        <v>#N/A</v>
      </c>
      <c r="L555" s="32" t="e">
        <v>#N/A</v>
      </c>
      <c r="M555" s="32" t="e">
        <v>#N/A</v>
      </c>
      <c r="N555" s="32" t="e">
        <v>#N/A</v>
      </c>
      <c r="O555" s="32" t="e">
        <v>#N/A</v>
      </c>
      <c r="P555" s="32" t="e">
        <v>#REF!</v>
      </c>
      <c r="Q555" s="32" t="e">
        <v>#N/A</v>
      </c>
      <c r="R555" s="42" t="e">
        <v>#N/A</v>
      </c>
      <c r="S555" s="42" t="e">
        <v>#N/A</v>
      </c>
      <c r="T555" s="36">
        <v>0.0</v>
      </c>
      <c r="U555" s="36">
        <v>0.0</v>
      </c>
      <c r="V555" s="36">
        <v>0.0</v>
      </c>
      <c r="W555" s="36">
        <v>0.0</v>
      </c>
      <c r="X555" s="36">
        <v>0.0</v>
      </c>
      <c r="Y555" s="36">
        <v>0.0</v>
      </c>
    </row>
    <row r="556">
      <c r="A556" s="32" t="s">
        <v>2637</v>
      </c>
      <c r="B556" s="32" t="s">
        <v>2637</v>
      </c>
      <c r="C556" s="32">
        <v>0.0</v>
      </c>
      <c r="D556" s="32" t="e">
        <v>#N/A</v>
      </c>
      <c r="E556" s="39"/>
      <c r="F556" s="32" t="e">
        <v>#N/A</v>
      </c>
      <c r="G556" s="39"/>
      <c r="H556" s="32" t="e">
        <v>#N/A</v>
      </c>
      <c r="I556" s="39"/>
      <c r="J556" s="32">
        <v>0.0</v>
      </c>
      <c r="K556" s="33" t="e">
        <v>#N/A</v>
      </c>
      <c r="L556" s="32" t="e">
        <v>#N/A</v>
      </c>
      <c r="M556" s="32" t="e">
        <v>#N/A</v>
      </c>
      <c r="N556" s="32" t="e">
        <v>#N/A</v>
      </c>
      <c r="O556" s="32" t="e">
        <v>#N/A</v>
      </c>
      <c r="P556" s="32" t="e">
        <v>#REF!</v>
      </c>
      <c r="Q556" s="32" t="e">
        <v>#N/A</v>
      </c>
      <c r="R556" s="42" t="e">
        <v>#N/A</v>
      </c>
      <c r="S556" s="42" t="e">
        <v>#N/A</v>
      </c>
      <c r="T556" s="36">
        <v>0.0</v>
      </c>
      <c r="U556" s="36">
        <v>0.0</v>
      </c>
      <c r="V556" s="36">
        <v>0.0</v>
      </c>
      <c r="W556" s="36">
        <v>0.0</v>
      </c>
      <c r="X556" s="36">
        <v>0.0</v>
      </c>
      <c r="Y556" s="36">
        <v>0.0</v>
      </c>
    </row>
    <row r="557">
      <c r="A557" s="32" t="s">
        <v>1927</v>
      </c>
      <c r="B557" s="32" t="s">
        <v>1927</v>
      </c>
      <c r="C557" s="32">
        <v>0.0</v>
      </c>
      <c r="D557" s="32" t="e">
        <v>#N/A</v>
      </c>
      <c r="E557" s="39"/>
      <c r="F557" s="32" t="e">
        <v>#N/A</v>
      </c>
      <c r="G557" s="39"/>
      <c r="H557" s="32" t="e">
        <v>#N/A</v>
      </c>
      <c r="I557" s="39"/>
      <c r="J557" s="32">
        <v>0.0</v>
      </c>
      <c r="K557" s="33" t="e">
        <v>#N/A</v>
      </c>
      <c r="L557" s="32" t="e">
        <v>#N/A</v>
      </c>
      <c r="M557" s="32" t="e">
        <v>#N/A</v>
      </c>
      <c r="N557" s="33" t="s">
        <v>1921</v>
      </c>
      <c r="O557" s="33" t="s">
        <v>52</v>
      </c>
      <c r="P557" s="32" t="e">
        <v>#REF!</v>
      </c>
      <c r="Q557" s="32" t="e">
        <v>#N/A</v>
      </c>
      <c r="R557" s="42" t="e">
        <v>#N/A</v>
      </c>
      <c r="S557" s="42" t="e">
        <v>#N/A</v>
      </c>
      <c r="T557" s="36">
        <v>0.0</v>
      </c>
      <c r="U557" s="36">
        <v>0.0</v>
      </c>
      <c r="V557" s="36">
        <v>0.0</v>
      </c>
      <c r="W557" s="36">
        <v>0.0</v>
      </c>
      <c r="X557" s="36">
        <v>0.0</v>
      </c>
      <c r="Y557" s="36">
        <v>0.0</v>
      </c>
    </row>
    <row r="558">
      <c r="A558" s="32" t="s">
        <v>1933</v>
      </c>
      <c r="B558" s="32" t="s">
        <v>1933</v>
      </c>
      <c r="C558" s="32">
        <v>0.0</v>
      </c>
      <c r="D558" s="32" t="e">
        <v>#N/A</v>
      </c>
      <c r="E558" s="39"/>
      <c r="F558" s="32" t="e">
        <v>#N/A</v>
      </c>
      <c r="G558" s="39"/>
      <c r="H558" s="32" t="e">
        <v>#N/A</v>
      </c>
      <c r="I558" s="39"/>
      <c r="J558" s="32">
        <v>0.0</v>
      </c>
      <c r="K558" s="33" t="e">
        <v>#N/A</v>
      </c>
      <c r="L558" s="32" t="e">
        <v>#N/A</v>
      </c>
      <c r="M558" s="32" t="e">
        <v>#N/A</v>
      </c>
      <c r="N558" s="33" t="s">
        <v>1921</v>
      </c>
      <c r="O558" s="33" t="s">
        <v>52</v>
      </c>
      <c r="P558" s="32" t="e">
        <v>#REF!</v>
      </c>
      <c r="Q558" s="32" t="e">
        <v>#N/A</v>
      </c>
      <c r="R558" s="42" t="e">
        <v>#N/A</v>
      </c>
      <c r="S558" s="42" t="e">
        <v>#N/A</v>
      </c>
      <c r="T558" s="36">
        <v>0.0</v>
      </c>
      <c r="U558" s="36">
        <v>0.0</v>
      </c>
      <c r="V558" s="36">
        <v>0.0</v>
      </c>
      <c r="W558" s="36">
        <v>0.0</v>
      </c>
      <c r="X558" s="36">
        <v>0.0</v>
      </c>
      <c r="Y558" s="36">
        <v>0.0</v>
      </c>
    </row>
    <row r="559">
      <c r="A559" s="32" t="s">
        <v>1935</v>
      </c>
      <c r="B559" s="32" t="s">
        <v>1935</v>
      </c>
      <c r="C559" s="32">
        <v>0.0</v>
      </c>
      <c r="D559" s="32" t="e">
        <v>#N/A</v>
      </c>
      <c r="E559" s="39"/>
      <c r="F559" s="32" t="e">
        <v>#N/A</v>
      </c>
      <c r="G559" s="39"/>
      <c r="H559" s="32" t="e">
        <v>#N/A</v>
      </c>
      <c r="I559" s="39"/>
      <c r="J559" s="32">
        <v>0.0</v>
      </c>
      <c r="K559" s="33" t="e">
        <v>#N/A</v>
      </c>
      <c r="L559" s="32" t="e">
        <v>#N/A</v>
      </c>
      <c r="M559" s="32" t="e">
        <v>#N/A</v>
      </c>
      <c r="N559" s="33" t="s">
        <v>1921</v>
      </c>
      <c r="O559" s="33" t="s">
        <v>52</v>
      </c>
      <c r="P559" s="32" t="e">
        <v>#REF!</v>
      </c>
      <c r="Q559" s="32" t="e">
        <v>#N/A</v>
      </c>
      <c r="R559" s="42" t="e">
        <v>#N/A</v>
      </c>
      <c r="S559" s="42" t="e">
        <v>#N/A</v>
      </c>
      <c r="T559" s="36">
        <v>0.0</v>
      </c>
      <c r="U559" s="36">
        <v>0.0</v>
      </c>
      <c r="V559" s="36">
        <v>0.0</v>
      </c>
      <c r="W559" s="36">
        <v>0.0</v>
      </c>
      <c r="X559" s="36">
        <v>0.0</v>
      </c>
      <c r="Y559" s="36">
        <v>0.0</v>
      </c>
    </row>
    <row r="560">
      <c r="A560" s="32" t="s">
        <v>1939</v>
      </c>
      <c r="B560" s="32" t="s">
        <v>1939</v>
      </c>
      <c r="C560" s="32">
        <v>0.0</v>
      </c>
      <c r="D560" s="32" t="e">
        <v>#N/A</v>
      </c>
      <c r="E560" s="39"/>
      <c r="F560" s="32" t="e">
        <v>#N/A</v>
      </c>
      <c r="G560" s="39"/>
      <c r="H560" s="32" t="e">
        <v>#N/A</v>
      </c>
      <c r="I560" s="39"/>
      <c r="J560" s="32">
        <v>0.0</v>
      </c>
      <c r="K560" s="33" t="e">
        <v>#N/A</v>
      </c>
      <c r="L560" s="32" t="e">
        <v>#N/A</v>
      </c>
      <c r="M560" s="32" t="e">
        <v>#N/A</v>
      </c>
      <c r="N560" s="33" t="s">
        <v>1921</v>
      </c>
      <c r="O560" s="33" t="s">
        <v>52</v>
      </c>
      <c r="P560" s="32" t="e">
        <v>#REF!</v>
      </c>
      <c r="Q560" s="32" t="e">
        <v>#N/A</v>
      </c>
      <c r="R560" s="42" t="e">
        <v>#N/A</v>
      </c>
      <c r="S560" s="42" t="e">
        <v>#N/A</v>
      </c>
      <c r="T560" s="36">
        <v>0.0</v>
      </c>
      <c r="U560" s="36">
        <v>0.0</v>
      </c>
      <c r="V560" s="36">
        <v>0.0</v>
      </c>
      <c r="W560" s="36">
        <v>0.0</v>
      </c>
      <c r="X560" s="36">
        <v>0.0</v>
      </c>
      <c r="Y560" s="36">
        <v>0.0</v>
      </c>
    </row>
    <row r="561">
      <c r="A561" s="32" t="s">
        <v>1928</v>
      </c>
      <c r="B561" s="32" t="s">
        <v>1928</v>
      </c>
      <c r="C561" s="32">
        <v>0.0</v>
      </c>
      <c r="D561" s="32" t="e">
        <v>#N/A</v>
      </c>
      <c r="E561" s="39"/>
      <c r="F561" s="32" t="e">
        <v>#N/A</v>
      </c>
      <c r="G561" s="39"/>
      <c r="H561" s="32" t="e">
        <v>#N/A</v>
      </c>
      <c r="I561" s="39"/>
      <c r="J561" s="32">
        <v>0.0</v>
      </c>
      <c r="K561" s="33" t="e">
        <v>#N/A</v>
      </c>
      <c r="L561" s="32" t="e">
        <v>#N/A</v>
      </c>
      <c r="M561" s="32" t="e">
        <v>#N/A</v>
      </c>
      <c r="N561" s="33" t="s">
        <v>1921</v>
      </c>
      <c r="O561" s="33" t="s">
        <v>52</v>
      </c>
      <c r="P561" s="32" t="e">
        <v>#REF!</v>
      </c>
      <c r="Q561" s="32" t="e">
        <v>#N/A</v>
      </c>
      <c r="R561" s="42" t="e">
        <v>#N/A</v>
      </c>
      <c r="S561" s="42" t="e">
        <v>#N/A</v>
      </c>
      <c r="T561" s="36">
        <v>0.0</v>
      </c>
      <c r="U561" s="36">
        <v>0.0</v>
      </c>
      <c r="V561" s="36">
        <v>0.0</v>
      </c>
      <c r="W561" s="36">
        <v>0.0</v>
      </c>
      <c r="X561" s="36">
        <v>0.0</v>
      </c>
      <c r="Y561" s="36">
        <v>0.0</v>
      </c>
    </row>
    <row r="562">
      <c r="A562" s="32" t="s">
        <v>1936</v>
      </c>
      <c r="B562" s="32" t="s">
        <v>1936</v>
      </c>
      <c r="C562" s="32">
        <v>0.0</v>
      </c>
      <c r="D562" s="32" t="e">
        <v>#N/A</v>
      </c>
      <c r="E562" s="39"/>
      <c r="F562" s="32" t="e">
        <v>#N/A</v>
      </c>
      <c r="G562" s="39"/>
      <c r="H562" s="32" t="e">
        <v>#N/A</v>
      </c>
      <c r="I562" s="39"/>
      <c r="J562" s="32">
        <v>0.0</v>
      </c>
      <c r="K562" s="33" t="e">
        <v>#N/A</v>
      </c>
      <c r="L562" s="32" t="e">
        <v>#N/A</v>
      </c>
      <c r="M562" s="32" t="e">
        <v>#N/A</v>
      </c>
      <c r="N562" s="33" t="s">
        <v>1921</v>
      </c>
      <c r="O562" s="33" t="s">
        <v>52</v>
      </c>
      <c r="P562" s="32" t="e">
        <v>#REF!</v>
      </c>
      <c r="Q562" s="32" t="e">
        <v>#N/A</v>
      </c>
      <c r="R562" s="42" t="e">
        <v>#N/A</v>
      </c>
      <c r="S562" s="42" t="e">
        <v>#N/A</v>
      </c>
      <c r="T562" s="36">
        <v>0.0</v>
      </c>
      <c r="U562" s="36">
        <v>0.0</v>
      </c>
      <c r="V562" s="36">
        <v>0.0</v>
      </c>
      <c r="W562" s="36">
        <v>0.0</v>
      </c>
      <c r="X562" s="36">
        <v>0.0</v>
      </c>
      <c r="Y562" s="36">
        <v>0.0</v>
      </c>
    </row>
    <row r="563">
      <c r="A563" s="32" t="s">
        <v>1929</v>
      </c>
      <c r="B563" s="32" t="s">
        <v>1929</v>
      </c>
      <c r="C563" s="32">
        <v>0.0</v>
      </c>
      <c r="D563" s="32" t="e">
        <v>#N/A</v>
      </c>
      <c r="E563" s="39"/>
      <c r="F563" s="32" t="e">
        <v>#N/A</v>
      </c>
      <c r="G563" s="39"/>
      <c r="H563" s="32" t="e">
        <v>#N/A</v>
      </c>
      <c r="I563" s="39"/>
      <c r="J563" s="32">
        <v>0.0</v>
      </c>
      <c r="K563" s="33" t="e">
        <v>#N/A</v>
      </c>
      <c r="L563" s="32" t="e">
        <v>#N/A</v>
      </c>
      <c r="M563" s="32" t="e">
        <v>#N/A</v>
      </c>
      <c r="N563" s="33" t="s">
        <v>1921</v>
      </c>
      <c r="O563" s="33" t="s">
        <v>52</v>
      </c>
      <c r="P563" s="32" t="e">
        <v>#REF!</v>
      </c>
      <c r="Q563" s="32" t="e">
        <v>#N/A</v>
      </c>
      <c r="R563" s="42" t="e">
        <v>#N/A</v>
      </c>
      <c r="S563" s="42" t="e">
        <v>#N/A</v>
      </c>
      <c r="T563" s="36">
        <v>0.0</v>
      </c>
      <c r="U563" s="36">
        <v>0.0</v>
      </c>
      <c r="V563" s="36">
        <v>0.0</v>
      </c>
      <c r="W563" s="36">
        <v>0.0</v>
      </c>
      <c r="X563" s="36">
        <v>0.0</v>
      </c>
      <c r="Y563" s="36">
        <v>0.0</v>
      </c>
    </row>
    <row r="564">
      <c r="A564" s="32" t="s">
        <v>1937</v>
      </c>
      <c r="B564" s="32" t="s">
        <v>1937</v>
      </c>
      <c r="C564" s="32">
        <v>0.0</v>
      </c>
      <c r="D564" s="32" t="e">
        <v>#N/A</v>
      </c>
      <c r="E564" s="39"/>
      <c r="F564" s="32" t="e">
        <v>#N/A</v>
      </c>
      <c r="G564" s="39"/>
      <c r="H564" s="32" t="e">
        <v>#N/A</v>
      </c>
      <c r="I564" s="39"/>
      <c r="J564" s="32">
        <v>0.0</v>
      </c>
      <c r="K564" s="33" t="e">
        <v>#N/A</v>
      </c>
      <c r="L564" s="32" t="e">
        <v>#N/A</v>
      </c>
      <c r="M564" s="32" t="e">
        <v>#N/A</v>
      </c>
      <c r="N564" s="33" t="s">
        <v>1921</v>
      </c>
      <c r="O564" s="33" t="s">
        <v>52</v>
      </c>
      <c r="P564" s="32" t="e">
        <v>#REF!</v>
      </c>
      <c r="Q564" s="32" t="e">
        <v>#N/A</v>
      </c>
      <c r="R564" s="42" t="e">
        <v>#N/A</v>
      </c>
      <c r="S564" s="42" t="e">
        <v>#N/A</v>
      </c>
      <c r="T564" s="36">
        <v>0.0</v>
      </c>
      <c r="U564" s="36">
        <v>0.0</v>
      </c>
      <c r="V564" s="36">
        <v>0.0</v>
      </c>
      <c r="W564" s="36">
        <v>0.0</v>
      </c>
      <c r="X564" s="36">
        <v>0.0</v>
      </c>
      <c r="Y564" s="36">
        <v>0.0</v>
      </c>
    </row>
    <row r="565">
      <c r="A565" s="32" t="s">
        <v>1934</v>
      </c>
      <c r="B565" s="32" t="s">
        <v>1934</v>
      </c>
      <c r="C565" s="32">
        <v>0.0</v>
      </c>
      <c r="D565" s="32" t="e">
        <v>#N/A</v>
      </c>
      <c r="E565" s="39"/>
      <c r="F565" s="32" t="e">
        <v>#N/A</v>
      </c>
      <c r="G565" s="39"/>
      <c r="H565" s="32" t="e">
        <v>#N/A</v>
      </c>
      <c r="I565" s="39"/>
      <c r="J565" s="32">
        <v>0.0</v>
      </c>
      <c r="K565" s="33" t="e">
        <v>#N/A</v>
      </c>
      <c r="L565" s="32" t="e">
        <v>#N/A</v>
      </c>
      <c r="M565" s="32" t="e">
        <v>#N/A</v>
      </c>
      <c r="N565" s="33" t="s">
        <v>1921</v>
      </c>
      <c r="O565" s="33" t="s">
        <v>52</v>
      </c>
      <c r="P565" s="32" t="e">
        <v>#REF!</v>
      </c>
      <c r="Q565" s="32" t="e">
        <v>#N/A</v>
      </c>
      <c r="R565" s="42" t="e">
        <v>#N/A</v>
      </c>
      <c r="S565" s="42" t="e">
        <v>#N/A</v>
      </c>
      <c r="T565" s="36">
        <v>0.0</v>
      </c>
      <c r="U565" s="36">
        <v>0.0</v>
      </c>
      <c r="V565" s="36">
        <v>0.0</v>
      </c>
      <c r="W565" s="36">
        <v>0.0</v>
      </c>
      <c r="X565" s="36">
        <v>0.0</v>
      </c>
      <c r="Y565" s="36">
        <v>0.0</v>
      </c>
    </row>
    <row r="566">
      <c r="A566" s="32" t="s">
        <v>1938</v>
      </c>
      <c r="B566" s="32" t="s">
        <v>1938</v>
      </c>
      <c r="C566" s="32">
        <v>0.0</v>
      </c>
      <c r="D566" s="32" t="e">
        <v>#N/A</v>
      </c>
      <c r="E566" s="39"/>
      <c r="F566" s="32" t="e">
        <v>#N/A</v>
      </c>
      <c r="G566" s="39"/>
      <c r="H566" s="32" t="e">
        <v>#N/A</v>
      </c>
      <c r="I566" s="39"/>
      <c r="J566" s="32">
        <v>0.0</v>
      </c>
      <c r="K566" s="33" t="e">
        <v>#N/A</v>
      </c>
      <c r="L566" s="32" t="e">
        <v>#N/A</v>
      </c>
      <c r="M566" s="32" t="e">
        <v>#N/A</v>
      </c>
      <c r="N566" s="33" t="s">
        <v>1921</v>
      </c>
      <c r="O566" s="33" t="s">
        <v>52</v>
      </c>
      <c r="P566" s="32" t="e">
        <v>#REF!</v>
      </c>
      <c r="Q566" s="32" t="e">
        <v>#N/A</v>
      </c>
      <c r="R566" s="42" t="e">
        <v>#N/A</v>
      </c>
      <c r="S566" s="42" t="e">
        <v>#N/A</v>
      </c>
      <c r="T566" s="36">
        <v>0.0</v>
      </c>
      <c r="U566" s="36">
        <v>0.0</v>
      </c>
      <c r="V566" s="36">
        <v>0.0</v>
      </c>
      <c r="W566" s="36">
        <v>0.0</v>
      </c>
      <c r="X566" s="36">
        <v>0.0</v>
      </c>
      <c r="Y566" s="36">
        <v>0.0</v>
      </c>
    </row>
    <row r="567">
      <c r="A567" s="32" t="s">
        <v>1955</v>
      </c>
      <c r="B567" s="32" t="s">
        <v>1955</v>
      </c>
      <c r="C567" s="32">
        <v>0.0</v>
      </c>
      <c r="D567" s="32" t="e">
        <v>#N/A</v>
      </c>
      <c r="E567" s="39"/>
      <c r="F567" s="32" t="e">
        <v>#N/A</v>
      </c>
      <c r="G567" s="39"/>
      <c r="H567" s="32" t="e">
        <v>#N/A</v>
      </c>
      <c r="I567" s="39"/>
      <c r="J567" s="32">
        <v>0.0</v>
      </c>
      <c r="K567" s="33" t="e">
        <v>#N/A</v>
      </c>
      <c r="L567" s="32" t="e">
        <v>#N/A</v>
      </c>
      <c r="M567" s="32" t="e">
        <v>#N/A</v>
      </c>
      <c r="N567" s="33" t="s">
        <v>1921</v>
      </c>
      <c r="O567" s="33" t="s">
        <v>52</v>
      </c>
      <c r="P567" s="32" t="e">
        <v>#REF!</v>
      </c>
      <c r="Q567" s="32" t="e">
        <v>#N/A</v>
      </c>
      <c r="R567" s="42" t="e">
        <v>#N/A</v>
      </c>
      <c r="S567" s="42" t="e">
        <v>#N/A</v>
      </c>
      <c r="T567" s="36">
        <v>0.0</v>
      </c>
      <c r="U567" s="36">
        <v>0.0</v>
      </c>
      <c r="V567" s="36">
        <v>0.0</v>
      </c>
      <c r="W567" s="36">
        <v>0.0</v>
      </c>
      <c r="X567" s="36">
        <v>0.0</v>
      </c>
      <c r="Y567" s="36">
        <v>0.0</v>
      </c>
    </row>
    <row r="568">
      <c r="A568" s="32" t="s">
        <v>1961</v>
      </c>
      <c r="B568" s="32" t="s">
        <v>1961</v>
      </c>
      <c r="C568" s="32">
        <v>0.0</v>
      </c>
      <c r="D568" s="32" t="e">
        <v>#N/A</v>
      </c>
      <c r="E568" s="39"/>
      <c r="F568" s="32" t="e">
        <v>#N/A</v>
      </c>
      <c r="G568" s="39"/>
      <c r="H568" s="32" t="e">
        <v>#N/A</v>
      </c>
      <c r="I568" s="39"/>
      <c r="J568" s="32">
        <v>0.0</v>
      </c>
      <c r="K568" s="33" t="e">
        <v>#N/A</v>
      </c>
      <c r="L568" s="32" t="e">
        <v>#N/A</v>
      </c>
      <c r="M568" s="32" t="e">
        <v>#N/A</v>
      </c>
      <c r="N568" s="33" t="s">
        <v>1921</v>
      </c>
      <c r="O568" s="33" t="s">
        <v>52</v>
      </c>
      <c r="P568" s="32" t="e">
        <v>#REF!</v>
      </c>
      <c r="Q568" s="32" t="e">
        <v>#N/A</v>
      </c>
      <c r="R568" s="42" t="e">
        <v>#N/A</v>
      </c>
      <c r="S568" s="42" t="e">
        <v>#N/A</v>
      </c>
      <c r="T568" s="36">
        <v>0.0</v>
      </c>
      <c r="U568" s="36">
        <v>0.0</v>
      </c>
      <c r="V568" s="36">
        <v>0.0</v>
      </c>
      <c r="W568" s="36">
        <v>0.0</v>
      </c>
      <c r="X568" s="36">
        <v>0.0</v>
      </c>
      <c r="Y568" s="36">
        <v>0.0</v>
      </c>
    </row>
    <row r="569">
      <c r="A569" s="32" t="s">
        <v>1968</v>
      </c>
      <c r="B569" s="32" t="s">
        <v>1968</v>
      </c>
      <c r="C569" s="32">
        <v>0.0</v>
      </c>
      <c r="D569" s="32" t="e">
        <v>#N/A</v>
      </c>
      <c r="E569" s="39"/>
      <c r="F569" s="32" t="e">
        <v>#N/A</v>
      </c>
      <c r="G569" s="39"/>
      <c r="H569" s="32" t="e">
        <v>#N/A</v>
      </c>
      <c r="I569" s="39"/>
      <c r="J569" s="32">
        <v>0.0</v>
      </c>
      <c r="K569" s="33" t="e">
        <v>#N/A</v>
      </c>
      <c r="L569" s="32" t="e">
        <v>#N/A</v>
      </c>
      <c r="M569" s="32" t="e">
        <v>#N/A</v>
      </c>
      <c r="N569" s="33" t="s">
        <v>1921</v>
      </c>
      <c r="O569" s="33" t="s">
        <v>52</v>
      </c>
      <c r="P569" s="32" t="e">
        <v>#REF!</v>
      </c>
      <c r="Q569" s="32" t="e">
        <v>#N/A</v>
      </c>
      <c r="R569" s="42" t="e">
        <v>#N/A</v>
      </c>
      <c r="S569" s="42" t="e">
        <v>#N/A</v>
      </c>
      <c r="T569" s="36">
        <v>0.0</v>
      </c>
      <c r="U569" s="36">
        <v>0.0</v>
      </c>
      <c r="V569" s="36">
        <v>0.0</v>
      </c>
      <c r="W569" s="36">
        <v>0.0</v>
      </c>
      <c r="X569" s="36">
        <v>0.0</v>
      </c>
      <c r="Y569" s="36">
        <v>0.0</v>
      </c>
    </row>
    <row r="570">
      <c r="A570" s="32" t="s">
        <v>1962</v>
      </c>
      <c r="B570" s="32" t="s">
        <v>1962</v>
      </c>
      <c r="C570" s="32">
        <v>0.0</v>
      </c>
      <c r="D570" s="32" t="e">
        <v>#N/A</v>
      </c>
      <c r="E570" s="39"/>
      <c r="F570" s="32" t="e">
        <v>#N/A</v>
      </c>
      <c r="G570" s="39"/>
      <c r="H570" s="32" t="e">
        <v>#N/A</v>
      </c>
      <c r="I570" s="39"/>
      <c r="J570" s="32">
        <v>0.0</v>
      </c>
      <c r="K570" s="33" t="e">
        <v>#N/A</v>
      </c>
      <c r="L570" s="32" t="e">
        <v>#N/A</v>
      </c>
      <c r="M570" s="32" t="e">
        <v>#N/A</v>
      </c>
      <c r="N570" s="33" t="s">
        <v>1921</v>
      </c>
      <c r="O570" s="33" t="s">
        <v>52</v>
      </c>
      <c r="P570" s="32" t="e">
        <v>#REF!</v>
      </c>
      <c r="Q570" s="32" t="e">
        <v>#N/A</v>
      </c>
      <c r="R570" s="42" t="e">
        <v>#N/A</v>
      </c>
      <c r="S570" s="42" t="e">
        <v>#N/A</v>
      </c>
      <c r="T570" s="36">
        <v>0.0</v>
      </c>
      <c r="U570" s="36">
        <v>0.0</v>
      </c>
      <c r="V570" s="36">
        <v>0.0</v>
      </c>
      <c r="W570" s="36">
        <v>0.0</v>
      </c>
      <c r="X570" s="36">
        <v>0.0</v>
      </c>
      <c r="Y570" s="36">
        <v>0.0</v>
      </c>
    </row>
    <row r="571">
      <c r="A571" s="32" t="s">
        <v>1969</v>
      </c>
      <c r="B571" s="32" t="s">
        <v>1969</v>
      </c>
      <c r="C571" s="32">
        <v>0.0</v>
      </c>
      <c r="D571" s="32" t="e">
        <v>#N/A</v>
      </c>
      <c r="E571" s="39"/>
      <c r="F571" s="32" t="e">
        <v>#N/A</v>
      </c>
      <c r="G571" s="39"/>
      <c r="H571" s="32" t="e">
        <v>#N/A</v>
      </c>
      <c r="I571" s="39"/>
      <c r="J571" s="32">
        <v>0.0</v>
      </c>
      <c r="K571" s="33" t="e">
        <v>#N/A</v>
      </c>
      <c r="L571" s="32" t="e">
        <v>#N/A</v>
      </c>
      <c r="M571" s="32" t="e">
        <v>#N/A</v>
      </c>
      <c r="N571" s="33" t="s">
        <v>1921</v>
      </c>
      <c r="O571" s="33" t="s">
        <v>52</v>
      </c>
      <c r="P571" s="32" t="e">
        <v>#REF!</v>
      </c>
      <c r="Q571" s="32" t="e">
        <v>#N/A</v>
      </c>
      <c r="R571" s="42" t="e">
        <v>#N/A</v>
      </c>
      <c r="S571" s="42" t="e">
        <v>#N/A</v>
      </c>
      <c r="T571" s="36">
        <v>0.0</v>
      </c>
      <c r="U571" s="36">
        <v>0.0</v>
      </c>
      <c r="V571" s="36">
        <v>0.0</v>
      </c>
      <c r="W571" s="36">
        <v>0.0</v>
      </c>
      <c r="X571" s="36">
        <v>0.0</v>
      </c>
      <c r="Y571" s="36">
        <v>0.0</v>
      </c>
    </row>
    <row r="572">
      <c r="A572" s="32" t="s">
        <v>1957</v>
      </c>
      <c r="B572" s="32" t="s">
        <v>1957</v>
      </c>
      <c r="C572" s="32">
        <v>0.0</v>
      </c>
      <c r="D572" s="32" t="e">
        <v>#N/A</v>
      </c>
      <c r="E572" s="39"/>
      <c r="F572" s="32" t="e">
        <v>#N/A</v>
      </c>
      <c r="G572" s="39"/>
      <c r="H572" s="32" t="e">
        <v>#N/A</v>
      </c>
      <c r="I572" s="39"/>
      <c r="J572" s="32">
        <v>0.0</v>
      </c>
      <c r="K572" s="33" t="e">
        <v>#N/A</v>
      </c>
      <c r="L572" s="32" t="e">
        <v>#N/A</v>
      </c>
      <c r="M572" s="32" t="e">
        <v>#N/A</v>
      </c>
      <c r="N572" s="33" t="s">
        <v>1921</v>
      </c>
      <c r="O572" s="33" t="s">
        <v>52</v>
      </c>
      <c r="P572" s="32" t="e">
        <v>#REF!</v>
      </c>
      <c r="Q572" s="32" t="e">
        <v>#N/A</v>
      </c>
      <c r="R572" s="42" t="e">
        <v>#N/A</v>
      </c>
      <c r="S572" s="42" t="e">
        <v>#N/A</v>
      </c>
      <c r="T572" s="36">
        <v>0.0</v>
      </c>
      <c r="U572" s="36">
        <v>0.0</v>
      </c>
      <c r="V572" s="36">
        <v>0.0</v>
      </c>
      <c r="W572" s="36">
        <v>0.0</v>
      </c>
      <c r="X572" s="36">
        <v>0.0</v>
      </c>
      <c r="Y572" s="36">
        <v>0.0</v>
      </c>
    </row>
    <row r="573">
      <c r="A573" s="32" t="s">
        <v>1963</v>
      </c>
      <c r="B573" s="32" t="s">
        <v>1963</v>
      </c>
      <c r="C573" s="32">
        <v>0.0</v>
      </c>
      <c r="D573" s="32" t="e">
        <v>#N/A</v>
      </c>
      <c r="E573" s="39"/>
      <c r="F573" s="32" t="e">
        <v>#N/A</v>
      </c>
      <c r="G573" s="39"/>
      <c r="H573" s="32" t="e">
        <v>#N/A</v>
      </c>
      <c r="I573" s="39"/>
      <c r="J573" s="32">
        <v>0.0</v>
      </c>
      <c r="K573" s="33" t="e">
        <v>#N/A</v>
      </c>
      <c r="L573" s="32" t="e">
        <v>#N/A</v>
      </c>
      <c r="M573" s="32" t="e">
        <v>#N/A</v>
      </c>
      <c r="N573" s="33" t="s">
        <v>1921</v>
      </c>
      <c r="O573" s="33" t="s">
        <v>52</v>
      </c>
      <c r="P573" s="32" t="e">
        <v>#REF!</v>
      </c>
      <c r="Q573" s="32" t="e">
        <v>#N/A</v>
      </c>
      <c r="R573" s="42" t="e">
        <v>#N/A</v>
      </c>
      <c r="S573" s="42" t="e">
        <v>#N/A</v>
      </c>
      <c r="T573" s="36">
        <v>0.0</v>
      </c>
      <c r="U573" s="36">
        <v>0.0</v>
      </c>
      <c r="V573" s="36">
        <v>0.0</v>
      </c>
      <c r="W573" s="36">
        <v>0.0</v>
      </c>
      <c r="X573" s="36">
        <v>0.0</v>
      </c>
      <c r="Y573" s="36">
        <v>0.0</v>
      </c>
    </row>
    <row r="574">
      <c r="A574" s="32" t="s">
        <v>1970</v>
      </c>
      <c r="B574" s="32" t="s">
        <v>1970</v>
      </c>
      <c r="C574" s="32">
        <v>0.0</v>
      </c>
      <c r="D574" s="32" t="e">
        <v>#N/A</v>
      </c>
      <c r="E574" s="39"/>
      <c r="F574" s="32" t="e">
        <v>#N/A</v>
      </c>
      <c r="G574" s="39"/>
      <c r="H574" s="32" t="e">
        <v>#N/A</v>
      </c>
      <c r="I574" s="39"/>
      <c r="J574" s="32">
        <v>0.0</v>
      </c>
      <c r="K574" s="33" t="e">
        <v>#N/A</v>
      </c>
      <c r="L574" s="32" t="e">
        <v>#N/A</v>
      </c>
      <c r="M574" s="32" t="e">
        <v>#N/A</v>
      </c>
      <c r="N574" s="33" t="s">
        <v>1921</v>
      </c>
      <c r="O574" s="33" t="s">
        <v>52</v>
      </c>
      <c r="P574" s="32" t="e">
        <v>#REF!</v>
      </c>
      <c r="Q574" s="32" t="e">
        <v>#N/A</v>
      </c>
      <c r="R574" s="42" t="e">
        <v>#N/A</v>
      </c>
      <c r="S574" s="42" t="e">
        <v>#N/A</v>
      </c>
      <c r="T574" s="36">
        <v>0.0</v>
      </c>
      <c r="U574" s="36">
        <v>0.0</v>
      </c>
      <c r="V574" s="36">
        <v>0.0</v>
      </c>
      <c r="W574" s="36">
        <v>0.0</v>
      </c>
      <c r="X574" s="36">
        <v>0.0</v>
      </c>
      <c r="Y574" s="36">
        <v>0.0</v>
      </c>
    </row>
    <row r="575">
      <c r="A575" s="32" t="s">
        <v>1964</v>
      </c>
      <c r="B575" s="32" t="s">
        <v>1964</v>
      </c>
      <c r="C575" s="32">
        <v>0.0</v>
      </c>
      <c r="D575" s="32" t="e">
        <v>#N/A</v>
      </c>
      <c r="E575" s="39"/>
      <c r="F575" s="32" t="e">
        <v>#N/A</v>
      </c>
      <c r="G575" s="39"/>
      <c r="H575" s="32" t="e">
        <v>#N/A</v>
      </c>
      <c r="I575" s="39"/>
      <c r="J575" s="32">
        <v>0.0</v>
      </c>
      <c r="K575" s="33" t="e">
        <v>#N/A</v>
      </c>
      <c r="L575" s="32" t="e">
        <v>#N/A</v>
      </c>
      <c r="M575" s="32" t="e">
        <v>#N/A</v>
      </c>
      <c r="N575" s="33" t="s">
        <v>1921</v>
      </c>
      <c r="O575" s="33" t="s">
        <v>52</v>
      </c>
      <c r="P575" s="32" t="e">
        <v>#REF!</v>
      </c>
      <c r="Q575" s="32" t="e">
        <v>#N/A</v>
      </c>
      <c r="R575" s="42" t="e">
        <v>#N/A</v>
      </c>
      <c r="S575" s="42" t="e">
        <v>#N/A</v>
      </c>
      <c r="T575" s="36">
        <v>0.0</v>
      </c>
      <c r="U575" s="36">
        <v>0.0</v>
      </c>
      <c r="V575" s="36">
        <v>0.0</v>
      </c>
      <c r="W575" s="36">
        <v>0.0</v>
      </c>
      <c r="X575" s="36">
        <v>0.0</v>
      </c>
      <c r="Y575" s="36">
        <v>0.0</v>
      </c>
    </row>
    <row r="576">
      <c r="A576" s="32" t="s">
        <v>1958</v>
      </c>
      <c r="B576" s="32" t="s">
        <v>1958</v>
      </c>
      <c r="C576" s="32">
        <v>0.0</v>
      </c>
      <c r="D576" s="32" t="e">
        <v>#N/A</v>
      </c>
      <c r="E576" s="39"/>
      <c r="F576" s="32" t="e">
        <v>#N/A</v>
      </c>
      <c r="G576" s="39"/>
      <c r="H576" s="32" t="e">
        <v>#N/A</v>
      </c>
      <c r="I576" s="39"/>
      <c r="J576" s="32">
        <v>0.0</v>
      </c>
      <c r="K576" s="33" t="e">
        <v>#N/A</v>
      </c>
      <c r="L576" s="32" t="e">
        <v>#N/A</v>
      </c>
      <c r="M576" s="32" t="e">
        <v>#N/A</v>
      </c>
      <c r="N576" s="33" t="s">
        <v>1921</v>
      </c>
      <c r="O576" s="33" t="s">
        <v>52</v>
      </c>
      <c r="P576" s="32" t="e">
        <v>#REF!</v>
      </c>
      <c r="Q576" s="32" t="e">
        <v>#N/A</v>
      </c>
      <c r="R576" s="42" t="e">
        <v>#N/A</v>
      </c>
      <c r="S576" s="42" t="e">
        <v>#N/A</v>
      </c>
      <c r="T576" s="36">
        <v>0.0</v>
      </c>
      <c r="U576" s="36">
        <v>0.0</v>
      </c>
      <c r="V576" s="36">
        <v>0.0</v>
      </c>
      <c r="W576" s="36">
        <v>0.0</v>
      </c>
      <c r="X576" s="36">
        <v>0.0</v>
      </c>
      <c r="Y576" s="36">
        <v>0.0</v>
      </c>
    </row>
    <row r="577">
      <c r="A577" s="32" t="s">
        <v>1965</v>
      </c>
      <c r="B577" s="32" t="s">
        <v>1965</v>
      </c>
      <c r="C577" s="32">
        <v>0.0</v>
      </c>
      <c r="D577" s="32" t="e">
        <v>#N/A</v>
      </c>
      <c r="E577" s="39"/>
      <c r="F577" s="32" t="e">
        <v>#N/A</v>
      </c>
      <c r="G577" s="39"/>
      <c r="H577" s="32" t="e">
        <v>#N/A</v>
      </c>
      <c r="I577" s="39"/>
      <c r="J577" s="32">
        <v>0.0</v>
      </c>
      <c r="K577" s="33" t="e">
        <v>#N/A</v>
      </c>
      <c r="L577" s="32" t="e">
        <v>#N/A</v>
      </c>
      <c r="M577" s="32" t="e">
        <v>#N/A</v>
      </c>
      <c r="N577" s="33" t="s">
        <v>1921</v>
      </c>
      <c r="O577" s="33" t="s">
        <v>52</v>
      </c>
      <c r="P577" s="32" t="e">
        <v>#REF!</v>
      </c>
      <c r="Q577" s="32" t="e">
        <v>#N/A</v>
      </c>
      <c r="R577" s="42" t="e">
        <v>#N/A</v>
      </c>
      <c r="S577" s="42" t="e">
        <v>#N/A</v>
      </c>
      <c r="T577" s="36">
        <v>0.0</v>
      </c>
      <c r="U577" s="36">
        <v>0.0</v>
      </c>
      <c r="V577" s="36">
        <v>0.0</v>
      </c>
      <c r="W577" s="36">
        <v>0.0</v>
      </c>
      <c r="X577" s="36">
        <v>0.0</v>
      </c>
      <c r="Y577" s="36">
        <v>0.0</v>
      </c>
    </row>
    <row r="578">
      <c r="A578" s="32" t="s">
        <v>1971</v>
      </c>
      <c r="B578" s="32" t="s">
        <v>1971</v>
      </c>
      <c r="C578" s="32">
        <v>0.0</v>
      </c>
      <c r="D578" s="32" t="e">
        <v>#N/A</v>
      </c>
      <c r="E578" s="39"/>
      <c r="F578" s="32" t="e">
        <v>#N/A</v>
      </c>
      <c r="G578" s="39"/>
      <c r="H578" s="32" t="e">
        <v>#N/A</v>
      </c>
      <c r="I578" s="39"/>
      <c r="J578" s="32">
        <v>0.0</v>
      </c>
      <c r="K578" s="33" t="e">
        <v>#N/A</v>
      </c>
      <c r="L578" s="32" t="e">
        <v>#N/A</v>
      </c>
      <c r="M578" s="32" t="e">
        <v>#N/A</v>
      </c>
      <c r="N578" s="33" t="s">
        <v>1921</v>
      </c>
      <c r="O578" s="33" t="s">
        <v>52</v>
      </c>
      <c r="P578" s="32" t="e">
        <v>#REF!</v>
      </c>
      <c r="Q578" s="32" t="e">
        <v>#N/A</v>
      </c>
      <c r="R578" s="42" t="e">
        <v>#N/A</v>
      </c>
      <c r="S578" s="42" t="e">
        <v>#N/A</v>
      </c>
      <c r="T578" s="36">
        <v>0.0</v>
      </c>
      <c r="U578" s="36">
        <v>0.0</v>
      </c>
      <c r="V578" s="36">
        <v>0.0</v>
      </c>
      <c r="W578" s="36">
        <v>0.0</v>
      </c>
      <c r="X578" s="36">
        <v>0.0</v>
      </c>
      <c r="Y578" s="36">
        <v>0.0</v>
      </c>
    </row>
    <row r="579">
      <c r="A579" s="32" t="s">
        <v>1959</v>
      </c>
      <c r="B579" s="32" t="s">
        <v>1959</v>
      </c>
      <c r="C579" s="32">
        <v>0.0</v>
      </c>
      <c r="D579" s="32" t="e">
        <v>#N/A</v>
      </c>
      <c r="E579" s="39"/>
      <c r="F579" s="32" t="e">
        <v>#N/A</v>
      </c>
      <c r="G579" s="39"/>
      <c r="H579" s="32" t="e">
        <v>#N/A</v>
      </c>
      <c r="I579" s="39"/>
      <c r="J579" s="32">
        <v>0.0</v>
      </c>
      <c r="K579" s="33" t="e">
        <v>#N/A</v>
      </c>
      <c r="L579" s="32" t="e">
        <v>#N/A</v>
      </c>
      <c r="M579" s="32" t="e">
        <v>#N/A</v>
      </c>
      <c r="N579" s="33" t="s">
        <v>1921</v>
      </c>
      <c r="O579" s="33" t="s">
        <v>52</v>
      </c>
      <c r="P579" s="32" t="e">
        <v>#REF!</v>
      </c>
      <c r="Q579" s="32" t="e">
        <v>#N/A</v>
      </c>
      <c r="R579" s="42" t="e">
        <v>#N/A</v>
      </c>
      <c r="S579" s="42" t="e">
        <v>#N/A</v>
      </c>
      <c r="T579" s="36">
        <v>0.0</v>
      </c>
      <c r="U579" s="36">
        <v>0.0</v>
      </c>
      <c r="V579" s="36">
        <v>0.0</v>
      </c>
      <c r="W579" s="36">
        <v>0.0</v>
      </c>
      <c r="X579" s="36">
        <v>0.0</v>
      </c>
      <c r="Y579" s="36">
        <v>0.0</v>
      </c>
    </row>
    <row r="580">
      <c r="A580" s="32" t="s">
        <v>1966</v>
      </c>
      <c r="B580" s="32" t="s">
        <v>1966</v>
      </c>
      <c r="C580" s="32">
        <v>0.0</v>
      </c>
      <c r="D580" s="32" t="e">
        <v>#N/A</v>
      </c>
      <c r="E580" s="39"/>
      <c r="F580" s="32" t="e">
        <v>#N/A</v>
      </c>
      <c r="G580" s="39"/>
      <c r="H580" s="32" t="e">
        <v>#N/A</v>
      </c>
      <c r="I580" s="39"/>
      <c r="J580" s="32">
        <v>0.0</v>
      </c>
      <c r="K580" s="33" t="e">
        <v>#N/A</v>
      </c>
      <c r="L580" s="32" t="e">
        <v>#N/A</v>
      </c>
      <c r="M580" s="32" t="e">
        <v>#N/A</v>
      </c>
      <c r="N580" s="33" t="s">
        <v>1921</v>
      </c>
      <c r="O580" s="33" t="s">
        <v>52</v>
      </c>
      <c r="P580" s="32" t="e">
        <v>#REF!</v>
      </c>
      <c r="Q580" s="32" t="e">
        <v>#N/A</v>
      </c>
      <c r="R580" s="42" t="e">
        <v>#N/A</v>
      </c>
      <c r="S580" s="42" t="e">
        <v>#N/A</v>
      </c>
      <c r="T580" s="36">
        <v>0.0</v>
      </c>
      <c r="U580" s="36">
        <v>0.0</v>
      </c>
      <c r="V580" s="36">
        <v>0.0</v>
      </c>
      <c r="W580" s="36">
        <v>0.0</v>
      </c>
      <c r="X580" s="36">
        <v>0.0</v>
      </c>
      <c r="Y580" s="36">
        <v>0.0</v>
      </c>
    </row>
    <row r="581">
      <c r="A581" s="32" t="s">
        <v>1972</v>
      </c>
      <c r="B581" s="32" t="s">
        <v>1972</v>
      </c>
      <c r="C581" s="32">
        <v>0.0</v>
      </c>
      <c r="D581" s="32" t="e">
        <v>#N/A</v>
      </c>
      <c r="E581" s="39"/>
      <c r="F581" s="32" t="e">
        <v>#N/A</v>
      </c>
      <c r="G581" s="39"/>
      <c r="H581" s="32" t="e">
        <v>#N/A</v>
      </c>
      <c r="I581" s="39"/>
      <c r="J581" s="32">
        <v>0.0</v>
      </c>
      <c r="K581" s="33" t="e">
        <v>#N/A</v>
      </c>
      <c r="L581" s="32" t="e">
        <v>#N/A</v>
      </c>
      <c r="M581" s="32" t="e">
        <v>#N/A</v>
      </c>
      <c r="N581" s="33" t="s">
        <v>1921</v>
      </c>
      <c r="O581" s="33" t="s">
        <v>52</v>
      </c>
      <c r="P581" s="32" t="e">
        <v>#REF!</v>
      </c>
      <c r="Q581" s="32" t="e">
        <v>#N/A</v>
      </c>
      <c r="R581" s="42" t="e">
        <v>#N/A</v>
      </c>
      <c r="S581" s="42" t="e">
        <v>#N/A</v>
      </c>
      <c r="T581" s="36">
        <v>0.0</v>
      </c>
      <c r="U581" s="36">
        <v>0.0</v>
      </c>
      <c r="V581" s="36">
        <v>0.0</v>
      </c>
      <c r="W581" s="36">
        <v>0.0</v>
      </c>
      <c r="X581" s="36">
        <v>0.0</v>
      </c>
      <c r="Y581" s="36">
        <v>0.0</v>
      </c>
    </row>
    <row r="582">
      <c r="A582" s="32" t="s">
        <v>1960</v>
      </c>
      <c r="B582" s="32" t="s">
        <v>1960</v>
      </c>
      <c r="C582" s="32">
        <v>0.0</v>
      </c>
      <c r="D582" s="32" t="e">
        <v>#N/A</v>
      </c>
      <c r="E582" s="39"/>
      <c r="F582" s="32" t="e">
        <v>#N/A</v>
      </c>
      <c r="G582" s="39"/>
      <c r="H582" s="32" t="e">
        <v>#N/A</v>
      </c>
      <c r="I582" s="39"/>
      <c r="J582" s="32">
        <v>0.0</v>
      </c>
      <c r="K582" s="33" t="e">
        <v>#N/A</v>
      </c>
      <c r="L582" s="32" t="e">
        <v>#N/A</v>
      </c>
      <c r="M582" s="32" t="e">
        <v>#N/A</v>
      </c>
      <c r="N582" s="33" t="s">
        <v>1921</v>
      </c>
      <c r="O582" s="33" t="s">
        <v>52</v>
      </c>
      <c r="P582" s="32" t="e">
        <v>#REF!</v>
      </c>
      <c r="Q582" s="32" t="e">
        <v>#N/A</v>
      </c>
      <c r="R582" s="42" t="e">
        <v>#N/A</v>
      </c>
      <c r="S582" s="42" t="e">
        <v>#N/A</v>
      </c>
      <c r="T582" s="36">
        <v>0.0</v>
      </c>
      <c r="U582" s="36">
        <v>0.0</v>
      </c>
      <c r="V582" s="36">
        <v>0.0</v>
      </c>
      <c r="W582" s="36">
        <v>0.0</v>
      </c>
      <c r="X582" s="36">
        <v>0.0</v>
      </c>
      <c r="Y582" s="36">
        <v>0.0</v>
      </c>
    </row>
    <row r="583">
      <c r="A583" s="32" t="s">
        <v>1967</v>
      </c>
      <c r="B583" s="32" t="s">
        <v>1967</v>
      </c>
      <c r="C583" s="32">
        <v>0.0</v>
      </c>
      <c r="D583" s="32" t="e">
        <v>#N/A</v>
      </c>
      <c r="E583" s="39"/>
      <c r="F583" s="32" t="e">
        <v>#N/A</v>
      </c>
      <c r="G583" s="39"/>
      <c r="H583" s="32" t="e">
        <v>#N/A</v>
      </c>
      <c r="I583" s="39"/>
      <c r="J583" s="32">
        <v>0.0</v>
      </c>
      <c r="K583" s="33" t="e">
        <v>#N/A</v>
      </c>
      <c r="L583" s="32" t="e">
        <v>#N/A</v>
      </c>
      <c r="M583" s="32" t="e">
        <v>#N/A</v>
      </c>
      <c r="N583" s="33" t="s">
        <v>1921</v>
      </c>
      <c r="O583" s="33" t="s">
        <v>52</v>
      </c>
      <c r="P583" s="32" t="e">
        <v>#REF!</v>
      </c>
      <c r="Q583" s="32" t="e">
        <v>#N/A</v>
      </c>
      <c r="R583" s="42" t="e">
        <v>#N/A</v>
      </c>
      <c r="S583" s="42" t="e">
        <v>#N/A</v>
      </c>
      <c r="T583" s="36">
        <v>0.0</v>
      </c>
      <c r="U583" s="36">
        <v>0.0</v>
      </c>
      <c r="V583" s="36">
        <v>0.0</v>
      </c>
      <c r="W583" s="36">
        <v>0.0</v>
      </c>
      <c r="X583" s="36">
        <v>0.0</v>
      </c>
      <c r="Y583" s="36">
        <v>0.0</v>
      </c>
    </row>
    <row r="584">
      <c r="A584" s="32" t="s">
        <v>1973</v>
      </c>
      <c r="B584" s="32" t="s">
        <v>1973</v>
      </c>
      <c r="C584" s="32">
        <v>0.0</v>
      </c>
      <c r="D584" s="32" t="e">
        <v>#N/A</v>
      </c>
      <c r="E584" s="39"/>
      <c r="F584" s="32" t="e">
        <v>#N/A</v>
      </c>
      <c r="G584" s="39"/>
      <c r="H584" s="32" t="e">
        <v>#N/A</v>
      </c>
      <c r="I584" s="39"/>
      <c r="J584" s="32">
        <v>0.0</v>
      </c>
      <c r="K584" s="33" t="e">
        <v>#N/A</v>
      </c>
      <c r="L584" s="32" t="e">
        <v>#N/A</v>
      </c>
      <c r="M584" s="32" t="e">
        <v>#N/A</v>
      </c>
      <c r="N584" s="33" t="s">
        <v>1921</v>
      </c>
      <c r="O584" s="33" t="s">
        <v>52</v>
      </c>
      <c r="P584" s="32" t="e">
        <v>#REF!</v>
      </c>
      <c r="Q584" s="32" t="e">
        <v>#N/A</v>
      </c>
      <c r="R584" s="42" t="e">
        <v>#N/A</v>
      </c>
      <c r="S584" s="42" t="e">
        <v>#N/A</v>
      </c>
      <c r="T584" s="36">
        <v>0.0</v>
      </c>
      <c r="U584" s="36">
        <v>0.0</v>
      </c>
      <c r="V584" s="36">
        <v>0.0</v>
      </c>
      <c r="W584" s="36">
        <v>0.0</v>
      </c>
      <c r="X584" s="36">
        <v>0.0</v>
      </c>
      <c r="Y584" s="36">
        <v>0.0</v>
      </c>
    </row>
    <row r="585">
      <c r="A585" s="32" t="s">
        <v>1940</v>
      </c>
      <c r="B585" s="32" t="s">
        <v>1940</v>
      </c>
      <c r="C585" s="32">
        <v>0.0</v>
      </c>
      <c r="D585" s="32" t="e">
        <v>#N/A</v>
      </c>
      <c r="E585" s="39"/>
      <c r="F585" s="32" t="e">
        <v>#N/A</v>
      </c>
      <c r="G585" s="39"/>
      <c r="H585" s="32" t="e">
        <v>#N/A</v>
      </c>
      <c r="I585" s="39"/>
      <c r="J585" s="32">
        <v>0.0</v>
      </c>
      <c r="K585" s="33" t="e">
        <v>#N/A</v>
      </c>
      <c r="L585" s="32" t="e">
        <v>#N/A</v>
      </c>
      <c r="M585" s="32" t="e">
        <v>#N/A</v>
      </c>
      <c r="N585" s="33" t="s">
        <v>1921</v>
      </c>
      <c r="O585" s="33" t="s">
        <v>52</v>
      </c>
      <c r="P585" s="32" t="e">
        <v>#REF!</v>
      </c>
      <c r="Q585" s="32" t="e">
        <v>#N/A</v>
      </c>
      <c r="R585" s="42" t="e">
        <v>#N/A</v>
      </c>
      <c r="S585" s="42" t="e">
        <v>#N/A</v>
      </c>
      <c r="T585" s="36">
        <v>0.0</v>
      </c>
      <c r="U585" s="36">
        <v>0.0</v>
      </c>
      <c r="V585" s="36">
        <v>0.0</v>
      </c>
      <c r="W585" s="36">
        <v>0.0</v>
      </c>
      <c r="X585" s="36">
        <v>0.0</v>
      </c>
      <c r="Y585" s="36">
        <v>0.0</v>
      </c>
    </row>
    <row r="586">
      <c r="A586" s="32" t="s">
        <v>1944</v>
      </c>
      <c r="B586" s="32" t="s">
        <v>1944</v>
      </c>
      <c r="C586" s="32">
        <v>0.0</v>
      </c>
      <c r="D586" s="32" t="e">
        <v>#N/A</v>
      </c>
      <c r="E586" s="39"/>
      <c r="F586" s="32" t="e">
        <v>#N/A</v>
      </c>
      <c r="G586" s="39"/>
      <c r="H586" s="32" t="e">
        <v>#N/A</v>
      </c>
      <c r="I586" s="39"/>
      <c r="J586" s="32">
        <v>0.0</v>
      </c>
      <c r="K586" s="33" t="e">
        <v>#N/A</v>
      </c>
      <c r="L586" s="32" t="e">
        <v>#N/A</v>
      </c>
      <c r="M586" s="32" t="e">
        <v>#N/A</v>
      </c>
      <c r="N586" s="33" t="s">
        <v>1921</v>
      </c>
      <c r="O586" s="33" t="s">
        <v>52</v>
      </c>
      <c r="P586" s="32" t="e">
        <v>#REF!</v>
      </c>
      <c r="Q586" s="32" t="e">
        <v>#N/A</v>
      </c>
      <c r="R586" s="42" t="e">
        <v>#N/A</v>
      </c>
      <c r="S586" s="42" t="e">
        <v>#N/A</v>
      </c>
      <c r="T586" s="36">
        <v>0.0</v>
      </c>
      <c r="U586" s="36">
        <v>0.0</v>
      </c>
      <c r="V586" s="36">
        <v>0.0</v>
      </c>
      <c r="W586" s="36">
        <v>0.0</v>
      </c>
      <c r="X586" s="36">
        <v>0.0</v>
      </c>
      <c r="Y586" s="36">
        <v>0.0</v>
      </c>
    </row>
    <row r="587">
      <c r="A587" s="32" t="s">
        <v>1951</v>
      </c>
      <c r="B587" s="32" t="s">
        <v>1951</v>
      </c>
      <c r="C587" s="32">
        <v>0.0</v>
      </c>
      <c r="D587" s="32" t="e">
        <v>#N/A</v>
      </c>
      <c r="E587" s="39"/>
      <c r="F587" s="32" t="e">
        <v>#N/A</v>
      </c>
      <c r="G587" s="39"/>
      <c r="H587" s="32" t="e">
        <v>#N/A</v>
      </c>
      <c r="I587" s="39"/>
      <c r="J587" s="32">
        <v>0.0</v>
      </c>
      <c r="K587" s="33" t="e">
        <v>#N/A</v>
      </c>
      <c r="L587" s="32" t="e">
        <v>#N/A</v>
      </c>
      <c r="M587" s="32" t="e">
        <v>#N/A</v>
      </c>
      <c r="N587" s="33" t="s">
        <v>1921</v>
      </c>
      <c r="O587" s="33" t="s">
        <v>52</v>
      </c>
      <c r="P587" s="32" t="e">
        <v>#REF!</v>
      </c>
      <c r="Q587" s="32" t="e">
        <v>#N/A</v>
      </c>
      <c r="R587" s="42" t="e">
        <v>#N/A</v>
      </c>
      <c r="S587" s="42" t="e">
        <v>#N/A</v>
      </c>
      <c r="T587" s="36">
        <v>0.0</v>
      </c>
      <c r="U587" s="36">
        <v>0.0</v>
      </c>
      <c r="V587" s="36">
        <v>0.0</v>
      </c>
      <c r="W587" s="36">
        <v>0.0</v>
      </c>
      <c r="X587" s="36">
        <v>0.0</v>
      </c>
      <c r="Y587" s="36">
        <v>0.0</v>
      </c>
    </row>
    <row r="588">
      <c r="A588" s="32" t="s">
        <v>1946</v>
      </c>
      <c r="B588" s="32" t="s">
        <v>1946</v>
      </c>
      <c r="C588" s="32">
        <v>0.0</v>
      </c>
      <c r="D588" s="32" t="e">
        <v>#N/A</v>
      </c>
      <c r="E588" s="39"/>
      <c r="F588" s="32" t="e">
        <v>#N/A</v>
      </c>
      <c r="G588" s="39"/>
      <c r="H588" s="32" t="e">
        <v>#N/A</v>
      </c>
      <c r="I588" s="39"/>
      <c r="J588" s="32">
        <v>0.0</v>
      </c>
      <c r="K588" s="33" t="e">
        <v>#N/A</v>
      </c>
      <c r="L588" s="32" t="e">
        <v>#N/A</v>
      </c>
      <c r="M588" s="32" t="e">
        <v>#N/A</v>
      </c>
      <c r="N588" s="33" t="s">
        <v>1921</v>
      </c>
      <c r="O588" s="33" t="s">
        <v>52</v>
      </c>
      <c r="P588" s="32" t="e">
        <v>#REF!</v>
      </c>
      <c r="Q588" s="32" t="e">
        <v>#N/A</v>
      </c>
      <c r="R588" s="42" t="e">
        <v>#N/A</v>
      </c>
      <c r="S588" s="42" t="e">
        <v>#N/A</v>
      </c>
      <c r="T588" s="36">
        <v>0.0</v>
      </c>
      <c r="U588" s="36">
        <v>0.0</v>
      </c>
      <c r="V588" s="36">
        <v>0.0</v>
      </c>
      <c r="W588" s="36">
        <v>0.0</v>
      </c>
      <c r="X588" s="36">
        <v>0.0</v>
      </c>
      <c r="Y588" s="36">
        <v>0.0</v>
      </c>
    </row>
    <row r="589">
      <c r="A589" s="32" t="s">
        <v>1945</v>
      </c>
      <c r="B589" s="32" t="s">
        <v>1945</v>
      </c>
      <c r="C589" s="32">
        <v>0.0</v>
      </c>
      <c r="D589" s="32" t="e">
        <v>#N/A</v>
      </c>
      <c r="E589" s="39"/>
      <c r="F589" s="32" t="e">
        <v>#N/A</v>
      </c>
      <c r="G589" s="39"/>
      <c r="H589" s="32" t="e">
        <v>#N/A</v>
      </c>
      <c r="I589" s="39"/>
      <c r="J589" s="32">
        <v>0.0</v>
      </c>
      <c r="K589" s="33" t="e">
        <v>#N/A</v>
      </c>
      <c r="L589" s="32" t="e">
        <v>#N/A</v>
      </c>
      <c r="M589" s="32" t="e">
        <v>#N/A</v>
      </c>
      <c r="N589" s="33" t="s">
        <v>1921</v>
      </c>
      <c r="O589" s="33" t="s">
        <v>52</v>
      </c>
      <c r="P589" s="32" t="e">
        <v>#REF!</v>
      </c>
      <c r="Q589" s="32" t="e">
        <v>#N/A</v>
      </c>
      <c r="R589" s="42" t="e">
        <v>#N/A</v>
      </c>
      <c r="S589" s="42" t="e">
        <v>#N/A</v>
      </c>
      <c r="T589" s="36">
        <v>0.0</v>
      </c>
      <c r="U589" s="36">
        <v>0.0</v>
      </c>
      <c r="V589" s="36">
        <v>0.0</v>
      </c>
      <c r="W589" s="36">
        <v>0.0</v>
      </c>
      <c r="X589" s="36">
        <v>0.0</v>
      </c>
      <c r="Y589" s="36">
        <v>0.0</v>
      </c>
    </row>
    <row r="590">
      <c r="A590" s="32" t="s">
        <v>1948</v>
      </c>
      <c r="B590" s="32" t="s">
        <v>1948</v>
      </c>
      <c r="C590" s="32">
        <v>0.0</v>
      </c>
      <c r="D590" s="32" t="e">
        <v>#N/A</v>
      </c>
      <c r="E590" s="39"/>
      <c r="F590" s="32" t="e">
        <v>#N/A</v>
      </c>
      <c r="G590" s="39"/>
      <c r="H590" s="32" t="e">
        <v>#N/A</v>
      </c>
      <c r="I590" s="39"/>
      <c r="J590" s="32">
        <v>0.0</v>
      </c>
      <c r="K590" s="33" t="e">
        <v>#N/A</v>
      </c>
      <c r="L590" s="32" t="e">
        <v>#N/A</v>
      </c>
      <c r="M590" s="32" t="e">
        <v>#N/A</v>
      </c>
      <c r="N590" s="33" t="s">
        <v>1921</v>
      </c>
      <c r="O590" s="33" t="s">
        <v>52</v>
      </c>
      <c r="P590" s="32" t="e">
        <v>#REF!</v>
      </c>
      <c r="Q590" s="32" t="e">
        <v>#N/A</v>
      </c>
      <c r="R590" s="42" t="e">
        <v>#N/A</v>
      </c>
      <c r="S590" s="42" t="e">
        <v>#N/A</v>
      </c>
      <c r="T590" s="36">
        <v>0.0</v>
      </c>
      <c r="U590" s="36">
        <v>0.0</v>
      </c>
      <c r="V590" s="36">
        <v>0.0</v>
      </c>
      <c r="W590" s="36">
        <v>0.0</v>
      </c>
      <c r="X590" s="36">
        <v>0.0</v>
      </c>
      <c r="Y590" s="36">
        <v>0.0</v>
      </c>
    </row>
    <row r="591">
      <c r="A591" s="32" t="s">
        <v>1952</v>
      </c>
      <c r="B591" s="32" t="s">
        <v>1952</v>
      </c>
      <c r="C591" s="32">
        <v>0.0</v>
      </c>
      <c r="D591" s="32" t="e">
        <v>#N/A</v>
      </c>
      <c r="E591" s="39"/>
      <c r="F591" s="32" t="e">
        <v>#N/A</v>
      </c>
      <c r="G591" s="39"/>
      <c r="H591" s="32" t="e">
        <v>#N/A</v>
      </c>
      <c r="I591" s="39"/>
      <c r="J591" s="32">
        <v>0.0</v>
      </c>
      <c r="K591" s="33" t="e">
        <v>#N/A</v>
      </c>
      <c r="L591" s="32" t="e">
        <v>#N/A</v>
      </c>
      <c r="M591" s="32" t="e">
        <v>#N/A</v>
      </c>
      <c r="N591" s="33" t="s">
        <v>1921</v>
      </c>
      <c r="O591" s="33" t="s">
        <v>52</v>
      </c>
      <c r="P591" s="32" t="e">
        <v>#REF!</v>
      </c>
      <c r="Q591" s="32" t="e">
        <v>#N/A</v>
      </c>
      <c r="R591" s="42" t="e">
        <v>#N/A</v>
      </c>
      <c r="S591" s="42" t="e">
        <v>#N/A</v>
      </c>
      <c r="T591" s="36">
        <v>0.0</v>
      </c>
      <c r="U591" s="36">
        <v>0.0</v>
      </c>
      <c r="V591" s="36">
        <v>0.0</v>
      </c>
      <c r="W591" s="36">
        <v>0.0</v>
      </c>
      <c r="X591" s="36">
        <v>0.0</v>
      </c>
      <c r="Y591" s="36">
        <v>0.0</v>
      </c>
    </row>
    <row r="592">
      <c r="A592" s="32" t="s">
        <v>1942</v>
      </c>
      <c r="B592" s="32" t="s">
        <v>1942</v>
      </c>
      <c r="C592" s="32">
        <v>0.0</v>
      </c>
      <c r="D592" s="32" t="e">
        <v>#N/A</v>
      </c>
      <c r="E592" s="39"/>
      <c r="F592" s="32" t="e">
        <v>#N/A</v>
      </c>
      <c r="G592" s="39"/>
      <c r="H592" s="32" t="e">
        <v>#N/A</v>
      </c>
      <c r="I592" s="39"/>
      <c r="J592" s="32">
        <v>0.0</v>
      </c>
      <c r="K592" s="33" t="e">
        <v>#N/A</v>
      </c>
      <c r="L592" s="32" t="e">
        <v>#N/A</v>
      </c>
      <c r="M592" s="32" t="e">
        <v>#N/A</v>
      </c>
      <c r="N592" s="33" t="s">
        <v>1921</v>
      </c>
      <c r="O592" s="33" t="s">
        <v>52</v>
      </c>
      <c r="P592" s="32" t="e">
        <v>#REF!</v>
      </c>
      <c r="Q592" s="32" t="e">
        <v>#N/A</v>
      </c>
      <c r="R592" s="42" t="e">
        <v>#N/A</v>
      </c>
      <c r="S592" s="42" t="e">
        <v>#N/A</v>
      </c>
      <c r="T592" s="36">
        <v>0.0</v>
      </c>
      <c r="U592" s="36">
        <v>0.0</v>
      </c>
      <c r="V592" s="36">
        <v>0.0</v>
      </c>
      <c r="W592" s="36">
        <v>0.0</v>
      </c>
      <c r="X592" s="36">
        <v>0.0</v>
      </c>
      <c r="Y592" s="36">
        <v>0.0</v>
      </c>
    </row>
    <row r="593">
      <c r="A593" s="32" t="s">
        <v>1949</v>
      </c>
      <c r="B593" s="32" t="s">
        <v>1949</v>
      </c>
      <c r="C593" s="32">
        <v>0.0</v>
      </c>
      <c r="D593" s="32" t="e">
        <v>#N/A</v>
      </c>
      <c r="E593" s="39"/>
      <c r="F593" s="32" t="e">
        <v>#N/A</v>
      </c>
      <c r="G593" s="39"/>
      <c r="H593" s="32" t="e">
        <v>#N/A</v>
      </c>
      <c r="I593" s="39"/>
      <c r="J593" s="32">
        <v>0.0</v>
      </c>
      <c r="K593" s="33" t="e">
        <v>#N/A</v>
      </c>
      <c r="L593" s="32" t="e">
        <v>#N/A</v>
      </c>
      <c r="M593" s="32" t="e">
        <v>#N/A</v>
      </c>
      <c r="N593" s="33" t="s">
        <v>1921</v>
      </c>
      <c r="O593" s="33" t="s">
        <v>52</v>
      </c>
      <c r="P593" s="32" t="e">
        <v>#REF!</v>
      </c>
      <c r="Q593" s="32" t="e">
        <v>#N/A</v>
      </c>
      <c r="R593" s="42" t="e">
        <v>#N/A</v>
      </c>
      <c r="S593" s="42" t="e">
        <v>#N/A</v>
      </c>
      <c r="T593" s="36">
        <v>0.0</v>
      </c>
      <c r="U593" s="36">
        <v>0.0</v>
      </c>
      <c r="V593" s="36">
        <v>0.0</v>
      </c>
      <c r="W593" s="36">
        <v>0.0</v>
      </c>
      <c r="X593" s="36">
        <v>0.0</v>
      </c>
      <c r="Y593" s="36">
        <v>0.0</v>
      </c>
    </row>
    <row r="594">
      <c r="A594" s="32" t="s">
        <v>1954</v>
      </c>
      <c r="B594" s="32" t="s">
        <v>1954</v>
      </c>
      <c r="C594" s="32">
        <v>0.0</v>
      </c>
      <c r="D594" s="32" t="e">
        <v>#N/A</v>
      </c>
      <c r="E594" s="39"/>
      <c r="F594" s="32" t="e">
        <v>#N/A</v>
      </c>
      <c r="G594" s="39"/>
      <c r="H594" s="32" t="e">
        <v>#N/A</v>
      </c>
      <c r="I594" s="39"/>
      <c r="J594" s="32">
        <v>0.0</v>
      </c>
      <c r="K594" s="33" t="e">
        <v>#N/A</v>
      </c>
      <c r="L594" s="32" t="e">
        <v>#N/A</v>
      </c>
      <c r="M594" s="32" t="e">
        <v>#N/A</v>
      </c>
      <c r="N594" s="33" t="s">
        <v>1921</v>
      </c>
      <c r="O594" s="33" t="s">
        <v>52</v>
      </c>
      <c r="P594" s="32" t="e">
        <v>#REF!</v>
      </c>
      <c r="Q594" s="32" t="e">
        <v>#N/A</v>
      </c>
      <c r="R594" s="42" t="e">
        <v>#N/A</v>
      </c>
      <c r="S594" s="42" t="e">
        <v>#N/A</v>
      </c>
      <c r="T594" s="36">
        <v>0.0</v>
      </c>
      <c r="U594" s="36">
        <v>0.0</v>
      </c>
      <c r="V594" s="36">
        <v>0.0</v>
      </c>
      <c r="W594" s="36">
        <v>0.0</v>
      </c>
      <c r="X594" s="36">
        <v>0.0</v>
      </c>
      <c r="Y594" s="36">
        <v>0.0</v>
      </c>
    </row>
    <row r="595">
      <c r="A595" s="32" t="s">
        <v>1943</v>
      </c>
      <c r="B595" s="32" t="s">
        <v>1943</v>
      </c>
      <c r="C595" s="32">
        <v>0.0</v>
      </c>
      <c r="D595" s="32" t="e">
        <v>#N/A</v>
      </c>
      <c r="E595" s="39"/>
      <c r="F595" s="32" t="e">
        <v>#N/A</v>
      </c>
      <c r="G595" s="39"/>
      <c r="H595" s="32" t="e">
        <v>#N/A</v>
      </c>
      <c r="I595" s="39"/>
      <c r="J595" s="32">
        <v>0.0</v>
      </c>
      <c r="K595" s="33" t="e">
        <v>#N/A</v>
      </c>
      <c r="L595" s="32" t="e">
        <v>#N/A</v>
      </c>
      <c r="M595" s="32" t="e">
        <v>#N/A</v>
      </c>
      <c r="N595" s="33" t="s">
        <v>1921</v>
      </c>
      <c r="O595" s="33" t="s">
        <v>52</v>
      </c>
      <c r="P595" s="32" t="e">
        <v>#REF!</v>
      </c>
      <c r="Q595" s="32" t="e">
        <v>#N/A</v>
      </c>
      <c r="R595" s="42" t="e">
        <v>#N/A</v>
      </c>
      <c r="S595" s="42" t="e">
        <v>#N/A</v>
      </c>
      <c r="T595" s="36">
        <v>0.0</v>
      </c>
      <c r="U595" s="36">
        <v>0.0</v>
      </c>
      <c r="V595" s="36">
        <v>0.0</v>
      </c>
      <c r="W595" s="36">
        <v>0.0</v>
      </c>
      <c r="X595" s="36">
        <v>0.0</v>
      </c>
      <c r="Y595" s="36">
        <v>0.0</v>
      </c>
    </row>
    <row r="596">
      <c r="A596" s="32" t="s">
        <v>1950</v>
      </c>
      <c r="B596" s="32" t="s">
        <v>1950</v>
      </c>
      <c r="C596" s="32">
        <v>0.0</v>
      </c>
      <c r="D596" s="32" t="e">
        <v>#N/A</v>
      </c>
      <c r="E596" s="39"/>
      <c r="F596" s="32" t="e">
        <v>#N/A</v>
      </c>
      <c r="G596" s="39"/>
      <c r="H596" s="32" t="e">
        <v>#N/A</v>
      </c>
      <c r="I596" s="39"/>
      <c r="J596" s="32">
        <v>0.0</v>
      </c>
      <c r="K596" s="33" t="e">
        <v>#N/A</v>
      </c>
      <c r="L596" s="32" t="e">
        <v>#N/A</v>
      </c>
      <c r="M596" s="32" t="e">
        <v>#N/A</v>
      </c>
      <c r="N596" s="33" t="s">
        <v>1921</v>
      </c>
      <c r="O596" s="33" t="s">
        <v>52</v>
      </c>
      <c r="P596" s="32" t="e">
        <v>#REF!</v>
      </c>
      <c r="Q596" s="32" t="e">
        <v>#N/A</v>
      </c>
      <c r="R596" s="42" t="e">
        <v>#N/A</v>
      </c>
      <c r="S596" s="42" t="e">
        <v>#N/A</v>
      </c>
      <c r="T596" s="36">
        <v>0.0</v>
      </c>
      <c r="U596" s="36">
        <v>0.0</v>
      </c>
      <c r="V596" s="36">
        <v>0.0</v>
      </c>
      <c r="W596" s="36">
        <v>0.0</v>
      </c>
      <c r="X596" s="36">
        <v>0.0</v>
      </c>
      <c r="Y596" s="36">
        <v>0.0</v>
      </c>
    </row>
    <row r="597">
      <c r="A597" s="32" t="s">
        <v>1953</v>
      </c>
      <c r="B597" s="32" t="s">
        <v>1953</v>
      </c>
      <c r="C597" s="32">
        <v>0.0</v>
      </c>
      <c r="D597" s="32" t="e">
        <v>#N/A</v>
      </c>
      <c r="E597" s="39"/>
      <c r="F597" s="32" t="e">
        <v>#N/A</v>
      </c>
      <c r="G597" s="39"/>
      <c r="H597" s="32" t="e">
        <v>#N/A</v>
      </c>
      <c r="I597" s="39"/>
      <c r="J597" s="32">
        <v>0.0</v>
      </c>
      <c r="K597" s="33" t="e">
        <v>#N/A</v>
      </c>
      <c r="L597" s="32" t="e">
        <v>#N/A</v>
      </c>
      <c r="M597" s="32" t="e">
        <v>#N/A</v>
      </c>
      <c r="N597" s="33" t="s">
        <v>1921</v>
      </c>
      <c r="O597" s="33" t="s">
        <v>52</v>
      </c>
      <c r="P597" s="32" t="e">
        <v>#REF!</v>
      </c>
      <c r="Q597" s="32" t="e">
        <v>#N/A</v>
      </c>
      <c r="R597" s="42" t="e">
        <v>#N/A</v>
      </c>
      <c r="S597" s="42" t="e">
        <v>#N/A</v>
      </c>
      <c r="T597" s="36">
        <v>0.0</v>
      </c>
      <c r="U597" s="36">
        <v>0.0</v>
      </c>
      <c r="V597" s="36">
        <v>0.0</v>
      </c>
      <c r="W597" s="36">
        <v>0.0</v>
      </c>
      <c r="X597" s="36">
        <v>0.0</v>
      </c>
      <c r="Y597" s="36">
        <v>0.0</v>
      </c>
    </row>
    <row r="598">
      <c r="A598" s="32" t="s">
        <v>1923</v>
      </c>
      <c r="B598" s="32" t="s">
        <v>1923</v>
      </c>
      <c r="C598" s="32">
        <v>0.0</v>
      </c>
      <c r="D598" s="32" t="e">
        <v>#N/A</v>
      </c>
      <c r="E598" s="39"/>
      <c r="F598" s="32" t="e">
        <v>#N/A</v>
      </c>
      <c r="G598" s="39"/>
      <c r="H598" s="32" t="e">
        <v>#N/A</v>
      </c>
      <c r="I598" s="39"/>
      <c r="J598" s="32">
        <v>0.0</v>
      </c>
      <c r="K598" s="33" t="e">
        <v>#N/A</v>
      </c>
      <c r="L598" s="32" t="e">
        <v>#N/A</v>
      </c>
      <c r="M598" s="32" t="e">
        <v>#N/A</v>
      </c>
      <c r="N598" s="33" t="s">
        <v>1921</v>
      </c>
      <c r="O598" s="33" t="s">
        <v>52</v>
      </c>
      <c r="P598" s="32" t="e">
        <v>#REF!</v>
      </c>
      <c r="Q598" s="32" t="e">
        <v>#N/A</v>
      </c>
      <c r="R598" s="42" t="e">
        <v>#N/A</v>
      </c>
      <c r="S598" s="42" t="e">
        <v>#N/A</v>
      </c>
      <c r="T598" s="36">
        <v>0.0</v>
      </c>
      <c r="U598" s="36">
        <v>0.0</v>
      </c>
      <c r="V598" s="36">
        <v>0.0</v>
      </c>
      <c r="W598" s="36">
        <v>0.0</v>
      </c>
      <c r="X598" s="36">
        <v>0.0</v>
      </c>
      <c r="Y598" s="36">
        <v>0.0</v>
      </c>
    </row>
    <row r="599">
      <c r="A599" s="32" t="s">
        <v>1920</v>
      </c>
      <c r="B599" s="32" t="s">
        <v>1920</v>
      </c>
      <c r="C599" s="32">
        <v>0.0</v>
      </c>
      <c r="D599" s="32" t="e">
        <v>#N/A</v>
      </c>
      <c r="E599" s="39"/>
      <c r="F599" s="32" t="e">
        <v>#N/A</v>
      </c>
      <c r="G599" s="39"/>
      <c r="H599" s="32" t="e">
        <v>#N/A</v>
      </c>
      <c r="I599" s="39"/>
      <c r="J599" s="32">
        <v>0.0</v>
      </c>
      <c r="K599" s="33" t="e">
        <v>#N/A</v>
      </c>
      <c r="L599" s="32" t="e">
        <v>#N/A</v>
      </c>
      <c r="M599" s="32" t="e">
        <v>#N/A</v>
      </c>
      <c r="N599" s="33" t="s">
        <v>1921</v>
      </c>
      <c r="O599" s="33" t="s">
        <v>52</v>
      </c>
      <c r="P599" s="32" t="e">
        <v>#REF!</v>
      </c>
      <c r="Q599" s="32" t="e">
        <v>#N/A</v>
      </c>
      <c r="R599" s="42" t="e">
        <v>#N/A</v>
      </c>
      <c r="S599" s="42" t="e">
        <v>#N/A</v>
      </c>
      <c r="T599" s="36">
        <v>0.0</v>
      </c>
      <c r="U599" s="36">
        <v>0.0</v>
      </c>
      <c r="V599" s="36">
        <v>0.0</v>
      </c>
      <c r="W599" s="36">
        <v>0.0</v>
      </c>
      <c r="X599" s="36">
        <v>0.0</v>
      </c>
      <c r="Y599" s="36">
        <v>0.0</v>
      </c>
    </row>
    <row r="600">
      <c r="A600" s="32" t="s">
        <v>1924</v>
      </c>
      <c r="B600" s="32" t="s">
        <v>1924</v>
      </c>
      <c r="C600" s="32">
        <v>0.0</v>
      </c>
      <c r="D600" s="32" t="e">
        <v>#N/A</v>
      </c>
      <c r="E600" s="39"/>
      <c r="F600" s="32" t="e">
        <v>#N/A</v>
      </c>
      <c r="G600" s="39"/>
      <c r="H600" s="32" t="e">
        <v>#N/A</v>
      </c>
      <c r="I600" s="39"/>
      <c r="J600" s="32">
        <v>0.0</v>
      </c>
      <c r="K600" s="33" t="e">
        <v>#N/A</v>
      </c>
      <c r="L600" s="32" t="e">
        <v>#N/A</v>
      </c>
      <c r="M600" s="32" t="e">
        <v>#N/A</v>
      </c>
      <c r="N600" s="33" t="s">
        <v>1921</v>
      </c>
      <c r="O600" s="33" t="s">
        <v>52</v>
      </c>
      <c r="P600" s="32" t="e">
        <v>#REF!</v>
      </c>
      <c r="Q600" s="32" t="e">
        <v>#N/A</v>
      </c>
      <c r="R600" s="42" t="e">
        <v>#N/A</v>
      </c>
      <c r="S600" s="42" t="e">
        <v>#N/A</v>
      </c>
      <c r="T600" s="36">
        <v>0.0</v>
      </c>
      <c r="U600" s="36">
        <v>0.0</v>
      </c>
      <c r="V600" s="36">
        <v>0.0</v>
      </c>
      <c r="W600" s="36">
        <v>0.0</v>
      </c>
      <c r="X600" s="36">
        <v>0.0</v>
      </c>
      <c r="Y600" s="36">
        <v>0.0</v>
      </c>
    </row>
    <row r="601">
      <c r="A601" s="32" t="s">
        <v>1931</v>
      </c>
      <c r="B601" s="32" t="s">
        <v>1931</v>
      </c>
      <c r="C601" s="32">
        <v>0.0</v>
      </c>
      <c r="D601" s="32" t="e">
        <v>#N/A</v>
      </c>
      <c r="E601" s="39"/>
      <c r="F601" s="32" t="e">
        <v>#N/A</v>
      </c>
      <c r="G601" s="39"/>
      <c r="H601" s="32" t="e">
        <v>#N/A</v>
      </c>
      <c r="I601" s="39"/>
      <c r="J601" s="32">
        <v>0.0</v>
      </c>
      <c r="K601" s="33" t="e">
        <v>#N/A</v>
      </c>
      <c r="L601" s="32" t="e">
        <v>#N/A</v>
      </c>
      <c r="M601" s="32" t="e">
        <v>#N/A</v>
      </c>
      <c r="N601" s="33" t="s">
        <v>1921</v>
      </c>
      <c r="O601" s="33" t="s">
        <v>52</v>
      </c>
      <c r="P601" s="32" t="e">
        <v>#REF!</v>
      </c>
      <c r="Q601" s="32" t="e">
        <v>#N/A</v>
      </c>
      <c r="R601" s="42" t="e">
        <v>#N/A</v>
      </c>
      <c r="S601" s="42" t="e">
        <v>#N/A</v>
      </c>
      <c r="T601" s="36">
        <v>0.0</v>
      </c>
      <c r="U601" s="36">
        <v>0.0</v>
      </c>
      <c r="V601" s="36">
        <v>0.0</v>
      </c>
      <c r="W601" s="36">
        <v>0.0</v>
      </c>
      <c r="X601" s="36">
        <v>0.0</v>
      </c>
      <c r="Y601" s="36">
        <v>0.0</v>
      </c>
    </row>
    <row r="602">
      <c r="A602" s="32" t="s">
        <v>1925</v>
      </c>
      <c r="B602" s="32" t="s">
        <v>1925</v>
      </c>
      <c r="C602" s="32">
        <v>0.0</v>
      </c>
      <c r="D602" s="32" t="e">
        <v>#N/A</v>
      </c>
      <c r="E602" s="39"/>
      <c r="F602" s="32" t="e">
        <v>#N/A</v>
      </c>
      <c r="G602" s="39"/>
      <c r="H602" s="32" t="e">
        <v>#N/A</v>
      </c>
      <c r="I602" s="39"/>
      <c r="J602" s="32">
        <v>0.0</v>
      </c>
      <c r="K602" s="33" t="e">
        <v>#N/A</v>
      </c>
      <c r="L602" s="32" t="e">
        <v>#N/A</v>
      </c>
      <c r="M602" s="32" t="e">
        <v>#N/A</v>
      </c>
      <c r="N602" s="33" t="s">
        <v>1921</v>
      </c>
      <c r="O602" s="33" t="s">
        <v>52</v>
      </c>
      <c r="P602" s="32" t="e">
        <v>#REF!</v>
      </c>
      <c r="Q602" s="32" t="e">
        <v>#N/A</v>
      </c>
      <c r="R602" s="42" t="e">
        <v>#N/A</v>
      </c>
      <c r="S602" s="42" t="e">
        <v>#N/A</v>
      </c>
      <c r="T602" s="36">
        <v>0.0</v>
      </c>
      <c r="U602" s="36">
        <v>0.0</v>
      </c>
      <c r="V602" s="36">
        <v>0.0</v>
      </c>
      <c r="W602" s="36">
        <v>0.0</v>
      </c>
      <c r="X602" s="36">
        <v>0.0</v>
      </c>
      <c r="Y602" s="36">
        <v>0.0</v>
      </c>
    </row>
    <row r="603">
      <c r="A603" s="32" t="s">
        <v>1926</v>
      </c>
      <c r="B603" s="32" t="s">
        <v>1926</v>
      </c>
      <c r="C603" s="32">
        <v>0.0</v>
      </c>
      <c r="D603" s="32" t="e">
        <v>#N/A</v>
      </c>
      <c r="E603" s="39"/>
      <c r="F603" s="32" t="e">
        <v>#N/A</v>
      </c>
      <c r="G603" s="39"/>
      <c r="H603" s="32" t="e">
        <v>#N/A</v>
      </c>
      <c r="I603" s="39"/>
      <c r="J603" s="32">
        <v>0.0</v>
      </c>
      <c r="K603" s="33" t="e">
        <v>#N/A</v>
      </c>
      <c r="L603" s="32" t="e">
        <v>#N/A</v>
      </c>
      <c r="M603" s="32" t="e">
        <v>#N/A</v>
      </c>
      <c r="N603" s="33" t="s">
        <v>1921</v>
      </c>
      <c r="O603" s="33" t="s">
        <v>52</v>
      </c>
      <c r="P603" s="32" t="e">
        <v>#REF!</v>
      </c>
      <c r="Q603" s="32" t="e">
        <v>#N/A</v>
      </c>
      <c r="R603" s="42" t="e">
        <v>#N/A</v>
      </c>
      <c r="S603" s="42" t="e">
        <v>#N/A</v>
      </c>
      <c r="T603" s="36">
        <v>0.0</v>
      </c>
      <c r="U603" s="36">
        <v>0.0</v>
      </c>
      <c r="V603" s="36">
        <v>0.0</v>
      </c>
      <c r="W603" s="36">
        <v>0.0</v>
      </c>
      <c r="X603" s="36">
        <v>0.0</v>
      </c>
      <c r="Y603" s="36">
        <v>0.0</v>
      </c>
    </row>
    <row r="604">
      <c r="A604" s="32" t="s">
        <v>1922</v>
      </c>
      <c r="B604" s="32" t="s">
        <v>1922</v>
      </c>
      <c r="C604" s="32">
        <v>0.0</v>
      </c>
      <c r="D604" s="32" t="e">
        <v>#N/A</v>
      </c>
      <c r="E604" s="39"/>
      <c r="F604" s="32" t="e">
        <v>#N/A</v>
      </c>
      <c r="G604" s="39"/>
      <c r="H604" s="32" t="e">
        <v>#N/A</v>
      </c>
      <c r="I604" s="39"/>
      <c r="J604" s="32">
        <v>0.0</v>
      </c>
      <c r="K604" s="33" t="e">
        <v>#N/A</v>
      </c>
      <c r="L604" s="32" t="e">
        <v>#N/A</v>
      </c>
      <c r="M604" s="32" t="e">
        <v>#N/A</v>
      </c>
      <c r="N604" s="33" t="s">
        <v>1921</v>
      </c>
      <c r="O604" s="33" t="s">
        <v>52</v>
      </c>
      <c r="P604" s="32" t="e">
        <v>#REF!</v>
      </c>
      <c r="Q604" s="32" t="e">
        <v>#N/A</v>
      </c>
      <c r="R604" s="42" t="e">
        <v>#N/A</v>
      </c>
      <c r="S604" s="42" t="e">
        <v>#N/A</v>
      </c>
      <c r="T604" s="36">
        <v>0.0</v>
      </c>
      <c r="U604" s="36">
        <v>0.0</v>
      </c>
      <c r="V604" s="36">
        <v>0.0</v>
      </c>
      <c r="W604" s="36">
        <v>0.0</v>
      </c>
      <c r="X604" s="36">
        <v>0.0</v>
      </c>
      <c r="Y604" s="36">
        <v>0.0</v>
      </c>
    </row>
    <row r="605">
      <c r="A605" s="32" t="s">
        <v>1930</v>
      </c>
      <c r="B605" s="32" t="s">
        <v>1930</v>
      </c>
      <c r="C605" s="32">
        <v>0.0</v>
      </c>
      <c r="D605" s="32" t="e">
        <v>#N/A</v>
      </c>
      <c r="E605" s="39"/>
      <c r="F605" s="32" t="e">
        <v>#N/A</v>
      </c>
      <c r="G605" s="39"/>
      <c r="H605" s="32" t="e">
        <v>#N/A</v>
      </c>
      <c r="I605" s="39"/>
      <c r="J605" s="32">
        <v>0.0</v>
      </c>
      <c r="K605" s="33" t="e">
        <v>#N/A</v>
      </c>
      <c r="L605" s="32" t="e">
        <v>#N/A</v>
      </c>
      <c r="M605" s="32" t="e">
        <v>#N/A</v>
      </c>
      <c r="N605" s="33" t="s">
        <v>1921</v>
      </c>
      <c r="O605" s="33" t="s">
        <v>52</v>
      </c>
      <c r="P605" s="32" t="e">
        <v>#REF!</v>
      </c>
      <c r="Q605" s="32" t="e">
        <v>#N/A</v>
      </c>
      <c r="R605" s="42" t="e">
        <v>#N/A</v>
      </c>
      <c r="S605" s="42" t="e">
        <v>#N/A</v>
      </c>
      <c r="T605" s="36">
        <v>0.0</v>
      </c>
      <c r="U605" s="36">
        <v>0.0</v>
      </c>
      <c r="V605" s="36">
        <v>0.0</v>
      </c>
      <c r="W605" s="36">
        <v>0.0</v>
      </c>
      <c r="X605" s="36">
        <v>0.0</v>
      </c>
      <c r="Y605" s="36">
        <v>0.0</v>
      </c>
    </row>
    <row r="606">
      <c r="A606" s="32" t="s">
        <v>1932</v>
      </c>
      <c r="B606" s="32" t="s">
        <v>1932</v>
      </c>
      <c r="C606" s="32">
        <v>0.0</v>
      </c>
      <c r="D606" s="32" t="e">
        <v>#N/A</v>
      </c>
      <c r="E606" s="39"/>
      <c r="F606" s="32" t="e">
        <v>#N/A</v>
      </c>
      <c r="G606" s="39"/>
      <c r="H606" s="32" t="e">
        <v>#N/A</v>
      </c>
      <c r="I606" s="39"/>
      <c r="J606" s="32">
        <v>0.0</v>
      </c>
      <c r="K606" s="33" t="e">
        <v>#N/A</v>
      </c>
      <c r="L606" s="32" t="e">
        <v>#N/A</v>
      </c>
      <c r="M606" s="32" t="e">
        <v>#N/A</v>
      </c>
      <c r="N606" s="33" t="s">
        <v>1921</v>
      </c>
      <c r="O606" s="33" t="s">
        <v>52</v>
      </c>
      <c r="P606" s="32" t="e">
        <v>#REF!</v>
      </c>
      <c r="Q606" s="32" t="e">
        <v>#N/A</v>
      </c>
      <c r="R606" s="42" t="e">
        <v>#N/A</v>
      </c>
      <c r="S606" s="42" t="e">
        <v>#N/A</v>
      </c>
      <c r="T606" s="36">
        <v>0.0</v>
      </c>
      <c r="U606" s="36">
        <v>0.0</v>
      </c>
      <c r="V606" s="36">
        <v>0.0</v>
      </c>
      <c r="W606" s="36">
        <v>0.0</v>
      </c>
      <c r="X606" s="36">
        <v>0.0</v>
      </c>
      <c r="Y606" s="36">
        <v>0.0</v>
      </c>
    </row>
    <row r="607">
      <c r="A607" s="32" t="s">
        <v>3478</v>
      </c>
      <c r="B607" s="32" t="s">
        <v>3478</v>
      </c>
      <c r="C607" s="32">
        <v>0.0</v>
      </c>
      <c r="D607" s="32" t="e">
        <v>#N/A</v>
      </c>
      <c r="E607" s="39"/>
      <c r="F607" s="32" t="e">
        <v>#N/A</v>
      </c>
      <c r="G607" s="39"/>
      <c r="H607" s="32" t="e">
        <v>#N/A</v>
      </c>
      <c r="I607" s="39"/>
      <c r="J607" s="32">
        <v>0.0</v>
      </c>
      <c r="K607" s="33" t="e">
        <v>#N/A</v>
      </c>
      <c r="L607" s="32" t="e">
        <v>#N/A</v>
      </c>
      <c r="M607" s="32" t="e">
        <v>#N/A</v>
      </c>
      <c r="N607" s="32" t="e">
        <v>#N/A</v>
      </c>
      <c r="O607" s="32" t="e">
        <v>#N/A</v>
      </c>
      <c r="P607" s="32" t="e">
        <v>#REF!</v>
      </c>
      <c r="Q607" s="38"/>
      <c r="R607" s="42" t="e">
        <v>#N/A</v>
      </c>
      <c r="S607" s="38"/>
      <c r="T607" s="36">
        <v>0.0</v>
      </c>
      <c r="U607" s="36">
        <v>0.0</v>
      </c>
      <c r="V607" s="36">
        <v>0.0</v>
      </c>
      <c r="W607" s="36">
        <v>0.0</v>
      </c>
      <c r="X607" s="36">
        <v>0.0</v>
      </c>
      <c r="Y607" s="36">
        <v>0.0</v>
      </c>
    </row>
    <row r="608">
      <c r="A608" s="32" t="s">
        <v>3448</v>
      </c>
      <c r="B608" s="32" t="s">
        <v>3448</v>
      </c>
      <c r="C608" s="32">
        <v>0.0</v>
      </c>
      <c r="D608" s="32" t="e">
        <v>#N/A</v>
      </c>
      <c r="E608" s="39"/>
      <c r="F608" s="32" t="e">
        <v>#N/A</v>
      </c>
      <c r="G608" s="39"/>
      <c r="H608" s="32" t="e">
        <v>#N/A</v>
      </c>
      <c r="I608" s="39"/>
      <c r="J608" s="32">
        <v>0.0</v>
      </c>
      <c r="K608" s="33" t="e">
        <v>#N/A</v>
      </c>
      <c r="L608" s="32" t="e">
        <v>#N/A</v>
      </c>
      <c r="M608" s="32" t="e">
        <v>#N/A</v>
      </c>
      <c r="N608" s="32" t="e">
        <v>#N/A</v>
      </c>
      <c r="O608" s="32" t="e">
        <v>#N/A</v>
      </c>
      <c r="P608" s="32" t="e">
        <v>#REF!</v>
      </c>
      <c r="Q608" s="38"/>
      <c r="R608" s="42" t="e">
        <v>#N/A</v>
      </c>
      <c r="S608" s="38"/>
      <c r="T608" s="36">
        <v>0.0</v>
      </c>
      <c r="U608" s="36">
        <v>0.0</v>
      </c>
      <c r="V608" s="36">
        <v>0.0</v>
      </c>
      <c r="W608" s="36">
        <v>0.0</v>
      </c>
      <c r="X608" s="36">
        <v>0.0</v>
      </c>
      <c r="Y608" s="36">
        <v>0.0</v>
      </c>
    </row>
    <row r="609">
      <c r="A609" s="32" t="s">
        <v>1519</v>
      </c>
      <c r="B609" s="32" t="s">
        <v>1519</v>
      </c>
      <c r="C609" s="32">
        <v>0.0</v>
      </c>
      <c r="D609" s="32" t="e">
        <v>#N/A</v>
      </c>
      <c r="E609" s="39"/>
      <c r="F609" s="32" t="e">
        <v>#N/A</v>
      </c>
      <c r="G609" s="39"/>
      <c r="H609" s="32" t="e">
        <v>#N/A</v>
      </c>
      <c r="I609" s="39"/>
      <c r="J609" s="32">
        <v>0.0</v>
      </c>
      <c r="K609" s="33" t="e">
        <v>#N/A</v>
      </c>
      <c r="L609" s="32" t="e">
        <v>#N/A</v>
      </c>
      <c r="M609" s="32" t="e">
        <v>#N/A</v>
      </c>
      <c r="N609" s="32" t="e">
        <v>#N/A</v>
      </c>
      <c r="O609" s="32" t="e">
        <v>#N/A</v>
      </c>
      <c r="P609" s="32" t="e">
        <v>#REF!</v>
      </c>
      <c r="Q609" s="38"/>
      <c r="R609" s="42" t="e">
        <v>#N/A</v>
      </c>
      <c r="S609" s="38"/>
      <c r="T609" s="36">
        <v>0.0</v>
      </c>
      <c r="U609" s="36">
        <v>0.0</v>
      </c>
      <c r="V609" s="36">
        <v>0.0</v>
      </c>
      <c r="W609" s="36">
        <v>0.0</v>
      </c>
      <c r="X609" s="36">
        <v>0.0</v>
      </c>
      <c r="Y609" s="36">
        <v>0.0</v>
      </c>
    </row>
    <row r="610">
      <c r="A610" s="32" t="s">
        <v>3906</v>
      </c>
      <c r="B610" s="32" t="s">
        <v>3906</v>
      </c>
      <c r="C610" s="32">
        <v>0.0</v>
      </c>
      <c r="D610" s="32" t="e">
        <v>#N/A</v>
      </c>
      <c r="E610" s="39"/>
      <c r="F610" s="32" t="e">
        <v>#N/A</v>
      </c>
      <c r="G610" s="39"/>
      <c r="H610" s="32" t="e">
        <v>#N/A</v>
      </c>
      <c r="I610" s="39"/>
      <c r="J610" s="32">
        <v>0.0</v>
      </c>
      <c r="K610" s="33" t="e">
        <v>#N/A</v>
      </c>
      <c r="L610" s="32" t="e">
        <v>#N/A</v>
      </c>
      <c r="M610" s="32" t="e">
        <v>#N/A</v>
      </c>
      <c r="N610" s="32" t="e">
        <v>#N/A</v>
      </c>
      <c r="O610" s="32" t="e">
        <v>#N/A</v>
      </c>
      <c r="P610" s="32" t="e">
        <v>#REF!</v>
      </c>
      <c r="Q610" s="32" t="e">
        <v>#N/A</v>
      </c>
      <c r="R610" s="42" t="e">
        <v>#N/A</v>
      </c>
      <c r="S610" s="42" t="e">
        <v>#N/A</v>
      </c>
      <c r="T610" s="36">
        <v>0.0</v>
      </c>
      <c r="U610" s="36">
        <v>0.0</v>
      </c>
      <c r="V610" s="36">
        <v>0.0</v>
      </c>
      <c r="W610" s="36">
        <v>0.0</v>
      </c>
      <c r="X610" s="36">
        <v>0.0</v>
      </c>
      <c r="Y610" s="36">
        <v>0.0</v>
      </c>
    </row>
    <row r="611">
      <c r="A611" s="32" t="s">
        <v>3912</v>
      </c>
      <c r="B611" s="32" t="s">
        <v>3912</v>
      </c>
      <c r="C611" s="32">
        <v>0.0</v>
      </c>
      <c r="D611" s="32" t="e">
        <v>#N/A</v>
      </c>
      <c r="E611" s="39"/>
      <c r="F611" s="32" t="e">
        <v>#N/A</v>
      </c>
      <c r="G611" s="39"/>
      <c r="H611" s="32" t="e">
        <v>#N/A</v>
      </c>
      <c r="I611" s="39"/>
      <c r="J611" s="32">
        <v>0.0</v>
      </c>
      <c r="K611" s="33" t="e">
        <v>#N/A</v>
      </c>
      <c r="L611" s="32" t="e">
        <v>#N/A</v>
      </c>
      <c r="M611" s="32" t="e">
        <v>#N/A</v>
      </c>
      <c r="N611" s="32" t="e">
        <v>#N/A</v>
      </c>
      <c r="O611" s="32" t="e">
        <v>#N/A</v>
      </c>
      <c r="P611" s="32" t="e">
        <v>#REF!</v>
      </c>
      <c r="Q611" s="32" t="e">
        <v>#N/A</v>
      </c>
      <c r="R611" s="42" t="e">
        <v>#N/A</v>
      </c>
      <c r="S611" s="42" t="e">
        <v>#N/A</v>
      </c>
      <c r="T611" s="36">
        <v>0.0</v>
      </c>
      <c r="U611" s="36">
        <v>0.0</v>
      </c>
      <c r="V611" s="36">
        <v>0.0</v>
      </c>
      <c r="W611" s="36">
        <v>0.0</v>
      </c>
      <c r="X611" s="36">
        <v>0.0</v>
      </c>
      <c r="Y611" s="36">
        <v>0.0</v>
      </c>
    </row>
    <row r="612">
      <c r="A612" s="32" t="s">
        <v>3915</v>
      </c>
      <c r="B612" s="32" t="s">
        <v>3915</v>
      </c>
      <c r="C612" s="32">
        <v>0.0</v>
      </c>
      <c r="D612" s="32" t="e">
        <v>#N/A</v>
      </c>
      <c r="E612" s="39"/>
      <c r="F612" s="32" t="e">
        <v>#N/A</v>
      </c>
      <c r="G612" s="39"/>
      <c r="H612" s="32" t="e">
        <v>#N/A</v>
      </c>
      <c r="I612" s="39"/>
      <c r="J612" s="32">
        <v>0.0</v>
      </c>
      <c r="K612" s="33" t="e">
        <v>#N/A</v>
      </c>
      <c r="L612" s="32" t="e">
        <v>#N/A</v>
      </c>
      <c r="M612" s="32" t="e">
        <v>#N/A</v>
      </c>
      <c r="N612" s="32" t="e">
        <v>#N/A</v>
      </c>
      <c r="O612" s="32" t="e">
        <v>#N/A</v>
      </c>
      <c r="P612" s="32" t="e">
        <v>#REF!</v>
      </c>
      <c r="Q612" s="32" t="e">
        <v>#N/A</v>
      </c>
      <c r="R612" s="42" t="e">
        <v>#N/A</v>
      </c>
      <c r="S612" s="42" t="e">
        <v>#N/A</v>
      </c>
      <c r="T612" s="36">
        <v>0.0</v>
      </c>
      <c r="U612" s="36">
        <v>0.0</v>
      </c>
      <c r="V612" s="36">
        <v>0.0</v>
      </c>
      <c r="W612" s="36">
        <v>0.0</v>
      </c>
      <c r="X612" s="36">
        <v>0.0</v>
      </c>
      <c r="Y612" s="36">
        <v>0.0</v>
      </c>
    </row>
    <row r="613">
      <c r="A613" s="32" t="s">
        <v>3918</v>
      </c>
      <c r="B613" s="32" t="s">
        <v>3918</v>
      </c>
      <c r="C613" s="32">
        <v>0.0</v>
      </c>
      <c r="D613" s="32" t="e">
        <v>#N/A</v>
      </c>
      <c r="E613" s="39"/>
      <c r="F613" s="32" t="e">
        <v>#N/A</v>
      </c>
      <c r="G613" s="39"/>
      <c r="H613" s="32" t="e">
        <v>#N/A</v>
      </c>
      <c r="I613" s="39"/>
      <c r="J613" s="32">
        <v>0.0</v>
      </c>
      <c r="K613" s="33" t="e">
        <v>#N/A</v>
      </c>
      <c r="L613" s="32" t="e">
        <v>#N/A</v>
      </c>
      <c r="M613" s="32" t="e">
        <v>#N/A</v>
      </c>
      <c r="N613" s="32" t="e">
        <v>#N/A</v>
      </c>
      <c r="O613" s="32" t="e">
        <v>#N/A</v>
      </c>
      <c r="P613" s="32" t="e">
        <v>#REF!</v>
      </c>
      <c r="Q613" s="32" t="e">
        <v>#N/A</v>
      </c>
      <c r="R613" s="42" t="e">
        <v>#N/A</v>
      </c>
      <c r="S613" s="42" t="e">
        <v>#N/A</v>
      </c>
      <c r="T613" s="36">
        <v>0.0</v>
      </c>
      <c r="U613" s="36">
        <v>0.0</v>
      </c>
      <c r="V613" s="36">
        <v>0.0</v>
      </c>
      <c r="W613" s="36">
        <v>0.0</v>
      </c>
      <c r="X613" s="36">
        <v>0.0</v>
      </c>
      <c r="Y613" s="36">
        <v>0.0</v>
      </c>
    </row>
    <row r="614">
      <c r="A614" s="32" t="s">
        <v>3910</v>
      </c>
      <c r="B614" s="32" t="s">
        <v>3910</v>
      </c>
      <c r="C614" s="32">
        <v>0.0</v>
      </c>
      <c r="D614" s="32" t="e">
        <v>#N/A</v>
      </c>
      <c r="E614" s="39"/>
      <c r="F614" s="32" t="e">
        <v>#N/A</v>
      </c>
      <c r="G614" s="39"/>
      <c r="H614" s="32" t="e">
        <v>#N/A</v>
      </c>
      <c r="I614" s="39"/>
      <c r="J614" s="32">
        <v>0.0</v>
      </c>
      <c r="K614" s="33" t="e">
        <v>#N/A</v>
      </c>
      <c r="L614" s="32" t="e">
        <v>#N/A</v>
      </c>
      <c r="M614" s="32" t="e">
        <v>#N/A</v>
      </c>
      <c r="N614" s="32" t="e">
        <v>#N/A</v>
      </c>
      <c r="O614" s="32" t="e">
        <v>#N/A</v>
      </c>
      <c r="P614" s="32" t="e">
        <v>#REF!</v>
      </c>
      <c r="Q614" s="32" t="e">
        <v>#N/A</v>
      </c>
      <c r="R614" s="42" t="e">
        <v>#N/A</v>
      </c>
      <c r="S614" s="42" t="e">
        <v>#N/A</v>
      </c>
      <c r="T614" s="36">
        <v>0.0</v>
      </c>
      <c r="U614" s="36">
        <v>0.0</v>
      </c>
      <c r="V614" s="36">
        <v>0.0</v>
      </c>
      <c r="W614" s="36">
        <v>0.0</v>
      </c>
      <c r="X614" s="36">
        <v>0.0</v>
      </c>
      <c r="Y614" s="36">
        <v>0.0</v>
      </c>
    </row>
    <row r="615">
      <c r="A615" s="32" t="s">
        <v>3913</v>
      </c>
      <c r="B615" s="32" t="s">
        <v>3913</v>
      </c>
      <c r="C615" s="32">
        <v>0.0</v>
      </c>
      <c r="D615" s="32" t="e">
        <v>#N/A</v>
      </c>
      <c r="E615" s="39"/>
      <c r="F615" s="32" t="e">
        <v>#N/A</v>
      </c>
      <c r="G615" s="39"/>
      <c r="H615" s="32" t="e">
        <v>#N/A</v>
      </c>
      <c r="I615" s="39"/>
      <c r="J615" s="32">
        <v>0.0</v>
      </c>
      <c r="K615" s="33" t="e">
        <v>#N/A</v>
      </c>
      <c r="L615" s="32" t="e">
        <v>#N/A</v>
      </c>
      <c r="M615" s="32" t="e">
        <v>#N/A</v>
      </c>
      <c r="N615" s="32" t="e">
        <v>#N/A</v>
      </c>
      <c r="O615" s="32" t="e">
        <v>#N/A</v>
      </c>
      <c r="P615" s="32" t="e">
        <v>#REF!</v>
      </c>
      <c r="Q615" s="32" t="e">
        <v>#N/A</v>
      </c>
      <c r="R615" s="42" t="e">
        <v>#N/A</v>
      </c>
      <c r="S615" s="42" t="e">
        <v>#N/A</v>
      </c>
      <c r="T615" s="36">
        <v>0.0</v>
      </c>
      <c r="U615" s="36">
        <v>0.0</v>
      </c>
      <c r="V615" s="36">
        <v>0.0</v>
      </c>
      <c r="W615" s="36">
        <v>0.0</v>
      </c>
      <c r="X615" s="36">
        <v>0.0</v>
      </c>
      <c r="Y615" s="36">
        <v>0.0</v>
      </c>
    </row>
    <row r="616">
      <c r="A616" s="32" t="s">
        <v>3916</v>
      </c>
      <c r="B616" s="32" t="s">
        <v>3916</v>
      </c>
      <c r="C616" s="32">
        <v>0.0</v>
      </c>
      <c r="D616" s="32" t="e">
        <v>#N/A</v>
      </c>
      <c r="E616" s="39"/>
      <c r="F616" s="32" t="e">
        <v>#N/A</v>
      </c>
      <c r="G616" s="39"/>
      <c r="H616" s="32" t="e">
        <v>#N/A</v>
      </c>
      <c r="I616" s="39"/>
      <c r="J616" s="32">
        <v>0.0</v>
      </c>
      <c r="K616" s="33" t="e">
        <v>#N/A</v>
      </c>
      <c r="L616" s="32" t="e">
        <v>#N/A</v>
      </c>
      <c r="M616" s="32" t="e">
        <v>#N/A</v>
      </c>
      <c r="N616" s="32" t="e">
        <v>#N/A</v>
      </c>
      <c r="O616" s="32" t="e">
        <v>#N/A</v>
      </c>
      <c r="P616" s="32" t="e">
        <v>#REF!</v>
      </c>
      <c r="Q616" s="32" t="e">
        <v>#N/A</v>
      </c>
      <c r="R616" s="42" t="e">
        <v>#N/A</v>
      </c>
      <c r="S616" s="42" t="e">
        <v>#N/A</v>
      </c>
      <c r="T616" s="36">
        <v>0.0</v>
      </c>
      <c r="U616" s="36">
        <v>0.0</v>
      </c>
      <c r="V616" s="36">
        <v>0.0</v>
      </c>
      <c r="W616" s="36">
        <v>0.0</v>
      </c>
      <c r="X616" s="36">
        <v>0.0</v>
      </c>
      <c r="Y616" s="36">
        <v>0.0</v>
      </c>
    </row>
    <row r="617">
      <c r="A617" s="32" t="s">
        <v>3919</v>
      </c>
      <c r="B617" s="32" t="s">
        <v>3919</v>
      </c>
      <c r="C617" s="32">
        <v>0.0</v>
      </c>
      <c r="D617" s="32" t="e">
        <v>#N/A</v>
      </c>
      <c r="E617" s="39"/>
      <c r="F617" s="32" t="e">
        <v>#N/A</v>
      </c>
      <c r="G617" s="39"/>
      <c r="H617" s="32" t="e">
        <v>#N/A</v>
      </c>
      <c r="I617" s="39"/>
      <c r="J617" s="32">
        <v>0.0</v>
      </c>
      <c r="K617" s="33" t="e">
        <v>#N/A</v>
      </c>
      <c r="L617" s="32" t="e">
        <v>#N/A</v>
      </c>
      <c r="M617" s="32" t="e">
        <v>#N/A</v>
      </c>
      <c r="N617" s="32" t="e">
        <v>#N/A</v>
      </c>
      <c r="O617" s="32" t="e">
        <v>#N/A</v>
      </c>
      <c r="P617" s="32" t="e">
        <v>#REF!</v>
      </c>
      <c r="Q617" s="32" t="e">
        <v>#N/A</v>
      </c>
      <c r="R617" s="42" t="e">
        <v>#N/A</v>
      </c>
      <c r="S617" s="42" t="e">
        <v>#N/A</v>
      </c>
      <c r="T617" s="36">
        <v>0.0</v>
      </c>
      <c r="U617" s="36">
        <v>0.0</v>
      </c>
      <c r="V617" s="36">
        <v>0.0</v>
      </c>
      <c r="W617" s="36">
        <v>0.0</v>
      </c>
      <c r="X617" s="36">
        <v>0.0</v>
      </c>
      <c r="Y617" s="36">
        <v>0.0</v>
      </c>
    </row>
    <row r="618">
      <c r="A618" s="32" t="s">
        <v>3908</v>
      </c>
      <c r="B618" s="32" t="s">
        <v>3908</v>
      </c>
      <c r="C618" s="32">
        <v>0.0</v>
      </c>
      <c r="D618" s="32" t="e">
        <v>#N/A</v>
      </c>
      <c r="E618" s="39"/>
      <c r="F618" s="32" t="e">
        <v>#N/A</v>
      </c>
      <c r="G618" s="39"/>
      <c r="H618" s="32" t="e">
        <v>#N/A</v>
      </c>
      <c r="I618" s="39"/>
      <c r="J618" s="32">
        <v>0.0</v>
      </c>
      <c r="K618" s="33" t="e">
        <v>#N/A</v>
      </c>
      <c r="L618" s="32" t="e">
        <v>#N/A</v>
      </c>
      <c r="M618" s="32" t="e">
        <v>#N/A</v>
      </c>
      <c r="N618" s="32" t="e">
        <v>#N/A</v>
      </c>
      <c r="O618" s="32" t="e">
        <v>#N/A</v>
      </c>
      <c r="P618" s="32" t="e">
        <v>#REF!</v>
      </c>
      <c r="Q618" s="32" t="e">
        <v>#N/A</v>
      </c>
      <c r="R618" s="42" t="e">
        <v>#N/A</v>
      </c>
      <c r="S618" s="42" t="e">
        <v>#N/A</v>
      </c>
      <c r="T618" s="36">
        <v>0.0</v>
      </c>
      <c r="U618" s="36">
        <v>0.0</v>
      </c>
      <c r="V618" s="36">
        <v>0.0</v>
      </c>
      <c r="W618" s="36">
        <v>0.0</v>
      </c>
      <c r="X618" s="36">
        <v>0.0</v>
      </c>
      <c r="Y618" s="36">
        <v>0.0</v>
      </c>
    </row>
    <row r="619">
      <c r="A619" s="32" t="s">
        <v>3911</v>
      </c>
      <c r="B619" s="32" t="s">
        <v>3911</v>
      </c>
      <c r="C619" s="32">
        <v>0.0</v>
      </c>
      <c r="D619" s="32" t="e">
        <v>#N/A</v>
      </c>
      <c r="E619" s="39"/>
      <c r="F619" s="32" t="e">
        <v>#N/A</v>
      </c>
      <c r="G619" s="39"/>
      <c r="H619" s="32" t="e">
        <v>#N/A</v>
      </c>
      <c r="I619" s="39"/>
      <c r="J619" s="32">
        <v>0.0</v>
      </c>
      <c r="K619" s="33" t="e">
        <v>#N/A</v>
      </c>
      <c r="L619" s="32" t="e">
        <v>#N/A</v>
      </c>
      <c r="M619" s="32" t="e">
        <v>#N/A</v>
      </c>
      <c r="N619" s="32" t="e">
        <v>#N/A</v>
      </c>
      <c r="O619" s="32" t="e">
        <v>#N/A</v>
      </c>
      <c r="P619" s="32" t="e">
        <v>#REF!</v>
      </c>
      <c r="Q619" s="32" t="e">
        <v>#N/A</v>
      </c>
      <c r="R619" s="42" t="e">
        <v>#N/A</v>
      </c>
      <c r="S619" s="42" t="e">
        <v>#N/A</v>
      </c>
      <c r="T619" s="36">
        <v>0.0</v>
      </c>
      <c r="U619" s="36">
        <v>0.0</v>
      </c>
      <c r="V619" s="36">
        <v>0.0</v>
      </c>
      <c r="W619" s="36">
        <v>0.0</v>
      </c>
      <c r="X619" s="36">
        <v>0.0</v>
      </c>
      <c r="Y619" s="36">
        <v>0.0</v>
      </c>
    </row>
    <row r="620">
      <c r="A620" s="32" t="s">
        <v>3914</v>
      </c>
      <c r="B620" s="32" t="s">
        <v>3914</v>
      </c>
      <c r="C620" s="32">
        <v>0.0</v>
      </c>
      <c r="D620" s="32" t="e">
        <v>#N/A</v>
      </c>
      <c r="E620" s="39"/>
      <c r="F620" s="32" t="e">
        <v>#N/A</v>
      </c>
      <c r="G620" s="39"/>
      <c r="H620" s="32" t="e">
        <v>#N/A</v>
      </c>
      <c r="I620" s="39"/>
      <c r="J620" s="32">
        <v>0.0</v>
      </c>
      <c r="K620" s="33" t="e">
        <v>#N/A</v>
      </c>
      <c r="L620" s="32" t="e">
        <v>#N/A</v>
      </c>
      <c r="M620" s="32" t="e">
        <v>#N/A</v>
      </c>
      <c r="N620" s="32" t="e">
        <v>#N/A</v>
      </c>
      <c r="O620" s="32" t="e">
        <v>#N/A</v>
      </c>
      <c r="P620" s="32" t="e">
        <v>#REF!</v>
      </c>
      <c r="Q620" s="32" t="e">
        <v>#N/A</v>
      </c>
      <c r="R620" s="42" t="e">
        <v>#N/A</v>
      </c>
      <c r="S620" s="42" t="e">
        <v>#N/A</v>
      </c>
      <c r="T620" s="36">
        <v>0.0</v>
      </c>
      <c r="U620" s="36">
        <v>0.0</v>
      </c>
      <c r="V620" s="36">
        <v>0.0</v>
      </c>
      <c r="W620" s="36">
        <v>0.0</v>
      </c>
      <c r="X620" s="36">
        <v>0.0</v>
      </c>
      <c r="Y620" s="36">
        <v>0.0</v>
      </c>
    </row>
    <row r="621">
      <c r="A621" s="32" t="s">
        <v>3920</v>
      </c>
      <c r="B621" s="32" t="s">
        <v>3920</v>
      </c>
      <c r="C621" s="32">
        <v>0.0</v>
      </c>
      <c r="D621" s="32" t="e">
        <v>#N/A</v>
      </c>
      <c r="E621" s="39"/>
      <c r="F621" s="32" t="e">
        <v>#N/A</v>
      </c>
      <c r="G621" s="39"/>
      <c r="H621" s="32" t="e">
        <v>#N/A</v>
      </c>
      <c r="I621" s="39"/>
      <c r="J621" s="32">
        <v>0.0</v>
      </c>
      <c r="K621" s="33" t="e">
        <v>#N/A</v>
      </c>
      <c r="L621" s="32" t="e">
        <v>#N/A</v>
      </c>
      <c r="M621" s="32" t="e">
        <v>#N/A</v>
      </c>
      <c r="N621" s="32" t="e">
        <v>#N/A</v>
      </c>
      <c r="O621" s="32" t="e">
        <v>#N/A</v>
      </c>
      <c r="P621" s="32" t="e">
        <v>#REF!</v>
      </c>
      <c r="Q621" s="32" t="e">
        <v>#N/A</v>
      </c>
      <c r="R621" s="42" t="e">
        <v>#N/A</v>
      </c>
      <c r="S621" s="42" t="e">
        <v>#N/A</v>
      </c>
      <c r="T621" s="36">
        <v>0.0</v>
      </c>
      <c r="U621" s="36">
        <v>0.0</v>
      </c>
      <c r="V621" s="36">
        <v>0.0</v>
      </c>
      <c r="W621" s="36">
        <v>0.0</v>
      </c>
      <c r="X621" s="36">
        <v>0.0</v>
      </c>
      <c r="Y621" s="36">
        <v>0.0</v>
      </c>
    </row>
    <row r="622">
      <c r="A622" s="32" t="s">
        <v>3921</v>
      </c>
      <c r="B622" s="32" t="s">
        <v>3921</v>
      </c>
      <c r="C622" s="32">
        <v>0.0</v>
      </c>
      <c r="D622" s="32" t="e">
        <v>#N/A</v>
      </c>
      <c r="E622" s="39"/>
      <c r="F622" s="32" t="e">
        <v>#N/A</v>
      </c>
      <c r="G622" s="39"/>
      <c r="H622" s="32" t="e">
        <v>#N/A</v>
      </c>
      <c r="I622" s="39"/>
      <c r="J622" s="32">
        <v>0.0</v>
      </c>
      <c r="K622" s="33" t="e">
        <v>#N/A</v>
      </c>
      <c r="L622" s="32" t="e">
        <v>#N/A</v>
      </c>
      <c r="M622" s="32" t="e">
        <v>#N/A</v>
      </c>
      <c r="N622" s="32" t="e">
        <v>#N/A</v>
      </c>
      <c r="O622" s="32" t="e">
        <v>#N/A</v>
      </c>
      <c r="P622" s="32" t="e">
        <v>#REF!</v>
      </c>
      <c r="Q622" s="32" t="e">
        <v>#N/A</v>
      </c>
      <c r="R622" s="42" t="e">
        <v>#N/A</v>
      </c>
      <c r="S622" s="42" t="e">
        <v>#N/A</v>
      </c>
      <c r="T622" s="36">
        <v>0.0</v>
      </c>
      <c r="U622" s="36">
        <v>0.0</v>
      </c>
      <c r="V622" s="36">
        <v>0.0</v>
      </c>
      <c r="W622" s="36">
        <v>0.0</v>
      </c>
      <c r="X622" s="36">
        <v>0.0</v>
      </c>
      <c r="Y622" s="36">
        <v>0.0</v>
      </c>
    </row>
    <row r="623">
      <c r="A623" s="32" t="s">
        <v>4694</v>
      </c>
      <c r="B623" s="32" t="s">
        <v>4694</v>
      </c>
      <c r="C623" s="32">
        <v>0.0</v>
      </c>
      <c r="D623" s="32" t="e">
        <v>#N/A</v>
      </c>
      <c r="E623" s="39"/>
      <c r="F623" s="32" t="e">
        <v>#N/A</v>
      </c>
      <c r="G623" s="39"/>
      <c r="H623" s="32" t="e">
        <v>#N/A</v>
      </c>
      <c r="I623" s="39"/>
      <c r="J623" s="32">
        <v>0.0</v>
      </c>
      <c r="K623" s="33" t="e">
        <v>#N/A</v>
      </c>
      <c r="L623" s="32" t="e">
        <v>#N/A</v>
      </c>
      <c r="M623" s="32" t="e">
        <v>#N/A</v>
      </c>
      <c r="N623" s="32" t="e">
        <v>#N/A</v>
      </c>
      <c r="O623" s="32" t="e">
        <v>#N/A</v>
      </c>
      <c r="P623" s="32" t="e">
        <v>#REF!</v>
      </c>
      <c r="Q623" s="32" t="e">
        <v>#N/A</v>
      </c>
      <c r="R623" s="42" t="e">
        <v>#N/A</v>
      </c>
      <c r="S623" s="42" t="e">
        <v>#N/A</v>
      </c>
      <c r="T623" s="36">
        <v>0.0</v>
      </c>
      <c r="U623" s="36">
        <v>0.0</v>
      </c>
      <c r="V623" s="36">
        <v>0.0</v>
      </c>
      <c r="W623" s="36">
        <v>0.0</v>
      </c>
      <c r="X623" s="36">
        <v>0.0</v>
      </c>
      <c r="Y623" s="36">
        <v>0.0</v>
      </c>
    </row>
    <row r="624">
      <c r="A624" s="32" t="s">
        <v>4904</v>
      </c>
      <c r="B624" s="32" t="s">
        <v>4904</v>
      </c>
      <c r="C624" s="32">
        <v>0.0</v>
      </c>
      <c r="D624" s="32" t="e">
        <v>#N/A</v>
      </c>
      <c r="E624" s="39"/>
      <c r="F624" s="38"/>
      <c r="G624" s="38"/>
      <c r="H624" s="38"/>
      <c r="I624" s="38"/>
      <c r="J624" s="32" t="s">
        <v>4690</v>
      </c>
      <c r="K624" s="38"/>
      <c r="L624" s="38"/>
      <c r="M624" s="38"/>
      <c r="N624" s="32" t="s">
        <v>4693</v>
      </c>
      <c r="O624" s="32" t="s">
        <v>1145</v>
      </c>
      <c r="P624" s="32">
        <v>1989.0</v>
      </c>
      <c r="Q624" s="44">
        <v>1698.0</v>
      </c>
      <c r="R624" s="40">
        <v>1699.0</v>
      </c>
      <c r="S624" s="35">
        <v>1499.0</v>
      </c>
      <c r="T624" s="36">
        <v>0.0</v>
      </c>
      <c r="U624" s="36">
        <v>0.0</v>
      </c>
      <c r="V624" s="36">
        <v>0.0</v>
      </c>
      <c r="W624" s="36">
        <v>0.0</v>
      </c>
      <c r="X624" s="36">
        <v>0.0</v>
      </c>
      <c r="Y624" s="36">
        <v>0.0</v>
      </c>
    </row>
    <row r="625">
      <c r="A625" s="32" t="s">
        <v>4905</v>
      </c>
      <c r="B625" s="32" t="s">
        <v>4905</v>
      </c>
      <c r="C625" s="32">
        <v>0.0</v>
      </c>
      <c r="D625" s="32" t="e">
        <v>#N/A</v>
      </c>
      <c r="E625" s="39"/>
      <c r="F625" s="38"/>
      <c r="G625" s="38"/>
      <c r="H625" s="38"/>
      <c r="I625" s="38"/>
      <c r="J625" s="32" t="s">
        <v>5144</v>
      </c>
      <c r="K625" s="38"/>
      <c r="L625" s="38"/>
      <c r="M625" s="38"/>
      <c r="N625" s="32" t="s">
        <v>4693</v>
      </c>
      <c r="O625" s="32" t="s">
        <v>1145</v>
      </c>
      <c r="P625" s="32">
        <v>1989.0</v>
      </c>
      <c r="Q625" s="44">
        <v>1790.0</v>
      </c>
      <c r="R625" s="40">
        <v>1699.0</v>
      </c>
      <c r="S625" s="35">
        <v>1499.0</v>
      </c>
      <c r="T625" s="36">
        <v>0.0</v>
      </c>
      <c r="U625" s="36">
        <v>0.0</v>
      </c>
      <c r="V625" s="36">
        <v>0.0</v>
      </c>
      <c r="W625" s="36">
        <v>0.0</v>
      </c>
      <c r="X625" s="36">
        <v>0.0</v>
      </c>
      <c r="Y625" s="36">
        <v>0.0</v>
      </c>
    </row>
    <row r="626">
      <c r="A626" s="32" t="s">
        <v>4597</v>
      </c>
      <c r="B626" s="32" t="s">
        <v>4597</v>
      </c>
      <c r="C626" s="32">
        <v>0.0</v>
      </c>
      <c r="D626" s="32" t="e">
        <v>#N/A</v>
      </c>
      <c r="E626" s="39"/>
      <c r="F626" s="32" t="e">
        <v>#N/A</v>
      </c>
      <c r="G626" s="39"/>
      <c r="H626" s="32">
        <v>0.0</v>
      </c>
      <c r="I626" s="39"/>
      <c r="J626" s="32" t="s">
        <v>4599</v>
      </c>
      <c r="K626" s="33" t="e">
        <v>#N/A</v>
      </c>
      <c r="L626" s="32" t="e">
        <v>#N/A</v>
      </c>
      <c r="M626" s="32" t="e">
        <v>#N/A</v>
      </c>
      <c r="N626" s="32" t="s">
        <v>5077</v>
      </c>
      <c r="O626" s="32" t="s">
        <v>4730</v>
      </c>
      <c r="P626" s="32">
        <v>1499.0</v>
      </c>
      <c r="Q626" s="34">
        <v>1424.0</v>
      </c>
      <c r="R626" s="40">
        <v>1424.0</v>
      </c>
      <c r="S626" s="35">
        <v>1349.1</v>
      </c>
      <c r="T626" s="36">
        <v>0.0</v>
      </c>
      <c r="U626" s="36">
        <v>0.0</v>
      </c>
      <c r="V626" s="36">
        <v>0.0</v>
      </c>
      <c r="W626" s="36">
        <v>0.0</v>
      </c>
      <c r="X626" s="36">
        <v>0.0</v>
      </c>
      <c r="Y626" s="36">
        <v>0.0</v>
      </c>
    </row>
    <row r="627">
      <c r="A627" s="32" t="s">
        <v>4608</v>
      </c>
      <c r="B627" s="32" t="s">
        <v>4608</v>
      </c>
      <c r="C627" s="32">
        <v>0.0</v>
      </c>
      <c r="D627" s="32" t="e">
        <v>#N/A</v>
      </c>
      <c r="E627" s="39"/>
      <c r="F627" s="32" t="e">
        <v>#N/A</v>
      </c>
      <c r="G627" s="39"/>
      <c r="H627" s="32">
        <v>0.0</v>
      </c>
      <c r="I627" s="39"/>
      <c r="J627" s="32" t="s">
        <v>4610</v>
      </c>
      <c r="K627" s="33" t="e">
        <v>#N/A</v>
      </c>
      <c r="L627" s="32" t="e">
        <v>#N/A</v>
      </c>
      <c r="M627" s="32" t="e">
        <v>#N/A</v>
      </c>
      <c r="N627" s="32" t="s">
        <v>5077</v>
      </c>
      <c r="O627" s="32" t="s">
        <v>4730</v>
      </c>
      <c r="P627" s="32">
        <v>1599.0</v>
      </c>
      <c r="Q627" s="34">
        <v>1519.0</v>
      </c>
      <c r="R627" s="40">
        <v>1519.0</v>
      </c>
      <c r="S627" s="35">
        <v>1439.1</v>
      </c>
      <c r="T627" s="36">
        <v>0.0</v>
      </c>
      <c r="U627" s="36">
        <v>0.0</v>
      </c>
      <c r="V627" s="36">
        <v>0.0</v>
      </c>
      <c r="W627" s="36">
        <v>0.0</v>
      </c>
      <c r="X627" s="36">
        <v>0.0</v>
      </c>
      <c r="Y627" s="36">
        <v>0.0</v>
      </c>
    </row>
    <row r="628">
      <c r="A628" s="32" t="s">
        <v>2569</v>
      </c>
      <c r="B628" s="32" t="s">
        <v>2569</v>
      </c>
      <c r="C628" s="32">
        <v>0.0</v>
      </c>
      <c r="D628" s="32" t="e">
        <v>#N/A</v>
      </c>
      <c r="E628" s="39"/>
      <c r="F628" s="32" t="e">
        <v>#N/A</v>
      </c>
      <c r="G628" s="39"/>
      <c r="H628" s="32" t="e">
        <v>#N/A</v>
      </c>
      <c r="I628" s="39"/>
      <c r="J628" s="32">
        <v>0.0</v>
      </c>
      <c r="K628" s="33" t="e">
        <v>#N/A</v>
      </c>
      <c r="L628" s="32" t="e">
        <v>#N/A</v>
      </c>
      <c r="M628" s="32" t="e">
        <v>#N/A</v>
      </c>
      <c r="N628" s="32" t="e">
        <v>#N/A</v>
      </c>
      <c r="O628" s="32" t="e">
        <v>#N/A</v>
      </c>
      <c r="P628" s="32" t="e">
        <v>#REF!</v>
      </c>
      <c r="Q628" s="32" t="e">
        <v>#N/A</v>
      </c>
      <c r="R628" s="42" t="e">
        <v>#N/A</v>
      </c>
      <c r="S628" s="42" t="e">
        <v>#N/A</v>
      </c>
      <c r="T628" s="36">
        <v>0.0</v>
      </c>
      <c r="U628" s="36">
        <v>0.0</v>
      </c>
      <c r="V628" s="36">
        <v>0.0</v>
      </c>
      <c r="W628" s="36">
        <v>0.0</v>
      </c>
      <c r="X628" s="36">
        <v>0.0</v>
      </c>
      <c r="Y628" s="36">
        <v>0.0</v>
      </c>
    </row>
    <row r="629">
      <c r="A629" s="32" t="s">
        <v>2572</v>
      </c>
      <c r="B629" s="32" t="s">
        <v>2572</v>
      </c>
      <c r="C629" s="32">
        <v>0.0</v>
      </c>
      <c r="D629" s="32" t="e">
        <v>#N/A</v>
      </c>
      <c r="E629" s="39"/>
      <c r="F629" s="32" t="e">
        <v>#N/A</v>
      </c>
      <c r="G629" s="39"/>
      <c r="H629" s="32" t="e">
        <v>#N/A</v>
      </c>
      <c r="I629" s="39"/>
      <c r="J629" s="32">
        <v>0.0</v>
      </c>
      <c r="K629" s="33" t="e">
        <v>#N/A</v>
      </c>
      <c r="L629" s="32" t="e">
        <v>#N/A</v>
      </c>
      <c r="M629" s="32" t="e">
        <v>#N/A</v>
      </c>
      <c r="N629" s="32" t="e">
        <v>#N/A</v>
      </c>
      <c r="O629" s="32" t="e">
        <v>#N/A</v>
      </c>
      <c r="P629" s="32" t="e">
        <v>#REF!</v>
      </c>
      <c r="Q629" s="32" t="e">
        <v>#N/A</v>
      </c>
      <c r="R629" s="42" t="e">
        <v>#N/A</v>
      </c>
      <c r="S629" s="42" t="e">
        <v>#N/A</v>
      </c>
      <c r="T629" s="36">
        <v>0.0</v>
      </c>
      <c r="U629" s="36">
        <v>0.0</v>
      </c>
      <c r="V629" s="36">
        <v>0.0</v>
      </c>
      <c r="W629" s="36">
        <v>0.0</v>
      </c>
      <c r="X629" s="36">
        <v>0.0</v>
      </c>
      <c r="Y629" s="36">
        <v>0.0</v>
      </c>
    </row>
    <row r="630">
      <c r="A630" s="32" t="s">
        <v>2570</v>
      </c>
      <c r="B630" s="32" t="s">
        <v>2570</v>
      </c>
      <c r="C630" s="32">
        <v>0.0</v>
      </c>
      <c r="D630" s="32" t="e">
        <v>#N/A</v>
      </c>
      <c r="E630" s="39"/>
      <c r="F630" s="32" t="e">
        <v>#N/A</v>
      </c>
      <c r="G630" s="39"/>
      <c r="H630" s="32" t="e">
        <v>#N/A</v>
      </c>
      <c r="I630" s="39"/>
      <c r="J630" s="32">
        <v>0.0</v>
      </c>
      <c r="K630" s="33" t="e">
        <v>#N/A</v>
      </c>
      <c r="L630" s="32" t="e">
        <v>#N/A</v>
      </c>
      <c r="M630" s="32" t="e">
        <v>#N/A</v>
      </c>
      <c r="N630" s="32" t="e">
        <v>#N/A</v>
      </c>
      <c r="O630" s="32" t="e">
        <v>#N/A</v>
      </c>
      <c r="P630" s="32" t="e">
        <v>#REF!</v>
      </c>
      <c r="Q630" s="32" t="e">
        <v>#N/A</v>
      </c>
      <c r="R630" s="42" t="e">
        <v>#N/A</v>
      </c>
      <c r="S630" s="42" t="e">
        <v>#N/A</v>
      </c>
      <c r="T630" s="36">
        <v>0.0</v>
      </c>
      <c r="U630" s="36">
        <v>0.0</v>
      </c>
      <c r="V630" s="36">
        <v>0.0</v>
      </c>
      <c r="W630" s="36">
        <v>0.0</v>
      </c>
      <c r="X630" s="36">
        <v>0.0</v>
      </c>
      <c r="Y630" s="36">
        <v>0.0</v>
      </c>
    </row>
    <row r="631">
      <c r="A631" s="32" t="s">
        <v>2573</v>
      </c>
      <c r="B631" s="32" t="s">
        <v>2573</v>
      </c>
      <c r="C631" s="32">
        <v>0.0</v>
      </c>
      <c r="D631" s="32" t="e">
        <v>#N/A</v>
      </c>
      <c r="E631" s="39"/>
      <c r="F631" s="32" t="e">
        <v>#N/A</v>
      </c>
      <c r="G631" s="39"/>
      <c r="H631" s="32" t="e">
        <v>#N/A</v>
      </c>
      <c r="I631" s="39"/>
      <c r="J631" s="32">
        <v>0.0</v>
      </c>
      <c r="K631" s="33" t="e">
        <v>#N/A</v>
      </c>
      <c r="L631" s="32" t="e">
        <v>#N/A</v>
      </c>
      <c r="M631" s="32" t="e">
        <v>#N/A</v>
      </c>
      <c r="N631" s="32" t="e">
        <v>#N/A</v>
      </c>
      <c r="O631" s="32" t="e">
        <v>#N/A</v>
      </c>
      <c r="P631" s="32" t="e">
        <v>#REF!</v>
      </c>
      <c r="Q631" s="32" t="e">
        <v>#N/A</v>
      </c>
      <c r="R631" s="42" t="e">
        <v>#N/A</v>
      </c>
      <c r="S631" s="42" t="e">
        <v>#N/A</v>
      </c>
      <c r="T631" s="36">
        <v>0.0</v>
      </c>
      <c r="U631" s="36">
        <v>0.0</v>
      </c>
      <c r="V631" s="36">
        <v>0.0</v>
      </c>
      <c r="W631" s="36">
        <v>0.0</v>
      </c>
      <c r="X631" s="36">
        <v>0.0</v>
      </c>
      <c r="Y631" s="36">
        <v>0.0</v>
      </c>
    </row>
    <row r="632">
      <c r="A632" s="32" t="s">
        <v>2571</v>
      </c>
      <c r="B632" s="32" t="s">
        <v>2571</v>
      </c>
      <c r="C632" s="32">
        <v>0.0</v>
      </c>
      <c r="D632" s="32" t="e">
        <v>#N/A</v>
      </c>
      <c r="E632" s="39"/>
      <c r="F632" s="32" t="e">
        <v>#N/A</v>
      </c>
      <c r="G632" s="39"/>
      <c r="H632" s="32" t="e">
        <v>#N/A</v>
      </c>
      <c r="I632" s="39"/>
      <c r="J632" s="32">
        <v>0.0</v>
      </c>
      <c r="K632" s="33" t="e">
        <v>#N/A</v>
      </c>
      <c r="L632" s="32" t="e">
        <v>#N/A</v>
      </c>
      <c r="M632" s="32" t="e">
        <v>#N/A</v>
      </c>
      <c r="N632" s="32" t="e">
        <v>#N/A</v>
      </c>
      <c r="O632" s="32" t="e">
        <v>#N/A</v>
      </c>
      <c r="P632" s="32" t="e">
        <v>#REF!</v>
      </c>
      <c r="Q632" s="32" t="e">
        <v>#N/A</v>
      </c>
      <c r="R632" s="42" t="e">
        <v>#N/A</v>
      </c>
      <c r="S632" s="42" t="e">
        <v>#N/A</v>
      </c>
      <c r="T632" s="36">
        <v>0.0</v>
      </c>
      <c r="U632" s="36">
        <v>0.0</v>
      </c>
      <c r="V632" s="36">
        <v>0.0</v>
      </c>
      <c r="W632" s="36">
        <v>0.0</v>
      </c>
      <c r="X632" s="36">
        <v>0.0</v>
      </c>
      <c r="Y632" s="36">
        <v>0.0</v>
      </c>
    </row>
    <row r="633">
      <c r="A633" s="32" t="s">
        <v>2574</v>
      </c>
      <c r="B633" s="32" t="s">
        <v>2574</v>
      </c>
      <c r="C633" s="32">
        <v>0.0</v>
      </c>
      <c r="D633" s="32" t="e">
        <v>#N/A</v>
      </c>
      <c r="E633" s="39"/>
      <c r="F633" s="32" t="e">
        <v>#N/A</v>
      </c>
      <c r="G633" s="39"/>
      <c r="H633" s="32" t="e">
        <v>#N/A</v>
      </c>
      <c r="I633" s="39"/>
      <c r="J633" s="32">
        <v>0.0</v>
      </c>
      <c r="K633" s="33" t="e">
        <v>#N/A</v>
      </c>
      <c r="L633" s="32" t="e">
        <v>#N/A</v>
      </c>
      <c r="M633" s="32" t="e">
        <v>#N/A</v>
      </c>
      <c r="N633" s="32" t="e">
        <v>#N/A</v>
      </c>
      <c r="O633" s="32" t="e">
        <v>#N/A</v>
      </c>
      <c r="P633" s="32" t="e">
        <v>#REF!</v>
      </c>
      <c r="Q633" s="32" t="e">
        <v>#N/A</v>
      </c>
      <c r="R633" s="42" t="e">
        <v>#N/A</v>
      </c>
      <c r="S633" s="42" t="e">
        <v>#N/A</v>
      </c>
      <c r="T633" s="36">
        <v>0.0</v>
      </c>
      <c r="U633" s="36">
        <v>0.0</v>
      </c>
      <c r="V633" s="36">
        <v>0.0</v>
      </c>
      <c r="W633" s="36">
        <v>0.0</v>
      </c>
      <c r="X633" s="36">
        <v>0.0</v>
      </c>
      <c r="Y633" s="36">
        <v>0.0</v>
      </c>
    </row>
    <row r="634">
      <c r="A634" s="32" t="s">
        <v>2581</v>
      </c>
      <c r="B634" s="32" t="s">
        <v>2581</v>
      </c>
      <c r="C634" s="32">
        <v>0.0</v>
      </c>
      <c r="D634" s="32" t="e">
        <v>#N/A</v>
      </c>
      <c r="E634" s="39"/>
      <c r="F634" s="32" t="e">
        <v>#N/A</v>
      </c>
      <c r="G634" s="39"/>
      <c r="H634" s="32" t="e">
        <v>#N/A</v>
      </c>
      <c r="I634" s="39"/>
      <c r="J634" s="32">
        <v>0.0</v>
      </c>
      <c r="K634" s="33" t="e">
        <v>#N/A</v>
      </c>
      <c r="L634" s="32" t="e">
        <v>#N/A</v>
      </c>
      <c r="M634" s="32" t="e">
        <v>#N/A</v>
      </c>
      <c r="N634" s="32" t="e">
        <v>#N/A</v>
      </c>
      <c r="O634" s="32" t="e">
        <v>#N/A</v>
      </c>
      <c r="P634" s="32" t="e">
        <v>#REF!</v>
      </c>
      <c r="Q634" s="32" t="e">
        <v>#N/A</v>
      </c>
      <c r="R634" s="42" t="e">
        <v>#N/A</v>
      </c>
      <c r="S634" s="42" t="e">
        <v>#N/A</v>
      </c>
      <c r="T634" s="36">
        <v>0.0</v>
      </c>
      <c r="U634" s="36">
        <v>0.0</v>
      </c>
      <c r="V634" s="36">
        <v>0.0</v>
      </c>
      <c r="W634" s="36">
        <v>0.0</v>
      </c>
      <c r="X634" s="36">
        <v>0.0</v>
      </c>
      <c r="Y634" s="36">
        <v>0.0</v>
      </c>
    </row>
    <row r="635">
      <c r="A635" s="32" t="s">
        <v>2584</v>
      </c>
      <c r="B635" s="32" t="s">
        <v>2584</v>
      </c>
      <c r="C635" s="32">
        <v>0.0</v>
      </c>
      <c r="D635" s="32" t="e">
        <v>#N/A</v>
      </c>
      <c r="E635" s="39"/>
      <c r="F635" s="32" t="e">
        <v>#N/A</v>
      </c>
      <c r="G635" s="39"/>
      <c r="H635" s="32" t="e">
        <v>#N/A</v>
      </c>
      <c r="I635" s="39"/>
      <c r="J635" s="32">
        <v>0.0</v>
      </c>
      <c r="K635" s="33" t="e">
        <v>#N/A</v>
      </c>
      <c r="L635" s="32" t="e">
        <v>#N/A</v>
      </c>
      <c r="M635" s="32" t="e">
        <v>#N/A</v>
      </c>
      <c r="N635" s="32" t="e">
        <v>#N/A</v>
      </c>
      <c r="O635" s="32" t="e">
        <v>#N/A</v>
      </c>
      <c r="P635" s="32" t="e">
        <v>#REF!</v>
      </c>
      <c r="Q635" s="32" t="e">
        <v>#N/A</v>
      </c>
      <c r="R635" s="42" t="e">
        <v>#N/A</v>
      </c>
      <c r="S635" s="42" t="e">
        <v>#N/A</v>
      </c>
      <c r="T635" s="36">
        <v>0.0</v>
      </c>
      <c r="U635" s="36">
        <v>0.0</v>
      </c>
      <c r="V635" s="36">
        <v>0.0</v>
      </c>
      <c r="W635" s="36">
        <v>0.0</v>
      </c>
      <c r="X635" s="36">
        <v>0.0</v>
      </c>
      <c r="Y635" s="36">
        <v>0.0</v>
      </c>
    </row>
    <row r="636">
      <c r="A636" s="32" t="s">
        <v>2582</v>
      </c>
      <c r="B636" s="32" t="s">
        <v>2582</v>
      </c>
      <c r="C636" s="32">
        <v>0.0</v>
      </c>
      <c r="D636" s="32" t="e">
        <v>#N/A</v>
      </c>
      <c r="E636" s="39"/>
      <c r="F636" s="32" t="e">
        <v>#N/A</v>
      </c>
      <c r="G636" s="39"/>
      <c r="H636" s="32" t="e">
        <v>#N/A</v>
      </c>
      <c r="I636" s="39"/>
      <c r="J636" s="32">
        <v>0.0</v>
      </c>
      <c r="K636" s="33" t="e">
        <v>#N/A</v>
      </c>
      <c r="L636" s="32" t="e">
        <v>#N/A</v>
      </c>
      <c r="M636" s="32" t="e">
        <v>#N/A</v>
      </c>
      <c r="N636" s="32" t="e">
        <v>#N/A</v>
      </c>
      <c r="O636" s="32" t="e">
        <v>#N/A</v>
      </c>
      <c r="P636" s="32" t="e">
        <v>#REF!</v>
      </c>
      <c r="Q636" s="32" t="e">
        <v>#N/A</v>
      </c>
      <c r="R636" s="42" t="e">
        <v>#N/A</v>
      </c>
      <c r="S636" s="42" t="e">
        <v>#N/A</v>
      </c>
      <c r="T636" s="36">
        <v>0.0</v>
      </c>
      <c r="U636" s="36">
        <v>0.0</v>
      </c>
      <c r="V636" s="36">
        <v>0.0</v>
      </c>
      <c r="W636" s="36">
        <v>0.0</v>
      </c>
      <c r="X636" s="36">
        <v>0.0</v>
      </c>
      <c r="Y636" s="36">
        <v>0.0</v>
      </c>
    </row>
    <row r="637">
      <c r="A637" s="32" t="s">
        <v>2585</v>
      </c>
      <c r="B637" s="32" t="s">
        <v>2585</v>
      </c>
      <c r="C637" s="32">
        <v>0.0</v>
      </c>
      <c r="D637" s="32" t="e">
        <v>#N/A</v>
      </c>
      <c r="E637" s="39"/>
      <c r="F637" s="32" t="e">
        <v>#N/A</v>
      </c>
      <c r="G637" s="39"/>
      <c r="H637" s="32" t="e">
        <v>#N/A</v>
      </c>
      <c r="I637" s="39"/>
      <c r="J637" s="32">
        <v>0.0</v>
      </c>
      <c r="K637" s="33" t="e">
        <v>#N/A</v>
      </c>
      <c r="L637" s="32" t="e">
        <v>#N/A</v>
      </c>
      <c r="M637" s="32" t="e">
        <v>#N/A</v>
      </c>
      <c r="N637" s="32" t="e">
        <v>#N/A</v>
      </c>
      <c r="O637" s="32" t="e">
        <v>#N/A</v>
      </c>
      <c r="P637" s="32" t="e">
        <v>#REF!</v>
      </c>
      <c r="Q637" s="32" t="e">
        <v>#N/A</v>
      </c>
      <c r="R637" s="42" t="e">
        <v>#N/A</v>
      </c>
      <c r="S637" s="42" t="e">
        <v>#N/A</v>
      </c>
      <c r="T637" s="36">
        <v>0.0</v>
      </c>
      <c r="U637" s="36">
        <v>0.0</v>
      </c>
      <c r="V637" s="36">
        <v>0.0</v>
      </c>
      <c r="W637" s="36">
        <v>0.0</v>
      </c>
      <c r="X637" s="36">
        <v>0.0</v>
      </c>
      <c r="Y637" s="36">
        <v>0.0</v>
      </c>
    </row>
    <row r="638">
      <c r="A638" s="32" t="s">
        <v>2583</v>
      </c>
      <c r="B638" s="32" t="s">
        <v>2583</v>
      </c>
      <c r="C638" s="32">
        <v>0.0</v>
      </c>
      <c r="D638" s="32" t="e">
        <v>#N/A</v>
      </c>
      <c r="E638" s="39"/>
      <c r="F638" s="32" t="e">
        <v>#N/A</v>
      </c>
      <c r="G638" s="39"/>
      <c r="H638" s="32" t="e">
        <v>#N/A</v>
      </c>
      <c r="I638" s="39"/>
      <c r="J638" s="32">
        <v>0.0</v>
      </c>
      <c r="K638" s="33" t="e">
        <v>#N/A</v>
      </c>
      <c r="L638" s="32" t="e">
        <v>#N/A</v>
      </c>
      <c r="M638" s="32" t="e">
        <v>#N/A</v>
      </c>
      <c r="N638" s="32" t="e">
        <v>#N/A</v>
      </c>
      <c r="O638" s="32" t="e">
        <v>#N/A</v>
      </c>
      <c r="P638" s="32" t="e">
        <v>#REF!</v>
      </c>
      <c r="Q638" s="32" t="e">
        <v>#N/A</v>
      </c>
      <c r="R638" s="42" t="e">
        <v>#N/A</v>
      </c>
      <c r="S638" s="42" t="e">
        <v>#N/A</v>
      </c>
      <c r="T638" s="36">
        <v>0.0</v>
      </c>
      <c r="U638" s="36">
        <v>0.0</v>
      </c>
      <c r="V638" s="36">
        <v>0.0</v>
      </c>
      <c r="W638" s="36">
        <v>0.0</v>
      </c>
      <c r="X638" s="36">
        <v>0.0</v>
      </c>
      <c r="Y638" s="36">
        <v>0.0</v>
      </c>
    </row>
    <row r="639">
      <c r="A639" s="32" t="s">
        <v>2586</v>
      </c>
      <c r="B639" s="32" t="s">
        <v>2586</v>
      </c>
      <c r="C639" s="32">
        <v>0.0</v>
      </c>
      <c r="D639" s="32" t="e">
        <v>#N/A</v>
      </c>
      <c r="E639" s="39"/>
      <c r="F639" s="32" t="e">
        <v>#N/A</v>
      </c>
      <c r="G639" s="39"/>
      <c r="H639" s="32" t="e">
        <v>#N/A</v>
      </c>
      <c r="I639" s="39"/>
      <c r="J639" s="32">
        <v>0.0</v>
      </c>
      <c r="K639" s="33" t="e">
        <v>#N/A</v>
      </c>
      <c r="L639" s="32" t="e">
        <v>#N/A</v>
      </c>
      <c r="M639" s="32" t="e">
        <v>#N/A</v>
      </c>
      <c r="N639" s="32" t="e">
        <v>#N/A</v>
      </c>
      <c r="O639" s="32" t="e">
        <v>#N/A</v>
      </c>
      <c r="P639" s="32" t="e">
        <v>#REF!</v>
      </c>
      <c r="Q639" s="32" t="e">
        <v>#N/A</v>
      </c>
      <c r="R639" s="42" t="e">
        <v>#N/A</v>
      </c>
      <c r="S639" s="42" t="e">
        <v>#N/A</v>
      </c>
      <c r="T639" s="36">
        <v>0.0</v>
      </c>
      <c r="U639" s="36">
        <v>0.0</v>
      </c>
      <c r="V639" s="36">
        <v>0.0</v>
      </c>
      <c r="W639" s="36">
        <v>0.0</v>
      </c>
      <c r="X639" s="36">
        <v>0.0</v>
      </c>
      <c r="Y639" s="36">
        <v>0.0</v>
      </c>
    </row>
    <row r="640">
      <c r="A640" s="32" t="s">
        <v>2575</v>
      </c>
      <c r="B640" s="32" t="s">
        <v>2575</v>
      </c>
      <c r="C640" s="32">
        <v>0.0</v>
      </c>
      <c r="D640" s="32" t="e">
        <v>#N/A</v>
      </c>
      <c r="E640" s="39"/>
      <c r="F640" s="32" t="e">
        <v>#N/A</v>
      </c>
      <c r="G640" s="39"/>
      <c r="H640" s="32" t="e">
        <v>#N/A</v>
      </c>
      <c r="I640" s="39"/>
      <c r="J640" s="32">
        <v>0.0</v>
      </c>
      <c r="K640" s="33" t="e">
        <v>#N/A</v>
      </c>
      <c r="L640" s="32" t="e">
        <v>#N/A</v>
      </c>
      <c r="M640" s="32" t="e">
        <v>#N/A</v>
      </c>
      <c r="N640" s="32" t="e">
        <v>#N/A</v>
      </c>
      <c r="O640" s="32" t="e">
        <v>#N/A</v>
      </c>
      <c r="P640" s="32" t="e">
        <v>#REF!</v>
      </c>
      <c r="Q640" s="32" t="e">
        <v>#N/A</v>
      </c>
      <c r="R640" s="42" t="e">
        <v>#N/A</v>
      </c>
      <c r="S640" s="42" t="e">
        <v>#N/A</v>
      </c>
      <c r="T640" s="36">
        <v>0.0</v>
      </c>
      <c r="U640" s="36">
        <v>0.0</v>
      </c>
      <c r="V640" s="36">
        <v>0.0</v>
      </c>
      <c r="W640" s="36">
        <v>0.0</v>
      </c>
      <c r="X640" s="36">
        <v>0.0</v>
      </c>
      <c r="Y640" s="36">
        <v>0.0</v>
      </c>
    </row>
    <row r="641">
      <c r="A641" s="32" t="s">
        <v>2578</v>
      </c>
      <c r="B641" s="32" t="s">
        <v>2578</v>
      </c>
      <c r="C641" s="32">
        <v>0.0</v>
      </c>
      <c r="D641" s="32" t="e">
        <v>#N/A</v>
      </c>
      <c r="E641" s="39"/>
      <c r="F641" s="32" t="e">
        <v>#N/A</v>
      </c>
      <c r="G641" s="39"/>
      <c r="H641" s="32" t="e">
        <v>#N/A</v>
      </c>
      <c r="I641" s="39"/>
      <c r="J641" s="32">
        <v>0.0</v>
      </c>
      <c r="K641" s="33" t="e">
        <v>#N/A</v>
      </c>
      <c r="L641" s="32" t="e">
        <v>#N/A</v>
      </c>
      <c r="M641" s="32" t="e">
        <v>#N/A</v>
      </c>
      <c r="N641" s="32" t="e">
        <v>#N/A</v>
      </c>
      <c r="O641" s="32" t="e">
        <v>#N/A</v>
      </c>
      <c r="P641" s="32" t="e">
        <v>#REF!</v>
      </c>
      <c r="Q641" s="32" t="e">
        <v>#N/A</v>
      </c>
      <c r="R641" s="42" t="e">
        <v>#N/A</v>
      </c>
      <c r="S641" s="42" t="e">
        <v>#N/A</v>
      </c>
      <c r="T641" s="36">
        <v>0.0</v>
      </c>
      <c r="U641" s="36">
        <v>0.0</v>
      </c>
      <c r="V641" s="36">
        <v>0.0</v>
      </c>
      <c r="W641" s="36">
        <v>0.0</v>
      </c>
      <c r="X641" s="36">
        <v>0.0</v>
      </c>
      <c r="Y641" s="36">
        <v>0.0</v>
      </c>
    </row>
    <row r="642">
      <c r="A642" s="32" t="s">
        <v>2576</v>
      </c>
      <c r="B642" s="32" t="s">
        <v>2576</v>
      </c>
      <c r="C642" s="32">
        <v>0.0</v>
      </c>
      <c r="D642" s="32" t="e">
        <v>#N/A</v>
      </c>
      <c r="E642" s="39"/>
      <c r="F642" s="32" t="e">
        <v>#N/A</v>
      </c>
      <c r="G642" s="39"/>
      <c r="H642" s="32" t="e">
        <v>#N/A</v>
      </c>
      <c r="I642" s="39"/>
      <c r="J642" s="32">
        <v>0.0</v>
      </c>
      <c r="K642" s="33" t="e">
        <v>#N/A</v>
      </c>
      <c r="L642" s="32" t="e">
        <v>#N/A</v>
      </c>
      <c r="M642" s="32" t="e">
        <v>#N/A</v>
      </c>
      <c r="N642" s="32" t="e">
        <v>#N/A</v>
      </c>
      <c r="O642" s="32" t="e">
        <v>#N/A</v>
      </c>
      <c r="P642" s="32" t="e">
        <v>#REF!</v>
      </c>
      <c r="Q642" s="32" t="e">
        <v>#N/A</v>
      </c>
      <c r="R642" s="42" t="e">
        <v>#N/A</v>
      </c>
      <c r="S642" s="42" t="e">
        <v>#N/A</v>
      </c>
      <c r="T642" s="36">
        <v>0.0</v>
      </c>
      <c r="U642" s="36">
        <v>0.0</v>
      </c>
      <c r="V642" s="36">
        <v>0.0</v>
      </c>
      <c r="W642" s="36">
        <v>0.0</v>
      </c>
      <c r="X642" s="36">
        <v>0.0</v>
      </c>
      <c r="Y642" s="36">
        <v>0.0</v>
      </c>
    </row>
    <row r="643">
      <c r="A643" s="32" t="s">
        <v>2579</v>
      </c>
      <c r="B643" s="32" t="s">
        <v>2579</v>
      </c>
      <c r="C643" s="32">
        <v>0.0</v>
      </c>
      <c r="D643" s="32" t="e">
        <v>#N/A</v>
      </c>
      <c r="E643" s="39"/>
      <c r="F643" s="32" t="e">
        <v>#N/A</v>
      </c>
      <c r="G643" s="39"/>
      <c r="H643" s="32" t="e">
        <v>#N/A</v>
      </c>
      <c r="I643" s="39"/>
      <c r="J643" s="32">
        <v>0.0</v>
      </c>
      <c r="K643" s="33" t="e">
        <v>#N/A</v>
      </c>
      <c r="L643" s="32" t="e">
        <v>#N/A</v>
      </c>
      <c r="M643" s="32" t="e">
        <v>#N/A</v>
      </c>
      <c r="N643" s="32" t="e">
        <v>#N/A</v>
      </c>
      <c r="O643" s="32" t="e">
        <v>#N/A</v>
      </c>
      <c r="P643" s="32" t="e">
        <v>#REF!</v>
      </c>
      <c r="Q643" s="32" t="e">
        <v>#N/A</v>
      </c>
      <c r="R643" s="42" t="e">
        <v>#N/A</v>
      </c>
      <c r="S643" s="42" t="e">
        <v>#N/A</v>
      </c>
      <c r="T643" s="36">
        <v>0.0</v>
      </c>
      <c r="U643" s="36">
        <v>0.0</v>
      </c>
      <c r="V643" s="36">
        <v>0.0</v>
      </c>
      <c r="W643" s="36">
        <v>0.0</v>
      </c>
      <c r="X643" s="36">
        <v>0.0</v>
      </c>
      <c r="Y643" s="36">
        <v>0.0</v>
      </c>
    </row>
    <row r="644">
      <c r="A644" s="32" t="s">
        <v>2577</v>
      </c>
      <c r="B644" s="32" t="s">
        <v>2577</v>
      </c>
      <c r="C644" s="32">
        <v>0.0</v>
      </c>
      <c r="D644" s="32" t="e">
        <v>#N/A</v>
      </c>
      <c r="E644" s="39"/>
      <c r="F644" s="32" t="e">
        <v>#N/A</v>
      </c>
      <c r="G644" s="39"/>
      <c r="H644" s="32" t="e">
        <v>#N/A</v>
      </c>
      <c r="I644" s="39"/>
      <c r="J644" s="32">
        <v>0.0</v>
      </c>
      <c r="K644" s="33" t="e">
        <v>#N/A</v>
      </c>
      <c r="L644" s="32" t="e">
        <v>#N/A</v>
      </c>
      <c r="M644" s="32" t="e">
        <v>#N/A</v>
      </c>
      <c r="N644" s="32" t="e">
        <v>#N/A</v>
      </c>
      <c r="O644" s="32" t="e">
        <v>#N/A</v>
      </c>
      <c r="P644" s="32" t="e">
        <v>#REF!</v>
      </c>
      <c r="Q644" s="32" t="e">
        <v>#N/A</v>
      </c>
      <c r="R644" s="42" t="e">
        <v>#N/A</v>
      </c>
      <c r="S644" s="42" t="e">
        <v>#N/A</v>
      </c>
      <c r="T644" s="36">
        <v>0.0</v>
      </c>
      <c r="U644" s="36">
        <v>0.0</v>
      </c>
      <c r="V644" s="36">
        <v>0.0</v>
      </c>
      <c r="W644" s="36">
        <v>0.0</v>
      </c>
      <c r="X644" s="36">
        <v>0.0</v>
      </c>
      <c r="Y644" s="36">
        <v>0.0</v>
      </c>
    </row>
    <row r="645">
      <c r="A645" s="32" t="s">
        <v>2580</v>
      </c>
      <c r="B645" s="32" t="s">
        <v>2580</v>
      </c>
      <c r="C645" s="32">
        <v>0.0</v>
      </c>
      <c r="D645" s="32" t="e">
        <v>#N/A</v>
      </c>
      <c r="E645" s="39"/>
      <c r="F645" s="32" t="e">
        <v>#N/A</v>
      </c>
      <c r="G645" s="39"/>
      <c r="H645" s="32" t="e">
        <v>#N/A</v>
      </c>
      <c r="I645" s="39"/>
      <c r="J645" s="32">
        <v>0.0</v>
      </c>
      <c r="K645" s="33" t="e">
        <v>#N/A</v>
      </c>
      <c r="L645" s="32" t="e">
        <v>#N/A</v>
      </c>
      <c r="M645" s="32" t="e">
        <v>#N/A</v>
      </c>
      <c r="N645" s="32" t="e">
        <v>#N/A</v>
      </c>
      <c r="O645" s="32" t="e">
        <v>#N/A</v>
      </c>
      <c r="P645" s="32" t="e">
        <v>#REF!</v>
      </c>
      <c r="Q645" s="32" t="e">
        <v>#N/A</v>
      </c>
      <c r="R645" s="42" t="e">
        <v>#N/A</v>
      </c>
      <c r="S645" s="42" t="e">
        <v>#N/A</v>
      </c>
      <c r="T645" s="36">
        <v>0.0</v>
      </c>
      <c r="U645" s="36">
        <v>0.0</v>
      </c>
      <c r="V645" s="36">
        <v>0.0</v>
      </c>
      <c r="W645" s="36">
        <v>0.0</v>
      </c>
      <c r="X645" s="36">
        <v>0.0</v>
      </c>
      <c r="Y645" s="36">
        <v>0.0</v>
      </c>
    </row>
    <row r="646">
      <c r="A646" s="32" t="s">
        <v>2563</v>
      </c>
      <c r="B646" s="32" t="s">
        <v>2563</v>
      </c>
      <c r="C646" s="32">
        <v>0.0</v>
      </c>
      <c r="D646" s="32" t="e">
        <v>#N/A</v>
      </c>
      <c r="E646" s="39"/>
      <c r="F646" s="32" t="e">
        <v>#N/A</v>
      </c>
      <c r="G646" s="39"/>
      <c r="H646" s="32" t="e">
        <v>#N/A</v>
      </c>
      <c r="I646" s="39"/>
      <c r="J646" s="32">
        <v>0.0</v>
      </c>
      <c r="K646" s="33" t="e">
        <v>#N/A</v>
      </c>
      <c r="L646" s="32" t="e">
        <v>#N/A</v>
      </c>
      <c r="M646" s="32" t="e">
        <v>#N/A</v>
      </c>
      <c r="N646" s="32" t="e">
        <v>#N/A</v>
      </c>
      <c r="O646" s="32" t="e">
        <v>#N/A</v>
      </c>
      <c r="P646" s="32" t="e">
        <v>#REF!</v>
      </c>
      <c r="Q646" s="32" t="e">
        <v>#N/A</v>
      </c>
      <c r="R646" s="42" t="e">
        <v>#N/A</v>
      </c>
      <c r="S646" s="42" t="e">
        <v>#N/A</v>
      </c>
      <c r="T646" s="36">
        <v>0.0</v>
      </c>
      <c r="U646" s="36">
        <v>0.0</v>
      </c>
      <c r="V646" s="36">
        <v>0.0</v>
      </c>
      <c r="W646" s="36">
        <v>0.0</v>
      </c>
      <c r="X646" s="36">
        <v>0.0</v>
      </c>
      <c r="Y646" s="36">
        <v>0.0</v>
      </c>
    </row>
    <row r="647">
      <c r="A647" s="32" t="s">
        <v>2566</v>
      </c>
      <c r="B647" s="32" t="s">
        <v>2566</v>
      </c>
      <c r="C647" s="32">
        <v>0.0</v>
      </c>
      <c r="D647" s="32" t="e">
        <v>#N/A</v>
      </c>
      <c r="E647" s="39"/>
      <c r="F647" s="32" t="e">
        <v>#N/A</v>
      </c>
      <c r="G647" s="39"/>
      <c r="H647" s="32" t="e">
        <v>#N/A</v>
      </c>
      <c r="I647" s="39"/>
      <c r="J647" s="32">
        <v>0.0</v>
      </c>
      <c r="K647" s="33" t="e">
        <v>#N/A</v>
      </c>
      <c r="L647" s="32" t="e">
        <v>#N/A</v>
      </c>
      <c r="M647" s="32" t="e">
        <v>#N/A</v>
      </c>
      <c r="N647" s="32" t="e">
        <v>#N/A</v>
      </c>
      <c r="O647" s="32" t="e">
        <v>#N/A</v>
      </c>
      <c r="P647" s="32" t="e">
        <v>#REF!</v>
      </c>
      <c r="Q647" s="32" t="e">
        <v>#N/A</v>
      </c>
      <c r="R647" s="42" t="e">
        <v>#N/A</v>
      </c>
      <c r="S647" s="42" t="e">
        <v>#N/A</v>
      </c>
      <c r="T647" s="36">
        <v>0.0</v>
      </c>
      <c r="U647" s="36">
        <v>0.0</v>
      </c>
      <c r="V647" s="36">
        <v>0.0</v>
      </c>
      <c r="W647" s="36">
        <v>0.0</v>
      </c>
      <c r="X647" s="36">
        <v>0.0</v>
      </c>
      <c r="Y647" s="36">
        <v>0.0</v>
      </c>
    </row>
    <row r="648">
      <c r="A648" s="32" t="s">
        <v>2564</v>
      </c>
      <c r="B648" s="32" t="s">
        <v>2564</v>
      </c>
      <c r="C648" s="32">
        <v>0.0</v>
      </c>
      <c r="D648" s="32" t="e">
        <v>#N/A</v>
      </c>
      <c r="E648" s="39"/>
      <c r="F648" s="32" t="e">
        <v>#N/A</v>
      </c>
      <c r="G648" s="39"/>
      <c r="H648" s="32" t="e">
        <v>#N/A</v>
      </c>
      <c r="I648" s="39"/>
      <c r="J648" s="32">
        <v>0.0</v>
      </c>
      <c r="K648" s="33" t="e">
        <v>#N/A</v>
      </c>
      <c r="L648" s="32" t="e">
        <v>#N/A</v>
      </c>
      <c r="M648" s="32" t="e">
        <v>#N/A</v>
      </c>
      <c r="N648" s="32" t="e">
        <v>#N/A</v>
      </c>
      <c r="O648" s="32" t="e">
        <v>#N/A</v>
      </c>
      <c r="P648" s="32" t="e">
        <v>#REF!</v>
      </c>
      <c r="Q648" s="32" t="e">
        <v>#N/A</v>
      </c>
      <c r="R648" s="42" t="e">
        <v>#N/A</v>
      </c>
      <c r="S648" s="42" t="e">
        <v>#N/A</v>
      </c>
      <c r="T648" s="36">
        <v>0.0</v>
      </c>
      <c r="U648" s="36">
        <v>0.0</v>
      </c>
      <c r="V648" s="36">
        <v>0.0</v>
      </c>
      <c r="W648" s="36">
        <v>0.0</v>
      </c>
      <c r="X648" s="36">
        <v>0.0</v>
      </c>
      <c r="Y648" s="36">
        <v>0.0</v>
      </c>
    </row>
    <row r="649">
      <c r="A649" s="32" t="s">
        <v>2567</v>
      </c>
      <c r="B649" s="32" t="s">
        <v>2567</v>
      </c>
      <c r="C649" s="32">
        <v>0.0</v>
      </c>
      <c r="D649" s="32" t="e">
        <v>#N/A</v>
      </c>
      <c r="E649" s="39"/>
      <c r="F649" s="32" t="e">
        <v>#N/A</v>
      </c>
      <c r="G649" s="39"/>
      <c r="H649" s="32" t="e">
        <v>#N/A</v>
      </c>
      <c r="I649" s="39"/>
      <c r="J649" s="32">
        <v>0.0</v>
      </c>
      <c r="K649" s="33" t="e">
        <v>#N/A</v>
      </c>
      <c r="L649" s="32" t="e">
        <v>#N/A</v>
      </c>
      <c r="M649" s="32" t="e">
        <v>#N/A</v>
      </c>
      <c r="N649" s="32" t="e">
        <v>#N/A</v>
      </c>
      <c r="O649" s="32" t="e">
        <v>#N/A</v>
      </c>
      <c r="P649" s="32" t="e">
        <v>#REF!</v>
      </c>
      <c r="Q649" s="32" t="e">
        <v>#N/A</v>
      </c>
      <c r="R649" s="42" t="e">
        <v>#N/A</v>
      </c>
      <c r="S649" s="42" t="e">
        <v>#N/A</v>
      </c>
      <c r="T649" s="36">
        <v>0.0</v>
      </c>
      <c r="U649" s="36">
        <v>0.0</v>
      </c>
      <c r="V649" s="36">
        <v>0.0</v>
      </c>
      <c r="W649" s="36">
        <v>0.0</v>
      </c>
      <c r="X649" s="36">
        <v>0.0</v>
      </c>
      <c r="Y649" s="36">
        <v>0.0</v>
      </c>
    </row>
    <row r="650">
      <c r="A650" s="32" t="s">
        <v>2565</v>
      </c>
      <c r="B650" s="32" t="s">
        <v>2565</v>
      </c>
      <c r="C650" s="32">
        <v>0.0</v>
      </c>
      <c r="D650" s="32" t="e">
        <v>#N/A</v>
      </c>
      <c r="E650" s="39"/>
      <c r="F650" s="32" t="e">
        <v>#N/A</v>
      </c>
      <c r="G650" s="39"/>
      <c r="H650" s="32" t="e">
        <v>#N/A</v>
      </c>
      <c r="I650" s="39"/>
      <c r="J650" s="32">
        <v>0.0</v>
      </c>
      <c r="K650" s="33" t="e">
        <v>#N/A</v>
      </c>
      <c r="L650" s="32" t="e">
        <v>#N/A</v>
      </c>
      <c r="M650" s="32" t="e">
        <v>#N/A</v>
      </c>
      <c r="N650" s="32" t="e">
        <v>#N/A</v>
      </c>
      <c r="O650" s="32" t="e">
        <v>#N/A</v>
      </c>
      <c r="P650" s="32" t="e">
        <v>#REF!</v>
      </c>
      <c r="Q650" s="32" t="e">
        <v>#N/A</v>
      </c>
      <c r="R650" s="42" t="e">
        <v>#N/A</v>
      </c>
      <c r="S650" s="42" t="e">
        <v>#N/A</v>
      </c>
      <c r="T650" s="36">
        <v>0.0</v>
      </c>
      <c r="U650" s="36">
        <v>0.0</v>
      </c>
      <c r="V650" s="36">
        <v>0.0</v>
      </c>
      <c r="W650" s="36">
        <v>0.0</v>
      </c>
      <c r="X650" s="36">
        <v>0.0</v>
      </c>
      <c r="Y650" s="36">
        <v>0.0</v>
      </c>
    </row>
    <row r="651">
      <c r="A651" s="32" t="s">
        <v>2568</v>
      </c>
      <c r="B651" s="32" t="s">
        <v>2568</v>
      </c>
      <c r="C651" s="32">
        <v>0.0</v>
      </c>
      <c r="D651" s="32" t="e">
        <v>#N/A</v>
      </c>
      <c r="E651" s="39"/>
      <c r="F651" s="32" t="e">
        <v>#N/A</v>
      </c>
      <c r="G651" s="39"/>
      <c r="H651" s="32" t="e">
        <v>#N/A</v>
      </c>
      <c r="I651" s="39"/>
      <c r="J651" s="32">
        <v>0.0</v>
      </c>
      <c r="K651" s="33" t="e">
        <v>#N/A</v>
      </c>
      <c r="L651" s="32" t="e">
        <v>#N/A</v>
      </c>
      <c r="M651" s="32" t="e">
        <v>#N/A</v>
      </c>
      <c r="N651" s="32" t="e">
        <v>#N/A</v>
      </c>
      <c r="O651" s="32" t="e">
        <v>#N/A</v>
      </c>
      <c r="P651" s="32" t="e">
        <v>#REF!</v>
      </c>
      <c r="Q651" s="32" t="e">
        <v>#N/A</v>
      </c>
      <c r="R651" s="42" t="e">
        <v>#N/A</v>
      </c>
      <c r="S651" s="42" t="e">
        <v>#N/A</v>
      </c>
      <c r="T651" s="36">
        <v>0.0</v>
      </c>
      <c r="U651" s="36">
        <v>0.0</v>
      </c>
      <c r="V651" s="36">
        <v>0.0</v>
      </c>
      <c r="W651" s="36">
        <v>0.0</v>
      </c>
      <c r="X651" s="36">
        <v>0.0</v>
      </c>
      <c r="Y651" s="36">
        <v>0.0</v>
      </c>
    </row>
    <row r="652">
      <c r="A652" s="32" t="s">
        <v>986</v>
      </c>
      <c r="B652" s="32" t="s">
        <v>986</v>
      </c>
      <c r="C652" s="32">
        <v>0.0</v>
      </c>
      <c r="D652" s="32">
        <v>0.0</v>
      </c>
      <c r="E652" s="39"/>
      <c r="F652" s="32" t="e">
        <v>#N/A</v>
      </c>
      <c r="G652" s="39"/>
      <c r="H652" s="32">
        <v>0.0</v>
      </c>
      <c r="I652" s="39"/>
      <c r="J652" s="32" t="s">
        <v>987</v>
      </c>
      <c r="K652" s="33" t="e">
        <v>#N/A</v>
      </c>
      <c r="L652" s="32" t="e">
        <v>#N/A</v>
      </c>
      <c r="M652" s="32" t="e">
        <v>#N/A</v>
      </c>
      <c r="N652" s="32" t="s">
        <v>5108</v>
      </c>
      <c r="O652" s="32" t="s">
        <v>52</v>
      </c>
      <c r="P652" s="32">
        <v>22999.0</v>
      </c>
      <c r="Q652" s="34">
        <v>19319.0</v>
      </c>
      <c r="R652" s="40">
        <v>20699.0</v>
      </c>
      <c r="S652" s="35">
        <v>18399.2</v>
      </c>
      <c r="T652" s="36">
        <v>0.0</v>
      </c>
      <c r="U652" s="36">
        <v>0.0</v>
      </c>
      <c r="V652" s="36">
        <v>0.0</v>
      </c>
      <c r="W652" s="36">
        <v>0.0</v>
      </c>
      <c r="X652" s="36">
        <v>0.0</v>
      </c>
      <c r="Y652" s="36">
        <v>0.0</v>
      </c>
    </row>
    <row r="653">
      <c r="A653" s="32" t="s">
        <v>2488</v>
      </c>
      <c r="B653" s="32" t="s">
        <v>2488</v>
      </c>
      <c r="C653" s="32">
        <v>0.0</v>
      </c>
      <c r="D653" s="32" t="e">
        <v>#N/A</v>
      </c>
      <c r="E653" s="39"/>
      <c r="F653" s="32" t="e">
        <v>#N/A</v>
      </c>
      <c r="G653" s="39"/>
      <c r="H653" s="32" t="e">
        <v>#N/A</v>
      </c>
      <c r="I653" s="39"/>
      <c r="J653" s="32">
        <v>0.0</v>
      </c>
      <c r="K653" s="33" t="e">
        <v>#N/A</v>
      </c>
      <c r="L653" s="32" t="e">
        <v>#N/A</v>
      </c>
      <c r="M653" s="32" t="e">
        <v>#N/A</v>
      </c>
      <c r="N653" s="32" t="e">
        <v>#N/A</v>
      </c>
      <c r="O653" s="32" t="e">
        <v>#N/A</v>
      </c>
      <c r="P653" s="32" t="e">
        <v>#REF!</v>
      </c>
      <c r="Q653" s="32" t="e">
        <v>#N/A</v>
      </c>
      <c r="R653" s="42" t="e">
        <v>#N/A</v>
      </c>
      <c r="S653" s="42" t="e">
        <v>#N/A</v>
      </c>
      <c r="T653" s="36">
        <v>0.0</v>
      </c>
      <c r="U653" s="36">
        <v>0.0</v>
      </c>
      <c r="V653" s="36">
        <v>0.0</v>
      </c>
      <c r="W653" s="36">
        <v>0.0</v>
      </c>
      <c r="X653" s="36">
        <v>0.0</v>
      </c>
      <c r="Y653" s="36">
        <v>0.0</v>
      </c>
    </row>
    <row r="654">
      <c r="A654" s="32" t="s">
        <v>4682</v>
      </c>
      <c r="B654" s="32" t="s">
        <v>4682</v>
      </c>
      <c r="C654" s="32">
        <v>0.0</v>
      </c>
      <c r="D654" s="32" t="e">
        <v>#N/A</v>
      </c>
      <c r="E654" s="39"/>
      <c r="F654" s="32" t="e">
        <v>#N/A</v>
      </c>
      <c r="G654" s="39"/>
      <c r="H654" s="32" t="e">
        <v>#N/A</v>
      </c>
      <c r="I654" s="39"/>
      <c r="J654" s="32">
        <v>0.0</v>
      </c>
      <c r="K654" s="33" t="e">
        <v>#N/A</v>
      </c>
      <c r="L654" s="32" t="e">
        <v>#N/A</v>
      </c>
      <c r="M654" s="32" t="e">
        <v>#N/A</v>
      </c>
      <c r="N654" s="32" t="e">
        <v>#N/A</v>
      </c>
      <c r="O654" s="32" t="e">
        <v>#N/A</v>
      </c>
      <c r="P654" s="32" t="e">
        <v>#REF!</v>
      </c>
      <c r="Q654" s="32" t="e">
        <v>#N/A</v>
      </c>
      <c r="R654" s="42" t="e">
        <v>#N/A</v>
      </c>
      <c r="S654" s="42" t="e">
        <v>#N/A</v>
      </c>
      <c r="T654" s="36">
        <v>0.0</v>
      </c>
      <c r="U654" s="36">
        <v>0.0</v>
      </c>
      <c r="V654" s="36">
        <v>0.0</v>
      </c>
      <c r="W654" s="36">
        <v>0.0</v>
      </c>
      <c r="X654" s="36">
        <v>0.0</v>
      </c>
      <c r="Y654" s="36">
        <v>0.0</v>
      </c>
    </row>
    <row r="655">
      <c r="A655" s="32" t="s">
        <v>4683</v>
      </c>
      <c r="B655" s="32" t="s">
        <v>4683</v>
      </c>
      <c r="C655" s="32">
        <v>0.0</v>
      </c>
      <c r="D655" s="32" t="e">
        <v>#N/A</v>
      </c>
      <c r="E655" s="39"/>
      <c r="F655" s="32" t="e">
        <v>#N/A</v>
      </c>
      <c r="G655" s="39"/>
      <c r="H655" s="32" t="e">
        <v>#N/A</v>
      </c>
      <c r="I655" s="39"/>
      <c r="J655" s="32">
        <v>0.0</v>
      </c>
      <c r="K655" s="33" t="e">
        <v>#N/A</v>
      </c>
      <c r="L655" s="32" t="e">
        <v>#N/A</v>
      </c>
      <c r="M655" s="32" t="e">
        <v>#N/A</v>
      </c>
      <c r="N655" s="32" t="e">
        <v>#N/A</v>
      </c>
      <c r="O655" s="32" t="e">
        <v>#N/A</v>
      </c>
      <c r="P655" s="32" t="e">
        <v>#REF!</v>
      </c>
      <c r="Q655" s="32" t="e">
        <v>#N/A</v>
      </c>
      <c r="R655" s="42" t="e">
        <v>#N/A</v>
      </c>
      <c r="S655" s="42" t="e">
        <v>#N/A</v>
      </c>
      <c r="T655" s="36">
        <v>0.0</v>
      </c>
      <c r="U655" s="36">
        <v>0.0</v>
      </c>
      <c r="V655" s="36">
        <v>0.0</v>
      </c>
      <c r="W655" s="36">
        <v>0.0</v>
      </c>
      <c r="X655" s="36">
        <v>0.0</v>
      </c>
      <c r="Y655" s="36">
        <v>0.0</v>
      </c>
    </row>
    <row r="656">
      <c r="A656" s="32" t="s">
        <v>2489</v>
      </c>
      <c r="B656" s="32" t="s">
        <v>2489</v>
      </c>
      <c r="C656" s="32">
        <v>0.0</v>
      </c>
      <c r="D656" s="32" t="e">
        <v>#N/A</v>
      </c>
      <c r="E656" s="39"/>
      <c r="F656" s="32" t="e">
        <v>#N/A</v>
      </c>
      <c r="G656" s="39"/>
      <c r="H656" s="32" t="e">
        <v>#N/A</v>
      </c>
      <c r="I656" s="39"/>
      <c r="J656" s="32">
        <v>0.0</v>
      </c>
      <c r="K656" s="33" t="e">
        <v>#N/A</v>
      </c>
      <c r="L656" s="32" t="e">
        <v>#N/A</v>
      </c>
      <c r="M656" s="32" t="e">
        <v>#N/A</v>
      </c>
      <c r="N656" s="32" t="e">
        <v>#N/A</v>
      </c>
      <c r="O656" s="32" t="e">
        <v>#N/A</v>
      </c>
      <c r="P656" s="32" t="e">
        <v>#REF!</v>
      </c>
      <c r="Q656" s="32" t="e">
        <v>#N/A</v>
      </c>
      <c r="R656" s="42" t="e">
        <v>#N/A</v>
      </c>
      <c r="S656" s="42" t="e">
        <v>#N/A</v>
      </c>
      <c r="T656" s="36">
        <v>0.0</v>
      </c>
      <c r="U656" s="36">
        <v>0.0</v>
      </c>
      <c r="V656" s="36">
        <v>0.0</v>
      </c>
      <c r="W656" s="36">
        <v>0.0</v>
      </c>
      <c r="X656" s="36">
        <v>0.0</v>
      </c>
      <c r="Y656" s="36">
        <v>0.0</v>
      </c>
    </row>
    <row r="657">
      <c r="A657" s="32" t="s">
        <v>4716</v>
      </c>
      <c r="B657" s="32" t="s">
        <v>4716</v>
      </c>
      <c r="C657" s="32">
        <v>0.0</v>
      </c>
      <c r="D657" s="32" t="e">
        <v>#N/A</v>
      </c>
      <c r="E657" s="39"/>
      <c r="F657" s="32" t="e">
        <v>#N/A</v>
      </c>
      <c r="G657" s="39"/>
      <c r="H657" s="32" t="e">
        <v>#N/A</v>
      </c>
      <c r="I657" s="39"/>
      <c r="J657" s="32">
        <v>0.0</v>
      </c>
      <c r="K657" s="33" t="e">
        <v>#N/A</v>
      </c>
      <c r="L657" s="32" t="e">
        <v>#N/A</v>
      </c>
      <c r="M657" s="32" t="e">
        <v>#N/A</v>
      </c>
      <c r="N657" s="32" t="e">
        <v>#N/A</v>
      </c>
      <c r="O657" s="32" t="e">
        <v>#N/A</v>
      </c>
      <c r="P657" s="32" t="e">
        <v>#REF!</v>
      </c>
      <c r="Q657" s="32" t="e">
        <v>#N/A</v>
      </c>
      <c r="R657" s="42" t="e">
        <v>#N/A</v>
      </c>
      <c r="S657" s="42" t="e">
        <v>#N/A</v>
      </c>
      <c r="T657" s="36">
        <v>0.0</v>
      </c>
      <c r="U657" s="36">
        <v>0.0</v>
      </c>
      <c r="V657" s="36">
        <v>0.0</v>
      </c>
      <c r="W657" s="36">
        <v>0.0</v>
      </c>
      <c r="X657" s="36">
        <v>0.0</v>
      </c>
      <c r="Y657" s="36">
        <v>0.0</v>
      </c>
    </row>
    <row r="658">
      <c r="A658" s="32" t="s">
        <v>4717</v>
      </c>
      <c r="B658" s="32" t="s">
        <v>4717</v>
      </c>
      <c r="C658" s="32">
        <v>0.0</v>
      </c>
      <c r="D658" s="32" t="e">
        <v>#N/A</v>
      </c>
      <c r="E658" s="39"/>
      <c r="F658" s="32" t="e">
        <v>#N/A</v>
      </c>
      <c r="G658" s="39"/>
      <c r="H658" s="32" t="e">
        <v>#N/A</v>
      </c>
      <c r="I658" s="39"/>
      <c r="J658" s="32">
        <v>0.0</v>
      </c>
      <c r="K658" s="33" t="e">
        <v>#N/A</v>
      </c>
      <c r="L658" s="32" t="e">
        <v>#N/A</v>
      </c>
      <c r="M658" s="32" t="e">
        <v>#N/A</v>
      </c>
      <c r="N658" s="32" t="e">
        <v>#N/A</v>
      </c>
      <c r="O658" s="32" t="e">
        <v>#N/A</v>
      </c>
      <c r="P658" s="32" t="e">
        <v>#REF!</v>
      </c>
      <c r="Q658" s="32" t="e">
        <v>#N/A</v>
      </c>
      <c r="R658" s="42" t="e">
        <v>#N/A</v>
      </c>
      <c r="S658" s="42" t="e">
        <v>#N/A</v>
      </c>
      <c r="T658" s="36">
        <v>0.0</v>
      </c>
      <c r="U658" s="36">
        <v>0.0</v>
      </c>
      <c r="V658" s="36">
        <v>0.0</v>
      </c>
      <c r="W658" s="36">
        <v>0.0</v>
      </c>
      <c r="X658" s="36">
        <v>0.0</v>
      </c>
      <c r="Y658" s="36">
        <v>0.0</v>
      </c>
    </row>
    <row r="659">
      <c r="A659" s="32" t="s">
        <v>4718</v>
      </c>
      <c r="B659" s="32" t="s">
        <v>4718</v>
      </c>
      <c r="C659" s="32">
        <v>0.0</v>
      </c>
      <c r="D659" s="32" t="e">
        <v>#N/A</v>
      </c>
      <c r="E659" s="39"/>
      <c r="F659" s="32" t="e">
        <v>#N/A</v>
      </c>
      <c r="G659" s="39"/>
      <c r="H659" s="32" t="e">
        <v>#N/A</v>
      </c>
      <c r="I659" s="39"/>
      <c r="J659" s="32">
        <v>0.0</v>
      </c>
      <c r="K659" s="33" t="e">
        <v>#N/A</v>
      </c>
      <c r="L659" s="32" t="e">
        <v>#N/A</v>
      </c>
      <c r="M659" s="32" t="e">
        <v>#N/A</v>
      </c>
      <c r="N659" s="32" t="e">
        <v>#N/A</v>
      </c>
      <c r="O659" s="32" t="e">
        <v>#N/A</v>
      </c>
      <c r="P659" s="32" t="e">
        <v>#REF!</v>
      </c>
      <c r="Q659" s="32" t="e">
        <v>#N/A</v>
      </c>
      <c r="R659" s="42" t="e">
        <v>#N/A</v>
      </c>
      <c r="S659" s="42" t="e">
        <v>#N/A</v>
      </c>
      <c r="T659" s="36">
        <v>0.0</v>
      </c>
      <c r="U659" s="36">
        <v>0.0</v>
      </c>
      <c r="V659" s="36">
        <v>0.0</v>
      </c>
      <c r="W659" s="36">
        <v>0.0</v>
      </c>
      <c r="X659" s="36">
        <v>0.0</v>
      </c>
      <c r="Y659" s="36">
        <v>0.0</v>
      </c>
    </row>
    <row r="660">
      <c r="A660" s="32" t="s">
        <v>4719</v>
      </c>
      <c r="B660" s="32" t="s">
        <v>4719</v>
      </c>
      <c r="C660" s="32">
        <v>0.0</v>
      </c>
      <c r="D660" s="32" t="e">
        <v>#N/A</v>
      </c>
      <c r="E660" s="39"/>
      <c r="F660" s="32" t="e">
        <v>#N/A</v>
      </c>
      <c r="G660" s="39"/>
      <c r="H660" s="32" t="e">
        <v>#N/A</v>
      </c>
      <c r="I660" s="39"/>
      <c r="J660" s="32">
        <v>0.0</v>
      </c>
      <c r="K660" s="33" t="e">
        <v>#N/A</v>
      </c>
      <c r="L660" s="32" t="e">
        <v>#N/A</v>
      </c>
      <c r="M660" s="32" t="e">
        <v>#N/A</v>
      </c>
      <c r="N660" s="32" t="e">
        <v>#N/A</v>
      </c>
      <c r="O660" s="32" t="e">
        <v>#N/A</v>
      </c>
      <c r="P660" s="32" t="e">
        <v>#REF!</v>
      </c>
      <c r="Q660" s="32" t="e">
        <v>#N/A</v>
      </c>
      <c r="R660" s="42" t="e">
        <v>#N/A</v>
      </c>
      <c r="S660" s="42" t="e">
        <v>#N/A</v>
      </c>
      <c r="T660" s="36">
        <v>0.0</v>
      </c>
      <c r="U660" s="36">
        <v>0.0</v>
      </c>
      <c r="V660" s="36">
        <v>0.0</v>
      </c>
      <c r="W660" s="36">
        <v>0.0</v>
      </c>
      <c r="X660" s="36">
        <v>0.0</v>
      </c>
      <c r="Y660" s="36">
        <v>0.0</v>
      </c>
    </row>
    <row r="661">
      <c r="A661" s="32" t="s">
        <v>2491</v>
      </c>
      <c r="B661" s="32" t="s">
        <v>2491</v>
      </c>
      <c r="C661" s="32">
        <v>0.0</v>
      </c>
      <c r="D661" s="32" t="e">
        <v>#N/A</v>
      </c>
      <c r="E661" s="39"/>
      <c r="F661" s="32" t="e">
        <v>#N/A</v>
      </c>
      <c r="G661" s="39"/>
      <c r="H661" s="32" t="e">
        <v>#N/A</v>
      </c>
      <c r="I661" s="39"/>
      <c r="J661" s="32">
        <v>0.0</v>
      </c>
      <c r="K661" s="33" t="e">
        <v>#N/A</v>
      </c>
      <c r="L661" s="32" t="e">
        <v>#N/A</v>
      </c>
      <c r="M661" s="32" t="e">
        <v>#N/A</v>
      </c>
      <c r="N661" s="32" t="e">
        <v>#N/A</v>
      </c>
      <c r="O661" s="32" t="e">
        <v>#N/A</v>
      </c>
      <c r="P661" s="32" t="e">
        <v>#REF!</v>
      </c>
      <c r="Q661" s="32" t="e">
        <v>#N/A</v>
      </c>
      <c r="R661" s="42" t="e">
        <v>#N/A</v>
      </c>
      <c r="S661" s="42" t="e">
        <v>#N/A</v>
      </c>
      <c r="T661" s="36">
        <v>0.0</v>
      </c>
      <c r="U661" s="36">
        <v>0.0</v>
      </c>
      <c r="V661" s="36">
        <v>0.0</v>
      </c>
      <c r="W661" s="36">
        <v>0.0</v>
      </c>
      <c r="X661" s="36">
        <v>0.0</v>
      </c>
      <c r="Y661" s="36">
        <v>0.0</v>
      </c>
    </row>
    <row r="662">
      <c r="A662" s="32" t="s">
        <v>2492</v>
      </c>
      <c r="B662" s="32" t="s">
        <v>2492</v>
      </c>
      <c r="C662" s="32">
        <v>0.0</v>
      </c>
      <c r="D662" s="32" t="e">
        <v>#N/A</v>
      </c>
      <c r="E662" s="39"/>
      <c r="F662" s="32" t="e">
        <v>#N/A</v>
      </c>
      <c r="G662" s="39"/>
      <c r="H662" s="32" t="e">
        <v>#N/A</v>
      </c>
      <c r="I662" s="39"/>
      <c r="J662" s="32">
        <v>0.0</v>
      </c>
      <c r="K662" s="33" t="e">
        <v>#N/A</v>
      </c>
      <c r="L662" s="32" t="e">
        <v>#N/A</v>
      </c>
      <c r="M662" s="32" t="e">
        <v>#N/A</v>
      </c>
      <c r="N662" s="32" t="e">
        <v>#N/A</v>
      </c>
      <c r="O662" s="32" t="e">
        <v>#N/A</v>
      </c>
      <c r="P662" s="32" t="e">
        <v>#REF!</v>
      </c>
      <c r="Q662" s="32" t="e">
        <v>#N/A</v>
      </c>
      <c r="R662" s="42" t="e">
        <v>#N/A</v>
      </c>
      <c r="S662" s="42" t="e">
        <v>#N/A</v>
      </c>
      <c r="T662" s="36">
        <v>0.0</v>
      </c>
      <c r="U662" s="36">
        <v>0.0</v>
      </c>
      <c r="V662" s="36">
        <v>0.0</v>
      </c>
      <c r="W662" s="36">
        <v>0.0</v>
      </c>
      <c r="X662" s="36">
        <v>0.0</v>
      </c>
      <c r="Y662" s="36">
        <v>0.0</v>
      </c>
    </row>
    <row r="663">
      <c r="A663" s="32" t="s">
        <v>4720</v>
      </c>
      <c r="B663" s="32" t="s">
        <v>4720</v>
      </c>
      <c r="C663" s="32">
        <v>0.0</v>
      </c>
      <c r="D663" s="32" t="e">
        <v>#N/A</v>
      </c>
      <c r="E663" s="39"/>
      <c r="F663" s="32" t="e">
        <v>#N/A</v>
      </c>
      <c r="G663" s="39"/>
      <c r="H663" s="32" t="e">
        <v>#N/A</v>
      </c>
      <c r="I663" s="39"/>
      <c r="J663" s="32">
        <v>0.0</v>
      </c>
      <c r="K663" s="33" t="e">
        <v>#N/A</v>
      </c>
      <c r="L663" s="32" t="e">
        <v>#N/A</v>
      </c>
      <c r="M663" s="32" t="e">
        <v>#N/A</v>
      </c>
      <c r="N663" s="32" t="e">
        <v>#N/A</v>
      </c>
      <c r="O663" s="32" t="e">
        <v>#N/A</v>
      </c>
      <c r="P663" s="32" t="e">
        <v>#REF!</v>
      </c>
      <c r="Q663" s="32" t="e">
        <v>#N/A</v>
      </c>
      <c r="R663" s="42" t="e">
        <v>#N/A</v>
      </c>
      <c r="S663" s="42" t="e">
        <v>#N/A</v>
      </c>
      <c r="T663" s="36">
        <v>0.0</v>
      </c>
      <c r="U663" s="36">
        <v>0.0</v>
      </c>
      <c r="V663" s="36">
        <v>0.0</v>
      </c>
      <c r="W663" s="36">
        <v>0.0</v>
      </c>
      <c r="X663" s="36">
        <v>0.0</v>
      </c>
      <c r="Y663" s="36">
        <v>0.0</v>
      </c>
    </row>
    <row r="664">
      <c r="A664" s="32" t="s">
        <v>4721</v>
      </c>
      <c r="B664" s="32" t="s">
        <v>4721</v>
      </c>
      <c r="C664" s="32">
        <v>0.0</v>
      </c>
      <c r="D664" s="32" t="e">
        <v>#N/A</v>
      </c>
      <c r="E664" s="39"/>
      <c r="F664" s="32" t="e">
        <v>#N/A</v>
      </c>
      <c r="G664" s="39"/>
      <c r="H664" s="32" t="e">
        <v>#N/A</v>
      </c>
      <c r="I664" s="39"/>
      <c r="J664" s="32">
        <v>0.0</v>
      </c>
      <c r="K664" s="33" t="e">
        <v>#N/A</v>
      </c>
      <c r="L664" s="32" t="e">
        <v>#N/A</v>
      </c>
      <c r="M664" s="32" t="e">
        <v>#N/A</v>
      </c>
      <c r="N664" s="32" t="e">
        <v>#N/A</v>
      </c>
      <c r="O664" s="32" t="e">
        <v>#N/A</v>
      </c>
      <c r="P664" s="32" t="e">
        <v>#REF!</v>
      </c>
      <c r="Q664" s="32" t="e">
        <v>#N/A</v>
      </c>
      <c r="R664" s="42" t="e">
        <v>#N/A</v>
      </c>
      <c r="S664" s="42" t="e">
        <v>#N/A</v>
      </c>
      <c r="T664" s="36">
        <v>0.0</v>
      </c>
      <c r="U664" s="36">
        <v>0.0</v>
      </c>
      <c r="V664" s="36">
        <v>0.0</v>
      </c>
      <c r="W664" s="36">
        <v>0.0</v>
      </c>
      <c r="X664" s="36">
        <v>0.0</v>
      </c>
      <c r="Y664" s="36">
        <v>0.0</v>
      </c>
    </row>
    <row r="665">
      <c r="A665" s="32" t="s">
        <v>2490</v>
      </c>
      <c r="B665" s="32" t="s">
        <v>2490</v>
      </c>
      <c r="C665" s="32">
        <v>0.0</v>
      </c>
      <c r="D665" s="32" t="e">
        <v>#N/A</v>
      </c>
      <c r="E665" s="39"/>
      <c r="F665" s="32" t="e">
        <v>#N/A</v>
      </c>
      <c r="G665" s="39"/>
      <c r="H665" s="32" t="e">
        <v>#N/A</v>
      </c>
      <c r="I665" s="39"/>
      <c r="J665" s="32">
        <v>0.0</v>
      </c>
      <c r="K665" s="33" t="e">
        <v>#N/A</v>
      </c>
      <c r="L665" s="32" t="e">
        <v>#N/A</v>
      </c>
      <c r="M665" s="32" t="e">
        <v>#N/A</v>
      </c>
      <c r="N665" s="32" t="e">
        <v>#N/A</v>
      </c>
      <c r="O665" s="32" t="e">
        <v>#N/A</v>
      </c>
      <c r="P665" s="32" t="e">
        <v>#REF!</v>
      </c>
      <c r="Q665" s="32" t="e">
        <v>#N/A</v>
      </c>
      <c r="R665" s="42" t="e">
        <v>#N/A</v>
      </c>
      <c r="S665" s="42" t="e">
        <v>#N/A</v>
      </c>
      <c r="T665" s="36">
        <v>0.0</v>
      </c>
      <c r="U665" s="36">
        <v>0.0</v>
      </c>
      <c r="V665" s="36">
        <v>0.0</v>
      </c>
      <c r="W665" s="36">
        <v>0.0</v>
      </c>
      <c r="X665" s="36">
        <v>0.0</v>
      </c>
      <c r="Y665" s="36">
        <v>0.0</v>
      </c>
    </row>
    <row r="666">
      <c r="A666" s="32" t="s">
        <v>4722</v>
      </c>
      <c r="B666" s="32" t="s">
        <v>4722</v>
      </c>
      <c r="C666" s="32">
        <v>0.0</v>
      </c>
      <c r="D666" s="32" t="e">
        <v>#N/A</v>
      </c>
      <c r="E666" s="39"/>
      <c r="F666" s="32" t="e">
        <v>#N/A</v>
      </c>
      <c r="G666" s="39"/>
      <c r="H666" s="32" t="e">
        <v>#N/A</v>
      </c>
      <c r="I666" s="39"/>
      <c r="J666" s="32">
        <v>0.0</v>
      </c>
      <c r="K666" s="33" t="e">
        <v>#N/A</v>
      </c>
      <c r="L666" s="32" t="e">
        <v>#N/A</v>
      </c>
      <c r="M666" s="32" t="e">
        <v>#N/A</v>
      </c>
      <c r="N666" s="32" t="e">
        <v>#N/A</v>
      </c>
      <c r="O666" s="32" t="e">
        <v>#N/A</v>
      </c>
      <c r="P666" s="32" t="e">
        <v>#REF!</v>
      </c>
      <c r="Q666" s="32" t="e">
        <v>#N/A</v>
      </c>
      <c r="R666" s="42" t="e">
        <v>#N/A</v>
      </c>
      <c r="S666" s="42" t="e">
        <v>#N/A</v>
      </c>
      <c r="T666" s="36">
        <v>0.0</v>
      </c>
      <c r="U666" s="36">
        <v>0.0</v>
      </c>
      <c r="V666" s="36">
        <v>0.0</v>
      </c>
      <c r="W666" s="36">
        <v>0.0</v>
      </c>
      <c r="X666" s="36">
        <v>0.0</v>
      </c>
      <c r="Y666" s="36">
        <v>0.0</v>
      </c>
    </row>
    <row r="667">
      <c r="A667" s="32" t="s">
        <v>4723</v>
      </c>
      <c r="B667" s="32" t="s">
        <v>4723</v>
      </c>
      <c r="C667" s="32">
        <v>0.0</v>
      </c>
      <c r="D667" s="32" t="e">
        <v>#N/A</v>
      </c>
      <c r="E667" s="39"/>
      <c r="F667" s="32" t="e">
        <v>#N/A</v>
      </c>
      <c r="G667" s="39"/>
      <c r="H667" s="32" t="e">
        <v>#N/A</v>
      </c>
      <c r="I667" s="39"/>
      <c r="J667" s="32">
        <v>0.0</v>
      </c>
      <c r="K667" s="33" t="e">
        <v>#N/A</v>
      </c>
      <c r="L667" s="32" t="e">
        <v>#N/A</v>
      </c>
      <c r="M667" s="32" t="e">
        <v>#N/A</v>
      </c>
      <c r="N667" s="32" t="e">
        <v>#N/A</v>
      </c>
      <c r="O667" s="32" t="e">
        <v>#N/A</v>
      </c>
      <c r="P667" s="32" t="e">
        <v>#REF!</v>
      </c>
      <c r="Q667" s="32" t="e">
        <v>#N/A</v>
      </c>
      <c r="R667" s="42" t="e">
        <v>#N/A</v>
      </c>
      <c r="S667" s="42" t="e">
        <v>#N/A</v>
      </c>
      <c r="T667" s="36">
        <v>0.0</v>
      </c>
      <c r="U667" s="36">
        <v>0.0</v>
      </c>
      <c r="V667" s="36">
        <v>0.0</v>
      </c>
      <c r="W667" s="36">
        <v>0.0</v>
      </c>
      <c r="X667" s="36">
        <v>0.0</v>
      </c>
      <c r="Y667" s="36">
        <v>0.0</v>
      </c>
    </row>
    <row r="668">
      <c r="A668" s="32" t="s">
        <v>4724</v>
      </c>
      <c r="B668" s="32" t="s">
        <v>4724</v>
      </c>
      <c r="C668" s="32">
        <v>0.0</v>
      </c>
      <c r="D668" s="32" t="e">
        <v>#N/A</v>
      </c>
      <c r="E668" s="39"/>
      <c r="F668" s="32" t="e">
        <v>#N/A</v>
      </c>
      <c r="G668" s="39"/>
      <c r="H668" s="32" t="e">
        <v>#N/A</v>
      </c>
      <c r="I668" s="39"/>
      <c r="J668" s="32">
        <v>0.0</v>
      </c>
      <c r="K668" s="33" t="e">
        <v>#N/A</v>
      </c>
      <c r="L668" s="32" t="e">
        <v>#N/A</v>
      </c>
      <c r="M668" s="32" t="e">
        <v>#N/A</v>
      </c>
      <c r="N668" s="32" t="e">
        <v>#N/A</v>
      </c>
      <c r="O668" s="32" t="e">
        <v>#N/A</v>
      </c>
      <c r="P668" s="32" t="e">
        <v>#REF!</v>
      </c>
      <c r="Q668" s="32" t="e">
        <v>#N/A</v>
      </c>
      <c r="R668" s="42" t="e">
        <v>#N/A</v>
      </c>
      <c r="S668" s="42" t="e">
        <v>#N/A</v>
      </c>
      <c r="T668" s="36">
        <v>0.0</v>
      </c>
      <c r="U668" s="36">
        <v>0.0</v>
      </c>
      <c r="V668" s="36">
        <v>0.0</v>
      </c>
      <c r="W668" s="36">
        <v>0.0</v>
      </c>
      <c r="X668" s="36">
        <v>0.0</v>
      </c>
      <c r="Y668" s="36">
        <v>0.0</v>
      </c>
    </row>
    <row r="669">
      <c r="A669" s="32" t="s">
        <v>3803</v>
      </c>
      <c r="B669" s="32" t="s">
        <v>3803</v>
      </c>
      <c r="C669" s="32">
        <v>0.0</v>
      </c>
      <c r="D669" s="32" t="e">
        <v>#N/A</v>
      </c>
      <c r="E669" s="39"/>
      <c r="F669" s="32" t="e">
        <v>#N/A</v>
      </c>
      <c r="G669" s="39"/>
      <c r="H669" s="32" t="e">
        <v>#N/A</v>
      </c>
      <c r="I669" s="39"/>
      <c r="J669" s="32">
        <v>0.0</v>
      </c>
      <c r="K669" s="33" t="e">
        <v>#N/A</v>
      </c>
      <c r="L669" s="32" t="e">
        <v>#N/A</v>
      </c>
      <c r="M669" s="32" t="e">
        <v>#N/A</v>
      </c>
      <c r="N669" s="32" t="e">
        <v>#N/A</v>
      </c>
      <c r="O669" s="32" t="e">
        <v>#N/A</v>
      </c>
      <c r="P669" s="32" t="e">
        <v>#REF!</v>
      </c>
      <c r="Q669" s="32" t="e">
        <v>#N/A</v>
      </c>
      <c r="R669" s="42" t="e">
        <v>#N/A</v>
      </c>
      <c r="S669" s="42" t="e">
        <v>#N/A</v>
      </c>
      <c r="T669" s="36">
        <v>0.0</v>
      </c>
      <c r="U669" s="36">
        <v>0.0</v>
      </c>
      <c r="V669" s="36">
        <v>0.0</v>
      </c>
      <c r="W669" s="36">
        <v>0.0</v>
      </c>
      <c r="X669" s="36">
        <v>0.0</v>
      </c>
      <c r="Y669" s="36">
        <v>0.0</v>
      </c>
    </row>
    <row r="670">
      <c r="A670" s="32" t="s">
        <v>1980</v>
      </c>
      <c r="B670" s="32" t="s">
        <v>1980</v>
      </c>
      <c r="C670" s="32">
        <v>0.0</v>
      </c>
      <c r="D670" s="32" t="e">
        <v>#N/A</v>
      </c>
      <c r="E670" s="39"/>
      <c r="F670" s="32" t="e">
        <v>#N/A</v>
      </c>
      <c r="G670" s="39"/>
      <c r="H670" s="32" t="e">
        <v>#N/A</v>
      </c>
      <c r="I670" s="39"/>
      <c r="J670" s="32">
        <v>0.0</v>
      </c>
      <c r="K670" s="33" t="e">
        <v>#N/A</v>
      </c>
      <c r="L670" s="32" t="e">
        <v>#N/A</v>
      </c>
      <c r="M670" s="32" t="e">
        <v>#N/A</v>
      </c>
      <c r="N670" s="32" t="e">
        <v>#N/A</v>
      </c>
      <c r="O670" s="32" t="e">
        <v>#N/A</v>
      </c>
      <c r="P670" s="32" t="e">
        <v>#REF!</v>
      </c>
      <c r="Q670" s="32" t="e">
        <v>#N/A</v>
      </c>
      <c r="R670" s="42" t="e">
        <v>#N/A</v>
      </c>
      <c r="S670" s="42" t="e">
        <v>#N/A</v>
      </c>
      <c r="T670" s="36">
        <v>0.0</v>
      </c>
      <c r="U670" s="36">
        <v>0.0</v>
      </c>
      <c r="V670" s="36">
        <v>0.0</v>
      </c>
      <c r="W670" s="36">
        <v>0.0</v>
      </c>
      <c r="X670" s="36">
        <v>0.0</v>
      </c>
      <c r="Y670" s="36">
        <v>0.0</v>
      </c>
    </row>
    <row r="671">
      <c r="A671" s="32" t="s">
        <v>2468</v>
      </c>
      <c r="B671" s="32" t="s">
        <v>2468</v>
      </c>
      <c r="C671" s="32">
        <v>0.0</v>
      </c>
      <c r="D671" s="32" t="e">
        <v>#N/A</v>
      </c>
      <c r="E671" s="39"/>
      <c r="F671" s="32" t="e">
        <v>#N/A</v>
      </c>
      <c r="G671" s="39"/>
      <c r="H671" s="32" t="e">
        <v>#N/A</v>
      </c>
      <c r="I671" s="39"/>
      <c r="J671" s="32">
        <v>0.0</v>
      </c>
      <c r="K671" s="33" t="e">
        <v>#N/A</v>
      </c>
      <c r="L671" s="32" t="e">
        <v>#N/A</v>
      </c>
      <c r="M671" s="32" t="e">
        <v>#N/A</v>
      </c>
      <c r="N671" s="32" t="e">
        <v>#N/A</v>
      </c>
      <c r="O671" s="32" t="e">
        <v>#N/A</v>
      </c>
      <c r="P671" s="32" t="e">
        <v>#REF!</v>
      </c>
      <c r="Q671" s="32" t="e">
        <v>#N/A</v>
      </c>
      <c r="R671" s="42" t="e">
        <v>#N/A</v>
      </c>
      <c r="S671" s="42" t="e">
        <v>#N/A</v>
      </c>
      <c r="T671" s="36">
        <v>0.0</v>
      </c>
      <c r="U671" s="36">
        <v>0.0</v>
      </c>
      <c r="V671" s="36">
        <v>0.0</v>
      </c>
      <c r="W671" s="36">
        <v>0.0</v>
      </c>
      <c r="X671" s="36">
        <v>0.0</v>
      </c>
      <c r="Y671" s="36">
        <v>0.0</v>
      </c>
    </row>
    <row r="672">
      <c r="A672" s="32" t="s">
        <v>1143</v>
      </c>
      <c r="B672" s="32" t="s">
        <v>1143</v>
      </c>
      <c r="C672" s="32">
        <v>0.0</v>
      </c>
      <c r="D672" s="32" t="e">
        <v>#N/A</v>
      </c>
      <c r="E672" s="39"/>
      <c r="F672" s="32" t="e">
        <v>#N/A</v>
      </c>
      <c r="G672" s="39"/>
      <c r="H672" s="32" t="e">
        <v>#N/A</v>
      </c>
      <c r="I672" s="39"/>
      <c r="J672" s="32">
        <v>0.0</v>
      </c>
      <c r="K672" s="33" t="e">
        <v>#N/A</v>
      </c>
      <c r="L672" s="32" t="e">
        <v>#N/A</v>
      </c>
      <c r="M672" s="32" t="e">
        <v>#N/A</v>
      </c>
      <c r="N672" s="33" t="s">
        <v>1144</v>
      </c>
      <c r="O672" s="33" t="s">
        <v>1145</v>
      </c>
      <c r="P672" s="32" t="e">
        <v>#REF!</v>
      </c>
      <c r="Q672" s="32" t="e">
        <v>#N/A</v>
      </c>
      <c r="R672" s="42" t="e">
        <v>#N/A</v>
      </c>
      <c r="S672" s="42" t="e">
        <v>#N/A</v>
      </c>
      <c r="T672" s="36">
        <v>0.0</v>
      </c>
      <c r="U672" s="36">
        <v>0.0</v>
      </c>
      <c r="V672" s="36">
        <v>0.0</v>
      </c>
      <c r="W672" s="36">
        <v>0.0</v>
      </c>
      <c r="X672" s="36">
        <v>0.0</v>
      </c>
      <c r="Y672" s="36">
        <v>0.0</v>
      </c>
    </row>
    <row r="673">
      <c r="A673" s="32" t="s">
        <v>2469</v>
      </c>
      <c r="B673" s="32" t="s">
        <v>2469</v>
      </c>
      <c r="C673" s="32">
        <v>0.0</v>
      </c>
      <c r="D673" s="32" t="e">
        <v>#N/A</v>
      </c>
      <c r="E673" s="39"/>
      <c r="F673" s="32" t="e">
        <v>#N/A</v>
      </c>
      <c r="G673" s="39"/>
      <c r="H673" s="32" t="e">
        <v>#N/A</v>
      </c>
      <c r="I673" s="39"/>
      <c r="J673" s="32">
        <v>0.0</v>
      </c>
      <c r="K673" s="33" t="e">
        <v>#N/A</v>
      </c>
      <c r="L673" s="32" t="e">
        <v>#N/A</v>
      </c>
      <c r="M673" s="32" t="e">
        <v>#N/A</v>
      </c>
      <c r="N673" s="32" t="e">
        <v>#N/A</v>
      </c>
      <c r="O673" s="32" t="e">
        <v>#N/A</v>
      </c>
      <c r="P673" s="32" t="e">
        <v>#REF!</v>
      </c>
      <c r="Q673" s="32" t="e">
        <v>#N/A</v>
      </c>
      <c r="R673" s="42" t="e">
        <v>#N/A</v>
      </c>
      <c r="S673" s="42" t="e">
        <v>#N/A</v>
      </c>
      <c r="T673" s="36">
        <v>0.0</v>
      </c>
      <c r="U673" s="36">
        <v>0.0</v>
      </c>
      <c r="V673" s="36">
        <v>0.0</v>
      </c>
      <c r="W673" s="36">
        <v>0.0</v>
      </c>
      <c r="X673" s="36">
        <v>0.0</v>
      </c>
      <c r="Y673" s="36">
        <v>0.0</v>
      </c>
    </row>
    <row r="674">
      <c r="A674" s="32" t="s">
        <v>2461</v>
      </c>
      <c r="B674" s="32" t="s">
        <v>2461</v>
      </c>
      <c r="C674" s="32">
        <v>0.0</v>
      </c>
      <c r="D674" s="32" t="e">
        <v>#N/A</v>
      </c>
      <c r="E674" s="39"/>
      <c r="F674" s="32" t="e">
        <v>#N/A</v>
      </c>
      <c r="G674" s="39"/>
      <c r="H674" s="32" t="e">
        <v>#N/A</v>
      </c>
      <c r="I674" s="39"/>
      <c r="J674" s="32">
        <v>0.0</v>
      </c>
      <c r="K674" s="33" t="e">
        <v>#N/A</v>
      </c>
      <c r="L674" s="32" t="e">
        <v>#N/A</v>
      </c>
      <c r="M674" s="32" t="e">
        <v>#N/A</v>
      </c>
      <c r="N674" s="32" t="e">
        <v>#N/A</v>
      </c>
      <c r="O674" s="32" t="e">
        <v>#N/A</v>
      </c>
      <c r="P674" s="32" t="e">
        <v>#REF!</v>
      </c>
      <c r="Q674" s="32" t="e">
        <v>#N/A</v>
      </c>
      <c r="R674" s="42" t="e">
        <v>#N/A</v>
      </c>
      <c r="S674" s="42" t="e">
        <v>#N/A</v>
      </c>
      <c r="T674" s="36">
        <v>0.0</v>
      </c>
      <c r="U674" s="36">
        <v>0.0</v>
      </c>
      <c r="V674" s="36">
        <v>0.0</v>
      </c>
      <c r="W674" s="36">
        <v>0.0</v>
      </c>
      <c r="X674" s="36">
        <v>0.0</v>
      </c>
      <c r="Y674" s="36">
        <v>0.0</v>
      </c>
    </row>
    <row r="675">
      <c r="A675" s="32" t="s">
        <v>4564</v>
      </c>
      <c r="B675" s="32" t="s">
        <v>4564</v>
      </c>
      <c r="C675" s="32">
        <v>0.0</v>
      </c>
      <c r="D675" s="32">
        <v>0.0</v>
      </c>
      <c r="E675" s="39"/>
      <c r="F675" s="32" t="e">
        <v>#N/A</v>
      </c>
      <c r="G675" s="39"/>
      <c r="H675" s="32">
        <v>0.0</v>
      </c>
      <c r="I675" s="39"/>
      <c r="J675" s="32" t="s">
        <v>4566</v>
      </c>
      <c r="K675" s="33" t="e">
        <v>#N/A</v>
      </c>
      <c r="L675" s="32" t="e">
        <v>#N/A</v>
      </c>
      <c r="M675" s="32" t="e">
        <v>#N/A</v>
      </c>
      <c r="N675" s="32" t="s">
        <v>5077</v>
      </c>
      <c r="O675" s="32" t="s">
        <v>4730</v>
      </c>
      <c r="P675" s="32">
        <v>1599.0</v>
      </c>
      <c r="Q675" s="34">
        <v>1519.0</v>
      </c>
      <c r="R675" s="40">
        <v>1519.0</v>
      </c>
      <c r="S675" s="35">
        <v>1439.1</v>
      </c>
      <c r="T675" s="36">
        <v>0.0</v>
      </c>
      <c r="U675" s="36">
        <v>0.0</v>
      </c>
      <c r="V675" s="36">
        <v>0.0</v>
      </c>
      <c r="W675" s="36">
        <v>0.0</v>
      </c>
      <c r="X675" s="36">
        <v>0.0</v>
      </c>
      <c r="Y675" s="36">
        <v>0.0</v>
      </c>
    </row>
    <row r="676">
      <c r="A676" s="32" t="s">
        <v>4575</v>
      </c>
      <c r="B676" s="32" t="s">
        <v>4575</v>
      </c>
      <c r="C676" s="32">
        <v>0.0</v>
      </c>
      <c r="D676" s="32">
        <v>0.0</v>
      </c>
      <c r="E676" s="39"/>
      <c r="F676" s="32" t="e">
        <v>#N/A</v>
      </c>
      <c r="G676" s="39"/>
      <c r="H676" s="32">
        <v>0.0</v>
      </c>
      <c r="I676" s="39"/>
      <c r="J676" s="32" t="s">
        <v>4577</v>
      </c>
      <c r="K676" s="33" t="e">
        <v>#N/A</v>
      </c>
      <c r="L676" s="32" t="e">
        <v>#N/A</v>
      </c>
      <c r="M676" s="32" t="e">
        <v>#N/A</v>
      </c>
      <c r="N676" s="32" t="s">
        <v>5077</v>
      </c>
      <c r="O676" s="32" t="s">
        <v>4730</v>
      </c>
      <c r="P676" s="32">
        <v>1499.0</v>
      </c>
      <c r="Q676" s="34">
        <v>1424.0</v>
      </c>
      <c r="R676" s="40">
        <v>1424.0</v>
      </c>
      <c r="S676" s="35">
        <v>1349.1</v>
      </c>
      <c r="T676" s="36">
        <v>0.0</v>
      </c>
      <c r="U676" s="36">
        <v>0.0</v>
      </c>
      <c r="V676" s="36">
        <v>0.0</v>
      </c>
      <c r="W676" s="36">
        <v>0.0</v>
      </c>
      <c r="X676" s="36">
        <v>0.0</v>
      </c>
      <c r="Y676" s="36">
        <v>0.0</v>
      </c>
    </row>
    <row r="677">
      <c r="A677" s="32" t="s">
        <v>4586</v>
      </c>
      <c r="B677" s="32" t="s">
        <v>4586</v>
      </c>
      <c r="C677" s="32">
        <v>0.0</v>
      </c>
      <c r="D677" s="32">
        <v>0.0</v>
      </c>
      <c r="E677" s="39"/>
      <c r="F677" s="32" t="e">
        <v>#N/A</v>
      </c>
      <c r="G677" s="39"/>
      <c r="H677" s="32">
        <v>0.0</v>
      </c>
      <c r="I677" s="39"/>
      <c r="J677" s="32" t="s">
        <v>4588</v>
      </c>
      <c r="K677" s="33" t="e">
        <v>#N/A</v>
      </c>
      <c r="L677" s="32" t="e">
        <v>#N/A</v>
      </c>
      <c r="M677" s="32" t="e">
        <v>#N/A</v>
      </c>
      <c r="N677" s="32" t="s">
        <v>5077</v>
      </c>
      <c r="O677" s="32" t="s">
        <v>4730</v>
      </c>
      <c r="P677" s="32">
        <v>1599.0</v>
      </c>
      <c r="Q677" s="34">
        <v>1519.0</v>
      </c>
      <c r="R677" s="40">
        <v>1519.0</v>
      </c>
      <c r="S677" s="35">
        <v>1439.1</v>
      </c>
      <c r="T677" s="36">
        <v>0.0</v>
      </c>
      <c r="U677" s="36">
        <v>0.0</v>
      </c>
      <c r="V677" s="36">
        <v>0.0</v>
      </c>
      <c r="W677" s="36">
        <v>0.0</v>
      </c>
      <c r="X677" s="36">
        <v>0.0</v>
      </c>
      <c r="Y677" s="36">
        <v>0.0</v>
      </c>
    </row>
    <row r="678">
      <c r="A678" s="32" t="s">
        <v>2494</v>
      </c>
      <c r="B678" s="32" t="s">
        <v>2494</v>
      </c>
      <c r="C678" s="32">
        <v>0.0</v>
      </c>
      <c r="D678" s="32" t="e">
        <v>#N/A</v>
      </c>
      <c r="E678" s="39"/>
      <c r="F678" s="32" t="e">
        <v>#N/A</v>
      </c>
      <c r="G678" s="39"/>
      <c r="H678" s="32" t="e">
        <v>#N/A</v>
      </c>
      <c r="I678" s="39"/>
      <c r="J678" s="32">
        <v>0.0</v>
      </c>
      <c r="K678" s="33" t="e">
        <v>#N/A</v>
      </c>
      <c r="L678" s="32" t="e">
        <v>#N/A</v>
      </c>
      <c r="M678" s="32" t="e">
        <v>#N/A</v>
      </c>
      <c r="N678" s="32" t="e">
        <v>#N/A</v>
      </c>
      <c r="O678" s="32" t="e">
        <v>#N/A</v>
      </c>
      <c r="P678" s="32" t="e">
        <v>#REF!</v>
      </c>
      <c r="Q678" s="32" t="e">
        <v>#N/A</v>
      </c>
      <c r="R678" s="42" t="e">
        <v>#N/A</v>
      </c>
      <c r="S678" s="42" t="e">
        <v>#N/A</v>
      </c>
      <c r="T678" s="36">
        <v>0.0</v>
      </c>
      <c r="U678" s="36">
        <v>0.0</v>
      </c>
      <c r="V678" s="36">
        <v>0.0</v>
      </c>
      <c r="W678" s="36">
        <v>0.0</v>
      </c>
      <c r="X678" s="36">
        <v>0.0</v>
      </c>
      <c r="Y678" s="36">
        <v>0.0</v>
      </c>
    </row>
    <row r="679">
      <c r="A679" s="32" t="s">
        <v>4695</v>
      </c>
      <c r="B679" s="32" t="s">
        <v>4695</v>
      </c>
      <c r="C679" s="32">
        <v>0.0</v>
      </c>
      <c r="D679" s="32" t="e">
        <v>#N/A</v>
      </c>
      <c r="E679" s="39"/>
      <c r="F679" s="32" t="e">
        <v>#N/A</v>
      </c>
      <c r="G679" s="39"/>
      <c r="H679" s="32" t="e">
        <v>#N/A</v>
      </c>
      <c r="I679" s="39"/>
      <c r="J679" s="32">
        <v>0.0</v>
      </c>
      <c r="K679" s="33" t="e">
        <v>#N/A</v>
      </c>
      <c r="L679" s="32" t="e">
        <v>#N/A</v>
      </c>
      <c r="M679" s="32" t="e">
        <v>#N/A</v>
      </c>
      <c r="N679" s="32" t="e">
        <v>#N/A</v>
      </c>
      <c r="O679" s="32" t="s">
        <v>5114</v>
      </c>
      <c r="P679" s="32" t="e">
        <v>#REF!</v>
      </c>
      <c r="Q679" s="32" t="e">
        <v>#N/A</v>
      </c>
      <c r="R679" s="42" t="e">
        <v>#N/A</v>
      </c>
      <c r="S679" s="42" t="e">
        <v>#N/A</v>
      </c>
      <c r="T679" s="36">
        <v>0.0</v>
      </c>
      <c r="U679" s="36">
        <v>0.0</v>
      </c>
      <c r="V679" s="36">
        <v>0.0</v>
      </c>
      <c r="W679" s="36">
        <v>0.0</v>
      </c>
      <c r="X679" s="36">
        <v>0.0</v>
      </c>
      <c r="Y679" s="36">
        <v>0.0</v>
      </c>
    </row>
    <row r="680">
      <c r="A680" s="32" t="s">
        <v>4696</v>
      </c>
      <c r="B680" s="32" t="s">
        <v>4696</v>
      </c>
      <c r="C680" s="32">
        <v>0.0</v>
      </c>
      <c r="D680" s="32" t="e">
        <v>#N/A</v>
      </c>
      <c r="E680" s="39"/>
      <c r="F680" s="32" t="e">
        <v>#N/A</v>
      </c>
      <c r="G680" s="39"/>
      <c r="H680" s="32" t="e">
        <v>#N/A</v>
      </c>
      <c r="I680" s="39"/>
      <c r="J680" s="32">
        <v>0.0</v>
      </c>
      <c r="K680" s="33" t="e">
        <v>#N/A</v>
      </c>
      <c r="L680" s="32" t="e">
        <v>#N/A</v>
      </c>
      <c r="M680" s="32" t="e">
        <v>#N/A</v>
      </c>
      <c r="N680" s="32" t="e">
        <v>#N/A</v>
      </c>
      <c r="O680" s="32" t="s">
        <v>5114</v>
      </c>
      <c r="P680" s="32" t="e">
        <v>#REF!</v>
      </c>
      <c r="Q680" s="32" t="e">
        <v>#N/A</v>
      </c>
      <c r="R680" s="42" t="e">
        <v>#N/A</v>
      </c>
      <c r="S680" s="42" t="e">
        <v>#N/A</v>
      </c>
      <c r="T680" s="36">
        <v>0.0</v>
      </c>
      <c r="U680" s="36">
        <v>0.0</v>
      </c>
      <c r="V680" s="36">
        <v>0.0</v>
      </c>
      <c r="W680" s="36">
        <v>0.0</v>
      </c>
      <c r="X680" s="36">
        <v>0.0</v>
      </c>
      <c r="Y680" s="36">
        <v>0.0</v>
      </c>
    </row>
    <row r="681">
      <c r="A681" s="32" t="s">
        <v>2495</v>
      </c>
      <c r="B681" s="32" t="s">
        <v>2495</v>
      </c>
      <c r="C681" s="32">
        <v>0.0</v>
      </c>
      <c r="D681" s="32" t="e">
        <v>#N/A</v>
      </c>
      <c r="E681" s="39"/>
      <c r="F681" s="32" t="e">
        <v>#N/A</v>
      </c>
      <c r="G681" s="39"/>
      <c r="H681" s="32" t="e">
        <v>#N/A</v>
      </c>
      <c r="I681" s="39"/>
      <c r="J681" s="32">
        <v>0.0</v>
      </c>
      <c r="K681" s="33" t="e">
        <v>#N/A</v>
      </c>
      <c r="L681" s="32" t="e">
        <v>#N/A</v>
      </c>
      <c r="M681" s="32" t="e">
        <v>#N/A</v>
      </c>
      <c r="N681" s="32" t="e">
        <v>#N/A</v>
      </c>
      <c r="O681" s="32" t="s">
        <v>5114</v>
      </c>
      <c r="P681" s="32" t="e">
        <v>#REF!</v>
      </c>
      <c r="Q681" s="32" t="e">
        <v>#N/A</v>
      </c>
      <c r="R681" s="42" t="e">
        <v>#N/A</v>
      </c>
      <c r="S681" s="42" t="e">
        <v>#N/A</v>
      </c>
      <c r="T681" s="36">
        <v>0.0</v>
      </c>
      <c r="U681" s="36">
        <v>0.0</v>
      </c>
      <c r="V681" s="36">
        <v>0.0</v>
      </c>
      <c r="W681" s="36">
        <v>0.0</v>
      </c>
      <c r="X681" s="36">
        <v>0.0</v>
      </c>
      <c r="Y681" s="36">
        <v>0.0</v>
      </c>
    </row>
    <row r="682">
      <c r="A682" s="32" t="s">
        <v>4697</v>
      </c>
      <c r="B682" s="32" t="s">
        <v>4697</v>
      </c>
      <c r="C682" s="32">
        <v>0.0</v>
      </c>
      <c r="D682" s="32" t="e">
        <v>#N/A</v>
      </c>
      <c r="E682" s="39"/>
      <c r="F682" s="32" t="e">
        <v>#N/A</v>
      </c>
      <c r="G682" s="39"/>
      <c r="H682" s="32" t="e">
        <v>#N/A</v>
      </c>
      <c r="I682" s="39"/>
      <c r="J682" s="32">
        <v>0.0</v>
      </c>
      <c r="K682" s="33" t="e">
        <v>#N/A</v>
      </c>
      <c r="L682" s="32" t="e">
        <v>#N/A</v>
      </c>
      <c r="M682" s="32" t="e">
        <v>#N/A</v>
      </c>
      <c r="N682" s="32" t="e">
        <v>#N/A</v>
      </c>
      <c r="O682" s="32" t="s">
        <v>5114</v>
      </c>
      <c r="P682" s="32" t="e">
        <v>#REF!</v>
      </c>
      <c r="Q682" s="32" t="e">
        <v>#N/A</v>
      </c>
      <c r="R682" s="42" t="e">
        <v>#N/A</v>
      </c>
      <c r="S682" s="42" t="e">
        <v>#N/A</v>
      </c>
      <c r="T682" s="36">
        <v>0.0</v>
      </c>
      <c r="U682" s="36">
        <v>0.0</v>
      </c>
      <c r="V682" s="36">
        <v>0.0</v>
      </c>
      <c r="W682" s="36">
        <v>0.0</v>
      </c>
      <c r="X682" s="36">
        <v>0.0</v>
      </c>
      <c r="Y682" s="36">
        <v>0.0</v>
      </c>
    </row>
    <row r="683">
      <c r="A683" s="32" t="s">
        <v>4698</v>
      </c>
      <c r="B683" s="32" t="s">
        <v>4698</v>
      </c>
      <c r="C683" s="32">
        <v>0.0</v>
      </c>
      <c r="D683" s="32" t="e">
        <v>#N/A</v>
      </c>
      <c r="E683" s="39"/>
      <c r="F683" s="32" t="e">
        <v>#N/A</v>
      </c>
      <c r="G683" s="39"/>
      <c r="H683" s="32" t="e">
        <v>#N/A</v>
      </c>
      <c r="I683" s="39"/>
      <c r="J683" s="32">
        <v>0.0</v>
      </c>
      <c r="K683" s="33" t="e">
        <v>#N/A</v>
      </c>
      <c r="L683" s="32" t="e">
        <v>#N/A</v>
      </c>
      <c r="M683" s="32" t="e">
        <v>#N/A</v>
      </c>
      <c r="N683" s="32" t="e">
        <v>#N/A</v>
      </c>
      <c r="O683" s="32" t="s">
        <v>5114</v>
      </c>
      <c r="P683" s="32" t="e">
        <v>#REF!</v>
      </c>
      <c r="Q683" s="32" t="e">
        <v>#N/A</v>
      </c>
      <c r="R683" s="42" t="e">
        <v>#N/A</v>
      </c>
      <c r="S683" s="42" t="e">
        <v>#N/A</v>
      </c>
      <c r="T683" s="36">
        <v>0.0</v>
      </c>
      <c r="U683" s="36">
        <v>0.0</v>
      </c>
      <c r="V683" s="36">
        <v>0.0</v>
      </c>
      <c r="W683" s="36">
        <v>0.0</v>
      </c>
      <c r="X683" s="36">
        <v>0.0</v>
      </c>
      <c r="Y683" s="36">
        <v>0.0</v>
      </c>
    </row>
    <row r="684">
      <c r="A684" s="32" t="s">
        <v>2499</v>
      </c>
      <c r="B684" s="32" t="s">
        <v>2499</v>
      </c>
      <c r="C684" s="32">
        <v>0.0</v>
      </c>
      <c r="D684" s="32" t="e">
        <v>#N/A</v>
      </c>
      <c r="E684" s="39"/>
      <c r="F684" s="32" t="e">
        <v>#N/A</v>
      </c>
      <c r="G684" s="39"/>
      <c r="H684" s="32" t="e">
        <v>#N/A</v>
      </c>
      <c r="I684" s="39"/>
      <c r="J684" s="32">
        <v>0.0</v>
      </c>
      <c r="K684" s="33" t="e">
        <v>#N/A</v>
      </c>
      <c r="L684" s="32" t="e">
        <v>#N/A</v>
      </c>
      <c r="M684" s="32" t="e">
        <v>#N/A</v>
      </c>
      <c r="N684" s="32" t="e">
        <v>#N/A</v>
      </c>
      <c r="O684" s="32" t="s">
        <v>5114</v>
      </c>
      <c r="P684" s="32" t="e">
        <v>#REF!</v>
      </c>
      <c r="Q684" s="32" t="e">
        <v>#N/A</v>
      </c>
      <c r="R684" s="42" t="e">
        <v>#N/A</v>
      </c>
      <c r="S684" s="42" t="e">
        <v>#N/A</v>
      </c>
      <c r="T684" s="36">
        <v>0.0</v>
      </c>
      <c r="U684" s="36">
        <v>0.0</v>
      </c>
      <c r="V684" s="36">
        <v>0.0</v>
      </c>
      <c r="W684" s="36">
        <v>0.0</v>
      </c>
      <c r="X684" s="36">
        <v>0.0</v>
      </c>
      <c r="Y684" s="36">
        <v>0.0</v>
      </c>
    </row>
    <row r="685">
      <c r="A685" s="32" t="s">
        <v>4699</v>
      </c>
      <c r="B685" s="32" t="s">
        <v>4699</v>
      </c>
      <c r="C685" s="32">
        <v>0.0</v>
      </c>
      <c r="D685" s="32" t="e">
        <v>#N/A</v>
      </c>
      <c r="E685" s="39"/>
      <c r="F685" s="32" t="e">
        <v>#N/A</v>
      </c>
      <c r="G685" s="39"/>
      <c r="H685" s="32" t="e">
        <v>#N/A</v>
      </c>
      <c r="I685" s="39"/>
      <c r="J685" s="32">
        <v>0.0</v>
      </c>
      <c r="K685" s="33" t="e">
        <v>#N/A</v>
      </c>
      <c r="L685" s="32" t="e">
        <v>#N/A</v>
      </c>
      <c r="M685" s="32" t="e">
        <v>#N/A</v>
      </c>
      <c r="N685" s="32" t="e">
        <v>#N/A</v>
      </c>
      <c r="O685" s="32" t="s">
        <v>5114</v>
      </c>
      <c r="P685" s="32" t="e">
        <v>#REF!</v>
      </c>
      <c r="Q685" s="32" t="e">
        <v>#N/A</v>
      </c>
      <c r="R685" s="42" t="e">
        <v>#N/A</v>
      </c>
      <c r="S685" s="42" t="e">
        <v>#N/A</v>
      </c>
      <c r="T685" s="36">
        <v>0.0</v>
      </c>
      <c r="U685" s="36">
        <v>0.0</v>
      </c>
      <c r="V685" s="36">
        <v>0.0</v>
      </c>
      <c r="W685" s="36">
        <v>0.0</v>
      </c>
      <c r="X685" s="36">
        <v>0.0</v>
      </c>
      <c r="Y685" s="36">
        <v>0.0</v>
      </c>
    </row>
    <row r="686">
      <c r="A686" s="32" t="s">
        <v>4700</v>
      </c>
      <c r="B686" s="32" t="s">
        <v>4700</v>
      </c>
      <c r="C686" s="32">
        <v>0.0</v>
      </c>
      <c r="D686" s="32" t="e">
        <v>#N/A</v>
      </c>
      <c r="E686" s="39"/>
      <c r="F686" s="32" t="e">
        <v>#N/A</v>
      </c>
      <c r="G686" s="39"/>
      <c r="H686" s="32" t="e">
        <v>#N/A</v>
      </c>
      <c r="I686" s="39"/>
      <c r="J686" s="32">
        <v>0.0</v>
      </c>
      <c r="K686" s="33" t="e">
        <v>#N/A</v>
      </c>
      <c r="L686" s="32" t="e">
        <v>#N/A</v>
      </c>
      <c r="M686" s="32" t="e">
        <v>#N/A</v>
      </c>
      <c r="N686" s="32" t="e">
        <v>#N/A</v>
      </c>
      <c r="O686" s="32" t="s">
        <v>5114</v>
      </c>
      <c r="P686" s="32" t="e">
        <v>#REF!</v>
      </c>
      <c r="Q686" s="32" t="e">
        <v>#N/A</v>
      </c>
      <c r="R686" s="42" t="e">
        <v>#N/A</v>
      </c>
      <c r="S686" s="42" t="e">
        <v>#N/A</v>
      </c>
      <c r="T686" s="36">
        <v>0.0</v>
      </c>
      <c r="U686" s="36">
        <v>0.0</v>
      </c>
      <c r="V686" s="36">
        <v>0.0</v>
      </c>
      <c r="W686" s="36">
        <v>0.0</v>
      </c>
      <c r="X686" s="36">
        <v>0.0</v>
      </c>
      <c r="Y686" s="36">
        <v>0.0</v>
      </c>
    </row>
    <row r="687">
      <c r="A687" s="32" t="s">
        <v>2500</v>
      </c>
      <c r="B687" s="32" t="s">
        <v>2500</v>
      </c>
      <c r="C687" s="32">
        <v>0.0</v>
      </c>
      <c r="D687" s="32" t="e">
        <v>#N/A</v>
      </c>
      <c r="E687" s="39"/>
      <c r="F687" s="32" t="e">
        <v>#N/A</v>
      </c>
      <c r="G687" s="39"/>
      <c r="H687" s="32" t="e">
        <v>#N/A</v>
      </c>
      <c r="I687" s="39"/>
      <c r="J687" s="32">
        <v>0.0</v>
      </c>
      <c r="K687" s="33" t="e">
        <v>#N/A</v>
      </c>
      <c r="L687" s="32" t="e">
        <v>#N/A</v>
      </c>
      <c r="M687" s="32" t="e">
        <v>#N/A</v>
      </c>
      <c r="N687" s="32" t="e">
        <v>#N/A</v>
      </c>
      <c r="O687" s="32" t="s">
        <v>5114</v>
      </c>
      <c r="P687" s="32" t="e">
        <v>#REF!</v>
      </c>
      <c r="Q687" s="32" t="e">
        <v>#N/A</v>
      </c>
      <c r="R687" s="42" t="e">
        <v>#N/A</v>
      </c>
      <c r="S687" s="42" t="e">
        <v>#N/A</v>
      </c>
      <c r="T687" s="36">
        <v>0.0</v>
      </c>
      <c r="U687" s="36">
        <v>0.0</v>
      </c>
      <c r="V687" s="36">
        <v>0.0</v>
      </c>
      <c r="W687" s="36">
        <v>0.0</v>
      </c>
      <c r="X687" s="36">
        <v>0.0</v>
      </c>
      <c r="Y687" s="36">
        <v>0.0</v>
      </c>
    </row>
    <row r="688">
      <c r="A688" s="32" t="s">
        <v>4701</v>
      </c>
      <c r="B688" s="32" t="s">
        <v>4701</v>
      </c>
      <c r="C688" s="32">
        <v>0.0</v>
      </c>
      <c r="D688" s="32" t="e">
        <v>#N/A</v>
      </c>
      <c r="E688" s="39"/>
      <c r="F688" s="32" t="e">
        <v>#N/A</v>
      </c>
      <c r="G688" s="39"/>
      <c r="H688" s="32" t="e">
        <v>#N/A</v>
      </c>
      <c r="I688" s="39"/>
      <c r="J688" s="32">
        <v>0.0</v>
      </c>
      <c r="K688" s="33" t="e">
        <v>#N/A</v>
      </c>
      <c r="L688" s="32" t="e">
        <v>#N/A</v>
      </c>
      <c r="M688" s="32" t="e">
        <v>#N/A</v>
      </c>
      <c r="N688" s="32" t="e">
        <v>#N/A</v>
      </c>
      <c r="O688" s="32" t="s">
        <v>5114</v>
      </c>
      <c r="P688" s="32" t="e">
        <v>#REF!</v>
      </c>
      <c r="Q688" s="32" t="e">
        <v>#N/A</v>
      </c>
      <c r="R688" s="42" t="e">
        <v>#N/A</v>
      </c>
      <c r="S688" s="42" t="e">
        <v>#N/A</v>
      </c>
      <c r="T688" s="36">
        <v>0.0</v>
      </c>
      <c r="U688" s="36">
        <v>0.0</v>
      </c>
      <c r="V688" s="36">
        <v>0.0</v>
      </c>
      <c r="W688" s="36">
        <v>0.0</v>
      </c>
      <c r="X688" s="36">
        <v>0.0</v>
      </c>
      <c r="Y688" s="36">
        <v>0.0</v>
      </c>
    </row>
    <row r="689">
      <c r="A689" s="32" t="s">
        <v>4702</v>
      </c>
      <c r="B689" s="32" t="s">
        <v>4702</v>
      </c>
      <c r="C689" s="32">
        <v>0.0</v>
      </c>
      <c r="D689" s="32" t="e">
        <v>#N/A</v>
      </c>
      <c r="E689" s="39"/>
      <c r="F689" s="32" t="e">
        <v>#N/A</v>
      </c>
      <c r="G689" s="39"/>
      <c r="H689" s="32" t="e">
        <v>#N/A</v>
      </c>
      <c r="I689" s="39"/>
      <c r="J689" s="32">
        <v>0.0</v>
      </c>
      <c r="K689" s="33" t="e">
        <v>#N/A</v>
      </c>
      <c r="L689" s="32" t="e">
        <v>#N/A</v>
      </c>
      <c r="M689" s="32" t="e">
        <v>#N/A</v>
      </c>
      <c r="N689" s="32" t="e">
        <v>#N/A</v>
      </c>
      <c r="O689" s="32" t="s">
        <v>5114</v>
      </c>
      <c r="P689" s="32" t="e">
        <v>#REF!</v>
      </c>
      <c r="Q689" s="32" t="e">
        <v>#N/A</v>
      </c>
      <c r="R689" s="42" t="e">
        <v>#N/A</v>
      </c>
      <c r="S689" s="42" t="e">
        <v>#N/A</v>
      </c>
      <c r="T689" s="36">
        <v>0.0</v>
      </c>
      <c r="U689" s="36">
        <v>0.0</v>
      </c>
      <c r="V689" s="36">
        <v>0.0</v>
      </c>
      <c r="W689" s="36">
        <v>0.0</v>
      </c>
      <c r="X689" s="36">
        <v>0.0</v>
      </c>
      <c r="Y689" s="36">
        <v>0.0</v>
      </c>
    </row>
    <row r="690">
      <c r="A690" s="32" t="s">
        <v>2501</v>
      </c>
      <c r="B690" s="32" t="s">
        <v>2501</v>
      </c>
      <c r="C690" s="32">
        <v>0.0</v>
      </c>
      <c r="D690" s="32" t="e">
        <v>#N/A</v>
      </c>
      <c r="E690" s="39"/>
      <c r="F690" s="32" t="e">
        <v>#N/A</v>
      </c>
      <c r="G690" s="39"/>
      <c r="H690" s="32" t="e">
        <v>#N/A</v>
      </c>
      <c r="I690" s="39"/>
      <c r="J690" s="32">
        <v>0.0</v>
      </c>
      <c r="K690" s="33" t="e">
        <v>#N/A</v>
      </c>
      <c r="L690" s="32" t="e">
        <v>#N/A</v>
      </c>
      <c r="M690" s="32" t="e">
        <v>#N/A</v>
      </c>
      <c r="N690" s="32" t="e">
        <v>#N/A</v>
      </c>
      <c r="O690" s="32" t="s">
        <v>5114</v>
      </c>
      <c r="P690" s="32" t="e">
        <v>#REF!</v>
      </c>
      <c r="Q690" s="32" t="e">
        <v>#N/A</v>
      </c>
      <c r="R690" s="42" t="e">
        <v>#N/A</v>
      </c>
      <c r="S690" s="42" t="e">
        <v>#N/A</v>
      </c>
      <c r="T690" s="36">
        <v>0.0</v>
      </c>
      <c r="U690" s="36">
        <v>0.0</v>
      </c>
      <c r="V690" s="36">
        <v>0.0</v>
      </c>
      <c r="W690" s="36">
        <v>0.0</v>
      </c>
      <c r="X690" s="36">
        <v>0.0</v>
      </c>
      <c r="Y690" s="36">
        <v>0.0</v>
      </c>
    </row>
    <row r="691">
      <c r="A691" s="32" t="s">
        <v>4703</v>
      </c>
      <c r="B691" s="32" t="s">
        <v>4703</v>
      </c>
      <c r="C691" s="32">
        <v>0.0</v>
      </c>
      <c r="D691" s="32" t="e">
        <v>#N/A</v>
      </c>
      <c r="E691" s="39"/>
      <c r="F691" s="32" t="e">
        <v>#N/A</v>
      </c>
      <c r="G691" s="39"/>
      <c r="H691" s="32" t="e">
        <v>#N/A</v>
      </c>
      <c r="I691" s="39"/>
      <c r="J691" s="32">
        <v>0.0</v>
      </c>
      <c r="K691" s="33" t="e">
        <v>#N/A</v>
      </c>
      <c r="L691" s="32" t="e">
        <v>#N/A</v>
      </c>
      <c r="M691" s="32" t="e">
        <v>#N/A</v>
      </c>
      <c r="N691" s="32" t="e">
        <v>#N/A</v>
      </c>
      <c r="O691" s="32" t="s">
        <v>5114</v>
      </c>
      <c r="P691" s="32" t="e">
        <v>#REF!</v>
      </c>
      <c r="Q691" s="32" t="e">
        <v>#N/A</v>
      </c>
      <c r="R691" s="42" t="e">
        <v>#N/A</v>
      </c>
      <c r="S691" s="42" t="e">
        <v>#N/A</v>
      </c>
      <c r="T691" s="36">
        <v>0.0</v>
      </c>
      <c r="U691" s="36">
        <v>0.0</v>
      </c>
      <c r="V691" s="36">
        <v>0.0</v>
      </c>
      <c r="W691" s="36">
        <v>0.0</v>
      </c>
      <c r="X691" s="36">
        <v>0.0</v>
      </c>
      <c r="Y691" s="36">
        <v>0.0</v>
      </c>
    </row>
    <row r="692">
      <c r="A692" s="32" t="s">
        <v>4704</v>
      </c>
      <c r="B692" s="32" t="s">
        <v>4704</v>
      </c>
      <c r="C692" s="32">
        <v>0.0</v>
      </c>
      <c r="D692" s="32" t="e">
        <v>#N/A</v>
      </c>
      <c r="E692" s="39"/>
      <c r="F692" s="32" t="e">
        <v>#N/A</v>
      </c>
      <c r="G692" s="39"/>
      <c r="H692" s="32" t="e">
        <v>#N/A</v>
      </c>
      <c r="I692" s="39"/>
      <c r="J692" s="32">
        <v>0.0</v>
      </c>
      <c r="K692" s="33" t="e">
        <v>#N/A</v>
      </c>
      <c r="L692" s="32" t="e">
        <v>#N/A</v>
      </c>
      <c r="M692" s="32" t="e">
        <v>#N/A</v>
      </c>
      <c r="N692" s="32" t="e">
        <v>#N/A</v>
      </c>
      <c r="O692" s="32" t="s">
        <v>5114</v>
      </c>
      <c r="P692" s="32" t="e">
        <v>#REF!</v>
      </c>
      <c r="Q692" s="32" t="e">
        <v>#N/A</v>
      </c>
      <c r="R692" s="42" t="e">
        <v>#N/A</v>
      </c>
      <c r="S692" s="42" t="e">
        <v>#N/A</v>
      </c>
      <c r="T692" s="36">
        <v>0.0</v>
      </c>
      <c r="U692" s="36">
        <v>0.0</v>
      </c>
      <c r="V692" s="36">
        <v>0.0</v>
      </c>
      <c r="W692" s="36">
        <v>0.0</v>
      </c>
      <c r="X692" s="36">
        <v>0.0</v>
      </c>
      <c r="Y692" s="36">
        <v>0.0</v>
      </c>
    </row>
    <row r="693">
      <c r="A693" s="32" t="s">
        <v>2496</v>
      </c>
      <c r="B693" s="32" t="s">
        <v>2496</v>
      </c>
      <c r="C693" s="32">
        <v>0.0</v>
      </c>
      <c r="D693" s="32" t="e">
        <v>#N/A</v>
      </c>
      <c r="E693" s="39"/>
      <c r="F693" s="32" t="e">
        <v>#N/A</v>
      </c>
      <c r="G693" s="39"/>
      <c r="H693" s="32" t="e">
        <v>#N/A</v>
      </c>
      <c r="I693" s="39"/>
      <c r="J693" s="32">
        <v>0.0</v>
      </c>
      <c r="K693" s="33" t="e">
        <v>#N/A</v>
      </c>
      <c r="L693" s="32" t="e">
        <v>#N/A</v>
      </c>
      <c r="M693" s="32" t="e">
        <v>#N/A</v>
      </c>
      <c r="N693" s="32" t="e">
        <v>#N/A</v>
      </c>
      <c r="O693" s="32" t="s">
        <v>5114</v>
      </c>
      <c r="P693" s="32" t="e">
        <v>#REF!</v>
      </c>
      <c r="Q693" s="32" t="e">
        <v>#N/A</v>
      </c>
      <c r="R693" s="42" t="e">
        <v>#N/A</v>
      </c>
      <c r="S693" s="42" t="e">
        <v>#N/A</v>
      </c>
      <c r="T693" s="36">
        <v>0.0</v>
      </c>
      <c r="U693" s="36">
        <v>0.0</v>
      </c>
      <c r="V693" s="36">
        <v>0.0</v>
      </c>
      <c r="W693" s="36">
        <v>0.0</v>
      </c>
      <c r="X693" s="36">
        <v>0.0</v>
      </c>
      <c r="Y693" s="36">
        <v>0.0</v>
      </c>
    </row>
    <row r="694">
      <c r="A694" s="32" t="s">
        <v>4705</v>
      </c>
      <c r="B694" s="32" t="s">
        <v>4705</v>
      </c>
      <c r="C694" s="32">
        <v>0.0</v>
      </c>
      <c r="D694" s="32" t="e">
        <v>#N/A</v>
      </c>
      <c r="E694" s="39"/>
      <c r="F694" s="32" t="e">
        <v>#N/A</v>
      </c>
      <c r="G694" s="39"/>
      <c r="H694" s="32" t="e">
        <v>#N/A</v>
      </c>
      <c r="I694" s="39"/>
      <c r="J694" s="32">
        <v>0.0</v>
      </c>
      <c r="K694" s="33" t="e">
        <v>#N/A</v>
      </c>
      <c r="L694" s="32" t="e">
        <v>#N/A</v>
      </c>
      <c r="M694" s="32" t="e">
        <v>#N/A</v>
      </c>
      <c r="N694" s="32" t="e">
        <v>#N/A</v>
      </c>
      <c r="O694" s="32" t="s">
        <v>5114</v>
      </c>
      <c r="P694" s="32" t="e">
        <v>#REF!</v>
      </c>
      <c r="Q694" s="32" t="e">
        <v>#N/A</v>
      </c>
      <c r="R694" s="42" t="e">
        <v>#N/A</v>
      </c>
      <c r="S694" s="42" t="e">
        <v>#N/A</v>
      </c>
      <c r="T694" s="36">
        <v>0.0</v>
      </c>
      <c r="U694" s="36">
        <v>0.0</v>
      </c>
      <c r="V694" s="36">
        <v>0.0</v>
      </c>
      <c r="W694" s="36">
        <v>0.0</v>
      </c>
      <c r="X694" s="36">
        <v>0.0</v>
      </c>
      <c r="Y694" s="36">
        <v>0.0</v>
      </c>
    </row>
    <row r="695">
      <c r="A695" s="32" t="s">
        <v>4706</v>
      </c>
      <c r="B695" s="32" t="s">
        <v>4706</v>
      </c>
      <c r="C695" s="32">
        <v>0.0</v>
      </c>
      <c r="D695" s="32" t="e">
        <v>#N/A</v>
      </c>
      <c r="E695" s="39"/>
      <c r="F695" s="32" t="e">
        <v>#N/A</v>
      </c>
      <c r="G695" s="39"/>
      <c r="H695" s="32" t="e">
        <v>#N/A</v>
      </c>
      <c r="I695" s="39"/>
      <c r="J695" s="32">
        <v>0.0</v>
      </c>
      <c r="K695" s="33" t="e">
        <v>#N/A</v>
      </c>
      <c r="L695" s="32" t="e">
        <v>#N/A</v>
      </c>
      <c r="M695" s="32" t="e">
        <v>#N/A</v>
      </c>
      <c r="N695" s="32" t="e">
        <v>#N/A</v>
      </c>
      <c r="O695" s="32" t="s">
        <v>5114</v>
      </c>
      <c r="P695" s="32" t="e">
        <v>#REF!</v>
      </c>
      <c r="Q695" s="32" t="e">
        <v>#N/A</v>
      </c>
      <c r="R695" s="42" t="e">
        <v>#N/A</v>
      </c>
      <c r="S695" s="42" t="e">
        <v>#N/A</v>
      </c>
      <c r="T695" s="36">
        <v>0.0</v>
      </c>
      <c r="U695" s="36">
        <v>0.0</v>
      </c>
      <c r="V695" s="36">
        <v>0.0</v>
      </c>
      <c r="W695" s="36">
        <v>0.0</v>
      </c>
      <c r="X695" s="36">
        <v>0.0</v>
      </c>
      <c r="Y695" s="36">
        <v>0.0</v>
      </c>
    </row>
    <row r="696">
      <c r="A696" s="32" t="s">
        <v>4707</v>
      </c>
      <c r="B696" s="32" t="s">
        <v>4707</v>
      </c>
      <c r="C696" s="32">
        <v>0.0</v>
      </c>
      <c r="D696" s="32" t="e">
        <v>#N/A</v>
      </c>
      <c r="E696" s="39"/>
      <c r="F696" s="32" t="e">
        <v>#N/A</v>
      </c>
      <c r="G696" s="39"/>
      <c r="H696" s="32" t="e">
        <v>#N/A</v>
      </c>
      <c r="I696" s="39"/>
      <c r="J696" s="32">
        <v>0.0</v>
      </c>
      <c r="K696" s="33" t="e">
        <v>#N/A</v>
      </c>
      <c r="L696" s="32" t="e">
        <v>#N/A</v>
      </c>
      <c r="M696" s="32" t="e">
        <v>#N/A</v>
      </c>
      <c r="N696" s="32" t="e">
        <v>#N/A</v>
      </c>
      <c r="O696" s="32" t="s">
        <v>5114</v>
      </c>
      <c r="P696" s="32" t="e">
        <v>#REF!</v>
      </c>
      <c r="Q696" s="32" t="e">
        <v>#N/A</v>
      </c>
      <c r="R696" s="42" t="e">
        <v>#N/A</v>
      </c>
      <c r="S696" s="42" t="e">
        <v>#N/A</v>
      </c>
      <c r="T696" s="36">
        <v>0.0</v>
      </c>
      <c r="U696" s="36">
        <v>0.0</v>
      </c>
      <c r="V696" s="36">
        <v>0.0</v>
      </c>
      <c r="W696" s="36">
        <v>0.0</v>
      </c>
      <c r="X696" s="36">
        <v>0.0</v>
      </c>
      <c r="Y696" s="36">
        <v>0.0</v>
      </c>
    </row>
    <row r="697">
      <c r="A697" s="32" t="s">
        <v>2497</v>
      </c>
      <c r="B697" s="32" t="s">
        <v>2497</v>
      </c>
      <c r="C697" s="32">
        <v>0.0</v>
      </c>
      <c r="D697" s="32" t="e">
        <v>#N/A</v>
      </c>
      <c r="E697" s="39"/>
      <c r="F697" s="32" t="e">
        <v>#N/A</v>
      </c>
      <c r="G697" s="39"/>
      <c r="H697" s="32" t="e">
        <v>#N/A</v>
      </c>
      <c r="I697" s="39"/>
      <c r="J697" s="32">
        <v>0.0</v>
      </c>
      <c r="K697" s="33" t="e">
        <v>#N/A</v>
      </c>
      <c r="L697" s="32" t="e">
        <v>#N/A</v>
      </c>
      <c r="M697" s="32" t="e">
        <v>#N/A</v>
      </c>
      <c r="N697" s="32" t="e">
        <v>#N/A</v>
      </c>
      <c r="O697" s="32" t="s">
        <v>5114</v>
      </c>
      <c r="P697" s="32" t="e">
        <v>#REF!</v>
      </c>
      <c r="Q697" s="32" t="e">
        <v>#N/A</v>
      </c>
      <c r="R697" s="42" t="e">
        <v>#N/A</v>
      </c>
      <c r="S697" s="42" t="e">
        <v>#N/A</v>
      </c>
      <c r="T697" s="36">
        <v>0.0</v>
      </c>
      <c r="U697" s="36">
        <v>0.0</v>
      </c>
      <c r="V697" s="36">
        <v>0.0</v>
      </c>
      <c r="W697" s="36">
        <v>0.0</v>
      </c>
      <c r="X697" s="36">
        <v>0.0</v>
      </c>
      <c r="Y697" s="36">
        <v>0.0</v>
      </c>
    </row>
    <row r="698">
      <c r="A698" s="32" t="s">
        <v>4708</v>
      </c>
      <c r="B698" s="32" t="s">
        <v>4708</v>
      </c>
      <c r="C698" s="32">
        <v>0.0</v>
      </c>
      <c r="D698" s="32" t="e">
        <v>#N/A</v>
      </c>
      <c r="E698" s="39"/>
      <c r="F698" s="32" t="e">
        <v>#N/A</v>
      </c>
      <c r="G698" s="39"/>
      <c r="H698" s="32" t="e">
        <v>#N/A</v>
      </c>
      <c r="I698" s="39"/>
      <c r="J698" s="32">
        <v>0.0</v>
      </c>
      <c r="K698" s="33" t="e">
        <v>#N/A</v>
      </c>
      <c r="L698" s="32" t="e">
        <v>#N/A</v>
      </c>
      <c r="M698" s="32" t="e">
        <v>#N/A</v>
      </c>
      <c r="N698" s="32" t="e">
        <v>#N/A</v>
      </c>
      <c r="O698" s="32" t="s">
        <v>5114</v>
      </c>
      <c r="P698" s="32" t="e">
        <v>#REF!</v>
      </c>
      <c r="Q698" s="32" t="e">
        <v>#N/A</v>
      </c>
      <c r="R698" s="42" t="e">
        <v>#N/A</v>
      </c>
      <c r="S698" s="42" t="e">
        <v>#N/A</v>
      </c>
      <c r="T698" s="36">
        <v>0.0</v>
      </c>
      <c r="U698" s="36">
        <v>0.0</v>
      </c>
      <c r="V698" s="36">
        <v>0.0</v>
      </c>
      <c r="W698" s="36">
        <v>0.0</v>
      </c>
      <c r="X698" s="36">
        <v>0.0</v>
      </c>
      <c r="Y698" s="36">
        <v>0.0</v>
      </c>
    </row>
    <row r="699">
      <c r="A699" s="32" t="s">
        <v>4710</v>
      </c>
      <c r="B699" s="32" t="s">
        <v>4710</v>
      </c>
      <c r="C699" s="32">
        <v>0.0</v>
      </c>
      <c r="D699" s="32" t="e">
        <v>#N/A</v>
      </c>
      <c r="E699" s="39"/>
      <c r="F699" s="32" t="e">
        <v>#N/A</v>
      </c>
      <c r="G699" s="39"/>
      <c r="H699" s="32" t="e">
        <v>#N/A</v>
      </c>
      <c r="I699" s="39"/>
      <c r="J699" s="32">
        <v>0.0</v>
      </c>
      <c r="K699" s="33" t="e">
        <v>#N/A</v>
      </c>
      <c r="L699" s="32" t="e">
        <v>#N/A</v>
      </c>
      <c r="M699" s="32" t="e">
        <v>#N/A</v>
      </c>
      <c r="N699" s="32" t="e">
        <v>#N/A</v>
      </c>
      <c r="O699" s="32" t="s">
        <v>5114</v>
      </c>
      <c r="P699" s="32" t="e">
        <v>#REF!</v>
      </c>
      <c r="Q699" s="32" t="e">
        <v>#N/A</v>
      </c>
      <c r="R699" s="42" t="e">
        <v>#N/A</v>
      </c>
      <c r="S699" s="42" t="e">
        <v>#N/A</v>
      </c>
      <c r="T699" s="36">
        <v>0.0</v>
      </c>
      <c r="U699" s="36">
        <v>0.0</v>
      </c>
      <c r="V699" s="36">
        <v>0.0</v>
      </c>
      <c r="W699" s="36">
        <v>0.0</v>
      </c>
      <c r="X699" s="36">
        <v>0.0</v>
      </c>
      <c r="Y699" s="36">
        <v>0.0</v>
      </c>
    </row>
    <row r="700">
      <c r="A700" s="32" t="s">
        <v>4709</v>
      </c>
      <c r="B700" s="32" t="s">
        <v>4709</v>
      </c>
      <c r="C700" s="32">
        <v>0.0</v>
      </c>
      <c r="D700" s="32" t="e">
        <v>#N/A</v>
      </c>
      <c r="E700" s="39"/>
      <c r="F700" s="32" t="e">
        <v>#N/A</v>
      </c>
      <c r="G700" s="39"/>
      <c r="H700" s="32" t="e">
        <v>#N/A</v>
      </c>
      <c r="I700" s="39"/>
      <c r="J700" s="32">
        <v>0.0</v>
      </c>
      <c r="K700" s="33" t="e">
        <v>#N/A</v>
      </c>
      <c r="L700" s="32" t="e">
        <v>#N/A</v>
      </c>
      <c r="M700" s="32" t="e">
        <v>#N/A</v>
      </c>
      <c r="N700" s="32" t="e">
        <v>#N/A</v>
      </c>
      <c r="O700" s="32" t="s">
        <v>5114</v>
      </c>
      <c r="P700" s="32" t="e">
        <v>#REF!</v>
      </c>
      <c r="Q700" s="32" t="e">
        <v>#N/A</v>
      </c>
      <c r="R700" s="42" t="e">
        <v>#N/A</v>
      </c>
      <c r="S700" s="42" t="e">
        <v>#N/A</v>
      </c>
      <c r="T700" s="36">
        <v>0.0</v>
      </c>
      <c r="U700" s="36">
        <v>0.0</v>
      </c>
      <c r="V700" s="36">
        <v>0.0</v>
      </c>
      <c r="W700" s="36">
        <v>0.0</v>
      </c>
      <c r="X700" s="36">
        <v>0.0</v>
      </c>
      <c r="Y700" s="36">
        <v>0.0</v>
      </c>
    </row>
    <row r="701">
      <c r="A701" s="32" t="s">
        <v>2498</v>
      </c>
      <c r="B701" s="32" t="s">
        <v>2498</v>
      </c>
      <c r="C701" s="32">
        <v>0.0</v>
      </c>
      <c r="D701" s="32" t="e">
        <v>#N/A</v>
      </c>
      <c r="E701" s="39"/>
      <c r="F701" s="32" t="e">
        <v>#N/A</v>
      </c>
      <c r="G701" s="39"/>
      <c r="H701" s="32" t="e">
        <v>#N/A</v>
      </c>
      <c r="I701" s="39"/>
      <c r="J701" s="32">
        <v>0.0</v>
      </c>
      <c r="K701" s="33" t="e">
        <v>#N/A</v>
      </c>
      <c r="L701" s="32" t="e">
        <v>#N/A</v>
      </c>
      <c r="M701" s="32" t="e">
        <v>#N/A</v>
      </c>
      <c r="N701" s="32" t="e">
        <v>#N/A</v>
      </c>
      <c r="O701" s="32" t="s">
        <v>5114</v>
      </c>
      <c r="P701" s="32" t="e">
        <v>#REF!</v>
      </c>
      <c r="Q701" s="32" t="e">
        <v>#N/A</v>
      </c>
      <c r="R701" s="42" t="e">
        <v>#N/A</v>
      </c>
      <c r="S701" s="42" t="e">
        <v>#N/A</v>
      </c>
      <c r="T701" s="36">
        <v>0.0</v>
      </c>
      <c r="U701" s="36">
        <v>0.0</v>
      </c>
      <c r="V701" s="36">
        <v>0.0</v>
      </c>
      <c r="W701" s="36">
        <v>0.0</v>
      </c>
      <c r="X701" s="36">
        <v>0.0</v>
      </c>
      <c r="Y701" s="36">
        <v>0.0</v>
      </c>
    </row>
    <row r="702">
      <c r="A702" s="32" t="s">
        <v>4711</v>
      </c>
      <c r="B702" s="32" t="s">
        <v>4711</v>
      </c>
      <c r="C702" s="32">
        <v>0.0</v>
      </c>
      <c r="D702" s="32" t="e">
        <v>#N/A</v>
      </c>
      <c r="E702" s="39"/>
      <c r="F702" s="32" t="e">
        <v>#N/A</v>
      </c>
      <c r="G702" s="39"/>
      <c r="H702" s="32" t="e">
        <v>#N/A</v>
      </c>
      <c r="I702" s="39"/>
      <c r="J702" s="32">
        <v>0.0</v>
      </c>
      <c r="K702" s="33" t="e">
        <v>#N/A</v>
      </c>
      <c r="L702" s="32" t="e">
        <v>#N/A</v>
      </c>
      <c r="M702" s="32" t="e">
        <v>#N/A</v>
      </c>
      <c r="N702" s="32" t="e">
        <v>#N/A</v>
      </c>
      <c r="O702" s="32" t="s">
        <v>5114</v>
      </c>
      <c r="P702" s="32" t="e">
        <v>#REF!</v>
      </c>
      <c r="Q702" s="32" t="e">
        <v>#N/A</v>
      </c>
      <c r="R702" s="42" t="e">
        <v>#N/A</v>
      </c>
      <c r="S702" s="42" t="e">
        <v>#N/A</v>
      </c>
      <c r="T702" s="36">
        <v>0.0</v>
      </c>
      <c r="U702" s="36">
        <v>0.0</v>
      </c>
      <c r="V702" s="36">
        <v>0.0</v>
      </c>
      <c r="W702" s="36">
        <v>0.0</v>
      </c>
      <c r="X702" s="36">
        <v>0.0</v>
      </c>
      <c r="Y702" s="36">
        <v>0.0</v>
      </c>
    </row>
    <row r="703">
      <c r="A703" s="32" t="s">
        <v>4712</v>
      </c>
      <c r="B703" s="32" t="s">
        <v>4712</v>
      </c>
      <c r="C703" s="32">
        <v>0.0</v>
      </c>
      <c r="D703" s="32" t="e">
        <v>#N/A</v>
      </c>
      <c r="E703" s="39"/>
      <c r="F703" s="32" t="e">
        <v>#N/A</v>
      </c>
      <c r="G703" s="39"/>
      <c r="H703" s="32" t="e">
        <v>#N/A</v>
      </c>
      <c r="I703" s="39"/>
      <c r="J703" s="32">
        <v>0.0</v>
      </c>
      <c r="K703" s="33" t="e">
        <v>#N/A</v>
      </c>
      <c r="L703" s="32" t="e">
        <v>#N/A</v>
      </c>
      <c r="M703" s="32" t="e">
        <v>#N/A</v>
      </c>
      <c r="N703" s="32" t="e">
        <v>#N/A</v>
      </c>
      <c r="O703" s="32" t="s">
        <v>5114</v>
      </c>
      <c r="P703" s="32" t="e">
        <v>#REF!</v>
      </c>
      <c r="Q703" s="32" t="e">
        <v>#N/A</v>
      </c>
      <c r="R703" s="42" t="e">
        <v>#N/A</v>
      </c>
      <c r="S703" s="42" t="e">
        <v>#N/A</v>
      </c>
      <c r="T703" s="36">
        <v>0.0</v>
      </c>
      <c r="U703" s="36">
        <v>0.0</v>
      </c>
      <c r="V703" s="36">
        <v>0.0</v>
      </c>
      <c r="W703" s="36">
        <v>0.0</v>
      </c>
      <c r="X703" s="36">
        <v>0.0</v>
      </c>
      <c r="Y703" s="36">
        <v>0.0</v>
      </c>
    </row>
    <row r="704">
      <c r="A704" s="32" t="s">
        <v>4713</v>
      </c>
      <c r="B704" s="32" t="s">
        <v>4713</v>
      </c>
      <c r="C704" s="32">
        <v>0.0</v>
      </c>
      <c r="D704" s="32" t="e">
        <v>#N/A</v>
      </c>
      <c r="E704" s="39"/>
      <c r="F704" s="32" t="e">
        <v>#N/A</v>
      </c>
      <c r="G704" s="39"/>
      <c r="H704" s="32" t="e">
        <v>#N/A</v>
      </c>
      <c r="I704" s="39"/>
      <c r="J704" s="32">
        <v>0.0</v>
      </c>
      <c r="K704" s="33" t="e">
        <v>#N/A</v>
      </c>
      <c r="L704" s="32" t="e">
        <v>#N/A</v>
      </c>
      <c r="M704" s="32" t="e">
        <v>#N/A</v>
      </c>
      <c r="N704" s="32" t="e">
        <v>#N/A</v>
      </c>
      <c r="O704" s="32" t="s">
        <v>5114</v>
      </c>
      <c r="P704" s="32" t="e">
        <v>#REF!</v>
      </c>
      <c r="Q704" s="32" t="e">
        <v>#N/A</v>
      </c>
      <c r="R704" s="42" t="e">
        <v>#N/A</v>
      </c>
      <c r="S704" s="42" t="e">
        <v>#N/A</v>
      </c>
      <c r="T704" s="36">
        <v>0.0</v>
      </c>
      <c r="U704" s="36">
        <v>0.0</v>
      </c>
      <c r="V704" s="36">
        <v>0.0</v>
      </c>
      <c r="W704" s="36">
        <v>0.0</v>
      </c>
      <c r="X704" s="36">
        <v>0.0</v>
      </c>
      <c r="Y704" s="36">
        <v>0.0</v>
      </c>
    </row>
    <row r="705">
      <c r="A705" s="32" t="s">
        <v>2493</v>
      </c>
      <c r="B705" s="32" t="s">
        <v>2493</v>
      </c>
      <c r="C705" s="32">
        <v>0.0</v>
      </c>
      <c r="D705" s="32" t="e">
        <v>#N/A</v>
      </c>
      <c r="E705" s="39"/>
      <c r="F705" s="32" t="e">
        <v>#N/A</v>
      </c>
      <c r="G705" s="39"/>
      <c r="H705" s="32" t="e">
        <v>#N/A</v>
      </c>
      <c r="I705" s="39"/>
      <c r="J705" s="32">
        <v>0.0</v>
      </c>
      <c r="K705" s="33" t="e">
        <v>#N/A</v>
      </c>
      <c r="L705" s="32" t="e">
        <v>#N/A</v>
      </c>
      <c r="M705" s="32" t="e">
        <v>#N/A</v>
      </c>
      <c r="N705" s="32" t="e">
        <v>#N/A</v>
      </c>
      <c r="O705" s="32" t="s">
        <v>5114</v>
      </c>
      <c r="P705" s="32" t="e">
        <v>#REF!</v>
      </c>
      <c r="Q705" s="32" t="e">
        <v>#N/A</v>
      </c>
      <c r="R705" s="42" t="e">
        <v>#N/A</v>
      </c>
      <c r="S705" s="42" t="e">
        <v>#N/A</v>
      </c>
      <c r="T705" s="36">
        <v>0.0</v>
      </c>
      <c r="U705" s="36">
        <v>0.0</v>
      </c>
      <c r="V705" s="36">
        <v>0.0</v>
      </c>
      <c r="W705" s="36">
        <v>0.0</v>
      </c>
      <c r="X705" s="36">
        <v>0.0</v>
      </c>
      <c r="Y705" s="36">
        <v>0.0</v>
      </c>
    </row>
    <row r="706">
      <c r="A706" s="32" t="s">
        <v>4714</v>
      </c>
      <c r="B706" s="32" t="s">
        <v>4714</v>
      </c>
      <c r="C706" s="32">
        <v>0.0</v>
      </c>
      <c r="D706" s="32" t="e">
        <v>#N/A</v>
      </c>
      <c r="E706" s="39"/>
      <c r="F706" s="32" t="e">
        <v>#N/A</v>
      </c>
      <c r="G706" s="39"/>
      <c r="H706" s="32" t="e">
        <v>#N/A</v>
      </c>
      <c r="I706" s="39"/>
      <c r="J706" s="32">
        <v>0.0</v>
      </c>
      <c r="K706" s="33" t="e">
        <v>#N/A</v>
      </c>
      <c r="L706" s="32" t="e">
        <v>#N/A</v>
      </c>
      <c r="M706" s="32" t="e">
        <v>#N/A</v>
      </c>
      <c r="N706" s="32" t="e">
        <v>#N/A</v>
      </c>
      <c r="O706" s="32" t="s">
        <v>5114</v>
      </c>
      <c r="P706" s="32" t="e">
        <v>#REF!</v>
      </c>
      <c r="Q706" s="32" t="e">
        <v>#N/A</v>
      </c>
      <c r="R706" s="42" t="e">
        <v>#N/A</v>
      </c>
      <c r="S706" s="42" t="e">
        <v>#N/A</v>
      </c>
      <c r="T706" s="36">
        <v>0.0</v>
      </c>
      <c r="U706" s="36">
        <v>0.0</v>
      </c>
      <c r="V706" s="36">
        <v>0.0</v>
      </c>
      <c r="W706" s="36">
        <v>0.0</v>
      </c>
      <c r="X706" s="36">
        <v>0.0</v>
      </c>
      <c r="Y706" s="36">
        <v>0.0</v>
      </c>
    </row>
    <row r="707">
      <c r="A707" s="32" t="s">
        <v>4715</v>
      </c>
      <c r="B707" s="32" t="s">
        <v>4715</v>
      </c>
      <c r="C707" s="32">
        <v>0.0</v>
      </c>
      <c r="D707" s="32" t="e">
        <v>#N/A</v>
      </c>
      <c r="E707" s="39"/>
      <c r="F707" s="32" t="e">
        <v>#N/A</v>
      </c>
      <c r="G707" s="39"/>
      <c r="H707" s="32" t="e">
        <v>#N/A</v>
      </c>
      <c r="I707" s="39"/>
      <c r="J707" s="32">
        <v>0.0</v>
      </c>
      <c r="K707" s="33" t="e">
        <v>#N/A</v>
      </c>
      <c r="L707" s="32" t="e">
        <v>#N/A</v>
      </c>
      <c r="M707" s="32" t="e">
        <v>#N/A</v>
      </c>
      <c r="N707" s="32" t="e">
        <v>#N/A</v>
      </c>
      <c r="O707" s="32" t="s">
        <v>5114</v>
      </c>
      <c r="P707" s="32" t="e">
        <v>#REF!</v>
      </c>
      <c r="Q707" s="32" t="e">
        <v>#N/A</v>
      </c>
      <c r="R707" s="42" t="e">
        <v>#N/A</v>
      </c>
      <c r="S707" s="42" t="e">
        <v>#N/A</v>
      </c>
      <c r="T707" s="36">
        <v>0.0</v>
      </c>
      <c r="U707" s="36">
        <v>0.0</v>
      </c>
      <c r="V707" s="36">
        <v>0.0</v>
      </c>
      <c r="W707" s="36">
        <v>0.0</v>
      </c>
      <c r="X707" s="36">
        <v>0.0</v>
      </c>
      <c r="Y707" s="36">
        <v>0.0</v>
      </c>
    </row>
    <row r="708">
      <c r="A708" s="32" t="s">
        <v>2542</v>
      </c>
      <c r="B708" s="32" t="s">
        <v>2542</v>
      </c>
      <c r="C708" s="32">
        <v>0.0</v>
      </c>
      <c r="D708" s="32" t="e">
        <v>#N/A</v>
      </c>
      <c r="E708" s="39"/>
      <c r="F708" s="32" t="e">
        <v>#N/A</v>
      </c>
      <c r="G708" s="39"/>
      <c r="H708" s="32" t="e">
        <v>#N/A</v>
      </c>
      <c r="I708" s="39"/>
      <c r="J708" s="32">
        <v>0.0</v>
      </c>
      <c r="K708" s="33" t="e">
        <v>#N/A</v>
      </c>
      <c r="L708" s="32" t="e">
        <v>#N/A</v>
      </c>
      <c r="M708" s="32" t="e">
        <v>#N/A</v>
      </c>
      <c r="N708" s="32" t="e">
        <v>#N/A</v>
      </c>
      <c r="O708" s="32" t="e">
        <v>#N/A</v>
      </c>
      <c r="P708" s="32" t="e">
        <v>#REF!</v>
      </c>
      <c r="Q708" s="32" t="e">
        <v>#N/A</v>
      </c>
      <c r="R708" s="42" t="e">
        <v>#N/A</v>
      </c>
      <c r="S708" s="42" t="e">
        <v>#N/A</v>
      </c>
      <c r="T708" s="36">
        <v>0.0</v>
      </c>
      <c r="U708" s="36">
        <v>0.0</v>
      </c>
      <c r="V708" s="36">
        <v>0.0</v>
      </c>
      <c r="W708" s="36">
        <v>0.0</v>
      </c>
      <c r="X708" s="36">
        <v>0.0</v>
      </c>
      <c r="Y708" s="36">
        <v>0.0</v>
      </c>
    </row>
    <row r="709">
      <c r="A709" s="32" t="s">
        <v>2536</v>
      </c>
      <c r="B709" s="32" t="s">
        <v>2536</v>
      </c>
      <c r="C709" s="32">
        <v>0.0</v>
      </c>
      <c r="D709" s="32" t="e">
        <v>#N/A</v>
      </c>
      <c r="E709" s="39"/>
      <c r="F709" s="32" t="e">
        <v>#N/A</v>
      </c>
      <c r="G709" s="39"/>
      <c r="H709" s="32" t="e">
        <v>#N/A</v>
      </c>
      <c r="I709" s="39"/>
      <c r="J709" s="32">
        <v>0.0</v>
      </c>
      <c r="K709" s="33" t="e">
        <v>#N/A</v>
      </c>
      <c r="L709" s="32" t="e">
        <v>#N/A</v>
      </c>
      <c r="M709" s="32" t="e">
        <v>#N/A</v>
      </c>
      <c r="N709" s="32" t="e">
        <v>#N/A</v>
      </c>
      <c r="O709" s="32" t="e">
        <v>#N/A</v>
      </c>
      <c r="P709" s="32" t="e">
        <v>#REF!</v>
      </c>
      <c r="Q709" s="32" t="e">
        <v>#N/A</v>
      </c>
      <c r="R709" s="42" t="e">
        <v>#N/A</v>
      </c>
      <c r="S709" s="42" t="e">
        <v>#N/A</v>
      </c>
      <c r="T709" s="36">
        <v>0.0</v>
      </c>
      <c r="U709" s="36">
        <v>0.0</v>
      </c>
      <c r="V709" s="36">
        <v>0.0</v>
      </c>
      <c r="W709" s="36">
        <v>0.0</v>
      </c>
      <c r="X709" s="36">
        <v>0.0</v>
      </c>
      <c r="Y709" s="36">
        <v>0.0</v>
      </c>
    </row>
    <row r="710">
      <c r="A710" s="32" t="s">
        <v>2539</v>
      </c>
      <c r="B710" s="32" t="s">
        <v>2539</v>
      </c>
      <c r="C710" s="32">
        <v>0.0</v>
      </c>
      <c r="D710" s="32" t="e">
        <v>#N/A</v>
      </c>
      <c r="E710" s="39"/>
      <c r="F710" s="32" t="e">
        <v>#N/A</v>
      </c>
      <c r="G710" s="39"/>
      <c r="H710" s="32" t="e">
        <v>#N/A</v>
      </c>
      <c r="I710" s="39"/>
      <c r="J710" s="32">
        <v>0.0</v>
      </c>
      <c r="K710" s="33" t="e">
        <v>#N/A</v>
      </c>
      <c r="L710" s="32" t="e">
        <v>#N/A</v>
      </c>
      <c r="M710" s="32" t="e">
        <v>#N/A</v>
      </c>
      <c r="N710" s="32" t="e">
        <v>#N/A</v>
      </c>
      <c r="O710" s="32" t="e">
        <v>#N/A</v>
      </c>
      <c r="P710" s="32" t="e">
        <v>#REF!</v>
      </c>
      <c r="Q710" s="32" t="e">
        <v>#N/A</v>
      </c>
      <c r="R710" s="42" t="e">
        <v>#N/A</v>
      </c>
      <c r="S710" s="42" t="e">
        <v>#N/A</v>
      </c>
      <c r="T710" s="36">
        <v>0.0</v>
      </c>
      <c r="U710" s="36">
        <v>0.0</v>
      </c>
      <c r="V710" s="36">
        <v>0.0</v>
      </c>
      <c r="W710" s="36">
        <v>0.0</v>
      </c>
      <c r="X710" s="36">
        <v>0.0</v>
      </c>
      <c r="Y710" s="36">
        <v>0.0</v>
      </c>
    </row>
    <row r="711">
      <c r="A711" s="32" t="s">
        <v>2543</v>
      </c>
      <c r="B711" s="32" t="s">
        <v>2543</v>
      </c>
      <c r="C711" s="32">
        <v>0.0</v>
      </c>
      <c r="D711" s="32" t="e">
        <v>#N/A</v>
      </c>
      <c r="E711" s="39"/>
      <c r="F711" s="32" t="e">
        <v>#N/A</v>
      </c>
      <c r="G711" s="39"/>
      <c r="H711" s="32" t="e">
        <v>#N/A</v>
      </c>
      <c r="I711" s="39"/>
      <c r="J711" s="32">
        <v>0.0</v>
      </c>
      <c r="K711" s="33" t="e">
        <v>#N/A</v>
      </c>
      <c r="L711" s="32" t="e">
        <v>#N/A</v>
      </c>
      <c r="M711" s="32" t="e">
        <v>#N/A</v>
      </c>
      <c r="N711" s="32" t="e">
        <v>#N/A</v>
      </c>
      <c r="O711" s="32" t="e">
        <v>#N/A</v>
      </c>
      <c r="P711" s="32" t="e">
        <v>#REF!</v>
      </c>
      <c r="Q711" s="32" t="e">
        <v>#N/A</v>
      </c>
      <c r="R711" s="42" t="e">
        <v>#N/A</v>
      </c>
      <c r="S711" s="42" t="e">
        <v>#N/A</v>
      </c>
      <c r="T711" s="36">
        <v>0.0</v>
      </c>
      <c r="U711" s="36">
        <v>0.0</v>
      </c>
      <c r="V711" s="36">
        <v>0.0</v>
      </c>
      <c r="W711" s="36">
        <v>0.0</v>
      </c>
      <c r="X711" s="36">
        <v>0.0</v>
      </c>
      <c r="Y711" s="36">
        <v>0.0</v>
      </c>
    </row>
    <row r="712">
      <c r="A712" s="32" t="s">
        <v>2537</v>
      </c>
      <c r="B712" s="32" t="s">
        <v>2537</v>
      </c>
      <c r="C712" s="32">
        <v>0.0</v>
      </c>
      <c r="D712" s="32" t="e">
        <v>#N/A</v>
      </c>
      <c r="E712" s="39"/>
      <c r="F712" s="32" t="e">
        <v>#N/A</v>
      </c>
      <c r="G712" s="39"/>
      <c r="H712" s="32" t="e">
        <v>#N/A</v>
      </c>
      <c r="I712" s="39"/>
      <c r="J712" s="32">
        <v>0.0</v>
      </c>
      <c r="K712" s="33" t="e">
        <v>#N/A</v>
      </c>
      <c r="L712" s="32" t="e">
        <v>#N/A</v>
      </c>
      <c r="M712" s="32" t="e">
        <v>#N/A</v>
      </c>
      <c r="N712" s="32" t="e">
        <v>#N/A</v>
      </c>
      <c r="O712" s="32" t="e">
        <v>#N/A</v>
      </c>
      <c r="P712" s="32" t="e">
        <v>#REF!</v>
      </c>
      <c r="Q712" s="32" t="e">
        <v>#N/A</v>
      </c>
      <c r="R712" s="42" t="e">
        <v>#N/A</v>
      </c>
      <c r="S712" s="42" t="e">
        <v>#N/A</v>
      </c>
      <c r="T712" s="36">
        <v>0.0</v>
      </c>
      <c r="U712" s="36">
        <v>0.0</v>
      </c>
      <c r="V712" s="36">
        <v>0.0</v>
      </c>
      <c r="W712" s="36">
        <v>0.0</v>
      </c>
      <c r="X712" s="36">
        <v>0.0</v>
      </c>
      <c r="Y712" s="36">
        <v>0.0</v>
      </c>
    </row>
    <row r="713">
      <c r="A713" s="32" t="s">
        <v>2540</v>
      </c>
      <c r="B713" s="32" t="s">
        <v>2540</v>
      </c>
      <c r="C713" s="32">
        <v>0.0</v>
      </c>
      <c r="D713" s="32" t="e">
        <v>#N/A</v>
      </c>
      <c r="E713" s="39"/>
      <c r="F713" s="32" t="e">
        <v>#N/A</v>
      </c>
      <c r="G713" s="39"/>
      <c r="H713" s="32" t="e">
        <v>#N/A</v>
      </c>
      <c r="I713" s="39"/>
      <c r="J713" s="32">
        <v>0.0</v>
      </c>
      <c r="K713" s="33" t="e">
        <v>#N/A</v>
      </c>
      <c r="L713" s="32" t="e">
        <v>#N/A</v>
      </c>
      <c r="M713" s="32" t="e">
        <v>#N/A</v>
      </c>
      <c r="N713" s="32" t="e">
        <v>#N/A</v>
      </c>
      <c r="O713" s="32" t="e">
        <v>#N/A</v>
      </c>
      <c r="P713" s="32" t="e">
        <v>#REF!</v>
      </c>
      <c r="Q713" s="32" t="e">
        <v>#N/A</v>
      </c>
      <c r="R713" s="42" t="e">
        <v>#N/A</v>
      </c>
      <c r="S713" s="42" t="e">
        <v>#N/A</v>
      </c>
      <c r="T713" s="36">
        <v>0.0</v>
      </c>
      <c r="U713" s="36">
        <v>0.0</v>
      </c>
      <c r="V713" s="36">
        <v>0.0</v>
      </c>
      <c r="W713" s="36">
        <v>0.0</v>
      </c>
      <c r="X713" s="36">
        <v>0.0</v>
      </c>
      <c r="Y713" s="36">
        <v>0.0</v>
      </c>
    </row>
    <row r="714">
      <c r="A714" s="32" t="s">
        <v>2544</v>
      </c>
      <c r="B714" s="32" t="s">
        <v>2544</v>
      </c>
      <c r="C714" s="32">
        <v>0.0</v>
      </c>
      <c r="D714" s="32" t="e">
        <v>#N/A</v>
      </c>
      <c r="E714" s="39"/>
      <c r="F714" s="32" t="e">
        <v>#N/A</v>
      </c>
      <c r="G714" s="39"/>
      <c r="H714" s="32" t="e">
        <v>#N/A</v>
      </c>
      <c r="I714" s="39"/>
      <c r="J714" s="32">
        <v>0.0</v>
      </c>
      <c r="K714" s="33" t="e">
        <v>#N/A</v>
      </c>
      <c r="L714" s="32" t="e">
        <v>#N/A</v>
      </c>
      <c r="M714" s="32" t="e">
        <v>#N/A</v>
      </c>
      <c r="N714" s="32" t="e">
        <v>#N/A</v>
      </c>
      <c r="O714" s="32" t="e">
        <v>#N/A</v>
      </c>
      <c r="P714" s="32" t="e">
        <v>#REF!</v>
      </c>
      <c r="Q714" s="32" t="e">
        <v>#N/A</v>
      </c>
      <c r="R714" s="42" t="e">
        <v>#N/A</v>
      </c>
      <c r="S714" s="42" t="e">
        <v>#N/A</v>
      </c>
      <c r="T714" s="36">
        <v>0.0</v>
      </c>
      <c r="U714" s="36">
        <v>0.0</v>
      </c>
      <c r="V714" s="36">
        <v>0.0</v>
      </c>
      <c r="W714" s="36">
        <v>0.0</v>
      </c>
      <c r="X714" s="36">
        <v>0.0</v>
      </c>
      <c r="Y714" s="36">
        <v>0.0</v>
      </c>
    </row>
    <row r="715">
      <c r="A715" s="32" t="s">
        <v>2538</v>
      </c>
      <c r="B715" s="32" t="s">
        <v>2538</v>
      </c>
      <c r="C715" s="32">
        <v>0.0</v>
      </c>
      <c r="D715" s="32" t="e">
        <v>#N/A</v>
      </c>
      <c r="E715" s="39"/>
      <c r="F715" s="32" t="e">
        <v>#N/A</v>
      </c>
      <c r="G715" s="39"/>
      <c r="H715" s="32" t="e">
        <v>#N/A</v>
      </c>
      <c r="I715" s="39"/>
      <c r="J715" s="32">
        <v>0.0</v>
      </c>
      <c r="K715" s="33" t="e">
        <v>#N/A</v>
      </c>
      <c r="L715" s="32" t="e">
        <v>#N/A</v>
      </c>
      <c r="M715" s="32" t="e">
        <v>#N/A</v>
      </c>
      <c r="N715" s="32" t="e">
        <v>#N/A</v>
      </c>
      <c r="O715" s="32" t="e">
        <v>#N/A</v>
      </c>
      <c r="P715" s="32" t="e">
        <v>#REF!</v>
      </c>
      <c r="Q715" s="32" t="e">
        <v>#N/A</v>
      </c>
      <c r="R715" s="42" t="e">
        <v>#N/A</v>
      </c>
      <c r="S715" s="42" t="e">
        <v>#N/A</v>
      </c>
      <c r="T715" s="36">
        <v>0.0</v>
      </c>
      <c r="U715" s="36">
        <v>0.0</v>
      </c>
      <c r="V715" s="36">
        <v>0.0</v>
      </c>
      <c r="W715" s="36">
        <v>0.0</v>
      </c>
      <c r="X715" s="36">
        <v>0.0</v>
      </c>
      <c r="Y715" s="36">
        <v>0.0</v>
      </c>
    </row>
    <row r="716">
      <c r="A716" s="32" t="s">
        <v>2541</v>
      </c>
      <c r="B716" s="32" t="s">
        <v>2541</v>
      </c>
      <c r="C716" s="32">
        <v>0.0</v>
      </c>
      <c r="D716" s="32" t="e">
        <v>#N/A</v>
      </c>
      <c r="E716" s="39"/>
      <c r="F716" s="32" t="e">
        <v>#N/A</v>
      </c>
      <c r="G716" s="39"/>
      <c r="H716" s="32" t="e">
        <v>#N/A</v>
      </c>
      <c r="I716" s="39"/>
      <c r="J716" s="32">
        <v>0.0</v>
      </c>
      <c r="K716" s="33" t="e">
        <v>#N/A</v>
      </c>
      <c r="L716" s="32" t="e">
        <v>#N/A</v>
      </c>
      <c r="M716" s="32" t="e">
        <v>#N/A</v>
      </c>
      <c r="N716" s="32" t="e">
        <v>#N/A</v>
      </c>
      <c r="O716" s="32" t="e">
        <v>#N/A</v>
      </c>
      <c r="P716" s="32" t="e">
        <v>#REF!</v>
      </c>
      <c r="Q716" s="32" t="e">
        <v>#N/A</v>
      </c>
      <c r="R716" s="42" t="e">
        <v>#N/A</v>
      </c>
      <c r="S716" s="42" t="e">
        <v>#N/A</v>
      </c>
      <c r="T716" s="36">
        <v>0.0</v>
      </c>
      <c r="U716" s="36">
        <v>0.0</v>
      </c>
      <c r="V716" s="36">
        <v>0.0</v>
      </c>
      <c r="W716" s="36">
        <v>0.0</v>
      </c>
      <c r="X716" s="36">
        <v>0.0</v>
      </c>
      <c r="Y716" s="36">
        <v>0.0</v>
      </c>
    </row>
    <row r="717">
      <c r="A717" s="32" t="s">
        <v>2560</v>
      </c>
      <c r="B717" s="32" t="s">
        <v>2560</v>
      </c>
      <c r="C717" s="32">
        <v>0.0</v>
      </c>
      <c r="D717" s="32" t="e">
        <v>#N/A</v>
      </c>
      <c r="E717" s="39"/>
      <c r="F717" s="32" t="e">
        <v>#N/A</v>
      </c>
      <c r="G717" s="39"/>
      <c r="H717" s="32" t="e">
        <v>#N/A</v>
      </c>
      <c r="I717" s="39"/>
      <c r="J717" s="32">
        <v>0.0</v>
      </c>
      <c r="K717" s="33" t="e">
        <v>#N/A</v>
      </c>
      <c r="L717" s="32" t="e">
        <v>#N/A</v>
      </c>
      <c r="M717" s="32" t="e">
        <v>#N/A</v>
      </c>
      <c r="N717" s="32" t="e">
        <v>#N/A</v>
      </c>
      <c r="O717" s="32" t="e">
        <v>#N/A</v>
      </c>
      <c r="P717" s="32" t="e">
        <v>#REF!</v>
      </c>
      <c r="Q717" s="32" t="e">
        <v>#N/A</v>
      </c>
      <c r="R717" s="42" t="e">
        <v>#N/A</v>
      </c>
      <c r="S717" s="42" t="e">
        <v>#N/A</v>
      </c>
      <c r="T717" s="36">
        <v>0.0</v>
      </c>
      <c r="U717" s="36">
        <v>0.0</v>
      </c>
      <c r="V717" s="36">
        <v>0.0</v>
      </c>
      <c r="W717" s="36">
        <v>0.0</v>
      </c>
      <c r="X717" s="36">
        <v>0.0</v>
      </c>
      <c r="Y717" s="36">
        <v>0.0</v>
      </c>
    </row>
    <row r="718">
      <c r="A718" s="32" t="s">
        <v>2554</v>
      </c>
      <c r="B718" s="32" t="s">
        <v>2554</v>
      </c>
      <c r="C718" s="32">
        <v>0.0</v>
      </c>
      <c r="D718" s="32" t="e">
        <v>#N/A</v>
      </c>
      <c r="E718" s="39"/>
      <c r="F718" s="32" t="e">
        <v>#N/A</v>
      </c>
      <c r="G718" s="39"/>
      <c r="H718" s="32" t="e">
        <v>#N/A</v>
      </c>
      <c r="I718" s="39"/>
      <c r="J718" s="32">
        <v>0.0</v>
      </c>
      <c r="K718" s="33" t="e">
        <v>#N/A</v>
      </c>
      <c r="L718" s="32" t="e">
        <v>#N/A</v>
      </c>
      <c r="M718" s="32" t="e">
        <v>#N/A</v>
      </c>
      <c r="N718" s="32" t="e">
        <v>#N/A</v>
      </c>
      <c r="O718" s="32" t="e">
        <v>#N/A</v>
      </c>
      <c r="P718" s="32" t="e">
        <v>#REF!</v>
      </c>
      <c r="Q718" s="32" t="e">
        <v>#N/A</v>
      </c>
      <c r="R718" s="42" t="e">
        <v>#N/A</v>
      </c>
      <c r="S718" s="42" t="e">
        <v>#N/A</v>
      </c>
      <c r="T718" s="36">
        <v>0.0</v>
      </c>
      <c r="U718" s="36">
        <v>0.0</v>
      </c>
      <c r="V718" s="36">
        <v>0.0</v>
      </c>
      <c r="W718" s="36">
        <v>0.0</v>
      </c>
      <c r="X718" s="36">
        <v>0.0</v>
      </c>
      <c r="Y718" s="36">
        <v>0.0</v>
      </c>
    </row>
    <row r="719">
      <c r="A719" s="32" t="s">
        <v>2557</v>
      </c>
      <c r="B719" s="32" t="s">
        <v>2557</v>
      </c>
      <c r="C719" s="32">
        <v>0.0</v>
      </c>
      <c r="D719" s="32" t="e">
        <v>#N/A</v>
      </c>
      <c r="E719" s="39"/>
      <c r="F719" s="32" t="e">
        <v>#N/A</v>
      </c>
      <c r="G719" s="39"/>
      <c r="H719" s="32" t="e">
        <v>#N/A</v>
      </c>
      <c r="I719" s="39"/>
      <c r="J719" s="32">
        <v>0.0</v>
      </c>
      <c r="K719" s="33" t="e">
        <v>#N/A</v>
      </c>
      <c r="L719" s="32" t="e">
        <v>#N/A</v>
      </c>
      <c r="M719" s="32" t="e">
        <v>#N/A</v>
      </c>
      <c r="N719" s="32" t="e">
        <v>#N/A</v>
      </c>
      <c r="O719" s="32" t="e">
        <v>#N/A</v>
      </c>
      <c r="P719" s="32" t="e">
        <v>#REF!</v>
      </c>
      <c r="Q719" s="32" t="e">
        <v>#N/A</v>
      </c>
      <c r="R719" s="42" t="e">
        <v>#N/A</v>
      </c>
      <c r="S719" s="42" t="e">
        <v>#N/A</v>
      </c>
      <c r="T719" s="36">
        <v>0.0</v>
      </c>
      <c r="U719" s="36">
        <v>0.0</v>
      </c>
      <c r="V719" s="36">
        <v>0.0</v>
      </c>
      <c r="W719" s="36">
        <v>0.0</v>
      </c>
      <c r="X719" s="36">
        <v>0.0</v>
      </c>
      <c r="Y719" s="36">
        <v>0.0</v>
      </c>
    </row>
    <row r="720">
      <c r="A720" s="32" t="s">
        <v>2561</v>
      </c>
      <c r="B720" s="32" t="s">
        <v>2561</v>
      </c>
      <c r="C720" s="32">
        <v>0.0</v>
      </c>
      <c r="D720" s="32" t="e">
        <v>#N/A</v>
      </c>
      <c r="E720" s="39"/>
      <c r="F720" s="32" t="e">
        <v>#N/A</v>
      </c>
      <c r="G720" s="39"/>
      <c r="H720" s="32" t="e">
        <v>#N/A</v>
      </c>
      <c r="I720" s="39"/>
      <c r="J720" s="32">
        <v>0.0</v>
      </c>
      <c r="K720" s="33" t="e">
        <v>#N/A</v>
      </c>
      <c r="L720" s="32" t="e">
        <v>#N/A</v>
      </c>
      <c r="M720" s="32" t="e">
        <v>#N/A</v>
      </c>
      <c r="N720" s="32" t="e">
        <v>#N/A</v>
      </c>
      <c r="O720" s="32" t="e">
        <v>#N/A</v>
      </c>
      <c r="P720" s="32" t="e">
        <v>#REF!</v>
      </c>
      <c r="Q720" s="32" t="e">
        <v>#N/A</v>
      </c>
      <c r="R720" s="42" t="e">
        <v>#N/A</v>
      </c>
      <c r="S720" s="42" t="e">
        <v>#N/A</v>
      </c>
      <c r="T720" s="36">
        <v>0.0</v>
      </c>
      <c r="U720" s="36">
        <v>0.0</v>
      </c>
      <c r="V720" s="36">
        <v>0.0</v>
      </c>
      <c r="W720" s="36">
        <v>0.0</v>
      </c>
      <c r="X720" s="36">
        <v>0.0</v>
      </c>
      <c r="Y720" s="36">
        <v>0.0</v>
      </c>
    </row>
    <row r="721">
      <c r="A721" s="32" t="s">
        <v>2555</v>
      </c>
      <c r="B721" s="32" t="s">
        <v>2555</v>
      </c>
      <c r="C721" s="32">
        <v>0.0</v>
      </c>
      <c r="D721" s="32" t="e">
        <v>#N/A</v>
      </c>
      <c r="E721" s="39"/>
      <c r="F721" s="32" t="e">
        <v>#N/A</v>
      </c>
      <c r="G721" s="39"/>
      <c r="H721" s="32" t="e">
        <v>#N/A</v>
      </c>
      <c r="I721" s="39"/>
      <c r="J721" s="32">
        <v>0.0</v>
      </c>
      <c r="K721" s="33" t="e">
        <v>#N/A</v>
      </c>
      <c r="L721" s="32" t="e">
        <v>#N/A</v>
      </c>
      <c r="M721" s="32" t="e">
        <v>#N/A</v>
      </c>
      <c r="N721" s="32" t="e">
        <v>#N/A</v>
      </c>
      <c r="O721" s="32" t="e">
        <v>#N/A</v>
      </c>
      <c r="P721" s="32" t="e">
        <v>#REF!</v>
      </c>
      <c r="Q721" s="32" t="e">
        <v>#N/A</v>
      </c>
      <c r="R721" s="42" t="e">
        <v>#N/A</v>
      </c>
      <c r="S721" s="42" t="e">
        <v>#N/A</v>
      </c>
      <c r="T721" s="36">
        <v>0.0</v>
      </c>
      <c r="U721" s="36">
        <v>0.0</v>
      </c>
      <c r="V721" s="36">
        <v>0.0</v>
      </c>
      <c r="W721" s="36">
        <v>0.0</v>
      </c>
      <c r="X721" s="36">
        <v>0.0</v>
      </c>
      <c r="Y721" s="36">
        <v>0.0</v>
      </c>
    </row>
    <row r="722">
      <c r="A722" s="32" t="s">
        <v>2558</v>
      </c>
      <c r="B722" s="32" t="s">
        <v>2558</v>
      </c>
      <c r="C722" s="32">
        <v>0.0</v>
      </c>
      <c r="D722" s="32" t="e">
        <v>#N/A</v>
      </c>
      <c r="E722" s="39"/>
      <c r="F722" s="32" t="e">
        <v>#N/A</v>
      </c>
      <c r="G722" s="39"/>
      <c r="H722" s="32" t="e">
        <v>#N/A</v>
      </c>
      <c r="I722" s="39"/>
      <c r="J722" s="32">
        <v>0.0</v>
      </c>
      <c r="K722" s="33" t="e">
        <v>#N/A</v>
      </c>
      <c r="L722" s="32" t="e">
        <v>#N/A</v>
      </c>
      <c r="M722" s="32" t="e">
        <v>#N/A</v>
      </c>
      <c r="N722" s="32" t="e">
        <v>#N/A</v>
      </c>
      <c r="O722" s="32" t="e">
        <v>#N/A</v>
      </c>
      <c r="P722" s="32" t="e">
        <v>#REF!</v>
      </c>
      <c r="Q722" s="32" t="e">
        <v>#N/A</v>
      </c>
      <c r="R722" s="42" t="e">
        <v>#N/A</v>
      </c>
      <c r="S722" s="42" t="e">
        <v>#N/A</v>
      </c>
      <c r="T722" s="36">
        <v>0.0</v>
      </c>
      <c r="U722" s="36">
        <v>0.0</v>
      </c>
      <c r="V722" s="36">
        <v>0.0</v>
      </c>
      <c r="W722" s="36">
        <v>0.0</v>
      </c>
      <c r="X722" s="36">
        <v>0.0</v>
      </c>
      <c r="Y722" s="36">
        <v>0.0</v>
      </c>
    </row>
    <row r="723">
      <c r="A723" s="32" t="s">
        <v>2562</v>
      </c>
      <c r="B723" s="32" t="s">
        <v>2562</v>
      </c>
      <c r="C723" s="32">
        <v>0.0</v>
      </c>
      <c r="D723" s="32" t="e">
        <v>#N/A</v>
      </c>
      <c r="E723" s="39"/>
      <c r="F723" s="32" t="e">
        <v>#N/A</v>
      </c>
      <c r="G723" s="39"/>
      <c r="H723" s="32" t="e">
        <v>#N/A</v>
      </c>
      <c r="I723" s="39"/>
      <c r="J723" s="32">
        <v>0.0</v>
      </c>
      <c r="K723" s="33" t="e">
        <v>#N/A</v>
      </c>
      <c r="L723" s="32" t="e">
        <v>#N/A</v>
      </c>
      <c r="M723" s="32" t="e">
        <v>#N/A</v>
      </c>
      <c r="N723" s="32" t="e">
        <v>#N/A</v>
      </c>
      <c r="O723" s="32" t="e">
        <v>#N/A</v>
      </c>
      <c r="P723" s="32" t="e">
        <v>#REF!</v>
      </c>
      <c r="Q723" s="32" t="e">
        <v>#N/A</v>
      </c>
      <c r="R723" s="42" t="e">
        <v>#N/A</v>
      </c>
      <c r="S723" s="42" t="e">
        <v>#N/A</v>
      </c>
      <c r="T723" s="36">
        <v>0.0</v>
      </c>
      <c r="U723" s="36">
        <v>0.0</v>
      </c>
      <c r="V723" s="36">
        <v>0.0</v>
      </c>
      <c r="W723" s="36">
        <v>0.0</v>
      </c>
      <c r="X723" s="36">
        <v>0.0</v>
      </c>
      <c r="Y723" s="36">
        <v>0.0</v>
      </c>
    </row>
    <row r="724">
      <c r="A724" s="32" t="s">
        <v>2556</v>
      </c>
      <c r="B724" s="32" t="s">
        <v>2556</v>
      </c>
      <c r="C724" s="32">
        <v>0.0</v>
      </c>
      <c r="D724" s="32" t="e">
        <v>#N/A</v>
      </c>
      <c r="E724" s="39"/>
      <c r="F724" s="32" t="e">
        <v>#N/A</v>
      </c>
      <c r="G724" s="39"/>
      <c r="H724" s="32" t="e">
        <v>#N/A</v>
      </c>
      <c r="I724" s="39"/>
      <c r="J724" s="32">
        <v>0.0</v>
      </c>
      <c r="K724" s="33" t="e">
        <v>#N/A</v>
      </c>
      <c r="L724" s="32" t="e">
        <v>#N/A</v>
      </c>
      <c r="M724" s="32" t="e">
        <v>#N/A</v>
      </c>
      <c r="N724" s="32" t="e">
        <v>#N/A</v>
      </c>
      <c r="O724" s="32" t="e">
        <v>#N/A</v>
      </c>
      <c r="P724" s="32" t="e">
        <v>#REF!</v>
      </c>
      <c r="Q724" s="32" t="e">
        <v>#N/A</v>
      </c>
      <c r="R724" s="42" t="e">
        <v>#N/A</v>
      </c>
      <c r="S724" s="42" t="e">
        <v>#N/A</v>
      </c>
      <c r="T724" s="36">
        <v>0.0</v>
      </c>
      <c r="U724" s="36">
        <v>0.0</v>
      </c>
      <c r="V724" s="36">
        <v>0.0</v>
      </c>
      <c r="W724" s="36">
        <v>0.0</v>
      </c>
      <c r="X724" s="36">
        <v>0.0</v>
      </c>
      <c r="Y724" s="36">
        <v>0.0</v>
      </c>
    </row>
    <row r="725">
      <c r="A725" s="32" t="s">
        <v>2559</v>
      </c>
      <c r="B725" s="32" t="s">
        <v>2559</v>
      </c>
      <c r="C725" s="32">
        <v>0.0</v>
      </c>
      <c r="D725" s="32" t="e">
        <v>#N/A</v>
      </c>
      <c r="E725" s="39"/>
      <c r="F725" s="32" t="e">
        <v>#N/A</v>
      </c>
      <c r="G725" s="39"/>
      <c r="H725" s="32" t="e">
        <v>#N/A</v>
      </c>
      <c r="I725" s="39"/>
      <c r="J725" s="32">
        <v>0.0</v>
      </c>
      <c r="K725" s="33" t="e">
        <v>#N/A</v>
      </c>
      <c r="L725" s="32" t="e">
        <v>#N/A</v>
      </c>
      <c r="M725" s="32" t="e">
        <v>#N/A</v>
      </c>
      <c r="N725" s="32" t="e">
        <v>#N/A</v>
      </c>
      <c r="O725" s="32" t="e">
        <v>#N/A</v>
      </c>
      <c r="P725" s="32" t="e">
        <v>#REF!</v>
      </c>
      <c r="Q725" s="32" t="e">
        <v>#N/A</v>
      </c>
      <c r="R725" s="42" t="e">
        <v>#N/A</v>
      </c>
      <c r="S725" s="42" t="e">
        <v>#N/A</v>
      </c>
      <c r="T725" s="36">
        <v>0.0</v>
      </c>
      <c r="U725" s="36">
        <v>0.0</v>
      </c>
      <c r="V725" s="36">
        <v>0.0</v>
      </c>
      <c r="W725" s="36">
        <v>0.0</v>
      </c>
      <c r="X725" s="36">
        <v>0.0</v>
      </c>
      <c r="Y725" s="36">
        <v>0.0</v>
      </c>
    </row>
    <row r="726">
      <c r="A726" s="32" t="s">
        <v>2551</v>
      </c>
      <c r="B726" s="32" t="s">
        <v>2551</v>
      </c>
      <c r="C726" s="32">
        <v>0.0</v>
      </c>
      <c r="D726" s="32" t="e">
        <v>#N/A</v>
      </c>
      <c r="E726" s="39"/>
      <c r="F726" s="32" t="e">
        <v>#N/A</v>
      </c>
      <c r="G726" s="39"/>
      <c r="H726" s="32" t="e">
        <v>#N/A</v>
      </c>
      <c r="I726" s="39"/>
      <c r="J726" s="32">
        <v>0.0</v>
      </c>
      <c r="K726" s="33" t="e">
        <v>#N/A</v>
      </c>
      <c r="L726" s="32" t="e">
        <v>#N/A</v>
      </c>
      <c r="M726" s="32" t="e">
        <v>#N/A</v>
      </c>
      <c r="N726" s="32" t="e">
        <v>#N/A</v>
      </c>
      <c r="O726" s="32" t="e">
        <v>#N/A</v>
      </c>
      <c r="P726" s="32" t="e">
        <v>#REF!</v>
      </c>
      <c r="Q726" s="32" t="e">
        <v>#N/A</v>
      </c>
      <c r="R726" s="42" t="e">
        <v>#N/A</v>
      </c>
      <c r="S726" s="42" t="e">
        <v>#N/A</v>
      </c>
      <c r="T726" s="36">
        <v>0.0</v>
      </c>
      <c r="U726" s="36">
        <v>0.0</v>
      </c>
      <c r="V726" s="36">
        <v>0.0</v>
      </c>
      <c r="W726" s="36">
        <v>0.0</v>
      </c>
      <c r="X726" s="36">
        <v>0.0</v>
      </c>
      <c r="Y726" s="36">
        <v>0.0</v>
      </c>
    </row>
    <row r="727">
      <c r="A727" s="32" t="s">
        <v>2545</v>
      </c>
      <c r="B727" s="32" t="s">
        <v>2545</v>
      </c>
      <c r="C727" s="32">
        <v>0.0</v>
      </c>
      <c r="D727" s="32" t="e">
        <v>#N/A</v>
      </c>
      <c r="E727" s="39"/>
      <c r="F727" s="32" t="e">
        <v>#N/A</v>
      </c>
      <c r="G727" s="39"/>
      <c r="H727" s="32" t="e">
        <v>#N/A</v>
      </c>
      <c r="I727" s="39"/>
      <c r="J727" s="32">
        <v>0.0</v>
      </c>
      <c r="K727" s="33" t="e">
        <v>#N/A</v>
      </c>
      <c r="L727" s="32" t="e">
        <v>#N/A</v>
      </c>
      <c r="M727" s="32" t="e">
        <v>#N/A</v>
      </c>
      <c r="N727" s="32" t="e">
        <v>#N/A</v>
      </c>
      <c r="O727" s="32" t="e">
        <v>#N/A</v>
      </c>
      <c r="P727" s="32" t="e">
        <v>#REF!</v>
      </c>
      <c r="Q727" s="32" t="e">
        <v>#N/A</v>
      </c>
      <c r="R727" s="42" t="e">
        <v>#N/A</v>
      </c>
      <c r="S727" s="42" t="e">
        <v>#N/A</v>
      </c>
      <c r="T727" s="36">
        <v>0.0</v>
      </c>
      <c r="U727" s="36">
        <v>0.0</v>
      </c>
      <c r="V727" s="36">
        <v>0.0</v>
      </c>
      <c r="W727" s="36">
        <v>0.0</v>
      </c>
      <c r="X727" s="36">
        <v>0.0</v>
      </c>
      <c r="Y727" s="36">
        <v>0.0</v>
      </c>
    </row>
    <row r="728">
      <c r="A728" s="32" t="s">
        <v>2548</v>
      </c>
      <c r="B728" s="32" t="s">
        <v>2548</v>
      </c>
      <c r="C728" s="32">
        <v>0.0</v>
      </c>
      <c r="D728" s="32" t="e">
        <v>#N/A</v>
      </c>
      <c r="E728" s="39"/>
      <c r="F728" s="32" t="e">
        <v>#N/A</v>
      </c>
      <c r="G728" s="39"/>
      <c r="H728" s="32" t="e">
        <v>#N/A</v>
      </c>
      <c r="I728" s="39"/>
      <c r="J728" s="32">
        <v>0.0</v>
      </c>
      <c r="K728" s="33" t="e">
        <v>#N/A</v>
      </c>
      <c r="L728" s="32" t="e">
        <v>#N/A</v>
      </c>
      <c r="M728" s="32" t="e">
        <v>#N/A</v>
      </c>
      <c r="N728" s="32" t="e">
        <v>#N/A</v>
      </c>
      <c r="O728" s="32" t="e">
        <v>#N/A</v>
      </c>
      <c r="P728" s="32" t="e">
        <v>#REF!</v>
      </c>
      <c r="Q728" s="32" t="e">
        <v>#N/A</v>
      </c>
      <c r="R728" s="42" t="e">
        <v>#N/A</v>
      </c>
      <c r="S728" s="42" t="e">
        <v>#N/A</v>
      </c>
      <c r="T728" s="36">
        <v>0.0</v>
      </c>
      <c r="U728" s="36">
        <v>0.0</v>
      </c>
      <c r="V728" s="36">
        <v>0.0</v>
      </c>
      <c r="W728" s="36">
        <v>0.0</v>
      </c>
      <c r="X728" s="36">
        <v>0.0</v>
      </c>
      <c r="Y728" s="36">
        <v>0.0</v>
      </c>
    </row>
    <row r="729">
      <c r="A729" s="32" t="s">
        <v>2552</v>
      </c>
      <c r="B729" s="32" t="s">
        <v>2552</v>
      </c>
      <c r="C729" s="32">
        <v>0.0</v>
      </c>
      <c r="D729" s="32" t="e">
        <v>#N/A</v>
      </c>
      <c r="E729" s="39"/>
      <c r="F729" s="32" t="e">
        <v>#N/A</v>
      </c>
      <c r="G729" s="39"/>
      <c r="H729" s="32" t="e">
        <v>#N/A</v>
      </c>
      <c r="I729" s="39"/>
      <c r="J729" s="32">
        <v>0.0</v>
      </c>
      <c r="K729" s="33" t="e">
        <v>#N/A</v>
      </c>
      <c r="L729" s="32" t="e">
        <v>#N/A</v>
      </c>
      <c r="M729" s="32" t="e">
        <v>#N/A</v>
      </c>
      <c r="N729" s="32" t="e">
        <v>#N/A</v>
      </c>
      <c r="O729" s="32" t="e">
        <v>#N/A</v>
      </c>
      <c r="P729" s="32" t="e">
        <v>#REF!</v>
      </c>
      <c r="Q729" s="32" t="e">
        <v>#N/A</v>
      </c>
      <c r="R729" s="42" t="e">
        <v>#N/A</v>
      </c>
      <c r="S729" s="42" t="e">
        <v>#N/A</v>
      </c>
      <c r="T729" s="36">
        <v>0.0</v>
      </c>
      <c r="U729" s="36">
        <v>0.0</v>
      </c>
      <c r="V729" s="36">
        <v>0.0</v>
      </c>
      <c r="W729" s="36">
        <v>0.0</v>
      </c>
      <c r="X729" s="36">
        <v>0.0</v>
      </c>
      <c r="Y729" s="36">
        <v>0.0</v>
      </c>
    </row>
    <row r="730">
      <c r="A730" s="32" t="s">
        <v>2546</v>
      </c>
      <c r="B730" s="32" t="s">
        <v>2546</v>
      </c>
      <c r="C730" s="32">
        <v>0.0</v>
      </c>
      <c r="D730" s="32" t="e">
        <v>#N/A</v>
      </c>
      <c r="E730" s="39"/>
      <c r="F730" s="32" t="e">
        <v>#N/A</v>
      </c>
      <c r="G730" s="39"/>
      <c r="H730" s="32" t="e">
        <v>#N/A</v>
      </c>
      <c r="I730" s="39"/>
      <c r="J730" s="32">
        <v>0.0</v>
      </c>
      <c r="K730" s="33" t="e">
        <v>#N/A</v>
      </c>
      <c r="L730" s="32" t="e">
        <v>#N/A</v>
      </c>
      <c r="M730" s="32" t="e">
        <v>#N/A</v>
      </c>
      <c r="N730" s="32" t="e">
        <v>#N/A</v>
      </c>
      <c r="O730" s="32" t="e">
        <v>#N/A</v>
      </c>
      <c r="P730" s="32" t="e">
        <v>#REF!</v>
      </c>
      <c r="Q730" s="32" t="e">
        <v>#N/A</v>
      </c>
      <c r="R730" s="42" t="e">
        <v>#N/A</v>
      </c>
      <c r="S730" s="42" t="e">
        <v>#N/A</v>
      </c>
      <c r="T730" s="36">
        <v>0.0</v>
      </c>
      <c r="U730" s="36">
        <v>0.0</v>
      </c>
      <c r="V730" s="36">
        <v>0.0</v>
      </c>
      <c r="W730" s="36">
        <v>0.0</v>
      </c>
      <c r="X730" s="36">
        <v>0.0</v>
      </c>
      <c r="Y730" s="36">
        <v>0.0</v>
      </c>
    </row>
    <row r="731">
      <c r="A731" s="32" t="s">
        <v>2549</v>
      </c>
      <c r="B731" s="32" t="s">
        <v>2549</v>
      </c>
      <c r="C731" s="32">
        <v>0.0</v>
      </c>
      <c r="D731" s="32" t="e">
        <v>#N/A</v>
      </c>
      <c r="E731" s="39"/>
      <c r="F731" s="32" t="e">
        <v>#N/A</v>
      </c>
      <c r="G731" s="39"/>
      <c r="H731" s="32" t="e">
        <v>#N/A</v>
      </c>
      <c r="I731" s="39"/>
      <c r="J731" s="32">
        <v>0.0</v>
      </c>
      <c r="K731" s="33" t="e">
        <v>#N/A</v>
      </c>
      <c r="L731" s="32" t="e">
        <v>#N/A</v>
      </c>
      <c r="M731" s="32" t="e">
        <v>#N/A</v>
      </c>
      <c r="N731" s="32" t="e">
        <v>#N/A</v>
      </c>
      <c r="O731" s="32" t="e">
        <v>#N/A</v>
      </c>
      <c r="P731" s="32" t="e">
        <v>#REF!</v>
      </c>
      <c r="Q731" s="32" t="e">
        <v>#N/A</v>
      </c>
      <c r="R731" s="42" t="e">
        <v>#N/A</v>
      </c>
      <c r="S731" s="42" t="e">
        <v>#N/A</v>
      </c>
      <c r="T731" s="36">
        <v>0.0</v>
      </c>
      <c r="U731" s="36">
        <v>0.0</v>
      </c>
      <c r="V731" s="36">
        <v>0.0</v>
      </c>
      <c r="W731" s="36">
        <v>0.0</v>
      </c>
      <c r="X731" s="36">
        <v>0.0</v>
      </c>
      <c r="Y731" s="36">
        <v>0.0</v>
      </c>
    </row>
    <row r="732">
      <c r="A732" s="32" t="s">
        <v>2553</v>
      </c>
      <c r="B732" s="32" t="s">
        <v>2553</v>
      </c>
      <c r="C732" s="32">
        <v>0.0</v>
      </c>
      <c r="D732" s="32" t="e">
        <v>#N/A</v>
      </c>
      <c r="E732" s="39"/>
      <c r="F732" s="32" t="e">
        <v>#N/A</v>
      </c>
      <c r="G732" s="39"/>
      <c r="H732" s="32" t="e">
        <v>#N/A</v>
      </c>
      <c r="I732" s="39"/>
      <c r="J732" s="32">
        <v>0.0</v>
      </c>
      <c r="K732" s="33" t="e">
        <v>#N/A</v>
      </c>
      <c r="L732" s="32" t="e">
        <v>#N/A</v>
      </c>
      <c r="M732" s="32" t="e">
        <v>#N/A</v>
      </c>
      <c r="N732" s="32" t="e">
        <v>#N/A</v>
      </c>
      <c r="O732" s="32" t="e">
        <v>#N/A</v>
      </c>
      <c r="P732" s="32" t="e">
        <v>#REF!</v>
      </c>
      <c r="Q732" s="32" t="e">
        <v>#N/A</v>
      </c>
      <c r="R732" s="42" t="e">
        <v>#N/A</v>
      </c>
      <c r="S732" s="42" t="e">
        <v>#N/A</v>
      </c>
      <c r="T732" s="36">
        <v>0.0</v>
      </c>
      <c r="U732" s="36">
        <v>0.0</v>
      </c>
      <c r="V732" s="36">
        <v>0.0</v>
      </c>
      <c r="W732" s="36">
        <v>0.0</v>
      </c>
      <c r="X732" s="36">
        <v>0.0</v>
      </c>
      <c r="Y732" s="36">
        <v>0.0</v>
      </c>
    </row>
    <row r="733">
      <c r="A733" s="32" t="s">
        <v>2547</v>
      </c>
      <c r="B733" s="32" t="s">
        <v>2547</v>
      </c>
      <c r="C733" s="32">
        <v>0.0</v>
      </c>
      <c r="D733" s="32" t="e">
        <v>#N/A</v>
      </c>
      <c r="E733" s="39"/>
      <c r="F733" s="32" t="e">
        <v>#N/A</v>
      </c>
      <c r="G733" s="39"/>
      <c r="H733" s="32" t="e">
        <v>#N/A</v>
      </c>
      <c r="I733" s="39"/>
      <c r="J733" s="32">
        <v>0.0</v>
      </c>
      <c r="K733" s="33" t="e">
        <v>#N/A</v>
      </c>
      <c r="L733" s="32" t="e">
        <v>#N/A</v>
      </c>
      <c r="M733" s="32" t="e">
        <v>#N/A</v>
      </c>
      <c r="N733" s="32" t="e">
        <v>#N/A</v>
      </c>
      <c r="O733" s="32" t="e">
        <v>#N/A</v>
      </c>
      <c r="P733" s="32" t="e">
        <v>#REF!</v>
      </c>
      <c r="Q733" s="32" t="e">
        <v>#N/A</v>
      </c>
      <c r="R733" s="42" t="e">
        <v>#N/A</v>
      </c>
      <c r="S733" s="42" t="e">
        <v>#N/A</v>
      </c>
      <c r="T733" s="36">
        <v>0.0</v>
      </c>
      <c r="U733" s="36">
        <v>0.0</v>
      </c>
      <c r="V733" s="36">
        <v>0.0</v>
      </c>
      <c r="W733" s="36">
        <v>0.0</v>
      </c>
      <c r="X733" s="36">
        <v>0.0</v>
      </c>
      <c r="Y733" s="36">
        <v>0.0</v>
      </c>
    </row>
    <row r="734">
      <c r="A734" s="32" t="s">
        <v>2550</v>
      </c>
      <c r="B734" s="32" t="s">
        <v>2550</v>
      </c>
      <c r="C734" s="32">
        <v>0.0</v>
      </c>
      <c r="D734" s="32" t="e">
        <v>#N/A</v>
      </c>
      <c r="E734" s="39"/>
      <c r="F734" s="32" t="e">
        <v>#N/A</v>
      </c>
      <c r="G734" s="39"/>
      <c r="H734" s="32" t="e">
        <v>#N/A</v>
      </c>
      <c r="I734" s="39"/>
      <c r="J734" s="32">
        <v>0.0</v>
      </c>
      <c r="K734" s="33" t="e">
        <v>#N/A</v>
      </c>
      <c r="L734" s="32" t="e">
        <v>#N/A</v>
      </c>
      <c r="M734" s="32" t="e">
        <v>#N/A</v>
      </c>
      <c r="N734" s="32" t="e">
        <v>#N/A</v>
      </c>
      <c r="O734" s="32" t="e">
        <v>#N/A</v>
      </c>
      <c r="P734" s="32" t="e">
        <v>#REF!</v>
      </c>
      <c r="Q734" s="32" t="e">
        <v>#N/A</v>
      </c>
      <c r="R734" s="42" t="e">
        <v>#N/A</v>
      </c>
      <c r="S734" s="42" t="e">
        <v>#N/A</v>
      </c>
      <c r="T734" s="36">
        <v>0.0</v>
      </c>
      <c r="U734" s="36">
        <v>0.0</v>
      </c>
      <c r="V734" s="36">
        <v>0.0</v>
      </c>
      <c r="W734" s="36">
        <v>0.0</v>
      </c>
      <c r="X734" s="36">
        <v>0.0</v>
      </c>
      <c r="Y734" s="36">
        <v>0.0</v>
      </c>
    </row>
    <row r="735">
      <c r="A735" s="32" t="s">
        <v>2533</v>
      </c>
      <c r="B735" s="32" t="s">
        <v>2533</v>
      </c>
      <c r="C735" s="32">
        <v>0.0</v>
      </c>
      <c r="D735" s="32" t="e">
        <v>#N/A</v>
      </c>
      <c r="E735" s="39"/>
      <c r="F735" s="32" t="e">
        <v>#N/A</v>
      </c>
      <c r="G735" s="39"/>
      <c r="H735" s="32" t="e">
        <v>#N/A</v>
      </c>
      <c r="I735" s="39"/>
      <c r="J735" s="32">
        <v>0.0</v>
      </c>
      <c r="K735" s="33" t="e">
        <v>#N/A</v>
      </c>
      <c r="L735" s="32" t="e">
        <v>#N/A</v>
      </c>
      <c r="M735" s="32" t="e">
        <v>#N/A</v>
      </c>
      <c r="N735" s="32" t="e">
        <v>#N/A</v>
      </c>
      <c r="O735" s="32" t="e">
        <v>#N/A</v>
      </c>
      <c r="P735" s="32" t="e">
        <v>#REF!</v>
      </c>
      <c r="Q735" s="32" t="e">
        <v>#N/A</v>
      </c>
      <c r="R735" s="42" t="e">
        <v>#N/A</v>
      </c>
      <c r="S735" s="42" t="e">
        <v>#N/A</v>
      </c>
      <c r="T735" s="36">
        <v>0.0</v>
      </c>
      <c r="U735" s="36">
        <v>0.0</v>
      </c>
      <c r="V735" s="36">
        <v>0.0</v>
      </c>
      <c r="W735" s="36">
        <v>0.0</v>
      </c>
      <c r="X735" s="36">
        <v>0.0</v>
      </c>
      <c r="Y735" s="36">
        <v>0.0</v>
      </c>
    </row>
    <row r="736">
      <c r="A736" s="32" t="s">
        <v>2527</v>
      </c>
      <c r="B736" s="32" t="s">
        <v>2527</v>
      </c>
      <c r="C736" s="32">
        <v>0.0</v>
      </c>
      <c r="D736" s="32" t="e">
        <v>#N/A</v>
      </c>
      <c r="E736" s="39"/>
      <c r="F736" s="32" t="e">
        <v>#N/A</v>
      </c>
      <c r="G736" s="39"/>
      <c r="H736" s="32" t="e">
        <v>#N/A</v>
      </c>
      <c r="I736" s="39"/>
      <c r="J736" s="32">
        <v>0.0</v>
      </c>
      <c r="K736" s="33" t="e">
        <v>#N/A</v>
      </c>
      <c r="L736" s="32" t="e">
        <v>#N/A</v>
      </c>
      <c r="M736" s="32" t="e">
        <v>#N/A</v>
      </c>
      <c r="N736" s="32" t="e">
        <v>#N/A</v>
      </c>
      <c r="O736" s="32" t="e">
        <v>#N/A</v>
      </c>
      <c r="P736" s="32" t="e">
        <v>#REF!</v>
      </c>
      <c r="Q736" s="32" t="e">
        <v>#N/A</v>
      </c>
      <c r="R736" s="42" t="e">
        <v>#N/A</v>
      </c>
      <c r="S736" s="42" t="e">
        <v>#N/A</v>
      </c>
      <c r="T736" s="36">
        <v>0.0</v>
      </c>
      <c r="U736" s="36">
        <v>0.0</v>
      </c>
      <c r="V736" s="36">
        <v>0.0</v>
      </c>
      <c r="W736" s="36">
        <v>0.0</v>
      </c>
      <c r="X736" s="36">
        <v>0.0</v>
      </c>
      <c r="Y736" s="36">
        <v>0.0</v>
      </c>
    </row>
    <row r="737">
      <c r="A737" s="32" t="s">
        <v>2530</v>
      </c>
      <c r="B737" s="32" t="s">
        <v>2530</v>
      </c>
      <c r="C737" s="32">
        <v>0.0</v>
      </c>
      <c r="D737" s="32" t="e">
        <v>#N/A</v>
      </c>
      <c r="E737" s="39"/>
      <c r="F737" s="32" t="e">
        <v>#N/A</v>
      </c>
      <c r="G737" s="39"/>
      <c r="H737" s="32" t="e">
        <v>#N/A</v>
      </c>
      <c r="I737" s="39"/>
      <c r="J737" s="32">
        <v>0.0</v>
      </c>
      <c r="K737" s="33" t="e">
        <v>#N/A</v>
      </c>
      <c r="L737" s="32" t="e">
        <v>#N/A</v>
      </c>
      <c r="M737" s="32" t="e">
        <v>#N/A</v>
      </c>
      <c r="N737" s="32" t="e">
        <v>#N/A</v>
      </c>
      <c r="O737" s="32" t="e">
        <v>#N/A</v>
      </c>
      <c r="P737" s="32" t="e">
        <v>#REF!</v>
      </c>
      <c r="Q737" s="32" t="e">
        <v>#N/A</v>
      </c>
      <c r="R737" s="42" t="e">
        <v>#N/A</v>
      </c>
      <c r="S737" s="42" t="e">
        <v>#N/A</v>
      </c>
      <c r="T737" s="36">
        <v>0.0</v>
      </c>
      <c r="U737" s="36">
        <v>0.0</v>
      </c>
      <c r="V737" s="36">
        <v>0.0</v>
      </c>
      <c r="W737" s="36">
        <v>0.0</v>
      </c>
      <c r="X737" s="36">
        <v>0.0</v>
      </c>
      <c r="Y737" s="36">
        <v>0.0</v>
      </c>
    </row>
    <row r="738">
      <c r="A738" s="32" t="s">
        <v>2534</v>
      </c>
      <c r="B738" s="32" t="s">
        <v>2534</v>
      </c>
      <c r="C738" s="32">
        <v>0.0</v>
      </c>
      <c r="D738" s="32" t="e">
        <v>#N/A</v>
      </c>
      <c r="E738" s="39"/>
      <c r="F738" s="32" t="e">
        <v>#N/A</v>
      </c>
      <c r="G738" s="39"/>
      <c r="H738" s="32" t="e">
        <v>#N/A</v>
      </c>
      <c r="I738" s="39"/>
      <c r="J738" s="32">
        <v>0.0</v>
      </c>
      <c r="K738" s="33" t="e">
        <v>#N/A</v>
      </c>
      <c r="L738" s="32" t="e">
        <v>#N/A</v>
      </c>
      <c r="M738" s="32" t="e">
        <v>#N/A</v>
      </c>
      <c r="N738" s="32" t="e">
        <v>#N/A</v>
      </c>
      <c r="O738" s="32" t="e">
        <v>#N/A</v>
      </c>
      <c r="P738" s="32" t="e">
        <v>#REF!</v>
      </c>
      <c r="Q738" s="32" t="e">
        <v>#N/A</v>
      </c>
      <c r="R738" s="42" t="e">
        <v>#N/A</v>
      </c>
      <c r="S738" s="42" t="e">
        <v>#N/A</v>
      </c>
      <c r="T738" s="36">
        <v>0.0</v>
      </c>
      <c r="U738" s="36">
        <v>0.0</v>
      </c>
      <c r="V738" s="36">
        <v>0.0</v>
      </c>
      <c r="W738" s="36">
        <v>0.0</v>
      </c>
      <c r="X738" s="36">
        <v>0.0</v>
      </c>
      <c r="Y738" s="36">
        <v>0.0</v>
      </c>
    </row>
    <row r="739">
      <c r="A739" s="32" t="s">
        <v>2528</v>
      </c>
      <c r="B739" s="32" t="s">
        <v>2528</v>
      </c>
      <c r="C739" s="32">
        <v>0.0</v>
      </c>
      <c r="D739" s="32" t="e">
        <v>#N/A</v>
      </c>
      <c r="E739" s="39"/>
      <c r="F739" s="32" t="e">
        <v>#N/A</v>
      </c>
      <c r="G739" s="39"/>
      <c r="H739" s="32" t="e">
        <v>#N/A</v>
      </c>
      <c r="I739" s="39"/>
      <c r="J739" s="32">
        <v>0.0</v>
      </c>
      <c r="K739" s="33" t="e">
        <v>#N/A</v>
      </c>
      <c r="L739" s="32" t="e">
        <v>#N/A</v>
      </c>
      <c r="M739" s="32" t="e">
        <v>#N/A</v>
      </c>
      <c r="N739" s="32" t="e">
        <v>#N/A</v>
      </c>
      <c r="O739" s="32" t="e">
        <v>#N/A</v>
      </c>
      <c r="P739" s="32" t="e">
        <v>#REF!</v>
      </c>
      <c r="Q739" s="32" t="e">
        <v>#N/A</v>
      </c>
      <c r="R739" s="42" t="e">
        <v>#N/A</v>
      </c>
      <c r="S739" s="42" t="e">
        <v>#N/A</v>
      </c>
      <c r="T739" s="36">
        <v>0.0</v>
      </c>
      <c r="U739" s="36">
        <v>0.0</v>
      </c>
      <c r="V739" s="36">
        <v>0.0</v>
      </c>
      <c r="W739" s="36">
        <v>0.0</v>
      </c>
      <c r="X739" s="36">
        <v>0.0</v>
      </c>
      <c r="Y739" s="36">
        <v>0.0</v>
      </c>
    </row>
    <row r="740">
      <c r="A740" s="32" t="s">
        <v>2531</v>
      </c>
      <c r="B740" s="32" t="s">
        <v>2531</v>
      </c>
      <c r="C740" s="32">
        <v>0.0</v>
      </c>
      <c r="D740" s="32" t="e">
        <v>#N/A</v>
      </c>
      <c r="E740" s="39"/>
      <c r="F740" s="32" t="e">
        <v>#N/A</v>
      </c>
      <c r="G740" s="39"/>
      <c r="H740" s="32" t="e">
        <v>#N/A</v>
      </c>
      <c r="I740" s="39"/>
      <c r="J740" s="32">
        <v>0.0</v>
      </c>
      <c r="K740" s="33" t="e">
        <v>#N/A</v>
      </c>
      <c r="L740" s="32" t="e">
        <v>#N/A</v>
      </c>
      <c r="M740" s="32" t="e">
        <v>#N/A</v>
      </c>
      <c r="N740" s="32" t="e">
        <v>#N/A</v>
      </c>
      <c r="O740" s="32" t="e">
        <v>#N/A</v>
      </c>
      <c r="P740" s="32" t="e">
        <v>#REF!</v>
      </c>
      <c r="Q740" s="32" t="e">
        <v>#N/A</v>
      </c>
      <c r="R740" s="42" t="e">
        <v>#N/A</v>
      </c>
      <c r="S740" s="42" t="e">
        <v>#N/A</v>
      </c>
      <c r="T740" s="36">
        <v>0.0</v>
      </c>
      <c r="U740" s="36">
        <v>0.0</v>
      </c>
      <c r="V740" s="36">
        <v>0.0</v>
      </c>
      <c r="W740" s="36">
        <v>0.0</v>
      </c>
      <c r="X740" s="36">
        <v>0.0</v>
      </c>
      <c r="Y740" s="36">
        <v>0.0</v>
      </c>
    </row>
    <row r="741">
      <c r="A741" s="32" t="s">
        <v>2535</v>
      </c>
      <c r="B741" s="32" t="s">
        <v>2535</v>
      </c>
      <c r="C741" s="32">
        <v>0.0</v>
      </c>
      <c r="D741" s="32" t="e">
        <v>#N/A</v>
      </c>
      <c r="E741" s="39"/>
      <c r="F741" s="32" t="e">
        <v>#N/A</v>
      </c>
      <c r="G741" s="39"/>
      <c r="H741" s="32" t="e">
        <v>#N/A</v>
      </c>
      <c r="I741" s="39"/>
      <c r="J741" s="32">
        <v>0.0</v>
      </c>
      <c r="K741" s="33" t="e">
        <v>#N/A</v>
      </c>
      <c r="L741" s="32" t="e">
        <v>#N/A</v>
      </c>
      <c r="M741" s="32" t="e">
        <v>#N/A</v>
      </c>
      <c r="N741" s="32" t="e">
        <v>#N/A</v>
      </c>
      <c r="O741" s="32" t="e">
        <v>#N/A</v>
      </c>
      <c r="P741" s="32" t="e">
        <v>#REF!</v>
      </c>
      <c r="Q741" s="32" t="e">
        <v>#N/A</v>
      </c>
      <c r="R741" s="42" t="e">
        <v>#N/A</v>
      </c>
      <c r="S741" s="42" t="e">
        <v>#N/A</v>
      </c>
      <c r="T741" s="36">
        <v>0.0</v>
      </c>
      <c r="U741" s="36">
        <v>0.0</v>
      </c>
      <c r="V741" s="36">
        <v>0.0</v>
      </c>
      <c r="W741" s="36">
        <v>0.0</v>
      </c>
      <c r="X741" s="36">
        <v>0.0</v>
      </c>
      <c r="Y741" s="36">
        <v>0.0</v>
      </c>
    </row>
    <row r="742">
      <c r="A742" s="32" t="s">
        <v>2529</v>
      </c>
      <c r="B742" s="32" t="s">
        <v>2529</v>
      </c>
      <c r="C742" s="32">
        <v>0.0</v>
      </c>
      <c r="D742" s="32" t="e">
        <v>#N/A</v>
      </c>
      <c r="E742" s="39"/>
      <c r="F742" s="32" t="e">
        <v>#N/A</v>
      </c>
      <c r="G742" s="39"/>
      <c r="H742" s="32" t="e">
        <v>#N/A</v>
      </c>
      <c r="I742" s="39"/>
      <c r="J742" s="32">
        <v>0.0</v>
      </c>
      <c r="K742" s="33" t="e">
        <v>#N/A</v>
      </c>
      <c r="L742" s="32" t="e">
        <v>#N/A</v>
      </c>
      <c r="M742" s="32" t="e">
        <v>#N/A</v>
      </c>
      <c r="N742" s="32" t="e">
        <v>#N/A</v>
      </c>
      <c r="O742" s="32" t="e">
        <v>#N/A</v>
      </c>
      <c r="P742" s="32" t="e">
        <v>#REF!</v>
      </c>
      <c r="Q742" s="32" t="e">
        <v>#N/A</v>
      </c>
      <c r="R742" s="42" t="e">
        <v>#N/A</v>
      </c>
      <c r="S742" s="42" t="e">
        <v>#N/A</v>
      </c>
      <c r="T742" s="36">
        <v>0.0</v>
      </c>
      <c r="U742" s="36">
        <v>0.0</v>
      </c>
      <c r="V742" s="36">
        <v>0.0</v>
      </c>
      <c r="W742" s="36">
        <v>0.0</v>
      </c>
      <c r="X742" s="36">
        <v>0.0</v>
      </c>
      <c r="Y742" s="36">
        <v>0.0</v>
      </c>
    </row>
    <row r="743">
      <c r="A743" s="32" t="s">
        <v>2532</v>
      </c>
      <c r="B743" s="32" t="s">
        <v>2532</v>
      </c>
      <c r="C743" s="32">
        <v>0.0</v>
      </c>
      <c r="D743" s="32" t="e">
        <v>#N/A</v>
      </c>
      <c r="E743" s="39"/>
      <c r="F743" s="32" t="e">
        <v>#N/A</v>
      </c>
      <c r="G743" s="39"/>
      <c r="H743" s="32" t="e">
        <v>#N/A</v>
      </c>
      <c r="I743" s="39"/>
      <c r="J743" s="32">
        <v>0.0</v>
      </c>
      <c r="K743" s="33" t="e">
        <v>#N/A</v>
      </c>
      <c r="L743" s="32" t="e">
        <v>#N/A</v>
      </c>
      <c r="M743" s="32" t="e">
        <v>#N/A</v>
      </c>
      <c r="N743" s="32" t="e">
        <v>#N/A</v>
      </c>
      <c r="O743" s="32" t="e">
        <v>#N/A</v>
      </c>
      <c r="P743" s="32" t="e">
        <v>#REF!</v>
      </c>
      <c r="Q743" s="32" t="e">
        <v>#N/A</v>
      </c>
      <c r="R743" s="42" t="e">
        <v>#N/A</v>
      </c>
      <c r="S743" s="42" t="e">
        <v>#N/A</v>
      </c>
      <c r="T743" s="36">
        <v>0.0</v>
      </c>
      <c r="U743" s="36">
        <v>0.0</v>
      </c>
      <c r="V743" s="36">
        <v>0.0</v>
      </c>
      <c r="W743" s="36">
        <v>0.0</v>
      </c>
      <c r="X743" s="36">
        <v>0.0</v>
      </c>
      <c r="Y743" s="36">
        <v>0.0</v>
      </c>
    </row>
    <row r="744">
      <c r="A744" s="32" t="s">
        <v>790</v>
      </c>
      <c r="B744" s="32" t="s">
        <v>790</v>
      </c>
      <c r="C744" s="32">
        <v>0.0</v>
      </c>
      <c r="D744" s="32" t="e">
        <v>#N/A</v>
      </c>
      <c r="E744" s="39"/>
      <c r="F744" s="32" t="e">
        <v>#N/A</v>
      </c>
      <c r="G744" s="39"/>
      <c r="H744" s="32" t="e">
        <v>#N/A</v>
      </c>
      <c r="I744" s="39"/>
      <c r="J744" s="32">
        <v>0.0</v>
      </c>
      <c r="K744" s="33" t="e">
        <v>#N/A</v>
      </c>
      <c r="L744" s="32" t="e">
        <v>#N/A</v>
      </c>
      <c r="M744" s="32" t="e">
        <v>#N/A</v>
      </c>
      <c r="N744" s="33" t="s">
        <v>51</v>
      </c>
      <c r="O744" s="33" t="s">
        <v>52</v>
      </c>
      <c r="P744" s="32" t="e">
        <v>#REF!</v>
      </c>
      <c r="Q744" s="32" t="e">
        <v>#N/A</v>
      </c>
      <c r="R744" s="42" t="e">
        <v>#N/A</v>
      </c>
      <c r="S744" s="42" t="e">
        <v>#N/A</v>
      </c>
      <c r="T744" s="36">
        <v>0.0</v>
      </c>
      <c r="U744" s="36">
        <v>0.0</v>
      </c>
      <c r="V744" s="36">
        <v>0.0</v>
      </c>
      <c r="W744" s="36">
        <v>0.0</v>
      </c>
      <c r="X744" s="36">
        <v>0.0</v>
      </c>
      <c r="Y744" s="36">
        <v>0.0</v>
      </c>
    </row>
    <row r="745">
      <c r="A745" s="32" t="s">
        <v>791</v>
      </c>
      <c r="B745" s="32" t="s">
        <v>791</v>
      </c>
      <c r="C745" s="32">
        <v>0.0</v>
      </c>
      <c r="D745" s="32" t="e">
        <v>#N/A</v>
      </c>
      <c r="E745" s="39"/>
      <c r="F745" s="32" t="e">
        <v>#N/A</v>
      </c>
      <c r="G745" s="39"/>
      <c r="H745" s="32" t="e">
        <v>#N/A</v>
      </c>
      <c r="I745" s="39"/>
      <c r="J745" s="32">
        <v>0.0</v>
      </c>
      <c r="K745" s="33" t="e">
        <v>#N/A</v>
      </c>
      <c r="L745" s="32" t="e">
        <v>#N/A</v>
      </c>
      <c r="M745" s="32" t="e">
        <v>#N/A</v>
      </c>
      <c r="N745" s="33" t="s">
        <v>51</v>
      </c>
      <c r="O745" s="33" t="s">
        <v>52</v>
      </c>
      <c r="P745" s="32" t="e">
        <v>#REF!</v>
      </c>
      <c r="Q745" s="32" t="e">
        <v>#N/A</v>
      </c>
      <c r="R745" s="42" t="e">
        <v>#N/A</v>
      </c>
      <c r="S745" s="42" t="e">
        <v>#N/A</v>
      </c>
      <c r="T745" s="36">
        <v>0.0</v>
      </c>
      <c r="U745" s="36">
        <v>0.0</v>
      </c>
      <c r="V745" s="36">
        <v>0.0</v>
      </c>
      <c r="W745" s="36">
        <v>0.0</v>
      </c>
      <c r="X745" s="36">
        <v>0.0</v>
      </c>
      <c r="Y745" s="36">
        <v>0.0</v>
      </c>
    </row>
    <row r="746">
      <c r="A746" s="32" t="s">
        <v>789</v>
      </c>
      <c r="B746" s="32" t="s">
        <v>789</v>
      </c>
      <c r="C746" s="32">
        <v>0.0</v>
      </c>
      <c r="D746" s="32" t="e">
        <v>#N/A</v>
      </c>
      <c r="E746" s="39"/>
      <c r="F746" s="32" t="e">
        <v>#N/A</v>
      </c>
      <c r="G746" s="39"/>
      <c r="H746" s="32" t="e">
        <v>#N/A</v>
      </c>
      <c r="I746" s="39"/>
      <c r="J746" s="32">
        <v>0.0</v>
      </c>
      <c r="K746" s="33" t="e">
        <v>#N/A</v>
      </c>
      <c r="L746" s="32" t="e">
        <v>#N/A</v>
      </c>
      <c r="M746" s="32" t="e">
        <v>#N/A</v>
      </c>
      <c r="N746" s="33" t="s">
        <v>51</v>
      </c>
      <c r="O746" s="33" t="s">
        <v>52</v>
      </c>
      <c r="P746" s="32" t="e">
        <v>#REF!</v>
      </c>
      <c r="Q746" s="32" t="e">
        <v>#N/A</v>
      </c>
      <c r="R746" s="42" t="e">
        <v>#N/A</v>
      </c>
      <c r="S746" s="42" t="e">
        <v>#N/A</v>
      </c>
      <c r="T746" s="36">
        <v>0.0</v>
      </c>
      <c r="U746" s="36">
        <v>0.0</v>
      </c>
      <c r="V746" s="36">
        <v>0.0</v>
      </c>
      <c r="W746" s="36">
        <v>0.0</v>
      </c>
      <c r="X746" s="36">
        <v>0.0</v>
      </c>
      <c r="Y746" s="36">
        <v>0.0</v>
      </c>
    </row>
    <row r="747">
      <c r="A747" s="32" t="s">
        <v>793</v>
      </c>
      <c r="B747" s="32" t="s">
        <v>793</v>
      </c>
      <c r="C747" s="32">
        <v>0.0</v>
      </c>
      <c r="D747" s="32" t="e">
        <v>#N/A</v>
      </c>
      <c r="E747" s="39"/>
      <c r="F747" s="32" t="e">
        <v>#N/A</v>
      </c>
      <c r="G747" s="39"/>
      <c r="H747" s="32" t="e">
        <v>#N/A</v>
      </c>
      <c r="I747" s="39"/>
      <c r="J747" s="32">
        <v>0.0</v>
      </c>
      <c r="K747" s="33" t="e">
        <v>#N/A</v>
      </c>
      <c r="L747" s="32" t="e">
        <v>#N/A</v>
      </c>
      <c r="M747" s="32" t="e">
        <v>#N/A</v>
      </c>
      <c r="N747" s="33" t="s">
        <v>51</v>
      </c>
      <c r="O747" s="33" t="s">
        <v>52</v>
      </c>
      <c r="P747" s="32" t="e">
        <v>#REF!</v>
      </c>
      <c r="Q747" s="32" t="e">
        <v>#N/A</v>
      </c>
      <c r="R747" s="42" t="e">
        <v>#N/A</v>
      </c>
      <c r="S747" s="42" t="e">
        <v>#N/A</v>
      </c>
      <c r="T747" s="36">
        <v>0.0</v>
      </c>
      <c r="U747" s="36">
        <v>0.0</v>
      </c>
      <c r="V747" s="36">
        <v>0.0</v>
      </c>
      <c r="W747" s="36">
        <v>0.0</v>
      </c>
      <c r="X747" s="36">
        <v>0.0</v>
      </c>
      <c r="Y747" s="36">
        <v>0.0</v>
      </c>
    </row>
    <row r="748">
      <c r="A748" s="32" t="s">
        <v>794</v>
      </c>
      <c r="B748" s="32" t="s">
        <v>794</v>
      </c>
      <c r="C748" s="32">
        <v>0.0</v>
      </c>
      <c r="D748" s="32" t="e">
        <v>#N/A</v>
      </c>
      <c r="E748" s="39"/>
      <c r="F748" s="32" t="e">
        <v>#N/A</v>
      </c>
      <c r="G748" s="39"/>
      <c r="H748" s="32" t="e">
        <v>#N/A</v>
      </c>
      <c r="I748" s="39"/>
      <c r="J748" s="32">
        <v>0.0</v>
      </c>
      <c r="K748" s="33" t="e">
        <v>#N/A</v>
      </c>
      <c r="L748" s="32" t="e">
        <v>#N/A</v>
      </c>
      <c r="M748" s="32" t="e">
        <v>#N/A</v>
      </c>
      <c r="N748" s="33" t="s">
        <v>51</v>
      </c>
      <c r="O748" s="33" t="s">
        <v>52</v>
      </c>
      <c r="P748" s="32" t="e">
        <v>#REF!</v>
      </c>
      <c r="Q748" s="32" t="e">
        <v>#N/A</v>
      </c>
      <c r="R748" s="42" t="e">
        <v>#N/A</v>
      </c>
      <c r="S748" s="42" t="e">
        <v>#N/A</v>
      </c>
      <c r="T748" s="36">
        <v>0.0</v>
      </c>
      <c r="U748" s="36">
        <v>0.0</v>
      </c>
      <c r="V748" s="36">
        <v>0.0</v>
      </c>
      <c r="W748" s="36">
        <v>0.0</v>
      </c>
      <c r="X748" s="36">
        <v>0.0</v>
      </c>
      <c r="Y748" s="36">
        <v>0.0</v>
      </c>
    </row>
    <row r="749">
      <c r="A749" s="32" t="s">
        <v>792</v>
      </c>
      <c r="B749" s="32" t="s">
        <v>792</v>
      </c>
      <c r="C749" s="32">
        <v>0.0</v>
      </c>
      <c r="D749" s="32" t="e">
        <v>#N/A</v>
      </c>
      <c r="E749" s="39"/>
      <c r="F749" s="32" t="e">
        <v>#N/A</v>
      </c>
      <c r="G749" s="39"/>
      <c r="H749" s="32" t="e">
        <v>#N/A</v>
      </c>
      <c r="I749" s="39"/>
      <c r="J749" s="32">
        <v>0.0</v>
      </c>
      <c r="K749" s="33" t="e">
        <v>#N/A</v>
      </c>
      <c r="L749" s="32" t="e">
        <v>#N/A</v>
      </c>
      <c r="M749" s="32" t="e">
        <v>#N/A</v>
      </c>
      <c r="N749" s="33" t="s">
        <v>51</v>
      </c>
      <c r="O749" s="33" t="s">
        <v>52</v>
      </c>
      <c r="P749" s="32" t="e">
        <v>#REF!</v>
      </c>
      <c r="Q749" s="32" t="e">
        <v>#N/A</v>
      </c>
      <c r="R749" s="42" t="e">
        <v>#N/A</v>
      </c>
      <c r="S749" s="42" t="e">
        <v>#N/A</v>
      </c>
      <c r="T749" s="36">
        <v>0.0</v>
      </c>
      <c r="U749" s="36">
        <v>0.0</v>
      </c>
      <c r="V749" s="36">
        <v>0.0</v>
      </c>
      <c r="W749" s="36">
        <v>0.0</v>
      </c>
      <c r="X749" s="36">
        <v>0.0</v>
      </c>
      <c r="Y749" s="36">
        <v>0.0</v>
      </c>
    </row>
    <row r="750">
      <c r="A750" s="32" t="s">
        <v>314</v>
      </c>
      <c r="B750" s="32" t="s">
        <v>314</v>
      </c>
      <c r="C750" s="32">
        <v>0.0</v>
      </c>
      <c r="D750" s="32" t="e">
        <v>#N/A</v>
      </c>
      <c r="E750" s="39"/>
      <c r="F750" s="32" t="e">
        <v>#N/A</v>
      </c>
      <c r="G750" s="39"/>
      <c r="H750" s="32" t="e">
        <v>#N/A</v>
      </c>
      <c r="I750" s="39"/>
      <c r="J750" s="32">
        <v>0.0</v>
      </c>
      <c r="K750" s="33" t="e">
        <v>#N/A</v>
      </c>
      <c r="L750" s="32" t="e">
        <v>#N/A</v>
      </c>
      <c r="M750" s="32" t="e">
        <v>#N/A</v>
      </c>
      <c r="N750" s="33" t="s">
        <v>51</v>
      </c>
      <c r="O750" s="33" t="s">
        <v>52</v>
      </c>
      <c r="P750" s="32" t="e">
        <v>#REF!</v>
      </c>
      <c r="Q750" s="32" t="e">
        <v>#N/A</v>
      </c>
      <c r="R750" s="42" t="e">
        <v>#N/A</v>
      </c>
      <c r="S750" s="42" t="e">
        <v>#N/A</v>
      </c>
      <c r="T750" s="36">
        <v>0.0</v>
      </c>
      <c r="U750" s="36">
        <v>0.0</v>
      </c>
      <c r="V750" s="36">
        <v>0.0</v>
      </c>
      <c r="W750" s="36">
        <v>0.0</v>
      </c>
      <c r="X750" s="36">
        <v>0.0</v>
      </c>
      <c r="Y750" s="36">
        <v>0.0</v>
      </c>
    </row>
    <row r="751">
      <c r="A751" s="32" t="s">
        <v>768</v>
      </c>
      <c r="B751" s="32" t="s">
        <v>768</v>
      </c>
      <c r="C751" s="32">
        <v>0.0</v>
      </c>
      <c r="D751" s="32" t="e">
        <v>#N/A</v>
      </c>
      <c r="E751" s="39"/>
      <c r="F751" s="32" t="e">
        <v>#N/A</v>
      </c>
      <c r="G751" s="39"/>
      <c r="H751" s="32" t="e">
        <v>#N/A</v>
      </c>
      <c r="I751" s="39"/>
      <c r="J751" s="32">
        <v>0.0</v>
      </c>
      <c r="K751" s="33" t="e">
        <v>#N/A</v>
      </c>
      <c r="L751" s="32" t="e">
        <v>#N/A</v>
      </c>
      <c r="M751" s="32" t="e">
        <v>#N/A</v>
      </c>
      <c r="N751" s="33" t="s">
        <v>51</v>
      </c>
      <c r="O751" s="33" t="s">
        <v>52</v>
      </c>
      <c r="P751" s="32" t="e">
        <v>#REF!</v>
      </c>
      <c r="Q751" s="32" t="e">
        <v>#N/A</v>
      </c>
      <c r="R751" s="42" t="e">
        <v>#N/A</v>
      </c>
      <c r="S751" s="42" t="e">
        <v>#N/A</v>
      </c>
      <c r="T751" s="36">
        <v>0.0</v>
      </c>
      <c r="U751" s="36">
        <v>0.0</v>
      </c>
      <c r="V751" s="36">
        <v>0.0</v>
      </c>
      <c r="W751" s="36">
        <v>0.0</v>
      </c>
      <c r="X751" s="36">
        <v>0.0</v>
      </c>
      <c r="Y751" s="36">
        <v>0.0</v>
      </c>
    </row>
    <row r="752">
      <c r="A752" s="32" t="s">
        <v>769</v>
      </c>
      <c r="B752" s="32" t="s">
        <v>769</v>
      </c>
      <c r="C752" s="32">
        <v>0.0</v>
      </c>
      <c r="D752" s="32" t="e">
        <v>#N/A</v>
      </c>
      <c r="E752" s="39"/>
      <c r="F752" s="32" t="e">
        <v>#N/A</v>
      </c>
      <c r="G752" s="39"/>
      <c r="H752" s="32" t="e">
        <v>#N/A</v>
      </c>
      <c r="I752" s="39"/>
      <c r="J752" s="32">
        <v>0.0</v>
      </c>
      <c r="K752" s="33" t="e">
        <v>#N/A</v>
      </c>
      <c r="L752" s="32" t="e">
        <v>#N/A</v>
      </c>
      <c r="M752" s="32" t="e">
        <v>#N/A</v>
      </c>
      <c r="N752" s="33" t="s">
        <v>51</v>
      </c>
      <c r="O752" s="33" t="s">
        <v>52</v>
      </c>
      <c r="P752" s="32" t="e">
        <v>#REF!</v>
      </c>
      <c r="Q752" s="32" t="e">
        <v>#N/A</v>
      </c>
      <c r="R752" s="42" t="e">
        <v>#N/A</v>
      </c>
      <c r="S752" s="42" t="e">
        <v>#N/A</v>
      </c>
      <c r="T752" s="36">
        <v>0.0</v>
      </c>
      <c r="U752" s="36">
        <v>0.0</v>
      </c>
      <c r="V752" s="36">
        <v>0.0</v>
      </c>
      <c r="W752" s="36">
        <v>0.0</v>
      </c>
      <c r="X752" s="36">
        <v>0.0</v>
      </c>
      <c r="Y752" s="36">
        <v>0.0</v>
      </c>
    </row>
    <row r="753">
      <c r="A753" s="32" t="s">
        <v>772</v>
      </c>
      <c r="B753" s="32" t="s">
        <v>772</v>
      </c>
      <c r="C753" s="32">
        <v>0.0</v>
      </c>
      <c r="D753" s="32" t="e">
        <v>#N/A</v>
      </c>
      <c r="E753" s="39"/>
      <c r="F753" s="32" t="e">
        <v>#N/A</v>
      </c>
      <c r="G753" s="39"/>
      <c r="H753" s="32" t="e">
        <v>#N/A</v>
      </c>
      <c r="I753" s="39"/>
      <c r="J753" s="32">
        <v>0.0</v>
      </c>
      <c r="K753" s="33" t="e">
        <v>#N/A</v>
      </c>
      <c r="L753" s="32" t="e">
        <v>#N/A</v>
      </c>
      <c r="M753" s="32" t="e">
        <v>#N/A</v>
      </c>
      <c r="N753" s="33" t="s">
        <v>51</v>
      </c>
      <c r="O753" s="33" t="s">
        <v>52</v>
      </c>
      <c r="P753" s="32" t="e">
        <v>#REF!</v>
      </c>
      <c r="Q753" s="32" t="e">
        <v>#N/A</v>
      </c>
      <c r="R753" s="42" t="e">
        <v>#N/A</v>
      </c>
      <c r="S753" s="42" t="e">
        <v>#N/A</v>
      </c>
      <c r="T753" s="36">
        <v>0.0</v>
      </c>
      <c r="U753" s="36">
        <v>0.0</v>
      </c>
      <c r="V753" s="36">
        <v>0.0</v>
      </c>
      <c r="W753" s="36">
        <v>0.0</v>
      </c>
      <c r="X753" s="36">
        <v>0.0</v>
      </c>
      <c r="Y753" s="36">
        <v>0.0</v>
      </c>
    </row>
    <row r="754">
      <c r="A754" s="32" t="s">
        <v>771</v>
      </c>
      <c r="B754" s="32" t="s">
        <v>771</v>
      </c>
      <c r="C754" s="32">
        <v>0.0</v>
      </c>
      <c r="D754" s="32" t="e">
        <v>#N/A</v>
      </c>
      <c r="E754" s="39"/>
      <c r="F754" s="32" t="e">
        <v>#N/A</v>
      </c>
      <c r="G754" s="39"/>
      <c r="H754" s="32" t="e">
        <v>#N/A</v>
      </c>
      <c r="I754" s="39"/>
      <c r="J754" s="32">
        <v>0.0</v>
      </c>
      <c r="K754" s="33" t="e">
        <v>#N/A</v>
      </c>
      <c r="L754" s="32" t="e">
        <v>#N/A</v>
      </c>
      <c r="M754" s="32" t="e">
        <v>#N/A</v>
      </c>
      <c r="N754" s="33" t="s">
        <v>51</v>
      </c>
      <c r="O754" s="33" t="s">
        <v>52</v>
      </c>
      <c r="P754" s="32" t="e">
        <v>#REF!</v>
      </c>
      <c r="Q754" s="32" t="e">
        <v>#N/A</v>
      </c>
      <c r="R754" s="42" t="e">
        <v>#N/A</v>
      </c>
      <c r="S754" s="42" t="e">
        <v>#N/A</v>
      </c>
      <c r="T754" s="36">
        <v>0.0</v>
      </c>
      <c r="U754" s="36">
        <v>0.0</v>
      </c>
      <c r="V754" s="36">
        <v>0.0</v>
      </c>
      <c r="W754" s="36">
        <v>0.0</v>
      </c>
      <c r="X754" s="36">
        <v>0.0</v>
      </c>
      <c r="Y754" s="36">
        <v>0.0</v>
      </c>
    </row>
    <row r="755">
      <c r="A755" s="32" t="s">
        <v>782</v>
      </c>
      <c r="B755" s="32" t="s">
        <v>782</v>
      </c>
      <c r="C755" s="32">
        <v>0.0</v>
      </c>
      <c r="D755" s="32" t="e">
        <v>#N/A</v>
      </c>
      <c r="E755" s="39"/>
      <c r="F755" s="32" t="e">
        <v>#N/A</v>
      </c>
      <c r="G755" s="39"/>
      <c r="H755" s="32" t="e">
        <v>#N/A</v>
      </c>
      <c r="I755" s="39"/>
      <c r="J755" s="32">
        <v>0.0</v>
      </c>
      <c r="K755" s="33" t="e">
        <v>#N/A</v>
      </c>
      <c r="L755" s="32" t="e">
        <v>#N/A</v>
      </c>
      <c r="M755" s="32" t="e">
        <v>#N/A</v>
      </c>
      <c r="N755" s="33" t="s">
        <v>51</v>
      </c>
      <c r="O755" s="33" t="s">
        <v>52</v>
      </c>
      <c r="P755" s="32" t="e">
        <v>#REF!</v>
      </c>
      <c r="Q755" s="32" t="e">
        <v>#N/A</v>
      </c>
      <c r="R755" s="42" t="e">
        <v>#N/A</v>
      </c>
      <c r="S755" s="42" t="e">
        <v>#N/A</v>
      </c>
      <c r="T755" s="36">
        <v>0.0</v>
      </c>
      <c r="U755" s="36">
        <v>0.0</v>
      </c>
      <c r="V755" s="36">
        <v>0.0</v>
      </c>
      <c r="W755" s="36">
        <v>0.0</v>
      </c>
      <c r="X755" s="36">
        <v>0.0</v>
      </c>
      <c r="Y755" s="36">
        <v>0.0</v>
      </c>
    </row>
    <row r="756">
      <c r="A756" s="32" t="s">
        <v>774</v>
      </c>
      <c r="B756" s="32" t="s">
        <v>774</v>
      </c>
      <c r="C756" s="32">
        <v>0.0</v>
      </c>
      <c r="D756" s="32" t="e">
        <v>#N/A</v>
      </c>
      <c r="E756" s="39"/>
      <c r="F756" s="32" t="e">
        <v>#N/A</v>
      </c>
      <c r="G756" s="39"/>
      <c r="H756" s="32" t="e">
        <v>#N/A</v>
      </c>
      <c r="I756" s="39"/>
      <c r="J756" s="32">
        <v>0.0</v>
      </c>
      <c r="K756" s="33" t="e">
        <v>#N/A</v>
      </c>
      <c r="L756" s="32" t="e">
        <v>#N/A</v>
      </c>
      <c r="M756" s="32" t="e">
        <v>#N/A</v>
      </c>
      <c r="N756" s="33" t="s">
        <v>51</v>
      </c>
      <c r="O756" s="33" t="s">
        <v>52</v>
      </c>
      <c r="P756" s="32" t="e">
        <v>#REF!</v>
      </c>
      <c r="Q756" s="32" t="e">
        <v>#N/A</v>
      </c>
      <c r="R756" s="42" t="e">
        <v>#N/A</v>
      </c>
      <c r="S756" s="42" t="e">
        <v>#N/A</v>
      </c>
      <c r="T756" s="36">
        <v>0.0</v>
      </c>
      <c r="U756" s="36">
        <v>0.0</v>
      </c>
      <c r="V756" s="36">
        <v>0.0</v>
      </c>
      <c r="W756" s="36">
        <v>0.0</v>
      </c>
      <c r="X756" s="36">
        <v>0.0</v>
      </c>
      <c r="Y756" s="36">
        <v>0.0</v>
      </c>
    </row>
    <row r="757">
      <c r="A757" s="32" t="s">
        <v>788</v>
      </c>
      <c r="B757" s="32" t="s">
        <v>788</v>
      </c>
      <c r="C757" s="32">
        <v>0.0</v>
      </c>
      <c r="D757" s="32" t="e">
        <v>#N/A</v>
      </c>
      <c r="E757" s="39"/>
      <c r="F757" s="32" t="e">
        <v>#N/A</v>
      </c>
      <c r="G757" s="39"/>
      <c r="H757" s="32" t="e">
        <v>#N/A</v>
      </c>
      <c r="I757" s="39"/>
      <c r="J757" s="32">
        <v>0.0</v>
      </c>
      <c r="K757" s="33" t="e">
        <v>#N/A</v>
      </c>
      <c r="L757" s="32" t="e">
        <v>#N/A</v>
      </c>
      <c r="M757" s="32" t="e">
        <v>#N/A</v>
      </c>
      <c r="N757" s="33" t="s">
        <v>51</v>
      </c>
      <c r="O757" s="33" t="s">
        <v>52</v>
      </c>
      <c r="P757" s="32" t="e">
        <v>#REF!</v>
      </c>
      <c r="Q757" s="32" t="e">
        <v>#N/A</v>
      </c>
      <c r="R757" s="42" t="e">
        <v>#N/A</v>
      </c>
      <c r="S757" s="42" t="e">
        <v>#N/A</v>
      </c>
      <c r="T757" s="36">
        <v>0.0</v>
      </c>
      <c r="U757" s="36">
        <v>0.0</v>
      </c>
      <c r="V757" s="36">
        <v>0.0</v>
      </c>
      <c r="W757" s="36">
        <v>0.0</v>
      </c>
      <c r="X757" s="36">
        <v>0.0</v>
      </c>
      <c r="Y757" s="36">
        <v>0.0</v>
      </c>
    </row>
    <row r="758">
      <c r="A758" s="32" t="s">
        <v>770</v>
      </c>
      <c r="B758" s="32" t="s">
        <v>770</v>
      </c>
      <c r="C758" s="32">
        <v>0.0</v>
      </c>
      <c r="D758" s="32" t="e">
        <v>#N/A</v>
      </c>
      <c r="E758" s="39"/>
      <c r="F758" s="32" t="e">
        <v>#N/A</v>
      </c>
      <c r="G758" s="39"/>
      <c r="H758" s="32" t="e">
        <v>#N/A</v>
      </c>
      <c r="I758" s="39"/>
      <c r="J758" s="32">
        <v>0.0</v>
      </c>
      <c r="K758" s="33" t="e">
        <v>#N/A</v>
      </c>
      <c r="L758" s="32" t="e">
        <v>#N/A</v>
      </c>
      <c r="M758" s="32" t="e">
        <v>#N/A</v>
      </c>
      <c r="N758" s="33" t="s">
        <v>51</v>
      </c>
      <c r="O758" s="33" t="s">
        <v>52</v>
      </c>
      <c r="P758" s="32" t="e">
        <v>#REF!</v>
      </c>
      <c r="Q758" s="32" t="e">
        <v>#N/A</v>
      </c>
      <c r="R758" s="42" t="e">
        <v>#N/A</v>
      </c>
      <c r="S758" s="42" t="e">
        <v>#N/A</v>
      </c>
      <c r="T758" s="36">
        <v>0.0</v>
      </c>
      <c r="U758" s="36">
        <v>0.0</v>
      </c>
      <c r="V758" s="36">
        <v>0.0</v>
      </c>
      <c r="W758" s="36">
        <v>0.0</v>
      </c>
      <c r="X758" s="36">
        <v>0.0</v>
      </c>
      <c r="Y758" s="36">
        <v>0.0</v>
      </c>
    </row>
    <row r="759">
      <c r="A759" s="32" t="s">
        <v>773</v>
      </c>
      <c r="B759" s="32" t="s">
        <v>773</v>
      </c>
      <c r="C759" s="32">
        <v>0.0</v>
      </c>
      <c r="D759" s="32" t="e">
        <v>#N/A</v>
      </c>
      <c r="E759" s="39"/>
      <c r="F759" s="32" t="e">
        <v>#N/A</v>
      </c>
      <c r="G759" s="39"/>
      <c r="H759" s="32" t="e">
        <v>#N/A</v>
      </c>
      <c r="I759" s="39"/>
      <c r="J759" s="32">
        <v>0.0</v>
      </c>
      <c r="K759" s="33" t="e">
        <v>#N/A</v>
      </c>
      <c r="L759" s="32" t="e">
        <v>#N/A</v>
      </c>
      <c r="M759" s="32" t="e">
        <v>#N/A</v>
      </c>
      <c r="N759" s="33" t="s">
        <v>51</v>
      </c>
      <c r="O759" s="33" t="s">
        <v>52</v>
      </c>
      <c r="P759" s="32" t="e">
        <v>#REF!</v>
      </c>
      <c r="Q759" s="32" t="e">
        <v>#N/A</v>
      </c>
      <c r="R759" s="42" t="e">
        <v>#N/A</v>
      </c>
      <c r="S759" s="42" t="e">
        <v>#N/A</v>
      </c>
      <c r="T759" s="36">
        <v>0.0</v>
      </c>
      <c r="U759" s="36">
        <v>0.0</v>
      </c>
      <c r="V759" s="36">
        <v>0.0</v>
      </c>
      <c r="W759" s="36">
        <v>0.0</v>
      </c>
      <c r="X759" s="36">
        <v>0.0</v>
      </c>
      <c r="Y759" s="36">
        <v>0.0</v>
      </c>
    </row>
    <row r="760">
      <c r="A760" s="32" t="s">
        <v>756</v>
      </c>
      <c r="B760" s="32" t="s">
        <v>756</v>
      </c>
      <c r="C760" s="32">
        <v>0.0</v>
      </c>
      <c r="D760" s="32" t="e">
        <v>#N/A</v>
      </c>
      <c r="E760" s="39"/>
      <c r="F760" s="32" t="e">
        <v>#N/A</v>
      </c>
      <c r="G760" s="39"/>
      <c r="H760" s="32" t="e">
        <v>#N/A</v>
      </c>
      <c r="I760" s="39"/>
      <c r="J760" s="32">
        <v>0.0</v>
      </c>
      <c r="K760" s="33" t="e">
        <v>#N/A</v>
      </c>
      <c r="L760" s="32" t="e">
        <v>#N/A</v>
      </c>
      <c r="M760" s="32" t="e">
        <v>#N/A</v>
      </c>
      <c r="N760" s="33" t="s">
        <v>51</v>
      </c>
      <c r="O760" s="33" t="s">
        <v>52</v>
      </c>
      <c r="P760" s="32" t="e">
        <v>#REF!</v>
      </c>
      <c r="Q760" s="32" t="e">
        <v>#N/A</v>
      </c>
      <c r="R760" s="42" t="e">
        <v>#N/A</v>
      </c>
      <c r="S760" s="42" t="e">
        <v>#N/A</v>
      </c>
      <c r="T760" s="36">
        <v>0.0</v>
      </c>
      <c r="U760" s="36">
        <v>0.0</v>
      </c>
      <c r="V760" s="36">
        <v>0.0</v>
      </c>
      <c r="W760" s="36">
        <v>0.0</v>
      </c>
      <c r="X760" s="36">
        <v>0.0</v>
      </c>
      <c r="Y760" s="36">
        <v>0.0</v>
      </c>
    </row>
    <row r="761">
      <c r="A761" s="32" t="s">
        <v>775</v>
      </c>
      <c r="B761" s="32" t="s">
        <v>775</v>
      </c>
      <c r="C761" s="32">
        <v>0.0</v>
      </c>
      <c r="D761" s="32" t="e">
        <v>#N/A</v>
      </c>
      <c r="E761" s="39"/>
      <c r="F761" s="32" t="e">
        <v>#N/A</v>
      </c>
      <c r="G761" s="39"/>
      <c r="H761" s="32" t="e">
        <v>#N/A</v>
      </c>
      <c r="I761" s="39"/>
      <c r="J761" s="32">
        <v>0.0</v>
      </c>
      <c r="K761" s="33" t="e">
        <v>#N/A</v>
      </c>
      <c r="L761" s="32" t="e">
        <v>#N/A</v>
      </c>
      <c r="M761" s="32" t="e">
        <v>#N/A</v>
      </c>
      <c r="N761" s="33" t="s">
        <v>51</v>
      </c>
      <c r="O761" s="33" t="s">
        <v>52</v>
      </c>
      <c r="P761" s="32" t="e">
        <v>#REF!</v>
      </c>
      <c r="Q761" s="32" t="e">
        <v>#N/A</v>
      </c>
      <c r="R761" s="42" t="e">
        <v>#N/A</v>
      </c>
      <c r="S761" s="42" t="e">
        <v>#N/A</v>
      </c>
      <c r="T761" s="36">
        <v>0.0</v>
      </c>
      <c r="U761" s="36">
        <v>0.0</v>
      </c>
      <c r="V761" s="36">
        <v>0.0</v>
      </c>
      <c r="W761" s="36">
        <v>0.0</v>
      </c>
      <c r="X761" s="36">
        <v>0.0</v>
      </c>
      <c r="Y761" s="36">
        <v>0.0</v>
      </c>
    </row>
    <row r="762">
      <c r="A762" s="32" t="s">
        <v>776</v>
      </c>
      <c r="B762" s="32" t="s">
        <v>776</v>
      </c>
      <c r="C762" s="32">
        <v>0.0</v>
      </c>
      <c r="D762" s="32" t="e">
        <v>#N/A</v>
      </c>
      <c r="E762" s="39"/>
      <c r="F762" s="32" t="e">
        <v>#N/A</v>
      </c>
      <c r="G762" s="39"/>
      <c r="H762" s="32" t="e">
        <v>#N/A</v>
      </c>
      <c r="I762" s="39"/>
      <c r="J762" s="32">
        <v>0.0</v>
      </c>
      <c r="K762" s="33" t="e">
        <v>#N/A</v>
      </c>
      <c r="L762" s="32" t="e">
        <v>#N/A</v>
      </c>
      <c r="M762" s="32" t="e">
        <v>#N/A</v>
      </c>
      <c r="N762" s="33" t="s">
        <v>51</v>
      </c>
      <c r="O762" s="33" t="s">
        <v>52</v>
      </c>
      <c r="P762" s="32" t="e">
        <v>#REF!</v>
      </c>
      <c r="Q762" s="32" t="e">
        <v>#N/A</v>
      </c>
      <c r="R762" s="42" t="e">
        <v>#N/A</v>
      </c>
      <c r="S762" s="42" t="e">
        <v>#N/A</v>
      </c>
      <c r="T762" s="36">
        <v>0.0</v>
      </c>
      <c r="U762" s="36">
        <v>0.0</v>
      </c>
      <c r="V762" s="36">
        <v>0.0</v>
      </c>
      <c r="W762" s="36">
        <v>0.0</v>
      </c>
      <c r="X762" s="36">
        <v>0.0</v>
      </c>
      <c r="Y762" s="36">
        <v>0.0</v>
      </c>
    </row>
    <row r="763">
      <c r="A763" s="32" t="s">
        <v>803</v>
      </c>
      <c r="B763" s="32" t="s">
        <v>803</v>
      </c>
      <c r="C763" s="32">
        <v>0.0</v>
      </c>
      <c r="D763" s="32" t="e">
        <v>#N/A</v>
      </c>
      <c r="E763" s="39"/>
      <c r="F763" s="32" t="e">
        <v>#N/A</v>
      </c>
      <c r="G763" s="39"/>
      <c r="H763" s="32" t="e">
        <v>#N/A</v>
      </c>
      <c r="I763" s="39"/>
      <c r="J763" s="32">
        <v>0.0</v>
      </c>
      <c r="K763" s="33" t="e">
        <v>#N/A</v>
      </c>
      <c r="L763" s="32" t="e">
        <v>#N/A</v>
      </c>
      <c r="M763" s="32" t="e">
        <v>#N/A</v>
      </c>
      <c r="N763" s="33" t="s">
        <v>51</v>
      </c>
      <c r="O763" s="33" t="s">
        <v>52</v>
      </c>
      <c r="P763" s="32" t="e">
        <v>#REF!</v>
      </c>
      <c r="Q763" s="32" t="e">
        <v>#N/A</v>
      </c>
      <c r="R763" s="42" t="e">
        <v>#N/A</v>
      </c>
      <c r="S763" s="42" t="e">
        <v>#N/A</v>
      </c>
      <c r="T763" s="36">
        <v>0.0</v>
      </c>
      <c r="U763" s="36">
        <v>0.0</v>
      </c>
      <c r="V763" s="36">
        <v>0.0</v>
      </c>
      <c r="W763" s="36">
        <v>0.0</v>
      </c>
      <c r="X763" s="36">
        <v>0.0</v>
      </c>
      <c r="Y763" s="36">
        <v>0.0</v>
      </c>
    </row>
    <row r="764">
      <c r="A764" s="32" t="s">
        <v>802</v>
      </c>
      <c r="B764" s="32" t="s">
        <v>802</v>
      </c>
      <c r="C764" s="32">
        <v>0.0</v>
      </c>
      <c r="D764" s="32" t="e">
        <v>#N/A</v>
      </c>
      <c r="E764" s="39"/>
      <c r="F764" s="32" t="e">
        <v>#N/A</v>
      </c>
      <c r="G764" s="39"/>
      <c r="H764" s="32" t="e">
        <v>#N/A</v>
      </c>
      <c r="I764" s="39"/>
      <c r="J764" s="32">
        <v>0.0</v>
      </c>
      <c r="K764" s="33" t="e">
        <v>#N/A</v>
      </c>
      <c r="L764" s="32" t="e">
        <v>#N/A</v>
      </c>
      <c r="M764" s="32" t="e">
        <v>#N/A</v>
      </c>
      <c r="N764" s="33" t="s">
        <v>51</v>
      </c>
      <c r="O764" s="33" t="s">
        <v>52</v>
      </c>
      <c r="P764" s="32" t="e">
        <v>#REF!</v>
      </c>
      <c r="Q764" s="32" t="e">
        <v>#N/A</v>
      </c>
      <c r="R764" s="42" t="e">
        <v>#N/A</v>
      </c>
      <c r="S764" s="42" t="e">
        <v>#N/A</v>
      </c>
      <c r="T764" s="36">
        <v>0.0</v>
      </c>
      <c r="U764" s="36">
        <v>0.0</v>
      </c>
      <c r="V764" s="36">
        <v>0.0</v>
      </c>
      <c r="W764" s="36">
        <v>0.0</v>
      </c>
      <c r="X764" s="36">
        <v>0.0</v>
      </c>
      <c r="Y764" s="36">
        <v>0.0</v>
      </c>
    </row>
    <row r="765">
      <c r="A765" s="32" t="s">
        <v>798</v>
      </c>
      <c r="B765" s="32" t="s">
        <v>798</v>
      </c>
      <c r="C765" s="32">
        <v>0.0</v>
      </c>
      <c r="D765" s="32" t="e">
        <v>#N/A</v>
      </c>
      <c r="E765" s="39"/>
      <c r="F765" s="32" t="e">
        <v>#N/A</v>
      </c>
      <c r="G765" s="39"/>
      <c r="H765" s="32" t="e">
        <v>#N/A</v>
      </c>
      <c r="I765" s="39"/>
      <c r="J765" s="32">
        <v>0.0</v>
      </c>
      <c r="K765" s="33" t="e">
        <v>#N/A</v>
      </c>
      <c r="L765" s="32" t="e">
        <v>#N/A</v>
      </c>
      <c r="M765" s="32" t="e">
        <v>#N/A</v>
      </c>
      <c r="N765" s="33" t="s">
        <v>51</v>
      </c>
      <c r="O765" s="33" t="s">
        <v>52</v>
      </c>
      <c r="P765" s="32" t="e">
        <v>#REF!</v>
      </c>
      <c r="Q765" s="32" t="e">
        <v>#N/A</v>
      </c>
      <c r="R765" s="42" t="e">
        <v>#N/A</v>
      </c>
      <c r="S765" s="42" t="e">
        <v>#N/A</v>
      </c>
      <c r="T765" s="36">
        <v>0.0</v>
      </c>
      <c r="U765" s="36">
        <v>0.0</v>
      </c>
      <c r="V765" s="36">
        <v>0.0</v>
      </c>
      <c r="W765" s="36">
        <v>0.0</v>
      </c>
      <c r="X765" s="36">
        <v>0.0</v>
      </c>
      <c r="Y765" s="36">
        <v>0.0</v>
      </c>
    </row>
    <row r="766">
      <c r="A766" s="32" t="s">
        <v>801</v>
      </c>
      <c r="B766" s="32" t="s">
        <v>801</v>
      </c>
      <c r="C766" s="32">
        <v>0.0</v>
      </c>
      <c r="D766" s="32" t="e">
        <v>#N/A</v>
      </c>
      <c r="E766" s="39"/>
      <c r="F766" s="32" t="e">
        <v>#N/A</v>
      </c>
      <c r="G766" s="39"/>
      <c r="H766" s="32" t="e">
        <v>#N/A</v>
      </c>
      <c r="I766" s="39"/>
      <c r="J766" s="32">
        <v>0.0</v>
      </c>
      <c r="K766" s="33" t="e">
        <v>#N/A</v>
      </c>
      <c r="L766" s="32" t="e">
        <v>#N/A</v>
      </c>
      <c r="M766" s="32" t="e">
        <v>#N/A</v>
      </c>
      <c r="N766" s="33" t="s">
        <v>51</v>
      </c>
      <c r="O766" s="33" t="s">
        <v>52</v>
      </c>
      <c r="P766" s="32" t="e">
        <v>#REF!</v>
      </c>
      <c r="Q766" s="32" t="e">
        <v>#N/A</v>
      </c>
      <c r="R766" s="42" t="e">
        <v>#N/A</v>
      </c>
      <c r="S766" s="42" t="e">
        <v>#N/A</v>
      </c>
      <c r="T766" s="36">
        <v>0.0</v>
      </c>
      <c r="U766" s="36">
        <v>0.0</v>
      </c>
      <c r="V766" s="36">
        <v>0.0</v>
      </c>
      <c r="W766" s="36">
        <v>0.0</v>
      </c>
      <c r="X766" s="36">
        <v>0.0</v>
      </c>
      <c r="Y766" s="36">
        <v>0.0</v>
      </c>
    </row>
    <row r="767">
      <c r="A767" s="32" t="s">
        <v>800</v>
      </c>
      <c r="B767" s="32" t="s">
        <v>800</v>
      </c>
      <c r="C767" s="32">
        <v>0.0</v>
      </c>
      <c r="D767" s="32" t="e">
        <v>#N/A</v>
      </c>
      <c r="E767" s="39"/>
      <c r="F767" s="32" t="e">
        <v>#N/A</v>
      </c>
      <c r="G767" s="39"/>
      <c r="H767" s="32" t="e">
        <v>#N/A</v>
      </c>
      <c r="I767" s="39"/>
      <c r="J767" s="32">
        <v>0.0</v>
      </c>
      <c r="K767" s="33" t="e">
        <v>#N/A</v>
      </c>
      <c r="L767" s="32" t="e">
        <v>#N/A</v>
      </c>
      <c r="M767" s="32" t="e">
        <v>#N/A</v>
      </c>
      <c r="N767" s="33" t="s">
        <v>51</v>
      </c>
      <c r="O767" s="33" t="s">
        <v>52</v>
      </c>
      <c r="P767" s="32" t="e">
        <v>#REF!</v>
      </c>
      <c r="Q767" s="32" t="e">
        <v>#N/A</v>
      </c>
      <c r="R767" s="42" t="e">
        <v>#N/A</v>
      </c>
      <c r="S767" s="42" t="e">
        <v>#N/A</v>
      </c>
      <c r="T767" s="36">
        <v>0.0</v>
      </c>
      <c r="U767" s="36">
        <v>0.0</v>
      </c>
      <c r="V767" s="36">
        <v>0.0</v>
      </c>
      <c r="W767" s="36">
        <v>0.0</v>
      </c>
      <c r="X767" s="36">
        <v>0.0</v>
      </c>
      <c r="Y767" s="36">
        <v>0.0</v>
      </c>
    </row>
    <row r="768">
      <c r="A768" s="32" t="s">
        <v>799</v>
      </c>
      <c r="B768" s="32" t="s">
        <v>799</v>
      </c>
      <c r="C768" s="32">
        <v>0.0</v>
      </c>
      <c r="D768" s="32" t="e">
        <v>#N/A</v>
      </c>
      <c r="E768" s="39"/>
      <c r="F768" s="32" t="e">
        <v>#N/A</v>
      </c>
      <c r="G768" s="39"/>
      <c r="H768" s="32" t="e">
        <v>#N/A</v>
      </c>
      <c r="I768" s="39"/>
      <c r="J768" s="32">
        <v>0.0</v>
      </c>
      <c r="K768" s="33" t="e">
        <v>#N/A</v>
      </c>
      <c r="L768" s="32" t="e">
        <v>#N/A</v>
      </c>
      <c r="M768" s="32" t="e">
        <v>#N/A</v>
      </c>
      <c r="N768" s="33" t="s">
        <v>51</v>
      </c>
      <c r="O768" s="33" t="s">
        <v>52</v>
      </c>
      <c r="P768" s="32" t="e">
        <v>#REF!</v>
      </c>
      <c r="Q768" s="32" t="e">
        <v>#N/A</v>
      </c>
      <c r="R768" s="42" t="e">
        <v>#N/A</v>
      </c>
      <c r="S768" s="42" t="e">
        <v>#N/A</v>
      </c>
      <c r="T768" s="36">
        <v>0.0</v>
      </c>
      <c r="U768" s="36">
        <v>0.0</v>
      </c>
      <c r="V768" s="36">
        <v>0.0</v>
      </c>
      <c r="W768" s="36">
        <v>0.0</v>
      </c>
      <c r="X768" s="36">
        <v>0.0</v>
      </c>
      <c r="Y768" s="36">
        <v>0.0</v>
      </c>
    </row>
    <row r="769">
      <c r="A769" s="32" t="s">
        <v>797</v>
      </c>
      <c r="B769" s="32" t="s">
        <v>797</v>
      </c>
      <c r="C769" s="32">
        <v>0.0</v>
      </c>
      <c r="D769" s="32" t="e">
        <v>#N/A</v>
      </c>
      <c r="E769" s="39"/>
      <c r="F769" s="32" t="e">
        <v>#N/A</v>
      </c>
      <c r="G769" s="39"/>
      <c r="H769" s="32" t="e">
        <v>#N/A</v>
      </c>
      <c r="I769" s="39"/>
      <c r="J769" s="32">
        <v>0.0</v>
      </c>
      <c r="K769" s="33" t="e">
        <v>#N/A</v>
      </c>
      <c r="L769" s="32" t="e">
        <v>#N/A</v>
      </c>
      <c r="M769" s="32" t="e">
        <v>#N/A</v>
      </c>
      <c r="N769" s="33" t="s">
        <v>51</v>
      </c>
      <c r="O769" s="33" t="s">
        <v>52</v>
      </c>
      <c r="P769" s="32" t="e">
        <v>#REF!</v>
      </c>
      <c r="Q769" s="32" t="e">
        <v>#N/A</v>
      </c>
      <c r="R769" s="42" t="e">
        <v>#N/A</v>
      </c>
      <c r="S769" s="42" t="e">
        <v>#N/A</v>
      </c>
      <c r="T769" s="36">
        <v>0.0</v>
      </c>
      <c r="U769" s="36">
        <v>0.0</v>
      </c>
      <c r="V769" s="36">
        <v>0.0</v>
      </c>
      <c r="W769" s="36">
        <v>0.0</v>
      </c>
      <c r="X769" s="36">
        <v>0.0</v>
      </c>
      <c r="Y769" s="36">
        <v>0.0</v>
      </c>
    </row>
    <row r="770">
      <c r="A770" s="32" t="s">
        <v>1629</v>
      </c>
      <c r="B770" s="32" t="s">
        <v>1629</v>
      </c>
      <c r="C770" s="32" t="s">
        <v>1608</v>
      </c>
      <c r="D770" s="32" t="s">
        <v>1609</v>
      </c>
      <c r="E770" s="32" t="s">
        <v>5102</v>
      </c>
      <c r="F770" s="32" t="e">
        <v>#N/A</v>
      </c>
      <c r="G770" s="32" t="e">
        <v>#N/A</v>
      </c>
      <c r="H770" s="32">
        <v>0.0</v>
      </c>
      <c r="I770" s="32">
        <v>0.0</v>
      </c>
      <c r="J770" s="32" t="s">
        <v>1630</v>
      </c>
      <c r="K770" s="33" t="s">
        <v>1631</v>
      </c>
      <c r="L770" s="32" t="e">
        <v>#N/A</v>
      </c>
      <c r="M770" s="32" t="e">
        <v>#N/A</v>
      </c>
      <c r="N770" s="32" t="s">
        <v>5112</v>
      </c>
      <c r="O770" s="32" t="s">
        <v>52</v>
      </c>
      <c r="P770" s="32">
        <v>32999.0</v>
      </c>
      <c r="Q770" s="34">
        <v>29699.0</v>
      </c>
      <c r="R770" s="40">
        <v>31299.0</v>
      </c>
      <c r="S770" s="35">
        <v>25409.23</v>
      </c>
      <c r="T770" s="36">
        <v>0.0</v>
      </c>
      <c r="U770" s="36">
        <v>0.0</v>
      </c>
      <c r="V770" s="36">
        <v>0.0</v>
      </c>
      <c r="W770" s="36">
        <v>0.0</v>
      </c>
      <c r="X770" s="36">
        <v>0.0</v>
      </c>
      <c r="Y770" s="36">
        <v>0.0</v>
      </c>
    </row>
    <row r="771">
      <c r="A771" s="32" t="s">
        <v>4888</v>
      </c>
      <c r="B771" s="32" t="s">
        <v>4888</v>
      </c>
      <c r="C771" s="32" t="s">
        <v>4889</v>
      </c>
      <c r="D771" s="46" t="s">
        <v>5219</v>
      </c>
      <c r="E771" s="32" t="s">
        <v>5073</v>
      </c>
      <c r="F771" s="38"/>
      <c r="G771" s="32" t="e">
        <v>#N/A</v>
      </c>
      <c r="H771" s="38"/>
      <c r="I771" s="32">
        <v>0.0</v>
      </c>
      <c r="J771" s="32" t="s">
        <v>4891</v>
      </c>
      <c r="K771" s="38"/>
      <c r="L771" s="38"/>
      <c r="M771" s="38"/>
      <c r="N771" s="32" t="s">
        <v>5146</v>
      </c>
      <c r="O771" s="32" t="s">
        <v>5114</v>
      </c>
      <c r="P771" s="32">
        <v>27999.0</v>
      </c>
      <c r="Q771" s="44">
        <v>23799.0</v>
      </c>
      <c r="R771" s="40">
        <v>23799.0</v>
      </c>
      <c r="S771" s="35">
        <v>23799.0</v>
      </c>
      <c r="T771" s="36">
        <v>0.0</v>
      </c>
      <c r="U771" s="36">
        <v>0.0</v>
      </c>
      <c r="V771" s="36">
        <v>0.0</v>
      </c>
      <c r="W771" s="36">
        <v>0.0</v>
      </c>
      <c r="X771" s="36">
        <v>0.0</v>
      </c>
      <c r="Y771" s="36">
        <v>0.0</v>
      </c>
    </row>
    <row r="772">
      <c r="A772" s="32" t="s">
        <v>795</v>
      </c>
      <c r="B772" s="32" t="s">
        <v>795</v>
      </c>
      <c r="C772" s="32">
        <v>0.0</v>
      </c>
      <c r="D772" s="32" t="e">
        <v>#N/A</v>
      </c>
      <c r="E772" s="39"/>
      <c r="F772" s="32" t="e">
        <v>#N/A</v>
      </c>
      <c r="G772" s="39"/>
      <c r="H772" s="32" t="e">
        <v>#N/A</v>
      </c>
      <c r="I772" s="39"/>
      <c r="J772" s="32">
        <v>0.0</v>
      </c>
      <c r="K772" s="33" t="e">
        <v>#N/A</v>
      </c>
      <c r="L772" s="32" t="e">
        <v>#N/A</v>
      </c>
      <c r="M772" s="32" t="e">
        <v>#N/A</v>
      </c>
      <c r="N772" s="33" t="s">
        <v>51</v>
      </c>
      <c r="O772" s="33" t="s">
        <v>52</v>
      </c>
      <c r="P772" s="32" t="e">
        <v>#REF!</v>
      </c>
      <c r="Q772" s="32" t="e">
        <v>#N/A</v>
      </c>
      <c r="R772" s="42" t="e">
        <v>#N/A</v>
      </c>
      <c r="S772" s="42" t="e">
        <v>#N/A</v>
      </c>
      <c r="T772" s="36">
        <v>0.0</v>
      </c>
      <c r="U772" s="36">
        <v>0.0</v>
      </c>
      <c r="V772" s="36">
        <v>0.0</v>
      </c>
      <c r="W772" s="36">
        <v>0.0</v>
      </c>
      <c r="X772" s="36">
        <v>0.0</v>
      </c>
      <c r="Y772" s="36">
        <v>0.0</v>
      </c>
    </row>
    <row r="773">
      <c r="A773" s="32" t="s">
        <v>796</v>
      </c>
      <c r="B773" s="32" t="s">
        <v>796</v>
      </c>
      <c r="C773" s="32">
        <v>0.0</v>
      </c>
      <c r="D773" s="32" t="e">
        <v>#N/A</v>
      </c>
      <c r="E773" s="39"/>
      <c r="F773" s="32" t="e">
        <v>#N/A</v>
      </c>
      <c r="G773" s="39"/>
      <c r="H773" s="32" t="e">
        <v>#N/A</v>
      </c>
      <c r="I773" s="39"/>
      <c r="J773" s="32">
        <v>0.0</v>
      </c>
      <c r="K773" s="33" t="e">
        <v>#N/A</v>
      </c>
      <c r="L773" s="32" t="e">
        <v>#N/A</v>
      </c>
      <c r="M773" s="32" t="e">
        <v>#N/A</v>
      </c>
      <c r="N773" s="33" t="s">
        <v>51</v>
      </c>
      <c r="O773" s="33" t="s">
        <v>52</v>
      </c>
      <c r="P773" s="32" t="e">
        <v>#REF!</v>
      </c>
      <c r="Q773" s="32" t="e">
        <v>#N/A</v>
      </c>
      <c r="R773" s="42" t="e">
        <v>#N/A</v>
      </c>
      <c r="S773" s="42" t="e">
        <v>#N/A</v>
      </c>
      <c r="T773" s="36">
        <v>0.0</v>
      </c>
      <c r="U773" s="36">
        <v>0.0</v>
      </c>
      <c r="V773" s="36">
        <v>0.0</v>
      </c>
      <c r="W773" s="36">
        <v>0.0</v>
      </c>
      <c r="X773" s="36">
        <v>0.0</v>
      </c>
      <c r="Y773" s="36">
        <v>0.0</v>
      </c>
    </row>
    <row r="774">
      <c r="A774" s="32" t="s">
        <v>4771</v>
      </c>
      <c r="B774" s="32" t="s">
        <v>4771</v>
      </c>
      <c r="C774" s="32" t="s">
        <v>4772</v>
      </c>
      <c r="D774" s="32" t="s">
        <v>4773</v>
      </c>
      <c r="E774" s="32" t="s">
        <v>5073</v>
      </c>
      <c r="F774" s="32" t="e">
        <v>#N/A</v>
      </c>
      <c r="G774" s="32" t="e">
        <v>#N/A</v>
      </c>
      <c r="H774" s="32" t="s">
        <v>4771</v>
      </c>
      <c r="I774" s="32" t="s">
        <v>5102</v>
      </c>
      <c r="J774" s="32" t="s">
        <v>4771</v>
      </c>
      <c r="K774" s="33" t="s">
        <v>4774</v>
      </c>
      <c r="L774" s="32" t="e">
        <v>#N/A</v>
      </c>
      <c r="M774" s="32" t="e">
        <v>#N/A</v>
      </c>
      <c r="N774" s="33" t="s">
        <v>4729</v>
      </c>
      <c r="O774" s="33" t="s">
        <v>4730</v>
      </c>
      <c r="P774" s="32" t="e">
        <v>#REF!</v>
      </c>
      <c r="Q774" s="38"/>
      <c r="R774" s="42" t="e">
        <v>#N/A</v>
      </c>
      <c r="S774" s="38"/>
      <c r="T774" s="36">
        <v>0.0</v>
      </c>
      <c r="U774" s="36">
        <v>0.0</v>
      </c>
      <c r="V774" s="36">
        <v>0.0</v>
      </c>
      <c r="W774" s="36">
        <v>0.0</v>
      </c>
      <c r="X774" s="36">
        <v>0.0</v>
      </c>
      <c r="Y774" s="36">
        <v>0.0</v>
      </c>
    </row>
    <row r="775">
      <c r="A775" s="32" t="s">
        <v>4819</v>
      </c>
      <c r="B775" s="32" t="s">
        <v>4819</v>
      </c>
      <c r="C775" s="32" t="s">
        <v>4820</v>
      </c>
      <c r="D775" s="32" t="s">
        <v>4819</v>
      </c>
      <c r="E775" s="32" t="s">
        <v>5073</v>
      </c>
      <c r="F775" s="32" t="e">
        <v>#N/A</v>
      </c>
      <c r="G775" s="32" t="e">
        <v>#N/A</v>
      </c>
      <c r="H775" s="32" t="e">
        <v>#N/A</v>
      </c>
      <c r="I775" s="32">
        <v>0.0</v>
      </c>
      <c r="J775" s="32" t="s">
        <v>5147</v>
      </c>
      <c r="K775" s="33" t="s">
        <v>4821</v>
      </c>
      <c r="L775" s="32" t="e">
        <v>#N/A</v>
      </c>
      <c r="M775" s="32" t="e">
        <v>#N/A</v>
      </c>
      <c r="N775" s="32" t="s">
        <v>5084</v>
      </c>
      <c r="O775" s="32" t="s">
        <v>1145</v>
      </c>
      <c r="P775" s="32">
        <v>6999.0</v>
      </c>
      <c r="Q775" s="34">
        <v>3699.0</v>
      </c>
      <c r="R775" s="40">
        <v>3699.0</v>
      </c>
      <c r="S775" s="35">
        <v>3499.0</v>
      </c>
      <c r="T775" s="36">
        <v>0.0</v>
      </c>
      <c r="U775" s="36">
        <v>0.0</v>
      </c>
      <c r="V775" s="36">
        <v>0.0</v>
      </c>
      <c r="W775" s="36">
        <v>0.0</v>
      </c>
      <c r="X775" s="36">
        <v>0.0</v>
      </c>
      <c r="Y775" s="36">
        <v>0.0</v>
      </c>
    </row>
    <row r="776">
      <c r="A776" s="32" t="s">
        <v>4816</v>
      </c>
      <c r="B776" s="32" t="s">
        <v>4816</v>
      </c>
      <c r="C776" s="32" t="s">
        <v>4817</v>
      </c>
      <c r="D776" s="32" t="s">
        <v>4816</v>
      </c>
      <c r="E776" s="32" t="s">
        <v>5073</v>
      </c>
      <c r="F776" s="32" t="e">
        <v>#N/A</v>
      </c>
      <c r="G776" s="32" t="e">
        <v>#N/A</v>
      </c>
      <c r="H776" s="32" t="e">
        <v>#N/A</v>
      </c>
      <c r="I776" s="32">
        <v>0.0</v>
      </c>
      <c r="J776" s="32" t="s">
        <v>5148</v>
      </c>
      <c r="K776" s="33" t="s">
        <v>4818</v>
      </c>
      <c r="L776" s="32" t="e">
        <v>#N/A</v>
      </c>
      <c r="M776" s="32" t="e">
        <v>#N/A</v>
      </c>
      <c r="N776" s="32" t="s">
        <v>5083</v>
      </c>
      <c r="O776" s="32" t="s">
        <v>1145</v>
      </c>
      <c r="P776" s="32">
        <v>10999.0</v>
      </c>
      <c r="Q776" s="34">
        <v>8999.0</v>
      </c>
      <c r="R776" s="40">
        <v>8999.0</v>
      </c>
      <c r="S776" s="35">
        <v>8499.0</v>
      </c>
      <c r="T776" s="36">
        <v>0.0</v>
      </c>
      <c r="U776" s="36">
        <v>0.0</v>
      </c>
      <c r="V776" s="36">
        <v>0.0</v>
      </c>
      <c r="W776" s="36">
        <v>0.0</v>
      </c>
      <c r="X776" s="36">
        <v>0.0</v>
      </c>
      <c r="Y776" s="36">
        <v>0.0</v>
      </c>
    </row>
    <row r="777">
      <c r="A777" s="32" t="s">
        <v>4812</v>
      </c>
      <c r="B777" s="32" t="s">
        <v>4812</v>
      </c>
      <c r="C777" s="32" t="s">
        <v>4813</v>
      </c>
      <c r="D777" s="32" t="s">
        <v>4812</v>
      </c>
      <c r="E777" s="32" t="s">
        <v>5073</v>
      </c>
      <c r="F777" s="32" t="e">
        <v>#N/A</v>
      </c>
      <c r="G777" s="32" t="e">
        <v>#N/A</v>
      </c>
      <c r="H777" s="32" t="e">
        <v>#N/A</v>
      </c>
      <c r="I777" s="32">
        <v>0.0</v>
      </c>
      <c r="J777" s="32" t="s">
        <v>4814</v>
      </c>
      <c r="K777" s="33" t="s">
        <v>4815</v>
      </c>
      <c r="L777" s="32" t="e">
        <v>#N/A</v>
      </c>
      <c r="M777" s="32" t="e">
        <v>#N/A</v>
      </c>
      <c r="N777" s="32" t="s">
        <v>5080</v>
      </c>
      <c r="O777" s="32" t="s">
        <v>1145</v>
      </c>
      <c r="P777" s="32">
        <v>5999.0</v>
      </c>
      <c r="Q777" s="34">
        <v>3799.0</v>
      </c>
      <c r="R777" s="40">
        <v>3799.0</v>
      </c>
      <c r="S777" s="35">
        <v>1799.0</v>
      </c>
      <c r="T777" s="36">
        <v>0.0</v>
      </c>
      <c r="U777" s="36">
        <v>0.0</v>
      </c>
      <c r="V777" s="36">
        <v>0.0</v>
      </c>
      <c r="W777" s="36">
        <v>0.0</v>
      </c>
      <c r="X777" s="36">
        <v>0.0</v>
      </c>
      <c r="Y777" s="36">
        <v>0.0</v>
      </c>
    </row>
    <row r="778">
      <c r="A778" s="32" t="s">
        <v>4906</v>
      </c>
      <c r="B778" s="32" t="s">
        <v>4906</v>
      </c>
      <c r="C778" s="32" t="s">
        <v>4907</v>
      </c>
      <c r="D778" s="46" t="s">
        <v>5220</v>
      </c>
      <c r="E778" s="47" t="s">
        <v>5102</v>
      </c>
      <c r="F778" s="32" t="e">
        <v>#N/A</v>
      </c>
      <c r="G778" s="32" t="e">
        <v>#N/A</v>
      </c>
      <c r="H778" s="37" t="s">
        <v>4906</v>
      </c>
      <c r="I778" s="37" t="s">
        <v>5102</v>
      </c>
      <c r="J778" s="32" t="s">
        <v>4909</v>
      </c>
      <c r="K778" s="38"/>
      <c r="L778" s="38"/>
      <c r="M778" s="38"/>
      <c r="N778" s="32" t="s">
        <v>5131</v>
      </c>
      <c r="O778" s="32" t="s">
        <v>4730</v>
      </c>
      <c r="P778" s="32">
        <v>2789.0</v>
      </c>
      <c r="Q778" s="44">
        <v>2299.0</v>
      </c>
      <c r="R778" s="40">
        <v>2299.0</v>
      </c>
      <c r="S778" s="35">
        <v>2199.0</v>
      </c>
      <c r="T778" s="36">
        <v>0.0</v>
      </c>
      <c r="U778" s="36">
        <v>0.0</v>
      </c>
      <c r="V778" s="36">
        <v>0.0</v>
      </c>
      <c r="W778" s="36">
        <v>0.0</v>
      </c>
      <c r="X778" s="36">
        <v>0.0</v>
      </c>
      <c r="Y778" s="36">
        <v>0.0</v>
      </c>
    </row>
    <row r="779">
      <c r="A779" s="32" t="s">
        <v>4892</v>
      </c>
      <c r="B779" s="32" t="s">
        <v>4892</v>
      </c>
      <c r="C779" s="32" t="s">
        <v>4893</v>
      </c>
      <c r="D779" s="46" t="s">
        <v>5221</v>
      </c>
      <c r="E779" s="47" t="s">
        <v>5102</v>
      </c>
      <c r="F779" s="32" t="e">
        <v>#N/A</v>
      </c>
      <c r="G779" s="32" t="e">
        <v>#N/A</v>
      </c>
      <c r="H779" s="37" t="s">
        <v>4892</v>
      </c>
      <c r="I779" s="37" t="s">
        <v>5102</v>
      </c>
      <c r="J779" s="32" t="s">
        <v>4895</v>
      </c>
      <c r="K779" s="38"/>
      <c r="L779" s="38"/>
      <c r="M779" s="38"/>
      <c r="N779" s="32" t="s">
        <v>5107</v>
      </c>
      <c r="O779" s="32" t="s">
        <v>4730</v>
      </c>
      <c r="P779" s="32">
        <v>2189.0</v>
      </c>
      <c r="Q779" s="44">
        <v>1792.0</v>
      </c>
      <c r="R779" s="40">
        <v>1799.0</v>
      </c>
      <c r="S779" s="35">
        <v>1641.75</v>
      </c>
      <c r="T779" s="36">
        <v>0.0</v>
      </c>
      <c r="U779" s="36">
        <v>0.0</v>
      </c>
      <c r="V779" s="36">
        <v>0.0</v>
      </c>
      <c r="W779" s="36">
        <v>0.0</v>
      </c>
      <c r="X779" s="36">
        <v>0.0</v>
      </c>
      <c r="Y779" s="36">
        <v>0.0</v>
      </c>
    </row>
    <row r="780">
      <c r="A780" s="32" t="s">
        <v>4896</v>
      </c>
      <c r="B780" s="32" t="s">
        <v>4896</v>
      </c>
      <c r="C780" s="32" t="s">
        <v>4897</v>
      </c>
      <c r="D780" s="46" t="s">
        <v>5222</v>
      </c>
      <c r="E780" s="47" t="s">
        <v>5102</v>
      </c>
      <c r="F780" s="32" t="e">
        <v>#N/A</v>
      </c>
      <c r="G780" s="32" t="e">
        <v>#N/A</v>
      </c>
      <c r="H780" s="37" t="s">
        <v>4896</v>
      </c>
      <c r="I780" s="37" t="s">
        <v>5102</v>
      </c>
      <c r="J780" s="32" t="s">
        <v>4899</v>
      </c>
      <c r="K780" s="38"/>
      <c r="L780" s="38"/>
      <c r="M780" s="38"/>
      <c r="N780" s="32" t="s">
        <v>5107</v>
      </c>
      <c r="O780" s="32" t="s">
        <v>4730</v>
      </c>
      <c r="P780" s="32">
        <v>1989.0</v>
      </c>
      <c r="Q780" s="44">
        <v>1628.0</v>
      </c>
      <c r="R780" s="40">
        <v>1628.0</v>
      </c>
      <c r="S780" s="35">
        <v>1491.75</v>
      </c>
      <c r="T780" s="36">
        <v>0.0</v>
      </c>
      <c r="U780" s="36">
        <v>0.0</v>
      </c>
      <c r="V780" s="36">
        <v>0.0</v>
      </c>
      <c r="W780" s="36">
        <v>0.0</v>
      </c>
      <c r="X780" s="36">
        <v>0.0</v>
      </c>
      <c r="Y780" s="36">
        <v>0.0</v>
      </c>
    </row>
    <row r="781">
      <c r="A781" s="32" t="s">
        <v>4900</v>
      </c>
      <c r="B781" s="32" t="s">
        <v>4900</v>
      </c>
      <c r="C781" s="32" t="s">
        <v>4901</v>
      </c>
      <c r="D781" s="46" t="s">
        <v>5223</v>
      </c>
      <c r="E781" s="47" t="s">
        <v>5102</v>
      </c>
      <c r="F781" s="32" t="e">
        <v>#N/A</v>
      </c>
      <c r="G781" s="32" t="e">
        <v>#N/A</v>
      </c>
      <c r="H781" s="37" t="s">
        <v>4900</v>
      </c>
      <c r="I781" s="37" t="s">
        <v>5102</v>
      </c>
      <c r="J781" s="32" t="s">
        <v>4903</v>
      </c>
      <c r="K781" s="38"/>
      <c r="L781" s="38"/>
      <c r="M781" s="38"/>
      <c r="N781" s="32" t="s">
        <v>5107</v>
      </c>
      <c r="O781" s="32" t="s">
        <v>4730</v>
      </c>
      <c r="P781" s="32">
        <v>1989.0</v>
      </c>
      <c r="Q781" s="44">
        <v>1628.0</v>
      </c>
      <c r="R781" s="40">
        <v>1628.0</v>
      </c>
      <c r="S781" s="35">
        <v>1491.75</v>
      </c>
      <c r="T781" s="36">
        <v>0.0</v>
      </c>
      <c r="U781" s="36">
        <v>0.0</v>
      </c>
      <c r="V781" s="36">
        <v>0.0</v>
      </c>
      <c r="W781" s="36">
        <v>0.0</v>
      </c>
      <c r="X781" s="36">
        <v>0.0</v>
      </c>
      <c r="Y781" s="36">
        <v>0.0</v>
      </c>
    </row>
    <row r="782">
      <c r="A782" s="32" t="s">
        <v>4841</v>
      </c>
      <c r="B782" s="32" t="s">
        <v>4841</v>
      </c>
      <c r="C782" s="32" t="s">
        <v>4842</v>
      </c>
      <c r="D782" s="32" t="s">
        <v>4843</v>
      </c>
      <c r="E782" s="47" t="s">
        <v>5102</v>
      </c>
      <c r="F782" s="32" t="e">
        <v>#N/A</v>
      </c>
      <c r="G782" s="32" t="e">
        <v>#N/A</v>
      </c>
      <c r="H782" s="32" t="e">
        <v>#N/A</v>
      </c>
      <c r="I782" s="32">
        <v>0.0</v>
      </c>
      <c r="J782" s="32" t="s">
        <v>5153</v>
      </c>
      <c r="K782" s="33" t="s">
        <v>4844</v>
      </c>
      <c r="L782" s="32" t="e">
        <v>#N/A</v>
      </c>
      <c r="M782" s="32" t="e">
        <v>#N/A</v>
      </c>
      <c r="N782" s="32" t="s">
        <v>4693</v>
      </c>
      <c r="O782" s="32" t="s">
        <v>1145</v>
      </c>
      <c r="P782" s="32">
        <v>3899.0</v>
      </c>
      <c r="Q782" s="34">
        <v>3299.0</v>
      </c>
      <c r="R782" s="40">
        <v>3299.0</v>
      </c>
      <c r="S782" s="35">
        <v>2999.0</v>
      </c>
      <c r="T782" s="36">
        <v>0.0</v>
      </c>
      <c r="U782" s="36">
        <v>0.0</v>
      </c>
      <c r="V782" s="36">
        <v>0.0</v>
      </c>
      <c r="W782" s="36">
        <v>0.0</v>
      </c>
      <c r="X782" s="36">
        <v>0.0</v>
      </c>
      <c r="Y782" s="36">
        <v>0.0</v>
      </c>
    </row>
    <row r="783">
      <c r="A783" s="32" t="s">
        <v>3026</v>
      </c>
      <c r="B783" s="32" t="s">
        <v>3026</v>
      </c>
      <c r="C783" s="32" t="s">
        <v>3027</v>
      </c>
      <c r="D783" s="32" t="s">
        <v>3028</v>
      </c>
      <c r="E783" s="32" t="s">
        <v>5102</v>
      </c>
      <c r="F783" s="32" t="e">
        <v>#N/A</v>
      </c>
      <c r="G783" s="32" t="e">
        <v>#N/A</v>
      </c>
      <c r="H783" s="32" t="s">
        <v>3029</v>
      </c>
      <c r="I783" s="32" t="s">
        <v>5102</v>
      </c>
      <c r="J783" s="32" t="s">
        <v>3030</v>
      </c>
      <c r="K783" s="33" t="s">
        <v>3031</v>
      </c>
      <c r="L783" s="32" t="e">
        <v>#N/A</v>
      </c>
      <c r="M783" s="32" t="e">
        <v>#N/A</v>
      </c>
      <c r="N783" s="32" t="s">
        <v>5131</v>
      </c>
      <c r="O783" s="32" t="s">
        <v>4730</v>
      </c>
      <c r="P783" s="32">
        <v>2989.0</v>
      </c>
      <c r="Q783" s="34">
        <v>2299.0</v>
      </c>
      <c r="R783" s="40">
        <v>2299.0</v>
      </c>
      <c r="S783" s="35">
        <v>2199.0</v>
      </c>
      <c r="T783" s="36">
        <v>0.0</v>
      </c>
      <c r="U783" s="36">
        <v>0.0</v>
      </c>
      <c r="V783" s="36">
        <v>0.0</v>
      </c>
      <c r="W783" s="36">
        <v>0.0</v>
      </c>
      <c r="X783" s="36">
        <v>0.0</v>
      </c>
      <c r="Y783" s="36">
        <v>0.0</v>
      </c>
    </row>
    <row r="784">
      <c r="A784" s="32" t="s">
        <v>50</v>
      </c>
      <c r="B784" s="32" t="s">
        <v>50</v>
      </c>
      <c r="C784" s="32">
        <v>0.0</v>
      </c>
      <c r="D784" s="32" t="e">
        <v>#N/A</v>
      </c>
      <c r="E784" s="39"/>
      <c r="F784" s="32" t="e">
        <v>#N/A</v>
      </c>
      <c r="G784" s="39"/>
      <c r="H784" s="32" t="e">
        <v>#N/A</v>
      </c>
      <c r="I784" s="39"/>
      <c r="J784" s="32">
        <v>0.0</v>
      </c>
      <c r="K784" s="33" t="e">
        <v>#N/A</v>
      </c>
      <c r="L784" s="32" t="e">
        <v>#N/A</v>
      </c>
      <c r="M784" s="32" t="e">
        <v>#N/A</v>
      </c>
      <c r="N784" s="33" t="s">
        <v>51</v>
      </c>
      <c r="O784" s="33" t="s">
        <v>52</v>
      </c>
      <c r="P784" s="32" t="e">
        <v>#REF!</v>
      </c>
      <c r="Q784" s="32" t="e">
        <v>#N/A</v>
      </c>
      <c r="R784" s="42" t="e">
        <v>#N/A</v>
      </c>
      <c r="S784" s="42" t="e">
        <v>#N/A</v>
      </c>
      <c r="T784" s="36">
        <v>0.0</v>
      </c>
      <c r="U784" s="36">
        <v>0.0</v>
      </c>
      <c r="V784" s="36">
        <v>0.0</v>
      </c>
      <c r="W784" s="36">
        <v>0.0</v>
      </c>
      <c r="X784" s="36">
        <v>0.0</v>
      </c>
      <c r="Y784" s="36">
        <v>0.0</v>
      </c>
    </row>
    <row r="785">
      <c r="A785" s="32" t="s">
        <v>3349</v>
      </c>
      <c r="B785" s="32" t="s">
        <v>3349</v>
      </c>
      <c r="C785" s="32" t="s">
        <v>3350</v>
      </c>
      <c r="D785" s="32" t="s">
        <v>3351</v>
      </c>
      <c r="E785" s="32" t="s">
        <v>5102</v>
      </c>
      <c r="F785" s="32" t="e">
        <v>#N/A</v>
      </c>
      <c r="G785" s="32" t="e">
        <v>#N/A</v>
      </c>
      <c r="H785" s="32" t="s">
        <v>3352</v>
      </c>
      <c r="I785" s="32" t="s">
        <v>5102</v>
      </c>
      <c r="J785" s="32" t="s">
        <v>3353</v>
      </c>
      <c r="K785" s="33" t="s">
        <v>3354</v>
      </c>
      <c r="L785" s="32">
        <v>3.1818373E7</v>
      </c>
      <c r="M785" s="32" t="e">
        <v>#N/A</v>
      </c>
      <c r="N785" s="32" t="s">
        <v>5086</v>
      </c>
      <c r="O785" s="32" t="s">
        <v>4730</v>
      </c>
      <c r="P785" s="32">
        <v>2189.0</v>
      </c>
      <c r="Q785" s="34">
        <v>1999.0</v>
      </c>
      <c r="R785" s="40">
        <v>1999.0</v>
      </c>
      <c r="S785" s="35">
        <v>1860.65</v>
      </c>
      <c r="T785" s="36">
        <v>0.0</v>
      </c>
      <c r="U785" s="36">
        <v>0.0</v>
      </c>
      <c r="V785" s="36">
        <v>0.0</v>
      </c>
      <c r="W785" s="36">
        <v>0.0</v>
      </c>
      <c r="X785" s="36">
        <v>0.0</v>
      </c>
      <c r="Y785" s="36">
        <v>0.0</v>
      </c>
    </row>
    <row r="786">
      <c r="A786" s="32" t="s">
        <v>3325</v>
      </c>
      <c r="B786" s="32" t="s">
        <v>3325</v>
      </c>
      <c r="C786" s="32" t="s">
        <v>3326</v>
      </c>
      <c r="D786" s="32" t="s">
        <v>3327</v>
      </c>
      <c r="E786" s="32" t="s">
        <v>5102</v>
      </c>
      <c r="F786" s="32" t="e">
        <v>#N/A</v>
      </c>
      <c r="G786" s="32" t="e">
        <v>#N/A</v>
      </c>
      <c r="H786" s="32" t="s">
        <v>3328</v>
      </c>
      <c r="I786" s="32" t="s">
        <v>5102</v>
      </c>
      <c r="J786" s="32" t="s">
        <v>3329</v>
      </c>
      <c r="K786" s="33" t="s">
        <v>3330</v>
      </c>
      <c r="L786" s="32">
        <v>3.1818429E7</v>
      </c>
      <c r="M786" s="32" t="e">
        <v>#N/A</v>
      </c>
      <c r="N786" s="32" t="s">
        <v>5086</v>
      </c>
      <c r="O786" s="32" t="s">
        <v>4730</v>
      </c>
      <c r="P786" s="32">
        <v>2189.0</v>
      </c>
      <c r="Q786" s="34">
        <v>1999.0</v>
      </c>
      <c r="R786" s="40">
        <v>1999.0</v>
      </c>
      <c r="S786" s="35">
        <v>1860.65</v>
      </c>
      <c r="T786" s="36">
        <v>0.0</v>
      </c>
      <c r="U786" s="36">
        <v>0.0</v>
      </c>
      <c r="V786" s="36">
        <v>0.0</v>
      </c>
      <c r="W786" s="36">
        <v>0.0</v>
      </c>
      <c r="X786" s="36">
        <v>0.0</v>
      </c>
      <c r="Y786" s="36">
        <v>0.0</v>
      </c>
    </row>
    <row r="787">
      <c r="A787" s="32" t="s">
        <v>3301</v>
      </c>
      <c r="B787" s="32" t="s">
        <v>3301</v>
      </c>
      <c r="C787" s="32" t="s">
        <v>3302</v>
      </c>
      <c r="D787" s="32" t="s">
        <v>3303</v>
      </c>
      <c r="E787" s="32" t="s">
        <v>5102</v>
      </c>
      <c r="F787" s="32" t="e">
        <v>#N/A</v>
      </c>
      <c r="G787" s="32" t="e">
        <v>#N/A</v>
      </c>
      <c r="H787" s="32" t="s">
        <v>3304</v>
      </c>
      <c r="I787" s="32" t="s">
        <v>5102</v>
      </c>
      <c r="J787" s="32" t="s">
        <v>3305</v>
      </c>
      <c r="K787" s="33" t="s">
        <v>3306</v>
      </c>
      <c r="L787" s="32">
        <v>3.1818361E7</v>
      </c>
      <c r="M787" s="32" t="e">
        <v>#N/A</v>
      </c>
      <c r="N787" s="32" t="s">
        <v>5086</v>
      </c>
      <c r="O787" s="32" t="s">
        <v>4730</v>
      </c>
      <c r="P787" s="32">
        <v>1989.0</v>
      </c>
      <c r="Q787" s="34">
        <v>1799.0</v>
      </c>
      <c r="R787" s="40">
        <v>1799.0</v>
      </c>
      <c r="S787" s="35">
        <v>1690.65</v>
      </c>
      <c r="T787" s="36">
        <v>0.0</v>
      </c>
      <c r="U787" s="36">
        <v>0.0</v>
      </c>
      <c r="V787" s="36">
        <v>0.0</v>
      </c>
      <c r="W787" s="36">
        <v>0.0</v>
      </c>
      <c r="X787" s="36">
        <v>0.0</v>
      </c>
      <c r="Y787" s="36">
        <v>0.0</v>
      </c>
    </row>
    <row r="788">
      <c r="A788" s="32" t="s">
        <v>3205</v>
      </c>
      <c r="B788" s="32" t="s">
        <v>3205</v>
      </c>
      <c r="C788" s="32" t="s">
        <v>3206</v>
      </c>
      <c r="D788" s="32" t="s">
        <v>3207</v>
      </c>
      <c r="E788" s="32" t="s">
        <v>5102</v>
      </c>
      <c r="F788" s="32" t="e">
        <v>#N/A</v>
      </c>
      <c r="G788" s="32" t="e">
        <v>#N/A</v>
      </c>
      <c r="H788" s="32" t="s">
        <v>3208</v>
      </c>
      <c r="I788" s="32" t="s">
        <v>5102</v>
      </c>
      <c r="J788" s="32" t="s">
        <v>3209</v>
      </c>
      <c r="K788" s="33" t="s">
        <v>3210</v>
      </c>
      <c r="L788" s="32">
        <v>3.181847E7</v>
      </c>
      <c r="M788" s="32" t="e">
        <v>#N/A</v>
      </c>
      <c r="N788" s="32" t="s">
        <v>5086</v>
      </c>
      <c r="O788" s="32" t="s">
        <v>4730</v>
      </c>
      <c r="P788" s="32">
        <v>1389.0</v>
      </c>
      <c r="Q788" s="34">
        <v>1249.0</v>
      </c>
      <c r="R788" s="40">
        <v>1299.0</v>
      </c>
      <c r="S788" s="35">
        <v>1180.65</v>
      </c>
      <c r="T788" s="36">
        <v>0.0</v>
      </c>
      <c r="U788" s="36">
        <v>0.0</v>
      </c>
      <c r="V788" s="36">
        <v>0.0</v>
      </c>
      <c r="W788" s="36">
        <v>0.0</v>
      </c>
      <c r="X788" s="36">
        <v>0.0</v>
      </c>
      <c r="Y788" s="36">
        <v>0.0</v>
      </c>
    </row>
    <row r="789">
      <c r="A789" s="32" t="s">
        <v>3746</v>
      </c>
      <c r="B789" s="32" t="s">
        <v>3746</v>
      </c>
      <c r="C789" s="32" t="s">
        <v>3747</v>
      </c>
      <c r="D789" s="32" t="s">
        <v>3748</v>
      </c>
      <c r="E789" s="32" t="s">
        <v>5102</v>
      </c>
      <c r="F789" s="32" t="e">
        <v>#N/A</v>
      </c>
      <c r="G789" s="32" t="e">
        <v>#N/A</v>
      </c>
      <c r="H789" s="32" t="s">
        <v>3746</v>
      </c>
      <c r="I789" s="32" t="s">
        <v>5102</v>
      </c>
      <c r="J789" s="32" t="s">
        <v>3749</v>
      </c>
      <c r="K789" s="33" t="s">
        <v>3750</v>
      </c>
      <c r="L789" s="32" t="e">
        <v>#N/A</v>
      </c>
      <c r="M789" s="32" t="e">
        <v>#N/A</v>
      </c>
      <c r="N789" s="32" t="s">
        <v>5154</v>
      </c>
      <c r="O789" s="32" t="s">
        <v>4730</v>
      </c>
      <c r="P789" s="32">
        <v>499.0</v>
      </c>
      <c r="Q789" s="34">
        <v>449.0</v>
      </c>
      <c r="R789" s="35">
        <v>449.0</v>
      </c>
      <c r="S789" s="35">
        <v>399.0</v>
      </c>
      <c r="T789" s="36">
        <v>0.0</v>
      </c>
      <c r="U789" s="36">
        <v>0.0</v>
      </c>
      <c r="V789" s="36">
        <v>0.0</v>
      </c>
      <c r="W789" s="36">
        <v>0.0</v>
      </c>
      <c r="X789" s="36">
        <v>0.0</v>
      </c>
      <c r="Y789" s="36">
        <v>0.0</v>
      </c>
    </row>
    <row r="790">
      <c r="A790" s="32" t="s">
        <v>3726</v>
      </c>
      <c r="B790" s="32" t="s">
        <v>3726</v>
      </c>
      <c r="C790" s="32" t="s">
        <v>3727</v>
      </c>
      <c r="D790" s="32" t="s">
        <v>3728</v>
      </c>
      <c r="E790" s="32" t="s">
        <v>5102</v>
      </c>
      <c r="F790" s="32" t="e">
        <v>#N/A</v>
      </c>
      <c r="G790" s="32" t="e">
        <v>#N/A</v>
      </c>
      <c r="H790" s="32" t="s">
        <v>3726</v>
      </c>
      <c r="I790" s="32" t="s">
        <v>5102</v>
      </c>
      <c r="J790" s="32" t="s">
        <v>3729</v>
      </c>
      <c r="K790" s="33" t="s">
        <v>3730</v>
      </c>
      <c r="L790" s="32" t="e">
        <v>#N/A</v>
      </c>
      <c r="M790" s="32" t="e">
        <v>#N/A</v>
      </c>
      <c r="N790" s="32" t="s">
        <v>5155</v>
      </c>
      <c r="O790" s="32" t="s">
        <v>4730</v>
      </c>
      <c r="P790" s="32">
        <v>649.0</v>
      </c>
      <c r="Q790" s="34">
        <v>599.0</v>
      </c>
      <c r="R790" s="35">
        <v>599.0</v>
      </c>
      <c r="S790" s="35">
        <v>549.0</v>
      </c>
      <c r="T790" s="36">
        <v>0.0</v>
      </c>
      <c r="U790" s="36">
        <v>0.0</v>
      </c>
      <c r="V790" s="36">
        <v>0.0</v>
      </c>
      <c r="W790" s="36">
        <v>0.0</v>
      </c>
      <c r="X790" s="36">
        <v>0.0</v>
      </c>
      <c r="Y790" s="36">
        <v>0.0</v>
      </c>
    </row>
    <row r="791">
      <c r="A791" s="32" t="s">
        <v>3604</v>
      </c>
      <c r="B791" s="32" t="s">
        <v>3604</v>
      </c>
      <c r="C791" s="32" t="s">
        <v>3605</v>
      </c>
      <c r="D791" s="32" t="s">
        <v>3606</v>
      </c>
      <c r="E791" s="32" t="s">
        <v>5102</v>
      </c>
      <c r="F791" s="32" t="e">
        <v>#N/A</v>
      </c>
      <c r="G791" s="32" t="e">
        <v>#N/A</v>
      </c>
      <c r="H791" s="32" t="s">
        <v>3604</v>
      </c>
      <c r="I791" s="32" t="s">
        <v>5102</v>
      </c>
      <c r="J791" s="32" t="s">
        <v>3607</v>
      </c>
      <c r="K791" s="33" t="s">
        <v>3608</v>
      </c>
      <c r="L791" s="32" t="e">
        <v>#N/A</v>
      </c>
      <c r="M791" s="32" t="e">
        <v>#N/A</v>
      </c>
      <c r="N791" s="32" t="s">
        <v>5155</v>
      </c>
      <c r="O791" s="32" t="s">
        <v>4730</v>
      </c>
      <c r="P791" s="32">
        <v>549.0</v>
      </c>
      <c r="Q791" s="34">
        <v>499.0</v>
      </c>
      <c r="R791" s="35">
        <v>499.0</v>
      </c>
      <c r="S791" s="35">
        <v>449.0</v>
      </c>
      <c r="T791" s="36">
        <v>0.0</v>
      </c>
      <c r="U791" s="36">
        <v>0.0</v>
      </c>
      <c r="V791" s="36">
        <v>0.0</v>
      </c>
      <c r="W791" s="36">
        <v>0.0</v>
      </c>
      <c r="X791" s="36">
        <v>0.0</v>
      </c>
      <c r="Y791" s="36">
        <v>0.0</v>
      </c>
    </row>
    <row r="792">
      <c r="A792" s="32" t="s">
        <v>2050</v>
      </c>
      <c r="B792" s="32" t="s">
        <v>2050</v>
      </c>
      <c r="C792" s="32" t="s">
        <v>2051</v>
      </c>
      <c r="D792" s="32" t="s">
        <v>2052</v>
      </c>
      <c r="E792" s="32" t="s">
        <v>5102</v>
      </c>
      <c r="F792" s="32" t="e">
        <v>#N/A</v>
      </c>
      <c r="G792" s="32" t="e">
        <v>#N/A</v>
      </c>
      <c r="H792" s="32" t="s">
        <v>2053</v>
      </c>
      <c r="I792" s="32" t="s">
        <v>5102</v>
      </c>
      <c r="J792" s="32" t="s">
        <v>2054</v>
      </c>
      <c r="K792" s="33" t="s">
        <v>2055</v>
      </c>
      <c r="L792" s="32">
        <v>3.2789217E7</v>
      </c>
      <c r="M792" s="32" t="s">
        <v>2056</v>
      </c>
      <c r="N792" s="32" t="s">
        <v>5138</v>
      </c>
      <c r="O792" s="32" t="s">
        <v>52</v>
      </c>
      <c r="P792" s="32">
        <v>22999.0</v>
      </c>
      <c r="Q792" s="34">
        <v>20699.0</v>
      </c>
      <c r="R792" s="40">
        <v>20699.0</v>
      </c>
      <c r="S792" s="35">
        <v>18399.2</v>
      </c>
      <c r="T792" s="36">
        <v>0.0</v>
      </c>
      <c r="U792" s="36">
        <v>0.0</v>
      </c>
      <c r="V792" s="36">
        <v>0.0</v>
      </c>
      <c r="W792" s="36">
        <v>0.0</v>
      </c>
      <c r="X792" s="36">
        <v>0.0</v>
      </c>
      <c r="Y792" s="36">
        <v>0.0</v>
      </c>
    </row>
    <row r="793">
      <c r="A793" s="32" t="s">
        <v>2111</v>
      </c>
      <c r="B793" s="32" t="s">
        <v>2111</v>
      </c>
      <c r="C793" s="32" t="s">
        <v>2112</v>
      </c>
      <c r="D793" s="32" t="s">
        <v>2113</v>
      </c>
      <c r="E793" s="32" t="s">
        <v>5102</v>
      </c>
      <c r="F793" s="32" t="e">
        <v>#N/A</v>
      </c>
      <c r="G793" s="32" t="e">
        <v>#N/A</v>
      </c>
      <c r="H793" s="32" t="s">
        <v>2114</v>
      </c>
      <c r="I793" s="32" t="s">
        <v>5102</v>
      </c>
      <c r="J793" s="32" t="s">
        <v>2115</v>
      </c>
      <c r="K793" s="33" t="s">
        <v>2116</v>
      </c>
      <c r="L793" s="32">
        <v>3.2789222E7</v>
      </c>
      <c r="M793" s="32" t="s">
        <v>2117</v>
      </c>
      <c r="N793" s="32" t="s">
        <v>5138</v>
      </c>
      <c r="O793" s="32" t="s">
        <v>52</v>
      </c>
      <c r="P793" s="32">
        <v>29999.0</v>
      </c>
      <c r="Q793" s="34">
        <v>26999.0</v>
      </c>
      <c r="R793" s="40">
        <v>26999.0</v>
      </c>
      <c r="S793" s="35">
        <v>23999.2</v>
      </c>
      <c r="T793" s="36">
        <v>0.0</v>
      </c>
      <c r="U793" s="36">
        <v>0.0</v>
      </c>
      <c r="V793" s="36">
        <v>0.0</v>
      </c>
      <c r="W793" s="36">
        <v>0.0</v>
      </c>
      <c r="X793" s="36">
        <v>0.0</v>
      </c>
      <c r="Y793" s="36">
        <v>0.0</v>
      </c>
    </row>
    <row r="794">
      <c r="A794" s="32" t="s">
        <v>2118</v>
      </c>
      <c r="B794" s="32" t="s">
        <v>2118</v>
      </c>
      <c r="C794" s="32" t="s">
        <v>2119</v>
      </c>
      <c r="D794" s="32" t="s">
        <v>2120</v>
      </c>
      <c r="E794" s="32" t="s">
        <v>5102</v>
      </c>
      <c r="F794" s="32" t="e">
        <v>#N/A</v>
      </c>
      <c r="G794" s="32" t="e">
        <v>#N/A</v>
      </c>
      <c r="H794" s="32" t="s">
        <v>2121</v>
      </c>
      <c r="I794" s="32" t="s">
        <v>5102</v>
      </c>
      <c r="J794" s="32" t="s">
        <v>2122</v>
      </c>
      <c r="K794" s="33" t="s">
        <v>2123</v>
      </c>
      <c r="L794" s="32" t="e">
        <v>#N/A</v>
      </c>
      <c r="M794" s="32" t="s">
        <v>2124</v>
      </c>
      <c r="N794" s="32" t="s">
        <v>5138</v>
      </c>
      <c r="O794" s="32" t="s">
        <v>52</v>
      </c>
      <c r="P794" s="32">
        <v>29999.0</v>
      </c>
      <c r="Q794" s="34">
        <v>26999.0</v>
      </c>
      <c r="R794" s="40">
        <v>26999.0</v>
      </c>
      <c r="S794" s="35">
        <v>23999.2</v>
      </c>
      <c r="T794" s="36">
        <v>0.0</v>
      </c>
      <c r="U794" s="36">
        <v>0.0</v>
      </c>
      <c r="V794" s="36">
        <v>0.0</v>
      </c>
      <c r="W794" s="36">
        <v>0.0</v>
      </c>
      <c r="X794" s="36">
        <v>0.0</v>
      </c>
      <c r="Y794" s="36">
        <v>0.0</v>
      </c>
    </row>
    <row r="795">
      <c r="A795" s="32" t="s">
        <v>2125</v>
      </c>
      <c r="B795" s="32" t="s">
        <v>2125</v>
      </c>
      <c r="C795" s="32" t="s">
        <v>2126</v>
      </c>
      <c r="D795" s="32" t="s">
        <v>2127</v>
      </c>
      <c r="E795" s="32" t="s">
        <v>5102</v>
      </c>
      <c r="F795" s="32" t="e">
        <v>#N/A</v>
      </c>
      <c r="G795" s="32" t="e">
        <v>#N/A</v>
      </c>
      <c r="H795" s="32" t="s">
        <v>2128</v>
      </c>
      <c r="I795" s="32" t="s">
        <v>5102</v>
      </c>
      <c r="J795" s="32" t="s">
        <v>2129</v>
      </c>
      <c r="K795" s="33" t="s">
        <v>2130</v>
      </c>
      <c r="L795" s="32">
        <v>3.278923E7</v>
      </c>
      <c r="M795" s="32" t="s">
        <v>2131</v>
      </c>
      <c r="N795" s="32" t="s">
        <v>5138</v>
      </c>
      <c r="O795" s="32" t="s">
        <v>52</v>
      </c>
      <c r="P795" s="32">
        <v>29999.0</v>
      </c>
      <c r="Q795" s="34">
        <v>26999.0</v>
      </c>
      <c r="R795" s="40">
        <v>26999.0</v>
      </c>
      <c r="S795" s="35">
        <v>23999.2</v>
      </c>
      <c r="T795" s="36">
        <v>0.0</v>
      </c>
      <c r="U795" s="36">
        <v>0.0</v>
      </c>
      <c r="V795" s="36">
        <v>0.0</v>
      </c>
      <c r="W795" s="36">
        <v>0.0</v>
      </c>
      <c r="X795" s="36">
        <v>0.0</v>
      </c>
      <c r="Y795" s="36">
        <v>0.0</v>
      </c>
    </row>
    <row r="796">
      <c r="A796" s="32" t="s">
        <v>2132</v>
      </c>
      <c r="B796" s="32" t="s">
        <v>2132</v>
      </c>
      <c r="C796" s="32" t="s">
        <v>2133</v>
      </c>
      <c r="D796" s="32" t="s">
        <v>2134</v>
      </c>
      <c r="E796" s="32" t="s">
        <v>5102</v>
      </c>
      <c r="F796" s="32" t="e">
        <v>#N/A</v>
      </c>
      <c r="G796" s="32" t="e">
        <v>#N/A</v>
      </c>
      <c r="H796" s="32" t="s">
        <v>2135</v>
      </c>
      <c r="I796" s="32" t="s">
        <v>5102</v>
      </c>
      <c r="J796" s="32">
        <v>0.0</v>
      </c>
      <c r="K796" s="33" t="s">
        <v>2136</v>
      </c>
      <c r="L796" s="32">
        <v>3.2789214E7</v>
      </c>
      <c r="M796" s="32" t="s">
        <v>2137</v>
      </c>
      <c r="N796" s="32" t="s">
        <v>5138</v>
      </c>
      <c r="O796" s="32" t="s">
        <v>52</v>
      </c>
      <c r="P796" s="32">
        <v>31999.0</v>
      </c>
      <c r="Q796" s="34">
        <v>28799.0</v>
      </c>
      <c r="R796" s="40">
        <v>28799.0</v>
      </c>
      <c r="S796" s="35">
        <v>25599.2</v>
      </c>
      <c r="T796" s="36">
        <v>0.0</v>
      </c>
      <c r="U796" s="36">
        <v>0.0</v>
      </c>
      <c r="V796" s="36">
        <v>0.0</v>
      </c>
      <c r="W796" s="36">
        <v>0.0</v>
      </c>
      <c r="X796" s="36">
        <v>0.0</v>
      </c>
      <c r="Y796" s="36">
        <v>0.0</v>
      </c>
    </row>
    <row r="797">
      <c r="A797" s="32" t="s">
        <v>2071</v>
      </c>
      <c r="B797" s="32" t="s">
        <v>2071</v>
      </c>
      <c r="C797" s="32" t="s">
        <v>2072</v>
      </c>
      <c r="D797" s="32" t="s">
        <v>2073</v>
      </c>
      <c r="E797" s="32" t="s">
        <v>5102</v>
      </c>
      <c r="F797" s="32" t="e">
        <v>#N/A</v>
      </c>
      <c r="G797" s="32" t="e">
        <v>#N/A</v>
      </c>
      <c r="H797" s="32" t="s">
        <v>2074</v>
      </c>
      <c r="I797" s="32" t="s">
        <v>5102</v>
      </c>
      <c r="J797" s="32" t="s">
        <v>2075</v>
      </c>
      <c r="K797" s="33" t="s">
        <v>2076</v>
      </c>
      <c r="L797" s="32">
        <v>3.2789227E7</v>
      </c>
      <c r="M797" s="32" t="s">
        <v>2077</v>
      </c>
      <c r="N797" s="32" t="s">
        <v>5138</v>
      </c>
      <c r="O797" s="32" t="s">
        <v>52</v>
      </c>
      <c r="P797" s="32">
        <v>25999.0</v>
      </c>
      <c r="Q797" s="34">
        <v>23399.0</v>
      </c>
      <c r="R797" s="40">
        <v>23399.0</v>
      </c>
      <c r="S797" s="35">
        <v>20799.2</v>
      </c>
      <c r="T797" s="36">
        <v>0.0</v>
      </c>
      <c r="U797" s="36">
        <v>0.0</v>
      </c>
      <c r="V797" s="36">
        <v>0.0</v>
      </c>
      <c r="W797" s="36">
        <v>0.0</v>
      </c>
      <c r="X797" s="36">
        <v>0.0</v>
      </c>
      <c r="Y797" s="36">
        <v>0.0</v>
      </c>
    </row>
    <row r="798">
      <c r="A798" s="32" t="s">
        <v>2092</v>
      </c>
      <c r="B798" s="32" t="s">
        <v>2092</v>
      </c>
      <c r="C798" s="32" t="s">
        <v>2093</v>
      </c>
      <c r="D798" s="32" t="s">
        <v>2094</v>
      </c>
      <c r="E798" s="32" t="s">
        <v>5102</v>
      </c>
      <c r="F798" s="32" t="e">
        <v>#N/A</v>
      </c>
      <c r="G798" s="32" t="e">
        <v>#N/A</v>
      </c>
      <c r="H798" s="32" t="s">
        <v>2095</v>
      </c>
      <c r="I798" s="32" t="s">
        <v>5102</v>
      </c>
      <c r="J798" s="32">
        <v>0.0</v>
      </c>
      <c r="K798" s="33" t="s">
        <v>2096</v>
      </c>
      <c r="L798" s="32" t="e">
        <v>#N/A</v>
      </c>
      <c r="M798" s="32" t="s">
        <v>2097</v>
      </c>
      <c r="N798" s="32" t="s">
        <v>5138</v>
      </c>
      <c r="O798" s="32" t="s">
        <v>52</v>
      </c>
      <c r="P798" s="32">
        <v>27999.0</v>
      </c>
      <c r="Q798" s="34">
        <v>25199.0</v>
      </c>
      <c r="R798" s="40">
        <v>25199.0</v>
      </c>
      <c r="S798" s="35">
        <v>22399.2</v>
      </c>
      <c r="T798" s="36">
        <v>0.0</v>
      </c>
      <c r="U798" s="36">
        <v>0.0</v>
      </c>
      <c r="V798" s="36">
        <v>0.0</v>
      </c>
      <c r="W798" s="36">
        <v>0.0</v>
      </c>
      <c r="X798" s="36">
        <v>0.0</v>
      </c>
      <c r="Y798" s="36">
        <v>0.0</v>
      </c>
    </row>
    <row r="799">
      <c r="A799" s="32" t="s">
        <v>2078</v>
      </c>
      <c r="B799" s="32" t="s">
        <v>2078</v>
      </c>
      <c r="C799" s="32" t="s">
        <v>2079</v>
      </c>
      <c r="D799" s="32" t="s">
        <v>2080</v>
      </c>
      <c r="E799" s="32" t="s">
        <v>5102</v>
      </c>
      <c r="F799" s="32" t="e">
        <v>#N/A</v>
      </c>
      <c r="G799" s="32" t="e">
        <v>#N/A</v>
      </c>
      <c r="H799" s="32" t="s">
        <v>2081</v>
      </c>
      <c r="I799" s="32" t="s">
        <v>5102</v>
      </c>
      <c r="J799" s="32" t="s">
        <v>2082</v>
      </c>
      <c r="K799" s="33" t="s">
        <v>2083</v>
      </c>
      <c r="L799" s="32">
        <v>3.2789213E7</v>
      </c>
      <c r="M799" s="32" t="s">
        <v>2084</v>
      </c>
      <c r="N799" s="32" t="s">
        <v>5138</v>
      </c>
      <c r="O799" s="32" t="s">
        <v>52</v>
      </c>
      <c r="P799" s="32">
        <v>25999.0</v>
      </c>
      <c r="Q799" s="34">
        <v>23399.0</v>
      </c>
      <c r="R799" s="40">
        <v>23399.0</v>
      </c>
      <c r="S799" s="35">
        <v>20799.2</v>
      </c>
      <c r="T799" s="36">
        <v>0.0</v>
      </c>
      <c r="U799" s="36">
        <v>0.0</v>
      </c>
      <c r="V799" s="36">
        <v>0.0</v>
      </c>
      <c r="W799" s="36">
        <v>0.0</v>
      </c>
      <c r="X799" s="36">
        <v>0.0</v>
      </c>
      <c r="Y799" s="36">
        <v>0.0</v>
      </c>
    </row>
    <row r="800">
      <c r="A800" s="32" t="s">
        <v>2098</v>
      </c>
      <c r="B800" s="32" t="s">
        <v>2098</v>
      </c>
      <c r="C800" s="32" t="s">
        <v>2099</v>
      </c>
      <c r="D800" s="32" t="s">
        <v>2100</v>
      </c>
      <c r="E800" s="32" t="s">
        <v>5102</v>
      </c>
      <c r="F800" s="32" t="e">
        <v>#N/A</v>
      </c>
      <c r="G800" s="32" t="e">
        <v>#N/A</v>
      </c>
      <c r="H800" s="32" t="s">
        <v>2101</v>
      </c>
      <c r="I800" s="32" t="s">
        <v>5102</v>
      </c>
      <c r="J800" s="32">
        <v>0.0</v>
      </c>
      <c r="K800" s="33" t="s">
        <v>2102</v>
      </c>
      <c r="L800" s="32">
        <v>3.2789231E7</v>
      </c>
      <c r="M800" s="32" t="s">
        <v>2103</v>
      </c>
      <c r="N800" s="32" t="s">
        <v>5138</v>
      </c>
      <c r="O800" s="32" t="s">
        <v>52</v>
      </c>
      <c r="P800" s="32">
        <v>27999.0</v>
      </c>
      <c r="Q800" s="34">
        <v>25199.0</v>
      </c>
      <c r="R800" s="40">
        <v>25199.0</v>
      </c>
      <c r="S800" s="35">
        <v>22399.2</v>
      </c>
      <c r="T800" s="36">
        <v>0.0</v>
      </c>
      <c r="U800" s="36">
        <v>0.0</v>
      </c>
      <c r="V800" s="36">
        <v>0.0</v>
      </c>
      <c r="W800" s="36">
        <v>0.0</v>
      </c>
      <c r="X800" s="36">
        <v>0.0</v>
      </c>
      <c r="Y800" s="36">
        <v>0.0</v>
      </c>
    </row>
    <row r="801">
      <c r="A801" s="32" t="s">
        <v>2085</v>
      </c>
      <c r="B801" s="32" t="s">
        <v>2085</v>
      </c>
      <c r="C801" s="32" t="s">
        <v>2086</v>
      </c>
      <c r="D801" s="32" t="s">
        <v>2087</v>
      </c>
      <c r="E801" s="32" t="s">
        <v>5102</v>
      </c>
      <c r="F801" s="32" t="e">
        <v>#N/A</v>
      </c>
      <c r="G801" s="32" t="e">
        <v>#N/A</v>
      </c>
      <c r="H801" s="32" t="s">
        <v>2088</v>
      </c>
      <c r="I801" s="32" t="s">
        <v>5102</v>
      </c>
      <c r="J801" s="32" t="s">
        <v>2089</v>
      </c>
      <c r="K801" s="33" t="s">
        <v>2090</v>
      </c>
      <c r="L801" s="32">
        <v>3.2789228E7</v>
      </c>
      <c r="M801" s="32" t="s">
        <v>2091</v>
      </c>
      <c r="N801" s="32" t="s">
        <v>5138</v>
      </c>
      <c r="O801" s="32" t="s">
        <v>52</v>
      </c>
      <c r="P801" s="32">
        <v>25999.0</v>
      </c>
      <c r="Q801" s="34">
        <v>23399.0</v>
      </c>
      <c r="R801" s="40">
        <v>23399.0</v>
      </c>
      <c r="S801" s="35">
        <v>20799.2</v>
      </c>
      <c r="T801" s="36">
        <v>0.0</v>
      </c>
      <c r="U801" s="36">
        <v>0.0</v>
      </c>
      <c r="V801" s="36">
        <v>0.0</v>
      </c>
      <c r="W801" s="36">
        <v>0.0</v>
      </c>
      <c r="X801" s="36">
        <v>0.0</v>
      </c>
      <c r="Y801" s="36">
        <v>0.0</v>
      </c>
    </row>
    <row r="802">
      <c r="A802" s="32" t="s">
        <v>2104</v>
      </c>
      <c r="B802" s="32" t="s">
        <v>2104</v>
      </c>
      <c r="C802" s="32" t="s">
        <v>2105</v>
      </c>
      <c r="D802" s="32" t="s">
        <v>2106</v>
      </c>
      <c r="E802" s="32" t="s">
        <v>5102</v>
      </c>
      <c r="F802" s="32" t="e">
        <v>#N/A</v>
      </c>
      <c r="G802" s="32" t="e">
        <v>#N/A</v>
      </c>
      <c r="H802" s="32" t="s">
        <v>2107</v>
      </c>
      <c r="I802" s="32" t="s">
        <v>5102</v>
      </c>
      <c r="J802" s="32" t="s">
        <v>2108</v>
      </c>
      <c r="K802" s="33" t="s">
        <v>2109</v>
      </c>
      <c r="L802" s="32">
        <v>3.2789223E7</v>
      </c>
      <c r="M802" s="32" t="s">
        <v>2110</v>
      </c>
      <c r="N802" s="32" t="s">
        <v>5138</v>
      </c>
      <c r="O802" s="32" t="s">
        <v>52</v>
      </c>
      <c r="P802" s="32">
        <v>27999.0</v>
      </c>
      <c r="Q802" s="34">
        <v>25199.0</v>
      </c>
      <c r="R802" s="40">
        <v>25199.0</v>
      </c>
      <c r="S802" s="35">
        <v>22399.2</v>
      </c>
      <c r="T802" s="36">
        <v>0.0</v>
      </c>
      <c r="U802" s="36">
        <v>0.0</v>
      </c>
      <c r="V802" s="36">
        <v>0.0</v>
      </c>
      <c r="W802" s="36">
        <v>0.0</v>
      </c>
      <c r="X802" s="36">
        <v>0.0</v>
      </c>
      <c r="Y802" s="36">
        <v>0.0</v>
      </c>
    </row>
    <row r="803">
      <c r="A803" s="32" t="s">
        <v>2025</v>
      </c>
      <c r="B803" s="32" t="s">
        <v>2025</v>
      </c>
      <c r="C803" s="32" t="s">
        <v>2026</v>
      </c>
      <c r="D803" s="32" t="s">
        <v>2027</v>
      </c>
      <c r="E803" s="32" t="s">
        <v>5102</v>
      </c>
      <c r="F803" s="32" t="e">
        <v>#N/A</v>
      </c>
      <c r="G803" s="32" t="e">
        <v>#N/A</v>
      </c>
      <c r="H803" s="32" t="s">
        <v>2028</v>
      </c>
      <c r="I803" s="32" t="s">
        <v>5102</v>
      </c>
      <c r="J803" s="32">
        <v>0.0</v>
      </c>
      <c r="K803" s="33" t="s">
        <v>2029</v>
      </c>
      <c r="L803" s="32" t="e">
        <v>#N/A</v>
      </c>
      <c r="M803" s="32" t="s">
        <v>2030</v>
      </c>
      <c r="N803" s="32" t="s">
        <v>5138</v>
      </c>
      <c r="O803" s="32" t="s">
        <v>52</v>
      </c>
      <c r="P803" s="32">
        <v>17999.0</v>
      </c>
      <c r="Q803" s="34">
        <v>16199.0</v>
      </c>
      <c r="R803" s="40">
        <v>16199.0</v>
      </c>
      <c r="S803" s="35">
        <v>14399.2</v>
      </c>
      <c r="T803" s="36">
        <v>0.0</v>
      </c>
      <c r="U803" s="36">
        <v>0.0</v>
      </c>
      <c r="V803" s="36">
        <v>0.0</v>
      </c>
      <c r="W803" s="36">
        <v>0.0</v>
      </c>
      <c r="X803" s="36">
        <v>0.0</v>
      </c>
      <c r="Y803" s="36">
        <v>0.0</v>
      </c>
    </row>
    <row r="804">
      <c r="A804" s="32" t="s">
        <v>2031</v>
      </c>
      <c r="B804" s="32" t="s">
        <v>2031</v>
      </c>
      <c r="C804" s="32" t="s">
        <v>2032</v>
      </c>
      <c r="D804" s="32" t="s">
        <v>2033</v>
      </c>
      <c r="E804" s="32" t="s">
        <v>5102</v>
      </c>
      <c r="F804" s="32" t="e">
        <v>#N/A</v>
      </c>
      <c r="G804" s="32" t="e">
        <v>#N/A</v>
      </c>
      <c r="H804" s="32" t="s">
        <v>2034</v>
      </c>
      <c r="I804" s="32" t="s">
        <v>5102</v>
      </c>
      <c r="J804" s="32" t="s">
        <v>2035</v>
      </c>
      <c r="K804" s="33" t="s">
        <v>2036</v>
      </c>
      <c r="L804" s="32">
        <v>3.2789232E7</v>
      </c>
      <c r="M804" s="32" t="s">
        <v>2037</v>
      </c>
      <c r="N804" s="32" t="s">
        <v>5138</v>
      </c>
      <c r="O804" s="32" t="s">
        <v>52</v>
      </c>
      <c r="P804" s="32">
        <v>19999.0</v>
      </c>
      <c r="Q804" s="34">
        <v>17999.0</v>
      </c>
      <c r="R804" s="40">
        <v>17999.0</v>
      </c>
      <c r="S804" s="35">
        <v>15999.2</v>
      </c>
      <c r="T804" s="36">
        <v>0.0</v>
      </c>
      <c r="U804" s="36">
        <v>0.0</v>
      </c>
      <c r="V804" s="36">
        <v>0.0</v>
      </c>
      <c r="W804" s="36">
        <v>0.0</v>
      </c>
      <c r="X804" s="36">
        <v>0.0</v>
      </c>
      <c r="Y804" s="36">
        <v>0.0</v>
      </c>
    </row>
    <row r="805">
      <c r="A805" s="32" t="s">
        <v>2038</v>
      </c>
      <c r="B805" s="32" t="s">
        <v>2038</v>
      </c>
      <c r="C805" s="32" t="s">
        <v>2039</v>
      </c>
      <c r="D805" s="32" t="s">
        <v>2040</v>
      </c>
      <c r="E805" s="32" t="s">
        <v>5102</v>
      </c>
      <c r="F805" s="32" t="e">
        <v>#N/A</v>
      </c>
      <c r="G805" s="32" t="e">
        <v>#N/A</v>
      </c>
      <c r="H805" s="32" t="s">
        <v>2041</v>
      </c>
      <c r="I805" s="32" t="s">
        <v>5102</v>
      </c>
      <c r="J805" s="32">
        <v>0.0</v>
      </c>
      <c r="K805" s="33" t="s">
        <v>2042</v>
      </c>
      <c r="L805" s="32">
        <v>3.2789219E7</v>
      </c>
      <c r="M805" s="32" t="s">
        <v>2043</v>
      </c>
      <c r="N805" s="32" t="s">
        <v>5138</v>
      </c>
      <c r="O805" s="32" t="s">
        <v>52</v>
      </c>
      <c r="P805" s="32">
        <v>19999.0</v>
      </c>
      <c r="Q805" s="34">
        <v>17999.0</v>
      </c>
      <c r="R805" s="40">
        <v>17999.0</v>
      </c>
      <c r="S805" s="35">
        <v>15999.2</v>
      </c>
      <c r="T805" s="36">
        <v>0.0</v>
      </c>
      <c r="U805" s="36">
        <v>0.0</v>
      </c>
      <c r="V805" s="36">
        <v>0.0</v>
      </c>
      <c r="W805" s="36">
        <v>0.0</v>
      </c>
      <c r="X805" s="36">
        <v>0.0</v>
      </c>
      <c r="Y805" s="36">
        <v>0.0</v>
      </c>
    </row>
    <row r="806">
      <c r="A806" s="32" t="s">
        <v>2415</v>
      </c>
      <c r="B806" s="32" t="s">
        <v>2415</v>
      </c>
      <c r="C806" s="32" t="s">
        <v>4753</v>
      </c>
      <c r="D806" s="32" t="s">
        <v>4754</v>
      </c>
      <c r="E806" s="32" t="s">
        <v>5073</v>
      </c>
      <c r="F806" s="32" t="e">
        <v>#N/A</v>
      </c>
      <c r="G806" s="32" t="e">
        <v>#N/A</v>
      </c>
      <c r="H806" s="32" t="s">
        <v>5156</v>
      </c>
      <c r="I806" s="32" t="s">
        <v>5102</v>
      </c>
      <c r="J806" s="32" t="s">
        <v>2417</v>
      </c>
      <c r="K806" s="33" t="s">
        <v>4755</v>
      </c>
      <c r="L806" s="32" t="e">
        <v>#N/A</v>
      </c>
      <c r="M806" s="32" t="e">
        <v>#N/A</v>
      </c>
      <c r="N806" s="32" t="s">
        <v>5074</v>
      </c>
      <c r="O806" s="32" t="s">
        <v>1145</v>
      </c>
      <c r="P806" s="32">
        <v>2599.0</v>
      </c>
      <c r="Q806" s="34">
        <v>2199.0</v>
      </c>
      <c r="R806" s="40">
        <v>2499.0</v>
      </c>
      <c r="S806" s="35">
        <v>1899.0</v>
      </c>
      <c r="T806" s="36">
        <v>0.0</v>
      </c>
      <c r="U806" s="36">
        <v>0.0</v>
      </c>
      <c r="V806" s="36">
        <v>0.0</v>
      </c>
      <c r="W806" s="36">
        <v>0.0</v>
      </c>
      <c r="X806" s="36">
        <v>0.0</v>
      </c>
      <c r="Y806" s="36">
        <v>0.0</v>
      </c>
    </row>
    <row r="807">
      <c r="A807" s="32" t="s">
        <v>2397</v>
      </c>
      <c r="B807" s="32" t="s">
        <v>2397</v>
      </c>
      <c r="C807" s="32" t="s">
        <v>2398</v>
      </c>
      <c r="D807" s="32" t="s">
        <v>2399</v>
      </c>
      <c r="E807" s="32" t="s">
        <v>5073</v>
      </c>
      <c r="F807" s="32" t="s">
        <v>2400</v>
      </c>
      <c r="G807" s="32" t="s">
        <v>5073</v>
      </c>
      <c r="H807" s="32">
        <v>0.0</v>
      </c>
      <c r="I807" s="32">
        <v>0.0</v>
      </c>
      <c r="J807" s="32" t="s">
        <v>2401</v>
      </c>
      <c r="K807" s="33" t="s">
        <v>2402</v>
      </c>
      <c r="L807" s="32">
        <v>3.277766E7</v>
      </c>
      <c r="M807" s="32" t="s">
        <v>2403</v>
      </c>
      <c r="N807" s="32" t="s">
        <v>5074</v>
      </c>
      <c r="O807" s="32" t="s">
        <v>1145</v>
      </c>
      <c r="P807" s="32">
        <v>2199.0</v>
      </c>
      <c r="Q807" s="34">
        <v>1899.0</v>
      </c>
      <c r="R807" s="40">
        <v>1899.0</v>
      </c>
      <c r="S807" s="35">
        <v>1799.0</v>
      </c>
      <c r="T807" s="36">
        <v>0.0</v>
      </c>
      <c r="U807" s="36">
        <v>0.0</v>
      </c>
      <c r="V807" s="36">
        <v>0.0</v>
      </c>
      <c r="W807" s="36">
        <v>0.0</v>
      </c>
      <c r="X807" s="36">
        <v>0.0</v>
      </c>
      <c r="Y807" s="36">
        <v>0.0</v>
      </c>
    </row>
    <row r="808">
      <c r="A808" s="32" t="s">
        <v>2418</v>
      </c>
      <c r="B808" s="32" t="s">
        <v>2418</v>
      </c>
      <c r="C808" s="32" t="s">
        <v>2419</v>
      </c>
      <c r="D808" s="32" t="s">
        <v>2420</v>
      </c>
      <c r="E808" s="32" t="s">
        <v>5073</v>
      </c>
      <c r="F808" s="32" t="e">
        <v>#N/A</v>
      </c>
      <c r="G808" s="32" t="e">
        <v>#N/A</v>
      </c>
      <c r="H808" s="32" t="s">
        <v>2421</v>
      </c>
      <c r="I808" s="32" t="s">
        <v>5073</v>
      </c>
      <c r="J808" s="32" t="s">
        <v>2422</v>
      </c>
      <c r="K808" s="33" t="s">
        <v>2423</v>
      </c>
      <c r="L808" s="32" t="e">
        <v>#N/A</v>
      </c>
      <c r="M808" s="32" t="e">
        <v>#N/A</v>
      </c>
      <c r="N808" s="32" t="s">
        <v>5074</v>
      </c>
      <c r="O808" s="32" t="s">
        <v>1145</v>
      </c>
      <c r="P808" s="32">
        <v>5956.0</v>
      </c>
      <c r="Q808" s="34">
        <v>4399.0</v>
      </c>
      <c r="R808" s="40">
        <v>4899.0</v>
      </c>
      <c r="S808" s="35">
        <v>3899.0</v>
      </c>
      <c r="T808" s="36">
        <v>0.0</v>
      </c>
      <c r="U808" s="36">
        <v>0.0</v>
      </c>
      <c r="V808" s="36">
        <v>0.0</v>
      </c>
      <c r="W808" s="36">
        <v>0.0</v>
      </c>
      <c r="X808" s="36">
        <v>0.0</v>
      </c>
      <c r="Y808" s="36">
        <v>0.0</v>
      </c>
    </row>
    <row r="809">
      <c r="A809" s="32" t="s">
        <v>2404</v>
      </c>
      <c r="B809" s="32" t="s">
        <v>2404</v>
      </c>
      <c r="C809" s="32" t="s">
        <v>2405</v>
      </c>
      <c r="D809" s="32" t="s">
        <v>2406</v>
      </c>
      <c r="E809" s="32" t="s">
        <v>5073</v>
      </c>
      <c r="F809" s="32" t="e">
        <v>#N/A</v>
      </c>
      <c r="G809" s="32" t="e">
        <v>#N/A</v>
      </c>
      <c r="H809" s="32" t="s">
        <v>2407</v>
      </c>
      <c r="I809" s="32" t="s">
        <v>5117</v>
      </c>
      <c r="J809" s="32" t="s">
        <v>2408</v>
      </c>
      <c r="K809" s="33" t="s">
        <v>2409</v>
      </c>
      <c r="L809" s="32">
        <v>3.2777662E7</v>
      </c>
      <c r="M809" s="32" t="s">
        <v>2410</v>
      </c>
      <c r="N809" s="32" t="s">
        <v>5074</v>
      </c>
      <c r="O809" s="32" t="s">
        <v>1145</v>
      </c>
      <c r="P809" s="32">
        <v>3999.0</v>
      </c>
      <c r="Q809" s="34">
        <v>3799.0</v>
      </c>
      <c r="R809" s="40">
        <v>3699.0</v>
      </c>
      <c r="S809" s="35">
        <v>3699.0</v>
      </c>
      <c r="T809" s="36">
        <v>0.0</v>
      </c>
      <c r="U809" s="36">
        <v>0.0</v>
      </c>
      <c r="V809" s="36">
        <v>0.0</v>
      </c>
      <c r="W809" s="36">
        <v>0.0</v>
      </c>
      <c r="X809" s="36">
        <v>0.0</v>
      </c>
      <c r="Y809" s="36">
        <v>0.0</v>
      </c>
    </row>
    <row r="810">
      <c r="A810" s="32" t="s">
        <v>4822</v>
      </c>
      <c r="B810" s="32" t="s">
        <v>4822</v>
      </c>
      <c r="C810" s="32" t="s">
        <v>4823</v>
      </c>
      <c r="D810" s="32" t="s">
        <v>4824</v>
      </c>
      <c r="E810" s="32" t="s">
        <v>5073</v>
      </c>
      <c r="F810" s="32" t="e">
        <v>#N/A</v>
      </c>
      <c r="G810" s="32" t="e">
        <v>#N/A</v>
      </c>
      <c r="H810" s="32" t="e">
        <v>#N/A</v>
      </c>
      <c r="I810" s="32">
        <v>0.0</v>
      </c>
      <c r="J810" s="32" t="s">
        <v>4825</v>
      </c>
      <c r="K810" s="33" t="s">
        <v>4826</v>
      </c>
      <c r="L810" s="32" t="e">
        <v>#N/A</v>
      </c>
      <c r="M810" s="32" t="e">
        <v>#N/A</v>
      </c>
      <c r="N810" s="32" t="s">
        <v>5084</v>
      </c>
      <c r="O810" s="32" t="s">
        <v>1145</v>
      </c>
      <c r="P810" s="32">
        <v>10999.0</v>
      </c>
      <c r="Q810" s="34">
        <v>7799.0</v>
      </c>
      <c r="R810" s="40">
        <v>7799.0</v>
      </c>
      <c r="S810" s="35">
        <v>7499.0</v>
      </c>
      <c r="T810" s="36">
        <v>0.0</v>
      </c>
      <c r="U810" s="36">
        <v>0.0</v>
      </c>
      <c r="V810" s="36">
        <v>0.0</v>
      </c>
      <c r="W810" s="36">
        <v>0.0</v>
      </c>
      <c r="X810" s="36">
        <v>0.0</v>
      </c>
      <c r="Y810" s="36">
        <v>0.0</v>
      </c>
    </row>
    <row r="811">
      <c r="A811" s="32" t="s">
        <v>4836</v>
      </c>
      <c r="B811" s="32" t="s">
        <v>4836</v>
      </c>
      <c r="C811" s="32" t="s">
        <v>4837</v>
      </c>
      <c r="D811" s="32" t="s">
        <v>4838</v>
      </c>
      <c r="E811" s="32" t="s">
        <v>5073</v>
      </c>
      <c r="F811" s="32" t="e">
        <v>#N/A</v>
      </c>
      <c r="G811" s="32" t="e">
        <v>#N/A</v>
      </c>
      <c r="H811" s="32" t="e">
        <v>#N/A</v>
      </c>
      <c r="I811" s="32">
        <v>0.0</v>
      </c>
      <c r="J811" s="32" t="s">
        <v>4839</v>
      </c>
      <c r="K811" s="33" t="s">
        <v>4840</v>
      </c>
      <c r="L811" s="32" t="e">
        <v>#N/A</v>
      </c>
      <c r="M811" s="32" t="e">
        <v>#N/A</v>
      </c>
      <c r="N811" s="32" t="s">
        <v>5091</v>
      </c>
      <c r="O811" s="32" t="s">
        <v>1145</v>
      </c>
      <c r="P811" s="32">
        <v>5599.0</v>
      </c>
      <c r="Q811" s="34">
        <v>4999.0</v>
      </c>
      <c r="R811" s="40">
        <v>4999.0</v>
      </c>
      <c r="S811" s="35">
        <v>4899.0</v>
      </c>
      <c r="T811" s="36">
        <v>0.0</v>
      </c>
      <c r="U811" s="36">
        <v>0.0</v>
      </c>
      <c r="V811" s="36">
        <v>0.0</v>
      </c>
      <c r="W811" s="36">
        <v>0.0</v>
      </c>
      <c r="X811" s="36">
        <v>0.0</v>
      </c>
      <c r="Y811" s="36">
        <v>0.0</v>
      </c>
    </row>
    <row r="812">
      <c r="A812" s="32" t="s">
        <v>4831</v>
      </c>
      <c r="B812" s="32" t="s">
        <v>4831</v>
      </c>
      <c r="C812" s="32" t="s">
        <v>4832</v>
      </c>
      <c r="D812" s="32" t="s">
        <v>4833</v>
      </c>
      <c r="E812" s="32" t="s">
        <v>5073</v>
      </c>
      <c r="F812" s="32" t="e">
        <v>#N/A</v>
      </c>
      <c r="G812" s="32" t="e">
        <v>#N/A</v>
      </c>
      <c r="H812" s="32" t="e">
        <v>#N/A</v>
      </c>
      <c r="I812" s="32">
        <v>0.0</v>
      </c>
      <c r="J812" s="32" t="s">
        <v>4834</v>
      </c>
      <c r="K812" s="33" t="s">
        <v>4835</v>
      </c>
      <c r="L812" s="32" t="e">
        <v>#N/A</v>
      </c>
      <c r="M812" s="32" t="e">
        <v>#N/A</v>
      </c>
      <c r="N812" s="32" t="s">
        <v>5082</v>
      </c>
      <c r="O812" s="32" t="s">
        <v>1145</v>
      </c>
      <c r="P812" s="32">
        <v>4999.0</v>
      </c>
      <c r="Q812" s="34">
        <v>4199.0</v>
      </c>
      <c r="R812" s="40">
        <v>4299.0</v>
      </c>
      <c r="S812" s="35">
        <v>3899.0</v>
      </c>
      <c r="T812" s="36">
        <v>0.0</v>
      </c>
      <c r="U812" s="36">
        <v>0.0</v>
      </c>
      <c r="V812" s="36">
        <v>0.0</v>
      </c>
      <c r="W812" s="36">
        <v>0.0</v>
      </c>
      <c r="X812" s="36">
        <v>0.0</v>
      </c>
      <c r="Y812" s="36">
        <v>0.0</v>
      </c>
    </row>
    <row r="813">
      <c r="A813" s="32" t="s">
        <v>3711</v>
      </c>
      <c r="B813" s="32" t="s">
        <v>3711</v>
      </c>
      <c r="C813" s="32" t="s">
        <v>3712</v>
      </c>
      <c r="D813" s="32" t="s">
        <v>3713</v>
      </c>
      <c r="E813" s="32" t="s">
        <v>5102</v>
      </c>
      <c r="F813" s="32" t="e">
        <v>#N/A</v>
      </c>
      <c r="G813" s="32" t="e">
        <v>#N/A</v>
      </c>
      <c r="H813" s="32" t="s">
        <v>3711</v>
      </c>
      <c r="I813" s="32" t="s">
        <v>5102</v>
      </c>
      <c r="J813" s="32" t="s">
        <v>3714</v>
      </c>
      <c r="K813" s="33" t="s">
        <v>3715</v>
      </c>
      <c r="L813" s="32" t="e">
        <v>#N/A</v>
      </c>
      <c r="M813" s="32" t="e">
        <v>#N/A</v>
      </c>
      <c r="N813" s="32" t="s">
        <v>5154</v>
      </c>
      <c r="O813" s="32" t="s">
        <v>4730</v>
      </c>
      <c r="P813" s="32">
        <v>949.0</v>
      </c>
      <c r="Q813" s="34">
        <v>899.0</v>
      </c>
      <c r="R813" s="35">
        <v>899.0</v>
      </c>
      <c r="S813" s="35">
        <v>849.0</v>
      </c>
      <c r="T813" s="36">
        <v>0.0</v>
      </c>
      <c r="U813" s="36">
        <v>0.0</v>
      </c>
      <c r="V813" s="36">
        <v>0.0</v>
      </c>
      <c r="W813" s="36">
        <v>0.0</v>
      </c>
      <c r="X813" s="36">
        <v>0.0</v>
      </c>
      <c r="Y813" s="36">
        <v>0.0</v>
      </c>
    </row>
    <row r="814">
      <c r="A814" s="32" t="s">
        <v>3634</v>
      </c>
      <c r="B814" s="32" t="s">
        <v>3634</v>
      </c>
      <c r="C814" s="32" t="s">
        <v>3635</v>
      </c>
      <c r="D814" s="32" t="s">
        <v>3636</v>
      </c>
      <c r="E814" s="32" t="s">
        <v>5102</v>
      </c>
      <c r="F814" s="32" t="e">
        <v>#N/A</v>
      </c>
      <c r="G814" s="32" t="e">
        <v>#N/A</v>
      </c>
      <c r="H814" s="32" t="s">
        <v>3634</v>
      </c>
      <c r="I814" s="32" t="s">
        <v>5102</v>
      </c>
      <c r="J814" s="32" t="s">
        <v>3637</v>
      </c>
      <c r="K814" s="33" t="s">
        <v>3638</v>
      </c>
      <c r="L814" s="32" t="e">
        <v>#N/A</v>
      </c>
      <c r="M814" s="32" t="e">
        <v>#N/A</v>
      </c>
      <c r="N814" s="32" t="s">
        <v>5127</v>
      </c>
      <c r="O814" s="32" t="s">
        <v>4730</v>
      </c>
      <c r="P814" s="32">
        <v>899.0</v>
      </c>
      <c r="Q814" s="34">
        <v>799.0</v>
      </c>
      <c r="R814" s="35">
        <v>799.0</v>
      </c>
      <c r="S814" s="35">
        <v>749.0</v>
      </c>
      <c r="T814" s="36">
        <v>0.0</v>
      </c>
      <c r="U814" s="36">
        <v>0.0</v>
      </c>
      <c r="V814" s="36">
        <v>0.0</v>
      </c>
      <c r="W814" s="36">
        <v>0.0</v>
      </c>
      <c r="X814" s="36">
        <v>0.0</v>
      </c>
      <c r="Y814" s="36">
        <v>0.0</v>
      </c>
    </row>
    <row r="815">
      <c r="A815" s="32" t="s">
        <v>1956</v>
      </c>
      <c r="B815" s="32" t="s">
        <v>1956</v>
      </c>
      <c r="C815" s="32" t="s">
        <v>4775</v>
      </c>
      <c r="D815" s="32" t="s">
        <v>4776</v>
      </c>
      <c r="E815" s="32" t="s">
        <v>5102</v>
      </c>
      <c r="F815" s="32" t="e">
        <v>#N/A</v>
      </c>
      <c r="G815" s="32" t="e">
        <v>#N/A</v>
      </c>
      <c r="H815" s="32" t="e">
        <v>#N/A</v>
      </c>
      <c r="I815" s="32">
        <v>0.0</v>
      </c>
      <c r="J815" s="32">
        <v>0.0</v>
      </c>
      <c r="K815" s="33">
        <v>0.0</v>
      </c>
      <c r="L815" s="32" t="e">
        <v>#N/A</v>
      </c>
      <c r="M815" s="32" t="e">
        <v>#N/A</v>
      </c>
      <c r="N815" s="33" t="s">
        <v>1921</v>
      </c>
      <c r="O815" s="33" t="s">
        <v>52</v>
      </c>
      <c r="P815" s="32" t="e">
        <v>#REF!</v>
      </c>
      <c r="Q815" s="32" t="e">
        <v>#N/A</v>
      </c>
      <c r="R815" s="42" t="e">
        <v>#N/A</v>
      </c>
      <c r="S815" s="42" t="e">
        <v>#N/A</v>
      </c>
      <c r="T815" s="36">
        <v>0.0</v>
      </c>
      <c r="U815" s="36">
        <v>0.0</v>
      </c>
      <c r="V815" s="36">
        <v>0.0</v>
      </c>
      <c r="W815" s="36">
        <v>0.0</v>
      </c>
      <c r="X815" s="36">
        <v>0.0</v>
      </c>
      <c r="Y815" s="36">
        <v>0.0</v>
      </c>
    </row>
    <row r="816">
      <c r="A816" s="32" t="s">
        <v>1941</v>
      </c>
      <c r="B816" s="32" t="s">
        <v>1941</v>
      </c>
      <c r="C816" s="32" t="s">
        <v>4777</v>
      </c>
      <c r="D816" s="32" t="s">
        <v>4778</v>
      </c>
      <c r="E816" s="32" t="s">
        <v>5102</v>
      </c>
      <c r="F816" s="32" t="e">
        <v>#N/A</v>
      </c>
      <c r="G816" s="32" t="e">
        <v>#N/A</v>
      </c>
      <c r="H816" s="32" t="e">
        <v>#N/A</v>
      </c>
      <c r="I816" s="32">
        <v>0.0</v>
      </c>
      <c r="J816" s="32">
        <v>0.0</v>
      </c>
      <c r="K816" s="33">
        <v>0.0</v>
      </c>
      <c r="L816" s="32" t="e">
        <v>#N/A</v>
      </c>
      <c r="M816" s="32" t="e">
        <v>#N/A</v>
      </c>
      <c r="N816" s="33" t="s">
        <v>1921</v>
      </c>
      <c r="O816" s="33" t="s">
        <v>52</v>
      </c>
      <c r="P816" s="32" t="e">
        <v>#REF!</v>
      </c>
      <c r="Q816" s="32" t="e">
        <v>#N/A</v>
      </c>
      <c r="R816" s="42" t="e">
        <v>#N/A</v>
      </c>
      <c r="S816" s="42" t="e">
        <v>#N/A</v>
      </c>
      <c r="T816" s="36">
        <v>0.0</v>
      </c>
      <c r="U816" s="36">
        <v>0.0</v>
      </c>
      <c r="V816" s="36">
        <v>0.0</v>
      </c>
      <c r="W816" s="36">
        <v>0.0</v>
      </c>
      <c r="X816" s="36">
        <v>0.0</v>
      </c>
      <c r="Y816" s="36">
        <v>0.0</v>
      </c>
    </row>
    <row r="817">
      <c r="A817" s="32" t="s">
        <v>1947</v>
      </c>
      <c r="B817" s="32" t="s">
        <v>1947</v>
      </c>
      <c r="C817" s="32" t="s">
        <v>4779</v>
      </c>
      <c r="D817" s="32" t="s">
        <v>4780</v>
      </c>
      <c r="E817" s="32" t="s">
        <v>5102</v>
      </c>
      <c r="F817" s="32" t="e">
        <v>#N/A</v>
      </c>
      <c r="G817" s="32" t="e">
        <v>#N/A</v>
      </c>
      <c r="H817" s="32" t="e">
        <v>#N/A</v>
      </c>
      <c r="I817" s="32">
        <v>0.0</v>
      </c>
      <c r="J817" s="32">
        <v>0.0</v>
      </c>
      <c r="K817" s="33">
        <v>0.0</v>
      </c>
      <c r="L817" s="32" t="e">
        <v>#N/A</v>
      </c>
      <c r="M817" s="32" t="e">
        <v>#N/A</v>
      </c>
      <c r="N817" s="33" t="s">
        <v>1921</v>
      </c>
      <c r="O817" s="33" t="s">
        <v>52</v>
      </c>
      <c r="P817" s="32" t="e">
        <v>#REF!</v>
      </c>
      <c r="Q817" s="32" t="e">
        <v>#N/A</v>
      </c>
      <c r="R817" s="42" t="e">
        <v>#N/A</v>
      </c>
      <c r="S817" s="42" t="e">
        <v>#N/A</v>
      </c>
      <c r="T817" s="36">
        <v>0.0</v>
      </c>
      <c r="U817" s="36">
        <v>0.0</v>
      </c>
      <c r="V817" s="36">
        <v>0.0</v>
      </c>
      <c r="W817" s="36">
        <v>0.0</v>
      </c>
      <c r="X817" s="36">
        <v>0.0</v>
      </c>
      <c r="Y817" s="36">
        <v>0.0</v>
      </c>
    </row>
    <row r="818">
      <c r="A818" s="32" t="s">
        <v>3671</v>
      </c>
      <c r="B818" s="32" t="s">
        <v>3671</v>
      </c>
      <c r="C818" s="32" t="s">
        <v>3672</v>
      </c>
      <c r="D818" s="32" t="s">
        <v>3673</v>
      </c>
      <c r="E818" s="32" t="s">
        <v>5073</v>
      </c>
      <c r="F818" s="32" t="e">
        <v>#N/A</v>
      </c>
      <c r="G818" s="32" t="e">
        <v>#N/A</v>
      </c>
      <c r="H818" s="32" t="s">
        <v>3671</v>
      </c>
      <c r="I818" s="32" t="s">
        <v>5073</v>
      </c>
      <c r="J818" s="32" t="s">
        <v>3674</v>
      </c>
      <c r="K818" s="33" t="s">
        <v>3675</v>
      </c>
      <c r="L818" s="32" t="e">
        <v>#N/A</v>
      </c>
      <c r="M818" s="32" t="e">
        <v>#N/A</v>
      </c>
      <c r="N818" s="32" t="s">
        <v>5127</v>
      </c>
      <c r="O818" s="32" t="s">
        <v>4730</v>
      </c>
      <c r="P818" s="32">
        <v>999.0</v>
      </c>
      <c r="Q818" s="34">
        <v>879.0</v>
      </c>
      <c r="R818" s="35">
        <v>899.0</v>
      </c>
      <c r="S818" s="35">
        <v>879.0</v>
      </c>
      <c r="T818" s="36">
        <v>0.0</v>
      </c>
      <c r="U818" s="36">
        <v>0.0</v>
      </c>
      <c r="V818" s="36">
        <v>0.0</v>
      </c>
      <c r="W818" s="36">
        <v>0.0</v>
      </c>
      <c r="X818" s="36">
        <v>0.0</v>
      </c>
      <c r="Y818" s="36">
        <v>0.0</v>
      </c>
    </row>
    <row r="819">
      <c r="A819" s="32" t="s">
        <v>3761</v>
      </c>
      <c r="B819" s="32" t="s">
        <v>3761</v>
      </c>
      <c r="C819" s="32" t="s">
        <v>3762</v>
      </c>
      <c r="D819" s="32" t="s">
        <v>3761</v>
      </c>
      <c r="E819" s="32" t="s">
        <v>5073</v>
      </c>
      <c r="F819" s="32" t="e">
        <v>#N/A</v>
      </c>
      <c r="G819" s="32" t="e">
        <v>#N/A</v>
      </c>
      <c r="H819" s="32" t="s">
        <v>3763</v>
      </c>
      <c r="I819" s="32" t="s">
        <v>5102</v>
      </c>
      <c r="J819" s="32" t="s">
        <v>5157</v>
      </c>
      <c r="K819" s="33" t="s">
        <v>3764</v>
      </c>
      <c r="L819" s="32" t="e">
        <v>#N/A</v>
      </c>
      <c r="M819" s="32" t="e">
        <v>#N/A</v>
      </c>
      <c r="N819" s="32" t="s">
        <v>5158</v>
      </c>
      <c r="O819" s="32" t="s">
        <v>5158</v>
      </c>
      <c r="P819" s="32">
        <v>43999.0</v>
      </c>
      <c r="Q819" s="34">
        <v>37399.0</v>
      </c>
      <c r="R819" s="40">
        <v>37399.0</v>
      </c>
      <c r="S819" s="35">
        <v>37399.0</v>
      </c>
      <c r="T819" s="36">
        <v>0.0</v>
      </c>
      <c r="U819" s="36">
        <v>0.0</v>
      </c>
      <c r="V819" s="36">
        <v>0.0</v>
      </c>
      <c r="W819" s="36">
        <v>0.0</v>
      </c>
      <c r="X819" s="36">
        <v>0.0</v>
      </c>
      <c r="Y819" s="36">
        <v>0.0</v>
      </c>
    </row>
    <row r="820">
      <c r="A820" s="32" t="s">
        <v>3765</v>
      </c>
      <c r="B820" s="32" t="s">
        <v>3765</v>
      </c>
      <c r="C820" s="32" t="s">
        <v>3766</v>
      </c>
      <c r="D820" s="32" t="s">
        <v>3767</v>
      </c>
      <c r="E820" s="32" t="s">
        <v>5073</v>
      </c>
      <c r="F820" s="32" t="e">
        <v>#N/A</v>
      </c>
      <c r="G820" s="32" t="e">
        <v>#N/A</v>
      </c>
      <c r="H820" s="32" t="s">
        <v>3768</v>
      </c>
      <c r="I820" s="32" t="s">
        <v>5073</v>
      </c>
      <c r="J820" s="32" t="s">
        <v>3769</v>
      </c>
      <c r="K820" s="33" t="s">
        <v>3770</v>
      </c>
      <c r="L820" s="32" t="e">
        <v>#N/A</v>
      </c>
      <c r="M820" s="32" t="e">
        <v>#N/A</v>
      </c>
      <c r="N820" s="32" t="s">
        <v>5158</v>
      </c>
      <c r="O820" s="32" t="s">
        <v>5158</v>
      </c>
      <c r="P820" s="32">
        <v>43999.0</v>
      </c>
      <c r="Q820" s="34">
        <v>37399.0</v>
      </c>
      <c r="R820" s="40">
        <v>37399.0</v>
      </c>
      <c r="S820" s="35">
        <v>37399.0</v>
      </c>
      <c r="T820" s="36">
        <v>0.0</v>
      </c>
      <c r="U820" s="36">
        <v>0.0</v>
      </c>
      <c r="V820" s="36">
        <v>0.0</v>
      </c>
      <c r="W820" s="36">
        <v>0.0</v>
      </c>
      <c r="X820" s="36">
        <v>0.0</v>
      </c>
      <c r="Y820" s="36">
        <v>0.0</v>
      </c>
    </row>
    <row r="821">
      <c r="A821" s="32" t="s">
        <v>2854</v>
      </c>
      <c r="B821" s="32" t="s">
        <v>2854</v>
      </c>
      <c r="C821" s="32" t="s">
        <v>2855</v>
      </c>
      <c r="D821" s="32" t="s">
        <v>2856</v>
      </c>
      <c r="E821" s="32" t="s">
        <v>5102</v>
      </c>
      <c r="F821" s="32" t="e">
        <v>#N/A</v>
      </c>
      <c r="G821" s="32" t="e">
        <v>#N/A</v>
      </c>
      <c r="H821" s="32">
        <v>0.0</v>
      </c>
      <c r="I821" s="32">
        <v>0.0</v>
      </c>
      <c r="J821" s="32" t="s">
        <v>2857</v>
      </c>
      <c r="K821" s="33" t="s">
        <v>2858</v>
      </c>
      <c r="L821" s="32" t="e">
        <v>#N/A</v>
      </c>
      <c r="M821" s="32" t="e">
        <v>#N/A</v>
      </c>
      <c r="N821" s="32" t="s">
        <v>5107</v>
      </c>
      <c r="O821" s="32" t="s">
        <v>4730</v>
      </c>
      <c r="P821" s="32">
        <v>1989.0</v>
      </c>
      <c r="Q821" s="34">
        <v>1629.0</v>
      </c>
      <c r="R821" s="40">
        <v>1629.0</v>
      </c>
      <c r="S821" s="35">
        <v>1491.75</v>
      </c>
      <c r="T821" s="36">
        <v>0.0</v>
      </c>
      <c r="U821" s="36">
        <v>0.0</v>
      </c>
      <c r="V821" s="36">
        <v>0.0</v>
      </c>
      <c r="W821" s="36">
        <v>0.0</v>
      </c>
      <c r="X821" s="36">
        <v>0.0</v>
      </c>
      <c r="Y821" s="36">
        <v>0.0</v>
      </c>
    </row>
    <row r="822">
      <c r="A822" s="32" t="s">
        <v>2859</v>
      </c>
      <c r="B822" s="32" t="s">
        <v>2859</v>
      </c>
      <c r="C822" s="32" t="s">
        <v>2860</v>
      </c>
      <c r="D822" s="32" t="s">
        <v>2861</v>
      </c>
      <c r="E822" s="32" t="s">
        <v>5102</v>
      </c>
      <c r="F822" s="32" t="e">
        <v>#N/A</v>
      </c>
      <c r="G822" s="32" t="e">
        <v>#N/A</v>
      </c>
      <c r="H822" s="32">
        <v>0.0</v>
      </c>
      <c r="I822" s="32">
        <v>0.0</v>
      </c>
      <c r="J822" s="32" t="s">
        <v>2862</v>
      </c>
      <c r="K822" s="33" t="s">
        <v>2863</v>
      </c>
      <c r="L822" s="32" t="e">
        <v>#N/A</v>
      </c>
      <c r="M822" s="32" t="e">
        <v>#N/A</v>
      </c>
      <c r="N822" s="32" t="s">
        <v>5107</v>
      </c>
      <c r="O822" s="32" t="s">
        <v>4730</v>
      </c>
      <c r="P822" s="32">
        <v>1989.0</v>
      </c>
      <c r="Q822" s="34">
        <v>1629.0</v>
      </c>
      <c r="R822" s="40">
        <v>1629.0</v>
      </c>
      <c r="S822" s="35">
        <v>1491.75</v>
      </c>
      <c r="T822" s="36">
        <v>0.0</v>
      </c>
      <c r="U822" s="36">
        <v>0.0</v>
      </c>
      <c r="V822" s="36">
        <v>0.0</v>
      </c>
      <c r="W822" s="36">
        <v>0.0</v>
      </c>
      <c r="X822" s="36">
        <v>0.0</v>
      </c>
      <c r="Y822" s="36">
        <v>0.0</v>
      </c>
    </row>
    <row r="823">
      <c r="A823" s="32" t="s">
        <v>2864</v>
      </c>
      <c r="B823" s="32" t="s">
        <v>2864</v>
      </c>
      <c r="C823" s="32" t="s">
        <v>2865</v>
      </c>
      <c r="D823" s="32" t="s">
        <v>2866</v>
      </c>
      <c r="E823" s="32" t="s">
        <v>5102</v>
      </c>
      <c r="F823" s="32" t="e">
        <v>#N/A</v>
      </c>
      <c r="G823" s="32" t="e">
        <v>#N/A</v>
      </c>
      <c r="H823" s="32">
        <v>0.0</v>
      </c>
      <c r="I823" s="32">
        <v>0.0</v>
      </c>
      <c r="J823" s="32" t="s">
        <v>2867</v>
      </c>
      <c r="K823" s="33" t="s">
        <v>2868</v>
      </c>
      <c r="L823" s="32" t="e">
        <v>#N/A</v>
      </c>
      <c r="M823" s="32" t="e">
        <v>#N/A</v>
      </c>
      <c r="N823" s="32" t="s">
        <v>5107</v>
      </c>
      <c r="O823" s="32" t="s">
        <v>4730</v>
      </c>
      <c r="P823" s="32">
        <v>1989.0</v>
      </c>
      <c r="Q823" s="34">
        <v>1629.0</v>
      </c>
      <c r="R823" s="40">
        <v>1629.0</v>
      </c>
      <c r="S823" s="35">
        <v>1491.75</v>
      </c>
      <c r="T823" s="36">
        <v>0.0</v>
      </c>
      <c r="U823" s="36">
        <v>0.0</v>
      </c>
      <c r="V823" s="36">
        <v>0.0</v>
      </c>
      <c r="W823" s="36">
        <v>0.0</v>
      </c>
      <c r="X823" s="36">
        <v>0.0</v>
      </c>
      <c r="Y823" s="36">
        <v>0.0</v>
      </c>
    </row>
    <row r="824">
      <c r="A824" s="32" t="s">
        <v>2797</v>
      </c>
      <c r="B824" s="32" t="s">
        <v>2797</v>
      </c>
      <c r="C824" s="32" t="s">
        <v>2798</v>
      </c>
      <c r="D824" s="32" t="s">
        <v>2799</v>
      </c>
      <c r="E824" s="32" t="s">
        <v>5102</v>
      </c>
      <c r="F824" s="32" t="e">
        <v>#N/A</v>
      </c>
      <c r="G824" s="32" t="e">
        <v>#N/A</v>
      </c>
      <c r="H824" s="32">
        <v>0.0</v>
      </c>
      <c r="I824" s="32">
        <v>0.0</v>
      </c>
      <c r="J824" s="32" t="s">
        <v>2800</v>
      </c>
      <c r="K824" s="33" t="s">
        <v>2801</v>
      </c>
      <c r="L824" s="32" t="e">
        <v>#N/A</v>
      </c>
      <c r="M824" s="32" t="e">
        <v>#N/A</v>
      </c>
      <c r="N824" s="32" t="s">
        <v>5107</v>
      </c>
      <c r="O824" s="32" t="s">
        <v>4730</v>
      </c>
      <c r="P824" s="32">
        <v>2489.0</v>
      </c>
      <c r="Q824" s="34">
        <v>2039.0</v>
      </c>
      <c r="R824" s="40">
        <v>2039.0</v>
      </c>
      <c r="S824" s="35">
        <v>1866.75</v>
      </c>
      <c r="T824" s="36">
        <v>0.0</v>
      </c>
      <c r="U824" s="36">
        <v>0.0</v>
      </c>
      <c r="V824" s="36">
        <v>0.0</v>
      </c>
      <c r="W824" s="36">
        <v>0.0</v>
      </c>
      <c r="X824" s="36">
        <v>0.0</v>
      </c>
      <c r="Y824" s="36">
        <v>0.0</v>
      </c>
    </row>
    <row r="825">
      <c r="A825" s="32" t="s">
        <v>2849</v>
      </c>
      <c r="B825" s="32" t="s">
        <v>2849</v>
      </c>
      <c r="C825" s="32" t="s">
        <v>2850</v>
      </c>
      <c r="D825" s="32" t="s">
        <v>2799</v>
      </c>
      <c r="E825" s="32" t="s">
        <v>5102</v>
      </c>
      <c r="F825" s="32" t="e">
        <v>#N/A</v>
      </c>
      <c r="G825" s="32" t="e">
        <v>#N/A</v>
      </c>
      <c r="H825" s="32">
        <v>0.0</v>
      </c>
      <c r="I825" s="32">
        <v>0.0</v>
      </c>
      <c r="J825" s="32" t="s">
        <v>2852</v>
      </c>
      <c r="K825" s="33" t="s">
        <v>2853</v>
      </c>
      <c r="L825" s="32" t="e">
        <v>#N/A</v>
      </c>
      <c r="M825" s="32" t="e">
        <v>#N/A</v>
      </c>
      <c r="N825" s="32" t="s">
        <v>5107</v>
      </c>
      <c r="O825" s="32" t="s">
        <v>4730</v>
      </c>
      <c r="P825" s="32">
        <v>2489.0</v>
      </c>
      <c r="Q825" s="34">
        <v>2039.0</v>
      </c>
      <c r="R825" s="40">
        <v>2039.0</v>
      </c>
      <c r="S825" s="35">
        <v>1866.75</v>
      </c>
      <c r="T825" s="36">
        <v>0.0</v>
      </c>
      <c r="U825" s="36">
        <v>0.0</v>
      </c>
      <c r="V825" s="36">
        <v>0.0</v>
      </c>
      <c r="W825" s="36">
        <v>0.0</v>
      </c>
      <c r="X825" s="36">
        <v>0.0</v>
      </c>
      <c r="Y825" s="36">
        <v>0.0</v>
      </c>
    </row>
    <row r="826">
      <c r="A826" s="32" t="s">
        <v>2869</v>
      </c>
      <c r="B826" s="32" t="s">
        <v>2869</v>
      </c>
      <c r="C826" s="32" t="s">
        <v>2870</v>
      </c>
      <c r="D826" s="32" t="s">
        <v>2871</v>
      </c>
      <c r="E826" s="32" t="s">
        <v>5102</v>
      </c>
      <c r="F826" s="32" t="e">
        <v>#N/A</v>
      </c>
      <c r="G826" s="32" t="e">
        <v>#N/A</v>
      </c>
      <c r="H826" s="32">
        <v>0.0</v>
      </c>
      <c r="I826" s="32">
        <v>0.0</v>
      </c>
      <c r="J826" s="32" t="s">
        <v>2872</v>
      </c>
      <c r="K826" s="33" t="s">
        <v>2873</v>
      </c>
      <c r="L826" s="32" t="e">
        <v>#N/A</v>
      </c>
      <c r="M826" s="32" t="e">
        <v>#N/A</v>
      </c>
      <c r="N826" s="32" t="s">
        <v>5107</v>
      </c>
      <c r="O826" s="32" t="s">
        <v>4730</v>
      </c>
      <c r="P826" s="32">
        <v>2289.0</v>
      </c>
      <c r="Q826" s="34">
        <v>1875.0</v>
      </c>
      <c r="R826" s="40">
        <v>1899.0</v>
      </c>
      <c r="S826" s="35">
        <v>1716.75</v>
      </c>
      <c r="T826" s="36">
        <v>0.0</v>
      </c>
      <c r="U826" s="36">
        <v>0.0</v>
      </c>
      <c r="V826" s="36">
        <v>0.0</v>
      </c>
      <c r="W826" s="36">
        <v>0.0</v>
      </c>
      <c r="X826" s="36">
        <v>0.0</v>
      </c>
      <c r="Y826" s="36">
        <v>0.0</v>
      </c>
    </row>
    <row r="827">
      <c r="A827" s="32" t="s">
        <v>2879</v>
      </c>
      <c r="B827" s="32" t="s">
        <v>2879</v>
      </c>
      <c r="C827" s="32" t="s">
        <v>2880</v>
      </c>
      <c r="D827" s="32" t="s">
        <v>2881</v>
      </c>
      <c r="E827" s="32" t="s">
        <v>5102</v>
      </c>
      <c r="F827" s="32" t="e">
        <v>#N/A</v>
      </c>
      <c r="G827" s="32" t="e">
        <v>#N/A</v>
      </c>
      <c r="H827" s="32">
        <v>0.0</v>
      </c>
      <c r="I827" s="32">
        <v>0.0</v>
      </c>
      <c r="J827" s="32" t="s">
        <v>2882</v>
      </c>
      <c r="K827" s="33" t="s">
        <v>2883</v>
      </c>
      <c r="L827" s="32" t="e">
        <v>#N/A</v>
      </c>
      <c r="M827" s="32" t="e">
        <v>#N/A</v>
      </c>
      <c r="N827" s="32" t="s">
        <v>5107</v>
      </c>
      <c r="O827" s="32" t="s">
        <v>4730</v>
      </c>
      <c r="P827" s="32">
        <v>2289.0</v>
      </c>
      <c r="Q827" s="34">
        <v>1875.0</v>
      </c>
      <c r="R827" s="40">
        <v>1899.0</v>
      </c>
      <c r="S827" s="35">
        <v>1716.75</v>
      </c>
      <c r="T827" s="36">
        <v>0.0</v>
      </c>
      <c r="U827" s="36">
        <v>0.0</v>
      </c>
      <c r="V827" s="36">
        <v>0.0</v>
      </c>
      <c r="W827" s="36">
        <v>0.0</v>
      </c>
      <c r="X827" s="36">
        <v>0.0</v>
      </c>
      <c r="Y827" s="36">
        <v>0.0</v>
      </c>
    </row>
    <row r="828">
      <c r="A828" s="32" t="s">
        <v>2839</v>
      </c>
      <c r="B828" s="32" t="s">
        <v>2839</v>
      </c>
      <c r="C828" s="32" t="s">
        <v>2840</v>
      </c>
      <c r="D828" s="32" t="s">
        <v>2841</v>
      </c>
      <c r="E828" s="32" t="s">
        <v>5102</v>
      </c>
      <c r="F828" s="32" t="e">
        <v>#N/A</v>
      </c>
      <c r="G828" s="32" t="e">
        <v>#N/A</v>
      </c>
      <c r="H828" s="32">
        <v>0.0</v>
      </c>
      <c r="I828" s="32">
        <v>0.0</v>
      </c>
      <c r="J828" s="32" t="s">
        <v>2842</v>
      </c>
      <c r="K828" s="33" t="s">
        <v>2843</v>
      </c>
      <c r="L828" s="32" t="e">
        <v>#N/A</v>
      </c>
      <c r="M828" s="32" t="e">
        <v>#N/A</v>
      </c>
      <c r="N828" s="32" t="s">
        <v>5107</v>
      </c>
      <c r="O828" s="32" t="s">
        <v>4730</v>
      </c>
      <c r="P828" s="32">
        <v>1589.0</v>
      </c>
      <c r="Q828" s="34">
        <v>1302.0</v>
      </c>
      <c r="R828" s="40">
        <v>1302.0</v>
      </c>
      <c r="S828" s="35">
        <v>1191.75</v>
      </c>
      <c r="T828" s="36">
        <v>0.0</v>
      </c>
      <c r="U828" s="36">
        <v>0.0</v>
      </c>
      <c r="V828" s="36">
        <v>0.0</v>
      </c>
      <c r="W828" s="36">
        <v>0.0</v>
      </c>
      <c r="X828" s="36">
        <v>0.0</v>
      </c>
      <c r="Y828" s="36">
        <v>0.0</v>
      </c>
    </row>
    <row r="829">
      <c r="A829" s="32" t="s">
        <v>2844</v>
      </c>
      <c r="B829" s="32" t="s">
        <v>2844</v>
      </c>
      <c r="C829" s="32" t="s">
        <v>2845</v>
      </c>
      <c r="D829" s="32" t="s">
        <v>2846</v>
      </c>
      <c r="E829" s="32" t="s">
        <v>5102</v>
      </c>
      <c r="F829" s="32" t="e">
        <v>#N/A</v>
      </c>
      <c r="G829" s="32" t="e">
        <v>#N/A</v>
      </c>
      <c r="H829" s="32">
        <v>0.0</v>
      </c>
      <c r="I829" s="32">
        <v>0.0</v>
      </c>
      <c r="J829" s="32" t="s">
        <v>2847</v>
      </c>
      <c r="K829" s="33" t="s">
        <v>2848</v>
      </c>
      <c r="L829" s="32" t="e">
        <v>#N/A</v>
      </c>
      <c r="M829" s="32" t="e">
        <v>#N/A</v>
      </c>
      <c r="N829" s="32" t="s">
        <v>5107</v>
      </c>
      <c r="O829" s="32" t="s">
        <v>4730</v>
      </c>
      <c r="P829" s="32">
        <v>1589.0</v>
      </c>
      <c r="Q829" s="34">
        <v>1302.0</v>
      </c>
      <c r="R829" s="40">
        <v>1302.0</v>
      </c>
      <c r="S829" s="35">
        <v>1191.75</v>
      </c>
      <c r="T829" s="36">
        <v>0.0</v>
      </c>
      <c r="U829" s="36">
        <v>0.0</v>
      </c>
      <c r="V829" s="36">
        <v>0.0</v>
      </c>
      <c r="W829" s="36">
        <v>0.0</v>
      </c>
      <c r="X829" s="36">
        <v>0.0</v>
      </c>
      <c r="Y829" s="36">
        <v>0.0</v>
      </c>
    </row>
    <row r="830">
      <c r="A830" s="32" t="s">
        <v>2817</v>
      </c>
      <c r="B830" s="32" t="s">
        <v>2817</v>
      </c>
      <c r="C830" s="32" t="s">
        <v>2818</v>
      </c>
      <c r="D830" s="32" t="s">
        <v>2819</v>
      </c>
      <c r="E830" s="32" t="s">
        <v>5073</v>
      </c>
      <c r="F830" s="32" t="e">
        <v>#N/A</v>
      </c>
      <c r="G830" s="32" t="e">
        <v>#N/A</v>
      </c>
      <c r="H830" s="32">
        <v>0.0</v>
      </c>
      <c r="I830" s="32">
        <v>0.0</v>
      </c>
      <c r="J830" s="32" t="s">
        <v>2820</v>
      </c>
      <c r="K830" s="33" t="s">
        <v>2821</v>
      </c>
      <c r="L830" s="32" t="e">
        <v>#N/A</v>
      </c>
      <c r="M830" s="32" t="e">
        <v>#N/A</v>
      </c>
      <c r="N830" s="32" t="s">
        <v>5107</v>
      </c>
      <c r="O830" s="32" t="s">
        <v>4730</v>
      </c>
      <c r="P830" s="32">
        <v>2489.0</v>
      </c>
      <c r="Q830" s="34">
        <v>2039.0</v>
      </c>
      <c r="R830" s="40">
        <v>2039.0</v>
      </c>
      <c r="S830" s="35">
        <v>1866.75</v>
      </c>
      <c r="T830" s="36">
        <v>0.0</v>
      </c>
      <c r="U830" s="36">
        <v>0.0</v>
      </c>
      <c r="V830" s="36">
        <v>0.0</v>
      </c>
      <c r="W830" s="36">
        <v>0.0</v>
      </c>
      <c r="X830" s="36">
        <v>0.0</v>
      </c>
      <c r="Y830" s="36">
        <v>0.0</v>
      </c>
    </row>
    <row r="831">
      <c r="A831" s="32" t="s">
        <v>2167</v>
      </c>
      <c r="B831" s="32" t="s">
        <v>2167</v>
      </c>
      <c r="C831" s="32" t="s">
        <v>2168</v>
      </c>
      <c r="D831" s="32" t="s">
        <v>2169</v>
      </c>
      <c r="E831" s="32" t="s">
        <v>5102</v>
      </c>
      <c r="F831" s="32" t="e">
        <v>#N/A</v>
      </c>
      <c r="G831" s="32" t="e">
        <v>#N/A</v>
      </c>
      <c r="H831" s="32" t="s">
        <v>5159</v>
      </c>
      <c r="I831" s="32" t="s">
        <v>5102</v>
      </c>
      <c r="J831" s="32" t="s">
        <v>2170</v>
      </c>
      <c r="K831" s="33" t="s">
        <v>2171</v>
      </c>
      <c r="L831" s="32" t="e">
        <v>#N/A</v>
      </c>
      <c r="M831" s="32" t="e">
        <v>#N/A</v>
      </c>
      <c r="N831" s="32" t="s">
        <v>5103</v>
      </c>
      <c r="O831" s="32" t="s">
        <v>4730</v>
      </c>
      <c r="P831" s="32">
        <v>7499.0</v>
      </c>
      <c r="Q831" s="34">
        <v>5999.0</v>
      </c>
      <c r="R831" s="40">
        <v>6599.0</v>
      </c>
      <c r="S831" s="35">
        <v>5624.25</v>
      </c>
      <c r="T831" s="36">
        <v>0.0</v>
      </c>
      <c r="U831" s="36">
        <v>0.0</v>
      </c>
      <c r="V831" s="36">
        <v>0.0</v>
      </c>
      <c r="W831" s="36">
        <v>0.0</v>
      </c>
      <c r="X831" s="36">
        <v>0.0</v>
      </c>
      <c r="Y831" s="36">
        <v>0.0</v>
      </c>
    </row>
    <row r="832">
      <c r="A832" s="32" t="s">
        <v>2177</v>
      </c>
      <c r="B832" s="32" t="s">
        <v>2177</v>
      </c>
      <c r="C832" s="32" t="s">
        <v>2178</v>
      </c>
      <c r="D832" s="32" t="s">
        <v>2179</v>
      </c>
      <c r="E832" s="32" t="s">
        <v>5073</v>
      </c>
      <c r="F832" s="32" t="e">
        <v>#N/A</v>
      </c>
      <c r="G832" s="32" t="e">
        <v>#N/A</v>
      </c>
      <c r="H832" s="32" t="s">
        <v>5160</v>
      </c>
      <c r="I832" s="32" t="s">
        <v>5102</v>
      </c>
      <c r="J832" s="32" t="s">
        <v>2180</v>
      </c>
      <c r="K832" s="33" t="s">
        <v>2181</v>
      </c>
      <c r="L832" s="32" t="e">
        <v>#N/A</v>
      </c>
      <c r="M832" s="32" t="e">
        <v>#N/A</v>
      </c>
      <c r="N832" s="32" t="s">
        <v>5103</v>
      </c>
      <c r="O832" s="32" t="s">
        <v>4730</v>
      </c>
      <c r="P832" s="32">
        <v>7499.0</v>
      </c>
      <c r="Q832" s="34">
        <v>5999.0</v>
      </c>
      <c r="R832" s="40">
        <v>6599.0</v>
      </c>
      <c r="S832" s="35">
        <v>5624.25</v>
      </c>
      <c r="T832" s="36">
        <v>0.0</v>
      </c>
      <c r="U832" s="36">
        <v>0.0</v>
      </c>
      <c r="V832" s="36">
        <v>0.0</v>
      </c>
      <c r="W832" s="36">
        <v>0.0</v>
      </c>
      <c r="X832" s="36">
        <v>0.0</v>
      </c>
      <c r="Y832" s="36">
        <v>0.0</v>
      </c>
    </row>
    <row r="833">
      <c r="A833" s="32" t="s">
        <v>4511</v>
      </c>
      <c r="B833" s="32" t="s">
        <v>4511</v>
      </c>
      <c r="C833" s="32" t="s">
        <v>4512</v>
      </c>
      <c r="D833" s="32" t="s">
        <v>4513</v>
      </c>
      <c r="E833" s="32" t="s">
        <v>5102</v>
      </c>
      <c r="F833" s="32" t="e">
        <v>#N/A</v>
      </c>
      <c r="G833" s="32" t="e">
        <v>#N/A</v>
      </c>
      <c r="H833" s="32">
        <v>0.0</v>
      </c>
      <c r="I833" s="32">
        <v>0.0</v>
      </c>
      <c r="J833" s="32" t="s">
        <v>4514</v>
      </c>
      <c r="K833" s="33" t="s">
        <v>4515</v>
      </c>
      <c r="L833" s="32" t="e">
        <v>#N/A</v>
      </c>
      <c r="M833" s="32" t="e">
        <v>#N/A</v>
      </c>
      <c r="N833" s="32" t="s">
        <v>5077</v>
      </c>
      <c r="O833" s="32" t="s">
        <v>4730</v>
      </c>
      <c r="P833" s="32">
        <v>1199.0</v>
      </c>
      <c r="Q833" s="34">
        <v>1139.0</v>
      </c>
      <c r="R833" s="40">
        <v>1139.0</v>
      </c>
      <c r="S833" s="35">
        <v>1079.1</v>
      </c>
      <c r="T833" s="36">
        <v>0.0</v>
      </c>
      <c r="U833" s="36">
        <v>0.0</v>
      </c>
      <c r="V833" s="36">
        <v>0.0</v>
      </c>
      <c r="W833" s="36">
        <v>0.0</v>
      </c>
      <c r="X833" s="36">
        <v>0.0</v>
      </c>
      <c r="Y833" s="36">
        <v>0.0</v>
      </c>
    </row>
    <row r="834">
      <c r="A834" s="32" t="s">
        <v>4659</v>
      </c>
      <c r="B834" s="32" t="s">
        <v>4659</v>
      </c>
      <c r="C834" s="32" t="s">
        <v>4660</v>
      </c>
      <c r="D834" s="32" t="s">
        <v>4661</v>
      </c>
      <c r="E834" s="32" t="s">
        <v>5102</v>
      </c>
      <c r="F834" s="32" t="e">
        <v>#N/A</v>
      </c>
      <c r="G834" s="32" t="e">
        <v>#N/A</v>
      </c>
      <c r="H834" s="32">
        <v>0.0</v>
      </c>
      <c r="I834" s="32">
        <v>0.0</v>
      </c>
      <c r="J834" s="32" t="s">
        <v>4662</v>
      </c>
      <c r="K834" s="33" t="s">
        <v>4663</v>
      </c>
      <c r="L834" s="32" t="e">
        <v>#N/A</v>
      </c>
      <c r="M834" s="32" t="e">
        <v>#N/A</v>
      </c>
      <c r="N834" s="32" t="s">
        <v>5077</v>
      </c>
      <c r="O834" s="32" t="s">
        <v>4730</v>
      </c>
      <c r="P834" s="32">
        <v>1699.0</v>
      </c>
      <c r="Q834" s="34">
        <v>1614.0</v>
      </c>
      <c r="R834" s="40">
        <v>1614.0</v>
      </c>
      <c r="S834" s="35">
        <v>1529.1</v>
      </c>
      <c r="T834" s="36">
        <v>0.0</v>
      </c>
      <c r="U834" s="36">
        <v>0.0</v>
      </c>
      <c r="V834" s="36">
        <v>0.0</v>
      </c>
      <c r="W834" s="36">
        <v>0.0</v>
      </c>
      <c r="X834" s="36">
        <v>0.0</v>
      </c>
      <c r="Y834" s="36">
        <v>0.0</v>
      </c>
    </row>
    <row r="835">
      <c r="A835" s="32" t="s">
        <v>4664</v>
      </c>
      <c r="B835" s="32" t="s">
        <v>4664</v>
      </c>
      <c r="C835" s="32" t="s">
        <v>4665</v>
      </c>
      <c r="D835" s="32" t="s">
        <v>4666</v>
      </c>
      <c r="E835" s="32" t="s">
        <v>5102</v>
      </c>
      <c r="F835" s="32" t="e">
        <v>#N/A</v>
      </c>
      <c r="G835" s="32" t="e">
        <v>#N/A</v>
      </c>
      <c r="H835" s="32">
        <v>0.0</v>
      </c>
      <c r="I835" s="32">
        <v>0.0</v>
      </c>
      <c r="J835" s="32" t="s">
        <v>4667</v>
      </c>
      <c r="K835" s="33" t="s">
        <v>4668</v>
      </c>
      <c r="L835" s="32" t="e">
        <v>#N/A</v>
      </c>
      <c r="M835" s="32" t="e">
        <v>#N/A</v>
      </c>
      <c r="N835" s="32" t="s">
        <v>5077</v>
      </c>
      <c r="O835" s="32" t="s">
        <v>4730</v>
      </c>
      <c r="P835" s="32">
        <v>1699.0</v>
      </c>
      <c r="Q835" s="34">
        <v>1614.0</v>
      </c>
      <c r="R835" s="40">
        <v>1614.0</v>
      </c>
      <c r="S835" s="35">
        <v>1529.1</v>
      </c>
      <c r="T835" s="36">
        <v>0.0</v>
      </c>
      <c r="U835" s="36">
        <v>0.0</v>
      </c>
      <c r="V835" s="36">
        <v>0.0</v>
      </c>
      <c r="W835" s="36">
        <v>0.0</v>
      </c>
      <c r="X835" s="36">
        <v>0.0</v>
      </c>
      <c r="Y835" s="36">
        <v>0.0</v>
      </c>
    </row>
    <row r="836">
      <c r="A836" s="32" t="s">
        <v>4669</v>
      </c>
      <c r="B836" s="32" t="s">
        <v>4669</v>
      </c>
      <c r="C836" s="32" t="s">
        <v>4670</v>
      </c>
      <c r="D836" s="32" t="s">
        <v>4671</v>
      </c>
      <c r="E836" s="32" t="s">
        <v>5102</v>
      </c>
      <c r="F836" s="32" t="e">
        <v>#N/A</v>
      </c>
      <c r="G836" s="32" t="e">
        <v>#N/A</v>
      </c>
      <c r="H836" s="32">
        <v>0.0</v>
      </c>
      <c r="I836" s="32">
        <v>0.0</v>
      </c>
      <c r="J836" s="32" t="s">
        <v>4672</v>
      </c>
      <c r="K836" s="33" t="s">
        <v>4673</v>
      </c>
      <c r="L836" s="32" t="e">
        <v>#N/A</v>
      </c>
      <c r="M836" s="32" t="e">
        <v>#N/A</v>
      </c>
      <c r="N836" s="32" t="s">
        <v>5077</v>
      </c>
      <c r="O836" s="32" t="s">
        <v>4730</v>
      </c>
      <c r="P836" s="32">
        <v>1699.0</v>
      </c>
      <c r="Q836" s="34">
        <v>1614.0</v>
      </c>
      <c r="R836" s="40">
        <v>1614.0</v>
      </c>
      <c r="S836" s="35">
        <v>1529.1</v>
      </c>
      <c r="T836" s="36">
        <v>0.0</v>
      </c>
      <c r="U836" s="36">
        <v>0.0</v>
      </c>
      <c r="V836" s="36">
        <v>0.0</v>
      </c>
      <c r="W836" s="36">
        <v>0.0</v>
      </c>
      <c r="X836" s="36">
        <v>0.0</v>
      </c>
      <c r="Y836" s="36">
        <v>0.0</v>
      </c>
    </row>
    <row r="837">
      <c r="A837" s="32" t="s">
        <v>4592</v>
      </c>
      <c r="B837" s="32" t="s">
        <v>4592</v>
      </c>
      <c r="C837" s="32" t="s">
        <v>4593</v>
      </c>
      <c r="D837" s="32" t="s">
        <v>4594</v>
      </c>
      <c r="E837" s="32" t="s">
        <v>5102</v>
      </c>
      <c r="F837" s="32" t="e">
        <v>#N/A</v>
      </c>
      <c r="G837" s="32" t="e">
        <v>#N/A</v>
      </c>
      <c r="H837" s="32">
        <v>0.0</v>
      </c>
      <c r="I837" s="32">
        <v>0.0</v>
      </c>
      <c r="J837" s="32" t="s">
        <v>4595</v>
      </c>
      <c r="K837" s="33" t="s">
        <v>4596</v>
      </c>
      <c r="L837" s="32" t="e">
        <v>#N/A</v>
      </c>
      <c r="M837" s="32" t="e">
        <v>#N/A</v>
      </c>
      <c r="N837" s="32" t="s">
        <v>5077</v>
      </c>
      <c r="O837" s="32" t="s">
        <v>4730</v>
      </c>
      <c r="P837" s="32">
        <v>1499.0</v>
      </c>
      <c r="Q837" s="34">
        <v>1424.0</v>
      </c>
      <c r="R837" s="40">
        <v>1424.0</v>
      </c>
      <c r="S837" s="35">
        <v>1349.1</v>
      </c>
      <c r="T837" s="36">
        <v>0.0</v>
      </c>
      <c r="U837" s="36">
        <v>0.0</v>
      </c>
      <c r="V837" s="36">
        <v>0.0</v>
      </c>
      <c r="W837" s="36">
        <v>0.0</v>
      </c>
      <c r="X837" s="36">
        <v>0.0</v>
      </c>
      <c r="Y837" s="36">
        <v>0.0</v>
      </c>
    </row>
    <row r="838">
      <c r="A838" s="32" t="s">
        <v>868</v>
      </c>
      <c r="B838" s="32" t="s">
        <v>868</v>
      </c>
      <c r="C838" s="32" t="s">
        <v>869</v>
      </c>
      <c r="D838" s="32" t="s">
        <v>870</v>
      </c>
      <c r="E838" s="32" t="s">
        <v>5102</v>
      </c>
      <c r="F838" s="32" t="e">
        <v>#N/A</v>
      </c>
      <c r="G838" s="32" t="e">
        <v>#N/A</v>
      </c>
      <c r="H838" s="32" t="s">
        <v>871</v>
      </c>
      <c r="I838" s="32" t="s">
        <v>5102</v>
      </c>
      <c r="J838" s="32" t="s">
        <v>872</v>
      </c>
      <c r="K838" s="33" t="s">
        <v>873</v>
      </c>
      <c r="L838" s="32">
        <v>3.1999072E7</v>
      </c>
      <c r="M838" s="32" t="s">
        <v>874</v>
      </c>
      <c r="N838" s="32" t="s">
        <v>5108</v>
      </c>
      <c r="O838" s="32" t="s">
        <v>52</v>
      </c>
      <c r="P838" s="32">
        <v>16499.0</v>
      </c>
      <c r="Q838" s="34">
        <v>13859.0</v>
      </c>
      <c r="R838" s="40">
        <v>14799.0</v>
      </c>
      <c r="S838" s="35">
        <v>13199.2</v>
      </c>
      <c r="T838" s="36">
        <v>0.0</v>
      </c>
      <c r="U838" s="36">
        <v>0.0</v>
      </c>
      <c r="V838" s="36">
        <v>0.0</v>
      </c>
      <c r="W838" s="36">
        <v>0.0</v>
      </c>
      <c r="X838" s="36">
        <v>0.0</v>
      </c>
      <c r="Y838" s="36">
        <v>0.0</v>
      </c>
    </row>
    <row r="839">
      <c r="A839" s="32" t="s">
        <v>875</v>
      </c>
      <c r="B839" s="32" t="s">
        <v>875</v>
      </c>
      <c r="C839" s="32" t="s">
        <v>876</v>
      </c>
      <c r="D839" s="32" t="s">
        <v>877</v>
      </c>
      <c r="E839" s="32" t="s">
        <v>5102</v>
      </c>
      <c r="F839" s="32" t="e">
        <v>#N/A</v>
      </c>
      <c r="G839" s="32" t="e">
        <v>#N/A</v>
      </c>
      <c r="H839" s="32" t="s">
        <v>878</v>
      </c>
      <c r="I839" s="32" t="s">
        <v>5102</v>
      </c>
      <c r="J839" s="32" t="s">
        <v>879</v>
      </c>
      <c r="K839" s="33" t="s">
        <v>880</v>
      </c>
      <c r="L839" s="32">
        <v>3.2783944E7</v>
      </c>
      <c r="M839" s="32" t="s">
        <v>881</v>
      </c>
      <c r="N839" s="32" t="s">
        <v>5108</v>
      </c>
      <c r="O839" s="32" t="s">
        <v>52</v>
      </c>
      <c r="P839" s="32">
        <v>16899.0</v>
      </c>
      <c r="Q839" s="34">
        <v>14195.0</v>
      </c>
      <c r="R839" s="40">
        <v>15199.0</v>
      </c>
      <c r="S839" s="35">
        <v>13519.2</v>
      </c>
      <c r="T839" s="36">
        <v>0.0</v>
      </c>
      <c r="U839" s="36">
        <v>0.0</v>
      </c>
      <c r="V839" s="36">
        <v>0.0</v>
      </c>
      <c r="W839" s="36">
        <v>0.0</v>
      </c>
      <c r="X839" s="36">
        <v>0.0</v>
      </c>
      <c r="Y839" s="36">
        <v>0.0</v>
      </c>
    </row>
    <row r="840">
      <c r="A840" s="32" t="s">
        <v>905</v>
      </c>
      <c r="B840" s="32" t="s">
        <v>905</v>
      </c>
      <c r="C840" s="32" t="s">
        <v>906</v>
      </c>
      <c r="D840" s="32" t="s">
        <v>907</v>
      </c>
      <c r="E840" s="32" t="s">
        <v>5102</v>
      </c>
      <c r="F840" s="32" t="e">
        <v>#N/A</v>
      </c>
      <c r="G840" s="32" t="e">
        <v>#N/A</v>
      </c>
      <c r="H840" s="32">
        <v>0.0</v>
      </c>
      <c r="I840" s="39"/>
      <c r="J840" s="32" t="s">
        <v>908</v>
      </c>
      <c r="K840" s="33" t="s">
        <v>909</v>
      </c>
      <c r="L840" s="32" t="e">
        <v>#N/A</v>
      </c>
      <c r="M840" s="32" t="e">
        <v>#N/A</v>
      </c>
      <c r="N840" s="32" t="s">
        <v>5108</v>
      </c>
      <c r="O840" s="32" t="s">
        <v>52</v>
      </c>
      <c r="P840" s="32">
        <v>16999.0</v>
      </c>
      <c r="Q840" s="34">
        <v>14279.0</v>
      </c>
      <c r="R840" s="40">
        <v>15299.0</v>
      </c>
      <c r="S840" s="35">
        <v>13599.2</v>
      </c>
      <c r="T840" s="36">
        <v>0.0</v>
      </c>
      <c r="U840" s="36">
        <v>0.0</v>
      </c>
      <c r="V840" s="36">
        <v>0.0</v>
      </c>
      <c r="W840" s="36">
        <v>0.0</v>
      </c>
      <c r="X840" s="36">
        <v>0.0</v>
      </c>
      <c r="Y840" s="36">
        <v>0.0</v>
      </c>
    </row>
    <row r="841">
      <c r="A841" s="32" t="s">
        <v>882</v>
      </c>
      <c r="B841" s="32" t="s">
        <v>882</v>
      </c>
      <c r="C841" s="32" t="s">
        <v>883</v>
      </c>
      <c r="D841" s="32" t="s">
        <v>884</v>
      </c>
      <c r="E841" s="32" t="s">
        <v>5102</v>
      </c>
      <c r="F841" s="32" t="e">
        <v>#N/A</v>
      </c>
      <c r="G841" s="32" t="e">
        <v>#N/A</v>
      </c>
      <c r="H841" s="32">
        <v>0.0</v>
      </c>
      <c r="I841" s="39"/>
      <c r="J841" s="32" t="s">
        <v>885</v>
      </c>
      <c r="K841" s="33" t="s">
        <v>886</v>
      </c>
      <c r="L841" s="32" t="e">
        <v>#N/A</v>
      </c>
      <c r="M841" s="32" t="e">
        <v>#N/A</v>
      </c>
      <c r="N841" s="32" t="s">
        <v>5108</v>
      </c>
      <c r="O841" s="32" t="s">
        <v>52</v>
      </c>
      <c r="P841" s="32">
        <v>18999.0</v>
      </c>
      <c r="Q841" s="34">
        <v>15959.0</v>
      </c>
      <c r="R841" s="40">
        <v>17099.0</v>
      </c>
      <c r="S841" s="35">
        <v>15199.2</v>
      </c>
      <c r="T841" s="36">
        <v>0.0</v>
      </c>
      <c r="U841" s="36">
        <v>0.0</v>
      </c>
      <c r="V841" s="36">
        <v>0.0</v>
      </c>
      <c r="W841" s="36">
        <v>0.0</v>
      </c>
      <c r="X841" s="36">
        <v>0.0</v>
      </c>
      <c r="Y841" s="36">
        <v>0.0</v>
      </c>
    </row>
    <row r="842">
      <c r="A842" s="32" t="s">
        <v>1011</v>
      </c>
      <c r="B842" s="32" t="s">
        <v>1011</v>
      </c>
      <c r="C842" s="32" t="s">
        <v>1012</v>
      </c>
      <c r="D842" s="32" t="s">
        <v>1013</v>
      </c>
      <c r="E842" s="32" t="s">
        <v>5102</v>
      </c>
      <c r="F842" s="32" t="e">
        <v>#N/A</v>
      </c>
      <c r="G842" s="32" t="e">
        <v>#N/A</v>
      </c>
      <c r="H842" s="32">
        <v>0.0</v>
      </c>
      <c r="I842" s="39"/>
      <c r="J842" s="32" t="s">
        <v>1014</v>
      </c>
      <c r="K842" s="33" t="s">
        <v>1015</v>
      </c>
      <c r="L842" s="32" t="e">
        <v>#N/A</v>
      </c>
      <c r="M842" s="32" t="e">
        <v>#N/A</v>
      </c>
      <c r="N842" s="32" t="s">
        <v>5108</v>
      </c>
      <c r="O842" s="32" t="s">
        <v>52</v>
      </c>
      <c r="P842" s="32">
        <v>19999.0</v>
      </c>
      <c r="Q842" s="34">
        <v>16799.0</v>
      </c>
      <c r="R842" s="40">
        <v>17999.0</v>
      </c>
      <c r="S842" s="35">
        <v>15999.2</v>
      </c>
      <c r="T842" s="36">
        <v>0.0</v>
      </c>
      <c r="U842" s="36">
        <v>0.0</v>
      </c>
      <c r="V842" s="36">
        <v>0.0</v>
      </c>
      <c r="W842" s="36">
        <v>0.0</v>
      </c>
      <c r="X842" s="36">
        <v>0.0</v>
      </c>
      <c r="Y842" s="36">
        <v>0.0</v>
      </c>
    </row>
    <row r="843">
      <c r="A843" s="32" t="s">
        <v>1034</v>
      </c>
      <c r="B843" s="32" t="s">
        <v>1034</v>
      </c>
      <c r="C843" s="32" t="s">
        <v>1035</v>
      </c>
      <c r="D843" s="32" t="s">
        <v>1036</v>
      </c>
      <c r="E843" s="32" t="s">
        <v>5102</v>
      </c>
      <c r="F843" s="32" t="e">
        <v>#N/A</v>
      </c>
      <c r="G843" s="32" t="e">
        <v>#N/A</v>
      </c>
      <c r="H843" s="32" t="s">
        <v>5161</v>
      </c>
      <c r="I843" s="32" t="s">
        <v>5102</v>
      </c>
      <c r="J843" s="32" t="s">
        <v>5162</v>
      </c>
      <c r="K843" s="33" t="s">
        <v>1037</v>
      </c>
      <c r="L843" s="32">
        <v>3.2783782E7</v>
      </c>
      <c r="M843" s="32" t="e">
        <v>#N/A</v>
      </c>
      <c r="N843" s="32" t="s">
        <v>5108</v>
      </c>
      <c r="O843" s="32" t="s">
        <v>52</v>
      </c>
      <c r="P843" s="32">
        <v>22999.0</v>
      </c>
      <c r="Q843" s="34">
        <v>19319.0</v>
      </c>
      <c r="R843" s="40">
        <v>20699.0</v>
      </c>
      <c r="S843" s="35">
        <v>18399.2</v>
      </c>
      <c r="T843" s="36">
        <v>0.0</v>
      </c>
      <c r="U843" s="36">
        <v>0.0</v>
      </c>
      <c r="V843" s="36">
        <v>0.0</v>
      </c>
      <c r="W843" s="36">
        <v>0.0</v>
      </c>
      <c r="X843" s="36">
        <v>0.0</v>
      </c>
      <c r="Y843" s="36">
        <v>0.0</v>
      </c>
    </row>
    <row r="844">
      <c r="A844" s="32" t="s">
        <v>1078</v>
      </c>
      <c r="B844" s="32" t="s">
        <v>1078</v>
      </c>
      <c r="C844" s="32" t="s">
        <v>1079</v>
      </c>
      <c r="D844" s="32" t="s">
        <v>1080</v>
      </c>
      <c r="E844" s="32" t="s">
        <v>5102</v>
      </c>
      <c r="F844" s="32" t="e">
        <v>#N/A</v>
      </c>
      <c r="G844" s="32" t="e">
        <v>#N/A</v>
      </c>
      <c r="H844" s="32" t="s">
        <v>5163</v>
      </c>
      <c r="I844" s="32" t="s">
        <v>5102</v>
      </c>
      <c r="J844" s="32" t="s">
        <v>1081</v>
      </c>
      <c r="K844" s="33" t="s">
        <v>1082</v>
      </c>
      <c r="L844" s="32">
        <v>3.2784071E7</v>
      </c>
      <c r="M844" s="32" t="e">
        <v>#N/A</v>
      </c>
      <c r="N844" s="32" t="s">
        <v>5108</v>
      </c>
      <c r="O844" s="32" t="s">
        <v>52</v>
      </c>
      <c r="P844" s="32">
        <v>26999.0</v>
      </c>
      <c r="Q844" s="34">
        <v>22679.0</v>
      </c>
      <c r="R844" s="40">
        <v>24299.0</v>
      </c>
      <c r="S844" s="35">
        <v>21599.2</v>
      </c>
      <c r="T844" s="36">
        <v>0.0</v>
      </c>
      <c r="U844" s="36">
        <v>0.0</v>
      </c>
      <c r="V844" s="36">
        <v>0.0</v>
      </c>
      <c r="W844" s="36">
        <v>0.0</v>
      </c>
      <c r="X844" s="36">
        <v>0.0</v>
      </c>
      <c r="Y844" s="36">
        <v>0.0</v>
      </c>
    </row>
    <row r="845">
      <c r="A845" s="32" t="s">
        <v>1038</v>
      </c>
      <c r="B845" s="32" t="s">
        <v>1038</v>
      </c>
      <c r="C845" s="32" t="s">
        <v>1039</v>
      </c>
      <c r="D845" s="32" t="s">
        <v>1040</v>
      </c>
      <c r="E845" s="32" t="s">
        <v>5102</v>
      </c>
      <c r="F845" s="32" t="e">
        <v>#N/A</v>
      </c>
      <c r="G845" s="32" t="e">
        <v>#N/A</v>
      </c>
      <c r="H845" s="32" t="s">
        <v>5164</v>
      </c>
      <c r="I845" s="32" t="s">
        <v>5102</v>
      </c>
      <c r="J845" s="32" t="s">
        <v>5165</v>
      </c>
      <c r="K845" s="33" t="s">
        <v>1041</v>
      </c>
      <c r="L845" s="32">
        <v>3.2784201E7</v>
      </c>
      <c r="M845" s="32" t="e">
        <v>#N/A</v>
      </c>
      <c r="N845" s="32" t="s">
        <v>5108</v>
      </c>
      <c r="O845" s="32" t="s">
        <v>52</v>
      </c>
      <c r="P845" s="32">
        <v>25999.0</v>
      </c>
      <c r="Q845" s="34">
        <v>21839.0</v>
      </c>
      <c r="R845" s="40">
        <v>23399.0</v>
      </c>
      <c r="S845" s="35">
        <v>20799.2</v>
      </c>
      <c r="T845" s="36">
        <v>0.0</v>
      </c>
      <c r="U845" s="36">
        <v>0.0</v>
      </c>
      <c r="V845" s="36">
        <v>0.0</v>
      </c>
      <c r="W845" s="36">
        <v>0.0</v>
      </c>
      <c r="X845" s="36">
        <v>0.0</v>
      </c>
      <c r="Y845" s="36">
        <v>0.0</v>
      </c>
    </row>
    <row r="846">
      <c r="A846" s="32" t="s">
        <v>1083</v>
      </c>
      <c r="B846" s="32" t="s">
        <v>1083</v>
      </c>
      <c r="C846" s="32" t="s">
        <v>1084</v>
      </c>
      <c r="D846" s="32" t="s">
        <v>1085</v>
      </c>
      <c r="E846" s="32" t="s">
        <v>5102</v>
      </c>
      <c r="F846" s="32" t="e">
        <v>#N/A</v>
      </c>
      <c r="G846" s="32" t="e">
        <v>#N/A</v>
      </c>
      <c r="H846" s="32" t="s">
        <v>5166</v>
      </c>
      <c r="I846" s="32" t="s">
        <v>5102</v>
      </c>
      <c r="J846" s="32" t="s">
        <v>5167</v>
      </c>
      <c r="K846" s="33" t="s">
        <v>1086</v>
      </c>
      <c r="L846" s="32">
        <v>3.2784095E7</v>
      </c>
      <c r="M846" s="32" t="e">
        <v>#N/A</v>
      </c>
      <c r="N846" s="32" t="s">
        <v>5108</v>
      </c>
      <c r="O846" s="32" t="s">
        <v>52</v>
      </c>
      <c r="P846" s="32">
        <v>28999.0</v>
      </c>
      <c r="Q846" s="34">
        <v>24359.0</v>
      </c>
      <c r="R846" s="40">
        <v>26099.0</v>
      </c>
      <c r="S846" s="35">
        <v>23199.2</v>
      </c>
      <c r="T846" s="36">
        <v>0.0</v>
      </c>
      <c r="U846" s="36">
        <v>0.0</v>
      </c>
      <c r="V846" s="36">
        <v>0.0</v>
      </c>
      <c r="W846" s="36">
        <v>0.0</v>
      </c>
      <c r="X846" s="36">
        <v>0.0</v>
      </c>
      <c r="Y846" s="36">
        <v>0.0</v>
      </c>
    </row>
    <row r="847">
      <c r="A847" s="32" t="s">
        <v>981</v>
      </c>
      <c r="B847" s="32" t="s">
        <v>981</v>
      </c>
      <c r="C847" s="32" t="s">
        <v>982</v>
      </c>
      <c r="D847" s="32" t="s">
        <v>983</v>
      </c>
      <c r="E847" s="32" t="s">
        <v>5102</v>
      </c>
      <c r="F847" s="32" t="e">
        <v>#N/A</v>
      </c>
      <c r="G847" s="32" t="e">
        <v>#N/A</v>
      </c>
      <c r="H847" s="32">
        <v>0.0</v>
      </c>
      <c r="I847" s="39"/>
      <c r="J847" s="32" t="s">
        <v>984</v>
      </c>
      <c r="K847" s="33" t="s">
        <v>985</v>
      </c>
      <c r="L847" s="32" t="e">
        <v>#N/A</v>
      </c>
      <c r="M847" s="32" t="e">
        <v>#N/A</v>
      </c>
      <c r="N847" s="32" t="s">
        <v>5108</v>
      </c>
      <c r="O847" s="32" t="s">
        <v>52</v>
      </c>
      <c r="P847" s="32">
        <v>22999.0</v>
      </c>
      <c r="Q847" s="34">
        <v>19319.0</v>
      </c>
      <c r="R847" s="40">
        <v>20699.0</v>
      </c>
      <c r="S847" s="35">
        <v>18399.2</v>
      </c>
      <c r="T847" s="36">
        <v>0.0</v>
      </c>
      <c r="U847" s="36">
        <v>0.0</v>
      </c>
      <c r="V847" s="36">
        <v>0.0</v>
      </c>
      <c r="W847" s="36">
        <v>0.0</v>
      </c>
      <c r="X847" s="36">
        <v>0.0</v>
      </c>
      <c r="Y847" s="36">
        <v>0.0</v>
      </c>
    </row>
    <row r="848">
      <c r="A848" s="32" t="s">
        <v>964</v>
      </c>
      <c r="B848" s="32" t="s">
        <v>964</v>
      </c>
      <c r="C848" s="32" t="s">
        <v>965</v>
      </c>
      <c r="D848" s="32" t="s">
        <v>966</v>
      </c>
      <c r="E848" s="32" t="s">
        <v>5102</v>
      </c>
      <c r="F848" s="32" t="e">
        <v>#N/A</v>
      </c>
      <c r="G848" s="32" t="e">
        <v>#N/A</v>
      </c>
      <c r="H848" s="32">
        <v>0.0</v>
      </c>
      <c r="I848" s="39"/>
      <c r="J848" s="32" t="s">
        <v>967</v>
      </c>
      <c r="K848" s="33" t="s">
        <v>968</v>
      </c>
      <c r="L848" s="32" t="e">
        <v>#N/A</v>
      </c>
      <c r="M848" s="32" t="e">
        <v>#N/A</v>
      </c>
      <c r="N848" s="32" t="s">
        <v>5108</v>
      </c>
      <c r="O848" s="32" t="s">
        <v>52</v>
      </c>
      <c r="P848" s="32">
        <v>19999.0</v>
      </c>
      <c r="Q848" s="34">
        <v>16799.0</v>
      </c>
      <c r="R848" s="40">
        <v>17999.0</v>
      </c>
      <c r="S848" s="35">
        <v>15999.2</v>
      </c>
      <c r="T848" s="36">
        <v>0.0</v>
      </c>
      <c r="U848" s="36">
        <v>0.0</v>
      </c>
      <c r="V848" s="36">
        <v>0.0</v>
      </c>
      <c r="W848" s="36">
        <v>0.0</v>
      </c>
      <c r="X848" s="36">
        <v>0.0</v>
      </c>
      <c r="Y848" s="36">
        <v>0.0</v>
      </c>
    </row>
    <row r="849">
      <c r="A849" s="32" t="s">
        <v>2719</v>
      </c>
      <c r="B849" s="32" t="s">
        <v>2719</v>
      </c>
      <c r="C849" s="32">
        <v>0.0</v>
      </c>
      <c r="D849" s="32" t="e">
        <v>#N/A</v>
      </c>
      <c r="E849" s="39"/>
      <c r="F849" s="32" t="e">
        <v>#N/A</v>
      </c>
      <c r="G849" s="39"/>
      <c r="H849" s="32" t="e">
        <v>#N/A</v>
      </c>
      <c r="I849" s="39"/>
      <c r="J849" s="32">
        <v>0.0</v>
      </c>
      <c r="K849" s="33" t="e">
        <v>#N/A</v>
      </c>
      <c r="L849" s="32" t="e">
        <v>#N/A</v>
      </c>
      <c r="M849" s="32" t="e">
        <v>#N/A</v>
      </c>
      <c r="N849" s="32" t="e">
        <v>#N/A</v>
      </c>
      <c r="O849" s="32" t="e">
        <v>#N/A</v>
      </c>
      <c r="P849" s="32" t="e">
        <v>#REF!</v>
      </c>
      <c r="Q849" s="32" t="e">
        <v>#N/A</v>
      </c>
      <c r="R849" s="42" t="e">
        <v>#N/A</v>
      </c>
      <c r="S849" s="42" t="e">
        <v>#N/A</v>
      </c>
      <c r="T849" s="36">
        <v>0.0</v>
      </c>
      <c r="U849" s="36">
        <v>0.0</v>
      </c>
      <c r="V849" s="36">
        <v>0.0</v>
      </c>
      <c r="W849" s="36">
        <v>0.0</v>
      </c>
      <c r="X849" s="36">
        <v>0.0</v>
      </c>
      <c r="Y849" s="36">
        <v>0.0</v>
      </c>
    </row>
    <row r="850">
      <c r="A850" s="32" t="s">
        <v>988</v>
      </c>
      <c r="B850" s="32" t="s">
        <v>988</v>
      </c>
      <c r="C850" s="32" t="s">
        <v>989</v>
      </c>
      <c r="D850" s="32" t="s">
        <v>990</v>
      </c>
      <c r="E850" s="32" t="s">
        <v>5102</v>
      </c>
      <c r="F850" s="32" t="e">
        <v>#N/A</v>
      </c>
      <c r="G850" s="32" t="e">
        <v>#N/A</v>
      </c>
      <c r="H850" s="32">
        <v>0.0</v>
      </c>
      <c r="I850" s="39"/>
      <c r="J850" s="32" t="s">
        <v>991</v>
      </c>
      <c r="K850" s="33" t="s">
        <v>992</v>
      </c>
      <c r="L850" s="32" t="e">
        <v>#N/A</v>
      </c>
      <c r="M850" s="32" t="e">
        <v>#N/A</v>
      </c>
      <c r="N850" s="32" t="s">
        <v>5108</v>
      </c>
      <c r="O850" s="32" t="s">
        <v>52</v>
      </c>
      <c r="P850" s="32">
        <v>22999.0</v>
      </c>
      <c r="Q850" s="34">
        <v>19319.0</v>
      </c>
      <c r="R850" s="40">
        <v>20699.0</v>
      </c>
      <c r="S850" s="35">
        <v>18399.2</v>
      </c>
      <c r="T850" s="36">
        <v>0.0</v>
      </c>
      <c r="U850" s="36">
        <v>0.0</v>
      </c>
      <c r="V850" s="36">
        <v>0.0</v>
      </c>
      <c r="W850" s="36">
        <v>0.0</v>
      </c>
      <c r="X850" s="36">
        <v>0.0</v>
      </c>
      <c r="Y850" s="36">
        <v>0.0</v>
      </c>
    </row>
    <row r="851">
      <c r="A851" s="32" t="s">
        <v>957</v>
      </c>
      <c r="B851" s="32" t="s">
        <v>957</v>
      </c>
      <c r="C851" s="32" t="s">
        <v>958</v>
      </c>
      <c r="D851" s="32" t="s">
        <v>959</v>
      </c>
      <c r="E851" s="32" t="s">
        <v>5102</v>
      </c>
      <c r="F851" s="32" t="e">
        <v>#N/A</v>
      </c>
      <c r="G851" s="32" t="e">
        <v>#N/A</v>
      </c>
      <c r="H851" s="32">
        <v>0.0</v>
      </c>
      <c r="I851" s="39"/>
      <c r="J851" s="32" t="s">
        <v>960</v>
      </c>
      <c r="K851" s="33" t="s">
        <v>961</v>
      </c>
      <c r="L851" s="32" t="e">
        <v>#N/A</v>
      </c>
      <c r="M851" s="32" t="e">
        <v>#N/A</v>
      </c>
      <c r="N851" s="32" t="s">
        <v>5108</v>
      </c>
      <c r="O851" s="32" t="s">
        <v>52</v>
      </c>
      <c r="P851" s="32">
        <v>22999.0</v>
      </c>
      <c r="Q851" s="34">
        <v>19319.0</v>
      </c>
      <c r="R851" s="40">
        <v>20699.0</v>
      </c>
      <c r="S851" s="35">
        <v>18399.2</v>
      </c>
      <c r="T851" s="36">
        <v>0.0</v>
      </c>
      <c r="U851" s="36">
        <v>0.0</v>
      </c>
      <c r="V851" s="36">
        <v>0.0</v>
      </c>
      <c r="W851" s="36">
        <v>0.0</v>
      </c>
      <c r="X851" s="36">
        <v>0.0</v>
      </c>
      <c r="Y851" s="36">
        <v>0.0</v>
      </c>
    </row>
    <row r="852">
      <c r="A852" s="32" t="s">
        <v>976</v>
      </c>
      <c r="B852" s="32" t="s">
        <v>976</v>
      </c>
      <c r="C852" s="32" t="s">
        <v>977</v>
      </c>
      <c r="D852" s="32" t="s">
        <v>978</v>
      </c>
      <c r="E852" s="32" t="s">
        <v>5102</v>
      </c>
      <c r="F852" s="32" t="e">
        <v>#N/A</v>
      </c>
      <c r="G852" s="32" t="e">
        <v>#N/A</v>
      </c>
      <c r="H852" s="32">
        <v>0.0</v>
      </c>
      <c r="I852" s="39"/>
      <c r="J852" s="32" t="s">
        <v>979</v>
      </c>
      <c r="K852" s="33" t="s">
        <v>980</v>
      </c>
      <c r="L852" s="32" t="e">
        <v>#N/A</v>
      </c>
      <c r="M852" s="32" t="e">
        <v>#N/A</v>
      </c>
      <c r="N852" s="32" t="s">
        <v>5108</v>
      </c>
      <c r="O852" s="32" t="s">
        <v>52</v>
      </c>
      <c r="P852" s="32">
        <v>23999.0</v>
      </c>
      <c r="Q852" s="34">
        <v>20159.0</v>
      </c>
      <c r="R852" s="40">
        <v>21599.0</v>
      </c>
      <c r="S852" s="35">
        <v>19199.2</v>
      </c>
      <c r="T852" s="36">
        <v>0.0</v>
      </c>
      <c r="U852" s="36">
        <v>0.0</v>
      </c>
      <c r="V852" s="36">
        <v>0.0</v>
      </c>
      <c r="W852" s="36">
        <v>0.0</v>
      </c>
      <c r="X852" s="36">
        <v>0.0</v>
      </c>
      <c r="Y852" s="36">
        <v>0.0</v>
      </c>
    </row>
    <row r="853">
      <c r="A853" s="32" t="s">
        <v>993</v>
      </c>
      <c r="B853" s="32" t="s">
        <v>993</v>
      </c>
      <c r="C853" s="32" t="s">
        <v>994</v>
      </c>
      <c r="D853" s="32" t="s">
        <v>995</v>
      </c>
      <c r="E853" s="32" t="s">
        <v>5102</v>
      </c>
      <c r="F853" s="32" t="e">
        <v>#N/A</v>
      </c>
      <c r="G853" s="32" t="e">
        <v>#N/A</v>
      </c>
      <c r="H853" s="32">
        <v>0.0</v>
      </c>
      <c r="I853" s="39"/>
      <c r="J853" s="32" t="s">
        <v>996</v>
      </c>
      <c r="K853" s="33" t="s">
        <v>997</v>
      </c>
      <c r="L853" s="32" t="e">
        <v>#N/A</v>
      </c>
      <c r="M853" s="32" t="e">
        <v>#N/A</v>
      </c>
      <c r="N853" s="32" t="s">
        <v>5108</v>
      </c>
      <c r="O853" s="32" t="s">
        <v>52</v>
      </c>
      <c r="P853" s="32">
        <v>26999.0</v>
      </c>
      <c r="Q853" s="34">
        <v>22679.0</v>
      </c>
      <c r="R853" s="40">
        <v>24299.0</v>
      </c>
      <c r="S853" s="35">
        <v>21599.2</v>
      </c>
      <c r="T853" s="36">
        <v>0.0</v>
      </c>
      <c r="U853" s="36">
        <v>0.0</v>
      </c>
      <c r="V853" s="36">
        <v>0.0</v>
      </c>
      <c r="W853" s="36">
        <v>0.0</v>
      </c>
      <c r="X853" s="36">
        <v>0.0</v>
      </c>
      <c r="Y853" s="36">
        <v>0.0</v>
      </c>
    </row>
    <row r="854">
      <c r="A854" s="32" t="s">
        <v>804</v>
      </c>
      <c r="B854" s="32" t="s">
        <v>804</v>
      </c>
      <c r="C854" s="32" t="s">
        <v>805</v>
      </c>
      <c r="D854" s="32" t="s">
        <v>806</v>
      </c>
      <c r="E854" s="32" t="s">
        <v>5102</v>
      </c>
      <c r="F854" s="32" t="e">
        <v>#N/A</v>
      </c>
      <c r="G854" s="32" t="e">
        <v>#N/A</v>
      </c>
      <c r="H854" s="32" t="s">
        <v>807</v>
      </c>
      <c r="I854" s="32" t="s">
        <v>5102</v>
      </c>
      <c r="J854" s="32" t="s">
        <v>808</v>
      </c>
      <c r="K854" s="33" t="s">
        <v>809</v>
      </c>
      <c r="L854" s="32">
        <v>3.2784129E7</v>
      </c>
      <c r="M854" s="32" t="e">
        <v>#N/A</v>
      </c>
      <c r="N854" s="32" t="s">
        <v>5108</v>
      </c>
      <c r="O854" s="32" t="s">
        <v>52</v>
      </c>
      <c r="P854" s="32">
        <v>10999.0</v>
      </c>
      <c r="Q854" s="34">
        <v>9239.0</v>
      </c>
      <c r="R854" s="40">
        <v>9899.0</v>
      </c>
      <c r="S854" s="35">
        <v>8799.2</v>
      </c>
      <c r="T854" s="36">
        <v>0.0</v>
      </c>
      <c r="U854" s="36">
        <v>0.0</v>
      </c>
      <c r="V854" s="36">
        <v>0.0</v>
      </c>
      <c r="W854" s="36">
        <v>0.0</v>
      </c>
      <c r="X854" s="36">
        <v>0.0</v>
      </c>
      <c r="Y854" s="36">
        <v>0.0</v>
      </c>
    </row>
    <row r="855">
      <c r="A855" s="32" t="s">
        <v>836</v>
      </c>
      <c r="B855" s="32" t="s">
        <v>836</v>
      </c>
      <c r="C855" s="32" t="s">
        <v>837</v>
      </c>
      <c r="D855" s="32" t="s">
        <v>838</v>
      </c>
      <c r="E855" s="32" t="s">
        <v>5102</v>
      </c>
      <c r="F855" s="32" t="e">
        <v>#N/A</v>
      </c>
      <c r="G855" s="32" t="e">
        <v>#N/A</v>
      </c>
      <c r="H855" s="32" t="s">
        <v>839</v>
      </c>
      <c r="I855" s="32" t="s">
        <v>5102</v>
      </c>
      <c r="J855" s="32" t="s">
        <v>840</v>
      </c>
      <c r="K855" s="33" t="s">
        <v>841</v>
      </c>
      <c r="L855" s="32">
        <v>3.2783881E7</v>
      </c>
      <c r="M855" s="32" t="s">
        <v>842</v>
      </c>
      <c r="N855" s="32" t="s">
        <v>5108</v>
      </c>
      <c r="O855" s="32" t="s">
        <v>52</v>
      </c>
      <c r="P855" s="32">
        <v>12899.0</v>
      </c>
      <c r="Q855" s="34">
        <v>10835.0</v>
      </c>
      <c r="R855" s="40">
        <v>11599.0</v>
      </c>
      <c r="S855" s="35">
        <v>10319.2</v>
      </c>
      <c r="T855" s="36">
        <v>0.0</v>
      </c>
      <c r="U855" s="36">
        <v>0.0</v>
      </c>
      <c r="V855" s="36">
        <v>0.0</v>
      </c>
      <c r="W855" s="36">
        <v>0.0</v>
      </c>
      <c r="X855" s="36">
        <v>0.0</v>
      </c>
      <c r="Y855" s="36">
        <v>0.0</v>
      </c>
    </row>
    <row r="856">
      <c r="A856" s="32" t="s">
        <v>849</v>
      </c>
      <c r="B856" s="32" t="s">
        <v>849</v>
      </c>
      <c r="C856" s="32" t="s">
        <v>850</v>
      </c>
      <c r="D856" s="32" t="s">
        <v>851</v>
      </c>
      <c r="E856" s="32" t="s">
        <v>5102</v>
      </c>
      <c r="F856" s="32" t="e">
        <v>#N/A</v>
      </c>
      <c r="G856" s="32" t="e">
        <v>#N/A</v>
      </c>
      <c r="H856" s="32" t="s">
        <v>852</v>
      </c>
      <c r="I856" s="32" t="s">
        <v>5102</v>
      </c>
      <c r="J856" s="32" t="s">
        <v>853</v>
      </c>
      <c r="K856" s="33" t="s">
        <v>854</v>
      </c>
      <c r="L856" s="32">
        <v>3.2784224E7</v>
      </c>
      <c r="M856" s="32" t="s">
        <v>855</v>
      </c>
      <c r="N856" s="32" t="s">
        <v>5108</v>
      </c>
      <c r="O856" s="32" t="s">
        <v>52</v>
      </c>
      <c r="P856" s="32">
        <v>13399.0</v>
      </c>
      <c r="Q856" s="34">
        <v>11255.0</v>
      </c>
      <c r="R856" s="40">
        <v>12099.0</v>
      </c>
      <c r="S856" s="35">
        <v>10719.2</v>
      </c>
      <c r="T856" s="36">
        <v>0.0</v>
      </c>
      <c r="U856" s="36">
        <v>0.0</v>
      </c>
      <c r="V856" s="36">
        <v>0.0</v>
      </c>
      <c r="W856" s="36">
        <v>0.0</v>
      </c>
      <c r="X856" s="36">
        <v>0.0</v>
      </c>
      <c r="Y856" s="36">
        <v>0.0</v>
      </c>
    </row>
    <row r="857">
      <c r="A857" s="32" t="s">
        <v>831</v>
      </c>
      <c r="B857" s="32" t="s">
        <v>831</v>
      </c>
      <c r="C857" s="32" t="s">
        <v>832</v>
      </c>
      <c r="D857" s="32" t="s">
        <v>833</v>
      </c>
      <c r="E857" s="32" t="s">
        <v>5102</v>
      </c>
      <c r="F857" s="32" t="e">
        <v>#N/A</v>
      </c>
      <c r="G857" s="32" t="e">
        <v>#N/A</v>
      </c>
      <c r="H857" s="32">
        <v>0.0</v>
      </c>
      <c r="I857" s="39"/>
      <c r="J857" s="32" t="s">
        <v>834</v>
      </c>
      <c r="K857" s="33" t="s">
        <v>835</v>
      </c>
      <c r="L857" s="32" t="e">
        <v>#N/A</v>
      </c>
      <c r="M857" s="32" t="e">
        <v>#N/A</v>
      </c>
      <c r="N857" s="32" t="s">
        <v>5108</v>
      </c>
      <c r="O857" s="32" t="s">
        <v>52</v>
      </c>
      <c r="P857" s="32">
        <v>13999.0</v>
      </c>
      <c r="Q857" s="34">
        <v>11759.0</v>
      </c>
      <c r="R857" s="40">
        <v>12599.0</v>
      </c>
      <c r="S857" s="35">
        <v>11199.2</v>
      </c>
      <c r="T857" s="36">
        <v>0.0</v>
      </c>
      <c r="U857" s="36">
        <v>0.0</v>
      </c>
      <c r="V857" s="36">
        <v>0.0</v>
      </c>
      <c r="W857" s="36">
        <v>0.0</v>
      </c>
      <c r="X857" s="36">
        <v>0.0</v>
      </c>
      <c r="Y857" s="36">
        <v>0.0</v>
      </c>
    </row>
    <row r="858">
      <c r="A858" s="32" t="s">
        <v>856</v>
      </c>
      <c r="B858" s="32" t="s">
        <v>856</v>
      </c>
      <c r="C858" s="32" t="s">
        <v>857</v>
      </c>
      <c r="D858" s="32" t="s">
        <v>858</v>
      </c>
      <c r="E858" s="32" t="s">
        <v>5102</v>
      </c>
      <c r="F858" s="32" t="e">
        <v>#N/A</v>
      </c>
      <c r="G858" s="32" t="e">
        <v>#N/A</v>
      </c>
      <c r="H858" s="32">
        <v>0.0</v>
      </c>
      <c r="I858" s="39"/>
      <c r="J858" s="32" t="s">
        <v>859</v>
      </c>
      <c r="K858" s="33" t="s">
        <v>860</v>
      </c>
      <c r="L858" s="32" t="e">
        <v>#N/A</v>
      </c>
      <c r="M858" s="32" t="e">
        <v>#N/A</v>
      </c>
      <c r="N858" s="32" t="s">
        <v>5108</v>
      </c>
      <c r="O858" s="32" t="s">
        <v>52</v>
      </c>
      <c r="P858" s="32">
        <v>15499.0</v>
      </c>
      <c r="Q858" s="34">
        <v>13019.0</v>
      </c>
      <c r="R858" s="40">
        <v>13899.0</v>
      </c>
      <c r="S858" s="35">
        <v>12399.2</v>
      </c>
      <c r="T858" s="36">
        <v>0.0</v>
      </c>
      <c r="U858" s="36">
        <v>0.0</v>
      </c>
      <c r="V858" s="36">
        <v>0.0</v>
      </c>
      <c r="W858" s="36">
        <v>0.0</v>
      </c>
      <c r="X858" s="36">
        <v>0.0</v>
      </c>
      <c r="Y858" s="36">
        <v>0.0</v>
      </c>
    </row>
    <row r="859">
      <c r="A859" s="32" t="s">
        <v>4914</v>
      </c>
      <c r="B859" s="32" t="s">
        <v>4914</v>
      </c>
      <c r="C859" s="32" t="s">
        <v>4915</v>
      </c>
      <c r="D859" s="46" t="s">
        <v>5224</v>
      </c>
      <c r="E859" s="32" t="s">
        <v>5102</v>
      </c>
      <c r="F859" s="32" t="e">
        <v>#N/A</v>
      </c>
      <c r="G859" s="32" t="e">
        <v>#N/A</v>
      </c>
      <c r="H859" s="38"/>
      <c r="I859" s="38"/>
      <c r="J859" s="32" t="s">
        <v>2428</v>
      </c>
      <c r="K859" s="38"/>
      <c r="L859" s="38"/>
      <c r="M859" s="38"/>
      <c r="N859" s="32" t="s">
        <v>5081</v>
      </c>
      <c r="O859" s="32" t="s">
        <v>1145</v>
      </c>
      <c r="P859" s="32">
        <v>2499.0</v>
      </c>
      <c r="Q859" s="44">
        <v>2499.0</v>
      </c>
      <c r="R859" s="40">
        <v>2499.0</v>
      </c>
      <c r="S859" s="35">
        <v>2399.0</v>
      </c>
      <c r="T859" s="36">
        <v>0.0</v>
      </c>
      <c r="U859" s="36">
        <v>0.0</v>
      </c>
      <c r="V859" s="36">
        <v>0.0</v>
      </c>
      <c r="W859" s="36">
        <v>0.0</v>
      </c>
      <c r="X859" s="36">
        <v>0.0</v>
      </c>
      <c r="Y859" s="36">
        <v>0.0</v>
      </c>
    </row>
    <row r="860">
      <c r="A860" s="32" t="s">
        <v>2431</v>
      </c>
      <c r="B860" s="32" t="s">
        <v>2431</v>
      </c>
      <c r="C860" s="32" t="s">
        <v>2432</v>
      </c>
      <c r="D860" s="32" t="s">
        <v>2433</v>
      </c>
      <c r="E860" s="32" t="s">
        <v>5073</v>
      </c>
      <c r="F860" s="32" t="s">
        <v>2434</v>
      </c>
      <c r="G860" s="32" t="s">
        <v>5073</v>
      </c>
      <c r="H860" s="32">
        <v>0.0</v>
      </c>
      <c r="I860" s="39"/>
      <c r="J860" s="32" t="s">
        <v>2435</v>
      </c>
      <c r="K860" s="33" t="s">
        <v>2436</v>
      </c>
      <c r="L860" s="32">
        <v>3.2777661E7</v>
      </c>
      <c r="M860" s="32" t="s">
        <v>2437</v>
      </c>
      <c r="N860" s="32" t="s">
        <v>5081</v>
      </c>
      <c r="O860" s="32" t="s">
        <v>1145</v>
      </c>
      <c r="P860" s="32">
        <v>3699.0</v>
      </c>
      <c r="Q860" s="34">
        <v>3499.0</v>
      </c>
      <c r="R860" s="40">
        <v>3499.0</v>
      </c>
      <c r="S860" s="35">
        <v>3499.0</v>
      </c>
      <c r="T860" s="36">
        <v>0.0</v>
      </c>
      <c r="U860" s="36">
        <v>0.0</v>
      </c>
      <c r="V860" s="36">
        <v>0.0</v>
      </c>
      <c r="W860" s="36">
        <v>0.0</v>
      </c>
      <c r="X860" s="36">
        <v>0.0</v>
      </c>
      <c r="Y860" s="36">
        <v>0.0</v>
      </c>
    </row>
    <row r="861">
      <c r="A861" s="32" t="s">
        <v>4910</v>
      </c>
      <c r="B861" s="32" t="s">
        <v>4910</v>
      </c>
      <c r="C861" s="32" t="s">
        <v>4911</v>
      </c>
      <c r="D861" s="46" t="s">
        <v>5225</v>
      </c>
      <c r="E861" s="32" t="s">
        <v>5073</v>
      </c>
      <c r="F861" s="32" t="e">
        <v>#N/A</v>
      </c>
      <c r="G861" s="38"/>
      <c r="H861" s="38"/>
      <c r="I861" s="38"/>
      <c r="J861" s="32" t="s">
        <v>4913</v>
      </c>
      <c r="K861" s="38"/>
      <c r="L861" s="38"/>
      <c r="M861" s="38"/>
      <c r="N861" s="32" t="s">
        <v>5081</v>
      </c>
      <c r="O861" s="32" t="s">
        <v>1145</v>
      </c>
      <c r="P861" s="32">
        <v>6999.0</v>
      </c>
      <c r="Q861" s="44">
        <v>6999.0</v>
      </c>
      <c r="R861" s="40">
        <v>6999.0</v>
      </c>
      <c r="S861" s="35">
        <v>6999.0</v>
      </c>
      <c r="T861" s="36">
        <v>0.0</v>
      </c>
      <c r="U861" s="36">
        <v>0.0</v>
      </c>
      <c r="V861" s="36">
        <v>0.0</v>
      </c>
      <c r="W861" s="36">
        <v>0.0</v>
      </c>
      <c r="X861" s="36">
        <v>0.0</v>
      </c>
      <c r="Y861" s="36">
        <v>0.0</v>
      </c>
    </row>
    <row r="862">
      <c r="A862" s="32" t="s">
        <v>4736</v>
      </c>
      <c r="B862" s="32" t="s">
        <v>4736</v>
      </c>
      <c r="C862" s="32" t="s">
        <v>4854</v>
      </c>
      <c r="D862" s="32" t="s">
        <v>4855</v>
      </c>
      <c r="E862" s="32" t="s">
        <v>5102</v>
      </c>
      <c r="F862" s="32" t="e">
        <v>#N/A</v>
      </c>
      <c r="G862" s="38"/>
      <c r="H862" s="32" t="e">
        <v>#N/A</v>
      </c>
      <c r="I862" s="39"/>
      <c r="J862" s="32" t="s">
        <v>5027</v>
      </c>
      <c r="K862" s="33" t="s">
        <v>4856</v>
      </c>
      <c r="L862" s="32" t="e">
        <v>#N/A</v>
      </c>
      <c r="M862" s="32" t="e">
        <v>#N/A</v>
      </c>
      <c r="N862" s="33" t="s">
        <v>4729</v>
      </c>
      <c r="O862" s="33" t="s">
        <v>4730</v>
      </c>
      <c r="P862" s="32" t="e">
        <v>#REF!</v>
      </c>
      <c r="Q862" s="38"/>
      <c r="R862" s="42" t="e">
        <v>#N/A</v>
      </c>
      <c r="S862" s="38"/>
      <c r="T862" s="36">
        <v>0.0</v>
      </c>
      <c r="U862" s="36">
        <v>0.0</v>
      </c>
      <c r="V862" s="36">
        <v>0.0</v>
      </c>
      <c r="W862" s="36">
        <v>0.0</v>
      </c>
      <c r="X862" s="36">
        <v>0.0</v>
      </c>
      <c r="Y862" s="36">
        <v>0.0</v>
      </c>
    </row>
    <row r="863">
      <c r="A863" s="32" t="s">
        <v>4744</v>
      </c>
      <c r="B863" s="32" t="s">
        <v>4744</v>
      </c>
      <c r="C863" s="32" t="s">
        <v>4745</v>
      </c>
      <c r="D863" s="32" t="s">
        <v>4746</v>
      </c>
      <c r="E863" s="32" t="s">
        <v>5102</v>
      </c>
      <c r="F863" s="32" t="e">
        <v>#N/A</v>
      </c>
      <c r="G863" s="38"/>
      <c r="H863" s="32">
        <v>0.0</v>
      </c>
      <c r="I863" s="39"/>
      <c r="J863" s="32" t="s">
        <v>4747</v>
      </c>
      <c r="K863" s="33" t="s">
        <v>4748</v>
      </c>
      <c r="L863" s="32" t="e">
        <v>#N/A</v>
      </c>
      <c r="M863" s="32" t="e">
        <v>#N/A</v>
      </c>
      <c r="N863" s="33" t="s">
        <v>4729</v>
      </c>
      <c r="O863" s="33" t="s">
        <v>4730</v>
      </c>
      <c r="P863" s="32" t="e">
        <v>#REF!</v>
      </c>
      <c r="Q863" s="38"/>
      <c r="R863" s="42" t="e">
        <v>#N/A</v>
      </c>
      <c r="S863" s="38"/>
      <c r="T863" s="36">
        <v>0.0</v>
      </c>
      <c r="U863" s="36">
        <v>0.0</v>
      </c>
      <c r="V863" s="36">
        <v>0.0</v>
      </c>
      <c r="W863" s="36">
        <v>0.0</v>
      </c>
      <c r="X863" s="36">
        <v>0.0</v>
      </c>
      <c r="Y863" s="36">
        <v>0.0</v>
      </c>
    </row>
    <row r="864">
      <c r="A864" s="32" t="s">
        <v>4749</v>
      </c>
      <c r="B864" s="32" t="s">
        <v>4749</v>
      </c>
      <c r="C864" s="32" t="s">
        <v>4851</v>
      </c>
      <c r="D864" s="32" t="s">
        <v>4852</v>
      </c>
      <c r="E864" s="32" t="s">
        <v>5102</v>
      </c>
      <c r="F864" s="32" t="e">
        <v>#N/A</v>
      </c>
      <c r="G864" s="38"/>
      <c r="H864" s="32" t="e">
        <v>#N/A</v>
      </c>
      <c r="I864" s="39"/>
      <c r="J864" s="32" t="s">
        <v>5033</v>
      </c>
      <c r="K864" s="33" t="s">
        <v>4853</v>
      </c>
      <c r="L864" s="32" t="e">
        <v>#N/A</v>
      </c>
      <c r="M864" s="32" t="e">
        <v>#N/A</v>
      </c>
      <c r="N864" s="33" t="s">
        <v>4729</v>
      </c>
      <c r="O864" s="33" t="s">
        <v>4730</v>
      </c>
      <c r="P864" s="32" t="e">
        <v>#REF!</v>
      </c>
      <c r="Q864" s="38"/>
      <c r="R864" s="42" t="e">
        <v>#N/A</v>
      </c>
      <c r="S864" s="38"/>
      <c r="T864" s="36">
        <v>0.0</v>
      </c>
      <c r="U864" s="36">
        <v>0.0</v>
      </c>
      <c r="V864" s="36">
        <v>0.0</v>
      </c>
      <c r="W864" s="36">
        <v>0.0</v>
      </c>
      <c r="X864" s="36">
        <v>0.0</v>
      </c>
      <c r="Y864" s="36">
        <v>0.0</v>
      </c>
    </row>
    <row r="865">
      <c r="A865" s="32" t="s">
        <v>4750</v>
      </c>
      <c r="B865" s="32" t="s">
        <v>4750</v>
      </c>
      <c r="C865" s="32" t="s">
        <v>4845</v>
      </c>
      <c r="D865" s="32" t="s">
        <v>4846</v>
      </c>
      <c r="E865" s="32" t="s">
        <v>5102</v>
      </c>
      <c r="F865" s="32" t="e">
        <v>#N/A</v>
      </c>
      <c r="G865" s="38"/>
      <c r="H865" s="32" t="e">
        <v>#N/A</v>
      </c>
      <c r="I865" s="39"/>
      <c r="J865" s="32" t="s">
        <v>5032</v>
      </c>
      <c r="K865" s="33" t="s">
        <v>4847</v>
      </c>
      <c r="L865" s="32" t="e">
        <v>#N/A</v>
      </c>
      <c r="M865" s="32" t="e">
        <v>#N/A</v>
      </c>
      <c r="N865" s="33" t="s">
        <v>4729</v>
      </c>
      <c r="O865" s="33" t="s">
        <v>4730</v>
      </c>
      <c r="P865" s="32" t="e">
        <v>#REF!</v>
      </c>
      <c r="Q865" s="38"/>
      <c r="R865" s="42" t="e">
        <v>#N/A</v>
      </c>
      <c r="S865" s="38"/>
      <c r="T865" s="36">
        <v>0.0</v>
      </c>
      <c r="U865" s="36">
        <v>0.0</v>
      </c>
      <c r="V865" s="36">
        <v>0.0</v>
      </c>
      <c r="W865" s="36">
        <v>0.0</v>
      </c>
      <c r="X865" s="36">
        <v>0.0</v>
      </c>
      <c r="Y865" s="36">
        <v>0.0</v>
      </c>
    </row>
    <row r="866">
      <c r="A866" s="32" t="s">
        <v>4737</v>
      </c>
      <c r="B866" s="32" t="s">
        <v>4737</v>
      </c>
      <c r="C866" s="32" t="s">
        <v>4738</v>
      </c>
      <c r="D866" s="32" t="s">
        <v>4739</v>
      </c>
      <c r="E866" s="32" t="s">
        <v>5102</v>
      </c>
      <c r="F866" s="32" t="e">
        <v>#N/A</v>
      </c>
      <c r="G866" s="38"/>
      <c r="H866" s="32">
        <v>0.0</v>
      </c>
      <c r="I866" s="39"/>
      <c r="J866" s="32" t="s">
        <v>4740</v>
      </c>
      <c r="K866" s="33" t="s">
        <v>4741</v>
      </c>
      <c r="L866" s="32" t="e">
        <v>#N/A</v>
      </c>
      <c r="M866" s="32" t="e">
        <v>#N/A</v>
      </c>
      <c r="N866" s="33" t="s">
        <v>4729</v>
      </c>
      <c r="O866" s="33" t="s">
        <v>4730</v>
      </c>
      <c r="P866" s="32" t="e">
        <v>#REF!</v>
      </c>
      <c r="Q866" s="38"/>
      <c r="R866" s="42" t="e">
        <v>#N/A</v>
      </c>
      <c r="S866" s="38"/>
      <c r="T866" s="36">
        <v>0.0</v>
      </c>
      <c r="U866" s="36">
        <v>0.0</v>
      </c>
      <c r="V866" s="36">
        <v>0.0</v>
      </c>
      <c r="W866" s="36">
        <v>0.0</v>
      </c>
      <c r="X866" s="36">
        <v>0.0</v>
      </c>
      <c r="Y866" s="36">
        <v>0.0</v>
      </c>
    </row>
    <row r="867">
      <c r="A867" s="32" t="s">
        <v>4742</v>
      </c>
      <c r="B867" s="32" t="s">
        <v>4742</v>
      </c>
      <c r="C867" s="32" t="s">
        <v>5034</v>
      </c>
      <c r="D867" s="32" t="s">
        <v>5035</v>
      </c>
      <c r="E867" s="32" t="s">
        <v>5102</v>
      </c>
      <c r="F867" s="38"/>
      <c r="G867" s="38"/>
      <c r="H867" s="38"/>
      <c r="I867" s="38"/>
      <c r="J867" s="32" t="s">
        <v>5036</v>
      </c>
      <c r="K867" s="38"/>
      <c r="L867" s="38"/>
      <c r="M867" s="38"/>
      <c r="N867" s="33" t="s">
        <v>4729</v>
      </c>
      <c r="O867" s="33" t="s">
        <v>4730</v>
      </c>
      <c r="P867" s="32" t="e">
        <v>#N/A</v>
      </c>
      <c r="Q867" s="34" t="e">
        <v>#N/A</v>
      </c>
      <c r="R867" s="42" t="e">
        <v>#N/A</v>
      </c>
      <c r="S867" s="42" t="e">
        <v>#N/A</v>
      </c>
      <c r="T867" s="36">
        <v>0.0</v>
      </c>
      <c r="U867" s="36">
        <v>0.0</v>
      </c>
      <c r="V867" s="36">
        <v>0.0</v>
      </c>
      <c r="W867" s="36">
        <v>0.0</v>
      </c>
      <c r="X867" s="36">
        <v>0.0</v>
      </c>
      <c r="Y867" s="36">
        <v>0.0</v>
      </c>
    </row>
    <row r="868">
      <c r="A868" s="32" t="s">
        <v>4743</v>
      </c>
      <c r="B868" s="32" t="s">
        <v>4743</v>
      </c>
      <c r="C868" s="32" t="s">
        <v>4848</v>
      </c>
      <c r="D868" s="32" t="s">
        <v>4849</v>
      </c>
      <c r="E868" s="32" t="s">
        <v>5102</v>
      </c>
      <c r="F868" s="32" t="e">
        <v>#N/A</v>
      </c>
      <c r="G868" s="38"/>
      <c r="H868" s="32" t="e">
        <v>#N/A</v>
      </c>
      <c r="I868" s="39"/>
      <c r="J868" s="32" t="s">
        <v>5031</v>
      </c>
      <c r="K868" s="33" t="s">
        <v>4850</v>
      </c>
      <c r="L868" s="32" t="e">
        <v>#N/A</v>
      </c>
      <c r="M868" s="32" t="e">
        <v>#N/A</v>
      </c>
      <c r="N868" s="33" t="s">
        <v>4729</v>
      </c>
      <c r="O868" s="33" t="s">
        <v>4730</v>
      </c>
      <c r="P868" s="32" t="e">
        <v>#REF!</v>
      </c>
      <c r="Q868" s="38"/>
      <c r="R868" s="42" t="e">
        <v>#N/A</v>
      </c>
      <c r="S868" s="38"/>
      <c r="T868" s="36">
        <v>0.0</v>
      </c>
      <c r="U868" s="36">
        <v>0.0</v>
      </c>
      <c r="V868" s="36">
        <v>0.0</v>
      </c>
      <c r="W868" s="36">
        <v>0.0</v>
      </c>
      <c r="X868" s="36">
        <v>0.0</v>
      </c>
      <c r="Y868" s="36">
        <v>0.0</v>
      </c>
    </row>
    <row r="869">
      <c r="A869" s="32" t="s">
        <v>4728</v>
      </c>
      <c r="B869" s="32" t="s">
        <v>4728</v>
      </c>
      <c r="C869" s="32" t="s">
        <v>5028</v>
      </c>
      <c r="D869" s="32" t="s">
        <v>5029</v>
      </c>
      <c r="E869" s="32" t="s">
        <v>5102</v>
      </c>
      <c r="F869" s="38"/>
      <c r="G869" s="38"/>
      <c r="H869" s="38"/>
      <c r="I869" s="38"/>
      <c r="J869" s="32" t="s">
        <v>5030</v>
      </c>
      <c r="K869" s="38"/>
      <c r="L869" s="38"/>
      <c r="M869" s="38"/>
      <c r="N869" s="33" t="s">
        <v>4729</v>
      </c>
      <c r="O869" s="33" t="s">
        <v>4730</v>
      </c>
      <c r="P869" s="32" t="e">
        <v>#N/A</v>
      </c>
      <c r="Q869" s="34" t="e">
        <v>#N/A</v>
      </c>
      <c r="R869" s="42" t="e">
        <v>#N/A</v>
      </c>
      <c r="S869" s="38"/>
      <c r="T869" s="36">
        <v>0.0</v>
      </c>
      <c r="U869" s="36">
        <v>0.0</v>
      </c>
      <c r="V869" s="36">
        <v>0.0</v>
      </c>
      <c r="W869" s="36">
        <v>0.0</v>
      </c>
      <c r="X869" s="36">
        <v>0.0</v>
      </c>
      <c r="Y869" s="36">
        <v>0.0</v>
      </c>
    </row>
    <row r="870">
      <c r="A870" s="32" t="s">
        <v>4731</v>
      </c>
      <c r="B870" s="32" t="s">
        <v>4731</v>
      </c>
      <c r="C870" s="32" t="s">
        <v>4732</v>
      </c>
      <c r="D870" s="32" t="s">
        <v>4733</v>
      </c>
      <c r="E870" s="32" t="s">
        <v>5102</v>
      </c>
      <c r="F870" s="32" t="e">
        <v>#N/A</v>
      </c>
      <c r="G870" s="38"/>
      <c r="H870" s="32">
        <v>0.0</v>
      </c>
      <c r="I870" s="39"/>
      <c r="J870" s="32" t="s">
        <v>4734</v>
      </c>
      <c r="K870" s="33" t="s">
        <v>4735</v>
      </c>
      <c r="L870" s="32" t="e">
        <v>#N/A</v>
      </c>
      <c r="M870" s="32" t="e">
        <v>#N/A</v>
      </c>
      <c r="N870" s="33" t="s">
        <v>4729</v>
      </c>
      <c r="O870" s="33" t="s">
        <v>4730</v>
      </c>
      <c r="P870" s="32" t="e">
        <v>#REF!</v>
      </c>
      <c r="Q870" s="38"/>
      <c r="R870" s="42" t="e">
        <v>#N/A</v>
      </c>
      <c r="S870" s="38"/>
      <c r="T870" s="36">
        <v>0.0</v>
      </c>
      <c r="U870" s="36">
        <v>0.0</v>
      </c>
      <c r="V870" s="36">
        <v>0.0</v>
      </c>
      <c r="W870" s="36">
        <v>0.0</v>
      </c>
      <c r="X870" s="36">
        <v>0.0</v>
      </c>
      <c r="Y870" s="36">
        <v>0.0</v>
      </c>
    </row>
    <row r="871">
      <c r="A871" s="33" t="s">
        <v>5037</v>
      </c>
      <c r="B871" s="38"/>
      <c r="C871" s="32" t="s">
        <v>5038</v>
      </c>
      <c r="D871" s="37" t="s">
        <v>5170</v>
      </c>
      <c r="E871" s="37" t="s">
        <v>5073</v>
      </c>
      <c r="F871" s="38"/>
      <c r="G871" s="38"/>
      <c r="H871" s="38"/>
      <c r="I871" s="38"/>
      <c r="J871" s="37" t="s">
        <v>5171</v>
      </c>
      <c r="K871" s="38"/>
      <c r="L871" s="38"/>
      <c r="M871" s="38"/>
      <c r="N871" s="37" t="s">
        <v>5075</v>
      </c>
      <c r="O871" s="37" t="s">
        <v>1145</v>
      </c>
      <c r="P871" s="35">
        <v>599.0</v>
      </c>
      <c r="Q871" s="38"/>
      <c r="R871" s="35">
        <v>499.0</v>
      </c>
      <c r="S871" s="35">
        <v>399.0</v>
      </c>
      <c r="T871" s="36">
        <v>0.0</v>
      </c>
      <c r="U871" s="36">
        <v>0.0</v>
      </c>
      <c r="V871" s="36">
        <v>0.0</v>
      </c>
      <c r="W871" s="36">
        <v>0.0</v>
      </c>
      <c r="X871" s="36">
        <v>0.0</v>
      </c>
      <c r="Y871" s="36">
        <v>0.0</v>
      </c>
    </row>
    <row r="872">
      <c r="A872" s="32" t="s">
        <v>3116</v>
      </c>
      <c r="B872" s="32" t="s">
        <v>3116</v>
      </c>
      <c r="C872" s="32" t="s">
        <v>3117</v>
      </c>
      <c r="D872" s="32" t="s">
        <v>3118</v>
      </c>
      <c r="E872" s="32" t="s">
        <v>5102</v>
      </c>
      <c r="F872" s="32" t="e">
        <v>#N/A</v>
      </c>
      <c r="G872" s="38"/>
      <c r="H872" s="32" t="s">
        <v>3119</v>
      </c>
      <c r="I872" s="32" t="s">
        <v>5102</v>
      </c>
      <c r="J872" s="32" t="s">
        <v>3120</v>
      </c>
      <c r="K872" s="33" t="s">
        <v>3121</v>
      </c>
      <c r="L872" s="32">
        <v>3.1745302E7</v>
      </c>
      <c r="M872" s="32" t="s">
        <v>3122</v>
      </c>
      <c r="N872" s="32" t="s">
        <v>5087</v>
      </c>
      <c r="O872" s="32" t="s">
        <v>4730</v>
      </c>
      <c r="P872" s="32">
        <v>2489.0</v>
      </c>
      <c r="Q872" s="34">
        <v>2098.0</v>
      </c>
      <c r="R872" s="40">
        <v>2099.0</v>
      </c>
      <c r="S872" s="35">
        <v>1999.0</v>
      </c>
      <c r="T872" s="36">
        <v>0.0</v>
      </c>
      <c r="U872" s="36">
        <v>0.0</v>
      </c>
      <c r="V872" s="36">
        <v>0.0</v>
      </c>
      <c r="W872" s="36">
        <v>0.0</v>
      </c>
      <c r="X872" s="36">
        <v>0.0</v>
      </c>
      <c r="Y872" s="36">
        <v>0.0</v>
      </c>
    </row>
    <row r="873">
      <c r="A873" s="32" t="s">
        <v>3069</v>
      </c>
      <c r="B873" s="32" t="s">
        <v>3069</v>
      </c>
      <c r="C873" s="32" t="s">
        <v>3070</v>
      </c>
      <c r="D873" s="32" t="s">
        <v>3071</v>
      </c>
      <c r="E873" s="32" t="s">
        <v>5102</v>
      </c>
      <c r="F873" s="32" t="e">
        <v>#N/A</v>
      </c>
      <c r="G873" s="38"/>
      <c r="H873" s="32" t="s">
        <v>3072</v>
      </c>
      <c r="I873" s="32" t="s">
        <v>5102</v>
      </c>
      <c r="J873" s="32" t="s">
        <v>3073</v>
      </c>
      <c r="K873" s="33" t="s">
        <v>3074</v>
      </c>
      <c r="L873" s="32">
        <v>3.1745294E7</v>
      </c>
      <c r="M873" s="32" t="s">
        <v>3075</v>
      </c>
      <c r="N873" s="32" t="s">
        <v>5087</v>
      </c>
      <c r="O873" s="32" t="s">
        <v>4730</v>
      </c>
      <c r="P873" s="32">
        <v>1879.0</v>
      </c>
      <c r="Q873" s="34">
        <v>1587.0</v>
      </c>
      <c r="R873" s="40">
        <v>1599.0</v>
      </c>
      <c r="S873" s="35">
        <v>1597.15</v>
      </c>
      <c r="T873" s="36">
        <v>0.0</v>
      </c>
      <c r="U873" s="36">
        <v>0.0</v>
      </c>
      <c r="V873" s="36">
        <v>0.0</v>
      </c>
      <c r="W873" s="36">
        <v>0.0</v>
      </c>
      <c r="X873" s="36">
        <v>0.0</v>
      </c>
      <c r="Y873" s="36">
        <v>0.0</v>
      </c>
    </row>
    <row r="874">
      <c r="A874" s="32" t="s">
        <v>4252</v>
      </c>
      <c r="B874" s="32" t="s">
        <v>4252</v>
      </c>
      <c r="C874" s="32" t="s">
        <v>4253</v>
      </c>
      <c r="D874" s="32" t="s">
        <v>4254</v>
      </c>
      <c r="E874" s="32" t="s">
        <v>5102</v>
      </c>
      <c r="F874" s="32" t="e">
        <v>#N/A</v>
      </c>
      <c r="G874" s="38"/>
      <c r="H874" s="32">
        <v>0.0</v>
      </c>
      <c r="I874" s="39"/>
      <c r="J874" s="32" t="s">
        <v>4255</v>
      </c>
      <c r="K874" s="33" t="s">
        <v>4256</v>
      </c>
      <c r="L874" s="32" t="e">
        <v>#N/A</v>
      </c>
      <c r="M874" s="32" t="e">
        <v>#N/A</v>
      </c>
      <c r="N874" s="32" t="s">
        <v>5118</v>
      </c>
      <c r="O874" s="32" t="s">
        <v>52</v>
      </c>
      <c r="P874" s="32">
        <v>9799.0</v>
      </c>
      <c r="Q874" s="34">
        <v>8819.0</v>
      </c>
      <c r="R874" s="40">
        <v>9399.0</v>
      </c>
      <c r="S874" s="35">
        <v>8645.34</v>
      </c>
      <c r="T874" s="36">
        <v>0.0</v>
      </c>
      <c r="U874" s="36">
        <v>0.0</v>
      </c>
      <c r="V874" s="36">
        <v>0.0</v>
      </c>
      <c r="W874" s="36">
        <v>0.0</v>
      </c>
      <c r="X874" s="36">
        <v>0.0</v>
      </c>
      <c r="Y874" s="36">
        <v>0.0</v>
      </c>
    </row>
    <row r="875">
      <c r="A875" s="32" t="s">
        <v>4040</v>
      </c>
      <c r="B875" s="32" t="s">
        <v>4040</v>
      </c>
      <c r="C875" s="32" t="s">
        <v>4041</v>
      </c>
      <c r="D875" s="32" t="s">
        <v>4042</v>
      </c>
      <c r="E875" s="32" t="s">
        <v>5102</v>
      </c>
      <c r="F875" s="32" t="e">
        <v>#N/A</v>
      </c>
      <c r="G875" s="38"/>
      <c r="H875" s="32">
        <v>0.0</v>
      </c>
      <c r="I875" s="39"/>
      <c r="J875" s="32" t="s">
        <v>4043</v>
      </c>
      <c r="K875" s="33" t="s">
        <v>4044</v>
      </c>
      <c r="L875" s="32" t="e">
        <v>#N/A</v>
      </c>
      <c r="M875" s="32" t="e">
        <v>#N/A</v>
      </c>
      <c r="N875" s="32" t="s">
        <v>5118</v>
      </c>
      <c r="O875" s="32" t="s">
        <v>52</v>
      </c>
      <c r="P875" s="32">
        <v>10699.0</v>
      </c>
      <c r="Q875" s="34">
        <v>9629.0</v>
      </c>
      <c r="R875" s="40">
        <v>10299.0</v>
      </c>
      <c r="S875" s="35">
        <v>9437.34</v>
      </c>
      <c r="T875" s="36">
        <v>0.0</v>
      </c>
      <c r="U875" s="36">
        <v>0.0</v>
      </c>
      <c r="V875" s="36">
        <v>0.0</v>
      </c>
      <c r="W875" s="36">
        <v>0.0</v>
      </c>
      <c r="X875" s="36">
        <v>0.0</v>
      </c>
      <c r="Y875" s="36">
        <v>0.0</v>
      </c>
    </row>
    <row r="876">
      <c r="A876" s="32" t="s">
        <v>4055</v>
      </c>
      <c r="B876" s="32" t="s">
        <v>4055</v>
      </c>
      <c r="C876" s="32" t="s">
        <v>4056</v>
      </c>
      <c r="D876" s="32" t="s">
        <v>4057</v>
      </c>
      <c r="E876" s="32" t="s">
        <v>5102</v>
      </c>
      <c r="F876" s="32" t="e">
        <v>#N/A</v>
      </c>
      <c r="G876" s="38"/>
      <c r="H876" s="32">
        <v>0.0</v>
      </c>
      <c r="I876" s="39"/>
      <c r="J876" s="32" t="s">
        <v>4058</v>
      </c>
      <c r="K876" s="33" t="s">
        <v>4059</v>
      </c>
      <c r="L876" s="32" t="e">
        <v>#N/A</v>
      </c>
      <c r="M876" s="32" t="e">
        <v>#N/A</v>
      </c>
      <c r="N876" s="32" t="s">
        <v>5118</v>
      </c>
      <c r="O876" s="32" t="s">
        <v>52</v>
      </c>
      <c r="P876" s="32">
        <v>12399.0</v>
      </c>
      <c r="Q876" s="34">
        <v>11159.0</v>
      </c>
      <c r="R876" s="40">
        <v>11899.0</v>
      </c>
      <c r="S876" s="35">
        <v>10889.34</v>
      </c>
      <c r="T876" s="36">
        <v>0.0</v>
      </c>
      <c r="U876" s="36">
        <v>0.0</v>
      </c>
      <c r="V876" s="36">
        <v>0.0</v>
      </c>
      <c r="W876" s="36">
        <v>0.0</v>
      </c>
      <c r="X876" s="36">
        <v>0.0</v>
      </c>
      <c r="Y876" s="36">
        <v>0.0</v>
      </c>
    </row>
    <row r="877">
      <c r="A877" s="32" t="s">
        <v>4092</v>
      </c>
      <c r="B877" s="32" t="s">
        <v>4092</v>
      </c>
      <c r="C877" s="32" t="s">
        <v>4093</v>
      </c>
      <c r="D877" s="32" t="s">
        <v>4094</v>
      </c>
      <c r="E877" s="32" t="s">
        <v>5102</v>
      </c>
      <c r="F877" s="32" t="e">
        <v>#N/A</v>
      </c>
      <c r="G877" s="38"/>
      <c r="H877" s="32">
        <v>0.0</v>
      </c>
      <c r="I877" s="39"/>
      <c r="J877" s="32" t="s">
        <v>4095</v>
      </c>
      <c r="K877" s="33" t="s">
        <v>4096</v>
      </c>
      <c r="L877" s="32" t="e">
        <v>#N/A</v>
      </c>
      <c r="M877" s="32" t="e">
        <v>#N/A</v>
      </c>
      <c r="N877" s="32" t="s">
        <v>5118</v>
      </c>
      <c r="O877" s="32" t="s">
        <v>52</v>
      </c>
      <c r="P877" s="32">
        <v>12299.0</v>
      </c>
      <c r="Q877" s="34">
        <v>11069.0</v>
      </c>
      <c r="R877" s="40">
        <v>11799.0</v>
      </c>
      <c r="S877" s="35">
        <v>10823.34</v>
      </c>
      <c r="T877" s="36">
        <v>0.0</v>
      </c>
      <c r="U877" s="36">
        <v>0.0</v>
      </c>
      <c r="V877" s="36">
        <v>0.0</v>
      </c>
      <c r="W877" s="36">
        <v>0.0</v>
      </c>
      <c r="X877" s="36">
        <v>0.0</v>
      </c>
      <c r="Y877" s="36">
        <v>0.0</v>
      </c>
    </row>
    <row r="878">
      <c r="A878" s="32" t="s">
        <v>4070</v>
      </c>
      <c r="B878" s="32" t="s">
        <v>4070</v>
      </c>
      <c r="C878" s="32" t="s">
        <v>4071</v>
      </c>
      <c r="D878" s="32" t="s">
        <v>4072</v>
      </c>
      <c r="E878" s="32" t="s">
        <v>5102</v>
      </c>
      <c r="F878" s="32" t="e">
        <v>#N/A</v>
      </c>
      <c r="G878" s="38"/>
      <c r="H878" s="32">
        <v>0.0</v>
      </c>
      <c r="I878" s="39"/>
      <c r="J878" s="32" t="s">
        <v>4073</v>
      </c>
      <c r="K878" s="33" t="s">
        <v>4074</v>
      </c>
      <c r="L878" s="32" t="e">
        <v>#N/A</v>
      </c>
      <c r="M878" s="32" t="s">
        <v>4075</v>
      </c>
      <c r="N878" s="32" t="s">
        <v>5118</v>
      </c>
      <c r="O878" s="32" t="s">
        <v>52</v>
      </c>
      <c r="P878" s="32">
        <v>14199.0</v>
      </c>
      <c r="Q878" s="34">
        <v>12779.0</v>
      </c>
      <c r="R878" s="40">
        <v>13599.0</v>
      </c>
      <c r="S878" s="35">
        <v>12473.34</v>
      </c>
      <c r="T878" s="36">
        <v>0.0</v>
      </c>
      <c r="U878" s="36">
        <v>0.0</v>
      </c>
      <c r="V878" s="36">
        <v>0.0</v>
      </c>
      <c r="W878" s="36">
        <v>0.0</v>
      </c>
      <c r="X878" s="36">
        <v>0.0</v>
      </c>
      <c r="Y878" s="36">
        <v>0.0</v>
      </c>
    </row>
    <row r="879">
      <c r="A879" s="32" t="s">
        <v>4257</v>
      </c>
      <c r="B879" s="32" t="s">
        <v>4257</v>
      </c>
      <c r="C879" s="32" t="s">
        <v>4258</v>
      </c>
      <c r="D879" s="32" t="s">
        <v>4259</v>
      </c>
      <c r="E879" s="32" t="s">
        <v>5102</v>
      </c>
      <c r="F879" s="32" t="e">
        <v>#N/A</v>
      </c>
      <c r="G879" s="38"/>
      <c r="H879" s="32">
        <v>0.0</v>
      </c>
      <c r="I879" s="39"/>
      <c r="J879" s="32" t="s">
        <v>4260</v>
      </c>
      <c r="K879" s="33" t="s">
        <v>4261</v>
      </c>
      <c r="L879" s="32" t="e">
        <v>#N/A</v>
      </c>
      <c r="M879" s="32" t="e">
        <v>#N/A</v>
      </c>
      <c r="N879" s="32" t="s">
        <v>5118</v>
      </c>
      <c r="O879" s="32" t="s">
        <v>52</v>
      </c>
      <c r="P879" s="32">
        <v>10299.0</v>
      </c>
      <c r="Q879" s="34">
        <v>9269.0</v>
      </c>
      <c r="R879" s="40">
        <v>9899.0</v>
      </c>
      <c r="S879" s="35">
        <v>9041.34</v>
      </c>
      <c r="T879" s="36">
        <v>0.0</v>
      </c>
      <c r="U879" s="36">
        <v>0.0</v>
      </c>
      <c r="V879" s="36">
        <v>0.0</v>
      </c>
      <c r="W879" s="36">
        <v>0.0</v>
      </c>
      <c r="X879" s="36">
        <v>0.0</v>
      </c>
      <c r="Y879" s="36">
        <v>0.0</v>
      </c>
    </row>
    <row r="880">
      <c r="A880" s="32" t="s">
        <v>4045</v>
      </c>
      <c r="B880" s="32" t="s">
        <v>4045</v>
      </c>
      <c r="C880" s="32" t="s">
        <v>4046</v>
      </c>
      <c r="D880" s="32" t="s">
        <v>4047</v>
      </c>
      <c r="E880" s="32" t="s">
        <v>5102</v>
      </c>
      <c r="F880" s="32" t="e">
        <v>#N/A</v>
      </c>
      <c r="G880" s="38"/>
      <c r="H880" s="32">
        <v>0.0</v>
      </c>
      <c r="I880" s="39"/>
      <c r="J880" s="32" t="s">
        <v>4048</v>
      </c>
      <c r="K880" s="33" t="s">
        <v>4049</v>
      </c>
      <c r="L880" s="32" t="e">
        <v>#N/A</v>
      </c>
      <c r="M880" s="32" t="e">
        <v>#N/A</v>
      </c>
      <c r="N880" s="32" t="s">
        <v>5118</v>
      </c>
      <c r="O880" s="32" t="s">
        <v>52</v>
      </c>
      <c r="P880" s="32">
        <v>11299.0</v>
      </c>
      <c r="Q880" s="34">
        <v>10169.0</v>
      </c>
      <c r="R880" s="40">
        <v>10899.0</v>
      </c>
      <c r="S880" s="35">
        <v>9965.34</v>
      </c>
      <c r="T880" s="36">
        <v>0.0</v>
      </c>
      <c r="U880" s="36">
        <v>0.0</v>
      </c>
      <c r="V880" s="36">
        <v>0.0</v>
      </c>
      <c r="W880" s="36">
        <v>0.0</v>
      </c>
      <c r="X880" s="36">
        <v>0.0</v>
      </c>
      <c r="Y880" s="36">
        <v>0.0</v>
      </c>
    </row>
    <row r="881">
      <c r="A881" s="32" t="s">
        <v>4060</v>
      </c>
      <c r="B881" s="32" t="s">
        <v>4060</v>
      </c>
      <c r="C881" s="32" t="s">
        <v>4061</v>
      </c>
      <c r="D881" s="32" t="s">
        <v>4062</v>
      </c>
      <c r="E881" s="32" t="s">
        <v>5102</v>
      </c>
      <c r="F881" s="32" t="e">
        <v>#N/A</v>
      </c>
      <c r="G881" s="38"/>
      <c r="H881" s="32">
        <v>0.0</v>
      </c>
      <c r="I881" s="39"/>
      <c r="J881" s="32" t="s">
        <v>4063</v>
      </c>
      <c r="K881" s="33" t="s">
        <v>4064</v>
      </c>
      <c r="L881" s="32" t="e">
        <v>#N/A</v>
      </c>
      <c r="M881" s="32" t="e">
        <v>#N/A</v>
      </c>
      <c r="N881" s="32" t="s">
        <v>5118</v>
      </c>
      <c r="O881" s="32" t="s">
        <v>52</v>
      </c>
      <c r="P881" s="32">
        <v>13199.0</v>
      </c>
      <c r="Q881" s="34">
        <v>11879.0</v>
      </c>
      <c r="R881" s="40">
        <v>12699.0</v>
      </c>
      <c r="S881" s="35">
        <v>11615.34</v>
      </c>
      <c r="T881" s="36">
        <v>0.0</v>
      </c>
      <c r="U881" s="36">
        <v>0.0</v>
      </c>
      <c r="V881" s="36">
        <v>0.0</v>
      </c>
      <c r="W881" s="36">
        <v>0.0</v>
      </c>
      <c r="X881" s="36">
        <v>0.0</v>
      </c>
      <c r="Y881" s="36">
        <v>0.0</v>
      </c>
    </row>
    <row r="882">
      <c r="A882" s="32" t="s">
        <v>4273</v>
      </c>
      <c r="B882" s="32" t="s">
        <v>4273</v>
      </c>
      <c r="C882" s="32" t="s">
        <v>4274</v>
      </c>
      <c r="D882" s="32" t="s">
        <v>4275</v>
      </c>
      <c r="E882" s="32" t="s">
        <v>5102</v>
      </c>
      <c r="F882" s="32" t="e">
        <v>#N/A</v>
      </c>
      <c r="G882" s="38"/>
      <c r="H882" s="32">
        <v>0.0</v>
      </c>
      <c r="I882" s="39"/>
      <c r="J882" s="32" t="s">
        <v>4276</v>
      </c>
      <c r="K882" s="33" t="s">
        <v>4277</v>
      </c>
      <c r="L882" s="32" t="e">
        <v>#N/A</v>
      </c>
      <c r="M882" s="32" t="s">
        <v>4278</v>
      </c>
      <c r="N882" s="32" t="s">
        <v>5118</v>
      </c>
      <c r="O882" s="32" t="s">
        <v>52</v>
      </c>
      <c r="P882" s="32">
        <v>11299.0</v>
      </c>
      <c r="Q882" s="34">
        <v>10169.0</v>
      </c>
      <c r="R882" s="40">
        <v>10899.0</v>
      </c>
      <c r="S882" s="35">
        <v>9965.34</v>
      </c>
      <c r="T882" s="36">
        <v>0.0</v>
      </c>
      <c r="U882" s="36">
        <v>0.0</v>
      </c>
      <c r="V882" s="36">
        <v>0.0</v>
      </c>
      <c r="W882" s="36">
        <v>0.0</v>
      </c>
      <c r="X882" s="36">
        <v>0.0</v>
      </c>
      <c r="Y882" s="36">
        <v>0.0</v>
      </c>
    </row>
    <row r="883">
      <c r="A883" s="32" t="s">
        <v>4097</v>
      </c>
      <c r="B883" s="32" t="s">
        <v>4097</v>
      </c>
      <c r="C883" s="32" t="s">
        <v>4098</v>
      </c>
      <c r="D883" s="32" t="s">
        <v>4099</v>
      </c>
      <c r="E883" s="32" t="s">
        <v>5102</v>
      </c>
      <c r="F883" s="32" t="e">
        <v>#N/A</v>
      </c>
      <c r="G883" s="38"/>
      <c r="H883" s="32">
        <v>0.0</v>
      </c>
      <c r="I883" s="39"/>
      <c r="J883" s="32" t="s">
        <v>4100</v>
      </c>
      <c r="K883" s="33" t="s">
        <v>4101</v>
      </c>
      <c r="L883" s="32" t="e">
        <v>#N/A</v>
      </c>
      <c r="M883" s="32" t="s">
        <v>4102</v>
      </c>
      <c r="N883" s="32" t="s">
        <v>5118</v>
      </c>
      <c r="O883" s="32" t="s">
        <v>52</v>
      </c>
      <c r="P883" s="32">
        <v>12299.0</v>
      </c>
      <c r="Q883" s="34">
        <v>11069.0</v>
      </c>
      <c r="R883" s="40">
        <v>11799.0</v>
      </c>
      <c r="S883" s="35">
        <v>10823.34</v>
      </c>
      <c r="T883" s="36">
        <v>0.0</v>
      </c>
      <c r="U883" s="36">
        <v>0.0</v>
      </c>
      <c r="V883" s="36">
        <v>0.0</v>
      </c>
      <c r="W883" s="36">
        <v>0.0</v>
      </c>
      <c r="X883" s="36">
        <v>0.0</v>
      </c>
      <c r="Y883" s="36">
        <v>0.0</v>
      </c>
    </row>
    <row r="884">
      <c r="A884" s="32" t="s">
        <v>4076</v>
      </c>
      <c r="B884" s="32" t="s">
        <v>4076</v>
      </c>
      <c r="C884" s="32" t="s">
        <v>4077</v>
      </c>
      <c r="D884" s="32" t="s">
        <v>4078</v>
      </c>
      <c r="E884" s="32" t="s">
        <v>5102</v>
      </c>
      <c r="F884" s="32" t="e">
        <v>#N/A</v>
      </c>
      <c r="G884" s="38"/>
      <c r="H884" s="32">
        <v>0.0</v>
      </c>
      <c r="I884" s="39"/>
      <c r="J884" s="32" t="s">
        <v>4079</v>
      </c>
      <c r="K884" s="33" t="s">
        <v>4080</v>
      </c>
      <c r="L884" s="32" t="e">
        <v>#N/A</v>
      </c>
      <c r="M884" s="32" t="s">
        <v>4081</v>
      </c>
      <c r="N884" s="32" t="s">
        <v>5118</v>
      </c>
      <c r="O884" s="32" t="s">
        <v>52</v>
      </c>
      <c r="P884" s="32">
        <v>14399.0</v>
      </c>
      <c r="Q884" s="34">
        <v>12959.0</v>
      </c>
      <c r="R884" s="40">
        <v>13799.0</v>
      </c>
      <c r="S884" s="35">
        <v>12671.34</v>
      </c>
      <c r="T884" s="36">
        <v>0.0</v>
      </c>
      <c r="U884" s="36">
        <v>0.0</v>
      </c>
      <c r="V884" s="36">
        <v>0.0</v>
      </c>
      <c r="W884" s="36">
        <v>0.0</v>
      </c>
      <c r="X884" s="36">
        <v>0.0</v>
      </c>
      <c r="Y884" s="36">
        <v>0.0</v>
      </c>
    </row>
    <row r="885">
      <c r="A885" s="32" t="s">
        <v>4262</v>
      </c>
      <c r="B885" s="32" t="s">
        <v>4262</v>
      </c>
      <c r="C885" s="32" t="s">
        <v>4263</v>
      </c>
      <c r="D885" s="32" t="s">
        <v>4264</v>
      </c>
      <c r="E885" s="32" t="s">
        <v>5102</v>
      </c>
      <c r="F885" s="32" t="e">
        <v>#N/A</v>
      </c>
      <c r="G885" s="38"/>
      <c r="H885" s="32">
        <v>0.0</v>
      </c>
      <c r="I885" s="39"/>
      <c r="J885" s="32" t="s">
        <v>4265</v>
      </c>
      <c r="K885" s="33" t="s">
        <v>4266</v>
      </c>
      <c r="L885" s="32" t="e">
        <v>#N/A</v>
      </c>
      <c r="M885" s="32" t="e">
        <v>#N/A</v>
      </c>
      <c r="N885" s="32" t="s">
        <v>5118</v>
      </c>
      <c r="O885" s="32" t="s">
        <v>52</v>
      </c>
      <c r="P885" s="32">
        <v>10299.0</v>
      </c>
      <c r="Q885" s="34">
        <v>9269.0</v>
      </c>
      <c r="R885" s="40">
        <v>9899.0</v>
      </c>
      <c r="S885" s="35">
        <v>9041.34</v>
      </c>
      <c r="T885" s="36">
        <v>0.0</v>
      </c>
      <c r="U885" s="36">
        <v>0.0</v>
      </c>
      <c r="V885" s="36">
        <v>0.0</v>
      </c>
      <c r="W885" s="36">
        <v>0.0</v>
      </c>
      <c r="X885" s="36">
        <v>0.0</v>
      </c>
      <c r="Y885" s="36">
        <v>0.0</v>
      </c>
    </row>
    <row r="886">
      <c r="A886" s="32" t="s">
        <v>4050</v>
      </c>
      <c r="B886" s="32" t="s">
        <v>4050</v>
      </c>
      <c r="C886" s="32" t="s">
        <v>4051</v>
      </c>
      <c r="D886" s="32" t="s">
        <v>4052</v>
      </c>
      <c r="E886" s="32" t="s">
        <v>5102</v>
      </c>
      <c r="F886" s="32" t="e">
        <v>#N/A</v>
      </c>
      <c r="G886" s="38"/>
      <c r="H886" s="32">
        <v>0.0</v>
      </c>
      <c r="I886" s="39"/>
      <c r="J886" s="32" t="s">
        <v>4053</v>
      </c>
      <c r="K886" s="33" t="s">
        <v>4054</v>
      </c>
      <c r="L886" s="32" t="e">
        <v>#N/A</v>
      </c>
      <c r="M886" s="32" t="e">
        <v>#N/A</v>
      </c>
      <c r="N886" s="32" t="s">
        <v>5118</v>
      </c>
      <c r="O886" s="32" t="s">
        <v>52</v>
      </c>
      <c r="P886" s="32">
        <v>11299.0</v>
      </c>
      <c r="Q886" s="34">
        <v>10169.0</v>
      </c>
      <c r="R886" s="40">
        <v>10899.0</v>
      </c>
      <c r="S886" s="35">
        <v>9965.34</v>
      </c>
      <c r="T886" s="36">
        <v>0.0</v>
      </c>
      <c r="U886" s="36">
        <v>0.0</v>
      </c>
      <c r="V886" s="36">
        <v>0.0</v>
      </c>
      <c r="W886" s="36">
        <v>0.0</v>
      </c>
      <c r="X886" s="36">
        <v>0.0</v>
      </c>
      <c r="Y886" s="36">
        <v>0.0</v>
      </c>
    </row>
    <row r="887">
      <c r="A887" s="32" t="s">
        <v>4065</v>
      </c>
      <c r="B887" s="32" t="s">
        <v>4065</v>
      </c>
      <c r="C887" s="32" t="s">
        <v>4066</v>
      </c>
      <c r="D887" s="32" t="s">
        <v>4067</v>
      </c>
      <c r="E887" s="32" t="s">
        <v>5102</v>
      </c>
      <c r="F887" s="32" t="e">
        <v>#N/A</v>
      </c>
      <c r="G887" s="38"/>
      <c r="H887" s="32">
        <v>0.0</v>
      </c>
      <c r="I887" s="39"/>
      <c r="J887" s="32" t="s">
        <v>4068</v>
      </c>
      <c r="K887" s="33" t="s">
        <v>4069</v>
      </c>
      <c r="L887" s="32" t="e">
        <v>#N/A</v>
      </c>
      <c r="M887" s="32" t="e">
        <v>#N/A</v>
      </c>
      <c r="N887" s="32" t="s">
        <v>5118</v>
      </c>
      <c r="O887" s="32" t="s">
        <v>52</v>
      </c>
      <c r="P887" s="32">
        <v>13199.0</v>
      </c>
      <c r="Q887" s="34">
        <v>11879.0</v>
      </c>
      <c r="R887" s="40">
        <v>12699.0</v>
      </c>
      <c r="S887" s="35">
        <v>11615.34</v>
      </c>
      <c r="T887" s="36">
        <v>0.0</v>
      </c>
      <c r="U887" s="36">
        <v>0.0</v>
      </c>
      <c r="V887" s="36">
        <v>0.0</v>
      </c>
      <c r="W887" s="36">
        <v>0.0</v>
      </c>
      <c r="X887" s="36">
        <v>0.0</v>
      </c>
      <c r="Y887" s="36">
        <v>0.0</v>
      </c>
    </row>
    <row r="888">
      <c r="A888" s="32" t="s">
        <v>4279</v>
      </c>
      <c r="B888" s="32" t="s">
        <v>4279</v>
      </c>
      <c r="C888" s="32" t="s">
        <v>4280</v>
      </c>
      <c r="D888" s="32" t="s">
        <v>4281</v>
      </c>
      <c r="E888" s="32" t="s">
        <v>5102</v>
      </c>
      <c r="F888" s="32" t="e">
        <v>#N/A</v>
      </c>
      <c r="G888" s="38"/>
      <c r="H888" s="32">
        <v>0.0</v>
      </c>
      <c r="I888" s="39"/>
      <c r="J888" s="32" t="s">
        <v>4282</v>
      </c>
      <c r="K888" s="33" t="s">
        <v>4283</v>
      </c>
      <c r="L888" s="32" t="e">
        <v>#N/A</v>
      </c>
      <c r="M888" s="32" t="s">
        <v>4284</v>
      </c>
      <c r="N888" s="32" t="s">
        <v>5118</v>
      </c>
      <c r="O888" s="32" t="s">
        <v>52</v>
      </c>
      <c r="P888" s="32">
        <v>11499.0</v>
      </c>
      <c r="Q888" s="34">
        <v>10349.0</v>
      </c>
      <c r="R888" s="40">
        <v>10999.0</v>
      </c>
      <c r="S888" s="35">
        <v>10097.34</v>
      </c>
      <c r="T888" s="36">
        <v>0.0</v>
      </c>
      <c r="U888" s="36">
        <v>0.0</v>
      </c>
      <c r="V888" s="36">
        <v>0.0</v>
      </c>
      <c r="W888" s="36">
        <v>0.0</v>
      </c>
      <c r="X888" s="36">
        <v>0.0</v>
      </c>
      <c r="Y888" s="36">
        <v>0.0</v>
      </c>
    </row>
    <row r="889">
      <c r="A889" s="32" t="s">
        <v>4103</v>
      </c>
      <c r="B889" s="32" t="s">
        <v>4103</v>
      </c>
      <c r="C889" s="32" t="s">
        <v>4104</v>
      </c>
      <c r="D889" s="32" t="s">
        <v>4105</v>
      </c>
      <c r="E889" s="32" t="s">
        <v>5102</v>
      </c>
      <c r="F889" s="32" t="e">
        <v>#N/A</v>
      </c>
      <c r="G889" s="38"/>
      <c r="H889" s="32">
        <v>0.0</v>
      </c>
      <c r="I889" s="39"/>
      <c r="J889" s="32" t="s">
        <v>4106</v>
      </c>
      <c r="K889" s="33" t="s">
        <v>4107</v>
      </c>
      <c r="L889" s="32" t="e">
        <v>#N/A</v>
      </c>
      <c r="M889" s="32" t="s">
        <v>4108</v>
      </c>
      <c r="N889" s="32" t="s">
        <v>5118</v>
      </c>
      <c r="O889" s="32" t="s">
        <v>52</v>
      </c>
      <c r="P889" s="32">
        <v>12499.0</v>
      </c>
      <c r="Q889" s="34">
        <v>11249.0</v>
      </c>
      <c r="R889" s="40">
        <v>11999.0</v>
      </c>
      <c r="S889" s="35">
        <v>11021.34</v>
      </c>
      <c r="T889" s="36">
        <v>0.0</v>
      </c>
      <c r="U889" s="36">
        <v>0.0</v>
      </c>
      <c r="V889" s="36">
        <v>0.0</v>
      </c>
      <c r="W889" s="36">
        <v>0.0</v>
      </c>
      <c r="X889" s="36">
        <v>0.0</v>
      </c>
      <c r="Y889" s="36">
        <v>0.0</v>
      </c>
    </row>
    <row r="890">
      <c r="A890" s="32" t="s">
        <v>4082</v>
      </c>
      <c r="B890" s="32" t="s">
        <v>4082</v>
      </c>
      <c r="C890" s="32" t="s">
        <v>4083</v>
      </c>
      <c r="D890" s="32" t="s">
        <v>4084</v>
      </c>
      <c r="E890" s="32" t="s">
        <v>5102</v>
      </c>
      <c r="F890" s="32" t="e">
        <v>#N/A</v>
      </c>
      <c r="G890" s="38"/>
      <c r="H890" s="32">
        <v>0.0</v>
      </c>
      <c r="I890" s="39"/>
      <c r="J890" s="32" t="s">
        <v>4085</v>
      </c>
      <c r="K890" s="33" t="s">
        <v>4086</v>
      </c>
      <c r="L890" s="32" t="e">
        <v>#N/A</v>
      </c>
      <c r="M890" s="32" t="e">
        <v>#N/A</v>
      </c>
      <c r="N890" s="32" t="s">
        <v>5118</v>
      </c>
      <c r="O890" s="32" t="s">
        <v>52</v>
      </c>
      <c r="P890" s="32">
        <v>14399.0</v>
      </c>
      <c r="Q890" s="34">
        <v>12959.0</v>
      </c>
      <c r="R890" s="40">
        <v>13799.0</v>
      </c>
      <c r="S890" s="35">
        <v>12671.34</v>
      </c>
      <c r="T890" s="36">
        <v>0.0</v>
      </c>
      <c r="U890" s="36">
        <v>0.0</v>
      </c>
      <c r="V890" s="36">
        <v>0.0</v>
      </c>
      <c r="W890" s="36">
        <v>0.0</v>
      </c>
      <c r="X890" s="36">
        <v>0.0</v>
      </c>
      <c r="Y890" s="36">
        <v>0.0</v>
      </c>
    </row>
    <row r="891">
      <c r="A891" s="32" t="s">
        <v>4285</v>
      </c>
      <c r="B891" s="32" t="s">
        <v>4285</v>
      </c>
      <c r="C891" s="32" t="s">
        <v>4286</v>
      </c>
      <c r="D891" s="32" t="s">
        <v>4287</v>
      </c>
      <c r="E891" s="32" t="s">
        <v>5102</v>
      </c>
      <c r="F891" s="32" t="e">
        <v>#N/A</v>
      </c>
      <c r="G891" s="38"/>
      <c r="H891" s="32">
        <v>0.0</v>
      </c>
      <c r="I891" s="39"/>
      <c r="J891" s="32" t="s">
        <v>4288</v>
      </c>
      <c r="K891" s="33" t="s">
        <v>4289</v>
      </c>
      <c r="L891" s="32" t="e">
        <v>#N/A</v>
      </c>
      <c r="M891" s="32" t="e">
        <v>#N/A</v>
      </c>
      <c r="N891" s="32" t="s">
        <v>5118</v>
      </c>
      <c r="O891" s="32" t="s">
        <v>52</v>
      </c>
      <c r="P891" s="32">
        <v>12799.0</v>
      </c>
      <c r="Q891" s="34">
        <v>11519.0</v>
      </c>
      <c r="R891" s="40">
        <v>12299.0</v>
      </c>
      <c r="S891" s="35">
        <v>11285.34</v>
      </c>
      <c r="T891" s="36">
        <v>0.0</v>
      </c>
      <c r="U891" s="36">
        <v>0.0</v>
      </c>
      <c r="V891" s="36">
        <v>0.0</v>
      </c>
      <c r="W891" s="36">
        <v>0.0</v>
      </c>
      <c r="X891" s="36">
        <v>0.0</v>
      </c>
      <c r="Y891" s="36">
        <v>0.0</v>
      </c>
    </row>
    <row r="892">
      <c r="A892" s="32" t="s">
        <v>4109</v>
      </c>
      <c r="B892" s="32" t="s">
        <v>4109</v>
      </c>
      <c r="C892" s="32" t="s">
        <v>4110</v>
      </c>
      <c r="D892" s="32" t="s">
        <v>4111</v>
      </c>
      <c r="E892" s="32" t="s">
        <v>5102</v>
      </c>
      <c r="F892" s="32" t="e">
        <v>#N/A</v>
      </c>
      <c r="G892" s="38"/>
      <c r="H892" s="32">
        <v>0.0</v>
      </c>
      <c r="I892" s="39"/>
      <c r="J892" s="32" t="s">
        <v>4112</v>
      </c>
      <c r="K892" s="33" t="s">
        <v>4113</v>
      </c>
      <c r="L892" s="32" t="e">
        <v>#N/A</v>
      </c>
      <c r="M892" s="32" t="e">
        <v>#N/A</v>
      </c>
      <c r="N892" s="32" t="s">
        <v>5118</v>
      </c>
      <c r="O892" s="32" t="s">
        <v>52</v>
      </c>
      <c r="P892" s="32">
        <v>15499.0</v>
      </c>
      <c r="Q892" s="34">
        <v>13949.0</v>
      </c>
      <c r="R892" s="40">
        <v>14899.0</v>
      </c>
      <c r="S892" s="35">
        <v>13661.34</v>
      </c>
      <c r="T892" s="36">
        <v>0.0</v>
      </c>
      <c r="U892" s="36">
        <v>0.0</v>
      </c>
      <c r="V892" s="36">
        <v>0.0</v>
      </c>
      <c r="W892" s="36">
        <v>0.0</v>
      </c>
      <c r="X892" s="36">
        <v>0.0</v>
      </c>
      <c r="Y892" s="36">
        <v>0.0</v>
      </c>
    </row>
    <row r="893">
      <c r="A893" s="32" t="s">
        <v>4087</v>
      </c>
      <c r="B893" s="32" t="s">
        <v>4087</v>
      </c>
      <c r="C893" s="32" t="s">
        <v>4088</v>
      </c>
      <c r="D893" s="32" t="s">
        <v>4089</v>
      </c>
      <c r="E893" s="32" t="s">
        <v>5102</v>
      </c>
      <c r="F893" s="32" t="e">
        <v>#N/A</v>
      </c>
      <c r="G893" s="38"/>
      <c r="H893" s="32">
        <v>0.0</v>
      </c>
      <c r="I893" s="39"/>
      <c r="J893" s="32" t="s">
        <v>4090</v>
      </c>
      <c r="K893" s="33" t="s">
        <v>4091</v>
      </c>
      <c r="L893" s="32" t="e">
        <v>#N/A</v>
      </c>
      <c r="M893" s="32" t="e">
        <v>#N/A</v>
      </c>
      <c r="N893" s="32" t="s">
        <v>5118</v>
      </c>
      <c r="O893" s="32" t="s">
        <v>52</v>
      </c>
      <c r="P893" s="32">
        <v>18199.0</v>
      </c>
      <c r="Q893" s="34">
        <v>16379.0</v>
      </c>
      <c r="R893" s="40">
        <v>17499.0</v>
      </c>
      <c r="S893" s="35">
        <v>16037.34</v>
      </c>
      <c r="T893" s="36">
        <v>0.0</v>
      </c>
      <c r="U893" s="36">
        <v>0.0</v>
      </c>
      <c r="V893" s="36">
        <v>0.0</v>
      </c>
      <c r="W893" s="36">
        <v>0.0</v>
      </c>
      <c r="X893" s="36">
        <v>0.0</v>
      </c>
      <c r="Y893" s="36">
        <v>0.0</v>
      </c>
    </row>
    <row r="894">
      <c r="A894" s="32" t="s">
        <v>4330</v>
      </c>
      <c r="B894" s="32" t="s">
        <v>4330</v>
      </c>
      <c r="C894" s="32" t="s">
        <v>4331</v>
      </c>
      <c r="D894" s="32" t="s">
        <v>4332</v>
      </c>
      <c r="E894" s="32" t="s">
        <v>5102</v>
      </c>
      <c r="F894" s="32" t="e">
        <v>#N/A</v>
      </c>
      <c r="G894" s="38"/>
      <c r="H894" s="32">
        <v>0.0</v>
      </c>
      <c r="I894" s="39"/>
      <c r="J894" s="32" t="s">
        <v>4333</v>
      </c>
      <c r="K894" s="33" t="s">
        <v>4334</v>
      </c>
      <c r="L894" s="32" t="e">
        <v>#N/A</v>
      </c>
      <c r="M894" s="32" t="s">
        <v>4335</v>
      </c>
      <c r="N894" s="32" t="s">
        <v>5118</v>
      </c>
      <c r="O894" s="32" t="s">
        <v>52</v>
      </c>
      <c r="P894" s="32">
        <v>14399.0</v>
      </c>
      <c r="Q894" s="34">
        <v>12959.0</v>
      </c>
      <c r="R894" s="40">
        <v>13799.0</v>
      </c>
      <c r="S894" s="35">
        <v>12671.34</v>
      </c>
      <c r="T894" s="36">
        <v>0.0</v>
      </c>
      <c r="U894" s="36">
        <v>0.0</v>
      </c>
      <c r="V894" s="36">
        <v>0.0</v>
      </c>
      <c r="W894" s="36">
        <v>0.0</v>
      </c>
      <c r="X894" s="36">
        <v>0.0</v>
      </c>
      <c r="Y894" s="36">
        <v>0.0</v>
      </c>
    </row>
    <row r="895">
      <c r="A895" s="32" t="s">
        <v>4201</v>
      </c>
      <c r="B895" s="32" t="s">
        <v>4201</v>
      </c>
      <c r="C895" s="32" t="s">
        <v>4202</v>
      </c>
      <c r="D895" s="32" t="s">
        <v>4203</v>
      </c>
      <c r="E895" s="32" t="s">
        <v>5102</v>
      </c>
      <c r="F895" s="32" t="e">
        <v>#N/A</v>
      </c>
      <c r="G895" s="38"/>
      <c r="H895" s="32">
        <v>0.0</v>
      </c>
      <c r="I895" s="39"/>
      <c r="J895" s="32" t="s">
        <v>4204</v>
      </c>
      <c r="K895" s="33" t="s">
        <v>4205</v>
      </c>
      <c r="L895" s="32" t="e">
        <v>#N/A</v>
      </c>
      <c r="M895" s="32" t="s">
        <v>4206</v>
      </c>
      <c r="N895" s="32" t="s">
        <v>5118</v>
      </c>
      <c r="O895" s="32" t="s">
        <v>52</v>
      </c>
      <c r="P895" s="32">
        <v>17499.0</v>
      </c>
      <c r="Q895" s="34">
        <v>15749.0</v>
      </c>
      <c r="R895" s="40">
        <v>16799.0</v>
      </c>
      <c r="S895" s="35">
        <v>15377.34</v>
      </c>
      <c r="T895" s="36">
        <v>0.0</v>
      </c>
      <c r="U895" s="36">
        <v>0.0</v>
      </c>
      <c r="V895" s="36">
        <v>0.0</v>
      </c>
      <c r="W895" s="36">
        <v>0.0</v>
      </c>
      <c r="X895" s="36">
        <v>0.0</v>
      </c>
      <c r="Y895" s="36">
        <v>0.0</v>
      </c>
    </row>
    <row r="896">
      <c r="A896" s="32" t="s">
        <v>4865</v>
      </c>
      <c r="B896" s="32" t="s">
        <v>4865</v>
      </c>
      <c r="C896" s="32" t="s">
        <v>4866</v>
      </c>
      <c r="D896" s="32" t="s">
        <v>4867</v>
      </c>
      <c r="E896" s="32" t="s">
        <v>5102</v>
      </c>
      <c r="F896" s="32" t="e">
        <v>#N/A</v>
      </c>
      <c r="G896" s="38"/>
      <c r="H896" s="38"/>
      <c r="I896" s="38"/>
      <c r="J896" s="32" t="s">
        <v>4868</v>
      </c>
      <c r="K896" s="38"/>
      <c r="L896" s="38"/>
      <c r="M896" s="38"/>
      <c r="N896" s="32" t="s">
        <v>5118</v>
      </c>
      <c r="O896" s="32" t="s">
        <v>52</v>
      </c>
      <c r="P896" s="48">
        <v>21699.0</v>
      </c>
      <c r="Q896" s="44">
        <v>14669.0</v>
      </c>
      <c r="R896" s="40">
        <v>15599.0</v>
      </c>
      <c r="S896" s="35">
        <v>14321.34</v>
      </c>
      <c r="T896" s="36">
        <v>0.0</v>
      </c>
      <c r="U896" s="36">
        <v>0.0</v>
      </c>
      <c r="V896" s="36">
        <v>0.0</v>
      </c>
      <c r="W896" s="36">
        <v>0.0</v>
      </c>
      <c r="X896" s="36">
        <v>0.0</v>
      </c>
      <c r="Y896" s="36">
        <v>0.0</v>
      </c>
    </row>
    <row r="897">
      <c r="A897" s="32" t="s">
        <v>4869</v>
      </c>
      <c r="B897" s="32" t="s">
        <v>4869</v>
      </c>
      <c r="C897" s="32" t="s">
        <v>4870</v>
      </c>
      <c r="D897" s="32" t="s">
        <v>4871</v>
      </c>
      <c r="E897" s="32" t="s">
        <v>5102</v>
      </c>
      <c r="F897" s="32" t="e">
        <v>#N/A</v>
      </c>
      <c r="G897" s="38"/>
      <c r="H897" s="38"/>
      <c r="I897" s="38"/>
      <c r="J897" s="32" t="s">
        <v>4872</v>
      </c>
      <c r="K897" s="38"/>
      <c r="L897" s="38"/>
      <c r="M897" s="38"/>
      <c r="N897" s="32" t="s">
        <v>5118</v>
      </c>
      <c r="O897" s="32" t="s">
        <v>52</v>
      </c>
      <c r="P897" s="48">
        <v>25099.0</v>
      </c>
      <c r="Q897" s="44">
        <v>16919.0</v>
      </c>
      <c r="R897" s="40">
        <v>18099.0</v>
      </c>
      <c r="S897" s="35">
        <v>16565.34</v>
      </c>
      <c r="T897" s="36">
        <v>0.0</v>
      </c>
      <c r="U897" s="36">
        <v>0.0</v>
      </c>
      <c r="V897" s="36">
        <v>0.0</v>
      </c>
      <c r="W897" s="36">
        <v>0.0</v>
      </c>
      <c r="X897" s="36">
        <v>0.0</v>
      </c>
      <c r="Y897" s="36">
        <v>0.0</v>
      </c>
    </row>
    <row r="898">
      <c r="A898" s="32" t="s">
        <v>4873</v>
      </c>
      <c r="B898" s="32" t="s">
        <v>4873</v>
      </c>
      <c r="C898" s="32" t="s">
        <v>4874</v>
      </c>
      <c r="D898" s="32" t="s">
        <v>4875</v>
      </c>
      <c r="E898" s="32" t="s">
        <v>5102</v>
      </c>
      <c r="F898" s="32" t="e">
        <v>#N/A</v>
      </c>
      <c r="G898" s="38"/>
      <c r="H898" s="38"/>
      <c r="I898" s="38"/>
      <c r="J898" s="32" t="s">
        <v>4876</v>
      </c>
      <c r="K898" s="38"/>
      <c r="L898" s="38"/>
      <c r="M898" s="38"/>
      <c r="N898" s="32" t="s">
        <v>5118</v>
      </c>
      <c r="O898" s="32" t="s">
        <v>52</v>
      </c>
      <c r="P898" s="48">
        <v>28399.0</v>
      </c>
      <c r="Q898" s="44">
        <v>19169.0</v>
      </c>
      <c r="R898" s="40">
        <v>20399.0</v>
      </c>
      <c r="S898" s="35">
        <v>18743.34</v>
      </c>
      <c r="T898" s="36">
        <v>0.0</v>
      </c>
      <c r="U898" s="36">
        <v>0.0</v>
      </c>
      <c r="V898" s="36">
        <v>0.0</v>
      </c>
      <c r="W898" s="36">
        <v>0.0</v>
      </c>
      <c r="X898" s="36">
        <v>0.0</v>
      </c>
      <c r="Y898" s="36">
        <v>0.0</v>
      </c>
    </row>
    <row r="899">
      <c r="A899" s="32" t="s">
        <v>4877</v>
      </c>
      <c r="B899" s="32" t="s">
        <v>4877</v>
      </c>
      <c r="C899" s="32" t="s">
        <v>4878</v>
      </c>
      <c r="D899" s="32" t="s">
        <v>4879</v>
      </c>
      <c r="E899" s="32" t="s">
        <v>5102</v>
      </c>
      <c r="F899" s="38"/>
      <c r="G899" s="38"/>
      <c r="H899" s="38"/>
      <c r="I899" s="38"/>
      <c r="J899" s="32" t="s">
        <v>4880</v>
      </c>
      <c r="K899" s="38"/>
      <c r="L899" s="38"/>
      <c r="M899" s="38"/>
      <c r="N899" s="32" t="s">
        <v>5118</v>
      </c>
      <c r="O899" s="32" t="s">
        <v>52</v>
      </c>
      <c r="P899" s="48">
        <v>21999.0</v>
      </c>
      <c r="Q899" s="44">
        <v>14849.0</v>
      </c>
      <c r="R899" s="40">
        <v>15799.0</v>
      </c>
      <c r="S899" s="35">
        <v>14519.34</v>
      </c>
      <c r="T899" s="36">
        <v>0.0</v>
      </c>
      <c r="U899" s="36">
        <v>0.0</v>
      </c>
      <c r="V899" s="36">
        <v>0.0</v>
      </c>
      <c r="W899" s="36">
        <v>0.0</v>
      </c>
      <c r="X899" s="36">
        <v>0.0</v>
      </c>
      <c r="Y899" s="36">
        <v>0.0</v>
      </c>
    </row>
    <row r="900">
      <c r="A900" s="32" t="s">
        <v>4881</v>
      </c>
      <c r="B900" s="32" t="s">
        <v>4881</v>
      </c>
      <c r="C900" s="32" t="s">
        <v>4878</v>
      </c>
      <c r="D900" s="32" t="s">
        <v>4882</v>
      </c>
      <c r="E900" s="32" t="s">
        <v>5102</v>
      </c>
      <c r="F900" s="49"/>
      <c r="G900" s="49"/>
      <c r="H900" s="38"/>
      <c r="I900" s="38"/>
      <c r="J900" s="32" t="s">
        <v>4883</v>
      </c>
      <c r="K900" s="38"/>
      <c r="L900" s="38"/>
      <c r="M900" s="38"/>
      <c r="N900" s="32" t="s">
        <v>5118</v>
      </c>
      <c r="O900" s="32" t="s">
        <v>52</v>
      </c>
      <c r="P900" s="48">
        <v>26699.0</v>
      </c>
      <c r="Q900" s="44">
        <v>17999.0</v>
      </c>
      <c r="R900" s="40">
        <v>19199.0</v>
      </c>
      <c r="S900" s="35">
        <v>17621.34</v>
      </c>
      <c r="T900" s="36">
        <v>0.0</v>
      </c>
      <c r="U900" s="36">
        <v>0.0</v>
      </c>
      <c r="V900" s="36">
        <v>0.0</v>
      </c>
      <c r="W900" s="36">
        <v>0.0</v>
      </c>
      <c r="X900" s="36">
        <v>0.0</v>
      </c>
      <c r="Y900" s="36">
        <v>0.0</v>
      </c>
    </row>
    <row r="901">
      <c r="A901" s="32" t="s">
        <v>4884</v>
      </c>
      <c r="B901" s="32" t="s">
        <v>4884</v>
      </c>
      <c r="C901" s="32" t="s">
        <v>4885</v>
      </c>
      <c r="D901" s="32" t="s">
        <v>4886</v>
      </c>
      <c r="E901" s="32" t="s">
        <v>5102</v>
      </c>
      <c r="F901" s="49"/>
      <c r="G901" s="49"/>
      <c r="H901" s="38"/>
      <c r="I901" s="38"/>
      <c r="J901" s="32" t="s">
        <v>4887</v>
      </c>
      <c r="K901" s="38"/>
      <c r="L901" s="38"/>
      <c r="M901" s="38"/>
      <c r="N901" s="32" t="s">
        <v>5118</v>
      </c>
      <c r="O901" s="32" t="s">
        <v>52</v>
      </c>
      <c r="P901" s="48">
        <v>29999.0</v>
      </c>
      <c r="Q901" s="44">
        <v>20249.0</v>
      </c>
      <c r="R901" s="40">
        <v>21599.0</v>
      </c>
      <c r="S901" s="35">
        <v>19799.34</v>
      </c>
      <c r="T901" s="36">
        <v>0.0</v>
      </c>
      <c r="U901" s="36">
        <v>0.0</v>
      </c>
      <c r="V901" s="36">
        <v>0.0</v>
      </c>
      <c r="W901" s="36">
        <v>0.0</v>
      </c>
      <c r="X901" s="36">
        <v>0.0</v>
      </c>
      <c r="Y901" s="36">
        <v>0.0</v>
      </c>
    </row>
    <row r="902">
      <c r="A902" s="32" t="s">
        <v>4348</v>
      </c>
      <c r="B902" s="32" t="s">
        <v>4348</v>
      </c>
      <c r="C902" s="32" t="s">
        <v>4349</v>
      </c>
      <c r="D902" s="32" t="s">
        <v>4350</v>
      </c>
      <c r="E902" s="32" t="s">
        <v>5102</v>
      </c>
      <c r="F902" s="32" t="e">
        <v>#N/A</v>
      </c>
      <c r="G902" s="38"/>
      <c r="H902" s="32">
        <v>0.0</v>
      </c>
      <c r="I902" s="39"/>
      <c r="J902" s="32" t="s">
        <v>4351</v>
      </c>
      <c r="K902" s="33" t="s">
        <v>4352</v>
      </c>
      <c r="L902" s="32" t="e">
        <v>#N/A</v>
      </c>
      <c r="M902" s="32" t="s">
        <v>4353</v>
      </c>
      <c r="N902" s="32" t="s">
        <v>5118</v>
      </c>
      <c r="O902" s="32" t="s">
        <v>52</v>
      </c>
      <c r="P902" s="32">
        <v>16899.0</v>
      </c>
      <c r="Q902" s="34">
        <v>15209.0</v>
      </c>
      <c r="R902" s="40">
        <v>16199.0</v>
      </c>
      <c r="S902" s="35">
        <v>14849.34</v>
      </c>
      <c r="T902" s="36">
        <v>0.0</v>
      </c>
      <c r="U902" s="36">
        <v>0.0</v>
      </c>
      <c r="V902" s="36">
        <v>0.0</v>
      </c>
      <c r="W902" s="36">
        <v>0.0</v>
      </c>
      <c r="X902" s="36">
        <v>0.0</v>
      </c>
      <c r="Y902" s="36">
        <v>0.0</v>
      </c>
    </row>
    <row r="903">
      <c r="A903" s="32" t="s">
        <v>4213</v>
      </c>
      <c r="B903" s="32" t="s">
        <v>4213</v>
      </c>
      <c r="C903" s="32" t="s">
        <v>4214</v>
      </c>
      <c r="D903" s="32" t="s">
        <v>4215</v>
      </c>
      <c r="E903" s="32" t="s">
        <v>5102</v>
      </c>
      <c r="F903" s="32" t="e">
        <v>#N/A</v>
      </c>
      <c r="G903" s="38"/>
      <c r="H903" s="32">
        <v>0.0</v>
      </c>
      <c r="I903" s="39"/>
      <c r="J903" s="32" t="s">
        <v>4216</v>
      </c>
      <c r="K903" s="33" t="s">
        <v>4217</v>
      </c>
      <c r="L903" s="32" t="e">
        <v>#N/A</v>
      </c>
      <c r="M903" s="32" t="s">
        <v>4218</v>
      </c>
      <c r="N903" s="32" t="s">
        <v>5118</v>
      </c>
      <c r="O903" s="32" t="s">
        <v>52</v>
      </c>
      <c r="P903" s="32">
        <v>19999.0</v>
      </c>
      <c r="Q903" s="34">
        <v>17999.0</v>
      </c>
      <c r="R903" s="40">
        <v>19199.0</v>
      </c>
      <c r="S903" s="35">
        <v>17621.34</v>
      </c>
      <c r="T903" s="36">
        <v>0.0</v>
      </c>
      <c r="U903" s="36">
        <v>0.0</v>
      </c>
      <c r="V903" s="36">
        <v>0.0</v>
      </c>
      <c r="W903" s="36">
        <v>0.0</v>
      </c>
      <c r="X903" s="36">
        <v>0.0</v>
      </c>
      <c r="Y903" s="36">
        <v>0.0</v>
      </c>
    </row>
    <row r="904">
      <c r="A904" s="32" t="s">
        <v>4241</v>
      </c>
      <c r="B904" s="32" t="s">
        <v>4241</v>
      </c>
      <c r="C904" s="32" t="s">
        <v>4242</v>
      </c>
      <c r="D904" s="32" t="s">
        <v>4243</v>
      </c>
      <c r="E904" s="32" t="s">
        <v>5102</v>
      </c>
      <c r="F904" s="32" t="e">
        <v>#N/A</v>
      </c>
      <c r="G904" s="38"/>
      <c r="H904" s="32">
        <v>0.0</v>
      </c>
      <c r="I904" s="39"/>
      <c r="J904" s="32" t="s">
        <v>4244</v>
      </c>
      <c r="K904" s="33" t="s">
        <v>4245</v>
      </c>
      <c r="L904" s="32" t="e">
        <v>#N/A</v>
      </c>
      <c r="M904" s="32" t="s">
        <v>4246</v>
      </c>
      <c r="N904" s="32" t="s">
        <v>5118</v>
      </c>
      <c r="O904" s="32" t="s">
        <v>52</v>
      </c>
      <c r="P904" s="32">
        <v>23199.0</v>
      </c>
      <c r="Q904" s="34">
        <v>20879.0</v>
      </c>
      <c r="R904" s="40">
        <v>22199.0</v>
      </c>
      <c r="S904" s="35">
        <v>20393.34</v>
      </c>
      <c r="T904" s="36">
        <v>0.0</v>
      </c>
      <c r="U904" s="36">
        <v>0.0</v>
      </c>
      <c r="V904" s="36">
        <v>0.0</v>
      </c>
      <c r="W904" s="36">
        <v>0.0</v>
      </c>
      <c r="X904" s="36">
        <v>0.0</v>
      </c>
      <c r="Y904" s="36">
        <v>0.0</v>
      </c>
    </row>
    <row r="905">
      <c r="A905" s="32" t="s">
        <v>4354</v>
      </c>
      <c r="B905" s="32" t="s">
        <v>4354</v>
      </c>
      <c r="C905" s="32" t="s">
        <v>4355</v>
      </c>
      <c r="D905" s="32" t="s">
        <v>4356</v>
      </c>
      <c r="E905" s="32" t="s">
        <v>5102</v>
      </c>
      <c r="F905" s="32" t="e">
        <v>#N/A</v>
      </c>
      <c r="G905" s="38"/>
      <c r="H905" s="32">
        <v>0.0</v>
      </c>
      <c r="I905" s="39"/>
      <c r="J905" s="32" t="s">
        <v>4357</v>
      </c>
      <c r="K905" s="33" t="s">
        <v>4358</v>
      </c>
      <c r="L905" s="32" t="e">
        <v>#N/A</v>
      </c>
      <c r="M905" s="32" t="e">
        <v>#N/A</v>
      </c>
      <c r="N905" s="32" t="s">
        <v>5118</v>
      </c>
      <c r="O905" s="32" t="s">
        <v>52</v>
      </c>
      <c r="P905" s="32">
        <v>17799.0</v>
      </c>
      <c r="Q905" s="34">
        <v>16019.0</v>
      </c>
      <c r="R905" s="40">
        <v>17099.0</v>
      </c>
      <c r="S905" s="35">
        <v>15641.34</v>
      </c>
      <c r="T905" s="36">
        <v>0.0</v>
      </c>
      <c r="U905" s="36">
        <v>0.0</v>
      </c>
      <c r="V905" s="36">
        <v>0.0</v>
      </c>
      <c r="W905" s="36">
        <v>0.0</v>
      </c>
      <c r="X905" s="36">
        <v>0.0</v>
      </c>
      <c r="Y905" s="36">
        <v>0.0</v>
      </c>
    </row>
    <row r="906">
      <c r="A906" s="32" t="s">
        <v>4219</v>
      </c>
      <c r="B906" s="32" t="s">
        <v>4219</v>
      </c>
      <c r="C906" s="32" t="s">
        <v>4220</v>
      </c>
      <c r="D906" s="32" t="s">
        <v>4221</v>
      </c>
      <c r="E906" s="32" t="s">
        <v>5102</v>
      </c>
      <c r="F906" s="32" t="e">
        <v>#N/A</v>
      </c>
      <c r="G906" s="38"/>
      <c r="H906" s="32">
        <v>0.0</v>
      </c>
      <c r="I906" s="39"/>
      <c r="J906" s="32" t="s">
        <v>4222</v>
      </c>
      <c r="K906" s="33" t="s">
        <v>4223</v>
      </c>
      <c r="L906" s="32" t="e">
        <v>#N/A</v>
      </c>
      <c r="M906" s="32" t="e">
        <v>#N/A</v>
      </c>
      <c r="N906" s="32" t="s">
        <v>5118</v>
      </c>
      <c r="O906" s="32" t="s">
        <v>52</v>
      </c>
      <c r="P906" s="32">
        <v>21299.0</v>
      </c>
      <c r="Q906" s="34">
        <v>19169.0</v>
      </c>
      <c r="R906" s="40">
        <v>20399.0</v>
      </c>
      <c r="S906" s="35">
        <v>18743.34</v>
      </c>
      <c r="T906" s="36">
        <v>0.0</v>
      </c>
      <c r="U906" s="36">
        <v>0.0</v>
      </c>
      <c r="V906" s="36">
        <v>0.0</v>
      </c>
      <c r="W906" s="36">
        <v>0.0</v>
      </c>
      <c r="X906" s="36">
        <v>0.0</v>
      </c>
      <c r="Y906" s="36">
        <v>0.0</v>
      </c>
    </row>
    <row r="907">
      <c r="A907" s="32" t="s">
        <v>4247</v>
      </c>
      <c r="B907" s="32" t="s">
        <v>4247</v>
      </c>
      <c r="C907" s="32" t="s">
        <v>4248</v>
      </c>
      <c r="D907" s="32" t="s">
        <v>4249</v>
      </c>
      <c r="E907" s="32" t="s">
        <v>5102</v>
      </c>
      <c r="F907" s="32" t="e">
        <v>#N/A</v>
      </c>
      <c r="G907" s="38"/>
      <c r="H907" s="32">
        <v>0.0</v>
      </c>
      <c r="I907" s="39"/>
      <c r="J907" s="32" t="s">
        <v>4250</v>
      </c>
      <c r="K907" s="33" t="s">
        <v>4251</v>
      </c>
      <c r="L907" s="32" t="e">
        <v>#N/A</v>
      </c>
      <c r="M907" s="32" t="e">
        <v>#N/A</v>
      </c>
      <c r="N907" s="32" t="s">
        <v>5118</v>
      </c>
      <c r="O907" s="32" t="s">
        <v>52</v>
      </c>
      <c r="P907" s="32">
        <v>24999.0</v>
      </c>
      <c r="Q907" s="34">
        <v>22499.0</v>
      </c>
      <c r="R907" s="40">
        <v>23999.0</v>
      </c>
      <c r="S907" s="35">
        <v>21977.34</v>
      </c>
      <c r="T907" s="36">
        <v>0.0</v>
      </c>
      <c r="U907" s="36">
        <v>0.0</v>
      </c>
      <c r="V907" s="36">
        <v>0.0</v>
      </c>
      <c r="W907" s="36">
        <v>0.0</v>
      </c>
      <c r="X907" s="36">
        <v>0.0</v>
      </c>
      <c r="Y907" s="36">
        <v>0.0</v>
      </c>
    </row>
    <row r="908">
      <c r="A908" s="32" t="s">
        <v>4308</v>
      </c>
      <c r="B908" s="32" t="s">
        <v>4308</v>
      </c>
      <c r="C908" s="32" t="s">
        <v>4309</v>
      </c>
      <c r="D908" s="32" t="s">
        <v>4310</v>
      </c>
      <c r="E908" s="32" t="s">
        <v>5102</v>
      </c>
      <c r="F908" s="32" t="e">
        <v>#N/A</v>
      </c>
      <c r="G908" s="38"/>
      <c r="H908" s="32">
        <v>0.0</v>
      </c>
      <c r="I908" s="39"/>
      <c r="J908" s="32" t="s">
        <v>4311</v>
      </c>
      <c r="K908" s="33" t="s">
        <v>4312</v>
      </c>
      <c r="L908" s="32" t="e">
        <v>#N/A</v>
      </c>
      <c r="M908" s="32" t="s">
        <v>4313</v>
      </c>
      <c r="N908" s="32" t="s">
        <v>5118</v>
      </c>
      <c r="O908" s="32" t="s">
        <v>52</v>
      </c>
      <c r="P908" s="32">
        <v>14899.0</v>
      </c>
      <c r="Q908" s="34">
        <v>13409.0</v>
      </c>
      <c r="R908" s="40">
        <v>14299.0</v>
      </c>
      <c r="S908" s="35">
        <v>13133.34</v>
      </c>
      <c r="T908" s="36">
        <v>0.0</v>
      </c>
      <c r="U908" s="36">
        <v>0.0</v>
      </c>
      <c r="V908" s="36">
        <v>0.0</v>
      </c>
      <c r="W908" s="36">
        <v>0.0</v>
      </c>
      <c r="X908" s="36">
        <v>0.0</v>
      </c>
      <c r="Y908" s="36">
        <v>0.0</v>
      </c>
    </row>
    <row r="909">
      <c r="A909" s="32" t="s">
        <v>4160</v>
      </c>
      <c r="B909" s="32" t="s">
        <v>4160</v>
      </c>
      <c r="C909" s="32" t="s">
        <v>4161</v>
      </c>
      <c r="D909" s="32" t="s">
        <v>4162</v>
      </c>
      <c r="E909" s="32" t="s">
        <v>5102</v>
      </c>
      <c r="F909" s="32" t="e">
        <v>#N/A</v>
      </c>
      <c r="G909" s="38"/>
      <c r="H909" s="32">
        <v>0.0</v>
      </c>
      <c r="I909" s="39"/>
      <c r="J909" s="32" t="s">
        <v>4163</v>
      </c>
      <c r="K909" s="33" t="s">
        <v>4164</v>
      </c>
      <c r="L909" s="32" t="e">
        <v>#N/A</v>
      </c>
      <c r="M909" s="32" t="s">
        <v>4165</v>
      </c>
      <c r="N909" s="32" t="s">
        <v>5118</v>
      </c>
      <c r="O909" s="32" t="s">
        <v>52</v>
      </c>
      <c r="P909" s="32">
        <v>17199.0</v>
      </c>
      <c r="Q909" s="34">
        <v>15479.0</v>
      </c>
      <c r="R909" s="40">
        <v>16499.0</v>
      </c>
      <c r="S909" s="35">
        <v>15113.34</v>
      </c>
      <c r="T909" s="36">
        <v>0.0</v>
      </c>
      <c r="U909" s="36">
        <v>0.0</v>
      </c>
      <c r="V909" s="36">
        <v>0.0</v>
      </c>
      <c r="W909" s="36">
        <v>0.0</v>
      </c>
      <c r="X909" s="36">
        <v>0.0</v>
      </c>
      <c r="Y909" s="36">
        <v>0.0</v>
      </c>
    </row>
    <row r="910">
      <c r="A910" s="32" t="s">
        <v>4178</v>
      </c>
      <c r="B910" s="32" t="s">
        <v>4178</v>
      </c>
      <c r="C910" s="32" t="s">
        <v>4179</v>
      </c>
      <c r="D910" s="32" t="s">
        <v>4180</v>
      </c>
      <c r="E910" s="32" t="s">
        <v>5102</v>
      </c>
      <c r="F910" s="32" t="e">
        <v>#N/A</v>
      </c>
      <c r="G910" s="38"/>
      <c r="H910" s="32">
        <v>0.0</v>
      </c>
      <c r="I910" s="39"/>
      <c r="J910" s="32" t="s">
        <v>4181</v>
      </c>
      <c r="K910" s="33" t="s">
        <v>4182</v>
      </c>
      <c r="L910" s="32" t="e">
        <v>#N/A</v>
      </c>
      <c r="M910" s="32" t="s">
        <v>4183</v>
      </c>
      <c r="N910" s="32" t="s">
        <v>5118</v>
      </c>
      <c r="O910" s="32" t="s">
        <v>52</v>
      </c>
      <c r="P910" s="32">
        <v>19399.0</v>
      </c>
      <c r="Q910" s="34">
        <v>17459.0</v>
      </c>
      <c r="R910" s="40">
        <v>18599.0</v>
      </c>
      <c r="S910" s="35">
        <v>17093.34</v>
      </c>
      <c r="T910" s="36">
        <v>0.0</v>
      </c>
      <c r="U910" s="36">
        <v>0.0</v>
      </c>
      <c r="V910" s="36">
        <v>0.0</v>
      </c>
      <c r="W910" s="36">
        <v>0.0</v>
      </c>
      <c r="X910" s="36">
        <v>0.0</v>
      </c>
      <c r="Y910" s="36">
        <v>0.0</v>
      </c>
    </row>
    <row r="911">
      <c r="A911" s="32" t="s">
        <v>4314</v>
      </c>
      <c r="B911" s="32" t="s">
        <v>4314</v>
      </c>
      <c r="C911" s="32" t="s">
        <v>4315</v>
      </c>
      <c r="D911" s="32" t="s">
        <v>4316</v>
      </c>
      <c r="E911" s="32" t="s">
        <v>5102</v>
      </c>
      <c r="F911" s="32" t="e">
        <v>#N/A</v>
      </c>
      <c r="G911" s="38"/>
      <c r="H911" s="32">
        <v>0.0</v>
      </c>
      <c r="I911" s="39"/>
      <c r="J911" s="32" t="s">
        <v>4317</v>
      </c>
      <c r="K911" s="33" t="s">
        <v>4318</v>
      </c>
      <c r="L911" s="32" t="e">
        <v>#N/A</v>
      </c>
      <c r="M911" s="32" t="s">
        <v>4319</v>
      </c>
      <c r="N911" s="32" t="s">
        <v>5118</v>
      </c>
      <c r="O911" s="32" t="s">
        <v>52</v>
      </c>
      <c r="P911" s="32">
        <v>15299.0</v>
      </c>
      <c r="Q911" s="34">
        <v>13769.0</v>
      </c>
      <c r="R911" s="40">
        <v>14699.0</v>
      </c>
      <c r="S911" s="35">
        <v>13463.34</v>
      </c>
      <c r="T911" s="36">
        <v>0.0</v>
      </c>
      <c r="U911" s="36">
        <v>0.0</v>
      </c>
      <c r="V911" s="36">
        <v>0.0</v>
      </c>
      <c r="W911" s="36">
        <v>0.0</v>
      </c>
      <c r="X911" s="36">
        <v>0.0</v>
      </c>
      <c r="Y911" s="36">
        <v>0.0</v>
      </c>
    </row>
    <row r="912">
      <c r="A912" s="32" t="s">
        <v>4166</v>
      </c>
      <c r="B912" s="32" t="s">
        <v>4166</v>
      </c>
      <c r="C912" s="32" t="s">
        <v>4167</v>
      </c>
      <c r="D912" s="32" t="s">
        <v>4168</v>
      </c>
      <c r="E912" s="32" t="s">
        <v>5102</v>
      </c>
      <c r="F912" s="32" t="e">
        <v>#N/A</v>
      </c>
      <c r="G912" s="38"/>
      <c r="H912" s="32">
        <v>0.0</v>
      </c>
      <c r="I912" s="39"/>
      <c r="J912" s="32" t="s">
        <v>4169</v>
      </c>
      <c r="K912" s="33" t="s">
        <v>4170</v>
      </c>
      <c r="L912" s="32" t="e">
        <v>#N/A</v>
      </c>
      <c r="M912" s="32" t="s">
        <v>4171</v>
      </c>
      <c r="N912" s="32" t="s">
        <v>5118</v>
      </c>
      <c r="O912" s="32" t="s">
        <v>52</v>
      </c>
      <c r="P912" s="32">
        <v>17499.0</v>
      </c>
      <c r="Q912" s="34">
        <v>15749.0</v>
      </c>
      <c r="R912" s="40">
        <v>16799.0</v>
      </c>
      <c r="S912" s="35">
        <v>15377.34</v>
      </c>
      <c r="T912" s="36">
        <v>0.0</v>
      </c>
      <c r="U912" s="36">
        <v>0.0</v>
      </c>
      <c r="V912" s="36">
        <v>0.0</v>
      </c>
      <c r="W912" s="36">
        <v>0.0</v>
      </c>
      <c r="X912" s="36">
        <v>0.0</v>
      </c>
      <c r="Y912" s="36">
        <v>0.0</v>
      </c>
    </row>
    <row r="913">
      <c r="A913" s="32" t="s">
        <v>4184</v>
      </c>
      <c r="B913" s="32" t="s">
        <v>4184</v>
      </c>
      <c r="C913" s="32" t="s">
        <v>4185</v>
      </c>
      <c r="D913" s="32" t="s">
        <v>4186</v>
      </c>
      <c r="E913" s="32" t="s">
        <v>5102</v>
      </c>
      <c r="F913" s="32" t="e">
        <v>#N/A</v>
      </c>
      <c r="G913" s="38"/>
      <c r="H913" s="32">
        <v>0.0</v>
      </c>
      <c r="I913" s="39"/>
      <c r="J913" s="32" t="s">
        <v>4187</v>
      </c>
      <c r="K913" s="33" t="s">
        <v>4188</v>
      </c>
      <c r="L913" s="32" t="e">
        <v>#N/A</v>
      </c>
      <c r="M913" s="32" t="s">
        <v>4189</v>
      </c>
      <c r="N913" s="32" t="s">
        <v>5118</v>
      </c>
      <c r="O913" s="32" t="s">
        <v>52</v>
      </c>
      <c r="P913" s="32">
        <v>19999.0</v>
      </c>
      <c r="Q913" s="34">
        <v>17999.0</v>
      </c>
      <c r="R913" s="40">
        <v>19199.0</v>
      </c>
      <c r="S913" s="35">
        <v>17621.34</v>
      </c>
      <c r="T913" s="36">
        <v>0.0</v>
      </c>
      <c r="U913" s="36">
        <v>0.0</v>
      </c>
      <c r="V913" s="36">
        <v>0.0</v>
      </c>
      <c r="W913" s="36">
        <v>0.0</v>
      </c>
      <c r="X913" s="36">
        <v>0.0</v>
      </c>
      <c r="Y913" s="36">
        <v>0.0</v>
      </c>
    </row>
    <row r="914">
      <c r="A914" s="32" t="s">
        <v>4126</v>
      </c>
      <c r="B914" s="32" t="s">
        <v>4126</v>
      </c>
      <c r="C914" s="32" t="s">
        <v>4127</v>
      </c>
      <c r="D914" s="32" t="s">
        <v>4128</v>
      </c>
      <c r="E914" s="32" t="s">
        <v>5102</v>
      </c>
      <c r="F914" s="32" t="e">
        <v>#N/A</v>
      </c>
      <c r="G914" s="38"/>
      <c r="H914" s="32">
        <v>0.0</v>
      </c>
      <c r="I914" s="39"/>
      <c r="J914" s="32" t="s">
        <v>4129</v>
      </c>
      <c r="K914" s="33" t="s">
        <v>4130</v>
      </c>
      <c r="L914" s="32" t="e">
        <v>#N/A</v>
      </c>
      <c r="M914" s="32" t="s">
        <v>4131</v>
      </c>
      <c r="N914" s="32" t="s">
        <v>5118</v>
      </c>
      <c r="O914" s="32" t="s">
        <v>52</v>
      </c>
      <c r="P914" s="32">
        <v>15399.0</v>
      </c>
      <c r="Q914" s="34">
        <v>13859.0</v>
      </c>
      <c r="R914" s="40">
        <v>14799.0</v>
      </c>
      <c r="S914" s="35">
        <v>13529.34</v>
      </c>
      <c r="T914" s="36">
        <v>0.0</v>
      </c>
      <c r="U914" s="36">
        <v>0.0</v>
      </c>
      <c r="V914" s="36">
        <v>0.0</v>
      </c>
      <c r="W914" s="36">
        <v>0.0</v>
      </c>
      <c r="X914" s="36">
        <v>0.0</v>
      </c>
      <c r="Y914" s="36">
        <v>0.0</v>
      </c>
    </row>
    <row r="915">
      <c r="A915" s="32" t="s">
        <v>4320</v>
      </c>
      <c r="B915" s="32" t="s">
        <v>4320</v>
      </c>
      <c r="C915" s="32" t="s">
        <v>4321</v>
      </c>
      <c r="D915" s="32" t="s">
        <v>4322</v>
      </c>
      <c r="E915" s="32" t="s">
        <v>5102</v>
      </c>
      <c r="F915" s="32" t="e">
        <v>#N/A</v>
      </c>
      <c r="G915" s="38"/>
      <c r="H915" s="32">
        <v>0.0</v>
      </c>
      <c r="I915" s="39"/>
      <c r="J915" s="32" t="s">
        <v>4323</v>
      </c>
      <c r="K915" s="33" t="s">
        <v>4324</v>
      </c>
      <c r="L915" s="32" t="e">
        <v>#N/A</v>
      </c>
      <c r="M915" s="32" t="e">
        <v>#N/A</v>
      </c>
      <c r="N915" s="32" t="s">
        <v>5118</v>
      </c>
      <c r="O915" s="32" t="s">
        <v>52</v>
      </c>
      <c r="P915" s="32">
        <v>15499.0</v>
      </c>
      <c r="Q915" s="34">
        <v>13949.0</v>
      </c>
      <c r="R915" s="40">
        <v>14899.0</v>
      </c>
      <c r="S915" s="35">
        <v>13661.34</v>
      </c>
      <c r="T915" s="36">
        <v>0.0</v>
      </c>
      <c r="U915" s="36">
        <v>0.0</v>
      </c>
      <c r="V915" s="36">
        <v>0.0</v>
      </c>
      <c r="W915" s="36">
        <v>0.0</v>
      </c>
      <c r="X915" s="36">
        <v>0.0</v>
      </c>
      <c r="Y915" s="36">
        <v>0.0</v>
      </c>
    </row>
    <row r="916">
      <c r="A916" s="32" t="s">
        <v>4172</v>
      </c>
      <c r="B916" s="32" t="s">
        <v>4172</v>
      </c>
      <c r="C916" s="32" t="s">
        <v>4173</v>
      </c>
      <c r="D916" s="32" t="s">
        <v>4174</v>
      </c>
      <c r="E916" s="32" t="s">
        <v>5102</v>
      </c>
      <c r="F916" s="32" t="e">
        <v>#N/A</v>
      </c>
      <c r="G916" s="38"/>
      <c r="H916" s="32">
        <v>0.0</v>
      </c>
      <c r="I916" s="39"/>
      <c r="J916" s="32" t="s">
        <v>4175</v>
      </c>
      <c r="K916" s="33" t="s">
        <v>4176</v>
      </c>
      <c r="L916" s="32" t="e">
        <v>#N/A</v>
      </c>
      <c r="M916" s="32" t="s">
        <v>4177</v>
      </c>
      <c r="N916" s="32" t="s">
        <v>5118</v>
      </c>
      <c r="O916" s="32" t="s">
        <v>52</v>
      </c>
      <c r="P916" s="32">
        <v>17299.0</v>
      </c>
      <c r="Q916" s="34">
        <v>15569.0</v>
      </c>
      <c r="R916" s="40">
        <v>16599.0</v>
      </c>
      <c r="S916" s="35">
        <v>15245.34</v>
      </c>
      <c r="T916" s="36">
        <v>0.0</v>
      </c>
      <c r="U916" s="36">
        <v>0.0</v>
      </c>
      <c r="V916" s="36">
        <v>0.0</v>
      </c>
      <c r="W916" s="36">
        <v>0.0</v>
      </c>
      <c r="X916" s="36">
        <v>0.0</v>
      </c>
      <c r="Y916" s="36">
        <v>0.0</v>
      </c>
    </row>
    <row r="917">
      <c r="A917" s="32" t="s">
        <v>4190</v>
      </c>
      <c r="B917" s="32" t="s">
        <v>4190</v>
      </c>
      <c r="C917" s="32" t="s">
        <v>4191</v>
      </c>
      <c r="D917" s="32" t="s">
        <v>4192</v>
      </c>
      <c r="E917" s="32" t="s">
        <v>5102</v>
      </c>
      <c r="F917" s="32" t="e">
        <v>#N/A</v>
      </c>
      <c r="G917" s="38"/>
      <c r="H917" s="32">
        <v>0.0</v>
      </c>
      <c r="I917" s="39"/>
      <c r="J917" s="32" t="s">
        <v>4193</v>
      </c>
      <c r="K917" s="33" t="s">
        <v>4194</v>
      </c>
      <c r="L917" s="32" t="e">
        <v>#N/A</v>
      </c>
      <c r="M917" s="32" t="s">
        <v>4195</v>
      </c>
      <c r="N917" s="32" t="s">
        <v>5118</v>
      </c>
      <c r="O917" s="32" t="s">
        <v>52</v>
      </c>
      <c r="P917" s="32">
        <v>19999.0</v>
      </c>
      <c r="Q917" s="34">
        <v>17999.0</v>
      </c>
      <c r="R917" s="40">
        <v>19199.0</v>
      </c>
      <c r="S917" s="35">
        <v>17621.34</v>
      </c>
      <c r="T917" s="36">
        <v>0.0</v>
      </c>
      <c r="U917" s="36">
        <v>0.0</v>
      </c>
      <c r="V917" s="36">
        <v>0.0</v>
      </c>
      <c r="W917" s="36">
        <v>0.0</v>
      </c>
      <c r="X917" s="36">
        <v>0.0</v>
      </c>
      <c r="Y917" s="36">
        <v>0.0</v>
      </c>
    </row>
    <row r="918">
      <c r="A918" s="32" t="s">
        <v>4325</v>
      </c>
      <c r="B918" s="32" t="s">
        <v>4325</v>
      </c>
      <c r="C918" s="32" t="s">
        <v>4326</v>
      </c>
      <c r="D918" s="32" t="s">
        <v>4327</v>
      </c>
      <c r="E918" s="32" t="s">
        <v>5102</v>
      </c>
      <c r="F918" s="32" t="e">
        <v>#N/A</v>
      </c>
      <c r="G918" s="38"/>
      <c r="H918" s="32">
        <v>0.0</v>
      </c>
      <c r="I918" s="39"/>
      <c r="J918" s="32" t="s">
        <v>4328</v>
      </c>
      <c r="K918" s="33" t="s">
        <v>4329</v>
      </c>
      <c r="L918" s="32" t="e">
        <v>#N/A</v>
      </c>
      <c r="M918" s="32" t="e">
        <v>#N/A</v>
      </c>
      <c r="N918" s="32" t="s">
        <v>5118</v>
      </c>
      <c r="O918" s="32" t="s">
        <v>52</v>
      </c>
      <c r="P918" s="32">
        <v>15699.0</v>
      </c>
      <c r="Q918" s="34">
        <v>14129.0</v>
      </c>
      <c r="R918" s="40">
        <v>14999.0</v>
      </c>
      <c r="S918" s="35">
        <v>13793.34</v>
      </c>
      <c r="T918" s="36">
        <v>0.0</v>
      </c>
      <c r="U918" s="36">
        <v>0.0</v>
      </c>
      <c r="V918" s="36">
        <v>0.0</v>
      </c>
      <c r="W918" s="36">
        <v>0.0</v>
      </c>
      <c r="X918" s="36">
        <v>0.0</v>
      </c>
      <c r="Y918" s="36">
        <v>0.0</v>
      </c>
    </row>
    <row r="919">
      <c r="A919" s="32" t="s">
        <v>4132</v>
      </c>
      <c r="B919" s="32" t="s">
        <v>4132</v>
      </c>
      <c r="C919" s="32" t="s">
        <v>4133</v>
      </c>
      <c r="D919" s="32" t="s">
        <v>4134</v>
      </c>
      <c r="E919" s="32" t="s">
        <v>5102</v>
      </c>
      <c r="F919" s="32" t="e">
        <v>#N/A</v>
      </c>
      <c r="G919" s="38"/>
      <c r="H919" s="32">
        <v>0.0</v>
      </c>
      <c r="I919" s="39"/>
      <c r="J919" s="32" t="s">
        <v>4135</v>
      </c>
      <c r="K919" s="33" t="s">
        <v>4136</v>
      </c>
      <c r="L919" s="32" t="e">
        <v>#N/A</v>
      </c>
      <c r="M919" s="32" t="e">
        <v>#N/A</v>
      </c>
      <c r="N919" s="32" t="s">
        <v>5118</v>
      </c>
      <c r="O919" s="32" t="s">
        <v>52</v>
      </c>
      <c r="P919" s="32">
        <v>17499.0</v>
      </c>
      <c r="Q919" s="34">
        <v>15749.0</v>
      </c>
      <c r="R919" s="40">
        <v>16799.0</v>
      </c>
      <c r="S919" s="35">
        <v>15377.34</v>
      </c>
      <c r="T919" s="36">
        <v>0.0</v>
      </c>
      <c r="U919" s="36">
        <v>0.0</v>
      </c>
      <c r="V919" s="36">
        <v>0.0</v>
      </c>
      <c r="W919" s="36">
        <v>0.0</v>
      </c>
      <c r="X919" s="36">
        <v>0.0</v>
      </c>
      <c r="Y919" s="36">
        <v>0.0</v>
      </c>
    </row>
    <row r="920">
      <c r="A920" s="32" t="s">
        <v>4155</v>
      </c>
      <c r="B920" s="32" t="s">
        <v>4155</v>
      </c>
      <c r="C920" s="32" t="s">
        <v>4156</v>
      </c>
      <c r="D920" s="32" t="s">
        <v>4157</v>
      </c>
      <c r="E920" s="32" t="s">
        <v>5102</v>
      </c>
      <c r="F920" s="32" t="e">
        <v>#N/A</v>
      </c>
      <c r="G920" s="38"/>
      <c r="H920" s="32">
        <v>0.0</v>
      </c>
      <c r="I920" s="39"/>
      <c r="J920" s="32" t="s">
        <v>4158</v>
      </c>
      <c r="K920" s="33" t="s">
        <v>4159</v>
      </c>
      <c r="L920" s="32" t="e">
        <v>#N/A</v>
      </c>
      <c r="M920" s="32" t="e">
        <v>#N/A</v>
      </c>
      <c r="N920" s="32" t="s">
        <v>5118</v>
      </c>
      <c r="O920" s="32" t="s">
        <v>52</v>
      </c>
      <c r="P920" s="32">
        <v>22499.0</v>
      </c>
      <c r="Q920" s="34">
        <v>20249.0</v>
      </c>
      <c r="R920" s="40">
        <v>21599.0</v>
      </c>
      <c r="S920" s="35">
        <v>19799.34</v>
      </c>
      <c r="T920" s="36">
        <v>0.0</v>
      </c>
      <c r="U920" s="36">
        <v>0.0</v>
      </c>
      <c r="V920" s="36">
        <v>0.0</v>
      </c>
      <c r="W920" s="36">
        <v>0.0</v>
      </c>
      <c r="X920" s="36">
        <v>0.0</v>
      </c>
      <c r="Y920" s="36">
        <v>0.0</v>
      </c>
    </row>
    <row r="921">
      <c r="A921" s="32" t="s">
        <v>4001</v>
      </c>
      <c r="B921" s="32" t="s">
        <v>4001</v>
      </c>
      <c r="C921" s="32" t="s">
        <v>4002</v>
      </c>
      <c r="D921" s="32" t="s">
        <v>4003</v>
      </c>
      <c r="E921" s="32" t="s">
        <v>5102</v>
      </c>
      <c r="F921" s="32" t="e">
        <v>#N/A</v>
      </c>
      <c r="G921" s="38"/>
      <c r="H921" s="32">
        <v>0.0</v>
      </c>
      <c r="I921" s="39"/>
      <c r="J921" s="32" t="s">
        <v>4004</v>
      </c>
      <c r="K921" s="33" t="s">
        <v>4005</v>
      </c>
      <c r="L921" s="32" t="e">
        <v>#N/A</v>
      </c>
      <c r="M921" s="32" t="s">
        <v>4006</v>
      </c>
      <c r="N921" s="32" t="s">
        <v>5118</v>
      </c>
      <c r="O921" s="32" t="s">
        <v>52</v>
      </c>
      <c r="P921" s="32">
        <v>7499.0</v>
      </c>
      <c r="Q921" s="34">
        <v>6749.0</v>
      </c>
      <c r="R921" s="40">
        <v>7199.0</v>
      </c>
      <c r="S921" s="35">
        <v>6599.34</v>
      </c>
      <c r="T921" s="36">
        <v>0.0</v>
      </c>
      <c r="U921" s="36">
        <v>0.0</v>
      </c>
      <c r="V921" s="36">
        <v>0.0</v>
      </c>
      <c r="W921" s="36">
        <v>0.0</v>
      </c>
      <c r="X921" s="36">
        <v>0.0</v>
      </c>
      <c r="Y921" s="36">
        <v>0.0</v>
      </c>
    </row>
    <row r="922">
      <c r="A922" s="32" t="s">
        <v>3922</v>
      </c>
      <c r="B922" s="32" t="s">
        <v>3922</v>
      </c>
      <c r="C922" s="32" t="s">
        <v>3923</v>
      </c>
      <c r="D922" s="32" t="s">
        <v>3924</v>
      </c>
      <c r="E922" s="32" t="s">
        <v>5102</v>
      </c>
      <c r="F922" s="32" t="e">
        <v>#N/A</v>
      </c>
      <c r="G922" s="38"/>
      <c r="H922" s="32">
        <v>0.0</v>
      </c>
      <c r="I922" s="39"/>
      <c r="J922" s="32" t="s">
        <v>3925</v>
      </c>
      <c r="K922" s="33" t="s">
        <v>3926</v>
      </c>
      <c r="L922" s="32" t="e">
        <v>#N/A</v>
      </c>
      <c r="M922" s="32" t="e">
        <v>#N/A</v>
      </c>
      <c r="N922" s="32" t="s">
        <v>5118</v>
      </c>
      <c r="O922" s="32" t="s">
        <v>52</v>
      </c>
      <c r="P922" s="32">
        <v>7899.0</v>
      </c>
      <c r="Q922" s="34">
        <v>7109.0</v>
      </c>
      <c r="R922" s="40">
        <v>7599.0</v>
      </c>
      <c r="S922" s="35">
        <v>6929.34</v>
      </c>
      <c r="T922" s="36">
        <v>0.0</v>
      </c>
      <c r="U922" s="36">
        <v>0.0</v>
      </c>
      <c r="V922" s="36">
        <v>0.0</v>
      </c>
      <c r="W922" s="36">
        <v>0.0</v>
      </c>
      <c r="X922" s="36">
        <v>0.0</v>
      </c>
      <c r="Y922" s="36">
        <v>0.0</v>
      </c>
    </row>
    <row r="923">
      <c r="A923" s="32" t="s">
        <v>3961</v>
      </c>
      <c r="B923" s="32" t="s">
        <v>3961</v>
      </c>
      <c r="C923" s="32" t="s">
        <v>3962</v>
      </c>
      <c r="D923" s="32" t="s">
        <v>3963</v>
      </c>
      <c r="E923" s="32" t="s">
        <v>5102</v>
      </c>
      <c r="F923" s="32" t="e">
        <v>#N/A</v>
      </c>
      <c r="G923" s="38"/>
      <c r="H923" s="32">
        <v>0.0</v>
      </c>
      <c r="I923" s="39"/>
      <c r="J923" s="32" t="s">
        <v>3964</v>
      </c>
      <c r="K923" s="33" t="s">
        <v>3965</v>
      </c>
      <c r="L923" s="32" t="e">
        <v>#N/A</v>
      </c>
      <c r="M923" s="32" t="s">
        <v>3966</v>
      </c>
      <c r="N923" s="32" t="s">
        <v>5118</v>
      </c>
      <c r="O923" s="32" t="s">
        <v>52</v>
      </c>
      <c r="P923" s="32">
        <v>9199.0</v>
      </c>
      <c r="Q923" s="34">
        <v>8279.0</v>
      </c>
      <c r="R923" s="40">
        <v>8899.0</v>
      </c>
      <c r="S923" s="35">
        <v>8117.34</v>
      </c>
      <c r="T923" s="36">
        <v>0.0</v>
      </c>
      <c r="U923" s="36">
        <v>0.0</v>
      </c>
      <c r="V923" s="36">
        <v>0.0</v>
      </c>
      <c r="W923" s="36">
        <v>0.0</v>
      </c>
      <c r="X923" s="36">
        <v>0.0</v>
      </c>
      <c r="Y923" s="36">
        <v>0.0</v>
      </c>
    </row>
    <row r="924">
      <c r="A924" s="32" t="s">
        <v>3978</v>
      </c>
      <c r="B924" s="32" t="s">
        <v>3978</v>
      </c>
      <c r="C924" s="32" t="s">
        <v>3979</v>
      </c>
      <c r="D924" s="32" t="s">
        <v>3980</v>
      </c>
      <c r="E924" s="32" t="s">
        <v>5102</v>
      </c>
      <c r="F924" s="32" t="e">
        <v>#N/A</v>
      </c>
      <c r="G924" s="38"/>
      <c r="H924" s="32">
        <v>0.0</v>
      </c>
      <c r="I924" s="39"/>
      <c r="J924" s="32" t="s">
        <v>3981</v>
      </c>
      <c r="K924" s="33" t="s">
        <v>3982</v>
      </c>
      <c r="L924" s="32" t="e">
        <v>#N/A</v>
      </c>
      <c r="M924" s="32" t="s">
        <v>3983</v>
      </c>
      <c r="N924" s="32" t="s">
        <v>5118</v>
      </c>
      <c r="O924" s="32" t="s">
        <v>52</v>
      </c>
      <c r="P924" s="32">
        <v>10799.0</v>
      </c>
      <c r="Q924" s="34">
        <v>9719.0</v>
      </c>
      <c r="R924" s="40">
        <v>10399.0</v>
      </c>
      <c r="S924" s="35">
        <v>9503.34</v>
      </c>
      <c r="T924" s="36">
        <v>0.0</v>
      </c>
      <c r="U924" s="36">
        <v>0.0</v>
      </c>
      <c r="V924" s="36">
        <v>0.0</v>
      </c>
      <c r="W924" s="36">
        <v>0.0</v>
      </c>
      <c r="X924" s="36">
        <v>0.0</v>
      </c>
      <c r="Y924" s="36">
        <v>0.0</v>
      </c>
    </row>
    <row r="925">
      <c r="A925" s="32" t="s">
        <v>4007</v>
      </c>
      <c r="B925" s="32" t="s">
        <v>4007</v>
      </c>
      <c r="C925" s="32" t="s">
        <v>4008</v>
      </c>
      <c r="D925" s="32" t="s">
        <v>4009</v>
      </c>
      <c r="E925" s="32" t="s">
        <v>5102</v>
      </c>
      <c r="F925" s="32" t="e">
        <v>#N/A</v>
      </c>
      <c r="G925" s="38"/>
      <c r="H925" s="32">
        <v>0.0</v>
      </c>
      <c r="I925" s="39"/>
      <c r="J925" s="32" t="s">
        <v>4010</v>
      </c>
      <c r="K925" s="33" t="s">
        <v>4011</v>
      </c>
      <c r="L925" s="32" t="e">
        <v>#N/A</v>
      </c>
      <c r="M925" s="32" t="s">
        <v>4012</v>
      </c>
      <c r="N925" s="32" t="s">
        <v>5118</v>
      </c>
      <c r="O925" s="32" t="s">
        <v>52</v>
      </c>
      <c r="P925" s="32">
        <v>7899.0</v>
      </c>
      <c r="Q925" s="34">
        <v>7109.0</v>
      </c>
      <c r="R925" s="40">
        <v>7599.0</v>
      </c>
      <c r="S925" s="35">
        <v>6929.34</v>
      </c>
      <c r="T925" s="36">
        <v>0.0</v>
      </c>
      <c r="U925" s="36">
        <v>0.0</v>
      </c>
      <c r="V925" s="36">
        <v>0.0</v>
      </c>
      <c r="W925" s="36">
        <v>0.0</v>
      </c>
      <c r="X925" s="36">
        <v>0.0</v>
      </c>
      <c r="Y925" s="36">
        <v>0.0</v>
      </c>
    </row>
    <row r="926">
      <c r="A926" s="32" t="s">
        <v>3967</v>
      </c>
      <c r="B926" s="32" t="s">
        <v>3967</v>
      </c>
      <c r="C926" s="32" t="s">
        <v>3968</v>
      </c>
      <c r="D926" s="32" t="s">
        <v>3969</v>
      </c>
      <c r="E926" s="32" t="s">
        <v>5102</v>
      </c>
      <c r="F926" s="32" t="e">
        <v>#N/A</v>
      </c>
      <c r="G926" s="38"/>
      <c r="H926" s="32">
        <v>0.0</v>
      </c>
      <c r="I926" s="39"/>
      <c r="J926" s="32" t="s">
        <v>3970</v>
      </c>
      <c r="K926" s="33" t="s">
        <v>3971</v>
      </c>
      <c r="L926" s="32" t="e">
        <v>#N/A</v>
      </c>
      <c r="M926" s="32" t="s">
        <v>3972</v>
      </c>
      <c r="N926" s="32" t="s">
        <v>5118</v>
      </c>
      <c r="O926" s="32" t="s">
        <v>52</v>
      </c>
      <c r="P926" s="32">
        <v>9999.0</v>
      </c>
      <c r="Q926" s="34">
        <v>8999.0</v>
      </c>
      <c r="R926" s="40">
        <v>9599.0</v>
      </c>
      <c r="S926" s="35">
        <v>8777.34</v>
      </c>
      <c r="T926" s="36">
        <v>0.0</v>
      </c>
      <c r="U926" s="36">
        <v>0.0</v>
      </c>
      <c r="V926" s="36">
        <v>0.0</v>
      </c>
      <c r="W926" s="36">
        <v>0.0</v>
      </c>
      <c r="X926" s="36">
        <v>0.0</v>
      </c>
      <c r="Y926" s="36">
        <v>0.0</v>
      </c>
    </row>
    <row r="927">
      <c r="A927" s="32" t="s">
        <v>3944</v>
      </c>
      <c r="B927" s="32" t="s">
        <v>3944</v>
      </c>
      <c r="C927" s="32" t="s">
        <v>3945</v>
      </c>
      <c r="D927" s="32" t="s">
        <v>3946</v>
      </c>
      <c r="E927" s="32" t="s">
        <v>5102</v>
      </c>
      <c r="F927" s="32" t="e">
        <v>#N/A</v>
      </c>
      <c r="G927" s="38"/>
      <c r="H927" s="32">
        <v>0.0</v>
      </c>
      <c r="I927" s="39"/>
      <c r="J927" s="32" t="s">
        <v>3947</v>
      </c>
      <c r="K927" s="33" t="s">
        <v>3948</v>
      </c>
      <c r="L927" s="32" t="e">
        <v>#N/A</v>
      </c>
      <c r="M927" s="32" t="s">
        <v>3949</v>
      </c>
      <c r="N927" s="32" t="s">
        <v>5118</v>
      </c>
      <c r="O927" s="32" t="s">
        <v>52</v>
      </c>
      <c r="P927" s="32">
        <v>9999.0</v>
      </c>
      <c r="Q927" s="34">
        <v>8999.0</v>
      </c>
      <c r="R927" s="40">
        <v>9599.0</v>
      </c>
      <c r="S927" s="35">
        <v>8777.34</v>
      </c>
      <c r="T927" s="36">
        <v>0.0</v>
      </c>
      <c r="U927" s="36">
        <v>0.0</v>
      </c>
      <c r="V927" s="36">
        <v>0.0</v>
      </c>
      <c r="W927" s="36">
        <v>0.0</v>
      </c>
      <c r="X927" s="36">
        <v>0.0</v>
      </c>
      <c r="Y927" s="36">
        <v>0.0</v>
      </c>
    </row>
    <row r="928">
      <c r="A928" s="32" t="s">
        <v>3984</v>
      </c>
      <c r="B928" s="32" t="s">
        <v>3984</v>
      </c>
      <c r="C928" s="32" t="s">
        <v>3985</v>
      </c>
      <c r="D928" s="32" t="s">
        <v>3986</v>
      </c>
      <c r="E928" s="32" t="s">
        <v>5102</v>
      </c>
      <c r="F928" s="32" t="e">
        <v>#N/A</v>
      </c>
      <c r="G928" s="38"/>
      <c r="H928" s="32">
        <v>0.0</v>
      </c>
      <c r="I928" s="39"/>
      <c r="J928" s="32" t="s">
        <v>3987</v>
      </c>
      <c r="K928" s="33" t="s">
        <v>3988</v>
      </c>
      <c r="L928" s="32" t="e">
        <v>#N/A</v>
      </c>
      <c r="M928" s="32" t="s">
        <v>3989</v>
      </c>
      <c r="N928" s="32" t="s">
        <v>5118</v>
      </c>
      <c r="O928" s="32" t="s">
        <v>52</v>
      </c>
      <c r="P928" s="32">
        <v>11299.0</v>
      </c>
      <c r="Q928" s="34">
        <v>10169.0</v>
      </c>
      <c r="R928" s="40">
        <v>10899.0</v>
      </c>
      <c r="S928" s="35">
        <v>9965.34</v>
      </c>
      <c r="T928" s="36">
        <v>0.0</v>
      </c>
      <c r="U928" s="36">
        <v>0.0</v>
      </c>
      <c r="V928" s="36">
        <v>0.0</v>
      </c>
      <c r="W928" s="36">
        <v>0.0</v>
      </c>
      <c r="X928" s="36">
        <v>0.0</v>
      </c>
      <c r="Y928" s="36">
        <v>0.0</v>
      </c>
    </row>
    <row r="929">
      <c r="A929" s="32" t="s">
        <v>4013</v>
      </c>
      <c r="B929" s="32" t="s">
        <v>4013</v>
      </c>
      <c r="C929" s="32" t="s">
        <v>4014</v>
      </c>
      <c r="D929" s="32" t="s">
        <v>4015</v>
      </c>
      <c r="E929" s="32" t="s">
        <v>5073</v>
      </c>
      <c r="F929" s="32" t="e">
        <v>#N/A</v>
      </c>
      <c r="G929" s="38"/>
      <c r="H929" s="32">
        <v>0.0</v>
      </c>
      <c r="I929" s="39"/>
      <c r="J929" s="32" t="s">
        <v>4016</v>
      </c>
      <c r="K929" s="33" t="s">
        <v>4017</v>
      </c>
      <c r="L929" s="32" t="e">
        <v>#N/A</v>
      </c>
      <c r="M929" s="32" t="e">
        <v>#N/A</v>
      </c>
      <c r="N929" s="32" t="s">
        <v>5118</v>
      </c>
      <c r="O929" s="32" t="s">
        <v>52</v>
      </c>
      <c r="P929" s="32">
        <v>8199.0</v>
      </c>
      <c r="Q929" s="34">
        <v>7379.0</v>
      </c>
      <c r="R929" s="40">
        <v>7799.0</v>
      </c>
      <c r="S929" s="35">
        <v>7193.34</v>
      </c>
      <c r="T929" s="36">
        <v>0.0</v>
      </c>
      <c r="U929" s="36">
        <v>0.0</v>
      </c>
      <c r="V929" s="36">
        <v>0.0</v>
      </c>
      <c r="W929" s="36">
        <v>0.0</v>
      </c>
      <c r="X929" s="36">
        <v>0.0</v>
      </c>
      <c r="Y929" s="36">
        <v>0.0</v>
      </c>
    </row>
    <row r="930">
      <c r="A930" s="32" t="s">
        <v>4030</v>
      </c>
      <c r="B930" s="32" t="s">
        <v>4030</v>
      </c>
      <c r="C930" s="32" t="s">
        <v>4031</v>
      </c>
      <c r="D930" s="32" t="s">
        <v>4032</v>
      </c>
      <c r="E930" s="32" t="s">
        <v>5102</v>
      </c>
      <c r="F930" s="32" t="e">
        <v>#N/A</v>
      </c>
      <c r="G930" s="38"/>
      <c r="H930" s="32">
        <v>0.0</v>
      </c>
      <c r="I930" s="39"/>
      <c r="J930" s="32" t="s">
        <v>4033</v>
      </c>
      <c r="K930" s="33" t="s">
        <v>4034</v>
      </c>
      <c r="L930" s="32" t="e">
        <v>#N/A</v>
      </c>
      <c r="M930" s="32" t="e">
        <v>#N/A</v>
      </c>
      <c r="N930" s="32" t="s">
        <v>5118</v>
      </c>
      <c r="O930" s="32" t="s">
        <v>52</v>
      </c>
      <c r="P930" s="32">
        <v>9399.0</v>
      </c>
      <c r="Q930" s="34">
        <v>8459.0</v>
      </c>
      <c r="R930" s="40">
        <v>8999.0</v>
      </c>
      <c r="S930" s="35">
        <v>8249.34</v>
      </c>
      <c r="T930" s="36">
        <v>0.0</v>
      </c>
      <c r="U930" s="36">
        <v>0.0</v>
      </c>
      <c r="V930" s="36">
        <v>0.0</v>
      </c>
      <c r="W930" s="36">
        <v>0.0</v>
      </c>
      <c r="X930" s="36">
        <v>0.0</v>
      </c>
      <c r="Y930" s="36">
        <v>0.0</v>
      </c>
    </row>
    <row r="931">
      <c r="A931" s="32" t="s">
        <v>3950</v>
      </c>
      <c r="B931" s="32" t="s">
        <v>3950</v>
      </c>
      <c r="C931" s="32" t="s">
        <v>3951</v>
      </c>
      <c r="D931" s="32" t="s">
        <v>3952</v>
      </c>
      <c r="E931" s="32" t="s">
        <v>5102</v>
      </c>
      <c r="F931" s="32" t="e">
        <v>#N/A</v>
      </c>
      <c r="G931" s="38"/>
      <c r="H931" s="32">
        <v>0.0</v>
      </c>
      <c r="I931" s="39"/>
      <c r="J931" s="32" t="s">
        <v>3953</v>
      </c>
      <c r="K931" s="33" t="s">
        <v>3954</v>
      </c>
      <c r="L931" s="32" t="e">
        <v>#N/A</v>
      </c>
      <c r="M931" s="32" t="s">
        <v>3955</v>
      </c>
      <c r="N931" s="32" t="s">
        <v>5118</v>
      </c>
      <c r="O931" s="32" t="s">
        <v>52</v>
      </c>
      <c r="P931" s="32">
        <v>9999.0</v>
      </c>
      <c r="Q931" s="34">
        <v>8999.0</v>
      </c>
      <c r="R931" s="40">
        <v>9599.0</v>
      </c>
      <c r="S931" s="35">
        <v>8777.34</v>
      </c>
      <c r="T931" s="36">
        <v>0.0</v>
      </c>
      <c r="U931" s="36">
        <v>0.0</v>
      </c>
      <c r="V931" s="36">
        <v>0.0</v>
      </c>
      <c r="W931" s="36">
        <v>0.0</v>
      </c>
      <c r="X931" s="36">
        <v>0.0</v>
      </c>
      <c r="Y931" s="36">
        <v>0.0</v>
      </c>
    </row>
    <row r="932">
      <c r="A932" s="32" t="s">
        <v>4035</v>
      </c>
      <c r="B932" s="32" t="s">
        <v>4035</v>
      </c>
      <c r="C932" s="32" t="s">
        <v>4036</v>
      </c>
      <c r="D932" s="32" t="s">
        <v>4037</v>
      </c>
      <c r="E932" s="32" t="s">
        <v>5102</v>
      </c>
      <c r="F932" s="32" t="e">
        <v>#N/A</v>
      </c>
      <c r="G932" s="38"/>
      <c r="H932" s="32">
        <v>0.0</v>
      </c>
      <c r="I932" s="39"/>
      <c r="J932" s="32" t="s">
        <v>4038</v>
      </c>
      <c r="K932" s="33" t="s">
        <v>4039</v>
      </c>
      <c r="L932" s="32" t="e">
        <v>#N/A</v>
      </c>
      <c r="M932" s="32" t="e">
        <v>#N/A</v>
      </c>
      <c r="N932" s="32" t="s">
        <v>5118</v>
      </c>
      <c r="O932" s="32" t="s">
        <v>52</v>
      </c>
      <c r="P932" s="32">
        <v>11299.0</v>
      </c>
      <c r="Q932" s="34">
        <v>10169.0</v>
      </c>
      <c r="R932" s="40">
        <v>10899.0</v>
      </c>
      <c r="S932" s="35">
        <v>9965.34</v>
      </c>
      <c r="T932" s="36">
        <v>0.0</v>
      </c>
      <c r="U932" s="36">
        <v>0.0</v>
      </c>
      <c r="V932" s="36">
        <v>0.0</v>
      </c>
      <c r="W932" s="36">
        <v>0.0</v>
      </c>
      <c r="X932" s="36">
        <v>0.0</v>
      </c>
      <c r="Y932" s="36">
        <v>0.0</v>
      </c>
    </row>
    <row r="933">
      <c r="A933" s="32" t="s">
        <v>3956</v>
      </c>
      <c r="B933" s="32" t="s">
        <v>3956</v>
      </c>
      <c r="C933" s="32" t="s">
        <v>3957</v>
      </c>
      <c r="D933" s="32" t="s">
        <v>3958</v>
      </c>
      <c r="E933" s="32" t="s">
        <v>5073</v>
      </c>
      <c r="F933" s="32" t="e">
        <v>#N/A</v>
      </c>
      <c r="G933" s="38"/>
      <c r="H933" s="32">
        <v>0.0</v>
      </c>
      <c r="I933" s="39"/>
      <c r="J933" s="32" t="s">
        <v>3959</v>
      </c>
      <c r="K933" s="33" t="s">
        <v>3960</v>
      </c>
      <c r="L933" s="32" t="e">
        <v>#N/A</v>
      </c>
      <c r="M933" s="32" t="e">
        <v>#N/A</v>
      </c>
      <c r="N933" s="32" t="s">
        <v>5118</v>
      </c>
      <c r="O933" s="32" t="s">
        <v>52</v>
      </c>
      <c r="P933" s="32">
        <v>12499.0</v>
      </c>
      <c r="Q933" s="34">
        <v>11249.0</v>
      </c>
      <c r="R933" s="40">
        <v>11999.0</v>
      </c>
      <c r="S933" s="35">
        <v>11021.34</v>
      </c>
      <c r="T933" s="36">
        <v>0.0</v>
      </c>
      <c r="U933" s="36">
        <v>0.0</v>
      </c>
      <c r="V933" s="36">
        <v>0.0</v>
      </c>
      <c r="W933" s="36">
        <v>0.0</v>
      </c>
      <c r="X933" s="36">
        <v>0.0</v>
      </c>
      <c r="Y933" s="36">
        <v>0.0</v>
      </c>
    </row>
    <row r="934">
      <c r="A934" s="32" t="s">
        <v>3996</v>
      </c>
      <c r="B934" s="32" t="s">
        <v>3996</v>
      </c>
      <c r="C934" s="32" t="s">
        <v>3997</v>
      </c>
      <c r="D934" s="32" t="s">
        <v>3998</v>
      </c>
      <c r="E934" s="32" t="s">
        <v>5102</v>
      </c>
      <c r="F934" s="32" t="e">
        <v>#N/A</v>
      </c>
      <c r="G934" s="38"/>
      <c r="H934" s="32">
        <v>0.0</v>
      </c>
      <c r="I934" s="39"/>
      <c r="J934" s="32" t="s">
        <v>3999</v>
      </c>
      <c r="K934" s="33" t="s">
        <v>4000</v>
      </c>
      <c r="L934" s="32" t="e">
        <v>#N/A</v>
      </c>
      <c r="M934" s="32" t="e">
        <v>#N/A</v>
      </c>
      <c r="N934" s="32" t="s">
        <v>5118</v>
      </c>
      <c r="O934" s="32" t="s">
        <v>52</v>
      </c>
      <c r="P934" s="32">
        <v>14399.0</v>
      </c>
      <c r="Q934" s="34">
        <v>12959.0</v>
      </c>
      <c r="R934" s="40">
        <v>13799.0</v>
      </c>
      <c r="S934" s="35">
        <v>12671.34</v>
      </c>
      <c r="T934" s="36">
        <v>0.0</v>
      </c>
      <c r="U934" s="36">
        <v>0.0</v>
      </c>
      <c r="V934" s="36">
        <v>0.0</v>
      </c>
      <c r="W934" s="36">
        <v>0.0</v>
      </c>
      <c r="X934" s="36">
        <v>0.0</v>
      </c>
      <c r="Y934" s="36">
        <v>0.0</v>
      </c>
    </row>
    <row r="935">
      <c r="A935" s="32" t="s">
        <v>3032</v>
      </c>
      <c r="B935" s="32" t="s">
        <v>3032</v>
      </c>
      <c r="C935" s="32" t="s">
        <v>3033</v>
      </c>
      <c r="D935" s="32" t="s">
        <v>3034</v>
      </c>
      <c r="E935" s="32" t="s">
        <v>5102</v>
      </c>
      <c r="F935" s="32" t="e">
        <v>#N/A</v>
      </c>
      <c r="G935" s="38"/>
      <c r="H935" s="32" t="s">
        <v>3035</v>
      </c>
      <c r="I935" s="32" t="s">
        <v>5102</v>
      </c>
      <c r="J935" s="32" t="s">
        <v>3036</v>
      </c>
      <c r="K935" s="33" t="s">
        <v>3037</v>
      </c>
      <c r="L935" s="32" t="e">
        <v>#N/A</v>
      </c>
      <c r="M935" s="32" t="e">
        <v>#N/A</v>
      </c>
      <c r="N935" s="32" t="s">
        <v>5131</v>
      </c>
      <c r="O935" s="32" t="s">
        <v>4730</v>
      </c>
      <c r="P935" s="32">
        <v>2989.0</v>
      </c>
      <c r="Q935" s="34">
        <v>2299.0</v>
      </c>
      <c r="R935" s="40">
        <v>2299.0</v>
      </c>
      <c r="S935" s="35">
        <v>2199.0</v>
      </c>
      <c r="T935" s="36">
        <v>0.0</v>
      </c>
      <c r="U935" s="36">
        <v>0.0</v>
      </c>
      <c r="V935" s="36">
        <v>0.0</v>
      </c>
      <c r="W935" s="36">
        <v>0.0</v>
      </c>
      <c r="X935" s="36">
        <v>0.0</v>
      </c>
      <c r="Y935" s="36">
        <v>0.0</v>
      </c>
    </row>
    <row r="936">
      <c r="A936" s="32" t="s">
        <v>3283</v>
      </c>
      <c r="B936" s="32" t="s">
        <v>3283</v>
      </c>
      <c r="C936" s="32" t="s">
        <v>3284</v>
      </c>
      <c r="D936" s="32" t="s">
        <v>3285</v>
      </c>
      <c r="E936" s="32" t="s">
        <v>5102</v>
      </c>
      <c r="F936" s="32" t="e">
        <v>#N/A</v>
      </c>
      <c r="G936" s="38"/>
      <c r="H936" s="32" t="s">
        <v>3286</v>
      </c>
      <c r="I936" s="32" t="s">
        <v>5102</v>
      </c>
      <c r="J936" s="32" t="s">
        <v>3287</v>
      </c>
      <c r="K936" s="33" t="s">
        <v>3288</v>
      </c>
      <c r="L936" s="32">
        <v>3.181845E7</v>
      </c>
      <c r="M936" s="32" t="e">
        <v>#N/A</v>
      </c>
      <c r="N936" s="32" t="s">
        <v>5086</v>
      </c>
      <c r="O936" s="32" t="s">
        <v>4730</v>
      </c>
      <c r="P936" s="32">
        <v>1989.0</v>
      </c>
      <c r="Q936" s="34">
        <v>1799.0</v>
      </c>
      <c r="R936" s="40">
        <v>1799.0</v>
      </c>
      <c r="S936" s="35">
        <v>1690.65</v>
      </c>
      <c r="T936" s="36">
        <v>0.0</v>
      </c>
      <c r="U936" s="36">
        <v>0.0</v>
      </c>
      <c r="V936" s="36">
        <v>0.0</v>
      </c>
      <c r="W936" s="36">
        <v>0.0</v>
      </c>
      <c r="X936" s="36">
        <v>0.0</v>
      </c>
      <c r="Y936" s="36">
        <v>0.0</v>
      </c>
    </row>
    <row r="937">
      <c r="A937" s="32" t="s">
        <v>3741</v>
      </c>
      <c r="B937" s="32" t="s">
        <v>3741</v>
      </c>
      <c r="C937" s="32" t="s">
        <v>3742</v>
      </c>
      <c r="D937" s="32" t="s">
        <v>3743</v>
      </c>
      <c r="E937" s="32" t="s">
        <v>5102</v>
      </c>
      <c r="F937" s="32" t="e">
        <v>#N/A</v>
      </c>
      <c r="G937" s="38"/>
      <c r="H937" s="32" t="s">
        <v>3741</v>
      </c>
      <c r="I937" s="32" t="s">
        <v>5102</v>
      </c>
      <c r="J937" s="32" t="s">
        <v>3744</v>
      </c>
      <c r="K937" s="33" t="s">
        <v>3745</v>
      </c>
      <c r="L937" s="32" t="e">
        <v>#N/A</v>
      </c>
      <c r="M937" s="32" t="e">
        <v>#N/A</v>
      </c>
      <c r="N937" s="32" t="s">
        <v>5155</v>
      </c>
      <c r="O937" s="32" t="s">
        <v>4730</v>
      </c>
      <c r="P937" s="32">
        <v>499.0</v>
      </c>
      <c r="Q937" s="34">
        <v>449.0</v>
      </c>
      <c r="R937" s="35">
        <v>499.0</v>
      </c>
      <c r="S937" s="35">
        <v>449.0</v>
      </c>
      <c r="T937" s="36">
        <v>0.0</v>
      </c>
      <c r="U937" s="36">
        <v>0.0</v>
      </c>
      <c r="V937" s="36">
        <v>0.0</v>
      </c>
      <c r="W937" s="36">
        <v>0.0</v>
      </c>
      <c r="X937" s="36">
        <v>0.0</v>
      </c>
      <c r="Y937" s="36">
        <v>0.0</v>
      </c>
    </row>
    <row r="938">
      <c r="A938" s="32" t="s">
        <v>3721</v>
      </c>
      <c r="B938" s="32" t="s">
        <v>3721</v>
      </c>
      <c r="C938" s="32" t="s">
        <v>3722</v>
      </c>
      <c r="D938" s="32" t="s">
        <v>3723</v>
      </c>
      <c r="E938" s="32" t="s">
        <v>5102</v>
      </c>
      <c r="F938" s="32" t="e">
        <v>#N/A</v>
      </c>
      <c r="G938" s="38"/>
      <c r="H938" s="32" t="s">
        <v>3721</v>
      </c>
      <c r="I938" s="32" t="s">
        <v>5102</v>
      </c>
      <c r="J938" s="32" t="s">
        <v>3724</v>
      </c>
      <c r="K938" s="33" t="s">
        <v>3725</v>
      </c>
      <c r="L938" s="32" t="e">
        <v>#N/A</v>
      </c>
      <c r="M938" s="32" t="e">
        <v>#N/A</v>
      </c>
      <c r="N938" s="32" t="s">
        <v>5155</v>
      </c>
      <c r="O938" s="32" t="s">
        <v>4730</v>
      </c>
      <c r="P938" s="32">
        <v>649.0</v>
      </c>
      <c r="Q938" s="34">
        <v>599.0</v>
      </c>
      <c r="R938" s="35">
        <v>599.0</v>
      </c>
      <c r="S938" s="35">
        <v>549.0</v>
      </c>
      <c r="T938" s="36">
        <v>0.0</v>
      </c>
      <c r="U938" s="36">
        <v>0.0</v>
      </c>
      <c r="V938" s="36">
        <v>0.0</v>
      </c>
      <c r="W938" s="36">
        <v>0.0</v>
      </c>
      <c r="X938" s="36">
        <v>0.0</v>
      </c>
      <c r="Y938" s="36">
        <v>0.0</v>
      </c>
    </row>
    <row r="939">
      <c r="A939" s="32" t="s">
        <v>3599</v>
      </c>
      <c r="B939" s="32" t="s">
        <v>3599</v>
      </c>
      <c r="C939" s="32" t="s">
        <v>3600</v>
      </c>
      <c r="D939" s="32" t="s">
        <v>3601</v>
      </c>
      <c r="E939" s="32" t="s">
        <v>5102</v>
      </c>
      <c r="F939" s="32" t="e">
        <v>#N/A</v>
      </c>
      <c r="G939" s="38"/>
      <c r="H939" s="32" t="s">
        <v>3599</v>
      </c>
      <c r="I939" s="32" t="s">
        <v>5102</v>
      </c>
      <c r="J939" s="32" t="s">
        <v>3602</v>
      </c>
      <c r="K939" s="33" t="s">
        <v>3603</v>
      </c>
      <c r="L939" s="32" t="e">
        <v>#N/A</v>
      </c>
      <c r="M939" s="32" t="e">
        <v>#N/A</v>
      </c>
      <c r="N939" s="32" t="s">
        <v>5155</v>
      </c>
      <c r="O939" s="32" t="s">
        <v>4730</v>
      </c>
      <c r="P939" s="32">
        <v>549.0</v>
      </c>
      <c r="Q939" s="34">
        <v>499.0</v>
      </c>
      <c r="R939" s="35">
        <v>499.0</v>
      </c>
      <c r="S939" s="35">
        <v>449.0</v>
      </c>
      <c r="T939" s="36">
        <v>0.0</v>
      </c>
      <c r="U939" s="36">
        <v>0.0</v>
      </c>
      <c r="V939" s="36">
        <v>0.0</v>
      </c>
      <c r="W939" s="36">
        <v>0.0</v>
      </c>
      <c r="X939" s="36">
        <v>0.0</v>
      </c>
      <c r="Y939" s="36">
        <v>0.0</v>
      </c>
    </row>
    <row r="940">
      <c r="A940" s="32" t="s">
        <v>3793</v>
      </c>
      <c r="B940" s="32" t="s">
        <v>3793</v>
      </c>
      <c r="C940" s="32" t="s">
        <v>3794</v>
      </c>
      <c r="D940" s="32" t="s">
        <v>3795</v>
      </c>
      <c r="E940" s="32" t="s">
        <v>5073</v>
      </c>
      <c r="F940" s="32" t="e">
        <v>#N/A</v>
      </c>
      <c r="G940" s="38"/>
      <c r="H940" s="32" t="s">
        <v>5172</v>
      </c>
      <c r="I940" s="32" t="s">
        <v>5122</v>
      </c>
      <c r="J940" s="32" t="s">
        <v>3796</v>
      </c>
      <c r="K940" s="33" t="s">
        <v>3797</v>
      </c>
      <c r="L940" s="32" t="e">
        <v>#N/A</v>
      </c>
      <c r="M940" s="32" t="e">
        <v>#N/A</v>
      </c>
      <c r="N940" s="32" t="s">
        <v>5132</v>
      </c>
      <c r="O940" s="32" t="s">
        <v>4730</v>
      </c>
      <c r="P940" s="32">
        <v>6999.0</v>
      </c>
      <c r="Q940" s="34">
        <v>5239.0</v>
      </c>
      <c r="R940" s="40">
        <v>5999.0</v>
      </c>
      <c r="S940" s="35">
        <v>4899.3</v>
      </c>
      <c r="T940" s="36">
        <v>0.0</v>
      </c>
      <c r="U940" s="36">
        <v>0.0</v>
      </c>
      <c r="V940" s="36">
        <v>0.0</v>
      </c>
      <c r="W940" s="36">
        <v>0.0</v>
      </c>
      <c r="X940" s="36">
        <v>0.0</v>
      </c>
      <c r="Y940" s="36">
        <v>0.0</v>
      </c>
    </row>
    <row r="941">
      <c r="A941" s="32" t="s">
        <v>3809</v>
      </c>
      <c r="B941" s="32" t="s">
        <v>3809</v>
      </c>
      <c r="C941" s="32" t="s">
        <v>3810</v>
      </c>
      <c r="D941" s="32" t="s">
        <v>3811</v>
      </c>
      <c r="E941" s="32" t="s">
        <v>5102</v>
      </c>
      <c r="F941" s="32" t="e">
        <v>#N/A</v>
      </c>
      <c r="G941" s="38"/>
      <c r="H941" s="32" t="s">
        <v>5173</v>
      </c>
      <c r="I941" s="32" t="s">
        <v>5122</v>
      </c>
      <c r="J941" s="32" t="s">
        <v>3812</v>
      </c>
      <c r="K941" s="33" t="s">
        <v>3813</v>
      </c>
      <c r="L941" s="32" t="e">
        <v>#N/A</v>
      </c>
      <c r="M941" s="32" t="e">
        <v>#N/A</v>
      </c>
      <c r="N941" s="32" t="s">
        <v>5132</v>
      </c>
      <c r="O941" s="32" t="s">
        <v>4730</v>
      </c>
      <c r="P941" s="32">
        <v>10499.0</v>
      </c>
      <c r="Q941" s="34">
        <v>7864.0</v>
      </c>
      <c r="R941" s="40">
        <v>8899.0</v>
      </c>
      <c r="S941" s="35">
        <v>7349.3</v>
      </c>
      <c r="T941" s="36">
        <v>0.0</v>
      </c>
      <c r="U941" s="36">
        <v>0.0</v>
      </c>
      <c r="V941" s="36">
        <v>0.0</v>
      </c>
      <c r="W941" s="36">
        <v>0.0</v>
      </c>
      <c r="X941" s="36">
        <v>0.0</v>
      </c>
      <c r="Y941" s="36">
        <v>0.0</v>
      </c>
    </row>
    <row r="942">
      <c r="A942" s="32" t="s">
        <v>3814</v>
      </c>
      <c r="B942" s="32" t="s">
        <v>3814</v>
      </c>
      <c r="C942" s="32" t="s">
        <v>3815</v>
      </c>
      <c r="D942" s="32" t="s">
        <v>3816</v>
      </c>
      <c r="E942" s="32" t="s">
        <v>5102</v>
      </c>
      <c r="F942" s="32" t="e">
        <v>#N/A</v>
      </c>
      <c r="G942" s="38"/>
      <c r="H942" s="32" t="s">
        <v>5174</v>
      </c>
      <c r="I942" s="32" t="s">
        <v>5102</v>
      </c>
      <c r="J942" s="32" t="s">
        <v>3817</v>
      </c>
      <c r="K942" s="33" t="s">
        <v>3818</v>
      </c>
      <c r="L942" s="32" t="e">
        <v>#N/A</v>
      </c>
      <c r="M942" s="32" t="e">
        <v>#N/A</v>
      </c>
      <c r="N942" s="32" t="s">
        <v>5132</v>
      </c>
      <c r="O942" s="32" t="s">
        <v>4730</v>
      </c>
      <c r="P942" s="32">
        <v>9499.0</v>
      </c>
      <c r="Q942" s="34">
        <v>7114.0</v>
      </c>
      <c r="R942" s="40">
        <v>7999.0</v>
      </c>
      <c r="S942" s="35">
        <v>6649.3</v>
      </c>
      <c r="T942" s="36">
        <v>0.0</v>
      </c>
      <c r="U942" s="36">
        <v>0.0</v>
      </c>
      <c r="V942" s="36">
        <v>0.0</v>
      </c>
      <c r="W942" s="36">
        <v>0.0</v>
      </c>
      <c r="X942" s="36">
        <v>0.0</v>
      </c>
      <c r="Y942" s="36">
        <v>0.0</v>
      </c>
    </row>
    <row r="943">
      <c r="A943" s="32" t="s">
        <v>2018</v>
      </c>
      <c r="B943" s="32" t="s">
        <v>2018</v>
      </c>
      <c r="C943" s="32" t="s">
        <v>2019</v>
      </c>
      <c r="D943" s="32" t="s">
        <v>2020</v>
      </c>
      <c r="E943" s="32" t="s">
        <v>5102</v>
      </c>
      <c r="F943" s="32" t="s">
        <v>2021</v>
      </c>
      <c r="G943" s="32" t="s">
        <v>5100</v>
      </c>
      <c r="H943" s="32" t="s">
        <v>2022</v>
      </c>
      <c r="I943" s="32" t="s">
        <v>5102</v>
      </c>
      <c r="J943" s="32" t="s">
        <v>2023</v>
      </c>
      <c r="K943" s="33" t="s">
        <v>2024</v>
      </c>
      <c r="L943" s="32" t="e">
        <v>#N/A</v>
      </c>
      <c r="M943" s="32" t="e">
        <v>#N/A</v>
      </c>
      <c r="N943" s="32" t="s">
        <v>5132</v>
      </c>
      <c r="O943" s="32" t="s">
        <v>4730</v>
      </c>
      <c r="P943" s="32">
        <v>7999.0</v>
      </c>
      <c r="Q943" s="34">
        <v>5989.0</v>
      </c>
      <c r="R943" s="40">
        <v>6799.0</v>
      </c>
      <c r="S943" s="35">
        <v>5599.3</v>
      </c>
      <c r="T943" s="36">
        <v>0.0</v>
      </c>
      <c r="U943" s="36">
        <v>0.0</v>
      </c>
      <c r="V943" s="36">
        <v>0.0</v>
      </c>
      <c r="W943" s="36">
        <v>0.0</v>
      </c>
      <c r="X943" s="36">
        <v>0.0</v>
      </c>
      <c r="Y943" s="36">
        <v>0.0</v>
      </c>
    </row>
    <row r="944">
      <c r="A944" s="32" t="s">
        <v>3819</v>
      </c>
      <c r="B944" s="32" t="s">
        <v>3819</v>
      </c>
      <c r="C944" s="32" t="s">
        <v>3820</v>
      </c>
      <c r="D944" s="32" t="s">
        <v>3821</v>
      </c>
      <c r="E944" s="32" t="s">
        <v>5102</v>
      </c>
      <c r="F944" s="32" t="e">
        <v>#N/A</v>
      </c>
      <c r="G944" s="39"/>
      <c r="H944" s="32" t="s">
        <v>5175</v>
      </c>
      <c r="I944" s="32" t="s">
        <v>5102</v>
      </c>
      <c r="J944" s="32" t="s">
        <v>3822</v>
      </c>
      <c r="K944" s="33" t="s">
        <v>3823</v>
      </c>
      <c r="L944" s="32" t="e">
        <v>#N/A</v>
      </c>
      <c r="M944" s="32" t="e">
        <v>#N/A</v>
      </c>
      <c r="N944" s="32" t="s">
        <v>5132</v>
      </c>
      <c r="O944" s="32" t="s">
        <v>4730</v>
      </c>
      <c r="P944" s="32">
        <v>10999.0</v>
      </c>
      <c r="Q944" s="34">
        <v>8239.0</v>
      </c>
      <c r="R944" s="40">
        <v>9299.0</v>
      </c>
      <c r="S944" s="35">
        <v>7699.3</v>
      </c>
      <c r="T944" s="36">
        <v>0.0</v>
      </c>
      <c r="U944" s="36">
        <v>0.0</v>
      </c>
      <c r="V944" s="36">
        <v>0.0</v>
      </c>
      <c r="W944" s="36">
        <v>0.0</v>
      </c>
      <c r="X944" s="36">
        <v>0.0</v>
      </c>
      <c r="Y944" s="36">
        <v>0.0</v>
      </c>
    </row>
    <row r="945">
      <c r="A945" s="32" t="s">
        <v>3798</v>
      </c>
      <c r="B945" s="32" t="s">
        <v>3798</v>
      </c>
      <c r="C945" s="32" t="s">
        <v>3799</v>
      </c>
      <c r="D945" s="32" t="s">
        <v>3800</v>
      </c>
      <c r="E945" s="32" t="s">
        <v>5102</v>
      </c>
      <c r="F945" s="32" t="e">
        <v>#N/A</v>
      </c>
      <c r="G945" s="39"/>
      <c r="H945" s="32" t="s">
        <v>5176</v>
      </c>
      <c r="I945" s="32" t="s">
        <v>5102</v>
      </c>
      <c r="J945" s="32" t="s">
        <v>3801</v>
      </c>
      <c r="K945" s="33" t="s">
        <v>3802</v>
      </c>
      <c r="L945" s="32" t="e">
        <v>#N/A</v>
      </c>
      <c r="M945" s="32" t="e">
        <v>#N/A</v>
      </c>
      <c r="N945" s="32" t="s">
        <v>5132</v>
      </c>
      <c r="O945" s="32" t="s">
        <v>4730</v>
      </c>
      <c r="P945" s="32">
        <v>8499.0</v>
      </c>
      <c r="Q945" s="34">
        <v>6366.0</v>
      </c>
      <c r="R945" s="40">
        <v>7199.0</v>
      </c>
      <c r="S945" s="35">
        <v>5949.3</v>
      </c>
      <c r="T945" s="36">
        <v>0.0</v>
      </c>
      <c r="U945" s="36">
        <v>0.0</v>
      </c>
      <c r="V945" s="36">
        <v>0.0</v>
      </c>
      <c r="W945" s="36">
        <v>0.0</v>
      </c>
      <c r="X945" s="36">
        <v>0.0</v>
      </c>
      <c r="Y945" s="36">
        <v>0.0</v>
      </c>
    </row>
    <row r="946">
      <c r="A946" s="32" t="s">
        <v>3783</v>
      </c>
      <c r="B946" s="32" t="s">
        <v>3783</v>
      </c>
      <c r="C946" s="32" t="s">
        <v>3784</v>
      </c>
      <c r="D946" s="32" t="s">
        <v>3785</v>
      </c>
      <c r="E946" s="32" t="s">
        <v>5102</v>
      </c>
      <c r="F946" s="32" t="e">
        <v>#N/A</v>
      </c>
      <c r="G946" s="39"/>
      <c r="H946" s="32" t="s">
        <v>5177</v>
      </c>
      <c r="I946" s="32" t="s">
        <v>5102</v>
      </c>
      <c r="J946" s="32" t="s">
        <v>3786</v>
      </c>
      <c r="K946" s="33" t="s">
        <v>3787</v>
      </c>
      <c r="L946" s="32" t="e">
        <v>#N/A</v>
      </c>
      <c r="M946" s="32" t="e">
        <v>#N/A</v>
      </c>
      <c r="N946" s="32" t="s">
        <v>5132</v>
      </c>
      <c r="O946" s="32" t="s">
        <v>4730</v>
      </c>
      <c r="P946" s="32">
        <v>5299.0</v>
      </c>
      <c r="Q946" s="34">
        <v>3964.0</v>
      </c>
      <c r="R946" s="40">
        <v>4499.0</v>
      </c>
      <c r="S946" s="35">
        <v>3709.3</v>
      </c>
      <c r="T946" s="36">
        <v>0.0</v>
      </c>
      <c r="U946" s="36">
        <v>0.0</v>
      </c>
      <c r="V946" s="36">
        <v>0.0</v>
      </c>
      <c r="W946" s="36">
        <v>0.0</v>
      </c>
      <c r="X946" s="36">
        <v>0.0</v>
      </c>
      <c r="Y946" s="36">
        <v>0.0</v>
      </c>
    </row>
    <row r="947">
      <c r="A947" s="32" t="s">
        <v>3788</v>
      </c>
      <c r="B947" s="32" t="s">
        <v>3788</v>
      </c>
      <c r="C947" s="32" t="s">
        <v>3789</v>
      </c>
      <c r="D947" s="32" t="s">
        <v>3790</v>
      </c>
      <c r="E947" s="32" t="s">
        <v>5102</v>
      </c>
      <c r="F947" s="32" t="e">
        <v>#N/A</v>
      </c>
      <c r="G947" s="39"/>
      <c r="H947" s="32" t="s">
        <v>5178</v>
      </c>
      <c r="I947" s="32" t="s">
        <v>5102</v>
      </c>
      <c r="J947" s="32" t="s">
        <v>3791</v>
      </c>
      <c r="K947" s="33" t="s">
        <v>3792</v>
      </c>
      <c r="L947" s="32" t="e">
        <v>#N/A</v>
      </c>
      <c r="M947" s="32" t="e">
        <v>#N/A</v>
      </c>
      <c r="N947" s="32" t="s">
        <v>5132</v>
      </c>
      <c r="O947" s="32" t="s">
        <v>4730</v>
      </c>
      <c r="P947" s="32">
        <v>5999.0</v>
      </c>
      <c r="Q947" s="34">
        <v>4499.0</v>
      </c>
      <c r="R947" s="40">
        <v>4999.0</v>
      </c>
      <c r="S947" s="35">
        <v>4199.3</v>
      </c>
      <c r="T947" s="36">
        <v>0.0</v>
      </c>
      <c r="U947" s="36">
        <v>0.0</v>
      </c>
      <c r="V947" s="36">
        <v>0.0</v>
      </c>
      <c r="W947" s="36">
        <v>0.0</v>
      </c>
      <c r="X947" s="36">
        <v>0.0</v>
      </c>
      <c r="Y947" s="36">
        <v>0.0</v>
      </c>
    </row>
    <row r="948">
      <c r="A948" s="32" t="s">
        <v>1138</v>
      </c>
      <c r="B948" s="32" t="s">
        <v>1138</v>
      </c>
      <c r="C948" s="32" t="s">
        <v>5179</v>
      </c>
      <c r="D948" s="32" t="s">
        <v>5180</v>
      </c>
      <c r="E948" s="32" t="s">
        <v>5073</v>
      </c>
      <c r="F948" s="32" t="e">
        <v>#N/A</v>
      </c>
      <c r="G948" s="39"/>
      <c r="H948" s="32" t="s">
        <v>1140</v>
      </c>
      <c r="I948" s="32" t="s">
        <v>5073</v>
      </c>
      <c r="J948" s="32" t="s">
        <v>1141</v>
      </c>
      <c r="K948" s="33" t="s">
        <v>1142</v>
      </c>
      <c r="L948" s="32">
        <v>3.2777665E7</v>
      </c>
      <c r="M948" s="32" t="e">
        <v>#N/A</v>
      </c>
      <c r="N948" s="32" t="s">
        <v>5084</v>
      </c>
      <c r="O948" s="32" t="s">
        <v>1145</v>
      </c>
      <c r="P948" s="32">
        <v>3699.0</v>
      </c>
      <c r="Q948" s="34">
        <v>1899.0</v>
      </c>
      <c r="R948" s="40">
        <v>1899.0</v>
      </c>
      <c r="S948" s="35">
        <v>1899.0</v>
      </c>
      <c r="T948" s="36">
        <v>0.0</v>
      </c>
      <c r="U948" s="36">
        <v>0.0</v>
      </c>
      <c r="V948" s="36">
        <v>0.0</v>
      </c>
      <c r="W948" s="36">
        <v>0.0</v>
      </c>
      <c r="X948" s="36">
        <v>0.0</v>
      </c>
      <c r="Y948" s="36">
        <v>0.0</v>
      </c>
    </row>
    <row r="949">
      <c r="A949" s="32" t="s">
        <v>1121</v>
      </c>
      <c r="B949" s="32" t="s">
        <v>1121</v>
      </c>
      <c r="C949" s="32" t="s">
        <v>1122</v>
      </c>
      <c r="D949" s="32" t="s">
        <v>1123</v>
      </c>
      <c r="E949" s="32" t="s">
        <v>5073</v>
      </c>
      <c r="F949" s="32" t="e">
        <v>#N/A</v>
      </c>
      <c r="G949" s="39"/>
      <c r="H949" s="32" t="s">
        <v>5181</v>
      </c>
      <c r="I949" s="32" t="s">
        <v>5102</v>
      </c>
      <c r="J949" s="32" t="s">
        <v>1124</v>
      </c>
      <c r="K949" s="33" t="s">
        <v>1125</v>
      </c>
      <c r="L949" s="32" t="e">
        <v>#N/A</v>
      </c>
      <c r="M949" s="32" t="s">
        <v>1126</v>
      </c>
      <c r="N949" s="32" t="s">
        <v>1144</v>
      </c>
      <c r="O949" s="32" t="s">
        <v>1145</v>
      </c>
      <c r="P949" s="32">
        <v>4599.0</v>
      </c>
      <c r="Q949" s="34">
        <v>3899.0</v>
      </c>
      <c r="R949" s="40">
        <v>3899.0</v>
      </c>
      <c r="S949" s="35">
        <v>2999.0</v>
      </c>
      <c r="T949" s="36">
        <v>0.0</v>
      </c>
      <c r="U949" s="36">
        <v>0.0</v>
      </c>
      <c r="V949" s="36">
        <v>0.0</v>
      </c>
      <c r="W949" s="36">
        <v>0.0</v>
      </c>
      <c r="X949" s="36">
        <v>0.0</v>
      </c>
      <c r="Y949" s="36">
        <v>0.0</v>
      </c>
    </row>
    <row r="950">
      <c r="A950" s="32" t="s">
        <v>1101</v>
      </c>
      <c r="B950" s="32" t="s">
        <v>1101</v>
      </c>
      <c r="C950" s="32" t="s">
        <v>1102</v>
      </c>
      <c r="D950" s="32" t="s">
        <v>1103</v>
      </c>
      <c r="E950" s="32" t="s">
        <v>5073</v>
      </c>
      <c r="F950" s="32" t="e">
        <v>#N/A</v>
      </c>
      <c r="G950" s="39"/>
      <c r="H950" s="32" t="s">
        <v>1104</v>
      </c>
      <c r="I950" s="32" t="s">
        <v>5073</v>
      </c>
      <c r="J950" s="32" t="s">
        <v>1105</v>
      </c>
      <c r="K950" s="33" t="s">
        <v>1106</v>
      </c>
      <c r="L950" s="32" t="e">
        <v>#N/A</v>
      </c>
      <c r="M950" s="32" t="s">
        <v>1107</v>
      </c>
      <c r="N950" s="32" t="s">
        <v>1144</v>
      </c>
      <c r="O950" s="32" t="s">
        <v>1145</v>
      </c>
      <c r="P950" s="32">
        <v>3699.0</v>
      </c>
      <c r="Q950" s="34">
        <v>1899.0</v>
      </c>
      <c r="R950" s="40">
        <v>1899.0</v>
      </c>
      <c r="S950" s="35">
        <v>1799.0</v>
      </c>
      <c r="T950" s="36">
        <v>0.0</v>
      </c>
      <c r="U950" s="36">
        <v>0.0</v>
      </c>
      <c r="V950" s="36">
        <v>0.0</v>
      </c>
      <c r="W950" s="36">
        <v>0.0</v>
      </c>
      <c r="X950" s="36">
        <v>0.0</v>
      </c>
      <c r="Y950" s="36">
        <v>0.0</v>
      </c>
    </row>
    <row r="951">
      <c r="A951" s="32" t="s">
        <v>2477</v>
      </c>
      <c r="B951" s="32" t="s">
        <v>2477</v>
      </c>
      <c r="C951" s="32" t="s">
        <v>2478</v>
      </c>
      <c r="D951" s="32" t="s">
        <v>4816</v>
      </c>
      <c r="E951" s="32" t="s">
        <v>5073</v>
      </c>
      <c r="F951" s="32" t="e">
        <v>#N/A</v>
      </c>
      <c r="G951" s="32" t="e">
        <v>#N/A</v>
      </c>
      <c r="H951" s="32" t="s">
        <v>2479</v>
      </c>
      <c r="I951" s="32" t="s">
        <v>5117</v>
      </c>
      <c r="J951" s="32" t="s">
        <v>2477</v>
      </c>
      <c r="K951" s="33" t="s">
        <v>2480</v>
      </c>
      <c r="L951" s="32">
        <v>3.2777657E7</v>
      </c>
      <c r="M951" s="32" t="e">
        <v>#N/A</v>
      </c>
      <c r="N951" s="32" t="s">
        <v>5083</v>
      </c>
      <c r="O951" s="32" t="s">
        <v>1145</v>
      </c>
      <c r="P951" s="32">
        <v>5599.0</v>
      </c>
      <c r="Q951" s="34">
        <v>3799.0</v>
      </c>
      <c r="R951" s="40">
        <v>3799.0</v>
      </c>
      <c r="S951" s="35">
        <v>3499.0</v>
      </c>
      <c r="T951" s="36">
        <v>0.0</v>
      </c>
      <c r="U951" s="36">
        <v>0.0</v>
      </c>
      <c r="V951" s="36">
        <v>0.0</v>
      </c>
      <c r="W951" s="36">
        <v>0.0</v>
      </c>
      <c r="X951" s="36">
        <v>0.0</v>
      </c>
      <c r="Y951" s="36">
        <v>0.0</v>
      </c>
    </row>
    <row r="952">
      <c r="A952" s="32" t="s">
        <v>2454</v>
      </c>
      <c r="B952" s="32" t="s">
        <v>2454</v>
      </c>
      <c r="C952" s="32" t="s">
        <v>2455</v>
      </c>
      <c r="D952" s="32" t="s">
        <v>2456</v>
      </c>
      <c r="E952" s="32" t="s">
        <v>5073</v>
      </c>
      <c r="F952" s="32" t="e">
        <v>#N/A</v>
      </c>
      <c r="G952" s="39"/>
      <c r="H952" s="32" t="s">
        <v>2457</v>
      </c>
      <c r="I952" s="32" t="s">
        <v>5073</v>
      </c>
      <c r="J952" s="32" t="s">
        <v>2458</v>
      </c>
      <c r="K952" s="33" t="s">
        <v>2459</v>
      </c>
      <c r="L952" s="32">
        <v>3.2777663E7</v>
      </c>
      <c r="M952" s="32" t="s">
        <v>2460</v>
      </c>
      <c r="N952" s="32" t="s">
        <v>5083</v>
      </c>
      <c r="O952" s="32" t="s">
        <v>1145</v>
      </c>
      <c r="P952" s="32">
        <v>5599.0</v>
      </c>
      <c r="Q952" s="34">
        <v>4499.0</v>
      </c>
      <c r="R952" s="40">
        <v>4499.0</v>
      </c>
      <c r="S952" s="35">
        <v>4299.0</v>
      </c>
      <c r="T952" s="36">
        <v>0.0</v>
      </c>
      <c r="U952" s="36">
        <v>0.0</v>
      </c>
      <c r="V952" s="36">
        <v>0.0</v>
      </c>
      <c r="W952" s="36">
        <v>0.0</v>
      </c>
      <c r="X952" s="36">
        <v>0.0</v>
      </c>
      <c r="Y952" s="36">
        <v>0.0</v>
      </c>
    </row>
    <row r="953">
      <c r="A953" s="32" t="s">
        <v>1127</v>
      </c>
      <c r="B953" s="32" t="s">
        <v>1127</v>
      </c>
      <c r="C953" s="32" t="s">
        <v>1128</v>
      </c>
      <c r="D953" s="32" t="s">
        <v>1129</v>
      </c>
      <c r="E953" s="32" t="s">
        <v>5102</v>
      </c>
      <c r="F953" s="32" t="e">
        <v>#N/A</v>
      </c>
      <c r="G953" s="39"/>
      <c r="H953" s="32">
        <v>0.0</v>
      </c>
      <c r="I953" s="39"/>
      <c r="J953" s="32" t="s">
        <v>1130</v>
      </c>
      <c r="K953" s="33" t="s">
        <v>1131</v>
      </c>
      <c r="L953" s="32" t="e">
        <v>#N/A</v>
      </c>
      <c r="M953" s="32" t="e">
        <v>#N/A</v>
      </c>
      <c r="N953" s="32" t="s">
        <v>1144</v>
      </c>
      <c r="O953" s="32" t="s">
        <v>1145</v>
      </c>
      <c r="P953" s="32">
        <v>8299.0</v>
      </c>
      <c r="Q953" s="34">
        <v>7799.0</v>
      </c>
      <c r="R953" s="40">
        <v>7799.0</v>
      </c>
      <c r="S953" s="35">
        <v>6299.0</v>
      </c>
      <c r="T953" s="36">
        <v>0.0</v>
      </c>
      <c r="U953" s="36">
        <v>0.0</v>
      </c>
      <c r="V953" s="36">
        <v>0.0</v>
      </c>
      <c r="W953" s="36">
        <v>0.0</v>
      </c>
      <c r="X953" s="36">
        <v>0.0</v>
      </c>
      <c r="Y953" s="36">
        <v>0.0</v>
      </c>
    </row>
    <row r="954">
      <c r="A954" s="32" t="s">
        <v>1108</v>
      </c>
      <c r="B954" s="32" t="s">
        <v>1108</v>
      </c>
      <c r="C954" s="32" t="s">
        <v>1109</v>
      </c>
      <c r="D954" s="32" t="s">
        <v>1110</v>
      </c>
      <c r="E954" s="32" t="s">
        <v>5073</v>
      </c>
      <c r="F954" s="32" t="e">
        <v>#N/A</v>
      </c>
      <c r="G954" s="39"/>
      <c r="H954" s="32" t="s">
        <v>1111</v>
      </c>
      <c r="I954" s="32" t="s">
        <v>5073</v>
      </c>
      <c r="J954" s="32" t="s">
        <v>1112</v>
      </c>
      <c r="K954" s="33" t="s">
        <v>1113</v>
      </c>
      <c r="L954" s="32" t="e">
        <v>#N/A</v>
      </c>
      <c r="M954" s="32" t="s">
        <v>1114</v>
      </c>
      <c r="N954" s="32" t="s">
        <v>1144</v>
      </c>
      <c r="O954" s="32" t="s">
        <v>1145</v>
      </c>
      <c r="P954" s="32">
        <v>6599.0</v>
      </c>
      <c r="Q954" s="34">
        <v>3799.0</v>
      </c>
      <c r="R954" s="40">
        <v>3799.0</v>
      </c>
      <c r="S954" s="35">
        <v>3499.0</v>
      </c>
      <c r="T954" s="36">
        <v>0.0</v>
      </c>
      <c r="U954" s="36">
        <v>0.0</v>
      </c>
      <c r="V954" s="36">
        <v>0.0</v>
      </c>
      <c r="W954" s="36">
        <v>0.0</v>
      </c>
      <c r="X954" s="36">
        <v>0.0</v>
      </c>
      <c r="Y954" s="36">
        <v>0.0</v>
      </c>
    </row>
    <row r="955">
      <c r="A955" s="32" t="s">
        <v>3424</v>
      </c>
      <c r="B955" s="32" t="s">
        <v>3424</v>
      </c>
      <c r="C955" s="32" t="s">
        <v>3425</v>
      </c>
      <c r="D955" s="32" t="s">
        <v>3427</v>
      </c>
      <c r="E955" s="32" t="s">
        <v>5102</v>
      </c>
      <c r="F955" s="32" t="e">
        <v>#N/A</v>
      </c>
      <c r="G955" s="32" t="e">
        <v>#N/A</v>
      </c>
      <c r="H955" s="32" t="s">
        <v>3424</v>
      </c>
      <c r="I955" s="32" t="s">
        <v>5102</v>
      </c>
      <c r="J955" s="32" t="s">
        <v>3428</v>
      </c>
      <c r="K955" s="33" t="s">
        <v>3429</v>
      </c>
      <c r="L955" s="32" t="e">
        <v>#N/A</v>
      </c>
      <c r="M955" s="32" t="e">
        <v>#N/A</v>
      </c>
      <c r="N955" s="32" t="s">
        <v>5078</v>
      </c>
      <c r="O955" s="32" t="s">
        <v>4730</v>
      </c>
      <c r="P955" s="32">
        <v>699.0</v>
      </c>
      <c r="Q955" s="34">
        <v>692.01</v>
      </c>
      <c r="R955" s="35">
        <v>699.0</v>
      </c>
      <c r="S955" s="35">
        <v>664.05</v>
      </c>
      <c r="T955" s="36">
        <v>0.0</v>
      </c>
      <c r="U955" s="36">
        <v>0.0</v>
      </c>
      <c r="V955" s="36">
        <v>0.0</v>
      </c>
      <c r="W955" s="36">
        <v>0.0</v>
      </c>
      <c r="X955" s="36">
        <v>0.0</v>
      </c>
      <c r="Y955" s="36">
        <v>0.0</v>
      </c>
    </row>
    <row r="956">
      <c r="A956" s="32" t="s">
        <v>3701</v>
      </c>
      <c r="B956" s="32" t="s">
        <v>3701</v>
      </c>
      <c r="C956" s="32" t="s">
        <v>3702</v>
      </c>
      <c r="D956" s="32" t="s">
        <v>3703</v>
      </c>
      <c r="E956" s="32" t="s">
        <v>5102</v>
      </c>
      <c r="F956" s="32" t="e">
        <v>#N/A</v>
      </c>
      <c r="G956" s="39"/>
      <c r="H956" s="32" t="s">
        <v>3701</v>
      </c>
      <c r="I956" s="32" t="s">
        <v>5102</v>
      </c>
      <c r="J956" s="32" t="s">
        <v>3704</v>
      </c>
      <c r="K956" s="33" t="s">
        <v>3705</v>
      </c>
      <c r="L956" s="32" t="e">
        <v>#N/A</v>
      </c>
      <c r="M956" s="32" t="e">
        <v>#N/A</v>
      </c>
      <c r="N956" s="32" t="s">
        <v>5127</v>
      </c>
      <c r="O956" s="32" t="s">
        <v>4730</v>
      </c>
      <c r="P956" s="32">
        <v>949.0</v>
      </c>
      <c r="Q956" s="34">
        <v>899.0</v>
      </c>
      <c r="R956" s="35">
        <v>899.0</v>
      </c>
      <c r="S956" s="35">
        <v>849.0</v>
      </c>
      <c r="T956" s="36">
        <v>0.0</v>
      </c>
      <c r="U956" s="36">
        <v>0.0</v>
      </c>
      <c r="V956" s="36">
        <v>0.0</v>
      </c>
      <c r="W956" s="36">
        <v>0.0</v>
      </c>
      <c r="X956" s="36">
        <v>0.0</v>
      </c>
      <c r="Y956" s="36">
        <v>0.0</v>
      </c>
    </row>
    <row r="957">
      <c r="A957" s="32" t="s">
        <v>3676</v>
      </c>
      <c r="B957" s="32" t="s">
        <v>3676</v>
      </c>
      <c r="C957" s="32" t="s">
        <v>3677</v>
      </c>
      <c r="D957" s="32" t="s">
        <v>3678</v>
      </c>
      <c r="E957" s="32" t="s">
        <v>5102</v>
      </c>
      <c r="F957" s="32" t="e">
        <v>#N/A</v>
      </c>
      <c r="G957" s="39"/>
      <c r="H957" s="32" t="s">
        <v>3676</v>
      </c>
      <c r="I957" s="32" t="s">
        <v>5102</v>
      </c>
      <c r="J957" s="32" t="s">
        <v>3679</v>
      </c>
      <c r="K957" s="33" t="s">
        <v>3680</v>
      </c>
      <c r="L957" s="32" t="e">
        <v>#N/A</v>
      </c>
      <c r="M957" s="32" t="e">
        <v>#N/A</v>
      </c>
      <c r="N957" s="32" t="s">
        <v>5127</v>
      </c>
      <c r="O957" s="32" t="s">
        <v>4730</v>
      </c>
      <c r="P957" s="32">
        <v>999.0</v>
      </c>
      <c r="Q957" s="34">
        <v>879.0</v>
      </c>
      <c r="R957" s="35">
        <v>899.0</v>
      </c>
      <c r="S957" s="35">
        <v>879.0</v>
      </c>
      <c r="T957" s="36">
        <v>0.0</v>
      </c>
      <c r="U957" s="36">
        <v>0.0</v>
      </c>
      <c r="V957" s="36">
        <v>0.0</v>
      </c>
      <c r="W957" s="36">
        <v>0.0</v>
      </c>
      <c r="X957" s="36">
        <v>0.0</v>
      </c>
      <c r="Y957" s="36">
        <v>0.0</v>
      </c>
    </row>
    <row r="958">
      <c r="A958" s="32" t="s">
        <v>3624</v>
      </c>
      <c r="B958" s="32" t="s">
        <v>3624</v>
      </c>
      <c r="C958" s="32" t="s">
        <v>3625</v>
      </c>
      <c r="D958" s="32" t="s">
        <v>3626</v>
      </c>
      <c r="E958" s="32" t="s">
        <v>5102</v>
      </c>
      <c r="F958" s="32" t="e">
        <v>#N/A</v>
      </c>
      <c r="G958" s="39"/>
      <c r="H958" s="32" t="s">
        <v>3624</v>
      </c>
      <c r="I958" s="32" t="s">
        <v>5102</v>
      </c>
      <c r="J958" s="32" t="s">
        <v>3627</v>
      </c>
      <c r="K958" s="33" t="s">
        <v>3628</v>
      </c>
      <c r="L958" s="32" t="e">
        <v>#N/A</v>
      </c>
      <c r="M958" s="32" t="e">
        <v>#N/A</v>
      </c>
      <c r="N958" s="32" t="s">
        <v>5127</v>
      </c>
      <c r="O958" s="32" t="s">
        <v>4730</v>
      </c>
      <c r="P958" s="32">
        <v>899.0</v>
      </c>
      <c r="Q958" s="34">
        <v>799.0</v>
      </c>
      <c r="R958" s="35">
        <v>799.0</v>
      </c>
      <c r="S958" s="35">
        <v>749.0</v>
      </c>
      <c r="T958" s="36">
        <v>0.0</v>
      </c>
      <c r="U958" s="36">
        <v>0.0</v>
      </c>
      <c r="V958" s="36">
        <v>0.0</v>
      </c>
      <c r="W958" s="36">
        <v>0.0</v>
      </c>
      <c r="X958" s="36">
        <v>0.0</v>
      </c>
      <c r="Y958" s="36">
        <v>0.0</v>
      </c>
    </row>
    <row r="959">
      <c r="A959" s="32" t="s">
        <v>304</v>
      </c>
      <c r="B959" s="32" t="s">
        <v>304</v>
      </c>
      <c r="C959" s="32" t="s">
        <v>305</v>
      </c>
      <c r="D959" s="32" t="s">
        <v>306</v>
      </c>
      <c r="E959" s="32" t="s">
        <v>5102</v>
      </c>
      <c r="F959" s="32" t="e">
        <v>#N/A</v>
      </c>
      <c r="G959" s="39"/>
      <c r="H959" s="32">
        <v>0.0</v>
      </c>
      <c r="I959" s="39"/>
      <c r="J959" s="32" t="s">
        <v>307</v>
      </c>
      <c r="K959" s="33" t="s">
        <v>308</v>
      </c>
      <c r="L959" s="32" t="e">
        <v>#N/A</v>
      </c>
      <c r="M959" s="32" t="e">
        <v>#N/A</v>
      </c>
      <c r="N959" s="32" t="s">
        <v>51</v>
      </c>
      <c r="O959" s="32" t="s">
        <v>52</v>
      </c>
      <c r="P959" s="32">
        <v>8809.0</v>
      </c>
      <c r="Q959" s="34">
        <v>7135.0</v>
      </c>
      <c r="R959" s="40">
        <v>7699.0</v>
      </c>
      <c r="S959" s="35">
        <v>6694.84</v>
      </c>
      <c r="T959" s="36">
        <v>0.0</v>
      </c>
      <c r="U959" s="36">
        <v>0.0</v>
      </c>
      <c r="V959" s="36">
        <v>0.0</v>
      </c>
      <c r="W959" s="36">
        <v>0.0</v>
      </c>
      <c r="X959" s="36">
        <v>0.0</v>
      </c>
      <c r="Y959" s="36">
        <v>0.0</v>
      </c>
    </row>
    <row r="960">
      <c r="A960" s="32" t="s">
        <v>309</v>
      </c>
      <c r="B960" s="32" t="s">
        <v>309</v>
      </c>
      <c r="C960" s="32" t="s">
        <v>310</v>
      </c>
      <c r="D960" s="32" t="s">
        <v>311</v>
      </c>
      <c r="E960" s="32" t="s">
        <v>5102</v>
      </c>
      <c r="F960" s="32" t="e">
        <v>#N/A</v>
      </c>
      <c r="G960" s="39"/>
      <c r="H960" s="32">
        <v>0.0</v>
      </c>
      <c r="I960" s="39"/>
      <c r="J960" s="32" t="s">
        <v>312</v>
      </c>
      <c r="K960" s="33" t="s">
        <v>313</v>
      </c>
      <c r="L960" s="32" t="e">
        <v>#N/A</v>
      </c>
      <c r="M960" s="32" t="e">
        <v>#REF!</v>
      </c>
      <c r="N960" s="32" t="s">
        <v>51</v>
      </c>
      <c r="O960" s="32" t="s">
        <v>52</v>
      </c>
      <c r="P960" s="32">
        <v>9069.0</v>
      </c>
      <c r="Q960" s="34">
        <v>7346.0</v>
      </c>
      <c r="R960" s="40">
        <v>7899.0</v>
      </c>
      <c r="S960" s="35">
        <v>6892.44</v>
      </c>
      <c r="T960" s="36">
        <v>0.0</v>
      </c>
      <c r="U960" s="36">
        <v>0.0</v>
      </c>
      <c r="V960" s="36">
        <v>0.0</v>
      </c>
      <c r="W960" s="36">
        <v>0.0</v>
      </c>
      <c r="X960" s="36">
        <v>0.0</v>
      </c>
      <c r="Y960" s="36">
        <v>0.0</v>
      </c>
    </row>
    <row r="961">
      <c r="A961" s="32" t="s">
        <v>265</v>
      </c>
      <c r="B961" s="32" t="s">
        <v>265</v>
      </c>
      <c r="C961" s="32" t="s">
        <v>266</v>
      </c>
      <c r="D961" s="32" t="s">
        <v>267</v>
      </c>
      <c r="E961" s="32" t="s">
        <v>5102</v>
      </c>
      <c r="F961" s="32" t="e">
        <v>#N/A</v>
      </c>
      <c r="G961" s="39"/>
      <c r="H961" s="32" t="s">
        <v>268</v>
      </c>
      <c r="I961" s="32" t="s">
        <v>5102</v>
      </c>
      <c r="J961" s="32" t="s">
        <v>269</v>
      </c>
      <c r="K961" s="33" t="s">
        <v>270</v>
      </c>
      <c r="L961" s="32">
        <v>3.2784004E7</v>
      </c>
      <c r="M961" s="32" t="s">
        <v>271</v>
      </c>
      <c r="N961" s="32" t="s">
        <v>51</v>
      </c>
      <c r="O961" s="32" t="s">
        <v>52</v>
      </c>
      <c r="P961" s="32">
        <v>16899.0</v>
      </c>
      <c r="Q961" s="34">
        <v>13688.0</v>
      </c>
      <c r="R961" s="40">
        <v>14699.0</v>
      </c>
      <c r="S961" s="35">
        <v>12843.24</v>
      </c>
      <c r="T961" s="36">
        <v>0.0</v>
      </c>
      <c r="U961" s="36">
        <v>0.0</v>
      </c>
      <c r="V961" s="36">
        <v>0.0</v>
      </c>
      <c r="W961" s="36">
        <v>0.0</v>
      </c>
      <c r="X961" s="36">
        <v>0.0</v>
      </c>
      <c r="Y961" s="36">
        <v>0.0</v>
      </c>
    </row>
    <row r="962">
      <c r="A962" s="32" t="s">
        <v>321</v>
      </c>
      <c r="B962" s="32" t="s">
        <v>321</v>
      </c>
      <c r="C962" s="32" t="s">
        <v>322</v>
      </c>
      <c r="D962" s="32" t="s">
        <v>323</v>
      </c>
      <c r="E962" s="32" t="s">
        <v>5102</v>
      </c>
      <c r="F962" s="32" t="e">
        <v>#N/A</v>
      </c>
      <c r="G962" s="39"/>
      <c r="H962" s="32">
        <v>0.0</v>
      </c>
      <c r="I962" s="39"/>
      <c r="J962" s="32" t="s">
        <v>324</v>
      </c>
      <c r="K962" s="33" t="s">
        <v>325</v>
      </c>
      <c r="L962" s="32" t="e">
        <v>#N/A</v>
      </c>
      <c r="M962" s="32" t="e">
        <v>#REF!</v>
      </c>
      <c r="N962" s="32" t="s">
        <v>51</v>
      </c>
      <c r="O962" s="32" t="s">
        <v>52</v>
      </c>
      <c r="P962" s="32">
        <v>10259.0</v>
      </c>
      <c r="Q962" s="34">
        <v>8310.0</v>
      </c>
      <c r="R962" s="40">
        <v>8899.0</v>
      </c>
      <c r="S962" s="35">
        <v>7796.84</v>
      </c>
      <c r="T962" s="36">
        <v>0.0</v>
      </c>
      <c r="U962" s="36">
        <v>0.0</v>
      </c>
      <c r="V962" s="36">
        <v>0.0</v>
      </c>
      <c r="W962" s="36">
        <v>0.0</v>
      </c>
      <c r="X962" s="36">
        <v>0.0</v>
      </c>
      <c r="Y962" s="36">
        <v>0.0</v>
      </c>
    </row>
    <row r="963">
      <c r="A963" s="32" t="s">
        <v>289</v>
      </c>
      <c r="B963" s="32" t="s">
        <v>289</v>
      </c>
      <c r="C963" s="32" t="s">
        <v>290</v>
      </c>
      <c r="D963" s="32" t="s">
        <v>291</v>
      </c>
      <c r="E963" s="32" t="s">
        <v>5102</v>
      </c>
      <c r="F963" s="32" t="e">
        <v>#N/A</v>
      </c>
      <c r="G963" s="39"/>
      <c r="H963" s="32">
        <v>0.0</v>
      </c>
      <c r="I963" s="39"/>
      <c r="J963" s="32" t="s">
        <v>292</v>
      </c>
      <c r="K963" s="33" t="s">
        <v>293</v>
      </c>
      <c r="L963" s="32" t="e">
        <v>#N/A</v>
      </c>
      <c r="M963" s="32" t="e">
        <v>#REF!</v>
      </c>
      <c r="N963" s="32" t="s">
        <v>51</v>
      </c>
      <c r="O963" s="32" t="s">
        <v>52</v>
      </c>
      <c r="P963" s="32">
        <v>12909.0</v>
      </c>
      <c r="Q963" s="34">
        <v>10456.0</v>
      </c>
      <c r="R963" s="40">
        <v>11199.0</v>
      </c>
      <c r="S963" s="35">
        <v>9810.84</v>
      </c>
      <c r="T963" s="36">
        <v>0.0</v>
      </c>
      <c r="U963" s="36">
        <v>0.0</v>
      </c>
      <c r="V963" s="36">
        <v>0.0</v>
      </c>
      <c r="W963" s="36">
        <v>0.0</v>
      </c>
      <c r="X963" s="36">
        <v>0.0</v>
      </c>
      <c r="Y963" s="36">
        <v>0.0</v>
      </c>
    </row>
    <row r="964">
      <c r="A964" s="32" t="s">
        <v>4920</v>
      </c>
      <c r="B964" s="32" t="s">
        <v>4920</v>
      </c>
      <c r="C964" s="32" t="s">
        <v>4921</v>
      </c>
      <c r="D964" s="46" t="s">
        <v>5226</v>
      </c>
      <c r="E964" s="47" t="s">
        <v>5102</v>
      </c>
      <c r="F964" s="38"/>
      <c r="G964" s="38"/>
      <c r="H964" s="38"/>
      <c r="I964" s="38"/>
      <c r="J964" s="32" t="s">
        <v>4923</v>
      </c>
      <c r="K964" s="38"/>
      <c r="L964" s="38"/>
      <c r="M964" s="38"/>
      <c r="N964" s="32" t="s">
        <v>51</v>
      </c>
      <c r="O964" s="32" t="s">
        <v>52</v>
      </c>
      <c r="P964" s="32">
        <v>9199.0</v>
      </c>
      <c r="Q964" s="44">
        <v>7451.0</v>
      </c>
      <c r="R964" s="40">
        <v>7999.0</v>
      </c>
      <c r="S964" s="35">
        <v>6991.24</v>
      </c>
      <c r="T964" s="36">
        <v>0.0</v>
      </c>
      <c r="U964" s="36">
        <v>0.0</v>
      </c>
      <c r="V964" s="36">
        <v>0.0</v>
      </c>
      <c r="W964" s="36">
        <v>0.0</v>
      </c>
      <c r="X964" s="36">
        <v>0.0</v>
      </c>
      <c r="Y964" s="36">
        <v>0.0</v>
      </c>
    </row>
    <row r="965">
      <c r="A965" s="32" t="s">
        <v>326</v>
      </c>
      <c r="B965" s="32" t="s">
        <v>326</v>
      </c>
      <c r="C965" s="32" t="s">
        <v>327</v>
      </c>
      <c r="D965" s="32" t="s">
        <v>328</v>
      </c>
      <c r="E965" s="32" t="s">
        <v>5102</v>
      </c>
      <c r="F965" s="32" t="e">
        <v>#N/A</v>
      </c>
      <c r="G965" s="39"/>
      <c r="H965" s="32">
        <v>0.0</v>
      </c>
      <c r="I965" s="39"/>
      <c r="J965" s="32" t="s">
        <v>329</v>
      </c>
      <c r="K965" s="33" t="s">
        <v>330</v>
      </c>
      <c r="L965" s="32" t="e">
        <v>#N/A</v>
      </c>
      <c r="M965" s="32" t="e">
        <v>#REF!</v>
      </c>
      <c r="N965" s="32" t="s">
        <v>51</v>
      </c>
      <c r="O965" s="32" t="s">
        <v>52</v>
      </c>
      <c r="P965" s="32">
        <v>10779.0</v>
      </c>
      <c r="Q965" s="34">
        <v>8731.0</v>
      </c>
      <c r="R965" s="40">
        <v>9399.0</v>
      </c>
      <c r="S965" s="35">
        <v>8192.04</v>
      </c>
      <c r="T965" s="36">
        <v>0.0</v>
      </c>
      <c r="U965" s="36">
        <v>0.0</v>
      </c>
      <c r="V965" s="36">
        <v>0.0</v>
      </c>
      <c r="W965" s="36">
        <v>0.0</v>
      </c>
      <c r="X965" s="36">
        <v>0.0</v>
      </c>
      <c r="Y965" s="36">
        <v>0.0</v>
      </c>
    </row>
    <row r="966">
      <c r="A966" s="32" t="s">
        <v>294</v>
      </c>
      <c r="B966" s="32" t="s">
        <v>294</v>
      </c>
      <c r="C966" s="32" t="s">
        <v>295</v>
      </c>
      <c r="D966" s="32" t="s">
        <v>296</v>
      </c>
      <c r="E966" s="32" t="s">
        <v>5102</v>
      </c>
      <c r="F966" s="32" t="e">
        <v>#N/A</v>
      </c>
      <c r="G966" s="39"/>
      <c r="H966" s="32">
        <v>0.0</v>
      </c>
      <c r="I966" s="39"/>
      <c r="J966" s="32" t="s">
        <v>297</v>
      </c>
      <c r="K966" s="33" t="s">
        <v>298</v>
      </c>
      <c r="L966" s="32" t="e">
        <v>#N/A</v>
      </c>
      <c r="M966" s="32" t="e">
        <v>#REF!</v>
      </c>
      <c r="N966" s="32" t="s">
        <v>51</v>
      </c>
      <c r="O966" s="32" t="s">
        <v>52</v>
      </c>
      <c r="P966" s="32">
        <v>13189.0</v>
      </c>
      <c r="Q966" s="34">
        <v>10683.0</v>
      </c>
      <c r="R966" s="40">
        <v>11499.0</v>
      </c>
      <c r="S966" s="35">
        <v>10023.64</v>
      </c>
      <c r="T966" s="36">
        <v>0.0</v>
      </c>
      <c r="U966" s="36">
        <v>0.0</v>
      </c>
      <c r="V966" s="36">
        <v>0.0</v>
      </c>
      <c r="W966" s="36">
        <v>0.0</v>
      </c>
      <c r="X966" s="36">
        <v>0.0</v>
      </c>
      <c r="Y966" s="36">
        <v>0.0</v>
      </c>
    </row>
    <row r="967">
      <c r="A967" s="32" t="s">
        <v>331</v>
      </c>
      <c r="B967" s="32" t="s">
        <v>331</v>
      </c>
      <c r="C967" s="32" t="s">
        <v>332</v>
      </c>
      <c r="D967" s="32" t="s">
        <v>333</v>
      </c>
      <c r="E967" s="32" t="s">
        <v>5102</v>
      </c>
      <c r="F967" s="32" t="e">
        <v>#N/A</v>
      </c>
      <c r="G967" s="39"/>
      <c r="H967" s="32">
        <v>0.0</v>
      </c>
      <c r="I967" s="39"/>
      <c r="J967" s="32" t="s">
        <v>334</v>
      </c>
      <c r="K967" s="33" t="s">
        <v>335</v>
      </c>
      <c r="L967" s="32" t="e">
        <v>#N/A</v>
      </c>
      <c r="M967" s="32" t="e">
        <v>#REF!</v>
      </c>
      <c r="N967" s="32" t="s">
        <v>51</v>
      </c>
      <c r="O967" s="32" t="s">
        <v>52</v>
      </c>
      <c r="P967" s="32">
        <v>10909.0</v>
      </c>
      <c r="Q967" s="34">
        <v>8836.0</v>
      </c>
      <c r="R967" s="40">
        <v>9499.0</v>
      </c>
      <c r="S967" s="35">
        <v>8290.84</v>
      </c>
      <c r="T967" s="36">
        <v>0.0</v>
      </c>
      <c r="U967" s="36">
        <v>0.0</v>
      </c>
      <c r="V967" s="36">
        <v>0.0</v>
      </c>
      <c r="W967" s="36">
        <v>0.0</v>
      </c>
      <c r="X967" s="36">
        <v>0.0</v>
      </c>
      <c r="Y967" s="36">
        <v>0.0</v>
      </c>
    </row>
    <row r="968">
      <c r="A968" s="32" t="s">
        <v>299</v>
      </c>
      <c r="B968" s="32" t="s">
        <v>299</v>
      </c>
      <c r="C968" s="32" t="s">
        <v>300</v>
      </c>
      <c r="D968" s="32" t="s">
        <v>301</v>
      </c>
      <c r="E968" s="32" t="s">
        <v>5102</v>
      </c>
      <c r="F968" s="32" t="e">
        <v>#N/A</v>
      </c>
      <c r="G968" s="39"/>
      <c r="H968" s="32">
        <v>0.0</v>
      </c>
      <c r="I968" s="39"/>
      <c r="J968" s="32" t="s">
        <v>302</v>
      </c>
      <c r="K968" s="33" t="s">
        <v>303</v>
      </c>
      <c r="L968" s="32" t="e">
        <v>#N/A</v>
      </c>
      <c r="M968" s="32" t="e">
        <v>#REF!</v>
      </c>
      <c r="N968" s="32" t="s">
        <v>51</v>
      </c>
      <c r="O968" s="32" t="s">
        <v>52</v>
      </c>
      <c r="P968" s="32">
        <v>13599.0</v>
      </c>
      <c r="Q968" s="34">
        <v>11015.0</v>
      </c>
      <c r="R968" s="40">
        <v>11799.0</v>
      </c>
      <c r="S968" s="35">
        <v>10335.24</v>
      </c>
      <c r="T968" s="36">
        <v>0.0</v>
      </c>
      <c r="U968" s="36">
        <v>0.0</v>
      </c>
      <c r="V968" s="36">
        <v>0.0</v>
      </c>
      <c r="W968" s="36">
        <v>0.0</v>
      </c>
      <c r="X968" s="36">
        <v>0.0</v>
      </c>
      <c r="Y968" s="36">
        <v>0.0</v>
      </c>
    </row>
    <row r="969">
      <c r="A969" s="32" t="s">
        <v>227</v>
      </c>
      <c r="B969" s="32" t="s">
        <v>227</v>
      </c>
      <c r="C969" s="32" t="s">
        <v>228</v>
      </c>
      <c r="D969" s="32" t="s">
        <v>229</v>
      </c>
      <c r="E969" s="32" t="s">
        <v>5102</v>
      </c>
      <c r="F969" s="32" t="e">
        <v>#N/A</v>
      </c>
      <c r="G969" s="39"/>
      <c r="H969" s="32">
        <v>0.0</v>
      </c>
      <c r="I969" s="39"/>
      <c r="J969" s="32" t="s">
        <v>230</v>
      </c>
      <c r="K969" s="33" t="s">
        <v>231</v>
      </c>
      <c r="L969" s="32" t="e">
        <v>#N/A</v>
      </c>
      <c r="M969" s="32" t="e">
        <v>#REF!</v>
      </c>
      <c r="N969" s="32" t="s">
        <v>51</v>
      </c>
      <c r="O969" s="32" t="s">
        <v>52</v>
      </c>
      <c r="P969" s="32">
        <v>16999.0</v>
      </c>
      <c r="Q969" s="34">
        <v>13769.0</v>
      </c>
      <c r="R969" s="40">
        <v>14799.0</v>
      </c>
      <c r="S969" s="35">
        <v>12919.24</v>
      </c>
      <c r="T969" s="36">
        <v>0.0</v>
      </c>
      <c r="U969" s="36">
        <v>0.0</v>
      </c>
      <c r="V969" s="36">
        <v>0.0</v>
      </c>
      <c r="W969" s="36">
        <v>0.0</v>
      </c>
      <c r="X969" s="36">
        <v>0.0</v>
      </c>
      <c r="Y969" s="36">
        <v>0.0</v>
      </c>
    </row>
    <row r="970">
      <c r="A970" s="32" t="s">
        <v>253</v>
      </c>
      <c r="B970" s="32" t="s">
        <v>253</v>
      </c>
      <c r="C970" s="32" t="s">
        <v>254</v>
      </c>
      <c r="D970" s="32" t="s">
        <v>255</v>
      </c>
      <c r="E970" s="32" t="s">
        <v>5102</v>
      </c>
      <c r="F970" s="32" t="e">
        <v>#N/A</v>
      </c>
      <c r="G970" s="39"/>
      <c r="H970" s="32">
        <v>0.0</v>
      </c>
      <c r="I970" s="39"/>
      <c r="J970" s="32" t="s">
        <v>256</v>
      </c>
      <c r="K970" s="33" t="s">
        <v>257</v>
      </c>
      <c r="L970" s="32" t="e">
        <v>#N/A</v>
      </c>
      <c r="M970" s="32" t="e">
        <v>#REF!</v>
      </c>
      <c r="N970" s="32" t="s">
        <v>51</v>
      </c>
      <c r="O970" s="32" t="s">
        <v>52</v>
      </c>
      <c r="P970" s="32">
        <v>18999.0</v>
      </c>
      <c r="Q970" s="34">
        <v>15389.0</v>
      </c>
      <c r="R970" s="40">
        <v>16499.0</v>
      </c>
      <c r="S970" s="35">
        <v>14439.24</v>
      </c>
      <c r="T970" s="36">
        <v>0.0</v>
      </c>
      <c r="U970" s="36">
        <v>0.0</v>
      </c>
      <c r="V970" s="36">
        <v>0.0</v>
      </c>
      <c r="W970" s="36">
        <v>0.0</v>
      </c>
      <c r="X970" s="36">
        <v>0.0</v>
      </c>
      <c r="Y970" s="36">
        <v>0.0</v>
      </c>
    </row>
    <row r="971">
      <c r="A971" s="32" t="s">
        <v>663</v>
      </c>
      <c r="B971" s="32" t="s">
        <v>663</v>
      </c>
      <c r="C971" s="32" t="s">
        <v>664</v>
      </c>
      <c r="D971" s="32" t="s">
        <v>665</v>
      </c>
      <c r="E971" s="32" t="s">
        <v>5102</v>
      </c>
      <c r="F971" s="32" t="e">
        <v>#N/A</v>
      </c>
      <c r="G971" s="39"/>
      <c r="H971" s="32">
        <v>0.0</v>
      </c>
      <c r="I971" s="39"/>
      <c r="J971" s="32" t="s">
        <v>666</v>
      </c>
      <c r="K971" s="33" t="s">
        <v>667</v>
      </c>
      <c r="L971" s="32" t="e">
        <v>#N/A</v>
      </c>
      <c r="M971" s="32" t="e">
        <v>#REF!</v>
      </c>
      <c r="N971" s="32" t="s">
        <v>51</v>
      </c>
      <c r="O971" s="32" t="s">
        <v>52</v>
      </c>
      <c r="P971" s="32">
        <v>22999.0</v>
      </c>
      <c r="Q971" s="34">
        <v>18629.0</v>
      </c>
      <c r="R971" s="40">
        <v>19999.0</v>
      </c>
      <c r="S971" s="35">
        <v>17479.24</v>
      </c>
      <c r="T971" s="36">
        <v>0.0</v>
      </c>
      <c r="U971" s="36">
        <v>0.0</v>
      </c>
      <c r="V971" s="36">
        <v>0.0</v>
      </c>
      <c r="W971" s="36">
        <v>0.0</v>
      </c>
      <c r="X971" s="36">
        <v>0.0</v>
      </c>
      <c r="Y971" s="36">
        <v>0.0</v>
      </c>
    </row>
    <row r="972">
      <c r="A972" s="32" t="s">
        <v>675</v>
      </c>
      <c r="B972" s="32" t="s">
        <v>675</v>
      </c>
      <c r="C972" s="32" t="s">
        <v>676</v>
      </c>
      <c r="D972" s="32" t="s">
        <v>677</v>
      </c>
      <c r="E972" s="32" t="s">
        <v>5102</v>
      </c>
      <c r="F972" s="32" t="e">
        <v>#N/A</v>
      </c>
      <c r="G972" s="39"/>
      <c r="H972" s="32">
        <v>0.0</v>
      </c>
      <c r="I972" s="39"/>
      <c r="J972" s="32" t="s">
        <v>678</v>
      </c>
      <c r="K972" s="33" t="s">
        <v>679</v>
      </c>
      <c r="L972" s="32" t="e">
        <v>#N/A</v>
      </c>
      <c r="M972" s="32" t="e">
        <v>#REF!</v>
      </c>
      <c r="N972" s="32" t="s">
        <v>51</v>
      </c>
      <c r="O972" s="32" t="s">
        <v>52</v>
      </c>
      <c r="P972" s="32">
        <v>23599.0</v>
      </c>
      <c r="Q972" s="34">
        <v>19115.0</v>
      </c>
      <c r="R972" s="40">
        <v>20499.0</v>
      </c>
      <c r="S972" s="35">
        <v>17935.24</v>
      </c>
      <c r="T972" s="36">
        <v>0.0</v>
      </c>
      <c r="U972" s="36">
        <v>0.0</v>
      </c>
      <c r="V972" s="36">
        <v>0.0</v>
      </c>
      <c r="W972" s="36">
        <v>0.0</v>
      </c>
      <c r="X972" s="36">
        <v>0.0</v>
      </c>
      <c r="Y972" s="36">
        <v>0.0</v>
      </c>
    </row>
    <row r="973">
      <c r="A973" s="32" t="s">
        <v>627</v>
      </c>
      <c r="B973" s="32" t="s">
        <v>627</v>
      </c>
      <c r="C973" s="32" t="s">
        <v>628</v>
      </c>
      <c r="D973" s="32" t="s">
        <v>629</v>
      </c>
      <c r="E973" s="32" t="s">
        <v>5073</v>
      </c>
      <c r="F973" s="32" t="e">
        <v>#N/A</v>
      </c>
      <c r="G973" s="39"/>
      <c r="H973" s="32">
        <v>0.0</v>
      </c>
      <c r="I973" s="39"/>
      <c r="J973" s="32" t="s">
        <v>630</v>
      </c>
      <c r="K973" s="33" t="s">
        <v>631</v>
      </c>
      <c r="L973" s="32" t="e">
        <v>#N/A</v>
      </c>
      <c r="M973" s="32" t="e">
        <v>#REF!</v>
      </c>
      <c r="N973" s="32" t="s">
        <v>51</v>
      </c>
      <c r="O973" s="32" t="s">
        <v>52</v>
      </c>
      <c r="P973" s="32">
        <v>20899.0</v>
      </c>
      <c r="Q973" s="34">
        <v>16928.0</v>
      </c>
      <c r="R973" s="40">
        <v>18199.0</v>
      </c>
      <c r="S973" s="35">
        <v>15883.24</v>
      </c>
      <c r="T973" s="36">
        <v>0.0</v>
      </c>
      <c r="U973" s="36">
        <v>0.0</v>
      </c>
      <c r="V973" s="36">
        <v>0.0</v>
      </c>
      <c r="W973" s="36">
        <v>0.0</v>
      </c>
      <c r="X973" s="36">
        <v>0.0</v>
      </c>
      <c r="Y973" s="36">
        <v>0.0</v>
      </c>
    </row>
    <row r="974">
      <c r="A974" s="32" t="s">
        <v>739</v>
      </c>
      <c r="B974" s="32" t="s">
        <v>739</v>
      </c>
      <c r="C974" s="32" t="s">
        <v>740</v>
      </c>
      <c r="D974" s="32" t="s">
        <v>741</v>
      </c>
      <c r="E974" s="32" t="s">
        <v>5102</v>
      </c>
      <c r="F974" s="32" t="e">
        <v>#N/A</v>
      </c>
      <c r="G974" s="39"/>
      <c r="H974" s="32">
        <v>0.0</v>
      </c>
      <c r="I974" s="39"/>
      <c r="J974" s="32" t="s">
        <v>742</v>
      </c>
      <c r="K974" s="33" t="s">
        <v>743</v>
      </c>
      <c r="L974" s="32" t="e">
        <v>#N/A</v>
      </c>
      <c r="M974" s="32" t="s">
        <v>744</v>
      </c>
      <c r="N974" s="32" t="s">
        <v>51</v>
      </c>
      <c r="O974" s="32" t="s">
        <v>52</v>
      </c>
      <c r="P974" s="32">
        <v>13809.0</v>
      </c>
      <c r="Q974" s="34">
        <v>11185.0</v>
      </c>
      <c r="R974" s="40">
        <v>11999.0</v>
      </c>
      <c r="S974" s="35">
        <v>10494.84</v>
      </c>
      <c r="T974" s="36">
        <v>0.0</v>
      </c>
      <c r="U974" s="36">
        <v>0.0</v>
      </c>
      <c r="V974" s="36">
        <v>0.0</v>
      </c>
      <c r="W974" s="36">
        <v>0.0</v>
      </c>
      <c r="X974" s="36">
        <v>0.0</v>
      </c>
      <c r="Y974" s="36">
        <v>0.0</v>
      </c>
    </row>
    <row r="975">
      <c r="A975" s="32" t="s">
        <v>632</v>
      </c>
      <c r="B975" s="32" t="s">
        <v>632</v>
      </c>
      <c r="C975" s="32" t="s">
        <v>633</v>
      </c>
      <c r="D975" s="32" t="s">
        <v>634</v>
      </c>
      <c r="E975" s="32" t="s">
        <v>5073</v>
      </c>
      <c r="F975" s="32" t="e">
        <v>#N/A</v>
      </c>
      <c r="G975" s="39"/>
      <c r="H975" s="32" t="s">
        <v>635</v>
      </c>
      <c r="I975" s="32" t="s">
        <v>5102</v>
      </c>
      <c r="J975" s="32" t="s">
        <v>636</v>
      </c>
      <c r="K975" s="33" t="s">
        <v>637</v>
      </c>
      <c r="L975" s="32">
        <v>3.1999059E7</v>
      </c>
      <c r="M975" s="32" t="s">
        <v>638</v>
      </c>
      <c r="N975" s="32" t="s">
        <v>51</v>
      </c>
      <c r="O975" s="32" t="s">
        <v>52</v>
      </c>
      <c r="P975" s="32">
        <v>20899.0</v>
      </c>
      <c r="Q975" s="34">
        <v>16928.0</v>
      </c>
      <c r="R975" s="40">
        <v>18199.0</v>
      </c>
      <c r="S975" s="35">
        <v>15883.24</v>
      </c>
      <c r="T975" s="36">
        <v>0.0</v>
      </c>
      <c r="U975" s="36">
        <v>0.0</v>
      </c>
      <c r="V975" s="36">
        <v>0.0</v>
      </c>
      <c r="W975" s="36">
        <v>0.0</v>
      </c>
      <c r="X975" s="36">
        <v>0.0</v>
      </c>
      <c r="Y975" s="36">
        <v>0.0</v>
      </c>
    </row>
    <row r="976">
      <c r="A976" s="32" t="s">
        <v>751</v>
      </c>
      <c r="B976" s="32" t="s">
        <v>751</v>
      </c>
      <c r="C976" s="32" t="s">
        <v>752</v>
      </c>
      <c r="D976" s="32" t="s">
        <v>753</v>
      </c>
      <c r="E976" s="32" t="s">
        <v>5102</v>
      </c>
      <c r="F976" s="32" t="e">
        <v>#N/A</v>
      </c>
      <c r="G976" s="39"/>
      <c r="H976" s="32">
        <v>0.0</v>
      </c>
      <c r="I976" s="39"/>
      <c r="J976" s="32" t="s">
        <v>754</v>
      </c>
      <c r="K976" s="33" t="s">
        <v>755</v>
      </c>
      <c r="L976" s="32" t="e">
        <v>#N/A</v>
      </c>
      <c r="M976" s="32" t="e">
        <v>#REF!</v>
      </c>
      <c r="N976" s="32" t="s">
        <v>51</v>
      </c>
      <c r="O976" s="32" t="s">
        <v>52</v>
      </c>
      <c r="P976" s="32">
        <v>14469.0</v>
      </c>
      <c r="Q976" s="34">
        <v>11720.0</v>
      </c>
      <c r="R976" s="40">
        <v>12599.0</v>
      </c>
      <c r="S976" s="35">
        <v>10996.44</v>
      </c>
      <c r="T976" s="36">
        <v>0.0</v>
      </c>
      <c r="U976" s="36">
        <v>0.0</v>
      </c>
      <c r="V976" s="36">
        <v>0.0</v>
      </c>
      <c r="W976" s="36">
        <v>0.0</v>
      </c>
      <c r="X976" s="36">
        <v>0.0</v>
      </c>
      <c r="Y976" s="36">
        <v>0.0</v>
      </c>
    </row>
    <row r="977">
      <c r="A977" s="32" t="s">
        <v>777</v>
      </c>
      <c r="B977" s="32" t="s">
        <v>777</v>
      </c>
      <c r="C977" s="32" t="s">
        <v>778</v>
      </c>
      <c r="D977" s="32" t="s">
        <v>779</v>
      </c>
      <c r="E977" s="32" t="s">
        <v>5102</v>
      </c>
      <c r="F977" s="32" t="e">
        <v>#N/A</v>
      </c>
      <c r="G977" s="39"/>
      <c r="H977" s="32">
        <v>0.0</v>
      </c>
      <c r="I977" s="39"/>
      <c r="J977" s="32" t="s">
        <v>780</v>
      </c>
      <c r="K977" s="33" t="s">
        <v>781</v>
      </c>
      <c r="L977" s="32" t="e">
        <v>#N/A</v>
      </c>
      <c r="M977" s="32" t="e">
        <v>#REF!</v>
      </c>
      <c r="N977" s="32" t="s">
        <v>51</v>
      </c>
      <c r="O977" s="32" t="s">
        <v>52</v>
      </c>
      <c r="P977" s="32">
        <v>17629.0</v>
      </c>
      <c r="Q977" s="34">
        <v>14279.0</v>
      </c>
      <c r="R977" s="40">
        <v>15299.0</v>
      </c>
      <c r="S977" s="35">
        <v>13398.04</v>
      </c>
      <c r="T977" s="36">
        <v>0.0</v>
      </c>
      <c r="U977" s="36">
        <v>0.0</v>
      </c>
      <c r="V977" s="36">
        <v>0.0</v>
      </c>
      <c r="W977" s="36">
        <v>0.0</v>
      </c>
      <c r="X977" s="36">
        <v>0.0</v>
      </c>
      <c r="Y977" s="36">
        <v>0.0</v>
      </c>
    </row>
    <row r="978">
      <c r="A978" s="32" t="s">
        <v>687</v>
      </c>
      <c r="B978" s="32" t="s">
        <v>687</v>
      </c>
      <c r="C978" s="32" t="s">
        <v>688</v>
      </c>
      <c r="D978" s="32" t="s">
        <v>689</v>
      </c>
      <c r="E978" s="32" t="s">
        <v>5102</v>
      </c>
      <c r="F978" s="32" t="e">
        <v>#N/A</v>
      </c>
      <c r="G978" s="39"/>
      <c r="H978" s="32">
        <v>0.0</v>
      </c>
      <c r="I978" s="39"/>
      <c r="J978" s="32" t="s">
        <v>690</v>
      </c>
      <c r="K978" s="33" t="s">
        <v>691</v>
      </c>
      <c r="L978" s="32" t="e">
        <v>#N/A</v>
      </c>
      <c r="M978" s="32" t="e">
        <v>#REF!</v>
      </c>
      <c r="N978" s="32" t="s">
        <v>51</v>
      </c>
      <c r="O978" s="32" t="s">
        <v>52</v>
      </c>
      <c r="P978" s="32">
        <v>24499.0</v>
      </c>
      <c r="Q978" s="34">
        <v>19844.0</v>
      </c>
      <c r="R978" s="40">
        <v>21299.0</v>
      </c>
      <c r="S978" s="35">
        <v>18619.24</v>
      </c>
      <c r="T978" s="36">
        <v>0.0</v>
      </c>
      <c r="U978" s="36">
        <v>0.0</v>
      </c>
      <c r="V978" s="36">
        <v>0.0</v>
      </c>
      <c r="W978" s="36">
        <v>0.0</v>
      </c>
      <c r="X978" s="36">
        <v>0.0</v>
      </c>
      <c r="Y978" s="36">
        <v>0.0</v>
      </c>
    </row>
    <row r="979">
      <c r="A979" s="32" t="s">
        <v>590</v>
      </c>
      <c r="B979" s="32" t="s">
        <v>590</v>
      </c>
      <c r="C979" s="32" t="s">
        <v>591</v>
      </c>
      <c r="D979" s="32" t="s">
        <v>592</v>
      </c>
      <c r="E979" s="32" t="s">
        <v>5102</v>
      </c>
      <c r="F979" s="32" t="e">
        <v>#N/A</v>
      </c>
      <c r="G979" s="39"/>
      <c r="H979" s="32">
        <v>0.0</v>
      </c>
      <c r="I979" s="39"/>
      <c r="J979" s="32" t="s">
        <v>593</v>
      </c>
      <c r="K979" s="33" t="s">
        <v>594</v>
      </c>
      <c r="L979" s="32" t="e">
        <v>#N/A</v>
      </c>
      <c r="M979" s="32" t="s">
        <v>595</v>
      </c>
      <c r="N979" s="32" t="s">
        <v>51</v>
      </c>
      <c r="O979" s="32" t="s">
        <v>52</v>
      </c>
      <c r="P979" s="32">
        <v>18399.0</v>
      </c>
      <c r="Q979" s="34">
        <v>14903.0</v>
      </c>
      <c r="R979" s="40">
        <v>15999.0</v>
      </c>
      <c r="S979" s="35">
        <v>13983.24</v>
      </c>
      <c r="T979" s="36">
        <v>0.0</v>
      </c>
      <c r="U979" s="36">
        <v>0.0</v>
      </c>
      <c r="V979" s="36">
        <v>0.0</v>
      </c>
      <c r="W979" s="36">
        <v>0.0</v>
      </c>
      <c r="X979" s="36">
        <v>0.0</v>
      </c>
      <c r="Y979" s="36">
        <v>0.0</v>
      </c>
    </row>
    <row r="980">
      <c r="A980" s="32" t="s">
        <v>646</v>
      </c>
      <c r="B980" s="32" t="s">
        <v>646</v>
      </c>
      <c r="C980" s="32" t="s">
        <v>647</v>
      </c>
      <c r="D980" s="32" t="s">
        <v>648</v>
      </c>
      <c r="E980" s="32" t="s">
        <v>5073</v>
      </c>
      <c r="F980" s="32" t="e">
        <v>#N/A</v>
      </c>
      <c r="G980" s="39"/>
      <c r="H980" s="32">
        <v>0.0</v>
      </c>
      <c r="I980" s="39"/>
      <c r="J980" s="32" t="s">
        <v>649</v>
      </c>
      <c r="K980" s="33" t="s">
        <v>650</v>
      </c>
      <c r="L980" s="32" t="e">
        <v>#N/A</v>
      </c>
      <c r="M980" s="32" t="s">
        <v>651</v>
      </c>
      <c r="N980" s="32" t="s">
        <v>51</v>
      </c>
      <c r="O980" s="32" t="s">
        <v>52</v>
      </c>
      <c r="P980" s="32">
        <v>21199.0</v>
      </c>
      <c r="Q980" s="34">
        <v>17171.0</v>
      </c>
      <c r="R980" s="40">
        <v>18399.0</v>
      </c>
      <c r="S980" s="35">
        <v>16111.24</v>
      </c>
      <c r="T980" s="36">
        <v>0.0</v>
      </c>
      <c r="U980" s="36">
        <v>0.0</v>
      </c>
      <c r="V980" s="36">
        <v>0.0</v>
      </c>
      <c r="W980" s="36">
        <v>0.0</v>
      </c>
      <c r="X980" s="36">
        <v>0.0</v>
      </c>
      <c r="Y980" s="36">
        <v>0.0</v>
      </c>
    </row>
    <row r="981">
      <c r="A981" s="32" t="s">
        <v>745</v>
      </c>
      <c r="B981" s="32" t="s">
        <v>745</v>
      </c>
      <c r="C981" s="32" t="s">
        <v>746</v>
      </c>
      <c r="D981" s="32" t="s">
        <v>747</v>
      </c>
      <c r="E981" s="32" t="s">
        <v>5102</v>
      </c>
      <c r="F981" s="32" t="e">
        <v>#N/A</v>
      </c>
      <c r="G981" s="39"/>
      <c r="H981" s="32">
        <v>0.0</v>
      </c>
      <c r="I981" s="39"/>
      <c r="J981" s="32" t="s">
        <v>748</v>
      </c>
      <c r="K981" s="33" t="s">
        <v>749</v>
      </c>
      <c r="L981" s="32" t="e">
        <v>#N/A</v>
      </c>
      <c r="M981" s="32" t="s">
        <v>750</v>
      </c>
      <c r="N981" s="32" t="s">
        <v>51</v>
      </c>
      <c r="O981" s="32" t="s">
        <v>52</v>
      </c>
      <c r="P981" s="32">
        <v>14469.0</v>
      </c>
      <c r="Q981" s="34">
        <v>11720.0</v>
      </c>
      <c r="R981" s="40">
        <v>12599.0</v>
      </c>
      <c r="S981" s="35">
        <v>10996.44</v>
      </c>
      <c r="T981" s="36">
        <v>0.0</v>
      </c>
      <c r="U981" s="36">
        <v>0.0</v>
      </c>
      <c r="V981" s="36">
        <v>0.0</v>
      </c>
      <c r="W981" s="36">
        <v>0.0</v>
      </c>
      <c r="X981" s="36">
        <v>0.0</v>
      </c>
      <c r="Y981" s="36">
        <v>0.0</v>
      </c>
    </row>
    <row r="982">
      <c r="A982" s="32" t="s">
        <v>719</v>
      </c>
      <c r="B982" s="32" t="s">
        <v>719</v>
      </c>
      <c r="C982" s="32" t="s">
        <v>720</v>
      </c>
      <c r="D982" s="32" t="s">
        <v>721</v>
      </c>
      <c r="E982" s="32" t="s">
        <v>5073</v>
      </c>
      <c r="F982" s="32" t="e">
        <v>#N/A</v>
      </c>
      <c r="G982" s="39"/>
      <c r="H982" s="32">
        <v>0.0</v>
      </c>
      <c r="I982" s="39"/>
      <c r="J982" s="32" t="s">
        <v>722</v>
      </c>
      <c r="K982" s="33" t="s">
        <v>723</v>
      </c>
      <c r="L982" s="32" t="e">
        <v>#N/A</v>
      </c>
      <c r="M982" s="32" t="e">
        <v>#REF!</v>
      </c>
      <c r="N982" s="32" t="s">
        <v>51</v>
      </c>
      <c r="O982" s="32" t="s">
        <v>52</v>
      </c>
      <c r="P982" s="32">
        <v>17219.0</v>
      </c>
      <c r="Q982" s="34">
        <v>13947.0</v>
      </c>
      <c r="R982" s="40">
        <v>14999.0</v>
      </c>
      <c r="S982" s="35">
        <v>13086.44</v>
      </c>
      <c r="T982" s="36">
        <v>0.0</v>
      </c>
      <c r="U982" s="36">
        <v>0.0</v>
      </c>
      <c r="V982" s="36">
        <v>0.0</v>
      </c>
      <c r="W982" s="36">
        <v>0.0</v>
      </c>
      <c r="X982" s="36">
        <v>0.0</v>
      </c>
      <c r="Y982" s="36">
        <v>0.0</v>
      </c>
    </row>
    <row r="983">
      <c r="A983" s="32" t="s">
        <v>2487</v>
      </c>
      <c r="B983" s="32" t="s">
        <v>2487</v>
      </c>
      <c r="C983" s="32">
        <v>0.0</v>
      </c>
      <c r="D983" s="32" t="e">
        <v>#N/A</v>
      </c>
      <c r="E983" s="39"/>
      <c r="F983" s="32" t="e">
        <v>#N/A</v>
      </c>
      <c r="G983" s="39"/>
      <c r="H983" s="32" t="e">
        <v>#N/A</v>
      </c>
      <c r="I983" s="39"/>
      <c r="J983" s="32">
        <v>0.0</v>
      </c>
      <c r="K983" s="33" t="e">
        <v>#N/A</v>
      </c>
      <c r="L983" s="32" t="e">
        <v>#N/A</v>
      </c>
      <c r="M983" s="32" t="e">
        <v>#N/A</v>
      </c>
      <c r="N983" s="32" t="e">
        <v>#N/A</v>
      </c>
      <c r="O983" s="32" t="s">
        <v>5158</v>
      </c>
      <c r="P983" s="32" t="e">
        <v>#REF!</v>
      </c>
      <c r="Q983" s="32" t="e">
        <v>#N/A</v>
      </c>
      <c r="R983" s="42" t="e">
        <v>#N/A</v>
      </c>
      <c r="S983" s="42" t="e">
        <v>#N/A</v>
      </c>
      <c r="T983" s="36">
        <v>0.0</v>
      </c>
      <c r="U983" s="36">
        <v>0.0</v>
      </c>
      <c r="V983" s="36">
        <v>0.0</v>
      </c>
      <c r="W983" s="36">
        <v>0.0</v>
      </c>
      <c r="X983" s="36">
        <v>0.0</v>
      </c>
      <c r="Y983" s="36">
        <v>0.0</v>
      </c>
    </row>
    <row r="984">
      <c r="A984" s="32" t="s">
        <v>4685</v>
      </c>
      <c r="B984" s="32" t="s">
        <v>4685</v>
      </c>
      <c r="C984" s="32">
        <v>0.0</v>
      </c>
      <c r="D984" s="32" t="e">
        <v>#N/A</v>
      </c>
      <c r="E984" s="39"/>
      <c r="F984" s="32" t="e">
        <v>#N/A</v>
      </c>
      <c r="G984" s="39"/>
      <c r="H984" s="32" t="e">
        <v>#N/A</v>
      </c>
      <c r="I984" s="39"/>
      <c r="J984" s="32">
        <v>0.0</v>
      </c>
      <c r="K984" s="33" t="e">
        <v>#N/A</v>
      </c>
      <c r="L984" s="32" t="e">
        <v>#N/A</v>
      </c>
      <c r="M984" s="32" t="e">
        <v>#N/A</v>
      </c>
      <c r="N984" s="32" t="e">
        <v>#N/A</v>
      </c>
      <c r="O984" s="32" t="s">
        <v>5158</v>
      </c>
      <c r="P984" s="32" t="e">
        <v>#REF!</v>
      </c>
      <c r="Q984" s="32" t="e">
        <v>#N/A</v>
      </c>
      <c r="R984" s="42" t="e">
        <v>#N/A</v>
      </c>
      <c r="S984" s="42" t="e">
        <v>#N/A</v>
      </c>
      <c r="T984" s="36">
        <v>0.0</v>
      </c>
      <c r="U984" s="36">
        <v>0.0</v>
      </c>
      <c r="V984" s="36">
        <v>0.0</v>
      </c>
      <c r="W984" s="36">
        <v>0.0</v>
      </c>
      <c r="X984" s="36">
        <v>0.0</v>
      </c>
      <c r="Y984" s="36">
        <v>0.0</v>
      </c>
    </row>
    <row r="985">
      <c r="A985" s="32" t="s">
        <v>4684</v>
      </c>
      <c r="B985" s="32" t="s">
        <v>4684</v>
      </c>
      <c r="C985" s="32">
        <v>0.0</v>
      </c>
      <c r="D985" s="32" t="e">
        <v>#N/A</v>
      </c>
      <c r="E985" s="39"/>
      <c r="F985" s="32" t="e">
        <v>#N/A</v>
      </c>
      <c r="G985" s="39"/>
      <c r="H985" s="32" t="e">
        <v>#N/A</v>
      </c>
      <c r="I985" s="39"/>
      <c r="J985" s="32">
        <v>0.0</v>
      </c>
      <c r="K985" s="33" t="e">
        <v>#N/A</v>
      </c>
      <c r="L985" s="32" t="e">
        <v>#N/A</v>
      </c>
      <c r="M985" s="32" t="e">
        <v>#N/A</v>
      </c>
      <c r="N985" s="32" t="e">
        <v>#N/A</v>
      </c>
      <c r="O985" s="32" t="s">
        <v>5158</v>
      </c>
      <c r="P985" s="32" t="e">
        <v>#REF!</v>
      </c>
      <c r="Q985" s="32" t="e">
        <v>#N/A</v>
      </c>
      <c r="R985" s="42" t="e">
        <v>#N/A</v>
      </c>
      <c r="S985" s="42" t="e">
        <v>#N/A</v>
      </c>
      <c r="T985" s="36">
        <v>0.0</v>
      </c>
      <c r="U985" s="36">
        <v>0.0</v>
      </c>
      <c r="V985" s="36">
        <v>0.0</v>
      </c>
      <c r="W985" s="36">
        <v>0.0</v>
      </c>
      <c r="X985" s="36">
        <v>0.0</v>
      </c>
      <c r="Y985" s="36">
        <v>0.0</v>
      </c>
    </row>
    <row r="986">
      <c r="A986" s="32" t="s">
        <v>4686</v>
      </c>
      <c r="B986" s="32" t="s">
        <v>4686</v>
      </c>
      <c r="C986" s="32">
        <v>0.0</v>
      </c>
      <c r="D986" s="32" t="e">
        <v>#N/A</v>
      </c>
      <c r="E986" s="39"/>
      <c r="F986" s="32" t="e">
        <v>#N/A</v>
      </c>
      <c r="G986" s="39"/>
      <c r="H986" s="32" t="e">
        <v>#N/A</v>
      </c>
      <c r="I986" s="39"/>
      <c r="J986" s="32">
        <v>0.0</v>
      </c>
      <c r="K986" s="33" t="e">
        <v>#N/A</v>
      </c>
      <c r="L986" s="32" t="e">
        <v>#N/A</v>
      </c>
      <c r="M986" s="32" t="e">
        <v>#N/A</v>
      </c>
      <c r="N986" s="32" t="e">
        <v>#N/A</v>
      </c>
      <c r="O986" s="32" t="s">
        <v>5158</v>
      </c>
      <c r="P986" s="32" t="e">
        <v>#REF!</v>
      </c>
      <c r="Q986" s="32" t="e">
        <v>#N/A</v>
      </c>
      <c r="R986" s="42" t="e">
        <v>#N/A</v>
      </c>
      <c r="S986" s="42" t="e">
        <v>#N/A</v>
      </c>
      <c r="T986" s="36">
        <v>0.0</v>
      </c>
      <c r="U986" s="36">
        <v>0.0</v>
      </c>
      <c r="V986" s="36">
        <v>0.0</v>
      </c>
      <c r="W986" s="36">
        <v>0.0</v>
      </c>
      <c r="X986" s="36">
        <v>0.0</v>
      </c>
      <c r="Y986" s="36">
        <v>0.0</v>
      </c>
    </row>
    <row r="987">
      <c r="A987" s="32" t="s">
        <v>3399</v>
      </c>
      <c r="B987" s="32" t="s">
        <v>3399</v>
      </c>
      <c r="C987" s="32">
        <v>0.0</v>
      </c>
      <c r="D987" s="32" t="e">
        <v>#N/A</v>
      </c>
      <c r="E987" s="39"/>
      <c r="F987" s="32" t="e">
        <v>#N/A</v>
      </c>
      <c r="G987" s="39"/>
      <c r="H987" s="32" t="e">
        <v>#N/A</v>
      </c>
      <c r="I987" s="39"/>
      <c r="J987" s="32">
        <v>0.0</v>
      </c>
      <c r="K987" s="33" t="e">
        <v>#N/A</v>
      </c>
      <c r="L987" s="32" t="e">
        <v>#N/A</v>
      </c>
      <c r="M987" s="32" t="e">
        <v>#N/A</v>
      </c>
      <c r="N987" s="32" t="e">
        <v>#N/A</v>
      </c>
      <c r="O987" s="32" t="s">
        <v>5158</v>
      </c>
      <c r="P987" s="32" t="e">
        <v>#REF!</v>
      </c>
      <c r="Q987" s="32" t="e">
        <v>#N/A</v>
      </c>
      <c r="R987" s="42" t="e">
        <v>#N/A</v>
      </c>
      <c r="S987" s="42" t="e">
        <v>#N/A</v>
      </c>
      <c r="T987" s="36">
        <v>0.0</v>
      </c>
      <c r="U987" s="36">
        <v>0.0</v>
      </c>
      <c r="V987" s="36">
        <v>0.0</v>
      </c>
      <c r="W987" s="36">
        <v>0.0</v>
      </c>
      <c r="X987" s="36">
        <v>0.0</v>
      </c>
      <c r="Y987" s="36">
        <v>0.0</v>
      </c>
    </row>
    <row r="988">
      <c r="A988" s="32" t="s">
        <v>2486</v>
      </c>
      <c r="B988" s="32" t="s">
        <v>2486</v>
      </c>
      <c r="C988" s="32">
        <v>0.0</v>
      </c>
      <c r="D988" s="32" t="e">
        <v>#N/A</v>
      </c>
      <c r="E988" s="39"/>
      <c r="F988" s="32" t="e">
        <v>#N/A</v>
      </c>
      <c r="G988" s="39"/>
      <c r="H988" s="32" t="e">
        <v>#N/A</v>
      </c>
      <c r="I988" s="39"/>
      <c r="J988" s="32">
        <v>0.0</v>
      </c>
      <c r="K988" s="33" t="e">
        <v>#N/A</v>
      </c>
      <c r="L988" s="32" t="e">
        <v>#N/A</v>
      </c>
      <c r="M988" s="32" t="e">
        <v>#N/A</v>
      </c>
      <c r="N988" s="32" t="e">
        <v>#N/A</v>
      </c>
      <c r="O988" s="32" t="s">
        <v>5158</v>
      </c>
      <c r="P988" s="32" t="e">
        <v>#REF!</v>
      </c>
      <c r="Q988" s="32" t="e">
        <v>#N/A</v>
      </c>
      <c r="R988" s="42" t="e">
        <v>#N/A</v>
      </c>
      <c r="S988" s="42" t="e">
        <v>#N/A</v>
      </c>
      <c r="T988" s="36">
        <v>0.0</v>
      </c>
      <c r="U988" s="36">
        <v>0.0</v>
      </c>
      <c r="V988" s="36">
        <v>0.0</v>
      </c>
      <c r="W988" s="36">
        <v>0.0</v>
      </c>
      <c r="X988" s="36">
        <v>0.0</v>
      </c>
      <c r="Y988" s="36">
        <v>0.0</v>
      </c>
    </row>
    <row r="989">
      <c r="A989" s="32" t="s">
        <v>3398</v>
      </c>
      <c r="B989" s="32" t="s">
        <v>3398</v>
      </c>
      <c r="C989" s="32">
        <v>0.0</v>
      </c>
      <c r="D989" s="32" t="e">
        <v>#N/A</v>
      </c>
      <c r="E989" s="39"/>
      <c r="F989" s="32" t="e">
        <v>#N/A</v>
      </c>
      <c r="G989" s="39"/>
      <c r="H989" s="32" t="e">
        <v>#N/A</v>
      </c>
      <c r="I989" s="39"/>
      <c r="J989" s="32">
        <v>0.0</v>
      </c>
      <c r="K989" s="33" t="e">
        <v>#N/A</v>
      </c>
      <c r="L989" s="32" t="e">
        <v>#N/A</v>
      </c>
      <c r="M989" s="32" t="e">
        <v>#N/A</v>
      </c>
      <c r="N989" s="32" t="e">
        <v>#N/A</v>
      </c>
      <c r="O989" s="32" t="s">
        <v>5158</v>
      </c>
      <c r="P989" s="32" t="e">
        <v>#REF!</v>
      </c>
      <c r="Q989" s="32" t="e">
        <v>#N/A</v>
      </c>
      <c r="R989" s="42" t="e">
        <v>#N/A</v>
      </c>
      <c r="S989" s="42" t="e">
        <v>#N/A</v>
      </c>
      <c r="T989" s="36">
        <v>0.0</v>
      </c>
      <c r="U989" s="36">
        <v>0.0</v>
      </c>
      <c r="V989" s="36">
        <v>0.0</v>
      </c>
      <c r="W989" s="36">
        <v>0.0</v>
      </c>
      <c r="X989" s="36">
        <v>0.0</v>
      </c>
      <c r="Y989" s="36">
        <v>0.0</v>
      </c>
    </row>
    <row r="990">
      <c r="A990" s="32" t="s">
        <v>2485</v>
      </c>
      <c r="B990" s="32" t="s">
        <v>2485</v>
      </c>
      <c r="C990" s="32">
        <v>0.0</v>
      </c>
      <c r="D990" s="32" t="e">
        <v>#N/A</v>
      </c>
      <c r="E990" s="39"/>
      <c r="F990" s="32" t="e">
        <v>#N/A</v>
      </c>
      <c r="G990" s="39"/>
      <c r="H990" s="32" t="e">
        <v>#N/A</v>
      </c>
      <c r="I990" s="39"/>
      <c r="J990" s="32">
        <v>0.0</v>
      </c>
      <c r="K990" s="33" t="e">
        <v>#N/A</v>
      </c>
      <c r="L990" s="32" t="e">
        <v>#N/A</v>
      </c>
      <c r="M990" s="32" t="e">
        <v>#N/A</v>
      </c>
      <c r="N990" s="32" t="e">
        <v>#N/A</v>
      </c>
      <c r="O990" s="32" t="s">
        <v>5158</v>
      </c>
      <c r="P990" s="32" t="e">
        <v>#REF!</v>
      </c>
      <c r="Q990" s="32" t="e">
        <v>#N/A</v>
      </c>
      <c r="R990" s="42" t="e">
        <v>#N/A</v>
      </c>
      <c r="S990" s="42" t="e">
        <v>#N/A</v>
      </c>
      <c r="T990" s="36">
        <v>0.0</v>
      </c>
      <c r="U990" s="36">
        <v>0.0</v>
      </c>
      <c r="V990" s="36">
        <v>0.0</v>
      </c>
      <c r="W990" s="36">
        <v>0.0</v>
      </c>
      <c r="X990" s="36">
        <v>0.0</v>
      </c>
      <c r="Y990" s="36">
        <v>0.0</v>
      </c>
    </row>
    <row r="991">
      <c r="A991" s="32" t="s">
        <v>3397</v>
      </c>
      <c r="B991" s="32" t="s">
        <v>3397</v>
      </c>
      <c r="C991" s="32">
        <v>0.0</v>
      </c>
      <c r="D991" s="32" t="e">
        <v>#N/A</v>
      </c>
      <c r="E991" s="39"/>
      <c r="F991" s="32" t="e">
        <v>#N/A</v>
      </c>
      <c r="G991" s="39"/>
      <c r="H991" s="32" t="e">
        <v>#N/A</v>
      </c>
      <c r="I991" s="39"/>
      <c r="J991" s="32">
        <v>0.0</v>
      </c>
      <c r="K991" s="33" t="e">
        <v>#N/A</v>
      </c>
      <c r="L991" s="32" t="e">
        <v>#N/A</v>
      </c>
      <c r="M991" s="32" t="e">
        <v>#N/A</v>
      </c>
      <c r="N991" s="32" t="e">
        <v>#N/A</v>
      </c>
      <c r="O991" s="32" t="s">
        <v>5158</v>
      </c>
      <c r="P991" s="32" t="e">
        <v>#REF!</v>
      </c>
      <c r="Q991" s="32" t="e">
        <v>#N/A</v>
      </c>
      <c r="R991" s="42" t="e">
        <v>#N/A</v>
      </c>
      <c r="S991" s="42" t="e">
        <v>#N/A</v>
      </c>
      <c r="T991" s="36">
        <v>0.0</v>
      </c>
      <c r="U991" s="36">
        <v>0.0</v>
      </c>
      <c r="V991" s="36">
        <v>0.0</v>
      </c>
      <c r="W991" s="36">
        <v>0.0</v>
      </c>
      <c r="X991" s="36">
        <v>0.0</v>
      </c>
      <c r="Y991" s="36">
        <v>0.0</v>
      </c>
    </row>
    <row r="992">
      <c r="A992" s="32" t="s">
        <v>4924</v>
      </c>
      <c r="B992" s="32" t="s">
        <v>4924</v>
      </c>
      <c r="C992" s="32" t="s">
        <v>4925</v>
      </c>
      <c r="D992" s="46" t="s">
        <v>5227</v>
      </c>
      <c r="E992" s="47" t="s">
        <v>5102</v>
      </c>
      <c r="F992" s="38"/>
      <c r="G992" s="38"/>
      <c r="H992" s="38"/>
      <c r="I992" s="38"/>
      <c r="J992" s="32" t="s">
        <v>4927</v>
      </c>
      <c r="K992" s="38"/>
      <c r="L992" s="38"/>
      <c r="M992" s="38"/>
      <c r="N992" s="32" t="s">
        <v>51</v>
      </c>
      <c r="O992" s="32" t="s">
        <v>52</v>
      </c>
      <c r="P992" s="32">
        <v>14989.0</v>
      </c>
      <c r="Q992" s="44">
        <v>12141.0</v>
      </c>
      <c r="R992" s="40">
        <v>12999.0</v>
      </c>
      <c r="S992" s="35">
        <v>11391.64</v>
      </c>
      <c r="T992" s="36">
        <v>0.0</v>
      </c>
      <c r="U992" s="36">
        <v>0.0</v>
      </c>
      <c r="V992" s="36">
        <v>0.0</v>
      </c>
      <c r="W992" s="36">
        <v>0.0</v>
      </c>
      <c r="X992" s="36">
        <v>0.0</v>
      </c>
      <c r="Y992" s="36">
        <v>0.0</v>
      </c>
    </row>
    <row r="993">
      <c r="A993" s="32" t="s">
        <v>783</v>
      </c>
      <c r="B993" s="32" t="s">
        <v>783</v>
      </c>
      <c r="C993" s="32" t="s">
        <v>784</v>
      </c>
      <c r="D993" s="32" t="s">
        <v>785</v>
      </c>
      <c r="E993" s="32" t="s">
        <v>5102</v>
      </c>
      <c r="F993" s="32" t="e">
        <v>#N/A</v>
      </c>
      <c r="G993" s="39"/>
      <c r="H993" s="32">
        <v>0.0</v>
      </c>
      <c r="I993" s="39"/>
      <c r="J993" s="32" t="s">
        <v>786</v>
      </c>
      <c r="K993" s="33" t="s">
        <v>787</v>
      </c>
      <c r="L993" s="32" t="e">
        <v>#N/A</v>
      </c>
      <c r="M993" s="32" t="e">
        <v>#REF!</v>
      </c>
      <c r="N993" s="32" t="s">
        <v>51</v>
      </c>
      <c r="O993" s="32" t="s">
        <v>52</v>
      </c>
      <c r="P993" s="32">
        <v>18049.0</v>
      </c>
      <c r="Q993" s="34">
        <v>14620.0</v>
      </c>
      <c r="R993" s="40">
        <v>15699.0</v>
      </c>
      <c r="S993" s="35">
        <v>13717.24</v>
      </c>
      <c r="T993" s="36">
        <v>0.0</v>
      </c>
      <c r="U993" s="36">
        <v>0.0</v>
      </c>
      <c r="V993" s="36">
        <v>0.0</v>
      </c>
      <c r="W993" s="36">
        <v>0.0</v>
      </c>
      <c r="X993" s="36">
        <v>0.0</v>
      </c>
      <c r="Y993" s="36">
        <v>0.0</v>
      </c>
    </row>
    <row r="994">
      <c r="A994" s="32" t="s">
        <v>699</v>
      </c>
      <c r="B994" s="32" t="s">
        <v>699</v>
      </c>
      <c r="C994" s="32" t="s">
        <v>700</v>
      </c>
      <c r="D994" s="32" t="s">
        <v>701</v>
      </c>
      <c r="E994" s="32" t="s">
        <v>5102</v>
      </c>
      <c r="F994" s="32" t="e">
        <v>#N/A</v>
      </c>
      <c r="G994" s="39"/>
      <c r="H994" s="32" t="s">
        <v>702</v>
      </c>
      <c r="I994" s="32" t="s">
        <v>5102</v>
      </c>
      <c r="J994" s="32" t="s">
        <v>703</v>
      </c>
      <c r="K994" s="33" t="s">
        <v>704</v>
      </c>
      <c r="L994" s="32">
        <v>3.2783964E7</v>
      </c>
      <c r="M994" s="32" t="e">
        <v>#REF!</v>
      </c>
      <c r="N994" s="32" t="s">
        <v>51</v>
      </c>
      <c r="O994" s="32" t="s">
        <v>52</v>
      </c>
      <c r="P994" s="32">
        <v>26499.0</v>
      </c>
      <c r="Q994" s="34">
        <v>21464.0</v>
      </c>
      <c r="R994" s="40">
        <v>23099.0</v>
      </c>
      <c r="S994" s="35">
        <v>20139.24</v>
      </c>
      <c r="T994" s="36">
        <v>0.0</v>
      </c>
      <c r="U994" s="36">
        <v>0.0</v>
      </c>
      <c r="V994" s="36">
        <v>0.0</v>
      </c>
      <c r="W994" s="36">
        <v>0.0</v>
      </c>
      <c r="X994" s="36">
        <v>0.0</v>
      </c>
      <c r="Y994" s="36">
        <v>0.0</v>
      </c>
    </row>
    <row r="995">
      <c r="A995" s="32" t="s">
        <v>757</v>
      </c>
      <c r="B995" s="32" t="s">
        <v>757</v>
      </c>
      <c r="C995" s="32" t="s">
        <v>758</v>
      </c>
      <c r="D995" s="32" t="s">
        <v>759</v>
      </c>
      <c r="E995" s="32" t="s">
        <v>5102</v>
      </c>
      <c r="F995" s="32" t="e">
        <v>#N/A</v>
      </c>
      <c r="G995" s="39"/>
      <c r="H995" s="32">
        <v>0.0</v>
      </c>
      <c r="I995" s="39"/>
      <c r="J995" s="32" t="s">
        <v>760</v>
      </c>
      <c r="K995" s="33" t="s">
        <v>761</v>
      </c>
      <c r="L995" s="32" t="e">
        <v>#N/A</v>
      </c>
      <c r="M995" s="50" t="s">
        <v>762</v>
      </c>
      <c r="N995" s="32" t="s">
        <v>51</v>
      </c>
      <c r="O995" s="32" t="s">
        <v>52</v>
      </c>
      <c r="P995" s="32">
        <v>14469.0</v>
      </c>
      <c r="Q995" s="34">
        <v>11720.0</v>
      </c>
      <c r="R995" s="40">
        <v>12599.0</v>
      </c>
      <c r="S995" s="35">
        <v>10996.44</v>
      </c>
      <c r="T995" s="36">
        <v>0.0</v>
      </c>
      <c r="U995" s="36">
        <v>0.0</v>
      </c>
      <c r="V995" s="36">
        <v>0.0</v>
      </c>
      <c r="W995" s="36">
        <v>0.0</v>
      </c>
      <c r="X995" s="36">
        <v>0.0</v>
      </c>
      <c r="Y995" s="36">
        <v>0.0</v>
      </c>
    </row>
    <row r="996">
      <c r="A996" s="32" t="s">
        <v>724</v>
      </c>
      <c r="B996" s="32" t="s">
        <v>724</v>
      </c>
      <c r="C996" s="32" t="s">
        <v>725</v>
      </c>
      <c r="D996" s="32" t="s">
        <v>726</v>
      </c>
      <c r="E996" s="32" t="s">
        <v>5102</v>
      </c>
      <c r="F996" s="32" t="e">
        <v>#N/A</v>
      </c>
      <c r="G996" s="39"/>
      <c r="H996" s="32">
        <v>0.0</v>
      </c>
      <c r="I996" s="39"/>
      <c r="J996" s="32" t="s">
        <v>727</v>
      </c>
      <c r="K996" s="33" t="s">
        <v>728</v>
      </c>
      <c r="L996" s="32" t="e">
        <v>#N/A</v>
      </c>
      <c r="M996" s="32" t="e">
        <v>#REF!</v>
      </c>
      <c r="N996" s="32" t="s">
        <v>51</v>
      </c>
      <c r="O996" s="32" t="s">
        <v>52</v>
      </c>
      <c r="P996" s="32">
        <v>18739.0</v>
      </c>
      <c r="Q996" s="34">
        <v>15179.0</v>
      </c>
      <c r="R996" s="40">
        <v>16299.0</v>
      </c>
      <c r="S996" s="35">
        <v>14241.64</v>
      </c>
      <c r="T996" s="36">
        <v>0.0</v>
      </c>
      <c r="U996" s="36">
        <v>0.0</v>
      </c>
      <c r="V996" s="36">
        <v>0.0</v>
      </c>
      <c r="W996" s="36">
        <v>0.0</v>
      </c>
      <c r="X996" s="36">
        <v>0.0</v>
      </c>
      <c r="Y996" s="36">
        <v>0.0</v>
      </c>
    </row>
    <row r="997">
      <c r="A997" s="32" t="s">
        <v>602</v>
      </c>
      <c r="B997" s="32" t="s">
        <v>602</v>
      </c>
      <c r="C997" s="32" t="s">
        <v>603</v>
      </c>
      <c r="D997" s="32" t="s">
        <v>604</v>
      </c>
      <c r="E997" s="32" t="s">
        <v>5102</v>
      </c>
      <c r="F997" s="32" t="e">
        <v>#N/A</v>
      </c>
      <c r="G997" s="39"/>
      <c r="H997" s="32" t="s">
        <v>605</v>
      </c>
      <c r="I997" s="32" t="s">
        <v>5102</v>
      </c>
      <c r="J997" s="32" t="s">
        <v>606</v>
      </c>
      <c r="K997" s="33" t="s">
        <v>607</v>
      </c>
      <c r="L997" s="32">
        <v>3.2783825E7</v>
      </c>
      <c r="M997" s="32" t="s">
        <v>608</v>
      </c>
      <c r="N997" s="32" t="s">
        <v>51</v>
      </c>
      <c r="O997" s="32" t="s">
        <v>52</v>
      </c>
      <c r="P997" s="32">
        <v>18999.0</v>
      </c>
      <c r="Q997" s="34">
        <v>15389.0</v>
      </c>
      <c r="R997" s="40">
        <v>16499.0</v>
      </c>
      <c r="S997" s="35">
        <v>14439.24</v>
      </c>
      <c r="T997" s="36">
        <v>0.0</v>
      </c>
      <c r="U997" s="36">
        <v>0.0</v>
      </c>
      <c r="V997" s="36">
        <v>0.0</v>
      </c>
      <c r="W997" s="36">
        <v>0.0</v>
      </c>
      <c r="X997" s="36">
        <v>0.0</v>
      </c>
      <c r="Y997" s="36">
        <v>0.0</v>
      </c>
    </row>
    <row r="998">
      <c r="A998" s="32" t="s">
        <v>652</v>
      </c>
      <c r="B998" s="32" t="s">
        <v>652</v>
      </c>
      <c r="C998" s="32" t="s">
        <v>653</v>
      </c>
      <c r="D998" s="32" t="s">
        <v>654</v>
      </c>
      <c r="E998" s="32" t="s">
        <v>5073</v>
      </c>
      <c r="F998" s="32" t="e">
        <v>#N/A</v>
      </c>
      <c r="G998" s="39"/>
      <c r="H998" s="32" t="s">
        <v>655</v>
      </c>
      <c r="I998" s="32" t="s">
        <v>5102</v>
      </c>
      <c r="J998" s="32" t="s">
        <v>656</v>
      </c>
      <c r="K998" s="33" t="s">
        <v>657</v>
      </c>
      <c r="L998" s="32">
        <v>3.2784174E7</v>
      </c>
      <c r="M998" s="32" t="s">
        <v>658</v>
      </c>
      <c r="N998" s="32" t="s">
        <v>51</v>
      </c>
      <c r="O998" s="32" t="s">
        <v>52</v>
      </c>
      <c r="P998" s="32">
        <v>21999.0</v>
      </c>
      <c r="Q998" s="34">
        <v>17819.0</v>
      </c>
      <c r="R998" s="40">
        <v>19099.0</v>
      </c>
      <c r="S998" s="35">
        <v>16719.24</v>
      </c>
      <c r="T998" s="36">
        <v>0.0</v>
      </c>
      <c r="U998" s="36">
        <v>0.0</v>
      </c>
      <c r="V998" s="36">
        <v>0.0</v>
      </c>
      <c r="W998" s="36">
        <v>0.0</v>
      </c>
      <c r="X998" s="36">
        <v>0.0</v>
      </c>
      <c r="Y998" s="36">
        <v>0.0</v>
      </c>
    </row>
    <row r="999">
      <c r="A999" s="32" t="s">
        <v>705</v>
      </c>
      <c r="B999" s="32" t="s">
        <v>705</v>
      </c>
      <c r="C999" s="32" t="s">
        <v>706</v>
      </c>
      <c r="D999" s="16" t="s">
        <v>707</v>
      </c>
      <c r="E999" s="32" t="s">
        <v>5110</v>
      </c>
      <c r="F999" s="32" t="e">
        <v>#N/A</v>
      </c>
      <c r="G999" s="32" t="e">
        <v>#N/A</v>
      </c>
      <c r="H999" s="32">
        <v>0.0</v>
      </c>
      <c r="I999" s="39"/>
      <c r="J999" s="32" t="s">
        <v>5184</v>
      </c>
      <c r="K999" s="33" t="s">
        <v>708</v>
      </c>
      <c r="L999" s="32">
        <v>3.2784172E7</v>
      </c>
      <c r="M999" s="32" t="e">
        <v>#N/A</v>
      </c>
      <c r="N999" s="32" t="s">
        <v>51</v>
      </c>
      <c r="O999" s="32" t="s">
        <v>52</v>
      </c>
      <c r="P999" s="32">
        <v>30999.0</v>
      </c>
      <c r="Q999" s="34">
        <v>25109.0</v>
      </c>
      <c r="R999" s="40">
        <v>26999.0</v>
      </c>
      <c r="S999" s="35">
        <v>23559.24</v>
      </c>
      <c r="T999" s="36">
        <v>0.0</v>
      </c>
      <c r="U999" s="36">
        <v>0.0</v>
      </c>
      <c r="V999" s="36">
        <v>0.0</v>
      </c>
      <c r="W999" s="36">
        <v>0.0</v>
      </c>
      <c r="X999" s="36">
        <v>0.0</v>
      </c>
      <c r="Y999" s="36">
        <v>0.0</v>
      </c>
    </row>
    <row r="1000">
      <c r="A1000" s="32" t="s">
        <v>763</v>
      </c>
      <c r="B1000" s="32" t="s">
        <v>763</v>
      </c>
      <c r="C1000" s="32" t="s">
        <v>764</v>
      </c>
      <c r="D1000" s="32" t="s">
        <v>765</v>
      </c>
      <c r="E1000" s="32" t="s">
        <v>5102</v>
      </c>
      <c r="F1000" s="32" t="e">
        <v>#N/A</v>
      </c>
      <c r="G1000" s="39"/>
      <c r="H1000" s="32">
        <v>0.0</v>
      </c>
      <c r="I1000" s="39"/>
      <c r="J1000" s="32" t="s">
        <v>766</v>
      </c>
      <c r="K1000" s="33" t="s">
        <v>767</v>
      </c>
      <c r="L1000" s="32" t="e">
        <v>#N/A</v>
      </c>
      <c r="M1000" s="32" t="e">
        <v>#N/A</v>
      </c>
      <c r="N1000" s="32" t="s">
        <v>51</v>
      </c>
      <c r="O1000" s="32" t="s">
        <v>52</v>
      </c>
      <c r="P1000" s="32">
        <v>16439.0</v>
      </c>
      <c r="Q1000" s="34">
        <v>13316.0</v>
      </c>
      <c r="R1000" s="40">
        <v>14299.0</v>
      </c>
      <c r="S1000" s="35">
        <v>12493.64</v>
      </c>
      <c r="T1000" s="36">
        <v>0.0</v>
      </c>
      <c r="U1000" s="36">
        <v>0.0</v>
      </c>
      <c r="V1000" s="36">
        <v>0.0</v>
      </c>
      <c r="W1000" s="36">
        <v>0.0</v>
      </c>
      <c r="X1000" s="36">
        <v>0.0</v>
      </c>
      <c r="Y1000" s="36">
        <v>0.0</v>
      </c>
    </row>
    <row r="1001">
      <c r="A1001" s="32" t="s">
        <v>729</v>
      </c>
      <c r="B1001" s="32" t="s">
        <v>729</v>
      </c>
      <c r="C1001" s="32" t="s">
        <v>730</v>
      </c>
      <c r="D1001" s="32" t="s">
        <v>731</v>
      </c>
      <c r="E1001" s="32" t="s">
        <v>5102</v>
      </c>
      <c r="F1001" s="32" t="e">
        <v>#N/A</v>
      </c>
      <c r="G1001" s="39"/>
      <c r="H1001" s="32">
        <v>0.0</v>
      </c>
      <c r="I1001" s="39"/>
      <c r="J1001" s="32" t="s">
        <v>732</v>
      </c>
      <c r="K1001" s="33" t="s">
        <v>733</v>
      </c>
      <c r="L1001" s="32" t="e">
        <v>#N/A</v>
      </c>
      <c r="M1001" s="32" t="e">
        <v>#N/A</v>
      </c>
      <c r="N1001" s="32" t="s">
        <v>51</v>
      </c>
      <c r="O1001" s="32" t="s">
        <v>52</v>
      </c>
      <c r="P1001" s="32">
        <v>19439.0</v>
      </c>
      <c r="Q1001" s="34">
        <v>15746.0</v>
      </c>
      <c r="R1001" s="40">
        <v>16899.0</v>
      </c>
      <c r="S1001" s="35">
        <v>14773.64</v>
      </c>
      <c r="T1001" s="36">
        <v>0.0</v>
      </c>
      <c r="U1001" s="36">
        <v>0.0</v>
      </c>
      <c r="V1001" s="36">
        <v>0.0</v>
      </c>
      <c r="W1001" s="36">
        <v>0.0</v>
      </c>
      <c r="X1001" s="36">
        <v>0.0</v>
      </c>
      <c r="Y1001" s="36">
        <v>0.0</v>
      </c>
    </row>
    <row r="1002">
      <c r="A1002" s="32" t="s">
        <v>609</v>
      </c>
      <c r="B1002" s="32" t="s">
        <v>609</v>
      </c>
      <c r="C1002" s="32" t="s">
        <v>610</v>
      </c>
      <c r="D1002" s="32" t="s">
        <v>611</v>
      </c>
      <c r="E1002" s="32" t="s">
        <v>5102</v>
      </c>
      <c r="F1002" s="32" t="e">
        <v>#N/A</v>
      </c>
      <c r="G1002" s="39"/>
      <c r="H1002" s="32" t="s">
        <v>5185</v>
      </c>
      <c r="I1002" s="32" t="s">
        <v>5102</v>
      </c>
      <c r="J1002" s="32" t="s">
        <v>612</v>
      </c>
      <c r="K1002" s="33" t="s">
        <v>613</v>
      </c>
      <c r="L1002" s="32">
        <v>3.2784113E7</v>
      </c>
      <c r="M1002" s="32" t="e">
        <v>#N/A</v>
      </c>
      <c r="N1002" s="32" t="s">
        <v>51</v>
      </c>
      <c r="O1002" s="32" t="s">
        <v>52</v>
      </c>
      <c r="P1002" s="32">
        <v>22999.0</v>
      </c>
      <c r="Q1002" s="34">
        <v>18629.0</v>
      </c>
      <c r="R1002" s="40">
        <v>19999.0</v>
      </c>
      <c r="S1002" s="35">
        <v>17479.24</v>
      </c>
      <c r="T1002" s="36">
        <v>0.0</v>
      </c>
      <c r="U1002" s="36">
        <v>0.0</v>
      </c>
      <c r="V1002" s="36">
        <v>0.0</v>
      </c>
      <c r="W1002" s="36">
        <v>0.0</v>
      </c>
      <c r="X1002" s="36">
        <v>0.0</v>
      </c>
      <c r="Y1002" s="36">
        <v>0.0</v>
      </c>
    </row>
    <row r="1003">
      <c r="A1003" s="32" t="s">
        <v>659</v>
      </c>
      <c r="B1003" s="32" t="s">
        <v>659</v>
      </c>
      <c r="C1003" s="32" t="s">
        <v>660</v>
      </c>
      <c r="D1003" s="32" t="s">
        <v>661</v>
      </c>
      <c r="E1003" s="32" t="s">
        <v>5102</v>
      </c>
      <c r="F1003" s="32" t="e">
        <v>#N/A</v>
      </c>
      <c r="G1003" s="39"/>
      <c r="H1003" s="51" t="s">
        <v>5186</v>
      </c>
      <c r="I1003" s="32" t="s">
        <v>5102</v>
      </c>
      <c r="J1003" s="32" t="s">
        <v>5187</v>
      </c>
      <c r="K1003" s="33" t="s">
        <v>662</v>
      </c>
      <c r="L1003" s="32">
        <v>3.2784198E7</v>
      </c>
      <c r="M1003" s="32" t="e">
        <v>#N/A</v>
      </c>
      <c r="N1003" s="32" t="s">
        <v>51</v>
      </c>
      <c r="O1003" s="32" t="s">
        <v>52</v>
      </c>
      <c r="P1003" s="32">
        <v>25999.0</v>
      </c>
      <c r="Q1003" s="34">
        <v>21059.0</v>
      </c>
      <c r="R1003" s="40">
        <v>22599.0</v>
      </c>
      <c r="S1003" s="35">
        <v>19759.24</v>
      </c>
      <c r="T1003" s="36">
        <v>0.0</v>
      </c>
      <c r="U1003" s="36">
        <v>0.0</v>
      </c>
      <c r="V1003" s="36">
        <v>0.0</v>
      </c>
      <c r="W1003" s="36">
        <v>0.0</v>
      </c>
      <c r="X1003" s="36">
        <v>0.0</v>
      </c>
      <c r="Y1003" s="36">
        <v>0.0</v>
      </c>
    </row>
    <row r="1004">
      <c r="A1004" s="32" t="s">
        <v>2511</v>
      </c>
      <c r="B1004" s="32" t="s">
        <v>2511</v>
      </c>
      <c r="C1004" s="32">
        <v>0.0</v>
      </c>
      <c r="D1004" s="32" t="e">
        <v>#N/A</v>
      </c>
      <c r="E1004" s="39"/>
      <c r="F1004" s="32" t="e">
        <v>#N/A</v>
      </c>
      <c r="G1004" s="39"/>
      <c r="H1004" s="32" t="e">
        <v>#N/A</v>
      </c>
      <c r="I1004" s="39"/>
      <c r="J1004" s="32">
        <v>0.0</v>
      </c>
      <c r="K1004" s="33" t="e">
        <v>#N/A</v>
      </c>
      <c r="L1004" s="32" t="e">
        <v>#N/A</v>
      </c>
      <c r="M1004" s="32" t="e">
        <v>#N/A</v>
      </c>
      <c r="N1004" s="32" t="e">
        <v>#N/A</v>
      </c>
      <c r="O1004" s="32" t="e">
        <v>#N/A</v>
      </c>
      <c r="P1004" s="32" t="e">
        <v>#REF!</v>
      </c>
      <c r="Q1004" s="32" t="e">
        <v>#N/A</v>
      </c>
      <c r="R1004" s="42" t="e">
        <v>#N/A</v>
      </c>
      <c r="S1004" s="42" t="e">
        <v>#N/A</v>
      </c>
      <c r="T1004" s="36">
        <v>0.0</v>
      </c>
      <c r="U1004" s="36">
        <v>0.0</v>
      </c>
      <c r="V1004" s="36">
        <v>0.0</v>
      </c>
      <c r="W1004" s="36">
        <v>0.0</v>
      </c>
      <c r="X1004" s="36">
        <v>0.0</v>
      </c>
      <c r="Y1004" s="36">
        <v>0.0</v>
      </c>
    </row>
    <row r="1005">
      <c r="A1005" s="32" t="s">
        <v>2508</v>
      </c>
      <c r="B1005" s="32" t="s">
        <v>2508</v>
      </c>
      <c r="C1005" s="32">
        <v>0.0</v>
      </c>
      <c r="D1005" s="32" t="e">
        <v>#N/A</v>
      </c>
      <c r="E1005" s="39"/>
      <c r="F1005" s="32" t="e">
        <v>#N/A</v>
      </c>
      <c r="G1005" s="39"/>
      <c r="H1005" s="32" t="e">
        <v>#N/A</v>
      </c>
      <c r="I1005" s="39"/>
      <c r="J1005" s="32">
        <v>0.0</v>
      </c>
      <c r="K1005" s="33" t="e">
        <v>#N/A</v>
      </c>
      <c r="L1005" s="32" t="e">
        <v>#N/A</v>
      </c>
      <c r="M1005" s="32" t="e">
        <v>#N/A</v>
      </c>
      <c r="N1005" s="32" t="e">
        <v>#N/A</v>
      </c>
      <c r="O1005" s="32" t="e">
        <v>#N/A</v>
      </c>
      <c r="P1005" s="32" t="e">
        <v>#REF!</v>
      </c>
      <c r="Q1005" s="32" t="e">
        <v>#N/A</v>
      </c>
      <c r="R1005" s="42" t="e">
        <v>#N/A</v>
      </c>
      <c r="S1005" s="42" t="e">
        <v>#N/A</v>
      </c>
      <c r="T1005" s="36">
        <v>0.0</v>
      </c>
      <c r="U1005" s="36">
        <v>0.0</v>
      </c>
      <c r="V1005" s="36">
        <v>0.0</v>
      </c>
      <c r="W1005" s="36">
        <v>0.0</v>
      </c>
      <c r="X1005" s="36">
        <v>0.0</v>
      </c>
      <c r="Y1005" s="36">
        <v>0.0</v>
      </c>
    </row>
    <row r="1006">
      <c r="A1006" s="32" t="s">
        <v>2512</v>
      </c>
      <c r="B1006" s="32" t="s">
        <v>2512</v>
      </c>
      <c r="C1006" s="32">
        <v>0.0</v>
      </c>
      <c r="D1006" s="32" t="e">
        <v>#N/A</v>
      </c>
      <c r="E1006" s="39"/>
      <c r="F1006" s="32" t="e">
        <v>#N/A</v>
      </c>
      <c r="G1006" s="39"/>
      <c r="H1006" s="32" t="e">
        <v>#N/A</v>
      </c>
      <c r="I1006" s="39"/>
      <c r="J1006" s="32">
        <v>0.0</v>
      </c>
      <c r="K1006" s="33" t="e">
        <v>#N/A</v>
      </c>
      <c r="L1006" s="32" t="e">
        <v>#N/A</v>
      </c>
      <c r="M1006" s="32" t="e">
        <v>#N/A</v>
      </c>
      <c r="N1006" s="32" t="e">
        <v>#N/A</v>
      </c>
      <c r="O1006" s="32" t="e">
        <v>#N/A</v>
      </c>
      <c r="P1006" s="32" t="e">
        <v>#REF!</v>
      </c>
      <c r="Q1006" s="32" t="e">
        <v>#N/A</v>
      </c>
      <c r="R1006" s="42" t="e">
        <v>#N/A</v>
      </c>
      <c r="S1006" s="42" t="e">
        <v>#N/A</v>
      </c>
      <c r="T1006" s="36">
        <v>0.0</v>
      </c>
      <c r="U1006" s="36">
        <v>0.0</v>
      </c>
      <c r="V1006" s="36">
        <v>0.0</v>
      </c>
      <c r="W1006" s="36">
        <v>0.0</v>
      </c>
      <c r="X1006" s="36">
        <v>0.0</v>
      </c>
      <c r="Y1006" s="36">
        <v>0.0</v>
      </c>
    </row>
    <row r="1007">
      <c r="A1007" s="32" t="s">
        <v>2509</v>
      </c>
      <c r="B1007" s="32" t="s">
        <v>2509</v>
      </c>
      <c r="C1007" s="32">
        <v>0.0</v>
      </c>
      <c r="D1007" s="32" t="e">
        <v>#N/A</v>
      </c>
      <c r="E1007" s="39"/>
      <c r="F1007" s="32" t="e">
        <v>#N/A</v>
      </c>
      <c r="G1007" s="39"/>
      <c r="H1007" s="32" t="e">
        <v>#N/A</v>
      </c>
      <c r="I1007" s="39"/>
      <c r="J1007" s="32">
        <v>0.0</v>
      </c>
      <c r="K1007" s="33" t="e">
        <v>#N/A</v>
      </c>
      <c r="L1007" s="32" t="e">
        <v>#N/A</v>
      </c>
      <c r="M1007" s="32" t="e">
        <v>#N/A</v>
      </c>
      <c r="N1007" s="32" t="e">
        <v>#N/A</v>
      </c>
      <c r="O1007" s="32" t="e">
        <v>#N/A</v>
      </c>
      <c r="P1007" s="32" t="e">
        <v>#REF!</v>
      </c>
      <c r="Q1007" s="32" t="e">
        <v>#N/A</v>
      </c>
      <c r="R1007" s="42" t="e">
        <v>#N/A</v>
      </c>
      <c r="S1007" s="42" t="e">
        <v>#N/A</v>
      </c>
      <c r="T1007" s="36">
        <v>0.0</v>
      </c>
      <c r="U1007" s="36">
        <v>0.0</v>
      </c>
      <c r="V1007" s="36">
        <v>0.0</v>
      </c>
      <c r="W1007" s="36">
        <v>0.0</v>
      </c>
      <c r="X1007" s="36">
        <v>0.0</v>
      </c>
      <c r="Y1007" s="36">
        <v>0.0</v>
      </c>
    </row>
    <row r="1008">
      <c r="A1008" s="32" t="s">
        <v>2513</v>
      </c>
      <c r="B1008" s="32" t="s">
        <v>2513</v>
      </c>
      <c r="C1008" s="32">
        <v>0.0</v>
      </c>
      <c r="D1008" s="32" t="e">
        <v>#N/A</v>
      </c>
      <c r="E1008" s="39"/>
      <c r="F1008" s="32" t="e">
        <v>#N/A</v>
      </c>
      <c r="G1008" s="39"/>
      <c r="H1008" s="32" t="e">
        <v>#N/A</v>
      </c>
      <c r="I1008" s="39"/>
      <c r="J1008" s="32">
        <v>0.0</v>
      </c>
      <c r="K1008" s="33" t="e">
        <v>#N/A</v>
      </c>
      <c r="L1008" s="32" t="e">
        <v>#N/A</v>
      </c>
      <c r="M1008" s="32" t="e">
        <v>#N/A</v>
      </c>
      <c r="N1008" s="32" t="e">
        <v>#N/A</v>
      </c>
      <c r="O1008" s="32" t="e">
        <v>#N/A</v>
      </c>
      <c r="P1008" s="32" t="e">
        <v>#REF!</v>
      </c>
      <c r="Q1008" s="32" t="e">
        <v>#N/A</v>
      </c>
      <c r="R1008" s="42" t="e">
        <v>#N/A</v>
      </c>
      <c r="S1008" s="42" t="e">
        <v>#N/A</v>
      </c>
      <c r="T1008" s="36">
        <v>0.0</v>
      </c>
      <c r="U1008" s="36">
        <v>0.0</v>
      </c>
      <c r="V1008" s="36">
        <v>0.0</v>
      </c>
      <c r="W1008" s="36">
        <v>0.0</v>
      </c>
      <c r="X1008" s="36">
        <v>0.0</v>
      </c>
      <c r="Y1008" s="36">
        <v>0.0</v>
      </c>
    </row>
    <row r="1009">
      <c r="A1009" s="32" t="s">
        <v>2510</v>
      </c>
      <c r="B1009" s="32" t="s">
        <v>2510</v>
      </c>
      <c r="C1009" s="32">
        <v>0.0</v>
      </c>
      <c r="D1009" s="32" t="e">
        <v>#N/A</v>
      </c>
      <c r="E1009" s="39"/>
      <c r="F1009" s="32" t="e">
        <v>#N/A</v>
      </c>
      <c r="G1009" s="39"/>
      <c r="H1009" s="32" t="e">
        <v>#N/A</v>
      </c>
      <c r="I1009" s="39"/>
      <c r="J1009" s="32">
        <v>0.0</v>
      </c>
      <c r="K1009" s="33" t="e">
        <v>#N/A</v>
      </c>
      <c r="L1009" s="32" t="e">
        <v>#N/A</v>
      </c>
      <c r="M1009" s="32" t="e">
        <v>#N/A</v>
      </c>
      <c r="N1009" s="32" t="e">
        <v>#N/A</v>
      </c>
      <c r="O1009" s="32" t="e">
        <v>#N/A</v>
      </c>
      <c r="P1009" s="32" t="e">
        <v>#REF!</v>
      </c>
      <c r="Q1009" s="32" t="e">
        <v>#N/A</v>
      </c>
      <c r="R1009" s="42" t="e">
        <v>#N/A</v>
      </c>
      <c r="S1009" s="42" t="e">
        <v>#N/A</v>
      </c>
      <c r="T1009" s="36">
        <v>0.0</v>
      </c>
      <c r="U1009" s="36">
        <v>0.0</v>
      </c>
      <c r="V1009" s="36">
        <v>0.0</v>
      </c>
      <c r="W1009" s="36">
        <v>0.0</v>
      </c>
      <c r="X1009" s="36">
        <v>0.0</v>
      </c>
      <c r="Y1009" s="36">
        <v>0.0</v>
      </c>
    </row>
    <row r="1010">
      <c r="A1010" s="32" t="s">
        <v>2524</v>
      </c>
      <c r="B1010" s="32" t="s">
        <v>2524</v>
      </c>
      <c r="C1010" s="32">
        <v>0.0</v>
      </c>
      <c r="D1010" s="32" t="e">
        <v>#N/A</v>
      </c>
      <c r="E1010" s="39"/>
      <c r="F1010" s="32" t="e">
        <v>#N/A</v>
      </c>
      <c r="G1010" s="39"/>
      <c r="H1010" s="32" t="e">
        <v>#N/A</v>
      </c>
      <c r="I1010" s="39"/>
      <c r="J1010" s="32">
        <v>0.0</v>
      </c>
      <c r="K1010" s="33" t="e">
        <v>#N/A</v>
      </c>
      <c r="L1010" s="32" t="e">
        <v>#N/A</v>
      </c>
      <c r="M1010" s="32" t="e">
        <v>#N/A</v>
      </c>
      <c r="N1010" s="32" t="e">
        <v>#N/A</v>
      </c>
      <c r="O1010" s="32" t="e">
        <v>#N/A</v>
      </c>
      <c r="P1010" s="32" t="e">
        <v>#REF!</v>
      </c>
      <c r="Q1010" s="32" t="e">
        <v>#N/A</v>
      </c>
      <c r="R1010" s="42" t="e">
        <v>#N/A</v>
      </c>
      <c r="S1010" s="42" t="e">
        <v>#N/A</v>
      </c>
      <c r="T1010" s="36">
        <v>0.0</v>
      </c>
      <c r="U1010" s="36">
        <v>0.0</v>
      </c>
      <c r="V1010" s="36">
        <v>0.0</v>
      </c>
      <c r="W1010" s="36">
        <v>0.0</v>
      </c>
      <c r="X1010" s="36">
        <v>0.0</v>
      </c>
      <c r="Y1010" s="36">
        <v>0.0</v>
      </c>
    </row>
    <row r="1011">
      <c r="A1011" s="32" t="s">
        <v>2520</v>
      </c>
      <c r="B1011" s="32" t="s">
        <v>2520</v>
      </c>
      <c r="C1011" s="32">
        <v>0.0</v>
      </c>
      <c r="D1011" s="32" t="e">
        <v>#N/A</v>
      </c>
      <c r="E1011" s="39"/>
      <c r="F1011" s="32" t="e">
        <v>#N/A</v>
      </c>
      <c r="G1011" s="39"/>
      <c r="H1011" s="32" t="e">
        <v>#N/A</v>
      </c>
      <c r="I1011" s="39"/>
      <c r="J1011" s="32">
        <v>0.0</v>
      </c>
      <c r="K1011" s="33" t="e">
        <v>#N/A</v>
      </c>
      <c r="L1011" s="32" t="e">
        <v>#N/A</v>
      </c>
      <c r="M1011" s="32" t="e">
        <v>#N/A</v>
      </c>
      <c r="N1011" s="32" t="e">
        <v>#N/A</v>
      </c>
      <c r="O1011" s="32" t="e">
        <v>#N/A</v>
      </c>
      <c r="P1011" s="32" t="e">
        <v>#REF!</v>
      </c>
      <c r="Q1011" s="32" t="e">
        <v>#N/A</v>
      </c>
      <c r="R1011" s="42" t="e">
        <v>#N/A</v>
      </c>
      <c r="S1011" s="42" t="e">
        <v>#N/A</v>
      </c>
      <c r="T1011" s="36">
        <v>0.0</v>
      </c>
      <c r="U1011" s="36">
        <v>0.0</v>
      </c>
      <c r="V1011" s="36">
        <v>0.0</v>
      </c>
      <c r="W1011" s="36">
        <v>0.0</v>
      </c>
      <c r="X1011" s="36">
        <v>0.0</v>
      </c>
      <c r="Y1011" s="36">
        <v>0.0</v>
      </c>
    </row>
    <row r="1012">
      <c r="A1012" s="32" t="s">
        <v>2525</v>
      </c>
      <c r="B1012" s="32" t="s">
        <v>2525</v>
      </c>
      <c r="C1012" s="32">
        <v>0.0</v>
      </c>
      <c r="D1012" s="32" t="e">
        <v>#N/A</v>
      </c>
      <c r="E1012" s="39"/>
      <c r="F1012" s="32" t="e">
        <v>#N/A</v>
      </c>
      <c r="G1012" s="39"/>
      <c r="H1012" s="32" t="e">
        <v>#N/A</v>
      </c>
      <c r="I1012" s="39"/>
      <c r="J1012" s="32">
        <v>0.0</v>
      </c>
      <c r="K1012" s="33" t="e">
        <v>#N/A</v>
      </c>
      <c r="L1012" s="32" t="e">
        <v>#N/A</v>
      </c>
      <c r="M1012" s="32" t="e">
        <v>#N/A</v>
      </c>
      <c r="N1012" s="32" t="e">
        <v>#N/A</v>
      </c>
      <c r="O1012" s="32" t="e">
        <v>#N/A</v>
      </c>
      <c r="P1012" s="32" t="e">
        <v>#REF!</v>
      </c>
      <c r="Q1012" s="32" t="e">
        <v>#N/A</v>
      </c>
      <c r="R1012" s="42" t="e">
        <v>#N/A</v>
      </c>
      <c r="S1012" s="42" t="e">
        <v>#N/A</v>
      </c>
      <c r="T1012" s="36">
        <v>0.0</v>
      </c>
      <c r="U1012" s="36">
        <v>0.0</v>
      </c>
      <c r="V1012" s="36">
        <v>0.0</v>
      </c>
      <c r="W1012" s="36">
        <v>0.0</v>
      </c>
      <c r="X1012" s="36">
        <v>0.0</v>
      </c>
      <c r="Y1012" s="36">
        <v>0.0</v>
      </c>
    </row>
    <row r="1013">
      <c r="A1013" s="32" t="s">
        <v>2521</v>
      </c>
      <c r="B1013" s="32" t="s">
        <v>2521</v>
      </c>
      <c r="C1013" s="32">
        <v>0.0</v>
      </c>
      <c r="D1013" s="32" t="e">
        <v>#N/A</v>
      </c>
      <c r="E1013" s="39"/>
      <c r="F1013" s="32" t="e">
        <v>#N/A</v>
      </c>
      <c r="G1013" s="39"/>
      <c r="H1013" s="32" t="e">
        <v>#N/A</v>
      </c>
      <c r="I1013" s="39"/>
      <c r="J1013" s="32">
        <v>0.0</v>
      </c>
      <c r="K1013" s="33" t="e">
        <v>#N/A</v>
      </c>
      <c r="L1013" s="32" t="e">
        <v>#N/A</v>
      </c>
      <c r="M1013" s="32" t="e">
        <v>#N/A</v>
      </c>
      <c r="N1013" s="32" t="e">
        <v>#N/A</v>
      </c>
      <c r="O1013" s="32" t="e">
        <v>#N/A</v>
      </c>
      <c r="P1013" s="32" t="e">
        <v>#REF!</v>
      </c>
      <c r="Q1013" s="32" t="e">
        <v>#N/A</v>
      </c>
      <c r="R1013" s="42" t="e">
        <v>#N/A</v>
      </c>
      <c r="S1013" s="42" t="e">
        <v>#N/A</v>
      </c>
      <c r="T1013" s="36">
        <v>0.0</v>
      </c>
      <c r="U1013" s="36">
        <v>0.0</v>
      </c>
      <c r="V1013" s="36">
        <v>0.0</v>
      </c>
      <c r="W1013" s="36">
        <v>0.0</v>
      </c>
      <c r="X1013" s="36">
        <v>0.0</v>
      </c>
      <c r="Y1013" s="36">
        <v>0.0</v>
      </c>
    </row>
    <row r="1014">
      <c r="A1014" s="32" t="s">
        <v>2526</v>
      </c>
      <c r="B1014" s="32" t="s">
        <v>2526</v>
      </c>
      <c r="C1014" s="32">
        <v>0.0</v>
      </c>
      <c r="D1014" s="32" t="e">
        <v>#N/A</v>
      </c>
      <c r="E1014" s="39"/>
      <c r="F1014" s="32" t="e">
        <v>#N/A</v>
      </c>
      <c r="G1014" s="39"/>
      <c r="H1014" s="32" t="e">
        <v>#N/A</v>
      </c>
      <c r="I1014" s="39"/>
      <c r="J1014" s="32">
        <v>0.0</v>
      </c>
      <c r="K1014" s="33" t="e">
        <v>#N/A</v>
      </c>
      <c r="L1014" s="32" t="e">
        <v>#N/A</v>
      </c>
      <c r="M1014" s="32" t="e">
        <v>#N/A</v>
      </c>
      <c r="N1014" s="32" t="e">
        <v>#N/A</v>
      </c>
      <c r="O1014" s="32" t="e">
        <v>#N/A</v>
      </c>
      <c r="P1014" s="32" t="e">
        <v>#REF!</v>
      </c>
      <c r="Q1014" s="32" t="e">
        <v>#N/A</v>
      </c>
      <c r="R1014" s="42" t="e">
        <v>#N/A</v>
      </c>
      <c r="S1014" s="42" t="e">
        <v>#N/A</v>
      </c>
      <c r="T1014" s="36">
        <v>0.0</v>
      </c>
      <c r="U1014" s="36">
        <v>0.0</v>
      </c>
      <c r="V1014" s="36">
        <v>0.0</v>
      </c>
      <c r="W1014" s="36">
        <v>0.0</v>
      </c>
      <c r="X1014" s="36">
        <v>0.0</v>
      </c>
      <c r="Y1014" s="36">
        <v>0.0</v>
      </c>
    </row>
    <row r="1015">
      <c r="A1015" s="32" t="s">
        <v>2522</v>
      </c>
      <c r="B1015" s="32" t="s">
        <v>2522</v>
      </c>
      <c r="C1015" s="32">
        <v>0.0</v>
      </c>
      <c r="D1015" s="32" t="e">
        <v>#N/A</v>
      </c>
      <c r="E1015" s="39"/>
      <c r="F1015" s="32" t="e">
        <v>#N/A</v>
      </c>
      <c r="G1015" s="39"/>
      <c r="H1015" s="32" t="e">
        <v>#N/A</v>
      </c>
      <c r="I1015" s="39"/>
      <c r="J1015" s="32">
        <v>0.0</v>
      </c>
      <c r="K1015" s="33" t="e">
        <v>#N/A</v>
      </c>
      <c r="L1015" s="32" t="e">
        <v>#N/A</v>
      </c>
      <c r="M1015" s="32" t="e">
        <v>#N/A</v>
      </c>
      <c r="N1015" s="32" t="e">
        <v>#N/A</v>
      </c>
      <c r="O1015" s="32" t="e">
        <v>#N/A</v>
      </c>
      <c r="P1015" s="32" t="e">
        <v>#REF!</v>
      </c>
      <c r="Q1015" s="32" t="e">
        <v>#N/A</v>
      </c>
      <c r="R1015" s="42" t="e">
        <v>#N/A</v>
      </c>
      <c r="S1015" s="42" t="e">
        <v>#N/A</v>
      </c>
      <c r="T1015" s="36">
        <v>0.0</v>
      </c>
      <c r="U1015" s="36">
        <v>0.0</v>
      </c>
      <c r="V1015" s="36">
        <v>0.0</v>
      </c>
      <c r="W1015" s="36">
        <v>0.0</v>
      </c>
      <c r="X1015" s="36">
        <v>0.0</v>
      </c>
      <c r="Y1015" s="36">
        <v>0.0</v>
      </c>
    </row>
    <row r="1016">
      <c r="A1016" s="32" t="s">
        <v>2523</v>
      </c>
      <c r="B1016" s="32" t="s">
        <v>2523</v>
      </c>
      <c r="C1016" s="32">
        <v>0.0</v>
      </c>
      <c r="D1016" s="32" t="e">
        <v>#N/A</v>
      </c>
      <c r="E1016" s="39"/>
      <c r="F1016" s="32" t="e">
        <v>#N/A</v>
      </c>
      <c r="G1016" s="39"/>
      <c r="H1016" s="32" t="e">
        <v>#N/A</v>
      </c>
      <c r="I1016" s="39"/>
      <c r="J1016" s="32">
        <v>0.0</v>
      </c>
      <c r="K1016" s="33" t="e">
        <v>#N/A</v>
      </c>
      <c r="L1016" s="32" t="e">
        <v>#N/A</v>
      </c>
      <c r="M1016" s="32" t="e">
        <v>#N/A</v>
      </c>
      <c r="N1016" s="32" t="e">
        <v>#N/A</v>
      </c>
      <c r="O1016" s="32" t="e">
        <v>#N/A</v>
      </c>
      <c r="P1016" s="32" t="e">
        <v>#REF!</v>
      </c>
      <c r="Q1016" s="32" t="e">
        <v>#N/A</v>
      </c>
      <c r="R1016" s="42" t="e">
        <v>#N/A</v>
      </c>
      <c r="S1016" s="42" t="e">
        <v>#N/A</v>
      </c>
      <c r="T1016" s="36">
        <v>0.0</v>
      </c>
      <c r="U1016" s="36">
        <v>0.0</v>
      </c>
      <c r="V1016" s="36">
        <v>0.0</v>
      </c>
      <c r="W1016" s="36">
        <v>0.0</v>
      </c>
      <c r="X1016" s="36">
        <v>0.0</v>
      </c>
      <c r="Y1016" s="36">
        <v>0.0</v>
      </c>
    </row>
    <row r="1017">
      <c r="A1017" s="32" t="s">
        <v>2517</v>
      </c>
      <c r="B1017" s="32" t="s">
        <v>2517</v>
      </c>
      <c r="C1017" s="32">
        <v>0.0</v>
      </c>
      <c r="D1017" s="32" t="e">
        <v>#N/A</v>
      </c>
      <c r="E1017" s="39"/>
      <c r="F1017" s="32" t="e">
        <v>#N/A</v>
      </c>
      <c r="G1017" s="39"/>
      <c r="H1017" s="32" t="e">
        <v>#N/A</v>
      </c>
      <c r="I1017" s="39"/>
      <c r="J1017" s="32">
        <v>0.0</v>
      </c>
      <c r="K1017" s="33" t="e">
        <v>#N/A</v>
      </c>
      <c r="L1017" s="32" t="e">
        <v>#N/A</v>
      </c>
      <c r="M1017" s="32" t="e">
        <v>#N/A</v>
      </c>
      <c r="N1017" s="32" t="e">
        <v>#N/A</v>
      </c>
      <c r="O1017" s="32" t="e">
        <v>#N/A</v>
      </c>
      <c r="P1017" s="32" t="e">
        <v>#REF!</v>
      </c>
      <c r="Q1017" s="32" t="e">
        <v>#N/A</v>
      </c>
      <c r="R1017" s="42" t="e">
        <v>#N/A</v>
      </c>
      <c r="S1017" s="42" t="e">
        <v>#N/A</v>
      </c>
      <c r="T1017" s="36">
        <v>0.0</v>
      </c>
      <c r="U1017" s="36">
        <v>0.0</v>
      </c>
      <c r="V1017" s="36">
        <v>0.0</v>
      </c>
      <c r="W1017" s="36">
        <v>0.0</v>
      </c>
      <c r="X1017" s="36">
        <v>0.0</v>
      </c>
      <c r="Y1017" s="36">
        <v>0.0</v>
      </c>
    </row>
    <row r="1018">
      <c r="A1018" s="32" t="s">
        <v>2514</v>
      </c>
      <c r="B1018" s="32" t="s">
        <v>2514</v>
      </c>
      <c r="C1018" s="32">
        <v>0.0</v>
      </c>
      <c r="D1018" s="32" t="e">
        <v>#N/A</v>
      </c>
      <c r="E1018" s="39"/>
      <c r="F1018" s="32" t="e">
        <v>#N/A</v>
      </c>
      <c r="G1018" s="39"/>
      <c r="H1018" s="32" t="e">
        <v>#N/A</v>
      </c>
      <c r="I1018" s="39"/>
      <c r="J1018" s="32">
        <v>0.0</v>
      </c>
      <c r="K1018" s="33" t="e">
        <v>#N/A</v>
      </c>
      <c r="L1018" s="32" t="e">
        <v>#N/A</v>
      </c>
      <c r="M1018" s="32" t="e">
        <v>#N/A</v>
      </c>
      <c r="N1018" s="32" t="e">
        <v>#N/A</v>
      </c>
      <c r="O1018" s="32" t="e">
        <v>#N/A</v>
      </c>
      <c r="P1018" s="32" t="e">
        <v>#REF!</v>
      </c>
      <c r="Q1018" s="32" t="e">
        <v>#N/A</v>
      </c>
      <c r="R1018" s="42" t="e">
        <v>#N/A</v>
      </c>
      <c r="S1018" s="42" t="e">
        <v>#N/A</v>
      </c>
      <c r="T1018" s="36">
        <v>0.0</v>
      </c>
      <c r="U1018" s="36">
        <v>0.0</v>
      </c>
      <c r="V1018" s="36">
        <v>0.0</v>
      </c>
      <c r="W1018" s="36">
        <v>0.0</v>
      </c>
      <c r="X1018" s="36">
        <v>0.0</v>
      </c>
      <c r="Y1018" s="36">
        <v>0.0</v>
      </c>
    </row>
    <row r="1019">
      <c r="A1019" s="32" t="s">
        <v>2518</v>
      </c>
      <c r="B1019" s="32" t="s">
        <v>2518</v>
      </c>
      <c r="C1019" s="32">
        <v>0.0</v>
      </c>
      <c r="D1019" s="32" t="e">
        <v>#N/A</v>
      </c>
      <c r="E1019" s="39"/>
      <c r="F1019" s="32" t="e">
        <v>#N/A</v>
      </c>
      <c r="G1019" s="39"/>
      <c r="H1019" s="32" t="e">
        <v>#N/A</v>
      </c>
      <c r="I1019" s="39"/>
      <c r="J1019" s="32">
        <v>0.0</v>
      </c>
      <c r="K1019" s="33" t="e">
        <v>#N/A</v>
      </c>
      <c r="L1019" s="32" t="e">
        <v>#N/A</v>
      </c>
      <c r="M1019" s="32" t="e">
        <v>#N/A</v>
      </c>
      <c r="N1019" s="32" t="e">
        <v>#N/A</v>
      </c>
      <c r="O1019" s="32" t="e">
        <v>#N/A</v>
      </c>
      <c r="P1019" s="32" t="e">
        <v>#REF!</v>
      </c>
      <c r="Q1019" s="32" t="e">
        <v>#N/A</v>
      </c>
      <c r="R1019" s="42" t="e">
        <v>#N/A</v>
      </c>
      <c r="S1019" s="42" t="e">
        <v>#N/A</v>
      </c>
      <c r="T1019" s="36">
        <v>0.0</v>
      </c>
      <c r="U1019" s="36">
        <v>0.0</v>
      </c>
      <c r="V1019" s="36">
        <v>0.0</v>
      </c>
      <c r="W1019" s="36">
        <v>0.0</v>
      </c>
      <c r="X1019" s="36">
        <v>0.0</v>
      </c>
      <c r="Y1019" s="36">
        <v>0.0</v>
      </c>
    </row>
    <row r="1020">
      <c r="A1020" s="32" t="s">
        <v>2515</v>
      </c>
      <c r="B1020" s="32" t="s">
        <v>2515</v>
      </c>
      <c r="C1020" s="32">
        <v>0.0</v>
      </c>
      <c r="D1020" s="32" t="e">
        <v>#N/A</v>
      </c>
      <c r="E1020" s="39"/>
      <c r="F1020" s="32" t="e">
        <v>#N/A</v>
      </c>
      <c r="G1020" s="39"/>
      <c r="H1020" s="32" t="e">
        <v>#N/A</v>
      </c>
      <c r="I1020" s="39"/>
      <c r="J1020" s="32">
        <v>0.0</v>
      </c>
      <c r="K1020" s="33" t="e">
        <v>#N/A</v>
      </c>
      <c r="L1020" s="32" t="e">
        <v>#N/A</v>
      </c>
      <c r="M1020" s="32" t="e">
        <v>#N/A</v>
      </c>
      <c r="N1020" s="32" t="e">
        <v>#N/A</v>
      </c>
      <c r="O1020" s="32" t="e">
        <v>#N/A</v>
      </c>
      <c r="P1020" s="32" t="e">
        <v>#REF!</v>
      </c>
      <c r="Q1020" s="32" t="e">
        <v>#N/A</v>
      </c>
      <c r="R1020" s="42" t="e">
        <v>#N/A</v>
      </c>
      <c r="S1020" s="42" t="e">
        <v>#N/A</v>
      </c>
      <c r="T1020" s="36">
        <v>0.0</v>
      </c>
      <c r="U1020" s="36">
        <v>0.0</v>
      </c>
      <c r="V1020" s="36">
        <v>0.0</v>
      </c>
      <c r="W1020" s="36">
        <v>0.0</v>
      </c>
      <c r="X1020" s="36">
        <v>0.0</v>
      </c>
      <c r="Y1020" s="36">
        <v>0.0</v>
      </c>
    </row>
    <row r="1021">
      <c r="A1021" s="32" t="s">
        <v>2519</v>
      </c>
      <c r="B1021" s="32" t="s">
        <v>2519</v>
      </c>
      <c r="C1021" s="32">
        <v>0.0</v>
      </c>
      <c r="D1021" s="32" t="e">
        <v>#N/A</v>
      </c>
      <c r="E1021" s="39"/>
      <c r="F1021" s="32" t="e">
        <v>#N/A</v>
      </c>
      <c r="G1021" s="39"/>
      <c r="H1021" s="32" t="e">
        <v>#N/A</v>
      </c>
      <c r="I1021" s="39"/>
      <c r="J1021" s="32">
        <v>0.0</v>
      </c>
      <c r="K1021" s="33" t="e">
        <v>#N/A</v>
      </c>
      <c r="L1021" s="32" t="e">
        <v>#N/A</v>
      </c>
      <c r="M1021" s="32" t="e">
        <v>#N/A</v>
      </c>
      <c r="N1021" s="32" t="e">
        <v>#N/A</v>
      </c>
      <c r="O1021" s="32" t="e">
        <v>#N/A</v>
      </c>
      <c r="P1021" s="32" t="e">
        <v>#REF!</v>
      </c>
      <c r="Q1021" s="32" t="e">
        <v>#N/A</v>
      </c>
      <c r="R1021" s="42" t="e">
        <v>#N/A</v>
      </c>
      <c r="S1021" s="42" t="e">
        <v>#N/A</v>
      </c>
      <c r="T1021" s="36">
        <v>0.0</v>
      </c>
      <c r="U1021" s="36">
        <v>0.0</v>
      </c>
      <c r="V1021" s="36">
        <v>0.0</v>
      </c>
      <c r="W1021" s="36">
        <v>0.0</v>
      </c>
      <c r="X1021" s="36">
        <v>0.0</v>
      </c>
      <c r="Y1021" s="36">
        <v>0.0</v>
      </c>
    </row>
    <row r="1022">
      <c r="A1022" s="32" t="s">
        <v>2516</v>
      </c>
      <c r="B1022" s="32" t="s">
        <v>2516</v>
      </c>
      <c r="C1022" s="32">
        <v>0.0</v>
      </c>
      <c r="D1022" s="32" t="e">
        <v>#N/A</v>
      </c>
      <c r="E1022" s="39"/>
      <c r="F1022" s="32" t="e">
        <v>#N/A</v>
      </c>
      <c r="G1022" s="39"/>
      <c r="H1022" s="32" t="e">
        <v>#N/A</v>
      </c>
      <c r="I1022" s="39"/>
      <c r="J1022" s="32">
        <v>0.0</v>
      </c>
      <c r="K1022" s="33" t="e">
        <v>#N/A</v>
      </c>
      <c r="L1022" s="32" t="e">
        <v>#N/A</v>
      </c>
      <c r="M1022" s="32" t="e">
        <v>#N/A</v>
      </c>
      <c r="N1022" s="32" t="e">
        <v>#N/A</v>
      </c>
      <c r="O1022" s="32" t="e">
        <v>#N/A</v>
      </c>
      <c r="P1022" s="32" t="e">
        <v>#REF!</v>
      </c>
      <c r="Q1022" s="32" t="e">
        <v>#N/A</v>
      </c>
      <c r="R1022" s="42" t="e">
        <v>#N/A</v>
      </c>
      <c r="S1022" s="42" t="e">
        <v>#N/A</v>
      </c>
      <c r="T1022" s="36">
        <v>0.0</v>
      </c>
      <c r="U1022" s="36">
        <v>0.0</v>
      </c>
      <c r="V1022" s="36">
        <v>0.0</v>
      </c>
      <c r="W1022" s="36">
        <v>0.0</v>
      </c>
      <c r="X1022" s="36">
        <v>0.0</v>
      </c>
      <c r="Y1022" s="36">
        <v>0.0</v>
      </c>
    </row>
    <row r="1023">
      <c r="A1023" s="32" t="s">
        <v>2505</v>
      </c>
      <c r="B1023" s="32" t="s">
        <v>2505</v>
      </c>
      <c r="C1023" s="32">
        <v>0.0</v>
      </c>
      <c r="D1023" s="32" t="e">
        <v>#N/A</v>
      </c>
      <c r="E1023" s="39"/>
      <c r="F1023" s="32" t="e">
        <v>#N/A</v>
      </c>
      <c r="G1023" s="39"/>
      <c r="H1023" s="32" t="e">
        <v>#N/A</v>
      </c>
      <c r="I1023" s="39"/>
      <c r="J1023" s="32">
        <v>0.0</v>
      </c>
      <c r="K1023" s="33" t="e">
        <v>#N/A</v>
      </c>
      <c r="L1023" s="32" t="e">
        <v>#N/A</v>
      </c>
      <c r="M1023" s="32" t="e">
        <v>#N/A</v>
      </c>
      <c r="N1023" s="32" t="e">
        <v>#N/A</v>
      </c>
      <c r="O1023" s="32" t="e">
        <v>#N/A</v>
      </c>
      <c r="P1023" s="32" t="e">
        <v>#REF!</v>
      </c>
      <c r="Q1023" s="32" t="e">
        <v>#N/A</v>
      </c>
      <c r="R1023" s="42" t="e">
        <v>#N/A</v>
      </c>
      <c r="S1023" s="42" t="e">
        <v>#N/A</v>
      </c>
      <c r="T1023" s="36">
        <v>0.0</v>
      </c>
      <c r="U1023" s="36">
        <v>0.0</v>
      </c>
      <c r="V1023" s="36">
        <v>0.0</v>
      </c>
      <c r="W1023" s="36">
        <v>0.0</v>
      </c>
      <c r="X1023" s="36">
        <v>0.0</v>
      </c>
      <c r="Y1023" s="36">
        <v>0.0</v>
      </c>
    </row>
    <row r="1024">
      <c r="A1024" s="32" t="s">
        <v>2502</v>
      </c>
      <c r="B1024" s="32" t="s">
        <v>2502</v>
      </c>
      <c r="C1024" s="32">
        <v>0.0</v>
      </c>
      <c r="D1024" s="32" t="e">
        <v>#N/A</v>
      </c>
      <c r="E1024" s="39"/>
      <c r="F1024" s="32" t="e">
        <v>#N/A</v>
      </c>
      <c r="G1024" s="39"/>
      <c r="H1024" s="32" t="e">
        <v>#N/A</v>
      </c>
      <c r="I1024" s="39"/>
      <c r="J1024" s="32">
        <v>0.0</v>
      </c>
      <c r="K1024" s="33" t="e">
        <v>#N/A</v>
      </c>
      <c r="L1024" s="32" t="e">
        <v>#N/A</v>
      </c>
      <c r="M1024" s="32" t="e">
        <v>#N/A</v>
      </c>
      <c r="N1024" s="32" t="e">
        <v>#N/A</v>
      </c>
      <c r="O1024" s="32" t="e">
        <v>#N/A</v>
      </c>
      <c r="P1024" s="32" t="e">
        <v>#REF!</v>
      </c>
      <c r="Q1024" s="32" t="e">
        <v>#N/A</v>
      </c>
      <c r="R1024" s="42" t="e">
        <v>#N/A</v>
      </c>
      <c r="S1024" s="42" t="e">
        <v>#N/A</v>
      </c>
      <c r="T1024" s="36">
        <v>0.0</v>
      </c>
      <c r="U1024" s="36">
        <v>0.0</v>
      </c>
      <c r="V1024" s="36">
        <v>0.0</v>
      </c>
      <c r="W1024" s="36">
        <v>0.0</v>
      </c>
      <c r="X1024" s="36">
        <v>0.0</v>
      </c>
      <c r="Y1024" s="36">
        <v>0.0</v>
      </c>
    </row>
    <row r="1025">
      <c r="A1025" s="32" t="s">
        <v>2506</v>
      </c>
      <c r="B1025" s="32" t="s">
        <v>2506</v>
      </c>
      <c r="C1025" s="32">
        <v>0.0</v>
      </c>
      <c r="D1025" s="32" t="e">
        <v>#N/A</v>
      </c>
      <c r="E1025" s="39"/>
      <c r="F1025" s="32" t="e">
        <v>#N/A</v>
      </c>
      <c r="G1025" s="39"/>
      <c r="H1025" s="32" t="e">
        <v>#N/A</v>
      </c>
      <c r="I1025" s="39"/>
      <c r="J1025" s="32">
        <v>0.0</v>
      </c>
      <c r="K1025" s="33" t="e">
        <v>#N/A</v>
      </c>
      <c r="L1025" s="32" t="e">
        <v>#N/A</v>
      </c>
      <c r="M1025" s="32" t="e">
        <v>#N/A</v>
      </c>
      <c r="N1025" s="32" t="e">
        <v>#N/A</v>
      </c>
      <c r="O1025" s="32" t="e">
        <v>#N/A</v>
      </c>
      <c r="P1025" s="32" t="e">
        <v>#REF!</v>
      </c>
      <c r="Q1025" s="32" t="e">
        <v>#N/A</v>
      </c>
      <c r="R1025" s="42" t="e">
        <v>#N/A</v>
      </c>
      <c r="S1025" s="42" t="e">
        <v>#N/A</v>
      </c>
      <c r="T1025" s="36">
        <v>0.0</v>
      </c>
      <c r="U1025" s="36">
        <v>0.0</v>
      </c>
      <c r="V1025" s="36">
        <v>0.0</v>
      </c>
      <c r="W1025" s="36">
        <v>0.0</v>
      </c>
      <c r="X1025" s="36">
        <v>0.0</v>
      </c>
      <c r="Y1025" s="36">
        <v>0.0</v>
      </c>
    </row>
    <row r="1026">
      <c r="A1026" s="32" t="s">
        <v>2503</v>
      </c>
      <c r="B1026" s="32" t="s">
        <v>2503</v>
      </c>
      <c r="C1026" s="32">
        <v>0.0</v>
      </c>
      <c r="D1026" s="32" t="e">
        <v>#N/A</v>
      </c>
      <c r="E1026" s="39"/>
      <c r="F1026" s="32" t="e">
        <v>#N/A</v>
      </c>
      <c r="G1026" s="39"/>
      <c r="H1026" s="32" t="e">
        <v>#N/A</v>
      </c>
      <c r="I1026" s="39"/>
      <c r="J1026" s="32">
        <v>0.0</v>
      </c>
      <c r="K1026" s="33" t="e">
        <v>#N/A</v>
      </c>
      <c r="L1026" s="32" t="e">
        <v>#N/A</v>
      </c>
      <c r="M1026" s="32" t="e">
        <v>#N/A</v>
      </c>
      <c r="N1026" s="32" t="e">
        <v>#N/A</v>
      </c>
      <c r="O1026" s="32" t="e">
        <v>#N/A</v>
      </c>
      <c r="P1026" s="32" t="e">
        <v>#REF!</v>
      </c>
      <c r="Q1026" s="32" t="e">
        <v>#N/A</v>
      </c>
      <c r="R1026" s="42" t="e">
        <v>#N/A</v>
      </c>
      <c r="S1026" s="42" t="e">
        <v>#N/A</v>
      </c>
      <c r="T1026" s="36">
        <v>0.0</v>
      </c>
      <c r="U1026" s="36">
        <v>0.0</v>
      </c>
      <c r="V1026" s="36">
        <v>0.0</v>
      </c>
      <c r="W1026" s="36">
        <v>0.0</v>
      </c>
      <c r="X1026" s="36">
        <v>0.0</v>
      </c>
      <c r="Y1026" s="36">
        <v>0.0</v>
      </c>
    </row>
    <row r="1027">
      <c r="A1027" s="32" t="s">
        <v>2507</v>
      </c>
      <c r="B1027" s="32" t="s">
        <v>2507</v>
      </c>
      <c r="C1027" s="32">
        <v>0.0</v>
      </c>
      <c r="D1027" s="32" t="e">
        <v>#N/A</v>
      </c>
      <c r="E1027" s="39"/>
      <c r="F1027" s="32" t="e">
        <v>#N/A</v>
      </c>
      <c r="G1027" s="39"/>
      <c r="H1027" s="32" t="e">
        <v>#N/A</v>
      </c>
      <c r="I1027" s="39"/>
      <c r="J1027" s="32">
        <v>0.0</v>
      </c>
      <c r="K1027" s="33" t="e">
        <v>#N/A</v>
      </c>
      <c r="L1027" s="32" t="e">
        <v>#N/A</v>
      </c>
      <c r="M1027" s="32" t="e">
        <v>#N/A</v>
      </c>
      <c r="N1027" s="32" t="e">
        <v>#N/A</v>
      </c>
      <c r="O1027" s="32" t="e">
        <v>#N/A</v>
      </c>
      <c r="P1027" s="32" t="e">
        <v>#REF!</v>
      </c>
      <c r="Q1027" s="32" t="e">
        <v>#N/A</v>
      </c>
      <c r="R1027" s="42" t="e">
        <v>#N/A</v>
      </c>
      <c r="S1027" s="42" t="e">
        <v>#N/A</v>
      </c>
      <c r="T1027" s="36">
        <v>0.0</v>
      </c>
      <c r="U1027" s="36">
        <v>0.0</v>
      </c>
      <c r="V1027" s="36">
        <v>0.0</v>
      </c>
      <c r="W1027" s="36">
        <v>0.0</v>
      </c>
      <c r="X1027" s="36">
        <v>0.0</v>
      </c>
      <c r="Y1027" s="36">
        <v>0.0</v>
      </c>
    </row>
    <row r="1028">
      <c r="A1028" s="32" t="s">
        <v>2504</v>
      </c>
      <c r="B1028" s="32" t="s">
        <v>2504</v>
      </c>
      <c r="C1028" s="32">
        <v>0.0</v>
      </c>
      <c r="D1028" s="32" t="e">
        <v>#N/A</v>
      </c>
      <c r="E1028" s="39"/>
      <c r="F1028" s="32" t="e">
        <v>#N/A</v>
      </c>
      <c r="G1028" s="39"/>
      <c r="H1028" s="32" t="e">
        <v>#N/A</v>
      </c>
      <c r="I1028" s="39"/>
      <c r="J1028" s="32">
        <v>0.0</v>
      </c>
      <c r="K1028" s="33" t="e">
        <v>#N/A</v>
      </c>
      <c r="L1028" s="32" t="e">
        <v>#N/A</v>
      </c>
      <c r="M1028" s="32" t="e">
        <v>#N/A</v>
      </c>
      <c r="N1028" s="32" t="e">
        <v>#N/A</v>
      </c>
      <c r="O1028" s="32" t="e">
        <v>#N/A</v>
      </c>
      <c r="P1028" s="32" t="e">
        <v>#REF!</v>
      </c>
      <c r="Q1028" s="32" t="e">
        <v>#N/A</v>
      </c>
      <c r="R1028" s="42" t="e">
        <v>#N/A</v>
      </c>
      <c r="S1028" s="42" t="e">
        <v>#N/A</v>
      </c>
      <c r="T1028" s="36">
        <v>0.0</v>
      </c>
      <c r="U1028" s="36">
        <v>0.0</v>
      </c>
      <c r="V1028" s="36">
        <v>0.0</v>
      </c>
      <c r="W1028" s="36">
        <v>0.0</v>
      </c>
      <c r="X1028" s="36">
        <v>0.0</v>
      </c>
      <c r="Y1028" s="36">
        <v>0.0</v>
      </c>
    </row>
    <row r="1029">
      <c r="A1029" s="32" t="s">
        <v>4936</v>
      </c>
      <c r="B1029" s="32" t="s">
        <v>4936</v>
      </c>
      <c r="C1029" s="32" t="s">
        <v>4937</v>
      </c>
      <c r="D1029" s="46" t="s">
        <v>5228</v>
      </c>
      <c r="E1029" s="32" t="s">
        <v>5102</v>
      </c>
      <c r="F1029" s="38"/>
      <c r="G1029" s="38"/>
      <c r="H1029" s="38"/>
      <c r="I1029" s="38"/>
      <c r="J1029" s="32" t="s">
        <v>4939</v>
      </c>
      <c r="K1029" s="38"/>
      <c r="L1029" s="38"/>
      <c r="M1029" s="38"/>
      <c r="N1029" s="32" t="s">
        <v>51</v>
      </c>
      <c r="O1029" s="32" t="s">
        <v>52</v>
      </c>
      <c r="P1029" s="32">
        <v>29999.0</v>
      </c>
      <c r="Q1029" s="44">
        <v>24299.0</v>
      </c>
      <c r="R1029" s="40">
        <v>26099.0</v>
      </c>
      <c r="S1029" s="35">
        <v>22799.24</v>
      </c>
      <c r="T1029" s="36">
        <v>0.0</v>
      </c>
      <c r="U1029" s="36">
        <v>0.0</v>
      </c>
      <c r="V1029" s="36">
        <v>0.0</v>
      </c>
      <c r="W1029" s="36">
        <v>0.0</v>
      </c>
      <c r="X1029" s="36">
        <v>0.0</v>
      </c>
      <c r="Y1029" s="36">
        <v>0.0</v>
      </c>
    </row>
    <row r="1030">
      <c r="A1030" s="32" t="s">
        <v>336</v>
      </c>
      <c r="B1030" s="32" t="s">
        <v>336</v>
      </c>
      <c r="C1030" s="32" t="s">
        <v>337</v>
      </c>
      <c r="D1030" s="32" t="s">
        <v>4751</v>
      </c>
      <c r="E1030" s="32" t="s">
        <v>5102</v>
      </c>
      <c r="F1030" s="32" t="e">
        <v>#N/A</v>
      </c>
      <c r="G1030" s="32" t="e">
        <v>#N/A</v>
      </c>
      <c r="H1030" s="32" t="s">
        <v>5189</v>
      </c>
      <c r="I1030" s="32" t="s">
        <v>5102</v>
      </c>
      <c r="J1030" s="32" t="s">
        <v>339</v>
      </c>
      <c r="K1030" s="33" t="s">
        <v>340</v>
      </c>
      <c r="L1030" s="32">
        <v>3.1999074E7</v>
      </c>
      <c r="M1030" s="32" t="e">
        <v>#N/A</v>
      </c>
      <c r="N1030" s="32" t="s">
        <v>51</v>
      </c>
      <c r="O1030" s="32" t="s">
        <v>52</v>
      </c>
      <c r="P1030" s="32">
        <v>15699.0</v>
      </c>
      <c r="Q1030" s="34">
        <v>12716.0</v>
      </c>
      <c r="R1030" s="40">
        <v>13699.0</v>
      </c>
      <c r="S1030" s="35">
        <v>11931.24</v>
      </c>
      <c r="T1030" s="36">
        <v>0.0</v>
      </c>
      <c r="U1030" s="36">
        <v>0.0</v>
      </c>
      <c r="V1030" s="36">
        <v>0.0</v>
      </c>
      <c r="W1030" s="36">
        <v>0.0</v>
      </c>
      <c r="X1030" s="36">
        <v>0.0</v>
      </c>
      <c r="Y1030" s="36">
        <v>0.0</v>
      </c>
    </row>
    <row r="1031">
      <c r="A1031" s="32" t="s">
        <v>443</v>
      </c>
      <c r="B1031" s="32" t="s">
        <v>443</v>
      </c>
      <c r="C1031" s="32" t="s">
        <v>444</v>
      </c>
      <c r="D1031" s="32" t="s">
        <v>445</v>
      </c>
      <c r="E1031" s="32" t="s">
        <v>5102</v>
      </c>
      <c r="F1031" s="32" t="e">
        <v>#N/A</v>
      </c>
      <c r="G1031" s="39"/>
      <c r="H1031" s="32" t="s">
        <v>446</v>
      </c>
      <c r="I1031" s="32" t="s">
        <v>5102</v>
      </c>
      <c r="J1031" s="32" t="s">
        <v>447</v>
      </c>
      <c r="K1031" s="33" t="s">
        <v>448</v>
      </c>
      <c r="L1031" s="32">
        <v>3.2784045E7</v>
      </c>
      <c r="M1031" s="32" t="e">
        <v>#N/A</v>
      </c>
      <c r="N1031" s="32" t="s">
        <v>51</v>
      </c>
      <c r="O1031" s="32" t="s">
        <v>52</v>
      </c>
      <c r="P1031" s="32">
        <v>22399.0</v>
      </c>
      <c r="Q1031" s="34">
        <v>18143.0</v>
      </c>
      <c r="R1031" s="40">
        <v>19499.0</v>
      </c>
      <c r="S1031" s="35">
        <v>17023.24</v>
      </c>
      <c r="T1031" s="36">
        <v>0.0</v>
      </c>
      <c r="U1031" s="36">
        <v>0.0</v>
      </c>
      <c r="V1031" s="36">
        <v>0.0</v>
      </c>
      <c r="W1031" s="36">
        <v>0.0</v>
      </c>
      <c r="X1031" s="36">
        <v>0.0</v>
      </c>
      <c r="Y1031" s="36">
        <v>0.0</v>
      </c>
    </row>
    <row r="1032">
      <c r="A1032" s="32" t="s">
        <v>540</v>
      </c>
      <c r="B1032" s="32" t="s">
        <v>540</v>
      </c>
      <c r="C1032" s="32" t="s">
        <v>541</v>
      </c>
      <c r="D1032" s="32" t="s">
        <v>542</v>
      </c>
      <c r="E1032" s="32" t="s">
        <v>5102</v>
      </c>
      <c r="F1032" s="32" t="e">
        <v>#N/A</v>
      </c>
      <c r="G1032" s="39"/>
      <c r="H1032" s="32">
        <v>0.0</v>
      </c>
      <c r="I1032" s="39"/>
      <c r="J1032" s="32" t="s">
        <v>543</v>
      </c>
      <c r="K1032" s="33" t="s">
        <v>544</v>
      </c>
      <c r="L1032" s="32" t="e">
        <v>#N/A</v>
      </c>
      <c r="M1032" s="32" t="s">
        <v>545</v>
      </c>
      <c r="N1032" s="32" t="s">
        <v>51</v>
      </c>
      <c r="O1032" s="32" t="s">
        <v>52</v>
      </c>
      <c r="P1032" s="32">
        <v>12229.0</v>
      </c>
      <c r="Q1032" s="34">
        <v>9905.0</v>
      </c>
      <c r="R1032" s="40">
        <v>10599.0</v>
      </c>
      <c r="S1032" s="35">
        <v>9294.04</v>
      </c>
      <c r="T1032" s="36">
        <v>0.0</v>
      </c>
      <c r="U1032" s="36">
        <v>0.0</v>
      </c>
      <c r="V1032" s="36">
        <v>0.0</v>
      </c>
      <c r="W1032" s="36">
        <v>0.0</v>
      </c>
      <c r="X1032" s="36">
        <v>0.0</v>
      </c>
      <c r="Y1032" s="36">
        <v>0.0</v>
      </c>
    </row>
    <row r="1033">
      <c r="A1033" s="32" t="s">
        <v>355</v>
      </c>
      <c r="B1033" s="32" t="s">
        <v>355</v>
      </c>
      <c r="C1033" s="32" t="s">
        <v>356</v>
      </c>
      <c r="D1033" s="32" t="s">
        <v>357</v>
      </c>
      <c r="E1033" s="32" t="s">
        <v>5102</v>
      </c>
      <c r="F1033" s="32" t="e">
        <v>#N/A</v>
      </c>
      <c r="G1033" s="39"/>
      <c r="H1033" s="32" t="s">
        <v>358</v>
      </c>
      <c r="I1033" s="32" t="s">
        <v>5102</v>
      </c>
      <c r="J1033" s="32" t="s">
        <v>359</v>
      </c>
      <c r="K1033" s="33" t="s">
        <v>360</v>
      </c>
      <c r="L1033" s="32">
        <v>3.278423E7</v>
      </c>
      <c r="M1033" s="32" t="e">
        <v>#N/A</v>
      </c>
      <c r="N1033" s="32" t="s">
        <v>51</v>
      </c>
      <c r="O1033" s="32" t="s">
        <v>52</v>
      </c>
      <c r="P1033" s="32">
        <v>17299.0</v>
      </c>
      <c r="Q1033" s="34">
        <v>14012.0</v>
      </c>
      <c r="R1033" s="40">
        <v>15099.0</v>
      </c>
      <c r="S1033" s="35">
        <v>13147.24</v>
      </c>
      <c r="T1033" s="36">
        <v>0.0</v>
      </c>
      <c r="U1033" s="36">
        <v>0.0</v>
      </c>
      <c r="V1033" s="36">
        <v>0.0</v>
      </c>
      <c r="W1033" s="36">
        <v>0.0</v>
      </c>
      <c r="X1033" s="36">
        <v>0.0</v>
      </c>
      <c r="Y1033" s="36">
        <v>0.0</v>
      </c>
    </row>
    <row r="1034">
      <c r="A1034" s="32" t="s">
        <v>429</v>
      </c>
      <c r="B1034" s="32" t="s">
        <v>429</v>
      </c>
      <c r="C1034" s="32" t="s">
        <v>430</v>
      </c>
      <c r="D1034" s="32" t="s">
        <v>431</v>
      </c>
      <c r="E1034" s="32" t="s">
        <v>5102</v>
      </c>
      <c r="F1034" s="32" t="e">
        <v>#N/A</v>
      </c>
      <c r="G1034" s="39"/>
      <c r="H1034" s="32" t="s">
        <v>432</v>
      </c>
      <c r="I1034" s="32" t="s">
        <v>5102</v>
      </c>
      <c r="J1034" s="32" t="s">
        <v>433</v>
      </c>
      <c r="K1034" s="33" t="s">
        <v>434</v>
      </c>
      <c r="L1034" s="32">
        <v>3.278419E7</v>
      </c>
      <c r="M1034" s="32" t="s">
        <v>435</v>
      </c>
      <c r="N1034" s="32" t="s">
        <v>51</v>
      </c>
      <c r="O1034" s="32" t="s">
        <v>52</v>
      </c>
      <c r="P1034" s="32">
        <v>20699.0</v>
      </c>
      <c r="Q1034" s="34">
        <v>16766.0</v>
      </c>
      <c r="R1034" s="40">
        <v>17999.0</v>
      </c>
      <c r="S1034" s="35">
        <v>15731.24</v>
      </c>
      <c r="T1034" s="36">
        <v>0.0</v>
      </c>
      <c r="U1034" s="36">
        <v>0.0</v>
      </c>
      <c r="V1034" s="36">
        <v>0.0</v>
      </c>
      <c r="W1034" s="36">
        <v>0.0</v>
      </c>
      <c r="X1034" s="36">
        <v>0.0</v>
      </c>
      <c r="Y1034" s="36">
        <v>0.0</v>
      </c>
    </row>
    <row r="1035">
      <c r="A1035" s="32" t="s">
        <v>546</v>
      </c>
      <c r="B1035" s="32" t="s">
        <v>546</v>
      </c>
      <c r="C1035" s="32" t="s">
        <v>547</v>
      </c>
      <c r="D1035" s="32" t="s">
        <v>548</v>
      </c>
      <c r="E1035" s="32" t="s">
        <v>5102</v>
      </c>
      <c r="F1035" s="32" t="e">
        <v>#N/A</v>
      </c>
      <c r="G1035" s="39"/>
      <c r="H1035" s="32">
        <v>0.0</v>
      </c>
      <c r="I1035" s="39"/>
      <c r="J1035" s="32" t="s">
        <v>549</v>
      </c>
      <c r="K1035" s="33" t="s">
        <v>550</v>
      </c>
      <c r="L1035" s="32" t="e">
        <v>#N/A</v>
      </c>
      <c r="M1035" s="32" t="s">
        <v>551</v>
      </c>
      <c r="N1035" s="32" t="s">
        <v>51</v>
      </c>
      <c r="O1035" s="32" t="s">
        <v>52</v>
      </c>
      <c r="P1035" s="32">
        <v>12889.0</v>
      </c>
      <c r="Q1035" s="34">
        <v>10440.0</v>
      </c>
      <c r="R1035" s="40">
        <v>11199.0</v>
      </c>
      <c r="S1035" s="35">
        <v>9795.64</v>
      </c>
      <c r="T1035" s="36">
        <v>0.0</v>
      </c>
      <c r="U1035" s="36">
        <v>0.0</v>
      </c>
      <c r="V1035" s="36">
        <v>0.0</v>
      </c>
      <c r="W1035" s="36">
        <v>0.0</v>
      </c>
      <c r="X1035" s="36">
        <v>0.0</v>
      </c>
      <c r="Y1035" s="36">
        <v>0.0</v>
      </c>
    </row>
    <row r="1036">
      <c r="A1036" s="32" t="s">
        <v>361</v>
      </c>
      <c r="B1036" s="32" t="s">
        <v>361</v>
      </c>
      <c r="C1036" s="32" t="s">
        <v>362</v>
      </c>
      <c r="D1036" s="32" t="s">
        <v>363</v>
      </c>
      <c r="E1036" s="32" t="s">
        <v>5102</v>
      </c>
      <c r="F1036" s="32" t="e">
        <v>#N/A</v>
      </c>
      <c r="G1036" s="39"/>
      <c r="H1036" s="32" t="s">
        <v>364</v>
      </c>
      <c r="I1036" s="32" t="s">
        <v>5102</v>
      </c>
      <c r="J1036" s="32" t="s">
        <v>365</v>
      </c>
      <c r="K1036" s="33" t="s">
        <v>366</v>
      </c>
      <c r="L1036" s="32">
        <v>3.2784103E7</v>
      </c>
      <c r="M1036" s="32" t="e">
        <v>#N/A</v>
      </c>
      <c r="N1036" s="32" t="s">
        <v>51</v>
      </c>
      <c r="O1036" s="32" t="s">
        <v>52</v>
      </c>
      <c r="P1036" s="32">
        <v>17699.0</v>
      </c>
      <c r="Q1036" s="34">
        <v>14336.0</v>
      </c>
      <c r="R1036" s="40">
        <v>15399.0</v>
      </c>
      <c r="S1036" s="35">
        <v>13451.24</v>
      </c>
      <c r="T1036" s="36">
        <v>0.0</v>
      </c>
      <c r="U1036" s="36">
        <v>0.0</v>
      </c>
      <c r="V1036" s="36">
        <v>0.0</v>
      </c>
      <c r="W1036" s="36">
        <v>0.0</v>
      </c>
      <c r="X1036" s="36">
        <v>0.0</v>
      </c>
      <c r="Y1036" s="36">
        <v>0.0</v>
      </c>
    </row>
    <row r="1037">
      <c r="A1037" s="32" t="s">
        <v>534</v>
      </c>
      <c r="B1037" s="32" t="s">
        <v>534</v>
      </c>
      <c r="C1037" s="32" t="s">
        <v>535</v>
      </c>
      <c r="D1037" s="32" t="s">
        <v>536</v>
      </c>
      <c r="E1037" s="32" t="s">
        <v>5102</v>
      </c>
      <c r="F1037" s="32" t="e">
        <v>#N/A</v>
      </c>
      <c r="G1037" s="39"/>
      <c r="H1037" s="32">
        <v>0.0</v>
      </c>
      <c r="I1037" s="39"/>
      <c r="J1037" s="32" t="s">
        <v>537</v>
      </c>
      <c r="K1037" s="33" t="s">
        <v>538</v>
      </c>
      <c r="L1037" s="32" t="e">
        <v>#N/A</v>
      </c>
      <c r="M1037" s="32" t="s">
        <v>539</v>
      </c>
      <c r="N1037" s="32" t="s">
        <v>51</v>
      </c>
      <c r="O1037" s="32" t="s">
        <v>52</v>
      </c>
      <c r="P1037" s="32">
        <v>11839.0</v>
      </c>
      <c r="Q1037" s="34">
        <v>9590.0</v>
      </c>
      <c r="R1037" s="40">
        <v>10299.0</v>
      </c>
      <c r="S1037" s="35">
        <v>8997.64</v>
      </c>
      <c r="T1037" s="36">
        <v>0.0</v>
      </c>
      <c r="U1037" s="36">
        <v>0.0</v>
      </c>
      <c r="V1037" s="36">
        <v>0.0</v>
      </c>
      <c r="W1037" s="36">
        <v>0.0</v>
      </c>
      <c r="X1037" s="36">
        <v>0.0</v>
      </c>
      <c r="Y1037" s="36">
        <v>0.0</v>
      </c>
    </row>
    <row r="1038">
      <c r="A1038" s="32" t="s">
        <v>455</v>
      </c>
      <c r="B1038" s="32" t="s">
        <v>455</v>
      </c>
      <c r="C1038" s="32" t="s">
        <v>456</v>
      </c>
      <c r="D1038" s="32" t="s">
        <v>457</v>
      </c>
      <c r="E1038" s="32" t="s">
        <v>5102</v>
      </c>
      <c r="F1038" s="32" t="e">
        <v>#N/A</v>
      </c>
      <c r="G1038" s="39"/>
      <c r="H1038" s="32" t="s">
        <v>458</v>
      </c>
      <c r="I1038" s="32" t="s">
        <v>5102</v>
      </c>
      <c r="J1038" s="32" t="s">
        <v>459</v>
      </c>
      <c r="K1038" s="33" t="s">
        <v>460</v>
      </c>
      <c r="L1038" s="32">
        <v>3.2784218E7</v>
      </c>
      <c r="M1038" s="32" t="e">
        <v>#N/A</v>
      </c>
      <c r="N1038" s="32" t="s">
        <v>51</v>
      </c>
      <c r="O1038" s="32" t="s">
        <v>52</v>
      </c>
      <c r="P1038" s="32">
        <v>23499.0</v>
      </c>
      <c r="Q1038" s="34">
        <v>19034.0</v>
      </c>
      <c r="R1038" s="40">
        <v>20399.0</v>
      </c>
      <c r="S1038" s="35">
        <v>17859.24</v>
      </c>
      <c r="T1038" s="36">
        <v>0.0</v>
      </c>
      <c r="U1038" s="36">
        <v>0.0</v>
      </c>
      <c r="V1038" s="36">
        <v>0.0</v>
      </c>
      <c r="W1038" s="36">
        <v>0.0</v>
      </c>
      <c r="X1038" s="36">
        <v>0.0</v>
      </c>
      <c r="Y1038" s="36">
        <v>0.0</v>
      </c>
    </row>
    <row r="1039">
      <c r="A1039" s="32" t="s">
        <v>557</v>
      </c>
      <c r="B1039" s="32" t="s">
        <v>557</v>
      </c>
      <c r="C1039" s="32" t="s">
        <v>558</v>
      </c>
      <c r="D1039" s="32" t="s">
        <v>559</v>
      </c>
      <c r="E1039" s="32" t="s">
        <v>5102</v>
      </c>
      <c r="F1039" s="32" t="e">
        <v>#N/A</v>
      </c>
      <c r="G1039" s="39"/>
      <c r="H1039" s="32">
        <v>0.0</v>
      </c>
      <c r="I1039" s="39"/>
      <c r="J1039" s="32" t="s">
        <v>560</v>
      </c>
      <c r="K1039" s="33" t="s">
        <v>561</v>
      </c>
      <c r="L1039" s="32" t="e">
        <v>#N/A</v>
      </c>
      <c r="M1039" s="32" t="s">
        <v>562</v>
      </c>
      <c r="N1039" s="32" t="s">
        <v>51</v>
      </c>
      <c r="O1039" s="32" t="s">
        <v>52</v>
      </c>
      <c r="P1039" s="32">
        <v>13149.0</v>
      </c>
      <c r="Q1039" s="34">
        <v>10651.0</v>
      </c>
      <c r="R1039" s="40">
        <v>11399.0</v>
      </c>
      <c r="S1039" s="35">
        <v>9993.24</v>
      </c>
      <c r="T1039" s="36">
        <v>0.0</v>
      </c>
      <c r="U1039" s="36">
        <v>0.0</v>
      </c>
      <c r="V1039" s="36">
        <v>0.0</v>
      </c>
      <c r="W1039" s="36">
        <v>0.0</v>
      </c>
      <c r="X1039" s="36">
        <v>0.0</v>
      </c>
      <c r="Y1039" s="36">
        <v>0.0</v>
      </c>
    </row>
    <row r="1040">
      <c r="A1040" s="32" t="s">
        <v>511</v>
      </c>
      <c r="B1040" s="32" t="s">
        <v>511</v>
      </c>
      <c r="C1040" s="32" t="s">
        <v>512</v>
      </c>
      <c r="D1040" s="32" t="s">
        <v>513</v>
      </c>
      <c r="E1040" s="32" t="s">
        <v>5102</v>
      </c>
      <c r="F1040" s="32" t="e">
        <v>#N/A</v>
      </c>
      <c r="G1040" s="39"/>
      <c r="H1040" s="32">
        <v>0.0</v>
      </c>
      <c r="I1040" s="39"/>
      <c r="J1040" s="32" t="s">
        <v>514</v>
      </c>
      <c r="K1040" s="33" t="s">
        <v>515</v>
      </c>
      <c r="L1040" s="32" t="e">
        <v>#N/A</v>
      </c>
      <c r="M1040" s="32" t="s">
        <v>516</v>
      </c>
      <c r="N1040" s="32" t="s">
        <v>51</v>
      </c>
      <c r="O1040" s="32" t="s">
        <v>52</v>
      </c>
      <c r="P1040" s="32">
        <v>16659.0</v>
      </c>
      <c r="Q1040" s="34">
        <v>13494.0</v>
      </c>
      <c r="R1040" s="40">
        <v>14499.0</v>
      </c>
      <c r="S1040" s="35">
        <v>12660.84</v>
      </c>
      <c r="T1040" s="36">
        <v>0.0</v>
      </c>
      <c r="U1040" s="36">
        <v>0.0</v>
      </c>
      <c r="V1040" s="36">
        <v>0.0</v>
      </c>
      <c r="W1040" s="36">
        <v>0.0</v>
      </c>
      <c r="X1040" s="36">
        <v>0.0</v>
      </c>
      <c r="Y1040" s="36">
        <v>0.0</v>
      </c>
    </row>
    <row r="1041">
      <c r="A1041" s="32" t="s">
        <v>367</v>
      </c>
      <c r="B1041" s="32" t="s">
        <v>367</v>
      </c>
      <c r="C1041" s="32" t="s">
        <v>368</v>
      </c>
      <c r="D1041" s="32" t="s">
        <v>369</v>
      </c>
      <c r="E1041" s="32" t="s">
        <v>5102</v>
      </c>
      <c r="F1041" s="32" t="e">
        <v>#N/A</v>
      </c>
      <c r="G1041" s="39"/>
      <c r="H1041" s="32" t="s">
        <v>370</v>
      </c>
      <c r="I1041" s="32" t="s">
        <v>5102</v>
      </c>
      <c r="J1041" s="32" t="s">
        <v>371</v>
      </c>
      <c r="K1041" s="33" t="s">
        <v>372</v>
      </c>
      <c r="L1041" s="32">
        <v>3.2784075E7</v>
      </c>
      <c r="M1041" s="32" t="s">
        <v>373</v>
      </c>
      <c r="N1041" s="32" t="s">
        <v>51</v>
      </c>
      <c r="O1041" s="32" t="s">
        <v>52</v>
      </c>
      <c r="P1041" s="32">
        <v>18199.0</v>
      </c>
      <c r="Q1041" s="34">
        <v>14741.0</v>
      </c>
      <c r="R1041" s="40">
        <v>15799.0</v>
      </c>
      <c r="S1041" s="35">
        <v>13831.24</v>
      </c>
      <c r="T1041" s="36">
        <v>0.0</v>
      </c>
      <c r="U1041" s="36">
        <v>0.0</v>
      </c>
      <c r="V1041" s="36">
        <v>0.0</v>
      </c>
      <c r="W1041" s="36">
        <v>0.0</v>
      </c>
      <c r="X1041" s="36">
        <v>0.0</v>
      </c>
      <c r="Y1041" s="36">
        <v>0.0</v>
      </c>
    </row>
    <row r="1042">
      <c r="A1042" s="32" t="s">
        <v>412</v>
      </c>
      <c r="B1042" s="32" t="s">
        <v>412</v>
      </c>
      <c r="C1042" s="32" t="s">
        <v>413</v>
      </c>
      <c r="D1042" s="32" t="s">
        <v>414</v>
      </c>
      <c r="E1042" s="32" t="s">
        <v>5102</v>
      </c>
      <c r="F1042" s="32" t="e">
        <v>#N/A</v>
      </c>
      <c r="G1042" s="39"/>
      <c r="H1042" s="32" t="s">
        <v>412</v>
      </c>
      <c r="I1042" s="32" t="s">
        <v>5102</v>
      </c>
      <c r="J1042" s="32" t="s">
        <v>415</v>
      </c>
      <c r="K1042" s="33" t="s">
        <v>416</v>
      </c>
      <c r="L1042" s="32">
        <v>3.2783869E7</v>
      </c>
      <c r="M1042" s="32" t="e">
        <v>#N/A</v>
      </c>
      <c r="N1042" s="32" t="s">
        <v>51</v>
      </c>
      <c r="O1042" s="32" t="s">
        <v>52</v>
      </c>
      <c r="P1042" s="32">
        <v>20699.0</v>
      </c>
      <c r="Q1042" s="34">
        <v>16766.0</v>
      </c>
      <c r="R1042" s="40">
        <v>17999.0</v>
      </c>
      <c r="S1042" s="35">
        <v>15731.24</v>
      </c>
      <c r="T1042" s="36">
        <v>0.0</v>
      </c>
      <c r="U1042" s="36">
        <v>0.0</v>
      </c>
      <c r="V1042" s="36">
        <v>0.0</v>
      </c>
      <c r="W1042" s="36">
        <v>0.0</v>
      </c>
      <c r="X1042" s="36">
        <v>0.0</v>
      </c>
      <c r="Y1042" s="36">
        <v>0.0</v>
      </c>
    </row>
    <row r="1043">
      <c r="A1043" s="32" t="s">
        <v>461</v>
      </c>
      <c r="B1043" s="32" t="s">
        <v>461</v>
      </c>
      <c r="C1043" s="32" t="s">
        <v>462</v>
      </c>
      <c r="D1043" s="32" t="s">
        <v>463</v>
      </c>
      <c r="E1043" s="32" t="s">
        <v>5102</v>
      </c>
      <c r="F1043" s="32" t="e">
        <v>#N/A</v>
      </c>
      <c r="G1043" s="39"/>
      <c r="H1043" s="32">
        <v>0.0</v>
      </c>
      <c r="I1043" s="39"/>
      <c r="J1043" s="32" t="s">
        <v>464</v>
      </c>
      <c r="K1043" s="33" t="s">
        <v>465</v>
      </c>
      <c r="L1043" s="32" t="e">
        <v>#N/A</v>
      </c>
      <c r="M1043" s="32" t="e">
        <v>#N/A</v>
      </c>
      <c r="N1043" s="32" t="s">
        <v>51</v>
      </c>
      <c r="O1043" s="32" t="s">
        <v>52</v>
      </c>
      <c r="P1043" s="32">
        <v>24999.0</v>
      </c>
      <c r="Q1043" s="34">
        <v>20249.0</v>
      </c>
      <c r="R1043" s="40">
        <v>21699.0</v>
      </c>
      <c r="S1043" s="35">
        <v>18999.24</v>
      </c>
      <c r="T1043" s="36">
        <v>0.0</v>
      </c>
      <c r="U1043" s="36">
        <v>0.0</v>
      </c>
      <c r="V1043" s="36">
        <v>0.0</v>
      </c>
      <c r="W1043" s="36">
        <v>0.0</v>
      </c>
      <c r="X1043" s="36">
        <v>0.0</v>
      </c>
      <c r="Y1043" s="36">
        <v>0.0</v>
      </c>
    </row>
    <row r="1044">
      <c r="A1044" s="32" t="s">
        <v>552</v>
      </c>
      <c r="B1044" s="32" t="s">
        <v>552</v>
      </c>
      <c r="C1044" s="32" t="s">
        <v>553</v>
      </c>
      <c r="D1044" s="32" t="s">
        <v>554</v>
      </c>
      <c r="E1044" s="32" t="s">
        <v>5102</v>
      </c>
      <c r="F1044" s="32" t="e">
        <v>#N/A</v>
      </c>
      <c r="G1044" s="39"/>
      <c r="H1044" s="32">
        <v>0.0</v>
      </c>
      <c r="I1044" s="39"/>
      <c r="J1044" s="32" t="s">
        <v>555</v>
      </c>
      <c r="K1044" s="33" t="s">
        <v>556</v>
      </c>
      <c r="L1044" s="32" t="e">
        <v>#N/A</v>
      </c>
      <c r="M1044" s="32" t="e">
        <v>#N/A</v>
      </c>
      <c r="N1044" s="32" t="s">
        <v>51</v>
      </c>
      <c r="O1044" s="32" t="s">
        <v>52</v>
      </c>
      <c r="P1044" s="32">
        <v>12889.0</v>
      </c>
      <c r="Q1044" s="34">
        <v>10440.0</v>
      </c>
      <c r="R1044" s="40">
        <v>11199.0</v>
      </c>
      <c r="S1044" s="35">
        <v>9795.64</v>
      </c>
      <c r="T1044" s="36">
        <v>0.0</v>
      </c>
      <c r="U1044" s="36">
        <v>0.0</v>
      </c>
      <c r="V1044" s="36">
        <v>0.0</v>
      </c>
      <c r="W1044" s="36">
        <v>0.0</v>
      </c>
      <c r="X1044" s="36">
        <v>0.0</v>
      </c>
      <c r="Y1044" s="36">
        <v>0.0</v>
      </c>
    </row>
    <row r="1045">
      <c r="A1045" s="32" t="s">
        <v>517</v>
      </c>
      <c r="B1045" s="32" t="s">
        <v>517</v>
      </c>
      <c r="C1045" s="32" t="s">
        <v>518</v>
      </c>
      <c r="D1045" s="32" t="s">
        <v>519</v>
      </c>
      <c r="E1045" s="32" t="s">
        <v>5102</v>
      </c>
      <c r="F1045" s="32" t="e">
        <v>#N/A</v>
      </c>
      <c r="G1045" s="39"/>
      <c r="H1045" s="32">
        <v>0.0</v>
      </c>
      <c r="I1045" s="39"/>
      <c r="J1045" s="32" t="s">
        <v>520</v>
      </c>
      <c r="K1045" s="33" t="s">
        <v>521</v>
      </c>
      <c r="L1045" s="32" t="e">
        <v>#N/A</v>
      </c>
      <c r="M1045" s="32" t="e">
        <v>#N/A</v>
      </c>
      <c r="N1045" s="32" t="s">
        <v>51</v>
      </c>
      <c r="O1045" s="32" t="s">
        <v>52</v>
      </c>
      <c r="P1045" s="32">
        <v>16659.0</v>
      </c>
      <c r="Q1045" s="34">
        <v>13494.0</v>
      </c>
      <c r="R1045" s="40">
        <v>14499.0</v>
      </c>
      <c r="S1045" s="35">
        <v>12660.84</v>
      </c>
      <c r="T1045" s="36">
        <v>0.0</v>
      </c>
      <c r="U1045" s="36">
        <v>0.0</v>
      </c>
      <c r="V1045" s="36">
        <v>0.0</v>
      </c>
      <c r="W1045" s="36">
        <v>0.0</v>
      </c>
      <c r="X1045" s="36">
        <v>0.0</v>
      </c>
      <c r="Y1045" s="36">
        <v>0.0</v>
      </c>
    </row>
    <row r="1046">
      <c r="A1046" s="32" t="s">
        <v>374</v>
      </c>
      <c r="B1046" s="32" t="s">
        <v>374</v>
      </c>
      <c r="C1046" s="32" t="s">
        <v>375</v>
      </c>
      <c r="D1046" s="32" t="s">
        <v>376</v>
      </c>
      <c r="E1046" s="32" t="s">
        <v>5102</v>
      </c>
      <c r="F1046" s="32" t="e">
        <v>#N/A</v>
      </c>
      <c r="G1046" s="39"/>
      <c r="H1046" s="32">
        <v>0.0</v>
      </c>
      <c r="I1046" s="39"/>
      <c r="J1046" s="32" t="s">
        <v>377</v>
      </c>
      <c r="K1046" s="33" t="s">
        <v>378</v>
      </c>
      <c r="L1046" s="32" t="e">
        <v>#N/A</v>
      </c>
      <c r="M1046" s="32" t="e">
        <v>#N/A</v>
      </c>
      <c r="N1046" s="32" t="s">
        <v>51</v>
      </c>
      <c r="O1046" s="32" t="s">
        <v>52</v>
      </c>
      <c r="P1046" s="32">
        <v>16999.0</v>
      </c>
      <c r="Q1046" s="34">
        <v>13769.0</v>
      </c>
      <c r="R1046" s="40">
        <v>14799.0</v>
      </c>
      <c r="S1046" s="35">
        <v>12919.24</v>
      </c>
      <c r="T1046" s="36">
        <v>0.0</v>
      </c>
      <c r="U1046" s="36">
        <v>0.0</v>
      </c>
      <c r="V1046" s="36">
        <v>0.0</v>
      </c>
      <c r="W1046" s="36">
        <v>0.0</v>
      </c>
      <c r="X1046" s="36">
        <v>0.0</v>
      </c>
      <c r="Y1046" s="36">
        <v>0.0</v>
      </c>
    </row>
    <row r="1047">
      <c r="A1047" s="32" t="s">
        <v>417</v>
      </c>
      <c r="B1047" s="32" t="s">
        <v>417</v>
      </c>
      <c r="C1047" s="32" t="s">
        <v>418</v>
      </c>
      <c r="D1047" s="32" t="s">
        <v>419</v>
      </c>
      <c r="E1047" s="32" t="s">
        <v>5102</v>
      </c>
      <c r="F1047" s="32" t="e">
        <v>#N/A</v>
      </c>
      <c r="G1047" s="39"/>
      <c r="H1047" s="32">
        <v>0.0</v>
      </c>
      <c r="I1047" s="39"/>
      <c r="J1047" s="32" t="s">
        <v>420</v>
      </c>
      <c r="K1047" s="33" t="s">
        <v>421</v>
      </c>
      <c r="L1047" s="32" t="e">
        <v>#N/A</v>
      </c>
      <c r="M1047" s="32" t="e">
        <v>#N/A</v>
      </c>
      <c r="N1047" s="32" t="s">
        <v>51</v>
      </c>
      <c r="O1047" s="32" t="s">
        <v>52</v>
      </c>
      <c r="P1047" s="32">
        <v>20999.0</v>
      </c>
      <c r="Q1047" s="34">
        <v>17009.0</v>
      </c>
      <c r="R1047" s="40">
        <v>18299.0</v>
      </c>
      <c r="S1047" s="35">
        <v>15959.24</v>
      </c>
      <c r="T1047" s="36">
        <v>0.0</v>
      </c>
      <c r="U1047" s="36">
        <v>0.0</v>
      </c>
      <c r="V1047" s="36">
        <v>0.0</v>
      </c>
      <c r="W1047" s="36">
        <v>0.0</v>
      </c>
      <c r="X1047" s="36">
        <v>0.0</v>
      </c>
      <c r="Y1047" s="36">
        <v>0.0</v>
      </c>
    </row>
    <row r="1048">
      <c r="A1048" s="32" t="s">
        <v>476</v>
      </c>
      <c r="B1048" s="32" t="s">
        <v>476</v>
      </c>
      <c r="C1048" s="32" t="s">
        <v>477</v>
      </c>
      <c r="D1048" s="32" t="s">
        <v>478</v>
      </c>
      <c r="E1048" s="32" t="s">
        <v>5102</v>
      </c>
      <c r="F1048" s="32" t="e">
        <v>#N/A</v>
      </c>
      <c r="G1048" s="39"/>
      <c r="H1048" s="32">
        <v>0.0</v>
      </c>
      <c r="I1048" s="39"/>
      <c r="J1048" s="32" t="s">
        <v>479</v>
      </c>
      <c r="K1048" s="33" t="s">
        <v>480</v>
      </c>
      <c r="L1048" s="32" t="e">
        <v>#N/A</v>
      </c>
      <c r="M1048" s="32" t="e">
        <v>#N/A</v>
      </c>
      <c r="N1048" s="32" t="s">
        <v>51</v>
      </c>
      <c r="O1048" s="32" t="s">
        <v>52</v>
      </c>
      <c r="P1048" s="32">
        <v>25999.0</v>
      </c>
      <c r="Q1048" s="34">
        <v>21059.0</v>
      </c>
      <c r="R1048" s="40">
        <v>22599.0</v>
      </c>
      <c r="S1048" s="35">
        <v>19759.24</v>
      </c>
      <c r="T1048" s="36">
        <v>0.0</v>
      </c>
      <c r="U1048" s="36">
        <v>0.0</v>
      </c>
      <c r="V1048" s="36">
        <v>0.0</v>
      </c>
      <c r="W1048" s="36">
        <v>0.0</v>
      </c>
      <c r="X1048" s="36">
        <v>0.0</v>
      </c>
      <c r="Y1048" s="36">
        <v>0.0</v>
      </c>
    </row>
    <row r="1049">
      <c r="A1049" s="32" t="s">
        <v>466</v>
      </c>
      <c r="B1049" s="32" t="s">
        <v>466</v>
      </c>
      <c r="C1049" s="32" t="s">
        <v>467</v>
      </c>
      <c r="D1049" s="32" t="s">
        <v>468</v>
      </c>
      <c r="E1049" s="32" t="s">
        <v>5102</v>
      </c>
      <c r="F1049" s="32" t="e">
        <v>#N/A</v>
      </c>
      <c r="G1049" s="39"/>
      <c r="H1049" s="32">
        <v>0.0</v>
      </c>
      <c r="I1049" s="39"/>
      <c r="J1049" s="32" t="s">
        <v>469</v>
      </c>
      <c r="K1049" s="33" t="s">
        <v>470</v>
      </c>
      <c r="L1049" s="32" t="e">
        <v>#N/A</v>
      </c>
      <c r="M1049" s="32" t="e">
        <v>#N/A</v>
      </c>
      <c r="N1049" s="32" t="s">
        <v>51</v>
      </c>
      <c r="O1049" s="32" t="s">
        <v>52</v>
      </c>
      <c r="P1049" s="32">
        <v>18999.0</v>
      </c>
      <c r="Q1049" s="34">
        <v>15389.0</v>
      </c>
      <c r="R1049" s="40">
        <v>16499.0</v>
      </c>
      <c r="S1049" s="35">
        <v>14439.24</v>
      </c>
      <c r="T1049" s="36">
        <v>0.0</v>
      </c>
      <c r="U1049" s="36">
        <v>0.0</v>
      </c>
      <c r="V1049" s="36">
        <v>0.0</v>
      </c>
      <c r="W1049" s="36">
        <v>0.0</v>
      </c>
      <c r="X1049" s="36">
        <v>0.0</v>
      </c>
      <c r="Y1049" s="36">
        <v>0.0</v>
      </c>
    </row>
    <row r="1050">
      <c r="A1050" s="32" t="s">
        <v>471</v>
      </c>
      <c r="B1050" s="32" t="s">
        <v>471</v>
      </c>
      <c r="C1050" s="32" t="s">
        <v>472</v>
      </c>
      <c r="D1050" s="32" t="s">
        <v>473</v>
      </c>
      <c r="E1050" s="32" t="s">
        <v>5102</v>
      </c>
      <c r="F1050" s="32" t="e">
        <v>#N/A</v>
      </c>
      <c r="G1050" s="39"/>
      <c r="H1050" s="32">
        <v>0.0</v>
      </c>
      <c r="I1050" s="39"/>
      <c r="J1050" s="32" t="s">
        <v>474</v>
      </c>
      <c r="K1050" s="33" t="s">
        <v>475</v>
      </c>
      <c r="L1050" s="32" t="e">
        <v>#N/A</v>
      </c>
      <c r="M1050" s="32" t="e">
        <v>#N/A</v>
      </c>
      <c r="N1050" s="32" t="s">
        <v>51</v>
      </c>
      <c r="O1050" s="32" t="s">
        <v>52</v>
      </c>
      <c r="P1050" s="32">
        <v>21999.0</v>
      </c>
      <c r="Q1050" s="34">
        <v>17819.0</v>
      </c>
      <c r="R1050" s="40">
        <v>19099.0</v>
      </c>
      <c r="S1050" s="35">
        <v>16719.24</v>
      </c>
      <c r="T1050" s="36">
        <v>0.0</v>
      </c>
      <c r="U1050" s="36">
        <v>0.0</v>
      </c>
      <c r="V1050" s="36">
        <v>0.0</v>
      </c>
      <c r="W1050" s="36">
        <v>0.0</v>
      </c>
      <c r="X1050" s="36">
        <v>0.0</v>
      </c>
      <c r="Y1050" s="36">
        <v>0.0</v>
      </c>
    </row>
    <row r="1051">
      <c r="A1051" s="32" t="s">
        <v>53</v>
      </c>
      <c r="B1051" s="32" t="s">
        <v>53</v>
      </c>
      <c r="C1051" s="32" t="s">
        <v>54</v>
      </c>
      <c r="D1051" s="32" t="s">
        <v>55</v>
      </c>
      <c r="E1051" s="32" t="s">
        <v>5073</v>
      </c>
      <c r="F1051" s="32" t="e">
        <v>#N/A</v>
      </c>
      <c r="G1051" s="39"/>
      <c r="H1051" s="32" t="s">
        <v>56</v>
      </c>
      <c r="I1051" s="32" t="s">
        <v>5102</v>
      </c>
      <c r="J1051" s="32" t="s">
        <v>57</v>
      </c>
      <c r="K1051" s="33" t="s">
        <v>58</v>
      </c>
      <c r="L1051" s="32">
        <v>3.2788739E7</v>
      </c>
      <c r="M1051" s="32" t="s">
        <v>59</v>
      </c>
      <c r="N1051" s="32" t="s">
        <v>51</v>
      </c>
      <c r="O1051" s="32" t="s">
        <v>52</v>
      </c>
      <c r="P1051" s="32">
        <v>10399.0</v>
      </c>
      <c r="Q1051" s="34">
        <v>8423.0</v>
      </c>
      <c r="R1051" s="40">
        <v>8999.0</v>
      </c>
      <c r="S1051" s="35">
        <v>7903.24</v>
      </c>
      <c r="T1051" s="36">
        <v>0.0</v>
      </c>
      <c r="U1051" s="36">
        <v>0.0</v>
      </c>
      <c r="V1051" s="36">
        <v>0.0</v>
      </c>
      <c r="W1051" s="36">
        <v>0.0</v>
      </c>
      <c r="X1051" s="36">
        <v>0.0</v>
      </c>
      <c r="Y1051" s="36">
        <v>0.0</v>
      </c>
    </row>
    <row r="1052">
      <c r="A1052" s="32" t="s">
        <v>151</v>
      </c>
      <c r="B1052" s="32" t="s">
        <v>151</v>
      </c>
      <c r="C1052" s="32" t="s">
        <v>152</v>
      </c>
      <c r="D1052" s="32" t="s">
        <v>153</v>
      </c>
      <c r="E1052" s="32" t="s">
        <v>5102</v>
      </c>
      <c r="F1052" s="32" t="e">
        <v>#N/A</v>
      </c>
      <c r="G1052" s="39"/>
      <c r="H1052" s="32">
        <v>0.0</v>
      </c>
      <c r="I1052" s="39"/>
      <c r="J1052" s="32" t="s">
        <v>154</v>
      </c>
      <c r="K1052" s="33" t="s">
        <v>155</v>
      </c>
      <c r="L1052" s="32" t="e">
        <v>#N/A</v>
      </c>
      <c r="M1052" s="32" t="e">
        <v>#N/A</v>
      </c>
      <c r="N1052" s="32" t="s">
        <v>51</v>
      </c>
      <c r="O1052" s="32" t="s">
        <v>52</v>
      </c>
      <c r="P1052" s="32">
        <v>11519.0</v>
      </c>
      <c r="Q1052" s="34">
        <v>9330.0</v>
      </c>
      <c r="R1052" s="40">
        <v>9999.0</v>
      </c>
      <c r="S1052" s="35">
        <v>8754.44</v>
      </c>
      <c r="T1052" s="36">
        <v>0.0</v>
      </c>
      <c r="U1052" s="36">
        <v>0.0</v>
      </c>
      <c r="V1052" s="36">
        <v>0.0</v>
      </c>
      <c r="W1052" s="36">
        <v>0.0</v>
      </c>
      <c r="X1052" s="36">
        <v>0.0</v>
      </c>
      <c r="Y1052" s="36">
        <v>0.0</v>
      </c>
    </row>
    <row r="1053">
      <c r="A1053" s="32" t="s">
        <v>4928</v>
      </c>
      <c r="B1053" s="32" t="s">
        <v>4928</v>
      </c>
      <c r="C1053" s="32" t="s">
        <v>4929</v>
      </c>
      <c r="D1053" s="46" t="s">
        <v>5229</v>
      </c>
      <c r="E1053" s="32" t="s">
        <v>5102</v>
      </c>
      <c r="F1053" s="38"/>
      <c r="G1053" s="38"/>
      <c r="H1053" s="37" t="s">
        <v>5191</v>
      </c>
      <c r="I1053" s="32" t="s">
        <v>5102</v>
      </c>
      <c r="J1053" s="32" t="s">
        <v>4931</v>
      </c>
      <c r="K1053" s="38"/>
      <c r="L1053" s="38"/>
      <c r="M1053" s="38"/>
      <c r="N1053" s="32" t="s">
        <v>51</v>
      </c>
      <c r="O1053" s="32" t="s">
        <v>52</v>
      </c>
      <c r="P1053" s="32">
        <v>11999.0</v>
      </c>
      <c r="Q1053" s="44">
        <v>9719.0</v>
      </c>
      <c r="R1053" s="40">
        <v>10399.0</v>
      </c>
      <c r="S1053" s="35">
        <v>9119.24</v>
      </c>
      <c r="T1053" s="36">
        <v>0.0</v>
      </c>
      <c r="U1053" s="36">
        <v>0.0</v>
      </c>
      <c r="V1053" s="36">
        <v>0.0</v>
      </c>
      <c r="W1053" s="36">
        <v>0.0</v>
      </c>
      <c r="X1053" s="36">
        <v>0.0</v>
      </c>
      <c r="Y1053" s="36">
        <v>0.0</v>
      </c>
    </row>
    <row r="1054">
      <c r="A1054" s="32" t="s">
        <v>172</v>
      </c>
      <c r="B1054" s="32" t="s">
        <v>172</v>
      </c>
      <c r="C1054" s="32" t="s">
        <v>173</v>
      </c>
      <c r="D1054" s="32" t="s">
        <v>174</v>
      </c>
      <c r="E1054" s="32" t="s">
        <v>5102</v>
      </c>
      <c r="F1054" s="32" t="e">
        <v>#N/A</v>
      </c>
      <c r="G1054" s="39"/>
      <c r="H1054" s="32">
        <v>0.0</v>
      </c>
      <c r="I1054" s="39"/>
      <c r="J1054" s="32" t="s">
        <v>175</v>
      </c>
      <c r="K1054" s="33" t="s">
        <v>176</v>
      </c>
      <c r="L1054" s="32" t="e">
        <v>#N/A</v>
      </c>
      <c r="M1054" s="32" t="s">
        <v>177</v>
      </c>
      <c r="N1054" s="32" t="s">
        <v>51</v>
      </c>
      <c r="O1054" s="32" t="s">
        <v>52</v>
      </c>
      <c r="P1054" s="32">
        <v>7489.0</v>
      </c>
      <c r="Q1054" s="34">
        <v>6066.0</v>
      </c>
      <c r="R1054" s="40">
        <v>6499.0</v>
      </c>
      <c r="S1054" s="35">
        <v>5691.64</v>
      </c>
      <c r="T1054" s="36">
        <v>0.0</v>
      </c>
      <c r="U1054" s="36">
        <v>0.0</v>
      </c>
      <c r="V1054" s="36">
        <v>0.0</v>
      </c>
      <c r="W1054" s="36">
        <v>0.0</v>
      </c>
      <c r="X1054" s="36">
        <v>0.0</v>
      </c>
      <c r="Y1054" s="36">
        <v>0.0</v>
      </c>
    </row>
    <row r="1055">
      <c r="A1055" s="32" t="s">
        <v>123</v>
      </c>
      <c r="B1055" s="32" t="s">
        <v>123</v>
      </c>
      <c r="C1055" s="32" t="s">
        <v>124</v>
      </c>
      <c r="D1055" s="32" t="s">
        <v>125</v>
      </c>
      <c r="E1055" s="32" t="s">
        <v>5102</v>
      </c>
      <c r="F1055" s="32" t="e">
        <v>#N/A</v>
      </c>
      <c r="G1055" s="39"/>
      <c r="H1055" s="32">
        <v>0.0</v>
      </c>
      <c r="I1055" s="39"/>
      <c r="J1055" s="32" t="s">
        <v>126</v>
      </c>
      <c r="K1055" s="33" t="s">
        <v>127</v>
      </c>
      <c r="L1055" s="32" t="e">
        <v>#N/A</v>
      </c>
      <c r="M1055" s="32" t="s">
        <v>128</v>
      </c>
      <c r="N1055" s="32" t="s">
        <v>51</v>
      </c>
      <c r="O1055" s="32" t="s">
        <v>52</v>
      </c>
      <c r="P1055" s="32">
        <v>9299.0</v>
      </c>
      <c r="Q1055" s="34">
        <v>7532.0</v>
      </c>
      <c r="R1055" s="40">
        <v>8099.0</v>
      </c>
      <c r="S1055" s="35">
        <v>7067.24</v>
      </c>
      <c r="T1055" s="36">
        <v>0.0</v>
      </c>
      <c r="U1055" s="36">
        <v>0.0</v>
      </c>
      <c r="V1055" s="36">
        <v>0.0</v>
      </c>
      <c r="W1055" s="36">
        <v>0.0</v>
      </c>
      <c r="X1055" s="36">
        <v>0.0</v>
      </c>
      <c r="Y1055" s="36">
        <v>0.0</v>
      </c>
    </row>
    <row r="1056">
      <c r="A1056" s="32" t="s">
        <v>93</v>
      </c>
      <c r="B1056" s="32" t="s">
        <v>93</v>
      </c>
      <c r="C1056" s="32" t="s">
        <v>94</v>
      </c>
      <c r="D1056" s="32" t="s">
        <v>95</v>
      </c>
      <c r="E1056" s="32" t="s">
        <v>5102</v>
      </c>
      <c r="F1056" s="32" t="e">
        <v>#N/A</v>
      </c>
      <c r="G1056" s="39"/>
      <c r="H1056" s="32" t="s">
        <v>96</v>
      </c>
      <c r="I1056" s="32" t="s">
        <v>5102</v>
      </c>
      <c r="J1056" s="32" t="s">
        <v>97</v>
      </c>
      <c r="K1056" s="33" t="s">
        <v>98</v>
      </c>
      <c r="L1056" s="32">
        <v>3.2783936E7</v>
      </c>
      <c r="M1056" s="32" t="s">
        <v>99</v>
      </c>
      <c r="N1056" s="32" t="s">
        <v>51</v>
      </c>
      <c r="O1056" s="32" t="s">
        <v>52</v>
      </c>
      <c r="P1056" s="32">
        <v>13499.0</v>
      </c>
      <c r="Q1056" s="34">
        <v>10934.0</v>
      </c>
      <c r="R1056" s="40">
        <v>11699.0</v>
      </c>
      <c r="S1056" s="35">
        <v>10259.24</v>
      </c>
      <c r="T1056" s="36">
        <v>0.0</v>
      </c>
      <c r="U1056" s="36">
        <v>0.0</v>
      </c>
      <c r="V1056" s="36">
        <v>0.0</v>
      </c>
      <c r="W1056" s="36">
        <v>0.0</v>
      </c>
      <c r="X1056" s="36">
        <v>0.0</v>
      </c>
      <c r="Y1056" s="36">
        <v>0.0</v>
      </c>
    </row>
    <row r="1057">
      <c r="A1057" s="32" t="s">
        <v>189</v>
      </c>
      <c r="B1057" s="32" t="s">
        <v>189</v>
      </c>
      <c r="C1057" s="32" t="s">
        <v>190</v>
      </c>
      <c r="D1057" s="32" t="s">
        <v>191</v>
      </c>
      <c r="E1057" s="32" t="s">
        <v>5102</v>
      </c>
      <c r="F1057" s="32" t="e">
        <v>#N/A</v>
      </c>
      <c r="G1057" s="39"/>
      <c r="H1057" s="32">
        <v>0.0</v>
      </c>
      <c r="I1057" s="39"/>
      <c r="J1057" s="32" t="s">
        <v>192</v>
      </c>
      <c r="K1057" s="33" t="s">
        <v>193</v>
      </c>
      <c r="L1057" s="32" t="e">
        <v>#N/A</v>
      </c>
      <c r="M1057" s="32" t="s">
        <v>194</v>
      </c>
      <c r="N1057" s="32" t="s">
        <v>51</v>
      </c>
      <c r="O1057" s="32" t="s">
        <v>52</v>
      </c>
      <c r="P1057" s="32">
        <v>8149.0</v>
      </c>
      <c r="Q1057" s="34">
        <v>6601.0</v>
      </c>
      <c r="R1057" s="40">
        <v>7099.0</v>
      </c>
      <c r="S1057" s="35">
        <v>6193.24</v>
      </c>
      <c r="T1057" s="36">
        <v>0.0</v>
      </c>
      <c r="U1057" s="36">
        <v>0.0</v>
      </c>
      <c r="V1057" s="36">
        <v>0.0</v>
      </c>
      <c r="W1057" s="36">
        <v>0.0</v>
      </c>
      <c r="X1057" s="36">
        <v>0.0</v>
      </c>
      <c r="Y1057" s="36">
        <v>0.0</v>
      </c>
    </row>
    <row r="1058">
      <c r="A1058" s="32" t="s">
        <v>67</v>
      </c>
      <c r="B1058" s="32" t="s">
        <v>67</v>
      </c>
      <c r="C1058" s="32" t="s">
        <v>68</v>
      </c>
      <c r="D1058" s="32" t="s">
        <v>69</v>
      </c>
      <c r="E1058" s="32" t="s">
        <v>5102</v>
      </c>
      <c r="F1058" s="32" t="e">
        <v>#N/A</v>
      </c>
      <c r="G1058" s="39"/>
      <c r="H1058" s="32" t="s">
        <v>70</v>
      </c>
      <c r="I1058" s="32" t="s">
        <v>5102</v>
      </c>
      <c r="J1058" s="32" t="s">
        <v>71</v>
      </c>
      <c r="K1058" s="33" t="s">
        <v>72</v>
      </c>
      <c r="L1058" s="32">
        <v>3.2783867E7</v>
      </c>
      <c r="M1058" s="32" t="s">
        <v>73</v>
      </c>
      <c r="N1058" s="32" t="s">
        <v>51</v>
      </c>
      <c r="O1058" s="32" t="s">
        <v>52</v>
      </c>
      <c r="P1058" s="32">
        <v>11999.0</v>
      </c>
      <c r="Q1058" s="34">
        <v>9719.0</v>
      </c>
      <c r="R1058" s="40">
        <v>10399.0</v>
      </c>
      <c r="S1058" s="35">
        <v>9119.24</v>
      </c>
      <c r="T1058" s="36">
        <v>0.0</v>
      </c>
      <c r="U1058" s="36">
        <v>0.0</v>
      </c>
      <c r="V1058" s="36">
        <v>0.0</v>
      </c>
      <c r="W1058" s="36">
        <v>0.0</v>
      </c>
      <c r="X1058" s="36">
        <v>0.0</v>
      </c>
      <c r="Y1058" s="36">
        <v>0.0</v>
      </c>
    </row>
    <row r="1059">
      <c r="A1059" s="32" t="s">
        <v>156</v>
      </c>
      <c r="B1059" s="32" t="s">
        <v>156</v>
      </c>
      <c r="C1059" s="32" t="s">
        <v>157</v>
      </c>
      <c r="D1059" s="32" t="s">
        <v>158</v>
      </c>
      <c r="E1059" s="32" t="s">
        <v>5102</v>
      </c>
      <c r="F1059" s="32" t="e">
        <v>#N/A</v>
      </c>
      <c r="G1059" s="39"/>
      <c r="H1059" s="32">
        <v>0.0</v>
      </c>
      <c r="I1059" s="39"/>
      <c r="J1059" s="32" t="s">
        <v>159</v>
      </c>
      <c r="K1059" s="33" t="s">
        <v>160</v>
      </c>
      <c r="L1059" s="32" t="e">
        <v>#N/A</v>
      </c>
      <c r="M1059" s="32" t="e">
        <v>#N/A</v>
      </c>
      <c r="N1059" s="32" t="s">
        <v>51</v>
      </c>
      <c r="O1059" s="32" t="s">
        <v>52</v>
      </c>
      <c r="P1059" s="32">
        <v>11799.0</v>
      </c>
      <c r="Q1059" s="34">
        <v>9557.0</v>
      </c>
      <c r="R1059" s="40">
        <v>10299.0</v>
      </c>
      <c r="S1059" s="35">
        <v>8967.24</v>
      </c>
      <c r="T1059" s="36">
        <v>0.0</v>
      </c>
      <c r="U1059" s="36">
        <v>0.0</v>
      </c>
      <c r="V1059" s="36">
        <v>0.0</v>
      </c>
      <c r="W1059" s="36">
        <v>0.0</v>
      </c>
      <c r="X1059" s="36">
        <v>0.0</v>
      </c>
      <c r="Y1059" s="36">
        <v>0.0</v>
      </c>
    </row>
    <row r="1060">
      <c r="A1060" s="32" t="s">
        <v>44</v>
      </c>
      <c r="B1060" s="32" t="s">
        <v>44</v>
      </c>
      <c r="C1060" s="32" t="s">
        <v>45</v>
      </c>
      <c r="D1060" s="32" t="s">
        <v>46</v>
      </c>
      <c r="E1060" s="32" t="s">
        <v>5102</v>
      </c>
      <c r="F1060" s="32" t="e">
        <v>#N/A</v>
      </c>
      <c r="G1060" s="39"/>
      <c r="H1060" s="32" t="s">
        <v>47</v>
      </c>
      <c r="I1060" s="32" t="s">
        <v>5102</v>
      </c>
      <c r="J1060" s="32" t="s">
        <v>48</v>
      </c>
      <c r="K1060" s="33" t="s">
        <v>49</v>
      </c>
      <c r="L1060" s="32">
        <v>3.2784038E7</v>
      </c>
      <c r="M1060" s="32" t="e">
        <v>#N/A</v>
      </c>
      <c r="N1060" s="32" t="s">
        <v>51</v>
      </c>
      <c r="O1060" s="32" t="s">
        <v>52</v>
      </c>
      <c r="P1060" s="32">
        <v>12399.0</v>
      </c>
      <c r="Q1060" s="34">
        <v>10043.0</v>
      </c>
      <c r="R1060" s="40">
        <v>10799.0</v>
      </c>
      <c r="S1060" s="35">
        <v>9423.24</v>
      </c>
      <c r="T1060" s="36">
        <v>0.0</v>
      </c>
      <c r="U1060" s="36">
        <v>0.0</v>
      </c>
      <c r="V1060" s="36">
        <v>0.0</v>
      </c>
      <c r="W1060" s="36">
        <v>0.0</v>
      </c>
      <c r="X1060" s="36">
        <v>0.0</v>
      </c>
      <c r="Y1060" s="36">
        <v>0.0</v>
      </c>
    </row>
    <row r="1061">
      <c r="A1061" s="32" t="s">
        <v>178</v>
      </c>
      <c r="B1061" s="32" t="s">
        <v>178</v>
      </c>
      <c r="C1061" s="32" t="s">
        <v>179</v>
      </c>
      <c r="D1061" s="32" t="s">
        <v>180</v>
      </c>
      <c r="E1061" s="32" t="s">
        <v>5102</v>
      </c>
      <c r="F1061" s="32" t="e">
        <v>#N/A</v>
      </c>
      <c r="G1061" s="39"/>
      <c r="H1061" s="32">
        <v>0.0</v>
      </c>
      <c r="I1061" s="39"/>
      <c r="J1061" s="32" t="s">
        <v>181</v>
      </c>
      <c r="K1061" s="33" t="s">
        <v>182</v>
      </c>
      <c r="L1061" s="32" t="e">
        <v>#N/A</v>
      </c>
      <c r="M1061" s="32" t="e">
        <v>#N/A</v>
      </c>
      <c r="N1061" s="32" t="s">
        <v>51</v>
      </c>
      <c r="O1061" s="32" t="s">
        <v>52</v>
      </c>
      <c r="P1061" s="32">
        <v>7889.0</v>
      </c>
      <c r="Q1061" s="34">
        <v>6390.0</v>
      </c>
      <c r="R1061" s="40">
        <v>6899.0</v>
      </c>
      <c r="S1061" s="35">
        <v>5995.64</v>
      </c>
      <c r="T1061" s="36">
        <v>0.0</v>
      </c>
      <c r="U1061" s="36">
        <v>0.0</v>
      </c>
      <c r="V1061" s="36">
        <v>0.0</v>
      </c>
      <c r="W1061" s="36">
        <v>0.0</v>
      </c>
      <c r="X1061" s="36">
        <v>0.0</v>
      </c>
      <c r="Y1061" s="36">
        <v>0.0</v>
      </c>
    </row>
    <row r="1062">
      <c r="A1062" s="32" t="s">
        <v>100</v>
      </c>
      <c r="B1062" s="32" t="s">
        <v>100</v>
      </c>
      <c r="C1062" s="32" t="s">
        <v>101</v>
      </c>
      <c r="D1062" s="32" t="s">
        <v>102</v>
      </c>
      <c r="E1062" s="32" t="s">
        <v>5102</v>
      </c>
      <c r="F1062" s="32" t="e">
        <v>#N/A</v>
      </c>
      <c r="G1062" s="39"/>
      <c r="H1062" s="32" t="s">
        <v>103</v>
      </c>
      <c r="I1062" s="32" t="s">
        <v>5102</v>
      </c>
      <c r="J1062" s="32" t="s">
        <v>104</v>
      </c>
      <c r="K1062" s="33" t="s">
        <v>105</v>
      </c>
      <c r="L1062" s="32">
        <v>3.2784121E7</v>
      </c>
      <c r="M1062" s="32" t="s">
        <v>106</v>
      </c>
      <c r="N1062" s="32" t="s">
        <v>51</v>
      </c>
      <c r="O1062" s="32" t="s">
        <v>52</v>
      </c>
      <c r="P1062" s="32">
        <v>13999.0</v>
      </c>
      <c r="Q1062" s="34">
        <v>11339.0</v>
      </c>
      <c r="R1062" s="40">
        <v>12199.0</v>
      </c>
      <c r="S1062" s="35">
        <v>10639.24</v>
      </c>
      <c r="T1062" s="36">
        <v>0.0</v>
      </c>
      <c r="U1062" s="36">
        <v>0.0</v>
      </c>
      <c r="V1062" s="36">
        <v>0.0</v>
      </c>
      <c r="W1062" s="36">
        <v>0.0</v>
      </c>
      <c r="X1062" s="36">
        <v>0.0</v>
      </c>
      <c r="Y1062" s="36">
        <v>0.0</v>
      </c>
    </row>
    <row r="1063">
      <c r="A1063" s="32" t="s">
        <v>195</v>
      </c>
      <c r="B1063" s="32" t="s">
        <v>195</v>
      </c>
      <c r="C1063" s="32" t="s">
        <v>196</v>
      </c>
      <c r="D1063" s="32" t="s">
        <v>197</v>
      </c>
      <c r="E1063" s="32" t="s">
        <v>5102</v>
      </c>
      <c r="F1063" s="32" t="e">
        <v>#N/A</v>
      </c>
      <c r="G1063" s="39"/>
      <c r="H1063" s="32">
        <v>0.0</v>
      </c>
      <c r="I1063" s="39"/>
      <c r="J1063" s="32" t="s">
        <v>198</v>
      </c>
      <c r="K1063" s="33" t="s">
        <v>199</v>
      </c>
      <c r="L1063" s="32" t="e">
        <v>#N/A</v>
      </c>
      <c r="M1063" s="32" t="s">
        <v>200</v>
      </c>
      <c r="N1063" s="32" t="s">
        <v>51</v>
      </c>
      <c r="O1063" s="32" t="s">
        <v>52</v>
      </c>
      <c r="P1063" s="32">
        <v>8279.0</v>
      </c>
      <c r="Q1063" s="34">
        <v>6706.0</v>
      </c>
      <c r="R1063" s="40">
        <v>7199.0</v>
      </c>
      <c r="S1063" s="35">
        <v>6292.04</v>
      </c>
      <c r="T1063" s="36">
        <v>0.0</v>
      </c>
      <c r="U1063" s="36">
        <v>0.0</v>
      </c>
      <c r="V1063" s="36">
        <v>0.0</v>
      </c>
      <c r="W1063" s="36">
        <v>0.0</v>
      </c>
      <c r="X1063" s="36">
        <v>0.0</v>
      </c>
      <c r="Y1063" s="36">
        <v>0.0</v>
      </c>
    </row>
    <row r="1064">
      <c r="A1064" s="32" t="s">
        <v>140</v>
      </c>
      <c r="B1064" s="32" t="s">
        <v>140</v>
      </c>
      <c r="C1064" s="32" t="s">
        <v>141</v>
      </c>
      <c r="D1064" s="32" t="s">
        <v>142</v>
      </c>
      <c r="E1064" s="32" t="s">
        <v>5102</v>
      </c>
      <c r="F1064" s="32" t="e">
        <v>#N/A</v>
      </c>
      <c r="G1064" s="39"/>
      <c r="H1064" s="32">
        <v>0.0</v>
      </c>
      <c r="I1064" s="39"/>
      <c r="J1064" s="32" t="s">
        <v>143</v>
      </c>
      <c r="K1064" s="33" t="s">
        <v>144</v>
      </c>
      <c r="L1064" s="32" t="e">
        <v>#N/A</v>
      </c>
      <c r="M1064" s="32" t="s">
        <v>145</v>
      </c>
      <c r="N1064" s="32" t="s">
        <v>51</v>
      </c>
      <c r="O1064" s="32" t="s">
        <v>52</v>
      </c>
      <c r="P1064" s="32">
        <v>10409.0</v>
      </c>
      <c r="Q1064" s="34">
        <v>8431.0</v>
      </c>
      <c r="R1064" s="40">
        <v>9099.0</v>
      </c>
      <c r="S1064" s="35">
        <v>7910.84</v>
      </c>
      <c r="T1064" s="36">
        <v>0.0</v>
      </c>
      <c r="U1064" s="36">
        <v>0.0</v>
      </c>
      <c r="V1064" s="36">
        <v>0.0</v>
      </c>
      <c r="W1064" s="36">
        <v>0.0</v>
      </c>
      <c r="X1064" s="36">
        <v>0.0</v>
      </c>
      <c r="Y1064" s="36">
        <v>0.0</v>
      </c>
    </row>
    <row r="1065">
      <c r="A1065" s="32" t="s">
        <v>161</v>
      </c>
      <c r="B1065" s="32" t="s">
        <v>161</v>
      </c>
      <c r="C1065" s="32" t="s">
        <v>162</v>
      </c>
      <c r="D1065" s="32" t="s">
        <v>163</v>
      </c>
      <c r="E1065" s="32" t="s">
        <v>5102</v>
      </c>
      <c r="F1065" s="32" t="e">
        <v>#N/A</v>
      </c>
      <c r="G1065" s="39"/>
      <c r="H1065" s="32">
        <v>0.0</v>
      </c>
      <c r="I1065" s="39"/>
      <c r="J1065" s="32" t="s">
        <v>164</v>
      </c>
      <c r="K1065" s="33" t="s">
        <v>165</v>
      </c>
      <c r="L1065" s="32" t="e">
        <v>#N/A</v>
      </c>
      <c r="M1065" s="32" t="e">
        <v>#N/A</v>
      </c>
      <c r="N1065" s="32" t="s">
        <v>51</v>
      </c>
      <c r="O1065" s="32" t="s">
        <v>52</v>
      </c>
      <c r="P1065" s="32">
        <v>12079.0</v>
      </c>
      <c r="Q1065" s="34">
        <v>9784.0</v>
      </c>
      <c r="R1065" s="40">
        <v>10499.0</v>
      </c>
      <c r="S1065" s="35">
        <v>9180.04</v>
      </c>
      <c r="T1065" s="36">
        <v>0.0</v>
      </c>
      <c r="U1065" s="36">
        <v>0.0</v>
      </c>
      <c r="V1065" s="36">
        <v>0.0</v>
      </c>
      <c r="W1065" s="36">
        <v>0.0</v>
      </c>
      <c r="X1065" s="36">
        <v>0.0</v>
      </c>
      <c r="Y1065" s="36">
        <v>0.0</v>
      </c>
    </row>
    <row r="1066">
      <c r="A1066" s="32" t="s">
        <v>1848</v>
      </c>
      <c r="B1066" s="32" t="s">
        <v>1848</v>
      </c>
      <c r="C1066" s="32">
        <v>0.0</v>
      </c>
      <c r="D1066" s="32" t="e">
        <v>#N/A</v>
      </c>
      <c r="E1066" s="39"/>
      <c r="F1066" s="32" t="e">
        <v>#N/A</v>
      </c>
      <c r="G1066" s="39"/>
      <c r="H1066" s="32">
        <v>0.0</v>
      </c>
      <c r="I1066" s="39"/>
      <c r="J1066" s="32" t="s">
        <v>1849</v>
      </c>
      <c r="K1066" s="33" t="e">
        <v>#N/A</v>
      </c>
      <c r="L1066" s="32" t="e">
        <v>#N/A</v>
      </c>
      <c r="M1066" s="32" t="e">
        <v>#N/A</v>
      </c>
      <c r="N1066" s="32" t="s">
        <v>5109</v>
      </c>
      <c r="O1066" s="32" t="s">
        <v>52</v>
      </c>
      <c r="P1066" s="32">
        <v>38999.0</v>
      </c>
      <c r="Q1066" s="34">
        <v>35099.0</v>
      </c>
      <c r="R1066" s="40">
        <v>36999.0</v>
      </c>
      <c r="S1066" s="35">
        <v>32759.16</v>
      </c>
      <c r="T1066" s="36">
        <v>0.0</v>
      </c>
      <c r="U1066" s="36">
        <v>0.0</v>
      </c>
      <c r="V1066" s="36">
        <v>0.0</v>
      </c>
      <c r="W1066" s="36">
        <v>0.0</v>
      </c>
      <c r="X1066" s="36">
        <v>0.0</v>
      </c>
      <c r="Y1066" s="36">
        <v>0.0</v>
      </c>
    </row>
    <row r="1067">
      <c r="A1067" s="32" t="s">
        <v>1834</v>
      </c>
      <c r="B1067" s="32" t="s">
        <v>1834</v>
      </c>
      <c r="C1067" s="32">
        <v>0.0</v>
      </c>
      <c r="D1067" s="32" t="e">
        <v>#N/A</v>
      </c>
      <c r="E1067" s="39"/>
      <c r="F1067" s="32" t="e">
        <v>#N/A</v>
      </c>
      <c r="G1067" s="39"/>
      <c r="H1067" s="32">
        <v>0.0</v>
      </c>
      <c r="I1067" s="39"/>
      <c r="J1067" s="32" t="s">
        <v>1835</v>
      </c>
      <c r="K1067" s="33" t="e">
        <v>#N/A</v>
      </c>
      <c r="L1067" s="32" t="e">
        <v>#N/A</v>
      </c>
      <c r="M1067" s="32" t="e">
        <v>#N/A</v>
      </c>
      <c r="N1067" s="32" t="s">
        <v>5109</v>
      </c>
      <c r="O1067" s="32" t="s">
        <v>52</v>
      </c>
      <c r="P1067" s="32">
        <v>34999.0</v>
      </c>
      <c r="Q1067" s="34">
        <v>31499.0</v>
      </c>
      <c r="R1067" s="40">
        <v>33199.0</v>
      </c>
      <c r="S1067" s="35">
        <v>29399.16</v>
      </c>
      <c r="T1067" s="36">
        <v>0.0</v>
      </c>
      <c r="U1067" s="36">
        <v>0.0</v>
      </c>
      <c r="V1067" s="36">
        <v>0.0</v>
      </c>
      <c r="W1067" s="36">
        <v>0.0</v>
      </c>
      <c r="X1067" s="36">
        <v>0.0</v>
      </c>
      <c r="Y1067" s="36">
        <v>0.0</v>
      </c>
    </row>
    <row r="1068">
      <c r="A1068" s="32" t="s">
        <v>4932</v>
      </c>
      <c r="B1068" s="32" t="s">
        <v>4932</v>
      </c>
      <c r="C1068" s="32" t="s">
        <v>4933</v>
      </c>
      <c r="D1068" s="46" t="s">
        <v>5230</v>
      </c>
      <c r="E1068" s="32" t="s">
        <v>5102</v>
      </c>
      <c r="F1068" s="38"/>
      <c r="G1068" s="38"/>
      <c r="H1068" s="37" t="s">
        <v>5193</v>
      </c>
      <c r="I1068" s="32" t="s">
        <v>5102</v>
      </c>
      <c r="J1068" s="32" t="s">
        <v>4935</v>
      </c>
      <c r="K1068" s="38"/>
      <c r="L1068" s="38"/>
      <c r="M1068" s="38"/>
      <c r="N1068" s="32" t="s">
        <v>51</v>
      </c>
      <c r="O1068" s="32" t="s">
        <v>52</v>
      </c>
      <c r="P1068" s="32">
        <v>11999.0</v>
      </c>
      <c r="Q1068" s="44">
        <v>9719.0</v>
      </c>
      <c r="R1068" s="40">
        <v>10399.0</v>
      </c>
      <c r="S1068" s="35">
        <v>9119.24</v>
      </c>
      <c r="T1068" s="36">
        <v>0.0</v>
      </c>
      <c r="U1068" s="36">
        <v>0.0</v>
      </c>
      <c r="V1068" s="36">
        <v>0.0</v>
      </c>
      <c r="W1068" s="36">
        <v>0.0</v>
      </c>
      <c r="X1068" s="36">
        <v>0.0</v>
      </c>
      <c r="Y1068" s="36">
        <v>0.0</v>
      </c>
    </row>
    <row r="1069">
      <c r="A1069" s="32" t="s">
        <v>201</v>
      </c>
      <c r="B1069" s="32" t="s">
        <v>201</v>
      </c>
      <c r="C1069" s="32" t="s">
        <v>202</v>
      </c>
      <c r="D1069" s="32" t="s">
        <v>203</v>
      </c>
      <c r="E1069" s="32" t="s">
        <v>5102</v>
      </c>
      <c r="F1069" s="32" t="e">
        <v>#N/A</v>
      </c>
      <c r="G1069" s="39"/>
      <c r="H1069" s="32">
        <v>0.0</v>
      </c>
      <c r="I1069" s="39"/>
      <c r="J1069" s="32" t="s">
        <v>204</v>
      </c>
      <c r="K1069" s="33" t="s">
        <v>205</v>
      </c>
      <c r="L1069" s="32" t="e">
        <v>#N/A</v>
      </c>
      <c r="M1069" s="32" t="e">
        <v>#N/A</v>
      </c>
      <c r="N1069" s="32" t="s">
        <v>51</v>
      </c>
      <c r="O1069" s="32" t="s">
        <v>52</v>
      </c>
      <c r="P1069" s="32">
        <v>9199.0</v>
      </c>
      <c r="Q1069" s="34">
        <v>7451.0</v>
      </c>
      <c r="R1069" s="40">
        <v>7999.0</v>
      </c>
      <c r="S1069" s="35">
        <v>6991.24</v>
      </c>
      <c r="T1069" s="36">
        <v>0.0</v>
      </c>
      <c r="U1069" s="36">
        <v>0.0</v>
      </c>
      <c r="V1069" s="36">
        <v>0.0</v>
      </c>
      <c r="W1069" s="36">
        <v>0.0</v>
      </c>
      <c r="X1069" s="36">
        <v>0.0</v>
      </c>
      <c r="Y1069" s="36">
        <v>0.0</v>
      </c>
    </row>
    <row r="1070">
      <c r="A1070" s="32" t="s">
        <v>146</v>
      </c>
      <c r="B1070" s="32" t="s">
        <v>146</v>
      </c>
      <c r="C1070" s="32" t="s">
        <v>147</v>
      </c>
      <c r="D1070" s="32" t="s">
        <v>148</v>
      </c>
      <c r="E1070" s="32" t="s">
        <v>5102</v>
      </c>
      <c r="F1070" s="32" t="e">
        <v>#N/A</v>
      </c>
      <c r="G1070" s="39"/>
      <c r="H1070" s="32">
        <v>0.0</v>
      </c>
      <c r="I1070" s="39"/>
      <c r="J1070" s="32" t="s">
        <v>149</v>
      </c>
      <c r="K1070" s="33" t="s">
        <v>150</v>
      </c>
      <c r="L1070" s="32" t="e">
        <v>#N/A</v>
      </c>
      <c r="M1070" s="32" t="e">
        <v>#N/A</v>
      </c>
      <c r="N1070" s="32" t="s">
        <v>51</v>
      </c>
      <c r="O1070" s="32" t="s">
        <v>52</v>
      </c>
      <c r="P1070" s="32">
        <v>11099.0</v>
      </c>
      <c r="Q1070" s="34">
        <v>8990.0</v>
      </c>
      <c r="R1070" s="40">
        <v>9699.0</v>
      </c>
      <c r="S1070" s="35">
        <v>8435.24</v>
      </c>
      <c r="T1070" s="36">
        <v>0.0</v>
      </c>
      <c r="U1070" s="36">
        <v>0.0</v>
      </c>
      <c r="V1070" s="36">
        <v>0.0</v>
      </c>
      <c r="W1070" s="36">
        <v>0.0</v>
      </c>
      <c r="X1070" s="36">
        <v>0.0</v>
      </c>
      <c r="Y1070" s="36">
        <v>0.0</v>
      </c>
    </row>
    <row r="1071">
      <c r="A1071" s="32" t="s">
        <v>1183</v>
      </c>
      <c r="B1071" s="32" t="s">
        <v>1183</v>
      </c>
      <c r="C1071" s="32" t="s">
        <v>1184</v>
      </c>
      <c r="D1071" s="32" t="s">
        <v>1185</v>
      </c>
      <c r="E1071" s="32" t="s">
        <v>5102</v>
      </c>
      <c r="F1071" s="32" t="e">
        <v>#N/A</v>
      </c>
      <c r="G1071" s="39"/>
      <c r="H1071" s="32">
        <v>0.0</v>
      </c>
      <c r="I1071" s="39"/>
      <c r="J1071" s="32" t="s">
        <v>1183</v>
      </c>
      <c r="K1071" s="33" t="s">
        <v>1186</v>
      </c>
      <c r="L1071" s="32" t="e">
        <v>#N/A</v>
      </c>
      <c r="M1071" s="32" t="s">
        <v>1187</v>
      </c>
      <c r="N1071" s="32" t="s">
        <v>1195</v>
      </c>
      <c r="O1071" s="32" t="s">
        <v>1195</v>
      </c>
      <c r="P1071" s="32">
        <v>2489.0</v>
      </c>
      <c r="Q1071" s="34">
        <v>2464.11</v>
      </c>
      <c r="R1071" s="40">
        <v>1799.0</v>
      </c>
      <c r="S1071" s="35">
        <v>1742.3</v>
      </c>
      <c r="T1071" s="36">
        <v>0.0</v>
      </c>
      <c r="U1071" s="36">
        <v>0.0</v>
      </c>
      <c r="V1071" s="36">
        <v>0.0</v>
      </c>
      <c r="W1071" s="36">
        <v>0.0</v>
      </c>
      <c r="X1071" s="36">
        <v>0.0</v>
      </c>
      <c r="Y1071" s="36">
        <v>0.0</v>
      </c>
    </row>
    <row r="1072">
      <c r="A1072" s="32" t="s">
        <v>2619</v>
      </c>
      <c r="B1072" s="32" t="s">
        <v>2619</v>
      </c>
      <c r="C1072" s="32" t="s">
        <v>2620</v>
      </c>
      <c r="D1072" s="32" t="s">
        <v>2621</v>
      </c>
      <c r="E1072" s="32" t="s">
        <v>5117</v>
      </c>
      <c r="F1072" s="32" t="e">
        <v>#N/A</v>
      </c>
      <c r="G1072" s="32" t="e">
        <v>#N/A</v>
      </c>
      <c r="H1072" s="32" t="s">
        <v>2619</v>
      </c>
      <c r="I1072" s="32" t="s">
        <v>5102</v>
      </c>
      <c r="J1072" s="32" t="s">
        <v>2619</v>
      </c>
      <c r="K1072" s="33" t="s">
        <v>2622</v>
      </c>
      <c r="L1072" s="32" t="e">
        <v>#N/A</v>
      </c>
      <c r="M1072" s="32" t="s">
        <v>2623</v>
      </c>
      <c r="N1072" s="32" t="s">
        <v>1195</v>
      </c>
      <c r="O1072" s="32" t="s">
        <v>1195</v>
      </c>
      <c r="P1072" s="32">
        <v>2989.0</v>
      </c>
      <c r="Q1072" s="34">
        <v>2147.0</v>
      </c>
      <c r="R1072" s="40">
        <v>2099.0</v>
      </c>
      <c r="S1072" s="35">
        <v>2092.3</v>
      </c>
      <c r="T1072" s="36">
        <v>0.0</v>
      </c>
      <c r="U1072" s="36">
        <v>0.0</v>
      </c>
      <c r="V1072" s="36">
        <v>0.0</v>
      </c>
      <c r="W1072" s="36">
        <v>0.0</v>
      </c>
      <c r="X1072" s="36">
        <v>0.0</v>
      </c>
      <c r="Y1072" s="36">
        <v>0.0</v>
      </c>
    </row>
    <row r="1073">
      <c r="A1073" s="32" t="s">
        <v>2619</v>
      </c>
      <c r="B1073" s="32" t="s">
        <v>2619</v>
      </c>
      <c r="C1073" s="32" t="s">
        <v>4801</v>
      </c>
      <c r="D1073" s="32" t="s">
        <v>4802</v>
      </c>
      <c r="E1073" s="32" t="s">
        <v>5102</v>
      </c>
      <c r="F1073" s="32" t="e">
        <v>#N/A</v>
      </c>
      <c r="G1073" s="39"/>
      <c r="H1073" s="32" t="e">
        <v>#N/A</v>
      </c>
      <c r="I1073" s="39"/>
      <c r="J1073" s="32" t="s">
        <v>4803</v>
      </c>
      <c r="K1073" s="33" t="s">
        <v>2622</v>
      </c>
      <c r="L1073" s="32" t="e">
        <v>#N/A</v>
      </c>
      <c r="M1073" s="32" t="e">
        <v>#N/A</v>
      </c>
      <c r="N1073" s="32" t="s">
        <v>1195</v>
      </c>
      <c r="O1073" s="32" t="s">
        <v>1195</v>
      </c>
      <c r="P1073" s="32">
        <v>2989.0</v>
      </c>
      <c r="Q1073" s="34">
        <v>2147.0</v>
      </c>
      <c r="R1073" s="40">
        <v>2099.0</v>
      </c>
      <c r="S1073" s="35">
        <v>2092.3</v>
      </c>
      <c r="T1073" s="36">
        <v>0.0</v>
      </c>
      <c r="U1073" s="36">
        <v>0.0</v>
      </c>
      <c r="V1073" s="36">
        <v>0.0</v>
      </c>
      <c r="W1073" s="36">
        <v>0.0</v>
      </c>
      <c r="X1073" s="36">
        <v>0.0</v>
      </c>
      <c r="Y1073" s="36">
        <v>0.0</v>
      </c>
    </row>
    <row r="1074">
      <c r="A1074" s="32" t="s">
        <v>1855</v>
      </c>
      <c r="B1074" s="32" t="s">
        <v>1855</v>
      </c>
      <c r="C1074" s="32">
        <v>0.0</v>
      </c>
      <c r="D1074" s="32" t="e">
        <v>#N/A</v>
      </c>
      <c r="E1074" s="39"/>
      <c r="F1074" s="32" t="e">
        <v>#N/A</v>
      </c>
      <c r="G1074" s="39"/>
      <c r="H1074" s="32">
        <v>0.0</v>
      </c>
      <c r="I1074" s="39"/>
      <c r="J1074" s="32" t="s">
        <v>1856</v>
      </c>
      <c r="K1074" s="33" t="e">
        <v>#N/A</v>
      </c>
      <c r="L1074" s="32" t="e">
        <v>#N/A</v>
      </c>
      <c r="M1074" s="32" t="e">
        <v>#N/A</v>
      </c>
      <c r="N1074" s="32" t="s">
        <v>5109</v>
      </c>
      <c r="O1074" s="32" t="s">
        <v>52</v>
      </c>
      <c r="P1074" s="32">
        <v>38999.0</v>
      </c>
      <c r="Q1074" s="34">
        <v>35099.0</v>
      </c>
      <c r="R1074" s="40">
        <v>36999.0</v>
      </c>
      <c r="S1074" s="35">
        <v>32759.16</v>
      </c>
      <c r="T1074" s="36">
        <v>0.0</v>
      </c>
      <c r="U1074" s="36">
        <v>0.0</v>
      </c>
      <c r="V1074" s="36">
        <v>0.0</v>
      </c>
      <c r="W1074" s="36">
        <v>0.0</v>
      </c>
      <c r="X1074" s="36">
        <v>0.0</v>
      </c>
      <c r="Y1074" s="36">
        <v>0.0</v>
      </c>
    </row>
    <row r="1075">
      <c r="A1075" s="32" t="s">
        <v>3089</v>
      </c>
      <c r="B1075" s="32" t="s">
        <v>3089</v>
      </c>
      <c r="C1075" s="32" t="s">
        <v>3090</v>
      </c>
      <c r="D1075" s="32" t="s">
        <v>3091</v>
      </c>
      <c r="E1075" s="32" t="s">
        <v>5073</v>
      </c>
      <c r="F1075" s="32" t="e">
        <v>#N/A</v>
      </c>
      <c r="G1075" s="39"/>
      <c r="H1075" s="32" t="s">
        <v>3092</v>
      </c>
      <c r="I1075" s="32" t="s">
        <v>5102</v>
      </c>
      <c r="J1075" s="32" t="s">
        <v>3093</v>
      </c>
      <c r="K1075" s="33" t="s">
        <v>3094</v>
      </c>
      <c r="L1075" s="32">
        <v>3.1745297E7</v>
      </c>
      <c r="M1075" s="32" t="s">
        <v>3095</v>
      </c>
      <c r="N1075" s="32" t="s">
        <v>5087</v>
      </c>
      <c r="O1075" s="32" t="s">
        <v>4730</v>
      </c>
      <c r="P1075" s="32">
        <v>1879.0</v>
      </c>
      <c r="Q1075" s="34">
        <v>1587.0</v>
      </c>
      <c r="R1075" s="40">
        <v>1599.0</v>
      </c>
      <c r="S1075" s="35">
        <v>1597.15</v>
      </c>
      <c r="T1075" s="36">
        <v>0.0</v>
      </c>
      <c r="U1075" s="36">
        <v>0.0</v>
      </c>
      <c r="V1075" s="36">
        <v>0.0</v>
      </c>
      <c r="W1075" s="36">
        <v>0.0</v>
      </c>
      <c r="X1075" s="36">
        <v>0.0</v>
      </c>
      <c r="Y1075" s="36">
        <v>0.0</v>
      </c>
    </row>
    <row r="1076">
      <c r="A1076" s="32" t="s">
        <v>2347</v>
      </c>
      <c r="B1076" s="32" t="s">
        <v>2347</v>
      </c>
      <c r="C1076" s="32" t="s">
        <v>2348</v>
      </c>
      <c r="D1076" s="32" t="s">
        <v>2349</v>
      </c>
      <c r="E1076" s="32" t="s">
        <v>5102</v>
      </c>
      <c r="F1076" s="32" t="e">
        <v>#N/A</v>
      </c>
      <c r="G1076" s="39"/>
      <c r="H1076" s="32">
        <v>0.0</v>
      </c>
      <c r="I1076" s="39"/>
      <c r="J1076" s="32" t="s">
        <v>2350</v>
      </c>
      <c r="K1076" s="33" t="s">
        <v>2351</v>
      </c>
      <c r="L1076" s="32" t="e">
        <v>#N/A</v>
      </c>
      <c r="M1076" s="32" t="e">
        <v>#N/A</v>
      </c>
      <c r="N1076" s="32" t="s">
        <v>5077</v>
      </c>
      <c r="O1076" s="32" t="s">
        <v>4730</v>
      </c>
      <c r="P1076" s="32">
        <v>1200.0</v>
      </c>
      <c r="Q1076" s="34">
        <v>1140.0</v>
      </c>
      <c r="R1076" s="40">
        <v>1140.0</v>
      </c>
      <c r="S1076" s="35">
        <v>1080.0</v>
      </c>
      <c r="T1076" s="36">
        <v>0.0</v>
      </c>
      <c r="U1076" s="36">
        <v>0.0</v>
      </c>
      <c r="V1076" s="36">
        <v>0.0</v>
      </c>
      <c r="W1076" s="36">
        <v>0.0</v>
      </c>
      <c r="X1076" s="36">
        <v>0.0</v>
      </c>
      <c r="Y1076" s="36">
        <v>0.0</v>
      </c>
    </row>
    <row r="1077">
      <c r="A1077" s="32" t="s">
        <v>4373</v>
      </c>
      <c r="B1077" s="32" t="s">
        <v>4373</v>
      </c>
      <c r="C1077" s="32" t="s">
        <v>4374</v>
      </c>
      <c r="D1077" s="32" t="s">
        <v>4375</v>
      </c>
      <c r="E1077" s="32" t="s">
        <v>5102</v>
      </c>
      <c r="F1077" s="32" t="e">
        <v>#N/A</v>
      </c>
      <c r="G1077" s="39"/>
      <c r="H1077" s="32">
        <v>0.0</v>
      </c>
      <c r="I1077" s="39"/>
      <c r="J1077" s="32" t="s">
        <v>4376</v>
      </c>
      <c r="K1077" s="33" t="s">
        <v>4377</v>
      </c>
      <c r="L1077" s="32" t="e">
        <v>#N/A</v>
      </c>
      <c r="M1077" s="32" t="e">
        <v>#N/A</v>
      </c>
      <c r="N1077" s="32" t="s">
        <v>5143</v>
      </c>
      <c r="O1077" s="32" t="s">
        <v>4730</v>
      </c>
      <c r="P1077" s="32">
        <v>4799.0</v>
      </c>
      <c r="Q1077" s="34">
        <v>4299.0</v>
      </c>
      <c r="R1077" s="40">
        <v>4499.0</v>
      </c>
      <c r="S1077" s="35">
        <v>4079.15</v>
      </c>
      <c r="T1077" s="36">
        <v>0.0</v>
      </c>
      <c r="U1077" s="36">
        <v>0.0</v>
      </c>
      <c r="V1077" s="36">
        <v>0.0</v>
      </c>
      <c r="W1077" s="36">
        <v>0.0</v>
      </c>
      <c r="X1077" s="36">
        <v>0.0</v>
      </c>
      <c r="Y1077" s="36">
        <v>0.0</v>
      </c>
    </row>
    <row r="1078">
      <c r="A1078" s="32" t="s">
        <v>1857</v>
      </c>
      <c r="B1078" s="32" t="s">
        <v>1857</v>
      </c>
      <c r="C1078" s="32">
        <v>0.0</v>
      </c>
      <c r="D1078" s="32" t="e">
        <v>#N/A</v>
      </c>
      <c r="E1078" s="39"/>
      <c r="F1078" s="32" t="e">
        <v>#N/A</v>
      </c>
      <c r="G1078" s="39"/>
      <c r="H1078" s="32">
        <v>0.0</v>
      </c>
      <c r="I1078" s="39"/>
      <c r="J1078" s="32" t="s">
        <v>1858</v>
      </c>
      <c r="K1078" s="33" t="e">
        <v>#N/A</v>
      </c>
      <c r="L1078" s="32" t="e">
        <v>#N/A</v>
      </c>
      <c r="M1078" s="32" t="e">
        <v>#N/A</v>
      </c>
      <c r="N1078" s="32" t="s">
        <v>5109</v>
      </c>
      <c r="O1078" s="32" t="s">
        <v>52</v>
      </c>
      <c r="P1078" s="32">
        <v>44999.0</v>
      </c>
      <c r="Q1078" s="34">
        <v>40499.0</v>
      </c>
      <c r="R1078" s="40">
        <v>42699.0</v>
      </c>
      <c r="S1078" s="35">
        <v>37799.16</v>
      </c>
      <c r="T1078" s="36">
        <v>0.0</v>
      </c>
      <c r="U1078" s="36">
        <v>0.0</v>
      </c>
      <c r="V1078" s="36">
        <v>0.0</v>
      </c>
      <c r="W1078" s="36">
        <v>0.0</v>
      </c>
      <c r="X1078" s="36">
        <v>0.0</v>
      </c>
      <c r="Y1078" s="36">
        <v>0.0</v>
      </c>
    </row>
    <row r="1079">
      <c r="A1079" s="32" t="s">
        <v>1846</v>
      </c>
      <c r="B1079" s="32" t="s">
        <v>1846</v>
      </c>
      <c r="C1079" s="32">
        <v>0.0</v>
      </c>
      <c r="D1079" s="32" t="e">
        <v>#N/A</v>
      </c>
      <c r="E1079" s="39"/>
      <c r="F1079" s="32" t="e">
        <v>#N/A</v>
      </c>
      <c r="G1079" s="39"/>
      <c r="H1079" s="32">
        <v>0.0</v>
      </c>
      <c r="I1079" s="39"/>
      <c r="J1079" s="32" t="s">
        <v>1847</v>
      </c>
      <c r="K1079" s="33" t="e">
        <v>#N/A</v>
      </c>
      <c r="L1079" s="32" t="e">
        <v>#N/A</v>
      </c>
      <c r="M1079" s="32" t="e">
        <v>#N/A</v>
      </c>
      <c r="N1079" s="32" t="s">
        <v>5109</v>
      </c>
      <c r="O1079" s="32" t="s">
        <v>52</v>
      </c>
      <c r="P1079" s="32">
        <v>42999.0</v>
      </c>
      <c r="Q1079" s="34">
        <v>38699.0</v>
      </c>
      <c r="R1079" s="40">
        <v>40799.0</v>
      </c>
      <c r="S1079" s="35">
        <v>36119.16</v>
      </c>
      <c r="T1079" s="36">
        <v>0.0</v>
      </c>
      <c r="U1079" s="36">
        <v>0.0</v>
      </c>
      <c r="V1079" s="36">
        <v>0.0</v>
      </c>
      <c r="W1079" s="36">
        <v>0.0</v>
      </c>
      <c r="X1079" s="36">
        <v>0.0</v>
      </c>
      <c r="Y1079" s="36">
        <v>0.0</v>
      </c>
    </row>
    <row r="1080">
      <c r="A1080" s="32" t="s">
        <v>4393</v>
      </c>
      <c r="B1080" s="32" t="s">
        <v>4393</v>
      </c>
      <c r="C1080" s="32" t="s">
        <v>4394</v>
      </c>
      <c r="D1080" s="32" t="s">
        <v>4395</v>
      </c>
      <c r="E1080" s="32" t="s">
        <v>5102</v>
      </c>
      <c r="F1080" s="32" t="e">
        <v>#N/A</v>
      </c>
      <c r="G1080" s="39"/>
      <c r="H1080" s="32">
        <v>0.0</v>
      </c>
      <c r="I1080" s="39"/>
      <c r="J1080" s="32" t="s">
        <v>4396</v>
      </c>
      <c r="K1080" s="33" t="s">
        <v>4397</v>
      </c>
      <c r="L1080" s="32" t="e">
        <v>#N/A</v>
      </c>
      <c r="M1080" s="32" t="e">
        <v>#N/A</v>
      </c>
      <c r="N1080" s="32" t="s">
        <v>5143</v>
      </c>
      <c r="O1080" s="32" t="s">
        <v>4730</v>
      </c>
      <c r="P1080" s="32">
        <v>6599.0</v>
      </c>
      <c r="Q1080" s="34">
        <v>5999.0</v>
      </c>
      <c r="R1080" s="40">
        <v>6299.0</v>
      </c>
      <c r="S1080" s="35">
        <v>5609.15</v>
      </c>
      <c r="T1080" s="36">
        <v>0.0</v>
      </c>
      <c r="U1080" s="36">
        <v>0.0</v>
      </c>
      <c r="V1080" s="36">
        <v>0.0</v>
      </c>
      <c r="W1080" s="36">
        <v>0.0</v>
      </c>
      <c r="X1080" s="36">
        <v>0.0</v>
      </c>
      <c r="Y1080" s="36">
        <v>0.0</v>
      </c>
    </row>
    <row r="1081">
      <c r="A1081" s="32" t="s">
        <v>4383</v>
      </c>
      <c r="B1081" s="32" t="s">
        <v>4383</v>
      </c>
      <c r="C1081" s="32" t="s">
        <v>4384</v>
      </c>
      <c r="D1081" s="32" t="s">
        <v>4385</v>
      </c>
      <c r="E1081" s="32" t="s">
        <v>5102</v>
      </c>
      <c r="F1081" s="32" t="e">
        <v>#N/A</v>
      </c>
      <c r="G1081" s="39"/>
      <c r="H1081" s="32">
        <v>0.0</v>
      </c>
      <c r="I1081" s="39"/>
      <c r="J1081" s="32" t="s">
        <v>4386</v>
      </c>
      <c r="K1081" s="33" t="s">
        <v>4387</v>
      </c>
      <c r="L1081" s="32" t="e">
        <v>#N/A</v>
      </c>
      <c r="M1081" s="32" t="e">
        <v>#N/A</v>
      </c>
      <c r="N1081" s="32" t="s">
        <v>5143</v>
      </c>
      <c r="O1081" s="32" t="s">
        <v>4730</v>
      </c>
      <c r="P1081" s="32">
        <v>5759.0</v>
      </c>
      <c r="Q1081" s="34">
        <v>5199.0</v>
      </c>
      <c r="R1081" s="40">
        <v>5499.0</v>
      </c>
      <c r="S1081" s="35">
        <v>4895.15</v>
      </c>
      <c r="T1081" s="36">
        <v>0.0</v>
      </c>
      <c r="U1081" s="36">
        <v>0.0</v>
      </c>
      <c r="V1081" s="36">
        <v>0.0</v>
      </c>
      <c r="W1081" s="36">
        <v>0.0</v>
      </c>
      <c r="X1081" s="36">
        <v>0.0</v>
      </c>
      <c r="Y1081" s="36">
        <v>0.0</v>
      </c>
    </row>
    <row r="1082">
      <c r="A1082" s="32" t="s">
        <v>4398</v>
      </c>
      <c r="B1082" s="32" t="s">
        <v>4398</v>
      </c>
      <c r="C1082" s="32" t="s">
        <v>4399</v>
      </c>
      <c r="D1082" s="32" t="s">
        <v>4400</v>
      </c>
      <c r="E1082" s="32" t="s">
        <v>5102</v>
      </c>
      <c r="F1082" s="32" t="e">
        <v>#N/A</v>
      </c>
      <c r="G1082" s="39"/>
      <c r="H1082" s="32">
        <v>0.0</v>
      </c>
      <c r="I1082" s="39"/>
      <c r="J1082" s="32" t="s">
        <v>4401</v>
      </c>
      <c r="K1082" s="33" t="s">
        <v>4402</v>
      </c>
      <c r="L1082" s="32" t="e">
        <v>#N/A</v>
      </c>
      <c r="M1082" s="32" t="e">
        <v>#N/A</v>
      </c>
      <c r="N1082" s="32" t="s">
        <v>5143</v>
      </c>
      <c r="O1082" s="32" t="s">
        <v>4730</v>
      </c>
      <c r="P1082" s="32">
        <v>6599.0</v>
      </c>
      <c r="Q1082" s="34">
        <v>5999.0</v>
      </c>
      <c r="R1082" s="40">
        <v>6299.0</v>
      </c>
      <c r="S1082" s="35">
        <v>5609.15</v>
      </c>
      <c r="T1082" s="36">
        <v>0.0</v>
      </c>
      <c r="U1082" s="36">
        <v>0.0</v>
      </c>
      <c r="V1082" s="36">
        <v>0.0</v>
      </c>
      <c r="W1082" s="36">
        <v>0.0</v>
      </c>
      <c r="X1082" s="36">
        <v>0.0</v>
      </c>
      <c r="Y1082" s="36">
        <v>0.0</v>
      </c>
    </row>
    <row r="1083">
      <c r="A1083" s="32" t="s">
        <v>4403</v>
      </c>
      <c r="B1083" s="32" t="s">
        <v>4403</v>
      </c>
      <c r="C1083" s="32" t="s">
        <v>4404</v>
      </c>
      <c r="D1083" s="32" t="s">
        <v>4405</v>
      </c>
      <c r="E1083" s="32" t="s">
        <v>5102</v>
      </c>
      <c r="F1083" s="32" t="e">
        <v>#N/A</v>
      </c>
      <c r="G1083" s="39"/>
      <c r="H1083" s="32">
        <v>0.0</v>
      </c>
      <c r="I1083" s="39"/>
      <c r="J1083" s="32" t="s">
        <v>4406</v>
      </c>
      <c r="K1083" s="33" t="s">
        <v>4407</v>
      </c>
      <c r="L1083" s="32" t="e">
        <v>#N/A</v>
      </c>
      <c r="M1083" s="32" t="e">
        <v>#N/A</v>
      </c>
      <c r="N1083" s="32" t="s">
        <v>5143</v>
      </c>
      <c r="O1083" s="32" t="s">
        <v>4730</v>
      </c>
      <c r="P1083" s="32">
        <v>6599.0</v>
      </c>
      <c r="Q1083" s="34">
        <v>5999.0</v>
      </c>
      <c r="R1083" s="40">
        <v>6299.0</v>
      </c>
      <c r="S1083" s="35">
        <v>5609.15</v>
      </c>
      <c r="T1083" s="36">
        <v>0.0</v>
      </c>
      <c r="U1083" s="36">
        <v>0.0</v>
      </c>
      <c r="V1083" s="36">
        <v>0.0</v>
      </c>
      <c r="W1083" s="36">
        <v>0.0</v>
      </c>
      <c r="X1083" s="36">
        <v>0.0</v>
      </c>
      <c r="Y1083" s="36">
        <v>0.0</v>
      </c>
    </row>
    <row r="1084">
      <c r="A1084" s="32" t="s">
        <v>4378</v>
      </c>
      <c r="B1084" s="32" t="s">
        <v>4378</v>
      </c>
      <c r="C1084" s="32" t="s">
        <v>4379</v>
      </c>
      <c r="D1084" s="32" t="s">
        <v>4380</v>
      </c>
      <c r="E1084" s="32" t="s">
        <v>5102</v>
      </c>
      <c r="F1084" s="32" t="e">
        <v>#N/A</v>
      </c>
      <c r="G1084" s="39"/>
      <c r="H1084" s="32">
        <v>0.0</v>
      </c>
      <c r="I1084" s="39"/>
      <c r="J1084" s="32" t="s">
        <v>4381</v>
      </c>
      <c r="K1084" s="33" t="s">
        <v>4382</v>
      </c>
      <c r="L1084" s="32" t="e">
        <v>#N/A</v>
      </c>
      <c r="M1084" s="32" t="e">
        <v>#N/A</v>
      </c>
      <c r="N1084" s="32" t="s">
        <v>5143</v>
      </c>
      <c r="O1084" s="32" t="s">
        <v>4730</v>
      </c>
      <c r="P1084" s="32">
        <v>5639.0</v>
      </c>
      <c r="Q1084" s="34">
        <v>5099.0</v>
      </c>
      <c r="R1084" s="40">
        <v>5299.0</v>
      </c>
      <c r="S1084" s="35">
        <v>4793.15</v>
      </c>
      <c r="T1084" s="36">
        <v>0.0</v>
      </c>
      <c r="U1084" s="36">
        <v>0.0</v>
      </c>
      <c r="V1084" s="36">
        <v>0.0</v>
      </c>
      <c r="W1084" s="36">
        <v>0.0</v>
      </c>
      <c r="X1084" s="36">
        <v>0.0</v>
      </c>
      <c r="Y1084" s="36">
        <v>0.0</v>
      </c>
    </row>
    <row r="1085">
      <c r="A1085" s="32" t="s">
        <v>4388</v>
      </c>
      <c r="B1085" s="32" t="s">
        <v>4388</v>
      </c>
      <c r="C1085" s="32" t="s">
        <v>4389</v>
      </c>
      <c r="D1085" s="32" t="s">
        <v>4390</v>
      </c>
      <c r="E1085" s="32" t="s">
        <v>5102</v>
      </c>
      <c r="F1085" s="32" t="e">
        <v>#N/A</v>
      </c>
      <c r="G1085" s="39"/>
      <c r="H1085" s="32">
        <v>0.0</v>
      </c>
      <c r="I1085" s="39"/>
      <c r="J1085" s="32" t="s">
        <v>4391</v>
      </c>
      <c r="K1085" s="33" t="s">
        <v>4392</v>
      </c>
      <c r="L1085" s="32" t="e">
        <v>#N/A</v>
      </c>
      <c r="M1085" s="32" t="e">
        <v>#N/A</v>
      </c>
      <c r="N1085" s="32" t="s">
        <v>5143</v>
      </c>
      <c r="O1085" s="32" t="s">
        <v>4730</v>
      </c>
      <c r="P1085" s="32">
        <v>5879.0</v>
      </c>
      <c r="Q1085" s="34">
        <v>5299.0</v>
      </c>
      <c r="R1085" s="40">
        <v>5599.0</v>
      </c>
      <c r="S1085" s="35">
        <v>4997.15</v>
      </c>
      <c r="T1085" s="36">
        <v>0.0</v>
      </c>
      <c r="U1085" s="36">
        <v>0.0</v>
      </c>
      <c r="V1085" s="36">
        <v>0.0</v>
      </c>
      <c r="W1085" s="36">
        <v>0.0</v>
      </c>
      <c r="X1085" s="36">
        <v>0.0</v>
      </c>
      <c r="Y1085" s="36">
        <v>0.0</v>
      </c>
    </row>
    <row r="1086">
      <c r="A1086" s="32" t="s">
        <v>4368</v>
      </c>
      <c r="B1086" s="32" t="s">
        <v>4368</v>
      </c>
      <c r="C1086" s="32" t="s">
        <v>4369</v>
      </c>
      <c r="D1086" s="32" t="s">
        <v>4811</v>
      </c>
      <c r="E1086" s="32" t="s">
        <v>5102</v>
      </c>
      <c r="F1086" s="32" t="e">
        <v>#N/A</v>
      </c>
      <c r="G1086" s="39"/>
      <c r="H1086" s="32">
        <v>0.0</v>
      </c>
      <c r="I1086" s="39"/>
      <c r="J1086" s="32" t="s">
        <v>4371</v>
      </c>
      <c r="K1086" s="33" t="s">
        <v>4372</v>
      </c>
      <c r="L1086" s="32" t="e">
        <v>#N/A</v>
      </c>
      <c r="M1086" s="32" t="e">
        <v>#N/A</v>
      </c>
      <c r="N1086" s="32" t="s">
        <v>5143</v>
      </c>
      <c r="O1086" s="32" t="s">
        <v>4730</v>
      </c>
      <c r="P1086" s="32">
        <v>4199.0</v>
      </c>
      <c r="Q1086" s="34">
        <v>3799.0</v>
      </c>
      <c r="R1086" s="40">
        <v>3999.0</v>
      </c>
      <c r="S1086" s="35">
        <v>3569.15</v>
      </c>
      <c r="T1086" s="36">
        <v>0.0</v>
      </c>
      <c r="U1086" s="36">
        <v>0.0</v>
      </c>
      <c r="V1086" s="36">
        <v>0.0</v>
      </c>
      <c r="W1086" s="36">
        <v>0.0</v>
      </c>
      <c r="X1086" s="36">
        <v>0.0</v>
      </c>
      <c r="Y1086" s="36">
        <v>0.0</v>
      </c>
    </row>
    <row r="1087">
      <c r="A1087" s="32" t="s">
        <v>3777</v>
      </c>
      <c r="B1087" s="32" t="s">
        <v>3777</v>
      </c>
      <c r="C1087" s="32" t="s">
        <v>3778</v>
      </c>
      <c r="D1087" s="32" t="s">
        <v>3779</v>
      </c>
      <c r="E1087" s="32" t="s">
        <v>5102</v>
      </c>
      <c r="F1087" s="32" t="e">
        <v>#N/A</v>
      </c>
      <c r="G1087" s="39"/>
      <c r="H1087" s="32" t="s">
        <v>3780</v>
      </c>
      <c r="I1087" s="32" t="s">
        <v>5102</v>
      </c>
      <c r="J1087" s="32" t="s">
        <v>3781</v>
      </c>
      <c r="K1087" s="33" t="s">
        <v>3782</v>
      </c>
      <c r="L1087" s="32" t="e">
        <v>#N/A</v>
      </c>
      <c r="M1087" s="32" t="e">
        <v>#N/A</v>
      </c>
      <c r="N1087" s="32" t="s">
        <v>5158</v>
      </c>
      <c r="O1087" s="32" t="s">
        <v>5158</v>
      </c>
      <c r="P1087" s="32">
        <v>26249.0</v>
      </c>
      <c r="Q1087" s="34">
        <v>22312.0</v>
      </c>
      <c r="R1087" s="40">
        <v>22312.0</v>
      </c>
      <c r="S1087" s="40">
        <v>22312.0</v>
      </c>
      <c r="T1087" s="36">
        <v>0.0</v>
      </c>
      <c r="U1087" s="36">
        <v>0.0</v>
      </c>
      <c r="V1087" s="36">
        <v>0.0</v>
      </c>
      <c r="W1087" s="36">
        <v>0.0</v>
      </c>
      <c r="X1087" s="36">
        <v>0.0</v>
      </c>
      <c r="Y1087" s="36">
        <v>0.0</v>
      </c>
    </row>
    <row r="1088">
      <c r="A1088" s="32" t="s">
        <v>3771</v>
      </c>
      <c r="B1088" s="32" t="s">
        <v>3771</v>
      </c>
      <c r="C1088" s="32" t="s">
        <v>3772</v>
      </c>
      <c r="D1088" s="32" t="s">
        <v>3773</v>
      </c>
      <c r="E1088" s="32" t="s">
        <v>5073</v>
      </c>
      <c r="F1088" s="32" t="e">
        <v>#N/A</v>
      </c>
      <c r="G1088" s="39"/>
      <c r="H1088" s="32" t="s">
        <v>3774</v>
      </c>
      <c r="I1088" s="32" t="s">
        <v>5102</v>
      </c>
      <c r="J1088" s="32" t="s">
        <v>3775</v>
      </c>
      <c r="K1088" s="33" t="s">
        <v>3776</v>
      </c>
      <c r="L1088" s="32" t="e">
        <v>#N/A</v>
      </c>
      <c r="M1088" s="32" t="e">
        <v>#N/A</v>
      </c>
      <c r="N1088" s="32" t="s">
        <v>5158</v>
      </c>
      <c r="O1088" s="32" t="s">
        <v>5158</v>
      </c>
      <c r="P1088" s="32">
        <v>26249.0</v>
      </c>
      <c r="Q1088" s="34">
        <v>22312.0</v>
      </c>
      <c r="R1088" s="40">
        <v>22312.0</v>
      </c>
      <c r="S1088" s="40">
        <v>22312.0</v>
      </c>
      <c r="T1088" s="36">
        <v>0.0</v>
      </c>
      <c r="U1088" s="36">
        <v>0.0</v>
      </c>
      <c r="V1088" s="36">
        <v>0.0</v>
      </c>
      <c r="W1088" s="36">
        <v>0.0</v>
      </c>
      <c r="X1088" s="36">
        <v>0.0</v>
      </c>
      <c r="Y1088" s="36">
        <v>0.0</v>
      </c>
    </row>
    <row r="1089">
      <c r="A1089" s="32" t="s">
        <v>3407</v>
      </c>
      <c r="B1089" s="32" t="s">
        <v>3407</v>
      </c>
      <c r="C1089" s="32" t="s">
        <v>3408</v>
      </c>
      <c r="D1089" s="32" t="s">
        <v>3409</v>
      </c>
      <c r="E1089" s="32" t="s">
        <v>5073</v>
      </c>
      <c r="F1089" s="32" t="e">
        <v>#N/A</v>
      </c>
      <c r="G1089" s="39"/>
      <c r="H1089" s="32" t="s">
        <v>3410</v>
      </c>
      <c r="I1089" s="32" t="s">
        <v>5073</v>
      </c>
      <c r="J1089" s="32" t="s">
        <v>3411</v>
      </c>
      <c r="K1089" s="33" t="s">
        <v>3412</v>
      </c>
      <c r="L1089" s="32">
        <v>3.2777658E7</v>
      </c>
      <c r="M1089" s="32" t="s">
        <v>3413</v>
      </c>
      <c r="N1089" s="32" t="s">
        <v>5076</v>
      </c>
      <c r="O1089" s="32" t="s">
        <v>1145</v>
      </c>
      <c r="P1089" s="32">
        <v>1849.0</v>
      </c>
      <c r="Q1089" s="34">
        <v>1799.0</v>
      </c>
      <c r="R1089" s="40">
        <v>1799.0</v>
      </c>
      <c r="S1089" s="35">
        <v>1699.0</v>
      </c>
      <c r="T1089" s="36">
        <v>0.0</v>
      </c>
      <c r="U1089" s="36">
        <v>0.0</v>
      </c>
      <c r="V1089" s="36">
        <v>0.0</v>
      </c>
      <c r="W1089" s="36">
        <v>0.0</v>
      </c>
      <c r="X1089" s="36">
        <v>0.0</v>
      </c>
      <c r="Y1089" s="36">
        <v>0.0</v>
      </c>
    </row>
    <row r="1090">
      <c r="A1090" s="32" t="s">
        <v>3418</v>
      </c>
      <c r="B1090" s="32" t="s">
        <v>3418</v>
      </c>
      <c r="C1090" s="32" t="s">
        <v>3419</v>
      </c>
      <c r="D1090" s="32" t="s">
        <v>3421</v>
      </c>
      <c r="E1090" s="32" t="s">
        <v>5102</v>
      </c>
      <c r="F1090" s="32" t="e">
        <v>#N/A</v>
      </c>
      <c r="G1090" s="39"/>
      <c r="H1090" s="32" t="s">
        <v>3418</v>
      </c>
      <c r="I1090" s="32" t="s">
        <v>5102</v>
      </c>
      <c r="J1090" s="32" t="s">
        <v>3422</v>
      </c>
      <c r="K1090" s="33" t="s">
        <v>3423</v>
      </c>
      <c r="L1090" s="32" t="e">
        <v>#N/A</v>
      </c>
      <c r="M1090" s="32" t="e">
        <v>#N/A</v>
      </c>
      <c r="N1090" s="32" t="s">
        <v>5078</v>
      </c>
      <c r="O1090" s="32" t="s">
        <v>4730</v>
      </c>
      <c r="P1090" s="32">
        <v>699.0</v>
      </c>
      <c r="Q1090" s="34">
        <v>692.01</v>
      </c>
      <c r="R1090" s="35">
        <v>699.0</v>
      </c>
      <c r="S1090" s="35">
        <v>664.05</v>
      </c>
      <c r="T1090" s="36">
        <v>0.0</v>
      </c>
      <c r="U1090" s="36">
        <v>0.0</v>
      </c>
      <c r="V1090" s="36">
        <v>0.0</v>
      </c>
      <c r="W1090" s="36">
        <v>0.0</v>
      </c>
      <c r="X1090" s="36">
        <v>0.0</v>
      </c>
      <c r="Y1090" s="36">
        <v>0.0</v>
      </c>
    </row>
    <row r="1091">
      <c r="A1091" s="32" t="s">
        <v>4917</v>
      </c>
      <c r="B1091" s="32" t="s">
        <v>4917</v>
      </c>
      <c r="C1091" s="32" t="s">
        <v>4918</v>
      </c>
      <c r="D1091" s="46" t="s">
        <v>5231</v>
      </c>
      <c r="E1091" s="47" t="s">
        <v>5102</v>
      </c>
      <c r="F1091" s="38"/>
      <c r="G1091" s="38"/>
      <c r="H1091" s="38"/>
      <c r="I1091" s="38"/>
      <c r="J1091" s="32" t="s">
        <v>5195</v>
      </c>
      <c r="K1091" s="38"/>
      <c r="L1091" s="38"/>
      <c r="M1091" s="38"/>
      <c r="N1091" s="32" t="s">
        <v>1144</v>
      </c>
      <c r="O1091" s="32" t="s">
        <v>1145</v>
      </c>
      <c r="P1091" s="32">
        <v>2999.0</v>
      </c>
      <c r="Q1091" s="44">
        <v>1799.0</v>
      </c>
      <c r="R1091" s="40">
        <v>1799.0</v>
      </c>
      <c r="S1091" s="35">
        <v>1699.0</v>
      </c>
      <c r="T1091" s="36">
        <v>0.0</v>
      </c>
      <c r="U1091" s="36">
        <v>0.0</v>
      </c>
      <c r="V1091" s="36">
        <v>0.0</v>
      </c>
      <c r="W1091" s="36">
        <v>0.0</v>
      </c>
      <c r="X1091" s="36">
        <v>0.0</v>
      </c>
      <c r="Y1091" s="36">
        <v>0.0</v>
      </c>
    </row>
    <row r="1092">
      <c r="A1092" s="32" t="s">
        <v>3050</v>
      </c>
      <c r="B1092" s="32" t="s">
        <v>3050</v>
      </c>
      <c r="C1092" s="32" t="s">
        <v>3051</v>
      </c>
      <c r="D1092" s="32" t="s">
        <v>3052</v>
      </c>
      <c r="E1092" s="32" t="s">
        <v>5073</v>
      </c>
      <c r="F1092" s="32" t="e">
        <v>#N/A</v>
      </c>
      <c r="G1092" s="39"/>
      <c r="H1092" s="32" t="s">
        <v>3053</v>
      </c>
      <c r="I1092" s="32" t="s">
        <v>5102</v>
      </c>
      <c r="J1092" s="32" t="s">
        <v>3054</v>
      </c>
      <c r="K1092" s="33" t="s">
        <v>3055</v>
      </c>
      <c r="L1092" s="32" t="e">
        <v>#N/A</v>
      </c>
      <c r="M1092" s="32" t="e">
        <v>#N/A</v>
      </c>
      <c r="N1092" s="32" t="s">
        <v>5106</v>
      </c>
      <c r="O1092" s="32" t="s">
        <v>4730</v>
      </c>
      <c r="P1092" s="32">
        <v>3599.0</v>
      </c>
      <c r="Q1092" s="34">
        <v>3059.0</v>
      </c>
      <c r="R1092" s="40">
        <v>3299.0</v>
      </c>
      <c r="S1092" s="35">
        <v>3059.15</v>
      </c>
      <c r="T1092" s="36">
        <v>0.0</v>
      </c>
      <c r="U1092" s="36">
        <v>0.0</v>
      </c>
      <c r="V1092" s="36">
        <v>0.0</v>
      </c>
      <c r="W1092" s="36">
        <v>0.0</v>
      </c>
      <c r="X1092" s="36">
        <v>0.0</v>
      </c>
      <c r="Y1092" s="36">
        <v>0.0</v>
      </c>
    </row>
    <row r="1093">
      <c r="A1093" s="32" t="s">
        <v>3716</v>
      </c>
      <c r="B1093" s="32" t="s">
        <v>3716</v>
      </c>
      <c r="C1093" s="32" t="s">
        <v>3717</v>
      </c>
      <c r="D1093" s="32" t="s">
        <v>3718</v>
      </c>
      <c r="E1093" s="32" t="s">
        <v>5102</v>
      </c>
      <c r="F1093" s="32" t="e">
        <v>#N/A</v>
      </c>
      <c r="G1093" s="39"/>
      <c r="H1093" s="32" t="s">
        <v>3716</v>
      </c>
      <c r="I1093" s="32" t="s">
        <v>5102</v>
      </c>
      <c r="J1093" s="32" t="s">
        <v>3719</v>
      </c>
      <c r="K1093" s="33" t="s">
        <v>3720</v>
      </c>
      <c r="L1093" s="32" t="e">
        <v>#N/A</v>
      </c>
      <c r="M1093" s="32" t="e">
        <v>#N/A</v>
      </c>
      <c r="N1093" s="32" t="s">
        <v>5127</v>
      </c>
      <c r="O1093" s="32" t="s">
        <v>4730</v>
      </c>
      <c r="P1093" s="32">
        <v>949.0</v>
      </c>
      <c r="Q1093" s="34">
        <v>939.51</v>
      </c>
      <c r="R1093" s="35">
        <v>949.0</v>
      </c>
      <c r="S1093" s="35">
        <v>899.0</v>
      </c>
      <c r="T1093" s="36">
        <v>0.0</v>
      </c>
      <c r="U1093" s="36">
        <v>0.0</v>
      </c>
      <c r="V1093" s="36">
        <v>0.0</v>
      </c>
      <c r="W1093" s="36">
        <v>0.0</v>
      </c>
      <c r="X1093" s="36">
        <v>0.0</v>
      </c>
      <c r="Y1093" s="36">
        <v>0.0</v>
      </c>
    </row>
    <row r="1094">
      <c r="A1094" s="32" t="s">
        <v>3691</v>
      </c>
      <c r="B1094" s="32" t="s">
        <v>3691</v>
      </c>
      <c r="C1094" s="32" t="s">
        <v>3692</v>
      </c>
      <c r="D1094" s="32" t="s">
        <v>3693</v>
      </c>
      <c r="E1094" s="32" t="s">
        <v>5102</v>
      </c>
      <c r="F1094" s="32" t="e">
        <v>#N/A</v>
      </c>
      <c r="G1094" s="39"/>
      <c r="H1094" s="32" t="s">
        <v>3691</v>
      </c>
      <c r="I1094" s="32" t="s">
        <v>5102</v>
      </c>
      <c r="J1094" s="32" t="s">
        <v>3694</v>
      </c>
      <c r="K1094" s="33" t="s">
        <v>3695</v>
      </c>
      <c r="L1094" s="32" t="e">
        <v>#N/A</v>
      </c>
      <c r="M1094" s="32" t="e">
        <v>#N/A</v>
      </c>
      <c r="N1094" s="32" t="s">
        <v>5127</v>
      </c>
      <c r="O1094" s="32" t="s">
        <v>4730</v>
      </c>
      <c r="P1094" s="32">
        <v>999.0</v>
      </c>
      <c r="Q1094" s="34">
        <v>899.0</v>
      </c>
      <c r="R1094" s="35">
        <v>899.0</v>
      </c>
      <c r="S1094" s="35">
        <v>849.0</v>
      </c>
      <c r="T1094" s="36">
        <v>0.0</v>
      </c>
      <c r="U1094" s="36">
        <v>0.0</v>
      </c>
      <c r="V1094" s="36">
        <v>0.0</v>
      </c>
      <c r="W1094" s="36">
        <v>0.0</v>
      </c>
      <c r="X1094" s="36">
        <v>0.0</v>
      </c>
      <c r="Y1094" s="36">
        <v>0.0</v>
      </c>
    </row>
    <row r="1095">
      <c r="A1095" s="32" t="s">
        <v>1622</v>
      </c>
      <c r="B1095" s="32" t="s">
        <v>1622</v>
      </c>
      <c r="C1095" s="32">
        <v>0.0</v>
      </c>
      <c r="D1095" s="32" t="e">
        <v>#N/A</v>
      </c>
      <c r="E1095" s="39"/>
      <c r="F1095" s="32" t="e">
        <v>#N/A</v>
      </c>
      <c r="G1095" s="39"/>
      <c r="H1095" s="32">
        <v>0.0</v>
      </c>
      <c r="I1095" s="39"/>
      <c r="J1095" s="32" t="s">
        <v>1623</v>
      </c>
      <c r="K1095" s="33" t="e">
        <v>#N/A</v>
      </c>
      <c r="L1095" s="32" t="e">
        <v>#N/A</v>
      </c>
      <c r="M1095" s="32" t="e">
        <v>#N/A</v>
      </c>
      <c r="N1095" s="32" t="s">
        <v>5112</v>
      </c>
      <c r="O1095" s="32" t="s">
        <v>52</v>
      </c>
      <c r="P1095" s="32">
        <v>29999.0</v>
      </c>
      <c r="Q1095" s="34">
        <v>26999.0</v>
      </c>
      <c r="R1095" s="40">
        <v>28499.0</v>
      </c>
      <c r="S1095" s="35">
        <v>23099.23</v>
      </c>
      <c r="T1095" s="36">
        <v>0.0</v>
      </c>
      <c r="U1095" s="36">
        <v>0.0</v>
      </c>
      <c r="V1095" s="36">
        <v>0.0</v>
      </c>
      <c r="W1095" s="36">
        <v>0.0</v>
      </c>
      <c r="X1095" s="36">
        <v>0.0</v>
      </c>
      <c r="Y1095" s="36">
        <v>0.0</v>
      </c>
    </row>
    <row r="1096">
      <c r="A1096" s="32" t="s">
        <v>1605</v>
      </c>
      <c r="B1096" s="32" t="s">
        <v>1605</v>
      </c>
      <c r="C1096" s="32">
        <v>0.0</v>
      </c>
      <c r="D1096" s="32" t="e">
        <v>#N/A</v>
      </c>
      <c r="E1096" s="39"/>
      <c r="F1096" s="32" t="e">
        <v>#N/A</v>
      </c>
      <c r="G1096" s="39"/>
      <c r="H1096" s="32">
        <v>0.0</v>
      </c>
      <c r="I1096" s="39"/>
      <c r="J1096" s="32" t="s">
        <v>1606</v>
      </c>
      <c r="K1096" s="33" t="e">
        <v>#N/A</v>
      </c>
      <c r="L1096" s="32" t="e">
        <v>#N/A</v>
      </c>
      <c r="M1096" s="32" t="e">
        <v>#N/A</v>
      </c>
      <c r="N1096" s="32" t="s">
        <v>5112</v>
      </c>
      <c r="O1096" s="32" t="s">
        <v>52</v>
      </c>
      <c r="P1096" s="32">
        <v>25999.0</v>
      </c>
      <c r="Q1096" s="34">
        <v>23399.0</v>
      </c>
      <c r="R1096" s="40">
        <v>24699.0</v>
      </c>
      <c r="S1096" s="35">
        <v>20019.23</v>
      </c>
      <c r="T1096" s="36">
        <v>0.0</v>
      </c>
      <c r="U1096" s="36">
        <v>0.0</v>
      </c>
      <c r="V1096" s="36">
        <v>0.0</v>
      </c>
      <c r="W1096" s="36">
        <v>0.0</v>
      </c>
      <c r="X1096" s="36">
        <v>0.0</v>
      </c>
      <c r="Y1096" s="36">
        <v>0.0</v>
      </c>
    </row>
    <row r="1097">
      <c r="A1097" s="32" t="s">
        <v>3639</v>
      </c>
      <c r="B1097" s="32" t="s">
        <v>3639</v>
      </c>
      <c r="C1097" s="32" t="s">
        <v>3640</v>
      </c>
      <c r="D1097" s="32" t="s">
        <v>3641</v>
      </c>
      <c r="E1097" s="32" t="s">
        <v>5102</v>
      </c>
      <c r="F1097" s="32" t="e">
        <v>#N/A</v>
      </c>
      <c r="G1097" s="39"/>
      <c r="H1097" s="32" t="s">
        <v>3639</v>
      </c>
      <c r="I1097" s="32" t="s">
        <v>5102</v>
      </c>
      <c r="J1097" s="32" t="s">
        <v>3642</v>
      </c>
      <c r="K1097" s="33" t="s">
        <v>3643</v>
      </c>
      <c r="L1097" s="32" t="e">
        <v>#N/A</v>
      </c>
      <c r="M1097" s="32" t="e">
        <v>#N/A</v>
      </c>
      <c r="N1097" s="32" t="s">
        <v>5127</v>
      </c>
      <c r="O1097" s="32" t="s">
        <v>4730</v>
      </c>
      <c r="P1097" s="32">
        <v>899.0</v>
      </c>
      <c r="Q1097" s="34">
        <v>799.0</v>
      </c>
      <c r="R1097" s="35">
        <v>799.0</v>
      </c>
      <c r="S1097" s="35">
        <v>749.0</v>
      </c>
      <c r="T1097" s="36">
        <v>0.0</v>
      </c>
      <c r="U1097" s="36">
        <v>0.0</v>
      </c>
      <c r="V1097" s="36">
        <v>0.0</v>
      </c>
      <c r="W1097" s="36">
        <v>0.0</v>
      </c>
      <c r="X1097" s="36">
        <v>0.0</v>
      </c>
      <c r="Y1097" s="36">
        <v>0.0</v>
      </c>
    </row>
    <row r="1098">
      <c r="A1098" s="32" t="s">
        <v>3706</v>
      </c>
      <c r="B1098" s="32" t="s">
        <v>3706</v>
      </c>
      <c r="C1098" s="32" t="s">
        <v>3707</v>
      </c>
      <c r="D1098" s="32" t="s">
        <v>3708</v>
      </c>
      <c r="E1098" s="32" t="s">
        <v>5102</v>
      </c>
      <c r="F1098" s="32" t="e">
        <v>#N/A</v>
      </c>
      <c r="G1098" s="39"/>
      <c r="H1098" s="32" t="s">
        <v>3706</v>
      </c>
      <c r="I1098" s="32" t="s">
        <v>5102</v>
      </c>
      <c r="J1098" s="32" t="s">
        <v>3709</v>
      </c>
      <c r="K1098" s="33" t="s">
        <v>3710</v>
      </c>
      <c r="L1098" s="32" t="e">
        <v>#N/A</v>
      </c>
      <c r="M1098" s="32" t="e">
        <v>#N/A</v>
      </c>
      <c r="N1098" s="32" t="s">
        <v>5127</v>
      </c>
      <c r="O1098" s="32" t="s">
        <v>4730</v>
      </c>
      <c r="P1098" s="32">
        <v>949.0</v>
      </c>
      <c r="Q1098" s="34">
        <v>899.0</v>
      </c>
      <c r="R1098" s="35">
        <v>899.0</v>
      </c>
      <c r="S1098" s="35">
        <v>849.0</v>
      </c>
      <c r="T1098" s="36">
        <v>0.0</v>
      </c>
      <c r="U1098" s="36">
        <v>0.0</v>
      </c>
      <c r="V1098" s="36">
        <v>0.0</v>
      </c>
      <c r="W1098" s="36">
        <v>0.0</v>
      </c>
      <c r="X1098" s="36">
        <v>0.0</v>
      </c>
      <c r="Y1098" s="36">
        <v>0.0</v>
      </c>
    </row>
    <row r="1099">
      <c r="A1099" s="32" t="s">
        <v>3629</v>
      </c>
      <c r="B1099" s="32" t="s">
        <v>3629</v>
      </c>
      <c r="C1099" s="32" t="s">
        <v>3630</v>
      </c>
      <c r="D1099" s="32" t="s">
        <v>3631</v>
      </c>
      <c r="E1099" s="32" t="s">
        <v>5102</v>
      </c>
      <c r="F1099" s="32" t="e">
        <v>#N/A</v>
      </c>
      <c r="G1099" s="39"/>
      <c r="H1099" s="32" t="s">
        <v>3629</v>
      </c>
      <c r="I1099" s="32" t="s">
        <v>5102</v>
      </c>
      <c r="J1099" s="32" t="s">
        <v>3632</v>
      </c>
      <c r="K1099" s="33" t="s">
        <v>3633</v>
      </c>
      <c r="L1099" s="32" t="e">
        <v>#N/A</v>
      </c>
      <c r="M1099" s="32" t="e">
        <v>#N/A</v>
      </c>
      <c r="N1099" s="32" t="s">
        <v>5127</v>
      </c>
      <c r="O1099" s="32" t="s">
        <v>4730</v>
      </c>
      <c r="P1099" s="32">
        <v>899.0</v>
      </c>
      <c r="Q1099" s="34">
        <v>799.0</v>
      </c>
      <c r="R1099" s="35">
        <v>799.0</v>
      </c>
      <c r="S1099" s="35">
        <v>749.0</v>
      </c>
      <c r="T1099" s="36">
        <v>0.0</v>
      </c>
      <c r="U1099" s="36">
        <v>0.0</v>
      </c>
      <c r="V1099" s="36">
        <v>0.0</v>
      </c>
      <c r="W1099" s="36">
        <v>0.0</v>
      </c>
      <c r="X1099" s="36">
        <v>0.0</v>
      </c>
      <c r="Y1099" s="36">
        <v>0.0</v>
      </c>
    </row>
    <row r="1100">
      <c r="A1100" s="32" t="s">
        <v>3563</v>
      </c>
      <c r="B1100" s="32" t="s">
        <v>3563</v>
      </c>
      <c r="C1100" s="32" t="s">
        <v>3564</v>
      </c>
      <c r="D1100" s="32" t="s">
        <v>3565</v>
      </c>
      <c r="E1100" s="32" t="s">
        <v>5102</v>
      </c>
      <c r="F1100" s="32" t="e">
        <v>#N/A</v>
      </c>
      <c r="G1100" s="39"/>
      <c r="H1100" s="32" t="s">
        <v>3566</v>
      </c>
      <c r="I1100" s="32" t="s">
        <v>5102</v>
      </c>
      <c r="J1100" s="32" t="s">
        <v>3567</v>
      </c>
      <c r="K1100" s="33" t="s">
        <v>3568</v>
      </c>
      <c r="L1100" s="32" t="e">
        <v>#N/A</v>
      </c>
      <c r="M1100" s="32" t="e">
        <v>#N/A</v>
      </c>
      <c r="N1100" s="32" t="s">
        <v>5099</v>
      </c>
      <c r="O1100" s="32" t="s">
        <v>4730</v>
      </c>
      <c r="P1100" s="32">
        <v>1689.0</v>
      </c>
      <c r="Q1100" s="34">
        <v>1499.0</v>
      </c>
      <c r="R1100" s="40">
        <v>1499.0</v>
      </c>
      <c r="S1100" s="35">
        <v>1435.65</v>
      </c>
      <c r="T1100" s="36">
        <v>0.0</v>
      </c>
      <c r="U1100" s="36">
        <v>0.0</v>
      </c>
      <c r="V1100" s="36">
        <v>0.0</v>
      </c>
      <c r="W1100" s="36">
        <v>0.0</v>
      </c>
      <c r="X1100" s="36">
        <v>0.0</v>
      </c>
      <c r="Y1100" s="36">
        <v>0.0</v>
      </c>
    </row>
    <row r="1101">
      <c r="A1101" s="32" t="s">
        <v>3575</v>
      </c>
      <c r="B1101" s="32" t="s">
        <v>3575</v>
      </c>
      <c r="C1101" s="32" t="s">
        <v>3576</v>
      </c>
      <c r="D1101" s="32" t="s">
        <v>3577</v>
      </c>
      <c r="E1101" s="32" t="s">
        <v>5102</v>
      </c>
      <c r="F1101" s="32" t="e">
        <v>#N/A</v>
      </c>
      <c r="G1101" s="39"/>
      <c r="H1101" s="32" t="s">
        <v>3578</v>
      </c>
      <c r="I1101" s="32" t="s">
        <v>5102</v>
      </c>
      <c r="J1101" s="32" t="s">
        <v>3579</v>
      </c>
      <c r="K1101" s="33" t="s">
        <v>3580</v>
      </c>
      <c r="L1101" s="32" t="e">
        <v>#N/A</v>
      </c>
      <c r="M1101" s="32" t="e">
        <v>#N/A</v>
      </c>
      <c r="N1101" s="32" t="s">
        <v>5099</v>
      </c>
      <c r="O1101" s="32" t="s">
        <v>4730</v>
      </c>
      <c r="P1101" s="32">
        <v>2289.0</v>
      </c>
      <c r="Q1101" s="34">
        <v>1999.0</v>
      </c>
      <c r="R1101" s="40">
        <v>1999.0</v>
      </c>
      <c r="S1101" s="35">
        <v>1945.65</v>
      </c>
      <c r="T1101" s="36">
        <v>0.0</v>
      </c>
      <c r="U1101" s="36">
        <v>0.0</v>
      </c>
      <c r="V1101" s="36">
        <v>0.0</v>
      </c>
      <c r="W1101" s="36">
        <v>0.0</v>
      </c>
      <c r="X1101" s="36">
        <v>0.0</v>
      </c>
      <c r="Y1101" s="36">
        <v>0.0</v>
      </c>
    </row>
    <row r="1102">
      <c r="A1102" s="32" t="s">
        <v>3551</v>
      </c>
      <c r="B1102" s="32" t="s">
        <v>3551</v>
      </c>
      <c r="C1102" s="32" t="s">
        <v>3552</v>
      </c>
      <c r="D1102" s="32" t="s">
        <v>3553</v>
      </c>
      <c r="E1102" s="32" t="s">
        <v>5102</v>
      </c>
      <c r="F1102" s="32" t="e">
        <v>#N/A</v>
      </c>
      <c r="G1102" s="39"/>
      <c r="H1102" s="32" t="s">
        <v>3554</v>
      </c>
      <c r="I1102" s="32" t="s">
        <v>5102</v>
      </c>
      <c r="J1102" s="32" t="s">
        <v>3555</v>
      </c>
      <c r="K1102" s="33" t="s">
        <v>3556</v>
      </c>
      <c r="L1102" s="32" t="e">
        <v>#N/A</v>
      </c>
      <c r="M1102" s="32" t="e">
        <v>#N/A</v>
      </c>
      <c r="N1102" s="32" t="s">
        <v>5099</v>
      </c>
      <c r="O1102" s="32" t="s">
        <v>4730</v>
      </c>
      <c r="P1102" s="32">
        <v>1689.0</v>
      </c>
      <c r="Q1102" s="34">
        <v>1499.0</v>
      </c>
      <c r="R1102" s="40">
        <v>1499.0</v>
      </c>
      <c r="S1102" s="35">
        <v>1435.65</v>
      </c>
      <c r="T1102" s="36">
        <v>0.0</v>
      </c>
      <c r="U1102" s="36">
        <v>0.0</v>
      </c>
      <c r="V1102" s="36">
        <v>0.0</v>
      </c>
      <c r="W1102" s="36">
        <v>0.0</v>
      </c>
      <c r="X1102" s="36">
        <v>0.0</v>
      </c>
      <c r="Y1102" s="36">
        <v>0.0</v>
      </c>
    </row>
    <row r="1103">
      <c r="A1103" s="32" t="s">
        <v>4827</v>
      </c>
      <c r="B1103" s="32" t="s">
        <v>4827</v>
      </c>
      <c r="C1103" s="32" t="s">
        <v>4828</v>
      </c>
      <c r="D1103" s="32" t="s">
        <v>4829</v>
      </c>
      <c r="E1103" s="32" t="s">
        <v>5073</v>
      </c>
      <c r="F1103" s="32" t="e">
        <v>#N/A</v>
      </c>
      <c r="G1103" s="39"/>
      <c r="H1103" s="32" t="e">
        <v>#N/A</v>
      </c>
      <c r="I1103" s="39"/>
      <c r="J1103" s="32" t="s">
        <v>5196</v>
      </c>
      <c r="K1103" s="33" t="s">
        <v>4830</v>
      </c>
      <c r="L1103" s="32" t="e">
        <v>#N/A</v>
      </c>
      <c r="M1103" s="32" t="e">
        <v>#N/A</v>
      </c>
      <c r="N1103" s="32" t="s">
        <v>5085</v>
      </c>
      <c r="O1103" s="32" t="s">
        <v>1145</v>
      </c>
      <c r="P1103" s="32">
        <v>3899.0</v>
      </c>
      <c r="Q1103" s="34">
        <v>3299.0</v>
      </c>
      <c r="R1103" s="40">
        <v>3299.0</v>
      </c>
      <c r="S1103" s="35">
        <v>2999.0</v>
      </c>
      <c r="T1103" s="36">
        <v>0.0</v>
      </c>
      <c r="U1103" s="36">
        <v>0.0</v>
      </c>
      <c r="V1103" s="36">
        <v>0.0</v>
      </c>
      <c r="W1103" s="36">
        <v>0.0</v>
      </c>
      <c r="X1103" s="36">
        <v>0.0</v>
      </c>
      <c r="Y1103" s="36">
        <v>0.0</v>
      </c>
    </row>
    <row r="1104">
      <c r="A1104" s="32" t="s">
        <v>1555</v>
      </c>
      <c r="B1104" s="32" t="s">
        <v>1555</v>
      </c>
      <c r="C1104" s="32" t="s">
        <v>1556</v>
      </c>
      <c r="D1104" s="32" t="s">
        <v>1557</v>
      </c>
      <c r="E1104" s="32" t="s">
        <v>5102</v>
      </c>
      <c r="F1104" s="32" t="e">
        <v>#N/A</v>
      </c>
      <c r="G1104" s="39"/>
      <c r="H1104" s="32" t="s">
        <v>1555</v>
      </c>
      <c r="I1104" s="32" t="s">
        <v>5102</v>
      </c>
      <c r="J1104" s="32" t="s">
        <v>1555</v>
      </c>
      <c r="K1104" s="33" t="s">
        <v>1558</v>
      </c>
      <c r="L1104" s="32">
        <v>3.2784215E7</v>
      </c>
      <c r="M1104" s="32" t="s">
        <v>1559</v>
      </c>
      <c r="N1104" s="32" t="s">
        <v>5112</v>
      </c>
      <c r="O1104" s="32" t="s">
        <v>52</v>
      </c>
      <c r="P1104" s="32">
        <v>18999.0</v>
      </c>
      <c r="Q1104" s="34">
        <v>17099.0</v>
      </c>
      <c r="R1104" s="40">
        <v>17999.0</v>
      </c>
      <c r="S1104" s="35">
        <v>14629.23</v>
      </c>
      <c r="T1104" s="36">
        <v>0.0</v>
      </c>
      <c r="U1104" s="36">
        <v>0.0</v>
      </c>
      <c r="V1104" s="36">
        <v>0.0</v>
      </c>
      <c r="W1104" s="36">
        <v>0.0</v>
      </c>
      <c r="X1104" s="36">
        <v>0.0</v>
      </c>
      <c r="Y1104" s="36">
        <v>0.0</v>
      </c>
    </row>
    <row r="1105">
      <c r="A1105" s="32" t="s">
        <v>4764</v>
      </c>
      <c r="B1105" s="32" t="s">
        <v>4764</v>
      </c>
      <c r="C1105" s="32" t="s">
        <v>4765</v>
      </c>
      <c r="D1105" s="32" t="s">
        <v>4766</v>
      </c>
      <c r="E1105" s="32" t="s">
        <v>5102</v>
      </c>
      <c r="F1105" s="32" t="e">
        <v>#N/A</v>
      </c>
      <c r="G1105" s="39"/>
      <c r="H1105" s="32" t="s">
        <v>4764</v>
      </c>
      <c r="I1105" s="32" t="s">
        <v>5102</v>
      </c>
      <c r="J1105" s="32" t="s">
        <v>4764</v>
      </c>
      <c r="K1105" s="33" t="s">
        <v>4767</v>
      </c>
      <c r="L1105" s="32" t="e">
        <v>#N/A</v>
      </c>
      <c r="M1105" s="32" t="e">
        <v>#N/A</v>
      </c>
      <c r="N1105" s="32" t="s">
        <v>5112</v>
      </c>
      <c r="O1105" s="32" t="s">
        <v>52</v>
      </c>
      <c r="P1105" s="32">
        <v>25999.0</v>
      </c>
      <c r="Q1105" s="34">
        <v>23399.0</v>
      </c>
      <c r="R1105" s="40">
        <v>24699.0</v>
      </c>
      <c r="S1105" s="35">
        <v>20019.23</v>
      </c>
      <c r="T1105" s="36">
        <v>0.0</v>
      </c>
      <c r="U1105" s="36">
        <v>0.0</v>
      </c>
      <c r="V1105" s="36">
        <v>0.0</v>
      </c>
      <c r="W1105" s="36">
        <v>0.0</v>
      </c>
      <c r="X1105" s="36">
        <v>0.0</v>
      </c>
      <c r="Y1105" s="36">
        <v>0.0</v>
      </c>
    </row>
    <row r="1106">
      <c r="A1106" s="32" t="s">
        <v>5008</v>
      </c>
      <c r="B1106" s="32" t="s">
        <v>5008</v>
      </c>
      <c r="C1106" s="32" t="s">
        <v>5009</v>
      </c>
      <c r="D1106" s="46" t="s">
        <v>5232</v>
      </c>
      <c r="E1106" s="47" t="s">
        <v>5102</v>
      </c>
      <c r="F1106" s="38"/>
      <c r="G1106" s="38"/>
      <c r="H1106" s="37" t="s">
        <v>5008</v>
      </c>
      <c r="I1106" s="32" t="s">
        <v>5102</v>
      </c>
      <c r="J1106" s="32" t="s">
        <v>5008</v>
      </c>
      <c r="K1106" s="38"/>
      <c r="L1106" s="38"/>
      <c r="M1106" s="38"/>
      <c r="N1106" s="32" t="s">
        <v>5112</v>
      </c>
      <c r="O1106" s="32" t="s">
        <v>52</v>
      </c>
      <c r="P1106" s="32">
        <v>21999.0</v>
      </c>
      <c r="Q1106" s="44">
        <v>19799.0</v>
      </c>
      <c r="R1106" s="40">
        <v>20899.0</v>
      </c>
      <c r="S1106" s="35">
        <v>16939.23</v>
      </c>
      <c r="T1106" s="36">
        <v>0.0</v>
      </c>
      <c r="U1106" s="36">
        <v>0.0</v>
      </c>
      <c r="V1106" s="36">
        <v>0.0</v>
      </c>
      <c r="W1106" s="36">
        <v>0.0</v>
      </c>
      <c r="X1106" s="36">
        <v>0.0</v>
      </c>
      <c r="Y1106" s="36">
        <v>0.0</v>
      </c>
    </row>
    <row r="1107">
      <c r="A1107" s="32" t="s">
        <v>5011</v>
      </c>
      <c r="B1107" s="32" t="s">
        <v>5011</v>
      </c>
      <c r="C1107" s="32" t="s">
        <v>5012</v>
      </c>
      <c r="D1107" s="46" t="s">
        <v>5233</v>
      </c>
      <c r="E1107" s="47" t="s">
        <v>5102</v>
      </c>
      <c r="F1107" s="38"/>
      <c r="G1107" s="38"/>
      <c r="H1107" s="38"/>
      <c r="I1107" s="38"/>
      <c r="J1107" s="32" t="s">
        <v>5014</v>
      </c>
      <c r="K1107" s="38"/>
      <c r="L1107" s="38"/>
      <c r="M1107" s="38"/>
      <c r="N1107" s="32" t="s">
        <v>5112</v>
      </c>
      <c r="O1107" s="32" t="s">
        <v>52</v>
      </c>
      <c r="P1107" s="32">
        <v>24299.0</v>
      </c>
      <c r="Q1107" s="44">
        <v>21869.0</v>
      </c>
      <c r="R1107" s="40">
        <v>23099.0</v>
      </c>
      <c r="S1107" s="35">
        <v>18710.23</v>
      </c>
      <c r="T1107" s="36">
        <v>0.0</v>
      </c>
      <c r="U1107" s="36">
        <v>0.0</v>
      </c>
      <c r="V1107" s="36">
        <v>0.0</v>
      </c>
      <c r="W1107" s="36">
        <v>0.0</v>
      </c>
      <c r="X1107" s="36">
        <v>0.0</v>
      </c>
      <c r="Y1107" s="36">
        <v>0.0</v>
      </c>
    </row>
    <row r="1108">
      <c r="A1108" s="32" t="s">
        <v>5004</v>
      </c>
      <c r="B1108" s="32" t="s">
        <v>5004</v>
      </c>
      <c r="C1108" s="32" t="s">
        <v>5005</v>
      </c>
      <c r="D1108" s="46" t="s">
        <v>5234</v>
      </c>
      <c r="E1108" s="47" t="s">
        <v>5102</v>
      </c>
      <c r="F1108" s="38"/>
      <c r="G1108" s="38"/>
      <c r="H1108" s="38"/>
      <c r="I1108" s="38"/>
      <c r="J1108" s="32" t="s">
        <v>5007</v>
      </c>
      <c r="K1108" s="38"/>
      <c r="L1108" s="38"/>
      <c r="M1108" s="38"/>
      <c r="N1108" s="32" t="s">
        <v>5112</v>
      </c>
      <c r="O1108" s="32" t="s">
        <v>52</v>
      </c>
      <c r="P1108" s="32">
        <v>21699.0</v>
      </c>
      <c r="Q1108" s="44">
        <v>19529.0</v>
      </c>
      <c r="R1108" s="40">
        <v>20599.0</v>
      </c>
      <c r="S1108" s="35">
        <v>16708.23</v>
      </c>
      <c r="T1108" s="36">
        <v>0.0</v>
      </c>
      <c r="U1108" s="36">
        <v>0.0</v>
      </c>
      <c r="V1108" s="36">
        <v>0.0</v>
      </c>
      <c r="W1108" s="36">
        <v>0.0</v>
      </c>
      <c r="X1108" s="36">
        <v>0.0</v>
      </c>
      <c r="Y1108" s="36">
        <v>0.0</v>
      </c>
    </row>
    <row r="1109">
      <c r="A1109" s="32" t="s">
        <v>1658</v>
      </c>
      <c r="B1109" s="32" t="s">
        <v>1658</v>
      </c>
      <c r="C1109" s="32" t="s">
        <v>1659</v>
      </c>
      <c r="D1109" s="32" t="s">
        <v>1660</v>
      </c>
      <c r="E1109" s="47" t="s">
        <v>5102</v>
      </c>
      <c r="F1109" s="32" t="e">
        <v>#N/A</v>
      </c>
      <c r="G1109" s="39"/>
      <c r="H1109" s="32" t="s">
        <v>1658</v>
      </c>
      <c r="I1109" s="32" t="s">
        <v>5102</v>
      </c>
      <c r="J1109" s="32" t="s">
        <v>1658</v>
      </c>
      <c r="K1109" s="33" t="s">
        <v>1661</v>
      </c>
      <c r="L1109" s="32">
        <v>3.2784021E7</v>
      </c>
      <c r="M1109" s="32" t="s">
        <v>1662</v>
      </c>
      <c r="N1109" s="32" t="s">
        <v>5112</v>
      </c>
      <c r="O1109" s="32" t="s">
        <v>52</v>
      </c>
      <c r="P1109" s="32">
        <v>29999.0</v>
      </c>
      <c r="Q1109" s="34">
        <v>26999.0</v>
      </c>
      <c r="R1109" s="40">
        <v>28499.0</v>
      </c>
      <c r="S1109" s="35">
        <v>23099.23</v>
      </c>
      <c r="T1109" s="36">
        <v>0.0</v>
      </c>
      <c r="U1109" s="36">
        <v>0.0</v>
      </c>
      <c r="V1109" s="36">
        <v>0.0</v>
      </c>
      <c r="W1109" s="36">
        <v>0.0</v>
      </c>
      <c r="X1109" s="36">
        <v>0.0</v>
      </c>
      <c r="Y1109" s="36">
        <v>0.0</v>
      </c>
    </row>
    <row r="1110">
      <c r="A1110" s="32" t="s">
        <v>1632</v>
      </c>
      <c r="B1110" s="32" t="s">
        <v>1632</v>
      </c>
      <c r="C1110" s="32" t="s">
        <v>1633</v>
      </c>
      <c r="D1110" s="32" t="s">
        <v>1634</v>
      </c>
      <c r="E1110" s="47" t="s">
        <v>5102</v>
      </c>
      <c r="F1110" s="32" t="s">
        <v>1635</v>
      </c>
      <c r="G1110" s="32" t="s">
        <v>5100</v>
      </c>
      <c r="H1110" s="32" t="s">
        <v>1632</v>
      </c>
      <c r="I1110" s="32" t="s">
        <v>5102</v>
      </c>
      <c r="J1110" s="32" t="s">
        <v>1632</v>
      </c>
      <c r="K1110" s="33" t="s">
        <v>1636</v>
      </c>
      <c r="L1110" s="32">
        <v>3.2783815E7</v>
      </c>
      <c r="M1110" s="32" t="s">
        <v>1637</v>
      </c>
      <c r="N1110" s="32" t="s">
        <v>5112</v>
      </c>
      <c r="O1110" s="32" t="s">
        <v>52</v>
      </c>
      <c r="P1110" s="32">
        <v>25999.0</v>
      </c>
      <c r="Q1110" s="34">
        <v>23399.0</v>
      </c>
      <c r="R1110" s="40">
        <v>24699.0</v>
      </c>
      <c r="S1110" s="35">
        <v>20019.23</v>
      </c>
      <c r="T1110" s="36">
        <v>0.0</v>
      </c>
      <c r="U1110" s="36">
        <v>0.0</v>
      </c>
      <c r="V1110" s="36">
        <v>0.0</v>
      </c>
      <c r="W1110" s="36">
        <v>0.0</v>
      </c>
      <c r="X1110" s="36">
        <v>0.0</v>
      </c>
      <c r="Y1110" s="36">
        <v>0.0</v>
      </c>
    </row>
    <row r="1111">
      <c r="A1111" s="32" t="s">
        <v>1673</v>
      </c>
      <c r="B1111" s="32" t="s">
        <v>1673</v>
      </c>
      <c r="C1111" s="32" t="s">
        <v>1674</v>
      </c>
      <c r="D1111" s="32" t="s">
        <v>1675</v>
      </c>
      <c r="E1111" s="32" t="s">
        <v>5102</v>
      </c>
      <c r="F1111" s="32" t="e">
        <v>#N/A</v>
      </c>
      <c r="G1111" s="39"/>
      <c r="H1111" s="32" t="s">
        <v>5200</v>
      </c>
      <c r="I1111" s="32" t="s">
        <v>5102</v>
      </c>
      <c r="J1111" s="32" t="s">
        <v>5201</v>
      </c>
      <c r="K1111" s="33" t="s">
        <v>1676</v>
      </c>
      <c r="L1111" s="32">
        <v>3.2784183E7</v>
      </c>
      <c r="M1111" s="32" t="e">
        <v>#N/A</v>
      </c>
      <c r="N1111" s="32" t="s">
        <v>5112</v>
      </c>
      <c r="O1111" s="32" t="s">
        <v>52</v>
      </c>
      <c r="P1111" s="32">
        <v>32999.0</v>
      </c>
      <c r="Q1111" s="34">
        <v>29699.0</v>
      </c>
      <c r="R1111" s="40">
        <v>31299.0</v>
      </c>
      <c r="S1111" s="35">
        <v>25409.23</v>
      </c>
      <c r="T1111" s="36">
        <v>0.0</v>
      </c>
      <c r="U1111" s="36">
        <v>0.0</v>
      </c>
      <c r="V1111" s="36">
        <v>0.0</v>
      </c>
      <c r="W1111" s="36">
        <v>0.0</v>
      </c>
      <c r="X1111" s="36">
        <v>0.0</v>
      </c>
      <c r="Y1111" s="36">
        <v>0.0</v>
      </c>
    </row>
    <row r="1112">
      <c r="A1112" s="32" t="s">
        <v>1648</v>
      </c>
      <c r="B1112" s="32" t="s">
        <v>1648</v>
      </c>
      <c r="C1112" s="32" t="s">
        <v>1649</v>
      </c>
      <c r="D1112" s="32" t="s">
        <v>1650</v>
      </c>
      <c r="E1112" s="32" t="s">
        <v>5102</v>
      </c>
      <c r="F1112" s="32" t="e">
        <v>#N/A</v>
      </c>
      <c r="G1112" s="39"/>
      <c r="H1112" s="32" t="s">
        <v>1648</v>
      </c>
      <c r="I1112" s="32" t="s">
        <v>5102</v>
      </c>
      <c r="J1112" s="32" t="s">
        <v>1648</v>
      </c>
      <c r="K1112" s="33" t="s">
        <v>1651</v>
      </c>
      <c r="L1112" s="32">
        <v>3.2784158E7</v>
      </c>
      <c r="M1112" s="32" t="s">
        <v>1652</v>
      </c>
      <c r="N1112" s="32" t="s">
        <v>5112</v>
      </c>
      <c r="O1112" s="32" t="s">
        <v>52</v>
      </c>
      <c r="P1112" s="32">
        <v>29999.0</v>
      </c>
      <c r="Q1112" s="34">
        <v>26999.0</v>
      </c>
      <c r="R1112" s="40">
        <v>28499.0</v>
      </c>
      <c r="S1112" s="35">
        <v>23099.23</v>
      </c>
      <c r="T1112" s="36">
        <v>0.0</v>
      </c>
      <c r="U1112" s="36">
        <v>0.0</v>
      </c>
      <c r="V1112" s="36">
        <v>0.0</v>
      </c>
      <c r="W1112" s="36">
        <v>0.0</v>
      </c>
      <c r="X1112" s="36">
        <v>0.0</v>
      </c>
      <c r="Y1112" s="36">
        <v>0.0</v>
      </c>
    </row>
    <row r="1113">
      <c r="A1113" s="32" t="s">
        <v>1677</v>
      </c>
      <c r="B1113" s="32" t="s">
        <v>1677</v>
      </c>
      <c r="C1113" s="32" t="s">
        <v>1678</v>
      </c>
      <c r="D1113" s="32" t="s">
        <v>1679</v>
      </c>
      <c r="E1113" s="32" t="s">
        <v>5102</v>
      </c>
      <c r="F1113" s="32" t="e">
        <v>#N/A</v>
      </c>
      <c r="G1113" s="39"/>
      <c r="H1113" s="32" t="s">
        <v>5200</v>
      </c>
      <c r="I1113" s="32" t="s">
        <v>5102</v>
      </c>
      <c r="J1113" s="32" t="s">
        <v>5202</v>
      </c>
      <c r="K1113" s="33" t="s">
        <v>1680</v>
      </c>
      <c r="L1113" s="32">
        <v>3.2784142E7</v>
      </c>
      <c r="M1113" s="32" t="e">
        <v>#N/A</v>
      </c>
      <c r="N1113" s="32" t="s">
        <v>5112</v>
      </c>
      <c r="O1113" s="32" t="s">
        <v>52</v>
      </c>
      <c r="P1113" s="32">
        <v>35999.0</v>
      </c>
      <c r="Q1113" s="34">
        <v>32399.0</v>
      </c>
      <c r="R1113" s="40">
        <v>34199.0</v>
      </c>
      <c r="S1113" s="35">
        <v>27719.23</v>
      </c>
      <c r="T1113" s="36">
        <v>0.0</v>
      </c>
      <c r="U1113" s="36">
        <v>0.0</v>
      </c>
      <c r="V1113" s="36">
        <v>0.0</v>
      </c>
      <c r="W1113" s="36">
        <v>0.0</v>
      </c>
      <c r="X1113" s="36">
        <v>0.0</v>
      </c>
      <c r="Y1113" s="36">
        <v>0.0</v>
      </c>
    </row>
    <row r="1114">
      <c r="A1114" s="32" t="s">
        <v>1653</v>
      </c>
      <c r="B1114" s="32" t="s">
        <v>1653</v>
      </c>
      <c r="C1114" s="32" t="s">
        <v>1654</v>
      </c>
      <c r="D1114" s="32" t="s">
        <v>1655</v>
      </c>
      <c r="E1114" s="32" t="s">
        <v>5102</v>
      </c>
      <c r="F1114" s="32" t="e">
        <v>#N/A</v>
      </c>
      <c r="G1114" s="39"/>
      <c r="H1114" s="32" t="s">
        <v>5203</v>
      </c>
      <c r="I1114" s="32" t="s">
        <v>5102</v>
      </c>
      <c r="J1114" s="32" t="s">
        <v>1656</v>
      </c>
      <c r="K1114" s="33" t="s">
        <v>1657</v>
      </c>
      <c r="L1114" s="32">
        <v>3.2784195E7</v>
      </c>
      <c r="M1114" s="32" t="e">
        <v>#N/A</v>
      </c>
      <c r="N1114" s="32" t="s">
        <v>5112</v>
      </c>
      <c r="O1114" s="32" t="s">
        <v>52</v>
      </c>
      <c r="P1114" s="32">
        <v>31999.0</v>
      </c>
      <c r="Q1114" s="34">
        <v>28799.0</v>
      </c>
      <c r="R1114" s="40">
        <v>30399.0</v>
      </c>
      <c r="S1114" s="35">
        <v>24639.23</v>
      </c>
      <c r="T1114" s="36">
        <v>0.0</v>
      </c>
      <c r="U1114" s="36">
        <v>0.0</v>
      </c>
      <c r="V1114" s="36">
        <v>0.0</v>
      </c>
      <c r="W1114" s="36">
        <v>0.0</v>
      </c>
      <c r="X1114" s="36">
        <v>0.0</v>
      </c>
      <c r="Y1114" s="36">
        <v>0.0</v>
      </c>
    </row>
    <row r="1115">
      <c r="A1115" s="32" t="s">
        <v>1771</v>
      </c>
      <c r="B1115" s="32" t="s">
        <v>1771</v>
      </c>
      <c r="C1115" s="32" t="s">
        <v>1772</v>
      </c>
      <c r="D1115" s="32" t="s">
        <v>1773</v>
      </c>
      <c r="E1115" s="32" t="s">
        <v>5102</v>
      </c>
      <c r="F1115" s="32" t="e">
        <v>#N/A</v>
      </c>
      <c r="G1115" s="39"/>
      <c r="H1115" s="32" t="s">
        <v>5204</v>
      </c>
      <c r="I1115" s="32" t="s">
        <v>5102</v>
      </c>
      <c r="J1115" s="32" t="s">
        <v>1774</v>
      </c>
      <c r="K1115" s="33" t="s">
        <v>1775</v>
      </c>
      <c r="L1115" s="32">
        <v>3.2784079E7</v>
      </c>
      <c r="M1115" s="32" t="s">
        <v>1776</v>
      </c>
      <c r="N1115" s="32" t="s">
        <v>5109</v>
      </c>
      <c r="O1115" s="32" t="s">
        <v>52</v>
      </c>
      <c r="P1115" s="32">
        <v>26999.0</v>
      </c>
      <c r="Q1115" s="34">
        <v>24299.0</v>
      </c>
      <c r="R1115" s="40">
        <v>25599.0</v>
      </c>
      <c r="S1115" s="35">
        <v>22679.16</v>
      </c>
      <c r="T1115" s="36">
        <v>0.0</v>
      </c>
      <c r="U1115" s="36">
        <v>0.0</v>
      </c>
      <c r="V1115" s="36">
        <v>0.0</v>
      </c>
      <c r="W1115" s="36">
        <v>0.0</v>
      </c>
      <c r="X1115" s="36">
        <v>0.0</v>
      </c>
      <c r="Y1115" s="36">
        <v>0.0</v>
      </c>
    </row>
    <row r="1116">
      <c r="A1116" s="32" t="s">
        <v>1754</v>
      </c>
      <c r="B1116" s="32" t="s">
        <v>1754</v>
      </c>
      <c r="C1116" s="32" t="s">
        <v>1755</v>
      </c>
      <c r="D1116" s="32" t="s">
        <v>1756</v>
      </c>
      <c r="E1116" s="32" t="s">
        <v>5102</v>
      </c>
      <c r="F1116" s="32" t="e">
        <v>#N/A</v>
      </c>
      <c r="G1116" s="39"/>
      <c r="H1116" s="32" t="s">
        <v>1757</v>
      </c>
      <c r="I1116" s="32" t="s">
        <v>5102</v>
      </c>
      <c r="J1116" s="32" t="s">
        <v>1758</v>
      </c>
      <c r="K1116" s="33" t="s">
        <v>1759</v>
      </c>
      <c r="L1116" s="32">
        <v>3.2783797E7</v>
      </c>
      <c r="M1116" s="32" t="s">
        <v>1760</v>
      </c>
      <c r="N1116" s="32" t="s">
        <v>5109</v>
      </c>
      <c r="O1116" s="32" t="s">
        <v>52</v>
      </c>
      <c r="P1116" s="32">
        <v>24999.0</v>
      </c>
      <c r="Q1116" s="34">
        <v>22499.0</v>
      </c>
      <c r="R1116" s="40">
        <v>23699.0</v>
      </c>
      <c r="S1116" s="35">
        <v>20999.16</v>
      </c>
      <c r="T1116" s="36">
        <v>0.0</v>
      </c>
      <c r="U1116" s="36">
        <v>0.0</v>
      </c>
      <c r="V1116" s="36">
        <v>0.0</v>
      </c>
      <c r="W1116" s="36">
        <v>0.0</v>
      </c>
      <c r="X1116" s="36">
        <v>0.0</v>
      </c>
      <c r="Y1116" s="36">
        <v>0.0</v>
      </c>
    </row>
    <row r="1117">
      <c r="A1117" s="32" t="s">
        <v>1777</v>
      </c>
      <c r="B1117" s="32" t="s">
        <v>1777</v>
      </c>
      <c r="C1117" s="32" t="s">
        <v>1778</v>
      </c>
      <c r="D1117" s="32" t="s">
        <v>1779</v>
      </c>
      <c r="E1117" s="32" t="s">
        <v>5102</v>
      </c>
      <c r="F1117" s="32" t="e">
        <v>#N/A</v>
      </c>
      <c r="G1117" s="39"/>
      <c r="H1117" s="32">
        <v>0.0</v>
      </c>
      <c r="I1117" s="39"/>
      <c r="J1117" s="32" t="s">
        <v>1780</v>
      </c>
      <c r="K1117" s="33" t="s">
        <v>1781</v>
      </c>
      <c r="L1117" s="32" t="e">
        <v>#N/A</v>
      </c>
      <c r="M1117" s="32" t="e">
        <v>#N/A</v>
      </c>
      <c r="N1117" s="32" t="s">
        <v>5109</v>
      </c>
      <c r="O1117" s="32" t="s">
        <v>52</v>
      </c>
      <c r="P1117" s="32">
        <v>29999.0</v>
      </c>
      <c r="Q1117" s="34">
        <v>26999.0</v>
      </c>
      <c r="R1117" s="40">
        <v>28499.0</v>
      </c>
      <c r="S1117" s="35">
        <v>25199.16</v>
      </c>
      <c r="T1117" s="36">
        <v>0.0</v>
      </c>
      <c r="U1117" s="36">
        <v>0.0</v>
      </c>
      <c r="V1117" s="36">
        <v>0.0</v>
      </c>
      <c r="W1117" s="36">
        <v>0.0</v>
      </c>
      <c r="X1117" s="36">
        <v>0.0</v>
      </c>
      <c r="Y1117" s="36">
        <v>0.0</v>
      </c>
    </row>
    <row r="1118">
      <c r="A1118" s="32" t="s">
        <v>1761</v>
      </c>
      <c r="B1118" s="32" t="s">
        <v>1761</v>
      </c>
      <c r="C1118" s="32" t="s">
        <v>1762</v>
      </c>
      <c r="D1118" s="32" t="s">
        <v>1763</v>
      </c>
      <c r="E1118" s="32" t="s">
        <v>5102</v>
      </c>
      <c r="F1118" s="32" t="e">
        <v>#N/A</v>
      </c>
      <c r="G1118" s="39"/>
      <c r="H1118" s="32">
        <v>0.0</v>
      </c>
      <c r="I1118" s="39"/>
      <c r="J1118" s="32" t="s">
        <v>1764</v>
      </c>
      <c r="K1118" s="33" t="s">
        <v>1765</v>
      </c>
      <c r="L1118" s="32" t="e">
        <v>#N/A</v>
      </c>
      <c r="M1118" s="32" t="e">
        <v>#N/A</v>
      </c>
      <c r="N1118" s="32" t="s">
        <v>5109</v>
      </c>
      <c r="O1118" s="32" t="s">
        <v>52</v>
      </c>
      <c r="P1118" s="32">
        <v>28999.0</v>
      </c>
      <c r="Q1118" s="34">
        <v>26099.0</v>
      </c>
      <c r="R1118" s="40">
        <v>27499.0</v>
      </c>
      <c r="S1118" s="35">
        <v>24359.16</v>
      </c>
      <c r="T1118" s="36">
        <v>0.0</v>
      </c>
      <c r="U1118" s="36">
        <v>0.0</v>
      </c>
      <c r="V1118" s="36">
        <v>0.0</v>
      </c>
      <c r="W1118" s="36">
        <v>0.0</v>
      </c>
      <c r="X1118" s="36">
        <v>0.0</v>
      </c>
      <c r="Y1118" s="36">
        <v>0.0</v>
      </c>
    </row>
    <row r="1119">
      <c r="A1119" s="32" t="s">
        <v>1891</v>
      </c>
      <c r="B1119" s="32" t="s">
        <v>1891</v>
      </c>
      <c r="C1119" s="32" t="s">
        <v>1892</v>
      </c>
      <c r="D1119" s="32" t="s">
        <v>1893</v>
      </c>
      <c r="E1119" s="32" t="s">
        <v>5102</v>
      </c>
      <c r="F1119" s="32" t="e">
        <v>#N/A</v>
      </c>
      <c r="G1119" s="39"/>
      <c r="H1119" s="32" t="s">
        <v>1894</v>
      </c>
      <c r="I1119" s="32" t="s">
        <v>5122</v>
      </c>
      <c r="J1119" s="32" t="s">
        <v>5205</v>
      </c>
      <c r="K1119" s="33" t="s">
        <v>1895</v>
      </c>
      <c r="L1119" s="32">
        <v>3.2783885E7</v>
      </c>
      <c r="M1119" s="32" t="s">
        <v>1896</v>
      </c>
      <c r="N1119" s="32" t="s">
        <v>5109</v>
      </c>
      <c r="O1119" s="32" t="s">
        <v>52</v>
      </c>
      <c r="P1119" s="32">
        <v>38999.0</v>
      </c>
      <c r="Q1119" s="34">
        <v>35099.0</v>
      </c>
      <c r="R1119" s="40">
        <v>36999.0</v>
      </c>
      <c r="S1119" s="35">
        <v>32759.16</v>
      </c>
      <c r="T1119" s="36">
        <v>0.0</v>
      </c>
      <c r="U1119" s="36">
        <v>0.0</v>
      </c>
      <c r="V1119" s="36">
        <v>0.0</v>
      </c>
      <c r="W1119" s="36">
        <v>0.0</v>
      </c>
      <c r="X1119" s="36">
        <v>0.0</v>
      </c>
      <c r="Y1119" s="36">
        <v>0.0</v>
      </c>
    </row>
    <row r="1120">
      <c r="A1120" s="32" t="s">
        <v>1904</v>
      </c>
      <c r="B1120" s="32" t="s">
        <v>1904</v>
      </c>
      <c r="C1120" s="32" t="s">
        <v>1905</v>
      </c>
      <c r="D1120" s="32" t="s">
        <v>1906</v>
      </c>
      <c r="E1120" s="32" t="s">
        <v>5102</v>
      </c>
      <c r="F1120" s="32" t="e">
        <v>#N/A</v>
      </c>
      <c r="G1120" s="39"/>
      <c r="H1120" s="32" t="s">
        <v>1907</v>
      </c>
      <c r="I1120" s="32" t="s">
        <v>5122</v>
      </c>
      <c r="J1120" s="32" t="s">
        <v>1908</v>
      </c>
      <c r="K1120" s="33" t="s">
        <v>1909</v>
      </c>
      <c r="L1120" s="32">
        <v>3.2783822E7</v>
      </c>
      <c r="M1120" s="32" t="s">
        <v>1910</v>
      </c>
      <c r="N1120" s="32" t="s">
        <v>5109</v>
      </c>
      <c r="O1120" s="32" t="s">
        <v>52</v>
      </c>
      <c r="P1120" s="32">
        <v>38999.0</v>
      </c>
      <c r="Q1120" s="34">
        <v>35099.0</v>
      </c>
      <c r="R1120" s="40">
        <v>36999.0</v>
      </c>
      <c r="S1120" s="35">
        <v>32759.16</v>
      </c>
      <c r="T1120" s="36">
        <v>0.0</v>
      </c>
      <c r="U1120" s="36">
        <v>0.0</v>
      </c>
      <c r="V1120" s="36">
        <v>0.0</v>
      </c>
      <c r="W1120" s="36">
        <v>0.0</v>
      </c>
      <c r="X1120" s="36">
        <v>0.0</v>
      </c>
      <c r="Y1120" s="36">
        <v>0.0</v>
      </c>
    </row>
    <row r="1121">
      <c r="A1121" s="32" t="s">
        <v>1911</v>
      </c>
      <c r="B1121" s="32" t="s">
        <v>1911</v>
      </c>
      <c r="C1121" s="32" t="s">
        <v>1912</v>
      </c>
      <c r="D1121" s="32" t="s">
        <v>1913</v>
      </c>
      <c r="E1121" s="32" t="s">
        <v>5102</v>
      </c>
      <c r="F1121" s="32" t="e">
        <v>#N/A</v>
      </c>
      <c r="G1121" s="39"/>
      <c r="H1121" s="32" t="s">
        <v>5206</v>
      </c>
      <c r="I1121" s="32" t="s">
        <v>5102</v>
      </c>
      <c r="J1121" s="32" t="s">
        <v>5207</v>
      </c>
      <c r="K1121" s="33" t="s">
        <v>1914</v>
      </c>
      <c r="L1121" s="32">
        <v>3.2784207E7</v>
      </c>
      <c r="M1121" s="32" t="e">
        <v>#N/A</v>
      </c>
      <c r="N1121" s="32" t="s">
        <v>5109</v>
      </c>
      <c r="O1121" s="32" t="s">
        <v>52</v>
      </c>
      <c r="P1121" s="32">
        <v>44999.0</v>
      </c>
      <c r="Q1121" s="34">
        <v>40499.0</v>
      </c>
      <c r="R1121" s="40">
        <v>42699.0</v>
      </c>
      <c r="S1121" s="35">
        <v>37799.16</v>
      </c>
      <c r="T1121" s="36">
        <v>0.0</v>
      </c>
      <c r="U1121" s="36">
        <v>0.0</v>
      </c>
      <c r="V1121" s="36">
        <v>0.0</v>
      </c>
      <c r="W1121" s="36">
        <v>0.0</v>
      </c>
      <c r="X1121" s="36">
        <v>0.0</v>
      </c>
      <c r="Y1121" s="36">
        <v>0.0</v>
      </c>
    </row>
    <row r="1122">
      <c r="A1122" s="32" t="s">
        <v>1886</v>
      </c>
      <c r="B1122" s="32" t="s">
        <v>1886</v>
      </c>
      <c r="C1122" s="32" t="s">
        <v>1887</v>
      </c>
      <c r="D1122" s="32" t="s">
        <v>1888</v>
      </c>
      <c r="E1122" s="32" t="s">
        <v>5102</v>
      </c>
      <c r="F1122" s="32" t="e">
        <v>#N/A</v>
      </c>
      <c r="G1122" s="39"/>
      <c r="H1122" s="32">
        <v>0.0</v>
      </c>
      <c r="I1122" s="39"/>
      <c r="J1122" s="32" t="s">
        <v>1889</v>
      </c>
      <c r="K1122" s="33" t="s">
        <v>1890</v>
      </c>
      <c r="L1122" s="32" t="e">
        <v>#N/A</v>
      </c>
      <c r="M1122" s="32" t="e">
        <v>#N/A</v>
      </c>
      <c r="N1122" s="32" t="s">
        <v>5109</v>
      </c>
      <c r="O1122" s="32" t="s">
        <v>52</v>
      </c>
      <c r="P1122" s="32">
        <v>46999.0</v>
      </c>
      <c r="Q1122" s="34">
        <v>42299.0</v>
      </c>
      <c r="R1122" s="40">
        <v>44599.0</v>
      </c>
      <c r="S1122" s="35">
        <v>39479.16</v>
      </c>
      <c r="T1122" s="36">
        <v>0.0</v>
      </c>
      <c r="U1122" s="36">
        <v>0.0</v>
      </c>
      <c r="V1122" s="36">
        <v>0.0</v>
      </c>
      <c r="W1122" s="36">
        <v>0.0</v>
      </c>
      <c r="X1122" s="36">
        <v>0.0</v>
      </c>
      <c r="Y1122" s="36">
        <v>0.0</v>
      </c>
    </row>
    <row r="1123">
      <c r="A1123" s="32" t="s">
        <v>1850</v>
      </c>
      <c r="B1123" s="32" t="s">
        <v>1850</v>
      </c>
      <c r="C1123" s="32" t="s">
        <v>1851</v>
      </c>
      <c r="D1123" s="32" t="s">
        <v>1852</v>
      </c>
      <c r="E1123" s="32" t="s">
        <v>5102</v>
      </c>
      <c r="F1123" s="32" t="e">
        <v>#N/A</v>
      </c>
      <c r="G1123" s="39"/>
      <c r="H1123" s="32">
        <v>0.0</v>
      </c>
      <c r="I1123" s="39"/>
      <c r="J1123" s="32" t="s">
        <v>1853</v>
      </c>
      <c r="K1123" s="33" t="s">
        <v>1854</v>
      </c>
      <c r="L1123" s="32" t="e">
        <v>#N/A</v>
      </c>
      <c r="M1123" s="32" t="e">
        <v>#N/A</v>
      </c>
      <c r="N1123" s="32" t="s">
        <v>5109</v>
      </c>
      <c r="O1123" s="32" t="s">
        <v>52</v>
      </c>
      <c r="P1123" s="32">
        <v>38999.0</v>
      </c>
      <c r="Q1123" s="34">
        <v>35099.0</v>
      </c>
      <c r="R1123" s="40">
        <v>36999.0</v>
      </c>
      <c r="S1123" s="35">
        <v>32759.16</v>
      </c>
      <c r="T1123" s="36">
        <v>0.0</v>
      </c>
      <c r="U1123" s="36">
        <v>0.0</v>
      </c>
      <c r="V1123" s="36">
        <v>0.0</v>
      </c>
      <c r="W1123" s="36">
        <v>0.0</v>
      </c>
      <c r="X1123" s="36">
        <v>0.0</v>
      </c>
      <c r="Y1123" s="36">
        <v>0.0</v>
      </c>
    </row>
    <row r="1124">
      <c r="A1124" s="32" t="s">
        <v>1836</v>
      </c>
      <c r="B1124" s="32" t="s">
        <v>1836</v>
      </c>
      <c r="C1124" s="32" t="s">
        <v>1837</v>
      </c>
      <c r="D1124" s="32" t="s">
        <v>1838</v>
      </c>
      <c r="E1124" s="32" t="s">
        <v>5102</v>
      </c>
      <c r="F1124" s="32" t="e">
        <v>#N/A</v>
      </c>
      <c r="G1124" s="39"/>
      <c r="H1124" s="32">
        <v>0.0</v>
      </c>
      <c r="I1124" s="39"/>
      <c r="J1124" s="32" t="s">
        <v>1839</v>
      </c>
      <c r="K1124" s="33" t="s">
        <v>1840</v>
      </c>
      <c r="L1124" s="32" t="e">
        <v>#N/A</v>
      </c>
      <c r="M1124" s="32" t="e">
        <v>#N/A</v>
      </c>
      <c r="N1124" s="32" t="s">
        <v>5109</v>
      </c>
      <c r="O1124" s="32" t="s">
        <v>52</v>
      </c>
      <c r="P1124" s="32">
        <v>34999.0</v>
      </c>
      <c r="Q1124" s="34">
        <v>31499.0</v>
      </c>
      <c r="R1124" s="40">
        <v>33199.0</v>
      </c>
      <c r="S1124" s="35">
        <v>29399.16</v>
      </c>
      <c r="T1124" s="36">
        <v>0.0</v>
      </c>
      <c r="U1124" s="36">
        <v>0.0</v>
      </c>
      <c r="V1124" s="36">
        <v>0.0</v>
      </c>
      <c r="W1124" s="36">
        <v>0.0</v>
      </c>
      <c r="X1124" s="36">
        <v>0.0</v>
      </c>
      <c r="Y1124" s="36">
        <v>0.0</v>
      </c>
    </row>
    <row r="1125">
      <c r="A1125" s="32" t="s">
        <v>1841</v>
      </c>
      <c r="B1125" s="32" t="s">
        <v>1841</v>
      </c>
      <c r="C1125" s="32" t="s">
        <v>1842</v>
      </c>
      <c r="D1125" s="32" t="s">
        <v>1843</v>
      </c>
      <c r="E1125" s="32" t="s">
        <v>5102</v>
      </c>
      <c r="F1125" s="32" t="e">
        <v>#N/A</v>
      </c>
      <c r="G1125" s="39"/>
      <c r="H1125" s="32">
        <v>0.0</v>
      </c>
      <c r="I1125" s="39"/>
      <c r="J1125" s="32" t="s">
        <v>1844</v>
      </c>
      <c r="K1125" s="33" t="s">
        <v>1845</v>
      </c>
      <c r="L1125" s="32" t="e">
        <v>#N/A</v>
      </c>
      <c r="M1125" s="32" t="e">
        <v>#N/A</v>
      </c>
      <c r="N1125" s="32" t="s">
        <v>5109</v>
      </c>
      <c r="O1125" s="32" t="s">
        <v>52</v>
      </c>
      <c r="P1125" s="32">
        <v>34999.0</v>
      </c>
      <c r="Q1125" s="34">
        <v>31499.0</v>
      </c>
      <c r="R1125" s="40">
        <v>33199.0</v>
      </c>
      <c r="S1125" s="35">
        <v>29399.16</v>
      </c>
      <c r="T1125" s="36">
        <v>0.0</v>
      </c>
      <c r="U1125" s="36">
        <v>0.0</v>
      </c>
      <c r="V1125" s="36">
        <v>0.0</v>
      </c>
      <c r="W1125" s="36">
        <v>0.0</v>
      </c>
      <c r="X1125" s="36">
        <v>0.0</v>
      </c>
      <c r="Y1125" s="36">
        <v>0.0</v>
      </c>
    </row>
    <row r="1126">
      <c r="A1126" s="32" t="s">
        <v>1829</v>
      </c>
      <c r="B1126" s="32" t="s">
        <v>1829</v>
      </c>
      <c r="C1126" s="32" t="s">
        <v>1830</v>
      </c>
      <c r="D1126" s="32" t="s">
        <v>1831</v>
      </c>
      <c r="E1126" s="32" t="s">
        <v>5102</v>
      </c>
      <c r="F1126" s="32" t="e">
        <v>#N/A</v>
      </c>
      <c r="G1126" s="39"/>
      <c r="H1126" s="32">
        <v>0.0</v>
      </c>
      <c r="I1126" s="39"/>
      <c r="J1126" s="32" t="s">
        <v>1832</v>
      </c>
      <c r="K1126" s="33" t="s">
        <v>1833</v>
      </c>
      <c r="L1126" s="32" t="e">
        <v>#N/A</v>
      </c>
      <c r="M1126" s="32" t="e">
        <v>#N/A</v>
      </c>
      <c r="N1126" s="32" t="s">
        <v>5109</v>
      </c>
      <c r="O1126" s="32" t="s">
        <v>52</v>
      </c>
      <c r="P1126" s="32">
        <v>37499.0</v>
      </c>
      <c r="Q1126" s="34">
        <v>33749.0</v>
      </c>
      <c r="R1126" s="40">
        <v>35599.0</v>
      </c>
      <c r="S1126" s="35">
        <v>31499.16</v>
      </c>
      <c r="T1126" s="36">
        <v>0.0</v>
      </c>
      <c r="U1126" s="36">
        <v>0.0</v>
      </c>
      <c r="V1126" s="36">
        <v>0.0</v>
      </c>
      <c r="W1126" s="36">
        <v>0.0</v>
      </c>
      <c r="X1126" s="36">
        <v>0.0</v>
      </c>
      <c r="Y1126" s="36">
        <v>0.0</v>
      </c>
    </row>
    <row r="1127">
      <c r="A1127" s="32" t="s">
        <v>1803</v>
      </c>
      <c r="B1127" s="32" t="s">
        <v>1803</v>
      </c>
      <c r="C1127" s="32" t="s">
        <v>1804</v>
      </c>
      <c r="D1127" s="32" t="s">
        <v>1805</v>
      </c>
      <c r="E1127" s="32" t="s">
        <v>5102</v>
      </c>
      <c r="F1127" s="32" t="e">
        <v>#N/A</v>
      </c>
      <c r="G1127" s="39"/>
      <c r="H1127" s="32">
        <v>0.0</v>
      </c>
      <c r="I1127" s="39"/>
      <c r="J1127" s="32" t="s">
        <v>1806</v>
      </c>
      <c r="K1127" s="33" t="s">
        <v>1807</v>
      </c>
      <c r="L1127" s="32" t="e">
        <v>#N/A</v>
      </c>
      <c r="M1127" s="32" t="e">
        <v>#N/A</v>
      </c>
      <c r="N1127" s="32" t="s">
        <v>5109</v>
      </c>
      <c r="O1127" s="32" t="s">
        <v>52</v>
      </c>
      <c r="P1127" s="32">
        <v>35999.0</v>
      </c>
      <c r="Q1127" s="34">
        <v>32399.0</v>
      </c>
      <c r="R1127" s="40">
        <v>34199.0</v>
      </c>
      <c r="S1127" s="35">
        <v>30239.16</v>
      </c>
      <c r="T1127" s="36">
        <v>0.0</v>
      </c>
      <c r="U1127" s="36">
        <v>0.0</v>
      </c>
      <c r="V1127" s="36">
        <v>0.0</v>
      </c>
      <c r="W1127" s="36">
        <v>0.0</v>
      </c>
      <c r="X1127" s="36">
        <v>0.0</v>
      </c>
      <c r="Y1127" s="36">
        <v>0.0</v>
      </c>
    </row>
    <row r="1128">
      <c r="A1128" s="32" t="s">
        <v>1722</v>
      </c>
      <c r="B1128" s="32" t="s">
        <v>1722</v>
      </c>
      <c r="C1128" s="32" t="s">
        <v>1723</v>
      </c>
      <c r="D1128" s="32" t="s">
        <v>1724</v>
      </c>
      <c r="E1128" s="32" t="s">
        <v>5102</v>
      </c>
      <c r="F1128" s="32" t="e">
        <v>#N/A</v>
      </c>
      <c r="G1128" s="39"/>
      <c r="H1128" s="32" t="s">
        <v>1725</v>
      </c>
      <c r="I1128" s="32" t="s">
        <v>5102</v>
      </c>
      <c r="J1128" s="32" t="s">
        <v>5208</v>
      </c>
      <c r="K1128" s="33" t="s">
        <v>1726</v>
      </c>
      <c r="L1128" s="32">
        <v>3.2783878E7</v>
      </c>
      <c r="M1128" s="32" t="s">
        <v>1727</v>
      </c>
      <c r="N1128" s="32" t="s">
        <v>5109</v>
      </c>
      <c r="O1128" s="32" t="s">
        <v>52</v>
      </c>
      <c r="P1128" s="32">
        <v>20999.0</v>
      </c>
      <c r="Q1128" s="34">
        <v>18899.0</v>
      </c>
      <c r="R1128" s="40">
        <v>19899.0</v>
      </c>
      <c r="S1128" s="35">
        <v>17639.16</v>
      </c>
      <c r="T1128" s="36">
        <v>0.0</v>
      </c>
      <c r="U1128" s="36">
        <v>0.0</v>
      </c>
      <c r="V1128" s="36">
        <v>0.0</v>
      </c>
      <c r="W1128" s="36">
        <v>0.0</v>
      </c>
      <c r="X1128" s="36">
        <v>0.0</v>
      </c>
      <c r="Y1128" s="36">
        <v>0.0</v>
      </c>
    </row>
    <row r="1129">
      <c r="A1129" s="32" t="s">
        <v>1696</v>
      </c>
      <c r="B1129" s="32" t="s">
        <v>1696</v>
      </c>
      <c r="C1129" s="32" t="s">
        <v>1697</v>
      </c>
      <c r="D1129" s="32" t="s">
        <v>1698</v>
      </c>
      <c r="E1129" s="32" t="s">
        <v>5102</v>
      </c>
      <c r="F1129" s="32" t="e">
        <v>#N/A</v>
      </c>
      <c r="G1129" s="39"/>
      <c r="H1129" s="32" t="s">
        <v>1699</v>
      </c>
      <c r="I1129" s="32" t="s">
        <v>5102</v>
      </c>
      <c r="J1129" s="32" t="s">
        <v>1700</v>
      </c>
      <c r="K1129" s="33" t="s">
        <v>1701</v>
      </c>
      <c r="L1129" s="32">
        <v>3.2783913E7</v>
      </c>
      <c r="M1129" s="32" t="s">
        <v>1702</v>
      </c>
      <c r="N1129" s="32" t="s">
        <v>5109</v>
      </c>
      <c r="O1129" s="32" t="s">
        <v>52</v>
      </c>
      <c r="P1129" s="32">
        <v>18999.0</v>
      </c>
      <c r="Q1129" s="34">
        <v>17099.0</v>
      </c>
      <c r="R1129" s="40">
        <v>17999.0</v>
      </c>
      <c r="S1129" s="35">
        <v>15959.16</v>
      </c>
      <c r="T1129" s="36">
        <v>0.0</v>
      </c>
      <c r="U1129" s="36">
        <v>0.0</v>
      </c>
      <c r="V1129" s="36">
        <v>0.0</v>
      </c>
      <c r="W1129" s="36">
        <v>0.0</v>
      </c>
      <c r="X1129" s="36">
        <v>0.0</v>
      </c>
      <c r="Y1129" s="36">
        <v>0.0</v>
      </c>
    </row>
    <row r="1130">
      <c r="A1130" s="32" t="s">
        <v>1728</v>
      </c>
      <c r="B1130" s="32" t="s">
        <v>1728</v>
      </c>
      <c r="C1130" s="32" t="s">
        <v>1729</v>
      </c>
      <c r="D1130" s="32" t="s">
        <v>1730</v>
      </c>
      <c r="E1130" s="32" t="s">
        <v>5102</v>
      </c>
      <c r="F1130" s="32" t="e">
        <v>#N/A</v>
      </c>
      <c r="G1130" s="39"/>
      <c r="H1130" s="32" t="s">
        <v>1731</v>
      </c>
      <c r="I1130" s="32" t="s">
        <v>5102</v>
      </c>
      <c r="J1130" s="32" t="s">
        <v>1732</v>
      </c>
      <c r="K1130" s="33" t="s">
        <v>1733</v>
      </c>
      <c r="L1130" s="32">
        <v>3.278401E7</v>
      </c>
      <c r="M1130" s="32" t="s">
        <v>1734</v>
      </c>
      <c r="N1130" s="32" t="s">
        <v>5109</v>
      </c>
      <c r="O1130" s="32" t="s">
        <v>52</v>
      </c>
      <c r="P1130" s="32">
        <v>20999.0</v>
      </c>
      <c r="Q1130" s="34">
        <v>18899.0</v>
      </c>
      <c r="R1130" s="40">
        <v>19899.0</v>
      </c>
      <c r="S1130" s="35">
        <v>17639.16</v>
      </c>
      <c r="T1130" s="36">
        <v>0.0</v>
      </c>
      <c r="U1130" s="36">
        <v>0.0</v>
      </c>
      <c r="V1130" s="36">
        <v>0.0</v>
      </c>
      <c r="W1130" s="36">
        <v>0.0</v>
      </c>
      <c r="X1130" s="36">
        <v>0.0</v>
      </c>
      <c r="Y1130" s="36">
        <v>0.0</v>
      </c>
    </row>
    <row r="1131">
      <c r="A1131" s="32" t="s">
        <v>1735</v>
      </c>
      <c r="B1131" s="32" t="s">
        <v>1735</v>
      </c>
      <c r="C1131" s="32" t="s">
        <v>1736</v>
      </c>
      <c r="D1131" s="32" t="s">
        <v>1737</v>
      </c>
      <c r="E1131" s="32" t="s">
        <v>5102</v>
      </c>
      <c r="F1131" s="32" t="e">
        <v>#N/A</v>
      </c>
      <c r="G1131" s="39"/>
      <c r="H1131" s="32">
        <v>0.0</v>
      </c>
      <c r="I1131" s="39"/>
      <c r="J1131" s="32" t="s">
        <v>1738</v>
      </c>
      <c r="K1131" s="33" t="s">
        <v>1739</v>
      </c>
      <c r="L1131" s="32" t="e">
        <v>#N/A</v>
      </c>
      <c r="M1131" s="32" t="e">
        <v>#N/A</v>
      </c>
      <c r="N1131" s="32" t="s">
        <v>5109</v>
      </c>
      <c r="O1131" s="32" t="s">
        <v>52</v>
      </c>
      <c r="P1131" s="32">
        <v>23499.0</v>
      </c>
      <c r="Q1131" s="34">
        <v>21149.0</v>
      </c>
      <c r="R1131" s="40">
        <v>22299.0</v>
      </c>
      <c r="S1131" s="35">
        <v>19739.16</v>
      </c>
      <c r="T1131" s="36">
        <v>0.0</v>
      </c>
      <c r="U1131" s="36">
        <v>0.0</v>
      </c>
      <c r="V1131" s="36">
        <v>0.0</v>
      </c>
      <c r="W1131" s="36">
        <v>0.0</v>
      </c>
      <c r="X1131" s="36">
        <v>0.0</v>
      </c>
      <c r="Y1131" s="36">
        <v>0.0</v>
      </c>
    </row>
    <row r="1132">
      <c r="A1132" s="32" t="s">
        <v>1710</v>
      </c>
      <c r="B1132" s="32" t="s">
        <v>1710</v>
      </c>
      <c r="C1132" s="32" t="s">
        <v>1711</v>
      </c>
      <c r="D1132" s="32" t="s">
        <v>1712</v>
      </c>
      <c r="E1132" s="32" t="s">
        <v>5102</v>
      </c>
      <c r="F1132" s="32" t="e">
        <v>#N/A</v>
      </c>
      <c r="G1132" s="39"/>
      <c r="H1132" s="32">
        <v>0.0</v>
      </c>
      <c r="I1132" s="39"/>
      <c r="J1132" s="32" t="s">
        <v>1713</v>
      </c>
      <c r="K1132" s="33" t="s">
        <v>1714</v>
      </c>
      <c r="L1132" s="32" t="e">
        <v>#N/A</v>
      </c>
      <c r="M1132" s="32" t="e">
        <v>#N/A</v>
      </c>
      <c r="N1132" s="32" t="s">
        <v>5109</v>
      </c>
      <c r="O1132" s="32" t="s">
        <v>52</v>
      </c>
      <c r="P1132" s="32">
        <v>23499.0</v>
      </c>
      <c r="Q1132" s="34">
        <v>21149.0</v>
      </c>
      <c r="R1132" s="40">
        <v>22299.0</v>
      </c>
      <c r="S1132" s="35">
        <v>19739.16</v>
      </c>
      <c r="T1132" s="36">
        <v>0.0</v>
      </c>
      <c r="U1132" s="36">
        <v>0.0</v>
      </c>
      <c r="V1132" s="36">
        <v>0.0</v>
      </c>
      <c r="W1132" s="36">
        <v>0.0</v>
      </c>
      <c r="X1132" s="36">
        <v>0.0</v>
      </c>
      <c r="Y1132" s="36">
        <v>0.0</v>
      </c>
    </row>
    <row r="1133">
      <c r="A1133" s="32" t="s">
        <v>1617</v>
      </c>
      <c r="B1133" s="32" t="s">
        <v>1617</v>
      </c>
      <c r="C1133" s="32" t="s">
        <v>1618</v>
      </c>
      <c r="D1133" s="32" t="s">
        <v>1619</v>
      </c>
      <c r="E1133" s="32" t="s">
        <v>5102</v>
      </c>
      <c r="F1133" s="32" t="e">
        <v>#N/A</v>
      </c>
      <c r="G1133" s="39"/>
      <c r="H1133" s="32">
        <v>0.0</v>
      </c>
      <c r="I1133" s="39"/>
      <c r="J1133" s="32" t="s">
        <v>1620</v>
      </c>
      <c r="K1133" s="33" t="s">
        <v>1621</v>
      </c>
      <c r="L1133" s="32" t="e">
        <v>#N/A</v>
      </c>
      <c r="M1133" s="32" t="e">
        <v>#N/A</v>
      </c>
      <c r="N1133" s="32" t="s">
        <v>5112</v>
      </c>
      <c r="O1133" s="32" t="s">
        <v>52</v>
      </c>
      <c r="P1133" s="32">
        <v>29999.0</v>
      </c>
      <c r="Q1133" s="34">
        <v>26999.0</v>
      </c>
      <c r="R1133" s="40">
        <v>28499.0</v>
      </c>
      <c r="S1133" s="35">
        <v>23099.23</v>
      </c>
      <c r="T1133" s="36">
        <v>0.0</v>
      </c>
      <c r="U1133" s="36">
        <v>0.0</v>
      </c>
      <c r="V1133" s="36">
        <v>0.0</v>
      </c>
      <c r="W1133" s="36">
        <v>0.0</v>
      </c>
      <c r="X1133" s="36">
        <v>0.0</v>
      </c>
      <c r="Y1133" s="36">
        <v>0.0</v>
      </c>
    </row>
    <row r="1134">
      <c r="A1134" s="32" t="s">
        <v>1590</v>
      </c>
      <c r="B1134" s="32" t="s">
        <v>1590</v>
      </c>
      <c r="C1134" s="32" t="s">
        <v>1591</v>
      </c>
      <c r="D1134" s="32" t="s">
        <v>1592</v>
      </c>
      <c r="E1134" s="32" t="s">
        <v>5102</v>
      </c>
      <c r="F1134" s="32" t="e">
        <v>#N/A</v>
      </c>
      <c r="G1134" s="39"/>
      <c r="H1134" s="32" t="s">
        <v>1590</v>
      </c>
      <c r="I1134" s="32" t="s">
        <v>5102</v>
      </c>
      <c r="J1134" s="32" t="s">
        <v>1590</v>
      </c>
      <c r="K1134" s="33" t="s">
        <v>1593</v>
      </c>
      <c r="L1134" s="32">
        <v>3.2784178E7</v>
      </c>
      <c r="M1134" s="32" t="s">
        <v>1594</v>
      </c>
      <c r="N1134" s="32" t="s">
        <v>5112</v>
      </c>
      <c r="O1134" s="32" t="s">
        <v>52</v>
      </c>
      <c r="P1134" s="32">
        <v>25999.0</v>
      </c>
      <c r="Q1134" s="34">
        <v>23399.0</v>
      </c>
      <c r="R1134" s="40">
        <v>24699.0</v>
      </c>
      <c r="S1134" s="35">
        <v>20019.23</v>
      </c>
      <c r="T1134" s="36">
        <v>0.0</v>
      </c>
      <c r="U1134" s="36">
        <v>0.0</v>
      </c>
      <c r="V1134" s="36">
        <v>0.0</v>
      </c>
      <c r="W1134" s="36">
        <v>0.0</v>
      </c>
      <c r="X1134" s="36">
        <v>0.0</v>
      </c>
      <c r="Y1134" s="36">
        <v>0.0</v>
      </c>
    </row>
    <row r="1135">
      <c r="A1135" s="32" t="s">
        <v>1624</v>
      </c>
      <c r="B1135" s="32" t="s">
        <v>1624</v>
      </c>
      <c r="C1135" s="32" t="s">
        <v>1625</v>
      </c>
      <c r="D1135" s="32" t="s">
        <v>1626</v>
      </c>
      <c r="E1135" s="32" t="s">
        <v>5102</v>
      </c>
      <c r="F1135" s="32" t="e">
        <v>#N/A</v>
      </c>
      <c r="G1135" s="39"/>
      <c r="H1135" s="32">
        <v>0.0</v>
      </c>
      <c r="I1135" s="39"/>
      <c r="J1135" s="32" t="s">
        <v>1627</v>
      </c>
      <c r="K1135" s="33" t="s">
        <v>1628</v>
      </c>
      <c r="L1135" s="32" t="e">
        <v>#N/A</v>
      </c>
      <c r="M1135" s="32" t="e">
        <v>#N/A</v>
      </c>
      <c r="N1135" s="32" t="s">
        <v>5112</v>
      </c>
      <c r="O1135" s="32" t="s">
        <v>52</v>
      </c>
      <c r="P1135" s="32">
        <v>29999.0</v>
      </c>
      <c r="Q1135" s="34">
        <v>26999.0</v>
      </c>
      <c r="R1135" s="40">
        <v>28499.0</v>
      </c>
      <c r="S1135" s="35">
        <v>23099.23</v>
      </c>
      <c r="T1135" s="36">
        <v>0.0</v>
      </c>
      <c r="U1135" s="36">
        <v>0.0</v>
      </c>
      <c r="V1135" s="36">
        <v>0.0</v>
      </c>
      <c r="W1135" s="36">
        <v>0.0</v>
      </c>
      <c r="X1135" s="36">
        <v>0.0</v>
      </c>
      <c r="Y1135" s="36">
        <v>0.0</v>
      </c>
    </row>
    <row r="1136">
      <c r="A1136" s="32" t="s">
        <v>5015</v>
      </c>
      <c r="B1136" s="32" t="s">
        <v>5015</v>
      </c>
      <c r="C1136" s="32" t="s">
        <v>5016</v>
      </c>
      <c r="D1136" s="46" t="s">
        <v>5235</v>
      </c>
      <c r="E1136" s="47" t="s">
        <v>5102</v>
      </c>
      <c r="F1136" s="38"/>
      <c r="G1136" s="38"/>
      <c r="H1136" s="38"/>
      <c r="I1136" s="38"/>
      <c r="J1136" s="32" t="s">
        <v>5018</v>
      </c>
      <c r="K1136" s="38"/>
      <c r="L1136" s="38"/>
      <c r="M1136" s="38"/>
      <c r="N1136" s="32" t="s">
        <v>5112</v>
      </c>
      <c r="O1136" s="32" t="s">
        <v>52</v>
      </c>
      <c r="P1136" s="32">
        <v>26899.0</v>
      </c>
      <c r="Q1136" s="44">
        <v>24209.0</v>
      </c>
      <c r="R1136" s="40">
        <v>25599.0</v>
      </c>
      <c r="S1136" s="35">
        <v>20712.23</v>
      </c>
      <c r="T1136" s="36">
        <v>0.0</v>
      </c>
      <c r="U1136" s="36">
        <v>0.0</v>
      </c>
      <c r="V1136" s="36">
        <v>0.0</v>
      </c>
      <c r="W1136" s="36">
        <v>0.0</v>
      </c>
      <c r="X1136" s="36">
        <v>0.0</v>
      </c>
      <c r="Y1136" s="36">
        <v>0.0</v>
      </c>
    </row>
    <row r="1137">
      <c r="A1137" s="32" t="s">
        <v>5019</v>
      </c>
      <c r="B1137" s="32" t="s">
        <v>5019</v>
      </c>
      <c r="C1137" s="32" t="s">
        <v>5020</v>
      </c>
      <c r="D1137" s="46" t="s">
        <v>5236</v>
      </c>
      <c r="E1137" s="47" t="s">
        <v>5102</v>
      </c>
      <c r="F1137" s="38"/>
      <c r="G1137" s="38"/>
      <c r="H1137" s="38"/>
      <c r="I1137" s="38"/>
      <c r="J1137" s="32" t="s">
        <v>5022</v>
      </c>
      <c r="K1137" s="38"/>
      <c r="L1137" s="38"/>
      <c r="M1137" s="38"/>
      <c r="N1137" s="32" t="s">
        <v>5112</v>
      </c>
      <c r="O1137" s="32" t="s">
        <v>52</v>
      </c>
      <c r="P1137" s="32">
        <v>26899.0</v>
      </c>
      <c r="Q1137" s="44">
        <v>24209.0</v>
      </c>
      <c r="R1137" s="40">
        <v>25599.0</v>
      </c>
      <c r="S1137" s="35">
        <v>20712.23</v>
      </c>
      <c r="T1137" s="36">
        <v>0.0</v>
      </c>
      <c r="U1137" s="36">
        <v>0.0</v>
      </c>
      <c r="V1137" s="36">
        <v>0.0</v>
      </c>
      <c r="W1137" s="36">
        <v>0.0</v>
      </c>
      <c r="X1137" s="36">
        <v>0.0</v>
      </c>
      <c r="Y1137" s="36">
        <v>0.0</v>
      </c>
    </row>
    <row r="1138">
      <c r="A1138" s="32" t="s">
        <v>1612</v>
      </c>
      <c r="B1138" s="32" t="s">
        <v>1612</v>
      </c>
      <c r="C1138" s="32" t="s">
        <v>1613</v>
      </c>
      <c r="D1138" s="32" t="s">
        <v>1614</v>
      </c>
      <c r="E1138" s="47" t="s">
        <v>5102</v>
      </c>
      <c r="F1138" s="32" t="e">
        <v>#N/A</v>
      </c>
      <c r="G1138" s="39"/>
      <c r="H1138" s="32">
        <v>0.0</v>
      </c>
      <c r="I1138" s="39"/>
      <c r="J1138" s="32" t="s">
        <v>1615</v>
      </c>
      <c r="K1138" s="33" t="s">
        <v>1616</v>
      </c>
      <c r="L1138" s="32" t="e">
        <v>#N/A</v>
      </c>
      <c r="M1138" s="32" t="e">
        <v>#N/A</v>
      </c>
      <c r="N1138" s="32" t="s">
        <v>5112</v>
      </c>
      <c r="O1138" s="32" t="s">
        <v>52</v>
      </c>
      <c r="P1138" s="32">
        <v>29999.0</v>
      </c>
      <c r="Q1138" s="34">
        <v>26999.0</v>
      </c>
      <c r="R1138" s="40">
        <v>28499.0</v>
      </c>
      <c r="S1138" s="35">
        <v>23099.23</v>
      </c>
      <c r="T1138" s="36">
        <v>0.0</v>
      </c>
      <c r="U1138" s="36">
        <v>0.0</v>
      </c>
      <c r="V1138" s="36">
        <v>0.0</v>
      </c>
      <c r="W1138" s="36">
        <v>0.0</v>
      </c>
      <c r="X1138" s="36">
        <v>0.0</v>
      </c>
      <c r="Y1138" s="36">
        <v>0.0</v>
      </c>
    </row>
    <row r="1139">
      <c r="A1139" s="32" t="s">
        <v>5023</v>
      </c>
      <c r="B1139" s="32" t="s">
        <v>5023</v>
      </c>
      <c r="C1139" s="32" t="s">
        <v>5024</v>
      </c>
      <c r="D1139" s="46" t="s">
        <v>5237</v>
      </c>
      <c r="E1139" s="47" t="s">
        <v>5102</v>
      </c>
      <c r="F1139" s="38"/>
      <c r="G1139" s="38"/>
      <c r="H1139" s="37" t="s">
        <v>5023</v>
      </c>
      <c r="I1139" s="32" t="s">
        <v>5102</v>
      </c>
      <c r="J1139" s="32" t="s">
        <v>5026</v>
      </c>
      <c r="K1139" s="38"/>
      <c r="L1139" s="38"/>
      <c r="M1139" s="38"/>
      <c r="N1139" s="32" t="s">
        <v>5112</v>
      </c>
      <c r="O1139" s="32" t="s">
        <v>52</v>
      </c>
      <c r="P1139" s="32">
        <v>16999.0</v>
      </c>
      <c r="Q1139" s="44">
        <v>15299.0</v>
      </c>
      <c r="R1139" s="40">
        <v>16099.0</v>
      </c>
      <c r="S1139" s="35">
        <v>13089.23</v>
      </c>
      <c r="T1139" s="36">
        <v>0.0</v>
      </c>
      <c r="U1139" s="36">
        <v>0.0</v>
      </c>
      <c r="V1139" s="36">
        <v>0.0</v>
      </c>
      <c r="W1139" s="36">
        <v>0.0</v>
      </c>
      <c r="X1139" s="36">
        <v>0.0</v>
      </c>
      <c r="Y1139" s="36">
        <v>0.0</v>
      </c>
    </row>
    <row r="1140">
      <c r="A1140" s="32" t="s">
        <v>1550</v>
      </c>
      <c r="B1140" s="32" t="s">
        <v>1550</v>
      </c>
      <c r="C1140" s="32" t="s">
        <v>1551</v>
      </c>
      <c r="D1140" s="32" t="s">
        <v>1552</v>
      </c>
      <c r="E1140" s="32" t="s">
        <v>5102</v>
      </c>
      <c r="F1140" s="32" t="e">
        <v>#N/A</v>
      </c>
      <c r="G1140" s="39"/>
      <c r="H1140" s="32" t="s">
        <v>1550</v>
      </c>
      <c r="I1140" s="32" t="s">
        <v>5102</v>
      </c>
      <c r="J1140" s="32" t="s">
        <v>1550</v>
      </c>
      <c r="K1140" s="33" t="s">
        <v>1553</v>
      </c>
      <c r="L1140" s="32">
        <v>3.2783946E7</v>
      </c>
      <c r="M1140" s="32" t="s">
        <v>1554</v>
      </c>
      <c r="N1140" s="32" t="s">
        <v>5112</v>
      </c>
      <c r="O1140" s="32" t="s">
        <v>52</v>
      </c>
      <c r="P1140" s="32">
        <v>16999.0</v>
      </c>
      <c r="Q1140" s="34">
        <v>15299.0</v>
      </c>
      <c r="R1140" s="40">
        <v>16099.0</v>
      </c>
      <c r="S1140" s="35">
        <v>13089.23</v>
      </c>
      <c r="T1140" s="36">
        <v>0.0</v>
      </c>
      <c r="U1140" s="36">
        <v>0.0</v>
      </c>
      <c r="V1140" s="36">
        <v>0.0</v>
      </c>
      <c r="W1140" s="36">
        <v>0.0</v>
      </c>
      <c r="X1140" s="36">
        <v>0.0</v>
      </c>
      <c r="Y1140" s="36">
        <v>0.0</v>
      </c>
    </row>
    <row r="1141">
      <c r="A1141" s="32" t="s">
        <v>4807</v>
      </c>
      <c r="B1141" s="32" t="s">
        <v>4807</v>
      </c>
      <c r="C1141" s="32" t="s">
        <v>4808</v>
      </c>
      <c r="D1141" s="32" t="s">
        <v>4809</v>
      </c>
      <c r="E1141" s="32" t="s">
        <v>5102</v>
      </c>
      <c r="F1141" s="32" t="e">
        <v>#N/A</v>
      </c>
      <c r="G1141" s="39"/>
      <c r="H1141" s="32" t="e">
        <v>#N/A</v>
      </c>
      <c r="I1141" s="39"/>
      <c r="J1141" s="32" t="s">
        <v>5212</v>
      </c>
      <c r="K1141" s="33" t="s">
        <v>4810</v>
      </c>
      <c r="L1141" s="32" t="e">
        <v>#N/A</v>
      </c>
      <c r="M1141" s="32" t="e">
        <v>#N/A</v>
      </c>
      <c r="N1141" s="32" t="s">
        <v>5112</v>
      </c>
      <c r="O1141" s="32" t="s">
        <v>52</v>
      </c>
      <c r="P1141" s="32">
        <v>20499.0</v>
      </c>
      <c r="Q1141" s="34">
        <v>18449.0</v>
      </c>
      <c r="R1141" s="40">
        <v>19499.0</v>
      </c>
      <c r="S1141" s="35">
        <v>15784.23</v>
      </c>
      <c r="T1141" s="36">
        <v>0.0</v>
      </c>
      <c r="U1141" s="36">
        <v>0.0</v>
      </c>
      <c r="V1141" s="36">
        <v>0.0</v>
      </c>
      <c r="W1141" s="36">
        <v>0.0</v>
      </c>
      <c r="X1141" s="36">
        <v>0.0</v>
      </c>
      <c r="Y1141" s="36">
        <v>0.0</v>
      </c>
    </row>
    <row r="1142">
      <c r="A1142" s="32" t="s">
        <v>4789</v>
      </c>
      <c r="B1142" s="32" t="s">
        <v>4789</v>
      </c>
      <c r="C1142" s="32" t="s">
        <v>4790</v>
      </c>
      <c r="D1142" s="32" t="s">
        <v>4791</v>
      </c>
      <c r="E1142" s="32" t="s">
        <v>5073</v>
      </c>
      <c r="F1142" s="32" t="e">
        <v>#N/A</v>
      </c>
      <c r="G1142" s="39"/>
      <c r="H1142" s="32" t="e">
        <v>#N/A</v>
      </c>
      <c r="I1142" s="39"/>
      <c r="J1142" s="32" t="s">
        <v>5213</v>
      </c>
      <c r="K1142" s="33" t="s">
        <v>4792</v>
      </c>
      <c r="L1142" s="32" t="e">
        <v>#N/A</v>
      </c>
      <c r="M1142" s="32" t="e">
        <v>#N/A</v>
      </c>
      <c r="N1142" s="32" t="s">
        <v>5112</v>
      </c>
      <c r="O1142" s="32" t="s">
        <v>52</v>
      </c>
      <c r="P1142" s="32">
        <v>17899.0</v>
      </c>
      <c r="Q1142" s="34">
        <v>16109.0</v>
      </c>
      <c r="R1142" s="40">
        <v>16999.0</v>
      </c>
      <c r="S1142" s="35">
        <v>13782.23</v>
      </c>
      <c r="T1142" s="36">
        <v>0.0</v>
      </c>
      <c r="U1142" s="36">
        <v>0.0</v>
      </c>
      <c r="V1142" s="36">
        <v>0.0</v>
      </c>
      <c r="W1142" s="36">
        <v>0.0</v>
      </c>
      <c r="X1142" s="36">
        <v>0.0</v>
      </c>
      <c r="Y1142" s="36">
        <v>0.0</v>
      </c>
    </row>
    <row r="1143">
      <c r="A1143" s="32" t="s">
        <v>3014</v>
      </c>
      <c r="B1143" s="32" t="s">
        <v>3014</v>
      </c>
      <c r="C1143" s="32" t="s">
        <v>3015</v>
      </c>
      <c r="D1143" s="32" t="s">
        <v>3016</v>
      </c>
      <c r="E1143" s="32" t="s">
        <v>5102</v>
      </c>
      <c r="F1143" s="32" t="e">
        <v>#N/A</v>
      </c>
      <c r="G1143" s="39"/>
      <c r="H1143" s="32" t="s">
        <v>3017</v>
      </c>
      <c r="I1143" s="32" t="s">
        <v>5102</v>
      </c>
      <c r="J1143" s="32" t="s">
        <v>3018</v>
      </c>
      <c r="K1143" s="33" t="s">
        <v>3019</v>
      </c>
      <c r="L1143" s="32" t="e">
        <v>#N/A</v>
      </c>
      <c r="M1143" s="32" t="e">
        <v>#N/A</v>
      </c>
      <c r="N1143" s="32" t="s">
        <v>5086</v>
      </c>
      <c r="O1143" s="32" t="s">
        <v>4730</v>
      </c>
      <c r="P1143" s="32">
        <v>2089.0</v>
      </c>
      <c r="Q1143" s="34">
        <v>1899.0</v>
      </c>
      <c r="R1143" s="40">
        <v>1899.0</v>
      </c>
      <c r="S1143" s="35">
        <v>1775.65</v>
      </c>
      <c r="T1143" s="36">
        <v>0.0</v>
      </c>
      <c r="U1143" s="36">
        <v>0.0</v>
      </c>
      <c r="V1143" s="36">
        <v>0.0</v>
      </c>
      <c r="W1143" s="36">
        <v>0.0</v>
      </c>
      <c r="X1143" s="36">
        <v>0.0</v>
      </c>
      <c r="Y1143" s="36">
        <v>0.0</v>
      </c>
    </row>
    <row r="1144">
      <c r="A1144" s="32" t="s">
        <v>3367</v>
      </c>
      <c r="B1144" s="32" t="s">
        <v>3367</v>
      </c>
      <c r="C1144" s="32" t="s">
        <v>3368</v>
      </c>
      <c r="D1144" s="32" t="s">
        <v>3369</v>
      </c>
      <c r="E1144" s="32" t="s">
        <v>5102</v>
      </c>
      <c r="F1144" s="32" t="e">
        <v>#N/A</v>
      </c>
      <c r="G1144" s="39"/>
      <c r="H1144" s="32" t="s">
        <v>3370</v>
      </c>
      <c r="I1144" s="32" t="s">
        <v>5102</v>
      </c>
      <c r="J1144" s="32" t="s">
        <v>3371</v>
      </c>
      <c r="K1144" s="33" t="s">
        <v>3372</v>
      </c>
      <c r="L1144" s="32">
        <v>3.1818407E7</v>
      </c>
      <c r="M1144" s="32" t="e">
        <v>#N/A</v>
      </c>
      <c r="N1144" s="32" t="s">
        <v>5086</v>
      </c>
      <c r="O1144" s="32" t="s">
        <v>4730</v>
      </c>
      <c r="P1144" s="32">
        <v>2189.0</v>
      </c>
      <c r="Q1144" s="34">
        <v>1999.0</v>
      </c>
      <c r="R1144" s="40">
        <v>1999.0</v>
      </c>
      <c r="S1144" s="35">
        <v>1860.65</v>
      </c>
      <c r="T1144" s="36">
        <v>0.0</v>
      </c>
      <c r="U1144" s="36">
        <v>0.0</v>
      </c>
      <c r="V1144" s="36">
        <v>0.0</v>
      </c>
      <c r="W1144" s="36">
        <v>0.0</v>
      </c>
      <c r="X1144" s="36">
        <v>0.0</v>
      </c>
      <c r="Y1144" s="36">
        <v>0.0</v>
      </c>
    </row>
    <row r="1145">
      <c r="A1145" s="32" t="s">
        <v>3343</v>
      </c>
      <c r="B1145" s="32" t="s">
        <v>3343</v>
      </c>
      <c r="C1145" s="32" t="s">
        <v>3344</v>
      </c>
      <c r="D1145" s="32" t="s">
        <v>3345</v>
      </c>
      <c r="E1145" s="32" t="s">
        <v>5102</v>
      </c>
      <c r="F1145" s="32" t="e">
        <v>#N/A</v>
      </c>
      <c r="G1145" s="39"/>
      <c r="H1145" s="32" t="s">
        <v>3346</v>
      </c>
      <c r="I1145" s="32" t="s">
        <v>5102</v>
      </c>
      <c r="J1145" s="32" t="s">
        <v>3347</v>
      </c>
      <c r="K1145" s="33" t="s">
        <v>3348</v>
      </c>
      <c r="L1145" s="32">
        <v>3.1818476E7</v>
      </c>
      <c r="M1145" s="32" t="e">
        <v>#N/A</v>
      </c>
      <c r="N1145" s="32" t="s">
        <v>5086</v>
      </c>
      <c r="O1145" s="32" t="s">
        <v>4730</v>
      </c>
      <c r="P1145" s="32">
        <v>2189.0</v>
      </c>
      <c r="Q1145" s="34">
        <v>1999.0</v>
      </c>
      <c r="R1145" s="40">
        <v>1999.0</v>
      </c>
      <c r="S1145" s="35">
        <v>1860.65</v>
      </c>
      <c r="T1145" s="36">
        <v>0.0</v>
      </c>
      <c r="U1145" s="36">
        <v>0.0</v>
      </c>
      <c r="V1145" s="36">
        <v>0.0</v>
      </c>
      <c r="W1145" s="36">
        <v>0.0</v>
      </c>
      <c r="X1145" s="36">
        <v>0.0</v>
      </c>
      <c r="Y1145" s="36">
        <v>0.0</v>
      </c>
    </row>
    <row r="1146">
      <c r="A1146" s="32" t="s">
        <v>3319</v>
      </c>
      <c r="B1146" s="32" t="s">
        <v>3319</v>
      </c>
      <c r="C1146" s="32" t="s">
        <v>3320</v>
      </c>
      <c r="D1146" s="32" t="s">
        <v>3321</v>
      </c>
      <c r="E1146" s="32" t="s">
        <v>5102</v>
      </c>
      <c r="F1146" s="32" t="e">
        <v>#N/A</v>
      </c>
      <c r="G1146" s="39"/>
      <c r="H1146" s="32" t="s">
        <v>3322</v>
      </c>
      <c r="I1146" s="32" t="s">
        <v>5102</v>
      </c>
      <c r="J1146" s="32" t="s">
        <v>3323</v>
      </c>
      <c r="K1146" s="33" t="s">
        <v>3324</v>
      </c>
      <c r="L1146" s="32">
        <v>3.1818442E7</v>
      </c>
      <c r="M1146" s="32" t="e">
        <v>#N/A</v>
      </c>
      <c r="N1146" s="32" t="s">
        <v>5086</v>
      </c>
      <c r="O1146" s="32" t="s">
        <v>4730</v>
      </c>
      <c r="P1146" s="32">
        <v>1989.0</v>
      </c>
      <c r="Q1146" s="34">
        <v>1799.0</v>
      </c>
      <c r="R1146" s="40">
        <v>1799.0</v>
      </c>
      <c r="S1146" s="35">
        <v>1690.65</v>
      </c>
      <c r="T1146" s="36">
        <v>0.0</v>
      </c>
      <c r="U1146" s="36">
        <v>0.0</v>
      </c>
      <c r="V1146" s="36">
        <v>0.0</v>
      </c>
      <c r="W1146" s="36">
        <v>0.0</v>
      </c>
      <c r="X1146" s="36">
        <v>0.0</v>
      </c>
      <c r="Y1146" s="36">
        <v>0.0</v>
      </c>
    </row>
    <row r="1147">
      <c r="A1147" s="32" t="s">
        <v>3223</v>
      </c>
      <c r="B1147" s="32" t="s">
        <v>3223</v>
      </c>
      <c r="C1147" s="32" t="s">
        <v>3224</v>
      </c>
      <c r="D1147" s="32" t="s">
        <v>3225</v>
      </c>
      <c r="E1147" s="32" t="s">
        <v>5102</v>
      </c>
      <c r="F1147" s="32" t="e">
        <v>#N/A</v>
      </c>
      <c r="G1147" s="39"/>
      <c r="H1147" s="32" t="s">
        <v>3226</v>
      </c>
      <c r="I1147" s="32" t="s">
        <v>5102</v>
      </c>
      <c r="J1147" s="32" t="s">
        <v>3227</v>
      </c>
      <c r="K1147" s="33" t="s">
        <v>3228</v>
      </c>
      <c r="L1147" s="32" t="e">
        <v>#N/A</v>
      </c>
      <c r="M1147" s="32" t="e">
        <v>#N/A</v>
      </c>
      <c r="N1147" s="32" t="s">
        <v>5086</v>
      </c>
      <c r="O1147" s="32" t="s">
        <v>4730</v>
      </c>
      <c r="P1147" s="32">
        <v>1389.0</v>
      </c>
      <c r="Q1147" s="34">
        <v>1249.0</v>
      </c>
      <c r="R1147" s="40">
        <v>1299.0</v>
      </c>
      <c r="S1147" s="35">
        <v>1180.65</v>
      </c>
      <c r="T1147" s="36">
        <v>0.0</v>
      </c>
      <c r="U1147" s="36">
        <v>0.0</v>
      </c>
      <c r="V1147" s="36">
        <v>0.0</v>
      </c>
      <c r="W1147" s="36">
        <v>0.0</v>
      </c>
      <c r="X1147" s="36">
        <v>0.0</v>
      </c>
      <c r="Y1147" s="36">
        <v>0.0</v>
      </c>
    </row>
    <row r="1148">
      <c r="A1148" s="32" t="s">
        <v>3756</v>
      </c>
      <c r="B1148" s="32" t="s">
        <v>3756</v>
      </c>
      <c r="C1148" s="32" t="s">
        <v>3757</v>
      </c>
      <c r="D1148" s="32" t="s">
        <v>3758</v>
      </c>
      <c r="E1148" s="32" t="s">
        <v>5102</v>
      </c>
      <c r="F1148" s="32" t="e">
        <v>#N/A</v>
      </c>
      <c r="G1148" s="39"/>
      <c r="H1148" s="32" t="s">
        <v>3756</v>
      </c>
      <c r="I1148" s="32" t="s">
        <v>5102</v>
      </c>
      <c r="J1148" s="32" t="s">
        <v>3759</v>
      </c>
      <c r="K1148" s="33" t="s">
        <v>3760</v>
      </c>
      <c r="L1148" s="32" t="e">
        <v>#N/A</v>
      </c>
      <c r="M1148" s="32" t="e">
        <v>#N/A</v>
      </c>
      <c r="N1148" s="32" t="s">
        <v>5086</v>
      </c>
      <c r="O1148" s="32" t="s">
        <v>4730</v>
      </c>
      <c r="P1148" s="32">
        <v>499.0</v>
      </c>
      <c r="Q1148" s="34">
        <v>449.0</v>
      </c>
      <c r="R1148" s="35">
        <v>499.0</v>
      </c>
      <c r="S1148" s="35">
        <v>424.15</v>
      </c>
      <c r="T1148" s="36">
        <v>0.0</v>
      </c>
      <c r="U1148" s="36">
        <v>0.0</v>
      </c>
      <c r="V1148" s="36">
        <v>0.0</v>
      </c>
      <c r="W1148" s="36">
        <v>0.0</v>
      </c>
      <c r="X1148" s="36">
        <v>0.0</v>
      </c>
      <c r="Y1148" s="36">
        <v>0.0</v>
      </c>
    </row>
    <row r="1149">
      <c r="A1149" s="32" t="s">
        <v>3736</v>
      </c>
      <c r="B1149" s="32" t="s">
        <v>3736</v>
      </c>
      <c r="C1149" s="32" t="s">
        <v>3737</v>
      </c>
      <c r="D1149" s="32" t="s">
        <v>3738</v>
      </c>
      <c r="E1149" s="32" t="s">
        <v>5102</v>
      </c>
      <c r="F1149" s="32" t="e">
        <v>#N/A</v>
      </c>
      <c r="G1149" s="39"/>
      <c r="H1149" s="32" t="s">
        <v>3736</v>
      </c>
      <c r="I1149" s="32" t="s">
        <v>5102</v>
      </c>
      <c r="J1149" s="32" t="s">
        <v>3739</v>
      </c>
      <c r="K1149" s="33" t="s">
        <v>3740</v>
      </c>
      <c r="L1149" s="32" t="e">
        <v>#N/A</v>
      </c>
      <c r="M1149" s="32" t="e">
        <v>#N/A</v>
      </c>
      <c r="N1149" s="32" t="s">
        <v>5086</v>
      </c>
      <c r="O1149" s="32" t="s">
        <v>4730</v>
      </c>
      <c r="P1149" s="32">
        <v>649.0</v>
      </c>
      <c r="Q1149" s="34">
        <v>599.0</v>
      </c>
      <c r="R1149" s="35">
        <v>599.0</v>
      </c>
      <c r="S1149" s="35">
        <v>551.65</v>
      </c>
      <c r="T1149" s="36">
        <v>0.0</v>
      </c>
      <c r="U1149" s="36">
        <v>0.0</v>
      </c>
      <c r="V1149" s="36">
        <v>0.0</v>
      </c>
      <c r="W1149" s="36">
        <v>0.0</v>
      </c>
      <c r="X1149" s="36">
        <v>0.0</v>
      </c>
      <c r="Y1149" s="36">
        <v>0.0</v>
      </c>
    </row>
    <row r="1150">
      <c r="A1150" s="32" t="s">
        <v>3614</v>
      </c>
      <c r="B1150" s="32" t="s">
        <v>3614</v>
      </c>
      <c r="C1150" s="32" t="s">
        <v>3615</v>
      </c>
      <c r="D1150" s="32" t="s">
        <v>3616</v>
      </c>
      <c r="E1150" s="32" t="s">
        <v>5102</v>
      </c>
      <c r="F1150" s="32" t="e">
        <v>#N/A</v>
      </c>
      <c r="G1150" s="39"/>
      <c r="H1150" s="32" t="s">
        <v>3614</v>
      </c>
      <c r="I1150" s="32" t="s">
        <v>5102</v>
      </c>
      <c r="J1150" s="32" t="s">
        <v>3617</v>
      </c>
      <c r="K1150" s="33" t="s">
        <v>3618</v>
      </c>
      <c r="L1150" s="32" t="e">
        <v>#N/A</v>
      </c>
      <c r="M1150" s="32" t="e">
        <v>#N/A</v>
      </c>
      <c r="N1150" s="32" t="s">
        <v>5086</v>
      </c>
      <c r="O1150" s="32" t="s">
        <v>4730</v>
      </c>
      <c r="P1150" s="32">
        <v>549.0</v>
      </c>
      <c r="Q1150" s="34">
        <v>499.0</v>
      </c>
      <c r="R1150" s="35">
        <v>499.0</v>
      </c>
      <c r="S1150" s="35">
        <v>466.65</v>
      </c>
      <c r="T1150" s="36">
        <v>0.0</v>
      </c>
      <c r="U1150" s="36">
        <v>0.0</v>
      </c>
      <c r="V1150" s="36">
        <v>0.0</v>
      </c>
      <c r="W1150" s="36">
        <v>0.0</v>
      </c>
      <c r="X1150" s="36">
        <v>0.0</v>
      </c>
      <c r="Y1150" s="36">
        <v>0.0</v>
      </c>
    </row>
    <row r="1151">
      <c r="A1151" s="32" t="s">
        <v>3044</v>
      </c>
      <c r="B1151" s="32" t="s">
        <v>3044</v>
      </c>
      <c r="C1151" s="32" t="s">
        <v>3045</v>
      </c>
      <c r="D1151" s="32" t="s">
        <v>3046</v>
      </c>
      <c r="E1151" s="32" t="s">
        <v>5102</v>
      </c>
      <c r="F1151" s="32" t="e">
        <v>#N/A</v>
      </c>
      <c r="G1151" s="39"/>
      <c r="H1151" s="32" t="s">
        <v>3047</v>
      </c>
      <c r="I1151" s="32" t="s">
        <v>5102</v>
      </c>
      <c r="J1151" s="32" t="s">
        <v>3048</v>
      </c>
      <c r="K1151" s="33" t="s">
        <v>3049</v>
      </c>
      <c r="L1151" s="32" t="e">
        <v>#N/A</v>
      </c>
      <c r="M1151" s="32" t="e">
        <v>#N/A</v>
      </c>
      <c r="N1151" s="32" t="s">
        <v>5127</v>
      </c>
      <c r="O1151" s="32" t="s">
        <v>4730</v>
      </c>
      <c r="P1151" s="32">
        <v>2989.0</v>
      </c>
      <c r="Q1151" s="34">
        <v>2299.0</v>
      </c>
      <c r="R1151" s="40">
        <v>2299.0</v>
      </c>
      <c r="S1151" s="35">
        <v>2199.0</v>
      </c>
      <c r="T1151" s="36">
        <v>0.0</v>
      </c>
      <c r="U1151" s="36">
        <v>0.0</v>
      </c>
      <c r="V1151" s="36">
        <v>0.0</v>
      </c>
      <c r="W1151" s="36">
        <v>0.0</v>
      </c>
      <c r="X1151" s="36">
        <v>0.0</v>
      </c>
      <c r="Y1151" s="36">
        <v>0.0</v>
      </c>
    </row>
    <row r="1152">
      <c r="A1152" s="32" t="s">
        <v>3385</v>
      </c>
      <c r="B1152" s="32" t="s">
        <v>3385</v>
      </c>
      <c r="C1152" s="32" t="s">
        <v>3386</v>
      </c>
      <c r="D1152" s="32" t="s">
        <v>3387</v>
      </c>
      <c r="E1152" s="32" t="s">
        <v>5102</v>
      </c>
      <c r="F1152" s="32" t="e">
        <v>#N/A</v>
      </c>
      <c r="G1152" s="39"/>
      <c r="H1152" s="32" t="s">
        <v>3388</v>
      </c>
      <c r="I1152" s="32" t="s">
        <v>5102</v>
      </c>
      <c r="J1152" s="32" t="s">
        <v>3389</v>
      </c>
      <c r="K1152" s="33" t="s">
        <v>3390</v>
      </c>
      <c r="L1152" s="32" t="e">
        <v>#N/A</v>
      </c>
      <c r="M1152" s="32" t="e">
        <v>#N/A</v>
      </c>
      <c r="N1152" s="32" t="s">
        <v>5086</v>
      </c>
      <c r="O1152" s="32" t="s">
        <v>4730</v>
      </c>
      <c r="P1152" s="32">
        <v>2189.0</v>
      </c>
      <c r="Q1152" s="34">
        <v>1999.0</v>
      </c>
      <c r="R1152" s="40">
        <v>1999.0</v>
      </c>
      <c r="S1152" s="35">
        <v>1860.65</v>
      </c>
      <c r="T1152" s="36">
        <v>0.0</v>
      </c>
      <c r="U1152" s="36">
        <v>0.0</v>
      </c>
      <c r="V1152" s="36">
        <v>0.0</v>
      </c>
      <c r="W1152" s="36">
        <v>0.0</v>
      </c>
      <c r="X1152" s="36">
        <v>0.0</v>
      </c>
      <c r="Y1152" s="36">
        <v>0.0</v>
      </c>
    </row>
    <row r="1153">
      <c r="A1153" s="32" t="s">
        <v>3361</v>
      </c>
      <c r="B1153" s="32" t="s">
        <v>3361</v>
      </c>
      <c r="C1153" s="32" t="s">
        <v>3362</v>
      </c>
      <c r="D1153" s="32" t="s">
        <v>3363</v>
      </c>
      <c r="E1153" s="32" t="s">
        <v>5102</v>
      </c>
      <c r="F1153" s="32" t="e">
        <v>#N/A</v>
      </c>
      <c r="G1153" s="39"/>
      <c r="H1153" s="32" t="s">
        <v>3364</v>
      </c>
      <c r="I1153" s="32" t="s">
        <v>5102</v>
      </c>
      <c r="J1153" s="32" t="s">
        <v>3365</v>
      </c>
      <c r="K1153" s="33" t="s">
        <v>3366</v>
      </c>
      <c r="L1153" s="32" t="e">
        <v>#N/A</v>
      </c>
      <c r="M1153" s="32" t="e">
        <v>#N/A</v>
      </c>
      <c r="N1153" s="32" t="s">
        <v>5086</v>
      </c>
      <c r="O1153" s="32" t="s">
        <v>4730</v>
      </c>
      <c r="P1153" s="32">
        <v>2189.0</v>
      </c>
      <c r="Q1153" s="34">
        <v>1999.0</v>
      </c>
      <c r="R1153" s="40">
        <v>1999.0</v>
      </c>
      <c r="S1153" s="35">
        <v>1860.65</v>
      </c>
      <c r="T1153" s="36">
        <v>0.0</v>
      </c>
      <c r="U1153" s="36">
        <v>0.0</v>
      </c>
      <c r="V1153" s="36">
        <v>0.0</v>
      </c>
      <c r="W1153" s="36">
        <v>0.0</v>
      </c>
      <c r="X1153" s="36">
        <v>0.0</v>
      </c>
      <c r="Y1153" s="36">
        <v>0.0</v>
      </c>
    </row>
    <row r="1154">
      <c r="A1154" s="32" t="s">
        <v>3337</v>
      </c>
      <c r="B1154" s="32" t="s">
        <v>3337</v>
      </c>
      <c r="C1154" s="32" t="s">
        <v>3338</v>
      </c>
      <c r="D1154" s="32" t="s">
        <v>3339</v>
      </c>
      <c r="E1154" s="32" t="s">
        <v>5102</v>
      </c>
      <c r="F1154" s="32" t="e">
        <v>#N/A</v>
      </c>
      <c r="G1154" s="39"/>
      <c r="H1154" s="32" t="s">
        <v>3340</v>
      </c>
      <c r="I1154" s="32" t="s">
        <v>5102</v>
      </c>
      <c r="J1154" s="32" t="s">
        <v>3341</v>
      </c>
      <c r="K1154" s="33" t="s">
        <v>3342</v>
      </c>
      <c r="L1154" s="32" t="e">
        <v>#N/A</v>
      </c>
      <c r="M1154" s="32" t="e">
        <v>#N/A</v>
      </c>
      <c r="N1154" s="32" t="s">
        <v>5142</v>
      </c>
      <c r="O1154" s="32" t="s">
        <v>4730</v>
      </c>
      <c r="P1154" s="32">
        <v>2189.0</v>
      </c>
      <c r="Q1154" s="34">
        <v>1999.0</v>
      </c>
      <c r="R1154" s="40">
        <v>1999.0</v>
      </c>
      <c r="S1154" s="35">
        <v>1899.0</v>
      </c>
      <c r="T1154" s="36">
        <v>0.0</v>
      </c>
      <c r="U1154" s="36">
        <v>0.0</v>
      </c>
      <c r="V1154" s="36">
        <v>0.0</v>
      </c>
      <c r="W1154" s="36">
        <v>0.0</v>
      </c>
      <c r="X1154" s="36">
        <v>0.0</v>
      </c>
      <c r="Y1154" s="36">
        <v>0.0</v>
      </c>
    </row>
    <row r="1155">
      <c r="A1155" s="32" t="s">
        <v>3313</v>
      </c>
      <c r="B1155" s="32" t="s">
        <v>3313</v>
      </c>
      <c r="C1155" s="32" t="s">
        <v>3314</v>
      </c>
      <c r="D1155" s="32" t="s">
        <v>3315</v>
      </c>
      <c r="E1155" s="32" t="s">
        <v>5102</v>
      </c>
      <c r="F1155" s="32" t="e">
        <v>#N/A</v>
      </c>
      <c r="G1155" s="39"/>
      <c r="H1155" s="32" t="s">
        <v>3316</v>
      </c>
      <c r="I1155" s="32" t="s">
        <v>5102</v>
      </c>
      <c r="J1155" s="32" t="s">
        <v>3317</v>
      </c>
      <c r="K1155" s="33" t="s">
        <v>3318</v>
      </c>
      <c r="L1155" s="32" t="e">
        <v>#N/A</v>
      </c>
      <c r="M1155" s="32" t="e">
        <v>#N/A</v>
      </c>
      <c r="N1155" s="32" t="s">
        <v>5142</v>
      </c>
      <c r="O1155" s="32" t="s">
        <v>4730</v>
      </c>
      <c r="P1155" s="32">
        <v>1989.0</v>
      </c>
      <c r="Q1155" s="34">
        <v>1799.0</v>
      </c>
      <c r="R1155" s="40">
        <v>1799.0</v>
      </c>
      <c r="S1155" s="35">
        <v>1699.0</v>
      </c>
      <c r="T1155" s="36">
        <v>0.0</v>
      </c>
      <c r="U1155" s="36">
        <v>0.0</v>
      </c>
      <c r="V1155" s="36">
        <v>0.0</v>
      </c>
      <c r="W1155" s="36">
        <v>0.0</v>
      </c>
      <c r="X1155" s="36">
        <v>0.0</v>
      </c>
      <c r="Y1155" s="36">
        <v>0.0</v>
      </c>
    </row>
    <row r="1156">
      <c r="A1156" s="32" t="s">
        <v>3751</v>
      </c>
      <c r="B1156" s="32" t="s">
        <v>3751</v>
      </c>
      <c r="C1156" s="32" t="s">
        <v>3752</v>
      </c>
      <c r="D1156" s="32" t="s">
        <v>3753</v>
      </c>
      <c r="E1156" s="32" t="s">
        <v>5102</v>
      </c>
      <c r="F1156" s="32" t="e">
        <v>#N/A</v>
      </c>
      <c r="G1156" s="39"/>
      <c r="H1156" s="32" t="s">
        <v>3751</v>
      </c>
      <c r="I1156" s="32" t="s">
        <v>5102</v>
      </c>
      <c r="J1156" s="32" t="s">
        <v>3754</v>
      </c>
      <c r="K1156" s="33" t="s">
        <v>3755</v>
      </c>
      <c r="L1156" s="32" t="e">
        <v>#N/A</v>
      </c>
      <c r="M1156" s="32" t="e">
        <v>#N/A</v>
      </c>
      <c r="N1156" s="32" t="s">
        <v>5154</v>
      </c>
      <c r="O1156" s="32" t="s">
        <v>4730</v>
      </c>
      <c r="P1156" s="32">
        <v>499.0</v>
      </c>
      <c r="Q1156" s="34">
        <v>449.0</v>
      </c>
      <c r="R1156" s="35">
        <v>449.0</v>
      </c>
      <c r="S1156" s="35">
        <v>399.0</v>
      </c>
      <c r="T1156" s="36">
        <v>0.0</v>
      </c>
      <c r="U1156" s="36">
        <v>0.0</v>
      </c>
      <c r="V1156" s="36">
        <v>0.0</v>
      </c>
      <c r="W1156" s="36">
        <v>0.0</v>
      </c>
      <c r="X1156" s="36">
        <v>0.0</v>
      </c>
      <c r="Y1156" s="36">
        <v>0.0</v>
      </c>
    </row>
    <row r="1157">
      <c r="A1157" s="32" t="s">
        <v>3731</v>
      </c>
      <c r="B1157" s="32" t="s">
        <v>3731</v>
      </c>
      <c r="C1157" s="32" t="s">
        <v>3732</v>
      </c>
      <c r="D1157" s="32" t="s">
        <v>3733</v>
      </c>
      <c r="E1157" s="32" t="s">
        <v>5102</v>
      </c>
      <c r="F1157" s="32" t="e">
        <v>#N/A</v>
      </c>
      <c r="G1157" s="39"/>
      <c r="H1157" s="32" t="s">
        <v>3731</v>
      </c>
      <c r="I1157" s="32" t="s">
        <v>5102</v>
      </c>
      <c r="J1157" s="32" t="s">
        <v>3734</v>
      </c>
      <c r="K1157" s="33" t="s">
        <v>3735</v>
      </c>
      <c r="L1157" s="32" t="e">
        <v>#N/A</v>
      </c>
      <c r="M1157" s="32" t="e">
        <v>#N/A</v>
      </c>
      <c r="N1157" s="32" t="s">
        <v>5155</v>
      </c>
      <c r="O1157" s="32" t="s">
        <v>4730</v>
      </c>
      <c r="P1157" s="32">
        <v>649.0</v>
      </c>
      <c r="Q1157" s="34">
        <v>599.0</v>
      </c>
      <c r="R1157" s="35">
        <v>599.0</v>
      </c>
      <c r="S1157" s="35">
        <v>549.0</v>
      </c>
      <c r="T1157" s="36">
        <v>0.0</v>
      </c>
      <c r="U1157" s="36">
        <v>0.0</v>
      </c>
      <c r="V1157" s="36">
        <v>0.0</v>
      </c>
      <c r="W1157" s="36">
        <v>0.0</v>
      </c>
      <c r="X1157" s="36">
        <v>0.0</v>
      </c>
      <c r="Y1157" s="36">
        <v>0.0</v>
      </c>
    </row>
    <row r="1158">
      <c r="A1158" s="32" t="s">
        <v>3609</v>
      </c>
      <c r="B1158" s="32" t="s">
        <v>3609</v>
      </c>
      <c r="C1158" s="32" t="s">
        <v>3610</v>
      </c>
      <c r="D1158" s="32" t="s">
        <v>3611</v>
      </c>
      <c r="E1158" s="32" t="s">
        <v>5102</v>
      </c>
      <c r="F1158" s="32" t="e">
        <v>#N/A</v>
      </c>
      <c r="G1158" s="39"/>
      <c r="H1158" s="32" t="s">
        <v>3609</v>
      </c>
      <c r="I1158" s="32" t="s">
        <v>5102</v>
      </c>
      <c r="J1158" s="32" t="s">
        <v>3612</v>
      </c>
      <c r="K1158" s="33" t="s">
        <v>3613</v>
      </c>
      <c r="L1158" s="32" t="e">
        <v>#N/A</v>
      </c>
      <c r="M1158" s="32" t="e">
        <v>#N/A</v>
      </c>
      <c r="N1158" s="32" t="s">
        <v>5155</v>
      </c>
      <c r="O1158" s="32" t="s">
        <v>4730</v>
      </c>
      <c r="P1158" s="32">
        <v>549.0</v>
      </c>
      <c r="Q1158" s="34">
        <v>499.0</v>
      </c>
      <c r="R1158" s="35">
        <v>499.0</v>
      </c>
      <c r="S1158" s="35">
        <v>449.0</v>
      </c>
      <c r="T1158" s="36">
        <v>0.0</v>
      </c>
      <c r="U1158" s="36">
        <v>0.0</v>
      </c>
      <c r="V1158" s="36">
        <v>0.0</v>
      </c>
      <c r="W1158" s="36">
        <v>0.0</v>
      </c>
      <c r="X1158" s="36">
        <v>0.0</v>
      </c>
      <c r="Y1158" s="36">
        <v>0.0</v>
      </c>
    </row>
    <row r="1159">
      <c r="A1159" s="43" t="s">
        <v>1093</v>
      </c>
      <c r="B1159" s="32"/>
      <c r="C1159" s="43" t="s">
        <v>5214</v>
      </c>
      <c r="D1159" s="32"/>
      <c r="E1159" s="32"/>
      <c r="F1159" s="32"/>
      <c r="G1159" s="39"/>
      <c r="H1159" s="32"/>
      <c r="I1159" s="32"/>
      <c r="J1159" s="32"/>
      <c r="K1159" s="33"/>
      <c r="L1159" s="32"/>
      <c r="M1159" s="32"/>
      <c r="N1159" s="32"/>
      <c r="O1159" s="32"/>
      <c r="P1159" s="32"/>
      <c r="Q1159" s="34"/>
      <c r="R1159" s="35"/>
      <c r="S1159" s="35"/>
      <c r="T1159" s="36"/>
      <c r="U1159" s="36"/>
      <c r="V1159" s="36"/>
      <c r="W1159" s="36"/>
      <c r="X1159" s="36"/>
      <c r="Y1159" s="36"/>
    </row>
    <row r="1160">
      <c r="A1160" s="13" t="s">
        <v>5215</v>
      </c>
      <c r="B1160" s="32"/>
      <c r="C1160" s="13" t="s">
        <v>5216</v>
      </c>
      <c r="D1160" s="32"/>
      <c r="E1160" s="32"/>
      <c r="F1160" s="32"/>
      <c r="G1160" s="39"/>
      <c r="H1160" s="32"/>
      <c r="I1160" s="32"/>
      <c r="J1160" s="32"/>
      <c r="K1160" s="33"/>
      <c r="L1160" s="32"/>
      <c r="M1160" s="32"/>
      <c r="N1160" s="32"/>
      <c r="O1160" s="32"/>
      <c r="P1160" s="32"/>
      <c r="Q1160" s="34"/>
      <c r="R1160" s="35"/>
      <c r="S1160" s="35"/>
      <c r="T1160" s="36"/>
      <c r="U1160" s="36"/>
      <c r="V1160" s="36"/>
      <c r="W1160" s="36"/>
      <c r="X1160" s="36"/>
      <c r="Y1160" s="36"/>
    </row>
    <row r="1161">
      <c r="A1161" s="13" t="s">
        <v>5217</v>
      </c>
      <c r="B1161" s="32"/>
      <c r="C1161" s="13" t="s">
        <v>5218</v>
      </c>
      <c r="D1161" s="32"/>
      <c r="E1161" s="32"/>
      <c r="F1161" s="32"/>
      <c r="G1161" s="39"/>
      <c r="H1161" s="32"/>
      <c r="I1161" s="32"/>
      <c r="J1161" s="32"/>
      <c r="K1161" s="33"/>
      <c r="L1161" s="32"/>
      <c r="M1161" s="32"/>
      <c r="N1161" s="32"/>
      <c r="O1161" s="32"/>
      <c r="P1161" s="32"/>
      <c r="Q1161" s="34"/>
      <c r="R1161" s="35"/>
      <c r="S1161" s="35"/>
      <c r="T1161" s="36"/>
      <c r="U1161" s="36"/>
      <c r="V1161" s="36"/>
      <c r="W1161" s="36"/>
      <c r="X1161" s="36"/>
      <c r="Y1161" s="36"/>
    </row>
    <row r="1162">
      <c r="A1162" s="32"/>
      <c r="B1162" s="32"/>
      <c r="C1162" s="32"/>
      <c r="D1162" s="32"/>
      <c r="E1162" s="32"/>
      <c r="F1162" s="32"/>
      <c r="G1162" s="39"/>
      <c r="H1162" s="32"/>
      <c r="I1162" s="32"/>
      <c r="J1162" s="32"/>
      <c r="K1162" s="33"/>
      <c r="L1162" s="32"/>
      <c r="M1162" s="32"/>
      <c r="N1162" s="32"/>
      <c r="O1162" s="32"/>
      <c r="P1162" s="32"/>
      <c r="Q1162" s="34"/>
      <c r="R1162" s="35"/>
      <c r="S1162" s="35"/>
      <c r="T1162" s="36"/>
      <c r="U1162" s="36"/>
      <c r="V1162" s="36"/>
      <c r="W1162" s="36"/>
      <c r="X1162" s="36"/>
      <c r="Y1162" s="36"/>
    </row>
    <row r="1163">
      <c r="A1163" s="32"/>
      <c r="B1163" s="32"/>
      <c r="C1163" s="32"/>
      <c r="D1163" s="32"/>
      <c r="E1163" s="32"/>
      <c r="F1163" s="32"/>
      <c r="G1163" s="39"/>
      <c r="H1163" s="32"/>
      <c r="I1163" s="32"/>
      <c r="J1163" s="32"/>
      <c r="K1163" s="33"/>
      <c r="L1163" s="32"/>
      <c r="M1163" s="32"/>
      <c r="N1163" s="32"/>
      <c r="O1163" s="32"/>
      <c r="P1163" s="32"/>
      <c r="Q1163" s="34"/>
      <c r="R1163" s="35"/>
      <c r="S1163" s="35"/>
      <c r="T1163" s="36"/>
      <c r="U1163" s="36"/>
      <c r="V1163" s="36"/>
      <c r="W1163" s="36"/>
      <c r="X1163" s="36"/>
      <c r="Y1163" s="36"/>
    </row>
    <row r="1164">
      <c r="A1164" s="32"/>
      <c r="B1164" s="32"/>
      <c r="C1164" s="32"/>
      <c r="D1164" s="32"/>
      <c r="E1164" s="32"/>
      <c r="F1164" s="32"/>
      <c r="G1164" s="39"/>
      <c r="H1164" s="32"/>
      <c r="I1164" s="32"/>
      <c r="J1164" s="32"/>
      <c r="K1164" s="33"/>
      <c r="L1164" s="32"/>
      <c r="M1164" s="32"/>
      <c r="N1164" s="32"/>
      <c r="O1164" s="32"/>
      <c r="P1164" s="32"/>
      <c r="Q1164" s="34"/>
      <c r="R1164" s="35"/>
      <c r="S1164" s="35"/>
      <c r="T1164" s="36"/>
      <c r="U1164" s="36"/>
      <c r="V1164" s="36"/>
      <c r="W1164" s="36"/>
      <c r="X1164" s="36"/>
      <c r="Y1164" s="36"/>
    </row>
    <row r="1165">
      <c r="A1165" s="32"/>
      <c r="B1165" s="32"/>
      <c r="C1165" s="32"/>
      <c r="D1165" s="32"/>
      <c r="E1165" s="32"/>
      <c r="F1165" s="32"/>
      <c r="G1165" s="39"/>
      <c r="H1165" s="32"/>
      <c r="I1165" s="32"/>
      <c r="J1165" s="32"/>
      <c r="K1165" s="33"/>
      <c r="L1165" s="32"/>
      <c r="M1165" s="32"/>
      <c r="N1165" s="32"/>
      <c r="O1165" s="32"/>
      <c r="P1165" s="32"/>
      <c r="Q1165" s="34"/>
      <c r="R1165" s="35"/>
      <c r="S1165" s="35"/>
      <c r="T1165" s="36"/>
      <c r="U1165" s="36"/>
      <c r="V1165" s="36"/>
      <c r="W1165" s="36"/>
      <c r="X1165" s="36"/>
      <c r="Y1165" s="36"/>
    </row>
    <row r="1166">
      <c r="A1166" s="32"/>
      <c r="B1166" s="32"/>
      <c r="C1166" s="32"/>
      <c r="D1166" s="32"/>
      <c r="E1166" s="32"/>
      <c r="F1166" s="32"/>
      <c r="G1166" s="39"/>
      <c r="H1166" s="32"/>
      <c r="I1166" s="32"/>
      <c r="J1166" s="32"/>
      <c r="K1166" s="33"/>
      <c r="L1166" s="32"/>
      <c r="M1166" s="32"/>
      <c r="N1166" s="32"/>
      <c r="O1166" s="32"/>
      <c r="P1166" s="32"/>
      <c r="Q1166" s="34"/>
      <c r="R1166" s="35"/>
      <c r="S1166" s="35"/>
      <c r="T1166" s="36"/>
      <c r="U1166" s="36"/>
      <c r="V1166" s="36"/>
      <c r="W1166" s="36"/>
      <c r="X1166" s="36"/>
      <c r="Y1166" s="36"/>
    </row>
    <row r="1167">
      <c r="A1167" s="32"/>
      <c r="B1167" s="32"/>
      <c r="C1167" s="32"/>
      <c r="D1167" s="32"/>
      <c r="E1167" s="32"/>
      <c r="F1167" s="32"/>
      <c r="G1167" s="39"/>
      <c r="H1167" s="32"/>
      <c r="I1167" s="32"/>
      <c r="J1167" s="32"/>
      <c r="K1167" s="33"/>
      <c r="L1167" s="32"/>
      <c r="M1167" s="32"/>
      <c r="N1167" s="32"/>
      <c r="O1167" s="32"/>
      <c r="P1167" s="32"/>
      <c r="Q1167" s="34"/>
      <c r="R1167" s="35"/>
      <c r="S1167" s="35"/>
      <c r="T1167" s="36"/>
      <c r="U1167" s="36"/>
      <c r="V1167" s="36"/>
      <c r="W1167" s="36"/>
      <c r="X1167" s="36"/>
      <c r="Y1167" s="36"/>
    </row>
    <row r="1168">
      <c r="A1168" s="32"/>
      <c r="B1168" s="32"/>
      <c r="C1168" s="32"/>
      <c r="D1168" s="32"/>
      <c r="E1168" s="32"/>
      <c r="F1168" s="32"/>
      <c r="G1168" s="39"/>
      <c r="H1168" s="32"/>
      <c r="I1168" s="32"/>
      <c r="J1168" s="32"/>
      <c r="K1168" s="33"/>
      <c r="L1168" s="32"/>
      <c r="M1168" s="32"/>
      <c r="N1168" s="32"/>
      <c r="O1168" s="32"/>
      <c r="P1168" s="32"/>
      <c r="Q1168" s="34"/>
      <c r="R1168" s="35"/>
      <c r="S1168" s="35"/>
      <c r="T1168" s="36"/>
      <c r="U1168" s="36"/>
      <c r="V1168" s="36"/>
      <c r="W1168" s="36"/>
      <c r="X1168" s="36"/>
      <c r="Y1168" s="36"/>
    </row>
    <row r="1169">
      <c r="A1169" s="32"/>
      <c r="B1169" s="32"/>
      <c r="C1169" s="32"/>
      <c r="D1169" s="32"/>
      <c r="E1169" s="32"/>
      <c r="F1169" s="32"/>
      <c r="G1169" s="39"/>
      <c r="H1169" s="32"/>
      <c r="I1169" s="32"/>
      <c r="J1169" s="32"/>
      <c r="K1169" s="33"/>
      <c r="L1169" s="32"/>
      <c r="M1169" s="32"/>
      <c r="N1169" s="32"/>
      <c r="O1169" s="32"/>
      <c r="P1169" s="32"/>
      <c r="Q1169" s="34"/>
      <c r="R1169" s="35"/>
      <c r="S1169" s="35"/>
      <c r="T1169" s="36"/>
      <c r="U1169" s="36"/>
      <c r="V1169" s="36"/>
      <c r="W1169" s="36"/>
      <c r="X1169" s="36"/>
      <c r="Y1169" s="36"/>
    </row>
    <row r="1170">
      <c r="A1170" s="32"/>
      <c r="B1170" s="32"/>
      <c r="C1170" s="32"/>
      <c r="D1170" s="32"/>
      <c r="E1170" s="32"/>
      <c r="F1170" s="32"/>
      <c r="G1170" s="39"/>
      <c r="H1170" s="32"/>
      <c r="I1170" s="32"/>
      <c r="J1170" s="32"/>
      <c r="K1170" s="33"/>
      <c r="L1170" s="32"/>
      <c r="M1170" s="32"/>
      <c r="N1170" s="32"/>
      <c r="O1170" s="32"/>
      <c r="P1170" s="32"/>
      <c r="Q1170" s="34"/>
      <c r="R1170" s="35"/>
      <c r="S1170" s="35"/>
      <c r="T1170" s="36"/>
      <c r="U1170" s="36"/>
      <c r="V1170" s="36"/>
      <c r="W1170" s="36"/>
      <c r="X1170" s="36"/>
      <c r="Y1170" s="36"/>
    </row>
    <row r="1171">
      <c r="A1171" s="32"/>
      <c r="B1171" s="32"/>
      <c r="C1171" s="32"/>
      <c r="D1171" s="32"/>
      <c r="E1171" s="32"/>
      <c r="F1171" s="32"/>
      <c r="G1171" s="39"/>
      <c r="H1171" s="32"/>
      <c r="I1171" s="32"/>
      <c r="J1171" s="32"/>
      <c r="K1171" s="33"/>
      <c r="L1171" s="32"/>
      <c r="M1171" s="32"/>
      <c r="N1171" s="32"/>
      <c r="O1171" s="32"/>
      <c r="P1171" s="32"/>
      <c r="Q1171" s="34"/>
      <c r="R1171" s="35"/>
      <c r="S1171" s="35"/>
      <c r="T1171" s="36"/>
      <c r="U1171" s="36"/>
      <c r="V1171" s="36"/>
      <c r="W1171" s="36"/>
      <c r="X1171" s="36"/>
      <c r="Y1171" s="36"/>
    </row>
    <row r="1172">
      <c r="A1172" s="32"/>
      <c r="B1172" s="32"/>
      <c r="C1172" s="32"/>
      <c r="D1172" s="32"/>
      <c r="E1172" s="32"/>
      <c r="F1172" s="32"/>
      <c r="G1172" s="39"/>
      <c r="H1172" s="32"/>
      <c r="I1172" s="32"/>
      <c r="J1172" s="32"/>
      <c r="K1172" s="33"/>
      <c r="L1172" s="32"/>
      <c r="M1172" s="32"/>
      <c r="N1172" s="32"/>
      <c r="O1172" s="32"/>
      <c r="P1172" s="32"/>
      <c r="Q1172" s="34"/>
      <c r="R1172" s="35"/>
      <c r="S1172" s="35"/>
      <c r="T1172" s="36"/>
      <c r="U1172" s="36"/>
      <c r="V1172" s="36"/>
      <c r="W1172" s="36"/>
      <c r="X1172" s="36"/>
      <c r="Y1172" s="36"/>
    </row>
    <row r="1173">
      <c r="A1173" s="32"/>
      <c r="B1173" s="32"/>
      <c r="C1173" s="32"/>
      <c r="D1173" s="32"/>
      <c r="E1173" s="32"/>
      <c r="F1173" s="32"/>
      <c r="G1173" s="39"/>
      <c r="H1173" s="32"/>
      <c r="I1173" s="32"/>
      <c r="J1173" s="32"/>
      <c r="K1173" s="33"/>
      <c r="L1173" s="32"/>
      <c r="M1173" s="32"/>
      <c r="N1173" s="32"/>
      <c r="O1173" s="32"/>
      <c r="P1173" s="32"/>
      <c r="Q1173" s="34"/>
      <c r="R1173" s="35"/>
      <c r="S1173" s="35"/>
      <c r="T1173" s="36"/>
      <c r="U1173" s="36"/>
      <c r="V1173" s="36"/>
      <c r="W1173" s="36"/>
      <c r="X1173" s="36"/>
      <c r="Y1173" s="36"/>
    </row>
    <row r="1174">
      <c r="A1174" s="32"/>
      <c r="B1174" s="32"/>
      <c r="C1174" s="32"/>
      <c r="D1174" s="32"/>
      <c r="E1174" s="32"/>
      <c r="F1174" s="32"/>
      <c r="G1174" s="39"/>
      <c r="H1174" s="32"/>
      <c r="I1174" s="32"/>
      <c r="J1174" s="32"/>
      <c r="K1174" s="33"/>
      <c r="L1174" s="32"/>
      <c r="M1174" s="32"/>
      <c r="N1174" s="32"/>
      <c r="O1174" s="32"/>
      <c r="P1174" s="32"/>
      <c r="Q1174" s="34"/>
      <c r="R1174" s="35"/>
      <c r="S1174" s="35"/>
      <c r="T1174" s="36"/>
      <c r="U1174" s="36"/>
      <c r="V1174" s="36"/>
      <c r="W1174" s="36"/>
      <c r="X1174" s="36"/>
      <c r="Y1174" s="36"/>
    </row>
    <row r="1175">
      <c r="A1175" s="32"/>
      <c r="B1175" s="32"/>
      <c r="C1175" s="32"/>
      <c r="D1175" s="32"/>
      <c r="E1175" s="32"/>
      <c r="F1175" s="32"/>
      <c r="G1175" s="39"/>
      <c r="H1175" s="32"/>
      <c r="I1175" s="32"/>
      <c r="J1175" s="32"/>
      <c r="K1175" s="33"/>
      <c r="L1175" s="32"/>
      <c r="M1175" s="32"/>
      <c r="N1175" s="32"/>
      <c r="O1175" s="32"/>
      <c r="P1175" s="32"/>
      <c r="Q1175" s="34"/>
      <c r="R1175" s="35"/>
      <c r="S1175" s="35"/>
      <c r="T1175" s="36"/>
      <c r="U1175" s="36"/>
      <c r="V1175" s="36"/>
      <c r="W1175" s="36"/>
      <c r="X1175" s="36"/>
      <c r="Y1175" s="36"/>
    </row>
    <row r="1176">
      <c r="A1176" s="32"/>
      <c r="B1176" s="32"/>
      <c r="C1176" s="32"/>
      <c r="D1176" s="32"/>
      <c r="E1176" s="32"/>
      <c r="F1176" s="32"/>
      <c r="G1176" s="39"/>
      <c r="H1176" s="32"/>
      <c r="I1176" s="32"/>
      <c r="J1176" s="32"/>
      <c r="K1176" s="33"/>
      <c r="L1176" s="32"/>
      <c r="M1176" s="32"/>
      <c r="N1176" s="32"/>
      <c r="O1176" s="32"/>
      <c r="P1176" s="32"/>
      <c r="Q1176" s="34"/>
      <c r="R1176" s="35"/>
      <c r="S1176" s="35"/>
      <c r="T1176" s="36"/>
      <c r="U1176" s="36"/>
      <c r="V1176" s="36"/>
      <c r="W1176" s="36"/>
      <c r="X1176" s="36"/>
      <c r="Y1176" s="36"/>
    </row>
    <row r="1177">
      <c r="A1177" s="32"/>
      <c r="B1177" s="32"/>
      <c r="C1177" s="32"/>
      <c r="D1177" s="32"/>
      <c r="E1177" s="32"/>
      <c r="F1177" s="32"/>
      <c r="G1177" s="39"/>
      <c r="H1177" s="32"/>
      <c r="I1177" s="32"/>
      <c r="J1177" s="32"/>
      <c r="K1177" s="33"/>
      <c r="L1177" s="32"/>
      <c r="M1177" s="32"/>
      <c r="N1177" s="32"/>
      <c r="O1177" s="32"/>
      <c r="P1177" s="32"/>
      <c r="Q1177" s="34"/>
      <c r="R1177" s="35"/>
      <c r="S1177" s="35"/>
      <c r="T1177" s="36"/>
      <c r="U1177" s="36"/>
      <c r="V1177" s="36"/>
      <c r="W1177" s="36"/>
      <c r="X1177" s="36"/>
      <c r="Y1177" s="36"/>
    </row>
    <row r="1178">
      <c r="A1178" s="32"/>
      <c r="B1178" s="32"/>
      <c r="C1178" s="32"/>
      <c r="D1178" s="32"/>
      <c r="E1178" s="32"/>
      <c r="F1178" s="32"/>
      <c r="G1178" s="39"/>
      <c r="H1178" s="32"/>
      <c r="I1178" s="32"/>
      <c r="J1178" s="32"/>
      <c r="K1178" s="33"/>
      <c r="L1178" s="32"/>
      <c r="M1178" s="32"/>
      <c r="N1178" s="32"/>
      <c r="O1178" s="32"/>
      <c r="P1178" s="32"/>
      <c r="Q1178" s="34"/>
      <c r="R1178" s="35"/>
      <c r="S1178" s="35"/>
      <c r="T1178" s="36"/>
      <c r="U1178" s="36"/>
      <c r="V1178" s="36"/>
      <c r="W1178" s="36"/>
      <c r="X1178" s="36"/>
      <c r="Y1178" s="36"/>
    </row>
    <row r="1179">
      <c r="A1179" s="32"/>
      <c r="B1179" s="32"/>
      <c r="C1179" s="32"/>
      <c r="D1179" s="32"/>
      <c r="E1179" s="32"/>
      <c r="F1179" s="32"/>
      <c r="G1179" s="39"/>
      <c r="H1179" s="32"/>
      <c r="I1179" s="32"/>
      <c r="J1179" s="32"/>
      <c r="K1179" s="33"/>
      <c r="L1179" s="32"/>
      <c r="M1179" s="32"/>
      <c r="N1179" s="32"/>
      <c r="O1179" s="32"/>
      <c r="P1179" s="32"/>
      <c r="Q1179" s="34"/>
      <c r="R1179" s="35"/>
      <c r="S1179" s="35"/>
      <c r="T1179" s="36"/>
      <c r="U1179" s="36"/>
      <c r="V1179" s="36"/>
      <c r="W1179" s="36"/>
      <c r="X1179" s="36"/>
      <c r="Y1179" s="36"/>
    </row>
    <row r="1180">
      <c r="A1180" s="32"/>
      <c r="B1180" s="32"/>
      <c r="C1180" s="32"/>
      <c r="D1180" s="32"/>
      <c r="E1180" s="32"/>
      <c r="F1180" s="32"/>
      <c r="G1180" s="39"/>
      <c r="H1180" s="32"/>
      <c r="I1180" s="32"/>
      <c r="J1180" s="32"/>
      <c r="K1180" s="33"/>
      <c r="L1180" s="32"/>
      <c r="M1180" s="32"/>
      <c r="N1180" s="32"/>
      <c r="O1180" s="32"/>
      <c r="P1180" s="32"/>
      <c r="Q1180" s="34"/>
      <c r="R1180" s="35"/>
      <c r="S1180" s="35"/>
      <c r="T1180" s="36"/>
      <c r="U1180" s="36"/>
      <c r="V1180" s="36"/>
      <c r="W1180" s="36"/>
      <c r="X1180" s="36"/>
      <c r="Y1180" s="36"/>
    </row>
    <row r="1181">
      <c r="A1181" s="32"/>
      <c r="B1181" s="32"/>
      <c r="C1181" s="32"/>
      <c r="D1181" s="32"/>
      <c r="E1181" s="32"/>
      <c r="F1181" s="32"/>
      <c r="G1181" s="39"/>
      <c r="H1181" s="32"/>
      <c r="I1181" s="32"/>
      <c r="J1181" s="32"/>
      <c r="K1181" s="33"/>
      <c r="L1181" s="32"/>
      <c r="M1181" s="32"/>
      <c r="N1181" s="32"/>
      <c r="O1181" s="32"/>
      <c r="P1181" s="32"/>
      <c r="Q1181" s="34"/>
      <c r="R1181" s="35"/>
      <c r="S1181" s="35"/>
      <c r="T1181" s="36"/>
      <c r="U1181" s="36"/>
      <c r="V1181" s="36"/>
      <c r="W1181" s="36"/>
      <c r="X1181" s="36"/>
      <c r="Y1181" s="36"/>
    </row>
    <row r="1182">
      <c r="A1182" s="32"/>
      <c r="B1182" s="32"/>
      <c r="C1182" s="32"/>
      <c r="D1182" s="32"/>
      <c r="E1182" s="32"/>
      <c r="F1182" s="32"/>
      <c r="G1182" s="39"/>
      <c r="H1182" s="32"/>
      <c r="I1182" s="32"/>
      <c r="J1182" s="32"/>
      <c r="K1182" s="33"/>
      <c r="L1182" s="32"/>
      <c r="M1182" s="32"/>
      <c r="N1182" s="32"/>
      <c r="O1182" s="32"/>
      <c r="P1182" s="32"/>
      <c r="Q1182" s="34"/>
      <c r="R1182" s="35"/>
      <c r="S1182" s="35"/>
      <c r="T1182" s="36"/>
      <c r="U1182" s="36"/>
      <c r="V1182" s="36"/>
      <c r="W1182" s="36"/>
      <c r="X1182" s="36"/>
      <c r="Y1182" s="36"/>
    </row>
    <row r="1183">
      <c r="A1183" s="32"/>
      <c r="B1183" s="32"/>
      <c r="C1183" s="32"/>
      <c r="D1183" s="32"/>
      <c r="E1183" s="32"/>
      <c r="F1183" s="32"/>
      <c r="G1183" s="39"/>
      <c r="H1183" s="32"/>
      <c r="I1183" s="32"/>
      <c r="J1183" s="32"/>
      <c r="K1183" s="33"/>
      <c r="L1183" s="32"/>
      <c r="M1183" s="32"/>
      <c r="N1183" s="32"/>
      <c r="O1183" s="32"/>
      <c r="P1183" s="32"/>
      <c r="Q1183" s="34"/>
      <c r="R1183" s="35"/>
      <c r="S1183" s="35"/>
      <c r="T1183" s="36"/>
      <c r="U1183" s="36"/>
      <c r="V1183" s="36"/>
      <c r="W1183" s="36"/>
      <c r="X1183" s="36"/>
      <c r="Y1183" s="36"/>
    </row>
    <row r="1184">
      <c r="A1184" s="32"/>
      <c r="B1184" s="32"/>
      <c r="C1184" s="32"/>
      <c r="D1184" s="32"/>
      <c r="E1184" s="32"/>
      <c r="F1184" s="32"/>
      <c r="G1184" s="39"/>
      <c r="H1184" s="32"/>
      <c r="I1184" s="32"/>
      <c r="J1184" s="32"/>
      <c r="K1184" s="33"/>
      <c r="L1184" s="32"/>
      <c r="M1184" s="32"/>
      <c r="N1184" s="32"/>
      <c r="O1184" s="32"/>
      <c r="P1184" s="32"/>
      <c r="Q1184" s="34"/>
      <c r="R1184" s="35"/>
      <c r="S1184" s="35"/>
      <c r="T1184" s="36"/>
      <c r="U1184" s="36"/>
      <c r="V1184" s="36"/>
      <c r="W1184" s="36"/>
      <c r="X1184" s="36"/>
      <c r="Y1184" s="36"/>
    </row>
    <row r="1185">
      <c r="A1185" s="32"/>
      <c r="B1185" s="32"/>
      <c r="C1185" s="32"/>
      <c r="D1185" s="32"/>
      <c r="E1185" s="32"/>
      <c r="F1185" s="32"/>
      <c r="G1185" s="39"/>
      <c r="H1185" s="32"/>
      <c r="I1185" s="32"/>
      <c r="J1185" s="32"/>
      <c r="K1185" s="33"/>
      <c r="L1185" s="32"/>
      <c r="M1185" s="32"/>
      <c r="N1185" s="32"/>
      <c r="O1185" s="32"/>
      <c r="P1185" s="32"/>
      <c r="Q1185" s="34"/>
      <c r="R1185" s="35"/>
      <c r="S1185" s="35"/>
      <c r="T1185" s="36"/>
      <c r="U1185" s="36"/>
      <c r="V1185" s="36"/>
      <c r="W1185" s="36"/>
      <c r="X1185" s="36"/>
      <c r="Y1185" s="36"/>
    </row>
    <row r="1186">
      <c r="A1186" s="32"/>
      <c r="B1186" s="32"/>
      <c r="C1186" s="32"/>
      <c r="D1186" s="32"/>
      <c r="E1186" s="32"/>
      <c r="F1186" s="32"/>
      <c r="G1186" s="39"/>
      <c r="H1186" s="32"/>
      <c r="I1186" s="32"/>
      <c r="J1186" s="32"/>
      <c r="K1186" s="33"/>
      <c r="L1186" s="32"/>
      <c r="M1186" s="32"/>
      <c r="N1186" s="32"/>
      <c r="O1186" s="32"/>
      <c r="P1186" s="32"/>
      <c r="Q1186" s="34"/>
      <c r="R1186" s="35"/>
      <c r="S1186" s="35"/>
      <c r="T1186" s="36"/>
      <c r="U1186" s="36"/>
      <c r="V1186" s="36"/>
      <c r="W1186" s="36"/>
      <c r="X1186" s="36"/>
      <c r="Y1186" s="36"/>
    </row>
    <row r="1187">
      <c r="A1187" s="32"/>
      <c r="B1187" s="32"/>
      <c r="C1187" s="32"/>
      <c r="D1187" s="32"/>
      <c r="E1187" s="32"/>
      <c r="F1187" s="32"/>
      <c r="G1187" s="39"/>
      <c r="H1187" s="32"/>
      <c r="I1187" s="32"/>
      <c r="J1187" s="32"/>
      <c r="K1187" s="33"/>
      <c r="L1187" s="32"/>
      <c r="M1187" s="32"/>
      <c r="N1187" s="32"/>
      <c r="O1187" s="32"/>
      <c r="P1187" s="32"/>
      <c r="Q1187" s="34"/>
      <c r="R1187" s="35"/>
      <c r="S1187" s="35"/>
      <c r="T1187" s="36"/>
      <c r="U1187" s="36"/>
      <c r="V1187" s="36"/>
      <c r="W1187" s="36"/>
      <c r="X1187" s="36"/>
      <c r="Y1187" s="36"/>
    </row>
    <row r="1188">
      <c r="A1188" s="32"/>
      <c r="B1188" s="32"/>
      <c r="C1188" s="32"/>
      <c r="D1188" s="32"/>
      <c r="E1188" s="32"/>
      <c r="F1188" s="32"/>
      <c r="G1188" s="39"/>
      <c r="H1188" s="32"/>
      <c r="I1188" s="32"/>
      <c r="J1188" s="32"/>
      <c r="K1188" s="33"/>
      <c r="L1188" s="32"/>
      <c r="M1188" s="32"/>
      <c r="N1188" s="32"/>
      <c r="O1188" s="32"/>
      <c r="P1188" s="32"/>
      <c r="Q1188" s="34"/>
      <c r="R1188" s="35"/>
      <c r="S1188" s="35"/>
      <c r="T1188" s="36"/>
      <c r="U1188" s="36"/>
      <c r="V1188" s="36"/>
      <c r="W1188" s="36"/>
      <c r="X1188" s="36"/>
      <c r="Y1188" s="36"/>
    </row>
    <row r="1189">
      <c r="A1189" s="32"/>
      <c r="B1189" s="32"/>
      <c r="C1189" s="32"/>
      <c r="D1189" s="32"/>
      <c r="E1189" s="32"/>
      <c r="F1189" s="32"/>
      <c r="G1189" s="39"/>
      <c r="H1189" s="32"/>
      <c r="I1189" s="32"/>
      <c r="J1189" s="32"/>
      <c r="K1189" s="33"/>
      <c r="L1189" s="32"/>
      <c r="M1189" s="32"/>
      <c r="N1189" s="32"/>
      <c r="O1189" s="32"/>
      <c r="P1189" s="32"/>
      <c r="Q1189" s="34"/>
      <c r="R1189" s="35"/>
      <c r="S1189" s="35"/>
      <c r="T1189" s="36"/>
      <c r="U1189" s="36"/>
      <c r="V1189" s="36"/>
      <c r="W1189" s="36"/>
      <c r="X1189" s="36"/>
      <c r="Y1189" s="36"/>
    </row>
    <row r="1190">
      <c r="A1190" s="32"/>
      <c r="B1190" s="32"/>
      <c r="C1190" s="32"/>
      <c r="D1190" s="32"/>
      <c r="E1190" s="32"/>
      <c r="F1190" s="32"/>
      <c r="G1190" s="39"/>
      <c r="H1190" s="32"/>
      <c r="I1190" s="32"/>
      <c r="J1190" s="32"/>
      <c r="K1190" s="33"/>
      <c r="L1190" s="32"/>
      <c r="M1190" s="32"/>
      <c r="N1190" s="32"/>
      <c r="O1190" s="32"/>
      <c r="P1190" s="32"/>
      <c r="Q1190" s="34"/>
      <c r="R1190" s="35"/>
      <c r="S1190" s="35"/>
      <c r="T1190" s="36"/>
      <c r="U1190" s="36"/>
      <c r="V1190" s="36"/>
      <c r="W1190" s="36"/>
      <c r="X1190" s="36"/>
      <c r="Y1190" s="36"/>
    </row>
    <row r="1191">
      <c r="A1191" s="32"/>
      <c r="B1191" s="32"/>
      <c r="C1191" s="32"/>
      <c r="D1191" s="32"/>
      <c r="E1191" s="32"/>
      <c r="F1191" s="32"/>
      <c r="G1191" s="39"/>
      <c r="H1191" s="32"/>
      <c r="I1191" s="32"/>
      <c r="J1191" s="32"/>
      <c r="K1191" s="33"/>
      <c r="L1191" s="32"/>
      <c r="M1191" s="32"/>
      <c r="N1191" s="32"/>
      <c r="O1191" s="32"/>
      <c r="P1191" s="32"/>
      <c r="Q1191" s="34"/>
      <c r="R1191" s="35"/>
      <c r="S1191" s="35"/>
      <c r="T1191" s="36"/>
      <c r="U1191" s="36"/>
      <c r="V1191" s="36"/>
      <c r="W1191" s="36"/>
      <c r="X1191" s="36"/>
      <c r="Y1191" s="36"/>
    </row>
    <row r="1192">
      <c r="A1192" s="32"/>
      <c r="B1192" s="32"/>
      <c r="C1192" s="32"/>
      <c r="D1192" s="32"/>
      <c r="E1192" s="32"/>
      <c r="F1192" s="32"/>
      <c r="G1192" s="39"/>
      <c r="H1192" s="32"/>
      <c r="I1192" s="32"/>
      <c r="J1192" s="32"/>
      <c r="K1192" s="33"/>
      <c r="L1192" s="32"/>
      <c r="M1192" s="32"/>
      <c r="N1192" s="32"/>
      <c r="O1192" s="32"/>
      <c r="P1192" s="32"/>
      <c r="Q1192" s="34"/>
      <c r="R1192" s="35"/>
      <c r="S1192" s="35"/>
      <c r="T1192" s="36"/>
      <c r="U1192" s="36"/>
      <c r="V1192" s="36"/>
      <c r="W1192" s="36"/>
      <c r="X1192" s="36"/>
      <c r="Y1192" s="36"/>
    </row>
    <row r="1193">
      <c r="A1193" s="32"/>
      <c r="B1193" s="32"/>
      <c r="C1193" s="32"/>
      <c r="D1193" s="32"/>
      <c r="E1193" s="32"/>
      <c r="F1193" s="32"/>
      <c r="G1193" s="39"/>
      <c r="H1193" s="32"/>
      <c r="I1193" s="32"/>
      <c r="J1193" s="32"/>
      <c r="K1193" s="33"/>
      <c r="L1193" s="32"/>
      <c r="M1193" s="32"/>
      <c r="N1193" s="32"/>
      <c r="O1193" s="32"/>
      <c r="P1193" s="32"/>
      <c r="Q1193" s="34"/>
      <c r="R1193" s="35"/>
      <c r="S1193" s="35"/>
      <c r="T1193" s="36"/>
      <c r="U1193" s="36"/>
      <c r="V1193" s="36"/>
      <c r="W1193" s="36"/>
      <c r="X1193" s="36"/>
      <c r="Y1193" s="36"/>
    </row>
    <row r="1194">
      <c r="A1194" s="32"/>
      <c r="B1194" s="32"/>
      <c r="C1194" s="32"/>
      <c r="D1194" s="32"/>
      <c r="E1194" s="32"/>
      <c r="F1194" s="32"/>
      <c r="G1194" s="39"/>
      <c r="H1194" s="32"/>
      <c r="I1194" s="32"/>
      <c r="J1194" s="32"/>
      <c r="K1194" s="33"/>
      <c r="L1194" s="32"/>
      <c r="M1194" s="32"/>
      <c r="N1194" s="32"/>
      <c r="O1194" s="32"/>
      <c r="P1194" s="32"/>
      <c r="Q1194" s="34"/>
      <c r="R1194" s="35"/>
      <c r="S1194" s="35"/>
      <c r="T1194" s="36"/>
      <c r="U1194" s="36"/>
      <c r="V1194" s="36"/>
      <c r="W1194" s="36"/>
      <c r="X1194" s="36"/>
      <c r="Y1194" s="36"/>
    </row>
    <row r="1195">
      <c r="A1195" s="32"/>
      <c r="B1195" s="32"/>
      <c r="C1195" s="32"/>
      <c r="D1195" s="32"/>
      <c r="E1195" s="32"/>
      <c r="F1195" s="32"/>
      <c r="G1195" s="39"/>
      <c r="H1195" s="32"/>
      <c r="I1195" s="32"/>
      <c r="J1195" s="32"/>
      <c r="K1195" s="33"/>
      <c r="L1195" s="32"/>
      <c r="M1195" s="32"/>
      <c r="N1195" s="32"/>
      <c r="O1195" s="32"/>
      <c r="P1195" s="32"/>
      <c r="Q1195" s="34"/>
      <c r="R1195" s="35"/>
      <c r="S1195" s="35"/>
      <c r="T1195" s="36"/>
      <c r="U1195" s="36"/>
      <c r="V1195" s="36"/>
      <c r="W1195" s="36"/>
      <c r="X1195" s="36"/>
      <c r="Y1195" s="36"/>
    </row>
    <row r="1196">
      <c r="A1196" s="32"/>
      <c r="B1196" s="32"/>
      <c r="C1196" s="32"/>
      <c r="D1196" s="32"/>
      <c r="E1196" s="32"/>
      <c r="F1196" s="32"/>
      <c r="G1196" s="39"/>
      <c r="H1196" s="32"/>
      <c r="I1196" s="32"/>
      <c r="J1196" s="32"/>
      <c r="K1196" s="33"/>
      <c r="L1196" s="32"/>
      <c r="M1196" s="32"/>
      <c r="N1196" s="32"/>
      <c r="O1196" s="32"/>
      <c r="P1196" s="32"/>
      <c r="Q1196" s="34"/>
      <c r="R1196" s="35"/>
      <c r="S1196" s="35"/>
      <c r="T1196" s="36"/>
      <c r="U1196" s="36"/>
      <c r="V1196" s="36"/>
      <c r="W1196" s="36"/>
      <c r="X1196" s="36"/>
      <c r="Y1196" s="36"/>
    </row>
    <row r="1197">
      <c r="A1197" s="32"/>
      <c r="B1197" s="32"/>
      <c r="C1197" s="32"/>
      <c r="D1197" s="32"/>
      <c r="E1197" s="32"/>
      <c r="F1197" s="32"/>
      <c r="G1197" s="39"/>
      <c r="H1197" s="32"/>
      <c r="I1197" s="32"/>
      <c r="J1197" s="32"/>
      <c r="K1197" s="33"/>
      <c r="L1197" s="32"/>
      <c r="M1197" s="32"/>
      <c r="N1197" s="32"/>
      <c r="O1197" s="32"/>
      <c r="P1197" s="32"/>
      <c r="Q1197" s="34"/>
      <c r="R1197" s="35"/>
      <c r="S1197" s="35"/>
      <c r="T1197" s="36"/>
      <c r="U1197" s="36"/>
      <c r="V1197" s="36"/>
      <c r="W1197" s="36"/>
      <c r="X1197" s="36"/>
      <c r="Y1197" s="36"/>
    </row>
    <row r="1198">
      <c r="A1198" s="32"/>
      <c r="B1198" s="32"/>
      <c r="C1198" s="32"/>
      <c r="D1198" s="32"/>
      <c r="E1198" s="32"/>
      <c r="F1198" s="32"/>
      <c r="G1198" s="39"/>
      <c r="H1198" s="32"/>
      <c r="I1198" s="32"/>
      <c r="J1198" s="32"/>
      <c r="K1198" s="33"/>
      <c r="L1198" s="32"/>
      <c r="M1198" s="32"/>
      <c r="N1198" s="32"/>
      <c r="O1198" s="32"/>
      <c r="P1198" s="32"/>
      <c r="Q1198" s="34"/>
      <c r="R1198" s="35"/>
      <c r="S1198" s="35"/>
      <c r="T1198" s="36"/>
      <c r="U1198" s="36"/>
      <c r="V1198" s="36"/>
      <c r="W1198" s="36"/>
      <c r="X1198" s="36"/>
      <c r="Y1198" s="36"/>
    </row>
    <row r="1199">
      <c r="A1199" s="32"/>
      <c r="B1199" s="32"/>
      <c r="C1199" s="32"/>
      <c r="D1199" s="32"/>
      <c r="E1199" s="32"/>
      <c r="F1199" s="32"/>
      <c r="G1199" s="39"/>
      <c r="H1199" s="32"/>
      <c r="I1199" s="32"/>
      <c r="J1199" s="32"/>
      <c r="K1199" s="33"/>
      <c r="L1199" s="32"/>
      <c r="M1199" s="32"/>
      <c r="N1199" s="32"/>
      <c r="O1199" s="32"/>
      <c r="P1199" s="32"/>
      <c r="Q1199" s="34"/>
      <c r="R1199" s="35"/>
      <c r="S1199" s="35"/>
      <c r="T1199" s="36"/>
      <c r="U1199" s="36"/>
      <c r="V1199" s="36"/>
      <c r="W1199" s="36"/>
      <c r="X1199" s="36"/>
      <c r="Y1199" s="36"/>
    </row>
    <row r="1200">
      <c r="A1200" s="32"/>
      <c r="B1200" s="32"/>
      <c r="C1200" s="32"/>
      <c r="D1200" s="32"/>
      <c r="E1200" s="32"/>
      <c r="F1200" s="32"/>
      <c r="G1200" s="39"/>
      <c r="H1200" s="32"/>
      <c r="I1200" s="32"/>
      <c r="J1200" s="32"/>
      <c r="K1200" s="33"/>
      <c r="L1200" s="32"/>
      <c r="M1200" s="32"/>
      <c r="N1200" s="32"/>
      <c r="O1200" s="32"/>
      <c r="P1200" s="32"/>
      <c r="Q1200" s="34"/>
      <c r="R1200" s="35"/>
      <c r="S1200" s="35"/>
      <c r="T1200" s="36"/>
      <c r="U1200" s="36"/>
      <c r="V1200" s="36"/>
      <c r="W1200" s="36"/>
      <c r="X1200" s="36"/>
      <c r="Y1200" s="36"/>
    </row>
    <row r="1201">
      <c r="A1201" s="32"/>
      <c r="B1201" s="32"/>
      <c r="C1201" s="32"/>
      <c r="D1201" s="32"/>
      <c r="E1201" s="32"/>
      <c r="F1201" s="32"/>
      <c r="G1201" s="39"/>
      <c r="H1201" s="32"/>
      <c r="I1201" s="32"/>
      <c r="J1201" s="32"/>
      <c r="K1201" s="33"/>
      <c r="L1201" s="32"/>
      <c r="M1201" s="32"/>
      <c r="N1201" s="32"/>
      <c r="O1201" s="32"/>
      <c r="P1201" s="32"/>
      <c r="Q1201" s="34"/>
      <c r="R1201" s="35"/>
      <c r="S1201" s="35"/>
      <c r="T1201" s="36"/>
      <c r="U1201" s="36"/>
      <c r="V1201" s="36"/>
      <c r="W1201" s="36"/>
      <c r="X1201" s="36"/>
      <c r="Y1201" s="36"/>
    </row>
    <row r="1202">
      <c r="A1202" s="32"/>
      <c r="B1202" s="32"/>
      <c r="C1202" s="32"/>
      <c r="D1202" s="32"/>
      <c r="E1202" s="32"/>
      <c r="F1202" s="32"/>
      <c r="G1202" s="39"/>
      <c r="H1202" s="32"/>
      <c r="I1202" s="32"/>
      <c r="J1202" s="32"/>
      <c r="K1202" s="33"/>
      <c r="L1202" s="32"/>
      <c r="M1202" s="32"/>
      <c r="N1202" s="32"/>
      <c r="O1202" s="32"/>
      <c r="P1202" s="32"/>
      <c r="Q1202" s="34"/>
      <c r="R1202" s="35"/>
      <c r="S1202" s="35"/>
      <c r="T1202" s="36"/>
      <c r="U1202" s="36"/>
      <c r="V1202" s="36"/>
      <c r="W1202" s="36"/>
      <c r="X1202" s="36"/>
      <c r="Y1202" s="36"/>
    </row>
    <row r="1203">
      <c r="A1203" s="32"/>
      <c r="B1203" s="32"/>
      <c r="C1203" s="32"/>
      <c r="D1203" s="32"/>
      <c r="E1203" s="32"/>
      <c r="F1203" s="32"/>
      <c r="G1203" s="39"/>
      <c r="H1203" s="32"/>
      <c r="I1203" s="32"/>
      <c r="J1203" s="32"/>
      <c r="K1203" s="33"/>
      <c r="L1203" s="32"/>
      <c r="M1203" s="32"/>
      <c r="N1203" s="32"/>
      <c r="O1203" s="32"/>
      <c r="P1203" s="32"/>
      <c r="Q1203" s="34"/>
      <c r="R1203" s="35"/>
      <c r="S1203" s="35"/>
      <c r="T1203" s="36"/>
      <c r="U1203" s="36"/>
      <c r="V1203" s="36"/>
      <c r="W1203" s="36"/>
      <c r="X1203" s="36"/>
      <c r="Y1203" s="36"/>
    </row>
    <row r="1204">
      <c r="A1204" s="32"/>
      <c r="B1204" s="32"/>
      <c r="C1204" s="32"/>
      <c r="D1204" s="32"/>
      <c r="E1204" s="32"/>
      <c r="F1204" s="32"/>
      <c r="G1204" s="39"/>
      <c r="H1204" s="32"/>
      <c r="I1204" s="32"/>
      <c r="J1204" s="32"/>
      <c r="K1204" s="33"/>
      <c r="L1204" s="32"/>
      <c r="M1204" s="32"/>
      <c r="N1204" s="32"/>
      <c r="O1204" s="32"/>
      <c r="P1204" s="32"/>
      <c r="Q1204" s="34"/>
      <c r="R1204" s="35"/>
      <c r="S1204" s="35"/>
      <c r="T1204" s="36"/>
      <c r="U1204" s="36"/>
      <c r="V1204" s="36"/>
      <c r="W1204" s="36"/>
      <c r="X1204" s="36"/>
      <c r="Y1204" s="36"/>
    </row>
    <row r="1205">
      <c r="A1205" s="32"/>
      <c r="B1205" s="32"/>
      <c r="C1205" s="32"/>
      <c r="D1205" s="32"/>
      <c r="E1205" s="32"/>
      <c r="F1205" s="32"/>
      <c r="G1205" s="39"/>
      <c r="H1205" s="32"/>
      <c r="I1205" s="32"/>
      <c r="J1205" s="32"/>
      <c r="K1205" s="33"/>
      <c r="L1205" s="32"/>
      <c r="M1205" s="32"/>
      <c r="N1205" s="32"/>
      <c r="O1205" s="32"/>
      <c r="P1205" s="32"/>
      <c r="Q1205" s="34"/>
      <c r="R1205" s="35"/>
      <c r="S1205" s="35"/>
      <c r="T1205" s="36"/>
      <c r="U1205" s="36"/>
      <c r="V1205" s="36"/>
      <c r="W1205" s="36"/>
      <c r="X1205" s="36"/>
      <c r="Y1205" s="36"/>
    </row>
    <row r="1206">
      <c r="A1206" s="32"/>
      <c r="B1206" s="32"/>
      <c r="C1206" s="32"/>
      <c r="D1206" s="32"/>
      <c r="E1206" s="32"/>
      <c r="F1206" s="32"/>
      <c r="G1206" s="39"/>
      <c r="H1206" s="32"/>
      <c r="I1206" s="32"/>
      <c r="J1206" s="32"/>
      <c r="K1206" s="33"/>
      <c r="L1206" s="32"/>
      <c r="M1206" s="32"/>
      <c r="N1206" s="32"/>
      <c r="O1206" s="32"/>
      <c r="P1206" s="32"/>
      <c r="Q1206" s="34"/>
      <c r="R1206" s="35"/>
      <c r="S1206" s="35"/>
      <c r="T1206" s="36"/>
      <c r="U1206" s="36"/>
      <c r="V1206" s="36"/>
      <c r="W1206" s="36"/>
      <c r="X1206" s="36"/>
      <c r="Y1206" s="36"/>
    </row>
    <row r="1207">
      <c r="A1207" s="32"/>
      <c r="B1207" s="32"/>
      <c r="C1207" s="32"/>
      <c r="D1207" s="32"/>
      <c r="E1207" s="32"/>
      <c r="F1207" s="32"/>
      <c r="G1207" s="39"/>
      <c r="H1207" s="32"/>
      <c r="I1207" s="32"/>
      <c r="J1207" s="32"/>
      <c r="K1207" s="33"/>
      <c r="L1207" s="32"/>
      <c r="M1207" s="32"/>
      <c r="N1207" s="32"/>
      <c r="O1207" s="32"/>
      <c r="P1207" s="32"/>
      <c r="Q1207" s="34"/>
      <c r="R1207" s="35"/>
      <c r="S1207" s="35"/>
      <c r="T1207" s="36"/>
      <c r="U1207" s="36"/>
      <c r="V1207" s="36"/>
      <c r="W1207" s="36"/>
      <c r="X1207" s="36"/>
      <c r="Y1207" s="36"/>
    </row>
    <row r="1208">
      <c r="A1208" s="32"/>
      <c r="B1208" s="32"/>
      <c r="C1208" s="32"/>
      <c r="D1208" s="32"/>
      <c r="E1208" s="32"/>
      <c r="F1208" s="32"/>
      <c r="G1208" s="39"/>
      <c r="H1208" s="32"/>
      <c r="I1208" s="32"/>
      <c r="J1208" s="32"/>
      <c r="K1208" s="33"/>
      <c r="L1208" s="32"/>
      <c r="M1208" s="32"/>
      <c r="N1208" s="32"/>
      <c r="O1208" s="32"/>
      <c r="P1208" s="32"/>
      <c r="Q1208" s="34"/>
      <c r="R1208" s="35"/>
      <c r="S1208" s="35"/>
      <c r="T1208" s="36"/>
      <c r="U1208" s="36"/>
      <c r="V1208" s="36"/>
      <c r="W1208" s="36"/>
      <c r="X1208" s="36"/>
      <c r="Y1208" s="36"/>
    </row>
    <row r="1209">
      <c r="A1209" s="32"/>
      <c r="B1209" s="32"/>
      <c r="C1209" s="32"/>
      <c r="D1209" s="32"/>
      <c r="E1209" s="32"/>
      <c r="F1209" s="32"/>
      <c r="G1209" s="39"/>
      <c r="H1209" s="32"/>
      <c r="I1209" s="32"/>
      <c r="J1209" s="32"/>
      <c r="K1209" s="33"/>
      <c r="L1209" s="32"/>
      <c r="M1209" s="32"/>
      <c r="N1209" s="32"/>
      <c r="O1209" s="32"/>
      <c r="P1209" s="32"/>
      <c r="Q1209" s="34"/>
      <c r="R1209" s="35"/>
      <c r="S1209" s="35"/>
      <c r="T1209" s="36"/>
      <c r="U1209" s="36"/>
      <c r="V1209" s="36"/>
      <c r="W1209" s="36"/>
      <c r="X1209" s="36"/>
      <c r="Y1209" s="36"/>
    </row>
    <row r="1210">
      <c r="A1210" s="32"/>
      <c r="B1210" s="32"/>
      <c r="C1210" s="32"/>
      <c r="D1210" s="32"/>
      <c r="E1210" s="32"/>
      <c r="F1210" s="32"/>
      <c r="G1210" s="39"/>
      <c r="H1210" s="32"/>
      <c r="I1210" s="32"/>
      <c r="J1210" s="32"/>
      <c r="K1210" s="33"/>
      <c r="L1210" s="32"/>
      <c r="M1210" s="32"/>
      <c r="N1210" s="32"/>
      <c r="O1210" s="32"/>
      <c r="P1210" s="32"/>
      <c r="Q1210" s="34"/>
      <c r="R1210" s="35"/>
      <c r="S1210" s="35"/>
      <c r="T1210" s="36"/>
      <c r="U1210" s="36"/>
      <c r="V1210" s="36"/>
      <c r="W1210" s="36"/>
      <c r="X1210" s="36"/>
      <c r="Y1210" s="36"/>
    </row>
    <row r="1211">
      <c r="A1211" s="32"/>
      <c r="B1211" s="32"/>
      <c r="C1211" s="32"/>
      <c r="D1211" s="32"/>
      <c r="E1211" s="32"/>
      <c r="F1211" s="32"/>
      <c r="G1211" s="39"/>
      <c r="H1211" s="32"/>
      <c r="I1211" s="32"/>
      <c r="J1211" s="32"/>
      <c r="K1211" s="33"/>
      <c r="L1211" s="32"/>
      <c r="M1211" s="32"/>
      <c r="N1211" s="32"/>
      <c r="O1211" s="32"/>
      <c r="P1211" s="32"/>
      <c r="Q1211" s="34"/>
      <c r="R1211" s="35"/>
      <c r="S1211" s="35"/>
      <c r="T1211" s="36"/>
      <c r="U1211" s="36"/>
      <c r="V1211" s="36"/>
      <c r="W1211" s="36"/>
      <c r="X1211" s="36"/>
      <c r="Y1211" s="36"/>
    </row>
    <row r="1212">
      <c r="A1212" s="32"/>
      <c r="B1212" s="32"/>
      <c r="C1212" s="32"/>
      <c r="D1212" s="32"/>
      <c r="E1212" s="32"/>
      <c r="F1212" s="32"/>
      <c r="G1212" s="39"/>
      <c r="H1212" s="32"/>
      <c r="I1212" s="32"/>
      <c r="J1212" s="32"/>
      <c r="K1212" s="33"/>
      <c r="L1212" s="32"/>
      <c r="M1212" s="32"/>
      <c r="N1212" s="32"/>
      <c r="O1212" s="32"/>
      <c r="P1212" s="32"/>
      <c r="Q1212" s="34"/>
      <c r="R1212" s="35"/>
      <c r="S1212" s="35"/>
      <c r="T1212" s="36"/>
      <c r="U1212" s="36"/>
      <c r="V1212" s="36"/>
      <c r="W1212" s="36"/>
      <c r="X1212" s="36"/>
      <c r="Y1212" s="36"/>
    </row>
    <row r="1213">
      <c r="A1213" s="32"/>
      <c r="B1213" s="32"/>
      <c r="C1213" s="32"/>
      <c r="D1213" s="32"/>
      <c r="E1213" s="32"/>
      <c r="F1213" s="32"/>
      <c r="G1213" s="39"/>
      <c r="H1213" s="32"/>
      <c r="I1213" s="32"/>
      <c r="J1213" s="32"/>
      <c r="K1213" s="33"/>
      <c r="L1213" s="32"/>
      <c r="M1213" s="32"/>
      <c r="N1213" s="32"/>
      <c r="O1213" s="32"/>
      <c r="P1213" s="32"/>
      <c r="Q1213" s="34"/>
      <c r="R1213" s="35"/>
      <c r="S1213" s="35"/>
      <c r="T1213" s="36"/>
      <c r="U1213" s="36"/>
      <c r="V1213" s="36"/>
      <c r="W1213" s="36"/>
      <c r="X1213" s="36"/>
      <c r="Y1213" s="36"/>
    </row>
    <row r="1214">
      <c r="A1214" s="32"/>
      <c r="B1214" s="32"/>
      <c r="C1214" s="32"/>
      <c r="D1214" s="32"/>
      <c r="E1214" s="32"/>
      <c r="F1214" s="32"/>
      <c r="G1214" s="39"/>
      <c r="H1214" s="32"/>
      <c r="I1214" s="32"/>
      <c r="J1214" s="32"/>
      <c r="K1214" s="33"/>
      <c r="L1214" s="32"/>
      <c r="M1214" s="32"/>
      <c r="N1214" s="32"/>
      <c r="O1214" s="32"/>
      <c r="P1214" s="32"/>
      <c r="Q1214" s="34"/>
      <c r="R1214" s="35"/>
      <c r="S1214" s="35"/>
      <c r="T1214" s="36"/>
      <c r="U1214" s="36"/>
      <c r="V1214" s="36"/>
      <c r="W1214" s="36"/>
      <c r="X1214" s="36"/>
      <c r="Y1214" s="36"/>
    </row>
    <row r="1215">
      <c r="A1215" s="32"/>
      <c r="B1215" s="32"/>
      <c r="C1215" s="32"/>
      <c r="D1215" s="32"/>
      <c r="E1215" s="32"/>
      <c r="F1215" s="32"/>
      <c r="G1215" s="39"/>
      <c r="H1215" s="32"/>
      <c r="I1215" s="32"/>
      <c r="J1215" s="32"/>
      <c r="K1215" s="33"/>
      <c r="L1215" s="32"/>
      <c r="M1215" s="32"/>
      <c r="N1215" s="32"/>
      <c r="O1215" s="32"/>
      <c r="P1215" s="32"/>
      <c r="Q1215" s="34"/>
      <c r="R1215" s="35"/>
      <c r="S1215" s="35"/>
      <c r="T1215" s="36"/>
      <c r="U1215" s="36"/>
      <c r="V1215" s="36"/>
      <c r="W1215" s="36"/>
      <c r="X1215" s="36"/>
      <c r="Y1215" s="36"/>
    </row>
    <row r="1216">
      <c r="A1216" s="32"/>
      <c r="B1216" s="32"/>
      <c r="C1216" s="32"/>
      <c r="D1216" s="32"/>
      <c r="E1216" s="32"/>
      <c r="F1216" s="32"/>
      <c r="G1216" s="39"/>
      <c r="H1216" s="32"/>
      <c r="I1216" s="32"/>
      <c r="J1216" s="32"/>
      <c r="K1216" s="33"/>
      <c r="L1216" s="32"/>
      <c r="M1216" s="32"/>
      <c r="N1216" s="32"/>
      <c r="O1216" s="32"/>
      <c r="P1216" s="32"/>
      <c r="Q1216" s="34"/>
      <c r="R1216" s="35"/>
      <c r="S1216" s="35"/>
      <c r="T1216" s="36"/>
      <c r="U1216" s="36"/>
      <c r="V1216" s="36"/>
      <c r="W1216" s="36"/>
      <c r="X1216" s="36"/>
      <c r="Y1216" s="36"/>
    </row>
    <row r="1217">
      <c r="A1217" s="32"/>
      <c r="B1217" s="32"/>
      <c r="C1217" s="32"/>
      <c r="D1217" s="32"/>
      <c r="E1217" s="32"/>
      <c r="F1217" s="32"/>
      <c r="G1217" s="39"/>
      <c r="H1217" s="32"/>
      <c r="I1217" s="32"/>
      <c r="J1217" s="32"/>
      <c r="K1217" s="33"/>
      <c r="L1217" s="32"/>
      <c r="M1217" s="32"/>
      <c r="N1217" s="32"/>
      <c r="O1217" s="32"/>
      <c r="P1217" s="32"/>
      <c r="Q1217" s="34"/>
      <c r="R1217" s="35"/>
      <c r="S1217" s="35"/>
      <c r="T1217" s="36"/>
      <c r="U1217" s="36"/>
      <c r="V1217" s="36"/>
      <c r="W1217" s="36"/>
      <c r="X1217" s="36"/>
      <c r="Y1217" s="36"/>
    </row>
    <row r="1218">
      <c r="A1218" s="32"/>
      <c r="B1218" s="32"/>
      <c r="C1218" s="32"/>
      <c r="D1218" s="32"/>
      <c r="E1218" s="32"/>
      <c r="F1218" s="32"/>
      <c r="G1218" s="39"/>
      <c r="H1218" s="32"/>
      <c r="I1218" s="32"/>
      <c r="J1218" s="32"/>
      <c r="K1218" s="33"/>
      <c r="L1218" s="32"/>
      <c r="M1218" s="32"/>
      <c r="N1218" s="32"/>
      <c r="O1218" s="32"/>
      <c r="P1218" s="32"/>
      <c r="Q1218" s="34"/>
      <c r="R1218" s="35"/>
      <c r="S1218" s="35"/>
      <c r="T1218" s="36"/>
      <c r="U1218" s="36"/>
      <c r="V1218" s="36"/>
      <c r="W1218" s="36"/>
      <c r="X1218" s="36"/>
      <c r="Y1218" s="36"/>
    </row>
    <row r="1219">
      <c r="A1219" s="32"/>
      <c r="B1219" s="32"/>
      <c r="C1219" s="32"/>
      <c r="D1219" s="32"/>
      <c r="E1219" s="32"/>
      <c r="F1219" s="32"/>
      <c r="G1219" s="39"/>
      <c r="H1219" s="32"/>
      <c r="I1219" s="32"/>
      <c r="J1219" s="32"/>
      <c r="K1219" s="33"/>
      <c r="L1219" s="32"/>
      <c r="M1219" s="32"/>
      <c r="N1219" s="32"/>
      <c r="O1219" s="32"/>
      <c r="P1219" s="32"/>
      <c r="Q1219" s="34"/>
      <c r="R1219" s="35"/>
      <c r="S1219" s="35"/>
      <c r="T1219" s="36"/>
      <c r="U1219" s="36"/>
      <c r="V1219" s="36"/>
      <c r="W1219" s="36"/>
      <c r="X1219" s="36"/>
      <c r="Y1219" s="36"/>
    </row>
    <row r="1220">
      <c r="A1220" s="32"/>
      <c r="B1220" s="32"/>
      <c r="C1220" s="32"/>
      <c r="D1220" s="32"/>
      <c r="E1220" s="32"/>
      <c r="F1220" s="32"/>
      <c r="G1220" s="39"/>
      <c r="H1220" s="32"/>
      <c r="I1220" s="32"/>
      <c r="J1220" s="32"/>
      <c r="K1220" s="33"/>
      <c r="L1220" s="32"/>
      <c r="M1220" s="32"/>
      <c r="N1220" s="32"/>
      <c r="O1220" s="32"/>
      <c r="P1220" s="32"/>
      <c r="Q1220" s="34"/>
      <c r="R1220" s="35"/>
      <c r="S1220" s="35"/>
      <c r="T1220" s="36"/>
      <c r="U1220" s="36"/>
      <c r="V1220" s="36"/>
      <c r="W1220" s="36"/>
      <c r="X1220" s="36"/>
      <c r="Y1220" s="36"/>
    </row>
    <row r="1221">
      <c r="A1221" s="32"/>
      <c r="B1221" s="32"/>
      <c r="C1221" s="32"/>
      <c r="D1221" s="32"/>
      <c r="E1221" s="32"/>
      <c r="F1221" s="32"/>
      <c r="G1221" s="39"/>
      <c r="H1221" s="32"/>
      <c r="I1221" s="32"/>
      <c r="J1221" s="32"/>
      <c r="K1221" s="33"/>
      <c r="L1221" s="32"/>
      <c r="M1221" s="32"/>
      <c r="N1221" s="32"/>
      <c r="O1221" s="32"/>
      <c r="P1221" s="32"/>
      <c r="Q1221" s="34"/>
      <c r="R1221" s="35"/>
      <c r="S1221" s="35"/>
      <c r="T1221" s="36"/>
      <c r="U1221" s="36"/>
      <c r="V1221" s="36"/>
      <c r="W1221" s="36"/>
      <c r="X1221" s="36"/>
      <c r="Y1221" s="36"/>
    </row>
    <row r="1222">
      <c r="A1222" s="32"/>
      <c r="B1222" s="32"/>
      <c r="C1222" s="32"/>
      <c r="D1222" s="32"/>
      <c r="E1222" s="32"/>
      <c r="F1222" s="32"/>
      <c r="G1222" s="39"/>
      <c r="H1222" s="32"/>
      <c r="I1222" s="32"/>
      <c r="J1222" s="32"/>
      <c r="K1222" s="33"/>
      <c r="L1222" s="32"/>
      <c r="M1222" s="32"/>
      <c r="N1222" s="32"/>
      <c r="O1222" s="32"/>
      <c r="P1222" s="32"/>
      <c r="Q1222" s="34"/>
      <c r="R1222" s="35"/>
      <c r="S1222" s="35"/>
      <c r="T1222" s="36"/>
      <c r="U1222" s="36"/>
      <c r="V1222" s="36"/>
      <c r="W1222" s="36"/>
      <c r="X1222" s="36"/>
      <c r="Y1222" s="36"/>
    </row>
    <row r="1223">
      <c r="A1223" s="32"/>
      <c r="B1223" s="32"/>
      <c r="C1223" s="32"/>
      <c r="D1223" s="32"/>
      <c r="E1223" s="32"/>
      <c r="F1223" s="32"/>
      <c r="G1223" s="39"/>
      <c r="H1223" s="32"/>
      <c r="I1223" s="32"/>
      <c r="J1223" s="32"/>
      <c r="K1223" s="33"/>
      <c r="L1223" s="32"/>
      <c r="M1223" s="32"/>
      <c r="N1223" s="32"/>
      <c r="O1223" s="32"/>
      <c r="P1223" s="32"/>
      <c r="Q1223" s="34"/>
      <c r="R1223" s="35"/>
      <c r="S1223" s="35"/>
      <c r="T1223" s="36"/>
      <c r="U1223" s="36"/>
      <c r="V1223" s="36"/>
      <c r="W1223" s="36"/>
      <c r="X1223" s="36"/>
      <c r="Y1223" s="36"/>
    </row>
    <row r="1224">
      <c r="A1224" s="32"/>
      <c r="B1224" s="32"/>
      <c r="C1224" s="32"/>
      <c r="D1224" s="32"/>
      <c r="E1224" s="32"/>
      <c r="F1224" s="32"/>
      <c r="G1224" s="39"/>
      <c r="H1224" s="32"/>
      <c r="I1224" s="32"/>
      <c r="J1224" s="32"/>
      <c r="K1224" s="33"/>
      <c r="L1224" s="32"/>
      <c r="M1224" s="32"/>
      <c r="N1224" s="32"/>
      <c r="O1224" s="32"/>
      <c r="P1224" s="32"/>
      <c r="Q1224" s="34"/>
      <c r="R1224" s="35"/>
      <c r="S1224" s="35"/>
      <c r="T1224" s="36"/>
      <c r="U1224" s="36"/>
      <c r="V1224" s="36"/>
      <c r="W1224" s="36"/>
      <c r="X1224" s="36"/>
      <c r="Y1224" s="36"/>
    </row>
    <row r="1225">
      <c r="A1225" s="32"/>
      <c r="B1225" s="32"/>
      <c r="C1225" s="32"/>
      <c r="D1225" s="32"/>
      <c r="E1225" s="32"/>
      <c r="F1225" s="32"/>
      <c r="G1225" s="39"/>
      <c r="H1225" s="32"/>
      <c r="I1225" s="32"/>
      <c r="J1225" s="32"/>
      <c r="K1225" s="33"/>
      <c r="L1225" s="32"/>
      <c r="M1225" s="32"/>
      <c r="N1225" s="32"/>
      <c r="O1225" s="32"/>
      <c r="P1225" s="32"/>
      <c r="Q1225" s="34"/>
      <c r="R1225" s="35"/>
      <c r="S1225" s="35"/>
      <c r="T1225" s="36"/>
      <c r="U1225" s="36"/>
      <c r="V1225" s="36"/>
      <c r="W1225" s="36"/>
      <c r="X1225" s="36"/>
      <c r="Y1225" s="36"/>
    </row>
    <row r="1226">
      <c r="A1226" s="32"/>
      <c r="B1226" s="32"/>
      <c r="C1226" s="32"/>
      <c r="D1226" s="32"/>
      <c r="E1226" s="32"/>
      <c r="F1226" s="32"/>
      <c r="G1226" s="39"/>
      <c r="H1226" s="32"/>
      <c r="I1226" s="32"/>
      <c r="J1226" s="32"/>
      <c r="K1226" s="33"/>
      <c r="L1226" s="32"/>
      <c r="M1226" s="32"/>
      <c r="N1226" s="32"/>
      <c r="O1226" s="32"/>
      <c r="P1226" s="32"/>
      <c r="Q1226" s="34"/>
      <c r="R1226" s="35"/>
      <c r="S1226" s="35"/>
      <c r="T1226" s="36"/>
      <c r="U1226" s="36"/>
      <c r="V1226" s="36"/>
      <c r="W1226" s="36"/>
      <c r="X1226" s="36"/>
      <c r="Y1226" s="36"/>
    </row>
    <row r="1227">
      <c r="A1227" s="32"/>
      <c r="B1227" s="32"/>
      <c r="C1227" s="32"/>
      <c r="D1227" s="32"/>
      <c r="E1227" s="32"/>
      <c r="F1227" s="32"/>
      <c r="G1227" s="39"/>
      <c r="H1227" s="32"/>
      <c r="I1227" s="32"/>
      <c r="J1227" s="32"/>
      <c r="K1227" s="33"/>
      <c r="L1227" s="32"/>
      <c r="M1227" s="32"/>
      <c r="N1227" s="32"/>
      <c r="O1227" s="32"/>
      <c r="P1227" s="32"/>
      <c r="Q1227" s="34"/>
      <c r="R1227" s="35"/>
      <c r="S1227" s="35"/>
      <c r="T1227" s="36"/>
      <c r="U1227" s="36"/>
      <c r="V1227" s="36"/>
      <c r="W1227" s="36"/>
      <c r="X1227" s="36"/>
      <c r="Y1227" s="36"/>
    </row>
    <row r="1228">
      <c r="A1228" s="32"/>
      <c r="B1228" s="32"/>
      <c r="C1228" s="32"/>
      <c r="D1228" s="32"/>
      <c r="E1228" s="32"/>
      <c r="F1228" s="32"/>
      <c r="G1228" s="39"/>
      <c r="H1228" s="32"/>
      <c r="I1228" s="32"/>
      <c r="J1228" s="32"/>
      <c r="K1228" s="33"/>
      <c r="L1228" s="32"/>
      <c r="M1228" s="32"/>
      <c r="N1228" s="32"/>
      <c r="O1228" s="32"/>
      <c r="P1228" s="32"/>
      <c r="Q1228" s="34"/>
      <c r="R1228" s="35"/>
      <c r="S1228" s="35"/>
      <c r="T1228" s="36"/>
      <c r="U1228" s="36"/>
      <c r="V1228" s="36"/>
      <c r="W1228" s="36"/>
      <c r="X1228" s="36"/>
      <c r="Y1228" s="36"/>
    </row>
    <row r="1229">
      <c r="A1229" s="32"/>
      <c r="B1229" s="32"/>
      <c r="C1229" s="32"/>
      <c r="D1229" s="32"/>
      <c r="E1229" s="32"/>
      <c r="F1229" s="32"/>
      <c r="G1229" s="39"/>
      <c r="H1229" s="32"/>
      <c r="I1229" s="32"/>
      <c r="J1229" s="32"/>
      <c r="K1229" s="33"/>
      <c r="L1229" s="32"/>
      <c r="M1229" s="32"/>
      <c r="N1229" s="32"/>
      <c r="O1229" s="32"/>
      <c r="P1229" s="32"/>
      <c r="Q1229" s="34"/>
      <c r="R1229" s="35"/>
      <c r="S1229" s="35"/>
      <c r="T1229" s="36"/>
      <c r="U1229" s="36"/>
      <c r="V1229" s="36"/>
      <c r="W1229" s="36"/>
      <c r="X1229" s="36"/>
      <c r="Y1229" s="36"/>
    </row>
    <row r="1230">
      <c r="A1230" s="32"/>
      <c r="B1230" s="32"/>
      <c r="C1230" s="32"/>
      <c r="D1230" s="32"/>
      <c r="E1230" s="32"/>
      <c r="F1230" s="32"/>
      <c r="G1230" s="39"/>
      <c r="H1230" s="32"/>
      <c r="I1230" s="32"/>
      <c r="J1230" s="32"/>
      <c r="K1230" s="33"/>
      <c r="L1230" s="32"/>
      <c r="M1230" s="32"/>
      <c r="N1230" s="32"/>
      <c r="O1230" s="32"/>
      <c r="P1230" s="32"/>
      <c r="Q1230" s="34"/>
      <c r="R1230" s="35"/>
      <c r="S1230" s="35"/>
      <c r="T1230" s="36"/>
      <c r="U1230" s="36"/>
      <c r="V1230" s="36"/>
      <c r="W1230" s="36"/>
      <c r="X1230" s="36"/>
      <c r="Y1230" s="36"/>
    </row>
    <row r="1231">
      <c r="A1231" s="32"/>
      <c r="B1231" s="32"/>
      <c r="C1231" s="32"/>
      <c r="D1231" s="32"/>
      <c r="E1231" s="32"/>
      <c r="F1231" s="32"/>
      <c r="G1231" s="39"/>
      <c r="H1231" s="32"/>
      <c r="I1231" s="32"/>
      <c r="J1231" s="32"/>
      <c r="K1231" s="33"/>
      <c r="L1231" s="32"/>
      <c r="M1231" s="32"/>
      <c r="N1231" s="32"/>
      <c r="O1231" s="32"/>
      <c r="P1231" s="32"/>
      <c r="Q1231" s="34"/>
      <c r="R1231" s="35"/>
      <c r="S1231" s="35"/>
      <c r="T1231" s="36"/>
      <c r="U1231" s="36"/>
      <c r="V1231" s="36"/>
      <c r="W1231" s="36"/>
      <c r="X1231" s="36"/>
      <c r="Y1231" s="36"/>
    </row>
    <row r="1232">
      <c r="A1232" s="32"/>
      <c r="B1232" s="32"/>
      <c r="C1232" s="32"/>
      <c r="D1232" s="32"/>
      <c r="E1232" s="32"/>
      <c r="F1232" s="32"/>
      <c r="G1232" s="39"/>
      <c r="H1232" s="32"/>
      <c r="I1232" s="32"/>
      <c r="J1232" s="32"/>
      <c r="K1232" s="33"/>
      <c r="L1232" s="32"/>
      <c r="M1232" s="32"/>
      <c r="N1232" s="32"/>
      <c r="O1232" s="32"/>
      <c r="P1232" s="32"/>
      <c r="Q1232" s="34"/>
      <c r="R1232" s="35"/>
      <c r="S1232" s="35"/>
      <c r="T1232" s="36"/>
      <c r="U1232" s="36"/>
      <c r="V1232" s="36"/>
      <c r="W1232" s="36"/>
      <c r="X1232" s="36"/>
      <c r="Y1232" s="36"/>
    </row>
    <row r="1233">
      <c r="A1233" s="32"/>
      <c r="B1233" s="32"/>
      <c r="C1233" s="32"/>
      <c r="D1233" s="32"/>
      <c r="E1233" s="32"/>
      <c r="F1233" s="32"/>
      <c r="G1233" s="39"/>
      <c r="H1233" s="32"/>
      <c r="I1233" s="32"/>
      <c r="J1233" s="32"/>
      <c r="K1233" s="33"/>
      <c r="L1233" s="32"/>
      <c r="M1233" s="32"/>
      <c r="N1233" s="32"/>
      <c r="O1233" s="32"/>
      <c r="P1233" s="32"/>
      <c r="Q1233" s="34"/>
      <c r="R1233" s="35"/>
      <c r="S1233" s="35"/>
      <c r="T1233" s="36"/>
      <c r="U1233" s="36"/>
      <c r="V1233" s="36"/>
      <c r="W1233" s="36"/>
      <c r="X1233" s="36"/>
      <c r="Y1233" s="36"/>
    </row>
    <row r="1234">
      <c r="A1234" s="32"/>
      <c r="B1234" s="32"/>
      <c r="C1234" s="32"/>
      <c r="D1234" s="32"/>
      <c r="E1234" s="32"/>
      <c r="F1234" s="32"/>
      <c r="G1234" s="39"/>
      <c r="H1234" s="32"/>
      <c r="I1234" s="32"/>
      <c r="J1234" s="32"/>
      <c r="K1234" s="33"/>
      <c r="L1234" s="32"/>
      <c r="M1234" s="32"/>
      <c r="N1234" s="32"/>
      <c r="O1234" s="32"/>
      <c r="P1234" s="32"/>
      <c r="Q1234" s="34"/>
      <c r="R1234" s="35"/>
      <c r="S1234" s="35"/>
      <c r="T1234" s="36"/>
      <c r="U1234" s="36"/>
      <c r="V1234" s="36"/>
      <c r="W1234" s="36"/>
      <c r="X1234" s="36"/>
      <c r="Y1234" s="36"/>
    </row>
    <row r="1235">
      <c r="A1235" s="32"/>
      <c r="B1235" s="32"/>
      <c r="C1235" s="32"/>
      <c r="D1235" s="32"/>
      <c r="E1235" s="32"/>
      <c r="F1235" s="32"/>
      <c r="G1235" s="39"/>
      <c r="H1235" s="32"/>
      <c r="I1235" s="32"/>
      <c r="J1235" s="32"/>
      <c r="K1235" s="33"/>
      <c r="L1235" s="32"/>
      <c r="M1235" s="32"/>
      <c r="N1235" s="32"/>
      <c r="O1235" s="32"/>
      <c r="P1235" s="32"/>
      <c r="Q1235" s="34"/>
      <c r="R1235" s="35"/>
      <c r="S1235" s="35"/>
      <c r="T1235" s="36"/>
      <c r="U1235" s="36"/>
      <c r="V1235" s="36"/>
      <c r="W1235" s="36"/>
      <c r="X1235" s="36"/>
      <c r="Y1235" s="36"/>
    </row>
    <row r="1236">
      <c r="A1236" s="32"/>
      <c r="B1236" s="32"/>
      <c r="C1236" s="32"/>
      <c r="D1236" s="32"/>
      <c r="E1236" s="32"/>
      <c r="F1236" s="32"/>
      <c r="G1236" s="39"/>
      <c r="H1236" s="32"/>
      <c r="I1236" s="32"/>
      <c r="J1236" s="32"/>
      <c r="K1236" s="33"/>
      <c r="L1236" s="32"/>
      <c r="M1236" s="32"/>
      <c r="N1236" s="32"/>
      <c r="O1236" s="32"/>
      <c r="P1236" s="32"/>
      <c r="Q1236" s="34"/>
      <c r="R1236" s="35"/>
      <c r="S1236" s="35"/>
      <c r="T1236" s="36"/>
      <c r="U1236" s="36"/>
      <c r="V1236" s="36"/>
      <c r="W1236" s="36"/>
      <c r="X1236" s="36"/>
      <c r="Y1236" s="36"/>
    </row>
    <row r="1237">
      <c r="A1237" s="32"/>
      <c r="B1237" s="32"/>
      <c r="C1237" s="32"/>
      <c r="D1237" s="32"/>
      <c r="E1237" s="32"/>
      <c r="F1237" s="32"/>
      <c r="G1237" s="39"/>
      <c r="H1237" s="32"/>
      <c r="I1237" s="32"/>
      <c r="J1237" s="32"/>
      <c r="K1237" s="33"/>
      <c r="L1237" s="32"/>
      <c r="M1237" s="32"/>
      <c r="N1237" s="32"/>
      <c r="O1237" s="32"/>
      <c r="P1237" s="32"/>
      <c r="Q1237" s="34"/>
      <c r="R1237" s="35"/>
      <c r="S1237" s="35"/>
      <c r="T1237" s="36"/>
      <c r="U1237" s="36"/>
      <c r="V1237" s="36"/>
      <c r="W1237" s="36"/>
      <c r="X1237" s="36"/>
      <c r="Y1237" s="36"/>
    </row>
    <row r="1238">
      <c r="A1238" s="32"/>
      <c r="B1238" s="32"/>
      <c r="C1238" s="32"/>
      <c r="D1238" s="32"/>
      <c r="E1238" s="32"/>
      <c r="F1238" s="32"/>
      <c r="G1238" s="39"/>
      <c r="H1238" s="32"/>
      <c r="I1238" s="32"/>
      <c r="J1238" s="32"/>
      <c r="K1238" s="33"/>
      <c r="L1238" s="32"/>
      <c r="M1238" s="32"/>
      <c r="N1238" s="32"/>
      <c r="O1238" s="32"/>
      <c r="P1238" s="32"/>
      <c r="Q1238" s="34"/>
      <c r="R1238" s="35"/>
      <c r="S1238" s="35"/>
      <c r="T1238" s="36"/>
      <c r="U1238" s="36"/>
      <c r="V1238" s="36"/>
      <c r="W1238" s="36"/>
      <c r="X1238" s="36"/>
      <c r="Y1238" s="36"/>
    </row>
    <row r="1239">
      <c r="A1239" s="32"/>
      <c r="B1239" s="32"/>
      <c r="C1239" s="32"/>
      <c r="D1239" s="32"/>
      <c r="E1239" s="32"/>
      <c r="F1239" s="32"/>
      <c r="G1239" s="39"/>
      <c r="H1239" s="32"/>
      <c r="I1239" s="32"/>
      <c r="J1239" s="32"/>
      <c r="K1239" s="33"/>
      <c r="L1239" s="32"/>
      <c r="M1239" s="32"/>
      <c r="N1239" s="32"/>
      <c r="O1239" s="32"/>
      <c r="P1239" s="32"/>
      <c r="Q1239" s="34"/>
      <c r="R1239" s="35"/>
      <c r="S1239" s="35"/>
      <c r="T1239" s="36"/>
      <c r="U1239" s="36"/>
      <c r="V1239" s="36"/>
      <c r="W1239" s="36"/>
      <c r="X1239" s="36"/>
      <c r="Y1239" s="36"/>
    </row>
    <row r="1240">
      <c r="A1240" s="32"/>
      <c r="B1240" s="32"/>
      <c r="C1240" s="32"/>
      <c r="D1240" s="32"/>
      <c r="E1240" s="32"/>
      <c r="F1240" s="32"/>
      <c r="G1240" s="39"/>
      <c r="H1240" s="32"/>
      <c r="I1240" s="32"/>
      <c r="J1240" s="32"/>
      <c r="K1240" s="33"/>
      <c r="L1240" s="32"/>
      <c r="M1240" s="32"/>
      <c r="N1240" s="32"/>
      <c r="O1240" s="32"/>
      <c r="P1240" s="32"/>
      <c r="Q1240" s="34"/>
      <c r="R1240" s="35"/>
      <c r="S1240" s="35"/>
      <c r="T1240" s="36"/>
      <c r="U1240" s="36"/>
      <c r="V1240" s="36"/>
      <c r="W1240" s="36"/>
      <c r="X1240" s="36"/>
      <c r="Y1240" s="36"/>
    </row>
    <row r="1241">
      <c r="A1241" s="32"/>
      <c r="B1241" s="32"/>
      <c r="C1241" s="32"/>
      <c r="D1241" s="32"/>
      <c r="E1241" s="32"/>
      <c r="F1241" s="32"/>
      <c r="G1241" s="39"/>
      <c r="H1241" s="32"/>
      <c r="I1241" s="32"/>
      <c r="J1241" s="32"/>
      <c r="K1241" s="33"/>
      <c r="L1241" s="32"/>
      <c r="M1241" s="32"/>
      <c r="N1241" s="32"/>
      <c r="O1241" s="32"/>
      <c r="P1241" s="32"/>
      <c r="Q1241" s="34"/>
      <c r="R1241" s="35"/>
      <c r="S1241" s="35"/>
      <c r="T1241" s="36"/>
      <c r="U1241" s="36"/>
      <c r="V1241" s="36"/>
      <c r="W1241" s="36"/>
      <c r="X1241" s="36"/>
      <c r="Y1241" s="36"/>
    </row>
    <row r="1242">
      <c r="A1242" s="32"/>
      <c r="B1242" s="32"/>
      <c r="C1242" s="32"/>
      <c r="D1242" s="32"/>
      <c r="E1242" s="32"/>
      <c r="F1242" s="32"/>
      <c r="G1242" s="39"/>
      <c r="H1242" s="32"/>
      <c r="I1242" s="32"/>
      <c r="J1242" s="32"/>
      <c r="K1242" s="33"/>
      <c r="L1242" s="32"/>
      <c r="M1242" s="32"/>
      <c r="N1242" s="32"/>
      <c r="O1242" s="32"/>
      <c r="P1242" s="32"/>
      <c r="Q1242" s="34"/>
      <c r="R1242" s="35"/>
      <c r="S1242" s="35"/>
      <c r="T1242" s="36"/>
      <c r="U1242" s="36"/>
      <c r="V1242" s="36"/>
      <c r="W1242" s="36"/>
      <c r="X1242" s="36"/>
      <c r="Y1242" s="36"/>
    </row>
    <row r="1243">
      <c r="A1243" s="32"/>
      <c r="B1243" s="32"/>
      <c r="C1243" s="32"/>
      <c r="D1243" s="32"/>
      <c r="E1243" s="32"/>
      <c r="F1243" s="32"/>
      <c r="G1243" s="39"/>
      <c r="H1243" s="32"/>
      <c r="I1243" s="32"/>
      <c r="J1243" s="32"/>
      <c r="K1243" s="33"/>
      <c r="L1243" s="32"/>
      <c r="M1243" s="32"/>
      <c r="N1243" s="32"/>
      <c r="O1243" s="32"/>
      <c r="P1243" s="32"/>
      <c r="Q1243" s="34"/>
      <c r="R1243" s="35"/>
      <c r="S1243" s="35"/>
      <c r="T1243" s="36"/>
      <c r="U1243" s="36"/>
      <c r="V1243" s="36"/>
      <c r="W1243" s="36"/>
      <c r="X1243" s="36"/>
      <c r="Y1243" s="36"/>
    </row>
    <row r="1244">
      <c r="A1244" s="32"/>
      <c r="B1244" s="32"/>
      <c r="C1244" s="32"/>
      <c r="D1244" s="32"/>
      <c r="E1244" s="32"/>
      <c r="F1244" s="32"/>
      <c r="G1244" s="39"/>
      <c r="H1244" s="32"/>
      <c r="I1244" s="32"/>
      <c r="J1244" s="32"/>
      <c r="K1244" s="33"/>
      <c r="L1244" s="32"/>
      <c r="M1244" s="32"/>
      <c r="N1244" s="32"/>
      <c r="O1244" s="32"/>
      <c r="P1244" s="32"/>
      <c r="Q1244" s="34"/>
      <c r="R1244" s="35"/>
      <c r="S1244" s="35"/>
      <c r="T1244" s="36"/>
      <c r="U1244" s="36"/>
      <c r="V1244" s="36"/>
      <c r="W1244" s="36"/>
      <c r="X1244" s="36"/>
      <c r="Y1244" s="36"/>
    </row>
    <row r="1245">
      <c r="A1245" s="32"/>
      <c r="B1245" s="32"/>
      <c r="C1245" s="32"/>
      <c r="D1245" s="32"/>
      <c r="E1245" s="32"/>
      <c r="F1245" s="32"/>
      <c r="G1245" s="39"/>
      <c r="H1245" s="32"/>
      <c r="I1245" s="32"/>
      <c r="J1245" s="32"/>
      <c r="K1245" s="33"/>
      <c r="L1245" s="32"/>
      <c r="M1245" s="32"/>
      <c r="N1245" s="32"/>
      <c r="O1245" s="32"/>
      <c r="P1245" s="32"/>
      <c r="Q1245" s="34"/>
      <c r="R1245" s="35"/>
      <c r="S1245" s="35"/>
      <c r="T1245" s="36"/>
      <c r="U1245" s="36"/>
      <c r="V1245" s="36"/>
      <c r="W1245" s="36"/>
      <c r="X1245" s="36"/>
      <c r="Y1245" s="36"/>
    </row>
    <row r="1246">
      <c r="A1246" s="32"/>
      <c r="B1246" s="32"/>
      <c r="C1246" s="32"/>
      <c r="D1246" s="32"/>
      <c r="E1246" s="32"/>
      <c r="F1246" s="32"/>
      <c r="G1246" s="39"/>
      <c r="H1246" s="32"/>
      <c r="I1246" s="32"/>
      <c r="J1246" s="32"/>
      <c r="K1246" s="33"/>
      <c r="L1246" s="32"/>
      <c r="M1246" s="32"/>
      <c r="N1246" s="32"/>
      <c r="O1246" s="32"/>
      <c r="P1246" s="32"/>
      <c r="Q1246" s="34"/>
      <c r="R1246" s="35"/>
      <c r="S1246" s="35"/>
      <c r="T1246" s="36"/>
      <c r="U1246" s="36"/>
      <c r="V1246" s="36"/>
      <c r="W1246" s="36"/>
      <c r="X1246" s="36"/>
      <c r="Y1246" s="36"/>
    </row>
    <row r="1247">
      <c r="A1247" s="32"/>
      <c r="B1247" s="32"/>
      <c r="C1247" s="32"/>
      <c r="D1247" s="32"/>
      <c r="E1247" s="32"/>
      <c r="F1247" s="32"/>
      <c r="G1247" s="39"/>
      <c r="H1247" s="32"/>
      <c r="I1247" s="32"/>
      <c r="J1247" s="32"/>
      <c r="K1247" s="33"/>
      <c r="L1247" s="32"/>
      <c r="M1247" s="32"/>
      <c r="N1247" s="32"/>
      <c r="O1247" s="32"/>
      <c r="P1247" s="32"/>
      <c r="Q1247" s="34"/>
      <c r="R1247" s="35"/>
      <c r="S1247" s="35"/>
      <c r="T1247" s="36"/>
      <c r="U1247" s="36"/>
      <c r="V1247" s="36"/>
      <c r="W1247" s="36"/>
      <c r="X1247" s="36"/>
      <c r="Y1247" s="36"/>
    </row>
    <row r="1248">
      <c r="A1248" s="32"/>
      <c r="B1248" s="32"/>
      <c r="C1248" s="32"/>
      <c r="D1248" s="32"/>
      <c r="E1248" s="32"/>
      <c r="F1248" s="32"/>
      <c r="G1248" s="39"/>
      <c r="H1248" s="32"/>
      <c r="I1248" s="32"/>
      <c r="J1248" s="32"/>
      <c r="K1248" s="33"/>
      <c r="L1248" s="32"/>
      <c r="M1248" s="32"/>
      <c r="N1248" s="32"/>
      <c r="O1248" s="32"/>
      <c r="P1248" s="32"/>
      <c r="Q1248" s="34"/>
      <c r="R1248" s="35"/>
      <c r="S1248" s="35"/>
      <c r="T1248" s="36"/>
      <c r="U1248" s="36"/>
      <c r="V1248" s="36"/>
      <c r="W1248" s="36"/>
      <c r="X1248" s="36"/>
      <c r="Y1248" s="36"/>
    </row>
    <row r="1249">
      <c r="A1249" s="32"/>
      <c r="B1249" s="32"/>
      <c r="C1249" s="32"/>
      <c r="D1249" s="32"/>
      <c r="E1249" s="32"/>
      <c r="F1249" s="32"/>
      <c r="G1249" s="39"/>
      <c r="H1249" s="32"/>
      <c r="I1249" s="32"/>
      <c r="J1249" s="32"/>
      <c r="K1249" s="33"/>
      <c r="L1249" s="32"/>
      <c r="M1249" s="32"/>
      <c r="N1249" s="32"/>
      <c r="O1249" s="32"/>
      <c r="P1249" s="32"/>
      <c r="Q1249" s="34"/>
      <c r="R1249" s="35"/>
      <c r="S1249" s="35"/>
      <c r="T1249" s="36"/>
      <c r="U1249" s="36"/>
      <c r="V1249" s="36"/>
      <c r="W1249" s="36"/>
      <c r="X1249" s="36"/>
      <c r="Y1249" s="36"/>
    </row>
    <row r="1250">
      <c r="A1250" s="32"/>
      <c r="B1250" s="32"/>
      <c r="C1250" s="32"/>
      <c r="D1250" s="32"/>
      <c r="E1250" s="32"/>
      <c r="F1250" s="32"/>
      <c r="G1250" s="39"/>
      <c r="H1250" s="32"/>
      <c r="I1250" s="32"/>
      <c r="J1250" s="32"/>
      <c r="K1250" s="33"/>
      <c r="L1250" s="32"/>
      <c r="M1250" s="32"/>
      <c r="N1250" s="32"/>
      <c r="O1250" s="32"/>
      <c r="P1250" s="32"/>
      <c r="Q1250" s="34"/>
      <c r="R1250" s="35"/>
      <c r="S1250" s="35"/>
      <c r="T1250" s="36"/>
      <c r="U1250" s="36"/>
      <c r="V1250" s="36"/>
      <c r="W1250" s="36"/>
      <c r="X1250" s="36"/>
      <c r="Y1250" s="36"/>
    </row>
    <row r="1251">
      <c r="A1251" s="32"/>
      <c r="B1251" s="32"/>
      <c r="C1251" s="32"/>
      <c r="D1251" s="32"/>
      <c r="E1251" s="32"/>
      <c r="F1251" s="32"/>
      <c r="G1251" s="39"/>
      <c r="H1251" s="32"/>
      <c r="I1251" s="32"/>
      <c r="J1251" s="32"/>
      <c r="K1251" s="33"/>
      <c r="L1251" s="32"/>
      <c r="M1251" s="32"/>
      <c r="N1251" s="32"/>
      <c r="O1251" s="32"/>
      <c r="P1251" s="32"/>
      <c r="Q1251" s="34"/>
      <c r="R1251" s="35"/>
      <c r="S1251" s="35"/>
      <c r="T1251" s="36"/>
      <c r="U1251" s="36"/>
      <c r="V1251" s="36"/>
      <c r="W1251" s="36"/>
      <c r="X1251" s="36"/>
      <c r="Y1251" s="36"/>
    </row>
    <row r="1252">
      <c r="A1252" s="32"/>
      <c r="B1252" s="32"/>
      <c r="C1252" s="32"/>
      <c r="D1252" s="32"/>
      <c r="E1252" s="32"/>
      <c r="F1252" s="32"/>
      <c r="G1252" s="39"/>
      <c r="H1252" s="32"/>
      <c r="I1252" s="32"/>
      <c r="J1252" s="32"/>
      <c r="K1252" s="33"/>
      <c r="L1252" s="32"/>
      <c r="M1252" s="32"/>
      <c r="N1252" s="32"/>
      <c r="O1252" s="32"/>
      <c r="P1252" s="32"/>
      <c r="Q1252" s="34"/>
      <c r="R1252" s="35"/>
      <c r="S1252" s="35"/>
      <c r="T1252" s="36"/>
      <c r="U1252" s="36"/>
      <c r="V1252" s="36"/>
      <c r="W1252" s="36"/>
      <c r="X1252" s="36"/>
      <c r="Y1252" s="36"/>
    </row>
    <row r="1253">
      <c r="A1253" s="32"/>
      <c r="B1253" s="32"/>
      <c r="C1253" s="32"/>
      <c r="D1253" s="32"/>
      <c r="E1253" s="32"/>
      <c r="F1253" s="32"/>
      <c r="G1253" s="39"/>
      <c r="H1253" s="32"/>
      <c r="I1253" s="32"/>
      <c r="J1253" s="32"/>
      <c r="K1253" s="33"/>
      <c r="L1253" s="32"/>
      <c r="M1253" s="32"/>
      <c r="N1253" s="32"/>
      <c r="O1253" s="32"/>
      <c r="P1253" s="32"/>
      <c r="Q1253" s="34"/>
      <c r="R1253" s="35"/>
      <c r="S1253" s="35"/>
      <c r="T1253" s="36"/>
      <c r="U1253" s="36"/>
      <c r="V1253" s="36"/>
      <c r="W1253" s="36"/>
      <c r="X1253" s="36"/>
      <c r="Y1253" s="36"/>
    </row>
    <row r="1254">
      <c r="A1254" s="32"/>
      <c r="B1254" s="32"/>
      <c r="C1254" s="32"/>
      <c r="D1254" s="32"/>
      <c r="E1254" s="32"/>
      <c r="F1254" s="32"/>
      <c r="G1254" s="39"/>
      <c r="H1254" s="32"/>
      <c r="I1254" s="32"/>
      <c r="J1254" s="32"/>
      <c r="K1254" s="33"/>
      <c r="L1254" s="32"/>
      <c r="M1254" s="32"/>
      <c r="N1254" s="32"/>
      <c r="O1254" s="32"/>
      <c r="P1254" s="32"/>
      <c r="Q1254" s="34"/>
      <c r="R1254" s="35"/>
      <c r="S1254" s="35"/>
      <c r="T1254" s="36"/>
      <c r="U1254" s="36"/>
      <c r="V1254" s="36"/>
      <c r="W1254" s="36"/>
      <c r="X1254" s="36"/>
      <c r="Y1254" s="36"/>
    </row>
    <row r="1255">
      <c r="A1255" s="32"/>
      <c r="B1255" s="32"/>
      <c r="C1255" s="32"/>
      <c r="D1255" s="32"/>
      <c r="E1255" s="32"/>
      <c r="F1255" s="32"/>
      <c r="G1255" s="39"/>
      <c r="H1255" s="32"/>
      <c r="I1255" s="32"/>
      <c r="J1255" s="32"/>
      <c r="K1255" s="33"/>
      <c r="L1255" s="32"/>
      <c r="M1255" s="32"/>
      <c r="N1255" s="32"/>
      <c r="O1255" s="32"/>
      <c r="P1255" s="32"/>
      <c r="Q1255" s="34"/>
      <c r="R1255" s="35"/>
      <c r="S1255" s="35"/>
      <c r="T1255" s="36"/>
      <c r="U1255" s="36"/>
      <c r="V1255" s="36"/>
      <c r="W1255" s="36"/>
      <c r="X1255" s="36"/>
      <c r="Y1255" s="36"/>
    </row>
    <row r="1256">
      <c r="A1256" s="32"/>
      <c r="B1256" s="32"/>
      <c r="C1256" s="32"/>
      <c r="D1256" s="32"/>
      <c r="E1256" s="32"/>
      <c r="F1256" s="32"/>
      <c r="G1256" s="39"/>
      <c r="H1256" s="32"/>
      <c r="I1256" s="32"/>
      <c r="J1256" s="32"/>
      <c r="K1256" s="33"/>
      <c r="L1256" s="32"/>
      <c r="M1256" s="32"/>
      <c r="N1256" s="32"/>
      <c r="O1256" s="32"/>
      <c r="P1256" s="32"/>
      <c r="Q1256" s="34"/>
      <c r="R1256" s="35"/>
      <c r="S1256" s="35"/>
      <c r="T1256" s="36"/>
      <c r="U1256" s="36"/>
      <c r="V1256" s="36"/>
      <c r="W1256" s="36"/>
      <c r="X1256" s="36"/>
      <c r="Y1256" s="36"/>
    </row>
    <row r="1257">
      <c r="A1257" s="32"/>
      <c r="B1257" s="32"/>
      <c r="C1257" s="32"/>
      <c r="D1257" s="32"/>
      <c r="E1257" s="32"/>
      <c r="F1257" s="32"/>
      <c r="G1257" s="39"/>
      <c r="H1257" s="32"/>
      <c r="I1257" s="32"/>
      <c r="J1257" s="32"/>
      <c r="K1257" s="33"/>
      <c r="L1257" s="32"/>
      <c r="M1257" s="32"/>
      <c r="N1257" s="32"/>
      <c r="O1257" s="32"/>
      <c r="P1257" s="32"/>
      <c r="Q1257" s="34"/>
      <c r="R1257" s="35"/>
      <c r="S1257" s="35"/>
      <c r="T1257" s="36"/>
      <c r="U1257" s="36"/>
      <c r="V1257" s="36"/>
      <c r="W1257" s="36"/>
      <c r="X1257" s="36"/>
      <c r="Y1257" s="36"/>
    </row>
    <row r="1258">
      <c r="A1258" s="32"/>
      <c r="B1258" s="32"/>
      <c r="C1258" s="32"/>
      <c r="D1258" s="32"/>
      <c r="E1258" s="32"/>
      <c r="F1258" s="32"/>
      <c r="G1258" s="39"/>
      <c r="H1258" s="32"/>
      <c r="I1258" s="32"/>
      <c r="J1258" s="32"/>
      <c r="K1258" s="33"/>
      <c r="L1258" s="32"/>
      <c r="M1258" s="32"/>
      <c r="N1258" s="32"/>
      <c r="O1258" s="32"/>
      <c r="P1258" s="32"/>
      <c r="Q1258" s="34"/>
      <c r="R1258" s="35"/>
      <c r="S1258" s="35"/>
      <c r="T1258" s="36"/>
      <c r="U1258" s="36"/>
      <c r="V1258" s="36"/>
      <c r="W1258" s="36"/>
      <c r="X1258" s="36"/>
      <c r="Y1258" s="36"/>
    </row>
    <row r="1259">
      <c r="A1259" s="32"/>
      <c r="B1259" s="32"/>
      <c r="C1259" s="32"/>
      <c r="D1259" s="32"/>
      <c r="E1259" s="32"/>
      <c r="F1259" s="32"/>
      <c r="G1259" s="39"/>
      <c r="H1259" s="32"/>
      <c r="I1259" s="32"/>
      <c r="J1259" s="32"/>
      <c r="K1259" s="33"/>
      <c r="L1259" s="32"/>
      <c r="M1259" s="32"/>
      <c r="N1259" s="32"/>
      <c r="O1259" s="32"/>
      <c r="P1259" s="32"/>
      <c r="Q1259" s="34"/>
      <c r="R1259" s="35"/>
      <c r="S1259" s="35"/>
      <c r="T1259" s="36"/>
      <c r="U1259" s="36"/>
      <c r="V1259" s="36"/>
      <c r="W1259" s="36"/>
      <c r="X1259" s="36"/>
      <c r="Y1259" s="36"/>
    </row>
    <row r="1260">
      <c r="A1260" s="32"/>
      <c r="B1260" s="32"/>
      <c r="C1260" s="32"/>
      <c r="D1260" s="32"/>
      <c r="E1260" s="32"/>
      <c r="F1260" s="32"/>
      <c r="G1260" s="39"/>
      <c r="H1260" s="32"/>
      <c r="I1260" s="32"/>
      <c r="J1260" s="32"/>
      <c r="K1260" s="33"/>
      <c r="L1260" s="32"/>
      <c r="M1260" s="32"/>
      <c r="N1260" s="32"/>
      <c r="O1260" s="32"/>
      <c r="P1260" s="32"/>
      <c r="Q1260" s="34"/>
      <c r="R1260" s="35"/>
      <c r="S1260" s="35"/>
      <c r="T1260" s="36"/>
      <c r="U1260" s="36"/>
      <c r="V1260" s="36"/>
      <c r="W1260" s="36"/>
      <c r="X1260" s="36"/>
      <c r="Y1260" s="36"/>
    </row>
    <row r="1261">
      <c r="A1261" s="32"/>
      <c r="B1261" s="32"/>
      <c r="C1261" s="32"/>
      <c r="D1261" s="32"/>
      <c r="E1261" s="32"/>
      <c r="F1261" s="32"/>
      <c r="G1261" s="39"/>
      <c r="H1261" s="32"/>
      <c r="I1261" s="32"/>
      <c r="J1261" s="32"/>
      <c r="K1261" s="33"/>
      <c r="L1261" s="32"/>
      <c r="M1261" s="32"/>
      <c r="N1261" s="32"/>
      <c r="O1261" s="32"/>
      <c r="P1261" s="32"/>
      <c r="Q1261" s="34"/>
      <c r="R1261" s="35"/>
      <c r="S1261" s="35"/>
      <c r="T1261" s="36"/>
      <c r="U1261" s="36"/>
      <c r="V1261" s="36"/>
      <c r="W1261" s="36"/>
      <c r="X1261" s="36"/>
      <c r="Y1261" s="36"/>
    </row>
    <row r="1262">
      <c r="A1262" s="32"/>
      <c r="B1262" s="32"/>
      <c r="C1262" s="32"/>
      <c r="D1262" s="32"/>
      <c r="E1262" s="32"/>
      <c r="F1262" s="32"/>
      <c r="G1262" s="39"/>
      <c r="H1262" s="32"/>
      <c r="I1262" s="32"/>
      <c r="J1262" s="32"/>
      <c r="K1262" s="33"/>
      <c r="L1262" s="32"/>
      <c r="M1262" s="32"/>
      <c r="N1262" s="32"/>
      <c r="O1262" s="32"/>
      <c r="P1262" s="32"/>
      <c r="Q1262" s="34"/>
      <c r="R1262" s="35"/>
      <c r="S1262" s="35"/>
      <c r="T1262" s="36"/>
      <c r="U1262" s="36"/>
      <c r="V1262" s="36"/>
      <c r="W1262" s="36"/>
      <c r="X1262" s="36"/>
      <c r="Y1262" s="36"/>
    </row>
    <row r="1263">
      <c r="A1263" s="32"/>
      <c r="B1263" s="32"/>
      <c r="C1263" s="32"/>
      <c r="D1263" s="32"/>
      <c r="E1263" s="32"/>
      <c r="F1263" s="32"/>
      <c r="G1263" s="39"/>
      <c r="H1263" s="32"/>
      <c r="I1263" s="32"/>
      <c r="J1263" s="32"/>
      <c r="K1263" s="33"/>
      <c r="L1263" s="32"/>
      <c r="M1263" s="32"/>
      <c r="N1263" s="32"/>
      <c r="O1263" s="32"/>
      <c r="P1263" s="32"/>
      <c r="Q1263" s="34"/>
      <c r="R1263" s="35"/>
      <c r="S1263" s="35"/>
      <c r="T1263" s="36"/>
      <c r="U1263" s="36"/>
      <c r="V1263" s="36"/>
      <c r="W1263" s="36"/>
      <c r="X1263" s="36"/>
      <c r="Y1263" s="36"/>
    </row>
    <row r="1264">
      <c r="A1264" s="32"/>
      <c r="B1264" s="32"/>
      <c r="C1264" s="32"/>
      <c r="D1264" s="32"/>
      <c r="E1264" s="32"/>
      <c r="F1264" s="32"/>
      <c r="G1264" s="39"/>
      <c r="H1264" s="32"/>
      <c r="I1264" s="32"/>
      <c r="J1264" s="32"/>
      <c r="K1264" s="33"/>
      <c r="L1264" s="32"/>
      <c r="M1264" s="32"/>
      <c r="N1264" s="32"/>
      <c r="O1264" s="32"/>
      <c r="P1264" s="32"/>
      <c r="Q1264" s="34"/>
      <c r="R1264" s="35"/>
      <c r="S1264" s="35"/>
      <c r="T1264" s="36"/>
      <c r="U1264" s="36"/>
      <c r="V1264" s="36"/>
      <c r="W1264" s="36"/>
      <c r="X1264" s="36"/>
      <c r="Y1264" s="36"/>
    </row>
    <row r="1265">
      <c r="A1265" s="32"/>
      <c r="B1265" s="32"/>
      <c r="C1265" s="32"/>
      <c r="D1265" s="32"/>
      <c r="E1265" s="32"/>
      <c r="F1265" s="32"/>
      <c r="G1265" s="39"/>
      <c r="H1265" s="32"/>
      <c r="I1265" s="32"/>
      <c r="J1265" s="32"/>
      <c r="K1265" s="33"/>
      <c r="L1265" s="32"/>
      <c r="M1265" s="32"/>
      <c r="N1265" s="32"/>
      <c r="O1265" s="32"/>
      <c r="P1265" s="32"/>
      <c r="Q1265" s="34"/>
      <c r="R1265" s="35"/>
      <c r="S1265" s="35"/>
      <c r="T1265" s="36"/>
      <c r="U1265" s="36"/>
      <c r="V1265" s="36"/>
      <c r="W1265" s="36"/>
      <c r="X1265" s="36"/>
      <c r="Y1265" s="36"/>
    </row>
    <row r="1266">
      <c r="A1266" s="32"/>
      <c r="B1266" s="32"/>
      <c r="C1266" s="32"/>
      <c r="D1266" s="32"/>
      <c r="E1266" s="32"/>
      <c r="F1266" s="32"/>
      <c r="G1266" s="39"/>
      <c r="H1266" s="32"/>
      <c r="I1266" s="32"/>
      <c r="J1266" s="32"/>
      <c r="K1266" s="33"/>
      <c r="L1266" s="32"/>
      <c r="M1266" s="32"/>
      <c r="N1266" s="32"/>
      <c r="O1266" s="32"/>
      <c r="P1266" s="32"/>
      <c r="Q1266" s="34"/>
      <c r="R1266" s="35"/>
      <c r="S1266" s="35"/>
      <c r="T1266" s="36"/>
      <c r="U1266" s="36"/>
      <c r="V1266" s="36"/>
      <c r="W1266" s="36"/>
      <c r="X1266" s="36"/>
      <c r="Y1266" s="36"/>
    </row>
    <row r="1267">
      <c r="A1267" s="32"/>
      <c r="B1267" s="32"/>
      <c r="C1267" s="32"/>
      <c r="D1267" s="32"/>
      <c r="E1267" s="32"/>
      <c r="F1267" s="32"/>
      <c r="G1267" s="39"/>
      <c r="H1267" s="32"/>
      <c r="I1267" s="32"/>
      <c r="J1267" s="32"/>
      <c r="K1267" s="33"/>
      <c r="L1267" s="32"/>
      <c r="M1267" s="32"/>
      <c r="N1267" s="32"/>
      <c r="O1267" s="32"/>
      <c r="P1267" s="32"/>
      <c r="Q1267" s="34"/>
      <c r="R1267" s="35"/>
      <c r="S1267" s="35"/>
      <c r="T1267" s="36"/>
      <c r="U1267" s="36"/>
      <c r="V1267" s="36"/>
      <c r="W1267" s="36"/>
      <c r="X1267" s="36"/>
      <c r="Y1267" s="36"/>
    </row>
    <row r="1268">
      <c r="A1268" s="32"/>
      <c r="B1268" s="32"/>
      <c r="C1268" s="32"/>
      <c r="D1268" s="32"/>
      <c r="E1268" s="32"/>
      <c r="F1268" s="32"/>
      <c r="G1268" s="39"/>
      <c r="H1268" s="32"/>
      <c r="I1268" s="32"/>
      <c r="J1268" s="32"/>
      <c r="K1268" s="33"/>
      <c r="L1268" s="32"/>
      <c r="M1268" s="32"/>
      <c r="N1268" s="32"/>
      <c r="O1268" s="32"/>
      <c r="P1268" s="32"/>
      <c r="Q1268" s="34"/>
      <c r="R1268" s="35"/>
      <c r="S1268" s="35"/>
      <c r="T1268" s="36"/>
      <c r="U1268" s="36"/>
      <c r="V1268" s="36"/>
      <c r="W1268" s="36"/>
      <c r="X1268" s="36"/>
      <c r="Y1268" s="36"/>
    </row>
    <row r="1269">
      <c r="A1269" s="32"/>
      <c r="B1269" s="32"/>
      <c r="C1269" s="32"/>
      <c r="D1269" s="32"/>
      <c r="E1269" s="32"/>
      <c r="F1269" s="32"/>
      <c r="G1269" s="39"/>
      <c r="H1269" s="32"/>
      <c r="I1269" s="32"/>
      <c r="J1269" s="32"/>
      <c r="K1269" s="33"/>
      <c r="L1269" s="32"/>
      <c r="M1269" s="32"/>
      <c r="N1269" s="32"/>
      <c r="O1269" s="32"/>
      <c r="P1269" s="32"/>
      <c r="Q1269" s="34"/>
      <c r="R1269" s="35"/>
      <c r="S1269" s="35"/>
      <c r="T1269" s="36"/>
      <c r="U1269" s="36"/>
      <c r="V1269" s="36"/>
      <c r="W1269" s="36"/>
      <c r="X1269" s="36"/>
      <c r="Y1269" s="36"/>
    </row>
    <row r="1270">
      <c r="A1270" s="32"/>
      <c r="B1270" s="32"/>
      <c r="C1270" s="32"/>
      <c r="D1270" s="32"/>
      <c r="E1270" s="32"/>
      <c r="F1270" s="32"/>
      <c r="G1270" s="39"/>
      <c r="H1270" s="32"/>
      <c r="I1270" s="32"/>
      <c r="J1270" s="32"/>
      <c r="K1270" s="33"/>
      <c r="L1270" s="32"/>
      <c r="M1270" s="32"/>
      <c r="N1270" s="32"/>
      <c r="O1270" s="32"/>
      <c r="P1270" s="32"/>
      <c r="Q1270" s="34"/>
      <c r="R1270" s="35"/>
      <c r="S1270" s="35"/>
      <c r="T1270" s="36"/>
      <c r="U1270" s="36"/>
      <c r="V1270" s="36"/>
      <c r="W1270" s="36"/>
      <c r="X1270" s="36"/>
      <c r="Y1270" s="36"/>
    </row>
    <row r="1271">
      <c r="A1271" s="32"/>
      <c r="B1271" s="32"/>
      <c r="C1271" s="32"/>
      <c r="D1271" s="32"/>
      <c r="E1271" s="32"/>
      <c r="F1271" s="32"/>
      <c r="G1271" s="39"/>
      <c r="H1271" s="32"/>
      <c r="I1271" s="32"/>
      <c r="J1271" s="32"/>
      <c r="K1271" s="33"/>
      <c r="L1271" s="32"/>
      <c r="M1271" s="32"/>
      <c r="N1271" s="32"/>
      <c r="O1271" s="32"/>
      <c r="P1271" s="32"/>
      <c r="Q1271" s="34"/>
      <c r="R1271" s="35"/>
      <c r="S1271" s="35"/>
      <c r="T1271" s="36"/>
      <c r="U1271" s="36"/>
      <c r="V1271" s="36"/>
      <c r="W1271" s="36"/>
      <c r="X1271" s="36"/>
      <c r="Y1271" s="36"/>
    </row>
    <row r="1272">
      <c r="A1272" s="32"/>
      <c r="B1272" s="32"/>
      <c r="C1272" s="32"/>
      <c r="D1272" s="32"/>
      <c r="E1272" s="32"/>
      <c r="F1272" s="32"/>
      <c r="G1272" s="39"/>
      <c r="H1272" s="32"/>
      <c r="I1272" s="32"/>
      <c r="J1272" s="32"/>
      <c r="K1272" s="33"/>
      <c r="L1272" s="32"/>
      <c r="M1272" s="32"/>
      <c r="N1272" s="32"/>
      <c r="O1272" s="32"/>
      <c r="P1272" s="32"/>
      <c r="Q1272" s="34"/>
      <c r="R1272" s="35"/>
      <c r="S1272" s="35"/>
      <c r="T1272" s="36"/>
      <c r="U1272" s="36"/>
      <c r="V1272" s="36"/>
      <c r="W1272" s="36"/>
      <c r="X1272" s="36"/>
      <c r="Y1272" s="36"/>
    </row>
    <row r="1273">
      <c r="A1273" s="32"/>
      <c r="B1273" s="32"/>
      <c r="C1273" s="32"/>
      <c r="D1273" s="32"/>
      <c r="E1273" s="32"/>
      <c r="F1273" s="32"/>
      <c r="G1273" s="39"/>
      <c r="H1273" s="32"/>
      <c r="I1273" s="32"/>
      <c r="J1273" s="32"/>
      <c r="K1273" s="33"/>
      <c r="L1273" s="32"/>
      <c r="M1273" s="32"/>
      <c r="N1273" s="32"/>
      <c r="O1273" s="32"/>
      <c r="P1273" s="32"/>
      <c r="Q1273" s="34"/>
      <c r="R1273" s="35"/>
      <c r="S1273" s="35"/>
      <c r="T1273" s="36"/>
      <c r="U1273" s="36"/>
      <c r="V1273" s="36"/>
      <c r="W1273" s="36"/>
      <c r="X1273" s="36"/>
      <c r="Y1273" s="36"/>
    </row>
    <row r="1274">
      <c r="A1274" s="32"/>
      <c r="B1274" s="32"/>
      <c r="C1274" s="32"/>
      <c r="D1274" s="32"/>
      <c r="E1274" s="32"/>
      <c r="F1274" s="32"/>
      <c r="G1274" s="39"/>
      <c r="H1274" s="32"/>
      <c r="I1274" s="32"/>
      <c r="J1274" s="32"/>
      <c r="K1274" s="33"/>
      <c r="L1274" s="32"/>
      <c r="M1274" s="32"/>
      <c r="N1274" s="32"/>
      <c r="O1274" s="32"/>
      <c r="P1274" s="32"/>
      <c r="Q1274" s="34"/>
      <c r="R1274" s="35"/>
      <c r="S1274" s="35"/>
      <c r="T1274" s="36"/>
      <c r="U1274" s="36"/>
      <c r="V1274" s="36"/>
      <c r="W1274" s="36"/>
      <c r="X1274" s="36"/>
      <c r="Y1274" s="36"/>
    </row>
    <row r="1275">
      <c r="A1275" s="32"/>
      <c r="B1275" s="32"/>
      <c r="C1275" s="32"/>
      <c r="D1275" s="32"/>
      <c r="E1275" s="32"/>
      <c r="F1275" s="32"/>
      <c r="G1275" s="39"/>
      <c r="H1275" s="32"/>
      <c r="I1275" s="32"/>
      <c r="J1275" s="32"/>
      <c r="K1275" s="33"/>
      <c r="L1275" s="32"/>
      <c r="M1275" s="32"/>
      <c r="N1275" s="32"/>
      <c r="O1275" s="32"/>
      <c r="P1275" s="32"/>
      <c r="Q1275" s="34"/>
      <c r="R1275" s="35"/>
      <c r="S1275" s="35"/>
      <c r="T1275" s="36"/>
      <c r="U1275" s="36"/>
      <c r="V1275" s="36"/>
      <c r="W1275" s="36"/>
      <c r="X1275" s="36"/>
      <c r="Y1275" s="36"/>
    </row>
    <row r="1276">
      <c r="A1276" s="32"/>
      <c r="B1276" s="32"/>
      <c r="C1276" s="32"/>
      <c r="D1276" s="32"/>
      <c r="E1276" s="32"/>
      <c r="F1276" s="32"/>
      <c r="G1276" s="39"/>
      <c r="H1276" s="32"/>
      <c r="I1276" s="32"/>
      <c r="J1276" s="32"/>
      <c r="K1276" s="33"/>
      <c r="L1276" s="32"/>
      <c r="M1276" s="32"/>
      <c r="N1276" s="32"/>
      <c r="O1276" s="32"/>
      <c r="P1276" s="32"/>
      <c r="Q1276" s="34"/>
      <c r="R1276" s="35"/>
      <c r="S1276" s="35"/>
      <c r="T1276" s="36"/>
      <c r="U1276" s="36"/>
      <c r="V1276" s="36"/>
      <c r="W1276" s="36"/>
      <c r="X1276" s="36"/>
      <c r="Y1276" s="36"/>
    </row>
    <row r="1277">
      <c r="A1277" s="32"/>
      <c r="B1277" s="32"/>
      <c r="C1277" s="32"/>
      <c r="D1277" s="32"/>
      <c r="E1277" s="32"/>
      <c r="F1277" s="32"/>
      <c r="G1277" s="39"/>
      <c r="H1277" s="32"/>
      <c r="I1277" s="32"/>
      <c r="J1277" s="32"/>
      <c r="K1277" s="33"/>
      <c r="L1277" s="32"/>
      <c r="M1277" s="32"/>
      <c r="N1277" s="32"/>
      <c r="O1277" s="32"/>
      <c r="P1277" s="32"/>
      <c r="Q1277" s="34"/>
      <c r="R1277" s="35"/>
      <c r="S1277" s="35"/>
      <c r="T1277" s="36"/>
      <c r="U1277" s="36"/>
      <c r="V1277" s="36"/>
      <c r="W1277" s="36"/>
      <c r="X1277" s="36"/>
      <c r="Y1277" s="36"/>
    </row>
    <row r="1278">
      <c r="A1278" s="32"/>
      <c r="B1278" s="32"/>
      <c r="C1278" s="32"/>
      <c r="D1278" s="32"/>
      <c r="E1278" s="32"/>
      <c r="F1278" s="32"/>
      <c r="G1278" s="39"/>
      <c r="H1278" s="32"/>
      <c r="I1278" s="32"/>
      <c r="J1278" s="32"/>
      <c r="K1278" s="33"/>
      <c r="L1278" s="32"/>
      <c r="M1278" s="32"/>
      <c r="N1278" s="32"/>
      <c r="O1278" s="32"/>
      <c r="P1278" s="32"/>
      <c r="Q1278" s="34"/>
      <c r="R1278" s="35"/>
      <c r="S1278" s="35"/>
      <c r="T1278" s="36"/>
      <c r="U1278" s="36"/>
      <c r="V1278" s="36"/>
      <c r="W1278" s="36"/>
      <c r="X1278" s="36"/>
      <c r="Y1278" s="36"/>
    </row>
    <row r="1279">
      <c r="A1279" s="32"/>
      <c r="B1279" s="32"/>
      <c r="C1279" s="32"/>
      <c r="D1279" s="32"/>
      <c r="E1279" s="32"/>
      <c r="F1279" s="32"/>
      <c r="G1279" s="39"/>
      <c r="H1279" s="32"/>
      <c r="I1279" s="32"/>
      <c r="J1279" s="32"/>
      <c r="K1279" s="33"/>
      <c r="L1279" s="32"/>
      <c r="M1279" s="32"/>
      <c r="N1279" s="32"/>
      <c r="O1279" s="32"/>
      <c r="P1279" s="32"/>
      <c r="Q1279" s="34"/>
      <c r="R1279" s="35"/>
      <c r="S1279" s="35"/>
      <c r="T1279" s="36"/>
      <c r="U1279" s="36"/>
      <c r="V1279" s="36"/>
      <c r="W1279" s="36"/>
      <c r="X1279" s="36"/>
      <c r="Y1279" s="36"/>
    </row>
    <row r="1280">
      <c r="A1280" s="32"/>
      <c r="B1280" s="32"/>
      <c r="C1280" s="32"/>
      <c r="D1280" s="32"/>
      <c r="E1280" s="32"/>
      <c r="F1280" s="32"/>
      <c r="G1280" s="39"/>
      <c r="H1280" s="32"/>
      <c r="I1280" s="32"/>
      <c r="J1280" s="32"/>
      <c r="K1280" s="33"/>
      <c r="L1280" s="32"/>
      <c r="M1280" s="32"/>
      <c r="N1280" s="32"/>
      <c r="O1280" s="32"/>
      <c r="P1280" s="32"/>
      <c r="Q1280" s="34"/>
      <c r="R1280" s="35"/>
      <c r="S1280" s="35"/>
      <c r="T1280" s="36"/>
      <c r="U1280" s="36"/>
      <c r="V1280" s="36"/>
      <c r="W1280" s="36"/>
      <c r="X1280" s="36"/>
      <c r="Y1280" s="36"/>
    </row>
    <row r="1281">
      <c r="A1281" s="32"/>
      <c r="B1281" s="32"/>
      <c r="C1281" s="32"/>
      <c r="D1281" s="32"/>
      <c r="E1281" s="32"/>
      <c r="F1281" s="32"/>
      <c r="G1281" s="39"/>
      <c r="H1281" s="32"/>
      <c r="I1281" s="32"/>
      <c r="J1281" s="32"/>
      <c r="K1281" s="33"/>
      <c r="L1281" s="32"/>
      <c r="M1281" s="32"/>
      <c r="N1281" s="32"/>
      <c r="O1281" s="32"/>
      <c r="P1281" s="32"/>
      <c r="Q1281" s="34"/>
      <c r="R1281" s="35"/>
      <c r="S1281" s="35"/>
      <c r="T1281" s="36"/>
      <c r="U1281" s="36"/>
      <c r="V1281" s="36"/>
      <c r="W1281" s="36"/>
      <c r="X1281" s="36"/>
      <c r="Y1281" s="36"/>
    </row>
    <row r="1282">
      <c r="A1282" s="32"/>
      <c r="B1282" s="32"/>
      <c r="C1282" s="32"/>
      <c r="D1282" s="32"/>
      <c r="E1282" s="32"/>
      <c r="F1282" s="32"/>
      <c r="G1282" s="39"/>
      <c r="H1282" s="32"/>
      <c r="I1282" s="32"/>
      <c r="J1282" s="32"/>
      <c r="K1282" s="33"/>
      <c r="L1282" s="32"/>
      <c r="M1282" s="32"/>
      <c r="N1282" s="32"/>
      <c r="O1282" s="32"/>
      <c r="P1282" s="32"/>
      <c r="Q1282" s="34"/>
      <c r="R1282" s="35"/>
      <c r="S1282" s="35"/>
      <c r="T1282" s="36"/>
      <c r="U1282" s="36"/>
      <c r="V1282" s="36"/>
      <c r="W1282" s="36"/>
      <c r="X1282" s="36"/>
      <c r="Y1282" s="36"/>
    </row>
    <row r="1283">
      <c r="A1283" s="32"/>
      <c r="B1283" s="32"/>
      <c r="C1283" s="32"/>
      <c r="D1283" s="32"/>
      <c r="E1283" s="32"/>
      <c r="F1283" s="32"/>
      <c r="G1283" s="39"/>
      <c r="H1283" s="32"/>
      <c r="I1283" s="32"/>
      <c r="J1283" s="32"/>
      <c r="K1283" s="33"/>
      <c r="L1283" s="32"/>
      <c r="M1283" s="32"/>
      <c r="N1283" s="32"/>
      <c r="O1283" s="32"/>
      <c r="P1283" s="32"/>
      <c r="Q1283" s="34"/>
      <c r="R1283" s="35"/>
      <c r="S1283" s="35"/>
      <c r="T1283" s="36"/>
      <c r="U1283" s="36"/>
      <c r="V1283" s="36"/>
      <c r="W1283" s="36"/>
      <c r="X1283" s="36"/>
      <c r="Y1283" s="36"/>
    </row>
    <row r="1284">
      <c r="A1284" s="32"/>
      <c r="B1284" s="32"/>
      <c r="C1284" s="32"/>
      <c r="D1284" s="32"/>
      <c r="E1284" s="32"/>
      <c r="F1284" s="32"/>
      <c r="G1284" s="39"/>
      <c r="H1284" s="32"/>
      <c r="I1284" s="32"/>
      <c r="J1284" s="32"/>
      <c r="K1284" s="33"/>
      <c r="L1284" s="32"/>
      <c r="M1284" s="32"/>
      <c r="N1284" s="32"/>
      <c r="O1284" s="32"/>
      <c r="P1284" s="32"/>
      <c r="Q1284" s="34"/>
      <c r="R1284" s="35"/>
      <c r="S1284" s="35"/>
      <c r="T1284" s="36"/>
      <c r="U1284" s="36"/>
      <c r="V1284" s="36"/>
      <c r="W1284" s="36"/>
      <c r="X1284" s="36"/>
      <c r="Y1284" s="36"/>
    </row>
    <row r="1285">
      <c r="A1285" s="32"/>
      <c r="B1285" s="32"/>
      <c r="C1285" s="32"/>
      <c r="D1285" s="32"/>
      <c r="E1285" s="32"/>
      <c r="F1285" s="32"/>
      <c r="G1285" s="39"/>
      <c r="H1285" s="32"/>
      <c r="I1285" s="32"/>
      <c r="J1285" s="32"/>
      <c r="K1285" s="33"/>
      <c r="L1285" s="32"/>
      <c r="M1285" s="32"/>
      <c r="N1285" s="32"/>
      <c r="O1285" s="32"/>
      <c r="P1285" s="32"/>
      <c r="Q1285" s="34"/>
      <c r="R1285" s="35"/>
      <c r="S1285" s="35"/>
      <c r="T1285" s="36"/>
      <c r="U1285" s="36"/>
      <c r="V1285" s="36"/>
      <c r="W1285" s="36"/>
      <c r="X1285" s="36"/>
      <c r="Y1285" s="36"/>
    </row>
    <row r="1286">
      <c r="A1286" s="32"/>
      <c r="B1286" s="32"/>
      <c r="C1286" s="32"/>
      <c r="D1286" s="32"/>
      <c r="E1286" s="32"/>
      <c r="F1286" s="32"/>
      <c r="G1286" s="39"/>
      <c r="H1286" s="32"/>
      <c r="I1286" s="32"/>
      <c r="J1286" s="32"/>
      <c r="K1286" s="33"/>
      <c r="L1286" s="32"/>
      <c r="M1286" s="32"/>
      <c r="N1286" s="32"/>
      <c r="O1286" s="32"/>
      <c r="P1286" s="32"/>
      <c r="Q1286" s="34"/>
      <c r="R1286" s="35"/>
      <c r="S1286" s="35"/>
      <c r="T1286" s="36"/>
      <c r="U1286" s="36"/>
      <c r="V1286" s="36"/>
      <c r="W1286" s="36"/>
      <c r="X1286" s="36"/>
      <c r="Y1286" s="36"/>
    </row>
    <row r="1287">
      <c r="A1287" s="32"/>
      <c r="B1287" s="32"/>
      <c r="C1287" s="32"/>
      <c r="D1287" s="32"/>
      <c r="E1287" s="32"/>
      <c r="F1287" s="32"/>
      <c r="G1287" s="39"/>
      <c r="H1287" s="32"/>
      <c r="I1287" s="32"/>
      <c r="J1287" s="32"/>
      <c r="K1287" s="33"/>
      <c r="L1287" s="32"/>
      <c r="M1287" s="32"/>
      <c r="N1287" s="32"/>
      <c r="O1287" s="32"/>
      <c r="P1287" s="32"/>
      <c r="Q1287" s="34"/>
      <c r="R1287" s="35"/>
      <c r="S1287" s="35"/>
      <c r="T1287" s="36"/>
      <c r="U1287" s="36"/>
      <c r="V1287" s="36"/>
      <c r="W1287" s="36"/>
      <c r="X1287" s="36"/>
      <c r="Y1287" s="36"/>
    </row>
    <row r="1288">
      <c r="A1288" s="32"/>
      <c r="B1288" s="32"/>
      <c r="C1288" s="32"/>
      <c r="D1288" s="32"/>
      <c r="E1288" s="32"/>
      <c r="F1288" s="32"/>
      <c r="G1288" s="39"/>
      <c r="H1288" s="32"/>
      <c r="I1288" s="32"/>
      <c r="J1288" s="32"/>
      <c r="K1288" s="33"/>
      <c r="L1288" s="32"/>
      <c r="M1288" s="32"/>
      <c r="N1288" s="32"/>
      <c r="O1288" s="32"/>
      <c r="P1288" s="32"/>
      <c r="Q1288" s="34"/>
      <c r="R1288" s="35"/>
      <c r="S1288" s="35"/>
      <c r="T1288" s="36"/>
      <c r="U1288" s="36"/>
      <c r="V1288" s="36"/>
      <c r="W1288" s="36"/>
      <c r="X1288" s="36"/>
      <c r="Y1288" s="36"/>
    </row>
    <row r="1289">
      <c r="A1289" s="32"/>
      <c r="B1289" s="32"/>
      <c r="C1289" s="32"/>
      <c r="D1289" s="32"/>
      <c r="E1289" s="32"/>
      <c r="F1289" s="32"/>
      <c r="G1289" s="39"/>
      <c r="H1289" s="32"/>
      <c r="I1289" s="32"/>
      <c r="J1289" s="32"/>
      <c r="K1289" s="33"/>
      <c r="L1289" s="32"/>
      <c r="M1289" s="32"/>
      <c r="N1289" s="32"/>
      <c r="O1289" s="32"/>
      <c r="P1289" s="32"/>
      <c r="Q1289" s="34"/>
      <c r="R1289" s="35"/>
      <c r="S1289" s="35"/>
      <c r="T1289" s="36"/>
      <c r="U1289" s="36"/>
      <c r="V1289" s="36"/>
      <c r="W1289" s="36"/>
      <c r="X1289" s="36"/>
      <c r="Y1289" s="36"/>
    </row>
    <row r="1290">
      <c r="A1290" s="32"/>
      <c r="B1290" s="32"/>
      <c r="C1290" s="32"/>
      <c r="D1290" s="32"/>
      <c r="E1290" s="32"/>
      <c r="F1290" s="32"/>
      <c r="G1290" s="39"/>
      <c r="H1290" s="32"/>
      <c r="I1290" s="32"/>
      <c r="J1290" s="32"/>
      <c r="K1290" s="33"/>
      <c r="L1290" s="32"/>
      <c r="M1290" s="32"/>
      <c r="N1290" s="32"/>
      <c r="O1290" s="32"/>
      <c r="P1290" s="32"/>
      <c r="Q1290" s="34"/>
      <c r="R1290" s="35"/>
      <c r="S1290" s="35"/>
      <c r="T1290" s="36"/>
      <c r="U1290" s="36"/>
      <c r="V1290" s="36"/>
      <c r="W1290" s="36"/>
      <c r="X1290" s="36"/>
      <c r="Y1290" s="36"/>
    </row>
    <row r="1291">
      <c r="A1291" s="32"/>
      <c r="B1291" s="32"/>
      <c r="C1291" s="32"/>
      <c r="D1291" s="32"/>
      <c r="E1291" s="32"/>
      <c r="F1291" s="32"/>
      <c r="G1291" s="39"/>
      <c r="H1291" s="32"/>
      <c r="I1291" s="32"/>
      <c r="J1291" s="32"/>
      <c r="K1291" s="33"/>
      <c r="L1291" s="32"/>
      <c r="M1291" s="32"/>
      <c r="N1291" s="32"/>
      <c r="O1291" s="32"/>
      <c r="P1291" s="32"/>
      <c r="Q1291" s="34"/>
      <c r="R1291" s="35"/>
      <c r="S1291" s="35"/>
      <c r="T1291" s="36"/>
      <c r="U1291" s="36"/>
      <c r="V1291" s="36"/>
      <c r="W1291" s="36"/>
      <c r="X1291" s="36"/>
      <c r="Y1291" s="36"/>
    </row>
    <row r="1292">
      <c r="A1292" s="32"/>
      <c r="B1292" s="32"/>
      <c r="C1292" s="32"/>
      <c r="D1292" s="32"/>
      <c r="E1292" s="32"/>
      <c r="F1292" s="32"/>
      <c r="G1292" s="39"/>
      <c r="H1292" s="32"/>
      <c r="I1292" s="32"/>
      <c r="J1292" s="32"/>
      <c r="K1292" s="33"/>
      <c r="L1292" s="32"/>
      <c r="M1292" s="32"/>
      <c r="N1292" s="32"/>
      <c r="O1292" s="32"/>
      <c r="P1292" s="32"/>
      <c r="Q1292" s="34"/>
      <c r="R1292" s="35"/>
      <c r="S1292" s="35"/>
      <c r="T1292" s="36"/>
      <c r="U1292" s="36"/>
      <c r="V1292" s="36"/>
      <c r="W1292" s="36"/>
      <c r="X1292" s="36"/>
      <c r="Y1292" s="36"/>
    </row>
    <row r="1293">
      <c r="A1293" s="32"/>
      <c r="B1293" s="32"/>
      <c r="C1293" s="32"/>
      <c r="D1293" s="32"/>
      <c r="E1293" s="32"/>
      <c r="F1293" s="32"/>
      <c r="G1293" s="39"/>
      <c r="H1293" s="32"/>
      <c r="I1293" s="32"/>
      <c r="J1293" s="32"/>
      <c r="K1293" s="33"/>
      <c r="L1293" s="32"/>
      <c r="M1293" s="32"/>
      <c r="N1293" s="32"/>
      <c r="O1293" s="32"/>
      <c r="P1293" s="32"/>
      <c r="Q1293" s="34"/>
      <c r="R1293" s="35"/>
      <c r="S1293" s="35"/>
      <c r="T1293" s="36"/>
      <c r="U1293" s="36"/>
      <c r="V1293" s="36"/>
      <c r="W1293" s="36"/>
      <c r="X1293" s="36"/>
      <c r="Y1293" s="36"/>
    </row>
    <row r="1294">
      <c r="A1294" s="32"/>
      <c r="B1294" s="32"/>
      <c r="C1294" s="32"/>
      <c r="D1294" s="32"/>
      <c r="E1294" s="32"/>
      <c r="F1294" s="32"/>
      <c r="G1294" s="39"/>
      <c r="H1294" s="32"/>
      <c r="I1294" s="32"/>
      <c r="J1294" s="32"/>
      <c r="K1294" s="33"/>
      <c r="L1294" s="32"/>
      <c r="M1294" s="32"/>
      <c r="N1294" s="32"/>
      <c r="O1294" s="32"/>
      <c r="P1294" s="32"/>
      <c r="Q1294" s="34"/>
      <c r="R1294" s="35"/>
      <c r="S1294" s="35"/>
      <c r="T1294" s="36"/>
      <c r="U1294" s="36"/>
      <c r="V1294" s="36"/>
      <c r="W1294" s="36"/>
      <c r="X1294" s="36"/>
      <c r="Y1294" s="36"/>
    </row>
    <row r="1295">
      <c r="A1295" s="32"/>
      <c r="B1295" s="32"/>
      <c r="C1295" s="32"/>
      <c r="D1295" s="32"/>
      <c r="E1295" s="32"/>
      <c r="F1295" s="32"/>
      <c r="G1295" s="39"/>
      <c r="H1295" s="32"/>
      <c r="I1295" s="32"/>
      <c r="J1295" s="32"/>
      <c r="K1295" s="33"/>
      <c r="L1295" s="32"/>
      <c r="M1295" s="32"/>
      <c r="N1295" s="32"/>
      <c r="O1295" s="32"/>
      <c r="P1295" s="32"/>
      <c r="Q1295" s="34"/>
      <c r="R1295" s="35"/>
      <c r="S1295" s="35"/>
      <c r="T1295" s="36"/>
      <c r="U1295" s="36"/>
      <c r="V1295" s="36"/>
      <c r="W1295" s="36"/>
      <c r="X1295" s="36"/>
      <c r="Y1295" s="36"/>
    </row>
    <row r="1296">
      <c r="A1296" s="32"/>
      <c r="B1296" s="32"/>
      <c r="C1296" s="32"/>
      <c r="D1296" s="32"/>
      <c r="E1296" s="32"/>
      <c r="F1296" s="32"/>
      <c r="G1296" s="39"/>
      <c r="H1296" s="32"/>
      <c r="I1296" s="32"/>
      <c r="J1296" s="32"/>
      <c r="K1296" s="33"/>
      <c r="L1296" s="32"/>
      <c r="M1296" s="32"/>
      <c r="N1296" s="32"/>
      <c r="O1296" s="32"/>
      <c r="P1296" s="32"/>
      <c r="Q1296" s="34"/>
      <c r="R1296" s="35"/>
      <c r="S1296" s="35"/>
      <c r="T1296" s="36"/>
      <c r="U1296" s="36"/>
      <c r="V1296" s="36"/>
      <c r="W1296" s="36"/>
      <c r="X1296" s="36"/>
      <c r="Y1296" s="36"/>
    </row>
    <row r="1297">
      <c r="A1297" s="32"/>
      <c r="B1297" s="32"/>
      <c r="C1297" s="32"/>
      <c r="D1297" s="32"/>
      <c r="E1297" s="32"/>
      <c r="F1297" s="32"/>
      <c r="G1297" s="39"/>
      <c r="H1297" s="32"/>
      <c r="I1297" s="32"/>
      <c r="J1297" s="32"/>
      <c r="K1297" s="33"/>
      <c r="L1297" s="32"/>
      <c r="M1297" s="32"/>
      <c r="N1297" s="32"/>
      <c r="O1297" s="32"/>
      <c r="P1297" s="32"/>
      <c r="Q1297" s="34"/>
      <c r="R1297" s="35"/>
      <c r="S1297" s="35"/>
      <c r="T1297" s="36"/>
      <c r="U1297" s="36"/>
      <c r="V1297" s="36"/>
      <c r="W1297" s="36"/>
      <c r="X1297" s="36"/>
      <c r="Y1297" s="36"/>
    </row>
    <row r="1298">
      <c r="A1298" s="32"/>
      <c r="B1298" s="32"/>
      <c r="C1298" s="32"/>
      <c r="D1298" s="32"/>
      <c r="E1298" s="32"/>
      <c r="F1298" s="32"/>
      <c r="G1298" s="39"/>
      <c r="H1298" s="32"/>
      <c r="I1298" s="32"/>
      <c r="J1298" s="32"/>
      <c r="K1298" s="33"/>
      <c r="L1298" s="32"/>
      <c r="M1298" s="32"/>
      <c r="N1298" s="32"/>
      <c r="O1298" s="32"/>
      <c r="P1298" s="32"/>
      <c r="Q1298" s="34"/>
      <c r="R1298" s="35"/>
      <c r="S1298" s="35"/>
      <c r="T1298" s="36"/>
      <c r="U1298" s="36"/>
      <c r="V1298" s="36"/>
      <c r="W1298" s="36"/>
      <c r="X1298" s="36"/>
      <c r="Y1298" s="36"/>
    </row>
    <row r="1299">
      <c r="A1299" s="32"/>
      <c r="B1299" s="32"/>
      <c r="C1299" s="32"/>
      <c r="D1299" s="32"/>
      <c r="E1299" s="32"/>
      <c r="F1299" s="32"/>
      <c r="G1299" s="39"/>
      <c r="H1299" s="32"/>
      <c r="I1299" s="32"/>
      <c r="J1299" s="32"/>
      <c r="K1299" s="33"/>
      <c r="L1299" s="32"/>
      <c r="M1299" s="32"/>
      <c r="N1299" s="32"/>
      <c r="O1299" s="32"/>
      <c r="P1299" s="32"/>
      <c r="Q1299" s="34"/>
      <c r="R1299" s="35"/>
      <c r="S1299" s="35"/>
      <c r="T1299" s="36"/>
      <c r="U1299" s="36"/>
      <c r="V1299" s="36"/>
      <c r="W1299" s="36"/>
      <c r="X1299" s="36"/>
      <c r="Y1299" s="36"/>
    </row>
    <row r="1300">
      <c r="A1300" s="32"/>
      <c r="B1300" s="32"/>
      <c r="C1300" s="32"/>
      <c r="D1300" s="32"/>
      <c r="E1300" s="32"/>
      <c r="F1300" s="32"/>
      <c r="G1300" s="39"/>
      <c r="H1300" s="32"/>
      <c r="I1300" s="32"/>
      <c r="J1300" s="32"/>
      <c r="K1300" s="33"/>
      <c r="L1300" s="32"/>
      <c r="M1300" s="32"/>
      <c r="N1300" s="32"/>
      <c r="O1300" s="32"/>
      <c r="P1300" s="32"/>
      <c r="Q1300" s="34"/>
      <c r="R1300" s="35"/>
      <c r="S1300" s="35"/>
      <c r="T1300" s="36"/>
      <c r="U1300" s="36"/>
      <c r="V1300" s="36"/>
      <c r="W1300" s="36"/>
      <c r="X1300" s="36"/>
      <c r="Y1300" s="36"/>
    </row>
    <row r="1301">
      <c r="A1301" s="32"/>
      <c r="B1301" s="32"/>
      <c r="C1301" s="32"/>
      <c r="D1301" s="32"/>
      <c r="E1301" s="32"/>
      <c r="F1301" s="32"/>
      <c r="G1301" s="39"/>
      <c r="H1301" s="32"/>
      <c r="I1301" s="32"/>
      <c r="J1301" s="32"/>
      <c r="K1301" s="33"/>
      <c r="L1301" s="32"/>
      <c r="M1301" s="32"/>
      <c r="N1301" s="32"/>
      <c r="O1301" s="32"/>
      <c r="P1301" s="32"/>
      <c r="Q1301" s="34"/>
      <c r="R1301" s="35"/>
      <c r="S1301" s="35"/>
      <c r="T1301" s="36"/>
      <c r="U1301" s="36"/>
      <c r="V1301" s="36"/>
      <c r="W1301" s="36"/>
      <c r="X1301" s="36"/>
      <c r="Y1301" s="36"/>
    </row>
    <row r="1302">
      <c r="A1302" s="32"/>
      <c r="B1302" s="32"/>
      <c r="C1302" s="32"/>
      <c r="D1302" s="32"/>
      <c r="E1302" s="32"/>
      <c r="F1302" s="32"/>
      <c r="G1302" s="39"/>
      <c r="H1302" s="32"/>
      <c r="I1302" s="32"/>
      <c r="J1302" s="32"/>
      <c r="K1302" s="33"/>
      <c r="L1302" s="32"/>
      <c r="M1302" s="32"/>
      <c r="N1302" s="32"/>
      <c r="O1302" s="32"/>
      <c r="P1302" s="32"/>
      <c r="Q1302" s="34"/>
      <c r="R1302" s="35"/>
      <c r="S1302" s="35"/>
      <c r="T1302" s="36"/>
      <c r="U1302" s="36"/>
      <c r="V1302" s="36"/>
      <c r="W1302" s="36"/>
      <c r="X1302" s="36"/>
      <c r="Y1302" s="36"/>
    </row>
    <row r="1303">
      <c r="A1303" s="32"/>
      <c r="B1303" s="32"/>
      <c r="C1303" s="32"/>
      <c r="D1303" s="32"/>
      <c r="E1303" s="32"/>
      <c r="F1303" s="32"/>
      <c r="G1303" s="39"/>
      <c r="H1303" s="32"/>
      <c r="I1303" s="32"/>
      <c r="J1303" s="32"/>
      <c r="K1303" s="33"/>
      <c r="L1303" s="32"/>
      <c r="M1303" s="32"/>
      <c r="N1303" s="32"/>
      <c r="O1303" s="32"/>
      <c r="P1303" s="32"/>
      <c r="Q1303" s="34"/>
      <c r="R1303" s="35"/>
      <c r="S1303" s="35"/>
      <c r="T1303" s="36"/>
      <c r="U1303" s="36"/>
      <c r="V1303" s="36"/>
      <c r="W1303" s="36"/>
      <c r="X1303" s="36"/>
      <c r="Y1303" s="36"/>
    </row>
    <row r="1304">
      <c r="A1304" s="32"/>
      <c r="B1304" s="32"/>
      <c r="C1304" s="32"/>
      <c r="D1304" s="32"/>
      <c r="E1304" s="32"/>
      <c r="F1304" s="32"/>
      <c r="G1304" s="39"/>
      <c r="H1304" s="32"/>
      <c r="I1304" s="32"/>
      <c r="J1304" s="32"/>
      <c r="K1304" s="33"/>
      <c r="L1304" s="32"/>
      <c r="M1304" s="32"/>
      <c r="N1304" s="32"/>
      <c r="O1304" s="32"/>
      <c r="P1304" s="32"/>
      <c r="Q1304" s="34"/>
      <c r="R1304" s="35"/>
      <c r="S1304" s="35"/>
      <c r="T1304" s="36"/>
      <c r="U1304" s="36"/>
      <c r="V1304" s="36"/>
      <c r="W1304" s="36"/>
      <c r="X1304" s="36"/>
      <c r="Y1304" s="36"/>
    </row>
    <row r="1305">
      <c r="A1305" s="32"/>
      <c r="B1305" s="32"/>
      <c r="C1305" s="32"/>
      <c r="D1305" s="32"/>
      <c r="E1305" s="32"/>
      <c r="F1305" s="32"/>
      <c r="G1305" s="39"/>
      <c r="H1305" s="32"/>
      <c r="I1305" s="32"/>
      <c r="J1305" s="32"/>
      <c r="K1305" s="33"/>
      <c r="L1305" s="32"/>
      <c r="M1305" s="32"/>
      <c r="N1305" s="32"/>
      <c r="O1305" s="32"/>
      <c r="P1305" s="32"/>
      <c r="Q1305" s="34"/>
      <c r="R1305" s="35"/>
      <c r="S1305" s="35"/>
      <c r="T1305" s="36"/>
      <c r="U1305" s="36"/>
      <c r="V1305" s="36"/>
      <c r="W1305" s="36"/>
      <c r="X1305" s="36"/>
      <c r="Y1305" s="36"/>
    </row>
    <row r="1306">
      <c r="A1306" s="32"/>
      <c r="B1306" s="32"/>
      <c r="C1306" s="32"/>
      <c r="D1306" s="32"/>
      <c r="E1306" s="32"/>
      <c r="F1306" s="32"/>
      <c r="G1306" s="39"/>
      <c r="H1306" s="32"/>
      <c r="I1306" s="32"/>
      <c r="J1306" s="32"/>
      <c r="K1306" s="33"/>
      <c r="L1306" s="32"/>
      <c r="M1306" s="32"/>
      <c r="N1306" s="32"/>
      <c r="O1306" s="32"/>
      <c r="P1306" s="32"/>
      <c r="Q1306" s="34"/>
      <c r="R1306" s="35"/>
      <c r="S1306" s="35"/>
      <c r="T1306" s="36"/>
      <c r="U1306" s="36"/>
      <c r="V1306" s="36"/>
      <c r="W1306" s="36"/>
      <c r="X1306" s="36"/>
      <c r="Y1306" s="36"/>
    </row>
    <row r="1307">
      <c r="A1307" s="32"/>
      <c r="B1307" s="32"/>
      <c r="C1307" s="32"/>
      <c r="D1307" s="32"/>
      <c r="E1307" s="32"/>
      <c r="F1307" s="32"/>
      <c r="G1307" s="39"/>
      <c r="H1307" s="32"/>
      <c r="I1307" s="32"/>
      <c r="J1307" s="32"/>
      <c r="K1307" s="33"/>
      <c r="L1307" s="32"/>
      <c r="M1307" s="32"/>
      <c r="N1307" s="32"/>
      <c r="O1307" s="32"/>
      <c r="P1307" s="32"/>
      <c r="Q1307" s="34"/>
      <c r="R1307" s="35"/>
      <c r="S1307" s="35"/>
      <c r="T1307" s="36"/>
      <c r="U1307" s="36"/>
      <c r="V1307" s="36"/>
      <c r="W1307" s="36"/>
      <c r="X1307" s="36"/>
      <c r="Y1307" s="36"/>
    </row>
    <row r="1308">
      <c r="A1308" s="32"/>
      <c r="B1308" s="32"/>
      <c r="C1308" s="32"/>
      <c r="D1308" s="32"/>
      <c r="E1308" s="32"/>
      <c r="F1308" s="32"/>
      <c r="G1308" s="39"/>
      <c r="H1308" s="32"/>
      <c r="I1308" s="32"/>
      <c r="J1308" s="32"/>
      <c r="K1308" s="33"/>
      <c r="L1308" s="32"/>
      <c r="M1308" s="32"/>
      <c r="N1308" s="32"/>
      <c r="O1308" s="32"/>
      <c r="P1308" s="32"/>
      <c r="Q1308" s="34"/>
      <c r="R1308" s="35"/>
      <c r="S1308" s="35"/>
      <c r="T1308" s="36"/>
      <c r="U1308" s="36"/>
      <c r="V1308" s="36"/>
      <c r="W1308" s="36"/>
      <c r="X1308" s="36"/>
      <c r="Y1308" s="36"/>
    </row>
    <row r="1309">
      <c r="A1309" s="32"/>
      <c r="B1309" s="32"/>
      <c r="C1309" s="32"/>
      <c r="D1309" s="32"/>
      <c r="E1309" s="32"/>
      <c r="F1309" s="32"/>
      <c r="G1309" s="39"/>
      <c r="H1309" s="32"/>
      <c r="I1309" s="32"/>
      <c r="J1309" s="32"/>
      <c r="K1309" s="33"/>
      <c r="L1309" s="32"/>
      <c r="M1309" s="32"/>
      <c r="N1309" s="32"/>
      <c r="O1309" s="32"/>
      <c r="P1309" s="32"/>
      <c r="Q1309" s="34"/>
      <c r="R1309" s="35"/>
      <c r="S1309" s="35"/>
      <c r="T1309" s="36"/>
      <c r="U1309" s="36"/>
      <c r="V1309" s="36"/>
      <c r="W1309" s="36"/>
      <c r="X1309" s="36"/>
      <c r="Y1309" s="36"/>
    </row>
    <row r="1310">
      <c r="A1310" s="32"/>
      <c r="B1310" s="32"/>
      <c r="C1310" s="32"/>
      <c r="D1310" s="32"/>
      <c r="E1310" s="32"/>
      <c r="F1310" s="32"/>
      <c r="G1310" s="39"/>
      <c r="H1310" s="32"/>
      <c r="I1310" s="32"/>
      <c r="J1310" s="32"/>
      <c r="K1310" s="33"/>
      <c r="L1310" s="32"/>
      <c r="M1310" s="32"/>
      <c r="N1310" s="32"/>
      <c r="O1310" s="32"/>
      <c r="P1310" s="32"/>
      <c r="Q1310" s="34"/>
      <c r="R1310" s="35"/>
      <c r="S1310" s="35"/>
      <c r="T1310" s="36"/>
      <c r="U1310" s="36"/>
      <c r="V1310" s="36"/>
      <c r="W1310" s="36"/>
      <c r="X1310" s="36"/>
      <c r="Y1310" s="36"/>
    </row>
    <row r="1311">
      <c r="A1311" s="32"/>
      <c r="B1311" s="32"/>
      <c r="C1311" s="32"/>
      <c r="D1311" s="32"/>
      <c r="E1311" s="32"/>
      <c r="F1311" s="32"/>
      <c r="G1311" s="39"/>
      <c r="H1311" s="32"/>
      <c r="I1311" s="32"/>
      <c r="J1311" s="32"/>
      <c r="K1311" s="33"/>
      <c r="L1311" s="32"/>
      <c r="M1311" s="32"/>
      <c r="N1311" s="32"/>
      <c r="O1311" s="32"/>
      <c r="P1311" s="32"/>
      <c r="Q1311" s="34"/>
      <c r="R1311" s="35"/>
      <c r="S1311" s="35"/>
      <c r="T1311" s="36"/>
      <c r="U1311" s="36"/>
      <c r="V1311" s="36"/>
      <c r="W1311" s="36"/>
      <c r="X1311" s="36"/>
      <c r="Y1311" s="36"/>
    </row>
    <row r="1312">
      <c r="A1312" s="32"/>
      <c r="B1312" s="32"/>
      <c r="C1312" s="32"/>
      <c r="D1312" s="32"/>
      <c r="E1312" s="32"/>
      <c r="F1312" s="32"/>
      <c r="G1312" s="39"/>
      <c r="H1312" s="32"/>
      <c r="I1312" s="32"/>
      <c r="J1312" s="32"/>
      <c r="K1312" s="33"/>
      <c r="L1312" s="32"/>
      <c r="M1312" s="32"/>
      <c r="N1312" s="32"/>
      <c r="O1312" s="32"/>
      <c r="P1312" s="32"/>
      <c r="Q1312" s="34"/>
      <c r="R1312" s="35"/>
      <c r="S1312" s="35"/>
      <c r="T1312" s="36"/>
      <c r="U1312" s="36"/>
      <c r="V1312" s="36"/>
      <c r="W1312" s="36"/>
      <c r="X1312" s="36"/>
      <c r="Y1312" s="36"/>
    </row>
    <row r="1313">
      <c r="A1313" s="32"/>
      <c r="B1313" s="32"/>
      <c r="C1313" s="32"/>
      <c r="D1313" s="32"/>
      <c r="E1313" s="32"/>
      <c r="F1313" s="32"/>
      <c r="G1313" s="39"/>
      <c r="H1313" s="32"/>
      <c r="I1313" s="32"/>
      <c r="J1313" s="32"/>
      <c r="K1313" s="33"/>
      <c r="L1313" s="32"/>
      <c r="M1313" s="32"/>
      <c r="N1313" s="32"/>
      <c r="O1313" s="32"/>
      <c r="P1313" s="32"/>
      <c r="Q1313" s="34"/>
      <c r="R1313" s="35"/>
      <c r="S1313" s="35"/>
      <c r="T1313" s="36"/>
      <c r="U1313" s="36"/>
      <c r="V1313" s="36"/>
      <c r="W1313" s="36"/>
      <c r="X1313" s="36"/>
      <c r="Y1313" s="36"/>
    </row>
    <row r="1314">
      <c r="A1314" s="32"/>
      <c r="B1314" s="32"/>
      <c r="C1314" s="32"/>
      <c r="D1314" s="32"/>
      <c r="E1314" s="32"/>
      <c r="F1314" s="32"/>
      <c r="G1314" s="39"/>
      <c r="H1314" s="32"/>
      <c r="I1314" s="32"/>
      <c r="J1314" s="32"/>
      <c r="K1314" s="33"/>
      <c r="L1314" s="32"/>
      <c r="M1314" s="32"/>
      <c r="N1314" s="32"/>
      <c r="O1314" s="32"/>
      <c r="P1314" s="32"/>
      <c r="Q1314" s="34"/>
      <c r="R1314" s="35"/>
      <c r="S1314" s="35"/>
      <c r="T1314" s="36"/>
      <c r="U1314" s="36"/>
      <c r="V1314" s="36"/>
      <c r="W1314" s="36"/>
      <c r="X1314" s="36"/>
      <c r="Y1314" s="36"/>
    </row>
    <row r="1315">
      <c r="A1315" s="32"/>
      <c r="B1315" s="32"/>
      <c r="C1315" s="32"/>
      <c r="D1315" s="32"/>
      <c r="E1315" s="32"/>
      <c r="F1315" s="32"/>
      <c r="G1315" s="39"/>
      <c r="H1315" s="32"/>
      <c r="I1315" s="32"/>
      <c r="J1315" s="32"/>
      <c r="K1315" s="33"/>
      <c r="L1315" s="32"/>
      <c r="M1315" s="32"/>
      <c r="N1315" s="32"/>
      <c r="O1315" s="32"/>
      <c r="P1315" s="32"/>
      <c r="Q1315" s="34"/>
      <c r="R1315" s="35"/>
      <c r="S1315" s="35"/>
      <c r="T1315" s="36"/>
      <c r="U1315" s="36"/>
      <c r="V1315" s="36"/>
      <c r="W1315" s="36"/>
      <c r="X1315" s="36"/>
      <c r="Y1315" s="36"/>
    </row>
    <row r="1316">
      <c r="A1316" s="32"/>
      <c r="B1316" s="32"/>
      <c r="C1316" s="32"/>
      <c r="D1316" s="32"/>
      <c r="E1316" s="32"/>
      <c r="F1316" s="32"/>
      <c r="G1316" s="39"/>
      <c r="H1316" s="32"/>
      <c r="I1316" s="32"/>
      <c r="J1316" s="32"/>
      <c r="K1316" s="33"/>
      <c r="L1316" s="32"/>
      <c r="M1316" s="32"/>
      <c r="N1316" s="32"/>
      <c r="O1316" s="32"/>
      <c r="P1316" s="32"/>
      <c r="Q1316" s="34"/>
      <c r="R1316" s="35"/>
      <c r="S1316" s="35"/>
      <c r="T1316" s="36"/>
      <c r="U1316" s="36"/>
      <c r="V1316" s="36"/>
      <c r="W1316" s="36"/>
      <c r="X1316" s="36"/>
      <c r="Y1316" s="36"/>
    </row>
    <row r="1317">
      <c r="A1317" s="32"/>
      <c r="B1317" s="32"/>
      <c r="C1317" s="32"/>
      <c r="D1317" s="32"/>
      <c r="E1317" s="32"/>
      <c r="F1317" s="32"/>
      <c r="G1317" s="39"/>
      <c r="H1317" s="32"/>
      <c r="I1317" s="32"/>
      <c r="J1317" s="32"/>
      <c r="K1317" s="33"/>
      <c r="L1317" s="32"/>
      <c r="M1317" s="32"/>
      <c r="N1317" s="32"/>
      <c r="O1317" s="32"/>
      <c r="P1317" s="32"/>
      <c r="Q1317" s="34"/>
      <c r="R1317" s="35"/>
      <c r="S1317" s="35"/>
      <c r="T1317" s="36"/>
      <c r="U1317" s="36"/>
      <c r="V1317" s="36"/>
      <c r="W1317" s="36"/>
      <c r="X1317" s="36"/>
      <c r="Y1317" s="36"/>
    </row>
    <row r="1318">
      <c r="A1318" s="32"/>
      <c r="B1318" s="32"/>
      <c r="C1318" s="32"/>
      <c r="D1318" s="32"/>
      <c r="E1318" s="32"/>
      <c r="F1318" s="32"/>
      <c r="G1318" s="39"/>
      <c r="H1318" s="32"/>
      <c r="I1318" s="32"/>
      <c r="J1318" s="32"/>
      <c r="K1318" s="33"/>
      <c r="L1318" s="32"/>
      <c r="M1318" s="32"/>
      <c r="N1318" s="32"/>
      <c r="O1318" s="32"/>
      <c r="P1318" s="32"/>
      <c r="Q1318" s="34"/>
      <c r="R1318" s="35"/>
      <c r="S1318" s="35"/>
      <c r="T1318" s="36"/>
      <c r="U1318" s="36"/>
      <c r="V1318" s="36"/>
      <c r="W1318" s="36"/>
      <c r="X1318" s="36"/>
      <c r="Y1318" s="36"/>
    </row>
    <row r="1319">
      <c r="A1319" s="32"/>
      <c r="B1319" s="32"/>
      <c r="C1319" s="32"/>
      <c r="D1319" s="32"/>
      <c r="E1319" s="32"/>
      <c r="F1319" s="32"/>
      <c r="G1319" s="39"/>
      <c r="H1319" s="32"/>
      <c r="I1319" s="32"/>
      <c r="J1319" s="32"/>
      <c r="K1319" s="33"/>
      <c r="L1319" s="32"/>
      <c r="M1319" s="32"/>
      <c r="N1319" s="32"/>
      <c r="O1319" s="32"/>
      <c r="P1319" s="32"/>
      <c r="Q1319" s="34"/>
      <c r="R1319" s="35"/>
      <c r="S1319" s="35"/>
      <c r="T1319" s="36"/>
      <c r="U1319" s="36"/>
      <c r="V1319" s="36"/>
      <c r="W1319" s="36"/>
      <c r="X1319" s="36"/>
      <c r="Y1319" s="36"/>
    </row>
    <row r="1320">
      <c r="A1320" s="32"/>
      <c r="B1320" s="32"/>
      <c r="C1320" s="32"/>
      <c r="D1320" s="32"/>
      <c r="E1320" s="32"/>
      <c r="F1320" s="32"/>
      <c r="G1320" s="39"/>
      <c r="H1320" s="32"/>
      <c r="I1320" s="32"/>
      <c r="J1320" s="32"/>
      <c r="K1320" s="33"/>
      <c r="L1320" s="32"/>
      <c r="M1320" s="32"/>
      <c r="N1320" s="32"/>
      <c r="O1320" s="32"/>
      <c r="P1320" s="32"/>
      <c r="Q1320" s="34"/>
      <c r="R1320" s="35"/>
      <c r="S1320" s="35"/>
      <c r="T1320" s="36"/>
      <c r="U1320" s="36"/>
      <c r="V1320" s="36"/>
      <c r="W1320" s="36"/>
      <c r="X1320" s="36"/>
      <c r="Y1320" s="36"/>
    </row>
    <row r="1321">
      <c r="A1321" s="32"/>
      <c r="B1321" s="32"/>
      <c r="C1321" s="32"/>
      <c r="D1321" s="32"/>
      <c r="E1321" s="32"/>
      <c r="F1321" s="32"/>
      <c r="G1321" s="39"/>
      <c r="H1321" s="32"/>
      <c r="I1321" s="32"/>
      <c r="J1321" s="32"/>
      <c r="K1321" s="33"/>
      <c r="L1321" s="32"/>
      <c r="M1321" s="32"/>
      <c r="N1321" s="32"/>
      <c r="O1321" s="32"/>
      <c r="P1321" s="32"/>
      <c r="Q1321" s="34"/>
      <c r="R1321" s="35"/>
      <c r="S1321" s="35"/>
      <c r="T1321" s="36"/>
      <c r="U1321" s="36"/>
      <c r="V1321" s="36"/>
      <c r="W1321" s="36"/>
      <c r="X1321" s="36"/>
      <c r="Y1321" s="36"/>
    </row>
    <row r="1322">
      <c r="A1322" s="32"/>
      <c r="B1322" s="32"/>
      <c r="C1322" s="32"/>
      <c r="D1322" s="32"/>
      <c r="E1322" s="32"/>
      <c r="F1322" s="32"/>
      <c r="G1322" s="39"/>
      <c r="H1322" s="32"/>
      <c r="I1322" s="32"/>
      <c r="J1322" s="32"/>
      <c r="K1322" s="33"/>
      <c r="L1322" s="32"/>
      <c r="M1322" s="32"/>
      <c r="N1322" s="32"/>
      <c r="O1322" s="32"/>
      <c r="P1322" s="32"/>
      <c r="Q1322" s="34"/>
      <c r="R1322" s="35"/>
      <c r="S1322" s="35"/>
      <c r="T1322" s="36"/>
      <c r="U1322" s="36"/>
      <c r="V1322" s="36"/>
      <c r="W1322" s="36"/>
      <c r="X1322" s="36"/>
      <c r="Y1322" s="36"/>
    </row>
    <row r="1323">
      <c r="A1323" s="32"/>
      <c r="B1323" s="32"/>
      <c r="C1323" s="32"/>
      <c r="D1323" s="32"/>
      <c r="E1323" s="32"/>
      <c r="F1323" s="32"/>
      <c r="G1323" s="39"/>
      <c r="H1323" s="32"/>
      <c r="I1323" s="32"/>
      <c r="J1323" s="32"/>
      <c r="K1323" s="33"/>
      <c r="L1323" s="32"/>
      <c r="M1323" s="32"/>
      <c r="N1323" s="32"/>
      <c r="O1323" s="32"/>
      <c r="P1323" s="32"/>
      <c r="Q1323" s="34"/>
      <c r="R1323" s="35"/>
      <c r="S1323" s="35"/>
      <c r="T1323" s="36"/>
      <c r="U1323" s="36"/>
      <c r="V1323" s="36"/>
      <c r="W1323" s="36"/>
      <c r="X1323" s="36"/>
      <c r="Y1323" s="36"/>
    </row>
    <row r="1324">
      <c r="A1324" s="32"/>
      <c r="B1324" s="32"/>
      <c r="C1324" s="32"/>
      <c r="D1324" s="32"/>
      <c r="E1324" s="32"/>
      <c r="F1324" s="32"/>
      <c r="G1324" s="39"/>
      <c r="H1324" s="32"/>
      <c r="I1324" s="32"/>
      <c r="J1324" s="32"/>
      <c r="K1324" s="33"/>
      <c r="L1324" s="32"/>
      <c r="M1324" s="32"/>
      <c r="N1324" s="32"/>
      <c r="O1324" s="32"/>
      <c r="P1324" s="32"/>
      <c r="Q1324" s="34"/>
      <c r="R1324" s="35"/>
      <c r="S1324" s="35"/>
      <c r="T1324" s="36"/>
      <c r="U1324" s="36"/>
      <c r="V1324" s="36"/>
      <c r="W1324" s="36"/>
      <c r="X1324" s="36"/>
      <c r="Y1324" s="36"/>
    </row>
    <row r="1325">
      <c r="A1325" s="32"/>
      <c r="B1325" s="32"/>
      <c r="C1325" s="32"/>
      <c r="D1325" s="32"/>
      <c r="E1325" s="32"/>
      <c r="F1325" s="32"/>
      <c r="G1325" s="39"/>
      <c r="H1325" s="32"/>
      <c r="I1325" s="32"/>
      <c r="J1325" s="32"/>
      <c r="K1325" s="33"/>
      <c r="L1325" s="32"/>
      <c r="M1325" s="32"/>
      <c r="N1325" s="32"/>
      <c r="O1325" s="32"/>
      <c r="P1325" s="32"/>
      <c r="Q1325" s="34"/>
      <c r="R1325" s="35"/>
      <c r="S1325" s="35"/>
      <c r="T1325" s="36"/>
      <c r="U1325" s="36"/>
      <c r="V1325" s="36"/>
      <c r="W1325" s="36"/>
      <c r="X1325" s="36"/>
      <c r="Y1325" s="36"/>
    </row>
    <row r="1326">
      <c r="A1326" s="32"/>
      <c r="B1326" s="32"/>
      <c r="C1326" s="32"/>
      <c r="D1326" s="32"/>
      <c r="E1326" s="32"/>
      <c r="F1326" s="32"/>
      <c r="G1326" s="39"/>
      <c r="H1326" s="32"/>
      <c r="I1326" s="32"/>
      <c r="J1326" s="32"/>
      <c r="K1326" s="33"/>
      <c r="L1326" s="32"/>
      <c r="M1326" s="32"/>
      <c r="N1326" s="32"/>
      <c r="O1326" s="32"/>
      <c r="P1326" s="32"/>
      <c r="Q1326" s="34"/>
      <c r="R1326" s="35"/>
      <c r="S1326" s="35"/>
      <c r="T1326" s="36"/>
      <c r="U1326" s="36"/>
      <c r="V1326" s="36"/>
      <c r="W1326" s="36"/>
      <c r="X1326" s="36"/>
      <c r="Y1326" s="36"/>
    </row>
    <row r="1327">
      <c r="A1327" s="32"/>
      <c r="B1327" s="32"/>
      <c r="C1327" s="32"/>
      <c r="D1327" s="32"/>
      <c r="E1327" s="32"/>
      <c r="F1327" s="32"/>
      <c r="G1327" s="39"/>
      <c r="H1327" s="32"/>
      <c r="I1327" s="32"/>
      <c r="J1327" s="32"/>
      <c r="K1327" s="33"/>
      <c r="L1327" s="32"/>
      <c r="M1327" s="32"/>
      <c r="N1327" s="32"/>
      <c r="O1327" s="32"/>
      <c r="P1327" s="32"/>
      <c r="Q1327" s="34"/>
      <c r="R1327" s="35"/>
      <c r="S1327" s="35"/>
      <c r="T1327" s="36"/>
      <c r="U1327" s="36"/>
      <c r="V1327" s="36"/>
      <c r="W1327" s="36"/>
      <c r="X1327" s="36"/>
      <c r="Y1327" s="36"/>
    </row>
    <row r="1328">
      <c r="A1328" s="32"/>
      <c r="B1328" s="32"/>
      <c r="C1328" s="32"/>
      <c r="D1328" s="32"/>
      <c r="E1328" s="32"/>
      <c r="F1328" s="32"/>
      <c r="G1328" s="39"/>
      <c r="H1328" s="32"/>
      <c r="I1328" s="32"/>
      <c r="J1328" s="32"/>
      <c r="K1328" s="33"/>
      <c r="L1328" s="32"/>
      <c r="M1328" s="32"/>
      <c r="N1328" s="32"/>
      <c r="O1328" s="32"/>
      <c r="P1328" s="32"/>
      <c r="Q1328" s="34"/>
      <c r="R1328" s="35"/>
      <c r="S1328" s="35"/>
      <c r="T1328" s="36"/>
      <c r="U1328" s="36"/>
      <c r="V1328" s="36"/>
      <c r="W1328" s="36"/>
      <c r="X1328" s="36"/>
      <c r="Y1328" s="36"/>
    </row>
    <row r="1329">
      <c r="A1329" s="32"/>
      <c r="B1329" s="32"/>
      <c r="C1329" s="32"/>
      <c r="D1329" s="32"/>
      <c r="E1329" s="32"/>
      <c r="F1329" s="32"/>
      <c r="G1329" s="39"/>
      <c r="H1329" s="32"/>
      <c r="I1329" s="32"/>
      <c r="J1329" s="32"/>
      <c r="K1329" s="33"/>
      <c r="L1329" s="32"/>
      <c r="M1329" s="32"/>
      <c r="N1329" s="32"/>
      <c r="O1329" s="32"/>
      <c r="P1329" s="32"/>
      <c r="Q1329" s="34"/>
      <c r="R1329" s="35"/>
      <c r="S1329" s="35"/>
      <c r="T1329" s="36"/>
      <c r="U1329" s="36"/>
      <c r="V1329" s="36"/>
      <c r="W1329" s="36"/>
      <c r="X1329" s="36"/>
      <c r="Y1329" s="36"/>
    </row>
    <row r="1330">
      <c r="A1330" s="32"/>
      <c r="B1330" s="32"/>
      <c r="C1330" s="32"/>
      <c r="D1330" s="32"/>
      <c r="E1330" s="32"/>
      <c r="F1330" s="32"/>
      <c r="G1330" s="39"/>
      <c r="H1330" s="32"/>
      <c r="I1330" s="32"/>
      <c r="J1330" s="32"/>
      <c r="K1330" s="33"/>
      <c r="L1330" s="32"/>
      <c r="M1330" s="32"/>
      <c r="N1330" s="32"/>
      <c r="O1330" s="32"/>
      <c r="P1330" s="32"/>
      <c r="Q1330" s="34"/>
      <c r="R1330" s="35"/>
      <c r="S1330" s="35"/>
      <c r="T1330" s="36"/>
      <c r="U1330" s="36"/>
      <c r="V1330" s="36"/>
      <c r="W1330" s="36"/>
      <c r="X1330" s="36"/>
      <c r="Y1330" s="36"/>
    </row>
    <row r="1331">
      <c r="A1331" s="32"/>
      <c r="B1331" s="32"/>
      <c r="C1331" s="32"/>
      <c r="D1331" s="32"/>
      <c r="E1331" s="32"/>
      <c r="F1331" s="32"/>
      <c r="G1331" s="39"/>
      <c r="H1331" s="32"/>
      <c r="I1331" s="32"/>
      <c r="J1331" s="32"/>
      <c r="K1331" s="33"/>
      <c r="L1331" s="32"/>
      <c r="M1331" s="32"/>
      <c r="N1331" s="32"/>
      <c r="O1331" s="32"/>
      <c r="P1331" s="32"/>
      <c r="Q1331" s="34"/>
      <c r="R1331" s="35"/>
      <c r="S1331" s="35"/>
      <c r="T1331" s="36"/>
      <c r="U1331" s="36"/>
      <c r="V1331" s="36"/>
      <c r="W1331" s="36"/>
      <c r="X1331" s="36"/>
      <c r="Y1331" s="36"/>
    </row>
    <row r="1332">
      <c r="A1332" s="32"/>
      <c r="B1332" s="32"/>
      <c r="C1332" s="32"/>
      <c r="D1332" s="32"/>
      <c r="E1332" s="32"/>
      <c r="F1332" s="32"/>
      <c r="G1332" s="39"/>
      <c r="H1332" s="32"/>
      <c r="I1332" s="32"/>
      <c r="J1332" s="32"/>
      <c r="K1332" s="33"/>
      <c r="L1332" s="32"/>
      <c r="M1332" s="32"/>
      <c r="N1332" s="32"/>
      <c r="O1332" s="32"/>
      <c r="P1332" s="32"/>
      <c r="Q1332" s="34"/>
      <c r="R1332" s="35"/>
      <c r="S1332" s="35"/>
      <c r="T1332" s="36"/>
      <c r="U1332" s="36"/>
      <c r="V1332" s="36"/>
      <c r="W1332" s="36"/>
      <c r="X1332" s="36"/>
      <c r="Y1332" s="36"/>
    </row>
    <row r="1333">
      <c r="A1333" s="32"/>
      <c r="B1333" s="32"/>
      <c r="C1333" s="32"/>
      <c r="D1333" s="32"/>
      <c r="E1333" s="32"/>
      <c r="F1333" s="32"/>
      <c r="G1333" s="39"/>
      <c r="H1333" s="32"/>
      <c r="I1333" s="32"/>
      <c r="J1333" s="32"/>
      <c r="K1333" s="33"/>
      <c r="L1333" s="32"/>
      <c r="M1333" s="32"/>
      <c r="N1333" s="32"/>
      <c r="O1333" s="32"/>
      <c r="P1333" s="32"/>
      <c r="Q1333" s="34"/>
      <c r="R1333" s="35"/>
      <c r="S1333" s="35"/>
      <c r="T1333" s="36"/>
      <c r="U1333" s="36"/>
      <c r="V1333" s="36"/>
      <c r="W1333" s="36"/>
      <c r="X1333" s="36"/>
      <c r="Y1333" s="36"/>
    </row>
    <row r="1334">
      <c r="A1334" s="32"/>
      <c r="B1334" s="32"/>
      <c r="C1334" s="32"/>
      <c r="D1334" s="32"/>
      <c r="E1334" s="32"/>
      <c r="F1334" s="32"/>
      <c r="G1334" s="39"/>
      <c r="H1334" s="32"/>
      <c r="I1334" s="32"/>
      <c r="J1334" s="32"/>
      <c r="K1334" s="33"/>
      <c r="L1334" s="32"/>
      <c r="M1334" s="32"/>
      <c r="N1334" s="32"/>
      <c r="O1334" s="32"/>
      <c r="P1334" s="32"/>
      <c r="Q1334" s="34"/>
      <c r="R1334" s="35"/>
      <c r="S1334" s="35"/>
      <c r="T1334" s="36"/>
      <c r="U1334" s="36"/>
      <c r="V1334" s="36"/>
      <c r="W1334" s="36"/>
      <c r="X1334" s="36"/>
      <c r="Y1334" s="36"/>
    </row>
    <row r="1335">
      <c r="A1335" s="32"/>
      <c r="B1335" s="32"/>
      <c r="C1335" s="32"/>
      <c r="D1335" s="32"/>
      <c r="E1335" s="32"/>
      <c r="F1335" s="32"/>
      <c r="G1335" s="39"/>
      <c r="H1335" s="32"/>
      <c r="I1335" s="32"/>
      <c r="J1335" s="32"/>
      <c r="K1335" s="33"/>
      <c r="L1335" s="32"/>
      <c r="M1335" s="32"/>
      <c r="N1335" s="32"/>
      <c r="O1335" s="32"/>
      <c r="P1335" s="32"/>
      <c r="Q1335" s="34"/>
      <c r="R1335" s="35"/>
      <c r="S1335" s="35"/>
      <c r="T1335" s="36"/>
      <c r="U1335" s="36"/>
      <c r="V1335" s="36"/>
      <c r="W1335" s="36"/>
      <c r="X1335" s="36"/>
      <c r="Y1335" s="36"/>
    </row>
    <row r="1336">
      <c r="A1336" s="32"/>
      <c r="B1336" s="32"/>
      <c r="C1336" s="32"/>
      <c r="D1336" s="32"/>
      <c r="E1336" s="32"/>
      <c r="F1336" s="32"/>
      <c r="G1336" s="39"/>
      <c r="H1336" s="32"/>
      <c r="I1336" s="32"/>
      <c r="J1336" s="32"/>
      <c r="K1336" s="33"/>
      <c r="L1336" s="32"/>
      <c r="M1336" s="32"/>
      <c r="N1336" s="32"/>
      <c r="O1336" s="32"/>
      <c r="P1336" s="32"/>
      <c r="Q1336" s="34"/>
      <c r="R1336" s="35"/>
      <c r="S1336" s="35"/>
      <c r="T1336" s="36"/>
      <c r="U1336" s="36"/>
      <c r="V1336" s="36"/>
      <c r="W1336" s="36"/>
      <c r="X1336" s="36"/>
      <c r="Y1336" s="36"/>
    </row>
    <row r="1337">
      <c r="A1337" s="32"/>
      <c r="B1337" s="32"/>
      <c r="C1337" s="32"/>
      <c r="D1337" s="32"/>
      <c r="E1337" s="32"/>
      <c r="F1337" s="32"/>
      <c r="G1337" s="39"/>
      <c r="H1337" s="32"/>
      <c r="I1337" s="32"/>
      <c r="J1337" s="32"/>
      <c r="K1337" s="33"/>
      <c r="L1337" s="32"/>
      <c r="M1337" s="32"/>
      <c r="N1337" s="32"/>
      <c r="O1337" s="32"/>
      <c r="P1337" s="32"/>
      <c r="Q1337" s="34"/>
      <c r="R1337" s="35"/>
      <c r="S1337" s="35"/>
      <c r="T1337" s="36"/>
      <c r="U1337" s="36"/>
      <c r="V1337" s="36"/>
      <c r="W1337" s="36"/>
      <c r="X1337" s="36"/>
      <c r="Y1337" s="36"/>
    </row>
    <row r="1338">
      <c r="A1338" s="32"/>
      <c r="B1338" s="32"/>
      <c r="C1338" s="32"/>
      <c r="D1338" s="32"/>
      <c r="E1338" s="32"/>
      <c r="F1338" s="32"/>
      <c r="G1338" s="39"/>
      <c r="H1338" s="32"/>
      <c r="I1338" s="32"/>
      <c r="J1338" s="32"/>
      <c r="K1338" s="33"/>
      <c r="L1338" s="32"/>
      <c r="M1338" s="32"/>
      <c r="N1338" s="32"/>
      <c r="O1338" s="32"/>
      <c r="P1338" s="32"/>
      <c r="Q1338" s="34"/>
      <c r="R1338" s="35"/>
      <c r="S1338" s="35"/>
      <c r="T1338" s="36"/>
      <c r="U1338" s="36"/>
      <c r="V1338" s="36"/>
      <c r="W1338" s="36"/>
      <c r="X1338" s="36"/>
      <c r="Y1338" s="36"/>
    </row>
    <row r="1339">
      <c r="A1339" s="32"/>
      <c r="B1339" s="32"/>
      <c r="C1339" s="32"/>
      <c r="D1339" s="32"/>
      <c r="E1339" s="32"/>
      <c r="F1339" s="32"/>
      <c r="G1339" s="39"/>
      <c r="H1339" s="32"/>
      <c r="I1339" s="32"/>
      <c r="J1339" s="32"/>
      <c r="K1339" s="33"/>
      <c r="L1339" s="32"/>
      <c r="M1339" s="32"/>
      <c r="N1339" s="32"/>
      <c r="O1339" s="32"/>
      <c r="P1339" s="32"/>
      <c r="Q1339" s="34"/>
      <c r="R1339" s="35"/>
      <c r="S1339" s="35"/>
      <c r="T1339" s="36"/>
      <c r="U1339" s="36"/>
      <c r="V1339" s="36"/>
      <c r="W1339" s="36"/>
      <c r="X1339" s="36"/>
      <c r="Y1339" s="36"/>
    </row>
    <row r="1340">
      <c r="A1340" s="32"/>
      <c r="B1340" s="32"/>
      <c r="C1340" s="32"/>
      <c r="D1340" s="32"/>
      <c r="E1340" s="32"/>
      <c r="F1340" s="32"/>
      <c r="G1340" s="39"/>
      <c r="H1340" s="32"/>
      <c r="I1340" s="32"/>
      <c r="J1340" s="32"/>
      <c r="K1340" s="33"/>
      <c r="L1340" s="32"/>
      <c r="M1340" s="32"/>
      <c r="N1340" s="32"/>
      <c r="O1340" s="32"/>
      <c r="P1340" s="32"/>
      <c r="Q1340" s="34"/>
      <c r="R1340" s="35"/>
      <c r="S1340" s="35"/>
      <c r="T1340" s="36"/>
      <c r="U1340" s="36"/>
      <c r="V1340" s="36"/>
      <c r="W1340" s="36"/>
      <c r="X1340" s="36"/>
      <c r="Y1340" s="36"/>
    </row>
    <row r="1341">
      <c r="A1341" s="32"/>
      <c r="B1341" s="32"/>
      <c r="C1341" s="32"/>
      <c r="D1341" s="32"/>
      <c r="E1341" s="32"/>
      <c r="F1341" s="32"/>
      <c r="G1341" s="39"/>
      <c r="H1341" s="32"/>
      <c r="I1341" s="32"/>
      <c r="J1341" s="32"/>
      <c r="K1341" s="33"/>
      <c r="L1341" s="32"/>
      <c r="M1341" s="32"/>
      <c r="N1341" s="32"/>
      <c r="O1341" s="32"/>
      <c r="P1341" s="32"/>
      <c r="Q1341" s="34"/>
      <c r="R1341" s="35"/>
      <c r="S1341" s="35"/>
      <c r="T1341" s="36"/>
      <c r="U1341" s="36"/>
      <c r="V1341" s="36"/>
      <c r="W1341" s="36"/>
      <c r="X1341" s="36"/>
      <c r="Y1341" s="36"/>
    </row>
    <row r="1342">
      <c r="A1342" s="32"/>
      <c r="B1342" s="32"/>
      <c r="C1342" s="32"/>
      <c r="D1342" s="32"/>
      <c r="E1342" s="32"/>
      <c r="F1342" s="32"/>
      <c r="G1342" s="39"/>
      <c r="H1342" s="32"/>
      <c r="I1342" s="32"/>
      <c r="J1342" s="32"/>
      <c r="K1342" s="33"/>
      <c r="L1342" s="32"/>
      <c r="M1342" s="32"/>
      <c r="N1342" s="32"/>
      <c r="O1342" s="32"/>
      <c r="P1342" s="32"/>
      <c r="Q1342" s="34"/>
      <c r="R1342" s="35"/>
      <c r="S1342" s="35"/>
      <c r="T1342" s="36"/>
      <c r="U1342" s="36"/>
      <c r="V1342" s="36"/>
      <c r="W1342" s="36"/>
      <c r="X1342" s="36"/>
      <c r="Y1342" s="36"/>
    </row>
    <row r="1343">
      <c r="A1343" s="32"/>
      <c r="B1343" s="32"/>
      <c r="C1343" s="32"/>
      <c r="D1343" s="32"/>
      <c r="E1343" s="32"/>
      <c r="F1343" s="32"/>
      <c r="G1343" s="39"/>
      <c r="H1343" s="32"/>
      <c r="I1343" s="32"/>
      <c r="J1343" s="32"/>
      <c r="K1343" s="33"/>
      <c r="L1343" s="32"/>
      <c r="M1343" s="32"/>
      <c r="N1343" s="32"/>
      <c r="O1343" s="32"/>
      <c r="P1343" s="32"/>
      <c r="Q1343" s="34"/>
      <c r="R1343" s="35"/>
      <c r="S1343" s="35"/>
      <c r="T1343" s="36"/>
      <c r="U1343" s="36"/>
      <c r="V1343" s="36"/>
      <c r="W1343" s="36"/>
      <c r="X1343" s="36"/>
      <c r="Y1343" s="36"/>
    </row>
    <row r="1344">
      <c r="A1344" s="32"/>
      <c r="B1344" s="32"/>
      <c r="C1344" s="32"/>
      <c r="D1344" s="32"/>
      <c r="E1344" s="32"/>
      <c r="F1344" s="32"/>
      <c r="G1344" s="39"/>
      <c r="H1344" s="32"/>
      <c r="I1344" s="32"/>
      <c r="J1344" s="32"/>
      <c r="K1344" s="33"/>
      <c r="L1344" s="32"/>
      <c r="M1344" s="32"/>
      <c r="N1344" s="32"/>
      <c r="O1344" s="32"/>
      <c r="P1344" s="32"/>
      <c r="Q1344" s="34"/>
      <c r="R1344" s="35"/>
      <c r="S1344" s="35"/>
      <c r="T1344" s="36"/>
      <c r="U1344" s="36"/>
      <c r="V1344" s="36"/>
      <c r="W1344" s="36"/>
      <c r="X1344" s="36"/>
      <c r="Y1344" s="36"/>
    </row>
    <row r="1345">
      <c r="A1345" s="32"/>
      <c r="B1345" s="32"/>
      <c r="C1345" s="32"/>
      <c r="D1345" s="32"/>
      <c r="E1345" s="32"/>
      <c r="F1345" s="32"/>
      <c r="G1345" s="39"/>
      <c r="H1345" s="32"/>
      <c r="I1345" s="32"/>
      <c r="J1345" s="32"/>
      <c r="K1345" s="33"/>
      <c r="L1345" s="32"/>
      <c r="M1345" s="32"/>
      <c r="N1345" s="32"/>
      <c r="O1345" s="32"/>
      <c r="P1345" s="32"/>
      <c r="Q1345" s="34"/>
      <c r="R1345" s="35"/>
      <c r="S1345" s="35"/>
      <c r="T1345" s="36"/>
      <c r="U1345" s="36"/>
      <c r="V1345" s="36"/>
      <c r="W1345" s="36"/>
      <c r="X1345" s="36"/>
      <c r="Y1345" s="36"/>
    </row>
    <row r="1346">
      <c r="A1346" s="32"/>
      <c r="B1346" s="32"/>
      <c r="C1346" s="32"/>
      <c r="D1346" s="32"/>
      <c r="E1346" s="32"/>
      <c r="F1346" s="32"/>
      <c r="G1346" s="39"/>
      <c r="H1346" s="32"/>
      <c r="I1346" s="32"/>
      <c r="J1346" s="32"/>
      <c r="K1346" s="33"/>
      <c r="L1346" s="32"/>
      <c r="M1346" s="32"/>
      <c r="N1346" s="32"/>
      <c r="O1346" s="32"/>
      <c r="P1346" s="32"/>
      <c r="Q1346" s="34"/>
      <c r="R1346" s="35"/>
      <c r="S1346" s="35"/>
      <c r="T1346" s="36"/>
      <c r="U1346" s="36"/>
      <c r="V1346" s="36"/>
      <c r="W1346" s="36"/>
      <c r="X1346" s="36"/>
      <c r="Y1346" s="36"/>
    </row>
    <row r="1347">
      <c r="A1347" s="32"/>
      <c r="B1347" s="32"/>
      <c r="C1347" s="32"/>
      <c r="D1347" s="32"/>
      <c r="E1347" s="32"/>
      <c r="F1347" s="32"/>
      <c r="G1347" s="39"/>
      <c r="H1347" s="32"/>
      <c r="I1347" s="32"/>
      <c r="J1347" s="32"/>
      <c r="K1347" s="33"/>
      <c r="L1347" s="32"/>
      <c r="M1347" s="32"/>
      <c r="N1347" s="32"/>
      <c r="O1347" s="32"/>
      <c r="P1347" s="32"/>
      <c r="Q1347" s="34"/>
      <c r="R1347" s="35"/>
      <c r="S1347" s="35"/>
      <c r="T1347" s="36"/>
      <c r="U1347" s="36"/>
      <c r="V1347" s="36"/>
      <c r="W1347" s="36"/>
      <c r="X1347" s="36"/>
      <c r="Y1347" s="36"/>
    </row>
    <row r="1348">
      <c r="A1348" s="32"/>
      <c r="B1348" s="32"/>
      <c r="C1348" s="32"/>
      <c r="D1348" s="32"/>
      <c r="E1348" s="32"/>
      <c r="F1348" s="32"/>
      <c r="G1348" s="39"/>
      <c r="H1348" s="32"/>
      <c r="I1348" s="32"/>
      <c r="J1348" s="32"/>
      <c r="K1348" s="33"/>
      <c r="L1348" s="32"/>
      <c r="M1348" s="32"/>
      <c r="N1348" s="32"/>
      <c r="O1348" s="32"/>
      <c r="P1348" s="32"/>
      <c r="Q1348" s="34"/>
      <c r="R1348" s="35"/>
      <c r="S1348" s="35"/>
      <c r="T1348" s="36"/>
      <c r="U1348" s="36"/>
      <c r="V1348" s="36"/>
      <c r="W1348" s="36"/>
      <c r="X1348" s="36"/>
      <c r="Y1348" s="36"/>
    </row>
    <row r="1349">
      <c r="A1349" s="32"/>
      <c r="B1349" s="32"/>
      <c r="C1349" s="32"/>
      <c r="D1349" s="32"/>
      <c r="E1349" s="32"/>
      <c r="F1349" s="32"/>
      <c r="G1349" s="39"/>
      <c r="H1349" s="32"/>
      <c r="I1349" s="32"/>
      <c r="J1349" s="32"/>
      <c r="K1349" s="33"/>
      <c r="L1349" s="32"/>
      <c r="M1349" s="32"/>
      <c r="N1349" s="32"/>
      <c r="O1349" s="32"/>
      <c r="P1349" s="32"/>
      <c r="Q1349" s="34"/>
      <c r="R1349" s="35"/>
      <c r="S1349" s="35"/>
      <c r="T1349" s="36"/>
      <c r="U1349" s="36"/>
      <c r="V1349" s="36"/>
      <c r="W1349" s="36"/>
      <c r="X1349" s="36"/>
      <c r="Y1349" s="36"/>
    </row>
    <row r="1350">
      <c r="A1350" s="32"/>
      <c r="B1350" s="32"/>
      <c r="C1350" s="32"/>
      <c r="D1350" s="32"/>
      <c r="E1350" s="32"/>
      <c r="F1350" s="32"/>
      <c r="G1350" s="39"/>
      <c r="H1350" s="32"/>
      <c r="I1350" s="32"/>
      <c r="J1350" s="32"/>
      <c r="K1350" s="33"/>
      <c r="L1350" s="32"/>
      <c r="M1350" s="32"/>
      <c r="N1350" s="32"/>
      <c r="O1350" s="32"/>
      <c r="P1350" s="32"/>
      <c r="Q1350" s="34"/>
      <c r="R1350" s="35"/>
      <c r="S1350" s="35"/>
      <c r="T1350" s="36"/>
      <c r="U1350" s="36"/>
      <c r="V1350" s="36"/>
      <c r="W1350" s="36"/>
      <c r="X1350" s="36"/>
      <c r="Y1350" s="36"/>
    </row>
    <row r="1351">
      <c r="A1351" s="32"/>
      <c r="B1351" s="32"/>
      <c r="C1351" s="32"/>
      <c r="D1351" s="32"/>
      <c r="E1351" s="32"/>
      <c r="F1351" s="32"/>
      <c r="G1351" s="39"/>
      <c r="H1351" s="32"/>
      <c r="I1351" s="32"/>
      <c r="J1351" s="32"/>
      <c r="K1351" s="33"/>
      <c r="L1351" s="32"/>
      <c r="M1351" s="32"/>
      <c r="N1351" s="32"/>
      <c r="O1351" s="32"/>
      <c r="P1351" s="32"/>
      <c r="Q1351" s="34"/>
      <c r="R1351" s="35"/>
      <c r="S1351" s="35"/>
      <c r="T1351" s="36"/>
      <c r="U1351" s="36"/>
      <c r="V1351" s="36"/>
      <c r="W1351" s="36"/>
      <c r="X1351" s="36"/>
      <c r="Y1351" s="36"/>
    </row>
    <row r="1352">
      <c r="A1352" s="32"/>
      <c r="B1352" s="32"/>
      <c r="C1352" s="32"/>
      <c r="D1352" s="32"/>
      <c r="E1352" s="32"/>
      <c r="F1352" s="32"/>
      <c r="G1352" s="39"/>
      <c r="H1352" s="32"/>
      <c r="I1352" s="32"/>
      <c r="J1352" s="32"/>
      <c r="K1352" s="33"/>
      <c r="L1352" s="32"/>
      <c r="M1352" s="32"/>
      <c r="N1352" s="32"/>
      <c r="O1352" s="32"/>
      <c r="P1352" s="32"/>
      <c r="Q1352" s="34"/>
      <c r="R1352" s="35"/>
      <c r="S1352" s="35"/>
      <c r="T1352" s="36"/>
      <c r="U1352" s="36"/>
      <c r="V1352" s="36"/>
      <c r="W1352" s="36"/>
      <c r="X1352" s="36"/>
      <c r="Y1352" s="36"/>
    </row>
    <row r="1353">
      <c r="A1353" s="32"/>
      <c r="B1353" s="32"/>
      <c r="C1353" s="32"/>
      <c r="D1353" s="32"/>
      <c r="E1353" s="32"/>
      <c r="F1353" s="32"/>
      <c r="G1353" s="39"/>
      <c r="H1353" s="32"/>
      <c r="I1353" s="32"/>
      <c r="J1353" s="32"/>
      <c r="K1353" s="33"/>
      <c r="L1353" s="32"/>
      <c r="M1353" s="32"/>
      <c r="N1353" s="32"/>
      <c r="O1353" s="32"/>
      <c r="P1353" s="32"/>
      <c r="Q1353" s="34"/>
      <c r="R1353" s="35"/>
      <c r="S1353" s="35"/>
      <c r="T1353" s="36"/>
      <c r="U1353" s="36"/>
      <c r="V1353" s="36"/>
      <c r="W1353" s="36"/>
      <c r="X1353" s="36"/>
      <c r="Y1353" s="36"/>
    </row>
    <row r="1354">
      <c r="A1354" s="32"/>
      <c r="B1354" s="32"/>
      <c r="C1354" s="32"/>
      <c r="D1354" s="32"/>
      <c r="E1354" s="32"/>
      <c r="F1354" s="32"/>
      <c r="G1354" s="39"/>
      <c r="H1354" s="32"/>
      <c r="I1354" s="32"/>
      <c r="J1354" s="32"/>
      <c r="K1354" s="33"/>
      <c r="L1354" s="32"/>
      <c r="M1354" s="32"/>
      <c r="N1354" s="32"/>
      <c r="O1354" s="32"/>
      <c r="P1354" s="32"/>
      <c r="Q1354" s="34"/>
      <c r="R1354" s="35"/>
      <c r="S1354" s="35"/>
      <c r="T1354" s="36"/>
      <c r="U1354" s="36"/>
      <c r="V1354" s="36"/>
      <c r="W1354" s="36"/>
      <c r="X1354" s="36"/>
      <c r="Y1354" s="36"/>
    </row>
    <row r="1355">
      <c r="A1355" s="32"/>
      <c r="B1355" s="32"/>
      <c r="C1355" s="32"/>
      <c r="D1355" s="32"/>
      <c r="E1355" s="32"/>
      <c r="F1355" s="32"/>
      <c r="G1355" s="39"/>
      <c r="H1355" s="32"/>
      <c r="I1355" s="32"/>
      <c r="J1355" s="32"/>
      <c r="K1355" s="33"/>
      <c r="L1355" s="32"/>
      <c r="M1355" s="32"/>
      <c r="N1355" s="32"/>
      <c r="O1355" s="32"/>
      <c r="P1355" s="32"/>
      <c r="Q1355" s="34"/>
      <c r="R1355" s="35"/>
      <c r="S1355" s="35"/>
      <c r="T1355" s="36"/>
      <c r="U1355" s="36"/>
      <c r="V1355" s="36"/>
      <c r="W1355" s="36"/>
      <c r="X1355" s="36"/>
      <c r="Y1355" s="36"/>
    </row>
    <row r="1356">
      <c r="A1356" s="32"/>
      <c r="B1356" s="32"/>
      <c r="C1356" s="32"/>
      <c r="D1356" s="32"/>
      <c r="E1356" s="32"/>
      <c r="F1356" s="32"/>
      <c r="G1356" s="39"/>
      <c r="H1356" s="32"/>
      <c r="I1356" s="32"/>
      <c r="J1356" s="32"/>
      <c r="K1356" s="33"/>
      <c r="L1356" s="32"/>
      <c r="M1356" s="32"/>
      <c r="N1356" s="32"/>
      <c r="O1356" s="32"/>
      <c r="P1356" s="32"/>
      <c r="Q1356" s="34"/>
      <c r="R1356" s="35"/>
      <c r="S1356" s="35"/>
      <c r="T1356" s="36"/>
      <c r="U1356" s="36"/>
      <c r="V1356" s="36"/>
      <c r="W1356" s="36"/>
      <c r="X1356" s="36"/>
      <c r="Y1356" s="36"/>
    </row>
    <row r="1357">
      <c r="A1357" s="32"/>
      <c r="B1357" s="32"/>
      <c r="C1357" s="32"/>
      <c r="D1357" s="32"/>
      <c r="E1357" s="32"/>
      <c r="F1357" s="32"/>
      <c r="G1357" s="39"/>
      <c r="H1357" s="32"/>
      <c r="I1357" s="32"/>
      <c r="J1357" s="32"/>
      <c r="K1357" s="33"/>
      <c r="L1357" s="32"/>
      <c r="M1357" s="32"/>
      <c r="N1357" s="32"/>
      <c r="O1357" s="32"/>
      <c r="P1357" s="32"/>
      <c r="Q1357" s="34"/>
      <c r="R1357" s="35"/>
      <c r="S1357" s="35"/>
      <c r="T1357" s="36"/>
      <c r="U1357" s="36"/>
      <c r="V1357" s="36"/>
      <c r="W1357" s="36"/>
      <c r="X1357" s="36"/>
      <c r="Y1357" s="36"/>
    </row>
    <row r="1358">
      <c r="A1358" s="32"/>
      <c r="B1358" s="32"/>
      <c r="C1358" s="32"/>
      <c r="D1358" s="32"/>
      <c r="E1358" s="32"/>
      <c r="F1358" s="32"/>
      <c r="G1358" s="39"/>
      <c r="H1358" s="32"/>
      <c r="I1358" s="32"/>
      <c r="J1358" s="32"/>
      <c r="K1358" s="33"/>
      <c r="L1358" s="32"/>
      <c r="M1358" s="32"/>
      <c r="N1358" s="32"/>
      <c r="O1358" s="32"/>
      <c r="P1358" s="32"/>
      <c r="Q1358" s="34"/>
      <c r="R1358" s="35"/>
      <c r="S1358" s="35"/>
      <c r="T1358" s="36"/>
      <c r="U1358" s="36"/>
      <c r="V1358" s="36"/>
      <c r="W1358" s="36"/>
      <c r="X1358" s="36"/>
      <c r="Y1358" s="36"/>
    </row>
    <row r="1359">
      <c r="A1359" s="32"/>
      <c r="B1359" s="32"/>
      <c r="C1359" s="32"/>
      <c r="D1359" s="32"/>
      <c r="E1359" s="32"/>
      <c r="F1359" s="32"/>
      <c r="G1359" s="39"/>
      <c r="H1359" s="32"/>
      <c r="I1359" s="32"/>
      <c r="J1359" s="32"/>
      <c r="K1359" s="33"/>
      <c r="L1359" s="32"/>
      <c r="M1359" s="32"/>
      <c r="N1359" s="32"/>
      <c r="O1359" s="32"/>
      <c r="P1359" s="32"/>
      <c r="Q1359" s="34"/>
      <c r="R1359" s="35"/>
      <c r="S1359" s="35"/>
      <c r="T1359" s="36"/>
      <c r="U1359" s="36"/>
      <c r="V1359" s="36"/>
      <c r="W1359" s="36"/>
      <c r="X1359" s="36"/>
      <c r="Y1359" s="36"/>
    </row>
    <row r="1360">
      <c r="A1360" s="32"/>
      <c r="B1360" s="32"/>
      <c r="C1360" s="32"/>
      <c r="D1360" s="32"/>
      <c r="E1360" s="32"/>
      <c r="F1360" s="32"/>
      <c r="G1360" s="39"/>
      <c r="H1360" s="32"/>
      <c r="I1360" s="32"/>
      <c r="J1360" s="32"/>
      <c r="K1360" s="33"/>
      <c r="L1360" s="32"/>
      <c r="M1360" s="32"/>
      <c r="N1360" s="32"/>
      <c r="O1360" s="32"/>
      <c r="P1360" s="32"/>
      <c r="Q1360" s="34"/>
      <c r="R1360" s="35"/>
      <c r="S1360" s="35"/>
      <c r="T1360" s="36"/>
      <c r="U1360" s="36"/>
      <c r="V1360" s="36"/>
      <c r="W1360" s="36"/>
      <c r="X1360" s="36"/>
      <c r="Y1360" s="36"/>
    </row>
    <row r="1361">
      <c r="A1361" s="32"/>
      <c r="B1361" s="32"/>
      <c r="C1361" s="32"/>
      <c r="D1361" s="32"/>
      <c r="E1361" s="32"/>
      <c r="F1361" s="32"/>
      <c r="G1361" s="39"/>
      <c r="H1361" s="32"/>
      <c r="I1361" s="32"/>
      <c r="J1361" s="32"/>
      <c r="K1361" s="33"/>
      <c r="L1361" s="32"/>
      <c r="M1361" s="32"/>
      <c r="N1361" s="32"/>
      <c r="O1361" s="32"/>
      <c r="P1361" s="32"/>
      <c r="Q1361" s="34"/>
      <c r="R1361" s="35"/>
      <c r="S1361" s="35"/>
      <c r="T1361" s="36"/>
      <c r="U1361" s="36"/>
      <c r="V1361" s="36"/>
      <c r="W1361" s="36"/>
      <c r="X1361" s="36"/>
      <c r="Y1361" s="36"/>
    </row>
    <row r="1362">
      <c r="A1362" s="32"/>
      <c r="B1362" s="32"/>
      <c r="C1362" s="32"/>
      <c r="D1362" s="32"/>
      <c r="E1362" s="32"/>
      <c r="F1362" s="32"/>
      <c r="G1362" s="39"/>
      <c r="H1362" s="32"/>
      <c r="I1362" s="32"/>
      <c r="J1362" s="32"/>
      <c r="K1362" s="33"/>
      <c r="L1362" s="32"/>
      <c r="M1362" s="32"/>
      <c r="N1362" s="32"/>
      <c r="O1362" s="32"/>
      <c r="P1362" s="32"/>
      <c r="Q1362" s="34"/>
      <c r="R1362" s="35"/>
      <c r="S1362" s="35"/>
      <c r="T1362" s="36"/>
      <c r="U1362" s="36"/>
      <c r="V1362" s="36"/>
      <c r="W1362" s="36"/>
      <c r="X1362" s="36"/>
      <c r="Y1362" s="36"/>
    </row>
    <row r="1363">
      <c r="A1363" s="32"/>
      <c r="B1363" s="32"/>
      <c r="C1363" s="32"/>
      <c r="D1363" s="32"/>
      <c r="E1363" s="32"/>
      <c r="F1363" s="32"/>
      <c r="G1363" s="39"/>
      <c r="H1363" s="32"/>
      <c r="I1363" s="32"/>
      <c r="J1363" s="32"/>
      <c r="K1363" s="33"/>
      <c r="L1363" s="32"/>
      <c r="M1363" s="32"/>
      <c r="N1363" s="32"/>
      <c r="O1363" s="32"/>
      <c r="P1363" s="32"/>
      <c r="Q1363" s="34"/>
      <c r="R1363" s="35"/>
      <c r="S1363" s="35"/>
      <c r="T1363" s="36"/>
      <c r="U1363" s="36"/>
      <c r="V1363" s="36"/>
      <c r="W1363" s="36"/>
      <c r="X1363" s="36"/>
      <c r="Y1363" s="36"/>
    </row>
    <row r="1364">
      <c r="A1364" s="32"/>
      <c r="B1364" s="32"/>
      <c r="C1364" s="32"/>
      <c r="D1364" s="32"/>
      <c r="E1364" s="32"/>
      <c r="F1364" s="32"/>
      <c r="G1364" s="39"/>
      <c r="H1364" s="32"/>
      <c r="I1364" s="32"/>
      <c r="J1364" s="32"/>
      <c r="K1364" s="33"/>
      <c r="L1364" s="32"/>
      <c r="M1364" s="32"/>
      <c r="N1364" s="32"/>
      <c r="O1364" s="32"/>
      <c r="P1364" s="32"/>
      <c r="Q1364" s="34"/>
      <c r="R1364" s="35"/>
      <c r="S1364" s="35"/>
      <c r="T1364" s="36"/>
      <c r="U1364" s="36"/>
      <c r="V1364" s="36"/>
      <c r="W1364" s="36"/>
      <c r="X1364" s="36"/>
      <c r="Y1364" s="36"/>
    </row>
    <row r="1365">
      <c r="A1365" s="32"/>
      <c r="B1365" s="32"/>
      <c r="C1365" s="32"/>
      <c r="D1365" s="32"/>
      <c r="E1365" s="32"/>
      <c r="F1365" s="32"/>
      <c r="G1365" s="39"/>
      <c r="H1365" s="32"/>
      <c r="I1365" s="32"/>
      <c r="J1365" s="32"/>
      <c r="K1365" s="33"/>
      <c r="L1365" s="32"/>
      <c r="M1365" s="32"/>
      <c r="N1365" s="32"/>
      <c r="O1365" s="32"/>
      <c r="P1365" s="32"/>
      <c r="Q1365" s="34"/>
      <c r="R1365" s="35"/>
      <c r="S1365" s="35"/>
      <c r="T1365" s="36"/>
      <c r="U1365" s="36"/>
      <c r="V1365" s="36"/>
      <c r="W1365" s="36"/>
      <c r="X1365" s="36"/>
      <c r="Y1365" s="36"/>
    </row>
    <row r="1366">
      <c r="A1366" s="32"/>
      <c r="B1366" s="32"/>
      <c r="C1366" s="32"/>
      <c r="D1366" s="32"/>
      <c r="E1366" s="32"/>
      <c r="F1366" s="32"/>
      <c r="G1366" s="39"/>
      <c r="H1366" s="32"/>
      <c r="I1366" s="32"/>
      <c r="J1366" s="32"/>
      <c r="K1366" s="33"/>
      <c r="L1366" s="32"/>
      <c r="M1366" s="32"/>
      <c r="N1366" s="32"/>
      <c r="O1366" s="32"/>
      <c r="P1366" s="32"/>
      <c r="Q1366" s="34"/>
      <c r="R1366" s="35"/>
      <c r="S1366" s="35"/>
      <c r="T1366" s="36"/>
      <c r="U1366" s="36"/>
      <c r="V1366" s="36"/>
      <c r="W1366" s="36"/>
      <c r="X1366" s="36"/>
      <c r="Y1366" s="36"/>
    </row>
    <row r="1367">
      <c r="A1367" s="32"/>
      <c r="B1367" s="32"/>
      <c r="C1367" s="32"/>
      <c r="D1367" s="32"/>
      <c r="E1367" s="32"/>
      <c r="F1367" s="32"/>
      <c r="G1367" s="39"/>
      <c r="H1367" s="32"/>
      <c r="I1367" s="32"/>
      <c r="J1367" s="32"/>
      <c r="K1367" s="33"/>
      <c r="L1367" s="32"/>
      <c r="M1367" s="32"/>
      <c r="N1367" s="32"/>
      <c r="O1367" s="32"/>
      <c r="P1367" s="32"/>
      <c r="Q1367" s="34"/>
      <c r="R1367" s="35"/>
      <c r="S1367" s="35"/>
      <c r="T1367" s="36"/>
      <c r="U1367" s="36"/>
      <c r="V1367" s="36"/>
      <c r="W1367" s="36"/>
      <c r="X1367" s="36"/>
      <c r="Y1367" s="36"/>
    </row>
    <row r="1368">
      <c r="A1368" s="32"/>
      <c r="B1368" s="32"/>
      <c r="C1368" s="32"/>
      <c r="D1368" s="32"/>
      <c r="E1368" s="32"/>
      <c r="F1368" s="32"/>
      <c r="G1368" s="39"/>
      <c r="H1368" s="32"/>
      <c r="I1368" s="32"/>
      <c r="J1368" s="32"/>
      <c r="K1368" s="33"/>
      <c r="L1368" s="32"/>
      <c r="M1368" s="32"/>
      <c r="N1368" s="32"/>
      <c r="O1368" s="32"/>
      <c r="P1368" s="32"/>
      <c r="Q1368" s="34"/>
      <c r="R1368" s="35"/>
      <c r="S1368" s="35"/>
      <c r="T1368" s="36"/>
      <c r="U1368" s="36"/>
      <c r="V1368" s="36"/>
      <c r="W1368" s="36"/>
      <c r="X1368" s="36"/>
      <c r="Y1368" s="36"/>
    </row>
    <row r="1369">
      <c r="A1369" s="32"/>
      <c r="B1369" s="32"/>
      <c r="C1369" s="32"/>
      <c r="D1369" s="32"/>
      <c r="E1369" s="32"/>
      <c r="F1369" s="32"/>
      <c r="G1369" s="39"/>
      <c r="H1369" s="32"/>
      <c r="I1369" s="32"/>
      <c r="J1369" s="32"/>
      <c r="K1369" s="33"/>
      <c r="L1369" s="32"/>
      <c r="M1369" s="32"/>
      <c r="N1369" s="32"/>
      <c r="O1369" s="32"/>
      <c r="P1369" s="32"/>
      <c r="Q1369" s="34"/>
      <c r="R1369" s="35"/>
      <c r="S1369" s="35"/>
      <c r="T1369" s="36"/>
      <c r="U1369" s="36"/>
      <c r="V1369" s="36"/>
      <c r="W1369" s="36"/>
      <c r="X1369" s="36"/>
      <c r="Y1369" s="36"/>
    </row>
    <row r="1370">
      <c r="A1370" s="32"/>
      <c r="B1370" s="32"/>
      <c r="C1370" s="32"/>
      <c r="D1370" s="32"/>
      <c r="E1370" s="32"/>
      <c r="F1370" s="32"/>
      <c r="G1370" s="39"/>
      <c r="H1370" s="32"/>
      <c r="I1370" s="32"/>
      <c r="J1370" s="32"/>
      <c r="K1370" s="33"/>
      <c r="L1370" s="32"/>
      <c r="M1370" s="32"/>
      <c r="N1370" s="32"/>
      <c r="O1370" s="32"/>
      <c r="P1370" s="32"/>
      <c r="Q1370" s="34"/>
      <c r="R1370" s="35"/>
      <c r="S1370" s="35"/>
      <c r="T1370" s="36"/>
      <c r="U1370" s="36"/>
      <c r="V1370" s="36"/>
      <c r="W1370" s="36"/>
      <c r="X1370" s="36"/>
      <c r="Y1370" s="36"/>
    </row>
    <row r="1371">
      <c r="A1371" s="32"/>
      <c r="B1371" s="32"/>
      <c r="C1371" s="32"/>
      <c r="D1371" s="32"/>
      <c r="E1371" s="32"/>
      <c r="F1371" s="32"/>
      <c r="G1371" s="39"/>
      <c r="H1371" s="32"/>
      <c r="I1371" s="32"/>
      <c r="J1371" s="32"/>
      <c r="K1371" s="33"/>
      <c r="L1371" s="32"/>
      <c r="M1371" s="32"/>
      <c r="N1371" s="32"/>
      <c r="O1371" s="32"/>
      <c r="P1371" s="32"/>
      <c r="Q1371" s="34"/>
      <c r="R1371" s="35"/>
      <c r="S1371" s="35"/>
      <c r="T1371" s="36"/>
      <c r="U1371" s="36"/>
      <c r="V1371" s="36"/>
      <c r="W1371" s="36"/>
      <c r="X1371" s="36"/>
      <c r="Y1371" s="36"/>
    </row>
    <row r="1372">
      <c r="A1372" s="32"/>
      <c r="B1372" s="32"/>
      <c r="C1372" s="32"/>
      <c r="D1372" s="32"/>
      <c r="E1372" s="32"/>
      <c r="F1372" s="32"/>
      <c r="G1372" s="39"/>
      <c r="H1372" s="32"/>
      <c r="I1372" s="32"/>
      <c r="J1372" s="32"/>
      <c r="K1372" s="33"/>
      <c r="L1372" s="32"/>
      <c r="M1372" s="32"/>
      <c r="N1372" s="32"/>
      <c r="O1372" s="32"/>
      <c r="P1372" s="32"/>
      <c r="Q1372" s="34"/>
      <c r="R1372" s="35"/>
      <c r="S1372" s="35"/>
      <c r="T1372" s="36"/>
      <c r="U1372" s="36"/>
      <c r="V1372" s="36"/>
      <c r="W1372" s="36"/>
      <c r="X1372" s="36"/>
      <c r="Y1372" s="36"/>
    </row>
    <row r="1373">
      <c r="A1373" s="32"/>
      <c r="B1373" s="32"/>
      <c r="C1373" s="32"/>
      <c r="D1373" s="32"/>
      <c r="E1373" s="32"/>
      <c r="F1373" s="32"/>
      <c r="G1373" s="39"/>
      <c r="H1373" s="32"/>
      <c r="I1373" s="32"/>
      <c r="J1373" s="32"/>
      <c r="K1373" s="33"/>
      <c r="L1373" s="32"/>
      <c r="M1373" s="32"/>
      <c r="N1373" s="32"/>
      <c r="O1373" s="32"/>
      <c r="P1373" s="32"/>
      <c r="Q1373" s="34"/>
      <c r="R1373" s="35"/>
      <c r="S1373" s="35"/>
      <c r="T1373" s="36"/>
      <c r="U1373" s="36"/>
      <c r="V1373" s="36"/>
      <c r="W1373" s="36"/>
      <c r="X1373" s="36"/>
      <c r="Y1373" s="36"/>
    </row>
    <row r="1374">
      <c r="A1374" s="32"/>
      <c r="B1374" s="32"/>
      <c r="C1374" s="32"/>
      <c r="D1374" s="32"/>
      <c r="E1374" s="32"/>
      <c r="F1374" s="32"/>
      <c r="G1374" s="39"/>
      <c r="H1374" s="32"/>
      <c r="I1374" s="32"/>
      <c r="J1374" s="32"/>
      <c r="K1374" s="33"/>
      <c r="L1374" s="32"/>
      <c r="M1374" s="32"/>
      <c r="N1374" s="32"/>
      <c r="O1374" s="32"/>
      <c r="P1374" s="32"/>
      <c r="Q1374" s="34"/>
      <c r="R1374" s="35"/>
      <c r="S1374" s="35"/>
      <c r="T1374" s="36"/>
      <c r="U1374" s="36"/>
      <c r="V1374" s="36"/>
      <c r="W1374" s="36"/>
      <c r="X1374" s="36"/>
      <c r="Y1374" s="36"/>
    </row>
    <row r="1375">
      <c r="A1375" s="32"/>
      <c r="B1375" s="32"/>
      <c r="C1375" s="32"/>
      <c r="D1375" s="32"/>
      <c r="E1375" s="32"/>
      <c r="F1375" s="32"/>
      <c r="G1375" s="39"/>
      <c r="H1375" s="32"/>
      <c r="I1375" s="32"/>
      <c r="J1375" s="32"/>
      <c r="K1375" s="33"/>
      <c r="L1375" s="32"/>
      <c r="M1375" s="32"/>
      <c r="N1375" s="32"/>
      <c r="O1375" s="32"/>
      <c r="P1375" s="32"/>
      <c r="Q1375" s="34"/>
      <c r="R1375" s="35"/>
      <c r="S1375" s="35"/>
      <c r="T1375" s="36"/>
      <c r="U1375" s="36"/>
      <c r="V1375" s="36"/>
      <c r="W1375" s="36"/>
      <c r="X1375" s="36"/>
      <c r="Y1375" s="36"/>
    </row>
    <row r="1376">
      <c r="A1376" s="32"/>
      <c r="B1376" s="32"/>
      <c r="C1376" s="32"/>
      <c r="D1376" s="32"/>
      <c r="E1376" s="32"/>
      <c r="F1376" s="32"/>
      <c r="G1376" s="39"/>
      <c r="H1376" s="32"/>
      <c r="I1376" s="32"/>
      <c r="J1376" s="32"/>
      <c r="K1376" s="33"/>
      <c r="L1376" s="32"/>
      <c r="M1376" s="32"/>
      <c r="N1376" s="32"/>
      <c r="O1376" s="32"/>
      <c r="P1376" s="32"/>
      <c r="Q1376" s="34"/>
      <c r="R1376" s="35"/>
      <c r="S1376" s="35"/>
      <c r="T1376" s="36"/>
      <c r="U1376" s="36"/>
      <c r="V1376" s="36"/>
      <c r="W1376" s="36"/>
      <c r="X1376" s="36"/>
      <c r="Y1376" s="36"/>
    </row>
    <row r="1377">
      <c r="A1377" s="32"/>
      <c r="B1377" s="32"/>
      <c r="C1377" s="32"/>
      <c r="D1377" s="32"/>
      <c r="E1377" s="32"/>
      <c r="F1377" s="32"/>
      <c r="G1377" s="39"/>
      <c r="H1377" s="32"/>
      <c r="I1377" s="32"/>
      <c r="J1377" s="32"/>
      <c r="K1377" s="33"/>
      <c r="L1377" s="32"/>
      <c r="M1377" s="32"/>
      <c r="N1377" s="32"/>
      <c r="O1377" s="32"/>
      <c r="P1377" s="32"/>
      <c r="Q1377" s="34"/>
      <c r="R1377" s="35"/>
      <c r="S1377" s="35"/>
      <c r="T1377" s="36"/>
      <c r="U1377" s="36"/>
      <c r="V1377" s="36"/>
      <c r="W1377" s="36"/>
      <c r="X1377" s="36"/>
      <c r="Y1377" s="36"/>
    </row>
    <row r="1378">
      <c r="A1378" s="32"/>
      <c r="B1378" s="32"/>
      <c r="C1378" s="32"/>
      <c r="D1378" s="32"/>
      <c r="E1378" s="32"/>
      <c r="F1378" s="32"/>
      <c r="G1378" s="39"/>
      <c r="H1378" s="32"/>
      <c r="I1378" s="32"/>
      <c r="J1378" s="32"/>
      <c r="K1378" s="33"/>
      <c r="L1378" s="32"/>
      <c r="M1378" s="32"/>
      <c r="N1378" s="32"/>
      <c r="O1378" s="32"/>
      <c r="P1378" s="32"/>
      <c r="Q1378" s="34"/>
      <c r="R1378" s="35"/>
      <c r="S1378" s="35"/>
      <c r="T1378" s="36"/>
      <c r="U1378" s="36"/>
      <c r="V1378" s="36"/>
      <c r="W1378" s="36"/>
      <c r="X1378" s="36"/>
      <c r="Y1378" s="36"/>
    </row>
    <row r="1379">
      <c r="A1379" s="32"/>
      <c r="B1379" s="32"/>
      <c r="C1379" s="32"/>
      <c r="D1379" s="32"/>
      <c r="E1379" s="32"/>
      <c r="F1379" s="32"/>
      <c r="G1379" s="39"/>
      <c r="H1379" s="32"/>
      <c r="I1379" s="32"/>
      <c r="J1379" s="32"/>
      <c r="K1379" s="33"/>
      <c r="L1379" s="32"/>
      <c r="M1379" s="32"/>
      <c r="N1379" s="32"/>
      <c r="O1379" s="32"/>
      <c r="P1379" s="32"/>
      <c r="Q1379" s="34"/>
      <c r="R1379" s="35"/>
      <c r="S1379" s="35"/>
      <c r="T1379" s="36"/>
      <c r="U1379" s="36"/>
      <c r="V1379" s="36"/>
      <c r="W1379" s="36"/>
      <c r="X1379" s="36"/>
      <c r="Y1379" s="36"/>
    </row>
    <row r="1380">
      <c r="A1380" s="32"/>
      <c r="B1380" s="32"/>
      <c r="C1380" s="32"/>
      <c r="D1380" s="32"/>
      <c r="E1380" s="32"/>
      <c r="F1380" s="32"/>
      <c r="G1380" s="39"/>
      <c r="H1380" s="32"/>
      <c r="I1380" s="32"/>
      <c r="J1380" s="32"/>
      <c r="K1380" s="33"/>
      <c r="L1380" s="32"/>
      <c r="M1380" s="32"/>
      <c r="N1380" s="32"/>
      <c r="O1380" s="32"/>
      <c r="P1380" s="32"/>
      <c r="Q1380" s="34"/>
      <c r="R1380" s="35"/>
      <c r="S1380" s="35"/>
      <c r="T1380" s="36"/>
      <c r="U1380" s="36"/>
      <c r="V1380" s="36"/>
      <c r="W1380" s="36"/>
      <c r="X1380" s="36"/>
      <c r="Y1380" s="36"/>
    </row>
    <row r="1381">
      <c r="A1381" s="32"/>
      <c r="B1381" s="32"/>
      <c r="C1381" s="32"/>
      <c r="D1381" s="32"/>
      <c r="E1381" s="32"/>
      <c r="F1381" s="32"/>
      <c r="G1381" s="39"/>
      <c r="H1381" s="32"/>
      <c r="I1381" s="32"/>
      <c r="J1381" s="32"/>
      <c r="K1381" s="33"/>
      <c r="L1381" s="32"/>
      <c r="M1381" s="32"/>
      <c r="N1381" s="32"/>
      <c r="O1381" s="32"/>
      <c r="P1381" s="32"/>
      <c r="Q1381" s="34"/>
      <c r="R1381" s="35"/>
      <c r="S1381" s="35"/>
      <c r="T1381" s="36"/>
      <c r="U1381" s="36"/>
      <c r="V1381" s="36"/>
      <c r="W1381" s="36"/>
      <c r="X1381" s="36"/>
      <c r="Y1381" s="36"/>
    </row>
    <row r="1382">
      <c r="A1382" s="32"/>
      <c r="B1382" s="32"/>
      <c r="C1382" s="32"/>
      <c r="D1382" s="32"/>
      <c r="E1382" s="32"/>
      <c r="F1382" s="32"/>
      <c r="G1382" s="39"/>
      <c r="H1382" s="32"/>
      <c r="I1382" s="32"/>
      <c r="J1382" s="32"/>
      <c r="K1382" s="33"/>
      <c r="L1382" s="32"/>
      <c r="M1382" s="32"/>
      <c r="N1382" s="32"/>
      <c r="O1382" s="32"/>
      <c r="P1382" s="32"/>
      <c r="Q1382" s="34"/>
      <c r="R1382" s="35"/>
      <c r="S1382" s="35"/>
      <c r="T1382" s="36"/>
      <c r="U1382" s="36"/>
      <c r="V1382" s="36"/>
      <c r="W1382" s="36"/>
      <c r="X1382" s="36"/>
      <c r="Y1382" s="36"/>
    </row>
    <row r="1383">
      <c r="A1383" s="32"/>
      <c r="B1383" s="32"/>
      <c r="C1383" s="32"/>
      <c r="D1383" s="32"/>
      <c r="E1383" s="32"/>
      <c r="F1383" s="32"/>
      <c r="G1383" s="39"/>
      <c r="H1383" s="32"/>
      <c r="I1383" s="32"/>
      <c r="J1383" s="32"/>
      <c r="K1383" s="33"/>
      <c r="L1383" s="32"/>
      <c r="M1383" s="32"/>
      <c r="N1383" s="32"/>
      <c r="O1383" s="32"/>
      <c r="P1383" s="32"/>
      <c r="Q1383" s="34"/>
      <c r="R1383" s="35"/>
      <c r="S1383" s="35"/>
      <c r="T1383" s="36"/>
      <c r="U1383" s="36"/>
      <c r="V1383" s="36"/>
      <c r="W1383" s="36"/>
      <c r="X1383" s="36"/>
      <c r="Y1383" s="36"/>
    </row>
    <row r="1384">
      <c r="A1384" s="32"/>
      <c r="B1384" s="32"/>
      <c r="C1384" s="32"/>
      <c r="D1384" s="32"/>
      <c r="E1384" s="32"/>
      <c r="F1384" s="32"/>
      <c r="G1384" s="39"/>
      <c r="H1384" s="32"/>
      <c r="I1384" s="32"/>
      <c r="J1384" s="32"/>
      <c r="K1384" s="33"/>
      <c r="L1384" s="32"/>
      <c r="M1384" s="32"/>
      <c r="N1384" s="32"/>
      <c r="O1384" s="32"/>
      <c r="P1384" s="32"/>
      <c r="Q1384" s="34"/>
      <c r="R1384" s="35"/>
      <c r="S1384" s="35"/>
      <c r="T1384" s="36"/>
      <c r="U1384" s="36"/>
      <c r="V1384" s="36"/>
      <c r="W1384" s="36"/>
      <c r="X1384" s="36"/>
      <c r="Y1384" s="36"/>
    </row>
    <row r="1385">
      <c r="A1385" s="32"/>
      <c r="B1385" s="32"/>
      <c r="C1385" s="32"/>
      <c r="D1385" s="32"/>
      <c r="E1385" s="32"/>
      <c r="F1385" s="32"/>
      <c r="G1385" s="39"/>
      <c r="H1385" s="32"/>
      <c r="I1385" s="32"/>
      <c r="J1385" s="32"/>
      <c r="K1385" s="33"/>
      <c r="L1385" s="32"/>
      <c r="M1385" s="32"/>
      <c r="N1385" s="32"/>
      <c r="O1385" s="32"/>
      <c r="P1385" s="32"/>
      <c r="Q1385" s="34"/>
      <c r="R1385" s="35"/>
      <c r="S1385" s="35"/>
      <c r="T1385" s="36"/>
      <c r="U1385" s="36"/>
      <c r="V1385" s="36"/>
      <c r="W1385" s="36"/>
      <c r="X1385" s="36"/>
      <c r="Y1385" s="36"/>
    </row>
    <row r="1386">
      <c r="A1386" s="32"/>
      <c r="B1386" s="32"/>
      <c r="C1386" s="32"/>
      <c r="D1386" s="32"/>
      <c r="E1386" s="32"/>
      <c r="F1386" s="32"/>
      <c r="G1386" s="39"/>
      <c r="H1386" s="32"/>
      <c r="I1386" s="32"/>
      <c r="J1386" s="32"/>
      <c r="K1386" s="33"/>
      <c r="L1386" s="32"/>
      <c r="M1386" s="32"/>
      <c r="N1386" s="32"/>
      <c r="O1386" s="32"/>
      <c r="P1386" s="32"/>
      <c r="Q1386" s="34"/>
      <c r="R1386" s="35"/>
      <c r="S1386" s="35"/>
      <c r="T1386" s="36"/>
      <c r="U1386" s="36"/>
      <c r="V1386" s="36"/>
      <c r="W1386" s="36"/>
      <c r="X1386" s="36"/>
      <c r="Y1386" s="36"/>
    </row>
    <row r="1387">
      <c r="A1387" s="32"/>
      <c r="B1387" s="32"/>
      <c r="C1387" s="32"/>
      <c r="D1387" s="32"/>
      <c r="E1387" s="32"/>
      <c r="F1387" s="32"/>
      <c r="G1387" s="39"/>
      <c r="H1387" s="32"/>
      <c r="I1387" s="32"/>
      <c r="J1387" s="32"/>
      <c r="K1387" s="33"/>
      <c r="L1387" s="32"/>
      <c r="M1387" s="32"/>
      <c r="N1387" s="32"/>
      <c r="O1387" s="32"/>
      <c r="P1387" s="32"/>
      <c r="Q1387" s="34"/>
      <c r="R1387" s="35"/>
      <c r="S1387" s="35"/>
      <c r="T1387" s="36"/>
      <c r="U1387" s="36"/>
      <c r="V1387" s="36"/>
      <c r="W1387" s="36"/>
      <c r="X1387" s="36"/>
      <c r="Y1387" s="36"/>
    </row>
    <row r="1388">
      <c r="A1388" s="32"/>
      <c r="B1388" s="32"/>
      <c r="C1388" s="32"/>
      <c r="D1388" s="32"/>
      <c r="E1388" s="32"/>
      <c r="F1388" s="32"/>
      <c r="G1388" s="39"/>
      <c r="H1388" s="32"/>
      <c r="I1388" s="32"/>
      <c r="J1388" s="32"/>
      <c r="K1388" s="33"/>
      <c r="L1388" s="32"/>
      <c r="M1388" s="32"/>
      <c r="N1388" s="32"/>
      <c r="O1388" s="32"/>
      <c r="P1388" s="32"/>
      <c r="Q1388" s="34"/>
      <c r="R1388" s="35"/>
      <c r="S1388" s="35"/>
      <c r="T1388" s="36"/>
      <c r="U1388" s="36"/>
      <c r="V1388" s="36"/>
      <c r="W1388" s="36"/>
      <c r="X1388" s="36"/>
      <c r="Y1388" s="36"/>
    </row>
    <row r="1389">
      <c r="A1389" s="32"/>
      <c r="B1389" s="32"/>
      <c r="C1389" s="32"/>
      <c r="D1389" s="32"/>
      <c r="E1389" s="32"/>
      <c r="F1389" s="32"/>
      <c r="G1389" s="39"/>
      <c r="H1389" s="32"/>
      <c r="I1389" s="32"/>
      <c r="J1389" s="32"/>
      <c r="K1389" s="33"/>
      <c r="L1389" s="32"/>
      <c r="M1389" s="32"/>
      <c r="N1389" s="32"/>
      <c r="O1389" s="32"/>
      <c r="P1389" s="32"/>
      <c r="Q1389" s="34"/>
      <c r="R1389" s="35"/>
      <c r="S1389" s="35"/>
      <c r="T1389" s="36"/>
      <c r="U1389" s="36"/>
      <c r="V1389" s="36"/>
      <c r="W1389" s="36"/>
      <c r="X1389" s="36"/>
      <c r="Y1389" s="36"/>
    </row>
    <row r="1390">
      <c r="A1390" s="32"/>
      <c r="B1390" s="32"/>
      <c r="C1390" s="32"/>
      <c r="D1390" s="32"/>
      <c r="E1390" s="32"/>
      <c r="F1390" s="32"/>
      <c r="G1390" s="39"/>
      <c r="H1390" s="32"/>
      <c r="I1390" s="32"/>
      <c r="J1390" s="32"/>
      <c r="K1390" s="33"/>
      <c r="L1390" s="32"/>
      <c r="M1390" s="32"/>
      <c r="N1390" s="32"/>
      <c r="O1390" s="32"/>
      <c r="P1390" s="32"/>
      <c r="Q1390" s="34"/>
      <c r="R1390" s="35"/>
      <c r="S1390" s="35"/>
      <c r="T1390" s="36"/>
      <c r="U1390" s="36"/>
      <c r="V1390" s="36"/>
      <c r="W1390" s="36"/>
      <c r="X1390" s="36"/>
      <c r="Y1390" s="36"/>
    </row>
    <row r="1391">
      <c r="A1391" s="32"/>
      <c r="B1391" s="32"/>
      <c r="C1391" s="32"/>
      <c r="D1391" s="32"/>
      <c r="E1391" s="32"/>
      <c r="F1391" s="32"/>
      <c r="G1391" s="39"/>
      <c r="H1391" s="32"/>
      <c r="I1391" s="32"/>
      <c r="J1391" s="32"/>
      <c r="K1391" s="33"/>
      <c r="L1391" s="32"/>
      <c r="M1391" s="32"/>
      <c r="N1391" s="32"/>
      <c r="O1391" s="32"/>
      <c r="P1391" s="32"/>
      <c r="Q1391" s="34"/>
      <c r="R1391" s="35"/>
      <c r="S1391" s="35"/>
      <c r="T1391" s="36"/>
      <c r="U1391" s="36"/>
      <c r="V1391" s="36"/>
      <c r="W1391" s="36"/>
      <c r="X1391" s="36"/>
      <c r="Y1391" s="36"/>
    </row>
    <row r="1392">
      <c r="A1392" s="32"/>
      <c r="B1392" s="32"/>
      <c r="C1392" s="32"/>
      <c r="D1392" s="32"/>
      <c r="E1392" s="32"/>
      <c r="F1392" s="32"/>
      <c r="G1392" s="39"/>
      <c r="H1392" s="32"/>
      <c r="I1392" s="32"/>
      <c r="J1392" s="32"/>
      <c r="K1392" s="33"/>
      <c r="L1392" s="32"/>
      <c r="M1392" s="32"/>
      <c r="N1392" s="32"/>
      <c r="O1392" s="32"/>
      <c r="P1392" s="32"/>
      <c r="Q1392" s="34"/>
      <c r="R1392" s="35"/>
      <c r="S1392" s="35"/>
      <c r="T1392" s="36"/>
      <c r="U1392" s="36"/>
      <c r="V1392" s="36"/>
      <c r="W1392" s="36"/>
      <c r="X1392" s="36"/>
      <c r="Y1392" s="36"/>
    </row>
    <row r="1393">
      <c r="A1393" s="32"/>
      <c r="B1393" s="32"/>
      <c r="C1393" s="32"/>
      <c r="D1393" s="32"/>
      <c r="E1393" s="32"/>
      <c r="F1393" s="32"/>
      <c r="G1393" s="39"/>
      <c r="H1393" s="32"/>
      <c r="I1393" s="32"/>
      <c r="J1393" s="32"/>
      <c r="K1393" s="33"/>
      <c r="L1393" s="32"/>
      <c r="M1393" s="32"/>
      <c r="N1393" s="32"/>
      <c r="O1393" s="32"/>
      <c r="P1393" s="32"/>
      <c r="Q1393" s="34"/>
      <c r="R1393" s="35"/>
      <c r="S1393" s="35"/>
      <c r="T1393" s="36"/>
      <c r="U1393" s="36"/>
      <c r="V1393" s="36"/>
      <c r="W1393" s="36"/>
      <c r="X1393" s="36"/>
      <c r="Y1393" s="36"/>
    </row>
    <row r="1394">
      <c r="A1394" s="32"/>
      <c r="B1394" s="32"/>
      <c r="C1394" s="32"/>
      <c r="D1394" s="32"/>
      <c r="E1394" s="32"/>
      <c r="F1394" s="32"/>
      <c r="G1394" s="39"/>
      <c r="H1394" s="32"/>
      <c r="I1394" s="32"/>
      <c r="J1394" s="32"/>
      <c r="K1394" s="33"/>
      <c r="L1394" s="32"/>
      <c r="M1394" s="32"/>
      <c r="N1394" s="32"/>
      <c r="O1394" s="32"/>
      <c r="P1394" s="32"/>
      <c r="Q1394" s="34"/>
      <c r="R1394" s="35"/>
      <c r="S1394" s="35"/>
      <c r="T1394" s="36"/>
      <c r="U1394" s="36"/>
      <c r="V1394" s="36"/>
      <c r="W1394" s="36"/>
      <c r="X1394" s="36"/>
      <c r="Y1394" s="36"/>
    </row>
    <row r="1395">
      <c r="A1395" s="32"/>
      <c r="B1395" s="32"/>
      <c r="C1395" s="32"/>
      <c r="D1395" s="32"/>
      <c r="E1395" s="32"/>
      <c r="F1395" s="32"/>
      <c r="G1395" s="39"/>
      <c r="H1395" s="32"/>
      <c r="I1395" s="32"/>
      <c r="J1395" s="32"/>
      <c r="K1395" s="33"/>
      <c r="L1395" s="32"/>
      <c r="M1395" s="32"/>
      <c r="N1395" s="32"/>
      <c r="O1395" s="32"/>
      <c r="P1395" s="32"/>
      <c r="Q1395" s="34"/>
      <c r="R1395" s="35"/>
      <c r="S1395" s="35"/>
      <c r="T1395" s="36"/>
      <c r="U1395" s="36"/>
      <c r="V1395" s="36"/>
      <c r="W1395" s="36"/>
      <c r="X1395" s="36"/>
      <c r="Y1395" s="36"/>
    </row>
    <row r="1396">
      <c r="A1396" s="32"/>
      <c r="B1396" s="32"/>
      <c r="C1396" s="32"/>
      <c r="D1396" s="32"/>
      <c r="E1396" s="32"/>
      <c r="F1396" s="32"/>
      <c r="G1396" s="39"/>
      <c r="H1396" s="32"/>
      <c r="I1396" s="32"/>
      <c r="J1396" s="32"/>
      <c r="K1396" s="33"/>
      <c r="L1396" s="32"/>
      <c r="M1396" s="32"/>
      <c r="N1396" s="32"/>
      <c r="O1396" s="32"/>
      <c r="P1396" s="32"/>
      <c r="Q1396" s="34"/>
      <c r="R1396" s="35"/>
      <c r="S1396" s="35"/>
      <c r="T1396" s="36"/>
      <c r="U1396" s="36"/>
      <c r="V1396" s="36"/>
      <c r="W1396" s="36"/>
      <c r="X1396" s="36"/>
      <c r="Y1396" s="36"/>
    </row>
    <row r="1397">
      <c r="A1397" s="32"/>
      <c r="B1397" s="32"/>
      <c r="C1397" s="32"/>
      <c r="D1397" s="32"/>
      <c r="E1397" s="32"/>
      <c r="F1397" s="32"/>
      <c r="G1397" s="39"/>
      <c r="H1397" s="32"/>
      <c r="I1397" s="32"/>
      <c r="J1397" s="32"/>
      <c r="K1397" s="33"/>
      <c r="L1397" s="32"/>
      <c r="M1397" s="32"/>
      <c r="N1397" s="32"/>
      <c r="O1397" s="32"/>
      <c r="P1397" s="32"/>
      <c r="Q1397" s="34"/>
      <c r="R1397" s="35"/>
      <c r="S1397" s="35"/>
      <c r="T1397" s="36"/>
      <c r="U1397" s="36"/>
      <c r="V1397" s="36"/>
      <c r="W1397" s="36"/>
      <c r="X1397" s="36"/>
      <c r="Y1397" s="36"/>
    </row>
    <row r="1398">
      <c r="A1398" s="32"/>
      <c r="B1398" s="32"/>
      <c r="C1398" s="32"/>
      <c r="D1398" s="32"/>
      <c r="E1398" s="32"/>
      <c r="F1398" s="32"/>
      <c r="G1398" s="39"/>
      <c r="H1398" s="32"/>
      <c r="I1398" s="32"/>
      <c r="J1398" s="32"/>
      <c r="K1398" s="33"/>
      <c r="L1398" s="32"/>
      <c r="M1398" s="32"/>
      <c r="N1398" s="32"/>
      <c r="O1398" s="32"/>
      <c r="P1398" s="32"/>
      <c r="Q1398" s="34"/>
      <c r="R1398" s="35"/>
      <c r="S1398" s="35"/>
      <c r="T1398" s="36"/>
      <c r="U1398" s="36"/>
      <c r="V1398" s="36"/>
      <c r="W1398" s="36"/>
      <c r="X1398" s="36"/>
      <c r="Y1398" s="36"/>
    </row>
    <row r="1399">
      <c r="A1399" s="32"/>
      <c r="B1399" s="32"/>
      <c r="C1399" s="32"/>
      <c r="D1399" s="32"/>
      <c r="E1399" s="32"/>
      <c r="F1399" s="32"/>
      <c r="G1399" s="39"/>
      <c r="H1399" s="32"/>
      <c r="I1399" s="32"/>
      <c r="J1399" s="32"/>
      <c r="K1399" s="33"/>
      <c r="L1399" s="32"/>
      <c r="M1399" s="32"/>
      <c r="N1399" s="32"/>
      <c r="O1399" s="32"/>
      <c r="P1399" s="32"/>
      <c r="Q1399" s="34"/>
      <c r="R1399" s="35"/>
      <c r="S1399" s="35"/>
      <c r="T1399" s="36"/>
      <c r="U1399" s="36"/>
      <c r="V1399" s="36"/>
      <c r="W1399" s="36"/>
      <c r="X1399" s="36"/>
      <c r="Y1399" s="36"/>
    </row>
    <row r="1400">
      <c r="A1400" s="32"/>
      <c r="B1400" s="32"/>
      <c r="C1400" s="32"/>
      <c r="D1400" s="32"/>
      <c r="E1400" s="32"/>
      <c r="F1400" s="32"/>
      <c r="G1400" s="39"/>
      <c r="H1400" s="32"/>
      <c r="I1400" s="32"/>
      <c r="J1400" s="32"/>
      <c r="K1400" s="33"/>
      <c r="L1400" s="32"/>
      <c r="M1400" s="32"/>
      <c r="N1400" s="32"/>
      <c r="O1400" s="32"/>
      <c r="P1400" s="32"/>
      <c r="Q1400" s="34"/>
      <c r="R1400" s="35"/>
      <c r="S1400" s="35"/>
      <c r="T1400" s="36"/>
      <c r="U1400" s="36"/>
      <c r="V1400" s="36"/>
      <c r="W1400" s="36"/>
      <c r="X1400" s="36"/>
      <c r="Y1400" s="36"/>
    </row>
    <row r="1401">
      <c r="A1401" s="32"/>
      <c r="B1401" s="32"/>
      <c r="C1401" s="32"/>
      <c r="D1401" s="32"/>
      <c r="E1401" s="32"/>
      <c r="F1401" s="32"/>
      <c r="G1401" s="39"/>
      <c r="H1401" s="32"/>
      <c r="I1401" s="32"/>
      <c r="J1401" s="32"/>
      <c r="K1401" s="33"/>
      <c r="L1401" s="32"/>
      <c r="M1401" s="32"/>
      <c r="N1401" s="32"/>
      <c r="O1401" s="32"/>
      <c r="P1401" s="32"/>
      <c r="Q1401" s="34"/>
      <c r="R1401" s="35"/>
      <c r="S1401" s="35"/>
      <c r="T1401" s="36"/>
      <c r="U1401" s="36"/>
      <c r="V1401" s="36"/>
      <c r="W1401" s="36"/>
      <c r="X1401" s="36"/>
      <c r="Y1401" s="36"/>
    </row>
    <row r="1402">
      <c r="A1402" s="32"/>
      <c r="B1402" s="32"/>
      <c r="C1402" s="32"/>
      <c r="D1402" s="32"/>
      <c r="E1402" s="32"/>
      <c r="F1402" s="32"/>
      <c r="G1402" s="39"/>
      <c r="H1402" s="32"/>
      <c r="I1402" s="32"/>
      <c r="J1402" s="32"/>
      <c r="K1402" s="33"/>
      <c r="L1402" s="32"/>
      <c r="M1402" s="32"/>
      <c r="N1402" s="32"/>
      <c r="O1402" s="32"/>
      <c r="P1402" s="32"/>
      <c r="Q1402" s="34"/>
      <c r="R1402" s="35"/>
      <c r="S1402" s="35"/>
      <c r="T1402" s="36"/>
      <c r="U1402" s="36"/>
      <c r="V1402" s="36"/>
      <c r="W1402" s="36"/>
      <c r="X1402" s="36"/>
      <c r="Y1402" s="36"/>
    </row>
    <row r="1403">
      <c r="A1403" s="32"/>
      <c r="B1403" s="32"/>
      <c r="C1403" s="32"/>
      <c r="D1403" s="32"/>
      <c r="E1403" s="32"/>
      <c r="F1403" s="32"/>
      <c r="G1403" s="39"/>
      <c r="H1403" s="32"/>
      <c r="I1403" s="32"/>
      <c r="J1403" s="32"/>
      <c r="K1403" s="33"/>
      <c r="L1403" s="32"/>
      <c r="M1403" s="32"/>
      <c r="N1403" s="32"/>
      <c r="O1403" s="32"/>
      <c r="P1403" s="32"/>
      <c r="Q1403" s="34"/>
      <c r="R1403" s="35"/>
      <c r="S1403" s="35"/>
      <c r="T1403" s="36"/>
      <c r="U1403" s="36"/>
      <c r="V1403" s="36"/>
      <c r="W1403" s="36"/>
      <c r="X1403" s="36"/>
      <c r="Y1403" s="36"/>
    </row>
    <row r="1404">
      <c r="A1404" s="32"/>
      <c r="B1404" s="32"/>
      <c r="C1404" s="32"/>
      <c r="D1404" s="32"/>
      <c r="E1404" s="32"/>
      <c r="F1404" s="32"/>
      <c r="G1404" s="39"/>
      <c r="H1404" s="32"/>
      <c r="I1404" s="32"/>
      <c r="J1404" s="32"/>
      <c r="K1404" s="33"/>
      <c r="L1404" s="32"/>
      <c r="M1404" s="32"/>
      <c r="N1404" s="32"/>
      <c r="O1404" s="32"/>
      <c r="P1404" s="32"/>
      <c r="Q1404" s="34"/>
      <c r="R1404" s="35"/>
      <c r="S1404" s="35"/>
      <c r="T1404" s="36"/>
      <c r="U1404" s="36"/>
      <c r="V1404" s="36"/>
      <c r="W1404" s="36"/>
      <c r="X1404" s="36"/>
      <c r="Y1404" s="36"/>
    </row>
    <row r="1405">
      <c r="A1405" s="32"/>
      <c r="B1405" s="32"/>
      <c r="C1405" s="32"/>
      <c r="D1405" s="32"/>
      <c r="E1405" s="32"/>
      <c r="F1405" s="32"/>
      <c r="G1405" s="39"/>
      <c r="H1405" s="32"/>
      <c r="I1405" s="32"/>
      <c r="J1405" s="32"/>
      <c r="K1405" s="33"/>
      <c r="L1405" s="32"/>
      <c r="M1405" s="32"/>
      <c r="N1405" s="32"/>
      <c r="O1405" s="32"/>
      <c r="P1405" s="32"/>
      <c r="Q1405" s="34"/>
      <c r="R1405" s="35"/>
      <c r="S1405" s="35"/>
      <c r="T1405" s="36"/>
      <c r="U1405" s="36"/>
      <c r="V1405" s="36"/>
      <c r="W1405" s="36"/>
      <c r="X1405" s="36"/>
      <c r="Y1405" s="36"/>
    </row>
    <row r="1406">
      <c r="A1406" s="32"/>
      <c r="B1406" s="32"/>
      <c r="C1406" s="32"/>
      <c r="D1406" s="32"/>
      <c r="E1406" s="32"/>
      <c r="F1406" s="32"/>
      <c r="G1406" s="39"/>
      <c r="H1406" s="32"/>
      <c r="I1406" s="32"/>
      <c r="J1406" s="32"/>
      <c r="K1406" s="33"/>
      <c r="L1406" s="32"/>
      <c r="M1406" s="32"/>
      <c r="N1406" s="32"/>
      <c r="O1406" s="32"/>
      <c r="P1406" s="32"/>
      <c r="Q1406" s="34"/>
      <c r="R1406" s="35"/>
      <c r="S1406" s="35"/>
      <c r="T1406" s="36"/>
      <c r="U1406" s="36"/>
      <c r="V1406" s="36"/>
      <c r="W1406" s="36"/>
      <c r="X1406" s="36"/>
      <c r="Y1406" s="36"/>
    </row>
    <row r="1407">
      <c r="A1407" s="32"/>
      <c r="B1407" s="32"/>
      <c r="C1407" s="32"/>
      <c r="D1407" s="32"/>
      <c r="E1407" s="32"/>
      <c r="F1407" s="32"/>
      <c r="G1407" s="39"/>
      <c r="H1407" s="32"/>
      <c r="I1407" s="32"/>
      <c r="J1407" s="32"/>
      <c r="K1407" s="33"/>
      <c r="L1407" s="32"/>
      <c r="M1407" s="32"/>
      <c r="N1407" s="32"/>
      <c r="O1407" s="32"/>
      <c r="P1407" s="32"/>
      <c r="Q1407" s="34"/>
      <c r="R1407" s="35"/>
      <c r="S1407" s="35"/>
      <c r="T1407" s="36"/>
      <c r="U1407" s="36"/>
      <c r="V1407" s="36"/>
      <c r="W1407" s="36"/>
      <c r="X1407" s="36"/>
      <c r="Y1407" s="36"/>
    </row>
    <row r="1408">
      <c r="A1408" s="32"/>
      <c r="B1408" s="32"/>
      <c r="C1408" s="32"/>
      <c r="D1408" s="32"/>
      <c r="E1408" s="32"/>
      <c r="F1408" s="32"/>
      <c r="G1408" s="39"/>
      <c r="H1408" s="32"/>
      <c r="I1408" s="32"/>
      <c r="J1408" s="32"/>
      <c r="K1408" s="33"/>
      <c r="L1408" s="32"/>
      <c r="M1408" s="32"/>
      <c r="N1408" s="32"/>
      <c r="O1408" s="32"/>
      <c r="P1408" s="32"/>
      <c r="Q1408" s="34"/>
      <c r="R1408" s="35"/>
      <c r="S1408" s="35"/>
      <c r="T1408" s="36"/>
      <c r="U1408" s="36"/>
      <c r="V1408" s="36"/>
      <c r="W1408" s="36"/>
      <c r="X1408" s="36"/>
      <c r="Y1408" s="36"/>
    </row>
    <row r="1409">
      <c r="A1409" s="32"/>
      <c r="B1409" s="32"/>
      <c r="C1409" s="32"/>
      <c r="D1409" s="32"/>
      <c r="E1409" s="32"/>
      <c r="F1409" s="32"/>
      <c r="G1409" s="39"/>
      <c r="H1409" s="32"/>
      <c r="I1409" s="32"/>
      <c r="J1409" s="32"/>
      <c r="K1409" s="33"/>
      <c r="L1409" s="32"/>
      <c r="M1409" s="32"/>
      <c r="N1409" s="32"/>
      <c r="O1409" s="32"/>
      <c r="P1409" s="32"/>
      <c r="Q1409" s="34"/>
      <c r="R1409" s="35"/>
      <c r="S1409" s="35"/>
      <c r="T1409" s="36"/>
      <c r="U1409" s="36"/>
      <c r="V1409" s="36"/>
      <c r="W1409" s="36"/>
      <c r="X1409" s="36"/>
      <c r="Y1409" s="36"/>
    </row>
    <row r="1410">
      <c r="A1410" s="32"/>
      <c r="B1410" s="32"/>
      <c r="C1410" s="32"/>
      <c r="D1410" s="32"/>
      <c r="E1410" s="32"/>
      <c r="F1410" s="32"/>
      <c r="G1410" s="39"/>
      <c r="H1410" s="32"/>
      <c r="I1410" s="32"/>
      <c r="J1410" s="32"/>
      <c r="K1410" s="33"/>
      <c r="L1410" s="32"/>
      <c r="M1410" s="32"/>
      <c r="N1410" s="32"/>
      <c r="O1410" s="32"/>
      <c r="P1410" s="32"/>
      <c r="Q1410" s="34"/>
      <c r="R1410" s="35"/>
      <c r="S1410" s="35"/>
      <c r="T1410" s="36"/>
      <c r="U1410" s="36"/>
      <c r="V1410" s="36"/>
      <c r="W1410" s="36"/>
      <c r="X1410" s="36"/>
      <c r="Y1410" s="36"/>
    </row>
    <row r="1411">
      <c r="A1411" s="32"/>
      <c r="B1411" s="32"/>
      <c r="C1411" s="32"/>
      <c r="D1411" s="32"/>
      <c r="E1411" s="32"/>
      <c r="F1411" s="32"/>
      <c r="G1411" s="39"/>
      <c r="H1411" s="32"/>
      <c r="I1411" s="32"/>
      <c r="J1411" s="32"/>
      <c r="K1411" s="33"/>
      <c r="L1411" s="32"/>
      <c r="M1411" s="32"/>
      <c r="N1411" s="32"/>
      <c r="O1411" s="32"/>
      <c r="P1411" s="32"/>
      <c r="Q1411" s="34"/>
      <c r="R1411" s="35"/>
      <c r="S1411" s="35"/>
      <c r="T1411" s="36"/>
      <c r="U1411" s="36"/>
      <c r="V1411" s="36"/>
      <c r="W1411" s="36"/>
      <c r="X1411" s="36"/>
      <c r="Y1411" s="36"/>
    </row>
    <row r="1412">
      <c r="A1412" s="32"/>
      <c r="B1412" s="32"/>
      <c r="C1412" s="32"/>
      <c r="D1412" s="32"/>
      <c r="E1412" s="32"/>
      <c r="F1412" s="32"/>
      <c r="G1412" s="39"/>
      <c r="H1412" s="32"/>
      <c r="I1412" s="32"/>
      <c r="J1412" s="32"/>
      <c r="K1412" s="33"/>
      <c r="L1412" s="32"/>
      <c r="M1412" s="32"/>
      <c r="N1412" s="32"/>
      <c r="O1412" s="32"/>
      <c r="P1412" s="32"/>
      <c r="Q1412" s="34"/>
      <c r="R1412" s="35"/>
      <c r="S1412" s="35"/>
      <c r="T1412" s="36"/>
      <c r="U1412" s="36"/>
      <c r="V1412" s="36"/>
      <c r="W1412" s="36"/>
      <c r="X1412" s="36"/>
      <c r="Y1412" s="36"/>
    </row>
    <row r="1413">
      <c r="A1413" s="32"/>
      <c r="B1413" s="32"/>
      <c r="C1413" s="32"/>
      <c r="D1413" s="32"/>
      <c r="E1413" s="32"/>
      <c r="F1413" s="32"/>
      <c r="G1413" s="39"/>
      <c r="H1413" s="32"/>
      <c r="I1413" s="32"/>
      <c r="J1413" s="32"/>
      <c r="K1413" s="33"/>
      <c r="L1413" s="32"/>
      <c r="M1413" s="32"/>
      <c r="N1413" s="32"/>
      <c r="O1413" s="32"/>
      <c r="P1413" s="32"/>
      <c r="Q1413" s="34"/>
      <c r="R1413" s="35"/>
      <c r="S1413" s="35"/>
      <c r="T1413" s="36"/>
      <c r="U1413" s="36"/>
      <c r="V1413" s="36"/>
      <c r="W1413" s="36"/>
      <c r="X1413" s="36"/>
      <c r="Y1413" s="36"/>
    </row>
    <row r="1414">
      <c r="A1414" s="32"/>
      <c r="B1414" s="32"/>
      <c r="C1414" s="32"/>
      <c r="D1414" s="32"/>
      <c r="E1414" s="32"/>
      <c r="F1414" s="32"/>
      <c r="G1414" s="39"/>
      <c r="H1414" s="32"/>
      <c r="I1414" s="32"/>
      <c r="J1414" s="32"/>
      <c r="K1414" s="33"/>
      <c r="L1414" s="32"/>
      <c r="M1414" s="32"/>
      <c r="N1414" s="32"/>
      <c r="O1414" s="32"/>
      <c r="P1414" s="32"/>
      <c r="Q1414" s="34"/>
      <c r="R1414" s="35"/>
      <c r="S1414" s="35"/>
      <c r="T1414" s="36"/>
      <c r="U1414" s="36"/>
      <c r="V1414" s="36"/>
      <c r="W1414" s="36"/>
      <c r="X1414" s="36"/>
      <c r="Y1414" s="36"/>
    </row>
    <row r="1415">
      <c r="A1415" s="32"/>
      <c r="B1415" s="32"/>
      <c r="C1415" s="32"/>
      <c r="D1415" s="32"/>
      <c r="E1415" s="32"/>
      <c r="F1415" s="32"/>
      <c r="G1415" s="39"/>
      <c r="H1415" s="32"/>
      <c r="I1415" s="32"/>
      <c r="J1415" s="32"/>
      <c r="K1415" s="33"/>
      <c r="L1415" s="32"/>
      <c r="M1415" s="32"/>
      <c r="N1415" s="32"/>
      <c r="O1415" s="32"/>
      <c r="P1415" s="32"/>
      <c r="Q1415" s="34"/>
      <c r="R1415" s="35"/>
      <c r="S1415" s="35"/>
      <c r="T1415" s="36"/>
      <c r="U1415" s="36"/>
      <c r="V1415" s="36"/>
      <c r="W1415" s="36"/>
      <c r="X1415" s="36"/>
      <c r="Y1415" s="36"/>
    </row>
    <row r="1416">
      <c r="A1416" s="32"/>
      <c r="B1416" s="32"/>
      <c r="C1416" s="32"/>
      <c r="D1416" s="32"/>
      <c r="E1416" s="32"/>
      <c r="F1416" s="32"/>
      <c r="G1416" s="39"/>
      <c r="H1416" s="32"/>
      <c r="I1416" s="32"/>
      <c r="J1416" s="32"/>
      <c r="K1416" s="33"/>
      <c r="L1416" s="32"/>
      <c r="M1416" s="32"/>
      <c r="N1416" s="32"/>
      <c r="O1416" s="32"/>
      <c r="P1416" s="32"/>
      <c r="Q1416" s="34"/>
      <c r="R1416" s="35"/>
      <c r="S1416" s="35"/>
      <c r="T1416" s="36"/>
      <c r="U1416" s="36"/>
      <c r="V1416" s="36"/>
      <c r="W1416" s="36"/>
      <c r="X1416" s="36"/>
      <c r="Y1416" s="36"/>
    </row>
    <row r="1417">
      <c r="A1417" s="32"/>
      <c r="B1417" s="32"/>
      <c r="C1417" s="32"/>
      <c r="D1417" s="32"/>
      <c r="E1417" s="32"/>
      <c r="F1417" s="32"/>
      <c r="G1417" s="39"/>
      <c r="H1417" s="32"/>
      <c r="I1417" s="32"/>
      <c r="J1417" s="32"/>
      <c r="K1417" s="33"/>
      <c r="L1417" s="32"/>
      <c r="M1417" s="32"/>
      <c r="N1417" s="32"/>
      <c r="O1417" s="32"/>
      <c r="P1417" s="32"/>
      <c r="Q1417" s="34"/>
      <c r="R1417" s="35"/>
      <c r="S1417" s="35"/>
      <c r="T1417" s="36"/>
      <c r="U1417" s="36"/>
      <c r="V1417" s="36"/>
      <c r="W1417" s="36"/>
      <c r="X1417" s="36"/>
      <c r="Y1417" s="36"/>
    </row>
    <row r="1418">
      <c r="A1418" s="32"/>
      <c r="B1418" s="32"/>
      <c r="C1418" s="32"/>
      <c r="D1418" s="32"/>
      <c r="E1418" s="32"/>
      <c r="F1418" s="32"/>
      <c r="G1418" s="39"/>
      <c r="H1418" s="32"/>
      <c r="I1418" s="32"/>
      <c r="J1418" s="32"/>
      <c r="K1418" s="33"/>
      <c r="L1418" s="32"/>
      <c r="M1418" s="32"/>
      <c r="N1418" s="32"/>
      <c r="O1418" s="32"/>
      <c r="P1418" s="32"/>
      <c r="Q1418" s="34"/>
      <c r="R1418" s="35"/>
      <c r="S1418" s="35"/>
      <c r="T1418" s="36"/>
      <c r="U1418" s="36"/>
      <c r="V1418" s="36"/>
      <c r="W1418" s="36"/>
      <c r="X1418" s="36"/>
      <c r="Y1418" s="36"/>
    </row>
    <row r="1419">
      <c r="A1419" s="32"/>
      <c r="B1419" s="32"/>
      <c r="C1419" s="32"/>
      <c r="D1419" s="32"/>
      <c r="E1419" s="32"/>
      <c r="F1419" s="32"/>
      <c r="G1419" s="39"/>
      <c r="H1419" s="32"/>
      <c r="I1419" s="32"/>
      <c r="J1419" s="32"/>
      <c r="K1419" s="33"/>
      <c r="L1419" s="32"/>
      <c r="M1419" s="32"/>
      <c r="N1419" s="32"/>
      <c r="O1419" s="32"/>
      <c r="P1419" s="32"/>
      <c r="Q1419" s="34"/>
      <c r="R1419" s="35"/>
      <c r="S1419" s="35"/>
      <c r="T1419" s="36"/>
      <c r="U1419" s="36"/>
      <c r="V1419" s="36"/>
      <c r="W1419" s="36"/>
      <c r="X1419" s="36"/>
      <c r="Y1419" s="36"/>
    </row>
    <row r="1420">
      <c r="A1420" s="32"/>
      <c r="B1420" s="32"/>
      <c r="C1420" s="32"/>
      <c r="D1420" s="32"/>
      <c r="E1420" s="32"/>
      <c r="F1420" s="32"/>
      <c r="G1420" s="39"/>
      <c r="H1420" s="32"/>
      <c r="I1420" s="32"/>
      <c r="J1420" s="32"/>
      <c r="K1420" s="33"/>
      <c r="L1420" s="32"/>
      <c r="M1420" s="32"/>
      <c r="N1420" s="32"/>
      <c r="O1420" s="32"/>
      <c r="P1420" s="32"/>
      <c r="Q1420" s="34"/>
      <c r="R1420" s="35"/>
      <c r="S1420" s="35"/>
      <c r="T1420" s="36"/>
      <c r="U1420" s="36"/>
      <c r="V1420" s="36"/>
      <c r="W1420" s="36"/>
      <c r="X1420" s="36"/>
      <c r="Y1420" s="36"/>
    </row>
    <row r="1421">
      <c r="A1421" s="32"/>
      <c r="B1421" s="32"/>
      <c r="C1421" s="32"/>
      <c r="D1421" s="32"/>
      <c r="E1421" s="32"/>
      <c r="F1421" s="32"/>
      <c r="G1421" s="39"/>
      <c r="H1421" s="32"/>
      <c r="I1421" s="32"/>
      <c r="J1421" s="32"/>
      <c r="K1421" s="33"/>
      <c r="L1421" s="32"/>
      <c r="M1421" s="32"/>
      <c r="N1421" s="32"/>
      <c r="O1421" s="32"/>
      <c r="P1421" s="32"/>
      <c r="Q1421" s="34"/>
      <c r="R1421" s="35"/>
      <c r="S1421" s="35"/>
      <c r="T1421" s="36"/>
      <c r="U1421" s="36"/>
      <c r="V1421" s="36"/>
      <c r="W1421" s="36"/>
      <c r="X1421" s="36"/>
      <c r="Y1421" s="36"/>
    </row>
    <row r="1422">
      <c r="A1422" s="32"/>
      <c r="B1422" s="32"/>
      <c r="C1422" s="32"/>
      <c r="D1422" s="32"/>
      <c r="E1422" s="32"/>
      <c r="F1422" s="32"/>
      <c r="G1422" s="39"/>
      <c r="H1422" s="32"/>
      <c r="I1422" s="32"/>
      <c r="J1422" s="32"/>
      <c r="K1422" s="33"/>
      <c r="L1422" s="32"/>
      <c r="M1422" s="32"/>
      <c r="N1422" s="32"/>
      <c r="O1422" s="32"/>
      <c r="P1422" s="32"/>
      <c r="Q1422" s="34"/>
      <c r="R1422" s="35"/>
      <c r="S1422" s="35"/>
      <c r="T1422" s="36"/>
      <c r="U1422" s="36"/>
      <c r="V1422" s="36"/>
      <c r="W1422" s="36"/>
      <c r="X1422" s="36"/>
      <c r="Y1422" s="36"/>
    </row>
    <row r="1423">
      <c r="A1423" s="32"/>
      <c r="B1423" s="32"/>
      <c r="C1423" s="32"/>
      <c r="D1423" s="32"/>
      <c r="E1423" s="32"/>
      <c r="F1423" s="32"/>
      <c r="G1423" s="39"/>
      <c r="H1423" s="32"/>
      <c r="I1423" s="32"/>
      <c r="J1423" s="32"/>
      <c r="K1423" s="33"/>
      <c r="L1423" s="32"/>
      <c r="M1423" s="32"/>
      <c r="N1423" s="32"/>
      <c r="O1423" s="32"/>
      <c r="P1423" s="32"/>
      <c r="Q1423" s="34"/>
      <c r="R1423" s="35"/>
      <c r="S1423" s="35"/>
      <c r="T1423" s="36"/>
      <c r="U1423" s="36"/>
      <c r="V1423" s="36"/>
      <c r="W1423" s="36"/>
      <c r="X1423" s="36"/>
      <c r="Y1423" s="36"/>
    </row>
    <row r="1424">
      <c r="A1424" s="32"/>
      <c r="B1424" s="32"/>
      <c r="C1424" s="32"/>
      <c r="D1424" s="32"/>
      <c r="E1424" s="32"/>
      <c r="F1424" s="32"/>
      <c r="G1424" s="39"/>
      <c r="H1424" s="32"/>
      <c r="I1424" s="32"/>
      <c r="J1424" s="32"/>
      <c r="K1424" s="33"/>
      <c r="L1424" s="32"/>
      <c r="M1424" s="32"/>
      <c r="N1424" s="32"/>
      <c r="O1424" s="32"/>
      <c r="P1424" s="32"/>
      <c r="Q1424" s="34"/>
      <c r="R1424" s="35"/>
      <c r="S1424" s="35"/>
      <c r="T1424" s="36"/>
      <c r="U1424" s="36"/>
      <c r="V1424" s="36"/>
      <c r="W1424" s="36"/>
      <c r="X1424" s="36"/>
      <c r="Y1424" s="36"/>
    </row>
    <row r="1425">
      <c r="A1425" s="32"/>
      <c r="B1425" s="32"/>
      <c r="C1425" s="32"/>
      <c r="D1425" s="32"/>
      <c r="E1425" s="32"/>
      <c r="F1425" s="32"/>
      <c r="G1425" s="39"/>
      <c r="H1425" s="32"/>
      <c r="I1425" s="32"/>
      <c r="J1425" s="32"/>
      <c r="K1425" s="33"/>
      <c r="L1425" s="32"/>
      <c r="M1425" s="32"/>
      <c r="N1425" s="32"/>
      <c r="O1425" s="32"/>
      <c r="P1425" s="32"/>
      <c r="Q1425" s="34"/>
      <c r="R1425" s="35"/>
      <c r="S1425" s="35"/>
      <c r="T1425" s="36"/>
      <c r="U1425" s="36"/>
      <c r="V1425" s="36"/>
      <c r="W1425" s="36"/>
      <c r="X1425" s="36"/>
      <c r="Y1425" s="36"/>
    </row>
    <row r="1426">
      <c r="A1426" s="32"/>
      <c r="B1426" s="32"/>
      <c r="C1426" s="32"/>
      <c r="D1426" s="32"/>
      <c r="E1426" s="32"/>
      <c r="F1426" s="32"/>
      <c r="G1426" s="39"/>
      <c r="H1426" s="32"/>
      <c r="I1426" s="32"/>
      <c r="J1426" s="32"/>
      <c r="K1426" s="33"/>
      <c r="L1426" s="32"/>
      <c r="M1426" s="32"/>
      <c r="N1426" s="32"/>
      <c r="O1426" s="32"/>
      <c r="P1426" s="32"/>
      <c r="Q1426" s="34"/>
      <c r="R1426" s="35"/>
      <c r="S1426" s="35"/>
      <c r="T1426" s="36"/>
      <c r="U1426" s="36"/>
      <c r="V1426" s="36"/>
      <c r="W1426" s="36"/>
      <c r="X1426" s="36"/>
      <c r="Y1426" s="36"/>
    </row>
    <row r="1427">
      <c r="A1427" s="32"/>
      <c r="B1427" s="32"/>
      <c r="C1427" s="32"/>
      <c r="D1427" s="32"/>
      <c r="E1427" s="32"/>
      <c r="F1427" s="32"/>
      <c r="G1427" s="39"/>
      <c r="H1427" s="32"/>
      <c r="I1427" s="32"/>
      <c r="J1427" s="32"/>
      <c r="K1427" s="33"/>
      <c r="L1427" s="32"/>
      <c r="M1427" s="32"/>
      <c r="N1427" s="32"/>
      <c r="O1427" s="32"/>
      <c r="P1427" s="32"/>
      <c r="Q1427" s="34"/>
      <c r="R1427" s="35"/>
      <c r="S1427" s="35"/>
      <c r="T1427" s="36"/>
      <c r="U1427" s="36"/>
      <c r="V1427" s="36"/>
      <c r="W1427" s="36"/>
      <c r="X1427" s="36"/>
      <c r="Y1427" s="36"/>
    </row>
    <row r="1428">
      <c r="A1428" s="32"/>
      <c r="B1428" s="32"/>
      <c r="C1428" s="32"/>
      <c r="D1428" s="32"/>
      <c r="E1428" s="32"/>
      <c r="F1428" s="32"/>
      <c r="G1428" s="39"/>
      <c r="H1428" s="32"/>
      <c r="I1428" s="32"/>
      <c r="J1428" s="32"/>
      <c r="K1428" s="33"/>
      <c r="L1428" s="32"/>
      <c r="M1428" s="32"/>
      <c r="N1428" s="32"/>
      <c r="O1428" s="32"/>
      <c r="P1428" s="32"/>
      <c r="Q1428" s="34"/>
      <c r="R1428" s="35"/>
      <c r="S1428" s="35"/>
      <c r="T1428" s="36"/>
      <c r="U1428" s="36"/>
      <c r="V1428" s="36"/>
      <c r="W1428" s="36"/>
      <c r="X1428" s="36"/>
      <c r="Y1428" s="36"/>
    </row>
    <row r="1429">
      <c r="A1429" s="32"/>
      <c r="B1429" s="32"/>
      <c r="C1429" s="32"/>
      <c r="D1429" s="32"/>
      <c r="E1429" s="32"/>
      <c r="F1429" s="32"/>
      <c r="G1429" s="39"/>
      <c r="H1429" s="32"/>
      <c r="I1429" s="32"/>
      <c r="J1429" s="32"/>
      <c r="K1429" s="33"/>
      <c r="L1429" s="32"/>
      <c r="M1429" s="32"/>
      <c r="N1429" s="32"/>
      <c r="O1429" s="32"/>
      <c r="P1429" s="32"/>
      <c r="Q1429" s="34"/>
      <c r="R1429" s="35"/>
      <c r="S1429" s="35"/>
      <c r="T1429" s="36"/>
      <c r="U1429" s="36"/>
      <c r="V1429" s="36"/>
      <c r="W1429" s="36"/>
      <c r="X1429" s="36"/>
      <c r="Y1429" s="36"/>
    </row>
    <row r="1430">
      <c r="A1430" s="32"/>
      <c r="B1430" s="32"/>
      <c r="C1430" s="32"/>
      <c r="D1430" s="32"/>
      <c r="E1430" s="32"/>
      <c r="F1430" s="32"/>
      <c r="G1430" s="39"/>
      <c r="H1430" s="32"/>
      <c r="I1430" s="32"/>
      <c r="J1430" s="32"/>
      <c r="K1430" s="33"/>
      <c r="L1430" s="32"/>
      <c r="M1430" s="32"/>
      <c r="N1430" s="32"/>
      <c r="O1430" s="32"/>
      <c r="P1430" s="32"/>
      <c r="Q1430" s="34"/>
      <c r="R1430" s="35"/>
      <c r="S1430" s="35"/>
      <c r="T1430" s="36"/>
      <c r="U1430" s="36"/>
      <c r="V1430" s="36"/>
      <c r="W1430" s="36"/>
      <c r="X1430" s="36"/>
      <c r="Y1430" s="36"/>
    </row>
    <row r="1431">
      <c r="A1431" s="32"/>
      <c r="B1431" s="32"/>
      <c r="C1431" s="32"/>
      <c r="D1431" s="32"/>
      <c r="E1431" s="32"/>
      <c r="F1431" s="32"/>
      <c r="G1431" s="39"/>
      <c r="H1431" s="32"/>
      <c r="I1431" s="32"/>
      <c r="J1431" s="32"/>
      <c r="K1431" s="33"/>
      <c r="L1431" s="32"/>
      <c r="M1431" s="32"/>
      <c r="N1431" s="32"/>
      <c r="O1431" s="32"/>
      <c r="P1431" s="32"/>
      <c r="Q1431" s="34"/>
      <c r="R1431" s="35"/>
      <c r="S1431" s="35"/>
      <c r="T1431" s="36"/>
      <c r="U1431" s="36"/>
      <c r="V1431" s="36"/>
      <c r="W1431" s="36"/>
      <c r="X1431" s="36"/>
      <c r="Y1431" s="36"/>
    </row>
    <row r="1432">
      <c r="A1432" s="32"/>
      <c r="B1432" s="32"/>
      <c r="C1432" s="32"/>
      <c r="D1432" s="32"/>
      <c r="E1432" s="32"/>
      <c r="F1432" s="32"/>
      <c r="G1432" s="39"/>
      <c r="H1432" s="32"/>
      <c r="I1432" s="32"/>
      <c r="J1432" s="32"/>
      <c r="K1432" s="33"/>
      <c r="L1432" s="32"/>
      <c r="M1432" s="32"/>
      <c r="N1432" s="32"/>
      <c r="O1432" s="32"/>
      <c r="P1432" s="32"/>
      <c r="Q1432" s="34"/>
      <c r="R1432" s="35"/>
      <c r="S1432" s="35"/>
      <c r="T1432" s="36"/>
      <c r="U1432" s="36"/>
      <c r="V1432" s="36"/>
      <c r="W1432" s="36"/>
      <c r="X1432" s="36"/>
      <c r="Y1432" s="36"/>
    </row>
    <row r="1433">
      <c r="A1433" s="32"/>
      <c r="B1433" s="32"/>
      <c r="C1433" s="32"/>
      <c r="D1433" s="32"/>
      <c r="E1433" s="32"/>
      <c r="F1433" s="32"/>
      <c r="G1433" s="39"/>
      <c r="H1433" s="32"/>
      <c r="I1433" s="32"/>
      <c r="J1433" s="32"/>
      <c r="K1433" s="33"/>
      <c r="L1433" s="32"/>
      <c r="M1433" s="32"/>
      <c r="N1433" s="32"/>
      <c r="O1433" s="32"/>
      <c r="P1433" s="32"/>
      <c r="Q1433" s="34"/>
      <c r="R1433" s="35"/>
      <c r="S1433" s="35"/>
      <c r="T1433" s="36"/>
      <c r="U1433" s="36"/>
      <c r="V1433" s="36"/>
      <c r="W1433" s="36"/>
      <c r="X1433" s="36"/>
      <c r="Y1433" s="36"/>
    </row>
    <row r="1434">
      <c r="A1434" s="32"/>
      <c r="B1434" s="32"/>
      <c r="C1434" s="32"/>
      <c r="D1434" s="32"/>
      <c r="E1434" s="32"/>
      <c r="F1434" s="32"/>
      <c r="G1434" s="39"/>
      <c r="H1434" s="32"/>
      <c r="I1434" s="32"/>
      <c r="J1434" s="32"/>
      <c r="K1434" s="33"/>
      <c r="L1434" s="32"/>
      <c r="M1434" s="32"/>
      <c r="N1434" s="32"/>
      <c r="O1434" s="32"/>
      <c r="P1434" s="32"/>
      <c r="Q1434" s="34"/>
      <c r="R1434" s="35"/>
      <c r="S1434" s="35"/>
      <c r="T1434" s="36"/>
      <c r="U1434" s="36"/>
      <c r="V1434" s="36"/>
      <c r="W1434" s="36"/>
      <c r="X1434" s="36"/>
      <c r="Y1434" s="36"/>
    </row>
    <row r="1435">
      <c r="A1435" s="32"/>
      <c r="B1435" s="32"/>
      <c r="C1435" s="32"/>
      <c r="D1435" s="32"/>
      <c r="E1435" s="32"/>
      <c r="F1435" s="32"/>
      <c r="G1435" s="39"/>
      <c r="H1435" s="32"/>
      <c r="I1435" s="32"/>
      <c r="J1435" s="32"/>
      <c r="K1435" s="33"/>
      <c r="L1435" s="32"/>
      <c r="M1435" s="32"/>
      <c r="N1435" s="32"/>
      <c r="O1435" s="32"/>
      <c r="P1435" s="32"/>
      <c r="Q1435" s="34"/>
      <c r="R1435" s="35"/>
      <c r="S1435" s="35"/>
      <c r="T1435" s="36"/>
      <c r="U1435" s="36"/>
      <c r="V1435" s="36"/>
      <c r="W1435" s="36"/>
      <c r="X1435" s="36"/>
      <c r="Y1435" s="36"/>
    </row>
    <row r="1436">
      <c r="A1436" s="32"/>
      <c r="B1436" s="32"/>
      <c r="C1436" s="32"/>
      <c r="D1436" s="32"/>
      <c r="E1436" s="32"/>
      <c r="F1436" s="32"/>
      <c r="G1436" s="39"/>
      <c r="H1436" s="32"/>
      <c r="I1436" s="32"/>
      <c r="J1436" s="32"/>
      <c r="K1436" s="33"/>
      <c r="L1436" s="32"/>
      <c r="M1436" s="32"/>
      <c r="N1436" s="32"/>
      <c r="O1436" s="32"/>
      <c r="P1436" s="32"/>
      <c r="Q1436" s="34"/>
      <c r="R1436" s="35"/>
      <c r="S1436" s="35"/>
      <c r="T1436" s="36"/>
      <c r="U1436" s="36"/>
      <c r="V1436" s="36"/>
      <c r="W1436" s="36"/>
      <c r="X1436" s="36"/>
      <c r="Y1436" s="36"/>
    </row>
    <row r="1437">
      <c r="A1437" s="32"/>
      <c r="B1437" s="32"/>
      <c r="C1437" s="32"/>
      <c r="D1437" s="32"/>
      <c r="E1437" s="32"/>
      <c r="F1437" s="32"/>
      <c r="G1437" s="39"/>
      <c r="H1437" s="32"/>
      <c r="I1437" s="32"/>
      <c r="J1437" s="32"/>
      <c r="K1437" s="33"/>
      <c r="L1437" s="32"/>
      <c r="M1437" s="32"/>
      <c r="N1437" s="32"/>
      <c r="O1437" s="32"/>
      <c r="P1437" s="32"/>
      <c r="Q1437" s="34"/>
      <c r="R1437" s="35"/>
      <c r="S1437" s="35"/>
      <c r="T1437" s="36"/>
      <c r="U1437" s="36"/>
      <c r="V1437" s="36"/>
      <c r="W1437" s="36"/>
      <c r="X1437" s="36"/>
      <c r="Y1437" s="36"/>
    </row>
    <row r="1438">
      <c r="A1438" s="32"/>
      <c r="B1438" s="32"/>
      <c r="C1438" s="32"/>
      <c r="D1438" s="32"/>
      <c r="E1438" s="32"/>
      <c r="F1438" s="32"/>
      <c r="G1438" s="39"/>
      <c r="H1438" s="32"/>
      <c r="I1438" s="32"/>
      <c r="J1438" s="32"/>
      <c r="K1438" s="33"/>
      <c r="L1438" s="32"/>
      <c r="M1438" s="32"/>
      <c r="N1438" s="32"/>
      <c r="O1438" s="32"/>
      <c r="P1438" s="32"/>
      <c r="Q1438" s="34"/>
      <c r="R1438" s="35"/>
      <c r="S1438" s="35"/>
      <c r="T1438" s="36"/>
      <c r="U1438" s="36"/>
      <c r="V1438" s="36"/>
      <c r="W1438" s="36"/>
      <c r="X1438" s="36"/>
      <c r="Y1438" s="36"/>
    </row>
    <row r="1439">
      <c r="A1439" s="32"/>
      <c r="B1439" s="32"/>
      <c r="C1439" s="32"/>
      <c r="D1439" s="32"/>
      <c r="E1439" s="32"/>
      <c r="F1439" s="32"/>
      <c r="G1439" s="39"/>
      <c r="H1439" s="32"/>
      <c r="I1439" s="32"/>
      <c r="J1439" s="32"/>
      <c r="K1439" s="33"/>
      <c r="L1439" s="32"/>
      <c r="M1439" s="32"/>
      <c r="N1439" s="32"/>
      <c r="O1439" s="32"/>
      <c r="P1439" s="32"/>
      <c r="Q1439" s="34"/>
      <c r="R1439" s="35"/>
      <c r="S1439" s="35"/>
      <c r="T1439" s="36"/>
      <c r="U1439" s="36"/>
      <c r="V1439" s="36"/>
      <c r="W1439" s="36"/>
      <c r="X1439" s="36"/>
      <c r="Y1439" s="36"/>
    </row>
    <row r="1440">
      <c r="A1440" s="32"/>
      <c r="B1440" s="32"/>
      <c r="C1440" s="32"/>
      <c r="D1440" s="32"/>
      <c r="E1440" s="32"/>
      <c r="F1440" s="32"/>
      <c r="G1440" s="39"/>
      <c r="H1440" s="32"/>
      <c r="I1440" s="32"/>
      <c r="J1440" s="32"/>
      <c r="K1440" s="33"/>
      <c r="L1440" s="32"/>
      <c r="M1440" s="32"/>
      <c r="N1440" s="32"/>
      <c r="O1440" s="32"/>
      <c r="P1440" s="32"/>
      <c r="Q1440" s="34"/>
      <c r="R1440" s="35"/>
      <c r="S1440" s="35"/>
      <c r="T1440" s="36"/>
      <c r="U1440" s="36"/>
      <c r="V1440" s="36"/>
      <c r="W1440" s="36"/>
      <c r="X1440" s="36"/>
      <c r="Y1440" s="36"/>
    </row>
    <row r="1441">
      <c r="A1441" s="32"/>
      <c r="B1441" s="32"/>
      <c r="C1441" s="32"/>
      <c r="D1441" s="32"/>
      <c r="E1441" s="32"/>
      <c r="F1441" s="32"/>
      <c r="G1441" s="39"/>
      <c r="H1441" s="32"/>
      <c r="I1441" s="32"/>
      <c r="J1441" s="32"/>
      <c r="K1441" s="33"/>
      <c r="L1441" s="32"/>
      <c r="M1441" s="32"/>
      <c r="N1441" s="32"/>
      <c r="O1441" s="32"/>
      <c r="P1441" s="32"/>
      <c r="Q1441" s="34"/>
      <c r="R1441" s="35"/>
      <c r="S1441" s="35"/>
      <c r="T1441" s="36"/>
      <c r="U1441" s="36"/>
      <c r="V1441" s="36"/>
      <c r="W1441" s="36"/>
      <c r="X1441" s="36"/>
      <c r="Y1441" s="36"/>
    </row>
    <row r="1442">
      <c r="A1442" s="32"/>
      <c r="B1442" s="32"/>
      <c r="C1442" s="32"/>
      <c r="D1442" s="32"/>
      <c r="E1442" s="32"/>
      <c r="F1442" s="32"/>
      <c r="G1442" s="39"/>
      <c r="H1442" s="32"/>
      <c r="I1442" s="32"/>
      <c r="J1442" s="32"/>
      <c r="K1442" s="33"/>
      <c r="L1442" s="32"/>
      <c r="M1442" s="32"/>
      <c r="N1442" s="32"/>
      <c r="O1442" s="32"/>
      <c r="P1442" s="32"/>
      <c r="Q1442" s="34"/>
      <c r="R1442" s="35"/>
      <c r="S1442" s="35"/>
      <c r="T1442" s="36"/>
      <c r="U1442" s="36"/>
      <c r="V1442" s="36"/>
      <c r="W1442" s="36"/>
      <c r="X1442" s="36"/>
      <c r="Y1442" s="36"/>
    </row>
    <row r="1443">
      <c r="A1443" s="32"/>
      <c r="B1443" s="32"/>
      <c r="C1443" s="32"/>
      <c r="D1443" s="32"/>
      <c r="E1443" s="32"/>
      <c r="F1443" s="32"/>
      <c r="G1443" s="39"/>
      <c r="H1443" s="32"/>
      <c r="I1443" s="32"/>
      <c r="J1443" s="32"/>
      <c r="K1443" s="33"/>
      <c r="L1443" s="32"/>
      <c r="M1443" s="32"/>
      <c r="N1443" s="32"/>
      <c r="O1443" s="32"/>
      <c r="P1443" s="32"/>
      <c r="Q1443" s="34"/>
      <c r="R1443" s="35"/>
      <c r="S1443" s="35"/>
      <c r="T1443" s="36"/>
      <c r="U1443" s="36"/>
      <c r="V1443" s="36"/>
      <c r="W1443" s="36"/>
      <c r="X1443" s="36"/>
      <c r="Y1443" s="36"/>
    </row>
    <row r="1444">
      <c r="A1444" s="32"/>
      <c r="B1444" s="32"/>
      <c r="C1444" s="32"/>
      <c r="D1444" s="32"/>
      <c r="E1444" s="32"/>
      <c r="F1444" s="32"/>
      <c r="G1444" s="39"/>
      <c r="H1444" s="32"/>
      <c r="I1444" s="32"/>
      <c r="J1444" s="32"/>
      <c r="K1444" s="33"/>
      <c r="L1444" s="32"/>
      <c r="M1444" s="32"/>
      <c r="N1444" s="32"/>
      <c r="O1444" s="32"/>
      <c r="P1444" s="32"/>
      <c r="Q1444" s="34"/>
      <c r="R1444" s="35"/>
      <c r="S1444" s="35"/>
      <c r="T1444" s="36"/>
      <c r="U1444" s="36"/>
      <c r="V1444" s="36"/>
      <c r="W1444" s="36"/>
      <c r="X1444" s="36"/>
      <c r="Y1444" s="36"/>
    </row>
    <row r="1445">
      <c r="A1445" s="32"/>
      <c r="B1445" s="32"/>
      <c r="C1445" s="32"/>
      <c r="D1445" s="32"/>
      <c r="E1445" s="32"/>
      <c r="F1445" s="32"/>
      <c r="G1445" s="39"/>
      <c r="H1445" s="32"/>
      <c r="I1445" s="32"/>
      <c r="J1445" s="32"/>
      <c r="K1445" s="33"/>
      <c r="L1445" s="32"/>
      <c r="M1445" s="32"/>
      <c r="N1445" s="32"/>
      <c r="O1445" s="32"/>
      <c r="P1445" s="32"/>
      <c r="Q1445" s="34"/>
      <c r="R1445" s="35"/>
      <c r="S1445" s="35"/>
      <c r="T1445" s="36"/>
      <c r="U1445" s="36"/>
      <c r="V1445" s="36"/>
      <c r="W1445" s="36"/>
      <c r="X1445" s="36"/>
      <c r="Y1445" s="36"/>
    </row>
    <row r="1446">
      <c r="A1446" s="32"/>
      <c r="B1446" s="32"/>
      <c r="C1446" s="32"/>
      <c r="D1446" s="32"/>
      <c r="E1446" s="32"/>
      <c r="F1446" s="32"/>
      <c r="G1446" s="39"/>
      <c r="H1446" s="32"/>
      <c r="I1446" s="32"/>
      <c r="J1446" s="32"/>
      <c r="K1446" s="33"/>
      <c r="L1446" s="32"/>
      <c r="M1446" s="32"/>
      <c r="N1446" s="32"/>
      <c r="O1446" s="32"/>
      <c r="P1446" s="32"/>
      <c r="Q1446" s="34"/>
      <c r="R1446" s="35"/>
      <c r="S1446" s="35"/>
      <c r="T1446" s="36"/>
      <c r="U1446" s="36"/>
      <c r="V1446" s="36"/>
      <c r="W1446" s="36"/>
      <c r="X1446" s="36"/>
      <c r="Y1446" s="36"/>
    </row>
    <row r="1447">
      <c r="A1447" s="32"/>
      <c r="B1447" s="32"/>
      <c r="C1447" s="32"/>
      <c r="D1447" s="32"/>
      <c r="E1447" s="32"/>
      <c r="F1447" s="32"/>
      <c r="G1447" s="39"/>
      <c r="H1447" s="32"/>
      <c r="I1447" s="32"/>
      <c r="J1447" s="32"/>
      <c r="K1447" s="33"/>
      <c r="L1447" s="32"/>
      <c r="M1447" s="32"/>
      <c r="N1447" s="32"/>
      <c r="O1447" s="32"/>
      <c r="P1447" s="32"/>
      <c r="Q1447" s="34"/>
      <c r="R1447" s="35"/>
      <c r="S1447" s="35"/>
      <c r="T1447" s="36"/>
      <c r="U1447" s="36"/>
      <c r="V1447" s="36"/>
      <c r="W1447" s="36"/>
      <c r="X1447" s="36"/>
      <c r="Y1447" s="36"/>
    </row>
    <row r="1448">
      <c r="A1448" s="32"/>
      <c r="B1448" s="32"/>
      <c r="C1448" s="32"/>
      <c r="D1448" s="32"/>
      <c r="E1448" s="32"/>
      <c r="F1448" s="32"/>
      <c r="G1448" s="39"/>
      <c r="H1448" s="32"/>
      <c r="I1448" s="32"/>
      <c r="J1448" s="32"/>
      <c r="K1448" s="33"/>
      <c r="L1448" s="32"/>
      <c r="M1448" s="32"/>
      <c r="N1448" s="32"/>
      <c r="O1448" s="32"/>
      <c r="P1448" s="32"/>
      <c r="Q1448" s="34"/>
      <c r="R1448" s="35"/>
      <c r="S1448" s="35"/>
      <c r="T1448" s="36"/>
      <c r="U1448" s="36"/>
      <c r="V1448" s="36"/>
      <c r="W1448" s="36"/>
      <c r="X1448" s="36"/>
      <c r="Y1448" s="36"/>
    </row>
    <row r="1449">
      <c r="A1449" s="32"/>
      <c r="B1449" s="32"/>
      <c r="C1449" s="32"/>
      <c r="D1449" s="32"/>
      <c r="E1449" s="32"/>
      <c r="F1449" s="32"/>
      <c r="G1449" s="39"/>
      <c r="H1449" s="32"/>
      <c r="I1449" s="32"/>
      <c r="J1449" s="32"/>
      <c r="K1449" s="33"/>
      <c r="L1449" s="32"/>
      <c r="M1449" s="32"/>
      <c r="N1449" s="32"/>
      <c r="O1449" s="32"/>
      <c r="P1449" s="32"/>
      <c r="Q1449" s="34"/>
      <c r="R1449" s="35"/>
      <c r="S1449" s="35"/>
      <c r="T1449" s="36"/>
      <c r="U1449" s="36"/>
      <c r="V1449" s="36"/>
      <c r="W1449" s="36"/>
      <c r="X1449" s="36"/>
      <c r="Y1449" s="36"/>
    </row>
    <row r="1450">
      <c r="A1450" s="32"/>
      <c r="B1450" s="32"/>
      <c r="C1450" s="32"/>
      <c r="D1450" s="32"/>
      <c r="E1450" s="32"/>
      <c r="F1450" s="32"/>
      <c r="G1450" s="39"/>
      <c r="H1450" s="32"/>
      <c r="I1450" s="32"/>
      <c r="J1450" s="32"/>
      <c r="K1450" s="33"/>
      <c r="L1450" s="32"/>
      <c r="M1450" s="32"/>
      <c r="N1450" s="32"/>
      <c r="O1450" s="32"/>
      <c r="P1450" s="32"/>
      <c r="Q1450" s="34"/>
      <c r="R1450" s="35"/>
      <c r="S1450" s="35"/>
      <c r="T1450" s="36"/>
      <c r="U1450" s="36"/>
      <c r="V1450" s="36"/>
      <c r="W1450" s="36"/>
      <c r="X1450" s="36"/>
      <c r="Y1450" s="36"/>
    </row>
    <row r="1451">
      <c r="A1451" s="32"/>
      <c r="B1451" s="32"/>
      <c r="C1451" s="32"/>
      <c r="D1451" s="32"/>
      <c r="E1451" s="32"/>
      <c r="F1451" s="32"/>
      <c r="G1451" s="39"/>
      <c r="H1451" s="32"/>
      <c r="I1451" s="32"/>
      <c r="J1451" s="32"/>
      <c r="K1451" s="33"/>
      <c r="L1451" s="32"/>
      <c r="M1451" s="32"/>
      <c r="N1451" s="32"/>
      <c r="O1451" s="32"/>
      <c r="P1451" s="32"/>
      <c r="Q1451" s="34"/>
      <c r="R1451" s="35"/>
      <c r="S1451" s="35"/>
      <c r="T1451" s="36"/>
      <c r="U1451" s="36"/>
      <c r="V1451" s="36"/>
      <c r="W1451" s="36"/>
      <c r="X1451" s="36"/>
      <c r="Y1451" s="36"/>
    </row>
    <row r="1452">
      <c r="A1452" s="32"/>
      <c r="B1452" s="32"/>
      <c r="C1452" s="32"/>
      <c r="D1452" s="32"/>
      <c r="E1452" s="32"/>
      <c r="F1452" s="32"/>
      <c r="G1452" s="39"/>
      <c r="H1452" s="32"/>
      <c r="I1452" s="32"/>
      <c r="J1452" s="32"/>
      <c r="K1452" s="33"/>
      <c r="L1452" s="32"/>
      <c r="M1452" s="32"/>
      <c r="N1452" s="32"/>
      <c r="O1452" s="32"/>
      <c r="P1452" s="32"/>
      <c r="Q1452" s="34"/>
      <c r="R1452" s="35"/>
      <c r="S1452" s="35"/>
      <c r="T1452" s="36"/>
      <c r="U1452" s="36"/>
      <c r="V1452" s="36"/>
      <c r="W1452" s="36"/>
      <c r="X1452" s="36"/>
      <c r="Y1452" s="36"/>
    </row>
    <row r="1453">
      <c r="A1453" s="32"/>
      <c r="B1453" s="32"/>
      <c r="C1453" s="32"/>
      <c r="D1453" s="32"/>
      <c r="E1453" s="32"/>
      <c r="F1453" s="32"/>
      <c r="G1453" s="39"/>
      <c r="H1453" s="32"/>
      <c r="I1453" s="32"/>
      <c r="J1453" s="32"/>
      <c r="K1453" s="33"/>
      <c r="L1453" s="32"/>
      <c r="M1453" s="32"/>
      <c r="N1453" s="32"/>
      <c r="O1453" s="32"/>
      <c r="P1453" s="32"/>
      <c r="Q1453" s="34"/>
      <c r="R1453" s="35"/>
      <c r="S1453" s="35"/>
      <c r="T1453" s="36"/>
      <c r="U1453" s="36"/>
      <c r="V1453" s="36"/>
      <c r="W1453" s="36"/>
      <c r="X1453" s="36"/>
      <c r="Y1453" s="36"/>
    </row>
    <row r="1454">
      <c r="A1454" s="32"/>
      <c r="B1454" s="32"/>
      <c r="C1454" s="32"/>
      <c r="D1454" s="32"/>
      <c r="E1454" s="32"/>
      <c r="F1454" s="32"/>
      <c r="G1454" s="39"/>
      <c r="H1454" s="32"/>
      <c r="I1454" s="32"/>
      <c r="J1454" s="32"/>
      <c r="K1454" s="33"/>
      <c r="L1454" s="32"/>
      <c r="M1454" s="32"/>
      <c r="N1454" s="32"/>
      <c r="O1454" s="32"/>
      <c r="P1454" s="32"/>
      <c r="Q1454" s="34"/>
      <c r="R1454" s="35"/>
      <c r="S1454" s="35"/>
      <c r="T1454" s="36"/>
      <c r="U1454" s="36"/>
      <c r="V1454" s="36"/>
      <c r="W1454" s="36"/>
      <c r="X1454" s="36"/>
      <c r="Y1454" s="36"/>
    </row>
    <row r="1455">
      <c r="A1455" s="32"/>
      <c r="B1455" s="32"/>
      <c r="C1455" s="32"/>
      <c r="D1455" s="32"/>
      <c r="E1455" s="32"/>
      <c r="F1455" s="32"/>
      <c r="G1455" s="39"/>
      <c r="H1455" s="32"/>
      <c r="I1455" s="32"/>
      <c r="J1455" s="32"/>
      <c r="K1455" s="33"/>
      <c r="L1455" s="32"/>
      <c r="M1455" s="32"/>
      <c r="N1455" s="32"/>
      <c r="O1455" s="32"/>
      <c r="P1455" s="32"/>
      <c r="Q1455" s="34"/>
      <c r="R1455" s="35"/>
      <c r="S1455" s="35"/>
      <c r="T1455" s="36"/>
      <c r="U1455" s="36"/>
      <c r="V1455" s="36"/>
      <c r="W1455" s="36"/>
      <c r="X1455" s="36"/>
      <c r="Y1455" s="36"/>
    </row>
    <row r="1456">
      <c r="A1456" s="32"/>
      <c r="B1456" s="32"/>
      <c r="C1456" s="32"/>
      <c r="D1456" s="32"/>
      <c r="E1456" s="32"/>
      <c r="F1456" s="32"/>
      <c r="G1456" s="39"/>
      <c r="H1456" s="32"/>
      <c r="I1456" s="32"/>
      <c r="J1456" s="32"/>
      <c r="K1456" s="33"/>
      <c r="L1456" s="32"/>
      <c r="M1456" s="32"/>
      <c r="N1456" s="32"/>
      <c r="O1456" s="32"/>
      <c r="P1456" s="32"/>
      <c r="Q1456" s="34"/>
      <c r="R1456" s="35"/>
      <c r="S1456" s="35"/>
      <c r="T1456" s="36"/>
      <c r="U1456" s="36"/>
      <c r="V1456" s="36"/>
      <c r="W1456" s="36"/>
      <c r="X1456" s="36"/>
      <c r="Y1456" s="36"/>
    </row>
    <row r="1457">
      <c r="A1457" s="32"/>
      <c r="B1457" s="32"/>
      <c r="C1457" s="32"/>
      <c r="D1457" s="32"/>
      <c r="E1457" s="32"/>
      <c r="F1457" s="32"/>
      <c r="G1457" s="39"/>
      <c r="H1457" s="32"/>
      <c r="I1457" s="32"/>
      <c r="J1457" s="32"/>
      <c r="K1457" s="33"/>
      <c r="L1457" s="32"/>
      <c r="M1457" s="32"/>
      <c r="N1457" s="32"/>
      <c r="O1457" s="32"/>
      <c r="P1457" s="32"/>
      <c r="Q1457" s="34"/>
      <c r="R1457" s="35"/>
      <c r="S1457" s="35"/>
      <c r="T1457" s="36"/>
      <c r="U1457" s="36"/>
      <c r="V1457" s="36"/>
      <c r="W1457" s="36"/>
      <c r="X1457" s="36"/>
      <c r="Y1457" s="36"/>
    </row>
    <row r="1458">
      <c r="A1458" s="32"/>
      <c r="B1458" s="32"/>
      <c r="C1458" s="32"/>
      <c r="D1458" s="32"/>
      <c r="E1458" s="32"/>
      <c r="F1458" s="32"/>
      <c r="G1458" s="39"/>
      <c r="H1458" s="32"/>
      <c r="I1458" s="32"/>
      <c r="J1458" s="32"/>
      <c r="K1458" s="33"/>
      <c r="L1458" s="32"/>
      <c r="M1458" s="32"/>
      <c r="N1458" s="32"/>
      <c r="O1458" s="32"/>
      <c r="P1458" s="32"/>
      <c r="Q1458" s="34"/>
      <c r="R1458" s="35"/>
      <c r="S1458" s="35"/>
      <c r="T1458" s="36"/>
      <c r="U1458" s="36"/>
      <c r="V1458" s="36"/>
      <c r="W1458" s="36"/>
      <c r="X1458" s="36"/>
      <c r="Y1458" s="36"/>
    </row>
    <row r="1459">
      <c r="A1459" s="32"/>
      <c r="B1459" s="32"/>
      <c r="C1459" s="32"/>
      <c r="D1459" s="32"/>
      <c r="E1459" s="32"/>
      <c r="F1459" s="32"/>
      <c r="G1459" s="39"/>
      <c r="H1459" s="32"/>
      <c r="I1459" s="32"/>
      <c r="J1459" s="32"/>
      <c r="K1459" s="33"/>
      <c r="L1459" s="32"/>
      <c r="M1459" s="32"/>
      <c r="N1459" s="32"/>
      <c r="O1459" s="32"/>
      <c r="P1459" s="32"/>
      <c r="Q1459" s="34"/>
      <c r="R1459" s="35"/>
      <c r="S1459" s="35"/>
      <c r="T1459" s="36"/>
      <c r="U1459" s="36"/>
      <c r="V1459" s="36"/>
      <c r="W1459" s="36"/>
      <c r="X1459" s="36"/>
      <c r="Y1459" s="36"/>
    </row>
    <row r="1460">
      <c r="A1460" s="32"/>
      <c r="B1460" s="32"/>
      <c r="C1460" s="32"/>
      <c r="D1460" s="32"/>
      <c r="E1460" s="32"/>
      <c r="F1460" s="32"/>
      <c r="G1460" s="39"/>
      <c r="H1460" s="32"/>
      <c r="I1460" s="32"/>
      <c r="J1460" s="32"/>
      <c r="K1460" s="33"/>
      <c r="L1460" s="32"/>
      <c r="M1460" s="32"/>
      <c r="N1460" s="32"/>
      <c r="O1460" s="32"/>
      <c r="P1460" s="32"/>
      <c r="Q1460" s="34"/>
      <c r="R1460" s="35"/>
      <c r="S1460" s="35"/>
      <c r="T1460" s="36"/>
      <c r="U1460" s="36"/>
      <c r="V1460" s="36"/>
      <c r="W1460" s="36"/>
      <c r="X1460" s="36"/>
      <c r="Y1460" s="36"/>
    </row>
    <row r="1461">
      <c r="A1461" s="32"/>
      <c r="B1461" s="32"/>
      <c r="C1461" s="32"/>
      <c r="D1461" s="32"/>
      <c r="E1461" s="32"/>
      <c r="F1461" s="32"/>
      <c r="G1461" s="39"/>
      <c r="H1461" s="32"/>
      <c r="I1461" s="32"/>
      <c r="J1461" s="32"/>
      <c r="K1461" s="33"/>
      <c r="L1461" s="32"/>
      <c r="M1461" s="32"/>
      <c r="N1461" s="32"/>
      <c r="O1461" s="32"/>
      <c r="P1461" s="32"/>
      <c r="Q1461" s="34"/>
      <c r="R1461" s="35"/>
      <c r="S1461" s="35"/>
      <c r="T1461" s="36"/>
      <c r="U1461" s="36"/>
      <c r="V1461" s="36"/>
      <c r="W1461" s="36"/>
      <c r="X1461" s="36"/>
      <c r="Y1461" s="36"/>
    </row>
    <row r="1462">
      <c r="A1462" s="32"/>
      <c r="B1462" s="32"/>
      <c r="C1462" s="32"/>
      <c r="D1462" s="32"/>
      <c r="E1462" s="32"/>
      <c r="F1462" s="32"/>
      <c r="G1462" s="39"/>
      <c r="H1462" s="32"/>
      <c r="I1462" s="32"/>
      <c r="J1462" s="32"/>
      <c r="K1462" s="33"/>
      <c r="L1462" s="32"/>
      <c r="M1462" s="32"/>
      <c r="N1462" s="32"/>
      <c r="O1462" s="32"/>
      <c r="P1462" s="32"/>
      <c r="Q1462" s="34"/>
      <c r="R1462" s="35"/>
      <c r="S1462" s="35"/>
      <c r="T1462" s="36"/>
      <c r="U1462" s="36"/>
      <c r="V1462" s="36"/>
      <c r="W1462" s="36"/>
      <c r="X1462" s="36"/>
      <c r="Y1462" s="36"/>
    </row>
    <row r="1463">
      <c r="A1463" s="32"/>
      <c r="B1463" s="32"/>
      <c r="C1463" s="32"/>
      <c r="D1463" s="32"/>
      <c r="E1463" s="32"/>
      <c r="F1463" s="32"/>
      <c r="G1463" s="39"/>
      <c r="H1463" s="32"/>
      <c r="I1463" s="32"/>
      <c r="J1463" s="32"/>
      <c r="K1463" s="33"/>
      <c r="L1463" s="32"/>
      <c r="M1463" s="32"/>
      <c r="N1463" s="32"/>
      <c r="O1463" s="32"/>
      <c r="P1463" s="32"/>
      <c r="Q1463" s="34"/>
      <c r="R1463" s="35"/>
      <c r="S1463" s="35"/>
      <c r="T1463" s="36"/>
      <c r="U1463" s="36"/>
      <c r="V1463" s="36"/>
      <c r="W1463" s="36"/>
      <c r="X1463" s="36"/>
      <c r="Y1463" s="36"/>
    </row>
    <row r="1464">
      <c r="A1464" s="32"/>
      <c r="B1464" s="32"/>
      <c r="C1464" s="32"/>
      <c r="D1464" s="32"/>
      <c r="E1464" s="32"/>
      <c r="F1464" s="32"/>
      <c r="G1464" s="39"/>
      <c r="H1464" s="32"/>
      <c r="I1464" s="32"/>
      <c r="J1464" s="32"/>
      <c r="K1464" s="33"/>
      <c r="L1464" s="32"/>
      <c r="M1464" s="32"/>
      <c r="N1464" s="32"/>
      <c r="O1464" s="32"/>
      <c r="P1464" s="32"/>
      <c r="Q1464" s="34"/>
      <c r="R1464" s="35"/>
      <c r="S1464" s="35"/>
      <c r="T1464" s="36"/>
      <c r="U1464" s="36"/>
      <c r="V1464" s="36"/>
      <c r="W1464" s="36"/>
      <c r="X1464" s="36"/>
      <c r="Y1464" s="36"/>
    </row>
    <row r="1465">
      <c r="A1465" s="32"/>
      <c r="B1465" s="32"/>
      <c r="C1465" s="32"/>
      <c r="D1465" s="32"/>
      <c r="E1465" s="32"/>
      <c r="F1465" s="32"/>
      <c r="G1465" s="39"/>
      <c r="H1465" s="32"/>
      <c r="I1465" s="32"/>
      <c r="J1465" s="32"/>
      <c r="K1465" s="33"/>
      <c r="L1465" s="32"/>
      <c r="M1465" s="32"/>
      <c r="N1465" s="32"/>
      <c r="O1465" s="32"/>
      <c r="P1465" s="32"/>
      <c r="Q1465" s="34"/>
      <c r="R1465" s="35"/>
      <c r="S1465" s="35"/>
      <c r="T1465" s="36"/>
      <c r="U1465" s="36"/>
      <c r="V1465" s="36"/>
      <c r="W1465" s="36"/>
      <c r="X1465" s="36"/>
      <c r="Y1465" s="36"/>
    </row>
    <row r="1466">
      <c r="A1466" s="32"/>
      <c r="B1466" s="32"/>
      <c r="C1466" s="32"/>
      <c r="D1466" s="32"/>
      <c r="E1466" s="32"/>
      <c r="F1466" s="32"/>
      <c r="G1466" s="39"/>
      <c r="H1466" s="32"/>
      <c r="I1466" s="32"/>
      <c r="J1466" s="32"/>
      <c r="K1466" s="33"/>
      <c r="L1466" s="32"/>
      <c r="M1466" s="32"/>
      <c r="N1466" s="32"/>
      <c r="O1466" s="32"/>
      <c r="P1466" s="32"/>
      <c r="Q1466" s="34"/>
      <c r="R1466" s="35"/>
      <c r="S1466" s="35"/>
      <c r="T1466" s="36"/>
      <c r="U1466" s="36"/>
      <c r="V1466" s="36"/>
      <c r="W1466" s="36"/>
      <c r="X1466" s="36"/>
      <c r="Y1466" s="36"/>
    </row>
    <row r="1467">
      <c r="A1467" s="32"/>
      <c r="B1467" s="32"/>
      <c r="C1467" s="32"/>
      <c r="D1467" s="32"/>
      <c r="E1467" s="32"/>
      <c r="F1467" s="32"/>
      <c r="G1467" s="39"/>
      <c r="H1467" s="32"/>
      <c r="I1467" s="32"/>
      <c r="J1467" s="32"/>
      <c r="K1467" s="33"/>
      <c r="L1467" s="32"/>
      <c r="M1467" s="32"/>
      <c r="N1467" s="32"/>
      <c r="O1467" s="32"/>
      <c r="P1467" s="32"/>
      <c r="Q1467" s="34"/>
      <c r="R1467" s="35"/>
      <c r="S1467" s="35"/>
      <c r="T1467" s="36"/>
      <c r="U1467" s="36"/>
      <c r="V1467" s="36"/>
      <c r="W1467" s="36"/>
      <c r="X1467" s="36"/>
      <c r="Y1467" s="36"/>
    </row>
    <row r="1468">
      <c r="A1468" s="32"/>
      <c r="B1468" s="32"/>
      <c r="C1468" s="32"/>
      <c r="D1468" s="32"/>
      <c r="E1468" s="32"/>
      <c r="F1468" s="32"/>
      <c r="G1468" s="39"/>
      <c r="H1468" s="32"/>
      <c r="I1468" s="32"/>
      <c r="J1468" s="32"/>
      <c r="K1468" s="33"/>
      <c r="L1468" s="32"/>
      <c r="M1468" s="32"/>
      <c r="N1468" s="32"/>
      <c r="O1468" s="32"/>
      <c r="P1468" s="32"/>
      <c r="Q1468" s="34"/>
      <c r="R1468" s="35"/>
      <c r="S1468" s="35"/>
      <c r="T1468" s="36"/>
      <c r="U1468" s="36"/>
      <c r="V1468" s="36"/>
      <c r="W1468" s="36"/>
      <c r="X1468" s="36"/>
      <c r="Y1468" s="36"/>
    </row>
    <row r="1469">
      <c r="A1469" s="32"/>
      <c r="B1469" s="32"/>
      <c r="C1469" s="32"/>
      <c r="D1469" s="32"/>
      <c r="E1469" s="32"/>
      <c r="F1469" s="32"/>
      <c r="G1469" s="39"/>
      <c r="H1469" s="32"/>
      <c r="I1469" s="32"/>
      <c r="J1469" s="32"/>
      <c r="K1469" s="33"/>
      <c r="L1469" s="32"/>
      <c r="M1469" s="32"/>
      <c r="N1469" s="32"/>
      <c r="O1469" s="32"/>
      <c r="P1469" s="32"/>
      <c r="Q1469" s="34"/>
      <c r="R1469" s="35"/>
      <c r="S1469" s="35"/>
      <c r="T1469" s="36"/>
      <c r="U1469" s="36"/>
      <c r="V1469" s="36"/>
      <c r="W1469" s="36"/>
      <c r="X1469" s="36"/>
      <c r="Y1469" s="36"/>
    </row>
    <row r="1470">
      <c r="A1470" s="32"/>
      <c r="B1470" s="32"/>
      <c r="C1470" s="32"/>
      <c r="D1470" s="32"/>
      <c r="E1470" s="32"/>
      <c r="F1470" s="32"/>
      <c r="G1470" s="39"/>
      <c r="H1470" s="32"/>
      <c r="I1470" s="32"/>
      <c r="J1470" s="32"/>
      <c r="K1470" s="33"/>
      <c r="L1470" s="32"/>
      <c r="M1470" s="32"/>
      <c r="N1470" s="32"/>
      <c r="O1470" s="32"/>
      <c r="P1470" s="32"/>
      <c r="Q1470" s="34"/>
      <c r="R1470" s="35"/>
      <c r="S1470" s="35"/>
      <c r="T1470" s="36"/>
      <c r="U1470" s="36"/>
      <c r="V1470" s="36"/>
      <c r="W1470" s="36"/>
      <c r="X1470" s="36"/>
      <c r="Y1470" s="36"/>
    </row>
    <row r="1471">
      <c r="A1471" s="32"/>
      <c r="B1471" s="32"/>
      <c r="C1471" s="32"/>
      <c r="D1471" s="32"/>
      <c r="E1471" s="32"/>
      <c r="F1471" s="32"/>
      <c r="G1471" s="39"/>
      <c r="H1471" s="32"/>
      <c r="I1471" s="32"/>
      <c r="J1471" s="32"/>
      <c r="K1471" s="33"/>
      <c r="L1471" s="32"/>
      <c r="M1471" s="32"/>
      <c r="N1471" s="32"/>
      <c r="O1471" s="32"/>
      <c r="P1471" s="32"/>
      <c r="Q1471" s="34"/>
      <c r="R1471" s="35"/>
      <c r="S1471" s="35"/>
      <c r="T1471" s="36"/>
      <c r="U1471" s="36"/>
      <c r="V1471" s="36"/>
      <c r="W1471" s="36"/>
      <c r="X1471" s="36"/>
      <c r="Y1471" s="36"/>
    </row>
    <row r="1472">
      <c r="A1472" s="32"/>
      <c r="B1472" s="32"/>
      <c r="C1472" s="32"/>
      <c r="D1472" s="32"/>
      <c r="E1472" s="32"/>
      <c r="F1472" s="32"/>
      <c r="G1472" s="39"/>
      <c r="H1472" s="32"/>
      <c r="I1472" s="32"/>
      <c r="J1472" s="32"/>
      <c r="K1472" s="33"/>
      <c r="L1472" s="32"/>
      <c r="M1472" s="32"/>
      <c r="N1472" s="32"/>
      <c r="O1472" s="32"/>
      <c r="P1472" s="32"/>
      <c r="Q1472" s="34"/>
      <c r="R1472" s="35"/>
      <c r="S1472" s="35"/>
      <c r="T1472" s="36"/>
      <c r="U1472" s="36"/>
      <c r="V1472" s="36"/>
      <c r="W1472" s="36"/>
      <c r="X1472" s="36"/>
      <c r="Y1472" s="36"/>
    </row>
    <row r="1473">
      <c r="A1473" s="32"/>
      <c r="B1473" s="32"/>
      <c r="C1473" s="32"/>
      <c r="D1473" s="32"/>
      <c r="E1473" s="32"/>
      <c r="F1473" s="32"/>
      <c r="G1473" s="39"/>
      <c r="H1473" s="32"/>
      <c r="I1473" s="32"/>
      <c r="J1473" s="32"/>
      <c r="K1473" s="33"/>
      <c r="L1473" s="32"/>
      <c r="M1473" s="32"/>
      <c r="N1473" s="32"/>
      <c r="O1473" s="32"/>
      <c r="P1473" s="32"/>
      <c r="Q1473" s="34"/>
      <c r="R1473" s="35"/>
      <c r="S1473" s="35"/>
      <c r="T1473" s="36"/>
      <c r="U1473" s="36"/>
      <c r="V1473" s="36"/>
      <c r="W1473" s="36"/>
      <c r="X1473" s="36"/>
      <c r="Y1473" s="36"/>
    </row>
    <row r="1474">
      <c r="A1474" s="32"/>
      <c r="B1474" s="32"/>
      <c r="C1474" s="32"/>
      <c r="D1474" s="32"/>
      <c r="E1474" s="32"/>
      <c r="F1474" s="32"/>
      <c r="G1474" s="39"/>
      <c r="H1474" s="32"/>
      <c r="I1474" s="32"/>
      <c r="J1474" s="32"/>
      <c r="K1474" s="33"/>
      <c r="L1474" s="32"/>
      <c r="M1474" s="32"/>
      <c r="N1474" s="32"/>
      <c r="O1474" s="32"/>
      <c r="P1474" s="32"/>
      <c r="Q1474" s="34"/>
      <c r="R1474" s="35"/>
      <c r="S1474" s="35"/>
      <c r="T1474" s="36"/>
      <c r="U1474" s="36"/>
      <c r="V1474" s="36"/>
      <c r="W1474" s="36"/>
      <c r="X1474" s="36"/>
      <c r="Y1474" s="36"/>
    </row>
    <row r="1475">
      <c r="A1475" s="32"/>
      <c r="B1475" s="32"/>
      <c r="C1475" s="32"/>
      <c r="D1475" s="32"/>
      <c r="E1475" s="32"/>
      <c r="F1475" s="32"/>
      <c r="G1475" s="39"/>
      <c r="H1475" s="32"/>
      <c r="I1475" s="32"/>
      <c r="J1475" s="32"/>
      <c r="K1475" s="33"/>
      <c r="L1475" s="32"/>
      <c r="M1475" s="32"/>
      <c r="N1475" s="32"/>
      <c r="O1475" s="32"/>
      <c r="P1475" s="32"/>
      <c r="Q1475" s="34"/>
      <c r="R1475" s="35"/>
      <c r="S1475" s="35"/>
      <c r="T1475" s="36"/>
      <c r="U1475" s="36"/>
      <c r="V1475" s="36"/>
      <c r="W1475" s="36"/>
      <c r="X1475" s="36"/>
      <c r="Y1475" s="36"/>
    </row>
    <row r="1476">
      <c r="A1476" s="32"/>
      <c r="B1476" s="32"/>
      <c r="C1476" s="32"/>
      <c r="D1476" s="32"/>
      <c r="E1476" s="32"/>
      <c r="F1476" s="32"/>
      <c r="G1476" s="39"/>
      <c r="H1476" s="32"/>
      <c r="I1476" s="32"/>
      <c r="J1476" s="32"/>
      <c r="K1476" s="33"/>
      <c r="L1476" s="32"/>
      <c r="M1476" s="32"/>
      <c r="N1476" s="32"/>
      <c r="O1476" s="32"/>
      <c r="P1476" s="32"/>
      <c r="Q1476" s="34"/>
      <c r="R1476" s="35"/>
      <c r="S1476" s="35"/>
      <c r="T1476" s="36"/>
      <c r="U1476" s="36"/>
      <c r="V1476" s="36"/>
      <c r="W1476" s="36"/>
      <c r="X1476" s="36"/>
      <c r="Y1476" s="36"/>
    </row>
    <row r="1477">
      <c r="A1477" s="32"/>
      <c r="B1477" s="32"/>
      <c r="C1477" s="32"/>
      <c r="D1477" s="32"/>
      <c r="E1477" s="32"/>
      <c r="F1477" s="32"/>
      <c r="G1477" s="39"/>
      <c r="H1477" s="32"/>
      <c r="I1477" s="32"/>
      <c r="J1477" s="32"/>
      <c r="K1477" s="33"/>
      <c r="L1477" s="32"/>
      <c r="M1477" s="32"/>
      <c r="N1477" s="32"/>
      <c r="O1477" s="32"/>
      <c r="P1477" s="32"/>
      <c r="Q1477" s="34"/>
      <c r="R1477" s="35"/>
      <c r="S1477" s="35"/>
      <c r="T1477" s="36"/>
      <c r="U1477" s="36"/>
      <c r="V1477" s="36"/>
      <c r="W1477" s="36"/>
      <c r="X1477" s="36"/>
      <c r="Y1477" s="36"/>
    </row>
    <row r="1478">
      <c r="A1478" s="32"/>
      <c r="B1478" s="32"/>
      <c r="C1478" s="32"/>
      <c r="D1478" s="32"/>
      <c r="E1478" s="32"/>
      <c r="F1478" s="32"/>
      <c r="G1478" s="39"/>
      <c r="H1478" s="32"/>
      <c r="I1478" s="32"/>
      <c r="J1478" s="32"/>
      <c r="K1478" s="33"/>
      <c r="L1478" s="32"/>
      <c r="M1478" s="32"/>
      <c r="N1478" s="32"/>
      <c r="O1478" s="32"/>
      <c r="P1478" s="32"/>
      <c r="Q1478" s="34"/>
      <c r="R1478" s="35"/>
      <c r="S1478" s="35"/>
      <c r="T1478" s="36"/>
      <c r="U1478" s="36"/>
      <c r="V1478" s="36"/>
      <c r="W1478" s="36"/>
      <c r="X1478" s="36"/>
      <c r="Y1478" s="36"/>
    </row>
    <row r="1479">
      <c r="A1479" s="32"/>
      <c r="B1479" s="32"/>
      <c r="C1479" s="32"/>
      <c r="D1479" s="32"/>
      <c r="E1479" s="32"/>
      <c r="F1479" s="32"/>
      <c r="G1479" s="39"/>
      <c r="H1479" s="32"/>
      <c r="I1479" s="32"/>
      <c r="J1479" s="32"/>
      <c r="K1479" s="33"/>
      <c r="L1479" s="32"/>
      <c r="M1479" s="32"/>
      <c r="N1479" s="32"/>
      <c r="O1479" s="32"/>
      <c r="P1479" s="32"/>
      <c r="Q1479" s="34"/>
      <c r="R1479" s="35"/>
      <c r="S1479" s="35"/>
      <c r="T1479" s="36"/>
      <c r="U1479" s="36"/>
      <c r="V1479" s="36"/>
      <c r="W1479" s="36"/>
      <c r="X1479" s="36"/>
      <c r="Y1479" s="36"/>
    </row>
    <row r="1480">
      <c r="A1480" s="32"/>
      <c r="B1480" s="32"/>
      <c r="C1480" s="32"/>
      <c r="D1480" s="32"/>
      <c r="E1480" s="32"/>
      <c r="F1480" s="32"/>
      <c r="G1480" s="39"/>
      <c r="H1480" s="32"/>
      <c r="I1480" s="32"/>
      <c r="J1480" s="32"/>
      <c r="K1480" s="33"/>
      <c r="L1480" s="32"/>
      <c r="M1480" s="32"/>
      <c r="N1480" s="32"/>
      <c r="O1480" s="32"/>
      <c r="P1480" s="32"/>
      <c r="Q1480" s="34"/>
      <c r="R1480" s="35"/>
      <c r="S1480" s="35"/>
      <c r="T1480" s="36"/>
      <c r="U1480" s="36"/>
      <c r="V1480" s="36"/>
      <c r="W1480" s="36"/>
      <c r="X1480" s="36"/>
      <c r="Y1480" s="36"/>
    </row>
    <row r="1481">
      <c r="A1481" s="32"/>
      <c r="B1481" s="32"/>
      <c r="C1481" s="32"/>
      <c r="D1481" s="32"/>
      <c r="E1481" s="32"/>
      <c r="F1481" s="32"/>
      <c r="G1481" s="39"/>
      <c r="H1481" s="32"/>
      <c r="I1481" s="32"/>
      <c r="J1481" s="32"/>
      <c r="K1481" s="33"/>
      <c r="L1481" s="32"/>
      <c r="M1481" s="32"/>
      <c r="N1481" s="32"/>
      <c r="O1481" s="32"/>
      <c r="P1481" s="32"/>
      <c r="Q1481" s="34"/>
      <c r="R1481" s="35"/>
      <c r="S1481" s="35"/>
      <c r="T1481" s="36"/>
      <c r="U1481" s="36"/>
      <c r="V1481" s="36"/>
      <c r="W1481" s="36"/>
      <c r="X1481" s="36"/>
      <c r="Y1481" s="36"/>
    </row>
    <row r="1482">
      <c r="A1482" s="32"/>
      <c r="B1482" s="32"/>
      <c r="C1482" s="32"/>
      <c r="D1482" s="32"/>
      <c r="E1482" s="32"/>
      <c r="F1482" s="32"/>
      <c r="G1482" s="39"/>
      <c r="H1482" s="32"/>
      <c r="I1482" s="32"/>
      <c r="J1482" s="32"/>
      <c r="K1482" s="33"/>
      <c r="L1482" s="32"/>
      <c r="M1482" s="32"/>
      <c r="N1482" s="32"/>
      <c r="O1482" s="32"/>
      <c r="P1482" s="32"/>
      <c r="Q1482" s="34"/>
      <c r="R1482" s="35"/>
      <c r="S1482" s="35"/>
      <c r="T1482" s="36"/>
      <c r="U1482" s="36"/>
      <c r="V1482" s="36"/>
      <c r="W1482" s="36"/>
      <c r="X1482" s="36"/>
      <c r="Y1482" s="36"/>
    </row>
    <row r="1483">
      <c r="A1483" s="32"/>
      <c r="B1483" s="32"/>
      <c r="C1483" s="32"/>
      <c r="D1483" s="32"/>
      <c r="E1483" s="32"/>
      <c r="F1483" s="32"/>
      <c r="G1483" s="39"/>
      <c r="H1483" s="32"/>
      <c r="I1483" s="32"/>
      <c r="J1483" s="32"/>
      <c r="K1483" s="33"/>
      <c r="L1483" s="32"/>
      <c r="M1483" s="32"/>
      <c r="N1483" s="32"/>
      <c r="O1483" s="32"/>
      <c r="P1483" s="32"/>
      <c r="Q1483" s="34"/>
      <c r="R1483" s="35"/>
      <c r="S1483" s="35"/>
      <c r="T1483" s="36"/>
      <c r="U1483" s="36"/>
      <c r="V1483" s="36"/>
      <c r="W1483" s="36"/>
      <c r="X1483" s="36"/>
      <c r="Y1483" s="36"/>
    </row>
    <row r="1484">
      <c r="A1484" s="32"/>
      <c r="B1484" s="32"/>
      <c r="C1484" s="32"/>
      <c r="D1484" s="32"/>
      <c r="E1484" s="32"/>
      <c r="F1484" s="32"/>
      <c r="G1484" s="39"/>
      <c r="H1484" s="32"/>
      <c r="I1484" s="32"/>
      <c r="J1484" s="32"/>
      <c r="K1484" s="33"/>
      <c r="L1484" s="32"/>
      <c r="M1484" s="32"/>
      <c r="N1484" s="32"/>
      <c r="O1484" s="32"/>
      <c r="P1484" s="32"/>
      <c r="Q1484" s="34"/>
      <c r="R1484" s="35"/>
      <c r="S1484" s="35"/>
      <c r="T1484" s="36"/>
      <c r="U1484" s="36"/>
      <c r="V1484" s="36"/>
      <c r="W1484" s="36"/>
      <c r="X1484" s="36"/>
      <c r="Y1484" s="36"/>
    </row>
    <row r="1485">
      <c r="A1485" s="32"/>
      <c r="B1485" s="32"/>
      <c r="C1485" s="32"/>
      <c r="D1485" s="32"/>
      <c r="E1485" s="32"/>
      <c r="F1485" s="32"/>
      <c r="G1485" s="39"/>
      <c r="H1485" s="32"/>
      <c r="I1485" s="32"/>
      <c r="J1485" s="32"/>
      <c r="K1485" s="33"/>
      <c r="L1485" s="32"/>
      <c r="M1485" s="32"/>
      <c r="N1485" s="32"/>
      <c r="O1485" s="32"/>
      <c r="P1485" s="32"/>
      <c r="Q1485" s="34"/>
      <c r="R1485" s="35"/>
      <c r="S1485" s="35"/>
      <c r="T1485" s="36"/>
      <c r="U1485" s="36"/>
      <c r="V1485" s="36"/>
      <c r="W1485" s="36"/>
      <c r="X1485" s="36"/>
      <c r="Y1485" s="36"/>
    </row>
    <row r="1486">
      <c r="A1486" s="32"/>
      <c r="B1486" s="32"/>
      <c r="C1486" s="32"/>
      <c r="D1486" s="32"/>
      <c r="E1486" s="32"/>
      <c r="F1486" s="32"/>
      <c r="G1486" s="39"/>
      <c r="H1486" s="32"/>
      <c r="I1486" s="32"/>
      <c r="J1486" s="32"/>
      <c r="K1486" s="33"/>
      <c r="L1486" s="32"/>
      <c r="M1486" s="32"/>
      <c r="N1486" s="32"/>
      <c r="O1486" s="32"/>
      <c r="P1486" s="32"/>
      <c r="Q1486" s="34"/>
      <c r="R1486" s="35"/>
      <c r="S1486" s="35"/>
      <c r="T1486" s="36"/>
      <c r="U1486" s="36"/>
      <c r="V1486" s="36"/>
      <c r="W1486" s="36"/>
      <c r="X1486" s="36"/>
      <c r="Y1486" s="36"/>
    </row>
    <row r="1487">
      <c r="A1487" s="32"/>
      <c r="B1487" s="32"/>
      <c r="C1487" s="32"/>
      <c r="D1487" s="32"/>
      <c r="E1487" s="32"/>
      <c r="F1487" s="32"/>
      <c r="G1487" s="39"/>
      <c r="H1487" s="32"/>
      <c r="I1487" s="32"/>
      <c r="J1487" s="32"/>
      <c r="K1487" s="33"/>
      <c r="L1487" s="32"/>
      <c r="M1487" s="32"/>
      <c r="N1487" s="32"/>
      <c r="O1487" s="32"/>
      <c r="P1487" s="32"/>
      <c r="Q1487" s="34"/>
      <c r="R1487" s="35"/>
      <c r="S1487" s="35"/>
      <c r="T1487" s="36"/>
      <c r="U1487" s="36"/>
      <c r="V1487" s="36"/>
      <c r="W1487" s="36"/>
      <c r="X1487" s="36"/>
      <c r="Y1487" s="36"/>
    </row>
    <row r="1488">
      <c r="A1488" s="32"/>
      <c r="B1488" s="32"/>
      <c r="C1488" s="32"/>
      <c r="D1488" s="32"/>
      <c r="E1488" s="32"/>
      <c r="F1488" s="32"/>
      <c r="G1488" s="39"/>
      <c r="H1488" s="32"/>
      <c r="I1488" s="32"/>
      <c r="J1488" s="32"/>
      <c r="K1488" s="33"/>
      <c r="L1488" s="32"/>
      <c r="M1488" s="32"/>
      <c r="N1488" s="32"/>
      <c r="O1488" s="32"/>
      <c r="P1488" s="32"/>
      <c r="Q1488" s="34"/>
      <c r="R1488" s="35"/>
      <c r="S1488" s="35"/>
      <c r="T1488" s="36"/>
      <c r="U1488" s="36"/>
      <c r="V1488" s="36"/>
      <c r="W1488" s="36"/>
      <c r="X1488" s="36"/>
      <c r="Y1488" s="36"/>
    </row>
    <row r="1489">
      <c r="A1489" s="32"/>
      <c r="B1489" s="32"/>
      <c r="C1489" s="32"/>
      <c r="D1489" s="32"/>
      <c r="E1489" s="32"/>
      <c r="F1489" s="32"/>
      <c r="G1489" s="39"/>
      <c r="H1489" s="32"/>
      <c r="I1489" s="32"/>
      <c r="J1489" s="32"/>
      <c r="K1489" s="33"/>
      <c r="L1489" s="32"/>
      <c r="M1489" s="32"/>
      <c r="N1489" s="32"/>
      <c r="O1489" s="32"/>
      <c r="P1489" s="32"/>
      <c r="Q1489" s="34"/>
      <c r="R1489" s="35"/>
      <c r="S1489" s="35"/>
      <c r="T1489" s="36"/>
      <c r="U1489" s="36"/>
      <c r="V1489" s="36"/>
      <c r="W1489" s="36"/>
      <c r="X1489" s="36"/>
      <c r="Y1489" s="36"/>
    </row>
    <row r="1490">
      <c r="A1490" s="32"/>
      <c r="B1490" s="32"/>
      <c r="C1490" s="32"/>
      <c r="D1490" s="32"/>
      <c r="E1490" s="32"/>
      <c r="F1490" s="32"/>
      <c r="G1490" s="39"/>
      <c r="H1490" s="32"/>
      <c r="I1490" s="32"/>
      <c r="J1490" s="32"/>
      <c r="K1490" s="33"/>
      <c r="L1490" s="32"/>
      <c r="M1490" s="32"/>
      <c r="N1490" s="32"/>
      <c r="O1490" s="32"/>
      <c r="P1490" s="32"/>
      <c r="Q1490" s="34"/>
      <c r="R1490" s="35"/>
      <c r="S1490" s="35"/>
      <c r="T1490" s="36"/>
      <c r="U1490" s="36"/>
      <c r="V1490" s="36"/>
      <c r="W1490" s="36"/>
      <c r="X1490" s="36"/>
      <c r="Y1490" s="36"/>
    </row>
    <row r="1491">
      <c r="A1491" s="32"/>
      <c r="B1491" s="32"/>
      <c r="C1491" s="32"/>
      <c r="D1491" s="32"/>
      <c r="E1491" s="32"/>
      <c r="F1491" s="32"/>
      <c r="G1491" s="39"/>
      <c r="H1491" s="32"/>
      <c r="I1491" s="32"/>
      <c r="J1491" s="32"/>
      <c r="K1491" s="33"/>
      <c r="L1491" s="32"/>
      <c r="M1491" s="32"/>
      <c r="N1491" s="32"/>
      <c r="O1491" s="32"/>
      <c r="P1491" s="32"/>
      <c r="Q1491" s="34"/>
      <c r="R1491" s="35"/>
      <c r="S1491" s="35"/>
      <c r="T1491" s="36"/>
      <c r="U1491" s="36"/>
      <c r="V1491" s="36"/>
      <c r="W1491" s="36"/>
      <c r="X1491" s="36"/>
      <c r="Y1491" s="36"/>
    </row>
    <row r="1492">
      <c r="A1492" s="32"/>
      <c r="B1492" s="32"/>
      <c r="C1492" s="32"/>
      <c r="D1492" s="32"/>
      <c r="E1492" s="32"/>
      <c r="F1492" s="32"/>
      <c r="G1492" s="39"/>
      <c r="H1492" s="32"/>
      <c r="I1492" s="32"/>
      <c r="J1492" s="32"/>
      <c r="K1492" s="33"/>
      <c r="L1492" s="32"/>
      <c r="M1492" s="32"/>
      <c r="N1492" s="32"/>
      <c r="O1492" s="32"/>
      <c r="P1492" s="32"/>
      <c r="Q1492" s="34"/>
      <c r="R1492" s="35"/>
      <c r="S1492" s="35"/>
      <c r="T1492" s="36"/>
      <c r="U1492" s="36"/>
      <c r="V1492" s="36"/>
      <c r="W1492" s="36"/>
      <c r="X1492" s="36"/>
      <c r="Y1492" s="36"/>
    </row>
    <row r="1493">
      <c r="A1493" s="32"/>
      <c r="B1493" s="32"/>
      <c r="C1493" s="32"/>
      <c r="D1493" s="32"/>
      <c r="E1493" s="32"/>
      <c r="F1493" s="32"/>
      <c r="G1493" s="39"/>
      <c r="H1493" s="32"/>
      <c r="I1493" s="32"/>
      <c r="J1493" s="32"/>
      <c r="K1493" s="33"/>
      <c r="L1493" s="32"/>
      <c r="M1493" s="32"/>
      <c r="N1493" s="32"/>
      <c r="O1493" s="32"/>
      <c r="P1493" s="32"/>
      <c r="Q1493" s="34"/>
      <c r="R1493" s="35"/>
      <c r="S1493" s="35"/>
      <c r="T1493" s="36"/>
      <c r="U1493" s="36"/>
      <c r="V1493" s="36"/>
      <c r="W1493" s="36"/>
      <c r="X1493" s="36"/>
      <c r="Y1493" s="36"/>
    </row>
    <row r="1494">
      <c r="A1494" s="32"/>
      <c r="B1494" s="32"/>
      <c r="C1494" s="32"/>
      <c r="D1494" s="32"/>
      <c r="E1494" s="32"/>
      <c r="F1494" s="32"/>
      <c r="G1494" s="39"/>
      <c r="H1494" s="32"/>
      <c r="I1494" s="32"/>
      <c r="J1494" s="32"/>
      <c r="K1494" s="33"/>
      <c r="L1494" s="32"/>
      <c r="M1494" s="32"/>
      <c r="N1494" s="32"/>
      <c r="O1494" s="32"/>
      <c r="P1494" s="32"/>
      <c r="Q1494" s="34"/>
      <c r="R1494" s="35"/>
      <c r="S1494" s="35"/>
      <c r="T1494" s="36"/>
      <c r="U1494" s="36"/>
      <c r="V1494" s="36"/>
      <c r="W1494" s="36"/>
      <c r="X1494" s="36"/>
      <c r="Y1494" s="36"/>
    </row>
    <row r="1495">
      <c r="A1495" s="32"/>
      <c r="B1495" s="32"/>
      <c r="C1495" s="32"/>
      <c r="D1495" s="32"/>
      <c r="E1495" s="32"/>
      <c r="F1495" s="32"/>
      <c r="G1495" s="39"/>
      <c r="H1495" s="32"/>
      <c r="I1495" s="32"/>
      <c r="J1495" s="32"/>
      <c r="K1495" s="33"/>
      <c r="L1495" s="32"/>
      <c r="M1495" s="32"/>
      <c r="N1495" s="32"/>
      <c r="O1495" s="32"/>
      <c r="P1495" s="32"/>
      <c r="Q1495" s="34"/>
      <c r="R1495" s="35"/>
      <c r="S1495" s="35"/>
      <c r="T1495" s="36"/>
      <c r="U1495" s="36"/>
      <c r="V1495" s="36"/>
      <c r="W1495" s="36"/>
      <c r="X1495" s="36"/>
      <c r="Y1495" s="36"/>
    </row>
    <row r="1496">
      <c r="A1496" s="32"/>
      <c r="B1496" s="32"/>
      <c r="C1496" s="32"/>
      <c r="D1496" s="32"/>
      <c r="E1496" s="32"/>
      <c r="F1496" s="32"/>
      <c r="G1496" s="39"/>
      <c r="H1496" s="32"/>
      <c r="I1496" s="32"/>
      <c r="J1496" s="32"/>
      <c r="K1496" s="33"/>
      <c r="L1496" s="32"/>
      <c r="M1496" s="32"/>
      <c r="N1496" s="32"/>
      <c r="O1496" s="32"/>
      <c r="P1496" s="32"/>
      <c r="Q1496" s="34"/>
      <c r="R1496" s="35"/>
      <c r="S1496" s="35"/>
      <c r="T1496" s="36"/>
      <c r="U1496" s="36"/>
      <c r="V1496" s="36"/>
      <c r="W1496" s="36"/>
      <c r="X1496" s="36"/>
      <c r="Y1496" s="36"/>
    </row>
    <row r="1497">
      <c r="A1497" s="32"/>
      <c r="B1497" s="32"/>
      <c r="C1497" s="32"/>
      <c r="D1497" s="32"/>
      <c r="E1497" s="32"/>
      <c r="F1497" s="32"/>
      <c r="G1497" s="39"/>
      <c r="H1497" s="32"/>
      <c r="I1497" s="32"/>
      <c r="J1497" s="32"/>
      <c r="K1497" s="33"/>
      <c r="L1497" s="32"/>
      <c r="M1497" s="32"/>
      <c r="N1497" s="32"/>
      <c r="O1497" s="32"/>
      <c r="P1497" s="32"/>
      <c r="Q1497" s="34"/>
      <c r="R1497" s="35"/>
      <c r="S1497" s="35"/>
      <c r="T1497" s="36"/>
      <c r="U1497" s="36"/>
      <c r="V1497" s="36"/>
      <c r="W1497" s="36"/>
      <c r="X1497" s="36"/>
      <c r="Y1497" s="36"/>
    </row>
    <row r="1498">
      <c r="A1498" s="32"/>
      <c r="B1498" s="32"/>
      <c r="C1498" s="32"/>
      <c r="D1498" s="32"/>
      <c r="E1498" s="32"/>
      <c r="F1498" s="32"/>
      <c r="G1498" s="39"/>
      <c r="H1498" s="32"/>
      <c r="I1498" s="32"/>
      <c r="J1498" s="32"/>
      <c r="K1498" s="33"/>
      <c r="L1498" s="32"/>
      <c r="M1498" s="32"/>
      <c r="N1498" s="32"/>
      <c r="O1498" s="32"/>
      <c r="P1498" s="32"/>
      <c r="Q1498" s="34"/>
      <c r="R1498" s="35"/>
      <c r="S1498" s="35"/>
      <c r="T1498" s="36"/>
      <c r="U1498" s="36"/>
      <c r="V1498" s="36"/>
      <c r="W1498" s="36"/>
      <c r="X1498" s="36"/>
      <c r="Y1498" s="36"/>
    </row>
    <row r="1499">
      <c r="A1499" s="32"/>
      <c r="B1499" s="32"/>
      <c r="C1499" s="32"/>
      <c r="D1499" s="32"/>
      <c r="E1499" s="32"/>
      <c r="F1499" s="32"/>
      <c r="G1499" s="39"/>
      <c r="H1499" s="32"/>
      <c r="I1499" s="32"/>
      <c r="J1499" s="32"/>
      <c r="K1499" s="33"/>
      <c r="L1499" s="32"/>
      <c r="M1499" s="32"/>
      <c r="N1499" s="32"/>
      <c r="O1499" s="32"/>
      <c r="P1499" s="32"/>
      <c r="Q1499" s="34"/>
      <c r="R1499" s="35"/>
      <c r="S1499" s="35"/>
      <c r="T1499" s="36"/>
      <c r="U1499" s="36"/>
      <c r="V1499" s="36"/>
      <c r="W1499" s="36"/>
      <c r="X1499" s="36"/>
      <c r="Y1499" s="36"/>
    </row>
    <row r="1500">
      <c r="A1500" s="32"/>
      <c r="B1500" s="32"/>
      <c r="C1500" s="32"/>
      <c r="D1500" s="32"/>
      <c r="E1500" s="32"/>
      <c r="F1500" s="32"/>
      <c r="G1500" s="39"/>
      <c r="H1500" s="32"/>
      <c r="I1500" s="32"/>
      <c r="J1500" s="32"/>
      <c r="K1500" s="33"/>
      <c r="L1500" s="32"/>
      <c r="M1500" s="32"/>
      <c r="N1500" s="32"/>
      <c r="O1500" s="32"/>
      <c r="P1500" s="32"/>
      <c r="Q1500" s="34"/>
      <c r="R1500" s="35"/>
      <c r="S1500" s="35"/>
      <c r="T1500" s="36"/>
      <c r="U1500" s="36"/>
      <c r="V1500" s="36"/>
      <c r="W1500" s="36"/>
      <c r="X1500" s="36"/>
      <c r="Y1500" s="36"/>
    </row>
    <row r="1501">
      <c r="A1501" s="32"/>
      <c r="B1501" s="32"/>
      <c r="C1501" s="32"/>
      <c r="D1501" s="32"/>
      <c r="E1501" s="32"/>
      <c r="F1501" s="32"/>
      <c r="G1501" s="39"/>
      <c r="H1501" s="32"/>
      <c r="I1501" s="32"/>
      <c r="J1501" s="32"/>
      <c r="K1501" s="33"/>
      <c r="L1501" s="32"/>
      <c r="M1501" s="32"/>
      <c r="N1501" s="32"/>
      <c r="O1501" s="32"/>
      <c r="P1501" s="32"/>
      <c r="Q1501" s="34"/>
      <c r="R1501" s="35"/>
      <c r="S1501" s="35"/>
      <c r="T1501" s="36"/>
      <c r="U1501" s="36"/>
      <c r="V1501" s="36"/>
      <c r="W1501" s="36"/>
      <c r="X1501" s="36"/>
      <c r="Y1501" s="36"/>
    </row>
    <row r="1502">
      <c r="A1502" s="32"/>
      <c r="B1502" s="32"/>
      <c r="C1502" s="32"/>
      <c r="D1502" s="32"/>
      <c r="E1502" s="32"/>
      <c r="F1502" s="32"/>
      <c r="G1502" s="39"/>
      <c r="H1502" s="32"/>
      <c r="I1502" s="32"/>
      <c r="J1502" s="32"/>
      <c r="K1502" s="33"/>
      <c r="L1502" s="32"/>
      <c r="M1502" s="32"/>
      <c r="N1502" s="32"/>
      <c r="O1502" s="32"/>
      <c r="P1502" s="32"/>
      <c r="Q1502" s="34"/>
      <c r="R1502" s="35"/>
      <c r="S1502" s="35"/>
      <c r="T1502" s="36"/>
      <c r="U1502" s="36"/>
      <c r="V1502" s="36"/>
      <c r="W1502" s="36"/>
      <c r="X1502" s="36"/>
      <c r="Y1502" s="36"/>
    </row>
    <row r="1503">
      <c r="A1503" s="32"/>
      <c r="B1503" s="32"/>
      <c r="C1503" s="32"/>
      <c r="D1503" s="32"/>
      <c r="E1503" s="32"/>
      <c r="F1503" s="32"/>
      <c r="G1503" s="39"/>
      <c r="H1503" s="32"/>
      <c r="I1503" s="32"/>
      <c r="J1503" s="32"/>
      <c r="K1503" s="33"/>
      <c r="L1503" s="32"/>
      <c r="M1503" s="32"/>
      <c r="N1503" s="32"/>
      <c r="O1503" s="32"/>
      <c r="P1503" s="32"/>
      <c r="Q1503" s="34"/>
      <c r="R1503" s="35"/>
      <c r="S1503" s="35"/>
      <c r="T1503" s="36"/>
      <c r="U1503" s="36"/>
      <c r="V1503" s="36"/>
      <c r="W1503" s="36"/>
      <c r="X1503" s="36"/>
      <c r="Y1503" s="36"/>
    </row>
    <row r="1504">
      <c r="A1504" s="32"/>
      <c r="B1504" s="32"/>
      <c r="C1504" s="32"/>
      <c r="D1504" s="32"/>
      <c r="E1504" s="32"/>
      <c r="F1504" s="32"/>
      <c r="G1504" s="39"/>
      <c r="H1504" s="32"/>
      <c r="I1504" s="32"/>
      <c r="J1504" s="32"/>
      <c r="K1504" s="33"/>
      <c r="L1504" s="32"/>
      <c r="M1504" s="32"/>
      <c r="N1504" s="32"/>
      <c r="O1504" s="32"/>
      <c r="P1504" s="32"/>
      <c r="Q1504" s="34"/>
      <c r="R1504" s="35"/>
      <c r="S1504" s="35"/>
      <c r="T1504" s="36"/>
      <c r="U1504" s="36"/>
      <c r="V1504" s="36"/>
      <c r="W1504" s="36"/>
      <c r="X1504" s="36"/>
      <c r="Y1504" s="36"/>
    </row>
    <row r="1505">
      <c r="A1505" s="32"/>
      <c r="B1505" s="32"/>
      <c r="C1505" s="32"/>
      <c r="D1505" s="32"/>
      <c r="E1505" s="32"/>
      <c r="F1505" s="32"/>
      <c r="G1505" s="39"/>
      <c r="H1505" s="32"/>
      <c r="I1505" s="32"/>
      <c r="J1505" s="32"/>
      <c r="K1505" s="33"/>
      <c r="L1505" s="32"/>
      <c r="M1505" s="32"/>
      <c r="N1505" s="32"/>
      <c r="O1505" s="32"/>
      <c r="P1505" s="32"/>
      <c r="Q1505" s="34"/>
      <c r="R1505" s="35"/>
      <c r="S1505" s="35"/>
      <c r="T1505" s="36"/>
      <c r="U1505" s="36"/>
      <c r="V1505" s="36"/>
      <c r="W1505" s="36"/>
      <c r="X1505" s="36"/>
      <c r="Y1505" s="36"/>
    </row>
    <row r="1506">
      <c r="A1506" s="32"/>
      <c r="B1506" s="32"/>
      <c r="C1506" s="32"/>
      <c r="D1506" s="32"/>
      <c r="E1506" s="32"/>
      <c r="F1506" s="32"/>
      <c r="G1506" s="39"/>
      <c r="H1506" s="32"/>
      <c r="I1506" s="32"/>
      <c r="J1506" s="32"/>
      <c r="K1506" s="33"/>
      <c r="L1506" s="32"/>
      <c r="M1506" s="32"/>
      <c r="N1506" s="32"/>
      <c r="O1506" s="32"/>
      <c r="P1506" s="32"/>
      <c r="Q1506" s="34"/>
      <c r="R1506" s="35"/>
      <c r="S1506" s="35"/>
      <c r="T1506" s="36"/>
      <c r="U1506" s="36"/>
      <c r="V1506" s="36"/>
      <c r="W1506" s="36"/>
      <c r="X1506" s="36"/>
      <c r="Y1506" s="36"/>
    </row>
    <row r="1507">
      <c r="A1507" s="32"/>
      <c r="B1507" s="32"/>
      <c r="C1507" s="32"/>
      <c r="D1507" s="32"/>
      <c r="E1507" s="32"/>
      <c r="F1507" s="32"/>
      <c r="G1507" s="39"/>
      <c r="H1507" s="32"/>
      <c r="I1507" s="32"/>
      <c r="J1507" s="32"/>
      <c r="K1507" s="33"/>
      <c r="L1507" s="32"/>
      <c r="M1507" s="32"/>
      <c r="N1507" s="32"/>
      <c r="O1507" s="32"/>
      <c r="P1507" s="32"/>
      <c r="Q1507" s="34"/>
      <c r="R1507" s="35"/>
      <c r="S1507" s="35"/>
      <c r="T1507" s="36"/>
      <c r="U1507" s="36"/>
      <c r="V1507" s="36"/>
      <c r="W1507" s="36"/>
      <c r="X1507" s="36"/>
      <c r="Y1507" s="36"/>
    </row>
    <row r="1508">
      <c r="A1508" s="32"/>
      <c r="B1508" s="32"/>
      <c r="C1508" s="32"/>
      <c r="D1508" s="32"/>
      <c r="E1508" s="32"/>
      <c r="F1508" s="32"/>
      <c r="G1508" s="39"/>
      <c r="H1508" s="32"/>
      <c r="I1508" s="32"/>
      <c r="J1508" s="32"/>
      <c r="K1508" s="33"/>
      <c r="L1508" s="32"/>
      <c r="M1508" s="32"/>
      <c r="N1508" s="32"/>
      <c r="O1508" s="32"/>
      <c r="P1508" s="32"/>
      <c r="Q1508" s="34"/>
      <c r="R1508" s="35"/>
      <c r="S1508" s="35"/>
      <c r="T1508" s="36"/>
      <c r="U1508" s="36"/>
      <c r="V1508" s="36"/>
      <c r="W1508" s="36"/>
      <c r="X1508" s="36"/>
      <c r="Y1508" s="36"/>
    </row>
    <row r="1509">
      <c r="A1509" s="32"/>
      <c r="B1509" s="32"/>
      <c r="C1509" s="32"/>
      <c r="D1509" s="32"/>
      <c r="E1509" s="32"/>
      <c r="F1509" s="32"/>
      <c r="G1509" s="39"/>
      <c r="H1509" s="32"/>
      <c r="I1509" s="32"/>
      <c r="J1509" s="32"/>
      <c r="K1509" s="33"/>
      <c r="L1509" s="32"/>
      <c r="M1509" s="32"/>
      <c r="N1509" s="32"/>
      <c r="O1509" s="32"/>
      <c r="P1509" s="32"/>
      <c r="Q1509" s="34"/>
      <c r="R1509" s="35"/>
      <c r="S1509" s="35"/>
      <c r="T1509" s="36"/>
      <c r="U1509" s="36"/>
      <c r="V1509" s="36"/>
      <c r="W1509" s="36"/>
      <c r="X1509" s="36"/>
      <c r="Y1509" s="36"/>
    </row>
    <row r="1510">
      <c r="A1510" s="32"/>
      <c r="B1510" s="32"/>
      <c r="C1510" s="32"/>
      <c r="D1510" s="32"/>
      <c r="E1510" s="32"/>
      <c r="F1510" s="32"/>
      <c r="G1510" s="39"/>
      <c r="H1510" s="32"/>
      <c r="I1510" s="32"/>
      <c r="J1510" s="32"/>
      <c r="K1510" s="33"/>
      <c r="L1510" s="32"/>
      <c r="M1510" s="32"/>
      <c r="N1510" s="32"/>
      <c r="O1510" s="32"/>
      <c r="P1510" s="32"/>
      <c r="Q1510" s="34"/>
      <c r="R1510" s="35"/>
      <c r="S1510" s="35"/>
      <c r="T1510" s="36"/>
      <c r="U1510" s="36"/>
      <c r="V1510" s="36"/>
      <c r="W1510" s="36"/>
      <c r="X1510" s="36"/>
      <c r="Y1510" s="36"/>
    </row>
    <row r="1511">
      <c r="A1511" s="32"/>
      <c r="B1511" s="32"/>
      <c r="C1511" s="32"/>
      <c r="D1511" s="32"/>
      <c r="E1511" s="32"/>
      <c r="F1511" s="32"/>
      <c r="G1511" s="39"/>
      <c r="H1511" s="32"/>
      <c r="I1511" s="32"/>
      <c r="J1511" s="32"/>
      <c r="K1511" s="33"/>
      <c r="L1511" s="32"/>
      <c r="M1511" s="32"/>
      <c r="N1511" s="32"/>
      <c r="O1511" s="32"/>
      <c r="P1511" s="32"/>
      <c r="Q1511" s="34"/>
      <c r="R1511" s="35"/>
      <c r="S1511" s="35"/>
      <c r="T1511" s="36"/>
      <c r="U1511" s="36"/>
      <c r="V1511" s="36"/>
      <c r="W1511" s="36"/>
      <c r="X1511" s="36"/>
      <c r="Y1511" s="36"/>
    </row>
    <row r="1512">
      <c r="A1512" s="32"/>
      <c r="B1512" s="32"/>
      <c r="C1512" s="32"/>
      <c r="D1512" s="32"/>
      <c r="E1512" s="32"/>
      <c r="F1512" s="32"/>
      <c r="G1512" s="39"/>
      <c r="H1512" s="32"/>
      <c r="I1512" s="32"/>
      <c r="J1512" s="32"/>
      <c r="K1512" s="33"/>
      <c r="L1512" s="32"/>
      <c r="M1512" s="32"/>
      <c r="N1512" s="32"/>
      <c r="O1512" s="32"/>
      <c r="P1512" s="32"/>
      <c r="Q1512" s="34"/>
      <c r="R1512" s="35"/>
      <c r="S1512" s="35"/>
      <c r="T1512" s="36"/>
      <c r="U1512" s="36"/>
      <c r="V1512" s="36"/>
      <c r="W1512" s="36"/>
      <c r="X1512" s="36"/>
      <c r="Y1512" s="36"/>
    </row>
    <row r="1513">
      <c r="A1513" s="32"/>
      <c r="B1513" s="32"/>
      <c r="C1513" s="32"/>
      <c r="D1513" s="32"/>
      <c r="E1513" s="32"/>
      <c r="F1513" s="32"/>
      <c r="G1513" s="39"/>
      <c r="H1513" s="32"/>
      <c r="I1513" s="32"/>
      <c r="J1513" s="32"/>
      <c r="K1513" s="33"/>
      <c r="L1513" s="32"/>
      <c r="M1513" s="32"/>
      <c r="N1513" s="32"/>
      <c r="O1513" s="32"/>
      <c r="P1513" s="32"/>
      <c r="Q1513" s="34"/>
      <c r="R1513" s="35"/>
      <c r="S1513" s="35"/>
      <c r="T1513" s="36"/>
      <c r="U1513" s="36"/>
      <c r="V1513" s="36"/>
      <c r="W1513" s="36"/>
      <c r="X1513" s="36"/>
      <c r="Y1513" s="36"/>
    </row>
    <row r="1514">
      <c r="A1514" s="32"/>
      <c r="B1514" s="32"/>
      <c r="C1514" s="32"/>
      <c r="D1514" s="32"/>
      <c r="E1514" s="32"/>
      <c r="F1514" s="32"/>
      <c r="G1514" s="39"/>
      <c r="H1514" s="32"/>
      <c r="I1514" s="32"/>
      <c r="J1514" s="32"/>
      <c r="K1514" s="33"/>
      <c r="L1514" s="32"/>
      <c r="M1514" s="32"/>
      <c r="N1514" s="32"/>
      <c r="O1514" s="32"/>
      <c r="P1514" s="32"/>
      <c r="Q1514" s="34"/>
      <c r="R1514" s="35"/>
      <c r="S1514" s="35"/>
      <c r="T1514" s="36"/>
      <c r="U1514" s="36"/>
      <c r="V1514" s="36"/>
      <c r="W1514" s="36"/>
      <c r="X1514" s="36"/>
      <c r="Y1514" s="36"/>
    </row>
    <row r="1515">
      <c r="A1515" s="32"/>
      <c r="B1515" s="32"/>
      <c r="C1515" s="32"/>
      <c r="D1515" s="32"/>
      <c r="E1515" s="32"/>
      <c r="F1515" s="32"/>
      <c r="G1515" s="39"/>
      <c r="H1515" s="32"/>
      <c r="I1515" s="32"/>
      <c r="J1515" s="32"/>
      <c r="K1515" s="33"/>
      <c r="L1515" s="32"/>
      <c r="M1515" s="32"/>
      <c r="N1515" s="32"/>
      <c r="O1515" s="32"/>
      <c r="P1515" s="32"/>
      <c r="Q1515" s="34"/>
      <c r="R1515" s="35"/>
      <c r="S1515" s="35"/>
      <c r="T1515" s="36"/>
      <c r="U1515" s="36"/>
      <c r="V1515" s="36"/>
      <c r="W1515" s="36"/>
      <c r="X1515" s="36"/>
      <c r="Y1515" s="36"/>
    </row>
    <row r="1516">
      <c r="A1516" s="32"/>
      <c r="B1516" s="32"/>
      <c r="C1516" s="32"/>
      <c r="D1516" s="32"/>
      <c r="E1516" s="32"/>
      <c r="F1516" s="32"/>
      <c r="G1516" s="39"/>
      <c r="H1516" s="32"/>
      <c r="I1516" s="32"/>
      <c r="J1516" s="32"/>
      <c r="K1516" s="33"/>
      <c r="L1516" s="32"/>
      <c r="M1516" s="32"/>
      <c r="N1516" s="32"/>
      <c r="O1516" s="32"/>
      <c r="P1516" s="32"/>
      <c r="Q1516" s="34"/>
      <c r="R1516" s="35"/>
      <c r="S1516" s="35"/>
      <c r="T1516" s="36"/>
      <c r="U1516" s="36"/>
      <c r="V1516" s="36"/>
      <c r="W1516" s="36"/>
      <c r="X1516" s="36"/>
      <c r="Y1516" s="36"/>
    </row>
    <row r="1517">
      <c r="A1517" s="32"/>
      <c r="B1517" s="32"/>
      <c r="C1517" s="32"/>
      <c r="D1517" s="32"/>
      <c r="E1517" s="32"/>
      <c r="F1517" s="32"/>
      <c r="G1517" s="39"/>
      <c r="H1517" s="32"/>
      <c r="I1517" s="32"/>
      <c r="J1517" s="32"/>
      <c r="K1517" s="33"/>
      <c r="L1517" s="32"/>
      <c r="M1517" s="32"/>
      <c r="N1517" s="32"/>
      <c r="O1517" s="32"/>
      <c r="P1517" s="32"/>
      <c r="Q1517" s="34"/>
      <c r="R1517" s="35"/>
      <c r="S1517" s="35"/>
      <c r="T1517" s="36"/>
      <c r="U1517" s="36"/>
      <c r="V1517" s="36"/>
      <c r="W1517" s="36"/>
      <c r="X1517" s="36"/>
      <c r="Y1517" s="36"/>
    </row>
    <row r="1518">
      <c r="A1518" s="32"/>
      <c r="B1518" s="32"/>
      <c r="C1518" s="32"/>
      <c r="D1518" s="32"/>
      <c r="E1518" s="32"/>
      <c r="F1518" s="32"/>
      <c r="G1518" s="39"/>
      <c r="H1518" s="32"/>
      <c r="I1518" s="32"/>
      <c r="J1518" s="32"/>
      <c r="K1518" s="33"/>
      <c r="L1518" s="32"/>
      <c r="M1518" s="32"/>
      <c r="N1518" s="32"/>
      <c r="O1518" s="32"/>
      <c r="P1518" s="32"/>
      <c r="Q1518" s="34"/>
      <c r="R1518" s="35"/>
      <c r="S1518" s="35"/>
      <c r="T1518" s="36"/>
      <c r="U1518" s="36"/>
      <c r="V1518" s="36"/>
      <c r="W1518" s="36"/>
      <c r="X1518" s="36"/>
      <c r="Y1518" s="36"/>
    </row>
    <row r="1519">
      <c r="A1519" s="32"/>
      <c r="B1519" s="32"/>
      <c r="C1519" s="32"/>
      <c r="D1519" s="32"/>
      <c r="E1519" s="32"/>
      <c r="F1519" s="32"/>
      <c r="G1519" s="39"/>
      <c r="H1519" s="32"/>
      <c r="I1519" s="32"/>
      <c r="J1519" s="32"/>
      <c r="K1519" s="33"/>
      <c r="L1519" s="32"/>
      <c r="M1519" s="32"/>
      <c r="N1519" s="32"/>
      <c r="O1519" s="32"/>
      <c r="P1519" s="32"/>
      <c r="Q1519" s="34"/>
      <c r="R1519" s="35"/>
      <c r="S1519" s="35"/>
      <c r="T1519" s="36"/>
      <c r="U1519" s="36"/>
      <c r="V1519" s="36"/>
      <c r="W1519" s="36"/>
      <c r="X1519" s="36"/>
      <c r="Y1519" s="36"/>
    </row>
    <row r="1520">
      <c r="A1520" s="32"/>
      <c r="B1520" s="32"/>
      <c r="C1520" s="32"/>
      <c r="D1520" s="32"/>
      <c r="E1520" s="32"/>
      <c r="F1520" s="32"/>
      <c r="G1520" s="39"/>
      <c r="H1520" s="32"/>
      <c r="I1520" s="32"/>
      <c r="J1520" s="32"/>
      <c r="K1520" s="33"/>
      <c r="L1520" s="32"/>
      <c r="M1520" s="32"/>
      <c r="N1520" s="32"/>
      <c r="O1520" s="32"/>
      <c r="P1520" s="32"/>
      <c r="Q1520" s="34"/>
      <c r="R1520" s="35"/>
      <c r="S1520" s="35"/>
      <c r="T1520" s="36"/>
      <c r="U1520" s="36"/>
      <c r="V1520" s="36"/>
      <c r="W1520" s="36"/>
      <c r="X1520" s="36"/>
      <c r="Y1520" s="36"/>
    </row>
    <row r="1521">
      <c r="A1521" s="32"/>
      <c r="B1521" s="32"/>
      <c r="C1521" s="32"/>
      <c r="D1521" s="32"/>
      <c r="E1521" s="32"/>
      <c r="F1521" s="32"/>
      <c r="G1521" s="39"/>
      <c r="H1521" s="32"/>
      <c r="I1521" s="32"/>
      <c r="J1521" s="32"/>
      <c r="K1521" s="33"/>
      <c r="L1521" s="32"/>
      <c r="M1521" s="32"/>
      <c r="N1521" s="32"/>
      <c r="O1521" s="32"/>
      <c r="P1521" s="32"/>
      <c r="Q1521" s="34"/>
      <c r="R1521" s="35"/>
      <c r="S1521" s="35"/>
      <c r="T1521" s="36"/>
      <c r="U1521" s="36"/>
      <c r="V1521" s="36"/>
      <c r="W1521" s="36"/>
      <c r="X1521" s="36"/>
      <c r="Y1521" s="36"/>
    </row>
    <row r="1522">
      <c r="A1522" s="32"/>
      <c r="B1522" s="32"/>
      <c r="C1522" s="32"/>
      <c r="D1522" s="32"/>
      <c r="E1522" s="32"/>
      <c r="F1522" s="32"/>
      <c r="G1522" s="39"/>
      <c r="H1522" s="32"/>
      <c r="I1522" s="32"/>
      <c r="J1522" s="32"/>
      <c r="K1522" s="33"/>
      <c r="L1522" s="32"/>
      <c r="M1522" s="32"/>
      <c r="N1522" s="32"/>
      <c r="O1522" s="32"/>
      <c r="P1522" s="32"/>
      <c r="Q1522" s="34"/>
      <c r="R1522" s="35"/>
      <c r="S1522" s="35"/>
      <c r="T1522" s="36"/>
      <c r="U1522" s="36"/>
      <c r="V1522" s="36"/>
      <c r="W1522" s="36"/>
      <c r="X1522" s="36"/>
      <c r="Y1522" s="36"/>
    </row>
    <row r="1523">
      <c r="A1523" s="32"/>
      <c r="B1523" s="32"/>
      <c r="C1523" s="32"/>
      <c r="D1523" s="32"/>
      <c r="E1523" s="32"/>
      <c r="F1523" s="32"/>
      <c r="G1523" s="39"/>
      <c r="H1523" s="32"/>
      <c r="I1523" s="32"/>
      <c r="J1523" s="32"/>
      <c r="K1523" s="33"/>
      <c r="L1523" s="32"/>
      <c r="M1523" s="32"/>
      <c r="N1523" s="32"/>
      <c r="O1523" s="32"/>
      <c r="P1523" s="32"/>
      <c r="Q1523" s="34"/>
      <c r="R1523" s="35"/>
      <c r="S1523" s="35"/>
      <c r="T1523" s="36"/>
      <c r="U1523" s="36"/>
      <c r="V1523" s="36"/>
      <c r="W1523" s="36"/>
      <c r="X1523" s="36"/>
      <c r="Y1523" s="36"/>
    </row>
    <row r="1524">
      <c r="A1524" s="32"/>
      <c r="B1524" s="32"/>
      <c r="C1524" s="32"/>
      <c r="D1524" s="32"/>
      <c r="E1524" s="32"/>
      <c r="F1524" s="32"/>
      <c r="G1524" s="39"/>
      <c r="H1524" s="32"/>
      <c r="I1524" s="32"/>
      <c r="J1524" s="32"/>
      <c r="K1524" s="33"/>
      <c r="L1524" s="32"/>
      <c r="M1524" s="32"/>
      <c r="N1524" s="32"/>
      <c r="O1524" s="32"/>
      <c r="P1524" s="32"/>
      <c r="Q1524" s="34"/>
      <c r="R1524" s="35"/>
      <c r="S1524" s="35"/>
      <c r="T1524" s="36"/>
      <c r="U1524" s="36"/>
      <c r="V1524" s="36"/>
      <c r="W1524" s="36"/>
      <c r="X1524" s="36"/>
      <c r="Y1524" s="36"/>
    </row>
    <row r="1525">
      <c r="A1525" s="32"/>
      <c r="B1525" s="32"/>
      <c r="C1525" s="32"/>
      <c r="D1525" s="32"/>
      <c r="E1525" s="32"/>
      <c r="F1525" s="32"/>
      <c r="G1525" s="39"/>
      <c r="H1525" s="32"/>
      <c r="I1525" s="32"/>
      <c r="J1525" s="32"/>
      <c r="K1525" s="33"/>
      <c r="L1525" s="32"/>
      <c r="M1525" s="32"/>
      <c r="N1525" s="32"/>
      <c r="O1525" s="32"/>
      <c r="P1525" s="32"/>
      <c r="Q1525" s="34"/>
      <c r="R1525" s="35"/>
      <c r="S1525" s="35"/>
      <c r="T1525" s="36"/>
      <c r="U1525" s="36"/>
      <c r="V1525" s="36"/>
      <c r="W1525" s="36"/>
      <c r="X1525" s="36"/>
      <c r="Y1525" s="36"/>
    </row>
    <row r="1526">
      <c r="A1526" s="32"/>
      <c r="B1526" s="32"/>
      <c r="C1526" s="32"/>
      <c r="D1526" s="32"/>
      <c r="E1526" s="32"/>
      <c r="F1526" s="32"/>
      <c r="G1526" s="39"/>
      <c r="H1526" s="32"/>
      <c r="I1526" s="32"/>
      <c r="J1526" s="32"/>
      <c r="K1526" s="33"/>
      <c r="L1526" s="32"/>
      <c r="M1526" s="32"/>
      <c r="N1526" s="32"/>
      <c r="O1526" s="32"/>
      <c r="P1526" s="32"/>
      <c r="Q1526" s="34"/>
      <c r="R1526" s="35"/>
      <c r="S1526" s="35"/>
      <c r="T1526" s="36"/>
      <c r="U1526" s="36"/>
      <c r="V1526" s="36"/>
      <c r="W1526" s="36"/>
      <c r="X1526" s="36"/>
      <c r="Y1526" s="36"/>
    </row>
    <row r="1527">
      <c r="A1527" s="32"/>
      <c r="B1527" s="32"/>
      <c r="C1527" s="32"/>
      <c r="D1527" s="32"/>
      <c r="E1527" s="32"/>
      <c r="F1527" s="32"/>
      <c r="G1527" s="39"/>
      <c r="H1527" s="32"/>
      <c r="I1527" s="32"/>
      <c r="J1527" s="32"/>
      <c r="K1527" s="33"/>
      <c r="L1527" s="32"/>
      <c r="M1527" s="32"/>
      <c r="N1527" s="32"/>
      <c r="O1527" s="32"/>
      <c r="P1527" s="32"/>
      <c r="Q1527" s="34"/>
      <c r="R1527" s="35"/>
      <c r="S1527" s="35"/>
      <c r="T1527" s="36"/>
      <c r="U1527" s="36"/>
      <c r="V1527" s="36"/>
      <c r="W1527" s="36"/>
      <c r="X1527" s="36"/>
      <c r="Y1527" s="36"/>
    </row>
    <row r="1528">
      <c r="A1528" s="32"/>
      <c r="B1528" s="32"/>
      <c r="C1528" s="32"/>
      <c r="D1528" s="32"/>
      <c r="E1528" s="32"/>
      <c r="F1528" s="32"/>
      <c r="G1528" s="39"/>
      <c r="H1528" s="32"/>
      <c r="I1528" s="32"/>
      <c r="J1528" s="32"/>
      <c r="K1528" s="33"/>
      <c r="L1528" s="32"/>
      <c r="M1528" s="32"/>
      <c r="N1528" s="32"/>
      <c r="O1528" s="32"/>
      <c r="P1528" s="32"/>
      <c r="Q1528" s="34"/>
      <c r="R1528" s="35"/>
      <c r="S1528" s="35"/>
      <c r="T1528" s="36"/>
      <c r="U1528" s="36"/>
      <c r="V1528" s="36"/>
      <c r="W1528" s="36"/>
      <c r="X1528" s="36"/>
      <c r="Y1528" s="36"/>
    </row>
    <row r="1529">
      <c r="A1529" s="32"/>
      <c r="B1529" s="32"/>
      <c r="C1529" s="32"/>
      <c r="D1529" s="32"/>
      <c r="E1529" s="32"/>
      <c r="F1529" s="32"/>
      <c r="G1529" s="39"/>
      <c r="H1529" s="32"/>
      <c r="I1529" s="32"/>
      <c r="J1529" s="32"/>
      <c r="K1529" s="33"/>
      <c r="L1529" s="32"/>
      <c r="M1529" s="32"/>
      <c r="N1529" s="32"/>
      <c r="O1529" s="32"/>
      <c r="P1529" s="32"/>
      <c r="Q1529" s="34"/>
      <c r="R1529" s="35"/>
      <c r="S1529" s="35"/>
      <c r="T1529" s="36"/>
      <c r="U1529" s="36"/>
      <c r="V1529" s="36"/>
      <c r="W1529" s="36"/>
      <c r="X1529" s="36"/>
      <c r="Y1529" s="36"/>
    </row>
    <row r="1530">
      <c r="A1530" s="32"/>
      <c r="B1530" s="32"/>
      <c r="C1530" s="32"/>
      <c r="D1530" s="32"/>
      <c r="E1530" s="32"/>
      <c r="F1530" s="32"/>
      <c r="G1530" s="39"/>
      <c r="H1530" s="32"/>
      <c r="I1530" s="32"/>
      <c r="J1530" s="32"/>
      <c r="K1530" s="33"/>
      <c r="L1530" s="32"/>
      <c r="M1530" s="32"/>
      <c r="N1530" s="32"/>
      <c r="O1530" s="32"/>
      <c r="P1530" s="32"/>
      <c r="Q1530" s="34"/>
      <c r="R1530" s="35"/>
      <c r="S1530" s="35"/>
      <c r="T1530" s="36"/>
      <c r="U1530" s="36"/>
      <c r="V1530" s="36"/>
      <c r="W1530" s="36"/>
      <c r="X1530" s="36"/>
      <c r="Y1530" s="36"/>
    </row>
    <row r="1531">
      <c r="A1531" s="32"/>
      <c r="B1531" s="32"/>
      <c r="C1531" s="32"/>
      <c r="D1531" s="32"/>
      <c r="E1531" s="32"/>
      <c r="F1531" s="32"/>
      <c r="G1531" s="39"/>
      <c r="H1531" s="32"/>
      <c r="I1531" s="32"/>
      <c r="J1531" s="32"/>
      <c r="K1531" s="33"/>
      <c r="L1531" s="32"/>
      <c r="M1531" s="32"/>
      <c r="N1531" s="32"/>
      <c r="O1531" s="32"/>
      <c r="P1531" s="32"/>
      <c r="Q1531" s="34"/>
      <c r="R1531" s="35"/>
      <c r="S1531" s="35"/>
      <c r="T1531" s="36"/>
      <c r="U1531" s="36"/>
      <c r="V1531" s="36"/>
      <c r="W1531" s="36"/>
      <c r="X1531" s="36"/>
      <c r="Y1531" s="36"/>
    </row>
    <row r="1532">
      <c r="A1532" s="32"/>
      <c r="B1532" s="32"/>
      <c r="C1532" s="32"/>
      <c r="D1532" s="32"/>
      <c r="E1532" s="32"/>
      <c r="F1532" s="32"/>
      <c r="G1532" s="39"/>
      <c r="H1532" s="32"/>
      <c r="I1532" s="32"/>
      <c r="J1532" s="32"/>
      <c r="K1532" s="33"/>
      <c r="L1532" s="32"/>
      <c r="M1532" s="32"/>
      <c r="N1532" s="32"/>
      <c r="O1532" s="32"/>
      <c r="P1532" s="32"/>
      <c r="Q1532" s="34"/>
      <c r="R1532" s="35"/>
      <c r="S1532" s="35"/>
      <c r="T1532" s="36"/>
      <c r="U1532" s="36"/>
      <c r="V1532" s="36"/>
      <c r="W1532" s="36"/>
      <c r="X1532" s="36"/>
      <c r="Y1532" s="36"/>
    </row>
    <row r="1533">
      <c r="A1533" s="32"/>
      <c r="B1533" s="32"/>
      <c r="C1533" s="32"/>
      <c r="D1533" s="32"/>
      <c r="E1533" s="32"/>
      <c r="F1533" s="32"/>
      <c r="G1533" s="39"/>
      <c r="H1533" s="32"/>
      <c r="I1533" s="32"/>
      <c r="J1533" s="32"/>
      <c r="K1533" s="33"/>
      <c r="L1533" s="32"/>
      <c r="M1533" s="32"/>
      <c r="N1533" s="32"/>
      <c r="O1533" s="32"/>
      <c r="P1533" s="32"/>
      <c r="Q1533" s="34"/>
      <c r="R1533" s="35"/>
      <c r="S1533" s="35"/>
      <c r="T1533" s="36"/>
      <c r="U1533" s="36"/>
      <c r="V1533" s="36"/>
      <c r="W1533" s="36"/>
      <c r="X1533" s="36"/>
      <c r="Y1533" s="36"/>
    </row>
    <row r="1534">
      <c r="A1534" s="32"/>
      <c r="B1534" s="32"/>
      <c r="C1534" s="32"/>
      <c r="D1534" s="32"/>
      <c r="E1534" s="32"/>
      <c r="F1534" s="32"/>
      <c r="G1534" s="39"/>
      <c r="H1534" s="32"/>
      <c r="I1534" s="32"/>
      <c r="J1534" s="32"/>
      <c r="K1534" s="33"/>
      <c r="L1534" s="32"/>
      <c r="M1534" s="32"/>
      <c r="N1534" s="32"/>
      <c r="O1534" s="32"/>
      <c r="P1534" s="32"/>
      <c r="Q1534" s="34"/>
      <c r="R1534" s="35"/>
      <c r="S1534" s="35"/>
      <c r="T1534" s="36"/>
      <c r="U1534" s="36"/>
      <c r="V1534" s="36"/>
      <c r="W1534" s="36"/>
      <c r="X1534" s="36"/>
      <c r="Y1534" s="36"/>
    </row>
    <row r="1535">
      <c r="A1535" s="32"/>
      <c r="B1535" s="32"/>
      <c r="C1535" s="32"/>
      <c r="D1535" s="32"/>
      <c r="E1535" s="32"/>
      <c r="F1535" s="32"/>
      <c r="G1535" s="39"/>
      <c r="H1535" s="32"/>
      <c r="I1535" s="32"/>
      <c r="J1535" s="32"/>
      <c r="K1535" s="33"/>
      <c r="L1535" s="32"/>
      <c r="M1535" s="32"/>
      <c r="N1535" s="32"/>
      <c r="O1535" s="32"/>
      <c r="P1535" s="32"/>
      <c r="Q1535" s="34"/>
      <c r="R1535" s="35"/>
      <c r="S1535" s="35"/>
      <c r="T1535" s="36"/>
      <c r="U1535" s="36"/>
      <c r="V1535" s="36"/>
      <c r="W1535" s="36"/>
      <c r="X1535" s="36"/>
      <c r="Y1535" s="36"/>
    </row>
    <row r="1536">
      <c r="A1536" s="32"/>
      <c r="B1536" s="32"/>
      <c r="C1536" s="32"/>
      <c r="D1536" s="32"/>
      <c r="E1536" s="32"/>
      <c r="F1536" s="32"/>
      <c r="G1536" s="39"/>
      <c r="H1536" s="32"/>
      <c r="I1536" s="32"/>
      <c r="J1536" s="32"/>
      <c r="K1536" s="33"/>
      <c r="L1536" s="32"/>
      <c r="M1536" s="32"/>
      <c r="N1536" s="32"/>
      <c r="O1536" s="32"/>
      <c r="P1536" s="32"/>
      <c r="Q1536" s="34"/>
      <c r="R1536" s="35"/>
      <c r="S1536" s="35"/>
      <c r="T1536" s="36"/>
      <c r="U1536" s="36"/>
      <c r="V1536" s="36"/>
      <c r="W1536" s="36"/>
      <c r="X1536" s="36"/>
      <c r="Y1536" s="36"/>
    </row>
    <row r="1537">
      <c r="A1537" s="32"/>
      <c r="B1537" s="32"/>
      <c r="C1537" s="32"/>
      <c r="D1537" s="32"/>
      <c r="E1537" s="32"/>
      <c r="F1537" s="32"/>
      <c r="G1537" s="39"/>
      <c r="H1537" s="32"/>
      <c r="I1537" s="32"/>
      <c r="J1537" s="32"/>
      <c r="K1537" s="33"/>
      <c r="L1537" s="32"/>
      <c r="M1537" s="32"/>
      <c r="N1537" s="32"/>
      <c r="O1537" s="32"/>
      <c r="P1537" s="32"/>
      <c r="Q1537" s="34"/>
      <c r="R1537" s="35"/>
      <c r="S1537" s="35"/>
      <c r="T1537" s="36"/>
      <c r="U1537" s="36"/>
      <c r="V1537" s="36"/>
      <c r="W1537" s="36"/>
      <c r="X1537" s="36"/>
      <c r="Y1537" s="36"/>
    </row>
    <row r="1538">
      <c r="A1538" s="32"/>
      <c r="B1538" s="32"/>
      <c r="C1538" s="32"/>
      <c r="D1538" s="32"/>
      <c r="E1538" s="32"/>
      <c r="F1538" s="32"/>
      <c r="G1538" s="39"/>
      <c r="H1538" s="32"/>
      <c r="I1538" s="32"/>
      <c r="J1538" s="32"/>
      <c r="K1538" s="33"/>
      <c r="L1538" s="32"/>
      <c r="M1538" s="32"/>
      <c r="N1538" s="32"/>
      <c r="O1538" s="32"/>
      <c r="P1538" s="32"/>
      <c r="Q1538" s="34"/>
      <c r="R1538" s="35"/>
      <c r="S1538" s="35"/>
      <c r="T1538" s="36"/>
      <c r="U1538" s="36"/>
      <c r="V1538" s="36"/>
      <c r="W1538" s="36"/>
      <c r="X1538" s="36"/>
      <c r="Y1538" s="36"/>
    </row>
    <row r="1539">
      <c r="A1539" s="32"/>
      <c r="B1539" s="32"/>
      <c r="C1539" s="32"/>
      <c r="D1539" s="32"/>
      <c r="E1539" s="32"/>
      <c r="F1539" s="32"/>
      <c r="G1539" s="39"/>
      <c r="H1539" s="32"/>
      <c r="I1539" s="32"/>
      <c r="J1539" s="32"/>
      <c r="K1539" s="33"/>
      <c r="L1539" s="32"/>
      <c r="M1539" s="32"/>
      <c r="N1539" s="32"/>
      <c r="O1539" s="32"/>
      <c r="P1539" s="32"/>
      <c r="Q1539" s="34"/>
      <c r="R1539" s="35"/>
      <c r="S1539" s="35"/>
      <c r="T1539" s="36"/>
      <c r="U1539" s="36"/>
      <c r="V1539" s="36"/>
      <c r="W1539" s="36"/>
      <c r="X1539" s="36"/>
      <c r="Y1539" s="36"/>
    </row>
    <row r="1540">
      <c r="A1540" s="32"/>
      <c r="B1540" s="32"/>
      <c r="C1540" s="32"/>
      <c r="D1540" s="32"/>
      <c r="E1540" s="32"/>
      <c r="F1540" s="32"/>
      <c r="G1540" s="39"/>
      <c r="H1540" s="32"/>
      <c r="I1540" s="32"/>
      <c r="J1540" s="32"/>
      <c r="K1540" s="33"/>
      <c r="L1540" s="32"/>
      <c r="M1540" s="32"/>
      <c r="N1540" s="32"/>
      <c r="O1540" s="32"/>
      <c r="P1540" s="32"/>
      <c r="Q1540" s="34"/>
      <c r="R1540" s="35"/>
      <c r="S1540" s="35"/>
      <c r="T1540" s="36"/>
      <c r="U1540" s="36"/>
      <c r="V1540" s="36"/>
      <c r="W1540" s="36"/>
      <c r="X1540" s="36"/>
      <c r="Y1540" s="36"/>
    </row>
    <row r="1541">
      <c r="A1541" s="32"/>
      <c r="B1541" s="32"/>
      <c r="C1541" s="32"/>
      <c r="D1541" s="32"/>
      <c r="E1541" s="32"/>
      <c r="F1541" s="32"/>
      <c r="G1541" s="39"/>
      <c r="H1541" s="32"/>
      <c r="I1541" s="32"/>
      <c r="J1541" s="32"/>
      <c r="K1541" s="33"/>
      <c r="L1541" s="32"/>
      <c r="M1541" s="32"/>
      <c r="N1541" s="32"/>
      <c r="O1541" s="32"/>
      <c r="P1541" s="32"/>
      <c r="Q1541" s="34"/>
      <c r="R1541" s="35"/>
      <c r="S1541" s="35"/>
      <c r="T1541" s="36"/>
      <c r="U1541" s="36"/>
      <c r="V1541" s="36"/>
      <c r="W1541" s="36"/>
      <c r="X1541" s="36"/>
      <c r="Y1541" s="36"/>
    </row>
    <row r="1542">
      <c r="A1542" s="32"/>
      <c r="B1542" s="32"/>
      <c r="C1542" s="32"/>
      <c r="D1542" s="32"/>
      <c r="E1542" s="32"/>
      <c r="F1542" s="32"/>
      <c r="G1542" s="39"/>
      <c r="H1542" s="32"/>
      <c r="I1542" s="32"/>
      <c r="J1542" s="32"/>
      <c r="K1542" s="33"/>
      <c r="L1542" s="32"/>
      <c r="M1542" s="32"/>
      <c r="N1542" s="32"/>
      <c r="O1542" s="32"/>
      <c r="P1542" s="32"/>
      <c r="Q1542" s="34"/>
      <c r="R1542" s="35"/>
      <c r="S1542" s="35"/>
      <c r="T1542" s="36"/>
      <c r="U1542" s="36"/>
      <c r="V1542" s="36"/>
      <c r="W1542" s="36"/>
      <c r="X1542" s="36"/>
      <c r="Y1542" s="36"/>
    </row>
    <row r="1543">
      <c r="A1543" s="32"/>
      <c r="B1543" s="32"/>
      <c r="C1543" s="32"/>
      <c r="D1543" s="32"/>
      <c r="E1543" s="32"/>
      <c r="F1543" s="32"/>
      <c r="G1543" s="39"/>
      <c r="H1543" s="32"/>
      <c r="I1543" s="32"/>
      <c r="J1543" s="32"/>
      <c r="K1543" s="33"/>
      <c r="L1543" s="32"/>
      <c r="M1543" s="32"/>
      <c r="N1543" s="32"/>
      <c r="O1543" s="32"/>
      <c r="P1543" s="32"/>
      <c r="Q1543" s="34"/>
      <c r="R1543" s="35"/>
      <c r="S1543" s="35"/>
      <c r="T1543" s="36"/>
      <c r="U1543" s="36"/>
      <c r="V1543" s="36"/>
      <c r="W1543" s="36"/>
      <c r="X1543" s="36"/>
      <c r="Y1543" s="36"/>
    </row>
    <row r="1544">
      <c r="A1544" s="32"/>
      <c r="B1544" s="32"/>
      <c r="C1544" s="32"/>
      <c r="D1544" s="32"/>
      <c r="E1544" s="32"/>
      <c r="F1544" s="32"/>
      <c r="G1544" s="39"/>
      <c r="H1544" s="32"/>
      <c r="I1544" s="32"/>
      <c r="J1544" s="32"/>
      <c r="K1544" s="33"/>
      <c r="L1544" s="32"/>
      <c r="M1544" s="32"/>
      <c r="N1544" s="32"/>
      <c r="O1544" s="32"/>
      <c r="P1544" s="32"/>
      <c r="Q1544" s="34"/>
      <c r="R1544" s="35"/>
      <c r="S1544" s="35"/>
      <c r="T1544" s="36"/>
      <c r="U1544" s="36"/>
      <c r="V1544" s="36"/>
      <c r="W1544" s="36"/>
      <c r="X1544" s="36"/>
      <c r="Y1544" s="36"/>
    </row>
    <row r="1545">
      <c r="A1545" s="32"/>
      <c r="B1545" s="32"/>
      <c r="C1545" s="32"/>
      <c r="D1545" s="32"/>
      <c r="E1545" s="32"/>
      <c r="F1545" s="32"/>
      <c r="G1545" s="39"/>
      <c r="H1545" s="32"/>
      <c r="I1545" s="32"/>
      <c r="J1545" s="32"/>
      <c r="K1545" s="33"/>
      <c r="L1545" s="32"/>
      <c r="M1545" s="32"/>
      <c r="N1545" s="32"/>
      <c r="O1545" s="32"/>
      <c r="P1545" s="32"/>
      <c r="Q1545" s="34"/>
      <c r="R1545" s="35"/>
      <c r="S1545" s="35"/>
      <c r="T1545" s="36"/>
      <c r="U1545" s="36"/>
      <c r="V1545" s="36"/>
      <c r="W1545" s="36"/>
      <c r="X1545" s="36"/>
      <c r="Y1545" s="36"/>
    </row>
    <row r="1546">
      <c r="A1546" s="32"/>
      <c r="B1546" s="32"/>
      <c r="C1546" s="32"/>
      <c r="D1546" s="32"/>
      <c r="E1546" s="32"/>
      <c r="F1546" s="32"/>
      <c r="G1546" s="39"/>
      <c r="H1546" s="32"/>
      <c r="I1546" s="32"/>
      <c r="J1546" s="32"/>
      <c r="K1546" s="33"/>
      <c r="L1546" s="32"/>
      <c r="M1546" s="32"/>
      <c r="N1546" s="32"/>
      <c r="O1546" s="32"/>
      <c r="P1546" s="32"/>
      <c r="Q1546" s="34"/>
      <c r="R1546" s="35"/>
      <c r="S1546" s="35"/>
      <c r="T1546" s="36"/>
      <c r="U1546" s="36"/>
      <c r="V1546" s="36"/>
      <c r="W1546" s="36"/>
      <c r="X1546" s="36"/>
      <c r="Y1546" s="36"/>
    </row>
    <row r="1547">
      <c r="A1547" s="32"/>
      <c r="B1547" s="32"/>
      <c r="C1547" s="32"/>
      <c r="D1547" s="32"/>
      <c r="E1547" s="32"/>
      <c r="F1547" s="32"/>
      <c r="G1547" s="39"/>
      <c r="H1547" s="32"/>
      <c r="I1547" s="32"/>
      <c r="J1547" s="32"/>
      <c r="K1547" s="33"/>
      <c r="L1547" s="32"/>
      <c r="M1547" s="32"/>
      <c r="N1547" s="32"/>
      <c r="O1547" s="32"/>
      <c r="P1547" s="32"/>
      <c r="Q1547" s="34"/>
      <c r="R1547" s="35"/>
      <c r="S1547" s="35"/>
      <c r="T1547" s="36"/>
      <c r="U1547" s="36"/>
      <c r="V1547" s="36"/>
      <c r="W1547" s="36"/>
      <c r="X1547" s="36"/>
      <c r="Y1547" s="36"/>
    </row>
    <row r="1548">
      <c r="A1548" s="32"/>
      <c r="B1548" s="32"/>
      <c r="C1548" s="32"/>
      <c r="D1548" s="32"/>
      <c r="E1548" s="32"/>
      <c r="F1548" s="32"/>
      <c r="G1548" s="39"/>
      <c r="H1548" s="32"/>
      <c r="I1548" s="32"/>
      <c r="J1548" s="32"/>
      <c r="K1548" s="33"/>
      <c r="L1548" s="32"/>
      <c r="M1548" s="32"/>
      <c r="N1548" s="32"/>
      <c r="O1548" s="32"/>
      <c r="P1548" s="32"/>
      <c r="Q1548" s="34"/>
      <c r="R1548" s="35"/>
      <c r="S1548" s="35"/>
      <c r="T1548" s="36"/>
      <c r="U1548" s="36"/>
      <c r="V1548" s="36"/>
      <c r="W1548" s="36"/>
      <c r="X1548" s="36"/>
      <c r="Y1548" s="36"/>
    </row>
    <row r="1549">
      <c r="A1549" s="32"/>
      <c r="B1549" s="32"/>
      <c r="C1549" s="32"/>
      <c r="D1549" s="32"/>
      <c r="E1549" s="32"/>
      <c r="F1549" s="32"/>
      <c r="G1549" s="39"/>
      <c r="H1549" s="32"/>
      <c r="I1549" s="32"/>
      <c r="J1549" s="32"/>
      <c r="K1549" s="33"/>
      <c r="L1549" s="32"/>
      <c r="M1549" s="32"/>
      <c r="N1549" s="32"/>
      <c r="O1549" s="32"/>
      <c r="P1549" s="32"/>
      <c r="Q1549" s="34"/>
      <c r="R1549" s="35"/>
      <c r="S1549" s="35"/>
      <c r="T1549" s="36"/>
      <c r="U1549" s="36"/>
      <c r="V1549" s="36"/>
      <c r="W1549" s="36"/>
      <c r="X1549" s="36"/>
      <c r="Y1549" s="36"/>
    </row>
    <row r="1550">
      <c r="A1550" s="32"/>
      <c r="B1550" s="32"/>
      <c r="C1550" s="32"/>
      <c r="D1550" s="32"/>
      <c r="E1550" s="32"/>
      <c r="F1550" s="32"/>
      <c r="G1550" s="39"/>
      <c r="H1550" s="32"/>
      <c r="I1550" s="32"/>
      <c r="J1550" s="32"/>
      <c r="K1550" s="33"/>
      <c r="L1550" s="32"/>
      <c r="M1550" s="32"/>
      <c r="N1550" s="32"/>
      <c r="O1550" s="32"/>
      <c r="P1550" s="32"/>
      <c r="Q1550" s="34"/>
      <c r="R1550" s="35"/>
      <c r="S1550" s="35"/>
      <c r="T1550" s="36"/>
      <c r="U1550" s="36"/>
      <c r="V1550" s="36"/>
      <c r="W1550" s="36"/>
      <c r="X1550" s="36"/>
      <c r="Y1550" s="36"/>
    </row>
    <row r="1551">
      <c r="A1551" s="32"/>
      <c r="B1551" s="32"/>
      <c r="C1551" s="32"/>
      <c r="D1551" s="32"/>
      <c r="E1551" s="32"/>
      <c r="F1551" s="32"/>
      <c r="G1551" s="39"/>
      <c r="H1551" s="32"/>
      <c r="I1551" s="32"/>
      <c r="J1551" s="32"/>
      <c r="K1551" s="33"/>
      <c r="L1551" s="32"/>
      <c r="M1551" s="32"/>
      <c r="N1551" s="32"/>
      <c r="O1551" s="32"/>
      <c r="P1551" s="32"/>
      <c r="Q1551" s="34"/>
      <c r="R1551" s="35"/>
      <c r="S1551" s="35"/>
      <c r="T1551" s="36"/>
      <c r="U1551" s="36"/>
      <c r="V1551" s="36"/>
      <c r="W1551" s="36"/>
      <c r="X1551" s="36"/>
      <c r="Y1551" s="36"/>
    </row>
    <row r="1552">
      <c r="A1552" s="32"/>
      <c r="B1552" s="32"/>
      <c r="C1552" s="32"/>
      <c r="D1552" s="32"/>
      <c r="E1552" s="32"/>
      <c r="F1552" s="32"/>
      <c r="G1552" s="39"/>
      <c r="H1552" s="32"/>
      <c r="I1552" s="32"/>
      <c r="J1552" s="32"/>
      <c r="K1552" s="33"/>
      <c r="L1552" s="32"/>
      <c r="M1552" s="32"/>
      <c r="N1552" s="32"/>
      <c r="O1552" s="32"/>
      <c r="P1552" s="32"/>
      <c r="Q1552" s="34"/>
      <c r="R1552" s="35"/>
      <c r="S1552" s="35"/>
      <c r="T1552" s="36"/>
      <c r="U1552" s="36"/>
      <c r="V1552" s="36"/>
      <c r="W1552" s="36"/>
      <c r="X1552" s="36"/>
      <c r="Y1552" s="36"/>
    </row>
    <row r="1553">
      <c r="A1553" s="32"/>
      <c r="B1553" s="32"/>
      <c r="C1553" s="32"/>
      <c r="D1553" s="32"/>
      <c r="E1553" s="32"/>
      <c r="F1553" s="32"/>
      <c r="G1553" s="39"/>
      <c r="H1553" s="32"/>
      <c r="I1553" s="32"/>
      <c r="J1553" s="32"/>
      <c r="K1553" s="33"/>
      <c r="L1553" s="32"/>
      <c r="M1553" s="32"/>
      <c r="N1553" s="32"/>
      <c r="O1553" s="32"/>
      <c r="P1553" s="32"/>
      <c r="Q1553" s="34"/>
      <c r="R1553" s="35"/>
      <c r="S1553" s="35"/>
      <c r="T1553" s="36"/>
      <c r="U1553" s="36"/>
      <c r="V1553" s="36"/>
      <c r="W1553" s="36"/>
      <c r="X1553" s="36"/>
      <c r="Y1553" s="36"/>
    </row>
    <row r="1554">
      <c r="A1554" s="32"/>
      <c r="B1554" s="32"/>
      <c r="C1554" s="32"/>
      <c r="D1554" s="32"/>
      <c r="E1554" s="32"/>
      <c r="F1554" s="32"/>
      <c r="G1554" s="39"/>
      <c r="H1554" s="32"/>
      <c r="I1554" s="32"/>
      <c r="J1554" s="32"/>
      <c r="K1554" s="33"/>
      <c r="L1554" s="32"/>
      <c r="M1554" s="32"/>
      <c r="N1554" s="32"/>
      <c r="O1554" s="32"/>
      <c r="P1554" s="32"/>
      <c r="Q1554" s="34"/>
      <c r="R1554" s="35"/>
      <c r="S1554" s="35"/>
      <c r="T1554" s="36"/>
      <c r="U1554" s="36"/>
      <c r="V1554" s="36"/>
      <c r="W1554" s="36"/>
      <c r="X1554" s="36"/>
      <c r="Y1554" s="36"/>
    </row>
    <row r="1555">
      <c r="A1555" s="32"/>
      <c r="B1555" s="32"/>
      <c r="C1555" s="32"/>
      <c r="D1555" s="32"/>
      <c r="E1555" s="32"/>
      <c r="F1555" s="32"/>
      <c r="G1555" s="39"/>
      <c r="H1555" s="32"/>
      <c r="I1555" s="32"/>
      <c r="J1555" s="32"/>
      <c r="K1555" s="33"/>
      <c r="L1555" s="32"/>
      <c r="M1555" s="32"/>
      <c r="N1555" s="32"/>
      <c r="O1555" s="32"/>
      <c r="P1555" s="32"/>
      <c r="Q1555" s="34"/>
      <c r="R1555" s="35"/>
      <c r="S1555" s="35"/>
      <c r="T1555" s="36"/>
      <c r="U1555" s="36"/>
      <c r="V1555" s="36"/>
      <c r="W1555" s="36"/>
      <c r="X1555" s="36"/>
      <c r="Y1555" s="36"/>
    </row>
    <row r="1556">
      <c r="A1556" s="32"/>
      <c r="B1556" s="32"/>
      <c r="C1556" s="32"/>
      <c r="D1556" s="32"/>
      <c r="E1556" s="32"/>
      <c r="F1556" s="32"/>
      <c r="G1556" s="39"/>
      <c r="H1556" s="32"/>
      <c r="I1556" s="32"/>
      <c r="J1556" s="32"/>
      <c r="K1556" s="33"/>
      <c r="L1556" s="32"/>
      <c r="M1556" s="32"/>
      <c r="N1556" s="32"/>
      <c r="O1556" s="32"/>
      <c r="P1556" s="32"/>
      <c r="Q1556" s="34"/>
      <c r="R1556" s="35"/>
      <c r="S1556" s="35"/>
      <c r="T1556" s="36"/>
      <c r="U1556" s="36"/>
      <c r="V1556" s="36"/>
      <c r="W1556" s="36"/>
      <c r="X1556" s="36"/>
      <c r="Y1556" s="36"/>
    </row>
    <row r="1557">
      <c r="A1557" s="32"/>
      <c r="B1557" s="32"/>
      <c r="C1557" s="32"/>
      <c r="D1557" s="32"/>
      <c r="E1557" s="32"/>
      <c r="F1557" s="32"/>
      <c r="G1557" s="39"/>
      <c r="H1557" s="32"/>
      <c r="I1557" s="32"/>
      <c r="J1557" s="32"/>
      <c r="K1557" s="33"/>
      <c r="L1557" s="32"/>
      <c r="M1557" s="32"/>
      <c r="N1557" s="32"/>
      <c r="O1557" s="32"/>
      <c r="P1557" s="32"/>
      <c r="Q1557" s="34"/>
      <c r="R1557" s="35"/>
      <c r="S1557" s="35"/>
      <c r="T1557" s="36"/>
      <c r="U1557" s="36"/>
      <c r="V1557" s="36"/>
      <c r="W1557" s="36"/>
      <c r="X1557" s="36"/>
      <c r="Y1557" s="36"/>
    </row>
    <row r="1558">
      <c r="A1558" s="32"/>
      <c r="B1558" s="32"/>
      <c r="C1558" s="32"/>
      <c r="D1558" s="32"/>
      <c r="E1558" s="32"/>
      <c r="F1558" s="32"/>
      <c r="G1558" s="39"/>
      <c r="H1558" s="32"/>
      <c r="I1558" s="32"/>
      <c r="J1558" s="32"/>
      <c r="K1558" s="33"/>
      <c r="L1558" s="32"/>
      <c r="M1558" s="32"/>
      <c r="N1558" s="32"/>
      <c r="O1558" s="32"/>
      <c r="P1558" s="32"/>
      <c r="Q1558" s="34"/>
      <c r="R1558" s="35"/>
      <c r="S1558" s="35"/>
      <c r="T1558" s="36"/>
      <c r="U1558" s="36"/>
      <c r="V1558" s="36"/>
      <c r="W1558" s="36"/>
      <c r="X1558" s="36"/>
      <c r="Y1558" s="36"/>
    </row>
    <row r="1559">
      <c r="A1559" s="32"/>
      <c r="B1559" s="32"/>
      <c r="C1559" s="32"/>
      <c r="D1559" s="32"/>
      <c r="E1559" s="32"/>
      <c r="F1559" s="32"/>
      <c r="G1559" s="39"/>
      <c r="H1559" s="32"/>
      <c r="I1559" s="32"/>
      <c r="J1559" s="32"/>
      <c r="K1559" s="33"/>
      <c r="L1559" s="32"/>
      <c r="M1559" s="32"/>
      <c r="N1559" s="32"/>
      <c r="O1559" s="32"/>
      <c r="P1559" s="32"/>
      <c r="Q1559" s="34"/>
      <c r="R1559" s="35"/>
      <c r="S1559" s="35"/>
      <c r="T1559" s="36"/>
      <c r="U1559" s="36"/>
      <c r="V1559" s="36"/>
      <c r="W1559" s="36"/>
      <c r="X1559" s="36"/>
      <c r="Y1559" s="36"/>
    </row>
    <row r="1560">
      <c r="A1560" s="32"/>
      <c r="B1560" s="32"/>
      <c r="C1560" s="32"/>
      <c r="D1560" s="32"/>
      <c r="E1560" s="32"/>
      <c r="F1560" s="32"/>
      <c r="G1560" s="39"/>
      <c r="H1560" s="32"/>
      <c r="I1560" s="32"/>
      <c r="J1560" s="32"/>
      <c r="K1560" s="33"/>
      <c r="L1560" s="32"/>
      <c r="M1560" s="32"/>
      <c r="N1560" s="32"/>
      <c r="O1560" s="32"/>
      <c r="P1560" s="32"/>
      <c r="Q1560" s="34"/>
      <c r="R1560" s="35"/>
      <c r="S1560" s="35"/>
      <c r="T1560" s="36"/>
      <c r="U1560" s="36"/>
      <c r="V1560" s="36"/>
      <c r="W1560" s="36"/>
      <c r="X1560" s="36"/>
      <c r="Y1560" s="36"/>
    </row>
    <row r="1561">
      <c r="A1561" s="32"/>
      <c r="B1561" s="32"/>
      <c r="C1561" s="32"/>
      <c r="D1561" s="32"/>
      <c r="E1561" s="32"/>
      <c r="F1561" s="32"/>
      <c r="G1561" s="39"/>
      <c r="H1561" s="32"/>
      <c r="I1561" s="32"/>
      <c r="J1561" s="32"/>
      <c r="K1561" s="33"/>
      <c r="L1561" s="32"/>
      <c r="M1561" s="32"/>
      <c r="N1561" s="32"/>
      <c r="O1561" s="32"/>
      <c r="P1561" s="32"/>
      <c r="Q1561" s="34"/>
      <c r="R1561" s="35"/>
      <c r="S1561" s="35"/>
      <c r="T1561" s="36"/>
      <c r="U1561" s="36"/>
      <c r="V1561" s="36"/>
      <c r="W1561" s="36"/>
      <c r="X1561" s="36"/>
      <c r="Y1561" s="36"/>
    </row>
    <row r="1562">
      <c r="A1562" s="32"/>
      <c r="B1562" s="32"/>
      <c r="C1562" s="32"/>
      <c r="D1562" s="32"/>
      <c r="E1562" s="32"/>
      <c r="F1562" s="32"/>
      <c r="G1562" s="39"/>
      <c r="H1562" s="32"/>
      <c r="I1562" s="32"/>
      <c r="J1562" s="32"/>
      <c r="K1562" s="33"/>
      <c r="L1562" s="32"/>
      <c r="M1562" s="32"/>
      <c r="N1562" s="32"/>
      <c r="O1562" s="32"/>
      <c r="P1562" s="32"/>
      <c r="Q1562" s="34"/>
      <c r="R1562" s="35"/>
      <c r="S1562" s="35"/>
      <c r="T1562" s="36"/>
      <c r="U1562" s="36"/>
      <c r="V1562" s="36"/>
      <c r="W1562" s="36"/>
      <c r="X1562" s="36"/>
      <c r="Y1562" s="36"/>
    </row>
    <row r="1563">
      <c r="A1563" s="32"/>
      <c r="B1563" s="32"/>
      <c r="C1563" s="32"/>
      <c r="D1563" s="32"/>
      <c r="E1563" s="32"/>
      <c r="F1563" s="32"/>
      <c r="G1563" s="39"/>
      <c r="H1563" s="32"/>
      <c r="I1563" s="32"/>
      <c r="J1563" s="32"/>
      <c r="K1563" s="33"/>
      <c r="L1563" s="32"/>
      <c r="M1563" s="32"/>
      <c r="N1563" s="32"/>
      <c r="O1563" s="32"/>
      <c r="P1563" s="32"/>
      <c r="Q1563" s="34"/>
      <c r="R1563" s="35"/>
      <c r="S1563" s="35"/>
      <c r="T1563" s="36"/>
      <c r="U1563" s="36"/>
      <c r="V1563" s="36"/>
      <c r="W1563" s="36"/>
      <c r="X1563" s="36"/>
      <c r="Y1563" s="36"/>
    </row>
    <row r="1564">
      <c r="A1564" s="32"/>
      <c r="B1564" s="32"/>
      <c r="C1564" s="32"/>
      <c r="D1564" s="32"/>
      <c r="E1564" s="32"/>
      <c r="F1564" s="32"/>
      <c r="G1564" s="39"/>
      <c r="H1564" s="32"/>
      <c r="I1564" s="32"/>
      <c r="J1564" s="32"/>
      <c r="K1564" s="33"/>
      <c r="L1564" s="32"/>
      <c r="M1564" s="32"/>
      <c r="N1564" s="32"/>
      <c r="O1564" s="32"/>
      <c r="P1564" s="32"/>
      <c r="Q1564" s="34"/>
      <c r="R1564" s="35"/>
      <c r="S1564" s="35"/>
      <c r="T1564" s="36"/>
      <c r="U1564" s="36"/>
      <c r="V1564" s="36"/>
      <c r="W1564" s="36"/>
      <c r="X1564" s="36"/>
      <c r="Y1564" s="36"/>
    </row>
    <row r="1565">
      <c r="A1565" s="32"/>
      <c r="B1565" s="32"/>
      <c r="C1565" s="32"/>
      <c r="D1565" s="32"/>
      <c r="E1565" s="32"/>
      <c r="F1565" s="32"/>
      <c r="G1565" s="39"/>
      <c r="H1565" s="32"/>
      <c r="I1565" s="32"/>
      <c r="J1565" s="32"/>
      <c r="K1565" s="33"/>
      <c r="L1565" s="32"/>
      <c r="M1565" s="32"/>
      <c r="N1565" s="32"/>
      <c r="O1565" s="32"/>
      <c r="P1565" s="32"/>
      <c r="Q1565" s="34"/>
      <c r="R1565" s="35"/>
      <c r="S1565" s="35"/>
      <c r="T1565" s="36"/>
      <c r="U1565" s="36"/>
      <c r="V1565" s="36"/>
      <c r="W1565" s="36"/>
      <c r="X1565" s="36"/>
      <c r="Y1565" s="36"/>
    </row>
    <row r="1566">
      <c r="A1566" s="32"/>
      <c r="B1566" s="32"/>
      <c r="C1566" s="32"/>
      <c r="D1566" s="32"/>
      <c r="E1566" s="32"/>
      <c r="F1566" s="32"/>
      <c r="G1566" s="39"/>
      <c r="H1566" s="32"/>
      <c r="I1566" s="32"/>
      <c r="J1566" s="32"/>
      <c r="K1566" s="33"/>
      <c r="L1566" s="32"/>
      <c r="M1566" s="32"/>
      <c r="N1566" s="32"/>
      <c r="O1566" s="32"/>
      <c r="P1566" s="32"/>
      <c r="Q1566" s="34"/>
      <c r="R1566" s="35"/>
      <c r="S1566" s="35"/>
      <c r="T1566" s="36"/>
      <c r="U1566" s="36"/>
      <c r="V1566" s="36"/>
      <c r="W1566" s="36"/>
      <c r="X1566" s="36"/>
      <c r="Y1566" s="36"/>
    </row>
    <row r="1567">
      <c r="A1567" s="32"/>
      <c r="B1567" s="32"/>
      <c r="C1567" s="32"/>
      <c r="D1567" s="32"/>
      <c r="E1567" s="32"/>
      <c r="F1567" s="32"/>
      <c r="G1567" s="39"/>
      <c r="H1567" s="32"/>
      <c r="I1567" s="32"/>
      <c r="J1567" s="32"/>
      <c r="K1567" s="33"/>
      <c r="L1567" s="32"/>
      <c r="M1567" s="32"/>
      <c r="N1567" s="32"/>
      <c r="O1567" s="32"/>
      <c r="P1567" s="32"/>
      <c r="Q1567" s="34"/>
      <c r="R1567" s="35"/>
      <c r="S1567" s="35"/>
      <c r="T1567" s="36"/>
      <c r="U1567" s="36"/>
      <c r="V1567" s="36"/>
      <c r="W1567" s="36"/>
      <c r="X1567" s="36"/>
      <c r="Y1567" s="36"/>
    </row>
    <row r="1568">
      <c r="A1568" s="32"/>
      <c r="B1568" s="32"/>
      <c r="C1568" s="32"/>
      <c r="D1568" s="32"/>
      <c r="E1568" s="32"/>
      <c r="F1568" s="32"/>
      <c r="G1568" s="39"/>
      <c r="H1568" s="32"/>
      <c r="I1568" s="32"/>
      <c r="J1568" s="32"/>
      <c r="K1568" s="33"/>
      <c r="L1568" s="32"/>
      <c r="M1568" s="32"/>
      <c r="N1568" s="32"/>
      <c r="O1568" s="32"/>
      <c r="P1568" s="32"/>
      <c r="Q1568" s="34"/>
      <c r="R1568" s="35"/>
      <c r="S1568" s="35"/>
      <c r="T1568" s="36"/>
      <c r="U1568" s="36"/>
      <c r="V1568" s="36"/>
      <c r="W1568" s="36"/>
      <c r="X1568" s="36"/>
      <c r="Y1568" s="36"/>
    </row>
    <row r="1569">
      <c r="A1569" s="32"/>
      <c r="B1569" s="32"/>
      <c r="C1569" s="32"/>
      <c r="D1569" s="32"/>
      <c r="E1569" s="32"/>
      <c r="F1569" s="32"/>
      <c r="G1569" s="39"/>
      <c r="H1569" s="32"/>
      <c r="I1569" s="32"/>
      <c r="J1569" s="32"/>
      <c r="K1569" s="33"/>
      <c r="L1569" s="32"/>
      <c r="M1569" s="32"/>
      <c r="N1569" s="32"/>
      <c r="O1569" s="32"/>
      <c r="P1569" s="32"/>
      <c r="Q1569" s="34"/>
      <c r="R1569" s="35"/>
      <c r="S1569" s="35"/>
      <c r="T1569" s="36"/>
      <c r="U1569" s="36"/>
      <c r="V1569" s="36"/>
      <c r="W1569" s="36"/>
      <c r="X1569" s="36"/>
      <c r="Y1569" s="36"/>
    </row>
    <row r="1570">
      <c r="A1570" s="32"/>
      <c r="B1570" s="32"/>
      <c r="C1570" s="32"/>
      <c r="D1570" s="32"/>
      <c r="E1570" s="32"/>
      <c r="F1570" s="32"/>
      <c r="G1570" s="39"/>
      <c r="H1570" s="32"/>
      <c r="I1570" s="32"/>
      <c r="J1570" s="32"/>
      <c r="K1570" s="33"/>
      <c r="L1570" s="32"/>
      <c r="M1570" s="32"/>
      <c r="N1570" s="32"/>
      <c r="O1570" s="32"/>
      <c r="P1570" s="32"/>
      <c r="Q1570" s="34"/>
      <c r="R1570" s="35"/>
      <c r="S1570" s="35"/>
      <c r="T1570" s="36"/>
      <c r="U1570" s="36"/>
      <c r="V1570" s="36"/>
      <c r="W1570" s="36"/>
      <c r="X1570" s="36"/>
      <c r="Y1570" s="36"/>
    </row>
    <row r="1571">
      <c r="A1571" s="32"/>
      <c r="B1571" s="32"/>
      <c r="C1571" s="32"/>
      <c r="D1571" s="32"/>
      <c r="E1571" s="32"/>
      <c r="F1571" s="32"/>
      <c r="G1571" s="39"/>
      <c r="H1571" s="32"/>
      <c r="I1571" s="32"/>
      <c r="J1571" s="32"/>
      <c r="K1571" s="33"/>
      <c r="L1571" s="32"/>
      <c r="M1571" s="32"/>
      <c r="N1571" s="32"/>
      <c r="O1571" s="32"/>
      <c r="P1571" s="32"/>
      <c r="Q1571" s="34"/>
      <c r="R1571" s="35"/>
      <c r="S1571" s="35"/>
      <c r="T1571" s="36"/>
      <c r="U1571" s="36"/>
      <c r="V1571" s="36"/>
      <c r="W1571" s="36"/>
      <c r="X1571" s="36"/>
      <c r="Y1571" s="36"/>
    </row>
    <row r="1572">
      <c r="A1572" s="32"/>
      <c r="B1572" s="32"/>
      <c r="C1572" s="32"/>
      <c r="D1572" s="32"/>
      <c r="E1572" s="32"/>
      <c r="F1572" s="32"/>
      <c r="G1572" s="39"/>
      <c r="H1572" s="32"/>
      <c r="I1572" s="32"/>
      <c r="J1572" s="32"/>
      <c r="K1572" s="33"/>
      <c r="L1572" s="32"/>
      <c r="M1572" s="32"/>
      <c r="N1572" s="32"/>
      <c r="O1572" s="32"/>
      <c r="P1572" s="32"/>
      <c r="Q1572" s="34"/>
      <c r="R1572" s="35"/>
      <c r="S1572" s="35"/>
      <c r="T1572" s="36"/>
      <c r="U1572" s="36"/>
      <c r="V1572" s="36"/>
      <c r="W1572" s="36"/>
      <c r="X1572" s="36"/>
      <c r="Y1572" s="36"/>
    </row>
    <row r="1573">
      <c r="A1573" s="32"/>
      <c r="B1573" s="32"/>
      <c r="C1573" s="32"/>
      <c r="D1573" s="32"/>
      <c r="E1573" s="32"/>
      <c r="F1573" s="32"/>
      <c r="G1573" s="39"/>
      <c r="H1573" s="32"/>
      <c r="I1573" s="32"/>
      <c r="J1573" s="32"/>
      <c r="K1573" s="33"/>
      <c r="L1573" s="32"/>
      <c r="M1573" s="32"/>
      <c r="N1573" s="32"/>
      <c r="O1573" s="32"/>
      <c r="P1573" s="32"/>
      <c r="Q1573" s="34"/>
      <c r="R1573" s="35"/>
      <c r="S1573" s="35"/>
      <c r="T1573" s="36"/>
      <c r="U1573" s="36"/>
      <c r="V1573" s="36"/>
      <c r="W1573" s="36"/>
      <c r="X1573" s="36"/>
      <c r="Y1573" s="36"/>
    </row>
    <row r="1574">
      <c r="A1574" s="32"/>
      <c r="B1574" s="32"/>
      <c r="C1574" s="32"/>
      <c r="D1574" s="32"/>
      <c r="E1574" s="32"/>
      <c r="F1574" s="32"/>
      <c r="G1574" s="39"/>
      <c r="H1574" s="32"/>
      <c r="I1574" s="32"/>
      <c r="J1574" s="32"/>
      <c r="K1574" s="33"/>
      <c r="L1574" s="32"/>
      <c r="M1574" s="32"/>
      <c r="N1574" s="32"/>
      <c r="O1574" s="32"/>
      <c r="P1574" s="32"/>
      <c r="Q1574" s="34"/>
      <c r="R1574" s="35"/>
      <c r="S1574" s="35"/>
      <c r="T1574" s="36"/>
      <c r="U1574" s="36"/>
      <c r="V1574" s="36"/>
      <c r="W1574" s="36"/>
      <c r="X1574" s="36"/>
      <c r="Y1574" s="36"/>
    </row>
    <row r="1575">
      <c r="A1575" s="32"/>
      <c r="B1575" s="32"/>
      <c r="C1575" s="32"/>
      <c r="D1575" s="32"/>
      <c r="E1575" s="32"/>
      <c r="F1575" s="32"/>
      <c r="G1575" s="39"/>
      <c r="H1575" s="32"/>
      <c r="I1575" s="32"/>
      <c r="J1575" s="32"/>
      <c r="K1575" s="33"/>
      <c r="L1575" s="32"/>
      <c r="M1575" s="32"/>
      <c r="N1575" s="32"/>
      <c r="O1575" s="32"/>
      <c r="P1575" s="32"/>
      <c r="Q1575" s="34"/>
      <c r="R1575" s="35"/>
      <c r="S1575" s="35"/>
      <c r="T1575" s="36"/>
      <c r="U1575" s="36"/>
      <c r="V1575" s="36"/>
      <c r="W1575" s="36"/>
      <c r="X1575" s="36"/>
      <c r="Y1575" s="36"/>
    </row>
    <row r="1576">
      <c r="A1576" s="32"/>
      <c r="B1576" s="32"/>
      <c r="C1576" s="32"/>
      <c r="D1576" s="32"/>
      <c r="E1576" s="32"/>
      <c r="F1576" s="32"/>
      <c r="G1576" s="39"/>
      <c r="H1576" s="32"/>
      <c r="I1576" s="32"/>
      <c r="J1576" s="32"/>
      <c r="K1576" s="33"/>
      <c r="L1576" s="32"/>
      <c r="M1576" s="32"/>
      <c r="N1576" s="32"/>
      <c r="O1576" s="32"/>
      <c r="P1576" s="32"/>
      <c r="Q1576" s="34"/>
      <c r="R1576" s="35"/>
      <c r="S1576" s="35"/>
      <c r="T1576" s="36"/>
      <c r="U1576" s="36"/>
      <c r="V1576" s="36"/>
      <c r="W1576" s="36"/>
      <c r="X1576" s="36"/>
      <c r="Y1576" s="36"/>
    </row>
    <row r="1577">
      <c r="A1577" s="32"/>
      <c r="B1577" s="32"/>
      <c r="C1577" s="32"/>
      <c r="D1577" s="32"/>
      <c r="E1577" s="32"/>
      <c r="F1577" s="32"/>
      <c r="G1577" s="39"/>
      <c r="H1577" s="32"/>
      <c r="I1577" s="32"/>
      <c r="J1577" s="32"/>
      <c r="K1577" s="33"/>
      <c r="L1577" s="32"/>
      <c r="M1577" s="32"/>
      <c r="N1577" s="32"/>
      <c r="O1577" s="32"/>
      <c r="P1577" s="32"/>
      <c r="Q1577" s="34"/>
      <c r="R1577" s="35"/>
      <c r="S1577" s="35"/>
      <c r="T1577" s="36"/>
      <c r="U1577" s="36"/>
      <c r="V1577" s="36"/>
      <c r="W1577" s="36"/>
      <c r="X1577" s="36"/>
      <c r="Y1577" s="36"/>
    </row>
    <row r="1578">
      <c r="A1578" s="32"/>
      <c r="B1578" s="32"/>
      <c r="C1578" s="32"/>
      <c r="D1578" s="32"/>
      <c r="E1578" s="32"/>
      <c r="F1578" s="32"/>
      <c r="G1578" s="39"/>
      <c r="H1578" s="32"/>
      <c r="I1578" s="32"/>
      <c r="J1578" s="32"/>
      <c r="K1578" s="33"/>
      <c r="L1578" s="32"/>
      <c r="M1578" s="32"/>
      <c r="N1578" s="32"/>
      <c r="O1578" s="32"/>
      <c r="P1578" s="32"/>
      <c r="Q1578" s="34"/>
      <c r="R1578" s="35"/>
      <c r="S1578" s="35"/>
      <c r="T1578" s="36"/>
      <c r="U1578" s="36"/>
      <c r="V1578" s="36"/>
      <c r="W1578" s="36"/>
      <c r="X1578" s="36"/>
      <c r="Y1578" s="36"/>
    </row>
    <row r="1579">
      <c r="A1579" s="32"/>
      <c r="B1579" s="32"/>
      <c r="C1579" s="32"/>
      <c r="D1579" s="32"/>
      <c r="E1579" s="32"/>
      <c r="F1579" s="32"/>
      <c r="G1579" s="39"/>
      <c r="H1579" s="32"/>
      <c r="I1579" s="32"/>
      <c r="J1579" s="32"/>
      <c r="K1579" s="33"/>
      <c r="L1579" s="32"/>
      <c r="M1579" s="32"/>
      <c r="N1579" s="32"/>
      <c r="O1579" s="32"/>
      <c r="P1579" s="32"/>
      <c r="Q1579" s="34"/>
      <c r="R1579" s="35"/>
      <c r="S1579" s="35"/>
      <c r="T1579" s="36"/>
      <c r="U1579" s="36"/>
      <c r="V1579" s="36"/>
      <c r="W1579" s="36"/>
      <c r="X1579" s="36"/>
      <c r="Y1579" s="36"/>
    </row>
    <row r="1580">
      <c r="A1580" s="32"/>
      <c r="B1580" s="32"/>
      <c r="C1580" s="32"/>
      <c r="D1580" s="32"/>
      <c r="E1580" s="32"/>
      <c r="F1580" s="32"/>
      <c r="G1580" s="39"/>
      <c r="H1580" s="32"/>
      <c r="I1580" s="32"/>
      <c r="J1580" s="32"/>
      <c r="K1580" s="33"/>
      <c r="L1580" s="32"/>
      <c r="M1580" s="32"/>
      <c r="N1580" s="32"/>
      <c r="O1580" s="32"/>
      <c r="P1580" s="32"/>
      <c r="Q1580" s="34"/>
      <c r="R1580" s="35"/>
      <c r="S1580" s="35"/>
      <c r="T1580" s="36"/>
      <c r="U1580" s="36"/>
      <c r="V1580" s="36"/>
      <c r="W1580" s="36"/>
      <c r="X1580" s="36"/>
      <c r="Y1580" s="36"/>
    </row>
    <row r="1581">
      <c r="A1581" s="32"/>
      <c r="B1581" s="32"/>
      <c r="C1581" s="32"/>
      <c r="D1581" s="32"/>
      <c r="E1581" s="32"/>
      <c r="F1581" s="32"/>
      <c r="G1581" s="39"/>
      <c r="H1581" s="32"/>
      <c r="I1581" s="32"/>
      <c r="J1581" s="32"/>
      <c r="K1581" s="33"/>
      <c r="L1581" s="32"/>
      <c r="M1581" s="32"/>
      <c r="N1581" s="32"/>
      <c r="O1581" s="32"/>
      <c r="P1581" s="32"/>
      <c r="Q1581" s="34"/>
      <c r="R1581" s="35"/>
      <c r="S1581" s="35"/>
      <c r="T1581" s="36"/>
      <c r="U1581" s="36"/>
      <c r="V1581" s="36"/>
      <c r="W1581" s="36"/>
      <c r="X1581" s="36"/>
      <c r="Y1581" s="36"/>
    </row>
    <row r="1582">
      <c r="A1582" s="32"/>
      <c r="B1582" s="32"/>
      <c r="C1582" s="32"/>
      <c r="D1582" s="32"/>
      <c r="E1582" s="32"/>
      <c r="F1582" s="32"/>
      <c r="G1582" s="39"/>
      <c r="H1582" s="32"/>
      <c r="I1582" s="32"/>
      <c r="J1582" s="32"/>
      <c r="K1582" s="33"/>
      <c r="L1582" s="32"/>
      <c r="M1582" s="32"/>
      <c r="N1582" s="32"/>
      <c r="O1582" s="32"/>
      <c r="P1582" s="32"/>
      <c r="Q1582" s="34"/>
      <c r="R1582" s="35"/>
      <c r="S1582" s="35"/>
      <c r="T1582" s="36"/>
      <c r="U1582" s="36"/>
      <c r="V1582" s="36"/>
      <c r="W1582" s="36"/>
      <c r="X1582" s="36"/>
      <c r="Y1582" s="36"/>
    </row>
    <row r="1583">
      <c r="A1583" s="32"/>
      <c r="B1583" s="32"/>
      <c r="C1583" s="32"/>
      <c r="D1583" s="32"/>
      <c r="E1583" s="32"/>
      <c r="F1583" s="32"/>
      <c r="G1583" s="39"/>
      <c r="H1583" s="32"/>
      <c r="I1583" s="32"/>
      <c r="J1583" s="32"/>
      <c r="K1583" s="33"/>
      <c r="L1583" s="32"/>
      <c r="M1583" s="32"/>
      <c r="N1583" s="32"/>
      <c r="O1583" s="32"/>
      <c r="P1583" s="32"/>
      <c r="Q1583" s="34"/>
      <c r="R1583" s="35"/>
      <c r="S1583" s="35"/>
      <c r="T1583" s="36"/>
      <c r="U1583" s="36"/>
      <c r="V1583" s="36"/>
      <c r="W1583" s="36"/>
      <c r="X1583" s="36"/>
      <c r="Y1583" s="36"/>
    </row>
    <row r="1584">
      <c r="A1584" s="32"/>
      <c r="B1584" s="32"/>
      <c r="C1584" s="32"/>
      <c r="D1584" s="32"/>
      <c r="E1584" s="32"/>
      <c r="F1584" s="32"/>
      <c r="G1584" s="39"/>
      <c r="H1584" s="32"/>
      <c r="I1584" s="32"/>
      <c r="J1584" s="32"/>
      <c r="K1584" s="33"/>
      <c r="L1584" s="32"/>
      <c r="M1584" s="32"/>
      <c r="N1584" s="32"/>
      <c r="O1584" s="32"/>
      <c r="P1584" s="32"/>
      <c r="Q1584" s="34"/>
      <c r="R1584" s="35"/>
      <c r="S1584" s="35"/>
      <c r="T1584" s="36"/>
      <c r="U1584" s="36"/>
      <c r="V1584" s="36"/>
      <c r="W1584" s="36"/>
      <c r="X1584" s="36"/>
      <c r="Y1584" s="36"/>
    </row>
    <row r="1585">
      <c r="A1585" s="32"/>
      <c r="B1585" s="32"/>
      <c r="C1585" s="32"/>
      <c r="D1585" s="32"/>
      <c r="E1585" s="32"/>
      <c r="F1585" s="32"/>
      <c r="G1585" s="39"/>
      <c r="H1585" s="32"/>
      <c r="I1585" s="32"/>
      <c r="J1585" s="32"/>
      <c r="K1585" s="33"/>
      <c r="L1585" s="32"/>
      <c r="M1585" s="32"/>
      <c r="N1585" s="32"/>
      <c r="O1585" s="32"/>
      <c r="P1585" s="32"/>
      <c r="Q1585" s="34"/>
      <c r="R1585" s="35"/>
      <c r="S1585" s="35"/>
      <c r="T1585" s="36"/>
      <c r="U1585" s="36"/>
      <c r="V1585" s="36"/>
      <c r="W1585" s="36"/>
      <c r="X1585" s="36"/>
      <c r="Y1585" s="36"/>
    </row>
    <row r="1586">
      <c r="A1586" s="32"/>
      <c r="B1586" s="32"/>
      <c r="C1586" s="32"/>
      <c r="D1586" s="32"/>
      <c r="E1586" s="32"/>
      <c r="F1586" s="32"/>
      <c r="G1586" s="39"/>
      <c r="H1586" s="32"/>
      <c r="I1586" s="32"/>
      <c r="J1586" s="32"/>
      <c r="K1586" s="33"/>
      <c r="L1586" s="32"/>
      <c r="M1586" s="32"/>
      <c r="N1586" s="32"/>
      <c r="O1586" s="32"/>
      <c r="P1586" s="32"/>
      <c r="Q1586" s="34"/>
      <c r="R1586" s="35"/>
      <c r="S1586" s="35"/>
      <c r="T1586" s="36"/>
      <c r="U1586" s="36"/>
      <c r="V1586" s="36"/>
      <c r="W1586" s="36"/>
      <c r="X1586" s="36"/>
      <c r="Y1586" s="36"/>
    </row>
    <row r="1587">
      <c r="A1587" s="32"/>
      <c r="B1587" s="32"/>
      <c r="C1587" s="32"/>
      <c r="D1587" s="32"/>
      <c r="E1587" s="32"/>
      <c r="F1587" s="32"/>
      <c r="G1587" s="39"/>
      <c r="H1587" s="32"/>
      <c r="I1587" s="32"/>
      <c r="J1587" s="32"/>
      <c r="K1587" s="33"/>
      <c r="L1587" s="32"/>
      <c r="M1587" s="32"/>
      <c r="N1587" s="32"/>
      <c r="O1587" s="32"/>
      <c r="P1587" s="32"/>
      <c r="Q1587" s="34"/>
      <c r="R1587" s="35"/>
      <c r="S1587" s="35"/>
      <c r="T1587" s="36"/>
      <c r="U1587" s="36"/>
      <c r="V1587" s="36"/>
      <c r="W1587" s="36"/>
      <c r="X1587" s="36"/>
      <c r="Y1587" s="36"/>
    </row>
    <row r="1588">
      <c r="A1588" s="32"/>
      <c r="B1588" s="32"/>
      <c r="C1588" s="32"/>
      <c r="D1588" s="32"/>
      <c r="E1588" s="32"/>
      <c r="F1588" s="32"/>
      <c r="G1588" s="39"/>
      <c r="H1588" s="32"/>
      <c r="I1588" s="32"/>
      <c r="J1588" s="32"/>
      <c r="K1588" s="33"/>
      <c r="L1588" s="32"/>
      <c r="M1588" s="32"/>
      <c r="N1588" s="32"/>
      <c r="O1588" s="32"/>
      <c r="P1588" s="32"/>
      <c r="Q1588" s="34"/>
      <c r="R1588" s="35"/>
      <c r="S1588" s="35"/>
      <c r="T1588" s="36"/>
      <c r="U1588" s="36"/>
      <c r="V1588" s="36"/>
      <c r="W1588" s="36"/>
      <c r="X1588" s="36"/>
      <c r="Y1588" s="36"/>
    </row>
    <row r="1589">
      <c r="A1589" s="32"/>
      <c r="B1589" s="32"/>
      <c r="C1589" s="32"/>
      <c r="D1589" s="32"/>
      <c r="E1589" s="32"/>
      <c r="F1589" s="32"/>
      <c r="G1589" s="39"/>
      <c r="H1589" s="32"/>
      <c r="I1589" s="32"/>
      <c r="J1589" s="32"/>
      <c r="K1589" s="33"/>
      <c r="L1589" s="32"/>
      <c r="M1589" s="32"/>
      <c r="N1589" s="32"/>
      <c r="O1589" s="32"/>
      <c r="P1589" s="32"/>
      <c r="Q1589" s="34"/>
      <c r="R1589" s="35"/>
      <c r="S1589" s="35"/>
      <c r="T1589" s="36"/>
      <c r="U1589" s="36"/>
      <c r="V1589" s="36"/>
      <c r="W1589" s="36"/>
      <c r="X1589" s="36"/>
      <c r="Y1589" s="36"/>
    </row>
    <row r="1590">
      <c r="A1590" s="32"/>
      <c r="B1590" s="32"/>
      <c r="C1590" s="32"/>
      <c r="D1590" s="32"/>
      <c r="E1590" s="32"/>
      <c r="F1590" s="32"/>
      <c r="G1590" s="39"/>
      <c r="H1590" s="32"/>
      <c r="I1590" s="32"/>
      <c r="J1590" s="32"/>
      <c r="K1590" s="33"/>
      <c r="L1590" s="32"/>
      <c r="M1590" s="32"/>
      <c r="N1590" s="32"/>
      <c r="O1590" s="32"/>
      <c r="P1590" s="32"/>
      <c r="Q1590" s="34"/>
      <c r="R1590" s="35"/>
      <c r="S1590" s="35"/>
      <c r="T1590" s="36"/>
      <c r="U1590" s="36"/>
      <c r="V1590" s="36"/>
      <c r="W1590" s="36"/>
      <c r="X1590" s="36"/>
      <c r="Y1590" s="36"/>
    </row>
    <row r="1591">
      <c r="A1591" s="32"/>
      <c r="B1591" s="32"/>
      <c r="C1591" s="32"/>
      <c r="D1591" s="32"/>
      <c r="E1591" s="32"/>
      <c r="F1591" s="32"/>
      <c r="G1591" s="39"/>
      <c r="H1591" s="32"/>
      <c r="I1591" s="32"/>
      <c r="J1591" s="32"/>
      <c r="K1591" s="33"/>
      <c r="L1591" s="32"/>
      <c r="M1591" s="32"/>
      <c r="N1591" s="32"/>
      <c r="O1591" s="32"/>
      <c r="P1591" s="32"/>
      <c r="Q1591" s="34"/>
      <c r="R1591" s="35"/>
      <c r="S1591" s="35"/>
      <c r="T1591" s="36"/>
      <c r="U1591" s="36"/>
      <c r="V1591" s="36"/>
      <c r="W1591" s="36"/>
      <c r="X1591" s="36"/>
      <c r="Y1591" s="36"/>
    </row>
    <row r="1592">
      <c r="A1592" s="32"/>
      <c r="B1592" s="32"/>
      <c r="C1592" s="32"/>
      <c r="D1592" s="32"/>
      <c r="E1592" s="32"/>
      <c r="F1592" s="32"/>
      <c r="G1592" s="39"/>
      <c r="H1592" s="32"/>
      <c r="I1592" s="32"/>
      <c r="J1592" s="32"/>
      <c r="K1592" s="33"/>
      <c r="L1592" s="32"/>
      <c r="M1592" s="32"/>
      <c r="N1592" s="32"/>
      <c r="O1592" s="32"/>
      <c r="P1592" s="32"/>
      <c r="Q1592" s="34"/>
      <c r="R1592" s="35"/>
      <c r="S1592" s="35"/>
      <c r="T1592" s="36"/>
      <c r="U1592" s="36"/>
      <c r="V1592" s="36"/>
      <c r="W1592" s="36"/>
      <c r="X1592" s="36"/>
      <c r="Y1592" s="36"/>
    </row>
    <row r="1593">
      <c r="A1593" s="32"/>
      <c r="B1593" s="32"/>
      <c r="C1593" s="32"/>
      <c r="D1593" s="32"/>
      <c r="E1593" s="32"/>
      <c r="F1593" s="32"/>
      <c r="G1593" s="39"/>
      <c r="H1593" s="32"/>
      <c r="I1593" s="32"/>
      <c r="J1593" s="32"/>
      <c r="K1593" s="33"/>
      <c r="L1593" s="32"/>
      <c r="M1593" s="32"/>
      <c r="N1593" s="32"/>
      <c r="O1593" s="32"/>
      <c r="P1593" s="32"/>
      <c r="Q1593" s="34"/>
      <c r="R1593" s="35"/>
      <c r="S1593" s="35"/>
      <c r="T1593" s="36"/>
      <c r="U1593" s="36"/>
      <c r="V1593" s="36"/>
      <c r="W1593" s="36"/>
      <c r="X1593" s="36"/>
      <c r="Y1593" s="36"/>
    </row>
    <row r="1594">
      <c r="A1594" s="32"/>
      <c r="B1594" s="32"/>
      <c r="C1594" s="32"/>
      <c r="D1594" s="32"/>
      <c r="E1594" s="32"/>
      <c r="F1594" s="32"/>
      <c r="G1594" s="39"/>
      <c r="H1594" s="32"/>
      <c r="I1594" s="32"/>
      <c r="J1594" s="32"/>
      <c r="K1594" s="33"/>
      <c r="L1594" s="32"/>
      <c r="M1594" s="32"/>
      <c r="N1594" s="32"/>
      <c r="O1594" s="32"/>
      <c r="P1594" s="32"/>
      <c r="Q1594" s="34"/>
      <c r="R1594" s="35"/>
      <c r="S1594" s="35"/>
      <c r="T1594" s="36"/>
      <c r="U1594" s="36"/>
      <c r="V1594" s="36"/>
      <c r="W1594" s="36"/>
      <c r="X1594" s="36"/>
      <c r="Y1594" s="36"/>
    </row>
    <row r="1595">
      <c r="A1595" s="32"/>
      <c r="B1595" s="32"/>
      <c r="C1595" s="32"/>
      <c r="D1595" s="32"/>
      <c r="E1595" s="32"/>
      <c r="F1595" s="32"/>
      <c r="G1595" s="39"/>
      <c r="H1595" s="32"/>
      <c r="I1595" s="32"/>
      <c r="J1595" s="32"/>
      <c r="K1595" s="33"/>
      <c r="L1595" s="32"/>
      <c r="M1595" s="32"/>
      <c r="N1595" s="32"/>
      <c r="O1595" s="32"/>
      <c r="P1595" s="32"/>
      <c r="Q1595" s="34"/>
      <c r="R1595" s="35"/>
      <c r="S1595" s="35"/>
      <c r="T1595" s="36"/>
      <c r="U1595" s="36"/>
      <c r="V1595" s="36"/>
      <c r="W1595" s="36"/>
      <c r="X1595" s="36"/>
      <c r="Y1595" s="36"/>
    </row>
    <row r="1596">
      <c r="A1596" s="32"/>
      <c r="B1596" s="32"/>
      <c r="C1596" s="32"/>
      <c r="D1596" s="32"/>
      <c r="E1596" s="32"/>
      <c r="F1596" s="32"/>
      <c r="G1596" s="39"/>
      <c r="H1596" s="32"/>
      <c r="I1596" s="32"/>
      <c r="J1596" s="32"/>
      <c r="K1596" s="33"/>
      <c r="L1596" s="32"/>
      <c r="M1596" s="32"/>
      <c r="N1596" s="32"/>
      <c r="O1596" s="32"/>
      <c r="P1596" s="32"/>
      <c r="Q1596" s="34"/>
      <c r="R1596" s="35"/>
      <c r="S1596" s="35"/>
      <c r="T1596" s="36"/>
      <c r="U1596" s="36"/>
      <c r="V1596" s="36"/>
      <c r="W1596" s="36"/>
      <c r="X1596" s="36"/>
      <c r="Y1596" s="36"/>
    </row>
    <row r="1597">
      <c r="A1597" s="32"/>
      <c r="B1597" s="32"/>
      <c r="C1597" s="32"/>
      <c r="D1597" s="32"/>
      <c r="E1597" s="32"/>
      <c r="F1597" s="32"/>
      <c r="G1597" s="39"/>
      <c r="H1597" s="32"/>
      <c r="I1597" s="32"/>
      <c r="J1597" s="32"/>
      <c r="K1597" s="33"/>
      <c r="L1597" s="32"/>
      <c r="M1597" s="32"/>
      <c r="N1597" s="32"/>
      <c r="O1597" s="32"/>
      <c r="P1597" s="32"/>
      <c r="Q1597" s="34"/>
      <c r="R1597" s="35"/>
      <c r="S1597" s="35"/>
      <c r="T1597" s="36"/>
      <c r="U1597" s="36"/>
      <c r="V1597" s="36"/>
      <c r="W1597" s="36"/>
      <c r="X1597" s="36"/>
      <c r="Y1597" s="36"/>
    </row>
    <row r="1598">
      <c r="A1598" s="32"/>
      <c r="B1598" s="32"/>
      <c r="C1598" s="32"/>
      <c r="D1598" s="32"/>
      <c r="E1598" s="32"/>
      <c r="F1598" s="32"/>
      <c r="G1598" s="39"/>
      <c r="H1598" s="32"/>
      <c r="I1598" s="32"/>
      <c r="J1598" s="32"/>
      <c r="K1598" s="33"/>
      <c r="L1598" s="32"/>
      <c r="M1598" s="32"/>
      <c r="N1598" s="32"/>
      <c r="O1598" s="32"/>
      <c r="P1598" s="32"/>
      <c r="Q1598" s="34"/>
      <c r="R1598" s="35"/>
      <c r="S1598" s="35"/>
      <c r="T1598" s="36"/>
      <c r="U1598" s="36"/>
      <c r="V1598" s="36"/>
      <c r="W1598" s="36"/>
      <c r="X1598" s="36"/>
      <c r="Y1598" s="36"/>
    </row>
    <row r="1599">
      <c r="A1599" s="32"/>
      <c r="B1599" s="32"/>
      <c r="C1599" s="32"/>
      <c r="D1599" s="32"/>
      <c r="E1599" s="32"/>
      <c r="F1599" s="32"/>
      <c r="G1599" s="39"/>
      <c r="H1599" s="32"/>
      <c r="I1599" s="32"/>
      <c r="J1599" s="32"/>
      <c r="K1599" s="33"/>
      <c r="L1599" s="32"/>
      <c r="M1599" s="32"/>
      <c r="N1599" s="32"/>
      <c r="O1599" s="32"/>
      <c r="P1599" s="32"/>
      <c r="Q1599" s="34"/>
      <c r="R1599" s="35"/>
      <c r="S1599" s="35"/>
      <c r="T1599" s="36"/>
      <c r="U1599" s="36"/>
      <c r="V1599" s="36"/>
      <c r="W1599" s="36"/>
      <c r="X1599" s="36"/>
      <c r="Y1599" s="36"/>
    </row>
    <row r="1600">
      <c r="A1600" s="32"/>
      <c r="B1600" s="32"/>
      <c r="C1600" s="32"/>
      <c r="D1600" s="32"/>
      <c r="E1600" s="32"/>
      <c r="F1600" s="32"/>
      <c r="G1600" s="39"/>
      <c r="H1600" s="32"/>
      <c r="I1600" s="32"/>
      <c r="J1600" s="32"/>
      <c r="K1600" s="33"/>
      <c r="L1600" s="32"/>
      <c r="M1600" s="32"/>
      <c r="N1600" s="32"/>
      <c r="O1600" s="32"/>
      <c r="P1600" s="32"/>
      <c r="Q1600" s="34"/>
      <c r="R1600" s="35"/>
      <c r="S1600" s="35"/>
      <c r="T1600" s="36"/>
      <c r="U1600" s="36"/>
      <c r="V1600" s="36"/>
      <c r="W1600" s="36"/>
      <c r="X1600" s="36"/>
      <c r="Y1600" s="36"/>
    </row>
    <row r="1601">
      <c r="A1601" s="32"/>
      <c r="B1601" s="32"/>
      <c r="C1601" s="32"/>
      <c r="D1601" s="32"/>
      <c r="E1601" s="32"/>
      <c r="F1601" s="32"/>
      <c r="G1601" s="39"/>
      <c r="H1601" s="32"/>
      <c r="I1601" s="32"/>
      <c r="J1601" s="32"/>
      <c r="K1601" s="33"/>
      <c r="L1601" s="32"/>
      <c r="M1601" s="32"/>
      <c r="N1601" s="32"/>
      <c r="O1601" s="32"/>
      <c r="P1601" s="32"/>
      <c r="Q1601" s="34"/>
      <c r="R1601" s="35"/>
      <c r="S1601" s="35"/>
      <c r="T1601" s="36"/>
      <c r="U1601" s="36"/>
      <c r="V1601" s="36"/>
      <c r="W1601" s="36"/>
      <c r="X1601" s="36"/>
      <c r="Y1601" s="36"/>
    </row>
    <row r="1602">
      <c r="A1602" s="32"/>
      <c r="B1602" s="32"/>
      <c r="C1602" s="32"/>
      <c r="D1602" s="32"/>
      <c r="E1602" s="32"/>
      <c r="F1602" s="32"/>
      <c r="G1602" s="39"/>
      <c r="H1602" s="32"/>
      <c r="I1602" s="32"/>
      <c r="J1602" s="32"/>
      <c r="K1602" s="33"/>
      <c r="L1602" s="32"/>
      <c r="M1602" s="32"/>
      <c r="N1602" s="32"/>
      <c r="O1602" s="32"/>
      <c r="P1602" s="32"/>
      <c r="Q1602" s="34"/>
      <c r="R1602" s="35"/>
      <c r="S1602" s="35"/>
      <c r="T1602" s="36"/>
      <c r="U1602" s="36"/>
      <c r="V1602" s="36"/>
      <c r="W1602" s="36"/>
      <c r="X1602" s="36"/>
      <c r="Y1602" s="36"/>
    </row>
    <row r="1603">
      <c r="A1603" s="32"/>
      <c r="B1603" s="32"/>
      <c r="C1603" s="32"/>
      <c r="D1603" s="32"/>
      <c r="E1603" s="32"/>
      <c r="F1603" s="32"/>
      <c r="G1603" s="39"/>
      <c r="H1603" s="32"/>
      <c r="I1603" s="32"/>
      <c r="J1603" s="32"/>
      <c r="K1603" s="33"/>
      <c r="L1603" s="32"/>
      <c r="M1603" s="32"/>
      <c r="N1603" s="32"/>
      <c r="O1603" s="32"/>
      <c r="P1603" s="32"/>
      <c r="Q1603" s="34"/>
      <c r="R1603" s="35"/>
      <c r="S1603" s="35"/>
      <c r="T1603" s="36"/>
      <c r="U1603" s="36"/>
      <c r="V1603" s="36"/>
      <c r="W1603" s="36"/>
      <c r="X1603" s="36"/>
      <c r="Y1603" s="36"/>
    </row>
    <row r="1604">
      <c r="A1604" s="32"/>
      <c r="B1604" s="32"/>
      <c r="C1604" s="32"/>
      <c r="D1604" s="32"/>
      <c r="E1604" s="32"/>
      <c r="F1604" s="32"/>
      <c r="G1604" s="39"/>
      <c r="H1604" s="32"/>
      <c r="I1604" s="32"/>
      <c r="J1604" s="32"/>
      <c r="K1604" s="33"/>
      <c r="L1604" s="32"/>
      <c r="M1604" s="32"/>
      <c r="N1604" s="32"/>
      <c r="O1604" s="32"/>
      <c r="P1604" s="32"/>
      <c r="Q1604" s="34"/>
      <c r="R1604" s="35"/>
      <c r="S1604" s="35"/>
      <c r="T1604" s="36"/>
      <c r="U1604" s="36"/>
      <c r="V1604" s="36"/>
      <c r="W1604" s="36"/>
      <c r="X1604" s="36"/>
      <c r="Y1604" s="36"/>
    </row>
    <row r="1605">
      <c r="A1605" s="32"/>
      <c r="B1605" s="32"/>
      <c r="C1605" s="32"/>
      <c r="D1605" s="32"/>
      <c r="E1605" s="32"/>
      <c r="F1605" s="32"/>
      <c r="G1605" s="39"/>
      <c r="H1605" s="32"/>
      <c r="I1605" s="32"/>
      <c r="J1605" s="32"/>
      <c r="K1605" s="33"/>
      <c r="L1605" s="32"/>
      <c r="M1605" s="32"/>
      <c r="N1605" s="32"/>
      <c r="O1605" s="32"/>
      <c r="P1605" s="32"/>
      <c r="Q1605" s="34"/>
      <c r="R1605" s="35"/>
      <c r="S1605" s="35"/>
      <c r="T1605" s="36"/>
      <c r="U1605" s="36"/>
      <c r="V1605" s="36"/>
      <c r="W1605" s="36"/>
      <c r="X1605" s="36"/>
      <c r="Y1605" s="36"/>
    </row>
    <row r="1606">
      <c r="A1606" s="32"/>
      <c r="B1606" s="32"/>
      <c r="C1606" s="32"/>
      <c r="D1606" s="32"/>
      <c r="E1606" s="32"/>
      <c r="F1606" s="32"/>
      <c r="G1606" s="39"/>
      <c r="H1606" s="32"/>
      <c r="I1606" s="32"/>
      <c r="J1606" s="32"/>
      <c r="K1606" s="33"/>
      <c r="L1606" s="32"/>
      <c r="M1606" s="32"/>
      <c r="N1606" s="32"/>
      <c r="O1606" s="32"/>
      <c r="P1606" s="32"/>
      <c r="Q1606" s="34"/>
      <c r="R1606" s="35"/>
      <c r="S1606" s="35"/>
      <c r="T1606" s="36"/>
      <c r="U1606" s="36"/>
      <c r="V1606" s="36"/>
      <c r="W1606" s="36"/>
      <c r="X1606" s="36"/>
      <c r="Y1606" s="36"/>
    </row>
    <row r="1607">
      <c r="A1607" s="32"/>
      <c r="B1607" s="32"/>
      <c r="C1607" s="32"/>
      <c r="D1607" s="32"/>
      <c r="E1607" s="32"/>
      <c r="F1607" s="32"/>
      <c r="G1607" s="39"/>
      <c r="H1607" s="32"/>
      <c r="I1607" s="32"/>
      <c r="J1607" s="32"/>
      <c r="K1607" s="33"/>
      <c r="L1607" s="32"/>
      <c r="M1607" s="32"/>
      <c r="N1607" s="32"/>
      <c r="O1607" s="32"/>
      <c r="P1607" s="32"/>
      <c r="Q1607" s="34"/>
      <c r="R1607" s="35"/>
      <c r="S1607" s="35"/>
      <c r="T1607" s="36"/>
      <c r="U1607" s="36"/>
      <c r="V1607" s="36"/>
      <c r="W1607" s="36"/>
      <c r="X1607" s="36"/>
      <c r="Y1607" s="36"/>
    </row>
    <row r="1608">
      <c r="A1608" s="32"/>
      <c r="B1608" s="32"/>
      <c r="C1608" s="32"/>
      <c r="D1608" s="32"/>
      <c r="E1608" s="32"/>
      <c r="F1608" s="32"/>
      <c r="G1608" s="39"/>
      <c r="H1608" s="32"/>
      <c r="I1608" s="32"/>
      <c r="J1608" s="32"/>
      <c r="K1608" s="33"/>
      <c r="L1608" s="32"/>
      <c r="M1608" s="32"/>
      <c r="N1608" s="32"/>
      <c r="O1608" s="32"/>
      <c r="P1608" s="32"/>
      <c r="Q1608" s="34"/>
      <c r="R1608" s="35"/>
      <c r="S1608" s="35"/>
      <c r="T1608" s="36"/>
      <c r="U1608" s="36"/>
      <c r="V1608" s="36"/>
      <c r="W1608" s="36"/>
      <c r="X1608" s="36"/>
      <c r="Y1608" s="36"/>
    </row>
    <row r="1609">
      <c r="A1609" s="32"/>
      <c r="B1609" s="32"/>
      <c r="C1609" s="32"/>
      <c r="D1609" s="32"/>
      <c r="E1609" s="32"/>
      <c r="F1609" s="32"/>
      <c r="G1609" s="39"/>
      <c r="H1609" s="32"/>
      <c r="I1609" s="32"/>
      <c r="J1609" s="32"/>
      <c r="K1609" s="33"/>
      <c r="L1609" s="32"/>
      <c r="M1609" s="32"/>
      <c r="N1609" s="32"/>
      <c r="O1609" s="32"/>
      <c r="P1609" s="32"/>
      <c r="Q1609" s="34"/>
      <c r="R1609" s="35"/>
      <c r="S1609" s="35"/>
      <c r="T1609" s="36"/>
      <c r="U1609" s="36"/>
      <c r="V1609" s="36"/>
      <c r="W1609" s="36"/>
      <c r="X1609" s="36"/>
      <c r="Y1609" s="36"/>
    </row>
    <row r="1610">
      <c r="A1610" s="32"/>
      <c r="B1610" s="32"/>
      <c r="C1610" s="32"/>
      <c r="D1610" s="32"/>
      <c r="E1610" s="32"/>
      <c r="F1610" s="32"/>
      <c r="G1610" s="39"/>
      <c r="H1610" s="32"/>
      <c r="I1610" s="32"/>
      <c r="J1610" s="32"/>
      <c r="K1610" s="33"/>
      <c r="L1610" s="32"/>
      <c r="M1610" s="32"/>
      <c r="N1610" s="32"/>
      <c r="O1610" s="32"/>
      <c r="P1610" s="32"/>
      <c r="Q1610" s="34"/>
      <c r="R1610" s="35"/>
      <c r="S1610" s="35"/>
      <c r="T1610" s="36"/>
      <c r="U1610" s="36"/>
      <c r="V1610" s="36"/>
      <c r="W1610" s="36"/>
      <c r="X1610" s="36"/>
      <c r="Y1610" s="36"/>
    </row>
    <row r="1611">
      <c r="A1611" s="32"/>
      <c r="B1611" s="32"/>
      <c r="C1611" s="32"/>
      <c r="D1611" s="32"/>
      <c r="E1611" s="32"/>
      <c r="F1611" s="32"/>
      <c r="G1611" s="39"/>
      <c r="H1611" s="32"/>
      <c r="I1611" s="32"/>
      <c r="J1611" s="32"/>
      <c r="K1611" s="33"/>
      <c r="L1611" s="32"/>
      <c r="M1611" s="32"/>
      <c r="N1611" s="32"/>
      <c r="O1611" s="32"/>
      <c r="P1611" s="32"/>
      <c r="Q1611" s="34"/>
      <c r="R1611" s="35"/>
      <c r="S1611" s="35"/>
      <c r="T1611" s="36"/>
      <c r="U1611" s="36"/>
      <c r="V1611" s="36"/>
      <c r="W1611" s="36"/>
      <c r="X1611" s="36"/>
      <c r="Y1611" s="36"/>
    </row>
    <row r="1612">
      <c r="A1612" s="32"/>
      <c r="B1612" s="32"/>
      <c r="C1612" s="32"/>
      <c r="D1612" s="32"/>
      <c r="E1612" s="32"/>
      <c r="F1612" s="32"/>
      <c r="G1612" s="39"/>
      <c r="H1612" s="32"/>
      <c r="I1612" s="32"/>
      <c r="J1612" s="32"/>
      <c r="K1612" s="33"/>
      <c r="L1612" s="32"/>
      <c r="M1612" s="32"/>
      <c r="N1612" s="32"/>
      <c r="O1612" s="32"/>
      <c r="P1612" s="32"/>
      <c r="Q1612" s="34"/>
      <c r="R1612" s="35"/>
      <c r="S1612" s="35"/>
      <c r="T1612" s="36"/>
      <c r="U1612" s="36"/>
      <c r="V1612" s="36"/>
      <c r="W1612" s="36"/>
      <c r="X1612" s="36"/>
      <c r="Y1612" s="36"/>
    </row>
    <row r="1613">
      <c r="A1613" s="32"/>
      <c r="B1613" s="32"/>
      <c r="C1613" s="32"/>
      <c r="D1613" s="32"/>
      <c r="E1613" s="32"/>
      <c r="F1613" s="32"/>
      <c r="G1613" s="39"/>
      <c r="H1613" s="32"/>
      <c r="I1613" s="32"/>
      <c r="J1613" s="32"/>
      <c r="K1613" s="33"/>
      <c r="L1613" s="32"/>
      <c r="M1613" s="32"/>
      <c r="N1613" s="32"/>
      <c r="O1613" s="32"/>
      <c r="P1613" s="32"/>
      <c r="Q1613" s="34"/>
      <c r="R1613" s="35"/>
      <c r="S1613" s="35"/>
      <c r="T1613" s="36"/>
      <c r="U1613" s="36"/>
      <c r="V1613" s="36"/>
      <c r="W1613" s="36"/>
      <c r="X1613" s="36"/>
      <c r="Y1613" s="36"/>
    </row>
    <row r="1614">
      <c r="A1614" s="32"/>
      <c r="B1614" s="32"/>
      <c r="C1614" s="32"/>
      <c r="D1614" s="32"/>
      <c r="E1614" s="32"/>
      <c r="F1614" s="32"/>
      <c r="G1614" s="39"/>
      <c r="H1614" s="32"/>
      <c r="I1614" s="32"/>
      <c r="J1614" s="32"/>
      <c r="K1614" s="33"/>
      <c r="L1614" s="32"/>
      <c r="M1614" s="32"/>
      <c r="N1614" s="32"/>
      <c r="O1614" s="32"/>
      <c r="P1614" s="32"/>
      <c r="Q1614" s="34"/>
      <c r="R1614" s="35"/>
      <c r="S1614" s="35"/>
      <c r="T1614" s="36"/>
      <c r="U1614" s="36"/>
      <c r="V1614" s="36"/>
      <c r="W1614" s="36"/>
      <c r="X1614" s="36"/>
      <c r="Y1614" s="36"/>
    </row>
    <row r="1615">
      <c r="A1615" s="32"/>
      <c r="B1615" s="32"/>
      <c r="C1615" s="32"/>
      <c r="D1615" s="32"/>
      <c r="E1615" s="32"/>
      <c r="F1615" s="32"/>
      <c r="G1615" s="39"/>
      <c r="H1615" s="32"/>
      <c r="I1615" s="32"/>
      <c r="J1615" s="32"/>
      <c r="K1615" s="33"/>
      <c r="L1615" s="32"/>
      <c r="M1615" s="32"/>
      <c r="N1615" s="32"/>
      <c r="O1615" s="32"/>
      <c r="P1615" s="32"/>
      <c r="Q1615" s="34"/>
      <c r="R1615" s="35"/>
      <c r="S1615" s="35"/>
      <c r="T1615" s="36"/>
      <c r="U1615" s="36"/>
      <c r="V1615" s="36"/>
      <c r="W1615" s="36"/>
      <c r="X1615" s="36"/>
      <c r="Y1615" s="36"/>
    </row>
    <row r="1616">
      <c r="A1616" s="32"/>
      <c r="B1616" s="32"/>
      <c r="C1616" s="32"/>
      <c r="D1616" s="32"/>
      <c r="E1616" s="32"/>
      <c r="F1616" s="32"/>
      <c r="G1616" s="39"/>
      <c r="H1616" s="32"/>
      <c r="I1616" s="32"/>
      <c r="J1616" s="32"/>
      <c r="K1616" s="33"/>
      <c r="L1616" s="32"/>
      <c r="M1616" s="32"/>
      <c r="N1616" s="32"/>
      <c r="O1616" s="32"/>
      <c r="P1616" s="32"/>
      <c r="Q1616" s="34"/>
      <c r="R1616" s="35"/>
      <c r="S1616" s="35"/>
      <c r="T1616" s="36"/>
      <c r="U1616" s="36"/>
      <c r="V1616" s="36"/>
      <c r="W1616" s="36"/>
      <c r="X1616" s="36"/>
      <c r="Y1616" s="36"/>
    </row>
    <row r="1617">
      <c r="A1617" s="32"/>
      <c r="B1617" s="32"/>
      <c r="C1617" s="32"/>
      <c r="D1617" s="32"/>
      <c r="E1617" s="32"/>
      <c r="F1617" s="32"/>
      <c r="G1617" s="39"/>
      <c r="H1617" s="32"/>
      <c r="I1617" s="32"/>
      <c r="J1617" s="32"/>
      <c r="K1617" s="33"/>
      <c r="L1617" s="32"/>
      <c r="M1617" s="32"/>
      <c r="N1617" s="32"/>
      <c r="O1617" s="32"/>
      <c r="P1617" s="32"/>
      <c r="Q1617" s="34"/>
      <c r="R1617" s="35"/>
      <c r="S1617" s="35"/>
      <c r="T1617" s="36"/>
      <c r="U1617" s="36"/>
      <c r="V1617" s="36"/>
      <c r="W1617" s="36"/>
      <c r="X1617" s="36"/>
      <c r="Y1617" s="36"/>
    </row>
    <row r="1618">
      <c r="A1618" s="32"/>
      <c r="B1618" s="32"/>
      <c r="C1618" s="32"/>
      <c r="D1618" s="32"/>
      <c r="E1618" s="32"/>
      <c r="F1618" s="32"/>
      <c r="G1618" s="39"/>
      <c r="H1618" s="32"/>
      <c r="I1618" s="32"/>
      <c r="J1618" s="32"/>
      <c r="K1618" s="33"/>
      <c r="L1618" s="32"/>
      <c r="M1618" s="32"/>
      <c r="N1618" s="32"/>
      <c r="O1618" s="32"/>
      <c r="P1618" s="32"/>
      <c r="Q1618" s="34"/>
      <c r="R1618" s="35"/>
      <c r="S1618" s="35"/>
      <c r="T1618" s="36"/>
      <c r="U1618" s="36"/>
      <c r="V1618" s="36"/>
      <c r="W1618" s="36"/>
      <c r="X1618" s="36"/>
      <c r="Y1618" s="36"/>
    </row>
    <row r="1619">
      <c r="A1619" s="32"/>
      <c r="B1619" s="32"/>
      <c r="C1619" s="32"/>
      <c r="D1619" s="32"/>
      <c r="E1619" s="32"/>
      <c r="F1619" s="32"/>
      <c r="G1619" s="39"/>
      <c r="H1619" s="32"/>
      <c r="I1619" s="32"/>
      <c r="J1619" s="32"/>
      <c r="K1619" s="33"/>
      <c r="L1619" s="32"/>
      <c r="M1619" s="32"/>
      <c r="N1619" s="32"/>
      <c r="O1619" s="32"/>
      <c r="P1619" s="32"/>
      <c r="Q1619" s="34"/>
      <c r="R1619" s="35"/>
      <c r="S1619" s="35"/>
      <c r="T1619" s="36"/>
      <c r="U1619" s="36"/>
      <c r="V1619" s="36"/>
      <c r="W1619" s="36"/>
      <c r="X1619" s="36"/>
      <c r="Y1619" s="36"/>
    </row>
    <row r="1620">
      <c r="A1620" s="32"/>
      <c r="B1620" s="32"/>
      <c r="C1620" s="32"/>
      <c r="D1620" s="32"/>
      <c r="E1620" s="32"/>
      <c r="F1620" s="32"/>
      <c r="G1620" s="39"/>
      <c r="H1620" s="32"/>
      <c r="I1620" s="32"/>
      <c r="J1620" s="32"/>
      <c r="K1620" s="33"/>
      <c r="L1620" s="32"/>
      <c r="M1620" s="32"/>
      <c r="N1620" s="32"/>
      <c r="O1620" s="32"/>
      <c r="P1620" s="32"/>
      <c r="Q1620" s="34"/>
      <c r="R1620" s="35"/>
      <c r="S1620" s="35"/>
      <c r="T1620" s="36"/>
      <c r="U1620" s="36"/>
      <c r="V1620" s="36"/>
      <c r="W1620" s="36"/>
      <c r="X1620" s="36"/>
      <c r="Y1620" s="36"/>
    </row>
    <row r="1621">
      <c r="A1621" s="32"/>
      <c r="B1621" s="32"/>
      <c r="C1621" s="32"/>
      <c r="D1621" s="32"/>
      <c r="E1621" s="32"/>
      <c r="F1621" s="32"/>
      <c r="G1621" s="39"/>
      <c r="H1621" s="32"/>
      <c r="I1621" s="32"/>
      <c r="J1621" s="32"/>
      <c r="K1621" s="33"/>
      <c r="L1621" s="32"/>
      <c r="M1621" s="32"/>
      <c r="N1621" s="32"/>
      <c r="O1621" s="32"/>
      <c r="P1621" s="32"/>
      <c r="Q1621" s="34"/>
      <c r="R1621" s="35"/>
      <c r="S1621" s="35"/>
      <c r="T1621" s="36"/>
      <c r="U1621" s="36"/>
      <c r="V1621" s="36"/>
      <c r="W1621" s="36"/>
      <c r="X1621" s="36"/>
      <c r="Y1621" s="36"/>
    </row>
    <row r="1622">
      <c r="A1622" s="32"/>
      <c r="B1622" s="32"/>
      <c r="C1622" s="32"/>
      <c r="D1622" s="32"/>
      <c r="E1622" s="32"/>
      <c r="F1622" s="32"/>
      <c r="G1622" s="39"/>
      <c r="H1622" s="32"/>
      <c r="I1622" s="32"/>
      <c r="J1622" s="32"/>
      <c r="K1622" s="33"/>
      <c r="L1622" s="32"/>
      <c r="M1622" s="32"/>
      <c r="N1622" s="32"/>
      <c r="O1622" s="32"/>
      <c r="P1622" s="32"/>
      <c r="Q1622" s="34"/>
      <c r="R1622" s="35"/>
      <c r="S1622" s="35"/>
      <c r="T1622" s="36"/>
      <c r="U1622" s="36"/>
      <c r="V1622" s="36"/>
      <c r="W1622" s="36"/>
      <c r="X1622" s="36"/>
      <c r="Y1622" s="36"/>
    </row>
    <row r="1623">
      <c r="A1623" s="32"/>
      <c r="B1623" s="32"/>
      <c r="C1623" s="32"/>
      <c r="D1623" s="32"/>
      <c r="E1623" s="32"/>
      <c r="F1623" s="32"/>
      <c r="G1623" s="39"/>
      <c r="H1623" s="32"/>
      <c r="I1623" s="32"/>
      <c r="J1623" s="32"/>
      <c r="K1623" s="33"/>
      <c r="L1623" s="32"/>
      <c r="M1623" s="32"/>
      <c r="N1623" s="32"/>
      <c r="O1623" s="32"/>
      <c r="P1623" s="32"/>
      <c r="Q1623" s="34"/>
      <c r="R1623" s="35"/>
      <c r="S1623" s="35"/>
      <c r="T1623" s="36"/>
      <c r="U1623" s="36"/>
      <c r="V1623" s="36"/>
      <c r="W1623" s="36"/>
      <c r="X1623" s="36"/>
      <c r="Y1623" s="36"/>
    </row>
    <row r="1624">
      <c r="A1624" s="32"/>
      <c r="B1624" s="32"/>
      <c r="C1624" s="32"/>
      <c r="D1624" s="32"/>
      <c r="E1624" s="32"/>
      <c r="F1624" s="32"/>
      <c r="G1624" s="39"/>
      <c r="H1624" s="32"/>
      <c r="I1624" s="32"/>
      <c r="J1624" s="32"/>
      <c r="K1624" s="33"/>
      <c r="L1624" s="32"/>
      <c r="M1624" s="32"/>
      <c r="N1624" s="32"/>
      <c r="O1624" s="32"/>
      <c r="P1624" s="32"/>
      <c r="Q1624" s="34"/>
      <c r="R1624" s="35"/>
      <c r="S1624" s="35"/>
      <c r="T1624" s="36"/>
      <c r="U1624" s="36"/>
      <c r="V1624" s="36"/>
      <c r="W1624" s="36"/>
      <c r="X1624" s="36"/>
      <c r="Y1624" s="36"/>
    </row>
    <row r="1625">
      <c r="A1625" s="32"/>
      <c r="B1625" s="32"/>
      <c r="C1625" s="32"/>
      <c r="D1625" s="32"/>
      <c r="E1625" s="32"/>
      <c r="F1625" s="32"/>
      <c r="G1625" s="39"/>
      <c r="H1625" s="32"/>
      <c r="I1625" s="32"/>
      <c r="J1625" s="32"/>
      <c r="K1625" s="33"/>
      <c r="L1625" s="32"/>
      <c r="M1625" s="32"/>
      <c r="N1625" s="32"/>
      <c r="O1625" s="32"/>
      <c r="P1625" s="32"/>
      <c r="Q1625" s="34"/>
      <c r="R1625" s="35"/>
      <c r="S1625" s="35"/>
      <c r="T1625" s="36"/>
      <c r="U1625" s="36"/>
      <c r="V1625" s="36"/>
      <c r="W1625" s="36"/>
      <c r="X1625" s="36"/>
      <c r="Y1625" s="36"/>
    </row>
    <row r="1626">
      <c r="A1626" s="32"/>
      <c r="B1626" s="32"/>
      <c r="C1626" s="32"/>
      <c r="D1626" s="32"/>
      <c r="E1626" s="32"/>
      <c r="F1626" s="32"/>
      <c r="G1626" s="39"/>
      <c r="H1626" s="32"/>
      <c r="I1626" s="32"/>
      <c r="J1626" s="32"/>
      <c r="K1626" s="33"/>
      <c r="L1626" s="32"/>
      <c r="M1626" s="32"/>
      <c r="N1626" s="32"/>
      <c r="O1626" s="32"/>
      <c r="P1626" s="32"/>
      <c r="Q1626" s="34"/>
      <c r="R1626" s="35"/>
      <c r="S1626" s="35"/>
      <c r="T1626" s="36"/>
      <c r="U1626" s="36"/>
      <c r="V1626" s="36"/>
      <c r="W1626" s="36"/>
      <c r="X1626" s="36"/>
      <c r="Y1626" s="36"/>
    </row>
    <row r="1627">
      <c r="A1627" s="32"/>
      <c r="B1627" s="32"/>
      <c r="C1627" s="32"/>
      <c r="D1627" s="32"/>
      <c r="E1627" s="32"/>
      <c r="F1627" s="32"/>
      <c r="G1627" s="39"/>
      <c r="H1627" s="32"/>
      <c r="I1627" s="32"/>
      <c r="J1627" s="32"/>
      <c r="K1627" s="33"/>
      <c r="L1627" s="32"/>
      <c r="M1627" s="32"/>
      <c r="N1627" s="32"/>
      <c r="O1627" s="32"/>
      <c r="P1627" s="32"/>
      <c r="Q1627" s="34"/>
      <c r="R1627" s="35"/>
      <c r="S1627" s="35"/>
      <c r="T1627" s="36"/>
      <c r="U1627" s="36"/>
      <c r="V1627" s="36"/>
      <c r="W1627" s="36"/>
      <c r="X1627" s="36"/>
      <c r="Y1627" s="36"/>
    </row>
    <row r="1628">
      <c r="A1628" s="32"/>
      <c r="B1628" s="32"/>
      <c r="C1628" s="32"/>
      <c r="D1628" s="32"/>
      <c r="E1628" s="32"/>
      <c r="F1628" s="32"/>
      <c r="G1628" s="39"/>
      <c r="H1628" s="32"/>
      <c r="I1628" s="32"/>
      <c r="J1628" s="32"/>
      <c r="K1628" s="33"/>
      <c r="L1628" s="32"/>
      <c r="M1628" s="32"/>
      <c r="N1628" s="32"/>
      <c r="O1628" s="32"/>
      <c r="P1628" s="32"/>
      <c r="Q1628" s="34"/>
      <c r="R1628" s="35"/>
      <c r="S1628" s="35"/>
      <c r="T1628" s="36"/>
      <c r="U1628" s="36"/>
      <c r="V1628" s="36"/>
      <c r="W1628" s="36"/>
      <c r="X1628" s="36"/>
      <c r="Y1628" s="36"/>
    </row>
    <row r="1629">
      <c r="A1629" s="32"/>
      <c r="B1629" s="32"/>
      <c r="C1629" s="32"/>
      <c r="D1629" s="32"/>
      <c r="E1629" s="32"/>
      <c r="F1629" s="32"/>
      <c r="G1629" s="39"/>
      <c r="H1629" s="32"/>
      <c r="I1629" s="32"/>
      <c r="J1629" s="32"/>
      <c r="K1629" s="33"/>
      <c r="L1629" s="32"/>
      <c r="M1629" s="32"/>
      <c r="N1629" s="32"/>
      <c r="O1629" s="32"/>
      <c r="P1629" s="32"/>
      <c r="Q1629" s="34"/>
      <c r="R1629" s="35"/>
      <c r="S1629" s="35"/>
      <c r="T1629" s="36"/>
      <c r="U1629" s="36"/>
      <c r="V1629" s="36"/>
      <c r="W1629" s="36"/>
      <c r="X1629" s="36"/>
      <c r="Y1629" s="36"/>
    </row>
    <row r="1630">
      <c r="A1630" s="32"/>
      <c r="B1630" s="32"/>
      <c r="C1630" s="32"/>
      <c r="D1630" s="32"/>
      <c r="E1630" s="32"/>
      <c r="F1630" s="32"/>
      <c r="G1630" s="39"/>
      <c r="H1630" s="32"/>
      <c r="I1630" s="32"/>
      <c r="J1630" s="32"/>
      <c r="K1630" s="33"/>
      <c r="L1630" s="32"/>
      <c r="M1630" s="32"/>
      <c r="N1630" s="32"/>
      <c r="O1630" s="32"/>
      <c r="P1630" s="32"/>
      <c r="Q1630" s="34"/>
      <c r="R1630" s="35"/>
      <c r="S1630" s="35"/>
      <c r="T1630" s="36"/>
      <c r="U1630" s="36"/>
      <c r="V1630" s="36"/>
      <c r="W1630" s="36"/>
      <c r="X1630" s="36"/>
      <c r="Y1630" s="36"/>
    </row>
    <row r="1631">
      <c r="A1631" s="32"/>
      <c r="B1631" s="32"/>
      <c r="C1631" s="32"/>
      <c r="D1631" s="32"/>
      <c r="E1631" s="32"/>
      <c r="F1631" s="32"/>
      <c r="G1631" s="39"/>
      <c r="H1631" s="32"/>
      <c r="I1631" s="32"/>
      <c r="J1631" s="32"/>
      <c r="K1631" s="33"/>
      <c r="L1631" s="32"/>
      <c r="M1631" s="32"/>
      <c r="N1631" s="32"/>
      <c r="O1631" s="32"/>
      <c r="P1631" s="32"/>
      <c r="Q1631" s="34"/>
      <c r="R1631" s="35"/>
      <c r="S1631" s="35"/>
      <c r="T1631" s="36"/>
      <c r="U1631" s="36"/>
      <c r="V1631" s="36"/>
      <c r="W1631" s="36"/>
      <c r="X1631" s="36"/>
      <c r="Y1631" s="36"/>
    </row>
    <row r="1632">
      <c r="A1632" s="32"/>
      <c r="B1632" s="32"/>
      <c r="C1632" s="32"/>
      <c r="D1632" s="32"/>
      <c r="E1632" s="32"/>
      <c r="F1632" s="32"/>
      <c r="G1632" s="39"/>
      <c r="H1632" s="32"/>
      <c r="I1632" s="32"/>
      <c r="J1632" s="32"/>
      <c r="K1632" s="33"/>
      <c r="L1632" s="32"/>
      <c r="M1632" s="32"/>
      <c r="N1632" s="32"/>
      <c r="O1632" s="32"/>
      <c r="P1632" s="32"/>
      <c r="Q1632" s="34"/>
      <c r="R1632" s="35"/>
      <c r="S1632" s="35"/>
      <c r="T1632" s="36"/>
      <c r="U1632" s="36"/>
      <c r="V1632" s="36"/>
      <c r="W1632" s="36"/>
      <c r="X1632" s="36"/>
      <c r="Y1632" s="36"/>
    </row>
    <row r="1633">
      <c r="A1633" s="32"/>
      <c r="B1633" s="32"/>
      <c r="C1633" s="32"/>
      <c r="D1633" s="32"/>
      <c r="E1633" s="32"/>
      <c r="F1633" s="32"/>
      <c r="G1633" s="39"/>
      <c r="H1633" s="32"/>
      <c r="I1633" s="32"/>
      <c r="J1633" s="32"/>
      <c r="K1633" s="33"/>
      <c r="L1633" s="32"/>
      <c r="M1633" s="32"/>
      <c r="N1633" s="32"/>
      <c r="O1633" s="32"/>
      <c r="P1633" s="32"/>
      <c r="Q1633" s="34"/>
      <c r="R1633" s="35"/>
      <c r="S1633" s="35"/>
      <c r="T1633" s="36"/>
      <c r="U1633" s="36"/>
      <c r="V1633" s="36"/>
      <c r="W1633" s="36"/>
      <c r="X1633" s="36"/>
      <c r="Y1633" s="36"/>
    </row>
    <row r="1634">
      <c r="A1634" s="32"/>
      <c r="B1634" s="32"/>
      <c r="C1634" s="32"/>
      <c r="D1634" s="32"/>
      <c r="E1634" s="32"/>
      <c r="F1634" s="32"/>
      <c r="G1634" s="39"/>
      <c r="H1634" s="32"/>
      <c r="I1634" s="32"/>
      <c r="J1634" s="32"/>
      <c r="K1634" s="33"/>
      <c r="L1634" s="32"/>
      <c r="M1634" s="32"/>
      <c r="N1634" s="32"/>
      <c r="O1634" s="32"/>
      <c r="P1634" s="32"/>
      <c r="Q1634" s="34"/>
      <c r="R1634" s="35"/>
      <c r="S1634" s="35"/>
      <c r="T1634" s="36"/>
      <c r="U1634" s="36"/>
      <c r="V1634" s="36"/>
      <c r="W1634" s="36"/>
      <c r="X1634" s="36"/>
      <c r="Y1634" s="36"/>
    </row>
    <row r="1635">
      <c r="A1635" s="32"/>
      <c r="B1635" s="32"/>
      <c r="C1635" s="32"/>
      <c r="D1635" s="32"/>
      <c r="E1635" s="32"/>
      <c r="F1635" s="32"/>
      <c r="G1635" s="39"/>
      <c r="H1635" s="32"/>
      <c r="I1635" s="32"/>
      <c r="J1635" s="32"/>
      <c r="K1635" s="33"/>
      <c r="L1635" s="32"/>
      <c r="M1635" s="32"/>
      <c r="N1635" s="32"/>
      <c r="O1635" s="32"/>
      <c r="P1635" s="32"/>
      <c r="Q1635" s="34"/>
      <c r="R1635" s="35"/>
      <c r="S1635" s="35"/>
      <c r="T1635" s="36"/>
      <c r="U1635" s="36"/>
      <c r="V1635" s="36"/>
      <c r="W1635" s="36"/>
      <c r="X1635" s="36"/>
      <c r="Y1635" s="36"/>
    </row>
    <row r="1636">
      <c r="A1636" s="32"/>
      <c r="B1636" s="32"/>
      <c r="C1636" s="32"/>
      <c r="D1636" s="32"/>
      <c r="E1636" s="32"/>
      <c r="F1636" s="32"/>
      <c r="G1636" s="39"/>
      <c r="H1636" s="32"/>
      <c r="I1636" s="32"/>
      <c r="J1636" s="32"/>
      <c r="K1636" s="33"/>
      <c r="L1636" s="32"/>
      <c r="M1636" s="32"/>
      <c r="N1636" s="32"/>
      <c r="O1636" s="32"/>
      <c r="P1636" s="32"/>
      <c r="Q1636" s="34"/>
      <c r="R1636" s="35"/>
      <c r="S1636" s="35"/>
      <c r="T1636" s="36"/>
      <c r="U1636" s="36"/>
      <c r="V1636" s="36"/>
      <c r="W1636" s="36"/>
      <c r="X1636" s="36"/>
      <c r="Y1636" s="36"/>
    </row>
    <row r="1637">
      <c r="A1637" s="32"/>
      <c r="B1637" s="32"/>
      <c r="C1637" s="32"/>
      <c r="D1637" s="32"/>
      <c r="E1637" s="32"/>
      <c r="F1637" s="32"/>
      <c r="G1637" s="39"/>
      <c r="H1637" s="32"/>
      <c r="I1637" s="32"/>
      <c r="J1637" s="32"/>
      <c r="K1637" s="33"/>
      <c r="L1637" s="32"/>
      <c r="M1637" s="32"/>
      <c r="N1637" s="32"/>
      <c r="O1637" s="32"/>
      <c r="P1637" s="32"/>
      <c r="Q1637" s="34"/>
      <c r="R1637" s="35"/>
      <c r="S1637" s="35"/>
      <c r="T1637" s="36"/>
      <c r="U1637" s="36"/>
      <c r="V1637" s="36"/>
      <c r="W1637" s="36"/>
      <c r="X1637" s="36"/>
      <c r="Y1637" s="36"/>
    </row>
    <row r="1638">
      <c r="A1638" s="32"/>
      <c r="B1638" s="32"/>
      <c r="C1638" s="32"/>
      <c r="D1638" s="32"/>
      <c r="E1638" s="32"/>
      <c r="F1638" s="32"/>
      <c r="G1638" s="39"/>
      <c r="H1638" s="32"/>
      <c r="I1638" s="32"/>
      <c r="J1638" s="32"/>
      <c r="K1638" s="33"/>
      <c r="L1638" s="32"/>
      <c r="M1638" s="32"/>
      <c r="N1638" s="32"/>
      <c r="O1638" s="32"/>
      <c r="P1638" s="32"/>
      <c r="Q1638" s="34"/>
      <c r="R1638" s="35"/>
      <c r="S1638" s="35"/>
      <c r="T1638" s="36"/>
      <c r="U1638" s="36"/>
      <c r="V1638" s="36"/>
      <c r="W1638" s="36"/>
      <c r="X1638" s="36"/>
      <c r="Y1638" s="36"/>
    </row>
    <row r="1639">
      <c r="A1639" s="32"/>
      <c r="B1639" s="32"/>
      <c r="C1639" s="32"/>
      <c r="D1639" s="32"/>
      <c r="E1639" s="32"/>
      <c r="F1639" s="32"/>
      <c r="G1639" s="39"/>
      <c r="H1639" s="32"/>
      <c r="I1639" s="32"/>
      <c r="J1639" s="32"/>
      <c r="K1639" s="33"/>
      <c r="L1639" s="32"/>
      <c r="M1639" s="32"/>
      <c r="N1639" s="32"/>
      <c r="O1639" s="32"/>
      <c r="P1639" s="32"/>
      <c r="Q1639" s="34"/>
      <c r="R1639" s="35"/>
      <c r="S1639" s="35"/>
      <c r="T1639" s="36"/>
      <c r="U1639" s="36"/>
      <c r="V1639" s="36"/>
      <c r="W1639" s="36"/>
      <c r="X1639" s="36"/>
      <c r="Y1639" s="36"/>
    </row>
    <row r="1640">
      <c r="A1640" s="32"/>
      <c r="B1640" s="32"/>
      <c r="C1640" s="32"/>
      <c r="D1640" s="32"/>
      <c r="E1640" s="32"/>
      <c r="F1640" s="32"/>
      <c r="G1640" s="39"/>
      <c r="H1640" s="32"/>
      <c r="I1640" s="32"/>
      <c r="J1640" s="32"/>
      <c r="K1640" s="33"/>
      <c r="L1640" s="32"/>
      <c r="M1640" s="32"/>
      <c r="N1640" s="32"/>
      <c r="O1640" s="32"/>
      <c r="P1640" s="32"/>
      <c r="Q1640" s="34"/>
      <c r="R1640" s="35"/>
      <c r="S1640" s="35"/>
      <c r="T1640" s="36"/>
      <c r="U1640" s="36"/>
      <c r="V1640" s="36"/>
      <c r="W1640" s="36"/>
      <c r="X1640" s="36"/>
      <c r="Y1640" s="36"/>
    </row>
    <row r="1641">
      <c r="A1641" s="32"/>
      <c r="B1641" s="32"/>
      <c r="C1641" s="32"/>
      <c r="D1641" s="32"/>
      <c r="E1641" s="32"/>
      <c r="F1641" s="32"/>
      <c r="G1641" s="39"/>
      <c r="H1641" s="32"/>
      <c r="I1641" s="32"/>
      <c r="J1641" s="32"/>
      <c r="K1641" s="33"/>
      <c r="L1641" s="32"/>
      <c r="M1641" s="32"/>
      <c r="N1641" s="32"/>
      <c r="O1641" s="32"/>
      <c r="P1641" s="32"/>
      <c r="Q1641" s="34"/>
      <c r="R1641" s="35"/>
      <c r="S1641" s="35"/>
      <c r="T1641" s="36"/>
      <c r="U1641" s="36"/>
      <c r="V1641" s="36"/>
      <c r="W1641" s="36"/>
      <c r="X1641" s="36"/>
      <c r="Y1641" s="36"/>
    </row>
    <row r="1642">
      <c r="A1642" s="32"/>
      <c r="B1642" s="32"/>
      <c r="C1642" s="32"/>
      <c r="D1642" s="32"/>
      <c r="E1642" s="32"/>
      <c r="F1642" s="32"/>
      <c r="G1642" s="39"/>
      <c r="H1642" s="32"/>
      <c r="I1642" s="32"/>
      <c r="J1642" s="32"/>
      <c r="K1642" s="33"/>
      <c r="L1642" s="32"/>
      <c r="M1642" s="32"/>
      <c r="N1642" s="32"/>
      <c r="O1642" s="32"/>
      <c r="P1642" s="32"/>
      <c r="Q1642" s="34"/>
      <c r="R1642" s="35"/>
      <c r="S1642" s="35"/>
      <c r="T1642" s="36"/>
      <c r="U1642" s="36"/>
      <c r="V1642" s="36"/>
      <c r="W1642" s="36"/>
      <c r="X1642" s="36"/>
      <c r="Y1642" s="36"/>
    </row>
    <row r="1643">
      <c r="A1643" s="32"/>
      <c r="B1643" s="32"/>
      <c r="C1643" s="32"/>
      <c r="D1643" s="32"/>
      <c r="E1643" s="32"/>
      <c r="F1643" s="32"/>
      <c r="G1643" s="39"/>
      <c r="H1643" s="32"/>
      <c r="I1643" s="32"/>
      <c r="J1643" s="32"/>
      <c r="K1643" s="33"/>
      <c r="L1643" s="32"/>
      <c r="M1643" s="32"/>
      <c r="N1643" s="32"/>
      <c r="O1643" s="32"/>
      <c r="P1643" s="32"/>
      <c r="Q1643" s="34"/>
      <c r="R1643" s="35"/>
      <c r="S1643" s="35"/>
      <c r="T1643" s="36"/>
      <c r="U1643" s="36"/>
      <c r="V1643" s="36"/>
      <c r="W1643" s="36"/>
      <c r="X1643" s="36"/>
      <c r="Y1643" s="36"/>
    </row>
    <row r="1644">
      <c r="A1644" s="32"/>
      <c r="B1644" s="32"/>
      <c r="C1644" s="32"/>
      <c r="D1644" s="32"/>
      <c r="E1644" s="32"/>
      <c r="F1644" s="32"/>
      <c r="G1644" s="39"/>
      <c r="H1644" s="32"/>
      <c r="I1644" s="32"/>
      <c r="J1644" s="32"/>
      <c r="K1644" s="33"/>
      <c r="L1644" s="32"/>
      <c r="M1644" s="32"/>
      <c r="N1644" s="32"/>
      <c r="O1644" s="32"/>
      <c r="P1644" s="32"/>
      <c r="Q1644" s="34"/>
      <c r="R1644" s="35"/>
      <c r="S1644" s="35"/>
      <c r="T1644" s="36"/>
      <c r="U1644" s="36"/>
      <c r="V1644" s="36"/>
      <c r="W1644" s="36"/>
      <c r="X1644" s="36"/>
      <c r="Y1644" s="36"/>
    </row>
    <row r="1645">
      <c r="A1645" s="32"/>
      <c r="B1645" s="32"/>
      <c r="C1645" s="32"/>
      <c r="D1645" s="32"/>
      <c r="E1645" s="32"/>
      <c r="F1645" s="32"/>
      <c r="G1645" s="39"/>
      <c r="H1645" s="32"/>
      <c r="I1645" s="32"/>
      <c r="J1645" s="32"/>
      <c r="K1645" s="33"/>
      <c r="L1645" s="32"/>
      <c r="M1645" s="32"/>
      <c r="N1645" s="32"/>
      <c r="O1645" s="32"/>
      <c r="P1645" s="32"/>
      <c r="Q1645" s="34"/>
      <c r="R1645" s="35"/>
      <c r="S1645" s="35"/>
      <c r="T1645" s="36"/>
      <c r="U1645" s="36"/>
      <c r="V1645" s="36"/>
      <c r="W1645" s="36"/>
      <c r="X1645" s="36"/>
      <c r="Y1645" s="36"/>
    </row>
    <row r="1646">
      <c r="A1646" s="32"/>
      <c r="B1646" s="32"/>
      <c r="C1646" s="32"/>
      <c r="D1646" s="32"/>
      <c r="E1646" s="32"/>
      <c r="F1646" s="32"/>
      <c r="G1646" s="39"/>
      <c r="H1646" s="32"/>
      <c r="I1646" s="32"/>
      <c r="J1646" s="32"/>
      <c r="K1646" s="33"/>
      <c r="L1646" s="32"/>
      <c r="M1646" s="32"/>
      <c r="N1646" s="32"/>
      <c r="O1646" s="32"/>
      <c r="P1646" s="32"/>
      <c r="Q1646" s="34"/>
      <c r="R1646" s="35"/>
      <c r="S1646" s="35"/>
      <c r="T1646" s="36"/>
      <c r="U1646" s="36"/>
      <c r="V1646" s="36"/>
      <c r="W1646" s="36"/>
      <c r="X1646" s="36"/>
      <c r="Y1646" s="36"/>
    </row>
    <row r="1647">
      <c r="A1647" s="32"/>
      <c r="B1647" s="32"/>
      <c r="C1647" s="32"/>
      <c r="D1647" s="32"/>
      <c r="E1647" s="32"/>
      <c r="F1647" s="32"/>
      <c r="G1647" s="39"/>
      <c r="H1647" s="32"/>
      <c r="I1647" s="32"/>
      <c r="J1647" s="32"/>
      <c r="K1647" s="33"/>
      <c r="L1647" s="32"/>
      <c r="M1647" s="32"/>
      <c r="N1647" s="32"/>
      <c r="O1647" s="32"/>
      <c r="P1647" s="32"/>
      <c r="Q1647" s="34"/>
      <c r="R1647" s="35"/>
      <c r="S1647" s="35"/>
      <c r="T1647" s="36"/>
      <c r="U1647" s="36"/>
      <c r="V1647" s="36"/>
      <c r="W1647" s="36"/>
      <c r="X1647" s="36"/>
      <c r="Y1647" s="36"/>
    </row>
    <row r="1648">
      <c r="A1648" s="32"/>
      <c r="B1648" s="32"/>
      <c r="C1648" s="32"/>
      <c r="D1648" s="32"/>
      <c r="E1648" s="32"/>
      <c r="F1648" s="32"/>
      <c r="G1648" s="39"/>
      <c r="H1648" s="32"/>
      <c r="I1648" s="32"/>
      <c r="J1648" s="32"/>
      <c r="K1648" s="33"/>
      <c r="L1648" s="32"/>
      <c r="M1648" s="32"/>
      <c r="N1648" s="32"/>
      <c r="O1648" s="32"/>
      <c r="P1648" s="32"/>
      <c r="Q1648" s="34"/>
      <c r="R1648" s="35"/>
      <c r="S1648" s="35"/>
      <c r="T1648" s="36"/>
      <c r="U1648" s="36"/>
      <c r="V1648" s="36"/>
      <c r="W1648" s="36"/>
      <c r="X1648" s="36"/>
      <c r="Y1648" s="36"/>
    </row>
    <row r="1649">
      <c r="A1649" s="32"/>
      <c r="B1649" s="32"/>
      <c r="C1649" s="32"/>
      <c r="D1649" s="32"/>
      <c r="E1649" s="32"/>
      <c r="F1649" s="32"/>
      <c r="G1649" s="39"/>
      <c r="H1649" s="32"/>
      <c r="I1649" s="32"/>
      <c r="J1649" s="32"/>
      <c r="K1649" s="33"/>
      <c r="L1649" s="32"/>
      <c r="M1649" s="32"/>
      <c r="N1649" s="32"/>
      <c r="O1649" s="32"/>
      <c r="P1649" s="32"/>
      <c r="Q1649" s="34"/>
      <c r="R1649" s="35"/>
      <c r="S1649" s="35"/>
      <c r="T1649" s="36"/>
      <c r="U1649" s="36"/>
      <c r="V1649" s="36"/>
      <c r="W1649" s="36"/>
      <c r="X1649" s="36"/>
      <c r="Y1649" s="36"/>
    </row>
    <row r="1650">
      <c r="A1650" s="32"/>
      <c r="B1650" s="32"/>
      <c r="C1650" s="32"/>
      <c r="D1650" s="32"/>
      <c r="E1650" s="32"/>
      <c r="F1650" s="32"/>
      <c r="G1650" s="39"/>
      <c r="H1650" s="32"/>
      <c r="I1650" s="32"/>
      <c r="J1650" s="32"/>
      <c r="K1650" s="33"/>
      <c r="L1650" s="32"/>
      <c r="M1650" s="32"/>
      <c r="N1650" s="32"/>
      <c r="O1650" s="32"/>
      <c r="P1650" s="32"/>
      <c r="Q1650" s="34"/>
      <c r="R1650" s="35"/>
      <c r="S1650" s="35"/>
      <c r="T1650" s="36"/>
      <c r="U1650" s="36"/>
      <c r="V1650" s="36"/>
      <c r="W1650" s="36"/>
      <c r="X1650" s="36"/>
      <c r="Y1650" s="36"/>
    </row>
    <row r="1651">
      <c r="A1651" s="32"/>
      <c r="B1651" s="32"/>
      <c r="C1651" s="32"/>
      <c r="D1651" s="32"/>
      <c r="E1651" s="32"/>
      <c r="F1651" s="32"/>
      <c r="G1651" s="39"/>
      <c r="H1651" s="32"/>
      <c r="I1651" s="32"/>
      <c r="J1651" s="32"/>
      <c r="K1651" s="33"/>
      <c r="L1651" s="32"/>
      <c r="M1651" s="32"/>
      <c r="N1651" s="32"/>
      <c r="O1651" s="32"/>
      <c r="P1651" s="32"/>
      <c r="Q1651" s="34"/>
      <c r="R1651" s="35"/>
      <c r="S1651" s="35"/>
      <c r="T1651" s="36"/>
      <c r="U1651" s="36"/>
      <c r="V1651" s="36"/>
      <c r="W1651" s="36"/>
      <c r="X1651" s="36"/>
      <c r="Y1651" s="36"/>
    </row>
    <row r="1652">
      <c r="A1652" s="32"/>
      <c r="B1652" s="32"/>
      <c r="C1652" s="32"/>
      <c r="D1652" s="32"/>
      <c r="E1652" s="32"/>
      <c r="F1652" s="32"/>
      <c r="G1652" s="39"/>
      <c r="H1652" s="32"/>
      <c r="I1652" s="32"/>
      <c r="J1652" s="32"/>
      <c r="K1652" s="33"/>
      <c r="L1652" s="32"/>
      <c r="M1652" s="32"/>
      <c r="N1652" s="32"/>
      <c r="O1652" s="32"/>
      <c r="P1652" s="32"/>
      <c r="Q1652" s="34"/>
      <c r="R1652" s="35"/>
      <c r="S1652" s="35"/>
      <c r="T1652" s="36"/>
      <c r="U1652" s="36"/>
      <c r="V1652" s="36"/>
      <c r="W1652" s="36"/>
      <c r="X1652" s="36"/>
      <c r="Y1652" s="36"/>
    </row>
    <row r="1653">
      <c r="A1653" s="32"/>
      <c r="B1653" s="32"/>
      <c r="C1653" s="32"/>
      <c r="D1653" s="32"/>
      <c r="E1653" s="32"/>
      <c r="F1653" s="32"/>
      <c r="G1653" s="39"/>
      <c r="H1653" s="32"/>
      <c r="I1653" s="32"/>
      <c r="J1653" s="32"/>
      <c r="K1653" s="33"/>
      <c r="L1653" s="32"/>
      <c r="M1653" s="32"/>
      <c r="N1653" s="32"/>
      <c r="O1653" s="32"/>
      <c r="P1653" s="32"/>
      <c r="Q1653" s="34"/>
      <c r="R1653" s="35"/>
      <c r="S1653" s="35"/>
      <c r="T1653" s="36"/>
      <c r="U1653" s="36"/>
      <c r="V1653" s="36"/>
      <c r="W1653" s="36"/>
      <c r="X1653" s="36"/>
      <c r="Y1653" s="36"/>
    </row>
    <row r="1654">
      <c r="A1654" s="32"/>
      <c r="B1654" s="32"/>
      <c r="C1654" s="32"/>
      <c r="D1654" s="32"/>
      <c r="E1654" s="32"/>
      <c r="F1654" s="32"/>
      <c r="G1654" s="39"/>
      <c r="H1654" s="32"/>
      <c r="I1654" s="32"/>
      <c r="J1654" s="32"/>
      <c r="K1654" s="33"/>
      <c r="L1654" s="32"/>
      <c r="M1654" s="32"/>
      <c r="N1654" s="32"/>
      <c r="O1654" s="32"/>
      <c r="P1654" s="32"/>
      <c r="Q1654" s="34"/>
      <c r="R1654" s="35"/>
      <c r="S1654" s="35"/>
      <c r="T1654" s="36"/>
      <c r="U1654" s="36"/>
      <c r="V1654" s="36"/>
      <c r="W1654" s="36"/>
      <c r="X1654" s="36"/>
      <c r="Y1654" s="36"/>
    </row>
    <row r="1655">
      <c r="A1655" s="32"/>
      <c r="B1655" s="32"/>
      <c r="C1655" s="32"/>
      <c r="D1655" s="32"/>
      <c r="E1655" s="32"/>
      <c r="F1655" s="32"/>
      <c r="G1655" s="39"/>
      <c r="H1655" s="32"/>
      <c r="I1655" s="32"/>
      <c r="J1655" s="32"/>
      <c r="K1655" s="33"/>
      <c r="L1655" s="32"/>
      <c r="M1655" s="32"/>
      <c r="N1655" s="32"/>
      <c r="O1655" s="32"/>
      <c r="P1655" s="32"/>
      <c r="Q1655" s="34"/>
      <c r="R1655" s="35"/>
      <c r="S1655" s="35"/>
      <c r="T1655" s="36"/>
      <c r="U1655" s="36"/>
      <c r="V1655" s="36"/>
      <c r="W1655" s="36"/>
      <c r="X1655" s="36"/>
      <c r="Y1655" s="36"/>
    </row>
    <row r="1656">
      <c r="A1656" s="32"/>
      <c r="B1656" s="32"/>
      <c r="C1656" s="32"/>
      <c r="D1656" s="32"/>
      <c r="E1656" s="32"/>
      <c r="F1656" s="32"/>
      <c r="G1656" s="39"/>
      <c r="H1656" s="32"/>
      <c r="I1656" s="32"/>
      <c r="J1656" s="32"/>
      <c r="K1656" s="33"/>
      <c r="L1656" s="32"/>
      <c r="M1656" s="32"/>
      <c r="N1656" s="32"/>
      <c r="O1656" s="32"/>
      <c r="P1656" s="32"/>
      <c r="Q1656" s="34"/>
      <c r="R1656" s="35"/>
      <c r="S1656" s="35"/>
      <c r="T1656" s="36"/>
      <c r="U1656" s="36"/>
      <c r="V1656" s="36"/>
      <c r="W1656" s="36"/>
      <c r="X1656" s="36"/>
      <c r="Y1656" s="36"/>
    </row>
    <row r="1657">
      <c r="A1657" s="32"/>
      <c r="B1657" s="32"/>
      <c r="C1657" s="32"/>
      <c r="D1657" s="32"/>
      <c r="E1657" s="32"/>
      <c r="F1657" s="32"/>
      <c r="G1657" s="39"/>
      <c r="H1657" s="32"/>
      <c r="I1657" s="32"/>
      <c r="J1657" s="32"/>
      <c r="K1657" s="33"/>
      <c r="L1657" s="32"/>
      <c r="M1657" s="32"/>
      <c r="N1657" s="32"/>
      <c r="O1657" s="32"/>
      <c r="P1657" s="32"/>
      <c r="Q1657" s="34"/>
      <c r="R1657" s="35"/>
      <c r="S1657" s="35"/>
      <c r="T1657" s="36"/>
      <c r="U1657" s="36"/>
      <c r="V1657" s="36"/>
      <c r="W1657" s="36"/>
      <c r="X1657" s="36"/>
      <c r="Y1657" s="36"/>
    </row>
    <row r="1658">
      <c r="A1658" s="32"/>
      <c r="B1658" s="32"/>
      <c r="C1658" s="32"/>
      <c r="D1658" s="32"/>
      <c r="E1658" s="32"/>
      <c r="F1658" s="32"/>
      <c r="G1658" s="39"/>
      <c r="H1658" s="32"/>
      <c r="I1658" s="32"/>
      <c r="J1658" s="32"/>
      <c r="K1658" s="33"/>
      <c r="L1658" s="32"/>
      <c r="M1658" s="32"/>
      <c r="N1658" s="32"/>
      <c r="O1658" s="32"/>
      <c r="P1658" s="32"/>
      <c r="Q1658" s="34"/>
      <c r="R1658" s="35"/>
      <c r="S1658" s="35"/>
      <c r="T1658" s="36"/>
      <c r="U1658" s="36"/>
      <c r="V1658" s="36"/>
      <c r="W1658" s="36"/>
      <c r="X1658" s="36"/>
      <c r="Y1658" s="36"/>
    </row>
    <row r="1659">
      <c r="A1659" s="32"/>
      <c r="B1659" s="32"/>
      <c r="C1659" s="32"/>
      <c r="D1659" s="32"/>
      <c r="E1659" s="32"/>
      <c r="F1659" s="32"/>
      <c r="G1659" s="39"/>
      <c r="H1659" s="32"/>
      <c r="I1659" s="32"/>
      <c r="J1659" s="32"/>
      <c r="K1659" s="33"/>
      <c r="L1659" s="32"/>
      <c r="M1659" s="32"/>
      <c r="N1659" s="32"/>
      <c r="O1659" s="32"/>
      <c r="P1659" s="32"/>
      <c r="Q1659" s="34"/>
      <c r="R1659" s="35"/>
      <c r="S1659" s="35"/>
      <c r="T1659" s="36"/>
      <c r="U1659" s="36"/>
      <c r="V1659" s="36"/>
      <c r="W1659" s="36"/>
      <c r="X1659" s="36"/>
      <c r="Y1659" s="36"/>
    </row>
    <row r="1660">
      <c r="A1660" s="32"/>
      <c r="B1660" s="32"/>
      <c r="C1660" s="32"/>
      <c r="D1660" s="32"/>
      <c r="E1660" s="32"/>
      <c r="F1660" s="32"/>
      <c r="G1660" s="39"/>
      <c r="H1660" s="32"/>
      <c r="I1660" s="32"/>
      <c r="J1660" s="32"/>
      <c r="K1660" s="33"/>
      <c r="L1660" s="32"/>
      <c r="M1660" s="32"/>
      <c r="N1660" s="32"/>
      <c r="O1660" s="32"/>
      <c r="P1660" s="32"/>
      <c r="Q1660" s="34"/>
      <c r="R1660" s="35"/>
      <c r="S1660" s="35"/>
      <c r="T1660" s="36"/>
      <c r="U1660" s="36"/>
      <c r="V1660" s="36"/>
      <c r="W1660" s="36"/>
      <c r="X1660" s="36"/>
      <c r="Y1660" s="36"/>
    </row>
    <row r="1661">
      <c r="A1661" s="32"/>
      <c r="B1661" s="32"/>
      <c r="C1661" s="32"/>
      <c r="D1661" s="32"/>
      <c r="E1661" s="32"/>
      <c r="F1661" s="32"/>
      <c r="G1661" s="39"/>
      <c r="H1661" s="32"/>
      <c r="I1661" s="32"/>
      <c r="J1661" s="32"/>
      <c r="K1661" s="33"/>
      <c r="L1661" s="32"/>
      <c r="M1661" s="32"/>
      <c r="N1661" s="32"/>
      <c r="O1661" s="32"/>
      <c r="P1661" s="32"/>
      <c r="Q1661" s="34"/>
      <c r="R1661" s="35"/>
      <c r="S1661" s="35"/>
      <c r="T1661" s="36"/>
      <c r="U1661" s="36"/>
      <c r="V1661" s="36"/>
      <c r="W1661" s="36"/>
      <c r="X1661" s="36"/>
      <c r="Y1661" s="36"/>
    </row>
    <row r="1662">
      <c r="A1662" s="32"/>
      <c r="B1662" s="32"/>
      <c r="C1662" s="32"/>
      <c r="D1662" s="32"/>
      <c r="E1662" s="32"/>
      <c r="F1662" s="32"/>
      <c r="G1662" s="39"/>
      <c r="H1662" s="32"/>
      <c r="I1662" s="32"/>
      <c r="J1662" s="32"/>
      <c r="K1662" s="33"/>
      <c r="L1662" s="32"/>
      <c r="M1662" s="32"/>
      <c r="N1662" s="32"/>
      <c r="O1662" s="32"/>
      <c r="P1662" s="32"/>
      <c r="Q1662" s="34"/>
      <c r="R1662" s="35"/>
      <c r="S1662" s="35"/>
      <c r="T1662" s="36"/>
      <c r="U1662" s="36"/>
      <c r="V1662" s="36"/>
      <c r="W1662" s="36"/>
      <c r="X1662" s="36"/>
      <c r="Y1662" s="36"/>
    </row>
    <row r="1663">
      <c r="A1663" s="32"/>
      <c r="B1663" s="32"/>
      <c r="C1663" s="32"/>
      <c r="D1663" s="32"/>
      <c r="E1663" s="32"/>
      <c r="F1663" s="32"/>
      <c r="G1663" s="39"/>
      <c r="H1663" s="32"/>
      <c r="I1663" s="32"/>
      <c r="J1663" s="32"/>
      <c r="K1663" s="33"/>
      <c r="L1663" s="32"/>
      <c r="M1663" s="32"/>
      <c r="N1663" s="32"/>
      <c r="O1663" s="32"/>
      <c r="P1663" s="32"/>
      <c r="Q1663" s="34"/>
      <c r="R1663" s="35"/>
      <c r="S1663" s="35"/>
      <c r="T1663" s="36"/>
      <c r="U1663" s="36"/>
      <c r="V1663" s="36"/>
      <c r="W1663" s="36"/>
      <c r="X1663" s="36"/>
      <c r="Y1663" s="36"/>
    </row>
    <row r="1664">
      <c r="A1664" s="32"/>
      <c r="B1664" s="32"/>
      <c r="C1664" s="32"/>
      <c r="D1664" s="32"/>
      <c r="E1664" s="32"/>
      <c r="F1664" s="32"/>
      <c r="G1664" s="39"/>
      <c r="H1664" s="32"/>
      <c r="I1664" s="32"/>
      <c r="J1664" s="32"/>
      <c r="K1664" s="33"/>
      <c r="L1664" s="32"/>
      <c r="M1664" s="32"/>
      <c r="N1664" s="32"/>
      <c r="O1664" s="32"/>
      <c r="P1664" s="32"/>
      <c r="Q1664" s="34"/>
      <c r="R1664" s="35"/>
      <c r="S1664" s="35"/>
      <c r="T1664" s="36"/>
      <c r="U1664" s="36"/>
      <c r="V1664" s="36"/>
      <c r="W1664" s="36"/>
      <c r="X1664" s="36"/>
      <c r="Y1664" s="36"/>
    </row>
    <row r="1665">
      <c r="A1665" s="32"/>
      <c r="B1665" s="32"/>
      <c r="C1665" s="32"/>
      <c r="D1665" s="32"/>
      <c r="E1665" s="32"/>
      <c r="F1665" s="32"/>
      <c r="G1665" s="39"/>
      <c r="H1665" s="32"/>
      <c r="I1665" s="32"/>
      <c r="J1665" s="32"/>
      <c r="K1665" s="33"/>
      <c r="L1665" s="32"/>
      <c r="M1665" s="32"/>
      <c r="N1665" s="32"/>
      <c r="O1665" s="32"/>
      <c r="P1665" s="32"/>
      <c r="Q1665" s="34"/>
      <c r="R1665" s="35"/>
      <c r="S1665" s="35"/>
      <c r="T1665" s="36"/>
      <c r="U1665" s="36"/>
      <c r="V1665" s="36"/>
      <c r="W1665" s="36"/>
      <c r="X1665" s="36"/>
      <c r="Y1665" s="36"/>
    </row>
    <row r="1666">
      <c r="A1666" s="32"/>
      <c r="B1666" s="32"/>
      <c r="C1666" s="32"/>
      <c r="D1666" s="32"/>
      <c r="E1666" s="32"/>
      <c r="F1666" s="32"/>
      <c r="G1666" s="39"/>
      <c r="H1666" s="32"/>
      <c r="I1666" s="32"/>
      <c r="J1666" s="32"/>
      <c r="K1666" s="33"/>
      <c r="L1666" s="32"/>
      <c r="M1666" s="32"/>
      <c r="N1666" s="32"/>
      <c r="O1666" s="32"/>
      <c r="P1666" s="32"/>
      <c r="Q1666" s="34"/>
      <c r="R1666" s="35"/>
      <c r="S1666" s="35"/>
      <c r="T1666" s="36"/>
      <c r="U1666" s="36"/>
      <c r="V1666" s="36"/>
      <c r="W1666" s="36"/>
      <c r="X1666" s="36"/>
      <c r="Y1666" s="36"/>
    </row>
    <row r="1667">
      <c r="A1667" s="32"/>
      <c r="B1667" s="32"/>
      <c r="C1667" s="32"/>
      <c r="D1667" s="32"/>
      <c r="E1667" s="32"/>
      <c r="F1667" s="32"/>
      <c r="G1667" s="39"/>
      <c r="H1667" s="32"/>
      <c r="I1667" s="32"/>
      <c r="J1667" s="32"/>
      <c r="K1667" s="33"/>
      <c r="L1667" s="32"/>
      <c r="M1667" s="32"/>
      <c r="N1667" s="32"/>
      <c r="O1667" s="32"/>
      <c r="P1667" s="32"/>
      <c r="Q1667" s="34"/>
      <c r="R1667" s="35"/>
      <c r="S1667" s="35"/>
      <c r="T1667" s="36"/>
      <c r="U1667" s="36"/>
      <c r="V1667" s="36"/>
      <c r="W1667" s="36"/>
      <c r="X1667" s="36"/>
      <c r="Y1667" s="36"/>
    </row>
    <row r="1668">
      <c r="A1668" s="32"/>
      <c r="B1668" s="32"/>
      <c r="C1668" s="32"/>
      <c r="D1668" s="32"/>
      <c r="E1668" s="32"/>
      <c r="F1668" s="32"/>
      <c r="G1668" s="39"/>
      <c r="H1668" s="32"/>
      <c r="I1668" s="32"/>
      <c r="J1668" s="32"/>
      <c r="K1668" s="33"/>
      <c r="L1668" s="32"/>
      <c r="M1668" s="32"/>
      <c r="N1668" s="32"/>
      <c r="O1668" s="32"/>
      <c r="P1668" s="32"/>
      <c r="Q1668" s="34"/>
      <c r="R1668" s="35"/>
      <c r="S1668" s="35"/>
      <c r="T1668" s="36"/>
      <c r="U1668" s="36"/>
      <c r="V1668" s="36"/>
      <c r="W1668" s="36"/>
      <c r="X1668" s="36"/>
      <c r="Y1668" s="36"/>
    </row>
    <row r="1669">
      <c r="A1669" s="32"/>
      <c r="B1669" s="32"/>
      <c r="C1669" s="32"/>
      <c r="D1669" s="32"/>
      <c r="E1669" s="32"/>
      <c r="F1669" s="32"/>
      <c r="G1669" s="39"/>
      <c r="H1669" s="32"/>
      <c r="I1669" s="32"/>
      <c r="J1669" s="32"/>
      <c r="K1669" s="33"/>
      <c r="L1669" s="32"/>
      <c r="M1669" s="32"/>
      <c r="N1669" s="32"/>
      <c r="O1669" s="32"/>
      <c r="P1669" s="32"/>
      <c r="Q1669" s="34"/>
      <c r="R1669" s="35"/>
      <c r="S1669" s="35"/>
      <c r="T1669" s="36"/>
      <c r="U1669" s="36"/>
      <c r="V1669" s="36"/>
      <c r="W1669" s="36"/>
      <c r="X1669" s="36"/>
      <c r="Y1669" s="36"/>
    </row>
    <row r="1670">
      <c r="A1670" s="32"/>
      <c r="B1670" s="32"/>
      <c r="C1670" s="32"/>
      <c r="D1670" s="32"/>
      <c r="E1670" s="32"/>
      <c r="F1670" s="32"/>
      <c r="G1670" s="39"/>
      <c r="H1670" s="32"/>
      <c r="I1670" s="32"/>
      <c r="J1670" s="32"/>
      <c r="K1670" s="33"/>
      <c r="L1670" s="32"/>
      <c r="M1670" s="32"/>
      <c r="N1670" s="32"/>
      <c r="O1670" s="32"/>
      <c r="P1670" s="32"/>
      <c r="Q1670" s="34"/>
      <c r="R1670" s="35"/>
      <c r="S1670" s="35"/>
      <c r="T1670" s="36"/>
      <c r="U1670" s="36"/>
      <c r="V1670" s="36"/>
      <c r="W1670" s="36"/>
      <c r="X1670" s="36"/>
      <c r="Y1670" s="36"/>
    </row>
    <row r="1671">
      <c r="A1671" s="32"/>
      <c r="B1671" s="32"/>
      <c r="C1671" s="32"/>
      <c r="D1671" s="32"/>
      <c r="E1671" s="32"/>
      <c r="F1671" s="32"/>
      <c r="G1671" s="39"/>
      <c r="H1671" s="32"/>
      <c r="I1671" s="32"/>
      <c r="J1671" s="32"/>
      <c r="K1671" s="33"/>
      <c r="L1671" s="32"/>
      <c r="M1671" s="32"/>
      <c r="N1671" s="32"/>
      <c r="O1671" s="32"/>
      <c r="P1671" s="32"/>
      <c r="Q1671" s="34"/>
      <c r="R1671" s="35"/>
      <c r="S1671" s="35"/>
      <c r="T1671" s="36"/>
      <c r="U1671" s="36"/>
      <c r="V1671" s="36"/>
      <c r="W1671" s="36"/>
      <c r="X1671" s="36"/>
      <c r="Y1671" s="36"/>
    </row>
    <row r="1672">
      <c r="A1672" s="32"/>
      <c r="B1672" s="32"/>
      <c r="C1672" s="32"/>
      <c r="D1672" s="32"/>
      <c r="E1672" s="32"/>
      <c r="F1672" s="32"/>
      <c r="G1672" s="39"/>
      <c r="H1672" s="32"/>
      <c r="I1672" s="32"/>
      <c r="J1672" s="32"/>
      <c r="K1672" s="33"/>
      <c r="L1672" s="32"/>
      <c r="M1672" s="32"/>
      <c r="N1672" s="32"/>
      <c r="O1672" s="32"/>
      <c r="P1672" s="32"/>
      <c r="Q1672" s="34"/>
      <c r="R1672" s="35"/>
      <c r="S1672" s="35"/>
      <c r="T1672" s="36"/>
      <c r="U1672" s="36"/>
      <c r="V1672" s="36"/>
      <c r="W1672" s="36"/>
      <c r="X1672" s="36"/>
      <c r="Y1672" s="36"/>
    </row>
    <row r="1673">
      <c r="A1673" s="32"/>
      <c r="B1673" s="32"/>
      <c r="C1673" s="32"/>
      <c r="D1673" s="32"/>
      <c r="E1673" s="32"/>
      <c r="F1673" s="32"/>
      <c r="G1673" s="39"/>
      <c r="H1673" s="32"/>
      <c r="I1673" s="32"/>
      <c r="J1673" s="32"/>
      <c r="K1673" s="33"/>
      <c r="L1673" s="32"/>
      <c r="M1673" s="32"/>
      <c r="N1673" s="32"/>
      <c r="O1673" s="32"/>
      <c r="P1673" s="32"/>
      <c r="Q1673" s="34"/>
      <c r="R1673" s="35"/>
      <c r="S1673" s="35"/>
      <c r="T1673" s="36"/>
      <c r="U1673" s="36"/>
      <c r="V1673" s="36"/>
      <c r="W1673" s="36"/>
      <c r="X1673" s="36"/>
      <c r="Y1673" s="36"/>
    </row>
    <row r="1674">
      <c r="A1674" s="32"/>
      <c r="B1674" s="32"/>
      <c r="C1674" s="32"/>
      <c r="D1674" s="32"/>
      <c r="E1674" s="32"/>
      <c r="F1674" s="32"/>
      <c r="G1674" s="39"/>
      <c r="H1674" s="32"/>
      <c r="I1674" s="32"/>
      <c r="J1674" s="32"/>
      <c r="K1674" s="33"/>
      <c r="L1674" s="32"/>
      <c r="M1674" s="32"/>
      <c r="N1674" s="32"/>
      <c r="O1674" s="32"/>
      <c r="P1674" s="32"/>
      <c r="Q1674" s="34"/>
      <c r="R1674" s="35"/>
      <c r="S1674" s="35"/>
      <c r="T1674" s="36"/>
      <c r="U1674" s="36"/>
      <c r="V1674" s="36"/>
      <c r="W1674" s="36"/>
      <c r="X1674" s="36"/>
      <c r="Y1674" s="36"/>
    </row>
    <row r="1675">
      <c r="A1675" s="32"/>
      <c r="B1675" s="32"/>
      <c r="C1675" s="32"/>
      <c r="D1675" s="32"/>
      <c r="E1675" s="32"/>
      <c r="F1675" s="32"/>
      <c r="G1675" s="39"/>
      <c r="H1675" s="32"/>
      <c r="I1675" s="32"/>
      <c r="J1675" s="32"/>
      <c r="K1675" s="33"/>
      <c r="L1675" s="32"/>
      <c r="M1675" s="32"/>
      <c r="N1675" s="32"/>
      <c r="O1675" s="32"/>
      <c r="P1675" s="32"/>
      <c r="Q1675" s="34"/>
      <c r="R1675" s="35"/>
      <c r="S1675" s="35"/>
      <c r="T1675" s="36"/>
      <c r="U1675" s="36"/>
      <c r="V1675" s="36"/>
      <c r="W1675" s="36"/>
      <c r="X1675" s="36"/>
      <c r="Y1675" s="36"/>
    </row>
    <row r="1676">
      <c r="A1676" s="32"/>
      <c r="B1676" s="32"/>
      <c r="C1676" s="32"/>
      <c r="D1676" s="32"/>
      <c r="E1676" s="32"/>
      <c r="F1676" s="32"/>
      <c r="G1676" s="39"/>
      <c r="H1676" s="32"/>
      <c r="I1676" s="32"/>
      <c r="J1676" s="32"/>
      <c r="K1676" s="33"/>
      <c r="L1676" s="32"/>
      <c r="M1676" s="32"/>
      <c r="N1676" s="32"/>
      <c r="O1676" s="32"/>
      <c r="P1676" s="32"/>
      <c r="Q1676" s="34"/>
      <c r="R1676" s="35"/>
      <c r="S1676" s="35"/>
      <c r="T1676" s="36"/>
      <c r="U1676" s="36"/>
      <c r="V1676" s="36"/>
      <c r="W1676" s="36"/>
      <c r="X1676" s="36"/>
      <c r="Y1676" s="36"/>
    </row>
    <row r="1677">
      <c r="A1677" s="32"/>
      <c r="B1677" s="32"/>
      <c r="C1677" s="32"/>
      <c r="D1677" s="32"/>
      <c r="E1677" s="32"/>
      <c r="F1677" s="32"/>
      <c r="G1677" s="39"/>
      <c r="H1677" s="32"/>
      <c r="I1677" s="32"/>
      <c r="J1677" s="32"/>
      <c r="K1677" s="33"/>
      <c r="L1677" s="32"/>
      <c r="M1677" s="32"/>
      <c r="N1677" s="32"/>
      <c r="O1677" s="32"/>
      <c r="P1677" s="32"/>
      <c r="Q1677" s="34"/>
      <c r="R1677" s="35"/>
      <c r="S1677" s="35"/>
      <c r="T1677" s="36"/>
      <c r="U1677" s="36"/>
      <c r="V1677" s="36"/>
      <c r="W1677" s="36"/>
      <c r="X1677" s="36"/>
      <c r="Y1677" s="36"/>
    </row>
    <row r="1678">
      <c r="A1678" s="32"/>
      <c r="B1678" s="32"/>
      <c r="C1678" s="32"/>
      <c r="D1678" s="32"/>
      <c r="E1678" s="32"/>
      <c r="F1678" s="32"/>
      <c r="G1678" s="39"/>
      <c r="H1678" s="32"/>
      <c r="I1678" s="32"/>
      <c r="J1678" s="32"/>
      <c r="K1678" s="33"/>
      <c r="L1678" s="32"/>
      <c r="M1678" s="32"/>
      <c r="N1678" s="32"/>
      <c r="O1678" s="32"/>
      <c r="P1678" s="32"/>
      <c r="Q1678" s="34"/>
      <c r="R1678" s="35"/>
      <c r="S1678" s="35"/>
      <c r="T1678" s="36"/>
      <c r="U1678" s="36"/>
      <c r="V1678" s="36"/>
      <c r="W1678" s="36"/>
      <c r="X1678" s="36"/>
      <c r="Y1678" s="36"/>
    </row>
    <row r="1679">
      <c r="A1679" s="32"/>
      <c r="B1679" s="32"/>
      <c r="C1679" s="32"/>
      <c r="D1679" s="32"/>
      <c r="E1679" s="32"/>
      <c r="F1679" s="32"/>
      <c r="G1679" s="39"/>
      <c r="H1679" s="32"/>
      <c r="I1679" s="32"/>
      <c r="J1679" s="32"/>
      <c r="K1679" s="33"/>
      <c r="L1679" s="32"/>
      <c r="M1679" s="32"/>
      <c r="N1679" s="32"/>
      <c r="O1679" s="32"/>
      <c r="P1679" s="32"/>
      <c r="Q1679" s="34"/>
      <c r="R1679" s="35"/>
      <c r="S1679" s="35"/>
      <c r="T1679" s="36"/>
      <c r="U1679" s="36"/>
      <c r="V1679" s="36"/>
      <c r="W1679" s="36"/>
      <c r="X1679" s="36"/>
      <c r="Y1679" s="36"/>
    </row>
    <row r="1680">
      <c r="A1680" s="32"/>
      <c r="B1680" s="32"/>
      <c r="C1680" s="32"/>
      <c r="D1680" s="32"/>
      <c r="E1680" s="32"/>
      <c r="F1680" s="32"/>
      <c r="G1680" s="39"/>
      <c r="H1680" s="32"/>
      <c r="I1680" s="32"/>
      <c r="J1680" s="32"/>
      <c r="K1680" s="33"/>
      <c r="L1680" s="32"/>
      <c r="M1680" s="32"/>
      <c r="N1680" s="32"/>
      <c r="O1680" s="32"/>
      <c r="P1680" s="32"/>
      <c r="Q1680" s="34"/>
      <c r="R1680" s="35"/>
      <c r="S1680" s="35"/>
      <c r="T1680" s="36"/>
      <c r="U1680" s="36"/>
      <c r="V1680" s="36"/>
      <c r="W1680" s="36"/>
      <c r="X1680" s="36"/>
      <c r="Y1680" s="36"/>
    </row>
    <row r="1681">
      <c r="A1681" s="32"/>
      <c r="B1681" s="32"/>
      <c r="C1681" s="32"/>
      <c r="D1681" s="32"/>
      <c r="E1681" s="32"/>
      <c r="F1681" s="32"/>
      <c r="G1681" s="39"/>
      <c r="H1681" s="32"/>
      <c r="I1681" s="32"/>
      <c r="J1681" s="32"/>
      <c r="K1681" s="33"/>
      <c r="L1681" s="32"/>
      <c r="M1681" s="32"/>
      <c r="N1681" s="32"/>
      <c r="O1681" s="32"/>
      <c r="P1681" s="32"/>
      <c r="Q1681" s="34"/>
      <c r="R1681" s="35"/>
      <c r="S1681" s="35"/>
      <c r="T1681" s="36"/>
      <c r="U1681" s="36"/>
      <c r="V1681" s="36"/>
      <c r="W1681" s="36"/>
      <c r="X1681" s="36"/>
      <c r="Y1681" s="36"/>
    </row>
    <row r="1682">
      <c r="A1682" s="32"/>
      <c r="B1682" s="32"/>
      <c r="C1682" s="32"/>
      <c r="D1682" s="32"/>
      <c r="E1682" s="32"/>
      <c r="F1682" s="32"/>
      <c r="G1682" s="39"/>
      <c r="H1682" s="32"/>
      <c r="I1682" s="32"/>
      <c r="J1682" s="32"/>
      <c r="K1682" s="33"/>
      <c r="L1682" s="32"/>
      <c r="M1682" s="32"/>
      <c r="N1682" s="32"/>
      <c r="O1682" s="32"/>
      <c r="P1682" s="32"/>
      <c r="Q1682" s="34"/>
      <c r="R1682" s="35"/>
      <c r="S1682" s="35"/>
      <c r="T1682" s="36"/>
      <c r="U1682" s="36"/>
      <c r="V1682" s="36"/>
      <c r="W1682" s="36"/>
      <c r="X1682" s="36"/>
      <c r="Y1682" s="36"/>
    </row>
    <row r="1683">
      <c r="A1683" s="32"/>
      <c r="B1683" s="32"/>
      <c r="C1683" s="32"/>
      <c r="D1683" s="32"/>
      <c r="E1683" s="32"/>
      <c r="F1683" s="32"/>
      <c r="G1683" s="39"/>
      <c r="H1683" s="32"/>
      <c r="I1683" s="32"/>
      <c r="J1683" s="32"/>
      <c r="K1683" s="33"/>
      <c r="L1683" s="32"/>
      <c r="M1683" s="32"/>
      <c r="N1683" s="32"/>
      <c r="O1683" s="32"/>
      <c r="P1683" s="32"/>
      <c r="Q1683" s="34"/>
      <c r="R1683" s="35"/>
      <c r="S1683" s="35"/>
      <c r="T1683" s="36"/>
      <c r="U1683" s="36"/>
      <c r="V1683" s="36"/>
      <c r="W1683" s="36"/>
      <c r="X1683" s="36"/>
      <c r="Y1683" s="36"/>
    </row>
    <row r="1684">
      <c r="A1684" s="32"/>
      <c r="B1684" s="32"/>
      <c r="C1684" s="32"/>
      <c r="D1684" s="32"/>
      <c r="E1684" s="32"/>
      <c r="F1684" s="32"/>
      <c r="G1684" s="39"/>
      <c r="H1684" s="32"/>
      <c r="I1684" s="32"/>
      <c r="J1684" s="32"/>
      <c r="K1684" s="33"/>
      <c r="L1684" s="32"/>
      <c r="M1684" s="32"/>
      <c r="N1684" s="32"/>
      <c r="O1684" s="32"/>
      <c r="P1684" s="32"/>
      <c r="Q1684" s="34"/>
      <c r="R1684" s="35"/>
      <c r="S1684" s="35"/>
      <c r="T1684" s="36"/>
      <c r="U1684" s="36"/>
      <c r="V1684" s="36"/>
      <c r="W1684" s="36"/>
      <c r="X1684" s="36"/>
      <c r="Y1684" s="36"/>
    </row>
    <row r="1685">
      <c r="A1685" s="32"/>
      <c r="B1685" s="32"/>
      <c r="C1685" s="32"/>
      <c r="D1685" s="32"/>
      <c r="E1685" s="32"/>
      <c r="F1685" s="32"/>
      <c r="G1685" s="39"/>
      <c r="H1685" s="32"/>
      <c r="I1685" s="32"/>
      <c r="J1685" s="32"/>
      <c r="K1685" s="33"/>
      <c r="L1685" s="32"/>
      <c r="M1685" s="32"/>
      <c r="N1685" s="32"/>
      <c r="O1685" s="32"/>
      <c r="P1685" s="32"/>
      <c r="Q1685" s="34"/>
      <c r="R1685" s="35"/>
      <c r="S1685" s="35"/>
      <c r="T1685" s="36"/>
      <c r="U1685" s="36"/>
      <c r="V1685" s="36"/>
      <c r="W1685" s="36"/>
      <c r="X1685" s="36"/>
      <c r="Y1685" s="36"/>
    </row>
    <row r="1686">
      <c r="A1686" s="32"/>
      <c r="B1686" s="32"/>
      <c r="C1686" s="32"/>
      <c r="D1686" s="32"/>
      <c r="E1686" s="32"/>
      <c r="F1686" s="32"/>
      <c r="G1686" s="39"/>
      <c r="H1686" s="32"/>
      <c r="I1686" s="32"/>
      <c r="J1686" s="32"/>
      <c r="K1686" s="33"/>
      <c r="L1686" s="32"/>
      <c r="M1686" s="32"/>
      <c r="N1686" s="32"/>
      <c r="O1686" s="32"/>
      <c r="P1686" s="32"/>
      <c r="Q1686" s="34"/>
      <c r="R1686" s="35"/>
      <c r="S1686" s="35"/>
      <c r="T1686" s="36"/>
      <c r="U1686" s="36"/>
      <c r="V1686" s="36"/>
      <c r="W1686" s="36"/>
      <c r="X1686" s="36"/>
      <c r="Y1686" s="36"/>
    </row>
    <row r="1687">
      <c r="A1687" s="32"/>
      <c r="B1687" s="32"/>
      <c r="C1687" s="32"/>
      <c r="D1687" s="32"/>
      <c r="E1687" s="32"/>
      <c r="F1687" s="32"/>
      <c r="G1687" s="39"/>
      <c r="H1687" s="32"/>
      <c r="I1687" s="32"/>
      <c r="J1687" s="32"/>
      <c r="K1687" s="33"/>
      <c r="L1687" s="32"/>
      <c r="M1687" s="32"/>
      <c r="N1687" s="32"/>
      <c r="O1687" s="32"/>
      <c r="P1687" s="32"/>
      <c r="Q1687" s="34"/>
      <c r="R1687" s="35"/>
      <c r="S1687" s="35"/>
      <c r="T1687" s="36"/>
      <c r="U1687" s="36"/>
      <c r="V1687" s="36"/>
      <c r="W1687" s="36"/>
      <c r="X1687" s="36"/>
      <c r="Y1687" s="36"/>
    </row>
    <row r="1688">
      <c r="A1688" s="32"/>
      <c r="B1688" s="32"/>
      <c r="C1688" s="32"/>
      <c r="D1688" s="32"/>
      <c r="E1688" s="32"/>
      <c r="F1688" s="32"/>
      <c r="G1688" s="39"/>
      <c r="H1688" s="32"/>
      <c r="I1688" s="32"/>
      <c r="J1688" s="32"/>
      <c r="K1688" s="33"/>
      <c r="L1688" s="32"/>
      <c r="M1688" s="32"/>
      <c r="N1688" s="32"/>
      <c r="O1688" s="32"/>
      <c r="P1688" s="32"/>
      <c r="Q1688" s="34"/>
      <c r="R1688" s="35"/>
      <c r="S1688" s="35"/>
      <c r="T1688" s="36"/>
      <c r="U1688" s="36"/>
      <c r="V1688" s="36"/>
      <c r="W1688" s="36"/>
      <c r="X1688" s="36"/>
      <c r="Y1688" s="36"/>
    </row>
    <row r="1689">
      <c r="A1689" s="32"/>
      <c r="B1689" s="32"/>
      <c r="C1689" s="32"/>
      <c r="D1689" s="32"/>
      <c r="E1689" s="32"/>
      <c r="F1689" s="32"/>
      <c r="G1689" s="39"/>
      <c r="H1689" s="32"/>
      <c r="I1689" s="32"/>
      <c r="J1689" s="32"/>
      <c r="K1689" s="33"/>
      <c r="L1689" s="32"/>
      <c r="M1689" s="32"/>
      <c r="N1689" s="32"/>
      <c r="O1689" s="32"/>
      <c r="P1689" s="32"/>
      <c r="Q1689" s="34"/>
      <c r="R1689" s="35"/>
      <c r="S1689" s="35"/>
      <c r="T1689" s="36"/>
      <c r="U1689" s="36"/>
      <c r="V1689" s="36"/>
      <c r="W1689" s="36"/>
      <c r="X1689" s="36"/>
      <c r="Y1689" s="36"/>
    </row>
    <row r="1690">
      <c r="A1690" s="32"/>
      <c r="B1690" s="32"/>
      <c r="C1690" s="32"/>
      <c r="D1690" s="32"/>
      <c r="E1690" s="32"/>
      <c r="F1690" s="32"/>
      <c r="G1690" s="39"/>
      <c r="H1690" s="32"/>
      <c r="I1690" s="32"/>
      <c r="J1690" s="32"/>
      <c r="K1690" s="33"/>
      <c r="L1690" s="32"/>
      <c r="M1690" s="32"/>
      <c r="N1690" s="32"/>
      <c r="O1690" s="32"/>
      <c r="P1690" s="32"/>
      <c r="Q1690" s="34"/>
      <c r="R1690" s="35"/>
      <c r="S1690" s="35"/>
      <c r="T1690" s="36"/>
      <c r="U1690" s="36"/>
      <c r="V1690" s="36"/>
      <c r="W1690" s="36"/>
      <c r="X1690" s="36"/>
      <c r="Y1690" s="36"/>
    </row>
    <row r="1691">
      <c r="A1691" s="32"/>
      <c r="B1691" s="32"/>
      <c r="C1691" s="32"/>
      <c r="D1691" s="32"/>
      <c r="E1691" s="32"/>
      <c r="F1691" s="32"/>
      <c r="G1691" s="39"/>
      <c r="H1691" s="32"/>
      <c r="I1691" s="32"/>
      <c r="J1691" s="32"/>
      <c r="K1691" s="33"/>
      <c r="L1691" s="32"/>
      <c r="M1691" s="32"/>
      <c r="N1691" s="32"/>
      <c r="O1691" s="32"/>
      <c r="P1691" s="32"/>
      <c r="Q1691" s="34"/>
      <c r="R1691" s="35"/>
      <c r="S1691" s="35"/>
      <c r="T1691" s="36"/>
      <c r="U1691" s="36"/>
      <c r="V1691" s="36"/>
      <c r="W1691" s="36"/>
      <c r="X1691" s="36"/>
      <c r="Y1691" s="36"/>
    </row>
    <row r="1692">
      <c r="A1692" s="32"/>
      <c r="B1692" s="32"/>
      <c r="C1692" s="32"/>
      <c r="D1692" s="32"/>
      <c r="E1692" s="32"/>
      <c r="F1692" s="32"/>
      <c r="G1692" s="39"/>
      <c r="H1692" s="32"/>
      <c r="I1692" s="32"/>
      <c r="J1692" s="32"/>
      <c r="K1692" s="33"/>
      <c r="L1692" s="32"/>
      <c r="M1692" s="32"/>
      <c r="N1692" s="32"/>
      <c r="O1692" s="32"/>
      <c r="P1692" s="32"/>
      <c r="Q1692" s="34"/>
      <c r="R1692" s="35"/>
      <c r="S1692" s="35"/>
      <c r="T1692" s="36"/>
      <c r="U1692" s="36"/>
      <c r="V1692" s="36"/>
      <c r="W1692" s="36"/>
      <c r="X1692" s="36"/>
      <c r="Y1692" s="36"/>
    </row>
    <row r="1693">
      <c r="A1693" s="32"/>
      <c r="B1693" s="32"/>
      <c r="C1693" s="32"/>
      <c r="D1693" s="32"/>
      <c r="E1693" s="32"/>
      <c r="F1693" s="32"/>
      <c r="G1693" s="39"/>
      <c r="H1693" s="32"/>
      <c r="I1693" s="32"/>
      <c r="J1693" s="32"/>
      <c r="K1693" s="33"/>
      <c r="L1693" s="32"/>
      <c r="M1693" s="32"/>
      <c r="N1693" s="32"/>
      <c r="O1693" s="32"/>
      <c r="P1693" s="32"/>
      <c r="Q1693" s="34"/>
      <c r="R1693" s="35"/>
      <c r="S1693" s="35"/>
      <c r="T1693" s="36"/>
      <c r="U1693" s="36"/>
      <c r="V1693" s="36"/>
      <c r="W1693" s="36"/>
      <c r="X1693" s="36"/>
      <c r="Y1693" s="36"/>
    </row>
    <row r="1694">
      <c r="A1694" s="32"/>
      <c r="B1694" s="32"/>
      <c r="C1694" s="32"/>
      <c r="D1694" s="32"/>
      <c r="E1694" s="32"/>
      <c r="F1694" s="32"/>
      <c r="G1694" s="39"/>
      <c r="H1694" s="32"/>
      <c r="I1694" s="32"/>
      <c r="J1694" s="32"/>
      <c r="K1694" s="33"/>
      <c r="L1694" s="32"/>
      <c r="M1694" s="32"/>
      <c r="N1694" s="32"/>
      <c r="O1694" s="32"/>
      <c r="P1694" s="32"/>
      <c r="Q1694" s="34"/>
      <c r="R1694" s="35"/>
      <c r="S1694" s="35"/>
      <c r="T1694" s="36"/>
      <c r="U1694" s="36"/>
      <c r="V1694" s="36"/>
      <c r="W1694" s="36"/>
      <c r="X1694" s="36"/>
      <c r="Y1694" s="36"/>
    </row>
    <row r="1695">
      <c r="A1695" s="32"/>
      <c r="B1695" s="32"/>
      <c r="C1695" s="32"/>
      <c r="D1695" s="32"/>
      <c r="E1695" s="32"/>
      <c r="F1695" s="32"/>
      <c r="G1695" s="39"/>
      <c r="H1695" s="32"/>
      <c r="I1695" s="32"/>
      <c r="J1695" s="32"/>
      <c r="K1695" s="33"/>
      <c r="L1695" s="32"/>
      <c r="M1695" s="32"/>
      <c r="N1695" s="32"/>
      <c r="O1695" s="32"/>
      <c r="P1695" s="32"/>
      <c r="Q1695" s="34"/>
      <c r="R1695" s="35"/>
      <c r="S1695" s="35"/>
      <c r="T1695" s="36"/>
      <c r="U1695" s="36"/>
      <c r="V1695" s="36"/>
      <c r="W1695" s="36"/>
      <c r="X1695" s="36"/>
      <c r="Y1695" s="36"/>
    </row>
    <row r="1696">
      <c r="A1696" s="32"/>
      <c r="B1696" s="32"/>
      <c r="C1696" s="32"/>
      <c r="D1696" s="32"/>
      <c r="E1696" s="32"/>
      <c r="F1696" s="32"/>
      <c r="G1696" s="39"/>
      <c r="H1696" s="32"/>
      <c r="I1696" s="32"/>
      <c r="J1696" s="32"/>
      <c r="K1696" s="33"/>
      <c r="L1696" s="32"/>
      <c r="M1696" s="32"/>
      <c r="N1696" s="32"/>
      <c r="O1696" s="32"/>
      <c r="P1696" s="32"/>
      <c r="Q1696" s="34"/>
      <c r="R1696" s="35"/>
      <c r="S1696" s="35"/>
      <c r="T1696" s="36"/>
      <c r="U1696" s="36"/>
      <c r="V1696" s="36"/>
      <c r="W1696" s="36"/>
      <c r="X1696" s="36"/>
      <c r="Y1696" s="36"/>
    </row>
    <row r="1697">
      <c r="A1697" s="32"/>
      <c r="B1697" s="32"/>
      <c r="C1697" s="32"/>
      <c r="D1697" s="32"/>
      <c r="E1697" s="32"/>
      <c r="F1697" s="32"/>
      <c r="G1697" s="39"/>
      <c r="H1697" s="32"/>
      <c r="I1697" s="32"/>
      <c r="J1697" s="32"/>
      <c r="K1697" s="33"/>
      <c r="L1697" s="32"/>
      <c r="M1697" s="32"/>
      <c r="N1697" s="32"/>
      <c r="O1697" s="32"/>
      <c r="P1697" s="32"/>
      <c r="Q1697" s="34"/>
      <c r="R1697" s="35"/>
      <c r="S1697" s="35"/>
      <c r="T1697" s="36"/>
      <c r="U1697" s="36"/>
      <c r="V1697" s="36"/>
      <c r="W1697" s="36"/>
      <c r="X1697" s="36"/>
      <c r="Y1697" s="36"/>
    </row>
    <row r="1698">
      <c r="A1698" s="32"/>
      <c r="B1698" s="32"/>
      <c r="C1698" s="32"/>
      <c r="D1698" s="32"/>
      <c r="E1698" s="32"/>
      <c r="F1698" s="32"/>
      <c r="G1698" s="39"/>
      <c r="H1698" s="32"/>
      <c r="I1698" s="32"/>
      <c r="J1698" s="32"/>
      <c r="K1698" s="33"/>
      <c r="L1698" s="32"/>
      <c r="M1698" s="32"/>
      <c r="N1698" s="32"/>
      <c r="O1698" s="32"/>
      <c r="P1698" s="32"/>
      <c r="Q1698" s="34"/>
      <c r="R1698" s="35"/>
      <c r="S1698" s="35"/>
      <c r="T1698" s="36"/>
      <c r="U1698" s="36"/>
      <c r="V1698" s="36"/>
      <c r="W1698" s="36"/>
      <c r="X1698" s="36"/>
      <c r="Y1698" s="36"/>
    </row>
    <row r="1699">
      <c r="A1699" s="32"/>
      <c r="B1699" s="32"/>
      <c r="C1699" s="32"/>
      <c r="D1699" s="32"/>
      <c r="E1699" s="32"/>
      <c r="F1699" s="32"/>
      <c r="G1699" s="39"/>
      <c r="H1699" s="32"/>
      <c r="I1699" s="32"/>
      <c r="J1699" s="32"/>
      <c r="K1699" s="33"/>
      <c r="L1699" s="32"/>
      <c r="M1699" s="32"/>
      <c r="N1699" s="32"/>
      <c r="O1699" s="32"/>
      <c r="P1699" s="32"/>
      <c r="Q1699" s="34"/>
      <c r="R1699" s="35"/>
      <c r="S1699" s="35"/>
      <c r="T1699" s="36"/>
      <c r="U1699" s="36"/>
      <c r="V1699" s="36"/>
      <c r="W1699" s="36"/>
      <c r="X1699" s="36"/>
      <c r="Y1699" s="36"/>
    </row>
    <row r="1700">
      <c r="A1700" s="32"/>
      <c r="B1700" s="32"/>
      <c r="C1700" s="32"/>
      <c r="D1700" s="32"/>
      <c r="E1700" s="32"/>
      <c r="F1700" s="32"/>
      <c r="G1700" s="39"/>
      <c r="H1700" s="32"/>
      <c r="I1700" s="32"/>
      <c r="J1700" s="32"/>
      <c r="K1700" s="33"/>
      <c r="L1700" s="32"/>
      <c r="M1700" s="32"/>
      <c r="N1700" s="32"/>
      <c r="O1700" s="32"/>
      <c r="P1700" s="32"/>
      <c r="Q1700" s="34"/>
      <c r="R1700" s="35"/>
      <c r="S1700" s="35"/>
      <c r="T1700" s="36"/>
      <c r="U1700" s="36"/>
      <c r="V1700" s="36"/>
      <c r="W1700" s="36"/>
      <c r="X1700" s="36"/>
      <c r="Y1700" s="36"/>
    </row>
    <row r="1701">
      <c r="A1701" s="32"/>
      <c r="B1701" s="32"/>
      <c r="C1701" s="32"/>
      <c r="D1701" s="32"/>
      <c r="E1701" s="32"/>
      <c r="F1701" s="32"/>
      <c r="G1701" s="39"/>
      <c r="H1701" s="32"/>
      <c r="I1701" s="32"/>
      <c r="J1701" s="32"/>
      <c r="K1701" s="33"/>
      <c r="L1701" s="32"/>
      <c r="M1701" s="32"/>
      <c r="N1701" s="32"/>
      <c r="O1701" s="32"/>
      <c r="P1701" s="32"/>
      <c r="Q1701" s="34"/>
      <c r="R1701" s="35"/>
      <c r="S1701" s="35"/>
      <c r="T1701" s="36"/>
      <c r="U1701" s="36"/>
      <c r="V1701" s="36"/>
      <c r="W1701" s="36"/>
      <c r="X1701" s="36"/>
      <c r="Y1701" s="36"/>
    </row>
    <row r="1702">
      <c r="A1702" s="32"/>
      <c r="B1702" s="32"/>
      <c r="C1702" s="32"/>
      <c r="D1702" s="32"/>
      <c r="E1702" s="32"/>
      <c r="F1702" s="32"/>
      <c r="G1702" s="39"/>
      <c r="H1702" s="32"/>
      <c r="I1702" s="32"/>
      <c r="J1702" s="32"/>
      <c r="K1702" s="33"/>
      <c r="L1702" s="32"/>
      <c r="M1702" s="32"/>
      <c r="N1702" s="32"/>
      <c r="O1702" s="32"/>
      <c r="P1702" s="32"/>
      <c r="Q1702" s="34"/>
      <c r="R1702" s="35"/>
      <c r="S1702" s="35"/>
      <c r="T1702" s="36"/>
      <c r="U1702" s="36"/>
      <c r="V1702" s="36"/>
      <c r="W1702" s="36"/>
      <c r="X1702" s="36"/>
      <c r="Y1702" s="36"/>
    </row>
    <row r="1703">
      <c r="A1703" s="32"/>
      <c r="B1703" s="32"/>
      <c r="C1703" s="32"/>
      <c r="D1703" s="32"/>
      <c r="E1703" s="32"/>
      <c r="F1703" s="32"/>
      <c r="G1703" s="39"/>
      <c r="H1703" s="32"/>
      <c r="I1703" s="32"/>
      <c r="J1703" s="32"/>
      <c r="K1703" s="33"/>
      <c r="L1703" s="32"/>
      <c r="M1703" s="32"/>
      <c r="N1703" s="32"/>
      <c r="O1703" s="32"/>
      <c r="P1703" s="32"/>
      <c r="Q1703" s="34"/>
      <c r="R1703" s="35"/>
      <c r="S1703" s="35"/>
      <c r="T1703" s="36"/>
      <c r="U1703" s="36"/>
      <c r="V1703" s="36"/>
      <c r="W1703" s="36"/>
      <c r="X1703" s="36"/>
      <c r="Y1703" s="36"/>
    </row>
    <row r="1704">
      <c r="A1704" s="32"/>
      <c r="B1704" s="32"/>
      <c r="C1704" s="32"/>
      <c r="D1704" s="32"/>
      <c r="E1704" s="32"/>
      <c r="F1704" s="32"/>
      <c r="G1704" s="39"/>
      <c r="H1704" s="32"/>
      <c r="I1704" s="32"/>
      <c r="J1704" s="32"/>
      <c r="K1704" s="33"/>
      <c r="L1704" s="32"/>
      <c r="M1704" s="32"/>
      <c r="N1704" s="32"/>
      <c r="O1704" s="32"/>
      <c r="P1704" s="32"/>
      <c r="Q1704" s="34"/>
      <c r="R1704" s="35"/>
      <c r="S1704" s="35"/>
      <c r="T1704" s="36"/>
      <c r="U1704" s="36"/>
      <c r="V1704" s="36"/>
      <c r="W1704" s="36"/>
      <c r="X1704" s="36"/>
      <c r="Y1704" s="36"/>
    </row>
    <row r="1705">
      <c r="A1705" s="32"/>
      <c r="B1705" s="32"/>
      <c r="C1705" s="32"/>
      <c r="D1705" s="32"/>
      <c r="E1705" s="32"/>
      <c r="F1705" s="32"/>
      <c r="G1705" s="39"/>
      <c r="H1705" s="32"/>
      <c r="I1705" s="32"/>
      <c r="J1705" s="32"/>
      <c r="K1705" s="33"/>
      <c r="L1705" s="32"/>
      <c r="M1705" s="32"/>
      <c r="N1705" s="32"/>
      <c r="O1705" s="32"/>
      <c r="P1705" s="32"/>
      <c r="Q1705" s="34"/>
      <c r="R1705" s="35"/>
      <c r="S1705" s="35"/>
      <c r="T1705" s="36"/>
      <c r="U1705" s="36"/>
      <c r="V1705" s="36"/>
      <c r="W1705" s="36"/>
      <c r="X1705" s="36"/>
      <c r="Y1705" s="36"/>
    </row>
    <row r="1706">
      <c r="A1706" s="32"/>
      <c r="B1706" s="32"/>
      <c r="C1706" s="32"/>
      <c r="D1706" s="32"/>
      <c r="E1706" s="32"/>
      <c r="F1706" s="32"/>
      <c r="G1706" s="39"/>
      <c r="H1706" s="32"/>
      <c r="I1706" s="32"/>
      <c r="J1706" s="32"/>
      <c r="K1706" s="33"/>
      <c r="L1706" s="32"/>
      <c r="M1706" s="32"/>
      <c r="N1706" s="32"/>
      <c r="O1706" s="32"/>
      <c r="P1706" s="32"/>
      <c r="Q1706" s="34"/>
      <c r="R1706" s="35"/>
      <c r="S1706" s="35"/>
      <c r="T1706" s="36"/>
      <c r="U1706" s="36"/>
      <c r="V1706" s="36"/>
      <c r="W1706" s="36"/>
      <c r="X1706" s="36"/>
      <c r="Y1706" s="36"/>
    </row>
    <row r="1707">
      <c r="A1707" s="32"/>
      <c r="B1707" s="32"/>
      <c r="C1707" s="32"/>
      <c r="D1707" s="32"/>
      <c r="E1707" s="32"/>
      <c r="F1707" s="32"/>
      <c r="G1707" s="39"/>
      <c r="H1707" s="32"/>
      <c r="I1707" s="32"/>
      <c r="J1707" s="32"/>
      <c r="K1707" s="33"/>
      <c r="L1707" s="32"/>
      <c r="M1707" s="32"/>
      <c r="N1707" s="32"/>
      <c r="O1707" s="32"/>
      <c r="P1707" s="32"/>
      <c r="Q1707" s="34"/>
      <c r="R1707" s="35"/>
      <c r="S1707" s="35"/>
      <c r="T1707" s="36"/>
      <c r="U1707" s="36"/>
      <c r="V1707" s="36"/>
      <c r="W1707" s="36"/>
      <c r="X1707" s="36"/>
      <c r="Y1707" s="36"/>
    </row>
    <row r="1708">
      <c r="A1708" s="32"/>
      <c r="B1708" s="32"/>
      <c r="C1708" s="32"/>
      <c r="D1708" s="32"/>
      <c r="E1708" s="32"/>
      <c r="F1708" s="32"/>
      <c r="G1708" s="39"/>
      <c r="H1708" s="32"/>
      <c r="I1708" s="32"/>
      <c r="J1708" s="32"/>
      <c r="K1708" s="33"/>
      <c r="L1708" s="32"/>
      <c r="M1708" s="32"/>
      <c r="N1708" s="32"/>
      <c r="O1708" s="32"/>
      <c r="P1708" s="32"/>
      <c r="Q1708" s="34"/>
      <c r="R1708" s="35"/>
      <c r="S1708" s="35"/>
      <c r="T1708" s="36"/>
      <c r="U1708" s="36"/>
      <c r="V1708" s="36"/>
      <c r="W1708" s="36"/>
      <c r="X1708" s="36"/>
      <c r="Y1708" s="36"/>
    </row>
    <row r="1709">
      <c r="A1709" s="32"/>
      <c r="B1709" s="32"/>
      <c r="C1709" s="32"/>
      <c r="D1709" s="32"/>
      <c r="E1709" s="32"/>
      <c r="F1709" s="32"/>
      <c r="G1709" s="39"/>
      <c r="H1709" s="32"/>
      <c r="I1709" s="32"/>
      <c r="J1709" s="32"/>
      <c r="K1709" s="33"/>
      <c r="L1709" s="32"/>
      <c r="M1709" s="32"/>
      <c r="N1709" s="32"/>
      <c r="O1709" s="32"/>
      <c r="P1709" s="32"/>
      <c r="Q1709" s="34"/>
      <c r="R1709" s="35"/>
      <c r="S1709" s="35"/>
      <c r="T1709" s="36"/>
      <c r="U1709" s="36"/>
      <c r="V1709" s="36"/>
      <c r="W1709" s="36"/>
      <c r="X1709" s="36"/>
      <c r="Y1709" s="36"/>
    </row>
    <row r="1710">
      <c r="A1710" s="32"/>
      <c r="B1710" s="32"/>
      <c r="C1710" s="32"/>
      <c r="D1710" s="32"/>
      <c r="E1710" s="32"/>
      <c r="F1710" s="32"/>
      <c r="G1710" s="39"/>
      <c r="H1710" s="32"/>
      <c r="I1710" s="32"/>
      <c r="J1710" s="32"/>
      <c r="K1710" s="33"/>
      <c r="L1710" s="32"/>
      <c r="M1710" s="32"/>
      <c r="N1710" s="32"/>
      <c r="O1710" s="32"/>
      <c r="P1710" s="32"/>
      <c r="Q1710" s="34"/>
      <c r="R1710" s="35"/>
      <c r="S1710" s="35"/>
      <c r="T1710" s="36"/>
      <c r="U1710" s="36"/>
      <c r="V1710" s="36"/>
      <c r="W1710" s="36"/>
      <c r="X1710" s="36"/>
      <c r="Y1710" s="36"/>
    </row>
    <row r="1711">
      <c r="A1711" s="32"/>
      <c r="B1711" s="32"/>
      <c r="C1711" s="32"/>
      <c r="D1711" s="32"/>
      <c r="E1711" s="32"/>
      <c r="F1711" s="32"/>
      <c r="G1711" s="39"/>
      <c r="H1711" s="32"/>
      <c r="I1711" s="32"/>
      <c r="J1711" s="32"/>
      <c r="K1711" s="33"/>
      <c r="L1711" s="32"/>
      <c r="M1711" s="32"/>
      <c r="N1711" s="32"/>
      <c r="O1711" s="32"/>
      <c r="P1711" s="32"/>
      <c r="Q1711" s="34"/>
      <c r="R1711" s="35"/>
      <c r="S1711" s="35"/>
      <c r="T1711" s="36"/>
      <c r="U1711" s="36"/>
      <c r="V1711" s="36"/>
      <c r="W1711" s="36"/>
      <c r="X1711" s="36"/>
      <c r="Y1711" s="36"/>
    </row>
    <row r="1712">
      <c r="A1712" s="32"/>
      <c r="B1712" s="32"/>
      <c r="C1712" s="32"/>
      <c r="D1712" s="32"/>
      <c r="E1712" s="32"/>
      <c r="F1712" s="32"/>
      <c r="G1712" s="39"/>
      <c r="H1712" s="32"/>
      <c r="I1712" s="32"/>
      <c r="J1712" s="32"/>
      <c r="K1712" s="33"/>
      <c r="L1712" s="32"/>
      <c r="M1712" s="32"/>
      <c r="N1712" s="32"/>
      <c r="O1712" s="32"/>
      <c r="P1712" s="32"/>
      <c r="Q1712" s="34"/>
      <c r="R1712" s="35"/>
      <c r="S1712" s="35"/>
      <c r="T1712" s="36"/>
      <c r="U1712" s="36"/>
      <c r="V1712" s="36"/>
      <c r="W1712" s="36"/>
      <c r="X1712" s="36"/>
      <c r="Y1712" s="36"/>
    </row>
    <row r="1713">
      <c r="A1713" s="32"/>
      <c r="B1713" s="32"/>
      <c r="C1713" s="32"/>
      <c r="D1713" s="32"/>
      <c r="E1713" s="32"/>
      <c r="F1713" s="32"/>
      <c r="G1713" s="39"/>
      <c r="H1713" s="32"/>
      <c r="I1713" s="32"/>
      <c r="J1713" s="32"/>
      <c r="K1713" s="33"/>
      <c r="L1713" s="32"/>
      <c r="M1713" s="32"/>
      <c r="N1713" s="32"/>
      <c r="O1713" s="32"/>
      <c r="P1713" s="32"/>
      <c r="Q1713" s="34"/>
      <c r="R1713" s="35"/>
      <c r="S1713" s="35"/>
      <c r="T1713" s="36"/>
      <c r="U1713" s="36"/>
      <c r="V1713" s="36"/>
      <c r="W1713" s="36"/>
      <c r="X1713" s="36"/>
      <c r="Y1713" s="36"/>
    </row>
    <row r="1714">
      <c r="A1714" s="32"/>
      <c r="B1714" s="32"/>
      <c r="C1714" s="32"/>
      <c r="D1714" s="32"/>
      <c r="E1714" s="32"/>
      <c r="F1714" s="32"/>
      <c r="G1714" s="39"/>
      <c r="H1714" s="32"/>
      <c r="I1714" s="32"/>
      <c r="J1714" s="32"/>
      <c r="K1714" s="33"/>
      <c r="L1714" s="32"/>
      <c r="M1714" s="32"/>
      <c r="N1714" s="32"/>
      <c r="O1714" s="32"/>
      <c r="P1714" s="32"/>
      <c r="Q1714" s="34"/>
      <c r="R1714" s="35"/>
      <c r="S1714" s="35"/>
      <c r="T1714" s="36"/>
      <c r="U1714" s="36"/>
      <c r="V1714" s="36"/>
      <c r="W1714" s="36"/>
      <c r="X1714" s="36"/>
      <c r="Y1714" s="36"/>
    </row>
    <row r="1715">
      <c r="A1715" s="32"/>
      <c r="B1715" s="32"/>
      <c r="C1715" s="32"/>
      <c r="D1715" s="32"/>
      <c r="E1715" s="32"/>
      <c r="F1715" s="32"/>
      <c r="G1715" s="39"/>
      <c r="H1715" s="32"/>
      <c r="I1715" s="32"/>
      <c r="J1715" s="32"/>
      <c r="K1715" s="33"/>
      <c r="L1715" s="32"/>
      <c r="M1715" s="32"/>
      <c r="N1715" s="32"/>
      <c r="O1715" s="32"/>
      <c r="P1715" s="32"/>
      <c r="Q1715" s="34"/>
      <c r="R1715" s="35"/>
      <c r="S1715" s="35"/>
      <c r="T1715" s="36"/>
      <c r="U1715" s="36"/>
      <c r="V1715" s="36"/>
      <c r="W1715" s="36"/>
      <c r="X1715" s="36"/>
      <c r="Y1715" s="36"/>
    </row>
    <row r="1716">
      <c r="A1716" s="32"/>
      <c r="B1716" s="32"/>
      <c r="C1716" s="32"/>
      <c r="D1716" s="32"/>
      <c r="E1716" s="32"/>
      <c r="F1716" s="32"/>
      <c r="G1716" s="39"/>
      <c r="H1716" s="32"/>
      <c r="I1716" s="32"/>
      <c r="J1716" s="32"/>
      <c r="K1716" s="33"/>
      <c r="L1716" s="32"/>
      <c r="M1716" s="32"/>
      <c r="N1716" s="32"/>
      <c r="O1716" s="32"/>
      <c r="P1716" s="32"/>
      <c r="Q1716" s="34"/>
      <c r="R1716" s="35"/>
      <c r="S1716" s="35"/>
      <c r="T1716" s="36"/>
      <c r="U1716" s="36"/>
      <c r="V1716" s="36"/>
      <c r="W1716" s="36"/>
      <c r="X1716" s="36"/>
      <c r="Y1716" s="36"/>
    </row>
    <row r="1717">
      <c r="A1717" s="32"/>
      <c r="B1717" s="32"/>
      <c r="C1717" s="32"/>
      <c r="D1717" s="32"/>
      <c r="E1717" s="32"/>
      <c r="F1717" s="32"/>
      <c r="G1717" s="39"/>
      <c r="H1717" s="32"/>
      <c r="I1717" s="32"/>
      <c r="J1717" s="32"/>
      <c r="K1717" s="33"/>
      <c r="L1717" s="32"/>
      <c r="M1717" s="32"/>
      <c r="N1717" s="32"/>
      <c r="O1717" s="32"/>
      <c r="P1717" s="32"/>
      <c r="Q1717" s="34"/>
      <c r="R1717" s="35"/>
      <c r="S1717" s="35"/>
      <c r="T1717" s="36"/>
      <c r="U1717" s="36"/>
      <c r="V1717" s="36"/>
      <c r="W1717" s="36"/>
      <c r="X1717" s="36"/>
      <c r="Y1717" s="36"/>
    </row>
    <row r="1718">
      <c r="A1718" s="32"/>
      <c r="B1718" s="32"/>
      <c r="C1718" s="32"/>
      <c r="D1718" s="32"/>
      <c r="E1718" s="32"/>
      <c r="F1718" s="32"/>
      <c r="G1718" s="39"/>
      <c r="H1718" s="32"/>
      <c r="I1718" s="32"/>
      <c r="J1718" s="32"/>
      <c r="K1718" s="33"/>
      <c r="L1718" s="32"/>
      <c r="M1718" s="32"/>
      <c r="N1718" s="32"/>
      <c r="O1718" s="32"/>
      <c r="P1718" s="32"/>
      <c r="Q1718" s="34"/>
      <c r="R1718" s="35"/>
      <c r="S1718" s="35"/>
      <c r="T1718" s="36"/>
      <c r="U1718" s="36"/>
      <c r="V1718" s="36"/>
      <c r="W1718" s="36"/>
      <c r="X1718" s="36"/>
      <c r="Y1718" s="36"/>
    </row>
    <row r="1719">
      <c r="A1719" s="32"/>
      <c r="B1719" s="32"/>
      <c r="C1719" s="32"/>
      <c r="D1719" s="32"/>
      <c r="E1719" s="32"/>
      <c r="F1719" s="32"/>
      <c r="G1719" s="39"/>
      <c r="H1719" s="32"/>
      <c r="I1719" s="32"/>
      <c r="J1719" s="32"/>
      <c r="K1719" s="33"/>
      <c r="L1719" s="32"/>
      <c r="M1719" s="32"/>
      <c r="N1719" s="32"/>
      <c r="O1719" s="32"/>
      <c r="P1719" s="32"/>
      <c r="Q1719" s="34"/>
      <c r="R1719" s="35"/>
      <c r="S1719" s="35"/>
      <c r="T1719" s="36"/>
      <c r="U1719" s="36"/>
      <c r="V1719" s="36"/>
      <c r="W1719" s="36"/>
      <c r="X1719" s="36"/>
      <c r="Y1719" s="36"/>
    </row>
    <row r="1720">
      <c r="A1720" s="32"/>
      <c r="B1720" s="32"/>
      <c r="C1720" s="32"/>
      <c r="D1720" s="32"/>
      <c r="E1720" s="32"/>
      <c r="F1720" s="32"/>
      <c r="G1720" s="39"/>
      <c r="H1720" s="32"/>
      <c r="I1720" s="32"/>
      <c r="J1720" s="32"/>
      <c r="K1720" s="33"/>
      <c r="L1720" s="32"/>
      <c r="M1720" s="32"/>
      <c r="N1720" s="32"/>
      <c r="O1720" s="32"/>
      <c r="P1720" s="32"/>
      <c r="Q1720" s="34"/>
      <c r="R1720" s="35"/>
      <c r="S1720" s="35"/>
      <c r="T1720" s="36"/>
      <c r="U1720" s="36"/>
      <c r="V1720" s="36"/>
      <c r="W1720" s="36"/>
      <c r="X1720" s="36"/>
      <c r="Y1720" s="36"/>
    </row>
    <row r="1721">
      <c r="A1721" s="32"/>
      <c r="B1721" s="32"/>
      <c r="C1721" s="32"/>
      <c r="D1721" s="32"/>
      <c r="E1721" s="32"/>
      <c r="F1721" s="32"/>
      <c r="G1721" s="39"/>
      <c r="H1721" s="32"/>
      <c r="I1721" s="32"/>
      <c r="J1721" s="32"/>
      <c r="K1721" s="33"/>
      <c r="L1721" s="32"/>
      <c r="M1721" s="32"/>
      <c r="N1721" s="32"/>
      <c r="O1721" s="32"/>
      <c r="P1721" s="32"/>
      <c r="Q1721" s="34"/>
      <c r="R1721" s="35"/>
      <c r="S1721" s="35"/>
      <c r="T1721" s="36"/>
      <c r="U1721" s="36"/>
      <c r="V1721" s="36"/>
      <c r="W1721" s="36"/>
      <c r="X1721" s="36"/>
      <c r="Y1721" s="36"/>
    </row>
    <row r="1722">
      <c r="A1722" s="32"/>
      <c r="B1722" s="32"/>
      <c r="C1722" s="32"/>
      <c r="D1722" s="32"/>
      <c r="E1722" s="32"/>
      <c r="F1722" s="32"/>
      <c r="G1722" s="39"/>
      <c r="H1722" s="32"/>
      <c r="I1722" s="32"/>
      <c r="J1722" s="32"/>
      <c r="K1722" s="33"/>
      <c r="L1722" s="32"/>
      <c r="M1722" s="32"/>
      <c r="N1722" s="32"/>
      <c r="O1722" s="32"/>
      <c r="P1722" s="32"/>
      <c r="Q1722" s="34"/>
      <c r="R1722" s="35"/>
      <c r="S1722" s="35"/>
      <c r="T1722" s="36"/>
      <c r="U1722" s="36"/>
      <c r="V1722" s="36"/>
      <c r="W1722" s="36"/>
      <c r="X1722" s="36"/>
      <c r="Y1722" s="36"/>
    </row>
    <row r="1723">
      <c r="A1723" s="32"/>
      <c r="B1723" s="32"/>
      <c r="C1723" s="32"/>
      <c r="D1723" s="32"/>
      <c r="E1723" s="32"/>
      <c r="F1723" s="32"/>
      <c r="G1723" s="39"/>
      <c r="H1723" s="32"/>
      <c r="I1723" s="32"/>
      <c r="J1723" s="32"/>
      <c r="K1723" s="33"/>
      <c r="L1723" s="32"/>
      <c r="M1723" s="32"/>
      <c r="N1723" s="32"/>
      <c r="O1723" s="32"/>
      <c r="P1723" s="32"/>
      <c r="Q1723" s="34"/>
      <c r="R1723" s="35"/>
      <c r="S1723" s="35"/>
      <c r="T1723" s="36"/>
      <c r="U1723" s="36"/>
      <c r="V1723" s="36"/>
      <c r="W1723" s="36"/>
      <c r="X1723" s="36"/>
      <c r="Y1723" s="36"/>
    </row>
    <row r="1724">
      <c r="A1724" s="32"/>
      <c r="B1724" s="32"/>
      <c r="C1724" s="32"/>
      <c r="D1724" s="32"/>
      <c r="E1724" s="32"/>
      <c r="F1724" s="32"/>
      <c r="G1724" s="39"/>
      <c r="H1724" s="32"/>
      <c r="I1724" s="32"/>
      <c r="J1724" s="32"/>
      <c r="K1724" s="33"/>
      <c r="L1724" s="32"/>
      <c r="M1724" s="32"/>
      <c r="N1724" s="32"/>
      <c r="O1724" s="32"/>
      <c r="P1724" s="32"/>
      <c r="Q1724" s="34"/>
      <c r="R1724" s="35"/>
      <c r="S1724" s="35"/>
      <c r="T1724" s="36"/>
      <c r="U1724" s="36"/>
      <c r="V1724" s="36"/>
      <c r="W1724" s="36"/>
      <c r="X1724" s="36"/>
      <c r="Y1724" s="36"/>
    </row>
    <row r="1725">
      <c r="A1725" s="32"/>
      <c r="B1725" s="32"/>
      <c r="C1725" s="32"/>
      <c r="D1725" s="32"/>
      <c r="E1725" s="32"/>
      <c r="F1725" s="32"/>
      <c r="G1725" s="39"/>
      <c r="H1725" s="32"/>
      <c r="I1725" s="32"/>
      <c r="J1725" s="32"/>
      <c r="K1725" s="33"/>
      <c r="L1725" s="32"/>
      <c r="M1725" s="32"/>
      <c r="N1725" s="32"/>
      <c r="O1725" s="32"/>
      <c r="P1725" s="32"/>
      <c r="Q1725" s="34"/>
      <c r="R1725" s="35"/>
      <c r="S1725" s="35"/>
      <c r="T1725" s="36"/>
      <c r="U1725" s="36"/>
      <c r="V1725" s="36"/>
      <c r="W1725" s="36"/>
      <c r="X1725" s="36"/>
      <c r="Y1725" s="36"/>
    </row>
    <row r="1726">
      <c r="A1726" s="32"/>
      <c r="B1726" s="32"/>
      <c r="C1726" s="32"/>
      <c r="D1726" s="32"/>
      <c r="E1726" s="32"/>
      <c r="F1726" s="32"/>
      <c r="G1726" s="39"/>
      <c r="H1726" s="32"/>
      <c r="I1726" s="32"/>
      <c r="J1726" s="32"/>
      <c r="K1726" s="33"/>
      <c r="L1726" s="32"/>
      <c r="M1726" s="32"/>
      <c r="N1726" s="32"/>
      <c r="O1726" s="32"/>
      <c r="P1726" s="32"/>
      <c r="Q1726" s="34"/>
      <c r="R1726" s="35"/>
      <c r="S1726" s="35"/>
      <c r="T1726" s="36"/>
      <c r="U1726" s="36"/>
      <c r="V1726" s="36"/>
      <c r="W1726" s="36"/>
      <c r="X1726" s="36"/>
      <c r="Y1726" s="36"/>
    </row>
    <row r="1727">
      <c r="A1727" s="32"/>
      <c r="B1727" s="32"/>
      <c r="C1727" s="32"/>
      <c r="D1727" s="32"/>
      <c r="E1727" s="32"/>
      <c r="F1727" s="32"/>
      <c r="G1727" s="39"/>
      <c r="H1727" s="32"/>
      <c r="I1727" s="32"/>
      <c r="J1727" s="32"/>
      <c r="K1727" s="33"/>
      <c r="L1727" s="32"/>
      <c r="M1727" s="32"/>
      <c r="N1727" s="32"/>
      <c r="O1727" s="32"/>
      <c r="P1727" s="32"/>
      <c r="Q1727" s="34"/>
      <c r="R1727" s="35"/>
      <c r="S1727" s="35"/>
      <c r="T1727" s="36"/>
      <c r="U1727" s="36"/>
      <c r="V1727" s="36"/>
      <c r="W1727" s="36"/>
      <c r="X1727" s="36"/>
      <c r="Y1727" s="36"/>
    </row>
    <row r="1728">
      <c r="A1728" s="32"/>
      <c r="B1728" s="32"/>
      <c r="C1728" s="32"/>
      <c r="D1728" s="32"/>
      <c r="E1728" s="32"/>
      <c r="F1728" s="32"/>
      <c r="G1728" s="39"/>
      <c r="H1728" s="32"/>
      <c r="I1728" s="32"/>
      <c r="J1728" s="32"/>
      <c r="K1728" s="33"/>
      <c r="L1728" s="32"/>
      <c r="M1728" s="32"/>
      <c r="N1728" s="32"/>
      <c r="O1728" s="32"/>
      <c r="P1728" s="32"/>
      <c r="Q1728" s="34"/>
      <c r="R1728" s="35"/>
      <c r="S1728" s="35"/>
      <c r="T1728" s="36"/>
      <c r="U1728" s="36"/>
      <c r="V1728" s="36"/>
      <c r="W1728" s="36"/>
      <c r="X1728" s="36"/>
      <c r="Y1728" s="36"/>
    </row>
    <row r="1729">
      <c r="A1729" s="32"/>
      <c r="B1729" s="32"/>
      <c r="C1729" s="32"/>
      <c r="D1729" s="32"/>
      <c r="E1729" s="32"/>
      <c r="F1729" s="32"/>
      <c r="G1729" s="39"/>
      <c r="H1729" s="32"/>
      <c r="I1729" s="32"/>
      <c r="J1729" s="32"/>
      <c r="K1729" s="33"/>
      <c r="L1729" s="32"/>
      <c r="M1729" s="32"/>
      <c r="N1729" s="32"/>
      <c r="O1729" s="32"/>
      <c r="P1729" s="32"/>
      <c r="Q1729" s="34"/>
      <c r="R1729" s="35"/>
      <c r="S1729" s="35"/>
      <c r="T1729" s="36"/>
      <c r="U1729" s="36"/>
      <c r="V1729" s="36"/>
      <c r="W1729" s="36"/>
      <c r="X1729" s="36"/>
      <c r="Y1729" s="36"/>
    </row>
    <row r="1730">
      <c r="A1730" s="32"/>
      <c r="B1730" s="32"/>
      <c r="C1730" s="32"/>
      <c r="D1730" s="32"/>
      <c r="E1730" s="32"/>
      <c r="F1730" s="32"/>
      <c r="G1730" s="39"/>
      <c r="H1730" s="32"/>
      <c r="I1730" s="32"/>
      <c r="J1730" s="32"/>
      <c r="K1730" s="33"/>
      <c r="L1730" s="32"/>
      <c r="M1730" s="32"/>
      <c r="N1730" s="32"/>
      <c r="O1730" s="32"/>
      <c r="P1730" s="32"/>
      <c r="Q1730" s="34"/>
      <c r="R1730" s="35"/>
      <c r="S1730" s="35"/>
      <c r="T1730" s="36"/>
      <c r="U1730" s="36"/>
      <c r="V1730" s="36"/>
      <c r="W1730" s="36"/>
      <c r="X1730" s="36"/>
      <c r="Y1730" s="36"/>
    </row>
    <row r="1731">
      <c r="A1731" s="32"/>
      <c r="B1731" s="32"/>
      <c r="C1731" s="32"/>
      <c r="D1731" s="32"/>
      <c r="E1731" s="32"/>
      <c r="F1731" s="32"/>
      <c r="G1731" s="39"/>
      <c r="H1731" s="32"/>
      <c r="I1731" s="32"/>
      <c r="J1731" s="32"/>
      <c r="K1731" s="33"/>
      <c r="L1731" s="32"/>
      <c r="M1731" s="32"/>
      <c r="N1731" s="32"/>
      <c r="O1731" s="32"/>
      <c r="P1731" s="32"/>
      <c r="Q1731" s="34"/>
      <c r="R1731" s="35"/>
      <c r="S1731" s="35"/>
      <c r="T1731" s="36"/>
      <c r="U1731" s="36"/>
      <c r="V1731" s="36"/>
      <c r="W1731" s="36"/>
      <c r="X1731" s="36"/>
      <c r="Y1731" s="36"/>
    </row>
    <row r="1732">
      <c r="A1732" s="32"/>
      <c r="B1732" s="32"/>
      <c r="C1732" s="32"/>
      <c r="D1732" s="32"/>
      <c r="E1732" s="32"/>
      <c r="F1732" s="32"/>
      <c r="G1732" s="39"/>
      <c r="H1732" s="32"/>
      <c r="I1732" s="32"/>
      <c r="J1732" s="32"/>
      <c r="K1732" s="33"/>
      <c r="L1732" s="32"/>
      <c r="M1732" s="32"/>
      <c r="N1732" s="32"/>
      <c r="O1732" s="32"/>
      <c r="P1732" s="32"/>
      <c r="Q1732" s="34"/>
      <c r="R1732" s="35"/>
      <c r="S1732" s="35"/>
      <c r="T1732" s="36"/>
      <c r="U1732" s="36"/>
      <c r="V1732" s="36"/>
      <c r="W1732" s="36"/>
      <c r="X1732" s="36"/>
      <c r="Y1732" s="36"/>
    </row>
    <row r="1733">
      <c r="A1733" s="32"/>
      <c r="B1733" s="32"/>
      <c r="C1733" s="32"/>
      <c r="D1733" s="32"/>
      <c r="E1733" s="32"/>
      <c r="F1733" s="32"/>
      <c r="G1733" s="39"/>
      <c r="H1733" s="32"/>
      <c r="I1733" s="32"/>
      <c r="J1733" s="32"/>
      <c r="K1733" s="33"/>
      <c r="L1733" s="32"/>
      <c r="M1733" s="32"/>
      <c r="N1733" s="32"/>
      <c r="O1733" s="32"/>
      <c r="P1733" s="32"/>
      <c r="Q1733" s="34"/>
      <c r="R1733" s="35"/>
      <c r="S1733" s="35"/>
      <c r="T1733" s="36"/>
      <c r="U1733" s="36"/>
      <c r="V1733" s="36"/>
      <c r="W1733" s="36"/>
      <c r="X1733" s="36"/>
      <c r="Y1733" s="36"/>
    </row>
    <row r="1734">
      <c r="A1734" s="32"/>
      <c r="B1734" s="32"/>
      <c r="C1734" s="32"/>
      <c r="D1734" s="32"/>
      <c r="E1734" s="32"/>
      <c r="F1734" s="32"/>
      <c r="G1734" s="39"/>
      <c r="H1734" s="32"/>
      <c r="I1734" s="32"/>
      <c r="J1734" s="32"/>
      <c r="K1734" s="33"/>
      <c r="L1734" s="32"/>
      <c r="M1734" s="32"/>
      <c r="N1734" s="32"/>
      <c r="O1734" s="32"/>
      <c r="P1734" s="32"/>
      <c r="Q1734" s="34"/>
      <c r="R1734" s="35"/>
      <c r="S1734" s="35"/>
      <c r="T1734" s="36"/>
      <c r="U1734" s="36"/>
      <c r="V1734" s="36"/>
      <c r="W1734" s="36"/>
      <c r="X1734" s="36"/>
      <c r="Y1734" s="36"/>
    </row>
    <row r="1735">
      <c r="A1735" s="32"/>
      <c r="B1735" s="32"/>
      <c r="C1735" s="32"/>
      <c r="D1735" s="32"/>
      <c r="E1735" s="32"/>
      <c r="F1735" s="32"/>
      <c r="G1735" s="39"/>
      <c r="H1735" s="32"/>
      <c r="I1735" s="32"/>
      <c r="J1735" s="32"/>
      <c r="K1735" s="33"/>
      <c r="L1735" s="32"/>
      <c r="M1735" s="32"/>
      <c r="N1735" s="32"/>
      <c r="O1735" s="32"/>
      <c r="P1735" s="32"/>
      <c r="Q1735" s="34"/>
      <c r="R1735" s="35"/>
      <c r="S1735" s="35"/>
      <c r="T1735" s="36"/>
      <c r="U1735" s="36"/>
      <c r="V1735" s="36"/>
      <c r="W1735" s="36"/>
      <c r="X1735" s="36"/>
      <c r="Y1735" s="36"/>
    </row>
    <row r="1736">
      <c r="A1736" s="32"/>
      <c r="B1736" s="32"/>
      <c r="C1736" s="32"/>
      <c r="D1736" s="32"/>
      <c r="E1736" s="32"/>
      <c r="F1736" s="32"/>
      <c r="G1736" s="39"/>
      <c r="H1736" s="32"/>
      <c r="I1736" s="32"/>
      <c r="J1736" s="32"/>
      <c r="K1736" s="33"/>
      <c r="L1736" s="32"/>
      <c r="M1736" s="32"/>
      <c r="N1736" s="32"/>
      <c r="O1736" s="32"/>
      <c r="P1736" s="32"/>
      <c r="Q1736" s="34"/>
      <c r="R1736" s="35"/>
      <c r="S1736" s="35"/>
      <c r="T1736" s="36"/>
      <c r="U1736" s="36"/>
      <c r="V1736" s="36"/>
      <c r="W1736" s="36"/>
      <c r="X1736" s="36"/>
      <c r="Y1736" s="36"/>
    </row>
    <row r="1737">
      <c r="A1737" s="32"/>
      <c r="B1737" s="32"/>
      <c r="C1737" s="32"/>
      <c r="D1737" s="32"/>
      <c r="E1737" s="32"/>
      <c r="F1737" s="32"/>
      <c r="G1737" s="39"/>
      <c r="H1737" s="32"/>
      <c r="I1737" s="32"/>
      <c r="J1737" s="32"/>
      <c r="K1737" s="33"/>
      <c r="L1737" s="32"/>
      <c r="M1737" s="32"/>
      <c r="N1737" s="32"/>
      <c r="O1737" s="32"/>
      <c r="P1737" s="32"/>
      <c r="Q1737" s="34"/>
      <c r="R1737" s="35"/>
      <c r="S1737" s="35"/>
      <c r="T1737" s="36"/>
      <c r="U1737" s="36"/>
      <c r="V1737" s="36"/>
      <c r="W1737" s="36"/>
      <c r="X1737" s="36"/>
      <c r="Y1737" s="36"/>
    </row>
    <row r="1738">
      <c r="A1738" s="32"/>
      <c r="B1738" s="32"/>
      <c r="C1738" s="32"/>
      <c r="D1738" s="32"/>
      <c r="E1738" s="32"/>
      <c r="F1738" s="32"/>
      <c r="G1738" s="39"/>
      <c r="H1738" s="32"/>
      <c r="I1738" s="32"/>
      <c r="J1738" s="32"/>
      <c r="K1738" s="33"/>
      <c r="L1738" s="32"/>
      <c r="M1738" s="32"/>
      <c r="N1738" s="32"/>
      <c r="O1738" s="32"/>
      <c r="P1738" s="32"/>
      <c r="Q1738" s="34"/>
      <c r="R1738" s="35"/>
      <c r="S1738" s="35"/>
      <c r="T1738" s="36"/>
      <c r="U1738" s="36"/>
      <c r="V1738" s="36"/>
      <c r="W1738" s="36"/>
      <c r="X1738" s="36"/>
      <c r="Y1738" s="36"/>
    </row>
    <row r="1739">
      <c r="A1739" s="32"/>
      <c r="B1739" s="32"/>
      <c r="C1739" s="32"/>
      <c r="D1739" s="32"/>
      <c r="E1739" s="32"/>
      <c r="F1739" s="32"/>
      <c r="G1739" s="39"/>
      <c r="H1739" s="32"/>
      <c r="I1739" s="32"/>
      <c r="J1739" s="32"/>
      <c r="K1739" s="33"/>
      <c r="L1739" s="32"/>
      <c r="M1739" s="32"/>
      <c r="N1739" s="32"/>
      <c r="O1739" s="32"/>
      <c r="P1739" s="32"/>
      <c r="Q1739" s="34"/>
      <c r="R1739" s="35"/>
      <c r="S1739" s="35"/>
      <c r="T1739" s="36"/>
      <c r="U1739" s="36"/>
      <c r="V1739" s="36"/>
      <c r="W1739" s="36"/>
      <c r="X1739" s="36"/>
      <c r="Y1739" s="36"/>
    </row>
    <row r="1740">
      <c r="A1740" s="32"/>
      <c r="B1740" s="32"/>
      <c r="C1740" s="32"/>
      <c r="D1740" s="32"/>
      <c r="E1740" s="32"/>
      <c r="F1740" s="32"/>
      <c r="G1740" s="39"/>
      <c r="H1740" s="32"/>
      <c r="I1740" s="32"/>
      <c r="J1740" s="32"/>
      <c r="K1740" s="33"/>
      <c r="L1740" s="32"/>
      <c r="M1740" s="32"/>
      <c r="N1740" s="32"/>
      <c r="O1740" s="32"/>
      <c r="P1740" s="32"/>
      <c r="Q1740" s="34"/>
      <c r="R1740" s="35"/>
      <c r="S1740" s="35"/>
      <c r="T1740" s="36"/>
      <c r="U1740" s="36"/>
      <c r="V1740" s="36"/>
      <c r="W1740" s="36"/>
      <c r="X1740" s="36"/>
      <c r="Y1740" s="36"/>
    </row>
    <row r="1741">
      <c r="A1741" s="32"/>
      <c r="B1741" s="32"/>
      <c r="C1741" s="32"/>
      <c r="D1741" s="32"/>
      <c r="E1741" s="32"/>
      <c r="F1741" s="32"/>
      <c r="G1741" s="39"/>
      <c r="H1741" s="32"/>
      <c r="I1741" s="32"/>
      <c r="J1741" s="32"/>
      <c r="K1741" s="33"/>
      <c r="L1741" s="32"/>
      <c r="M1741" s="32"/>
      <c r="N1741" s="32"/>
      <c r="O1741" s="32"/>
      <c r="P1741" s="32"/>
      <c r="Q1741" s="34"/>
      <c r="R1741" s="35"/>
      <c r="S1741" s="35"/>
      <c r="T1741" s="36"/>
      <c r="U1741" s="36"/>
      <c r="V1741" s="36"/>
      <c r="W1741" s="36"/>
      <c r="X1741" s="36"/>
      <c r="Y1741" s="36"/>
    </row>
    <row r="1742">
      <c r="A1742" s="32"/>
      <c r="B1742" s="32"/>
      <c r="C1742" s="32"/>
      <c r="D1742" s="32"/>
      <c r="E1742" s="32"/>
      <c r="F1742" s="32"/>
      <c r="G1742" s="39"/>
      <c r="H1742" s="32"/>
      <c r="I1742" s="32"/>
      <c r="J1742" s="32"/>
      <c r="K1742" s="33"/>
      <c r="L1742" s="32"/>
      <c r="M1742" s="32"/>
      <c r="N1742" s="32"/>
      <c r="O1742" s="32"/>
      <c r="P1742" s="32"/>
      <c r="Q1742" s="34"/>
      <c r="R1742" s="35"/>
      <c r="S1742" s="35"/>
      <c r="T1742" s="36"/>
      <c r="U1742" s="36"/>
      <c r="V1742" s="36"/>
      <c r="W1742" s="36"/>
      <c r="X1742" s="36"/>
      <c r="Y1742" s="36"/>
    </row>
    <row r="1743">
      <c r="A1743" s="32"/>
      <c r="B1743" s="32"/>
      <c r="C1743" s="32"/>
      <c r="D1743" s="32"/>
      <c r="E1743" s="32"/>
      <c r="F1743" s="32"/>
      <c r="G1743" s="39"/>
      <c r="H1743" s="32"/>
      <c r="I1743" s="32"/>
      <c r="J1743" s="32"/>
      <c r="K1743" s="33"/>
      <c r="L1743" s="32"/>
      <c r="M1743" s="32"/>
      <c r="N1743" s="32"/>
      <c r="O1743" s="32"/>
      <c r="P1743" s="32"/>
      <c r="Q1743" s="34"/>
      <c r="R1743" s="35"/>
      <c r="S1743" s="35"/>
      <c r="T1743" s="36"/>
      <c r="U1743" s="36"/>
      <c r="V1743" s="36"/>
      <c r="W1743" s="36"/>
      <c r="X1743" s="36"/>
      <c r="Y1743" s="36"/>
    </row>
    <row r="1744">
      <c r="A1744" s="32"/>
      <c r="B1744" s="32"/>
      <c r="C1744" s="32"/>
      <c r="D1744" s="32"/>
      <c r="E1744" s="32"/>
      <c r="F1744" s="32"/>
      <c r="G1744" s="39"/>
      <c r="H1744" s="32"/>
      <c r="I1744" s="32"/>
      <c r="J1744" s="32"/>
      <c r="K1744" s="33"/>
      <c r="L1744" s="32"/>
      <c r="M1744" s="32"/>
      <c r="N1744" s="32"/>
      <c r="O1744" s="32"/>
      <c r="P1744" s="32"/>
      <c r="Q1744" s="34"/>
      <c r="R1744" s="35"/>
      <c r="S1744" s="35"/>
      <c r="T1744" s="36"/>
      <c r="U1744" s="36"/>
      <c r="V1744" s="36"/>
      <c r="W1744" s="36"/>
      <c r="X1744" s="36"/>
      <c r="Y1744" s="36"/>
    </row>
    <row r="1745">
      <c r="A1745" s="32"/>
      <c r="B1745" s="32"/>
      <c r="C1745" s="32"/>
      <c r="D1745" s="32"/>
      <c r="E1745" s="32"/>
      <c r="F1745" s="32"/>
      <c r="G1745" s="39"/>
      <c r="H1745" s="32"/>
      <c r="I1745" s="32"/>
      <c r="J1745" s="32"/>
      <c r="K1745" s="33"/>
      <c r="L1745" s="32"/>
      <c r="M1745" s="32"/>
      <c r="N1745" s="32"/>
      <c r="O1745" s="32"/>
      <c r="P1745" s="32"/>
      <c r="Q1745" s="34"/>
      <c r="R1745" s="35"/>
      <c r="S1745" s="35"/>
      <c r="T1745" s="36"/>
      <c r="U1745" s="36"/>
      <c r="V1745" s="36"/>
      <c r="W1745" s="36"/>
      <c r="X1745" s="36"/>
      <c r="Y1745" s="36"/>
    </row>
    <row r="1746">
      <c r="A1746" s="32"/>
      <c r="B1746" s="32"/>
      <c r="C1746" s="32"/>
      <c r="D1746" s="32"/>
      <c r="E1746" s="32"/>
      <c r="F1746" s="32"/>
      <c r="G1746" s="39"/>
      <c r="H1746" s="32"/>
      <c r="I1746" s="32"/>
      <c r="J1746" s="32"/>
      <c r="K1746" s="33"/>
      <c r="L1746" s="32"/>
      <c r="M1746" s="32"/>
      <c r="N1746" s="32"/>
      <c r="O1746" s="32"/>
      <c r="P1746" s="32"/>
      <c r="Q1746" s="34"/>
      <c r="R1746" s="35"/>
      <c r="S1746" s="35"/>
      <c r="T1746" s="36"/>
      <c r="U1746" s="36"/>
      <c r="V1746" s="36"/>
      <c r="W1746" s="36"/>
      <c r="X1746" s="36"/>
      <c r="Y1746" s="36"/>
    </row>
    <row r="1747">
      <c r="A1747" s="32"/>
      <c r="B1747" s="32"/>
      <c r="C1747" s="32"/>
      <c r="D1747" s="32"/>
      <c r="E1747" s="32"/>
      <c r="F1747" s="32"/>
      <c r="G1747" s="39"/>
      <c r="H1747" s="32"/>
      <c r="I1747" s="32"/>
      <c r="J1747" s="32"/>
      <c r="K1747" s="33"/>
      <c r="L1747" s="32"/>
      <c r="M1747" s="32"/>
      <c r="N1747" s="32"/>
      <c r="O1747" s="32"/>
      <c r="P1747" s="32"/>
      <c r="Q1747" s="34"/>
      <c r="R1747" s="35"/>
      <c r="S1747" s="35"/>
      <c r="T1747" s="36"/>
      <c r="U1747" s="36"/>
      <c r="V1747" s="36"/>
      <c r="W1747" s="36"/>
      <c r="X1747" s="36"/>
      <c r="Y1747" s="36"/>
    </row>
    <row r="1748">
      <c r="A1748" s="32"/>
      <c r="B1748" s="32"/>
      <c r="C1748" s="32"/>
      <c r="D1748" s="32"/>
      <c r="E1748" s="32"/>
      <c r="F1748" s="32"/>
      <c r="G1748" s="39"/>
      <c r="H1748" s="32"/>
      <c r="I1748" s="32"/>
      <c r="J1748" s="32"/>
      <c r="K1748" s="33"/>
      <c r="L1748" s="32"/>
      <c r="M1748" s="32"/>
      <c r="N1748" s="32"/>
      <c r="O1748" s="32"/>
      <c r="P1748" s="32"/>
      <c r="Q1748" s="34"/>
      <c r="R1748" s="35"/>
      <c r="S1748" s="35"/>
      <c r="T1748" s="36"/>
      <c r="U1748" s="36"/>
      <c r="V1748" s="36"/>
      <c r="W1748" s="36"/>
      <c r="X1748" s="36"/>
      <c r="Y1748" s="36"/>
    </row>
    <row r="1749">
      <c r="A1749" s="32"/>
      <c r="B1749" s="32"/>
      <c r="C1749" s="32"/>
      <c r="D1749" s="32"/>
      <c r="E1749" s="32"/>
      <c r="F1749" s="32"/>
      <c r="G1749" s="39"/>
      <c r="H1749" s="32"/>
      <c r="I1749" s="32"/>
      <c r="J1749" s="32"/>
      <c r="K1749" s="33"/>
      <c r="L1749" s="32"/>
      <c r="M1749" s="32"/>
      <c r="N1749" s="32"/>
      <c r="O1749" s="32"/>
      <c r="P1749" s="32"/>
      <c r="Q1749" s="34"/>
      <c r="R1749" s="35"/>
      <c r="S1749" s="35"/>
      <c r="T1749" s="36"/>
      <c r="U1749" s="36"/>
      <c r="V1749" s="36"/>
      <c r="W1749" s="36"/>
      <c r="X1749" s="36"/>
      <c r="Y1749" s="36"/>
    </row>
    <row r="1750">
      <c r="A1750" s="32"/>
      <c r="B1750" s="32"/>
      <c r="C1750" s="32"/>
      <c r="D1750" s="32"/>
      <c r="E1750" s="32"/>
      <c r="F1750" s="32"/>
      <c r="G1750" s="39"/>
      <c r="H1750" s="32"/>
      <c r="I1750" s="32"/>
      <c r="J1750" s="32"/>
      <c r="K1750" s="33"/>
      <c r="L1750" s="32"/>
      <c r="M1750" s="32"/>
      <c r="N1750" s="32"/>
      <c r="O1750" s="32"/>
      <c r="P1750" s="32"/>
      <c r="Q1750" s="34"/>
      <c r="R1750" s="35"/>
      <c r="S1750" s="35"/>
      <c r="T1750" s="36"/>
      <c r="U1750" s="36"/>
      <c r="V1750" s="36"/>
      <c r="W1750" s="36"/>
      <c r="X1750" s="36"/>
      <c r="Y1750" s="36"/>
    </row>
    <row r="1751">
      <c r="A1751" s="32"/>
      <c r="B1751" s="32"/>
      <c r="C1751" s="32"/>
      <c r="D1751" s="32"/>
      <c r="E1751" s="32"/>
      <c r="F1751" s="32"/>
      <c r="G1751" s="39"/>
      <c r="H1751" s="32"/>
      <c r="I1751" s="32"/>
      <c r="J1751" s="32"/>
      <c r="K1751" s="33"/>
      <c r="L1751" s="32"/>
      <c r="M1751" s="32"/>
      <c r="N1751" s="32"/>
      <c r="O1751" s="32"/>
      <c r="P1751" s="32"/>
      <c r="Q1751" s="34"/>
      <c r="R1751" s="35"/>
      <c r="S1751" s="35"/>
      <c r="T1751" s="36"/>
      <c r="U1751" s="36"/>
      <c r="V1751" s="36"/>
      <c r="W1751" s="36"/>
      <c r="X1751" s="36"/>
      <c r="Y1751" s="36"/>
    </row>
    <row r="1752">
      <c r="A1752" s="32"/>
      <c r="B1752" s="32"/>
      <c r="C1752" s="32"/>
      <c r="D1752" s="32"/>
      <c r="E1752" s="32"/>
      <c r="F1752" s="32"/>
      <c r="G1752" s="39"/>
      <c r="H1752" s="32"/>
      <c r="I1752" s="32"/>
      <c r="J1752" s="32"/>
      <c r="K1752" s="33"/>
      <c r="L1752" s="32"/>
      <c r="M1752" s="32"/>
      <c r="N1752" s="32"/>
      <c r="O1752" s="32"/>
      <c r="P1752" s="32"/>
      <c r="Q1752" s="34"/>
      <c r="R1752" s="35"/>
      <c r="S1752" s="35"/>
      <c r="T1752" s="36"/>
      <c r="U1752" s="36"/>
      <c r="V1752" s="36"/>
      <c r="W1752" s="36"/>
      <c r="X1752" s="36"/>
      <c r="Y1752" s="36"/>
    </row>
    <row r="1753">
      <c r="A1753" s="32"/>
      <c r="B1753" s="32"/>
      <c r="C1753" s="32"/>
      <c r="D1753" s="32"/>
      <c r="E1753" s="32"/>
      <c r="F1753" s="32"/>
      <c r="G1753" s="39"/>
      <c r="H1753" s="32"/>
      <c r="I1753" s="32"/>
      <c r="J1753" s="32"/>
      <c r="K1753" s="33"/>
      <c r="L1753" s="32"/>
      <c r="M1753" s="32"/>
      <c r="N1753" s="32"/>
      <c r="O1753" s="32"/>
      <c r="P1753" s="32"/>
      <c r="Q1753" s="34"/>
      <c r="R1753" s="35"/>
      <c r="S1753" s="35"/>
      <c r="T1753" s="36"/>
      <c r="U1753" s="36"/>
      <c r="V1753" s="36"/>
      <c r="W1753" s="36"/>
      <c r="X1753" s="36"/>
      <c r="Y1753" s="36"/>
    </row>
    <row r="1754">
      <c r="A1754" s="32"/>
      <c r="B1754" s="32"/>
      <c r="C1754" s="32"/>
      <c r="D1754" s="32"/>
      <c r="E1754" s="32"/>
      <c r="F1754" s="32"/>
      <c r="G1754" s="39"/>
      <c r="H1754" s="32"/>
      <c r="I1754" s="32"/>
      <c r="J1754" s="32"/>
      <c r="K1754" s="33"/>
      <c r="L1754" s="32"/>
      <c r="M1754" s="32"/>
      <c r="N1754" s="32"/>
      <c r="O1754" s="32"/>
      <c r="P1754" s="32"/>
      <c r="Q1754" s="34"/>
      <c r="R1754" s="35"/>
      <c r="S1754" s="35"/>
      <c r="T1754" s="36"/>
      <c r="U1754" s="36"/>
      <c r="V1754" s="36"/>
      <c r="W1754" s="36"/>
      <c r="X1754" s="36"/>
      <c r="Y1754" s="36"/>
    </row>
    <row r="1755">
      <c r="A1755" s="32"/>
      <c r="B1755" s="32"/>
      <c r="C1755" s="32"/>
      <c r="D1755" s="32"/>
      <c r="E1755" s="32"/>
      <c r="F1755" s="32"/>
      <c r="G1755" s="39"/>
      <c r="H1755" s="32"/>
      <c r="I1755" s="32"/>
      <c r="J1755" s="32"/>
      <c r="K1755" s="33"/>
      <c r="L1755" s="32"/>
      <c r="M1755" s="32"/>
      <c r="N1755" s="32"/>
      <c r="O1755" s="32"/>
      <c r="P1755" s="32"/>
      <c r="Q1755" s="34"/>
      <c r="R1755" s="35"/>
      <c r="S1755" s="35"/>
      <c r="T1755" s="36"/>
      <c r="U1755" s="36"/>
      <c r="V1755" s="36"/>
      <c r="W1755" s="36"/>
      <c r="X1755" s="36"/>
      <c r="Y1755" s="36"/>
    </row>
    <row r="1756">
      <c r="A1756" s="32"/>
      <c r="B1756" s="32"/>
      <c r="C1756" s="32"/>
      <c r="D1756" s="32"/>
      <c r="E1756" s="32"/>
      <c r="F1756" s="32"/>
      <c r="G1756" s="39"/>
      <c r="H1756" s="32"/>
      <c r="I1756" s="32"/>
      <c r="J1756" s="32"/>
      <c r="K1756" s="33"/>
      <c r="L1756" s="32"/>
      <c r="M1756" s="32"/>
      <c r="N1756" s="32"/>
      <c r="O1756" s="32"/>
      <c r="P1756" s="32"/>
      <c r="Q1756" s="34"/>
      <c r="R1756" s="35"/>
      <c r="S1756" s="35"/>
      <c r="T1756" s="36"/>
      <c r="U1756" s="36"/>
      <c r="V1756" s="36"/>
      <c r="W1756" s="36"/>
      <c r="X1756" s="36"/>
      <c r="Y1756" s="36"/>
    </row>
    <row r="1757">
      <c r="A1757" s="32"/>
      <c r="B1757" s="32"/>
      <c r="C1757" s="32"/>
      <c r="D1757" s="32"/>
      <c r="E1757" s="32"/>
      <c r="F1757" s="32"/>
      <c r="G1757" s="39"/>
      <c r="H1757" s="32"/>
      <c r="I1757" s="32"/>
      <c r="J1757" s="32"/>
      <c r="K1757" s="33"/>
      <c r="L1757" s="32"/>
      <c r="M1757" s="32"/>
      <c r="N1757" s="32"/>
      <c r="O1757" s="32"/>
      <c r="P1757" s="32"/>
      <c r="Q1757" s="34"/>
      <c r="R1757" s="35"/>
      <c r="S1757" s="35"/>
      <c r="T1757" s="36"/>
      <c r="U1757" s="36"/>
      <c r="V1757" s="36"/>
      <c r="W1757" s="36"/>
      <c r="X1757" s="36"/>
      <c r="Y1757" s="36"/>
    </row>
    <row r="1758">
      <c r="A1758" s="32"/>
      <c r="B1758" s="32"/>
      <c r="C1758" s="32"/>
      <c r="D1758" s="32"/>
      <c r="E1758" s="32"/>
      <c r="F1758" s="32"/>
      <c r="G1758" s="39"/>
      <c r="H1758" s="32"/>
      <c r="I1758" s="32"/>
      <c r="J1758" s="32"/>
      <c r="K1758" s="33"/>
      <c r="L1758" s="32"/>
      <c r="M1758" s="32"/>
      <c r="N1758" s="32"/>
      <c r="O1758" s="32"/>
      <c r="P1758" s="32"/>
      <c r="Q1758" s="34"/>
      <c r="R1758" s="35"/>
      <c r="S1758" s="35"/>
      <c r="T1758" s="36"/>
      <c r="U1758" s="36"/>
      <c r="V1758" s="36"/>
      <c r="W1758" s="36"/>
      <c r="X1758" s="36"/>
      <c r="Y1758" s="36"/>
    </row>
    <row r="1759">
      <c r="A1759" s="32"/>
      <c r="B1759" s="32"/>
      <c r="C1759" s="32"/>
      <c r="D1759" s="32"/>
      <c r="E1759" s="32"/>
      <c r="F1759" s="32"/>
      <c r="G1759" s="39"/>
      <c r="H1759" s="32"/>
      <c r="I1759" s="32"/>
      <c r="J1759" s="32"/>
      <c r="K1759" s="33"/>
      <c r="L1759" s="32"/>
      <c r="M1759" s="32"/>
      <c r="N1759" s="32"/>
      <c r="O1759" s="32"/>
      <c r="P1759" s="32"/>
      <c r="Q1759" s="34"/>
      <c r="R1759" s="35"/>
      <c r="S1759" s="35"/>
      <c r="T1759" s="36"/>
      <c r="U1759" s="36"/>
      <c r="V1759" s="36"/>
      <c r="W1759" s="36"/>
      <c r="X1759" s="36"/>
      <c r="Y1759" s="36"/>
    </row>
    <row r="1760">
      <c r="A1760" s="32"/>
      <c r="B1760" s="32"/>
      <c r="C1760" s="32"/>
      <c r="D1760" s="32"/>
      <c r="E1760" s="32"/>
      <c r="F1760" s="32"/>
      <c r="G1760" s="39"/>
      <c r="H1760" s="32"/>
      <c r="I1760" s="32"/>
      <c r="J1760" s="32"/>
      <c r="K1760" s="33"/>
      <c r="L1760" s="32"/>
      <c r="M1760" s="32"/>
      <c r="N1760" s="32"/>
      <c r="O1760" s="32"/>
      <c r="P1760" s="32"/>
      <c r="Q1760" s="34"/>
      <c r="R1760" s="35"/>
      <c r="S1760" s="35"/>
      <c r="T1760" s="36"/>
      <c r="U1760" s="36"/>
      <c r="V1760" s="36"/>
      <c r="W1760" s="36"/>
      <c r="X1760" s="36"/>
      <c r="Y1760" s="36"/>
    </row>
    <row r="1761">
      <c r="A1761" s="32"/>
      <c r="B1761" s="32"/>
      <c r="C1761" s="32"/>
      <c r="D1761" s="32"/>
      <c r="E1761" s="32"/>
      <c r="F1761" s="32"/>
      <c r="G1761" s="39"/>
      <c r="H1761" s="32"/>
      <c r="I1761" s="32"/>
      <c r="J1761" s="32"/>
      <c r="K1761" s="33"/>
      <c r="L1761" s="32"/>
      <c r="M1761" s="32"/>
      <c r="N1761" s="32"/>
      <c r="O1761" s="32"/>
      <c r="P1761" s="32"/>
      <c r="Q1761" s="34"/>
      <c r="R1761" s="35"/>
      <c r="S1761" s="35"/>
      <c r="T1761" s="36"/>
      <c r="U1761" s="36"/>
      <c r="V1761" s="36"/>
      <c r="W1761" s="36"/>
      <c r="X1761" s="36"/>
      <c r="Y1761" s="36"/>
    </row>
    <row r="1762">
      <c r="A1762" s="32"/>
      <c r="B1762" s="32"/>
      <c r="C1762" s="32"/>
      <c r="D1762" s="32"/>
      <c r="E1762" s="32"/>
      <c r="F1762" s="32"/>
      <c r="G1762" s="39"/>
      <c r="H1762" s="32"/>
      <c r="I1762" s="32"/>
      <c r="J1762" s="32"/>
      <c r="K1762" s="33"/>
      <c r="L1762" s="32"/>
      <c r="M1762" s="32"/>
      <c r="N1762" s="32"/>
      <c r="O1762" s="32"/>
      <c r="P1762" s="32"/>
      <c r="Q1762" s="34"/>
      <c r="R1762" s="35"/>
      <c r="S1762" s="35"/>
      <c r="T1762" s="36"/>
      <c r="U1762" s="36"/>
      <c r="V1762" s="36"/>
      <c r="W1762" s="36"/>
      <c r="X1762" s="36"/>
      <c r="Y1762" s="36"/>
    </row>
    <row r="1763">
      <c r="A1763" s="32"/>
      <c r="B1763" s="32"/>
      <c r="C1763" s="32"/>
      <c r="D1763" s="32"/>
      <c r="E1763" s="32"/>
      <c r="F1763" s="32"/>
      <c r="G1763" s="39"/>
      <c r="H1763" s="32"/>
      <c r="I1763" s="32"/>
      <c r="J1763" s="32"/>
      <c r="K1763" s="33"/>
      <c r="L1763" s="32"/>
      <c r="M1763" s="32"/>
      <c r="N1763" s="32"/>
      <c r="O1763" s="32"/>
      <c r="P1763" s="32"/>
      <c r="Q1763" s="34"/>
      <c r="R1763" s="35"/>
      <c r="S1763" s="35"/>
      <c r="T1763" s="36"/>
      <c r="U1763" s="36"/>
      <c r="V1763" s="36"/>
      <c r="W1763" s="36"/>
      <c r="X1763" s="36"/>
      <c r="Y1763" s="36"/>
    </row>
    <row r="1764">
      <c r="A1764" s="32"/>
      <c r="B1764" s="32"/>
      <c r="C1764" s="32"/>
      <c r="D1764" s="32"/>
      <c r="E1764" s="32"/>
      <c r="F1764" s="32"/>
      <c r="G1764" s="39"/>
      <c r="H1764" s="32"/>
      <c r="I1764" s="32"/>
      <c r="J1764" s="32"/>
      <c r="K1764" s="33"/>
      <c r="L1764" s="32"/>
      <c r="M1764" s="32"/>
      <c r="N1764" s="32"/>
      <c r="O1764" s="32"/>
      <c r="P1764" s="32"/>
      <c r="Q1764" s="34"/>
      <c r="R1764" s="35"/>
      <c r="S1764" s="35"/>
      <c r="T1764" s="36"/>
      <c r="U1764" s="36"/>
      <c r="V1764" s="36"/>
      <c r="W1764" s="36"/>
      <c r="X1764" s="36"/>
      <c r="Y1764" s="36"/>
    </row>
    <row r="1765">
      <c r="A1765" s="32"/>
      <c r="B1765" s="32"/>
      <c r="C1765" s="32"/>
      <c r="D1765" s="32"/>
      <c r="E1765" s="32"/>
      <c r="F1765" s="32"/>
      <c r="G1765" s="39"/>
      <c r="H1765" s="32"/>
      <c r="I1765" s="32"/>
      <c r="J1765" s="32"/>
      <c r="K1765" s="33"/>
      <c r="L1765" s="32"/>
      <c r="M1765" s="32"/>
      <c r="N1765" s="32"/>
      <c r="O1765" s="32"/>
      <c r="P1765" s="32"/>
      <c r="Q1765" s="34"/>
      <c r="R1765" s="35"/>
      <c r="S1765" s="35"/>
      <c r="T1765" s="36"/>
      <c r="U1765" s="36"/>
      <c r="V1765" s="36"/>
      <c r="W1765" s="36"/>
      <c r="X1765" s="36"/>
      <c r="Y1765" s="36"/>
    </row>
    <row r="1766">
      <c r="A1766" s="32"/>
      <c r="B1766" s="32"/>
      <c r="C1766" s="32"/>
      <c r="D1766" s="32"/>
      <c r="E1766" s="32"/>
      <c r="F1766" s="32"/>
      <c r="G1766" s="39"/>
      <c r="H1766" s="32"/>
      <c r="I1766" s="32"/>
      <c r="J1766" s="32"/>
      <c r="K1766" s="33"/>
      <c r="L1766" s="32"/>
      <c r="M1766" s="32"/>
      <c r="N1766" s="32"/>
      <c r="O1766" s="32"/>
      <c r="P1766" s="32"/>
      <c r="Q1766" s="34"/>
      <c r="R1766" s="35"/>
      <c r="S1766" s="35"/>
      <c r="T1766" s="36"/>
      <c r="U1766" s="36"/>
      <c r="V1766" s="36"/>
      <c r="W1766" s="36"/>
      <c r="X1766" s="36"/>
      <c r="Y1766" s="36"/>
    </row>
    <row r="1767">
      <c r="A1767" s="32"/>
      <c r="B1767" s="32"/>
      <c r="C1767" s="32"/>
      <c r="D1767" s="32"/>
      <c r="E1767" s="32"/>
      <c r="F1767" s="32"/>
      <c r="G1767" s="39"/>
      <c r="H1767" s="32"/>
      <c r="I1767" s="32"/>
      <c r="J1767" s="32"/>
      <c r="K1767" s="33"/>
      <c r="L1767" s="32"/>
      <c r="M1767" s="32"/>
      <c r="N1767" s="32"/>
      <c r="O1767" s="32"/>
      <c r="P1767" s="32"/>
      <c r="Q1767" s="34"/>
      <c r="R1767" s="35"/>
      <c r="S1767" s="35"/>
      <c r="T1767" s="36"/>
      <c r="U1767" s="36"/>
      <c r="V1767" s="36"/>
      <c r="W1767" s="36"/>
      <c r="X1767" s="36"/>
      <c r="Y1767" s="36"/>
    </row>
    <row r="1768">
      <c r="A1768" s="32"/>
      <c r="B1768" s="32"/>
      <c r="C1768" s="32"/>
      <c r="D1768" s="32"/>
      <c r="E1768" s="32"/>
      <c r="F1768" s="32"/>
      <c r="G1768" s="39"/>
      <c r="H1768" s="32"/>
      <c r="I1768" s="32"/>
      <c r="J1768" s="32"/>
      <c r="K1768" s="33"/>
      <c r="L1768" s="32"/>
      <c r="M1768" s="32"/>
      <c r="N1768" s="32"/>
      <c r="O1768" s="32"/>
      <c r="P1768" s="32"/>
      <c r="Q1768" s="34"/>
      <c r="R1768" s="35"/>
      <c r="S1768" s="35"/>
      <c r="T1768" s="36"/>
      <c r="U1768" s="36"/>
      <c r="V1768" s="36"/>
      <c r="W1768" s="36"/>
      <c r="X1768" s="36"/>
      <c r="Y1768" s="36"/>
    </row>
    <row r="1769">
      <c r="A1769" s="32"/>
      <c r="B1769" s="32"/>
      <c r="C1769" s="32"/>
      <c r="D1769" s="32"/>
      <c r="E1769" s="32"/>
      <c r="F1769" s="32"/>
      <c r="G1769" s="39"/>
      <c r="H1769" s="32"/>
      <c r="I1769" s="32"/>
      <c r="J1769" s="32"/>
      <c r="K1769" s="33"/>
      <c r="L1769" s="32"/>
      <c r="M1769" s="32"/>
      <c r="N1769" s="32"/>
      <c r="O1769" s="32"/>
      <c r="P1769" s="32"/>
      <c r="Q1769" s="34"/>
      <c r="R1769" s="35"/>
      <c r="S1769" s="35"/>
      <c r="T1769" s="36"/>
      <c r="U1769" s="36"/>
      <c r="V1769" s="36"/>
      <c r="W1769" s="36"/>
      <c r="X1769" s="36"/>
      <c r="Y1769" s="36"/>
    </row>
    <row r="1770">
      <c r="A1770" s="32"/>
      <c r="B1770" s="32"/>
      <c r="C1770" s="32"/>
      <c r="D1770" s="32"/>
      <c r="E1770" s="32"/>
      <c r="F1770" s="32"/>
      <c r="G1770" s="39"/>
      <c r="H1770" s="32"/>
      <c r="I1770" s="32"/>
      <c r="J1770" s="32"/>
      <c r="K1770" s="33"/>
      <c r="L1770" s="32"/>
      <c r="M1770" s="32"/>
      <c r="N1770" s="32"/>
      <c r="O1770" s="32"/>
      <c r="P1770" s="32"/>
      <c r="Q1770" s="34"/>
      <c r="R1770" s="35"/>
      <c r="S1770" s="35"/>
      <c r="T1770" s="36"/>
      <c r="U1770" s="36"/>
      <c r="V1770" s="36"/>
      <c r="W1770" s="36"/>
      <c r="X1770" s="36"/>
      <c r="Y1770" s="36"/>
    </row>
    <row r="1771">
      <c r="A1771" s="32"/>
      <c r="B1771" s="32"/>
      <c r="C1771" s="32"/>
      <c r="D1771" s="32"/>
      <c r="E1771" s="32"/>
      <c r="F1771" s="32"/>
      <c r="G1771" s="39"/>
      <c r="H1771" s="32"/>
      <c r="I1771" s="32"/>
      <c r="J1771" s="32"/>
      <c r="K1771" s="33"/>
      <c r="L1771" s="32"/>
      <c r="M1771" s="32"/>
      <c r="N1771" s="32"/>
      <c r="O1771" s="32"/>
      <c r="P1771" s="32"/>
      <c r="Q1771" s="34"/>
      <c r="R1771" s="35"/>
      <c r="S1771" s="35"/>
      <c r="T1771" s="36"/>
      <c r="U1771" s="36"/>
      <c r="V1771" s="36"/>
      <c r="W1771" s="36"/>
      <c r="X1771" s="36"/>
      <c r="Y1771" s="36"/>
    </row>
    <row r="1772">
      <c r="A1772" s="32"/>
      <c r="B1772" s="32"/>
      <c r="C1772" s="32"/>
      <c r="D1772" s="32"/>
      <c r="E1772" s="32"/>
      <c r="F1772" s="32"/>
      <c r="G1772" s="39"/>
      <c r="H1772" s="32"/>
      <c r="I1772" s="32"/>
      <c r="J1772" s="32"/>
      <c r="K1772" s="33"/>
      <c r="L1772" s="32"/>
      <c r="M1772" s="32"/>
      <c r="N1772" s="32"/>
      <c r="O1772" s="32"/>
      <c r="P1772" s="32"/>
      <c r="Q1772" s="34"/>
      <c r="R1772" s="35"/>
      <c r="S1772" s="35"/>
      <c r="T1772" s="36"/>
      <c r="U1772" s="36"/>
      <c r="V1772" s="36"/>
      <c r="W1772" s="36"/>
      <c r="X1772" s="36"/>
      <c r="Y1772" s="36"/>
    </row>
    <row r="1773">
      <c r="A1773" s="32"/>
      <c r="B1773" s="32"/>
      <c r="C1773" s="32"/>
      <c r="D1773" s="32"/>
      <c r="E1773" s="32"/>
      <c r="F1773" s="32"/>
      <c r="G1773" s="39"/>
      <c r="H1773" s="32"/>
      <c r="I1773" s="32"/>
      <c r="J1773" s="32"/>
      <c r="K1773" s="33"/>
      <c r="L1773" s="32"/>
      <c r="M1773" s="32"/>
      <c r="N1773" s="32"/>
      <c r="O1773" s="32"/>
      <c r="P1773" s="32"/>
      <c r="Q1773" s="34"/>
      <c r="R1773" s="35"/>
      <c r="S1773" s="35"/>
      <c r="T1773" s="36"/>
      <c r="U1773" s="36"/>
      <c r="V1773" s="36"/>
      <c r="W1773" s="36"/>
      <c r="X1773" s="36"/>
      <c r="Y1773" s="36"/>
    </row>
    <row r="1774">
      <c r="A1774" s="32"/>
      <c r="B1774" s="32"/>
      <c r="C1774" s="32"/>
      <c r="D1774" s="32"/>
      <c r="E1774" s="32"/>
      <c r="F1774" s="32"/>
      <c r="G1774" s="39"/>
      <c r="H1774" s="32"/>
      <c r="I1774" s="32"/>
      <c r="J1774" s="32"/>
      <c r="K1774" s="33"/>
      <c r="L1774" s="32"/>
      <c r="M1774" s="32"/>
      <c r="N1774" s="32"/>
      <c r="O1774" s="32"/>
      <c r="P1774" s="32"/>
      <c r="Q1774" s="34"/>
      <c r="R1774" s="35"/>
      <c r="S1774" s="35"/>
      <c r="T1774" s="36"/>
      <c r="U1774" s="36"/>
      <c r="V1774" s="36"/>
      <c r="W1774" s="36"/>
      <c r="X1774" s="36"/>
      <c r="Y1774" s="36"/>
    </row>
    <row r="1775">
      <c r="A1775" s="32"/>
      <c r="B1775" s="32"/>
      <c r="C1775" s="32"/>
      <c r="D1775" s="32"/>
      <c r="E1775" s="32"/>
      <c r="F1775" s="32"/>
      <c r="G1775" s="39"/>
      <c r="H1775" s="32"/>
      <c r="I1775" s="32"/>
      <c r="J1775" s="32"/>
      <c r="K1775" s="33"/>
      <c r="L1775" s="32"/>
      <c r="M1775" s="32"/>
      <c r="N1775" s="32"/>
      <c r="O1775" s="32"/>
      <c r="P1775" s="32"/>
      <c r="Q1775" s="34"/>
      <c r="R1775" s="35"/>
      <c r="S1775" s="35"/>
      <c r="T1775" s="36"/>
      <c r="U1775" s="36"/>
      <c r="V1775" s="36"/>
      <c r="W1775" s="36"/>
      <c r="X1775" s="36"/>
      <c r="Y1775" s="36"/>
    </row>
    <row r="1776">
      <c r="A1776" s="32"/>
      <c r="B1776" s="32"/>
      <c r="C1776" s="32"/>
      <c r="D1776" s="32"/>
      <c r="E1776" s="32"/>
      <c r="F1776" s="32"/>
      <c r="G1776" s="39"/>
      <c r="H1776" s="32"/>
      <c r="I1776" s="32"/>
      <c r="J1776" s="32"/>
      <c r="K1776" s="33"/>
      <c r="L1776" s="32"/>
      <c r="M1776" s="32"/>
      <c r="N1776" s="32"/>
      <c r="O1776" s="32"/>
      <c r="P1776" s="32"/>
      <c r="Q1776" s="34"/>
      <c r="R1776" s="35"/>
      <c r="S1776" s="35"/>
      <c r="T1776" s="36"/>
      <c r="U1776" s="36"/>
      <c r="V1776" s="36"/>
      <c r="W1776" s="36"/>
      <c r="X1776" s="36"/>
      <c r="Y1776" s="36"/>
    </row>
    <row r="1777">
      <c r="A1777" s="32"/>
      <c r="B1777" s="32"/>
      <c r="C1777" s="32"/>
      <c r="D1777" s="32"/>
      <c r="E1777" s="32"/>
      <c r="F1777" s="32"/>
      <c r="G1777" s="39"/>
      <c r="H1777" s="32"/>
      <c r="I1777" s="32"/>
      <c r="J1777" s="32"/>
      <c r="K1777" s="33"/>
      <c r="L1777" s="32"/>
      <c r="M1777" s="32"/>
      <c r="N1777" s="32"/>
      <c r="O1777" s="32"/>
      <c r="P1777" s="32"/>
      <c r="Q1777" s="34"/>
      <c r="R1777" s="35"/>
      <c r="S1777" s="35"/>
      <c r="T1777" s="36"/>
      <c r="U1777" s="36"/>
      <c r="V1777" s="36"/>
      <c r="W1777" s="36"/>
      <c r="X1777" s="36"/>
      <c r="Y1777" s="36"/>
    </row>
    <row r="1778">
      <c r="A1778" s="32"/>
      <c r="B1778" s="32"/>
      <c r="C1778" s="32"/>
      <c r="D1778" s="32"/>
      <c r="E1778" s="32"/>
      <c r="F1778" s="32"/>
      <c r="G1778" s="39"/>
      <c r="H1778" s="32"/>
      <c r="I1778" s="32"/>
      <c r="J1778" s="32"/>
      <c r="K1778" s="33"/>
      <c r="L1778" s="32"/>
      <c r="M1778" s="32"/>
      <c r="N1778" s="32"/>
      <c r="O1778" s="32"/>
      <c r="P1778" s="32"/>
      <c r="Q1778" s="34"/>
      <c r="R1778" s="35"/>
      <c r="S1778" s="35"/>
      <c r="T1778" s="36"/>
      <c r="U1778" s="36"/>
      <c r="V1778" s="36"/>
      <c r="W1778" s="36"/>
      <c r="X1778" s="36"/>
      <c r="Y1778" s="36"/>
    </row>
    <row r="1779">
      <c r="A1779" s="32"/>
      <c r="B1779" s="32"/>
      <c r="C1779" s="32"/>
      <c r="D1779" s="32"/>
      <c r="E1779" s="32"/>
      <c r="F1779" s="32"/>
      <c r="G1779" s="39"/>
      <c r="H1779" s="32"/>
      <c r="I1779" s="32"/>
      <c r="J1779" s="32"/>
      <c r="K1779" s="33"/>
      <c r="L1779" s="32"/>
      <c r="M1779" s="32"/>
      <c r="N1779" s="32"/>
      <c r="O1779" s="32"/>
      <c r="P1779" s="32"/>
      <c r="Q1779" s="34"/>
      <c r="R1779" s="35"/>
      <c r="S1779" s="35"/>
      <c r="T1779" s="36"/>
      <c r="U1779" s="36"/>
      <c r="V1779" s="36"/>
      <c r="W1779" s="36"/>
      <c r="X1779" s="36"/>
      <c r="Y1779" s="36"/>
    </row>
    <row r="1780">
      <c r="A1780" s="32"/>
      <c r="B1780" s="32"/>
      <c r="C1780" s="32"/>
      <c r="D1780" s="32"/>
      <c r="E1780" s="32"/>
      <c r="F1780" s="32"/>
      <c r="G1780" s="39"/>
      <c r="H1780" s="32"/>
      <c r="I1780" s="32"/>
      <c r="J1780" s="32"/>
      <c r="K1780" s="33"/>
      <c r="L1780" s="32"/>
      <c r="M1780" s="32"/>
      <c r="N1780" s="32"/>
      <c r="O1780" s="32"/>
      <c r="P1780" s="32"/>
      <c r="Q1780" s="34"/>
      <c r="R1780" s="35"/>
      <c r="S1780" s="35"/>
      <c r="T1780" s="36"/>
      <c r="U1780" s="36"/>
      <c r="V1780" s="36"/>
      <c r="W1780" s="36"/>
      <c r="X1780" s="36"/>
      <c r="Y1780" s="36"/>
    </row>
    <row r="1781">
      <c r="A1781" s="32"/>
      <c r="B1781" s="32"/>
      <c r="C1781" s="32"/>
      <c r="D1781" s="32"/>
      <c r="E1781" s="32"/>
      <c r="F1781" s="32"/>
      <c r="G1781" s="39"/>
      <c r="H1781" s="32"/>
      <c r="I1781" s="32"/>
      <c r="J1781" s="32"/>
      <c r="K1781" s="33"/>
      <c r="L1781" s="32"/>
      <c r="M1781" s="32"/>
      <c r="N1781" s="32"/>
      <c r="O1781" s="32"/>
      <c r="P1781" s="32"/>
      <c r="Q1781" s="34"/>
      <c r="R1781" s="35"/>
      <c r="S1781" s="35"/>
      <c r="T1781" s="36"/>
      <c r="U1781" s="36"/>
      <c r="V1781" s="36"/>
      <c r="W1781" s="36"/>
      <c r="X1781" s="36"/>
      <c r="Y1781" s="36"/>
    </row>
    <row r="1782">
      <c r="A1782" s="32"/>
      <c r="B1782" s="32"/>
      <c r="C1782" s="32"/>
      <c r="D1782" s="32"/>
      <c r="E1782" s="32"/>
      <c r="F1782" s="32"/>
      <c r="G1782" s="39"/>
      <c r="H1782" s="32"/>
      <c r="I1782" s="32"/>
      <c r="J1782" s="32"/>
      <c r="K1782" s="33"/>
      <c r="L1782" s="32"/>
      <c r="M1782" s="32"/>
      <c r="N1782" s="32"/>
      <c r="O1782" s="32"/>
      <c r="P1782" s="32"/>
      <c r="Q1782" s="34"/>
      <c r="R1782" s="35"/>
      <c r="S1782" s="35"/>
      <c r="T1782" s="36"/>
      <c r="U1782" s="36"/>
      <c r="V1782" s="36"/>
      <c r="W1782" s="36"/>
      <c r="X1782" s="36"/>
      <c r="Y1782" s="36"/>
    </row>
    <row r="1783">
      <c r="A1783" s="32"/>
      <c r="B1783" s="32"/>
      <c r="C1783" s="32"/>
      <c r="D1783" s="32"/>
      <c r="E1783" s="32"/>
      <c r="F1783" s="32"/>
      <c r="G1783" s="39"/>
      <c r="H1783" s="32"/>
      <c r="I1783" s="32"/>
      <c r="J1783" s="32"/>
      <c r="K1783" s="33"/>
      <c r="L1783" s="32"/>
      <c r="M1783" s="32"/>
      <c r="N1783" s="32"/>
      <c r="O1783" s="32"/>
      <c r="P1783" s="32"/>
      <c r="Q1783" s="34"/>
      <c r="R1783" s="35"/>
      <c r="S1783" s="35"/>
      <c r="T1783" s="36"/>
      <c r="U1783" s="36"/>
      <c r="V1783" s="36"/>
      <c r="W1783" s="36"/>
      <c r="X1783" s="36"/>
      <c r="Y1783" s="36"/>
    </row>
    <row r="1784">
      <c r="A1784" s="32"/>
      <c r="B1784" s="32"/>
      <c r="C1784" s="32"/>
      <c r="D1784" s="32"/>
      <c r="E1784" s="32"/>
      <c r="F1784" s="32"/>
      <c r="G1784" s="39"/>
      <c r="H1784" s="32"/>
      <c r="I1784" s="32"/>
      <c r="J1784" s="32"/>
      <c r="K1784" s="33"/>
      <c r="L1784" s="32"/>
      <c r="M1784" s="32"/>
      <c r="N1784" s="32"/>
      <c r="O1784" s="32"/>
      <c r="P1784" s="32"/>
      <c r="Q1784" s="34"/>
      <c r="R1784" s="35"/>
      <c r="S1784" s="35"/>
      <c r="T1784" s="36"/>
      <c r="U1784" s="36"/>
      <c r="V1784" s="36"/>
      <c r="W1784" s="36"/>
      <c r="X1784" s="36"/>
      <c r="Y1784" s="36"/>
    </row>
    <row r="1785">
      <c r="A1785" s="32"/>
      <c r="B1785" s="32"/>
      <c r="C1785" s="32"/>
      <c r="D1785" s="32"/>
      <c r="E1785" s="32"/>
      <c r="F1785" s="32"/>
      <c r="G1785" s="39"/>
      <c r="H1785" s="32"/>
      <c r="I1785" s="32"/>
      <c r="J1785" s="32"/>
      <c r="K1785" s="33"/>
      <c r="L1785" s="32"/>
      <c r="M1785" s="32"/>
      <c r="N1785" s="32"/>
      <c r="O1785" s="32"/>
      <c r="P1785" s="32"/>
      <c r="Q1785" s="34"/>
      <c r="R1785" s="35"/>
      <c r="S1785" s="35"/>
      <c r="T1785" s="36"/>
      <c r="U1785" s="36"/>
      <c r="V1785" s="36"/>
      <c r="W1785" s="36"/>
      <c r="X1785" s="36"/>
      <c r="Y1785" s="36"/>
    </row>
    <row r="1786">
      <c r="A1786" s="32"/>
      <c r="B1786" s="32"/>
      <c r="C1786" s="32"/>
      <c r="D1786" s="32"/>
      <c r="E1786" s="32"/>
      <c r="F1786" s="32"/>
      <c r="G1786" s="39"/>
      <c r="H1786" s="32"/>
      <c r="I1786" s="32"/>
      <c r="J1786" s="32"/>
      <c r="K1786" s="33"/>
      <c r="L1786" s="32"/>
      <c r="M1786" s="32"/>
      <c r="N1786" s="32"/>
      <c r="O1786" s="32"/>
      <c r="P1786" s="32"/>
      <c r="Q1786" s="34"/>
      <c r="R1786" s="35"/>
      <c r="S1786" s="35"/>
      <c r="T1786" s="36"/>
      <c r="U1786" s="36"/>
      <c r="V1786" s="36"/>
      <c r="W1786" s="36"/>
      <c r="X1786" s="36"/>
      <c r="Y1786" s="36"/>
    </row>
    <row r="1787">
      <c r="A1787" s="32"/>
      <c r="B1787" s="32"/>
      <c r="C1787" s="32"/>
      <c r="D1787" s="32"/>
      <c r="E1787" s="32"/>
      <c r="F1787" s="32"/>
      <c r="G1787" s="39"/>
      <c r="H1787" s="32"/>
      <c r="I1787" s="32"/>
      <c r="J1787" s="32"/>
      <c r="K1787" s="33"/>
      <c r="L1787" s="32"/>
      <c r="M1787" s="32"/>
      <c r="N1787" s="32"/>
      <c r="O1787" s="32"/>
      <c r="P1787" s="32"/>
      <c r="Q1787" s="34"/>
      <c r="R1787" s="35"/>
      <c r="S1787" s="35"/>
      <c r="T1787" s="36"/>
      <c r="U1787" s="36"/>
      <c r="V1787" s="36"/>
      <c r="W1787" s="36"/>
      <c r="X1787" s="36"/>
      <c r="Y1787" s="36"/>
    </row>
    <row r="1788">
      <c r="A1788" s="32"/>
      <c r="B1788" s="32"/>
      <c r="C1788" s="32"/>
      <c r="D1788" s="32"/>
      <c r="E1788" s="32"/>
      <c r="F1788" s="32"/>
      <c r="G1788" s="39"/>
      <c r="H1788" s="32"/>
      <c r="I1788" s="32"/>
      <c r="J1788" s="32"/>
      <c r="K1788" s="33"/>
      <c r="L1788" s="32"/>
      <c r="M1788" s="32"/>
      <c r="N1788" s="32"/>
      <c r="O1788" s="32"/>
      <c r="P1788" s="32"/>
      <c r="Q1788" s="34"/>
      <c r="R1788" s="35"/>
      <c r="S1788" s="35"/>
      <c r="T1788" s="36"/>
      <c r="U1788" s="36"/>
      <c r="V1788" s="36"/>
      <c r="W1788" s="36"/>
      <c r="X1788" s="36"/>
      <c r="Y1788" s="36"/>
    </row>
    <row r="1789">
      <c r="A1789" s="32"/>
      <c r="B1789" s="32"/>
      <c r="C1789" s="32"/>
      <c r="D1789" s="32"/>
      <c r="E1789" s="32"/>
      <c r="F1789" s="32"/>
      <c r="G1789" s="39"/>
      <c r="H1789" s="32"/>
      <c r="I1789" s="32"/>
      <c r="J1789" s="32"/>
      <c r="K1789" s="33"/>
      <c r="L1789" s="32"/>
      <c r="M1789" s="32"/>
      <c r="N1789" s="32"/>
      <c r="O1789" s="32"/>
      <c r="P1789" s="32"/>
      <c r="Q1789" s="34"/>
      <c r="R1789" s="35"/>
      <c r="S1789" s="35"/>
      <c r="T1789" s="36"/>
      <c r="U1789" s="36"/>
      <c r="V1789" s="36"/>
      <c r="W1789" s="36"/>
      <c r="X1789" s="36"/>
      <c r="Y1789" s="36"/>
    </row>
    <row r="1790">
      <c r="A1790" s="32"/>
      <c r="B1790" s="32"/>
      <c r="C1790" s="32"/>
      <c r="D1790" s="32"/>
      <c r="E1790" s="32"/>
      <c r="F1790" s="32"/>
      <c r="G1790" s="39"/>
      <c r="H1790" s="32"/>
      <c r="I1790" s="32"/>
      <c r="J1790" s="32"/>
      <c r="K1790" s="33"/>
      <c r="L1790" s="32"/>
      <c r="M1790" s="32"/>
      <c r="N1790" s="32"/>
      <c r="O1790" s="32"/>
      <c r="P1790" s="32"/>
      <c r="Q1790" s="34"/>
      <c r="R1790" s="35"/>
      <c r="S1790" s="35"/>
      <c r="T1790" s="36"/>
      <c r="U1790" s="36"/>
      <c r="V1790" s="36"/>
      <c r="W1790" s="36"/>
      <c r="X1790" s="36"/>
      <c r="Y1790" s="36"/>
    </row>
    <row r="1791">
      <c r="A1791" s="32"/>
      <c r="B1791" s="32"/>
      <c r="C1791" s="32"/>
      <c r="D1791" s="32"/>
      <c r="E1791" s="32"/>
      <c r="F1791" s="32"/>
      <c r="G1791" s="39"/>
      <c r="H1791" s="32"/>
      <c r="I1791" s="32"/>
      <c r="J1791" s="32"/>
      <c r="K1791" s="33"/>
      <c r="L1791" s="32"/>
      <c r="M1791" s="32"/>
      <c r="N1791" s="32"/>
      <c r="O1791" s="32"/>
      <c r="P1791" s="32"/>
      <c r="Q1791" s="34"/>
      <c r="R1791" s="35"/>
      <c r="S1791" s="35"/>
      <c r="T1791" s="36"/>
      <c r="U1791" s="36"/>
      <c r="V1791" s="36"/>
      <c r="W1791" s="36"/>
      <c r="X1791" s="36"/>
      <c r="Y1791" s="36"/>
    </row>
    <row r="1792">
      <c r="A1792" s="32"/>
      <c r="B1792" s="32"/>
      <c r="C1792" s="32"/>
      <c r="D1792" s="32"/>
      <c r="E1792" s="32"/>
      <c r="F1792" s="32"/>
      <c r="G1792" s="39"/>
      <c r="H1792" s="32"/>
      <c r="I1792" s="32"/>
      <c r="J1792" s="32"/>
      <c r="K1792" s="33"/>
      <c r="L1792" s="32"/>
      <c r="M1792" s="32"/>
      <c r="N1792" s="32"/>
      <c r="O1792" s="32"/>
      <c r="P1792" s="32"/>
      <c r="Q1792" s="34"/>
      <c r="R1792" s="35"/>
      <c r="S1792" s="35"/>
      <c r="T1792" s="36"/>
      <c r="U1792" s="36"/>
      <c r="V1792" s="36"/>
      <c r="W1792" s="36"/>
      <c r="X1792" s="36"/>
      <c r="Y1792" s="36"/>
    </row>
    <row r="1793">
      <c r="A1793" s="32"/>
      <c r="B1793" s="32"/>
      <c r="C1793" s="32"/>
      <c r="D1793" s="32"/>
      <c r="E1793" s="32"/>
      <c r="F1793" s="32"/>
      <c r="G1793" s="39"/>
      <c r="H1793" s="32"/>
      <c r="I1793" s="32"/>
      <c r="J1793" s="32"/>
      <c r="K1793" s="33"/>
      <c r="L1793" s="32"/>
      <c r="M1793" s="32"/>
      <c r="N1793" s="32"/>
      <c r="O1793" s="32"/>
      <c r="P1793" s="32"/>
      <c r="Q1793" s="34"/>
      <c r="R1793" s="35"/>
      <c r="S1793" s="35"/>
      <c r="T1793" s="36"/>
      <c r="U1793" s="36"/>
      <c r="V1793" s="36"/>
      <c r="W1793" s="36"/>
      <c r="X1793" s="36"/>
      <c r="Y1793" s="36"/>
    </row>
    <row r="1794">
      <c r="A1794" s="32"/>
      <c r="B1794" s="32"/>
      <c r="C1794" s="32"/>
      <c r="D1794" s="32"/>
      <c r="E1794" s="32"/>
      <c r="F1794" s="32"/>
      <c r="G1794" s="39"/>
      <c r="H1794" s="32"/>
      <c r="I1794" s="32"/>
      <c r="J1794" s="32"/>
      <c r="K1794" s="33"/>
      <c r="L1794" s="32"/>
      <c r="M1794" s="32"/>
      <c r="N1794" s="32"/>
      <c r="O1794" s="32"/>
      <c r="P1794" s="32"/>
      <c r="Q1794" s="34"/>
      <c r="R1794" s="35"/>
      <c r="S1794" s="35"/>
      <c r="T1794" s="36"/>
      <c r="U1794" s="36"/>
      <c r="V1794" s="36"/>
      <c r="W1794" s="36"/>
      <c r="X1794" s="36"/>
      <c r="Y1794" s="36"/>
    </row>
    <row r="1795">
      <c r="A1795" s="32"/>
      <c r="B1795" s="32"/>
      <c r="C1795" s="32"/>
      <c r="D1795" s="32"/>
      <c r="E1795" s="32"/>
      <c r="F1795" s="32"/>
      <c r="G1795" s="39"/>
      <c r="H1795" s="32"/>
      <c r="I1795" s="32"/>
      <c r="J1795" s="32"/>
      <c r="K1795" s="33"/>
      <c r="L1795" s="32"/>
      <c r="M1795" s="32"/>
      <c r="N1795" s="32"/>
      <c r="O1795" s="32"/>
      <c r="P1795" s="32"/>
      <c r="Q1795" s="34"/>
      <c r="R1795" s="35"/>
      <c r="S1795" s="35"/>
      <c r="T1795" s="36"/>
      <c r="U1795" s="36"/>
      <c r="V1795" s="36"/>
      <c r="W1795" s="36"/>
      <c r="X1795" s="36"/>
      <c r="Y1795" s="36"/>
    </row>
    <row r="1796">
      <c r="A1796" s="32"/>
      <c r="B1796" s="32"/>
      <c r="C1796" s="32"/>
      <c r="D1796" s="32"/>
      <c r="E1796" s="32"/>
      <c r="F1796" s="32"/>
      <c r="G1796" s="39"/>
      <c r="H1796" s="32"/>
      <c r="I1796" s="32"/>
      <c r="J1796" s="32"/>
      <c r="K1796" s="33"/>
      <c r="L1796" s="32"/>
      <c r="M1796" s="32"/>
      <c r="N1796" s="32"/>
      <c r="O1796" s="32"/>
      <c r="P1796" s="32"/>
      <c r="Q1796" s="34"/>
      <c r="R1796" s="35"/>
      <c r="S1796" s="35"/>
      <c r="T1796" s="36"/>
      <c r="U1796" s="36"/>
      <c r="V1796" s="36"/>
      <c r="W1796" s="36"/>
      <c r="X1796" s="36"/>
      <c r="Y1796" s="36"/>
    </row>
    <row r="1797">
      <c r="A1797" s="32"/>
      <c r="B1797" s="32"/>
      <c r="C1797" s="32"/>
      <c r="D1797" s="32"/>
      <c r="E1797" s="32"/>
      <c r="F1797" s="32"/>
      <c r="G1797" s="39"/>
      <c r="H1797" s="32"/>
      <c r="I1797" s="32"/>
      <c r="J1797" s="32"/>
      <c r="K1797" s="33"/>
      <c r="L1797" s="32"/>
      <c r="M1797" s="32"/>
      <c r="N1797" s="32"/>
      <c r="O1797" s="32"/>
      <c r="P1797" s="32"/>
      <c r="Q1797" s="34"/>
      <c r="R1797" s="35"/>
      <c r="S1797" s="35"/>
      <c r="T1797" s="36"/>
      <c r="U1797" s="36"/>
      <c r="V1797" s="36"/>
      <c r="W1797" s="36"/>
      <c r="X1797" s="36"/>
      <c r="Y1797" s="36"/>
    </row>
    <row r="1798">
      <c r="A1798" s="32"/>
      <c r="B1798" s="32"/>
      <c r="C1798" s="32"/>
      <c r="D1798" s="32"/>
      <c r="E1798" s="32"/>
      <c r="F1798" s="32"/>
      <c r="G1798" s="39"/>
      <c r="H1798" s="32"/>
      <c r="I1798" s="32"/>
      <c r="J1798" s="32"/>
      <c r="K1798" s="33"/>
      <c r="L1798" s="32"/>
      <c r="M1798" s="32"/>
      <c r="N1798" s="32"/>
      <c r="O1798" s="32"/>
      <c r="P1798" s="32"/>
      <c r="Q1798" s="34"/>
      <c r="R1798" s="35"/>
      <c r="S1798" s="35"/>
      <c r="T1798" s="36"/>
      <c r="U1798" s="36"/>
      <c r="V1798" s="36"/>
      <c r="W1798" s="36"/>
      <c r="X1798" s="36"/>
      <c r="Y1798" s="36"/>
    </row>
    <row r="1799">
      <c r="A1799" s="32"/>
      <c r="B1799" s="32"/>
      <c r="C1799" s="32"/>
      <c r="D1799" s="32"/>
      <c r="E1799" s="32"/>
      <c r="F1799" s="32"/>
      <c r="G1799" s="39"/>
      <c r="H1799" s="32"/>
      <c r="I1799" s="32"/>
      <c r="J1799" s="32"/>
      <c r="K1799" s="33"/>
      <c r="L1799" s="32"/>
      <c r="M1799" s="32"/>
      <c r="N1799" s="32"/>
      <c r="O1799" s="32"/>
      <c r="P1799" s="32"/>
      <c r="Q1799" s="34"/>
      <c r="R1799" s="35"/>
      <c r="S1799" s="35"/>
      <c r="T1799" s="36"/>
      <c r="U1799" s="36"/>
      <c r="V1799" s="36"/>
      <c r="W1799" s="36"/>
      <c r="X1799" s="36"/>
      <c r="Y1799" s="36"/>
    </row>
    <row r="1800">
      <c r="A1800" s="32"/>
      <c r="B1800" s="32"/>
      <c r="C1800" s="32"/>
      <c r="D1800" s="32"/>
      <c r="E1800" s="32"/>
      <c r="F1800" s="32"/>
      <c r="G1800" s="39"/>
      <c r="H1800" s="32"/>
      <c r="I1800" s="32"/>
      <c r="J1800" s="32"/>
      <c r="K1800" s="33"/>
      <c r="L1800" s="32"/>
      <c r="M1800" s="32"/>
      <c r="N1800" s="32"/>
      <c r="O1800" s="32"/>
      <c r="P1800" s="32"/>
      <c r="Q1800" s="34"/>
      <c r="R1800" s="35"/>
      <c r="S1800" s="35"/>
      <c r="T1800" s="36"/>
      <c r="U1800" s="36"/>
      <c r="V1800" s="36"/>
      <c r="W1800" s="36"/>
      <c r="X1800" s="36"/>
      <c r="Y1800" s="36"/>
    </row>
    <row r="1801">
      <c r="A1801" s="32"/>
      <c r="B1801" s="32"/>
      <c r="C1801" s="32"/>
      <c r="D1801" s="32"/>
      <c r="E1801" s="32"/>
      <c r="F1801" s="32"/>
      <c r="G1801" s="39"/>
      <c r="H1801" s="32"/>
      <c r="I1801" s="32"/>
      <c r="J1801" s="32"/>
      <c r="K1801" s="33"/>
      <c r="L1801" s="32"/>
      <c r="M1801" s="32"/>
      <c r="N1801" s="32"/>
      <c r="O1801" s="32"/>
      <c r="P1801" s="32"/>
      <c r="Q1801" s="34"/>
      <c r="R1801" s="35"/>
      <c r="S1801" s="35"/>
      <c r="T1801" s="36"/>
      <c r="U1801" s="36"/>
      <c r="V1801" s="36"/>
      <c r="W1801" s="36"/>
      <c r="X1801" s="36"/>
      <c r="Y1801" s="36"/>
    </row>
    <row r="1802">
      <c r="A1802" s="32"/>
      <c r="B1802" s="32"/>
      <c r="C1802" s="32"/>
      <c r="D1802" s="32"/>
      <c r="E1802" s="32"/>
      <c r="F1802" s="32"/>
      <c r="G1802" s="39"/>
      <c r="H1802" s="32"/>
      <c r="I1802" s="32"/>
      <c r="J1802" s="32"/>
      <c r="K1802" s="33"/>
      <c r="L1802" s="32"/>
      <c r="M1802" s="32"/>
      <c r="N1802" s="32"/>
      <c r="O1802" s="32"/>
      <c r="P1802" s="32"/>
      <c r="Q1802" s="34"/>
      <c r="R1802" s="35"/>
      <c r="S1802" s="35"/>
      <c r="T1802" s="36"/>
      <c r="U1802" s="36"/>
      <c r="V1802" s="36"/>
      <c r="W1802" s="36"/>
      <c r="X1802" s="36"/>
      <c r="Y1802" s="36"/>
    </row>
    <row r="1803">
      <c r="A1803" s="32"/>
      <c r="B1803" s="32"/>
      <c r="C1803" s="32"/>
      <c r="D1803" s="32"/>
      <c r="E1803" s="32"/>
      <c r="F1803" s="32"/>
      <c r="G1803" s="39"/>
      <c r="H1803" s="32"/>
      <c r="I1803" s="32"/>
      <c r="J1803" s="32"/>
      <c r="K1803" s="33"/>
      <c r="L1803" s="32"/>
      <c r="M1803" s="32"/>
      <c r="N1803" s="32"/>
      <c r="O1803" s="32"/>
      <c r="P1803" s="32"/>
      <c r="Q1803" s="34"/>
      <c r="R1803" s="35"/>
      <c r="S1803" s="35"/>
      <c r="T1803" s="36"/>
      <c r="U1803" s="36"/>
      <c r="V1803" s="36"/>
      <c r="W1803" s="36"/>
      <c r="X1803" s="36"/>
      <c r="Y1803" s="36"/>
    </row>
    <row r="1804">
      <c r="A1804" s="32"/>
      <c r="B1804" s="32"/>
      <c r="C1804" s="32"/>
      <c r="D1804" s="32"/>
      <c r="E1804" s="32"/>
      <c r="F1804" s="32"/>
      <c r="G1804" s="39"/>
      <c r="H1804" s="32"/>
      <c r="I1804" s="32"/>
      <c r="J1804" s="32"/>
      <c r="K1804" s="33"/>
      <c r="L1804" s="32"/>
      <c r="M1804" s="32"/>
      <c r="N1804" s="32"/>
      <c r="O1804" s="32"/>
      <c r="P1804" s="32"/>
      <c r="Q1804" s="34"/>
      <c r="R1804" s="35"/>
      <c r="S1804" s="35"/>
      <c r="T1804" s="36"/>
      <c r="U1804" s="36"/>
      <c r="V1804" s="36"/>
      <c r="W1804" s="36"/>
      <c r="X1804" s="36"/>
      <c r="Y1804" s="36"/>
    </row>
    <row r="1805">
      <c r="A1805" s="32"/>
      <c r="B1805" s="32"/>
      <c r="C1805" s="32"/>
      <c r="D1805" s="32"/>
      <c r="E1805" s="32"/>
      <c r="F1805" s="32"/>
      <c r="G1805" s="39"/>
      <c r="H1805" s="32"/>
      <c r="I1805" s="32"/>
      <c r="J1805" s="32"/>
      <c r="K1805" s="33"/>
      <c r="L1805" s="32"/>
      <c r="M1805" s="32"/>
      <c r="N1805" s="32"/>
      <c r="O1805" s="32"/>
      <c r="P1805" s="32"/>
      <c r="Q1805" s="34"/>
      <c r="R1805" s="35"/>
      <c r="S1805" s="35"/>
      <c r="T1805" s="36"/>
      <c r="U1805" s="36"/>
      <c r="V1805" s="36"/>
      <c r="W1805" s="36"/>
      <c r="X1805" s="36"/>
      <c r="Y1805" s="36"/>
    </row>
    <row r="1806">
      <c r="A1806" s="32"/>
      <c r="B1806" s="32"/>
      <c r="C1806" s="32"/>
      <c r="D1806" s="32"/>
      <c r="E1806" s="32"/>
      <c r="F1806" s="32"/>
      <c r="G1806" s="39"/>
      <c r="H1806" s="32"/>
      <c r="I1806" s="32"/>
      <c r="J1806" s="32"/>
      <c r="K1806" s="33"/>
      <c r="L1806" s="32"/>
      <c r="M1806" s="32"/>
      <c r="N1806" s="32"/>
      <c r="O1806" s="32"/>
      <c r="P1806" s="32"/>
      <c r="Q1806" s="34"/>
      <c r="R1806" s="35"/>
      <c r="S1806" s="35"/>
      <c r="T1806" s="36"/>
      <c r="U1806" s="36"/>
      <c r="V1806" s="36"/>
      <c r="W1806" s="36"/>
      <c r="X1806" s="36"/>
      <c r="Y1806" s="36"/>
    </row>
    <row r="1807">
      <c r="A1807" s="32"/>
      <c r="B1807" s="32"/>
      <c r="C1807" s="32"/>
      <c r="D1807" s="32"/>
      <c r="E1807" s="32"/>
      <c r="F1807" s="32"/>
      <c r="G1807" s="39"/>
      <c r="H1807" s="32"/>
      <c r="I1807" s="32"/>
      <c r="J1807" s="32"/>
      <c r="K1807" s="33"/>
      <c r="L1807" s="32"/>
      <c r="M1807" s="32"/>
      <c r="N1807" s="32"/>
      <c r="O1807" s="32"/>
      <c r="P1807" s="32"/>
      <c r="Q1807" s="34"/>
      <c r="R1807" s="35"/>
      <c r="S1807" s="35"/>
      <c r="T1807" s="36"/>
      <c r="U1807" s="36"/>
      <c r="V1807" s="36"/>
      <c r="W1807" s="36"/>
      <c r="X1807" s="36"/>
      <c r="Y1807" s="36"/>
    </row>
    <row r="1808">
      <c r="A1808" s="32"/>
      <c r="B1808" s="32"/>
      <c r="C1808" s="32"/>
      <c r="D1808" s="32"/>
      <c r="E1808" s="32"/>
      <c r="F1808" s="32"/>
      <c r="G1808" s="39"/>
      <c r="H1808" s="32"/>
      <c r="I1808" s="32"/>
      <c r="J1808" s="32"/>
      <c r="K1808" s="33"/>
      <c r="L1808" s="32"/>
      <c r="M1808" s="32"/>
      <c r="N1808" s="32"/>
      <c r="O1808" s="32"/>
      <c r="P1808" s="32"/>
      <c r="Q1808" s="34"/>
      <c r="R1808" s="35"/>
      <c r="S1808" s="35"/>
      <c r="T1808" s="36"/>
      <c r="U1808" s="36"/>
      <c r="V1808" s="36"/>
      <c r="W1808" s="36"/>
      <c r="X1808" s="36"/>
      <c r="Y1808" s="36"/>
    </row>
    <row r="1809">
      <c r="A1809" s="32"/>
      <c r="B1809" s="32"/>
      <c r="C1809" s="32"/>
      <c r="D1809" s="32"/>
      <c r="E1809" s="32"/>
      <c r="F1809" s="32"/>
      <c r="G1809" s="39"/>
      <c r="H1809" s="32"/>
      <c r="I1809" s="32"/>
      <c r="J1809" s="32"/>
      <c r="K1809" s="33"/>
      <c r="L1809" s="32"/>
      <c r="M1809" s="32"/>
      <c r="N1809" s="32"/>
      <c r="O1809" s="32"/>
      <c r="P1809" s="32"/>
      <c r="Q1809" s="34"/>
      <c r="R1809" s="35"/>
      <c r="S1809" s="35"/>
      <c r="T1809" s="36"/>
      <c r="U1809" s="36"/>
      <c r="V1809" s="36"/>
      <c r="W1809" s="36"/>
      <c r="X1809" s="36"/>
      <c r="Y1809" s="36"/>
    </row>
    <row r="1810">
      <c r="A1810" s="32"/>
      <c r="B1810" s="32"/>
      <c r="C1810" s="32"/>
      <c r="D1810" s="32"/>
      <c r="E1810" s="32"/>
      <c r="F1810" s="32"/>
      <c r="G1810" s="39"/>
      <c r="H1810" s="32"/>
      <c r="I1810" s="32"/>
      <c r="J1810" s="32"/>
      <c r="K1810" s="33"/>
      <c r="L1810" s="32"/>
      <c r="M1810" s="32"/>
      <c r="N1810" s="32"/>
      <c r="O1810" s="32"/>
      <c r="P1810" s="32"/>
      <c r="Q1810" s="34"/>
      <c r="R1810" s="35"/>
      <c r="S1810" s="35"/>
      <c r="T1810" s="36"/>
      <c r="U1810" s="36"/>
      <c r="V1810" s="36"/>
      <c r="W1810" s="36"/>
      <c r="X1810" s="36"/>
      <c r="Y1810" s="36"/>
    </row>
    <row r="1811">
      <c r="A1811" s="32"/>
      <c r="B1811" s="32"/>
      <c r="C1811" s="32"/>
      <c r="D1811" s="32"/>
      <c r="E1811" s="32"/>
      <c r="F1811" s="32"/>
      <c r="G1811" s="39"/>
      <c r="H1811" s="32"/>
      <c r="I1811" s="32"/>
      <c r="J1811" s="32"/>
      <c r="K1811" s="33"/>
      <c r="L1811" s="32"/>
      <c r="M1811" s="32"/>
      <c r="N1811" s="32"/>
      <c r="O1811" s="32"/>
      <c r="P1811" s="32"/>
      <c r="Q1811" s="34"/>
      <c r="R1811" s="35"/>
      <c r="S1811" s="35"/>
      <c r="T1811" s="36"/>
      <c r="U1811" s="36"/>
      <c r="V1811" s="36"/>
      <c r="W1811" s="36"/>
      <c r="X1811" s="36"/>
      <c r="Y1811" s="36"/>
    </row>
    <row r="1812">
      <c r="A1812" s="32"/>
      <c r="B1812" s="32"/>
      <c r="C1812" s="32"/>
      <c r="D1812" s="32"/>
      <c r="E1812" s="32"/>
      <c r="F1812" s="32"/>
      <c r="G1812" s="39"/>
      <c r="H1812" s="32"/>
      <c r="I1812" s="32"/>
      <c r="J1812" s="32"/>
      <c r="K1812" s="33"/>
      <c r="L1812" s="32"/>
      <c r="M1812" s="32"/>
      <c r="N1812" s="32"/>
      <c r="O1812" s="32"/>
      <c r="P1812" s="32"/>
      <c r="Q1812" s="34"/>
      <c r="R1812" s="35"/>
      <c r="S1812" s="35"/>
      <c r="T1812" s="36"/>
      <c r="U1812" s="36"/>
      <c r="V1812" s="36"/>
      <c r="W1812" s="36"/>
      <c r="X1812" s="36"/>
      <c r="Y1812" s="36"/>
    </row>
    <row r="1813">
      <c r="A1813" s="32"/>
      <c r="B1813" s="32"/>
      <c r="C1813" s="32"/>
      <c r="D1813" s="32"/>
      <c r="E1813" s="32"/>
      <c r="F1813" s="32"/>
      <c r="G1813" s="39"/>
      <c r="H1813" s="32"/>
      <c r="I1813" s="32"/>
      <c r="J1813" s="32"/>
      <c r="K1813" s="33"/>
      <c r="L1813" s="32"/>
      <c r="M1813" s="32"/>
      <c r="N1813" s="32"/>
      <c r="O1813" s="32"/>
      <c r="P1813" s="32"/>
      <c r="Q1813" s="34"/>
      <c r="R1813" s="35"/>
      <c r="S1813" s="35"/>
      <c r="T1813" s="36"/>
      <c r="U1813" s="36"/>
      <c r="V1813" s="36"/>
      <c r="W1813" s="36"/>
      <c r="X1813" s="36"/>
      <c r="Y1813" s="36"/>
    </row>
    <row r="1814">
      <c r="A1814" s="32"/>
      <c r="B1814" s="32"/>
      <c r="C1814" s="32"/>
      <c r="D1814" s="32"/>
      <c r="E1814" s="32"/>
      <c r="F1814" s="32"/>
      <c r="G1814" s="39"/>
      <c r="H1814" s="32"/>
      <c r="I1814" s="32"/>
      <c r="J1814" s="32"/>
      <c r="K1814" s="33"/>
      <c r="L1814" s="32"/>
      <c r="M1814" s="32"/>
      <c r="N1814" s="32"/>
      <c r="O1814" s="32"/>
      <c r="P1814" s="32"/>
      <c r="Q1814" s="34"/>
      <c r="R1814" s="35"/>
      <c r="S1814" s="35"/>
      <c r="T1814" s="36"/>
      <c r="U1814" s="36"/>
      <c r="V1814" s="36"/>
      <c r="W1814" s="36"/>
      <c r="X1814" s="36"/>
      <c r="Y1814" s="36"/>
    </row>
    <row r="1815">
      <c r="A1815" s="32"/>
      <c r="B1815" s="32"/>
      <c r="C1815" s="32"/>
      <c r="D1815" s="32"/>
      <c r="E1815" s="32"/>
      <c r="F1815" s="32"/>
      <c r="G1815" s="39"/>
      <c r="H1815" s="32"/>
      <c r="I1815" s="32"/>
      <c r="J1815" s="32"/>
      <c r="K1815" s="33"/>
      <c r="L1815" s="32"/>
      <c r="M1815" s="32"/>
      <c r="N1815" s="32"/>
      <c r="O1815" s="32"/>
      <c r="P1815" s="32"/>
      <c r="Q1815" s="34"/>
      <c r="R1815" s="35"/>
      <c r="S1815" s="35"/>
      <c r="T1815" s="36"/>
      <c r="U1815" s="36"/>
      <c r="V1815" s="36"/>
      <c r="W1815" s="36"/>
      <c r="X1815" s="36"/>
      <c r="Y1815" s="36"/>
    </row>
    <row r="1816">
      <c r="A1816" s="32"/>
      <c r="B1816" s="32"/>
      <c r="C1816" s="32"/>
      <c r="D1816" s="32"/>
      <c r="E1816" s="32"/>
      <c r="F1816" s="32"/>
      <c r="G1816" s="39"/>
      <c r="H1816" s="32"/>
      <c r="I1816" s="32"/>
      <c r="J1816" s="32"/>
      <c r="K1816" s="33"/>
      <c r="L1816" s="32"/>
      <c r="M1816" s="32"/>
      <c r="N1816" s="32"/>
      <c r="O1816" s="32"/>
      <c r="P1816" s="32"/>
      <c r="Q1816" s="34"/>
      <c r="R1816" s="35"/>
      <c r="S1816" s="35"/>
      <c r="T1816" s="36"/>
      <c r="U1816" s="36"/>
      <c r="V1816" s="36"/>
      <c r="W1816" s="36"/>
      <c r="X1816" s="36"/>
      <c r="Y1816" s="36"/>
    </row>
    <row r="1817">
      <c r="A1817" s="32"/>
      <c r="B1817" s="32"/>
      <c r="C1817" s="32"/>
      <c r="D1817" s="32"/>
      <c r="E1817" s="32"/>
      <c r="F1817" s="32"/>
      <c r="G1817" s="39"/>
      <c r="H1817" s="32"/>
      <c r="I1817" s="32"/>
      <c r="J1817" s="32"/>
      <c r="K1817" s="33"/>
      <c r="L1817" s="32"/>
      <c r="M1817" s="32"/>
      <c r="N1817" s="32"/>
      <c r="O1817" s="32"/>
      <c r="P1817" s="32"/>
      <c r="Q1817" s="34"/>
      <c r="R1817" s="35"/>
      <c r="S1817" s="35"/>
      <c r="T1817" s="36"/>
      <c r="U1817" s="36"/>
      <c r="V1817" s="36"/>
      <c r="W1817" s="36"/>
      <c r="X1817" s="36"/>
      <c r="Y1817" s="36"/>
    </row>
    <row r="1818">
      <c r="A1818" s="32"/>
      <c r="B1818" s="32"/>
      <c r="C1818" s="32"/>
      <c r="D1818" s="32"/>
      <c r="E1818" s="32"/>
      <c r="F1818" s="32"/>
      <c r="G1818" s="39"/>
      <c r="H1818" s="32"/>
      <c r="I1818" s="32"/>
      <c r="J1818" s="32"/>
      <c r="K1818" s="33"/>
      <c r="L1818" s="32"/>
      <c r="M1818" s="32"/>
      <c r="N1818" s="32"/>
      <c r="O1818" s="32"/>
      <c r="P1818" s="32"/>
      <c r="Q1818" s="34"/>
      <c r="R1818" s="35"/>
      <c r="S1818" s="35"/>
      <c r="T1818" s="36"/>
      <c r="U1818" s="36"/>
      <c r="V1818" s="36"/>
      <c r="W1818" s="36"/>
      <c r="X1818" s="36"/>
      <c r="Y1818" s="36"/>
    </row>
    <row r="1819">
      <c r="A1819" s="32"/>
      <c r="B1819" s="32"/>
      <c r="C1819" s="32"/>
      <c r="D1819" s="32"/>
      <c r="E1819" s="32"/>
      <c r="F1819" s="32"/>
      <c r="G1819" s="39"/>
      <c r="H1819" s="32"/>
      <c r="I1819" s="32"/>
      <c r="J1819" s="32"/>
      <c r="K1819" s="33"/>
      <c r="L1819" s="32"/>
      <c r="M1819" s="32"/>
      <c r="N1819" s="32"/>
      <c r="O1819" s="32"/>
      <c r="P1819" s="32"/>
      <c r="Q1819" s="34"/>
      <c r="R1819" s="35"/>
      <c r="S1819" s="35"/>
      <c r="T1819" s="36"/>
      <c r="U1819" s="36"/>
      <c r="V1819" s="36"/>
      <c r="W1819" s="36"/>
      <c r="X1819" s="36"/>
      <c r="Y1819" s="36"/>
    </row>
    <row r="1820">
      <c r="A1820" s="32"/>
      <c r="B1820" s="32"/>
      <c r="C1820" s="32"/>
      <c r="D1820" s="32"/>
      <c r="E1820" s="32"/>
      <c r="F1820" s="32"/>
      <c r="G1820" s="39"/>
      <c r="H1820" s="32"/>
      <c r="I1820" s="32"/>
      <c r="J1820" s="32"/>
      <c r="K1820" s="33"/>
      <c r="L1820" s="32"/>
      <c r="M1820" s="32"/>
      <c r="N1820" s="32"/>
      <c r="O1820" s="32"/>
      <c r="P1820" s="32"/>
      <c r="Q1820" s="34"/>
      <c r="R1820" s="35"/>
      <c r="S1820" s="35"/>
      <c r="T1820" s="36"/>
      <c r="U1820" s="36"/>
      <c r="V1820" s="36"/>
      <c r="W1820" s="36"/>
      <c r="X1820" s="36"/>
      <c r="Y1820" s="36"/>
    </row>
    <row r="1821">
      <c r="A1821" s="32"/>
      <c r="B1821" s="32"/>
      <c r="C1821" s="32"/>
      <c r="D1821" s="32"/>
      <c r="E1821" s="32"/>
      <c r="F1821" s="32"/>
      <c r="G1821" s="39"/>
      <c r="H1821" s="32"/>
      <c r="I1821" s="32"/>
      <c r="J1821" s="32"/>
      <c r="K1821" s="33"/>
      <c r="L1821" s="32"/>
      <c r="M1821" s="32"/>
      <c r="N1821" s="32"/>
      <c r="O1821" s="32"/>
      <c r="P1821" s="32"/>
      <c r="Q1821" s="34"/>
      <c r="R1821" s="35"/>
      <c r="S1821" s="35"/>
      <c r="T1821" s="36"/>
      <c r="U1821" s="36"/>
      <c r="V1821" s="36"/>
      <c r="W1821" s="36"/>
      <c r="X1821" s="36"/>
      <c r="Y1821" s="36"/>
    </row>
    <row r="1822">
      <c r="A1822" s="32"/>
      <c r="B1822" s="32"/>
      <c r="C1822" s="32"/>
      <c r="D1822" s="32"/>
      <c r="E1822" s="32"/>
      <c r="F1822" s="32"/>
      <c r="G1822" s="39"/>
      <c r="H1822" s="32"/>
      <c r="I1822" s="32"/>
      <c r="J1822" s="32"/>
      <c r="K1822" s="33"/>
      <c r="L1822" s="32"/>
      <c r="M1822" s="32"/>
      <c r="N1822" s="32"/>
      <c r="O1822" s="32"/>
      <c r="P1822" s="32"/>
      <c r="Q1822" s="34"/>
      <c r="R1822" s="35"/>
      <c r="S1822" s="35"/>
      <c r="T1822" s="36"/>
      <c r="U1822" s="36"/>
      <c r="V1822" s="36"/>
      <c r="W1822" s="36"/>
      <c r="X1822" s="36"/>
      <c r="Y1822" s="36"/>
    </row>
    <row r="1823">
      <c r="A1823" s="32"/>
      <c r="B1823" s="32"/>
      <c r="C1823" s="32"/>
      <c r="D1823" s="32"/>
      <c r="E1823" s="32"/>
      <c r="F1823" s="32"/>
      <c r="G1823" s="39"/>
      <c r="H1823" s="32"/>
      <c r="I1823" s="32"/>
      <c r="J1823" s="32"/>
      <c r="K1823" s="33"/>
      <c r="L1823" s="32"/>
      <c r="M1823" s="32"/>
      <c r="N1823" s="32"/>
      <c r="O1823" s="32"/>
      <c r="P1823" s="32"/>
      <c r="Q1823" s="34"/>
      <c r="R1823" s="35"/>
      <c r="S1823" s="35"/>
      <c r="T1823" s="36"/>
      <c r="U1823" s="36"/>
      <c r="V1823" s="36"/>
      <c r="W1823" s="36"/>
      <c r="X1823" s="36"/>
      <c r="Y1823" s="36"/>
    </row>
    <row r="1824">
      <c r="A1824" s="32"/>
      <c r="B1824" s="32"/>
      <c r="C1824" s="32"/>
      <c r="D1824" s="32"/>
      <c r="E1824" s="32"/>
      <c r="F1824" s="32"/>
      <c r="G1824" s="39"/>
      <c r="H1824" s="32"/>
      <c r="I1824" s="32"/>
      <c r="J1824" s="32"/>
      <c r="K1824" s="33"/>
      <c r="L1824" s="32"/>
      <c r="M1824" s="32"/>
      <c r="N1824" s="32"/>
      <c r="O1824" s="32"/>
      <c r="P1824" s="32"/>
      <c r="Q1824" s="34"/>
      <c r="R1824" s="35"/>
      <c r="S1824" s="35"/>
      <c r="T1824" s="36"/>
      <c r="U1824" s="36"/>
      <c r="V1824" s="36"/>
      <c r="W1824" s="36"/>
      <c r="X1824" s="36"/>
      <c r="Y1824" s="36"/>
    </row>
    <row r="1825">
      <c r="A1825" s="32"/>
      <c r="B1825" s="32"/>
      <c r="C1825" s="32"/>
      <c r="D1825" s="32"/>
      <c r="E1825" s="32"/>
      <c r="F1825" s="32"/>
      <c r="G1825" s="39"/>
      <c r="H1825" s="32"/>
      <c r="I1825" s="32"/>
      <c r="J1825" s="32"/>
      <c r="K1825" s="33"/>
      <c r="L1825" s="32"/>
      <c r="M1825" s="32"/>
      <c r="N1825" s="32"/>
      <c r="O1825" s="32"/>
      <c r="P1825" s="32"/>
      <c r="Q1825" s="34"/>
      <c r="R1825" s="35"/>
      <c r="S1825" s="35"/>
      <c r="T1825" s="36"/>
      <c r="U1825" s="36"/>
      <c r="V1825" s="36"/>
      <c r="W1825" s="36"/>
      <c r="X1825" s="36"/>
      <c r="Y1825" s="36"/>
    </row>
    <row r="1826">
      <c r="A1826" s="32"/>
      <c r="B1826" s="32"/>
      <c r="C1826" s="32"/>
      <c r="D1826" s="32"/>
      <c r="E1826" s="32"/>
      <c r="F1826" s="32"/>
      <c r="G1826" s="39"/>
      <c r="H1826" s="32"/>
      <c r="I1826" s="32"/>
      <c r="J1826" s="32"/>
      <c r="K1826" s="33"/>
      <c r="L1826" s="32"/>
      <c r="M1826" s="32"/>
      <c r="N1826" s="32"/>
      <c r="O1826" s="32"/>
      <c r="P1826" s="32"/>
      <c r="Q1826" s="34"/>
      <c r="R1826" s="35"/>
      <c r="S1826" s="35"/>
      <c r="T1826" s="36"/>
      <c r="U1826" s="36"/>
      <c r="V1826" s="36"/>
      <c r="W1826" s="36"/>
      <c r="X1826" s="36"/>
      <c r="Y1826" s="36"/>
    </row>
    <row r="1827">
      <c r="A1827" s="32"/>
      <c r="B1827" s="32"/>
      <c r="C1827" s="32"/>
      <c r="D1827" s="32"/>
      <c r="E1827" s="32"/>
      <c r="F1827" s="32"/>
      <c r="G1827" s="39"/>
      <c r="H1827" s="32"/>
      <c r="I1827" s="32"/>
      <c r="J1827" s="32"/>
      <c r="K1827" s="33"/>
      <c r="L1827" s="32"/>
      <c r="M1827" s="32"/>
      <c r="N1827" s="32"/>
      <c r="O1827" s="32"/>
      <c r="P1827" s="32"/>
      <c r="Q1827" s="34"/>
      <c r="R1827" s="35"/>
      <c r="S1827" s="35"/>
      <c r="T1827" s="36"/>
      <c r="U1827" s="36"/>
      <c r="V1827" s="36"/>
      <c r="W1827" s="36"/>
      <c r="X1827" s="36"/>
      <c r="Y1827" s="36"/>
    </row>
    <row r="1828">
      <c r="A1828" s="32"/>
      <c r="B1828" s="32"/>
      <c r="C1828" s="32"/>
      <c r="D1828" s="32"/>
      <c r="E1828" s="32"/>
      <c r="F1828" s="32"/>
      <c r="G1828" s="39"/>
      <c r="H1828" s="32"/>
      <c r="I1828" s="32"/>
      <c r="J1828" s="32"/>
      <c r="K1828" s="33"/>
      <c r="L1828" s="32"/>
      <c r="M1828" s="32"/>
      <c r="N1828" s="32"/>
      <c r="O1828" s="32"/>
      <c r="P1828" s="32"/>
      <c r="Q1828" s="34"/>
      <c r="R1828" s="35"/>
      <c r="S1828" s="35"/>
      <c r="T1828" s="36"/>
      <c r="U1828" s="36"/>
      <c r="V1828" s="36"/>
      <c r="W1828" s="36"/>
      <c r="X1828" s="36"/>
      <c r="Y1828" s="36"/>
    </row>
    <row r="1829">
      <c r="A1829" s="32"/>
      <c r="B1829" s="32"/>
      <c r="C1829" s="32"/>
      <c r="D1829" s="32"/>
      <c r="E1829" s="32"/>
      <c r="F1829" s="32"/>
      <c r="G1829" s="39"/>
      <c r="H1829" s="32"/>
      <c r="I1829" s="32"/>
      <c r="J1829" s="32"/>
      <c r="K1829" s="33"/>
      <c r="L1829" s="32"/>
      <c r="M1829" s="32"/>
      <c r="N1829" s="32"/>
      <c r="O1829" s="32"/>
      <c r="P1829" s="32"/>
      <c r="Q1829" s="34"/>
      <c r="R1829" s="35"/>
      <c r="S1829" s="35"/>
      <c r="T1829" s="36"/>
      <c r="U1829" s="36"/>
      <c r="V1829" s="36"/>
      <c r="W1829" s="36"/>
      <c r="X1829" s="36"/>
      <c r="Y1829" s="36"/>
    </row>
    <row r="1830">
      <c r="A1830" s="32"/>
      <c r="B1830" s="32"/>
      <c r="C1830" s="32"/>
      <c r="D1830" s="32"/>
      <c r="E1830" s="32"/>
      <c r="F1830" s="32"/>
      <c r="G1830" s="39"/>
      <c r="H1830" s="32"/>
      <c r="I1830" s="32"/>
      <c r="J1830" s="32"/>
      <c r="K1830" s="33"/>
      <c r="L1830" s="32"/>
      <c r="M1830" s="32"/>
      <c r="N1830" s="32"/>
      <c r="O1830" s="32"/>
      <c r="P1830" s="32"/>
      <c r="Q1830" s="34"/>
      <c r="R1830" s="35"/>
      <c r="S1830" s="35"/>
      <c r="T1830" s="36"/>
      <c r="U1830" s="36"/>
      <c r="V1830" s="36"/>
      <c r="W1830" s="36"/>
      <c r="X1830" s="36"/>
      <c r="Y1830" s="36"/>
    </row>
    <row r="1831">
      <c r="A1831" s="32"/>
      <c r="B1831" s="32"/>
      <c r="C1831" s="32"/>
      <c r="D1831" s="32"/>
      <c r="E1831" s="32"/>
      <c r="F1831" s="32"/>
      <c r="G1831" s="39"/>
      <c r="H1831" s="32"/>
      <c r="I1831" s="32"/>
      <c r="J1831" s="32"/>
      <c r="K1831" s="33"/>
      <c r="L1831" s="32"/>
      <c r="M1831" s="32"/>
      <c r="N1831" s="32"/>
      <c r="O1831" s="32"/>
      <c r="P1831" s="32"/>
      <c r="Q1831" s="34"/>
      <c r="R1831" s="35"/>
      <c r="S1831" s="35"/>
      <c r="T1831" s="36"/>
      <c r="U1831" s="36"/>
      <c r="V1831" s="36"/>
      <c r="W1831" s="36"/>
      <c r="X1831" s="36"/>
      <c r="Y1831" s="36"/>
    </row>
    <row r="1832">
      <c r="A1832" s="32"/>
      <c r="B1832" s="32"/>
      <c r="C1832" s="32"/>
      <c r="D1832" s="32"/>
      <c r="E1832" s="32"/>
      <c r="F1832" s="32"/>
      <c r="G1832" s="39"/>
      <c r="H1832" s="32"/>
      <c r="I1832" s="32"/>
      <c r="J1832" s="32"/>
      <c r="K1832" s="33"/>
      <c r="L1832" s="32"/>
      <c r="M1832" s="32"/>
      <c r="N1832" s="32"/>
      <c r="O1832" s="32"/>
      <c r="P1832" s="32"/>
      <c r="Q1832" s="34"/>
      <c r="R1832" s="35"/>
      <c r="S1832" s="35"/>
      <c r="T1832" s="36"/>
      <c r="U1832" s="36"/>
      <c r="V1832" s="36"/>
      <c r="W1832" s="36"/>
      <c r="X1832" s="36"/>
      <c r="Y1832" s="36"/>
    </row>
    <row r="1833">
      <c r="A1833" s="32"/>
      <c r="B1833" s="32"/>
      <c r="C1833" s="32"/>
      <c r="D1833" s="32"/>
      <c r="E1833" s="32"/>
      <c r="F1833" s="32"/>
      <c r="G1833" s="39"/>
      <c r="H1833" s="32"/>
      <c r="I1833" s="32"/>
      <c r="J1833" s="32"/>
      <c r="K1833" s="33"/>
      <c r="L1833" s="32"/>
      <c r="M1833" s="32"/>
      <c r="N1833" s="32"/>
      <c r="O1833" s="32"/>
      <c r="P1833" s="32"/>
      <c r="Q1833" s="34"/>
      <c r="R1833" s="35"/>
      <c r="S1833" s="35"/>
      <c r="T1833" s="36"/>
      <c r="U1833" s="36"/>
      <c r="V1833" s="36"/>
      <c r="W1833" s="36"/>
      <c r="X1833" s="36"/>
      <c r="Y1833" s="36"/>
    </row>
    <row r="1834">
      <c r="A1834" s="32"/>
      <c r="B1834" s="32"/>
      <c r="C1834" s="32"/>
      <c r="D1834" s="32"/>
      <c r="E1834" s="32"/>
      <c r="F1834" s="32"/>
      <c r="G1834" s="39"/>
      <c r="H1834" s="32"/>
      <c r="I1834" s="32"/>
      <c r="J1834" s="32"/>
      <c r="K1834" s="33"/>
      <c r="L1834" s="32"/>
      <c r="M1834" s="32"/>
      <c r="N1834" s="32"/>
      <c r="O1834" s="32"/>
      <c r="P1834" s="32"/>
      <c r="Q1834" s="34"/>
      <c r="R1834" s="35"/>
      <c r="S1834" s="35"/>
      <c r="T1834" s="36"/>
      <c r="U1834" s="36"/>
      <c r="V1834" s="36"/>
      <c r="W1834" s="36"/>
      <c r="X1834" s="36"/>
      <c r="Y1834" s="36"/>
    </row>
    <row r="1835">
      <c r="A1835" s="32"/>
      <c r="B1835" s="32"/>
      <c r="C1835" s="32"/>
      <c r="D1835" s="32"/>
      <c r="E1835" s="32"/>
      <c r="F1835" s="32"/>
      <c r="G1835" s="39"/>
      <c r="H1835" s="32"/>
      <c r="I1835" s="32"/>
      <c r="J1835" s="32"/>
      <c r="K1835" s="33"/>
      <c r="L1835" s="32"/>
      <c r="M1835" s="32"/>
      <c r="N1835" s="32"/>
      <c r="O1835" s="32"/>
      <c r="P1835" s="32"/>
      <c r="Q1835" s="34"/>
      <c r="R1835" s="35"/>
      <c r="S1835" s="35"/>
      <c r="T1835" s="36"/>
      <c r="U1835" s="36"/>
      <c r="V1835" s="36"/>
      <c r="W1835" s="36"/>
      <c r="X1835" s="36"/>
      <c r="Y1835" s="36"/>
    </row>
    <row r="1836">
      <c r="A1836" s="32"/>
      <c r="B1836" s="32"/>
      <c r="C1836" s="32"/>
      <c r="D1836" s="32"/>
      <c r="E1836" s="32"/>
      <c r="F1836" s="32"/>
      <c r="G1836" s="39"/>
      <c r="H1836" s="32"/>
      <c r="I1836" s="32"/>
      <c r="J1836" s="32"/>
      <c r="K1836" s="33"/>
      <c r="L1836" s="32"/>
      <c r="M1836" s="32"/>
      <c r="N1836" s="32"/>
      <c r="O1836" s="32"/>
      <c r="P1836" s="32"/>
      <c r="Q1836" s="34"/>
      <c r="R1836" s="35"/>
      <c r="S1836" s="35"/>
      <c r="T1836" s="36"/>
      <c r="U1836" s="36"/>
      <c r="V1836" s="36"/>
      <c r="W1836" s="36"/>
      <c r="X1836" s="36"/>
      <c r="Y1836" s="36"/>
    </row>
    <row r="1837">
      <c r="A1837" s="32"/>
      <c r="B1837" s="32"/>
      <c r="C1837" s="32"/>
      <c r="D1837" s="32"/>
      <c r="E1837" s="32"/>
      <c r="F1837" s="32"/>
      <c r="G1837" s="39"/>
      <c r="H1837" s="32"/>
      <c r="I1837" s="32"/>
      <c r="J1837" s="32"/>
      <c r="K1837" s="33"/>
      <c r="L1837" s="32"/>
      <c r="M1837" s="32"/>
      <c r="N1837" s="32"/>
      <c r="O1837" s="32"/>
      <c r="P1837" s="32"/>
      <c r="Q1837" s="34"/>
      <c r="R1837" s="35"/>
      <c r="S1837" s="35"/>
      <c r="T1837" s="36"/>
      <c r="U1837" s="36"/>
      <c r="V1837" s="36"/>
      <c r="W1837" s="36"/>
      <c r="X1837" s="36"/>
      <c r="Y1837" s="36"/>
    </row>
    <row r="1838">
      <c r="A1838" s="32"/>
      <c r="B1838" s="32"/>
      <c r="C1838" s="32"/>
      <c r="D1838" s="32"/>
      <c r="E1838" s="32"/>
      <c r="F1838" s="32"/>
      <c r="G1838" s="39"/>
      <c r="H1838" s="32"/>
      <c r="I1838" s="32"/>
      <c r="J1838" s="32"/>
      <c r="K1838" s="33"/>
      <c r="L1838" s="32"/>
      <c r="M1838" s="32"/>
      <c r="N1838" s="32"/>
      <c r="O1838" s="32"/>
      <c r="P1838" s="32"/>
      <c r="Q1838" s="34"/>
      <c r="R1838" s="35"/>
      <c r="S1838" s="35"/>
      <c r="T1838" s="36"/>
      <c r="U1838" s="36"/>
      <c r="V1838" s="36"/>
      <c r="W1838" s="36"/>
      <c r="X1838" s="36"/>
      <c r="Y1838" s="36"/>
    </row>
    <row r="1839">
      <c r="A1839" s="32"/>
      <c r="B1839" s="32"/>
      <c r="C1839" s="32"/>
      <c r="D1839" s="32"/>
      <c r="E1839" s="32"/>
      <c r="F1839" s="32"/>
      <c r="G1839" s="39"/>
      <c r="H1839" s="32"/>
      <c r="I1839" s="32"/>
      <c r="J1839" s="32"/>
      <c r="K1839" s="33"/>
      <c r="L1839" s="32"/>
      <c r="M1839" s="32"/>
      <c r="N1839" s="32"/>
      <c r="O1839" s="32"/>
      <c r="P1839" s="32"/>
      <c r="Q1839" s="34"/>
      <c r="R1839" s="35"/>
      <c r="S1839" s="35"/>
      <c r="T1839" s="36"/>
      <c r="U1839" s="36"/>
      <c r="V1839" s="36"/>
      <c r="W1839" s="36"/>
      <c r="X1839" s="36"/>
      <c r="Y1839" s="36"/>
    </row>
    <row r="1840">
      <c r="A1840" s="32"/>
      <c r="B1840" s="32"/>
      <c r="C1840" s="32"/>
      <c r="D1840" s="32"/>
      <c r="E1840" s="32"/>
      <c r="F1840" s="32"/>
      <c r="G1840" s="39"/>
      <c r="H1840" s="32"/>
      <c r="I1840" s="32"/>
      <c r="J1840" s="32"/>
      <c r="K1840" s="33"/>
      <c r="L1840" s="32"/>
      <c r="M1840" s="32"/>
      <c r="N1840" s="32"/>
      <c r="O1840" s="32"/>
      <c r="P1840" s="32"/>
      <c r="Q1840" s="34"/>
      <c r="R1840" s="35"/>
      <c r="S1840" s="35"/>
      <c r="T1840" s="36"/>
      <c r="U1840" s="36"/>
      <c r="V1840" s="36"/>
      <c r="W1840" s="36"/>
      <c r="X1840" s="36"/>
      <c r="Y1840" s="36"/>
    </row>
    <row r="1841">
      <c r="A1841" s="32"/>
      <c r="B1841" s="32"/>
      <c r="C1841" s="32"/>
      <c r="D1841" s="32"/>
      <c r="E1841" s="32"/>
      <c r="F1841" s="32"/>
      <c r="G1841" s="39"/>
      <c r="H1841" s="32"/>
      <c r="I1841" s="32"/>
      <c r="J1841" s="32"/>
      <c r="K1841" s="33"/>
      <c r="L1841" s="32"/>
      <c r="M1841" s="32"/>
      <c r="N1841" s="32"/>
      <c r="O1841" s="32"/>
      <c r="P1841" s="32"/>
      <c r="Q1841" s="34"/>
      <c r="R1841" s="35"/>
      <c r="S1841" s="35"/>
      <c r="T1841" s="36"/>
      <c r="U1841" s="36"/>
      <c r="V1841" s="36"/>
      <c r="W1841" s="36"/>
      <c r="X1841" s="36"/>
      <c r="Y1841" s="36"/>
    </row>
    <row r="1842">
      <c r="A1842" s="32"/>
      <c r="B1842" s="32"/>
      <c r="C1842" s="32"/>
      <c r="D1842" s="32"/>
      <c r="E1842" s="32"/>
      <c r="F1842" s="32"/>
      <c r="G1842" s="39"/>
      <c r="H1842" s="32"/>
      <c r="I1842" s="32"/>
      <c r="J1842" s="32"/>
      <c r="K1842" s="33"/>
      <c r="L1842" s="32"/>
      <c r="M1842" s="32"/>
      <c r="N1842" s="32"/>
      <c r="O1842" s="32"/>
      <c r="P1842" s="32"/>
      <c r="Q1842" s="34"/>
      <c r="R1842" s="35"/>
      <c r="S1842" s="35"/>
      <c r="T1842" s="36"/>
      <c r="U1842" s="36"/>
      <c r="V1842" s="36"/>
      <c r="W1842" s="36"/>
      <c r="X1842" s="36"/>
      <c r="Y1842" s="36"/>
    </row>
    <row r="1843">
      <c r="A1843" s="32"/>
      <c r="B1843" s="32"/>
      <c r="C1843" s="32"/>
      <c r="D1843" s="32"/>
      <c r="E1843" s="32"/>
      <c r="F1843" s="32"/>
      <c r="G1843" s="39"/>
      <c r="H1843" s="32"/>
      <c r="I1843" s="32"/>
      <c r="J1843" s="32"/>
      <c r="K1843" s="33"/>
      <c r="L1843" s="32"/>
      <c r="M1843" s="32"/>
      <c r="N1843" s="32"/>
      <c r="O1843" s="32"/>
      <c r="P1843" s="32"/>
      <c r="Q1843" s="34"/>
      <c r="R1843" s="35"/>
      <c r="S1843" s="35"/>
      <c r="T1843" s="36"/>
      <c r="U1843" s="36"/>
      <c r="V1843" s="36"/>
      <c r="W1843" s="36"/>
      <c r="X1843" s="36"/>
      <c r="Y1843" s="36"/>
    </row>
    <row r="1844">
      <c r="A1844" s="32"/>
      <c r="B1844" s="32"/>
      <c r="C1844" s="32"/>
      <c r="D1844" s="32"/>
      <c r="E1844" s="32"/>
      <c r="F1844" s="32"/>
      <c r="G1844" s="39"/>
      <c r="H1844" s="32"/>
      <c r="I1844" s="32"/>
      <c r="J1844" s="32"/>
      <c r="K1844" s="33"/>
      <c r="L1844" s="32"/>
      <c r="M1844" s="32"/>
      <c r="N1844" s="32"/>
      <c r="O1844" s="32"/>
      <c r="P1844" s="32"/>
      <c r="Q1844" s="34"/>
      <c r="R1844" s="35"/>
      <c r="S1844" s="35"/>
      <c r="T1844" s="36"/>
      <c r="U1844" s="36"/>
      <c r="V1844" s="36"/>
      <c r="W1844" s="36"/>
      <c r="X1844" s="36"/>
      <c r="Y1844" s="36"/>
    </row>
    <row r="1845">
      <c r="A1845" s="32"/>
      <c r="B1845" s="32"/>
      <c r="C1845" s="32"/>
      <c r="D1845" s="32"/>
      <c r="E1845" s="32"/>
      <c r="F1845" s="32"/>
      <c r="G1845" s="39"/>
      <c r="H1845" s="32"/>
      <c r="I1845" s="32"/>
      <c r="J1845" s="32"/>
      <c r="K1845" s="33"/>
      <c r="L1845" s="32"/>
      <c r="M1845" s="32"/>
      <c r="N1845" s="32"/>
      <c r="O1845" s="32"/>
      <c r="P1845" s="32"/>
      <c r="Q1845" s="34"/>
      <c r="R1845" s="35"/>
      <c r="S1845" s="35"/>
      <c r="T1845" s="36"/>
      <c r="U1845" s="36"/>
      <c r="V1845" s="36"/>
      <c r="W1845" s="36"/>
      <c r="X1845" s="36"/>
      <c r="Y1845" s="36"/>
    </row>
    <row r="1846">
      <c r="A1846" s="32"/>
      <c r="B1846" s="32"/>
      <c r="C1846" s="32"/>
      <c r="D1846" s="32"/>
      <c r="E1846" s="32"/>
      <c r="F1846" s="32"/>
      <c r="G1846" s="39"/>
      <c r="H1846" s="32"/>
      <c r="I1846" s="32"/>
      <c r="J1846" s="32"/>
      <c r="K1846" s="33"/>
      <c r="L1846" s="32"/>
      <c r="M1846" s="32"/>
      <c r="N1846" s="32"/>
      <c r="O1846" s="32"/>
      <c r="P1846" s="32"/>
      <c r="Q1846" s="34"/>
      <c r="R1846" s="35"/>
      <c r="S1846" s="35"/>
      <c r="T1846" s="36"/>
      <c r="U1846" s="36"/>
      <c r="V1846" s="36"/>
      <c r="W1846" s="36"/>
      <c r="X1846" s="36"/>
      <c r="Y1846" s="36"/>
    </row>
    <row r="1847">
      <c r="A1847" s="32"/>
      <c r="B1847" s="32"/>
      <c r="C1847" s="32"/>
      <c r="D1847" s="32"/>
      <c r="E1847" s="32"/>
      <c r="F1847" s="32"/>
      <c r="G1847" s="39"/>
      <c r="H1847" s="32"/>
      <c r="I1847" s="32"/>
      <c r="J1847" s="32"/>
      <c r="K1847" s="33"/>
      <c r="L1847" s="32"/>
      <c r="M1847" s="32"/>
      <c r="N1847" s="32"/>
      <c r="O1847" s="32"/>
      <c r="P1847" s="32"/>
      <c r="Q1847" s="34"/>
      <c r="R1847" s="35"/>
      <c r="S1847" s="35"/>
      <c r="T1847" s="36"/>
      <c r="U1847" s="36"/>
      <c r="V1847" s="36"/>
      <c r="W1847" s="36"/>
      <c r="X1847" s="36"/>
      <c r="Y1847" s="36"/>
    </row>
    <row r="1848">
      <c r="A1848" s="32"/>
      <c r="B1848" s="32"/>
      <c r="C1848" s="32"/>
      <c r="D1848" s="32"/>
      <c r="E1848" s="32"/>
      <c r="F1848" s="32"/>
      <c r="G1848" s="39"/>
      <c r="H1848" s="32"/>
      <c r="I1848" s="32"/>
      <c r="J1848" s="32"/>
      <c r="K1848" s="33"/>
      <c r="L1848" s="32"/>
      <c r="M1848" s="32"/>
      <c r="N1848" s="32"/>
      <c r="O1848" s="32"/>
      <c r="P1848" s="32"/>
      <c r="Q1848" s="34"/>
      <c r="R1848" s="35"/>
      <c r="S1848" s="35"/>
      <c r="T1848" s="36"/>
      <c r="U1848" s="36"/>
      <c r="V1848" s="36"/>
      <c r="W1848" s="36"/>
      <c r="X1848" s="36"/>
      <c r="Y1848" s="36"/>
    </row>
    <row r="1849">
      <c r="A1849" s="32"/>
      <c r="B1849" s="32"/>
      <c r="C1849" s="32"/>
      <c r="D1849" s="32"/>
      <c r="E1849" s="32"/>
      <c r="F1849" s="32"/>
      <c r="G1849" s="39"/>
      <c r="H1849" s="32"/>
      <c r="I1849" s="32"/>
      <c r="J1849" s="32"/>
      <c r="K1849" s="33"/>
      <c r="L1849" s="32"/>
      <c r="M1849" s="32"/>
      <c r="N1849" s="32"/>
      <c r="O1849" s="32"/>
      <c r="P1849" s="32"/>
      <c r="Q1849" s="34"/>
      <c r="R1849" s="35"/>
      <c r="S1849" s="35"/>
      <c r="T1849" s="36"/>
      <c r="U1849" s="36"/>
      <c r="V1849" s="36"/>
      <c r="W1849" s="36"/>
      <c r="X1849" s="36"/>
      <c r="Y1849" s="36"/>
    </row>
    <row r="1850">
      <c r="A1850" s="32"/>
      <c r="B1850" s="32"/>
      <c r="C1850" s="32"/>
      <c r="D1850" s="32"/>
      <c r="E1850" s="32"/>
      <c r="F1850" s="32"/>
      <c r="G1850" s="39"/>
      <c r="H1850" s="32"/>
      <c r="I1850" s="32"/>
      <c r="J1850" s="32"/>
      <c r="K1850" s="33"/>
      <c r="L1850" s="32"/>
      <c r="M1850" s="32"/>
      <c r="N1850" s="32"/>
      <c r="O1850" s="32"/>
      <c r="P1850" s="32"/>
      <c r="Q1850" s="34"/>
      <c r="R1850" s="35"/>
      <c r="S1850" s="35"/>
      <c r="T1850" s="36"/>
      <c r="U1850" s="36"/>
      <c r="V1850" s="36"/>
      <c r="W1850" s="36"/>
      <c r="X1850" s="36"/>
      <c r="Y1850" s="36"/>
    </row>
    <row r="1851">
      <c r="A1851" s="32"/>
      <c r="B1851" s="32"/>
      <c r="C1851" s="32"/>
      <c r="D1851" s="32"/>
      <c r="E1851" s="32"/>
      <c r="F1851" s="32"/>
      <c r="G1851" s="39"/>
      <c r="H1851" s="32"/>
      <c r="I1851" s="32"/>
      <c r="J1851" s="32"/>
      <c r="K1851" s="33"/>
      <c r="L1851" s="32"/>
      <c r="M1851" s="32"/>
      <c r="N1851" s="32"/>
      <c r="O1851" s="32"/>
      <c r="P1851" s="32"/>
      <c r="Q1851" s="34"/>
      <c r="R1851" s="35"/>
      <c r="S1851" s="35"/>
      <c r="T1851" s="36"/>
      <c r="U1851" s="36"/>
      <c r="V1851" s="36"/>
      <c r="W1851" s="36"/>
      <c r="X1851" s="36"/>
      <c r="Y1851" s="36"/>
    </row>
    <row r="1852">
      <c r="A1852" s="32"/>
      <c r="B1852" s="32"/>
      <c r="C1852" s="32"/>
      <c r="D1852" s="32"/>
      <c r="E1852" s="32"/>
      <c r="F1852" s="32"/>
      <c r="G1852" s="39"/>
      <c r="H1852" s="32"/>
      <c r="I1852" s="32"/>
      <c r="J1852" s="32"/>
      <c r="K1852" s="33"/>
      <c r="L1852" s="32"/>
      <c r="M1852" s="32"/>
      <c r="N1852" s="32"/>
      <c r="O1852" s="32"/>
      <c r="P1852" s="32"/>
      <c r="Q1852" s="34"/>
      <c r="R1852" s="35"/>
      <c r="S1852" s="35"/>
      <c r="T1852" s="36"/>
      <c r="U1852" s="36"/>
      <c r="V1852" s="36"/>
      <c r="W1852" s="36"/>
      <c r="X1852" s="36"/>
      <c r="Y1852" s="36"/>
    </row>
    <row r="1853">
      <c r="A1853" s="32"/>
      <c r="B1853" s="32"/>
      <c r="C1853" s="32"/>
      <c r="D1853" s="32"/>
      <c r="E1853" s="32"/>
      <c r="F1853" s="32"/>
      <c r="G1853" s="39"/>
      <c r="H1853" s="32"/>
      <c r="I1853" s="32"/>
      <c r="J1853" s="32"/>
      <c r="K1853" s="33"/>
      <c r="L1853" s="32"/>
      <c r="M1853" s="32"/>
      <c r="N1853" s="32"/>
      <c r="O1853" s="32"/>
      <c r="P1853" s="32"/>
      <c r="Q1853" s="34"/>
      <c r="R1853" s="35"/>
      <c r="S1853" s="35"/>
      <c r="T1853" s="36"/>
      <c r="U1853" s="36"/>
      <c r="V1853" s="36"/>
      <c r="W1853" s="36"/>
      <c r="X1853" s="36"/>
      <c r="Y1853" s="36"/>
    </row>
    <row r="1854">
      <c r="A1854" s="32"/>
      <c r="B1854" s="32"/>
      <c r="C1854" s="32"/>
      <c r="D1854" s="32"/>
      <c r="E1854" s="32"/>
      <c r="F1854" s="32"/>
      <c r="G1854" s="39"/>
      <c r="H1854" s="32"/>
      <c r="I1854" s="32"/>
      <c r="J1854" s="32"/>
      <c r="K1854" s="33"/>
      <c r="L1854" s="32"/>
      <c r="M1854" s="32"/>
      <c r="N1854" s="32"/>
      <c r="O1854" s="32"/>
      <c r="P1854" s="32"/>
      <c r="Q1854" s="34"/>
      <c r="R1854" s="35"/>
      <c r="S1854" s="35"/>
      <c r="T1854" s="36"/>
      <c r="U1854" s="36"/>
      <c r="V1854" s="36"/>
      <c r="W1854" s="36"/>
      <c r="X1854" s="36"/>
      <c r="Y1854" s="36"/>
    </row>
    <row r="1855">
      <c r="A1855" s="32"/>
      <c r="B1855" s="32"/>
      <c r="C1855" s="32"/>
      <c r="D1855" s="32"/>
      <c r="E1855" s="32"/>
      <c r="F1855" s="32"/>
      <c r="G1855" s="39"/>
      <c r="H1855" s="32"/>
      <c r="I1855" s="32"/>
      <c r="J1855" s="32"/>
      <c r="K1855" s="33"/>
      <c r="L1855" s="32"/>
      <c r="M1855" s="32"/>
      <c r="N1855" s="32"/>
      <c r="O1855" s="32"/>
      <c r="P1855" s="32"/>
      <c r="Q1855" s="34"/>
      <c r="R1855" s="35"/>
      <c r="S1855" s="35"/>
      <c r="T1855" s="36"/>
      <c r="U1855" s="36"/>
      <c r="V1855" s="36"/>
      <c r="W1855" s="36"/>
      <c r="X1855" s="36"/>
      <c r="Y1855" s="36"/>
    </row>
    <row r="1856">
      <c r="A1856" s="32"/>
      <c r="B1856" s="32"/>
      <c r="C1856" s="32"/>
      <c r="D1856" s="32"/>
      <c r="E1856" s="32"/>
      <c r="F1856" s="32"/>
      <c r="G1856" s="39"/>
      <c r="H1856" s="32"/>
      <c r="I1856" s="32"/>
      <c r="J1856" s="32"/>
      <c r="K1856" s="33"/>
      <c r="L1856" s="32"/>
      <c r="M1856" s="32"/>
      <c r="N1856" s="32"/>
      <c r="O1856" s="32"/>
      <c r="P1856" s="32"/>
      <c r="Q1856" s="34"/>
      <c r="R1856" s="35"/>
      <c r="S1856" s="35"/>
      <c r="T1856" s="36"/>
      <c r="U1856" s="36"/>
      <c r="V1856" s="36"/>
      <c r="W1856" s="36"/>
      <c r="X1856" s="36"/>
      <c r="Y1856" s="36"/>
    </row>
    <row r="1857">
      <c r="A1857" s="32"/>
      <c r="B1857" s="32"/>
      <c r="C1857" s="32"/>
      <c r="D1857" s="32"/>
      <c r="E1857" s="32"/>
      <c r="F1857" s="32"/>
      <c r="G1857" s="39"/>
      <c r="H1857" s="32"/>
      <c r="I1857" s="32"/>
      <c r="J1857" s="32"/>
      <c r="K1857" s="33"/>
      <c r="L1857" s="32"/>
      <c r="M1857" s="32"/>
      <c r="N1857" s="32"/>
      <c r="O1857" s="32"/>
      <c r="P1857" s="32"/>
      <c r="Q1857" s="34"/>
      <c r="R1857" s="35"/>
      <c r="S1857" s="35"/>
      <c r="T1857" s="36"/>
      <c r="U1857" s="36"/>
      <c r="V1857" s="36"/>
      <c r="W1857" s="36"/>
      <c r="X1857" s="36"/>
      <c r="Y1857" s="36"/>
    </row>
    <row r="1858">
      <c r="A1858" s="32"/>
      <c r="B1858" s="32"/>
      <c r="C1858" s="32"/>
      <c r="D1858" s="32"/>
      <c r="E1858" s="32"/>
      <c r="F1858" s="32"/>
      <c r="G1858" s="39"/>
      <c r="H1858" s="32"/>
      <c r="I1858" s="32"/>
      <c r="J1858" s="32"/>
      <c r="K1858" s="33"/>
      <c r="L1858" s="32"/>
      <c r="M1858" s="32"/>
      <c r="N1858" s="32"/>
      <c r="O1858" s="32"/>
      <c r="P1858" s="32"/>
      <c r="Q1858" s="34"/>
      <c r="R1858" s="35"/>
      <c r="S1858" s="35"/>
      <c r="T1858" s="36"/>
      <c r="U1858" s="36"/>
      <c r="V1858" s="36"/>
      <c r="W1858" s="36"/>
      <c r="X1858" s="36"/>
      <c r="Y1858" s="36"/>
    </row>
    <row r="1859">
      <c r="A1859" s="32"/>
      <c r="B1859" s="32"/>
      <c r="C1859" s="32"/>
      <c r="D1859" s="32"/>
      <c r="E1859" s="32"/>
      <c r="F1859" s="32"/>
      <c r="G1859" s="39"/>
      <c r="H1859" s="32"/>
      <c r="I1859" s="32"/>
      <c r="J1859" s="32"/>
      <c r="K1859" s="33"/>
      <c r="L1859" s="32"/>
      <c r="M1859" s="32"/>
      <c r="N1859" s="32"/>
      <c r="O1859" s="32"/>
      <c r="P1859" s="32"/>
      <c r="Q1859" s="34"/>
      <c r="R1859" s="35"/>
      <c r="S1859" s="35"/>
      <c r="T1859" s="36"/>
      <c r="U1859" s="36"/>
      <c r="V1859" s="36"/>
      <c r="W1859" s="36"/>
      <c r="X1859" s="36"/>
      <c r="Y1859" s="36"/>
    </row>
    <row r="1860">
      <c r="A1860" s="32"/>
      <c r="B1860" s="32"/>
      <c r="C1860" s="32"/>
      <c r="D1860" s="32"/>
      <c r="E1860" s="32"/>
      <c r="F1860" s="32"/>
      <c r="G1860" s="39"/>
      <c r="H1860" s="32"/>
      <c r="I1860" s="32"/>
      <c r="J1860" s="32"/>
      <c r="K1860" s="33"/>
      <c r="L1860" s="32"/>
      <c r="M1860" s="32"/>
      <c r="N1860" s="32"/>
      <c r="O1860" s="32"/>
      <c r="P1860" s="32"/>
      <c r="Q1860" s="34"/>
      <c r="R1860" s="35"/>
      <c r="S1860" s="35"/>
      <c r="T1860" s="36"/>
      <c r="U1860" s="36"/>
      <c r="V1860" s="36"/>
      <c r="W1860" s="36"/>
      <c r="X1860" s="36"/>
      <c r="Y1860" s="36"/>
    </row>
    <row r="1861">
      <c r="A1861" s="32"/>
      <c r="B1861" s="32"/>
      <c r="C1861" s="32"/>
      <c r="D1861" s="32"/>
      <c r="E1861" s="32"/>
      <c r="F1861" s="32"/>
      <c r="G1861" s="39"/>
      <c r="H1861" s="32"/>
      <c r="I1861" s="32"/>
      <c r="J1861" s="32"/>
      <c r="K1861" s="33"/>
      <c r="L1861" s="32"/>
      <c r="M1861" s="32"/>
      <c r="N1861" s="32"/>
      <c r="O1861" s="32"/>
      <c r="P1861" s="32"/>
      <c r="Q1861" s="34"/>
      <c r="R1861" s="35"/>
      <c r="S1861" s="35"/>
      <c r="T1861" s="36"/>
      <c r="U1861" s="36"/>
      <c r="V1861" s="36"/>
      <c r="W1861" s="36"/>
      <c r="X1861" s="36"/>
      <c r="Y1861" s="36"/>
    </row>
    <row r="1862">
      <c r="A1862" s="32"/>
      <c r="B1862" s="32"/>
      <c r="C1862" s="32"/>
      <c r="D1862" s="32"/>
      <c r="E1862" s="32"/>
      <c r="F1862" s="32"/>
      <c r="G1862" s="39"/>
      <c r="H1862" s="32"/>
      <c r="I1862" s="32"/>
      <c r="J1862" s="32"/>
      <c r="K1862" s="33"/>
      <c r="L1862" s="32"/>
      <c r="M1862" s="32"/>
      <c r="N1862" s="32"/>
      <c r="O1862" s="32"/>
      <c r="P1862" s="32"/>
      <c r="Q1862" s="34"/>
      <c r="R1862" s="35"/>
      <c r="S1862" s="35"/>
      <c r="T1862" s="36"/>
      <c r="U1862" s="36"/>
      <c r="V1862" s="36"/>
      <c r="W1862" s="36"/>
      <c r="X1862" s="36"/>
      <c r="Y1862" s="36"/>
    </row>
    <row r="1863">
      <c r="A1863" s="32"/>
      <c r="B1863" s="32"/>
      <c r="C1863" s="32"/>
      <c r="D1863" s="32"/>
      <c r="E1863" s="32"/>
      <c r="F1863" s="32"/>
      <c r="G1863" s="39"/>
      <c r="H1863" s="32"/>
      <c r="I1863" s="32"/>
      <c r="J1863" s="32"/>
      <c r="K1863" s="33"/>
      <c r="L1863" s="32"/>
      <c r="M1863" s="32"/>
      <c r="N1863" s="32"/>
      <c r="O1863" s="32"/>
      <c r="P1863" s="32"/>
      <c r="Q1863" s="34"/>
      <c r="R1863" s="35"/>
      <c r="S1863" s="35"/>
      <c r="T1863" s="36"/>
      <c r="U1863" s="36"/>
      <c r="V1863" s="36"/>
      <c r="W1863" s="36"/>
      <c r="X1863" s="36"/>
      <c r="Y1863" s="36"/>
    </row>
    <row r="1864">
      <c r="A1864" s="32"/>
      <c r="B1864" s="32"/>
      <c r="C1864" s="32"/>
      <c r="D1864" s="32"/>
      <c r="E1864" s="32"/>
      <c r="F1864" s="32"/>
      <c r="G1864" s="39"/>
      <c r="H1864" s="32"/>
      <c r="I1864" s="32"/>
      <c r="J1864" s="32"/>
      <c r="K1864" s="33"/>
      <c r="L1864" s="32"/>
      <c r="M1864" s="32"/>
      <c r="N1864" s="32"/>
      <c r="O1864" s="32"/>
      <c r="P1864" s="32"/>
      <c r="Q1864" s="34"/>
      <c r="R1864" s="35"/>
      <c r="S1864" s="35"/>
      <c r="T1864" s="36"/>
      <c r="U1864" s="36"/>
      <c r="V1864" s="36"/>
      <c r="W1864" s="36"/>
      <c r="X1864" s="36"/>
      <c r="Y1864" s="36"/>
    </row>
    <row r="1865">
      <c r="A1865" s="32"/>
      <c r="B1865" s="32"/>
      <c r="C1865" s="32"/>
      <c r="D1865" s="32"/>
      <c r="E1865" s="32"/>
      <c r="F1865" s="32"/>
      <c r="G1865" s="39"/>
      <c r="H1865" s="32"/>
      <c r="I1865" s="32"/>
      <c r="J1865" s="32"/>
      <c r="K1865" s="33"/>
      <c r="L1865" s="32"/>
      <c r="M1865" s="32"/>
      <c r="N1865" s="32"/>
      <c r="O1865" s="32"/>
      <c r="P1865" s="32"/>
      <c r="Q1865" s="34"/>
      <c r="R1865" s="35"/>
      <c r="S1865" s="35"/>
      <c r="T1865" s="36"/>
      <c r="U1865" s="36"/>
      <c r="V1865" s="36"/>
      <c r="W1865" s="36"/>
      <c r="X1865" s="36"/>
      <c r="Y1865" s="36"/>
    </row>
    <row r="1866">
      <c r="A1866" s="32"/>
      <c r="B1866" s="32"/>
      <c r="C1866" s="32"/>
      <c r="D1866" s="32"/>
      <c r="E1866" s="32"/>
      <c r="F1866" s="32"/>
      <c r="G1866" s="39"/>
      <c r="H1866" s="32"/>
      <c r="I1866" s="32"/>
      <c r="J1866" s="32"/>
      <c r="K1866" s="33"/>
      <c r="L1866" s="32"/>
      <c r="M1866" s="32"/>
      <c r="N1866" s="32"/>
      <c r="O1866" s="32"/>
      <c r="P1866" s="32"/>
      <c r="Q1866" s="34"/>
      <c r="R1866" s="35"/>
      <c r="S1866" s="35"/>
      <c r="T1866" s="36"/>
      <c r="U1866" s="36"/>
      <c r="V1866" s="36"/>
      <c r="W1866" s="36"/>
      <c r="X1866" s="36"/>
      <c r="Y1866" s="36"/>
    </row>
    <row r="1867">
      <c r="A1867" s="32"/>
      <c r="B1867" s="32"/>
      <c r="C1867" s="32"/>
      <c r="D1867" s="32"/>
      <c r="E1867" s="32"/>
      <c r="F1867" s="32"/>
      <c r="G1867" s="39"/>
      <c r="H1867" s="32"/>
      <c r="I1867" s="32"/>
      <c r="J1867" s="32"/>
      <c r="K1867" s="33"/>
      <c r="L1867" s="32"/>
      <c r="M1867" s="32"/>
      <c r="N1867" s="32"/>
      <c r="O1867" s="32"/>
      <c r="P1867" s="32"/>
      <c r="Q1867" s="34"/>
      <c r="R1867" s="35"/>
      <c r="S1867" s="35"/>
      <c r="T1867" s="36"/>
      <c r="U1867" s="36"/>
      <c r="V1867" s="36"/>
      <c r="W1867" s="36"/>
      <c r="X1867" s="36"/>
      <c r="Y1867" s="36"/>
    </row>
    <row r="1868">
      <c r="A1868" s="32"/>
      <c r="B1868" s="32"/>
      <c r="C1868" s="32"/>
      <c r="D1868" s="32"/>
      <c r="E1868" s="32"/>
      <c r="F1868" s="32"/>
      <c r="G1868" s="39"/>
      <c r="H1868" s="32"/>
      <c r="I1868" s="32"/>
      <c r="J1868" s="32"/>
      <c r="K1868" s="33"/>
      <c r="L1868" s="32"/>
      <c r="M1868" s="32"/>
      <c r="N1868" s="32"/>
      <c r="O1868" s="32"/>
      <c r="P1868" s="32"/>
      <c r="Q1868" s="34"/>
      <c r="R1868" s="35"/>
      <c r="S1868" s="35"/>
      <c r="T1868" s="36"/>
      <c r="U1868" s="36"/>
      <c r="V1868" s="36"/>
      <c r="W1868" s="36"/>
      <c r="X1868" s="36"/>
      <c r="Y1868" s="36"/>
    </row>
    <row r="1869">
      <c r="A1869" s="32"/>
      <c r="B1869" s="32"/>
      <c r="C1869" s="32"/>
      <c r="D1869" s="32"/>
      <c r="E1869" s="32"/>
      <c r="F1869" s="32"/>
      <c r="G1869" s="39"/>
      <c r="H1869" s="32"/>
      <c r="I1869" s="32"/>
      <c r="J1869" s="32"/>
      <c r="K1869" s="33"/>
      <c r="L1869" s="32"/>
      <c r="M1869" s="32"/>
      <c r="N1869" s="32"/>
      <c r="O1869" s="32"/>
      <c r="P1869" s="32"/>
      <c r="Q1869" s="34"/>
      <c r="R1869" s="35"/>
      <c r="S1869" s="35"/>
      <c r="T1869" s="36"/>
      <c r="U1869" s="36"/>
      <c r="V1869" s="36"/>
      <c r="W1869" s="36"/>
      <c r="X1869" s="36"/>
      <c r="Y1869" s="36"/>
    </row>
    <row r="1870">
      <c r="A1870" s="32"/>
      <c r="B1870" s="32"/>
      <c r="C1870" s="32"/>
      <c r="D1870" s="32"/>
      <c r="E1870" s="32"/>
      <c r="F1870" s="32"/>
      <c r="G1870" s="39"/>
      <c r="H1870" s="32"/>
      <c r="I1870" s="32"/>
      <c r="J1870" s="32"/>
      <c r="K1870" s="33"/>
      <c r="L1870" s="32"/>
      <c r="M1870" s="32"/>
      <c r="N1870" s="32"/>
      <c r="O1870" s="32"/>
      <c r="P1870" s="32"/>
      <c r="Q1870" s="34"/>
      <c r="R1870" s="35"/>
      <c r="S1870" s="35"/>
      <c r="T1870" s="36"/>
      <c r="U1870" s="36"/>
      <c r="V1870" s="36"/>
      <c r="W1870" s="36"/>
      <c r="X1870" s="36"/>
      <c r="Y1870" s="36"/>
    </row>
    <row r="1871">
      <c r="A1871" s="32"/>
      <c r="B1871" s="32"/>
      <c r="C1871" s="32"/>
      <c r="D1871" s="32"/>
      <c r="E1871" s="32"/>
      <c r="F1871" s="32"/>
      <c r="G1871" s="39"/>
      <c r="H1871" s="32"/>
      <c r="I1871" s="32"/>
      <c r="J1871" s="32"/>
      <c r="K1871" s="33"/>
      <c r="L1871" s="32"/>
      <c r="M1871" s="32"/>
      <c r="N1871" s="32"/>
      <c r="O1871" s="32"/>
      <c r="P1871" s="32"/>
      <c r="Q1871" s="34"/>
      <c r="R1871" s="35"/>
      <c r="S1871" s="35"/>
      <c r="T1871" s="36"/>
      <c r="U1871" s="36"/>
      <c r="V1871" s="36"/>
      <c r="W1871" s="36"/>
      <c r="X1871" s="36"/>
      <c r="Y1871" s="36"/>
    </row>
    <row r="1872">
      <c r="A1872" s="32"/>
      <c r="B1872" s="32"/>
      <c r="C1872" s="32"/>
      <c r="D1872" s="32"/>
      <c r="E1872" s="32"/>
      <c r="F1872" s="32"/>
      <c r="G1872" s="39"/>
      <c r="H1872" s="32"/>
      <c r="I1872" s="32"/>
      <c r="J1872" s="32"/>
      <c r="K1872" s="33"/>
      <c r="L1872" s="32"/>
      <c r="M1872" s="32"/>
      <c r="N1872" s="32"/>
      <c r="O1872" s="32"/>
      <c r="P1872" s="32"/>
      <c r="Q1872" s="34"/>
      <c r="R1872" s="35"/>
      <c r="S1872" s="35"/>
      <c r="T1872" s="36"/>
      <c r="U1872" s="36"/>
      <c r="V1872" s="36"/>
      <c r="W1872" s="36"/>
      <c r="X1872" s="36"/>
      <c r="Y1872" s="36"/>
    </row>
    <row r="1873">
      <c r="A1873" s="32"/>
      <c r="B1873" s="32"/>
      <c r="C1873" s="32"/>
      <c r="D1873" s="32"/>
      <c r="E1873" s="32"/>
      <c r="F1873" s="32"/>
      <c r="G1873" s="39"/>
      <c r="H1873" s="32"/>
      <c r="I1873" s="32"/>
      <c r="J1873" s="32"/>
      <c r="K1873" s="33"/>
      <c r="L1873" s="32"/>
      <c r="M1873" s="32"/>
      <c r="N1873" s="32"/>
      <c r="O1873" s="32"/>
      <c r="P1873" s="32"/>
      <c r="Q1873" s="34"/>
      <c r="R1873" s="35"/>
      <c r="S1873" s="35"/>
      <c r="T1873" s="36"/>
      <c r="U1873" s="36"/>
      <c r="V1873" s="36"/>
      <c r="W1873" s="36"/>
      <c r="X1873" s="36"/>
      <c r="Y1873" s="36"/>
    </row>
    <row r="1874">
      <c r="A1874" s="32"/>
      <c r="B1874" s="32"/>
      <c r="C1874" s="32"/>
      <c r="D1874" s="32"/>
      <c r="E1874" s="32"/>
      <c r="F1874" s="32"/>
      <c r="G1874" s="39"/>
      <c r="H1874" s="32"/>
      <c r="I1874" s="32"/>
      <c r="J1874" s="32"/>
      <c r="K1874" s="33"/>
      <c r="L1874" s="32"/>
      <c r="M1874" s="32"/>
      <c r="N1874" s="32"/>
      <c r="O1874" s="32"/>
      <c r="P1874" s="32"/>
      <c r="Q1874" s="34"/>
      <c r="R1874" s="35"/>
      <c r="S1874" s="35"/>
      <c r="T1874" s="36"/>
      <c r="U1874" s="36"/>
      <c r="V1874" s="36"/>
      <c r="W1874" s="36"/>
      <c r="X1874" s="36"/>
      <c r="Y1874" s="36"/>
    </row>
    <row r="1875">
      <c r="A1875" s="32"/>
      <c r="B1875" s="32"/>
      <c r="C1875" s="32"/>
      <c r="D1875" s="32"/>
      <c r="E1875" s="32"/>
      <c r="F1875" s="32"/>
      <c r="G1875" s="39"/>
      <c r="H1875" s="32"/>
      <c r="I1875" s="32"/>
      <c r="J1875" s="32"/>
      <c r="K1875" s="33"/>
      <c r="L1875" s="32"/>
      <c r="M1875" s="32"/>
      <c r="N1875" s="32"/>
      <c r="O1875" s="32"/>
      <c r="P1875" s="32"/>
      <c r="Q1875" s="34"/>
      <c r="R1875" s="35"/>
      <c r="S1875" s="35"/>
      <c r="T1875" s="36"/>
      <c r="U1875" s="36"/>
      <c r="V1875" s="36"/>
      <c r="W1875" s="36"/>
      <c r="X1875" s="36"/>
      <c r="Y1875" s="36"/>
    </row>
    <row r="1876">
      <c r="A1876" s="32"/>
      <c r="B1876" s="32"/>
      <c r="C1876" s="32"/>
      <c r="D1876" s="32"/>
      <c r="E1876" s="32"/>
      <c r="F1876" s="32"/>
      <c r="G1876" s="39"/>
      <c r="H1876" s="32"/>
      <c r="I1876" s="32"/>
      <c r="J1876" s="32"/>
      <c r="K1876" s="33"/>
      <c r="L1876" s="32"/>
      <c r="M1876" s="32"/>
      <c r="N1876" s="32"/>
      <c r="O1876" s="32"/>
      <c r="P1876" s="32"/>
      <c r="Q1876" s="34"/>
      <c r="R1876" s="35"/>
      <c r="S1876" s="35"/>
      <c r="T1876" s="36"/>
      <c r="U1876" s="36"/>
      <c r="V1876" s="36"/>
      <c r="W1876" s="36"/>
      <c r="X1876" s="36"/>
      <c r="Y1876" s="36"/>
    </row>
    <row r="1877">
      <c r="A1877" s="32"/>
      <c r="B1877" s="32"/>
      <c r="C1877" s="32"/>
      <c r="D1877" s="32"/>
      <c r="E1877" s="32"/>
      <c r="F1877" s="32"/>
      <c r="G1877" s="39"/>
      <c r="H1877" s="32"/>
      <c r="I1877" s="32"/>
      <c r="J1877" s="32"/>
      <c r="K1877" s="33"/>
      <c r="L1877" s="32"/>
      <c r="M1877" s="32"/>
      <c r="N1877" s="32"/>
      <c r="O1877" s="32"/>
      <c r="P1877" s="32"/>
      <c r="Q1877" s="34"/>
      <c r="R1877" s="35"/>
      <c r="S1877" s="35"/>
      <c r="T1877" s="36"/>
      <c r="U1877" s="36"/>
      <c r="V1877" s="36"/>
      <c r="W1877" s="36"/>
      <c r="X1877" s="36"/>
      <c r="Y1877" s="36"/>
    </row>
    <row r="1878">
      <c r="A1878" s="32"/>
      <c r="B1878" s="32"/>
      <c r="C1878" s="32"/>
      <c r="D1878" s="32"/>
      <c r="E1878" s="32"/>
      <c r="F1878" s="32"/>
      <c r="G1878" s="39"/>
      <c r="H1878" s="32"/>
      <c r="I1878" s="32"/>
      <c r="J1878" s="32"/>
      <c r="K1878" s="33"/>
      <c r="L1878" s="32"/>
      <c r="M1878" s="32"/>
      <c r="N1878" s="32"/>
      <c r="O1878" s="32"/>
      <c r="P1878" s="32"/>
      <c r="Q1878" s="34"/>
      <c r="R1878" s="35"/>
      <c r="S1878" s="35"/>
      <c r="T1878" s="36"/>
      <c r="U1878" s="36"/>
      <c r="V1878" s="36"/>
      <c r="W1878" s="36"/>
      <c r="X1878" s="36"/>
      <c r="Y1878" s="36"/>
    </row>
    <row r="1879">
      <c r="A1879" s="32"/>
      <c r="B1879" s="32"/>
      <c r="C1879" s="32"/>
      <c r="D1879" s="32"/>
      <c r="E1879" s="32"/>
      <c r="F1879" s="32"/>
      <c r="G1879" s="39"/>
      <c r="H1879" s="32"/>
      <c r="I1879" s="32"/>
      <c r="J1879" s="32"/>
      <c r="K1879" s="33"/>
      <c r="L1879" s="32"/>
      <c r="M1879" s="32"/>
      <c r="N1879" s="32"/>
      <c r="O1879" s="32"/>
      <c r="P1879" s="32"/>
      <c r="Q1879" s="34"/>
      <c r="R1879" s="35"/>
      <c r="S1879" s="35"/>
      <c r="T1879" s="36"/>
      <c r="U1879" s="36"/>
      <c r="V1879" s="36"/>
      <c r="W1879" s="36"/>
      <c r="X1879" s="36"/>
      <c r="Y1879" s="36"/>
    </row>
    <row r="1880">
      <c r="A1880" s="32"/>
      <c r="B1880" s="32"/>
      <c r="C1880" s="32"/>
      <c r="D1880" s="32"/>
      <c r="E1880" s="32"/>
      <c r="F1880" s="32"/>
      <c r="G1880" s="39"/>
      <c r="H1880" s="32"/>
      <c r="I1880" s="32"/>
      <c r="J1880" s="32"/>
      <c r="K1880" s="33"/>
      <c r="L1880" s="32"/>
      <c r="M1880" s="32"/>
      <c r="N1880" s="32"/>
      <c r="O1880" s="32"/>
      <c r="P1880" s="32"/>
      <c r="Q1880" s="34"/>
      <c r="R1880" s="35"/>
      <c r="S1880" s="35"/>
      <c r="T1880" s="36"/>
      <c r="U1880" s="36"/>
      <c r="V1880" s="36"/>
      <c r="W1880" s="36"/>
      <c r="X1880" s="36"/>
      <c r="Y1880" s="36"/>
    </row>
    <row r="1881">
      <c r="A1881" s="32"/>
      <c r="B1881" s="32"/>
      <c r="C1881" s="32"/>
      <c r="D1881" s="32"/>
      <c r="E1881" s="32"/>
      <c r="F1881" s="32"/>
      <c r="G1881" s="39"/>
      <c r="H1881" s="32"/>
      <c r="I1881" s="32"/>
      <c r="J1881" s="32"/>
      <c r="K1881" s="33"/>
      <c r="L1881" s="32"/>
      <c r="M1881" s="32"/>
      <c r="N1881" s="32"/>
      <c r="O1881" s="32"/>
      <c r="P1881" s="32"/>
      <c r="Q1881" s="34"/>
      <c r="R1881" s="35"/>
      <c r="S1881" s="35"/>
      <c r="T1881" s="36"/>
      <c r="U1881" s="36"/>
      <c r="V1881" s="36"/>
      <c r="W1881" s="36"/>
      <c r="X1881" s="36"/>
      <c r="Y1881" s="36"/>
    </row>
    <row r="1882">
      <c r="A1882" s="32"/>
      <c r="B1882" s="32"/>
      <c r="C1882" s="32"/>
      <c r="D1882" s="32"/>
      <c r="E1882" s="32"/>
      <c r="F1882" s="32"/>
      <c r="G1882" s="39"/>
      <c r="H1882" s="32"/>
      <c r="I1882" s="32"/>
      <c r="J1882" s="32"/>
      <c r="K1882" s="33"/>
      <c r="L1882" s="32"/>
      <c r="M1882" s="32"/>
      <c r="N1882" s="32"/>
      <c r="O1882" s="32"/>
      <c r="P1882" s="32"/>
      <c r="Q1882" s="34"/>
      <c r="R1882" s="35"/>
      <c r="S1882" s="35"/>
      <c r="T1882" s="36"/>
      <c r="U1882" s="36"/>
      <c r="V1882" s="36"/>
      <c r="W1882" s="36"/>
      <c r="X1882" s="36"/>
      <c r="Y1882" s="36"/>
    </row>
    <row r="1883">
      <c r="A1883" s="32"/>
      <c r="B1883" s="32"/>
      <c r="C1883" s="32"/>
      <c r="D1883" s="32"/>
      <c r="E1883" s="32"/>
      <c r="F1883" s="32"/>
      <c r="G1883" s="39"/>
      <c r="H1883" s="32"/>
      <c r="I1883" s="32"/>
      <c r="J1883" s="32"/>
      <c r="K1883" s="33"/>
      <c r="L1883" s="32"/>
      <c r="M1883" s="32"/>
      <c r="N1883" s="32"/>
      <c r="O1883" s="32"/>
      <c r="P1883" s="32"/>
      <c r="Q1883" s="34"/>
      <c r="R1883" s="35"/>
      <c r="S1883" s="35"/>
      <c r="T1883" s="36"/>
      <c r="U1883" s="36"/>
      <c r="V1883" s="36"/>
      <c r="W1883" s="36"/>
      <c r="X1883" s="36"/>
      <c r="Y1883" s="36"/>
    </row>
    <row r="1884">
      <c r="A1884" s="32"/>
      <c r="B1884" s="32"/>
      <c r="C1884" s="32"/>
      <c r="D1884" s="32"/>
      <c r="E1884" s="32"/>
      <c r="F1884" s="32"/>
      <c r="G1884" s="39"/>
      <c r="H1884" s="32"/>
      <c r="I1884" s="32"/>
      <c r="J1884" s="32"/>
      <c r="K1884" s="33"/>
      <c r="L1884" s="32"/>
      <c r="M1884" s="32"/>
      <c r="N1884" s="32"/>
      <c r="O1884" s="32"/>
      <c r="P1884" s="32"/>
      <c r="Q1884" s="34"/>
      <c r="R1884" s="35"/>
      <c r="S1884" s="35"/>
      <c r="T1884" s="36"/>
      <c r="U1884" s="36"/>
      <c r="V1884" s="36"/>
      <c r="W1884" s="36"/>
      <c r="X1884" s="36"/>
      <c r="Y1884" s="36"/>
    </row>
    <row r="1885">
      <c r="A1885" s="32"/>
      <c r="B1885" s="32"/>
      <c r="C1885" s="32"/>
      <c r="D1885" s="32"/>
      <c r="E1885" s="32"/>
      <c r="F1885" s="32"/>
      <c r="G1885" s="39"/>
      <c r="H1885" s="32"/>
      <c r="I1885" s="32"/>
      <c r="J1885" s="32"/>
      <c r="K1885" s="33"/>
      <c r="L1885" s="32"/>
      <c r="M1885" s="32"/>
      <c r="N1885" s="32"/>
      <c r="O1885" s="32"/>
      <c r="P1885" s="32"/>
      <c r="Q1885" s="34"/>
      <c r="R1885" s="35"/>
      <c r="S1885" s="35"/>
      <c r="T1885" s="36"/>
      <c r="U1885" s="36"/>
      <c r="V1885" s="36"/>
      <c r="W1885" s="36"/>
      <c r="X1885" s="36"/>
      <c r="Y1885" s="36"/>
    </row>
    <row r="1886">
      <c r="A1886" s="32"/>
      <c r="B1886" s="32"/>
      <c r="C1886" s="32"/>
      <c r="D1886" s="32"/>
      <c r="E1886" s="32"/>
      <c r="F1886" s="32"/>
      <c r="G1886" s="39"/>
      <c r="H1886" s="32"/>
      <c r="I1886" s="32"/>
      <c r="J1886" s="32"/>
      <c r="K1886" s="33"/>
      <c r="L1886" s="32"/>
      <c r="M1886" s="32"/>
      <c r="N1886" s="32"/>
      <c r="O1886" s="32"/>
      <c r="P1886" s="32"/>
      <c r="Q1886" s="34"/>
      <c r="R1886" s="35"/>
      <c r="S1886" s="35"/>
      <c r="T1886" s="36"/>
      <c r="U1886" s="36"/>
      <c r="V1886" s="36"/>
      <c r="W1886" s="36"/>
      <c r="X1886" s="36"/>
      <c r="Y1886" s="36"/>
    </row>
    <row r="1887">
      <c r="A1887" s="32"/>
      <c r="B1887" s="32"/>
      <c r="C1887" s="32"/>
      <c r="D1887" s="32"/>
      <c r="E1887" s="32"/>
      <c r="F1887" s="32"/>
      <c r="G1887" s="39"/>
      <c r="H1887" s="32"/>
      <c r="I1887" s="32"/>
      <c r="J1887" s="32"/>
      <c r="K1887" s="33"/>
      <c r="L1887" s="32"/>
      <c r="M1887" s="32"/>
      <c r="N1887" s="32"/>
      <c r="O1887" s="32"/>
      <c r="P1887" s="32"/>
      <c r="Q1887" s="34"/>
      <c r="R1887" s="35"/>
      <c r="S1887" s="35"/>
      <c r="T1887" s="36"/>
      <c r="U1887" s="36"/>
      <c r="V1887" s="36"/>
      <c r="W1887" s="36"/>
      <c r="X1887" s="36"/>
      <c r="Y1887" s="36"/>
    </row>
    <row r="1888">
      <c r="A1888" s="32"/>
      <c r="B1888" s="32"/>
      <c r="C1888" s="32"/>
      <c r="D1888" s="32"/>
      <c r="E1888" s="32"/>
      <c r="F1888" s="32"/>
      <c r="G1888" s="39"/>
      <c r="H1888" s="32"/>
      <c r="I1888" s="32"/>
      <c r="J1888" s="32"/>
      <c r="K1888" s="33"/>
      <c r="L1888" s="32"/>
      <c r="M1888" s="32"/>
      <c r="N1888" s="32"/>
      <c r="O1888" s="32"/>
      <c r="P1888" s="32"/>
      <c r="Q1888" s="34"/>
      <c r="R1888" s="35"/>
      <c r="S1888" s="35"/>
      <c r="T1888" s="36"/>
      <c r="U1888" s="36"/>
      <c r="V1888" s="36"/>
      <c r="W1888" s="36"/>
      <c r="X1888" s="36"/>
      <c r="Y1888" s="36"/>
    </row>
    <row r="1889">
      <c r="A1889" s="32"/>
      <c r="B1889" s="32"/>
      <c r="C1889" s="32"/>
      <c r="D1889" s="32"/>
      <c r="E1889" s="32"/>
      <c r="F1889" s="32"/>
      <c r="G1889" s="39"/>
      <c r="H1889" s="32"/>
      <c r="I1889" s="32"/>
      <c r="J1889" s="32"/>
      <c r="K1889" s="33"/>
      <c r="L1889" s="32"/>
      <c r="M1889" s="32"/>
      <c r="N1889" s="32"/>
      <c r="O1889" s="32"/>
      <c r="P1889" s="32"/>
      <c r="Q1889" s="34"/>
      <c r="R1889" s="35"/>
      <c r="S1889" s="35"/>
      <c r="T1889" s="36"/>
      <c r="U1889" s="36"/>
      <c r="V1889" s="36"/>
      <c r="W1889" s="36"/>
      <c r="X1889" s="36"/>
      <c r="Y1889" s="36"/>
    </row>
    <row r="1890">
      <c r="A1890" s="32"/>
      <c r="B1890" s="32"/>
      <c r="C1890" s="32"/>
      <c r="D1890" s="32"/>
      <c r="E1890" s="32"/>
      <c r="F1890" s="32"/>
      <c r="G1890" s="39"/>
      <c r="H1890" s="32"/>
      <c r="I1890" s="32"/>
      <c r="J1890" s="32"/>
      <c r="K1890" s="33"/>
      <c r="L1890" s="32"/>
      <c r="M1890" s="32"/>
      <c r="N1890" s="32"/>
      <c r="O1890" s="32"/>
      <c r="P1890" s="32"/>
      <c r="Q1890" s="34"/>
      <c r="R1890" s="35"/>
      <c r="S1890" s="35"/>
      <c r="T1890" s="36"/>
      <c r="U1890" s="36"/>
      <c r="V1890" s="36"/>
      <c r="W1890" s="36"/>
      <c r="X1890" s="36"/>
      <c r="Y1890" s="36"/>
    </row>
    <row r="1891">
      <c r="A1891" s="32"/>
      <c r="B1891" s="32"/>
      <c r="C1891" s="32"/>
      <c r="D1891" s="32"/>
      <c r="E1891" s="32"/>
      <c r="F1891" s="32"/>
      <c r="G1891" s="39"/>
      <c r="H1891" s="32"/>
      <c r="I1891" s="32"/>
      <c r="J1891" s="32"/>
      <c r="K1891" s="33"/>
      <c r="L1891" s="32"/>
      <c r="M1891" s="32"/>
      <c r="N1891" s="32"/>
      <c r="O1891" s="32"/>
      <c r="P1891" s="32"/>
      <c r="Q1891" s="34"/>
      <c r="R1891" s="35"/>
      <c r="S1891" s="35"/>
      <c r="T1891" s="36"/>
      <c r="U1891" s="36"/>
      <c r="V1891" s="36"/>
      <c r="W1891" s="36"/>
      <c r="X1891" s="36"/>
      <c r="Y1891" s="36"/>
    </row>
    <row r="1892">
      <c r="A1892" s="32"/>
      <c r="B1892" s="32"/>
      <c r="C1892" s="32"/>
      <c r="D1892" s="32"/>
      <c r="E1892" s="32"/>
      <c r="F1892" s="32"/>
      <c r="G1892" s="39"/>
      <c r="H1892" s="32"/>
      <c r="I1892" s="32"/>
      <c r="J1892" s="32"/>
      <c r="K1892" s="33"/>
      <c r="L1892" s="32"/>
      <c r="M1892" s="32"/>
      <c r="N1892" s="32"/>
      <c r="O1892" s="32"/>
      <c r="P1892" s="32"/>
      <c r="Q1892" s="34"/>
      <c r="R1892" s="35"/>
      <c r="S1892" s="35"/>
      <c r="T1892" s="36"/>
      <c r="U1892" s="36"/>
      <c r="V1892" s="36"/>
      <c r="W1892" s="36"/>
      <c r="X1892" s="36"/>
      <c r="Y1892" s="36"/>
    </row>
    <row r="1893">
      <c r="A1893" s="32"/>
      <c r="B1893" s="32"/>
      <c r="C1893" s="32"/>
      <c r="D1893" s="32"/>
      <c r="E1893" s="32"/>
      <c r="F1893" s="32"/>
      <c r="G1893" s="39"/>
      <c r="H1893" s="32"/>
      <c r="I1893" s="32"/>
      <c r="J1893" s="32"/>
      <c r="K1893" s="33"/>
      <c r="L1893" s="32"/>
      <c r="M1893" s="32"/>
      <c r="N1893" s="32"/>
      <c r="O1893" s="32"/>
      <c r="P1893" s="32"/>
      <c r="Q1893" s="34"/>
      <c r="R1893" s="35"/>
      <c r="S1893" s="35"/>
      <c r="T1893" s="36"/>
      <c r="U1893" s="36"/>
      <c r="V1893" s="36"/>
      <c r="W1893" s="36"/>
      <c r="X1893" s="36"/>
      <c r="Y1893" s="36"/>
    </row>
    <row r="1894">
      <c r="A1894" s="32"/>
      <c r="B1894" s="32"/>
      <c r="C1894" s="32"/>
      <c r="D1894" s="32"/>
      <c r="E1894" s="32"/>
      <c r="F1894" s="32"/>
      <c r="G1894" s="39"/>
      <c r="H1894" s="32"/>
      <c r="I1894" s="32"/>
      <c r="J1894" s="32"/>
      <c r="K1894" s="33"/>
      <c r="L1894" s="32"/>
      <c r="M1894" s="32"/>
      <c r="N1894" s="32"/>
      <c r="O1894" s="32"/>
      <c r="P1894" s="32"/>
      <c r="Q1894" s="34"/>
      <c r="R1894" s="35"/>
      <c r="S1894" s="35"/>
      <c r="T1894" s="36"/>
      <c r="U1894" s="36"/>
      <c r="V1894" s="36"/>
      <c r="W1894" s="36"/>
      <c r="X1894" s="36"/>
      <c r="Y1894" s="36"/>
    </row>
    <row r="1895">
      <c r="A1895" s="32"/>
      <c r="B1895" s="32"/>
      <c r="C1895" s="32"/>
      <c r="D1895" s="32"/>
      <c r="E1895" s="32"/>
      <c r="F1895" s="32"/>
      <c r="G1895" s="39"/>
      <c r="H1895" s="32"/>
      <c r="I1895" s="32"/>
      <c r="J1895" s="32"/>
      <c r="K1895" s="33"/>
      <c r="L1895" s="32"/>
      <c r="M1895" s="32"/>
      <c r="N1895" s="32"/>
      <c r="O1895" s="32"/>
      <c r="P1895" s="32"/>
      <c r="Q1895" s="34"/>
      <c r="R1895" s="35"/>
      <c r="S1895" s="35"/>
      <c r="T1895" s="36"/>
      <c r="U1895" s="36"/>
      <c r="V1895" s="36"/>
      <c r="W1895" s="36"/>
      <c r="X1895" s="36"/>
      <c r="Y1895" s="36"/>
    </row>
    <row r="1896">
      <c r="A1896" s="32"/>
      <c r="B1896" s="32"/>
      <c r="C1896" s="32"/>
      <c r="D1896" s="32"/>
      <c r="E1896" s="32"/>
      <c r="F1896" s="32"/>
      <c r="G1896" s="39"/>
      <c r="H1896" s="32"/>
      <c r="I1896" s="32"/>
      <c r="J1896" s="32"/>
      <c r="K1896" s="33"/>
      <c r="L1896" s="32"/>
      <c r="M1896" s="32"/>
      <c r="N1896" s="32"/>
      <c r="O1896" s="32"/>
      <c r="P1896" s="32"/>
      <c r="Q1896" s="34"/>
      <c r="R1896" s="35"/>
      <c r="S1896" s="35"/>
      <c r="T1896" s="36"/>
      <c r="U1896" s="36"/>
      <c r="V1896" s="36"/>
      <c r="W1896" s="36"/>
      <c r="X1896" s="36"/>
      <c r="Y1896" s="36"/>
    </row>
    <row r="1897">
      <c r="A1897" s="32"/>
      <c r="B1897" s="32"/>
      <c r="C1897" s="32"/>
      <c r="D1897" s="32"/>
      <c r="E1897" s="32"/>
      <c r="F1897" s="32"/>
      <c r="G1897" s="39"/>
      <c r="H1897" s="32"/>
      <c r="I1897" s="32"/>
      <c r="J1897" s="32"/>
      <c r="K1897" s="33"/>
      <c r="L1897" s="32"/>
      <c r="M1897" s="32"/>
      <c r="N1897" s="32"/>
      <c r="O1897" s="32"/>
      <c r="P1897" s="32"/>
      <c r="Q1897" s="34"/>
      <c r="R1897" s="35"/>
      <c r="S1897" s="35"/>
      <c r="T1897" s="36"/>
      <c r="U1897" s="36"/>
      <c r="V1897" s="36"/>
      <c r="W1897" s="36"/>
      <c r="X1897" s="36"/>
      <c r="Y1897" s="36"/>
    </row>
    <row r="1898">
      <c r="A1898" s="32"/>
      <c r="B1898" s="32"/>
      <c r="C1898" s="32"/>
      <c r="D1898" s="32"/>
      <c r="E1898" s="32"/>
      <c r="F1898" s="32"/>
      <c r="G1898" s="39"/>
      <c r="H1898" s="32"/>
      <c r="I1898" s="32"/>
      <c r="J1898" s="32"/>
      <c r="K1898" s="33"/>
      <c r="L1898" s="32"/>
      <c r="M1898" s="32"/>
      <c r="N1898" s="32"/>
      <c r="O1898" s="32"/>
      <c r="P1898" s="32"/>
      <c r="Q1898" s="34"/>
      <c r="R1898" s="35"/>
      <c r="S1898" s="35"/>
      <c r="T1898" s="36"/>
      <c r="U1898" s="36"/>
      <c r="V1898" s="36"/>
      <c r="W1898" s="36"/>
      <c r="X1898" s="36"/>
      <c r="Y1898" s="36"/>
    </row>
    <row r="1899">
      <c r="A1899" s="32"/>
      <c r="B1899" s="32"/>
      <c r="C1899" s="32"/>
      <c r="D1899" s="32"/>
      <c r="E1899" s="32"/>
      <c r="F1899" s="32"/>
      <c r="G1899" s="39"/>
      <c r="H1899" s="32"/>
      <c r="I1899" s="32"/>
      <c r="J1899" s="32"/>
      <c r="K1899" s="33"/>
      <c r="L1899" s="32"/>
      <c r="M1899" s="32"/>
      <c r="N1899" s="32"/>
      <c r="O1899" s="32"/>
      <c r="P1899" s="32"/>
      <c r="Q1899" s="34"/>
      <c r="R1899" s="35"/>
      <c r="S1899" s="35"/>
      <c r="T1899" s="36"/>
      <c r="U1899" s="36"/>
      <c r="V1899" s="36"/>
      <c r="W1899" s="36"/>
      <c r="X1899" s="36"/>
      <c r="Y1899" s="36"/>
    </row>
    <row r="1900">
      <c r="A1900" s="32"/>
      <c r="B1900" s="32"/>
      <c r="C1900" s="32"/>
      <c r="D1900" s="32"/>
      <c r="E1900" s="32"/>
      <c r="F1900" s="32"/>
      <c r="G1900" s="39"/>
      <c r="H1900" s="32"/>
      <c r="I1900" s="32"/>
      <c r="J1900" s="32"/>
      <c r="K1900" s="33"/>
      <c r="L1900" s="32"/>
      <c r="M1900" s="32"/>
      <c r="N1900" s="32"/>
      <c r="O1900" s="32"/>
      <c r="P1900" s="32"/>
      <c r="Q1900" s="34"/>
      <c r="R1900" s="35"/>
      <c r="S1900" s="35"/>
      <c r="T1900" s="36"/>
      <c r="U1900" s="36"/>
      <c r="V1900" s="36"/>
      <c r="W1900" s="36"/>
      <c r="X1900" s="36"/>
      <c r="Y1900" s="36"/>
    </row>
    <row r="1901">
      <c r="A1901" s="32"/>
      <c r="B1901" s="32"/>
      <c r="C1901" s="32"/>
      <c r="D1901" s="32"/>
      <c r="E1901" s="32"/>
      <c r="F1901" s="32"/>
      <c r="G1901" s="39"/>
      <c r="H1901" s="32"/>
      <c r="I1901" s="32"/>
      <c r="J1901" s="32"/>
      <c r="K1901" s="33"/>
      <c r="L1901" s="32"/>
      <c r="M1901" s="32"/>
      <c r="N1901" s="32"/>
      <c r="O1901" s="32"/>
      <c r="P1901" s="32"/>
      <c r="Q1901" s="34"/>
      <c r="R1901" s="35"/>
      <c r="S1901" s="35"/>
      <c r="T1901" s="36"/>
      <c r="U1901" s="36"/>
      <c r="V1901" s="36"/>
      <c r="W1901" s="36"/>
      <c r="X1901" s="36"/>
      <c r="Y1901" s="36"/>
    </row>
    <row r="1902">
      <c r="A1902" s="32"/>
      <c r="B1902" s="32"/>
      <c r="C1902" s="32"/>
      <c r="D1902" s="32"/>
      <c r="E1902" s="32"/>
      <c r="F1902" s="32"/>
      <c r="G1902" s="39"/>
      <c r="H1902" s="32"/>
      <c r="I1902" s="32"/>
      <c r="J1902" s="32"/>
      <c r="K1902" s="33"/>
      <c r="L1902" s="32"/>
      <c r="M1902" s="32"/>
      <c r="N1902" s="32"/>
      <c r="O1902" s="32"/>
      <c r="P1902" s="32"/>
      <c r="Q1902" s="34"/>
      <c r="R1902" s="35"/>
      <c r="S1902" s="35"/>
      <c r="T1902" s="36"/>
      <c r="U1902" s="36"/>
      <c r="V1902" s="36"/>
      <c r="W1902" s="36"/>
      <c r="X1902" s="36"/>
      <c r="Y1902" s="36"/>
    </row>
    <row r="1903">
      <c r="A1903" s="32"/>
      <c r="B1903" s="32"/>
      <c r="C1903" s="32"/>
      <c r="D1903" s="32"/>
      <c r="E1903" s="32"/>
      <c r="F1903" s="32"/>
      <c r="G1903" s="39"/>
      <c r="H1903" s="32"/>
      <c r="I1903" s="32"/>
      <c r="J1903" s="32"/>
      <c r="K1903" s="33"/>
      <c r="L1903" s="32"/>
      <c r="M1903" s="32"/>
      <c r="N1903" s="32"/>
      <c r="O1903" s="32"/>
      <c r="P1903" s="32"/>
      <c r="Q1903" s="34"/>
      <c r="R1903" s="35"/>
      <c r="S1903" s="35"/>
      <c r="T1903" s="36"/>
      <c r="U1903" s="36"/>
      <c r="V1903" s="36"/>
      <c r="W1903" s="36"/>
      <c r="X1903" s="36"/>
      <c r="Y1903" s="36"/>
    </row>
    <row r="1904">
      <c r="A1904" s="32"/>
      <c r="B1904" s="32"/>
      <c r="C1904" s="32"/>
      <c r="D1904" s="32"/>
      <c r="E1904" s="32"/>
      <c r="F1904" s="32"/>
      <c r="G1904" s="39"/>
      <c r="H1904" s="32"/>
      <c r="I1904" s="32"/>
      <c r="J1904" s="32"/>
      <c r="K1904" s="33"/>
      <c r="L1904" s="32"/>
      <c r="M1904" s="32"/>
      <c r="N1904" s="32"/>
      <c r="O1904" s="32"/>
      <c r="P1904" s="32"/>
      <c r="Q1904" s="34"/>
      <c r="R1904" s="35"/>
      <c r="S1904" s="35"/>
      <c r="T1904" s="36"/>
      <c r="U1904" s="36"/>
      <c r="V1904" s="36"/>
      <c r="W1904" s="36"/>
      <c r="X1904" s="36"/>
      <c r="Y1904" s="36"/>
    </row>
    <row r="1905">
      <c r="A1905" s="32"/>
      <c r="B1905" s="32"/>
      <c r="C1905" s="32"/>
      <c r="D1905" s="32"/>
      <c r="E1905" s="32"/>
      <c r="F1905" s="32"/>
      <c r="G1905" s="39"/>
      <c r="H1905" s="32"/>
      <c r="I1905" s="32"/>
      <c r="J1905" s="32"/>
      <c r="K1905" s="33"/>
      <c r="L1905" s="32"/>
      <c r="M1905" s="32"/>
      <c r="N1905" s="32"/>
      <c r="O1905" s="32"/>
      <c r="P1905" s="32"/>
      <c r="Q1905" s="34"/>
      <c r="R1905" s="35"/>
      <c r="S1905" s="35"/>
      <c r="T1905" s="36"/>
      <c r="U1905" s="36"/>
      <c r="V1905" s="36"/>
      <c r="W1905" s="36"/>
      <c r="X1905" s="36"/>
      <c r="Y1905" s="36"/>
    </row>
    <row r="1906">
      <c r="A1906" s="32"/>
      <c r="B1906" s="32"/>
      <c r="C1906" s="32"/>
      <c r="D1906" s="32"/>
      <c r="E1906" s="32"/>
      <c r="F1906" s="32"/>
      <c r="G1906" s="39"/>
      <c r="H1906" s="32"/>
      <c r="I1906" s="32"/>
      <c r="J1906" s="32"/>
      <c r="K1906" s="33"/>
      <c r="L1906" s="32"/>
      <c r="M1906" s="32"/>
      <c r="N1906" s="32"/>
      <c r="O1906" s="32"/>
      <c r="P1906" s="32"/>
      <c r="Q1906" s="34"/>
      <c r="R1906" s="35"/>
      <c r="S1906" s="35"/>
      <c r="T1906" s="36"/>
      <c r="U1906" s="36"/>
      <c r="V1906" s="36"/>
      <c r="W1906" s="36"/>
      <c r="X1906" s="36"/>
      <c r="Y1906" s="36"/>
    </row>
    <row r="1907">
      <c r="A1907" s="32"/>
      <c r="B1907" s="32"/>
      <c r="C1907" s="32"/>
      <c r="D1907" s="32"/>
      <c r="E1907" s="32"/>
      <c r="F1907" s="32"/>
      <c r="G1907" s="39"/>
      <c r="H1907" s="32"/>
      <c r="I1907" s="32"/>
      <c r="J1907" s="32"/>
      <c r="K1907" s="33"/>
      <c r="L1907" s="32"/>
      <c r="M1907" s="32"/>
      <c r="N1907" s="32"/>
      <c r="O1907" s="32"/>
      <c r="P1907" s="32"/>
      <c r="Q1907" s="34"/>
      <c r="R1907" s="35"/>
      <c r="S1907" s="35"/>
      <c r="T1907" s="36"/>
      <c r="U1907" s="36"/>
      <c r="V1907" s="36"/>
      <c r="W1907" s="36"/>
      <c r="X1907" s="36"/>
      <c r="Y1907" s="36"/>
    </row>
    <row r="1908">
      <c r="A1908" s="32"/>
      <c r="B1908" s="32"/>
      <c r="C1908" s="32"/>
      <c r="D1908" s="32"/>
      <c r="E1908" s="32"/>
      <c r="F1908" s="32"/>
      <c r="G1908" s="39"/>
      <c r="H1908" s="32"/>
      <c r="I1908" s="32"/>
      <c r="J1908" s="32"/>
      <c r="K1908" s="33"/>
      <c r="L1908" s="32"/>
      <c r="M1908" s="32"/>
      <c r="N1908" s="32"/>
      <c r="O1908" s="32"/>
      <c r="P1908" s="32"/>
      <c r="Q1908" s="34"/>
      <c r="R1908" s="35"/>
      <c r="S1908" s="35"/>
      <c r="T1908" s="36"/>
      <c r="U1908" s="36"/>
      <c r="V1908" s="36"/>
      <c r="W1908" s="36"/>
      <c r="X1908" s="36"/>
      <c r="Y1908" s="36"/>
    </row>
    <row r="1909">
      <c r="A1909" s="32"/>
      <c r="B1909" s="32"/>
      <c r="C1909" s="32"/>
      <c r="D1909" s="32"/>
      <c r="E1909" s="32"/>
      <c r="F1909" s="32"/>
      <c r="G1909" s="39"/>
      <c r="H1909" s="32"/>
      <c r="I1909" s="32"/>
      <c r="J1909" s="32"/>
      <c r="K1909" s="33"/>
      <c r="L1909" s="32"/>
      <c r="M1909" s="32"/>
      <c r="N1909" s="32"/>
      <c r="O1909" s="32"/>
      <c r="P1909" s="32"/>
      <c r="Q1909" s="34"/>
      <c r="R1909" s="35"/>
      <c r="S1909" s="35"/>
      <c r="T1909" s="36"/>
      <c r="U1909" s="36"/>
      <c r="V1909" s="36"/>
      <c r="W1909" s="36"/>
      <c r="X1909" s="36"/>
      <c r="Y1909" s="36"/>
    </row>
    <row r="1910">
      <c r="A1910" s="32"/>
      <c r="B1910" s="32"/>
      <c r="C1910" s="32"/>
      <c r="D1910" s="32"/>
      <c r="E1910" s="32"/>
      <c r="F1910" s="32"/>
      <c r="G1910" s="39"/>
      <c r="H1910" s="32"/>
      <c r="I1910" s="32"/>
      <c r="J1910" s="32"/>
      <c r="K1910" s="33"/>
      <c r="L1910" s="32"/>
      <c r="M1910" s="32"/>
      <c r="N1910" s="32"/>
      <c r="O1910" s="32"/>
      <c r="P1910" s="32"/>
      <c r="Q1910" s="34"/>
      <c r="R1910" s="35"/>
      <c r="S1910" s="35"/>
      <c r="T1910" s="36"/>
      <c r="U1910" s="36"/>
      <c r="V1910" s="36"/>
      <c r="W1910" s="36"/>
      <c r="X1910" s="36"/>
      <c r="Y1910" s="36"/>
    </row>
    <row r="1911">
      <c r="A1911" s="32"/>
      <c r="B1911" s="32"/>
      <c r="C1911" s="32"/>
      <c r="D1911" s="32"/>
      <c r="E1911" s="32"/>
      <c r="F1911" s="32"/>
      <c r="G1911" s="39"/>
      <c r="H1911" s="32"/>
      <c r="I1911" s="32"/>
      <c r="J1911" s="32"/>
      <c r="K1911" s="33"/>
      <c r="L1911" s="32"/>
      <c r="M1911" s="32"/>
      <c r="N1911" s="32"/>
      <c r="O1911" s="32"/>
      <c r="P1911" s="32"/>
      <c r="Q1911" s="34"/>
      <c r="R1911" s="35"/>
      <c r="S1911" s="35"/>
      <c r="T1911" s="36"/>
      <c r="U1911" s="36"/>
      <c r="V1911" s="36"/>
      <c r="W1911" s="36"/>
      <c r="X1911" s="36"/>
      <c r="Y1911" s="36"/>
    </row>
    <row r="1912">
      <c r="A1912" s="32"/>
      <c r="B1912" s="32"/>
      <c r="C1912" s="32"/>
      <c r="D1912" s="32"/>
      <c r="E1912" s="32"/>
      <c r="F1912" s="32"/>
      <c r="G1912" s="39"/>
      <c r="H1912" s="32"/>
      <c r="I1912" s="32"/>
      <c r="J1912" s="32"/>
      <c r="K1912" s="33"/>
      <c r="L1912" s="32"/>
      <c r="M1912" s="32"/>
      <c r="N1912" s="32"/>
      <c r="O1912" s="32"/>
      <c r="P1912" s="32"/>
      <c r="Q1912" s="34"/>
      <c r="R1912" s="35"/>
      <c r="S1912" s="35"/>
      <c r="T1912" s="36"/>
      <c r="U1912" s="36"/>
      <c r="V1912" s="36"/>
      <c r="W1912" s="36"/>
      <c r="X1912" s="36"/>
      <c r="Y1912" s="36"/>
    </row>
    <row r="1913">
      <c r="A1913" s="32"/>
      <c r="B1913" s="32"/>
      <c r="C1913" s="32"/>
      <c r="D1913" s="32"/>
      <c r="E1913" s="32"/>
      <c r="F1913" s="32"/>
      <c r="G1913" s="39"/>
      <c r="H1913" s="32"/>
      <c r="I1913" s="32"/>
      <c r="J1913" s="32"/>
      <c r="K1913" s="33"/>
      <c r="L1913" s="32"/>
      <c r="M1913" s="32"/>
      <c r="N1913" s="32"/>
      <c r="O1913" s="32"/>
      <c r="P1913" s="32"/>
      <c r="Q1913" s="34"/>
      <c r="R1913" s="35"/>
      <c r="S1913" s="35"/>
      <c r="T1913" s="36"/>
      <c r="U1913" s="36"/>
      <c r="V1913" s="36"/>
      <c r="W1913" s="36"/>
      <c r="X1913" s="36"/>
      <c r="Y1913" s="36"/>
    </row>
    <row r="1914">
      <c r="A1914" s="32"/>
      <c r="B1914" s="32"/>
      <c r="C1914" s="32"/>
      <c r="D1914" s="32"/>
      <c r="E1914" s="32"/>
      <c r="F1914" s="32"/>
      <c r="G1914" s="39"/>
      <c r="H1914" s="32"/>
      <c r="I1914" s="32"/>
      <c r="J1914" s="32"/>
      <c r="K1914" s="33"/>
      <c r="L1914" s="32"/>
      <c r="M1914" s="32"/>
      <c r="N1914" s="32"/>
      <c r="O1914" s="32"/>
      <c r="P1914" s="32"/>
      <c r="Q1914" s="34"/>
      <c r="R1914" s="35"/>
      <c r="S1914" s="35"/>
      <c r="T1914" s="36"/>
      <c r="U1914" s="36"/>
      <c r="V1914" s="36"/>
      <c r="W1914" s="36"/>
      <c r="X1914" s="36"/>
      <c r="Y1914" s="36"/>
    </row>
    <row r="1915">
      <c r="A1915" s="32"/>
      <c r="B1915" s="32"/>
      <c r="C1915" s="32"/>
      <c r="D1915" s="32"/>
      <c r="E1915" s="32"/>
      <c r="F1915" s="32"/>
      <c r="G1915" s="39"/>
      <c r="H1915" s="32"/>
      <c r="I1915" s="32"/>
      <c r="J1915" s="32"/>
      <c r="K1915" s="33"/>
      <c r="L1915" s="32"/>
      <c r="M1915" s="32"/>
      <c r="N1915" s="32"/>
      <c r="O1915" s="32"/>
      <c r="P1915" s="32"/>
      <c r="Q1915" s="34"/>
      <c r="R1915" s="35"/>
      <c r="S1915" s="35"/>
      <c r="T1915" s="36"/>
      <c r="U1915" s="36"/>
      <c r="V1915" s="36"/>
      <c r="W1915" s="36"/>
      <c r="X1915" s="36"/>
      <c r="Y1915" s="36"/>
    </row>
    <row r="1916">
      <c r="A1916" s="32"/>
      <c r="B1916" s="32"/>
      <c r="C1916" s="32"/>
      <c r="D1916" s="32"/>
      <c r="E1916" s="32"/>
      <c r="F1916" s="32"/>
      <c r="G1916" s="39"/>
      <c r="H1916" s="32"/>
      <c r="I1916" s="32"/>
      <c r="J1916" s="32"/>
      <c r="K1916" s="33"/>
      <c r="L1916" s="32"/>
      <c r="M1916" s="32"/>
      <c r="N1916" s="32"/>
      <c r="O1916" s="32"/>
      <c r="P1916" s="32"/>
      <c r="Q1916" s="34"/>
      <c r="R1916" s="35"/>
      <c r="S1916" s="35"/>
      <c r="T1916" s="36"/>
      <c r="U1916" s="36"/>
      <c r="V1916" s="36"/>
      <c r="W1916" s="36"/>
      <c r="X1916" s="36"/>
      <c r="Y1916" s="36"/>
    </row>
    <row r="1917">
      <c r="A1917" s="32"/>
      <c r="B1917" s="32"/>
      <c r="C1917" s="32"/>
      <c r="D1917" s="32"/>
      <c r="E1917" s="32"/>
      <c r="F1917" s="32"/>
      <c r="G1917" s="39"/>
      <c r="H1917" s="32"/>
      <c r="I1917" s="32"/>
      <c r="J1917" s="32"/>
      <c r="K1917" s="33"/>
      <c r="L1917" s="32"/>
      <c r="M1917" s="32"/>
      <c r="N1917" s="32"/>
      <c r="O1917" s="32"/>
      <c r="P1917" s="32"/>
      <c r="Q1917" s="34"/>
      <c r="R1917" s="35"/>
      <c r="S1917" s="35"/>
      <c r="T1917" s="36"/>
      <c r="U1917" s="36"/>
      <c r="V1917" s="36"/>
      <c r="W1917" s="36"/>
      <c r="X1917" s="36"/>
      <c r="Y1917" s="36"/>
    </row>
    <row r="1918">
      <c r="A1918" s="32"/>
      <c r="B1918" s="32"/>
      <c r="C1918" s="32"/>
      <c r="D1918" s="32"/>
      <c r="E1918" s="32"/>
      <c r="F1918" s="32"/>
      <c r="G1918" s="39"/>
      <c r="H1918" s="32"/>
      <c r="I1918" s="32"/>
      <c r="J1918" s="32"/>
      <c r="K1918" s="33"/>
      <c r="L1918" s="32"/>
      <c r="M1918" s="32"/>
      <c r="N1918" s="32"/>
      <c r="O1918" s="32"/>
      <c r="P1918" s="32"/>
      <c r="Q1918" s="34"/>
      <c r="R1918" s="35"/>
      <c r="S1918" s="35"/>
      <c r="T1918" s="36"/>
      <c r="U1918" s="36"/>
      <c r="V1918" s="36"/>
      <c r="W1918" s="36"/>
      <c r="X1918" s="36"/>
      <c r="Y1918" s="36"/>
    </row>
    <row r="1919">
      <c r="A1919" s="32"/>
      <c r="B1919" s="32"/>
      <c r="C1919" s="32"/>
      <c r="D1919" s="32"/>
      <c r="E1919" s="32"/>
      <c r="F1919" s="32"/>
      <c r="G1919" s="39"/>
      <c r="H1919" s="32"/>
      <c r="I1919" s="32"/>
      <c r="J1919" s="32"/>
      <c r="K1919" s="33"/>
      <c r="L1919" s="32"/>
      <c r="M1919" s="32"/>
      <c r="N1919" s="32"/>
      <c r="O1919" s="32"/>
      <c r="P1919" s="32"/>
      <c r="Q1919" s="34"/>
      <c r="R1919" s="35"/>
      <c r="S1919" s="35"/>
      <c r="T1919" s="36"/>
      <c r="U1919" s="36"/>
      <c r="V1919" s="36"/>
      <c r="W1919" s="36"/>
      <c r="X1919" s="36"/>
      <c r="Y1919" s="36"/>
    </row>
    <row r="1920">
      <c r="A1920" s="32"/>
      <c r="B1920" s="32"/>
      <c r="C1920" s="32"/>
      <c r="D1920" s="32"/>
      <c r="E1920" s="32"/>
      <c r="F1920" s="32"/>
      <c r="G1920" s="39"/>
      <c r="H1920" s="32"/>
      <c r="I1920" s="32"/>
      <c r="J1920" s="32"/>
      <c r="K1920" s="33"/>
      <c r="L1920" s="32"/>
      <c r="M1920" s="32"/>
      <c r="N1920" s="32"/>
      <c r="O1920" s="32"/>
      <c r="P1920" s="32"/>
      <c r="Q1920" s="34"/>
      <c r="R1920" s="35"/>
      <c r="S1920" s="35"/>
      <c r="T1920" s="36"/>
      <c r="U1920" s="36"/>
      <c r="V1920" s="36"/>
      <c r="W1920" s="36"/>
      <c r="X1920" s="36"/>
      <c r="Y1920" s="36"/>
    </row>
    <row r="1921">
      <c r="A1921" s="32"/>
      <c r="B1921" s="32"/>
      <c r="C1921" s="32"/>
      <c r="D1921" s="32"/>
      <c r="E1921" s="32"/>
      <c r="F1921" s="32"/>
      <c r="G1921" s="39"/>
      <c r="H1921" s="32"/>
      <c r="I1921" s="32"/>
      <c r="J1921" s="32"/>
      <c r="K1921" s="33"/>
      <c r="L1921" s="32"/>
      <c r="M1921" s="32"/>
      <c r="N1921" s="32"/>
      <c r="O1921" s="32"/>
      <c r="P1921" s="32"/>
      <c r="Q1921" s="34"/>
      <c r="R1921" s="35"/>
      <c r="S1921" s="35"/>
      <c r="T1921" s="36"/>
      <c r="U1921" s="36"/>
      <c r="V1921" s="36"/>
      <c r="W1921" s="36"/>
      <c r="X1921" s="36"/>
      <c r="Y1921" s="36"/>
    </row>
    <row r="1922">
      <c r="A1922" s="32"/>
      <c r="B1922" s="32"/>
      <c r="C1922" s="32"/>
      <c r="D1922" s="32"/>
      <c r="E1922" s="32"/>
      <c r="F1922" s="32"/>
      <c r="G1922" s="39"/>
      <c r="H1922" s="32"/>
      <c r="I1922" s="32"/>
      <c r="J1922" s="32"/>
      <c r="K1922" s="33"/>
      <c r="L1922" s="32"/>
      <c r="M1922" s="32"/>
      <c r="N1922" s="32"/>
      <c r="O1922" s="32"/>
      <c r="P1922" s="32"/>
      <c r="Q1922" s="34"/>
      <c r="R1922" s="35"/>
      <c r="S1922" s="35"/>
      <c r="T1922" s="36"/>
      <c r="U1922" s="36"/>
      <c r="V1922" s="36"/>
      <c r="W1922" s="36"/>
      <c r="X1922" s="36"/>
      <c r="Y1922" s="36"/>
    </row>
    <row r="1923">
      <c r="A1923" s="32"/>
      <c r="B1923" s="32"/>
      <c r="C1923" s="32"/>
      <c r="D1923" s="32"/>
      <c r="E1923" s="32"/>
      <c r="F1923" s="32"/>
      <c r="G1923" s="39"/>
      <c r="H1923" s="32"/>
      <c r="I1923" s="32"/>
      <c r="J1923" s="32"/>
      <c r="K1923" s="33"/>
      <c r="L1923" s="32"/>
      <c r="M1923" s="32"/>
      <c r="N1923" s="32"/>
      <c r="O1923" s="32"/>
      <c r="P1923" s="32"/>
      <c r="Q1923" s="34"/>
      <c r="R1923" s="35"/>
      <c r="S1923" s="35"/>
      <c r="T1923" s="36"/>
      <c r="U1923" s="36"/>
      <c r="V1923" s="36"/>
      <c r="W1923" s="36"/>
      <c r="X1923" s="36"/>
      <c r="Y1923" s="36"/>
    </row>
    <row r="1924">
      <c r="A1924" s="32"/>
      <c r="B1924" s="32"/>
      <c r="C1924" s="32"/>
      <c r="D1924" s="32"/>
      <c r="E1924" s="32"/>
      <c r="F1924" s="32"/>
      <c r="G1924" s="39"/>
      <c r="H1924" s="32"/>
      <c r="I1924" s="32"/>
      <c r="J1924" s="32"/>
      <c r="K1924" s="33"/>
      <c r="L1924" s="32"/>
      <c r="M1924" s="32"/>
      <c r="N1924" s="32"/>
      <c r="O1924" s="32"/>
      <c r="P1924" s="32"/>
      <c r="Q1924" s="34"/>
      <c r="R1924" s="35"/>
      <c r="S1924" s="35"/>
      <c r="T1924" s="36"/>
      <c r="U1924" s="36"/>
      <c r="V1924" s="36"/>
      <c r="W1924" s="36"/>
      <c r="X1924" s="36"/>
      <c r="Y1924" s="36"/>
    </row>
    <row r="1925">
      <c r="A1925" s="32"/>
      <c r="B1925" s="32"/>
      <c r="C1925" s="32"/>
      <c r="D1925" s="32"/>
      <c r="E1925" s="32"/>
      <c r="F1925" s="32"/>
      <c r="G1925" s="39"/>
      <c r="H1925" s="32"/>
      <c r="I1925" s="32"/>
      <c r="J1925" s="32"/>
      <c r="K1925" s="33"/>
      <c r="L1925" s="32"/>
      <c r="M1925" s="32"/>
      <c r="N1925" s="32"/>
      <c r="O1925" s="32"/>
      <c r="P1925" s="32"/>
      <c r="Q1925" s="34"/>
      <c r="R1925" s="35"/>
      <c r="S1925" s="35"/>
      <c r="T1925" s="36"/>
      <c r="U1925" s="36"/>
      <c r="V1925" s="36"/>
      <c r="W1925" s="36"/>
      <c r="X1925" s="36"/>
      <c r="Y1925" s="36"/>
    </row>
    <row r="1926">
      <c r="A1926" s="32"/>
      <c r="B1926" s="32"/>
      <c r="C1926" s="32"/>
      <c r="D1926" s="32"/>
      <c r="E1926" s="32"/>
      <c r="F1926" s="32"/>
      <c r="G1926" s="39"/>
      <c r="H1926" s="32"/>
      <c r="I1926" s="32"/>
      <c r="J1926" s="32"/>
      <c r="K1926" s="33"/>
      <c r="L1926" s="32"/>
      <c r="M1926" s="32"/>
      <c r="N1926" s="32"/>
      <c r="O1926" s="32"/>
      <c r="P1926" s="32"/>
      <c r="Q1926" s="34"/>
      <c r="R1926" s="35"/>
      <c r="S1926" s="35"/>
      <c r="T1926" s="36"/>
      <c r="U1926" s="36"/>
      <c r="V1926" s="36"/>
      <c r="W1926" s="36"/>
      <c r="X1926" s="36"/>
      <c r="Y1926" s="36"/>
    </row>
    <row r="1927">
      <c r="A1927" s="32"/>
      <c r="B1927" s="32"/>
      <c r="C1927" s="32"/>
      <c r="D1927" s="32"/>
      <c r="E1927" s="32"/>
      <c r="F1927" s="32"/>
      <c r="G1927" s="39"/>
      <c r="H1927" s="32"/>
      <c r="I1927" s="32"/>
      <c r="J1927" s="32"/>
      <c r="K1927" s="33"/>
      <c r="L1927" s="32"/>
      <c r="M1927" s="32"/>
      <c r="N1927" s="32"/>
      <c r="O1927" s="32"/>
      <c r="P1927" s="32"/>
      <c r="Q1927" s="34"/>
      <c r="R1927" s="35"/>
      <c r="S1927" s="35"/>
      <c r="T1927" s="36"/>
      <c r="U1927" s="36"/>
      <c r="V1927" s="36"/>
      <c r="W1927" s="36"/>
      <c r="X1927" s="36"/>
      <c r="Y1927" s="36"/>
    </row>
    <row r="1928">
      <c r="A1928" s="32"/>
      <c r="B1928" s="32"/>
      <c r="C1928" s="32"/>
      <c r="D1928" s="32"/>
      <c r="E1928" s="32"/>
      <c r="F1928" s="32"/>
      <c r="G1928" s="39"/>
      <c r="H1928" s="32"/>
      <c r="I1928" s="32"/>
      <c r="J1928" s="32"/>
      <c r="K1928" s="33"/>
      <c r="L1928" s="32"/>
      <c r="M1928" s="32"/>
      <c r="N1928" s="32"/>
      <c r="O1928" s="32"/>
      <c r="P1928" s="32"/>
      <c r="Q1928" s="34"/>
      <c r="R1928" s="35"/>
      <c r="S1928" s="35"/>
      <c r="T1928" s="36"/>
      <c r="U1928" s="36"/>
      <c r="V1928" s="36"/>
      <c r="W1928" s="36"/>
      <c r="X1928" s="36"/>
      <c r="Y1928" s="36"/>
    </row>
    <row r="1929">
      <c r="A1929" s="32"/>
      <c r="B1929" s="32"/>
      <c r="C1929" s="32"/>
      <c r="D1929" s="32"/>
      <c r="E1929" s="32"/>
      <c r="F1929" s="32"/>
      <c r="G1929" s="39"/>
      <c r="H1929" s="32"/>
      <c r="I1929" s="32"/>
      <c r="J1929" s="32"/>
      <c r="K1929" s="33"/>
      <c r="L1929" s="32"/>
      <c r="M1929" s="32"/>
      <c r="N1929" s="32"/>
      <c r="O1929" s="32"/>
      <c r="P1929" s="32"/>
      <c r="Q1929" s="34"/>
      <c r="R1929" s="35"/>
      <c r="S1929" s="35"/>
      <c r="T1929" s="36"/>
      <c r="U1929" s="36"/>
      <c r="V1929" s="36"/>
      <c r="W1929" s="36"/>
      <c r="X1929" s="36"/>
      <c r="Y1929" s="36"/>
    </row>
    <row r="1930">
      <c r="A1930" s="32"/>
      <c r="B1930" s="32"/>
      <c r="C1930" s="32"/>
      <c r="D1930" s="32"/>
      <c r="E1930" s="32"/>
      <c r="F1930" s="32"/>
      <c r="G1930" s="39"/>
      <c r="H1930" s="32"/>
      <c r="I1930" s="32"/>
      <c r="J1930" s="32"/>
      <c r="K1930" s="33"/>
      <c r="L1930" s="32"/>
      <c r="M1930" s="32"/>
      <c r="N1930" s="32"/>
      <c r="O1930" s="32"/>
      <c r="P1930" s="32"/>
      <c r="Q1930" s="34"/>
      <c r="R1930" s="35"/>
      <c r="S1930" s="35"/>
      <c r="T1930" s="36"/>
      <c r="U1930" s="36"/>
      <c r="V1930" s="36"/>
      <c r="W1930" s="36"/>
      <c r="X1930" s="36"/>
      <c r="Y1930" s="36"/>
    </row>
    <row r="1931">
      <c r="A1931" s="32"/>
      <c r="B1931" s="32"/>
      <c r="C1931" s="32"/>
      <c r="D1931" s="32"/>
      <c r="E1931" s="32"/>
      <c r="F1931" s="32"/>
      <c r="G1931" s="39"/>
      <c r="H1931" s="32"/>
      <c r="I1931" s="32"/>
      <c r="J1931" s="32"/>
      <c r="K1931" s="33"/>
      <c r="L1931" s="32"/>
      <c r="M1931" s="32"/>
      <c r="N1931" s="32"/>
      <c r="O1931" s="32"/>
      <c r="P1931" s="32"/>
      <c r="Q1931" s="34"/>
      <c r="R1931" s="35"/>
      <c r="S1931" s="35"/>
      <c r="T1931" s="36"/>
      <c r="U1931" s="36"/>
      <c r="V1931" s="36"/>
      <c r="W1931" s="36"/>
      <c r="X1931" s="36"/>
      <c r="Y1931" s="36"/>
    </row>
    <row r="1932">
      <c r="A1932" s="32"/>
      <c r="B1932" s="32"/>
      <c r="C1932" s="32"/>
      <c r="D1932" s="32"/>
      <c r="E1932" s="32"/>
      <c r="F1932" s="32"/>
      <c r="G1932" s="39"/>
      <c r="H1932" s="32"/>
      <c r="I1932" s="32"/>
      <c r="J1932" s="32"/>
      <c r="K1932" s="33"/>
      <c r="L1932" s="32"/>
      <c r="M1932" s="32"/>
      <c r="N1932" s="32"/>
      <c r="O1932" s="32"/>
      <c r="P1932" s="32"/>
      <c r="Q1932" s="34"/>
      <c r="R1932" s="35"/>
      <c r="S1932" s="35"/>
      <c r="T1932" s="36"/>
      <c r="U1932" s="36"/>
      <c r="V1932" s="36"/>
      <c r="W1932" s="36"/>
      <c r="X1932" s="36"/>
      <c r="Y1932" s="36"/>
    </row>
    <row r="1933">
      <c r="A1933" s="32"/>
      <c r="B1933" s="32"/>
      <c r="C1933" s="32"/>
      <c r="D1933" s="32"/>
      <c r="E1933" s="32"/>
      <c r="F1933" s="32"/>
      <c r="G1933" s="39"/>
      <c r="H1933" s="32"/>
      <c r="I1933" s="32"/>
      <c r="J1933" s="32"/>
      <c r="K1933" s="33"/>
      <c r="L1933" s="32"/>
      <c r="M1933" s="32"/>
      <c r="N1933" s="32"/>
      <c r="O1933" s="32"/>
      <c r="P1933" s="32"/>
      <c r="Q1933" s="34"/>
      <c r="R1933" s="35"/>
      <c r="S1933" s="35"/>
      <c r="T1933" s="36"/>
      <c r="U1933" s="36"/>
      <c r="V1933" s="36"/>
      <c r="W1933" s="36"/>
      <c r="X1933" s="36"/>
      <c r="Y1933" s="36"/>
    </row>
    <row r="1934">
      <c r="A1934" s="32"/>
      <c r="B1934" s="32"/>
      <c r="C1934" s="32"/>
      <c r="D1934" s="32"/>
      <c r="E1934" s="32"/>
      <c r="F1934" s="32"/>
      <c r="G1934" s="39"/>
      <c r="H1934" s="32"/>
      <c r="I1934" s="32"/>
      <c r="J1934" s="32"/>
      <c r="K1934" s="33"/>
      <c r="L1934" s="32"/>
      <c r="M1934" s="32"/>
      <c r="N1934" s="32"/>
      <c r="O1934" s="32"/>
      <c r="P1934" s="32"/>
      <c r="Q1934" s="34"/>
      <c r="R1934" s="35"/>
      <c r="S1934" s="35"/>
      <c r="T1934" s="36"/>
      <c r="U1934" s="36"/>
      <c r="V1934" s="36"/>
      <c r="W1934" s="36"/>
      <c r="X1934" s="36"/>
      <c r="Y1934" s="36"/>
    </row>
    <row r="1935">
      <c r="A1935" s="32"/>
      <c r="B1935" s="32"/>
      <c r="C1935" s="32"/>
      <c r="D1935" s="32"/>
      <c r="E1935" s="32"/>
      <c r="F1935" s="32"/>
      <c r="G1935" s="39"/>
      <c r="H1935" s="32"/>
      <c r="I1935" s="32"/>
      <c r="J1935" s="32"/>
      <c r="K1935" s="33"/>
      <c r="L1935" s="32"/>
      <c r="M1935" s="32"/>
      <c r="N1935" s="32"/>
      <c r="O1935" s="32"/>
      <c r="P1935" s="32"/>
      <c r="Q1935" s="34"/>
      <c r="R1935" s="35"/>
      <c r="S1935" s="35"/>
      <c r="T1935" s="36"/>
      <c r="U1935" s="36"/>
      <c r="V1935" s="36"/>
      <c r="W1935" s="36"/>
      <c r="X1935" s="36"/>
      <c r="Y1935" s="36"/>
    </row>
    <row r="1936">
      <c r="A1936" s="32"/>
      <c r="B1936" s="32"/>
      <c r="C1936" s="32"/>
      <c r="D1936" s="32"/>
      <c r="E1936" s="32"/>
      <c r="F1936" s="32"/>
      <c r="G1936" s="39"/>
      <c r="H1936" s="32"/>
      <c r="I1936" s="32"/>
      <c r="J1936" s="32"/>
      <c r="K1936" s="33"/>
      <c r="L1936" s="32"/>
      <c r="M1936" s="32"/>
      <c r="N1936" s="32"/>
      <c r="O1936" s="32"/>
      <c r="P1936" s="32"/>
      <c r="Q1936" s="34"/>
      <c r="R1936" s="35"/>
      <c r="S1936" s="35"/>
      <c r="T1936" s="36"/>
      <c r="U1936" s="36"/>
      <c r="V1936" s="36"/>
      <c r="W1936" s="36"/>
      <c r="X1936" s="36"/>
      <c r="Y1936" s="36"/>
    </row>
    <row r="1937">
      <c r="A1937" s="32"/>
      <c r="B1937" s="32"/>
      <c r="C1937" s="32"/>
      <c r="D1937" s="32"/>
      <c r="E1937" s="32"/>
      <c r="F1937" s="32"/>
      <c r="G1937" s="39"/>
      <c r="H1937" s="32"/>
      <c r="I1937" s="32"/>
      <c r="J1937" s="32"/>
      <c r="K1937" s="33"/>
      <c r="L1937" s="32"/>
      <c r="M1937" s="32"/>
      <c r="N1937" s="32"/>
      <c r="O1937" s="32"/>
      <c r="P1937" s="32"/>
      <c r="Q1937" s="34"/>
      <c r="R1937" s="35"/>
      <c r="S1937" s="35"/>
      <c r="T1937" s="36"/>
      <c r="U1937" s="36"/>
      <c r="V1937" s="36"/>
      <c r="W1937" s="36"/>
      <c r="X1937" s="36"/>
      <c r="Y1937" s="36"/>
    </row>
    <row r="1938">
      <c r="A1938" s="32"/>
      <c r="B1938" s="32"/>
      <c r="C1938" s="32"/>
      <c r="D1938" s="32"/>
      <c r="E1938" s="32"/>
      <c r="F1938" s="32"/>
      <c r="G1938" s="39"/>
      <c r="H1938" s="32"/>
      <c r="I1938" s="32"/>
      <c r="J1938" s="32"/>
      <c r="K1938" s="33"/>
      <c r="L1938" s="32"/>
      <c r="M1938" s="32"/>
      <c r="N1938" s="32"/>
      <c r="O1938" s="32"/>
      <c r="P1938" s="32"/>
      <c r="Q1938" s="34"/>
      <c r="R1938" s="35"/>
      <c r="S1938" s="35"/>
      <c r="T1938" s="36"/>
      <c r="U1938" s="36"/>
      <c r="V1938" s="36"/>
      <c r="W1938" s="36"/>
      <c r="X1938" s="36"/>
      <c r="Y1938" s="36"/>
    </row>
    <row r="1939">
      <c r="A1939" s="32"/>
      <c r="B1939" s="32"/>
      <c r="C1939" s="32"/>
      <c r="D1939" s="32"/>
      <c r="E1939" s="32"/>
      <c r="F1939" s="32"/>
      <c r="G1939" s="39"/>
      <c r="H1939" s="32"/>
      <c r="I1939" s="32"/>
      <c r="J1939" s="32"/>
      <c r="K1939" s="33"/>
      <c r="L1939" s="32"/>
      <c r="M1939" s="32"/>
      <c r="N1939" s="32"/>
      <c r="O1939" s="32"/>
      <c r="P1939" s="32"/>
      <c r="Q1939" s="34"/>
      <c r="R1939" s="35"/>
      <c r="S1939" s="35"/>
      <c r="T1939" s="36"/>
      <c r="U1939" s="36"/>
      <c r="V1939" s="36"/>
      <c r="W1939" s="36"/>
      <c r="X1939" s="36"/>
      <c r="Y1939" s="36"/>
    </row>
    <row r="1940">
      <c r="A1940" s="32"/>
      <c r="B1940" s="32"/>
      <c r="C1940" s="32"/>
      <c r="D1940" s="32"/>
      <c r="E1940" s="32"/>
      <c r="F1940" s="32"/>
      <c r="G1940" s="39"/>
      <c r="H1940" s="32"/>
      <c r="I1940" s="32"/>
      <c r="J1940" s="32"/>
      <c r="K1940" s="33"/>
      <c r="L1940" s="32"/>
      <c r="M1940" s="32"/>
      <c r="N1940" s="32"/>
      <c r="O1940" s="32"/>
      <c r="P1940" s="32"/>
      <c r="Q1940" s="34"/>
      <c r="R1940" s="35"/>
      <c r="S1940" s="35"/>
      <c r="T1940" s="36"/>
      <c r="U1940" s="36"/>
      <c r="V1940" s="36"/>
      <c r="W1940" s="36"/>
      <c r="X1940" s="36"/>
      <c r="Y1940" s="36"/>
    </row>
    <row r="1941">
      <c r="A1941" s="32"/>
      <c r="B1941" s="32"/>
      <c r="C1941" s="32"/>
      <c r="D1941" s="32"/>
      <c r="E1941" s="32"/>
      <c r="F1941" s="32"/>
      <c r="G1941" s="39"/>
      <c r="H1941" s="32"/>
      <c r="I1941" s="32"/>
      <c r="J1941" s="32"/>
      <c r="K1941" s="33"/>
      <c r="L1941" s="32"/>
      <c r="M1941" s="32"/>
      <c r="N1941" s="32"/>
      <c r="O1941" s="32"/>
      <c r="P1941" s="32"/>
      <c r="Q1941" s="34"/>
      <c r="R1941" s="35"/>
      <c r="S1941" s="35"/>
      <c r="T1941" s="36"/>
      <c r="U1941" s="36"/>
      <c r="V1941" s="36"/>
      <c r="W1941" s="36"/>
      <c r="X1941" s="36"/>
      <c r="Y1941" s="36"/>
    </row>
    <row r="1942">
      <c r="A1942" s="32"/>
      <c r="B1942" s="32"/>
      <c r="C1942" s="32"/>
      <c r="D1942" s="32"/>
      <c r="E1942" s="32"/>
      <c r="F1942" s="32"/>
      <c r="G1942" s="39"/>
      <c r="H1942" s="32"/>
      <c r="I1942" s="32"/>
      <c r="J1942" s="32"/>
      <c r="K1942" s="33"/>
      <c r="L1942" s="32"/>
      <c r="M1942" s="32"/>
      <c r="N1942" s="32"/>
      <c r="O1942" s="32"/>
      <c r="P1942" s="32"/>
      <c r="Q1942" s="34"/>
      <c r="R1942" s="35"/>
      <c r="S1942" s="35"/>
      <c r="T1942" s="36"/>
      <c r="U1942" s="36"/>
      <c r="V1942" s="36"/>
      <c r="W1942" s="36"/>
      <c r="X1942" s="36"/>
      <c r="Y1942" s="36"/>
    </row>
    <row r="1943">
      <c r="A1943" s="32"/>
      <c r="B1943" s="32"/>
      <c r="C1943" s="32"/>
      <c r="D1943" s="32"/>
      <c r="E1943" s="32"/>
      <c r="F1943" s="32"/>
      <c r="G1943" s="39"/>
      <c r="H1943" s="32"/>
      <c r="I1943" s="32"/>
      <c r="J1943" s="32"/>
      <c r="K1943" s="33"/>
      <c r="L1943" s="32"/>
      <c r="M1943" s="32"/>
      <c r="N1943" s="32"/>
      <c r="O1943" s="32"/>
      <c r="P1943" s="32"/>
      <c r="Q1943" s="34"/>
      <c r="R1943" s="35"/>
      <c r="S1943" s="35"/>
      <c r="T1943" s="36"/>
      <c r="U1943" s="36"/>
      <c r="V1943" s="36"/>
      <c r="W1943" s="36"/>
      <c r="X1943" s="36"/>
      <c r="Y1943" s="36"/>
    </row>
    <row r="1944">
      <c r="A1944" s="32"/>
      <c r="B1944" s="32"/>
      <c r="C1944" s="32"/>
      <c r="D1944" s="32"/>
      <c r="E1944" s="32"/>
      <c r="F1944" s="32"/>
      <c r="G1944" s="39"/>
      <c r="H1944" s="32"/>
      <c r="I1944" s="32"/>
      <c r="J1944" s="32"/>
      <c r="K1944" s="33"/>
      <c r="L1944" s="32"/>
      <c r="M1944" s="32"/>
      <c r="N1944" s="32"/>
      <c r="O1944" s="32"/>
      <c r="P1944" s="32"/>
      <c r="Q1944" s="34"/>
      <c r="R1944" s="35"/>
      <c r="S1944" s="35"/>
      <c r="T1944" s="36"/>
      <c r="U1944" s="36"/>
      <c r="V1944" s="36"/>
      <c r="W1944" s="36"/>
      <c r="X1944" s="36"/>
      <c r="Y1944" s="36"/>
    </row>
    <row r="1945">
      <c r="A1945" s="32"/>
      <c r="B1945" s="32"/>
      <c r="C1945" s="32"/>
      <c r="D1945" s="32"/>
      <c r="E1945" s="32"/>
      <c r="F1945" s="32"/>
      <c r="G1945" s="39"/>
      <c r="H1945" s="32"/>
      <c r="I1945" s="32"/>
      <c r="J1945" s="32"/>
      <c r="K1945" s="33"/>
      <c r="L1945" s="32"/>
      <c r="M1945" s="32"/>
      <c r="N1945" s="32"/>
      <c r="O1945" s="32"/>
      <c r="P1945" s="32"/>
      <c r="Q1945" s="34"/>
      <c r="R1945" s="35"/>
      <c r="S1945" s="35"/>
      <c r="T1945" s="36"/>
      <c r="U1945" s="36"/>
      <c r="V1945" s="36"/>
      <c r="W1945" s="36"/>
      <c r="X1945" s="36"/>
      <c r="Y1945" s="36"/>
    </row>
    <row r="1946">
      <c r="A1946" s="32"/>
      <c r="B1946" s="32"/>
      <c r="C1946" s="32"/>
      <c r="D1946" s="32"/>
      <c r="E1946" s="32"/>
      <c r="F1946" s="32"/>
      <c r="G1946" s="39"/>
      <c r="H1946" s="32"/>
      <c r="I1946" s="32"/>
      <c r="J1946" s="32"/>
      <c r="K1946" s="33"/>
      <c r="L1946" s="32"/>
      <c r="M1946" s="32"/>
      <c r="N1946" s="32"/>
      <c r="O1946" s="32"/>
      <c r="P1946" s="32"/>
      <c r="Q1946" s="34"/>
      <c r="R1946" s="35"/>
      <c r="S1946" s="35"/>
      <c r="T1946" s="36"/>
      <c r="U1946" s="36"/>
      <c r="V1946" s="36"/>
      <c r="W1946" s="36"/>
      <c r="X1946" s="36"/>
      <c r="Y1946" s="36"/>
    </row>
    <row r="1947">
      <c r="A1947" s="32"/>
      <c r="B1947" s="32"/>
      <c r="C1947" s="32"/>
      <c r="D1947" s="32"/>
      <c r="E1947" s="32"/>
      <c r="F1947" s="32"/>
      <c r="G1947" s="39"/>
      <c r="H1947" s="32"/>
      <c r="I1947" s="32"/>
      <c r="J1947" s="32"/>
      <c r="K1947" s="33"/>
      <c r="L1947" s="32"/>
      <c r="M1947" s="32"/>
      <c r="N1947" s="32"/>
      <c r="O1947" s="32"/>
      <c r="P1947" s="32"/>
      <c r="Q1947" s="34"/>
      <c r="R1947" s="35"/>
      <c r="S1947" s="35"/>
      <c r="T1947" s="36"/>
      <c r="U1947" s="36"/>
      <c r="V1947" s="36"/>
      <c r="W1947" s="36"/>
      <c r="X1947" s="36"/>
      <c r="Y1947" s="36"/>
    </row>
    <row r="1948">
      <c r="A1948" s="32"/>
      <c r="B1948" s="32"/>
      <c r="C1948" s="32"/>
      <c r="D1948" s="32"/>
      <c r="E1948" s="32"/>
      <c r="F1948" s="32"/>
      <c r="G1948" s="39"/>
      <c r="H1948" s="32"/>
      <c r="I1948" s="32"/>
      <c r="J1948" s="32"/>
      <c r="K1948" s="33"/>
      <c r="L1948" s="32"/>
      <c r="M1948" s="32"/>
      <c r="N1948" s="32"/>
      <c r="O1948" s="32"/>
      <c r="P1948" s="32"/>
      <c r="Q1948" s="34"/>
      <c r="R1948" s="35"/>
      <c r="S1948" s="35"/>
      <c r="T1948" s="36"/>
      <c r="U1948" s="36"/>
      <c r="V1948" s="36"/>
      <c r="W1948" s="36"/>
      <c r="X1948" s="36"/>
      <c r="Y1948" s="36"/>
    </row>
    <row r="1949">
      <c r="A1949" s="32"/>
      <c r="B1949" s="32"/>
      <c r="C1949" s="32"/>
      <c r="D1949" s="32"/>
      <c r="E1949" s="32"/>
      <c r="F1949" s="32"/>
      <c r="G1949" s="39"/>
      <c r="H1949" s="32"/>
      <c r="I1949" s="32"/>
      <c r="J1949" s="32"/>
      <c r="K1949" s="33"/>
      <c r="L1949" s="32"/>
      <c r="M1949" s="32"/>
      <c r="N1949" s="32"/>
      <c r="O1949" s="32"/>
      <c r="P1949" s="32"/>
      <c r="Q1949" s="34"/>
      <c r="R1949" s="35"/>
      <c r="S1949" s="35"/>
      <c r="T1949" s="36"/>
      <c r="U1949" s="36"/>
      <c r="V1949" s="36"/>
      <c r="W1949" s="36"/>
      <c r="X1949" s="36"/>
      <c r="Y1949" s="36"/>
    </row>
    <row r="1950">
      <c r="A1950" s="32"/>
      <c r="B1950" s="32"/>
      <c r="C1950" s="32"/>
      <c r="D1950" s="32"/>
      <c r="E1950" s="32"/>
      <c r="F1950" s="32"/>
      <c r="G1950" s="39"/>
      <c r="H1950" s="32"/>
      <c r="I1950" s="32"/>
      <c r="J1950" s="32"/>
      <c r="K1950" s="33"/>
      <c r="L1950" s="32"/>
      <c r="M1950" s="32"/>
      <c r="N1950" s="32"/>
      <c r="O1950" s="32"/>
      <c r="P1950" s="32"/>
      <c r="Q1950" s="34"/>
      <c r="R1950" s="35"/>
      <c r="S1950" s="35"/>
      <c r="T1950" s="36"/>
      <c r="U1950" s="36"/>
      <c r="V1950" s="36"/>
      <c r="W1950" s="36"/>
      <c r="X1950" s="36"/>
      <c r="Y1950" s="36"/>
    </row>
    <row r="1951">
      <c r="A1951" s="32"/>
      <c r="B1951" s="32"/>
      <c r="C1951" s="32"/>
      <c r="D1951" s="32"/>
      <c r="E1951" s="32"/>
      <c r="F1951" s="32"/>
      <c r="G1951" s="39"/>
      <c r="H1951" s="32"/>
      <c r="I1951" s="32"/>
      <c r="J1951" s="32"/>
      <c r="K1951" s="33"/>
      <c r="L1951" s="32"/>
      <c r="M1951" s="32"/>
      <c r="N1951" s="32"/>
      <c r="O1951" s="32"/>
      <c r="P1951" s="32"/>
      <c r="Q1951" s="34"/>
      <c r="R1951" s="35"/>
      <c r="S1951" s="35"/>
      <c r="T1951" s="36"/>
      <c r="U1951" s="36"/>
      <c r="V1951" s="36"/>
      <c r="W1951" s="36"/>
      <c r="X1951" s="36"/>
      <c r="Y1951" s="36"/>
    </row>
    <row r="1952">
      <c r="A1952" s="32"/>
      <c r="B1952" s="32"/>
      <c r="C1952" s="32"/>
      <c r="D1952" s="32"/>
      <c r="E1952" s="32"/>
      <c r="F1952" s="32"/>
      <c r="G1952" s="39"/>
      <c r="H1952" s="32"/>
      <c r="I1952" s="32"/>
      <c r="J1952" s="32"/>
      <c r="K1952" s="33"/>
      <c r="L1952" s="32"/>
      <c r="M1952" s="32"/>
      <c r="N1952" s="32"/>
      <c r="O1952" s="32"/>
      <c r="P1952" s="32"/>
      <c r="Q1952" s="34"/>
      <c r="R1952" s="35"/>
      <c r="S1952" s="35"/>
      <c r="T1952" s="36"/>
      <c r="U1952" s="36"/>
      <c r="V1952" s="36"/>
      <c r="W1952" s="36"/>
      <c r="X1952" s="36"/>
      <c r="Y1952" s="36"/>
    </row>
    <row r="1953">
      <c r="A1953" s="32"/>
      <c r="B1953" s="32"/>
      <c r="C1953" s="32"/>
      <c r="D1953" s="32"/>
      <c r="E1953" s="32"/>
      <c r="F1953" s="32"/>
      <c r="G1953" s="39"/>
      <c r="H1953" s="32"/>
      <c r="I1953" s="32"/>
      <c r="J1953" s="32"/>
      <c r="K1953" s="33"/>
      <c r="L1953" s="32"/>
      <c r="M1953" s="32"/>
      <c r="N1953" s="32"/>
      <c r="O1953" s="32"/>
      <c r="P1953" s="32"/>
      <c r="Q1953" s="34"/>
      <c r="R1953" s="35"/>
      <c r="S1953" s="35"/>
      <c r="T1953" s="36"/>
      <c r="U1953" s="36"/>
      <c r="V1953" s="36"/>
      <c r="W1953" s="36"/>
      <c r="X1953" s="36"/>
      <c r="Y1953" s="36"/>
    </row>
    <row r="1954">
      <c r="A1954" s="32"/>
      <c r="B1954" s="32"/>
      <c r="C1954" s="32"/>
      <c r="D1954" s="32"/>
      <c r="E1954" s="32"/>
      <c r="F1954" s="32"/>
      <c r="G1954" s="39"/>
      <c r="H1954" s="32"/>
      <c r="I1954" s="32"/>
      <c r="J1954" s="32"/>
      <c r="K1954" s="33"/>
      <c r="L1954" s="32"/>
      <c r="M1954" s="32"/>
      <c r="N1954" s="32"/>
      <c r="O1954" s="32"/>
      <c r="P1954" s="32"/>
      <c r="Q1954" s="34"/>
      <c r="R1954" s="35"/>
      <c r="S1954" s="35"/>
      <c r="T1954" s="36"/>
      <c r="U1954" s="36"/>
      <c r="V1954" s="36"/>
      <c r="W1954" s="36"/>
      <c r="X1954" s="36"/>
      <c r="Y1954" s="36"/>
    </row>
    <row r="1955">
      <c r="A1955" s="32"/>
      <c r="B1955" s="32"/>
      <c r="C1955" s="32"/>
      <c r="D1955" s="32"/>
      <c r="E1955" s="32"/>
      <c r="F1955" s="32"/>
      <c r="G1955" s="39"/>
      <c r="H1955" s="32"/>
      <c r="I1955" s="32"/>
      <c r="J1955" s="32"/>
      <c r="K1955" s="33"/>
      <c r="L1955" s="32"/>
      <c r="M1955" s="32"/>
      <c r="N1955" s="32"/>
      <c r="O1955" s="32"/>
      <c r="P1955" s="32"/>
      <c r="Q1955" s="34"/>
      <c r="R1955" s="35"/>
      <c r="S1955" s="35"/>
      <c r="T1955" s="36"/>
      <c r="U1955" s="36"/>
      <c r="V1955" s="36"/>
      <c r="W1955" s="36"/>
      <c r="X1955" s="36"/>
      <c r="Y1955" s="36"/>
    </row>
    <row r="1956">
      <c r="A1956" s="32"/>
      <c r="B1956" s="32"/>
      <c r="C1956" s="32"/>
      <c r="D1956" s="32"/>
      <c r="E1956" s="32"/>
      <c r="F1956" s="32"/>
      <c r="G1956" s="39"/>
      <c r="H1956" s="32"/>
      <c r="I1956" s="32"/>
      <c r="J1956" s="32"/>
      <c r="K1956" s="33"/>
      <c r="L1956" s="32"/>
      <c r="M1956" s="32"/>
      <c r="N1956" s="32"/>
      <c r="O1956" s="32"/>
      <c r="P1956" s="32"/>
      <c r="Q1956" s="34"/>
      <c r="R1956" s="35"/>
      <c r="S1956" s="35"/>
      <c r="T1956" s="36"/>
      <c r="U1956" s="36"/>
      <c r="V1956" s="36"/>
      <c r="W1956" s="36"/>
      <c r="X1956" s="36"/>
      <c r="Y1956" s="36"/>
    </row>
    <row r="1957">
      <c r="A1957" s="32"/>
      <c r="B1957" s="32"/>
      <c r="C1957" s="32"/>
      <c r="D1957" s="32"/>
      <c r="E1957" s="32"/>
      <c r="F1957" s="32"/>
      <c r="G1957" s="39"/>
      <c r="H1957" s="32"/>
      <c r="I1957" s="32"/>
      <c r="J1957" s="32"/>
      <c r="K1957" s="33"/>
      <c r="L1957" s="32"/>
      <c r="M1957" s="32"/>
      <c r="N1957" s="32"/>
      <c r="O1957" s="32"/>
      <c r="P1957" s="32"/>
      <c r="Q1957" s="34"/>
      <c r="R1957" s="35"/>
      <c r="S1957" s="35"/>
      <c r="T1957" s="36"/>
      <c r="U1957" s="36"/>
      <c r="V1957" s="36"/>
      <c r="W1957" s="36"/>
      <c r="X1957" s="36"/>
      <c r="Y1957" s="36"/>
    </row>
    <row r="1958">
      <c r="A1958" s="32"/>
      <c r="B1958" s="32"/>
      <c r="C1958" s="32"/>
      <c r="D1958" s="32"/>
      <c r="E1958" s="32"/>
      <c r="F1958" s="32"/>
      <c r="G1958" s="39"/>
      <c r="H1958" s="32"/>
      <c r="I1958" s="32"/>
      <c r="J1958" s="32"/>
      <c r="K1958" s="33"/>
      <c r="L1958" s="32"/>
      <c r="M1958" s="32"/>
      <c r="N1958" s="32"/>
      <c r="O1958" s="32"/>
      <c r="P1958" s="32"/>
      <c r="Q1958" s="34"/>
      <c r="R1958" s="35"/>
      <c r="S1958" s="35"/>
      <c r="T1958" s="36"/>
      <c r="U1958" s="36"/>
      <c r="V1958" s="36"/>
      <c r="W1958" s="36"/>
      <c r="X1958" s="36"/>
      <c r="Y1958" s="36"/>
    </row>
    <row r="1959">
      <c r="A1959" s="32"/>
      <c r="B1959" s="32"/>
      <c r="C1959" s="32"/>
      <c r="D1959" s="32"/>
      <c r="E1959" s="32"/>
      <c r="F1959" s="32"/>
      <c r="G1959" s="39"/>
      <c r="H1959" s="32"/>
      <c r="I1959" s="32"/>
      <c r="J1959" s="32"/>
      <c r="K1959" s="33"/>
      <c r="L1959" s="32"/>
      <c r="M1959" s="32"/>
      <c r="N1959" s="32"/>
      <c r="O1959" s="32"/>
      <c r="P1959" s="32"/>
      <c r="Q1959" s="34"/>
      <c r="R1959" s="35"/>
      <c r="S1959" s="35"/>
      <c r="T1959" s="36"/>
      <c r="U1959" s="36"/>
      <c r="V1959" s="36"/>
      <c r="W1959" s="36"/>
      <c r="X1959" s="36"/>
      <c r="Y1959" s="36"/>
    </row>
    <row r="1960">
      <c r="A1960" s="32"/>
      <c r="B1960" s="32"/>
      <c r="C1960" s="32"/>
      <c r="D1960" s="32"/>
      <c r="E1960" s="32"/>
      <c r="F1960" s="32"/>
      <c r="G1960" s="39"/>
      <c r="H1960" s="32"/>
      <c r="I1960" s="32"/>
      <c r="J1960" s="32"/>
      <c r="K1960" s="33"/>
      <c r="L1960" s="32"/>
      <c r="M1960" s="32"/>
      <c r="N1960" s="32"/>
      <c r="O1960" s="32"/>
      <c r="P1960" s="32"/>
      <c r="Q1960" s="34"/>
      <c r="R1960" s="35"/>
      <c r="S1960" s="35"/>
      <c r="T1960" s="36"/>
      <c r="U1960" s="36"/>
      <c r="V1960" s="36"/>
      <c r="W1960" s="36"/>
      <c r="X1960" s="36"/>
      <c r="Y1960" s="36"/>
    </row>
    <row r="1961">
      <c r="A1961" s="32"/>
      <c r="B1961" s="32"/>
      <c r="C1961" s="32"/>
      <c r="D1961" s="32"/>
      <c r="E1961" s="32"/>
      <c r="F1961" s="32"/>
      <c r="G1961" s="39"/>
      <c r="H1961" s="32"/>
      <c r="I1961" s="32"/>
      <c r="J1961" s="32"/>
      <c r="K1961" s="33"/>
      <c r="L1961" s="32"/>
      <c r="M1961" s="32"/>
      <c r="N1961" s="32"/>
      <c r="O1961" s="32"/>
      <c r="P1961" s="32"/>
      <c r="Q1961" s="34"/>
      <c r="R1961" s="35"/>
      <c r="S1961" s="35"/>
      <c r="T1961" s="36"/>
      <c r="U1961" s="36"/>
      <c r="V1961" s="36"/>
      <c r="W1961" s="36"/>
      <c r="X1961" s="36"/>
      <c r="Y1961" s="36"/>
    </row>
    <row r="1962">
      <c r="A1962" s="32"/>
      <c r="B1962" s="32"/>
      <c r="C1962" s="32"/>
      <c r="D1962" s="32"/>
      <c r="E1962" s="32"/>
      <c r="F1962" s="32"/>
      <c r="G1962" s="39"/>
      <c r="H1962" s="32"/>
      <c r="I1962" s="32"/>
      <c r="J1962" s="32"/>
      <c r="K1962" s="33"/>
      <c r="L1962" s="32"/>
      <c r="M1962" s="32"/>
      <c r="N1962" s="32"/>
      <c r="O1962" s="32"/>
      <c r="P1962" s="32"/>
      <c r="Q1962" s="34"/>
      <c r="R1962" s="35"/>
      <c r="S1962" s="35"/>
      <c r="T1962" s="36"/>
      <c r="U1962" s="36"/>
      <c r="V1962" s="36"/>
      <c r="W1962" s="36"/>
      <c r="X1962" s="36"/>
      <c r="Y1962" s="36"/>
    </row>
    <row r="1963">
      <c r="A1963" s="32"/>
      <c r="B1963" s="32"/>
      <c r="C1963" s="32"/>
      <c r="D1963" s="32"/>
      <c r="E1963" s="32"/>
      <c r="F1963" s="32"/>
      <c r="G1963" s="39"/>
      <c r="H1963" s="32"/>
      <c r="I1963" s="32"/>
      <c r="J1963" s="32"/>
      <c r="K1963" s="33"/>
      <c r="L1963" s="32"/>
      <c r="M1963" s="32"/>
      <c r="N1963" s="32"/>
      <c r="O1963" s="32"/>
      <c r="P1963" s="32"/>
      <c r="Q1963" s="34"/>
      <c r="R1963" s="35"/>
      <c r="S1963" s="35"/>
      <c r="T1963" s="36"/>
      <c r="U1963" s="36"/>
      <c r="V1963" s="36"/>
      <c r="W1963" s="36"/>
      <c r="X1963" s="36"/>
      <c r="Y1963" s="36"/>
    </row>
    <row r="1964">
      <c r="A1964" s="32"/>
      <c r="B1964" s="32"/>
      <c r="C1964" s="32"/>
      <c r="D1964" s="32"/>
      <c r="E1964" s="32"/>
      <c r="F1964" s="32"/>
      <c r="G1964" s="39"/>
      <c r="H1964" s="32"/>
      <c r="I1964" s="32"/>
      <c r="J1964" s="32"/>
      <c r="K1964" s="33"/>
      <c r="L1964" s="32"/>
      <c r="M1964" s="32"/>
      <c r="N1964" s="32"/>
      <c r="O1964" s="32"/>
      <c r="P1964" s="32"/>
      <c r="Q1964" s="34"/>
      <c r="R1964" s="35"/>
      <c r="S1964" s="35"/>
      <c r="T1964" s="36"/>
      <c r="U1964" s="36"/>
      <c r="V1964" s="36"/>
      <c r="W1964" s="36"/>
      <c r="X1964" s="36"/>
      <c r="Y1964" s="36"/>
    </row>
    <row r="1965">
      <c r="A1965" s="32"/>
      <c r="B1965" s="32"/>
      <c r="C1965" s="32"/>
      <c r="D1965" s="32"/>
      <c r="E1965" s="32"/>
      <c r="F1965" s="32"/>
      <c r="G1965" s="39"/>
      <c r="H1965" s="32"/>
      <c r="I1965" s="32"/>
      <c r="J1965" s="32"/>
      <c r="K1965" s="33"/>
      <c r="L1965" s="32"/>
      <c r="M1965" s="32"/>
      <c r="N1965" s="32"/>
      <c r="O1965" s="32"/>
      <c r="P1965" s="32"/>
      <c r="Q1965" s="34"/>
      <c r="R1965" s="35"/>
      <c r="S1965" s="35"/>
      <c r="T1965" s="36"/>
      <c r="U1965" s="36"/>
      <c r="V1965" s="36"/>
      <c r="W1965" s="36"/>
      <c r="X1965" s="36"/>
      <c r="Y1965" s="36"/>
    </row>
    <row r="1966">
      <c r="A1966" s="32"/>
      <c r="B1966" s="32"/>
      <c r="C1966" s="32"/>
      <c r="D1966" s="32"/>
      <c r="E1966" s="32"/>
      <c r="F1966" s="32"/>
      <c r="G1966" s="39"/>
      <c r="H1966" s="32"/>
      <c r="I1966" s="32"/>
      <c r="J1966" s="32"/>
      <c r="K1966" s="33"/>
      <c r="L1966" s="32"/>
      <c r="M1966" s="32"/>
      <c r="N1966" s="32"/>
      <c r="O1966" s="32"/>
      <c r="P1966" s="32"/>
      <c r="Q1966" s="34"/>
      <c r="R1966" s="35"/>
      <c r="S1966" s="35"/>
      <c r="T1966" s="36"/>
      <c r="U1966" s="36"/>
      <c r="V1966" s="36"/>
      <c r="W1966" s="36"/>
      <c r="X1966" s="36"/>
      <c r="Y1966" s="36"/>
    </row>
    <row r="1967">
      <c r="A1967" s="32"/>
      <c r="B1967" s="32"/>
      <c r="C1967" s="32"/>
      <c r="D1967" s="32"/>
      <c r="E1967" s="32"/>
      <c r="F1967" s="32"/>
      <c r="G1967" s="39"/>
      <c r="H1967" s="32"/>
      <c r="I1967" s="32"/>
      <c r="J1967" s="32"/>
      <c r="K1967" s="33"/>
      <c r="L1967" s="32"/>
      <c r="M1967" s="32"/>
      <c r="N1967" s="32"/>
      <c r="O1967" s="32"/>
      <c r="P1967" s="32"/>
      <c r="Q1967" s="34"/>
      <c r="R1967" s="35"/>
      <c r="S1967" s="35"/>
      <c r="T1967" s="36"/>
      <c r="U1967" s="36"/>
      <c r="V1967" s="36"/>
      <c r="W1967" s="36"/>
      <c r="X1967" s="36"/>
      <c r="Y1967" s="36"/>
    </row>
    <row r="1968">
      <c r="A1968" s="32"/>
      <c r="B1968" s="32"/>
      <c r="C1968" s="32"/>
      <c r="D1968" s="32"/>
      <c r="E1968" s="32"/>
      <c r="F1968" s="32"/>
      <c r="G1968" s="39"/>
      <c r="H1968" s="32"/>
      <c r="I1968" s="32"/>
      <c r="J1968" s="32"/>
      <c r="K1968" s="33"/>
      <c r="L1968" s="32"/>
      <c r="M1968" s="32"/>
      <c r="N1968" s="32"/>
      <c r="O1968" s="32"/>
      <c r="P1968" s="32"/>
      <c r="Q1968" s="34"/>
      <c r="R1968" s="35"/>
      <c r="S1968" s="35"/>
      <c r="T1968" s="36"/>
      <c r="U1968" s="36"/>
      <c r="V1968" s="36"/>
      <c r="W1968" s="36"/>
      <c r="X1968" s="36"/>
      <c r="Y1968" s="36"/>
    </row>
    <row r="1969">
      <c r="A1969" s="32"/>
      <c r="B1969" s="32"/>
      <c r="C1969" s="32"/>
      <c r="D1969" s="32"/>
      <c r="E1969" s="32"/>
      <c r="F1969" s="32"/>
      <c r="G1969" s="39"/>
      <c r="H1969" s="32"/>
      <c r="I1969" s="32"/>
      <c r="J1969" s="32"/>
      <c r="K1969" s="33"/>
      <c r="L1969" s="32"/>
      <c r="M1969" s="32"/>
      <c r="N1969" s="32"/>
      <c r="O1969" s="32"/>
      <c r="P1969" s="32"/>
      <c r="Q1969" s="34"/>
      <c r="R1969" s="35"/>
      <c r="S1969" s="35"/>
      <c r="T1969" s="36"/>
      <c r="U1969" s="36"/>
      <c r="V1969" s="36"/>
      <c r="W1969" s="36"/>
      <c r="X1969" s="36"/>
      <c r="Y1969" s="36"/>
    </row>
    <row r="1970">
      <c r="A1970" s="32"/>
      <c r="B1970" s="32"/>
      <c r="C1970" s="32"/>
      <c r="D1970" s="32"/>
      <c r="E1970" s="32"/>
      <c r="F1970" s="32"/>
      <c r="G1970" s="39"/>
      <c r="H1970" s="32"/>
      <c r="I1970" s="32"/>
      <c r="J1970" s="32"/>
      <c r="K1970" s="33"/>
      <c r="L1970" s="32"/>
      <c r="M1970" s="32"/>
      <c r="N1970" s="32"/>
      <c r="O1970" s="32"/>
      <c r="P1970" s="32"/>
      <c r="Q1970" s="34"/>
      <c r="R1970" s="35"/>
      <c r="S1970" s="35"/>
      <c r="T1970" s="36"/>
      <c r="U1970" s="36"/>
      <c r="V1970" s="36"/>
      <c r="W1970" s="36"/>
      <c r="X1970" s="36"/>
      <c r="Y1970" s="36"/>
    </row>
    <row r="1971">
      <c r="A1971" s="32"/>
      <c r="B1971" s="32"/>
      <c r="C1971" s="32"/>
      <c r="D1971" s="32"/>
      <c r="E1971" s="32"/>
      <c r="F1971" s="32"/>
      <c r="G1971" s="39"/>
      <c r="H1971" s="32"/>
      <c r="I1971" s="32"/>
      <c r="J1971" s="32"/>
      <c r="K1971" s="33"/>
      <c r="L1971" s="32"/>
      <c r="M1971" s="32"/>
      <c r="N1971" s="32"/>
      <c r="O1971" s="32"/>
      <c r="P1971" s="32"/>
      <c r="Q1971" s="34"/>
      <c r="R1971" s="35"/>
      <c r="S1971" s="35"/>
      <c r="T1971" s="36"/>
      <c r="U1971" s="36"/>
      <c r="V1971" s="36"/>
      <c r="W1971" s="36"/>
      <c r="X1971" s="36"/>
      <c r="Y1971" s="36"/>
    </row>
    <row r="1972">
      <c r="A1972" s="32"/>
      <c r="B1972" s="32"/>
      <c r="C1972" s="32"/>
      <c r="D1972" s="32"/>
      <c r="E1972" s="32"/>
      <c r="F1972" s="32"/>
      <c r="G1972" s="39"/>
      <c r="H1972" s="32"/>
      <c r="I1972" s="32"/>
      <c r="J1972" s="32"/>
      <c r="K1972" s="33"/>
      <c r="L1972" s="32"/>
      <c r="M1972" s="32"/>
      <c r="N1972" s="32"/>
      <c r="O1972" s="32"/>
      <c r="P1972" s="32"/>
      <c r="Q1972" s="34"/>
      <c r="R1972" s="35"/>
      <c r="S1972" s="35"/>
      <c r="T1972" s="36"/>
      <c r="U1972" s="36"/>
      <c r="V1972" s="36"/>
      <c r="W1972" s="36"/>
      <c r="X1972" s="36"/>
      <c r="Y1972" s="36"/>
    </row>
    <row r="1973">
      <c r="A1973" s="32"/>
      <c r="B1973" s="32"/>
      <c r="C1973" s="32"/>
      <c r="D1973" s="32"/>
      <c r="E1973" s="32"/>
      <c r="F1973" s="32"/>
      <c r="G1973" s="39"/>
      <c r="H1973" s="32"/>
      <c r="I1973" s="32"/>
      <c r="J1973" s="32"/>
      <c r="K1973" s="33"/>
      <c r="L1973" s="32"/>
      <c r="M1973" s="32"/>
      <c r="N1973" s="32"/>
      <c r="O1973" s="32"/>
      <c r="P1973" s="32"/>
      <c r="Q1973" s="34"/>
      <c r="R1973" s="35"/>
      <c r="S1973" s="35"/>
      <c r="T1973" s="36"/>
      <c r="U1973" s="36"/>
      <c r="V1973" s="36"/>
      <c r="W1973" s="36"/>
      <c r="X1973" s="36"/>
      <c r="Y1973" s="36"/>
    </row>
    <row r="1974">
      <c r="A1974" s="32"/>
      <c r="B1974" s="32"/>
      <c r="C1974" s="32"/>
      <c r="D1974" s="32"/>
      <c r="E1974" s="32"/>
      <c r="F1974" s="32"/>
      <c r="G1974" s="39"/>
      <c r="H1974" s="32"/>
      <c r="I1974" s="32"/>
      <c r="J1974" s="32"/>
      <c r="K1974" s="33"/>
      <c r="L1974" s="32"/>
      <c r="M1974" s="32"/>
      <c r="N1974" s="32"/>
      <c r="O1974" s="32"/>
      <c r="P1974" s="32"/>
      <c r="Q1974" s="34"/>
      <c r="R1974" s="35"/>
      <c r="S1974" s="35"/>
      <c r="T1974" s="36"/>
      <c r="U1974" s="36"/>
      <c r="V1974" s="36"/>
      <c r="W1974" s="36"/>
      <c r="X1974" s="36"/>
      <c r="Y1974" s="36"/>
    </row>
    <row r="1975">
      <c r="A1975" s="32"/>
      <c r="B1975" s="32"/>
      <c r="C1975" s="32"/>
      <c r="D1975" s="32"/>
      <c r="E1975" s="32"/>
      <c r="F1975" s="32"/>
      <c r="G1975" s="39"/>
      <c r="H1975" s="32"/>
      <c r="I1975" s="32"/>
      <c r="J1975" s="32"/>
      <c r="K1975" s="33"/>
      <c r="L1975" s="32"/>
      <c r="M1975" s="32"/>
      <c r="N1975" s="32"/>
      <c r="O1975" s="32"/>
      <c r="P1975" s="32"/>
      <c r="Q1975" s="34"/>
      <c r="R1975" s="35"/>
      <c r="S1975" s="35"/>
      <c r="T1975" s="36"/>
      <c r="U1975" s="36"/>
      <c r="V1975" s="36"/>
      <c r="W1975" s="36"/>
      <c r="X1975" s="36"/>
      <c r="Y1975" s="36"/>
    </row>
    <row r="1976">
      <c r="A1976" s="32"/>
      <c r="B1976" s="32"/>
      <c r="C1976" s="32"/>
      <c r="D1976" s="32"/>
      <c r="E1976" s="32"/>
      <c r="F1976" s="32"/>
      <c r="G1976" s="39"/>
      <c r="H1976" s="32"/>
      <c r="I1976" s="32"/>
      <c r="J1976" s="32"/>
      <c r="K1976" s="33"/>
      <c r="L1976" s="32"/>
      <c r="M1976" s="32"/>
      <c r="N1976" s="32"/>
      <c r="O1976" s="32"/>
      <c r="P1976" s="32"/>
      <c r="Q1976" s="34"/>
      <c r="R1976" s="35"/>
      <c r="S1976" s="35"/>
      <c r="T1976" s="36"/>
      <c r="U1976" s="36"/>
      <c r="V1976" s="36"/>
      <c r="W1976" s="36"/>
      <c r="X1976" s="36"/>
      <c r="Y1976" s="36"/>
    </row>
    <row r="1977">
      <c r="A1977" s="32"/>
      <c r="B1977" s="32"/>
      <c r="C1977" s="32"/>
      <c r="D1977" s="32"/>
      <c r="E1977" s="32"/>
      <c r="F1977" s="32"/>
      <c r="G1977" s="39"/>
      <c r="H1977" s="32"/>
      <c r="I1977" s="32"/>
      <c r="J1977" s="32"/>
      <c r="K1977" s="33"/>
      <c r="L1977" s="32"/>
      <c r="M1977" s="32"/>
      <c r="N1977" s="32"/>
      <c r="O1977" s="32"/>
      <c r="P1977" s="32"/>
      <c r="Q1977" s="34"/>
      <c r="R1977" s="35"/>
      <c r="S1977" s="35"/>
      <c r="T1977" s="36"/>
      <c r="U1977" s="36"/>
      <c r="V1977" s="36"/>
      <c r="W1977" s="36"/>
      <c r="X1977" s="36"/>
      <c r="Y1977" s="36"/>
    </row>
    <row r="1978">
      <c r="A1978" s="32"/>
      <c r="B1978" s="32"/>
      <c r="C1978" s="32"/>
      <c r="D1978" s="32"/>
      <c r="E1978" s="32"/>
      <c r="F1978" s="32"/>
      <c r="G1978" s="39"/>
      <c r="H1978" s="32"/>
      <c r="I1978" s="32"/>
      <c r="J1978" s="32"/>
      <c r="K1978" s="33"/>
      <c r="L1978" s="32"/>
      <c r="M1978" s="32"/>
      <c r="N1978" s="32"/>
      <c r="O1978" s="32"/>
      <c r="P1978" s="32"/>
      <c r="Q1978" s="34"/>
      <c r="R1978" s="35"/>
      <c r="S1978" s="35"/>
      <c r="T1978" s="36"/>
      <c r="U1978" s="36"/>
      <c r="V1978" s="36"/>
      <c r="W1978" s="36"/>
      <c r="X1978" s="36"/>
      <c r="Y1978" s="36"/>
    </row>
    <row r="1979">
      <c r="A1979" s="32"/>
      <c r="B1979" s="32"/>
      <c r="C1979" s="32"/>
      <c r="D1979" s="32"/>
      <c r="E1979" s="32"/>
      <c r="F1979" s="32"/>
      <c r="G1979" s="39"/>
      <c r="H1979" s="32"/>
      <c r="I1979" s="32"/>
      <c r="J1979" s="32"/>
      <c r="K1979" s="33"/>
      <c r="L1979" s="32"/>
      <c r="M1979" s="32"/>
      <c r="N1979" s="32"/>
      <c r="O1979" s="32"/>
      <c r="P1979" s="32"/>
      <c r="Q1979" s="34"/>
      <c r="R1979" s="35"/>
      <c r="S1979" s="35"/>
      <c r="T1979" s="36"/>
      <c r="U1979" s="36"/>
      <c r="V1979" s="36"/>
      <c r="W1979" s="36"/>
      <c r="X1979" s="36"/>
      <c r="Y1979" s="36"/>
    </row>
    <row r="1980">
      <c r="A1980" s="32"/>
      <c r="B1980" s="32"/>
      <c r="C1980" s="32"/>
      <c r="D1980" s="32"/>
      <c r="E1980" s="32"/>
      <c r="F1980" s="32"/>
      <c r="G1980" s="39"/>
      <c r="H1980" s="32"/>
      <c r="I1980" s="32"/>
      <c r="J1980" s="32"/>
      <c r="K1980" s="33"/>
      <c r="L1980" s="32"/>
      <c r="M1980" s="32"/>
      <c r="N1980" s="32"/>
      <c r="O1980" s="32"/>
      <c r="P1980" s="32"/>
      <c r="Q1980" s="34"/>
      <c r="R1980" s="35"/>
      <c r="S1980" s="35"/>
      <c r="T1980" s="36"/>
      <c r="U1980" s="36"/>
      <c r="V1980" s="36"/>
      <c r="W1980" s="36"/>
      <c r="X1980" s="36"/>
      <c r="Y1980" s="36"/>
    </row>
    <row r="1981">
      <c r="A1981" s="32"/>
      <c r="B1981" s="32"/>
      <c r="C1981" s="32"/>
      <c r="D1981" s="32"/>
      <c r="E1981" s="32"/>
      <c r="F1981" s="32"/>
      <c r="G1981" s="39"/>
      <c r="H1981" s="32"/>
      <c r="I1981" s="32"/>
      <c r="J1981" s="32"/>
      <c r="K1981" s="33"/>
      <c r="L1981" s="32"/>
      <c r="M1981" s="32"/>
      <c r="N1981" s="32"/>
      <c r="O1981" s="32"/>
      <c r="P1981" s="32"/>
      <c r="Q1981" s="34"/>
      <c r="R1981" s="35"/>
      <c r="S1981" s="35"/>
      <c r="T1981" s="36"/>
      <c r="U1981" s="36"/>
      <c r="V1981" s="36"/>
      <c r="W1981" s="36"/>
      <c r="X1981" s="36"/>
      <c r="Y1981" s="36"/>
    </row>
    <row r="1982">
      <c r="A1982" s="32"/>
      <c r="B1982" s="32"/>
      <c r="C1982" s="32"/>
      <c r="D1982" s="32"/>
      <c r="E1982" s="32"/>
      <c r="F1982" s="32"/>
      <c r="G1982" s="39"/>
      <c r="H1982" s="32"/>
      <c r="I1982" s="32"/>
      <c r="J1982" s="32"/>
      <c r="K1982" s="33"/>
      <c r="L1982" s="32"/>
      <c r="M1982" s="32"/>
      <c r="N1982" s="32"/>
      <c r="O1982" s="32"/>
      <c r="P1982" s="32"/>
      <c r="Q1982" s="34"/>
      <c r="R1982" s="35"/>
      <c r="S1982" s="35"/>
      <c r="T1982" s="36"/>
      <c r="U1982" s="36"/>
      <c r="V1982" s="36"/>
      <c r="W1982" s="36"/>
      <c r="X1982" s="36"/>
      <c r="Y1982" s="36"/>
    </row>
    <row r="1983">
      <c r="A1983" s="32"/>
      <c r="B1983" s="32"/>
      <c r="C1983" s="32"/>
      <c r="D1983" s="32"/>
      <c r="E1983" s="32"/>
      <c r="F1983" s="32"/>
      <c r="G1983" s="39"/>
      <c r="H1983" s="32"/>
      <c r="I1983" s="32"/>
      <c r="J1983" s="32"/>
      <c r="K1983" s="33"/>
      <c r="L1983" s="32"/>
      <c r="M1983" s="32"/>
      <c r="N1983" s="32"/>
      <c r="O1983" s="32"/>
      <c r="P1983" s="32"/>
      <c r="Q1983" s="34"/>
      <c r="R1983" s="35"/>
      <c r="S1983" s="35"/>
      <c r="T1983" s="36"/>
      <c r="U1983" s="36"/>
      <c r="V1983" s="36"/>
      <c r="W1983" s="36"/>
      <c r="X1983" s="36"/>
      <c r="Y1983" s="36"/>
    </row>
    <row r="1984">
      <c r="A1984" s="32"/>
      <c r="B1984" s="32"/>
      <c r="C1984" s="32"/>
      <c r="D1984" s="32"/>
      <c r="E1984" s="32"/>
      <c r="F1984" s="32"/>
      <c r="G1984" s="39"/>
      <c r="H1984" s="32"/>
      <c r="I1984" s="32"/>
      <c r="J1984" s="32"/>
      <c r="K1984" s="33"/>
      <c r="L1984" s="32"/>
      <c r="M1984" s="32"/>
      <c r="N1984" s="32"/>
      <c r="O1984" s="32"/>
      <c r="P1984" s="32"/>
      <c r="Q1984" s="34"/>
      <c r="R1984" s="35"/>
      <c r="S1984" s="35"/>
      <c r="T1984" s="36"/>
      <c r="U1984" s="36"/>
      <c r="V1984" s="36"/>
      <c r="W1984" s="36"/>
      <c r="X1984" s="36"/>
      <c r="Y1984" s="36"/>
    </row>
    <row r="1985">
      <c r="A1985" s="32"/>
      <c r="B1985" s="32"/>
      <c r="C1985" s="32"/>
      <c r="D1985" s="32"/>
      <c r="E1985" s="32"/>
      <c r="F1985" s="32"/>
      <c r="G1985" s="39"/>
      <c r="H1985" s="32"/>
      <c r="I1985" s="32"/>
      <c r="J1985" s="32"/>
      <c r="K1985" s="33"/>
      <c r="L1985" s="32"/>
      <c r="M1985" s="32"/>
      <c r="N1985" s="32"/>
      <c r="O1985" s="32"/>
      <c r="P1985" s="32"/>
      <c r="Q1985" s="34"/>
      <c r="R1985" s="35"/>
      <c r="S1985" s="35"/>
      <c r="T1985" s="36"/>
      <c r="U1985" s="36"/>
      <c r="V1985" s="36"/>
      <c r="W1985" s="36"/>
      <c r="X1985" s="36"/>
      <c r="Y1985" s="36"/>
    </row>
    <row r="1986">
      <c r="A1986" s="32"/>
      <c r="B1986" s="32"/>
      <c r="C1986" s="32"/>
      <c r="D1986" s="32"/>
      <c r="E1986" s="32"/>
      <c r="F1986" s="32"/>
      <c r="G1986" s="39"/>
      <c r="H1986" s="32"/>
      <c r="I1986" s="32"/>
      <c r="J1986" s="32"/>
      <c r="K1986" s="33"/>
      <c r="L1986" s="32"/>
      <c r="M1986" s="32"/>
      <c r="N1986" s="32"/>
      <c r="O1986" s="32"/>
      <c r="P1986" s="32"/>
      <c r="Q1986" s="34"/>
      <c r="R1986" s="35"/>
      <c r="S1986" s="35"/>
      <c r="T1986" s="36"/>
      <c r="U1986" s="36"/>
      <c r="V1986" s="36"/>
      <c r="W1986" s="36"/>
      <c r="X1986" s="36"/>
      <c r="Y1986" s="36"/>
    </row>
    <row r="1987">
      <c r="A1987" s="32"/>
      <c r="B1987" s="32"/>
      <c r="C1987" s="32"/>
      <c r="D1987" s="32"/>
      <c r="E1987" s="32"/>
      <c r="F1987" s="32"/>
      <c r="G1987" s="39"/>
      <c r="H1987" s="32"/>
      <c r="I1987" s="32"/>
      <c r="J1987" s="32"/>
      <c r="K1987" s="33"/>
      <c r="L1987" s="32"/>
      <c r="M1987" s="32"/>
      <c r="N1987" s="32"/>
      <c r="O1987" s="32"/>
      <c r="P1987" s="32"/>
      <c r="Q1987" s="34"/>
      <c r="R1987" s="35"/>
      <c r="S1987" s="35"/>
      <c r="T1987" s="36"/>
      <c r="U1987" s="36"/>
      <c r="V1987" s="36"/>
      <c r="W1987" s="36"/>
      <c r="X1987" s="36"/>
      <c r="Y1987" s="36"/>
    </row>
    <row r="1988">
      <c r="A1988" s="32"/>
      <c r="B1988" s="32"/>
      <c r="C1988" s="32"/>
      <c r="D1988" s="32"/>
      <c r="E1988" s="32"/>
      <c r="F1988" s="32"/>
      <c r="G1988" s="39"/>
      <c r="H1988" s="32"/>
      <c r="I1988" s="32"/>
      <c r="J1988" s="32"/>
      <c r="K1988" s="33"/>
      <c r="L1988" s="32"/>
      <c r="M1988" s="32"/>
      <c r="N1988" s="32"/>
      <c r="O1988" s="32"/>
      <c r="P1988" s="32"/>
      <c r="Q1988" s="34"/>
      <c r="R1988" s="35"/>
      <c r="S1988" s="35"/>
      <c r="T1988" s="36"/>
      <c r="U1988" s="36"/>
      <c r="V1988" s="36"/>
      <c r="W1988" s="36"/>
      <c r="X1988" s="36"/>
      <c r="Y1988" s="36"/>
    </row>
    <row r="1989">
      <c r="A1989" s="32"/>
      <c r="B1989" s="32"/>
      <c r="C1989" s="32"/>
      <c r="D1989" s="32"/>
      <c r="E1989" s="32"/>
      <c r="F1989" s="32"/>
      <c r="G1989" s="39"/>
      <c r="H1989" s="32"/>
      <c r="I1989" s="32"/>
      <c r="J1989" s="32"/>
      <c r="K1989" s="33"/>
      <c r="L1989" s="32"/>
      <c r="M1989" s="32"/>
      <c r="N1989" s="32"/>
      <c r="O1989" s="32"/>
      <c r="P1989" s="32"/>
      <c r="Q1989" s="34"/>
      <c r="R1989" s="35"/>
      <c r="S1989" s="35"/>
      <c r="T1989" s="36"/>
      <c r="U1989" s="36"/>
      <c r="V1989" s="36"/>
      <c r="W1989" s="36"/>
      <c r="X1989" s="36"/>
      <c r="Y1989" s="36"/>
    </row>
    <row r="1990">
      <c r="A1990" s="32"/>
      <c r="B1990" s="32"/>
      <c r="C1990" s="32"/>
      <c r="D1990" s="32"/>
      <c r="E1990" s="32"/>
      <c r="F1990" s="32"/>
      <c r="G1990" s="39"/>
      <c r="H1990" s="32"/>
      <c r="I1990" s="32"/>
      <c r="J1990" s="32"/>
      <c r="K1990" s="33"/>
      <c r="L1990" s="32"/>
      <c r="M1990" s="32"/>
      <c r="N1990" s="32"/>
      <c r="O1990" s="32"/>
      <c r="P1990" s="32"/>
      <c r="Q1990" s="34"/>
      <c r="R1990" s="35"/>
      <c r="S1990" s="35"/>
      <c r="T1990" s="36"/>
      <c r="U1990" s="36"/>
      <c r="V1990" s="36"/>
      <c r="W1990" s="36"/>
      <c r="X1990" s="36"/>
      <c r="Y1990" s="36"/>
    </row>
    <row r="1991">
      <c r="A1991" s="32"/>
      <c r="B1991" s="32"/>
      <c r="C1991" s="32"/>
      <c r="D1991" s="32"/>
      <c r="E1991" s="32"/>
      <c r="F1991" s="32"/>
      <c r="G1991" s="39"/>
      <c r="H1991" s="32"/>
      <c r="I1991" s="32"/>
      <c r="J1991" s="32"/>
      <c r="K1991" s="33"/>
      <c r="L1991" s="32"/>
      <c r="M1991" s="32"/>
      <c r="N1991" s="32"/>
      <c r="O1991" s="32"/>
      <c r="P1991" s="32"/>
      <c r="Q1991" s="34"/>
      <c r="R1991" s="35"/>
      <c r="S1991" s="35"/>
      <c r="T1991" s="36"/>
      <c r="U1991" s="36"/>
      <c r="V1991" s="36"/>
      <c r="W1991" s="36"/>
      <c r="X1991" s="36"/>
      <c r="Y1991" s="36"/>
    </row>
    <row r="1992">
      <c r="A1992" s="32"/>
      <c r="B1992" s="32"/>
      <c r="C1992" s="32"/>
      <c r="D1992" s="32"/>
      <c r="E1992" s="32"/>
      <c r="F1992" s="32"/>
      <c r="G1992" s="39"/>
      <c r="H1992" s="32"/>
      <c r="I1992" s="32"/>
      <c r="J1992" s="32"/>
      <c r="K1992" s="33"/>
      <c r="L1992" s="32"/>
      <c r="M1992" s="32"/>
      <c r="N1992" s="32"/>
      <c r="O1992" s="32"/>
      <c r="P1992" s="32"/>
      <c r="Q1992" s="34"/>
      <c r="R1992" s="35"/>
      <c r="S1992" s="35"/>
      <c r="T1992" s="36"/>
      <c r="U1992" s="36"/>
      <c r="V1992" s="36"/>
      <c r="W1992" s="36"/>
      <c r="X1992" s="36"/>
      <c r="Y1992" s="36"/>
    </row>
    <row r="1993">
      <c r="A1993" s="32"/>
      <c r="B1993" s="32"/>
      <c r="C1993" s="32"/>
      <c r="D1993" s="32"/>
      <c r="E1993" s="32"/>
      <c r="F1993" s="32"/>
      <c r="G1993" s="39"/>
      <c r="H1993" s="32"/>
      <c r="I1993" s="32"/>
      <c r="J1993" s="32"/>
      <c r="K1993" s="33"/>
      <c r="L1993" s="32"/>
      <c r="M1993" s="32"/>
      <c r="N1993" s="32"/>
      <c r="O1993" s="32"/>
      <c r="P1993" s="32"/>
      <c r="Q1993" s="34"/>
      <c r="R1993" s="35"/>
      <c r="S1993" s="35"/>
      <c r="T1993" s="36"/>
      <c r="U1993" s="36"/>
      <c r="V1993" s="36"/>
      <c r="W1993" s="36"/>
      <c r="X1993" s="36"/>
      <c r="Y1993" s="36"/>
    </row>
    <row r="1994">
      <c r="A1994" s="32"/>
      <c r="B1994" s="32"/>
      <c r="C1994" s="32"/>
      <c r="D1994" s="32"/>
      <c r="E1994" s="32"/>
      <c r="F1994" s="32"/>
      <c r="G1994" s="39"/>
      <c r="H1994" s="32"/>
      <c r="I1994" s="32"/>
      <c r="J1994" s="32"/>
      <c r="K1994" s="33"/>
      <c r="L1994" s="32"/>
      <c r="M1994" s="32"/>
      <c r="N1994" s="32"/>
      <c r="O1994" s="32"/>
      <c r="P1994" s="32"/>
      <c r="Q1994" s="34"/>
      <c r="R1994" s="35"/>
      <c r="S1994" s="35"/>
      <c r="T1994" s="36"/>
      <c r="U1994" s="36"/>
      <c r="V1994" s="36"/>
      <c r="W1994" s="36"/>
      <c r="X1994" s="36"/>
      <c r="Y1994" s="36"/>
    </row>
    <row r="1995">
      <c r="A1995" s="32"/>
      <c r="B1995" s="32"/>
      <c r="C1995" s="32"/>
      <c r="D1995" s="32"/>
      <c r="E1995" s="32"/>
      <c r="F1995" s="32"/>
      <c r="G1995" s="39"/>
      <c r="H1995" s="32"/>
      <c r="I1995" s="32"/>
      <c r="J1995" s="32"/>
      <c r="K1995" s="33"/>
      <c r="L1995" s="32"/>
      <c r="M1995" s="32"/>
      <c r="N1995" s="32"/>
      <c r="O1995" s="32"/>
      <c r="P1995" s="32"/>
      <c r="Q1995" s="34"/>
      <c r="R1995" s="35"/>
      <c r="S1995" s="35"/>
      <c r="T1995" s="36"/>
      <c r="U1995" s="36"/>
      <c r="V1995" s="36"/>
      <c r="W1995" s="36"/>
      <c r="X1995" s="36"/>
      <c r="Y1995" s="36"/>
    </row>
    <row r="1996">
      <c r="A1996" s="32"/>
      <c r="B1996" s="32"/>
      <c r="C1996" s="32"/>
      <c r="D1996" s="32"/>
      <c r="E1996" s="32"/>
      <c r="F1996" s="32"/>
      <c r="G1996" s="39"/>
      <c r="H1996" s="32"/>
      <c r="I1996" s="32"/>
      <c r="J1996" s="32"/>
      <c r="K1996" s="33"/>
      <c r="L1996" s="32"/>
      <c r="M1996" s="32"/>
      <c r="N1996" s="32"/>
      <c r="O1996" s="32"/>
      <c r="P1996" s="32"/>
      <c r="Q1996" s="34"/>
      <c r="R1996" s="35"/>
      <c r="S1996" s="35"/>
      <c r="T1996" s="36"/>
      <c r="U1996" s="36"/>
      <c r="V1996" s="36"/>
      <c r="W1996" s="36"/>
      <c r="X1996" s="36"/>
      <c r="Y1996" s="36"/>
    </row>
    <row r="1997">
      <c r="A1997" s="32"/>
      <c r="B1997" s="32"/>
      <c r="C1997" s="32"/>
      <c r="D1997" s="32"/>
      <c r="E1997" s="32"/>
      <c r="F1997" s="32"/>
      <c r="G1997" s="39"/>
      <c r="H1997" s="32"/>
      <c r="I1997" s="32"/>
      <c r="J1997" s="32"/>
      <c r="K1997" s="33"/>
      <c r="L1997" s="32"/>
      <c r="M1997" s="32"/>
      <c r="N1997" s="32"/>
      <c r="O1997" s="32"/>
      <c r="P1997" s="32"/>
      <c r="Q1997" s="34"/>
      <c r="R1997" s="35"/>
      <c r="S1997" s="35"/>
      <c r="T1997" s="36"/>
      <c r="U1997" s="36"/>
      <c r="V1997" s="36"/>
      <c r="W1997" s="36"/>
      <c r="X1997" s="36"/>
      <c r="Y1997" s="36"/>
    </row>
    <row r="1998">
      <c r="A1998" s="32"/>
      <c r="B1998" s="32"/>
      <c r="C1998" s="32"/>
      <c r="D1998" s="32"/>
      <c r="E1998" s="32"/>
      <c r="F1998" s="32"/>
      <c r="G1998" s="39"/>
      <c r="H1998" s="32"/>
      <c r="I1998" s="32"/>
      <c r="J1998" s="32"/>
      <c r="K1998" s="33"/>
      <c r="L1998" s="32"/>
      <c r="M1998" s="32"/>
      <c r="N1998" s="32"/>
      <c r="O1998" s="32"/>
      <c r="P1998" s="32"/>
      <c r="Q1998" s="34"/>
      <c r="R1998" s="35"/>
      <c r="S1998" s="35"/>
      <c r="T1998" s="36"/>
      <c r="U1998" s="36"/>
      <c r="V1998" s="36"/>
      <c r="W1998" s="36"/>
      <c r="X1998" s="36"/>
      <c r="Y1998" s="36"/>
    </row>
    <row r="1999">
      <c r="A1999" s="32"/>
      <c r="B1999" s="32"/>
      <c r="C1999" s="32"/>
      <c r="D1999" s="32"/>
      <c r="E1999" s="32"/>
      <c r="F1999" s="32"/>
      <c r="G1999" s="39"/>
      <c r="H1999" s="32"/>
      <c r="I1999" s="32"/>
      <c r="J1999" s="32"/>
      <c r="K1999" s="33"/>
      <c r="L1999" s="32"/>
      <c r="M1999" s="32"/>
      <c r="N1999" s="32"/>
      <c r="O1999" s="32"/>
      <c r="P1999" s="32"/>
      <c r="Q1999" s="34"/>
      <c r="R1999" s="35"/>
      <c r="S1999" s="35"/>
      <c r="T1999" s="36"/>
      <c r="U1999" s="36"/>
      <c r="V1999" s="36"/>
      <c r="W1999" s="36"/>
      <c r="X1999" s="36"/>
      <c r="Y1999" s="36"/>
    </row>
    <row r="2000">
      <c r="A2000" s="32"/>
      <c r="B2000" s="32"/>
      <c r="C2000" s="32"/>
      <c r="D2000" s="32"/>
      <c r="E2000" s="32"/>
      <c r="F2000" s="32"/>
      <c r="G2000" s="39"/>
      <c r="H2000" s="32"/>
      <c r="I2000" s="32"/>
      <c r="J2000" s="32"/>
      <c r="K2000" s="33"/>
      <c r="L2000" s="32"/>
      <c r="M2000" s="32"/>
      <c r="N2000" s="32"/>
      <c r="O2000" s="32"/>
      <c r="P2000" s="32"/>
      <c r="Q2000" s="34"/>
      <c r="R2000" s="35"/>
      <c r="S2000" s="35"/>
      <c r="T2000" s="36"/>
      <c r="U2000" s="36"/>
      <c r="V2000" s="36"/>
      <c r="W2000" s="36"/>
      <c r="X2000" s="36"/>
      <c r="Y2000" s="36"/>
    </row>
    <row r="2001">
      <c r="A2001" s="32"/>
      <c r="B2001" s="32"/>
      <c r="C2001" s="32"/>
      <c r="D2001" s="32"/>
      <c r="E2001" s="32"/>
      <c r="F2001" s="32"/>
      <c r="G2001" s="39"/>
      <c r="H2001" s="32"/>
      <c r="I2001" s="32"/>
      <c r="J2001" s="32"/>
      <c r="K2001" s="33"/>
      <c r="L2001" s="32"/>
      <c r="M2001" s="32"/>
      <c r="N2001" s="32"/>
      <c r="O2001" s="32"/>
      <c r="P2001" s="32"/>
      <c r="Q2001" s="34"/>
      <c r="R2001" s="35"/>
      <c r="S2001" s="35"/>
      <c r="T2001" s="36"/>
      <c r="U2001" s="36"/>
      <c r="V2001" s="36"/>
      <c r="W2001" s="36"/>
      <c r="X2001" s="36"/>
      <c r="Y2001" s="36"/>
    </row>
    <row r="2002">
      <c r="A2002" s="32"/>
      <c r="B2002" s="32"/>
      <c r="C2002" s="32"/>
      <c r="D2002" s="32"/>
      <c r="E2002" s="32"/>
      <c r="F2002" s="32"/>
      <c r="G2002" s="39"/>
      <c r="H2002" s="32"/>
      <c r="I2002" s="32"/>
      <c r="J2002" s="32"/>
      <c r="K2002" s="33"/>
      <c r="L2002" s="32"/>
      <c r="M2002" s="32"/>
      <c r="N2002" s="32"/>
      <c r="O2002" s="32"/>
      <c r="P2002" s="32"/>
      <c r="Q2002" s="34"/>
      <c r="R2002" s="35"/>
      <c r="S2002" s="35"/>
      <c r="T2002" s="36"/>
      <c r="U2002" s="36"/>
      <c r="V2002" s="36"/>
      <c r="W2002" s="36"/>
      <c r="X2002" s="36"/>
      <c r="Y2002" s="36"/>
    </row>
    <row r="2003">
      <c r="A2003" s="32"/>
      <c r="B2003" s="32"/>
      <c r="C2003" s="32"/>
      <c r="D2003" s="32"/>
      <c r="E2003" s="32"/>
      <c r="F2003" s="32"/>
      <c r="G2003" s="39"/>
      <c r="H2003" s="32"/>
      <c r="I2003" s="32"/>
      <c r="J2003" s="32"/>
      <c r="K2003" s="33"/>
      <c r="L2003" s="32"/>
      <c r="M2003" s="32"/>
      <c r="N2003" s="32"/>
      <c r="O2003" s="32"/>
      <c r="P2003" s="32"/>
      <c r="Q2003" s="34"/>
      <c r="R2003" s="35"/>
      <c r="S2003" s="35"/>
      <c r="T2003" s="36"/>
      <c r="U2003" s="36"/>
      <c r="V2003" s="36"/>
      <c r="W2003" s="36"/>
      <c r="X2003" s="36"/>
      <c r="Y2003" s="36"/>
    </row>
    <row r="2004">
      <c r="A2004" s="32"/>
      <c r="B2004" s="32"/>
      <c r="C2004" s="32"/>
      <c r="D2004" s="32"/>
      <c r="E2004" s="32"/>
      <c r="F2004" s="32"/>
      <c r="G2004" s="39"/>
      <c r="H2004" s="32"/>
      <c r="I2004" s="32"/>
      <c r="J2004" s="32"/>
      <c r="K2004" s="33"/>
      <c r="L2004" s="32"/>
      <c r="M2004" s="32"/>
      <c r="N2004" s="32"/>
      <c r="O2004" s="32"/>
      <c r="P2004" s="32"/>
      <c r="Q2004" s="34"/>
      <c r="R2004" s="35"/>
      <c r="S2004" s="35"/>
      <c r="T2004" s="36"/>
      <c r="U2004" s="36"/>
      <c r="V2004" s="36"/>
      <c r="W2004" s="36"/>
      <c r="X2004" s="36"/>
      <c r="Y2004" s="36"/>
    </row>
    <row r="2005">
      <c r="A2005" s="32"/>
      <c r="B2005" s="32"/>
      <c r="C2005" s="32"/>
      <c r="D2005" s="32"/>
      <c r="E2005" s="32"/>
      <c r="F2005" s="32"/>
      <c r="G2005" s="39"/>
      <c r="H2005" s="32"/>
      <c r="I2005" s="32"/>
      <c r="J2005" s="32"/>
      <c r="K2005" s="33"/>
      <c r="L2005" s="32"/>
      <c r="M2005" s="32"/>
      <c r="N2005" s="32"/>
      <c r="O2005" s="32"/>
      <c r="P2005" s="32"/>
      <c r="Q2005" s="34"/>
      <c r="R2005" s="35"/>
      <c r="S2005" s="35"/>
      <c r="T2005" s="36"/>
      <c r="U2005" s="36"/>
      <c r="V2005" s="36"/>
      <c r="W2005" s="36"/>
      <c r="X2005" s="36"/>
      <c r="Y2005" s="36"/>
    </row>
    <row r="2006">
      <c r="A2006" s="32"/>
      <c r="B2006" s="32"/>
      <c r="C2006" s="32"/>
      <c r="D2006" s="32"/>
      <c r="E2006" s="32"/>
      <c r="F2006" s="32"/>
      <c r="G2006" s="39"/>
      <c r="H2006" s="32"/>
      <c r="I2006" s="32"/>
      <c r="J2006" s="32"/>
      <c r="K2006" s="33"/>
      <c r="L2006" s="32"/>
      <c r="M2006" s="32"/>
      <c r="N2006" s="32"/>
      <c r="O2006" s="32"/>
      <c r="P2006" s="32"/>
      <c r="Q2006" s="34"/>
      <c r="R2006" s="35"/>
      <c r="S2006" s="35"/>
      <c r="T2006" s="36"/>
      <c r="U2006" s="36"/>
      <c r="V2006" s="36"/>
      <c r="W2006" s="36"/>
      <c r="X2006" s="36"/>
      <c r="Y2006" s="36"/>
    </row>
    <row r="2007">
      <c r="A2007" s="32"/>
      <c r="B2007" s="32"/>
      <c r="C2007" s="32"/>
      <c r="D2007" s="32"/>
      <c r="E2007" s="32"/>
      <c r="F2007" s="32"/>
      <c r="G2007" s="39"/>
      <c r="H2007" s="32"/>
      <c r="I2007" s="32"/>
      <c r="J2007" s="32"/>
      <c r="K2007" s="33"/>
      <c r="L2007" s="32"/>
      <c r="M2007" s="32"/>
      <c r="N2007" s="32"/>
      <c r="O2007" s="32"/>
      <c r="P2007" s="32"/>
      <c r="Q2007" s="34"/>
      <c r="R2007" s="35"/>
      <c r="S2007" s="35"/>
      <c r="T2007" s="36"/>
      <c r="U2007" s="36"/>
      <c r="V2007" s="36"/>
      <c r="W2007" s="36"/>
      <c r="X2007" s="36"/>
      <c r="Y2007" s="36"/>
    </row>
    <row r="2008">
      <c r="A2008" s="32"/>
      <c r="B2008" s="32"/>
      <c r="C2008" s="32"/>
      <c r="D2008" s="32"/>
      <c r="E2008" s="32"/>
      <c r="F2008" s="32"/>
      <c r="G2008" s="39"/>
      <c r="H2008" s="32"/>
      <c r="I2008" s="32"/>
      <c r="J2008" s="32"/>
      <c r="K2008" s="33"/>
      <c r="L2008" s="32"/>
      <c r="M2008" s="32"/>
      <c r="N2008" s="32"/>
      <c r="O2008" s="32"/>
      <c r="P2008" s="32"/>
      <c r="Q2008" s="34"/>
      <c r="R2008" s="35"/>
      <c r="S2008" s="35"/>
      <c r="T2008" s="36"/>
      <c r="U2008" s="36"/>
      <c r="V2008" s="36"/>
      <c r="W2008" s="36"/>
      <c r="X2008" s="36"/>
      <c r="Y2008" s="36"/>
    </row>
    <row r="2009">
      <c r="A2009" s="32"/>
      <c r="B2009" s="32"/>
      <c r="C2009" s="32"/>
      <c r="D2009" s="32"/>
      <c r="E2009" s="32"/>
      <c r="F2009" s="32"/>
      <c r="G2009" s="39"/>
      <c r="H2009" s="32"/>
      <c r="I2009" s="32"/>
      <c r="J2009" s="32"/>
      <c r="K2009" s="33"/>
      <c r="L2009" s="32"/>
      <c r="M2009" s="32"/>
      <c r="N2009" s="32"/>
      <c r="O2009" s="32"/>
      <c r="P2009" s="32"/>
      <c r="Q2009" s="34"/>
      <c r="R2009" s="35"/>
      <c r="S2009" s="35"/>
      <c r="T2009" s="36"/>
      <c r="U2009" s="36"/>
      <c r="V2009" s="36"/>
      <c r="W2009" s="36"/>
      <c r="X2009" s="36"/>
      <c r="Y2009" s="36"/>
    </row>
    <row r="2010">
      <c r="A2010" s="32"/>
      <c r="B2010" s="32"/>
      <c r="C2010" s="32"/>
      <c r="D2010" s="32"/>
      <c r="E2010" s="32"/>
      <c r="F2010" s="32"/>
      <c r="G2010" s="39"/>
      <c r="H2010" s="32"/>
      <c r="I2010" s="32"/>
      <c r="J2010" s="32"/>
      <c r="K2010" s="33"/>
      <c r="L2010" s="32"/>
      <c r="M2010" s="32"/>
      <c r="N2010" s="32"/>
      <c r="O2010" s="32"/>
      <c r="P2010" s="32"/>
      <c r="Q2010" s="34"/>
      <c r="R2010" s="35"/>
      <c r="S2010" s="35"/>
      <c r="T2010" s="36"/>
      <c r="U2010" s="36"/>
      <c r="V2010" s="36"/>
      <c r="W2010" s="36"/>
      <c r="X2010" s="36"/>
      <c r="Y2010" s="36"/>
    </row>
    <row r="2011">
      <c r="A2011" s="32"/>
      <c r="B2011" s="32"/>
      <c r="C2011" s="32"/>
      <c r="D2011" s="32"/>
      <c r="E2011" s="32"/>
      <c r="F2011" s="32"/>
      <c r="G2011" s="39"/>
      <c r="H2011" s="32"/>
      <c r="I2011" s="32"/>
      <c r="J2011" s="32"/>
      <c r="K2011" s="33"/>
      <c r="L2011" s="32"/>
      <c r="M2011" s="32"/>
      <c r="N2011" s="32"/>
      <c r="O2011" s="32"/>
      <c r="P2011" s="32"/>
      <c r="Q2011" s="34"/>
      <c r="R2011" s="35"/>
      <c r="S2011" s="35"/>
      <c r="T2011" s="36"/>
      <c r="U2011" s="36"/>
      <c r="V2011" s="36"/>
      <c r="W2011" s="36"/>
      <c r="X2011" s="36"/>
      <c r="Y2011" s="36"/>
    </row>
    <row r="2012">
      <c r="A2012" s="32"/>
      <c r="B2012" s="32"/>
      <c r="C2012" s="32"/>
      <c r="D2012" s="32"/>
      <c r="E2012" s="32"/>
      <c r="F2012" s="32"/>
      <c r="G2012" s="39"/>
      <c r="H2012" s="32"/>
      <c r="I2012" s="32"/>
      <c r="J2012" s="32"/>
      <c r="K2012" s="33"/>
      <c r="L2012" s="32"/>
      <c r="M2012" s="32"/>
      <c r="N2012" s="32"/>
      <c r="O2012" s="32"/>
      <c r="P2012" s="32"/>
      <c r="Q2012" s="34"/>
      <c r="R2012" s="35"/>
      <c r="S2012" s="35"/>
      <c r="T2012" s="36"/>
      <c r="U2012" s="36"/>
      <c r="V2012" s="36"/>
      <c r="W2012" s="36"/>
      <c r="X2012" s="36"/>
      <c r="Y2012" s="36"/>
    </row>
    <row r="2013">
      <c r="A2013" s="32"/>
      <c r="B2013" s="32"/>
      <c r="C2013" s="32"/>
      <c r="D2013" s="32"/>
      <c r="E2013" s="32"/>
      <c r="F2013" s="32"/>
      <c r="G2013" s="39"/>
      <c r="H2013" s="32"/>
      <c r="I2013" s="32"/>
      <c r="J2013" s="32"/>
      <c r="K2013" s="33"/>
      <c r="L2013" s="32"/>
      <c r="M2013" s="32"/>
      <c r="N2013" s="32"/>
      <c r="O2013" s="32"/>
      <c r="P2013" s="32"/>
      <c r="Q2013" s="34"/>
      <c r="R2013" s="35"/>
      <c r="S2013" s="35"/>
      <c r="T2013" s="36"/>
      <c r="U2013" s="36"/>
      <c r="V2013" s="36"/>
      <c r="W2013" s="36"/>
      <c r="X2013" s="36"/>
      <c r="Y2013" s="36"/>
    </row>
    <row r="2014">
      <c r="A2014" s="32"/>
      <c r="B2014" s="32"/>
      <c r="C2014" s="32"/>
      <c r="D2014" s="32"/>
      <c r="E2014" s="32"/>
      <c r="F2014" s="32"/>
      <c r="G2014" s="39"/>
      <c r="H2014" s="32"/>
      <c r="I2014" s="32"/>
      <c r="J2014" s="32"/>
      <c r="K2014" s="33"/>
      <c r="L2014" s="32"/>
      <c r="M2014" s="32"/>
      <c r="N2014" s="32"/>
      <c r="O2014" s="32"/>
      <c r="P2014" s="32"/>
      <c r="Q2014" s="34"/>
      <c r="R2014" s="35"/>
      <c r="S2014" s="35"/>
      <c r="T2014" s="36"/>
      <c r="U2014" s="36"/>
      <c r="V2014" s="36"/>
      <c r="W2014" s="36"/>
      <c r="X2014" s="36"/>
      <c r="Y2014" s="36"/>
    </row>
    <row r="2015">
      <c r="A2015" s="32"/>
      <c r="B2015" s="32"/>
      <c r="C2015" s="32"/>
      <c r="D2015" s="32"/>
      <c r="E2015" s="32"/>
      <c r="F2015" s="32"/>
      <c r="G2015" s="39"/>
      <c r="H2015" s="32"/>
      <c r="I2015" s="32"/>
      <c r="J2015" s="32"/>
      <c r="K2015" s="33"/>
      <c r="L2015" s="32"/>
      <c r="M2015" s="32"/>
      <c r="N2015" s="32"/>
      <c r="O2015" s="32"/>
      <c r="P2015" s="32"/>
      <c r="Q2015" s="34"/>
      <c r="R2015" s="35"/>
      <c r="S2015" s="35"/>
      <c r="T2015" s="36"/>
      <c r="U2015" s="36"/>
      <c r="V2015" s="36"/>
      <c r="W2015" s="36"/>
      <c r="X2015" s="36"/>
      <c r="Y2015" s="36"/>
    </row>
    <row r="2016">
      <c r="A2016" s="32"/>
      <c r="B2016" s="32"/>
      <c r="C2016" s="32"/>
      <c r="D2016" s="32"/>
      <c r="E2016" s="32"/>
      <c r="F2016" s="32"/>
      <c r="G2016" s="39"/>
      <c r="H2016" s="32"/>
      <c r="I2016" s="32"/>
      <c r="J2016" s="32"/>
      <c r="K2016" s="33"/>
      <c r="L2016" s="32"/>
      <c r="M2016" s="32"/>
      <c r="N2016" s="32"/>
      <c r="O2016" s="32"/>
      <c r="P2016" s="32"/>
      <c r="Q2016" s="34"/>
      <c r="R2016" s="35"/>
      <c r="S2016" s="35"/>
      <c r="T2016" s="36"/>
      <c r="U2016" s="36"/>
      <c r="V2016" s="36"/>
      <c r="W2016" s="36"/>
      <c r="X2016" s="36"/>
      <c r="Y2016" s="36"/>
    </row>
    <row r="2017">
      <c r="A2017" s="32"/>
      <c r="B2017" s="32"/>
      <c r="C2017" s="32"/>
      <c r="D2017" s="32"/>
      <c r="E2017" s="32"/>
      <c r="F2017" s="32"/>
      <c r="G2017" s="39"/>
      <c r="H2017" s="32"/>
      <c r="I2017" s="32"/>
      <c r="J2017" s="32"/>
      <c r="K2017" s="33"/>
      <c r="L2017" s="32"/>
      <c r="M2017" s="32"/>
      <c r="N2017" s="32"/>
      <c r="O2017" s="32"/>
      <c r="P2017" s="32"/>
      <c r="Q2017" s="34"/>
      <c r="R2017" s="35"/>
      <c r="S2017" s="35"/>
      <c r="T2017" s="36"/>
      <c r="U2017" s="36"/>
      <c r="V2017" s="36"/>
      <c r="W2017" s="36"/>
      <c r="X2017" s="36"/>
      <c r="Y2017" s="36"/>
    </row>
    <row r="2018">
      <c r="A2018" s="32"/>
      <c r="B2018" s="32"/>
      <c r="C2018" s="32"/>
      <c r="D2018" s="32"/>
      <c r="E2018" s="32"/>
      <c r="F2018" s="32"/>
      <c r="G2018" s="39"/>
      <c r="H2018" s="32"/>
      <c r="I2018" s="32"/>
      <c r="J2018" s="32"/>
      <c r="K2018" s="33"/>
      <c r="L2018" s="32"/>
      <c r="M2018" s="32"/>
      <c r="N2018" s="32"/>
      <c r="O2018" s="32"/>
      <c r="P2018" s="32"/>
      <c r="Q2018" s="34"/>
      <c r="R2018" s="35"/>
      <c r="S2018" s="35"/>
      <c r="T2018" s="36"/>
      <c r="U2018" s="36"/>
      <c r="V2018" s="36"/>
      <c r="W2018" s="36"/>
      <c r="X2018" s="36"/>
      <c r="Y2018" s="36"/>
    </row>
    <row r="2019">
      <c r="A2019" s="32"/>
      <c r="B2019" s="32"/>
      <c r="C2019" s="32"/>
      <c r="D2019" s="32"/>
      <c r="E2019" s="32"/>
      <c r="F2019" s="32"/>
      <c r="G2019" s="39"/>
      <c r="H2019" s="32"/>
      <c r="I2019" s="32"/>
      <c r="J2019" s="32"/>
      <c r="K2019" s="33"/>
      <c r="L2019" s="32"/>
      <c r="M2019" s="32"/>
      <c r="N2019" s="32"/>
      <c r="O2019" s="32"/>
      <c r="P2019" s="32"/>
      <c r="Q2019" s="34"/>
      <c r="R2019" s="35"/>
      <c r="S2019" s="35"/>
      <c r="T2019" s="36"/>
      <c r="U2019" s="36"/>
      <c r="V2019" s="36"/>
      <c r="W2019" s="36"/>
      <c r="X2019" s="36"/>
      <c r="Y2019" s="36"/>
    </row>
    <row r="2020">
      <c r="A2020" s="32"/>
      <c r="B2020" s="32"/>
      <c r="C2020" s="32"/>
      <c r="D2020" s="32"/>
      <c r="E2020" s="32"/>
      <c r="F2020" s="32"/>
      <c r="G2020" s="39"/>
      <c r="H2020" s="32"/>
      <c r="I2020" s="32"/>
      <c r="J2020" s="32"/>
      <c r="K2020" s="33"/>
      <c r="L2020" s="32"/>
      <c r="M2020" s="32"/>
      <c r="N2020" s="32"/>
      <c r="O2020" s="32"/>
      <c r="P2020" s="32"/>
      <c r="Q2020" s="34"/>
      <c r="R2020" s="35"/>
      <c r="S2020" s="35"/>
      <c r="T2020" s="36"/>
      <c r="U2020" s="36"/>
      <c r="V2020" s="36"/>
      <c r="W2020" s="36"/>
      <c r="X2020" s="36"/>
      <c r="Y2020" s="36"/>
    </row>
    <row r="2021">
      <c r="A2021" s="32"/>
      <c r="B2021" s="32"/>
      <c r="C2021" s="32"/>
      <c r="D2021" s="32"/>
      <c r="E2021" s="32"/>
      <c r="F2021" s="32"/>
      <c r="G2021" s="39"/>
      <c r="H2021" s="32"/>
      <c r="I2021" s="32"/>
      <c r="J2021" s="32"/>
      <c r="K2021" s="33"/>
      <c r="L2021" s="32"/>
      <c r="M2021" s="32"/>
      <c r="N2021" s="32"/>
      <c r="O2021" s="32"/>
      <c r="P2021" s="32"/>
      <c r="Q2021" s="34"/>
      <c r="R2021" s="35"/>
      <c r="S2021" s="35"/>
      <c r="T2021" s="36"/>
      <c r="U2021" s="36"/>
      <c r="V2021" s="36"/>
      <c r="W2021" s="36"/>
      <c r="X2021" s="36"/>
      <c r="Y2021" s="36"/>
    </row>
    <row r="2022">
      <c r="A2022" s="32"/>
      <c r="B2022" s="32"/>
      <c r="C2022" s="32"/>
      <c r="D2022" s="32"/>
      <c r="E2022" s="32"/>
      <c r="F2022" s="32"/>
      <c r="G2022" s="39"/>
      <c r="H2022" s="32"/>
      <c r="I2022" s="32"/>
      <c r="J2022" s="32"/>
      <c r="K2022" s="33"/>
      <c r="L2022" s="32"/>
      <c r="M2022" s="32"/>
      <c r="N2022" s="32"/>
      <c r="O2022" s="32"/>
      <c r="P2022" s="32"/>
      <c r="Q2022" s="34"/>
      <c r="R2022" s="35"/>
      <c r="S2022" s="35"/>
      <c r="T2022" s="36"/>
      <c r="U2022" s="36"/>
      <c r="V2022" s="36"/>
      <c r="W2022" s="36"/>
      <c r="X2022" s="36"/>
      <c r="Y2022" s="36"/>
    </row>
    <row r="2023">
      <c r="A2023" s="32"/>
      <c r="B2023" s="32"/>
      <c r="C2023" s="32"/>
      <c r="D2023" s="32"/>
      <c r="E2023" s="32"/>
      <c r="F2023" s="32"/>
      <c r="G2023" s="39"/>
      <c r="H2023" s="32"/>
      <c r="I2023" s="32"/>
      <c r="J2023" s="32"/>
      <c r="K2023" s="33"/>
      <c r="L2023" s="32"/>
      <c r="M2023" s="32"/>
      <c r="N2023" s="32"/>
      <c r="O2023" s="32"/>
      <c r="P2023" s="32"/>
      <c r="Q2023" s="34"/>
      <c r="R2023" s="35"/>
      <c r="S2023" s="35"/>
      <c r="T2023" s="36"/>
      <c r="U2023" s="36"/>
      <c r="V2023" s="36"/>
      <c r="W2023" s="36"/>
      <c r="X2023" s="36"/>
      <c r="Y2023" s="36"/>
    </row>
    <row r="2024">
      <c r="A2024" s="32"/>
      <c r="B2024" s="32"/>
      <c r="C2024" s="32"/>
      <c r="D2024" s="32"/>
      <c r="E2024" s="32"/>
      <c r="F2024" s="32"/>
      <c r="G2024" s="39"/>
      <c r="H2024" s="32"/>
      <c r="I2024" s="32"/>
      <c r="J2024" s="32"/>
      <c r="K2024" s="33"/>
      <c r="L2024" s="32"/>
      <c r="M2024" s="32"/>
      <c r="N2024" s="32"/>
      <c r="O2024" s="32"/>
      <c r="P2024" s="32"/>
      <c r="Q2024" s="34"/>
      <c r="R2024" s="35"/>
      <c r="S2024" s="35"/>
      <c r="T2024" s="36"/>
      <c r="U2024" s="36"/>
      <c r="V2024" s="36"/>
      <c r="W2024" s="36"/>
      <c r="X2024" s="36"/>
      <c r="Y2024" s="36"/>
    </row>
    <row r="2025">
      <c r="A2025" s="32"/>
      <c r="B2025" s="32"/>
      <c r="C2025" s="32"/>
      <c r="D2025" s="32"/>
      <c r="E2025" s="32"/>
      <c r="F2025" s="32"/>
      <c r="G2025" s="39"/>
      <c r="H2025" s="32"/>
      <c r="I2025" s="32"/>
      <c r="J2025" s="32"/>
      <c r="K2025" s="33"/>
      <c r="L2025" s="32"/>
      <c r="M2025" s="32"/>
      <c r="N2025" s="32"/>
      <c r="O2025" s="32"/>
      <c r="P2025" s="32"/>
      <c r="Q2025" s="34"/>
      <c r="R2025" s="35"/>
      <c r="S2025" s="35"/>
      <c r="T2025" s="36"/>
      <c r="U2025" s="36"/>
      <c r="V2025" s="36"/>
      <c r="W2025" s="36"/>
      <c r="X2025" s="36"/>
      <c r="Y2025" s="36"/>
    </row>
    <row r="2026">
      <c r="A2026" s="32"/>
      <c r="B2026" s="32"/>
      <c r="C2026" s="32"/>
      <c r="D2026" s="32"/>
      <c r="E2026" s="32"/>
      <c r="F2026" s="32"/>
      <c r="G2026" s="39"/>
      <c r="H2026" s="32"/>
      <c r="I2026" s="32"/>
      <c r="J2026" s="32"/>
      <c r="K2026" s="33"/>
      <c r="L2026" s="32"/>
      <c r="M2026" s="32"/>
      <c r="N2026" s="32"/>
      <c r="O2026" s="32"/>
      <c r="P2026" s="32"/>
      <c r="Q2026" s="34"/>
      <c r="R2026" s="35"/>
      <c r="S2026" s="35"/>
      <c r="T2026" s="36"/>
      <c r="U2026" s="36"/>
      <c r="V2026" s="36"/>
      <c r="W2026" s="36"/>
      <c r="X2026" s="36"/>
      <c r="Y2026" s="36"/>
    </row>
    <row r="2027">
      <c r="A2027" s="32"/>
      <c r="B2027" s="32"/>
      <c r="C2027" s="32"/>
      <c r="D2027" s="32"/>
      <c r="E2027" s="32"/>
      <c r="F2027" s="32"/>
      <c r="G2027" s="39"/>
      <c r="H2027" s="32"/>
      <c r="I2027" s="32"/>
      <c r="J2027" s="32"/>
      <c r="K2027" s="33"/>
      <c r="L2027" s="32"/>
      <c r="M2027" s="32"/>
      <c r="N2027" s="32"/>
      <c r="O2027" s="32"/>
      <c r="P2027" s="32"/>
      <c r="Q2027" s="34"/>
      <c r="R2027" s="35"/>
      <c r="S2027" s="35"/>
      <c r="T2027" s="36"/>
      <c r="U2027" s="36"/>
      <c r="V2027" s="36"/>
      <c r="W2027" s="36"/>
      <c r="X2027" s="36"/>
      <c r="Y2027" s="36"/>
    </row>
    <row r="2028">
      <c r="A2028" s="32"/>
      <c r="B2028" s="32"/>
      <c r="C2028" s="32"/>
      <c r="D2028" s="32"/>
      <c r="E2028" s="32"/>
      <c r="F2028" s="32"/>
      <c r="G2028" s="39"/>
      <c r="H2028" s="32"/>
      <c r="I2028" s="32"/>
      <c r="J2028" s="32"/>
      <c r="K2028" s="33"/>
      <c r="L2028" s="32"/>
      <c r="M2028" s="32"/>
      <c r="N2028" s="32"/>
      <c r="O2028" s="32"/>
      <c r="P2028" s="32"/>
      <c r="Q2028" s="34"/>
      <c r="R2028" s="35"/>
      <c r="S2028" s="35"/>
      <c r="T2028" s="36"/>
      <c r="U2028" s="36"/>
      <c r="V2028" s="36"/>
      <c r="W2028" s="36"/>
      <c r="X2028" s="36"/>
      <c r="Y2028" s="36"/>
    </row>
    <row r="2029">
      <c r="A2029" s="32"/>
      <c r="B2029" s="32"/>
      <c r="C2029" s="32"/>
      <c r="D2029" s="32"/>
      <c r="E2029" s="32"/>
      <c r="F2029" s="32"/>
      <c r="G2029" s="39"/>
      <c r="H2029" s="32"/>
      <c r="I2029" s="32"/>
      <c r="J2029" s="32"/>
      <c r="K2029" s="33"/>
      <c r="L2029" s="32"/>
      <c r="M2029" s="32"/>
      <c r="N2029" s="32"/>
      <c r="O2029" s="32"/>
      <c r="P2029" s="32"/>
      <c r="Q2029" s="34"/>
      <c r="R2029" s="35"/>
      <c r="S2029" s="35"/>
      <c r="T2029" s="36"/>
      <c r="U2029" s="36"/>
      <c r="V2029" s="36"/>
      <c r="W2029" s="36"/>
      <c r="X2029" s="36"/>
      <c r="Y2029" s="36"/>
    </row>
    <row r="2030">
      <c r="A2030" s="32"/>
      <c r="B2030" s="32"/>
      <c r="C2030" s="32"/>
      <c r="D2030" s="32"/>
      <c r="E2030" s="32"/>
      <c r="F2030" s="32"/>
      <c r="G2030" s="39"/>
      <c r="H2030" s="32"/>
      <c r="I2030" s="32"/>
      <c r="J2030" s="32"/>
      <c r="K2030" s="33"/>
      <c r="L2030" s="32"/>
      <c r="M2030" s="32"/>
      <c r="N2030" s="32"/>
      <c r="O2030" s="32"/>
      <c r="P2030" s="32"/>
      <c r="Q2030" s="34"/>
      <c r="R2030" s="35"/>
      <c r="S2030" s="35"/>
      <c r="T2030" s="36"/>
      <c r="U2030" s="36"/>
      <c r="V2030" s="36"/>
      <c r="W2030" s="36"/>
      <c r="X2030" s="36"/>
      <c r="Y2030" s="36"/>
    </row>
    <row r="2031">
      <c r="A2031" s="32"/>
      <c r="B2031" s="32"/>
      <c r="C2031" s="32"/>
      <c r="D2031" s="32"/>
      <c r="E2031" s="32"/>
      <c r="F2031" s="32"/>
      <c r="G2031" s="39"/>
      <c r="H2031" s="32"/>
      <c r="I2031" s="32"/>
      <c r="J2031" s="32"/>
      <c r="K2031" s="33"/>
      <c r="L2031" s="32"/>
      <c r="M2031" s="32"/>
      <c r="N2031" s="32"/>
      <c r="O2031" s="32"/>
      <c r="P2031" s="32"/>
      <c r="Q2031" s="34"/>
      <c r="R2031" s="35"/>
      <c r="S2031" s="35"/>
      <c r="T2031" s="36"/>
      <c r="U2031" s="36"/>
      <c r="V2031" s="36"/>
      <c r="W2031" s="36"/>
      <c r="X2031" s="36"/>
      <c r="Y2031" s="36"/>
    </row>
    <row r="2032">
      <c r="A2032" s="32"/>
      <c r="B2032" s="32"/>
      <c r="C2032" s="32"/>
      <c r="D2032" s="32"/>
      <c r="E2032" s="32"/>
      <c r="F2032" s="32"/>
      <c r="G2032" s="39"/>
      <c r="H2032" s="32"/>
      <c r="I2032" s="32"/>
      <c r="J2032" s="32"/>
      <c r="K2032" s="33"/>
      <c r="L2032" s="32"/>
      <c r="M2032" s="32"/>
      <c r="N2032" s="32"/>
      <c r="O2032" s="32"/>
      <c r="P2032" s="32"/>
      <c r="Q2032" s="34"/>
      <c r="R2032" s="35"/>
      <c r="S2032" s="35"/>
      <c r="T2032" s="36"/>
      <c r="U2032" s="36"/>
      <c r="V2032" s="36"/>
      <c r="W2032" s="36"/>
      <c r="X2032" s="36"/>
      <c r="Y2032" s="36"/>
    </row>
    <row r="2033">
      <c r="A2033" s="32"/>
      <c r="B2033" s="32"/>
      <c r="C2033" s="32"/>
      <c r="D2033" s="32"/>
      <c r="E2033" s="32"/>
      <c r="F2033" s="32"/>
      <c r="G2033" s="39"/>
      <c r="H2033" s="32"/>
      <c r="I2033" s="32"/>
      <c r="J2033" s="32"/>
      <c r="K2033" s="33"/>
      <c r="L2033" s="32"/>
      <c r="M2033" s="32"/>
      <c r="N2033" s="32"/>
      <c r="O2033" s="32"/>
      <c r="P2033" s="32"/>
      <c r="Q2033" s="34"/>
      <c r="R2033" s="35"/>
      <c r="S2033" s="35"/>
      <c r="T2033" s="36"/>
      <c r="U2033" s="36"/>
      <c r="V2033" s="36"/>
      <c r="W2033" s="36"/>
      <c r="X2033" s="36"/>
      <c r="Y2033" s="36"/>
    </row>
    <row r="2034">
      <c r="A2034" s="32"/>
      <c r="B2034" s="32"/>
      <c r="C2034" s="32"/>
      <c r="D2034" s="32"/>
      <c r="E2034" s="32"/>
      <c r="F2034" s="32"/>
      <c r="G2034" s="39"/>
      <c r="H2034" s="32"/>
      <c r="I2034" s="32"/>
      <c r="J2034" s="32"/>
      <c r="K2034" s="33"/>
      <c r="L2034" s="32"/>
      <c r="M2034" s="32"/>
      <c r="N2034" s="32"/>
      <c r="O2034" s="32"/>
      <c r="P2034" s="32"/>
      <c r="Q2034" s="34"/>
      <c r="R2034" s="35"/>
      <c r="S2034" s="35"/>
      <c r="T2034" s="36"/>
      <c r="U2034" s="36"/>
      <c r="V2034" s="36"/>
      <c r="W2034" s="36"/>
      <c r="X2034" s="36"/>
      <c r="Y2034" s="36"/>
    </row>
    <row r="2035">
      <c r="A2035" s="32"/>
      <c r="B2035" s="32"/>
      <c r="C2035" s="32"/>
      <c r="D2035" s="32"/>
      <c r="E2035" s="32"/>
      <c r="F2035" s="32"/>
      <c r="G2035" s="39"/>
      <c r="H2035" s="32"/>
      <c r="I2035" s="32"/>
      <c r="J2035" s="32"/>
      <c r="K2035" s="33"/>
      <c r="L2035" s="32"/>
      <c r="M2035" s="32"/>
      <c r="N2035" s="32"/>
      <c r="O2035" s="32"/>
      <c r="P2035" s="32"/>
      <c r="Q2035" s="34"/>
      <c r="R2035" s="35"/>
      <c r="S2035" s="35"/>
      <c r="T2035" s="36"/>
      <c r="U2035" s="36"/>
      <c r="V2035" s="36"/>
      <c r="W2035" s="36"/>
      <c r="X2035" s="36"/>
      <c r="Y2035" s="36"/>
    </row>
    <row r="2036">
      <c r="A2036" s="32"/>
      <c r="B2036" s="32"/>
      <c r="C2036" s="32"/>
      <c r="D2036" s="32"/>
      <c r="E2036" s="32"/>
      <c r="F2036" s="32"/>
      <c r="G2036" s="39"/>
      <c r="H2036" s="32"/>
      <c r="I2036" s="32"/>
      <c r="J2036" s="32"/>
      <c r="K2036" s="33"/>
      <c r="L2036" s="32"/>
      <c r="M2036" s="32"/>
      <c r="N2036" s="32"/>
      <c r="O2036" s="32"/>
      <c r="P2036" s="32"/>
      <c r="Q2036" s="34"/>
      <c r="R2036" s="35"/>
      <c r="S2036" s="35"/>
      <c r="T2036" s="36"/>
      <c r="U2036" s="36"/>
      <c r="V2036" s="36"/>
      <c r="W2036" s="36"/>
      <c r="X2036" s="36"/>
      <c r="Y2036" s="36"/>
    </row>
    <row r="2037">
      <c r="A2037" s="32"/>
      <c r="B2037" s="32"/>
      <c r="C2037" s="32"/>
      <c r="D2037" s="32"/>
      <c r="E2037" s="32"/>
      <c r="F2037" s="32"/>
      <c r="G2037" s="39"/>
      <c r="H2037" s="32"/>
      <c r="I2037" s="32"/>
      <c r="J2037" s="32"/>
      <c r="K2037" s="33"/>
      <c r="L2037" s="32"/>
      <c r="M2037" s="32"/>
      <c r="N2037" s="32"/>
      <c r="O2037" s="32"/>
      <c r="P2037" s="32"/>
      <c r="Q2037" s="34"/>
      <c r="R2037" s="35"/>
      <c r="S2037" s="35"/>
      <c r="T2037" s="36"/>
      <c r="U2037" s="36"/>
      <c r="V2037" s="36"/>
      <c r="W2037" s="36"/>
      <c r="X2037" s="36"/>
      <c r="Y2037" s="36"/>
    </row>
    <row r="2038">
      <c r="A2038" s="32"/>
      <c r="B2038" s="32"/>
      <c r="C2038" s="32"/>
      <c r="D2038" s="32"/>
      <c r="E2038" s="32"/>
      <c r="F2038" s="32"/>
      <c r="G2038" s="39"/>
      <c r="H2038" s="32"/>
      <c r="I2038" s="32"/>
      <c r="J2038" s="32"/>
      <c r="K2038" s="33"/>
      <c r="L2038" s="32"/>
      <c r="M2038" s="32"/>
      <c r="N2038" s="32"/>
      <c r="O2038" s="32"/>
      <c r="P2038" s="32"/>
      <c r="Q2038" s="34"/>
      <c r="R2038" s="35"/>
      <c r="S2038" s="35"/>
      <c r="T2038" s="36"/>
      <c r="U2038" s="36"/>
      <c r="V2038" s="36"/>
      <c r="W2038" s="36"/>
      <c r="X2038" s="36"/>
      <c r="Y2038" s="36"/>
    </row>
    <row r="2039">
      <c r="A2039" s="32"/>
      <c r="B2039" s="32"/>
      <c r="C2039" s="32"/>
      <c r="D2039" s="32"/>
      <c r="E2039" s="32"/>
      <c r="F2039" s="32"/>
      <c r="G2039" s="39"/>
      <c r="H2039" s="32"/>
      <c r="I2039" s="32"/>
      <c r="J2039" s="32"/>
      <c r="K2039" s="33"/>
      <c r="L2039" s="32"/>
      <c r="M2039" s="32"/>
      <c r="N2039" s="32"/>
      <c r="O2039" s="32"/>
      <c r="P2039" s="32"/>
      <c r="Q2039" s="34"/>
      <c r="R2039" s="35"/>
      <c r="S2039" s="35"/>
      <c r="T2039" s="36"/>
      <c r="U2039" s="36"/>
      <c r="V2039" s="36"/>
      <c r="W2039" s="36"/>
      <c r="X2039" s="36"/>
      <c r="Y2039" s="36"/>
    </row>
    <row r="2040">
      <c r="A2040" s="32"/>
      <c r="B2040" s="32"/>
      <c r="C2040" s="32"/>
      <c r="D2040" s="32"/>
      <c r="E2040" s="32"/>
      <c r="F2040" s="32"/>
      <c r="G2040" s="39"/>
      <c r="H2040" s="32"/>
      <c r="I2040" s="32"/>
      <c r="J2040" s="32"/>
      <c r="K2040" s="33"/>
      <c r="L2040" s="32"/>
      <c r="M2040" s="32"/>
      <c r="N2040" s="32"/>
      <c r="O2040" s="32"/>
      <c r="P2040" s="32"/>
      <c r="Q2040" s="34"/>
      <c r="R2040" s="35"/>
      <c r="S2040" s="35"/>
      <c r="T2040" s="36"/>
      <c r="U2040" s="36"/>
      <c r="V2040" s="36"/>
      <c r="W2040" s="36"/>
      <c r="X2040" s="36"/>
      <c r="Y2040" s="36"/>
    </row>
    <row r="2041">
      <c r="A2041" s="32"/>
      <c r="B2041" s="32"/>
      <c r="C2041" s="32"/>
      <c r="D2041" s="32"/>
      <c r="E2041" s="32"/>
      <c r="F2041" s="32"/>
      <c r="G2041" s="39"/>
      <c r="H2041" s="32"/>
      <c r="I2041" s="32"/>
      <c r="J2041" s="32"/>
      <c r="K2041" s="33"/>
      <c r="L2041" s="32"/>
      <c r="M2041" s="32"/>
      <c r="N2041" s="32"/>
      <c r="O2041" s="32"/>
      <c r="P2041" s="32"/>
      <c r="Q2041" s="34"/>
      <c r="R2041" s="35"/>
      <c r="S2041" s="35"/>
      <c r="T2041" s="36"/>
      <c r="U2041" s="36"/>
      <c r="V2041" s="36"/>
      <c r="W2041" s="36"/>
      <c r="X2041" s="36"/>
      <c r="Y2041" s="36"/>
    </row>
    <row r="2042">
      <c r="A2042" s="32"/>
      <c r="B2042" s="32"/>
      <c r="C2042" s="32"/>
      <c r="D2042" s="32"/>
      <c r="E2042" s="32"/>
      <c r="F2042" s="32"/>
      <c r="G2042" s="39"/>
      <c r="H2042" s="32"/>
      <c r="I2042" s="32"/>
      <c r="J2042" s="32"/>
      <c r="K2042" s="33"/>
      <c r="L2042" s="32"/>
      <c r="M2042" s="32"/>
      <c r="N2042" s="32"/>
      <c r="O2042" s="32"/>
      <c r="P2042" s="32"/>
      <c r="Q2042" s="34"/>
      <c r="R2042" s="35"/>
      <c r="S2042" s="35"/>
      <c r="T2042" s="36"/>
      <c r="U2042" s="36"/>
      <c r="V2042" s="36"/>
      <c r="W2042" s="36"/>
      <c r="X2042" s="36"/>
      <c r="Y2042" s="36"/>
    </row>
    <row r="2043">
      <c r="A2043" s="32"/>
      <c r="B2043" s="32"/>
      <c r="C2043" s="32"/>
      <c r="D2043" s="32"/>
      <c r="E2043" s="32"/>
      <c r="F2043" s="32"/>
      <c r="G2043" s="39"/>
      <c r="H2043" s="32"/>
      <c r="I2043" s="32"/>
      <c r="J2043" s="32"/>
      <c r="K2043" s="33"/>
      <c r="L2043" s="32"/>
      <c r="M2043" s="32"/>
      <c r="N2043" s="32"/>
      <c r="O2043" s="32"/>
      <c r="P2043" s="32"/>
      <c r="Q2043" s="34"/>
      <c r="R2043" s="35"/>
      <c r="S2043" s="35"/>
      <c r="T2043" s="36"/>
      <c r="U2043" s="36"/>
      <c r="V2043" s="36"/>
      <c r="W2043" s="36"/>
      <c r="X2043" s="36"/>
      <c r="Y2043" s="36"/>
    </row>
    <row r="2044">
      <c r="A2044" s="32"/>
      <c r="B2044" s="32"/>
      <c r="C2044" s="32"/>
      <c r="D2044" s="32"/>
      <c r="E2044" s="32"/>
      <c r="F2044" s="32"/>
      <c r="G2044" s="39"/>
      <c r="H2044" s="32"/>
      <c r="I2044" s="32"/>
      <c r="J2044" s="32"/>
      <c r="K2044" s="33"/>
      <c r="L2044" s="32"/>
      <c r="M2044" s="32"/>
      <c r="N2044" s="32"/>
      <c r="O2044" s="32"/>
      <c r="P2044" s="32"/>
      <c r="Q2044" s="34"/>
      <c r="R2044" s="35"/>
      <c r="S2044" s="35"/>
      <c r="T2044" s="36"/>
      <c r="U2044" s="36"/>
      <c r="V2044" s="36"/>
      <c r="W2044" s="36"/>
      <c r="X2044" s="36"/>
      <c r="Y2044" s="36"/>
    </row>
    <row r="2045">
      <c r="A2045" s="32"/>
      <c r="B2045" s="32"/>
      <c r="C2045" s="32"/>
      <c r="D2045" s="32"/>
      <c r="E2045" s="32"/>
      <c r="F2045" s="32"/>
      <c r="G2045" s="39"/>
      <c r="H2045" s="32"/>
      <c r="I2045" s="32"/>
      <c r="J2045" s="32"/>
      <c r="K2045" s="33"/>
      <c r="L2045" s="32"/>
      <c r="M2045" s="32"/>
      <c r="N2045" s="32"/>
      <c r="O2045" s="32"/>
      <c r="P2045" s="32"/>
      <c r="Q2045" s="34"/>
      <c r="R2045" s="35"/>
      <c r="S2045" s="35"/>
      <c r="T2045" s="36"/>
      <c r="U2045" s="36"/>
      <c r="V2045" s="36"/>
      <c r="W2045" s="36"/>
      <c r="X2045" s="36"/>
      <c r="Y2045" s="36"/>
    </row>
    <row r="2046">
      <c r="A2046" s="32"/>
      <c r="B2046" s="32"/>
      <c r="C2046" s="32"/>
      <c r="D2046" s="32"/>
      <c r="E2046" s="32"/>
      <c r="F2046" s="32"/>
      <c r="G2046" s="39"/>
      <c r="H2046" s="32"/>
      <c r="I2046" s="32"/>
      <c r="J2046" s="32"/>
      <c r="K2046" s="33"/>
      <c r="L2046" s="32"/>
      <c r="M2046" s="32"/>
      <c r="N2046" s="32"/>
      <c r="O2046" s="32"/>
      <c r="P2046" s="32"/>
      <c r="Q2046" s="34"/>
      <c r="R2046" s="35"/>
      <c r="S2046" s="35"/>
      <c r="T2046" s="36"/>
      <c r="U2046" s="36"/>
      <c r="V2046" s="36"/>
      <c r="W2046" s="36"/>
      <c r="X2046" s="36"/>
      <c r="Y2046" s="36"/>
    </row>
    <row r="2047">
      <c r="A2047" s="32"/>
      <c r="B2047" s="32"/>
      <c r="C2047" s="32"/>
      <c r="D2047" s="32"/>
      <c r="E2047" s="32"/>
      <c r="F2047" s="32"/>
      <c r="G2047" s="39"/>
      <c r="H2047" s="32"/>
      <c r="I2047" s="32"/>
      <c r="J2047" s="32"/>
      <c r="K2047" s="33"/>
      <c r="L2047" s="32"/>
      <c r="M2047" s="32"/>
      <c r="N2047" s="32"/>
      <c r="O2047" s="32"/>
      <c r="P2047" s="32"/>
      <c r="Q2047" s="34"/>
      <c r="R2047" s="35"/>
      <c r="S2047" s="35"/>
      <c r="T2047" s="36"/>
      <c r="U2047" s="36"/>
      <c r="V2047" s="36"/>
      <c r="W2047" s="36"/>
      <c r="X2047" s="36"/>
      <c r="Y2047" s="36"/>
    </row>
    <row r="2048">
      <c r="A2048" s="32"/>
      <c r="B2048" s="32"/>
      <c r="C2048" s="32"/>
      <c r="D2048" s="32"/>
      <c r="E2048" s="32"/>
      <c r="F2048" s="32"/>
      <c r="G2048" s="39"/>
      <c r="H2048" s="32"/>
      <c r="I2048" s="32"/>
      <c r="J2048" s="32"/>
      <c r="K2048" s="33"/>
      <c r="L2048" s="32"/>
      <c r="M2048" s="32"/>
      <c r="N2048" s="32"/>
      <c r="O2048" s="32"/>
      <c r="P2048" s="32"/>
      <c r="Q2048" s="34"/>
      <c r="R2048" s="35"/>
      <c r="S2048" s="35"/>
      <c r="T2048" s="36"/>
      <c r="U2048" s="36"/>
      <c r="V2048" s="36"/>
      <c r="W2048" s="36"/>
      <c r="X2048" s="36"/>
      <c r="Y2048" s="36"/>
    </row>
    <row r="2049">
      <c r="A2049" s="32"/>
      <c r="B2049" s="32"/>
      <c r="C2049" s="32"/>
      <c r="D2049" s="32"/>
      <c r="E2049" s="32"/>
      <c r="F2049" s="32"/>
      <c r="G2049" s="39"/>
      <c r="H2049" s="32"/>
      <c r="I2049" s="32"/>
      <c r="J2049" s="32"/>
      <c r="K2049" s="33"/>
      <c r="L2049" s="32"/>
      <c r="M2049" s="32"/>
      <c r="N2049" s="32"/>
      <c r="O2049" s="32"/>
      <c r="P2049" s="32"/>
      <c r="Q2049" s="34"/>
      <c r="R2049" s="35"/>
      <c r="S2049" s="35"/>
      <c r="T2049" s="36"/>
      <c r="U2049" s="36"/>
      <c r="V2049" s="36"/>
      <c r="W2049" s="36"/>
      <c r="X2049" s="36"/>
      <c r="Y2049" s="36"/>
    </row>
    <row r="2050">
      <c r="A2050" s="32"/>
      <c r="B2050" s="32"/>
      <c r="C2050" s="32"/>
      <c r="D2050" s="32"/>
      <c r="E2050" s="32"/>
      <c r="F2050" s="32"/>
      <c r="G2050" s="39"/>
      <c r="H2050" s="32"/>
      <c r="I2050" s="32"/>
      <c r="J2050" s="32"/>
      <c r="K2050" s="33"/>
      <c r="L2050" s="32"/>
      <c r="M2050" s="32"/>
      <c r="N2050" s="32"/>
      <c r="O2050" s="32"/>
      <c r="P2050" s="32"/>
      <c r="Q2050" s="34"/>
      <c r="R2050" s="35"/>
      <c r="S2050" s="35"/>
      <c r="T2050" s="36"/>
      <c r="U2050" s="36"/>
      <c r="V2050" s="36"/>
      <c r="W2050" s="36"/>
      <c r="X2050" s="36"/>
      <c r="Y2050" s="36"/>
    </row>
    <row r="2051">
      <c r="A2051" s="32"/>
      <c r="B2051" s="32"/>
      <c r="C2051" s="32"/>
      <c r="D2051" s="32"/>
      <c r="E2051" s="32"/>
      <c r="F2051" s="32"/>
      <c r="G2051" s="39"/>
      <c r="H2051" s="32"/>
      <c r="I2051" s="32"/>
      <c r="J2051" s="32"/>
      <c r="K2051" s="33"/>
      <c r="L2051" s="32"/>
      <c r="M2051" s="32"/>
      <c r="N2051" s="32"/>
      <c r="O2051" s="32"/>
      <c r="P2051" s="32"/>
      <c r="Q2051" s="34"/>
      <c r="R2051" s="35"/>
      <c r="S2051" s="35"/>
      <c r="T2051" s="36"/>
      <c r="U2051" s="36"/>
      <c r="V2051" s="36"/>
      <c r="W2051" s="36"/>
      <c r="X2051" s="36"/>
      <c r="Y2051" s="36"/>
    </row>
    <row r="2052">
      <c r="A2052" s="32"/>
      <c r="B2052" s="32"/>
      <c r="C2052" s="32"/>
      <c r="D2052" s="32"/>
      <c r="E2052" s="32"/>
      <c r="F2052" s="32"/>
      <c r="G2052" s="39"/>
      <c r="H2052" s="32"/>
      <c r="I2052" s="32"/>
      <c r="J2052" s="32"/>
      <c r="K2052" s="33"/>
      <c r="L2052" s="32"/>
      <c r="M2052" s="32"/>
      <c r="N2052" s="32"/>
      <c r="O2052" s="32"/>
      <c r="P2052" s="32"/>
      <c r="Q2052" s="34"/>
      <c r="R2052" s="35"/>
      <c r="S2052" s="35"/>
      <c r="T2052" s="36"/>
      <c r="U2052" s="36"/>
      <c r="V2052" s="36"/>
      <c r="W2052" s="36"/>
      <c r="X2052" s="36"/>
      <c r="Y2052" s="36"/>
    </row>
    <row r="2053">
      <c r="A2053" s="32"/>
      <c r="B2053" s="32"/>
      <c r="C2053" s="32"/>
      <c r="D2053" s="32"/>
      <c r="E2053" s="32"/>
      <c r="F2053" s="32"/>
      <c r="G2053" s="39"/>
      <c r="H2053" s="32"/>
      <c r="I2053" s="32"/>
      <c r="J2053" s="32"/>
      <c r="K2053" s="33"/>
      <c r="L2053" s="32"/>
      <c r="M2053" s="32"/>
      <c r="N2053" s="32"/>
      <c r="O2053" s="32"/>
      <c r="P2053" s="32"/>
      <c r="Q2053" s="34"/>
      <c r="R2053" s="35"/>
      <c r="S2053" s="35"/>
      <c r="T2053" s="36"/>
      <c r="U2053" s="36"/>
      <c r="V2053" s="36"/>
      <c r="W2053" s="36"/>
      <c r="X2053" s="36"/>
      <c r="Y2053" s="36"/>
    </row>
    <row r="2054">
      <c r="A2054" s="32"/>
      <c r="B2054" s="32"/>
      <c r="C2054" s="32"/>
      <c r="D2054" s="32"/>
      <c r="E2054" s="32"/>
      <c r="F2054" s="32"/>
      <c r="G2054" s="39"/>
      <c r="H2054" s="32"/>
      <c r="I2054" s="32"/>
      <c r="J2054" s="32"/>
      <c r="K2054" s="33"/>
      <c r="L2054" s="32"/>
      <c r="M2054" s="32"/>
      <c r="N2054" s="32"/>
      <c r="O2054" s="32"/>
      <c r="P2054" s="32"/>
      <c r="Q2054" s="34"/>
      <c r="R2054" s="35"/>
      <c r="S2054" s="35"/>
      <c r="T2054" s="36"/>
      <c r="U2054" s="36"/>
      <c r="V2054" s="36"/>
      <c r="W2054" s="36"/>
      <c r="X2054" s="36"/>
      <c r="Y2054" s="36"/>
    </row>
    <row r="2055">
      <c r="A2055" s="32"/>
      <c r="B2055" s="32"/>
      <c r="C2055" s="32"/>
      <c r="D2055" s="32"/>
      <c r="E2055" s="32"/>
      <c r="F2055" s="32"/>
      <c r="G2055" s="39"/>
      <c r="H2055" s="32"/>
      <c r="I2055" s="32"/>
      <c r="J2055" s="32"/>
      <c r="K2055" s="33"/>
      <c r="L2055" s="32"/>
      <c r="M2055" s="32"/>
      <c r="N2055" s="32"/>
      <c r="O2055" s="32"/>
      <c r="P2055" s="32"/>
      <c r="Q2055" s="34"/>
      <c r="R2055" s="35"/>
      <c r="S2055" s="35"/>
      <c r="T2055" s="36"/>
      <c r="U2055" s="36"/>
      <c r="V2055" s="36"/>
      <c r="W2055" s="36"/>
      <c r="X2055" s="36"/>
      <c r="Y2055" s="36"/>
    </row>
    <row r="2056">
      <c r="A2056" s="32"/>
      <c r="B2056" s="32"/>
      <c r="C2056" s="32"/>
      <c r="D2056" s="32"/>
      <c r="E2056" s="32"/>
      <c r="F2056" s="32"/>
      <c r="G2056" s="39"/>
      <c r="H2056" s="32"/>
      <c r="I2056" s="32"/>
      <c r="J2056" s="32"/>
      <c r="K2056" s="33"/>
      <c r="L2056" s="32"/>
      <c r="M2056" s="32"/>
      <c r="N2056" s="32"/>
      <c r="O2056" s="32"/>
      <c r="P2056" s="32"/>
      <c r="Q2056" s="34"/>
      <c r="R2056" s="35"/>
      <c r="S2056" s="35"/>
      <c r="T2056" s="36"/>
      <c r="U2056" s="36"/>
      <c r="V2056" s="36"/>
      <c r="W2056" s="36"/>
      <c r="X2056" s="36"/>
      <c r="Y2056" s="36"/>
    </row>
    <row r="2057">
      <c r="A2057" s="32"/>
      <c r="B2057" s="32"/>
      <c r="C2057" s="32"/>
      <c r="D2057" s="32"/>
      <c r="E2057" s="32"/>
      <c r="F2057" s="32"/>
      <c r="G2057" s="39"/>
      <c r="H2057" s="32"/>
      <c r="I2057" s="32"/>
      <c r="J2057" s="32"/>
      <c r="K2057" s="33"/>
      <c r="L2057" s="32"/>
      <c r="M2057" s="32"/>
      <c r="N2057" s="32"/>
      <c r="O2057" s="32"/>
      <c r="P2057" s="32"/>
      <c r="Q2057" s="34"/>
      <c r="R2057" s="35"/>
      <c r="S2057" s="35"/>
      <c r="T2057" s="36"/>
      <c r="U2057" s="36"/>
      <c r="V2057" s="36"/>
      <c r="W2057" s="36"/>
      <c r="X2057" s="36"/>
      <c r="Y2057" s="36"/>
    </row>
    <row r="2058">
      <c r="A2058" s="32"/>
      <c r="B2058" s="32"/>
      <c r="C2058" s="32"/>
      <c r="D2058" s="32"/>
      <c r="E2058" s="32"/>
      <c r="F2058" s="32"/>
      <c r="G2058" s="39"/>
      <c r="H2058" s="32"/>
      <c r="I2058" s="32"/>
      <c r="J2058" s="32"/>
      <c r="K2058" s="33"/>
      <c r="L2058" s="32"/>
      <c r="M2058" s="32"/>
      <c r="N2058" s="32"/>
      <c r="O2058" s="32"/>
      <c r="P2058" s="32"/>
      <c r="Q2058" s="34"/>
      <c r="R2058" s="35"/>
      <c r="S2058" s="35"/>
      <c r="T2058" s="36"/>
      <c r="U2058" s="36"/>
      <c r="V2058" s="36"/>
      <c r="W2058" s="36"/>
      <c r="X2058" s="36"/>
      <c r="Y2058" s="36"/>
    </row>
    <row r="2059">
      <c r="A2059" s="32"/>
      <c r="B2059" s="32"/>
      <c r="C2059" s="32"/>
      <c r="D2059" s="32"/>
      <c r="E2059" s="32"/>
      <c r="F2059" s="32"/>
      <c r="G2059" s="39"/>
      <c r="H2059" s="32"/>
      <c r="I2059" s="32"/>
      <c r="J2059" s="32"/>
      <c r="K2059" s="33"/>
      <c r="L2059" s="32"/>
      <c r="M2059" s="32"/>
      <c r="N2059" s="32"/>
      <c r="O2059" s="32"/>
      <c r="P2059" s="32"/>
      <c r="Q2059" s="34"/>
      <c r="R2059" s="35"/>
      <c r="S2059" s="35"/>
      <c r="T2059" s="36"/>
      <c r="U2059" s="36"/>
      <c r="V2059" s="36"/>
      <c r="W2059" s="36"/>
      <c r="X2059" s="36"/>
      <c r="Y2059" s="36"/>
    </row>
    <row r="2060">
      <c r="A2060" s="32"/>
      <c r="B2060" s="32"/>
      <c r="C2060" s="32"/>
      <c r="D2060" s="32"/>
      <c r="E2060" s="32"/>
      <c r="F2060" s="32"/>
      <c r="G2060" s="39"/>
      <c r="H2060" s="32"/>
      <c r="I2060" s="32"/>
      <c r="J2060" s="32"/>
      <c r="K2060" s="33"/>
      <c r="L2060" s="32"/>
      <c r="M2060" s="32"/>
      <c r="N2060" s="32"/>
      <c r="O2060" s="32"/>
      <c r="P2060" s="32"/>
      <c r="Q2060" s="34"/>
      <c r="R2060" s="35"/>
      <c r="S2060" s="35"/>
      <c r="T2060" s="36"/>
      <c r="U2060" s="36"/>
      <c r="V2060" s="36"/>
      <c r="W2060" s="36"/>
      <c r="X2060" s="36"/>
      <c r="Y2060" s="36"/>
    </row>
    <row r="2061">
      <c r="A2061" s="32"/>
      <c r="B2061" s="32"/>
      <c r="C2061" s="32"/>
      <c r="D2061" s="32"/>
      <c r="E2061" s="32"/>
      <c r="F2061" s="32"/>
      <c r="G2061" s="39"/>
      <c r="H2061" s="32"/>
      <c r="I2061" s="32"/>
      <c r="J2061" s="32"/>
      <c r="K2061" s="33"/>
      <c r="L2061" s="32"/>
      <c r="M2061" s="32"/>
      <c r="N2061" s="32"/>
      <c r="O2061" s="32"/>
      <c r="P2061" s="32"/>
      <c r="Q2061" s="34"/>
      <c r="R2061" s="35"/>
      <c r="S2061" s="35"/>
      <c r="T2061" s="36"/>
      <c r="U2061" s="36"/>
      <c r="V2061" s="36"/>
      <c r="W2061" s="36"/>
      <c r="X2061" s="36"/>
      <c r="Y2061" s="36"/>
    </row>
    <row r="2062">
      <c r="A2062" s="32"/>
      <c r="B2062" s="32"/>
      <c r="C2062" s="32"/>
      <c r="D2062" s="32"/>
      <c r="E2062" s="32"/>
      <c r="F2062" s="32"/>
      <c r="G2062" s="39"/>
      <c r="H2062" s="32"/>
      <c r="I2062" s="32"/>
      <c r="J2062" s="32"/>
      <c r="K2062" s="33"/>
      <c r="L2062" s="32"/>
      <c r="M2062" s="32"/>
      <c r="N2062" s="32"/>
      <c r="O2062" s="32"/>
      <c r="P2062" s="32"/>
      <c r="Q2062" s="34"/>
      <c r="R2062" s="35"/>
      <c r="S2062" s="35"/>
      <c r="T2062" s="36"/>
      <c r="U2062" s="36"/>
      <c r="V2062" s="36"/>
      <c r="W2062" s="36"/>
      <c r="X2062" s="36"/>
      <c r="Y2062" s="36"/>
    </row>
    <row r="2063">
      <c r="A2063" s="32"/>
      <c r="B2063" s="32"/>
      <c r="C2063" s="32"/>
      <c r="D2063" s="32"/>
      <c r="E2063" s="32"/>
      <c r="F2063" s="32"/>
      <c r="G2063" s="39"/>
      <c r="H2063" s="32"/>
      <c r="I2063" s="32"/>
      <c r="J2063" s="32"/>
      <c r="K2063" s="33"/>
      <c r="L2063" s="32"/>
      <c r="M2063" s="32"/>
      <c r="N2063" s="32"/>
      <c r="O2063" s="32"/>
      <c r="P2063" s="32"/>
      <c r="Q2063" s="34"/>
      <c r="R2063" s="35"/>
      <c r="S2063" s="35"/>
      <c r="T2063" s="36"/>
      <c r="U2063" s="36"/>
      <c r="V2063" s="36"/>
      <c r="W2063" s="36"/>
      <c r="X2063" s="36"/>
      <c r="Y2063" s="36"/>
    </row>
    <row r="2064">
      <c r="A2064" s="32"/>
      <c r="B2064" s="32"/>
      <c r="C2064" s="32"/>
      <c r="D2064" s="32"/>
      <c r="E2064" s="32"/>
      <c r="F2064" s="32"/>
      <c r="G2064" s="39"/>
      <c r="H2064" s="32"/>
      <c r="I2064" s="32"/>
      <c r="J2064" s="32"/>
      <c r="K2064" s="33"/>
      <c r="L2064" s="32"/>
      <c r="M2064" s="32"/>
      <c r="N2064" s="32"/>
      <c r="O2064" s="32"/>
      <c r="P2064" s="32"/>
      <c r="Q2064" s="34"/>
      <c r="R2064" s="35"/>
      <c r="S2064" s="35"/>
      <c r="T2064" s="36"/>
      <c r="U2064" s="36"/>
      <c r="V2064" s="36"/>
      <c r="W2064" s="36"/>
      <c r="X2064" s="36"/>
      <c r="Y2064" s="36"/>
    </row>
    <row r="2065">
      <c r="A2065" s="32"/>
      <c r="B2065" s="32"/>
      <c r="C2065" s="32"/>
      <c r="D2065" s="32"/>
      <c r="E2065" s="32"/>
      <c r="F2065" s="32"/>
      <c r="G2065" s="39"/>
      <c r="H2065" s="32"/>
      <c r="I2065" s="32"/>
      <c r="J2065" s="32"/>
      <c r="K2065" s="33"/>
      <c r="L2065" s="32"/>
      <c r="M2065" s="32"/>
      <c r="N2065" s="32"/>
      <c r="O2065" s="32"/>
      <c r="P2065" s="32"/>
      <c r="Q2065" s="34"/>
      <c r="R2065" s="35"/>
      <c r="S2065" s="35"/>
      <c r="T2065" s="36"/>
      <c r="U2065" s="36"/>
      <c r="V2065" s="36"/>
      <c r="W2065" s="36"/>
      <c r="X2065" s="36"/>
      <c r="Y2065" s="36"/>
    </row>
    <row r="2066">
      <c r="A2066" s="32"/>
      <c r="B2066" s="32"/>
      <c r="C2066" s="32"/>
      <c r="D2066" s="32"/>
      <c r="E2066" s="32"/>
      <c r="F2066" s="32"/>
      <c r="G2066" s="39"/>
      <c r="H2066" s="32"/>
      <c r="I2066" s="32"/>
      <c r="J2066" s="32"/>
      <c r="K2066" s="33"/>
      <c r="L2066" s="32"/>
      <c r="M2066" s="32"/>
      <c r="N2066" s="32"/>
      <c r="O2066" s="32"/>
      <c r="P2066" s="32"/>
      <c r="Q2066" s="34"/>
      <c r="R2066" s="35"/>
      <c r="S2066" s="35"/>
      <c r="T2066" s="36"/>
      <c r="U2066" s="36"/>
      <c r="V2066" s="36"/>
      <c r="W2066" s="36"/>
      <c r="X2066" s="36"/>
      <c r="Y2066" s="36"/>
    </row>
    <row r="2067">
      <c r="A2067" s="32"/>
      <c r="B2067" s="32"/>
      <c r="C2067" s="32"/>
      <c r="D2067" s="32"/>
      <c r="E2067" s="32"/>
      <c r="F2067" s="32"/>
      <c r="G2067" s="39"/>
      <c r="H2067" s="32"/>
      <c r="I2067" s="32"/>
      <c r="J2067" s="32"/>
      <c r="K2067" s="33"/>
      <c r="L2067" s="32"/>
      <c r="M2067" s="32"/>
      <c r="N2067" s="32"/>
      <c r="O2067" s="32"/>
      <c r="P2067" s="32"/>
      <c r="Q2067" s="34"/>
      <c r="R2067" s="35"/>
      <c r="S2067" s="35"/>
      <c r="T2067" s="36"/>
      <c r="U2067" s="36"/>
      <c r="V2067" s="36"/>
      <c r="W2067" s="36"/>
      <c r="X2067" s="36"/>
      <c r="Y2067" s="36"/>
    </row>
    <row r="2068">
      <c r="A2068" s="32"/>
      <c r="B2068" s="32"/>
      <c r="C2068" s="32"/>
      <c r="D2068" s="32"/>
      <c r="E2068" s="32"/>
      <c r="F2068" s="32"/>
      <c r="G2068" s="39"/>
      <c r="H2068" s="32"/>
      <c r="I2068" s="32"/>
      <c r="J2068" s="32"/>
      <c r="K2068" s="33"/>
      <c r="L2068" s="32"/>
      <c r="M2068" s="32"/>
      <c r="N2068" s="32"/>
      <c r="O2068" s="32"/>
      <c r="P2068" s="32"/>
      <c r="Q2068" s="34"/>
      <c r="R2068" s="35"/>
      <c r="S2068" s="35"/>
      <c r="T2068" s="36"/>
      <c r="U2068" s="36"/>
      <c r="V2068" s="36"/>
      <c r="W2068" s="36"/>
      <c r="X2068" s="36"/>
      <c r="Y2068" s="36"/>
    </row>
    <row r="2069">
      <c r="A2069" s="32"/>
      <c r="B2069" s="32"/>
      <c r="C2069" s="32"/>
      <c r="D2069" s="32"/>
      <c r="E2069" s="32"/>
      <c r="F2069" s="32"/>
      <c r="G2069" s="39"/>
      <c r="H2069" s="32"/>
      <c r="I2069" s="32"/>
      <c r="J2069" s="32"/>
      <c r="K2069" s="33"/>
      <c r="L2069" s="32"/>
      <c r="M2069" s="32"/>
      <c r="N2069" s="32"/>
      <c r="O2069" s="32"/>
      <c r="P2069" s="32"/>
      <c r="Q2069" s="34"/>
      <c r="R2069" s="35"/>
      <c r="S2069" s="35"/>
      <c r="T2069" s="36"/>
      <c r="U2069" s="36"/>
      <c r="V2069" s="36"/>
      <c r="W2069" s="36"/>
      <c r="X2069" s="36"/>
      <c r="Y2069" s="36"/>
    </row>
    <row r="2070">
      <c r="A2070" s="32"/>
      <c r="B2070" s="32"/>
      <c r="C2070" s="32"/>
      <c r="D2070" s="32"/>
      <c r="E2070" s="32"/>
      <c r="F2070" s="32"/>
      <c r="G2070" s="39"/>
      <c r="H2070" s="32"/>
      <c r="I2070" s="32"/>
      <c r="J2070" s="32"/>
      <c r="K2070" s="33"/>
      <c r="L2070" s="32"/>
      <c r="M2070" s="32"/>
      <c r="N2070" s="32"/>
      <c r="O2070" s="32"/>
      <c r="P2070" s="32"/>
      <c r="Q2070" s="34"/>
      <c r="R2070" s="35"/>
      <c r="S2070" s="35"/>
      <c r="T2070" s="36"/>
      <c r="U2070" s="36"/>
      <c r="V2070" s="36"/>
      <c r="W2070" s="36"/>
      <c r="X2070" s="36"/>
      <c r="Y2070" s="36"/>
    </row>
    <row r="2071">
      <c r="A2071" s="32"/>
      <c r="B2071" s="32"/>
      <c r="C2071" s="32"/>
      <c r="D2071" s="32"/>
      <c r="E2071" s="32"/>
      <c r="F2071" s="32"/>
      <c r="G2071" s="39"/>
      <c r="H2071" s="32"/>
      <c r="I2071" s="32"/>
      <c r="J2071" s="32"/>
      <c r="K2071" s="33"/>
      <c r="L2071" s="32"/>
      <c r="M2071" s="32"/>
      <c r="N2071" s="32"/>
      <c r="O2071" s="32"/>
      <c r="P2071" s="32"/>
      <c r="Q2071" s="34"/>
      <c r="R2071" s="35"/>
      <c r="S2071" s="35"/>
      <c r="T2071" s="36"/>
      <c r="U2071" s="36"/>
      <c r="V2071" s="36"/>
      <c r="W2071" s="36"/>
      <c r="X2071" s="36"/>
      <c r="Y2071" s="36"/>
    </row>
    <row r="2072">
      <c r="A2072" s="32"/>
      <c r="B2072" s="32"/>
      <c r="C2072" s="32"/>
      <c r="D2072" s="32"/>
      <c r="E2072" s="32"/>
      <c r="F2072" s="32"/>
      <c r="G2072" s="39"/>
      <c r="H2072" s="32"/>
      <c r="I2072" s="32"/>
      <c r="J2072" s="32"/>
      <c r="K2072" s="33"/>
      <c r="L2072" s="32"/>
      <c r="M2072" s="32"/>
      <c r="N2072" s="32"/>
      <c r="O2072" s="32"/>
      <c r="P2072" s="32"/>
      <c r="Q2072" s="34"/>
      <c r="R2072" s="35"/>
      <c r="S2072" s="35"/>
      <c r="T2072" s="36"/>
      <c r="U2072" s="36"/>
      <c r="V2072" s="36"/>
      <c r="W2072" s="36"/>
      <c r="X2072" s="36"/>
      <c r="Y2072" s="36"/>
    </row>
    <row r="2073">
      <c r="A2073" s="32"/>
      <c r="B2073" s="32"/>
      <c r="C2073" s="32"/>
      <c r="D2073" s="32"/>
      <c r="E2073" s="32"/>
      <c r="F2073" s="32"/>
      <c r="G2073" s="39"/>
      <c r="H2073" s="32"/>
      <c r="I2073" s="32"/>
      <c r="J2073" s="32"/>
      <c r="K2073" s="33"/>
      <c r="L2073" s="32"/>
      <c r="M2073" s="32"/>
      <c r="N2073" s="32"/>
      <c r="O2073" s="32"/>
      <c r="P2073" s="32"/>
      <c r="Q2073" s="34"/>
      <c r="R2073" s="35"/>
      <c r="S2073" s="35"/>
      <c r="T2073" s="36"/>
      <c r="U2073" s="36"/>
      <c r="V2073" s="36"/>
      <c r="W2073" s="36"/>
      <c r="X2073" s="36"/>
      <c r="Y2073" s="36"/>
    </row>
    <row r="2074">
      <c r="A2074" s="32"/>
      <c r="B2074" s="32"/>
      <c r="C2074" s="32"/>
      <c r="D2074" s="32"/>
      <c r="E2074" s="32"/>
      <c r="F2074" s="32"/>
      <c r="G2074" s="39"/>
      <c r="H2074" s="32"/>
      <c r="I2074" s="32"/>
      <c r="J2074" s="32"/>
      <c r="K2074" s="33"/>
      <c r="L2074" s="32"/>
      <c r="M2074" s="32"/>
      <c r="N2074" s="32"/>
      <c r="O2074" s="32"/>
      <c r="P2074" s="32"/>
      <c r="Q2074" s="34"/>
      <c r="R2074" s="35"/>
      <c r="S2074" s="35"/>
      <c r="T2074" s="36"/>
      <c r="U2074" s="36"/>
      <c r="V2074" s="36"/>
      <c r="W2074" s="36"/>
      <c r="X2074" s="36"/>
      <c r="Y2074" s="36"/>
    </row>
    <row r="2075">
      <c r="A2075" s="32"/>
      <c r="B2075" s="32"/>
      <c r="C2075" s="32"/>
      <c r="D2075" s="32"/>
      <c r="E2075" s="32"/>
      <c r="F2075" s="32"/>
      <c r="G2075" s="39"/>
      <c r="H2075" s="32"/>
      <c r="I2075" s="32"/>
      <c r="J2075" s="32"/>
      <c r="K2075" s="33"/>
      <c r="L2075" s="32"/>
      <c r="M2075" s="32"/>
      <c r="N2075" s="32"/>
      <c r="O2075" s="32"/>
      <c r="P2075" s="32"/>
      <c r="Q2075" s="34"/>
      <c r="R2075" s="35"/>
      <c r="S2075" s="35"/>
      <c r="T2075" s="36"/>
      <c r="U2075" s="36"/>
      <c r="V2075" s="36"/>
      <c r="W2075" s="36"/>
      <c r="X2075" s="36"/>
      <c r="Y2075" s="36"/>
    </row>
    <row r="2076">
      <c r="A2076" s="32"/>
      <c r="B2076" s="32"/>
      <c r="C2076" s="32"/>
      <c r="D2076" s="32"/>
      <c r="E2076" s="32"/>
      <c r="F2076" s="32"/>
      <c r="G2076" s="39"/>
      <c r="H2076" s="32"/>
      <c r="I2076" s="32"/>
      <c r="J2076" s="32"/>
      <c r="K2076" s="33"/>
      <c r="L2076" s="32"/>
      <c r="M2076" s="32"/>
      <c r="N2076" s="32"/>
      <c r="O2076" s="32"/>
      <c r="P2076" s="32"/>
      <c r="Q2076" s="34"/>
      <c r="R2076" s="35"/>
      <c r="S2076" s="35"/>
      <c r="T2076" s="36"/>
      <c r="U2076" s="36"/>
      <c r="V2076" s="36"/>
      <c r="W2076" s="36"/>
      <c r="X2076" s="36"/>
      <c r="Y2076" s="36"/>
    </row>
    <row r="2077">
      <c r="A2077" s="32"/>
      <c r="B2077" s="32"/>
      <c r="C2077" s="32"/>
      <c r="D2077" s="32"/>
      <c r="E2077" s="32"/>
      <c r="F2077" s="32"/>
      <c r="G2077" s="39"/>
      <c r="H2077" s="32"/>
      <c r="I2077" s="32"/>
      <c r="J2077" s="32"/>
      <c r="K2077" s="33"/>
      <c r="L2077" s="32"/>
      <c r="M2077" s="32"/>
      <c r="N2077" s="32"/>
      <c r="O2077" s="32"/>
      <c r="P2077" s="32"/>
      <c r="Q2077" s="34"/>
      <c r="R2077" s="35"/>
      <c r="S2077" s="35"/>
      <c r="T2077" s="36"/>
      <c r="U2077" s="36"/>
      <c r="V2077" s="36"/>
      <c r="W2077" s="36"/>
      <c r="X2077" s="36"/>
      <c r="Y2077" s="36"/>
    </row>
    <row r="2078">
      <c r="A2078" s="32"/>
      <c r="B2078" s="32"/>
      <c r="C2078" s="32"/>
      <c r="D2078" s="32"/>
      <c r="E2078" s="32"/>
      <c r="F2078" s="32"/>
      <c r="G2078" s="39"/>
      <c r="H2078" s="32"/>
      <c r="I2078" s="32"/>
      <c r="J2078" s="32"/>
      <c r="K2078" s="33"/>
      <c r="L2078" s="32"/>
      <c r="M2078" s="32"/>
      <c r="N2078" s="32"/>
      <c r="O2078" s="32"/>
      <c r="P2078" s="32"/>
      <c r="Q2078" s="34"/>
      <c r="R2078" s="35"/>
      <c r="S2078" s="35"/>
      <c r="T2078" s="36"/>
      <c r="U2078" s="36"/>
      <c r="V2078" s="36"/>
      <c r="W2078" s="36"/>
      <c r="X2078" s="36"/>
      <c r="Y2078" s="36"/>
    </row>
    <row r="2079">
      <c r="A2079" s="32"/>
      <c r="B2079" s="32"/>
      <c r="C2079" s="32"/>
      <c r="D2079" s="32"/>
      <c r="E2079" s="32"/>
      <c r="F2079" s="32"/>
      <c r="G2079" s="39"/>
      <c r="H2079" s="32"/>
      <c r="I2079" s="32"/>
      <c r="J2079" s="32"/>
      <c r="K2079" s="33"/>
      <c r="L2079" s="32"/>
      <c r="M2079" s="32"/>
      <c r="N2079" s="32"/>
      <c r="O2079" s="32"/>
      <c r="P2079" s="32"/>
      <c r="Q2079" s="34"/>
      <c r="R2079" s="35"/>
      <c r="S2079" s="35"/>
      <c r="T2079" s="36"/>
      <c r="U2079" s="36"/>
      <c r="V2079" s="36"/>
      <c r="W2079" s="36"/>
      <c r="X2079" s="36"/>
      <c r="Y2079" s="36"/>
    </row>
    <row r="2080">
      <c r="A2080" s="32"/>
      <c r="B2080" s="32"/>
      <c r="C2080" s="32"/>
      <c r="D2080" s="32"/>
      <c r="E2080" s="32"/>
      <c r="F2080" s="32"/>
      <c r="G2080" s="39"/>
      <c r="H2080" s="32"/>
      <c r="I2080" s="32"/>
      <c r="J2080" s="32"/>
      <c r="K2080" s="33"/>
      <c r="L2080" s="32"/>
      <c r="M2080" s="32"/>
      <c r="N2080" s="32"/>
      <c r="O2080" s="32"/>
      <c r="P2080" s="32"/>
      <c r="Q2080" s="34"/>
      <c r="R2080" s="35"/>
      <c r="S2080" s="35"/>
      <c r="T2080" s="36"/>
      <c r="U2080" s="36"/>
      <c r="V2080" s="36"/>
      <c r="W2080" s="36"/>
      <c r="X2080" s="36"/>
      <c r="Y2080" s="36"/>
    </row>
    <row r="2081">
      <c r="A2081" s="32"/>
      <c r="B2081" s="32"/>
      <c r="C2081" s="32"/>
      <c r="D2081" s="32"/>
      <c r="E2081" s="32"/>
      <c r="F2081" s="32"/>
      <c r="G2081" s="39"/>
      <c r="H2081" s="32"/>
      <c r="I2081" s="32"/>
      <c r="J2081" s="32"/>
      <c r="K2081" s="33"/>
      <c r="L2081" s="32"/>
      <c r="M2081" s="32"/>
      <c r="N2081" s="32"/>
      <c r="O2081" s="32"/>
      <c r="P2081" s="32"/>
      <c r="Q2081" s="34"/>
      <c r="R2081" s="35"/>
      <c r="S2081" s="35"/>
      <c r="T2081" s="36"/>
      <c r="U2081" s="36"/>
      <c r="V2081" s="36"/>
      <c r="W2081" s="36"/>
      <c r="X2081" s="36"/>
      <c r="Y2081" s="36"/>
    </row>
    <row r="2082">
      <c r="A2082" s="32"/>
      <c r="B2082" s="32"/>
      <c r="C2082" s="32"/>
      <c r="D2082" s="32"/>
      <c r="E2082" s="32"/>
      <c r="F2082" s="32"/>
      <c r="G2082" s="39"/>
      <c r="H2082" s="32"/>
      <c r="I2082" s="32"/>
      <c r="J2082" s="32"/>
      <c r="K2082" s="33"/>
      <c r="L2082" s="32"/>
      <c r="M2082" s="32"/>
      <c r="N2082" s="32"/>
      <c r="O2082" s="32"/>
      <c r="P2082" s="32"/>
      <c r="Q2082" s="34"/>
      <c r="R2082" s="35"/>
      <c r="S2082" s="35"/>
      <c r="T2082" s="36"/>
      <c r="U2082" s="36"/>
      <c r="V2082" s="36"/>
      <c r="W2082" s="36"/>
      <c r="X2082" s="36"/>
      <c r="Y2082" s="36"/>
    </row>
    <row r="2083">
      <c r="A2083" s="32"/>
      <c r="B2083" s="32"/>
      <c r="C2083" s="32"/>
      <c r="D2083" s="32"/>
      <c r="E2083" s="32"/>
      <c r="F2083" s="32"/>
      <c r="G2083" s="39"/>
      <c r="H2083" s="32"/>
      <c r="I2083" s="32"/>
      <c r="J2083" s="32"/>
      <c r="K2083" s="33"/>
      <c r="L2083" s="32"/>
      <c r="M2083" s="32"/>
      <c r="N2083" s="32"/>
      <c r="O2083" s="32"/>
      <c r="P2083" s="32"/>
      <c r="Q2083" s="34"/>
      <c r="R2083" s="35"/>
      <c r="S2083" s="35"/>
      <c r="T2083" s="36"/>
      <c r="U2083" s="36"/>
      <c r="V2083" s="36"/>
      <c r="W2083" s="36"/>
      <c r="X2083" s="36"/>
      <c r="Y2083" s="36"/>
    </row>
    <row r="2084">
      <c r="A2084" s="32"/>
      <c r="B2084" s="32"/>
      <c r="C2084" s="32"/>
      <c r="D2084" s="32"/>
      <c r="E2084" s="32"/>
      <c r="F2084" s="32"/>
      <c r="G2084" s="39"/>
      <c r="H2084" s="32"/>
      <c r="I2084" s="32"/>
      <c r="J2084" s="32"/>
      <c r="K2084" s="33"/>
      <c r="L2084" s="32"/>
      <c r="M2084" s="32"/>
      <c r="N2084" s="32"/>
      <c r="O2084" s="32"/>
      <c r="P2084" s="32"/>
      <c r="Q2084" s="34"/>
      <c r="R2084" s="35"/>
      <c r="S2084" s="35"/>
      <c r="T2084" s="36"/>
      <c r="U2084" s="36"/>
      <c r="V2084" s="36"/>
      <c r="W2084" s="36"/>
      <c r="X2084" s="36"/>
      <c r="Y2084" s="36"/>
    </row>
    <row r="2085">
      <c r="A2085" s="32"/>
      <c r="B2085" s="32"/>
      <c r="C2085" s="32"/>
      <c r="D2085" s="32"/>
      <c r="E2085" s="32"/>
      <c r="F2085" s="32"/>
      <c r="G2085" s="39"/>
      <c r="H2085" s="32"/>
      <c r="I2085" s="32"/>
      <c r="J2085" s="32"/>
      <c r="K2085" s="33"/>
      <c r="L2085" s="32"/>
      <c r="M2085" s="32"/>
      <c r="N2085" s="32"/>
      <c r="O2085" s="32"/>
      <c r="P2085" s="32"/>
      <c r="Q2085" s="34"/>
      <c r="R2085" s="35"/>
      <c r="S2085" s="35"/>
      <c r="T2085" s="36"/>
      <c r="U2085" s="36"/>
      <c r="V2085" s="36"/>
      <c r="W2085" s="36"/>
      <c r="X2085" s="36"/>
      <c r="Y2085" s="36"/>
    </row>
    <row r="2086">
      <c r="A2086" s="32"/>
      <c r="B2086" s="32"/>
      <c r="C2086" s="32"/>
      <c r="D2086" s="32"/>
      <c r="E2086" s="32"/>
      <c r="F2086" s="32"/>
      <c r="G2086" s="39"/>
      <c r="H2086" s="32"/>
      <c r="I2086" s="32"/>
      <c r="J2086" s="32"/>
      <c r="K2086" s="33"/>
      <c r="L2086" s="32"/>
      <c r="M2086" s="32"/>
      <c r="N2086" s="32"/>
      <c r="O2086" s="32"/>
      <c r="P2086" s="32"/>
      <c r="Q2086" s="34"/>
      <c r="R2086" s="35"/>
      <c r="S2086" s="35"/>
      <c r="T2086" s="36"/>
      <c r="U2086" s="36"/>
      <c r="V2086" s="36"/>
      <c r="W2086" s="36"/>
      <c r="X2086" s="36"/>
      <c r="Y2086" s="36"/>
    </row>
    <row r="2087">
      <c r="A2087" s="32"/>
      <c r="B2087" s="32"/>
      <c r="C2087" s="32"/>
      <c r="D2087" s="32"/>
      <c r="E2087" s="32"/>
      <c r="F2087" s="32"/>
      <c r="G2087" s="39"/>
      <c r="H2087" s="32"/>
      <c r="I2087" s="32"/>
      <c r="J2087" s="32"/>
      <c r="K2087" s="33"/>
      <c r="L2087" s="32"/>
      <c r="M2087" s="32"/>
      <c r="N2087" s="32"/>
      <c r="O2087" s="32"/>
      <c r="P2087" s="32"/>
      <c r="Q2087" s="34"/>
      <c r="R2087" s="35"/>
      <c r="S2087" s="35"/>
      <c r="T2087" s="36"/>
      <c r="U2087" s="36"/>
      <c r="V2087" s="36"/>
      <c r="W2087" s="36"/>
      <c r="X2087" s="36"/>
      <c r="Y2087" s="36"/>
    </row>
    <row r="2088">
      <c r="A2088" s="32"/>
      <c r="B2088" s="32"/>
      <c r="C2088" s="32"/>
      <c r="D2088" s="32"/>
      <c r="E2088" s="32"/>
      <c r="F2088" s="32"/>
      <c r="G2088" s="39"/>
      <c r="H2088" s="32"/>
      <c r="I2088" s="32"/>
      <c r="J2088" s="32"/>
      <c r="K2088" s="33"/>
      <c r="L2088" s="32"/>
      <c r="M2088" s="32"/>
      <c r="N2088" s="32"/>
      <c r="O2088" s="32"/>
      <c r="P2088" s="32"/>
      <c r="Q2088" s="34"/>
      <c r="R2088" s="35"/>
      <c r="S2088" s="35"/>
      <c r="T2088" s="36"/>
      <c r="U2088" s="36"/>
      <c r="V2088" s="36"/>
      <c r="W2088" s="36"/>
      <c r="X2088" s="36"/>
      <c r="Y2088" s="36"/>
    </row>
    <row r="2089">
      <c r="A2089" s="32"/>
      <c r="B2089" s="32"/>
      <c r="C2089" s="32"/>
      <c r="D2089" s="32"/>
      <c r="E2089" s="32"/>
      <c r="F2089" s="32"/>
      <c r="G2089" s="39"/>
      <c r="H2089" s="32"/>
      <c r="I2089" s="32"/>
      <c r="J2089" s="32"/>
      <c r="K2089" s="33"/>
      <c r="L2089" s="32"/>
      <c r="M2089" s="32"/>
      <c r="N2089" s="32"/>
      <c r="O2089" s="32"/>
      <c r="P2089" s="32"/>
      <c r="Q2089" s="34"/>
      <c r="R2089" s="35"/>
      <c r="S2089" s="35"/>
      <c r="T2089" s="36"/>
      <c r="U2089" s="36"/>
      <c r="V2089" s="36"/>
      <c r="W2089" s="36"/>
      <c r="X2089" s="36"/>
      <c r="Y2089" s="36"/>
    </row>
    <row r="2090">
      <c r="A2090" s="32"/>
      <c r="B2090" s="32"/>
      <c r="C2090" s="32"/>
      <c r="D2090" s="32"/>
      <c r="E2090" s="32"/>
      <c r="F2090" s="32"/>
      <c r="G2090" s="39"/>
      <c r="H2090" s="32"/>
      <c r="I2090" s="32"/>
      <c r="J2090" s="32"/>
      <c r="K2090" s="33"/>
      <c r="L2090" s="32"/>
      <c r="M2090" s="32"/>
      <c r="N2090" s="32"/>
      <c r="O2090" s="32"/>
      <c r="P2090" s="32"/>
      <c r="Q2090" s="34"/>
      <c r="R2090" s="35"/>
      <c r="S2090" s="35"/>
      <c r="T2090" s="36"/>
      <c r="U2090" s="36"/>
      <c r="V2090" s="36"/>
      <c r="W2090" s="36"/>
      <c r="X2090" s="36"/>
      <c r="Y2090" s="36"/>
    </row>
    <row r="2091">
      <c r="A2091" s="32"/>
      <c r="B2091" s="32"/>
      <c r="C2091" s="32"/>
      <c r="D2091" s="32"/>
      <c r="E2091" s="32"/>
      <c r="F2091" s="32"/>
      <c r="G2091" s="39"/>
      <c r="H2091" s="32"/>
      <c r="I2091" s="32"/>
      <c r="J2091" s="32"/>
      <c r="K2091" s="33"/>
      <c r="L2091" s="32"/>
      <c r="M2091" s="32"/>
      <c r="N2091" s="32"/>
      <c r="O2091" s="32"/>
      <c r="P2091" s="32"/>
      <c r="Q2091" s="34"/>
      <c r="R2091" s="35"/>
      <c r="S2091" s="35"/>
      <c r="T2091" s="36"/>
      <c r="U2091" s="36"/>
      <c r="V2091" s="36"/>
      <c r="W2091" s="36"/>
      <c r="X2091" s="36"/>
      <c r="Y2091" s="36"/>
    </row>
    <row r="2092">
      <c r="A2092" s="32"/>
      <c r="B2092" s="32"/>
      <c r="C2092" s="32"/>
      <c r="D2092" s="32"/>
      <c r="E2092" s="32"/>
      <c r="F2092" s="32"/>
      <c r="G2092" s="39"/>
      <c r="H2092" s="32"/>
      <c r="I2092" s="32"/>
      <c r="J2092" s="32"/>
      <c r="K2092" s="33"/>
      <c r="L2092" s="32"/>
      <c r="M2092" s="32"/>
      <c r="N2092" s="32"/>
      <c r="O2092" s="32"/>
      <c r="P2092" s="32"/>
      <c r="Q2092" s="34"/>
      <c r="R2092" s="35"/>
      <c r="S2092" s="35"/>
      <c r="T2092" s="36"/>
      <c r="U2092" s="36"/>
      <c r="V2092" s="36"/>
      <c r="W2092" s="36"/>
      <c r="X2092" s="36"/>
      <c r="Y2092" s="36"/>
    </row>
    <row r="2093">
      <c r="A2093" s="32"/>
      <c r="B2093" s="32"/>
      <c r="C2093" s="32"/>
      <c r="D2093" s="32"/>
      <c r="E2093" s="32"/>
      <c r="F2093" s="32"/>
      <c r="G2093" s="39"/>
      <c r="H2093" s="32"/>
      <c r="I2093" s="32"/>
      <c r="J2093" s="32"/>
      <c r="K2093" s="33"/>
      <c r="L2093" s="32"/>
      <c r="M2093" s="32"/>
      <c r="N2093" s="32"/>
      <c r="O2093" s="32"/>
      <c r="P2093" s="32"/>
      <c r="Q2093" s="34"/>
      <c r="R2093" s="35"/>
      <c r="S2093" s="35"/>
      <c r="T2093" s="36"/>
      <c r="U2093" s="36"/>
      <c r="V2093" s="36"/>
      <c r="W2093" s="36"/>
      <c r="X2093" s="36"/>
      <c r="Y2093" s="36"/>
    </row>
    <row r="2094">
      <c r="A2094" s="32"/>
      <c r="B2094" s="32"/>
      <c r="C2094" s="32"/>
      <c r="D2094" s="32"/>
      <c r="E2094" s="32"/>
      <c r="F2094" s="32"/>
      <c r="G2094" s="39"/>
      <c r="H2094" s="32"/>
      <c r="I2094" s="32"/>
      <c r="J2094" s="32"/>
      <c r="K2094" s="33"/>
      <c r="L2094" s="32"/>
      <c r="M2094" s="32"/>
      <c r="N2094" s="32"/>
      <c r="O2094" s="32"/>
      <c r="P2094" s="32"/>
      <c r="Q2094" s="34"/>
      <c r="R2094" s="35"/>
      <c r="S2094" s="35"/>
      <c r="T2094" s="36"/>
      <c r="U2094" s="36"/>
      <c r="V2094" s="36"/>
      <c r="W2094" s="36"/>
      <c r="X2094" s="36"/>
      <c r="Y2094" s="36"/>
    </row>
    <row r="2095">
      <c r="A2095" s="32"/>
      <c r="B2095" s="32"/>
      <c r="C2095" s="32"/>
      <c r="D2095" s="32"/>
      <c r="E2095" s="32"/>
      <c r="F2095" s="32"/>
      <c r="G2095" s="39"/>
      <c r="H2095" s="32"/>
      <c r="I2095" s="32"/>
      <c r="J2095" s="32"/>
      <c r="K2095" s="33"/>
      <c r="L2095" s="32"/>
      <c r="M2095" s="32"/>
      <c r="N2095" s="32"/>
      <c r="O2095" s="32"/>
      <c r="P2095" s="32"/>
      <c r="Q2095" s="34"/>
      <c r="R2095" s="35"/>
      <c r="S2095" s="35"/>
      <c r="T2095" s="36"/>
      <c r="U2095" s="36"/>
      <c r="V2095" s="36"/>
      <c r="W2095" s="36"/>
      <c r="X2095" s="36"/>
      <c r="Y2095" s="36"/>
    </row>
    <row r="2096">
      <c r="A2096" s="32"/>
      <c r="B2096" s="32"/>
      <c r="C2096" s="32"/>
      <c r="D2096" s="32"/>
      <c r="E2096" s="32"/>
      <c r="F2096" s="32"/>
      <c r="G2096" s="39"/>
      <c r="H2096" s="32"/>
      <c r="I2096" s="32"/>
      <c r="J2096" s="32"/>
      <c r="K2096" s="33"/>
      <c r="L2096" s="32"/>
      <c r="M2096" s="32"/>
      <c r="N2096" s="32"/>
      <c r="O2096" s="32"/>
      <c r="P2096" s="32"/>
      <c r="Q2096" s="34"/>
      <c r="R2096" s="35"/>
      <c r="S2096" s="35"/>
      <c r="T2096" s="36"/>
      <c r="U2096" s="36"/>
      <c r="V2096" s="36"/>
      <c r="W2096" s="36"/>
      <c r="X2096" s="36"/>
      <c r="Y2096" s="36"/>
    </row>
    <row r="2097">
      <c r="A2097" s="32"/>
      <c r="B2097" s="32"/>
      <c r="C2097" s="32"/>
      <c r="D2097" s="32"/>
      <c r="E2097" s="32"/>
      <c r="F2097" s="32"/>
      <c r="G2097" s="39"/>
      <c r="H2097" s="32"/>
      <c r="I2097" s="32"/>
      <c r="J2097" s="32"/>
      <c r="K2097" s="33"/>
      <c r="L2097" s="32"/>
      <c r="M2097" s="32"/>
      <c r="N2097" s="32"/>
      <c r="O2097" s="32"/>
      <c r="P2097" s="32"/>
      <c r="Q2097" s="34"/>
      <c r="R2097" s="35"/>
      <c r="S2097" s="35"/>
      <c r="T2097" s="36"/>
      <c r="U2097" s="36"/>
      <c r="V2097" s="36"/>
      <c r="W2097" s="36"/>
      <c r="X2097" s="36"/>
      <c r="Y2097" s="36"/>
    </row>
    <row r="2098">
      <c r="A2098" s="32"/>
      <c r="B2098" s="32"/>
      <c r="C2098" s="32"/>
      <c r="D2098" s="32"/>
      <c r="E2098" s="32"/>
      <c r="F2098" s="32"/>
      <c r="G2098" s="39"/>
      <c r="H2098" s="32"/>
      <c r="I2098" s="32"/>
      <c r="J2098" s="32"/>
      <c r="K2098" s="33"/>
      <c r="L2098" s="32"/>
      <c r="M2098" s="32"/>
      <c r="N2098" s="32"/>
      <c r="O2098" s="32"/>
      <c r="P2098" s="32"/>
      <c r="Q2098" s="34"/>
      <c r="R2098" s="35"/>
      <c r="S2098" s="35"/>
      <c r="T2098" s="36"/>
      <c r="U2098" s="36"/>
      <c r="V2098" s="36"/>
      <c r="W2098" s="36"/>
      <c r="X2098" s="36"/>
      <c r="Y2098" s="36"/>
    </row>
    <row r="2099">
      <c r="A2099" s="32"/>
      <c r="B2099" s="32"/>
      <c r="C2099" s="32"/>
      <c r="D2099" s="32"/>
      <c r="E2099" s="32"/>
      <c r="F2099" s="32"/>
      <c r="G2099" s="39"/>
      <c r="H2099" s="32"/>
      <c r="I2099" s="32"/>
      <c r="J2099" s="32"/>
      <c r="K2099" s="33"/>
      <c r="L2099" s="32"/>
      <c r="M2099" s="32"/>
      <c r="N2099" s="32"/>
      <c r="O2099" s="32"/>
      <c r="P2099" s="32"/>
      <c r="Q2099" s="34"/>
      <c r="R2099" s="35"/>
      <c r="S2099" s="35"/>
      <c r="T2099" s="36"/>
      <c r="U2099" s="36"/>
      <c r="V2099" s="36"/>
      <c r="W2099" s="36"/>
      <c r="X2099" s="36"/>
      <c r="Y2099" s="36"/>
    </row>
    <row r="2100">
      <c r="A2100" s="32"/>
      <c r="B2100" s="32"/>
      <c r="C2100" s="32"/>
      <c r="D2100" s="32"/>
      <c r="E2100" s="32"/>
      <c r="F2100" s="32"/>
      <c r="G2100" s="39"/>
      <c r="H2100" s="32"/>
      <c r="I2100" s="32"/>
      <c r="J2100" s="32"/>
      <c r="K2100" s="33"/>
      <c r="L2100" s="32"/>
      <c r="M2100" s="32"/>
      <c r="N2100" s="32"/>
      <c r="O2100" s="32"/>
      <c r="P2100" s="32"/>
      <c r="Q2100" s="34"/>
      <c r="R2100" s="35"/>
      <c r="S2100" s="35"/>
      <c r="T2100" s="36"/>
      <c r="U2100" s="36"/>
      <c r="V2100" s="36"/>
      <c r="W2100" s="36"/>
      <c r="X2100" s="36"/>
      <c r="Y2100" s="36"/>
    </row>
    <row r="2101">
      <c r="A2101" s="32"/>
      <c r="B2101" s="32"/>
      <c r="C2101" s="32"/>
      <c r="D2101" s="32"/>
      <c r="E2101" s="32"/>
      <c r="F2101" s="32"/>
      <c r="G2101" s="39"/>
      <c r="H2101" s="32"/>
      <c r="I2101" s="32"/>
      <c r="J2101" s="32"/>
      <c r="K2101" s="33"/>
      <c r="L2101" s="32"/>
      <c r="M2101" s="32"/>
      <c r="N2101" s="32"/>
      <c r="O2101" s="32"/>
      <c r="P2101" s="32"/>
      <c r="Q2101" s="34"/>
      <c r="R2101" s="35"/>
      <c r="S2101" s="35"/>
      <c r="T2101" s="36"/>
      <c r="U2101" s="36"/>
      <c r="V2101" s="36"/>
      <c r="W2101" s="36"/>
      <c r="X2101" s="36"/>
      <c r="Y2101" s="36"/>
    </row>
    <row r="2102">
      <c r="A2102" s="32"/>
      <c r="B2102" s="32"/>
      <c r="C2102" s="32"/>
      <c r="D2102" s="32"/>
      <c r="E2102" s="32"/>
      <c r="F2102" s="32"/>
      <c r="G2102" s="39"/>
      <c r="H2102" s="32"/>
      <c r="I2102" s="32"/>
      <c r="J2102" s="32"/>
      <c r="K2102" s="33"/>
      <c r="L2102" s="32"/>
      <c r="M2102" s="32"/>
      <c r="N2102" s="32"/>
      <c r="O2102" s="32"/>
      <c r="P2102" s="32"/>
      <c r="Q2102" s="34"/>
      <c r="R2102" s="35"/>
      <c r="S2102" s="35"/>
      <c r="T2102" s="36"/>
      <c r="U2102" s="36"/>
      <c r="V2102" s="36"/>
      <c r="W2102" s="36"/>
      <c r="X2102" s="36"/>
      <c r="Y2102" s="36"/>
    </row>
    <row r="2103">
      <c r="A2103" s="32"/>
      <c r="B2103" s="32"/>
      <c r="C2103" s="32"/>
      <c r="D2103" s="32"/>
      <c r="E2103" s="32"/>
      <c r="F2103" s="32"/>
      <c r="G2103" s="39"/>
      <c r="H2103" s="32"/>
      <c r="I2103" s="32"/>
      <c r="J2103" s="32"/>
      <c r="K2103" s="33"/>
      <c r="L2103" s="32"/>
      <c r="M2103" s="32"/>
      <c r="N2103" s="32"/>
      <c r="O2103" s="32"/>
      <c r="P2103" s="32"/>
      <c r="Q2103" s="34"/>
      <c r="R2103" s="35"/>
      <c r="S2103" s="35"/>
      <c r="T2103" s="36"/>
      <c r="U2103" s="36"/>
      <c r="V2103" s="36"/>
      <c r="W2103" s="36"/>
      <c r="X2103" s="36"/>
      <c r="Y2103" s="36"/>
    </row>
    <row r="2104">
      <c r="A2104" s="32"/>
      <c r="B2104" s="32"/>
      <c r="C2104" s="32"/>
      <c r="D2104" s="32"/>
      <c r="E2104" s="32"/>
      <c r="F2104" s="32"/>
      <c r="G2104" s="39"/>
      <c r="H2104" s="32"/>
      <c r="I2104" s="32"/>
      <c r="J2104" s="32"/>
      <c r="K2104" s="33"/>
      <c r="L2104" s="32"/>
      <c r="M2104" s="32"/>
      <c r="N2104" s="32"/>
      <c r="O2104" s="32"/>
      <c r="P2104" s="32"/>
      <c r="Q2104" s="34"/>
      <c r="R2104" s="35"/>
      <c r="S2104" s="35"/>
      <c r="T2104" s="36"/>
      <c r="U2104" s="36"/>
      <c r="V2104" s="36"/>
      <c r="W2104" s="36"/>
      <c r="X2104" s="36"/>
      <c r="Y2104" s="36"/>
    </row>
    <row r="2105">
      <c r="A2105" s="32"/>
      <c r="B2105" s="32"/>
      <c r="C2105" s="32"/>
      <c r="D2105" s="32"/>
      <c r="E2105" s="32"/>
      <c r="F2105" s="32"/>
      <c r="G2105" s="39"/>
      <c r="H2105" s="32"/>
      <c r="I2105" s="32"/>
      <c r="J2105" s="32"/>
      <c r="K2105" s="33"/>
      <c r="L2105" s="32"/>
      <c r="M2105" s="32"/>
      <c r="N2105" s="32"/>
      <c r="O2105" s="32"/>
      <c r="P2105" s="32"/>
      <c r="Q2105" s="34"/>
      <c r="R2105" s="35"/>
      <c r="S2105" s="35"/>
      <c r="T2105" s="36"/>
      <c r="U2105" s="36"/>
      <c r="V2105" s="36"/>
      <c r="W2105" s="36"/>
      <c r="X2105" s="36"/>
      <c r="Y2105" s="36"/>
    </row>
    <row r="2106">
      <c r="A2106" s="32"/>
      <c r="B2106" s="32"/>
      <c r="C2106" s="32"/>
      <c r="D2106" s="32"/>
      <c r="E2106" s="32"/>
      <c r="F2106" s="32"/>
      <c r="G2106" s="39"/>
      <c r="H2106" s="32"/>
      <c r="I2106" s="32"/>
      <c r="J2106" s="32"/>
      <c r="K2106" s="33"/>
      <c r="L2106" s="32"/>
      <c r="M2106" s="32"/>
      <c r="N2106" s="32"/>
      <c r="O2106" s="32"/>
      <c r="P2106" s="32"/>
      <c r="Q2106" s="34"/>
      <c r="R2106" s="35"/>
      <c r="S2106" s="35"/>
      <c r="T2106" s="36"/>
      <c r="U2106" s="36"/>
      <c r="V2106" s="36"/>
      <c r="W2106" s="36"/>
      <c r="X2106" s="36"/>
      <c r="Y2106" s="36"/>
    </row>
    <row r="2107">
      <c r="A2107" s="32"/>
      <c r="B2107" s="32"/>
      <c r="C2107" s="32"/>
      <c r="D2107" s="32"/>
      <c r="E2107" s="32"/>
      <c r="F2107" s="32"/>
      <c r="G2107" s="39"/>
      <c r="H2107" s="32"/>
      <c r="I2107" s="32"/>
      <c r="J2107" s="32"/>
      <c r="K2107" s="33"/>
      <c r="L2107" s="32"/>
      <c r="M2107" s="32"/>
      <c r="N2107" s="32"/>
      <c r="O2107" s="32"/>
      <c r="P2107" s="32"/>
      <c r="Q2107" s="34"/>
      <c r="R2107" s="35"/>
      <c r="S2107" s="35"/>
      <c r="T2107" s="36"/>
      <c r="U2107" s="36"/>
      <c r="V2107" s="36"/>
      <c r="W2107" s="36"/>
      <c r="X2107" s="36"/>
      <c r="Y2107" s="36"/>
    </row>
    <row r="2108">
      <c r="A2108" s="32"/>
      <c r="B2108" s="32"/>
      <c r="C2108" s="32"/>
      <c r="D2108" s="32"/>
      <c r="E2108" s="32"/>
      <c r="F2108" s="32"/>
      <c r="G2108" s="39"/>
      <c r="H2108" s="32"/>
      <c r="I2108" s="32"/>
      <c r="J2108" s="32"/>
      <c r="K2108" s="33"/>
      <c r="L2108" s="32"/>
      <c r="M2108" s="32"/>
      <c r="N2108" s="32"/>
      <c r="O2108" s="32"/>
      <c r="P2108" s="32"/>
      <c r="Q2108" s="34"/>
      <c r="R2108" s="35"/>
      <c r="S2108" s="35"/>
      <c r="T2108" s="36"/>
      <c r="U2108" s="36"/>
      <c r="V2108" s="36"/>
      <c r="W2108" s="36"/>
      <c r="X2108" s="36"/>
      <c r="Y2108" s="36"/>
    </row>
    <row r="2109">
      <c r="A2109" s="32"/>
      <c r="B2109" s="32"/>
      <c r="C2109" s="32"/>
      <c r="D2109" s="32"/>
      <c r="E2109" s="32"/>
      <c r="F2109" s="32"/>
      <c r="G2109" s="39"/>
      <c r="H2109" s="32"/>
      <c r="I2109" s="32"/>
      <c r="J2109" s="32"/>
      <c r="K2109" s="33"/>
      <c r="L2109" s="32"/>
      <c r="M2109" s="32"/>
      <c r="N2109" s="32"/>
      <c r="O2109" s="32"/>
      <c r="P2109" s="32"/>
      <c r="Q2109" s="34"/>
      <c r="R2109" s="35"/>
      <c r="S2109" s="35"/>
      <c r="T2109" s="36"/>
      <c r="U2109" s="36"/>
      <c r="V2109" s="36"/>
      <c r="W2109" s="36"/>
      <c r="X2109" s="36"/>
      <c r="Y2109" s="36"/>
    </row>
    <row r="2110">
      <c r="A2110" s="32"/>
      <c r="B2110" s="32"/>
      <c r="C2110" s="32"/>
      <c r="D2110" s="32"/>
      <c r="E2110" s="32"/>
      <c r="F2110" s="32"/>
      <c r="G2110" s="39"/>
      <c r="H2110" s="32"/>
      <c r="I2110" s="32"/>
      <c r="J2110" s="32"/>
      <c r="K2110" s="33"/>
      <c r="L2110" s="32"/>
      <c r="M2110" s="32"/>
      <c r="N2110" s="32"/>
      <c r="O2110" s="32"/>
      <c r="P2110" s="32"/>
      <c r="Q2110" s="34"/>
      <c r="R2110" s="35"/>
      <c r="S2110" s="35"/>
      <c r="T2110" s="36"/>
      <c r="U2110" s="36"/>
      <c r="V2110" s="36"/>
      <c r="W2110" s="36"/>
      <c r="X2110" s="36"/>
      <c r="Y2110" s="36"/>
    </row>
    <row r="2111">
      <c r="A2111" s="32"/>
      <c r="B2111" s="32"/>
      <c r="C2111" s="32"/>
      <c r="D2111" s="32"/>
      <c r="E2111" s="32"/>
      <c r="F2111" s="32"/>
      <c r="G2111" s="39"/>
      <c r="H2111" s="32"/>
      <c r="I2111" s="32"/>
      <c r="J2111" s="32"/>
      <c r="K2111" s="33"/>
      <c r="L2111" s="32"/>
      <c r="M2111" s="32"/>
      <c r="N2111" s="32"/>
      <c r="O2111" s="32"/>
      <c r="P2111" s="32"/>
      <c r="Q2111" s="34"/>
      <c r="R2111" s="35"/>
      <c r="S2111" s="35"/>
      <c r="T2111" s="36"/>
      <c r="U2111" s="36"/>
      <c r="V2111" s="36"/>
      <c r="W2111" s="36"/>
      <c r="X2111" s="36"/>
      <c r="Y2111" s="36"/>
    </row>
    <row r="2112">
      <c r="A2112" s="32"/>
      <c r="B2112" s="32"/>
      <c r="C2112" s="32"/>
      <c r="D2112" s="32"/>
      <c r="E2112" s="32"/>
      <c r="F2112" s="32"/>
      <c r="G2112" s="39"/>
      <c r="H2112" s="32"/>
      <c r="I2112" s="32"/>
      <c r="J2112" s="32"/>
      <c r="K2112" s="33"/>
      <c r="L2112" s="32"/>
      <c r="M2112" s="32"/>
      <c r="N2112" s="32"/>
      <c r="O2112" s="32"/>
      <c r="P2112" s="32"/>
      <c r="Q2112" s="34"/>
      <c r="R2112" s="35"/>
      <c r="S2112" s="35"/>
      <c r="T2112" s="36"/>
      <c r="U2112" s="36"/>
      <c r="V2112" s="36"/>
      <c r="W2112" s="36"/>
      <c r="X2112" s="36"/>
      <c r="Y2112" s="36"/>
    </row>
    <row r="2113">
      <c r="A2113" s="32"/>
      <c r="B2113" s="32"/>
      <c r="C2113" s="32"/>
      <c r="D2113" s="32"/>
      <c r="E2113" s="32"/>
      <c r="F2113" s="32"/>
      <c r="G2113" s="39"/>
      <c r="H2113" s="32"/>
      <c r="I2113" s="32"/>
      <c r="J2113" s="32"/>
      <c r="K2113" s="33"/>
      <c r="L2113" s="32"/>
      <c r="M2113" s="32"/>
      <c r="N2113" s="32"/>
      <c r="O2113" s="32"/>
      <c r="P2113" s="32"/>
      <c r="Q2113" s="34"/>
      <c r="R2113" s="35"/>
      <c r="S2113" s="35"/>
      <c r="T2113" s="36"/>
      <c r="U2113" s="36"/>
      <c r="V2113" s="36"/>
      <c r="W2113" s="36"/>
      <c r="X2113" s="36"/>
      <c r="Y2113" s="36"/>
    </row>
    <row r="2114">
      <c r="A2114" s="32"/>
      <c r="B2114" s="32"/>
      <c r="C2114" s="32"/>
      <c r="D2114" s="32"/>
      <c r="E2114" s="32"/>
      <c r="F2114" s="32"/>
      <c r="G2114" s="39"/>
      <c r="H2114" s="32"/>
      <c r="I2114" s="32"/>
      <c r="J2114" s="32"/>
      <c r="K2114" s="33"/>
      <c r="L2114" s="32"/>
      <c r="M2114" s="32"/>
      <c r="N2114" s="32"/>
      <c r="O2114" s="32"/>
      <c r="P2114" s="32"/>
      <c r="Q2114" s="34"/>
      <c r="R2114" s="35"/>
      <c r="S2114" s="35"/>
      <c r="T2114" s="36"/>
      <c r="U2114" s="36"/>
      <c r="V2114" s="36"/>
      <c r="W2114" s="36"/>
      <c r="X2114" s="36"/>
      <c r="Y2114" s="36"/>
    </row>
    <row r="2115">
      <c r="A2115" s="32"/>
      <c r="B2115" s="32"/>
      <c r="C2115" s="32"/>
      <c r="D2115" s="32"/>
      <c r="E2115" s="32"/>
      <c r="F2115" s="32"/>
      <c r="G2115" s="39"/>
      <c r="H2115" s="32"/>
      <c r="I2115" s="32"/>
      <c r="J2115" s="32"/>
      <c r="K2115" s="33"/>
      <c r="L2115" s="32"/>
      <c r="M2115" s="32"/>
      <c r="N2115" s="32"/>
      <c r="O2115" s="32"/>
      <c r="P2115" s="32"/>
      <c r="Q2115" s="34"/>
      <c r="R2115" s="35"/>
      <c r="S2115" s="35"/>
      <c r="T2115" s="36"/>
      <c r="U2115" s="36"/>
      <c r="V2115" s="36"/>
      <c r="W2115" s="36"/>
      <c r="X2115" s="36"/>
      <c r="Y2115" s="36"/>
    </row>
    <row r="2116">
      <c r="A2116" s="32"/>
      <c r="B2116" s="32"/>
      <c r="C2116" s="32"/>
      <c r="D2116" s="32"/>
      <c r="E2116" s="32"/>
      <c r="F2116" s="32"/>
      <c r="G2116" s="39"/>
      <c r="H2116" s="32"/>
      <c r="I2116" s="32"/>
      <c r="J2116" s="32"/>
      <c r="K2116" s="33"/>
      <c r="L2116" s="32"/>
      <c r="M2116" s="32"/>
      <c r="N2116" s="32"/>
      <c r="O2116" s="32"/>
      <c r="P2116" s="32"/>
      <c r="Q2116" s="34"/>
      <c r="R2116" s="35"/>
      <c r="S2116" s="35"/>
      <c r="T2116" s="36"/>
      <c r="U2116" s="36"/>
      <c r="V2116" s="36"/>
      <c r="W2116" s="36"/>
      <c r="X2116" s="36"/>
      <c r="Y2116" s="36"/>
    </row>
    <row r="2117">
      <c r="A2117" s="32"/>
      <c r="B2117" s="32"/>
      <c r="C2117" s="32"/>
      <c r="D2117" s="32"/>
      <c r="E2117" s="32"/>
      <c r="F2117" s="32"/>
      <c r="G2117" s="39"/>
      <c r="H2117" s="32"/>
      <c r="I2117" s="32"/>
      <c r="J2117" s="32"/>
      <c r="K2117" s="33"/>
      <c r="L2117" s="32"/>
      <c r="M2117" s="32"/>
      <c r="N2117" s="32"/>
      <c r="O2117" s="32"/>
      <c r="P2117" s="32"/>
      <c r="Q2117" s="34"/>
      <c r="R2117" s="35"/>
      <c r="S2117" s="35"/>
      <c r="T2117" s="36"/>
      <c r="U2117" s="36"/>
      <c r="V2117" s="36"/>
      <c r="W2117" s="36"/>
      <c r="X2117" s="36"/>
      <c r="Y2117" s="36"/>
    </row>
    <row r="2118">
      <c r="A2118" s="32"/>
      <c r="B2118" s="32"/>
      <c r="C2118" s="32"/>
      <c r="D2118" s="32"/>
      <c r="E2118" s="32"/>
      <c r="F2118" s="32"/>
      <c r="G2118" s="39"/>
      <c r="H2118" s="32"/>
      <c r="I2118" s="32"/>
      <c r="J2118" s="32"/>
      <c r="K2118" s="33"/>
      <c r="L2118" s="32"/>
      <c r="M2118" s="32"/>
      <c r="N2118" s="32"/>
      <c r="O2118" s="32"/>
      <c r="P2118" s="32"/>
      <c r="Q2118" s="34"/>
      <c r="R2118" s="35"/>
      <c r="S2118" s="35"/>
      <c r="T2118" s="36"/>
      <c r="U2118" s="36"/>
      <c r="V2118" s="36"/>
      <c r="W2118" s="36"/>
      <c r="X2118" s="36"/>
      <c r="Y2118" s="36"/>
    </row>
    <row r="2119">
      <c r="A2119" s="32"/>
      <c r="B2119" s="32"/>
      <c r="C2119" s="32"/>
      <c r="D2119" s="32"/>
      <c r="E2119" s="32"/>
      <c r="F2119" s="32"/>
      <c r="G2119" s="39"/>
      <c r="H2119" s="32"/>
      <c r="I2119" s="32"/>
      <c r="J2119" s="32"/>
      <c r="K2119" s="33"/>
      <c r="L2119" s="32"/>
      <c r="M2119" s="32"/>
      <c r="N2119" s="32"/>
      <c r="O2119" s="32"/>
      <c r="P2119" s="32"/>
      <c r="Q2119" s="34"/>
      <c r="R2119" s="35"/>
      <c r="S2119" s="35"/>
      <c r="T2119" s="36"/>
      <c r="U2119" s="36"/>
      <c r="V2119" s="36"/>
      <c r="W2119" s="36"/>
      <c r="X2119" s="36"/>
      <c r="Y2119" s="36"/>
    </row>
    <row r="2120">
      <c r="A2120" s="32"/>
      <c r="B2120" s="32"/>
      <c r="C2120" s="32"/>
      <c r="D2120" s="32"/>
      <c r="E2120" s="32"/>
      <c r="F2120" s="32"/>
      <c r="G2120" s="39"/>
      <c r="H2120" s="32"/>
      <c r="I2120" s="32"/>
      <c r="J2120" s="32"/>
      <c r="K2120" s="33"/>
      <c r="L2120" s="32"/>
      <c r="M2120" s="32"/>
      <c r="N2120" s="32"/>
      <c r="O2120" s="32"/>
      <c r="P2120" s="32"/>
      <c r="Q2120" s="34"/>
      <c r="R2120" s="35"/>
      <c r="S2120" s="35"/>
      <c r="T2120" s="36"/>
      <c r="U2120" s="36"/>
      <c r="V2120" s="36"/>
      <c r="W2120" s="36"/>
      <c r="X2120" s="36"/>
      <c r="Y2120" s="36"/>
    </row>
    <row r="2121">
      <c r="A2121" s="32"/>
      <c r="B2121" s="32"/>
      <c r="C2121" s="32"/>
      <c r="D2121" s="32"/>
      <c r="E2121" s="32"/>
      <c r="F2121" s="32"/>
      <c r="G2121" s="39"/>
      <c r="H2121" s="32"/>
      <c r="I2121" s="32"/>
      <c r="J2121" s="32"/>
      <c r="K2121" s="33"/>
      <c r="L2121" s="32"/>
      <c r="M2121" s="32"/>
      <c r="N2121" s="32"/>
      <c r="O2121" s="32"/>
      <c r="P2121" s="32"/>
      <c r="Q2121" s="34"/>
      <c r="R2121" s="35"/>
      <c r="S2121" s="35"/>
      <c r="T2121" s="36"/>
      <c r="U2121" s="36"/>
      <c r="V2121" s="36"/>
      <c r="W2121" s="36"/>
      <c r="X2121" s="36"/>
      <c r="Y2121" s="36"/>
    </row>
    <row r="2122">
      <c r="A2122" s="32"/>
      <c r="B2122" s="32"/>
      <c r="C2122" s="32"/>
      <c r="D2122" s="32"/>
      <c r="E2122" s="32"/>
      <c r="F2122" s="32"/>
      <c r="G2122" s="39"/>
      <c r="H2122" s="32"/>
      <c r="I2122" s="32"/>
      <c r="J2122" s="32"/>
      <c r="K2122" s="33"/>
      <c r="L2122" s="32"/>
      <c r="M2122" s="32"/>
      <c r="N2122" s="32"/>
      <c r="O2122" s="32"/>
      <c r="P2122" s="32"/>
      <c r="Q2122" s="34"/>
      <c r="R2122" s="35"/>
      <c r="S2122" s="35"/>
      <c r="T2122" s="36"/>
      <c r="U2122" s="36"/>
      <c r="V2122" s="36"/>
      <c r="W2122" s="36"/>
      <c r="X2122" s="36"/>
      <c r="Y2122" s="36"/>
    </row>
    <row r="2123">
      <c r="A2123" s="32"/>
      <c r="B2123" s="32"/>
      <c r="C2123" s="32"/>
      <c r="D2123" s="32"/>
      <c r="E2123" s="32"/>
      <c r="F2123" s="32"/>
      <c r="G2123" s="39"/>
      <c r="H2123" s="32"/>
      <c r="I2123" s="32"/>
      <c r="J2123" s="32"/>
      <c r="K2123" s="33"/>
      <c r="L2123" s="32"/>
      <c r="M2123" s="32"/>
      <c r="N2123" s="32"/>
      <c r="O2123" s="32"/>
      <c r="P2123" s="32"/>
      <c r="Q2123" s="34"/>
      <c r="R2123" s="35"/>
      <c r="S2123" s="35"/>
      <c r="T2123" s="36"/>
      <c r="U2123" s="36"/>
      <c r="V2123" s="36"/>
      <c r="W2123" s="36"/>
      <c r="X2123" s="36"/>
      <c r="Y2123" s="36"/>
    </row>
    <row r="2124">
      <c r="A2124" s="32"/>
      <c r="B2124" s="32"/>
      <c r="C2124" s="32"/>
      <c r="D2124" s="32"/>
      <c r="E2124" s="32"/>
      <c r="F2124" s="32"/>
      <c r="G2124" s="39"/>
      <c r="H2124" s="32"/>
      <c r="I2124" s="32"/>
      <c r="J2124" s="32"/>
      <c r="K2124" s="33"/>
      <c r="L2124" s="32"/>
      <c r="M2124" s="32"/>
      <c r="N2124" s="32"/>
      <c r="O2124" s="32"/>
      <c r="P2124" s="32"/>
      <c r="Q2124" s="34"/>
      <c r="R2124" s="35"/>
      <c r="S2124" s="35"/>
      <c r="T2124" s="36"/>
      <c r="U2124" s="36"/>
      <c r="V2124" s="36"/>
      <c r="W2124" s="36"/>
      <c r="X2124" s="36"/>
      <c r="Y2124" s="36"/>
    </row>
    <row r="2125">
      <c r="A2125" s="32"/>
      <c r="B2125" s="32"/>
      <c r="C2125" s="32"/>
      <c r="D2125" s="32"/>
      <c r="E2125" s="32"/>
      <c r="F2125" s="32"/>
      <c r="G2125" s="39"/>
      <c r="H2125" s="32"/>
      <c r="I2125" s="32"/>
      <c r="J2125" s="32"/>
      <c r="K2125" s="33"/>
      <c r="L2125" s="32"/>
      <c r="M2125" s="32"/>
      <c r="N2125" s="32"/>
      <c r="O2125" s="32"/>
      <c r="P2125" s="32"/>
      <c r="Q2125" s="34"/>
      <c r="R2125" s="35"/>
      <c r="S2125" s="35"/>
      <c r="T2125" s="36"/>
      <c r="U2125" s="36"/>
      <c r="V2125" s="36"/>
      <c r="W2125" s="36"/>
      <c r="X2125" s="36"/>
      <c r="Y2125" s="36"/>
    </row>
    <row r="2126">
      <c r="A2126" s="32"/>
      <c r="B2126" s="32"/>
      <c r="C2126" s="32"/>
      <c r="D2126" s="32"/>
      <c r="E2126" s="32"/>
      <c r="F2126" s="32"/>
      <c r="G2126" s="39"/>
      <c r="H2126" s="32"/>
      <c r="I2126" s="32"/>
      <c r="J2126" s="32"/>
      <c r="K2126" s="33"/>
      <c r="L2126" s="32"/>
      <c r="M2126" s="32"/>
      <c r="N2126" s="32"/>
      <c r="O2126" s="32"/>
      <c r="P2126" s="32"/>
      <c r="Q2126" s="34"/>
      <c r="R2126" s="35"/>
      <c r="S2126" s="35"/>
      <c r="T2126" s="36"/>
      <c r="U2126" s="36"/>
      <c r="V2126" s="36"/>
      <c r="W2126" s="36"/>
      <c r="X2126" s="36"/>
      <c r="Y2126" s="36"/>
    </row>
    <row r="2127">
      <c r="A2127" s="32"/>
      <c r="B2127" s="32"/>
      <c r="C2127" s="32"/>
      <c r="D2127" s="32"/>
      <c r="E2127" s="32"/>
      <c r="F2127" s="32"/>
      <c r="G2127" s="39"/>
      <c r="H2127" s="32"/>
      <c r="I2127" s="32"/>
      <c r="J2127" s="32"/>
      <c r="K2127" s="33"/>
      <c r="L2127" s="32"/>
      <c r="M2127" s="32"/>
      <c r="N2127" s="32"/>
      <c r="O2127" s="32"/>
      <c r="P2127" s="32"/>
      <c r="Q2127" s="34"/>
      <c r="R2127" s="35"/>
      <c r="S2127" s="35"/>
      <c r="T2127" s="36"/>
      <c r="U2127" s="36"/>
      <c r="V2127" s="36"/>
      <c r="W2127" s="36"/>
      <c r="X2127" s="36"/>
      <c r="Y2127" s="36"/>
    </row>
    <row r="2128">
      <c r="A2128" s="32"/>
      <c r="B2128" s="32"/>
      <c r="C2128" s="32"/>
      <c r="D2128" s="32"/>
      <c r="E2128" s="32"/>
      <c r="F2128" s="32"/>
      <c r="G2128" s="39"/>
      <c r="H2128" s="32"/>
      <c r="I2128" s="32"/>
      <c r="J2128" s="32"/>
      <c r="K2128" s="33"/>
      <c r="L2128" s="32"/>
      <c r="M2128" s="32"/>
      <c r="N2128" s="32"/>
      <c r="O2128" s="32"/>
      <c r="P2128" s="32"/>
      <c r="Q2128" s="34"/>
      <c r="R2128" s="35"/>
      <c r="S2128" s="35"/>
      <c r="T2128" s="36"/>
      <c r="U2128" s="36"/>
      <c r="V2128" s="36"/>
      <c r="W2128" s="36"/>
      <c r="X2128" s="36"/>
      <c r="Y2128" s="36"/>
    </row>
    <row r="2129">
      <c r="A2129" s="32"/>
      <c r="B2129" s="32"/>
      <c r="C2129" s="32"/>
      <c r="D2129" s="32"/>
      <c r="E2129" s="32"/>
      <c r="F2129" s="32"/>
      <c r="G2129" s="39"/>
      <c r="H2129" s="32"/>
      <c r="I2129" s="32"/>
      <c r="J2129" s="32"/>
      <c r="K2129" s="33"/>
      <c r="L2129" s="32"/>
      <c r="M2129" s="32"/>
      <c r="N2129" s="32"/>
      <c r="O2129" s="32"/>
      <c r="P2129" s="32"/>
      <c r="Q2129" s="34"/>
      <c r="R2129" s="35"/>
      <c r="S2129" s="35"/>
      <c r="T2129" s="36"/>
      <c r="U2129" s="36"/>
      <c r="V2129" s="36"/>
      <c r="W2129" s="36"/>
      <c r="X2129" s="36"/>
      <c r="Y2129" s="36"/>
    </row>
    <row r="2130">
      <c r="A2130" s="32"/>
      <c r="B2130" s="32"/>
      <c r="C2130" s="32"/>
      <c r="D2130" s="32"/>
      <c r="E2130" s="32"/>
      <c r="F2130" s="32"/>
      <c r="G2130" s="39"/>
      <c r="H2130" s="32"/>
      <c r="I2130" s="32"/>
      <c r="J2130" s="32"/>
      <c r="K2130" s="33"/>
      <c r="L2130" s="32"/>
      <c r="M2130" s="32"/>
      <c r="N2130" s="32"/>
      <c r="O2130" s="32"/>
      <c r="P2130" s="32"/>
      <c r="Q2130" s="34"/>
      <c r="R2130" s="35"/>
      <c r="S2130" s="35"/>
      <c r="T2130" s="36"/>
      <c r="U2130" s="36"/>
      <c r="V2130" s="36"/>
      <c r="W2130" s="36"/>
      <c r="X2130" s="36"/>
      <c r="Y2130" s="36"/>
    </row>
    <row r="2131">
      <c r="A2131" s="32"/>
      <c r="B2131" s="32"/>
      <c r="C2131" s="32"/>
      <c r="D2131" s="32"/>
      <c r="E2131" s="32"/>
      <c r="F2131" s="32"/>
      <c r="G2131" s="39"/>
      <c r="H2131" s="32"/>
      <c r="I2131" s="32"/>
      <c r="J2131" s="32"/>
      <c r="K2131" s="33"/>
      <c r="L2131" s="32"/>
      <c r="M2131" s="32"/>
      <c r="N2131" s="32"/>
      <c r="O2131" s="32"/>
      <c r="P2131" s="32"/>
      <c r="Q2131" s="34"/>
      <c r="R2131" s="35"/>
      <c r="S2131" s="35"/>
      <c r="T2131" s="36"/>
      <c r="U2131" s="36"/>
      <c r="V2131" s="36"/>
      <c r="W2131" s="36"/>
      <c r="X2131" s="36"/>
      <c r="Y2131" s="36"/>
    </row>
    <row r="2132">
      <c r="A2132" s="32"/>
      <c r="B2132" s="32"/>
      <c r="C2132" s="32"/>
      <c r="D2132" s="32"/>
      <c r="E2132" s="32"/>
      <c r="F2132" s="32"/>
      <c r="G2132" s="39"/>
      <c r="H2132" s="32"/>
      <c r="I2132" s="32"/>
      <c r="J2132" s="32"/>
      <c r="K2132" s="33"/>
      <c r="L2132" s="32"/>
      <c r="M2132" s="32"/>
      <c r="N2132" s="32"/>
      <c r="O2132" s="32"/>
      <c r="P2132" s="32"/>
      <c r="Q2132" s="34"/>
      <c r="R2132" s="35"/>
      <c r="S2132" s="35"/>
      <c r="T2132" s="36"/>
      <c r="U2132" s="36"/>
      <c r="V2132" s="36"/>
      <c r="W2132" s="36"/>
      <c r="X2132" s="36"/>
      <c r="Y2132" s="36"/>
    </row>
    <row r="2133">
      <c r="A2133" s="32"/>
      <c r="B2133" s="32"/>
      <c r="C2133" s="32"/>
      <c r="D2133" s="32"/>
      <c r="E2133" s="32"/>
      <c r="F2133" s="32"/>
      <c r="G2133" s="39"/>
      <c r="H2133" s="32"/>
      <c r="I2133" s="32"/>
      <c r="J2133" s="32"/>
      <c r="K2133" s="33"/>
      <c r="L2133" s="32"/>
      <c r="M2133" s="32"/>
      <c r="N2133" s="32"/>
      <c r="O2133" s="32"/>
      <c r="P2133" s="32"/>
      <c r="Q2133" s="34"/>
      <c r="R2133" s="35"/>
      <c r="S2133" s="35"/>
      <c r="T2133" s="36"/>
      <c r="U2133" s="36"/>
      <c r="V2133" s="36"/>
      <c r="W2133" s="36"/>
      <c r="X2133" s="36"/>
      <c r="Y2133" s="36"/>
    </row>
    <row r="2134">
      <c r="A2134" s="32"/>
      <c r="B2134" s="32"/>
      <c r="C2134" s="32"/>
      <c r="D2134" s="32"/>
      <c r="E2134" s="32"/>
      <c r="F2134" s="32"/>
      <c r="G2134" s="39"/>
      <c r="H2134" s="32"/>
      <c r="I2134" s="32"/>
      <c r="J2134" s="32"/>
      <c r="K2134" s="33"/>
      <c r="L2134" s="32"/>
      <c r="M2134" s="32"/>
      <c r="N2134" s="32"/>
      <c r="O2134" s="32"/>
      <c r="P2134" s="32"/>
      <c r="Q2134" s="34"/>
      <c r="R2134" s="35"/>
      <c r="S2134" s="35"/>
      <c r="T2134" s="36"/>
      <c r="U2134" s="36"/>
      <c r="V2134" s="36"/>
      <c r="W2134" s="36"/>
      <c r="X2134" s="36"/>
      <c r="Y2134" s="36"/>
    </row>
    <row r="2135">
      <c r="A2135" s="32"/>
      <c r="B2135" s="32"/>
      <c r="C2135" s="32"/>
      <c r="D2135" s="32"/>
      <c r="E2135" s="32"/>
      <c r="F2135" s="32"/>
      <c r="G2135" s="39"/>
      <c r="H2135" s="32"/>
      <c r="I2135" s="32"/>
      <c r="J2135" s="32"/>
      <c r="K2135" s="33"/>
      <c r="L2135" s="32"/>
      <c r="M2135" s="32"/>
      <c r="N2135" s="32"/>
      <c r="O2135" s="32"/>
      <c r="P2135" s="32"/>
      <c r="Q2135" s="34"/>
      <c r="R2135" s="35"/>
      <c r="S2135" s="35"/>
      <c r="T2135" s="36"/>
      <c r="U2135" s="36"/>
      <c r="V2135" s="36"/>
      <c r="W2135" s="36"/>
      <c r="X2135" s="36"/>
      <c r="Y2135" s="36"/>
    </row>
    <row r="2136">
      <c r="A2136" s="32"/>
      <c r="B2136" s="32"/>
      <c r="C2136" s="32"/>
      <c r="D2136" s="32"/>
      <c r="E2136" s="32"/>
      <c r="F2136" s="32"/>
      <c r="G2136" s="39"/>
      <c r="H2136" s="32"/>
      <c r="I2136" s="32"/>
      <c r="J2136" s="32"/>
      <c r="K2136" s="33"/>
      <c r="L2136" s="32"/>
      <c r="M2136" s="32"/>
      <c r="N2136" s="32"/>
      <c r="O2136" s="32"/>
      <c r="P2136" s="32"/>
      <c r="Q2136" s="34"/>
      <c r="R2136" s="35"/>
      <c r="S2136" s="35"/>
      <c r="T2136" s="36"/>
      <c r="U2136" s="36"/>
      <c r="V2136" s="36"/>
      <c r="W2136" s="36"/>
      <c r="X2136" s="36"/>
      <c r="Y2136" s="36"/>
    </row>
    <row r="2137">
      <c r="A2137" s="32"/>
      <c r="B2137" s="32"/>
      <c r="C2137" s="32"/>
      <c r="D2137" s="32"/>
      <c r="E2137" s="32"/>
      <c r="F2137" s="32"/>
      <c r="G2137" s="39"/>
      <c r="H2137" s="32"/>
      <c r="I2137" s="32"/>
      <c r="J2137" s="32"/>
      <c r="K2137" s="33"/>
      <c r="L2137" s="32"/>
      <c r="M2137" s="32"/>
      <c r="N2137" s="32"/>
      <c r="O2137" s="32"/>
      <c r="P2137" s="32"/>
      <c r="Q2137" s="34"/>
      <c r="R2137" s="35"/>
      <c r="S2137" s="35"/>
      <c r="T2137" s="36"/>
      <c r="U2137" s="36"/>
      <c r="V2137" s="36"/>
      <c r="W2137" s="36"/>
      <c r="X2137" s="36"/>
      <c r="Y2137" s="36"/>
    </row>
    <row r="2138">
      <c r="A2138" s="32"/>
      <c r="B2138" s="32"/>
      <c r="C2138" s="32"/>
      <c r="D2138" s="32"/>
      <c r="E2138" s="32"/>
      <c r="F2138" s="32"/>
      <c r="G2138" s="39"/>
      <c r="H2138" s="32"/>
      <c r="I2138" s="32"/>
      <c r="J2138" s="32"/>
      <c r="K2138" s="33"/>
      <c r="L2138" s="32"/>
      <c r="M2138" s="32"/>
      <c r="N2138" s="32"/>
      <c r="O2138" s="32"/>
      <c r="P2138" s="32"/>
      <c r="Q2138" s="34"/>
      <c r="R2138" s="35"/>
      <c r="S2138" s="35"/>
      <c r="T2138" s="36"/>
      <c r="U2138" s="36"/>
      <c r="V2138" s="36"/>
      <c r="W2138" s="36"/>
      <c r="X2138" s="36"/>
      <c r="Y2138" s="36"/>
    </row>
    <row r="2139">
      <c r="A2139" s="32"/>
      <c r="B2139" s="32"/>
      <c r="C2139" s="32"/>
      <c r="D2139" s="32"/>
      <c r="E2139" s="32"/>
      <c r="F2139" s="32"/>
      <c r="G2139" s="39"/>
      <c r="H2139" s="32"/>
      <c r="I2139" s="32"/>
      <c r="J2139" s="32"/>
      <c r="K2139" s="33"/>
      <c r="L2139" s="32"/>
      <c r="M2139" s="32"/>
      <c r="N2139" s="32"/>
      <c r="O2139" s="32"/>
      <c r="P2139" s="32"/>
      <c r="Q2139" s="34"/>
      <c r="R2139" s="35"/>
      <c r="S2139" s="35"/>
      <c r="T2139" s="36"/>
      <c r="U2139" s="36"/>
      <c r="V2139" s="36"/>
      <c r="W2139" s="36"/>
      <c r="X2139" s="36"/>
      <c r="Y2139" s="36"/>
    </row>
    <row r="2140">
      <c r="A2140" s="32"/>
      <c r="B2140" s="32"/>
      <c r="C2140" s="32"/>
      <c r="D2140" s="32"/>
      <c r="E2140" s="32"/>
      <c r="F2140" s="32"/>
      <c r="G2140" s="39"/>
      <c r="H2140" s="32"/>
      <c r="I2140" s="32"/>
      <c r="J2140" s="32"/>
      <c r="K2140" s="33"/>
      <c r="L2140" s="32"/>
      <c r="M2140" s="32"/>
      <c r="N2140" s="32"/>
      <c r="O2140" s="32"/>
      <c r="P2140" s="32"/>
      <c r="Q2140" s="34"/>
      <c r="R2140" s="35"/>
      <c r="S2140" s="35"/>
      <c r="T2140" s="36"/>
      <c r="U2140" s="36"/>
      <c r="V2140" s="36"/>
      <c r="W2140" s="36"/>
      <c r="X2140" s="36"/>
      <c r="Y2140" s="36"/>
    </row>
    <row r="2141">
      <c r="A2141" s="32"/>
      <c r="B2141" s="32"/>
      <c r="C2141" s="32"/>
      <c r="D2141" s="32"/>
      <c r="E2141" s="32"/>
      <c r="F2141" s="32"/>
      <c r="G2141" s="39"/>
      <c r="H2141" s="32"/>
      <c r="I2141" s="32"/>
      <c r="J2141" s="32"/>
      <c r="K2141" s="33"/>
      <c r="L2141" s="32"/>
      <c r="M2141" s="32"/>
      <c r="N2141" s="32"/>
      <c r="O2141" s="32"/>
      <c r="P2141" s="32"/>
      <c r="Q2141" s="34"/>
      <c r="R2141" s="35"/>
      <c r="S2141" s="35"/>
      <c r="T2141" s="36"/>
      <c r="U2141" s="36"/>
      <c r="V2141" s="36"/>
      <c r="W2141" s="36"/>
      <c r="X2141" s="36"/>
      <c r="Y2141" s="36"/>
    </row>
    <row r="2142">
      <c r="A2142" s="32"/>
      <c r="B2142" s="32"/>
      <c r="C2142" s="32"/>
      <c r="D2142" s="32"/>
      <c r="E2142" s="32"/>
      <c r="F2142" s="32"/>
      <c r="G2142" s="39"/>
      <c r="H2142" s="32"/>
      <c r="I2142" s="32"/>
      <c r="J2142" s="32"/>
      <c r="K2142" s="33"/>
      <c r="L2142" s="32"/>
      <c r="M2142" s="32"/>
      <c r="N2142" s="32"/>
      <c r="O2142" s="32"/>
      <c r="P2142" s="32"/>
      <c r="Q2142" s="34"/>
      <c r="R2142" s="35"/>
      <c r="S2142" s="35"/>
      <c r="T2142" s="36"/>
      <c r="U2142" s="36"/>
      <c r="V2142" s="36"/>
      <c r="W2142" s="36"/>
      <c r="X2142" s="36"/>
      <c r="Y2142" s="36"/>
    </row>
    <row r="2143">
      <c r="A2143" s="32"/>
      <c r="B2143" s="32"/>
      <c r="C2143" s="32"/>
      <c r="D2143" s="32"/>
      <c r="E2143" s="32"/>
      <c r="F2143" s="32"/>
      <c r="G2143" s="39"/>
      <c r="H2143" s="32"/>
      <c r="I2143" s="32"/>
      <c r="J2143" s="32"/>
      <c r="K2143" s="33"/>
      <c r="L2143" s="32"/>
      <c r="M2143" s="32"/>
      <c r="N2143" s="32"/>
      <c r="O2143" s="32"/>
      <c r="P2143" s="32"/>
      <c r="Q2143" s="34"/>
      <c r="R2143" s="35"/>
      <c r="S2143" s="35"/>
      <c r="T2143" s="36"/>
      <c r="U2143" s="36"/>
      <c r="V2143" s="36"/>
      <c r="W2143" s="36"/>
      <c r="X2143" s="36"/>
      <c r="Y2143" s="36"/>
    </row>
    <row r="2144">
      <c r="A2144" s="32"/>
      <c r="B2144" s="32"/>
      <c r="C2144" s="32"/>
      <c r="D2144" s="32"/>
      <c r="E2144" s="32"/>
      <c r="F2144" s="32"/>
      <c r="G2144" s="39"/>
      <c r="H2144" s="32"/>
      <c r="I2144" s="32"/>
      <c r="J2144" s="32"/>
      <c r="K2144" s="33"/>
      <c r="L2144" s="32"/>
      <c r="M2144" s="32"/>
      <c r="N2144" s="32"/>
      <c r="O2144" s="32"/>
      <c r="P2144" s="32"/>
      <c r="Q2144" s="34"/>
      <c r="R2144" s="35"/>
      <c r="S2144" s="35"/>
      <c r="T2144" s="36"/>
      <c r="U2144" s="36"/>
      <c r="V2144" s="36"/>
      <c r="W2144" s="36"/>
      <c r="X2144" s="36"/>
      <c r="Y2144" s="36"/>
    </row>
    <row r="2145">
      <c r="A2145" s="32"/>
      <c r="B2145" s="32"/>
      <c r="C2145" s="32"/>
      <c r="D2145" s="32"/>
      <c r="E2145" s="32"/>
      <c r="F2145" s="32"/>
      <c r="G2145" s="39"/>
      <c r="H2145" s="32"/>
      <c r="I2145" s="32"/>
      <c r="J2145" s="32"/>
      <c r="K2145" s="33"/>
      <c r="L2145" s="32"/>
      <c r="M2145" s="32"/>
      <c r="N2145" s="32"/>
      <c r="O2145" s="32"/>
      <c r="P2145" s="32"/>
      <c r="Q2145" s="34"/>
      <c r="R2145" s="35"/>
      <c r="S2145" s="35"/>
      <c r="T2145" s="36"/>
      <c r="U2145" s="36"/>
      <c r="V2145" s="36"/>
      <c r="W2145" s="36"/>
      <c r="X2145" s="36"/>
      <c r="Y2145" s="36"/>
    </row>
    <row r="2146">
      <c r="A2146" s="32"/>
      <c r="B2146" s="32"/>
      <c r="C2146" s="32"/>
      <c r="D2146" s="32"/>
      <c r="E2146" s="32"/>
      <c r="F2146" s="32"/>
      <c r="G2146" s="39"/>
      <c r="H2146" s="32"/>
      <c r="I2146" s="32"/>
      <c r="J2146" s="32"/>
      <c r="K2146" s="33"/>
      <c r="L2146" s="32"/>
      <c r="M2146" s="32"/>
      <c r="N2146" s="32"/>
      <c r="O2146" s="32"/>
      <c r="P2146" s="32"/>
      <c r="Q2146" s="34"/>
      <c r="R2146" s="35"/>
      <c r="S2146" s="35"/>
      <c r="T2146" s="36"/>
      <c r="U2146" s="36"/>
      <c r="V2146" s="36"/>
      <c r="W2146" s="36"/>
      <c r="X2146" s="36"/>
      <c r="Y2146" s="36"/>
    </row>
    <row r="2147">
      <c r="A2147" s="32"/>
      <c r="B2147" s="32"/>
      <c r="C2147" s="32"/>
      <c r="D2147" s="32"/>
      <c r="E2147" s="32"/>
      <c r="F2147" s="32"/>
      <c r="G2147" s="39"/>
      <c r="H2147" s="32"/>
      <c r="I2147" s="32"/>
      <c r="J2147" s="32"/>
      <c r="K2147" s="33"/>
      <c r="L2147" s="32"/>
      <c r="M2147" s="32"/>
      <c r="N2147" s="32"/>
      <c r="O2147" s="32"/>
      <c r="P2147" s="32"/>
      <c r="Q2147" s="34"/>
      <c r="R2147" s="35"/>
      <c r="S2147" s="35"/>
      <c r="T2147" s="36"/>
      <c r="U2147" s="36"/>
      <c r="V2147" s="36"/>
      <c r="W2147" s="36"/>
      <c r="X2147" s="36"/>
      <c r="Y2147" s="36"/>
    </row>
    <row r="2148">
      <c r="A2148" s="32"/>
      <c r="B2148" s="32"/>
      <c r="C2148" s="32"/>
      <c r="D2148" s="32"/>
      <c r="E2148" s="32"/>
      <c r="F2148" s="32"/>
      <c r="G2148" s="39"/>
      <c r="H2148" s="32"/>
      <c r="I2148" s="32"/>
      <c r="J2148" s="32"/>
      <c r="K2148" s="33"/>
      <c r="L2148" s="32"/>
      <c r="M2148" s="32"/>
      <c r="N2148" s="32"/>
      <c r="O2148" s="32"/>
      <c r="P2148" s="32"/>
      <c r="Q2148" s="34"/>
      <c r="R2148" s="35"/>
      <c r="S2148" s="35"/>
      <c r="T2148" s="36"/>
      <c r="U2148" s="36"/>
      <c r="V2148" s="36"/>
      <c r="W2148" s="36"/>
      <c r="X2148" s="36"/>
      <c r="Y2148" s="36"/>
    </row>
    <row r="2149">
      <c r="A2149" s="32"/>
      <c r="B2149" s="32"/>
      <c r="C2149" s="32"/>
      <c r="D2149" s="32"/>
      <c r="E2149" s="32"/>
      <c r="F2149" s="32"/>
      <c r="G2149" s="39"/>
      <c r="H2149" s="32"/>
      <c r="I2149" s="32"/>
      <c r="J2149" s="32"/>
      <c r="K2149" s="33"/>
      <c r="L2149" s="32"/>
      <c r="M2149" s="32"/>
      <c r="N2149" s="32"/>
      <c r="O2149" s="32"/>
      <c r="P2149" s="32"/>
      <c r="Q2149" s="34"/>
      <c r="R2149" s="35"/>
      <c r="S2149" s="35"/>
      <c r="T2149" s="36"/>
      <c r="U2149" s="36"/>
      <c r="V2149" s="36"/>
      <c r="W2149" s="36"/>
      <c r="X2149" s="36"/>
      <c r="Y2149" s="36"/>
    </row>
    <row r="2150">
      <c r="A2150" s="32"/>
      <c r="B2150" s="32"/>
      <c r="C2150" s="32"/>
      <c r="D2150" s="32"/>
      <c r="E2150" s="32"/>
      <c r="F2150" s="32"/>
      <c r="G2150" s="39"/>
      <c r="H2150" s="32"/>
      <c r="I2150" s="32"/>
      <c r="J2150" s="32"/>
      <c r="K2150" s="33"/>
      <c r="L2150" s="32"/>
      <c r="M2150" s="32"/>
      <c r="N2150" s="32"/>
      <c r="O2150" s="32"/>
      <c r="P2150" s="32"/>
      <c r="Q2150" s="34"/>
      <c r="R2150" s="35"/>
      <c r="S2150" s="35"/>
      <c r="T2150" s="36"/>
      <c r="U2150" s="36"/>
      <c r="V2150" s="36"/>
      <c r="W2150" s="36"/>
      <c r="X2150" s="36"/>
      <c r="Y2150" s="36"/>
    </row>
    <row r="2151">
      <c r="A2151" s="32"/>
      <c r="B2151" s="32"/>
      <c r="C2151" s="32"/>
      <c r="D2151" s="32"/>
      <c r="E2151" s="32"/>
      <c r="F2151" s="32"/>
      <c r="G2151" s="39"/>
      <c r="H2151" s="32"/>
      <c r="I2151" s="32"/>
      <c r="J2151" s="32"/>
      <c r="K2151" s="33"/>
      <c r="L2151" s="32"/>
      <c r="M2151" s="32"/>
      <c r="N2151" s="32"/>
      <c r="O2151" s="32"/>
      <c r="P2151" s="32"/>
      <c r="Q2151" s="34"/>
      <c r="R2151" s="35"/>
      <c r="S2151" s="35"/>
      <c r="T2151" s="36"/>
      <c r="U2151" s="36"/>
      <c r="V2151" s="36"/>
      <c r="W2151" s="36"/>
      <c r="X2151" s="36"/>
      <c r="Y2151" s="36"/>
    </row>
    <row r="2152">
      <c r="A2152" s="32"/>
      <c r="B2152" s="32"/>
      <c r="C2152" s="32"/>
      <c r="D2152" s="32"/>
      <c r="E2152" s="32"/>
      <c r="F2152" s="32"/>
      <c r="G2152" s="39"/>
      <c r="H2152" s="32"/>
      <c r="I2152" s="32"/>
      <c r="J2152" s="32"/>
      <c r="K2152" s="33"/>
      <c r="L2152" s="32"/>
      <c r="M2152" s="32"/>
      <c r="N2152" s="32"/>
      <c r="O2152" s="32"/>
      <c r="P2152" s="32"/>
      <c r="Q2152" s="34"/>
      <c r="R2152" s="35"/>
      <c r="S2152" s="35"/>
      <c r="T2152" s="36"/>
      <c r="U2152" s="36"/>
      <c r="V2152" s="36"/>
      <c r="W2152" s="36"/>
      <c r="X2152" s="36"/>
      <c r="Y2152" s="36"/>
    </row>
    <row r="2153">
      <c r="A2153" s="32"/>
      <c r="B2153" s="32"/>
      <c r="C2153" s="32"/>
      <c r="D2153" s="32"/>
      <c r="E2153" s="32"/>
      <c r="F2153" s="32"/>
      <c r="G2153" s="39"/>
      <c r="H2153" s="32"/>
      <c r="I2153" s="32"/>
      <c r="J2153" s="32"/>
      <c r="K2153" s="33"/>
      <c r="L2153" s="32"/>
      <c r="M2153" s="32"/>
      <c r="N2153" s="32"/>
      <c r="O2153" s="32"/>
      <c r="P2153" s="32"/>
      <c r="Q2153" s="34"/>
      <c r="R2153" s="35"/>
      <c r="S2153" s="35"/>
      <c r="T2153" s="36"/>
      <c r="U2153" s="36"/>
      <c r="V2153" s="36"/>
      <c r="W2153" s="36"/>
      <c r="X2153" s="36"/>
      <c r="Y2153" s="36"/>
    </row>
  </sheetData>
  <autoFilter ref="$A$1:$Z$1161"/>
  <hyperlinks>
    <hyperlink r:id="rId1" ref="D771"/>
    <hyperlink r:id="rId2" ref="D778"/>
    <hyperlink r:id="rId3" ref="D779"/>
    <hyperlink r:id="rId4" ref="D780"/>
    <hyperlink r:id="rId5" ref="D781"/>
    <hyperlink r:id="rId6" ref="D859"/>
    <hyperlink r:id="rId7" ref="D861"/>
    <hyperlink r:id="rId8" ref="D964"/>
    <hyperlink r:id="rId9" ref="D992"/>
    <hyperlink r:id="rId10" ref="D1029"/>
    <hyperlink r:id="rId11" ref="D1053"/>
    <hyperlink r:id="rId12" ref="D1068"/>
    <hyperlink r:id="rId13" ref="D1091"/>
    <hyperlink r:id="rId14" ref="D1106"/>
    <hyperlink r:id="rId15" ref="D1107"/>
    <hyperlink r:id="rId16" ref="D1108"/>
    <hyperlink r:id="rId17" ref="D1136"/>
    <hyperlink r:id="rId18" ref="D1137"/>
    <hyperlink r:id="rId19" ref="D1139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5238</v>
      </c>
      <c r="B1" s="52" t="s">
        <v>0</v>
      </c>
      <c r="C1" s="52" t="s">
        <v>5239</v>
      </c>
      <c r="D1" s="52" t="s">
        <v>5240</v>
      </c>
      <c r="E1" s="52" t="s">
        <v>5241</v>
      </c>
      <c r="F1" s="52" t="s">
        <v>5242</v>
      </c>
      <c r="G1" s="52" t="s">
        <v>5243</v>
      </c>
      <c r="H1" s="52" t="s">
        <v>5244</v>
      </c>
      <c r="I1" s="52" t="s">
        <v>5245</v>
      </c>
      <c r="J1" s="52" t="s">
        <v>5246</v>
      </c>
      <c r="K1" s="52" t="s">
        <v>12</v>
      </c>
    </row>
    <row r="2">
      <c r="A2" s="6" t="s">
        <v>584</v>
      </c>
      <c r="B2" s="6" t="s">
        <v>582</v>
      </c>
      <c r="C2" s="6" t="s">
        <v>583</v>
      </c>
      <c r="D2" s="53" t="s">
        <v>583</v>
      </c>
      <c r="E2" s="6" t="s">
        <v>5247</v>
      </c>
      <c r="F2" s="6" t="s">
        <v>5248</v>
      </c>
      <c r="G2" s="6">
        <v>25.0</v>
      </c>
      <c r="H2" s="6">
        <v>61.0</v>
      </c>
      <c r="I2" s="8">
        <v>13831.24</v>
      </c>
      <c r="J2" s="8">
        <v>15799.0</v>
      </c>
      <c r="K2" s="8">
        <v>18199.0</v>
      </c>
    </row>
    <row r="3">
      <c r="A3" s="6" t="s">
        <v>4751</v>
      </c>
      <c r="B3" s="6" t="s">
        <v>336</v>
      </c>
      <c r="C3" s="6" t="s">
        <v>337</v>
      </c>
      <c r="D3" s="53" t="s">
        <v>337</v>
      </c>
      <c r="E3" s="6" t="s">
        <v>5247</v>
      </c>
      <c r="F3" s="6" t="s">
        <v>5248</v>
      </c>
      <c r="G3" s="6">
        <v>29.0</v>
      </c>
      <c r="H3" s="6">
        <v>52.0</v>
      </c>
      <c r="I3" s="8">
        <v>11931.24</v>
      </c>
      <c r="J3" s="8">
        <v>13699.0</v>
      </c>
      <c r="K3" s="8">
        <v>15699.0</v>
      </c>
    </row>
    <row r="4">
      <c r="A4" s="6" t="s">
        <v>4752</v>
      </c>
      <c r="B4" s="6" t="s">
        <v>639</v>
      </c>
      <c r="C4" s="6" t="s">
        <v>640</v>
      </c>
      <c r="D4" s="53" t="s">
        <v>640</v>
      </c>
      <c r="E4" s="6" t="s">
        <v>5247</v>
      </c>
      <c r="F4" s="6" t="s">
        <v>5248</v>
      </c>
      <c r="G4" s="6">
        <v>41.0</v>
      </c>
      <c r="H4" s="6">
        <v>95.0</v>
      </c>
      <c r="I4" s="8">
        <v>16111.24</v>
      </c>
      <c r="J4" s="8">
        <v>18399.0</v>
      </c>
      <c r="K4" s="8">
        <v>21199.0</v>
      </c>
    </row>
    <row r="5">
      <c r="A5" s="6" t="s">
        <v>381</v>
      </c>
      <c r="B5" s="6" t="s">
        <v>379</v>
      </c>
      <c r="C5" s="6" t="s">
        <v>380</v>
      </c>
      <c r="D5" s="53" t="s">
        <v>380</v>
      </c>
      <c r="E5" s="6" t="s">
        <v>5247</v>
      </c>
      <c r="F5" s="6" t="s">
        <v>5248</v>
      </c>
      <c r="G5" s="6">
        <v>50.0</v>
      </c>
      <c r="H5" s="6">
        <v>99.0</v>
      </c>
      <c r="I5" s="8">
        <v>13299.24</v>
      </c>
      <c r="J5" s="8">
        <v>15199.0</v>
      </c>
      <c r="K5" s="8">
        <v>17499.0</v>
      </c>
    </row>
    <row r="6">
      <c r="A6" s="6" t="s">
        <v>2191</v>
      </c>
      <c r="B6" s="54" t="s">
        <v>5249</v>
      </c>
      <c r="C6" s="6" t="s">
        <v>2190</v>
      </c>
      <c r="D6" s="6" t="s">
        <v>2190</v>
      </c>
      <c r="E6" s="6" t="s">
        <v>5247</v>
      </c>
      <c r="F6" s="6" t="s">
        <v>5248</v>
      </c>
      <c r="G6" s="6" t="e">
        <v>#N/A</v>
      </c>
      <c r="H6" s="6">
        <v>29.0</v>
      </c>
      <c r="I6" s="8">
        <v>2599.35</v>
      </c>
      <c r="J6" s="8">
        <v>2999.0</v>
      </c>
      <c r="K6" s="8">
        <v>3999.0</v>
      </c>
    </row>
    <row r="7">
      <c r="A7" s="6" t="s">
        <v>1095</v>
      </c>
      <c r="B7" s="6" t="s">
        <v>1093</v>
      </c>
      <c r="C7" s="6" t="s">
        <v>1094</v>
      </c>
      <c r="D7" s="53" t="s">
        <v>1094</v>
      </c>
      <c r="E7" s="6" t="s">
        <v>5247</v>
      </c>
      <c r="F7" s="6" t="s">
        <v>5248</v>
      </c>
      <c r="G7" s="6">
        <v>1053.0</v>
      </c>
      <c r="H7" s="6">
        <v>6343.0</v>
      </c>
      <c r="I7" s="8">
        <v>949.0</v>
      </c>
      <c r="J7" s="8">
        <v>999.0</v>
      </c>
      <c r="K7" s="8">
        <v>1989.0</v>
      </c>
    </row>
    <row r="8">
      <c r="A8" s="6" t="s">
        <v>2392</v>
      </c>
      <c r="B8" s="6" t="s">
        <v>2390</v>
      </c>
      <c r="C8" s="6" t="s">
        <v>2391</v>
      </c>
      <c r="D8" s="53" t="s">
        <v>2391</v>
      </c>
      <c r="E8" s="6" t="s">
        <v>5247</v>
      </c>
      <c r="F8" s="6" t="s">
        <v>5248</v>
      </c>
      <c r="G8" s="6">
        <v>329.0</v>
      </c>
      <c r="H8" s="6">
        <v>4050.0</v>
      </c>
      <c r="I8" s="8">
        <v>949.0</v>
      </c>
      <c r="J8" s="8">
        <v>999.0</v>
      </c>
      <c r="K8" s="8">
        <v>1189.0</v>
      </c>
    </row>
    <row r="9">
      <c r="A9" s="6" t="s">
        <v>3126</v>
      </c>
      <c r="B9" s="6" t="s">
        <v>3123</v>
      </c>
      <c r="C9" s="6" t="s">
        <v>3124</v>
      </c>
      <c r="D9" s="53" t="s">
        <v>3124</v>
      </c>
      <c r="E9" s="6" t="s">
        <v>5247</v>
      </c>
      <c r="F9" s="6" t="s">
        <v>5248</v>
      </c>
      <c r="G9" s="6">
        <v>122.0</v>
      </c>
      <c r="H9" s="6">
        <v>140.0</v>
      </c>
      <c r="I9" s="8">
        <v>1999.0</v>
      </c>
      <c r="J9" s="8">
        <v>2099.0</v>
      </c>
      <c r="K9" s="8">
        <v>2489.0</v>
      </c>
    </row>
    <row r="10">
      <c r="A10" s="6" t="s">
        <v>2399</v>
      </c>
      <c r="B10" s="6" t="s">
        <v>2397</v>
      </c>
      <c r="C10" s="6" t="s">
        <v>2398</v>
      </c>
      <c r="D10" s="53" t="s">
        <v>2398</v>
      </c>
      <c r="E10" s="6" t="s">
        <v>5247</v>
      </c>
      <c r="F10" s="6" t="s">
        <v>5248</v>
      </c>
      <c r="G10" s="6">
        <v>938.0</v>
      </c>
      <c r="H10" s="6" t="e">
        <v>#N/A</v>
      </c>
      <c r="I10" s="8">
        <v>1799.0</v>
      </c>
      <c r="J10" s="8">
        <v>1899.0</v>
      </c>
      <c r="K10" s="8">
        <v>2199.0</v>
      </c>
    </row>
    <row r="11">
      <c r="A11" s="6" t="s">
        <v>4759</v>
      </c>
      <c r="B11" s="6" t="s">
        <v>93</v>
      </c>
      <c r="C11" s="6" t="s">
        <v>94</v>
      </c>
      <c r="D11" s="53" t="s">
        <v>94</v>
      </c>
      <c r="E11" s="6" t="s">
        <v>5122</v>
      </c>
      <c r="F11" s="6" t="s">
        <v>5248</v>
      </c>
      <c r="G11" s="6">
        <v>1.0</v>
      </c>
      <c r="H11" s="6">
        <v>0.0</v>
      </c>
      <c r="I11" s="8">
        <v>10259.24</v>
      </c>
      <c r="J11" s="8">
        <v>11699.0</v>
      </c>
      <c r="K11" s="8">
        <v>13499.0</v>
      </c>
    </row>
    <row r="12">
      <c r="A12" s="6" t="s">
        <v>2434</v>
      </c>
      <c r="B12" s="6" t="s">
        <v>2431</v>
      </c>
      <c r="C12" s="6" t="s">
        <v>2432</v>
      </c>
      <c r="D12" s="53" t="s">
        <v>2432</v>
      </c>
      <c r="E12" s="6" t="s">
        <v>5247</v>
      </c>
      <c r="F12" s="6" t="s">
        <v>5248</v>
      </c>
      <c r="G12" s="6">
        <v>66.0</v>
      </c>
      <c r="H12" s="6" t="e">
        <v>#N/A</v>
      </c>
      <c r="I12" s="8">
        <v>3499.0</v>
      </c>
      <c r="J12" s="8">
        <v>3499.0</v>
      </c>
      <c r="K12" s="8">
        <v>3699.0</v>
      </c>
    </row>
    <row r="13">
      <c r="A13" s="6" t="s">
        <v>2426</v>
      </c>
      <c r="B13" s="6" t="s">
        <v>2424</v>
      </c>
      <c r="C13" s="6" t="s">
        <v>2425</v>
      </c>
      <c r="D13" s="53" t="s">
        <v>2425</v>
      </c>
      <c r="E13" s="6" t="s">
        <v>5247</v>
      </c>
      <c r="F13" s="6" t="s">
        <v>5248</v>
      </c>
      <c r="G13" s="6">
        <v>142.0</v>
      </c>
      <c r="H13" s="6">
        <v>703.0</v>
      </c>
      <c r="I13" s="8">
        <v>1799.0</v>
      </c>
      <c r="J13" s="8">
        <v>1899.0</v>
      </c>
      <c r="K13" s="8">
        <v>1999.0</v>
      </c>
    </row>
    <row r="14">
      <c r="A14" s="6" t="s">
        <v>1018</v>
      </c>
      <c r="B14" s="6" t="s">
        <v>1016</v>
      </c>
      <c r="C14" s="6" t="s">
        <v>1017</v>
      </c>
      <c r="D14" s="53" t="s">
        <v>1017</v>
      </c>
      <c r="E14" s="6" t="s">
        <v>5247</v>
      </c>
      <c r="F14" s="6" t="s">
        <v>5248</v>
      </c>
      <c r="G14" s="6">
        <v>11.0</v>
      </c>
      <c r="H14" s="6">
        <v>46.0</v>
      </c>
      <c r="I14" s="8">
        <v>15999.2</v>
      </c>
      <c r="J14" s="8">
        <v>17999.0</v>
      </c>
      <c r="K14" s="8">
        <v>19999.0</v>
      </c>
    </row>
    <row r="15">
      <c r="A15" s="6" t="s">
        <v>889</v>
      </c>
      <c r="B15" s="6" t="s">
        <v>887</v>
      </c>
      <c r="C15" s="6" t="s">
        <v>888</v>
      </c>
      <c r="D15" s="53" t="s">
        <v>888</v>
      </c>
      <c r="E15" s="6" t="s">
        <v>5247</v>
      </c>
      <c r="F15" s="6" t="s">
        <v>5248</v>
      </c>
      <c r="G15" s="6">
        <v>25.0</v>
      </c>
      <c r="H15" s="6">
        <v>14.0</v>
      </c>
      <c r="I15" s="8">
        <v>11119.2</v>
      </c>
      <c r="J15" s="8">
        <v>12499.0</v>
      </c>
      <c r="K15" s="8">
        <v>13899.0</v>
      </c>
    </row>
    <row r="16">
      <c r="A16" s="6" t="s">
        <v>812</v>
      </c>
      <c r="B16" s="6" t="s">
        <v>810</v>
      </c>
      <c r="C16" s="6" t="s">
        <v>811</v>
      </c>
      <c r="D16" s="53" t="s">
        <v>811</v>
      </c>
      <c r="E16" s="6" t="s">
        <v>5247</v>
      </c>
      <c r="F16" s="6" t="s">
        <v>5248</v>
      </c>
      <c r="G16" s="6">
        <v>15.0</v>
      </c>
      <c r="H16" s="6">
        <v>43.0</v>
      </c>
      <c r="I16" s="8">
        <v>9119.2</v>
      </c>
      <c r="J16" s="8">
        <v>10299.0</v>
      </c>
      <c r="K16" s="8">
        <v>11399.0</v>
      </c>
    </row>
    <row r="17">
      <c r="A17" s="6" t="s">
        <v>1072</v>
      </c>
      <c r="B17" s="6" t="s">
        <v>1070</v>
      </c>
      <c r="C17" s="6" t="s">
        <v>1071</v>
      </c>
      <c r="D17" s="53" t="s">
        <v>1071</v>
      </c>
      <c r="E17" s="6" t="s">
        <v>5247</v>
      </c>
      <c r="F17" s="6" t="s">
        <v>5248</v>
      </c>
      <c r="G17" s="6">
        <v>107.0</v>
      </c>
      <c r="H17" s="6">
        <v>228.0</v>
      </c>
      <c r="I17" s="8">
        <v>19039.2</v>
      </c>
      <c r="J17" s="8">
        <v>21399.0</v>
      </c>
      <c r="K17" s="8">
        <v>23799.0</v>
      </c>
    </row>
    <row r="18">
      <c r="A18" s="6" t="s">
        <v>838</v>
      </c>
      <c r="B18" s="6" t="s">
        <v>836</v>
      </c>
      <c r="C18" s="6" t="s">
        <v>837</v>
      </c>
      <c r="D18" s="53" t="s">
        <v>837</v>
      </c>
      <c r="E18" s="6" t="s">
        <v>5247</v>
      </c>
      <c r="F18" s="6" t="s">
        <v>5248</v>
      </c>
      <c r="G18" s="6">
        <v>13.0</v>
      </c>
      <c r="H18" s="6">
        <v>21.0</v>
      </c>
      <c r="I18" s="8">
        <v>10319.2</v>
      </c>
      <c r="J18" s="8">
        <v>11599.0</v>
      </c>
      <c r="K18" s="8">
        <v>12899.0</v>
      </c>
    </row>
    <row r="19">
      <c r="A19" s="6" t="s">
        <v>901</v>
      </c>
      <c r="B19" s="6" t="s">
        <v>899</v>
      </c>
      <c r="C19" s="6" t="s">
        <v>900</v>
      </c>
      <c r="D19" s="53" t="s">
        <v>900</v>
      </c>
      <c r="E19" s="6" t="s">
        <v>5122</v>
      </c>
      <c r="F19" s="6" t="s">
        <v>5248</v>
      </c>
      <c r="G19" s="6">
        <v>2.0</v>
      </c>
      <c r="H19" s="6">
        <v>2.0</v>
      </c>
      <c r="I19" s="8">
        <v>11759.2</v>
      </c>
      <c r="J19" s="8">
        <v>13199.0</v>
      </c>
      <c r="K19" s="8">
        <v>14699.0</v>
      </c>
    </row>
    <row r="20">
      <c r="A20" s="6" t="s">
        <v>919</v>
      </c>
      <c r="B20" s="6" t="s">
        <v>917</v>
      </c>
      <c r="C20" s="6" t="s">
        <v>918</v>
      </c>
      <c r="D20" s="53" t="s">
        <v>918</v>
      </c>
      <c r="E20" s="6" t="s">
        <v>5247</v>
      </c>
      <c r="F20" s="6" t="s">
        <v>5248</v>
      </c>
      <c r="G20" s="6">
        <v>35.0</v>
      </c>
      <c r="H20" s="6">
        <v>115.0</v>
      </c>
      <c r="I20" s="8">
        <v>13839.2</v>
      </c>
      <c r="J20" s="8">
        <v>15599.0</v>
      </c>
      <c r="K20" s="8">
        <v>17299.0</v>
      </c>
    </row>
    <row r="21">
      <c r="A21" s="6" t="s">
        <v>1634</v>
      </c>
      <c r="B21" s="6" t="s">
        <v>1632</v>
      </c>
      <c r="C21" s="6" t="s">
        <v>1633</v>
      </c>
      <c r="D21" s="53" t="s">
        <v>1633</v>
      </c>
      <c r="E21" s="6" t="s">
        <v>5247</v>
      </c>
      <c r="F21" s="6" t="s">
        <v>5248</v>
      </c>
      <c r="G21" s="6">
        <v>6.0</v>
      </c>
      <c r="H21" s="6">
        <v>26.0</v>
      </c>
      <c r="I21" s="8">
        <v>20019.23</v>
      </c>
      <c r="J21" s="8">
        <v>24699.0</v>
      </c>
      <c r="K21" s="8">
        <v>25999.0</v>
      </c>
    </row>
    <row r="22">
      <c r="A22" s="6" t="s">
        <v>1597</v>
      </c>
      <c r="B22" s="6" t="s">
        <v>1595</v>
      </c>
      <c r="C22" s="6" t="s">
        <v>1596</v>
      </c>
      <c r="D22" s="53" t="s">
        <v>1596</v>
      </c>
      <c r="E22" s="6" t="s">
        <v>5247</v>
      </c>
      <c r="F22" s="6" t="s">
        <v>5248</v>
      </c>
      <c r="G22" s="6">
        <v>3.0</v>
      </c>
      <c r="H22" s="6">
        <v>34.0</v>
      </c>
      <c r="I22" s="8">
        <v>20019.23</v>
      </c>
      <c r="J22" s="8">
        <v>24699.0</v>
      </c>
      <c r="K22" s="8">
        <v>25999.0</v>
      </c>
    </row>
    <row r="23">
      <c r="A23" s="6" t="s">
        <v>927</v>
      </c>
      <c r="B23" s="6" t="s">
        <v>925</v>
      </c>
      <c r="C23" s="6" t="s">
        <v>926</v>
      </c>
      <c r="D23" s="53" t="s">
        <v>926</v>
      </c>
      <c r="E23" s="6" t="s">
        <v>5247</v>
      </c>
      <c r="F23" s="6" t="s">
        <v>5248</v>
      </c>
      <c r="G23" s="6">
        <v>54.0</v>
      </c>
      <c r="H23" s="6">
        <v>64.0</v>
      </c>
      <c r="I23" s="8">
        <v>14239.2</v>
      </c>
      <c r="J23" s="8">
        <v>15999.0</v>
      </c>
      <c r="K23" s="8">
        <v>17799.0</v>
      </c>
    </row>
    <row r="24">
      <c r="A24" s="6" t="s">
        <v>274</v>
      </c>
      <c r="B24" s="6" t="s">
        <v>272</v>
      </c>
      <c r="C24" s="6" t="s">
        <v>273</v>
      </c>
      <c r="D24" s="53" t="s">
        <v>273</v>
      </c>
      <c r="E24" s="6" t="s">
        <v>5247</v>
      </c>
      <c r="F24" s="6" t="s">
        <v>5248</v>
      </c>
      <c r="G24" s="6">
        <v>1.0</v>
      </c>
      <c r="H24" s="6">
        <v>7.0</v>
      </c>
      <c r="I24" s="8">
        <v>12919.24</v>
      </c>
      <c r="J24" s="8">
        <v>14799.0</v>
      </c>
      <c r="K24" s="8">
        <v>16999.0</v>
      </c>
    </row>
    <row r="25">
      <c r="A25" s="6" t="s">
        <v>1989</v>
      </c>
      <c r="B25" s="6" t="s">
        <v>1987</v>
      </c>
      <c r="C25" s="6" t="s">
        <v>1988</v>
      </c>
      <c r="D25" s="53" t="s">
        <v>1988</v>
      </c>
      <c r="E25" s="6" t="s">
        <v>5247</v>
      </c>
      <c r="F25" s="6" t="s">
        <v>5248</v>
      </c>
      <c r="G25" s="6">
        <v>18.0</v>
      </c>
      <c r="H25" s="6">
        <v>24.0</v>
      </c>
      <c r="I25" s="8">
        <v>4549.3</v>
      </c>
      <c r="J25" s="8">
        <v>5499.0</v>
      </c>
      <c r="K25" s="8">
        <v>6499.0</v>
      </c>
    </row>
    <row r="26">
      <c r="A26" s="6" t="s">
        <v>2002</v>
      </c>
      <c r="B26" s="6" t="s">
        <v>2000</v>
      </c>
      <c r="C26" s="6" t="s">
        <v>2001</v>
      </c>
      <c r="D26" s="53" t="s">
        <v>2001</v>
      </c>
      <c r="E26" s="6" t="s">
        <v>5247</v>
      </c>
      <c r="F26" s="6" t="s">
        <v>5248</v>
      </c>
      <c r="G26" s="6">
        <v>12.0</v>
      </c>
      <c r="H26" s="6">
        <v>42.0</v>
      </c>
      <c r="I26" s="8">
        <v>4899.3</v>
      </c>
      <c r="J26" s="8">
        <v>5999.0</v>
      </c>
      <c r="K26" s="8">
        <v>6999.0</v>
      </c>
    </row>
    <row r="27">
      <c r="A27" s="6" t="s">
        <v>3439</v>
      </c>
      <c r="B27" s="6" t="s">
        <v>3436</v>
      </c>
      <c r="C27" s="6" t="s">
        <v>3437</v>
      </c>
      <c r="D27" s="53" t="s">
        <v>3437</v>
      </c>
      <c r="E27" s="6" t="s">
        <v>5247</v>
      </c>
      <c r="F27" s="6" t="s">
        <v>5248</v>
      </c>
      <c r="G27" s="6">
        <v>11.0</v>
      </c>
      <c r="H27" s="6">
        <v>97.0</v>
      </c>
      <c r="I27" s="8">
        <v>616.55</v>
      </c>
      <c r="J27" s="8">
        <v>649.0</v>
      </c>
      <c r="K27" s="8">
        <v>649.0</v>
      </c>
    </row>
    <row r="28">
      <c r="A28" s="6" t="s">
        <v>3457</v>
      </c>
      <c r="B28" s="6" t="s">
        <v>3455</v>
      </c>
      <c r="C28" s="6" t="s">
        <v>3456</v>
      </c>
      <c r="D28" s="53" t="s">
        <v>3456</v>
      </c>
      <c r="E28" s="6" t="s">
        <v>5122</v>
      </c>
      <c r="F28" s="6" t="s">
        <v>5248</v>
      </c>
      <c r="G28" s="6">
        <v>12.0</v>
      </c>
      <c r="H28" s="6">
        <v>117.0</v>
      </c>
      <c r="I28" s="8">
        <v>521.55</v>
      </c>
      <c r="J28" s="8">
        <v>549.0</v>
      </c>
      <c r="K28" s="8">
        <v>549.0</v>
      </c>
    </row>
    <row r="29">
      <c r="A29" s="6" t="s">
        <v>3475</v>
      </c>
      <c r="B29" s="6" t="s">
        <v>3472</v>
      </c>
      <c r="C29" s="6" t="s">
        <v>3473</v>
      </c>
      <c r="D29" s="53" t="s">
        <v>3473</v>
      </c>
      <c r="E29" s="6" t="s">
        <v>5247</v>
      </c>
      <c r="F29" s="6" t="s">
        <v>5248</v>
      </c>
      <c r="G29" s="6">
        <v>19.0</v>
      </c>
      <c r="H29" s="6">
        <v>87.0</v>
      </c>
      <c r="I29" s="8">
        <v>474.05</v>
      </c>
      <c r="J29" s="8">
        <v>499.0</v>
      </c>
      <c r="K29" s="8">
        <v>499.0</v>
      </c>
    </row>
    <row r="30">
      <c r="A30" s="6" t="s">
        <v>1861</v>
      </c>
      <c r="B30" s="6" t="s">
        <v>1859</v>
      </c>
      <c r="C30" s="6" t="s">
        <v>1860</v>
      </c>
      <c r="D30" s="53" t="s">
        <v>1860</v>
      </c>
      <c r="E30" s="6" t="s">
        <v>5247</v>
      </c>
      <c r="F30" s="6" t="s">
        <v>5248</v>
      </c>
      <c r="G30" s="6">
        <v>5.0</v>
      </c>
      <c r="H30" s="6">
        <v>25.0</v>
      </c>
      <c r="I30" s="8">
        <v>29399.16</v>
      </c>
      <c r="J30" s="8">
        <v>33199.0</v>
      </c>
      <c r="K30" s="8">
        <v>34999.0</v>
      </c>
    </row>
    <row r="31">
      <c r="A31" s="6" t="s">
        <v>1453</v>
      </c>
      <c r="B31" s="6" t="s">
        <v>1450</v>
      </c>
      <c r="C31" s="6" t="s">
        <v>1451</v>
      </c>
      <c r="D31" s="53" t="s">
        <v>1451</v>
      </c>
      <c r="E31" s="6" t="s">
        <v>5247</v>
      </c>
      <c r="F31" s="6" t="s">
        <v>5248</v>
      </c>
      <c r="G31" s="6">
        <v>12.0</v>
      </c>
      <c r="H31" s="6">
        <v>47.0</v>
      </c>
      <c r="I31" s="8">
        <v>2399.2</v>
      </c>
      <c r="J31" s="8">
        <v>2449.0</v>
      </c>
      <c r="K31" s="8">
        <v>2999.0</v>
      </c>
    </row>
    <row r="32">
      <c r="A32" s="6" t="s">
        <v>1434</v>
      </c>
      <c r="B32" s="6" t="s">
        <v>1431</v>
      </c>
      <c r="C32" s="6" t="s">
        <v>1432</v>
      </c>
      <c r="D32" s="53" t="s">
        <v>1432</v>
      </c>
      <c r="E32" s="6" t="s">
        <v>5247</v>
      </c>
      <c r="F32" s="6" t="s">
        <v>5248</v>
      </c>
      <c r="G32" s="6">
        <v>5.0</v>
      </c>
      <c r="H32" s="6">
        <v>94.0</v>
      </c>
      <c r="I32" s="8">
        <v>2399.2</v>
      </c>
      <c r="J32" s="8">
        <v>2449.0</v>
      </c>
      <c r="K32" s="8">
        <v>2999.0</v>
      </c>
    </row>
    <row r="33">
      <c r="A33" s="6" t="s">
        <v>3508</v>
      </c>
      <c r="B33" s="6" t="s">
        <v>3506</v>
      </c>
      <c r="C33" s="6" t="s">
        <v>3507</v>
      </c>
      <c r="D33" s="53" t="s">
        <v>3507</v>
      </c>
      <c r="E33" s="6" t="s">
        <v>5247</v>
      </c>
      <c r="F33" s="6" t="s">
        <v>5248</v>
      </c>
      <c r="G33" s="6">
        <v>18.0</v>
      </c>
      <c r="H33" s="6">
        <v>93.0</v>
      </c>
      <c r="I33" s="8">
        <v>764.15</v>
      </c>
      <c r="J33" s="8">
        <v>809.0</v>
      </c>
      <c r="K33" s="8">
        <v>899.0</v>
      </c>
    </row>
    <row r="34">
      <c r="A34" s="6" t="s">
        <v>3646</v>
      </c>
      <c r="B34" s="6" t="s">
        <v>3644</v>
      </c>
      <c r="C34" s="6" t="s">
        <v>3645</v>
      </c>
      <c r="D34" s="53" t="s">
        <v>3645</v>
      </c>
      <c r="E34" s="6" t="s">
        <v>5247</v>
      </c>
      <c r="F34" s="6" t="s">
        <v>5248</v>
      </c>
      <c r="G34" s="6">
        <v>23.0</v>
      </c>
      <c r="H34" s="6">
        <v>65.0</v>
      </c>
      <c r="I34" s="8">
        <v>849.15</v>
      </c>
      <c r="J34" s="8">
        <v>899.0</v>
      </c>
      <c r="K34" s="8">
        <v>999.0</v>
      </c>
    </row>
    <row r="35">
      <c r="A35" s="6" t="s">
        <v>3533</v>
      </c>
      <c r="B35" s="6" t="s">
        <v>3530</v>
      </c>
      <c r="C35" s="6" t="s">
        <v>3531</v>
      </c>
      <c r="D35" s="53" t="s">
        <v>3531</v>
      </c>
      <c r="E35" s="6" t="s">
        <v>5247</v>
      </c>
      <c r="F35" s="6" t="s">
        <v>5248</v>
      </c>
      <c r="G35" s="6">
        <v>14.0</v>
      </c>
      <c r="H35" s="6">
        <v>76.0</v>
      </c>
      <c r="I35" s="8">
        <v>679.15</v>
      </c>
      <c r="J35" s="8">
        <v>719.0</v>
      </c>
      <c r="K35" s="8">
        <v>799.0</v>
      </c>
    </row>
    <row r="36">
      <c r="A36" s="6" t="s">
        <v>4198</v>
      </c>
      <c r="B36" s="6" t="s">
        <v>4196</v>
      </c>
      <c r="C36" s="6" t="s">
        <v>4197</v>
      </c>
      <c r="D36" s="53" t="s">
        <v>4197</v>
      </c>
      <c r="E36" s="6" t="s">
        <v>5247</v>
      </c>
      <c r="F36" s="6" t="s">
        <v>5248</v>
      </c>
      <c r="G36" s="6">
        <v>11.0</v>
      </c>
      <c r="H36" s="6">
        <v>7.0</v>
      </c>
      <c r="I36" s="8">
        <v>15377.34</v>
      </c>
      <c r="J36" s="8">
        <v>16799.0</v>
      </c>
      <c r="K36" s="8">
        <v>17499.0</v>
      </c>
    </row>
    <row r="37">
      <c r="A37" s="6" t="s">
        <v>3993</v>
      </c>
      <c r="B37" s="6" t="s">
        <v>3990</v>
      </c>
      <c r="C37" s="6" t="s">
        <v>3991</v>
      </c>
      <c r="D37" s="53" t="s">
        <v>3991</v>
      </c>
      <c r="E37" s="6" t="s">
        <v>5247</v>
      </c>
      <c r="F37" s="6" t="s">
        <v>5248</v>
      </c>
      <c r="G37" s="6">
        <v>7.0</v>
      </c>
      <c r="H37" s="6">
        <v>9.0</v>
      </c>
      <c r="I37" s="8">
        <v>9965.34</v>
      </c>
      <c r="J37" s="8">
        <v>10899.0</v>
      </c>
      <c r="K37" s="8">
        <v>11299.0</v>
      </c>
    </row>
    <row r="38">
      <c r="A38" s="6" t="s">
        <v>4811</v>
      </c>
      <c r="B38" s="6" t="s">
        <v>4368</v>
      </c>
      <c r="C38" s="6" t="s">
        <v>4369</v>
      </c>
      <c r="D38" s="53" t="s">
        <v>4369</v>
      </c>
      <c r="E38" s="6" t="s">
        <v>5122</v>
      </c>
      <c r="F38" s="6" t="s">
        <v>5248</v>
      </c>
      <c r="G38" s="6">
        <v>5.0</v>
      </c>
      <c r="H38" s="6">
        <v>1.0</v>
      </c>
      <c r="I38" s="8">
        <v>3569.15</v>
      </c>
      <c r="J38" s="8">
        <v>3999.0</v>
      </c>
      <c r="K38" s="8">
        <v>4199.0</v>
      </c>
    </row>
    <row r="39">
      <c r="A39" s="6" t="s">
        <v>2184</v>
      </c>
      <c r="B39" s="54" t="s">
        <v>5250</v>
      </c>
      <c r="C39" s="6" t="s">
        <v>2183</v>
      </c>
      <c r="D39" s="6" t="s">
        <v>2183</v>
      </c>
      <c r="E39" s="6" t="s">
        <v>5247</v>
      </c>
      <c r="F39" s="6" t="s">
        <v>5248</v>
      </c>
      <c r="G39" s="6" t="e">
        <v>#N/A</v>
      </c>
      <c r="H39" s="6">
        <v>244.0</v>
      </c>
      <c r="I39" s="8">
        <v>1949.0</v>
      </c>
      <c r="J39" s="8">
        <v>2199.0</v>
      </c>
      <c r="K39" s="8">
        <v>2999.0</v>
      </c>
    </row>
    <row r="40">
      <c r="A40" s="6" t="s">
        <v>2254</v>
      </c>
      <c r="B40" s="6" t="s">
        <v>2252</v>
      </c>
      <c r="C40" s="6" t="s">
        <v>2253</v>
      </c>
      <c r="D40" s="53" t="s">
        <v>2253</v>
      </c>
      <c r="E40" s="6" t="s">
        <v>5122</v>
      </c>
      <c r="F40" s="6" t="s">
        <v>5248</v>
      </c>
      <c r="G40" s="6">
        <v>4.0</v>
      </c>
      <c r="H40" s="6">
        <v>26.0</v>
      </c>
      <c r="I40" s="8">
        <v>800.1</v>
      </c>
      <c r="J40" s="8">
        <v>845.0</v>
      </c>
      <c r="K40" s="8">
        <v>889.0</v>
      </c>
    </row>
    <row r="41">
      <c r="A41" s="6" t="s">
        <v>343</v>
      </c>
      <c r="B41" s="6" t="s">
        <v>341</v>
      </c>
      <c r="C41" s="6" t="s">
        <v>342</v>
      </c>
      <c r="D41" s="6" t="s">
        <v>342</v>
      </c>
      <c r="E41" s="6" t="s">
        <v>5247</v>
      </c>
      <c r="F41" s="6" t="s">
        <v>5248</v>
      </c>
      <c r="G41" s="6">
        <v>49.0</v>
      </c>
      <c r="H41" s="6">
        <v>69.0</v>
      </c>
      <c r="I41" s="8">
        <v>12159.24</v>
      </c>
      <c r="J41" s="8">
        <v>13899.0</v>
      </c>
      <c r="K41" s="8">
        <v>15999.0</v>
      </c>
    </row>
    <row r="42">
      <c r="A42" s="6" t="s">
        <v>5251</v>
      </c>
      <c r="B42" s="6" t="s">
        <v>4932</v>
      </c>
      <c r="C42" s="6" t="s">
        <v>4933</v>
      </c>
      <c r="D42" s="6" t="s">
        <v>4933</v>
      </c>
      <c r="E42" s="6" t="s">
        <v>5122</v>
      </c>
      <c r="F42" s="6" t="s">
        <v>5248</v>
      </c>
      <c r="G42" s="6" t="e">
        <v>#N/A</v>
      </c>
      <c r="H42" s="6">
        <v>0.0</v>
      </c>
      <c r="I42" s="8">
        <v>9119.24</v>
      </c>
      <c r="J42" s="8">
        <v>10399.0</v>
      </c>
      <c r="K42" s="8">
        <v>11999.0</v>
      </c>
    </row>
    <row r="43">
      <c r="A43" s="6" t="s">
        <v>222</v>
      </c>
      <c r="B43" s="6" t="s">
        <v>220</v>
      </c>
      <c r="C43" s="6" t="s">
        <v>221</v>
      </c>
      <c r="D43" s="6" t="s">
        <v>221</v>
      </c>
      <c r="E43" s="6" t="s">
        <v>5247</v>
      </c>
      <c r="F43" s="6" t="s">
        <v>5248</v>
      </c>
      <c r="G43" s="6">
        <v>9.0</v>
      </c>
      <c r="H43" s="6">
        <v>23.0</v>
      </c>
      <c r="I43" s="8">
        <v>10183.24</v>
      </c>
      <c r="J43" s="8">
        <v>11699.0</v>
      </c>
      <c r="K43" s="8">
        <v>13399.0</v>
      </c>
    </row>
    <row r="44">
      <c r="A44" s="6" t="s">
        <v>350</v>
      </c>
      <c r="B44" s="6" t="s">
        <v>348</v>
      </c>
      <c r="C44" s="6" t="s">
        <v>349</v>
      </c>
      <c r="D44" s="6" t="s">
        <v>349</v>
      </c>
      <c r="E44" s="6" t="s">
        <v>5247</v>
      </c>
      <c r="F44" s="6" t="s">
        <v>5248</v>
      </c>
      <c r="G44" s="6">
        <v>88.0</v>
      </c>
      <c r="H44" s="6">
        <v>117.0</v>
      </c>
      <c r="I44" s="8">
        <v>12311.24</v>
      </c>
      <c r="J44" s="8">
        <v>14099.0</v>
      </c>
      <c r="K44" s="8">
        <v>16199.0</v>
      </c>
    </row>
    <row r="45">
      <c r="A45" s="6" t="s">
        <v>369</v>
      </c>
      <c r="B45" s="6" t="s">
        <v>367</v>
      </c>
      <c r="C45" s="6" t="s">
        <v>368</v>
      </c>
      <c r="D45" s="6" t="s">
        <v>368</v>
      </c>
      <c r="E45" s="6" t="s">
        <v>5122</v>
      </c>
      <c r="F45" s="6" t="s">
        <v>5248</v>
      </c>
      <c r="G45" s="6">
        <v>1.0</v>
      </c>
      <c r="H45" s="6">
        <v>0.0</v>
      </c>
      <c r="I45" s="8">
        <v>13831.24</v>
      </c>
      <c r="J45" s="8">
        <v>15799.0</v>
      </c>
      <c r="K45" s="8">
        <v>18199.0</v>
      </c>
    </row>
    <row r="46">
      <c r="A46" s="6" t="s">
        <v>598</v>
      </c>
      <c r="B46" s="6" t="s">
        <v>596</v>
      </c>
      <c r="C46" s="6" t="s">
        <v>597</v>
      </c>
      <c r="D46" s="6" t="s">
        <v>597</v>
      </c>
      <c r="E46" s="6" t="s">
        <v>5247</v>
      </c>
      <c r="F46" s="6" t="s">
        <v>5248</v>
      </c>
      <c r="G46" s="6">
        <v>129.0</v>
      </c>
      <c r="H46" s="6">
        <v>103.0</v>
      </c>
      <c r="I46" s="8">
        <v>13983.24</v>
      </c>
      <c r="J46" s="8">
        <v>15999.0</v>
      </c>
      <c r="K46" s="8">
        <v>18399.0</v>
      </c>
    </row>
    <row r="47">
      <c r="A47" s="6" t="s">
        <v>39</v>
      </c>
      <c r="B47" s="6" t="s">
        <v>37</v>
      </c>
      <c r="C47" s="6" t="s">
        <v>38</v>
      </c>
      <c r="D47" s="6" t="s">
        <v>38</v>
      </c>
      <c r="E47" s="6" t="s">
        <v>5247</v>
      </c>
      <c r="F47" s="6" t="s">
        <v>5248</v>
      </c>
      <c r="G47" s="6">
        <v>17.0</v>
      </c>
      <c r="H47" s="6">
        <v>30.0</v>
      </c>
      <c r="I47" s="8">
        <v>8359.24</v>
      </c>
      <c r="J47" s="8">
        <v>9599.0</v>
      </c>
      <c r="K47" s="8">
        <v>10999.0</v>
      </c>
    </row>
    <row r="48">
      <c r="A48" s="6" t="s">
        <v>215</v>
      </c>
      <c r="B48" s="6" t="s">
        <v>213</v>
      </c>
      <c r="C48" s="6" t="s">
        <v>214</v>
      </c>
      <c r="D48" s="6" t="s">
        <v>214</v>
      </c>
      <c r="E48" s="6" t="s">
        <v>5247</v>
      </c>
      <c r="F48" s="6" t="s">
        <v>5248</v>
      </c>
      <c r="G48" s="6">
        <v>15.0</v>
      </c>
      <c r="H48" s="6">
        <v>31.0</v>
      </c>
      <c r="I48" s="8">
        <v>9879.24</v>
      </c>
      <c r="J48" s="8">
        <v>11299.0</v>
      </c>
      <c r="K48" s="8">
        <v>12999.0</v>
      </c>
    </row>
    <row r="49">
      <c r="A49" s="6" t="s">
        <v>32</v>
      </c>
      <c r="B49" s="6" t="s">
        <v>30</v>
      </c>
      <c r="C49" s="6" t="s">
        <v>31</v>
      </c>
      <c r="D49" s="6" t="s">
        <v>31</v>
      </c>
      <c r="E49" s="6" t="s">
        <v>5247</v>
      </c>
      <c r="F49" s="6" t="s">
        <v>5248</v>
      </c>
      <c r="G49" s="6">
        <v>5.0</v>
      </c>
      <c r="H49" s="6">
        <v>29.0</v>
      </c>
      <c r="I49" s="8">
        <v>8055.24</v>
      </c>
      <c r="J49" s="8">
        <v>9199.0</v>
      </c>
      <c r="K49" s="8">
        <v>10599.0</v>
      </c>
    </row>
    <row r="50">
      <c r="A50" s="6" t="s">
        <v>208</v>
      </c>
      <c r="B50" s="6" t="s">
        <v>206</v>
      </c>
      <c r="C50" s="6" t="s">
        <v>207</v>
      </c>
      <c r="D50" s="6" t="s">
        <v>207</v>
      </c>
      <c r="E50" s="6" t="s">
        <v>5247</v>
      </c>
      <c r="F50" s="6" t="s">
        <v>5248</v>
      </c>
      <c r="G50" s="6">
        <v>45.0</v>
      </c>
      <c r="H50" s="6">
        <v>83.0</v>
      </c>
      <c r="I50" s="8">
        <v>9727.24</v>
      </c>
      <c r="J50" s="8">
        <v>11099.0</v>
      </c>
      <c r="K50" s="8">
        <v>12799.0</v>
      </c>
    </row>
    <row r="51">
      <c r="A51" s="6" t="s">
        <v>357</v>
      </c>
      <c r="B51" s="6" t="s">
        <v>355</v>
      </c>
      <c r="C51" s="6" t="s">
        <v>356</v>
      </c>
      <c r="D51" s="6" t="s">
        <v>356</v>
      </c>
      <c r="E51" s="6" t="s">
        <v>5122</v>
      </c>
      <c r="F51" s="6" t="s">
        <v>5248</v>
      </c>
      <c r="G51" s="6">
        <v>1.0</v>
      </c>
      <c r="H51" s="6">
        <v>0.0</v>
      </c>
      <c r="I51" s="8">
        <v>13147.24</v>
      </c>
      <c r="J51" s="8">
        <v>15099.0</v>
      </c>
      <c r="K51" s="8">
        <v>17299.0</v>
      </c>
    </row>
    <row r="52">
      <c r="A52" s="6" t="s">
        <v>571</v>
      </c>
      <c r="B52" s="6" t="s">
        <v>569</v>
      </c>
      <c r="C52" s="6" t="s">
        <v>570</v>
      </c>
      <c r="D52" s="6" t="s">
        <v>570</v>
      </c>
      <c r="E52" s="6" t="s">
        <v>5247</v>
      </c>
      <c r="F52" s="6" t="s">
        <v>5248</v>
      </c>
      <c r="G52" s="6">
        <v>61.0</v>
      </c>
      <c r="H52" s="6">
        <v>82.0</v>
      </c>
      <c r="I52" s="8">
        <v>13679.24</v>
      </c>
      <c r="J52" s="8">
        <v>15699.0</v>
      </c>
      <c r="K52" s="8">
        <v>17999.0</v>
      </c>
    </row>
    <row r="53">
      <c r="A53" s="6" t="s">
        <v>5252</v>
      </c>
      <c r="B53" s="6" t="s">
        <v>4928</v>
      </c>
      <c r="C53" s="6" t="s">
        <v>4929</v>
      </c>
      <c r="D53" s="6" t="s">
        <v>4929</v>
      </c>
      <c r="E53" s="6" t="s">
        <v>5122</v>
      </c>
      <c r="F53" s="6" t="s">
        <v>5248</v>
      </c>
      <c r="G53" s="6" t="e">
        <v>#N/A</v>
      </c>
      <c r="H53" s="6" t="e">
        <v>#N/A</v>
      </c>
      <c r="I53" s="8">
        <v>9119.24</v>
      </c>
      <c r="J53" s="8">
        <v>10399.0</v>
      </c>
      <c r="K53" s="8">
        <v>11999.0</v>
      </c>
    </row>
    <row r="54">
      <c r="A54" s="6" t="s">
        <v>363</v>
      </c>
      <c r="B54" s="6" t="s">
        <v>361</v>
      </c>
      <c r="C54" s="6" t="s">
        <v>362</v>
      </c>
      <c r="D54" s="6" t="s">
        <v>362</v>
      </c>
      <c r="E54" s="6" t="s">
        <v>5122</v>
      </c>
      <c r="F54" s="6" t="s">
        <v>5248</v>
      </c>
      <c r="G54" s="6">
        <v>1.0</v>
      </c>
      <c r="H54" s="6">
        <v>1.0</v>
      </c>
      <c r="I54" s="8">
        <v>13451.24</v>
      </c>
      <c r="J54" s="8">
        <v>15399.0</v>
      </c>
      <c r="K54" s="8">
        <v>17699.0</v>
      </c>
    </row>
    <row r="55">
      <c r="A55" s="6" t="s">
        <v>25</v>
      </c>
      <c r="B55" s="6" t="s">
        <v>23</v>
      </c>
      <c r="C55" s="6" t="s">
        <v>24</v>
      </c>
      <c r="D55" s="6" t="s">
        <v>24</v>
      </c>
      <c r="E55" s="6" t="s">
        <v>5247</v>
      </c>
      <c r="F55" s="6" t="s">
        <v>5248</v>
      </c>
      <c r="G55" s="6">
        <v>41.0</v>
      </c>
      <c r="H55" s="6">
        <v>57.0</v>
      </c>
      <c r="I55" s="8">
        <v>7903.24</v>
      </c>
      <c r="J55" s="8">
        <v>8999.0</v>
      </c>
      <c r="K55" s="8">
        <v>10399.0</v>
      </c>
    </row>
    <row r="56">
      <c r="A56" s="6" t="s">
        <v>396</v>
      </c>
      <c r="B56" s="6" t="s">
        <v>394</v>
      </c>
      <c r="C56" s="6" t="s">
        <v>395</v>
      </c>
      <c r="D56" s="6" t="s">
        <v>395</v>
      </c>
      <c r="E56" s="6" t="s">
        <v>5247</v>
      </c>
      <c r="F56" s="6" t="s">
        <v>5248</v>
      </c>
      <c r="G56" s="6">
        <v>55.0</v>
      </c>
      <c r="H56" s="6">
        <v>94.0</v>
      </c>
      <c r="I56" s="8">
        <v>14059.24</v>
      </c>
      <c r="J56" s="8">
        <v>16099.0</v>
      </c>
      <c r="K56" s="8">
        <v>18499.0</v>
      </c>
    </row>
    <row r="57">
      <c r="A57" s="6" t="s">
        <v>622</v>
      </c>
      <c r="B57" s="6" t="s">
        <v>620</v>
      </c>
      <c r="C57" s="6" t="s">
        <v>621</v>
      </c>
      <c r="D57" s="6" t="s">
        <v>621</v>
      </c>
      <c r="E57" s="6" t="s">
        <v>5247</v>
      </c>
      <c r="F57" s="6" t="s">
        <v>5248</v>
      </c>
      <c r="G57" s="6">
        <v>43.0</v>
      </c>
      <c r="H57" s="6">
        <v>75.0</v>
      </c>
      <c r="I57" s="8">
        <v>15503.24</v>
      </c>
      <c r="J57" s="8">
        <v>17699.0</v>
      </c>
      <c r="K57" s="8">
        <v>20399.0</v>
      </c>
    </row>
    <row r="58">
      <c r="A58" s="6" t="s">
        <v>389</v>
      </c>
      <c r="B58" s="6" t="s">
        <v>387</v>
      </c>
      <c r="C58" s="6" t="s">
        <v>388</v>
      </c>
      <c r="D58" s="6" t="s">
        <v>388</v>
      </c>
      <c r="E58" s="6" t="s">
        <v>5247</v>
      </c>
      <c r="F58" s="6" t="s">
        <v>5248</v>
      </c>
      <c r="G58" s="6">
        <v>42.0</v>
      </c>
      <c r="H58" s="6">
        <v>97.0</v>
      </c>
      <c r="I58" s="8">
        <v>13679.24</v>
      </c>
      <c r="J58" s="8">
        <v>15699.0</v>
      </c>
      <c r="K58" s="8">
        <v>17999.0</v>
      </c>
    </row>
    <row r="59">
      <c r="A59" s="6" t="s">
        <v>634</v>
      </c>
      <c r="B59" s="6" t="s">
        <v>632</v>
      </c>
      <c r="C59" s="6" t="s">
        <v>633</v>
      </c>
      <c r="D59" s="6" t="s">
        <v>633</v>
      </c>
      <c r="E59" s="6" t="s">
        <v>5247</v>
      </c>
      <c r="F59" s="6" t="s">
        <v>5248</v>
      </c>
      <c r="G59" s="6">
        <v>25.0</v>
      </c>
      <c r="H59" s="6">
        <v>23.0</v>
      </c>
      <c r="I59" s="8">
        <v>15883.24</v>
      </c>
      <c r="J59" s="8">
        <v>18199.0</v>
      </c>
      <c r="K59" s="8">
        <v>20899.0</v>
      </c>
    </row>
    <row r="60">
      <c r="A60" s="6" t="s">
        <v>69</v>
      </c>
      <c r="B60" s="6" t="s">
        <v>67</v>
      </c>
      <c r="C60" s="6" t="s">
        <v>68</v>
      </c>
      <c r="D60" s="6" t="s">
        <v>68</v>
      </c>
      <c r="E60" s="6" t="s">
        <v>5122</v>
      </c>
      <c r="F60" s="6" t="s">
        <v>5248</v>
      </c>
      <c r="G60" s="6">
        <v>1.0</v>
      </c>
      <c r="H60" s="6">
        <v>0.0</v>
      </c>
      <c r="I60" s="8">
        <v>9119.24</v>
      </c>
      <c r="J60" s="8">
        <v>10399.0</v>
      </c>
      <c r="K60" s="8">
        <v>11999.0</v>
      </c>
    </row>
    <row r="61">
      <c r="A61" s="6" t="s">
        <v>241</v>
      </c>
      <c r="B61" s="6" t="s">
        <v>239</v>
      </c>
      <c r="C61" s="6" t="s">
        <v>240</v>
      </c>
      <c r="D61" s="6" t="s">
        <v>240</v>
      </c>
      <c r="E61" s="6" t="s">
        <v>5247</v>
      </c>
      <c r="F61" s="6" t="s">
        <v>5248</v>
      </c>
      <c r="G61" s="6">
        <v>7.0</v>
      </c>
      <c r="H61" s="6">
        <v>36.0</v>
      </c>
      <c r="I61" s="8">
        <v>11323.24</v>
      </c>
      <c r="J61" s="8">
        <v>12999.0</v>
      </c>
      <c r="K61" s="8">
        <v>14899.0</v>
      </c>
    </row>
    <row r="62">
      <c r="A62" s="6" t="s">
        <v>234</v>
      </c>
      <c r="B62" s="6" t="s">
        <v>232</v>
      </c>
      <c r="C62" s="6" t="s">
        <v>233</v>
      </c>
      <c r="D62" s="6" t="s">
        <v>233</v>
      </c>
      <c r="E62" s="6" t="s">
        <v>5247</v>
      </c>
      <c r="F62" s="6" t="s">
        <v>5248</v>
      </c>
      <c r="G62" s="6">
        <v>27.0</v>
      </c>
      <c r="H62" s="6">
        <v>64.0</v>
      </c>
      <c r="I62" s="8">
        <v>11019.24</v>
      </c>
      <c r="J62" s="8">
        <v>12599.0</v>
      </c>
      <c r="K62" s="8">
        <v>14499.0</v>
      </c>
    </row>
    <row r="63">
      <c r="A63" s="6" t="s">
        <v>248</v>
      </c>
      <c r="B63" s="6" t="s">
        <v>246</v>
      </c>
      <c r="C63" s="6" t="s">
        <v>247</v>
      </c>
      <c r="D63" s="6" t="s">
        <v>247</v>
      </c>
      <c r="E63" s="6" t="s">
        <v>5122</v>
      </c>
      <c r="F63" s="6" t="s">
        <v>5248</v>
      </c>
      <c r="G63" s="6">
        <v>2.0</v>
      </c>
      <c r="H63" s="6">
        <v>4.0</v>
      </c>
      <c r="I63" s="8">
        <v>11399.24</v>
      </c>
      <c r="J63" s="8">
        <v>12999.0</v>
      </c>
      <c r="K63" s="8">
        <v>14999.0</v>
      </c>
    </row>
    <row r="64">
      <c r="A64" s="6" t="s">
        <v>62</v>
      </c>
      <c r="B64" s="6" t="s">
        <v>60</v>
      </c>
      <c r="C64" s="6" t="s">
        <v>61</v>
      </c>
      <c r="D64" s="6" t="s">
        <v>61</v>
      </c>
      <c r="E64" s="6" t="s">
        <v>5247</v>
      </c>
      <c r="F64" s="6" t="s">
        <v>5248</v>
      </c>
      <c r="G64" s="6">
        <v>16.0</v>
      </c>
      <c r="H64" s="6">
        <v>35.0</v>
      </c>
      <c r="I64" s="8">
        <v>8815.24</v>
      </c>
      <c r="J64" s="8">
        <v>10099.0</v>
      </c>
      <c r="K64" s="8">
        <v>11599.0</v>
      </c>
    </row>
    <row r="65">
      <c r="A65" s="6" t="s">
        <v>76</v>
      </c>
      <c r="B65" s="6" t="s">
        <v>74</v>
      </c>
      <c r="C65" s="6" t="s">
        <v>75</v>
      </c>
      <c r="D65" s="6" t="s">
        <v>75</v>
      </c>
      <c r="E65" s="6" t="s">
        <v>5247</v>
      </c>
      <c r="F65" s="6" t="s">
        <v>5248</v>
      </c>
      <c r="G65" s="6">
        <v>1.0</v>
      </c>
      <c r="H65" s="6">
        <v>12.0</v>
      </c>
      <c r="I65" s="8">
        <v>9347.24</v>
      </c>
      <c r="J65" s="8">
        <v>10699.0</v>
      </c>
      <c r="K65" s="8">
        <v>12299.0</v>
      </c>
    </row>
    <row r="66">
      <c r="A66" s="6" t="s">
        <v>2205</v>
      </c>
      <c r="B66" s="6" t="s">
        <v>2203</v>
      </c>
      <c r="C66" s="6" t="s">
        <v>2204</v>
      </c>
      <c r="D66" s="6" t="s">
        <v>2204</v>
      </c>
      <c r="E66" s="6" t="s">
        <v>5247</v>
      </c>
      <c r="F66" s="6" t="s">
        <v>5248</v>
      </c>
      <c r="G66" s="6">
        <v>6.0</v>
      </c>
      <c r="H66" s="6">
        <v>70.0</v>
      </c>
      <c r="I66" s="8">
        <v>710.1</v>
      </c>
      <c r="J66" s="8">
        <v>750.0</v>
      </c>
      <c r="K66" s="8">
        <v>789.0</v>
      </c>
    </row>
    <row r="67">
      <c r="A67" s="6" t="s">
        <v>2289</v>
      </c>
      <c r="B67" s="6" t="s">
        <v>2286</v>
      </c>
      <c r="C67" s="6" t="s">
        <v>2287</v>
      </c>
      <c r="D67" s="6" t="s">
        <v>2287</v>
      </c>
      <c r="E67" s="6" t="s">
        <v>5247</v>
      </c>
      <c r="F67" s="6" t="s">
        <v>5248</v>
      </c>
      <c r="G67" s="6">
        <v>7.0</v>
      </c>
      <c r="H67" s="6">
        <v>50.0</v>
      </c>
      <c r="I67" s="8">
        <v>944.1</v>
      </c>
      <c r="J67" s="8">
        <v>999.0</v>
      </c>
      <c r="K67" s="8">
        <v>1049.0</v>
      </c>
    </row>
    <row r="68">
      <c r="A68" s="6" t="s">
        <v>2282</v>
      </c>
      <c r="B68" s="6" t="s">
        <v>2280</v>
      </c>
      <c r="C68" s="6" t="s">
        <v>2281</v>
      </c>
      <c r="D68" s="6" t="s">
        <v>2281</v>
      </c>
      <c r="E68" s="6" t="s">
        <v>5247</v>
      </c>
      <c r="F68" s="6" t="s">
        <v>5248</v>
      </c>
      <c r="G68" s="6" t="e">
        <v>#N/A</v>
      </c>
      <c r="H68" s="6">
        <v>68.0</v>
      </c>
      <c r="I68" s="8">
        <v>944.1</v>
      </c>
      <c r="J68" s="8">
        <v>999.0</v>
      </c>
      <c r="K68" s="8">
        <v>1049.0</v>
      </c>
    </row>
    <row r="69">
      <c r="A69" s="6" t="s">
        <v>2232</v>
      </c>
      <c r="B69" s="6" t="s">
        <v>2230</v>
      </c>
      <c r="C69" s="6" t="s">
        <v>2231</v>
      </c>
      <c r="D69" s="6" t="s">
        <v>2231</v>
      </c>
      <c r="E69" s="6" t="s">
        <v>5247</v>
      </c>
      <c r="F69" s="6" t="s">
        <v>5248</v>
      </c>
      <c r="G69" s="6">
        <v>19.0</v>
      </c>
      <c r="H69" s="6">
        <v>92.0</v>
      </c>
      <c r="I69" s="8">
        <v>800.1</v>
      </c>
      <c r="J69" s="8">
        <v>845.0</v>
      </c>
      <c r="K69" s="8">
        <v>889.0</v>
      </c>
    </row>
    <row r="70">
      <c r="A70" s="6" t="s">
        <v>2244</v>
      </c>
      <c r="B70" s="6" t="s">
        <v>2242</v>
      </c>
      <c r="C70" s="6" t="s">
        <v>2243</v>
      </c>
      <c r="D70" s="6" t="s">
        <v>2243</v>
      </c>
      <c r="E70" s="6" t="s">
        <v>5247</v>
      </c>
      <c r="F70" s="6" t="s">
        <v>5248</v>
      </c>
      <c r="G70" s="6">
        <v>3.0</v>
      </c>
      <c r="H70" s="6">
        <v>24.0</v>
      </c>
      <c r="I70" s="8">
        <v>800.1</v>
      </c>
      <c r="J70" s="8">
        <v>845.0</v>
      </c>
      <c r="K70" s="8">
        <v>889.0</v>
      </c>
    </row>
    <row r="71">
      <c r="A71" s="6" t="s">
        <v>2199</v>
      </c>
      <c r="B71" s="6" t="s">
        <v>2197</v>
      </c>
      <c r="C71" s="6" t="s">
        <v>2198</v>
      </c>
      <c r="D71" s="6" t="s">
        <v>2198</v>
      </c>
      <c r="E71" s="6" t="s">
        <v>5247</v>
      </c>
      <c r="F71" s="6" t="s">
        <v>5248</v>
      </c>
      <c r="G71" s="6">
        <v>16.0</v>
      </c>
      <c r="H71" s="6">
        <v>84.0</v>
      </c>
      <c r="I71" s="8">
        <v>710.1</v>
      </c>
      <c r="J71" s="8">
        <v>750.0</v>
      </c>
      <c r="K71" s="8">
        <v>789.0</v>
      </c>
    </row>
    <row r="72">
      <c r="A72" s="6" t="s">
        <v>2337</v>
      </c>
      <c r="B72" s="6" t="s">
        <v>2335</v>
      </c>
      <c r="C72" s="6" t="s">
        <v>2336</v>
      </c>
      <c r="D72" s="6" t="s">
        <v>2336</v>
      </c>
      <c r="E72" s="6" t="s">
        <v>5247</v>
      </c>
      <c r="F72" s="6" t="s">
        <v>5248</v>
      </c>
      <c r="G72" s="6">
        <v>45.0</v>
      </c>
      <c r="H72" s="6">
        <v>262.0</v>
      </c>
      <c r="I72" s="8">
        <v>980.1</v>
      </c>
      <c r="J72" s="8">
        <v>1035.0</v>
      </c>
      <c r="K72" s="8">
        <v>1089.0</v>
      </c>
    </row>
    <row r="73">
      <c r="A73" s="6" t="s">
        <v>2331</v>
      </c>
      <c r="B73" s="6" t="s">
        <v>2329</v>
      </c>
      <c r="C73" s="6" t="s">
        <v>2330</v>
      </c>
      <c r="D73" s="6" t="s">
        <v>2330</v>
      </c>
      <c r="E73" s="6" t="s">
        <v>5247</v>
      </c>
      <c r="F73" s="6" t="s">
        <v>5248</v>
      </c>
      <c r="G73" s="6">
        <v>27.0</v>
      </c>
      <c r="H73" s="6">
        <v>117.0</v>
      </c>
      <c r="I73" s="8">
        <v>980.1</v>
      </c>
      <c r="J73" s="8">
        <v>1035.0</v>
      </c>
      <c r="K73" s="8">
        <v>1089.0</v>
      </c>
    </row>
    <row r="74">
      <c r="A74" s="6" t="s">
        <v>2270</v>
      </c>
      <c r="B74" s="6" t="s">
        <v>2268</v>
      </c>
      <c r="C74" s="6" t="s">
        <v>2269</v>
      </c>
      <c r="D74" s="6" t="s">
        <v>2269</v>
      </c>
      <c r="E74" s="6" t="s">
        <v>5247</v>
      </c>
      <c r="F74" s="6" t="s">
        <v>5248</v>
      </c>
      <c r="G74" s="6">
        <v>23.0</v>
      </c>
      <c r="H74" s="6">
        <v>151.0</v>
      </c>
      <c r="I74" s="8">
        <v>890.1</v>
      </c>
      <c r="J74" s="8">
        <v>940.0</v>
      </c>
      <c r="K74" s="8">
        <v>989.0</v>
      </c>
    </row>
    <row r="75">
      <c r="A75" s="6" t="s">
        <v>2276</v>
      </c>
      <c r="B75" s="6" t="s">
        <v>2274</v>
      </c>
      <c r="C75" s="6" t="s">
        <v>2275</v>
      </c>
      <c r="D75" s="6" t="s">
        <v>2275</v>
      </c>
      <c r="E75" s="6" t="s">
        <v>5247</v>
      </c>
      <c r="F75" s="6" t="s">
        <v>5248</v>
      </c>
      <c r="G75" s="6">
        <v>49.0</v>
      </c>
      <c r="H75" s="6">
        <v>1132.0</v>
      </c>
      <c r="I75" s="8">
        <v>890.1</v>
      </c>
      <c r="J75" s="8">
        <v>940.0</v>
      </c>
      <c r="K75" s="8">
        <v>989.0</v>
      </c>
    </row>
    <row r="76">
      <c r="A76" s="6" t="s">
        <v>2343</v>
      </c>
      <c r="B76" s="6" t="s">
        <v>2341</v>
      </c>
      <c r="C76" s="6" t="s">
        <v>2342</v>
      </c>
      <c r="D76" s="6" t="s">
        <v>2342</v>
      </c>
      <c r="E76" s="6" t="s">
        <v>5247</v>
      </c>
      <c r="F76" s="6" t="s">
        <v>5248</v>
      </c>
      <c r="G76" s="6">
        <v>169.0</v>
      </c>
      <c r="H76" s="6">
        <v>1112.0</v>
      </c>
      <c r="I76" s="8">
        <v>980.1</v>
      </c>
      <c r="J76" s="8">
        <v>1035.0</v>
      </c>
      <c r="K76" s="8">
        <v>1089.0</v>
      </c>
    </row>
    <row r="77">
      <c r="A77" s="6" t="s">
        <v>2264</v>
      </c>
      <c r="B77" s="6" t="s">
        <v>2262</v>
      </c>
      <c r="C77" s="6" t="s">
        <v>2263</v>
      </c>
      <c r="D77" s="6" t="s">
        <v>2263</v>
      </c>
      <c r="E77" s="6" t="s">
        <v>5247</v>
      </c>
      <c r="F77" s="6" t="s">
        <v>5248</v>
      </c>
      <c r="G77" s="6">
        <v>17.0</v>
      </c>
      <c r="H77" s="6">
        <v>220.0</v>
      </c>
      <c r="I77" s="8">
        <v>890.1</v>
      </c>
      <c r="J77" s="8">
        <v>940.0</v>
      </c>
      <c r="K77" s="8">
        <v>989.0</v>
      </c>
    </row>
    <row r="78">
      <c r="A78" s="6" t="s">
        <v>2238</v>
      </c>
      <c r="B78" s="6" t="s">
        <v>2236</v>
      </c>
      <c r="C78" s="6" t="s">
        <v>2237</v>
      </c>
      <c r="D78" s="6" t="s">
        <v>2237</v>
      </c>
      <c r="E78" s="6" t="s">
        <v>5247</v>
      </c>
      <c r="F78" s="6" t="s">
        <v>5248</v>
      </c>
      <c r="G78" s="6">
        <v>10.0</v>
      </c>
      <c r="H78" s="6">
        <v>151.0</v>
      </c>
      <c r="I78" s="8">
        <v>800.1</v>
      </c>
      <c r="J78" s="8">
        <v>845.0</v>
      </c>
      <c r="K78" s="8">
        <v>889.0</v>
      </c>
    </row>
    <row r="79">
      <c r="A79" s="6" t="s">
        <v>2295</v>
      </c>
      <c r="B79" s="6" t="s">
        <v>2293</v>
      </c>
      <c r="C79" s="6" t="s">
        <v>2294</v>
      </c>
      <c r="D79" s="6" t="s">
        <v>2294</v>
      </c>
      <c r="E79" s="6" t="s">
        <v>5247</v>
      </c>
      <c r="F79" s="6" t="s">
        <v>5248</v>
      </c>
      <c r="G79" s="6" t="e">
        <v>#N/A</v>
      </c>
      <c r="H79" s="6">
        <v>146.0</v>
      </c>
      <c r="I79" s="8">
        <v>944.1</v>
      </c>
      <c r="J79" s="8">
        <v>999.0</v>
      </c>
      <c r="K79" s="8">
        <v>1049.0</v>
      </c>
    </row>
    <row r="80">
      <c r="A80" s="6" t="s">
        <v>2211</v>
      </c>
      <c r="B80" s="6" t="s">
        <v>2209</v>
      </c>
      <c r="C80" s="6" t="s">
        <v>2210</v>
      </c>
      <c r="D80" s="6" t="s">
        <v>2210</v>
      </c>
      <c r="E80" s="6" t="s">
        <v>5247</v>
      </c>
      <c r="F80" s="6" t="s">
        <v>5248</v>
      </c>
      <c r="G80" s="6">
        <v>3.0</v>
      </c>
      <c r="H80" s="6">
        <v>67.0</v>
      </c>
      <c r="I80" s="8">
        <v>710.1</v>
      </c>
      <c r="J80" s="8">
        <v>750.0</v>
      </c>
      <c r="K80" s="8">
        <v>789.0</v>
      </c>
    </row>
    <row r="81">
      <c r="A81" s="6" t="s">
        <v>4689</v>
      </c>
      <c r="B81" s="6" t="s">
        <v>4687</v>
      </c>
      <c r="C81" s="6" t="s">
        <v>4688</v>
      </c>
      <c r="D81" s="6" t="s">
        <v>4688</v>
      </c>
      <c r="E81" s="6" t="s">
        <v>5247</v>
      </c>
      <c r="F81" s="6" t="s">
        <v>5248</v>
      </c>
      <c r="G81" s="6">
        <v>620.0</v>
      </c>
      <c r="H81" s="6">
        <v>1226.0</v>
      </c>
      <c r="I81" s="8">
        <v>1499.0</v>
      </c>
      <c r="J81" s="8">
        <v>1799.0</v>
      </c>
      <c r="K81" s="6" t="e">
        <v>#REF!</v>
      </c>
    </row>
    <row r="82">
      <c r="A82" s="6" t="s">
        <v>3078</v>
      </c>
      <c r="B82" s="6" t="s">
        <v>3076</v>
      </c>
      <c r="C82" s="6" t="s">
        <v>3077</v>
      </c>
      <c r="D82" s="6" t="s">
        <v>3077</v>
      </c>
      <c r="E82" s="6" t="s">
        <v>5122</v>
      </c>
      <c r="F82" s="6" t="s">
        <v>5248</v>
      </c>
      <c r="G82" s="6">
        <v>28.0</v>
      </c>
      <c r="H82" s="6">
        <v>0.0</v>
      </c>
      <c r="I82" s="8">
        <v>1597.15</v>
      </c>
      <c r="J82" s="8">
        <v>1599.0</v>
      </c>
      <c r="K82" s="8">
        <v>1879.0</v>
      </c>
    </row>
    <row r="83">
      <c r="A83" s="6" t="s">
        <v>3118</v>
      </c>
      <c r="B83" s="6" t="s">
        <v>3116</v>
      </c>
      <c r="C83" s="6" t="s">
        <v>3117</v>
      </c>
      <c r="D83" s="6" t="s">
        <v>3117</v>
      </c>
      <c r="E83" s="6" t="s">
        <v>5122</v>
      </c>
      <c r="F83" s="6" t="s">
        <v>5248</v>
      </c>
      <c r="G83" s="6">
        <v>2.0</v>
      </c>
      <c r="H83" s="6">
        <v>0.0</v>
      </c>
      <c r="I83" s="8">
        <v>1999.0</v>
      </c>
      <c r="J83" s="8">
        <v>2099.0</v>
      </c>
      <c r="K83" s="8">
        <v>2489.0</v>
      </c>
    </row>
    <row r="84">
      <c r="A84" s="6" t="s">
        <v>3071</v>
      </c>
      <c r="B84" s="6" t="s">
        <v>3069</v>
      </c>
      <c r="C84" s="6" t="s">
        <v>3070</v>
      </c>
      <c r="D84" s="6" t="s">
        <v>3070</v>
      </c>
      <c r="E84" s="6" t="s">
        <v>5122</v>
      </c>
      <c r="F84" s="6" t="s">
        <v>5248</v>
      </c>
      <c r="G84" s="6" t="e">
        <v>#N/A</v>
      </c>
      <c r="H84" s="6">
        <v>0.0</v>
      </c>
      <c r="I84" s="8">
        <v>1597.15</v>
      </c>
      <c r="J84" s="8">
        <v>1599.0</v>
      </c>
      <c r="K84" s="8">
        <v>1879.0</v>
      </c>
    </row>
    <row r="85">
      <c r="A85" s="6" t="s">
        <v>1103</v>
      </c>
      <c r="B85" s="6" t="s">
        <v>1101</v>
      </c>
      <c r="C85" s="6" t="s">
        <v>1102</v>
      </c>
      <c r="D85" s="6" t="s">
        <v>1102</v>
      </c>
      <c r="E85" s="6" t="s">
        <v>5247</v>
      </c>
      <c r="F85" s="6" t="s">
        <v>5248</v>
      </c>
      <c r="G85" s="6">
        <v>2174.0</v>
      </c>
      <c r="H85" s="6" t="e">
        <v>#N/A</v>
      </c>
      <c r="I85" s="8">
        <v>1799.0</v>
      </c>
      <c r="J85" s="8">
        <v>1899.0</v>
      </c>
      <c r="K85" s="8">
        <v>3699.0</v>
      </c>
    </row>
    <row r="86">
      <c r="A86" s="6" t="s">
        <v>1110</v>
      </c>
      <c r="B86" s="6" t="s">
        <v>1108</v>
      </c>
      <c r="C86" s="6" t="s">
        <v>1109</v>
      </c>
      <c r="D86" s="6" t="s">
        <v>1109</v>
      </c>
      <c r="E86" s="6" t="s">
        <v>5247</v>
      </c>
      <c r="F86" s="6" t="s">
        <v>5248</v>
      </c>
      <c r="G86" s="6">
        <v>448.0</v>
      </c>
      <c r="H86" s="6" t="e">
        <v>#N/A</v>
      </c>
      <c r="I86" s="8">
        <v>3499.0</v>
      </c>
      <c r="J86" s="8">
        <v>3799.0</v>
      </c>
      <c r="K86" s="8">
        <v>6599.0</v>
      </c>
    </row>
    <row r="87">
      <c r="A87" s="6" t="s">
        <v>2406</v>
      </c>
      <c r="B87" s="6" t="s">
        <v>2404</v>
      </c>
      <c r="C87" s="6" t="s">
        <v>2405</v>
      </c>
      <c r="D87" s="6" t="s">
        <v>2405</v>
      </c>
      <c r="E87" s="6" t="s">
        <v>5247</v>
      </c>
      <c r="F87" s="6" t="s">
        <v>5248</v>
      </c>
      <c r="G87" s="6">
        <v>212.0</v>
      </c>
      <c r="H87" s="6" t="e">
        <v>#N/A</v>
      </c>
      <c r="I87" s="8">
        <v>3699.0</v>
      </c>
      <c r="J87" s="8">
        <v>3699.0</v>
      </c>
      <c r="K87" s="8">
        <v>3999.0</v>
      </c>
    </row>
    <row r="88">
      <c r="A88" s="6" t="s">
        <v>4754</v>
      </c>
      <c r="B88" s="6" t="s">
        <v>2415</v>
      </c>
      <c r="C88" s="6" t="s">
        <v>4753</v>
      </c>
      <c r="D88" s="6" t="s">
        <v>4753</v>
      </c>
      <c r="E88" s="6" t="s">
        <v>5247</v>
      </c>
      <c r="F88" s="6" t="s">
        <v>5248</v>
      </c>
      <c r="G88" s="6">
        <v>648.0</v>
      </c>
      <c r="H88" s="6" t="e">
        <v>#N/A</v>
      </c>
      <c r="I88" s="8">
        <v>1899.0</v>
      </c>
      <c r="J88" s="8">
        <v>2499.0</v>
      </c>
      <c r="K88" s="8">
        <v>2599.0</v>
      </c>
    </row>
    <row r="89">
      <c r="A89" s="6" t="s">
        <v>2420</v>
      </c>
      <c r="B89" s="6" t="s">
        <v>2418</v>
      </c>
      <c r="C89" s="6" t="s">
        <v>2419</v>
      </c>
      <c r="D89" s="6" t="s">
        <v>2419</v>
      </c>
      <c r="E89" s="6" t="s">
        <v>5247</v>
      </c>
      <c r="F89" s="6" t="s">
        <v>5248</v>
      </c>
      <c r="G89" s="6">
        <v>144.0</v>
      </c>
      <c r="H89" s="6" t="e">
        <v>#N/A</v>
      </c>
      <c r="I89" s="8">
        <v>3899.0</v>
      </c>
      <c r="J89" s="8">
        <v>4899.0</v>
      </c>
      <c r="K89" s="8">
        <v>5956.0</v>
      </c>
    </row>
    <row r="90">
      <c r="A90" s="6" t="s">
        <v>4757</v>
      </c>
      <c r="B90" s="6" t="s">
        <v>2411</v>
      </c>
      <c r="C90" s="6" t="s">
        <v>4756</v>
      </c>
      <c r="D90" s="6" t="s">
        <v>4756</v>
      </c>
      <c r="E90" s="6" t="s">
        <v>5247</v>
      </c>
      <c r="F90" s="6" t="s">
        <v>5248</v>
      </c>
      <c r="G90" s="6">
        <v>181.0</v>
      </c>
      <c r="H90" s="6">
        <v>1461.0</v>
      </c>
      <c r="I90" s="8">
        <v>999.0</v>
      </c>
      <c r="J90" s="8">
        <v>1299.0</v>
      </c>
      <c r="K90" s="8">
        <v>1489.0</v>
      </c>
    </row>
    <row r="91">
      <c r="A91" s="6" t="s">
        <v>1148</v>
      </c>
      <c r="B91" s="6" t="s">
        <v>1146</v>
      </c>
      <c r="C91" s="6" t="s">
        <v>1147</v>
      </c>
      <c r="D91" s="6" t="s">
        <v>1147</v>
      </c>
      <c r="E91" s="6" t="s">
        <v>5122</v>
      </c>
      <c r="F91" s="6" t="s">
        <v>5248</v>
      </c>
      <c r="G91" s="6" t="e">
        <v>#N/A</v>
      </c>
      <c r="H91" s="6">
        <v>56.0</v>
      </c>
      <c r="I91" s="8">
        <v>1392.3</v>
      </c>
      <c r="J91" s="8">
        <v>1399.0</v>
      </c>
      <c r="K91" s="8">
        <v>1989.0</v>
      </c>
    </row>
    <row r="92">
      <c r="A92" s="6" t="s">
        <v>2589</v>
      </c>
      <c r="B92" s="6" t="s">
        <v>2587</v>
      </c>
      <c r="C92" s="6" t="s">
        <v>2588</v>
      </c>
      <c r="D92" s="6" t="s">
        <v>2588</v>
      </c>
      <c r="E92" s="6" t="s">
        <v>5122</v>
      </c>
      <c r="F92" s="6" t="s">
        <v>5248</v>
      </c>
      <c r="G92" s="6" t="e">
        <v>#N/A</v>
      </c>
      <c r="H92" s="6">
        <v>14.0</v>
      </c>
      <c r="I92" s="8">
        <v>2092.3</v>
      </c>
      <c r="J92" s="8">
        <v>2099.0</v>
      </c>
      <c r="K92" s="8">
        <v>2989.0</v>
      </c>
    </row>
    <row r="93">
      <c r="A93" s="6" t="s">
        <v>1123</v>
      </c>
      <c r="B93" s="6" t="s">
        <v>1121</v>
      </c>
      <c r="C93" s="6" t="s">
        <v>1122</v>
      </c>
      <c r="D93" s="6" t="s">
        <v>1122</v>
      </c>
      <c r="E93" s="6" t="s">
        <v>5247</v>
      </c>
      <c r="F93" s="6" t="s">
        <v>5248</v>
      </c>
      <c r="G93" s="6">
        <v>40.0</v>
      </c>
      <c r="H93" s="6" t="e">
        <v>#N/A</v>
      </c>
      <c r="I93" s="8">
        <v>2999.0</v>
      </c>
      <c r="J93" s="8">
        <v>3899.0</v>
      </c>
      <c r="K93" s="8">
        <v>4599.0</v>
      </c>
    </row>
    <row r="94">
      <c r="A94" s="6" t="s">
        <v>1117</v>
      </c>
      <c r="B94" s="6" t="s">
        <v>1115</v>
      </c>
      <c r="C94" s="6" t="s">
        <v>1116</v>
      </c>
      <c r="D94" s="6" t="s">
        <v>1116</v>
      </c>
      <c r="E94" s="6" t="s">
        <v>5247</v>
      </c>
      <c r="F94" s="6" t="s">
        <v>5248</v>
      </c>
      <c r="G94" s="6">
        <v>41.0</v>
      </c>
      <c r="H94" s="6">
        <v>161.0</v>
      </c>
      <c r="I94" s="8">
        <v>1599.0</v>
      </c>
      <c r="J94" s="8">
        <v>1999.0</v>
      </c>
      <c r="K94" s="8">
        <v>2489.0</v>
      </c>
    </row>
    <row r="95">
      <c r="A95" s="6" t="s">
        <v>1129</v>
      </c>
      <c r="B95" s="6" t="s">
        <v>1127</v>
      </c>
      <c r="C95" s="6" t="s">
        <v>1128</v>
      </c>
      <c r="D95" s="6" t="s">
        <v>1128</v>
      </c>
      <c r="E95" s="6" t="s">
        <v>5122</v>
      </c>
      <c r="F95" s="6" t="s">
        <v>5248</v>
      </c>
      <c r="G95" s="6">
        <v>8.0</v>
      </c>
      <c r="H95" s="6" t="e">
        <v>#N/A</v>
      </c>
      <c r="I95" s="8">
        <v>6299.0</v>
      </c>
      <c r="J95" s="8">
        <v>7799.0</v>
      </c>
      <c r="K95" s="8">
        <v>8299.0</v>
      </c>
    </row>
    <row r="96">
      <c r="A96" s="6" t="s">
        <v>431</v>
      </c>
      <c r="B96" s="6" t="s">
        <v>429</v>
      </c>
      <c r="C96" s="6" t="s">
        <v>430</v>
      </c>
      <c r="D96" s="6" t="s">
        <v>430</v>
      </c>
      <c r="E96" s="6" t="s">
        <v>5247</v>
      </c>
      <c r="F96" s="6" t="s">
        <v>5248</v>
      </c>
      <c r="G96" s="6">
        <v>4.0</v>
      </c>
      <c r="H96" s="6">
        <v>2.0</v>
      </c>
      <c r="I96" s="8">
        <v>15731.24</v>
      </c>
      <c r="J96" s="8">
        <v>17999.0</v>
      </c>
      <c r="K96" s="8">
        <v>20699.0</v>
      </c>
    </row>
    <row r="97">
      <c r="A97" s="6" t="s">
        <v>682</v>
      </c>
      <c r="B97" s="6" t="s">
        <v>680</v>
      </c>
      <c r="C97" s="6" t="s">
        <v>681</v>
      </c>
      <c r="D97" s="6" t="s">
        <v>681</v>
      </c>
      <c r="E97" s="6" t="s">
        <v>5247</v>
      </c>
      <c r="F97" s="6" t="s">
        <v>5248</v>
      </c>
      <c r="G97" s="6">
        <v>5.0</v>
      </c>
      <c r="H97" s="6">
        <v>16.0</v>
      </c>
      <c r="I97" s="8">
        <v>17935.24</v>
      </c>
      <c r="J97" s="8">
        <v>20499.0</v>
      </c>
      <c r="K97" s="8">
        <v>23599.0</v>
      </c>
    </row>
    <row r="98">
      <c r="A98" s="6" t="s">
        <v>102</v>
      </c>
      <c r="B98" s="6" t="s">
        <v>100</v>
      </c>
      <c r="C98" s="6" t="s">
        <v>101</v>
      </c>
      <c r="D98" s="6" t="s">
        <v>101</v>
      </c>
      <c r="E98" s="6" t="s">
        <v>5122</v>
      </c>
      <c r="F98" s="6" t="s">
        <v>5248</v>
      </c>
      <c r="G98" s="6">
        <v>2.0</v>
      </c>
      <c r="H98" s="6">
        <v>0.0</v>
      </c>
      <c r="I98" s="8">
        <v>10639.24</v>
      </c>
      <c r="J98" s="8">
        <v>12199.0</v>
      </c>
      <c r="K98" s="8">
        <v>13999.0</v>
      </c>
    </row>
    <row r="99">
      <c r="A99" s="6" t="s">
        <v>694</v>
      </c>
      <c r="B99" s="6" t="s">
        <v>692</v>
      </c>
      <c r="C99" s="6" t="s">
        <v>693</v>
      </c>
      <c r="D99" s="6" t="s">
        <v>693</v>
      </c>
      <c r="E99" s="6" t="s">
        <v>5247</v>
      </c>
      <c r="F99" s="6" t="s">
        <v>5248</v>
      </c>
      <c r="G99" s="6">
        <v>19.0</v>
      </c>
      <c r="H99" s="6">
        <v>20.0</v>
      </c>
      <c r="I99" s="8">
        <v>18619.24</v>
      </c>
      <c r="J99" s="8">
        <v>21299.0</v>
      </c>
      <c r="K99" s="8">
        <v>24499.0</v>
      </c>
    </row>
    <row r="100">
      <c r="A100" s="6" t="s">
        <v>670</v>
      </c>
      <c r="B100" s="6" t="s">
        <v>668</v>
      </c>
      <c r="C100" s="6" t="s">
        <v>669</v>
      </c>
      <c r="D100" s="6" t="s">
        <v>669</v>
      </c>
      <c r="E100" s="6" t="s">
        <v>5247</v>
      </c>
      <c r="F100" s="6" t="s">
        <v>5248</v>
      </c>
      <c r="G100" s="6">
        <v>12.0</v>
      </c>
      <c r="H100" s="6">
        <v>51.0</v>
      </c>
      <c r="I100" s="8">
        <v>17479.24</v>
      </c>
      <c r="J100" s="8">
        <v>19999.0</v>
      </c>
      <c r="K100" s="8">
        <v>22999.0</v>
      </c>
    </row>
    <row r="101">
      <c r="A101" s="6" t="s">
        <v>88</v>
      </c>
      <c r="B101" s="6" t="s">
        <v>86</v>
      </c>
      <c r="C101" s="6" t="s">
        <v>87</v>
      </c>
      <c r="D101" s="6" t="s">
        <v>87</v>
      </c>
      <c r="E101" s="6" t="s">
        <v>5247</v>
      </c>
      <c r="F101" s="6" t="s">
        <v>5248</v>
      </c>
      <c r="G101" s="6">
        <v>2.0</v>
      </c>
      <c r="H101" s="6">
        <v>10.0</v>
      </c>
      <c r="I101" s="8">
        <v>9879.24</v>
      </c>
      <c r="J101" s="8">
        <v>11299.0</v>
      </c>
      <c r="K101" s="8">
        <v>12999.0</v>
      </c>
    </row>
    <row r="102">
      <c r="A102" s="6" t="s">
        <v>438</v>
      </c>
      <c r="B102" s="6" t="s">
        <v>436</v>
      </c>
      <c r="C102" s="6" t="s">
        <v>437</v>
      </c>
      <c r="D102" s="6" t="s">
        <v>437</v>
      </c>
      <c r="E102" s="6" t="s">
        <v>5247</v>
      </c>
      <c r="F102" s="6" t="s">
        <v>5248</v>
      </c>
      <c r="G102" s="6">
        <v>30.0</v>
      </c>
      <c r="H102" s="6">
        <v>42.0</v>
      </c>
      <c r="I102" s="8">
        <v>15807.24</v>
      </c>
      <c r="J102" s="8">
        <v>18099.0</v>
      </c>
      <c r="K102" s="8">
        <v>20799.0</v>
      </c>
    </row>
    <row r="103">
      <c r="A103" s="6" t="s">
        <v>424</v>
      </c>
      <c r="B103" s="6" t="s">
        <v>422</v>
      </c>
      <c r="C103" s="6" t="s">
        <v>423</v>
      </c>
      <c r="D103" s="6" t="s">
        <v>423</v>
      </c>
      <c r="E103" s="6" t="s">
        <v>5247</v>
      </c>
      <c r="F103" s="6" t="s">
        <v>5248</v>
      </c>
      <c r="G103" s="6">
        <v>11.0</v>
      </c>
      <c r="H103" s="6">
        <v>21.0</v>
      </c>
      <c r="I103" s="8">
        <v>15047.24</v>
      </c>
      <c r="J103" s="8">
        <v>17199.0</v>
      </c>
      <c r="K103" s="8">
        <v>19799.0</v>
      </c>
    </row>
    <row r="104">
      <c r="A104" s="6" t="s">
        <v>3085</v>
      </c>
      <c r="B104" s="6" t="s">
        <v>3083</v>
      </c>
      <c r="C104" s="6" t="s">
        <v>3084</v>
      </c>
      <c r="D104" s="6" t="s">
        <v>3084</v>
      </c>
      <c r="E104" s="6" t="s">
        <v>5122</v>
      </c>
      <c r="F104" s="6" t="s">
        <v>5248</v>
      </c>
      <c r="G104" s="6" t="e">
        <v>#N/A</v>
      </c>
      <c r="H104" s="6">
        <v>0.0</v>
      </c>
      <c r="I104" s="8">
        <v>1597.15</v>
      </c>
      <c r="J104" s="8">
        <v>1599.0</v>
      </c>
      <c r="K104" s="8">
        <v>1879.0</v>
      </c>
    </row>
    <row r="105">
      <c r="A105" s="6" t="s">
        <v>3133</v>
      </c>
      <c r="B105" s="6" t="s">
        <v>3131</v>
      </c>
      <c r="C105" s="6" t="s">
        <v>3132</v>
      </c>
      <c r="D105" s="6" t="s">
        <v>3132</v>
      </c>
      <c r="E105" s="6" t="s">
        <v>5122</v>
      </c>
      <c r="F105" s="6" t="s">
        <v>5248</v>
      </c>
      <c r="G105" s="6">
        <v>5.0</v>
      </c>
      <c r="H105" s="6">
        <v>1.0</v>
      </c>
      <c r="I105" s="8">
        <v>1999.0</v>
      </c>
      <c r="J105" s="8">
        <v>2099.0</v>
      </c>
      <c r="K105" s="8">
        <v>2489.0</v>
      </c>
    </row>
    <row r="106">
      <c r="A106" s="6" t="s">
        <v>3139</v>
      </c>
      <c r="B106" s="6" t="s">
        <v>3137</v>
      </c>
      <c r="C106" s="6" t="s">
        <v>3138</v>
      </c>
      <c r="D106" s="6" t="s">
        <v>3138</v>
      </c>
      <c r="E106" s="6" t="s">
        <v>5122</v>
      </c>
      <c r="F106" s="6" t="s">
        <v>5248</v>
      </c>
      <c r="G106" s="6">
        <v>61.0</v>
      </c>
      <c r="H106" s="6">
        <v>2.0</v>
      </c>
      <c r="I106" s="8">
        <v>1999.0</v>
      </c>
      <c r="J106" s="8">
        <v>2099.0</v>
      </c>
      <c r="K106" s="8">
        <v>2489.0</v>
      </c>
    </row>
    <row r="107">
      <c r="A107" s="6" t="s">
        <v>3091</v>
      </c>
      <c r="B107" s="6" t="s">
        <v>3089</v>
      </c>
      <c r="C107" s="6" t="s">
        <v>3090</v>
      </c>
      <c r="D107" s="6" t="s">
        <v>3090</v>
      </c>
      <c r="E107" s="6" t="s">
        <v>5122</v>
      </c>
      <c r="F107" s="6" t="s">
        <v>5248</v>
      </c>
      <c r="G107" s="6">
        <v>9.0</v>
      </c>
      <c r="H107" s="6">
        <v>2.0</v>
      </c>
      <c r="I107" s="8">
        <v>1597.15</v>
      </c>
      <c r="J107" s="8">
        <v>1599.0</v>
      </c>
      <c r="K107" s="8">
        <v>1879.0</v>
      </c>
    </row>
    <row r="108">
      <c r="A108" s="6" t="s">
        <v>3402</v>
      </c>
      <c r="B108" s="6" t="s">
        <v>3400</v>
      </c>
      <c r="C108" s="6" t="s">
        <v>3401</v>
      </c>
      <c r="D108" s="6" t="s">
        <v>3401</v>
      </c>
      <c r="E108" s="6" t="s">
        <v>5247</v>
      </c>
      <c r="F108" s="6" t="s">
        <v>5248</v>
      </c>
      <c r="G108" s="6">
        <v>312.0</v>
      </c>
      <c r="H108" s="6">
        <v>391.0</v>
      </c>
      <c r="I108" s="8">
        <v>899.0</v>
      </c>
      <c r="J108" s="8">
        <v>949.0</v>
      </c>
      <c r="K108" s="8">
        <v>999.0</v>
      </c>
    </row>
    <row r="109">
      <c r="A109" s="6" t="s">
        <v>3409</v>
      </c>
      <c r="B109" s="6" t="s">
        <v>3407</v>
      </c>
      <c r="C109" s="6" t="s">
        <v>3408</v>
      </c>
      <c r="D109" s="6" t="s">
        <v>3408</v>
      </c>
      <c r="E109" s="6" t="s">
        <v>5247</v>
      </c>
      <c r="F109" s="6" t="s">
        <v>5248</v>
      </c>
      <c r="G109" s="6">
        <v>322.0</v>
      </c>
      <c r="H109" s="6" t="e">
        <v>#N/A</v>
      </c>
      <c r="I109" s="8">
        <v>1699.0</v>
      </c>
      <c r="J109" s="8">
        <v>1799.0</v>
      </c>
      <c r="K109" s="8">
        <v>1849.0</v>
      </c>
    </row>
    <row r="110">
      <c r="A110" s="6" t="s">
        <v>5253</v>
      </c>
      <c r="B110" s="6" t="s">
        <v>4914</v>
      </c>
      <c r="C110" s="6" t="s">
        <v>4915</v>
      </c>
      <c r="D110" s="6" t="s">
        <v>4915</v>
      </c>
      <c r="E110" s="6" t="s">
        <v>5122</v>
      </c>
      <c r="F110" s="6" t="s">
        <v>5248</v>
      </c>
      <c r="G110" s="6" t="e">
        <v>#N/A</v>
      </c>
      <c r="H110" s="6">
        <v>0.0</v>
      </c>
      <c r="I110" s="8">
        <v>2399.0</v>
      </c>
      <c r="J110" s="8">
        <v>2499.0</v>
      </c>
      <c r="K110" s="8">
        <v>2499.0</v>
      </c>
    </row>
    <row r="111">
      <c r="A111" s="6" t="s">
        <v>2456</v>
      </c>
      <c r="B111" s="6" t="s">
        <v>2454</v>
      </c>
      <c r="C111" s="6" t="s">
        <v>2455</v>
      </c>
      <c r="D111" s="6" t="s">
        <v>2455</v>
      </c>
      <c r="E111" s="6" t="s">
        <v>5247</v>
      </c>
      <c r="F111" s="6" t="s">
        <v>5248</v>
      </c>
      <c r="G111" s="6">
        <v>44.0</v>
      </c>
      <c r="H111" s="6" t="e">
        <v>#N/A</v>
      </c>
      <c r="I111" s="8">
        <v>4299.0</v>
      </c>
      <c r="J111" s="8">
        <v>4499.0</v>
      </c>
      <c r="K111" s="8">
        <v>5599.0</v>
      </c>
    </row>
    <row r="112">
      <c r="A112" s="6" t="s">
        <v>2450</v>
      </c>
      <c r="B112" s="6" t="s">
        <v>2448</v>
      </c>
      <c r="C112" s="6" t="s">
        <v>2449</v>
      </c>
      <c r="D112" s="6" t="s">
        <v>2449</v>
      </c>
      <c r="E112" s="6" t="s">
        <v>5247</v>
      </c>
      <c r="F112" s="6" t="s">
        <v>5248</v>
      </c>
      <c r="G112" s="6">
        <v>59.0</v>
      </c>
      <c r="H112" s="6">
        <v>505.0</v>
      </c>
      <c r="I112" s="8">
        <v>2199.0</v>
      </c>
      <c r="J112" s="8">
        <v>2299.0</v>
      </c>
      <c r="K112" s="8">
        <v>2989.0</v>
      </c>
    </row>
    <row r="113">
      <c r="A113" s="6" t="s">
        <v>1134</v>
      </c>
      <c r="B113" s="6" t="s">
        <v>1132</v>
      </c>
      <c r="C113" s="6" t="s">
        <v>1133</v>
      </c>
      <c r="D113" s="6" t="s">
        <v>1133</v>
      </c>
      <c r="E113" s="6" t="s">
        <v>5247</v>
      </c>
      <c r="F113" s="6" t="s">
        <v>5248</v>
      </c>
      <c r="G113" s="6">
        <v>523.0</v>
      </c>
      <c r="H113" s="6">
        <v>2177.0</v>
      </c>
      <c r="I113" s="8">
        <v>999.0</v>
      </c>
      <c r="J113" s="8">
        <v>999.0</v>
      </c>
      <c r="K113" s="8">
        <v>1989.0</v>
      </c>
    </row>
    <row r="114">
      <c r="A114" s="6" t="s">
        <v>2472</v>
      </c>
      <c r="B114" s="6" t="s">
        <v>2470</v>
      </c>
      <c r="C114" s="6" t="s">
        <v>2471</v>
      </c>
      <c r="D114" s="6" t="s">
        <v>2471</v>
      </c>
      <c r="E114" s="6" t="s">
        <v>5247</v>
      </c>
      <c r="F114" s="6" t="s">
        <v>5248</v>
      </c>
      <c r="G114" s="6">
        <v>38.0</v>
      </c>
      <c r="H114" s="6">
        <v>372.0</v>
      </c>
      <c r="I114" s="8">
        <v>1899.0</v>
      </c>
      <c r="J114" s="8">
        <v>1999.0</v>
      </c>
      <c r="K114" s="8">
        <v>2989.0</v>
      </c>
    </row>
    <row r="115">
      <c r="A115" s="6" t="s">
        <v>5180</v>
      </c>
      <c r="B115" s="54" t="s">
        <v>5254</v>
      </c>
      <c r="C115" s="6" t="s">
        <v>5179</v>
      </c>
      <c r="D115" s="6" t="s">
        <v>5179</v>
      </c>
      <c r="E115" s="6" t="s">
        <v>5247</v>
      </c>
      <c r="F115" s="6" t="s">
        <v>5248</v>
      </c>
      <c r="G115" s="6" t="e">
        <v>#N/A</v>
      </c>
      <c r="H115" s="6" t="e">
        <v>#N/A</v>
      </c>
      <c r="I115" s="8">
        <v>1899.0</v>
      </c>
      <c r="J115" s="8">
        <v>1899.0</v>
      </c>
      <c r="K115" s="8">
        <v>3699.0</v>
      </c>
    </row>
    <row r="116">
      <c r="A116" s="6" t="s">
        <v>1029</v>
      </c>
      <c r="B116" s="6" t="s">
        <v>1027</v>
      </c>
      <c r="C116" s="6" t="s">
        <v>1028</v>
      </c>
      <c r="D116" s="6" t="s">
        <v>1028</v>
      </c>
      <c r="E116" s="6" t="s">
        <v>5247</v>
      </c>
      <c r="F116" s="6" t="s">
        <v>5248</v>
      </c>
      <c r="G116" s="6">
        <v>69.0</v>
      </c>
      <c r="H116" s="6">
        <v>246.0</v>
      </c>
      <c r="I116" s="8">
        <v>16559.2</v>
      </c>
      <c r="J116" s="8">
        <v>18599.0</v>
      </c>
      <c r="K116" s="8">
        <v>20699.0</v>
      </c>
    </row>
    <row r="117">
      <c r="A117" s="6" t="s">
        <v>1060</v>
      </c>
      <c r="B117" s="6" t="s">
        <v>1058</v>
      </c>
      <c r="C117" s="6" t="s">
        <v>1059</v>
      </c>
      <c r="D117" s="6" t="s">
        <v>1059</v>
      </c>
      <c r="E117" s="6" t="s">
        <v>5247</v>
      </c>
      <c r="F117" s="6" t="s">
        <v>5248</v>
      </c>
      <c r="G117" s="6">
        <v>23.0</v>
      </c>
      <c r="H117" s="6">
        <v>90.0</v>
      </c>
      <c r="I117" s="8">
        <v>18559.2</v>
      </c>
      <c r="J117" s="8">
        <v>20899.0</v>
      </c>
      <c r="K117" s="8">
        <v>23199.0</v>
      </c>
    </row>
    <row r="118">
      <c r="A118" s="6" t="s">
        <v>952</v>
      </c>
      <c r="B118" s="6" t="s">
        <v>950</v>
      </c>
      <c r="C118" s="6" t="s">
        <v>951</v>
      </c>
      <c r="D118" s="6" t="s">
        <v>951</v>
      </c>
      <c r="E118" s="6" t="s">
        <v>5247</v>
      </c>
      <c r="F118" s="6" t="s">
        <v>5248</v>
      </c>
      <c r="G118" s="6">
        <v>75.0</v>
      </c>
      <c r="H118" s="6">
        <v>226.0</v>
      </c>
      <c r="I118" s="8">
        <v>16159.2</v>
      </c>
      <c r="J118" s="8">
        <v>18199.0</v>
      </c>
      <c r="K118" s="8">
        <v>20199.0</v>
      </c>
    </row>
    <row r="119">
      <c r="A119" s="6" t="s">
        <v>851</v>
      </c>
      <c r="B119" s="6" t="s">
        <v>849</v>
      </c>
      <c r="C119" s="6" t="s">
        <v>850</v>
      </c>
      <c r="D119" s="6" t="s">
        <v>850</v>
      </c>
      <c r="E119" s="6" t="s">
        <v>5247</v>
      </c>
      <c r="F119" s="6" t="s">
        <v>5248</v>
      </c>
      <c r="G119" s="6">
        <v>5.0</v>
      </c>
      <c r="H119" s="6">
        <v>15.0</v>
      </c>
      <c r="I119" s="8">
        <v>10719.2</v>
      </c>
      <c r="J119" s="8">
        <v>12099.0</v>
      </c>
      <c r="K119" s="8">
        <v>13399.0</v>
      </c>
    </row>
    <row r="120">
      <c r="A120" s="6" t="s">
        <v>819</v>
      </c>
      <c r="B120" s="6" t="s">
        <v>817</v>
      </c>
      <c r="C120" s="6" t="s">
        <v>818</v>
      </c>
      <c r="D120" s="6" t="s">
        <v>818</v>
      </c>
      <c r="E120" s="6" t="s">
        <v>5247</v>
      </c>
      <c r="F120" s="6" t="s">
        <v>5248</v>
      </c>
      <c r="G120" s="6">
        <v>6.0</v>
      </c>
      <c r="H120" s="6">
        <v>28.0</v>
      </c>
      <c r="I120" s="8">
        <v>9199.2</v>
      </c>
      <c r="J120" s="8">
        <v>10299.0</v>
      </c>
      <c r="K120" s="8">
        <v>11499.0</v>
      </c>
    </row>
    <row r="121">
      <c r="A121" s="6" t="s">
        <v>877</v>
      </c>
      <c r="B121" s="6" t="s">
        <v>875</v>
      </c>
      <c r="C121" s="6" t="s">
        <v>876</v>
      </c>
      <c r="D121" s="6" t="s">
        <v>876</v>
      </c>
      <c r="E121" s="6" t="s">
        <v>5247</v>
      </c>
      <c r="F121" s="6" t="s">
        <v>5248</v>
      </c>
      <c r="G121" s="6">
        <v>1.0</v>
      </c>
      <c r="H121" s="6">
        <v>1.0</v>
      </c>
      <c r="I121" s="8">
        <v>13519.2</v>
      </c>
      <c r="J121" s="8">
        <v>15199.0</v>
      </c>
      <c r="K121" s="8">
        <v>16899.0</v>
      </c>
    </row>
    <row r="122">
      <c r="A122" s="6" t="s">
        <v>1552</v>
      </c>
      <c r="B122" s="6" t="s">
        <v>1550</v>
      </c>
      <c r="C122" s="6" t="s">
        <v>1551</v>
      </c>
      <c r="D122" s="6" t="s">
        <v>1551</v>
      </c>
      <c r="E122" s="6" t="s">
        <v>5122</v>
      </c>
      <c r="F122" s="6" t="s">
        <v>5248</v>
      </c>
      <c r="G122" s="6">
        <v>2.0</v>
      </c>
      <c r="H122" s="6">
        <v>0.0</v>
      </c>
      <c r="I122" s="8">
        <v>13089.23</v>
      </c>
      <c r="J122" s="8">
        <v>16099.0</v>
      </c>
      <c r="K122" s="8">
        <v>16999.0</v>
      </c>
    </row>
    <row r="123">
      <c r="A123" s="6" t="s">
        <v>1049</v>
      </c>
      <c r="B123" s="6" t="s">
        <v>1047</v>
      </c>
      <c r="C123" s="6" t="s">
        <v>1048</v>
      </c>
      <c r="D123" s="6" t="s">
        <v>1048</v>
      </c>
      <c r="E123" s="6" t="s">
        <v>5247</v>
      </c>
      <c r="F123" s="6" t="s">
        <v>5248</v>
      </c>
      <c r="G123" s="6">
        <v>17.0</v>
      </c>
      <c r="H123" s="6">
        <v>60.0</v>
      </c>
      <c r="I123" s="8">
        <v>18159.2</v>
      </c>
      <c r="J123" s="8">
        <v>20399.0</v>
      </c>
      <c r="K123" s="8">
        <v>22699.0</v>
      </c>
    </row>
    <row r="124">
      <c r="A124" s="6" t="s">
        <v>1547</v>
      </c>
      <c r="B124" s="6" t="s">
        <v>1545</v>
      </c>
      <c r="C124" s="6" t="s">
        <v>1546</v>
      </c>
      <c r="D124" s="6" t="s">
        <v>1546</v>
      </c>
      <c r="E124" s="6" t="s">
        <v>5122</v>
      </c>
      <c r="F124" s="6" t="s">
        <v>5248</v>
      </c>
      <c r="G124" s="6" t="e">
        <v>#N/A</v>
      </c>
      <c r="H124" s="6">
        <v>1.0</v>
      </c>
      <c r="I124" s="8">
        <v>13089.23</v>
      </c>
      <c r="J124" s="8">
        <v>16099.0</v>
      </c>
      <c r="K124" s="8">
        <v>16999.0</v>
      </c>
    </row>
    <row r="125">
      <c r="A125" s="6" t="s">
        <v>939</v>
      </c>
      <c r="B125" s="6" t="s">
        <v>937</v>
      </c>
      <c r="C125" s="6" t="s">
        <v>938</v>
      </c>
      <c r="D125" s="6" t="s">
        <v>938</v>
      </c>
      <c r="E125" s="6" t="s">
        <v>5247</v>
      </c>
      <c r="F125" s="6" t="s">
        <v>5248</v>
      </c>
      <c r="G125" s="6">
        <v>39.0</v>
      </c>
      <c r="H125" s="6">
        <v>111.0</v>
      </c>
      <c r="I125" s="8">
        <v>15519.2</v>
      </c>
      <c r="J125" s="8">
        <v>17499.0</v>
      </c>
      <c r="K125" s="8">
        <v>19399.0</v>
      </c>
    </row>
    <row r="126">
      <c r="A126" s="6" t="s">
        <v>945</v>
      </c>
      <c r="B126" s="6" t="s">
        <v>943</v>
      </c>
      <c r="C126" s="6" t="s">
        <v>944</v>
      </c>
      <c r="D126" s="6" t="s">
        <v>944</v>
      </c>
      <c r="E126" s="6" t="s">
        <v>5247</v>
      </c>
      <c r="F126" s="6" t="s">
        <v>5248</v>
      </c>
      <c r="G126" s="6">
        <v>49.0</v>
      </c>
      <c r="H126" s="6">
        <v>110.0</v>
      </c>
      <c r="I126" s="8">
        <v>15839.2</v>
      </c>
      <c r="J126" s="8">
        <v>17799.0</v>
      </c>
      <c r="K126" s="8">
        <v>19799.0</v>
      </c>
    </row>
    <row r="127">
      <c r="A127" s="6" t="s">
        <v>1650</v>
      </c>
      <c r="B127" s="6" t="s">
        <v>1648</v>
      </c>
      <c r="C127" s="6" t="s">
        <v>1649</v>
      </c>
      <c r="D127" s="6" t="s">
        <v>1649</v>
      </c>
      <c r="E127" s="6" t="s">
        <v>5122</v>
      </c>
      <c r="F127" s="6" t="s">
        <v>5248</v>
      </c>
      <c r="G127" s="6" t="e">
        <v>#N/A</v>
      </c>
      <c r="H127" s="6">
        <v>0.0</v>
      </c>
      <c r="I127" s="8">
        <v>23099.23</v>
      </c>
      <c r="J127" s="8">
        <v>28499.0</v>
      </c>
      <c r="K127" s="8">
        <v>29999.0</v>
      </c>
    </row>
    <row r="128">
      <c r="A128" s="6" t="s">
        <v>1572</v>
      </c>
      <c r="B128" s="6" t="s">
        <v>1570</v>
      </c>
      <c r="C128" s="6" t="s">
        <v>1571</v>
      </c>
      <c r="D128" s="6" t="s">
        <v>1571</v>
      </c>
      <c r="E128" s="6" t="s">
        <v>5247</v>
      </c>
      <c r="F128" s="6" t="s">
        <v>5248</v>
      </c>
      <c r="G128" s="6">
        <v>5.0</v>
      </c>
      <c r="H128" s="6">
        <v>29.0</v>
      </c>
      <c r="I128" s="8">
        <v>17709.23</v>
      </c>
      <c r="J128" s="8">
        <v>21799.0</v>
      </c>
      <c r="K128" s="8">
        <v>22999.0</v>
      </c>
    </row>
    <row r="129">
      <c r="A129" s="6" t="s">
        <v>1006</v>
      </c>
      <c r="B129" s="6" t="s">
        <v>1004</v>
      </c>
      <c r="C129" s="6" t="s">
        <v>1005</v>
      </c>
      <c r="D129" s="6" t="s">
        <v>1005</v>
      </c>
      <c r="E129" s="6" t="s">
        <v>5247</v>
      </c>
      <c r="F129" s="6" t="s">
        <v>5248</v>
      </c>
      <c r="G129" s="6">
        <v>55.0</v>
      </c>
      <c r="H129" s="6">
        <v>109.0</v>
      </c>
      <c r="I129" s="8">
        <v>15519.2</v>
      </c>
      <c r="J129" s="8">
        <v>17499.0</v>
      </c>
      <c r="K129" s="8">
        <v>19399.0</v>
      </c>
    </row>
    <row r="130">
      <c r="A130" s="6" t="s">
        <v>1557</v>
      </c>
      <c r="B130" s="6" t="s">
        <v>1555</v>
      </c>
      <c r="C130" s="6" t="s">
        <v>1556</v>
      </c>
      <c r="D130" s="6" t="s">
        <v>1556</v>
      </c>
      <c r="E130" s="6" t="s">
        <v>5247</v>
      </c>
      <c r="F130" s="6" t="s">
        <v>5248</v>
      </c>
      <c r="G130" s="6">
        <v>6.0</v>
      </c>
      <c r="H130" s="6">
        <v>14.0</v>
      </c>
      <c r="I130" s="8">
        <v>14629.23</v>
      </c>
      <c r="J130" s="8">
        <v>17999.0</v>
      </c>
      <c r="K130" s="8">
        <v>18999.0</v>
      </c>
    </row>
    <row r="131">
      <c r="A131" s="6" t="s">
        <v>1537</v>
      </c>
      <c r="B131" s="6" t="s">
        <v>1535</v>
      </c>
      <c r="C131" s="6" t="s">
        <v>1536</v>
      </c>
      <c r="D131" s="6" t="s">
        <v>1536</v>
      </c>
      <c r="E131" s="6" t="s">
        <v>5247</v>
      </c>
      <c r="F131" s="6" t="s">
        <v>5248</v>
      </c>
      <c r="G131" s="6">
        <v>3.0</v>
      </c>
      <c r="H131" s="6">
        <v>16.0</v>
      </c>
      <c r="I131" s="8">
        <v>11549.23</v>
      </c>
      <c r="J131" s="8">
        <v>14199.0</v>
      </c>
      <c r="K131" s="8">
        <v>14999.0</v>
      </c>
    </row>
    <row r="132">
      <c r="A132" s="6" t="s">
        <v>895</v>
      </c>
      <c r="B132" s="6" t="s">
        <v>893</v>
      </c>
      <c r="C132" s="6" t="s">
        <v>894</v>
      </c>
      <c r="D132" s="6" t="s">
        <v>894</v>
      </c>
      <c r="E132" s="6" t="s">
        <v>5122</v>
      </c>
      <c r="F132" s="6" t="s">
        <v>5248</v>
      </c>
      <c r="G132" s="6" t="e">
        <v>#N/A</v>
      </c>
      <c r="H132" s="6">
        <v>0.0</v>
      </c>
      <c r="I132" s="8">
        <v>11359.2</v>
      </c>
      <c r="J132" s="8">
        <v>12799.0</v>
      </c>
      <c r="K132" s="8">
        <v>14199.0</v>
      </c>
    </row>
    <row r="133">
      <c r="A133" s="6" t="s">
        <v>863</v>
      </c>
      <c r="B133" s="6" t="s">
        <v>861</v>
      </c>
      <c r="C133" s="6" t="s">
        <v>862</v>
      </c>
      <c r="D133" s="6" t="s">
        <v>862</v>
      </c>
      <c r="E133" s="6" t="s">
        <v>5247</v>
      </c>
      <c r="F133" s="6" t="s">
        <v>5248</v>
      </c>
      <c r="G133" s="6">
        <v>32.0</v>
      </c>
      <c r="H133" s="6">
        <v>17.0</v>
      </c>
      <c r="I133" s="8">
        <v>12959.2</v>
      </c>
      <c r="J133" s="8">
        <v>14599.0</v>
      </c>
      <c r="K133" s="8">
        <v>16199.0</v>
      </c>
    </row>
    <row r="134">
      <c r="A134" s="6" t="s">
        <v>1562</v>
      </c>
      <c r="B134" s="6" t="s">
        <v>1560</v>
      </c>
      <c r="C134" s="6" t="s">
        <v>1561</v>
      </c>
      <c r="D134" s="6" t="s">
        <v>1561</v>
      </c>
      <c r="E134" s="6" t="s">
        <v>5247</v>
      </c>
      <c r="F134" s="6" t="s">
        <v>5248</v>
      </c>
      <c r="G134" s="6">
        <v>3.0</v>
      </c>
      <c r="H134" s="6">
        <v>29.0</v>
      </c>
      <c r="I134" s="8">
        <v>14629.23</v>
      </c>
      <c r="J134" s="8">
        <v>17999.0</v>
      </c>
      <c r="K134" s="8">
        <v>18999.0</v>
      </c>
    </row>
    <row r="135">
      <c r="A135" s="6" t="s">
        <v>5255</v>
      </c>
      <c r="B135" s="54" t="s">
        <v>5256</v>
      </c>
      <c r="C135" s="6" t="s">
        <v>5024</v>
      </c>
      <c r="D135" s="6" t="s">
        <v>5024</v>
      </c>
      <c r="E135" s="6" t="s">
        <v>5122</v>
      </c>
      <c r="F135" s="6" t="s">
        <v>5248</v>
      </c>
      <c r="G135" s="6" t="e">
        <v>#N/A</v>
      </c>
      <c r="H135" s="6">
        <v>0.0</v>
      </c>
      <c r="I135" s="8">
        <v>13089.23</v>
      </c>
      <c r="J135" s="8">
        <v>16099.0</v>
      </c>
      <c r="K135" s="8">
        <v>16999.0</v>
      </c>
    </row>
    <row r="136">
      <c r="A136" s="6" t="s">
        <v>826</v>
      </c>
      <c r="B136" s="6" t="s">
        <v>824</v>
      </c>
      <c r="C136" s="6" t="s">
        <v>825</v>
      </c>
      <c r="D136" s="6" t="s">
        <v>825</v>
      </c>
      <c r="E136" s="6" t="s">
        <v>5122</v>
      </c>
      <c r="F136" s="6" t="s">
        <v>5248</v>
      </c>
      <c r="G136" s="6" t="e">
        <v>#N/A</v>
      </c>
      <c r="H136" s="6">
        <v>2.0</v>
      </c>
      <c r="I136" s="8">
        <v>9519.2</v>
      </c>
      <c r="J136" s="8">
        <v>10699.0</v>
      </c>
      <c r="K136" s="8">
        <v>11899.0</v>
      </c>
    </row>
    <row r="137">
      <c r="A137" s="6" t="s">
        <v>5257</v>
      </c>
      <c r="B137" s="54" t="s">
        <v>5258</v>
      </c>
      <c r="C137" s="6" t="s">
        <v>844</v>
      </c>
      <c r="D137" s="6" t="s">
        <v>844</v>
      </c>
      <c r="E137" s="6" t="s">
        <v>5122</v>
      </c>
      <c r="F137" s="6" t="s">
        <v>5248</v>
      </c>
      <c r="G137" s="6" t="e">
        <v>#N/A</v>
      </c>
      <c r="H137" s="6">
        <v>0.0</v>
      </c>
      <c r="I137" s="8">
        <v>10399.2</v>
      </c>
      <c r="J137" s="8">
        <v>11699.0</v>
      </c>
      <c r="K137" s="8">
        <v>12999.0</v>
      </c>
    </row>
    <row r="138">
      <c r="A138" s="6" t="s">
        <v>1660</v>
      </c>
      <c r="B138" s="6" t="s">
        <v>1658</v>
      </c>
      <c r="C138" s="6" t="s">
        <v>1659</v>
      </c>
      <c r="D138" s="6" t="s">
        <v>1659</v>
      </c>
      <c r="E138" s="6" t="s">
        <v>5247</v>
      </c>
      <c r="F138" s="6" t="s">
        <v>5248</v>
      </c>
      <c r="G138" s="6" t="e">
        <v>#N/A</v>
      </c>
      <c r="H138" s="6">
        <v>1.0</v>
      </c>
      <c r="I138" s="8">
        <v>23099.23</v>
      </c>
      <c r="J138" s="8">
        <v>28499.0</v>
      </c>
      <c r="K138" s="8">
        <v>29999.0</v>
      </c>
    </row>
    <row r="139">
      <c r="A139" s="6" t="s">
        <v>4762</v>
      </c>
      <c r="B139" s="6" t="s">
        <v>4760</v>
      </c>
      <c r="C139" s="6" t="s">
        <v>4761</v>
      </c>
      <c r="D139" s="6" t="s">
        <v>4761</v>
      </c>
      <c r="E139" s="6" t="s">
        <v>5247</v>
      </c>
      <c r="F139" s="6" t="s">
        <v>5248</v>
      </c>
      <c r="G139" s="6">
        <v>1.0</v>
      </c>
      <c r="H139" s="6">
        <v>2.0</v>
      </c>
      <c r="I139" s="8">
        <v>14629.23</v>
      </c>
      <c r="J139" s="8">
        <v>17999.0</v>
      </c>
      <c r="K139" s="8">
        <v>18999.0</v>
      </c>
    </row>
    <row r="140">
      <c r="A140" s="6" t="s">
        <v>1542</v>
      </c>
      <c r="B140" s="6" t="s">
        <v>1540</v>
      </c>
      <c r="C140" s="6" t="s">
        <v>1541</v>
      </c>
      <c r="D140" s="6" t="s">
        <v>1541</v>
      </c>
      <c r="E140" s="6" t="s">
        <v>5247</v>
      </c>
      <c r="F140" s="6" t="s">
        <v>5248</v>
      </c>
      <c r="G140" s="6">
        <v>2.0</v>
      </c>
      <c r="H140" s="6">
        <v>31.0</v>
      </c>
      <c r="I140" s="8">
        <v>11549.23</v>
      </c>
      <c r="J140" s="8">
        <v>14199.0</v>
      </c>
      <c r="K140" s="8">
        <v>14999.0</v>
      </c>
    </row>
    <row r="141">
      <c r="A141" s="6" t="s">
        <v>870</v>
      </c>
      <c r="B141" s="6" t="s">
        <v>868</v>
      </c>
      <c r="C141" s="6" t="s">
        <v>869</v>
      </c>
      <c r="D141" s="6" t="s">
        <v>869</v>
      </c>
      <c r="E141" s="6" t="s">
        <v>5122</v>
      </c>
      <c r="F141" s="6" t="s">
        <v>5248</v>
      </c>
      <c r="G141" s="6" t="e">
        <v>#N/A</v>
      </c>
      <c r="H141" s="6">
        <v>0.0</v>
      </c>
      <c r="I141" s="8">
        <v>13199.2</v>
      </c>
      <c r="J141" s="8">
        <v>14799.0</v>
      </c>
      <c r="K141" s="8">
        <v>16499.0</v>
      </c>
    </row>
    <row r="142">
      <c r="A142" s="6" t="s">
        <v>1582</v>
      </c>
      <c r="B142" s="6" t="s">
        <v>1580</v>
      </c>
      <c r="C142" s="6" t="s">
        <v>1581</v>
      </c>
      <c r="D142" s="6" t="s">
        <v>1581</v>
      </c>
      <c r="E142" s="6" t="s">
        <v>5247</v>
      </c>
      <c r="F142" s="6" t="s">
        <v>5248</v>
      </c>
      <c r="G142" s="6">
        <v>22.0</v>
      </c>
      <c r="H142" s="6">
        <v>237.0</v>
      </c>
      <c r="I142" s="8">
        <v>17709.23</v>
      </c>
      <c r="J142" s="8">
        <v>21799.0</v>
      </c>
      <c r="K142" s="8">
        <v>22999.0</v>
      </c>
    </row>
    <row r="143">
      <c r="A143" s="6" t="s">
        <v>912</v>
      </c>
      <c r="B143" s="6" t="s">
        <v>910</v>
      </c>
      <c r="C143" s="6" t="s">
        <v>911</v>
      </c>
      <c r="D143" s="6" t="s">
        <v>911</v>
      </c>
      <c r="E143" s="6" t="s">
        <v>5247</v>
      </c>
      <c r="F143" s="6" t="s">
        <v>5248</v>
      </c>
      <c r="G143" s="6">
        <v>17.0</v>
      </c>
      <c r="H143" s="6">
        <v>116.0</v>
      </c>
      <c r="I143" s="8">
        <v>13599.2</v>
      </c>
      <c r="J143" s="8">
        <v>15299.0</v>
      </c>
      <c r="K143" s="8">
        <v>16999.0</v>
      </c>
    </row>
    <row r="144">
      <c r="A144" s="6" t="s">
        <v>1592</v>
      </c>
      <c r="B144" s="6" t="s">
        <v>1590</v>
      </c>
      <c r="C144" s="6" t="s">
        <v>1591</v>
      </c>
      <c r="D144" s="6" t="s">
        <v>1591</v>
      </c>
      <c r="E144" s="6" t="s">
        <v>5122</v>
      </c>
      <c r="F144" s="6" t="s">
        <v>5248</v>
      </c>
      <c r="G144" s="6">
        <v>3.0</v>
      </c>
      <c r="H144" s="6">
        <v>3.0</v>
      </c>
      <c r="I144" s="8">
        <v>20019.23</v>
      </c>
      <c r="J144" s="8">
        <v>24699.0</v>
      </c>
      <c r="K144" s="8">
        <v>25999.0</v>
      </c>
    </row>
    <row r="145">
      <c r="A145" s="6" t="s">
        <v>1640</v>
      </c>
      <c r="B145" s="6" t="s">
        <v>1638</v>
      </c>
      <c r="C145" s="6" t="s">
        <v>1639</v>
      </c>
      <c r="D145" s="6" t="s">
        <v>1639</v>
      </c>
      <c r="E145" s="6" t="s">
        <v>5247</v>
      </c>
      <c r="F145" s="6" t="s">
        <v>5248</v>
      </c>
      <c r="G145" s="6">
        <v>5.0</v>
      </c>
      <c r="H145" s="6">
        <v>89.0</v>
      </c>
      <c r="I145" s="8">
        <v>20019.23</v>
      </c>
      <c r="J145" s="8">
        <v>24699.0</v>
      </c>
      <c r="K145" s="8">
        <v>25999.0</v>
      </c>
    </row>
    <row r="146">
      <c r="A146" s="6" t="s">
        <v>5120</v>
      </c>
      <c r="B146" s="54" t="s">
        <v>5259</v>
      </c>
      <c r="C146" s="6" t="s">
        <v>1576</v>
      </c>
      <c r="D146" s="6" t="s">
        <v>1576</v>
      </c>
      <c r="E146" s="6" t="s">
        <v>5247</v>
      </c>
      <c r="F146" s="6" t="s">
        <v>5248</v>
      </c>
      <c r="G146" s="6" t="e">
        <v>#N/A</v>
      </c>
      <c r="H146" s="6">
        <v>111.0</v>
      </c>
      <c r="I146" s="8">
        <v>17709.23</v>
      </c>
      <c r="J146" s="8">
        <v>21799.0</v>
      </c>
      <c r="K146" s="8">
        <v>22999.0</v>
      </c>
    </row>
    <row r="147">
      <c r="A147" s="6" t="s">
        <v>1567</v>
      </c>
      <c r="B147" s="6" t="s">
        <v>1565</v>
      </c>
      <c r="C147" s="6" t="s">
        <v>1566</v>
      </c>
      <c r="D147" s="6" t="s">
        <v>1566</v>
      </c>
      <c r="E147" s="6" t="s">
        <v>5247</v>
      </c>
      <c r="F147" s="6" t="s">
        <v>5248</v>
      </c>
      <c r="G147" s="6" t="e">
        <v>#N/A</v>
      </c>
      <c r="H147" s="6">
        <v>28.0</v>
      </c>
      <c r="I147" s="8">
        <v>14629.23</v>
      </c>
      <c r="J147" s="8">
        <v>17999.0</v>
      </c>
      <c r="K147" s="8">
        <v>18999.0</v>
      </c>
    </row>
    <row r="148">
      <c r="A148" s="6" t="s">
        <v>1532</v>
      </c>
      <c r="B148" s="6" t="s">
        <v>1530</v>
      </c>
      <c r="C148" s="6" t="s">
        <v>1531</v>
      </c>
      <c r="D148" s="6" t="s">
        <v>1531</v>
      </c>
      <c r="E148" s="6" t="s">
        <v>5247</v>
      </c>
      <c r="F148" s="6" t="s">
        <v>5248</v>
      </c>
      <c r="G148" s="6">
        <v>11.0</v>
      </c>
      <c r="H148" s="6">
        <v>31.0</v>
      </c>
      <c r="I148" s="8">
        <v>11549.23</v>
      </c>
      <c r="J148" s="8">
        <v>14199.0</v>
      </c>
      <c r="K148" s="8">
        <v>14999.0</v>
      </c>
    </row>
    <row r="149">
      <c r="A149" s="6" t="s">
        <v>5260</v>
      </c>
      <c r="B149" s="6" t="s">
        <v>5008</v>
      </c>
      <c r="C149" s="6" t="s">
        <v>5009</v>
      </c>
      <c r="D149" s="6" t="s">
        <v>5009</v>
      </c>
      <c r="E149" s="6" t="s">
        <v>5122</v>
      </c>
      <c r="F149" s="6" t="s">
        <v>5248</v>
      </c>
      <c r="G149" s="6" t="e">
        <v>#N/A</v>
      </c>
      <c r="H149" s="6">
        <v>0.0</v>
      </c>
      <c r="I149" s="8">
        <v>16939.23</v>
      </c>
      <c r="J149" s="8">
        <v>20899.0</v>
      </c>
      <c r="K149" s="8">
        <v>21999.0</v>
      </c>
    </row>
    <row r="150">
      <c r="A150" s="6" t="s">
        <v>1645</v>
      </c>
      <c r="B150" s="6" t="s">
        <v>1643</v>
      </c>
      <c r="C150" s="6" t="s">
        <v>1644</v>
      </c>
      <c r="D150" s="6" t="s">
        <v>1644</v>
      </c>
      <c r="E150" s="6" t="s">
        <v>5247</v>
      </c>
      <c r="F150" s="6" t="s">
        <v>5248</v>
      </c>
      <c r="G150" s="6">
        <v>23.0</v>
      </c>
      <c r="H150" s="6">
        <v>207.0</v>
      </c>
      <c r="I150" s="8">
        <v>20019.23</v>
      </c>
      <c r="J150" s="8">
        <v>24699.0</v>
      </c>
      <c r="K150" s="8">
        <v>25999.0</v>
      </c>
    </row>
    <row r="151">
      <c r="A151" s="6" t="s">
        <v>4766</v>
      </c>
      <c r="B151" s="6" t="s">
        <v>4764</v>
      </c>
      <c r="C151" s="6" t="s">
        <v>4765</v>
      </c>
      <c r="D151" s="6" t="s">
        <v>4765</v>
      </c>
      <c r="E151" s="6" t="s">
        <v>5122</v>
      </c>
      <c r="F151" s="6" t="s">
        <v>5248</v>
      </c>
      <c r="G151" s="6">
        <v>1.0</v>
      </c>
      <c r="H151" s="6">
        <v>0.0</v>
      </c>
      <c r="I151" s="8">
        <v>20019.23</v>
      </c>
      <c r="J151" s="8">
        <v>24699.0</v>
      </c>
      <c r="K151" s="8">
        <v>25999.0</v>
      </c>
    </row>
    <row r="152">
      <c r="A152" s="6" t="s">
        <v>1670</v>
      </c>
      <c r="B152" s="6" t="s">
        <v>1668</v>
      </c>
      <c r="C152" s="6" t="s">
        <v>1669</v>
      </c>
      <c r="D152" s="6" t="s">
        <v>1669</v>
      </c>
      <c r="E152" s="6" t="s">
        <v>5247</v>
      </c>
      <c r="F152" s="6" t="s">
        <v>5248</v>
      </c>
      <c r="G152" s="6">
        <v>9.0</v>
      </c>
      <c r="H152" s="6">
        <v>49.0</v>
      </c>
      <c r="I152" s="8">
        <v>23099.23</v>
      </c>
      <c r="J152" s="8">
        <v>28499.0</v>
      </c>
      <c r="K152" s="8">
        <v>29999.0</v>
      </c>
    </row>
    <row r="153">
      <c r="A153" s="6" t="s">
        <v>1587</v>
      </c>
      <c r="B153" s="6" t="s">
        <v>1585</v>
      </c>
      <c r="C153" s="6" t="s">
        <v>1586</v>
      </c>
      <c r="D153" s="6" t="s">
        <v>1586</v>
      </c>
      <c r="E153" s="6" t="s">
        <v>5247</v>
      </c>
      <c r="F153" s="6" t="s">
        <v>5248</v>
      </c>
      <c r="G153" s="6">
        <v>2.0</v>
      </c>
      <c r="H153" s="6">
        <v>16.0</v>
      </c>
      <c r="I153" s="8">
        <v>20019.23</v>
      </c>
      <c r="J153" s="8">
        <v>24699.0</v>
      </c>
      <c r="K153" s="8">
        <v>25999.0</v>
      </c>
    </row>
    <row r="154">
      <c r="A154" s="6" t="s">
        <v>1665</v>
      </c>
      <c r="B154" s="6" t="s">
        <v>1663</v>
      </c>
      <c r="C154" s="6" t="s">
        <v>1664</v>
      </c>
      <c r="D154" s="6" t="s">
        <v>1664</v>
      </c>
      <c r="E154" s="6" t="s">
        <v>5247</v>
      </c>
      <c r="F154" s="6" t="s">
        <v>5248</v>
      </c>
      <c r="G154" s="6">
        <v>4.0</v>
      </c>
      <c r="H154" s="6">
        <v>8.0</v>
      </c>
      <c r="I154" s="8">
        <v>23099.23</v>
      </c>
      <c r="J154" s="8">
        <v>28499.0</v>
      </c>
      <c r="K154" s="8">
        <v>29999.0</v>
      </c>
    </row>
    <row r="155">
      <c r="A155" s="6" t="s">
        <v>3171</v>
      </c>
      <c r="B155" s="6" t="s">
        <v>3169</v>
      </c>
      <c r="C155" s="6" t="s">
        <v>3170</v>
      </c>
      <c r="D155" s="6" t="s">
        <v>3170</v>
      </c>
      <c r="E155" s="6" t="s">
        <v>5247</v>
      </c>
      <c r="F155" s="6" t="s">
        <v>5248</v>
      </c>
      <c r="G155" s="6">
        <v>2.0</v>
      </c>
      <c r="H155" s="6">
        <v>145.0</v>
      </c>
      <c r="I155" s="8">
        <v>2549.15</v>
      </c>
      <c r="J155" s="8">
        <v>2599.0</v>
      </c>
      <c r="K155" s="8">
        <v>2999.0</v>
      </c>
    </row>
    <row r="156">
      <c r="A156" s="6" t="s">
        <v>3177</v>
      </c>
      <c r="B156" s="6" t="s">
        <v>3175</v>
      </c>
      <c r="C156" s="6" t="s">
        <v>3176</v>
      </c>
      <c r="D156" s="6" t="s">
        <v>3176</v>
      </c>
      <c r="E156" s="6" t="s">
        <v>5247</v>
      </c>
      <c r="F156" s="6" t="s">
        <v>5248</v>
      </c>
      <c r="G156" s="6">
        <v>1.0</v>
      </c>
      <c r="H156" s="6">
        <v>103.0</v>
      </c>
      <c r="I156" s="8">
        <v>2549.15</v>
      </c>
      <c r="J156" s="8">
        <v>2599.0</v>
      </c>
      <c r="K156" s="8">
        <v>2999.0</v>
      </c>
    </row>
    <row r="157">
      <c r="A157" s="6" t="s">
        <v>3183</v>
      </c>
      <c r="B157" s="6" t="s">
        <v>3181</v>
      </c>
      <c r="C157" s="6" t="s">
        <v>3182</v>
      </c>
      <c r="D157" s="6" t="s">
        <v>3182</v>
      </c>
      <c r="E157" s="6" t="s">
        <v>5247</v>
      </c>
      <c r="F157" s="6" t="s">
        <v>5248</v>
      </c>
      <c r="G157" s="6" t="e">
        <v>#N/A</v>
      </c>
      <c r="H157" s="6">
        <v>141.0</v>
      </c>
      <c r="I157" s="8">
        <v>2549.15</v>
      </c>
      <c r="J157" s="8">
        <v>2599.0</v>
      </c>
      <c r="K157" s="8">
        <v>2999.0</v>
      </c>
    </row>
    <row r="158">
      <c r="A158" s="6" t="s">
        <v>4769</v>
      </c>
      <c r="B158" s="55" t="s">
        <v>1170</v>
      </c>
      <c r="C158" s="6" t="s">
        <v>4768</v>
      </c>
      <c r="D158" s="6" t="s">
        <v>4768</v>
      </c>
      <c r="E158" s="6" t="s">
        <v>5247</v>
      </c>
      <c r="F158" s="6" t="s">
        <v>5248</v>
      </c>
      <c r="G158" s="6" t="e">
        <v>#N/A</v>
      </c>
      <c r="H158" s="6">
        <v>71.0</v>
      </c>
      <c r="I158" s="8">
        <v>1742.3</v>
      </c>
      <c r="J158" s="8">
        <v>1799.0</v>
      </c>
      <c r="K158" s="8">
        <v>2489.0</v>
      </c>
    </row>
    <row r="159">
      <c r="A159" s="6" t="s">
        <v>1522</v>
      </c>
      <c r="B159" s="6" t="s">
        <v>1520</v>
      </c>
      <c r="C159" s="6" t="s">
        <v>1521</v>
      </c>
      <c r="D159" s="6" t="s">
        <v>1521</v>
      </c>
      <c r="E159" s="6" t="s">
        <v>5247</v>
      </c>
      <c r="F159" s="6" t="s">
        <v>5248</v>
      </c>
      <c r="G159" s="6">
        <v>1.0</v>
      </c>
      <c r="H159" s="6">
        <v>20.0</v>
      </c>
      <c r="I159" s="8">
        <v>10779.23</v>
      </c>
      <c r="J159" s="8">
        <v>13299.0</v>
      </c>
      <c r="K159" s="8">
        <v>13999.0</v>
      </c>
    </row>
    <row r="160">
      <c r="A160" s="6" t="s">
        <v>3520</v>
      </c>
      <c r="B160" s="6" t="s">
        <v>3518</v>
      </c>
      <c r="C160" s="6" t="s">
        <v>3519</v>
      </c>
      <c r="D160" s="6" t="s">
        <v>3519</v>
      </c>
      <c r="E160" s="6" t="s">
        <v>5247</v>
      </c>
      <c r="F160" s="6" t="s">
        <v>5248</v>
      </c>
      <c r="G160" s="6">
        <v>5.0</v>
      </c>
      <c r="H160" s="6">
        <v>106.0</v>
      </c>
      <c r="I160" s="8">
        <v>4665.65</v>
      </c>
      <c r="J160" s="8">
        <v>4999.0</v>
      </c>
      <c r="K160" s="8">
        <v>5489.0</v>
      </c>
    </row>
    <row r="161">
      <c r="A161" s="6" t="s">
        <v>3515</v>
      </c>
      <c r="B161" s="6" t="s">
        <v>3513</v>
      </c>
      <c r="C161" s="6" t="s">
        <v>3514</v>
      </c>
      <c r="D161" s="6" t="s">
        <v>3514</v>
      </c>
      <c r="E161" s="6" t="s">
        <v>5247</v>
      </c>
      <c r="F161" s="6" t="s">
        <v>5248</v>
      </c>
      <c r="G161" s="6">
        <v>1.0</v>
      </c>
      <c r="H161" s="6">
        <v>49.0</v>
      </c>
      <c r="I161" s="8">
        <v>3390.65</v>
      </c>
      <c r="J161" s="8">
        <v>3599.0</v>
      </c>
      <c r="K161" s="8">
        <v>3989.0</v>
      </c>
    </row>
    <row r="162">
      <c r="A162" s="6" t="s">
        <v>3201</v>
      </c>
      <c r="B162" s="6" t="s">
        <v>3199</v>
      </c>
      <c r="C162" s="6" t="s">
        <v>3200</v>
      </c>
      <c r="D162" s="6" t="s">
        <v>3200</v>
      </c>
      <c r="E162" s="6" t="s">
        <v>5247</v>
      </c>
      <c r="F162" s="6" t="s">
        <v>5248</v>
      </c>
      <c r="G162" s="6">
        <v>1.0</v>
      </c>
      <c r="H162" s="6">
        <v>53.0</v>
      </c>
      <c r="I162" s="8">
        <v>2022.3</v>
      </c>
      <c r="J162" s="8">
        <v>2099.0</v>
      </c>
      <c r="K162" s="8">
        <v>2889.0</v>
      </c>
    </row>
    <row r="163">
      <c r="A163" s="6" t="s">
        <v>3189</v>
      </c>
      <c r="B163" s="6" t="s">
        <v>3187</v>
      </c>
      <c r="C163" s="6" t="s">
        <v>3188</v>
      </c>
      <c r="D163" s="6" t="s">
        <v>3188</v>
      </c>
      <c r="E163" s="6" t="s">
        <v>5247</v>
      </c>
      <c r="F163" s="6" t="s">
        <v>5248</v>
      </c>
      <c r="G163" s="6" t="e">
        <v>#N/A</v>
      </c>
      <c r="H163" s="6">
        <v>44.0</v>
      </c>
      <c r="I163" s="8">
        <v>2399.0</v>
      </c>
      <c r="J163" s="8">
        <v>2499.0</v>
      </c>
      <c r="K163" s="8">
        <v>2889.0</v>
      </c>
    </row>
    <row r="164">
      <c r="A164" s="6" t="s">
        <v>3195</v>
      </c>
      <c r="B164" s="6" t="s">
        <v>3193</v>
      </c>
      <c r="C164" s="6" t="s">
        <v>3194</v>
      </c>
      <c r="D164" s="6" t="s">
        <v>3194</v>
      </c>
      <c r="E164" s="6" t="s">
        <v>5247</v>
      </c>
      <c r="F164" s="6" t="s">
        <v>5248</v>
      </c>
      <c r="G164" s="6">
        <v>1.0</v>
      </c>
      <c r="H164" s="6">
        <v>57.0</v>
      </c>
      <c r="I164" s="8">
        <v>2399.0</v>
      </c>
      <c r="J164" s="8">
        <v>2499.0</v>
      </c>
      <c r="K164" s="8">
        <v>2889.0</v>
      </c>
    </row>
    <row r="165">
      <c r="A165" s="6" t="s">
        <v>414</v>
      </c>
      <c r="B165" s="6" t="s">
        <v>412</v>
      </c>
      <c r="C165" s="6" t="s">
        <v>413</v>
      </c>
      <c r="D165" s="6" t="s">
        <v>413</v>
      </c>
      <c r="E165" s="6" t="s">
        <v>5122</v>
      </c>
      <c r="F165" s="6" t="s">
        <v>5248</v>
      </c>
      <c r="G165" s="6" t="e">
        <v>#N/A</v>
      </c>
      <c r="H165" s="6">
        <v>0.0</v>
      </c>
      <c r="I165" s="8">
        <v>15731.24</v>
      </c>
      <c r="J165" s="8">
        <v>17999.0</v>
      </c>
      <c r="K165" s="8">
        <v>20699.0</v>
      </c>
    </row>
    <row r="166">
      <c r="A166" s="6" t="s">
        <v>403</v>
      </c>
      <c r="B166" s="6" t="s">
        <v>401</v>
      </c>
      <c r="C166" s="6" t="s">
        <v>402</v>
      </c>
      <c r="D166" s="6" t="s">
        <v>402</v>
      </c>
      <c r="E166" s="6" t="s">
        <v>5247</v>
      </c>
      <c r="F166" s="6" t="s">
        <v>5248</v>
      </c>
      <c r="G166" s="6">
        <v>3.0</v>
      </c>
      <c r="H166" s="6">
        <v>9.0</v>
      </c>
      <c r="I166" s="8">
        <v>15047.24</v>
      </c>
      <c r="J166" s="8">
        <v>17199.0</v>
      </c>
      <c r="K166" s="8">
        <v>19799.0</v>
      </c>
    </row>
    <row r="167">
      <c r="A167" s="6" t="s">
        <v>604</v>
      </c>
      <c r="B167" s="6" t="s">
        <v>602</v>
      </c>
      <c r="C167" s="6" t="s">
        <v>603</v>
      </c>
      <c r="D167" s="6" t="s">
        <v>603</v>
      </c>
      <c r="E167" s="6" t="s">
        <v>5247</v>
      </c>
      <c r="F167" s="6" t="s">
        <v>5248</v>
      </c>
      <c r="G167" s="6">
        <v>8.0</v>
      </c>
      <c r="H167" s="6">
        <v>15.0</v>
      </c>
      <c r="I167" s="8">
        <v>14439.24</v>
      </c>
      <c r="J167" s="8">
        <v>16499.0</v>
      </c>
      <c r="K167" s="8">
        <v>18999.0</v>
      </c>
    </row>
    <row r="168">
      <c r="A168" s="6" t="s">
        <v>55</v>
      </c>
      <c r="B168" s="6" t="s">
        <v>53</v>
      </c>
      <c r="C168" s="6" t="s">
        <v>54</v>
      </c>
      <c r="D168" s="6" t="s">
        <v>54</v>
      </c>
      <c r="E168" s="6" t="s">
        <v>5247</v>
      </c>
      <c r="F168" s="6" t="s">
        <v>5248</v>
      </c>
      <c r="G168" s="6">
        <v>2.0</v>
      </c>
      <c r="H168" s="6">
        <v>4.0</v>
      </c>
      <c r="I168" s="8">
        <v>7903.24</v>
      </c>
      <c r="J168" s="8">
        <v>8999.0</v>
      </c>
      <c r="K168" s="8">
        <v>10399.0</v>
      </c>
    </row>
    <row r="169">
      <c r="A169" s="6" t="s">
        <v>46</v>
      </c>
      <c r="B169" s="6" t="s">
        <v>44</v>
      </c>
      <c r="C169" s="6" t="s">
        <v>45</v>
      </c>
      <c r="D169" s="6" t="s">
        <v>45</v>
      </c>
      <c r="E169" s="6" t="s">
        <v>5122</v>
      </c>
      <c r="F169" s="6" t="s">
        <v>5248</v>
      </c>
      <c r="G169" s="6" t="e">
        <v>#N/A</v>
      </c>
      <c r="H169" s="6">
        <v>0.0</v>
      </c>
      <c r="I169" s="8">
        <v>9423.24</v>
      </c>
      <c r="J169" s="8">
        <v>10799.0</v>
      </c>
      <c r="K169" s="8">
        <v>12399.0</v>
      </c>
    </row>
    <row r="170">
      <c r="A170" s="6" t="s">
        <v>18</v>
      </c>
      <c r="B170" s="6" t="s">
        <v>16</v>
      </c>
      <c r="C170" s="6" t="s">
        <v>17</v>
      </c>
      <c r="D170" s="6" t="s">
        <v>17</v>
      </c>
      <c r="E170" s="6" t="s">
        <v>5247</v>
      </c>
      <c r="F170" s="6" t="s">
        <v>5248</v>
      </c>
      <c r="G170" s="6">
        <v>16.0</v>
      </c>
      <c r="H170" s="6">
        <v>25.0</v>
      </c>
      <c r="I170" s="8">
        <v>7143.24</v>
      </c>
      <c r="J170" s="8">
        <v>8199.0</v>
      </c>
      <c r="K170" s="8">
        <v>9399.0</v>
      </c>
    </row>
    <row r="171">
      <c r="A171" s="6" t="s">
        <v>654</v>
      </c>
      <c r="B171" s="6" t="s">
        <v>652</v>
      </c>
      <c r="C171" s="6" t="s">
        <v>653</v>
      </c>
      <c r="D171" s="6" t="s">
        <v>653</v>
      </c>
      <c r="E171" s="6" t="s">
        <v>5122</v>
      </c>
      <c r="F171" s="6" t="s">
        <v>5248</v>
      </c>
      <c r="G171" s="6">
        <v>7.0</v>
      </c>
      <c r="H171" s="6">
        <v>0.0</v>
      </c>
      <c r="I171" s="8">
        <v>16719.24</v>
      </c>
      <c r="J171" s="8">
        <v>19099.0</v>
      </c>
      <c r="K171" s="8">
        <v>21999.0</v>
      </c>
    </row>
    <row r="172">
      <c r="A172" s="6" t="s">
        <v>451</v>
      </c>
      <c r="B172" s="6" t="s">
        <v>449</v>
      </c>
      <c r="C172" s="6" t="s">
        <v>450</v>
      </c>
      <c r="D172" s="6" t="s">
        <v>450</v>
      </c>
      <c r="E172" s="6" t="s">
        <v>5247</v>
      </c>
      <c r="F172" s="6" t="s">
        <v>5248</v>
      </c>
      <c r="G172" s="6">
        <v>2.0</v>
      </c>
      <c r="H172" s="6">
        <v>4.0</v>
      </c>
      <c r="I172" s="8">
        <v>16339.24</v>
      </c>
      <c r="J172" s="8">
        <v>18699.0</v>
      </c>
      <c r="K172" s="8">
        <v>21499.0</v>
      </c>
    </row>
    <row r="173">
      <c r="A173" s="6" t="s">
        <v>445</v>
      </c>
      <c r="B173" s="6" t="s">
        <v>443</v>
      </c>
      <c r="C173" s="6" t="s">
        <v>444</v>
      </c>
      <c r="D173" s="6" t="s">
        <v>444</v>
      </c>
      <c r="E173" s="6" t="s">
        <v>5122</v>
      </c>
      <c r="F173" s="6" t="s">
        <v>5248</v>
      </c>
      <c r="G173" s="6" t="e">
        <v>#N/A</v>
      </c>
      <c r="H173" s="6">
        <v>0.0</v>
      </c>
      <c r="I173" s="8">
        <v>17023.24</v>
      </c>
      <c r="J173" s="8">
        <v>19499.0</v>
      </c>
      <c r="K173" s="8">
        <v>22399.0</v>
      </c>
    </row>
    <row r="174">
      <c r="A174" s="6" t="s">
        <v>260</v>
      </c>
      <c r="B174" s="6" t="s">
        <v>258</v>
      </c>
      <c r="C174" s="6" t="s">
        <v>259</v>
      </c>
      <c r="D174" s="6" t="s">
        <v>259</v>
      </c>
      <c r="E174" s="6" t="s">
        <v>5247</v>
      </c>
      <c r="F174" s="6" t="s">
        <v>5248</v>
      </c>
      <c r="G174" s="6">
        <v>6.0</v>
      </c>
      <c r="H174" s="6">
        <v>36.0</v>
      </c>
      <c r="I174" s="8">
        <v>12615.24</v>
      </c>
      <c r="J174" s="8">
        <v>14399.0</v>
      </c>
      <c r="K174" s="8">
        <v>16599.0</v>
      </c>
    </row>
    <row r="175">
      <c r="A175" s="6" t="s">
        <v>457</v>
      </c>
      <c r="B175" s="6" t="s">
        <v>455</v>
      </c>
      <c r="C175" s="6" t="s">
        <v>456</v>
      </c>
      <c r="D175" s="6" t="s">
        <v>456</v>
      </c>
      <c r="E175" s="6" t="s">
        <v>5247</v>
      </c>
      <c r="F175" s="6" t="s">
        <v>5248</v>
      </c>
      <c r="G175" s="6">
        <v>2.0</v>
      </c>
      <c r="H175" s="6">
        <v>2.0</v>
      </c>
      <c r="I175" s="8">
        <v>17859.24</v>
      </c>
      <c r="J175" s="8">
        <v>20399.0</v>
      </c>
      <c r="K175" s="8">
        <v>23499.0</v>
      </c>
    </row>
    <row r="176">
      <c r="A176" s="6" t="s">
        <v>408</v>
      </c>
      <c r="B176" s="6" t="s">
        <v>406</v>
      </c>
      <c r="C176" s="6" t="s">
        <v>407</v>
      </c>
      <c r="D176" s="6" t="s">
        <v>407</v>
      </c>
      <c r="E176" s="6" t="s">
        <v>5122</v>
      </c>
      <c r="F176" s="6" t="s">
        <v>5248</v>
      </c>
      <c r="G176" s="6">
        <v>1.0</v>
      </c>
      <c r="H176" s="6">
        <v>4.0</v>
      </c>
      <c r="I176" s="8">
        <v>15199.24</v>
      </c>
      <c r="J176" s="8">
        <v>17399.0</v>
      </c>
      <c r="K176" s="8">
        <v>19999.0</v>
      </c>
    </row>
    <row r="177">
      <c r="A177" s="6" t="s">
        <v>267</v>
      </c>
      <c r="B177" s="6" t="s">
        <v>265</v>
      </c>
      <c r="C177" s="6" t="s">
        <v>266</v>
      </c>
      <c r="D177" s="6" t="s">
        <v>266</v>
      </c>
      <c r="E177" s="6" t="s">
        <v>5122</v>
      </c>
      <c r="F177" s="6" t="s">
        <v>5248</v>
      </c>
      <c r="G177" s="6">
        <v>2.0</v>
      </c>
      <c r="H177" s="6">
        <v>0.0</v>
      </c>
      <c r="I177" s="8">
        <v>12843.24</v>
      </c>
      <c r="J177" s="8">
        <v>14699.0</v>
      </c>
      <c r="K177" s="8">
        <v>16899.0</v>
      </c>
    </row>
    <row r="178">
      <c r="A178" s="6" t="s">
        <v>701</v>
      </c>
      <c r="B178" s="6" t="s">
        <v>699</v>
      </c>
      <c r="C178" s="6" t="s">
        <v>700</v>
      </c>
      <c r="D178" s="6" t="s">
        <v>700</v>
      </c>
      <c r="E178" s="6" t="s">
        <v>5122</v>
      </c>
      <c r="F178" s="6" t="s">
        <v>5248</v>
      </c>
      <c r="G178" s="6" t="e">
        <v>#N/A</v>
      </c>
      <c r="H178" s="6">
        <v>0.0</v>
      </c>
      <c r="I178" s="8">
        <v>20139.24</v>
      </c>
      <c r="J178" s="8">
        <v>23099.0</v>
      </c>
      <c r="K178" s="8">
        <v>26499.0</v>
      </c>
    </row>
    <row r="179">
      <c r="A179" s="6" t="s">
        <v>5261</v>
      </c>
      <c r="B179" s="6" t="s">
        <v>4900</v>
      </c>
      <c r="C179" s="6" t="s">
        <v>4901</v>
      </c>
      <c r="D179" s="6" t="s">
        <v>4901</v>
      </c>
      <c r="E179" s="6" t="s">
        <v>5122</v>
      </c>
      <c r="F179" s="6" t="s">
        <v>5248</v>
      </c>
      <c r="G179" s="6" t="e">
        <v>#N/A</v>
      </c>
      <c r="H179" s="6">
        <v>0.0</v>
      </c>
      <c r="I179" s="8">
        <v>1491.75</v>
      </c>
      <c r="J179" s="8">
        <v>1628.0</v>
      </c>
      <c r="K179" s="8">
        <v>1989.0</v>
      </c>
    </row>
    <row r="180">
      <c r="A180" s="6" t="s">
        <v>5126</v>
      </c>
      <c r="B180" s="6" t="s">
        <v>2777</v>
      </c>
      <c r="C180" s="6" t="s">
        <v>2778</v>
      </c>
      <c r="D180" s="6" t="s">
        <v>2778</v>
      </c>
      <c r="E180" s="6" t="s">
        <v>5247</v>
      </c>
      <c r="F180" s="6" t="s">
        <v>5248</v>
      </c>
      <c r="G180" s="6">
        <v>10.0</v>
      </c>
      <c r="H180" s="6">
        <v>70.0</v>
      </c>
      <c r="I180" s="8">
        <v>1491.75</v>
      </c>
      <c r="J180" s="8">
        <v>1628.0</v>
      </c>
      <c r="K180" s="8">
        <v>1989.0</v>
      </c>
    </row>
    <row r="181">
      <c r="A181" s="6" t="s">
        <v>2824</v>
      </c>
      <c r="B181" s="6" t="s">
        <v>2822</v>
      </c>
      <c r="C181" s="6" t="s">
        <v>2823</v>
      </c>
      <c r="D181" s="6" t="s">
        <v>2823</v>
      </c>
      <c r="E181" s="6" t="s">
        <v>5247</v>
      </c>
      <c r="F181" s="6" t="s">
        <v>5248</v>
      </c>
      <c r="G181" s="6">
        <v>8.0</v>
      </c>
      <c r="H181" s="6">
        <v>85.0</v>
      </c>
      <c r="I181" s="8">
        <v>1641.75</v>
      </c>
      <c r="J181" s="8">
        <v>1799.0</v>
      </c>
      <c r="K181" s="8">
        <v>2189.0</v>
      </c>
    </row>
    <row r="182">
      <c r="A182" s="6" t="s">
        <v>2831</v>
      </c>
      <c r="B182" s="6" t="s">
        <v>2828</v>
      </c>
      <c r="C182" s="6" t="s">
        <v>2829</v>
      </c>
      <c r="D182" s="6" t="s">
        <v>2829</v>
      </c>
      <c r="E182" s="6" t="s">
        <v>5247</v>
      </c>
      <c r="F182" s="6" t="s">
        <v>5248</v>
      </c>
      <c r="G182" s="6">
        <v>12.0</v>
      </c>
      <c r="H182" s="6">
        <v>33.0</v>
      </c>
      <c r="I182" s="8">
        <v>1641.75</v>
      </c>
      <c r="J182" s="8">
        <v>1799.0</v>
      </c>
      <c r="K182" s="8">
        <v>2189.0</v>
      </c>
    </row>
    <row r="183">
      <c r="A183" s="6" t="s">
        <v>2785</v>
      </c>
      <c r="B183" s="6" t="s">
        <v>2783</v>
      </c>
      <c r="C183" s="6" t="s">
        <v>2784</v>
      </c>
      <c r="D183" s="6" t="s">
        <v>2784</v>
      </c>
      <c r="E183" s="6" t="s">
        <v>5247</v>
      </c>
      <c r="F183" s="6" t="s">
        <v>5248</v>
      </c>
      <c r="G183" s="6">
        <v>16.0</v>
      </c>
      <c r="H183" s="6">
        <v>21.0</v>
      </c>
      <c r="I183" s="8">
        <v>1491.75</v>
      </c>
      <c r="J183" s="8">
        <v>1628.0</v>
      </c>
      <c r="K183" s="8">
        <v>1989.0</v>
      </c>
    </row>
    <row r="184">
      <c r="A184" s="6" t="s">
        <v>3167</v>
      </c>
      <c r="B184" s="6" t="s">
        <v>3164</v>
      </c>
      <c r="C184" s="6" t="s">
        <v>3165</v>
      </c>
      <c r="D184" s="6" t="s">
        <v>3165</v>
      </c>
      <c r="E184" s="6" t="s">
        <v>5247</v>
      </c>
      <c r="F184" s="6" t="s">
        <v>5248</v>
      </c>
      <c r="G184" s="6">
        <v>10.0</v>
      </c>
      <c r="H184" s="6">
        <v>184.0</v>
      </c>
      <c r="I184" s="8">
        <v>3191.2</v>
      </c>
      <c r="J184" s="8">
        <v>3399.0</v>
      </c>
      <c r="K184" s="8">
        <v>3989.0</v>
      </c>
    </row>
    <row r="185">
      <c r="A185" s="6" t="s">
        <v>2992</v>
      </c>
      <c r="B185" s="6" t="s">
        <v>2990</v>
      </c>
      <c r="C185" s="6" t="s">
        <v>2991</v>
      </c>
      <c r="D185" s="6" t="s">
        <v>2991</v>
      </c>
      <c r="E185" s="6" t="s">
        <v>5247</v>
      </c>
      <c r="F185" s="6" t="s">
        <v>5248</v>
      </c>
      <c r="G185" s="6">
        <v>5.0</v>
      </c>
      <c r="H185" s="6">
        <v>201.0</v>
      </c>
      <c r="I185" s="8">
        <v>2231.2</v>
      </c>
      <c r="J185" s="8">
        <v>2499.0</v>
      </c>
      <c r="K185" s="8">
        <v>2789.0</v>
      </c>
    </row>
    <row r="186">
      <c r="A186" s="6" t="s">
        <v>2997</v>
      </c>
      <c r="B186" s="6" t="s">
        <v>2995</v>
      </c>
      <c r="C186" s="6" t="s">
        <v>2996</v>
      </c>
      <c r="D186" s="6" t="s">
        <v>2996</v>
      </c>
      <c r="E186" s="6" t="s">
        <v>5247</v>
      </c>
      <c r="F186" s="6" t="s">
        <v>5248</v>
      </c>
      <c r="G186" s="6">
        <v>9.0</v>
      </c>
      <c r="H186" s="6">
        <v>70.0</v>
      </c>
      <c r="I186" s="8">
        <v>2231.2</v>
      </c>
      <c r="J186" s="8">
        <v>2499.0</v>
      </c>
      <c r="K186" s="8">
        <v>2789.0</v>
      </c>
    </row>
    <row r="187">
      <c r="A187" s="6" t="s">
        <v>5262</v>
      </c>
      <c r="B187" s="6" t="s">
        <v>4906</v>
      </c>
      <c r="C187" s="6" t="s">
        <v>4907</v>
      </c>
      <c r="D187" s="6" t="s">
        <v>4907</v>
      </c>
      <c r="E187" s="6" t="s">
        <v>5122</v>
      </c>
      <c r="F187" s="6" t="s">
        <v>5248</v>
      </c>
      <c r="G187" s="6" t="e">
        <v>#N/A</v>
      </c>
      <c r="H187" s="6">
        <v>0.0</v>
      </c>
      <c r="I187" s="8">
        <v>2199.0</v>
      </c>
      <c r="J187" s="8">
        <v>2299.0</v>
      </c>
      <c r="K187" s="8">
        <v>2789.0</v>
      </c>
    </row>
    <row r="188">
      <c r="A188" s="6" t="s">
        <v>2886</v>
      </c>
      <c r="B188" s="6" t="s">
        <v>2884</v>
      </c>
      <c r="C188" s="6" t="s">
        <v>2885</v>
      </c>
      <c r="D188" s="6" t="s">
        <v>2885</v>
      </c>
      <c r="E188" s="6" t="s">
        <v>5247</v>
      </c>
      <c r="F188" s="6" t="s">
        <v>5248</v>
      </c>
      <c r="G188" s="6">
        <v>4.0</v>
      </c>
      <c r="H188" s="6">
        <v>7.0</v>
      </c>
      <c r="I188" s="8">
        <v>1641.75</v>
      </c>
      <c r="J188" s="8">
        <v>1799.0</v>
      </c>
      <c r="K188" s="8">
        <v>2189.0</v>
      </c>
    </row>
    <row r="189">
      <c r="A189" s="6" t="s">
        <v>2725</v>
      </c>
      <c r="B189" s="6" t="s">
        <v>2722</v>
      </c>
      <c r="C189" s="6" t="s">
        <v>2723</v>
      </c>
      <c r="D189" s="6" t="s">
        <v>2723</v>
      </c>
      <c r="E189" s="6" t="s">
        <v>5247</v>
      </c>
      <c r="F189" s="6" t="s">
        <v>5248</v>
      </c>
      <c r="G189" s="6">
        <v>4.0</v>
      </c>
      <c r="H189" s="6">
        <v>3.0</v>
      </c>
      <c r="I189" s="8">
        <v>1491.75</v>
      </c>
      <c r="J189" s="8">
        <v>1628.0</v>
      </c>
      <c r="K189" s="8">
        <v>1989.0</v>
      </c>
    </row>
    <row r="190">
      <c r="A190" s="6" t="s">
        <v>2794</v>
      </c>
      <c r="B190" s="6" t="s">
        <v>2792</v>
      </c>
      <c r="C190" s="6" t="s">
        <v>2793</v>
      </c>
      <c r="D190" s="6" t="s">
        <v>2793</v>
      </c>
      <c r="E190" s="6" t="s">
        <v>5247</v>
      </c>
      <c r="F190" s="6" t="s">
        <v>5248</v>
      </c>
      <c r="G190" s="6">
        <v>2.0</v>
      </c>
      <c r="H190" s="6">
        <v>17.0</v>
      </c>
      <c r="I190" s="8">
        <v>1641.75</v>
      </c>
      <c r="J190" s="8">
        <v>1799.0</v>
      </c>
      <c r="K190" s="8">
        <v>2189.0</v>
      </c>
    </row>
    <row r="191">
      <c r="A191" s="6" t="s">
        <v>5263</v>
      </c>
      <c r="B191" s="6" t="s">
        <v>4892</v>
      </c>
      <c r="C191" s="6" t="s">
        <v>4893</v>
      </c>
      <c r="D191" s="6" t="s">
        <v>4893</v>
      </c>
      <c r="E191" s="6" t="s">
        <v>5122</v>
      </c>
      <c r="F191" s="6" t="s">
        <v>5248</v>
      </c>
      <c r="G191" s="6" t="e">
        <v>#N/A</v>
      </c>
      <c r="H191" s="6">
        <v>0.0</v>
      </c>
      <c r="I191" s="8">
        <v>1641.75</v>
      </c>
      <c r="J191" s="8">
        <v>1799.0</v>
      </c>
      <c r="K191" s="8">
        <v>2189.0</v>
      </c>
    </row>
    <row r="192">
      <c r="A192" s="6" t="s">
        <v>5264</v>
      </c>
      <c r="B192" s="6" t="s">
        <v>4896</v>
      </c>
      <c r="C192" s="6" t="s">
        <v>4897</v>
      </c>
      <c r="D192" s="6" t="s">
        <v>4897</v>
      </c>
      <c r="E192" s="6" t="s">
        <v>5122</v>
      </c>
      <c r="F192" s="6" t="s">
        <v>5248</v>
      </c>
      <c r="G192" s="6" t="e">
        <v>#N/A</v>
      </c>
      <c r="H192" s="6">
        <v>0.0</v>
      </c>
      <c r="I192" s="8">
        <v>1491.75</v>
      </c>
      <c r="J192" s="8">
        <v>1628.0</v>
      </c>
      <c r="K192" s="8">
        <v>1989.0</v>
      </c>
    </row>
    <row r="193">
      <c r="A193" s="6" t="s">
        <v>2730</v>
      </c>
      <c r="B193" s="6" t="s">
        <v>2728</v>
      </c>
      <c r="C193" s="6" t="s">
        <v>2729</v>
      </c>
      <c r="D193" s="6" t="s">
        <v>2729</v>
      </c>
      <c r="E193" s="6" t="s">
        <v>5247</v>
      </c>
      <c r="F193" s="6" t="s">
        <v>5248</v>
      </c>
      <c r="G193" s="6">
        <v>3.0</v>
      </c>
      <c r="H193" s="6">
        <v>25.0</v>
      </c>
      <c r="I193" s="8">
        <v>1491.75</v>
      </c>
      <c r="J193" s="8">
        <v>1628.0</v>
      </c>
      <c r="K193" s="8">
        <v>1989.0</v>
      </c>
    </row>
    <row r="194">
      <c r="A194" s="6" t="s">
        <v>2891</v>
      </c>
      <c r="B194" s="6" t="s">
        <v>2889</v>
      </c>
      <c r="C194" s="6" t="s">
        <v>2890</v>
      </c>
      <c r="D194" s="6" t="s">
        <v>2890</v>
      </c>
      <c r="E194" s="6" t="s">
        <v>5247</v>
      </c>
      <c r="F194" s="6" t="s">
        <v>5248</v>
      </c>
      <c r="G194" s="6">
        <v>16.0</v>
      </c>
      <c r="H194" s="6">
        <v>102.0</v>
      </c>
      <c r="I194" s="8">
        <v>1866.75</v>
      </c>
      <c r="J194" s="8">
        <v>2037.0</v>
      </c>
      <c r="K194" s="8">
        <v>2489.0</v>
      </c>
    </row>
    <row r="195">
      <c r="A195" s="6" t="s">
        <v>2775</v>
      </c>
      <c r="B195" s="6" t="s">
        <v>2773</v>
      </c>
      <c r="C195" s="6" t="s">
        <v>2774</v>
      </c>
      <c r="D195" s="6" t="s">
        <v>2774</v>
      </c>
      <c r="E195" s="6" t="s">
        <v>5247</v>
      </c>
      <c r="F195" s="6" t="s">
        <v>5248</v>
      </c>
      <c r="G195" s="6">
        <v>12.0</v>
      </c>
      <c r="H195" s="6">
        <v>83.0</v>
      </c>
      <c r="I195" s="8">
        <v>1866.75</v>
      </c>
      <c r="J195" s="8">
        <v>2037.0</v>
      </c>
      <c r="K195" s="8">
        <v>2489.0</v>
      </c>
    </row>
    <row r="196">
      <c r="A196" s="6" t="s">
        <v>2987</v>
      </c>
      <c r="B196" s="6" t="s">
        <v>2985</v>
      </c>
      <c r="C196" s="6" t="s">
        <v>2986</v>
      </c>
      <c r="D196" s="6" t="s">
        <v>2986</v>
      </c>
      <c r="E196" s="6" t="s">
        <v>5247</v>
      </c>
      <c r="F196" s="6" t="s">
        <v>5248</v>
      </c>
      <c r="G196" s="6">
        <v>10.0</v>
      </c>
      <c r="H196" s="6">
        <v>71.0</v>
      </c>
      <c r="I196" s="8">
        <v>2391.2</v>
      </c>
      <c r="J196" s="8">
        <v>2699.0</v>
      </c>
      <c r="K196" s="8">
        <v>2989.0</v>
      </c>
    </row>
    <row r="197">
      <c r="A197" s="6" t="s">
        <v>2766</v>
      </c>
      <c r="B197" s="6" t="s">
        <v>2763</v>
      </c>
      <c r="C197" s="6" t="s">
        <v>2764</v>
      </c>
      <c r="D197" s="6" t="s">
        <v>2764</v>
      </c>
      <c r="E197" s="6" t="s">
        <v>5247</v>
      </c>
      <c r="F197" s="6" t="s">
        <v>5248</v>
      </c>
      <c r="G197" s="6">
        <v>9.0</v>
      </c>
      <c r="H197" s="6">
        <v>64.0</v>
      </c>
      <c r="I197" s="8">
        <v>1491.75</v>
      </c>
      <c r="J197" s="8">
        <v>1628.0</v>
      </c>
      <c r="K197" s="8">
        <v>1989.0</v>
      </c>
    </row>
    <row r="198">
      <c r="A198" s="6" t="s">
        <v>2810</v>
      </c>
      <c r="B198" s="6" t="s">
        <v>2807</v>
      </c>
      <c r="C198" s="6" t="s">
        <v>2808</v>
      </c>
      <c r="D198" s="6" t="s">
        <v>2808</v>
      </c>
      <c r="E198" s="6" t="s">
        <v>5247</v>
      </c>
      <c r="F198" s="6" t="s">
        <v>5248</v>
      </c>
      <c r="G198" s="6">
        <v>9.0</v>
      </c>
      <c r="H198" s="6">
        <v>69.0</v>
      </c>
      <c r="I198" s="8">
        <v>1641.75</v>
      </c>
      <c r="J198" s="8">
        <v>1799.0</v>
      </c>
      <c r="K198" s="8">
        <v>2189.0</v>
      </c>
    </row>
    <row r="199">
      <c r="A199" s="6" t="s">
        <v>2771</v>
      </c>
      <c r="B199" s="6" t="s">
        <v>2768</v>
      </c>
      <c r="C199" s="6" t="s">
        <v>2769</v>
      </c>
      <c r="D199" s="6" t="s">
        <v>2769</v>
      </c>
      <c r="E199" s="6" t="s">
        <v>5247</v>
      </c>
      <c r="F199" s="6" t="s">
        <v>5248</v>
      </c>
      <c r="G199" s="6">
        <v>13.0</v>
      </c>
      <c r="H199" s="6">
        <v>68.0</v>
      </c>
      <c r="I199" s="8">
        <v>1716.75</v>
      </c>
      <c r="J199" s="8">
        <v>1899.0</v>
      </c>
      <c r="K199" s="8">
        <v>2289.0</v>
      </c>
    </row>
    <row r="200">
      <c r="A200" s="6" t="s">
        <v>2815</v>
      </c>
      <c r="B200" s="6" t="s">
        <v>2812</v>
      </c>
      <c r="C200" s="6" t="s">
        <v>2813</v>
      </c>
      <c r="D200" s="6" t="s">
        <v>2813</v>
      </c>
      <c r="E200" s="6" t="s">
        <v>5247</v>
      </c>
      <c r="F200" s="6" t="s">
        <v>5248</v>
      </c>
      <c r="G200" s="6">
        <v>15.0</v>
      </c>
      <c r="H200" s="6">
        <v>15.0</v>
      </c>
      <c r="I200" s="8">
        <v>1866.75</v>
      </c>
      <c r="J200" s="8">
        <v>2037.0</v>
      </c>
      <c r="K200" s="8">
        <v>2489.0</v>
      </c>
    </row>
    <row r="201">
      <c r="A201" s="6" t="s">
        <v>2979</v>
      </c>
      <c r="B201" s="6" t="s">
        <v>2977</v>
      </c>
      <c r="C201" s="6" t="s">
        <v>2978</v>
      </c>
      <c r="D201" s="6" t="s">
        <v>2978</v>
      </c>
      <c r="E201" s="6" t="s">
        <v>5122</v>
      </c>
      <c r="F201" s="6" t="s">
        <v>5248</v>
      </c>
      <c r="G201" s="6" t="e">
        <v>#N/A</v>
      </c>
      <c r="H201" s="6">
        <v>240.0</v>
      </c>
      <c r="I201" s="8">
        <v>2231.2</v>
      </c>
      <c r="J201" s="8">
        <v>2499.0</v>
      </c>
      <c r="K201" s="8">
        <v>2789.0</v>
      </c>
    </row>
    <row r="202">
      <c r="A202" s="6" t="s">
        <v>2983</v>
      </c>
      <c r="B202" s="6" t="s">
        <v>2981</v>
      </c>
      <c r="C202" s="6" t="s">
        <v>2982</v>
      </c>
      <c r="D202" s="6" t="s">
        <v>2982</v>
      </c>
      <c r="E202" s="6" t="s">
        <v>5247</v>
      </c>
      <c r="F202" s="6" t="s">
        <v>5248</v>
      </c>
      <c r="G202" s="6">
        <v>3.0</v>
      </c>
      <c r="H202" s="6">
        <v>92.0</v>
      </c>
      <c r="I202" s="8">
        <v>2391.2</v>
      </c>
      <c r="J202" s="8">
        <v>2699.0</v>
      </c>
      <c r="K202" s="8">
        <v>2989.0</v>
      </c>
    </row>
    <row r="203">
      <c r="A203" s="6" t="s">
        <v>806</v>
      </c>
      <c r="B203" s="6" t="s">
        <v>804</v>
      </c>
      <c r="C203" s="6" t="s">
        <v>805</v>
      </c>
      <c r="D203" s="6" t="s">
        <v>805</v>
      </c>
      <c r="E203" s="6" t="s">
        <v>5122</v>
      </c>
      <c r="F203" s="6" t="s">
        <v>5248</v>
      </c>
      <c r="G203" s="6" t="e">
        <v>#N/A</v>
      </c>
      <c r="H203" s="6">
        <v>3.0</v>
      </c>
      <c r="I203" s="8">
        <v>8799.2</v>
      </c>
      <c r="J203" s="8">
        <v>9899.0</v>
      </c>
      <c r="K203" s="8">
        <v>10999.0</v>
      </c>
    </row>
    <row r="204">
      <c r="A204" s="6" t="s">
        <v>2483</v>
      </c>
      <c r="B204" s="6" t="s">
        <v>2481</v>
      </c>
      <c r="C204" s="6" t="s">
        <v>2482</v>
      </c>
      <c r="D204" s="6" t="s">
        <v>2482</v>
      </c>
      <c r="E204" s="6" t="s">
        <v>5247</v>
      </c>
      <c r="F204" s="6" t="s">
        <v>5248</v>
      </c>
      <c r="G204" s="6">
        <v>25.0</v>
      </c>
      <c r="H204" s="6">
        <v>148.0</v>
      </c>
      <c r="I204" s="8">
        <v>999.0</v>
      </c>
      <c r="J204" s="8">
        <v>999.0</v>
      </c>
      <c r="K204" s="8">
        <v>1489.0</v>
      </c>
    </row>
    <row r="205">
      <c r="A205" s="6" t="s">
        <v>2386</v>
      </c>
      <c r="B205" s="6" t="s">
        <v>2384</v>
      </c>
      <c r="C205" s="6" t="s">
        <v>2385</v>
      </c>
      <c r="D205" s="6" t="s">
        <v>2385</v>
      </c>
      <c r="E205" s="6" t="s">
        <v>5247</v>
      </c>
      <c r="F205" s="6" t="s">
        <v>5248</v>
      </c>
      <c r="G205" s="6">
        <v>59.0</v>
      </c>
      <c r="H205" s="6">
        <v>558.0</v>
      </c>
      <c r="I205" s="8">
        <v>1599.0</v>
      </c>
      <c r="J205" s="8">
        <v>1699.0</v>
      </c>
      <c r="K205" s="8">
        <v>1989.0</v>
      </c>
    </row>
    <row r="206">
      <c r="A206" s="6" t="s">
        <v>2009</v>
      </c>
      <c r="B206" s="6" t="s">
        <v>2007</v>
      </c>
      <c r="C206" s="6" t="s">
        <v>2008</v>
      </c>
      <c r="D206" s="6" t="s">
        <v>2008</v>
      </c>
      <c r="E206" s="6" t="s">
        <v>5247</v>
      </c>
      <c r="F206" s="6" t="s">
        <v>5248</v>
      </c>
      <c r="G206" s="6">
        <v>23.0</v>
      </c>
      <c r="H206" s="6">
        <v>32.0</v>
      </c>
      <c r="I206" s="8">
        <v>5249.3</v>
      </c>
      <c r="J206" s="8">
        <v>6399.0</v>
      </c>
      <c r="K206" s="8">
        <v>7499.0</v>
      </c>
    </row>
    <row r="207">
      <c r="A207" s="6" t="s">
        <v>2020</v>
      </c>
      <c r="B207" s="6" t="s">
        <v>2018</v>
      </c>
      <c r="C207" s="6" t="s">
        <v>2019</v>
      </c>
      <c r="D207" s="6" t="s">
        <v>2019</v>
      </c>
      <c r="E207" s="6" t="s">
        <v>5247</v>
      </c>
      <c r="F207" s="6" t="s">
        <v>5248</v>
      </c>
      <c r="G207" s="6">
        <v>12.0</v>
      </c>
      <c r="H207" s="6">
        <v>4.0</v>
      </c>
      <c r="I207" s="8">
        <v>5599.3</v>
      </c>
      <c r="J207" s="8">
        <v>6799.0</v>
      </c>
      <c r="K207" s="8">
        <v>7999.0</v>
      </c>
    </row>
    <row r="208">
      <c r="A208" s="6" t="s">
        <v>2169</v>
      </c>
      <c r="B208" s="6" t="s">
        <v>2167</v>
      </c>
      <c r="C208" s="6" t="s">
        <v>2168</v>
      </c>
      <c r="D208" s="6" t="s">
        <v>2168</v>
      </c>
      <c r="E208" s="6" t="s">
        <v>5122</v>
      </c>
      <c r="F208" s="6" t="s">
        <v>5248</v>
      </c>
      <c r="G208" s="6">
        <v>9.0</v>
      </c>
      <c r="H208" s="6">
        <v>0.0</v>
      </c>
      <c r="I208" s="8">
        <v>5624.25</v>
      </c>
      <c r="J208" s="8">
        <v>6599.0</v>
      </c>
      <c r="K208" s="8">
        <v>7499.0</v>
      </c>
    </row>
    <row r="209">
      <c r="A209" s="6" t="s">
        <v>2179</v>
      </c>
      <c r="B209" s="6" t="s">
        <v>2177</v>
      </c>
      <c r="C209" s="6" t="s">
        <v>2178</v>
      </c>
      <c r="D209" s="6" t="s">
        <v>2178</v>
      </c>
      <c r="E209" s="6" t="s">
        <v>5247</v>
      </c>
      <c r="F209" s="6" t="s">
        <v>5248</v>
      </c>
      <c r="G209" s="6">
        <v>8.0</v>
      </c>
      <c r="H209" s="6">
        <v>41.0</v>
      </c>
      <c r="I209" s="8">
        <v>5624.25</v>
      </c>
      <c r="J209" s="8">
        <v>6599.0</v>
      </c>
      <c r="K209" s="8">
        <v>7499.0</v>
      </c>
    </row>
    <row r="210">
      <c r="A210" s="6" t="s">
        <v>2154</v>
      </c>
      <c r="B210" s="6" t="s">
        <v>2152</v>
      </c>
      <c r="C210" s="6" t="s">
        <v>2153</v>
      </c>
      <c r="D210" s="6" t="s">
        <v>2153</v>
      </c>
      <c r="E210" s="6" t="s">
        <v>5247</v>
      </c>
      <c r="F210" s="6" t="s">
        <v>5248</v>
      </c>
      <c r="G210" s="6">
        <v>28.0</v>
      </c>
      <c r="H210" s="6">
        <v>51.0</v>
      </c>
      <c r="I210" s="8">
        <v>4874.25</v>
      </c>
      <c r="J210" s="8">
        <v>5799.0</v>
      </c>
      <c r="K210" s="8">
        <v>6499.0</v>
      </c>
    </row>
    <row r="211">
      <c r="A211" s="6" t="s">
        <v>2164</v>
      </c>
      <c r="B211" s="6" t="s">
        <v>2162</v>
      </c>
      <c r="C211" s="6" t="s">
        <v>2163</v>
      </c>
      <c r="D211" s="6" t="s">
        <v>2163</v>
      </c>
      <c r="E211" s="6" t="s">
        <v>5247</v>
      </c>
      <c r="F211" s="6" t="s">
        <v>5248</v>
      </c>
      <c r="G211" s="6">
        <v>15.0</v>
      </c>
      <c r="H211" s="6">
        <v>11.0</v>
      </c>
      <c r="I211" s="8">
        <v>4874.25</v>
      </c>
      <c r="J211" s="8">
        <v>5799.0</v>
      </c>
      <c r="K211" s="8">
        <v>6499.0</v>
      </c>
    </row>
    <row r="212">
      <c r="A212" s="6" t="s">
        <v>3375</v>
      </c>
      <c r="B212" s="6" t="s">
        <v>3373</v>
      </c>
      <c r="C212" s="6" t="s">
        <v>3374</v>
      </c>
      <c r="D212" s="6" t="s">
        <v>3374</v>
      </c>
      <c r="E212" s="6" t="s">
        <v>5122</v>
      </c>
      <c r="F212" s="6" t="s">
        <v>5248</v>
      </c>
      <c r="G212" s="6">
        <v>1.0</v>
      </c>
      <c r="H212" s="6">
        <v>97.0</v>
      </c>
      <c r="I212" s="8">
        <v>1860.65</v>
      </c>
      <c r="J212" s="8">
        <v>1999.0</v>
      </c>
      <c r="K212" s="8">
        <v>2189.0</v>
      </c>
    </row>
    <row r="213">
      <c r="A213" s="6" t="s">
        <v>3321</v>
      </c>
      <c r="B213" s="6" t="s">
        <v>3319</v>
      </c>
      <c r="C213" s="6" t="s">
        <v>3320</v>
      </c>
      <c r="D213" s="6" t="s">
        <v>3320</v>
      </c>
      <c r="E213" s="6" t="s">
        <v>5122</v>
      </c>
      <c r="F213" s="6" t="s">
        <v>5248</v>
      </c>
      <c r="G213" s="6">
        <v>1.0</v>
      </c>
      <c r="H213" s="6">
        <v>0.0</v>
      </c>
      <c r="I213" s="8">
        <v>1690.65</v>
      </c>
      <c r="J213" s="8">
        <v>1799.0</v>
      </c>
      <c r="K213" s="8">
        <v>1989.0</v>
      </c>
    </row>
    <row r="214">
      <c r="A214" s="6" t="s">
        <v>3333</v>
      </c>
      <c r="B214" s="6" t="s">
        <v>3331</v>
      </c>
      <c r="C214" s="6" t="s">
        <v>3332</v>
      </c>
      <c r="D214" s="6" t="s">
        <v>3332</v>
      </c>
      <c r="E214" s="6" t="s">
        <v>5122</v>
      </c>
      <c r="F214" s="6" t="s">
        <v>5248</v>
      </c>
      <c r="G214" s="6">
        <v>5.0</v>
      </c>
      <c r="H214" s="6">
        <v>35.0</v>
      </c>
      <c r="I214" s="8">
        <v>1860.65</v>
      </c>
      <c r="J214" s="8">
        <v>1999.0</v>
      </c>
      <c r="K214" s="8">
        <v>2189.0</v>
      </c>
    </row>
    <row r="215">
      <c r="A215" s="6" t="s">
        <v>3387</v>
      </c>
      <c r="B215" s="6" t="s">
        <v>3385</v>
      </c>
      <c r="C215" s="6" t="s">
        <v>3386</v>
      </c>
      <c r="D215" s="6" t="s">
        <v>3386</v>
      </c>
      <c r="E215" s="6" t="s">
        <v>5122</v>
      </c>
      <c r="F215" s="6" t="s">
        <v>5248</v>
      </c>
      <c r="G215" s="6" t="e">
        <v>#N/A</v>
      </c>
      <c r="H215" s="6">
        <v>0.0</v>
      </c>
      <c r="I215" s="8">
        <v>1860.65</v>
      </c>
      <c r="J215" s="8">
        <v>1999.0</v>
      </c>
      <c r="K215" s="8">
        <v>2189.0</v>
      </c>
    </row>
    <row r="216">
      <c r="A216" s="6" t="s">
        <v>3255</v>
      </c>
      <c r="B216" s="6" t="s">
        <v>3253</v>
      </c>
      <c r="C216" s="6" t="s">
        <v>3254</v>
      </c>
      <c r="D216" s="6" t="s">
        <v>3254</v>
      </c>
      <c r="E216" s="6" t="s">
        <v>5122</v>
      </c>
      <c r="F216" s="6" t="s">
        <v>5248</v>
      </c>
      <c r="G216" s="6">
        <v>1.0</v>
      </c>
      <c r="H216" s="6">
        <v>18.0</v>
      </c>
      <c r="I216" s="8">
        <v>1690.65</v>
      </c>
      <c r="J216" s="8">
        <v>1799.0</v>
      </c>
      <c r="K216" s="8">
        <v>1989.0</v>
      </c>
    </row>
    <row r="217">
      <c r="A217" s="6" t="s">
        <v>3273</v>
      </c>
      <c r="B217" s="6" t="s">
        <v>3271</v>
      </c>
      <c r="C217" s="6" t="s">
        <v>3272</v>
      </c>
      <c r="D217" s="6" t="s">
        <v>3272</v>
      </c>
      <c r="E217" s="6" t="s">
        <v>5122</v>
      </c>
      <c r="F217" s="6" t="s">
        <v>5248</v>
      </c>
      <c r="G217" s="6" t="e">
        <v>#N/A</v>
      </c>
      <c r="H217" s="6">
        <v>54.0</v>
      </c>
      <c r="I217" s="8">
        <v>1690.65</v>
      </c>
      <c r="J217" s="8">
        <v>1799.0</v>
      </c>
      <c r="K217" s="8">
        <v>1989.0</v>
      </c>
    </row>
    <row r="218">
      <c r="A218" s="6" t="s">
        <v>3315</v>
      </c>
      <c r="B218" s="6" t="s">
        <v>3313</v>
      </c>
      <c r="C218" s="6" t="s">
        <v>3314</v>
      </c>
      <c r="D218" s="6" t="s">
        <v>3314</v>
      </c>
      <c r="E218" s="6" t="s">
        <v>5122</v>
      </c>
      <c r="F218" s="6" t="s">
        <v>5248</v>
      </c>
      <c r="G218" s="6">
        <v>1.0</v>
      </c>
      <c r="H218" s="6">
        <v>0.0</v>
      </c>
      <c r="I218" s="8">
        <v>1699.0</v>
      </c>
      <c r="J218" s="8">
        <v>1799.0</v>
      </c>
      <c r="K218" s="8">
        <v>1989.0</v>
      </c>
    </row>
    <row r="219">
      <c r="A219" s="6" t="s">
        <v>3267</v>
      </c>
      <c r="B219" s="6" t="s">
        <v>3265</v>
      </c>
      <c r="C219" s="6" t="s">
        <v>3266</v>
      </c>
      <c r="D219" s="6" t="s">
        <v>3266</v>
      </c>
      <c r="E219" s="6" t="s">
        <v>5122</v>
      </c>
      <c r="F219" s="6" t="s">
        <v>5248</v>
      </c>
      <c r="G219" s="6">
        <v>3.0</v>
      </c>
      <c r="H219" s="6">
        <v>20.0</v>
      </c>
      <c r="I219" s="8">
        <v>1690.65</v>
      </c>
      <c r="J219" s="8">
        <v>1799.0</v>
      </c>
      <c r="K219" s="8">
        <v>1989.0</v>
      </c>
    </row>
    <row r="220">
      <c r="A220" s="6" t="s">
        <v>3261</v>
      </c>
      <c r="B220" s="6" t="s">
        <v>3259</v>
      </c>
      <c r="C220" s="6" t="s">
        <v>3260</v>
      </c>
      <c r="D220" s="6" t="s">
        <v>3260</v>
      </c>
      <c r="E220" s="6" t="s">
        <v>5122</v>
      </c>
      <c r="F220" s="6" t="s">
        <v>5248</v>
      </c>
      <c r="G220" s="6">
        <v>1.0</v>
      </c>
      <c r="H220" s="6">
        <v>0.0</v>
      </c>
      <c r="I220" s="8">
        <v>1690.65</v>
      </c>
      <c r="J220" s="8">
        <v>1799.0</v>
      </c>
      <c r="K220" s="8">
        <v>1989.0</v>
      </c>
    </row>
    <row r="221">
      <c r="A221" s="6" t="s">
        <v>3309</v>
      </c>
      <c r="B221" s="6" t="s">
        <v>3307</v>
      </c>
      <c r="C221" s="6" t="s">
        <v>3308</v>
      </c>
      <c r="D221" s="6" t="s">
        <v>3308</v>
      </c>
      <c r="E221" s="6" t="s">
        <v>5122</v>
      </c>
      <c r="F221" s="6" t="s">
        <v>5248</v>
      </c>
      <c r="G221" s="6">
        <v>2.0</v>
      </c>
      <c r="H221" s="6">
        <v>307.0</v>
      </c>
      <c r="I221" s="8">
        <v>1690.65</v>
      </c>
      <c r="J221" s="8">
        <v>1799.0</v>
      </c>
      <c r="K221" s="8">
        <v>1989.0</v>
      </c>
    </row>
    <row r="222">
      <c r="A222" s="6" t="s">
        <v>3339</v>
      </c>
      <c r="B222" s="6" t="s">
        <v>3337</v>
      </c>
      <c r="C222" s="6" t="s">
        <v>3338</v>
      </c>
      <c r="D222" s="6" t="s">
        <v>3338</v>
      </c>
      <c r="E222" s="6" t="s">
        <v>5122</v>
      </c>
      <c r="F222" s="6" t="s">
        <v>5248</v>
      </c>
      <c r="G222" s="6">
        <v>1.0</v>
      </c>
      <c r="H222" s="6">
        <v>8.0</v>
      </c>
      <c r="I222" s="8">
        <v>1899.0</v>
      </c>
      <c r="J222" s="8">
        <v>1999.0</v>
      </c>
      <c r="K222" s="8">
        <v>2189.0</v>
      </c>
    </row>
    <row r="223">
      <c r="A223" s="6" t="s">
        <v>3345</v>
      </c>
      <c r="B223" s="6" t="s">
        <v>3343</v>
      </c>
      <c r="C223" s="6" t="s">
        <v>3344</v>
      </c>
      <c r="D223" s="6" t="s">
        <v>3344</v>
      </c>
      <c r="E223" s="6" t="s">
        <v>5122</v>
      </c>
      <c r="F223" s="6" t="s">
        <v>5248</v>
      </c>
      <c r="G223" s="6" t="e">
        <v>#N/A</v>
      </c>
      <c r="H223" s="6">
        <v>0.0</v>
      </c>
      <c r="I223" s="8">
        <v>1860.65</v>
      </c>
      <c r="J223" s="8">
        <v>1999.0</v>
      </c>
      <c r="K223" s="8">
        <v>2189.0</v>
      </c>
    </row>
    <row r="224">
      <c r="A224" s="6" t="s">
        <v>3393</v>
      </c>
      <c r="B224" s="6" t="s">
        <v>3391</v>
      </c>
      <c r="C224" s="6" t="s">
        <v>3392</v>
      </c>
      <c r="D224" s="6" t="s">
        <v>3392</v>
      </c>
      <c r="E224" s="6" t="s">
        <v>5122</v>
      </c>
      <c r="F224" s="6" t="s">
        <v>5248</v>
      </c>
      <c r="G224" s="6">
        <v>6.0</v>
      </c>
      <c r="H224" s="6">
        <v>28.0</v>
      </c>
      <c r="I224" s="8">
        <v>1860.65</v>
      </c>
      <c r="J224" s="8">
        <v>1999.0</v>
      </c>
      <c r="K224" s="8">
        <v>2189.0</v>
      </c>
    </row>
    <row r="225">
      <c r="A225" s="6" t="s">
        <v>3381</v>
      </c>
      <c r="B225" s="6" t="s">
        <v>3379</v>
      </c>
      <c r="C225" s="6" t="s">
        <v>3380</v>
      </c>
      <c r="D225" s="6" t="s">
        <v>3380</v>
      </c>
      <c r="E225" s="6" t="s">
        <v>5122</v>
      </c>
      <c r="F225" s="6" t="s">
        <v>5248</v>
      </c>
      <c r="G225" s="6">
        <v>2.0</v>
      </c>
      <c r="H225" s="6">
        <v>42.0</v>
      </c>
      <c r="I225" s="8">
        <v>1860.65</v>
      </c>
      <c r="J225" s="8">
        <v>1999.0</v>
      </c>
      <c r="K225" s="8">
        <v>2189.0</v>
      </c>
    </row>
    <row r="226">
      <c r="A226" s="6" t="s">
        <v>3327</v>
      </c>
      <c r="B226" s="6" t="s">
        <v>3325</v>
      </c>
      <c r="C226" s="6" t="s">
        <v>3326</v>
      </c>
      <c r="D226" s="6" t="s">
        <v>3326</v>
      </c>
      <c r="E226" s="6" t="s">
        <v>5122</v>
      </c>
      <c r="F226" s="6" t="s">
        <v>5248</v>
      </c>
      <c r="G226" s="6">
        <v>1.0</v>
      </c>
      <c r="H226" s="6">
        <v>0.0</v>
      </c>
      <c r="I226" s="8">
        <v>1860.65</v>
      </c>
      <c r="J226" s="8">
        <v>1999.0</v>
      </c>
      <c r="K226" s="8">
        <v>2189.0</v>
      </c>
    </row>
    <row r="227">
      <c r="A227" s="6" t="s">
        <v>3303</v>
      </c>
      <c r="B227" s="6" t="s">
        <v>3301</v>
      </c>
      <c r="C227" s="6" t="s">
        <v>3302</v>
      </c>
      <c r="D227" s="6" t="s">
        <v>3302</v>
      </c>
      <c r="E227" s="6" t="s">
        <v>5122</v>
      </c>
      <c r="F227" s="6" t="s">
        <v>5248</v>
      </c>
      <c r="G227" s="6">
        <v>2.0</v>
      </c>
      <c r="H227" s="6">
        <v>5.0</v>
      </c>
      <c r="I227" s="8">
        <v>1690.65</v>
      </c>
      <c r="J227" s="8">
        <v>1799.0</v>
      </c>
      <c r="K227" s="8">
        <v>1989.0</v>
      </c>
    </row>
    <row r="228">
      <c r="A228" s="6" t="s">
        <v>2377</v>
      </c>
      <c r="B228" s="6" t="s">
        <v>2375</v>
      </c>
      <c r="C228" s="6" t="s">
        <v>2376</v>
      </c>
      <c r="D228" s="6" t="s">
        <v>2376</v>
      </c>
      <c r="E228" s="6" t="s">
        <v>5247</v>
      </c>
      <c r="F228" s="6" t="s">
        <v>5248</v>
      </c>
      <c r="G228" s="6">
        <v>403.0</v>
      </c>
      <c r="H228" s="6">
        <v>2682.0</v>
      </c>
      <c r="I228" s="8">
        <v>799.0</v>
      </c>
      <c r="J228" s="8">
        <v>849.0</v>
      </c>
      <c r="K228" s="8">
        <v>999.0</v>
      </c>
    </row>
    <row r="229">
      <c r="A229" s="6" t="s">
        <v>3616</v>
      </c>
      <c r="B229" s="6" t="s">
        <v>3614</v>
      </c>
      <c r="C229" s="6" t="s">
        <v>3615</v>
      </c>
      <c r="D229" s="6" t="s">
        <v>3615</v>
      </c>
      <c r="E229" s="6" t="s">
        <v>5122</v>
      </c>
      <c r="F229" s="6" t="s">
        <v>5248</v>
      </c>
      <c r="G229" s="6">
        <v>6.0</v>
      </c>
      <c r="H229" s="6">
        <v>20.0</v>
      </c>
      <c r="I229" s="8">
        <v>466.65</v>
      </c>
      <c r="J229" s="8">
        <v>499.0</v>
      </c>
      <c r="K229" s="8">
        <v>549.0</v>
      </c>
    </row>
    <row r="230">
      <c r="A230" s="6" t="s">
        <v>3601</v>
      </c>
      <c r="B230" s="6" t="s">
        <v>3599</v>
      </c>
      <c r="C230" s="6" t="s">
        <v>3600</v>
      </c>
      <c r="D230" s="6" t="s">
        <v>3600</v>
      </c>
      <c r="E230" s="6" t="s">
        <v>5122</v>
      </c>
      <c r="F230" s="6" t="s">
        <v>5248</v>
      </c>
      <c r="G230" s="6">
        <v>1.0</v>
      </c>
      <c r="H230" s="6">
        <v>0.0</v>
      </c>
      <c r="I230" s="8">
        <v>449.0</v>
      </c>
      <c r="J230" s="8">
        <v>499.0</v>
      </c>
      <c r="K230" s="8">
        <v>549.0</v>
      </c>
    </row>
    <row r="231">
      <c r="A231" s="6" t="s">
        <v>3606</v>
      </c>
      <c r="B231" s="6" t="s">
        <v>3604</v>
      </c>
      <c r="C231" s="6" t="s">
        <v>3605</v>
      </c>
      <c r="D231" s="6" t="s">
        <v>3605</v>
      </c>
      <c r="E231" s="6" t="s">
        <v>5122</v>
      </c>
      <c r="F231" s="6" t="s">
        <v>5248</v>
      </c>
      <c r="G231" s="6">
        <v>7.0</v>
      </c>
      <c r="H231" s="6">
        <v>0.0</v>
      </c>
      <c r="I231" s="8">
        <v>449.0</v>
      </c>
      <c r="J231" s="8">
        <v>499.0</v>
      </c>
      <c r="K231" s="8">
        <v>549.0</v>
      </c>
    </row>
    <row r="232">
      <c r="A232" s="6" t="s">
        <v>3743</v>
      </c>
      <c r="B232" s="6" t="s">
        <v>3741</v>
      </c>
      <c r="C232" s="6" t="s">
        <v>3742</v>
      </c>
      <c r="D232" s="6" t="s">
        <v>3742</v>
      </c>
      <c r="E232" s="6" t="s">
        <v>5122</v>
      </c>
      <c r="F232" s="6" t="s">
        <v>5248</v>
      </c>
      <c r="G232" s="6">
        <v>17.0</v>
      </c>
      <c r="H232" s="6">
        <v>0.0</v>
      </c>
      <c r="I232" s="8">
        <v>449.0</v>
      </c>
      <c r="J232" s="8">
        <v>499.0</v>
      </c>
      <c r="K232" s="8">
        <v>499.0</v>
      </c>
    </row>
    <row r="233">
      <c r="A233" s="6" t="s">
        <v>3753</v>
      </c>
      <c r="B233" s="6" t="s">
        <v>3751</v>
      </c>
      <c r="C233" s="6" t="s">
        <v>3752</v>
      </c>
      <c r="D233" s="6" t="s">
        <v>3752</v>
      </c>
      <c r="E233" s="6" t="s">
        <v>5122</v>
      </c>
      <c r="F233" s="6" t="s">
        <v>5248</v>
      </c>
      <c r="G233" s="6">
        <v>2.0</v>
      </c>
      <c r="H233" s="6">
        <v>0.0</v>
      </c>
      <c r="I233" s="8">
        <v>399.0</v>
      </c>
      <c r="J233" s="8">
        <v>449.0</v>
      </c>
      <c r="K233" s="8">
        <v>499.0</v>
      </c>
    </row>
    <row r="234">
      <c r="A234" s="6" t="s">
        <v>3723</v>
      </c>
      <c r="B234" s="6" t="s">
        <v>3721</v>
      </c>
      <c r="C234" s="6" t="s">
        <v>3722</v>
      </c>
      <c r="D234" s="6" t="s">
        <v>3722</v>
      </c>
      <c r="E234" s="6" t="s">
        <v>5122</v>
      </c>
      <c r="F234" s="6" t="s">
        <v>5248</v>
      </c>
      <c r="G234" s="6">
        <v>3.0</v>
      </c>
      <c r="H234" s="6">
        <v>0.0</v>
      </c>
      <c r="I234" s="8">
        <v>549.0</v>
      </c>
      <c r="J234" s="8">
        <v>599.0</v>
      </c>
      <c r="K234" s="8">
        <v>649.0</v>
      </c>
    </row>
    <row r="235">
      <c r="A235" s="6" t="s">
        <v>3758</v>
      </c>
      <c r="B235" s="6" t="s">
        <v>3756</v>
      </c>
      <c r="C235" s="6" t="s">
        <v>3757</v>
      </c>
      <c r="D235" s="6" t="s">
        <v>3757</v>
      </c>
      <c r="E235" s="6" t="s">
        <v>5247</v>
      </c>
      <c r="F235" s="6" t="s">
        <v>5248</v>
      </c>
      <c r="G235" s="6">
        <v>14.0</v>
      </c>
      <c r="H235" s="6">
        <v>14.0</v>
      </c>
      <c r="I235" s="8">
        <v>424.15</v>
      </c>
      <c r="J235" s="8">
        <v>499.0</v>
      </c>
      <c r="K235" s="8">
        <v>499.0</v>
      </c>
    </row>
    <row r="236">
      <c r="A236" s="6" t="s">
        <v>3611</v>
      </c>
      <c r="B236" s="6" t="s">
        <v>3609</v>
      </c>
      <c r="C236" s="6" t="s">
        <v>3610</v>
      </c>
      <c r="D236" s="6" t="s">
        <v>3610</v>
      </c>
      <c r="E236" s="6" t="s">
        <v>5122</v>
      </c>
      <c r="F236" s="6" t="s">
        <v>5248</v>
      </c>
      <c r="G236" s="6">
        <v>21.0</v>
      </c>
      <c r="H236" s="6">
        <v>7.0</v>
      </c>
      <c r="I236" s="8">
        <v>449.0</v>
      </c>
      <c r="J236" s="8">
        <v>499.0</v>
      </c>
      <c r="K236" s="8">
        <v>549.0</v>
      </c>
    </row>
    <row r="237">
      <c r="A237" s="6" t="s">
        <v>3748</v>
      </c>
      <c r="B237" s="6" t="s">
        <v>3746</v>
      </c>
      <c r="C237" s="6" t="s">
        <v>3747</v>
      </c>
      <c r="D237" s="6" t="s">
        <v>3747</v>
      </c>
      <c r="E237" s="6" t="s">
        <v>5122</v>
      </c>
      <c r="F237" s="6" t="s">
        <v>5248</v>
      </c>
      <c r="G237" s="6">
        <v>9.0</v>
      </c>
      <c r="H237" s="6">
        <v>0.0</v>
      </c>
      <c r="I237" s="8">
        <v>399.0</v>
      </c>
      <c r="J237" s="8">
        <v>449.0</v>
      </c>
      <c r="K237" s="8">
        <v>499.0</v>
      </c>
    </row>
    <row r="238">
      <c r="A238" s="6" t="s">
        <v>3728</v>
      </c>
      <c r="B238" s="6" t="s">
        <v>3726</v>
      </c>
      <c r="C238" s="6" t="s">
        <v>3727</v>
      </c>
      <c r="D238" s="6" t="s">
        <v>3727</v>
      </c>
      <c r="E238" s="6" t="s">
        <v>5122</v>
      </c>
      <c r="F238" s="6" t="s">
        <v>5248</v>
      </c>
      <c r="G238" s="6">
        <v>1.0</v>
      </c>
      <c r="H238" s="6">
        <v>0.0</v>
      </c>
      <c r="I238" s="8">
        <v>549.0</v>
      </c>
      <c r="J238" s="8">
        <v>599.0</v>
      </c>
      <c r="K238" s="8">
        <v>649.0</v>
      </c>
    </row>
    <row r="239">
      <c r="A239" s="6" t="s">
        <v>3738</v>
      </c>
      <c r="B239" s="6" t="s">
        <v>3736</v>
      </c>
      <c r="C239" s="6" t="s">
        <v>3737</v>
      </c>
      <c r="D239" s="6" t="s">
        <v>3737</v>
      </c>
      <c r="E239" s="6" t="s">
        <v>5122</v>
      </c>
      <c r="F239" s="6" t="s">
        <v>5248</v>
      </c>
      <c r="G239" s="6">
        <v>1.0</v>
      </c>
      <c r="H239" s="6">
        <v>0.0</v>
      </c>
      <c r="I239" s="8">
        <v>551.65</v>
      </c>
      <c r="J239" s="8">
        <v>599.0</v>
      </c>
      <c r="K239" s="8">
        <v>649.0</v>
      </c>
    </row>
    <row r="240">
      <c r="A240" s="6" t="s">
        <v>3733</v>
      </c>
      <c r="B240" s="6" t="s">
        <v>3731</v>
      </c>
      <c r="C240" s="6" t="s">
        <v>3732</v>
      </c>
      <c r="D240" s="6" t="s">
        <v>3732</v>
      </c>
      <c r="E240" s="6" t="s">
        <v>5122</v>
      </c>
      <c r="F240" s="6" t="s">
        <v>5248</v>
      </c>
      <c r="G240" s="6">
        <v>2.0</v>
      </c>
      <c r="H240" s="6">
        <v>0.0</v>
      </c>
      <c r="I240" s="8">
        <v>549.0</v>
      </c>
      <c r="J240" s="8">
        <v>599.0</v>
      </c>
      <c r="K240" s="8">
        <v>649.0</v>
      </c>
    </row>
    <row r="241">
      <c r="A241" s="6" t="s">
        <v>2959</v>
      </c>
      <c r="B241" s="6" t="s">
        <v>2957</v>
      </c>
      <c r="C241" s="6" t="s">
        <v>2958</v>
      </c>
      <c r="D241" s="6" t="s">
        <v>2958</v>
      </c>
      <c r="E241" s="6" t="s">
        <v>5122</v>
      </c>
      <c r="F241" s="6" t="s">
        <v>5248</v>
      </c>
      <c r="G241" s="6">
        <v>7.0</v>
      </c>
      <c r="H241" s="6">
        <v>150.0</v>
      </c>
      <c r="I241" s="8">
        <v>1671.2</v>
      </c>
      <c r="J241" s="8">
        <v>1899.0</v>
      </c>
      <c r="K241" s="8">
        <v>2089.0</v>
      </c>
    </row>
    <row r="242">
      <c r="A242" s="6" t="s">
        <v>2947</v>
      </c>
      <c r="B242" s="6" t="s">
        <v>2945</v>
      </c>
      <c r="C242" s="6" t="s">
        <v>2946</v>
      </c>
      <c r="D242" s="6" t="s">
        <v>2946</v>
      </c>
      <c r="E242" s="6" t="s">
        <v>5122</v>
      </c>
      <c r="F242" s="6" t="s">
        <v>5248</v>
      </c>
      <c r="G242" s="6" t="e">
        <v>#N/A</v>
      </c>
      <c r="H242" s="6">
        <v>55.0</v>
      </c>
      <c r="I242" s="8">
        <v>1671.2</v>
      </c>
      <c r="J242" s="8">
        <v>1899.0</v>
      </c>
      <c r="K242" s="8">
        <v>2089.0</v>
      </c>
    </row>
    <row r="243">
      <c r="A243" s="6" t="s">
        <v>2965</v>
      </c>
      <c r="B243" s="6" t="s">
        <v>2963</v>
      </c>
      <c r="C243" s="6" t="s">
        <v>2964</v>
      </c>
      <c r="D243" s="6" t="s">
        <v>2964</v>
      </c>
      <c r="E243" s="6" t="s">
        <v>5122</v>
      </c>
      <c r="F243" s="6" t="s">
        <v>5248</v>
      </c>
      <c r="G243" s="6">
        <v>2.0</v>
      </c>
      <c r="H243" s="6">
        <v>24.0</v>
      </c>
      <c r="I243" s="8">
        <v>1671.2</v>
      </c>
      <c r="J243" s="8">
        <v>1899.0</v>
      </c>
      <c r="K243" s="8">
        <v>2089.0</v>
      </c>
    </row>
    <row r="244">
      <c r="A244" s="6" t="s">
        <v>2971</v>
      </c>
      <c r="B244" s="6" t="s">
        <v>2969</v>
      </c>
      <c r="C244" s="6" t="s">
        <v>2970</v>
      </c>
      <c r="D244" s="6" t="s">
        <v>2970</v>
      </c>
      <c r="E244" s="6" t="s">
        <v>5247</v>
      </c>
      <c r="F244" s="6" t="s">
        <v>5248</v>
      </c>
      <c r="G244" s="6">
        <v>3.0</v>
      </c>
      <c r="H244" s="6">
        <v>239.0</v>
      </c>
      <c r="I244" s="8">
        <v>1671.2</v>
      </c>
      <c r="J244" s="8">
        <v>1899.0</v>
      </c>
      <c r="K244" s="8">
        <v>2089.0</v>
      </c>
    </row>
    <row r="245">
      <c r="A245" s="6" t="s">
        <v>2953</v>
      </c>
      <c r="B245" s="6" t="s">
        <v>2951</v>
      </c>
      <c r="C245" s="6" t="s">
        <v>2952</v>
      </c>
      <c r="D245" s="6" t="s">
        <v>2952</v>
      </c>
      <c r="E245" s="6" t="s">
        <v>5122</v>
      </c>
      <c r="F245" s="6" t="s">
        <v>5248</v>
      </c>
      <c r="G245" s="6">
        <v>4.0</v>
      </c>
      <c r="H245" s="6">
        <v>259.0</v>
      </c>
      <c r="I245" s="8">
        <v>1671.2</v>
      </c>
      <c r="J245" s="8">
        <v>1899.0</v>
      </c>
      <c r="K245" s="8">
        <v>2089.0</v>
      </c>
    </row>
    <row r="246">
      <c r="A246" s="6" t="s">
        <v>2741</v>
      </c>
      <c r="B246" s="6" t="s">
        <v>2739</v>
      </c>
      <c r="C246" s="6" t="s">
        <v>2740</v>
      </c>
      <c r="D246" s="6" t="s">
        <v>2740</v>
      </c>
      <c r="E246" s="6" t="s">
        <v>5122</v>
      </c>
      <c r="F246" s="6" t="s">
        <v>5248</v>
      </c>
      <c r="G246" s="6" t="e">
        <v>#N/A</v>
      </c>
      <c r="H246" s="6">
        <v>19.0</v>
      </c>
      <c r="I246" s="8">
        <v>1491.75</v>
      </c>
      <c r="J246" s="8">
        <v>1628.0</v>
      </c>
      <c r="K246" s="8">
        <v>1989.0</v>
      </c>
    </row>
    <row r="247">
      <c r="A247" s="6" t="s">
        <v>2747</v>
      </c>
      <c r="B247" s="6" t="s">
        <v>2745</v>
      </c>
      <c r="C247" s="6" t="s">
        <v>2746</v>
      </c>
      <c r="D247" s="6" t="s">
        <v>2746</v>
      </c>
      <c r="E247" s="6" t="s">
        <v>5122</v>
      </c>
      <c r="F247" s="6" t="s">
        <v>5248</v>
      </c>
      <c r="G247" s="6">
        <v>6.0</v>
      </c>
      <c r="H247" s="6">
        <v>0.0</v>
      </c>
      <c r="I247" s="8">
        <v>1491.75</v>
      </c>
      <c r="J247" s="8">
        <v>1628.0</v>
      </c>
      <c r="K247" s="8">
        <v>1989.0</v>
      </c>
    </row>
    <row r="248">
      <c r="A248" s="6" t="s">
        <v>2705</v>
      </c>
      <c r="B248" s="6" t="s">
        <v>2703</v>
      </c>
      <c r="C248" s="6" t="s">
        <v>2704</v>
      </c>
      <c r="D248" s="6" t="s">
        <v>2704</v>
      </c>
      <c r="E248" s="6" t="s">
        <v>5122</v>
      </c>
      <c r="F248" s="6" t="s">
        <v>5248</v>
      </c>
      <c r="G248" s="6">
        <v>1.0</v>
      </c>
      <c r="H248" s="6">
        <v>26.0</v>
      </c>
      <c r="I248" s="8">
        <v>1416.75</v>
      </c>
      <c r="J248" s="8">
        <v>1548.0</v>
      </c>
      <c r="K248" s="8">
        <v>1889.0</v>
      </c>
    </row>
    <row r="249">
      <c r="A249" s="6" t="s">
        <v>2693</v>
      </c>
      <c r="B249" s="6" t="s">
        <v>2691</v>
      </c>
      <c r="C249" s="6" t="s">
        <v>2692</v>
      </c>
      <c r="D249" s="6" t="s">
        <v>2692</v>
      </c>
      <c r="E249" s="6" t="s">
        <v>5122</v>
      </c>
      <c r="F249" s="6" t="s">
        <v>5248</v>
      </c>
      <c r="G249" s="6">
        <v>5.0</v>
      </c>
      <c r="H249" s="6">
        <v>0.0</v>
      </c>
      <c r="I249" s="8">
        <v>1416.75</v>
      </c>
      <c r="J249" s="8">
        <v>1548.0</v>
      </c>
      <c r="K249" s="8">
        <v>1889.0</v>
      </c>
    </row>
    <row r="250">
      <c r="A250" s="6" t="s">
        <v>2687</v>
      </c>
      <c r="B250" s="6" t="s">
        <v>2685</v>
      </c>
      <c r="C250" s="6" t="s">
        <v>2686</v>
      </c>
      <c r="D250" s="6" t="s">
        <v>2686</v>
      </c>
      <c r="E250" s="6" t="s">
        <v>5122</v>
      </c>
      <c r="F250" s="6" t="s">
        <v>5248</v>
      </c>
      <c r="G250" s="6">
        <v>10.0</v>
      </c>
      <c r="H250" s="6">
        <v>13.0</v>
      </c>
      <c r="I250" s="8">
        <v>1416.75</v>
      </c>
      <c r="J250" s="8">
        <v>1548.0</v>
      </c>
      <c r="K250" s="8">
        <v>1889.0</v>
      </c>
    </row>
    <row r="251">
      <c r="A251" s="6" t="s">
        <v>2735</v>
      </c>
      <c r="B251" s="6" t="s">
        <v>2733</v>
      </c>
      <c r="C251" s="6" t="s">
        <v>2734</v>
      </c>
      <c r="D251" s="6" t="s">
        <v>2734</v>
      </c>
      <c r="E251" s="6" t="s">
        <v>5122</v>
      </c>
      <c r="F251" s="6" t="s">
        <v>5248</v>
      </c>
      <c r="G251" s="6">
        <v>3.0</v>
      </c>
      <c r="H251" s="6">
        <v>47.0</v>
      </c>
      <c r="I251" s="8">
        <v>1491.75</v>
      </c>
      <c r="J251" s="8">
        <v>1628.0</v>
      </c>
      <c r="K251" s="8">
        <v>1989.0</v>
      </c>
    </row>
    <row r="252">
      <c r="A252" s="6" t="s">
        <v>2647</v>
      </c>
      <c r="B252" s="6" t="s">
        <v>2644</v>
      </c>
      <c r="C252" s="6" t="s">
        <v>2645</v>
      </c>
      <c r="D252" s="6" t="s">
        <v>2645</v>
      </c>
      <c r="E252" s="6" t="s">
        <v>5247</v>
      </c>
      <c r="F252" s="6" t="s">
        <v>5248</v>
      </c>
      <c r="G252" s="6">
        <v>9.0</v>
      </c>
      <c r="H252" s="6">
        <v>21.0</v>
      </c>
      <c r="I252" s="8">
        <v>1041.75</v>
      </c>
      <c r="J252" s="8">
        <v>1138.0</v>
      </c>
      <c r="K252" s="8">
        <v>1389.0</v>
      </c>
    </row>
    <row r="253">
      <c r="A253" s="6" t="s">
        <v>2759</v>
      </c>
      <c r="B253" s="6" t="s">
        <v>2757</v>
      </c>
      <c r="C253" s="6" t="s">
        <v>2758</v>
      </c>
      <c r="D253" s="6" t="s">
        <v>2758</v>
      </c>
      <c r="E253" s="6" t="s">
        <v>5122</v>
      </c>
      <c r="F253" s="6" t="s">
        <v>5248</v>
      </c>
      <c r="G253" s="6">
        <v>2.0</v>
      </c>
      <c r="H253" s="6">
        <v>21.0</v>
      </c>
      <c r="I253" s="8">
        <v>1491.75</v>
      </c>
      <c r="J253" s="8">
        <v>1628.0</v>
      </c>
      <c r="K253" s="8">
        <v>1989.0</v>
      </c>
    </row>
    <row r="254">
      <c r="A254" s="6" t="s">
        <v>2653</v>
      </c>
      <c r="B254" s="6" t="s">
        <v>2651</v>
      </c>
      <c r="C254" s="6" t="s">
        <v>2652</v>
      </c>
      <c r="D254" s="6" t="s">
        <v>2652</v>
      </c>
      <c r="E254" s="6" t="s">
        <v>5122</v>
      </c>
      <c r="F254" s="6" t="s">
        <v>5248</v>
      </c>
      <c r="G254" s="6">
        <v>5.0</v>
      </c>
      <c r="H254" s="6">
        <v>18.0</v>
      </c>
      <c r="I254" s="8">
        <v>1041.75</v>
      </c>
      <c r="J254" s="8">
        <v>1138.0</v>
      </c>
      <c r="K254" s="8">
        <v>1389.0</v>
      </c>
    </row>
    <row r="255">
      <c r="A255" s="6" t="s">
        <v>2659</v>
      </c>
      <c r="B255" s="6" t="s">
        <v>2657</v>
      </c>
      <c r="C255" s="6" t="s">
        <v>2658</v>
      </c>
      <c r="D255" s="6" t="s">
        <v>2658</v>
      </c>
      <c r="E255" s="6" t="s">
        <v>5122</v>
      </c>
      <c r="F255" s="6" t="s">
        <v>5248</v>
      </c>
      <c r="G255" s="6">
        <v>4.0</v>
      </c>
      <c r="H255" s="6">
        <v>16.0</v>
      </c>
      <c r="I255" s="8">
        <v>1041.75</v>
      </c>
      <c r="J255" s="8">
        <v>1138.0</v>
      </c>
      <c r="K255" s="8">
        <v>1389.0</v>
      </c>
    </row>
    <row r="256">
      <c r="A256" s="6" t="s">
        <v>2699</v>
      </c>
      <c r="B256" s="6" t="s">
        <v>2697</v>
      </c>
      <c r="C256" s="6" t="s">
        <v>2698</v>
      </c>
      <c r="D256" s="6" t="s">
        <v>2698</v>
      </c>
      <c r="E256" s="6" t="s">
        <v>5122</v>
      </c>
      <c r="F256" s="6" t="s">
        <v>5248</v>
      </c>
      <c r="G256" s="6">
        <v>1.0</v>
      </c>
      <c r="H256" s="6">
        <v>18.0</v>
      </c>
      <c r="I256" s="8">
        <v>1416.75</v>
      </c>
      <c r="J256" s="8">
        <v>1548.0</v>
      </c>
      <c r="K256" s="8">
        <v>1889.0</v>
      </c>
    </row>
    <row r="257">
      <c r="A257" s="6" t="s">
        <v>2681</v>
      </c>
      <c r="B257" s="6" t="s">
        <v>2679</v>
      </c>
      <c r="C257" s="6" t="s">
        <v>2680</v>
      </c>
      <c r="D257" s="6" t="s">
        <v>2680</v>
      </c>
      <c r="E257" s="6" t="s">
        <v>5122</v>
      </c>
      <c r="F257" s="6" t="s">
        <v>5248</v>
      </c>
      <c r="G257" s="6">
        <v>2.0</v>
      </c>
      <c r="H257" s="6">
        <v>16.0</v>
      </c>
      <c r="I257" s="8">
        <v>1416.75</v>
      </c>
      <c r="J257" s="8">
        <v>1548.0</v>
      </c>
      <c r="K257" s="8">
        <v>1889.0</v>
      </c>
    </row>
    <row r="258">
      <c r="A258" s="6" t="s">
        <v>2640</v>
      </c>
      <c r="B258" s="6" t="s">
        <v>2638</v>
      </c>
      <c r="C258" s="6" t="s">
        <v>2639</v>
      </c>
      <c r="D258" s="6" t="s">
        <v>2639</v>
      </c>
      <c r="E258" s="6" t="s">
        <v>5122</v>
      </c>
      <c r="F258" s="6" t="s">
        <v>5248</v>
      </c>
      <c r="G258" s="6">
        <v>5.0</v>
      </c>
      <c r="H258" s="6">
        <v>23.0</v>
      </c>
      <c r="I258" s="8">
        <v>1041.75</v>
      </c>
      <c r="J258" s="8">
        <v>1138.0</v>
      </c>
      <c r="K258" s="8">
        <v>1389.0</v>
      </c>
    </row>
    <row r="259">
      <c r="A259" s="6" t="s">
        <v>2665</v>
      </c>
      <c r="B259" s="6" t="s">
        <v>2663</v>
      </c>
      <c r="C259" s="6" t="s">
        <v>2664</v>
      </c>
      <c r="D259" s="6" t="s">
        <v>2664</v>
      </c>
      <c r="E259" s="6" t="s">
        <v>5122</v>
      </c>
      <c r="F259" s="6" t="s">
        <v>5248</v>
      </c>
      <c r="G259" s="6">
        <v>2.0</v>
      </c>
      <c r="H259" s="6">
        <v>17.0</v>
      </c>
      <c r="I259" s="8">
        <v>1041.75</v>
      </c>
      <c r="J259" s="8">
        <v>1138.0</v>
      </c>
      <c r="K259" s="8">
        <v>1389.0</v>
      </c>
    </row>
    <row r="260">
      <c r="A260" s="6" t="s">
        <v>2753</v>
      </c>
      <c r="B260" s="6" t="s">
        <v>2751</v>
      </c>
      <c r="C260" s="6" t="s">
        <v>2752</v>
      </c>
      <c r="D260" s="6" t="s">
        <v>2752</v>
      </c>
      <c r="E260" s="6" t="s">
        <v>5122</v>
      </c>
      <c r="F260" s="6" t="s">
        <v>5248</v>
      </c>
      <c r="G260" s="6" t="e">
        <v>#N/A</v>
      </c>
      <c r="H260" s="6">
        <v>3.0</v>
      </c>
      <c r="I260" s="8">
        <v>1491.75</v>
      </c>
      <c r="J260" s="8">
        <v>1628.0</v>
      </c>
      <c r="K260" s="8">
        <v>1989.0</v>
      </c>
    </row>
    <row r="261">
      <c r="A261" s="6" t="s">
        <v>3421</v>
      </c>
      <c r="B261" s="6" t="s">
        <v>3418</v>
      </c>
      <c r="C261" s="6" t="s">
        <v>3419</v>
      </c>
      <c r="D261" s="6" t="s">
        <v>3419</v>
      </c>
      <c r="E261" s="6" t="s">
        <v>5122</v>
      </c>
      <c r="F261" s="6" t="s">
        <v>5248</v>
      </c>
      <c r="G261" s="6">
        <v>45.0</v>
      </c>
      <c r="H261" s="6">
        <v>27.0</v>
      </c>
      <c r="I261" s="8">
        <v>664.05</v>
      </c>
      <c r="J261" s="8">
        <v>699.0</v>
      </c>
      <c r="K261" s="8">
        <v>699.0</v>
      </c>
    </row>
    <row r="262">
      <c r="A262" s="6" t="s">
        <v>1495</v>
      </c>
      <c r="B262" s="6" t="s">
        <v>1493</v>
      </c>
      <c r="C262" s="6" t="s">
        <v>1494</v>
      </c>
      <c r="D262" s="6" t="s">
        <v>1494</v>
      </c>
      <c r="E262" s="6" t="s">
        <v>5247</v>
      </c>
      <c r="F262" s="6" t="s">
        <v>5248</v>
      </c>
      <c r="G262" s="6">
        <v>65.0</v>
      </c>
      <c r="H262" s="6">
        <v>412.0</v>
      </c>
      <c r="I262" s="8">
        <v>616.55</v>
      </c>
      <c r="J262" s="8">
        <v>649.0</v>
      </c>
      <c r="K262" s="8">
        <v>649.0</v>
      </c>
    </row>
    <row r="263">
      <c r="A263" s="6" t="s">
        <v>3427</v>
      </c>
      <c r="B263" s="6" t="s">
        <v>3424</v>
      </c>
      <c r="C263" s="6" t="s">
        <v>3425</v>
      </c>
      <c r="D263" s="6" t="s">
        <v>3425</v>
      </c>
      <c r="E263" s="6" t="s">
        <v>5247</v>
      </c>
      <c r="F263" s="6" t="s">
        <v>5248</v>
      </c>
      <c r="G263" s="6">
        <v>72.0</v>
      </c>
      <c r="H263" s="6">
        <v>2.0</v>
      </c>
      <c r="I263" s="8">
        <v>664.05</v>
      </c>
      <c r="J263" s="8">
        <v>699.0</v>
      </c>
      <c r="K263" s="8">
        <v>699.0</v>
      </c>
    </row>
    <row r="264">
      <c r="A264" s="6" t="s">
        <v>1510</v>
      </c>
      <c r="B264" s="6" t="s">
        <v>1508</v>
      </c>
      <c r="C264" s="6" t="s">
        <v>1509</v>
      </c>
      <c r="D264" s="6" t="s">
        <v>1509</v>
      </c>
      <c r="E264" s="6" t="s">
        <v>5122</v>
      </c>
      <c r="F264" s="6" t="s">
        <v>5248</v>
      </c>
      <c r="G264" s="6">
        <v>32.0</v>
      </c>
      <c r="H264" s="6">
        <v>210.0</v>
      </c>
      <c r="I264" s="8">
        <v>521.55</v>
      </c>
      <c r="J264" s="8">
        <v>549.0</v>
      </c>
      <c r="K264" s="8">
        <v>549.0</v>
      </c>
    </row>
    <row r="265">
      <c r="A265" s="6" t="s">
        <v>1500</v>
      </c>
      <c r="B265" s="6" t="s">
        <v>1498</v>
      </c>
      <c r="C265" s="6" t="s">
        <v>1499</v>
      </c>
      <c r="D265" s="6" t="s">
        <v>1499</v>
      </c>
      <c r="E265" s="6" t="s">
        <v>5247</v>
      </c>
      <c r="F265" s="6" t="s">
        <v>5248</v>
      </c>
      <c r="G265" s="6">
        <v>115.0</v>
      </c>
      <c r="H265" s="6">
        <v>298.0</v>
      </c>
      <c r="I265" s="8">
        <v>616.55</v>
      </c>
      <c r="J265" s="8">
        <v>649.0</v>
      </c>
      <c r="K265" s="8">
        <v>649.0</v>
      </c>
    </row>
    <row r="266">
      <c r="A266" s="6" t="s">
        <v>3469</v>
      </c>
      <c r="B266" s="6" t="s">
        <v>3467</v>
      </c>
      <c r="C266" s="6" t="s">
        <v>3468</v>
      </c>
      <c r="D266" s="6" t="s">
        <v>3468</v>
      </c>
      <c r="E266" s="6" t="s">
        <v>5247</v>
      </c>
      <c r="F266" s="6" t="s">
        <v>5248</v>
      </c>
      <c r="G266" s="6">
        <v>27.0</v>
      </c>
      <c r="H266" s="6">
        <v>1433.0</v>
      </c>
      <c r="I266" s="8">
        <v>474.05</v>
      </c>
      <c r="J266" s="8">
        <v>499.0</v>
      </c>
      <c r="K266" s="8">
        <v>499.0</v>
      </c>
    </row>
    <row r="267">
      <c r="A267" s="6" t="s">
        <v>3452</v>
      </c>
      <c r="B267" s="6" t="s">
        <v>3449</v>
      </c>
      <c r="C267" s="6" t="s">
        <v>3450</v>
      </c>
      <c r="D267" s="6" t="s">
        <v>3450</v>
      </c>
      <c r="E267" s="6" t="s">
        <v>5122</v>
      </c>
      <c r="F267" s="6" t="s">
        <v>5248</v>
      </c>
      <c r="G267" s="6">
        <v>75.0</v>
      </c>
      <c r="H267" s="6">
        <v>179.0</v>
      </c>
      <c r="I267" s="8">
        <v>521.55</v>
      </c>
      <c r="J267" s="8">
        <v>549.0</v>
      </c>
      <c r="K267" s="8">
        <v>549.0</v>
      </c>
    </row>
    <row r="268">
      <c r="A268" s="6" t="s">
        <v>1505</v>
      </c>
      <c r="B268" s="6" t="s">
        <v>1503</v>
      </c>
      <c r="C268" s="6" t="s">
        <v>1504</v>
      </c>
      <c r="D268" s="6" t="s">
        <v>1504</v>
      </c>
      <c r="E268" s="6" t="s">
        <v>5247</v>
      </c>
      <c r="F268" s="6" t="s">
        <v>5248</v>
      </c>
      <c r="G268" s="6">
        <v>65.0</v>
      </c>
      <c r="H268" s="6">
        <v>294.0</v>
      </c>
      <c r="I268" s="8">
        <v>521.55</v>
      </c>
      <c r="J268" s="8">
        <v>549.0</v>
      </c>
      <c r="K268" s="8">
        <v>549.0</v>
      </c>
    </row>
    <row r="269">
      <c r="A269" s="6" t="s">
        <v>3445</v>
      </c>
      <c r="B269" s="6" t="s">
        <v>3442</v>
      </c>
      <c r="C269" s="6" t="s">
        <v>3443</v>
      </c>
      <c r="D269" s="6" t="s">
        <v>3443</v>
      </c>
      <c r="E269" s="6" t="s">
        <v>5247</v>
      </c>
      <c r="F269" s="6" t="s">
        <v>5248</v>
      </c>
      <c r="G269" s="6">
        <v>78.0</v>
      </c>
      <c r="H269" s="6">
        <v>55.0</v>
      </c>
      <c r="I269" s="8">
        <v>616.55</v>
      </c>
      <c r="J269" s="8">
        <v>649.0</v>
      </c>
      <c r="K269" s="8">
        <v>649.0</v>
      </c>
    </row>
    <row r="270">
      <c r="A270" s="6" t="s">
        <v>3464</v>
      </c>
      <c r="B270" s="6" t="s">
        <v>3461</v>
      </c>
      <c r="C270" s="6" t="s">
        <v>3462</v>
      </c>
      <c r="D270" s="6" t="s">
        <v>3462</v>
      </c>
      <c r="E270" s="6" t="s">
        <v>5122</v>
      </c>
      <c r="F270" s="6" t="s">
        <v>5248</v>
      </c>
      <c r="G270" s="6">
        <v>35.0</v>
      </c>
      <c r="H270" s="6">
        <v>125.0</v>
      </c>
      <c r="I270" s="8">
        <v>474.05</v>
      </c>
      <c r="J270" s="8">
        <v>499.0</v>
      </c>
      <c r="K270" s="8">
        <v>499.0</v>
      </c>
    </row>
    <row r="271">
      <c r="A271" s="6" t="s">
        <v>3433</v>
      </c>
      <c r="B271" s="6" t="s">
        <v>3430</v>
      </c>
      <c r="C271" s="6" t="s">
        <v>3431</v>
      </c>
      <c r="D271" s="6" t="s">
        <v>3431</v>
      </c>
      <c r="E271" s="6" t="s">
        <v>5247</v>
      </c>
      <c r="F271" s="6" t="s">
        <v>5248</v>
      </c>
      <c r="G271" s="6">
        <v>47.0</v>
      </c>
      <c r="H271" s="6">
        <v>44.0</v>
      </c>
      <c r="I271" s="8">
        <v>616.55</v>
      </c>
      <c r="J271" s="8">
        <v>649.0</v>
      </c>
      <c r="K271" s="8">
        <v>649.0</v>
      </c>
    </row>
    <row r="272">
      <c r="A272" s="6" t="s">
        <v>1516</v>
      </c>
      <c r="B272" s="6" t="s">
        <v>1513</v>
      </c>
      <c r="C272" s="6" t="s">
        <v>1514</v>
      </c>
      <c r="D272" s="6" t="s">
        <v>1514</v>
      </c>
      <c r="E272" s="6" t="s">
        <v>5122</v>
      </c>
      <c r="F272" s="6" t="s">
        <v>5248</v>
      </c>
      <c r="G272" s="6">
        <v>136.0</v>
      </c>
      <c r="H272" s="6">
        <v>107.0</v>
      </c>
      <c r="I272" s="8">
        <v>521.55</v>
      </c>
      <c r="J272" s="8">
        <v>549.0</v>
      </c>
      <c r="K272" s="8">
        <v>549.0</v>
      </c>
    </row>
    <row r="273">
      <c r="A273" s="6" t="s">
        <v>1983</v>
      </c>
      <c r="B273" s="6" t="s">
        <v>1981</v>
      </c>
      <c r="C273" s="6" t="s">
        <v>1982</v>
      </c>
      <c r="D273" s="6" t="s">
        <v>1982</v>
      </c>
      <c r="E273" s="6" t="s">
        <v>5247</v>
      </c>
      <c r="F273" s="6" t="s">
        <v>5248</v>
      </c>
      <c r="G273" s="6">
        <v>9.0</v>
      </c>
      <c r="H273" s="6">
        <v>21.0</v>
      </c>
      <c r="I273" s="8">
        <v>3849.3</v>
      </c>
      <c r="J273" s="8">
        <v>4599.0</v>
      </c>
      <c r="K273" s="8">
        <v>5499.0</v>
      </c>
    </row>
    <row r="274">
      <c r="A274" s="6" t="s">
        <v>1996</v>
      </c>
      <c r="B274" s="6" t="s">
        <v>1994</v>
      </c>
      <c r="C274" s="6" t="s">
        <v>1995</v>
      </c>
      <c r="D274" s="6" t="s">
        <v>1995</v>
      </c>
      <c r="E274" s="6" t="s">
        <v>5247</v>
      </c>
      <c r="F274" s="6" t="s">
        <v>5248</v>
      </c>
      <c r="G274" s="6">
        <v>5.0</v>
      </c>
      <c r="H274" s="6">
        <v>9.0</v>
      </c>
      <c r="I274" s="8">
        <v>4549.3</v>
      </c>
      <c r="J274" s="8">
        <v>5499.0</v>
      </c>
      <c r="K274" s="8">
        <v>6499.0</v>
      </c>
    </row>
    <row r="275">
      <c r="A275" s="6" t="s">
        <v>1976</v>
      </c>
      <c r="B275" s="6" t="s">
        <v>1974</v>
      </c>
      <c r="C275" s="6" t="s">
        <v>1975</v>
      </c>
      <c r="D275" s="6" t="s">
        <v>1975</v>
      </c>
      <c r="E275" s="6" t="s">
        <v>5247</v>
      </c>
      <c r="F275" s="6" t="s">
        <v>5248</v>
      </c>
      <c r="G275" s="6">
        <v>12.0</v>
      </c>
      <c r="H275" s="6">
        <v>24.0</v>
      </c>
      <c r="I275" s="8">
        <v>3149.3</v>
      </c>
      <c r="J275" s="8">
        <v>3799.0</v>
      </c>
      <c r="K275" s="8">
        <v>4499.0</v>
      </c>
    </row>
    <row r="276">
      <c r="A276" s="6" t="s">
        <v>2014</v>
      </c>
      <c r="B276" s="6" t="s">
        <v>2012</v>
      </c>
      <c r="C276" s="6" t="s">
        <v>2013</v>
      </c>
      <c r="D276" s="6" t="s">
        <v>2013</v>
      </c>
      <c r="E276" s="6" t="s">
        <v>5247</v>
      </c>
      <c r="F276" s="6" t="s">
        <v>5248</v>
      </c>
      <c r="G276" s="6">
        <v>5.0</v>
      </c>
      <c r="H276" s="6">
        <v>33.0</v>
      </c>
      <c r="I276" s="8">
        <v>5249.3</v>
      </c>
      <c r="J276" s="8">
        <v>6399.0</v>
      </c>
      <c r="K276" s="8">
        <v>7499.0</v>
      </c>
    </row>
    <row r="277">
      <c r="A277" s="6" t="s">
        <v>3641</v>
      </c>
      <c r="B277" s="6" t="s">
        <v>3639</v>
      </c>
      <c r="C277" s="6" t="s">
        <v>3640</v>
      </c>
      <c r="D277" s="6" t="s">
        <v>3640</v>
      </c>
      <c r="E277" s="6" t="s">
        <v>5122</v>
      </c>
      <c r="F277" s="6" t="s">
        <v>5248</v>
      </c>
      <c r="G277" s="6" t="e">
        <v>#N/A</v>
      </c>
      <c r="H277" s="6">
        <v>0.0</v>
      </c>
      <c r="I277" s="8">
        <v>749.0</v>
      </c>
      <c r="J277" s="8">
        <v>799.0</v>
      </c>
      <c r="K277" s="8">
        <v>899.0</v>
      </c>
    </row>
    <row r="278">
      <c r="A278" s="6" t="s">
        <v>3718</v>
      </c>
      <c r="B278" s="6" t="s">
        <v>3716</v>
      </c>
      <c r="C278" s="6" t="s">
        <v>3717</v>
      </c>
      <c r="D278" s="6" t="s">
        <v>3717</v>
      </c>
      <c r="E278" s="6" t="s">
        <v>5122</v>
      </c>
      <c r="F278" s="6" t="s">
        <v>5248</v>
      </c>
      <c r="G278" s="6" t="e">
        <v>#N/A</v>
      </c>
      <c r="H278" s="6">
        <v>0.0</v>
      </c>
      <c r="I278" s="8">
        <v>899.0</v>
      </c>
      <c r="J278" s="8">
        <v>949.0</v>
      </c>
      <c r="K278" s="8">
        <v>949.0</v>
      </c>
    </row>
    <row r="279">
      <c r="A279" s="6" t="s">
        <v>3693</v>
      </c>
      <c r="B279" s="6" t="s">
        <v>3691</v>
      </c>
      <c r="C279" s="6" t="s">
        <v>3692</v>
      </c>
      <c r="D279" s="6" t="s">
        <v>3692</v>
      </c>
      <c r="E279" s="6" t="s">
        <v>5122</v>
      </c>
      <c r="F279" s="6" t="s">
        <v>5248</v>
      </c>
      <c r="G279" s="6" t="e">
        <v>#N/A</v>
      </c>
      <c r="H279" s="6">
        <v>0.0</v>
      </c>
      <c r="I279" s="8">
        <v>849.0</v>
      </c>
      <c r="J279" s="8">
        <v>899.0</v>
      </c>
      <c r="K279" s="8">
        <v>999.0</v>
      </c>
    </row>
    <row r="280">
      <c r="A280" s="6" t="s">
        <v>3678</v>
      </c>
      <c r="B280" s="6" t="s">
        <v>3676</v>
      </c>
      <c r="C280" s="6" t="s">
        <v>3677</v>
      </c>
      <c r="D280" s="6" t="s">
        <v>3677</v>
      </c>
      <c r="E280" s="6" t="s">
        <v>5122</v>
      </c>
      <c r="F280" s="6" t="s">
        <v>5248</v>
      </c>
      <c r="G280" s="6" t="e">
        <v>#N/A</v>
      </c>
      <c r="H280" s="6">
        <v>0.0</v>
      </c>
      <c r="I280" s="8">
        <v>879.0</v>
      </c>
      <c r="J280" s="8">
        <v>899.0</v>
      </c>
      <c r="K280" s="8">
        <v>999.0</v>
      </c>
    </row>
    <row r="281">
      <c r="A281" s="6" t="s">
        <v>3626</v>
      </c>
      <c r="B281" s="6" t="s">
        <v>3624</v>
      </c>
      <c r="C281" s="6" t="s">
        <v>3625</v>
      </c>
      <c r="D281" s="6" t="s">
        <v>3625</v>
      </c>
      <c r="E281" s="6" t="s">
        <v>5122</v>
      </c>
      <c r="F281" s="6" t="s">
        <v>5248</v>
      </c>
      <c r="G281" s="6" t="e">
        <v>#N/A</v>
      </c>
      <c r="H281" s="6">
        <v>0.0</v>
      </c>
      <c r="I281" s="8">
        <v>749.0</v>
      </c>
      <c r="J281" s="8">
        <v>799.0</v>
      </c>
      <c r="K281" s="8">
        <v>899.0</v>
      </c>
    </row>
    <row r="282">
      <c r="A282" s="6" t="s">
        <v>3688</v>
      </c>
      <c r="B282" s="6" t="s">
        <v>3686</v>
      </c>
      <c r="C282" s="6" t="s">
        <v>3687</v>
      </c>
      <c r="D282" s="6" t="s">
        <v>3687</v>
      </c>
      <c r="E282" s="6" t="s">
        <v>5122</v>
      </c>
      <c r="F282" s="6" t="s">
        <v>5248</v>
      </c>
      <c r="G282" s="6">
        <v>11.0</v>
      </c>
      <c r="H282" s="6">
        <v>14.0</v>
      </c>
      <c r="I282" s="8">
        <v>849.0</v>
      </c>
      <c r="J282" s="8">
        <v>899.0</v>
      </c>
      <c r="K282" s="8">
        <v>999.0</v>
      </c>
    </row>
    <row r="283">
      <c r="A283" s="6" t="s">
        <v>3698</v>
      </c>
      <c r="B283" s="6" t="s">
        <v>3696</v>
      </c>
      <c r="C283" s="6" t="s">
        <v>3697</v>
      </c>
      <c r="D283" s="6" t="s">
        <v>3697</v>
      </c>
      <c r="E283" s="6" t="s">
        <v>5247</v>
      </c>
      <c r="F283" s="6" t="s">
        <v>5248</v>
      </c>
      <c r="G283" s="6">
        <v>5.0</v>
      </c>
      <c r="H283" s="6">
        <v>22.0</v>
      </c>
      <c r="I283" s="8">
        <v>849.0</v>
      </c>
      <c r="J283" s="8">
        <v>899.0</v>
      </c>
      <c r="K283" s="8">
        <v>949.0</v>
      </c>
    </row>
    <row r="284">
      <c r="A284" s="6" t="s">
        <v>3636</v>
      </c>
      <c r="B284" s="6" t="s">
        <v>3634</v>
      </c>
      <c r="C284" s="6" t="s">
        <v>3635</v>
      </c>
      <c r="D284" s="6" t="s">
        <v>3635</v>
      </c>
      <c r="E284" s="6" t="s">
        <v>5122</v>
      </c>
      <c r="F284" s="6" t="s">
        <v>5248</v>
      </c>
      <c r="G284" s="6">
        <v>18.0</v>
      </c>
      <c r="H284" s="6">
        <v>3.0</v>
      </c>
      <c r="I284" s="8">
        <v>749.0</v>
      </c>
      <c r="J284" s="8">
        <v>799.0</v>
      </c>
      <c r="K284" s="8">
        <v>899.0</v>
      </c>
    </row>
    <row r="285">
      <c r="A285" s="6" t="s">
        <v>3621</v>
      </c>
      <c r="B285" s="6" t="s">
        <v>3619</v>
      </c>
      <c r="C285" s="6" t="s">
        <v>3620</v>
      </c>
      <c r="D285" s="6" t="s">
        <v>3620</v>
      </c>
      <c r="E285" s="6" t="s">
        <v>5247</v>
      </c>
      <c r="F285" s="6" t="s">
        <v>5248</v>
      </c>
      <c r="G285" s="6">
        <v>16.0</v>
      </c>
      <c r="H285" s="6">
        <v>30.0</v>
      </c>
      <c r="I285" s="8">
        <v>749.0</v>
      </c>
      <c r="J285" s="8">
        <v>799.0</v>
      </c>
      <c r="K285" s="8">
        <v>899.0</v>
      </c>
    </row>
    <row r="286">
      <c r="A286" s="6" t="s">
        <v>3631</v>
      </c>
      <c r="B286" s="6" t="s">
        <v>3629</v>
      </c>
      <c r="C286" s="6" t="s">
        <v>3630</v>
      </c>
      <c r="D286" s="6" t="s">
        <v>3630</v>
      </c>
      <c r="E286" s="6" t="s">
        <v>5122</v>
      </c>
      <c r="F286" s="6" t="s">
        <v>5248</v>
      </c>
      <c r="G286" s="6">
        <v>5.0</v>
      </c>
      <c r="H286" s="6">
        <v>3.0</v>
      </c>
      <c r="I286" s="8">
        <v>749.0</v>
      </c>
      <c r="J286" s="8">
        <v>799.0</v>
      </c>
      <c r="K286" s="8">
        <v>899.0</v>
      </c>
    </row>
    <row r="287">
      <c r="A287" s="6" t="s">
        <v>3708</v>
      </c>
      <c r="B287" s="6" t="s">
        <v>3706</v>
      </c>
      <c r="C287" s="6" t="s">
        <v>3707</v>
      </c>
      <c r="D287" s="6" t="s">
        <v>3707</v>
      </c>
      <c r="E287" s="6" t="s">
        <v>5122</v>
      </c>
      <c r="F287" s="6" t="s">
        <v>5248</v>
      </c>
      <c r="G287" s="6">
        <v>5.0</v>
      </c>
      <c r="H287" s="6">
        <v>3.0</v>
      </c>
      <c r="I287" s="8">
        <v>849.0</v>
      </c>
      <c r="J287" s="8">
        <v>899.0</v>
      </c>
      <c r="K287" s="8">
        <v>949.0</v>
      </c>
    </row>
    <row r="288">
      <c r="A288" s="6" t="s">
        <v>3673</v>
      </c>
      <c r="B288" s="6" t="s">
        <v>3671</v>
      </c>
      <c r="C288" s="6" t="s">
        <v>3672</v>
      </c>
      <c r="D288" s="6" t="s">
        <v>3672</v>
      </c>
      <c r="E288" s="6" t="s">
        <v>5247</v>
      </c>
      <c r="F288" s="6" t="s">
        <v>5248</v>
      </c>
      <c r="G288" s="6">
        <v>13.0</v>
      </c>
      <c r="H288" s="6">
        <v>15.0</v>
      </c>
      <c r="I288" s="8">
        <v>879.0</v>
      </c>
      <c r="J288" s="8">
        <v>899.0</v>
      </c>
      <c r="K288" s="8">
        <v>999.0</v>
      </c>
    </row>
    <row r="289">
      <c r="A289" s="6" t="s">
        <v>3713</v>
      </c>
      <c r="B289" s="6" t="s">
        <v>3711</v>
      </c>
      <c r="C289" s="6" t="s">
        <v>3712</v>
      </c>
      <c r="D289" s="6" t="s">
        <v>3712</v>
      </c>
      <c r="E289" s="6" t="s">
        <v>5247</v>
      </c>
      <c r="F289" s="6" t="s">
        <v>5248</v>
      </c>
      <c r="G289" s="6">
        <v>16.0</v>
      </c>
      <c r="H289" s="6">
        <v>7.0</v>
      </c>
      <c r="I289" s="8">
        <v>849.0</v>
      </c>
      <c r="J289" s="8">
        <v>899.0</v>
      </c>
      <c r="K289" s="8">
        <v>949.0</v>
      </c>
    </row>
    <row r="290">
      <c r="A290" s="6" t="s">
        <v>3683</v>
      </c>
      <c r="B290" s="6" t="s">
        <v>3681</v>
      </c>
      <c r="C290" s="6" t="s">
        <v>3682</v>
      </c>
      <c r="D290" s="6" t="s">
        <v>3682</v>
      </c>
      <c r="E290" s="6" t="s">
        <v>5122</v>
      </c>
      <c r="F290" s="6" t="s">
        <v>5248</v>
      </c>
      <c r="G290" s="6">
        <v>1.0</v>
      </c>
      <c r="H290" s="6">
        <v>16.0</v>
      </c>
      <c r="I290" s="8">
        <v>879.0</v>
      </c>
      <c r="J290" s="8">
        <v>899.0</v>
      </c>
      <c r="K290" s="8">
        <v>999.0</v>
      </c>
    </row>
    <row r="291">
      <c r="A291" s="6" t="s">
        <v>3703</v>
      </c>
      <c r="B291" s="6" t="s">
        <v>3701</v>
      </c>
      <c r="C291" s="6" t="s">
        <v>3702</v>
      </c>
      <c r="D291" s="6" t="s">
        <v>3702</v>
      </c>
      <c r="E291" s="6" t="s">
        <v>5122</v>
      </c>
      <c r="F291" s="6" t="s">
        <v>5248</v>
      </c>
      <c r="G291" s="6" t="e">
        <v>#N/A</v>
      </c>
      <c r="H291" s="6">
        <v>0.0</v>
      </c>
      <c r="I291" s="8">
        <v>849.0</v>
      </c>
      <c r="J291" s="8">
        <v>899.0</v>
      </c>
      <c r="K291" s="8">
        <v>949.0</v>
      </c>
    </row>
    <row r="292">
      <c r="A292" s="6" t="s">
        <v>3291</v>
      </c>
      <c r="B292" s="6" t="s">
        <v>3289</v>
      </c>
      <c r="C292" s="6" t="s">
        <v>3290</v>
      </c>
      <c r="D292" s="6" t="s">
        <v>3290</v>
      </c>
      <c r="E292" s="6" t="s">
        <v>5247</v>
      </c>
      <c r="F292" s="6" t="s">
        <v>5248</v>
      </c>
      <c r="G292" s="6" t="e">
        <v>#N/A</v>
      </c>
      <c r="H292" s="6">
        <v>24.0</v>
      </c>
      <c r="I292" s="8">
        <v>1690.65</v>
      </c>
      <c r="J292" s="8">
        <v>1799.0</v>
      </c>
      <c r="K292" s="8">
        <v>1989.0</v>
      </c>
    </row>
    <row r="293">
      <c r="A293" s="6" t="s">
        <v>3237</v>
      </c>
      <c r="B293" s="6" t="s">
        <v>3235</v>
      </c>
      <c r="C293" s="6" t="s">
        <v>3236</v>
      </c>
      <c r="D293" s="6" t="s">
        <v>3236</v>
      </c>
      <c r="E293" s="6" t="s">
        <v>5247</v>
      </c>
      <c r="F293" s="6" t="s">
        <v>5248</v>
      </c>
      <c r="G293" s="6" t="e">
        <v>#N/A</v>
      </c>
      <c r="H293" s="6">
        <v>23.0</v>
      </c>
      <c r="I293" s="8">
        <v>1605.65</v>
      </c>
      <c r="J293" s="8">
        <v>1699.0</v>
      </c>
      <c r="K293" s="8">
        <v>1889.0</v>
      </c>
    </row>
    <row r="294">
      <c r="A294" s="6" t="s">
        <v>3297</v>
      </c>
      <c r="B294" s="6" t="s">
        <v>3295</v>
      </c>
      <c r="C294" s="6" t="s">
        <v>3296</v>
      </c>
      <c r="D294" s="6" t="s">
        <v>3296</v>
      </c>
      <c r="E294" s="6" t="s">
        <v>5122</v>
      </c>
      <c r="F294" s="6" t="s">
        <v>5248</v>
      </c>
      <c r="G294" s="6" t="e">
        <v>#N/A</v>
      </c>
      <c r="H294" s="6">
        <v>26.0</v>
      </c>
      <c r="I294" s="8">
        <v>1690.65</v>
      </c>
      <c r="J294" s="8">
        <v>1799.0</v>
      </c>
      <c r="K294" s="8">
        <v>1989.0</v>
      </c>
    </row>
    <row r="295">
      <c r="A295" s="6" t="s">
        <v>3249</v>
      </c>
      <c r="B295" s="6" t="s">
        <v>3247</v>
      </c>
      <c r="C295" s="6" t="s">
        <v>3248</v>
      </c>
      <c r="D295" s="6" t="s">
        <v>3248</v>
      </c>
      <c r="E295" s="6" t="s">
        <v>5122</v>
      </c>
      <c r="F295" s="6" t="s">
        <v>5248</v>
      </c>
      <c r="G295" s="6">
        <v>1.0</v>
      </c>
      <c r="H295" s="6">
        <v>16.0</v>
      </c>
      <c r="I295" s="8">
        <v>1605.65</v>
      </c>
      <c r="J295" s="8">
        <v>1699.0</v>
      </c>
      <c r="K295" s="8">
        <v>1889.0</v>
      </c>
    </row>
    <row r="296">
      <c r="A296" s="6" t="s">
        <v>3357</v>
      </c>
      <c r="B296" s="6" t="s">
        <v>3355</v>
      </c>
      <c r="C296" s="6" t="s">
        <v>3356</v>
      </c>
      <c r="D296" s="6" t="s">
        <v>3356</v>
      </c>
      <c r="E296" s="6" t="s">
        <v>5247</v>
      </c>
      <c r="F296" s="6" t="s">
        <v>5248</v>
      </c>
      <c r="G296" s="6" t="e">
        <v>#N/A</v>
      </c>
      <c r="H296" s="6">
        <v>19.0</v>
      </c>
      <c r="I296" s="8">
        <v>1860.65</v>
      </c>
      <c r="J296" s="8">
        <v>1999.0</v>
      </c>
      <c r="K296" s="8">
        <v>2189.0</v>
      </c>
    </row>
    <row r="297">
      <c r="A297" s="6" t="s">
        <v>3225</v>
      </c>
      <c r="B297" s="6" t="s">
        <v>3223</v>
      </c>
      <c r="C297" s="6" t="s">
        <v>3224</v>
      </c>
      <c r="D297" s="6" t="s">
        <v>3224</v>
      </c>
      <c r="E297" s="6" t="s">
        <v>5247</v>
      </c>
      <c r="F297" s="6" t="s">
        <v>5248</v>
      </c>
      <c r="G297" s="6">
        <v>1.0</v>
      </c>
      <c r="H297" s="6">
        <v>7.0</v>
      </c>
      <c r="I297" s="8">
        <v>1180.65</v>
      </c>
      <c r="J297" s="8">
        <v>1299.0</v>
      </c>
      <c r="K297" s="8">
        <v>1389.0</v>
      </c>
    </row>
    <row r="298">
      <c r="A298" s="6" t="s">
        <v>3231</v>
      </c>
      <c r="B298" s="6" t="s">
        <v>3229</v>
      </c>
      <c r="C298" s="6" t="s">
        <v>3230</v>
      </c>
      <c r="D298" s="6" t="s">
        <v>3230</v>
      </c>
      <c r="E298" s="6" t="s">
        <v>5247</v>
      </c>
      <c r="F298" s="6" t="s">
        <v>5248</v>
      </c>
      <c r="G298" s="6">
        <v>1.0</v>
      </c>
      <c r="H298" s="6">
        <v>6.0</v>
      </c>
      <c r="I298" s="8">
        <v>1605.65</v>
      </c>
      <c r="J298" s="8">
        <v>1699.0</v>
      </c>
      <c r="K298" s="8">
        <v>1889.0</v>
      </c>
    </row>
    <row r="299">
      <c r="A299" s="6" t="s">
        <v>3363</v>
      </c>
      <c r="B299" s="6" t="s">
        <v>3361</v>
      </c>
      <c r="C299" s="6" t="s">
        <v>3362</v>
      </c>
      <c r="D299" s="6" t="s">
        <v>3362</v>
      </c>
      <c r="E299" s="6" t="s">
        <v>5122</v>
      </c>
      <c r="F299" s="6" t="s">
        <v>5248</v>
      </c>
      <c r="G299" s="6">
        <v>3.0</v>
      </c>
      <c r="H299" s="6">
        <v>0.0</v>
      </c>
      <c r="I299" s="8">
        <v>1860.65</v>
      </c>
      <c r="J299" s="8">
        <v>1999.0</v>
      </c>
      <c r="K299" s="8">
        <v>2189.0</v>
      </c>
    </row>
    <row r="300">
      <c r="A300" s="6" t="s">
        <v>3285</v>
      </c>
      <c r="B300" s="6" t="s">
        <v>3283</v>
      </c>
      <c r="C300" s="6" t="s">
        <v>3284</v>
      </c>
      <c r="D300" s="6" t="s">
        <v>3284</v>
      </c>
      <c r="E300" s="6" t="s">
        <v>5122</v>
      </c>
      <c r="F300" s="6" t="s">
        <v>5248</v>
      </c>
      <c r="G300" s="6" t="e">
        <v>#N/A</v>
      </c>
      <c r="H300" s="6">
        <v>3.0</v>
      </c>
      <c r="I300" s="8">
        <v>1690.65</v>
      </c>
      <c r="J300" s="8">
        <v>1799.0</v>
      </c>
      <c r="K300" s="8">
        <v>1989.0</v>
      </c>
    </row>
    <row r="301">
      <c r="A301" s="6" t="s">
        <v>3351</v>
      </c>
      <c r="B301" s="6" t="s">
        <v>3349</v>
      </c>
      <c r="C301" s="6" t="s">
        <v>3350</v>
      </c>
      <c r="D301" s="6" t="s">
        <v>3350</v>
      </c>
      <c r="E301" s="6" t="s">
        <v>5247</v>
      </c>
      <c r="F301" s="6" t="s">
        <v>5248</v>
      </c>
      <c r="G301" s="6" t="e">
        <v>#N/A</v>
      </c>
      <c r="H301" s="6">
        <v>2.0</v>
      </c>
      <c r="I301" s="8">
        <v>1860.65</v>
      </c>
      <c r="J301" s="8">
        <v>1999.0</v>
      </c>
      <c r="K301" s="8">
        <v>2189.0</v>
      </c>
    </row>
    <row r="302">
      <c r="A302" s="6" t="s">
        <v>3219</v>
      </c>
      <c r="B302" s="6" t="s">
        <v>3217</v>
      </c>
      <c r="C302" s="6" t="s">
        <v>3218</v>
      </c>
      <c r="D302" s="6" t="s">
        <v>3218</v>
      </c>
      <c r="E302" s="6" t="s">
        <v>5122</v>
      </c>
      <c r="F302" s="6" t="s">
        <v>5248</v>
      </c>
      <c r="G302" s="6" t="e">
        <v>#N/A</v>
      </c>
      <c r="H302" s="6">
        <v>7.0</v>
      </c>
      <c r="I302" s="8">
        <v>1199.0</v>
      </c>
      <c r="J302" s="8">
        <v>1299.0</v>
      </c>
      <c r="K302" s="8">
        <v>1389.0</v>
      </c>
    </row>
    <row r="303">
      <c r="A303" s="6" t="s">
        <v>3207</v>
      </c>
      <c r="B303" s="6" t="s">
        <v>3205</v>
      </c>
      <c r="C303" s="6" t="s">
        <v>3206</v>
      </c>
      <c r="D303" s="6" t="s">
        <v>3206</v>
      </c>
      <c r="E303" s="6" t="s">
        <v>5122</v>
      </c>
      <c r="F303" s="6" t="s">
        <v>5248</v>
      </c>
      <c r="G303" s="6" t="e">
        <v>#N/A</v>
      </c>
      <c r="H303" s="6">
        <v>1.0</v>
      </c>
      <c r="I303" s="8">
        <v>1180.65</v>
      </c>
      <c r="J303" s="8">
        <v>1299.0</v>
      </c>
      <c r="K303" s="8">
        <v>1389.0</v>
      </c>
    </row>
    <row r="304">
      <c r="A304" s="6" t="s">
        <v>3213</v>
      </c>
      <c r="B304" s="6" t="s">
        <v>3211</v>
      </c>
      <c r="C304" s="6" t="s">
        <v>3212</v>
      </c>
      <c r="D304" s="6" t="s">
        <v>3212</v>
      </c>
      <c r="E304" s="6" t="s">
        <v>5122</v>
      </c>
      <c r="F304" s="6" t="s">
        <v>5248</v>
      </c>
      <c r="G304" s="6" t="e">
        <v>#N/A</v>
      </c>
      <c r="H304" s="6">
        <v>11.0</v>
      </c>
      <c r="I304" s="8">
        <v>1180.65</v>
      </c>
      <c r="J304" s="8">
        <v>1299.0</v>
      </c>
      <c r="K304" s="8">
        <v>1389.0</v>
      </c>
    </row>
    <row r="305">
      <c r="A305" s="6" t="s">
        <v>3279</v>
      </c>
      <c r="B305" s="6" t="s">
        <v>3277</v>
      </c>
      <c r="C305" s="6" t="s">
        <v>3278</v>
      </c>
      <c r="D305" s="6" t="s">
        <v>3278</v>
      </c>
      <c r="E305" s="6" t="s">
        <v>5247</v>
      </c>
      <c r="F305" s="6" t="s">
        <v>5248</v>
      </c>
      <c r="G305" s="6" t="e">
        <v>#N/A</v>
      </c>
      <c r="H305" s="6">
        <v>3.0</v>
      </c>
      <c r="I305" s="8">
        <v>1690.65</v>
      </c>
      <c r="J305" s="8">
        <v>1799.0</v>
      </c>
      <c r="K305" s="8">
        <v>1989.0</v>
      </c>
    </row>
    <row r="306">
      <c r="A306" s="6" t="s">
        <v>3369</v>
      </c>
      <c r="B306" s="6" t="s">
        <v>3367</v>
      </c>
      <c r="C306" s="6" t="s">
        <v>3368</v>
      </c>
      <c r="D306" s="6" t="s">
        <v>3368</v>
      </c>
      <c r="E306" s="6" t="s">
        <v>5122</v>
      </c>
      <c r="F306" s="6" t="s">
        <v>5248</v>
      </c>
      <c r="G306" s="6" t="e">
        <v>#N/A</v>
      </c>
      <c r="H306" s="6">
        <v>0.0</v>
      </c>
      <c r="I306" s="8">
        <v>1860.65</v>
      </c>
      <c r="J306" s="8">
        <v>1999.0</v>
      </c>
      <c r="K306" s="8">
        <v>2189.0</v>
      </c>
    </row>
    <row r="307">
      <c r="A307" s="6" t="s">
        <v>3243</v>
      </c>
      <c r="B307" s="6" t="s">
        <v>3241</v>
      </c>
      <c r="C307" s="6" t="s">
        <v>3242</v>
      </c>
      <c r="D307" s="6" t="s">
        <v>3242</v>
      </c>
      <c r="E307" s="6" t="s">
        <v>5247</v>
      </c>
      <c r="F307" s="6" t="s">
        <v>5248</v>
      </c>
      <c r="G307" s="6">
        <v>1.0</v>
      </c>
      <c r="H307" s="6">
        <v>36.0</v>
      </c>
      <c r="I307" s="8">
        <v>1605.65</v>
      </c>
      <c r="J307" s="8">
        <v>1699.0</v>
      </c>
      <c r="K307" s="8">
        <v>1889.0</v>
      </c>
    </row>
    <row r="308">
      <c r="A308" s="6" t="s">
        <v>3016</v>
      </c>
      <c r="B308" s="6" t="s">
        <v>3014</v>
      </c>
      <c r="C308" s="6" t="s">
        <v>3015</v>
      </c>
      <c r="D308" s="6" t="s">
        <v>3015</v>
      </c>
      <c r="E308" s="6" t="s">
        <v>5247</v>
      </c>
      <c r="F308" s="6" t="s">
        <v>5248</v>
      </c>
      <c r="G308" s="6" t="e">
        <v>#N/A</v>
      </c>
      <c r="H308" s="6">
        <v>7.0</v>
      </c>
      <c r="I308" s="8">
        <v>1775.65</v>
      </c>
      <c r="J308" s="8">
        <v>1899.0</v>
      </c>
      <c r="K308" s="8">
        <v>2089.0</v>
      </c>
    </row>
    <row r="309">
      <c r="A309" s="6" t="s">
        <v>3028</v>
      </c>
      <c r="B309" s="6" t="s">
        <v>3026</v>
      </c>
      <c r="C309" s="6" t="s">
        <v>3027</v>
      </c>
      <c r="D309" s="6" t="s">
        <v>3027</v>
      </c>
      <c r="E309" s="6" t="s">
        <v>5247</v>
      </c>
      <c r="F309" s="6" t="s">
        <v>5248</v>
      </c>
      <c r="G309" s="6" t="e">
        <v>#N/A</v>
      </c>
      <c r="H309" s="6">
        <v>3.0</v>
      </c>
      <c r="I309" s="8">
        <v>2199.0</v>
      </c>
      <c r="J309" s="8">
        <v>2299.0</v>
      </c>
      <c r="K309" s="8">
        <v>2989.0</v>
      </c>
    </row>
    <row r="310">
      <c r="A310" s="6" t="s">
        <v>3040</v>
      </c>
      <c r="B310" s="6" t="s">
        <v>3038</v>
      </c>
      <c r="C310" s="6" t="s">
        <v>3039</v>
      </c>
      <c r="D310" s="6" t="s">
        <v>3039</v>
      </c>
      <c r="E310" s="6" t="s">
        <v>5247</v>
      </c>
      <c r="F310" s="6" t="s">
        <v>5248</v>
      </c>
      <c r="G310" s="6">
        <v>1.0</v>
      </c>
      <c r="H310" s="6">
        <v>5.0</v>
      </c>
      <c r="I310" s="8">
        <v>2540.65</v>
      </c>
      <c r="J310" s="8">
        <v>2699.0</v>
      </c>
      <c r="K310" s="8">
        <v>2989.0</v>
      </c>
    </row>
    <row r="311">
      <c r="A311" s="6" t="s">
        <v>3034</v>
      </c>
      <c r="B311" s="6" t="s">
        <v>3032</v>
      </c>
      <c r="C311" s="6" t="s">
        <v>3033</v>
      </c>
      <c r="D311" s="6" t="s">
        <v>3033</v>
      </c>
      <c r="E311" s="6" t="s">
        <v>5247</v>
      </c>
      <c r="F311" s="6" t="s">
        <v>5248</v>
      </c>
      <c r="G311" s="6" t="e">
        <v>#N/A</v>
      </c>
      <c r="H311" s="6">
        <v>2.0</v>
      </c>
      <c r="I311" s="8">
        <v>2199.0</v>
      </c>
      <c r="J311" s="8">
        <v>2299.0</v>
      </c>
      <c r="K311" s="8">
        <v>2989.0</v>
      </c>
    </row>
    <row r="312">
      <c r="A312" s="6" t="s">
        <v>3004</v>
      </c>
      <c r="B312" s="6" t="s">
        <v>3002</v>
      </c>
      <c r="C312" s="6" t="s">
        <v>3003</v>
      </c>
      <c r="D312" s="6" t="s">
        <v>3003</v>
      </c>
      <c r="E312" s="6" t="s">
        <v>5247</v>
      </c>
      <c r="F312" s="6" t="s">
        <v>5248</v>
      </c>
      <c r="G312" s="6">
        <v>4.0</v>
      </c>
      <c r="H312" s="6">
        <v>12.0</v>
      </c>
      <c r="I312" s="8">
        <v>1699.0</v>
      </c>
      <c r="J312" s="8">
        <v>1799.0</v>
      </c>
      <c r="K312" s="8">
        <v>2089.0</v>
      </c>
    </row>
    <row r="313">
      <c r="A313" s="6" t="s">
        <v>3010</v>
      </c>
      <c r="B313" s="6" t="s">
        <v>3008</v>
      </c>
      <c r="C313" s="6" t="s">
        <v>3009</v>
      </c>
      <c r="D313" s="6" t="s">
        <v>3009</v>
      </c>
      <c r="E313" s="6" t="s">
        <v>5247</v>
      </c>
      <c r="F313" s="6" t="s">
        <v>5248</v>
      </c>
      <c r="G313" s="6">
        <v>3.0</v>
      </c>
      <c r="H313" s="6">
        <v>11.0</v>
      </c>
      <c r="I313" s="8">
        <v>1699.0</v>
      </c>
      <c r="J313" s="8">
        <v>1799.0</v>
      </c>
      <c r="K313" s="8">
        <v>2089.0</v>
      </c>
    </row>
    <row r="314">
      <c r="A314" s="6" t="s">
        <v>3022</v>
      </c>
      <c r="B314" s="6" t="s">
        <v>3020</v>
      </c>
      <c r="C314" s="6" t="s">
        <v>3021</v>
      </c>
      <c r="D314" s="6" t="s">
        <v>3021</v>
      </c>
      <c r="E314" s="6" t="s">
        <v>5247</v>
      </c>
      <c r="F314" s="6" t="s">
        <v>5248</v>
      </c>
      <c r="G314" s="6">
        <v>1.0</v>
      </c>
      <c r="H314" s="6">
        <v>18.0</v>
      </c>
      <c r="I314" s="8">
        <v>1799.0</v>
      </c>
      <c r="J314" s="8">
        <v>1899.0</v>
      </c>
      <c r="K314" s="8">
        <v>2089.0</v>
      </c>
    </row>
    <row r="315">
      <c r="A315" s="6" t="s">
        <v>3046</v>
      </c>
      <c r="B315" s="6" t="s">
        <v>3044</v>
      </c>
      <c r="C315" s="6" t="s">
        <v>3045</v>
      </c>
      <c r="D315" s="6" t="s">
        <v>3045</v>
      </c>
      <c r="E315" s="6" t="s">
        <v>5122</v>
      </c>
      <c r="F315" s="6" t="s">
        <v>5248</v>
      </c>
      <c r="G315" s="6" t="e">
        <v>#N/A</v>
      </c>
      <c r="H315" s="6">
        <v>0.0</v>
      </c>
      <c r="I315" s="8">
        <v>2199.0</v>
      </c>
      <c r="J315" s="8">
        <v>2299.0</v>
      </c>
      <c r="K315" s="8">
        <v>2989.0</v>
      </c>
    </row>
    <row r="316">
      <c r="A316" s="6" t="s">
        <v>2140</v>
      </c>
      <c r="B316" s="6" t="s">
        <v>2138</v>
      </c>
      <c r="C316" s="6" t="s">
        <v>2139</v>
      </c>
      <c r="D316" s="6" t="s">
        <v>2139</v>
      </c>
      <c r="E316" s="6" t="s">
        <v>5247</v>
      </c>
      <c r="F316" s="6" t="s">
        <v>5248</v>
      </c>
      <c r="G316" s="6" t="e">
        <v>#N/A</v>
      </c>
      <c r="H316" s="6">
        <v>63.0</v>
      </c>
      <c r="I316" s="8">
        <v>3374.25</v>
      </c>
      <c r="J316" s="8">
        <v>3999.0</v>
      </c>
      <c r="K316" s="8">
        <v>4499.0</v>
      </c>
    </row>
    <row r="317">
      <c r="A317" s="6" t="s">
        <v>2174</v>
      </c>
      <c r="B317" s="6" t="s">
        <v>2172</v>
      </c>
      <c r="C317" s="6" t="s">
        <v>2173</v>
      </c>
      <c r="D317" s="6" t="s">
        <v>2173</v>
      </c>
      <c r="E317" s="6" t="s">
        <v>5247</v>
      </c>
      <c r="F317" s="6" t="s">
        <v>5248</v>
      </c>
      <c r="G317" s="6">
        <v>9.0</v>
      </c>
      <c r="H317" s="6">
        <v>14.0</v>
      </c>
      <c r="I317" s="8">
        <v>5624.25</v>
      </c>
      <c r="J317" s="8">
        <v>6599.0</v>
      </c>
      <c r="K317" s="8">
        <v>7499.0</v>
      </c>
    </row>
    <row r="318">
      <c r="A318" s="6" t="s">
        <v>2159</v>
      </c>
      <c r="B318" s="6" t="s">
        <v>2157</v>
      </c>
      <c r="C318" s="6" t="s">
        <v>2158</v>
      </c>
      <c r="D318" s="6" t="s">
        <v>2158</v>
      </c>
      <c r="E318" s="6" t="s">
        <v>5247</v>
      </c>
      <c r="F318" s="6" t="s">
        <v>5248</v>
      </c>
      <c r="G318" s="6" t="e">
        <v>#N/A</v>
      </c>
      <c r="H318" s="6">
        <v>22.0</v>
      </c>
      <c r="I318" s="8">
        <v>4874.25</v>
      </c>
      <c r="J318" s="8">
        <v>5899.0</v>
      </c>
      <c r="K318" s="8">
        <v>6499.0</v>
      </c>
    </row>
    <row r="319">
      <c r="A319" s="6" t="s">
        <v>2149</v>
      </c>
      <c r="B319" s="6" t="s">
        <v>2147</v>
      </c>
      <c r="C319" s="6" t="s">
        <v>2148</v>
      </c>
      <c r="D319" s="6" t="s">
        <v>2148</v>
      </c>
      <c r="E319" s="6" t="s">
        <v>5247</v>
      </c>
      <c r="F319" s="6" t="s">
        <v>5248</v>
      </c>
      <c r="G319" s="6" t="e">
        <v>#N/A</v>
      </c>
      <c r="H319" s="6">
        <v>82.0</v>
      </c>
      <c r="I319" s="8">
        <v>4124.25</v>
      </c>
      <c r="J319" s="8">
        <v>4899.0</v>
      </c>
      <c r="K319" s="8">
        <v>5499.0</v>
      </c>
    </row>
    <row r="320">
      <c r="A320" s="6" t="s">
        <v>1724</v>
      </c>
      <c r="B320" s="6" t="s">
        <v>1722</v>
      </c>
      <c r="C320" s="6" t="s">
        <v>1723</v>
      </c>
      <c r="D320" s="6" t="s">
        <v>1723</v>
      </c>
      <c r="E320" s="6" t="s">
        <v>5122</v>
      </c>
      <c r="F320" s="6" t="s">
        <v>5248</v>
      </c>
      <c r="G320" s="6" t="e">
        <v>#N/A</v>
      </c>
      <c r="H320" s="6">
        <v>0.0</v>
      </c>
      <c r="I320" s="8">
        <v>17639.16</v>
      </c>
      <c r="J320" s="8">
        <v>19899.0</v>
      </c>
      <c r="K320" s="8">
        <v>20999.0</v>
      </c>
    </row>
    <row r="321">
      <c r="A321" s="6" t="s">
        <v>1869</v>
      </c>
      <c r="B321" s="6" t="s">
        <v>1867</v>
      </c>
      <c r="C321" s="6" t="s">
        <v>1868</v>
      </c>
      <c r="D321" s="6" t="s">
        <v>1868</v>
      </c>
      <c r="E321" s="6" t="s">
        <v>5247</v>
      </c>
      <c r="F321" s="6" t="s">
        <v>5248</v>
      </c>
      <c r="G321" s="6">
        <v>9.0</v>
      </c>
      <c r="H321" s="6">
        <v>116.0</v>
      </c>
      <c r="I321" s="8">
        <v>29399.16</v>
      </c>
      <c r="J321" s="8">
        <v>33199.0</v>
      </c>
      <c r="K321" s="8">
        <v>34999.0</v>
      </c>
    </row>
    <row r="322">
      <c r="A322" s="6" t="s">
        <v>1698</v>
      </c>
      <c r="B322" s="6" t="s">
        <v>1696</v>
      </c>
      <c r="C322" s="6" t="s">
        <v>1697</v>
      </c>
      <c r="D322" s="6" t="s">
        <v>1697</v>
      </c>
      <c r="E322" s="6" t="s">
        <v>5122</v>
      </c>
      <c r="F322" s="6" t="s">
        <v>5248</v>
      </c>
      <c r="G322" s="6">
        <v>1.0</v>
      </c>
      <c r="H322" s="6">
        <v>0.0</v>
      </c>
      <c r="I322" s="8">
        <v>15959.16</v>
      </c>
      <c r="J322" s="8">
        <v>17999.0</v>
      </c>
      <c r="K322" s="8">
        <v>18999.0</v>
      </c>
    </row>
    <row r="323">
      <c r="A323" s="6" t="s">
        <v>1717</v>
      </c>
      <c r="B323" s="6" t="s">
        <v>1715</v>
      </c>
      <c r="C323" s="6" t="s">
        <v>1716</v>
      </c>
      <c r="D323" s="6" t="s">
        <v>1716</v>
      </c>
      <c r="E323" s="6" t="s">
        <v>5247</v>
      </c>
      <c r="F323" s="6" t="s">
        <v>5248</v>
      </c>
      <c r="G323" s="6" t="e">
        <v>#N/A</v>
      </c>
      <c r="H323" s="6">
        <v>3.0</v>
      </c>
      <c r="I323" s="8">
        <v>17639.16</v>
      </c>
      <c r="J323" s="8">
        <v>19899.0</v>
      </c>
      <c r="K323" s="8">
        <v>20999.0</v>
      </c>
    </row>
    <row r="324">
      <c r="A324" s="6" t="s">
        <v>1817</v>
      </c>
      <c r="B324" s="6" t="s">
        <v>1815</v>
      </c>
      <c r="C324" s="6" t="s">
        <v>1816</v>
      </c>
      <c r="D324" s="6" t="s">
        <v>1816</v>
      </c>
      <c r="E324" s="6" t="s">
        <v>5247</v>
      </c>
      <c r="F324" s="6" t="s">
        <v>5248</v>
      </c>
      <c r="G324" s="6" t="e">
        <v>#N/A</v>
      </c>
      <c r="H324" s="6">
        <v>21.0</v>
      </c>
      <c r="I324" s="8">
        <v>29399.16</v>
      </c>
      <c r="J324" s="8">
        <v>33199.0</v>
      </c>
      <c r="K324" s="8">
        <v>34999.0</v>
      </c>
    </row>
    <row r="325">
      <c r="A325" s="6" t="s">
        <v>1683</v>
      </c>
      <c r="B325" s="6" t="s">
        <v>1681</v>
      </c>
      <c r="C325" s="6" t="s">
        <v>1682</v>
      </c>
      <c r="D325" s="6" t="s">
        <v>1682</v>
      </c>
      <c r="E325" s="6" t="s">
        <v>5247</v>
      </c>
      <c r="F325" s="6" t="s">
        <v>5248</v>
      </c>
      <c r="G325" s="6" t="e">
        <v>#N/A</v>
      </c>
      <c r="H325" s="6">
        <v>4.0</v>
      </c>
      <c r="I325" s="8">
        <v>15959.16</v>
      </c>
      <c r="J325" s="8">
        <v>17999.0</v>
      </c>
      <c r="K325" s="8">
        <v>18999.0</v>
      </c>
    </row>
    <row r="326">
      <c r="A326" s="6" t="s">
        <v>1705</v>
      </c>
      <c r="B326" s="6" t="s">
        <v>1703</v>
      </c>
      <c r="C326" s="6" t="s">
        <v>1704</v>
      </c>
      <c r="D326" s="6" t="s">
        <v>1704</v>
      </c>
      <c r="E326" s="6" t="s">
        <v>5247</v>
      </c>
      <c r="F326" s="6" t="s">
        <v>5248</v>
      </c>
      <c r="G326" s="6" t="e">
        <v>#N/A</v>
      </c>
      <c r="H326" s="6">
        <v>30.0</v>
      </c>
      <c r="I326" s="8">
        <v>15959.16</v>
      </c>
      <c r="J326" s="8">
        <v>17999.0</v>
      </c>
      <c r="K326" s="8">
        <v>18999.0</v>
      </c>
    </row>
    <row r="327">
      <c r="A327" s="6" t="s">
        <v>1784</v>
      </c>
      <c r="B327" s="6" t="s">
        <v>1782</v>
      </c>
      <c r="C327" s="6" t="s">
        <v>1783</v>
      </c>
      <c r="D327" s="6" t="s">
        <v>1783</v>
      </c>
      <c r="E327" s="6" t="s">
        <v>5122</v>
      </c>
      <c r="F327" s="6" t="s">
        <v>5248</v>
      </c>
      <c r="G327" s="6">
        <v>4.0</v>
      </c>
      <c r="H327" s="6">
        <v>1.0</v>
      </c>
      <c r="I327" s="8">
        <v>26879.16</v>
      </c>
      <c r="J327" s="8">
        <v>30399.0</v>
      </c>
      <c r="K327" s="8">
        <v>31999.0</v>
      </c>
    </row>
    <row r="328">
      <c r="A328" s="6" t="s">
        <v>1791</v>
      </c>
      <c r="B328" s="6" t="s">
        <v>1789</v>
      </c>
      <c r="C328" s="6" t="s">
        <v>1790</v>
      </c>
      <c r="D328" s="6" t="s">
        <v>1790</v>
      </c>
      <c r="E328" s="6" t="s">
        <v>5247</v>
      </c>
      <c r="F328" s="6" t="s">
        <v>5248</v>
      </c>
      <c r="G328" s="6">
        <v>7.0</v>
      </c>
      <c r="H328" s="6">
        <v>91.0</v>
      </c>
      <c r="I328" s="8">
        <v>26879.16</v>
      </c>
      <c r="J328" s="8">
        <v>30399.0</v>
      </c>
      <c r="K328" s="8">
        <v>31999.0</v>
      </c>
    </row>
    <row r="329">
      <c r="A329" s="6" t="s">
        <v>1749</v>
      </c>
      <c r="B329" s="6" t="s">
        <v>1747</v>
      </c>
      <c r="C329" s="6" t="s">
        <v>1748</v>
      </c>
      <c r="D329" s="6" t="s">
        <v>1748</v>
      </c>
      <c r="E329" s="6" t="s">
        <v>5247</v>
      </c>
      <c r="F329" s="6" t="s">
        <v>5248</v>
      </c>
      <c r="G329" s="6">
        <v>3.0</v>
      </c>
      <c r="H329" s="6">
        <v>19.0</v>
      </c>
      <c r="I329" s="8">
        <v>20999.16</v>
      </c>
      <c r="J329" s="8">
        <v>23699.0</v>
      </c>
      <c r="K329" s="8">
        <v>24999.0</v>
      </c>
    </row>
    <row r="330">
      <c r="A330" s="6" t="s">
        <v>1810</v>
      </c>
      <c r="B330" s="6" t="s">
        <v>1808</v>
      </c>
      <c r="C330" s="6" t="s">
        <v>1809</v>
      </c>
      <c r="D330" s="6" t="s">
        <v>1809</v>
      </c>
      <c r="E330" s="6" t="s">
        <v>5122</v>
      </c>
      <c r="F330" s="6" t="s">
        <v>5248</v>
      </c>
      <c r="G330" s="6">
        <v>1.0</v>
      </c>
      <c r="H330" s="6">
        <v>1.0</v>
      </c>
      <c r="I330" s="8">
        <v>29399.16</v>
      </c>
      <c r="J330" s="8">
        <v>33199.0</v>
      </c>
      <c r="K330" s="8">
        <v>34999.0</v>
      </c>
    </row>
    <row r="331">
      <c r="A331" s="6" t="s">
        <v>1906</v>
      </c>
      <c r="B331" s="6" t="s">
        <v>1904</v>
      </c>
      <c r="C331" s="6" t="s">
        <v>1905</v>
      </c>
      <c r="D331" s="6" t="s">
        <v>1905</v>
      </c>
      <c r="E331" s="6" t="s">
        <v>5247</v>
      </c>
      <c r="F331" s="6" t="s">
        <v>5248</v>
      </c>
      <c r="G331" s="6">
        <v>4.0</v>
      </c>
      <c r="H331" s="6">
        <v>26.0</v>
      </c>
      <c r="I331" s="8">
        <v>32759.16</v>
      </c>
      <c r="J331" s="8">
        <v>36999.0</v>
      </c>
      <c r="K331" s="8">
        <v>38999.0</v>
      </c>
    </row>
    <row r="332">
      <c r="A332" s="6" t="s">
        <v>1742</v>
      </c>
      <c r="B332" s="6" t="s">
        <v>1740</v>
      </c>
      <c r="C332" s="6" t="s">
        <v>1741</v>
      </c>
      <c r="D332" s="6" t="s">
        <v>1741</v>
      </c>
      <c r="E332" s="6" t="s">
        <v>5247</v>
      </c>
      <c r="F332" s="6" t="s">
        <v>5248</v>
      </c>
      <c r="G332" s="6">
        <v>2.0</v>
      </c>
      <c r="H332" s="6">
        <v>2.0</v>
      </c>
      <c r="I332" s="8">
        <v>20999.16</v>
      </c>
      <c r="J332" s="8">
        <v>23699.0</v>
      </c>
      <c r="K332" s="8">
        <v>24999.0</v>
      </c>
    </row>
    <row r="333">
      <c r="A333" s="6" t="s">
        <v>1824</v>
      </c>
      <c r="B333" s="6" t="s">
        <v>1822</v>
      </c>
      <c r="C333" s="6" t="s">
        <v>1823</v>
      </c>
      <c r="D333" s="6" t="s">
        <v>1823</v>
      </c>
      <c r="E333" s="6" t="s">
        <v>5122</v>
      </c>
      <c r="F333" s="6" t="s">
        <v>5248</v>
      </c>
      <c r="G333" s="6">
        <v>2.0</v>
      </c>
      <c r="H333" s="6">
        <v>0.0</v>
      </c>
      <c r="I333" s="8">
        <v>29399.16</v>
      </c>
      <c r="J333" s="8">
        <v>33199.0</v>
      </c>
      <c r="K333" s="8">
        <v>34999.0</v>
      </c>
    </row>
    <row r="334">
      <c r="A334" s="6" t="s">
        <v>1690</v>
      </c>
      <c r="B334" s="6" t="s">
        <v>1688</v>
      </c>
      <c r="C334" s="6" t="s">
        <v>1689</v>
      </c>
      <c r="D334" s="6" t="s">
        <v>1689</v>
      </c>
      <c r="E334" s="6" t="s">
        <v>5247</v>
      </c>
      <c r="F334" s="6" t="s">
        <v>5248</v>
      </c>
      <c r="G334" s="6">
        <v>1.0</v>
      </c>
      <c r="H334" s="6">
        <v>22.0</v>
      </c>
      <c r="I334" s="8">
        <v>15959.16</v>
      </c>
      <c r="J334" s="8">
        <v>17999.0</v>
      </c>
      <c r="K334" s="8">
        <v>18999.0</v>
      </c>
    </row>
    <row r="335">
      <c r="A335" s="6" t="s">
        <v>1798</v>
      </c>
      <c r="B335" s="6" t="s">
        <v>1796</v>
      </c>
      <c r="C335" s="6" t="s">
        <v>1797</v>
      </c>
      <c r="D335" s="6" t="s">
        <v>1797</v>
      </c>
      <c r="E335" s="6" t="s">
        <v>5247</v>
      </c>
      <c r="F335" s="6" t="s">
        <v>5248</v>
      </c>
      <c r="G335" s="6">
        <v>14.0</v>
      </c>
      <c r="H335" s="6">
        <v>242.0</v>
      </c>
      <c r="I335" s="8">
        <v>26879.16</v>
      </c>
      <c r="J335" s="8">
        <v>30399.0</v>
      </c>
      <c r="K335" s="8">
        <v>31999.0</v>
      </c>
    </row>
    <row r="336">
      <c r="A336" s="6" t="s">
        <v>1876</v>
      </c>
      <c r="B336" s="6" t="s">
        <v>1874</v>
      </c>
      <c r="C336" s="6" t="s">
        <v>1875</v>
      </c>
      <c r="D336" s="6" t="s">
        <v>1875</v>
      </c>
      <c r="E336" s="6" t="s">
        <v>5247</v>
      </c>
      <c r="F336" s="6" t="s">
        <v>5248</v>
      </c>
      <c r="G336" s="6">
        <v>30.0</v>
      </c>
      <c r="H336" s="6">
        <v>326.0</v>
      </c>
      <c r="I336" s="8">
        <v>29399.16</v>
      </c>
      <c r="J336" s="8">
        <v>33199.0</v>
      </c>
      <c r="K336" s="8">
        <v>34999.0</v>
      </c>
    </row>
    <row r="337">
      <c r="A337" s="6" t="s">
        <v>1730</v>
      </c>
      <c r="B337" s="6" t="s">
        <v>1728</v>
      </c>
      <c r="C337" s="6" t="s">
        <v>1729</v>
      </c>
      <c r="D337" s="6" t="s">
        <v>1729</v>
      </c>
      <c r="E337" s="6" t="s">
        <v>5122</v>
      </c>
      <c r="F337" s="6" t="s">
        <v>5248</v>
      </c>
      <c r="G337" s="6" t="e">
        <v>#N/A</v>
      </c>
      <c r="H337" s="6">
        <v>0.0</v>
      </c>
      <c r="I337" s="8">
        <v>17639.16</v>
      </c>
      <c r="J337" s="8">
        <v>19899.0</v>
      </c>
      <c r="K337" s="8">
        <v>20999.0</v>
      </c>
    </row>
    <row r="338">
      <c r="A338" s="6" t="s">
        <v>1899</v>
      </c>
      <c r="B338" s="6" t="s">
        <v>1897</v>
      </c>
      <c r="C338" s="6" t="s">
        <v>1898</v>
      </c>
      <c r="D338" s="6" t="s">
        <v>1898</v>
      </c>
      <c r="E338" s="6" t="s">
        <v>5247</v>
      </c>
      <c r="F338" s="6" t="s">
        <v>5248</v>
      </c>
      <c r="G338" s="6">
        <v>2.0</v>
      </c>
      <c r="H338" s="6">
        <v>23.0</v>
      </c>
      <c r="I338" s="8">
        <v>32759.16</v>
      </c>
      <c r="J338" s="8">
        <v>36999.0</v>
      </c>
      <c r="K338" s="8">
        <v>38999.0</v>
      </c>
    </row>
    <row r="339">
      <c r="A339" s="6" t="s">
        <v>1773</v>
      </c>
      <c r="B339" s="6" t="s">
        <v>1771</v>
      </c>
      <c r="C339" s="6" t="s">
        <v>1772</v>
      </c>
      <c r="D339" s="6" t="s">
        <v>1772</v>
      </c>
      <c r="E339" s="6" t="s">
        <v>5122</v>
      </c>
      <c r="F339" s="6" t="s">
        <v>5248</v>
      </c>
      <c r="G339" s="6" t="e">
        <v>#N/A</v>
      </c>
      <c r="H339" s="6">
        <v>1.0</v>
      </c>
      <c r="I339" s="8">
        <v>22679.16</v>
      </c>
      <c r="J339" s="8">
        <v>25599.0</v>
      </c>
      <c r="K339" s="8">
        <v>26999.0</v>
      </c>
    </row>
    <row r="340">
      <c r="A340" s="6" t="s">
        <v>1756</v>
      </c>
      <c r="B340" s="6" t="s">
        <v>1754</v>
      </c>
      <c r="C340" s="6" t="s">
        <v>1755</v>
      </c>
      <c r="D340" s="6" t="s">
        <v>1755</v>
      </c>
      <c r="E340" s="6" t="s">
        <v>5247</v>
      </c>
      <c r="F340" s="6" t="s">
        <v>5248</v>
      </c>
      <c r="G340" s="6">
        <v>3.0</v>
      </c>
      <c r="H340" s="6">
        <v>4.0</v>
      </c>
      <c r="I340" s="8">
        <v>20999.16</v>
      </c>
      <c r="J340" s="8">
        <v>23699.0</v>
      </c>
      <c r="K340" s="8">
        <v>24999.0</v>
      </c>
    </row>
    <row r="341">
      <c r="A341" s="6" t="s">
        <v>1893</v>
      </c>
      <c r="B341" s="6" t="s">
        <v>1891</v>
      </c>
      <c r="C341" s="6" t="s">
        <v>1892</v>
      </c>
      <c r="D341" s="6" t="s">
        <v>1892</v>
      </c>
      <c r="E341" s="6" t="s">
        <v>5247</v>
      </c>
      <c r="F341" s="6" t="s">
        <v>5248</v>
      </c>
      <c r="G341" s="6" t="e">
        <v>#N/A</v>
      </c>
      <c r="H341" s="6">
        <v>1.0</v>
      </c>
      <c r="I341" s="8">
        <v>32759.16</v>
      </c>
      <c r="J341" s="8">
        <v>36999.0</v>
      </c>
      <c r="K341" s="8">
        <v>38999.0</v>
      </c>
    </row>
    <row r="342">
      <c r="A342" s="6" t="s">
        <v>5265</v>
      </c>
      <c r="B342" s="6" t="s">
        <v>4888</v>
      </c>
      <c r="C342" s="6" t="s">
        <v>4889</v>
      </c>
      <c r="D342" s="6" t="s">
        <v>4889</v>
      </c>
      <c r="E342" s="6" t="s">
        <v>5247</v>
      </c>
      <c r="F342" s="6" t="s">
        <v>5248</v>
      </c>
      <c r="G342" s="6" t="e">
        <v>#N/A</v>
      </c>
      <c r="H342" s="6" t="e">
        <v>#N/A</v>
      </c>
      <c r="I342" s="8">
        <v>23799.0</v>
      </c>
      <c r="J342" s="8">
        <v>23799.0</v>
      </c>
      <c r="K342" s="8">
        <v>27999.0</v>
      </c>
    </row>
    <row r="343">
      <c r="A343" s="6" t="s">
        <v>1384</v>
      </c>
      <c r="B343" s="6" t="s">
        <v>1382</v>
      </c>
      <c r="C343" s="6" t="s">
        <v>1383</v>
      </c>
      <c r="D343" s="6" t="s">
        <v>1383</v>
      </c>
      <c r="E343" s="6" t="s">
        <v>5122</v>
      </c>
      <c r="F343" s="6" t="s">
        <v>5248</v>
      </c>
      <c r="G343" s="6">
        <v>1.0</v>
      </c>
      <c r="H343" s="6">
        <v>0.0</v>
      </c>
      <c r="I343" s="8">
        <v>2119.2</v>
      </c>
      <c r="J343" s="8">
        <v>2199.0</v>
      </c>
      <c r="K343" s="8">
        <v>2649.0</v>
      </c>
    </row>
    <row r="344">
      <c r="A344" s="6" t="s">
        <v>1329</v>
      </c>
      <c r="B344" s="6" t="s">
        <v>1327</v>
      </c>
      <c r="C344" s="6" t="s">
        <v>1328</v>
      </c>
      <c r="D344" s="6" t="s">
        <v>1328</v>
      </c>
      <c r="E344" s="6" t="s">
        <v>5247</v>
      </c>
      <c r="F344" s="6" t="s">
        <v>5248</v>
      </c>
      <c r="G344" s="6" t="e">
        <v>#N/A</v>
      </c>
      <c r="H344" s="6">
        <v>28.0</v>
      </c>
      <c r="I344" s="8">
        <v>1959.2</v>
      </c>
      <c r="J344" s="8">
        <v>2004.0</v>
      </c>
      <c r="K344" s="8">
        <v>2449.0</v>
      </c>
    </row>
    <row r="345">
      <c r="A345" s="6" t="s">
        <v>2934</v>
      </c>
      <c r="B345" s="6" t="s">
        <v>2931</v>
      </c>
      <c r="C345" s="6" t="s">
        <v>2932</v>
      </c>
      <c r="D345" s="6" t="s">
        <v>2932</v>
      </c>
      <c r="E345" s="6" t="s">
        <v>5247</v>
      </c>
      <c r="F345" s="6" t="s">
        <v>5248</v>
      </c>
      <c r="G345" s="6">
        <v>5.0</v>
      </c>
      <c r="H345" s="6">
        <v>76.0</v>
      </c>
      <c r="I345" s="8">
        <v>3059.15</v>
      </c>
      <c r="J345" s="8">
        <v>3099.0</v>
      </c>
      <c r="K345" s="8">
        <v>3599.0</v>
      </c>
    </row>
    <row r="346">
      <c r="A346" s="6" t="s">
        <v>1489</v>
      </c>
      <c r="B346" s="6" t="s">
        <v>1487</v>
      </c>
      <c r="C346" s="6" t="s">
        <v>1488</v>
      </c>
      <c r="D346" s="6" t="s">
        <v>1488</v>
      </c>
      <c r="E346" s="6" t="s">
        <v>5247</v>
      </c>
      <c r="F346" s="6" t="s">
        <v>5248</v>
      </c>
      <c r="G346" s="6">
        <v>5.0</v>
      </c>
      <c r="H346" s="6">
        <v>16.0</v>
      </c>
      <c r="I346" s="8">
        <v>2399.2</v>
      </c>
      <c r="J346" s="8">
        <v>2449.0</v>
      </c>
      <c r="K346" s="8">
        <v>2999.0</v>
      </c>
    </row>
    <row r="347">
      <c r="A347" s="6" t="s">
        <v>1245</v>
      </c>
      <c r="B347" s="6" t="s">
        <v>1243</v>
      </c>
      <c r="C347" s="6" t="s">
        <v>1244</v>
      </c>
      <c r="D347" s="6" t="s">
        <v>1244</v>
      </c>
      <c r="E347" s="6" t="s">
        <v>5247</v>
      </c>
      <c r="F347" s="6" t="s">
        <v>5248</v>
      </c>
      <c r="G347" s="6" t="e">
        <v>#N/A</v>
      </c>
      <c r="H347" s="6">
        <v>39.0</v>
      </c>
      <c r="I347" s="8">
        <v>1599.2</v>
      </c>
      <c r="J347" s="8">
        <v>1629.0</v>
      </c>
      <c r="K347" s="8">
        <v>1999.0</v>
      </c>
    </row>
    <row r="348">
      <c r="A348" s="6" t="s">
        <v>1378</v>
      </c>
      <c r="B348" s="6" t="s">
        <v>1375</v>
      </c>
      <c r="C348" s="6" t="s">
        <v>1376</v>
      </c>
      <c r="D348" s="6" t="s">
        <v>1376</v>
      </c>
      <c r="E348" s="6" t="s">
        <v>5247</v>
      </c>
      <c r="F348" s="6" t="s">
        <v>5248</v>
      </c>
      <c r="G348" s="6">
        <v>13.0</v>
      </c>
      <c r="H348" s="6">
        <v>56.0</v>
      </c>
      <c r="I348" s="8">
        <v>2119.2</v>
      </c>
      <c r="J348" s="8">
        <v>2199.0</v>
      </c>
      <c r="K348" s="8">
        <v>2649.0</v>
      </c>
    </row>
    <row r="349">
      <c r="A349" s="6" t="s">
        <v>1233</v>
      </c>
      <c r="B349" s="6" t="s">
        <v>1231</v>
      </c>
      <c r="C349" s="6" t="s">
        <v>1232</v>
      </c>
      <c r="D349" s="6" t="s">
        <v>1232</v>
      </c>
      <c r="E349" s="6" t="s">
        <v>5122</v>
      </c>
      <c r="F349" s="6" t="s">
        <v>5248</v>
      </c>
      <c r="G349" s="6">
        <v>2.0</v>
      </c>
      <c r="H349" s="6">
        <v>26.0</v>
      </c>
      <c r="I349" s="8">
        <v>1599.2</v>
      </c>
      <c r="J349" s="8">
        <v>1629.0</v>
      </c>
      <c r="K349" s="8">
        <v>1999.0</v>
      </c>
    </row>
    <row r="350">
      <c r="A350" s="6" t="s">
        <v>1311</v>
      </c>
      <c r="B350" s="6" t="s">
        <v>1309</v>
      </c>
      <c r="C350" s="6" t="s">
        <v>1310</v>
      </c>
      <c r="D350" s="6" t="s">
        <v>1310</v>
      </c>
      <c r="E350" s="6" t="s">
        <v>5247</v>
      </c>
      <c r="F350" s="6" t="s">
        <v>5248</v>
      </c>
      <c r="G350" s="6">
        <v>2.0</v>
      </c>
      <c r="H350" s="6">
        <v>26.0</v>
      </c>
      <c r="I350" s="8">
        <v>1959.2</v>
      </c>
      <c r="J350" s="8">
        <v>2004.0</v>
      </c>
      <c r="K350" s="8">
        <v>2449.0</v>
      </c>
    </row>
    <row r="351">
      <c r="A351" s="6" t="s">
        <v>2907</v>
      </c>
      <c r="B351" s="6" t="s">
        <v>2905</v>
      </c>
      <c r="C351" s="6" t="s">
        <v>2906</v>
      </c>
      <c r="D351" s="6" t="s">
        <v>2906</v>
      </c>
      <c r="E351" s="6" t="s">
        <v>5247</v>
      </c>
      <c r="F351" s="6" t="s">
        <v>5248</v>
      </c>
      <c r="G351" s="6" t="e">
        <v>#N/A</v>
      </c>
      <c r="H351" s="6">
        <v>12.0</v>
      </c>
      <c r="I351" s="8">
        <v>2294.15</v>
      </c>
      <c r="J351" s="8">
        <v>2399.0</v>
      </c>
      <c r="K351" s="8">
        <v>2699.0</v>
      </c>
    </row>
    <row r="352">
      <c r="A352" s="6" t="s">
        <v>1483</v>
      </c>
      <c r="B352" s="6" t="s">
        <v>1481</v>
      </c>
      <c r="C352" s="6" t="s">
        <v>1482</v>
      </c>
      <c r="D352" s="6" t="s">
        <v>1482</v>
      </c>
      <c r="E352" s="6" t="s">
        <v>5247</v>
      </c>
      <c r="F352" s="6" t="s">
        <v>5248</v>
      </c>
      <c r="G352" s="6">
        <v>1.0</v>
      </c>
      <c r="H352" s="6">
        <v>14.0</v>
      </c>
      <c r="I352" s="8">
        <v>2399.2</v>
      </c>
      <c r="J352" s="8">
        <v>2449.0</v>
      </c>
      <c r="K352" s="8">
        <v>2999.0</v>
      </c>
    </row>
    <row r="353">
      <c r="A353" s="6" t="s">
        <v>1221</v>
      </c>
      <c r="B353" s="6" t="s">
        <v>1219</v>
      </c>
      <c r="C353" s="6" t="s">
        <v>1220</v>
      </c>
      <c r="D353" s="6" t="s">
        <v>1220</v>
      </c>
      <c r="E353" s="6" t="s">
        <v>5122</v>
      </c>
      <c r="F353" s="6" t="s">
        <v>5248</v>
      </c>
      <c r="G353" s="6">
        <v>2.0</v>
      </c>
      <c r="H353" s="6">
        <v>20.0</v>
      </c>
      <c r="I353" s="8">
        <v>1599.2</v>
      </c>
      <c r="J353" s="8">
        <v>1629.0</v>
      </c>
      <c r="K353" s="8">
        <v>1999.0</v>
      </c>
    </row>
    <row r="354">
      <c r="A354" s="6" t="s">
        <v>1251</v>
      </c>
      <c r="B354" s="6" t="s">
        <v>1249</v>
      </c>
      <c r="C354" s="6" t="s">
        <v>1250</v>
      </c>
      <c r="D354" s="6" t="s">
        <v>1250</v>
      </c>
      <c r="E354" s="6" t="s">
        <v>5247</v>
      </c>
      <c r="F354" s="6" t="s">
        <v>5248</v>
      </c>
      <c r="G354" s="6" t="e">
        <v>#N/A</v>
      </c>
      <c r="H354" s="6">
        <v>28.0</v>
      </c>
      <c r="I354" s="8">
        <v>1599.2</v>
      </c>
      <c r="J354" s="8">
        <v>1629.0</v>
      </c>
      <c r="K354" s="8">
        <v>1999.0</v>
      </c>
    </row>
    <row r="355">
      <c r="A355" s="6" t="s">
        <v>1293</v>
      </c>
      <c r="B355" s="6" t="s">
        <v>1291</v>
      </c>
      <c r="C355" s="6" t="s">
        <v>1292</v>
      </c>
      <c r="D355" s="6" t="s">
        <v>1292</v>
      </c>
      <c r="E355" s="6" t="s">
        <v>5247</v>
      </c>
      <c r="F355" s="6" t="s">
        <v>5248</v>
      </c>
      <c r="G355" s="6">
        <v>2.0</v>
      </c>
      <c r="H355" s="6">
        <v>40.0</v>
      </c>
      <c r="I355" s="8">
        <v>2081.65</v>
      </c>
      <c r="J355" s="8">
        <v>2099.0</v>
      </c>
      <c r="K355" s="8">
        <v>2449.0</v>
      </c>
    </row>
    <row r="356">
      <c r="A356" s="6" t="s">
        <v>1440</v>
      </c>
      <c r="B356" s="6" t="s">
        <v>1438</v>
      </c>
      <c r="C356" s="6" t="s">
        <v>1439</v>
      </c>
      <c r="D356" s="6" t="s">
        <v>1439</v>
      </c>
      <c r="E356" s="6" t="s">
        <v>5247</v>
      </c>
      <c r="F356" s="6" t="s">
        <v>5248</v>
      </c>
      <c r="G356" s="6">
        <v>6.0</v>
      </c>
      <c r="H356" s="6">
        <v>13.0</v>
      </c>
      <c r="I356" s="8">
        <v>2399.2</v>
      </c>
      <c r="J356" s="8">
        <v>2449.0</v>
      </c>
      <c r="K356" s="8">
        <v>2999.0</v>
      </c>
    </row>
    <row r="357">
      <c r="A357" s="6" t="s">
        <v>1365</v>
      </c>
      <c r="B357" s="6" t="s">
        <v>1363</v>
      </c>
      <c r="C357" s="6" t="s">
        <v>1364</v>
      </c>
      <c r="D357" s="6" t="s">
        <v>1364</v>
      </c>
      <c r="E357" s="6" t="s">
        <v>5247</v>
      </c>
      <c r="F357" s="6" t="s">
        <v>5248</v>
      </c>
      <c r="G357" s="6">
        <v>8.0</v>
      </c>
      <c r="H357" s="6">
        <v>10.0</v>
      </c>
      <c r="I357" s="8">
        <v>2119.2</v>
      </c>
      <c r="J357" s="8">
        <v>2199.0</v>
      </c>
      <c r="K357" s="8">
        <v>2649.0</v>
      </c>
    </row>
    <row r="358">
      <c r="A358" s="6" t="s">
        <v>1209</v>
      </c>
      <c r="B358" s="6" t="s">
        <v>1207</v>
      </c>
      <c r="C358" s="6" t="s">
        <v>1208</v>
      </c>
      <c r="D358" s="6" t="s">
        <v>1208</v>
      </c>
      <c r="E358" s="6" t="s">
        <v>5247</v>
      </c>
      <c r="F358" s="6" t="s">
        <v>5248</v>
      </c>
      <c r="G358" s="6" t="e">
        <v>#N/A</v>
      </c>
      <c r="H358" s="6">
        <v>31.0</v>
      </c>
      <c r="I358" s="8">
        <v>1599.2</v>
      </c>
      <c r="J358" s="8">
        <v>1629.0</v>
      </c>
      <c r="K358" s="8">
        <v>1999.0</v>
      </c>
    </row>
    <row r="359">
      <c r="A359" s="6" t="s">
        <v>1335</v>
      </c>
      <c r="B359" s="6" t="s">
        <v>1333</v>
      </c>
      <c r="C359" s="6" t="s">
        <v>1334</v>
      </c>
      <c r="D359" s="6" t="s">
        <v>1334</v>
      </c>
      <c r="E359" s="6" t="s">
        <v>5247</v>
      </c>
      <c r="F359" s="6" t="s">
        <v>5248</v>
      </c>
      <c r="G359" s="6" t="e">
        <v>#N/A</v>
      </c>
      <c r="H359" s="6">
        <v>39.0</v>
      </c>
      <c r="I359" s="8">
        <v>1959.2</v>
      </c>
      <c r="J359" s="8">
        <v>2004.0</v>
      </c>
      <c r="K359" s="8">
        <v>2449.0</v>
      </c>
    </row>
    <row r="360">
      <c r="A360" s="6" t="s">
        <v>1427</v>
      </c>
      <c r="B360" s="6" t="s">
        <v>1425</v>
      </c>
      <c r="C360" s="6" t="s">
        <v>1426</v>
      </c>
      <c r="D360" s="6" t="s">
        <v>1426</v>
      </c>
      <c r="E360" s="6" t="s">
        <v>5247</v>
      </c>
      <c r="F360" s="6" t="s">
        <v>5248</v>
      </c>
      <c r="G360" s="6">
        <v>3.0</v>
      </c>
      <c r="H360" s="6">
        <v>22.0</v>
      </c>
      <c r="I360" s="8">
        <v>2399.2</v>
      </c>
      <c r="J360" s="8">
        <v>2449.0</v>
      </c>
      <c r="K360" s="8">
        <v>2999.0</v>
      </c>
    </row>
    <row r="361">
      <c r="A361" s="6" t="s">
        <v>1323</v>
      </c>
      <c r="B361" s="6" t="s">
        <v>1321</v>
      </c>
      <c r="C361" s="6" t="s">
        <v>1322</v>
      </c>
      <c r="D361" s="6" t="s">
        <v>1322</v>
      </c>
      <c r="E361" s="6" t="s">
        <v>5247</v>
      </c>
      <c r="F361" s="6" t="s">
        <v>5248</v>
      </c>
      <c r="G361" s="6" t="e">
        <v>#N/A</v>
      </c>
      <c r="H361" s="6">
        <v>39.0</v>
      </c>
      <c r="I361" s="8">
        <v>1959.2</v>
      </c>
      <c r="J361" s="8">
        <v>2004.0</v>
      </c>
      <c r="K361" s="8">
        <v>2449.0</v>
      </c>
    </row>
    <row r="362">
      <c r="A362" s="6" t="s">
        <v>2895</v>
      </c>
      <c r="B362" s="6" t="s">
        <v>2893</v>
      </c>
      <c r="C362" s="6" t="s">
        <v>2894</v>
      </c>
      <c r="D362" s="6" t="s">
        <v>2894</v>
      </c>
      <c r="E362" s="6" t="s">
        <v>5247</v>
      </c>
      <c r="F362" s="6" t="s">
        <v>5248</v>
      </c>
      <c r="G362" s="6">
        <v>2.0</v>
      </c>
      <c r="H362" s="6">
        <v>8.0</v>
      </c>
      <c r="I362" s="8">
        <v>2294.15</v>
      </c>
      <c r="J362" s="8">
        <v>2399.0</v>
      </c>
      <c r="K362" s="8">
        <v>2699.0</v>
      </c>
    </row>
    <row r="363">
      <c r="A363" s="6" t="s">
        <v>1421</v>
      </c>
      <c r="B363" s="6" t="s">
        <v>1419</v>
      </c>
      <c r="C363" s="6" t="s">
        <v>1420</v>
      </c>
      <c r="D363" s="6" t="s">
        <v>1420</v>
      </c>
      <c r="E363" s="6" t="s">
        <v>5247</v>
      </c>
      <c r="F363" s="6" t="s">
        <v>5248</v>
      </c>
      <c r="G363" s="6" t="e">
        <v>#N/A</v>
      </c>
      <c r="H363" s="6">
        <v>26.0</v>
      </c>
      <c r="I363" s="8">
        <v>2399.2</v>
      </c>
      <c r="J363" s="8">
        <v>2449.0</v>
      </c>
      <c r="K363" s="8">
        <v>2999.0</v>
      </c>
    </row>
    <row r="364">
      <c r="A364" s="6" t="s">
        <v>1275</v>
      </c>
      <c r="B364" s="6" t="s">
        <v>1273</v>
      </c>
      <c r="C364" s="6" t="s">
        <v>1274</v>
      </c>
      <c r="D364" s="6" t="s">
        <v>1274</v>
      </c>
      <c r="E364" s="6" t="s">
        <v>5247</v>
      </c>
      <c r="F364" s="6" t="s">
        <v>5248</v>
      </c>
      <c r="G364" s="6">
        <v>1.0</v>
      </c>
      <c r="H364" s="6">
        <v>54.0</v>
      </c>
      <c r="I364" s="8">
        <v>1959.2</v>
      </c>
      <c r="J364" s="8">
        <v>2004.0</v>
      </c>
      <c r="K364" s="8">
        <v>2449.0</v>
      </c>
    </row>
    <row r="365">
      <c r="A365" s="6" t="s">
        <v>1347</v>
      </c>
      <c r="B365" s="6" t="s">
        <v>1345</v>
      </c>
      <c r="C365" s="6" t="s">
        <v>1346</v>
      </c>
      <c r="D365" s="6" t="s">
        <v>1346</v>
      </c>
      <c r="E365" s="6" t="s">
        <v>5247</v>
      </c>
      <c r="F365" s="6" t="s">
        <v>5248</v>
      </c>
      <c r="G365" s="6">
        <v>5.0</v>
      </c>
      <c r="H365" s="6">
        <v>24.0</v>
      </c>
      <c r="I365" s="8">
        <v>2119.2</v>
      </c>
      <c r="J365" s="8">
        <v>2199.0</v>
      </c>
      <c r="K365" s="8">
        <v>2649.0</v>
      </c>
    </row>
    <row r="366">
      <c r="A366" s="6" t="s">
        <v>1287</v>
      </c>
      <c r="B366" s="6" t="s">
        <v>1285</v>
      </c>
      <c r="C366" s="6" t="s">
        <v>1286</v>
      </c>
      <c r="D366" s="6" t="s">
        <v>1286</v>
      </c>
      <c r="E366" s="6" t="s">
        <v>5247</v>
      </c>
      <c r="F366" s="6" t="s">
        <v>5248</v>
      </c>
      <c r="G366" s="6" t="e">
        <v>#N/A</v>
      </c>
      <c r="H366" s="6">
        <v>35.0</v>
      </c>
      <c r="I366" s="8">
        <v>1959.2</v>
      </c>
      <c r="J366" s="8">
        <v>2004.0</v>
      </c>
      <c r="K366" s="8">
        <v>2449.0</v>
      </c>
    </row>
    <row r="367">
      <c r="A367" s="6" t="s">
        <v>2927</v>
      </c>
      <c r="B367" s="6" t="s">
        <v>2924</v>
      </c>
      <c r="C367" s="6" t="s">
        <v>2925</v>
      </c>
      <c r="D367" s="6" t="s">
        <v>2925</v>
      </c>
      <c r="E367" s="6" t="s">
        <v>5247</v>
      </c>
      <c r="F367" s="6" t="s">
        <v>5248</v>
      </c>
      <c r="G367" s="6">
        <v>2.0</v>
      </c>
      <c r="H367" s="6">
        <v>48.0</v>
      </c>
      <c r="I367" s="8">
        <v>3059.15</v>
      </c>
      <c r="J367" s="8">
        <v>3099.0</v>
      </c>
      <c r="K367" s="8">
        <v>3599.0</v>
      </c>
    </row>
    <row r="368">
      <c r="A368" s="6" t="s">
        <v>1390</v>
      </c>
      <c r="B368" s="6" t="s">
        <v>1388</v>
      </c>
      <c r="C368" s="6" t="s">
        <v>1389</v>
      </c>
      <c r="D368" s="6" t="s">
        <v>1389</v>
      </c>
      <c r="E368" s="6" t="s">
        <v>5247</v>
      </c>
      <c r="F368" s="6" t="s">
        <v>5248</v>
      </c>
      <c r="G368" s="6" t="e">
        <v>#N/A</v>
      </c>
      <c r="H368" s="6">
        <v>13.0</v>
      </c>
      <c r="I368" s="8">
        <v>2119.2</v>
      </c>
      <c r="J368" s="8">
        <v>2199.0</v>
      </c>
      <c r="K368" s="8">
        <v>2649.0</v>
      </c>
    </row>
    <row r="369">
      <c r="A369" s="6" t="s">
        <v>1353</v>
      </c>
      <c r="B369" s="6" t="s">
        <v>1351</v>
      </c>
      <c r="C369" s="6" t="s">
        <v>1352</v>
      </c>
      <c r="D369" s="6" t="s">
        <v>1352</v>
      </c>
      <c r="E369" s="6" t="s">
        <v>5247</v>
      </c>
      <c r="F369" s="6" t="s">
        <v>5248</v>
      </c>
      <c r="G369" s="6">
        <v>3.0</v>
      </c>
      <c r="H369" s="6">
        <v>13.0</v>
      </c>
      <c r="I369" s="8">
        <v>2119.2</v>
      </c>
      <c r="J369" s="8">
        <v>2199.0</v>
      </c>
      <c r="K369" s="8">
        <v>2649.0</v>
      </c>
    </row>
    <row r="370">
      <c r="A370" s="6" t="s">
        <v>1471</v>
      </c>
      <c r="B370" s="6" t="s">
        <v>1469</v>
      </c>
      <c r="C370" s="6" t="s">
        <v>1470</v>
      </c>
      <c r="D370" s="6" t="s">
        <v>1470</v>
      </c>
      <c r="E370" s="6" t="s">
        <v>5247</v>
      </c>
      <c r="F370" s="6" t="s">
        <v>5248</v>
      </c>
      <c r="G370" s="6">
        <v>7.0</v>
      </c>
      <c r="H370" s="6">
        <v>16.0</v>
      </c>
      <c r="I370" s="8">
        <v>2399.2</v>
      </c>
      <c r="J370" s="8">
        <v>2449.0</v>
      </c>
      <c r="K370" s="8">
        <v>2999.0</v>
      </c>
    </row>
    <row r="371">
      <c r="A371" s="6" t="s">
        <v>1299</v>
      </c>
      <c r="B371" s="6" t="s">
        <v>1297</v>
      </c>
      <c r="C371" s="6" t="s">
        <v>1298</v>
      </c>
      <c r="D371" s="6" t="s">
        <v>1298</v>
      </c>
      <c r="E371" s="6" t="s">
        <v>5247</v>
      </c>
      <c r="F371" s="6" t="s">
        <v>5248</v>
      </c>
      <c r="G371" s="6" t="e">
        <v>#N/A</v>
      </c>
      <c r="H371" s="6">
        <v>22.0</v>
      </c>
      <c r="I371" s="8">
        <v>1959.2</v>
      </c>
      <c r="J371" s="8">
        <v>2004.0</v>
      </c>
      <c r="K371" s="8">
        <v>2449.0</v>
      </c>
    </row>
    <row r="372">
      <c r="A372" s="6" t="s">
        <v>1317</v>
      </c>
      <c r="B372" s="6" t="s">
        <v>1315</v>
      </c>
      <c r="C372" s="6" t="s">
        <v>1316</v>
      </c>
      <c r="D372" s="6" t="s">
        <v>1316</v>
      </c>
      <c r="E372" s="6" t="s">
        <v>5247</v>
      </c>
      <c r="F372" s="6" t="s">
        <v>5248</v>
      </c>
      <c r="G372" s="6" t="e">
        <v>#N/A</v>
      </c>
      <c r="H372" s="6">
        <v>32.0</v>
      </c>
      <c r="I372" s="8">
        <v>1959.2</v>
      </c>
      <c r="J372" s="8">
        <v>2004.0</v>
      </c>
      <c r="K372" s="8">
        <v>2449.0</v>
      </c>
    </row>
    <row r="373">
      <c r="A373" s="6" t="s">
        <v>1465</v>
      </c>
      <c r="B373" s="6" t="s">
        <v>1463</v>
      </c>
      <c r="C373" s="6" t="s">
        <v>1464</v>
      </c>
      <c r="D373" s="6" t="s">
        <v>1464</v>
      </c>
      <c r="E373" s="6" t="s">
        <v>5247</v>
      </c>
      <c r="F373" s="6" t="s">
        <v>5248</v>
      </c>
      <c r="G373" s="6" t="e">
        <v>#N/A</v>
      </c>
      <c r="H373" s="6">
        <v>26.0</v>
      </c>
      <c r="I373" s="8">
        <v>2399.2</v>
      </c>
      <c r="J373" s="8">
        <v>2449.0</v>
      </c>
      <c r="K373" s="8">
        <v>2999.0</v>
      </c>
    </row>
    <row r="374">
      <c r="A374" s="6" t="s">
        <v>1263</v>
      </c>
      <c r="B374" s="6" t="s">
        <v>1261</v>
      </c>
      <c r="C374" s="6" t="s">
        <v>1262</v>
      </c>
      <c r="D374" s="6" t="s">
        <v>1262</v>
      </c>
      <c r="E374" s="6" t="s">
        <v>5122</v>
      </c>
      <c r="F374" s="6" t="s">
        <v>5248</v>
      </c>
      <c r="G374" s="6" t="e">
        <v>#N/A</v>
      </c>
      <c r="H374" s="6">
        <v>37.0</v>
      </c>
      <c r="I374" s="8">
        <v>1599.2</v>
      </c>
      <c r="J374" s="8">
        <v>1629.0</v>
      </c>
      <c r="K374" s="8">
        <v>1999.0</v>
      </c>
    </row>
    <row r="375">
      <c r="A375" s="6" t="s">
        <v>1305</v>
      </c>
      <c r="B375" s="6" t="s">
        <v>1303</v>
      </c>
      <c r="C375" s="6" t="s">
        <v>1304</v>
      </c>
      <c r="D375" s="6" t="s">
        <v>1304</v>
      </c>
      <c r="E375" s="6" t="s">
        <v>5247</v>
      </c>
      <c r="F375" s="6" t="s">
        <v>5248</v>
      </c>
      <c r="G375" s="6" t="e">
        <v>#N/A</v>
      </c>
      <c r="H375" s="6">
        <v>32.0</v>
      </c>
      <c r="I375" s="8">
        <v>1959.2</v>
      </c>
      <c r="J375" s="8">
        <v>2004.0</v>
      </c>
      <c r="K375" s="8">
        <v>2449.0</v>
      </c>
    </row>
    <row r="376">
      <c r="A376" s="6" t="s">
        <v>1409</v>
      </c>
      <c r="B376" s="6" t="s">
        <v>1407</v>
      </c>
      <c r="C376" s="6" t="s">
        <v>1408</v>
      </c>
      <c r="D376" s="6" t="s">
        <v>1408</v>
      </c>
      <c r="E376" s="6" t="s">
        <v>5247</v>
      </c>
      <c r="F376" s="6" t="s">
        <v>5248</v>
      </c>
      <c r="G376" s="6">
        <v>1.0</v>
      </c>
      <c r="H376" s="6">
        <v>9.0</v>
      </c>
      <c r="I376" s="8">
        <v>2119.2</v>
      </c>
      <c r="J376" s="8">
        <v>2199.0</v>
      </c>
      <c r="K376" s="8">
        <v>2649.0</v>
      </c>
    </row>
    <row r="377">
      <c r="A377" s="6" t="s">
        <v>1396</v>
      </c>
      <c r="B377" s="6" t="s">
        <v>1394</v>
      </c>
      <c r="C377" s="6" t="s">
        <v>1395</v>
      </c>
      <c r="D377" s="6" t="s">
        <v>1395</v>
      </c>
      <c r="E377" s="6" t="s">
        <v>5247</v>
      </c>
      <c r="F377" s="6" t="s">
        <v>5248</v>
      </c>
      <c r="G377" s="6" t="e">
        <v>#N/A</v>
      </c>
      <c r="H377" s="6">
        <v>35.0</v>
      </c>
      <c r="I377" s="8">
        <v>2119.2</v>
      </c>
      <c r="J377" s="8">
        <v>2199.0</v>
      </c>
      <c r="K377" s="8">
        <v>2649.0</v>
      </c>
    </row>
    <row r="378">
      <c r="A378" s="6" t="s">
        <v>1227</v>
      </c>
      <c r="B378" s="6" t="s">
        <v>1225</v>
      </c>
      <c r="C378" s="6" t="s">
        <v>1226</v>
      </c>
      <c r="D378" s="6" t="s">
        <v>1226</v>
      </c>
      <c r="E378" s="6" t="s">
        <v>5122</v>
      </c>
      <c r="F378" s="6" t="s">
        <v>5248</v>
      </c>
      <c r="G378" s="6" t="e">
        <v>#N/A</v>
      </c>
      <c r="H378" s="6">
        <v>29.0</v>
      </c>
      <c r="I378" s="8">
        <v>1599.2</v>
      </c>
      <c r="J378" s="8">
        <v>1629.0</v>
      </c>
      <c r="K378" s="8">
        <v>1999.0</v>
      </c>
    </row>
    <row r="379">
      <c r="A379" s="6" t="s">
        <v>1477</v>
      </c>
      <c r="B379" s="6" t="s">
        <v>1475</v>
      </c>
      <c r="C379" s="6" t="s">
        <v>1476</v>
      </c>
      <c r="D379" s="6" t="s">
        <v>1476</v>
      </c>
      <c r="E379" s="6" t="s">
        <v>5247</v>
      </c>
      <c r="F379" s="6" t="s">
        <v>5248</v>
      </c>
      <c r="G379" s="6">
        <v>5.0</v>
      </c>
      <c r="H379" s="6">
        <v>14.0</v>
      </c>
      <c r="I379" s="8">
        <v>2399.2</v>
      </c>
      <c r="J379" s="8">
        <v>2449.0</v>
      </c>
      <c r="K379" s="8">
        <v>2999.0</v>
      </c>
    </row>
    <row r="380">
      <c r="A380" s="6" t="s">
        <v>1415</v>
      </c>
      <c r="B380" s="6" t="s">
        <v>1413</v>
      </c>
      <c r="C380" s="6" t="s">
        <v>1414</v>
      </c>
      <c r="D380" s="6" t="s">
        <v>1414</v>
      </c>
      <c r="E380" s="6" t="s">
        <v>5247</v>
      </c>
      <c r="F380" s="6" t="s">
        <v>5248</v>
      </c>
      <c r="G380" s="6">
        <v>4.0</v>
      </c>
      <c r="H380" s="6">
        <v>255.0</v>
      </c>
      <c r="I380" s="8">
        <v>2119.2</v>
      </c>
      <c r="J380" s="8">
        <v>2199.0</v>
      </c>
      <c r="K380" s="8">
        <v>2649.0</v>
      </c>
    </row>
    <row r="381">
      <c r="A381" s="6" t="s">
        <v>1403</v>
      </c>
      <c r="B381" s="6" t="s">
        <v>1400</v>
      </c>
      <c r="C381" s="6" t="s">
        <v>1401</v>
      </c>
      <c r="D381" s="6" t="s">
        <v>1401</v>
      </c>
      <c r="E381" s="6" t="s">
        <v>5247</v>
      </c>
      <c r="F381" s="6" t="s">
        <v>5248</v>
      </c>
      <c r="G381" s="6">
        <v>4.0</v>
      </c>
      <c r="H381" s="6">
        <v>15.0</v>
      </c>
      <c r="I381" s="8">
        <v>2119.2</v>
      </c>
      <c r="J381" s="8">
        <v>2199.0</v>
      </c>
      <c r="K381" s="8">
        <v>2649.0</v>
      </c>
    </row>
    <row r="382">
      <c r="A382" s="6" t="s">
        <v>1269</v>
      </c>
      <c r="B382" s="6" t="s">
        <v>1267</v>
      </c>
      <c r="C382" s="6" t="s">
        <v>1268</v>
      </c>
      <c r="D382" s="6" t="s">
        <v>1268</v>
      </c>
      <c r="E382" s="6" t="s">
        <v>5122</v>
      </c>
      <c r="F382" s="6" t="s">
        <v>5248</v>
      </c>
      <c r="G382" s="6" t="e">
        <v>#N/A</v>
      </c>
      <c r="H382" s="6">
        <v>29.0</v>
      </c>
      <c r="I382" s="8">
        <v>1599.2</v>
      </c>
      <c r="J382" s="8">
        <v>1629.0</v>
      </c>
      <c r="K382" s="8">
        <v>1999.0</v>
      </c>
    </row>
    <row r="383">
      <c r="A383" s="6" t="s">
        <v>1371</v>
      </c>
      <c r="B383" s="6" t="s">
        <v>1369</v>
      </c>
      <c r="C383" s="6" t="s">
        <v>1370</v>
      </c>
      <c r="D383" s="6" t="s">
        <v>1370</v>
      </c>
      <c r="E383" s="6" t="s">
        <v>5122</v>
      </c>
      <c r="F383" s="6" t="s">
        <v>5248</v>
      </c>
      <c r="G383" s="6" t="e">
        <v>#N/A</v>
      </c>
      <c r="H383" s="6">
        <v>0.0</v>
      </c>
      <c r="I383" s="8">
        <v>2119.2</v>
      </c>
      <c r="J383" s="8">
        <v>2199.0</v>
      </c>
      <c r="K383" s="8">
        <v>2649.0</v>
      </c>
    </row>
    <row r="384">
      <c r="A384" s="6" t="s">
        <v>1203</v>
      </c>
      <c r="B384" s="6" t="s">
        <v>1201</v>
      </c>
      <c r="C384" s="6" t="s">
        <v>1202</v>
      </c>
      <c r="D384" s="6" t="s">
        <v>1202</v>
      </c>
      <c r="E384" s="6" t="s">
        <v>5122</v>
      </c>
      <c r="F384" s="6" t="s">
        <v>5248</v>
      </c>
      <c r="G384" s="6" t="e">
        <v>#N/A</v>
      </c>
      <c r="H384" s="6">
        <v>18.0</v>
      </c>
      <c r="I384" s="8">
        <v>1599.2</v>
      </c>
      <c r="J384" s="8">
        <v>1629.0</v>
      </c>
      <c r="K384" s="8">
        <v>1999.0</v>
      </c>
    </row>
    <row r="385">
      <c r="A385" s="6" t="s">
        <v>1215</v>
      </c>
      <c r="B385" s="6" t="s">
        <v>1213</v>
      </c>
      <c r="C385" s="6" t="s">
        <v>1214</v>
      </c>
      <c r="D385" s="6" t="s">
        <v>1214</v>
      </c>
      <c r="E385" s="6" t="s">
        <v>5247</v>
      </c>
      <c r="F385" s="6" t="s">
        <v>5248</v>
      </c>
      <c r="G385" s="6" t="e">
        <v>#N/A</v>
      </c>
      <c r="H385" s="6">
        <v>46.0</v>
      </c>
      <c r="I385" s="8">
        <v>1599.2</v>
      </c>
      <c r="J385" s="8">
        <v>1629.0</v>
      </c>
      <c r="K385" s="8">
        <v>1999.0</v>
      </c>
    </row>
    <row r="386">
      <c r="A386" s="6" t="s">
        <v>1446</v>
      </c>
      <c r="B386" s="6" t="s">
        <v>1444</v>
      </c>
      <c r="C386" s="6" t="s">
        <v>1445</v>
      </c>
      <c r="D386" s="6" t="s">
        <v>1445</v>
      </c>
      <c r="E386" s="6" t="s">
        <v>5247</v>
      </c>
      <c r="F386" s="6" t="s">
        <v>5248</v>
      </c>
      <c r="G386" s="6">
        <v>2.0</v>
      </c>
      <c r="H386" s="6">
        <v>56.0</v>
      </c>
      <c r="I386" s="8">
        <v>2399.2</v>
      </c>
      <c r="J386" s="8">
        <v>2449.0</v>
      </c>
      <c r="K386" s="8">
        <v>2999.0</v>
      </c>
    </row>
    <row r="387">
      <c r="A387" s="6" t="s">
        <v>1257</v>
      </c>
      <c r="B387" s="6" t="s">
        <v>1255</v>
      </c>
      <c r="C387" s="6" t="s">
        <v>1256</v>
      </c>
      <c r="D387" s="6" t="s">
        <v>1256</v>
      </c>
      <c r="E387" s="6" t="s">
        <v>5247</v>
      </c>
      <c r="F387" s="6" t="s">
        <v>5248</v>
      </c>
      <c r="G387" s="6">
        <v>1.0</v>
      </c>
      <c r="H387" s="6">
        <v>30.0</v>
      </c>
      <c r="I387" s="8">
        <v>1599.2</v>
      </c>
      <c r="J387" s="8">
        <v>1629.0</v>
      </c>
      <c r="K387" s="8">
        <v>1999.0</v>
      </c>
    </row>
    <row r="388">
      <c r="A388" s="6" t="s">
        <v>2920</v>
      </c>
      <c r="B388" s="6" t="s">
        <v>2917</v>
      </c>
      <c r="C388" s="6" t="s">
        <v>2918</v>
      </c>
      <c r="D388" s="6" t="s">
        <v>2918</v>
      </c>
      <c r="E388" s="6" t="s">
        <v>5247</v>
      </c>
      <c r="F388" s="6" t="s">
        <v>5248</v>
      </c>
      <c r="G388" s="6">
        <v>2.0</v>
      </c>
      <c r="H388" s="6">
        <v>82.0</v>
      </c>
      <c r="I388" s="8">
        <v>3059.15</v>
      </c>
      <c r="J388" s="8">
        <v>3099.0</v>
      </c>
      <c r="K388" s="8">
        <v>3599.0</v>
      </c>
    </row>
    <row r="389">
      <c r="A389" s="6" t="s">
        <v>2941</v>
      </c>
      <c r="B389" s="6" t="s">
        <v>2938</v>
      </c>
      <c r="C389" s="6" t="s">
        <v>2939</v>
      </c>
      <c r="D389" s="6" t="s">
        <v>2939</v>
      </c>
      <c r="E389" s="6" t="s">
        <v>5247</v>
      </c>
      <c r="F389" s="6" t="s">
        <v>5248</v>
      </c>
      <c r="G389" s="6">
        <v>1.0</v>
      </c>
      <c r="H389" s="6">
        <v>71.0</v>
      </c>
      <c r="I389" s="8">
        <v>3059.15</v>
      </c>
      <c r="J389" s="8">
        <v>3099.0</v>
      </c>
      <c r="K389" s="8">
        <v>3599.0</v>
      </c>
    </row>
    <row r="390">
      <c r="A390" s="6" t="s">
        <v>2901</v>
      </c>
      <c r="B390" s="6" t="s">
        <v>2899</v>
      </c>
      <c r="C390" s="6" t="s">
        <v>2900</v>
      </c>
      <c r="D390" s="6" t="s">
        <v>2900</v>
      </c>
      <c r="E390" s="6" t="s">
        <v>5247</v>
      </c>
      <c r="F390" s="6" t="s">
        <v>5248</v>
      </c>
      <c r="G390" s="6">
        <v>4.0</v>
      </c>
      <c r="H390" s="6">
        <v>27.0</v>
      </c>
      <c r="I390" s="8">
        <v>2294.15</v>
      </c>
      <c r="J390" s="8">
        <v>2399.0</v>
      </c>
      <c r="K390" s="8">
        <v>2699.0</v>
      </c>
    </row>
    <row r="391">
      <c r="A391" s="6" t="s">
        <v>1341</v>
      </c>
      <c r="B391" s="6" t="s">
        <v>1339</v>
      </c>
      <c r="C391" s="6" t="s">
        <v>1340</v>
      </c>
      <c r="D391" s="6" t="s">
        <v>1340</v>
      </c>
      <c r="E391" s="6" t="s">
        <v>5247</v>
      </c>
      <c r="F391" s="6" t="s">
        <v>5248</v>
      </c>
      <c r="G391" s="6">
        <v>1.0</v>
      </c>
      <c r="H391" s="6">
        <v>27.0</v>
      </c>
      <c r="I391" s="8">
        <v>1959.2</v>
      </c>
      <c r="J391" s="8">
        <v>2004.0</v>
      </c>
      <c r="K391" s="8">
        <v>2449.0</v>
      </c>
    </row>
    <row r="392">
      <c r="A392" s="6" t="s">
        <v>1281</v>
      </c>
      <c r="B392" s="6" t="s">
        <v>1279</v>
      </c>
      <c r="C392" s="6" t="s">
        <v>1280</v>
      </c>
      <c r="D392" s="6" t="s">
        <v>1280</v>
      </c>
      <c r="E392" s="6" t="s">
        <v>5247</v>
      </c>
      <c r="F392" s="6" t="s">
        <v>5248</v>
      </c>
      <c r="G392" s="6">
        <v>1.0</v>
      </c>
      <c r="H392" s="6">
        <v>37.0</v>
      </c>
      <c r="I392" s="8">
        <v>1959.2</v>
      </c>
      <c r="J392" s="8">
        <v>2004.0</v>
      </c>
      <c r="K392" s="8">
        <v>2449.0</v>
      </c>
    </row>
    <row r="393">
      <c r="A393" s="6" t="s">
        <v>2913</v>
      </c>
      <c r="B393" s="6" t="s">
        <v>2911</v>
      </c>
      <c r="C393" s="6" t="s">
        <v>2912</v>
      </c>
      <c r="D393" s="6" t="s">
        <v>2912</v>
      </c>
      <c r="E393" s="6" t="s">
        <v>5247</v>
      </c>
      <c r="F393" s="6" t="s">
        <v>5248</v>
      </c>
      <c r="G393" s="6" t="e">
        <v>#N/A</v>
      </c>
      <c r="H393" s="6">
        <v>26.0</v>
      </c>
      <c r="I393" s="8">
        <v>2294.15</v>
      </c>
      <c r="J393" s="8">
        <v>2399.0</v>
      </c>
      <c r="K393" s="8">
        <v>2699.0</v>
      </c>
    </row>
    <row r="394">
      <c r="A394" s="6" t="s">
        <v>1459</v>
      </c>
      <c r="B394" s="6" t="s">
        <v>1457</v>
      </c>
      <c r="C394" s="6" t="s">
        <v>1458</v>
      </c>
      <c r="D394" s="6" t="s">
        <v>1458</v>
      </c>
      <c r="E394" s="6" t="s">
        <v>5247</v>
      </c>
      <c r="F394" s="6" t="s">
        <v>5248</v>
      </c>
      <c r="G394" s="6" t="e">
        <v>#N/A</v>
      </c>
      <c r="H394" s="6">
        <v>8.0</v>
      </c>
      <c r="I394" s="8">
        <v>2399.2</v>
      </c>
      <c r="J394" s="8">
        <v>2449.0</v>
      </c>
      <c r="K394" s="8">
        <v>2999.0</v>
      </c>
    </row>
    <row r="395">
      <c r="A395" s="6" t="s">
        <v>1359</v>
      </c>
      <c r="B395" s="6" t="s">
        <v>1357</v>
      </c>
      <c r="C395" s="6" t="s">
        <v>1358</v>
      </c>
      <c r="D395" s="6" t="s">
        <v>1358</v>
      </c>
      <c r="E395" s="6" t="s">
        <v>5247</v>
      </c>
      <c r="F395" s="6" t="s">
        <v>5248</v>
      </c>
      <c r="G395" s="6">
        <v>1.0</v>
      </c>
      <c r="H395" s="6">
        <v>47.0</v>
      </c>
      <c r="I395" s="8">
        <v>2119.2</v>
      </c>
      <c r="J395" s="8">
        <v>2199.0</v>
      </c>
      <c r="K395" s="8">
        <v>2649.0</v>
      </c>
    </row>
    <row r="396">
      <c r="A396" s="6" t="s">
        <v>1239</v>
      </c>
      <c r="B396" s="6" t="s">
        <v>1237</v>
      </c>
      <c r="C396" s="6" t="s">
        <v>1238</v>
      </c>
      <c r="D396" s="6" t="s">
        <v>1238</v>
      </c>
      <c r="E396" s="6" t="s">
        <v>5122</v>
      </c>
      <c r="F396" s="6" t="s">
        <v>5248</v>
      </c>
      <c r="G396" s="6">
        <v>1.0</v>
      </c>
      <c r="H396" s="6">
        <v>13.0</v>
      </c>
      <c r="I396" s="8">
        <v>1599.2</v>
      </c>
      <c r="J396" s="8">
        <v>1629.0</v>
      </c>
      <c r="K396" s="8">
        <v>1999.0</v>
      </c>
    </row>
    <row r="397">
      <c r="A397" s="6" t="s">
        <v>3495</v>
      </c>
      <c r="B397" s="6" t="s">
        <v>3492</v>
      </c>
      <c r="C397" s="6" t="s">
        <v>3493</v>
      </c>
      <c r="D397" s="6" t="s">
        <v>3493</v>
      </c>
      <c r="E397" s="6" t="s">
        <v>5122</v>
      </c>
      <c r="F397" s="6" t="s">
        <v>5248</v>
      </c>
      <c r="G397" s="6">
        <v>28.0</v>
      </c>
      <c r="H397" s="6">
        <v>0.0</v>
      </c>
      <c r="I397" s="8">
        <v>764.15</v>
      </c>
      <c r="J397" s="8">
        <v>809.0</v>
      </c>
      <c r="K397" s="8">
        <v>899.0</v>
      </c>
    </row>
    <row r="398">
      <c r="A398" s="6" t="s">
        <v>3502</v>
      </c>
      <c r="B398" s="6" t="s">
        <v>3499</v>
      </c>
      <c r="C398" s="6" t="s">
        <v>3500</v>
      </c>
      <c r="D398" s="6" t="s">
        <v>3500</v>
      </c>
      <c r="E398" s="6" t="s">
        <v>5247</v>
      </c>
      <c r="F398" s="6" t="s">
        <v>5248</v>
      </c>
      <c r="G398" s="6">
        <v>23.0</v>
      </c>
      <c r="H398" s="6">
        <v>67.0</v>
      </c>
      <c r="I398" s="8">
        <v>764.15</v>
      </c>
      <c r="J398" s="8">
        <v>809.0</v>
      </c>
      <c r="K398" s="8">
        <v>899.0</v>
      </c>
    </row>
    <row r="399">
      <c r="A399" s="6" t="s">
        <v>3526</v>
      </c>
      <c r="B399" s="6" t="s">
        <v>3523</v>
      </c>
      <c r="C399" s="6" t="s">
        <v>3524</v>
      </c>
      <c r="D399" s="6" t="s">
        <v>3524</v>
      </c>
      <c r="E399" s="6" t="s">
        <v>5247</v>
      </c>
      <c r="F399" s="6" t="s">
        <v>5248</v>
      </c>
      <c r="G399" s="6">
        <v>17.0</v>
      </c>
      <c r="H399" s="6">
        <v>104.0</v>
      </c>
      <c r="I399" s="8">
        <v>679.15</v>
      </c>
      <c r="J399" s="8">
        <v>719.0</v>
      </c>
      <c r="K399" s="8">
        <v>799.0</v>
      </c>
    </row>
    <row r="400">
      <c r="A400" s="6" t="s">
        <v>3660</v>
      </c>
      <c r="B400" s="6" t="s">
        <v>3658</v>
      </c>
      <c r="C400" s="6" t="s">
        <v>3659</v>
      </c>
      <c r="D400" s="6" t="s">
        <v>3659</v>
      </c>
      <c r="E400" s="6" t="s">
        <v>5247</v>
      </c>
      <c r="F400" s="6" t="s">
        <v>5248</v>
      </c>
      <c r="G400" s="6">
        <v>20.0</v>
      </c>
      <c r="H400" s="6">
        <v>106.0</v>
      </c>
      <c r="I400" s="8">
        <v>849.15</v>
      </c>
      <c r="J400" s="8">
        <v>899.0</v>
      </c>
      <c r="K400" s="8">
        <v>999.0</v>
      </c>
    </row>
    <row r="401">
      <c r="A401" s="6" t="s">
        <v>3654</v>
      </c>
      <c r="B401" s="6" t="s">
        <v>3651</v>
      </c>
      <c r="C401" s="6" t="s">
        <v>3652</v>
      </c>
      <c r="D401" s="6" t="s">
        <v>3652</v>
      </c>
      <c r="E401" s="6" t="s">
        <v>5247</v>
      </c>
      <c r="F401" s="6" t="s">
        <v>5248</v>
      </c>
      <c r="G401" s="6">
        <v>18.0</v>
      </c>
      <c r="H401" s="6">
        <v>53.0</v>
      </c>
      <c r="I401" s="8">
        <v>849.15</v>
      </c>
      <c r="J401" s="8">
        <v>899.0</v>
      </c>
      <c r="K401" s="8">
        <v>999.0</v>
      </c>
    </row>
    <row r="402">
      <c r="A402" s="6" t="s">
        <v>3540</v>
      </c>
      <c r="B402" s="6" t="s">
        <v>3537</v>
      </c>
      <c r="C402" s="6" t="s">
        <v>3538</v>
      </c>
      <c r="D402" s="6" t="s">
        <v>3538</v>
      </c>
      <c r="E402" s="6" t="s">
        <v>5247</v>
      </c>
      <c r="F402" s="6" t="s">
        <v>5248</v>
      </c>
      <c r="G402" s="6">
        <v>11.0</v>
      </c>
      <c r="H402" s="6">
        <v>22.0</v>
      </c>
      <c r="I402" s="8">
        <v>679.15</v>
      </c>
      <c r="J402" s="8">
        <v>719.0</v>
      </c>
      <c r="K402" s="8">
        <v>799.0</v>
      </c>
    </row>
    <row r="403">
      <c r="A403" s="6" t="s">
        <v>3488</v>
      </c>
      <c r="B403" s="6" t="s">
        <v>3485</v>
      </c>
      <c r="C403" s="6" t="s">
        <v>3486</v>
      </c>
      <c r="D403" s="6" t="s">
        <v>3486</v>
      </c>
      <c r="E403" s="6" t="s">
        <v>5247</v>
      </c>
      <c r="F403" s="6" t="s">
        <v>5248</v>
      </c>
      <c r="G403" s="6">
        <v>26.0</v>
      </c>
      <c r="H403" s="6">
        <v>43.0</v>
      </c>
      <c r="I403" s="8">
        <v>764.15</v>
      </c>
      <c r="J403" s="8">
        <v>809.0</v>
      </c>
      <c r="K403" s="8">
        <v>899.0</v>
      </c>
    </row>
    <row r="404">
      <c r="A404" s="6" t="s">
        <v>3547</v>
      </c>
      <c r="B404" s="6" t="s">
        <v>3544</v>
      </c>
      <c r="C404" s="6" t="s">
        <v>3545</v>
      </c>
      <c r="D404" s="6" t="s">
        <v>3545</v>
      </c>
      <c r="E404" s="6" t="s">
        <v>5247</v>
      </c>
      <c r="F404" s="6" t="s">
        <v>5248</v>
      </c>
      <c r="G404" s="6">
        <v>19.0</v>
      </c>
      <c r="H404" s="6">
        <v>64.0</v>
      </c>
      <c r="I404" s="8">
        <v>679.15</v>
      </c>
      <c r="J404" s="8">
        <v>719.0</v>
      </c>
      <c r="K404" s="8">
        <v>799.0</v>
      </c>
    </row>
    <row r="405">
      <c r="A405" s="6" t="s">
        <v>3667</v>
      </c>
      <c r="B405" s="6" t="s">
        <v>3664</v>
      </c>
      <c r="C405" s="6" t="s">
        <v>3665</v>
      </c>
      <c r="D405" s="6" t="s">
        <v>3665</v>
      </c>
      <c r="E405" s="6" t="s">
        <v>5247</v>
      </c>
      <c r="F405" s="6" t="s">
        <v>5248</v>
      </c>
      <c r="G405" s="6">
        <v>15.0</v>
      </c>
      <c r="H405" s="6">
        <v>103.0</v>
      </c>
      <c r="I405" s="8">
        <v>849.15</v>
      </c>
      <c r="J405" s="8">
        <v>899.0</v>
      </c>
      <c r="K405" s="8">
        <v>999.0</v>
      </c>
    </row>
    <row r="406">
      <c r="A406" s="6" t="s">
        <v>1883</v>
      </c>
      <c r="B406" s="6" t="s">
        <v>1881</v>
      </c>
      <c r="C406" s="6" t="s">
        <v>1882</v>
      </c>
      <c r="D406" s="6" t="s">
        <v>1882</v>
      </c>
      <c r="E406" s="6" t="s">
        <v>5122</v>
      </c>
      <c r="F406" s="6" t="s">
        <v>5248</v>
      </c>
      <c r="G406" s="6" t="e">
        <v>#N/A</v>
      </c>
      <c r="H406" s="6">
        <v>0.0</v>
      </c>
      <c r="I406" s="8">
        <v>36119.16</v>
      </c>
      <c r="J406" s="8">
        <v>40799.0</v>
      </c>
      <c r="K406" s="8">
        <v>42999.0</v>
      </c>
    </row>
    <row r="407">
      <c r="A407" s="6" t="s">
        <v>1085</v>
      </c>
      <c r="B407" s="6" t="s">
        <v>1083</v>
      </c>
      <c r="C407" s="6" t="s">
        <v>1084</v>
      </c>
      <c r="D407" s="6" t="s">
        <v>1084</v>
      </c>
      <c r="E407" s="6" t="s">
        <v>5122</v>
      </c>
      <c r="F407" s="6" t="s">
        <v>5248</v>
      </c>
      <c r="G407" s="6" t="e">
        <v>#N/A</v>
      </c>
      <c r="H407" s="6">
        <v>0.0</v>
      </c>
      <c r="I407" s="8">
        <v>23199.2</v>
      </c>
      <c r="J407" s="8">
        <v>26099.0</v>
      </c>
      <c r="K407" s="8">
        <v>28999.0</v>
      </c>
    </row>
    <row r="408">
      <c r="A408" s="6" t="s">
        <v>1679</v>
      </c>
      <c r="B408" s="6" t="s">
        <v>1677</v>
      </c>
      <c r="C408" s="6" t="s">
        <v>1678</v>
      </c>
      <c r="D408" s="6" t="s">
        <v>1678</v>
      </c>
      <c r="E408" s="6" t="s">
        <v>5122</v>
      </c>
      <c r="F408" s="6" t="s">
        <v>5248</v>
      </c>
      <c r="G408" s="6">
        <v>1.0</v>
      </c>
      <c r="H408" s="6">
        <v>0.0</v>
      </c>
      <c r="I408" s="8">
        <v>27719.23</v>
      </c>
      <c r="J408" s="8">
        <v>34199.0</v>
      </c>
      <c r="K408" s="8">
        <v>35999.0</v>
      </c>
    </row>
    <row r="409">
      <c r="A409" s="6" t="s">
        <v>1655</v>
      </c>
      <c r="B409" s="6" t="s">
        <v>1653</v>
      </c>
      <c r="C409" s="6" t="s">
        <v>1654</v>
      </c>
      <c r="D409" s="6" t="s">
        <v>1654</v>
      </c>
      <c r="E409" s="6" t="s">
        <v>5122</v>
      </c>
      <c r="F409" s="6" t="s">
        <v>5248</v>
      </c>
      <c r="G409" s="6" t="e">
        <v>#N/A</v>
      </c>
      <c r="H409" s="6">
        <v>0.0</v>
      </c>
      <c r="I409" s="8">
        <v>24639.23</v>
      </c>
      <c r="J409" s="8">
        <v>30399.0</v>
      </c>
      <c r="K409" s="8">
        <v>31999.0</v>
      </c>
    </row>
    <row r="410">
      <c r="A410" s="6" t="s">
        <v>1675</v>
      </c>
      <c r="B410" s="6" t="s">
        <v>1673</v>
      </c>
      <c r="C410" s="6" t="s">
        <v>1674</v>
      </c>
      <c r="D410" s="6" t="s">
        <v>1674</v>
      </c>
      <c r="E410" s="6" t="s">
        <v>5122</v>
      </c>
      <c r="F410" s="6" t="s">
        <v>5248</v>
      </c>
      <c r="G410" s="6" t="e">
        <v>#N/A</v>
      </c>
      <c r="H410" s="6">
        <v>0.0</v>
      </c>
      <c r="I410" s="8">
        <v>25409.23</v>
      </c>
      <c r="J410" s="8">
        <v>31299.0</v>
      </c>
      <c r="K410" s="8">
        <v>32999.0</v>
      </c>
    </row>
    <row r="411">
      <c r="A411" s="6" t="s">
        <v>1040</v>
      </c>
      <c r="B411" s="6" t="s">
        <v>1038</v>
      </c>
      <c r="C411" s="6" t="s">
        <v>1039</v>
      </c>
      <c r="D411" s="6" t="s">
        <v>1039</v>
      </c>
      <c r="E411" s="6" t="s">
        <v>5122</v>
      </c>
      <c r="F411" s="6" t="s">
        <v>5248</v>
      </c>
      <c r="G411" s="6" t="e">
        <v>#N/A</v>
      </c>
      <c r="H411" s="6">
        <v>0.0</v>
      </c>
      <c r="I411" s="8">
        <v>20799.2</v>
      </c>
      <c r="J411" s="8">
        <v>23399.0</v>
      </c>
      <c r="K411" s="8">
        <v>25999.0</v>
      </c>
    </row>
    <row r="412">
      <c r="A412" s="6" t="s">
        <v>1913</v>
      </c>
      <c r="B412" s="6" t="s">
        <v>1911</v>
      </c>
      <c r="C412" s="6" t="s">
        <v>1912</v>
      </c>
      <c r="D412" s="6" t="s">
        <v>1912</v>
      </c>
      <c r="E412" s="6" t="s">
        <v>5122</v>
      </c>
      <c r="F412" s="6" t="s">
        <v>5248</v>
      </c>
      <c r="G412" s="6" t="e">
        <v>#N/A</v>
      </c>
      <c r="H412" s="6">
        <v>0.0</v>
      </c>
      <c r="I412" s="8">
        <v>37799.16</v>
      </c>
      <c r="J412" s="8">
        <v>42699.0</v>
      </c>
      <c r="K412" s="8">
        <v>44999.0</v>
      </c>
    </row>
    <row r="413">
      <c r="A413" s="6" t="s">
        <v>1036</v>
      </c>
      <c r="B413" s="6" t="s">
        <v>1034</v>
      </c>
      <c r="C413" s="6" t="s">
        <v>1035</v>
      </c>
      <c r="D413" s="6" t="s">
        <v>1035</v>
      </c>
      <c r="E413" s="6" t="s">
        <v>5122</v>
      </c>
      <c r="F413" s="6" t="s">
        <v>5248</v>
      </c>
      <c r="G413" s="6">
        <v>1.0</v>
      </c>
      <c r="H413" s="6">
        <v>0.0</v>
      </c>
      <c r="I413" s="8">
        <v>18399.2</v>
      </c>
      <c r="J413" s="8">
        <v>20699.0</v>
      </c>
      <c r="K413" s="8">
        <v>22999.0</v>
      </c>
    </row>
    <row r="414">
      <c r="A414" s="6" t="s">
        <v>611</v>
      </c>
      <c r="B414" s="6" t="s">
        <v>609</v>
      </c>
      <c r="C414" s="6" t="s">
        <v>610</v>
      </c>
      <c r="D414" s="6" t="s">
        <v>610</v>
      </c>
      <c r="E414" s="6" t="s">
        <v>5122</v>
      </c>
      <c r="F414" s="6" t="s">
        <v>5248</v>
      </c>
      <c r="G414" s="6">
        <v>2.0</v>
      </c>
      <c r="H414" s="6">
        <v>0.0</v>
      </c>
      <c r="I414" s="8">
        <v>17479.24</v>
      </c>
      <c r="J414" s="8">
        <v>19999.0</v>
      </c>
      <c r="K414" s="8">
        <v>22999.0</v>
      </c>
    </row>
    <row r="415">
      <c r="A415" s="6" t="s">
        <v>1080</v>
      </c>
      <c r="B415" s="6" t="s">
        <v>1078</v>
      </c>
      <c r="C415" s="6" t="s">
        <v>1079</v>
      </c>
      <c r="D415" s="6" t="s">
        <v>1079</v>
      </c>
      <c r="E415" s="6" t="s">
        <v>5122</v>
      </c>
      <c r="F415" s="6" t="s">
        <v>5248</v>
      </c>
      <c r="G415" s="6">
        <v>1.0</v>
      </c>
      <c r="H415" s="6">
        <v>0.0</v>
      </c>
      <c r="I415" s="8">
        <v>21599.2</v>
      </c>
      <c r="J415" s="8">
        <v>24299.0</v>
      </c>
      <c r="K415" s="8">
        <v>26999.0</v>
      </c>
    </row>
    <row r="416">
      <c r="A416" s="6" t="s">
        <v>661</v>
      </c>
      <c r="B416" s="6" t="s">
        <v>659</v>
      </c>
      <c r="C416" s="6" t="s">
        <v>660</v>
      </c>
      <c r="D416" s="6" t="s">
        <v>660</v>
      </c>
      <c r="E416" s="6" t="s">
        <v>5122</v>
      </c>
      <c r="F416" s="6" t="s">
        <v>5248</v>
      </c>
      <c r="G416" s="6" t="e">
        <v>#N/A</v>
      </c>
      <c r="H416" s="6">
        <v>0.0</v>
      </c>
      <c r="I416" s="8">
        <v>19759.24</v>
      </c>
      <c r="J416" s="8">
        <v>22599.0</v>
      </c>
      <c r="K416" s="8">
        <v>25999.0</v>
      </c>
    </row>
    <row r="417">
      <c r="A417" s="6" t="s">
        <v>2094</v>
      </c>
      <c r="B417" s="6" t="s">
        <v>2092</v>
      </c>
      <c r="C417" s="6" t="s">
        <v>2093</v>
      </c>
      <c r="D417" s="6" t="s">
        <v>2093</v>
      </c>
      <c r="E417" s="6" t="s">
        <v>5122</v>
      </c>
      <c r="F417" s="6" t="s">
        <v>5248</v>
      </c>
      <c r="G417" s="6" t="e">
        <v>#N/A</v>
      </c>
      <c r="H417" s="6">
        <v>0.0</v>
      </c>
      <c r="I417" s="8">
        <v>22399.2</v>
      </c>
      <c r="J417" s="8">
        <v>25199.0</v>
      </c>
      <c r="K417" s="8">
        <v>27999.0</v>
      </c>
    </row>
    <row r="418">
      <c r="A418" s="6" t="s">
        <v>2046</v>
      </c>
      <c r="B418" s="6" t="s">
        <v>2044</v>
      </c>
      <c r="C418" s="6" t="s">
        <v>2045</v>
      </c>
      <c r="D418" s="6" t="s">
        <v>2045</v>
      </c>
      <c r="E418" s="6" t="s">
        <v>5122</v>
      </c>
      <c r="F418" s="6" t="s">
        <v>5248</v>
      </c>
      <c r="G418" s="6" t="e">
        <v>#N/A</v>
      </c>
      <c r="H418" s="6">
        <v>3.0</v>
      </c>
      <c r="I418" s="8">
        <v>15999.2</v>
      </c>
      <c r="J418" s="8">
        <v>17999.0</v>
      </c>
      <c r="K418" s="8">
        <v>19999.0</v>
      </c>
    </row>
    <row r="419">
      <c r="A419" s="6" t="s">
        <v>2134</v>
      </c>
      <c r="B419" s="6" t="s">
        <v>2132</v>
      </c>
      <c r="C419" s="6" t="s">
        <v>2133</v>
      </c>
      <c r="D419" s="6" t="s">
        <v>2133</v>
      </c>
      <c r="E419" s="6" t="s">
        <v>5122</v>
      </c>
      <c r="F419" s="6" t="s">
        <v>5248</v>
      </c>
      <c r="G419" s="6" t="e">
        <v>#N/A</v>
      </c>
      <c r="H419" s="6">
        <v>0.0</v>
      </c>
      <c r="I419" s="8">
        <v>25599.2</v>
      </c>
      <c r="J419" s="8">
        <v>28799.0</v>
      </c>
      <c r="K419" s="8">
        <v>31999.0</v>
      </c>
    </row>
    <row r="420">
      <c r="A420" s="6" t="s">
        <v>2059</v>
      </c>
      <c r="B420" s="6" t="s">
        <v>2057</v>
      </c>
      <c r="C420" s="6" t="s">
        <v>2058</v>
      </c>
      <c r="D420" s="6" t="s">
        <v>2058</v>
      </c>
      <c r="E420" s="6" t="s">
        <v>5247</v>
      </c>
      <c r="F420" s="6" t="s">
        <v>5248</v>
      </c>
      <c r="G420" s="6" t="e">
        <v>#N/A</v>
      </c>
      <c r="H420" s="6">
        <v>6.0</v>
      </c>
      <c r="I420" s="8">
        <v>18399.2</v>
      </c>
      <c r="J420" s="8">
        <v>20699.0</v>
      </c>
      <c r="K420" s="8">
        <v>22999.0</v>
      </c>
    </row>
    <row r="421">
      <c r="A421" s="6" t="s">
        <v>2052</v>
      </c>
      <c r="B421" s="6" t="s">
        <v>2050</v>
      </c>
      <c r="C421" s="6" t="s">
        <v>2051</v>
      </c>
      <c r="D421" s="6" t="s">
        <v>2051</v>
      </c>
      <c r="E421" s="6" t="s">
        <v>5247</v>
      </c>
      <c r="F421" s="6" t="s">
        <v>5248</v>
      </c>
      <c r="G421" s="6" t="e">
        <v>#N/A</v>
      </c>
      <c r="H421" s="6">
        <v>2.0</v>
      </c>
      <c r="I421" s="8">
        <v>18399.2</v>
      </c>
      <c r="J421" s="8">
        <v>20699.0</v>
      </c>
      <c r="K421" s="8">
        <v>22999.0</v>
      </c>
    </row>
    <row r="422">
      <c r="A422" s="6" t="s">
        <v>2100</v>
      </c>
      <c r="B422" s="6" t="s">
        <v>2098</v>
      </c>
      <c r="C422" s="6" t="s">
        <v>2099</v>
      </c>
      <c r="D422" s="6" t="s">
        <v>2099</v>
      </c>
      <c r="E422" s="6" t="s">
        <v>5122</v>
      </c>
      <c r="F422" s="6" t="s">
        <v>5248</v>
      </c>
      <c r="G422" s="6" t="e">
        <v>#N/A</v>
      </c>
      <c r="H422" s="6">
        <v>0.0</v>
      </c>
      <c r="I422" s="8">
        <v>22399.2</v>
      </c>
      <c r="J422" s="8">
        <v>25199.0</v>
      </c>
      <c r="K422" s="8">
        <v>27999.0</v>
      </c>
    </row>
    <row r="423">
      <c r="A423" s="6" t="s">
        <v>2080</v>
      </c>
      <c r="B423" s="6" t="s">
        <v>2078</v>
      </c>
      <c r="C423" s="6" t="s">
        <v>2079</v>
      </c>
      <c r="D423" s="6" t="s">
        <v>2079</v>
      </c>
      <c r="E423" s="6" t="s">
        <v>5122</v>
      </c>
      <c r="F423" s="6" t="s">
        <v>5248</v>
      </c>
      <c r="G423" s="6" t="e">
        <v>#N/A</v>
      </c>
      <c r="H423" s="6">
        <v>0.0</v>
      </c>
      <c r="I423" s="8">
        <v>20799.2</v>
      </c>
      <c r="J423" s="8">
        <v>23399.0</v>
      </c>
      <c r="K423" s="8">
        <v>25999.0</v>
      </c>
    </row>
    <row r="424">
      <c r="A424" s="6" t="s">
        <v>2087</v>
      </c>
      <c r="B424" s="6" t="s">
        <v>2085</v>
      </c>
      <c r="C424" s="6" t="s">
        <v>2086</v>
      </c>
      <c r="D424" s="6" t="s">
        <v>2086</v>
      </c>
      <c r="E424" s="6" t="s">
        <v>5122</v>
      </c>
      <c r="F424" s="6" t="s">
        <v>5248</v>
      </c>
      <c r="G424" s="6">
        <v>2.0</v>
      </c>
      <c r="H424" s="6">
        <v>4.0</v>
      </c>
      <c r="I424" s="8">
        <v>20799.2</v>
      </c>
      <c r="J424" s="8">
        <v>23399.0</v>
      </c>
      <c r="K424" s="8">
        <v>25999.0</v>
      </c>
    </row>
    <row r="425">
      <c r="A425" s="6" t="s">
        <v>2073</v>
      </c>
      <c r="B425" s="6" t="s">
        <v>2071</v>
      </c>
      <c r="C425" s="6" t="s">
        <v>2072</v>
      </c>
      <c r="D425" s="6" t="s">
        <v>2072</v>
      </c>
      <c r="E425" s="6" t="s">
        <v>5122</v>
      </c>
      <c r="F425" s="6" t="s">
        <v>5248</v>
      </c>
      <c r="G425" s="6" t="e">
        <v>#N/A</v>
      </c>
      <c r="H425" s="6">
        <v>0.0</v>
      </c>
      <c r="I425" s="8">
        <v>20799.2</v>
      </c>
      <c r="J425" s="8">
        <v>23399.0</v>
      </c>
      <c r="K425" s="8">
        <v>25999.0</v>
      </c>
    </row>
    <row r="426">
      <c r="A426" s="6" t="s">
        <v>2106</v>
      </c>
      <c r="B426" s="6" t="s">
        <v>2104</v>
      </c>
      <c r="C426" s="6" t="s">
        <v>2105</v>
      </c>
      <c r="D426" s="6" t="s">
        <v>2105</v>
      </c>
      <c r="E426" s="6" t="s">
        <v>5122</v>
      </c>
      <c r="F426" s="6" t="s">
        <v>5248</v>
      </c>
      <c r="G426" s="6" t="e">
        <v>#N/A</v>
      </c>
      <c r="H426" s="6">
        <v>0.0</v>
      </c>
      <c r="I426" s="8">
        <v>22399.2</v>
      </c>
      <c r="J426" s="8">
        <v>25199.0</v>
      </c>
      <c r="K426" s="8">
        <v>27999.0</v>
      </c>
    </row>
    <row r="427">
      <c r="A427" s="6" t="s">
        <v>2033</v>
      </c>
      <c r="B427" s="6" t="s">
        <v>2031</v>
      </c>
      <c r="C427" s="6" t="s">
        <v>2032</v>
      </c>
      <c r="D427" s="6" t="s">
        <v>2032</v>
      </c>
      <c r="E427" s="6" t="s">
        <v>5247</v>
      </c>
      <c r="F427" s="6" t="s">
        <v>5248</v>
      </c>
      <c r="G427" s="6" t="e">
        <v>#N/A</v>
      </c>
      <c r="H427" s="6">
        <v>1.0</v>
      </c>
      <c r="I427" s="8">
        <v>15999.2</v>
      </c>
      <c r="J427" s="8">
        <v>17999.0</v>
      </c>
      <c r="K427" s="8">
        <v>19999.0</v>
      </c>
    </row>
    <row r="428">
      <c r="A428" s="6" t="s">
        <v>2040</v>
      </c>
      <c r="B428" s="6" t="s">
        <v>2038</v>
      </c>
      <c r="C428" s="6" t="s">
        <v>2039</v>
      </c>
      <c r="D428" s="6" t="s">
        <v>2039</v>
      </c>
      <c r="E428" s="6" t="s">
        <v>5122</v>
      </c>
      <c r="F428" s="6" t="s">
        <v>5248</v>
      </c>
      <c r="G428" s="6" t="e">
        <v>#N/A</v>
      </c>
      <c r="H428" s="6">
        <v>0.0</v>
      </c>
      <c r="I428" s="8">
        <v>15999.2</v>
      </c>
      <c r="J428" s="8">
        <v>17999.0</v>
      </c>
      <c r="K428" s="8">
        <v>19999.0</v>
      </c>
    </row>
    <row r="429">
      <c r="A429" s="6" t="s">
        <v>2066</v>
      </c>
      <c r="B429" s="6" t="s">
        <v>2064</v>
      </c>
      <c r="C429" s="6" t="s">
        <v>2065</v>
      </c>
      <c r="D429" s="6" t="s">
        <v>2065</v>
      </c>
      <c r="E429" s="6" t="s">
        <v>5247</v>
      </c>
      <c r="F429" s="6" t="s">
        <v>5248</v>
      </c>
      <c r="G429" s="6" t="e">
        <v>#N/A</v>
      </c>
      <c r="H429" s="6">
        <v>5.0</v>
      </c>
      <c r="I429" s="8">
        <v>18399.2</v>
      </c>
      <c r="J429" s="8">
        <v>20699.0</v>
      </c>
      <c r="K429" s="8">
        <v>22999.0</v>
      </c>
    </row>
    <row r="430">
      <c r="A430" s="6" t="s">
        <v>2127</v>
      </c>
      <c r="B430" s="6" t="s">
        <v>2125</v>
      </c>
      <c r="C430" s="6" t="s">
        <v>2126</v>
      </c>
      <c r="D430" s="6" t="s">
        <v>2126</v>
      </c>
      <c r="E430" s="6" t="s">
        <v>5122</v>
      </c>
      <c r="F430" s="6" t="s">
        <v>5248</v>
      </c>
      <c r="G430" s="6">
        <v>2.0</v>
      </c>
      <c r="H430" s="6">
        <v>4.0</v>
      </c>
      <c r="I430" s="8">
        <v>23999.2</v>
      </c>
      <c r="J430" s="8">
        <v>26999.0</v>
      </c>
      <c r="K430" s="8">
        <v>29999.0</v>
      </c>
    </row>
    <row r="431">
      <c r="A431" s="6" t="s">
        <v>2027</v>
      </c>
      <c r="B431" s="6" t="s">
        <v>2025</v>
      </c>
      <c r="C431" s="6" t="s">
        <v>2026</v>
      </c>
      <c r="D431" s="6" t="s">
        <v>2026</v>
      </c>
      <c r="E431" s="6" t="s">
        <v>5122</v>
      </c>
      <c r="F431" s="6" t="s">
        <v>5248</v>
      </c>
      <c r="G431" s="6" t="e">
        <v>#N/A</v>
      </c>
      <c r="H431" s="6">
        <v>0.0</v>
      </c>
      <c r="I431" s="8">
        <v>14399.2</v>
      </c>
      <c r="J431" s="8">
        <v>16199.0</v>
      </c>
      <c r="K431" s="8">
        <v>17999.0</v>
      </c>
    </row>
    <row r="432">
      <c r="A432" s="6" t="s">
        <v>2113</v>
      </c>
      <c r="B432" s="6" t="s">
        <v>2111</v>
      </c>
      <c r="C432" s="6" t="s">
        <v>2112</v>
      </c>
      <c r="D432" s="6" t="s">
        <v>2112</v>
      </c>
      <c r="E432" s="6" t="s">
        <v>5122</v>
      </c>
      <c r="F432" s="6" t="s">
        <v>5248</v>
      </c>
      <c r="G432" s="6" t="e">
        <v>#N/A</v>
      </c>
      <c r="H432" s="6">
        <v>0.0</v>
      </c>
      <c r="I432" s="8">
        <v>23999.2</v>
      </c>
      <c r="J432" s="8">
        <v>26999.0</v>
      </c>
      <c r="K432" s="8">
        <v>29999.0</v>
      </c>
    </row>
    <row r="433">
      <c r="A433" s="6" t="s">
        <v>2120</v>
      </c>
      <c r="B433" s="6" t="s">
        <v>2118</v>
      </c>
      <c r="C433" s="6" t="s">
        <v>2119</v>
      </c>
      <c r="D433" s="6" t="s">
        <v>2119</v>
      </c>
      <c r="E433" s="6" t="s">
        <v>5247</v>
      </c>
      <c r="F433" s="6" t="s">
        <v>5248</v>
      </c>
      <c r="G433" s="6" t="e">
        <v>#N/A</v>
      </c>
      <c r="H433" s="6">
        <v>2.0</v>
      </c>
      <c r="I433" s="8">
        <v>23999.2</v>
      </c>
      <c r="J433" s="8">
        <v>26999.0</v>
      </c>
      <c r="K433" s="8">
        <v>29999.0</v>
      </c>
    </row>
    <row r="434">
      <c r="A434" s="6" t="s">
        <v>2321</v>
      </c>
      <c r="B434" s="6" t="s">
        <v>2319</v>
      </c>
      <c r="C434" s="6" t="s">
        <v>2320</v>
      </c>
      <c r="D434" s="6" t="s">
        <v>2320</v>
      </c>
      <c r="E434" s="6" t="s">
        <v>5122</v>
      </c>
      <c r="F434" s="6" t="s">
        <v>5248</v>
      </c>
      <c r="G434" s="6">
        <v>3.0</v>
      </c>
      <c r="H434" s="6">
        <v>21.0</v>
      </c>
      <c r="I434" s="8">
        <v>944.1</v>
      </c>
      <c r="J434" s="8">
        <v>999.0</v>
      </c>
      <c r="K434" s="8">
        <v>1049.0</v>
      </c>
    </row>
    <row r="435">
      <c r="A435" s="6" t="s">
        <v>2326</v>
      </c>
      <c r="B435" s="6" t="s">
        <v>2324</v>
      </c>
      <c r="C435" s="6" t="s">
        <v>2325</v>
      </c>
      <c r="D435" s="6" t="s">
        <v>2325</v>
      </c>
      <c r="E435" s="6" t="s">
        <v>5122</v>
      </c>
      <c r="F435" s="6" t="s">
        <v>5248</v>
      </c>
      <c r="G435" s="6">
        <v>3.0</v>
      </c>
      <c r="H435" s="6">
        <v>10.0</v>
      </c>
      <c r="I435" s="8">
        <v>944.1</v>
      </c>
      <c r="J435" s="8">
        <v>999.0</v>
      </c>
      <c r="K435" s="8">
        <v>1049.0</v>
      </c>
    </row>
    <row r="436">
      <c r="A436" s="6" t="s">
        <v>2359</v>
      </c>
      <c r="B436" s="6" t="s">
        <v>2357</v>
      </c>
      <c r="C436" s="6" t="s">
        <v>2358</v>
      </c>
      <c r="D436" s="6" t="s">
        <v>2358</v>
      </c>
      <c r="E436" s="6" t="s">
        <v>5122</v>
      </c>
      <c r="F436" s="6" t="s">
        <v>5248</v>
      </c>
      <c r="G436" s="6">
        <v>19.0</v>
      </c>
      <c r="H436" s="6">
        <v>28.0</v>
      </c>
      <c r="I436" s="8">
        <v>980.1</v>
      </c>
      <c r="J436" s="8">
        <v>1035.0</v>
      </c>
      <c r="K436" s="8">
        <v>1089.0</v>
      </c>
    </row>
    <row r="437">
      <c r="A437" s="6" t="s">
        <v>2311</v>
      </c>
      <c r="B437" s="6" t="s">
        <v>2309</v>
      </c>
      <c r="C437" s="6" t="s">
        <v>2310</v>
      </c>
      <c r="D437" s="6" t="s">
        <v>2310</v>
      </c>
      <c r="E437" s="6" t="s">
        <v>5247</v>
      </c>
      <c r="F437" s="6" t="s">
        <v>5248</v>
      </c>
      <c r="G437" s="6">
        <v>23.0</v>
      </c>
      <c r="H437" s="6">
        <v>51.0</v>
      </c>
      <c r="I437" s="8">
        <v>890.1</v>
      </c>
      <c r="J437" s="8">
        <v>940.0</v>
      </c>
      <c r="K437" s="8">
        <v>989.0</v>
      </c>
    </row>
    <row r="438">
      <c r="A438" s="6" t="s">
        <v>2306</v>
      </c>
      <c r="B438" s="6" t="s">
        <v>2304</v>
      </c>
      <c r="C438" s="6" t="s">
        <v>2305</v>
      </c>
      <c r="D438" s="6" t="s">
        <v>2305</v>
      </c>
      <c r="E438" s="6" t="s">
        <v>5247</v>
      </c>
      <c r="F438" s="6" t="s">
        <v>5248</v>
      </c>
      <c r="G438" s="6">
        <v>6.0</v>
      </c>
      <c r="H438" s="6">
        <v>19.0</v>
      </c>
      <c r="I438" s="8">
        <v>890.1</v>
      </c>
      <c r="J438" s="8">
        <v>940.0</v>
      </c>
      <c r="K438" s="8">
        <v>989.0</v>
      </c>
    </row>
    <row r="439">
      <c r="A439" s="6" t="s">
        <v>2364</v>
      </c>
      <c r="B439" s="6" t="s">
        <v>2362</v>
      </c>
      <c r="C439" s="6" t="s">
        <v>2363</v>
      </c>
      <c r="D439" s="6" t="s">
        <v>2363</v>
      </c>
      <c r="E439" s="6" t="s">
        <v>5247</v>
      </c>
      <c r="F439" s="6" t="s">
        <v>5248</v>
      </c>
      <c r="G439" s="6">
        <v>30.0</v>
      </c>
      <c r="H439" s="6">
        <v>139.0</v>
      </c>
      <c r="I439" s="8">
        <v>980.1</v>
      </c>
      <c r="J439" s="8">
        <v>1035.0</v>
      </c>
      <c r="K439" s="8">
        <v>1089.0</v>
      </c>
    </row>
    <row r="440">
      <c r="A440" s="6" t="s">
        <v>2222</v>
      </c>
      <c r="B440" s="6" t="s">
        <v>2220</v>
      </c>
      <c r="C440" s="6" t="s">
        <v>2221</v>
      </c>
      <c r="D440" s="6" t="s">
        <v>2221</v>
      </c>
      <c r="E440" s="6" t="s">
        <v>5247</v>
      </c>
      <c r="F440" s="6" t="s">
        <v>5248</v>
      </c>
      <c r="G440" s="6">
        <v>4.0</v>
      </c>
      <c r="H440" s="6">
        <v>38.0</v>
      </c>
      <c r="I440" s="8">
        <v>710.1</v>
      </c>
      <c r="J440" s="8">
        <v>750.0</v>
      </c>
      <c r="K440" s="8">
        <v>789.0</v>
      </c>
    </row>
    <row r="441">
      <c r="A441" s="6" t="s">
        <v>2354</v>
      </c>
      <c r="B441" s="6" t="s">
        <v>2352</v>
      </c>
      <c r="C441" s="6" t="s">
        <v>2353</v>
      </c>
      <c r="D441" s="6" t="s">
        <v>2353</v>
      </c>
      <c r="E441" s="6" t="s">
        <v>5247</v>
      </c>
      <c r="F441" s="6" t="s">
        <v>5248</v>
      </c>
      <c r="G441" s="6">
        <v>14.0</v>
      </c>
      <c r="H441" s="6">
        <v>30.0</v>
      </c>
      <c r="I441" s="8">
        <v>980.1</v>
      </c>
      <c r="J441" s="8">
        <v>1035.0</v>
      </c>
      <c r="K441" s="8">
        <v>1089.0</v>
      </c>
    </row>
    <row r="442">
      <c r="A442" s="6" t="s">
        <v>2259</v>
      </c>
      <c r="B442" s="6" t="s">
        <v>2257</v>
      </c>
      <c r="C442" s="6" t="s">
        <v>2258</v>
      </c>
      <c r="D442" s="6" t="s">
        <v>2258</v>
      </c>
      <c r="E442" s="6" t="s">
        <v>5122</v>
      </c>
      <c r="F442" s="6" t="s">
        <v>5248</v>
      </c>
      <c r="G442" s="6">
        <v>6.0</v>
      </c>
      <c r="H442" s="6">
        <v>21.0</v>
      </c>
      <c r="I442" s="8">
        <v>800.1</v>
      </c>
      <c r="J442" s="8">
        <v>845.0</v>
      </c>
      <c r="K442" s="8">
        <v>889.0</v>
      </c>
    </row>
    <row r="443">
      <c r="A443" s="6" t="s">
        <v>2316</v>
      </c>
      <c r="B443" s="6" t="s">
        <v>2314</v>
      </c>
      <c r="C443" s="6" t="s">
        <v>2315</v>
      </c>
      <c r="D443" s="6" t="s">
        <v>2315</v>
      </c>
      <c r="E443" s="6" t="s">
        <v>5122</v>
      </c>
      <c r="F443" s="6" t="s">
        <v>5248</v>
      </c>
      <c r="G443" s="6">
        <v>1.0</v>
      </c>
      <c r="H443" s="6">
        <v>43.0</v>
      </c>
      <c r="I443" s="8">
        <v>944.1</v>
      </c>
      <c r="J443" s="8">
        <v>999.0</v>
      </c>
      <c r="K443" s="8">
        <v>1049.0</v>
      </c>
    </row>
    <row r="444">
      <c r="A444" s="6" t="s">
        <v>2227</v>
      </c>
      <c r="B444" s="6" t="s">
        <v>2225</v>
      </c>
      <c r="C444" s="6" t="s">
        <v>2226</v>
      </c>
      <c r="D444" s="6" t="s">
        <v>2226</v>
      </c>
      <c r="E444" s="6" t="s">
        <v>5122</v>
      </c>
      <c r="F444" s="6" t="s">
        <v>5248</v>
      </c>
      <c r="G444" s="6" t="e">
        <v>#N/A</v>
      </c>
      <c r="H444" s="6">
        <v>17.0</v>
      </c>
      <c r="I444" s="8">
        <v>710.1</v>
      </c>
      <c r="J444" s="8">
        <v>750.0</v>
      </c>
      <c r="K444" s="8">
        <v>789.0</v>
      </c>
    </row>
    <row r="445">
      <c r="A445" s="6" t="s">
        <v>2301</v>
      </c>
      <c r="B445" s="6" t="s">
        <v>2299</v>
      </c>
      <c r="C445" s="6" t="s">
        <v>2300</v>
      </c>
      <c r="D445" s="6" t="s">
        <v>2300</v>
      </c>
      <c r="E445" s="6" t="s">
        <v>5247</v>
      </c>
      <c r="F445" s="6" t="s">
        <v>5248</v>
      </c>
      <c r="G445" s="6">
        <v>9.0</v>
      </c>
      <c r="H445" s="6">
        <v>34.0</v>
      </c>
      <c r="I445" s="8">
        <v>890.1</v>
      </c>
      <c r="J445" s="8">
        <v>940.0</v>
      </c>
      <c r="K445" s="8">
        <v>989.0</v>
      </c>
    </row>
    <row r="446">
      <c r="A446" s="6" t="s">
        <v>2217</v>
      </c>
      <c r="B446" s="6" t="s">
        <v>2215</v>
      </c>
      <c r="C446" s="6" t="s">
        <v>2216</v>
      </c>
      <c r="D446" s="6" t="s">
        <v>2216</v>
      </c>
      <c r="E446" s="6" t="s">
        <v>5122</v>
      </c>
      <c r="F446" s="6" t="s">
        <v>5248</v>
      </c>
      <c r="G446" s="6">
        <v>3.0</v>
      </c>
      <c r="H446" s="6">
        <v>51.0</v>
      </c>
      <c r="I446" s="8">
        <v>710.1</v>
      </c>
      <c r="J446" s="8">
        <v>750.0</v>
      </c>
      <c r="K446" s="8">
        <v>789.0</v>
      </c>
    </row>
    <row r="447">
      <c r="A447" s="6" t="s">
        <v>2371</v>
      </c>
      <c r="B447" s="6" t="s">
        <v>2369</v>
      </c>
      <c r="C447" s="6" t="s">
        <v>2370</v>
      </c>
      <c r="D447" s="6" t="s">
        <v>2370</v>
      </c>
      <c r="E447" s="6" t="s">
        <v>5247</v>
      </c>
      <c r="F447" s="6" t="s">
        <v>5248</v>
      </c>
      <c r="G447" s="6">
        <v>20.0</v>
      </c>
      <c r="H447" s="6">
        <v>604.0</v>
      </c>
      <c r="I447" s="8">
        <v>1999.0</v>
      </c>
      <c r="J447" s="8">
        <v>2149.0</v>
      </c>
      <c r="K447" s="8">
        <v>2499.0</v>
      </c>
    </row>
    <row r="448">
      <c r="A448" s="6" t="s">
        <v>1089</v>
      </c>
      <c r="B448" s="6" t="s">
        <v>1087</v>
      </c>
      <c r="C448" s="6" t="s">
        <v>1088</v>
      </c>
      <c r="D448" s="6" t="s">
        <v>1088</v>
      </c>
      <c r="E448" s="6" t="s">
        <v>5247</v>
      </c>
      <c r="F448" s="6" t="s">
        <v>5248</v>
      </c>
      <c r="G448" s="6">
        <v>289.0</v>
      </c>
      <c r="H448" s="6">
        <v>929.0</v>
      </c>
      <c r="I448" s="8">
        <v>959.0</v>
      </c>
      <c r="J448" s="8">
        <v>999.0</v>
      </c>
      <c r="K448" s="8">
        <v>1599.0</v>
      </c>
    </row>
    <row r="449">
      <c r="A449" s="6" t="s">
        <v>2444</v>
      </c>
      <c r="B449" s="6" t="s">
        <v>2442</v>
      </c>
      <c r="C449" s="6" t="s">
        <v>2443</v>
      </c>
      <c r="D449" s="6" t="s">
        <v>2443</v>
      </c>
      <c r="E449" s="6" t="s">
        <v>5247</v>
      </c>
      <c r="F449" s="6" t="s">
        <v>5248</v>
      </c>
      <c r="G449" s="6">
        <v>181.0</v>
      </c>
      <c r="H449" s="6">
        <v>259.0</v>
      </c>
      <c r="I449" s="8">
        <v>2299.0</v>
      </c>
      <c r="J449" s="8">
        <v>2399.0</v>
      </c>
      <c r="K449" s="8">
        <v>2589.0</v>
      </c>
    </row>
    <row r="450">
      <c r="A450" s="6" t="s">
        <v>4782</v>
      </c>
      <c r="B450" s="6" t="s">
        <v>2438</v>
      </c>
      <c r="C450" s="6" t="s">
        <v>4781</v>
      </c>
      <c r="D450" s="6" t="s">
        <v>4781</v>
      </c>
      <c r="E450" s="6" t="s">
        <v>5247</v>
      </c>
      <c r="F450" s="6" t="s">
        <v>5248</v>
      </c>
      <c r="G450" s="6">
        <v>191.0</v>
      </c>
      <c r="H450" s="6">
        <v>524.0</v>
      </c>
      <c r="I450" s="8">
        <v>2199.0</v>
      </c>
      <c r="J450" s="8">
        <v>2330.0</v>
      </c>
      <c r="K450" s="8">
        <v>2589.0</v>
      </c>
    </row>
    <row r="451">
      <c r="A451" s="6" t="s">
        <v>677</v>
      </c>
      <c r="B451" s="6" t="s">
        <v>675</v>
      </c>
      <c r="C451" s="6" t="s">
        <v>676</v>
      </c>
      <c r="D451" s="6" t="s">
        <v>676</v>
      </c>
      <c r="E451" s="6" t="s">
        <v>5122</v>
      </c>
      <c r="F451" s="6" t="s">
        <v>5248</v>
      </c>
      <c r="G451" s="6" t="e">
        <v>#N/A</v>
      </c>
      <c r="H451" s="6">
        <v>0.0</v>
      </c>
      <c r="I451" s="8">
        <v>17935.24</v>
      </c>
      <c r="J451" s="8">
        <v>20499.0</v>
      </c>
      <c r="K451" s="8">
        <v>23599.0</v>
      </c>
    </row>
    <row r="452">
      <c r="A452" s="6" t="s">
        <v>1024</v>
      </c>
      <c r="B452" s="6" t="s">
        <v>1022</v>
      </c>
      <c r="C452" s="6" t="s">
        <v>1023</v>
      </c>
      <c r="D452" s="6" t="s">
        <v>1023</v>
      </c>
      <c r="E452" s="6" t="s">
        <v>5122</v>
      </c>
      <c r="F452" s="6" t="s">
        <v>5248</v>
      </c>
      <c r="G452" s="6">
        <v>3.0</v>
      </c>
      <c r="H452" s="6">
        <v>0.0</v>
      </c>
      <c r="I452" s="8">
        <v>15999.2</v>
      </c>
      <c r="J452" s="8">
        <v>17999.0</v>
      </c>
      <c r="K452" s="8">
        <v>19999.0</v>
      </c>
    </row>
    <row r="453">
      <c r="A453" s="6" t="s">
        <v>616</v>
      </c>
      <c r="B453" s="6" t="s">
        <v>614</v>
      </c>
      <c r="C453" s="6" t="s">
        <v>615</v>
      </c>
      <c r="D453" s="6" t="s">
        <v>615</v>
      </c>
      <c r="E453" s="6" t="s">
        <v>5247</v>
      </c>
      <c r="F453" s="6" t="s">
        <v>5248</v>
      </c>
      <c r="G453" s="6">
        <v>4.0</v>
      </c>
      <c r="H453" s="6">
        <v>31.0</v>
      </c>
      <c r="I453" s="8">
        <v>15503.24</v>
      </c>
      <c r="J453" s="8">
        <v>17699.0</v>
      </c>
      <c r="K453" s="8">
        <v>20399.0</v>
      </c>
    </row>
    <row r="454">
      <c r="A454" s="6" t="s">
        <v>1013</v>
      </c>
      <c r="B454" s="6" t="s">
        <v>1011</v>
      </c>
      <c r="C454" s="6" t="s">
        <v>1012</v>
      </c>
      <c r="D454" s="6" t="s">
        <v>1012</v>
      </c>
      <c r="E454" s="6" t="s">
        <v>5247</v>
      </c>
      <c r="F454" s="6" t="s">
        <v>5248</v>
      </c>
      <c r="G454" s="6">
        <v>3.0</v>
      </c>
      <c r="H454" s="6">
        <v>23.0</v>
      </c>
      <c r="I454" s="8">
        <v>15999.2</v>
      </c>
      <c r="J454" s="8">
        <v>17999.0</v>
      </c>
      <c r="K454" s="8">
        <v>19999.0</v>
      </c>
    </row>
    <row r="455">
      <c r="A455" s="6" t="s">
        <v>565</v>
      </c>
      <c r="B455" s="6" t="s">
        <v>563</v>
      </c>
      <c r="C455" s="6" t="s">
        <v>564</v>
      </c>
      <c r="D455" s="6" t="s">
        <v>564</v>
      </c>
      <c r="E455" s="6" t="s">
        <v>5247</v>
      </c>
      <c r="F455" s="6" t="s">
        <v>5248</v>
      </c>
      <c r="G455" s="6">
        <v>25.0</v>
      </c>
      <c r="H455" s="6">
        <v>57.0</v>
      </c>
      <c r="I455" s="8">
        <v>13679.24</v>
      </c>
      <c r="J455" s="8">
        <v>15699.0</v>
      </c>
      <c r="K455" s="8">
        <v>17999.0</v>
      </c>
    </row>
    <row r="456">
      <c r="A456" s="6" t="s">
        <v>1000</v>
      </c>
      <c r="B456" s="6" t="s">
        <v>998</v>
      </c>
      <c r="C456" s="6" t="s">
        <v>999</v>
      </c>
      <c r="D456" s="6" t="s">
        <v>999</v>
      </c>
      <c r="E456" s="6" t="s">
        <v>5122</v>
      </c>
      <c r="F456" s="6" t="s">
        <v>5248</v>
      </c>
      <c r="G456" s="6" t="e">
        <v>#N/A</v>
      </c>
      <c r="H456" s="6">
        <v>23.0</v>
      </c>
      <c r="I456" s="8">
        <v>15999.2</v>
      </c>
      <c r="J456" s="8">
        <v>17999.0</v>
      </c>
      <c r="K456" s="8">
        <v>19999.0</v>
      </c>
    </row>
    <row r="457">
      <c r="A457" s="6" t="s">
        <v>971</v>
      </c>
      <c r="B457" s="6" t="s">
        <v>969</v>
      </c>
      <c r="C457" s="6" t="s">
        <v>970</v>
      </c>
      <c r="D457" s="6" t="s">
        <v>970</v>
      </c>
      <c r="E457" s="6" t="s">
        <v>5122</v>
      </c>
      <c r="F457" s="6" t="s">
        <v>5248</v>
      </c>
      <c r="G457" s="6" t="e">
        <v>#N/A</v>
      </c>
      <c r="H457" s="6">
        <v>0.0</v>
      </c>
      <c r="I457" s="8">
        <v>15999.2</v>
      </c>
      <c r="J457" s="8">
        <v>17999.0</v>
      </c>
      <c r="K457" s="8">
        <v>19999.0</v>
      </c>
    </row>
    <row r="458">
      <c r="A458" s="6" t="s">
        <v>689</v>
      </c>
      <c r="B458" s="6" t="s">
        <v>687</v>
      </c>
      <c r="C458" s="6" t="s">
        <v>688</v>
      </c>
      <c r="D458" s="6" t="s">
        <v>688</v>
      </c>
      <c r="E458" s="6" t="s">
        <v>5247</v>
      </c>
      <c r="F458" s="6" t="s">
        <v>5248</v>
      </c>
      <c r="G458" s="6">
        <v>4.0</v>
      </c>
      <c r="H458" s="6">
        <v>1.0</v>
      </c>
      <c r="I458" s="8">
        <v>18619.24</v>
      </c>
      <c r="J458" s="8">
        <v>21299.0</v>
      </c>
      <c r="K458" s="8">
        <v>24499.0</v>
      </c>
    </row>
    <row r="459">
      <c r="A459" s="6" t="s">
        <v>578</v>
      </c>
      <c r="B459" s="6" t="s">
        <v>576</v>
      </c>
      <c r="C459" s="6" t="s">
        <v>577</v>
      </c>
      <c r="D459" s="6" t="s">
        <v>577</v>
      </c>
      <c r="E459" s="6" t="s">
        <v>5247</v>
      </c>
      <c r="F459" s="6" t="s">
        <v>5248</v>
      </c>
      <c r="G459" s="6">
        <v>6.0</v>
      </c>
      <c r="H459" s="6">
        <v>4.0</v>
      </c>
      <c r="I459" s="8">
        <v>13831.24</v>
      </c>
      <c r="J459" s="8">
        <v>15799.0</v>
      </c>
      <c r="K459" s="8">
        <v>18199.0</v>
      </c>
    </row>
    <row r="460">
      <c r="A460" s="6" t="s">
        <v>1067</v>
      </c>
      <c r="B460" s="6" t="s">
        <v>1065</v>
      </c>
      <c r="C460" s="6" t="s">
        <v>1066</v>
      </c>
      <c r="D460" s="6" t="s">
        <v>1066</v>
      </c>
      <c r="E460" s="6" t="s">
        <v>5122</v>
      </c>
      <c r="F460" s="6" t="s">
        <v>5248</v>
      </c>
      <c r="G460" s="6" t="e">
        <v>#N/A</v>
      </c>
      <c r="H460" s="6">
        <v>0.0</v>
      </c>
      <c r="I460" s="8">
        <v>18399.2</v>
      </c>
      <c r="J460" s="8">
        <v>20699.0</v>
      </c>
      <c r="K460" s="8">
        <v>22999.0</v>
      </c>
    </row>
    <row r="461">
      <c r="A461" s="6" t="s">
        <v>1055</v>
      </c>
      <c r="B461" s="6" t="s">
        <v>1053</v>
      </c>
      <c r="C461" s="6" t="s">
        <v>1054</v>
      </c>
      <c r="D461" s="6" t="s">
        <v>1054</v>
      </c>
      <c r="E461" s="6" t="s">
        <v>5122</v>
      </c>
      <c r="F461" s="6" t="s">
        <v>5248</v>
      </c>
      <c r="G461" s="6" t="e">
        <v>#N/A</v>
      </c>
      <c r="H461" s="6">
        <v>0.0</v>
      </c>
      <c r="I461" s="8">
        <v>18399.2</v>
      </c>
      <c r="J461" s="8">
        <v>20699.0</v>
      </c>
      <c r="K461" s="8">
        <v>22999.0</v>
      </c>
    </row>
    <row r="462">
      <c r="A462" s="6" t="s">
        <v>629</v>
      </c>
      <c r="B462" s="6" t="s">
        <v>627</v>
      </c>
      <c r="C462" s="6" t="s">
        <v>628</v>
      </c>
      <c r="D462" s="6" t="s">
        <v>628</v>
      </c>
      <c r="E462" s="6" t="s">
        <v>5122</v>
      </c>
      <c r="F462" s="6" t="s">
        <v>5248</v>
      </c>
      <c r="G462" s="6">
        <v>2.0</v>
      </c>
      <c r="H462" s="6">
        <v>0.0</v>
      </c>
      <c r="I462" s="8">
        <v>15883.24</v>
      </c>
      <c r="J462" s="8">
        <v>18199.0</v>
      </c>
      <c r="K462" s="8">
        <v>20899.0</v>
      </c>
    </row>
    <row r="463">
      <c r="A463" s="6" t="s">
        <v>665</v>
      </c>
      <c r="B463" s="6" t="s">
        <v>663</v>
      </c>
      <c r="C463" s="6" t="s">
        <v>664</v>
      </c>
      <c r="D463" s="6" t="s">
        <v>664</v>
      </c>
      <c r="E463" s="6" t="s">
        <v>5122</v>
      </c>
      <c r="F463" s="6" t="s">
        <v>5248</v>
      </c>
      <c r="G463" s="6" t="e">
        <v>#N/A</v>
      </c>
      <c r="H463" s="6">
        <v>0.0</v>
      </c>
      <c r="I463" s="8">
        <v>17479.24</v>
      </c>
      <c r="J463" s="8">
        <v>19999.0</v>
      </c>
      <c r="K463" s="8">
        <v>22999.0</v>
      </c>
    </row>
    <row r="464">
      <c r="A464" s="6" t="s">
        <v>592</v>
      </c>
      <c r="B464" s="6" t="s">
        <v>590</v>
      </c>
      <c r="C464" s="6" t="s">
        <v>591</v>
      </c>
      <c r="D464" s="6" t="s">
        <v>591</v>
      </c>
      <c r="E464" s="6" t="s">
        <v>5122</v>
      </c>
      <c r="F464" s="6" t="s">
        <v>5248</v>
      </c>
      <c r="G464" s="6">
        <v>1.0</v>
      </c>
      <c r="H464" s="6">
        <v>0.0</v>
      </c>
      <c r="I464" s="8">
        <v>13983.24</v>
      </c>
      <c r="J464" s="8">
        <v>15999.0</v>
      </c>
      <c r="K464" s="8">
        <v>18399.0</v>
      </c>
    </row>
    <row r="465">
      <c r="A465" s="6" t="s">
        <v>1044</v>
      </c>
      <c r="B465" s="6" t="s">
        <v>1042</v>
      </c>
      <c r="C465" s="6" t="s">
        <v>1043</v>
      </c>
      <c r="D465" s="6" t="s">
        <v>1043</v>
      </c>
      <c r="E465" s="6" t="s">
        <v>5247</v>
      </c>
      <c r="F465" s="6" t="s">
        <v>5248</v>
      </c>
      <c r="G465" s="6" t="e">
        <v>#N/A</v>
      </c>
      <c r="H465" s="6">
        <v>10.0</v>
      </c>
      <c r="I465" s="8">
        <v>18399.2</v>
      </c>
      <c r="J465" s="8">
        <v>20699.0</v>
      </c>
      <c r="K465" s="8">
        <v>22999.0</v>
      </c>
    </row>
    <row r="466">
      <c r="A466" s="6" t="s">
        <v>648</v>
      </c>
      <c r="B466" s="6" t="s">
        <v>646</v>
      </c>
      <c r="C466" s="6" t="s">
        <v>647</v>
      </c>
      <c r="D466" s="6" t="s">
        <v>647</v>
      </c>
      <c r="E466" s="6" t="s">
        <v>5122</v>
      </c>
      <c r="F466" s="6" t="s">
        <v>5248</v>
      </c>
      <c r="G466" s="6">
        <v>1.0</v>
      </c>
      <c r="H466" s="6">
        <v>0.0</v>
      </c>
      <c r="I466" s="8">
        <v>16111.24</v>
      </c>
      <c r="J466" s="8">
        <v>18399.0</v>
      </c>
      <c r="K466" s="8">
        <v>21199.0</v>
      </c>
    </row>
    <row r="467">
      <c r="A467" s="6" t="s">
        <v>990</v>
      </c>
      <c r="B467" s="6" t="s">
        <v>988</v>
      </c>
      <c r="C467" s="6" t="s">
        <v>989</v>
      </c>
      <c r="D467" s="6" t="s">
        <v>989</v>
      </c>
      <c r="E467" s="6" t="s">
        <v>5247</v>
      </c>
      <c r="F467" s="6" t="s">
        <v>5248</v>
      </c>
      <c r="G467" s="6" t="e">
        <v>#N/A</v>
      </c>
      <c r="H467" s="6">
        <v>10.0</v>
      </c>
      <c r="I467" s="8">
        <v>18399.2</v>
      </c>
      <c r="J467" s="8">
        <v>20699.0</v>
      </c>
      <c r="K467" s="8">
        <v>22999.0</v>
      </c>
    </row>
    <row r="468">
      <c r="A468" s="6" t="s">
        <v>3058</v>
      </c>
      <c r="B468" s="6" t="s">
        <v>3056</v>
      </c>
      <c r="C468" s="6" t="s">
        <v>3057</v>
      </c>
      <c r="D468" s="6" t="s">
        <v>3057</v>
      </c>
      <c r="E468" s="6" t="s">
        <v>5122</v>
      </c>
      <c r="F468" s="6" t="s">
        <v>5248</v>
      </c>
      <c r="G468" s="6">
        <v>3.0</v>
      </c>
      <c r="H468" s="6">
        <v>14.0</v>
      </c>
      <c r="I468" s="8">
        <v>4159.2</v>
      </c>
      <c r="J468" s="8">
        <v>4399.0</v>
      </c>
      <c r="K468" s="8">
        <v>5199.0</v>
      </c>
    </row>
    <row r="469">
      <c r="A469" s="6" t="s">
        <v>3052</v>
      </c>
      <c r="B469" s="6" t="s">
        <v>3050</v>
      </c>
      <c r="C469" s="6" t="s">
        <v>3051</v>
      </c>
      <c r="D469" s="6" t="s">
        <v>3051</v>
      </c>
      <c r="E469" s="6" t="s">
        <v>5247</v>
      </c>
      <c r="F469" s="6" t="s">
        <v>5248</v>
      </c>
      <c r="G469" s="6">
        <v>3.0</v>
      </c>
      <c r="H469" s="6">
        <v>3.0</v>
      </c>
      <c r="I469" s="8">
        <v>3059.15</v>
      </c>
      <c r="J469" s="8">
        <v>3299.0</v>
      </c>
      <c r="K469" s="8">
        <v>3599.0</v>
      </c>
    </row>
    <row r="470">
      <c r="A470" s="6" t="s">
        <v>3481</v>
      </c>
      <c r="B470" s="6" t="s">
        <v>3479</v>
      </c>
      <c r="C470" s="6" t="s">
        <v>3480</v>
      </c>
      <c r="D470" s="6" t="s">
        <v>3480</v>
      </c>
      <c r="E470" s="6" t="s">
        <v>5247</v>
      </c>
      <c r="F470" s="6" t="s">
        <v>5248</v>
      </c>
      <c r="G470" s="6">
        <v>12.0</v>
      </c>
      <c r="H470" s="6">
        <v>277.0</v>
      </c>
      <c r="I470" s="8">
        <v>2499.0</v>
      </c>
      <c r="J470" s="8">
        <v>2599.0</v>
      </c>
      <c r="K470" s="8">
        <v>2989.0</v>
      </c>
    </row>
    <row r="471">
      <c r="A471" s="6" t="s">
        <v>3595</v>
      </c>
      <c r="B471" s="6" t="s">
        <v>3593</v>
      </c>
      <c r="C471" s="6" t="s">
        <v>3594</v>
      </c>
      <c r="D471" s="6" t="s">
        <v>3594</v>
      </c>
      <c r="E471" s="6" t="s">
        <v>5247</v>
      </c>
      <c r="F471" s="6" t="s">
        <v>5248</v>
      </c>
      <c r="G471" s="6">
        <v>28.0</v>
      </c>
      <c r="H471" s="6">
        <v>41.0</v>
      </c>
      <c r="I471" s="8">
        <v>1945.65</v>
      </c>
      <c r="J471" s="8">
        <v>1999.0</v>
      </c>
      <c r="K471" s="8">
        <v>2289.0</v>
      </c>
    </row>
    <row r="472">
      <c r="A472" s="6" t="s">
        <v>3577</v>
      </c>
      <c r="B472" s="6" t="s">
        <v>3575</v>
      </c>
      <c r="C472" s="6" t="s">
        <v>3576</v>
      </c>
      <c r="D472" s="6" t="s">
        <v>3576</v>
      </c>
      <c r="E472" s="6" t="s">
        <v>5122</v>
      </c>
      <c r="F472" s="6" t="s">
        <v>5248</v>
      </c>
      <c r="G472" s="6">
        <v>6.0</v>
      </c>
      <c r="H472" s="6">
        <v>0.0</v>
      </c>
      <c r="I472" s="8">
        <v>1945.65</v>
      </c>
      <c r="J472" s="8">
        <v>1999.0</v>
      </c>
      <c r="K472" s="8">
        <v>2289.0</v>
      </c>
    </row>
    <row r="473">
      <c r="A473" s="6" t="s">
        <v>3571</v>
      </c>
      <c r="B473" s="6" t="s">
        <v>3569</v>
      </c>
      <c r="C473" s="6" t="s">
        <v>3570</v>
      </c>
      <c r="D473" s="6" t="s">
        <v>3570</v>
      </c>
      <c r="E473" s="6" t="s">
        <v>5122</v>
      </c>
      <c r="F473" s="6" t="s">
        <v>5248</v>
      </c>
      <c r="G473" s="6">
        <v>25.0</v>
      </c>
      <c r="H473" s="6">
        <v>0.0</v>
      </c>
      <c r="I473" s="8">
        <v>1435.65</v>
      </c>
      <c r="J473" s="8">
        <v>1499.0</v>
      </c>
      <c r="K473" s="8">
        <v>1689.0</v>
      </c>
    </row>
    <row r="474">
      <c r="A474" s="6" t="s">
        <v>3589</v>
      </c>
      <c r="B474" s="6" t="s">
        <v>3587</v>
      </c>
      <c r="C474" s="6" t="s">
        <v>3588</v>
      </c>
      <c r="D474" s="6" t="s">
        <v>3588</v>
      </c>
      <c r="E474" s="6" t="s">
        <v>5122</v>
      </c>
      <c r="F474" s="6" t="s">
        <v>5248</v>
      </c>
      <c r="G474" s="6">
        <v>14.0</v>
      </c>
      <c r="H474" s="6">
        <v>0.0</v>
      </c>
      <c r="I474" s="8">
        <v>1945.65</v>
      </c>
      <c r="J474" s="8">
        <v>1999.0</v>
      </c>
      <c r="K474" s="8">
        <v>2289.0</v>
      </c>
    </row>
    <row r="475">
      <c r="A475" s="6" t="s">
        <v>3553</v>
      </c>
      <c r="B475" s="6" t="s">
        <v>3551</v>
      </c>
      <c r="C475" s="6" t="s">
        <v>3552</v>
      </c>
      <c r="D475" s="6" t="s">
        <v>3552</v>
      </c>
      <c r="E475" s="6" t="s">
        <v>5122</v>
      </c>
      <c r="F475" s="6" t="s">
        <v>5248</v>
      </c>
      <c r="G475" s="6">
        <v>7.0</v>
      </c>
      <c r="H475" s="6">
        <v>0.0</v>
      </c>
      <c r="I475" s="8">
        <v>1435.65</v>
      </c>
      <c r="J475" s="8">
        <v>1499.0</v>
      </c>
      <c r="K475" s="8">
        <v>1689.0</v>
      </c>
    </row>
    <row r="476">
      <c r="A476" s="6" t="s">
        <v>3559</v>
      </c>
      <c r="B476" s="6" t="s">
        <v>3557</v>
      </c>
      <c r="C476" s="6" t="s">
        <v>3558</v>
      </c>
      <c r="D476" s="6" t="s">
        <v>3558</v>
      </c>
      <c r="E476" s="6" t="s">
        <v>5122</v>
      </c>
      <c r="F476" s="6" t="s">
        <v>5248</v>
      </c>
      <c r="G476" s="6">
        <v>24.0</v>
      </c>
      <c r="H476" s="6">
        <v>0.0</v>
      </c>
      <c r="I476" s="8">
        <v>1435.65</v>
      </c>
      <c r="J476" s="8">
        <v>1499.0</v>
      </c>
      <c r="K476" s="8">
        <v>1689.0</v>
      </c>
    </row>
    <row r="477">
      <c r="A477" s="6" t="s">
        <v>3565</v>
      </c>
      <c r="B477" s="6" t="s">
        <v>3563</v>
      </c>
      <c r="C477" s="6" t="s">
        <v>3564</v>
      </c>
      <c r="D477" s="6" t="s">
        <v>3564</v>
      </c>
      <c r="E477" s="6" t="s">
        <v>5122</v>
      </c>
      <c r="F477" s="6" t="s">
        <v>5248</v>
      </c>
      <c r="G477" s="6">
        <v>6.0</v>
      </c>
      <c r="H477" s="6">
        <v>0.0</v>
      </c>
      <c r="I477" s="8">
        <v>1435.65</v>
      </c>
      <c r="J477" s="8">
        <v>1499.0</v>
      </c>
      <c r="K477" s="8">
        <v>1689.0</v>
      </c>
    </row>
    <row r="478">
      <c r="A478" s="6" t="s">
        <v>3583</v>
      </c>
      <c r="B478" s="6" t="s">
        <v>3581</v>
      </c>
      <c r="C478" s="6" t="s">
        <v>3582</v>
      </c>
      <c r="D478" s="6" t="s">
        <v>3582</v>
      </c>
      <c r="E478" s="6" t="s">
        <v>5247</v>
      </c>
      <c r="F478" s="6" t="s">
        <v>5248</v>
      </c>
      <c r="G478" s="6">
        <v>35.0</v>
      </c>
      <c r="H478" s="6">
        <v>17.0</v>
      </c>
      <c r="I478" s="8">
        <v>1945.65</v>
      </c>
      <c r="J478" s="8">
        <v>1999.0</v>
      </c>
      <c r="K478" s="8">
        <v>2289.0</v>
      </c>
    </row>
    <row r="479">
      <c r="A479" s="6" t="s">
        <v>3773</v>
      </c>
      <c r="B479" s="6" t="s">
        <v>3771</v>
      </c>
      <c r="C479" s="6" t="s">
        <v>3772</v>
      </c>
      <c r="D479" s="6" t="s">
        <v>3772</v>
      </c>
      <c r="E479" s="6" t="s">
        <v>5247</v>
      </c>
      <c r="F479" s="6" t="s">
        <v>5248</v>
      </c>
      <c r="G479" s="6" t="e">
        <v>#N/A</v>
      </c>
      <c r="H479" s="6">
        <v>19.0</v>
      </c>
      <c r="I479" s="8">
        <v>22312.0</v>
      </c>
      <c r="J479" s="8">
        <v>22312.0</v>
      </c>
      <c r="K479" s="8">
        <v>26249.0</v>
      </c>
    </row>
    <row r="480">
      <c r="A480" s="6" t="s">
        <v>3779</v>
      </c>
      <c r="B480" s="6" t="s">
        <v>3777</v>
      </c>
      <c r="C480" s="6" t="s">
        <v>3778</v>
      </c>
      <c r="D480" s="6" t="s">
        <v>3778</v>
      </c>
      <c r="E480" s="6" t="s">
        <v>5122</v>
      </c>
      <c r="F480" s="6" t="s">
        <v>5248</v>
      </c>
      <c r="G480" s="6" t="e">
        <v>#N/A</v>
      </c>
      <c r="H480" s="6">
        <v>1.0</v>
      </c>
      <c r="I480" s="8">
        <v>22312.0</v>
      </c>
      <c r="J480" s="8">
        <v>22312.0</v>
      </c>
      <c r="K480" s="8">
        <v>26249.0</v>
      </c>
    </row>
    <row r="481">
      <c r="A481" s="6" t="s">
        <v>3767</v>
      </c>
      <c r="B481" s="6" t="s">
        <v>3765</v>
      </c>
      <c r="C481" s="6" t="s">
        <v>3766</v>
      </c>
      <c r="D481" s="6" t="s">
        <v>3766</v>
      </c>
      <c r="E481" s="6" t="s">
        <v>5247</v>
      </c>
      <c r="F481" s="6" t="s">
        <v>5248</v>
      </c>
      <c r="G481" s="6" t="e">
        <v>#N/A</v>
      </c>
      <c r="H481" s="6">
        <v>5.0</v>
      </c>
      <c r="I481" s="8">
        <v>37399.0</v>
      </c>
      <c r="J481" s="8">
        <v>37399.0</v>
      </c>
      <c r="K481" s="8">
        <v>43999.0</v>
      </c>
    </row>
    <row r="482">
      <c r="A482" s="6" t="s">
        <v>3826</v>
      </c>
      <c r="B482" s="6" t="s">
        <v>3824</v>
      </c>
      <c r="C482" s="6" t="s">
        <v>3825</v>
      </c>
      <c r="D482" s="6" t="s">
        <v>3825</v>
      </c>
      <c r="E482" s="6" t="s">
        <v>5247</v>
      </c>
      <c r="F482" s="6" t="s">
        <v>5248</v>
      </c>
      <c r="G482" s="6">
        <v>497.0</v>
      </c>
      <c r="H482" s="6">
        <v>157.0</v>
      </c>
      <c r="I482" s="8">
        <v>4799.2</v>
      </c>
      <c r="J482" s="8">
        <v>5199.0</v>
      </c>
      <c r="K482" s="8">
        <v>5999.0</v>
      </c>
    </row>
    <row r="483">
      <c r="A483" s="6" t="s">
        <v>3832</v>
      </c>
      <c r="B483" s="6" t="s">
        <v>3830</v>
      </c>
      <c r="C483" s="6" t="s">
        <v>3831</v>
      </c>
      <c r="D483" s="6" t="s">
        <v>3831</v>
      </c>
      <c r="E483" s="6" t="s">
        <v>5247</v>
      </c>
      <c r="F483" s="6" t="s">
        <v>5248</v>
      </c>
      <c r="G483" s="6">
        <v>316.0</v>
      </c>
      <c r="H483" s="6">
        <v>183.0</v>
      </c>
      <c r="I483" s="8">
        <v>5999.2</v>
      </c>
      <c r="J483" s="8">
        <v>6399.0</v>
      </c>
      <c r="K483" s="8">
        <v>7499.0</v>
      </c>
    </row>
    <row r="484">
      <c r="A484" s="6" t="s">
        <v>3811</v>
      </c>
      <c r="B484" s="6" t="s">
        <v>3809</v>
      </c>
      <c r="C484" s="6" t="s">
        <v>3810</v>
      </c>
      <c r="D484" s="6" t="s">
        <v>3810</v>
      </c>
      <c r="E484" s="6" t="s">
        <v>5247</v>
      </c>
      <c r="F484" s="6" t="s">
        <v>5248</v>
      </c>
      <c r="G484" s="6">
        <v>52.0</v>
      </c>
      <c r="H484" s="6">
        <v>34.0</v>
      </c>
      <c r="I484" s="8">
        <v>7349.3</v>
      </c>
      <c r="J484" s="8">
        <v>8899.0</v>
      </c>
      <c r="K484" s="8">
        <v>10499.0</v>
      </c>
    </row>
    <row r="485">
      <c r="A485" s="6" t="s">
        <v>3816</v>
      </c>
      <c r="B485" s="6" t="s">
        <v>3814</v>
      </c>
      <c r="C485" s="6" t="s">
        <v>3815</v>
      </c>
      <c r="D485" s="6" t="s">
        <v>3815</v>
      </c>
      <c r="E485" s="6" t="s">
        <v>5122</v>
      </c>
      <c r="F485" s="6" t="s">
        <v>5248</v>
      </c>
      <c r="G485" s="6">
        <v>29.0</v>
      </c>
      <c r="H485" s="6">
        <v>0.0</v>
      </c>
      <c r="I485" s="8">
        <v>6649.3</v>
      </c>
      <c r="J485" s="8">
        <v>7999.0</v>
      </c>
      <c r="K485" s="8">
        <v>9499.0</v>
      </c>
    </row>
    <row r="486">
      <c r="A486" s="6" t="s">
        <v>3821</v>
      </c>
      <c r="B486" s="6" t="s">
        <v>3819</v>
      </c>
      <c r="C486" s="6" t="s">
        <v>3820</v>
      </c>
      <c r="D486" s="6" t="s">
        <v>3820</v>
      </c>
      <c r="E486" s="6" t="s">
        <v>5247</v>
      </c>
      <c r="F486" s="6" t="s">
        <v>5248</v>
      </c>
      <c r="G486" s="6">
        <v>76.0</v>
      </c>
      <c r="H486" s="6">
        <v>29.0</v>
      </c>
      <c r="I486" s="8">
        <v>7699.3</v>
      </c>
      <c r="J486" s="8">
        <v>9299.0</v>
      </c>
      <c r="K486" s="8">
        <v>10999.0</v>
      </c>
    </row>
    <row r="487">
      <c r="A487" s="6" t="s">
        <v>3790</v>
      </c>
      <c r="B487" s="6" t="s">
        <v>3788</v>
      </c>
      <c r="C487" s="6" t="s">
        <v>3789</v>
      </c>
      <c r="D487" s="6" t="s">
        <v>3789</v>
      </c>
      <c r="E487" s="6" t="s">
        <v>5247</v>
      </c>
      <c r="F487" s="6" t="s">
        <v>5248</v>
      </c>
      <c r="G487" s="6">
        <v>21.0</v>
      </c>
      <c r="H487" s="6">
        <v>16.0</v>
      </c>
      <c r="I487" s="8">
        <v>4199.3</v>
      </c>
      <c r="J487" s="8">
        <v>4999.0</v>
      </c>
      <c r="K487" s="8">
        <v>5999.0</v>
      </c>
    </row>
    <row r="488">
      <c r="A488" s="6" t="s">
        <v>3806</v>
      </c>
      <c r="B488" s="6" t="s">
        <v>3804</v>
      </c>
      <c r="C488" s="6" t="s">
        <v>3805</v>
      </c>
      <c r="D488" s="6" t="s">
        <v>3805</v>
      </c>
      <c r="E488" s="6" t="s">
        <v>5247</v>
      </c>
      <c r="F488" s="6" t="s">
        <v>5248</v>
      </c>
      <c r="G488" s="6">
        <v>66.0</v>
      </c>
      <c r="H488" s="6">
        <v>78.0</v>
      </c>
      <c r="I488" s="8">
        <v>6369.3</v>
      </c>
      <c r="J488" s="8">
        <v>7699.0</v>
      </c>
      <c r="K488" s="8">
        <v>9099.0</v>
      </c>
    </row>
    <row r="489">
      <c r="A489" s="6" t="s">
        <v>3785</v>
      </c>
      <c r="B489" s="6" t="s">
        <v>3783</v>
      </c>
      <c r="C489" s="6" t="s">
        <v>3784</v>
      </c>
      <c r="D489" s="6" t="s">
        <v>3784</v>
      </c>
      <c r="E489" s="6" t="s">
        <v>5247</v>
      </c>
      <c r="F489" s="6" t="s">
        <v>5248</v>
      </c>
      <c r="G489" s="6">
        <v>21.0</v>
      </c>
      <c r="H489" s="6">
        <v>2.0</v>
      </c>
      <c r="I489" s="8">
        <v>3709.3</v>
      </c>
      <c r="J489" s="8">
        <v>4499.0</v>
      </c>
      <c r="K489" s="8">
        <v>5299.0</v>
      </c>
    </row>
    <row r="490">
      <c r="A490" s="6" t="s">
        <v>3800</v>
      </c>
      <c r="B490" s="6" t="s">
        <v>3798</v>
      </c>
      <c r="C490" s="6" t="s">
        <v>3799</v>
      </c>
      <c r="D490" s="6" t="s">
        <v>3799</v>
      </c>
      <c r="E490" s="6" t="s">
        <v>5247</v>
      </c>
      <c r="F490" s="6" t="s">
        <v>5248</v>
      </c>
      <c r="G490" s="6">
        <v>69.0</v>
      </c>
      <c r="H490" s="6">
        <v>2.0</v>
      </c>
      <c r="I490" s="8">
        <v>5949.3</v>
      </c>
      <c r="J490" s="8">
        <v>7199.0</v>
      </c>
      <c r="K490" s="8">
        <v>8499.0</v>
      </c>
    </row>
    <row r="491">
      <c r="A491" s="6" t="s">
        <v>4786</v>
      </c>
      <c r="B491" s="6" t="s">
        <v>4784</v>
      </c>
      <c r="C491" s="6" t="s">
        <v>4785</v>
      </c>
      <c r="D491" s="6" t="s">
        <v>4785</v>
      </c>
      <c r="E491" s="6" t="s">
        <v>5247</v>
      </c>
      <c r="F491" s="6" t="s">
        <v>5248</v>
      </c>
      <c r="G491" s="6">
        <v>21.0</v>
      </c>
      <c r="H491" s="6">
        <v>24.0</v>
      </c>
      <c r="I491" s="8">
        <v>6299.3</v>
      </c>
      <c r="J491" s="8">
        <v>7599.0</v>
      </c>
      <c r="K491" s="8">
        <v>8999.0</v>
      </c>
    </row>
    <row r="492">
      <c r="A492" s="6" t="s">
        <v>3795</v>
      </c>
      <c r="B492" s="6" t="s">
        <v>3793</v>
      </c>
      <c r="C492" s="6" t="s">
        <v>3794</v>
      </c>
      <c r="D492" s="6" t="s">
        <v>3794</v>
      </c>
      <c r="E492" s="6" t="s">
        <v>5247</v>
      </c>
      <c r="F492" s="6" t="s">
        <v>5248</v>
      </c>
      <c r="G492" s="6">
        <v>50.0</v>
      </c>
      <c r="H492" s="6">
        <v>58.0</v>
      </c>
      <c r="I492" s="8">
        <v>4899.3</v>
      </c>
      <c r="J492" s="8">
        <v>5999.0</v>
      </c>
      <c r="K492" s="8">
        <v>6999.0</v>
      </c>
    </row>
    <row r="493">
      <c r="A493" s="6" t="s">
        <v>3843</v>
      </c>
      <c r="B493" s="6" t="s">
        <v>3841</v>
      </c>
      <c r="C493" s="6" t="s">
        <v>3842</v>
      </c>
      <c r="D493" s="6" t="s">
        <v>3842</v>
      </c>
      <c r="E493" s="6" t="s">
        <v>5122</v>
      </c>
      <c r="F493" s="6" t="s">
        <v>5248</v>
      </c>
      <c r="G493" s="6">
        <v>8.0</v>
      </c>
      <c r="H493" s="6">
        <v>87.0</v>
      </c>
      <c r="I493" s="8">
        <v>1899.0</v>
      </c>
      <c r="J493" s="8">
        <v>1999.0</v>
      </c>
      <c r="K493" s="8">
        <v>2499.0</v>
      </c>
    </row>
    <row r="494">
      <c r="A494" s="6" t="s">
        <v>3853</v>
      </c>
      <c r="B494" s="6" t="s">
        <v>3851</v>
      </c>
      <c r="C494" s="6" t="s">
        <v>3852</v>
      </c>
      <c r="D494" s="6" t="s">
        <v>3852</v>
      </c>
      <c r="E494" s="6" t="s">
        <v>5247</v>
      </c>
      <c r="F494" s="6" t="s">
        <v>5248</v>
      </c>
      <c r="G494" s="6">
        <v>3.0</v>
      </c>
      <c r="H494" s="6">
        <v>337.0</v>
      </c>
      <c r="I494" s="8">
        <v>936.75</v>
      </c>
      <c r="J494" s="8">
        <v>999.0</v>
      </c>
      <c r="K494" s="8">
        <v>1249.0</v>
      </c>
    </row>
    <row r="495">
      <c r="A495" s="6" t="s">
        <v>3863</v>
      </c>
      <c r="B495" s="6" t="s">
        <v>3861</v>
      </c>
      <c r="C495" s="6" t="s">
        <v>3862</v>
      </c>
      <c r="D495" s="6" t="s">
        <v>3862</v>
      </c>
      <c r="E495" s="6" t="s">
        <v>5247</v>
      </c>
      <c r="F495" s="6" t="s">
        <v>5248</v>
      </c>
      <c r="G495" s="6">
        <v>3.0</v>
      </c>
      <c r="H495" s="6">
        <v>648.0</v>
      </c>
      <c r="I495" s="8">
        <v>1401.75</v>
      </c>
      <c r="J495" s="8">
        <v>1499.0</v>
      </c>
      <c r="K495" s="8">
        <v>1869.0</v>
      </c>
    </row>
    <row r="496">
      <c r="A496" s="6" t="s">
        <v>3893</v>
      </c>
      <c r="B496" s="6" t="s">
        <v>3891</v>
      </c>
      <c r="C496" s="6" t="s">
        <v>3892</v>
      </c>
      <c r="D496" s="6" t="s">
        <v>3892</v>
      </c>
      <c r="E496" s="6" t="s">
        <v>5247</v>
      </c>
      <c r="F496" s="6" t="s">
        <v>5248</v>
      </c>
      <c r="G496" s="6">
        <v>4.0</v>
      </c>
      <c r="H496" s="6">
        <v>529.0</v>
      </c>
      <c r="I496" s="8">
        <v>1499.25</v>
      </c>
      <c r="J496" s="8">
        <v>1599.0</v>
      </c>
      <c r="K496" s="8">
        <v>1999.0</v>
      </c>
    </row>
    <row r="497">
      <c r="A497" s="6" t="s">
        <v>3873</v>
      </c>
      <c r="B497" s="6" t="s">
        <v>3871</v>
      </c>
      <c r="C497" s="6" t="s">
        <v>3872</v>
      </c>
      <c r="D497" s="6" t="s">
        <v>3872</v>
      </c>
      <c r="E497" s="6" t="s">
        <v>5247</v>
      </c>
      <c r="F497" s="6" t="s">
        <v>5248</v>
      </c>
      <c r="G497" s="6">
        <v>2.0</v>
      </c>
      <c r="H497" s="6">
        <v>224.0</v>
      </c>
      <c r="I497" s="8">
        <v>1401.75</v>
      </c>
      <c r="J497" s="8">
        <v>1499.0</v>
      </c>
      <c r="K497" s="8">
        <v>1869.0</v>
      </c>
    </row>
    <row r="498">
      <c r="A498" s="6" t="s">
        <v>3903</v>
      </c>
      <c r="B498" s="6" t="s">
        <v>3901</v>
      </c>
      <c r="C498" s="6" t="s">
        <v>3902</v>
      </c>
      <c r="D498" s="6" t="s">
        <v>3902</v>
      </c>
      <c r="E498" s="6" t="s">
        <v>5122</v>
      </c>
      <c r="F498" s="6" t="s">
        <v>5248</v>
      </c>
      <c r="G498" s="6">
        <v>1.0</v>
      </c>
      <c r="H498" s="6">
        <v>6.0</v>
      </c>
      <c r="I498" s="8">
        <v>1499.25</v>
      </c>
      <c r="J498" s="8">
        <v>1599.0</v>
      </c>
      <c r="K498" s="8">
        <v>1999.0</v>
      </c>
    </row>
    <row r="499">
      <c r="A499" s="6" t="s">
        <v>3883</v>
      </c>
      <c r="B499" s="6" t="s">
        <v>3881</v>
      </c>
      <c r="C499" s="6" t="s">
        <v>3882</v>
      </c>
      <c r="D499" s="6" t="s">
        <v>3882</v>
      </c>
      <c r="E499" s="6" t="s">
        <v>5247</v>
      </c>
      <c r="F499" s="6" t="s">
        <v>5248</v>
      </c>
      <c r="G499" s="6">
        <v>1.0</v>
      </c>
      <c r="H499" s="6">
        <v>126.0</v>
      </c>
      <c r="I499" s="8">
        <v>1874.25</v>
      </c>
      <c r="J499" s="8">
        <v>1999.0</v>
      </c>
      <c r="K499" s="8">
        <v>2499.0</v>
      </c>
    </row>
    <row r="500">
      <c r="A500" s="6" t="s">
        <v>858</v>
      </c>
      <c r="B500" s="6" t="s">
        <v>856</v>
      </c>
      <c r="C500" s="6" t="s">
        <v>857</v>
      </c>
      <c r="D500" s="6" t="s">
        <v>857</v>
      </c>
      <c r="E500" s="6" t="s">
        <v>5122</v>
      </c>
      <c r="F500" s="6" t="s">
        <v>5248</v>
      </c>
      <c r="G500" s="6" t="e">
        <v>#N/A</v>
      </c>
      <c r="H500" s="6">
        <v>0.0</v>
      </c>
      <c r="I500" s="8">
        <v>12399.2</v>
      </c>
      <c r="J500" s="8">
        <v>13899.0</v>
      </c>
      <c r="K500" s="8">
        <v>15499.0</v>
      </c>
    </row>
    <row r="501">
      <c r="A501" s="6" t="s">
        <v>376</v>
      </c>
      <c r="B501" s="6" t="s">
        <v>374</v>
      </c>
      <c r="C501" s="6" t="s">
        <v>375</v>
      </c>
      <c r="D501" s="6" t="s">
        <v>375</v>
      </c>
      <c r="E501" s="6" t="s">
        <v>5122</v>
      </c>
      <c r="F501" s="6" t="s">
        <v>5248</v>
      </c>
      <c r="G501" s="6" t="e">
        <v>#N/A</v>
      </c>
      <c r="H501" s="6">
        <v>0.0</v>
      </c>
      <c r="I501" s="8">
        <v>12919.24</v>
      </c>
      <c r="J501" s="8">
        <v>14799.0</v>
      </c>
      <c r="K501" s="8">
        <v>16999.0</v>
      </c>
    </row>
    <row r="502">
      <c r="A502" s="6" t="s">
        <v>5266</v>
      </c>
      <c r="B502" s="6" t="s">
        <v>5004</v>
      </c>
      <c r="C502" s="6" t="s">
        <v>5005</v>
      </c>
      <c r="D502" s="6" t="s">
        <v>5005</v>
      </c>
      <c r="E502" s="6" t="s">
        <v>5122</v>
      </c>
      <c r="F502" s="6" t="s">
        <v>5248</v>
      </c>
      <c r="G502" s="6" t="e">
        <v>#N/A</v>
      </c>
      <c r="H502" s="6">
        <v>0.0</v>
      </c>
      <c r="I502" s="8">
        <v>16708.23</v>
      </c>
      <c r="J502" s="8">
        <v>20599.0</v>
      </c>
      <c r="K502" s="8">
        <v>21699.0</v>
      </c>
    </row>
    <row r="503">
      <c r="A503" s="6" t="s">
        <v>229</v>
      </c>
      <c r="B503" s="6" t="s">
        <v>227</v>
      </c>
      <c r="C503" s="6" t="s">
        <v>228</v>
      </c>
      <c r="D503" s="6" t="s">
        <v>228</v>
      </c>
      <c r="E503" s="6" t="s">
        <v>5122</v>
      </c>
      <c r="F503" s="6" t="s">
        <v>5248</v>
      </c>
      <c r="G503" s="6" t="e">
        <v>#N/A</v>
      </c>
      <c r="H503" s="6">
        <v>0.0</v>
      </c>
      <c r="I503" s="8">
        <v>12919.24</v>
      </c>
      <c r="J503" s="8">
        <v>14799.0</v>
      </c>
      <c r="K503" s="8">
        <v>16999.0</v>
      </c>
    </row>
    <row r="504">
      <c r="A504" s="6" t="s">
        <v>463</v>
      </c>
      <c r="B504" s="6" t="s">
        <v>461</v>
      </c>
      <c r="C504" s="6" t="s">
        <v>462</v>
      </c>
      <c r="D504" s="6" t="s">
        <v>462</v>
      </c>
      <c r="E504" s="6" t="s">
        <v>5122</v>
      </c>
      <c r="F504" s="6" t="s">
        <v>5248</v>
      </c>
      <c r="G504" s="6" t="e">
        <v>#N/A</v>
      </c>
      <c r="H504" s="6">
        <v>0.0</v>
      </c>
      <c r="I504" s="8">
        <v>18999.24</v>
      </c>
      <c r="J504" s="8">
        <v>21699.0</v>
      </c>
      <c r="K504" s="8">
        <v>24999.0</v>
      </c>
    </row>
    <row r="505">
      <c r="A505" s="6" t="s">
        <v>1712</v>
      </c>
      <c r="B505" s="6" t="s">
        <v>1710</v>
      </c>
      <c r="C505" s="6" t="s">
        <v>1711</v>
      </c>
      <c r="D505" s="6" t="s">
        <v>1711</v>
      </c>
      <c r="E505" s="6" t="s">
        <v>5122</v>
      </c>
      <c r="F505" s="6" t="s">
        <v>5248</v>
      </c>
      <c r="G505" s="6" t="e">
        <v>#N/A</v>
      </c>
      <c r="H505" s="6">
        <v>0.0</v>
      </c>
      <c r="I505" s="8">
        <v>19739.16</v>
      </c>
      <c r="J505" s="8">
        <v>22299.0</v>
      </c>
      <c r="K505" s="8">
        <v>23499.0</v>
      </c>
    </row>
    <row r="506">
      <c r="A506" s="6" t="s">
        <v>5267</v>
      </c>
      <c r="B506" s="6" t="s">
        <v>5015</v>
      </c>
      <c r="C506" s="6" t="s">
        <v>5016</v>
      </c>
      <c r="D506" s="6" t="s">
        <v>5016</v>
      </c>
      <c r="E506" s="6" t="s">
        <v>5122</v>
      </c>
      <c r="F506" s="6" t="s">
        <v>5248</v>
      </c>
      <c r="G506" s="6" t="e">
        <v>#N/A</v>
      </c>
      <c r="H506" s="6">
        <v>0.0</v>
      </c>
      <c r="I506" s="8">
        <v>20712.23</v>
      </c>
      <c r="J506" s="8">
        <v>25599.0</v>
      </c>
      <c r="K506" s="8">
        <v>26899.0</v>
      </c>
    </row>
    <row r="507">
      <c r="A507" s="6" t="s">
        <v>1805</v>
      </c>
      <c r="B507" s="6" t="s">
        <v>1803</v>
      </c>
      <c r="C507" s="6" t="s">
        <v>1804</v>
      </c>
      <c r="D507" s="6" t="s">
        <v>1804</v>
      </c>
      <c r="E507" s="6" t="s">
        <v>5122</v>
      </c>
      <c r="F507" s="6" t="s">
        <v>5248</v>
      </c>
      <c r="G507" s="6" t="e">
        <v>#N/A</v>
      </c>
      <c r="H507" s="6">
        <v>0.0</v>
      </c>
      <c r="I507" s="8">
        <v>30239.16</v>
      </c>
      <c r="J507" s="8">
        <v>34199.0</v>
      </c>
      <c r="K507" s="8">
        <v>35999.0</v>
      </c>
    </row>
    <row r="508">
      <c r="A508" s="6" t="s">
        <v>4791</v>
      </c>
      <c r="B508" s="6" t="s">
        <v>4789</v>
      </c>
      <c r="C508" s="6" t="s">
        <v>4790</v>
      </c>
      <c r="D508" s="6" t="s">
        <v>4790</v>
      </c>
      <c r="E508" s="6" t="s">
        <v>5247</v>
      </c>
      <c r="F508" s="6" t="s">
        <v>5248</v>
      </c>
      <c r="G508" s="6" t="e">
        <v>#N/A</v>
      </c>
      <c r="H508" s="6">
        <v>0.0</v>
      </c>
      <c r="I508" s="8">
        <v>13782.23</v>
      </c>
      <c r="J508" s="8">
        <v>16999.0</v>
      </c>
      <c r="K508" s="8">
        <v>17899.0</v>
      </c>
    </row>
    <row r="509">
      <c r="A509" s="6" t="s">
        <v>281</v>
      </c>
      <c r="B509" s="6" t="s">
        <v>279</v>
      </c>
      <c r="C509" s="6" t="s">
        <v>280</v>
      </c>
      <c r="D509" s="6" t="s">
        <v>280</v>
      </c>
      <c r="E509" s="6" t="s">
        <v>5247</v>
      </c>
      <c r="F509" s="6" t="s">
        <v>5248</v>
      </c>
      <c r="G509" s="6" t="e">
        <v>#N/A</v>
      </c>
      <c r="H509" s="6">
        <v>4.0</v>
      </c>
      <c r="I509" s="8">
        <v>15959.24</v>
      </c>
      <c r="J509" s="8">
        <v>18299.0</v>
      </c>
      <c r="K509" s="8">
        <v>20999.0</v>
      </c>
    </row>
    <row r="510">
      <c r="A510" s="6" t="s">
        <v>1763</v>
      </c>
      <c r="B510" s="6" t="s">
        <v>1761</v>
      </c>
      <c r="C510" s="6" t="s">
        <v>1762</v>
      </c>
      <c r="D510" s="6" t="s">
        <v>1762</v>
      </c>
      <c r="E510" s="6" t="s">
        <v>5122</v>
      </c>
      <c r="F510" s="6" t="s">
        <v>5248</v>
      </c>
      <c r="G510" s="6" t="e">
        <v>#N/A</v>
      </c>
      <c r="H510" s="6">
        <v>0.0</v>
      </c>
      <c r="I510" s="8">
        <v>24359.16</v>
      </c>
      <c r="J510" s="8">
        <v>27499.0</v>
      </c>
      <c r="K510" s="8">
        <v>28999.0</v>
      </c>
    </row>
    <row r="511">
      <c r="A511" s="6" t="s">
        <v>5268</v>
      </c>
      <c r="B511" s="6" t="s">
        <v>5019</v>
      </c>
      <c r="C511" s="6" t="s">
        <v>5020</v>
      </c>
      <c r="D511" s="6" t="s">
        <v>5020</v>
      </c>
      <c r="E511" s="6" t="s">
        <v>5247</v>
      </c>
      <c r="F511" s="6" t="s">
        <v>5248</v>
      </c>
      <c r="G511" s="6" t="e">
        <v>#N/A</v>
      </c>
      <c r="H511" s="6">
        <v>1.0</v>
      </c>
      <c r="I511" s="8">
        <v>20712.23</v>
      </c>
      <c r="J511" s="8">
        <v>25599.0</v>
      </c>
      <c r="K511" s="8">
        <v>26899.0</v>
      </c>
    </row>
    <row r="512">
      <c r="A512" s="6" t="s">
        <v>1779</v>
      </c>
      <c r="B512" s="6" t="s">
        <v>1777</v>
      </c>
      <c r="C512" s="6" t="s">
        <v>1778</v>
      </c>
      <c r="D512" s="6" t="s">
        <v>1778</v>
      </c>
      <c r="E512" s="6" t="s">
        <v>5122</v>
      </c>
      <c r="F512" s="6" t="s">
        <v>5248</v>
      </c>
      <c r="G512" s="6" t="e">
        <v>#N/A</v>
      </c>
      <c r="H512" s="6">
        <v>0.0</v>
      </c>
      <c r="I512" s="8">
        <v>25199.16</v>
      </c>
      <c r="J512" s="8">
        <v>28499.0</v>
      </c>
      <c r="K512" s="8">
        <v>29999.0</v>
      </c>
    </row>
    <row r="513">
      <c r="A513" s="6" t="s">
        <v>884</v>
      </c>
      <c r="B513" s="6" t="s">
        <v>882</v>
      </c>
      <c r="C513" s="6" t="s">
        <v>883</v>
      </c>
      <c r="D513" s="6" t="s">
        <v>883</v>
      </c>
      <c r="E513" s="6" t="s">
        <v>5122</v>
      </c>
      <c r="F513" s="6" t="s">
        <v>5248</v>
      </c>
      <c r="G513" s="6" t="e">
        <v>#N/A</v>
      </c>
      <c r="H513" s="6">
        <v>0.0</v>
      </c>
      <c r="I513" s="8">
        <v>15199.2</v>
      </c>
      <c r="J513" s="8">
        <v>17099.0</v>
      </c>
      <c r="K513" s="8">
        <v>18999.0</v>
      </c>
    </row>
    <row r="514">
      <c r="A514" s="6" t="s">
        <v>3156</v>
      </c>
      <c r="B514" s="6" t="s">
        <v>3154</v>
      </c>
      <c r="C514" s="6" t="s">
        <v>3155</v>
      </c>
      <c r="D514" s="6" t="s">
        <v>3155</v>
      </c>
      <c r="E514" s="6" t="s">
        <v>5247</v>
      </c>
      <c r="F514" s="6" t="s">
        <v>5248</v>
      </c>
      <c r="G514" s="6">
        <v>14.0</v>
      </c>
      <c r="H514" s="6">
        <v>92.0</v>
      </c>
      <c r="I514" s="8">
        <v>2285.65</v>
      </c>
      <c r="J514" s="8">
        <v>2299.0</v>
      </c>
      <c r="K514" s="8">
        <v>2689.0</v>
      </c>
    </row>
    <row r="515">
      <c r="A515" s="6" t="s">
        <v>3113</v>
      </c>
      <c r="B515" s="6" t="s">
        <v>3111</v>
      </c>
      <c r="C515" s="6" t="s">
        <v>3112</v>
      </c>
      <c r="D515" s="6" t="s">
        <v>3112</v>
      </c>
      <c r="E515" s="6" t="s">
        <v>5247</v>
      </c>
      <c r="F515" s="6" t="s">
        <v>5248</v>
      </c>
      <c r="G515" s="6">
        <v>6.0</v>
      </c>
      <c r="H515" s="6">
        <v>26.0</v>
      </c>
      <c r="I515" s="8">
        <v>1690.65</v>
      </c>
      <c r="J515" s="8">
        <v>1989.0</v>
      </c>
      <c r="K515" s="8">
        <v>1989.0</v>
      </c>
    </row>
    <row r="516">
      <c r="A516" s="6" t="s">
        <v>3108</v>
      </c>
      <c r="B516" s="6" t="s">
        <v>3106</v>
      </c>
      <c r="C516" s="6" t="s">
        <v>3107</v>
      </c>
      <c r="D516" s="6" t="s">
        <v>3107</v>
      </c>
      <c r="E516" s="6" t="s">
        <v>5247</v>
      </c>
      <c r="F516" s="6" t="s">
        <v>5248</v>
      </c>
      <c r="G516" s="6">
        <v>7.0</v>
      </c>
      <c r="H516" s="6">
        <v>58.0</v>
      </c>
      <c r="I516" s="8">
        <v>1690.65</v>
      </c>
      <c r="J516" s="8">
        <v>1699.0</v>
      </c>
      <c r="K516" s="8">
        <v>1989.0</v>
      </c>
    </row>
    <row r="517">
      <c r="A517" s="6" t="s">
        <v>3161</v>
      </c>
      <c r="B517" s="6" t="s">
        <v>3159</v>
      </c>
      <c r="C517" s="6" t="s">
        <v>3160</v>
      </c>
      <c r="D517" s="6" t="s">
        <v>3160</v>
      </c>
      <c r="E517" s="6" t="s">
        <v>5247</v>
      </c>
      <c r="F517" s="6" t="s">
        <v>5248</v>
      </c>
      <c r="G517" s="6">
        <v>21.0</v>
      </c>
      <c r="H517" s="6">
        <v>49.0</v>
      </c>
      <c r="I517" s="8">
        <v>2285.65</v>
      </c>
      <c r="J517" s="8">
        <v>2299.0</v>
      </c>
      <c r="K517" s="8">
        <v>2689.0</v>
      </c>
    </row>
    <row r="518">
      <c r="A518" s="6" t="s">
        <v>3146</v>
      </c>
      <c r="B518" s="6" t="s">
        <v>3144</v>
      </c>
      <c r="C518" s="6" t="s">
        <v>3145</v>
      </c>
      <c r="D518" s="6" t="s">
        <v>3145</v>
      </c>
      <c r="E518" s="6" t="s">
        <v>5247</v>
      </c>
      <c r="F518" s="6" t="s">
        <v>5248</v>
      </c>
      <c r="G518" s="6">
        <v>22.0</v>
      </c>
      <c r="H518" s="6">
        <v>52.0</v>
      </c>
      <c r="I518" s="8">
        <v>2285.65</v>
      </c>
      <c r="J518" s="8">
        <v>2299.0</v>
      </c>
      <c r="K518" s="8">
        <v>2689.0</v>
      </c>
    </row>
    <row r="519">
      <c r="A519" s="6" t="s">
        <v>3151</v>
      </c>
      <c r="B519" s="6" t="s">
        <v>3149</v>
      </c>
      <c r="C519" s="6" t="s">
        <v>3150</v>
      </c>
      <c r="D519" s="6" t="s">
        <v>3150</v>
      </c>
      <c r="E519" s="6" t="s">
        <v>5247</v>
      </c>
      <c r="F519" s="6" t="s">
        <v>5248</v>
      </c>
      <c r="G519" s="6">
        <v>19.0</v>
      </c>
      <c r="H519" s="6">
        <v>73.0</v>
      </c>
      <c r="I519" s="8">
        <v>2285.65</v>
      </c>
      <c r="J519" s="8">
        <v>2299.0</v>
      </c>
      <c r="K519" s="8">
        <v>2689.0</v>
      </c>
    </row>
    <row r="520">
      <c r="A520" s="6" t="s">
        <v>3098</v>
      </c>
      <c r="B520" s="6" t="s">
        <v>3096</v>
      </c>
      <c r="C520" s="6" t="s">
        <v>3097</v>
      </c>
      <c r="D520" s="6" t="s">
        <v>3097</v>
      </c>
      <c r="E520" s="6" t="s">
        <v>5247</v>
      </c>
      <c r="F520" s="6" t="s">
        <v>5248</v>
      </c>
      <c r="G520" s="6">
        <v>9.0</v>
      </c>
      <c r="H520" s="6">
        <v>29.0</v>
      </c>
      <c r="I520" s="8">
        <v>1690.65</v>
      </c>
      <c r="J520" s="8">
        <v>1989.0</v>
      </c>
      <c r="K520" s="8">
        <v>1989.0</v>
      </c>
    </row>
    <row r="521">
      <c r="A521" s="6" t="s">
        <v>3103</v>
      </c>
      <c r="B521" s="6" t="s">
        <v>3101</v>
      </c>
      <c r="C521" s="6" t="s">
        <v>3102</v>
      </c>
      <c r="D521" s="6" t="s">
        <v>3102</v>
      </c>
      <c r="E521" s="6" t="s">
        <v>5122</v>
      </c>
      <c r="F521" s="6" t="s">
        <v>5248</v>
      </c>
      <c r="G521" s="6">
        <v>2.0</v>
      </c>
      <c r="H521" s="6">
        <v>0.0</v>
      </c>
      <c r="I521" s="8">
        <v>1690.65</v>
      </c>
      <c r="J521" s="8">
        <v>1989.0</v>
      </c>
      <c r="K521" s="8">
        <v>1989.0</v>
      </c>
    </row>
    <row r="522">
      <c r="A522" s="6" t="s">
        <v>1185</v>
      </c>
      <c r="B522" s="6" t="s">
        <v>1183</v>
      </c>
      <c r="C522" s="6" t="s">
        <v>1184</v>
      </c>
      <c r="D522" s="6" t="s">
        <v>1184</v>
      </c>
      <c r="E522" s="6" t="s">
        <v>5247</v>
      </c>
      <c r="F522" s="6" t="s">
        <v>5248</v>
      </c>
      <c r="G522" s="6">
        <v>9.0</v>
      </c>
      <c r="H522" s="6">
        <v>13.0</v>
      </c>
      <c r="I522" s="8">
        <v>1742.3</v>
      </c>
      <c r="J522" s="8">
        <v>1799.0</v>
      </c>
      <c r="K522" s="8">
        <v>2489.0</v>
      </c>
    </row>
    <row r="523">
      <c r="A523" s="6" t="s">
        <v>1167</v>
      </c>
      <c r="B523" s="6" t="s">
        <v>1165</v>
      </c>
      <c r="C523" s="6" t="s">
        <v>1166</v>
      </c>
      <c r="D523" s="6" t="s">
        <v>1166</v>
      </c>
      <c r="E523" s="6" t="s">
        <v>5247</v>
      </c>
      <c r="F523" s="6" t="s">
        <v>5248</v>
      </c>
      <c r="G523" s="6">
        <v>2.0</v>
      </c>
      <c r="H523" s="6">
        <v>51.0</v>
      </c>
      <c r="I523" s="8">
        <v>1392.3</v>
      </c>
      <c r="J523" s="8">
        <v>1399.0</v>
      </c>
      <c r="K523" s="8">
        <v>1989.0</v>
      </c>
    </row>
    <row r="524">
      <c r="A524" s="6" t="s">
        <v>1175</v>
      </c>
      <c r="B524" s="6" t="s">
        <v>1173</v>
      </c>
      <c r="C524" s="6" t="s">
        <v>1174</v>
      </c>
      <c r="D524" s="6" t="s">
        <v>1174</v>
      </c>
      <c r="E524" s="6" t="s">
        <v>5247</v>
      </c>
      <c r="F524" s="6" t="s">
        <v>5248</v>
      </c>
      <c r="G524" s="6">
        <v>7.0</v>
      </c>
      <c r="H524" s="6">
        <v>9.0</v>
      </c>
      <c r="I524" s="8">
        <v>2092.3</v>
      </c>
      <c r="J524" s="8">
        <v>2099.0</v>
      </c>
      <c r="K524" s="8">
        <v>2989.0</v>
      </c>
    </row>
    <row r="525">
      <c r="A525" s="6" t="s">
        <v>4794</v>
      </c>
      <c r="B525" s="6" t="s">
        <v>2604</v>
      </c>
      <c r="C525" s="6" t="s">
        <v>4793</v>
      </c>
      <c r="D525" s="6" t="s">
        <v>4793</v>
      </c>
      <c r="E525" s="6" t="s">
        <v>5247</v>
      </c>
      <c r="F525" s="6" t="s">
        <v>5248</v>
      </c>
      <c r="G525" s="6">
        <v>1.0</v>
      </c>
      <c r="H525" s="6">
        <v>21.0</v>
      </c>
      <c r="I525" s="8">
        <v>2092.3</v>
      </c>
      <c r="J525" s="8">
        <v>2099.0</v>
      </c>
      <c r="K525" s="8">
        <v>2989.0</v>
      </c>
    </row>
    <row r="526">
      <c r="A526" s="6" t="s">
        <v>2631</v>
      </c>
      <c r="B526" s="6" t="s">
        <v>2629</v>
      </c>
      <c r="C526" s="6" t="s">
        <v>2630</v>
      </c>
      <c r="D526" s="6" t="s">
        <v>2630</v>
      </c>
      <c r="E526" s="6" t="s">
        <v>5247</v>
      </c>
      <c r="F526" s="6" t="s">
        <v>5248</v>
      </c>
      <c r="G526" s="6">
        <v>7.0</v>
      </c>
      <c r="H526" s="6">
        <v>19.0</v>
      </c>
      <c r="I526" s="8">
        <v>3142.3</v>
      </c>
      <c r="J526" s="8">
        <v>3199.0</v>
      </c>
      <c r="K526" s="8">
        <v>4489.0</v>
      </c>
    </row>
    <row r="527">
      <c r="A527" s="6" t="s">
        <v>4797</v>
      </c>
      <c r="B527" s="55" t="s">
        <v>1170</v>
      </c>
      <c r="C527" s="6" t="s">
        <v>4796</v>
      </c>
      <c r="D527" s="6" t="s">
        <v>4796</v>
      </c>
      <c r="E527" s="6" t="s">
        <v>5122</v>
      </c>
      <c r="F527" s="6" t="s">
        <v>5248</v>
      </c>
      <c r="G527" s="6">
        <v>5.0</v>
      </c>
      <c r="H527" s="6">
        <v>71.0</v>
      </c>
      <c r="I527" s="8">
        <v>1742.3</v>
      </c>
      <c r="J527" s="8">
        <v>1799.0</v>
      </c>
      <c r="K527" s="8">
        <v>2489.0</v>
      </c>
    </row>
    <row r="528">
      <c r="A528" s="6" t="s">
        <v>4799</v>
      </c>
      <c r="B528" s="6" t="s">
        <v>2614</v>
      </c>
      <c r="C528" s="6" t="s">
        <v>4798</v>
      </c>
      <c r="D528" s="6" t="s">
        <v>4798</v>
      </c>
      <c r="E528" s="6" t="s">
        <v>5247</v>
      </c>
      <c r="F528" s="6" t="s">
        <v>5248</v>
      </c>
      <c r="G528" s="6">
        <v>10.0</v>
      </c>
      <c r="H528" s="6">
        <v>20.0</v>
      </c>
      <c r="I528" s="8">
        <v>3142.3</v>
      </c>
      <c r="J528" s="8">
        <v>3199.0</v>
      </c>
      <c r="K528" s="8">
        <v>4489.0</v>
      </c>
    </row>
    <row r="529">
      <c r="A529" s="6" t="s">
        <v>4802</v>
      </c>
      <c r="B529" s="6" t="s">
        <v>2619</v>
      </c>
      <c r="C529" s="6" t="s">
        <v>4801</v>
      </c>
      <c r="D529" s="6" t="s">
        <v>4801</v>
      </c>
      <c r="E529" s="6" t="s">
        <v>5122</v>
      </c>
      <c r="F529" s="6" t="s">
        <v>5248</v>
      </c>
      <c r="G529" s="6">
        <v>4.0</v>
      </c>
      <c r="H529" s="6">
        <v>3.0</v>
      </c>
      <c r="I529" s="8">
        <v>2092.3</v>
      </c>
      <c r="J529" s="8">
        <v>2099.0</v>
      </c>
      <c r="K529" s="8">
        <v>2989.0</v>
      </c>
    </row>
    <row r="530">
      <c r="A530" s="6" t="s">
        <v>2611</v>
      </c>
      <c r="B530" s="6" t="s">
        <v>2609</v>
      </c>
      <c r="C530" s="6" t="s">
        <v>2610</v>
      </c>
      <c r="D530" s="6" t="s">
        <v>2610</v>
      </c>
      <c r="E530" s="6" t="s">
        <v>5247</v>
      </c>
      <c r="F530" s="6" t="s">
        <v>5248</v>
      </c>
      <c r="G530" s="6">
        <v>6.0</v>
      </c>
      <c r="H530" s="6">
        <v>28.0</v>
      </c>
      <c r="I530" s="8">
        <v>2442.3</v>
      </c>
      <c r="J530" s="8">
        <v>2499.0</v>
      </c>
      <c r="K530" s="8">
        <v>3489.0</v>
      </c>
    </row>
    <row r="531">
      <c r="A531" s="6" t="s">
        <v>1180</v>
      </c>
      <c r="B531" s="6" t="s">
        <v>1178</v>
      </c>
      <c r="C531" s="6" t="s">
        <v>1179</v>
      </c>
      <c r="D531" s="6" t="s">
        <v>1179</v>
      </c>
      <c r="E531" s="6" t="s">
        <v>5247</v>
      </c>
      <c r="F531" s="6" t="s">
        <v>5248</v>
      </c>
      <c r="G531" s="6" t="e">
        <v>#N/A</v>
      </c>
      <c r="H531" s="6">
        <v>43.0</v>
      </c>
      <c r="I531" s="8">
        <v>1392.3</v>
      </c>
      <c r="J531" s="8">
        <v>1399.0</v>
      </c>
      <c r="K531" s="8">
        <v>1989.0</v>
      </c>
    </row>
    <row r="532">
      <c r="A532" s="6" t="s">
        <v>2626</v>
      </c>
      <c r="B532" s="6" t="s">
        <v>2624</v>
      </c>
      <c r="C532" s="6" t="s">
        <v>2625</v>
      </c>
      <c r="D532" s="6" t="s">
        <v>2625</v>
      </c>
      <c r="E532" s="6" t="s">
        <v>5247</v>
      </c>
      <c r="F532" s="6" t="s">
        <v>5248</v>
      </c>
      <c r="G532" s="6">
        <v>10.0</v>
      </c>
      <c r="H532" s="6">
        <v>18.0</v>
      </c>
      <c r="I532" s="8">
        <v>2442.3</v>
      </c>
      <c r="J532" s="8">
        <v>2499.0</v>
      </c>
      <c r="K532" s="8">
        <v>3489.0</v>
      </c>
    </row>
    <row r="533">
      <c r="A533" s="6" t="s">
        <v>4805</v>
      </c>
      <c r="B533" s="6" t="s">
        <v>1188</v>
      </c>
      <c r="C533" s="6" t="s">
        <v>4804</v>
      </c>
      <c r="D533" s="6" t="s">
        <v>4804</v>
      </c>
      <c r="E533" s="6" t="s">
        <v>5247</v>
      </c>
      <c r="F533" s="6" t="s">
        <v>5248</v>
      </c>
      <c r="G533" s="6">
        <v>8.0</v>
      </c>
      <c r="H533" s="6">
        <v>19.0</v>
      </c>
      <c r="I533" s="8">
        <v>2092.3</v>
      </c>
      <c r="J533" s="8">
        <v>2099.0</v>
      </c>
      <c r="K533" s="8">
        <v>2989.0</v>
      </c>
    </row>
    <row r="534">
      <c r="A534" s="6" t="s">
        <v>1768</v>
      </c>
      <c r="B534" s="6" t="s">
        <v>1766</v>
      </c>
      <c r="C534" s="6" t="s">
        <v>1767</v>
      </c>
      <c r="D534" s="6" t="s">
        <v>1767</v>
      </c>
      <c r="E534" s="6" t="s">
        <v>5247</v>
      </c>
      <c r="F534" s="6" t="s">
        <v>5248</v>
      </c>
      <c r="G534" s="6" t="e">
        <v>#N/A</v>
      </c>
      <c r="H534" s="6">
        <v>4.0</v>
      </c>
      <c r="I534" s="8">
        <v>26879.16</v>
      </c>
      <c r="J534" s="8">
        <v>30399.0</v>
      </c>
      <c r="K534" s="8">
        <v>31999.0</v>
      </c>
    </row>
    <row r="535">
      <c r="A535" s="6" t="s">
        <v>833</v>
      </c>
      <c r="B535" s="6" t="s">
        <v>831</v>
      </c>
      <c r="C535" s="6" t="s">
        <v>832</v>
      </c>
      <c r="D535" s="6" t="s">
        <v>832</v>
      </c>
      <c r="E535" s="6" t="s">
        <v>5122</v>
      </c>
      <c r="F535" s="6" t="s">
        <v>5248</v>
      </c>
      <c r="G535" s="6" t="e">
        <v>#N/A</v>
      </c>
      <c r="H535" s="6">
        <v>0.0</v>
      </c>
      <c r="I535" s="8">
        <v>11199.2</v>
      </c>
      <c r="J535" s="8">
        <v>12599.0</v>
      </c>
      <c r="K535" s="8">
        <v>13999.0</v>
      </c>
    </row>
    <row r="536">
      <c r="A536" s="6" t="s">
        <v>2349</v>
      </c>
      <c r="B536" s="6" t="s">
        <v>2347</v>
      </c>
      <c r="C536" s="6" t="s">
        <v>2348</v>
      </c>
      <c r="D536" s="6" t="s">
        <v>2348</v>
      </c>
      <c r="E536" s="6" t="s">
        <v>5247</v>
      </c>
      <c r="F536" s="6" t="s">
        <v>5248</v>
      </c>
      <c r="G536" s="6">
        <v>2.0</v>
      </c>
      <c r="H536" s="6">
        <v>9.0</v>
      </c>
      <c r="I536" s="8">
        <v>1080.0</v>
      </c>
      <c r="J536" s="8">
        <v>1140.0</v>
      </c>
      <c r="K536" s="8">
        <v>1200.0</v>
      </c>
    </row>
    <row r="537">
      <c r="A537" s="6" t="s">
        <v>907</v>
      </c>
      <c r="B537" s="6" t="s">
        <v>905</v>
      </c>
      <c r="C537" s="6" t="s">
        <v>906</v>
      </c>
      <c r="D537" s="6" t="s">
        <v>906</v>
      </c>
      <c r="E537" s="6" t="s">
        <v>5122</v>
      </c>
      <c r="F537" s="6" t="s">
        <v>5248</v>
      </c>
      <c r="G537" s="6" t="e">
        <v>#N/A</v>
      </c>
      <c r="H537" s="6">
        <v>0.0</v>
      </c>
      <c r="I537" s="8">
        <v>13599.2</v>
      </c>
      <c r="J537" s="8">
        <v>15299.0</v>
      </c>
      <c r="K537" s="8">
        <v>16999.0</v>
      </c>
    </row>
    <row r="538">
      <c r="A538" s="6" t="s">
        <v>1831</v>
      </c>
      <c r="B538" s="6" t="s">
        <v>1829</v>
      </c>
      <c r="C538" s="6" t="s">
        <v>1830</v>
      </c>
      <c r="D538" s="6" t="s">
        <v>1830</v>
      </c>
      <c r="E538" s="6" t="s">
        <v>5122</v>
      </c>
      <c r="F538" s="6" t="s">
        <v>5248</v>
      </c>
      <c r="G538" s="6" t="e">
        <v>#N/A</v>
      </c>
      <c r="H538" s="6">
        <v>1.0</v>
      </c>
      <c r="I538" s="8">
        <v>31499.16</v>
      </c>
      <c r="J538" s="8">
        <v>35599.0</v>
      </c>
      <c r="K538" s="8">
        <v>37499.0</v>
      </c>
    </row>
    <row r="539">
      <c r="A539" s="6" t="s">
        <v>1737</v>
      </c>
      <c r="B539" s="6" t="s">
        <v>1735</v>
      </c>
      <c r="C539" s="6" t="s">
        <v>1736</v>
      </c>
      <c r="D539" s="6" t="s">
        <v>1736</v>
      </c>
      <c r="E539" s="6" t="s">
        <v>5247</v>
      </c>
      <c r="F539" s="6" t="s">
        <v>5248</v>
      </c>
      <c r="G539" s="6" t="e">
        <v>#N/A</v>
      </c>
      <c r="H539" s="6">
        <v>1.0</v>
      </c>
      <c r="I539" s="8">
        <v>19739.16</v>
      </c>
      <c r="J539" s="8">
        <v>22299.0</v>
      </c>
      <c r="K539" s="8">
        <v>23499.0</v>
      </c>
    </row>
    <row r="540">
      <c r="A540" s="6" t="s">
        <v>5269</v>
      </c>
      <c r="B540" s="6" t="s">
        <v>5011</v>
      </c>
      <c r="C540" s="6" t="s">
        <v>5012</v>
      </c>
      <c r="D540" s="6" t="s">
        <v>5012</v>
      </c>
      <c r="E540" s="6" t="s">
        <v>5122</v>
      </c>
      <c r="F540" s="6" t="s">
        <v>5248</v>
      </c>
      <c r="G540" s="6" t="e">
        <v>#N/A</v>
      </c>
      <c r="H540" s="6">
        <v>0.0</v>
      </c>
      <c r="I540" s="8">
        <v>18710.23</v>
      </c>
      <c r="J540" s="8">
        <v>23099.0</v>
      </c>
      <c r="K540" s="8">
        <v>24299.0</v>
      </c>
    </row>
    <row r="541">
      <c r="A541" s="6" t="s">
        <v>83</v>
      </c>
      <c r="B541" s="6" t="s">
        <v>81</v>
      </c>
      <c r="C541" s="6" t="s">
        <v>82</v>
      </c>
      <c r="D541" s="6" t="s">
        <v>82</v>
      </c>
      <c r="E541" s="6" t="s">
        <v>5247</v>
      </c>
      <c r="F541" s="6" t="s">
        <v>5248</v>
      </c>
      <c r="G541" s="6" t="e">
        <v>#N/A</v>
      </c>
      <c r="H541" s="6">
        <v>1.0</v>
      </c>
      <c r="I541" s="8">
        <v>12919.24</v>
      </c>
      <c r="J541" s="8">
        <v>14799.0</v>
      </c>
      <c r="K541" s="8">
        <v>16999.0</v>
      </c>
    </row>
    <row r="542">
      <c r="A542" s="6" t="s">
        <v>959</v>
      </c>
      <c r="B542" s="6" t="s">
        <v>957</v>
      </c>
      <c r="C542" s="6" t="s">
        <v>958</v>
      </c>
      <c r="D542" s="6" t="s">
        <v>958</v>
      </c>
      <c r="E542" s="6" t="s">
        <v>5122</v>
      </c>
      <c r="F542" s="6" t="s">
        <v>5248</v>
      </c>
      <c r="G542" s="6" t="e">
        <v>#N/A</v>
      </c>
      <c r="H542" s="6">
        <v>0.0</v>
      </c>
      <c r="I542" s="8">
        <v>18399.2</v>
      </c>
      <c r="J542" s="8">
        <v>20699.0</v>
      </c>
      <c r="K542" s="8">
        <v>22999.0</v>
      </c>
    </row>
    <row r="543">
      <c r="A543" s="6" t="s">
        <v>934</v>
      </c>
      <c r="B543" s="6" t="s">
        <v>932</v>
      </c>
      <c r="C543" s="6" t="s">
        <v>933</v>
      </c>
      <c r="D543" s="6" t="s">
        <v>933</v>
      </c>
      <c r="E543" s="6" t="s">
        <v>5122</v>
      </c>
      <c r="F543" s="6" t="s">
        <v>5248</v>
      </c>
      <c r="G543" s="6" t="e">
        <v>#N/A</v>
      </c>
      <c r="H543" s="6">
        <v>1.0</v>
      </c>
      <c r="I543" s="8">
        <v>15999.2</v>
      </c>
      <c r="J543" s="8">
        <v>17999.0</v>
      </c>
      <c r="K543" s="8">
        <v>19999.0</v>
      </c>
    </row>
    <row r="544">
      <c r="A544" s="6" t="s">
        <v>109</v>
      </c>
      <c r="B544" s="6" t="s">
        <v>107</v>
      </c>
      <c r="C544" s="6" t="s">
        <v>108</v>
      </c>
      <c r="D544" s="6" t="s">
        <v>108</v>
      </c>
      <c r="E544" s="6" t="s">
        <v>5247</v>
      </c>
      <c r="F544" s="6" t="s">
        <v>5248</v>
      </c>
      <c r="G544" s="6" t="e">
        <v>#N/A</v>
      </c>
      <c r="H544" s="6">
        <v>1.0</v>
      </c>
      <c r="I544" s="8">
        <v>13679.24</v>
      </c>
      <c r="J544" s="8">
        <v>15699.0</v>
      </c>
      <c r="K544" s="8">
        <v>17999.0</v>
      </c>
    </row>
    <row r="545">
      <c r="A545" s="6" t="s">
        <v>1917</v>
      </c>
      <c r="B545" s="6" t="s">
        <v>1915</v>
      </c>
      <c r="C545" s="6" t="s">
        <v>1916</v>
      </c>
      <c r="D545" s="6" t="s">
        <v>1916</v>
      </c>
      <c r="E545" s="6" t="s">
        <v>5122</v>
      </c>
      <c r="F545" s="6" t="s">
        <v>5248</v>
      </c>
      <c r="G545" s="6" t="e">
        <v>#N/A</v>
      </c>
      <c r="H545" s="6">
        <v>0.0</v>
      </c>
      <c r="I545" s="8">
        <v>40991.16</v>
      </c>
      <c r="J545" s="8">
        <v>46399.0</v>
      </c>
      <c r="K545" s="8">
        <v>48799.0</v>
      </c>
    </row>
    <row r="546">
      <c r="A546" s="6" t="s">
        <v>4809</v>
      </c>
      <c r="B546" s="6" t="s">
        <v>4807</v>
      </c>
      <c r="C546" s="6" t="s">
        <v>4808</v>
      </c>
      <c r="D546" s="6" t="s">
        <v>4808</v>
      </c>
      <c r="E546" s="6" t="s">
        <v>5122</v>
      </c>
      <c r="F546" s="6" t="s">
        <v>5248</v>
      </c>
      <c r="G546" s="6" t="e">
        <v>#N/A</v>
      </c>
      <c r="H546" s="6">
        <v>0.0</v>
      </c>
      <c r="I546" s="8">
        <v>15784.23</v>
      </c>
      <c r="J546" s="8">
        <v>19499.0</v>
      </c>
      <c r="K546" s="8">
        <v>20499.0</v>
      </c>
    </row>
    <row r="547">
      <c r="A547" s="6" t="s">
        <v>1527</v>
      </c>
      <c r="B547" s="6" t="s">
        <v>1525</v>
      </c>
      <c r="C547" s="6" t="s">
        <v>1526</v>
      </c>
      <c r="D547" s="6" t="s">
        <v>1526</v>
      </c>
      <c r="E547" s="6" t="s">
        <v>5247</v>
      </c>
      <c r="F547" s="6" t="s">
        <v>5248</v>
      </c>
      <c r="G547" s="6">
        <v>1.0</v>
      </c>
      <c r="H547" s="6">
        <v>2.0</v>
      </c>
      <c r="I547" s="8">
        <v>10779.23</v>
      </c>
      <c r="J547" s="8">
        <v>13299.0</v>
      </c>
      <c r="K547" s="8">
        <v>13999.0</v>
      </c>
    </row>
    <row r="548">
      <c r="A548" s="6" t="s">
        <v>716</v>
      </c>
      <c r="B548" s="6" t="s">
        <v>714</v>
      </c>
      <c r="C548" s="6" t="s">
        <v>715</v>
      </c>
      <c r="D548" s="6" t="s">
        <v>715</v>
      </c>
      <c r="E548" s="6" t="s">
        <v>5247</v>
      </c>
      <c r="F548" s="6" t="s">
        <v>5248</v>
      </c>
      <c r="G548" s="6">
        <v>2.0</v>
      </c>
      <c r="H548" s="6">
        <v>22.0</v>
      </c>
      <c r="I548" s="8">
        <v>12660.84</v>
      </c>
      <c r="J548" s="8">
        <v>14499.0</v>
      </c>
      <c r="K548" s="8">
        <v>16659.0</v>
      </c>
    </row>
    <row r="549">
      <c r="A549" s="6" t="s">
        <v>301</v>
      </c>
      <c r="B549" s="6" t="s">
        <v>299</v>
      </c>
      <c r="C549" s="6" t="s">
        <v>300</v>
      </c>
      <c r="D549" s="6" t="s">
        <v>300</v>
      </c>
      <c r="E549" s="6" t="s">
        <v>5122</v>
      </c>
      <c r="F549" s="6" t="s">
        <v>5248</v>
      </c>
      <c r="G549" s="6" t="e">
        <v>#N/A</v>
      </c>
      <c r="H549" s="6">
        <v>0.0</v>
      </c>
      <c r="I549" s="8">
        <v>10335.24</v>
      </c>
      <c r="J549" s="8">
        <v>11799.0</v>
      </c>
      <c r="K549" s="8">
        <v>13599.0</v>
      </c>
    </row>
    <row r="550">
      <c r="A550" s="6" t="s">
        <v>158</v>
      </c>
      <c r="B550" s="6" t="s">
        <v>156</v>
      </c>
      <c r="C550" s="6" t="s">
        <v>157</v>
      </c>
      <c r="D550" s="6" t="s">
        <v>157</v>
      </c>
      <c r="E550" s="6" t="s">
        <v>5122</v>
      </c>
      <c r="F550" s="6" t="s">
        <v>5248</v>
      </c>
      <c r="G550" s="6" t="e">
        <v>#N/A</v>
      </c>
      <c r="H550" s="6">
        <v>0.0</v>
      </c>
      <c r="I550" s="8">
        <v>8967.24</v>
      </c>
      <c r="J550" s="8">
        <v>10299.0</v>
      </c>
      <c r="K550" s="8">
        <v>11799.0</v>
      </c>
    </row>
    <row r="551">
      <c r="A551" s="6" t="s">
        <v>721</v>
      </c>
      <c r="B551" s="6" t="s">
        <v>719</v>
      </c>
      <c r="C551" s="6" t="s">
        <v>720</v>
      </c>
      <c r="D551" s="6" t="s">
        <v>720</v>
      </c>
      <c r="E551" s="6" t="s">
        <v>5247</v>
      </c>
      <c r="F551" s="6" t="s">
        <v>5248</v>
      </c>
      <c r="G551" s="6">
        <v>3.0</v>
      </c>
      <c r="H551" s="6">
        <v>1.0</v>
      </c>
      <c r="I551" s="8">
        <v>13086.44</v>
      </c>
      <c r="J551" s="8">
        <v>14999.0</v>
      </c>
      <c r="K551" s="8">
        <v>17219.0</v>
      </c>
    </row>
    <row r="552">
      <c r="A552" s="6" t="s">
        <v>142</v>
      </c>
      <c r="B552" s="6" t="s">
        <v>140</v>
      </c>
      <c r="C552" s="6" t="s">
        <v>141</v>
      </c>
      <c r="D552" s="6" t="s">
        <v>141</v>
      </c>
      <c r="E552" s="6" t="s">
        <v>5122</v>
      </c>
      <c r="F552" s="6" t="s">
        <v>5248</v>
      </c>
      <c r="G552" s="6">
        <v>2.0</v>
      </c>
      <c r="H552" s="6">
        <v>0.0</v>
      </c>
      <c r="I552" s="8">
        <v>7910.84</v>
      </c>
      <c r="J552" s="8">
        <v>9099.0</v>
      </c>
      <c r="K552" s="8">
        <v>10409.0</v>
      </c>
    </row>
    <row r="553">
      <c r="A553" s="6" t="s">
        <v>513</v>
      </c>
      <c r="B553" s="6" t="s">
        <v>511</v>
      </c>
      <c r="C553" s="6" t="s">
        <v>512</v>
      </c>
      <c r="D553" s="6" t="s">
        <v>512</v>
      </c>
      <c r="E553" s="6" t="s">
        <v>5122</v>
      </c>
      <c r="F553" s="6" t="s">
        <v>5248</v>
      </c>
      <c r="G553" s="6" t="e">
        <v>#N/A</v>
      </c>
      <c r="H553" s="6">
        <v>0.0</v>
      </c>
      <c r="I553" s="8">
        <v>12660.84</v>
      </c>
      <c r="J553" s="8">
        <v>14499.0</v>
      </c>
      <c r="K553" s="8">
        <v>16659.0</v>
      </c>
    </row>
    <row r="554">
      <c r="A554" s="6" t="s">
        <v>148</v>
      </c>
      <c r="B554" s="6" t="s">
        <v>146</v>
      </c>
      <c r="C554" s="6" t="s">
        <v>147</v>
      </c>
      <c r="D554" s="6" t="s">
        <v>147</v>
      </c>
      <c r="E554" s="6" t="s">
        <v>5122</v>
      </c>
      <c r="F554" s="6" t="s">
        <v>5248</v>
      </c>
      <c r="G554" s="6" t="e">
        <v>#N/A</v>
      </c>
      <c r="H554" s="6">
        <v>0.0</v>
      </c>
      <c r="I554" s="8">
        <v>8435.24</v>
      </c>
      <c r="J554" s="8">
        <v>9699.0</v>
      </c>
      <c r="K554" s="8">
        <v>11099.0</v>
      </c>
    </row>
    <row r="555">
      <c r="A555" s="6" t="s">
        <v>726</v>
      </c>
      <c r="B555" s="6" t="s">
        <v>724</v>
      </c>
      <c r="C555" s="6" t="s">
        <v>725</v>
      </c>
      <c r="D555" s="6" t="s">
        <v>725</v>
      </c>
      <c r="E555" s="6" t="s">
        <v>5122</v>
      </c>
      <c r="F555" s="6" t="s">
        <v>5248</v>
      </c>
      <c r="G555" s="6" t="e">
        <v>#N/A</v>
      </c>
      <c r="H555" s="6">
        <v>0.0</v>
      </c>
      <c r="I555" s="8">
        <v>14241.64</v>
      </c>
      <c r="J555" s="8">
        <v>16299.0</v>
      </c>
      <c r="K555" s="8">
        <v>18739.0</v>
      </c>
    </row>
    <row r="556">
      <c r="A556" s="6" t="s">
        <v>119</v>
      </c>
      <c r="B556" s="6" t="s">
        <v>117</v>
      </c>
      <c r="C556" s="6" t="s">
        <v>118</v>
      </c>
      <c r="D556" s="6" t="s">
        <v>118</v>
      </c>
      <c r="E556" s="6" t="s">
        <v>5247</v>
      </c>
      <c r="F556" s="6" t="s">
        <v>5248</v>
      </c>
      <c r="G556" s="6">
        <v>11.0</v>
      </c>
      <c r="H556" s="6">
        <v>23.0</v>
      </c>
      <c r="I556" s="8">
        <v>7591.64</v>
      </c>
      <c r="J556" s="8">
        <v>8699.0</v>
      </c>
      <c r="K556" s="8">
        <v>9989.0</v>
      </c>
    </row>
    <row r="557">
      <c r="A557" s="6" t="s">
        <v>153</v>
      </c>
      <c r="B557" s="6" t="s">
        <v>151</v>
      </c>
      <c r="C557" s="6" t="s">
        <v>152</v>
      </c>
      <c r="D557" s="6" t="s">
        <v>152</v>
      </c>
      <c r="E557" s="6" t="s">
        <v>5122</v>
      </c>
      <c r="F557" s="6" t="s">
        <v>5248</v>
      </c>
      <c r="G557" s="6" t="e">
        <v>#N/A</v>
      </c>
      <c r="H557" s="6">
        <v>0.0</v>
      </c>
      <c r="I557" s="8">
        <v>8754.44</v>
      </c>
      <c r="J557" s="8">
        <v>9999.0</v>
      </c>
      <c r="K557" s="8">
        <v>11519.0</v>
      </c>
    </row>
    <row r="558">
      <c r="A558" s="6" t="s">
        <v>731</v>
      </c>
      <c r="B558" s="6" t="s">
        <v>729</v>
      </c>
      <c r="C558" s="6" t="s">
        <v>730</v>
      </c>
      <c r="D558" s="6" t="s">
        <v>730</v>
      </c>
      <c r="E558" s="6" t="s">
        <v>5122</v>
      </c>
      <c r="F558" s="6" t="s">
        <v>5248</v>
      </c>
      <c r="G558" s="6" t="e">
        <v>#N/A</v>
      </c>
      <c r="H558" s="6">
        <v>0.0</v>
      </c>
      <c r="I558" s="8">
        <v>14773.64</v>
      </c>
      <c r="J558" s="8">
        <v>16899.0</v>
      </c>
      <c r="K558" s="8">
        <v>19439.0</v>
      </c>
    </row>
    <row r="559">
      <c r="A559" s="6" t="s">
        <v>296</v>
      </c>
      <c r="B559" s="6" t="s">
        <v>294</v>
      </c>
      <c r="C559" s="6" t="s">
        <v>295</v>
      </c>
      <c r="D559" s="6" t="s">
        <v>295</v>
      </c>
      <c r="E559" s="6" t="s">
        <v>5247</v>
      </c>
      <c r="F559" s="6" t="s">
        <v>5248</v>
      </c>
      <c r="G559" s="6">
        <v>2.0</v>
      </c>
      <c r="H559" s="6">
        <v>1.0</v>
      </c>
      <c r="I559" s="8">
        <v>10023.64</v>
      </c>
      <c r="J559" s="8">
        <v>11499.0</v>
      </c>
      <c r="K559" s="8">
        <v>13189.0</v>
      </c>
    </row>
    <row r="560">
      <c r="A560" s="6" t="s">
        <v>291</v>
      </c>
      <c r="B560" s="6" t="s">
        <v>289</v>
      </c>
      <c r="C560" s="6" t="s">
        <v>290</v>
      </c>
      <c r="D560" s="6" t="s">
        <v>290</v>
      </c>
      <c r="E560" s="6" t="s">
        <v>5247</v>
      </c>
      <c r="F560" s="6" t="s">
        <v>5248</v>
      </c>
      <c r="G560" s="6">
        <v>2.0</v>
      </c>
      <c r="H560" s="6">
        <v>1.0</v>
      </c>
      <c r="I560" s="8">
        <v>9810.84</v>
      </c>
      <c r="J560" s="8">
        <v>11199.0</v>
      </c>
      <c r="K560" s="8">
        <v>12909.0</v>
      </c>
    </row>
    <row r="561">
      <c r="A561" s="6" t="s">
        <v>495</v>
      </c>
      <c r="B561" s="6" t="s">
        <v>493</v>
      </c>
      <c r="C561" s="6" t="s">
        <v>494</v>
      </c>
      <c r="D561" s="6" t="s">
        <v>494</v>
      </c>
      <c r="E561" s="6" t="s">
        <v>5247</v>
      </c>
      <c r="F561" s="6" t="s">
        <v>5248</v>
      </c>
      <c r="G561" s="6">
        <v>9.0</v>
      </c>
      <c r="H561" s="6">
        <v>36.0</v>
      </c>
      <c r="I561" s="8">
        <v>11285.24</v>
      </c>
      <c r="J561" s="8">
        <v>12899.0</v>
      </c>
      <c r="K561" s="8">
        <v>14849.0</v>
      </c>
    </row>
    <row r="562">
      <c r="A562" s="6" t="s">
        <v>779</v>
      </c>
      <c r="B562" s="6" t="s">
        <v>777</v>
      </c>
      <c r="C562" s="6" t="s">
        <v>778</v>
      </c>
      <c r="D562" s="6" t="s">
        <v>778</v>
      </c>
      <c r="E562" s="6" t="s">
        <v>5122</v>
      </c>
      <c r="F562" s="6" t="s">
        <v>5248</v>
      </c>
      <c r="G562" s="6" t="e">
        <v>#N/A</v>
      </c>
      <c r="H562" s="6">
        <v>0.0</v>
      </c>
      <c r="I562" s="8">
        <v>13398.04</v>
      </c>
      <c r="J562" s="8">
        <v>15299.0</v>
      </c>
      <c r="K562" s="8">
        <v>17629.0</v>
      </c>
    </row>
    <row r="563">
      <c r="A563" s="6" t="s">
        <v>489</v>
      </c>
      <c r="B563" s="6" t="s">
        <v>487</v>
      </c>
      <c r="C563" s="6" t="s">
        <v>488</v>
      </c>
      <c r="D563" s="6" t="s">
        <v>488</v>
      </c>
      <c r="E563" s="6" t="s">
        <v>5247</v>
      </c>
      <c r="F563" s="6" t="s">
        <v>5248</v>
      </c>
      <c r="G563" s="6">
        <v>8.0</v>
      </c>
      <c r="H563" s="6">
        <v>19.0</v>
      </c>
      <c r="I563" s="8">
        <v>11080.04</v>
      </c>
      <c r="J563" s="8">
        <v>12699.0</v>
      </c>
      <c r="K563" s="8">
        <v>14579.0</v>
      </c>
    </row>
    <row r="564">
      <c r="A564" s="6" t="s">
        <v>131</v>
      </c>
      <c r="B564" s="6" t="s">
        <v>129</v>
      </c>
      <c r="C564" s="6" t="s">
        <v>130</v>
      </c>
      <c r="D564" s="6" t="s">
        <v>130</v>
      </c>
      <c r="E564" s="6" t="s">
        <v>5247</v>
      </c>
      <c r="F564" s="6" t="s">
        <v>5248</v>
      </c>
      <c r="G564" s="6">
        <v>2.0</v>
      </c>
      <c r="H564" s="6">
        <v>5.0</v>
      </c>
      <c r="I564" s="8">
        <v>7173.64</v>
      </c>
      <c r="J564" s="8">
        <v>8199.0</v>
      </c>
      <c r="K564" s="8">
        <v>9439.0</v>
      </c>
    </row>
    <row r="565">
      <c r="A565" s="6" t="s">
        <v>501</v>
      </c>
      <c r="B565" s="6" t="s">
        <v>499</v>
      </c>
      <c r="C565" s="6" t="s">
        <v>500</v>
      </c>
      <c r="D565" s="6" t="s">
        <v>500</v>
      </c>
      <c r="E565" s="6" t="s">
        <v>5247</v>
      </c>
      <c r="F565" s="6" t="s">
        <v>5248</v>
      </c>
      <c r="G565" s="6" t="e">
        <v>#N/A</v>
      </c>
      <c r="H565" s="6">
        <v>13.0</v>
      </c>
      <c r="I565" s="8">
        <v>11923.64</v>
      </c>
      <c r="J565" s="8">
        <v>13599.0</v>
      </c>
      <c r="K565" s="8">
        <v>15689.0</v>
      </c>
    </row>
    <row r="566">
      <c r="A566" s="6" t="s">
        <v>125</v>
      </c>
      <c r="B566" s="6" t="s">
        <v>123</v>
      </c>
      <c r="C566" s="6" t="s">
        <v>124</v>
      </c>
      <c r="D566" s="6" t="s">
        <v>124</v>
      </c>
      <c r="E566" s="6" t="s">
        <v>5122</v>
      </c>
      <c r="F566" s="6" t="s">
        <v>5248</v>
      </c>
      <c r="G566" s="6" t="e">
        <v>#N/A</v>
      </c>
      <c r="H566" s="6">
        <v>0.0</v>
      </c>
      <c r="I566" s="8">
        <v>7067.24</v>
      </c>
      <c r="J566" s="8">
        <v>8099.0</v>
      </c>
      <c r="K566" s="8">
        <v>9299.0</v>
      </c>
    </row>
    <row r="567">
      <c r="A567" s="6" t="s">
        <v>507</v>
      </c>
      <c r="B567" s="6" t="s">
        <v>505</v>
      </c>
      <c r="C567" s="6" t="s">
        <v>506</v>
      </c>
      <c r="D567" s="6" t="s">
        <v>506</v>
      </c>
      <c r="E567" s="6" t="s">
        <v>5247</v>
      </c>
      <c r="F567" s="6" t="s">
        <v>5248</v>
      </c>
      <c r="G567" s="6">
        <v>1.0</v>
      </c>
      <c r="H567" s="6">
        <v>15.0</v>
      </c>
      <c r="I567" s="8">
        <v>12136.44</v>
      </c>
      <c r="J567" s="8">
        <v>13899.0</v>
      </c>
      <c r="K567" s="8">
        <v>15969.0</v>
      </c>
    </row>
    <row r="568">
      <c r="A568" s="6" t="s">
        <v>114</v>
      </c>
      <c r="B568" s="6" t="s">
        <v>112</v>
      </c>
      <c r="C568" s="6" t="s">
        <v>113</v>
      </c>
      <c r="D568" s="6" t="s">
        <v>113</v>
      </c>
      <c r="E568" s="6" t="s">
        <v>5247</v>
      </c>
      <c r="F568" s="6" t="s">
        <v>5248</v>
      </c>
      <c r="G568" s="6">
        <v>5.0</v>
      </c>
      <c r="H568" s="6">
        <v>32.0</v>
      </c>
      <c r="I568" s="8">
        <v>6854.44</v>
      </c>
      <c r="J568" s="8">
        <v>7799.0</v>
      </c>
      <c r="K568" s="8">
        <v>9019.0</v>
      </c>
    </row>
    <row r="569">
      <c r="A569" s="6" t="s">
        <v>711</v>
      </c>
      <c r="B569" s="6" t="s">
        <v>709</v>
      </c>
      <c r="C569" s="6" t="s">
        <v>710</v>
      </c>
      <c r="D569" s="6" t="s">
        <v>710</v>
      </c>
      <c r="E569" s="6" t="s">
        <v>5247</v>
      </c>
      <c r="F569" s="6" t="s">
        <v>5248</v>
      </c>
      <c r="G569" s="6">
        <v>10.0</v>
      </c>
      <c r="H569" s="6">
        <v>32.0</v>
      </c>
      <c r="I569" s="8">
        <v>12341.64</v>
      </c>
      <c r="J569" s="8">
        <v>14099.0</v>
      </c>
      <c r="K569" s="8">
        <v>16239.0</v>
      </c>
    </row>
    <row r="570">
      <c r="A570" s="6" t="s">
        <v>519</v>
      </c>
      <c r="B570" s="6" t="s">
        <v>517</v>
      </c>
      <c r="C570" s="6" t="s">
        <v>518</v>
      </c>
      <c r="D570" s="6" t="s">
        <v>518</v>
      </c>
      <c r="E570" s="6" t="s">
        <v>5122</v>
      </c>
      <c r="F570" s="6" t="s">
        <v>5248</v>
      </c>
      <c r="G570" s="6" t="e">
        <v>#N/A</v>
      </c>
      <c r="H570" s="6">
        <v>0.0</v>
      </c>
      <c r="I570" s="8">
        <v>12660.84</v>
      </c>
      <c r="J570" s="8">
        <v>14499.0</v>
      </c>
      <c r="K570" s="8">
        <v>16659.0</v>
      </c>
    </row>
    <row r="571">
      <c r="A571" s="6" t="s">
        <v>286</v>
      </c>
      <c r="B571" s="6" t="s">
        <v>284</v>
      </c>
      <c r="C571" s="6" t="s">
        <v>285</v>
      </c>
      <c r="D571" s="6" t="s">
        <v>285</v>
      </c>
      <c r="E571" s="6" t="s">
        <v>5247</v>
      </c>
      <c r="F571" s="6" t="s">
        <v>5248</v>
      </c>
      <c r="G571" s="6">
        <v>12.0</v>
      </c>
      <c r="H571" s="6">
        <v>84.0</v>
      </c>
      <c r="I571" s="8">
        <v>9491.64</v>
      </c>
      <c r="J571" s="8">
        <v>10899.0</v>
      </c>
      <c r="K571" s="8">
        <v>12489.0</v>
      </c>
    </row>
    <row r="572">
      <c r="A572" s="6" t="s">
        <v>163</v>
      </c>
      <c r="B572" s="6" t="s">
        <v>161</v>
      </c>
      <c r="C572" s="6" t="s">
        <v>162</v>
      </c>
      <c r="D572" s="6" t="s">
        <v>162</v>
      </c>
      <c r="E572" s="6" t="s">
        <v>5122</v>
      </c>
      <c r="F572" s="6" t="s">
        <v>5248</v>
      </c>
      <c r="G572" s="6" t="e">
        <v>#N/A</v>
      </c>
      <c r="H572" s="6">
        <v>0.0</v>
      </c>
      <c r="I572" s="8">
        <v>9180.04</v>
      </c>
      <c r="J572" s="8">
        <v>10499.0</v>
      </c>
      <c r="K572" s="8">
        <v>12079.0</v>
      </c>
    </row>
    <row r="573">
      <c r="A573" s="6" t="s">
        <v>136</v>
      </c>
      <c r="B573" s="6" t="s">
        <v>134</v>
      </c>
      <c r="C573" s="6" t="s">
        <v>135</v>
      </c>
      <c r="D573" s="6" t="s">
        <v>135</v>
      </c>
      <c r="E573" s="6" t="s">
        <v>5122</v>
      </c>
      <c r="F573" s="6" t="s">
        <v>5248</v>
      </c>
      <c r="G573" s="6">
        <v>5.0</v>
      </c>
      <c r="H573" s="6">
        <v>0.0</v>
      </c>
      <c r="I573" s="8">
        <v>7804.44</v>
      </c>
      <c r="J573" s="8">
        <v>8899.0</v>
      </c>
      <c r="K573" s="8">
        <v>10269.0</v>
      </c>
    </row>
    <row r="574">
      <c r="A574" s="6" t="s">
        <v>785</v>
      </c>
      <c r="B574" s="6" t="s">
        <v>783</v>
      </c>
      <c r="C574" s="6" t="s">
        <v>784</v>
      </c>
      <c r="D574" s="6" t="s">
        <v>784</v>
      </c>
      <c r="E574" s="6" t="s">
        <v>5122</v>
      </c>
      <c r="F574" s="6" t="s">
        <v>5248</v>
      </c>
      <c r="G574" s="6" t="e">
        <v>#N/A</v>
      </c>
      <c r="H574" s="6">
        <v>0.0</v>
      </c>
      <c r="I574" s="8">
        <v>13717.24</v>
      </c>
      <c r="J574" s="8">
        <v>15699.0</v>
      </c>
      <c r="K574" s="8">
        <v>18049.0</v>
      </c>
    </row>
    <row r="575">
      <c r="A575" s="6" t="s">
        <v>483</v>
      </c>
      <c r="B575" s="6" t="s">
        <v>481</v>
      </c>
      <c r="C575" s="6" t="s">
        <v>482</v>
      </c>
      <c r="D575" s="6" t="s">
        <v>482</v>
      </c>
      <c r="E575" s="6" t="s">
        <v>5247</v>
      </c>
      <c r="F575" s="6" t="s">
        <v>5248</v>
      </c>
      <c r="G575" s="6">
        <v>26.0</v>
      </c>
      <c r="H575" s="6">
        <v>81.0</v>
      </c>
      <c r="I575" s="8">
        <v>10548.04</v>
      </c>
      <c r="J575" s="8">
        <v>12099.0</v>
      </c>
      <c r="K575" s="8">
        <v>13879.0</v>
      </c>
    </row>
    <row r="576">
      <c r="A576" s="6" t="s">
        <v>478</v>
      </c>
      <c r="B576" s="6" t="s">
        <v>476</v>
      </c>
      <c r="C576" s="6" t="s">
        <v>477</v>
      </c>
      <c r="D576" s="6" t="s">
        <v>477</v>
      </c>
      <c r="E576" s="6" t="s">
        <v>5122</v>
      </c>
      <c r="F576" s="6" t="s">
        <v>5248</v>
      </c>
      <c r="G576" s="6" t="e">
        <v>#N/A</v>
      </c>
      <c r="H576" s="6">
        <v>0.0</v>
      </c>
      <c r="I576" s="8">
        <v>19759.24</v>
      </c>
      <c r="J576" s="8">
        <v>22599.0</v>
      </c>
      <c r="K576" s="8">
        <v>25999.0</v>
      </c>
    </row>
    <row r="577">
      <c r="A577" s="6" t="s">
        <v>1626</v>
      </c>
      <c r="B577" s="6" t="s">
        <v>1624</v>
      </c>
      <c r="C577" s="6" t="s">
        <v>1625</v>
      </c>
      <c r="D577" s="6" t="s">
        <v>1625</v>
      </c>
      <c r="E577" s="6" t="s">
        <v>5122</v>
      </c>
      <c r="F577" s="6" t="s">
        <v>5248</v>
      </c>
      <c r="G577" s="6" t="e">
        <v>#N/A</v>
      </c>
      <c r="H577" s="6">
        <v>0.0</v>
      </c>
      <c r="I577" s="8">
        <v>23099.23</v>
      </c>
      <c r="J577" s="8">
        <v>28499.0</v>
      </c>
      <c r="K577" s="8">
        <v>29999.0</v>
      </c>
    </row>
    <row r="578">
      <c r="A578" s="6" t="s">
        <v>1619</v>
      </c>
      <c r="B578" s="6" t="s">
        <v>1617</v>
      </c>
      <c r="C578" s="6" t="s">
        <v>1618</v>
      </c>
      <c r="D578" s="6" t="s">
        <v>1618</v>
      </c>
      <c r="E578" s="6" t="s">
        <v>5122</v>
      </c>
      <c r="F578" s="6" t="s">
        <v>5248</v>
      </c>
      <c r="G578" s="6" t="e">
        <v>#N/A</v>
      </c>
      <c r="H578" s="6">
        <v>0.0</v>
      </c>
      <c r="I578" s="8">
        <v>23099.23</v>
      </c>
      <c r="J578" s="8">
        <v>28499.0</v>
      </c>
      <c r="K578" s="8">
        <v>29999.0</v>
      </c>
    </row>
    <row r="579">
      <c r="A579" s="6" t="s">
        <v>255</v>
      </c>
      <c r="B579" s="6" t="s">
        <v>253</v>
      </c>
      <c r="C579" s="6" t="s">
        <v>254</v>
      </c>
      <c r="D579" s="6" t="s">
        <v>254</v>
      </c>
      <c r="E579" s="6" t="s">
        <v>5122</v>
      </c>
      <c r="F579" s="6" t="s">
        <v>5248</v>
      </c>
      <c r="G579" s="6" t="e">
        <v>#N/A</v>
      </c>
      <c r="H579" s="6">
        <v>0.0</v>
      </c>
      <c r="I579" s="8">
        <v>14439.24</v>
      </c>
      <c r="J579" s="8">
        <v>16499.0</v>
      </c>
      <c r="K579" s="8">
        <v>18999.0</v>
      </c>
    </row>
    <row r="580">
      <c r="A580" s="6" t="s">
        <v>983</v>
      </c>
      <c r="B580" s="6" t="s">
        <v>981</v>
      </c>
      <c r="C580" s="6" t="s">
        <v>982</v>
      </c>
      <c r="D580" s="6" t="s">
        <v>982</v>
      </c>
      <c r="E580" s="6" t="s">
        <v>5122</v>
      </c>
      <c r="F580" s="6" t="s">
        <v>5248</v>
      </c>
      <c r="G580" s="6" t="e">
        <v>#N/A</v>
      </c>
      <c r="H580" s="6">
        <v>0.0</v>
      </c>
      <c r="I580" s="8">
        <v>18399.2</v>
      </c>
      <c r="J580" s="8">
        <v>20699.0</v>
      </c>
      <c r="K580" s="8">
        <v>22999.0</v>
      </c>
    </row>
    <row r="581">
      <c r="A581" s="6" t="s">
        <v>995</v>
      </c>
      <c r="B581" s="6" t="s">
        <v>993</v>
      </c>
      <c r="C581" s="6" t="s">
        <v>994</v>
      </c>
      <c r="D581" s="6" t="s">
        <v>994</v>
      </c>
      <c r="E581" s="6" t="s">
        <v>5122</v>
      </c>
      <c r="F581" s="6" t="s">
        <v>5248</v>
      </c>
      <c r="G581" s="6" t="e">
        <v>#N/A</v>
      </c>
      <c r="H581" s="6">
        <v>0.0</v>
      </c>
      <c r="I581" s="8">
        <v>21599.2</v>
      </c>
      <c r="J581" s="8">
        <v>24299.0</v>
      </c>
      <c r="K581" s="8">
        <v>26999.0</v>
      </c>
    </row>
    <row r="582">
      <c r="A582" s="6" t="s">
        <v>978</v>
      </c>
      <c r="B582" s="6" t="s">
        <v>976</v>
      </c>
      <c r="C582" s="6" t="s">
        <v>977</v>
      </c>
      <c r="D582" s="6" t="s">
        <v>977</v>
      </c>
      <c r="E582" s="6" t="s">
        <v>5122</v>
      </c>
      <c r="F582" s="6" t="s">
        <v>5248</v>
      </c>
      <c r="G582" s="6" t="e">
        <v>#N/A</v>
      </c>
      <c r="H582" s="6">
        <v>0.0</v>
      </c>
      <c r="I582" s="8">
        <v>19199.2</v>
      </c>
      <c r="J582" s="8">
        <v>21599.0</v>
      </c>
      <c r="K582" s="8">
        <v>23999.0</v>
      </c>
    </row>
    <row r="583">
      <c r="A583" s="6" t="s">
        <v>1843</v>
      </c>
      <c r="B583" s="6" t="s">
        <v>1841</v>
      </c>
      <c r="C583" s="6" t="s">
        <v>1842</v>
      </c>
      <c r="D583" s="6" t="s">
        <v>1842</v>
      </c>
      <c r="E583" s="6" t="s">
        <v>5122</v>
      </c>
      <c r="F583" s="6" t="s">
        <v>5248</v>
      </c>
      <c r="G583" s="6" t="e">
        <v>#N/A</v>
      </c>
      <c r="H583" s="6">
        <v>0.0</v>
      </c>
      <c r="I583" s="8">
        <v>29399.16</v>
      </c>
      <c r="J583" s="8">
        <v>33199.0</v>
      </c>
      <c r="K583" s="8">
        <v>34999.0</v>
      </c>
    </row>
    <row r="584">
      <c r="A584" s="6" t="s">
        <v>1602</v>
      </c>
      <c r="B584" s="6" t="s">
        <v>1600</v>
      </c>
      <c r="C584" s="6" t="s">
        <v>1601</v>
      </c>
      <c r="D584" s="6" t="s">
        <v>1601</v>
      </c>
      <c r="E584" s="6" t="s">
        <v>5122</v>
      </c>
      <c r="F584" s="6" t="s">
        <v>5248</v>
      </c>
      <c r="G584" s="6" t="e">
        <v>#N/A</v>
      </c>
      <c r="H584" s="6">
        <v>0.0</v>
      </c>
      <c r="I584" s="8">
        <v>20019.23</v>
      </c>
      <c r="J584" s="8">
        <v>24699.0</v>
      </c>
      <c r="K584" s="8">
        <v>25999.0</v>
      </c>
    </row>
    <row r="585">
      <c r="A585" s="6" t="s">
        <v>1852</v>
      </c>
      <c r="B585" s="6" t="s">
        <v>1850</v>
      </c>
      <c r="C585" s="6" t="s">
        <v>1851</v>
      </c>
      <c r="D585" s="6" t="s">
        <v>1851</v>
      </c>
      <c r="E585" s="6" t="s">
        <v>5122</v>
      </c>
      <c r="F585" s="6" t="s">
        <v>5248</v>
      </c>
      <c r="G585" s="6" t="e">
        <v>#N/A</v>
      </c>
      <c r="H585" s="6">
        <v>0.0</v>
      </c>
      <c r="I585" s="8">
        <v>32759.16</v>
      </c>
      <c r="J585" s="8">
        <v>36999.0</v>
      </c>
      <c r="K585" s="8">
        <v>38999.0</v>
      </c>
    </row>
    <row r="586">
      <c r="A586" s="6" t="s">
        <v>966</v>
      </c>
      <c r="B586" s="6" t="s">
        <v>964</v>
      </c>
      <c r="C586" s="6" t="s">
        <v>965</v>
      </c>
      <c r="D586" s="6" t="s">
        <v>965</v>
      </c>
      <c r="E586" s="6" t="s">
        <v>5122</v>
      </c>
      <c r="F586" s="6" t="s">
        <v>5248</v>
      </c>
      <c r="G586" s="6" t="e">
        <v>#N/A</v>
      </c>
      <c r="H586" s="6">
        <v>0.0</v>
      </c>
      <c r="I586" s="8">
        <v>15999.2</v>
      </c>
      <c r="J586" s="8">
        <v>17999.0</v>
      </c>
      <c r="K586" s="8">
        <v>19999.0</v>
      </c>
    </row>
    <row r="587">
      <c r="A587" s="6" t="s">
        <v>468</v>
      </c>
      <c r="B587" s="6" t="s">
        <v>466</v>
      </c>
      <c r="C587" s="6" t="s">
        <v>467</v>
      </c>
      <c r="D587" s="6" t="s">
        <v>467</v>
      </c>
      <c r="E587" s="6" t="s">
        <v>5122</v>
      </c>
      <c r="F587" s="6" t="s">
        <v>5248</v>
      </c>
      <c r="G587" s="6" t="e">
        <v>#N/A</v>
      </c>
      <c r="H587" s="6">
        <v>0.0</v>
      </c>
      <c r="I587" s="8">
        <v>14439.24</v>
      </c>
      <c r="J587" s="8">
        <v>16499.0</v>
      </c>
      <c r="K587" s="8">
        <v>18999.0</v>
      </c>
    </row>
    <row r="588">
      <c r="A588" s="6" t="s">
        <v>1614</v>
      </c>
      <c r="B588" s="6" t="s">
        <v>1612</v>
      </c>
      <c r="C588" s="6" t="s">
        <v>1613</v>
      </c>
      <c r="D588" s="6" t="s">
        <v>1613</v>
      </c>
      <c r="E588" s="6" t="s">
        <v>5122</v>
      </c>
      <c r="F588" s="6" t="s">
        <v>5248</v>
      </c>
      <c r="G588" s="6" t="e">
        <v>#N/A</v>
      </c>
      <c r="H588" s="6">
        <v>0.0</v>
      </c>
      <c r="I588" s="8">
        <v>23099.23</v>
      </c>
      <c r="J588" s="8">
        <v>28499.0</v>
      </c>
      <c r="K588" s="8">
        <v>29999.0</v>
      </c>
    </row>
    <row r="589">
      <c r="A589" s="6" t="s">
        <v>5270</v>
      </c>
      <c r="B589" s="6" t="s">
        <v>4936</v>
      </c>
      <c r="C589" s="6" t="s">
        <v>4937</v>
      </c>
      <c r="D589" s="6" t="s">
        <v>4937</v>
      </c>
      <c r="E589" s="6" t="s">
        <v>5122</v>
      </c>
      <c r="F589" s="6" t="s">
        <v>5248</v>
      </c>
      <c r="G589" s="6" t="e">
        <v>#N/A</v>
      </c>
      <c r="H589" s="6">
        <v>0.0</v>
      </c>
      <c r="I589" s="8">
        <v>22799.24</v>
      </c>
      <c r="J589" s="8">
        <v>26099.0</v>
      </c>
      <c r="K589" s="8">
        <v>29999.0</v>
      </c>
    </row>
    <row r="590">
      <c r="A590" s="6" t="s">
        <v>5271</v>
      </c>
      <c r="B590" s="54" t="s">
        <v>5272</v>
      </c>
      <c r="C590" s="6" t="s">
        <v>5273</v>
      </c>
      <c r="D590" s="6" t="s">
        <v>5273</v>
      </c>
      <c r="E590" s="6" t="s">
        <v>5122</v>
      </c>
      <c r="F590" s="6" t="s">
        <v>5248</v>
      </c>
      <c r="G590" s="6" t="e">
        <v>#N/A</v>
      </c>
      <c r="H590" s="6">
        <v>0.0</v>
      </c>
      <c r="I590" s="8">
        <v>18399.2</v>
      </c>
      <c r="J590" s="8">
        <v>20699.0</v>
      </c>
      <c r="K590" s="8">
        <v>22999.0</v>
      </c>
    </row>
    <row r="591">
      <c r="A591" s="6" t="s">
        <v>419</v>
      </c>
      <c r="B591" s="6" t="s">
        <v>417</v>
      </c>
      <c r="C591" s="6" t="s">
        <v>418</v>
      </c>
      <c r="D591" s="6" t="s">
        <v>418</v>
      </c>
      <c r="E591" s="6" t="s">
        <v>5122</v>
      </c>
      <c r="F591" s="6" t="s">
        <v>5248</v>
      </c>
      <c r="G591" s="6" t="e">
        <v>#N/A</v>
      </c>
      <c r="H591" s="6">
        <v>0.0</v>
      </c>
      <c r="I591" s="8">
        <v>15959.24</v>
      </c>
      <c r="J591" s="8">
        <v>18299.0</v>
      </c>
      <c r="K591" s="8">
        <v>20999.0</v>
      </c>
    </row>
    <row r="592">
      <c r="A592" s="6" t="s">
        <v>473</v>
      </c>
      <c r="B592" s="6" t="s">
        <v>471</v>
      </c>
      <c r="C592" s="6" t="s">
        <v>472</v>
      </c>
      <c r="D592" s="6" t="s">
        <v>472</v>
      </c>
      <c r="E592" s="6" t="s">
        <v>5122</v>
      </c>
      <c r="F592" s="6" t="s">
        <v>5248</v>
      </c>
      <c r="G592" s="6" t="e">
        <v>#N/A</v>
      </c>
      <c r="H592" s="6">
        <v>0.0</v>
      </c>
      <c r="I592" s="8">
        <v>16719.24</v>
      </c>
      <c r="J592" s="8">
        <v>19099.0</v>
      </c>
      <c r="K592" s="8">
        <v>21999.0</v>
      </c>
    </row>
    <row r="593">
      <c r="A593" s="6" t="s">
        <v>1888</v>
      </c>
      <c r="B593" s="6" t="s">
        <v>1886</v>
      </c>
      <c r="C593" s="6" t="s">
        <v>1887</v>
      </c>
      <c r="D593" s="6" t="s">
        <v>1887</v>
      </c>
      <c r="E593" s="6" t="s">
        <v>5122</v>
      </c>
      <c r="F593" s="6" t="s">
        <v>5248</v>
      </c>
      <c r="G593" s="6" t="e">
        <v>#N/A</v>
      </c>
      <c r="H593" s="6">
        <v>1.0</v>
      </c>
      <c r="I593" s="8">
        <v>39479.16</v>
      </c>
      <c r="J593" s="8">
        <v>44599.0</v>
      </c>
      <c r="K593" s="8">
        <v>46999.0</v>
      </c>
    </row>
    <row r="594">
      <c r="A594" s="6" t="s">
        <v>1838</v>
      </c>
      <c r="B594" s="6" t="s">
        <v>1836</v>
      </c>
      <c r="C594" s="6" t="s">
        <v>1837</v>
      </c>
      <c r="D594" s="6" t="s">
        <v>1837</v>
      </c>
      <c r="E594" s="6" t="s">
        <v>5122</v>
      </c>
      <c r="F594" s="6" t="s">
        <v>5248</v>
      </c>
      <c r="G594" s="6" t="e">
        <v>#N/A</v>
      </c>
      <c r="H594" s="6">
        <v>0.0</v>
      </c>
      <c r="I594" s="8">
        <v>29399.16</v>
      </c>
      <c r="J594" s="8">
        <v>33199.0</v>
      </c>
      <c r="K594" s="8">
        <v>34999.0</v>
      </c>
    </row>
    <row r="595">
      <c r="A595" s="6" t="s">
        <v>5274</v>
      </c>
      <c r="B595" s="54" t="s">
        <v>5275</v>
      </c>
      <c r="C595" s="6" t="s">
        <v>5276</v>
      </c>
      <c r="D595" s="6" t="s">
        <v>5276</v>
      </c>
      <c r="E595" s="6" t="s">
        <v>5122</v>
      </c>
      <c r="F595" s="6" t="s">
        <v>5248</v>
      </c>
      <c r="G595" s="6" t="e">
        <v>#N/A</v>
      </c>
      <c r="H595" s="6">
        <v>0.0</v>
      </c>
      <c r="I595" s="8">
        <v>15999.2</v>
      </c>
      <c r="J595" s="8">
        <v>17999.0</v>
      </c>
      <c r="K595" s="8">
        <v>19999.0</v>
      </c>
    </row>
    <row r="596">
      <c r="A596" s="6" t="s">
        <v>1609</v>
      </c>
      <c r="B596" s="6" t="s">
        <v>1607</v>
      </c>
      <c r="C596" s="6" t="s">
        <v>1608</v>
      </c>
      <c r="D596" s="6" t="s">
        <v>1608</v>
      </c>
      <c r="E596" s="6" t="s">
        <v>5122</v>
      </c>
      <c r="F596" s="6" t="s">
        <v>5248</v>
      </c>
      <c r="G596" s="6" t="e">
        <v>#N/A</v>
      </c>
      <c r="H596" s="6">
        <v>0.0</v>
      </c>
      <c r="I596" s="8">
        <v>20019.23</v>
      </c>
      <c r="J596" s="8">
        <v>24699.0</v>
      </c>
      <c r="K596" s="8">
        <v>25999.0</v>
      </c>
    </row>
    <row r="597">
      <c r="A597" s="6" t="s">
        <v>3929</v>
      </c>
      <c r="B597" s="6" t="s">
        <v>3927</v>
      </c>
      <c r="C597" s="6" t="s">
        <v>3928</v>
      </c>
      <c r="D597" s="6" t="s">
        <v>3928</v>
      </c>
      <c r="E597" s="6" t="s">
        <v>5247</v>
      </c>
      <c r="F597" s="6" t="s">
        <v>5248</v>
      </c>
      <c r="G597" s="6" t="e">
        <v>#N/A</v>
      </c>
      <c r="H597" s="6">
        <v>11.0</v>
      </c>
      <c r="I597" s="8">
        <v>7721.34</v>
      </c>
      <c r="J597" s="8">
        <v>8399.0</v>
      </c>
      <c r="K597" s="8">
        <v>8799.0</v>
      </c>
    </row>
    <row r="598">
      <c r="A598" s="6" t="s">
        <v>5277</v>
      </c>
      <c r="B598" s="6" t="s">
        <v>4884</v>
      </c>
      <c r="C598" s="6" t="s">
        <v>4885</v>
      </c>
      <c r="D598" s="6" t="s">
        <v>4885</v>
      </c>
      <c r="E598" s="6" t="s">
        <v>5122</v>
      </c>
      <c r="F598" s="6" t="s">
        <v>5248</v>
      </c>
      <c r="G598" s="6" t="e">
        <v>#N/A</v>
      </c>
      <c r="H598" s="6">
        <v>0.0</v>
      </c>
      <c r="I598" s="8">
        <v>19799.34</v>
      </c>
      <c r="J598" s="8">
        <v>21599.0</v>
      </c>
      <c r="K598" s="8">
        <v>29999.0</v>
      </c>
    </row>
    <row r="599">
      <c r="A599" s="6" t="s">
        <v>3935</v>
      </c>
      <c r="B599" s="6" t="s">
        <v>3933</v>
      </c>
      <c r="C599" s="6" t="s">
        <v>3934</v>
      </c>
      <c r="D599" s="6" t="s">
        <v>3934</v>
      </c>
      <c r="E599" s="6" t="s">
        <v>5247</v>
      </c>
      <c r="F599" s="6" t="s">
        <v>5248</v>
      </c>
      <c r="G599" s="6">
        <v>1.0</v>
      </c>
      <c r="H599" s="6">
        <v>2.0</v>
      </c>
      <c r="I599" s="8">
        <v>7721.34</v>
      </c>
      <c r="J599" s="8">
        <v>8399.0</v>
      </c>
      <c r="K599" s="8">
        <v>8799.0</v>
      </c>
    </row>
    <row r="600">
      <c r="A600" s="6" t="s">
        <v>3963</v>
      </c>
      <c r="B600" s="6" t="s">
        <v>3961</v>
      </c>
      <c r="C600" s="6" t="s">
        <v>3962</v>
      </c>
      <c r="D600" s="6" t="s">
        <v>3962</v>
      </c>
      <c r="E600" s="6" t="s">
        <v>5247</v>
      </c>
      <c r="F600" s="6" t="s">
        <v>5248</v>
      </c>
      <c r="G600" s="6">
        <v>3.0</v>
      </c>
      <c r="H600" s="6">
        <v>9.0</v>
      </c>
      <c r="I600" s="8">
        <v>8117.34</v>
      </c>
      <c r="J600" s="8">
        <v>8899.0</v>
      </c>
      <c r="K600" s="8">
        <v>9199.0</v>
      </c>
    </row>
    <row r="601">
      <c r="A601" s="6" t="s">
        <v>4209</v>
      </c>
      <c r="B601" s="6" t="s">
        <v>4207</v>
      </c>
      <c r="C601" s="6" t="s">
        <v>4208</v>
      </c>
      <c r="D601" s="6" t="s">
        <v>4208</v>
      </c>
      <c r="E601" s="6" t="s">
        <v>5247</v>
      </c>
      <c r="F601" s="6" t="s">
        <v>5248</v>
      </c>
      <c r="G601" s="6">
        <v>20.0</v>
      </c>
      <c r="H601" s="6">
        <v>64.0</v>
      </c>
      <c r="I601" s="8">
        <v>16037.34</v>
      </c>
      <c r="J601" s="8">
        <v>17499.0</v>
      </c>
      <c r="K601" s="8">
        <v>18199.0</v>
      </c>
    </row>
    <row r="602">
      <c r="A602" s="6" t="s">
        <v>4122</v>
      </c>
      <c r="B602" s="6" t="s">
        <v>4120</v>
      </c>
      <c r="C602" s="6" t="s">
        <v>4121</v>
      </c>
      <c r="D602" s="6" t="s">
        <v>4121</v>
      </c>
      <c r="E602" s="6" t="s">
        <v>5247</v>
      </c>
      <c r="F602" s="6" t="s">
        <v>5248</v>
      </c>
      <c r="G602" s="6">
        <v>18.0</v>
      </c>
      <c r="H602" s="6">
        <v>26.0</v>
      </c>
      <c r="I602" s="8">
        <v>13199.34</v>
      </c>
      <c r="J602" s="8">
        <v>14399.0</v>
      </c>
      <c r="K602" s="8">
        <v>14999.0</v>
      </c>
    </row>
    <row r="603">
      <c r="A603" s="6" t="s">
        <v>4047</v>
      </c>
      <c r="B603" s="6" t="s">
        <v>4045</v>
      </c>
      <c r="C603" s="6" t="s">
        <v>4046</v>
      </c>
      <c r="D603" s="6" t="s">
        <v>4046</v>
      </c>
      <c r="E603" s="6" t="s">
        <v>5122</v>
      </c>
      <c r="F603" s="6" t="s">
        <v>5248</v>
      </c>
      <c r="G603" s="6" t="e">
        <v>#N/A</v>
      </c>
      <c r="H603" s="6">
        <v>0.0</v>
      </c>
      <c r="I603" s="8">
        <v>9965.34</v>
      </c>
      <c r="J603" s="8">
        <v>10899.0</v>
      </c>
      <c r="K603" s="8">
        <v>11299.0</v>
      </c>
    </row>
    <row r="604">
      <c r="A604" s="6" t="s">
        <v>4180</v>
      </c>
      <c r="B604" s="6" t="s">
        <v>4178</v>
      </c>
      <c r="C604" s="6" t="s">
        <v>4179</v>
      </c>
      <c r="D604" s="6" t="s">
        <v>4179</v>
      </c>
      <c r="E604" s="6" t="s">
        <v>5247</v>
      </c>
      <c r="F604" s="6" t="s">
        <v>5248</v>
      </c>
      <c r="G604" s="6" t="e">
        <v>#N/A</v>
      </c>
      <c r="H604" s="6">
        <v>1.0</v>
      </c>
      <c r="I604" s="8">
        <v>17093.34</v>
      </c>
      <c r="J604" s="8">
        <v>18599.0</v>
      </c>
      <c r="K604" s="8">
        <v>19399.0</v>
      </c>
    </row>
    <row r="605">
      <c r="A605" s="6" t="s">
        <v>4226</v>
      </c>
      <c r="B605" s="6" t="s">
        <v>4224</v>
      </c>
      <c r="C605" s="6" t="s">
        <v>4225</v>
      </c>
      <c r="D605" s="6" t="s">
        <v>4225</v>
      </c>
      <c r="E605" s="6" t="s">
        <v>5247</v>
      </c>
      <c r="F605" s="6" t="s">
        <v>5248</v>
      </c>
      <c r="G605" s="6">
        <v>9.0</v>
      </c>
      <c r="H605" s="6">
        <v>40.0</v>
      </c>
      <c r="I605" s="8">
        <v>17621.34</v>
      </c>
      <c r="J605" s="8">
        <v>19199.0</v>
      </c>
      <c r="K605" s="8">
        <v>19999.0</v>
      </c>
    </row>
    <row r="606">
      <c r="A606" s="6" t="s">
        <v>4215</v>
      </c>
      <c r="B606" s="6" t="s">
        <v>4213</v>
      </c>
      <c r="C606" s="6" t="s">
        <v>4214</v>
      </c>
      <c r="D606" s="6" t="s">
        <v>4214</v>
      </c>
      <c r="E606" s="6" t="s">
        <v>5122</v>
      </c>
      <c r="F606" s="6" t="s">
        <v>5248</v>
      </c>
      <c r="G606" s="6" t="e">
        <v>#N/A</v>
      </c>
      <c r="H606" s="6">
        <v>0.0</v>
      </c>
      <c r="I606" s="8">
        <v>17621.34</v>
      </c>
      <c r="J606" s="8">
        <v>19199.0</v>
      </c>
      <c r="K606" s="8">
        <v>19999.0</v>
      </c>
    </row>
    <row r="607">
      <c r="A607" s="6" t="s">
        <v>3980</v>
      </c>
      <c r="B607" s="6" t="s">
        <v>3978</v>
      </c>
      <c r="C607" s="6" t="s">
        <v>3979</v>
      </c>
      <c r="D607" s="6" t="s">
        <v>3979</v>
      </c>
      <c r="E607" s="6" t="s">
        <v>5247</v>
      </c>
      <c r="F607" s="6" t="s">
        <v>5248</v>
      </c>
      <c r="G607" s="6">
        <v>14.0</v>
      </c>
      <c r="H607" s="6">
        <v>11.0</v>
      </c>
      <c r="I607" s="8">
        <v>9503.34</v>
      </c>
      <c r="J607" s="8">
        <v>10399.0</v>
      </c>
      <c r="K607" s="8">
        <v>10799.0</v>
      </c>
    </row>
    <row r="608">
      <c r="A608" s="6" t="s">
        <v>3946</v>
      </c>
      <c r="B608" s="6" t="s">
        <v>3944</v>
      </c>
      <c r="C608" s="6" t="s">
        <v>3945</v>
      </c>
      <c r="D608" s="6" t="s">
        <v>3945</v>
      </c>
      <c r="E608" s="6" t="s">
        <v>5122</v>
      </c>
      <c r="F608" s="6" t="s">
        <v>5248</v>
      </c>
      <c r="G608" s="6" t="e">
        <v>#N/A</v>
      </c>
      <c r="H608" s="6">
        <v>0.0</v>
      </c>
      <c r="I608" s="8">
        <v>8777.34</v>
      </c>
      <c r="J608" s="8">
        <v>9599.0</v>
      </c>
      <c r="K608" s="8">
        <v>9999.0</v>
      </c>
    </row>
    <row r="609">
      <c r="A609" s="6" t="s">
        <v>4042</v>
      </c>
      <c r="B609" s="6" t="s">
        <v>4040</v>
      </c>
      <c r="C609" s="6" t="s">
        <v>4041</v>
      </c>
      <c r="D609" s="6" t="s">
        <v>4041</v>
      </c>
      <c r="E609" s="6" t="s">
        <v>5122</v>
      </c>
      <c r="F609" s="6" t="s">
        <v>5248</v>
      </c>
      <c r="G609" s="6" t="e">
        <v>#N/A</v>
      </c>
      <c r="H609" s="6">
        <v>0.0</v>
      </c>
      <c r="I609" s="8">
        <v>9437.34</v>
      </c>
      <c r="J609" s="8">
        <v>10299.0</v>
      </c>
      <c r="K609" s="8">
        <v>10699.0</v>
      </c>
    </row>
    <row r="610">
      <c r="A610" s="6" t="s">
        <v>4089</v>
      </c>
      <c r="B610" s="6" t="s">
        <v>4087</v>
      </c>
      <c r="C610" s="6" t="s">
        <v>4088</v>
      </c>
      <c r="D610" s="6" t="s">
        <v>4088</v>
      </c>
      <c r="E610" s="6" t="s">
        <v>5122</v>
      </c>
      <c r="F610" s="6" t="s">
        <v>5248</v>
      </c>
      <c r="G610" s="6" t="e">
        <v>#N/A</v>
      </c>
      <c r="H610" s="6">
        <v>0.0</v>
      </c>
      <c r="I610" s="8">
        <v>16037.34</v>
      </c>
      <c r="J610" s="8">
        <v>17499.0</v>
      </c>
      <c r="K610" s="8">
        <v>18199.0</v>
      </c>
    </row>
    <row r="611">
      <c r="A611" s="6" t="s">
        <v>3924</v>
      </c>
      <c r="B611" s="6" t="s">
        <v>3922</v>
      </c>
      <c r="C611" s="6" t="s">
        <v>3923</v>
      </c>
      <c r="D611" s="6" t="s">
        <v>3923</v>
      </c>
      <c r="E611" s="6" t="s">
        <v>5122</v>
      </c>
      <c r="F611" s="6" t="s">
        <v>5248</v>
      </c>
      <c r="G611" s="6">
        <v>5.0</v>
      </c>
      <c r="H611" s="6">
        <v>1.0</v>
      </c>
      <c r="I611" s="8">
        <v>6929.34</v>
      </c>
      <c r="J611" s="8">
        <v>7599.0</v>
      </c>
      <c r="K611" s="8">
        <v>7899.0</v>
      </c>
    </row>
    <row r="612">
      <c r="A612" s="6" t="s">
        <v>4157</v>
      </c>
      <c r="B612" s="6" t="s">
        <v>4155</v>
      </c>
      <c r="C612" s="6" t="s">
        <v>4156</v>
      </c>
      <c r="D612" s="6" t="s">
        <v>4156</v>
      </c>
      <c r="E612" s="6" t="s">
        <v>5122</v>
      </c>
      <c r="F612" s="6" t="s">
        <v>5248</v>
      </c>
      <c r="G612" s="6" t="e">
        <v>#N/A</v>
      </c>
      <c r="H612" s="6">
        <v>0.0</v>
      </c>
      <c r="I612" s="8">
        <v>19799.34</v>
      </c>
      <c r="J612" s="8">
        <v>21599.0</v>
      </c>
      <c r="K612" s="8">
        <v>22499.0</v>
      </c>
    </row>
    <row r="613">
      <c r="A613" s="6" t="s">
        <v>4203</v>
      </c>
      <c r="B613" s="6" t="s">
        <v>4201</v>
      </c>
      <c r="C613" s="6" t="s">
        <v>4202</v>
      </c>
      <c r="D613" s="6" t="s">
        <v>4202</v>
      </c>
      <c r="E613" s="6" t="s">
        <v>5247</v>
      </c>
      <c r="F613" s="6" t="s">
        <v>5248</v>
      </c>
      <c r="G613" s="6">
        <v>10.0</v>
      </c>
      <c r="H613" s="6">
        <v>1.0</v>
      </c>
      <c r="I613" s="8">
        <v>15377.34</v>
      </c>
      <c r="J613" s="8">
        <v>16799.0</v>
      </c>
      <c r="K613" s="8">
        <v>17499.0</v>
      </c>
    </row>
    <row r="614">
      <c r="A614" s="6" t="s">
        <v>4192</v>
      </c>
      <c r="B614" s="6" t="s">
        <v>4190</v>
      </c>
      <c r="C614" s="6" t="s">
        <v>4191</v>
      </c>
      <c r="D614" s="6" t="s">
        <v>4191</v>
      </c>
      <c r="E614" s="6" t="s">
        <v>5247</v>
      </c>
      <c r="F614" s="6" t="s">
        <v>5248</v>
      </c>
      <c r="G614" s="6">
        <v>3.0</v>
      </c>
      <c r="H614" s="6">
        <v>2.0</v>
      </c>
      <c r="I614" s="8">
        <v>17621.34</v>
      </c>
      <c r="J614" s="8">
        <v>19199.0</v>
      </c>
      <c r="K614" s="8">
        <v>19999.0</v>
      </c>
    </row>
    <row r="615">
      <c r="A615" s="6" t="s">
        <v>4231</v>
      </c>
      <c r="B615" s="6" t="s">
        <v>4229</v>
      </c>
      <c r="C615" s="6" t="s">
        <v>4230</v>
      </c>
      <c r="D615" s="6" t="s">
        <v>4230</v>
      </c>
      <c r="E615" s="6" t="s">
        <v>5247</v>
      </c>
      <c r="F615" s="6" t="s">
        <v>5248</v>
      </c>
      <c r="G615" s="6">
        <v>9.0</v>
      </c>
      <c r="H615" s="6">
        <v>40.0</v>
      </c>
      <c r="I615" s="8">
        <v>18215.34</v>
      </c>
      <c r="J615" s="8">
        <v>19899.0</v>
      </c>
      <c r="K615" s="8">
        <v>20699.0</v>
      </c>
    </row>
    <row r="616">
      <c r="A616" s="6" t="s">
        <v>3986</v>
      </c>
      <c r="B616" s="6" t="s">
        <v>3984</v>
      </c>
      <c r="C616" s="6" t="s">
        <v>3985</v>
      </c>
      <c r="D616" s="6" t="s">
        <v>3985</v>
      </c>
      <c r="E616" s="6" t="s">
        <v>5247</v>
      </c>
      <c r="F616" s="6" t="s">
        <v>5248</v>
      </c>
      <c r="G616" s="6">
        <v>3.0</v>
      </c>
      <c r="H616" s="6">
        <v>7.0</v>
      </c>
      <c r="I616" s="8">
        <v>9965.34</v>
      </c>
      <c r="J616" s="8">
        <v>10899.0</v>
      </c>
      <c r="K616" s="8">
        <v>11299.0</v>
      </c>
    </row>
    <row r="617">
      <c r="A617" s="6" t="s">
        <v>3952</v>
      </c>
      <c r="B617" s="6" t="s">
        <v>3950</v>
      </c>
      <c r="C617" s="6" t="s">
        <v>3951</v>
      </c>
      <c r="D617" s="6" t="s">
        <v>3951</v>
      </c>
      <c r="E617" s="6" t="s">
        <v>5122</v>
      </c>
      <c r="F617" s="6" t="s">
        <v>5248</v>
      </c>
      <c r="G617" s="6">
        <v>2.0</v>
      </c>
      <c r="H617" s="6">
        <v>0.0</v>
      </c>
      <c r="I617" s="8">
        <v>8777.34</v>
      </c>
      <c r="J617" s="8">
        <v>9599.0</v>
      </c>
      <c r="K617" s="8">
        <v>9999.0</v>
      </c>
    </row>
    <row r="618">
      <c r="A618" s="6" t="s">
        <v>3940</v>
      </c>
      <c r="B618" s="6" t="s">
        <v>3938</v>
      </c>
      <c r="C618" s="6" t="s">
        <v>3939</v>
      </c>
      <c r="D618" s="6" t="s">
        <v>3939</v>
      </c>
      <c r="E618" s="6" t="s">
        <v>5247</v>
      </c>
      <c r="F618" s="6" t="s">
        <v>5248</v>
      </c>
      <c r="G618" s="6">
        <v>14.0</v>
      </c>
      <c r="H618" s="6">
        <v>45.0</v>
      </c>
      <c r="I618" s="8">
        <v>8513.34</v>
      </c>
      <c r="J618" s="8">
        <v>9299.0</v>
      </c>
      <c r="K618" s="8">
        <v>9699.0</v>
      </c>
    </row>
    <row r="619">
      <c r="A619" s="6" t="s">
        <v>4162</v>
      </c>
      <c r="B619" s="6" t="s">
        <v>4160</v>
      </c>
      <c r="C619" s="6" t="s">
        <v>4161</v>
      </c>
      <c r="D619" s="6" t="s">
        <v>4161</v>
      </c>
      <c r="E619" s="6" t="s">
        <v>5122</v>
      </c>
      <c r="F619" s="6" t="s">
        <v>5248</v>
      </c>
      <c r="G619" s="6" t="e">
        <v>#N/A</v>
      </c>
      <c r="H619" s="6">
        <v>0.0</v>
      </c>
      <c r="I619" s="8">
        <v>15113.34</v>
      </c>
      <c r="J619" s="8">
        <v>16499.0</v>
      </c>
      <c r="K619" s="8">
        <v>17199.0</v>
      </c>
    </row>
    <row r="620">
      <c r="A620" s="6" t="s">
        <v>4116</v>
      </c>
      <c r="B620" s="6" t="s">
        <v>4114</v>
      </c>
      <c r="C620" s="6" t="s">
        <v>4115</v>
      </c>
      <c r="D620" s="6" t="s">
        <v>4115</v>
      </c>
      <c r="E620" s="6" t="s">
        <v>5247</v>
      </c>
      <c r="F620" s="6" t="s">
        <v>5248</v>
      </c>
      <c r="G620" s="6">
        <v>11.0</v>
      </c>
      <c r="H620" s="6">
        <v>63.0</v>
      </c>
      <c r="I620" s="8">
        <v>13199.34</v>
      </c>
      <c r="J620" s="8">
        <v>14399.0</v>
      </c>
      <c r="K620" s="8">
        <v>14999.0</v>
      </c>
    </row>
    <row r="621">
      <c r="A621" s="6" t="s">
        <v>3998</v>
      </c>
      <c r="B621" s="6" t="s">
        <v>3996</v>
      </c>
      <c r="C621" s="6" t="s">
        <v>3997</v>
      </c>
      <c r="D621" s="6" t="s">
        <v>3997</v>
      </c>
      <c r="E621" s="6" t="s">
        <v>5122</v>
      </c>
      <c r="F621" s="6" t="s">
        <v>5248</v>
      </c>
      <c r="G621" s="6" t="e">
        <v>#N/A</v>
      </c>
      <c r="H621" s="6">
        <v>0.0</v>
      </c>
      <c r="I621" s="8">
        <v>12671.34</v>
      </c>
      <c r="J621" s="8">
        <v>13799.0</v>
      </c>
      <c r="K621" s="8">
        <v>14399.0</v>
      </c>
    </row>
    <row r="622">
      <c r="A622" s="6" t="s">
        <v>4094</v>
      </c>
      <c r="B622" s="6" t="s">
        <v>4092</v>
      </c>
      <c r="C622" s="6" t="s">
        <v>4093</v>
      </c>
      <c r="D622" s="6" t="s">
        <v>4093</v>
      </c>
      <c r="E622" s="6" t="s">
        <v>5247</v>
      </c>
      <c r="F622" s="6" t="s">
        <v>5248</v>
      </c>
      <c r="G622" s="6">
        <v>4.0</v>
      </c>
      <c r="H622" s="6">
        <v>3.0</v>
      </c>
      <c r="I622" s="8">
        <v>10823.34</v>
      </c>
      <c r="J622" s="8">
        <v>11799.0</v>
      </c>
      <c r="K622" s="8">
        <v>12299.0</v>
      </c>
    </row>
    <row r="623">
      <c r="A623" s="6" t="s">
        <v>4243</v>
      </c>
      <c r="B623" s="6" t="s">
        <v>4241</v>
      </c>
      <c r="C623" s="6" t="s">
        <v>4242</v>
      </c>
      <c r="D623" s="6" t="s">
        <v>4242</v>
      </c>
      <c r="E623" s="6" t="s">
        <v>5247</v>
      </c>
      <c r="F623" s="6" t="s">
        <v>5248</v>
      </c>
      <c r="G623" s="6">
        <v>1.0</v>
      </c>
      <c r="H623" s="6">
        <v>1.0</v>
      </c>
      <c r="I623" s="8">
        <v>20393.34</v>
      </c>
      <c r="J623" s="8">
        <v>22199.0</v>
      </c>
      <c r="K623" s="8">
        <v>23199.0</v>
      </c>
    </row>
    <row r="624">
      <c r="A624" s="6" t="s">
        <v>4052</v>
      </c>
      <c r="B624" s="6" t="s">
        <v>4050</v>
      </c>
      <c r="C624" s="6" t="s">
        <v>4051</v>
      </c>
      <c r="D624" s="6" t="s">
        <v>4051</v>
      </c>
      <c r="E624" s="6" t="s">
        <v>5122</v>
      </c>
      <c r="F624" s="6" t="s">
        <v>5248</v>
      </c>
      <c r="G624" s="6" t="e">
        <v>#N/A</v>
      </c>
      <c r="H624" s="6">
        <v>0.0</v>
      </c>
      <c r="I624" s="8">
        <v>9965.34</v>
      </c>
      <c r="J624" s="8">
        <v>10899.0</v>
      </c>
      <c r="K624" s="8">
        <v>11299.0</v>
      </c>
    </row>
    <row r="625">
      <c r="A625" s="6" t="s">
        <v>4221</v>
      </c>
      <c r="B625" s="6" t="s">
        <v>4219</v>
      </c>
      <c r="C625" s="6" t="s">
        <v>4220</v>
      </c>
      <c r="D625" s="6" t="s">
        <v>4220</v>
      </c>
      <c r="E625" s="6" t="s">
        <v>5122</v>
      </c>
      <c r="F625" s="6" t="s">
        <v>5248</v>
      </c>
      <c r="G625" s="6" t="e">
        <v>#N/A</v>
      </c>
      <c r="H625" s="6">
        <v>0.0</v>
      </c>
      <c r="I625" s="8">
        <v>18743.34</v>
      </c>
      <c r="J625" s="8">
        <v>20399.0</v>
      </c>
      <c r="K625" s="8">
        <v>21299.0</v>
      </c>
    </row>
    <row r="626">
      <c r="A626" s="6" t="s">
        <v>4105</v>
      </c>
      <c r="B626" s="6" t="s">
        <v>4103</v>
      </c>
      <c r="C626" s="6" t="s">
        <v>4104</v>
      </c>
      <c r="D626" s="6" t="s">
        <v>4104</v>
      </c>
      <c r="E626" s="6" t="s">
        <v>5247</v>
      </c>
      <c r="F626" s="6" t="s">
        <v>5248</v>
      </c>
      <c r="G626" s="6">
        <v>7.0</v>
      </c>
      <c r="H626" s="6">
        <v>1.0</v>
      </c>
      <c r="I626" s="8">
        <v>11021.34</v>
      </c>
      <c r="J626" s="8">
        <v>11999.0</v>
      </c>
      <c r="K626" s="8">
        <v>12499.0</v>
      </c>
    </row>
    <row r="627">
      <c r="A627" s="6" t="s">
        <v>4078</v>
      </c>
      <c r="B627" s="6" t="s">
        <v>4076</v>
      </c>
      <c r="C627" s="6" t="s">
        <v>4077</v>
      </c>
      <c r="D627" s="6" t="s">
        <v>4077</v>
      </c>
      <c r="E627" s="6" t="s">
        <v>5247</v>
      </c>
      <c r="F627" s="6" t="s">
        <v>5248</v>
      </c>
      <c r="G627" s="6">
        <v>6.0</v>
      </c>
      <c r="H627" s="6">
        <v>1.0</v>
      </c>
      <c r="I627" s="8">
        <v>12671.34</v>
      </c>
      <c r="J627" s="8">
        <v>13799.0</v>
      </c>
      <c r="K627" s="8">
        <v>14399.0</v>
      </c>
    </row>
    <row r="628">
      <c r="A628" s="6" t="s">
        <v>5278</v>
      </c>
      <c r="B628" s="6" t="s">
        <v>4873</v>
      </c>
      <c r="C628" s="6" t="s">
        <v>4874</v>
      </c>
      <c r="D628" s="6" t="s">
        <v>4874</v>
      </c>
      <c r="E628" s="6" t="s">
        <v>5122</v>
      </c>
      <c r="F628" s="6" t="s">
        <v>5248</v>
      </c>
      <c r="G628" s="6" t="e">
        <v>#N/A</v>
      </c>
      <c r="H628" s="6">
        <v>0.0</v>
      </c>
      <c r="I628" s="8">
        <v>18743.34</v>
      </c>
      <c r="J628" s="8">
        <v>20399.0</v>
      </c>
      <c r="K628" s="8">
        <v>28399.0</v>
      </c>
    </row>
    <row r="629">
      <c r="A629" s="6" t="s">
        <v>4067</v>
      </c>
      <c r="B629" s="6" t="s">
        <v>4065</v>
      </c>
      <c r="C629" s="6" t="s">
        <v>4066</v>
      </c>
      <c r="D629" s="6" t="s">
        <v>4066</v>
      </c>
      <c r="E629" s="6" t="s">
        <v>5122</v>
      </c>
      <c r="F629" s="6" t="s">
        <v>5248</v>
      </c>
      <c r="G629" s="6">
        <v>1.0</v>
      </c>
      <c r="H629" s="6">
        <v>0.0</v>
      </c>
      <c r="I629" s="8">
        <v>11615.34</v>
      </c>
      <c r="J629" s="8">
        <v>12699.0</v>
      </c>
      <c r="K629" s="8">
        <v>13199.0</v>
      </c>
    </row>
    <row r="630">
      <c r="A630" s="6" t="s">
        <v>4062</v>
      </c>
      <c r="B630" s="6" t="s">
        <v>4060</v>
      </c>
      <c r="C630" s="6" t="s">
        <v>4061</v>
      </c>
      <c r="D630" s="6" t="s">
        <v>4061</v>
      </c>
      <c r="E630" s="6" t="s">
        <v>5122</v>
      </c>
      <c r="F630" s="6" t="s">
        <v>5248</v>
      </c>
      <c r="G630" s="6" t="e">
        <v>#N/A</v>
      </c>
      <c r="H630" s="6">
        <v>0.0</v>
      </c>
      <c r="I630" s="8">
        <v>11615.34</v>
      </c>
      <c r="J630" s="8">
        <v>12699.0</v>
      </c>
      <c r="K630" s="8">
        <v>13199.0</v>
      </c>
    </row>
    <row r="631">
      <c r="A631" s="6" t="s">
        <v>4099</v>
      </c>
      <c r="B631" s="6" t="s">
        <v>4097</v>
      </c>
      <c r="C631" s="6" t="s">
        <v>4098</v>
      </c>
      <c r="D631" s="6" t="s">
        <v>4098</v>
      </c>
      <c r="E631" s="6" t="s">
        <v>5247</v>
      </c>
      <c r="F631" s="6" t="s">
        <v>5248</v>
      </c>
      <c r="G631" s="6">
        <v>8.0</v>
      </c>
      <c r="H631" s="6">
        <v>6.0</v>
      </c>
      <c r="I631" s="8">
        <v>10823.34</v>
      </c>
      <c r="J631" s="8">
        <v>11799.0</v>
      </c>
      <c r="K631" s="8">
        <v>12299.0</v>
      </c>
    </row>
    <row r="632">
      <c r="A632" s="6" t="s">
        <v>4134</v>
      </c>
      <c r="B632" s="6" t="s">
        <v>4132</v>
      </c>
      <c r="C632" s="6" t="s">
        <v>4133</v>
      </c>
      <c r="D632" s="6" t="s">
        <v>4133</v>
      </c>
      <c r="E632" s="6" t="s">
        <v>5122</v>
      </c>
      <c r="F632" s="6" t="s">
        <v>5248</v>
      </c>
      <c r="G632" s="6" t="e">
        <v>#N/A</v>
      </c>
      <c r="H632" s="6">
        <v>0.0</v>
      </c>
      <c r="I632" s="8">
        <v>15377.34</v>
      </c>
      <c r="J632" s="8">
        <v>16799.0</v>
      </c>
      <c r="K632" s="8">
        <v>17499.0</v>
      </c>
    </row>
    <row r="633">
      <c r="A633" s="6" t="s">
        <v>4084</v>
      </c>
      <c r="B633" s="6" t="s">
        <v>4082</v>
      </c>
      <c r="C633" s="6" t="s">
        <v>4083</v>
      </c>
      <c r="D633" s="6" t="s">
        <v>4083</v>
      </c>
      <c r="E633" s="6" t="s">
        <v>5122</v>
      </c>
      <c r="F633" s="6" t="s">
        <v>5248</v>
      </c>
      <c r="G633" s="6" t="e">
        <v>#N/A</v>
      </c>
      <c r="H633" s="6">
        <v>0.0</v>
      </c>
      <c r="I633" s="8">
        <v>12671.34</v>
      </c>
      <c r="J633" s="8">
        <v>13799.0</v>
      </c>
      <c r="K633" s="8">
        <v>14399.0</v>
      </c>
    </row>
    <row r="634">
      <c r="A634" s="6" t="s">
        <v>4057</v>
      </c>
      <c r="B634" s="6" t="s">
        <v>4055</v>
      </c>
      <c r="C634" s="6" t="s">
        <v>4056</v>
      </c>
      <c r="D634" s="6" t="s">
        <v>4056</v>
      </c>
      <c r="E634" s="6" t="s">
        <v>5122</v>
      </c>
      <c r="F634" s="6" t="s">
        <v>5248</v>
      </c>
      <c r="G634" s="6" t="e">
        <v>#N/A</v>
      </c>
      <c r="H634" s="6">
        <v>0.0</v>
      </c>
      <c r="I634" s="8">
        <v>10889.34</v>
      </c>
      <c r="J634" s="8">
        <v>11899.0</v>
      </c>
      <c r="K634" s="8">
        <v>12399.0</v>
      </c>
    </row>
    <row r="635">
      <c r="A635" s="6" t="s">
        <v>3969</v>
      </c>
      <c r="B635" s="6" t="s">
        <v>3967</v>
      </c>
      <c r="C635" s="6" t="s">
        <v>3968</v>
      </c>
      <c r="D635" s="6" t="s">
        <v>3968</v>
      </c>
      <c r="E635" s="6" t="s">
        <v>5122</v>
      </c>
      <c r="F635" s="6" t="s">
        <v>5248</v>
      </c>
      <c r="G635" s="6" t="e">
        <v>#N/A</v>
      </c>
      <c r="H635" s="6">
        <v>0.0</v>
      </c>
      <c r="I635" s="8">
        <v>8777.34</v>
      </c>
      <c r="J635" s="8">
        <v>9599.0</v>
      </c>
      <c r="K635" s="8">
        <v>9999.0</v>
      </c>
    </row>
    <row r="636">
      <c r="A636" s="6" t="s">
        <v>4139</v>
      </c>
      <c r="B636" s="6" t="s">
        <v>4137</v>
      </c>
      <c r="C636" s="6" t="s">
        <v>4138</v>
      </c>
      <c r="D636" s="6" t="s">
        <v>4138</v>
      </c>
      <c r="E636" s="6" t="s">
        <v>5247</v>
      </c>
      <c r="F636" s="6" t="s">
        <v>5248</v>
      </c>
      <c r="G636" s="6">
        <v>10.0</v>
      </c>
      <c r="H636" s="6">
        <v>84.0</v>
      </c>
      <c r="I636" s="8">
        <v>15113.34</v>
      </c>
      <c r="J636" s="8">
        <v>16499.0</v>
      </c>
      <c r="K636" s="8">
        <v>17199.0</v>
      </c>
    </row>
    <row r="637">
      <c r="A637" s="6" t="s">
        <v>4111</v>
      </c>
      <c r="B637" s="6" t="s">
        <v>4109</v>
      </c>
      <c r="C637" s="6" t="s">
        <v>4110</v>
      </c>
      <c r="D637" s="6" t="s">
        <v>4110</v>
      </c>
      <c r="E637" s="6" t="s">
        <v>5122</v>
      </c>
      <c r="F637" s="6" t="s">
        <v>5248</v>
      </c>
      <c r="G637" s="6" t="e">
        <v>#N/A</v>
      </c>
      <c r="H637" s="6">
        <v>0.0</v>
      </c>
      <c r="I637" s="8">
        <v>13661.34</v>
      </c>
      <c r="J637" s="8">
        <v>14899.0</v>
      </c>
      <c r="K637" s="8">
        <v>15499.0</v>
      </c>
    </row>
    <row r="638">
      <c r="A638" s="6" t="s">
        <v>4186</v>
      </c>
      <c r="B638" s="6" t="s">
        <v>4184</v>
      </c>
      <c r="C638" s="6" t="s">
        <v>4185</v>
      </c>
      <c r="D638" s="6" t="s">
        <v>4185</v>
      </c>
      <c r="E638" s="6" t="s">
        <v>5122</v>
      </c>
      <c r="F638" s="6" t="s">
        <v>5248</v>
      </c>
      <c r="G638" s="6" t="e">
        <v>#N/A</v>
      </c>
      <c r="H638" s="6">
        <v>0.0</v>
      </c>
      <c r="I638" s="8">
        <v>17621.34</v>
      </c>
      <c r="J638" s="8">
        <v>19199.0</v>
      </c>
      <c r="K638" s="8">
        <v>19999.0</v>
      </c>
    </row>
    <row r="639">
      <c r="A639" s="6" t="s">
        <v>4151</v>
      </c>
      <c r="B639" s="6" t="s">
        <v>4149</v>
      </c>
      <c r="C639" s="6" t="s">
        <v>4150</v>
      </c>
      <c r="D639" s="6" t="s">
        <v>4150</v>
      </c>
      <c r="E639" s="6" t="s">
        <v>5247</v>
      </c>
      <c r="F639" s="6" t="s">
        <v>5248</v>
      </c>
      <c r="G639" s="6">
        <v>14.0</v>
      </c>
      <c r="H639" s="6">
        <v>31.0</v>
      </c>
      <c r="I639" s="8">
        <v>16037.34</v>
      </c>
      <c r="J639" s="8">
        <v>17499.0</v>
      </c>
      <c r="K639" s="8">
        <v>18199.0</v>
      </c>
    </row>
    <row r="640">
      <c r="A640" s="6" t="s">
        <v>4168</v>
      </c>
      <c r="B640" s="6" t="s">
        <v>4166</v>
      </c>
      <c r="C640" s="6" t="s">
        <v>4167</v>
      </c>
      <c r="D640" s="6" t="s">
        <v>4167</v>
      </c>
      <c r="E640" s="6" t="s">
        <v>5122</v>
      </c>
      <c r="F640" s="6" t="s">
        <v>5248</v>
      </c>
      <c r="G640" s="6" t="e">
        <v>#N/A</v>
      </c>
      <c r="H640" s="6">
        <v>0.0</v>
      </c>
      <c r="I640" s="8">
        <v>15377.34</v>
      </c>
      <c r="J640" s="8">
        <v>16799.0</v>
      </c>
      <c r="K640" s="8">
        <v>17499.0</v>
      </c>
    </row>
    <row r="641">
      <c r="A641" s="6" t="s">
        <v>4128</v>
      </c>
      <c r="B641" s="6" t="s">
        <v>4126</v>
      </c>
      <c r="C641" s="6" t="s">
        <v>4127</v>
      </c>
      <c r="D641" s="6" t="s">
        <v>4127</v>
      </c>
      <c r="E641" s="6" t="s">
        <v>5247</v>
      </c>
      <c r="F641" s="6" t="s">
        <v>5248</v>
      </c>
      <c r="G641" s="6">
        <v>14.0</v>
      </c>
      <c r="H641" s="6">
        <v>23.0</v>
      </c>
      <c r="I641" s="8">
        <v>13529.34</v>
      </c>
      <c r="J641" s="8">
        <v>14799.0</v>
      </c>
      <c r="K641" s="8">
        <v>15399.0</v>
      </c>
    </row>
    <row r="642">
      <c r="A642" s="6" t="s">
        <v>4145</v>
      </c>
      <c r="B642" s="6" t="s">
        <v>4143</v>
      </c>
      <c r="C642" s="6" t="s">
        <v>4144</v>
      </c>
      <c r="D642" s="6" t="s">
        <v>4144</v>
      </c>
      <c r="E642" s="6" t="s">
        <v>5247</v>
      </c>
      <c r="F642" s="6" t="s">
        <v>5248</v>
      </c>
      <c r="G642" s="6">
        <v>11.0</v>
      </c>
      <c r="H642" s="6">
        <v>37.0</v>
      </c>
      <c r="I642" s="8">
        <v>15377.34</v>
      </c>
      <c r="J642" s="8">
        <v>16799.0</v>
      </c>
      <c r="K642" s="8">
        <v>17499.0</v>
      </c>
    </row>
    <row r="643">
      <c r="A643" s="6" t="s">
        <v>5279</v>
      </c>
      <c r="B643" s="6" t="s">
        <v>4869</v>
      </c>
      <c r="C643" s="6" t="s">
        <v>4870</v>
      </c>
      <c r="D643" s="6" t="s">
        <v>4870</v>
      </c>
      <c r="E643" s="6" t="s">
        <v>5122</v>
      </c>
      <c r="F643" s="6" t="s">
        <v>5248</v>
      </c>
      <c r="G643" s="6" t="e">
        <v>#N/A</v>
      </c>
      <c r="H643" s="6">
        <v>0.0</v>
      </c>
      <c r="I643" s="8">
        <v>16565.34</v>
      </c>
      <c r="J643" s="8">
        <v>18099.0</v>
      </c>
      <c r="K643" s="8">
        <v>25099.0</v>
      </c>
    </row>
    <row r="644">
      <c r="A644" s="6" t="s">
        <v>3958</v>
      </c>
      <c r="B644" s="6" t="s">
        <v>3956</v>
      </c>
      <c r="C644" s="6" t="s">
        <v>3957</v>
      </c>
      <c r="D644" s="6" t="s">
        <v>3957</v>
      </c>
      <c r="E644" s="6" t="s">
        <v>5247</v>
      </c>
      <c r="F644" s="6" t="s">
        <v>5248</v>
      </c>
      <c r="G644" s="6" t="e">
        <v>#N/A</v>
      </c>
      <c r="H644" s="6">
        <v>4.0</v>
      </c>
      <c r="I644" s="8">
        <v>11021.34</v>
      </c>
      <c r="J644" s="8">
        <v>11999.0</v>
      </c>
      <c r="K644" s="8">
        <v>12499.0</v>
      </c>
    </row>
    <row r="645">
      <c r="A645" s="6" t="s">
        <v>5280</v>
      </c>
      <c r="B645" s="6" t="s">
        <v>4881</v>
      </c>
      <c r="C645" s="6" t="s">
        <v>4878</v>
      </c>
      <c r="D645" s="6" t="s">
        <v>4878</v>
      </c>
      <c r="E645" s="6" t="s">
        <v>5122</v>
      </c>
      <c r="F645" s="6" t="s">
        <v>5248</v>
      </c>
      <c r="G645" s="6" t="e">
        <v>#N/A</v>
      </c>
      <c r="H645" s="6">
        <v>0.0</v>
      </c>
      <c r="I645" s="8">
        <v>17621.34</v>
      </c>
      <c r="J645" s="8">
        <v>19199.0</v>
      </c>
      <c r="K645" s="8">
        <v>26699.0</v>
      </c>
    </row>
    <row r="646">
      <c r="A646" s="6" t="s">
        <v>4072</v>
      </c>
      <c r="B646" s="6" t="s">
        <v>4070</v>
      </c>
      <c r="C646" s="6" t="s">
        <v>4071</v>
      </c>
      <c r="D646" s="6" t="s">
        <v>4071</v>
      </c>
      <c r="E646" s="6" t="s">
        <v>5247</v>
      </c>
      <c r="F646" s="6" t="s">
        <v>5248</v>
      </c>
      <c r="G646" s="6">
        <v>5.0</v>
      </c>
      <c r="H646" s="6">
        <v>1.0</v>
      </c>
      <c r="I646" s="8">
        <v>12473.34</v>
      </c>
      <c r="J646" s="8">
        <v>13599.0</v>
      </c>
      <c r="K646" s="8">
        <v>14199.0</v>
      </c>
    </row>
    <row r="647">
      <c r="A647" s="6" t="s">
        <v>3975</v>
      </c>
      <c r="B647" s="6" t="s">
        <v>3973</v>
      </c>
      <c r="C647" s="6" t="s">
        <v>3974</v>
      </c>
      <c r="D647" s="6" t="s">
        <v>3974</v>
      </c>
      <c r="E647" s="6" t="s">
        <v>5247</v>
      </c>
      <c r="F647" s="6" t="s">
        <v>5248</v>
      </c>
      <c r="G647" s="6" t="e">
        <v>#N/A</v>
      </c>
      <c r="H647" s="6">
        <v>1.0</v>
      </c>
      <c r="I647" s="8">
        <v>8777.34</v>
      </c>
      <c r="J647" s="8">
        <v>9599.0</v>
      </c>
      <c r="K647" s="8">
        <v>9999.0</v>
      </c>
    </row>
    <row r="648">
      <c r="A648" s="6" t="s">
        <v>4237</v>
      </c>
      <c r="B648" s="6" t="s">
        <v>4235</v>
      </c>
      <c r="C648" s="6" t="s">
        <v>4236</v>
      </c>
      <c r="D648" s="6" t="s">
        <v>4236</v>
      </c>
      <c r="E648" s="6" t="s">
        <v>5247</v>
      </c>
      <c r="F648" s="6" t="s">
        <v>5248</v>
      </c>
      <c r="G648" s="6">
        <v>27.0</v>
      </c>
      <c r="H648" s="6">
        <v>128.0</v>
      </c>
      <c r="I648" s="8">
        <v>18215.34</v>
      </c>
      <c r="J648" s="8">
        <v>19899.0</v>
      </c>
      <c r="K648" s="8">
        <v>20699.0</v>
      </c>
    </row>
    <row r="649">
      <c r="A649" s="6" t="s">
        <v>4249</v>
      </c>
      <c r="B649" s="6" t="s">
        <v>4247</v>
      </c>
      <c r="C649" s="6" t="s">
        <v>4248</v>
      </c>
      <c r="D649" s="6" t="s">
        <v>4248</v>
      </c>
      <c r="E649" s="6" t="s">
        <v>5247</v>
      </c>
      <c r="F649" s="6" t="s">
        <v>5248</v>
      </c>
      <c r="G649" s="6">
        <v>4.0</v>
      </c>
      <c r="H649" s="6">
        <v>1.0</v>
      </c>
      <c r="I649" s="8">
        <v>21977.34</v>
      </c>
      <c r="J649" s="8">
        <v>23999.0</v>
      </c>
      <c r="K649" s="8">
        <v>24999.0</v>
      </c>
    </row>
    <row r="650">
      <c r="A650" s="6" t="s">
        <v>4174</v>
      </c>
      <c r="B650" s="6" t="s">
        <v>4172</v>
      </c>
      <c r="C650" s="6" t="s">
        <v>4173</v>
      </c>
      <c r="D650" s="6" t="s">
        <v>4173</v>
      </c>
      <c r="E650" s="6" t="s">
        <v>5122</v>
      </c>
      <c r="F650" s="6" t="s">
        <v>5248</v>
      </c>
      <c r="G650" s="6" t="e">
        <v>#N/A</v>
      </c>
      <c r="H650" s="6">
        <v>0.0</v>
      </c>
      <c r="I650" s="8">
        <v>15245.34</v>
      </c>
      <c r="J650" s="8">
        <v>16599.0</v>
      </c>
      <c r="K650" s="8">
        <v>17299.0</v>
      </c>
    </row>
    <row r="651">
      <c r="A651" s="6" t="s">
        <v>741</v>
      </c>
      <c r="B651" s="6" t="s">
        <v>739</v>
      </c>
      <c r="C651" s="6" t="s">
        <v>740</v>
      </c>
      <c r="D651" s="6" t="s">
        <v>740</v>
      </c>
      <c r="E651" s="6" t="s">
        <v>5247</v>
      </c>
      <c r="F651" s="6" t="s">
        <v>5248</v>
      </c>
      <c r="G651" s="6">
        <v>1.0</v>
      </c>
      <c r="H651" s="6">
        <v>1.0</v>
      </c>
      <c r="I651" s="8">
        <v>10494.84</v>
      </c>
      <c r="J651" s="8">
        <v>11999.0</v>
      </c>
      <c r="K651" s="8">
        <v>13809.0</v>
      </c>
    </row>
    <row r="652">
      <c r="A652" s="6" t="s">
        <v>180</v>
      </c>
      <c r="B652" s="6" t="s">
        <v>178</v>
      </c>
      <c r="C652" s="6" t="s">
        <v>179</v>
      </c>
      <c r="D652" s="6" t="s">
        <v>179</v>
      </c>
      <c r="E652" s="6" t="s">
        <v>5122</v>
      </c>
      <c r="F652" s="6" t="s">
        <v>5248</v>
      </c>
      <c r="G652" s="6" t="e">
        <v>#N/A</v>
      </c>
      <c r="H652" s="6">
        <v>0.0</v>
      </c>
      <c r="I652" s="8">
        <v>5995.64</v>
      </c>
      <c r="J652" s="8">
        <v>6899.0</v>
      </c>
      <c r="K652" s="8">
        <v>7889.0</v>
      </c>
    </row>
    <row r="653">
      <c r="A653" s="6" t="s">
        <v>185</v>
      </c>
      <c r="B653" s="6" t="s">
        <v>183</v>
      </c>
      <c r="C653" s="6" t="s">
        <v>184</v>
      </c>
      <c r="D653" s="6" t="s">
        <v>184</v>
      </c>
      <c r="E653" s="6" t="s">
        <v>5247</v>
      </c>
      <c r="F653" s="6" t="s">
        <v>5248</v>
      </c>
      <c r="G653" s="6">
        <v>54.0</v>
      </c>
      <c r="H653" s="6">
        <v>88.0</v>
      </c>
      <c r="I653" s="8">
        <v>5995.64</v>
      </c>
      <c r="J653" s="8">
        <v>6899.0</v>
      </c>
      <c r="K653" s="8">
        <v>7889.0</v>
      </c>
    </row>
    <row r="654">
      <c r="A654" s="6" t="s">
        <v>317</v>
      </c>
      <c r="B654" s="6" t="s">
        <v>315</v>
      </c>
      <c r="C654" s="6" t="s">
        <v>316</v>
      </c>
      <c r="D654" s="6" t="s">
        <v>316</v>
      </c>
      <c r="E654" s="6" t="s">
        <v>5247</v>
      </c>
      <c r="F654" s="6" t="s">
        <v>5248</v>
      </c>
      <c r="G654" s="6">
        <v>11.0</v>
      </c>
      <c r="H654" s="6">
        <v>25.0</v>
      </c>
      <c r="I654" s="8">
        <v>7796.84</v>
      </c>
      <c r="J654" s="8">
        <v>8899.0</v>
      </c>
      <c r="K654" s="8">
        <v>10259.0</v>
      </c>
    </row>
    <row r="655">
      <c r="A655" s="6" t="s">
        <v>548</v>
      </c>
      <c r="B655" s="6" t="s">
        <v>546</v>
      </c>
      <c r="C655" s="6" t="s">
        <v>547</v>
      </c>
      <c r="D655" s="6" t="s">
        <v>547</v>
      </c>
      <c r="E655" s="6" t="s">
        <v>5122</v>
      </c>
      <c r="F655" s="6" t="s">
        <v>5248</v>
      </c>
      <c r="G655" s="6" t="e">
        <v>#N/A</v>
      </c>
      <c r="H655" s="6">
        <v>0.0</v>
      </c>
      <c r="I655" s="8">
        <v>9795.64</v>
      </c>
      <c r="J655" s="8">
        <v>11199.0</v>
      </c>
      <c r="K655" s="8">
        <v>12889.0</v>
      </c>
    </row>
    <row r="656">
      <c r="A656" s="6" t="s">
        <v>168</v>
      </c>
      <c r="B656" s="6" t="s">
        <v>166</v>
      </c>
      <c r="C656" s="6" t="s">
        <v>167</v>
      </c>
      <c r="D656" s="6" t="s">
        <v>167</v>
      </c>
      <c r="E656" s="6" t="s">
        <v>5122</v>
      </c>
      <c r="F656" s="6" t="s">
        <v>5248</v>
      </c>
      <c r="G656" s="6">
        <v>2.0</v>
      </c>
      <c r="H656" s="6">
        <v>0.0</v>
      </c>
      <c r="I656" s="8">
        <v>5592.84</v>
      </c>
      <c r="J656" s="8">
        <v>6399.0</v>
      </c>
      <c r="K656" s="8">
        <v>7359.0</v>
      </c>
    </row>
    <row r="657">
      <c r="A657" s="6" t="s">
        <v>765</v>
      </c>
      <c r="B657" s="6" t="s">
        <v>763</v>
      </c>
      <c r="C657" s="6" t="s">
        <v>764</v>
      </c>
      <c r="D657" s="6" t="s">
        <v>764</v>
      </c>
      <c r="E657" s="6" t="s">
        <v>5122</v>
      </c>
      <c r="F657" s="6" t="s">
        <v>5248</v>
      </c>
      <c r="G657" s="6" t="e">
        <v>#N/A</v>
      </c>
      <c r="H657" s="6">
        <v>0.0</v>
      </c>
      <c r="I657" s="8">
        <v>12493.64</v>
      </c>
      <c r="J657" s="8">
        <v>14299.0</v>
      </c>
      <c r="K657" s="8">
        <v>16439.0</v>
      </c>
    </row>
    <row r="658">
      <c r="A658" s="6" t="s">
        <v>542</v>
      </c>
      <c r="B658" s="6" t="s">
        <v>540</v>
      </c>
      <c r="C658" s="6" t="s">
        <v>541</v>
      </c>
      <c r="D658" s="6" t="s">
        <v>541</v>
      </c>
      <c r="E658" s="6" t="s">
        <v>5122</v>
      </c>
      <c r="F658" s="6" t="s">
        <v>5248</v>
      </c>
      <c r="G658" s="6" t="e">
        <v>#N/A</v>
      </c>
      <c r="H658" s="6">
        <v>0.0</v>
      </c>
      <c r="I658" s="8">
        <v>9294.04</v>
      </c>
      <c r="J658" s="8">
        <v>10599.0</v>
      </c>
      <c r="K658" s="8">
        <v>12229.0</v>
      </c>
    </row>
    <row r="659">
      <c r="A659" s="6" t="s">
        <v>530</v>
      </c>
      <c r="B659" s="6" t="s">
        <v>528</v>
      </c>
      <c r="C659" s="6" t="s">
        <v>529</v>
      </c>
      <c r="D659" s="6" t="s">
        <v>529</v>
      </c>
      <c r="E659" s="6" t="s">
        <v>5247</v>
      </c>
      <c r="F659" s="6" t="s">
        <v>5248</v>
      </c>
      <c r="G659" s="6">
        <v>25.0</v>
      </c>
      <c r="H659" s="6">
        <v>31.0</v>
      </c>
      <c r="I659" s="8">
        <v>8792.44</v>
      </c>
      <c r="J659" s="8">
        <v>10099.0</v>
      </c>
      <c r="K659" s="8">
        <v>11569.0</v>
      </c>
    </row>
    <row r="660">
      <c r="A660" s="6" t="s">
        <v>333</v>
      </c>
      <c r="B660" s="6" t="s">
        <v>331</v>
      </c>
      <c r="C660" s="6" t="s">
        <v>332</v>
      </c>
      <c r="D660" s="6" t="s">
        <v>332</v>
      </c>
      <c r="E660" s="6" t="s">
        <v>5122</v>
      </c>
      <c r="F660" s="6" t="s">
        <v>5248</v>
      </c>
      <c r="G660" s="6" t="e">
        <v>#N/A</v>
      </c>
      <c r="H660" s="6">
        <v>0.0</v>
      </c>
      <c r="I660" s="8">
        <v>8290.84</v>
      </c>
      <c r="J660" s="8">
        <v>9499.0</v>
      </c>
      <c r="K660" s="8">
        <v>10909.0</v>
      </c>
    </row>
    <row r="661">
      <c r="A661" s="6" t="s">
        <v>5281</v>
      </c>
      <c r="B661" s="6" t="s">
        <v>4920</v>
      </c>
      <c r="C661" s="6" t="s">
        <v>4921</v>
      </c>
      <c r="D661" s="6" t="s">
        <v>4921</v>
      </c>
      <c r="E661" s="6" t="s">
        <v>5122</v>
      </c>
      <c r="F661" s="6" t="s">
        <v>5248</v>
      </c>
      <c r="G661" s="6" t="e">
        <v>#N/A</v>
      </c>
      <c r="H661" s="6">
        <v>0.0</v>
      </c>
      <c r="I661" s="8">
        <v>6991.24</v>
      </c>
      <c r="J661" s="8">
        <v>7999.0</v>
      </c>
      <c r="K661" s="8">
        <v>9199.0</v>
      </c>
    </row>
    <row r="662">
      <c r="A662" s="6" t="s">
        <v>753</v>
      </c>
      <c r="B662" s="6" t="s">
        <v>751</v>
      </c>
      <c r="C662" s="6" t="s">
        <v>752</v>
      </c>
      <c r="D662" s="6" t="s">
        <v>752</v>
      </c>
      <c r="E662" s="6" t="s">
        <v>5122</v>
      </c>
      <c r="F662" s="6" t="s">
        <v>5248</v>
      </c>
      <c r="G662" s="6" t="e">
        <v>#N/A</v>
      </c>
      <c r="H662" s="6">
        <v>0.0</v>
      </c>
      <c r="I662" s="8">
        <v>10996.44</v>
      </c>
      <c r="J662" s="8">
        <v>12599.0</v>
      </c>
      <c r="K662" s="8">
        <v>14469.0</v>
      </c>
    </row>
    <row r="663">
      <c r="A663" s="6" t="s">
        <v>536</v>
      </c>
      <c r="B663" s="6" t="s">
        <v>534</v>
      </c>
      <c r="C663" s="6" t="s">
        <v>535</v>
      </c>
      <c r="D663" s="6" t="s">
        <v>535</v>
      </c>
      <c r="E663" s="6" t="s">
        <v>5247</v>
      </c>
      <c r="F663" s="6" t="s">
        <v>5248</v>
      </c>
      <c r="G663" s="6">
        <v>27.0</v>
      </c>
      <c r="H663" s="6">
        <v>13.0</v>
      </c>
      <c r="I663" s="8">
        <v>8997.64</v>
      </c>
      <c r="J663" s="8">
        <v>10299.0</v>
      </c>
      <c r="K663" s="8">
        <v>11839.0</v>
      </c>
    </row>
    <row r="664">
      <c r="A664" s="6" t="s">
        <v>524</v>
      </c>
      <c r="B664" s="6" t="s">
        <v>522</v>
      </c>
      <c r="C664" s="6" t="s">
        <v>523</v>
      </c>
      <c r="D664" s="6" t="s">
        <v>523</v>
      </c>
      <c r="E664" s="6" t="s">
        <v>5247</v>
      </c>
      <c r="F664" s="6" t="s">
        <v>5248</v>
      </c>
      <c r="G664" s="6">
        <v>37.0</v>
      </c>
      <c r="H664" s="6">
        <v>103.0</v>
      </c>
      <c r="I664" s="8">
        <v>8496.04</v>
      </c>
      <c r="J664" s="8">
        <v>9699.0</v>
      </c>
      <c r="K664" s="8">
        <v>11179.0</v>
      </c>
    </row>
    <row r="665">
      <c r="A665" s="6" t="s">
        <v>306</v>
      </c>
      <c r="B665" s="6" t="s">
        <v>304</v>
      </c>
      <c r="C665" s="6" t="s">
        <v>305</v>
      </c>
      <c r="D665" s="6" t="s">
        <v>305</v>
      </c>
      <c r="E665" s="6" t="s">
        <v>5122</v>
      </c>
      <c r="F665" s="6" t="s">
        <v>5248</v>
      </c>
      <c r="G665" s="6" t="e">
        <v>#N/A</v>
      </c>
      <c r="H665" s="6">
        <v>0.0</v>
      </c>
      <c r="I665" s="8">
        <v>6694.84</v>
      </c>
      <c r="J665" s="8">
        <v>7699.0</v>
      </c>
      <c r="K665" s="8">
        <v>8809.0</v>
      </c>
    </row>
    <row r="666">
      <c r="A666" s="6" t="s">
        <v>323</v>
      </c>
      <c r="B666" s="6" t="s">
        <v>321</v>
      </c>
      <c r="C666" s="6" t="s">
        <v>322</v>
      </c>
      <c r="D666" s="6" t="s">
        <v>322</v>
      </c>
      <c r="E666" s="6" t="s">
        <v>5247</v>
      </c>
      <c r="F666" s="6" t="s">
        <v>5248</v>
      </c>
      <c r="G666" s="6">
        <v>1.0</v>
      </c>
      <c r="H666" s="6">
        <v>1.0</v>
      </c>
      <c r="I666" s="8">
        <v>7796.84</v>
      </c>
      <c r="J666" s="8">
        <v>8899.0</v>
      </c>
      <c r="K666" s="8">
        <v>10259.0</v>
      </c>
    </row>
    <row r="667">
      <c r="A667" s="6" t="s">
        <v>203</v>
      </c>
      <c r="B667" s="6" t="s">
        <v>201</v>
      </c>
      <c r="C667" s="6" t="s">
        <v>202</v>
      </c>
      <c r="D667" s="6" t="s">
        <v>202</v>
      </c>
      <c r="E667" s="6" t="s">
        <v>5122</v>
      </c>
      <c r="F667" s="6" t="s">
        <v>5248</v>
      </c>
      <c r="G667" s="6" t="e">
        <v>#N/A</v>
      </c>
      <c r="H667" s="6">
        <v>0.0</v>
      </c>
      <c r="I667" s="8">
        <v>6991.24</v>
      </c>
      <c r="J667" s="8">
        <v>7999.0</v>
      </c>
      <c r="K667" s="8">
        <v>9199.0</v>
      </c>
    </row>
    <row r="668">
      <c r="A668" s="6" t="s">
        <v>311</v>
      </c>
      <c r="B668" s="6" t="s">
        <v>309</v>
      </c>
      <c r="C668" s="6" t="s">
        <v>310</v>
      </c>
      <c r="D668" s="6" t="s">
        <v>310</v>
      </c>
      <c r="E668" s="6" t="s">
        <v>5122</v>
      </c>
      <c r="F668" s="6" t="s">
        <v>5248</v>
      </c>
      <c r="G668" s="6" t="e">
        <v>#N/A</v>
      </c>
      <c r="H668" s="6">
        <v>0.0</v>
      </c>
      <c r="I668" s="8">
        <v>6892.44</v>
      </c>
      <c r="J668" s="8">
        <v>7899.0</v>
      </c>
      <c r="K668" s="8">
        <v>9069.0</v>
      </c>
    </row>
    <row r="669">
      <c r="A669" s="6" t="s">
        <v>197</v>
      </c>
      <c r="B669" s="6" t="s">
        <v>195</v>
      </c>
      <c r="C669" s="6" t="s">
        <v>196</v>
      </c>
      <c r="D669" s="6" t="s">
        <v>196</v>
      </c>
      <c r="E669" s="6" t="s">
        <v>5122</v>
      </c>
      <c r="F669" s="6" t="s">
        <v>5248</v>
      </c>
      <c r="G669" s="6" t="e">
        <v>#N/A</v>
      </c>
      <c r="H669" s="6">
        <v>0.0</v>
      </c>
      <c r="I669" s="8">
        <v>6292.04</v>
      </c>
      <c r="J669" s="8">
        <v>7199.0</v>
      </c>
      <c r="K669" s="8">
        <v>8279.0</v>
      </c>
    </row>
    <row r="670">
      <c r="A670" s="6" t="s">
        <v>559</v>
      </c>
      <c r="B670" s="6" t="s">
        <v>557</v>
      </c>
      <c r="C670" s="6" t="s">
        <v>558</v>
      </c>
      <c r="D670" s="6" t="s">
        <v>558</v>
      </c>
      <c r="E670" s="6" t="s">
        <v>5122</v>
      </c>
      <c r="F670" s="6" t="s">
        <v>5248</v>
      </c>
      <c r="G670" s="6" t="e">
        <v>#N/A</v>
      </c>
      <c r="H670" s="6">
        <v>0.0</v>
      </c>
      <c r="I670" s="8">
        <v>9993.24</v>
      </c>
      <c r="J670" s="8">
        <v>11399.0</v>
      </c>
      <c r="K670" s="8">
        <v>13149.0</v>
      </c>
    </row>
    <row r="671">
      <c r="A671" s="6" t="s">
        <v>5282</v>
      </c>
      <c r="B671" s="6" t="s">
        <v>4924</v>
      </c>
      <c r="C671" s="6" t="s">
        <v>4925</v>
      </c>
      <c r="D671" s="6" t="s">
        <v>4925</v>
      </c>
      <c r="E671" s="6" t="s">
        <v>5122</v>
      </c>
      <c r="F671" s="6" t="s">
        <v>5248</v>
      </c>
      <c r="G671" s="6" t="e">
        <v>#N/A</v>
      </c>
      <c r="H671" s="6">
        <v>0.0</v>
      </c>
      <c r="I671" s="8">
        <v>11391.64</v>
      </c>
      <c r="J671" s="8">
        <v>12999.0</v>
      </c>
      <c r="K671" s="8">
        <v>14989.0</v>
      </c>
    </row>
    <row r="672">
      <c r="A672" s="6" t="s">
        <v>747</v>
      </c>
      <c r="B672" s="6" t="s">
        <v>745</v>
      </c>
      <c r="C672" s="6" t="s">
        <v>746</v>
      </c>
      <c r="D672" s="6" t="s">
        <v>746</v>
      </c>
      <c r="E672" s="6" t="s">
        <v>5247</v>
      </c>
      <c r="F672" s="6" t="s">
        <v>5248</v>
      </c>
      <c r="G672" s="6">
        <v>7.0</v>
      </c>
      <c r="H672" s="6">
        <v>7.0</v>
      </c>
      <c r="I672" s="8">
        <v>10996.44</v>
      </c>
      <c r="J672" s="8">
        <v>12599.0</v>
      </c>
      <c r="K672" s="8">
        <v>14469.0</v>
      </c>
    </row>
    <row r="673">
      <c r="A673" s="6" t="s">
        <v>759</v>
      </c>
      <c r="B673" s="6" t="s">
        <v>757</v>
      </c>
      <c r="C673" s="6" t="s">
        <v>758</v>
      </c>
      <c r="D673" s="6" t="s">
        <v>758</v>
      </c>
      <c r="E673" s="6" t="s">
        <v>5122</v>
      </c>
      <c r="F673" s="6" t="s">
        <v>5248</v>
      </c>
      <c r="G673" s="6" t="e">
        <v>#N/A</v>
      </c>
      <c r="H673" s="6">
        <v>0.0</v>
      </c>
      <c r="I673" s="8">
        <v>10996.44</v>
      </c>
      <c r="J673" s="8">
        <v>12599.0</v>
      </c>
      <c r="K673" s="8">
        <v>14469.0</v>
      </c>
    </row>
    <row r="674">
      <c r="A674" s="6" t="s">
        <v>554</v>
      </c>
      <c r="B674" s="6" t="s">
        <v>552</v>
      </c>
      <c r="C674" s="6" t="s">
        <v>553</v>
      </c>
      <c r="D674" s="6" t="s">
        <v>553</v>
      </c>
      <c r="E674" s="6" t="s">
        <v>5122</v>
      </c>
      <c r="F674" s="6" t="s">
        <v>5248</v>
      </c>
      <c r="G674" s="6" t="e">
        <v>#N/A</v>
      </c>
      <c r="H674" s="6">
        <v>0.0</v>
      </c>
      <c r="I674" s="8">
        <v>9795.64</v>
      </c>
      <c r="J674" s="8">
        <v>11199.0</v>
      </c>
      <c r="K674" s="8">
        <v>12889.0</v>
      </c>
    </row>
    <row r="675">
      <c r="A675" s="6" t="s">
        <v>736</v>
      </c>
      <c r="B675" s="6" t="s">
        <v>734</v>
      </c>
      <c r="C675" s="6" t="s">
        <v>735</v>
      </c>
      <c r="D675" s="6" t="s">
        <v>735</v>
      </c>
      <c r="E675" s="6" t="s">
        <v>5247</v>
      </c>
      <c r="F675" s="6" t="s">
        <v>5248</v>
      </c>
      <c r="G675" s="6">
        <v>22.0</v>
      </c>
      <c r="H675" s="6">
        <v>23.0</v>
      </c>
      <c r="I675" s="8">
        <v>10297.24</v>
      </c>
      <c r="J675" s="8">
        <v>11799.0</v>
      </c>
      <c r="K675" s="8">
        <v>13549.0</v>
      </c>
    </row>
    <row r="676">
      <c r="A676" s="6" t="s">
        <v>328</v>
      </c>
      <c r="B676" s="6" t="s">
        <v>326</v>
      </c>
      <c r="C676" s="6" t="s">
        <v>327</v>
      </c>
      <c r="D676" s="6" t="s">
        <v>327</v>
      </c>
      <c r="E676" s="6" t="s">
        <v>5122</v>
      </c>
      <c r="F676" s="6" t="s">
        <v>5248</v>
      </c>
      <c r="G676" s="6" t="e">
        <v>#N/A</v>
      </c>
      <c r="H676" s="6">
        <v>0.0</v>
      </c>
      <c r="I676" s="8">
        <v>8192.04</v>
      </c>
      <c r="J676" s="8">
        <v>9399.0</v>
      </c>
      <c r="K676" s="8">
        <v>10779.0</v>
      </c>
    </row>
    <row r="677">
      <c r="A677" s="6" t="s">
        <v>174</v>
      </c>
      <c r="B677" s="6" t="s">
        <v>172</v>
      </c>
      <c r="C677" s="6" t="s">
        <v>173</v>
      </c>
      <c r="D677" s="6" t="s">
        <v>173</v>
      </c>
      <c r="E677" s="6" t="s">
        <v>5122</v>
      </c>
      <c r="F677" s="6" t="s">
        <v>5248</v>
      </c>
      <c r="G677" s="6" t="e">
        <v>#N/A</v>
      </c>
      <c r="H677" s="6">
        <v>0.0</v>
      </c>
      <c r="I677" s="8">
        <v>5691.64</v>
      </c>
      <c r="J677" s="8">
        <v>6499.0</v>
      </c>
      <c r="K677" s="8">
        <v>7489.0</v>
      </c>
    </row>
    <row r="678">
      <c r="A678" s="6" t="s">
        <v>191</v>
      </c>
      <c r="B678" s="6" t="s">
        <v>189</v>
      </c>
      <c r="C678" s="6" t="s">
        <v>190</v>
      </c>
      <c r="D678" s="6" t="s">
        <v>190</v>
      </c>
      <c r="E678" s="6" t="s">
        <v>5247</v>
      </c>
      <c r="F678" s="6" t="s">
        <v>5248</v>
      </c>
      <c r="G678" s="6" t="e">
        <v>#N/A</v>
      </c>
      <c r="H678" s="6">
        <v>1.0</v>
      </c>
      <c r="I678" s="8">
        <v>6193.24</v>
      </c>
      <c r="J678" s="8">
        <v>7099.0</v>
      </c>
      <c r="K678" s="8">
        <v>8149.0</v>
      </c>
    </row>
    <row r="679">
      <c r="A679" s="6" t="s">
        <v>4322</v>
      </c>
      <c r="B679" s="6" t="s">
        <v>4320</v>
      </c>
      <c r="C679" s="6" t="s">
        <v>4321</v>
      </c>
      <c r="D679" s="6" t="s">
        <v>4321</v>
      </c>
      <c r="E679" s="6" t="s">
        <v>5122</v>
      </c>
      <c r="F679" s="6" t="s">
        <v>5248</v>
      </c>
      <c r="G679" s="6" t="e">
        <v>#N/A</v>
      </c>
      <c r="H679" s="6">
        <v>0.0</v>
      </c>
      <c r="I679" s="8">
        <v>13661.34</v>
      </c>
      <c r="J679" s="8">
        <v>14899.0</v>
      </c>
      <c r="K679" s="8">
        <v>15499.0</v>
      </c>
    </row>
    <row r="680">
      <c r="A680" s="6" t="s">
        <v>4020</v>
      </c>
      <c r="B680" s="6" t="s">
        <v>4018</v>
      </c>
      <c r="C680" s="6" t="s">
        <v>4019</v>
      </c>
      <c r="D680" s="6" t="s">
        <v>4019</v>
      </c>
      <c r="E680" s="6" t="s">
        <v>5247</v>
      </c>
      <c r="F680" s="6" t="s">
        <v>5248</v>
      </c>
      <c r="G680" s="6">
        <v>27.0</v>
      </c>
      <c r="H680" s="6">
        <v>27.0</v>
      </c>
      <c r="I680" s="8">
        <v>7919.34</v>
      </c>
      <c r="J680" s="8">
        <v>8599.0</v>
      </c>
      <c r="K680" s="8">
        <v>8999.0</v>
      </c>
    </row>
    <row r="681">
      <c r="A681" s="6" t="s">
        <v>4281</v>
      </c>
      <c r="B681" s="6" t="s">
        <v>4279</v>
      </c>
      <c r="C681" s="6" t="s">
        <v>4280</v>
      </c>
      <c r="D681" s="6" t="s">
        <v>4280</v>
      </c>
      <c r="E681" s="6" t="s">
        <v>5122</v>
      </c>
      <c r="F681" s="6" t="s">
        <v>5248</v>
      </c>
      <c r="G681" s="6" t="e">
        <v>#N/A</v>
      </c>
      <c r="H681" s="6">
        <v>0.0</v>
      </c>
      <c r="I681" s="8">
        <v>10097.34</v>
      </c>
      <c r="J681" s="8">
        <v>10999.0</v>
      </c>
      <c r="K681" s="8">
        <v>11499.0</v>
      </c>
    </row>
    <row r="682">
      <c r="A682" s="6" t="s">
        <v>4259</v>
      </c>
      <c r="B682" s="6" t="s">
        <v>4257</v>
      </c>
      <c r="C682" s="6" t="s">
        <v>4258</v>
      </c>
      <c r="D682" s="6" t="s">
        <v>4258</v>
      </c>
      <c r="E682" s="6" t="s">
        <v>5122</v>
      </c>
      <c r="F682" s="6" t="s">
        <v>5248</v>
      </c>
      <c r="G682" s="6" t="e">
        <v>#N/A</v>
      </c>
      <c r="H682" s="6">
        <v>0.0</v>
      </c>
      <c r="I682" s="8">
        <v>9041.34</v>
      </c>
      <c r="J682" s="8">
        <v>9899.0</v>
      </c>
      <c r="K682" s="8">
        <v>10299.0</v>
      </c>
    </row>
    <row r="683">
      <c r="A683" s="6" t="s">
        <v>4287</v>
      </c>
      <c r="B683" s="6" t="s">
        <v>4285</v>
      </c>
      <c r="C683" s="6" t="s">
        <v>4286</v>
      </c>
      <c r="D683" s="6" t="s">
        <v>4286</v>
      </c>
      <c r="E683" s="6" t="s">
        <v>5122</v>
      </c>
      <c r="F683" s="6" t="s">
        <v>5248</v>
      </c>
      <c r="G683" s="6" t="e">
        <v>#N/A</v>
      </c>
      <c r="H683" s="6">
        <v>0.0</v>
      </c>
      <c r="I683" s="8">
        <v>11285.34</v>
      </c>
      <c r="J683" s="8">
        <v>12299.0</v>
      </c>
      <c r="K683" s="8">
        <v>12799.0</v>
      </c>
    </row>
    <row r="684">
      <c r="A684" s="6" t="s">
        <v>4304</v>
      </c>
      <c r="B684" s="6" t="s">
        <v>4302</v>
      </c>
      <c r="C684" s="6" t="s">
        <v>4303</v>
      </c>
      <c r="D684" s="6" t="s">
        <v>4303</v>
      </c>
      <c r="E684" s="6" t="s">
        <v>5247</v>
      </c>
      <c r="F684" s="6" t="s">
        <v>5248</v>
      </c>
      <c r="G684" s="6">
        <v>13.0</v>
      </c>
      <c r="H684" s="6">
        <v>47.0</v>
      </c>
      <c r="I684" s="8">
        <v>12143.34</v>
      </c>
      <c r="J684" s="8">
        <v>13199.0</v>
      </c>
      <c r="K684" s="8">
        <v>13799.0</v>
      </c>
    </row>
    <row r="685">
      <c r="A685" s="6" t="s">
        <v>4350</v>
      </c>
      <c r="B685" s="6" t="s">
        <v>4348</v>
      </c>
      <c r="C685" s="6" t="s">
        <v>4349</v>
      </c>
      <c r="D685" s="6" t="s">
        <v>4349</v>
      </c>
      <c r="E685" s="6" t="s">
        <v>5122</v>
      </c>
      <c r="F685" s="6" t="s">
        <v>5248</v>
      </c>
      <c r="G685" s="6" t="e">
        <v>#N/A</v>
      </c>
      <c r="H685" s="6">
        <v>0.0</v>
      </c>
      <c r="I685" s="8">
        <v>14849.34</v>
      </c>
      <c r="J685" s="8">
        <v>16199.0</v>
      </c>
      <c r="K685" s="8">
        <v>16899.0</v>
      </c>
    </row>
    <row r="686">
      <c r="A686" s="6" t="s">
        <v>4269</v>
      </c>
      <c r="B686" s="6" t="s">
        <v>4267</v>
      </c>
      <c r="C686" s="6" t="s">
        <v>4268</v>
      </c>
      <c r="D686" s="6" t="s">
        <v>4268</v>
      </c>
      <c r="E686" s="6" t="s">
        <v>5247</v>
      </c>
      <c r="F686" s="6" t="s">
        <v>5248</v>
      </c>
      <c r="G686" s="6">
        <v>19.0</v>
      </c>
      <c r="H686" s="6">
        <v>58.0</v>
      </c>
      <c r="I686" s="8">
        <v>9701.34</v>
      </c>
      <c r="J686" s="8">
        <v>10599.0</v>
      </c>
      <c r="K686" s="8">
        <v>10999.0</v>
      </c>
    </row>
    <row r="687">
      <c r="A687" s="6" t="s">
        <v>4026</v>
      </c>
      <c r="B687" s="6" t="s">
        <v>4024</v>
      </c>
      <c r="C687" s="6" t="s">
        <v>4025</v>
      </c>
      <c r="D687" s="6" t="s">
        <v>4025</v>
      </c>
      <c r="E687" s="6" t="s">
        <v>5247</v>
      </c>
      <c r="F687" s="6" t="s">
        <v>5248</v>
      </c>
      <c r="G687" s="6">
        <v>12.0</v>
      </c>
      <c r="H687" s="6">
        <v>11.0</v>
      </c>
      <c r="I687" s="8">
        <v>8117.34</v>
      </c>
      <c r="J687" s="8">
        <v>8899.0</v>
      </c>
      <c r="K687" s="8">
        <v>9199.0</v>
      </c>
    </row>
    <row r="688">
      <c r="A688" s="6" t="s">
        <v>4356</v>
      </c>
      <c r="B688" s="6" t="s">
        <v>4354</v>
      </c>
      <c r="C688" s="6" t="s">
        <v>4355</v>
      </c>
      <c r="D688" s="6" t="s">
        <v>4355</v>
      </c>
      <c r="E688" s="6" t="s">
        <v>5122</v>
      </c>
      <c r="F688" s="6" t="s">
        <v>5248</v>
      </c>
      <c r="G688" s="6" t="e">
        <v>#N/A</v>
      </c>
      <c r="H688" s="6">
        <v>0.0</v>
      </c>
      <c r="I688" s="8">
        <v>15641.34</v>
      </c>
      <c r="J688" s="8">
        <v>17099.0</v>
      </c>
      <c r="K688" s="8">
        <v>17799.0</v>
      </c>
    </row>
    <row r="689">
      <c r="A689" s="6" t="s">
        <v>4867</v>
      </c>
      <c r="B689" s="6" t="s">
        <v>4865</v>
      </c>
      <c r="C689" s="6" t="s">
        <v>4866</v>
      </c>
      <c r="D689" s="6" t="s">
        <v>4866</v>
      </c>
      <c r="E689" s="6" t="s">
        <v>5122</v>
      </c>
      <c r="F689" s="6" t="s">
        <v>5248</v>
      </c>
      <c r="G689" s="6" t="e">
        <v>#N/A</v>
      </c>
      <c r="H689" s="6">
        <v>0.0</v>
      </c>
      <c r="I689" s="8">
        <v>14321.34</v>
      </c>
      <c r="J689" s="8">
        <v>15599.0</v>
      </c>
      <c r="K689" s="8">
        <v>21699.0</v>
      </c>
    </row>
    <row r="690">
      <c r="A690" s="6" t="s">
        <v>4032</v>
      </c>
      <c r="B690" s="6" t="s">
        <v>4030</v>
      </c>
      <c r="C690" s="6" t="s">
        <v>4031</v>
      </c>
      <c r="D690" s="6" t="s">
        <v>4031</v>
      </c>
      <c r="E690" s="6" t="s">
        <v>5122</v>
      </c>
      <c r="F690" s="6" t="s">
        <v>5248</v>
      </c>
      <c r="G690" s="6">
        <v>1.0</v>
      </c>
      <c r="H690" s="6">
        <v>0.0</v>
      </c>
      <c r="I690" s="8">
        <v>8249.34</v>
      </c>
      <c r="J690" s="8">
        <v>8999.0</v>
      </c>
      <c r="K690" s="8">
        <v>9399.0</v>
      </c>
    </row>
    <row r="691">
      <c r="A691" s="6" t="s">
        <v>4015</v>
      </c>
      <c r="B691" s="6" t="s">
        <v>4013</v>
      </c>
      <c r="C691" s="6" t="s">
        <v>4014</v>
      </c>
      <c r="D691" s="6" t="s">
        <v>4014</v>
      </c>
      <c r="E691" s="6" t="s">
        <v>5122</v>
      </c>
      <c r="F691" s="6" t="s">
        <v>5248</v>
      </c>
      <c r="G691" s="6" t="e">
        <v>#N/A</v>
      </c>
      <c r="H691" s="6">
        <v>0.0</v>
      </c>
      <c r="I691" s="8">
        <v>7193.34</v>
      </c>
      <c r="J691" s="8">
        <v>7799.0</v>
      </c>
      <c r="K691" s="8">
        <v>8199.0</v>
      </c>
    </row>
    <row r="692">
      <c r="A692" s="6" t="s">
        <v>4344</v>
      </c>
      <c r="B692" s="6" t="s">
        <v>4342</v>
      </c>
      <c r="C692" s="6" t="s">
        <v>4343</v>
      </c>
      <c r="D692" s="6" t="s">
        <v>4343</v>
      </c>
      <c r="E692" s="6" t="s">
        <v>5247</v>
      </c>
      <c r="F692" s="6" t="s">
        <v>5248</v>
      </c>
      <c r="G692" s="6">
        <v>9.0</v>
      </c>
      <c r="H692" s="6">
        <v>75.0</v>
      </c>
      <c r="I692" s="8">
        <v>13529.34</v>
      </c>
      <c r="J692" s="8">
        <v>14799.0</v>
      </c>
      <c r="K692" s="8">
        <v>15399.0</v>
      </c>
    </row>
    <row r="693">
      <c r="A693" s="6" t="s">
        <v>4037</v>
      </c>
      <c r="B693" s="6" t="s">
        <v>4035</v>
      </c>
      <c r="C693" s="6" t="s">
        <v>4036</v>
      </c>
      <c r="D693" s="6" t="s">
        <v>4036</v>
      </c>
      <c r="E693" s="6" t="s">
        <v>5122</v>
      </c>
      <c r="F693" s="6" t="s">
        <v>5248</v>
      </c>
      <c r="G693" s="6" t="e">
        <v>#N/A</v>
      </c>
      <c r="H693" s="6">
        <v>0.0</v>
      </c>
      <c r="I693" s="8">
        <v>9965.34</v>
      </c>
      <c r="J693" s="8">
        <v>10899.0</v>
      </c>
      <c r="K693" s="8">
        <v>11299.0</v>
      </c>
    </row>
    <row r="694">
      <c r="A694" s="6" t="s">
        <v>4275</v>
      </c>
      <c r="B694" s="6" t="s">
        <v>4273</v>
      </c>
      <c r="C694" s="6" t="s">
        <v>4274</v>
      </c>
      <c r="D694" s="6" t="s">
        <v>4274</v>
      </c>
      <c r="E694" s="6" t="s">
        <v>5122</v>
      </c>
      <c r="F694" s="6" t="s">
        <v>5248</v>
      </c>
      <c r="G694" s="6" t="e">
        <v>#N/A</v>
      </c>
      <c r="H694" s="6">
        <v>0.0</v>
      </c>
      <c r="I694" s="8">
        <v>9965.34</v>
      </c>
      <c r="J694" s="8">
        <v>10899.0</v>
      </c>
      <c r="K694" s="8">
        <v>11299.0</v>
      </c>
    </row>
    <row r="695">
      <c r="A695" s="6" t="s">
        <v>4264</v>
      </c>
      <c r="B695" s="6" t="s">
        <v>4262</v>
      </c>
      <c r="C695" s="6" t="s">
        <v>4263</v>
      </c>
      <c r="D695" s="6" t="s">
        <v>4263</v>
      </c>
      <c r="E695" s="6" t="s">
        <v>5122</v>
      </c>
      <c r="F695" s="6" t="s">
        <v>5248</v>
      </c>
      <c r="G695" s="6" t="e">
        <v>#N/A</v>
      </c>
      <c r="H695" s="6">
        <v>0.0</v>
      </c>
      <c r="I695" s="8">
        <v>9041.34</v>
      </c>
      <c r="J695" s="8">
        <v>9899.0</v>
      </c>
      <c r="K695" s="8">
        <v>10299.0</v>
      </c>
    </row>
    <row r="696">
      <c r="A696" s="6" t="s">
        <v>4332</v>
      </c>
      <c r="B696" s="6" t="s">
        <v>4330</v>
      </c>
      <c r="C696" s="6" t="s">
        <v>4331</v>
      </c>
      <c r="D696" s="6" t="s">
        <v>4331</v>
      </c>
      <c r="E696" s="6" t="s">
        <v>5122</v>
      </c>
      <c r="F696" s="6" t="s">
        <v>5248</v>
      </c>
      <c r="G696" s="6">
        <v>2.0</v>
      </c>
      <c r="H696" s="6">
        <v>0.0</v>
      </c>
      <c r="I696" s="8">
        <v>12671.34</v>
      </c>
      <c r="J696" s="8">
        <v>13799.0</v>
      </c>
      <c r="K696" s="8">
        <v>14399.0</v>
      </c>
    </row>
    <row r="697">
      <c r="A697" s="6" t="s">
        <v>4003</v>
      </c>
      <c r="B697" s="6" t="s">
        <v>4001</v>
      </c>
      <c r="C697" s="6" t="s">
        <v>4002</v>
      </c>
      <c r="D697" s="6" t="s">
        <v>4002</v>
      </c>
      <c r="E697" s="6" t="s">
        <v>5122</v>
      </c>
      <c r="F697" s="6" t="s">
        <v>5248</v>
      </c>
      <c r="G697" s="6">
        <v>6.0</v>
      </c>
      <c r="H697" s="6">
        <v>2.0</v>
      </c>
      <c r="I697" s="8">
        <v>6599.34</v>
      </c>
      <c r="J697" s="8">
        <v>7199.0</v>
      </c>
      <c r="K697" s="8">
        <v>7499.0</v>
      </c>
    </row>
    <row r="698">
      <c r="A698" s="6" t="s">
        <v>4327</v>
      </c>
      <c r="B698" s="6" t="s">
        <v>4325</v>
      </c>
      <c r="C698" s="6" t="s">
        <v>4326</v>
      </c>
      <c r="D698" s="6" t="s">
        <v>4326</v>
      </c>
      <c r="E698" s="6" t="s">
        <v>5122</v>
      </c>
      <c r="F698" s="6" t="s">
        <v>5248</v>
      </c>
      <c r="G698" s="6" t="e">
        <v>#N/A</v>
      </c>
      <c r="H698" s="6">
        <v>0.0</v>
      </c>
      <c r="I698" s="8">
        <v>13793.34</v>
      </c>
      <c r="J698" s="8">
        <v>14999.0</v>
      </c>
      <c r="K698" s="8">
        <v>15699.0</v>
      </c>
    </row>
    <row r="699">
      <c r="A699" s="6" t="s">
        <v>4254</v>
      </c>
      <c r="B699" s="6" t="s">
        <v>4252</v>
      </c>
      <c r="C699" s="6" t="s">
        <v>4253</v>
      </c>
      <c r="D699" s="6" t="s">
        <v>4253</v>
      </c>
      <c r="E699" s="6" t="s">
        <v>5122</v>
      </c>
      <c r="F699" s="6" t="s">
        <v>5248</v>
      </c>
      <c r="G699" s="6" t="e">
        <v>#N/A</v>
      </c>
      <c r="H699" s="6">
        <v>0.0</v>
      </c>
      <c r="I699" s="8">
        <v>8645.34</v>
      </c>
      <c r="J699" s="8">
        <v>9399.0</v>
      </c>
      <c r="K699" s="8">
        <v>9799.0</v>
      </c>
    </row>
    <row r="700">
      <c r="A700" s="6" t="s">
        <v>4338</v>
      </c>
      <c r="B700" s="6" t="s">
        <v>4336</v>
      </c>
      <c r="C700" s="6" t="s">
        <v>4337</v>
      </c>
      <c r="D700" s="6" t="s">
        <v>4337</v>
      </c>
      <c r="E700" s="6" t="s">
        <v>5247</v>
      </c>
      <c r="F700" s="6" t="s">
        <v>5248</v>
      </c>
      <c r="G700" s="6">
        <v>7.0</v>
      </c>
      <c r="H700" s="6">
        <v>24.0</v>
      </c>
      <c r="I700" s="8">
        <v>13001.34</v>
      </c>
      <c r="J700" s="8">
        <v>14199.0</v>
      </c>
      <c r="K700" s="8">
        <v>14799.0</v>
      </c>
    </row>
    <row r="701">
      <c r="A701" s="6" t="s">
        <v>4009</v>
      </c>
      <c r="B701" s="6" t="s">
        <v>4007</v>
      </c>
      <c r="C701" s="6" t="s">
        <v>4008</v>
      </c>
      <c r="D701" s="6" t="s">
        <v>4008</v>
      </c>
      <c r="E701" s="6" t="s">
        <v>5122</v>
      </c>
      <c r="F701" s="6" t="s">
        <v>5248</v>
      </c>
      <c r="G701" s="6" t="e">
        <v>#N/A</v>
      </c>
      <c r="H701" s="6">
        <v>0.0</v>
      </c>
      <c r="I701" s="8">
        <v>6929.34</v>
      </c>
      <c r="J701" s="8">
        <v>7599.0</v>
      </c>
      <c r="K701" s="8">
        <v>7899.0</v>
      </c>
    </row>
    <row r="702">
      <c r="A702" s="6" t="s">
        <v>4298</v>
      </c>
      <c r="B702" s="6" t="s">
        <v>4296</v>
      </c>
      <c r="C702" s="6" t="s">
        <v>4297</v>
      </c>
      <c r="D702" s="6" t="s">
        <v>4297</v>
      </c>
      <c r="E702" s="6" t="s">
        <v>5247</v>
      </c>
      <c r="F702" s="6" t="s">
        <v>5248</v>
      </c>
      <c r="G702" s="6">
        <v>3.0</v>
      </c>
      <c r="H702" s="6">
        <v>30.0</v>
      </c>
      <c r="I702" s="8">
        <v>11615.34</v>
      </c>
      <c r="J702" s="8">
        <v>12699.0</v>
      </c>
      <c r="K702" s="8">
        <v>13199.0</v>
      </c>
    </row>
    <row r="703">
      <c r="A703" s="6" t="s">
        <v>4316</v>
      </c>
      <c r="B703" s="6" t="s">
        <v>4314</v>
      </c>
      <c r="C703" s="6" t="s">
        <v>4315</v>
      </c>
      <c r="D703" s="6" t="s">
        <v>4315</v>
      </c>
      <c r="E703" s="6" t="s">
        <v>5122</v>
      </c>
      <c r="F703" s="6" t="s">
        <v>5248</v>
      </c>
      <c r="G703" s="6" t="e">
        <v>#N/A</v>
      </c>
      <c r="H703" s="6">
        <v>0.0</v>
      </c>
      <c r="I703" s="8">
        <v>13463.34</v>
      </c>
      <c r="J703" s="8">
        <v>14699.0</v>
      </c>
      <c r="K703" s="8">
        <v>15299.0</v>
      </c>
    </row>
    <row r="704">
      <c r="A704" s="6" t="s">
        <v>4292</v>
      </c>
      <c r="B704" s="6" t="s">
        <v>4290</v>
      </c>
      <c r="C704" s="6" t="s">
        <v>4291</v>
      </c>
      <c r="D704" s="6" t="s">
        <v>4291</v>
      </c>
      <c r="E704" s="6" t="s">
        <v>5247</v>
      </c>
      <c r="F704" s="6" t="s">
        <v>5248</v>
      </c>
      <c r="G704" s="6">
        <v>10.0</v>
      </c>
      <c r="H704" s="6">
        <v>43.0</v>
      </c>
      <c r="I704" s="8">
        <v>11021.34</v>
      </c>
      <c r="J704" s="8">
        <v>11999.0</v>
      </c>
      <c r="K704" s="8">
        <v>12499.0</v>
      </c>
    </row>
    <row r="705">
      <c r="A705" s="6" t="s">
        <v>4879</v>
      </c>
      <c r="B705" s="6" t="s">
        <v>4877</v>
      </c>
      <c r="C705" s="6" t="s">
        <v>5283</v>
      </c>
      <c r="D705" s="6" t="s">
        <v>5283</v>
      </c>
      <c r="E705" s="6" t="s">
        <v>5122</v>
      </c>
      <c r="F705" s="6" t="s">
        <v>5248</v>
      </c>
      <c r="G705" s="6" t="e">
        <v>#N/A</v>
      </c>
      <c r="H705" s="6">
        <v>0.0</v>
      </c>
      <c r="I705" s="8">
        <v>14519.34</v>
      </c>
      <c r="J705" s="8">
        <v>15799.0</v>
      </c>
      <c r="K705" s="8">
        <v>21999.0</v>
      </c>
    </row>
    <row r="706">
      <c r="A706" s="6" t="s">
        <v>4310</v>
      </c>
      <c r="B706" s="6" t="s">
        <v>4308</v>
      </c>
      <c r="C706" s="6" t="s">
        <v>4309</v>
      </c>
      <c r="D706" s="6" t="s">
        <v>4309</v>
      </c>
      <c r="E706" s="6" t="s">
        <v>5122</v>
      </c>
      <c r="F706" s="6" t="s">
        <v>5248</v>
      </c>
      <c r="G706" s="6" t="e">
        <v>#N/A</v>
      </c>
      <c r="H706" s="6">
        <v>0.0</v>
      </c>
      <c r="I706" s="8">
        <v>13133.34</v>
      </c>
      <c r="J706" s="8">
        <v>14299.0</v>
      </c>
      <c r="K706" s="8">
        <v>14899.0</v>
      </c>
    </row>
    <row r="707">
      <c r="A707" s="6" t="s">
        <v>4508</v>
      </c>
      <c r="B707" s="6" t="s">
        <v>4506</v>
      </c>
      <c r="C707" s="6" t="s">
        <v>4507</v>
      </c>
      <c r="D707" s="6" t="s">
        <v>4507</v>
      </c>
      <c r="E707" s="6" t="s">
        <v>5247</v>
      </c>
      <c r="F707" s="6" t="s">
        <v>5248</v>
      </c>
      <c r="G707" s="6">
        <v>3.0</v>
      </c>
      <c r="H707" s="6">
        <v>13.0</v>
      </c>
      <c r="I707" s="8">
        <v>1079.1</v>
      </c>
      <c r="J707" s="8">
        <v>1139.0</v>
      </c>
      <c r="K707" s="8">
        <v>1199.0</v>
      </c>
    </row>
    <row r="708">
      <c r="A708" s="6" t="s">
        <v>4455</v>
      </c>
      <c r="B708" s="6" t="s">
        <v>4453</v>
      </c>
      <c r="C708" s="6" t="s">
        <v>4454</v>
      </c>
      <c r="D708" s="6" t="s">
        <v>4454</v>
      </c>
      <c r="E708" s="6" t="s">
        <v>5247</v>
      </c>
      <c r="F708" s="6" t="s">
        <v>5248</v>
      </c>
      <c r="G708" s="6">
        <v>7.0</v>
      </c>
      <c r="H708" s="6">
        <v>8.0</v>
      </c>
      <c r="I708" s="8">
        <v>899.1</v>
      </c>
      <c r="J708" s="8">
        <v>949.0</v>
      </c>
      <c r="K708" s="8">
        <v>999.0</v>
      </c>
    </row>
    <row r="709">
      <c r="A709" s="6" t="s">
        <v>4651</v>
      </c>
      <c r="B709" s="6" t="s">
        <v>4649</v>
      </c>
      <c r="C709" s="6" t="s">
        <v>4650</v>
      </c>
      <c r="D709" s="6" t="s">
        <v>4650</v>
      </c>
      <c r="E709" s="6" t="s">
        <v>5247</v>
      </c>
      <c r="F709" s="6" t="s">
        <v>5248</v>
      </c>
      <c r="G709" s="6">
        <v>10.0</v>
      </c>
      <c r="H709" s="6">
        <v>19.0</v>
      </c>
      <c r="I709" s="8">
        <v>1529.1</v>
      </c>
      <c r="J709" s="8">
        <v>1614.0</v>
      </c>
      <c r="K709" s="8">
        <v>1699.0</v>
      </c>
    </row>
    <row r="710">
      <c r="A710" s="6" t="s">
        <v>4420</v>
      </c>
      <c r="B710" s="6" t="s">
        <v>4418</v>
      </c>
      <c r="C710" s="6" t="s">
        <v>4419</v>
      </c>
      <c r="D710" s="6" t="s">
        <v>4419</v>
      </c>
      <c r="E710" s="6" t="s">
        <v>5122</v>
      </c>
      <c r="F710" s="6" t="s">
        <v>5248</v>
      </c>
      <c r="G710" s="6" t="e">
        <v>#N/A</v>
      </c>
      <c r="H710" s="6">
        <v>23.0</v>
      </c>
      <c r="I710" s="8">
        <v>899.1</v>
      </c>
      <c r="J710" s="8">
        <v>949.0</v>
      </c>
      <c r="K710" s="8">
        <v>999.0</v>
      </c>
    </row>
    <row r="711">
      <c r="A711" s="6" t="s">
        <v>4661</v>
      </c>
      <c r="B711" s="6" t="s">
        <v>4659</v>
      </c>
      <c r="C711" s="6" t="s">
        <v>4660</v>
      </c>
      <c r="D711" s="6" t="s">
        <v>4660</v>
      </c>
      <c r="E711" s="6" t="s">
        <v>5122</v>
      </c>
      <c r="F711" s="6" t="s">
        <v>5248</v>
      </c>
      <c r="G711" s="6">
        <v>13.0</v>
      </c>
      <c r="H711" s="6">
        <v>0.0</v>
      </c>
      <c r="I711" s="8">
        <v>1529.1</v>
      </c>
      <c r="J711" s="8">
        <v>1614.0</v>
      </c>
      <c r="K711" s="8">
        <v>1699.0</v>
      </c>
    </row>
    <row r="712">
      <c r="A712" s="6" t="s">
        <v>4631</v>
      </c>
      <c r="B712" s="6" t="s">
        <v>4629</v>
      </c>
      <c r="C712" s="6" t="s">
        <v>4630</v>
      </c>
      <c r="D712" s="6" t="s">
        <v>4630</v>
      </c>
      <c r="E712" s="6" t="s">
        <v>5247</v>
      </c>
      <c r="F712" s="6" t="s">
        <v>5248</v>
      </c>
      <c r="G712" s="6">
        <v>6.0</v>
      </c>
      <c r="H712" s="6">
        <v>31.0</v>
      </c>
      <c r="I712" s="8">
        <v>1529.1</v>
      </c>
      <c r="J712" s="8">
        <v>1614.0</v>
      </c>
      <c r="K712" s="8">
        <v>1699.0</v>
      </c>
    </row>
    <row r="713">
      <c r="A713" s="6" t="s">
        <v>4425</v>
      </c>
      <c r="B713" s="6" t="s">
        <v>4423</v>
      </c>
      <c r="C713" s="6" t="s">
        <v>4424</v>
      </c>
      <c r="D713" s="6" t="s">
        <v>4424</v>
      </c>
      <c r="E713" s="6" t="s">
        <v>5247</v>
      </c>
      <c r="F713" s="6" t="s">
        <v>5248</v>
      </c>
      <c r="G713" s="6">
        <v>3.0</v>
      </c>
      <c r="H713" s="6">
        <v>15.0</v>
      </c>
      <c r="I713" s="8">
        <v>899.1</v>
      </c>
      <c r="J713" s="8">
        <v>949.0</v>
      </c>
      <c r="K713" s="8">
        <v>999.0</v>
      </c>
    </row>
    <row r="714">
      <c r="A714" s="6" t="s">
        <v>4671</v>
      </c>
      <c r="B714" s="6" t="s">
        <v>4669</v>
      </c>
      <c r="C714" s="6" t="s">
        <v>4670</v>
      </c>
      <c r="D714" s="6" t="s">
        <v>4670</v>
      </c>
      <c r="E714" s="6" t="s">
        <v>5122</v>
      </c>
      <c r="F714" s="6" t="s">
        <v>5248</v>
      </c>
      <c r="G714" s="6">
        <v>43.0</v>
      </c>
      <c r="H714" s="6">
        <v>0.0</v>
      </c>
      <c r="I714" s="8">
        <v>1529.1</v>
      </c>
      <c r="J714" s="8">
        <v>1614.0</v>
      </c>
      <c r="K714" s="8">
        <v>1699.0</v>
      </c>
    </row>
    <row r="715">
      <c r="A715" s="6" t="s">
        <v>4594</v>
      </c>
      <c r="B715" s="6" t="s">
        <v>4592</v>
      </c>
      <c r="C715" s="6" t="s">
        <v>4593</v>
      </c>
      <c r="D715" s="6" t="s">
        <v>4593</v>
      </c>
      <c r="E715" s="6" t="s">
        <v>5247</v>
      </c>
      <c r="F715" s="6" t="s">
        <v>5248</v>
      </c>
      <c r="G715" s="6">
        <v>6.0</v>
      </c>
      <c r="H715" s="6">
        <v>5.0</v>
      </c>
      <c r="I715" s="8">
        <v>1349.1</v>
      </c>
      <c r="J715" s="8">
        <v>1424.0</v>
      </c>
      <c r="K715" s="8">
        <v>1499.0</v>
      </c>
    </row>
    <row r="716">
      <c r="A716" s="6" t="s">
        <v>4450</v>
      </c>
      <c r="B716" s="6" t="s">
        <v>4448</v>
      </c>
      <c r="C716" s="6" t="s">
        <v>4449</v>
      </c>
      <c r="D716" s="6" t="s">
        <v>4449</v>
      </c>
      <c r="E716" s="6" t="s">
        <v>5247</v>
      </c>
      <c r="F716" s="6" t="s">
        <v>5248</v>
      </c>
      <c r="G716" s="6">
        <v>2.0</v>
      </c>
      <c r="H716" s="6">
        <v>25.0</v>
      </c>
      <c r="I716" s="8">
        <v>899.1</v>
      </c>
      <c r="J716" s="8">
        <v>949.0</v>
      </c>
      <c r="K716" s="8">
        <v>999.0</v>
      </c>
    </row>
    <row r="717">
      <c r="A717" s="6" t="s">
        <v>4646</v>
      </c>
      <c r="B717" s="6" t="s">
        <v>4644</v>
      </c>
      <c r="C717" s="6" t="s">
        <v>4645</v>
      </c>
      <c r="D717" s="6" t="s">
        <v>4645</v>
      </c>
      <c r="E717" s="6" t="s">
        <v>5122</v>
      </c>
      <c r="F717" s="6" t="s">
        <v>5248</v>
      </c>
      <c r="G717" s="6" t="e">
        <v>#N/A</v>
      </c>
      <c r="H717" s="6">
        <v>38.0</v>
      </c>
      <c r="I717" s="8">
        <v>1529.1</v>
      </c>
      <c r="J717" s="8">
        <v>1614.0</v>
      </c>
      <c r="K717" s="8">
        <v>1699.0</v>
      </c>
    </row>
    <row r="718">
      <c r="A718" s="6" t="s">
        <v>4430</v>
      </c>
      <c r="B718" s="6" t="s">
        <v>4428</v>
      </c>
      <c r="C718" s="6" t="s">
        <v>4429</v>
      </c>
      <c r="D718" s="6" t="s">
        <v>4429</v>
      </c>
      <c r="E718" s="6" t="s">
        <v>5247</v>
      </c>
      <c r="F718" s="6" t="s">
        <v>5248</v>
      </c>
      <c r="G718" s="6">
        <v>2.0</v>
      </c>
      <c r="H718" s="6">
        <v>15.0</v>
      </c>
      <c r="I718" s="8">
        <v>899.1</v>
      </c>
      <c r="J718" s="8">
        <v>949.0</v>
      </c>
      <c r="K718" s="8">
        <v>999.0</v>
      </c>
    </row>
    <row r="719">
      <c r="A719" s="6" t="s">
        <v>4656</v>
      </c>
      <c r="B719" s="6" t="s">
        <v>4654</v>
      </c>
      <c r="C719" s="6" t="s">
        <v>4655</v>
      </c>
      <c r="D719" s="6" t="s">
        <v>4655</v>
      </c>
      <c r="E719" s="6" t="s">
        <v>5122</v>
      </c>
      <c r="F719" s="6" t="s">
        <v>5248</v>
      </c>
      <c r="G719" s="6" t="e">
        <v>#N/A</v>
      </c>
      <c r="H719" s="6">
        <v>124.0</v>
      </c>
      <c r="I719" s="8">
        <v>1529.1</v>
      </c>
      <c r="J719" s="8">
        <v>1614.0</v>
      </c>
      <c r="K719" s="8">
        <v>1699.0</v>
      </c>
    </row>
    <row r="720">
      <c r="A720" s="6" t="s">
        <v>4513</v>
      </c>
      <c r="B720" s="6" t="s">
        <v>4511</v>
      </c>
      <c r="C720" s="6" t="s">
        <v>4512</v>
      </c>
      <c r="D720" s="6" t="s">
        <v>4512</v>
      </c>
      <c r="E720" s="6" t="s">
        <v>5247</v>
      </c>
      <c r="F720" s="6" t="s">
        <v>5248</v>
      </c>
      <c r="G720" s="6">
        <v>12.0</v>
      </c>
      <c r="H720" s="6">
        <v>1.0</v>
      </c>
      <c r="I720" s="8">
        <v>1079.1</v>
      </c>
      <c r="J720" s="8">
        <v>1139.0</v>
      </c>
      <c r="K720" s="8">
        <v>1199.0</v>
      </c>
    </row>
    <row r="721">
      <c r="A721" s="6" t="s">
        <v>4636</v>
      </c>
      <c r="B721" s="6" t="s">
        <v>4634</v>
      </c>
      <c r="C721" s="6" t="s">
        <v>4635</v>
      </c>
      <c r="D721" s="6" t="s">
        <v>4635</v>
      </c>
      <c r="E721" s="6" t="s">
        <v>5247</v>
      </c>
      <c r="F721" s="6" t="s">
        <v>5248</v>
      </c>
      <c r="G721" s="6">
        <v>3.0</v>
      </c>
      <c r="H721" s="6">
        <v>19.0</v>
      </c>
      <c r="I721" s="8">
        <v>1529.1</v>
      </c>
      <c r="J721" s="8">
        <v>1614.0</v>
      </c>
      <c r="K721" s="8">
        <v>1699.0</v>
      </c>
    </row>
    <row r="722">
      <c r="A722" s="6" t="s">
        <v>4463</v>
      </c>
      <c r="B722" s="6" t="s">
        <v>4461</v>
      </c>
      <c r="C722" s="6" t="s">
        <v>4462</v>
      </c>
      <c r="D722" s="6" t="s">
        <v>4462</v>
      </c>
      <c r="E722" s="6" t="s">
        <v>5247</v>
      </c>
      <c r="F722" s="6" t="s">
        <v>5248</v>
      </c>
      <c r="G722" s="6">
        <v>8.0</v>
      </c>
      <c r="H722" s="6">
        <v>24.0</v>
      </c>
      <c r="I722" s="8">
        <v>899.1</v>
      </c>
      <c r="J722" s="8">
        <v>949.0</v>
      </c>
      <c r="K722" s="8">
        <v>999.0</v>
      </c>
    </row>
    <row r="723">
      <c r="A723" s="6" t="s">
        <v>4621</v>
      </c>
      <c r="B723" s="6" t="s">
        <v>4619</v>
      </c>
      <c r="C723" s="6" t="s">
        <v>4620</v>
      </c>
      <c r="D723" s="6" t="s">
        <v>4620</v>
      </c>
      <c r="E723" s="6" t="s">
        <v>5247</v>
      </c>
      <c r="F723" s="6" t="s">
        <v>5248</v>
      </c>
      <c r="G723" s="6">
        <v>4.0</v>
      </c>
      <c r="H723" s="6">
        <v>24.0</v>
      </c>
      <c r="I723" s="8">
        <v>1529.1</v>
      </c>
      <c r="J723" s="8">
        <v>1614.0</v>
      </c>
      <c r="K723" s="8">
        <v>1699.0</v>
      </c>
    </row>
    <row r="724">
      <c r="A724" s="6" t="s">
        <v>4616</v>
      </c>
      <c r="B724" s="6" t="s">
        <v>4614</v>
      </c>
      <c r="C724" s="6" t="s">
        <v>4615</v>
      </c>
      <c r="D724" s="6" t="s">
        <v>4615</v>
      </c>
      <c r="E724" s="6" t="s">
        <v>5247</v>
      </c>
      <c r="F724" s="6" t="s">
        <v>5248</v>
      </c>
      <c r="G724" s="6">
        <v>2.0</v>
      </c>
      <c r="H724" s="6">
        <v>37.0</v>
      </c>
      <c r="I724" s="8">
        <v>1529.1</v>
      </c>
      <c r="J724" s="8">
        <v>1614.0</v>
      </c>
      <c r="K724" s="8">
        <v>1699.0</v>
      </c>
    </row>
    <row r="725">
      <c r="A725" s="6" t="s">
        <v>4493</v>
      </c>
      <c r="B725" s="6" t="s">
        <v>4491</v>
      </c>
      <c r="C725" s="6" t="s">
        <v>4492</v>
      </c>
      <c r="D725" s="6" t="s">
        <v>4492</v>
      </c>
      <c r="E725" s="6" t="s">
        <v>5247</v>
      </c>
      <c r="F725" s="6" t="s">
        <v>5248</v>
      </c>
      <c r="G725" s="6">
        <v>2.0</v>
      </c>
      <c r="H725" s="6">
        <v>50.0</v>
      </c>
      <c r="I725" s="8">
        <v>1079.1</v>
      </c>
      <c r="J725" s="8">
        <v>1139.0</v>
      </c>
      <c r="K725" s="8">
        <v>1199.0</v>
      </c>
    </row>
    <row r="726">
      <c r="A726" s="6" t="s">
        <v>4483</v>
      </c>
      <c r="B726" s="6" t="s">
        <v>4481</v>
      </c>
      <c r="C726" s="6" t="s">
        <v>4482</v>
      </c>
      <c r="D726" s="6" t="s">
        <v>4482</v>
      </c>
      <c r="E726" s="6" t="s">
        <v>5122</v>
      </c>
      <c r="F726" s="6" t="s">
        <v>5248</v>
      </c>
      <c r="G726" s="6" t="e">
        <v>#N/A</v>
      </c>
      <c r="H726" s="6">
        <v>15.0</v>
      </c>
      <c r="I726" s="8">
        <v>1079.1</v>
      </c>
      <c r="J726" s="8">
        <v>1139.0</v>
      </c>
      <c r="K726" s="8">
        <v>1199.0</v>
      </c>
    </row>
    <row r="727">
      <c r="A727" s="6" t="s">
        <v>4440</v>
      </c>
      <c r="B727" s="6" t="s">
        <v>4438</v>
      </c>
      <c r="C727" s="6" t="s">
        <v>4439</v>
      </c>
      <c r="D727" s="6" t="s">
        <v>4439</v>
      </c>
      <c r="E727" s="6" t="s">
        <v>5247</v>
      </c>
      <c r="F727" s="6" t="s">
        <v>5248</v>
      </c>
      <c r="G727" s="6">
        <v>4.0</v>
      </c>
      <c r="H727" s="6">
        <v>18.0</v>
      </c>
      <c r="I727" s="8">
        <v>899.1</v>
      </c>
      <c r="J727" s="8">
        <v>949.0</v>
      </c>
      <c r="K727" s="8">
        <v>999.0</v>
      </c>
    </row>
    <row r="728">
      <c r="A728" s="6" t="s">
        <v>4445</v>
      </c>
      <c r="B728" s="6" t="s">
        <v>4443</v>
      </c>
      <c r="C728" s="6" t="s">
        <v>4444</v>
      </c>
      <c r="D728" s="6" t="s">
        <v>4444</v>
      </c>
      <c r="E728" s="6" t="s">
        <v>5247</v>
      </c>
      <c r="F728" s="6" t="s">
        <v>5248</v>
      </c>
      <c r="G728" s="6">
        <v>1.0</v>
      </c>
      <c r="H728" s="6">
        <v>20.0</v>
      </c>
      <c r="I728" s="8">
        <v>899.1</v>
      </c>
      <c r="J728" s="8">
        <v>949.0</v>
      </c>
      <c r="K728" s="8">
        <v>999.0</v>
      </c>
    </row>
    <row r="729">
      <c r="A729" s="6" t="s">
        <v>4523</v>
      </c>
      <c r="B729" s="6" t="s">
        <v>4521</v>
      </c>
      <c r="C729" s="6" t="s">
        <v>4522</v>
      </c>
      <c r="D729" s="6" t="s">
        <v>4522</v>
      </c>
      <c r="E729" s="6" t="s">
        <v>5122</v>
      </c>
      <c r="F729" s="6" t="s">
        <v>5248</v>
      </c>
      <c r="G729" s="6" t="e">
        <v>#N/A</v>
      </c>
      <c r="H729" s="6">
        <v>29.0</v>
      </c>
      <c r="I729" s="8">
        <v>1079.1</v>
      </c>
      <c r="J729" s="8">
        <v>1139.0</v>
      </c>
      <c r="K729" s="8">
        <v>1199.0</v>
      </c>
    </row>
    <row r="730">
      <c r="A730" s="6" t="s">
        <v>4518</v>
      </c>
      <c r="B730" s="6" t="s">
        <v>4516</v>
      </c>
      <c r="C730" s="6" t="s">
        <v>4517</v>
      </c>
      <c r="D730" s="6" t="s">
        <v>4517</v>
      </c>
      <c r="E730" s="6" t="s">
        <v>5247</v>
      </c>
      <c r="F730" s="6" t="s">
        <v>5248</v>
      </c>
      <c r="G730" s="6">
        <v>2.0</v>
      </c>
      <c r="H730" s="6">
        <v>7.0</v>
      </c>
      <c r="I730" s="8">
        <v>1079.1</v>
      </c>
      <c r="J730" s="8">
        <v>1139.0</v>
      </c>
      <c r="K730" s="8">
        <v>1199.0</v>
      </c>
    </row>
    <row r="731">
      <c r="A731" s="6" t="s">
        <v>4561</v>
      </c>
      <c r="B731" s="6" t="s">
        <v>4559</v>
      </c>
      <c r="C731" s="6" t="s">
        <v>4560</v>
      </c>
      <c r="D731" s="6" t="s">
        <v>4560</v>
      </c>
      <c r="E731" s="6" t="s">
        <v>5247</v>
      </c>
      <c r="F731" s="6" t="s">
        <v>5248</v>
      </c>
      <c r="G731" s="6">
        <v>1.0</v>
      </c>
      <c r="H731" s="6">
        <v>20.0</v>
      </c>
      <c r="I731" s="8">
        <v>1439.1</v>
      </c>
      <c r="J731" s="8">
        <v>1519.0</v>
      </c>
      <c r="K731" s="8">
        <v>1599.0</v>
      </c>
    </row>
    <row r="732">
      <c r="A732" s="6" t="s">
        <v>4415</v>
      </c>
      <c r="B732" s="6" t="s">
        <v>4413</v>
      </c>
      <c r="C732" s="6" t="s">
        <v>4414</v>
      </c>
      <c r="D732" s="6" t="s">
        <v>4414</v>
      </c>
      <c r="E732" s="6" t="s">
        <v>5247</v>
      </c>
      <c r="F732" s="6" t="s">
        <v>5248</v>
      </c>
      <c r="G732" s="6" t="e">
        <v>#N/A</v>
      </c>
      <c r="H732" s="6">
        <v>11.0</v>
      </c>
      <c r="I732" s="8">
        <v>899.1</v>
      </c>
      <c r="J732" s="8">
        <v>949.0</v>
      </c>
      <c r="K732" s="8">
        <v>999.0</v>
      </c>
    </row>
    <row r="733">
      <c r="A733" s="6" t="s">
        <v>4473</v>
      </c>
      <c r="B733" s="6" t="s">
        <v>4471</v>
      </c>
      <c r="C733" s="6" t="s">
        <v>4472</v>
      </c>
      <c r="D733" s="6" t="s">
        <v>4472</v>
      </c>
      <c r="E733" s="6" t="s">
        <v>5247</v>
      </c>
      <c r="F733" s="6" t="s">
        <v>5248</v>
      </c>
      <c r="G733" s="6">
        <v>2.0</v>
      </c>
      <c r="H733" s="6">
        <v>30.0</v>
      </c>
      <c r="I733" s="8">
        <v>1079.1</v>
      </c>
      <c r="J733" s="8">
        <v>1139.0</v>
      </c>
      <c r="K733" s="8">
        <v>1199.0</v>
      </c>
    </row>
    <row r="734">
      <c r="A734" s="6" t="s">
        <v>4539</v>
      </c>
      <c r="B734" s="6" t="s">
        <v>4537</v>
      </c>
      <c r="C734" s="6" t="s">
        <v>4538</v>
      </c>
      <c r="D734" s="6" t="s">
        <v>4538</v>
      </c>
      <c r="E734" s="6" t="s">
        <v>5247</v>
      </c>
      <c r="F734" s="6" t="s">
        <v>5248</v>
      </c>
      <c r="G734" s="6">
        <v>1.0</v>
      </c>
      <c r="H734" s="6">
        <v>10.0</v>
      </c>
      <c r="I734" s="8">
        <v>1439.1</v>
      </c>
      <c r="J734" s="8">
        <v>1519.0</v>
      </c>
      <c r="K734" s="8">
        <v>1599.0</v>
      </c>
    </row>
    <row r="735">
      <c r="A735" s="6" t="s">
        <v>4435</v>
      </c>
      <c r="B735" s="6" t="s">
        <v>4433</v>
      </c>
      <c r="C735" s="6" t="s">
        <v>4434</v>
      </c>
      <c r="D735" s="6" t="s">
        <v>4434</v>
      </c>
      <c r="E735" s="6" t="s">
        <v>5247</v>
      </c>
      <c r="F735" s="6" t="s">
        <v>5248</v>
      </c>
      <c r="G735" s="6">
        <v>3.0</v>
      </c>
      <c r="H735" s="6">
        <v>15.0</v>
      </c>
      <c r="I735" s="8">
        <v>899.1</v>
      </c>
      <c r="J735" s="8">
        <v>949.0</v>
      </c>
      <c r="K735" s="8">
        <v>999.0</v>
      </c>
    </row>
    <row r="736">
      <c r="A736" s="6" t="s">
        <v>4498</v>
      </c>
      <c r="B736" s="6" t="s">
        <v>4496</v>
      </c>
      <c r="C736" s="6" t="s">
        <v>4497</v>
      </c>
      <c r="D736" s="6" t="s">
        <v>4497</v>
      </c>
      <c r="E736" s="6" t="s">
        <v>5122</v>
      </c>
      <c r="F736" s="6" t="s">
        <v>5248</v>
      </c>
      <c r="G736" s="6" t="e">
        <v>#N/A</v>
      </c>
      <c r="H736" s="6">
        <v>15.0</v>
      </c>
      <c r="I736" s="8">
        <v>1079.1</v>
      </c>
      <c r="J736" s="8">
        <v>1139.0</v>
      </c>
      <c r="K736" s="8">
        <v>1199.0</v>
      </c>
    </row>
    <row r="737">
      <c r="A737" s="6" t="s">
        <v>4550</v>
      </c>
      <c r="B737" s="6" t="s">
        <v>4548</v>
      </c>
      <c r="C737" s="6" t="s">
        <v>4549</v>
      </c>
      <c r="D737" s="6" t="s">
        <v>4549</v>
      </c>
      <c r="E737" s="6" t="s">
        <v>5247</v>
      </c>
      <c r="F737" s="6" t="s">
        <v>5248</v>
      </c>
      <c r="G737" s="6">
        <v>5.0</v>
      </c>
      <c r="H737" s="6">
        <v>35.0</v>
      </c>
      <c r="I737" s="8">
        <v>1349.1</v>
      </c>
      <c r="J737" s="8">
        <v>1424.0</v>
      </c>
      <c r="K737" s="8">
        <v>1499.0</v>
      </c>
    </row>
    <row r="738">
      <c r="A738" s="6" t="s">
        <v>4572</v>
      </c>
      <c r="B738" s="6" t="s">
        <v>4570</v>
      </c>
      <c r="C738" s="6" t="s">
        <v>4571</v>
      </c>
      <c r="D738" s="6" t="s">
        <v>4571</v>
      </c>
      <c r="E738" s="6" t="s">
        <v>5122</v>
      </c>
      <c r="F738" s="6" t="s">
        <v>5248</v>
      </c>
      <c r="G738" s="6">
        <v>4.0</v>
      </c>
      <c r="H738" s="6">
        <v>0.0</v>
      </c>
      <c r="I738" s="8">
        <v>1349.1</v>
      </c>
      <c r="J738" s="8">
        <v>1424.0</v>
      </c>
      <c r="K738" s="8">
        <v>1499.0</v>
      </c>
    </row>
    <row r="739">
      <c r="A739" s="6" t="s">
        <v>4478</v>
      </c>
      <c r="B739" s="6" t="s">
        <v>4476</v>
      </c>
      <c r="C739" s="6" t="s">
        <v>4477</v>
      </c>
      <c r="D739" s="6" t="s">
        <v>4477</v>
      </c>
      <c r="E739" s="6" t="s">
        <v>5247</v>
      </c>
      <c r="F739" s="6" t="s">
        <v>5248</v>
      </c>
      <c r="G739" s="6">
        <v>2.0</v>
      </c>
      <c r="H739" s="6">
        <v>29.0</v>
      </c>
      <c r="I739" s="8">
        <v>1079.1</v>
      </c>
      <c r="J739" s="8">
        <v>1139.0</v>
      </c>
      <c r="K739" s="8">
        <v>1199.0</v>
      </c>
    </row>
    <row r="740">
      <c r="A740" s="6" t="s">
        <v>4503</v>
      </c>
      <c r="B740" s="6" t="s">
        <v>4501</v>
      </c>
      <c r="C740" s="6" t="s">
        <v>4502</v>
      </c>
      <c r="D740" s="6" t="s">
        <v>4502</v>
      </c>
      <c r="E740" s="6" t="s">
        <v>5247</v>
      </c>
      <c r="F740" s="6" t="s">
        <v>5248</v>
      </c>
      <c r="G740" s="6">
        <v>2.0</v>
      </c>
      <c r="H740" s="6">
        <v>7.0</v>
      </c>
      <c r="I740" s="8">
        <v>1079.1</v>
      </c>
      <c r="J740" s="8">
        <v>1139.0</v>
      </c>
      <c r="K740" s="8">
        <v>1199.0</v>
      </c>
    </row>
    <row r="741">
      <c r="A741" s="6" t="s">
        <v>4641</v>
      </c>
      <c r="B741" s="6" t="s">
        <v>4639</v>
      </c>
      <c r="C741" s="6" t="s">
        <v>4640</v>
      </c>
      <c r="D741" s="6" t="s">
        <v>4640</v>
      </c>
      <c r="E741" s="6" t="s">
        <v>5122</v>
      </c>
      <c r="F741" s="6" t="s">
        <v>5248</v>
      </c>
      <c r="G741" s="6" t="e">
        <v>#N/A</v>
      </c>
      <c r="H741" s="6">
        <v>115.0</v>
      </c>
      <c r="I741" s="8">
        <v>1529.1</v>
      </c>
      <c r="J741" s="8">
        <v>1614.0</v>
      </c>
      <c r="K741" s="8">
        <v>1699.0</v>
      </c>
    </row>
    <row r="742">
      <c r="A742" s="6" t="s">
        <v>4626</v>
      </c>
      <c r="B742" s="6" t="s">
        <v>4624</v>
      </c>
      <c r="C742" s="6" t="s">
        <v>4625</v>
      </c>
      <c r="D742" s="6" t="s">
        <v>4625</v>
      </c>
      <c r="E742" s="6" t="s">
        <v>5247</v>
      </c>
      <c r="F742" s="6" t="s">
        <v>5248</v>
      </c>
      <c r="G742" s="6">
        <v>17.0</v>
      </c>
      <c r="H742" s="6">
        <v>155.0</v>
      </c>
      <c r="I742" s="8">
        <v>1529.1</v>
      </c>
      <c r="J742" s="8">
        <v>1614.0</v>
      </c>
      <c r="K742" s="8">
        <v>1699.0</v>
      </c>
    </row>
    <row r="743">
      <c r="A743" s="6" t="s">
        <v>4410</v>
      </c>
      <c r="B743" s="6" t="s">
        <v>4408</v>
      </c>
      <c r="C743" s="6" t="s">
        <v>4409</v>
      </c>
      <c r="D743" s="6" t="s">
        <v>4409</v>
      </c>
      <c r="E743" s="6" t="s">
        <v>5247</v>
      </c>
      <c r="F743" s="6" t="s">
        <v>5248</v>
      </c>
      <c r="G743" s="6" t="e">
        <v>#N/A</v>
      </c>
      <c r="H743" s="6">
        <v>15.0</v>
      </c>
      <c r="I743" s="8">
        <v>899.1</v>
      </c>
      <c r="J743" s="8">
        <v>949.0</v>
      </c>
      <c r="K743" s="8">
        <v>999.0</v>
      </c>
    </row>
    <row r="744">
      <c r="A744" s="6" t="s">
        <v>4488</v>
      </c>
      <c r="B744" s="6" t="s">
        <v>4486</v>
      </c>
      <c r="C744" s="6" t="s">
        <v>4487</v>
      </c>
      <c r="D744" s="6" t="s">
        <v>4487</v>
      </c>
      <c r="E744" s="6" t="s">
        <v>5247</v>
      </c>
      <c r="F744" s="6" t="s">
        <v>5248</v>
      </c>
      <c r="G744" s="6">
        <v>2.0</v>
      </c>
      <c r="H744" s="6">
        <v>33.0</v>
      </c>
      <c r="I744" s="8">
        <v>1079.1</v>
      </c>
      <c r="J744" s="8">
        <v>1139.0</v>
      </c>
      <c r="K744" s="8">
        <v>1199.0</v>
      </c>
    </row>
    <row r="745">
      <c r="A745" s="6" t="s">
        <v>4468</v>
      </c>
      <c r="B745" s="6" t="s">
        <v>4466</v>
      </c>
      <c r="C745" s="6" t="s">
        <v>4467</v>
      </c>
      <c r="D745" s="6" t="s">
        <v>4467</v>
      </c>
      <c r="E745" s="6" t="s">
        <v>5122</v>
      </c>
      <c r="F745" s="6" t="s">
        <v>5248</v>
      </c>
      <c r="G745" s="6" t="e">
        <v>#N/A</v>
      </c>
      <c r="H745" s="6">
        <v>12.0</v>
      </c>
      <c r="I745" s="8">
        <v>1079.1</v>
      </c>
      <c r="J745" s="8">
        <v>1139.0</v>
      </c>
      <c r="K745" s="8">
        <v>1199.0</v>
      </c>
    </row>
    <row r="746">
      <c r="A746" s="6" t="s">
        <v>4666</v>
      </c>
      <c r="B746" s="6" t="s">
        <v>4664</v>
      </c>
      <c r="C746" s="6" t="s">
        <v>4665</v>
      </c>
      <c r="D746" s="6" t="s">
        <v>4665</v>
      </c>
      <c r="E746" s="6" t="s">
        <v>5247</v>
      </c>
      <c r="F746" s="6" t="s">
        <v>5248</v>
      </c>
      <c r="G746" s="6">
        <v>8.0</v>
      </c>
      <c r="H746" s="6">
        <v>12.0</v>
      </c>
      <c r="I746" s="8">
        <v>1529.1</v>
      </c>
      <c r="J746" s="8">
        <v>1614.0</v>
      </c>
      <c r="K746" s="8">
        <v>1699.0</v>
      </c>
    </row>
    <row r="747">
      <c r="A747" s="6" t="s">
        <v>4583</v>
      </c>
      <c r="B747" s="6" t="s">
        <v>4581</v>
      </c>
      <c r="C747" s="6" t="s">
        <v>4582</v>
      </c>
      <c r="D747" s="6" t="s">
        <v>4582</v>
      </c>
      <c r="E747" s="6" t="s">
        <v>5247</v>
      </c>
      <c r="F747" s="6" t="s">
        <v>5248</v>
      </c>
      <c r="G747" s="6">
        <v>2.0</v>
      </c>
      <c r="H747" s="6">
        <v>16.0</v>
      </c>
      <c r="I747" s="8">
        <v>1439.1</v>
      </c>
      <c r="J747" s="8">
        <v>1519.0</v>
      </c>
      <c r="K747" s="8">
        <v>1599.0</v>
      </c>
    </row>
    <row r="748">
      <c r="A748" s="6" t="s">
        <v>4528</v>
      </c>
      <c r="B748" s="6" t="s">
        <v>4526</v>
      </c>
      <c r="C748" s="6" t="s">
        <v>4527</v>
      </c>
      <c r="D748" s="6" t="s">
        <v>4527</v>
      </c>
      <c r="E748" s="6" t="s">
        <v>5247</v>
      </c>
      <c r="F748" s="6" t="s">
        <v>5248</v>
      </c>
      <c r="G748" s="6">
        <v>2.0</v>
      </c>
      <c r="H748" s="6">
        <v>20.0</v>
      </c>
      <c r="I748" s="8">
        <v>1349.1</v>
      </c>
      <c r="J748" s="8">
        <v>1424.0</v>
      </c>
      <c r="K748" s="8">
        <v>1499.0</v>
      </c>
    </row>
    <row r="749">
      <c r="A749" s="6" t="s">
        <v>4605</v>
      </c>
      <c r="B749" s="6" t="s">
        <v>4603</v>
      </c>
      <c r="C749" s="6" t="s">
        <v>4604</v>
      </c>
      <c r="D749" s="6" t="s">
        <v>4604</v>
      </c>
      <c r="E749" s="6" t="s">
        <v>5122</v>
      </c>
      <c r="F749" s="6" t="s">
        <v>5248</v>
      </c>
      <c r="G749" s="6" t="e">
        <v>#N/A</v>
      </c>
      <c r="H749" s="6">
        <v>37.0</v>
      </c>
      <c r="I749" s="8">
        <v>1439.1</v>
      </c>
      <c r="J749" s="8">
        <v>1519.0</v>
      </c>
      <c r="K749" s="8">
        <v>1599.0</v>
      </c>
    </row>
    <row r="750">
      <c r="A750" s="6" t="s">
        <v>4390</v>
      </c>
      <c r="B750" s="6" t="s">
        <v>4388</v>
      </c>
      <c r="C750" s="6" t="s">
        <v>4389</v>
      </c>
      <c r="D750" s="6" t="s">
        <v>4389</v>
      </c>
      <c r="E750" s="6" t="s">
        <v>5247</v>
      </c>
      <c r="F750" s="6" t="s">
        <v>5248</v>
      </c>
      <c r="G750" s="6">
        <v>28.0</v>
      </c>
      <c r="H750" s="6">
        <v>16.0</v>
      </c>
      <c r="I750" s="8">
        <v>4997.15</v>
      </c>
      <c r="J750" s="8">
        <v>5599.0</v>
      </c>
      <c r="K750" s="8">
        <v>5879.0</v>
      </c>
    </row>
    <row r="751">
      <c r="A751" s="6" t="s">
        <v>4405</v>
      </c>
      <c r="B751" s="6" t="s">
        <v>4403</v>
      </c>
      <c r="C751" s="6" t="s">
        <v>4404</v>
      </c>
      <c r="D751" s="6" t="s">
        <v>4404</v>
      </c>
      <c r="E751" s="6" t="s">
        <v>5247</v>
      </c>
      <c r="F751" s="6" t="s">
        <v>5248</v>
      </c>
      <c r="G751" s="6">
        <v>39.0</v>
      </c>
      <c r="H751" s="6">
        <v>15.0</v>
      </c>
      <c r="I751" s="8">
        <v>5609.15</v>
      </c>
      <c r="J751" s="8">
        <v>6299.0</v>
      </c>
      <c r="K751" s="8">
        <v>6599.0</v>
      </c>
    </row>
    <row r="752">
      <c r="A752" s="6" t="s">
        <v>4375</v>
      </c>
      <c r="B752" s="6" t="s">
        <v>4373</v>
      </c>
      <c r="C752" s="6" t="s">
        <v>4374</v>
      </c>
      <c r="D752" s="6" t="s">
        <v>4374</v>
      </c>
      <c r="E752" s="6" t="s">
        <v>5122</v>
      </c>
      <c r="F752" s="6" t="s">
        <v>5248</v>
      </c>
      <c r="G752" s="6">
        <v>15.0</v>
      </c>
      <c r="H752" s="6">
        <v>0.0</v>
      </c>
      <c r="I752" s="8">
        <v>4079.15</v>
      </c>
      <c r="J752" s="8">
        <v>4499.0</v>
      </c>
      <c r="K752" s="8">
        <v>4799.0</v>
      </c>
    </row>
    <row r="753">
      <c r="A753" s="6" t="s">
        <v>4385</v>
      </c>
      <c r="B753" s="6" t="s">
        <v>4383</v>
      </c>
      <c r="C753" s="6" t="s">
        <v>4384</v>
      </c>
      <c r="D753" s="6" t="s">
        <v>4384</v>
      </c>
      <c r="E753" s="6" t="s">
        <v>5247</v>
      </c>
      <c r="F753" s="6" t="s">
        <v>5248</v>
      </c>
      <c r="G753" s="6">
        <v>24.0</v>
      </c>
      <c r="H753" s="6">
        <v>9.0</v>
      </c>
      <c r="I753" s="8">
        <v>4895.15</v>
      </c>
      <c r="J753" s="8">
        <v>5499.0</v>
      </c>
      <c r="K753" s="8">
        <v>5759.0</v>
      </c>
    </row>
    <row r="754">
      <c r="A754" s="6" t="s">
        <v>4365</v>
      </c>
      <c r="B754" s="6" t="s">
        <v>4363</v>
      </c>
      <c r="C754" s="6" t="s">
        <v>4364</v>
      </c>
      <c r="D754" s="6" t="s">
        <v>4364</v>
      </c>
      <c r="E754" s="6" t="s">
        <v>5247</v>
      </c>
      <c r="F754" s="6" t="s">
        <v>5248</v>
      </c>
      <c r="G754" s="6">
        <v>8.0</v>
      </c>
      <c r="H754" s="6">
        <v>7.0</v>
      </c>
      <c r="I754" s="8">
        <v>3365.15</v>
      </c>
      <c r="J754" s="8">
        <v>3759.0</v>
      </c>
      <c r="K754" s="8">
        <v>3959.0</v>
      </c>
    </row>
    <row r="755">
      <c r="A755" s="6" t="s">
        <v>4380</v>
      </c>
      <c r="B755" s="6" t="s">
        <v>4378</v>
      </c>
      <c r="C755" s="6" t="s">
        <v>4379</v>
      </c>
      <c r="D755" s="6" t="s">
        <v>4379</v>
      </c>
      <c r="E755" s="6" t="s">
        <v>5247</v>
      </c>
      <c r="F755" s="6" t="s">
        <v>5248</v>
      </c>
      <c r="G755" s="6">
        <v>18.0</v>
      </c>
      <c r="H755" s="6">
        <v>17.0</v>
      </c>
      <c r="I755" s="8">
        <v>4793.15</v>
      </c>
      <c r="J755" s="8">
        <v>5299.0</v>
      </c>
      <c r="K755" s="8">
        <v>5639.0</v>
      </c>
    </row>
    <row r="756">
      <c r="A756" s="6" t="s">
        <v>4400</v>
      </c>
      <c r="B756" s="6" t="s">
        <v>4398</v>
      </c>
      <c r="C756" s="6" t="s">
        <v>4399</v>
      </c>
      <c r="D756" s="6" t="s">
        <v>4399</v>
      </c>
      <c r="E756" s="6" t="s">
        <v>5247</v>
      </c>
      <c r="F756" s="6" t="s">
        <v>5248</v>
      </c>
      <c r="G756" s="6">
        <v>12.0</v>
      </c>
      <c r="H756" s="6">
        <v>4.0</v>
      </c>
      <c r="I756" s="8">
        <v>5609.15</v>
      </c>
      <c r="J756" s="8">
        <v>6299.0</v>
      </c>
      <c r="K756" s="8">
        <v>6599.0</v>
      </c>
    </row>
    <row r="757">
      <c r="A757" s="6" t="s">
        <v>4395</v>
      </c>
      <c r="B757" s="6" t="s">
        <v>4393</v>
      </c>
      <c r="C757" s="6" t="s">
        <v>4394</v>
      </c>
      <c r="D757" s="6" t="s">
        <v>4394</v>
      </c>
      <c r="E757" s="6" t="s">
        <v>5122</v>
      </c>
      <c r="F757" s="6" t="s">
        <v>5248</v>
      </c>
      <c r="G757" s="6">
        <v>24.0</v>
      </c>
      <c r="H757" s="6">
        <v>0.0</v>
      </c>
      <c r="I757" s="8">
        <v>5609.15</v>
      </c>
      <c r="J757" s="8">
        <v>6299.0</v>
      </c>
      <c r="K757" s="8">
        <v>6599.0</v>
      </c>
    </row>
    <row r="758">
      <c r="A758" s="6" t="s">
        <v>3848</v>
      </c>
      <c r="B758" s="6" t="s">
        <v>3846</v>
      </c>
      <c r="C758" s="6" t="s">
        <v>3847</v>
      </c>
      <c r="D758" s="6" t="s">
        <v>3847</v>
      </c>
      <c r="E758" s="6" t="s">
        <v>5247</v>
      </c>
      <c r="F758" s="6" t="s">
        <v>5248</v>
      </c>
      <c r="G758" s="6">
        <v>54.0</v>
      </c>
      <c r="H758" s="6">
        <v>195.0</v>
      </c>
      <c r="I758" s="8">
        <v>936.75</v>
      </c>
      <c r="J758" s="8">
        <v>999.0</v>
      </c>
      <c r="K758" s="8">
        <v>1249.0</v>
      </c>
    </row>
    <row r="759">
      <c r="A759" s="6" t="s">
        <v>3888</v>
      </c>
      <c r="B759" s="6" t="s">
        <v>3886</v>
      </c>
      <c r="C759" s="6" t="s">
        <v>3887</v>
      </c>
      <c r="D759" s="6" t="s">
        <v>3887</v>
      </c>
      <c r="E759" s="6" t="s">
        <v>5122</v>
      </c>
      <c r="F759" s="6" t="s">
        <v>5248</v>
      </c>
      <c r="G759" s="6">
        <v>24.0</v>
      </c>
      <c r="H759" s="6">
        <v>119.0</v>
      </c>
      <c r="I759" s="8">
        <v>1499.25</v>
      </c>
      <c r="J759" s="8">
        <v>1599.0</v>
      </c>
      <c r="K759" s="8">
        <v>1999.0</v>
      </c>
    </row>
    <row r="760">
      <c r="A760" s="6" t="s">
        <v>3838</v>
      </c>
      <c r="B760" s="6" t="s">
        <v>3836</v>
      </c>
      <c r="C760" s="6" t="s">
        <v>3837</v>
      </c>
      <c r="D760" s="6" t="s">
        <v>3837</v>
      </c>
      <c r="E760" s="6" t="s">
        <v>5247</v>
      </c>
      <c r="F760" s="6" t="s">
        <v>5248</v>
      </c>
      <c r="G760" s="6">
        <v>3.0</v>
      </c>
      <c r="H760" s="6">
        <v>308.0</v>
      </c>
      <c r="I760" s="8">
        <v>1874.25</v>
      </c>
      <c r="J760" s="8">
        <v>1999.0</v>
      </c>
      <c r="K760" s="8">
        <v>2499.0</v>
      </c>
    </row>
    <row r="761">
      <c r="A761" s="6" t="s">
        <v>3858</v>
      </c>
      <c r="B761" s="6" t="s">
        <v>3856</v>
      </c>
      <c r="C761" s="6" t="s">
        <v>3857</v>
      </c>
      <c r="D761" s="6" t="s">
        <v>3857</v>
      </c>
      <c r="E761" s="6" t="s">
        <v>5247</v>
      </c>
      <c r="F761" s="6" t="s">
        <v>5248</v>
      </c>
      <c r="G761" s="6">
        <v>11.0</v>
      </c>
      <c r="H761" s="6">
        <v>320.0</v>
      </c>
      <c r="I761" s="8">
        <v>1401.75</v>
      </c>
      <c r="J761" s="8">
        <v>1499.0</v>
      </c>
      <c r="K761" s="8">
        <v>1869.0</v>
      </c>
    </row>
    <row r="762">
      <c r="A762" s="6" t="s">
        <v>3868</v>
      </c>
      <c r="B762" s="6" t="s">
        <v>3866</v>
      </c>
      <c r="C762" s="6" t="s">
        <v>3867</v>
      </c>
      <c r="D762" s="6" t="s">
        <v>3867</v>
      </c>
      <c r="E762" s="6" t="s">
        <v>5247</v>
      </c>
      <c r="F762" s="6" t="s">
        <v>5248</v>
      </c>
      <c r="G762" s="6">
        <v>24.0</v>
      </c>
      <c r="H762" s="6">
        <v>154.0</v>
      </c>
      <c r="I762" s="8">
        <v>1401.75</v>
      </c>
      <c r="J762" s="8">
        <v>1499.0</v>
      </c>
      <c r="K762" s="8">
        <v>1869.0</v>
      </c>
    </row>
    <row r="763">
      <c r="A763" s="6" t="s">
        <v>3878</v>
      </c>
      <c r="B763" s="6" t="s">
        <v>3876</v>
      </c>
      <c r="C763" s="6" t="s">
        <v>3877</v>
      </c>
      <c r="D763" s="6" t="s">
        <v>3877</v>
      </c>
      <c r="E763" s="6" t="s">
        <v>5122</v>
      </c>
      <c r="F763" s="6" t="s">
        <v>5248</v>
      </c>
      <c r="G763" s="6">
        <v>3.0</v>
      </c>
      <c r="H763" s="6">
        <v>154.0</v>
      </c>
      <c r="I763" s="8">
        <v>1874.25</v>
      </c>
      <c r="J763" s="8">
        <v>1999.0</v>
      </c>
      <c r="K763" s="8">
        <v>2499.0</v>
      </c>
    </row>
    <row r="764">
      <c r="A764" s="6" t="s">
        <v>3898</v>
      </c>
      <c r="B764" s="6" t="s">
        <v>3896</v>
      </c>
      <c r="C764" s="6" t="s">
        <v>3897</v>
      </c>
      <c r="D764" s="6" t="s">
        <v>3897</v>
      </c>
      <c r="E764" s="6" t="s">
        <v>5247</v>
      </c>
      <c r="F764" s="6" t="s">
        <v>5248</v>
      </c>
      <c r="G764" s="6">
        <v>9.0</v>
      </c>
      <c r="H764" s="6">
        <v>105.0</v>
      </c>
      <c r="I764" s="8">
        <v>1499.25</v>
      </c>
      <c r="J764" s="8">
        <v>1599.0</v>
      </c>
      <c r="K764" s="8">
        <v>1999.0</v>
      </c>
    </row>
    <row r="765">
      <c r="A765" s="6" t="s">
        <v>5284</v>
      </c>
      <c r="B765" s="6" t="s">
        <v>4910</v>
      </c>
      <c r="C765" s="6" t="s">
        <v>4911</v>
      </c>
      <c r="D765" s="6" t="s">
        <v>4911</v>
      </c>
      <c r="E765" s="6" t="s">
        <v>5247</v>
      </c>
      <c r="F765" s="6" t="s">
        <v>5248</v>
      </c>
      <c r="G765" s="6">
        <v>12.0</v>
      </c>
      <c r="H765" s="6" t="e">
        <v>#N/A</v>
      </c>
      <c r="I765" s="8">
        <v>6999.0</v>
      </c>
      <c r="J765" s="8">
        <v>6999.0</v>
      </c>
      <c r="K765" s="8">
        <v>6999.0</v>
      </c>
    </row>
    <row r="766">
      <c r="A766" s="6" t="s">
        <v>5285</v>
      </c>
      <c r="B766" s="6" t="s">
        <v>4917</v>
      </c>
      <c r="C766" s="6" t="s">
        <v>4918</v>
      </c>
      <c r="D766" s="6" t="s">
        <v>4918</v>
      </c>
      <c r="E766" s="6" t="s">
        <v>5122</v>
      </c>
      <c r="F766" s="6" t="s">
        <v>5248</v>
      </c>
      <c r="G766" s="6" t="e">
        <v>#N/A</v>
      </c>
      <c r="H766" s="6">
        <v>0.0</v>
      </c>
      <c r="I766" s="8">
        <v>1699.0</v>
      </c>
      <c r="J766" s="8">
        <v>1799.0</v>
      </c>
      <c r="K766" s="8">
        <v>2999.0</v>
      </c>
    </row>
    <row r="767">
      <c r="A767" s="6" t="s">
        <v>4824</v>
      </c>
      <c r="B767" s="6" t="s">
        <v>4822</v>
      </c>
      <c r="C767" s="6" t="s">
        <v>4823</v>
      </c>
      <c r="D767" s="6" t="s">
        <v>4823</v>
      </c>
      <c r="E767" s="6" t="s">
        <v>5247</v>
      </c>
      <c r="F767" s="6" t="s">
        <v>5248</v>
      </c>
      <c r="G767" s="6">
        <v>12.0</v>
      </c>
      <c r="H767" s="6" t="e">
        <v>#N/A</v>
      </c>
      <c r="I767" s="8">
        <v>7499.0</v>
      </c>
      <c r="J767" s="8">
        <v>7799.0</v>
      </c>
      <c r="K767" s="8">
        <v>10999.0</v>
      </c>
    </row>
    <row r="768">
      <c r="A768" s="6" t="s">
        <v>4829</v>
      </c>
      <c r="B768" s="6" t="s">
        <v>4827</v>
      </c>
      <c r="C768" s="6" t="s">
        <v>4828</v>
      </c>
      <c r="D768" s="6" t="s">
        <v>4828</v>
      </c>
      <c r="E768" s="6" t="s">
        <v>5247</v>
      </c>
      <c r="F768" s="6" t="s">
        <v>5248</v>
      </c>
      <c r="G768" s="6">
        <v>38.0</v>
      </c>
      <c r="H768" s="6" t="e">
        <v>#N/A</v>
      </c>
      <c r="I768" s="8">
        <v>2999.0</v>
      </c>
      <c r="J768" s="8">
        <v>3299.0</v>
      </c>
      <c r="K768" s="8">
        <v>3899.0</v>
      </c>
    </row>
    <row r="769">
      <c r="A769" s="6" t="s">
        <v>4833</v>
      </c>
      <c r="B769" s="6" t="s">
        <v>4831</v>
      </c>
      <c r="C769" s="6" t="s">
        <v>4832</v>
      </c>
      <c r="D769" s="6" t="s">
        <v>4832</v>
      </c>
      <c r="E769" s="6" t="s">
        <v>5247</v>
      </c>
      <c r="F769" s="6" t="s">
        <v>5248</v>
      </c>
      <c r="G769" s="6">
        <v>20.0</v>
      </c>
      <c r="H769" s="6" t="e">
        <v>#N/A</v>
      </c>
      <c r="I769" s="8">
        <v>3899.0</v>
      </c>
      <c r="J769" s="8">
        <v>4299.0</v>
      </c>
      <c r="K769" s="8">
        <v>4999.0</v>
      </c>
    </row>
    <row r="770">
      <c r="A770" s="6" t="s">
        <v>4838</v>
      </c>
      <c r="B770" s="6" t="s">
        <v>4836</v>
      </c>
      <c r="C770" s="6" t="s">
        <v>4837</v>
      </c>
      <c r="D770" s="6" t="s">
        <v>4837</v>
      </c>
      <c r="E770" s="6" t="s">
        <v>5247</v>
      </c>
      <c r="F770" s="6" t="s">
        <v>5248</v>
      </c>
      <c r="G770" s="6">
        <v>4.0</v>
      </c>
      <c r="H770" s="6" t="e">
        <v>#N/A</v>
      </c>
      <c r="I770" s="8">
        <v>4899.0</v>
      </c>
      <c r="J770" s="8">
        <v>4999.0</v>
      </c>
      <c r="K770" s="8">
        <v>5599.0</v>
      </c>
    </row>
    <row r="771">
      <c r="A771" s="6" t="s">
        <v>4843</v>
      </c>
      <c r="B771" s="6" t="s">
        <v>4841</v>
      </c>
      <c r="C771" s="6" t="s">
        <v>4842</v>
      </c>
      <c r="D771" s="6" t="s">
        <v>4842</v>
      </c>
      <c r="E771" s="6" t="s">
        <v>5247</v>
      </c>
      <c r="F771" s="6" t="s">
        <v>5248</v>
      </c>
      <c r="G771" s="6">
        <v>40.0</v>
      </c>
      <c r="H771" s="6" t="e">
        <v>#N/A</v>
      </c>
      <c r="I771" s="8">
        <v>2999.0</v>
      </c>
      <c r="J771" s="8">
        <v>3299.0</v>
      </c>
      <c r="K771" s="8">
        <v>3899.0</v>
      </c>
    </row>
    <row r="772">
      <c r="A772" s="6" t="s">
        <v>5002</v>
      </c>
      <c r="B772" s="6" t="s">
        <v>5000</v>
      </c>
      <c r="C772" s="6" t="s">
        <v>5001</v>
      </c>
      <c r="D772" s="6" t="s">
        <v>5001</v>
      </c>
      <c r="E772" s="6" t="s">
        <v>5122</v>
      </c>
      <c r="F772" s="6" t="s">
        <v>5248</v>
      </c>
      <c r="G772" s="6" t="e">
        <v>#N/A</v>
      </c>
      <c r="H772" s="6">
        <v>20.0</v>
      </c>
      <c r="I772" s="8">
        <v>1439.1</v>
      </c>
      <c r="J772" s="8">
        <v>1519.0</v>
      </c>
      <c r="K772" s="8">
        <v>1599.0</v>
      </c>
    </row>
    <row r="773">
      <c r="A773" s="6" t="s">
        <v>4946</v>
      </c>
      <c r="B773" s="6" t="s">
        <v>4944</v>
      </c>
      <c r="C773" s="6" t="s">
        <v>4945</v>
      </c>
      <c r="D773" s="6" t="s">
        <v>4945</v>
      </c>
      <c r="E773" s="6" t="s">
        <v>5122</v>
      </c>
      <c r="F773" s="6" t="s">
        <v>5248</v>
      </c>
      <c r="G773" s="6" t="e">
        <v>#N/A</v>
      </c>
      <c r="H773" s="6">
        <v>17.0</v>
      </c>
      <c r="I773" s="8">
        <v>1439.1</v>
      </c>
      <c r="J773" s="8">
        <v>1519.0</v>
      </c>
      <c r="K773" s="8">
        <v>1599.0</v>
      </c>
    </row>
    <row r="774">
      <c r="A774" s="6" t="s">
        <v>4974</v>
      </c>
      <c r="B774" s="6" t="s">
        <v>4972</v>
      </c>
      <c r="C774" s="6" t="s">
        <v>4973</v>
      </c>
      <c r="D774" s="6" t="s">
        <v>4973</v>
      </c>
      <c r="E774" s="6" t="s">
        <v>5122</v>
      </c>
      <c r="F774" s="6" t="s">
        <v>5248</v>
      </c>
      <c r="G774" s="6" t="e">
        <v>#N/A</v>
      </c>
      <c r="H774" s="6">
        <v>27.0</v>
      </c>
      <c r="I774" s="8">
        <v>1349.1</v>
      </c>
      <c r="J774" s="8">
        <v>1424.0</v>
      </c>
      <c r="K774" s="8">
        <v>1499.0</v>
      </c>
    </row>
    <row r="775">
      <c r="A775" s="6" t="s">
        <v>4966</v>
      </c>
      <c r="B775" s="6" t="s">
        <v>4964</v>
      </c>
      <c r="C775" s="6" t="s">
        <v>4965</v>
      </c>
      <c r="D775" s="6" t="s">
        <v>4965</v>
      </c>
      <c r="E775" s="6" t="s">
        <v>5122</v>
      </c>
      <c r="F775" s="6" t="s">
        <v>5248</v>
      </c>
      <c r="G775" s="6" t="e">
        <v>#N/A</v>
      </c>
      <c r="H775" s="6">
        <v>45.0</v>
      </c>
      <c r="I775" s="8">
        <v>1349.1</v>
      </c>
      <c r="J775" s="8">
        <v>1424.0</v>
      </c>
      <c r="K775" s="8">
        <v>1499.0</v>
      </c>
    </row>
    <row r="776">
      <c r="A776" s="6" t="s">
        <v>4954</v>
      </c>
      <c r="B776" s="6" t="s">
        <v>4952</v>
      </c>
      <c r="C776" s="6" t="s">
        <v>4953</v>
      </c>
      <c r="D776" s="6" t="s">
        <v>4953</v>
      </c>
      <c r="E776" s="6" t="s">
        <v>5122</v>
      </c>
      <c r="F776" s="6" t="s">
        <v>5248</v>
      </c>
      <c r="G776" s="6" t="e">
        <v>#N/A</v>
      </c>
      <c r="H776" s="6">
        <v>21.0</v>
      </c>
      <c r="I776" s="8">
        <v>1439.1</v>
      </c>
      <c r="J776" s="8">
        <v>1519.0</v>
      </c>
      <c r="K776" s="8">
        <v>1599.0</v>
      </c>
    </row>
    <row r="777">
      <c r="A777" s="6" t="s">
        <v>4990</v>
      </c>
      <c r="B777" s="6" t="s">
        <v>4988</v>
      </c>
      <c r="C777" s="6" t="s">
        <v>4989</v>
      </c>
      <c r="D777" s="6" t="s">
        <v>4989</v>
      </c>
      <c r="E777" s="6" t="s">
        <v>5122</v>
      </c>
      <c r="F777" s="6" t="s">
        <v>5248</v>
      </c>
      <c r="G777" s="6" t="e">
        <v>#N/A</v>
      </c>
      <c r="H777" s="6">
        <v>17.0</v>
      </c>
      <c r="I777" s="8">
        <v>1349.1</v>
      </c>
      <c r="J777" s="8">
        <v>1424.0</v>
      </c>
      <c r="K777" s="8">
        <v>1499.0</v>
      </c>
    </row>
    <row r="778">
      <c r="A778" s="6" t="s">
        <v>4942</v>
      </c>
      <c r="B778" s="6" t="s">
        <v>4940</v>
      </c>
      <c r="C778" s="6" t="s">
        <v>4941</v>
      </c>
      <c r="D778" s="6" t="s">
        <v>4941</v>
      </c>
      <c r="E778" s="6" t="s">
        <v>5122</v>
      </c>
      <c r="F778" s="6" t="s">
        <v>5248</v>
      </c>
      <c r="G778" s="6" t="e">
        <v>#N/A</v>
      </c>
      <c r="H778" s="6">
        <v>50.0</v>
      </c>
      <c r="I778" s="8">
        <v>1349.1</v>
      </c>
      <c r="J778" s="8">
        <v>1424.0</v>
      </c>
      <c r="K778" s="8">
        <v>1499.0</v>
      </c>
    </row>
    <row r="779">
      <c r="A779" s="6" t="s">
        <v>4994</v>
      </c>
      <c r="B779" s="6" t="s">
        <v>4992</v>
      </c>
      <c r="C779" s="6" t="s">
        <v>4993</v>
      </c>
      <c r="D779" s="6" t="s">
        <v>4993</v>
      </c>
      <c r="E779" s="6" t="s">
        <v>5122</v>
      </c>
      <c r="F779" s="6" t="s">
        <v>5248</v>
      </c>
      <c r="G779" s="6" t="e">
        <v>#N/A</v>
      </c>
      <c r="H779" s="6">
        <v>30.0</v>
      </c>
      <c r="I779" s="8">
        <v>1439.1</v>
      </c>
      <c r="J779" s="8">
        <v>1519.0</v>
      </c>
      <c r="K779" s="8">
        <v>1599.0</v>
      </c>
    </row>
    <row r="780">
      <c r="A780" s="6" t="s">
        <v>4958</v>
      </c>
      <c r="B780" s="6" t="s">
        <v>4956</v>
      </c>
      <c r="C780" s="6" t="s">
        <v>4957</v>
      </c>
      <c r="D780" s="6" t="s">
        <v>4957</v>
      </c>
      <c r="E780" s="6" t="s">
        <v>5122</v>
      </c>
      <c r="F780" s="6" t="s">
        <v>5248</v>
      </c>
      <c r="G780" s="6" t="e">
        <v>#N/A</v>
      </c>
      <c r="H780" s="6">
        <v>45.0</v>
      </c>
      <c r="I780" s="8">
        <v>1349.1</v>
      </c>
      <c r="J780" s="8">
        <v>1424.0</v>
      </c>
      <c r="K780" s="8">
        <v>1499.0</v>
      </c>
    </row>
    <row r="781">
      <c r="A781" s="6" t="s">
        <v>4962</v>
      </c>
      <c r="B781" s="6" t="s">
        <v>4960</v>
      </c>
      <c r="C781" s="6" t="s">
        <v>4961</v>
      </c>
      <c r="D781" s="6" t="s">
        <v>4961</v>
      </c>
      <c r="E781" s="6" t="s">
        <v>5122</v>
      </c>
      <c r="F781" s="6" t="s">
        <v>5248</v>
      </c>
      <c r="G781" s="6" t="e">
        <v>#N/A</v>
      </c>
      <c r="H781" s="6">
        <v>13.0</v>
      </c>
      <c r="I781" s="8">
        <v>1439.1</v>
      </c>
      <c r="J781" s="8">
        <v>1519.0</v>
      </c>
      <c r="K781" s="8">
        <v>1599.0</v>
      </c>
    </row>
    <row r="782">
      <c r="A782" s="6" t="s">
        <v>4950</v>
      </c>
      <c r="B782" s="6" t="s">
        <v>4948</v>
      </c>
      <c r="C782" s="6" t="s">
        <v>4949</v>
      </c>
      <c r="D782" s="6" t="s">
        <v>4949</v>
      </c>
      <c r="E782" s="6" t="s">
        <v>5122</v>
      </c>
      <c r="F782" s="6" t="s">
        <v>5248</v>
      </c>
      <c r="G782" s="6" t="e">
        <v>#N/A</v>
      </c>
      <c r="H782" s="6">
        <v>58.0</v>
      </c>
      <c r="I782" s="8">
        <v>1349.1</v>
      </c>
      <c r="J782" s="8">
        <v>1424.0</v>
      </c>
      <c r="K782" s="8">
        <v>1499.0</v>
      </c>
    </row>
    <row r="783">
      <c r="A783" s="6" t="s">
        <v>4986</v>
      </c>
      <c r="B783" s="6" t="s">
        <v>4984</v>
      </c>
      <c r="C783" s="6" t="s">
        <v>4985</v>
      </c>
      <c r="D783" s="6" t="s">
        <v>4985</v>
      </c>
      <c r="E783" s="6" t="s">
        <v>5122</v>
      </c>
      <c r="F783" s="6" t="s">
        <v>5248</v>
      </c>
      <c r="G783" s="6" t="e">
        <v>#N/A</v>
      </c>
      <c r="H783" s="6">
        <v>20.0</v>
      </c>
      <c r="I783" s="8">
        <v>1439.1</v>
      </c>
      <c r="J783" s="8">
        <v>1519.0</v>
      </c>
      <c r="K783" s="8">
        <v>1599.0</v>
      </c>
    </row>
    <row r="784">
      <c r="A784" s="6" t="s">
        <v>4978</v>
      </c>
      <c r="B784" s="6" t="s">
        <v>4976</v>
      </c>
      <c r="C784" s="6" t="s">
        <v>4977</v>
      </c>
      <c r="D784" s="6" t="s">
        <v>4977</v>
      </c>
      <c r="E784" s="6" t="s">
        <v>5122</v>
      </c>
      <c r="F784" s="6" t="s">
        <v>5248</v>
      </c>
      <c r="G784" s="6" t="e">
        <v>#N/A</v>
      </c>
      <c r="H784" s="6">
        <v>21.0</v>
      </c>
      <c r="I784" s="8">
        <v>1439.1</v>
      </c>
      <c r="J784" s="8">
        <v>1519.0</v>
      </c>
      <c r="K784" s="8">
        <v>1599.0</v>
      </c>
    </row>
    <row r="785">
      <c r="A785" s="6" t="s">
        <v>4998</v>
      </c>
      <c r="B785" s="6" t="s">
        <v>4996</v>
      </c>
      <c r="C785" s="6" t="s">
        <v>4997</v>
      </c>
      <c r="D785" s="6" t="s">
        <v>4997</v>
      </c>
      <c r="E785" s="6" t="s">
        <v>5122</v>
      </c>
      <c r="F785" s="6" t="s">
        <v>5248</v>
      </c>
      <c r="G785" s="6" t="e">
        <v>#N/A</v>
      </c>
      <c r="H785" s="6">
        <v>66.0</v>
      </c>
      <c r="I785" s="8">
        <v>1349.1</v>
      </c>
      <c r="J785" s="8">
        <v>1424.0</v>
      </c>
      <c r="K785" s="8">
        <v>1499.0</v>
      </c>
    </row>
    <row r="786">
      <c r="A786" s="6" t="s">
        <v>4970</v>
      </c>
      <c r="B786" s="6" t="s">
        <v>4968</v>
      </c>
      <c r="C786" s="6" t="s">
        <v>4969</v>
      </c>
      <c r="D786" s="6" t="s">
        <v>4969</v>
      </c>
      <c r="E786" s="6" t="s">
        <v>5122</v>
      </c>
      <c r="F786" s="6" t="s">
        <v>5248</v>
      </c>
      <c r="G786" s="6" t="e">
        <v>#N/A</v>
      </c>
      <c r="H786" s="6">
        <v>20.0</v>
      </c>
      <c r="I786" s="8">
        <v>1439.1</v>
      </c>
      <c r="J786" s="8">
        <v>1519.0</v>
      </c>
      <c r="K786" s="8">
        <v>1599.0</v>
      </c>
    </row>
    <row r="787">
      <c r="A787" s="6" t="s">
        <v>4982</v>
      </c>
      <c r="B787" s="6" t="s">
        <v>4980</v>
      </c>
      <c r="C787" s="6" t="s">
        <v>4981</v>
      </c>
      <c r="D787" s="6" t="s">
        <v>4981</v>
      </c>
      <c r="E787" s="6" t="s">
        <v>5122</v>
      </c>
      <c r="F787" s="6" t="s">
        <v>5248</v>
      </c>
      <c r="G787" s="6" t="e">
        <v>#N/A</v>
      </c>
      <c r="H787" s="6">
        <v>19.0</v>
      </c>
      <c r="I787" s="8">
        <v>1349.1</v>
      </c>
      <c r="J787" s="8">
        <v>1424.0</v>
      </c>
      <c r="K787" s="8">
        <v>1499.0</v>
      </c>
    </row>
    <row r="788">
      <c r="A788" s="6" t="s">
        <v>4676</v>
      </c>
      <c r="B788" s="6" t="s">
        <v>4674</v>
      </c>
      <c r="C788" s="6" t="s">
        <v>4675</v>
      </c>
      <c r="D788" s="6" t="s">
        <v>4675</v>
      </c>
      <c r="E788" s="6" t="s">
        <v>5247</v>
      </c>
      <c r="F788" s="6" t="s">
        <v>5248</v>
      </c>
      <c r="G788" s="6">
        <v>11.0</v>
      </c>
      <c r="H788" s="6">
        <v>49.0</v>
      </c>
      <c r="I788" s="8">
        <v>974.25</v>
      </c>
      <c r="J788" s="8">
        <v>999.0</v>
      </c>
      <c r="K788" s="8">
        <v>1299.0</v>
      </c>
    </row>
    <row r="789">
      <c r="A789" s="6" t="s">
        <v>4680</v>
      </c>
      <c r="B789" s="6" t="s">
        <v>4678</v>
      </c>
      <c r="C789" s="6" t="s">
        <v>4679</v>
      </c>
      <c r="D789" s="6" t="s">
        <v>4679</v>
      </c>
      <c r="E789" s="6" t="s">
        <v>5247</v>
      </c>
      <c r="F789" s="6" t="s">
        <v>5248</v>
      </c>
      <c r="G789" s="6">
        <v>1.0</v>
      </c>
      <c r="H789" s="6">
        <v>163.0</v>
      </c>
      <c r="I789" s="8">
        <v>974.25</v>
      </c>
      <c r="J789" s="8">
        <v>999.0</v>
      </c>
      <c r="K789" s="8">
        <v>1299.0</v>
      </c>
    </row>
    <row r="790">
      <c r="A790" s="6" t="s">
        <v>2866</v>
      </c>
      <c r="B790" s="6" t="s">
        <v>2864</v>
      </c>
      <c r="C790" s="6" t="s">
        <v>2865</v>
      </c>
      <c r="D790" s="6" t="s">
        <v>2865</v>
      </c>
      <c r="E790" s="6" t="s">
        <v>5122</v>
      </c>
      <c r="F790" s="6" t="s">
        <v>5248</v>
      </c>
      <c r="G790" s="6">
        <v>3.0</v>
      </c>
      <c r="H790" s="6">
        <v>0.0</v>
      </c>
      <c r="I790" s="8">
        <v>1491.75</v>
      </c>
      <c r="J790" s="8">
        <v>1629.0</v>
      </c>
      <c r="K790" s="8">
        <v>1989.0</v>
      </c>
    </row>
    <row r="791">
      <c r="A791" s="6" t="s">
        <v>2851</v>
      </c>
      <c r="B791" s="6" t="s">
        <v>2849</v>
      </c>
      <c r="C791" s="6" t="s">
        <v>2850</v>
      </c>
      <c r="D791" s="6" t="s">
        <v>2850</v>
      </c>
      <c r="E791" s="6" t="s">
        <v>5247</v>
      </c>
      <c r="F791" s="6" t="s">
        <v>5248</v>
      </c>
      <c r="G791" s="6">
        <v>3.0</v>
      </c>
      <c r="H791" s="6">
        <v>6.0</v>
      </c>
      <c r="I791" s="8">
        <v>1866.75</v>
      </c>
      <c r="J791" s="8">
        <v>2039.0</v>
      </c>
      <c r="K791" s="8">
        <v>2489.0</v>
      </c>
    </row>
    <row r="792">
      <c r="A792" s="6" t="s">
        <v>2856</v>
      </c>
      <c r="B792" s="6" t="s">
        <v>2854</v>
      </c>
      <c r="C792" s="6" t="s">
        <v>2855</v>
      </c>
      <c r="D792" s="6" t="s">
        <v>2855</v>
      </c>
      <c r="E792" s="6" t="s">
        <v>5122</v>
      </c>
      <c r="F792" s="6" t="s">
        <v>5248</v>
      </c>
      <c r="G792" s="6">
        <v>2.0</v>
      </c>
      <c r="H792" s="6">
        <v>0.0</v>
      </c>
      <c r="I792" s="8">
        <v>1491.75</v>
      </c>
      <c r="J792" s="8">
        <v>1629.0</v>
      </c>
      <c r="K792" s="8">
        <v>1989.0</v>
      </c>
    </row>
    <row r="793">
      <c r="A793" s="6" t="s">
        <v>2871</v>
      </c>
      <c r="B793" s="6" t="s">
        <v>2869</v>
      </c>
      <c r="C793" s="6" t="s">
        <v>2870</v>
      </c>
      <c r="D793" s="6" t="s">
        <v>2870</v>
      </c>
      <c r="E793" s="6" t="s">
        <v>5247</v>
      </c>
      <c r="F793" s="6" t="s">
        <v>5248</v>
      </c>
      <c r="G793" s="6" t="e">
        <v>#N/A</v>
      </c>
      <c r="H793" s="6">
        <v>1.0</v>
      </c>
      <c r="I793" s="8">
        <v>1716.75</v>
      </c>
      <c r="J793" s="8">
        <v>1899.0</v>
      </c>
      <c r="K793" s="8">
        <v>2289.0</v>
      </c>
    </row>
    <row r="794">
      <c r="A794" s="6" t="s">
        <v>2876</v>
      </c>
      <c r="B794" s="6" t="s">
        <v>2874</v>
      </c>
      <c r="C794" s="6" t="s">
        <v>2875</v>
      </c>
      <c r="D794" s="6" t="s">
        <v>2875</v>
      </c>
      <c r="E794" s="6" t="s">
        <v>5247</v>
      </c>
      <c r="F794" s="6" t="s">
        <v>5248</v>
      </c>
      <c r="G794" s="6">
        <v>3.0</v>
      </c>
      <c r="H794" s="6">
        <v>31.0</v>
      </c>
      <c r="I794" s="8">
        <v>1716.75</v>
      </c>
      <c r="J794" s="8">
        <v>1899.0</v>
      </c>
      <c r="K794" s="8">
        <v>2289.0</v>
      </c>
    </row>
    <row r="795">
      <c r="A795" s="6" t="s">
        <v>2861</v>
      </c>
      <c r="B795" s="6" t="s">
        <v>2859</v>
      </c>
      <c r="C795" s="6" t="s">
        <v>2860</v>
      </c>
      <c r="D795" s="6" t="s">
        <v>2860</v>
      </c>
      <c r="E795" s="6" t="s">
        <v>5247</v>
      </c>
      <c r="F795" s="6" t="s">
        <v>5248</v>
      </c>
      <c r="G795" s="6">
        <v>2.0</v>
      </c>
      <c r="H795" s="6">
        <v>1.0</v>
      </c>
      <c r="I795" s="8">
        <v>1491.75</v>
      </c>
      <c r="J795" s="8">
        <v>1629.0</v>
      </c>
      <c r="K795" s="8">
        <v>1989.0</v>
      </c>
    </row>
    <row r="796">
      <c r="A796" s="6" t="s">
        <v>2819</v>
      </c>
      <c r="B796" s="6" t="s">
        <v>2817</v>
      </c>
      <c r="C796" s="6" t="s">
        <v>2818</v>
      </c>
      <c r="D796" s="6" t="s">
        <v>2818</v>
      </c>
      <c r="E796" s="6" t="s">
        <v>5247</v>
      </c>
      <c r="F796" s="6" t="s">
        <v>5248</v>
      </c>
      <c r="G796" s="6">
        <v>10.0</v>
      </c>
      <c r="H796" s="6">
        <v>41.0</v>
      </c>
      <c r="I796" s="8">
        <v>1866.75</v>
      </c>
      <c r="J796" s="8">
        <v>2039.0</v>
      </c>
      <c r="K796" s="8">
        <v>2489.0</v>
      </c>
    </row>
    <row r="797">
      <c r="A797" s="6" t="s">
        <v>2846</v>
      </c>
      <c r="B797" s="6" t="s">
        <v>2844</v>
      </c>
      <c r="C797" s="6" t="s">
        <v>2845</v>
      </c>
      <c r="D797" s="6" t="s">
        <v>2845</v>
      </c>
      <c r="E797" s="6" t="s">
        <v>5247</v>
      </c>
      <c r="F797" s="6" t="s">
        <v>5248</v>
      </c>
      <c r="G797" s="6">
        <v>7.0</v>
      </c>
      <c r="H797" s="6">
        <v>7.0</v>
      </c>
      <c r="I797" s="8">
        <v>1191.75</v>
      </c>
      <c r="J797" s="8">
        <v>1302.0</v>
      </c>
      <c r="K797" s="8">
        <v>1589.0</v>
      </c>
    </row>
    <row r="798">
      <c r="A798" s="6" t="s">
        <v>2799</v>
      </c>
      <c r="B798" s="6" t="s">
        <v>2797</v>
      </c>
      <c r="C798" s="6" t="s">
        <v>2798</v>
      </c>
      <c r="D798" s="6" t="s">
        <v>2798</v>
      </c>
      <c r="E798" s="6" t="s">
        <v>5122</v>
      </c>
      <c r="F798" s="6" t="s">
        <v>5248</v>
      </c>
      <c r="G798" s="6">
        <v>4.0</v>
      </c>
      <c r="H798" s="6">
        <v>0.0</v>
      </c>
      <c r="I798" s="8">
        <v>1866.75</v>
      </c>
      <c r="J798" s="8">
        <v>2039.0</v>
      </c>
      <c r="K798" s="8">
        <v>2489.0</v>
      </c>
    </row>
    <row r="799">
      <c r="A799" s="6" t="s">
        <v>2837</v>
      </c>
      <c r="B799" s="6" t="s">
        <v>2835</v>
      </c>
      <c r="C799" s="6" t="s">
        <v>2836</v>
      </c>
      <c r="D799" s="6" t="s">
        <v>2836</v>
      </c>
      <c r="E799" s="6" t="s">
        <v>5247</v>
      </c>
      <c r="F799" s="6" t="s">
        <v>5248</v>
      </c>
      <c r="G799" s="6">
        <v>6.0</v>
      </c>
      <c r="H799" s="6">
        <v>11.0</v>
      </c>
      <c r="I799" s="8">
        <v>1191.75</v>
      </c>
      <c r="J799" s="8">
        <v>1302.0</v>
      </c>
      <c r="K799" s="8">
        <v>1589.0</v>
      </c>
    </row>
    <row r="800">
      <c r="A800" s="6" t="s">
        <v>2881</v>
      </c>
      <c r="B800" s="6" t="s">
        <v>2879</v>
      </c>
      <c r="C800" s="6" t="s">
        <v>2880</v>
      </c>
      <c r="D800" s="6" t="s">
        <v>2880</v>
      </c>
      <c r="E800" s="6" t="s">
        <v>5247</v>
      </c>
      <c r="F800" s="6" t="s">
        <v>5248</v>
      </c>
      <c r="G800" s="6">
        <v>19.0</v>
      </c>
      <c r="H800" s="6">
        <v>16.0</v>
      </c>
      <c r="I800" s="8">
        <v>1716.75</v>
      </c>
      <c r="J800" s="8">
        <v>1899.0</v>
      </c>
      <c r="K800" s="8">
        <v>2289.0</v>
      </c>
    </row>
    <row r="801">
      <c r="A801" s="6" t="s">
        <v>2841</v>
      </c>
      <c r="B801" s="6" t="s">
        <v>2839</v>
      </c>
      <c r="C801" s="6" t="s">
        <v>2840</v>
      </c>
      <c r="D801" s="6" t="s">
        <v>2840</v>
      </c>
      <c r="E801" s="6" t="s">
        <v>5122</v>
      </c>
      <c r="F801" s="6" t="s">
        <v>5248</v>
      </c>
      <c r="G801" s="6" t="e">
        <v>#N/A</v>
      </c>
      <c r="H801" s="6">
        <v>0.0</v>
      </c>
      <c r="I801" s="8">
        <v>1191.75</v>
      </c>
      <c r="J801" s="8">
        <v>1302.0</v>
      </c>
      <c r="K801" s="8">
        <v>1589.0</v>
      </c>
    </row>
    <row r="802">
      <c r="A802" s="6" t="s">
        <v>4864</v>
      </c>
      <c r="B802" s="6" t="s">
        <v>3414</v>
      </c>
      <c r="C802" s="6" t="s">
        <v>4863</v>
      </c>
      <c r="D802" s="6" t="s">
        <v>4863</v>
      </c>
      <c r="E802" s="6" t="s">
        <v>5247</v>
      </c>
      <c r="F802" s="6" t="s">
        <v>5248</v>
      </c>
      <c r="G802" s="6">
        <v>155.0</v>
      </c>
      <c r="H802" s="6">
        <v>659.0</v>
      </c>
      <c r="I802" s="8">
        <v>1299.0</v>
      </c>
      <c r="J802" s="8">
        <v>1414.0</v>
      </c>
      <c r="K802" s="8">
        <v>1489.0</v>
      </c>
    </row>
    <row r="803">
      <c r="A803" s="55" t="s">
        <v>3761</v>
      </c>
      <c r="B803" s="55" t="s">
        <v>3761</v>
      </c>
      <c r="C803" s="6" t="s">
        <v>3762</v>
      </c>
      <c r="D803" s="6" t="s">
        <v>3762</v>
      </c>
      <c r="E803" s="6" t="s">
        <v>5247</v>
      </c>
      <c r="F803" s="6" t="s">
        <v>5248</v>
      </c>
      <c r="G803" s="6" t="e">
        <v>#N/A</v>
      </c>
      <c r="H803" s="6">
        <v>7.0</v>
      </c>
      <c r="I803" s="8">
        <v>37399.0</v>
      </c>
      <c r="J803" s="8">
        <v>37399.0</v>
      </c>
      <c r="K803" s="8">
        <v>43999.0</v>
      </c>
    </row>
    <row r="804">
      <c r="A804" s="55" t="s">
        <v>2248</v>
      </c>
      <c r="B804" s="55" t="s">
        <v>2248</v>
      </c>
      <c r="C804" s="6" t="s">
        <v>2249</v>
      </c>
      <c r="D804" s="6" t="s">
        <v>2249</v>
      </c>
      <c r="E804" s="6" t="s">
        <v>5122</v>
      </c>
      <c r="F804" s="6" t="s">
        <v>5248</v>
      </c>
      <c r="G804" s="6">
        <v>5.0</v>
      </c>
      <c r="H804" s="6">
        <v>37.0</v>
      </c>
      <c r="I804" s="8">
        <v>800.1</v>
      </c>
      <c r="J804" s="8">
        <v>845.0</v>
      </c>
      <c r="K804" s="8">
        <v>889.0</v>
      </c>
    </row>
    <row r="805">
      <c r="A805" s="55" t="s">
        <v>4812</v>
      </c>
      <c r="B805" s="55" t="s">
        <v>4812</v>
      </c>
      <c r="C805" s="6" t="s">
        <v>4813</v>
      </c>
      <c r="D805" s="6" t="s">
        <v>4813</v>
      </c>
      <c r="E805" s="6" t="s">
        <v>5247</v>
      </c>
      <c r="F805" s="6" t="s">
        <v>5248</v>
      </c>
      <c r="G805" s="6">
        <v>36.0</v>
      </c>
      <c r="H805" s="6">
        <v>0.0</v>
      </c>
      <c r="I805" s="8">
        <v>1799.0</v>
      </c>
      <c r="J805" s="8">
        <v>3799.0</v>
      </c>
      <c r="K805" s="8">
        <v>5999.0</v>
      </c>
    </row>
    <row r="806">
      <c r="A806" s="55" t="s">
        <v>4816</v>
      </c>
      <c r="B806" s="55" t="s">
        <v>4816</v>
      </c>
      <c r="C806" s="6" t="s">
        <v>4817</v>
      </c>
      <c r="D806" s="6" t="s">
        <v>4817</v>
      </c>
      <c r="E806" s="6" t="s">
        <v>5247</v>
      </c>
      <c r="F806" s="6" t="s">
        <v>5248</v>
      </c>
      <c r="G806" s="6" t="e">
        <v>#N/A</v>
      </c>
      <c r="H806" s="6">
        <v>0.0</v>
      </c>
      <c r="I806" s="8">
        <v>8499.0</v>
      </c>
      <c r="J806" s="8">
        <v>8999.0</v>
      </c>
      <c r="K806" s="8">
        <v>10999.0</v>
      </c>
    </row>
    <row r="807">
      <c r="A807" s="55" t="s">
        <v>4819</v>
      </c>
      <c r="B807" s="55" t="s">
        <v>4819</v>
      </c>
      <c r="C807" s="6" t="s">
        <v>4820</v>
      </c>
      <c r="D807" s="6" t="s">
        <v>4820</v>
      </c>
      <c r="E807" s="6" t="s">
        <v>5247</v>
      </c>
      <c r="F807" s="6" t="s">
        <v>5248</v>
      </c>
      <c r="G807" s="6">
        <v>64.0</v>
      </c>
      <c r="H807" s="6">
        <v>0.0</v>
      </c>
      <c r="I807" s="8">
        <v>3499.0</v>
      </c>
      <c r="J807" s="8">
        <v>3699.0</v>
      </c>
      <c r="K807" s="8">
        <v>6999.0</v>
      </c>
    </row>
  </sheetData>
  <hyperlinks>
    <hyperlink r:id="rId1" ref="B6"/>
    <hyperlink r:id="rId2" ref="B39"/>
    <hyperlink r:id="rId3" ref="B115"/>
    <hyperlink r:id="rId4" ref="B135"/>
    <hyperlink r:id="rId5" ref="B137"/>
    <hyperlink r:id="rId6" ref="B146"/>
    <hyperlink r:id="rId7" ref="B590"/>
    <hyperlink r:id="rId8" ref="B595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5286</v>
      </c>
      <c r="B1" s="56" t="s">
        <v>5287</v>
      </c>
      <c r="C1" s="56" t="s">
        <v>5288</v>
      </c>
      <c r="D1" s="57" t="s">
        <v>5289</v>
      </c>
      <c r="E1" s="57" t="s">
        <v>5290</v>
      </c>
      <c r="F1" s="57" t="s">
        <v>5291</v>
      </c>
      <c r="G1" s="56" t="s">
        <v>5292</v>
      </c>
      <c r="H1" s="57" t="s">
        <v>11</v>
      </c>
      <c r="I1" s="57" t="s">
        <v>12</v>
      </c>
      <c r="J1" s="57" t="s">
        <v>5293</v>
      </c>
      <c r="K1" s="57" t="s">
        <v>5294</v>
      </c>
      <c r="L1" s="56" t="s">
        <v>5246</v>
      </c>
      <c r="M1" s="57" t="s">
        <v>5295</v>
      </c>
      <c r="N1" s="58" t="s">
        <v>5296</v>
      </c>
      <c r="O1" s="59" t="s">
        <v>13</v>
      </c>
      <c r="P1" s="60" t="s">
        <v>5297</v>
      </c>
      <c r="Q1" s="60" t="s">
        <v>5298</v>
      </c>
      <c r="R1" s="61"/>
      <c r="S1" s="57" t="s">
        <v>5299</v>
      </c>
      <c r="T1" s="62" t="s">
        <v>5300</v>
      </c>
      <c r="U1" s="63" t="s">
        <v>5301</v>
      </c>
      <c r="V1" s="63" t="s">
        <v>5302</v>
      </c>
      <c r="W1" s="63" t="s">
        <v>5303</v>
      </c>
      <c r="X1" s="64" t="s">
        <v>5304</v>
      </c>
      <c r="Y1" s="63" t="s">
        <v>5305</v>
      </c>
      <c r="Z1" s="63" t="s">
        <v>5306</v>
      </c>
      <c r="AA1" s="63" t="s">
        <v>5307</v>
      </c>
      <c r="AB1" s="64" t="s">
        <v>5308</v>
      </c>
      <c r="AC1" s="56" t="s">
        <v>5309</v>
      </c>
      <c r="AD1" s="56" t="s">
        <v>5310</v>
      </c>
      <c r="AE1" s="61"/>
      <c r="AF1" s="61"/>
      <c r="AG1" s="56" t="s">
        <v>5311</v>
      </c>
      <c r="AH1" s="63" t="s">
        <v>5312</v>
      </c>
      <c r="AI1" s="56" t="s">
        <v>5313</v>
      </c>
      <c r="AJ1" s="56" t="s">
        <v>5314</v>
      </c>
      <c r="AK1" s="61"/>
      <c r="AL1" s="56" t="s">
        <v>5315</v>
      </c>
      <c r="AM1" s="63" t="s">
        <v>5316</v>
      </c>
      <c r="AN1" s="63" t="s">
        <v>5317</v>
      </c>
    </row>
    <row r="2">
      <c r="A2" s="65" t="s">
        <v>1874</v>
      </c>
      <c r="B2" s="65">
        <f t="shared" ref="B2:B844" si="1">VALUE(MID(A2, FIND("x",A2,10)+1, FIND("x",A2,FIND("x",A2,10)+1)-FIND("x",A2,10)-1))</f>
        <v>72</v>
      </c>
      <c r="C2" s="65" t="str">
        <f t="shared" ref="C2:C234" si="2">SUBSTITUTE(A2, "x"&amp;TEXT(B2,"0")&amp;"x", "x"&amp;TEXT(B2+2,"0")&amp;"x")</f>
        <v>SC-ULTM-LATEX-K-78x74x8</v>
      </c>
      <c r="D2" s="65" t="s">
        <v>1876</v>
      </c>
      <c r="E2" s="65" t="s">
        <v>1877</v>
      </c>
      <c r="F2" s="65" t="s">
        <v>1878</v>
      </c>
      <c r="G2" s="65" t="s">
        <v>5109</v>
      </c>
      <c r="H2" s="65" t="s">
        <v>52</v>
      </c>
      <c r="I2" s="65">
        <v>34999.0</v>
      </c>
      <c r="J2" s="66">
        <v>0.23</v>
      </c>
      <c r="K2" s="65">
        <f t="shared" ref="K2:K844" si="3">ROUND(I2-I2*J2,0)</f>
        <v>26949</v>
      </c>
      <c r="L2" s="66">
        <v>0.18</v>
      </c>
      <c r="M2" s="65">
        <f t="shared" ref="M2:M844" si="4">ROUND(I2-I2*L2,0)</f>
        <v>28699</v>
      </c>
      <c r="N2" s="67">
        <f>1-O2/I2</f>
        <v>0.1000028572</v>
      </c>
      <c r="O2" s="68">
        <v>31499.0</v>
      </c>
      <c r="P2" s="67">
        <f>1-Q2/I2</f>
        <v>0.1000028572</v>
      </c>
      <c r="Q2" s="69">
        <v>31499.0</v>
      </c>
      <c r="R2" s="70"/>
      <c r="S2" s="71">
        <f t="shared" ref="S2:S13" si="5">O2/M2-1</f>
        <v>0.09756437507</v>
      </c>
      <c r="T2" s="72">
        <f t="shared" ref="T2:T844" si="6">iferror(vlookup(A2,COGS!B:C,2,0),0%)</f>
        <v>0</v>
      </c>
      <c r="U2" s="73" t="str">
        <f t="shared" ref="U2:U65" si="7">IFERROR(XLOOKUP(A2,COGS!I:I,COGS!J:J), IFERROR(XLOOKUP(C2,COGS!I:I,COGS!J:J),""))</f>
        <v/>
      </c>
      <c r="V2" s="73">
        <f t="shared" ref="V2:V13" si="8">M2/1.18</f>
        <v>24321.18644</v>
      </c>
      <c r="W2" s="73">
        <f t="shared" ref="W2:W844" si="9">V2-U2</f>
        <v>24321.18644</v>
      </c>
      <c r="X2" s="74">
        <f t="shared" ref="X2:X844" si="10">W2/V2</f>
        <v>1</v>
      </c>
      <c r="Y2" s="73">
        <f t="shared" ref="Y2:Y394" si="11">iferror(xlookup(A2,COGS!$I:$I,COGS!$K:$K),U2*(1+iferror(vlookup(G2,COGS!$R:$U,4,0),15%)))</f>
        <v>0</v>
      </c>
      <c r="Z2" s="73">
        <f t="shared" ref="Z2:Z844" si="12">O2/118%</f>
        <v>26694.0678</v>
      </c>
      <c r="AA2" s="73">
        <f t="shared" ref="AA2:AA844" si="13">Z2-Y2</f>
        <v>26694.0678</v>
      </c>
      <c r="AB2" s="74">
        <f t="shared" ref="AB2:AB844" si="14">AA2/Z2</f>
        <v>1</v>
      </c>
      <c r="AC2" s="61" t="str">
        <f t="shared" ref="AC2:AC844" si="15">RIGHT(A2,1)</f>
        <v>8</v>
      </c>
      <c r="AD2" s="71" t="str">
        <f t="shared" ref="AD2:AD844" si="16">Y2/U2-1</f>
        <v>#DIV/0!</v>
      </c>
      <c r="AE2" s="61"/>
      <c r="AF2" s="61"/>
      <c r="AG2" s="71">
        <f t="array" ref="AG2">IFERROR(xlookup(G2,'Old Master'!T:T,'Old Master'!V:V),N2)</f>
        <v>0.1000028572</v>
      </c>
      <c r="AH2" s="73">
        <f t="shared" ref="AH2:AH212" si="17">I2*(1-AG2)</f>
        <v>31499</v>
      </c>
      <c r="AI2" s="73">
        <f t="shared" ref="AI2:AI212" si="18">AH2/118%-Y2</f>
        <v>26694.0678</v>
      </c>
      <c r="AJ2" s="72">
        <f t="shared" ref="AJ2:AJ844" si="19">AI2/(AH2/118%)</f>
        <v>1</v>
      </c>
      <c r="AK2" s="61"/>
      <c r="AL2" s="71">
        <f t="array" ref="AL2">iferror(if(isblank(xlookup($G2,'Old Master'!$T:$T,'Old Master'!$W:$W)),AG2,xlookup($G2,'Old Master'!$T:$T,'Old Master'!$W:$W)),AG2)</f>
        <v>0.1000028572</v>
      </c>
      <c r="AM2" s="74">
        <f t="shared" ref="AM2:AM844" si="20">(I2-AN2)/I2</f>
        <v>0.1000028572</v>
      </c>
      <c r="AN2" s="73">
        <f t="shared" ref="AN2:AN13" si="21">mround($I2*(1-AL2),100)-1</f>
        <v>31499</v>
      </c>
    </row>
    <row r="3">
      <c r="A3" s="65" t="s">
        <v>1070</v>
      </c>
      <c r="B3" s="65">
        <f t="shared" si="1"/>
        <v>72</v>
      </c>
      <c r="C3" s="65" t="str">
        <f t="shared" si="2"/>
        <v>SC-HYB-LATEX-K-78x74x8</v>
      </c>
      <c r="D3" s="65" t="s">
        <v>1072</v>
      </c>
      <c r="E3" s="65" t="s">
        <v>1074</v>
      </c>
      <c r="F3" s="65" t="s">
        <v>1075</v>
      </c>
      <c r="G3" s="65" t="s">
        <v>5108</v>
      </c>
      <c r="H3" s="65" t="s">
        <v>52</v>
      </c>
      <c r="I3" s="65">
        <v>23799.0</v>
      </c>
      <c r="J3" s="66">
        <v>0.25</v>
      </c>
      <c r="K3" s="65">
        <f t="shared" si="3"/>
        <v>17849</v>
      </c>
      <c r="L3" s="66">
        <v>0.2</v>
      </c>
      <c r="M3" s="65">
        <f t="shared" si="4"/>
        <v>19039</v>
      </c>
      <c r="N3" s="75">
        <v>0.16</v>
      </c>
      <c r="O3" s="68">
        <f t="shared" ref="O3:O5" si="22">I3*(1-N3)</f>
        <v>19991.16</v>
      </c>
      <c r="P3" s="75">
        <v>0.13</v>
      </c>
      <c r="Q3" s="68">
        <f t="shared" ref="Q3:Q5" si="23">I3*(1-P3)</f>
        <v>20705.13</v>
      </c>
      <c r="R3" s="71">
        <f t="shared" ref="R3:R5" si="24">Q3/M3-1</f>
        <v>0.08751142392</v>
      </c>
      <c r="S3" s="71">
        <f t="shared" si="5"/>
        <v>0.05001102999</v>
      </c>
      <c r="T3" s="72">
        <f t="shared" si="6"/>
        <v>0</v>
      </c>
      <c r="U3" s="73" t="str">
        <f t="shared" si="7"/>
        <v/>
      </c>
      <c r="V3" s="73">
        <f t="shared" si="8"/>
        <v>16134.74576</v>
      </c>
      <c r="W3" s="73">
        <f t="shared" si="9"/>
        <v>16134.74576</v>
      </c>
      <c r="X3" s="74">
        <f t="shared" si="10"/>
        <v>1</v>
      </c>
      <c r="Y3" s="73">
        <f t="shared" si="11"/>
        <v>0</v>
      </c>
      <c r="Z3" s="73">
        <f t="shared" si="12"/>
        <v>16941.66102</v>
      </c>
      <c r="AA3" s="73">
        <f t="shared" si="13"/>
        <v>16941.66102</v>
      </c>
      <c r="AB3" s="74">
        <f t="shared" si="14"/>
        <v>1</v>
      </c>
      <c r="AC3" s="61" t="str">
        <f t="shared" si="15"/>
        <v>8</v>
      </c>
      <c r="AD3" s="71" t="str">
        <f t="shared" si="16"/>
        <v>#DIV/0!</v>
      </c>
      <c r="AE3" s="73">
        <f t="shared" ref="AE3:AE5" si="25">Q3/118%-Y3</f>
        <v>17546.72034</v>
      </c>
      <c r="AF3" s="74">
        <f t="shared" ref="AF3:AF5" si="26">AE3/(Q3/1.18)</f>
        <v>1</v>
      </c>
      <c r="AG3" s="71">
        <f t="array" ref="AG3">IFERROR(xlookup(G3,'Old Master'!T:T,'Old Master'!V:V),N3)</f>
        <v>0.16</v>
      </c>
      <c r="AH3" s="73">
        <f t="shared" si="17"/>
        <v>19991.16</v>
      </c>
      <c r="AI3" s="73">
        <f t="shared" si="18"/>
        <v>16941.66102</v>
      </c>
      <c r="AJ3" s="72">
        <f t="shared" si="19"/>
        <v>1</v>
      </c>
      <c r="AK3" s="61"/>
      <c r="AL3" s="71">
        <f t="array" ref="AL3">iferror(if(isblank(xlookup($G3,'Old Master'!$T:$T,'Old Master'!$W:$W)),AG3,xlookup($G3,'Old Master'!$T:$T,'Old Master'!$W:$W)),AG3)</f>
        <v>0.16</v>
      </c>
      <c r="AM3" s="74">
        <f t="shared" si="20"/>
        <v>0.1596705744</v>
      </c>
      <c r="AN3" s="73">
        <f t="shared" si="21"/>
        <v>19999</v>
      </c>
    </row>
    <row r="4">
      <c r="A4" s="65" t="s">
        <v>950</v>
      </c>
      <c r="B4" s="65">
        <f t="shared" si="1"/>
        <v>60</v>
      </c>
      <c r="C4" s="65" t="str">
        <f t="shared" si="2"/>
        <v>SC-HYB-LATEX-Q-78x62x8</v>
      </c>
      <c r="D4" s="65" t="s">
        <v>952</v>
      </c>
      <c r="E4" s="65" t="s">
        <v>953</v>
      </c>
      <c r="F4" s="65" t="s">
        <v>954</v>
      </c>
      <c r="G4" s="65" t="s">
        <v>5108</v>
      </c>
      <c r="H4" s="65" t="s">
        <v>52</v>
      </c>
      <c r="I4" s="65">
        <v>20199.0</v>
      </c>
      <c r="J4" s="66">
        <v>0.25</v>
      </c>
      <c r="K4" s="65">
        <f t="shared" si="3"/>
        <v>15149</v>
      </c>
      <c r="L4" s="66">
        <v>0.2</v>
      </c>
      <c r="M4" s="65">
        <f t="shared" si="4"/>
        <v>16159</v>
      </c>
      <c r="N4" s="75">
        <v>0.16</v>
      </c>
      <c r="O4" s="68">
        <f t="shared" si="22"/>
        <v>16967.16</v>
      </c>
      <c r="P4" s="75">
        <v>0.13</v>
      </c>
      <c r="Q4" s="68">
        <f t="shared" si="23"/>
        <v>17573.13</v>
      </c>
      <c r="R4" s="71">
        <f t="shared" si="24"/>
        <v>0.08751345999</v>
      </c>
      <c r="S4" s="71">
        <f t="shared" si="5"/>
        <v>0.05001299585</v>
      </c>
      <c r="T4" s="72">
        <f t="shared" si="6"/>
        <v>0</v>
      </c>
      <c r="U4" s="73" t="str">
        <f t="shared" si="7"/>
        <v/>
      </c>
      <c r="V4" s="73">
        <f t="shared" si="8"/>
        <v>13694.0678</v>
      </c>
      <c r="W4" s="73">
        <f t="shared" si="9"/>
        <v>13694.0678</v>
      </c>
      <c r="X4" s="74">
        <f t="shared" si="10"/>
        <v>1</v>
      </c>
      <c r="Y4" s="73">
        <f t="shared" si="11"/>
        <v>0</v>
      </c>
      <c r="Z4" s="73">
        <f t="shared" si="12"/>
        <v>14378.94915</v>
      </c>
      <c r="AA4" s="73">
        <f t="shared" si="13"/>
        <v>14378.94915</v>
      </c>
      <c r="AB4" s="74">
        <f t="shared" si="14"/>
        <v>1</v>
      </c>
      <c r="AC4" s="61" t="str">
        <f t="shared" si="15"/>
        <v>8</v>
      </c>
      <c r="AD4" s="71" t="str">
        <f t="shared" si="16"/>
        <v>#DIV/0!</v>
      </c>
      <c r="AE4" s="73">
        <f t="shared" si="25"/>
        <v>14892.48305</v>
      </c>
      <c r="AF4" s="74">
        <f t="shared" si="26"/>
        <v>1</v>
      </c>
      <c r="AG4" s="71">
        <f t="array" ref="AG4">IFERROR(xlookup(G4,'Old Master'!T:T,'Old Master'!V:V),N4)</f>
        <v>0.16</v>
      </c>
      <c r="AH4" s="73">
        <f t="shared" si="17"/>
        <v>16967.16</v>
      </c>
      <c r="AI4" s="73">
        <f t="shared" si="18"/>
        <v>14378.94915</v>
      </c>
      <c r="AJ4" s="72">
        <f t="shared" si="19"/>
        <v>1</v>
      </c>
      <c r="AK4" s="61"/>
      <c r="AL4" s="71">
        <f t="array" ref="AL4">iferror(if(isblank(xlookup($G4,'Old Master'!$T:$T,'Old Master'!$W:$W)),AG4,xlookup($G4,'Old Master'!$T:$T,'Old Master'!$W:$W)),AG4)</f>
        <v>0.16</v>
      </c>
      <c r="AM4" s="74">
        <f t="shared" si="20"/>
        <v>0.1584236843</v>
      </c>
      <c r="AN4" s="73">
        <f t="shared" si="21"/>
        <v>16999</v>
      </c>
    </row>
    <row r="5">
      <c r="A5" s="65" t="s">
        <v>1027</v>
      </c>
      <c r="B5" s="65">
        <f t="shared" si="1"/>
        <v>72</v>
      </c>
      <c r="C5" s="65" t="str">
        <f t="shared" si="2"/>
        <v>SC-HYB-LATEX-K-78x74x6</v>
      </c>
      <c r="D5" s="65" t="s">
        <v>1029</v>
      </c>
      <c r="E5" s="65" t="s">
        <v>1030</v>
      </c>
      <c r="F5" s="65" t="s">
        <v>1031</v>
      </c>
      <c r="G5" s="65" t="s">
        <v>5108</v>
      </c>
      <c r="H5" s="65" t="s">
        <v>52</v>
      </c>
      <c r="I5" s="65">
        <v>20699.0</v>
      </c>
      <c r="J5" s="66">
        <v>0.25</v>
      </c>
      <c r="K5" s="65">
        <f t="shared" si="3"/>
        <v>15524</v>
      </c>
      <c r="L5" s="66">
        <v>0.2</v>
      </c>
      <c r="M5" s="65">
        <f t="shared" si="4"/>
        <v>16559</v>
      </c>
      <c r="N5" s="75">
        <v>0.16</v>
      </c>
      <c r="O5" s="68">
        <f t="shared" si="22"/>
        <v>17387.16</v>
      </c>
      <c r="P5" s="75">
        <v>0.13</v>
      </c>
      <c r="Q5" s="68">
        <f t="shared" si="23"/>
        <v>18008.13</v>
      </c>
      <c r="R5" s="71">
        <f t="shared" si="24"/>
        <v>0.08751313485</v>
      </c>
      <c r="S5" s="71">
        <f t="shared" si="5"/>
        <v>0.05001268193</v>
      </c>
      <c r="T5" s="72">
        <f t="shared" si="6"/>
        <v>0</v>
      </c>
      <c r="U5" s="73" t="str">
        <f t="shared" si="7"/>
        <v/>
      </c>
      <c r="V5" s="73">
        <f t="shared" si="8"/>
        <v>14033.05085</v>
      </c>
      <c r="W5" s="73">
        <f t="shared" si="9"/>
        <v>14033.05085</v>
      </c>
      <c r="X5" s="74">
        <f t="shared" si="10"/>
        <v>1</v>
      </c>
      <c r="Y5" s="73">
        <f t="shared" si="11"/>
        <v>0</v>
      </c>
      <c r="Z5" s="73">
        <f t="shared" si="12"/>
        <v>14734.88136</v>
      </c>
      <c r="AA5" s="73">
        <f t="shared" si="13"/>
        <v>14734.88136</v>
      </c>
      <c r="AB5" s="74">
        <f t="shared" si="14"/>
        <v>1</v>
      </c>
      <c r="AC5" s="61" t="str">
        <f t="shared" si="15"/>
        <v>6</v>
      </c>
      <c r="AD5" s="71" t="str">
        <f t="shared" si="16"/>
        <v>#DIV/0!</v>
      </c>
      <c r="AE5" s="73">
        <f t="shared" si="25"/>
        <v>15261.12712</v>
      </c>
      <c r="AF5" s="74">
        <f t="shared" si="26"/>
        <v>1</v>
      </c>
      <c r="AG5" s="71">
        <f t="array" ref="AG5">IFERROR(xlookup(G5,'Old Master'!T:T,'Old Master'!V:V),N5)</f>
        <v>0.16</v>
      </c>
      <c r="AH5" s="73">
        <f t="shared" si="17"/>
        <v>17387.16</v>
      </c>
      <c r="AI5" s="73">
        <f t="shared" si="18"/>
        <v>14734.88136</v>
      </c>
      <c r="AJ5" s="72">
        <f t="shared" si="19"/>
        <v>1</v>
      </c>
      <c r="AK5" s="61"/>
      <c r="AL5" s="71">
        <f t="array" ref="AL5">iferror(if(isblank(xlookup($G5,'Old Master'!$T:$T,'Old Master'!$W:$W)),AG5,xlookup($G5,'Old Master'!$T:$T,'Old Master'!$W:$W)),AG5)</f>
        <v>0.16</v>
      </c>
      <c r="AM5" s="74">
        <f t="shared" si="20"/>
        <v>0.1594279917</v>
      </c>
      <c r="AN5" s="73">
        <f t="shared" si="21"/>
        <v>17399</v>
      </c>
    </row>
    <row r="6">
      <c r="A6" s="65" t="s">
        <v>1796</v>
      </c>
      <c r="B6" s="65">
        <f t="shared" si="1"/>
        <v>60</v>
      </c>
      <c r="C6" s="65" t="str">
        <f t="shared" si="2"/>
        <v>SC-ULTM-LATEX-Q-78x62x8</v>
      </c>
      <c r="D6" s="65" t="s">
        <v>1798</v>
      </c>
      <c r="E6" s="65" t="s">
        <v>1799</v>
      </c>
      <c r="F6" s="65" t="s">
        <v>1800</v>
      </c>
      <c r="G6" s="65" t="s">
        <v>5109</v>
      </c>
      <c r="H6" s="65" t="s">
        <v>52</v>
      </c>
      <c r="I6" s="65">
        <v>31999.0</v>
      </c>
      <c r="J6" s="66">
        <v>0.23</v>
      </c>
      <c r="K6" s="65">
        <f t="shared" si="3"/>
        <v>24639</v>
      </c>
      <c r="L6" s="66">
        <v>0.18</v>
      </c>
      <c r="M6" s="65">
        <f t="shared" si="4"/>
        <v>26239</v>
      </c>
      <c r="N6" s="67">
        <f>1-O6/I6</f>
        <v>0.1000031251</v>
      </c>
      <c r="O6" s="68">
        <v>28799.0</v>
      </c>
      <c r="P6" s="67">
        <f>1-Q6/I6</f>
        <v>0.1000031251</v>
      </c>
      <c r="Q6" s="69">
        <v>28799.0</v>
      </c>
      <c r="R6" s="70"/>
      <c r="S6" s="71">
        <f t="shared" si="5"/>
        <v>0.09756469378</v>
      </c>
      <c r="T6" s="72">
        <f t="shared" si="6"/>
        <v>0</v>
      </c>
      <c r="U6" s="73" t="str">
        <f t="shared" si="7"/>
        <v/>
      </c>
      <c r="V6" s="73">
        <f t="shared" si="8"/>
        <v>22236.44068</v>
      </c>
      <c r="W6" s="73">
        <f t="shared" si="9"/>
        <v>22236.44068</v>
      </c>
      <c r="X6" s="74">
        <f t="shared" si="10"/>
        <v>1</v>
      </c>
      <c r="Y6" s="73">
        <f t="shared" si="11"/>
        <v>0</v>
      </c>
      <c r="Z6" s="73">
        <f t="shared" si="12"/>
        <v>24405.9322</v>
      </c>
      <c r="AA6" s="73">
        <f t="shared" si="13"/>
        <v>24405.9322</v>
      </c>
      <c r="AB6" s="74">
        <f t="shared" si="14"/>
        <v>1</v>
      </c>
      <c r="AC6" s="61" t="str">
        <f t="shared" si="15"/>
        <v>8</v>
      </c>
      <c r="AD6" s="71" t="str">
        <f t="shared" si="16"/>
        <v>#DIV/0!</v>
      </c>
      <c r="AE6" s="61"/>
      <c r="AF6" s="61"/>
      <c r="AG6" s="71">
        <f t="array" ref="AG6">IFERROR(xlookup(G6,'Old Master'!T:T,'Old Master'!V:V),N6)</f>
        <v>0.1000031251</v>
      </c>
      <c r="AH6" s="73">
        <f t="shared" si="17"/>
        <v>28799</v>
      </c>
      <c r="AI6" s="73">
        <f t="shared" si="18"/>
        <v>24405.9322</v>
      </c>
      <c r="AJ6" s="72">
        <f t="shared" si="19"/>
        <v>1</v>
      </c>
      <c r="AK6" s="61"/>
      <c r="AL6" s="71">
        <f t="array" ref="AL6">iferror(if(isblank(xlookup($G6,'Old Master'!$T:$T,'Old Master'!$W:$W)),AG6,xlookup($G6,'Old Master'!$T:$T,'Old Master'!$W:$W)),AG6)</f>
        <v>0.1000031251</v>
      </c>
      <c r="AM6" s="74">
        <f t="shared" si="20"/>
        <v>0.1000031251</v>
      </c>
      <c r="AN6" s="73">
        <f t="shared" si="21"/>
        <v>28799</v>
      </c>
    </row>
    <row r="7">
      <c r="A7" s="65" t="s">
        <v>5318</v>
      </c>
      <c r="B7" s="65" t="str">
        <f t="shared" si="1"/>
        <v>#VALUE!</v>
      </c>
      <c r="C7" s="65" t="str">
        <f t="shared" si="2"/>
        <v>#VALUE!</v>
      </c>
      <c r="D7" s="65" t="s">
        <v>3832</v>
      </c>
      <c r="E7" s="65">
        <v>0.0</v>
      </c>
      <c r="F7" s="65" t="s">
        <v>3833</v>
      </c>
      <c r="G7" s="65" t="s">
        <v>5136</v>
      </c>
      <c r="H7" s="65" t="s">
        <v>52</v>
      </c>
      <c r="I7" s="65">
        <v>7499.0</v>
      </c>
      <c r="J7" s="66">
        <v>0.25</v>
      </c>
      <c r="K7" s="65">
        <f t="shared" si="3"/>
        <v>5624</v>
      </c>
      <c r="L7" s="66">
        <v>0.2</v>
      </c>
      <c r="M7" s="65">
        <f t="shared" si="4"/>
        <v>5999</v>
      </c>
      <c r="N7" s="75">
        <v>0.15</v>
      </c>
      <c r="O7" s="68">
        <f>I7*(1-N7)</f>
        <v>6374.15</v>
      </c>
      <c r="P7" s="75">
        <v>0.15</v>
      </c>
      <c r="Q7" s="69">
        <f>I7*(1-P7)</f>
        <v>6374.15</v>
      </c>
      <c r="R7" s="70"/>
      <c r="S7" s="71">
        <f t="shared" si="5"/>
        <v>0.06253542257</v>
      </c>
      <c r="T7" s="72">
        <f t="shared" si="6"/>
        <v>0</v>
      </c>
      <c r="U7" s="73" t="str">
        <f t="shared" si="7"/>
        <v/>
      </c>
      <c r="V7" s="73">
        <f t="shared" si="8"/>
        <v>5083.898305</v>
      </c>
      <c r="W7" s="73">
        <f t="shared" si="9"/>
        <v>5083.898305</v>
      </c>
      <c r="X7" s="74">
        <f t="shared" si="10"/>
        <v>1</v>
      </c>
      <c r="Y7" s="73">
        <f t="shared" si="11"/>
        <v>0</v>
      </c>
      <c r="Z7" s="73">
        <f t="shared" si="12"/>
        <v>5401.822034</v>
      </c>
      <c r="AA7" s="73">
        <f t="shared" si="13"/>
        <v>5401.822034</v>
      </c>
      <c r="AB7" s="74">
        <f t="shared" si="14"/>
        <v>1</v>
      </c>
      <c r="AC7" s="61" t="str">
        <f t="shared" si="15"/>
        <v>8</v>
      </c>
      <c r="AD7" s="71" t="str">
        <f t="shared" si="16"/>
        <v>#DIV/0!</v>
      </c>
      <c r="AE7" s="61"/>
      <c r="AF7" s="61"/>
      <c r="AG7" s="71">
        <f t="array" ref="AG7">IFERROR(xlookup(G7,'Old Master'!T:T,'Old Master'!V:V),N7)</f>
        <v>0.15</v>
      </c>
      <c r="AH7" s="73">
        <f t="shared" si="17"/>
        <v>6374.15</v>
      </c>
      <c r="AI7" s="73">
        <f t="shared" si="18"/>
        <v>5401.822034</v>
      </c>
      <c r="AJ7" s="72">
        <f t="shared" si="19"/>
        <v>1</v>
      </c>
      <c r="AK7" s="61"/>
      <c r="AL7" s="71">
        <f t="array" ref="AL7">iferror(if(isblank(xlookup($G7,'Old Master'!$T:$T,'Old Master'!$W:$W)),AG7,xlookup($G7,'Old Master'!$T:$T,'Old Master'!$W:$W)),AG7)</f>
        <v>0.15</v>
      </c>
      <c r="AM7" s="74">
        <f t="shared" si="20"/>
        <v>0.1466862248</v>
      </c>
      <c r="AN7" s="73">
        <f t="shared" si="21"/>
        <v>6399</v>
      </c>
    </row>
    <row r="8">
      <c r="A8" s="65" t="s">
        <v>1643</v>
      </c>
      <c r="B8" s="65">
        <f t="shared" si="1"/>
        <v>72</v>
      </c>
      <c r="C8" s="65" t="str">
        <f t="shared" si="2"/>
        <v>SC-ULTM-K-78x74x8</v>
      </c>
      <c r="D8" s="65" t="s">
        <v>1645</v>
      </c>
      <c r="E8" s="65" t="s">
        <v>1643</v>
      </c>
      <c r="F8" s="65" t="s">
        <v>1643</v>
      </c>
      <c r="G8" s="65" t="s">
        <v>5112</v>
      </c>
      <c r="H8" s="65" t="s">
        <v>52</v>
      </c>
      <c r="I8" s="65">
        <v>25999.0</v>
      </c>
      <c r="J8" s="66">
        <v>0.25</v>
      </c>
      <c r="K8" s="65">
        <f t="shared" si="3"/>
        <v>19499</v>
      </c>
      <c r="L8" s="66">
        <v>0.22</v>
      </c>
      <c r="M8" s="65">
        <f t="shared" si="4"/>
        <v>20279</v>
      </c>
      <c r="N8" s="67">
        <f t="shared" ref="N8:N9" si="27">1-O8/I8</f>
        <v>0.1000038463</v>
      </c>
      <c r="O8" s="68">
        <v>23399.0</v>
      </c>
      <c r="P8" s="67">
        <f t="shared" ref="P8:P9" si="28">1-Q8/I8</f>
        <v>0.1000038463</v>
      </c>
      <c r="Q8" s="69">
        <v>23399.0</v>
      </c>
      <c r="R8" s="70"/>
      <c r="S8" s="71">
        <f t="shared" si="5"/>
        <v>0.1538537403</v>
      </c>
      <c r="T8" s="72">
        <f t="shared" si="6"/>
        <v>0</v>
      </c>
      <c r="U8" s="73" t="str">
        <f t="shared" si="7"/>
        <v/>
      </c>
      <c r="V8" s="73">
        <f t="shared" si="8"/>
        <v>17185.59322</v>
      </c>
      <c r="W8" s="73">
        <f t="shared" si="9"/>
        <v>17185.59322</v>
      </c>
      <c r="X8" s="74">
        <f t="shared" si="10"/>
        <v>1</v>
      </c>
      <c r="Y8" s="73">
        <f t="shared" si="11"/>
        <v>0</v>
      </c>
      <c r="Z8" s="73">
        <f t="shared" si="12"/>
        <v>19829.66102</v>
      </c>
      <c r="AA8" s="73">
        <f t="shared" si="13"/>
        <v>19829.66102</v>
      </c>
      <c r="AB8" s="74">
        <f t="shared" si="14"/>
        <v>1</v>
      </c>
      <c r="AC8" s="61" t="str">
        <f t="shared" si="15"/>
        <v>8</v>
      </c>
      <c r="AD8" s="71" t="str">
        <f t="shared" si="16"/>
        <v>#DIV/0!</v>
      </c>
      <c r="AE8" s="61"/>
      <c r="AF8" s="61"/>
      <c r="AG8" s="71">
        <f t="array" ref="AG8">IFERROR(xlookup(G8,'Old Master'!T:T,'Old Master'!V:V),N8)</f>
        <v>0.1000038463</v>
      </c>
      <c r="AH8" s="73">
        <f t="shared" si="17"/>
        <v>23399</v>
      </c>
      <c r="AI8" s="73">
        <f t="shared" si="18"/>
        <v>19829.66102</v>
      </c>
      <c r="AJ8" s="72">
        <f t="shared" si="19"/>
        <v>1</v>
      </c>
      <c r="AK8" s="61"/>
      <c r="AL8" s="71">
        <f t="array" ref="AL8">iferror(if(isblank(xlookup($G8,'Old Master'!$T:$T,'Old Master'!$W:$W)),AG8,xlookup($G8,'Old Master'!$T:$T,'Old Master'!$W:$W)),AG8)</f>
        <v>0.1000038463</v>
      </c>
      <c r="AM8" s="74">
        <f t="shared" si="20"/>
        <v>0.1000038463</v>
      </c>
      <c r="AN8" s="73">
        <f t="shared" si="21"/>
        <v>23399</v>
      </c>
    </row>
    <row r="9">
      <c r="A9" s="65" t="s">
        <v>639</v>
      </c>
      <c r="B9" s="65">
        <f t="shared" si="1"/>
        <v>72</v>
      </c>
      <c r="C9" s="65" t="str">
        <f t="shared" si="2"/>
        <v>SC-ORIG-K-78x74x8</v>
      </c>
      <c r="D9" s="65" t="s">
        <v>641</v>
      </c>
      <c r="E9" s="65" t="s">
        <v>642</v>
      </c>
      <c r="F9" s="65" t="s">
        <v>643</v>
      </c>
      <c r="G9" s="65" t="s">
        <v>51</v>
      </c>
      <c r="H9" s="65" t="s">
        <v>52</v>
      </c>
      <c r="I9" s="65">
        <v>21199.0</v>
      </c>
      <c r="J9" s="66">
        <v>0.28</v>
      </c>
      <c r="K9" s="65">
        <f t="shared" si="3"/>
        <v>15263</v>
      </c>
      <c r="L9" s="66">
        <v>0.24</v>
      </c>
      <c r="M9" s="65">
        <f t="shared" si="4"/>
        <v>16111</v>
      </c>
      <c r="N9" s="67">
        <f t="shared" si="27"/>
        <v>0.1900089627</v>
      </c>
      <c r="O9" s="68">
        <v>17171.0</v>
      </c>
      <c r="P9" s="67">
        <f t="shared" si="28"/>
        <v>0.1900089627</v>
      </c>
      <c r="Q9" s="69">
        <v>17171.0</v>
      </c>
      <c r="R9" s="76"/>
      <c r="S9" s="72">
        <f t="shared" si="5"/>
        <v>0.0657935572</v>
      </c>
      <c r="T9" s="72">
        <f t="shared" si="6"/>
        <v>0</v>
      </c>
      <c r="U9" s="73" t="str">
        <f t="shared" si="7"/>
        <v/>
      </c>
      <c r="V9" s="73">
        <f t="shared" si="8"/>
        <v>13653.38983</v>
      </c>
      <c r="W9" s="73">
        <f t="shared" si="9"/>
        <v>13653.38983</v>
      </c>
      <c r="X9" s="74">
        <f t="shared" si="10"/>
        <v>1</v>
      </c>
      <c r="Y9" s="73">
        <f t="shared" si="11"/>
        <v>0</v>
      </c>
      <c r="Z9" s="73">
        <f t="shared" si="12"/>
        <v>14551.69492</v>
      </c>
      <c r="AA9" s="73">
        <f t="shared" si="13"/>
        <v>14551.69492</v>
      </c>
      <c r="AB9" s="74">
        <f t="shared" si="14"/>
        <v>1</v>
      </c>
      <c r="AC9" s="61" t="str">
        <f t="shared" si="15"/>
        <v>8</v>
      </c>
      <c r="AD9" s="71" t="str">
        <f t="shared" si="16"/>
        <v>#DIV/0!</v>
      </c>
      <c r="AE9" s="61"/>
      <c r="AF9" s="61"/>
      <c r="AG9" s="71">
        <f t="array" ref="AG9">IFERROR(xlookup(G9,'Old Master'!T:T,'Old Master'!V:V),N9)</f>
        <v>0.1900089627</v>
      </c>
      <c r="AH9" s="73">
        <f t="shared" si="17"/>
        <v>17171</v>
      </c>
      <c r="AI9" s="73">
        <f t="shared" si="18"/>
        <v>14551.69492</v>
      </c>
      <c r="AJ9" s="72">
        <f t="shared" si="19"/>
        <v>1</v>
      </c>
      <c r="AK9" s="61"/>
      <c r="AL9" s="71">
        <f t="array" ref="AL9">iferror(if(isblank(xlookup($G9,'Old Master'!$T:$T,'Old Master'!$W:$W)),AG9,xlookup($G9,'Old Master'!$T:$T,'Old Master'!$W:$W)),AG9)</f>
        <v>0.1900089627</v>
      </c>
      <c r="AM9" s="74">
        <f t="shared" si="20"/>
        <v>0.1886881457</v>
      </c>
      <c r="AN9" s="73">
        <f t="shared" si="21"/>
        <v>17199</v>
      </c>
    </row>
    <row r="10">
      <c r="A10" s="65" t="s">
        <v>5319</v>
      </c>
      <c r="B10" s="65" t="str">
        <f t="shared" si="1"/>
        <v>#VALUE!</v>
      </c>
      <c r="C10" s="65" t="str">
        <f t="shared" si="2"/>
        <v>#VALUE!</v>
      </c>
      <c r="D10" s="65" t="s">
        <v>3826</v>
      </c>
      <c r="E10" s="65">
        <v>0.0</v>
      </c>
      <c r="F10" s="65" t="s">
        <v>3827</v>
      </c>
      <c r="G10" s="65" t="s">
        <v>5136</v>
      </c>
      <c r="H10" s="65" t="s">
        <v>52</v>
      </c>
      <c r="I10" s="65">
        <v>5999.0</v>
      </c>
      <c r="J10" s="66">
        <v>0.25</v>
      </c>
      <c r="K10" s="65">
        <f t="shared" si="3"/>
        <v>4499</v>
      </c>
      <c r="L10" s="66">
        <v>0.2</v>
      </c>
      <c r="M10" s="65">
        <f t="shared" si="4"/>
        <v>4799</v>
      </c>
      <c r="N10" s="75">
        <v>0.15</v>
      </c>
      <c r="O10" s="68">
        <f>I10*(1-N10)</f>
        <v>5099.15</v>
      </c>
      <c r="P10" s="75">
        <v>0.15</v>
      </c>
      <c r="Q10" s="69">
        <f>I10*(1-P10)</f>
        <v>5099.15</v>
      </c>
      <c r="R10" s="70"/>
      <c r="S10" s="71">
        <f t="shared" si="5"/>
        <v>0.06254428006</v>
      </c>
      <c r="T10" s="72">
        <f t="shared" si="6"/>
        <v>0</v>
      </c>
      <c r="U10" s="73" t="str">
        <f t="shared" si="7"/>
        <v/>
      </c>
      <c r="V10" s="73">
        <f t="shared" si="8"/>
        <v>4066.949153</v>
      </c>
      <c r="W10" s="73">
        <f t="shared" si="9"/>
        <v>4066.949153</v>
      </c>
      <c r="X10" s="74">
        <f t="shared" si="10"/>
        <v>1</v>
      </c>
      <c r="Y10" s="73">
        <f t="shared" si="11"/>
        <v>0</v>
      </c>
      <c r="Z10" s="73">
        <f t="shared" si="12"/>
        <v>4321.313559</v>
      </c>
      <c r="AA10" s="73">
        <f t="shared" si="13"/>
        <v>4321.313559</v>
      </c>
      <c r="AB10" s="74">
        <f t="shared" si="14"/>
        <v>1</v>
      </c>
      <c r="AC10" s="61" t="str">
        <f t="shared" si="15"/>
        <v>6</v>
      </c>
      <c r="AD10" s="71" t="str">
        <f t="shared" si="16"/>
        <v>#DIV/0!</v>
      </c>
      <c r="AE10" s="61"/>
      <c r="AF10" s="61"/>
      <c r="AG10" s="71">
        <f t="array" ref="AG10">IFERROR(xlookup(G10,'Old Master'!T:T,'Old Master'!V:V),N10)</f>
        <v>0.15</v>
      </c>
      <c r="AH10" s="73">
        <f t="shared" si="17"/>
        <v>5099.15</v>
      </c>
      <c r="AI10" s="73">
        <f t="shared" si="18"/>
        <v>4321.313559</v>
      </c>
      <c r="AJ10" s="72">
        <f t="shared" si="19"/>
        <v>1</v>
      </c>
      <c r="AK10" s="61"/>
      <c r="AL10" s="71">
        <f t="array" ref="AL10">iferror(if(isblank(xlookup($G10,'Old Master'!$T:$T,'Old Master'!$W:$W)),AG10,xlookup($G10,'Old Master'!$T:$T,'Old Master'!$W:$W)),AG10)</f>
        <v>0.15</v>
      </c>
      <c r="AM10" s="74">
        <f t="shared" si="20"/>
        <v>0.1500250042</v>
      </c>
      <c r="AN10" s="73">
        <f t="shared" si="21"/>
        <v>5099</v>
      </c>
    </row>
    <row r="11">
      <c r="A11" s="65" t="s">
        <v>596</v>
      </c>
      <c r="B11" s="65">
        <f t="shared" si="1"/>
        <v>72</v>
      </c>
      <c r="C11" s="65" t="str">
        <f t="shared" si="2"/>
        <v>SC-ORIG-K-78x74x6</v>
      </c>
      <c r="D11" s="65" t="s">
        <v>598</v>
      </c>
      <c r="E11" s="65">
        <v>0.0</v>
      </c>
      <c r="F11" s="65" t="s">
        <v>599</v>
      </c>
      <c r="G11" s="65" t="s">
        <v>51</v>
      </c>
      <c r="H11" s="65" t="s">
        <v>52</v>
      </c>
      <c r="I11" s="65">
        <v>18399.0</v>
      </c>
      <c r="J11" s="66">
        <v>0.28</v>
      </c>
      <c r="K11" s="65">
        <f t="shared" si="3"/>
        <v>13247</v>
      </c>
      <c r="L11" s="66">
        <v>0.24</v>
      </c>
      <c r="M11" s="65">
        <f t="shared" si="4"/>
        <v>13983</v>
      </c>
      <c r="N11" s="67">
        <f t="shared" ref="N11:N12" si="29">1-O11/I11</f>
        <v>0.1900103266</v>
      </c>
      <c r="O11" s="68">
        <v>14903.0</v>
      </c>
      <c r="P11" s="67">
        <f t="shared" ref="P11:P12" si="30">1-Q11/I11</f>
        <v>0.1900103266</v>
      </c>
      <c r="Q11" s="69">
        <v>14903.0</v>
      </c>
      <c r="R11" s="76"/>
      <c r="S11" s="72">
        <f t="shared" si="5"/>
        <v>0.06579417865</v>
      </c>
      <c r="T11" s="72">
        <f t="shared" si="6"/>
        <v>0</v>
      </c>
      <c r="U11" s="73" t="str">
        <f t="shared" si="7"/>
        <v/>
      </c>
      <c r="V11" s="73">
        <f t="shared" si="8"/>
        <v>11850</v>
      </c>
      <c r="W11" s="73">
        <f t="shared" si="9"/>
        <v>11850</v>
      </c>
      <c r="X11" s="74">
        <f t="shared" si="10"/>
        <v>1</v>
      </c>
      <c r="Y11" s="73">
        <f t="shared" si="11"/>
        <v>0</v>
      </c>
      <c r="Z11" s="73">
        <f t="shared" si="12"/>
        <v>12629.66102</v>
      </c>
      <c r="AA11" s="73">
        <f t="shared" si="13"/>
        <v>12629.66102</v>
      </c>
      <c r="AB11" s="74">
        <f t="shared" si="14"/>
        <v>1</v>
      </c>
      <c r="AC11" s="61" t="str">
        <f t="shared" si="15"/>
        <v>6</v>
      </c>
      <c r="AD11" s="71" t="str">
        <f t="shared" si="16"/>
        <v>#DIV/0!</v>
      </c>
      <c r="AE11" s="61"/>
      <c r="AF11" s="61"/>
      <c r="AG11" s="71">
        <f t="array" ref="AG11">IFERROR(xlookup(G11,'Old Master'!T:T,'Old Master'!V:V),N11)</f>
        <v>0.1900103266</v>
      </c>
      <c r="AH11" s="73">
        <f t="shared" si="17"/>
        <v>14903</v>
      </c>
      <c r="AI11" s="73">
        <f t="shared" si="18"/>
        <v>12629.66102</v>
      </c>
      <c r="AJ11" s="72">
        <f t="shared" si="19"/>
        <v>1</v>
      </c>
      <c r="AK11" s="61"/>
      <c r="AL11" s="71">
        <f t="array" ref="AL11">iferror(if(isblank(xlookup($G11,'Old Master'!$T:$T,'Old Master'!$W:$W)),AG11,xlookup($G11,'Old Master'!$T:$T,'Old Master'!$W:$W)),AG11)</f>
        <v>0.1900103266</v>
      </c>
      <c r="AM11" s="74">
        <f t="shared" si="20"/>
        <v>0.1902277298</v>
      </c>
      <c r="AN11" s="73">
        <f t="shared" si="21"/>
        <v>14899</v>
      </c>
    </row>
    <row r="12">
      <c r="A12" s="65" t="s">
        <v>1580</v>
      </c>
      <c r="B12" s="65">
        <f t="shared" si="1"/>
        <v>60</v>
      </c>
      <c r="C12" s="65" t="str">
        <f t="shared" si="2"/>
        <v>SC-ULTM-Q-78x62x8</v>
      </c>
      <c r="D12" s="65" t="s">
        <v>1582</v>
      </c>
      <c r="E12" s="65" t="s">
        <v>1580</v>
      </c>
      <c r="F12" s="65" t="s">
        <v>1580</v>
      </c>
      <c r="G12" s="65" t="s">
        <v>5112</v>
      </c>
      <c r="H12" s="65" t="s">
        <v>52</v>
      </c>
      <c r="I12" s="65">
        <v>22999.0</v>
      </c>
      <c r="J12" s="66">
        <v>0.25</v>
      </c>
      <c r="K12" s="65">
        <f t="shared" si="3"/>
        <v>17249</v>
      </c>
      <c r="L12" s="66">
        <v>0.22</v>
      </c>
      <c r="M12" s="65">
        <f t="shared" si="4"/>
        <v>17939</v>
      </c>
      <c r="N12" s="67">
        <f t="shared" si="29"/>
        <v>0.100004348</v>
      </c>
      <c r="O12" s="68">
        <v>20699.0</v>
      </c>
      <c r="P12" s="67">
        <f t="shared" si="30"/>
        <v>0.100004348</v>
      </c>
      <c r="Q12" s="69">
        <v>20699.0</v>
      </c>
      <c r="R12" s="70"/>
      <c r="S12" s="71">
        <f t="shared" si="5"/>
        <v>0.1538547299</v>
      </c>
      <c r="T12" s="72">
        <f t="shared" si="6"/>
        <v>0</v>
      </c>
      <c r="U12" s="73" t="str">
        <f t="shared" si="7"/>
        <v/>
      </c>
      <c r="V12" s="73">
        <f t="shared" si="8"/>
        <v>15202.54237</v>
      </c>
      <c r="W12" s="73">
        <f t="shared" si="9"/>
        <v>15202.54237</v>
      </c>
      <c r="X12" s="74">
        <f t="shared" si="10"/>
        <v>1</v>
      </c>
      <c r="Y12" s="73">
        <f t="shared" si="11"/>
        <v>0</v>
      </c>
      <c r="Z12" s="73">
        <f t="shared" si="12"/>
        <v>17541.52542</v>
      </c>
      <c r="AA12" s="73">
        <f t="shared" si="13"/>
        <v>17541.52542</v>
      </c>
      <c r="AB12" s="74">
        <f t="shared" si="14"/>
        <v>1</v>
      </c>
      <c r="AC12" s="61" t="str">
        <f t="shared" si="15"/>
        <v>8</v>
      </c>
      <c r="AD12" s="71" t="str">
        <f t="shared" si="16"/>
        <v>#DIV/0!</v>
      </c>
      <c r="AE12" s="61"/>
      <c r="AF12" s="61"/>
      <c r="AG12" s="71">
        <f t="array" ref="AG12">IFERROR(xlookup(G12,'Old Master'!T:T,'Old Master'!V:V),N12)</f>
        <v>0.100004348</v>
      </c>
      <c r="AH12" s="73">
        <f t="shared" si="17"/>
        <v>20699</v>
      </c>
      <c r="AI12" s="73">
        <f t="shared" si="18"/>
        <v>17541.52542</v>
      </c>
      <c r="AJ12" s="72">
        <f t="shared" si="19"/>
        <v>1</v>
      </c>
      <c r="AK12" s="61"/>
      <c r="AL12" s="71">
        <f t="array" ref="AL12">iferror(if(isblank(xlookup($G12,'Old Master'!$T:$T,'Old Master'!$W:$W)),AG12,xlookup($G12,'Old Master'!$T:$T,'Old Master'!$W:$W)),AG12)</f>
        <v>0.100004348</v>
      </c>
      <c r="AM12" s="74">
        <f t="shared" si="20"/>
        <v>0.100004348</v>
      </c>
      <c r="AN12" s="73">
        <f t="shared" si="21"/>
        <v>20699</v>
      </c>
    </row>
    <row r="13">
      <c r="A13" s="65" t="s">
        <v>1004</v>
      </c>
      <c r="B13" s="65">
        <f t="shared" si="1"/>
        <v>72</v>
      </c>
      <c r="C13" s="65" t="str">
        <f t="shared" si="2"/>
        <v>SC-HYB-LATEX-K-72x74x6</v>
      </c>
      <c r="D13" s="65" t="s">
        <v>1006</v>
      </c>
      <c r="E13" s="65" t="s">
        <v>1007</v>
      </c>
      <c r="F13" s="65" t="s">
        <v>1008</v>
      </c>
      <c r="G13" s="65" t="s">
        <v>5108</v>
      </c>
      <c r="H13" s="65" t="s">
        <v>52</v>
      </c>
      <c r="I13" s="65">
        <v>19399.0</v>
      </c>
      <c r="J13" s="66">
        <v>0.25</v>
      </c>
      <c r="K13" s="65">
        <f t="shared" si="3"/>
        <v>14549</v>
      </c>
      <c r="L13" s="66">
        <v>0.2</v>
      </c>
      <c r="M13" s="65">
        <f t="shared" si="4"/>
        <v>15519</v>
      </c>
      <c r="N13" s="75">
        <v>0.16</v>
      </c>
      <c r="O13" s="68">
        <f>I13*(1-N13)</f>
        <v>16295.16</v>
      </c>
      <c r="P13" s="75">
        <v>0.13</v>
      </c>
      <c r="Q13" s="68">
        <f>I13*(1-P13)</f>
        <v>16877.13</v>
      </c>
      <c r="R13" s="71">
        <f>Q13/M13-1</f>
        <v>0.08751401508</v>
      </c>
      <c r="S13" s="71">
        <f t="shared" si="5"/>
        <v>0.0500135318</v>
      </c>
      <c r="T13" s="72">
        <f t="shared" si="6"/>
        <v>0</v>
      </c>
      <c r="U13" s="73" t="str">
        <f t="shared" si="7"/>
        <v/>
      </c>
      <c r="V13" s="73">
        <f t="shared" si="8"/>
        <v>13151.69492</v>
      </c>
      <c r="W13" s="73">
        <f t="shared" si="9"/>
        <v>13151.69492</v>
      </c>
      <c r="X13" s="74">
        <f t="shared" si="10"/>
        <v>1</v>
      </c>
      <c r="Y13" s="73">
        <f t="shared" si="11"/>
        <v>0</v>
      </c>
      <c r="Z13" s="73">
        <f t="shared" si="12"/>
        <v>13809.45763</v>
      </c>
      <c r="AA13" s="73">
        <f t="shared" si="13"/>
        <v>13809.45763</v>
      </c>
      <c r="AB13" s="74">
        <f t="shared" si="14"/>
        <v>1</v>
      </c>
      <c r="AC13" s="61" t="str">
        <f t="shared" si="15"/>
        <v>6</v>
      </c>
      <c r="AD13" s="71" t="str">
        <f t="shared" si="16"/>
        <v>#DIV/0!</v>
      </c>
      <c r="AE13" s="73">
        <f>Q13/118%-Y13</f>
        <v>14302.65254</v>
      </c>
      <c r="AF13" s="74">
        <f>AE13/(Q13/1.18)</f>
        <v>1</v>
      </c>
      <c r="AG13" s="71">
        <f t="array" ref="AG13">IFERROR(xlookup(G13,'Old Master'!T:T,'Old Master'!V:V),N13)</f>
        <v>0.16</v>
      </c>
      <c r="AH13" s="73">
        <f t="shared" si="17"/>
        <v>16295.16</v>
      </c>
      <c r="AI13" s="73">
        <f t="shared" si="18"/>
        <v>13809.45763</v>
      </c>
      <c r="AJ13" s="72">
        <f t="shared" si="19"/>
        <v>1</v>
      </c>
      <c r="AK13" s="61"/>
      <c r="AL13" s="71">
        <f t="array" ref="AL13">iferror(if(isblank(xlookup($G13,'Old Master'!$T:$T,'Old Master'!$W:$W)),AG13,xlookup($G13,'Old Master'!$T:$T,'Old Master'!$W:$W)),AG13)</f>
        <v>0.16</v>
      </c>
      <c r="AM13" s="74">
        <f t="shared" si="20"/>
        <v>0.1598020517</v>
      </c>
      <c r="AN13" s="73">
        <f t="shared" si="21"/>
        <v>16299</v>
      </c>
    </row>
    <row r="14">
      <c r="A14" s="65" t="s">
        <v>1093</v>
      </c>
      <c r="B14" s="65" t="str">
        <f t="shared" si="1"/>
        <v>#VALUE!</v>
      </c>
      <c r="C14" s="65" t="str">
        <f t="shared" si="2"/>
        <v>#VALUE!</v>
      </c>
      <c r="D14" s="65" t="s">
        <v>1095</v>
      </c>
      <c r="E14" s="65" t="s">
        <v>1097</v>
      </c>
      <c r="F14" s="65" t="s">
        <v>1098</v>
      </c>
      <c r="G14" s="65" t="s">
        <v>1144</v>
      </c>
      <c r="H14" s="65" t="s">
        <v>1145</v>
      </c>
      <c r="I14" s="65">
        <v>1989.0</v>
      </c>
      <c r="J14" s="66">
        <v>0.497737556561086</v>
      </c>
      <c r="K14" s="65">
        <f t="shared" si="3"/>
        <v>999</v>
      </c>
      <c r="L14" s="66">
        <v>0.25</v>
      </c>
      <c r="M14" s="65">
        <f t="shared" si="4"/>
        <v>1492</v>
      </c>
      <c r="N14" s="77">
        <f t="shared" ref="N14:N16" si="31">1-O14/I14</f>
        <v>0.4474610357</v>
      </c>
      <c r="O14" s="78">
        <v>1099.0</v>
      </c>
      <c r="P14" s="67">
        <f t="shared" ref="P14:P16" si="32">1-Q14/I14</f>
        <v>0.4474610357</v>
      </c>
      <c r="Q14" s="79">
        <v>1099.0</v>
      </c>
      <c r="R14" s="70"/>
      <c r="S14" s="71">
        <f>O14/K14-1</f>
        <v>0.1001001001</v>
      </c>
      <c r="T14" s="72">
        <f t="shared" si="6"/>
        <v>0</v>
      </c>
      <c r="U14" s="73" t="str">
        <f t="shared" si="7"/>
        <v/>
      </c>
      <c r="V14" s="73">
        <f>K14/1.18</f>
        <v>846.6101695</v>
      </c>
      <c r="W14" s="73">
        <f t="shared" si="9"/>
        <v>846.6101695</v>
      </c>
      <c r="X14" s="74">
        <f t="shared" si="10"/>
        <v>1</v>
      </c>
      <c r="Y14" s="73">
        <f t="shared" si="11"/>
        <v>0</v>
      </c>
      <c r="Z14" s="73">
        <f t="shared" si="12"/>
        <v>931.3559322</v>
      </c>
      <c r="AA14" s="73">
        <f t="shared" si="13"/>
        <v>931.3559322</v>
      </c>
      <c r="AB14" s="74">
        <f t="shared" si="14"/>
        <v>1</v>
      </c>
      <c r="AC14" s="61" t="str">
        <f t="shared" si="15"/>
        <v>6</v>
      </c>
      <c r="AD14" s="71" t="str">
        <f t="shared" si="16"/>
        <v>#DIV/0!</v>
      </c>
      <c r="AE14" s="61"/>
      <c r="AF14" s="61"/>
      <c r="AG14" s="71">
        <f t="array" ref="AG14">IFERROR(xlookup(G14,'Old Master'!T:T,'Old Master'!V:V),N14)</f>
        <v>0.4474610357</v>
      </c>
      <c r="AH14" s="73">
        <f t="shared" si="17"/>
        <v>1099</v>
      </c>
      <c r="AI14" s="73">
        <f t="shared" si="18"/>
        <v>931.3559322</v>
      </c>
      <c r="AJ14" s="72">
        <f t="shared" si="19"/>
        <v>1</v>
      </c>
      <c r="AK14" s="61"/>
      <c r="AL14" s="71">
        <f>(I14-AN14)/I14</f>
        <v>0.4977375566</v>
      </c>
      <c r="AM14" s="74">
        <f t="shared" si="20"/>
        <v>0.4977375566</v>
      </c>
      <c r="AN14" s="80">
        <v>999.0</v>
      </c>
    </row>
    <row r="15">
      <c r="A15" s="65" t="s">
        <v>394</v>
      </c>
      <c r="B15" s="65">
        <f t="shared" si="1"/>
        <v>60</v>
      </c>
      <c r="C15" s="65" t="str">
        <f t="shared" si="2"/>
        <v>SC-ORIG-Q-78x62x8</v>
      </c>
      <c r="D15" s="65" t="s">
        <v>396</v>
      </c>
      <c r="E15" s="65" t="s">
        <v>397</v>
      </c>
      <c r="F15" s="65" t="s">
        <v>398</v>
      </c>
      <c r="G15" s="65" t="s">
        <v>51</v>
      </c>
      <c r="H15" s="65" t="s">
        <v>52</v>
      </c>
      <c r="I15" s="65">
        <v>18499.0</v>
      </c>
      <c r="J15" s="66">
        <v>0.28</v>
      </c>
      <c r="K15" s="65">
        <f t="shared" si="3"/>
        <v>13319</v>
      </c>
      <c r="L15" s="66">
        <v>0.24</v>
      </c>
      <c r="M15" s="65">
        <f t="shared" si="4"/>
        <v>14059</v>
      </c>
      <c r="N15" s="67">
        <f t="shared" si="31"/>
        <v>0.1900102708</v>
      </c>
      <c r="O15" s="68">
        <v>14984.0</v>
      </c>
      <c r="P15" s="67">
        <f t="shared" si="32"/>
        <v>0.1900102708</v>
      </c>
      <c r="Q15" s="69">
        <v>14984.0</v>
      </c>
      <c r="R15" s="76"/>
      <c r="S15" s="72">
        <f>O15/M15-1</f>
        <v>0.06579415321</v>
      </c>
      <c r="T15" s="72">
        <f t="shared" si="6"/>
        <v>0</v>
      </c>
      <c r="U15" s="73" t="str">
        <f t="shared" si="7"/>
        <v/>
      </c>
      <c r="V15" s="73">
        <f t="shared" ref="V15:V56" si="33">M15/1.18</f>
        <v>11914.40678</v>
      </c>
      <c r="W15" s="73">
        <f t="shared" si="9"/>
        <v>11914.40678</v>
      </c>
      <c r="X15" s="74">
        <f t="shared" si="10"/>
        <v>1</v>
      </c>
      <c r="Y15" s="73">
        <f t="shared" si="11"/>
        <v>0</v>
      </c>
      <c r="Z15" s="73">
        <f t="shared" si="12"/>
        <v>12698.30508</v>
      </c>
      <c r="AA15" s="73">
        <f t="shared" si="13"/>
        <v>12698.30508</v>
      </c>
      <c r="AB15" s="74">
        <f t="shared" si="14"/>
        <v>1</v>
      </c>
      <c r="AC15" s="61" t="str">
        <f t="shared" si="15"/>
        <v>8</v>
      </c>
      <c r="AD15" s="71" t="str">
        <f t="shared" si="16"/>
        <v>#DIV/0!</v>
      </c>
      <c r="AE15" s="61"/>
      <c r="AF15" s="61"/>
      <c r="AG15" s="71">
        <f t="array" ref="AG15">IFERROR(xlookup(G15,'Old Master'!T:T,'Old Master'!V:V),N15)</f>
        <v>0.1900102708</v>
      </c>
      <c r="AH15" s="73">
        <f t="shared" si="17"/>
        <v>14984</v>
      </c>
      <c r="AI15" s="73">
        <f t="shared" si="18"/>
        <v>12698.30508</v>
      </c>
      <c r="AJ15" s="72">
        <f t="shared" si="19"/>
        <v>1</v>
      </c>
      <c r="AK15" s="61"/>
      <c r="AL15" s="71">
        <f t="array" ref="AL15">iferror(if(isblank(xlookup($G15,'Old Master'!$T:$T,'Old Master'!$W:$W)),AG15,xlookup($G15,'Old Master'!$T:$T,'Old Master'!$W:$W)),AG15)</f>
        <v>0.1900102708</v>
      </c>
      <c r="AM15" s="74">
        <f t="shared" si="20"/>
        <v>0.1891994162</v>
      </c>
      <c r="AN15" s="73">
        <f>mround($I15*(1-AL15),100)-1</f>
        <v>14999</v>
      </c>
    </row>
    <row r="16">
      <c r="A16" s="65" t="s">
        <v>1101</v>
      </c>
      <c r="B16" s="65" t="str">
        <f t="shared" si="1"/>
        <v>#VALUE!</v>
      </c>
      <c r="C16" s="65" t="str">
        <f t="shared" si="2"/>
        <v>#VALUE!</v>
      </c>
      <c r="D16" s="65" t="s">
        <v>1103</v>
      </c>
      <c r="E16" s="65" t="s">
        <v>1104</v>
      </c>
      <c r="F16" s="65" t="s">
        <v>1105</v>
      </c>
      <c r="G16" s="65" t="s">
        <v>1144</v>
      </c>
      <c r="H16" s="65" t="s">
        <v>1145</v>
      </c>
      <c r="I16" s="65">
        <v>3699.0</v>
      </c>
      <c r="J16" s="66">
        <v>0.48661800486618</v>
      </c>
      <c r="K16" s="65">
        <f t="shared" si="3"/>
        <v>1899</v>
      </c>
      <c r="L16" s="66">
        <v>0.48661800486618</v>
      </c>
      <c r="M16" s="65">
        <f t="shared" si="4"/>
        <v>1899</v>
      </c>
      <c r="N16" s="77">
        <f t="shared" si="31"/>
        <v>0.4866180049</v>
      </c>
      <c r="O16" s="78">
        <v>1899.0</v>
      </c>
      <c r="P16" s="67">
        <f t="shared" si="32"/>
        <v>0.4866180049</v>
      </c>
      <c r="Q16" s="79">
        <v>1899.0</v>
      </c>
      <c r="R16" s="70"/>
      <c r="S16" s="71">
        <f>O16/K16-1</f>
        <v>0</v>
      </c>
      <c r="T16" s="72">
        <f t="shared" si="6"/>
        <v>0</v>
      </c>
      <c r="U16" s="73" t="str">
        <f t="shared" si="7"/>
        <v/>
      </c>
      <c r="V16" s="73">
        <f t="shared" si="33"/>
        <v>1609.322034</v>
      </c>
      <c r="W16" s="73">
        <f t="shared" si="9"/>
        <v>1609.322034</v>
      </c>
      <c r="X16" s="74">
        <f t="shared" si="10"/>
        <v>1</v>
      </c>
      <c r="Y16" s="73">
        <f t="shared" si="11"/>
        <v>0</v>
      </c>
      <c r="Z16" s="73">
        <f t="shared" si="12"/>
        <v>1609.322034</v>
      </c>
      <c r="AA16" s="73">
        <f t="shared" si="13"/>
        <v>1609.322034</v>
      </c>
      <c r="AB16" s="74">
        <f t="shared" si="14"/>
        <v>1</v>
      </c>
      <c r="AC16" s="61" t="str">
        <f t="shared" si="15"/>
        <v>6</v>
      </c>
      <c r="AD16" s="71" t="str">
        <f t="shared" si="16"/>
        <v>#DIV/0!</v>
      </c>
      <c r="AE16" s="61"/>
      <c r="AF16" s="61"/>
      <c r="AG16" s="71">
        <f t="array" ref="AG16">IFERROR(xlookup(G16,'Old Master'!T:T,'Old Master'!V:V),N16)</f>
        <v>0.4866180049</v>
      </c>
      <c r="AH16" s="73">
        <f t="shared" si="17"/>
        <v>1899</v>
      </c>
      <c r="AI16" s="73">
        <f t="shared" si="18"/>
        <v>1609.322034</v>
      </c>
      <c r="AJ16" s="72">
        <f t="shared" si="19"/>
        <v>1</v>
      </c>
      <c r="AK16" s="61"/>
      <c r="AL16" s="71">
        <f>(I16-AN16)/I16</f>
        <v>0.4866180049</v>
      </c>
      <c r="AM16" s="74">
        <f t="shared" si="20"/>
        <v>0.4866180049</v>
      </c>
      <c r="AN16" s="80">
        <v>1899.0</v>
      </c>
    </row>
    <row r="17">
      <c r="A17" s="65" t="s">
        <v>943</v>
      </c>
      <c r="B17" s="65">
        <f t="shared" si="1"/>
        <v>60</v>
      </c>
      <c r="C17" s="65" t="str">
        <f t="shared" si="2"/>
        <v>SC-HYB-LATEX-Q-75x62x8</v>
      </c>
      <c r="D17" s="65" t="s">
        <v>945</v>
      </c>
      <c r="E17" s="65" t="s">
        <v>946</v>
      </c>
      <c r="F17" s="65" t="s">
        <v>947</v>
      </c>
      <c r="G17" s="65" t="s">
        <v>5108</v>
      </c>
      <c r="H17" s="65" t="s">
        <v>52</v>
      </c>
      <c r="I17" s="65">
        <v>19799.0</v>
      </c>
      <c r="J17" s="66">
        <v>0.25</v>
      </c>
      <c r="K17" s="65">
        <f t="shared" si="3"/>
        <v>14849</v>
      </c>
      <c r="L17" s="66">
        <v>0.2</v>
      </c>
      <c r="M17" s="65">
        <f t="shared" si="4"/>
        <v>15839</v>
      </c>
      <c r="N17" s="75">
        <v>0.16</v>
      </c>
      <c r="O17" s="68">
        <f t="shared" ref="O17:O20" si="34">I17*(1-N17)</f>
        <v>16631.16</v>
      </c>
      <c r="P17" s="75">
        <v>0.13</v>
      </c>
      <c r="Q17" s="68">
        <f t="shared" ref="Q17:Q20" si="35">I17*(1-P17)</f>
        <v>17225.13</v>
      </c>
      <c r="R17" s="71">
        <f t="shared" ref="R17:R20" si="36">Q17/M17-1</f>
        <v>0.08751373193</v>
      </c>
      <c r="S17" s="71">
        <f t="shared" ref="S17:S32" si="37">O17/M17-1</f>
        <v>0.05001325841</v>
      </c>
      <c r="T17" s="72">
        <f t="shared" si="6"/>
        <v>0</v>
      </c>
      <c r="U17" s="73" t="str">
        <f t="shared" si="7"/>
        <v/>
      </c>
      <c r="V17" s="73">
        <f t="shared" si="33"/>
        <v>13422.88136</v>
      </c>
      <c r="W17" s="73">
        <f t="shared" si="9"/>
        <v>13422.88136</v>
      </c>
      <c r="X17" s="74">
        <f t="shared" si="10"/>
        <v>1</v>
      </c>
      <c r="Y17" s="73">
        <f t="shared" si="11"/>
        <v>0</v>
      </c>
      <c r="Z17" s="73">
        <f t="shared" si="12"/>
        <v>14094.20339</v>
      </c>
      <c r="AA17" s="73">
        <f t="shared" si="13"/>
        <v>14094.20339</v>
      </c>
      <c r="AB17" s="74">
        <f t="shared" si="14"/>
        <v>1</v>
      </c>
      <c r="AC17" s="61" t="str">
        <f t="shared" si="15"/>
        <v>8</v>
      </c>
      <c r="AD17" s="71" t="str">
        <f t="shared" si="16"/>
        <v>#DIV/0!</v>
      </c>
      <c r="AE17" s="73">
        <f t="shared" ref="AE17:AE20" si="38">Q17/118%-Y17</f>
        <v>14597.5678</v>
      </c>
      <c r="AF17" s="74">
        <f t="shared" ref="AF17:AF20" si="39">AE17/(Q17/1.18)</f>
        <v>1</v>
      </c>
      <c r="AG17" s="71">
        <f t="array" ref="AG17">IFERROR(xlookup(G17,'Old Master'!T:T,'Old Master'!V:V),N17)</f>
        <v>0.16</v>
      </c>
      <c r="AH17" s="73">
        <f t="shared" si="17"/>
        <v>16631.16</v>
      </c>
      <c r="AI17" s="73">
        <f t="shared" si="18"/>
        <v>14094.20339</v>
      </c>
      <c r="AJ17" s="72">
        <f t="shared" si="19"/>
        <v>1</v>
      </c>
      <c r="AK17" s="61"/>
      <c r="AL17" s="71">
        <f t="array" ref="AL17">iferror(if(isblank(xlookup($G17,'Old Master'!$T:$T,'Old Master'!$W:$W)),AG17,xlookup($G17,'Old Master'!$T:$T,'Old Master'!$W:$W)),AG17)</f>
        <v>0.16</v>
      </c>
      <c r="AM17" s="74">
        <f t="shared" si="20"/>
        <v>0.1616243245</v>
      </c>
      <c r="AN17" s="73">
        <f t="shared" ref="AN17:AN32" si="40">mround($I17*(1-AL17),100)-1</f>
        <v>16599</v>
      </c>
    </row>
    <row r="18">
      <c r="A18" s="65" t="s">
        <v>1058</v>
      </c>
      <c r="B18" s="65">
        <f t="shared" si="1"/>
        <v>72</v>
      </c>
      <c r="C18" s="65" t="str">
        <f t="shared" si="2"/>
        <v>SC-HYB-LATEX-K-75x74x8</v>
      </c>
      <c r="D18" s="65" t="s">
        <v>1060</v>
      </c>
      <c r="E18" s="65" t="s">
        <v>1061</v>
      </c>
      <c r="F18" s="65" t="s">
        <v>1062</v>
      </c>
      <c r="G18" s="65" t="s">
        <v>5108</v>
      </c>
      <c r="H18" s="65" t="s">
        <v>52</v>
      </c>
      <c r="I18" s="65">
        <v>23199.0</v>
      </c>
      <c r="J18" s="66">
        <v>0.25</v>
      </c>
      <c r="K18" s="65">
        <f t="shared" si="3"/>
        <v>17399</v>
      </c>
      <c r="L18" s="66">
        <v>0.2</v>
      </c>
      <c r="M18" s="65">
        <f t="shared" si="4"/>
        <v>18559</v>
      </c>
      <c r="N18" s="75">
        <v>0.16</v>
      </c>
      <c r="O18" s="68">
        <f t="shared" si="34"/>
        <v>19487.16</v>
      </c>
      <c r="P18" s="75">
        <v>0.13</v>
      </c>
      <c r="Q18" s="68">
        <f t="shared" si="35"/>
        <v>20183.13</v>
      </c>
      <c r="R18" s="71">
        <f t="shared" si="36"/>
        <v>0.08751171938</v>
      </c>
      <c r="S18" s="71">
        <f t="shared" si="37"/>
        <v>0.05001131526</v>
      </c>
      <c r="T18" s="72">
        <f t="shared" si="6"/>
        <v>0</v>
      </c>
      <c r="U18" s="73" t="str">
        <f t="shared" si="7"/>
        <v/>
      </c>
      <c r="V18" s="73">
        <f t="shared" si="33"/>
        <v>15727.9661</v>
      </c>
      <c r="W18" s="73">
        <f t="shared" si="9"/>
        <v>15727.9661</v>
      </c>
      <c r="X18" s="74">
        <f t="shared" si="10"/>
        <v>1</v>
      </c>
      <c r="Y18" s="73">
        <f t="shared" si="11"/>
        <v>0</v>
      </c>
      <c r="Z18" s="73">
        <f t="shared" si="12"/>
        <v>16514.54237</v>
      </c>
      <c r="AA18" s="73">
        <f t="shared" si="13"/>
        <v>16514.54237</v>
      </c>
      <c r="AB18" s="74">
        <f t="shared" si="14"/>
        <v>1</v>
      </c>
      <c r="AC18" s="61" t="str">
        <f t="shared" si="15"/>
        <v>8</v>
      </c>
      <c r="AD18" s="71" t="str">
        <f t="shared" si="16"/>
        <v>#DIV/0!</v>
      </c>
      <c r="AE18" s="73">
        <f t="shared" si="38"/>
        <v>17104.34746</v>
      </c>
      <c r="AF18" s="74">
        <f t="shared" si="39"/>
        <v>1</v>
      </c>
      <c r="AG18" s="71">
        <f t="array" ref="AG18">IFERROR(xlookup(G18,'Old Master'!T:T,'Old Master'!V:V),N18)</f>
        <v>0.16</v>
      </c>
      <c r="AH18" s="73">
        <f t="shared" si="17"/>
        <v>19487.16</v>
      </c>
      <c r="AI18" s="73">
        <f t="shared" si="18"/>
        <v>16514.54237</v>
      </c>
      <c r="AJ18" s="72">
        <f t="shared" si="19"/>
        <v>1</v>
      </c>
      <c r="AK18" s="61"/>
      <c r="AL18" s="71">
        <f t="array" ref="AL18">iferror(if(isblank(xlookup($G18,'Old Master'!$T:$T,'Old Master'!$W:$W)),AG18,xlookup($G18,'Old Master'!$T:$T,'Old Master'!$W:$W)),AG18)</f>
        <v>0.16</v>
      </c>
      <c r="AM18" s="74">
        <f t="shared" si="20"/>
        <v>0.1594896332</v>
      </c>
      <c r="AN18" s="73">
        <f t="shared" si="40"/>
        <v>19499</v>
      </c>
    </row>
    <row r="19">
      <c r="A19" s="65" t="s">
        <v>937</v>
      </c>
      <c r="B19" s="65">
        <f t="shared" si="1"/>
        <v>60</v>
      </c>
      <c r="C19" s="65" t="str">
        <f t="shared" si="2"/>
        <v>SC-HYB-LATEX-Q-72x62x8</v>
      </c>
      <c r="D19" s="65">
        <v>0.0</v>
      </c>
      <c r="E19" s="65">
        <v>0.0</v>
      </c>
      <c r="F19" s="65" t="s">
        <v>940</v>
      </c>
      <c r="G19" s="65" t="s">
        <v>5108</v>
      </c>
      <c r="H19" s="65" t="s">
        <v>52</v>
      </c>
      <c r="I19" s="65">
        <v>19399.0</v>
      </c>
      <c r="J19" s="66">
        <v>0.0</v>
      </c>
      <c r="K19" s="65">
        <f t="shared" si="3"/>
        <v>19399</v>
      </c>
      <c r="L19" s="66">
        <v>0.2</v>
      </c>
      <c r="M19" s="65">
        <f t="shared" si="4"/>
        <v>15519</v>
      </c>
      <c r="N19" s="75">
        <v>0.16</v>
      </c>
      <c r="O19" s="68">
        <f t="shared" si="34"/>
        <v>16295.16</v>
      </c>
      <c r="P19" s="75">
        <v>0.13</v>
      </c>
      <c r="Q19" s="68">
        <f t="shared" si="35"/>
        <v>16877.13</v>
      </c>
      <c r="R19" s="71">
        <f t="shared" si="36"/>
        <v>0.08751401508</v>
      </c>
      <c r="S19" s="71">
        <f t="shared" si="37"/>
        <v>0.0500135318</v>
      </c>
      <c r="T19" s="72">
        <f t="shared" si="6"/>
        <v>0</v>
      </c>
      <c r="U19" s="73" t="str">
        <f t="shared" si="7"/>
        <v/>
      </c>
      <c r="V19" s="73">
        <f t="shared" si="33"/>
        <v>13151.69492</v>
      </c>
      <c r="W19" s="73">
        <f t="shared" si="9"/>
        <v>13151.69492</v>
      </c>
      <c r="X19" s="74">
        <f t="shared" si="10"/>
        <v>1</v>
      </c>
      <c r="Y19" s="73">
        <f t="shared" si="11"/>
        <v>0</v>
      </c>
      <c r="Z19" s="73">
        <f t="shared" si="12"/>
        <v>13809.45763</v>
      </c>
      <c r="AA19" s="73">
        <f t="shared" si="13"/>
        <v>13809.45763</v>
      </c>
      <c r="AB19" s="74">
        <f t="shared" si="14"/>
        <v>1</v>
      </c>
      <c r="AC19" s="61" t="str">
        <f t="shared" si="15"/>
        <v>8</v>
      </c>
      <c r="AD19" s="71" t="str">
        <f t="shared" si="16"/>
        <v>#DIV/0!</v>
      </c>
      <c r="AE19" s="73">
        <f t="shared" si="38"/>
        <v>14302.65254</v>
      </c>
      <c r="AF19" s="74">
        <f t="shared" si="39"/>
        <v>1</v>
      </c>
      <c r="AG19" s="71">
        <f t="array" ref="AG19">IFERROR(xlookup(G19,'Old Master'!T:T,'Old Master'!V:V),N19)</f>
        <v>0.16</v>
      </c>
      <c r="AH19" s="73">
        <f t="shared" si="17"/>
        <v>16295.16</v>
      </c>
      <c r="AI19" s="73">
        <f t="shared" si="18"/>
        <v>13809.45763</v>
      </c>
      <c r="AJ19" s="72">
        <f t="shared" si="19"/>
        <v>1</v>
      </c>
      <c r="AK19" s="61"/>
      <c r="AL19" s="71">
        <f t="array" ref="AL19">iferror(if(isblank(xlookup($G19,'Old Master'!$T:$T,'Old Master'!$W:$W)),AG19,xlookup($G19,'Old Master'!$T:$T,'Old Master'!$W:$W)),AG19)</f>
        <v>0.16</v>
      </c>
      <c r="AM19" s="74">
        <f t="shared" si="20"/>
        <v>0.1598020517</v>
      </c>
      <c r="AN19" s="73">
        <f t="shared" si="40"/>
        <v>16299</v>
      </c>
    </row>
    <row r="20">
      <c r="A20" s="65" t="s">
        <v>1047</v>
      </c>
      <c r="B20" s="65">
        <f t="shared" si="1"/>
        <v>72</v>
      </c>
      <c r="C20" s="65" t="str">
        <f t="shared" si="2"/>
        <v>SC-HYB-LATEX-K-72x74x8</v>
      </c>
      <c r="D20" s="65">
        <v>0.0</v>
      </c>
      <c r="E20" s="65">
        <v>0.0</v>
      </c>
      <c r="F20" s="65" t="s">
        <v>1050</v>
      </c>
      <c r="G20" s="65" t="s">
        <v>5108</v>
      </c>
      <c r="H20" s="65" t="s">
        <v>52</v>
      </c>
      <c r="I20" s="65">
        <v>22699.0</v>
      </c>
      <c r="J20" s="66">
        <v>0.0</v>
      </c>
      <c r="K20" s="65">
        <f t="shared" si="3"/>
        <v>22699</v>
      </c>
      <c r="L20" s="66">
        <v>0.2</v>
      </c>
      <c r="M20" s="65">
        <f t="shared" si="4"/>
        <v>18159</v>
      </c>
      <c r="N20" s="75">
        <v>0.16</v>
      </c>
      <c r="O20" s="68">
        <f t="shared" si="34"/>
        <v>19067.16</v>
      </c>
      <c r="P20" s="75">
        <v>0.13</v>
      </c>
      <c r="Q20" s="68">
        <f t="shared" si="35"/>
        <v>19748.13</v>
      </c>
      <c r="R20" s="71">
        <f t="shared" si="36"/>
        <v>0.08751197753</v>
      </c>
      <c r="S20" s="71">
        <f t="shared" si="37"/>
        <v>0.05001156451</v>
      </c>
      <c r="T20" s="72">
        <f t="shared" si="6"/>
        <v>0</v>
      </c>
      <c r="U20" s="73" t="str">
        <f t="shared" si="7"/>
        <v/>
      </c>
      <c r="V20" s="73">
        <f t="shared" si="33"/>
        <v>15388.98305</v>
      </c>
      <c r="W20" s="73">
        <f t="shared" si="9"/>
        <v>15388.98305</v>
      </c>
      <c r="X20" s="74">
        <f t="shared" si="10"/>
        <v>1</v>
      </c>
      <c r="Y20" s="73">
        <f t="shared" si="11"/>
        <v>0</v>
      </c>
      <c r="Z20" s="73">
        <f t="shared" si="12"/>
        <v>16158.61017</v>
      </c>
      <c r="AA20" s="73">
        <f t="shared" si="13"/>
        <v>16158.61017</v>
      </c>
      <c r="AB20" s="74">
        <f t="shared" si="14"/>
        <v>1</v>
      </c>
      <c r="AC20" s="61" t="str">
        <f t="shared" si="15"/>
        <v>8</v>
      </c>
      <c r="AD20" s="71" t="str">
        <f t="shared" si="16"/>
        <v>#DIV/0!</v>
      </c>
      <c r="AE20" s="73">
        <f t="shared" si="38"/>
        <v>16735.70339</v>
      </c>
      <c r="AF20" s="74">
        <f t="shared" si="39"/>
        <v>1</v>
      </c>
      <c r="AG20" s="71">
        <f t="array" ref="AG20">IFERROR(xlookup(G20,'Old Master'!T:T,'Old Master'!V:V),N20)</f>
        <v>0.16</v>
      </c>
      <c r="AH20" s="73">
        <f t="shared" si="17"/>
        <v>19067.16</v>
      </c>
      <c r="AI20" s="73">
        <f t="shared" si="18"/>
        <v>16158.61017</v>
      </c>
      <c r="AJ20" s="72">
        <f t="shared" si="19"/>
        <v>1</v>
      </c>
      <c r="AK20" s="61"/>
      <c r="AL20" s="71">
        <f t="array" ref="AL20">iferror(if(isblank(xlookup($G20,'Old Master'!$T:$T,'Old Master'!$W:$W)),AG20,xlookup($G20,'Old Master'!$T:$T,'Old Master'!$W:$W)),AG20)</f>
        <v>0.16</v>
      </c>
      <c r="AM20" s="74">
        <f t="shared" si="20"/>
        <v>0.158597295</v>
      </c>
      <c r="AN20" s="73">
        <f t="shared" si="40"/>
        <v>19099</v>
      </c>
    </row>
    <row r="21">
      <c r="A21" s="65" t="s">
        <v>1904</v>
      </c>
      <c r="B21" s="65">
        <f t="shared" si="1"/>
        <v>72</v>
      </c>
      <c r="C21" s="65" t="str">
        <f t="shared" si="2"/>
        <v>SC-ULTM-LATEX-K-78x74x10</v>
      </c>
      <c r="D21" s="65" t="s">
        <v>1906</v>
      </c>
      <c r="E21" s="65" t="s">
        <v>1907</v>
      </c>
      <c r="F21" s="65" t="s">
        <v>1908</v>
      </c>
      <c r="G21" s="65" t="s">
        <v>5109</v>
      </c>
      <c r="H21" s="65" t="s">
        <v>52</v>
      </c>
      <c r="I21" s="65">
        <v>38999.0</v>
      </c>
      <c r="J21" s="66">
        <v>0.23</v>
      </c>
      <c r="K21" s="65">
        <f t="shared" si="3"/>
        <v>30029</v>
      </c>
      <c r="L21" s="66">
        <v>0.18</v>
      </c>
      <c r="M21" s="65">
        <f t="shared" si="4"/>
        <v>31979</v>
      </c>
      <c r="N21" s="67">
        <f t="shared" ref="N21:N23" si="41">1-O21/I21</f>
        <v>0.1000025642</v>
      </c>
      <c r="O21" s="68">
        <v>35099.0</v>
      </c>
      <c r="P21" s="67">
        <f t="shared" ref="P21:P23" si="42">1-Q21/I21</f>
        <v>0.1000025642</v>
      </c>
      <c r="Q21" s="69">
        <v>35099.0</v>
      </c>
      <c r="R21" s="70"/>
      <c r="S21" s="71">
        <f t="shared" si="37"/>
        <v>0.09756402639</v>
      </c>
      <c r="T21" s="72">
        <f t="shared" si="6"/>
        <v>0</v>
      </c>
      <c r="U21" s="73" t="str">
        <f t="shared" si="7"/>
        <v/>
      </c>
      <c r="V21" s="73">
        <f t="shared" si="33"/>
        <v>27100.84746</v>
      </c>
      <c r="W21" s="73">
        <f t="shared" si="9"/>
        <v>27100.84746</v>
      </c>
      <c r="X21" s="74">
        <f t="shared" si="10"/>
        <v>1</v>
      </c>
      <c r="Y21" s="73">
        <f t="shared" si="11"/>
        <v>0</v>
      </c>
      <c r="Z21" s="73">
        <f t="shared" si="12"/>
        <v>29744.91525</v>
      </c>
      <c r="AA21" s="73">
        <f t="shared" si="13"/>
        <v>29744.91525</v>
      </c>
      <c r="AB21" s="74">
        <f t="shared" si="14"/>
        <v>1</v>
      </c>
      <c r="AC21" s="61" t="str">
        <f t="shared" si="15"/>
        <v>0</v>
      </c>
      <c r="AD21" s="71" t="str">
        <f t="shared" si="16"/>
        <v>#DIV/0!</v>
      </c>
      <c r="AE21" s="61"/>
      <c r="AF21" s="61"/>
      <c r="AG21" s="71">
        <f t="array" ref="AG21">IFERROR(xlookup(G21,'Old Master'!T:T,'Old Master'!V:V),N21)</f>
        <v>0.1000025642</v>
      </c>
      <c r="AH21" s="73">
        <f t="shared" si="17"/>
        <v>35099</v>
      </c>
      <c r="AI21" s="73">
        <f t="shared" si="18"/>
        <v>29744.91525</v>
      </c>
      <c r="AJ21" s="72">
        <f t="shared" si="19"/>
        <v>1</v>
      </c>
      <c r="AK21" s="61"/>
      <c r="AL21" s="71">
        <f t="array" ref="AL21">iferror(if(isblank(xlookup($G21,'Old Master'!$T:$T,'Old Master'!$W:$W)),AG21,xlookup($G21,'Old Master'!$T:$T,'Old Master'!$W:$W)),AG21)</f>
        <v>0.1000025642</v>
      </c>
      <c r="AM21" s="74">
        <f t="shared" si="20"/>
        <v>0.1000025642</v>
      </c>
      <c r="AN21" s="73">
        <f t="shared" si="40"/>
        <v>35099</v>
      </c>
    </row>
    <row r="22">
      <c r="A22" s="65" t="s">
        <v>569</v>
      </c>
      <c r="B22" s="65">
        <f t="shared" si="1"/>
        <v>72</v>
      </c>
      <c r="C22" s="65" t="str">
        <f t="shared" si="2"/>
        <v>SC-ORIG-K-72x74x6</v>
      </c>
      <c r="D22" s="65" t="s">
        <v>571</v>
      </c>
      <c r="E22" s="65" t="s">
        <v>572</v>
      </c>
      <c r="F22" s="65" t="s">
        <v>573</v>
      </c>
      <c r="G22" s="65" t="s">
        <v>51</v>
      </c>
      <c r="H22" s="65" t="s">
        <v>52</v>
      </c>
      <c r="I22" s="65">
        <v>17999.0</v>
      </c>
      <c r="J22" s="66">
        <v>0.28</v>
      </c>
      <c r="K22" s="65">
        <f t="shared" si="3"/>
        <v>12959</v>
      </c>
      <c r="L22" s="66">
        <v>0.24</v>
      </c>
      <c r="M22" s="65">
        <f t="shared" si="4"/>
        <v>13679</v>
      </c>
      <c r="N22" s="67">
        <f t="shared" si="41"/>
        <v>0.1900105561</v>
      </c>
      <c r="O22" s="68">
        <v>14579.0</v>
      </c>
      <c r="P22" s="67">
        <f t="shared" si="42"/>
        <v>0.1900105561</v>
      </c>
      <c r="Q22" s="69">
        <v>14579.0</v>
      </c>
      <c r="R22" s="76"/>
      <c r="S22" s="72">
        <f t="shared" si="37"/>
        <v>0.06579428321</v>
      </c>
      <c r="T22" s="72">
        <f t="shared" si="6"/>
        <v>0</v>
      </c>
      <c r="U22" s="73" t="str">
        <f t="shared" si="7"/>
        <v/>
      </c>
      <c r="V22" s="73">
        <f t="shared" si="33"/>
        <v>11592.37288</v>
      </c>
      <c r="W22" s="73">
        <f t="shared" si="9"/>
        <v>11592.37288</v>
      </c>
      <c r="X22" s="74">
        <f t="shared" si="10"/>
        <v>1</v>
      </c>
      <c r="Y22" s="73">
        <f t="shared" si="11"/>
        <v>0</v>
      </c>
      <c r="Z22" s="73">
        <f t="shared" si="12"/>
        <v>12355.08475</v>
      </c>
      <c r="AA22" s="73">
        <f t="shared" si="13"/>
        <v>12355.08475</v>
      </c>
      <c r="AB22" s="74">
        <f t="shared" si="14"/>
        <v>1</v>
      </c>
      <c r="AC22" s="61" t="str">
        <f t="shared" si="15"/>
        <v>6</v>
      </c>
      <c r="AD22" s="71" t="str">
        <f t="shared" si="16"/>
        <v>#DIV/0!</v>
      </c>
      <c r="AE22" s="61"/>
      <c r="AF22" s="61"/>
      <c r="AG22" s="71">
        <f t="array" ref="AG22">IFERROR(xlookup(G22,'Old Master'!T:T,'Old Master'!V:V),N22)</f>
        <v>0.1900105561</v>
      </c>
      <c r="AH22" s="73">
        <f t="shared" si="17"/>
        <v>14579</v>
      </c>
      <c r="AI22" s="73">
        <f t="shared" si="18"/>
        <v>12355.08475</v>
      </c>
      <c r="AJ22" s="72">
        <f t="shared" si="19"/>
        <v>1</v>
      </c>
      <c r="AK22" s="61"/>
      <c r="AL22" s="71">
        <f t="array" ref="AL22">iferror(if(isblank(xlookup($G22,'Old Master'!$T:$T,'Old Master'!$W:$W)),AG22,xlookup($G22,'Old Master'!$T:$T,'Old Master'!$W:$W)),AG22)</f>
        <v>0.1900105561</v>
      </c>
      <c r="AM22" s="74">
        <f t="shared" si="20"/>
        <v>0.1888993833</v>
      </c>
      <c r="AN22" s="73">
        <f t="shared" si="40"/>
        <v>14599</v>
      </c>
    </row>
    <row r="23">
      <c r="A23" s="65" t="s">
        <v>379</v>
      </c>
      <c r="B23" s="65">
        <f t="shared" si="1"/>
        <v>60</v>
      </c>
      <c r="C23" s="65" t="str">
        <f t="shared" si="2"/>
        <v>SC-ORIG-Q-72x62x8</v>
      </c>
      <c r="D23" s="65" t="s">
        <v>381</v>
      </c>
      <c r="E23" s="65" t="s">
        <v>383</v>
      </c>
      <c r="F23" s="65" t="s">
        <v>384</v>
      </c>
      <c r="G23" s="65" t="s">
        <v>51</v>
      </c>
      <c r="H23" s="65" t="s">
        <v>52</v>
      </c>
      <c r="I23" s="65">
        <v>17499.0</v>
      </c>
      <c r="J23" s="66">
        <v>0.28</v>
      </c>
      <c r="K23" s="65">
        <f t="shared" si="3"/>
        <v>12599</v>
      </c>
      <c r="L23" s="66">
        <v>0.24</v>
      </c>
      <c r="M23" s="65">
        <f t="shared" si="4"/>
        <v>13299</v>
      </c>
      <c r="N23" s="67">
        <f t="shared" si="41"/>
        <v>0.1900108578</v>
      </c>
      <c r="O23" s="68">
        <v>14174.0</v>
      </c>
      <c r="P23" s="67">
        <f t="shared" si="42"/>
        <v>0.1900108578</v>
      </c>
      <c r="Q23" s="69">
        <v>14174.0</v>
      </c>
      <c r="R23" s="76"/>
      <c r="S23" s="72">
        <f t="shared" si="37"/>
        <v>0.06579442063</v>
      </c>
      <c r="T23" s="72">
        <f t="shared" si="6"/>
        <v>0</v>
      </c>
      <c r="U23" s="73" t="str">
        <f t="shared" si="7"/>
        <v/>
      </c>
      <c r="V23" s="73">
        <f t="shared" si="33"/>
        <v>11270.33898</v>
      </c>
      <c r="W23" s="73">
        <f t="shared" si="9"/>
        <v>11270.33898</v>
      </c>
      <c r="X23" s="74">
        <f t="shared" si="10"/>
        <v>1</v>
      </c>
      <c r="Y23" s="73">
        <f t="shared" si="11"/>
        <v>0</v>
      </c>
      <c r="Z23" s="73">
        <f t="shared" si="12"/>
        <v>12011.86441</v>
      </c>
      <c r="AA23" s="73">
        <f t="shared" si="13"/>
        <v>12011.86441</v>
      </c>
      <c r="AB23" s="74">
        <f t="shared" si="14"/>
        <v>1</v>
      </c>
      <c r="AC23" s="61" t="str">
        <f t="shared" si="15"/>
        <v>8</v>
      </c>
      <c r="AD23" s="71" t="str">
        <f t="shared" si="16"/>
        <v>#DIV/0!</v>
      </c>
      <c r="AE23" s="61"/>
      <c r="AF23" s="61"/>
      <c r="AG23" s="71">
        <f t="array" ref="AG23">IFERROR(xlookup(G23,'Old Master'!T:T,'Old Master'!V:V),N23)</f>
        <v>0.1900108578</v>
      </c>
      <c r="AH23" s="73">
        <f t="shared" si="17"/>
        <v>14174</v>
      </c>
      <c r="AI23" s="73">
        <f t="shared" si="18"/>
        <v>12011.86441</v>
      </c>
      <c r="AJ23" s="72">
        <f t="shared" si="19"/>
        <v>1</v>
      </c>
      <c r="AK23" s="61"/>
      <c r="AL23" s="71">
        <f t="array" ref="AL23">iferror(if(isblank(xlookup($G23,'Old Master'!$T:$T,'Old Master'!$W:$W)),AG23,xlookup($G23,'Old Master'!$T:$T,'Old Master'!$W:$W)),AG23)</f>
        <v>0.1900108578</v>
      </c>
      <c r="AM23" s="74">
        <f t="shared" si="20"/>
        <v>0.1885822047</v>
      </c>
      <c r="AN23" s="73">
        <f t="shared" si="40"/>
        <v>14199</v>
      </c>
    </row>
    <row r="24">
      <c r="A24" s="65" t="s">
        <v>910</v>
      </c>
      <c r="B24" s="65">
        <f t="shared" si="1"/>
        <v>60</v>
      </c>
      <c r="C24" s="65" t="str">
        <f t="shared" si="2"/>
        <v>SC-HYB-LATEX-Q-72x62x6</v>
      </c>
      <c r="D24" s="65" t="s">
        <v>912</v>
      </c>
      <c r="E24" s="65" t="s">
        <v>913</v>
      </c>
      <c r="F24" s="65" t="s">
        <v>914</v>
      </c>
      <c r="G24" s="65" t="s">
        <v>5108</v>
      </c>
      <c r="H24" s="65" t="s">
        <v>52</v>
      </c>
      <c r="I24" s="65">
        <v>16999.0</v>
      </c>
      <c r="J24" s="66">
        <v>0.25</v>
      </c>
      <c r="K24" s="65">
        <f t="shared" si="3"/>
        <v>12749</v>
      </c>
      <c r="L24" s="66">
        <v>0.2</v>
      </c>
      <c r="M24" s="65">
        <f t="shared" si="4"/>
        <v>13599</v>
      </c>
      <c r="N24" s="75">
        <v>0.16</v>
      </c>
      <c r="O24" s="68">
        <f>I24*(1-N24)</f>
        <v>14279.16</v>
      </c>
      <c r="P24" s="75">
        <v>0.13</v>
      </c>
      <c r="Q24" s="68">
        <f>I24*(1-P24)</f>
        <v>14789.13</v>
      </c>
      <c r="R24" s="71">
        <f>Q24/M24-1</f>
        <v>0.08751599382</v>
      </c>
      <c r="S24" s="71">
        <f t="shared" si="37"/>
        <v>0.05001544231</v>
      </c>
      <c r="T24" s="72">
        <f t="shared" si="6"/>
        <v>0</v>
      </c>
      <c r="U24" s="73" t="str">
        <f t="shared" si="7"/>
        <v/>
      </c>
      <c r="V24" s="73">
        <f t="shared" si="33"/>
        <v>11524.57627</v>
      </c>
      <c r="W24" s="73">
        <f t="shared" si="9"/>
        <v>11524.57627</v>
      </c>
      <c r="X24" s="74">
        <f t="shared" si="10"/>
        <v>1</v>
      </c>
      <c r="Y24" s="73">
        <f t="shared" si="11"/>
        <v>0</v>
      </c>
      <c r="Z24" s="73">
        <f t="shared" si="12"/>
        <v>12100.98305</v>
      </c>
      <c r="AA24" s="73">
        <f t="shared" si="13"/>
        <v>12100.98305</v>
      </c>
      <c r="AB24" s="74">
        <f t="shared" si="14"/>
        <v>1</v>
      </c>
      <c r="AC24" s="61" t="str">
        <f t="shared" si="15"/>
        <v>6</v>
      </c>
      <c r="AD24" s="71" t="str">
        <f t="shared" si="16"/>
        <v>#DIV/0!</v>
      </c>
      <c r="AE24" s="73">
        <f>Q24/118%-Y24</f>
        <v>12533.16102</v>
      </c>
      <c r="AF24" s="74">
        <f>AE24/(Q24/1.18)</f>
        <v>1</v>
      </c>
      <c r="AG24" s="71">
        <f t="array" ref="AG24">IFERROR(xlookup(G24,'Old Master'!T:T,'Old Master'!V:V),N24)</f>
        <v>0.16</v>
      </c>
      <c r="AH24" s="73">
        <f t="shared" si="17"/>
        <v>14279.16</v>
      </c>
      <c r="AI24" s="73">
        <f t="shared" si="18"/>
        <v>12100.98305</v>
      </c>
      <c r="AJ24" s="72">
        <f t="shared" si="19"/>
        <v>1</v>
      </c>
      <c r="AK24" s="61"/>
      <c r="AL24" s="71">
        <f t="array" ref="AL24">iferror(if(isblank(xlookup($G24,'Old Master'!$T:$T,'Old Master'!$W:$W)),AG24,xlookup($G24,'Old Master'!$T:$T,'Old Master'!$W:$W)),AG24)</f>
        <v>0.16</v>
      </c>
      <c r="AM24" s="74">
        <f t="shared" si="20"/>
        <v>0.1588328725</v>
      </c>
      <c r="AN24" s="73">
        <f t="shared" si="40"/>
        <v>14299</v>
      </c>
    </row>
    <row r="25">
      <c r="A25" s="65" t="s">
        <v>348</v>
      </c>
      <c r="B25" s="65">
        <f t="shared" si="1"/>
        <v>60</v>
      </c>
      <c r="C25" s="65" t="str">
        <f t="shared" si="2"/>
        <v>SC-ORIG-Q-78x62x6</v>
      </c>
      <c r="D25" s="65" t="s">
        <v>350</v>
      </c>
      <c r="E25" s="65" t="s">
        <v>351</v>
      </c>
      <c r="F25" s="65" t="s">
        <v>352</v>
      </c>
      <c r="G25" s="65" t="s">
        <v>51</v>
      </c>
      <c r="H25" s="65" t="s">
        <v>52</v>
      </c>
      <c r="I25" s="65">
        <v>16199.0</v>
      </c>
      <c r="J25" s="66">
        <v>0.28</v>
      </c>
      <c r="K25" s="65">
        <f t="shared" si="3"/>
        <v>11663</v>
      </c>
      <c r="L25" s="66">
        <v>0.24</v>
      </c>
      <c r="M25" s="65">
        <f t="shared" si="4"/>
        <v>12311</v>
      </c>
      <c r="N25" s="67">
        <f t="shared" ref="N25:N28" si="43">1-O25/I25</f>
        <v>0.1900117291</v>
      </c>
      <c r="O25" s="68">
        <v>13121.0</v>
      </c>
      <c r="P25" s="67">
        <f>1-Q25/I25</f>
        <v>0.1900117291</v>
      </c>
      <c r="Q25" s="69">
        <v>13121.0</v>
      </c>
      <c r="R25" s="76"/>
      <c r="S25" s="72">
        <f t="shared" si="37"/>
        <v>0.06579481764</v>
      </c>
      <c r="T25" s="72">
        <f t="shared" si="6"/>
        <v>0</v>
      </c>
      <c r="U25" s="73" t="str">
        <f t="shared" si="7"/>
        <v/>
      </c>
      <c r="V25" s="73">
        <f t="shared" si="33"/>
        <v>10433.05085</v>
      </c>
      <c r="W25" s="73">
        <f t="shared" si="9"/>
        <v>10433.05085</v>
      </c>
      <c r="X25" s="74">
        <f t="shared" si="10"/>
        <v>1</v>
      </c>
      <c r="Y25" s="73">
        <f t="shared" si="11"/>
        <v>0</v>
      </c>
      <c r="Z25" s="73">
        <f t="shared" si="12"/>
        <v>11119.49153</v>
      </c>
      <c r="AA25" s="73">
        <f t="shared" si="13"/>
        <v>11119.49153</v>
      </c>
      <c r="AB25" s="74">
        <f t="shared" si="14"/>
        <v>1</v>
      </c>
      <c r="AC25" s="61" t="str">
        <f t="shared" si="15"/>
        <v>6</v>
      </c>
      <c r="AD25" s="71" t="str">
        <f t="shared" si="16"/>
        <v>#DIV/0!</v>
      </c>
      <c r="AE25" s="61"/>
      <c r="AF25" s="61"/>
      <c r="AG25" s="71">
        <f t="array" ref="AG25">IFERROR(xlookup(G25,'Old Master'!T:T,'Old Master'!V:V),N25)</f>
        <v>0.1900117291</v>
      </c>
      <c r="AH25" s="73">
        <f t="shared" si="17"/>
        <v>13121</v>
      </c>
      <c r="AI25" s="73">
        <f t="shared" si="18"/>
        <v>11119.49153</v>
      </c>
      <c r="AJ25" s="72">
        <f t="shared" si="19"/>
        <v>1</v>
      </c>
      <c r="AK25" s="61"/>
      <c r="AL25" s="71">
        <f t="array" ref="AL25">iferror(if(isblank(xlookup($G25,'Old Master'!$T:$T,'Old Master'!$W:$W)),AG25,xlookup($G25,'Old Master'!$T:$T,'Old Master'!$W:$W)),AG25)</f>
        <v>0.1900117291</v>
      </c>
      <c r="AM25" s="74">
        <f t="shared" si="20"/>
        <v>0.1913698376</v>
      </c>
      <c r="AN25" s="73">
        <f t="shared" si="40"/>
        <v>13099</v>
      </c>
    </row>
    <row r="26">
      <c r="A26" s="65" t="s">
        <v>5320</v>
      </c>
      <c r="B26" s="65">
        <f t="shared" si="1"/>
        <v>72</v>
      </c>
      <c r="C26" s="65" t="str">
        <f t="shared" si="2"/>
        <v>SC-LTx-ORTHO-K-78x74x8</v>
      </c>
      <c r="D26" s="65" t="s">
        <v>4237</v>
      </c>
      <c r="E26" s="65">
        <v>0.0</v>
      </c>
      <c r="F26" s="65" t="s">
        <v>4238</v>
      </c>
      <c r="G26" s="65" t="s">
        <v>5118</v>
      </c>
      <c r="H26" s="65" t="s">
        <v>52</v>
      </c>
      <c r="I26" s="81">
        <v>27599.0</v>
      </c>
      <c r="J26" s="66">
        <v>0.23</v>
      </c>
      <c r="K26" s="81">
        <f t="shared" si="3"/>
        <v>21251</v>
      </c>
      <c r="L26" s="66">
        <v>0.2</v>
      </c>
      <c r="M26" s="81">
        <f t="shared" si="4"/>
        <v>22079</v>
      </c>
      <c r="N26" s="67">
        <f t="shared" si="43"/>
        <v>0.3250081525</v>
      </c>
      <c r="O26" s="68">
        <v>18629.100000000002</v>
      </c>
      <c r="P26" s="75">
        <v>0.1</v>
      </c>
      <c r="Q26" s="68">
        <f>I26*(1-P26)</f>
        <v>24839.1</v>
      </c>
      <c r="R26" s="70"/>
      <c r="S26" s="71">
        <f t="shared" si="37"/>
        <v>-0.1562525477</v>
      </c>
      <c r="T26" s="72">
        <f t="shared" si="6"/>
        <v>0</v>
      </c>
      <c r="U26" s="73" t="str">
        <f t="shared" si="7"/>
        <v/>
      </c>
      <c r="V26" s="73">
        <f t="shared" si="33"/>
        <v>18711.01695</v>
      </c>
      <c r="W26" s="73">
        <f t="shared" si="9"/>
        <v>18711.01695</v>
      </c>
      <c r="X26" s="74">
        <f t="shared" si="10"/>
        <v>1</v>
      </c>
      <c r="Y26" s="73">
        <f t="shared" si="11"/>
        <v>0</v>
      </c>
      <c r="Z26" s="73">
        <f t="shared" si="12"/>
        <v>15787.37288</v>
      </c>
      <c r="AA26" s="73">
        <f t="shared" si="13"/>
        <v>15787.37288</v>
      </c>
      <c r="AB26" s="74">
        <f t="shared" si="14"/>
        <v>1</v>
      </c>
      <c r="AC26" s="61" t="str">
        <f t="shared" si="15"/>
        <v>8</v>
      </c>
      <c r="AD26" s="71" t="str">
        <f t="shared" si="16"/>
        <v>#DIV/0!</v>
      </c>
      <c r="AE26" s="61"/>
      <c r="AF26" s="61"/>
      <c r="AG26" s="71">
        <f t="array" ref="AG26">IFERROR(xlookup(G26,'Old Master'!T:T,'Old Master'!V:V),N26)</f>
        <v>0.3250081525</v>
      </c>
      <c r="AH26" s="73">
        <f t="shared" si="17"/>
        <v>18629.1</v>
      </c>
      <c r="AI26" s="73">
        <f t="shared" si="18"/>
        <v>15787.37288</v>
      </c>
      <c r="AJ26" s="72">
        <f t="shared" si="19"/>
        <v>1</v>
      </c>
      <c r="AK26" s="61"/>
      <c r="AL26" s="71">
        <f t="array" ref="AL26">iferror(if(isblank(xlookup($G26,'Old Master'!$T:$T,'Old Master'!$W:$W)),AG26,xlookup($G26,'Old Master'!$T:$T,'Old Master'!$W:$W)),AG26)</f>
        <v>0.3250081525</v>
      </c>
      <c r="AM26" s="74">
        <f t="shared" si="20"/>
        <v>0.3260987717</v>
      </c>
      <c r="AN26" s="73">
        <f t="shared" si="40"/>
        <v>18599</v>
      </c>
    </row>
    <row r="27">
      <c r="A27" s="65" t="s">
        <v>1789</v>
      </c>
      <c r="B27" s="65">
        <f t="shared" si="1"/>
        <v>60</v>
      </c>
      <c r="C27" s="65" t="str">
        <f t="shared" si="2"/>
        <v>SC-ULTM-LATEX-Q-75x62x8</v>
      </c>
      <c r="D27" s="65" t="s">
        <v>1791</v>
      </c>
      <c r="E27" s="65" t="s">
        <v>1792</v>
      </c>
      <c r="F27" s="65" t="s">
        <v>1793</v>
      </c>
      <c r="G27" s="65" t="s">
        <v>5109</v>
      </c>
      <c r="H27" s="65" t="s">
        <v>52</v>
      </c>
      <c r="I27" s="65">
        <v>31999.0</v>
      </c>
      <c r="J27" s="66">
        <v>0.23</v>
      </c>
      <c r="K27" s="65">
        <f t="shared" si="3"/>
        <v>24639</v>
      </c>
      <c r="L27" s="66">
        <v>0.18</v>
      </c>
      <c r="M27" s="65">
        <f t="shared" si="4"/>
        <v>26239</v>
      </c>
      <c r="N27" s="67">
        <f t="shared" si="43"/>
        <v>0.1000031251</v>
      </c>
      <c r="O27" s="68">
        <v>28799.0</v>
      </c>
      <c r="P27" s="67">
        <f t="shared" ref="P27:P28" si="44">1-Q27/I27</f>
        <v>0.1000031251</v>
      </c>
      <c r="Q27" s="69">
        <v>28799.0</v>
      </c>
      <c r="R27" s="70"/>
      <c r="S27" s="71">
        <f t="shared" si="37"/>
        <v>0.09756469378</v>
      </c>
      <c r="T27" s="72">
        <f t="shared" si="6"/>
        <v>0</v>
      </c>
      <c r="U27" s="73" t="str">
        <f t="shared" si="7"/>
        <v/>
      </c>
      <c r="V27" s="73">
        <f t="shared" si="33"/>
        <v>22236.44068</v>
      </c>
      <c r="W27" s="73">
        <f t="shared" si="9"/>
        <v>22236.44068</v>
      </c>
      <c r="X27" s="74">
        <f t="shared" si="10"/>
        <v>1</v>
      </c>
      <c r="Y27" s="73">
        <f t="shared" si="11"/>
        <v>0</v>
      </c>
      <c r="Z27" s="73">
        <f t="shared" si="12"/>
        <v>24405.9322</v>
      </c>
      <c r="AA27" s="73">
        <f t="shared" si="13"/>
        <v>24405.9322</v>
      </c>
      <c r="AB27" s="74">
        <f t="shared" si="14"/>
        <v>1</v>
      </c>
      <c r="AC27" s="61" t="str">
        <f t="shared" si="15"/>
        <v>8</v>
      </c>
      <c r="AD27" s="71" t="str">
        <f t="shared" si="16"/>
        <v>#DIV/0!</v>
      </c>
      <c r="AE27" s="61"/>
      <c r="AF27" s="61"/>
      <c r="AG27" s="71">
        <f t="array" ref="AG27">IFERROR(xlookup(G27,'Old Master'!T:T,'Old Master'!V:V),N27)</f>
        <v>0.1000031251</v>
      </c>
      <c r="AH27" s="73">
        <f t="shared" si="17"/>
        <v>28799</v>
      </c>
      <c r="AI27" s="73">
        <f t="shared" si="18"/>
        <v>24405.9322</v>
      </c>
      <c r="AJ27" s="72">
        <f t="shared" si="19"/>
        <v>1</v>
      </c>
      <c r="AK27" s="61"/>
      <c r="AL27" s="71">
        <f t="array" ref="AL27">iferror(if(isblank(xlookup($G27,'Old Master'!$T:$T,'Old Master'!$W:$W)),AG27,xlookup($G27,'Old Master'!$T:$T,'Old Master'!$W:$W)),AG27)</f>
        <v>0.1000031251</v>
      </c>
      <c r="AM27" s="74">
        <f t="shared" si="20"/>
        <v>0.1000031251</v>
      </c>
      <c r="AN27" s="73">
        <f t="shared" si="40"/>
        <v>28799</v>
      </c>
    </row>
    <row r="28">
      <c r="A28" s="65" t="s">
        <v>2125</v>
      </c>
      <c r="B28" s="65">
        <f t="shared" si="1"/>
        <v>72</v>
      </c>
      <c r="C28" s="65" t="str">
        <f t="shared" si="2"/>
        <v>SC-CLD-SPR-K-78x74x8</v>
      </c>
      <c r="D28" s="65" t="s">
        <v>2127</v>
      </c>
      <c r="E28" s="65" t="s">
        <v>2128</v>
      </c>
      <c r="F28" s="65" t="s">
        <v>2129</v>
      </c>
      <c r="G28" s="65" t="s">
        <v>5138</v>
      </c>
      <c r="H28" s="65" t="s">
        <v>52</v>
      </c>
      <c r="I28" s="65">
        <v>29999.0</v>
      </c>
      <c r="J28" s="66">
        <v>0.25</v>
      </c>
      <c r="K28" s="65">
        <f t="shared" si="3"/>
        <v>22499</v>
      </c>
      <c r="L28" s="66">
        <v>0.2</v>
      </c>
      <c r="M28" s="65">
        <f t="shared" si="4"/>
        <v>23999</v>
      </c>
      <c r="N28" s="67">
        <f t="shared" si="43"/>
        <v>0.1000033334</v>
      </c>
      <c r="O28" s="68">
        <v>26999.0</v>
      </c>
      <c r="P28" s="67">
        <f t="shared" si="44"/>
        <v>0.1000033334</v>
      </c>
      <c r="Q28" s="69">
        <v>26999.0</v>
      </c>
      <c r="R28" s="70"/>
      <c r="S28" s="71">
        <f t="shared" si="37"/>
        <v>0.1250052086</v>
      </c>
      <c r="T28" s="72">
        <f t="shared" si="6"/>
        <v>0</v>
      </c>
      <c r="U28" s="73" t="str">
        <f t="shared" si="7"/>
        <v/>
      </c>
      <c r="V28" s="73">
        <f t="shared" si="33"/>
        <v>20338.13559</v>
      </c>
      <c r="W28" s="73">
        <f t="shared" si="9"/>
        <v>20338.13559</v>
      </c>
      <c r="X28" s="74">
        <f t="shared" si="10"/>
        <v>1</v>
      </c>
      <c r="Y28" s="73">
        <f t="shared" si="11"/>
        <v>0</v>
      </c>
      <c r="Z28" s="73">
        <f t="shared" si="12"/>
        <v>22880.50847</v>
      </c>
      <c r="AA28" s="73">
        <f t="shared" si="13"/>
        <v>22880.50847</v>
      </c>
      <c r="AB28" s="74">
        <f t="shared" si="14"/>
        <v>1</v>
      </c>
      <c r="AC28" s="61" t="str">
        <f t="shared" si="15"/>
        <v>8</v>
      </c>
      <c r="AD28" s="71" t="str">
        <f t="shared" si="16"/>
        <v>#DIV/0!</v>
      </c>
      <c r="AE28" s="61"/>
      <c r="AF28" s="61"/>
      <c r="AG28" s="71">
        <f t="array" ref="AG28">IFERROR(xlookup(G28,'Old Master'!T:T,'Old Master'!V:V),N28)</f>
        <v>0.1000033334</v>
      </c>
      <c r="AH28" s="73">
        <f t="shared" si="17"/>
        <v>26999</v>
      </c>
      <c r="AI28" s="73">
        <f t="shared" si="18"/>
        <v>22880.50847</v>
      </c>
      <c r="AJ28" s="72">
        <f t="shared" si="19"/>
        <v>1</v>
      </c>
      <c r="AK28" s="61"/>
      <c r="AL28" s="71">
        <f t="array" ref="AL28">iferror(if(isblank(xlookup($G28,'Old Master'!$T:$T,'Old Master'!$W:$W)),AG28,xlookup($G28,'Old Master'!$T:$T,'Old Master'!$W:$W)),AG28)</f>
        <v>0.1000033334</v>
      </c>
      <c r="AM28" s="74">
        <f t="shared" si="20"/>
        <v>0.1000033334</v>
      </c>
      <c r="AN28" s="73">
        <f t="shared" si="40"/>
        <v>26999</v>
      </c>
    </row>
    <row r="29">
      <c r="A29" s="65" t="s">
        <v>925</v>
      </c>
      <c r="B29" s="65">
        <f t="shared" si="1"/>
        <v>60</v>
      </c>
      <c r="C29" s="65" t="str">
        <f t="shared" si="2"/>
        <v>SC-HYB-LATEX-Q-78x62x6</v>
      </c>
      <c r="D29" s="65" t="s">
        <v>927</v>
      </c>
      <c r="E29" s="65">
        <v>0.0</v>
      </c>
      <c r="F29" s="65" t="s">
        <v>929</v>
      </c>
      <c r="G29" s="65" t="s">
        <v>5108</v>
      </c>
      <c r="H29" s="65" t="s">
        <v>52</v>
      </c>
      <c r="I29" s="65">
        <v>17799.0</v>
      </c>
      <c r="J29" s="66">
        <v>0.25</v>
      </c>
      <c r="K29" s="65">
        <f t="shared" si="3"/>
        <v>13349</v>
      </c>
      <c r="L29" s="66">
        <v>0.2</v>
      </c>
      <c r="M29" s="65">
        <f t="shared" si="4"/>
        <v>14239</v>
      </c>
      <c r="N29" s="75">
        <v>0.16</v>
      </c>
      <c r="O29" s="68">
        <f>I29*(1-N29)</f>
        <v>14951.16</v>
      </c>
      <c r="P29" s="75">
        <v>0.13</v>
      </c>
      <c r="Q29" s="68">
        <f>I29*(1-P29)</f>
        <v>15485.13</v>
      </c>
      <c r="R29" s="71">
        <f>Q29/M29-1</f>
        <v>0.08751527495</v>
      </c>
      <c r="S29" s="71">
        <f t="shared" si="37"/>
        <v>0.05001474823</v>
      </c>
      <c r="T29" s="72">
        <f t="shared" si="6"/>
        <v>0</v>
      </c>
      <c r="U29" s="73" t="str">
        <f t="shared" si="7"/>
        <v/>
      </c>
      <c r="V29" s="73">
        <f t="shared" si="33"/>
        <v>12066.94915</v>
      </c>
      <c r="W29" s="73">
        <f t="shared" si="9"/>
        <v>12066.94915</v>
      </c>
      <c r="X29" s="74">
        <f t="shared" si="10"/>
        <v>1</v>
      </c>
      <c r="Y29" s="73">
        <f t="shared" si="11"/>
        <v>0</v>
      </c>
      <c r="Z29" s="73">
        <f t="shared" si="12"/>
        <v>12670.47458</v>
      </c>
      <c r="AA29" s="73">
        <f t="shared" si="13"/>
        <v>12670.47458</v>
      </c>
      <c r="AB29" s="74">
        <f t="shared" si="14"/>
        <v>1</v>
      </c>
      <c r="AC29" s="61" t="str">
        <f t="shared" si="15"/>
        <v>6</v>
      </c>
      <c r="AD29" s="71" t="str">
        <f t="shared" si="16"/>
        <v>#DIV/0!</v>
      </c>
      <c r="AE29" s="73">
        <f>Q29/118%-Y29</f>
        <v>13122.99153</v>
      </c>
      <c r="AF29" s="74">
        <f>AE29/(Q29/1.18)</f>
        <v>1</v>
      </c>
      <c r="AG29" s="71">
        <f t="array" ref="AG29">IFERROR(xlookup(G29,'Old Master'!T:T,'Old Master'!V:V),N29)</f>
        <v>0.16</v>
      </c>
      <c r="AH29" s="73">
        <f t="shared" si="17"/>
        <v>14951.16</v>
      </c>
      <c r="AI29" s="73">
        <f t="shared" si="18"/>
        <v>12670.47458</v>
      </c>
      <c r="AJ29" s="72">
        <f t="shared" si="19"/>
        <v>1</v>
      </c>
      <c r="AK29" s="61"/>
      <c r="AL29" s="71">
        <f t="array" ref="AL29">iferror(if(isblank(xlookup($G29,'Old Master'!$T:$T,'Old Master'!$W:$W)),AG29,xlookup($G29,'Old Master'!$T:$T,'Old Master'!$W:$W)),AG29)</f>
        <v>0.16</v>
      </c>
      <c r="AM29" s="74">
        <f t="shared" si="20"/>
        <v>0.1573122086</v>
      </c>
      <c r="AN29" s="73">
        <f t="shared" si="40"/>
        <v>14999</v>
      </c>
    </row>
    <row r="30">
      <c r="A30" s="65" t="s">
        <v>1867</v>
      </c>
      <c r="B30" s="65">
        <f t="shared" si="1"/>
        <v>72</v>
      </c>
      <c r="C30" s="65" t="str">
        <f t="shared" si="2"/>
        <v>SC-ULTM-LATEX-K-75x74x8</v>
      </c>
      <c r="D30" s="65" t="s">
        <v>1869</v>
      </c>
      <c r="E30" s="65" t="s">
        <v>1870</v>
      </c>
      <c r="F30" s="65" t="s">
        <v>1871</v>
      </c>
      <c r="G30" s="65" t="s">
        <v>5109</v>
      </c>
      <c r="H30" s="65" t="s">
        <v>52</v>
      </c>
      <c r="I30" s="65">
        <v>34999.0</v>
      </c>
      <c r="J30" s="66">
        <v>0.23</v>
      </c>
      <c r="K30" s="65">
        <f t="shared" si="3"/>
        <v>26949</v>
      </c>
      <c r="L30" s="66">
        <v>0.18</v>
      </c>
      <c r="M30" s="65">
        <f t="shared" si="4"/>
        <v>28699</v>
      </c>
      <c r="N30" s="67">
        <f t="shared" ref="N30:N31" si="45">1-O30/I30</f>
        <v>0.1000028572</v>
      </c>
      <c r="O30" s="68">
        <v>31499.0</v>
      </c>
      <c r="P30" s="67">
        <f t="shared" ref="P30:P31" si="46">1-Q30/I30</f>
        <v>0.1000028572</v>
      </c>
      <c r="Q30" s="69">
        <v>31499.0</v>
      </c>
      <c r="R30" s="70"/>
      <c r="S30" s="71">
        <f t="shared" si="37"/>
        <v>0.09756437507</v>
      </c>
      <c r="T30" s="72">
        <f t="shared" si="6"/>
        <v>0</v>
      </c>
      <c r="U30" s="73" t="str">
        <f t="shared" si="7"/>
        <v/>
      </c>
      <c r="V30" s="73">
        <f t="shared" si="33"/>
        <v>24321.18644</v>
      </c>
      <c r="W30" s="73">
        <f t="shared" si="9"/>
        <v>24321.18644</v>
      </c>
      <c r="X30" s="74">
        <f t="shared" si="10"/>
        <v>1</v>
      </c>
      <c r="Y30" s="73">
        <f t="shared" si="11"/>
        <v>0</v>
      </c>
      <c r="Z30" s="73">
        <f t="shared" si="12"/>
        <v>26694.0678</v>
      </c>
      <c r="AA30" s="73">
        <f t="shared" si="13"/>
        <v>26694.0678</v>
      </c>
      <c r="AB30" s="74">
        <f t="shared" si="14"/>
        <v>1</v>
      </c>
      <c r="AC30" s="61" t="str">
        <f t="shared" si="15"/>
        <v>8</v>
      </c>
      <c r="AD30" s="71" t="str">
        <f t="shared" si="16"/>
        <v>#DIV/0!</v>
      </c>
      <c r="AE30" s="61"/>
      <c r="AF30" s="61"/>
      <c r="AG30" s="71">
        <f t="array" ref="AG30">IFERROR(xlookup(G30,'Old Master'!T:T,'Old Master'!V:V),N30)</f>
        <v>0.1000028572</v>
      </c>
      <c r="AH30" s="73">
        <f t="shared" si="17"/>
        <v>31499</v>
      </c>
      <c r="AI30" s="73">
        <f t="shared" si="18"/>
        <v>26694.0678</v>
      </c>
      <c r="AJ30" s="72">
        <f t="shared" si="19"/>
        <v>1</v>
      </c>
      <c r="AK30" s="61"/>
      <c r="AL30" s="71">
        <f t="array" ref="AL30">iferror(if(isblank(xlookup($G30,'Old Master'!$T:$T,'Old Master'!$W:$W)),AG30,xlookup($G30,'Old Master'!$T:$T,'Old Master'!$W:$W)),AG30)</f>
        <v>0.1000028572</v>
      </c>
      <c r="AM30" s="74">
        <f t="shared" si="20"/>
        <v>0.1000028572</v>
      </c>
      <c r="AN30" s="73">
        <f t="shared" si="40"/>
        <v>31499</v>
      </c>
    </row>
    <row r="31">
      <c r="A31" s="65" t="s">
        <v>387</v>
      </c>
      <c r="B31" s="65">
        <f t="shared" si="1"/>
        <v>60</v>
      </c>
      <c r="C31" s="65" t="str">
        <f t="shared" si="2"/>
        <v>SC-ORIG-Q-75x62x8</v>
      </c>
      <c r="D31" s="65" t="s">
        <v>389</v>
      </c>
      <c r="E31" s="65" t="s">
        <v>390</v>
      </c>
      <c r="F31" s="65" t="s">
        <v>391</v>
      </c>
      <c r="G31" s="65" t="s">
        <v>51</v>
      </c>
      <c r="H31" s="65" t="s">
        <v>52</v>
      </c>
      <c r="I31" s="65">
        <v>17999.0</v>
      </c>
      <c r="J31" s="66">
        <v>0.28</v>
      </c>
      <c r="K31" s="65">
        <f t="shared" si="3"/>
        <v>12959</v>
      </c>
      <c r="L31" s="66">
        <v>0.24</v>
      </c>
      <c r="M31" s="65">
        <f t="shared" si="4"/>
        <v>13679</v>
      </c>
      <c r="N31" s="67">
        <f t="shared" si="45"/>
        <v>0.1900105561</v>
      </c>
      <c r="O31" s="68">
        <v>14579.0</v>
      </c>
      <c r="P31" s="67">
        <f t="shared" si="46"/>
        <v>0.1900105561</v>
      </c>
      <c r="Q31" s="69">
        <v>14579.0</v>
      </c>
      <c r="R31" s="76"/>
      <c r="S31" s="72">
        <f t="shared" si="37"/>
        <v>0.06579428321</v>
      </c>
      <c r="T31" s="72">
        <f t="shared" si="6"/>
        <v>0</v>
      </c>
      <c r="U31" s="73" t="str">
        <f t="shared" si="7"/>
        <v/>
      </c>
      <c r="V31" s="73">
        <f t="shared" si="33"/>
        <v>11592.37288</v>
      </c>
      <c r="W31" s="73">
        <f t="shared" si="9"/>
        <v>11592.37288</v>
      </c>
      <c r="X31" s="74">
        <f t="shared" si="10"/>
        <v>1</v>
      </c>
      <c r="Y31" s="73">
        <f t="shared" si="11"/>
        <v>0</v>
      </c>
      <c r="Z31" s="73">
        <f t="shared" si="12"/>
        <v>12355.08475</v>
      </c>
      <c r="AA31" s="73">
        <f t="shared" si="13"/>
        <v>12355.08475</v>
      </c>
      <c r="AB31" s="74">
        <f t="shared" si="14"/>
        <v>1</v>
      </c>
      <c r="AC31" s="61" t="str">
        <f t="shared" si="15"/>
        <v>8</v>
      </c>
      <c r="AD31" s="71" t="str">
        <f t="shared" si="16"/>
        <v>#DIV/0!</v>
      </c>
      <c r="AE31" s="61"/>
      <c r="AF31" s="61"/>
      <c r="AG31" s="71">
        <f t="array" ref="AG31">IFERROR(xlookup(G31,'Old Master'!T:T,'Old Master'!V:V),N31)</f>
        <v>0.1900105561</v>
      </c>
      <c r="AH31" s="73">
        <f t="shared" si="17"/>
        <v>14579</v>
      </c>
      <c r="AI31" s="73">
        <f t="shared" si="18"/>
        <v>12355.08475</v>
      </c>
      <c r="AJ31" s="72">
        <f t="shared" si="19"/>
        <v>1</v>
      </c>
      <c r="AK31" s="61"/>
      <c r="AL31" s="71">
        <f t="array" ref="AL31">iferror(if(isblank(xlookup($G31,'Old Master'!$T:$T,'Old Master'!$W:$W)),AG31,xlookup($G31,'Old Master'!$T:$T,'Old Master'!$W:$W)),AG31)</f>
        <v>0.1900105561</v>
      </c>
      <c r="AM31" s="74">
        <f t="shared" si="20"/>
        <v>0.1888993833</v>
      </c>
      <c r="AN31" s="73">
        <f t="shared" si="40"/>
        <v>14599</v>
      </c>
    </row>
    <row r="32">
      <c r="A32" s="65" t="s">
        <v>917</v>
      </c>
      <c r="B32" s="65">
        <f t="shared" si="1"/>
        <v>60</v>
      </c>
      <c r="C32" s="65" t="str">
        <f t="shared" si="2"/>
        <v>SC-HYB-LATEX-Q-75x62x6</v>
      </c>
      <c r="D32" s="65" t="s">
        <v>919</v>
      </c>
      <c r="E32" s="65" t="s">
        <v>921</v>
      </c>
      <c r="F32" s="65" t="s">
        <v>922</v>
      </c>
      <c r="G32" s="65" t="s">
        <v>5108</v>
      </c>
      <c r="H32" s="65" t="s">
        <v>52</v>
      </c>
      <c r="I32" s="65">
        <v>17299.0</v>
      </c>
      <c r="J32" s="66">
        <v>0.25</v>
      </c>
      <c r="K32" s="65">
        <f t="shared" si="3"/>
        <v>12974</v>
      </c>
      <c r="L32" s="66">
        <v>0.2</v>
      </c>
      <c r="M32" s="65">
        <f t="shared" si="4"/>
        <v>13839</v>
      </c>
      <c r="N32" s="75">
        <v>0.16</v>
      </c>
      <c r="O32" s="68">
        <f>I32*(1-N32)</f>
        <v>14531.16</v>
      </c>
      <c r="P32" s="75">
        <v>0.13</v>
      </c>
      <c r="Q32" s="68">
        <f>I32*(1-P32)</f>
        <v>15050.13</v>
      </c>
      <c r="R32" s="71">
        <f>Q32/M32-1</f>
        <v>0.08751571645</v>
      </c>
      <c r="S32" s="71">
        <f t="shared" si="37"/>
        <v>0.05001517451</v>
      </c>
      <c r="T32" s="72">
        <f t="shared" si="6"/>
        <v>0</v>
      </c>
      <c r="U32" s="73" t="str">
        <f t="shared" si="7"/>
        <v/>
      </c>
      <c r="V32" s="73">
        <f t="shared" si="33"/>
        <v>11727.9661</v>
      </c>
      <c r="W32" s="73">
        <f t="shared" si="9"/>
        <v>11727.9661</v>
      </c>
      <c r="X32" s="74">
        <f t="shared" si="10"/>
        <v>1</v>
      </c>
      <c r="Y32" s="73">
        <f t="shared" si="11"/>
        <v>0</v>
      </c>
      <c r="Z32" s="73">
        <f t="shared" si="12"/>
        <v>12314.54237</v>
      </c>
      <c r="AA32" s="73">
        <f t="shared" si="13"/>
        <v>12314.54237</v>
      </c>
      <c r="AB32" s="74">
        <f t="shared" si="14"/>
        <v>1</v>
      </c>
      <c r="AC32" s="61" t="str">
        <f t="shared" si="15"/>
        <v>6</v>
      </c>
      <c r="AD32" s="71" t="str">
        <f t="shared" si="16"/>
        <v>#DIV/0!</v>
      </c>
      <c r="AE32" s="73">
        <f>Q32/118%-Y32</f>
        <v>12754.34746</v>
      </c>
      <c r="AF32" s="74">
        <f>AE32/(Q32/1.18)</f>
        <v>1</v>
      </c>
      <c r="AG32" s="71">
        <f t="array" ref="AG32">IFERROR(xlookup(G32,'Old Master'!T:T,'Old Master'!V:V),N32)</f>
        <v>0.16</v>
      </c>
      <c r="AH32" s="73">
        <f t="shared" si="17"/>
        <v>14531.16</v>
      </c>
      <c r="AI32" s="73">
        <f t="shared" si="18"/>
        <v>12314.54237</v>
      </c>
      <c r="AJ32" s="72">
        <f t="shared" si="19"/>
        <v>1</v>
      </c>
      <c r="AK32" s="61"/>
      <c r="AL32" s="71">
        <f t="array" ref="AL32">iferror(if(isblank(xlookup($G32,'Old Master'!$T:$T,'Old Master'!$W:$W)),AG32,xlookup($G32,'Old Master'!$T:$T,'Old Master'!$W:$W)),AG32)</f>
        <v>0.16</v>
      </c>
      <c r="AM32" s="74">
        <f t="shared" si="20"/>
        <v>0.161859067</v>
      </c>
      <c r="AN32" s="73">
        <f t="shared" si="40"/>
        <v>14499</v>
      </c>
    </row>
    <row r="33">
      <c r="A33" s="65" t="s">
        <v>2397</v>
      </c>
      <c r="B33" s="65" t="str">
        <f t="shared" si="1"/>
        <v>#VALUE!</v>
      </c>
      <c r="C33" s="65" t="str">
        <f t="shared" si="2"/>
        <v>#VALUE!</v>
      </c>
      <c r="D33" s="65" t="s">
        <v>2399</v>
      </c>
      <c r="E33" s="65">
        <v>0.0</v>
      </c>
      <c r="F33" s="65" t="s">
        <v>2401</v>
      </c>
      <c r="G33" s="65" t="s">
        <v>5074</v>
      </c>
      <c r="H33" s="65" t="s">
        <v>1145</v>
      </c>
      <c r="I33" s="65">
        <v>2199.0</v>
      </c>
      <c r="J33" s="66">
        <v>0.3</v>
      </c>
      <c r="K33" s="65">
        <f t="shared" si="3"/>
        <v>1539</v>
      </c>
      <c r="L33" s="66">
        <v>0.2</v>
      </c>
      <c r="M33" s="65">
        <f t="shared" si="4"/>
        <v>1759</v>
      </c>
      <c r="N33" s="77">
        <f t="shared" ref="N33:N40" si="47">1-O33/I33</f>
        <v>0.136425648</v>
      </c>
      <c r="O33" s="78">
        <v>1899.0</v>
      </c>
      <c r="P33" s="67">
        <f t="shared" ref="P33:P40" si="48">1-Q33/I33</f>
        <v>0.136425648</v>
      </c>
      <c r="Q33" s="79">
        <v>1899.0</v>
      </c>
      <c r="R33" s="70"/>
      <c r="S33" s="71">
        <f>O33/K33-1</f>
        <v>0.2339181287</v>
      </c>
      <c r="T33" s="72">
        <f t="shared" si="6"/>
        <v>0</v>
      </c>
      <c r="U33" s="73" t="str">
        <f t="shared" si="7"/>
        <v/>
      </c>
      <c r="V33" s="73">
        <f t="shared" si="33"/>
        <v>1490.677966</v>
      </c>
      <c r="W33" s="73">
        <f t="shared" si="9"/>
        <v>1490.677966</v>
      </c>
      <c r="X33" s="74">
        <f t="shared" si="10"/>
        <v>1</v>
      </c>
      <c r="Y33" s="73">
        <f t="shared" si="11"/>
        <v>0</v>
      </c>
      <c r="Z33" s="73">
        <f t="shared" si="12"/>
        <v>1609.322034</v>
      </c>
      <c r="AA33" s="73">
        <f t="shared" si="13"/>
        <v>1609.322034</v>
      </c>
      <c r="AB33" s="74">
        <f t="shared" si="14"/>
        <v>1</v>
      </c>
      <c r="AC33" s="61" t="str">
        <f t="shared" si="15"/>
        <v>8</v>
      </c>
      <c r="AD33" s="71" t="str">
        <f t="shared" si="16"/>
        <v>#DIV/0!</v>
      </c>
      <c r="AE33" s="61"/>
      <c r="AF33" s="61"/>
      <c r="AG33" s="71">
        <f t="array" ref="AG33">IFERROR(xlookup(G33,'Old Master'!T:T,'Old Master'!V:V),N33)</f>
        <v>0.136425648</v>
      </c>
      <c r="AH33" s="73">
        <f t="shared" si="17"/>
        <v>1899</v>
      </c>
      <c r="AI33" s="73">
        <f t="shared" si="18"/>
        <v>1609.322034</v>
      </c>
      <c r="AJ33" s="72">
        <f t="shared" si="19"/>
        <v>1</v>
      </c>
      <c r="AK33" s="61"/>
      <c r="AL33" s="71">
        <f>(I33-AN33)/I33</f>
        <v>0.136425648</v>
      </c>
      <c r="AM33" s="74">
        <f t="shared" si="20"/>
        <v>0.136425648</v>
      </c>
      <c r="AN33" s="73">
        <v>1899.0</v>
      </c>
    </row>
    <row r="34">
      <c r="A34" s="65" t="s">
        <v>620</v>
      </c>
      <c r="B34" s="65">
        <f t="shared" si="1"/>
        <v>72</v>
      </c>
      <c r="C34" s="65" t="str">
        <f t="shared" si="2"/>
        <v>SC-ORIG-K-72x74x8</v>
      </c>
      <c r="D34" s="65" t="s">
        <v>622</v>
      </c>
      <c r="E34" s="65" t="s">
        <v>623</v>
      </c>
      <c r="F34" s="65" t="s">
        <v>624</v>
      </c>
      <c r="G34" s="65" t="s">
        <v>51</v>
      </c>
      <c r="H34" s="65" t="s">
        <v>52</v>
      </c>
      <c r="I34" s="65">
        <v>20399.0</v>
      </c>
      <c r="J34" s="66">
        <v>0.28</v>
      </c>
      <c r="K34" s="65">
        <f t="shared" si="3"/>
        <v>14687</v>
      </c>
      <c r="L34" s="66">
        <v>0.24</v>
      </c>
      <c r="M34" s="65">
        <f t="shared" si="4"/>
        <v>15503</v>
      </c>
      <c r="N34" s="67">
        <f t="shared" si="47"/>
        <v>0.1900093142</v>
      </c>
      <c r="O34" s="68">
        <v>16523.0</v>
      </c>
      <c r="P34" s="67">
        <f t="shared" si="48"/>
        <v>0.1900093142</v>
      </c>
      <c r="Q34" s="69">
        <v>16523.0</v>
      </c>
      <c r="R34" s="76"/>
      <c r="S34" s="72">
        <f t="shared" ref="S34:S36" si="49">O34/M34-1</f>
        <v>0.06579371735</v>
      </c>
      <c r="T34" s="72">
        <f t="shared" si="6"/>
        <v>0</v>
      </c>
      <c r="U34" s="73" t="str">
        <f t="shared" si="7"/>
        <v/>
      </c>
      <c r="V34" s="73">
        <f t="shared" si="33"/>
        <v>13138.13559</v>
      </c>
      <c r="W34" s="73">
        <f t="shared" si="9"/>
        <v>13138.13559</v>
      </c>
      <c r="X34" s="74">
        <f t="shared" si="10"/>
        <v>1</v>
      </c>
      <c r="Y34" s="73">
        <f t="shared" si="11"/>
        <v>0</v>
      </c>
      <c r="Z34" s="73">
        <f t="shared" si="12"/>
        <v>14002.54237</v>
      </c>
      <c r="AA34" s="73">
        <f t="shared" si="13"/>
        <v>14002.54237</v>
      </c>
      <c r="AB34" s="74">
        <f t="shared" si="14"/>
        <v>1</v>
      </c>
      <c r="AC34" s="61" t="str">
        <f t="shared" si="15"/>
        <v>8</v>
      </c>
      <c r="AD34" s="71" t="str">
        <f t="shared" si="16"/>
        <v>#DIV/0!</v>
      </c>
      <c r="AE34" s="61"/>
      <c r="AF34" s="61"/>
      <c r="AG34" s="71">
        <f t="array" ref="AG34">IFERROR(xlookup(G34,'Old Master'!T:T,'Old Master'!V:V),N34)</f>
        <v>0.1900093142</v>
      </c>
      <c r="AH34" s="73">
        <f t="shared" si="17"/>
        <v>16523</v>
      </c>
      <c r="AI34" s="73">
        <f t="shared" si="18"/>
        <v>14002.54237</v>
      </c>
      <c r="AJ34" s="72">
        <f t="shared" si="19"/>
        <v>1</v>
      </c>
      <c r="AK34" s="61"/>
      <c r="AL34" s="71">
        <f t="array" ref="AL34">iferror(if(isblank(xlookup($G34,'Old Master'!$T:$T,'Old Master'!$W:$W)),AG34,xlookup($G34,'Old Master'!$T:$T,'Old Master'!$W:$W)),AG34)</f>
        <v>0.1900093142</v>
      </c>
      <c r="AM34" s="74">
        <f t="shared" si="20"/>
        <v>0.1911858424</v>
      </c>
      <c r="AN34" s="73">
        <f t="shared" ref="AN34:AN36" si="50">mround($I34*(1-AL34),100)-1</f>
        <v>16499</v>
      </c>
    </row>
    <row r="35">
      <c r="A35" s="65" t="s">
        <v>206</v>
      </c>
      <c r="B35" s="65">
        <f t="shared" si="1"/>
        <v>48</v>
      </c>
      <c r="C35" s="65" t="str">
        <f t="shared" si="2"/>
        <v>SC-ORIG-D-72x50x6</v>
      </c>
      <c r="D35" s="65" t="s">
        <v>208</v>
      </c>
      <c r="E35" s="65" t="s">
        <v>209</v>
      </c>
      <c r="F35" s="65" t="s">
        <v>210</v>
      </c>
      <c r="G35" s="65" t="s">
        <v>51</v>
      </c>
      <c r="H35" s="65" t="s">
        <v>52</v>
      </c>
      <c r="I35" s="65">
        <v>12799.0</v>
      </c>
      <c r="J35" s="66">
        <v>0.28</v>
      </c>
      <c r="K35" s="65">
        <f t="shared" si="3"/>
        <v>9215</v>
      </c>
      <c r="L35" s="66">
        <v>0.24</v>
      </c>
      <c r="M35" s="65">
        <f t="shared" si="4"/>
        <v>9727</v>
      </c>
      <c r="N35" s="67">
        <f t="shared" si="47"/>
        <v>0.1900148449</v>
      </c>
      <c r="O35" s="68">
        <v>10367.0</v>
      </c>
      <c r="P35" s="67">
        <f t="shared" si="48"/>
        <v>0.1900148449</v>
      </c>
      <c r="Q35" s="69">
        <v>10367.0</v>
      </c>
      <c r="R35" s="76"/>
      <c r="S35" s="72">
        <f t="shared" si="49"/>
        <v>0.06579623728</v>
      </c>
      <c r="T35" s="72">
        <f t="shared" si="6"/>
        <v>0</v>
      </c>
      <c r="U35" s="73" t="str">
        <f t="shared" si="7"/>
        <v/>
      </c>
      <c r="V35" s="73">
        <f t="shared" si="33"/>
        <v>8243.220339</v>
      </c>
      <c r="W35" s="73">
        <f t="shared" si="9"/>
        <v>8243.220339</v>
      </c>
      <c r="X35" s="74">
        <f t="shared" si="10"/>
        <v>1</v>
      </c>
      <c r="Y35" s="73">
        <f t="shared" si="11"/>
        <v>0</v>
      </c>
      <c r="Z35" s="73">
        <f t="shared" si="12"/>
        <v>8785.59322</v>
      </c>
      <c r="AA35" s="73">
        <f t="shared" si="13"/>
        <v>8785.59322</v>
      </c>
      <c r="AB35" s="74">
        <f t="shared" si="14"/>
        <v>1</v>
      </c>
      <c r="AC35" s="61" t="str">
        <f t="shared" si="15"/>
        <v>6</v>
      </c>
      <c r="AD35" s="71" t="str">
        <f t="shared" si="16"/>
        <v>#DIV/0!</v>
      </c>
      <c r="AE35" s="61"/>
      <c r="AF35" s="61"/>
      <c r="AG35" s="71">
        <f t="array" ref="AG35">IFERROR(xlookup(G35,'Old Master'!T:T,'Old Master'!V:V),N35)</f>
        <v>0.1900148449</v>
      </c>
      <c r="AH35" s="73">
        <f t="shared" si="17"/>
        <v>10367</v>
      </c>
      <c r="AI35" s="73">
        <f t="shared" si="18"/>
        <v>8785.59322</v>
      </c>
      <c r="AJ35" s="72">
        <f t="shared" si="19"/>
        <v>1</v>
      </c>
      <c r="AK35" s="61"/>
      <c r="AL35" s="71">
        <f t="array" ref="AL35">iferror(if(isblank(xlookup($G35,'Old Master'!$T:$T,'Old Master'!$W:$W)),AG35,xlookup($G35,'Old Master'!$T:$T,'Old Master'!$W:$W)),AG35)</f>
        <v>0.1900148449</v>
      </c>
      <c r="AM35" s="74">
        <f t="shared" si="20"/>
        <v>0.1875146496</v>
      </c>
      <c r="AN35" s="73">
        <f t="shared" si="50"/>
        <v>10399</v>
      </c>
    </row>
    <row r="36">
      <c r="A36" s="65" t="s">
        <v>1668</v>
      </c>
      <c r="B36" s="65">
        <f t="shared" si="1"/>
        <v>72</v>
      </c>
      <c r="C36" s="65" t="str">
        <f t="shared" si="2"/>
        <v>SC-ULTM-K-78x74x10</v>
      </c>
      <c r="D36" s="65" t="s">
        <v>1670</v>
      </c>
      <c r="E36" s="65" t="s">
        <v>1668</v>
      </c>
      <c r="F36" s="65" t="s">
        <v>1668</v>
      </c>
      <c r="G36" s="65" t="s">
        <v>5112</v>
      </c>
      <c r="H36" s="65" t="s">
        <v>52</v>
      </c>
      <c r="I36" s="65">
        <v>29999.0</v>
      </c>
      <c r="J36" s="66">
        <v>0.25</v>
      </c>
      <c r="K36" s="65">
        <f t="shared" si="3"/>
        <v>22499</v>
      </c>
      <c r="L36" s="66">
        <v>0.22</v>
      </c>
      <c r="M36" s="65">
        <f t="shared" si="4"/>
        <v>23399</v>
      </c>
      <c r="N36" s="67">
        <f t="shared" si="47"/>
        <v>0.1000033334</v>
      </c>
      <c r="O36" s="68">
        <v>26999.0</v>
      </c>
      <c r="P36" s="67">
        <f t="shared" si="48"/>
        <v>0.1000033334</v>
      </c>
      <c r="Q36" s="69">
        <v>26999.0</v>
      </c>
      <c r="R36" s="70"/>
      <c r="S36" s="71">
        <f t="shared" si="49"/>
        <v>0.1538527287</v>
      </c>
      <c r="T36" s="72">
        <f t="shared" si="6"/>
        <v>0</v>
      </c>
      <c r="U36" s="73" t="str">
        <f t="shared" si="7"/>
        <v/>
      </c>
      <c r="V36" s="73">
        <f t="shared" si="33"/>
        <v>19829.66102</v>
      </c>
      <c r="W36" s="73">
        <f t="shared" si="9"/>
        <v>19829.66102</v>
      </c>
      <c r="X36" s="74">
        <f t="shared" si="10"/>
        <v>1</v>
      </c>
      <c r="Y36" s="73">
        <f t="shared" si="11"/>
        <v>0</v>
      </c>
      <c r="Z36" s="73">
        <f t="shared" si="12"/>
        <v>22880.50847</v>
      </c>
      <c r="AA36" s="73">
        <f t="shared" si="13"/>
        <v>22880.50847</v>
      </c>
      <c r="AB36" s="74">
        <f t="shared" si="14"/>
        <v>1</v>
      </c>
      <c r="AC36" s="61" t="str">
        <f t="shared" si="15"/>
        <v>0</v>
      </c>
      <c r="AD36" s="71" t="str">
        <f t="shared" si="16"/>
        <v>#DIV/0!</v>
      </c>
      <c r="AE36" s="61"/>
      <c r="AF36" s="61"/>
      <c r="AG36" s="71">
        <f t="array" ref="AG36">IFERROR(xlookup(G36,'Old Master'!T:T,'Old Master'!V:V),N36)</f>
        <v>0.1000033334</v>
      </c>
      <c r="AH36" s="73">
        <f t="shared" si="17"/>
        <v>26999</v>
      </c>
      <c r="AI36" s="73">
        <f t="shared" si="18"/>
        <v>22880.50847</v>
      </c>
      <c r="AJ36" s="72">
        <f t="shared" si="19"/>
        <v>1</v>
      </c>
      <c r="AK36" s="61"/>
      <c r="AL36" s="71">
        <f t="array" ref="AL36">iferror(if(isblank(xlookup($G36,'Old Master'!$T:$T,'Old Master'!$W:$W)),AG36,xlookup($G36,'Old Master'!$T:$T,'Old Master'!$W:$W)),AG36)</f>
        <v>0.1000033334</v>
      </c>
      <c r="AM36" s="74">
        <f t="shared" si="20"/>
        <v>0.1000033334</v>
      </c>
      <c r="AN36" s="73">
        <f t="shared" si="50"/>
        <v>26999</v>
      </c>
    </row>
    <row r="37">
      <c r="A37" s="65" t="s">
        <v>1132</v>
      </c>
      <c r="B37" s="65" t="str">
        <f t="shared" si="1"/>
        <v>#VALUE!</v>
      </c>
      <c r="C37" s="65" t="str">
        <f t="shared" si="2"/>
        <v>#VALUE!</v>
      </c>
      <c r="D37" s="65" t="s">
        <v>1134</v>
      </c>
      <c r="E37" s="65" t="s">
        <v>1135</v>
      </c>
      <c r="F37" s="65" t="s">
        <v>1132</v>
      </c>
      <c r="G37" s="65" t="s">
        <v>5084</v>
      </c>
      <c r="H37" s="65" t="s">
        <v>1145</v>
      </c>
      <c r="I37" s="65">
        <v>1989.0</v>
      </c>
      <c r="J37" s="66">
        <v>0.497737556561086</v>
      </c>
      <c r="K37" s="65">
        <f t="shared" si="3"/>
        <v>999</v>
      </c>
      <c r="L37" s="66">
        <v>0.497737556561086</v>
      </c>
      <c r="M37" s="65">
        <f t="shared" si="4"/>
        <v>999</v>
      </c>
      <c r="N37" s="77">
        <f t="shared" si="47"/>
        <v>0.4977375566</v>
      </c>
      <c r="O37" s="78">
        <v>999.0</v>
      </c>
      <c r="P37" s="67">
        <f t="shared" si="48"/>
        <v>0.4977375566</v>
      </c>
      <c r="Q37" s="79">
        <v>999.0</v>
      </c>
      <c r="R37" s="70"/>
      <c r="S37" s="71">
        <f>O37/K37-1</f>
        <v>0</v>
      </c>
      <c r="T37" s="72">
        <f t="shared" si="6"/>
        <v>0</v>
      </c>
      <c r="U37" s="73" t="str">
        <f t="shared" si="7"/>
        <v/>
      </c>
      <c r="V37" s="73">
        <f t="shared" si="33"/>
        <v>846.6101695</v>
      </c>
      <c r="W37" s="73">
        <f t="shared" si="9"/>
        <v>846.6101695</v>
      </c>
      <c r="X37" s="74">
        <f t="shared" si="10"/>
        <v>1</v>
      </c>
      <c r="Y37" s="73">
        <f t="shared" si="11"/>
        <v>0</v>
      </c>
      <c r="Z37" s="73">
        <f t="shared" si="12"/>
        <v>846.6101695</v>
      </c>
      <c r="AA37" s="73">
        <f t="shared" si="13"/>
        <v>846.6101695</v>
      </c>
      <c r="AB37" s="74">
        <f t="shared" si="14"/>
        <v>1</v>
      </c>
      <c r="AC37" s="61" t="str">
        <f t="shared" si="15"/>
        <v>6</v>
      </c>
      <c r="AD37" s="71" t="str">
        <f t="shared" si="16"/>
        <v>#DIV/0!</v>
      </c>
      <c r="AE37" s="61"/>
      <c r="AF37" s="61"/>
      <c r="AG37" s="71">
        <f t="array" ref="AG37">IFERROR(xlookup(G37,'Old Master'!T:T,'Old Master'!V:V),N37)</f>
        <v>0.4977375566</v>
      </c>
      <c r="AH37" s="73">
        <f t="shared" si="17"/>
        <v>999</v>
      </c>
      <c r="AI37" s="73">
        <f t="shared" si="18"/>
        <v>846.6101695</v>
      </c>
      <c r="AJ37" s="72">
        <f t="shared" si="19"/>
        <v>1</v>
      </c>
      <c r="AK37" s="61"/>
      <c r="AL37" s="71">
        <f>(I37-AN37)/I37</f>
        <v>0.4977375566</v>
      </c>
      <c r="AM37" s="74">
        <f t="shared" si="20"/>
        <v>0.4977375566</v>
      </c>
      <c r="AN37" s="73">
        <v>999.0</v>
      </c>
    </row>
    <row r="38">
      <c r="A38" s="65" t="s">
        <v>1859</v>
      </c>
      <c r="B38" s="65">
        <f t="shared" si="1"/>
        <v>72</v>
      </c>
      <c r="C38" s="65" t="str">
        <f t="shared" si="2"/>
        <v>SC-ULTM-LATEX-K-72x74x8</v>
      </c>
      <c r="D38" s="65" t="s">
        <v>1861</v>
      </c>
      <c r="E38" s="65" t="s">
        <v>1863</v>
      </c>
      <c r="F38" s="65" t="s">
        <v>1864</v>
      </c>
      <c r="G38" s="65" t="s">
        <v>5109</v>
      </c>
      <c r="H38" s="65" t="s">
        <v>52</v>
      </c>
      <c r="I38" s="65">
        <v>34999.0</v>
      </c>
      <c r="J38" s="66">
        <v>0.23</v>
      </c>
      <c r="K38" s="65">
        <f t="shared" si="3"/>
        <v>26949</v>
      </c>
      <c r="L38" s="66">
        <v>0.18</v>
      </c>
      <c r="M38" s="65">
        <f t="shared" si="4"/>
        <v>28699</v>
      </c>
      <c r="N38" s="67">
        <f t="shared" si="47"/>
        <v>0.1000028572</v>
      </c>
      <c r="O38" s="68">
        <v>31499.0</v>
      </c>
      <c r="P38" s="67">
        <f t="shared" si="48"/>
        <v>0.1000028572</v>
      </c>
      <c r="Q38" s="69">
        <v>31499.0</v>
      </c>
      <c r="R38" s="70"/>
      <c r="S38" s="71">
        <f t="shared" ref="S38:S54" si="51">O38/M38-1</f>
        <v>0.09756437507</v>
      </c>
      <c r="T38" s="72">
        <f t="shared" si="6"/>
        <v>0</v>
      </c>
      <c r="U38" s="73" t="str">
        <f t="shared" si="7"/>
        <v/>
      </c>
      <c r="V38" s="73">
        <f t="shared" si="33"/>
        <v>24321.18644</v>
      </c>
      <c r="W38" s="73">
        <f t="shared" si="9"/>
        <v>24321.18644</v>
      </c>
      <c r="X38" s="74">
        <f t="shared" si="10"/>
        <v>1</v>
      </c>
      <c r="Y38" s="73">
        <f t="shared" si="11"/>
        <v>0</v>
      </c>
      <c r="Z38" s="73">
        <f t="shared" si="12"/>
        <v>26694.0678</v>
      </c>
      <c r="AA38" s="73">
        <f t="shared" si="13"/>
        <v>26694.0678</v>
      </c>
      <c r="AB38" s="74">
        <f t="shared" si="14"/>
        <v>1</v>
      </c>
      <c r="AC38" s="61" t="str">
        <f t="shared" si="15"/>
        <v>8</v>
      </c>
      <c r="AD38" s="71" t="str">
        <f t="shared" si="16"/>
        <v>#DIV/0!</v>
      </c>
      <c r="AE38" s="61"/>
      <c r="AF38" s="61"/>
      <c r="AG38" s="71">
        <f t="array" ref="AG38">IFERROR(xlookup(G38,'Old Master'!T:T,'Old Master'!V:V),N38)</f>
        <v>0.1000028572</v>
      </c>
      <c r="AH38" s="73">
        <f t="shared" si="17"/>
        <v>31499</v>
      </c>
      <c r="AI38" s="73">
        <f t="shared" si="18"/>
        <v>26694.0678</v>
      </c>
      <c r="AJ38" s="72">
        <f t="shared" si="19"/>
        <v>1</v>
      </c>
      <c r="AK38" s="61"/>
      <c r="AL38" s="71">
        <f t="array" ref="AL38">iferror(if(isblank(xlookup($G38,'Old Master'!$T:$T,'Old Master'!$W:$W)),AG38,xlookup($G38,'Old Master'!$T:$T,'Old Master'!$W:$W)),AG38)</f>
        <v>0.1000028572</v>
      </c>
      <c r="AM38" s="74">
        <f t="shared" si="20"/>
        <v>0.1000028572</v>
      </c>
      <c r="AN38" s="73">
        <f t="shared" ref="AN38:AN54" si="52">mround($I38*(1-AL38),100)-1</f>
        <v>31499</v>
      </c>
    </row>
    <row r="39">
      <c r="A39" s="65" t="s">
        <v>341</v>
      </c>
      <c r="B39" s="65">
        <f t="shared" si="1"/>
        <v>60</v>
      </c>
      <c r="C39" s="65" t="str">
        <f t="shared" si="2"/>
        <v>SC-ORIG-Q-75x62x6</v>
      </c>
      <c r="D39" s="65" t="s">
        <v>343</v>
      </c>
      <c r="E39" s="65" t="s">
        <v>344</v>
      </c>
      <c r="F39" s="65" t="s">
        <v>345</v>
      </c>
      <c r="G39" s="65" t="s">
        <v>51</v>
      </c>
      <c r="H39" s="65" t="s">
        <v>52</v>
      </c>
      <c r="I39" s="65">
        <v>15999.0</v>
      </c>
      <c r="J39" s="66">
        <v>0.28</v>
      </c>
      <c r="K39" s="65">
        <f t="shared" si="3"/>
        <v>11519</v>
      </c>
      <c r="L39" s="66">
        <v>0.24</v>
      </c>
      <c r="M39" s="65">
        <f t="shared" si="4"/>
        <v>12159</v>
      </c>
      <c r="N39" s="67">
        <f t="shared" si="47"/>
        <v>0.1900118757</v>
      </c>
      <c r="O39" s="68">
        <v>12959.0</v>
      </c>
      <c r="P39" s="67">
        <f t="shared" si="48"/>
        <v>0.1900118757</v>
      </c>
      <c r="Q39" s="69">
        <v>12959.0</v>
      </c>
      <c r="R39" s="76"/>
      <c r="S39" s="72">
        <f t="shared" si="51"/>
        <v>0.06579488445</v>
      </c>
      <c r="T39" s="72">
        <f t="shared" si="6"/>
        <v>0</v>
      </c>
      <c r="U39" s="73" t="str">
        <f t="shared" si="7"/>
        <v/>
      </c>
      <c r="V39" s="73">
        <f t="shared" si="33"/>
        <v>10304.23729</v>
      </c>
      <c r="W39" s="73">
        <f t="shared" si="9"/>
        <v>10304.23729</v>
      </c>
      <c r="X39" s="74">
        <f t="shared" si="10"/>
        <v>1</v>
      </c>
      <c r="Y39" s="73">
        <f t="shared" si="11"/>
        <v>0</v>
      </c>
      <c r="Z39" s="73">
        <f t="shared" si="12"/>
        <v>10982.20339</v>
      </c>
      <c r="AA39" s="73">
        <f t="shared" si="13"/>
        <v>10982.20339</v>
      </c>
      <c r="AB39" s="74">
        <f t="shared" si="14"/>
        <v>1</v>
      </c>
      <c r="AC39" s="61" t="str">
        <f t="shared" si="15"/>
        <v>6</v>
      </c>
      <c r="AD39" s="71" t="str">
        <f t="shared" si="16"/>
        <v>#DIV/0!</v>
      </c>
      <c r="AE39" s="61"/>
      <c r="AF39" s="61"/>
      <c r="AG39" s="71">
        <f t="array" ref="AG39">IFERROR(xlookup(G39,'Old Master'!T:T,'Old Master'!V:V),N39)</f>
        <v>0.1900118757</v>
      </c>
      <c r="AH39" s="73">
        <f t="shared" si="17"/>
        <v>12959</v>
      </c>
      <c r="AI39" s="73">
        <f t="shared" si="18"/>
        <v>10982.20339</v>
      </c>
      <c r="AJ39" s="72">
        <f t="shared" si="19"/>
        <v>1</v>
      </c>
      <c r="AK39" s="61"/>
      <c r="AL39" s="71">
        <f t="array" ref="AL39">iferror(if(isblank(xlookup($G39,'Old Master'!$T:$T,'Old Master'!$W:$W)),AG39,xlookup($G39,'Old Master'!$T:$T,'Old Master'!$W:$W)),AG39)</f>
        <v>0.1900118757</v>
      </c>
      <c r="AM39" s="74">
        <f t="shared" si="20"/>
        <v>0.1875117195</v>
      </c>
      <c r="AN39" s="73">
        <f t="shared" si="52"/>
        <v>12999</v>
      </c>
    </row>
    <row r="40">
      <c r="A40" s="65" t="s">
        <v>1575</v>
      </c>
      <c r="B40" s="65">
        <f t="shared" si="1"/>
        <v>60</v>
      </c>
      <c r="C40" s="65" t="str">
        <f t="shared" si="2"/>
        <v>SC-ULTM-Q-75x62x8</v>
      </c>
      <c r="D40" s="65">
        <v>0.0</v>
      </c>
      <c r="E40" s="65" t="s">
        <v>1575</v>
      </c>
      <c r="F40" s="65" t="s">
        <v>1575</v>
      </c>
      <c r="G40" s="65" t="s">
        <v>5112</v>
      </c>
      <c r="H40" s="65" t="s">
        <v>52</v>
      </c>
      <c r="I40" s="65">
        <v>22999.0</v>
      </c>
      <c r="J40" s="66">
        <v>0.25</v>
      </c>
      <c r="K40" s="65">
        <f t="shared" si="3"/>
        <v>17249</v>
      </c>
      <c r="L40" s="66">
        <v>0.22</v>
      </c>
      <c r="M40" s="65">
        <f t="shared" si="4"/>
        <v>17939</v>
      </c>
      <c r="N40" s="67">
        <f t="shared" si="47"/>
        <v>0.100004348</v>
      </c>
      <c r="O40" s="68">
        <v>20699.0</v>
      </c>
      <c r="P40" s="67">
        <f t="shared" si="48"/>
        <v>0.100004348</v>
      </c>
      <c r="Q40" s="69">
        <v>20699.0</v>
      </c>
      <c r="R40" s="70"/>
      <c r="S40" s="71">
        <f t="shared" si="51"/>
        <v>0.1538547299</v>
      </c>
      <c r="T40" s="72">
        <f t="shared" si="6"/>
        <v>0</v>
      </c>
      <c r="U40" s="73" t="str">
        <f t="shared" si="7"/>
        <v/>
      </c>
      <c r="V40" s="73">
        <f t="shared" si="33"/>
        <v>15202.54237</v>
      </c>
      <c r="W40" s="73">
        <f t="shared" si="9"/>
        <v>15202.54237</v>
      </c>
      <c r="X40" s="74">
        <f t="shared" si="10"/>
        <v>1</v>
      </c>
      <c r="Y40" s="73">
        <f t="shared" si="11"/>
        <v>0</v>
      </c>
      <c r="Z40" s="73">
        <f t="shared" si="12"/>
        <v>17541.52542</v>
      </c>
      <c r="AA40" s="73">
        <f t="shared" si="13"/>
        <v>17541.52542</v>
      </c>
      <c r="AB40" s="74">
        <f t="shared" si="14"/>
        <v>1</v>
      </c>
      <c r="AC40" s="61" t="str">
        <f t="shared" si="15"/>
        <v>8</v>
      </c>
      <c r="AD40" s="71" t="str">
        <f t="shared" si="16"/>
        <v>#DIV/0!</v>
      </c>
      <c r="AE40" s="61"/>
      <c r="AF40" s="61"/>
      <c r="AG40" s="71">
        <f t="array" ref="AG40">IFERROR(xlookup(G40,'Old Master'!T:T,'Old Master'!V:V),N40)</f>
        <v>0.100004348</v>
      </c>
      <c r="AH40" s="73">
        <f t="shared" si="17"/>
        <v>20699</v>
      </c>
      <c r="AI40" s="73">
        <f t="shared" si="18"/>
        <v>17541.52542</v>
      </c>
      <c r="AJ40" s="72">
        <f t="shared" si="19"/>
        <v>1</v>
      </c>
      <c r="AK40" s="61"/>
      <c r="AL40" s="71">
        <f t="array" ref="AL40">iferror(if(isblank(xlookup($G40,'Old Master'!$T:$T,'Old Master'!$W:$W)),AG40,xlookup($G40,'Old Master'!$T:$T,'Old Master'!$W:$W)),AG40)</f>
        <v>0.100004348</v>
      </c>
      <c r="AM40" s="74">
        <f t="shared" si="20"/>
        <v>0.100004348</v>
      </c>
      <c r="AN40" s="73">
        <f t="shared" si="52"/>
        <v>20699</v>
      </c>
    </row>
    <row r="41">
      <c r="A41" s="65" t="s">
        <v>887</v>
      </c>
      <c r="B41" s="65">
        <f t="shared" si="1"/>
        <v>48</v>
      </c>
      <c r="C41" s="65" t="str">
        <f t="shared" si="2"/>
        <v>SC-HYB-LATEX-D-72x50x6</v>
      </c>
      <c r="D41" s="65" t="s">
        <v>889</v>
      </c>
      <c r="E41" s="65">
        <v>0.0</v>
      </c>
      <c r="F41" s="65" t="s">
        <v>890</v>
      </c>
      <c r="G41" s="65" t="s">
        <v>5108</v>
      </c>
      <c r="H41" s="65" t="s">
        <v>52</v>
      </c>
      <c r="I41" s="65">
        <v>13899.0</v>
      </c>
      <c r="J41" s="66">
        <v>0.25</v>
      </c>
      <c r="K41" s="65">
        <f t="shared" si="3"/>
        <v>10424</v>
      </c>
      <c r="L41" s="66">
        <v>0.2</v>
      </c>
      <c r="M41" s="65">
        <f t="shared" si="4"/>
        <v>11119</v>
      </c>
      <c r="N41" s="75">
        <v>0.16</v>
      </c>
      <c r="O41" s="68">
        <f>I41*(1-N41)</f>
        <v>11675.16</v>
      </c>
      <c r="P41" s="75">
        <v>0.13</v>
      </c>
      <c r="Q41" s="68">
        <f t="shared" ref="Q41:Q42" si="53">I41*(1-P41)</f>
        <v>12092.13</v>
      </c>
      <c r="R41" s="71">
        <f>Q41/M41-1</f>
        <v>0.08751956111</v>
      </c>
      <c r="S41" s="71">
        <f t="shared" si="51"/>
        <v>0.05001888659</v>
      </c>
      <c r="T41" s="72">
        <f t="shared" si="6"/>
        <v>0</v>
      </c>
      <c r="U41" s="73" t="str">
        <f t="shared" si="7"/>
        <v/>
      </c>
      <c r="V41" s="73">
        <f t="shared" si="33"/>
        <v>9422.881356</v>
      </c>
      <c r="W41" s="73">
        <f t="shared" si="9"/>
        <v>9422.881356</v>
      </c>
      <c r="X41" s="74">
        <f t="shared" si="10"/>
        <v>1</v>
      </c>
      <c r="Y41" s="73">
        <f t="shared" si="11"/>
        <v>0</v>
      </c>
      <c r="Z41" s="73">
        <f t="shared" si="12"/>
        <v>9894.20339</v>
      </c>
      <c r="AA41" s="73">
        <f t="shared" si="13"/>
        <v>9894.20339</v>
      </c>
      <c r="AB41" s="74">
        <f t="shared" si="14"/>
        <v>1</v>
      </c>
      <c r="AC41" s="61" t="str">
        <f t="shared" si="15"/>
        <v>6</v>
      </c>
      <c r="AD41" s="71" t="str">
        <f t="shared" si="16"/>
        <v>#DIV/0!</v>
      </c>
      <c r="AE41" s="73">
        <f>Q41/118%-Y41</f>
        <v>10247.5678</v>
      </c>
      <c r="AF41" s="74">
        <f>AE41/(Q41/1.18)</f>
        <v>1</v>
      </c>
      <c r="AG41" s="71">
        <f t="array" ref="AG41">IFERROR(xlookup(G41,'Old Master'!T:T,'Old Master'!V:V),N41)</f>
        <v>0.16</v>
      </c>
      <c r="AH41" s="73">
        <f t="shared" si="17"/>
        <v>11675.16</v>
      </c>
      <c r="AI41" s="73">
        <f t="shared" si="18"/>
        <v>9894.20339</v>
      </c>
      <c r="AJ41" s="72">
        <f t="shared" si="19"/>
        <v>1</v>
      </c>
      <c r="AK41" s="61"/>
      <c r="AL41" s="71">
        <f t="array" ref="AL41">iferror(if(isblank(xlookup($G41,'Old Master'!$T:$T,'Old Master'!$W:$W)),AG41,xlookup($G41,'Old Master'!$T:$T,'Old Master'!$W:$W)),AG41)</f>
        <v>0.16</v>
      </c>
      <c r="AM41" s="74">
        <f t="shared" si="20"/>
        <v>0.1582847687</v>
      </c>
      <c r="AN41" s="73">
        <f t="shared" si="52"/>
        <v>11699</v>
      </c>
    </row>
    <row r="42">
      <c r="A42" s="65" t="s">
        <v>5321</v>
      </c>
      <c r="B42" s="65">
        <f t="shared" si="1"/>
        <v>72</v>
      </c>
      <c r="C42" s="65" t="str">
        <f t="shared" si="2"/>
        <v>SC-LTx-ORTHO-K-78x74x6</v>
      </c>
      <c r="D42" s="65" t="s">
        <v>4209</v>
      </c>
      <c r="E42" s="65">
        <v>0.0</v>
      </c>
      <c r="F42" s="65" t="s">
        <v>4210</v>
      </c>
      <c r="G42" s="65" t="s">
        <v>5118</v>
      </c>
      <c r="H42" s="65" t="s">
        <v>52</v>
      </c>
      <c r="I42" s="81">
        <v>24299.0</v>
      </c>
      <c r="J42" s="66">
        <v>0.23</v>
      </c>
      <c r="K42" s="81">
        <f t="shared" si="3"/>
        <v>18710</v>
      </c>
      <c r="L42" s="66">
        <v>0.2</v>
      </c>
      <c r="M42" s="81">
        <f t="shared" si="4"/>
        <v>19439</v>
      </c>
      <c r="N42" s="67">
        <f t="shared" ref="N42:N44" si="54">1-O42/I42</f>
        <v>0.3259352237</v>
      </c>
      <c r="O42" s="68">
        <v>16379.1</v>
      </c>
      <c r="P42" s="75">
        <v>0.1</v>
      </c>
      <c r="Q42" s="68">
        <f t="shared" si="53"/>
        <v>21869.1</v>
      </c>
      <c r="R42" s="70"/>
      <c r="S42" s="71">
        <f t="shared" si="51"/>
        <v>-0.1574103606</v>
      </c>
      <c r="T42" s="72">
        <f t="shared" si="6"/>
        <v>0</v>
      </c>
      <c r="U42" s="73" t="str">
        <f t="shared" si="7"/>
        <v/>
      </c>
      <c r="V42" s="73">
        <f t="shared" si="33"/>
        <v>16473.72881</v>
      </c>
      <c r="W42" s="73">
        <f t="shared" si="9"/>
        <v>16473.72881</v>
      </c>
      <c r="X42" s="74">
        <f t="shared" si="10"/>
        <v>1</v>
      </c>
      <c r="Y42" s="73">
        <f t="shared" si="11"/>
        <v>0</v>
      </c>
      <c r="Z42" s="73">
        <f t="shared" si="12"/>
        <v>13880.59322</v>
      </c>
      <c r="AA42" s="73">
        <f t="shared" si="13"/>
        <v>13880.59322</v>
      </c>
      <c r="AB42" s="74">
        <f t="shared" si="14"/>
        <v>1</v>
      </c>
      <c r="AC42" s="61" t="str">
        <f t="shared" si="15"/>
        <v>6</v>
      </c>
      <c r="AD42" s="71" t="str">
        <f t="shared" si="16"/>
        <v>#DIV/0!</v>
      </c>
      <c r="AE42" s="61"/>
      <c r="AF42" s="61"/>
      <c r="AG42" s="71">
        <f t="array" ref="AG42">IFERROR(xlookup(G42,'Old Master'!T:T,'Old Master'!V:V),N42)</f>
        <v>0.3259352237</v>
      </c>
      <c r="AH42" s="73">
        <f t="shared" si="17"/>
        <v>16379.1</v>
      </c>
      <c r="AI42" s="73">
        <f t="shared" si="18"/>
        <v>13880.59322</v>
      </c>
      <c r="AJ42" s="72">
        <f t="shared" si="19"/>
        <v>1</v>
      </c>
      <c r="AK42" s="61"/>
      <c r="AL42" s="71">
        <f t="array" ref="AL42">iferror(if(isblank(xlookup($G42,'Old Master'!$T:$T,'Old Master'!$W:$W)),AG42,xlookup($G42,'Old Master'!$T:$T,'Old Master'!$W:$W)),AG42)</f>
        <v>0.3259352237</v>
      </c>
      <c r="AM42" s="74">
        <f t="shared" si="20"/>
        <v>0.3251162599</v>
      </c>
      <c r="AN42" s="73">
        <f t="shared" si="52"/>
        <v>16399</v>
      </c>
    </row>
    <row r="43">
      <c r="A43" s="65" t="s">
        <v>582</v>
      </c>
      <c r="B43" s="65">
        <f t="shared" si="1"/>
        <v>72</v>
      </c>
      <c r="C43" s="65" t="str">
        <f t="shared" si="2"/>
        <v>SC-ORIG-K-75x74x6</v>
      </c>
      <c r="D43" s="65" t="s">
        <v>584</v>
      </c>
      <c r="E43" s="65" t="s">
        <v>586</v>
      </c>
      <c r="F43" s="65" t="s">
        <v>587</v>
      </c>
      <c r="G43" s="65" t="s">
        <v>51</v>
      </c>
      <c r="H43" s="65" t="s">
        <v>52</v>
      </c>
      <c r="I43" s="65">
        <v>18199.0</v>
      </c>
      <c r="J43" s="66">
        <v>0.28</v>
      </c>
      <c r="K43" s="65">
        <f t="shared" si="3"/>
        <v>13103</v>
      </c>
      <c r="L43" s="66">
        <v>0.24</v>
      </c>
      <c r="M43" s="65">
        <f t="shared" si="4"/>
        <v>13831</v>
      </c>
      <c r="N43" s="67">
        <f t="shared" si="54"/>
        <v>0.1900104401</v>
      </c>
      <c r="O43" s="68">
        <v>14741.0</v>
      </c>
      <c r="P43" s="67">
        <f t="shared" ref="P43:P44" si="55">1-Q43/I43</f>
        <v>0.1900104401</v>
      </c>
      <c r="Q43" s="69">
        <v>14741.0</v>
      </c>
      <c r="R43" s="76"/>
      <c r="S43" s="72">
        <f t="shared" si="51"/>
        <v>0.06579423035</v>
      </c>
      <c r="T43" s="72">
        <f t="shared" si="6"/>
        <v>0</v>
      </c>
      <c r="U43" s="73" t="str">
        <f t="shared" si="7"/>
        <v/>
      </c>
      <c r="V43" s="73">
        <f t="shared" si="33"/>
        <v>11721.18644</v>
      </c>
      <c r="W43" s="73">
        <f t="shared" si="9"/>
        <v>11721.18644</v>
      </c>
      <c r="X43" s="74">
        <f t="shared" si="10"/>
        <v>1</v>
      </c>
      <c r="Y43" s="73">
        <f t="shared" si="11"/>
        <v>0</v>
      </c>
      <c r="Z43" s="73">
        <f t="shared" si="12"/>
        <v>12492.37288</v>
      </c>
      <c r="AA43" s="73">
        <f t="shared" si="13"/>
        <v>12492.37288</v>
      </c>
      <c r="AB43" s="74">
        <f t="shared" si="14"/>
        <v>1</v>
      </c>
      <c r="AC43" s="61" t="str">
        <f t="shared" si="15"/>
        <v>6</v>
      </c>
      <c r="AD43" s="71" t="str">
        <f t="shared" si="16"/>
        <v>#DIV/0!</v>
      </c>
      <c r="AE43" s="61"/>
      <c r="AF43" s="61"/>
      <c r="AG43" s="71">
        <f t="array" ref="AG43">IFERROR(xlookup(G43,'Old Master'!T:T,'Old Master'!V:V),N43)</f>
        <v>0.1900104401</v>
      </c>
      <c r="AH43" s="73">
        <f t="shared" si="17"/>
        <v>14741</v>
      </c>
      <c r="AI43" s="73">
        <f t="shared" si="18"/>
        <v>12492.37288</v>
      </c>
      <c r="AJ43" s="72">
        <f t="shared" si="19"/>
        <v>1</v>
      </c>
      <c r="AK43" s="61"/>
      <c r="AL43" s="71">
        <f t="array" ref="AL43">iferror(if(isblank(xlookup($G43,'Old Master'!$T:$T,'Old Master'!$W:$W)),AG43,xlookup($G43,'Old Master'!$T:$T,'Old Master'!$W:$W)),AG43)</f>
        <v>0.1900104401</v>
      </c>
      <c r="AM43" s="74">
        <f t="shared" si="20"/>
        <v>0.1923182592</v>
      </c>
      <c r="AN43" s="73">
        <f t="shared" si="52"/>
        <v>14699</v>
      </c>
    </row>
    <row r="44">
      <c r="A44" s="65" t="s">
        <v>632</v>
      </c>
      <c r="B44" s="65">
        <f t="shared" si="1"/>
        <v>72</v>
      </c>
      <c r="C44" s="65" t="str">
        <f t="shared" si="2"/>
        <v>SC-ORIG-K-75x74x8</v>
      </c>
      <c r="D44" s="65" t="s">
        <v>634</v>
      </c>
      <c r="E44" s="65" t="s">
        <v>635</v>
      </c>
      <c r="F44" s="65" t="s">
        <v>636</v>
      </c>
      <c r="G44" s="65" t="s">
        <v>51</v>
      </c>
      <c r="H44" s="65" t="s">
        <v>52</v>
      </c>
      <c r="I44" s="65">
        <v>20899.0</v>
      </c>
      <c r="J44" s="66">
        <v>0.28</v>
      </c>
      <c r="K44" s="65">
        <f t="shared" si="3"/>
        <v>15047</v>
      </c>
      <c r="L44" s="66">
        <v>0.24</v>
      </c>
      <c r="M44" s="65">
        <f t="shared" si="4"/>
        <v>15883</v>
      </c>
      <c r="N44" s="67">
        <f t="shared" si="54"/>
        <v>0.1900090913</v>
      </c>
      <c r="O44" s="68">
        <v>16928.0</v>
      </c>
      <c r="P44" s="67">
        <f t="shared" si="55"/>
        <v>0.1900090913</v>
      </c>
      <c r="Q44" s="69">
        <v>16928.0</v>
      </c>
      <c r="R44" s="76"/>
      <c r="S44" s="72">
        <f t="shared" si="51"/>
        <v>0.06579361582</v>
      </c>
      <c r="T44" s="72">
        <f t="shared" si="6"/>
        <v>0</v>
      </c>
      <c r="U44" s="73" t="str">
        <f t="shared" si="7"/>
        <v/>
      </c>
      <c r="V44" s="73">
        <f t="shared" si="33"/>
        <v>13460.16949</v>
      </c>
      <c r="W44" s="73">
        <f t="shared" si="9"/>
        <v>13460.16949</v>
      </c>
      <c r="X44" s="74">
        <f t="shared" si="10"/>
        <v>1</v>
      </c>
      <c r="Y44" s="73">
        <f t="shared" si="11"/>
        <v>0</v>
      </c>
      <c r="Z44" s="73">
        <f t="shared" si="12"/>
        <v>14345.76271</v>
      </c>
      <c r="AA44" s="73">
        <f t="shared" si="13"/>
        <v>14345.76271</v>
      </c>
      <c r="AB44" s="74">
        <f t="shared" si="14"/>
        <v>1</v>
      </c>
      <c r="AC44" s="61" t="str">
        <f t="shared" si="15"/>
        <v>8</v>
      </c>
      <c r="AD44" s="71" t="str">
        <f t="shared" si="16"/>
        <v>#DIV/0!</v>
      </c>
      <c r="AE44" s="61"/>
      <c r="AF44" s="61"/>
      <c r="AG44" s="71">
        <f t="array" ref="AG44">IFERROR(xlookup(G44,'Old Master'!T:T,'Old Master'!V:V),N44)</f>
        <v>0.1900090913</v>
      </c>
      <c r="AH44" s="73">
        <f t="shared" si="17"/>
        <v>16928</v>
      </c>
      <c r="AI44" s="73">
        <f t="shared" si="18"/>
        <v>14345.76271</v>
      </c>
      <c r="AJ44" s="72">
        <f t="shared" si="19"/>
        <v>1</v>
      </c>
      <c r="AK44" s="61"/>
      <c r="AL44" s="71">
        <f t="array" ref="AL44">iferror(if(isblank(xlookup($G44,'Old Master'!$T:$T,'Old Master'!$W:$W)),AG44,xlookup($G44,'Old Master'!$T:$T,'Old Master'!$W:$W)),AG44)</f>
        <v>0.1900090913</v>
      </c>
      <c r="AM44" s="74">
        <f t="shared" si="20"/>
        <v>0.1913967175</v>
      </c>
      <c r="AN44" s="73">
        <f t="shared" si="52"/>
        <v>16899</v>
      </c>
    </row>
    <row r="45">
      <c r="A45" s="65" t="s">
        <v>861</v>
      </c>
      <c r="B45" s="65">
        <f t="shared" si="1"/>
        <v>48</v>
      </c>
      <c r="C45" s="65" t="str">
        <f t="shared" si="2"/>
        <v>SC-HYB-LATEX-D-72x50x8</v>
      </c>
      <c r="D45" s="65" t="s">
        <v>863</v>
      </c>
      <c r="E45" s="65" t="s">
        <v>864</v>
      </c>
      <c r="F45" s="65" t="s">
        <v>865</v>
      </c>
      <c r="G45" s="65" t="s">
        <v>5108</v>
      </c>
      <c r="H45" s="65" t="s">
        <v>52</v>
      </c>
      <c r="I45" s="65">
        <v>16199.0</v>
      </c>
      <c r="J45" s="66">
        <v>0.25</v>
      </c>
      <c r="K45" s="65">
        <f t="shared" si="3"/>
        <v>12149</v>
      </c>
      <c r="L45" s="66">
        <v>0.2</v>
      </c>
      <c r="M45" s="65">
        <f t="shared" si="4"/>
        <v>12959</v>
      </c>
      <c r="N45" s="75">
        <v>0.16</v>
      </c>
      <c r="O45" s="68">
        <f t="shared" ref="O45:O46" si="56">I45*(1-N45)</f>
        <v>13607.16</v>
      </c>
      <c r="P45" s="75">
        <v>0.13</v>
      </c>
      <c r="Q45" s="68">
        <f t="shared" ref="Q45:Q46" si="57">I45*(1-P45)</f>
        <v>14093.13</v>
      </c>
      <c r="R45" s="71">
        <f t="shared" ref="R45:R46" si="58">Q45/M45-1</f>
        <v>0.0875167837</v>
      </c>
      <c r="S45" s="71">
        <f t="shared" si="51"/>
        <v>0.05001620495</v>
      </c>
      <c r="T45" s="72">
        <f t="shared" si="6"/>
        <v>0</v>
      </c>
      <c r="U45" s="73" t="str">
        <f t="shared" si="7"/>
        <v/>
      </c>
      <c r="V45" s="73">
        <f t="shared" si="33"/>
        <v>10982.20339</v>
      </c>
      <c r="W45" s="73">
        <f t="shared" si="9"/>
        <v>10982.20339</v>
      </c>
      <c r="X45" s="74">
        <f t="shared" si="10"/>
        <v>1</v>
      </c>
      <c r="Y45" s="73">
        <f t="shared" si="11"/>
        <v>0</v>
      </c>
      <c r="Z45" s="73">
        <f t="shared" si="12"/>
        <v>11531.49153</v>
      </c>
      <c r="AA45" s="73">
        <f t="shared" si="13"/>
        <v>11531.49153</v>
      </c>
      <c r="AB45" s="74">
        <f t="shared" si="14"/>
        <v>1</v>
      </c>
      <c r="AC45" s="61" t="str">
        <f t="shared" si="15"/>
        <v>8</v>
      </c>
      <c r="AD45" s="71" t="str">
        <f t="shared" si="16"/>
        <v>#DIV/0!</v>
      </c>
      <c r="AE45" s="73">
        <f t="shared" ref="AE45:AE46" si="59">Q45/118%-Y45</f>
        <v>11943.33051</v>
      </c>
      <c r="AF45" s="74">
        <f t="shared" ref="AF45:AF46" si="60">AE45/(Q45/1.18)</f>
        <v>1</v>
      </c>
      <c r="AG45" s="71">
        <f t="array" ref="AG45">IFERROR(xlookup(G45,'Old Master'!T:T,'Old Master'!V:V),N45)</f>
        <v>0.16</v>
      </c>
      <c r="AH45" s="73">
        <f t="shared" si="17"/>
        <v>13607.16</v>
      </c>
      <c r="AI45" s="73">
        <f t="shared" si="18"/>
        <v>11531.49153</v>
      </c>
      <c r="AJ45" s="72">
        <f t="shared" si="19"/>
        <v>1</v>
      </c>
      <c r="AK45" s="61"/>
      <c r="AL45" s="71">
        <f t="array" ref="AL45">iferror(if(isblank(xlookup($G45,'Old Master'!$T:$T,'Old Master'!$W:$W)),AG45,xlookup($G45,'Old Master'!$T:$T,'Old Master'!$W:$W)),AG45)</f>
        <v>0.16</v>
      </c>
      <c r="AM45" s="74">
        <f t="shared" si="20"/>
        <v>0.1605037348</v>
      </c>
      <c r="AN45" s="73">
        <f t="shared" si="52"/>
        <v>13599</v>
      </c>
    </row>
    <row r="46">
      <c r="A46" s="65" t="s">
        <v>1016</v>
      </c>
      <c r="B46" s="65">
        <f t="shared" si="1"/>
        <v>72</v>
      </c>
      <c r="C46" s="65" t="str">
        <f t="shared" si="2"/>
        <v>SC-HYB-LATEX-K-75x74x6</v>
      </c>
      <c r="D46" s="65" t="s">
        <v>1018</v>
      </c>
      <c r="E46" s="65">
        <v>0.0</v>
      </c>
      <c r="F46" s="65" t="s">
        <v>1019</v>
      </c>
      <c r="G46" s="65" t="s">
        <v>5108</v>
      </c>
      <c r="H46" s="65" t="s">
        <v>52</v>
      </c>
      <c r="I46" s="65">
        <v>19999.0</v>
      </c>
      <c r="J46" s="66">
        <v>0.25</v>
      </c>
      <c r="K46" s="65">
        <f t="shared" si="3"/>
        <v>14999</v>
      </c>
      <c r="L46" s="66">
        <v>0.2</v>
      </c>
      <c r="M46" s="65">
        <f t="shared" si="4"/>
        <v>15999</v>
      </c>
      <c r="N46" s="75">
        <v>0.16</v>
      </c>
      <c r="O46" s="68">
        <f t="shared" si="56"/>
        <v>16799.16</v>
      </c>
      <c r="P46" s="75">
        <v>0.13</v>
      </c>
      <c r="Q46" s="68">
        <f t="shared" si="57"/>
        <v>17399.13</v>
      </c>
      <c r="R46" s="71">
        <f t="shared" si="58"/>
        <v>0.0875135946</v>
      </c>
      <c r="S46" s="71">
        <f t="shared" si="51"/>
        <v>0.05001312582</v>
      </c>
      <c r="T46" s="72">
        <f t="shared" si="6"/>
        <v>0</v>
      </c>
      <c r="U46" s="73" t="str">
        <f t="shared" si="7"/>
        <v/>
      </c>
      <c r="V46" s="73">
        <f t="shared" si="33"/>
        <v>13558.47458</v>
      </c>
      <c r="W46" s="73">
        <f t="shared" si="9"/>
        <v>13558.47458</v>
      </c>
      <c r="X46" s="74">
        <f t="shared" si="10"/>
        <v>1</v>
      </c>
      <c r="Y46" s="73">
        <f t="shared" si="11"/>
        <v>0</v>
      </c>
      <c r="Z46" s="73">
        <f t="shared" si="12"/>
        <v>14236.57627</v>
      </c>
      <c r="AA46" s="73">
        <f t="shared" si="13"/>
        <v>14236.57627</v>
      </c>
      <c r="AB46" s="74">
        <f t="shared" si="14"/>
        <v>1</v>
      </c>
      <c r="AC46" s="61" t="str">
        <f t="shared" si="15"/>
        <v>6</v>
      </c>
      <c r="AD46" s="71" t="str">
        <f t="shared" si="16"/>
        <v>#DIV/0!</v>
      </c>
      <c r="AE46" s="73">
        <f t="shared" si="59"/>
        <v>14745.02542</v>
      </c>
      <c r="AF46" s="74">
        <f t="shared" si="60"/>
        <v>1</v>
      </c>
      <c r="AG46" s="71">
        <f t="array" ref="AG46">IFERROR(xlookup(G46,'Old Master'!T:T,'Old Master'!V:V),N46)</f>
        <v>0.16</v>
      </c>
      <c r="AH46" s="73">
        <f t="shared" si="17"/>
        <v>16799.16</v>
      </c>
      <c r="AI46" s="73">
        <f t="shared" si="18"/>
        <v>14236.57627</v>
      </c>
      <c r="AJ46" s="72">
        <f t="shared" si="19"/>
        <v>1</v>
      </c>
      <c r="AK46" s="61"/>
      <c r="AL46" s="71">
        <f t="array" ref="AL46">iferror(if(isblank(xlookup($G46,'Old Master'!$T:$T,'Old Master'!$W:$W)),AG46,xlookup($G46,'Old Master'!$T:$T,'Old Master'!$W:$W)),AG46)</f>
        <v>0.16</v>
      </c>
      <c r="AM46" s="74">
        <f t="shared" si="20"/>
        <v>0.1600080004</v>
      </c>
      <c r="AN46" s="73">
        <f t="shared" si="52"/>
        <v>16799</v>
      </c>
    </row>
    <row r="47">
      <c r="A47" s="65" t="s">
        <v>692</v>
      </c>
      <c r="B47" s="65">
        <f t="shared" si="1"/>
        <v>72</v>
      </c>
      <c r="C47" s="65" t="str">
        <f t="shared" si="2"/>
        <v>SC-ORIG-K-78x74x10</v>
      </c>
      <c r="D47" s="65" t="s">
        <v>694</v>
      </c>
      <c r="E47" s="65" t="s">
        <v>695</v>
      </c>
      <c r="F47" s="65" t="s">
        <v>696</v>
      </c>
      <c r="G47" s="65" t="s">
        <v>51</v>
      </c>
      <c r="H47" s="65" t="s">
        <v>52</v>
      </c>
      <c r="I47" s="65">
        <v>24499.0</v>
      </c>
      <c r="J47" s="66">
        <v>0.28</v>
      </c>
      <c r="K47" s="65">
        <f t="shared" si="3"/>
        <v>17639</v>
      </c>
      <c r="L47" s="66">
        <v>0.24</v>
      </c>
      <c r="M47" s="65">
        <f t="shared" si="4"/>
        <v>18619</v>
      </c>
      <c r="N47" s="67">
        <f t="shared" ref="N47:N55" si="61">1-O47/I47</f>
        <v>0.1900077554</v>
      </c>
      <c r="O47" s="68">
        <v>19844.0</v>
      </c>
      <c r="P47" s="67">
        <f t="shared" ref="P47:P53" si="62">1-Q47/I47</f>
        <v>0.1900077554</v>
      </c>
      <c r="Q47" s="69">
        <v>19844.0</v>
      </c>
      <c r="R47" s="76"/>
      <c r="S47" s="72">
        <f t="shared" si="51"/>
        <v>0.06579300714</v>
      </c>
      <c r="T47" s="72">
        <f t="shared" si="6"/>
        <v>0</v>
      </c>
      <c r="U47" s="73" t="str">
        <f t="shared" si="7"/>
        <v/>
      </c>
      <c r="V47" s="73">
        <f t="shared" si="33"/>
        <v>15778.81356</v>
      </c>
      <c r="W47" s="73">
        <f t="shared" si="9"/>
        <v>15778.81356</v>
      </c>
      <c r="X47" s="74">
        <f t="shared" si="10"/>
        <v>1</v>
      </c>
      <c r="Y47" s="73">
        <f t="shared" si="11"/>
        <v>0</v>
      </c>
      <c r="Z47" s="73">
        <f t="shared" si="12"/>
        <v>16816.94915</v>
      </c>
      <c r="AA47" s="73">
        <f t="shared" si="13"/>
        <v>16816.94915</v>
      </c>
      <c r="AB47" s="74">
        <f t="shared" si="14"/>
        <v>1</v>
      </c>
      <c r="AC47" s="61" t="str">
        <f t="shared" si="15"/>
        <v>0</v>
      </c>
      <c r="AD47" s="71" t="str">
        <f t="shared" si="16"/>
        <v>#DIV/0!</v>
      </c>
      <c r="AE47" s="61"/>
      <c r="AF47" s="61"/>
      <c r="AG47" s="71">
        <f t="array" ref="AG47">IFERROR(xlookup(G47,'Old Master'!T:T,'Old Master'!V:V),N47)</f>
        <v>0.1900077554</v>
      </c>
      <c r="AH47" s="73">
        <f t="shared" si="17"/>
        <v>19844</v>
      </c>
      <c r="AI47" s="73">
        <f t="shared" si="18"/>
        <v>16816.94915</v>
      </c>
      <c r="AJ47" s="72">
        <f t="shared" si="19"/>
        <v>1</v>
      </c>
      <c r="AK47" s="61"/>
      <c r="AL47" s="71">
        <f t="array" ref="AL47">iferror(if(isblank(xlookup($G47,'Old Master'!$T:$T,'Old Master'!$W:$W)),AG47,xlookup($G47,'Old Master'!$T:$T,'Old Master'!$W:$W)),AG47)</f>
        <v>0.1900077554</v>
      </c>
      <c r="AM47" s="74">
        <f t="shared" si="20"/>
        <v>0.1918445651</v>
      </c>
      <c r="AN47" s="73">
        <f t="shared" si="52"/>
        <v>19799</v>
      </c>
    </row>
    <row r="48">
      <c r="A48" s="65" t="s">
        <v>1570</v>
      </c>
      <c r="B48" s="65">
        <f t="shared" si="1"/>
        <v>60</v>
      </c>
      <c r="C48" s="65" t="str">
        <f t="shared" si="2"/>
        <v>SC-ULTM-Q-72x62x8</v>
      </c>
      <c r="D48" s="65" t="s">
        <v>1572</v>
      </c>
      <c r="E48" s="65" t="s">
        <v>1570</v>
      </c>
      <c r="F48" s="65" t="s">
        <v>1570</v>
      </c>
      <c r="G48" s="65" t="s">
        <v>5112</v>
      </c>
      <c r="H48" s="65" t="s">
        <v>52</v>
      </c>
      <c r="I48" s="65">
        <v>22999.0</v>
      </c>
      <c r="J48" s="66">
        <v>0.25</v>
      </c>
      <c r="K48" s="65">
        <f t="shared" si="3"/>
        <v>17249</v>
      </c>
      <c r="L48" s="66">
        <v>0.22</v>
      </c>
      <c r="M48" s="65">
        <f t="shared" si="4"/>
        <v>17939</v>
      </c>
      <c r="N48" s="67">
        <f t="shared" si="61"/>
        <v>0.100004348</v>
      </c>
      <c r="O48" s="68">
        <v>20699.0</v>
      </c>
      <c r="P48" s="67">
        <f t="shared" si="62"/>
        <v>0.100004348</v>
      </c>
      <c r="Q48" s="69">
        <v>20699.0</v>
      </c>
      <c r="R48" s="70"/>
      <c r="S48" s="71">
        <f t="shared" si="51"/>
        <v>0.1538547299</v>
      </c>
      <c r="T48" s="72">
        <f t="shared" si="6"/>
        <v>0</v>
      </c>
      <c r="U48" s="73" t="str">
        <f t="shared" si="7"/>
        <v/>
      </c>
      <c r="V48" s="73">
        <f t="shared" si="33"/>
        <v>15202.54237</v>
      </c>
      <c r="W48" s="73">
        <f t="shared" si="9"/>
        <v>15202.54237</v>
      </c>
      <c r="X48" s="74">
        <f t="shared" si="10"/>
        <v>1</v>
      </c>
      <c r="Y48" s="73">
        <f t="shared" si="11"/>
        <v>0</v>
      </c>
      <c r="Z48" s="73">
        <f t="shared" si="12"/>
        <v>17541.52542</v>
      </c>
      <c r="AA48" s="73">
        <f t="shared" si="13"/>
        <v>17541.52542</v>
      </c>
      <c r="AB48" s="74">
        <f t="shared" si="14"/>
        <v>1</v>
      </c>
      <c r="AC48" s="61" t="str">
        <f t="shared" si="15"/>
        <v>8</v>
      </c>
      <c r="AD48" s="71" t="str">
        <f t="shared" si="16"/>
        <v>#DIV/0!</v>
      </c>
      <c r="AE48" s="61"/>
      <c r="AF48" s="61"/>
      <c r="AG48" s="71">
        <f t="array" ref="AG48">IFERROR(xlookup(G48,'Old Master'!T:T,'Old Master'!V:V),N48)</f>
        <v>0.100004348</v>
      </c>
      <c r="AH48" s="73">
        <f t="shared" si="17"/>
        <v>20699</v>
      </c>
      <c r="AI48" s="73">
        <f t="shared" si="18"/>
        <v>17541.52542</v>
      </c>
      <c r="AJ48" s="72">
        <f t="shared" si="19"/>
        <v>1</v>
      </c>
      <c r="AK48" s="61"/>
      <c r="AL48" s="71">
        <f t="array" ref="AL48">iferror(if(isblank(xlookup($G48,'Old Master'!$T:$T,'Old Master'!$W:$W)),AG48,xlookup($G48,'Old Master'!$T:$T,'Old Master'!$W:$W)),AG48)</f>
        <v>0.100004348</v>
      </c>
      <c r="AM48" s="74">
        <f t="shared" si="20"/>
        <v>0.100004348</v>
      </c>
      <c r="AN48" s="73">
        <f t="shared" si="52"/>
        <v>20699</v>
      </c>
    </row>
    <row r="49">
      <c r="A49" s="65" t="s">
        <v>1782</v>
      </c>
      <c r="B49" s="65">
        <f t="shared" si="1"/>
        <v>60</v>
      </c>
      <c r="C49" s="65" t="str">
        <f t="shared" si="2"/>
        <v>SC-ULTM-LATEX-Q-72x62x8</v>
      </c>
      <c r="D49" s="65" t="s">
        <v>1784</v>
      </c>
      <c r="E49" s="65" t="s">
        <v>1785</v>
      </c>
      <c r="F49" s="65" t="s">
        <v>1786</v>
      </c>
      <c r="G49" s="65" t="s">
        <v>5109</v>
      </c>
      <c r="H49" s="65" t="s">
        <v>52</v>
      </c>
      <c r="I49" s="65">
        <v>31999.0</v>
      </c>
      <c r="J49" s="66">
        <v>0.23</v>
      </c>
      <c r="K49" s="65">
        <f t="shared" si="3"/>
        <v>24639</v>
      </c>
      <c r="L49" s="66">
        <v>0.18</v>
      </c>
      <c r="M49" s="65">
        <f t="shared" si="4"/>
        <v>26239</v>
      </c>
      <c r="N49" s="67">
        <f t="shared" si="61"/>
        <v>0.1000031251</v>
      </c>
      <c r="O49" s="68">
        <v>28799.0</v>
      </c>
      <c r="P49" s="67">
        <f t="shared" si="62"/>
        <v>0.1000031251</v>
      </c>
      <c r="Q49" s="69">
        <v>28799.0</v>
      </c>
      <c r="R49" s="70"/>
      <c r="S49" s="71">
        <f t="shared" si="51"/>
        <v>0.09756469378</v>
      </c>
      <c r="T49" s="72">
        <f t="shared" si="6"/>
        <v>0</v>
      </c>
      <c r="U49" s="73" t="str">
        <f t="shared" si="7"/>
        <v/>
      </c>
      <c r="V49" s="73">
        <f t="shared" si="33"/>
        <v>22236.44068</v>
      </c>
      <c r="W49" s="73">
        <f t="shared" si="9"/>
        <v>22236.44068</v>
      </c>
      <c r="X49" s="74">
        <f t="shared" si="10"/>
        <v>1</v>
      </c>
      <c r="Y49" s="73">
        <f t="shared" si="11"/>
        <v>0</v>
      </c>
      <c r="Z49" s="73">
        <f t="shared" si="12"/>
        <v>24405.9322</v>
      </c>
      <c r="AA49" s="73">
        <f t="shared" si="13"/>
        <v>24405.9322</v>
      </c>
      <c r="AB49" s="74">
        <f t="shared" si="14"/>
        <v>1</v>
      </c>
      <c r="AC49" s="61" t="str">
        <f t="shared" si="15"/>
        <v>8</v>
      </c>
      <c r="AD49" s="71" t="str">
        <f t="shared" si="16"/>
        <v>#DIV/0!</v>
      </c>
      <c r="AE49" s="61"/>
      <c r="AF49" s="61"/>
      <c r="AG49" s="71">
        <f t="array" ref="AG49">IFERROR(xlookup(G49,'Old Master'!T:T,'Old Master'!V:V),N49)</f>
        <v>0.1000031251</v>
      </c>
      <c r="AH49" s="73">
        <f t="shared" si="17"/>
        <v>28799</v>
      </c>
      <c r="AI49" s="73">
        <f t="shared" si="18"/>
        <v>24405.9322</v>
      </c>
      <c r="AJ49" s="72">
        <f t="shared" si="19"/>
        <v>1</v>
      </c>
      <c r="AK49" s="61"/>
      <c r="AL49" s="71">
        <f t="array" ref="AL49">iferror(if(isblank(xlookup($G49,'Old Master'!$T:$T,'Old Master'!$W:$W)),AG49,xlookup($G49,'Old Master'!$T:$T,'Old Master'!$W:$W)),AG49)</f>
        <v>0.1000031251</v>
      </c>
      <c r="AM49" s="74">
        <f t="shared" si="20"/>
        <v>0.1000031251</v>
      </c>
      <c r="AN49" s="73">
        <f t="shared" si="52"/>
        <v>28799</v>
      </c>
    </row>
    <row r="50">
      <c r="A50" s="65" t="s">
        <v>23</v>
      </c>
      <c r="B50" s="65">
        <f t="shared" si="1"/>
        <v>36</v>
      </c>
      <c r="C50" s="65" t="str">
        <f t="shared" si="2"/>
        <v>SC-ORIG-S-72x38x6</v>
      </c>
      <c r="D50" s="65" t="s">
        <v>25</v>
      </c>
      <c r="E50" s="65" t="s">
        <v>26</v>
      </c>
      <c r="F50" s="65" t="s">
        <v>27</v>
      </c>
      <c r="G50" s="65" t="s">
        <v>51</v>
      </c>
      <c r="H50" s="65" t="s">
        <v>52</v>
      </c>
      <c r="I50" s="65">
        <v>10399.0</v>
      </c>
      <c r="J50" s="66">
        <v>0.28</v>
      </c>
      <c r="K50" s="65">
        <f t="shared" si="3"/>
        <v>7487</v>
      </c>
      <c r="L50" s="66">
        <v>0.24</v>
      </c>
      <c r="M50" s="65">
        <f t="shared" si="4"/>
        <v>7903</v>
      </c>
      <c r="N50" s="67">
        <f t="shared" si="61"/>
        <v>0.190018271</v>
      </c>
      <c r="O50" s="68">
        <v>8423.0</v>
      </c>
      <c r="P50" s="67">
        <f t="shared" si="62"/>
        <v>0.190018271</v>
      </c>
      <c r="Q50" s="69">
        <v>8423.0</v>
      </c>
      <c r="R50" s="76"/>
      <c r="S50" s="72">
        <f t="shared" si="51"/>
        <v>0.0657977983</v>
      </c>
      <c r="T50" s="72">
        <f t="shared" si="6"/>
        <v>0</v>
      </c>
      <c r="U50" s="73" t="str">
        <f t="shared" si="7"/>
        <v/>
      </c>
      <c r="V50" s="73">
        <f t="shared" si="33"/>
        <v>6697.457627</v>
      </c>
      <c r="W50" s="73">
        <f t="shared" si="9"/>
        <v>6697.457627</v>
      </c>
      <c r="X50" s="74">
        <f t="shared" si="10"/>
        <v>1</v>
      </c>
      <c r="Y50" s="73">
        <f t="shared" si="11"/>
        <v>0</v>
      </c>
      <c r="Z50" s="73">
        <f t="shared" si="12"/>
        <v>7138.135593</v>
      </c>
      <c r="AA50" s="73">
        <f t="shared" si="13"/>
        <v>7138.135593</v>
      </c>
      <c r="AB50" s="74">
        <f t="shared" si="14"/>
        <v>1</v>
      </c>
      <c r="AC50" s="61" t="str">
        <f t="shared" si="15"/>
        <v>6</v>
      </c>
      <c r="AD50" s="71" t="str">
        <f t="shared" si="16"/>
        <v>#DIV/0!</v>
      </c>
      <c r="AE50" s="61"/>
      <c r="AF50" s="61"/>
      <c r="AG50" s="71">
        <f t="array" ref="AG50">IFERROR(xlookup(G50,'Old Master'!T:T,'Old Master'!V:V),N50)</f>
        <v>0.190018271</v>
      </c>
      <c r="AH50" s="73">
        <f t="shared" si="17"/>
        <v>8423</v>
      </c>
      <c r="AI50" s="73">
        <f t="shared" si="18"/>
        <v>7138.135593</v>
      </c>
      <c r="AJ50" s="72">
        <f t="shared" si="19"/>
        <v>1</v>
      </c>
      <c r="AK50" s="61"/>
      <c r="AL50" s="71">
        <f t="array" ref="AL50">iferror(if(isblank(xlookup($G50,'Old Master'!$T:$T,'Old Master'!$W:$W)),AG50,xlookup($G50,'Old Master'!$T:$T,'Old Master'!$W:$W)),AG50)</f>
        <v>0.190018271</v>
      </c>
      <c r="AM50" s="74">
        <f t="shared" si="20"/>
        <v>0.1923261852</v>
      </c>
      <c r="AN50" s="73">
        <f t="shared" si="52"/>
        <v>8399</v>
      </c>
    </row>
    <row r="51">
      <c r="A51" s="65" t="s">
        <v>436</v>
      </c>
      <c r="B51" s="65">
        <f t="shared" si="1"/>
        <v>60</v>
      </c>
      <c r="C51" s="65" t="str">
        <f t="shared" si="2"/>
        <v>SC-ORIG-Q-78x62x10</v>
      </c>
      <c r="D51" s="65" t="s">
        <v>438</v>
      </c>
      <c r="E51" s="65" t="s">
        <v>439</v>
      </c>
      <c r="F51" s="65" t="s">
        <v>440</v>
      </c>
      <c r="G51" s="65" t="s">
        <v>51</v>
      </c>
      <c r="H51" s="65" t="s">
        <v>52</v>
      </c>
      <c r="I51" s="65">
        <v>20799.0</v>
      </c>
      <c r="J51" s="66">
        <v>0.28</v>
      </c>
      <c r="K51" s="65">
        <f t="shared" si="3"/>
        <v>14975</v>
      </c>
      <c r="L51" s="66">
        <v>0.24</v>
      </c>
      <c r="M51" s="65">
        <f t="shared" si="4"/>
        <v>15807</v>
      </c>
      <c r="N51" s="67">
        <f t="shared" si="61"/>
        <v>0.1900091351</v>
      </c>
      <c r="O51" s="68">
        <v>16847.0</v>
      </c>
      <c r="P51" s="67">
        <f t="shared" si="62"/>
        <v>0.1900091351</v>
      </c>
      <c r="Q51" s="69">
        <v>16847.0</v>
      </c>
      <c r="R51" s="76"/>
      <c r="S51" s="72">
        <f t="shared" si="51"/>
        <v>0.06579363573</v>
      </c>
      <c r="T51" s="72">
        <f t="shared" si="6"/>
        <v>0</v>
      </c>
      <c r="U51" s="73" t="str">
        <f t="shared" si="7"/>
        <v/>
      </c>
      <c r="V51" s="73">
        <f t="shared" si="33"/>
        <v>13395.76271</v>
      </c>
      <c r="W51" s="73">
        <f t="shared" si="9"/>
        <v>13395.76271</v>
      </c>
      <c r="X51" s="74">
        <f t="shared" si="10"/>
        <v>1</v>
      </c>
      <c r="Y51" s="73">
        <f t="shared" si="11"/>
        <v>0</v>
      </c>
      <c r="Z51" s="73">
        <f t="shared" si="12"/>
        <v>14277.11864</v>
      </c>
      <c r="AA51" s="73">
        <f t="shared" si="13"/>
        <v>14277.11864</v>
      </c>
      <c r="AB51" s="74">
        <f t="shared" si="14"/>
        <v>1</v>
      </c>
      <c r="AC51" s="61" t="str">
        <f t="shared" si="15"/>
        <v>0</v>
      </c>
      <c r="AD51" s="71" t="str">
        <f t="shared" si="16"/>
        <v>#DIV/0!</v>
      </c>
      <c r="AE51" s="61"/>
      <c r="AF51" s="61"/>
      <c r="AG51" s="71">
        <f t="array" ref="AG51">IFERROR(xlookup(G51,'Old Master'!T:T,'Old Master'!V:V),N51)</f>
        <v>0.1900091351</v>
      </c>
      <c r="AH51" s="73">
        <f t="shared" si="17"/>
        <v>16847</v>
      </c>
      <c r="AI51" s="73">
        <f t="shared" si="18"/>
        <v>14277.11864</v>
      </c>
      <c r="AJ51" s="72">
        <f t="shared" si="19"/>
        <v>1</v>
      </c>
      <c r="AK51" s="61"/>
      <c r="AL51" s="71">
        <f t="array" ref="AL51">iferror(if(isblank(xlookup($G51,'Old Master'!$T:$T,'Old Master'!$W:$W)),AG51,xlookup($G51,'Old Master'!$T:$T,'Old Master'!$W:$W)),AG51)</f>
        <v>0.1900091351</v>
      </c>
      <c r="AM51" s="74">
        <f t="shared" si="20"/>
        <v>0.1923169383</v>
      </c>
      <c r="AN51" s="73">
        <f t="shared" si="52"/>
        <v>16799</v>
      </c>
    </row>
    <row r="52">
      <c r="A52" s="65" t="s">
        <v>1638</v>
      </c>
      <c r="B52" s="65">
        <f t="shared" si="1"/>
        <v>72</v>
      </c>
      <c r="C52" s="65" t="str">
        <f t="shared" si="2"/>
        <v>SC-ULTM-K-75x74x8</v>
      </c>
      <c r="D52" s="65" t="s">
        <v>1640</v>
      </c>
      <c r="E52" s="65" t="s">
        <v>1638</v>
      </c>
      <c r="F52" s="65" t="s">
        <v>1638</v>
      </c>
      <c r="G52" s="65" t="s">
        <v>5112</v>
      </c>
      <c r="H52" s="65" t="s">
        <v>52</v>
      </c>
      <c r="I52" s="65">
        <v>25999.0</v>
      </c>
      <c r="J52" s="66">
        <v>0.25</v>
      </c>
      <c r="K52" s="65">
        <f t="shared" si="3"/>
        <v>19499</v>
      </c>
      <c r="L52" s="66">
        <v>0.22</v>
      </c>
      <c r="M52" s="65">
        <f t="shared" si="4"/>
        <v>20279</v>
      </c>
      <c r="N52" s="67">
        <f t="shared" si="61"/>
        <v>0.1000038463</v>
      </c>
      <c r="O52" s="68">
        <v>23399.0</v>
      </c>
      <c r="P52" s="67">
        <f t="shared" si="62"/>
        <v>0.1000038463</v>
      </c>
      <c r="Q52" s="69">
        <v>23399.0</v>
      </c>
      <c r="R52" s="70"/>
      <c r="S52" s="71">
        <f t="shared" si="51"/>
        <v>0.1538537403</v>
      </c>
      <c r="T52" s="72">
        <f t="shared" si="6"/>
        <v>0</v>
      </c>
      <c r="U52" s="73" t="str">
        <f t="shared" si="7"/>
        <v/>
      </c>
      <c r="V52" s="73">
        <f t="shared" si="33"/>
        <v>17185.59322</v>
      </c>
      <c r="W52" s="73">
        <f t="shared" si="9"/>
        <v>17185.59322</v>
      </c>
      <c r="X52" s="74">
        <f t="shared" si="10"/>
        <v>1</v>
      </c>
      <c r="Y52" s="73">
        <f t="shared" si="11"/>
        <v>0</v>
      </c>
      <c r="Z52" s="73">
        <f t="shared" si="12"/>
        <v>19829.66102</v>
      </c>
      <c r="AA52" s="73">
        <f t="shared" si="13"/>
        <v>19829.66102</v>
      </c>
      <c r="AB52" s="74">
        <f t="shared" si="14"/>
        <v>1</v>
      </c>
      <c r="AC52" s="61" t="str">
        <f t="shared" si="15"/>
        <v>8</v>
      </c>
      <c r="AD52" s="71" t="str">
        <f t="shared" si="16"/>
        <v>#DIV/0!</v>
      </c>
      <c r="AE52" s="61"/>
      <c r="AF52" s="61"/>
      <c r="AG52" s="71">
        <f t="array" ref="AG52">IFERROR(xlookup(G52,'Old Master'!T:T,'Old Master'!V:V),N52)</f>
        <v>0.1000038463</v>
      </c>
      <c r="AH52" s="73">
        <f t="shared" si="17"/>
        <v>23399</v>
      </c>
      <c r="AI52" s="73">
        <f t="shared" si="18"/>
        <v>19829.66102</v>
      </c>
      <c r="AJ52" s="72">
        <f t="shared" si="19"/>
        <v>1</v>
      </c>
      <c r="AK52" s="61"/>
      <c r="AL52" s="71">
        <f t="array" ref="AL52">iferror(if(isblank(xlookup($G52,'Old Master'!$T:$T,'Old Master'!$W:$W)),AG52,xlookup($G52,'Old Master'!$T:$T,'Old Master'!$W:$W)),AG52)</f>
        <v>0.1000038463</v>
      </c>
      <c r="AM52" s="74">
        <f t="shared" si="20"/>
        <v>0.1000038463</v>
      </c>
      <c r="AN52" s="73">
        <f t="shared" si="52"/>
        <v>23399</v>
      </c>
    </row>
    <row r="53">
      <c r="A53" s="65" t="s">
        <v>2085</v>
      </c>
      <c r="B53" s="65">
        <f t="shared" si="1"/>
        <v>60</v>
      </c>
      <c r="C53" s="65" t="str">
        <f t="shared" si="2"/>
        <v>SC-CLD-SPR-Q-78x62x8</v>
      </c>
      <c r="D53" s="65" t="s">
        <v>2087</v>
      </c>
      <c r="E53" s="65" t="s">
        <v>2088</v>
      </c>
      <c r="F53" s="65" t="s">
        <v>2089</v>
      </c>
      <c r="G53" s="65" t="s">
        <v>5138</v>
      </c>
      <c r="H53" s="65" t="s">
        <v>52</v>
      </c>
      <c r="I53" s="65">
        <v>25999.0</v>
      </c>
      <c r="J53" s="66">
        <v>0.25</v>
      </c>
      <c r="K53" s="65">
        <f t="shared" si="3"/>
        <v>19499</v>
      </c>
      <c r="L53" s="66">
        <v>0.2</v>
      </c>
      <c r="M53" s="65">
        <f t="shared" si="4"/>
        <v>20799</v>
      </c>
      <c r="N53" s="67">
        <f t="shared" si="61"/>
        <v>0.1000038463</v>
      </c>
      <c r="O53" s="68">
        <v>23399.0</v>
      </c>
      <c r="P53" s="67">
        <f t="shared" si="62"/>
        <v>0.1000038463</v>
      </c>
      <c r="Q53" s="69">
        <v>23399.0</v>
      </c>
      <c r="R53" s="70"/>
      <c r="S53" s="71">
        <f t="shared" si="51"/>
        <v>0.1250060099</v>
      </c>
      <c r="T53" s="72">
        <f t="shared" si="6"/>
        <v>0</v>
      </c>
      <c r="U53" s="73" t="str">
        <f t="shared" si="7"/>
        <v/>
      </c>
      <c r="V53" s="73">
        <f t="shared" si="33"/>
        <v>17626.27119</v>
      </c>
      <c r="W53" s="73">
        <f t="shared" si="9"/>
        <v>17626.27119</v>
      </c>
      <c r="X53" s="74">
        <f t="shared" si="10"/>
        <v>1</v>
      </c>
      <c r="Y53" s="73">
        <f t="shared" si="11"/>
        <v>0</v>
      </c>
      <c r="Z53" s="73">
        <f t="shared" si="12"/>
        <v>19829.66102</v>
      </c>
      <c r="AA53" s="73">
        <f t="shared" si="13"/>
        <v>19829.66102</v>
      </c>
      <c r="AB53" s="74">
        <f t="shared" si="14"/>
        <v>1</v>
      </c>
      <c r="AC53" s="61" t="str">
        <f t="shared" si="15"/>
        <v>8</v>
      </c>
      <c r="AD53" s="71" t="str">
        <f t="shared" si="16"/>
        <v>#DIV/0!</v>
      </c>
      <c r="AE53" s="61"/>
      <c r="AF53" s="61"/>
      <c r="AG53" s="71">
        <f t="array" ref="AG53">IFERROR(xlookup(G53,'Old Master'!T:T,'Old Master'!V:V),N53)</f>
        <v>0.1000038463</v>
      </c>
      <c r="AH53" s="73">
        <f t="shared" si="17"/>
        <v>23399</v>
      </c>
      <c r="AI53" s="73">
        <f t="shared" si="18"/>
        <v>19829.66102</v>
      </c>
      <c r="AJ53" s="72">
        <f t="shared" si="19"/>
        <v>1</v>
      </c>
      <c r="AK53" s="61"/>
      <c r="AL53" s="71">
        <f t="array" ref="AL53">iferror(if(isblank(xlookup($G53,'Old Master'!$T:$T,'Old Master'!$W:$W)),AG53,xlookup($G53,'Old Master'!$T:$T,'Old Master'!$W:$W)),AG53)</f>
        <v>0.1000038463</v>
      </c>
      <c r="AM53" s="74">
        <f t="shared" si="20"/>
        <v>0.1000038463</v>
      </c>
      <c r="AN53" s="73">
        <f t="shared" si="52"/>
        <v>23399</v>
      </c>
    </row>
    <row r="54">
      <c r="A54" s="65" t="s">
        <v>5322</v>
      </c>
      <c r="B54" s="65">
        <f t="shared" si="1"/>
        <v>60</v>
      </c>
      <c r="C54" s="65" t="str">
        <f t="shared" si="2"/>
        <v>SC-LTx-ORTHO-Q-78x62x6</v>
      </c>
      <c r="D54" s="65" t="s">
        <v>4128</v>
      </c>
      <c r="E54" s="65">
        <v>0.0</v>
      </c>
      <c r="F54" s="65" t="s">
        <v>4129</v>
      </c>
      <c r="G54" s="65" t="s">
        <v>5118</v>
      </c>
      <c r="H54" s="65" t="s">
        <v>52</v>
      </c>
      <c r="I54" s="81">
        <v>20499.0</v>
      </c>
      <c r="J54" s="66">
        <v>0.23</v>
      </c>
      <c r="K54" s="81">
        <f t="shared" si="3"/>
        <v>15784</v>
      </c>
      <c r="L54" s="66">
        <v>0.2</v>
      </c>
      <c r="M54" s="81">
        <f t="shared" si="4"/>
        <v>16399</v>
      </c>
      <c r="N54" s="67">
        <f t="shared" si="61"/>
        <v>0.3239133616</v>
      </c>
      <c r="O54" s="68">
        <v>13859.1</v>
      </c>
      <c r="P54" s="75">
        <v>0.1</v>
      </c>
      <c r="Q54" s="68">
        <f>I54*(1-P54)</f>
        <v>18449.1</v>
      </c>
      <c r="R54" s="70"/>
      <c r="S54" s="71">
        <f t="shared" si="51"/>
        <v>-0.1548813952</v>
      </c>
      <c r="T54" s="72">
        <f t="shared" si="6"/>
        <v>0</v>
      </c>
      <c r="U54" s="73" t="str">
        <f t="shared" si="7"/>
        <v/>
      </c>
      <c r="V54" s="73">
        <f t="shared" si="33"/>
        <v>13897.45763</v>
      </c>
      <c r="W54" s="73">
        <f t="shared" si="9"/>
        <v>13897.45763</v>
      </c>
      <c r="X54" s="74">
        <f t="shared" si="10"/>
        <v>1</v>
      </c>
      <c r="Y54" s="73">
        <f t="shared" si="11"/>
        <v>0</v>
      </c>
      <c r="Z54" s="73">
        <f t="shared" si="12"/>
        <v>11745</v>
      </c>
      <c r="AA54" s="73">
        <f t="shared" si="13"/>
        <v>11745</v>
      </c>
      <c r="AB54" s="74">
        <f t="shared" si="14"/>
        <v>1</v>
      </c>
      <c r="AC54" s="61" t="str">
        <f t="shared" si="15"/>
        <v>6</v>
      </c>
      <c r="AD54" s="71" t="str">
        <f t="shared" si="16"/>
        <v>#DIV/0!</v>
      </c>
      <c r="AE54" s="61"/>
      <c r="AF54" s="61"/>
      <c r="AG54" s="71">
        <f t="array" ref="AG54">IFERROR(xlookup(G54,'Old Master'!T:T,'Old Master'!V:V),N54)</f>
        <v>0.3239133616</v>
      </c>
      <c r="AH54" s="73">
        <f t="shared" si="17"/>
        <v>13859.1</v>
      </c>
      <c r="AI54" s="73">
        <f t="shared" si="18"/>
        <v>11745</v>
      </c>
      <c r="AJ54" s="72">
        <f t="shared" si="19"/>
        <v>1</v>
      </c>
      <c r="AK54" s="61"/>
      <c r="AL54" s="71">
        <f t="array" ref="AL54">iferror(if(isblank(xlookup($G54,'Old Master'!$T:$T,'Old Master'!$W:$W)),AG54,xlookup($G54,'Old Master'!$T:$T,'Old Master'!$W:$W)),AG54)</f>
        <v>0.3239133616</v>
      </c>
      <c r="AM54" s="74">
        <f t="shared" si="20"/>
        <v>0.3219669252</v>
      </c>
      <c r="AN54" s="73">
        <f t="shared" si="52"/>
        <v>13899</v>
      </c>
    </row>
    <row r="55">
      <c r="A55" s="65" t="s">
        <v>5323</v>
      </c>
      <c r="B55" s="65" t="str">
        <f t="shared" si="1"/>
        <v>#VALUE!</v>
      </c>
      <c r="C55" s="65" t="str">
        <f t="shared" si="2"/>
        <v>#VALUE!</v>
      </c>
      <c r="D55" s="65" t="s">
        <v>2439</v>
      </c>
      <c r="E55" s="65" t="s">
        <v>2440</v>
      </c>
      <c r="F55" s="65" t="s">
        <v>2441</v>
      </c>
      <c r="G55" s="65" t="s">
        <v>5097</v>
      </c>
      <c r="H55" s="65" t="s">
        <v>1145</v>
      </c>
      <c r="I55" s="65">
        <v>2589.0</v>
      </c>
      <c r="J55" s="66">
        <v>0.11201235998455006</v>
      </c>
      <c r="K55" s="65">
        <f t="shared" si="3"/>
        <v>2299</v>
      </c>
      <c r="L55" s="66">
        <v>0.1</v>
      </c>
      <c r="M55" s="65">
        <f t="shared" si="4"/>
        <v>2330</v>
      </c>
      <c r="N55" s="77">
        <f t="shared" si="61"/>
        <v>0.100038625</v>
      </c>
      <c r="O55" s="68">
        <v>2330.0</v>
      </c>
      <c r="P55" s="67">
        <f>1-Q55/I55</f>
        <v>0.100038625</v>
      </c>
      <c r="Q55" s="69">
        <v>2330.0</v>
      </c>
      <c r="R55" s="70"/>
      <c r="S55" s="71">
        <f>O55/K55-1</f>
        <v>0.01348412353</v>
      </c>
      <c r="T55" s="72">
        <f t="shared" si="6"/>
        <v>0</v>
      </c>
      <c r="U55" s="73" t="str">
        <f t="shared" si="7"/>
        <v/>
      </c>
      <c r="V55" s="73">
        <f t="shared" si="33"/>
        <v>1974.576271</v>
      </c>
      <c r="W55" s="73">
        <f t="shared" si="9"/>
        <v>1974.576271</v>
      </c>
      <c r="X55" s="74">
        <f t="shared" si="10"/>
        <v>1</v>
      </c>
      <c r="Y55" s="73">
        <f t="shared" si="11"/>
        <v>0</v>
      </c>
      <c r="Z55" s="73">
        <f t="shared" si="12"/>
        <v>1974.576271</v>
      </c>
      <c r="AA55" s="73">
        <f t="shared" si="13"/>
        <v>1974.576271</v>
      </c>
      <c r="AB55" s="74">
        <f t="shared" si="14"/>
        <v>1</v>
      </c>
      <c r="AC55" s="61" t="str">
        <f t="shared" si="15"/>
        <v>6</v>
      </c>
      <c r="AD55" s="71" t="str">
        <f t="shared" si="16"/>
        <v>#DIV/0!</v>
      </c>
      <c r="AE55" s="61"/>
      <c r="AF55" s="61"/>
      <c r="AG55" s="71">
        <f t="array" ref="AG55">IFERROR(xlookup(G55,'Old Master'!T:T,'Old Master'!V:V),N55)</f>
        <v>0.100038625</v>
      </c>
      <c r="AH55" s="73">
        <f t="shared" si="17"/>
        <v>2330</v>
      </c>
      <c r="AI55" s="73">
        <f t="shared" si="18"/>
        <v>1974.576271</v>
      </c>
      <c r="AJ55" s="72">
        <f t="shared" si="19"/>
        <v>1</v>
      </c>
      <c r="AK55" s="61"/>
      <c r="AL55" s="71">
        <f>(I55-AN55)/I55</f>
        <v>0.100038625</v>
      </c>
      <c r="AM55" s="74">
        <f t="shared" si="20"/>
        <v>0.100038625</v>
      </c>
      <c r="AN55" s="73">
        <v>2330.0</v>
      </c>
    </row>
    <row r="56">
      <c r="A56" s="65" t="s">
        <v>1042</v>
      </c>
      <c r="B56" s="65">
        <f t="shared" si="1"/>
        <v>70</v>
      </c>
      <c r="C56" s="65" t="str">
        <f t="shared" si="2"/>
        <v>SC-HYB-LATEX-K-72x72x8</v>
      </c>
      <c r="D56" s="65" t="s">
        <v>1044</v>
      </c>
      <c r="E56" s="65">
        <v>0.0</v>
      </c>
      <c r="F56" s="65" t="s">
        <v>1045</v>
      </c>
      <c r="G56" s="65" t="s">
        <v>5108</v>
      </c>
      <c r="H56" s="65" t="s">
        <v>52</v>
      </c>
      <c r="I56" s="65">
        <v>22999.0</v>
      </c>
      <c r="J56" s="66">
        <v>0.25</v>
      </c>
      <c r="K56" s="65">
        <f t="shared" si="3"/>
        <v>17249</v>
      </c>
      <c r="L56" s="66">
        <v>0.2</v>
      </c>
      <c r="M56" s="65">
        <f t="shared" si="4"/>
        <v>18399</v>
      </c>
      <c r="N56" s="75">
        <v>0.16</v>
      </c>
      <c r="O56" s="68">
        <f>I56*(1-N56)</f>
        <v>19319.16</v>
      </c>
      <c r="P56" s="75">
        <v>0.13</v>
      </c>
      <c r="Q56" s="68">
        <f>I56*(1-P56)</f>
        <v>20009.13</v>
      </c>
      <c r="R56" s="71">
        <f>Q56/M56-1</f>
        <v>0.08751182129</v>
      </c>
      <c r="S56" s="71">
        <f>O56/M56-1</f>
        <v>0.05001141366</v>
      </c>
      <c r="T56" s="72">
        <f t="shared" si="6"/>
        <v>0</v>
      </c>
      <c r="U56" s="73" t="str">
        <f t="shared" si="7"/>
        <v/>
      </c>
      <c r="V56" s="73">
        <f t="shared" si="33"/>
        <v>15592.37288</v>
      </c>
      <c r="W56" s="73">
        <f t="shared" si="9"/>
        <v>15592.37288</v>
      </c>
      <c r="X56" s="74">
        <f t="shared" si="10"/>
        <v>1</v>
      </c>
      <c r="Y56" s="73">
        <f t="shared" si="11"/>
        <v>0</v>
      </c>
      <c r="Z56" s="73">
        <f t="shared" si="12"/>
        <v>16372.16949</v>
      </c>
      <c r="AA56" s="73">
        <f t="shared" si="13"/>
        <v>16372.16949</v>
      </c>
      <c r="AB56" s="74">
        <f t="shared" si="14"/>
        <v>1</v>
      </c>
      <c r="AC56" s="61" t="str">
        <f t="shared" si="15"/>
        <v>8</v>
      </c>
      <c r="AD56" s="71" t="str">
        <f t="shared" si="16"/>
        <v>#DIV/0!</v>
      </c>
      <c r="AE56" s="73">
        <f>Q56/118%-Y56</f>
        <v>16956.88983</v>
      </c>
      <c r="AF56" s="74">
        <f>AE56/(Q56/1.18)</f>
        <v>1</v>
      </c>
      <c r="AG56" s="71">
        <f t="array" ref="AG56">IFERROR(xlookup(G56,'Old Master'!T:T,'Old Master'!V:V),N56)</f>
        <v>0.16</v>
      </c>
      <c r="AH56" s="73">
        <f t="shared" si="17"/>
        <v>19319.16</v>
      </c>
      <c r="AI56" s="73">
        <f t="shared" si="18"/>
        <v>16372.16949</v>
      </c>
      <c r="AJ56" s="72">
        <f t="shared" si="19"/>
        <v>1</v>
      </c>
      <c r="AK56" s="61"/>
      <c r="AL56" s="71">
        <f t="array" ref="AL56">iferror(if(isblank(xlookup($G56,'Old Master'!$T:$T,'Old Master'!$W:$W)),AG56,xlookup($G56,'Old Master'!$T:$T,'Old Master'!$W:$W)),AG56)</f>
        <v>0.16</v>
      </c>
      <c r="AM56" s="74">
        <f t="shared" si="20"/>
        <v>0.1608765599</v>
      </c>
      <c r="AN56" s="73">
        <f>mround($I56*(1-AL56),100)-1</f>
        <v>19299</v>
      </c>
    </row>
    <row r="57">
      <c r="A57" s="65" t="s">
        <v>3819</v>
      </c>
      <c r="B57" s="65">
        <f t="shared" si="1"/>
        <v>72</v>
      </c>
      <c r="C57" s="65" t="str">
        <f t="shared" si="2"/>
        <v>SC-MFMTTOPPER-K-78x74x2</v>
      </c>
      <c r="D57" s="65" t="s">
        <v>3821</v>
      </c>
      <c r="E57" s="65">
        <v>0.0</v>
      </c>
      <c r="F57" s="65">
        <v>0.0</v>
      </c>
      <c r="G57" s="65" t="s">
        <v>5132</v>
      </c>
      <c r="H57" s="65" t="s">
        <v>4730</v>
      </c>
      <c r="I57" s="65">
        <v>10999.0</v>
      </c>
      <c r="J57" s="66">
        <v>0.3009364487680698</v>
      </c>
      <c r="K57" s="65">
        <f t="shared" si="3"/>
        <v>7689</v>
      </c>
      <c r="L57" s="66">
        <v>0.15</v>
      </c>
      <c r="M57" s="65">
        <f t="shared" si="4"/>
        <v>9349</v>
      </c>
      <c r="N57" s="67">
        <f t="shared" ref="N57:N61" si="63">1-O57/I57</f>
        <v>0.2509319029</v>
      </c>
      <c r="O57" s="68">
        <v>8239.0</v>
      </c>
      <c r="P57" s="67">
        <f t="shared" ref="P57:P61" si="64">1-Q57/I57</f>
        <v>0.2509319029</v>
      </c>
      <c r="Q57" s="69">
        <v>8239.0</v>
      </c>
      <c r="R57" s="70"/>
      <c r="S57" s="71">
        <f>O57/K57-1</f>
        <v>0.07153075823</v>
      </c>
      <c r="T57" s="72">
        <f t="shared" si="6"/>
        <v>0</v>
      </c>
      <c r="U57" s="73" t="str">
        <f t="shared" si="7"/>
        <v/>
      </c>
      <c r="V57" s="73">
        <f>K57/1.18</f>
        <v>6516.101695</v>
      </c>
      <c r="W57" s="73">
        <f t="shared" si="9"/>
        <v>6516.101695</v>
      </c>
      <c r="X57" s="74">
        <f t="shared" si="10"/>
        <v>1</v>
      </c>
      <c r="Y57" s="73">
        <f t="shared" si="11"/>
        <v>0</v>
      </c>
      <c r="Z57" s="73">
        <f t="shared" si="12"/>
        <v>6982.20339</v>
      </c>
      <c r="AA57" s="73">
        <f t="shared" si="13"/>
        <v>6982.20339</v>
      </c>
      <c r="AB57" s="74">
        <f t="shared" si="14"/>
        <v>1</v>
      </c>
      <c r="AC57" s="61" t="str">
        <f t="shared" si="15"/>
        <v>2</v>
      </c>
      <c r="AD57" s="71" t="str">
        <f t="shared" si="16"/>
        <v>#DIV/0!</v>
      </c>
      <c r="AE57" s="61"/>
      <c r="AF57" s="61"/>
      <c r="AG57" s="71">
        <f t="array" ref="AG57">IFERROR(xlookup(G57,'Old Master'!T:T,'Old Master'!V:V),N57)</f>
        <v>0.2509319029</v>
      </c>
      <c r="AH57" s="73">
        <f t="shared" si="17"/>
        <v>8239</v>
      </c>
      <c r="AI57" s="73">
        <f t="shared" si="18"/>
        <v>6982.20339</v>
      </c>
      <c r="AJ57" s="72">
        <f t="shared" si="19"/>
        <v>1</v>
      </c>
      <c r="AK57" s="61"/>
      <c r="AL57" s="71">
        <f t="array" ref="AL57">iferror(if(isblank(xlookup($G57,'Old Master'!$T:$T,'Old Master'!$W:$W)),AG57,xlookup($G57,'Old Master'!$T:$T,'Old Master'!$W:$W)),AG57)</f>
        <v>0.2509319029</v>
      </c>
      <c r="AM57" s="74">
        <f t="shared" si="20"/>
        <v>0.2509319029</v>
      </c>
      <c r="AN57" s="73">
        <f>O57</f>
        <v>8239</v>
      </c>
    </row>
    <row r="58">
      <c r="A58" s="65" t="s">
        <v>336</v>
      </c>
      <c r="B58" s="65">
        <f t="shared" si="1"/>
        <v>60</v>
      </c>
      <c r="C58" s="65" t="str">
        <f t="shared" si="2"/>
        <v>SC-ORIG-Q-72x62x6</v>
      </c>
      <c r="D58" s="65" t="s">
        <v>338</v>
      </c>
      <c r="E58" s="65">
        <v>0.0</v>
      </c>
      <c r="F58" s="65" t="s">
        <v>339</v>
      </c>
      <c r="G58" s="65" t="s">
        <v>51</v>
      </c>
      <c r="H58" s="65" t="s">
        <v>52</v>
      </c>
      <c r="I58" s="65">
        <v>15699.0</v>
      </c>
      <c r="J58" s="66">
        <v>0.28</v>
      </c>
      <c r="K58" s="65">
        <f t="shared" si="3"/>
        <v>11303</v>
      </c>
      <c r="L58" s="66">
        <v>0.24</v>
      </c>
      <c r="M58" s="65">
        <f t="shared" si="4"/>
        <v>11931</v>
      </c>
      <c r="N58" s="67">
        <f t="shared" si="63"/>
        <v>0.1900121027</v>
      </c>
      <c r="O58" s="68">
        <v>12716.0</v>
      </c>
      <c r="P58" s="67">
        <f t="shared" si="64"/>
        <v>0.1900121027</v>
      </c>
      <c r="Q58" s="69">
        <v>12716.0</v>
      </c>
      <c r="R58" s="76"/>
      <c r="S58" s="72">
        <f t="shared" ref="S58:S60" si="65">O58/M58-1</f>
        <v>0.06579498785</v>
      </c>
      <c r="T58" s="72">
        <f t="shared" si="6"/>
        <v>0</v>
      </c>
      <c r="U58" s="73" t="str">
        <f t="shared" si="7"/>
        <v/>
      </c>
      <c r="V58" s="73">
        <f t="shared" ref="V58:V71" si="66">M58/1.18</f>
        <v>10111.01695</v>
      </c>
      <c r="W58" s="73">
        <f t="shared" si="9"/>
        <v>10111.01695</v>
      </c>
      <c r="X58" s="74">
        <f t="shared" si="10"/>
        <v>1</v>
      </c>
      <c r="Y58" s="73">
        <f t="shared" si="11"/>
        <v>0</v>
      </c>
      <c r="Z58" s="73">
        <f t="shared" si="12"/>
        <v>10776.27119</v>
      </c>
      <c r="AA58" s="73">
        <f t="shared" si="13"/>
        <v>10776.27119</v>
      </c>
      <c r="AB58" s="74">
        <f t="shared" si="14"/>
        <v>1</v>
      </c>
      <c r="AC58" s="61" t="str">
        <f t="shared" si="15"/>
        <v>6</v>
      </c>
      <c r="AD58" s="71" t="str">
        <f t="shared" si="16"/>
        <v>#DIV/0!</v>
      </c>
      <c r="AE58" s="61"/>
      <c r="AF58" s="61"/>
      <c r="AG58" s="71">
        <f t="array" ref="AG58">IFERROR(xlookup(G58,'Old Master'!T:T,'Old Master'!V:V),N58)</f>
        <v>0.1900121027</v>
      </c>
      <c r="AH58" s="73">
        <f t="shared" si="17"/>
        <v>12716</v>
      </c>
      <c r="AI58" s="73">
        <f t="shared" si="18"/>
        <v>10776.27119</v>
      </c>
      <c r="AJ58" s="72">
        <f t="shared" si="19"/>
        <v>1</v>
      </c>
      <c r="AK58" s="61"/>
      <c r="AL58" s="71">
        <f t="array" ref="AL58">iferror(if(isblank(xlookup($G58,'Old Master'!$T:$T,'Old Master'!$W:$W)),AG58,xlookup($G58,'Old Master'!$T:$T,'Old Master'!$W:$W)),AG58)</f>
        <v>0.1900121027</v>
      </c>
      <c r="AM58" s="74">
        <f t="shared" si="20"/>
        <v>0.1910949742</v>
      </c>
      <c r="AN58" s="73">
        <f t="shared" ref="AN58:AN60" si="67">mround($I58*(1-AL58),100)-1</f>
        <v>12699</v>
      </c>
    </row>
    <row r="59">
      <c r="A59" s="65" t="s">
        <v>522</v>
      </c>
      <c r="B59" s="65">
        <f t="shared" si="1"/>
        <v>60</v>
      </c>
      <c r="C59" s="65" t="str">
        <f t="shared" si="2"/>
        <v>SC-ORIG-Q-72x62x4</v>
      </c>
      <c r="D59" s="65" t="s">
        <v>524</v>
      </c>
      <c r="E59" s="65">
        <v>0.0</v>
      </c>
      <c r="F59" s="65" t="s">
        <v>525</v>
      </c>
      <c r="G59" s="65" t="s">
        <v>51</v>
      </c>
      <c r="H59" s="65" t="s">
        <v>52</v>
      </c>
      <c r="I59" s="65">
        <v>11179.0</v>
      </c>
      <c r="J59" s="66">
        <v>0.28</v>
      </c>
      <c r="K59" s="65">
        <f t="shared" si="3"/>
        <v>8049</v>
      </c>
      <c r="L59" s="66">
        <v>0.24</v>
      </c>
      <c r="M59" s="65">
        <f t="shared" si="4"/>
        <v>8496</v>
      </c>
      <c r="N59" s="67">
        <f t="shared" si="63"/>
        <v>0.1899991055</v>
      </c>
      <c r="O59" s="68">
        <v>9055.0</v>
      </c>
      <c r="P59" s="67">
        <f t="shared" si="64"/>
        <v>0.1899991055</v>
      </c>
      <c r="Q59" s="69">
        <v>9055.0</v>
      </c>
      <c r="R59" s="76"/>
      <c r="S59" s="72">
        <f t="shared" si="65"/>
        <v>0.06579566855</v>
      </c>
      <c r="T59" s="72">
        <f t="shared" si="6"/>
        <v>0</v>
      </c>
      <c r="U59" s="73" t="str">
        <f t="shared" si="7"/>
        <v/>
      </c>
      <c r="V59" s="73">
        <f t="shared" si="66"/>
        <v>7200</v>
      </c>
      <c r="W59" s="73">
        <f t="shared" si="9"/>
        <v>7200</v>
      </c>
      <c r="X59" s="74">
        <f t="shared" si="10"/>
        <v>1</v>
      </c>
      <c r="Y59" s="73">
        <f t="shared" si="11"/>
        <v>0</v>
      </c>
      <c r="Z59" s="73">
        <f t="shared" si="12"/>
        <v>7673.728814</v>
      </c>
      <c r="AA59" s="73">
        <f t="shared" si="13"/>
        <v>7673.728814</v>
      </c>
      <c r="AB59" s="74">
        <f t="shared" si="14"/>
        <v>1</v>
      </c>
      <c r="AC59" s="61" t="str">
        <f t="shared" si="15"/>
        <v>4</v>
      </c>
      <c r="AD59" s="71" t="str">
        <f t="shared" si="16"/>
        <v>#DIV/0!</v>
      </c>
      <c r="AE59" s="61"/>
      <c r="AF59" s="61"/>
      <c r="AG59" s="71">
        <f t="array" ref="AG59">IFERROR(xlookup(G59,'Old Master'!T:T,'Old Master'!V:V),N59)</f>
        <v>0.1899991055</v>
      </c>
      <c r="AH59" s="73">
        <f t="shared" si="17"/>
        <v>9055</v>
      </c>
      <c r="AI59" s="73">
        <f t="shared" si="18"/>
        <v>7673.728814</v>
      </c>
      <c r="AJ59" s="72">
        <f t="shared" si="19"/>
        <v>1</v>
      </c>
      <c r="AK59" s="61"/>
      <c r="AL59" s="71">
        <f t="array" ref="AL59">iferror(if(isblank(xlookup($G59,'Old Master'!$T:$T,'Old Master'!$W:$W)),AG59,xlookup($G59,'Old Master'!$T:$T,'Old Master'!$W:$W)),AG59)</f>
        <v>0.1899991055</v>
      </c>
      <c r="AM59" s="74">
        <f t="shared" si="20"/>
        <v>0.1860631541</v>
      </c>
      <c r="AN59" s="73">
        <f t="shared" si="67"/>
        <v>9099</v>
      </c>
    </row>
    <row r="60">
      <c r="A60" s="65" t="s">
        <v>1632</v>
      </c>
      <c r="B60" s="65">
        <f t="shared" si="1"/>
        <v>72</v>
      </c>
      <c r="C60" s="65" t="str">
        <f t="shared" si="2"/>
        <v>SC-ULTM-K-72x74x8</v>
      </c>
      <c r="D60" s="65" t="s">
        <v>1634</v>
      </c>
      <c r="E60" s="65" t="s">
        <v>1632</v>
      </c>
      <c r="F60" s="65" t="s">
        <v>1632</v>
      </c>
      <c r="G60" s="65" t="s">
        <v>5112</v>
      </c>
      <c r="H60" s="65" t="s">
        <v>52</v>
      </c>
      <c r="I60" s="65">
        <v>25999.0</v>
      </c>
      <c r="J60" s="66">
        <v>0.25</v>
      </c>
      <c r="K60" s="65">
        <f t="shared" si="3"/>
        <v>19499</v>
      </c>
      <c r="L60" s="66">
        <v>0.22</v>
      </c>
      <c r="M60" s="65">
        <f t="shared" si="4"/>
        <v>20279</v>
      </c>
      <c r="N60" s="67">
        <f t="shared" si="63"/>
        <v>0.1000038463</v>
      </c>
      <c r="O60" s="68">
        <v>23399.0</v>
      </c>
      <c r="P60" s="67">
        <f t="shared" si="64"/>
        <v>0.1000038463</v>
      </c>
      <c r="Q60" s="69">
        <v>23399.0</v>
      </c>
      <c r="R60" s="70"/>
      <c r="S60" s="71">
        <f t="shared" si="65"/>
        <v>0.1538537403</v>
      </c>
      <c r="T60" s="72">
        <f t="shared" si="6"/>
        <v>0</v>
      </c>
      <c r="U60" s="73" t="str">
        <f t="shared" si="7"/>
        <v/>
      </c>
      <c r="V60" s="73">
        <f t="shared" si="66"/>
        <v>17185.59322</v>
      </c>
      <c r="W60" s="73">
        <f t="shared" si="9"/>
        <v>17185.59322</v>
      </c>
      <c r="X60" s="74">
        <f t="shared" si="10"/>
        <v>1</v>
      </c>
      <c r="Y60" s="73">
        <f t="shared" si="11"/>
        <v>0</v>
      </c>
      <c r="Z60" s="73">
        <f t="shared" si="12"/>
        <v>19829.66102</v>
      </c>
      <c r="AA60" s="73">
        <f t="shared" si="13"/>
        <v>19829.66102</v>
      </c>
      <c r="AB60" s="74">
        <f t="shared" si="14"/>
        <v>1</v>
      </c>
      <c r="AC60" s="61" t="str">
        <f t="shared" si="15"/>
        <v>8</v>
      </c>
      <c r="AD60" s="71" t="str">
        <f t="shared" si="16"/>
        <v>#DIV/0!</v>
      </c>
      <c r="AE60" s="61"/>
      <c r="AF60" s="61"/>
      <c r="AG60" s="71">
        <f t="array" ref="AG60">IFERROR(xlookup(G60,'Old Master'!T:T,'Old Master'!V:V),N60)</f>
        <v>0.1000038463</v>
      </c>
      <c r="AH60" s="73">
        <f t="shared" si="17"/>
        <v>23399</v>
      </c>
      <c r="AI60" s="73">
        <f t="shared" si="18"/>
        <v>19829.66102</v>
      </c>
      <c r="AJ60" s="72">
        <f t="shared" si="19"/>
        <v>1</v>
      </c>
      <c r="AK60" s="61"/>
      <c r="AL60" s="71">
        <f t="array" ref="AL60">iferror(if(isblank(xlookup($G60,'Old Master'!$T:$T,'Old Master'!$W:$W)),AG60,xlookup($G60,'Old Master'!$T:$T,'Old Master'!$W:$W)),AG60)</f>
        <v>0.1000038463</v>
      </c>
      <c r="AM60" s="74">
        <f t="shared" si="20"/>
        <v>0.1000038463</v>
      </c>
      <c r="AN60" s="73">
        <f t="shared" si="67"/>
        <v>23399</v>
      </c>
    </row>
    <row r="61">
      <c r="A61" s="65" t="s">
        <v>5324</v>
      </c>
      <c r="B61" s="65" t="str">
        <f t="shared" si="1"/>
        <v>#VALUE!</v>
      </c>
      <c r="C61" s="65" t="str">
        <f t="shared" si="2"/>
        <v>#VALUE!</v>
      </c>
      <c r="D61" s="65" t="s">
        <v>2444</v>
      </c>
      <c r="E61" s="65" t="s">
        <v>2445</v>
      </c>
      <c r="F61" s="65" t="s">
        <v>2446</v>
      </c>
      <c r="G61" s="65" t="s">
        <v>5123</v>
      </c>
      <c r="H61" s="65" t="s">
        <v>1145</v>
      </c>
      <c r="I61" s="65">
        <v>2589.0</v>
      </c>
      <c r="J61" s="66">
        <v>0.11201235998455006</v>
      </c>
      <c r="K61" s="65">
        <f t="shared" si="3"/>
        <v>2299</v>
      </c>
      <c r="L61" s="66">
        <v>0.1</v>
      </c>
      <c r="M61" s="65">
        <f t="shared" si="4"/>
        <v>2330</v>
      </c>
      <c r="N61" s="77">
        <f t="shared" si="63"/>
        <v>0.07338740827</v>
      </c>
      <c r="O61" s="78">
        <v>2399.0</v>
      </c>
      <c r="P61" s="67">
        <f t="shared" si="64"/>
        <v>0.07338740827</v>
      </c>
      <c r="Q61" s="79">
        <v>2399.0</v>
      </c>
      <c r="R61" s="70"/>
      <c r="S61" s="71">
        <f>O61/K61-1</f>
        <v>0.04349717268</v>
      </c>
      <c r="T61" s="72">
        <f t="shared" si="6"/>
        <v>0</v>
      </c>
      <c r="U61" s="73" t="str">
        <f t="shared" si="7"/>
        <v/>
      </c>
      <c r="V61" s="73">
        <f t="shared" si="66"/>
        <v>1974.576271</v>
      </c>
      <c r="W61" s="73">
        <f t="shared" si="9"/>
        <v>1974.576271</v>
      </c>
      <c r="X61" s="74">
        <f t="shared" si="10"/>
        <v>1</v>
      </c>
      <c r="Y61" s="73">
        <f t="shared" si="11"/>
        <v>0</v>
      </c>
      <c r="Z61" s="73">
        <f t="shared" si="12"/>
        <v>2033.050847</v>
      </c>
      <c r="AA61" s="73">
        <f t="shared" si="13"/>
        <v>2033.050847</v>
      </c>
      <c r="AB61" s="74">
        <f t="shared" si="14"/>
        <v>1</v>
      </c>
      <c r="AC61" s="61" t="str">
        <f t="shared" si="15"/>
        <v>6</v>
      </c>
      <c r="AD61" s="71" t="str">
        <f t="shared" si="16"/>
        <v>#DIV/0!</v>
      </c>
      <c r="AE61" s="61"/>
      <c r="AF61" s="61"/>
      <c r="AG61" s="71">
        <f t="array" ref="AG61">IFERROR(xlookup(G61,'Old Master'!T:T,'Old Master'!V:V),N61)</f>
        <v>0.07338740827</v>
      </c>
      <c r="AH61" s="73">
        <f t="shared" si="17"/>
        <v>2399</v>
      </c>
      <c r="AI61" s="73">
        <f t="shared" si="18"/>
        <v>2033.050847</v>
      </c>
      <c r="AJ61" s="72">
        <f t="shared" si="19"/>
        <v>1</v>
      </c>
      <c r="AK61" s="61"/>
      <c r="AL61" s="71">
        <f>(I61-AN61)/I61</f>
        <v>0.07338740827</v>
      </c>
      <c r="AM61" s="74">
        <f t="shared" si="20"/>
        <v>0.07338740827</v>
      </c>
      <c r="AN61" s="73">
        <v>2399.0</v>
      </c>
    </row>
    <row r="62">
      <c r="A62" s="65" t="s">
        <v>998</v>
      </c>
      <c r="B62" s="65">
        <f t="shared" si="1"/>
        <v>70</v>
      </c>
      <c r="C62" s="65" t="str">
        <f t="shared" si="2"/>
        <v>SC-HYB-LATEX-K-72x72x6</v>
      </c>
      <c r="D62" s="65">
        <v>0.0</v>
      </c>
      <c r="E62" s="65" t="s">
        <v>1001</v>
      </c>
      <c r="F62" s="65" t="s">
        <v>1002</v>
      </c>
      <c r="G62" s="65" t="s">
        <v>5108</v>
      </c>
      <c r="H62" s="65" t="s">
        <v>52</v>
      </c>
      <c r="I62" s="65">
        <v>19999.0</v>
      </c>
      <c r="J62" s="66">
        <v>0.25</v>
      </c>
      <c r="K62" s="65">
        <f t="shared" si="3"/>
        <v>14999</v>
      </c>
      <c r="L62" s="66">
        <v>0.2</v>
      </c>
      <c r="M62" s="65">
        <f t="shared" si="4"/>
        <v>15999</v>
      </c>
      <c r="N62" s="75">
        <v>0.16</v>
      </c>
      <c r="O62" s="68">
        <f>I62*(1-N62)</f>
        <v>16799.16</v>
      </c>
      <c r="P62" s="75">
        <v>0.13</v>
      </c>
      <c r="Q62" s="68">
        <f t="shared" ref="Q62:Q63" si="68">I62*(1-P62)</f>
        <v>17399.13</v>
      </c>
      <c r="R62" s="71">
        <f>Q62/M62-1</f>
        <v>0.0875135946</v>
      </c>
      <c r="S62" s="71">
        <f t="shared" ref="S62:S63" si="69">O62/M62-1</f>
        <v>0.05001312582</v>
      </c>
      <c r="T62" s="72">
        <f t="shared" si="6"/>
        <v>0</v>
      </c>
      <c r="U62" s="73" t="str">
        <f t="shared" si="7"/>
        <v/>
      </c>
      <c r="V62" s="73">
        <f t="shared" si="66"/>
        <v>13558.47458</v>
      </c>
      <c r="W62" s="73">
        <f t="shared" si="9"/>
        <v>13558.47458</v>
      </c>
      <c r="X62" s="74">
        <f t="shared" si="10"/>
        <v>1</v>
      </c>
      <c r="Y62" s="73">
        <f t="shared" si="11"/>
        <v>0</v>
      </c>
      <c r="Z62" s="73">
        <f t="shared" si="12"/>
        <v>14236.57627</v>
      </c>
      <c r="AA62" s="73">
        <f t="shared" si="13"/>
        <v>14236.57627</v>
      </c>
      <c r="AB62" s="74">
        <f t="shared" si="14"/>
        <v>1</v>
      </c>
      <c r="AC62" s="61" t="str">
        <f t="shared" si="15"/>
        <v>6</v>
      </c>
      <c r="AD62" s="71" t="str">
        <f t="shared" si="16"/>
        <v>#DIV/0!</v>
      </c>
      <c r="AE62" s="73">
        <f>Q62/118%-Y62</f>
        <v>14745.02542</v>
      </c>
      <c r="AF62" s="74">
        <f>AE62/(Q62/1.18)</f>
        <v>1</v>
      </c>
      <c r="AG62" s="71">
        <f t="array" ref="AG62">IFERROR(xlookup(G62,'Old Master'!T:T,'Old Master'!V:V),N62)</f>
        <v>0.16</v>
      </c>
      <c r="AH62" s="73">
        <f t="shared" si="17"/>
        <v>16799.16</v>
      </c>
      <c r="AI62" s="73">
        <f t="shared" si="18"/>
        <v>14236.57627</v>
      </c>
      <c r="AJ62" s="72">
        <f t="shared" si="19"/>
        <v>1</v>
      </c>
      <c r="AK62" s="61"/>
      <c r="AL62" s="71">
        <f t="array" ref="AL62">iferror(if(isblank(xlookup($G62,'Old Master'!$T:$T,'Old Master'!$W:$W)),AG62,xlookup($G62,'Old Master'!$T:$T,'Old Master'!$W:$W)),AG62)</f>
        <v>0.16</v>
      </c>
      <c r="AM62" s="74">
        <f t="shared" si="20"/>
        <v>0.1600080004</v>
      </c>
      <c r="AN62" s="73">
        <f t="shared" ref="AN62:AN63" si="70">mround($I62*(1-AL62),100)-1</f>
        <v>16799</v>
      </c>
    </row>
    <row r="63">
      <c r="A63" s="65" t="s">
        <v>5325</v>
      </c>
      <c r="B63" s="65">
        <f t="shared" si="1"/>
        <v>48</v>
      </c>
      <c r="C63" s="65" t="str">
        <f t="shared" si="2"/>
        <v>SC-LTx-ORTHO-D-72x50x5</v>
      </c>
      <c r="D63" s="65" t="s">
        <v>4269</v>
      </c>
      <c r="E63" s="65">
        <v>0.0</v>
      </c>
      <c r="F63" s="65" t="s">
        <v>4270</v>
      </c>
      <c r="G63" s="65" t="s">
        <v>5118</v>
      </c>
      <c r="H63" s="65" t="s">
        <v>52</v>
      </c>
      <c r="I63" s="81">
        <v>14699.0</v>
      </c>
      <c r="J63" s="66">
        <v>0.23</v>
      </c>
      <c r="K63" s="81">
        <f t="shared" si="3"/>
        <v>11318</v>
      </c>
      <c r="L63" s="66">
        <v>0.2</v>
      </c>
      <c r="M63" s="81">
        <f t="shared" si="4"/>
        <v>11759</v>
      </c>
      <c r="N63" s="67">
        <f t="shared" ref="N63:N75" si="71">1-O63/I63</f>
        <v>0.3265460235</v>
      </c>
      <c r="O63" s="68">
        <v>9899.1</v>
      </c>
      <c r="P63" s="75">
        <v>0.1</v>
      </c>
      <c r="Q63" s="68">
        <f t="shared" si="68"/>
        <v>13229.1</v>
      </c>
      <c r="R63" s="70"/>
      <c r="S63" s="71">
        <f t="shared" si="69"/>
        <v>-0.1581682116</v>
      </c>
      <c r="T63" s="72">
        <f t="shared" si="6"/>
        <v>0</v>
      </c>
      <c r="U63" s="73" t="str">
        <f t="shared" si="7"/>
        <v/>
      </c>
      <c r="V63" s="73">
        <f t="shared" si="66"/>
        <v>9965.254237</v>
      </c>
      <c r="W63" s="73">
        <f t="shared" si="9"/>
        <v>9965.254237</v>
      </c>
      <c r="X63" s="74">
        <f t="shared" si="10"/>
        <v>1</v>
      </c>
      <c r="Y63" s="73">
        <f t="shared" si="11"/>
        <v>0</v>
      </c>
      <c r="Z63" s="73">
        <f t="shared" si="12"/>
        <v>8389.067797</v>
      </c>
      <c r="AA63" s="73">
        <f t="shared" si="13"/>
        <v>8389.067797</v>
      </c>
      <c r="AB63" s="74">
        <f t="shared" si="14"/>
        <v>1</v>
      </c>
      <c r="AC63" s="61" t="str">
        <f t="shared" si="15"/>
        <v>5</v>
      </c>
      <c r="AD63" s="71" t="str">
        <f t="shared" si="16"/>
        <v>#DIV/0!</v>
      </c>
      <c r="AE63" s="61"/>
      <c r="AF63" s="61"/>
      <c r="AG63" s="71">
        <f t="array" ref="AG63">IFERROR(xlookup(G63,'Old Master'!T:T,'Old Master'!V:V),N63)</f>
        <v>0.3265460235</v>
      </c>
      <c r="AH63" s="73">
        <f t="shared" si="17"/>
        <v>9899.1</v>
      </c>
      <c r="AI63" s="73">
        <f t="shared" si="18"/>
        <v>8389.067797</v>
      </c>
      <c r="AJ63" s="72">
        <f t="shared" si="19"/>
        <v>1</v>
      </c>
      <c r="AK63" s="61"/>
      <c r="AL63" s="71">
        <f t="array" ref="AL63">iferror(if(isblank(xlookup($G63,'Old Master'!$T:$T,'Old Master'!$W:$W)),AG63,xlookup($G63,'Old Master'!$T:$T,'Old Master'!$W:$W)),AG63)</f>
        <v>0.3265460235</v>
      </c>
      <c r="AM63" s="74">
        <f t="shared" si="20"/>
        <v>0.3265528267</v>
      </c>
      <c r="AN63" s="73">
        <f t="shared" si="70"/>
        <v>9899</v>
      </c>
    </row>
    <row r="64">
      <c r="A64" s="65" t="s">
        <v>1087</v>
      </c>
      <c r="B64" s="65" t="str">
        <f t="shared" si="1"/>
        <v>#VALUE!</v>
      </c>
      <c r="C64" s="65" t="str">
        <f t="shared" si="2"/>
        <v>#VALUE!</v>
      </c>
      <c r="D64" s="65" t="s">
        <v>1089</v>
      </c>
      <c r="E64" s="65" t="s">
        <v>1090</v>
      </c>
      <c r="F64" s="65" t="s">
        <v>1091</v>
      </c>
      <c r="G64" s="65" t="s">
        <v>5080</v>
      </c>
      <c r="H64" s="65" t="s">
        <v>1145</v>
      </c>
      <c r="I64" s="65">
        <v>1599.0</v>
      </c>
      <c r="J64" s="66">
        <v>0.5003126954346466</v>
      </c>
      <c r="K64" s="65">
        <f t="shared" si="3"/>
        <v>799</v>
      </c>
      <c r="L64" s="66">
        <v>0.25</v>
      </c>
      <c r="M64" s="65">
        <f t="shared" si="4"/>
        <v>1199</v>
      </c>
      <c r="N64" s="77">
        <f t="shared" si="71"/>
        <v>0.3752345216</v>
      </c>
      <c r="O64" s="78">
        <v>999.0</v>
      </c>
      <c r="P64" s="67">
        <f t="shared" ref="P64:P67" si="72">1-Q64/I64</f>
        <v>0.3752345216</v>
      </c>
      <c r="Q64" s="79">
        <v>999.0</v>
      </c>
      <c r="R64" s="70"/>
      <c r="S64" s="71">
        <f>O64/K64-1</f>
        <v>0.2503128911</v>
      </c>
      <c r="T64" s="72">
        <f t="shared" si="6"/>
        <v>0</v>
      </c>
      <c r="U64" s="73" t="str">
        <f t="shared" si="7"/>
        <v/>
      </c>
      <c r="V64" s="73">
        <f t="shared" si="66"/>
        <v>1016.101695</v>
      </c>
      <c r="W64" s="73">
        <f t="shared" si="9"/>
        <v>1016.101695</v>
      </c>
      <c r="X64" s="74">
        <f t="shared" si="10"/>
        <v>1</v>
      </c>
      <c r="Y64" s="73">
        <f t="shared" si="11"/>
        <v>0</v>
      </c>
      <c r="Z64" s="73">
        <f t="shared" si="12"/>
        <v>846.6101695</v>
      </c>
      <c r="AA64" s="73">
        <f t="shared" si="13"/>
        <v>846.6101695</v>
      </c>
      <c r="AB64" s="74">
        <f t="shared" si="14"/>
        <v>1</v>
      </c>
      <c r="AC64" s="61" t="str">
        <f t="shared" si="15"/>
        <v>4</v>
      </c>
      <c r="AD64" s="71" t="str">
        <f t="shared" si="16"/>
        <v>#DIV/0!</v>
      </c>
      <c r="AE64" s="61"/>
      <c r="AF64" s="61"/>
      <c r="AG64" s="71">
        <f t="array" ref="AG64">IFERROR(xlookup(G64,'Old Master'!T:T,'Old Master'!V:V),N64)</f>
        <v>0.3752345216</v>
      </c>
      <c r="AH64" s="73">
        <f t="shared" si="17"/>
        <v>999</v>
      </c>
      <c r="AI64" s="73">
        <f t="shared" si="18"/>
        <v>846.6101695</v>
      </c>
      <c r="AJ64" s="72">
        <f t="shared" si="19"/>
        <v>1</v>
      </c>
      <c r="AK64" s="61"/>
      <c r="AL64" s="71">
        <f>(I64-AN64)/I64</f>
        <v>0.3752345216</v>
      </c>
      <c r="AM64" s="74">
        <f t="shared" si="20"/>
        <v>0.3752345216</v>
      </c>
      <c r="AN64" s="73">
        <v>999.0</v>
      </c>
    </row>
    <row r="65">
      <c r="A65" s="65" t="s">
        <v>1822</v>
      </c>
      <c r="B65" s="65">
        <f t="shared" si="1"/>
        <v>60</v>
      </c>
      <c r="C65" s="65" t="str">
        <f t="shared" si="2"/>
        <v>SC-ULTM-LATEX-Q-78x62x10</v>
      </c>
      <c r="D65" s="65" t="s">
        <v>1824</v>
      </c>
      <c r="E65" s="65" t="s">
        <v>1825</v>
      </c>
      <c r="F65" s="65" t="s">
        <v>1826</v>
      </c>
      <c r="G65" s="65" t="s">
        <v>5109</v>
      </c>
      <c r="H65" s="65" t="s">
        <v>52</v>
      </c>
      <c r="I65" s="65">
        <v>34999.0</v>
      </c>
      <c r="J65" s="66">
        <v>0.23</v>
      </c>
      <c r="K65" s="65">
        <f t="shared" si="3"/>
        <v>26949</v>
      </c>
      <c r="L65" s="66">
        <v>0.18</v>
      </c>
      <c r="M65" s="65">
        <f t="shared" si="4"/>
        <v>28699</v>
      </c>
      <c r="N65" s="67">
        <f t="shared" si="71"/>
        <v>0.1000028572</v>
      </c>
      <c r="O65" s="68">
        <v>31499.0</v>
      </c>
      <c r="P65" s="67">
        <f t="shared" si="72"/>
        <v>0.1000028572</v>
      </c>
      <c r="Q65" s="69">
        <v>31499.0</v>
      </c>
      <c r="R65" s="70"/>
      <c r="S65" s="71">
        <f t="shared" ref="S65:S66" si="73">O65/M65-1</f>
        <v>0.09756437507</v>
      </c>
      <c r="T65" s="72">
        <f t="shared" si="6"/>
        <v>0</v>
      </c>
      <c r="U65" s="73" t="str">
        <f t="shared" si="7"/>
        <v/>
      </c>
      <c r="V65" s="73">
        <f t="shared" si="66"/>
        <v>24321.18644</v>
      </c>
      <c r="W65" s="73">
        <f t="shared" si="9"/>
        <v>24321.18644</v>
      </c>
      <c r="X65" s="74">
        <f t="shared" si="10"/>
        <v>1</v>
      </c>
      <c r="Y65" s="73">
        <f t="shared" si="11"/>
        <v>0</v>
      </c>
      <c r="Z65" s="73">
        <f t="shared" si="12"/>
        <v>26694.0678</v>
      </c>
      <c r="AA65" s="73">
        <f t="shared" si="13"/>
        <v>26694.0678</v>
      </c>
      <c r="AB65" s="74">
        <f t="shared" si="14"/>
        <v>1</v>
      </c>
      <c r="AC65" s="61" t="str">
        <f t="shared" si="15"/>
        <v>0</v>
      </c>
      <c r="AD65" s="71" t="str">
        <f t="shared" si="16"/>
        <v>#DIV/0!</v>
      </c>
      <c r="AE65" s="61"/>
      <c r="AF65" s="61"/>
      <c r="AG65" s="71">
        <f t="array" ref="AG65">IFERROR(xlookup(G65,'Old Master'!T:T,'Old Master'!V:V),N65)</f>
        <v>0.1000028572</v>
      </c>
      <c r="AH65" s="73">
        <f t="shared" si="17"/>
        <v>31499</v>
      </c>
      <c r="AI65" s="73">
        <f t="shared" si="18"/>
        <v>26694.0678</v>
      </c>
      <c r="AJ65" s="72">
        <f t="shared" si="19"/>
        <v>1</v>
      </c>
      <c r="AK65" s="61"/>
      <c r="AL65" s="71">
        <f t="array" ref="AL65">iferror(if(isblank(xlookup($G65,'Old Master'!$T:$T,'Old Master'!$W:$W)),AG65,xlookup($G65,'Old Master'!$T:$T,'Old Master'!$W:$W)),AG65)</f>
        <v>0.1000028572</v>
      </c>
      <c r="AM65" s="74">
        <f t="shared" si="20"/>
        <v>0.1000028572</v>
      </c>
      <c r="AN65" s="73">
        <f t="shared" ref="AN65:AN66" si="74">mround($I65*(1-AL65),100)-1</f>
        <v>31499</v>
      </c>
    </row>
    <row r="66">
      <c r="A66" s="65" t="s">
        <v>1841</v>
      </c>
      <c r="B66" s="65">
        <f t="shared" si="1"/>
        <v>66</v>
      </c>
      <c r="C66" s="65" t="str">
        <f t="shared" si="2"/>
        <v>SC-ULTM-LATEX-Q-78x68x8</v>
      </c>
      <c r="D66" s="65">
        <v>0.0</v>
      </c>
      <c r="E66" s="65">
        <v>0.0</v>
      </c>
      <c r="F66" s="65" t="s">
        <v>1844</v>
      </c>
      <c r="G66" s="65" t="s">
        <v>5109</v>
      </c>
      <c r="H66" s="65" t="s">
        <v>52</v>
      </c>
      <c r="I66" s="65">
        <v>34999.0</v>
      </c>
      <c r="J66" s="66">
        <v>0.23</v>
      </c>
      <c r="K66" s="65">
        <f t="shared" si="3"/>
        <v>26949</v>
      </c>
      <c r="L66" s="66">
        <v>0.18</v>
      </c>
      <c r="M66" s="65">
        <f t="shared" si="4"/>
        <v>28699</v>
      </c>
      <c r="N66" s="67">
        <f t="shared" si="71"/>
        <v>0.1000028572</v>
      </c>
      <c r="O66" s="68">
        <v>31499.0</v>
      </c>
      <c r="P66" s="67">
        <f t="shared" si="72"/>
        <v>0.1000028572</v>
      </c>
      <c r="Q66" s="69">
        <v>31499.0</v>
      </c>
      <c r="R66" s="70"/>
      <c r="S66" s="71">
        <f t="shared" si="73"/>
        <v>0.09756437507</v>
      </c>
      <c r="T66" s="72">
        <f t="shared" si="6"/>
        <v>0</v>
      </c>
      <c r="U66" s="73">
        <f t="array" ref="U66">IFERROR(XLOOKUP(A66,COGS!I:I,COGS!J:J), IFERROR(XLOOKUP(C66,COGS!I:I,COGS!J:J),I66*35%))</f>
        <v>12249.65</v>
      </c>
      <c r="V66" s="73">
        <f t="shared" si="66"/>
        <v>24321.18644</v>
      </c>
      <c r="W66" s="73">
        <f t="shared" si="9"/>
        <v>12071.53644</v>
      </c>
      <c r="X66" s="74">
        <f t="shared" si="10"/>
        <v>0.4963383045</v>
      </c>
      <c r="Y66" s="73">
        <f t="shared" si="11"/>
        <v>14087.0975</v>
      </c>
      <c r="Z66" s="73">
        <f t="shared" si="12"/>
        <v>26694.0678</v>
      </c>
      <c r="AA66" s="73">
        <f t="shared" si="13"/>
        <v>12606.9703</v>
      </c>
      <c r="AB66" s="74">
        <f t="shared" si="14"/>
        <v>0.4722761024</v>
      </c>
      <c r="AC66" s="61" t="str">
        <f t="shared" si="15"/>
        <v>8</v>
      </c>
      <c r="AD66" s="71">
        <f t="shared" si="16"/>
        <v>0.15</v>
      </c>
      <c r="AE66" s="61"/>
      <c r="AF66" s="61"/>
      <c r="AG66" s="71">
        <f t="array" ref="AG66">IFERROR(xlookup(G66,'Old Master'!T:T,'Old Master'!V:V),N66)</f>
        <v>0.1000028572</v>
      </c>
      <c r="AH66" s="73">
        <f t="shared" si="17"/>
        <v>31499</v>
      </c>
      <c r="AI66" s="73">
        <f t="shared" si="18"/>
        <v>12606.9703</v>
      </c>
      <c r="AJ66" s="72">
        <f t="shared" si="19"/>
        <v>0.4722761024</v>
      </c>
      <c r="AK66" s="61"/>
      <c r="AL66" s="71">
        <f t="array" ref="AL66">iferror(if(isblank(xlookup($G66,'Old Master'!$T:$T,'Old Master'!$W:$W)),AG66,xlookup($G66,'Old Master'!$T:$T,'Old Master'!$W:$W)),AG66)</f>
        <v>0.1000028572</v>
      </c>
      <c r="AM66" s="74">
        <f t="shared" si="20"/>
        <v>0.1000028572</v>
      </c>
      <c r="AN66" s="73">
        <f t="shared" si="74"/>
        <v>31499</v>
      </c>
    </row>
    <row r="67">
      <c r="A67" s="65" t="s">
        <v>2390</v>
      </c>
      <c r="B67" s="65" t="str">
        <f t="shared" si="1"/>
        <v>#VALUE!</v>
      </c>
      <c r="C67" s="65" t="str">
        <f t="shared" si="2"/>
        <v>#VALUE!</v>
      </c>
      <c r="D67" s="65" t="s">
        <v>2392</v>
      </c>
      <c r="E67" s="65">
        <v>0.0</v>
      </c>
      <c r="F67" s="65" t="s">
        <v>2394</v>
      </c>
      <c r="G67" s="65" t="s">
        <v>5074</v>
      </c>
      <c r="H67" s="65" t="s">
        <v>1145</v>
      </c>
      <c r="I67" s="65">
        <v>1189.0</v>
      </c>
      <c r="J67" s="66">
        <v>0.2859545836837679</v>
      </c>
      <c r="K67" s="65">
        <f t="shared" si="3"/>
        <v>849</v>
      </c>
      <c r="L67" s="66">
        <v>0.2</v>
      </c>
      <c r="M67" s="65">
        <f t="shared" si="4"/>
        <v>951</v>
      </c>
      <c r="N67" s="77">
        <f t="shared" si="71"/>
        <v>0.1597981497</v>
      </c>
      <c r="O67" s="78">
        <v>999.0</v>
      </c>
      <c r="P67" s="67">
        <f t="shared" si="72"/>
        <v>0.1597981497</v>
      </c>
      <c r="Q67" s="79">
        <v>999.0</v>
      </c>
      <c r="R67" s="70"/>
      <c r="S67" s="71">
        <f>O67/K67-1</f>
        <v>0.1766784452</v>
      </c>
      <c r="T67" s="72">
        <f t="shared" si="6"/>
        <v>0</v>
      </c>
      <c r="U67" s="73" t="str">
        <f t="shared" ref="U67:U113" si="75">IFERROR(XLOOKUP(A67,COGS!I:I,COGS!J:J), IFERROR(XLOOKUP(C67,COGS!I:I,COGS!J:J),""))</f>
        <v/>
      </c>
      <c r="V67" s="73">
        <f t="shared" si="66"/>
        <v>805.9322034</v>
      </c>
      <c r="W67" s="73">
        <f t="shared" si="9"/>
        <v>805.9322034</v>
      </c>
      <c r="X67" s="74">
        <f t="shared" si="10"/>
        <v>1</v>
      </c>
      <c r="Y67" s="73">
        <f t="shared" si="11"/>
        <v>0</v>
      </c>
      <c r="Z67" s="73">
        <f t="shared" si="12"/>
        <v>846.6101695</v>
      </c>
      <c r="AA67" s="73">
        <f t="shared" si="13"/>
        <v>846.6101695</v>
      </c>
      <c r="AB67" s="74">
        <f t="shared" si="14"/>
        <v>1</v>
      </c>
      <c r="AC67" s="61" t="str">
        <f t="shared" si="15"/>
        <v>8</v>
      </c>
      <c r="AD67" s="71" t="str">
        <f t="shared" si="16"/>
        <v>#DIV/0!</v>
      </c>
      <c r="AE67" s="61"/>
      <c r="AF67" s="61"/>
      <c r="AG67" s="71">
        <f t="array" ref="AG67">IFERROR(xlookup(G67,'Old Master'!T:T,'Old Master'!V:V),N67)</f>
        <v>0.1597981497</v>
      </c>
      <c r="AH67" s="73">
        <f t="shared" si="17"/>
        <v>999</v>
      </c>
      <c r="AI67" s="73">
        <f t="shared" si="18"/>
        <v>846.6101695</v>
      </c>
      <c r="AJ67" s="72">
        <f t="shared" si="19"/>
        <v>1</v>
      </c>
      <c r="AK67" s="61"/>
      <c r="AL67" s="71">
        <f>(I67-AN67)/I67</f>
        <v>0.1597981497</v>
      </c>
      <c r="AM67" s="74">
        <f t="shared" si="20"/>
        <v>0.1597981497</v>
      </c>
      <c r="AN67" s="73">
        <v>999.0</v>
      </c>
    </row>
    <row r="68">
      <c r="A68" s="65" t="s">
        <v>5326</v>
      </c>
      <c r="B68" s="65">
        <f t="shared" si="1"/>
        <v>72</v>
      </c>
      <c r="C68" s="65" t="str">
        <f t="shared" si="2"/>
        <v>SC-LTx-ORTHO-K-72x74x6</v>
      </c>
      <c r="D68" s="65" t="s">
        <v>4198</v>
      </c>
      <c r="E68" s="65">
        <v>0.0</v>
      </c>
      <c r="F68" s="65" t="s">
        <v>4199</v>
      </c>
      <c r="G68" s="65" t="s">
        <v>5118</v>
      </c>
      <c r="H68" s="65" t="s">
        <v>52</v>
      </c>
      <c r="I68" s="81">
        <v>23299.0</v>
      </c>
      <c r="J68" s="66">
        <v>0.23</v>
      </c>
      <c r="K68" s="81">
        <f t="shared" si="3"/>
        <v>17940</v>
      </c>
      <c r="L68" s="66">
        <v>0.2</v>
      </c>
      <c r="M68" s="81">
        <f t="shared" si="4"/>
        <v>18639</v>
      </c>
      <c r="N68" s="67">
        <f t="shared" si="71"/>
        <v>0.3240439504</v>
      </c>
      <c r="O68" s="68">
        <v>15749.1</v>
      </c>
      <c r="P68" s="75">
        <v>0.1</v>
      </c>
      <c r="Q68" s="68">
        <f t="shared" ref="Q68:Q70" si="76">I68*(1-P68)</f>
        <v>20969.1</v>
      </c>
      <c r="R68" s="70"/>
      <c r="S68" s="71">
        <f t="shared" ref="S68:S71" si="77">O68/M68-1</f>
        <v>-0.1550458716</v>
      </c>
      <c r="T68" s="72">
        <f t="shared" si="6"/>
        <v>0</v>
      </c>
      <c r="U68" s="73" t="str">
        <f t="shared" si="75"/>
        <v/>
      </c>
      <c r="V68" s="73">
        <f t="shared" si="66"/>
        <v>15795.76271</v>
      </c>
      <c r="W68" s="73">
        <f t="shared" si="9"/>
        <v>15795.76271</v>
      </c>
      <c r="X68" s="74">
        <f t="shared" si="10"/>
        <v>1</v>
      </c>
      <c r="Y68" s="73">
        <f t="shared" si="11"/>
        <v>0</v>
      </c>
      <c r="Z68" s="73">
        <f t="shared" si="12"/>
        <v>13346.69492</v>
      </c>
      <c r="AA68" s="73">
        <f t="shared" si="13"/>
        <v>13346.69492</v>
      </c>
      <c r="AB68" s="74">
        <f t="shared" si="14"/>
        <v>1</v>
      </c>
      <c r="AC68" s="61" t="str">
        <f t="shared" si="15"/>
        <v>6</v>
      </c>
      <c r="AD68" s="71" t="str">
        <f t="shared" si="16"/>
        <v>#DIV/0!</v>
      </c>
      <c r="AE68" s="61"/>
      <c r="AF68" s="61"/>
      <c r="AG68" s="71">
        <f t="array" ref="AG68">IFERROR(xlookup(G68,'Old Master'!T:T,'Old Master'!V:V),N68)</f>
        <v>0.3240439504</v>
      </c>
      <c r="AH68" s="73">
        <f t="shared" si="17"/>
        <v>15749.1</v>
      </c>
      <c r="AI68" s="73">
        <f t="shared" si="18"/>
        <v>13346.69492</v>
      </c>
      <c r="AJ68" s="72">
        <f t="shared" si="19"/>
        <v>1</v>
      </c>
      <c r="AK68" s="61"/>
      <c r="AL68" s="71">
        <f t="array" ref="AL68">iferror(if(isblank(xlookup($G68,'Old Master'!$T:$T,'Old Master'!$W:$W)),AG68,xlookup($G68,'Old Master'!$T:$T,'Old Master'!$W:$W)),AG68)</f>
        <v>0.3240439504</v>
      </c>
      <c r="AM68" s="74">
        <f t="shared" si="20"/>
        <v>0.3261942573</v>
      </c>
      <c r="AN68" s="73">
        <f t="shared" ref="AN68:AN71" si="78">mround($I68*(1-AL68),100)-1</f>
        <v>15699</v>
      </c>
    </row>
    <row r="69">
      <c r="A69" s="65" t="s">
        <v>5327</v>
      </c>
      <c r="B69" s="65">
        <f t="shared" si="1"/>
        <v>60</v>
      </c>
      <c r="C69" s="65" t="str">
        <f t="shared" si="2"/>
        <v>SC-LTx-ORTHO-Q-72x62x8</v>
      </c>
      <c r="D69" s="65" t="s">
        <v>4139</v>
      </c>
      <c r="E69" s="65">
        <v>0.0</v>
      </c>
      <c r="F69" s="65" t="s">
        <v>4140</v>
      </c>
      <c r="G69" s="65" t="s">
        <v>5118</v>
      </c>
      <c r="H69" s="65" t="s">
        <v>52</v>
      </c>
      <c r="I69" s="81">
        <v>22899.0</v>
      </c>
      <c r="J69" s="66">
        <v>0.23</v>
      </c>
      <c r="K69" s="81">
        <f t="shared" si="3"/>
        <v>17632</v>
      </c>
      <c r="L69" s="66">
        <v>0.2</v>
      </c>
      <c r="M69" s="81">
        <f t="shared" si="4"/>
        <v>18319</v>
      </c>
      <c r="N69" s="67">
        <f t="shared" si="71"/>
        <v>0.3240272501</v>
      </c>
      <c r="O69" s="68">
        <v>15479.1</v>
      </c>
      <c r="P69" s="75">
        <v>0.1</v>
      </c>
      <c r="Q69" s="68">
        <f t="shared" si="76"/>
        <v>20609.1</v>
      </c>
      <c r="R69" s="70"/>
      <c r="S69" s="71">
        <f t="shared" si="77"/>
        <v>-0.1550248376</v>
      </c>
      <c r="T69" s="72">
        <f t="shared" si="6"/>
        <v>0</v>
      </c>
      <c r="U69" s="73" t="str">
        <f t="shared" si="75"/>
        <v/>
      </c>
      <c r="V69" s="73">
        <f t="shared" si="66"/>
        <v>15524.57627</v>
      </c>
      <c r="W69" s="73">
        <f t="shared" si="9"/>
        <v>15524.57627</v>
      </c>
      <c r="X69" s="74">
        <f t="shared" si="10"/>
        <v>1</v>
      </c>
      <c r="Y69" s="73">
        <f t="shared" si="11"/>
        <v>0</v>
      </c>
      <c r="Z69" s="73">
        <f t="shared" si="12"/>
        <v>13117.88136</v>
      </c>
      <c r="AA69" s="73">
        <f t="shared" si="13"/>
        <v>13117.88136</v>
      </c>
      <c r="AB69" s="74">
        <f t="shared" si="14"/>
        <v>1</v>
      </c>
      <c r="AC69" s="61" t="str">
        <f t="shared" si="15"/>
        <v>8</v>
      </c>
      <c r="AD69" s="71" t="str">
        <f t="shared" si="16"/>
        <v>#DIV/0!</v>
      </c>
      <c r="AE69" s="61"/>
      <c r="AF69" s="61"/>
      <c r="AG69" s="71">
        <f t="array" ref="AG69">IFERROR(xlookup(G69,'Old Master'!T:T,'Old Master'!V:V),N69)</f>
        <v>0.3240272501</v>
      </c>
      <c r="AH69" s="73">
        <f t="shared" si="17"/>
        <v>15479.1</v>
      </c>
      <c r="AI69" s="73">
        <f t="shared" si="18"/>
        <v>13117.88136</v>
      </c>
      <c r="AJ69" s="72">
        <f t="shared" si="19"/>
        <v>1</v>
      </c>
      <c r="AK69" s="61"/>
      <c r="AL69" s="71">
        <f t="array" ref="AL69">iferror(if(isblank(xlookup($G69,'Old Master'!$T:$T,'Old Master'!$W:$W)),AG69,xlookup($G69,'Old Master'!$T:$T,'Old Master'!$W:$W)),AG69)</f>
        <v>0.3240272501</v>
      </c>
      <c r="AM69" s="74">
        <f t="shared" si="20"/>
        <v>0.3231582165</v>
      </c>
      <c r="AN69" s="73">
        <f t="shared" si="78"/>
        <v>15499</v>
      </c>
    </row>
    <row r="70">
      <c r="A70" s="65" t="s">
        <v>5328</v>
      </c>
      <c r="B70" s="65">
        <f t="shared" si="1"/>
        <v>72</v>
      </c>
      <c r="C70" s="65" t="str">
        <f t="shared" si="2"/>
        <v>SC-LTx-ORTHO-K-78x74x5</v>
      </c>
      <c r="D70" s="65" t="s">
        <v>4344</v>
      </c>
      <c r="E70" s="65">
        <v>0.0</v>
      </c>
      <c r="F70" s="65" t="s">
        <v>4345</v>
      </c>
      <c r="G70" s="65" t="s">
        <v>5118</v>
      </c>
      <c r="H70" s="65" t="s">
        <v>52</v>
      </c>
      <c r="I70" s="81">
        <v>20499.0</v>
      </c>
      <c r="J70" s="66">
        <v>0.23</v>
      </c>
      <c r="K70" s="81">
        <f t="shared" si="3"/>
        <v>15784</v>
      </c>
      <c r="L70" s="66">
        <v>0.2</v>
      </c>
      <c r="M70" s="81">
        <f t="shared" si="4"/>
        <v>16399</v>
      </c>
      <c r="N70" s="67">
        <f t="shared" si="71"/>
        <v>0.3239133616</v>
      </c>
      <c r="O70" s="68">
        <v>13859.1</v>
      </c>
      <c r="P70" s="75">
        <v>0.1</v>
      </c>
      <c r="Q70" s="68">
        <f t="shared" si="76"/>
        <v>18449.1</v>
      </c>
      <c r="R70" s="70"/>
      <c r="S70" s="71">
        <f t="shared" si="77"/>
        <v>-0.1548813952</v>
      </c>
      <c r="T70" s="72">
        <f t="shared" si="6"/>
        <v>0</v>
      </c>
      <c r="U70" s="73" t="str">
        <f t="shared" si="75"/>
        <v/>
      </c>
      <c r="V70" s="73">
        <f t="shared" si="66"/>
        <v>13897.45763</v>
      </c>
      <c r="W70" s="73">
        <f t="shared" si="9"/>
        <v>13897.45763</v>
      </c>
      <c r="X70" s="74">
        <f t="shared" si="10"/>
        <v>1</v>
      </c>
      <c r="Y70" s="73">
        <f t="shared" si="11"/>
        <v>0</v>
      </c>
      <c r="Z70" s="73">
        <f t="shared" si="12"/>
        <v>11745</v>
      </c>
      <c r="AA70" s="73">
        <f t="shared" si="13"/>
        <v>11745</v>
      </c>
      <c r="AB70" s="74">
        <f t="shared" si="14"/>
        <v>1</v>
      </c>
      <c r="AC70" s="61" t="str">
        <f t="shared" si="15"/>
        <v>5</v>
      </c>
      <c r="AD70" s="71" t="str">
        <f t="shared" si="16"/>
        <v>#DIV/0!</v>
      </c>
      <c r="AE70" s="61"/>
      <c r="AF70" s="61"/>
      <c r="AG70" s="71">
        <f t="array" ref="AG70">IFERROR(xlookup(G70,'Old Master'!T:T,'Old Master'!V:V),N70)</f>
        <v>0.3239133616</v>
      </c>
      <c r="AH70" s="73">
        <f t="shared" si="17"/>
        <v>13859.1</v>
      </c>
      <c r="AI70" s="73">
        <f t="shared" si="18"/>
        <v>11745</v>
      </c>
      <c r="AJ70" s="72">
        <f t="shared" si="19"/>
        <v>1</v>
      </c>
      <c r="AK70" s="61"/>
      <c r="AL70" s="71">
        <f t="array" ref="AL70">iferror(if(isblank(xlookup($G70,'Old Master'!$T:$T,'Old Master'!$W:$W)),AG70,xlookup($G70,'Old Master'!$T:$T,'Old Master'!$W:$W)),AG70)</f>
        <v>0.3239133616</v>
      </c>
      <c r="AM70" s="74">
        <f t="shared" si="20"/>
        <v>0.3219669252</v>
      </c>
      <c r="AN70" s="73">
        <f t="shared" si="78"/>
        <v>13899</v>
      </c>
    </row>
    <row r="71">
      <c r="A71" s="65" t="s">
        <v>1595</v>
      </c>
      <c r="B71" s="65">
        <f t="shared" si="1"/>
        <v>60</v>
      </c>
      <c r="C71" s="65" t="str">
        <f t="shared" si="2"/>
        <v>SC-ULTM-Q-78x62x10</v>
      </c>
      <c r="D71" s="65" t="s">
        <v>1597</v>
      </c>
      <c r="E71" s="65" t="s">
        <v>1595</v>
      </c>
      <c r="F71" s="65" t="s">
        <v>1595</v>
      </c>
      <c r="G71" s="65" t="s">
        <v>5112</v>
      </c>
      <c r="H71" s="65" t="s">
        <v>52</v>
      </c>
      <c r="I71" s="65">
        <v>25999.0</v>
      </c>
      <c r="J71" s="66">
        <v>0.25</v>
      </c>
      <c r="K71" s="65">
        <f t="shared" si="3"/>
        <v>19499</v>
      </c>
      <c r="L71" s="66">
        <v>0.22</v>
      </c>
      <c r="M71" s="65">
        <f t="shared" si="4"/>
        <v>20279</v>
      </c>
      <c r="N71" s="67">
        <f t="shared" si="71"/>
        <v>0.1000038463</v>
      </c>
      <c r="O71" s="68">
        <v>23399.0</v>
      </c>
      <c r="P71" s="67">
        <f t="shared" ref="P71:P73" si="79">1-Q71/I71</f>
        <v>0.1000038463</v>
      </c>
      <c r="Q71" s="69">
        <v>23399.0</v>
      </c>
      <c r="R71" s="70"/>
      <c r="S71" s="71">
        <f t="shared" si="77"/>
        <v>0.1538537403</v>
      </c>
      <c r="T71" s="72">
        <f t="shared" si="6"/>
        <v>0</v>
      </c>
      <c r="U71" s="73" t="str">
        <f t="shared" si="75"/>
        <v/>
      </c>
      <c r="V71" s="73">
        <f t="shared" si="66"/>
        <v>17185.59322</v>
      </c>
      <c r="W71" s="73">
        <f t="shared" si="9"/>
        <v>17185.59322</v>
      </c>
      <c r="X71" s="74">
        <f t="shared" si="10"/>
        <v>1</v>
      </c>
      <c r="Y71" s="73">
        <f t="shared" si="11"/>
        <v>0</v>
      </c>
      <c r="Z71" s="73">
        <f t="shared" si="12"/>
        <v>19829.66102</v>
      </c>
      <c r="AA71" s="73">
        <f t="shared" si="13"/>
        <v>19829.66102</v>
      </c>
      <c r="AB71" s="74">
        <f t="shared" si="14"/>
        <v>1</v>
      </c>
      <c r="AC71" s="61" t="str">
        <f t="shared" si="15"/>
        <v>0</v>
      </c>
      <c r="AD71" s="71" t="str">
        <f t="shared" si="16"/>
        <v>#DIV/0!</v>
      </c>
      <c r="AE71" s="61"/>
      <c r="AF71" s="61"/>
      <c r="AG71" s="71">
        <f t="array" ref="AG71">IFERROR(xlookup(G71,'Old Master'!T:T,'Old Master'!V:V),N71)</f>
        <v>0.1000038463</v>
      </c>
      <c r="AH71" s="73">
        <f t="shared" si="17"/>
        <v>23399</v>
      </c>
      <c r="AI71" s="73">
        <f t="shared" si="18"/>
        <v>19829.66102</v>
      </c>
      <c r="AJ71" s="72">
        <f t="shared" si="19"/>
        <v>1</v>
      </c>
      <c r="AK71" s="61"/>
      <c r="AL71" s="71">
        <f t="array" ref="AL71">iferror(if(isblank(xlookup($G71,'Old Master'!$T:$T,'Old Master'!$W:$W)),AG71,xlookup($G71,'Old Master'!$T:$T,'Old Master'!$W:$W)),AG71)</f>
        <v>0.1000038463</v>
      </c>
      <c r="AM71" s="74">
        <f t="shared" si="20"/>
        <v>0.1000038463</v>
      </c>
      <c r="AN71" s="73">
        <f t="shared" si="78"/>
        <v>23399</v>
      </c>
    </row>
    <row r="72">
      <c r="A72" s="65" t="s">
        <v>3804</v>
      </c>
      <c r="B72" s="65">
        <f t="shared" si="1"/>
        <v>60</v>
      </c>
      <c r="C72" s="65" t="str">
        <f t="shared" si="2"/>
        <v>SC-MFMTTOPPER-Q-78x62x2</v>
      </c>
      <c r="D72" s="65" t="s">
        <v>3806</v>
      </c>
      <c r="E72" s="65">
        <v>0.0</v>
      </c>
      <c r="F72" s="65">
        <v>0.0</v>
      </c>
      <c r="G72" s="65" t="s">
        <v>5132</v>
      </c>
      <c r="H72" s="65" t="s">
        <v>4730</v>
      </c>
      <c r="I72" s="65">
        <v>9099.0</v>
      </c>
      <c r="J72" s="66">
        <v>0.3009364487680698</v>
      </c>
      <c r="K72" s="65">
        <f t="shared" si="3"/>
        <v>6361</v>
      </c>
      <c r="L72" s="66">
        <v>0.15</v>
      </c>
      <c r="M72" s="65">
        <f t="shared" si="4"/>
        <v>7734</v>
      </c>
      <c r="N72" s="67">
        <f t="shared" si="71"/>
        <v>0.250906693</v>
      </c>
      <c r="O72" s="68">
        <v>6816.0</v>
      </c>
      <c r="P72" s="67">
        <f t="shared" si="79"/>
        <v>0.250906693</v>
      </c>
      <c r="Q72" s="69">
        <v>6816.0</v>
      </c>
      <c r="R72" s="70"/>
      <c r="S72" s="71">
        <f t="shared" ref="S72:S73" si="80">O72/K72-1</f>
        <v>0.07152963371</v>
      </c>
      <c r="T72" s="72">
        <f t="shared" si="6"/>
        <v>0</v>
      </c>
      <c r="U72" s="73" t="str">
        <f t="shared" si="75"/>
        <v/>
      </c>
      <c r="V72" s="73">
        <f>K72/1.18</f>
        <v>5390.677966</v>
      </c>
      <c r="W72" s="73">
        <f t="shared" si="9"/>
        <v>5390.677966</v>
      </c>
      <c r="X72" s="74">
        <f t="shared" si="10"/>
        <v>1</v>
      </c>
      <c r="Y72" s="73">
        <f t="shared" si="11"/>
        <v>0</v>
      </c>
      <c r="Z72" s="73">
        <f t="shared" si="12"/>
        <v>5776.271186</v>
      </c>
      <c r="AA72" s="73">
        <f t="shared" si="13"/>
        <v>5776.271186</v>
      </c>
      <c r="AB72" s="74">
        <f t="shared" si="14"/>
        <v>1</v>
      </c>
      <c r="AC72" s="61" t="str">
        <f t="shared" si="15"/>
        <v>2</v>
      </c>
      <c r="AD72" s="71" t="str">
        <f t="shared" si="16"/>
        <v>#DIV/0!</v>
      </c>
      <c r="AE72" s="61"/>
      <c r="AF72" s="61"/>
      <c r="AG72" s="71">
        <f t="array" ref="AG72">IFERROR(xlookup(G72,'Old Master'!T:T,'Old Master'!V:V),N72)</f>
        <v>0.250906693</v>
      </c>
      <c r="AH72" s="73">
        <f t="shared" si="17"/>
        <v>6816</v>
      </c>
      <c r="AI72" s="73">
        <f t="shared" si="18"/>
        <v>5776.271186</v>
      </c>
      <c r="AJ72" s="72">
        <f t="shared" si="19"/>
        <v>1</v>
      </c>
      <c r="AK72" s="61"/>
      <c r="AL72" s="71">
        <f t="array" ref="AL72">iferror(if(isblank(xlookup($G72,'Old Master'!$T:$T,'Old Master'!$W:$W)),AG72,xlookup($G72,'Old Master'!$T:$T,'Old Master'!$W:$W)),AG72)</f>
        <v>0.250906693</v>
      </c>
      <c r="AM72" s="74">
        <f t="shared" si="20"/>
        <v>0.250906693</v>
      </c>
      <c r="AN72" s="73">
        <f>O72</f>
        <v>6816</v>
      </c>
    </row>
    <row r="73">
      <c r="A73" s="65" t="s">
        <v>1108</v>
      </c>
      <c r="B73" s="65" t="str">
        <f t="shared" si="1"/>
        <v>#VALUE!</v>
      </c>
      <c r="C73" s="65" t="str">
        <f t="shared" si="2"/>
        <v>#VALUE!</v>
      </c>
      <c r="D73" s="65" t="s">
        <v>1110</v>
      </c>
      <c r="E73" s="65" t="s">
        <v>1111</v>
      </c>
      <c r="F73" s="65" t="s">
        <v>1112</v>
      </c>
      <c r="G73" s="65" t="s">
        <v>1144</v>
      </c>
      <c r="H73" s="65" t="s">
        <v>1145</v>
      </c>
      <c r="I73" s="65">
        <v>6599.0</v>
      </c>
      <c r="J73" s="66">
        <v>0.42430671313835433</v>
      </c>
      <c r="K73" s="65">
        <f t="shared" si="3"/>
        <v>3799</v>
      </c>
      <c r="L73" s="66">
        <v>0.42430671313835433</v>
      </c>
      <c r="M73" s="65">
        <f t="shared" si="4"/>
        <v>3799</v>
      </c>
      <c r="N73" s="77">
        <f t="shared" si="71"/>
        <v>0.4243067131</v>
      </c>
      <c r="O73" s="78">
        <v>3799.0</v>
      </c>
      <c r="P73" s="67">
        <f t="shared" si="79"/>
        <v>0.4243067131</v>
      </c>
      <c r="Q73" s="79">
        <v>3799.0</v>
      </c>
      <c r="R73" s="70"/>
      <c r="S73" s="71">
        <f t="shared" si="80"/>
        <v>0</v>
      </c>
      <c r="T73" s="72">
        <f t="shared" si="6"/>
        <v>0</v>
      </c>
      <c r="U73" s="73" t="str">
        <f t="shared" si="75"/>
        <v/>
      </c>
      <c r="V73" s="73">
        <f t="shared" ref="V73:V77" si="81">M73/1.18</f>
        <v>3219.491525</v>
      </c>
      <c r="W73" s="73">
        <f t="shared" si="9"/>
        <v>3219.491525</v>
      </c>
      <c r="X73" s="74">
        <f t="shared" si="10"/>
        <v>1</v>
      </c>
      <c r="Y73" s="73">
        <f t="shared" si="11"/>
        <v>0</v>
      </c>
      <c r="Z73" s="73">
        <f t="shared" si="12"/>
        <v>3219.491525</v>
      </c>
      <c r="AA73" s="73">
        <f t="shared" si="13"/>
        <v>3219.491525</v>
      </c>
      <c r="AB73" s="74">
        <f t="shared" si="14"/>
        <v>1</v>
      </c>
      <c r="AC73" s="61" t="str">
        <f t="shared" si="15"/>
        <v>6</v>
      </c>
      <c r="AD73" s="71" t="str">
        <f t="shared" si="16"/>
        <v>#DIV/0!</v>
      </c>
      <c r="AE73" s="61"/>
      <c r="AF73" s="61"/>
      <c r="AG73" s="71">
        <f t="array" ref="AG73">IFERROR(xlookup(G73,'Old Master'!T:T,'Old Master'!V:V),N73)</f>
        <v>0.4243067131</v>
      </c>
      <c r="AH73" s="73">
        <f t="shared" si="17"/>
        <v>3799</v>
      </c>
      <c r="AI73" s="73">
        <f t="shared" si="18"/>
        <v>3219.491525</v>
      </c>
      <c r="AJ73" s="72">
        <f t="shared" si="19"/>
        <v>1</v>
      </c>
      <c r="AK73" s="61"/>
      <c r="AL73" s="71">
        <f>(I73-AN73)/I73</f>
        <v>0.4243067131</v>
      </c>
      <c r="AM73" s="74">
        <f t="shared" si="20"/>
        <v>0.4243067131</v>
      </c>
      <c r="AN73" s="73">
        <v>3799.0</v>
      </c>
    </row>
    <row r="74">
      <c r="A74" s="65" t="s">
        <v>5329</v>
      </c>
      <c r="B74" s="65">
        <f t="shared" si="1"/>
        <v>72</v>
      </c>
      <c r="C74" s="65" t="str">
        <f t="shared" si="2"/>
        <v>SC-LTx-ORTHO-K-72x74x8</v>
      </c>
      <c r="D74" s="65" t="s">
        <v>4226</v>
      </c>
      <c r="E74" s="65">
        <v>0.0</v>
      </c>
      <c r="F74" s="65" t="s">
        <v>4227</v>
      </c>
      <c r="G74" s="65" t="s">
        <v>5118</v>
      </c>
      <c r="H74" s="65" t="s">
        <v>52</v>
      </c>
      <c r="I74" s="81">
        <v>26699.0</v>
      </c>
      <c r="J74" s="66">
        <v>0.23</v>
      </c>
      <c r="K74" s="81">
        <f t="shared" si="3"/>
        <v>20558</v>
      </c>
      <c r="L74" s="66">
        <v>0.2</v>
      </c>
      <c r="M74" s="81">
        <f t="shared" si="4"/>
        <v>21359</v>
      </c>
      <c r="N74" s="67">
        <f t="shared" si="71"/>
        <v>0.3258511555</v>
      </c>
      <c r="O74" s="68">
        <v>17999.100000000002</v>
      </c>
      <c r="P74" s="75">
        <v>0.1</v>
      </c>
      <c r="Q74" s="68">
        <f>I74*(1-P74)</f>
        <v>24029.1</v>
      </c>
      <c r="R74" s="70"/>
      <c r="S74" s="71">
        <f t="shared" ref="S74:S76" si="82">O74/M74-1</f>
        <v>-0.1573060537</v>
      </c>
      <c r="T74" s="72">
        <f t="shared" si="6"/>
        <v>0</v>
      </c>
      <c r="U74" s="73" t="str">
        <f t="shared" si="75"/>
        <v/>
      </c>
      <c r="V74" s="73">
        <f t="shared" si="81"/>
        <v>18100.84746</v>
      </c>
      <c r="W74" s="73">
        <f t="shared" si="9"/>
        <v>18100.84746</v>
      </c>
      <c r="X74" s="74">
        <f t="shared" si="10"/>
        <v>1</v>
      </c>
      <c r="Y74" s="73">
        <f t="shared" si="11"/>
        <v>0</v>
      </c>
      <c r="Z74" s="73">
        <f t="shared" si="12"/>
        <v>15253.47458</v>
      </c>
      <c r="AA74" s="73">
        <f t="shared" si="13"/>
        <v>15253.47458</v>
      </c>
      <c r="AB74" s="74">
        <f t="shared" si="14"/>
        <v>1</v>
      </c>
      <c r="AC74" s="61" t="str">
        <f t="shared" si="15"/>
        <v>8</v>
      </c>
      <c r="AD74" s="71" t="str">
        <f t="shared" si="16"/>
        <v>#DIV/0!</v>
      </c>
      <c r="AE74" s="61"/>
      <c r="AF74" s="61"/>
      <c r="AG74" s="71">
        <f t="array" ref="AG74">IFERROR(xlookup(G74,'Old Master'!T:T,'Old Master'!V:V),N74)</f>
        <v>0.3258511555</v>
      </c>
      <c r="AH74" s="73">
        <f t="shared" si="17"/>
        <v>17999.1</v>
      </c>
      <c r="AI74" s="73">
        <f t="shared" si="18"/>
        <v>15253.47458</v>
      </c>
      <c r="AJ74" s="72">
        <f t="shared" si="19"/>
        <v>1</v>
      </c>
      <c r="AK74" s="61"/>
      <c r="AL74" s="71">
        <f t="array" ref="AL74">iferror(if(isblank(xlookup($G74,'Old Master'!$T:$T,'Old Master'!$W:$W)),AG74,xlookup($G74,'Old Master'!$T:$T,'Old Master'!$W:$W)),AG74)</f>
        <v>0.3258511555</v>
      </c>
      <c r="AM74" s="74">
        <f t="shared" si="20"/>
        <v>0.3258549009</v>
      </c>
      <c r="AN74" s="73">
        <f t="shared" ref="AN74:AN76" si="83">mround($I74*(1-AL74),100)-1</f>
        <v>17999</v>
      </c>
    </row>
    <row r="75">
      <c r="A75" s="65" t="s">
        <v>563</v>
      </c>
      <c r="B75" s="65">
        <f t="shared" si="1"/>
        <v>70</v>
      </c>
      <c r="C75" s="65" t="str">
        <f t="shared" si="2"/>
        <v>SC-ORIG-K-72x72x6</v>
      </c>
      <c r="D75" s="65" t="s">
        <v>565</v>
      </c>
      <c r="E75" s="65">
        <v>0.0</v>
      </c>
      <c r="F75" s="65" t="s">
        <v>566</v>
      </c>
      <c r="G75" s="65" t="s">
        <v>51</v>
      </c>
      <c r="H75" s="65" t="s">
        <v>52</v>
      </c>
      <c r="I75" s="65">
        <v>17999.0</v>
      </c>
      <c r="J75" s="66">
        <v>0.28</v>
      </c>
      <c r="K75" s="65">
        <f t="shared" si="3"/>
        <v>12959</v>
      </c>
      <c r="L75" s="66">
        <v>0.24</v>
      </c>
      <c r="M75" s="65">
        <f t="shared" si="4"/>
        <v>13679</v>
      </c>
      <c r="N75" s="67">
        <f t="shared" si="71"/>
        <v>0.1900105561</v>
      </c>
      <c r="O75" s="68">
        <v>14579.0</v>
      </c>
      <c r="P75" s="67">
        <f>1-Q75/I75</f>
        <v>0.1900105561</v>
      </c>
      <c r="Q75" s="69">
        <v>14579.0</v>
      </c>
      <c r="R75" s="76"/>
      <c r="S75" s="72">
        <f t="shared" si="82"/>
        <v>0.06579428321</v>
      </c>
      <c r="T75" s="72">
        <f t="shared" si="6"/>
        <v>0</v>
      </c>
      <c r="U75" s="73" t="str">
        <f t="shared" si="75"/>
        <v/>
      </c>
      <c r="V75" s="73">
        <f t="shared" si="81"/>
        <v>11592.37288</v>
      </c>
      <c r="W75" s="73">
        <f t="shared" si="9"/>
        <v>11592.37288</v>
      </c>
      <c r="X75" s="74">
        <f t="shared" si="10"/>
        <v>1</v>
      </c>
      <c r="Y75" s="73">
        <f t="shared" si="11"/>
        <v>0</v>
      </c>
      <c r="Z75" s="73">
        <f t="shared" si="12"/>
        <v>12355.08475</v>
      </c>
      <c r="AA75" s="73">
        <f t="shared" si="13"/>
        <v>12355.08475</v>
      </c>
      <c r="AB75" s="74">
        <f t="shared" si="14"/>
        <v>1</v>
      </c>
      <c r="AC75" s="61" t="str">
        <f t="shared" si="15"/>
        <v>6</v>
      </c>
      <c r="AD75" s="71" t="str">
        <f t="shared" si="16"/>
        <v>#DIV/0!</v>
      </c>
      <c r="AE75" s="61"/>
      <c r="AF75" s="61"/>
      <c r="AG75" s="71">
        <f t="array" ref="AG75">IFERROR(xlookup(G75,'Old Master'!T:T,'Old Master'!V:V),N75)</f>
        <v>0.1900105561</v>
      </c>
      <c r="AH75" s="73">
        <f t="shared" si="17"/>
        <v>14579</v>
      </c>
      <c r="AI75" s="73">
        <f t="shared" si="18"/>
        <v>12355.08475</v>
      </c>
      <c r="AJ75" s="72">
        <f t="shared" si="19"/>
        <v>1</v>
      </c>
      <c r="AK75" s="61"/>
      <c r="AL75" s="71">
        <f t="array" ref="AL75">iferror(if(isblank(xlookup($G75,'Old Master'!$T:$T,'Old Master'!$W:$W)),AG75,xlookup($G75,'Old Master'!$T:$T,'Old Master'!$W:$W)),AG75)</f>
        <v>0.1900105561</v>
      </c>
      <c r="AM75" s="74">
        <f t="shared" si="20"/>
        <v>0.1888993833</v>
      </c>
      <c r="AN75" s="73">
        <f t="shared" si="83"/>
        <v>14599</v>
      </c>
    </row>
    <row r="76">
      <c r="A76" s="65" t="s">
        <v>810</v>
      </c>
      <c r="B76" s="65">
        <f t="shared" si="1"/>
        <v>36</v>
      </c>
      <c r="C76" s="65" t="str">
        <f t="shared" si="2"/>
        <v>SC-HYB-LATEX-S-72x38x6</v>
      </c>
      <c r="D76" s="65" t="s">
        <v>812</v>
      </c>
      <c r="E76" s="65">
        <v>0.0</v>
      </c>
      <c r="F76" s="65" t="s">
        <v>814</v>
      </c>
      <c r="G76" s="65" t="s">
        <v>5108</v>
      </c>
      <c r="H76" s="65" t="s">
        <v>52</v>
      </c>
      <c r="I76" s="65">
        <v>11399.0</v>
      </c>
      <c r="J76" s="66">
        <v>0.25</v>
      </c>
      <c r="K76" s="65">
        <f t="shared" si="3"/>
        <v>8549</v>
      </c>
      <c r="L76" s="66">
        <v>0.2</v>
      </c>
      <c r="M76" s="65">
        <f t="shared" si="4"/>
        <v>9119</v>
      </c>
      <c r="N76" s="75">
        <v>0.16</v>
      </c>
      <c r="O76" s="68">
        <f>I76*(1-N76)</f>
        <v>9575.16</v>
      </c>
      <c r="P76" s="75">
        <v>0.13</v>
      </c>
      <c r="Q76" s="68">
        <f>I76*(1-P76)</f>
        <v>9917.13</v>
      </c>
      <c r="R76" s="71">
        <f>Q76/M76-1</f>
        <v>0.0875238513</v>
      </c>
      <c r="S76" s="71">
        <f t="shared" si="82"/>
        <v>0.05002302884</v>
      </c>
      <c r="T76" s="72">
        <f t="shared" si="6"/>
        <v>0</v>
      </c>
      <c r="U76" s="73" t="str">
        <f t="shared" si="75"/>
        <v/>
      </c>
      <c r="V76" s="73">
        <f t="shared" si="81"/>
        <v>7727.966102</v>
      </c>
      <c r="W76" s="73">
        <f t="shared" si="9"/>
        <v>7727.966102</v>
      </c>
      <c r="X76" s="74">
        <f t="shared" si="10"/>
        <v>1</v>
      </c>
      <c r="Y76" s="73">
        <f t="shared" si="11"/>
        <v>0</v>
      </c>
      <c r="Z76" s="73">
        <f t="shared" si="12"/>
        <v>8114.542373</v>
      </c>
      <c r="AA76" s="73">
        <f t="shared" si="13"/>
        <v>8114.542373</v>
      </c>
      <c r="AB76" s="74">
        <f t="shared" si="14"/>
        <v>1</v>
      </c>
      <c r="AC76" s="61" t="str">
        <f t="shared" si="15"/>
        <v>6</v>
      </c>
      <c r="AD76" s="71" t="str">
        <f t="shared" si="16"/>
        <v>#DIV/0!</v>
      </c>
      <c r="AE76" s="73">
        <f>Q76/118%-Y76</f>
        <v>8404.347458</v>
      </c>
      <c r="AF76" s="74">
        <f>AE76/(Q76/1.18)</f>
        <v>1</v>
      </c>
      <c r="AG76" s="71">
        <f t="array" ref="AG76">IFERROR(xlookup(G76,'Old Master'!T:T,'Old Master'!V:V),N76)</f>
        <v>0.16</v>
      </c>
      <c r="AH76" s="73">
        <f t="shared" si="17"/>
        <v>9575.16</v>
      </c>
      <c r="AI76" s="73">
        <f t="shared" si="18"/>
        <v>8114.542373</v>
      </c>
      <c r="AJ76" s="72">
        <f t="shared" si="19"/>
        <v>1</v>
      </c>
      <c r="AK76" s="61"/>
      <c r="AL76" s="71">
        <f t="array" ref="AL76">iferror(if(isblank(xlookup($G76,'Old Master'!$T:$T,'Old Master'!$W:$W)),AG76,xlookup($G76,'Old Master'!$T:$T,'Old Master'!$W:$W)),AG76)</f>
        <v>0.16</v>
      </c>
      <c r="AM76" s="74">
        <f t="shared" si="20"/>
        <v>0.1579085885</v>
      </c>
      <c r="AN76" s="73">
        <f t="shared" si="83"/>
        <v>9599</v>
      </c>
    </row>
    <row r="77">
      <c r="A77" s="65" t="s">
        <v>5330</v>
      </c>
      <c r="B77" s="65" t="str">
        <f t="shared" si="1"/>
        <v>#VALUE!</v>
      </c>
      <c r="C77" s="65" t="str">
        <f t="shared" si="2"/>
        <v>#VALUE!</v>
      </c>
      <c r="D77" s="65" t="s">
        <v>2377</v>
      </c>
      <c r="E77" s="65" t="s">
        <v>2378</v>
      </c>
      <c r="F77" s="65" t="s">
        <v>2379</v>
      </c>
      <c r="G77" s="65" t="s">
        <v>5075</v>
      </c>
      <c r="H77" s="65" t="s">
        <v>1145</v>
      </c>
      <c r="I77" s="65">
        <v>999.0</v>
      </c>
      <c r="J77" s="66">
        <v>0.20020020020020024</v>
      </c>
      <c r="K77" s="65">
        <f t="shared" si="3"/>
        <v>799</v>
      </c>
      <c r="L77" s="66">
        <v>0.20020020020020024</v>
      </c>
      <c r="M77" s="65">
        <f t="shared" si="4"/>
        <v>799</v>
      </c>
      <c r="N77" s="77">
        <f t="shared" ref="N77:N80" si="84">1-O77/I77</f>
        <v>0.1501501502</v>
      </c>
      <c r="O77" s="68">
        <v>849.0</v>
      </c>
      <c r="P77" s="67">
        <f t="shared" ref="P77:P80" si="85">1-Q77/I77</f>
        <v>0.1501501502</v>
      </c>
      <c r="Q77" s="69">
        <v>849.0</v>
      </c>
      <c r="R77" s="70"/>
      <c r="S77" s="71">
        <f t="shared" ref="S77:S80" si="86">O77/K77-1</f>
        <v>0.06257822278</v>
      </c>
      <c r="T77" s="72">
        <f t="shared" si="6"/>
        <v>0</v>
      </c>
      <c r="U77" s="73" t="str">
        <f t="shared" si="75"/>
        <v/>
      </c>
      <c r="V77" s="73">
        <f t="shared" si="81"/>
        <v>677.1186441</v>
      </c>
      <c r="W77" s="73">
        <f t="shared" si="9"/>
        <v>677.1186441</v>
      </c>
      <c r="X77" s="74">
        <f t="shared" si="10"/>
        <v>1</v>
      </c>
      <c r="Y77" s="73">
        <f t="shared" si="11"/>
        <v>0</v>
      </c>
      <c r="Z77" s="73">
        <f t="shared" si="12"/>
        <v>719.4915254</v>
      </c>
      <c r="AA77" s="73">
        <f t="shared" si="13"/>
        <v>719.4915254</v>
      </c>
      <c r="AB77" s="74">
        <f t="shared" si="14"/>
        <v>1</v>
      </c>
      <c r="AC77" s="61" t="str">
        <f t="shared" si="15"/>
        <v>7</v>
      </c>
      <c r="AD77" s="71" t="str">
        <f t="shared" si="16"/>
        <v>#DIV/0!</v>
      </c>
      <c r="AE77" s="61"/>
      <c r="AF77" s="61"/>
      <c r="AG77" s="71">
        <f t="array" ref="AG77">IFERROR(xlookup(G77,'Old Master'!T:T,'Old Master'!V:V),N77)</f>
        <v>0.1501501502</v>
      </c>
      <c r="AH77" s="73">
        <f t="shared" si="17"/>
        <v>849</v>
      </c>
      <c r="AI77" s="73">
        <f t="shared" si="18"/>
        <v>719.4915254</v>
      </c>
      <c r="AJ77" s="72">
        <f t="shared" si="19"/>
        <v>1</v>
      </c>
      <c r="AK77" s="61"/>
      <c r="AL77" s="71">
        <f>(I77-AN77)/I77</f>
        <v>0.1501501502</v>
      </c>
      <c r="AM77" s="74">
        <f t="shared" si="20"/>
        <v>0.1501501502</v>
      </c>
      <c r="AN77" s="73">
        <v>849.0</v>
      </c>
    </row>
    <row r="78">
      <c r="A78" s="65" t="s">
        <v>3809</v>
      </c>
      <c r="B78" s="65">
        <f t="shared" si="1"/>
        <v>72</v>
      </c>
      <c r="C78" s="65" t="str">
        <f t="shared" si="2"/>
        <v>SC-MFMTTOPPER-K-72x74x2</v>
      </c>
      <c r="D78" s="65" t="s">
        <v>3811</v>
      </c>
      <c r="E78" s="65">
        <v>0.0</v>
      </c>
      <c r="F78" s="65">
        <v>0.0</v>
      </c>
      <c r="G78" s="65" t="s">
        <v>5132</v>
      </c>
      <c r="H78" s="65" t="s">
        <v>4730</v>
      </c>
      <c r="I78" s="65">
        <v>10499.0</v>
      </c>
      <c r="J78" s="66">
        <v>0.30098104581388707</v>
      </c>
      <c r="K78" s="65">
        <f t="shared" si="3"/>
        <v>7339</v>
      </c>
      <c r="L78" s="66">
        <v>0.15</v>
      </c>
      <c r="M78" s="65">
        <f t="shared" si="4"/>
        <v>8924</v>
      </c>
      <c r="N78" s="67">
        <f t="shared" si="84"/>
        <v>0.2509762835</v>
      </c>
      <c r="O78" s="68">
        <v>7864.0</v>
      </c>
      <c r="P78" s="67">
        <f t="shared" si="85"/>
        <v>0.2509762835</v>
      </c>
      <c r="Q78" s="69">
        <v>7864.0</v>
      </c>
      <c r="R78" s="70"/>
      <c r="S78" s="71">
        <f t="shared" si="86"/>
        <v>0.07153563156</v>
      </c>
      <c r="T78" s="72">
        <f t="shared" si="6"/>
        <v>0</v>
      </c>
      <c r="U78" s="73" t="str">
        <f t="shared" si="75"/>
        <v/>
      </c>
      <c r="V78" s="73">
        <f>K78/1.18</f>
        <v>6219.491525</v>
      </c>
      <c r="W78" s="73">
        <f t="shared" si="9"/>
        <v>6219.491525</v>
      </c>
      <c r="X78" s="74">
        <f t="shared" si="10"/>
        <v>1</v>
      </c>
      <c r="Y78" s="73">
        <f t="shared" si="11"/>
        <v>0</v>
      </c>
      <c r="Z78" s="73">
        <f t="shared" si="12"/>
        <v>6664.40678</v>
      </c>
      <c r="AA78" s="73">
        <f t="shared" si="13"/>
        <v>6664.40678</v>
      </c>
      <c r="AB78" s="74">
        <f t="shared" si="14"/>
        <v>1</v>
      </c>
      <c r="AC78" s="61" t="str">
        <f t="shared" si="15"/>
        <v>2</v>
      </c>
      <c r="AD78" s="71" t="str">
        <f t="shared" si="16"/>
        <v>#DIV/0!</v>
      </c>
      <c r="AE78" s="61"/>
      <c r="AF78" s="61"/>
      <c r="AG78" s="71">
        <f t="array" ref="AG78">IFERROR(xlookup(G78,'Old Master'!T:T,'Old Master'!V:V),N78)</f>
        <v>0.2509762835</v>
      </c>
      <c r="AH78" s="73">
        <f t="shared" si="17"/>
        <v>7864</v>
      </c>
      <c r="AI78" s="73">
        <f t="shared" si="18"/>
        <v>6664.40678</v>
      </c>
      <c r="AJ78" s="72">
        <f t="shared" si="19"/>
        <v>1</v>
      </c>
      <c r="AK78" s="61"/>
      <c r="AL78" s="71">
        <f t="array" ref="AL78">iferror(if(isblank(xlookup($G78,'Old Master'!$T:$T,'Old Master'!$W:$W)),AG78,xlookup($G78,'Old Master'!$T:$T,'Old Master'!$W:$W)),AG78)</f>
        <v>0.2509762835</v>
      </c>
      <c r="AM78" s="74">
        <f t="shared" si="20"/>
        <v>0.2476426326</v>
      </c>
      <c r="AN78" s="73">
        <f>mround($I78*(1-AL78),100)-1</f>
        <v>7899</v>
      </c>
    </row>
    <row r="79">
      <c r="A79" s="65" t="s">
        <v>4904</v>
      </c>
      <c r="B79" s="65" t="str">
        <f t="shared" si="1"/>
        <v>#VALUE!</v>
      </c>
      <c r="C79" s="65" t="str">
        <f t="shared" si="2"/>
        <v>#VALUE!</v>
      </c>
      <c r="D79" s="65" t="s">
        <v>4689</v>
      </c>
      <c r="E79" s="65">
        <v>0.0</v>
      </c>
      <c r="F79" s="65" t="s">
        <v>4690</v>
      </c>
      <c r="G79" s="65" t="s">
        <v>4693</v>
      </c>
      <c r="H79" s="65" t="s">
        <v>1145</v>
      </c>
      <c r="I79" s="65">
        <v>1989.0</v>
      </c>
      <c r="J79" s="66">
        <v>0.2463549522373052</v>
      </c>
      <c r="K79" s="65">
        <f t="shared" si="3"/>
        <v>1499</v>
      </c>
      <c r="L79" s="66">
        <v>0.2</v>
      </c>
      <c r="M79" s="65">
        <f t="shared" si="4"/>
        <v>1591</v>
      </c>
      <c r="N79" s="77">
        <f t="shared" si="84"/>
        <v>0.1463046757</v>
      </c>
      <c r="O79" s="68">
        <v>1698.0</v>
      </c>
      <c r="P79" s="67">
        <f t="shared" si="85"/>
        <v>0.1463046757</v>
      </c>
      <c r="Q79" s="69">
        <v>1698.0</v>
      </c>
      <c r="R79" s="70"/>
      <c r="S79" s="71">
        <f t="shared" si="86"/>
        <v>0.1327551701</v>
      </c>
      <c r="T79" s="72">
        <f t="shared" si="6"/>
        <v>0</v>
      </c>
      <c r="U79" s="73" t="str">
        <f t="shared" si="75"/>
        <v/>
      </c>
      <c r="V79" s="73">
        <f t="shared" ref="V79:V101" si="87">M79/1.18</f>
        <v>1348.305085</v>
      </c>
      <c r="W79" s="73">
        <f t="shared" si="9"/>
        <v>1348.305085</v>
      </c>
      <c r="X79" s="74">
        <f t="shared" si="10"/>
        <v>1</v>
      </c>
      <c r="Y79" s="73">
        <f t="shared" si="11"/>
        <v>0</v>
      </c>
      <c r="Z79" s="73">
        <f t="shared" si="12"/>
        <v>1438.983051</v>
      </c>
      <c r="AA79" s="73">
        <f t="shared" si="13"/>
        <v>1438.983051</v>
      </c>
      <c r="AB79" s="74">
        <f t="shared" si="14"/>
        <v>1</v>
      </c>
      <c r="AC79" s="61" t="str">
        <f t="shared" si="15"/>
        <v>9</v>
      </c>
      <c r="AD79" s="71" t="str">
        <f t="shared" si="16"/>
        <v>#DIV/0!</v>
      </c>
      <c r="AE79" s="61"/>
      <c r="AF79" s="61"/>
      <c r="AG79" s="71">
        <f t="array" ref="AG79">IFERROR(xlookup(G79,'Old Master'!T:T,'Old Master'!V:V),N79)</f>
        <v>0.1463046757</v>
      </c>
      <c r="AH79" s="73">
        <f t="shared" si="17"/>
        <v>1698</v>
      </c>
      <c r="AI79" s="73">
        <f t="shared" si="18"/>
        <v>1438.983051</v>
      </c>
      <c r="AJ79" s="72">
        <f t="shared" si="19"/>
        <v>1</v>
      </c>
      <c r="AK79" s="61"/>
      <c r="AL79" s="71">
        <f t="shared" ref="AL79:AL80" si="88">(I79-AN79)/I79</f>
        <v>0.1458019105</v>
      </c>
      <c r="AM79" s="74">
        <f t="shared" si="20"/>
        <v>0.1458019105</v>
      </c>
      <c r="AN79" s="73">
        <v>1699.0</v>
      </c>
    </row>
    <row r="80">
      <c r="A80" s="65" t="s">
        <v>2369</v>
      </c>
      <c r="B80" s="65" t="str">
        <f t="shared" si="1"/>
        <v>#VALUE!</v>
      </c>
      <c r="C80" s="65" t="str">
        <f t="shared" si="2"/>
        <v>#VALUE!</v>
      </c>
      <c r="D80" s="65" t="s">
        <v>2371</v>
      </c>
      <c r="E80" s="65" t="s">
        <v>2372</v>
      </c>
      <c r="F80" s="65" t="s">
        <v>2373</v>
      </c>
      <c r="G80" s="65" t="s">
        <v>5082</v>
      </c>
      <c r="H80" s="65" t="s">
        <v>1145</v>
      </c>
      <c r="I80" s="65">
        <v>2499.0</v>
      </c>
      <c r="J80" s="66">
        <v>0.2400960384153662</v>
      </c>
      <c r="K80" s="65">
        <f t="shared" si="3"/>
        <v>1899</v>
      </c>
      <c r="L80" s="66">
        <v>0.25</v>
      </c>
      <c r="M80" s="65">
        <f t="shared" si="4"/>
        <v>1874</v>
      </c>
      <c r="N80" s="77">
        <f t="shared" si="84"/>
        <v>0.1400560224</v>
      </c>
      <c r="O80" s="68">
        <v>2149.0</v>
      </c>
      <c r="P80" s="67">
        <f t="shared" si="85"/>
        <v>0.1400560224</v>
      </c>
      <c r="Q80" s="69">
        <v>2149.0</v>
      </c>
      <c r="R80" s="70"/>
      <c r="S80" s="71">
        <f t="shared" si="86"/>
        <v>0.1316482359</v>
      </c>
      <c r="T80" s="72">
        <f t="shared" si="6"/>
        <v>0</v>
      </c>
      <c r="U80" s="73" t="str">
        <f t="shared" si="75"/>
        <v/>
      </c>
      <c r="V80" s="73">
        <f t="shared" si="87"/>
        <v>1588.135593</v>
      </c>
      <c r="W80" s="73">
        <f t="shared" si="9"/>
        <v>1588.135593</v>
      </c>
      <c r="X80" s="74">
        <f t="shared" si="10"/>
        <v>1</v>
      </c>
      <c r="Y80" s="73">
        <f t="shared" si="11"/>
        <v>0</v>
      </c>
      <c r="Z80" s="73">
        <f t="shared" si="12"/>
        <v>1821.186441</v>
      </c>
      <c r="AA80" s="73">
        <f t="shared" si="13"/>
        <v>1821.186441</v>
      </c>
      <c r="AB80" s="74">
        <f t="shared" si="14"/>
        <v>1</v>
      </c>
      <c r="AC80" s="61" t="str">
        <f t="shared" si="15"/>
        <v>5</v>
      </c>
      <c r="AD80" s="71" t="str">
        <f t="shared" si="16"/>
        <v>#DIV/0!</v>
      </c>
      <c r="AE80" s="61"/>
      <c r="AF80" s="61"/>
      <c r="AG80" s="71">
        <f t="array" ref="AG80">IFERROR(xlookup(G80,'Old Master'!T:T,'Old Master'!V:V),N80)</f>
        <v>0.1400560224</v>
      </c>
      <c r="AH80" s="73">
        <f t="shared" si="17"/>
        <v>2149</v>
      </c>
      <c r="AI80" s="73">
        <f t="shared" si="18"/>
        <v>1821.186441</v>
      </c>
      <c r="AJ80" s="72">
        <f t="shared" si="19"/>
        <v>1</v>
      </c>
      <c r="AK80" s="61"/>
      <c r="AL80" s="71">
        <f t="shared" si="88"/>
        <v>0.1400560224</v>
      </c>
      <c r="AM80" s="74">
        <f t="shared" si="20"/>
        <v>0.1400560224</v>
      </c>
      <c r="AN80" s="73">
        <v>2149.0</v>
      </c>
    </row>
    <row r="81">
      <c r="A81" s="65" t="s">
        <v>836</v>
      </c>
      <c r="B81" s="65">
        <f t="shared" si="1"/>
        <v>36</v>
      </c>
      <c r="C81" s="65" t="str">
        <f t="shared" si="2"/>
        <v>SC-HYB-LATEX-S-72x38x8</v>
      </c>
      <c r="D81" s="65" t="s">
        <v>838</v>
      </c>
      <c r="E81" s="65" t="s">
        <v>839</v>
      </c>
      <c r="F81" s="65" t="s">
        <v>840</v>
      </c>
      <c r="G81" s="65" t="s">
        <v>5108</v>
      </c>
      <c r="H81" s="65" t="s">
        <v>52</v>
      </c>
      <c r="I81" s="65">
        <v>12899.0</v>
      </c>
      <c r="J81" s="66">
        <v>0.25</v>
      </c>
      <c r="K81" s="65">
        <f t="shared" si="3"/>
        <v>9674</v>
      </c>
      <c r="L81" s="66">
        <v>0.2</v>
      </c>
      <c r="M81" s="65">
        <f t="shared" si="4"/>
        <v>10319</v>
      </c>
      <c r="N81" s="75">
        <v>0.16</v>
      </c>
      <c r="O81" s="68">
        <f t="shared" ref="O81:O82" si="89">I81*(1-N81)</f>
        <v>10835.16</v>
      </c>
      <c r="P81" s="75">
        <v>0.13</v>
      </c>
      <c r="Q81" s="68">
        <f t="shared" ref="Q81:Q84" si="90">I81*(1-P81)</f>
        <v>11222.13</v>
      </c>
      <c r="R81" s="71">
        <f t="shared" ref="R81:R82" si="91">Q81/M81-1</f>
        <v>0.08752107762</v>
      </c>
      <c r="S81" s="71">
        <f t="shared" ref="S81:S84" si="92">O81/M81-1</f>
        <v>0.05002035081</v>
      </c>
      <c r="T81" s="72">
        <f t="shared" si="6"/>
        <v>0</v>
      </c>
      <c r="U81" s="73" t="str">
        <f t="shared" si="75"/>
        <v/>
      </c>
      <c r="V81" s="73">
        <f t="shared" si="87"/>
        <v>8744.915254</v>
      </c>
      <c r="W81" s="73">
        <f t="shared" si="9"/>
        <v>8744.915254</v>
      </c>
      <c r="X81" s="74">
        <f t="shared" si="10"/>
        <v>1</v>
      </c>
      <c r="Y81" s="73">
        <f t="shared" si="11"/>
        <v>0</v>
      </c>
      <c r="Z81" s="73">
        <f t="shared" si="12"/>
        <v>9182.338983</v>
      </c>
      <c r="AA81" s="73">
        <f t="shared" si="13"/>
        <v>9182.338983</v>
      </c>
      <c r="AB81" s="74">
        <f t="shared" si="14"/>
        <v>1</v>
      </c>
      <c r="AC81" s="61" t="str">
        <f t="shared" si="15"/>
        <v>8</v>
      </c>
      <c r="AD81" s="71" t="str">
        <f t="shared" si="16"/>
        <v>#DIV/0!</v>
      </c>
      <c r="AE81" s="73">
        <f t="shared" ref="AE81:AE82" si="93">Q81/118%-Y81</f>
        <v>9510.279661</v>
      </c>
      <c r="AF81" s="74">
        <f t="shared" ref="AF81:AF82" si="94">AE81/(Q81/1.18)</f>
        <v>1</v>
      </c>
      <c r="AG81" s="71">
        <f t="array" ref="AG81">IFERROR(xlookup(G81,'Old Master'!T:T,'Old Master'!V:V),N81)</f>
        <v>0.16</v>
      </c>
      <c r="AH81" s="73">
        <f t="shared" si="17"/>
        <v>10835.16</v>
      </c>
      <c r="AI81" s="73">
        <f t="shared" si="18"/>
        <v>9182.338983</v>
      </c>
      <c r="AJ81" s="72">
        <f t="shared" si="19"/>
        <v>1</v>
      </c>
      <c r="AK81" s="61"/>
      <c r="AL81" s="71">
        <f t="array" ref="AL81">iferror(if(isblank(xlookup($G81,'Old Master'!$T:$T,'Old Master'!$W:$W)),AG81,xlookup($G81,'Old Master'!$T:$T,'Old Master'!$W:$W)),AG81)</f>
        <v>0.16</v>
      </c>
      <c r="AM81" s="74">
        <f t="shared" si="20"/>
        <v>0.1628033181</v>
      </c>
      <c r="AN81" s="73">
        <f t="shared" ref="AN81:AN84" si="95">mround($I81*(1-AL81),100)-1</f>
        <v>10799</v>
      </c>
    </row>
    <row r="82">
      <c r="A82" s="65" t="s">
        <v>1011</v>
      </c>
      <c r="B82" s="65">
        <f t="shared" si="1"/>
        <v>70</v>
      </c>
      <c r="C82" s="65" t="str">
        <f t="shared" si="2"/>
        <v>SC-HYB-LATEX-K-75x72x6</v>
      </c>
      <c r="D82" s="65" t="s">
        <v>1013</v>
      </c>
      <c r="E82" s="65">
        <v>0.0</v>
      </c>
      <c r="F82" s="65" t="s">
        <v>1014</v>
      </c>
      <c r="G82" s="65" t="s">
        <v>5108</v>
      </c>
      <c r="H82" s="65" t="s">
        <v>52</v>
      </c>
      <c r="I82" s="65">
        <v>19999.0</v>
      </c>
      <c r="J82" s="66">
        <v>0.25</v>
      </c>
      <c r="K82" s="65">
        <f t="shared" si="3"/>
        <v>14999</v>
      </c>
      <c r="L82" s="66">
        <v>0.2</v>
      </c>
      <c r="M82" s="65">
        <f t="shared" si="4"/>
        <v>15999</v>
      </c>
      <c r="N82" s="75">
        <v>0.16</v>
      </c>
      <c r="O82" s="68">
        <f t="shared" si="89"/>
        <v>16799.16</v>
      </c>
      <c r="P82" s="75">
        <v>0.13</v>
      </c>
      <c r="Q82" s="68">
        <f t="shared" si="90"/>
        <v>17399.13</v>
      </c>
      <c r="R82" s="71">
        <f t="shared" si="91"/>
        <v>0.0875135946</v>
      </c>
      <c r="S82" s="71">
        <f t="shared" si="92"/>
        <v>0.05001312582</v>
      </c>
      <c r="T82" s="72">
        <f t="shared" si="6"/>
        <v>0</v>
      </c>
      <c r="U82" s="73" t="str">
        <f t="shared" si="75"/>
        <v/>
      </c>
      <c r="V82" s="73">
        <f t="shared" si="87"/>
        <v>13558.47458</v>
      </c>
      <c r="W82" s="73">
        <f t="shared" si="9"/>
        <v>13558.47458</v>
      </c>
      <c r="X82" s="74">
        <f t="shared" si="10"/>
        <v>1</v>
      </c>
      <c r="Y82" s="73">
        <f t="shared" si="11"/>
        <v>0</v>
      </c>
      <c r="Z82" s="73">
        <f t="shared" si="12"/>
        <v>14236.57627</v>
      </c>
      <c r="AA82" s="73">
        <f t="shared" si="13"/>
        <v>14236.57627</v>
      </c>
      <c r="AB82" s="74">
        <f t="shared" si="14"/>
        <v>1</v>
      </c>
      <c r="AC82" s="61" t="str">
        <f t="shared" si="15"/>
        <v>6</v>
      </c>
      <c r="AD82" s="71" t="str">
        <f t="shared" si="16"/>
        <v>#DIV/0!</v>
      </c>
      <c r="AE82" s="73">
        <f t="shared" si="93"/>
        <v>14745.02542</v>
      </c>
      <c r="AF82" s="74">
        <f t="shared" si="94"/>
        <v>1</v>
      </c>
      <c r="AG82" s="71">
        <f t="array" ref="AG82">IFERROR(xlookup(G82,'Old Master'!T:T,'Old Master'!V:V),N82)</f>
        <v>0.16</v>
      </c>
      <c r="AH82" s="73">
        <f t="shared" si="17"/>
        <v>16799.16</v>
      </c>
      <c r="AI82" s="73">
        <f t="shared" si="18"/>
        <v>14236.57627</v>
      </c>
      <c r="AJ82" s="72">
        <f t="shared" si="19"/>
        <v>1</v>
      </c>
      <c r="AK82" s="61"/>
      <c r="AL82" s="71">
        <f t="array" ref="AL82">iferror(if(isblank(xlookup($G82,'Old Master'!$T:$T,'Old Master'!$W:$W)),AG82,xlookup($G82,'Old Master'!$T:$T,'Old Master'!$W:$W)),AG82)</f>
        <v>0.16</v>
      </c>
      <c r="AM82" s="74">
        <f t="shared" si="20"/>
        <v>0.1600080004</v>
      </c>
      <c r="AN82" s="73">
        <f t="shared" si="95"/>
        <v>16799</v>
      </c>
    </row>
    <row r="83">
      <c r="A83" s="65" t="s">
        <v>5331</v>
      </c>
      <c r="B83" s="65">
        <f t="shared" si="1"/>
        <v>60</v>
      </c>
      <c r="C83" s="65" t="str">
        <f t="shared" si="2"/>
        <v>SC-LTx-ORTHO-Q-72x62x5</v>
      </c>
      <c r="D83" s="65" t="s">
        <v>4292</v>
      </c>
      <c r="E83" s="65">
        <v>0.0</v>
      </c>
      <c r="F83" s="65" t="s">
        <v>4293</v>
      </c>
      <c r="G83" s="65" t="s">
        <v>5118</v>
      </c>
      <c r="H83" s="65" t="s">
        <v>52</v>
      </c>
      <c r="I83" s="81">
        <v>16699.0</v>
      </c>
      <c r="J83" s="66">
        <v>0.23</v>
      </c>
      <c r="K83" s="81">
        <f t="shared" si="3"/>
        <v>12858</v>
      </c>
      <c r="L83" s="66">
        <v>0.2</v>
      </c>
      <c r="M83" s="81">
        <f t="shared" si="4"/>
        <v>13359</v>
      </c>
      <c r="N83" s="67">
        <f t="shared" ref="N83:N93" si="96">1-O83/I83</f>
        <v>0.3263608599</v>
      </c>
      <c r="O83" s="68">
        <v>11249.1</v>
      </c>
      <c r="P83" s="75">
        <v>0.1</v>
      </c>
      <c r="Q83" s="68">
        <f t="shared" si="90"/>
        <v>15029.1</v>
      </c>
      <c r="R83" s="70"/>
      <c r="S83" s="71">
        <f t="shared" si="92"/>
        <v>-0.1579384684</v>
      </c>
      <c r="T83" s="72">
        <f t="shared" si="6"/>
        <v>0</v>
      </c>
      <c r="U83" s="73" t="str">
        <f t="shared" si="75"/>
        <v/>
      </c>
      <c r="V83" s="73">
        <f t="shared" si="87"/>
        <v>11321.18644</v>
      </c>
      <c r="W83" s="73">
        <f t="shared" si="9"/>
        <v>11321.18644</v>
      </c>
      <c r="X83" s="74">
        <f t="shared" si="10"/>
        <v>1</v>
      </c>
      <c r="Y83" s="73">
        <f t="shared" si="11"/>
        <v>0</v>
      </c>
      <c r="Z83" s="73">
        <f t="shared" si="12"/>
        <v>9533.135593</v>
      </c>
      <c r="AA83" s="73">
        <f t="shared" si="13"/>
        <v>9533.135593</v>
      </c>
      <c r="AB83" s="74">
        <f t="shared" si="14"/>
        <v>1</v>
      </c>
      <c r="AC83" s="61" t="str">
        <f t="shared" si="15"/>
        <v>5</v>
      </c>
      <c r="AD83" s="71" t="str">
        <f t="shared" si="16"/>
        <v>#DIV/0!</v>
      </c>
      <c r="AE83" s="61"/>
      <c r="AF83" s="61"/>
      <c r="AG83" s="71">
        <f t="array" ref="AG83">IFERROR(xlookup(G83,'Old Master'!T:T,'Old Master'!V:V),N83)</f>
        <v>0.3263608599</v>
      </c>
      <c r="AH83" s="73">
        <f t="shared" si="17"/>
        <v>11249.1</v>
      </c>
      <c r="AI83" s="73">
        <f t="shared" si="18"/>
        <v>9533.135593</v>
      </c>
      <c r="AJ83" s="72">
        <f t="shared" si="19"/>
        <v>1</v>
      </c>
      <c r="AK83" s="61"/>
      <c r="AL83" s="71">
        <f t="array" ref="AL83">iferror(if(isblank(xlookup($G83,'Old Master'!$T:$T,'Old Master'!$W:$W)),AG83,xlookup($G83,'Old Master'!$T:$T,'Old Master'!$W:$W)),AG83)</f>
        <v>0.3263608599</v>
      </c>
      <c r="AM83" s="74">
        <f t="shared" si="20"/>
        <v>0.3293610396</v>
      </c>
      <c r="AN83" s="73">
        <f t="shared" si="95"/>
        <v>11199</v>
      </c>
    </row>
    <row r="84">
      <c r="A84" s="65" t="s">
        <v>5332</v>
      </c>
      <c r="B84" s="65">
        <f t="shared" si="1"/>
        <v>60</v>
      </c>
      <c r="C84" s="65" t="str">
        <f t="shared" si="2"/>
        <v>SC-LTx-ORTHO-Q-75x62x6</v>
      </c>
      <c r="D84" s="65" t="s">
        <v>4122</v>
      </c>
      <c r="E84" s="65">
        <v>0.0</v>
      </c>
      <c r="F84" s="65" t="s">
        <v>4123</v>
      </c>
      <c r="G84" s="65" t="s">
        <v>5118</v>
      </c>
      <c r="H84" s="65" t="s">
        <v>52</v>
      </c>
      <c r="I84" s="81">
        <v>19999.0</v>
      </c>
      <c r="J84" s="66">
        <v>0.23</v>
      </c>
      <c r="K84" s="81">
        <f t="shared" si="3"/>
        <v>15399</v>
      </c>
      <c r="L84" s="66">
        <v>0.2</v>
      </c>
      <c r="M84" s="81">
        <f t="shared" si="4"/>
        <v>15999</v>
      </c>
      <c r="N84" s="67">
        <f t="shared" si="96"/>
        <v>0.3250112506</v>
      </c>
      <c r="O84" s="68">
        <v>13499.1</v>
      </c>
      <c r="P84" s="75">
        <v>0.1</v>
      </c>
      <c r="Q84" s="68">
        <f t="shared" si="90"/>
        <v>17999.1</v>
      </c>
      <c r="R84" s="70"/>
      <c r="S84" s="71">
        <f t="shared" si="92"/>
        <v>-0.1562535158</v>
      </c>
      <c r="T84" s="72">
        <f t="shared" si="6"/>
        <v>0</v>
      </c>
      <c r="U84" s="73" t="str">
        <f t="shared" si="75"/>
        <v/>
      </c>
      <c r="V84" s="73">
        <f t="shared" si="87"/>
        <v>13558.47458</v>
      </c>
      <c r="W84" s="73">
        <f t="shared" si="9"/>
        <v>13558.47458</v>
      </c>
      <c r="X84" s="74">
        <f t="shared" si="10"/>
        <v>1</v>
      </c>
      <c r="Y84" s="73">
        <f t="shared" si="11"/>
        <v>0</v>
      </c>
      <c r="Z84" s="73">
        <f t="shared" si="12"/>
        <v>11439.91525</v>
      </c>
      <c r="AA84" s="73">
        <f t="shared" si="13"/>
        <v>11439.91525</v>
      </c>
      <c r="AB84" s="74">
        <f t="shared" si="14"/>
        <v>1</v>
      </c>
      <c r="AC84" s="61" t="str">
        <f t="shared" si="15"/>
        <v>6</v>
      </c>
      <c r="AD84" s="71" t="str">
        <f t="shared" si="16"/>
        <v>#DIV/0!</v>
      </c>
      <c r="AE84" s="61"/>
      <c r="AF84" s="61"/>
      <c r="AG84" s="71">
        <f t="array" ref="AG84">IFERROR(xlookup(G84,'Old Master'!T:T,'Old Master'!V:V),N84)</f>
        <v>0.3250112506</v>
      </c>
      <c r="AH84" s="73">
        <f t="shared" si="17"/>
        <v>13499.1</v>
      </c>
      <c r="AI84" s="73">
        <f t="shared" si="18"/>
        <v>11439.91525</v>
      </c>
      <c r="AJ84" s="72">
        <f t="shared" si="19"/>
        <v>1</v>
      </c>
      <c r="AK84" s="61"/>
      <c r="AL84" s="71">
        <f t="array" ref="AL84">iferror(if(isblank(xlookup($G84,'Old Master'!$T:$T,'Old Master'!$W:$W)),AG84,xlookup($G84,'Old Master'!$T:$T,'Old Master'!$W:$W)),AG84)</f>
        <v>0.3250112506</v>
      </c>
      <c r="AM84" s="74">
        <f t="shared" si="20"/>
        <v>0.3250162508</v>
      </c>
      <c r="AN84" s="73">
        <f t="shared" si="95"/>
        <v>13499</v>
      </c>
    </row>
    <row r="85">
      <c r="A85" s="65" t="s">
        <v>2384</v>
      </c>
      <c r="B85" s="65" t="str">
        <f t="shared" si="1"/>
        <v>#VALUE!</v>
      </c>
      <c r="C85" s="65" t="str">
        <f t="shared" si="2"/>
        <v>#VALUE!</v>
      </c>
      <c r="D85" s="65" t="s">
        <v>2386</v>
      </c>
      <c r="E85" s="65" t="s">
        <v>2387</v>
      </c>
      <c r="F85" s="65" t="s">
        <v>2388</v>
      </c>
      <c r="G85" s="65" t="s">
        <v>5085</v>
      </c>
      <c r="H85" s="65" t="s">
        <v>1145</v>
      </c>
      <c r="I85" s="65">
        <v>1989.0</v>
      </c>
      <c r="J85" s="66">
        <v>0.2463549522373052</v>
      </c>
      <c r="K85" s="65">
        <f t="shared" si="3"/>
        <v>1499</v>
      </c>
      <c r="L85" s="66">
        <v>0.3</v>
      </c>
      <c r="M85" s="65">
        <f t="shared" si="4"/>
        <v>1392</v>
      </c>
      <c r="N85" s="77">
        <f t="shared" si="96"/>
        <v>0.1458019105</v>
      </c>
      <c r="O85" s="78">
        <v>1699.0</v>
      </c>
      <c r="P85" s="67">
        <f t="shared" ref="P85:P91" si="97">1-Q85/I85</f>
        <v>0.1458019105</v>
      </c>
      <c r="Q85" s="79">
        <v>1699.0</v>
      </c>
      <c r="R85" s="70"/>
      <c r="S85" s="71">
        <f>O85/K85-1</f>
        <v>0.1334222815</v>
      </c>
      <c r="T85" s="72">
        <f t="shared" si="6"/>
        <v>0</v>
      </c>
      <c r="U85" s="73" t="str">
        <f t="shared" si="75"/>
        <v/>
      </c>
      <c r="V85" s="73">
        <f t="shared" si="87"/>
        <v>1179.661017</v>
      </c>
      <c r="W85" s="73">
        <f t="shared" si="9"/>
        <v>1179.661017</v>
      </c>
      <c r="X85" s="74">
        <f t="shared" si="10"/>
        <v>1</v>
      </c>
      <c r="Y85" s="73">
        <f t="shared" si="11"/>
        <v>0</v>
      </c>
      <c r="Z85" s="73">
        <f t="shared" si="12"/>
        <v>1439.830508</v>
      </c>
      <c r="AA85" s="73">
        <f t="shared" si="13"/>
        <v>1439.830508</v>
      </c>
      <c r="AB85" s="74">
        <f t="shared" si="14"/>
        <v>1</v>
      </c>
      <c r="AC85" s="61" t="str">
        <f t="shared" si="15"/>
        <v>6</v>
      </c>
      <c r="AD85" s="71" t="str">
        <f t="shared" si="16"/>
        <v>#DIV/0!</v>
      </c>
      <c r="AE85" s="61"/>
      <c r="AF85" s="61"/>
      <c r="AG85" s="71">
        <f t="array" ref="AG85">IFERROR(xlookup(G85,'Old Master'!T:T,'Old Master'!V:V),N85)</f>
        <v>0.1458019105</v>
      </c>
      <c r="AH85" s="73">
        <f t="shared" si="17"/>
        <v>1699</v>
      </c>
      <c r="AI85" s="73">
        <f t="shared" si="18"/>
        <v>1439.830508</v>
      </c>
      <c r="AJ85" s="72">
        <f t="shared" si="19"/>
        <v>1</v>
      </c>
      <c r="AK85" s="61"/>
      <c r="AL85" s="71">
        <f>(I85-AN85)/I85</f>
        <v>0.1458019105</v>
      </c>
      <c r="AM85" s="74">
        <f t="shared" si="20"/>
        <v>0.1458019105</v>
      </c>
      <c r="AN85" s="73">
        <v>1699.0</v>
      </c>
    </row>
    <row r="86">
      <c r="A86" s="65" t="s">
        <v>232</v>
      </c>
      <c r="B86" s="65">
        <f t="shared" si="1"/>
        <v>48</v>
      </c>
      <c r="C86" s="65" t="str">
        <f t="shared" si="2"/>
        <v>SC-ORIG-D-72x50x8</v>
      </c>
      <c r="D86" s="65" t="s">
        <v>234</v>
      </c>
      <c r="E86" s="65" t="s">
        <v>235</v>
      </c>
      <c r="F86" s="65" t="s">
        <v>236</v>
      </c>
      <c r="G86" s="65" t="s">
        <v>51</v>
      </c>
      <c r="H86" s="65" t="s">
        <v>52</v>
      </c>
      <c r="I86" s="65">
        <v>14499.0</v>
      </c>
      <c r="J86" s="66">
        <v>0.28</v>
      </c>
      <c r="K86" s="65">
        <f t="shared" si="3"/>
        <v>10439</v>
      </c>
      <c r="L86" s="66">
        <v>0.24</v>
      </c>
      <c r="M86" s="65">
        <f t="shared" si="4"/>
        <v>11019</v>
      </c>
      <c r="N86" s="67">
        <f t="shared" si="96"/>
        <v>0.1900131044</v>
      </c>
      <c r="O86" s="68">
        <v>11744.0</v>
      </c>
      <c r="P86" s="67">
        <f t="shared" si="97"/>
        <v>0.1900131044</v>
      </c>
      <c r="Q86" s="69">
        <v>11744.0</v>
      </c>
      <c r="R86" s="76"/>
      <c r="S86" s="72">
        <f t="shared" ref="S86:S87" si="98">O86/M86-1</f>
        <v>0.06579544423</v>
      </c>
      <c r="T86" s="72">
        <f t="shared" si="6"/>
        <v>0</v>
      </c>
      <c r="U86" s="73" t="str">
        <f t="shared" si="75"/>
        <v/>
      </c>
      <c r="V86" s="73">
        <f t="shared" si="87"/>
        <v>9338.135593</v>
      </c>
      <c r="W86" s="73">
        <f t="shared" si="9"/>
        <v>9338.135593</v>
      </c>
      <c r="X86" s="74">
        <f t="shared" si="10"/>
        <v>1</v>
      </c>
      <c r="Y86" s="73">
        <f t="shared" si="11"/>
        <v>0</v>
      </c>
      <c r="Z86" s="73">
        <f t="shared" si="12"/>
        <v>9952.542373</v>
      </c>
      <c r="AA86" s="73">
        <f t="shared" si="13"/>
        <v>9952.542373</v>
      </c>
      <c r="AB86" s="74">
        <f t="shared" si="14"/>
        <v>1</v>
      </c>
      <c r="AC86" s="61" t="str">
        <f t="shared" si="15"/>
        <v>8</v>
      </c>
      <c r="AD86" s="71" t="str">
        <f t="shared" si="16"/>
        <v>#DIV/0!</v>
      </c>
      <c r="AE86" s="61"/>
      <c r="AF86" s="61"/>
      <c r="AG86" s="71">
        <f t="array" ref="AG86">IFERROR(xlookup(G86,'Old Master'!T:T,'Old Master'!V:V),N86)</f>
        <v>0.1900131044</v>
      </c>
      <c r="AH86" s="73">
        <f t="shared" si="17"/>
        <v>11744</v>
      </c>
      <c r="AI86" s="73">
        <f t="shared" si="18"/>
        <v>9952.542373</v>
      </c>
      <c r="AJ86" s="72">
        <f t="shared" si="19"/>
        <v>1</v>
      </c>
      <c r="AK86" s="61"/>
      <c r="AL86" s="71">
        <f t="array" ref="AL86">iferror(if(isblank(xlookup($G86,'Old Master'!$T:$T,'Old Master'!$W:$W)),AG86,xlookup($G86,'Old Master'!$T:$T,'Old Master'!$W:$W)),AG86)</f>
        <v>0.1900131044</v>
      </c>
      <c r="AM86" s="74">
        <f t="shared" si="20"/>
        <v>0.1931167667</v>
      </c>
      <c r="AN86" s="73">
        <f t="shared" ref="AN86:AN87" si="99">mround($I86*(1-AL86),100)-1</f>
        <v>11699</v>
      </c>
    </row>
    <row r="87">
      <c r="A87" s="65" t="s">
        <v>602</v>
      </c>
      <c r="B87" s="65">
        <f t="shared" si="1"/>
        <v>72</v>
      </c>
      <c r="C87" s="65" t="str">
        <f t="shared" si="2"/>
        <v>SC-ORIG-K-84x74x6</v>
      </c>
      <c r="D87" s="65" t="s">
        <v>604</v>
      </c>
      <c r="E87" s="65" t="s">
        <v>605</v>
      </c>
      <c r="F87" s="65" t="s">
        <v>606</v>
      </c>
      <c r="G87" s="65" t="s">
        <v>51</v>
      </c>
      <c r="H87" s="65" t="s">
        <v>52</v>
      </c>
      <c r="I87" s="65">
        <v>18999.0</v>
      </c>
      <c r="J87" s="66">
        <v>0.28</v>
      </c>
      <c r="K87" s="65">
        <f t="shared" si="3"/>
        <v>13679</v>
      </c>
      <c r="L87" s="66">
        <v>0.24</v>
      </c>
      <c r="M87" s="65">
        <f t="shared" si="4"/>
        <v>14439</v>
      </c>
      <c r="N87" s="67">
        <f t="shared" si="96"/>
        <v>0.1900100005</v>
      </c>
      <c r="O87" s="68">
        <v>15389.0</v>
      </c>
      <c r="P87" s="67">
        <f t="shared" si="97"/>
        <v>0.1900100005</v>
      </c>
      <c r="Q87" s="69">
        <v>15389.0</v>
      </c>
      <c r="R87" s="76"/>
      <c r="S87" s="72">
        <f t="shared" si="98"/>
        <v>0.06579403006</v>
      </c>
      <c r="T87" s="72">
        <f t="shared" si="6"/>
        <v>0</v>
      </c>
      <c r="U87" s="73" t="str">
        <f t="shared" si="75"/>
        <v/>
      </c>
      <c r="V87" s="73">
        <f t="shared" si="87"/>
        <v>12236.44068</v>
      </c>
      <c r="W87" s="73">
        <f t="shared" si="9"/>
        <v>12236.44068</v>
      </c>
      <c r="X87" s="74">
        <f t="shared" si="10"/>
        <v>1</v>
      </c>
      <c r="Y87" s="73">
        <f t="shared" si="11"/>
        <v>0</v>
      </c>
      <c r="Z87" s="73">
        <f t="shared" si="12"/>
        <v>13041.52542</v>
      </c>
      <c r="AA87" s="73">
        <f t="shared" si="13"/>
        <v>13041.52542</v>
      </c>
      <c r="AB87" s="74">
        <f t="shared" si="14"/>
        <v>1</v>
      </c>
      <c r="AC87" s="61" t="str">
        <f t="shared" si="15"/>
        <v>6</v>
      </c>
      <c r="AD87" s="71" t="str">
        <f t="shared" si="16"/>
        <v>#DIV/0!</v>
      </c>
      <c r="AE87" s="61"/>
      <c r="AF87" s="61"/>
      <c r="AG87" s="71">
        <f t="array" ref="AG87">IFERROR(xlookup(G87,'Old Master'!T:T,'Old Master'!V:V),N87)</f>
        <v>0.1900100005</v>
      </c>
      <c r="AH87" s="73">
        <f t="shared" si="17"/>
        <v>15389</v>
      </c>
      <c r="AI87" s="73">
        <f t="shared" si="18"/>
        <v>13041.52542</v>
      </c>
      <c r="AJ87" s="72">
        <f t="shared" si="19"/>
        <v>1</v>
      </c>
      <c r="AK87" s="61"/>
      <c r="AL87" s="71">
        <f t="array" ref="AL87">iferror(if(isblank(xlookup($G87,'Old Master'!$T:$T,'Old Master'!$W:$W)),AG87,xlookup($G87,'Old Master'!$T:$T,'Old Master'!$W:$W)),AG87)</f>
        <v>0.1900100005</v>
      </c>
      <c r="AM87" s="74">
        <f t="shared" si="20"/>
        <v>0.189483657</v>
      </c>
      <c r="AN87" s="73">
        <f t="shared" si="99"/>
        <v>15399</v>
      </c>
    </row>
    <row r="88">
      <c r="A88" s="65" t="s">
        <v>2341</v>
      </c>
      <c r="B88" s="65" t="str">
        <f t="shared" si="1"/>
        <v>#VALUE!</v>
      </c>
      <c r="C88" s="65" t="str">
        <f t="shared" si="2"/>
        <v>#VALUE!</v>
      </c>
      <c r="D88" s="65" t="s">
        <v>2343</v>
      </c>
      <c r="E88" s="65" t="s">
        <v>2344</v>
      </c>
      <c r="F88" s="65" t="s">
        <v>2345</v>
      </c>
      <c r="G88" s="65" t="s">
        <v>5077</v>
      </c>
      <c r="H88" s="65" t="s">
        <v>4730</v>
      </c>
      <c r="I88" s="65">
        <v>1089.0</v>
      </c>
      <c r="J88" s="66">
        <v>0.17447199265381086</v>
      </c>
      <c r="K88" s="65">
        <f t="shared" si="3"/>
        <v>899</v>
      </c>
      <c r="L88" s="66">
        <v>0.1</v>
      </c>
      <c r="M88" s="65">
        <f t="shared" si="4"/>
        <v>980</v>
      </c>
      <c r="N88" s="67">
        <f t="shared" si="96"/>
        <v>0.04958677686</v>
      </c>
      <c r="O88" s="68">
        <v>1035.0</v>
      </c>
      <c r="P88" s="67">
        <f t="shared" si="97"/>
        <v>0.04958677686</v>
      </c>
      <c r="Q88" s="69">
        <v>1035.0</v>
      </c>
      <c r="R88" s="70"/>
      <c r="S88" s="71">
        <f>O88/K88-1</f>
        <v>0.1512791991</v>
      </c>
      <c r="T88" s="72">
        <f t="shared" si="6"/>
        <v>0</v>
      </c>
      <c r="U88" s="73" t="str">
        <f t="shared" si="75"/>
        <v/>
      </c>
      <c r="V88" s="73">
        <f t="shared" si="87"/>
        <v>830.5084746</v>
      </c>
      <c r="W88" s="73">
        <f t="shared" si="9"/>
        <v>830.5084746</v>
      </c>
      <c r="X88" s="74">
        <f t="shared" si="10"/>
        <v>1</v>
      </c>
      <c r="Y88" s="73">
        <f t="shared" si="11"/>
        <v>0</v>
      </c>
      <c r="Z88" s="73">
        <f t="shared" si="12"/>
        <v>877.1186441</v>
      </c>
      <c r="AA88" s="73">
        <f t="shared" si="13"/>
        <v>877.1186441</v>
      </c>
      <c r="AB88" s="74">
        <f t="shared" si="14"/>
        <v>1</v>
      </c>
      <c r="AC88" s="61" t="str">
        <f t="shared" si="15"/>
        <v>2</v>
      </c>
      <c r="AD88" s="71" t="str">
        <f t="shared" si="16"/>
        <v>#DIV/0!</v>
      </c>
      <c r="AE88" s="61"/>
      <c r="AF88" s="61"/>
      <c r="AG88" s="71">
        <f t="array" ref="AG88">IFERROR(xlookup(G88,'Old Master'!T:T,'Old Master'!V:V),N88)</f>
        <v>0.04958677686</v>
      </c>
      <c r="AH88" s="73">
        <f t="shared" si="17"/>
        <v>1035</v>
      </c>
      <c r="AI88" s="73">
        <f t="shared" si="18"/>
        <v>877.1186441</v>
      </c>
      <c r="AJ88" s="72">
        <f t="shared" si="19"/>
        <v>1</v>
      </c>
      <c r="AK88" s="61"/>
      <c r="AL88" s="71">
        <f t="array" ref="AL88">iferror(if(isblank(xlookup($G88,'Old Master'!$T:$T,'Old Master'!$W:$W)),AG88,xlookup($G88,'Old Master'!$T:$T,'Old Master'!$W:$W)),AG88)</f>
        <v>0.04958677686</v>
      </c>
      <c r="AM88" s="74">
        <f t="shared" si="20"/>
        <v>0.04958677686</v>
      </c>
      <c r="AN88" s="73">
        <f>O88</f>
        <v>1035</v>
      </c>
    </row>
    <row r="89">
      <c r="A89" s="65" t="s">
        <v>1555</v>
      </c>
      <c r="B89" s="65">
        <f t="shared" si="1"/>
        <v>48</v>
      </c>
      <c r="C89" s="65" t="str">
        <f t="shared" si="2"/>
        <v>SC-ULTM-D-72x50x8</v>
      </c>
      <c r="D89" s="65" t="s">
        <v>1557</v>
      </c>
      <c r="E89" s="65" t="s">
        <v>1555</v>
      </c>
      <c r="F89" s="65" t="s">
        <v>1555</v>
      </c>
      <c r="G89" s="65" t="s">
        <v>5112</v>
      </c>
      <c r="H89" s="65" t="s">
        <v>52</v>
      </c>
      <c r="I89" s="65">
        <v>18999.0</v>
      </c>
      <c r="J89" s="66">
        <v>0.25</v>
      </c>
      <c r="K89" s="65">
        <f t="shared" si="3"/>
        <v>14249</v>
      </c>
      <c r="L89" s="66">
        <v>0.22</v>
      </c>
      <c r="M89" s="65">
        <f t="shared" si="4"/>
        <v>14819</v>
      </c>
      <c r="N89" s="67">
        <f t="shared" si="96"/>
        <v>0.1000052634</v>
      </c>
      <c r="O89" s="68">
        <v>17099.0</v>
      </c>
      <c r="P89" s="67">
        <f t="shared" si="97"/>
        <v>0.1000052634</v>
      </c>
      <c r="Q89" s="69">
        <v>17099.0</v>
      </c>
      <c r="R89" s="70"/>
      <c r="S89" s="71">
        <f>O89/M89-1</f>
        <v>0.1538565355</v>
      </c>
      <c r="T89" s="72">
        <f t="shared" si="6"/>
        <v>0</v>
      </c>
      <c r="U89" s="73" t="str">
        <f t="shared" si="75"/>
        <v/>
      </c>
      <c r="V89" s="73">
        <f t="shared" si="87"/>
        <v>12558.47458</v>
      </c>
      <c r="W89" s="73">
        <f t="shared" si="9"/>
        <v>12558.47458</v>
      </c>
      <c r="X89" s="74">
        <f t="shared" si="10"/>
        <v>1</v>
      </c>
      <c r="Y89" s="73">
        <f t="shared" si="11"/>
        <v>0</v>
      </c>
      <c r="Z89" s="73">
        <f t="shared" si="12"/>
        <v>14490.67797</v>
      </c>
      <c r="AA89" s="73">
        <f t="shared" si="13"/>
        <v>14490.67797</v>
      </c>
      <c r="AB89" s="74">
        <f t="shared" si="14"/>
        <v>1</v>
      </c>
      <c r="AC89" s="61" t="str">
        <f t="shared" si="15"/>
        <v>8</v>
      </c>
      <c r="AD89" s="71" t="str">
        <f t="shared" si="16"/>
        <v>#DIV/0!</v>
      </c>
      <c r="AE89" s="61"/>
      <c r="AF89" s="61"/>
      <c r="AG89" s="71">
        <f t="array" ref="AG89">IFERROR(xlookup(G89,'Old Master'!T:T,'Old Master'!V:V),N89)</f>
        <v>0.1000052634</v>
      </c>
      <c r="AH89" s="73">
        <f t="shared" si="17"/>
        <v>17099</v>
      </c>
      <c r="AI89" s="73">
        <f t="shared" si="18"/>
        <v>14490.67797</v>
      </c>
      <c r="AJ89" s="72">
        <f t="shared" si="19"/>
        <v>1</v>
      </c>
      <c r="AK89" s="61"/>
      <c r="AL89" s="71">
        <f t="array" ref="AL89">iferror(if(isblank(xlookup($G89,'Old Master'!$T:$T,'Old Master'!$W:$W)),AG89,xlookup($G89,'Old Master'!$T:$T,'Old Master'!$W:$W)),AG89)</f>
        <v>0.1000052634</v>
      </c>
      <c r="AM89" s="74">
        <f t="shared" si="20"/>
        <v>0.1000052634</v>
      </c>
      <c r="AN89" s="73">
        <f>mround($I89*(1-AL89),100)-1</f>
        <v>17099</v>
      </c>
    </row>
    <row r="90">
      <c r="A90" s="65" t="s">
        <v>2448</v>
      </c>
      <c r="B90" s="65" t="str">
        <f t="shared" si="1"/>
        <v>#VALUE!</v>
      </c>
      <c r="C90" s="65" t="str">
        <f t="shared" si="2"/>
        <v>#VALUE!</v>
      </c>
      <c r="D90" s="65" t="s">
        <v>2450</v>
      </c>
      <c r="E90" s="65" t="s">
        <v>2451</v>
      </c>
      <c r="F90" s="65" t="s">
        <v>2448</v>
      </c>
      <c r="G90" s="65" t="s">
        <v>5083</v>
      </c>
      <c r="H90" s="65" t="s">
        <v>1145</v>
      </c>
      <c r="I90" s="65">
        <v>2989.0</v>
      </c>
      <c r="J90" s="66">
        <v>0.3312144529943125</v>
      </c>
      <c r="K90" s="65">
        <f t="shared" si="3"/>
        <v>1999</v>
      </c>
      <c r="L90" s="66">
        <v>0.3</v>
      </c>
      <c r="M90" s="65">
        <f t="shared" si="4"/>
        <v>2092</v>
      </c>
      <c r="N90" s="77">
        <f t="shared" si="96"/>
        <v>0.2308464369</v>
      </c>
      <c r="O90" s="78">
        <v>2299.0</v>
      </c>
      <c r="P90" s="67">
        <f t="shared" si="97"/>
        <v>0.2308464369</v>
      </c>
      <c r="Q90" s="79">
        <v>2299.0</v>
      </c>
      <c r="R90" s="70"/>
      <c r="S90" s="71">
        <f t="shared" ref="S90:S91" si="100">O90/K90-1</f>
        <v>0.1500750375</v>
      </c>
      <c r="T90" s="72">
        <f t="shared" si="6"/>
        <v>0</v>
      </c>
      <c r="U90" s="73" t="str">
        <f t="shared" si="75"/>
        <v/>
      </c>
      <c r="V90" s="73">
        <f t="shared" si="87"/>
        <v>1772.881356</v>
      </c>
      <c r="W90" s="73">
        <f t="shared" si="9"/>
        <v>1772.881356</v>
      </c>
      <c r="X90" s="74">
        <f t="shared" si="10"/>
        <v>1</v>
      </c>
      <c r="Y90" s="73">
        <f t="shared" si="11"/>
        <v>0</v>
      </c>
      <c r="Z90" s="73">
        <f t="shared" si="12"/>
        <v>1948.305085</v>
      </c>
      <c r="AA90" s="73">
        <f t="shared" si="13"/>
        <v>1948.305085</v>
      </c>
      <c r="AB90" s="74">
        <f t="shared" si="14"/>
        <v>1</v>
      </c>
      <c r="AC90" s="61" t="str">
        <f t="shared" si="15"/>
        <v>6</v>
      </c>
      <c r="AD90" s="71" t="str">
        <f t="shared" si="16"/>
        <v>#DIV/0!</v>
      </c>
      <c r="AE90" s="61"/>
      <c r="AF90" s="61"/>
      <c r="AG90" s="71">
        <f t="array" ref="AG90">IFERROR(xlookup(G90,'Old Master'!T:T,'Old Master'!V:V),N90)</f>
        <v>0.2308464369</v>
      </c>
      <c r="AH90" s="73">
        <f t="shared" si="17"/>
        <v>2299</v>
      </c>
      <c r="AI90" s="73">
        <f t="shared" si="18"/>
        <v>1948.305085</v>
      </c>
      <c r="AJ90" s="72">
        <f t="shared" si="19"/>
        <v>1</v>
      </c>
      <c r="AK90" s="61"/>
      <c r="AL90" s="71">
        <f t="shared" ref="AL90:AL91" si="101">(I90-AN90)/I90</f>
        <v>0.2308464369</v>
      </c>
      <c r="AM90" s="74">
        <f t="shared" si="20"/>
        <v>0.2308464369</v>
      </c>
      <c r="AN90" s="73">
        <v>2299.0</v>
      </c>
    </row>
    <row r="91">
      <c r="A91" s="65" t="s">
        <v>2431</v>
      </c>
      <c r="B91" s="65" t="str">
        <f t="shared" si="1"/>
        <v>#VALUE!</v>
      </c>
      <c r="C91" s="65" t="str">
        <f t="shared" si="2"/>
        <v>#VALUE!</v>
      </c>
      <c r="D91" s="65" t="s">
        <v>2433</v>
      </c>
      <c r="E91" s="65">
        <v>0.0</v>
      </c>
      <c r="F91" s="65" t="s">
        <v>2435</v>
      </c>
      <c r="G91" s="65" t="s">
        <v>5081</v>
      </c>
      <c r="H91" s="65" t="s">
        <v>1145</v>
      </c>
      <c r="I91" s="65">
        <v>3699.0</v>
      </c>
      <c r="J91" s="66">
        <v>0.20005406866720732</v>
      </c>
      <c r="K91" s="65">
        <f t="shared" si="3"/>
        <v>2959</v>
      </c>
      <c r="L91" s="66">
        <v>0.2</v>
      </c>
      <c r="M91" s="65">
        <f t="shared" si="4"/>
        <v>2959</v>
      </c>
      <c r="N91" s="77">
        <f t="shared" si="96"/>
        <v>0.05406866721</v>
      </c>
      <c r="O91" s="78">
        <v>3499.0</v>
      </c>
      <c r="P91" s="67">
        <f t="shared" si="97"/>
        <v>0.05406866721</v>
      </c>
      <c r="Q91" s="79">
        <v>3499.0</v>
      </c>
      <c r="R91" s="70"/>
      <c r="S91" s="71">
        <f t="shared" si="100"/>
        <v>0.1824940858</v>
      </c>
      <c r="T91" s="72">
        <f t="shared" si="6"/>
        <v>0</v>
      </c>
      <c r="U91" s="73" t="str">
        <f t="shared" si="75"/>
        <v/>
      </c>
      <c r="V91" s="73">
        <f t="shared" si="87"/>
        <v>2507.627119</v>
      </c>
      <c r="W91" s="73">
        <f t="shared" si="9"/>
        <v>2507.627119</v>
      </c>
      <c r="X91" s="74">
        <f t="shared" si="10"/>
        <v>1</v>
      </c>
      <c r="Y91" s="73">
        <f t="shared" si="11"/>
        <v>0</v>
      </c>
      <c r="Z91" s="73">
        <f t="shared" si="12"/>
        <v>2965.254237</v>
      </c>
      <c r="AA91" s="73">
        <f t="shared" si="13"/>
        <v>2965.254237</v>
      </c>
      <c r="AB91" s="74">
        <f t="shared" si="14"/>
        <v>1</v>
      </c>
      <c r="AC91" s="61" t="str">
        <f t="shared" si="15"/>
        <v>6</v>
      </c>
      <c r="AD91" s="71" t="str">
        <f t="shared" si="16"/>
        <v>#DIV/0!</v>
      </c>
      <c r="AE91" s="61"/>
      <c r="AF91" s="61"/>
      <c r="AG91" s="71">
        <f t="array" ref="AG91">IFERROR(xlookup(G91,'Old Master'!T:T,'Old Master'!V:V),N91)</f>
        <v>0.05406866721</v>
      </c>
      <c r="AH91" s="73">
        <f t="shared" si="17"/>
        <v>3499</v>
      </c>
      <c r="AI91" s="73">
        <f t="shared" si="18"/>
        <v>2965.254237</v>
      </c>
      <c r="AJ91" s="72">
        <f t="shared" si="19"/>
        <v>1</v>
      </c>
      <c r="AK91" s="61"/>
      <c r="AL91" s="71">
        <f t="shared" si="101"/>
        <v>0.05406866721</v>
      </c>
      <c r="AM91" s="74">
        <f t="shared" si="20"/>
        <v>0.05406866721</v>
      </c>
      <c r="AN91" s="73">
        <v>3499.0</v>
      </c>
    </row>
    <row r="92">
      <c r="A92" s="65" t="s">
        <v>5333</v>
      </c>
      <c r="B92" s="65">
        <f t="shared" si="1"/>
        <v>60</v>
      </c>
      <c r="C92" s="65" t="str">
        <f t="shared" si="2"/>
        <v>SC-LTx-ORTHO-Q-72x62x6</v>
      </c>
      <c r="D92" s="65" t="s">
        <v>4116</v>
      </c>
      <c r="E92" s="65">
        <v>0.0</v>
      </c>
      <c r="F92" s="65" t="s">
        <v>4117</v>
      </c>
      <c r="G92" s="65" t="s">
        <v>5118</v>
      </c>
      <c r="H92" s="65" t="s">
        <v>52</v>
      </c>
      <c r="I92" s="81">
        <v>19999.0</v>
      </c>
      <c r="J92" s="66">
        <v>0.23</v>
      </c>
      <c r="K92" s="81">
        <f t="shared" si="3"/>
        <v>15399</v>
      </c>
      <c r="L92" s="66">
        <v>0.2</v>
      </c>
      <c r="M92" s="81">
        <f t="shared" si="4"/>
        <v>15999</v>
      </c>
      <c r="N92" s="67">
        <f t="shared" si="96"/>
        <v>0.3250112506</v>
      </c>
      <c r="O92" s="68">
        <v>13499.1</v>
      </c>
      <c r="P92" s="75">
        <v>0.1</v>
      </c>
      <c r="Q92" s="68">
        <f t="shared" ref="Q92:Q96" si="102">I92*(1-P92)</f>
        <v>17999.1</v>
      </c>
      <c r="R92" s="70"/>
      <c r="S92" s="71">
        <f t="shared" ref="S92:S97" si="103">O92/M92-1</f>
        <v>-0.1562535158</v>
      </c>
      <c r="T92" s="72">
        <f t="shared" si="6"/>
        <v>0</v>
      </c>
      <c r="U92" s="73" t="str">
        <f t="shared" si="75"/>
        <v/>
      </c>
      <c r="V92" s="73">
        <f t="shared" si="87"/>
        <v>13558.47458</v>
      </c>
      <c r="W92" s="73">
        <f t="shared" si="9"/>
        <v>13558.47458</v>
      </c>
      <c r="X92" s="74">
        <f t="shared" si="10"/>
        <v>1</v>
      </c>
      <c r="Y92" s="73">
        <f t="shared" si="11"/>
        <v>0</v>
      </c>
      <c r="Z92" s="73">
        <f t="shared" si="12"/>
        <v>11439.91525</v>
      </c>
      <c r="AA92" s="73">
        <f t="shared" si="13"/>
        <v>11439.91525</v>
      </c>
      <c r="AB92" s="74">
        <f t="shared" si="14"/>
        <v>1</v>
      </c>
      <c r="AC92" s="61" t="str">
        <f t="shared" si="15"/>
        <v>6</v>
      </c>
      <c r="AD92" s="71" t="str">
        <f t="shared" si="16"/>
        <v>#DIV/0!</v>
      </c>
      <c r="AE92" s="61"/>
      <c r="AF92" s="61"/>
      <c r="AG92" s="71">
        <f t="array" ref="AG92">IFERROR(xlookup(G92,'Old Master'!T:T,'Old Master'!V:V),N92)</f>
        <v>0.3250112506</v>
      </c>
      <c r="AH92" s="73">
        <f t="shared" si="17"/>
        <v>13499.1</v>
      </c>
      <c r="AI92" s="73">
        <f t="shared" si="18"/>
        <v>11439.91525</v>
      </c>
      <c r="AJ92" s="72">
        <f t="shared" si="19"/>
        <v>1</v>
      </c>
      <c r="AK92" s="61"/>
      <c r="AL92" s="71">
        <f t="array" ref="AL92">iferror(if(isblank(xlookup($G92,'Old Master'!$T:$T,'Old Master'!$W:$W)),AG92,xlookup($G92,'Old Master'!$T:$T,'Old Master'!$W:$W)),AG92)</f>
        <v>0.3250112506</v>
      </c>
      <c r="AM92" s="74">
        <f t="shared" si="20"/>
        <v>0.3250162508</v>
      </c>
      <c r="AN92" s="73">
        <f t="shared" ref="AN92:AN100" si="104">mround($I92*(1-AL92),100)-1</f>
        <v>13499</v>
      </c>
    </row>
    <row r="93">
      <c r="A93" s="65" t="s">
        <v>5334</v>
      </c>
      <c r="B93" s="65">
        <f t="shared" si="1"/>
        <v>60</v>
      </c>
      <c r="C93" s="65" t="str">
        <f t="shared" si="2"/>
        <v>SC-LTx-ORTHO-Q-78x62x8</v>
      </c>
      <c r="D93" s="65" t="s">
        <v>4151</v>
      </c>
      <c r="E93" s="65">
        <v>0.0</v>
      </c>
      <c r="F93" s="65" t="s">
        <v>4152</v>
      </c>
      <c r="G93" s="65" t="s">
        <v>5118</v>
      </c>
      <c r="H93" s="65" t="s">
        <v>52</v>
      </c>
      <c r="I93" s="81">
        <v>24299.0</v>
      </c>
      <c r="J93" s="66">
        <v>0.23</v>
      </c>
      <c r="K93" s="81">
        <f t="shared" si="3"/>
        <v>18710</v>
      </c>
      <c r="L93" s="66">
        <v>0.2</v>
      </c>
      <c r="M93" s="81">
        <f t="shared" si="4"/>
        <v>19439</v>
      </c>
      <c r="N93" s="67">
        <f t="shared" si="96"/>
        <v>0.3259352237</v>
      </c>
      <c r="O93" s="68">
        <v>16379.1</v>
      </c>
      <c r="P93" s="75">
        <v>0.1</v>
      </c>
      <c r="Q93" s="68">
        <f t="shared" si="102"/>
        <v>21869.1</v>
      </c>
      <c r="R93" s="70"/>
      <c r="S93" s="71">
        <f t="shared" si="103"/>
        <v>-0.1574103606</v>
      </c>
      <c r="T93" s="72">
        <f t="shared" si="6"/>
        <v>0</v>
      </c>
      <c r="U93" s="73" t="str">
        <f t="shared" si="75"/>
        <v/>
      </c>
      <c r="V93" s="73">
        <f t="shared" si="87"/>
        <v>16473.72881</v>
      </c>
      <c r="W93" s="73">
        <f t="shared" si="9"/>
        <v>16473.72881</v>
      </c>
      <c r="X93" s="74">
        <f t="shared" si="10"/>
        <v>1</v>
      </c>
      <c r="Y93" s="73">
        <f t="shared" si="11"/>
        <v>0</v>
      </c>
      <c r="Z93" s="73">
        <f t="shared" si="12"/>
        <v>13880.59322</v>
      </c>
      <c r="AA93" s="73">
        <f t="shared" si="13"/>
        <v>13880.59322</v>
      </c>
      <c r="AB93" s="74">
        <f t="shared" si="14"/>
        <v>1</v>
      </c>
      <c r="AC93" s="61" t="str">
        <f t="shared" si="15"/>
        <v>8</v>
      </c>
      <c r="AD93" s="71" t="str">
        <f t="shared" si="16"/>
        <v>#DIV/0!</v>
      </c>
      <c r="AE93" s="61"/>
      <c r="AF93" s="61"/>
      <c r="AG93" s="71">
        <f t="array" ref="AG93">IFERROR(xlookup(G93,'Old Master'!T:T,'Old Master'!V:V),N93)</f>
        <v>0.3259352237</v>
      </c>
      <c r="AH93" s="73">
        <f t="shared" si="17"/>
        <v>16379.1</v>
      </c>
      <c r="AI93" s="73">
        <f t="shared" si="18"/>
        <v>13880.59322</v>
      </c>
      <c r="AJ93" s="72">
        <f t="shared" si="19"/>
        <v>1</v>
      </c>
      <c r="AK93" s="61"/>
      <c r="AL93" s="71">
        <f t="array" ref="AL93">iferror(if(isblank(xlookup($G93,'Old Master'!$T:$T,'Old Master'!$W:$W)),AG93,xlookup($G93,'Old Master'!$T:$T,'Old Master'!$W:$W)),AG93)</f>
        <v>0.3259352237</v>
      </c>
      <c r="AM93" s="74">
        <f t="shared" si="20"/>
        <v>0.3251162599</v>
      </c>
      <c r="AN93" s="73">
        <f t="shared" si="104"/>
        <v>16399</v>
      </c>
    </row>
    <row r="94">
      <c r="A94" s="65" t="s">
        <v>1083</v>
      </c>
      <c r="B94" s="65">
        <f t="shared" si="1"/>
        <v>78</v>
      </c>
      <c r="C94" s="65" t="str">
        <f t="shared" si="2"/>
        <v>SC-HYB-LATEX-K-84x80x8</v>
      </c>
      <c r="D94" s="65" t="s">
        <v>1085</v>
      </c>
      <c r="E94" s="65">
        <v>0.0</v>
      </c>
      <c r="F94" s="65">
        <v>0.0</v>
      </c>
      <c r="G94" s="65" t="s">
        <v>5108</v>
      </c>
      <c r="H94" s="65" t="s">
        <v>52</v>
      </c>
      <c r="I94" s="65">
        <v>28999.0</v>
      </c>
      <c r="J94" s="66">
        <v>0.25</v>
      </c>
      <c r="K94" s="65">
        <f t="shared" si="3"/>
        <v>21749</v>
      </c>
      <c r="L94" s="66">
        <v>0.2</v>
      </c>
      <c r="M94" s="65">
        <f t="shared" si="4"/>
        <v>23199</v>
      </c>
      <c r="N94" s="75">
        <v>0.16</v>
      </c>
      <c r="O94" s="68">
        <f>I94*(1-N94)</f>
        <v>24359.16</v>
      </c>
      <c r="P94" s="75">
        <v>0.13</v>
      </c>
      <c r="Q94" s="68">
        <f t="shared" si="102"/>
        <v>25229.13</v>
      </c>
      <c r="R94" s="71">
        <f>Q94/M94-1</f>
        <v>0.0875093754</v>
      </c>
      <c r="S94" s="71">
        <f t="shared" si="103"/>
        <v>0.05000905211</v>
      </c>
      <c r="T94" s="72">
        <f t="shared" si="6"/>
        <v>0</v>
      </c>
      <c r="U94" s="73" t="str">
        <f t="shared" si="75"/>
        <v/>
      </c>
      <c r="V94" s="73">
        <f t="shared" si="87"/>
        <v>19660.16949</v>
      </c>
      <c r="W94" s="73">
        <f t="shared" si="9"/>
        <v>19660.16949</v>
      </c>
      <c r="X94" s="74">
        <f t="shared" si="10"/>
        <v>1</v>
      </c>
      <c r="Y94" s="73">
        <f t="shared" si="11"/>
        <v>0</v>
      </c>
      <c r="Z94" s="73">
        <f t="shared" si="12"/>
        <v>20643.35593</v>
      </c>
      <c r="AA94" s="73">
        <f t="shared" si="13"/>
        <v>20643.35593</v>
      </c>
      <c r="AB94" s="74">
        <f t="shared" si="14"/>
        <v>1</v>
      </c>
      <c r="AC94" s="61" t="str">
        <f t="shared" si="15"/>
        <v>8</v>
      </c>
      <c r="AD94" s="71" t="str">
        <f t="shared" si="16"/>
        <v>#DIV/0!</v>
      </c>
      <c r="AE94" s="73">
        <f>Q94/118%-Y94</f>
        <v>21380.61864</v>
      </c>
      <c r="AF94" s="74">
        <f>AE94/(Q94/1.18)</f>
        <v>1</v>
      </c>
      <c r="AG94" s="71">
        <f t="array" ref="AG94">IFERROR(xlookup(G94,'Old Master'!T:T,'Old Master'!V:V),N94)</f>
        <v>0.16</v>
      </c>
      <c r="AH94" s="73">
        <f t="shared" si="17"/>
        <v>24359.16</v>
      </c>
      <c r="AI94" s="73">
        <f t="shared" si="18"/>
        <v>20643.35593</v>
      </c>
      <c r="AJ94" s="72">
        <f t="shared" si="19"/>
        <v>1</v>
      </c>
      <c r="AK94" s="61"/>
      <c r="AL94" s="71">
        <f t="array" ref="AL94">iferror(if(isblank(xlookup($G94,'Old Master'!$T:$T,'Old Master'!$W:$W)),AG94,xlookup($G94,'Old Master'!$T:$T,'Old Master'!$W:$W)),AG94)</f>
        <v>0.16</v>
      </c>
      <c r="AM94" s="74">
        <f t="shared" si="20"/>
        <v>0.1586261595</v>
      </c>
      <c r="AN94" s="73">
        <f t="shared" si="104"/>
        <v>24399</v>
      </c>
    </row>
    <row r="95">
      <c r="A95" s="65" t="s">
        <v>5335</v>
      </c>
      <c r="B95" s="65">
        <f t="shared" si="1"/>
        <v>60</v>
      </c>
      <c r="C95" s="65" t="str">
        <f t="shared" si="2"/>
        <v>SC-LTx-ORTHO-Q-75x62x8</v>
      </c>
      <c r="D95" s="65" t="s">
        <v>4145</v>
      </c>
      <c r="E95" s="65">
        <v>0.0</v>
      </c>
      <c r="F95" s="65" t="s">
        <v>4146</v>
      </c>
      <c r="G95" s="65" t="s">
        <v>5118</v>
      </c>
      <c r="H95" s="65" t="s">
        <v>52</v>
      </c>
      <c r="I95" s="81">
        <v>23299.0</v>
      </c>
      <c r="J95" s="66">
        <v>0.23</v>
      </c>
      <c r="K95" s="81">
        <f t="shared" si="3"/>
        <v>17940</v>
      </c>
      <c r="L95" s="66">
        <v>0.2</v>
      </c>
      <c r="M95" s="81">
        <f t="shared" si="4"/>
        <v>18639</v>
      </c>
      <c r="N95" s="67">
        <f t="shared" ref="N95:N99" si="105">1-O95/I95</f>
        <v>0.3240439504</v>
      </c>
      <c r="O95" s="68">
        <v>15749.1</v>
      </c>
      <c r="P95" s="75">
        <v>0.1</v>
      </c>
      <c r="Q95" s="68">
        <f t="shared" si="102"/>
        <v>20969.1</v>
      </c>
      <c r="R95" s="70"/>
      <c r="S95" s="71">
        <f t="shared" si="103"/>
        <v>-0.1550458716</v>
      </c>
      <c r="T95" s="72">
        <f t="shared" si="6"/>
        <v>0</v>
      </c>
      <c r="U95" s="73" t="str">
        <f t="shared" si="75"/>
        <v/>
      </c>
      <c r="V95" s="73">
        <f t="shared" si="87"/>
        <v>15795.76271</v>
      </c>
      <c r="W95" s="73">
        <f t="shared" si="9"/>
        <v>15795.76271</v>
      </c>
      <c r="X95" s="74">
        <f t="shared" si="10"/>
        <v>1</v>
      </c>
      <c r="Y95" s="73">
        <f t="shared" si="11"/>
        <v>0</v>
      </c>
      <c r="Z95" s="73">
        <f t="shared" si="12"/>
        <v>13346.69492</v>
      </c>
      <c r="AA95" s="73">
        <f t="shared" si="13"/>
        <v>13346.69492</v>
      </c>
      <c r="AB95" s="74">
        <f t="shared" si="14"/>
        <v>1</v>
      </c>
      <c r="AC95" s="61" t="str">
        <f t="shared" si="15"/>
        <v>8</v>
      </c>
      <c r="AD95" s="71" t="str">
        <f t="shared" si="16"/>
        <v>#DIV/0!</v>
      </c>
      <c r="AE95" s="61"/>
      <c r="AF95" s="61"/>
      <c r="AG95" s="71">
        <f t="array" ref="AG95">IFERROR(xlookup(G95,'Old Master'!T:T,'Old Master'!V:V),N95)</f>
        <v>0.3240439504</v>
      </c>
      <c r="AH95" s="73">
        <f t="shared" si="17"/>
        <v>15749.1</v>
      </c>
      <c r="AI95" s="73">
        <f t="shared" si="18"/>
        <v>13346.69492</v>
      </c>
      <c r="AJ95" s="72">
        <f t="shared" si="19"/>
        <v>1</v>
      </c>
      <c r="AK95" s="61"/>
      <c r="AL95" s="71">
        <f t="array" ref="AL95">iferror(if(isblank(xlookup($G95,'Old Master'!$T:$T,'Old Master'!$W:$W)),AG95,xlookup($G95,'Old Master'!$T:$T,'Old Master'!$W:$W)),AG95)</f>
        <v>0.3240439504</v>
      </c>
      <c r="AM95" s="74">
        <f t="shared" si="20"/>
        <v>0.3261942573</v>
      </c>
      <c r="AN95" s="73">
        <f t="shared" si="104"/>
        <v>15699</v>
      </c>
    </row>
    <row r="96">
      <c r="A96" s="65" t="s">
        <v>5336</v>
      </c>
      <c r="B96" s="65">
        <f t="shared" si="1"/>
        <v>36</v>
      </c>
      <c r="C96" s="65" t="str">
        <f t="shared" si="2"/>
        <v>SC-LTx-ORTHO-S-72x38x6</v>
      </c>
      <c r="D96" s="65" t="s">
        <v>3940</v>
      </c>
      <c r="E96" s="65">
        <v>0.0</v>
      </c>
      <c r="F96" s="65" t="s">
        <v>3941</v>
      </c>
      <c r="G96" s="65" t="s">
        <v>5118</v>
      </c>
      <c r="H96" s="65" t="s">
        <v>52</v>
      </c>
      <c r="I96" s="81">
        <v>12899.0</v>
      </c>
      <c r="J96" s="66">
        <v>0.23</v>
      </c>
      <c r="K96" s="81">
        <f t="shared" si="3"/>
        <v>9932</v>
      </c>
      <c r="L96" s="66">
        <v>0.2</v>
      </c>
      <c r="M96" s="81">
        <f t="shared" si="4"/>
        <v>10319</v>
      </c>
      <c r="N96" s="67">
        <f t="shared" si="105"/>
        <v>0.3232731219</v>
      </c>
      <c r="O96" s="68">
        <v>8729.1</v>
      </c>
      <c r="P96" s="75">
        <v>0.1</v>
      </c>
      <c r="Q96" s="68">
        <f t="shared" si="102"/>
        <v>11609.1</v>
      </c>
      <c r="R96" s="70"/>
      <c r="S96" s="71">
        <f t="shared" si="103"/>
        <v>-0.1540750073</v>
      </c>
      <c r="T96" s="72">
        <f t="shared" si="6"/>
        <v>0</v>
      </c>
      <c r="U96" s="73" t="str">
        <f t="shared" si="75"/>
        <v/>
      </c>
      <c r="V96" s="73">
        <f t="shared" si="87"/>
        <v>8744.915254</v>
      </c>
      <c r="W96" s="73">
        <f t="shared" si="9"/>
        <v>8744.915254</v>
      </c>
      <c r="X96" s="74">
        <f t="shared" si="10"/>
        <v>1</v>
      </c>
      <c r="Y96" s="73">
        <f t="shared" si="11"/>
        <v>0</v>
      </c>
      <c r="Z96" s="73">
        <f t="shared" si="12"/>
        <v>7397.542373</v>
      </c>
      <c r="AA96" s="73">
        <f t="shared" si="13"/>
        <v>7397.542373</v>
      </c>
      <c r="AB96" s="74">
        <f t="shared" si="14"/>
        <v>1</v>
      </c>
      <c r="AC96" s="61" t="str">
        <f t="shared" si="15"/>
        <v>6</v>
      </c>
      <c r="AD96" s="71" t="str">
        <f t="shared" si="16"/>
        <v>#DIV/0!</v>
      </c>
      <c r="AE96" s="61"/>
      <c r="AF96" s="61"/>
      <c r="AG96" s="71">
        <f t="array" ref="AG96">IFERROR(xlookup(G96,'Old Master'!T:T,'Old Master'!V:V),N96)</f>
        <v>0.3232731219</v>
      </c>
      <c r="AH96" s="73">
        <f t="shared" si="17"/>
        <v>8729.1</v>
      </c>
      <c r="AI96" s="73">
        <f t="shared" si="18"/>
        <v>7397.542373</v>
      </c>
      <c r="AJ96" s="72">
        <f t="shared" si="19"/>
        <v>1</v>
      </c>
      <c r="AK96" s="61"/>
      <c r="AL96" s="71">
        <f t="array" ref="AL96">iferror(if(isblank(xlookup($G96,'Old Master'!$T:$T,'Old Master'!$W:$W)),AG96,xlookup($G96,'Old Master'!$T:$T,'Old Master'!$W:$W)),AG96)</f>
        <v>0.3232731219</v>
      </c>
      <c r="AM96" s="74">
        <f t="shared" si="20"/>
        <v>0.3256066362</v>
      </c>
      <c r="AN96" s="73">
        <f t="shared" si="104"/>
        <v>8699</v>
      </c>
    </row>
    <row r="97">
      <c r="A97" s="65" t="s">
        <v>422</v>
      </c>
      <c r="B97" s="65">
        <f t="shared" si="1"/>
        <v>60</v>
      </c>
      <c r="C97" s="65" t="str">
        <f t="shared" si="2"/>
        <v>SC-ORIG-Q-72x62x10</v>
      </c>
      <c r="D97" s="65" t="s">
        <v>424</v>
      </c>
      <c r="E97" s="65" t="s">
        <v>425</v>
      </c>
      <c r="F97" s="65" t="s">
        <v>426</v>
      </c>
      <c r="G97" s="65" t="s">
        <v>51</v>
      </c>
      <c r="H97" s="65" t="s">
        <v>52</v>
      </c>
      <c r="I97" s="65">
        <v>19799.0</v>
      </c>
      <c r="J97" s="66">
        <v>0.28</v>
      </c>
      <c r="K97" s="65">
        <f t="shared" si="3"/>
        <v>14255</v>
      </c>
      <c r="L97" s="66">
        <v>0.24</v>
      </c>
      <c r="M97" s="65">
        <f t="shared" si="4"/>
        <v>15047</v>
      </c>
      <c r="N97" s="67">
        <f t="shared" si="105"/>
        <v>0.1900095964</v>
      </c>
      <c r="O97" s="68">
        <v>16037.0</v>
      </c>
      <c r="P97" s="67">
        <f t="shared" ref="P97:P99" si="106">1-Q97/I97</f>
        <v>0.1900095964</v>
      </c>
      <c r="Q97" s="69">
        <v>16037.0</v>
      </c>
      <c r="R97" s="76"/>
      <c r="S97" s="72">
        <f t="shared" si="103"/>
        <v>0.06579384595</v>
      </c>
      <c r="T97" s="72">
        <f t="shared" si="6"/>
        <v>0</v>
      </c>
      <c r="U97" s="73" t="str">
        <f t="shared" si="75"/>
        <v/>
      </c>
      <c r="V97" s="73">
        <f t="shared" si="87"/>
        <v>12751.69492</v>
      </c>
      <c r="W97" s="73">
        <f t="shared" si="9"/>
        <v>12751.69492</v>
      </c>
      <c r="X97" s="74">
        <f t="shared" si="10"/>
        <v>1</v>
      </c>
      <c r="Y97" s="73">
        <f t="shared" si="11"/>
        <v>0</v>
      </c>
      <c r="Z97" s="73">
        <f t="shared" si="12"/>
        <v>13590.67797</v>
      </c>
      <c r="AA97" s="73">
        <f t="shared" si="13"/>
        <v>13590.67797</v>
      </c>
      <c r="AB97" s="74">
        <f t="shared" si="14"/>
        <v>1</v>
      </c>
      <c r="AC97" s="61" t="str">
        <f t="shared" si="15"/>
        <v>0</v>
      </c>
      <c r="AD97" s="71" t="str">
        <f t="shared" si="16"/>
        <v>#DIV/0!</v>
      </c>
      <c r="AE97" s="61"/>
      <c r="AF97" s="61"/>
      <c r="AG97" s="71">
        <f t="array" ref="AG97">IFERROR(xlookup(G97,'Old Master'!T:T,'Old Master'!V:V),N97)</f>
        <v>0.1900095964</v>
      </c>
      <c r="AH97" s="73">
        <f t="shared" si="17"/>
        <v>16037</v>
      </c>
      <c r="AI97" s="73">
        <f t="shared" si="18"/>
        <v>13590.67797</v>
      </c>
      <c r="AJ97" s="72">
        <f t="shared" si="19"/>
        <v>1</v>
      </c>
      <c r="AK97" s="61"/>
      <c r="AL97" s="71">
        <f t="array" ref="AL97">iferror(if(isblank(xlookup($G97,'Old Master'!$T:$T,'Old Master'!$W:$W)),AG97,xlookup($G97,'Old Master'!$T:$T,'Old Master'!$W:$W)),AG97)</f>
        <v>0.1900095964</v>
      </c>
      <c r="AM97" s="74">
        <f t="shared" si="20"/>
        <v>0.1919288853</v>
      </c>
      <c r="AN97" s="73">
        <f t="shared" si="104"/>
        <v>15999</v>
      </c>
    </row>
    <row r="98">
      <c r="A98" s="65" t="s">
        <v>3137</v>
      </c>
      <c r="B98" s="65" t="str">
        <f t="shared" si="1"/>
        <v>#VALUE!</v>
      </c>
      <c r="C98" s="65" t="str">
        <f t="shared" si="2"/>
        <v>#VALUE!</v>
      </c>
      <c r="D98" s="65" t="s">
        <v>3139</v>
      </c>
      <c r="E98" s="65" t="s">
        <v>3140</v>
      </c>
      <c r="F98" s="65" t="s">
        <v>3141</v>
      </c>
      <c r="G98" s="65" t="s">
        <v>5087</v>
      </c>
      <c r="H98" s="65" t="s">
        <v>4730</v>
      </c>
      <c r="I98" s="65">
        <v>2489.0</v>
      </c>
      <c r="J98" s="66">
        <v>0.2571313780634793</v>
      </c>
      <c r="K98" s="65">
        <f t="shared" si="3"/>
        <v>1849</v>
      </c>
      <c r="L98" s="66">
        <v>0.15</v>
      </c>
      <c r="M98" s="65">
        <f t="shared" si="4"/>
        <v>2116</v>
      </c>
      <c r="N98" s="67">
        <f t="shared" si="105"/>
        <v>0.1570912013</v>
      </c>
      <c r="O98" s="68">
        <v>2098.0</v>
      </c>
      <c r="P98" s="67">
        <f t="shared" si="106"/>
        <v>0.1570912013</v>
      </c>
      <c r="Q98" s="69">
        <v>2098.0</v>
      </c>
      <c r="R98" s="70"/>
      <c r="S98" s="71">
        <f>O98/K98-1</f>
        <v>0.1346673878</v>
      </c>
      <c r="T98" s="72">
        <f t="shared" si="6"/>
        <v>0</v>
      </c>
      <c r="U98" s="73" t="str">
        <f t="shared" si="75"/>
        <v/>
      </c>
      <c r="V98" s="73">
        <f t="shared" si="87"/>
        <v>1793.220339</v>
      </c>
      <c r="W98" s="73">
        <f t="shared" si="9"/>
        <v>1793.220339</v>
      </c>
      <c r="X98" s="74">
        <f t="shared" si="10"/>
        <v>1</v>
      </c>
      <c r="Y98" s="73">
        <f t="shared" si="11"/>
        <v>0</v>
      </c>
      <c r="Z98" s="73">
        <f t="shared" si="12"/>
        <v>1777.966102</v>
      </c>
      <c r="AA98" s="73">
        <f t="shared" si="13"/>
        <v>1777.966102</v>
      </c>
      <c r="AB98" s="74">
        <f t="shared" si="14"/>
        <v>1</v>
      </c>
      <c r="AC98" s="61" t="str">
        <f t="shared" si="15"/>
        <v>0</v>
      </c>
      <c r="AD98" s="71" t="str">
        <f t="shared" si="16"/>
        <v>#DIV/0!</v>
      </c>
      <c r="AE98" s="61"/>
      <c r="AF98" s="61"/>
      <c r="AG98" s="71">
        <f t="array" ref="AG98">IFERROR(xlookup(G98,'Old Master'!T:T,'Old Master'!V:V),N98)</f>
        <v>0.1570912013</v>
      </c>
      <c r="AH98" s="73">
        <f t="shared" si="17"/>
        <v>2098</v>
      </c>
      <c r="AI98" s="73">
        <f t="shared" si="18"/>
        <v>1777.966102</v>
      </c>
      <c r="AJ98" s="72">
        <f t="shared" si="19"/>
        <v>1</v>
      </c>
      <c r="AK98" s="61"/>
      <c r="AL98" s="71">
        <f t="array" ref="AL98">iferror(if(isblank(xlookup($G98,'Old Master'!$T:$T,'Old Master'!$W:$W)),AG98,xlookup($G98,'Old Master'!$T:$T,'Old Master'!$W:$W)),AG98)</f>
        <v>0.1570912013</v>
      </c>
      <c r="AM98" s="74">
        <f t="shared" si="20"/>
        <v>0.1566894335</v>
      </c>
      <c r="AN98" s="73">
        <f t="shared" si="104"/>
        <v>2099</v>
      </c>
    </row>
    <row r="99">
      <c r="A99" s="65" t="s">
        <v>1881</v>
      </c>
      <c r="B99" s="65">
        <f t="shared" si="1"/>
        <v>72</v>
      </c>
      <c r="C99" s="65" t="str">
        <f t="shared" si="2"/>
        <v>SC-ULTM-LATEX-K-84x74x8</v>
      </c>
      <c r="D99" s="65" t="s">
        <v>1883</v>
      </c>
      <c r="E99" s="65">
        <v>0.0</v>
      </c>
      <c r="F99" s="65">
        <v>0.0</v>
      </c>
      <c r="G99" s="65" t="s">
        <v>5109</v>
      </c>
      <c r="H99" s="65" t="s">
        <v>52</v>
      </c>
      <c r="I99" s="65">
        <v>42999.0</v>
      </c>
      <c r="J99" s="66">
        <v>0.23</v>
      </c>
      <c r="K99" s="65">
        <f t="shared" si="3"/>
        <v>33109</v>
      </c>
      <c r="L99" s="66">
        <v>0.18</v>
      </c>
      <c r="M99" s="65">
        <f t="shared" si="4"/>
        <v>35259</v>
      </c>
      <c r="N99" s="67">
        <f t="shared" si="105"/>
        <v>0.1000023256</v>
      </c>
      <c r="O99" s="68">
        <v>38699.0</v>
      </c>
      <c r="P99" s="67">
        <f t="shared" si="106"/>
        <v>0.1000023256</v>
      </c>
      <c r="Q99" s="69">
        <v>38699.0</v>
      </c>
      <c r="R99" s="70"/>
      <c r="S99" s="71">
        <f t="shared" ref="S99:S100" si="107">O99/M99-1</f>
        <v>0.09756374259</v>
      </c>
      <c r="T99" s="72">
        <f t="shared" si="6"/>
        <v>0</v>
      </c>
      <c r="U99" s="73" t="str">
        <f t="shared" si="75"/>
        <v/>
      </c>
      <c r="V99" s="73">
        <f t="shared" si="87"/>
        <v>29880.50847</v>
      </c>
      <c r="W99" s="73">
        <f t="shared" si="9"/>
        <v>29880.50847</v>
      </c>
      <c r="X99" s="74">
        <f t="shared" si="10"/>
        <v>1</v>
      </c>
      <c r="Y99" s="73">
        <f t="shared" si="11"/>
        <v>0</v>
      </c>
      <c r="Z99" s="73">
        <f t="shared" si="12"/>
        <v>32795.76271</v>
      </c>
      <c r="AA99" s="73">
        <f t="shared" si="13"/>
        <v>32795.76271</v>
      </c>
      <c r="AB99" s="74">
        <f t="shared" si="14"/>
        <v>1</v>
      </c>
      <c r="AC99" s="61" t="str">
        <f t="shared" si="15"/>
        <v>8</v>
      </c>
      <c r="AD99" s="71" t="str">
        <f t="shared" si="16"/>
        <v>#DIV/0!</v>
      </c>
      <c r="AE99" s="61"/>
      <c r="AF99" s="61"/>
      <c r="AG99" s="71">
        <f t="array" ref="AG99">IFERROR(xlookup(G99,'Old Master'!T:T,'Old Master'!V:V),N99)</f>
        <v>0.1000023256</v>
      </c>
      <c r="AH99" s="73">
        <f t="shared" si="17"/>
        <v>38699</v>
      </c>
      <c r="AI99" s="73">
        <f t="shared" si="18"/>
        <v>32795.76271</v>
      </c>
      <c r="AJ99" s="72">
        <f t="shared" si="19"/>
        <v>1</v>
      </c>
      <c r="AK99" s="61"/>
      <c r="AL99" s="71">
        <f t="array" ref="AL99">iferror(if(isblank(xlookup($G99,'Old Master'!$T:$T,'Old Master'!$W:$W)),AG99,xlookup($G99,'Old Master'!$T:$T,'Old Master'!$W:$W)),AG99)</f>
        <v>0.1000023256</v>
      </c>
      <c r="AM99" s="74">
        <f t="shared" si="20"/>
        <v>0.1000023256</v>
      </c>
      <c r="AN99" s="73">
        <f t="shared" si="104"/>
        <v>38699</v>
      </c>
    </row>
    <row r="100">
      <c r="A100" s="65" t="s">
        <v>843</v>
      </c>
      <c r="B100" s="65">
        <f t="shared" si="1"/>
        <v>36</v>
      </c>
      <c r="C100" s="65" t="str">
        <f t="shared" si="2"/>
        <v>SC-HYB-LATEX-S-75x38x8</v>
      </c>
      <c r="D100" s="65" t="s">
        <v>845</v>
      </c>
      <c r="E100" s="65">
        <v>0.0</v>
      </c>
      <c r="F100" s="65" t="s">
        <v>846</v>
      </c>
      <c r="G100" s="65" t="s">
        <v>5108</v>
      </c>
      <c r="H100" s="65" t="s">
        <v>52</v>
      </c>
      <c r="I100" s="65">
        <v>12999.0</v>
      </c>
      <c r="J100" s="66">
        <v>0.25</v>
      </c>
      <c r="K100" s="65">
        <f t="shared" si="3"/>
        <v>9749</v>
      </c>
      <c r="L100" s="66">
        <v>0.2</v>
      </c>
      <c r="M100" s="65">
        <f t="shared" si="4"/>
        <v>10399</v>
      </c>
      <c r="N100" s="75">
        <v>0.16</v>
      </c>
      <c r="O100" s="68">
        <f>I100*(1-N100)</f>
        <v>10919.16</v>
      </c>
      <c r="P100" s="75">
        <v>0.13</v>
      </c>
      <c r="Q100" s="68">
        <f>I100*(1-P100)</f>
        <v>11309.13</v>
      </c>
      <c r="R100" s="71">
        <f>Q100/M100-1</f>
        <v>0.08752091547</v>
      </c>
      <c r="S100" s="71">
        <f t="shared" si="107"/>
        <v>0.05002019425</v>
      </c>
      <c r="T100" s="72">
        <f t="shared" si="6"/>
        <v>0</v>
      </c>
      <c r="U100" s="73" t="str">
        <f t="shared" si="75"/>
        <v/>
      </c>
      <c r="V100" s="73">
        <f t="shared" si="87"/>
        <v>8812.711864</v>
      </c>
      <c r="W100" s="73">
        <f t="shared" si="9"/>
        <v>8812.711864</v>
      </c>
      <c r="X100" s="74">
        <f t="shared" si="10"/>
        <v>1</v>
      </c>
      <c r="Y100" s="73">
        <f t="shared" si="11"/>
        <v>0</v>
      </c>
      <c r="Z100" s="73">
        <f t="shared" si="12"/>
        <v>9253.525424</v>
      </c>
      <c r="AA100" s="73">
        <f t="shared" si="13"/>
        <v>9253.525424</v>
      </c>
      <c r="AB100" s="74">
        <f t="shared" si="14"/>
        <v>1</v>
      </c>
      <c r="AC100" s="61" t="str">
        <f t="shared" si="15"/>
        <v>8</v>
      </c>
      <c r="AD100" s="71" t="str">
        <f t="shared" si="16"/>
        <v>#DIV/0!</v>
      </c>
      <c r="AE100" s="73">
        <f>Q100/118%-Y100</f>
        <v>9584.008475</v>
      </c>
      <c r="AF100" s="74">
        <f>AE100/(Q100/1.18)</f>
        <v>1</v>
      </c>
      <c r="AG100" s="71">
        <f t="array" ref="AG100">IFERROR(xlookup(G100,'Old Master'!T:T,'Old Master'!V:V),N100)</f>
        <v>0.16</v>
      </c>
      <c r="AH100" s="73">
        <f t="shared" si="17"/>
        <v>10919.16</v>
      </c>
      <c r="AI100" s="73">
        <f t="shared" si="18"/>
        <v>9253.525424</v>
      </c>
      <c r="AJ100" s="72">
        <f t="shared" si="19"/>
        <v>1</v>
      </c>
      <c r="AK100" s="61"/>
      <c r="AL100" s="71">
        <f t="array" ref="AL100">iferror(if(isblank(xlookup($G100,'Old Master'!$T:$T,'Old Master'!$W:$W)),AG100,xlookup($G100,'Old Master'!$T:$T,'Old Master'!$W:$W)),AG100)</f>
        <v>0.16</v>
      </c>
      <c r="AM100" s="74">
        <f t="shared" si="20"/>
        <v>0.1615508885</v>
      </c>
      <c r="AN100" s="73">
        <f t="shared" si="104"/>
        <v>10899</v>
      </c>
    </row>
    <row r="101">
      <c r="A101" s="65" t="s">
        <v>5337</v>
      </c>
      <c r="B101" s="65" t="str">
        <f t="shared" si="1"/>
        <v>#VALUE!</v>
      </c>
      <c r="C101" s="65" t="str">
        <f t="shared" si="2"/>
        <v>#VALUE!</v>
      </c>
      <c r="D101" s="65" t="s">
        <v>2426</v>
      </c>
      <c r="E101" s="65">
        <v>0.0</v>
      </c>
      <c r="F101" s="65">
        <v>0.0</v>
      </c>
      <c r="G101" s="65" t="s">
        <v>5081</v>
      </c>
      <c r="H101" s="65" t="s">
        <v>1145</v>
      </c>
      <c r="I101" s="65">
        <v>1999.0</v>
      </c>
      <c r="J101" s="66">
        <v>0.20010005002501252</v>
      </c>
      <c r="K101" s="65">
        <f t="shared" si="3"/>
        <v>1599</v>
      </c>
      <c r="L101" s="66">
        <v>0.2</v>
      </c>
      <c r="M101" s="65">
        <f t="shared" si="4"/>
        <v>1599</v>
      </c>
      <c r="N101" s="77">
        <f t="shared" ref="N101:N103" si="108">1-O101/I101</f>
        <v>0.100050025</v>
      </c>
      <c r="O101" s="68">
        <v>1799.0</v>
      </c>
      <c r="P101" s="67">
        <f t="shared" ref="P101:P103" si="109">1-Q101/I101</f>
        <v>0.100050025</v>
      </c>
      <c r="Q101" s="69">
        <v>1799.0</v>
      </c>
      <c r="R101" s="70"/>
      <c r="S101" s="71">
        <f t="shared" ref="S101:S102" si="110">O101/K101-1</f>
        <v>0.1250781739</v>
      </c>
      <c r="T101" s="72">
        <f t="shared" si="6"/>
        <v>0</v>
      </c>
      <c r="U101" s="73" t="str">
        <f t="shared" si="75"/>
        <v/>
      </c>
      <c r="V101" s="73">
        <f t="shared" si="87"/>
        <v>1355.084746</v>
      </c>
      <c r="W101" s="73">
        <f t="shared" si="9"/>
        <v>1355.084746</v>
      </c>
      <c r="X101" s="74">
        <f t="shared" si="10"/>
        <v>1</v>
      </c>
      <c r="Y101" s="73">
        <f t="shared" si="11"/>
        <v>0</v>
      </c>
      <c r="Z101" s="73">
        <f t="shared" si="12"/>
        <v>1524.576271</v>
      </c>
      <c r="AA101" s="73">
        <f t="shared" si="13"/>
        <v>1524.576271</v>
      </c>
      <c r="AB101" s="74">
        <f t="shared" si="14"/>
        <v>1</v>
      </c>
      <c r="AC101" s="61" t="str">
        <f t="shared" si="15"/>
        <v>6</v>
      </c>
      <c r="AD101" s="71" t="str">
        <f t="shared" si="16"/>
        <v>#DIV/0!</v>
      </c>
      <c r="AE101" s="61"/>
      <c r="AF101" s="61"/>
      <c r="AG101" s="71">
        <f t="array" ref="AG101">IFERROR(xlookup(G101,'Old Master'!T:T,'Old Master'!V:V),N101)</f>
        <v>0.100050025</v>
      </c>
      <c r="AH101" s="73">
        <f t="shared" si="17"/>
        <v>1799</v>
      </c>
      <c r="AI101" s="73">
        <f t="shared" si="18"/>
        <v>1524.576271</v>
      </c>
      <c r="AJ101" s="72">
        <f t="shared" si="19"/>
        <v>1</v>
      </c>
      <c r="AK101" s="61"/>
      <c r="AL101" s="71">
        <f>(I101-AN101)/I101</f>
        <v>0.05002501251</v>
      </c>
      <c r="AM101" s="74">
        <f t="shared" si="20"/>
        <v>0.05002501251</v>
      </c>
      <c r="AN101" s="73">
        <v>1899.0</v>
      </c>
    </row>
    <row r="102">
      <c r="A102" s="65" t="s">
        <v>2177</v>
      </c>
      <c r="B102" s="65" t="str">
        <f t="shared" si="1"/>
        <v>#VALUE!</v>
      </c>
      <c r="C102" s="65" t="str">
        <f t="shared" si="2"/>
        <v>#VALUE!</v>
      </c>
      <c r="D102" s="65" t="s">
        <v>2179</v>
      </c>
      <c r="E102" s="65">
        <v>0.0</v>
      </c>
      <c r="F102" s="65">
        <v>0.0</v>
      </c>
      <c r="G102" s="65" t="s">
        <v>5103</v>
      </c>
      <c r="H102" s="65" t="s">
        <v>4730</v>
      </c>
      <c r="I102" s="65">
        <v>7499.0</v>
      </c>
      <c r="J102" s="66">
        <v>0.3</v>
      </c>
      <c r="K102" s="65">
        <f t="shared" si="3"/>
        <v>5249</v>
      </c>
      <c r="L102" s="66">
        <v>0.0</v>
      </c>
      <c r="M102" s="65">
        <f t="shared" si="4"/>
        <v>7499</v>
      </c>
      <c r="N102" s="67">
        <f t="shared" si="108"/>
        <v>0.2</v>
      </c>
      <c r="O102" s="78">
        <v>5999.200000000001</v>
      </c>
      <c r="P102" s="67">
        <f t="shared" si="109"/>
        <v>0.2</v>
      </c>
      <c r="Q102" s="82">
        <v>5999.200000000001</v>
      </c>
      <c r="R102" s="70"/>
      <c r="S102" s="71">
        <f t="shared" si="110"/>
        <v>0.1429224614</v>
      </c>
      <c r="T102" s="72">
        <f t="shared" si="6"/>
        <v>0</v>
      </c>
      <c r="U102" s="73" t="str">
        <f t="shared" si="75"/>
        <v/>
      </c>
      <c r="V102" s="73">
        <f>K102/1.18</f>
        <v>4448.305085</v>
      </c>
      <c r="W102" s="73">
        <f t="shared" si="9"/>
        <v>4448.305085</v>
      </c>
      <c r="X102" s="74">
        <f t="shared" si="10"/>
        <v>1</v>
      </c>
      <c r="Y102" s="73">
        <f t="shared" si="11"/>
        <v>0</v>
      </c>
      <c r="Z102" s="73">
        <f t="shared" si="12"/>
        <v>5084.067797</v>
      </c>
      <c r="AA102" s="73">
        <f t="shared" si="13"/>
        <v>5084.067797</v>
      </c>
      <c r="AB102" s="74">
        <f t="shared" si="14"/>
        <v>1</v>
      </c>
      <c r="AC102" s="61" t="str">
        <f t="shared" si="15"/>
        <v>2</v>
      </c>
      <c r="AD102" s="71" t="str">
        <f t="shared" si="16"/>
        <v>#DIV/0!</v>
      </c>
      <c r="AE102" s="61"/>
      <c r="AF102" s="61"/>
      <c r="AG102" s="71">
        <f t="array" ref="AG102">IFERROR(xlookup(G102,'Old Master'!T:T,'Old Master'!V:V),N102)</f>
        <v>0.2</v>
      </c>
      <c r="AH102" s="73">
        <f t="shared" si="17"/>
        <v>5999.2</v>
      </c>
      <c r="AI102" s="73">
        <f t="shared" si="18"/>
        <v>5084.067797</v>
      </c>
      <c r="AJ102" s="72">
        <f t="shared" si="19"/>
        <v>1</v>
      </c>
      <c r="AK102" s="61"/>
      <c r="AL102" s="71">
        <f t="array" ref="AL102">iferror(if(isblank(xlookup($G102,'Old Master'!$T:$T,'Old Master'!$W:$W)),AG102,xlookup($G102,'Old Master'!$T:$T,'Old Master'!$W:$W)),AG102)</f>
        <v>0.2</v>
      </c>
      <c r="AM102" s="74">
        <f t="shared" si="20"/>
        <v>0.2</v>
      </c>
      <c r="AN102" s="73">
        <f>O102</f>
        <v>5999.2</v>
      </c>
    </row>
    <row r="103">
      <c r="A103" s="65" t="s">
        <v>668</v>
      </c>
      <c r="B103" s="65">
        <f t="shared" si="1"/>
        <v>72</v>
      </c>
      <c r="C103" s="65" t="str">
        <f t="shared" si="2"/>
        <v>SC-ORIG-K-72x74x10</v>
      </c>
      <c r="D103" s="65" t="s">
        <v>670</v>
      </c>
      <c r="E103" s="65" t="s">
        <v>671</v>
      </c>
      <c r="F103" s="65" t="s">
        <v>672</v>
      </c>
      <c r="G103" s="65" t="s">
        <v>51</v>
      </c>
      <c r="H103" s="65" t="s">
        <v>52</v>
      </c>
      <c r="I103" s="65">
        <v>22999.0</v>
      </c>
      <c r="J103" s="66">
        <v>0.28</v>
      </c>
      <c r="K103" s="65">
        <f t="shared" si="3"/>
        <v>16559</v>
      </c>
      <c r="L103" s="66">
        <v>0.24</v>
      </c>
      <c r="M103" s="65">
        <f t="shared" si="4"/>
        <v>17479</v>
      </c>
      <c r="N103" s="67">
        <f t="shared" si="108"/>
        <v>0.1900082612</v>
      </c>
      <c r="O103" s="68">
        <v>18629.0</v>
      </c>
      <c r="P103" s="67">
        <f t="shared" si="109"/>
        <v>0.1900082612</v>
      </c>
      <c r="Q103" s="69">
        <v>18629.0</v>
      </c>
      <c r="R103" s="76"/>
      <c r="S103" s="72">
        <f t="shared" ref="S103:S107" si="111">O103/M103-1</f>
        <v>0.0657932376</v>
      </c>
      <c r="T103" s="72">
        <f t="shared" si="6"/>
        <v>0</v>
      </c>
      <c r="U103" s="73" t="str">
        <f t="shared" si="75"/>
        <v/>
      </c>
      <c r="V103" s="73">
        <f t="shared" ref="V103:V119" si="112">M103/1.18</f>
        <v>14812.71186</v>
      </c>
      <c r="W103" s="73">
        <f t="shared" si="9"/>
        <v>14812.71186</v>
      </c>
      <c r="X103" s="74">
        <f t="shared" si="10"/>
        <v>1</v>
      </c>
      <c r="Y103" s="73">
        <f t="shared" si="11"/>
        <v>0</v>
      </c>
      <c r="Z103" s="73">
        <f t="shared" si="12"/>
        <v>15787.28814</v>
      </c>
      <c r="AA103" s="73">
        <f t="shared" si="13"/>
        <v>15787.28814</v>
      </c>
      <c r="AB103" s="74">
        <f t="shared" si="14"/>
        <v>1</v>
      </c>
      <c r="AC103" s="61" t="str">
        <f t="shared" si="15"/>
        <v>0</v>
      </c>
      <c r="AD103" s="71" t="str">
        <f t="shared" si="16"/>
        <v>#DIV/0!</v>
      </c>
      <c r="AE103" s="61"/>
      <c r="AF103" s="61"/>
      <c r="AG103" s="71">
        <f t="array" ref="AG103">IFERROR(xlookup(G103,'Old Master'!T:T,'Old Master'!V:V),N103)</f>
        <v>0.1900082612</v>
      </c>
      <c r="AH103" s="73">
        <f t="shared" si="17"/>
        <v>18629</v>
      </c>
      <c r="AI103" s="73">
        <f t="shared" si="18"/>
        <v>15787.28814</v>
      </c>
      <c r="AJ103" s="72">
        <f t="shared" si="19"/>
        <v>1</v>
      </c>
      <c r="AK103" s="61"/>
      <c r="AL103" s="71">
        <f t="array" ref="AL103">iferror(if(isblank(xlookup($G103,'Old Master'!$T:$T,'Old Master'!$W:$W)),AG103,xlookup($G103,'Old Master'!$T:$T,'Old Master'!$W:$W)),AG103)</f>
        <v>0.1900082612</v>
      </c>
      <c r="AM103" s="74">
        <f t="shared" si="20"/>
        <v>0.1913126658</v>
      </c>
      <c r="AN103" s="73">
        <f t="shared" ref="AN103:AN107" si="113">mround($I103*(1-AL103),100)-1</f>
        <v>18599</v>
      </c>
    </row>
    <row r="104">
      <c r="A104" s="65" t="s">
        <v>988</v>
      </c>
      <c r="B104" s="65">
        <f t="shared" si="1"/>
        <v>66</v>
      </c>
      <c r="C104" s="65" t="str">
        <f t="shared" si="2"/>
        <v>SC-HYB-LATEX-Q-78x68x8</v>
      </c>
      <c r="D104" s="65" t="s">
        <v>990</v>
      </c>
      <c r="E104" s="65">
        <v>0.0</v>
      </c>
      <c r="F104" s="65" t="s">
        <v>991</v>
      </c>
      <c r="G104" s="65" t="s">
        <v>5108</v>
      </c>
      <c r="H104" s="65" t="s">
        <v>52</v>
      </c>
      <c r="I104" s="65">
        <v>22999.0</v>
      </c>
      <c r="J104" s="66">
        <v>0.25</v>
      </c>
      <c r="K104" s="65">
        <f t="shared" si="3"/>
        <v>17249</v>
      </c>
      <c r="L104" s="66">
        <v>0.2</v>
      </c>
      <c r="M104" s="65">
        <f t="shared" si="4"/>
        <v>18399</v>
      </c>
      <c r="N104" s="75">
        <v>0.16</v>
      </c>
      <c r="O104" s="68">
        <f t="shared" ref="O104:O105" si="114">I104*(1-N104)</f>
        <v>19319.16</v>
      </c>
      <c r="P104" s="75">
        <v>0.13</v>
      </c>
      <c r="Q104" s="68">
        <f t="shared" ref="Q104:Q105" si="115">I104*(1-P104)</f>
        <v>20009.13</v>
      </c>
      <c r="R104" s="71">
        <f t="shared" ref="R104:R105" si="116">Q104/M104-1</f>
        <v>0.08751182129</v>
      </c>
      <c r="S104" s="71">
        <f t="shared" si="111"/>
        <v>0.05001141366</v>
      </c>
      <c r="T104" s="72">
        <f t="shared" si="6"/>
        <v>0</v>
      </c>
      <c r="U104" s="73" t="str">
        <f t="shared" si="75"/>
        <v/>
      </c>
      <c r="V104" s="73">
        <f t="shared" si="112"/>
        <v>15592.37288</v>
      </c>
      <c r="W104" s="73">
        <f t="shared" si="9"/>
        <v>15592.37288</v>
      </c>
      <c r="X104" s="74">
        <f t="shared" si="10"/>
        <v>1</v>
      </c>
      <c r="Y104" s="73">
        <f t="shared" si="11"/>
        <v>0</v>
      </c>
      <c r="Z104" s="73">
        <f t="shared" si="12"/>
        <v>16372.16949</v>
      </c>
      <c r="AA104" s="73">
        <f t="shared" si="13"/>
        <v>16372.16949</v>
      </c>
      <c r="AB104" s="74">
        <f t="shared" si="14"/>
        <v>1</v>
      </c>
      <c r="AC104" s="61" t="str">
        <f t="shared" si="15"/>
        <v>8</v>
      </c>
      <c r="AD104" s="71" t="str">
        <f t="shared" si="16"/>
        <v>#DIV/0!</v>
      </c>
      <c r="AE104" s="73">
        <f t="shared" ref="AE104:AE105" si="117">Q104/118%-Y104</f>
        <v>16956.88983</v>
      </c>
      <c r="AF104" s="74">
        <f t="shared" ref="AF104:AF105" si="118">AE104/(Q104/1.18)</f>
        <v>1</v>
      </c>
      <c r="AG104" s="71">
        <f t="array" ref="AG104">IFERROR(xlookup(G104,'Old Master'!T:T,'Old Master'!V:V),N104)</f>
        <v>0.16</v>
      </c>
      <c r="AH104" s="73">
        <f t="shared" si="17"/>
        <v>19319.16</v>
      </c>
      <c r="AI104" s="73">
        <f t="shared" si="18"/>
        <v>16372.16949</v>
      </c>
      <c r="AJ104" s="72">
        <f t="shared" si="19"/>
        <v>1</v>
      </c>
      <c r="AK104" s="61"/>
      <c r="AL104" s="71">
        <f t="array" ref="AL104">iferror(if(isblank(xlookup($G104,'Old Master'!$T:$T,'Old Master'!$W:$W)),AG104,xlookup($G104,'Old Master'!$T:$T,'Old Master'!$W:$W)),AG104)</f>
        <v>0.16</v>
      </c>
      <c r="AM104" s="74">
        <f t="shared" si="20"/>
        <v>0.1608765599</v>
      </c>
      <c r="AN104" s="73">
        <f t="shared" si="113"/>
        <v>19299</v>
      </c>
    </row>
    <row r="105">
      <c r="A105" s="65" t="s">
        <v>1065</v>
      </c>
      <c r="B105" s="65">
        <f t="shared" si="1"/>
        <v>70</v>
      </c>
      <c r="C105" s="65" t="str">
        <f t="shared" si="2"/>
        <v>SC-HYB-LATEX-K-78x72x8</v>
      </c>
      <c r="D105" s="65" t="s">
        <v>1067</v>
      </c>
      <c r="E105" s="65">
        <v>0.0</v>
      </c>
      <c r="F105" s="65" t="s">
        <v>1068</v>
      </c>
      <c r="G105" s="65" t="s">
        <v>5108</v>
      </c>
      <c r="H105" s="65" t="s">
        <v>52</v>
      </c>
      <c r="I105" s="65">
        <v>22999.0</v>
      </c>
      <c r="J105" s="66">
        <v>0.25</v>
      </c>
      <c r="K105" s="65">
        <f t="shared" si="3"/>
        <v>17249</v>
      </c>
      <c r="L105" s="66">
        <v>0.2</v>
      </c>
      <c r="M105" s="65">
        <f t="shared" si="4"/>
        <v>18399</v>
      </c>
      <c r="N105" s="75">
        <v>0.16</v>
      </c>
      <c r="O105" s="68">
        <f t="shared" si="114"/>
        <v>19319.16</v>
      </c>
      <c r="P105" s="75">
        <v>0.13</v>
      </c>
      <c r="Q105" s="68">
        <f t="shared" si="115"/>
        <v>20009.13</v>
      </c>
      <c r="R105" s="71">
        <f t="shared" si="116"/>
        <v>0.08751182129</v>
      </c>
      <c r="S105" s="71">
        <f t="shared" si="111"/>
        <v>0.05001141366</v>
      </c>
      <c r="T105" s="72">
        <f t="shared" si="6"/>
        <v>0</v>
      </c>
      <c r="U105" s="73" t="str">
        <f t="shared" si="75"/>
        <v/>
      </c>
      <c r="V105" s="73">
        <f t="shared" si="112"/>
        <v>15592.37288</v>
      </c>
      <c r="W105" s="73">
        <f t="shared" si="9"/>
        <v>15592.37288</v>
      </c>
      <c r="X105" s="74">
        <f t="shared" si="10"/>
        <v>1</v>
      </c>
      <c r="Y105" s="73">
        <f t="shared" si="11"/>
        <v>0</v>
      </c>
      <c r="Z105" s="73">
        <f t="shared" si="12"/>
        <v>16372.16949</v>
      </c>
      <c r="AA105" s="73">
        <f t="shared" si="13"/>
        <v>16372.16949</v>
      </c>
      <c r="AB105" s="74">
        <f t="shared" si="14"/>
        <v>1</v>
      </c>
      <c r="AC105" s="61" t="str">
        <f t="shared" si="15"/>
        <v>8</v>
      </c>
      <c r="AD105" s="71" t="str">
        <f t="shared" si="16"/>
        <v>#DIV/0!</v>
      </c>
      <c r="AE105" s="73">
        <f t="shared" si="117"/>
        <v>16956.88983</v>
      </c>
      <c r="AF105" s="74">
        <f t="shared" si="118"/>
        <v>1</v>
      </c>
      <c r="AG105" s="71">
        <f t="array" ref="AG105">IFERROR(xlookup(G105,'Old Master'!T:T,'Old Master'!V:V),N105)</f>
        <v>0.16</v>
      </c>
      <c r="AH105" s="73">
        <f t="shared" si="17"/>
        <v>19319.16</v>
      </c>
      <c r="AI105" s="73">
        <f t="shared" si="18"/>
        <v>16372.16949</v>
      </c>
      <c r="AJ105" s="72">
        <f t="shared" si="19"/>
        <v>1</v>
      </c>
      <c r="AK105" s="61"/>
      <c r="AL105" s="71">
        <f t="array" ref="AL105">iferror(if(isblank(xlookup($G105,'Old Master'!$T:$T,'Old Master'!$W:$W)),AG105,xlookup($G105,'Old Master'!$T:$T,'Old Master'!$W:$W)),AG105)</f>
        <v>0.16</v>
      </c>
      <c r="AM105" s="74">
        <f t="shared" si="20"/>
        <v>0.1608765599</v>
      </c>
      <c r="AN105" s="73">
        <f t="shared" si="113"/>
        <v>19299</v>
      </c>
    </row>
    <row r="106">
      <c r="A106" s="65" t="s">
        <v>183</v>
      </c>
      <c r="B106" s="65">
        <f t="shared" si="1"/>
        <v>36</v>
      </c>
      <c r="C106" s="65" t="str">
        <f t="shared" si="2"/>
        <v>SC-ORIG-S-72x38x4</v>
      </c>
      <c r="D106" s="65" t="s">
        <v>185</v>
      </c>
      <c r="E106" s="65">
        <v>0.0</v>
      </c>
      <c r="F106" s="65" t="s">
        <v>186</v>
      </c>
      <c r="G106" s="65" t="s">
        <v>51</v>
      </c>
      <c r="H106" s="65" t="s">
        <v>52</v>
      </c>
      <c r="I106" s="65">
        <v>7889.0</v>
      </c>
      <c r="J106" s="66">
        <v>0.28</v>
      </c>
      <c r="K106" s="65">
        <f t="shared" si="3"/>
        <v>5680</v>
      </c>
      <c r="L106" s="66">
        <v>0.24</v>
      </c>
      <c r="M106" s="65">
        <f t="shared" si="4"/>
        <v>5996</v>
      </c>
      <c r="N106" s="67">
        <f t="shared" ref="N106:N109" si="119">1-O106/I106</f>
        <v>0.1900114083</v>
      </c>
      <c r="O106" s="68">
        <v>6390.0</v>
      </c>
      <c r="P106" s="67">
        <f t="shared" ref="P106:P109" si="120">1-Q106/I106</f>
        <v>0.1900114083</v>
      </c>
      <c r="Q106" s="69">
        <v>6390.0</v>
      </c>
      <c r="R106" s="76"/>
      <c r="S106" s="72">
        <f t="shared" si="111"/>
        <v>0.06571047365</v>
      </c>
      <c r="T106" s="72">
        <f t="shared" si="6"/>
        <v>0</v>
      </c>
      <c r="U106" s="73" t="str">
        <f t="shared" si="75"/>
        <v/>
      </c>
      <c r="V106" s="73">
        <f t="shared" si="112"/>
        <v>5081.355932</v>
      </c>
      <c r="W106" s="73">
        <f t="shared" si="9"/>
        <v>5081.355932</v>
      </c>
      <c r="X106" s="74">
        <f t="shared" si="10"/>
        <v>1</v>
      </c>
      <c r="Y106" s="73">
        <f t="shared" si="11"/>
        <v>0</v>
      </c>
      <c r="Z106" s="73">
        <f t="shared" si="12"/>
        <v>5415.254237</v>
      </c>
      <c r="AA106" s="73">
        <f t="shared" si="13"/>
        <v>5415.254237</v>
      </c>
      <c r="AB106" s="74">
        <f t="shared" si="14"/>
        <v>1</v>
      </c>
      <c r="AC106" s="61" t="str">
        <f t="shared" si="15"/>
        <v>4</v>
      </c>
      <c r="AD106" s="71" t="str">
        <f t="shared" si="16"/>
        <v>#DIV/0!</v>
      </c>
      <c r="AE106" s="61"/>
      <c r="AF106" s="61"/>
      <c r="AG106" s="71">
        <f t="array" ref="AG106">IFERROR(xlookup(G106,'Old Master'!T:T,'Old Master'!V:V),N106)</f>
        <v>0.1900114083</v>
      </c>
      <c r="AH106" s="73">
        <f t="shared" si="17"/>
        <v>6390</v>
      </c>
      <c r="AI106" s="73">
        <f t="shared" si="18"/>
        <v>5415.254237</v>
      </c>
      <c r="AJ106" s="72">
        <f t="shared" si="19"/>
        <v>1</v>
      </c>
      <c r="AK106" s="61"/>
      <c r="AL106" s="71">
        <f t="array" ref="AL106">iferror(if(isblank(xlookup($G106,'Old Master'!$T:$T,'Old Master'!$W:$W)),AG106,xlookup($G106,'Old Master'!$T:$T,'Old Master'!$W:$W)),AG106)</f>
        <v>0.1900114083</v>
      </c>
      <c r="AM106" s="74">
        <f t="shared" si="20"/>
        <v>0.1888705793</v>
      </c>
      <c r="AN106" s="73">
        <f t="shared" si="113"/>
        <v>6399</v>
      </c>
    </row>
    <row r="107">
      <c r="A107" s="65" t="s">
        <v>213</v>
      </c>
      <c r="B107" s="65">
        <f t="shared" si="1"/>
        <v>48</v>
      </c>
      <c r="C107" s="65" t="str">
        <f t="shared" si="2"/>
        <v>SC-ORIG-D-75x50x6</v>
      </c>
      <c r="D107" s="65" t="s">
        <v>215</v>
      </c>
      <c r="E107" s="65" t="s">
        <v>216</v>
      </c>
      <c r="F107" s="65" t="s">
        <v>217</v>
      </c>
      <c r="G107" s="65" t="s">
        <v>51</v>
      </c>
      <c r="H107" s="65" t="s">
        <v>52</v>
      </c>
      <c r="I107" s="65">
        <v>12999.0</v>
      </c>
      <c r="J107" s="66">
        <v>0.28</v>
      </c>
      <c r="K107" s="65">
        <f t="shared" si="3"/>
        <v>9359</v>
      </c>
      <c r="L107" s="66">
        <v>0.24</v>
      </c>
      <c r="M107" s="65">
        <f t="shared" si="4"/>
        <v>9879</v>
      </c>
      <c r="N107" s="67">
        <f t="shared" si="119"/>
        <v>0.1900146165</v>
      </c>
      <c r="O107" s="68">
        <v>10529.0</v>
      </c>
      <c r="P107" s="67">
        <f t="shared" si="120"/>
        <v>0.1900146165</v>
      </c>
      <c r="Q107" s="69">
        <v>10529.0</v>
      </c>
      <c r="R107" s="76"/>
      <c r="S107" s="72">
        <f t="shared" si="111"/>
        <v>0.06579613321</v>
      </c>
      <c r="T107" s="72">
        <f t="shared" si="6"/>
        <v>0</v>
      </c>
      <c r="U107" s="73" t="str">
        <f t="shared" si="75"/>
        <v/>
      </c>
      <c r="V107" s="73">
        <f t="shared" si="112"/>
        <v>8372.033898</v>
      </c>
      <c r="W107" s="73">
        <f t="shared" si="9"/>
        <v>8372.033898</v>
      </c>
      <c r="X107" s="74">
        <f t="shared" si="10"/>
        <v>1</v>
      </c>
      <c r="Y107" s="73">
        <f t="shared" si="11"/>
        <v>0</v>
      </c>
      <c r="Z107" s="73">
        <f t="shared" si="12"/>
        <v>8922.881356</v>
      </c>
      <c r="AA107" s="73">
        <f t="shared" si="13"/>
        <v>8922.881356</v>
      </c>
      <c r="AB107" s="74">
        <f t="shared" si="14"/>
        <v>1</v>
      </c>
      <c r="AC107" s="61" t="str">
        <f t="shared" si="15"/>
        <v>6</v>
      </c>
      <c r="AD107" s="71" t="str">
        <f t="shared" si="16"/>
        <v>#DIV/0!</v>
      </c>
      <c r="AE107" s="61"/>
      <c r="AF107" s="61"/>
      <c r="AG107" s="71">
        <f t="array" ref="AG107">IFERROR(xlookup(G107,'Old Master'!T:T,'Old Master'!V:V),N107)</f>
        <v>0.1900146165</v>
      </c>
      <c r="AH107" s="73">
        <f t="shared" si="17"/>
        <v>10529</v>
      </c>
      <c r="AI107" s="73">
        <f t="shared" si="18"/>
        <v>8922.881356</v>
      </c>
      <c r="AJ107" s="72">
        <f t="shared" si="19"/>
        <v>1</v>
      </c>
      <c r="AK107" s="61"/>
      <c r="AL107" s="71">
        <f t="array" ref="AL107">iferror(if(isblank(xlookup($G107,'Old Master'!$T:$T,'Old Master'!$W:$W)),AG107,xlookup($G107,'Old Master'!$T:$T,'Old Master'!$W:$W)),AG107)</f>
        <v>0.1900146165</v>
      </c>
      <c r="AM107" s="74">
        <f t="shared" si="20"/>
        <v>0.1923224863</v>
      </c>
      <c r="AN107" s="73">
        <f t="shared" si="113"/>
        <v>10499</v>
      </c>
    </row>
    <row r="108">
      <c r="A108" s="65" t="s">
        <v>3414</v>
      </c>
      <c r="B108" s="65" t="str">
        <f t="shared" si="1"/>
        <v>#VALUE!</v>
      </c>
      <c r="C108" s="65" t="str">
        <f t="shared" si="2"/>
        <v>#VALUE!</v>
      </c>
      <c r="D108" s="65">
        <v>0.0</v>
      </c>
      <c r="E108" s="65" t="s">
        <v>3415</v>
      </c>
      <c r="F108" s="65" t="s">
        <v>3416</v>
      </c>
      <c r="G108" s="65" t="s">
        <v>5076</v>
      </c>
      <c r="H108" s="65" t="s">
        <v>1145</v>
      </c>
      <c r="I108" s="65">
        <v>1489.0</v>
      </c>
      <c r="J108" s="66">
        <v>0.1501501501501501</v>
      </c>
      <c r="K108" s="65">
        <f t="shared" si="3"/>
        <v>1265</v>
      </c>
      <c r="L108" s="66">
        <v>0.15</v>
      </c>
      <c r="M108" s="65">
        <f t="shared" si="4"/>
        <v>1266</v>
      </c>
      <c r="N108" s="77">
        <f t="shared" si="119"/>
        <v>0.05036937542</v>
      </c>
      <c r="O108" s="68">
        <v>1414.0</v>
      </c>
      <c r="P108" s="67">
        <f t="shared" si="120"/>
        <v>0.05036937542</v>
      </c>
      <c r="Q108" s="69">
        <v>1414.0</v>
      </c>
      <c r="R108" s="70"/>
      <c r="S108" s="71">
        <f t="shared" ref="S108:S109" si="121">O108/K108-1</f>
        <v>0.1177865613</v>
      </c>
      <c r="T108" s="72">
        <f t="shared" si="6"/>
        <v>0</v>
      </c>
      <c r="U108" s="73" t="str">
        <f t="shared" si="75"/>
        <v/>
      </c>
      <c r="V108" s="73">
        <f t="shared" si="112"/>
        <v>1072.881356</v>
      </c>
      <c r="W108" s="73">
        <f t="shared" si="9"/>
        <v>1072.881356</v>
      </c>
      <c r="X108" s="74">
        <f t="shared" si="10"/>
        <v>1</v>
      </c>
      <c r="Y108" s="73">
        <f t="shared" si="11"/>
        <v>0</v>
      </c>
      <c r="Z108" s="73">
        <f t="shared" si="12"/>
        <v>1198.305085</v>
      </c>
      <c r="AA108" s="73">
        <f t="shared" si="13"/>
        <v>1198.305085</v>
      </c>
      <c r="AB108" s="74">
        <f t="shared" si="14"/>
        <v>1</v>
      </c>
      <c r="AC108" s="61" t="str">
        <f t="shared" si="15"/>
        <v>5</v>
      </c>
      <c r="AD108" s="71" t="str">
        <f t="shared" si="16"/>
        <v>#DIV/0!</v>
      </c>
      <c r="AE108" s="61"/>
      <c r="AF108" s="61"/>
      <c r="AG108" s="71">
        <f t="array" ref="AG108">IFERROR(xlookup(G108,'Old Master'!T:T,'Old Master'!V:V),N108)</f>
        <v>0.05036937542</v>
      </c>
      <c r="AH108" s="73">
        <f t="shared" si="17"/>
        <v>1414</v>
      </c>
      <c r="AI108" s="73">
        <f t="shared" si="18"/>
        <v>1198.305085</v>
      </c>
      <c r="AJ108" s="72">
        <f t="shared" si="19"/>
        <v>1</v>
      </c>
      <c r="AK108" s="61"/>
      <c r="AL108" s="71">
        <f t="shared" ref="AL108:AL109" si="122">(I108-AN108)/I108</f>
        <v>0.05036937542</v>
      </c>
      <c r="AM108" s="74">
        <f t="shared" si="20"/>
        <v>0.05036937542</v>
      </c>
      <c r="AN108" s="73">
        <v>1414.0</v>
      </c>
    </row>
    <row r="109">
      <c r="A109" s="65" t="s">
        <v>5338</v>
      </c>
      <c r="B109" s="65" t="str">
        <f t="shared" si="1"/>
        <v>#VALUE!</v>
      </c>
      <c r="C109" s="65" t="str">
        <f t="shared" si="2"/>
        <v>#VALUE!</v>
      </c>
      <c r="D109" s="65" t="s">
        <v>3409</v>
      </c>
      <c r="E109" s="65" t="s">
        <v>3410</v>
      </c>
      <c r="F109" s="65" t="s">
        <v>3411</v>
      </c>
      <c r="G109" s="65" t="s">
        <v>5076</v>
      </c>
      <c r="H109" s="65" t="s">
        <v>1145</v>
      </c>
      <c r="I109" s="65">
        <v>1849.0</v>
      </c>
      <c r="J109" s="66">
        <v>0.13520822065981608</v>
      </c>
      <c r="K109" s="65">
        <f t="shared" si="3"/>
        <v>1599</v>
      </c>
      <c r="L109" s="66">
        <v>0.15</v>
      </c>
      <c r="M109" s="65">
        <f t="shared" si="4"/>
        <v>1572</v>
      </c>
      <c r="N109" s="77">
        <f t="shared" si="119"/>
        <v>0.02704164413</v>
      </c>
      <c r="O109" s="78">
        <v>1799.0</v>
      </c>
      <c r="P109" s="67">
        <f t="shared" si="120"/>
        <v>0.02704164413</v>
      </c>
      <c r="Q109" s="79">
        <v>1799.0</v>
      </c>
      <c r="R109" s="70"/>
      <c r="S109" s="71">
        <f t="shared" si="121"/>
        <v>0.1250781739</v>
      </c>
      <c r="T109" s="72">
        <f t="shared" si="6"/>
        <v>0</v>
      </c>
      <c r="U109" s="73" t="str">
        <f t="shared" si="75"/>
        <v/>
      </c>
      <c r="V109" s="73">
        <f t="shared" si="112"/>
        <v>1332.20339</v>
      </c>
      <c r="W109" s="73">
        <f t="shared" si="9"/>
        <v>1332.20339</v>
      </c>
      <c r="X109" s="74">
        <f t="shared" si="10"/>
        <v>1</v>
      </c>
      <c r="Y109" s="73">
        <f t="shared" si="11"/>
        <v>0</v>
      </c>
      <c r="Z109" s="73">
        <f t="shared" si="12"/>
        <v>1524.576271</v>
      </c>
      <c r="AA109" s="73">
        <f t="shared" si="13"/>
        <v>1524.576271</v>
      </c>
      <c r="AB109" s="74">
        <f t="shared" si="14"/>
        <v>1</v>
      </c>
      <c r="AC109" s="61" t="str">
        <f t="shared" si="15"/>
        <v>6</v>
      </c>
      <c r="AD109" s="71" t="str">
        <f t="shared" si="16"/>
        <v>#DIV/0!</v>
      </c>
      <c r="AE109" s="61"/>
      <c r="AF109" s="61"/>
      <c r="AG109" s="71">
        <f t="array" ref="AG109">IFERROR(xlookup(G109,'Old Master'!T:T,'Old Master'!V:V),N109)</f>
        <v>0.02704164413</v>
      </c>
      <c r="AH109" s="73">
        <f t="shared" si="17"/>
        <v>1799</v>
      </c>
      <c r="AI109" s="73">
        <f t="shared" si="18"/>
        <v>1524.576271</v>
      </c>
      <c r="AJ109" s="72">
        <f t="shared" si="19"/>
        <v>1</v>
      </c>
      <c r="AK109" s="61"/>
      <c r="AL109" s="71">
        <f t="shared" si="122"/>
        <v>0.02704164413</v>
      </c>
      <c r="AM109" s="74">
        <f t="shared" si="20"/>
        <v>0.02704164413</v>
      </c>
      <c r="AN109" s="73">
        <v>1799.0</v>
      </c>
    </row>
    <row r="110">
      <c r="A110" s="65" t="s">
        <v>849</v>
      </c>
      <c r="B110" s="65">
        <f t="shared" si="1"/>
        <v>36</v>
      </c>
      <c r="C110" s="65" t="str">
        <f t="shared" si="2"/>
        <v>SC-HYB-LATEX-S-78x38x8</v>
      </c>
      <c r="D110" s="65" t="s">
        <v>851</v>
      </c>
      <c r="E110" s="65" t="s">
        <v>852</v>
      </c>
      <c r="F110" s="65">
        <v>0.0</v>
      </c>
      <c r="G110" s="65" t="s">
        <v>5108</v>
      </c>
      <c r="H110" s="65" t="s">
        <v>52</v>
      </c>
      <c r="I110" s="65">
        <v>13399.0</v>
      </c>
      <c r="J110" s="66">
        <v>0.25</v>
      </c>
      <c r="K110" s="65">
        <f t="shared" si="3"/>
        <v>10049</v>
      </c>
      <c r="L110" s="66">
        <v>0.2</v>
      </c>
      <c r="M110" s="65">
        <f t="shared" si="4"/>
        <v>10719</v>
      </c>
      <c r="N110" s="75">
        <v>0.16</v>
      </c>
      <c r="O110" s="68">
        <f t="shared" ref="O110:O111" si="123">I110*(1-N110)</f>
        <v>11255.16</v>
      </c>
      <c r="P110" s="75">
        <v>0.13</v>
      </c>
      <c r="Q110" s="68">
        <f t="shared" ref="Q110:Q111" si="124">I110*(1-P110)</f>
        <v>11657.13</v>
      </c>
      <c r="R110" s="71">
        <f t="shared" ref="R110:R111" si="125">Q110/M110-1</f>
        <v>0.08752029107</v>
      </c>
      <c r="S110" s="71">
        <f t="shared" ref="S110:S115" si="126">O110/M110-1</f>
        <v>0.05001959138</v>
      </c>
      <c r="T110" s="72">
        <f t="shared" si="6"/>
        <v>0</v>
      </c>
      <c r="U110" s="73" t="str">
        <f t="shared" si="75"/>
        <v/>
      </c>
      <c r="V110" s="73">
        <f t="shared" si="112"/>
        <v>9083.898305</v>
      </c>
      <c r="W110" s="73">
        <f t="shared" si="9"/>
        <v>9083.898305</v>
      </c>
      <c r="X110" s="74">
        <f t="shared" si="10"/>
        <v>1</v>
      </c>
      <c r="Y110" s="73">
        <f t="shared" si="11"/>
        <v>0</v>
      </c>
      <c r="Z110" s="73">
        <f t="shared" si="12"/>
        <v>9538.271186</v>
      </c>
      <c r="AA110" s="73">
        <f t="shared" si="13"/>
        <v>9538.271186</v>
      </c>
      <c r="AB110" s="74">
        <f t="shared" si="14"/>
        <v>1</v>
      </c>
      <c r="AC110" s="61" t="str">
        <f t="shared" si="15"/>
        <v>8</v>
      </c>
      <c r="AD110" s="71" t="str">
        <f t="shared" si="16"/>
        <v>#DIV/0!</v>
      </c>
      <c r="AE110" s="73">
        <f t="shared" ref="AE110:AE111" si="127">Q110/118%-Y110</f>
        <v>9878.923729</v>
      </c>
      <c r="AF110" s="74">
        <f t="shared" ref="AF110:AF111" si="128">AE110/(Q110/1.18)</f>
        <v>1</v>
      </c>
      <c r="AG110" s="71">
        <f t="array" ref="AG110">IFERROR(xlookup(G110,'Old Master'!T:T,'Old Master'!V:V),N110)</f>
        <v>0.16</v>
      </c>
      <c r="AH110" s="73">
        <f t="shared" si="17"/>
        <v>11255.16</v>
      </c>
      <c r="AI110" s="73">
        <f t="shared" si="18"/>
        <v>9538.271186</v>
      </c>
      <c r="AJ110" s="72">
        <f t="shared" si="19"/>
        <v>1</v>
      </c>
      <c r="AK110" s="61"/>
      <c r="AL110" s="71">
        <f t="array" ref="AL110">iferror(if(isblank(xlookup($G110,'Old Master'!$T:$T,'Old Master'!$W:$W)),AG110,xlookup($G110,'Old Master'!$T:$T,'Old Master'!$W:$W)),AG110)</f>
        <v>0.16</v>
      </c>
      <c r="AM110" s="74">
        <f t="shared" si="20"/>
        <v>0.156728114</v>
      </c>
      <c r="AN110" s="73">
        <f t="shared" ref="AN110:AN115" si="129">mround($I110*(1-AL110),100)-1</f>
        <v>11299</v>
      </c>
    </row>
    <row r="111">
      <c r="A111" s="65" t="s">
        <v>893</v>
      </c>
      <c r="B111" s="65">
        <f t="shared" si="1"/>
        <v>48</v>
      </c>
      <c r="C111" s="65" t="str">
        <f t="shared" si="2"/>
        <v>SC-HYB-LATEX-D-75x50x6</v>
      </c>
      <c r="D111" s="65" t="s">
        <v>895</v>
      </c>
      <c r="E111" s="65">
        <v>0.0</v>
      </c>
      <c r="F111" s="65" t="s">
        <v>896</v>
      </c>
      <c r="G111" s="65" t="s">
        <v>5108</v>
      </c>
      <c r="H111" s="65" t="s">
        <v>52</v>
      </c>
      <c r="I111" s="65">
        <v>14199.0</v>
      </c>
      <c r="J111" s="66">
        <v>0.25</v>
      </c>
      <c r="K111" s="65">
        <f t="shared" si="3"/>
        <v>10649</v>
      </c>
      <c r="L111" s="66">
        <v>0.2</v>
      </c>
      <c r="M111" s="65">
        <f t="shared" si="4"/>
        <v>11359</v>
      </c>
      <c r="N111" s="75">
        <v>0.16</v>
      </c>
      <c r="O111" s="68">
        <f t="shared" si="123"/>
        <v>11927.16</v>
      </c>
      <c r="P111" s="75">
        <v>0.13</v>
      </c>
      <c r="Q111" s="68">
        <f t="shared" si="124"/>
        <v>12353.13</v>
      </c>
      <c r="R111" s="71">
        <f t="shared" si="125"/>
        <v>0.08751914781</v>
      </c>
      <c r="S111" s="71">
        <f t="shared" si="126"/>
        <v>0.05001848754</v>
      </c>
      <c r="T111" s="72">
        <f t="shared" si="6"/>
        <v>0</v>
      </c>
      <c r="U111" s="73" t="str">
        <f t="shared" si="75"/>
        <v/>
      </c>
      <c r="V111" s="73">
        <f t="shared" si="112"/>
        <v>9626.271186</v>
      </c>
      <c r="W111" s="73">
        <f t="shared" si="9"/>
        <v>9626.271186</v>
      </c>
      <c r="X111" s="74">
        <f t="shared" si="10"/>
        <v>1</v>
      </c>
      <c r="Y111" s="73">
        <f t="shared" si="11"/>
        <v>0</v>
      </c>
      <c r="Z111" s="73">
        <f t="shared" si="12"/>
        <v>10107.76271</v>
      </c>
      <c r="AA111" s="73">
        <f t="shared" si="13"/>
        <v>10107.76271</v>
      </c>
      <c r="AB111" s="74">
        <f t="shared" si="14"/>
        <v>1</v>
      </c>
      <c r="AC111" s="61" t="str">
        <f t="shared" si="15"/>
        <v>6</v>
      </c>
      <c r="AD111" s="71" t="str">
        <f t="shared" si="16"/>
        <v>#DIV/0!</v>
      </c>
      <c r="AE111" s="73">
        <f t="shared" si="127"/>
        <v>10468.75424</v>
      </c>
      <c r="AF111" s="74">
        <f t="shared" si="128"/>
        <v>1</v>
      </c>
      <c r="AG111" s="71">
        <f t="array" ref="AG111">IFERROR(xlookup(G111,'Old Master'!T:T,'Old Master'!V:V),N111)</f>
        <v>0.16</v>
      </c>
      <c r="AH111" s="73">
        <f t="shared" si="17"/>
        <v>11927.16</v>
      </c>
      <c r="AI111" s="73">
        <f t="shared" si="18"/>
        <v>10107.76271</v>
      </c>
      <c r="AJ111" s="72">
        <f t="shared" si="19"/>
        <v>1</v>
      </c>
      <c r="AK111" s="61"/>
      <c r="AL111" s="71">
        <f t="array" ref="AL111">iferror(if(isblank(xlookup($G111,'Old Master'!$T:$T,'Old Master'!$W:$W)),AG111,xlookup($G111,'Old Master'!$T:$T,'Old Master'!$W:$W)),AG111)</f>
        <v>0.16</v>
      </c>
      <c r="AM111" s="74">
        <f t="shared" si="20"/>
        <v>0.1619832383</v>
      </c>
      <c r="AN111" s="73">
        <f t="shared" si="129"/>
        <v>11899</v>
      </c>
    </row>
    <row r="112">
      <c r="A112" s="65" t="s">
        <v>1897</v>
      </c>
      <c r="B112" s="65">
        <f t="shared" si="1"/>
        <v>72</v>
      </c>
      <c r="C112" s="65" t="str">
        <f t="shared" si="2"/>
        <v>SC-ULTM-LATEX-K-75x74x10</v>
      </c>
      <c r="D112" s="65" t="s">
        <v>1899</v>
      </c>
      <c r="E112" s="65" t="s">
        <v>1900</v>
      </c>
      <c r="F112" s="65" t="s">
        <v>1901</v>
      </c>
      <c r="G112" s="65" t="s">
        <v>5109</v>
      </c>
      <c r="H112" s="65" t="s">
        <v>52</v>
      </c>
      <c r="I112" s="65">
        <v>38999.0</v>
      </c>
      <c r="J112" s="66">
        <v>0.23</v>
      </c>
      <c r="K112" s="65">
        <f t="shared" si="3"/>
        <v>30029</v>
      </c>
      <c r="L112" s="66">
        <v>0.18</v>
      </c>
      <c r="M112" s="65">
        <f t="shared" si="4"/>
        <v>31979</v>
      </c>
      <c r="N112" s="67">
        <f t="shared" ref="N112:N116" si="130">1-O112/I112</f>
        <v>0.1000025642</v>
      </c>
      <c r="O112" s="68">
        <v>35099.0</v>
      </c>
      <c r="P112" s="67">
        <f t="shared" ref="P112:P116" si="131">1-Q112/I112</f>
        <v>0.1000025642</v>
      </c>
      <c r="Q112" s="69">
        <v>35099.0</v>
      </c>
      <c r="R112" s="70"/>
      <c r="S112" s="71">
        <f t="shared" si="126"/>
        <v>0.09756402639</v>
      </c>
      <c r="T112" s="72">
        <f t="shared" si="6"/>
        <v>0</v>
      </c>
      <c r="U112" s="73" t="str">
        <f t="shared" si="75"/>
        <v/>
      </c>
      <c r="V112" s="73">
        <f t="shared" si="112"/>
        <v>27100.84746</v>
      </c>
      <c r="W112" s="73">
        <f t="shared" si="9"/>
        <v>27100.84746</v>
      </c>
      <c r="X112" s="74">
        <f t="shared" si="10"/>
        <v>1</v>
      </c>
      <c r="Y112" s="73">
        <f t="shared" si="11"/>
        <v>0</v>
      </c>
      <c r="Z112" s="73">
        <f t="shared" si="12"/>
        <v>29744.91525</v>
      </c>
      <c r="AA112" s="73">
        <f t="shared" si="13"/>
        <v>29744.91525</v>
      </c>
      <c r="AB112" s="74">
        <f t="shared" si="14"/>
        <v>1</v>
      </c>
      <c r="AC112" s="61" t="str">
        <f t="shared" si="15"/>
        <v>0</v>
      </c>
      <c r="AD112" s="71" t="str">
        <f t="shared" si="16"/>
        <v>#DIV/0!</v>
      </c>
      <c r="AE112" s="61"/>
      <c r="AF112" s="61"/>
      <c r="AG112" s="71">
        <f t="array" ref="AG112">IFERROR(xlookup(G112,'Old Master'!T:T,'Old Master'!V:V),N112)</f>
        <v>0.1000025642</v>
      </c>
      <c r="AH112" s="73">
        <f t="shared" si="17"/>
        <v>35099</v>
      </c>
      <c r="AI112" s="73">
        <f t="shared" si="18"/>
        <v>29744.91525</v>
      </c>
      <c r="AJ112" s="72">
        <f t="shared" si="19"/>
        <v>1</v>
      </c>
      <c r="AK112" s="61"/>
      <c r="AL112" s="71">
        <f t="array" ref="AL112">iferror(if(isblank(xlookup($G112,'Old Master'!$T:$T,'Old Master'!$W:$W)),AG112,xlookup($G112,'Old Master'!$T:$T,'Old Master'!$W:$W)),AG112)</f>
        <v>0.1000025642</v>
      </c>
      <c r="AM112" s="74">
        <f t="shared" si="20"/>
        <v>0.1000025642</v>
      </c>
      <c r="AN112" s="73">
        <f t="shared" si="129"/>
        <v>35099</v>
      </c>
    </row>
    <row r="113">
      <c r="A113" s="65" t="s">
        <v>1703</v>
      </c>
      <c r="B113" s="65">
        <f t="shared" si="1"/>
        <v>36</v>
      </c>
      <c r="C113" s="65" t="str">
        <f t="shared" si="2"/>
        <v>SC-ULTM-LATEX-S-78x38x8</v>
      </c>
      <c r="D113" s="65" t="s">
        <v>1705</v>
      </c>
      <c r="E113" s="65" t="s">
        <v>1706</v>
      </c>
      <c r="F113" s="65" t="s">
        <v>1707</v>
      </c>
      <c r="G113" s="65" t="s">
        <v>5109</v>
      </c>
      <c r="H113" s="65" t="s">
        <v>52</v>
      </c>
      <c r="I113" s="65">
        <v>18999.0</v>
      </c>
      <c r="J113" s="66">
        <v>0.23</v>
      </c>
      <c r="K113" s="65">
        <f t="shared" si="3"/>
        <v>14629</v>
      </c>
      <c r="L113" s="66">
        <v>0.18</v>
      </c>
      <c r="M113" s="65">
        <f t="shared" si="4"/>
        <v>15579</v>
      </c>
      <c r="N113" s="67">
        <f t="shared" si="130"/>
        <v>0.1000052634</v>
      </c>
      <c r="O113" s="68">
        <v>17099.0</v>
      </c>
      <c r="P113" s="67">
        <f t="shared" si="131"/>
        <v>0.1000052634</v>
      </c>
      <c r="Q113" s="69">
        <v>17099.0</v>
      </c>
      <c r="R113" s="70"/>
      <c r="S113" s="71">
        <f t="shared" si="126"/>
        <v>0.09756723795</v>
      </c>
      <c r="T113" s="72">
        <f t="shared" si="6"/>
        <v>0</v>
      </c>
      <c r="U113" s="73" t="str">
        <f t="shared" si="75"/>
        <v/>
      </c>
      <c r="V113" s="73">
        <f t="shared" si="112"/>
        <v>13202.54237</v>
      </c>
      <c r="W113" s="73">
        <f t="shared" si="9"/>
        <v>13202.54237</v>
      </c>
      <c r="X113" s="74">
        <f t="shared" si="10"/>
        <v>1</v>
      </c>
      <c r="Y113" s="73">
        <f t="shared" si="11"/>
        <v>0</v>
      </c>
      <c r="Z113" s="73">
        <f t="shared" si="12"/>
        <v>14490.67797</v>
      </c>
      <c r="AA113" s="73">
        <f t="shared" si="13"/>
        <v>14490.67797</v>
      </c>
      <c r="AB113" s="74">
        <f t="shared" si="14"/>
        <v>1</v>
      </c>
      <c r="AC113" s="61" t="str">
        <f t="shared" si="15"/>
        <v>8</v>
      </c>
      <c r="AD113" s="71" t="str">
        <f t="shared" si="16"/>
        <v>#DIV/0!</v>
      </c>
      <c r="AE113" s="61"/>
      <c r="AF113" s="61"/>
      <c r="AG113" s="71">
        <f t="array" ref="AG113">IFERROR(xlookup(G113,'Old Master'!T:T,'Old Master'!V:V),N113)</f>
        <v>0.1000052634</v>
      </c>
      <c r="AH113" s="73">
        <f t="shared" si="17"/>
        <v>17099</v>
      </c>
      <c r="AI113" s="73">
        <f t="shared" si="18"/>
        <v>14490.67797</v>
      </c>
      <c r="AJ113" s="72">
        <f t="shared" si="19"/>
        <v>1</v>
      </c>
      <c r="AK113" s="61"/>
      <c r="AL113" s="71">
        <f t="array" ref="AL113">iferror(if(isblank(xlookup($G113,'Old Master'!$T:$T,'Old Master'!$W:$W)),AG113,xlookup($G113,'Old Master'!$T:$T,'Old Master'!$W:$W)),AG113)</f>
        <v>0.1000052634</v>
      </c>
      <c r="AM113" s="74">
        <f t="shared" si="20"/>
        <v>0.1000052634</v>
      </c>
      <c r="AN113" s="73">
        <f t="shared" si="129"/>
        <v>17099</v>
      </c>
    </row>
    <row r="114">
      <c r="A114" s="65" t="s">
        <v>2182</v>
      </c>
      <c r="B114" s="65">
        <f t="shared" si="1"/>
        <v>24</v>
      </c>
      <c r="C114" s="65" t="str">
        <f t="shared" si="2"/>
        <v>SC-BABY-S-48x26x4</v>
      </c>
      <c r="D114" s="65" t="s">
        <v>5339</v>
      </c>
      <c r="E114" s="65" t="s">
        <v>2185</v>
      </c>
      <c r="F114" s="65" t="s">
        <v>2186</v>
      </c>
      <c r="G114" s="65" t="s">
        <v>5093</v>
      </c>
      <c r="H114" s="65" t="s">
        <v>52</v>
      </c>
      <c r="I114" s="65">
        <v>2999.0</v>
      </c>
      <c r="J114" s="66">
        <v>0.3</v>
      </c>
      <c r="K114" s="65">
        <f t="shared" si="3"/>
        <v>2099</v>
      </c>
      <c r="L114" s="66">
        <v>0.3</v>
      </c>
      <c r="M114" s="65">
        <f t="shared" si="4"/>
        <v>2099</v>
      </c>
      <c r="N114" s="67">
        <f t="shared" si="130"/>
        <v>0.2500833611</v>
      </c>
      <c r="O114" s="68">
        <v>2249.0</v>
      </c>
      <c r="P114" s="67">
        <f t="shared" si="131"/>
        <v>0.2500833611</v>
      </c>
      <c r="Q114" s="69">
        <v>2249.0</v>
      </c>
      <c r="R114" s="70"/>
      <c r="S114" s="71">
        <f t="shared" si="126"/>
        <v>0.07146260124</v>
      </c>
      <c r="T114" s="72">
        <f t="shared" si="6"/>
        <v>0</v>
      </c>
      <c r="U114" s="73">
        <f t="array" ref="U114">IFERROR(XLOOKUP(A114,COGS!I:I,COGS!J:J), IFERROR(XLOOKUP(C114,COGS!I:I,COGS!J:J),O114*35%))</f>
        <v>787.15</v>
      </c>
      <c r="V114" s="73">
        <f t="shared" si="112"/>
        <v>1778.813559</v>
      </c>
      <c r="W114" s="73">
        <f t="shared" si="9"/>
        <v>991.6635593</v>
      </c>
      <c r="X114" s="74">
        <f t="shared" si="10"/>
        <v>0.5574859457</v>
      </c>
      <c r="Y114" s="73">
        <f t="shared" si="11"/>
        <v>905.2225</v>
      </c>
      <c r="Z114" s="73">
        <f t="shared" si="12"/>
        <v>1905.932203</v>
      </c>
      <c r="AA114" s="73">
        <f t="shared" si="13"/>
        <v>1000.709703</v>
      </c>
      <c r="AB114" s="74">
        <f t="shared" si="14"/>
        <v>0.52505</v>
      </c>
      <c r="AC114" s="61" t="str">
        <f t="shared" si="15"/>
        <v>4</v>
      </c>
      <c r="AD114" s="71">
        <f t="shared" si="16"/>
        <v>0.15</v>
      </c>
      <c r="AE114" s="61"/>
      <c r="AF114" s="61"/>
      <c r="AG114" s="71">
        <f t="array" ref="AG114">IFERROR(xlookup(G114,'Old Master'!T:T,'Old Master'!V:V),N114)</f>
        <v>0.2500833611</v>
      </c>
      <c r="AH114" s="73">
        <f t="shared" si="17"/>
        <v>2249</v>
      </c>
      <c r="AI114" s="73">
        <f t="shared" si="18"/>
        <v>1000.709703</v>
      </c>
      <c r="AJ114" s="72">
        <f t="shared" si="19"/>
        <v>0.52505</v>
      </c>
      <c r="AK114" s="61"/>
      <c r="AL114" s="71">
        <f t="array" ref="AL114">iferror(if(isblank(xlookup($G114,'Old Master'!$T:$T,'Old Master'!$W:$W)),AG114,xlookup($G114,'Old Master'!$T:$T,'Old Master'!$W:$W)),AG114)</f>
        <v>0.2500833611</v>
      </c>
      <c r="AM114" s="74">
        <f t="shared" si="20"/>
        <v>0.2667555852</v>
      </c>
      <c r="AN114" s="73">
        <f t="shared" si="129"/>
        <v>2199</v>
      </c>
    </row>
    <row r="115">
      <c r="A115" s="65" t="s">
        <v>2111</v>
      </c>
      <c r="B115" s="65">
        <f t="shared" si="1"/>
        <v>72</v>
      </c>
      <c r="C115" s="65" t="str">
        <f t="shared" si="2"/>
        <v>SC-CLD-SPR-K-72x74x8</v>
      </c>
      <c r="D115" s="65" t="s">
        <v>2113</v>
      </c>
      <c r="E115" s="65" t="s">
        <v>2114</v>
      </c>
      <c r="F115" s="65" t="s">
        <v>2115</v>
      </c>
      <c r="G115" s="65" t="s">
        <v>5138</v>
      </c>
      <c r="H115" s="65" t="s">
        <v>52</v>
      </c>
      <c r="I115" s="65">
        <v>29999.0</v>
      </c>
      <c r="J115" s="66">
        <v>0.25</v>
      </c>
      <c r="K115" s="65">
        <f t="shared" si="3"/>
        <v>22499</v>
      </c>
      <c r="L115" s="66">
        <v>0.2</v>
      </c>
      <c r="M115" s="65">
        <f t="shared" si="4"/>
        <v>23999</v>
      </c>
      <c r="N115" s="67">
        <f t="shared" si="130"/>
        <v>0.1000033334</v>
      </c>
      <c r="O115" s="68">
        <v>26999.0</v>
      </c>
      <c r="P115" s="67">
        <f t="shared" si="131"/>
        <v>0.1000033334</v>
      </c>
      <c r="Q115" s="69">
        <v>26999.0</v>
      </c>
      <c r="R115" s="70"/>
      <c r="S115" s="71">
        <f t="shared" si="126"/>
        <v>0.1250052086</v>
      </c>
      <c r="T115" s="72">
        <f t="shared" si="6"/>
        <v>0</v>
      </c>
      <c r="U115" s="73" t="str">
        <f t="array" ref="U115">IFERROR(XLOOKUP(A115,COGS!I:I,COGS!J:J), IFERROR(XLOOKUP(C115,COGS!I:I,COGS!J:J),""))</f>
        <v/>
      </c>
      <c r="V115" s="73">
        <f t="shared" si="112"/>
        <v>20338.13559</v>
      </c>
      <c r="W115" s="73">
        <f t="shared" si="9"/>
        <v>20338.13559</v>
      </c>
      <c r="X115" s="74">
        <f t="shared" si="10"/>
        <v>1</v>
      </c>
      <c r="Y115" s="73">
        <f t="shared" si="11"/>
        <v>0</v>
      </c>
      <c r="Z115" s="73">
        <f t="shared" si="12"/>
        <v>22880.50847</v>
      </c>
      <c r="AA115" s="73">
        <f t="shared" si="13"/>
        <v>22880.50847</v>
      </c>
      <c r="AB115" s="74">
        <f t="shared" si="14"/>
        <v>1</v>
      </c>
      <c r="AC115" s="61" t="str">
        <f t="shared" si="15"/>
        <v>8</v>
      </c>
      <c r="AD115" s="71" t="str">
        <f t="shared" si="16"/>
        <v>#DIV/0!</v>
      </c>
      <c r="AE115" s="61"/>
      <c r="AF115" s="61"/>
      <c r="AG115" s="71">
        <f t="array" ref="AG115">IFERROR(xlookup(G115,'Old Master'!T:T,'Old Master'!V:V),N115)</f>
        <v>0.1000033334</v>
      </c>
      <c r="AH115" s="73">
        <f t="shared" si="17"/>
        <v>26999</v>
      </c>
      <c r="AI115" s="73">
        <f t="shared" si="18"/>
        <v>22880.50847</v>
      </c>
      <c r="AJ115" s="72">
        <f t="shared" si="19"/>
        <v>1</v>
      </c>
      <c r="AK115" s="61"/>
      <c r="AL115" s="71">
        <f t="array" ref="AL115">iferror(if(isblank(xlookup($G115,'Old Master'!$T:$T,'Old Master'!$W:$W)),AG115,xlookup($G115,'Old Master'!$T:$T,'Old Master'!$W:$W)),AG115)</f>
        <v>0.1000033334</v>
      </c>
      <c r="AM115" s="74">
        <f t="shared" si="20"/>
        <v>0.1000033334</v>
      </c>
      <c r="AN115" s="73">
        <f t="shared" si="129"/>
        <v>26999</v>
      </c>
    </row>
    <row r="116">
      <c r="A116" s="65" t="s">
        <v>2367</v>
      </c>
      <c r="B116" s="65" t="str">
        <f t="shared" si="1"/>
        <v>#VALUE!</v>
      </c>
      <c r="C116" s="65" t="str">
        <f t="shared" si="2"/>
        <v>#VALUE!</v>
      </c>
      <c r="D116" s="65">
        <v>0.0</v>
      </c>
      <c r="E116" s="65" t="s">
        <v>2368</v>
      </c>
      <c r="F116" s="65">
        <v>0.0</v>
      </c>
      <c r="G116" s="65" t="s">
        <v>4693</v>
      </c>
      <c r="H116" s="65" t="s">
        <v>1145</v>
      </c>
      <c r="I116" s="65">
        <v>1989.0</v>
      </c>
      <c r="J116" s="66">
        <v>0.2463549522373052</v>
      </c>
      <c r="K116" s="65">
        <f t="shared" si="3"/>
        <v>1499</v>
      </c>
      <c r="L116" s="66">
        <v>0.2</v>
      </c>
      <c r="M116" s="65">
        <f t="shared" si="4"/>
        <v>1591</v>
      </c>
      <c r="N116" s="77">
        <f t="shared" si="130"/>
        <v>0.1463046757</v>
      </c>
      <c r="O116" s="68">
        <v>1698.0</v>
      </c>
      <c r="P116" s="67">
        <f t="shared" si="131"/>
        <v>0.1463046757</v>
      </c>
      <c r="Q116" s="69">
        <v>1698.0</v>
      </c>
      <c r="R116" s="70"/>
      <c r="S116" s="71">
        <f>O116/K116-1</f>
        <v>0.1327551701</v>
      </c>
      <c r="T116" s="72">
        <f t="shared" si="6"/>
        <v>0</v>
      </c>
      <c r="U116" s="73">
        <f t="array" ref="U116">IFERROR(XLOOKUP(A116,COGS!I:I,COGS!J:J), IFERROR(XLOOKUP(C116,COGS!I:I,COGS!J:J),I116*35%))</f>
        <v>696.15</v>
      </c>
      <c r="V116" s="73">
        <f t="shared" si="112"/>
        <v>1348.305085</v>
      </c>
      <c r="W116" s="73">
        <f t="shared" si="9"/>
        <v>652.1550847</v>
      </c>
      <c r="X116" s="74">
        <f t="shared" si="10"/>
        <v>0.4836851037</v>
      </c>
      <c r="Y116" s="73">
        <f t="shared" si="11"/>
        <v>800.5725</v>
      </c>
      <c r="Z116" s="73">
        <f t="shared" si="12"/>
        <v>1438.983051</v>
      </c>
      <c r="AA116" s="73">
        <f t="shared" si="13"/>
        <v>638.4105508</v>
      </c>
      <c r="AB116" s="74">
        <f t="shared" si="14"/>
        <v>0.4436539753</v>
      </c>
      <c r="AC116" s="61" t="str">
        <f t="shared" si="15"/>
        <v>9</v>
      </c>
      <c r="AD116" s="71">
        <f t="shared" si="16"/>
        <v>0.15</v>
      </c>
      <c r="AE116" s="61"/>
      <c r="AF116" s="61"/>
      <c r="AG116" s="71">
        <f t="array" ref="AG116">IFERROR(xlookup(G116,'Old Master'!T:T,'Old Master'!V:V),N116)</f>
        <v>0.1463046757</v>
      </c>
      <c r="AH116" s="73">
        <f t="shared" si="17"/>
        <v>1698</v>
      </c>
      <c r="AI116" s="73">
        <f t="shared" si="18"/>
        <v>638.4105508</v>
      </c>
      <c r="AJ116" s="72">
        <f t="shared" si="19"/>
        <v>0.4436539753</v>
      </c>
      <c r="AK116" s="61"/>
      <c r="AL116" s="71">
        <f>(I116-AN116)/I116</f>
        <v>0.1458019105</v>
      </c>
      <c r="AM116" s="74">
        <f t="shared" si="20"/>
        <v>0.1458019105</v>
      </c>
      <c r="AN116" s="73">
        <v>1699.0</v>
      </c>
    </row>
    <row r="117">
      <c r="A117" s="65" t="s">
        <v>868</v>
      </c>
      <c r="B117" s="65">
        <f t="shared" si="1"/>
        <v>48</v>
      </c>
      <c r="C117" s="65" t="str">
        <f t="shared" si="2"/>
        <v>SC-HYB-LATEX-D-75x50x8</v>
      </c>
      <c r="D117" s="65" t="s">
        <v>870</v>
      </c>
      <c r="E117" s="65" t="s">
        <v>871</v>
      </c>
      <c r="F117" s="65" t="s">
        <v>872</v>
      </c>
      <c r="G117" s="65" t="s">
        <v>5108</v>
      </c>
      <c r="H117" s="65" t="s">
        <v>52</v>
      </c>
      <c r="I117" s="65">
        <v>16499.0</v>
      </c>
      <c r="J117" s="66">
        <v>0.25</v>
      </c>
      <c r="K117" s="65">
        <f t="shared" si="3"/>
        <v>12374</v>
      </c>
      <c r="L117" s="66">
        <v>0.2</v>
      </c>
      <c r="M117" s="65">
        <f t="shared" si="4"/>
        <v>13199</v>
      </c>
      <c r="N117" s="75">
        <v>0.16</v>
      </c>
      <c r="O117" s="68">
        <f t="shared" ref="O117:O119" si="132">I117*(1-N117)</f>
        <v>13859.16</v>
      </c>
      <c r="P117" s="75">
        <v>0.13</v>
      </c>
      <c r="Q117" s="68">
        <f t="shared" ref="Q117:Q119" si="133">I117*(1-P117)</f>
        <v>14354.13</v>
      </c>
      <c r="R117" s="71">
        <f t="shared" ref="R117:R119" si="134">Q117/M117-1</f>
        <v>0.08751647852</v>
      </c>
      <c r="S117" s="71">
        <f t="shared" ref="S117:S119" si="135">O117/M117-1</f>
        <v>0.0500159103</v>
      </c>
      <c r="T117" s="72">
        <f t="shared" si="6"/>
        <v>0</v>
      </c>
      <c r="U117" s="73" t="str">
        <f t="shared" ref="U117:U168" si="136">IFERROR(XLOOKUP(A117,COGS!I:I,COGS!J:J), IFERROR(XLOOKUP(C117,COGS!I:I,COGS!J:J),""))</f>
        <v/>
      </c>
      <c r="V117" s="73">
        <f t="shared" si="112"/>
        <v>11185.59322</v>
      </c>
      <c r="W117" s="73">
        <f t="shared" si="9"/>
        <v>11185.59322</v>
      </c>
      <c r="X117" s="74">
        <f t="shared" si="10"/>
        <v>1</v>
      </c>
      <c r="Y117" s="73">
        <f t="shared" si="11"/>
        <v>0</v>
      </c>
      <c r="Z117" s="73">
        <f t="shared" si="12"/>
        <v>11745.05085</v>
      </c>
      <c r="AA117" s="73">
        <f t="shared" si="13"/>
        <v>11745.05085</v>
      </c>
      <c r="AB117" s="74">
        <f t="shared" si="14"/>
        <v>1</v>
      </c>
      <c r="AC117" s="61" t="str">
        <f t="shared" si="15"/>
        <v>8</v>
      </c>
      <c r="AD117" s="71" t="str">
        <f t="shared" si="16"/>
        <v>#DIV/0!</v>
      </c>
      <c r="AE117" s="73">
        <f t="shared" ref="AE117:AE119" si="137">Q117/118%-Y117</f>
        <v>12164.51695</v>
      </c>
      <c r="AF117" s="74">
        <f t="shared" ref="AF117:AF119" si="138">AE117/(Q117/1.18)</f>
        <v>1</v>
      </c>
      <c r="AG117" s="71">
        <f t="array" ref="AG117">IFERROR(xlookup(G117,'Old Master'!T:T,'Old Master'!V:V),N117)</f>
        <v>0.16</v>
      </c>
      <c r="AH117" s="73">
        <f t="shared" si="17"/>
        <v>13859.16</v>
      </c>
      <c r="AI117" s="73">
        <f t="shared" si="18"/>
        <v>11745.05085</v>
      </c>
      <c r="AJ117" s="72">
        <f t="shared" si="19"/>
        <v>1</v>
      </c>
      <c r="AK117" s="61"/>
      <c r="AL117" s="71">
        <f t="array" ref="AL117">iferror(if(isblank(xlookup($G117,'Old Master'!$T:$T,'Old Master'!$W:$W)),AG117,xlookup($G117,'Old Master'!$T:$T,'Old Master'!$W:$W)),AG117)</f>
        <v>0.16</v>
      </c>
      <c r="AM117" s="74">
        <f t="shared" si="20"/>
        <v>0.1575853082</v>
      </c>
      <c r="AN117" s="73">
        <f t="shared" ref="AN117:AN123" si="139">mround($I117*(1-AL117),100)-1</f>
        <v>13899</v>
      </c>
    </row>
    <row r="118">
      <c r="A118" s="65" t="s">
        <v>1022</v>
      </c>
      <c r="B118" s="65">
        <f t="shared" si="1"/>
        <v>70</v>
      </c>
      <c r="C118" s="65" t="str">
        <f t="shared" si="2"/>
        <v>SC-HYB-LATEX-K-78x72x6</v>
      </c>
      <c r="D118" s="65" t="s">
        <v>1024</v>
      </c>
      <c r="E118" s="65">
        <v>0.0</v>
      </c>
      <c r="F118" s="65" t="s">
        <v>1025</v>
      </c>
      <c r="G118" s="65" t="s">
        <v>5108</v>
      </c>
      <c r="H118" s="65" t="s">
        <v>52</v>
      </c>
      <c r="I118" s="65">
        <v>19999.0</v>
      </c>
      <c r="J118" s="66">
        <v>0.25</v>
      </c>
      <c r="K118" s="65">
        <f t="shared" si="3"/>
        <v>14999</v>
      </c>
      <c r="L118" s="66">
        <v>0.2</v>
      </c>
      <c r="M118" s="65">
        <f t="shared" si="4"/>
        <v>15999</v>
      </c>
      <c r="N118" s="75">
        <v>0.16</v>
      </c>
      <c r="O118" s="68">
        <f t="shared" si="132"/>
        <v>16799.16</v>
      </c>
      <c r="P118" s="75">
        <v>0.13</v>
      </c>
      <c r="Q118" s="68">
        <f t="shared" si="133"/>
        <v>17399.13</v>
      </c>
      <c r="R118" s="71">
        <f t="shared" si="134"/>
        <v>0.0875135946</v>
      </c>
      <c r="S118" s="71">
        <f t="shared" si="135"/>
        <v>0.05001312582</v>
      </c>
      <c r="T118" s="72">
        <f t="shared" si="6"/>
        <v>0</v>
      </c>
      <c r="U118" s="73" t="str">
        <f t="shared" si="136"/>
        <v/>
      </c>
      <c r="V118" s="73">
        <f t="shared" si="112"/>
        <v>13558.47458</v>
      </c>
      <c r="W118" s="73">
        <f t="shared" si="9"/>
        <v>13558.47458</v>
      </c>
      <c r="X118" s="74">
        <f t="shared" si="10"/>
        <v>1</v>
      </c>
      <c r="Y118" s="73">
        <f t="shared" si="11"/>
        <v>0</v>
      </c>
      <c r="Z118" s="73">
        <f t="shared" si="12"/>
        <v>14236.57627</v>
      </c>
      <c r="AA118" s="73">
        <f t="shared" si="13"/>
        <v>14236.57627</v>
      </c>
      <c r="AB118" s="74">
        <f t="shared" si="14"/>
        <v>1</v>
      </c>
      <c r="AC118" s="61" t="str">
        <f t="shared" si="15"/>
        <v>6</v>
      </c>
      <c r="AD118" s="71" t="str">
        <f t="shared" si="16"/>
        <v>#DIV/0!</v>
      </c>
      <c r="AE118" s="73">
        <f t="shared" si="137"/>
        <v>14745.02542</v>
      </c>
      <c r="AF118" s="74">
        <f t="shared" si="138"/>
        <v>1</v>
      </c>
      <c r="AG118" s="71">
        <f t="array" ref="AG118">IFERROR(xlookup(G118,'Old Master'!T:T,'Old Master'!V:V),N118)</f>
        <v>0.16</v>
      </c>
      <c r="AH118" s="73">
        <f t="shared" si="17"/>
        <v>16799.16</v>
      </c>
      <c r="AI118" s="73">
        <f t="shared" si="18"/>
        <v>14236.57627</v>
      </c>
      <c r="AJ118" s="72">
        <f t="shared" si="19"/>
        <v>1</v>
      </c>
      <c r="AK118" s="61"/>
      <c r="AL118" s="71">
        <f t="array" ref="AL118">iferror(if(isblank(xlookup($G118,'Old Master'!$T:$T,'Old Master'!$W:$W)),AG118,xlookup($G118,'Old Master'!$T:$T,'Old Master'!$W:$W)),AG118)</f>
        <v>0.16</v>
      </c>
      <c r="AM118" s="74">
        <f t="shared" si="20"/>
        <v>0.1600080004</v>
      </c>
      <c r="AN118" s="73">
        <f t="shared" si="139"/>
        <v>16799</v>
      </c>
    </row>
    <row r="119">
      <c r="A119" s="65" t="s">
        <v>1053</v>
      </c>
      <c r="B119" s="65">
        <f t="shared" si="1"/>
        <v>70</v>
      </c>
      <c r="C119" s="65" t="str">
        <f t="shared" si="2"/>
        <v>SC-HYB-LATEX-K-75x72x8</v>
      </c>
      <c r="D119" s="65" t="s">
        <v>1055</v>
      </c>
      <c r="E119" s="65">
        <v>0.0</v>
      </c>
      <c r="F119" s="65" t="s">
        <v>1056</v>
      </c>
      <c r="G119" s="65" t="s">
        <v>5108</v>
      </c>
      <c r="H119" s="65" t="s">
        <v>52</v>
      </c>
      <c r="I119" s="65">
        <v>22999.0</v>
      </c>
      <c r="J119" s="66">
        <v>0.25</v>
      </c>
      <c r="K119" s="65">
        <f t="shared" si="3"/>
        <v>17249</v>
      </c>
      <c r="L119" s="66">
        <v>0.2</v>
      </c>
      <c r="M119" s="65">
        <f t="shared" si="4"/>
        <v>18399</v>
      </c>
      <c r="N119" s="75">
        <v>0.16</v>
      </c>
      <c r="O119" s="68">
        <f t="shared" si="132"/>
        <v>19319.16</v>
      </c>
      <c r="P119" s="75">
        <v>0.13</v>
      </c>
      <c r="Q119" s="68">
        <f t="shared" si="133"/>
        <v>20009.13</v>
      </c>
      <c r="R119" s="71">
        <f t="shared" si="134"/>
        <v>0.08751182129</v>
      </c>
      <c r="S119" s="71">
        <f t="shared" si="135"/>
        <v>0.05001141366</v>
      </c>
      <c r="T119" s="72">
        <f t="shared" si="6"/>
        <v>0</v>
      </c>
      <c r="U119" s="73" t="str">
        <f t="shared" si="136"/>
        <v/>
      </c>
      <c r="V119" s="73">
        <f t="shared" si="112"/>
        <v>15592.37288</v>
      </c>
      <c r="W119" s="73">
        <f t="shared" si="9"/>
        <v>15592.37288</v>
      </c>
      <c r="X119" s="74">
        <f t="shared" si="10"/>
        <v>1</v>
      </c>
      <c r="Y119" s="73">
        <f t="shared" si="11"/>
        <v>0</v>
      </c>
      <c r="Z119" s="73">
        <f t="shared" si="12"/>
        <v>16372.16949</v>
      </c>
      <c r="AA119" s="73">
        <f t="shared" si="13"/>
        <v>16372.16949</v>
      </c>
      <c r="AB119" s="74">
        <f t="shared" si="14"/>
        <v>1</v>
      </c>
      <c r="AC119" s="61" t="str">
        <f t="shared" si="15"/>
        <v>8</v>
      </c>
      <c r="AD119" s="71" t="str">
        <f t="shared" si="16"/>
        <v>#DIV/0!</v>
      </c>
      <c r="AE119" s="73">
        <f t="shared" si="137"/>
        <v>16956.88983</v>
      </c>
      <c r="AF119" s="74">
        <f t="shared" si="138"/>
        <v>1</v>
      </c>
      <c r="AG119" s="71">
        <f t="array" ref="AG119">IFERROR(xlookup(G119,'Old Master'!T:T,'Old Master'!V:V),N119)</f>
        <v>0.16</v>
      </c>
      <c r="AH119" s="73">
        <f t="shared" si="17"/>
        <v>19319.16</v>
      </c>
      <c r="AI119" s="73">
        <f t="shared" si="18"/>
        <v>16372.16949</v>
      </c>
      <c r="AJ119" s="72">
        <f t="shared" si="19"/>
        <v>1</v>
      </c>
      <c r="AK119" s="61"/>
      <c r="AL119" s="71">
        <f t="array" ref="AL119">iferror(if(isblank(xlookup($G119,'Old Master'!$T:$T,'Old Master'!$W:$W)),AG119,xlookup($G119,'Old Master'!$T:$T,'Old Master'!$W:$W)),AG119)</f>
        <v>0.16</v>
      </c>
      <c r="AM119" s="74">
        <f t="shared" si="20"/>
        <v>0.1608765599</v>
      </c>
      <c r="AN119" s="73">
        <f t="shared" si="139"/>
        <v>19299</v>
      </c>
    </row>
    <row r="120">
      <c r="A120" s="65" t="s">
        <v>3798</v>
      </c>
      <c r="B120" s="65">
        <f t="shared" si="1"/>
        <v>60</v>
      </c>
      <c r="C120" s="65" t="str">
        <f t="shared" si="2"/>
        <v>SC-MFMTTOPPER-Q-72x62x2</v>
      </c>
      <c r="D120" s="65" t="s">
        <v>3800</v>
      </c>
      <c r="E120" s="65">
        <v>0.0</v>
      </c>
      <c r="F120" s="65">
        <v>0.0</v>
      </c>
      <c r="G120" s="65" t="s">
        <v>5132</v>
      </c>
      <c r="H120" s="65" t="s">
        <v>4730</v>
      </c>
      <c r="I120" s="65">
        <v>8499.0</v>
      </c>
      <c r="J120" s="66">
        <v>0.3009364487680698</v>
      </c>
      <c r="K120" s="65">
        <f t="shared" si="3"/>
        <v>5941</v>
      </c>
      <c r="L120" s="66">
        <v>0.15</v>
      </c>
      <c r="M120" s="65">
        <f t="shared" si="4"/>
        <v>7224</v>
      </c>
      <c r="N120" s="67">
        <f t="shared" ref="N120:N139" si="140">1-O120/I120</f>
        <v>0.2509707024</v>
      </c>
      <c r="O120" s="68">
        <v>6366.0</v>
      </c>
      <c r="P120" s="67">
        <f t="shared" ref="P120:P129" si="141">1-Q120/I120</f>
        <v>0.2509707024</v>
      </c>
      <c r="Q120" s="69">
        <v>6366.0</v>
      </c>
      <c r="R120" s="70"/>
      <c r="S120" s="71">
        <f>O120/K120-1</f>
        <v>0.07153677832</v>
      </c>
      <c r="T120" s="72">
        <f t="shared" si="6"/>
        <v>0</v>
      </c>
      <c r="U120" s="73" t="str">
        <f t="shared" si="136"/>
        <v/>
      </c>
      <c r="V120" s="73">
        <f>K120/1.18</f>
        <v>5034.745763</v>
      </c>
      <c r="W120" s="73">
        <f t="shared" si="9"/>
        <v>5034.745763</v>
      </c>
      <c r="X120" s="74">
        <f t="shared" si="10"/>
        <v>1</v>
      </c>
      <c r="Y120" s="73">
        <f t="shared" si="11"/>
        <v>0</v>
      </c>
      <c r="Z120" s="73">
        <f t="shared" si="12"/>
        <v>5394.915254</v>
      </c>
      <c r="AA120" s="73">
        <f t="shared" si="13"/>
        <v>5394.915254</v>
      </c>
      <c r="AB120" s="74">
        <f t="shared" si="14"/>
        <v>1</v>
      </c>
      <c r="AC120" s="61" t="str">
        <f t="shared" si="15"/>
        <v>2</v>
      </c>
      <c r="AD120" s="71" t="str">
        <f t="shared" si="16"/>
        <v>#DIV/0!</v>
      </c>
      <c r="AE120" s="61"/>
      <c r="AF120" s="61"/>
      <c r="AG120" s="71">
        <f t="array" ref="AG120">IFERROR(xlookup(G120,'Old Master'!T:T,'Old Master'!V:V),N120)</f>
        <v>0.2509707024</v>
      </c>
      <c r="AH120" s="73">
        <f t="shared" si="17"/>
        <v>6366</v>
      </c>
      <c r="AI120" s="73">
        <f t="shared" si="18"/>
        <v>5394.915254</v>
      </c>
      <c r="AJ120" s="72">
        <f t="shared" si="19"/>
        <v>1</v>
      </c>
      <c r="AK120" s="61"/>
      <c r="AL120" s="71">
        <f t="array" ref="AL120">iferror(if(isblank(xlookup($G120,'Old Master'!$T:$T,'Old Master'!$W:$W)),AG120,xlookup($G120,'Old Master'!$T:$T,'Old Master'!$W:$W)),AG120)</f>
        <v>0.2509707024</v>
      </c>
      <c r="AM120" s="74">
        <f t="shared" si="20"/>
        <v>0.2470878927</v>
      </c>
      <c r="AN120" s="73">
        <f t="shared" si="139"/>
        <v>6399</v>
      </c>
    </row>
    <row r="121">
      <c r="A121" s="65" t="s">
        <v>258</v>
      </c>
      <c r="B121" s="65">
        <f t="shared" si="1"/>
        <v>48</v>
      </c>
      <c r="C121" s="65" t="str">
        <f t="shared" si="2"/>
        <v>SC-ORIG-D-72x50x10</v>
      </c>
      <c r="D121" s="65" t="s">
        <v>260</v>
      </c>
      <c r="E121" s="65" t="s">
        <v>261</v>
      </c>
      <c r="F121" s="65" t="s">
        <v>262</v>
      </c>
      <c r="G121" s="65" t="s">
        <v>51</v>
      </c>
      <c r="H121" s="65" t="s">
        <v>52</v>
      </c>
      <c r="I121" s="65">
        <v>16599.0</v>
      </c>
      <c r="J121" s="66">
        <v>0.28</v>
      </c>
      <c r="K121" s="65">
        <f t="shared" si="3"/>
        <v>11951</v>
      </c>
      <c r="L121" s="66">
        <v>0.24</v>
      </c>
      <c r="M121" s="65">
        <f t="shared" si="4"/>
        <v>12615</v>
      </c>
      <c r="N121" s="67">
        <f t="shared" si="140"/>
        <v>0.1900114465</v>
      </c>
      <c r="O121" s="68">
        <v>13445.0</v>
      </c>
      <c r="P121" s="67">
        <f t="shared" si="141"/>
        <v>0.1900114465</v>
      </c>
      <c r="Q121" s="69">
        <v>13445.0</v>
      </c>
      <c r="R121" s="76"/>
      <c r="S121" s="72">
        <f t="shared" ref="S121:S123" si="142">O121/M121-1</f>
        <v>0.06579468886</v>
      </c>
      <c r="T121" s="72">
        <f t="shared" si="6"/>
        <v>0</v>
      </c>
      <c r="U121" s="73" t="str">
        <f t="shared" si="136"/>
        <v/>
      </c>
      <c r="V121" s="73">
        <f t="shared" ref="V121:V130" si="143">M121/1.18</f>
        <v>10690.67797</v>
      </c>
      <c r="W121" s="73">
        <f t="shared" si="9"/>
        <v>10690.67797</v>
      </c>
      <c r="X121" s="74">
        <f t="shared" si="10"/>
        <v>1</v>
      </c>
      <c r="Y121" s="73">
        <f t="shared" si="11"/>
        <v>0</v>
      </c>
      <c r="Z121" s="73">
        <f t="shared" si="12"/>
        <v>11394.0678</v>
      </c>
      <c r="AA121" s="73">
        <f t="shared" si="13"/>
        <v>11394.0678</v>
      </c>
      <c r="AB121" s="74">
        <f t="shared" si="14"/>
        <v>1</v>
      </c>
      <c r="AC121" s="61" t="str">
        <f t="shared" si="15"/>
        <v>0</v>
      </c>
      <c r="AD121" s="71" t="str">
        <f t="shared" si="16"/>
        <v>#DIV/0!</v>
      </c>
      <c r="AE121" s="61"/>
      <c r="AF121" s="61"/>
      <c r="AG121" s="71">
        <f t="array" ref="AG121">IFERROR(xlookup(G121,'Old Master'!T:T,'Old Master'!V:V),N121)</f>
        <v>0.1900114465</v>
      </c>
      <c r="AH121" s="73">
        <f t="shared" si="17"/>
        <v>13445</v>
      </c>
      <c r="AI121" s="73">
        <f t="shared" si="18"/>
        <v>11394.0678</v>
      </c>
      <c r="AJ121" s="72">
        <f t="shared" si="19"/>
        <v>1</v>
      </c>
      <c r="AK121" s="61"/>
      <c r="AL121" s="71">
        <f t="array" ref="AL121">iferror(if(isblank(xlookup($G121,'Old Master'!$T:$T,'Old Master'!$W:$W)),AG121,xlookup($G121,'Old Master'!$T:$T,'Old Master'!$W:$W)),AG121)</f>
        <v>0.1900114465</v>
      </c>
      <c r="AM121" s="74">
        <f t="shared" si="20"/>
        <v>0.1927826978</v>
      </c>
      <c r="AN121" s="73">
        <f t="shared" si="139"/>
        <v>13399</v>
      </c>
    </row>
    <row r="122">
      <c r="A122" s="65" t="s">
        <v>1747</v>
      </c>
      <c r="B122" s="65">
        <f t="shared" si="1"/>
        <v>48</v>
      </c>
      <c r="C122" s="65" t="str">
        <f t="shared" si="2"/>
        <v>SC-ULTM-LATEX-D-75x50x8</v>
      </c>
      <c r="D122" s="65" t="s">
        <v>1749</v>
      </c>
      <c r="E122" s="65" t="s">
        <v>1750</v>
      </c>
      <c r="F122" s="65" t="s">
        <v>1751</v>
      </c>
      <c r="G122" s="65" t="s">
        <v>5109</v>
      </c>
      <c r="H122" s="65" t="s">
        <v>52</v>
      </c>
      <c r="I122" s="65">
        <v>24999.0</v>
      </c>
      <c r="J122" s="66">
        <v>0.23</v>
      </c>
      <c r="K122" s="65">
        <f t="shared" si="3"/>
        <v>19249</v>
      </c>
      <c r="L122" s="66">
        <v>0.18</v>
      </c>
      <c r="M122" s="65">
        <f t="shared" si="4"/>
        <v>20499</v>
      </c>
      <c r="N122" s="67">
        <f t="shared" si="140"/>
        <v>0.1000040002</v>
      </c>
      <c r="O122" s="68">
        <v>22499.0</v>
      </c>
      <c r="P122" s="67">
        <f t="shared" si="141"/>
        <v>0.1000040002</v>
      </c>
      <c r="Q122" s="69">
        <v>22499.0</v>
      </c>
      <c r="R122" s="70"/>
      <c r="S122" s="71">
        <f t="shared" si="142"/>
        <v>0.09756573491</v>
      </c>
      <c r="T122" s="72">
        <f t="shared" si="6"/>
        <v>0</v>
      </c>
      <c r="U122" s="73" t="str">
        <f t="shared" si="136"/>
        <v/>
      </c>
      <c r="V122" s="73">
        <f t="shared" si="143"/>
        <v>17372.0339</v>
      </c>
      <c r="W122" s="73">
        <f t="shared" si="9"/>
        <v>17372.0339</v>
      </c>
      <c r="X122" s="74">
        <f t="shared" si="10"/>
        <v>1</v>
      </c>
      <c r="Y122" s="73">
        <f t="shared" si="11"/>
        <v>0</v>
      </c>
      <c r="Z122" s="73">
        <f t="shared" si="12"/>
        <v>19066.94915</v>
      </c>
      <c r="AA122" s="73">
        <f t="shared" si="13"/>
        <v>19066.94915</v>
      </c>
      <c r="AB122" s="74">
        <f t="shared" si="14"/>
        <v>1</v>
      </c>
      <c r="AC122" s="61" t="str">
        <f t="shared" si="15"/>
        <v>8</v>
      </c>
      <c r="AD122" s="71" t="str">
        <f t="shared" si="16"/>
        <v>#DIV/0!</v>
      </c>
      <c r="AE122" s="61"/>
      <c r="AF122" s="61"/>
      <c r="AG122" s="71">
        <f t="array" ref="AG122">IFERROR(xlookup(G122,'Old Master'!T:T,'Old Master'!V:V),N122)</f>
        <v>0.1000040002</v>
      </c>
      <c r="AH122" s="73">
        <f t="shared" si="17"/>
        <v>22499</v>
      </c>
      <c r="AI122" s="73">
        <f t="shared" si="18"/>
        <v>19066.94915</v>
      </c>
      <c r="AJ122" s="72">
        <f t="shared" si="19"/>
        <v>1</v>
      </c>
      <c r="AK122" s="61"/>
      <c r="AL122" s="71">
        <f t="array" ref="AL122">iferror(if(isblank(xlookup($G122,'Old Master'!$T:$T,'Old Master'!$W:$W)),AG122,xlookup($G122,'Old Master'!$T:$T,'Old Master'!$W:$W)),AG122)</f>
        <v>0.1000040002</v>
      </c>
      <c r="AM122" s="74">
        <f t="shared" si="20"/>
        <v>0.1000040002</v>
      </c>
      <c r="AN122" s="73">
        <f t="shared" si="139"/>
        <v>22499</v>
      </c>
    </row>
    <row r="123">
      <c r="A123" s="65" t="s">
        <v>1560</v>
      </c>
      <c r="B123" s="65">
        <f t="shared" si="1"/>
        <v>48</v>
      </c>
      <c r="C123" s="65" t="str">
        <f t="shared" si="2"/>
        <v>SC-ULTM-D-75x50x8</v>
      </c>
      <c r="D123" s="65" t="s">
        <v>1562</v>
      </c>
      <c r="E123" s="65" t="s">
        <v>1560</v>
      </c>
      <c r="F123" s="65" t="s">
        <v>1560</v>
      </c>
      <c r="G123" s="65" t="s">
        <v>5112</v>
      </c>
      <c r="H123" s="65" t="s">
        <v>52</v>
      </c>
      <c r="I123" s="65">
        <v>18999.0</v>
      </c>
      <c r="J123" s="66">
        <v>0.25</v>
      </c>
      <c r="K123" s="65">
        <f t="shared" si="3"/>
        <v>14249</v>
      </c>
      <c r="L123" s="66">
        <v>0.22</v>
      </c>
      <c r="M123" s="65">
        <f t="shared" si="4"/>
        <v>14819</v>
      </c>
      <c r="N123" s="67">
        <f t="shared" si="140"/>
        <v>0.1000052634</v>
      </c>
      <c r="O123" s="68">
        <v>17099.0</v>
      </c>
      <c r="P123" s="67">
        <f t="shared" si="141"/>
        <v>0.1000052634</v>
      </c>
      <c r="Q123" s="69">
        <v>17099.0</v>
      </c>
      <c r="R123" s="70"/>
      <c r="S123" s="71">
        <f t="shared" si="142"/>
        <v>0.1538565355</v>
      </c>
      <c r="T123" s="72">
        <f t="shared" si="6"/>
        <v>0</v>
      </c>
      <c r="U123" s="73" t="str">
        <f t="shared" si="136"/>
        <v/>
      </c>
      <c r="V123" s="73">
        <f t="shared" si="143"/>
        <v>12558.47458</v>
      </c>
      <c r="W123" s="73">
        <f t="shared" si="9"/>
        <v>12558.47458</v>
      </c>
      <c r="X123" s="74">
        <f t="shared" si="10"/>
        <v>1</v>
      </c>
      <c r="Y123" s="73">
        <f t="shared" si="11"/>
        <v>0</v>
      </c>
      <c r="Z123" s="73">
        <f t="shared" si="12"/>
        <v>14490.67797</v>
      </c>
      <c r="AA123" s="73">
        <f t="shared" si="13"/>
        <v>14490.67797</v>
      </c>
      <c r="AB123" s="74">
        <f t="shared" si="14"/>
        <v>1</v>
      </c>
      <c r="AC123" s="61" t="str">
        <f t="shared" si="15"/>
        <v>8</v>
      </c>
      <c r="AD123" s="71" t="str">
        <f t="shared" si="16"/>
        <v>#DIV/0!</v>
      </c>
      <c r="AE123" s="61"/>
      <c r="AF123" s="61"/>
      <c r="AG123" s="71">
        <f t="array" ref="AG123">IFERROR(xlookup(G123,'Old Master'!T:T,'Old Master'!V:V),N123)</f>
        <v>0.1000052634</v>
      </c>
      <c r="AH123" s="73">
        <f t="shared" si="17"/>
        <v>17099</v>
      </c>
      <c r="AI123" s="73">
        <f t="shared" si="18"/>
        <v>14490.67797</v>
      </c>
      <c r="AJ123" s="72">
        <f t="shared" si="19"/>
        <v>1</v>
      </c>
      <c r="AK123" s="61"/>
      <c r="AL123" s="71">
        <f t="array" ref="AL123">iferror(if(isblank(xlookup($G123,'Old Master'!$T:$T,'Old Master'!$W:$W)),AG123,xlookup($G123,'Old Master'!$T:$T,'Old Master'!$W:$W)),AG123)</f>
        <v>0.1000052634</v>
      </c>
      <c r="AM123" s="74">
        <f t="shared" si="20"/>
        <v>0.1000052634</v>
      </c>
      <c r="AN123" s="73">
        <f t="shared" si="139"/>
        <v>17099</v>
      </c>
    </row>
    <row r="124">
      <c r="A124" s="65" t="s">
        <v>2415</v>
      </c>
      <c r="B124" s="65" t="str">
        <f t="shared" si="1"/>
        <v>#VALUE!</v>
      </c>
      <c r="C124" s="65" t="str">
        <f t="shared" si="2"/>
        <v>#VALUE!</v>
      </c>
      <c r="D124" s="65" t="s">
        <v>2416</v>
      </c>
      <c r="E124" s="65">
        <v>0.0</v>
      </c>
      <c r="F124" s="65">
        <v>0.0</v>
      </c>
      <c r="G124" s="65" t="s">
        <v>5074</v>
      </c>
      <c r="H124" s="65" t="s">
        <v>1145</v>
      </c>
      <c r="I124" s="65">
        <v>2599.0</v>
      </c>
      <c r="J124" s="66">
        <v>0.34</v>
      </c>
      <c r="K124" s="65">
        <f t="shared" si="3"/>
        <v>1715</v>
      </c>
      <c r="L124" s="66">
        <v>0.2</v>
      </c>
      <c r="M124" s="65">
        <f t="shared" si="4"/>
        <v>2079</v>
      </c>
      <c r="N124" s="77">
        <f t="shared" si="140"/>
        <v>0.1539053482</v>
      </c>
      <c r="O124" s="68">
        <v>2199.0</v>
      </c>
      <c r="P124" s="67">
        <f t="shared" si="141"/>
        <v>0.1539053482</v>
      </c>
      <c r="Q124" s="69">
        <v>2199.0</v>
      </c>
      <c r="R124" s="70"/>
      <c r="S124" s="71">
        <f t="shared" ref="S124:S125" si="144">O124/K124-1</f>
        <v>0.2822157434</v>
      </c>
      <c r="T124" s="72">
        <f t="shared" si="6"/>
        <v>0</v>
      </c>
      <c r="U124" s="73" t="str">
        <f t="shared" si="136"/>
        <v/>
      </c>
      <c r="V124" s="73">
        <f t="shared" si="143"/>
        <v>1761.864407</v>
      </c>
      <c r="W124" s="73">
        <f t="shared" si="9"/>
        <v>1761.864407</v>
      </c>
      <c r="X124" s="74">
        <f t="shared" si="10"/>
        <v>1</v>
      </c>
      <c r="Y124" s="73">
        <f t="shared" si="11"/>
        <v>0</v>
      </c>
      <c r="Z124" s="73">
        <f t="shared" si="12"/>
        <v>1863.559322</v>
      </c>
      <c r="AA124" s="73">
        <f t="shared" si="13"/>
        <v>1863.559322</v>
      </c>
      <c r="AB124" s="74">
        <f t="shared" si="14"/>
        <v>1</v>
      </c>
      <c r="AC124" s="61" t="str">
        <f t="shared" si="15"/>
        <v>0</v>
      </c>
      <c r="AD124" s="71" t="str">
        <f t="shared" si="16"/>
        <v>#DIV/0!</v>
      </c>
      <c r="AE124" s="61"/>
      <c r="AF124" s="61"/>
      <c r="AG124" s="71">
        <f t="array" ref="AG124">IFERROR(xlookup(G124,'Old Master'!T:T,'Old Master'!V:V),N124)</f>
        <v>0.1539053482</v>
      </c>
      <c r="AH124" s="73">
        <f t="shared" si="17"/>
        <v>2199</v>
      </c>
      <c r="AI124" s="73">
        <f t="shared" si="18"/>
        <v>1863.559322</v>
      </c>
      <c r="AJ124" s="72">
        <f t="shared" si="19"/>
        <v>1</v>
      </c>
      <c r="AK124" s="61"/>
      <c r="AL124" s="71">
        <f t="shared" ref="AL124:AL125" si="145">(I124-AN124)/I124</f>
        <v>0.1539053482</v>
      </c>
      <c r="AM124" s="74">
        <f t="shared" si="20"/>
        <v>0.1539053482</v>
      </c>
      <c r="AN124" s="73">
        <v>2199.0</v>
      </c>
    </row>
    <row r="125">
      <c r="A125" s="65" t="s">
        <v>1138</v>
      </c>
      <c r="B125" s="65" t="str">
        <f t="shared" si="1"/>
        <v>#VALUE!</v>
      </c>
      <c r="C125" s="65" t="str">
        <f t="shared" si="2"/>
        <v>#VALUE!</v>
      </c>
      <c r="D125" s="65">
        <v>0.0</v>
      </c>
      <c r="E125" s="65" t="s">
        <v>1140</v>
      </c>
      <c r="F125" s="65" t="s">
        <v>1141</v>
      </c>
      <c r="G125" s="65" t="s">
        <v>5084</v>
      </c>
      <c r="H125" s="65" t="s">
        <v>1145</v>
      </c>
      <c r="I125" s="65">
        <v>3699.0</v>
      </c>
      <c r="J125" s="66">
        <v>0.45958367126250343</v>
      </c>
      <c r="K125" s="65">
        <f t="shared" si="3"/>
        <v>1999</v>
      </c>
      <c r="L125" s="66">
        <v>0.45958367126250343</v>
      </c>
      <c r="M125" s="65">
        <f t="shared" si="4"/>
        <v>1999</v>
      </c>
      <c r="N125" s="77">
        <f t="shared" si="140"/>
        <v>0.4866180049</v>
      </c>
      <c r="O125" s="78">
        <v>1899.0</v>
      </c>
      <c r="P125" s="67">
        <f t="shared" si="141"/>
        <v>0.4866180049</v>
      </c>
      <c r="Q125" s="79">
        <v>1899.0</v>
      </c>
      <c r="R125" s="70"/>
      <c r="S125" s="71">
        <f t="shared" si="144"/>
        <v>-0.05002501251</v>
      </c>
      <c r="T125" s="72">
        <f t="shared" si="6"/>
        <v>0</v>
      </c>
      <c r="U125" s="73" t="str">
        <f t="shared" si="136"/>
        <v/>
      </c>
      <c r="V125" s="73">
        <f t="shared" si="143"/>
        <v>1694.067797</v>
      </c>
      <c r="W125" s="73">
        <f t="shared" si="9"/>
        <v>1694.067797</v>
      </c>
      <c r="X125" s="74">
        <f t="shared" si="10"/>
        <v>1</v>
      </c>
      <c r="Y125" s="73">
        <f t="shared" si="11"/>
        <v>0</v>
      </c>
      <c r="Z125" s="73">
        <f t="shared" si="12"/>
        <v>1609.322034</v>
      </c>
      <c r="AA125" s="73">
        <f t="shared" si="13"/>
        <v>1609.322034</v>
      </c>
      <c r="AB125" s="74">
        <f t="shared" si="14"/>
        <v>1</v>
      </c>
      <c r="AC125" s="61" t="str">
        <f t="shared" si="15"/>
        <v>6</v>
      </c>
      <c r="AD125" s="71" t="str">
        <f t="shared" si="16"/>
        <v>#DIV/0!</v>
      </c>
      <c r="AE125" s="61"/>
      <c r="AF125" s="61"/>
      <c r="AG125" s="71">
        <f t="array" ref="AG125">IFERROR(xlookup(G125,'Old Master'!T:T,'Old Master'!V:V),N125)</f>
        <v>0.4866180049</v>
      </c>
      <c r="AH125" s="73">
        <f t="shared" si="17"/>
        <v>1899</v>
      </c>
      <c r="AI125" s="73">
        <f t="shared" si="18"/>
        <v>1609.322034</v>
      </c>
      <c r="AJ125" s="72">
        <f t="shared" si="19"/>
        <v>1</v>
      </c>
      <c r="AK125" s="61"/>
      <c r="AL125" s="71">
        <f t="shared" si="145"/>
        <v>0.4866180049</v>
      </c>
      <c r="AM125" s="74">
        <f t="shared" si="20"/>
        <v>0.4866180049</v>
      </c>
      <c r="AN125" s="73">
        <v>1899.0</v>
      </c>
    </row>
    <row r="126">
      <c r="A126" s="65" t="s">
        <v>1815</v>
      </c>
      <c r="B126" s="65">
        <f t="shared" si="1"/>
        <v>60</v>
      </c>
      <c r="C126" s="65" t="str">
        <f t="shared" si="2"/>
        <v>SC-ULTM-LATEX-Q-75x62x10</v>
      </c>
      <c r="D126" s="65" t="s">
        <v>1817</v>
      </c>
      <c r="E126" s="65" t="s">
        <v>1818</v>
      </c>
      <c r="F126" s="65" t="s">
        <v>1819</v>
      </c>
      <c r="G126" s="65" t="s">
        <v>5109</v>
      </c>
      <c r="H126" s="65" t="s">
        <v>52</v>
      </c>
      <c r="I126" s="65">
        <v>34999.0</v>
      </c>
      <c r="J126" s="66">
        <v>0.23</v>
      </c>
      <c r="K126" s="65">
        <f t="shared" si="3"/>
        <v>26949</v>
      </c>
      <c r="L126" s="66">
        <v>0.18</v>
      </c>
      <c r="M126" s="65">
        <f t="shared" si="4"/>
        <v>28699</v>
      </c>
      <c r="N126" s="67">
        <f t="shared" si="140"/>
        <v>0.1000028572</v>
      </c>
      <c r="O126" s="68">
        <v>31499.0</v>
      </c>
      <c r="P126" s="67">
        <f t="shared" si="141"/>
        <v>0.1000028572</v>
      </c>
      <c r="Q126" s="69">
        <v>31499.0</v>
      </c>
      <c r="R126" s="70"/>
      <c r="S126" s="71">
        <f>O126/M126-1</f>
        <v>0.09756437507</v>
      </c>
      <c r="T126" s="72">
        <f t="shared" si="6"/>
        <v>0</v>
      </c>
      <c r="U126" s="73" t="str">
        <f t="shared" si="136"/>
        <v/>
      </c>
      <c r="V126" s="73">
        <f t="shared" si="143"/>
        <v>24321.18644</v>
      </c>
      <c r="W126" s="73">
        <f t="shared" si="9"/>
        <v>24321.18644</v>
      </c>
      <c r="X126" s="74">
        <f t="shared" si="10"/>
        <v>1</v>
      </c>
      <c r="Y126" s="73">
        <f t="shared" si="11"/>
        <v>0</v>
      </c>
      <c r="Z126" s="73">
        <f t="shared" si="12"/>
        <v>26694.0678</v>
      </c>
      <c r="AA126" s="73">
        <f t="shared" si="13"/>
        <v>26694.0678</v>
      </c>
      <c r="AB126" s="74">
        <f t="shared" si="14"/>
        <v>1</v>
      </c>
      <c r="AC126" s="61" t="str">
        <f t="shared" si="15"/>
        <v>0</v>
      </c>
      <c r="AD126" s="71" t="str">
        <f t="shared" si="16"/>
        <v>#DIV/0!</v>
      </c>
      <c r="AE126" s="61"/>
      <c r="AF126" s="61"/>
      <c r="AG126" s="71">
        <f t="array" ref="AG126">IFERROR(xlookup(G126,'Old Master'!T:T,'Old Master'!V:V),N126)</f>
        <v>0.1000028572</v>
      </c>
      <c r="AH126" s="73">
        <f t="shared" si="17"/>
        <v>31499</v>
      </c>
      <c r="AI126" s="73">
        <f t="shared" si="18"/>
        <v>26694.0678</v>
      </c>
      <c r="AJ126" s="72">
        <f t="shared" si="19"/>
        <v>1</v>
      </c>
      <c r="AK126" s="61"/>
      <c r="AL126" s="71">
        <f t="array" ref="AL126">iferror(if(isblank(xlookup($G126,'Old Master'!$T:$T,'Old Master'!$W:$W)),AG126,xlookup($G126,'Old Master'!$T:$T,'Old Master'!$W:$W)),AG126)</f>
        <v>0.1000028572</v>
      </c>
      <c r="AM126" s="74">
        <f t="shared" si="20"/>
        <v>0.1000028572</v>
      </c>
      <c r="AN126" s="73">
        <f>mround($I126*(1-AL126),100)-1</f>
        <v>31499</v>
      </c>
    </row>
    <row r="127">
      <c r="A127" s="65" t="s">
        <v>2274</v>
      </c>
      <c r="B127" s="65" t="str">
        <f t="shared" si="1"/>
        <v>#VALUE!</v>
      </c>
      <c r="C127" s="65" t="str">
        <f t="shared" si="2"/>
        <v>#VALUE!</v>
      </c>
      <c r="D127" s="65" t="s">
        <v>2276</v>
      </c>
      <c r="E127" s="65" t="s">
        <v>2277</v>
      </c>
      <c r="F127" s="65" t="s">
        <v>2278</v>
      </c>
      <c r="G127" s="65" t="s">
        <v>5077</v>
      </c>
      <c r="H127" s="65" t="s">
        <v>4730</v>
      </c>
      <c r="I127" s="65">
        <v>989.0</v>
      </c>
      <c r="J127" s="66">
        <v>0.17189079878665314</v>
      </c>
      <c r="K127" s="65">
        <f t="shared" si="3"/>
        <v>819</v>
      </c>
      <c r="L127" s="66">
        <v>0.1</v>
      </c>
      <c r="M127" s="65">
        <f t="shared" si="4"/>
        <v>890</v>
      </c>
      <c r="N127" s="67">
        <f t="shared" si="140"/>
        <v>0.04954499494</v>
      </c>
      <c r="O127" s="68">
        <v>940.0</v>
      </c>
      <c r="P127" s="67">
        <f t="shared" si="141"/>
        <v>0.04954499494</v>
      </c>
      <c r="Q127" s="69">
        <v>940.0</v>
      </c>
      <c r="R127" s="70"/>
      <c r="S127" s="71">
        <f t="shared" ref="S127:S128" si="146">O127/K127-1</f>
        <v>0.1477411477</v>
      </c>
      <c r="T127" s="72">
        <f t="shared" si="6"/>
        <v>0</v>
      </c>
      <c r="U127" s="73" t="str">
        <f t="shared" si="136"/>
        <v/>
      </c>
      <c r="V127" s="73">
        <f t="shared" si="143"/>
        <v>754.2372881</v>
      </c>
      <c r="W127" s="73">
        <f t="shared" si="9"/>
        <v>754.2372881</v>
      </c>
      <c r="X127" s="74">
        <f t="shared" si="10"/>
        <v>1</v>
      </c>
      <c r="Y127" s="73">
        <f t="shared" si="11"/>
        <v>0</v>
      </c>
      <c r="Z127" s="73">
        <f t="shared" si="12"/>
        <v>796.6101695</v>
      </c>
      <c r="AA127" s="73">
        <f t="shared" si="13"/>
        <v>796.6101695</v>
      </c>
      <c r="AB127" s="74">
        <f t="shared" si="14"/>
        <v>1</v>
      </c>
      <c r="AC127" s="61" t="str">
        <f t="shared" si="15"/>
        <v>0</v>
      </c>
      <c r="AD127" s="71" t="str">
        <f t="shared" si="16"/>
        <v>#DIV/0!</v>
      </c>
      <c r="AE127" s="61"/>
      <c r="AF127" s="61"/>
      <c r="AG127" s="71">
        <f t="array" ref="AG127">IFERROR(xlookup(G127,'Old Master'!T:T,'Old Master'!V:V),N127)</f>
        <v>0.04954499494</v>
      </c>
      <c r="AH127" s="73">
        <f t="shared" si="17"/>
        <v>940</v>
      </c>
      <c r="AI127" s="73">
        <f t="shared" si="18"/>
        <v>796.6101695</v>
      </c>
      <c r="AJ127" s="72">
        <f t="shared" si="19"/>
        <v>1</v>
      </c>
      <c r="AK127" s="61"/>
      <c r="AL127" s="71">
        <f t="array" ref="AL127">iferror(if(isblank(xlookup($G127,'Old Master'!$T:$T,'Old Master'!$W:$W)),AG127,xlookup($G127,'Old Master'!$T:$T,'Old Master'!$W:$W)),AG127)</f>
        <v>0.04954499494</v>
      </c>
      <c r="AM127" s="74">
        <f t="shared" si="20"/>
        <v>0.04954499494</v>
      </c>
      <c r="AN127" s="73">
        <f>O127</f>
        <v>940</v>
      </c>
    </row>
    <row r="128">
      <c r="A128" s="65" t="s">
        <v>3404</v>
      </c>
      <c r="B128" s="65" t="str">
        <f t="shared" si="1"/>
        <v>#VALUE!</v>
      </c>
      <c r="C128" s="65" t="str">
        <f t="shared" si="2"/>
        <v>#VALUE!</v>
      </c>
      <c r="D128" s="65" t="s">
        <v>3402</v>
      </c>
      <c r="E128" s="65" t="s">
        <v>3403</v>
      </c>
      <c r="F128" s="65" t="s">
        <v>3404</v>
      </c>
      <c r="G128" s="65" t="s">
        <v>5076</v>
      </c>
      <c r="H128" s="65" t="s">
        <v>1145</v>
      </c>
      <c r="I128" s="65">
        <v>999.0</v>
      </c>
      <c r="J128" s="66">
        <v>0.1501501501501501</v>
      </c>
      <c r="K128" s="65">
        <f t="shared" si="3"/>
        <v>849</v>
      </c>
      <c r="L128" s="66">
        <v>0.15</v>
      </c>
      <c r="M128" s="65">
        <f t="shared" si="4"/>
        <v>849</v>
      </c>
      <c r="N128" s="77">
        <f t="shared" si="140"/>
        <v>0.05005005005</v>
      </c>
      <c r="O128" s="68">
        <v>949.0</v>
      </c>
      <c r="P128" s="67">
        <f t="shared" si="141"/>
        <v>0.05005005005</v>
      </c>
      <c r="Q128" s="69">
        <v>949.0</v>
      </c>
      <c r="R128" s="70"/>
      <c r="S128" s="71">
        <f t="shared" si="146"/>
        <v>0.1177856302</v>
      </c>
      <c r="T128" s="72">
        <f t="shared" si="6"/>
        <v>0</v>
      </c>
      <c r="U128" s="73" t="str">
        <f t="shared" si="136"/>
        <v/>
      </c>
      <c r="V128" s="73">
        <f t="shared" si="143"/>
        <v>719.4915254</v>
      </c>
      <c r="W128" s="73">
        <f t="shared" si="9"/>
        <v>719.4915254</v>
      </c>
      <c r="X128" s="74">
        <f t="shared" si="10"/>
        <v>1</v>
      </c>
      <c r="Y128" s="73">
        <f t="shared" si="11"/>
        <v>0</v>
      </c>
      <c r="Z128" s="73">
        <f t="shared" si="12"/>
        <v>804.2372881</v>
      </c>
      <c r="AA128" s="73">
        <f t="shared" si="13"/>
        <v>804.2372881</v>
      </c>
      <c r="AB128" s="74">
        <f t="shared" si="14"/>
        <v>1</v>
      </c>
      <c r="AC128" s="61" t="str">
        <f t="shared" si="15"/>
        <v>6</v>
      </c>
      <c r="AD128" s="71" t="str">
        <f t="shared" si="16"/>
        <v>#DIV/0!</v>
      </c>
      <c r="AE128" s="61"/>
      <c r="AF128" s="61"/>
      <c r="AG128" s="71">
        <f t="array" ref="AG128">IFERROR(xlookup(G128,'Old Master'!T:T,'Old Master'!V:V),N128)</f>
        <v>0.05005005005</v>
      </c>
      <c r="AH128" s="73">
        <f t="shared" si="17"/>
        <v>949</v>
      </c>
      <c r="AI128" s="73">
        <f t="shared" si="18"/>
        <v>804.2372881</v>
      </c>
      <c r="AJ128" s="72">
        <f t="shared" si="19"/>
        <v>1</v>
      </c>
      <c r="AK128" s="61"/>
      <c r="AL128" s="71">
        <f>(I128-AN128)/I128</f>
        <v>0.05005005005</v>
      </c>
      <c r="AM128" s="74">
        <f t="shared" si="20"/>
        <v>0.05005005005</v>
      </c>
      <c r="AN128" s="73">
        <v>949.0</v>
      </c>
    </row>
    <row r="129">
      <c r="A129" s="65" t="s">
        <v>1740</v>
      </c>
      <c r="B129" s="65">
        <f t="shared" si="1"/>
        <v>48</v>
      </c>
      <c r="C129" s="65" t="str">
        <f t="shared" si="2"/>
        <v>SC-ULTM-LATEX-D-72x50x8</v>
      </c>
      <c r="D129" s="65" t="s">
        <v>1742</v>
      </c>
      <c r="E129" s="65" t="s">
        <v>1743</v>
      </c>
      <c r="F129" s="65" t="s">
        <v>1744</v>
      </c>
      <c r="G129" s="65" t="s">
        <v>5109</v>
      </c>
      <c r="H129" s="65" t="s">
        <v>52</v>
      </c>
      <c r="I129" s="65">
        <v>24999.0</v>
      </c>
      <c r="J129" s="66">
        <v>0.23</v>
      </c>
      <c r="K129" s="65">
        <f t="shared" si="3"/>
        <v>19249</v>
      </c>
      <c r="L129" s="66">
        <v>0.18</v>
      </c>
      <c r="M129" s="65">
        <f t="shared" si="4"/>
        <v>20499</v>
      </c>
      <c r="N129" s="67">
        <f t="shared" si="140"/>
        <v>0.1000040002</v>
      </c>
      <c r="O129" s="68">
        <v>22499.0</v>
      </c>
      <c r="P129" s="67">
        <f t="shared" si="141"/>
        <v>0.1000040002</v>
      </c>
      <c r="Q129" s="69">
        <v>22499.0</v>
      </c>
      <c r="R129" s="70"/>
      <c r="S129" s="71">
        <f t="shared" ref="S129:S130" si="147">O129/M129-1</f>
        <v>0.09756573491</v>
      </c>
      <c r="T129" s="72">
        <f t="shared" si="6"/>
        <v>0</v>
      </c>
      <c r="U129" s="73" t="str">
        <f t="shared" si="136"/>
        <v/>
      </c>
      <c r="V129" s="73">
        <f t="shared" si="143"/>
        <v>17372.0339</v>
      </c>
      <c r="W129" s="73">
        <f t="shared" si="9"/>
        <v>17372.0339</v>
      </c>
      <c r="X129" s="74">
        <f t="shared" si="10"/>
        <v>1</v>
      </c>
      <c r="Y129" s="73">
        <f t="shared" si="11"/>
        <v>0</v>
      </c>
      <c r="Z129" s="73">
        <f t="shared" si="12"/>
        <v>19066.94915</v>
      </c>
      <c r="AA129" s="73">
        <f t="shared" si="13"/>
        <v>19066.94915</v>
      </c>
      <c r="AB129" s="74">
        <f t="shared" si="14"/>
        <v>1</v>
      </c>
      <c r="AC129" s="61" t="str">
        <f t="shared" si="15"/>
        <v>8</v>
      </c>
      <c r="AD129" s="71" t="str">
        <f t="shared" si="16"/>
        <v>#DIV/0!</v>
      </c>
      <c r="AE129" s="61"/>
      <c r="AF129" s="61"/>
      <c r="AG129" s="71">
        <f t="array" ref="AG129">IFERROR(xlookup(G129,'Old Master'!T:T,'Old Master'!V:V),N129)</f>
        <v>0.1000040002</v>
      </c>
      <c r="AH129" s="73">
        <f t="shared" si="17"/>
        <v>22499</v>
      </c>
      <c r="AI129" s="73">
        <f t="shared" si="18"/>
        <v>19066.94915</v>
      </c>
      <c r="AJ129" s="72">
        <f t="shared" si="19"/>
        <v>1</v>
      </c>
      <c r="AK129" s="61"/>
      <c r="AL129" s="71">
        <f t="array" ref="AL129">iferror(if(isblank(xlookup($G129,'Old Master'!$T:$T,'Old Master'!$W:$W)),AG129,xlookup($G129,'Old Master'!$T:$T,'Old Master'!$W:$W)),AG129)</f>
        <v>0.1000040002</v>
      </c>
      <c r="AM129" s="74">
        <f t="shared" si="20"/>
        <v>0.1000040002</v>
      </c>
      <c r="AN129" s="73">
        <f t="shared" ref="AN129:AN130" si="148">mround($I129*(1-AL129),100)-1</f>
        <v>22499</v>
      </c>
    </row>
    <row r="130">
      <c r="A130" s="65" t="s">
        <v>5340</v>
      </c>
      <c r="B130" s="65">
        <f t="shared" si="1"/>
        <v>60</v>
      </c>
      <c r="C130" s="65" t="str">
        <f t="shared" si="2"/>
        <v>SC-LTx-ORTHO-Q-78x62x5</v>
      </c>
      <c r="D130" s="65" t="s">
        <v>4304</v>
      </c>
      <c r="E130" s="65">
        <v>0.0</v>
      </c>
      <c r="F130" s="65" t="s">
        <v>4305</v>
      </c>
      <c r="G130" s="65" t="s">
        <v>5118</v>
      </c>
      <c r="H130" s="65" t="s">
        <v>52</v>
      </c>
      <c r="I130" s="81">
        <v>18399.0</v>
      </c>
      <c r="J130" s="66">
        <v>0.23</v>
      </c>
      <c r="K130" s="81">
        <f t="shared" si="3"/>
        <v>14167</v>
      </c>
      <c r="L130" s="66">
        <v>0.2</v>
      </c>
      <c r="M130" s="81">
        <f t="shared" si="4"/>
        <v>14719</v>
      </c>
      <c r="N130" s="67">
        <f t="shared" si="140"/>
        <v>0.3250122289</v>
      </c>
      <c r="O130" s="68">
        <v>12419.1</v>
      </c>
      <c r="P130" s="75">
        <v>0.1</v>
      </c>
      <c r="Q130" s="68">
        <f>I130*(1-P130)</f>
        <v>16559.1</v>
      </c>
      <c r="R130" s="70"/>
      <c r="S130" s="71">
        <f t="shared" si="147"/>
        <v>-0.1562538216</v>
      </c>
      <c r="T130" s="72">
        <f t="shared" si="6"/>
        <v>0</v>
      </c>
      <c r="U130" s="73" t="str">
        <f t="shared" si="136"/>
        <v/>
      </c>
      <c r="V130" s="73">
        <f t="shared" si="143"/>
        <v>12473.72881</v>
      </c>
      <c r="W130" s="73">
        <f t="shared" si="9"/>
        <v>12473.72881</v>
      </c>
      <c r="X130" s="74">
        <f t="shared" si="10"/>
        <v>1</v>
      </c>
      <c r="Y130" s="73">
        <f t="shared" si="11"/>
        <v>0</v>
      </c>
      <c r="Z130" s="73">
        <f t="shared" si="12"/>
        <v>10524.66102</v>
      </c>
      <c r="AA130" s="73">
        <f t="shared" si="13"/>
        <v>10524.66102</v>
      </c>
      <c r="AB130" s="74">
        <f t="shared" si="14"/>
        <v>1</v>
      </c>
      <c r="AC130" s="61" t="str">
        <f t="shared" si="15"/>
        <v>5</v>
      </c>
      <c r="AD130" s="71" t="str">
        <f t="shared" si="16"/>
        <v>#DIV/0!</v>
      </c>
      <c r="AE130" s="61"/>
      <c r="AF130" s="61"/>
      <c r="AG130" s="71">
        <f t="array" ref="AG130">IFERROR(xlookup(G130,'Old Master'!T:T,'Old Master'!V:V),N130)</f>
        <v>0.3250122289</v>
      </c>
      <c r="AH130" s="73">
        <f t="shared" si="17"/>
        <v>12419.1</v>
      </c>
      <c r="AI130" s="73">
        <f t="shared" si="18"/>
        <v>10524.66102</v>
      </c>
      <c r="AJ130" s="72">
        <f t="shared" si="19"/>
        <v>1</v>
      </c>
      <c r="AK130" s="61"/>
      <c r="AL130" s="71">
        <f t="array" ref="AL130">iferror(if(isblank(xlookup($G130,'Old Master'!$T:$T,'Old Master'!$W:$W)),AG130,xlookup($G130,'Old Master'!$T:$T,'Old Master'!$W:$W)),AG130)</f>
        <v>0.3250122289</v>
      </c>
      <c r="AM130" s="74">
        <f t="shared" si="20"/>
        <v>0.3261046796</v>
      </c>
      <c r="AN130" s="73">
        <f t="shared" si="148"/>
        <v>12399</v>
      </c>
    </row>
    <row r="131">
      <c r="A131" s="65" t="s">
        <v>3814</v>
      </c>
      <c r="B131" s="65">
        <f t="shared" si="1"/>
        <v>72</v>
      </c>
      <c r="C131" s="65" t="str">
        <f t="shared" si="2"/>
        <v>SC-MFMTTOPPER-K-75x74x2</v>
      </c>
      <c r="D131" s="65" t="s">
        <v>3816</v>
      </c>
      <c r="E131" s="65">
        <v>0.0</v>
      </c>
      <c r="F131" s="65">
        <v>0.0</v>
      </c>
      <c r="G131" s="65" t="s">
        <v>5132</v>
      </c>
      <c r="H131" s="65" t="s">
        <v>4730</v>
      </c>
      <c r="I131" s="65">
        <v>9499.0</v>
      </c>
      <c r="J131" s="66">
        <v>0.3010843246657543</v>
      </c>
      <c r="K131" s="65">
        <f t="shared" si="3"/>
        <v>6639</v>
      </c>
      <c r="L131" s="66">
        <v>0.15</v>
      </c>
      <c r="M131" s="65">
        <f t="shared" si="4"/>
        <v>8074</v>
      </c>
      <c r="N131" s="67">
        <f t="shared" si="140"/>
        <v>0.251079061</v>
      </c>
      <c r="O131" s="68">
        <v>7114.0</v>
      </c>
      <c r="P131" s="67">
        <f t="shared" ref="P131:P132" si="149">1-Q131/I131</f>
        <v>0.251079061</v>
      </c>
      <c r="Q131" s="69">
        <v>7114.0</v>
      </c>
      <c r="R131" s="70"/>
      <c r="S131" s="71">
        <f t="shared" ref="S131:S132" si="150">O131/K131-1</f>
        <v>0.07154691972</v>
      </c>
      <c r="T131" s="72">
        <f t="shared" si="6"/>
        <v>0</v>
      </c>
      <c r="U131" s="73" t="str">
        <f t="shared" si="136"/>
        <v/>
      </c>
      <c r="V131" s="73">
        <f>K131/1.18</f>
        <v>5626.271186</v>
      </c>
      <c r="W131" s="73">
        <f t="shared" si="9"/>
        <v>5626.271186</v>
      </c>
      <c r="X131" s="74">
        <f t="shared" si="10"/>
        <v>1</v>
      </c>
      <c r="Y131" s="73">
        <f t="shared" si="11"/>
        <v>0</v>
      </c>
      <c r="Z131" s="73">
        <f t="shared" si="12"/>
        <v>6028.813559</v>
      </c>
      <c r="AA131" s="73">
        <f t="shared" si="13"/>
        <v>6028.813559</v>
      </c>
      <c r="AB131" s="74">
        <f t="shared" si="14"/>
        <v>1</v>
      </c>
      <c r="AC131" s="61" t="str">
        <f t="shared" si="15"/>
        <v>2</v>
      </c>
      <c r="AD131" s="71" t="str">
        <f t="shared" si="16"/>
        <v>#DIV/0!</v>
      </c>
      <c r="AE131" s="61"/>
      <c r="AF131" s="61"/>
      <c r="AG131" s="71">
        <f t="array" ref="AG131">IFERROR(xlookup(G131,'Old Master'!T:T,'Old Master'!V:V),N131)</f>
        <v>0.251079061</v>
      </c>
      <c r="AH131" s="73">
        <f t="shared" si="17"/>
        <v>7114</v>
      </c>
      <c r="AI131" s="73">
        <f t="shared" si="18"/>
        <v>6028.813559</v>
      </c>
      <c r="AJ131" s="72">
        <f t="shared" si="19"/>
        <v>1</v>
      </c>
      <c r="AK131" s="61"/>
      <c r="AL131" s="71">
        <f t="array" ref="AL131">iferror(if(isblank(xlookup($G131,'Old Master'!$T:$T,'Old Master'!$W:$W)),AG131,xlookup($G131,'Old Master'!$T:$T,'Old Master'!$W:$W)),AG131)</f>
        <v>0.251079061</v>
      </c>
      <c r="AM131" s="74">
        <f t="shared" si="20"/>
        <v>0.251079061</v>
      </c>
      <c r="AN131" s="73">
        <f>O131</f>
        <v>7114</v>
      </c>
    </row>
    <row r="132">
      <c r="A132" s="65" t="s">
        <v>2470</v>
      </c>
      <c r="B132" s="65" t="str">
        <f t="shared" si="1"/>
        <v>#VALUE!</v>
      </c>
      <c r="C132" s="65" t="str">
        <f t="shared" si="2"/>
        <v>#VALUE!</v>
      </c>
      <c r="D132" s="65" t="s">
        <v>2472</v>
      </c>
      <c r="E132" s="65" t="s">
        <v>2473</v>
      </c>
      <c r="F132" s="65" t="s">
        <v>2474</v>
      </c>
      <c r="G132" s="65" t="s">
        <v>5084</v>
      </c>
      <c r="H132" s="65" t="s">
        <v>1145</v>
      </c>
      <c r="I132" s="65">
        <v>2989.0</v>
      </c>
      <c r="J132" s="66">
        <v>0.3312144529943125</v>
      </c>
      <c r="K132" s="65">
        <f t="shared" si="3"/>
        <v>1999</v>
      </c>
      <c r="L132" s="66">
        <v>0.3312144529943125</v>
      </c>
      <c r="M132" s="65">
        <f t="shared" si="4"/>
        <v>1999</v>
      </c>
      <c r="N132" s="77">
        <f t="shared" si="140"/>
        <v>0.331214453</v>
      </c>
      <c r="O132" s="78">
        <v>1999.0</v>
      </c>
      <c r="P132" s="67">
        <f t="shared" si="149"/>
        <v>0.331214453</v>
      </c>
      <c r="Q132" s="79">
        <v>1999.0</v>
      </c>
      <c r="R132" s="70"/>
      <c r="S132" s="71">
        <f t="shared" si="150"/>
        <v>0</v>
      </c>
      <c r="T132" s="72">
        <f t="shared" si="6"/>
        <v>0</v>
      </c>
      <c r="U132" s="73" t="str">
        <f t="shared" si="136"/>
        <v/>
      </c>
      <c r="V132" s="73">
        <f t="shared" ref="V132:V144" si="151">M132/1.18</f>
        <v>1694.067797</v>
      </c>
      <c r="W132" s="73">
        <f t="shared" si="9"/>
        <v>1694.067797</v>
      </c>
      <c r="X132" s="74">
        <f t="shared" si="10"/>
        <v>1</v>
      </c>
      <c r="Y132" s="73">
        <f t="shared" si="11"/>
        <v>0</v>
      </c>
      <c r="Z132" s="73">
        <f t="shared" si="12"/>
        <v>1694.067797</v>
      </c>
      <c r="AA132" s="73">
        <f t="shared" si="13"/>
        <v>1694.067797</v>
      </c>
      <c r="AB132" s="74">
        <f t="shared" si="14"/>
        <v>1</v>
      </c>
      <c r="AC132" s="61" t="str">
        <f t="shared" si="15"/>
        <v>6</v>
      </c>
      <c r="AD132" s="71" t="str">
        <f t="shared" si="16"/>
        <v>#DIV/0!</v>
      </c>
      <c r="AE132" s="61"/>
      <c r="AF132" s="61"/>
      <c r="AG132" s="71">
        <f t="array" ref="AG132">IFERROR(xlookup(G132,'Old Master'!T:T,'Old Master'!V:V),N132)</f>
        <v>0.331214453</v>
      </c>
      <c r="AH132" s="73">
        <f t="shared" si="17"/>
        <v>1999</v>
      </c>
      <c r="AI132" s="73">
        <f t="shared" si="18"/>
        <v>1694.067797</v>
      </c>
      <c r="AJ132" s="72">
        <f t="shared" si="19"/>
        <v>1</v>
      </c>
      <c r="AK132" s="61"/>
      <c r="AL132" s="71">
        <f>(I132-AN132)/I132</f>
        <v>0.331214453</v>
      </c>
      <c r="AM132" s="74">
        <f t="shared" si="20"/>
        <v>0.331214453</v>
      </c>
      <c r="AN132" s="73">
        <v>1999.0</v>
      </c>
    </row>
    <row r="133">
      <c r="A133" s="65" t="s">
        <v>5341</v>
      </c>
      <c r="B133" s="65">
        <f t="shared" si="1"/>
        <v>72</v>
      </c>
      <c r="C133" s="65" t="str">
        <f t="shared" si="2"/>
        <v>SC-LTx-ORTHO-K-75x74x6</v>
      </c>
      <c r="D133" s="65" t="s">
        <v>4203</v>
      </c>
      <c r="E133" s="65">
        <v>0.0</v>
      </c>
      <c r="F133" s="65" t="s">
        <v>4204</v>
      </c>
      <c r="G133" s="65" t="s">
        <v>5118</v>
      </c>
      <c r="H133" s="65" t="s">
        <v>52</v>
      </c>
      <c r="I133" s="81">
        <v>23299.0</v>
      </c>
      <c r="J133" s="66">
        <v>0.23</v>
      </c>
      <c r="K133" s="81">
        <f t="shared" si="3"/>
        <v>17940</v>
      </c>
      <c r="L133" s="66">
        <v>0.2</v>
      </c>
      <c r="M133" s="81">
        <f t="shared" si="4"/>
        <v>18639</v>
      </c>
      <c r="N133" s="67">
        <f t="shared" si="140"/>
        <v>0.3240439504</v>
      </c>
      <c r="O133" s="68">
        <v>15749.1</v>
      </c>
      <c r="P133" s="75">
        <v>0.1</v>
      </c>
      <c r="Q133" s="68">
        <f t="shared" ref="Q133:Q134" si="152">I133*(1-P133)</f>
        <v>20969.1</v>
      </c>
      <c r="R133" s="70"/>
      <c r="S133" s="71">
        <f t="shared" ref="S133:S136" si="153">O133/M133-1</f>
        <v>-0.1550458716</v>
      </c>
      <c r="T133" s="72">
        <f t="shared" si="6"/>
        <v>0</v>
      </c>
      <c r="U133" s="73" t="str">
        <f t="shared" si="136"/>
        <v/>
      </c>
      <c r="V133" s="73">
        <f t="shared" si="151"/>
        <v>15795.76271</v>
      </c>
      <c r="W133" s="73">
        <f t="shared" si="9"/>
        <v>15795.76271</v>
      </c>
      <c r="X133" s="74">
        <f t="shared" si="10"/>
        <v>1</v>
      </c>
      <c r="Y133" s="73">
        <f t="shared" si="11"/>
        <v>0</v>
      </c>
      <c r="Z133" s="73">
        <f t="shared" si="12"/>
        <v>13346.69492</v>
      </c>
      <c r="AA133" s="73">
        <f t="shared" si="13"/>
        <v>13346.69492</v>
      </c>
      <c r="AB133" s="74">
        <f t="shared" si="14"/>
        <v>1</v>
      </c>
      <c r="AC133" s="61" t="str">
        <f t="shared" si="15"/>
        <v>6</v>
      </c>
      <c r="AD133" s="71" t="str">
        <f t="shared" si="16"/>
        <v>#DIV/0!</v>
      </c>
      <c r="AE133" s="61"/>
      <c r="AF133" s="61"/>
      <c r="AG133" s="71">
        <f t="array" ref="AG133">IFERROR(xlookup(G133,'Old Master'!T:T,'Old Master'!V:V),N133)</f>
        <v>0.3240439504</v>
      </c>
      <c r="AH133" s="73">
        <f t="shared" si="17"/>
        <v>15749.1</v>
      </c>
      <c r="AI133" s="73">
        <f t="shared" si="18"/>
        <v>13346.69492</v>
      </c>
      <c r="AJ133" s="72">
        <f t="shared" si="19"/>
        <v>1</v>
      </c>
      <c r="AK133" s="61"/>
      <c r="AL133" s="71">
        <f t="array" ref="AL133">iferror(if(isblank(xlookup($G133,'Old Master'!$T:$T,'Old Master'!$W:$W)),AG133,xlookup($G133,'Old Master'!$T:$T,'Old Master'!$W:$W)),AG133)</f>
        <v>0.3240439504</v>
      </c>
      <c r="AM133" s="74">
        <f t="shared" si="20"/>
        <v>0.3261942573</v>
      </c>
      <c r="AN133" s="73">
        <f t="shared" ref="AN133:AN137" si="154">mround($I133*(1-AL133),100)-1</f>
        <v>15699</v>
      </c>
    </row>
    <row r="134">
      <c r="A134" s="65" t="s">
        <v>5342</v>
      </c>
      <c r="B134" s="65">
        <f t="shared" si="1"/>
        <v>72</v>
      </c>
      <c r="C134" s="65" t="str">
        <f t="shared" si="2"/>
        <v>SC-LTx-ORTHO-K-75x74x8</v>
      </c>
      <c r="D134" s="65" t="s">
        <v>4231</v>
      </c>
      <c r="E134" s="65">
        <v>0.0</v>
      </c>
      <c r="F134" s="65" t="s">
        <v>4232</v>
      </c>
      <c r="G134" s="65" t="s">
        <v>5118</v>
      </c>
      <c r="H134" s="65" t="s">
        <v>52</v>
      </c>
      <c r="I134" s="81">
        <v>27599.0</v>
      </c>
      <c r="J134" s="66">
        <v>0.23</v>
      </c>
      <c r="K134" s="81">
        <f t="shared" si="3"/>
        <v>21251</v>
      </c>
      <c r="L134" s="66">
        <v>0.2</v>
      </c>
      <c r="M134" s="81">
        <f t="shared" si="4"/>
        <v>22079</v>
      </c>
      <c r="N134" s="67">
        <f t="shared" si="140"/>
        <v>0.3250081525</v>
      </c>
      <c r="O134" s="68">
        <v>18629.100000000002</v>
      </c>
      <c r="P134" s="75">
        <v>0.1</v>
      </c>
      <c r="Q134" s="68">
        <f t="shared" si="152"/>
        <v>24839.1</v>
      </c>
      <c r="R134" s="70"/>
      <c r="S134" s="71">
        <f t="shared" si="153"/>
        <v>-0.1562525477</v>
      </c>
      <c r="T134" s="72">
        <f t="shared" si="6"/>
        <v>0</v>
      </c>
      <c r="U134" s="73" t="str">
        <f t="shared" si="136"/>
        <v/>
      </c>
      <c r="V134" s="73">
        <f t="shared" si="151"/>
        <v>18711.01695</v>
      </c>
      <c r="W134" s="73">
        <f t="shared" si="9"/>
        <v>18711.01695</v>
      </c>
      <c r="X134" s="74">
        <f t="shared" si="10"/>
        <v>1</v>
      </c>
      <c r="Y134" s="73">
        <f t="shared" si="11"/>
        <v>0</v>
      </c>
      <c r="Z134" s="73">
        <f t="shared" si="12"/>
        <v>15787.37288</v>
      </c>
      <c r="AA134" s="73">
        <f t="shared" si="13"/>
        <v>15787.37288</v>
      </c>
      <c r="AB134" s="74">
        <f t="shared" si="14"/>
        <v>1</v>
      </c>
      <c r="AC134" s="61" t="str">
        <f t="shared" si="15"/>
        <v>8</v>
      </c>
      <c r="AD134" s="71" t="str">
        <f t="shared" si="16"/>
        <v>#DIV/0!</v>
      </c>
      <c r="AE134" s="61"/>
      <c r="AF134" s="61"/>
      <c r="AG134" s="71">
        <f t="array" ref="AG134">IFERROR(xlookup(G134,'Old Master'!T:T,'Old Master'!V:V),N134)</f>
        <v>0.3250081525</v>
      </c>
      <c r="AH134" s="73">
        <f t="shared" si="17"/>
        <v>18629.1</v>
      </c>
      <c r="AI134" s="73">
        <f t="shared" si="18"/>
        <v>15787.37288</v>
      </c>
      <c r="AJ134" s="72">
        <f t="shared" si="19"/>
        <v>1</v>
      </c>
      <c r="AK134" s="61"/>
      <c r="AL134" s="71">
        <f t="array" ref="AL134">iferror(if(isblank(xlookup($G134,'Old Master'!$T:$T,'Old Master'!$W:$W)),AG134,xlookup($G134,'Old Master'!$T:$T,'Old Master'!$W:$W)),AG134)</f>
        <v>0.3250081525</v>
      </c>
      <c r="AM134" s="74">
        <f t="shared" si="20"/>
        <v>0.3260987717</v>
      </c>
      <c r="AN134" s="73">
        <f t="shared" si="154"/>
        <v>18599</v>
      </c>
    </row>
    <row r="135">
      <c r="A135" s="65" t="s">
        <v>734</v>
      </c>
      <c r="B135" s="65">
        <f t="shared" si="1"/>
        <v>72</v>
      </c>
      <c r="C135" s="65" t="str">
        <f t="shared" si="2"/>
        <v>SC-ORIG-K-72x74x4</v>
      </c>
      <c r="D135" s="65" t="s">
        <v>736</v>
      </c>
      <c r="E135" s="65">
        <v>0.0</v>
      </c>
      <c r="F135" s="65" t="s">
        <v>737</v>
      </c>
      <c r="G135" s="65" t="s">
        <v>51</v>
      </c>
      <c r="H135" s="65" t="s">
        <v>52</v>
      </c>
      <c r="I135" s="65">
        <v>13549.0</v>
      </c>
      <c r="J135" s="66">
        <v>0.28</v>
      </c>
      <c r="K135" s="65">
        <f t="shared" si="3"/>
        <v>9755</v>
      </c>
      <c r="L135" s="66">
        <v>0.24</v>
      </c>
      <c r="M135" s="65">
        <f t="shared" si="4"/>
        <v>10297</v>
      </c>
      <c r="N135" s="67">
        <f t="shared" si="140"/>
        <v>0.1899771201</v>
      </c>
      <c r="O135" s="68">
        <v>10975.0</v>
      </c>
      <c r="P135" s="67">
        <f t="shared" ref="P135:P139" si="155">1-Q135/I135</f>
        <v>0.1899771201</v>
      </c>
      <c r="Q135" s="69">
        <v>10975.0</v>
      </c>
      <c r="R135" s="76"/>
      <c r="S135" s="72">
        <f t="shared" si="153"/>
        <v>0.06584442071</v>
      </c>
      <c r="T135" s="72">
        <f t="shared" si="6"/>
        <v>0</v>
      </c>
      <c r="U135" s="73" t="str">
        <f t="shared" si="136"/>
        <v/>
      </c>
      <c r="V135" s="73">
        <f t="shared" si="151"/>
        <v>8726.271186</v>
      </c>
      <c r="W135" s="73">
        <f t="shared" si="9"/>
        <v>8726.271186</v>
      </c>
      <c r="X135" s="74">
        <f t="shared" si="10"/>
        <v>1</v>
      </c>
      <c r="Y135" s="73">
        <f t="shared" si="11"/>
        <v>0</v>
      </c>
      <c r="Z135" s="73">
        <f t="shared" si="12"/>
        <v>9300.847458</v>
      </c>
      <c r="AA135" s="73">
        <f t="shared" si="13"/>
        <v>9300.847458</v>
      </c>
      <c r="AB135" s="74">
        <f t="shared" si="14"/>
        <v>1</v>
      </c>
      <c r="AC135" s="61" t="str">
        <f t="shared" si="15"/>
        <v>4</v>
      </c>
      <c r="AD135" s="71" t="str">
        <f t="shared" si="16"/>
        <v>#DIV/0!</v>
      </c>
      <c r="AE135" s="61"/>
      <c r="AF135" s="61"/>
      <c r="AG135" s="71">
        <f t="array" ref="AG135">IFERROR(xlookup(G135,'Old Master'!T:T,'Old Master'!V:V),N135)</f>
        <v>0.1899771201</v>
      </c>
      <c r="AH135" s="73">
        <f t="shared" si="17"/>
        <v>10975</v>
      </c>
      <c r="AI135" s="73">
        <f t="shared" si="18"/>
        <v>9300.847458</v>
      </c>
      <c r="AJ135" s="72">
        <f t="shared" si="19"/>
        <v>1</v>
      </c>
      <c r="AK135" s="61"/>
      <c r="AL135" s="71">
        <f t="array" ref="AL135">iferror(if(isblank(xlookup($G135,'Old Master'!$T:$T,'Old Master'!$W:$W)),AG135,xlookup($G135,'Old Master'!$T:$T,'Old Master'!$W:$W)),AG135)</f>
        <v>0.1899771201</v>
      </c>
      <c r="AM135" s="74">
        <f t="shared" si="20"/>
        <v>0.1882057716</v>
      </c>
      <c r="AN135" s="73">
        <f t="shared" si="154"/>
        <v>10999</v>
      </c>
    </row>
    <row r="136">
      <c r="A136" s="65" t="s">
        <v>239</v>
      </c>
      <c r="B136" s="65">
        <f t="shared" si="1"/>
        <v>48</v>
      </c>
      <c r="C136" s="65" t="str">
        <f t="shared" si="2"/>
        <v>SC-ORIG-D-75x50x8</v>
      </c>
      <c r="D136" s="65" t="s">
        <v>241</v>
      </c>
      <c r="E136" s="65" t="s">
        <v>242</v>
      </c>
      <c r="F136" s="65" t="s">
        <v>243</v>
      </c>
      <c r="G136" s="65" t="s">
        <v>51</v>
      </c>
      <c r="H136" s="65" t="s">
        <v>52</v>
      </c>
      <c r="I136" s="65">
        <v>14899.0</v>
      </c>
      <c r="J136" s="66">
        <v>0.28</v>
      </c>
      <c r="K136" s="65">
        <f t="shared" si="3"/>
        <v>10727</v>
      </c>
      <c r="L136" s="66">
        <v>0.24</v>
      </c>
      <c r="M136" s="65">
        <f t="shared" si="4"/>
        <v>11323</v>
      </c>
      <c r="N136" s="67">
        <f t="shared" si="140"/>
        <v>0.1900127525</v>
      </c>
      <c r="O136" s="68">
        <v>12068.0</v>
      </c>
      <c r="P136" s="67">
        <f t="shared" si="155"/>
        <v>0.1900127525</v>
      </c>
      <c r="Q136" s="69">
        <v>12068.0</v>
      </c>
      <c r="R136" s="76"/>
      <c r="S136" s="72">
        <f t="shared" si="153"/>
        <v>0.06579528394</v>
      </c>
      <c r="T136" s="72">
        <f t="shared" si="6"/>
        <v>0</v>
      </c>
      <c r="U136" s="73" t="str">
        <f t="shared" si="136"/>
        <v/>
      </c>
      <c r="V136" s="73">
        <f t="shared" si="151"/>
        <v>9595.762712</v>
      </c>
      <c r="W136" s="73">
        <f t="shared" si="9"/>
        <v>9595.762712</v>
      </c>
      <c r="X136" s="74">
        <f t="shared" si="10"/>
        <v>1</v>
      </c>
      <c r="Y136" s="73">
        <f t="shared" si="11"/>
        <v>0</v>
      </c>
      <c r="Z136" s="73">
        <f t="shared" si="12"/>
        <v>10227.11864</v>
      </c>
      <c r="AA136" s="73">
        <f t="shared" si="13"/>
        <v>10227.11864</v>
      </c>
      <c r="AB136" s="74">
        <f t="shared" si="14"/>
        <v>1</v>
      </c>
      <c r="AC136" s="61" t="str">
        <f t="shared" si="15"/>
        <v>8</v>
      </c>
      <c r="AD136" s="71" t="str">
        <f t="shared" si="16"/>
        <v>#DIV/0!</v>
      </c>
      <c r="AE136" s="61"/>
      <c r="AF136" s="61"/>
      <c r="AG136" s="71">
        <f t="array" ref="AG136">IFERROR(xlookup(G136,'Old Master'!T:T,'Old Master'!V:V),N136)</f>
        <v>0.1900127525</v>
      </c>
      <c r="AH136" s="73">
        <f t="shared" si="17"/>
        <v>12068</v>
      </c>
      <c r="AI136" s="73">
        <f t="shared" si="18"/>
        <v>10227.11864</v>
      </c>
      <c r="AJ136" s="72">
        <f t="shared" si="19"/>
        <v>1</v>
      </c>
      <c r="AK136" s="83"/>
      <c r="AL136" s="71">
        <f t="array" ref="AL136">iferror(if(isblank(xlookup($G136,'Old Master'!$T:$T,'Old Master'!$W:$W)),AG136,xlookup($G136,'Old Master'!$T:$T,'Old Master'!$W:$W)),AG136)</f>
        <v>0.1900127525</v>
      </c>
      <c r="AM136" s="74">
        <f t="shared" si="20"/>
        <v>0.187932076</v>
      </c>
      <c r="AN136" s="73">
        <f t="shared" si="154"/>
        <v>12099</v>
      </c>
    </row>
    <row r="137">
      <c r="A137" s="65" t="s">
        <v>3123</v>
      </c>
      <c r="B137" s="65" t="str">
        <f t="shared" si="1"/>
        <v>#VALUE!</v>
      </c>
      <c r="C137" s="65" t="str">
        <f t="shared" si="2"/>
        <v>#VALUE!</v>
      </c>
      <c r="D137" s="65" t="s">
        <v>3125</v>
      </c>
      <c r="E137" s="65" t="s">
        <v>3127</v>
      </c>
      <c r="F137" s="65" t="s">
        <v>3128</v>
      </c>
      <c r="G137" s="65" t="s">
        <v>5087</v>
      </c>
      <c r="H137" s="65" t="s">
        <v>4730</v>
      </c>
      <c r="I137" s="65">
        <v>2489.0</v>
      </c>
      <c r="J137" s="66">
        <v>0.2571313780634793</v>
      </c>
      <c r="K137" s="65">
        <f t="shared" si="3"/>
        <v>1849</v>
      </c>
      <c r="L137" s="66">
        <v>0.15</v>
      </c>
      <c r="M137" s="65">
        <f t="shared" si="4"/>
        <v>2116</v>
      </c>
      <c r="N137" s="67">
        <f t="shared" si="140"/>
        <v>0.1570912013</v>
      </c>
      <c r="O137" s="68">
        <v>2098.0</v>
      </c>
      <c r="P137" s="67">
        <f t="shared" si="155"/>
        <v>0.1570912013</v>
      </c>
      <c r="Q137" s="69">
        <v>2098.0</v>
      </c>
      <c r="R137" s="70"/>
      <c r="S137" s="71">
        <f t="shared" ref="S137:S138" si="156">O137/K137-1</f>
        <v>0.1346673878</v>
      </c>
      <c r="T137" s="72">
        <f t="shared" si="6"/>
        <v>0</v>
      </c>
      <c r="U137" s="73" t="str">
        <f t="shared" si="136"/>
        <v/>
      </c>
      <c r="V137" s="73">
        <f t="shared" si="151"/>
        <v>1793.220339</v>
      </c>
      <c r="W137" s="73">
        <f t="shared" si="9"/>
        <v>1793.220339</v>
      </c>
      <c r="X137" s="74">
        <f t="shared" si="10"/>
        <v>1</v>
      </c>
      <c r="Y137" s="73">
        <f t="shared" si="11"/>
        <v>0</v>
      </c>
      <c r="Z137" s="73">
        <f t="shared" si="12"/>
        <v>1777.966102</v>
      </c>
      <c r="AA137" s="73">
        <f t="shared" si="13"/>
        <v>1777.966102</v>
      </c>
      <c r="AB137" s="74">
        <f t="shared" si="14"/>
        <v>1</v>
      </c>
      <c r="AC137" s="61" t="str">
        <f t="shared" si="15"/>
        <v>0</v>
      </c>
      <c r="AD137" s="71" t="str">
        <f t="shared" si="16"/>
        <v>#DIV/0!</v>
      </c>
      <c r="AE137" s="61"/>
      <c r="AF137" s="61"/>
      <c r="AG137" s="71">
        <f t="array" ref="AG137">IFERROR(xlookup(G137,'Old Master'!T:T,'Old Master'!V:V),N137)</f>
        <v>0.1570912013</v>
      </c>
      <c r="AH137" s="73">
        <f t="shared" si="17"/>
        <v>2098</v>
      </c>
      <c r="AI137" s="73">
        <f t="shared" si="18"/>
        <v>1777.966102</v>
      </c>
      <c r="AJ137" s="72">
        <f t="shared" si="19"/>
        <v>1</v>
      </c>
      <c r="AK137" s="83"/>
      <c r="AL137" s="71">
        <f t="array" ref="AL137">iferror(if(isblank(xlookup($G137,'Old Master'!$T:$T,'Old Master'!$W:$W)),AG137,xlookup($G137,'Old Master'!$T:$T,'Old Master'!$W:$W)),AG137)</f>
        <v>0.1570912013</v>
      </c>
      <c r="AM137" s="74">
        <f t="shared" si="20"/>
        <v>0.1566894335</v>
      </c>
      <c r="AN137" s="73">
        <f t="shared" si="154"/>
        <v>2099</v>
      </c>
    </row>
    <row r="138">
      <c r="A138" s="65" t="s">
        <v>2411</v>
      </c>
      <c r="B138" s="65" t="str">
        <f t="shared" si="1"/>
        <v>#VALUE!</v>
      </c>
      <c r="C138" s="65" t="str">
        <f t="shared" si="2"/>
        <v>#VALUE!</v>
      </c>
      <c r="D138" s="65" t="s">
        <v>2412</v>
      </c>
      <c r="E138" s="65" t="s">
        <v>2413</v>
      </c>
      <c r="F138" s="65">
        <v>0.0</v>
      </c>
      <c r="G138" s="65" t="s">
        <v>5074</v>
      </c>
      <c r="H138" s="65" t="s">
        <v>1145</v>
      </c>
      <c r="I138" s="65">
        <v>1489.0</v>
      </c>
      <c r="J138" s="66">
        <v>0.3290799194089993</v>
      </c>
      <c r="K138" s="65">
        <f t="shared" si="3"/>
        <v>999</v>
      </c>
      <c r="L138" s="66">
        <v>0.2</v>
      </c>
      <c r="M138" s="65">
        <f t="shared" si="4"/>
        <v>1191</v>
      </c>
      <c r="N138" s="77">
        <f t="shared" si="140"/>
        <v>0.2283411686</v>
      </c>
      <c r="O138" s="68">
        <v>1149.0</v>
      </c>
      <c r="P138" s="67">
        <f t="shared" si="155"/>
        <v>0.2283411686</v>
      </c>
      <c r="Q138" s="69">
        <v>1149.0</v>
      </c>
      <c r="R138" s="70"/>
      <c r="S138" s="71">
        <f t="shared" si="156"/>
        <v>0.1501501502</v>
      </c>
      <c r="T138" s="72">
        <f t="shared" si="6"/>
        <v>0</v>
      </c>
      <c r="U138" s="73" t="str">
        <f t="shared" si="136"/>
        <v/>
      </c>
      <c r="V138" s="73">
        <f t="shared" si="151"/>
        <v>1009.322034</v>
      </c>
      <c r="W138" s="73">
        <f t="shared" si="9"/>
        <v>1009.322034</v>
      </c>
      <c r="X138" s="74">
        <f t="shared" si="10"/>
        <v>1</v>
      </c>
      <c r="Y138" s="73">
        <f t="shared" si="11"/>
        <v>0</v>
      </c>
      <c r="Z138" s="73">
        <f t="shared" si="12"/>
        <v>973.7288136</v>
      </c>
      <c r="AA138" s="73">
        <f t="shared" si="13"/>
        <v>973.7288136</v>
      </c>
      <c r="AB138" s="74">
        <f t="shared" si="14"/>
        <v>1</v>
      </c>
      <c r="AC138" s="61" t="str">
        <f t="shared" si="15"/>
        <v>0</v>
      </c>
      <c r="AD138" s="71" t="str">
        <f t="shared" si="16"/>
        <v>#DIV/0!</v>
      </c>
      <c r="AE138" s="61"/>
      <c r="AF138" s="61"/>
      <c r="AG138" s="71">
        <f t="array" ref="AG138">IFERROR(xlookup(G138,'Old Master'!T:T,'Old Master'!V:V),N138)</f>
        <v>0.2283411686</v>
      </c>
      <c r="AH138" s="73">
        <f t="shared" si="17"/>
        <v>1149</v>
      </c>
      <c r="AI138" s="73">
        <f t="shared" si="18"/>
        <v>973.7288136</v>
      </c>
      <c r="AJ138" s="72">
        <f t="shared" si="19"/>
        <v>1</v>
      </c>
      <c r="AK138" s="83"/>
      <c r="AL138" s="71">
        <f>(I138-AN138)/I138</f>
        <v>0.1276024177</v>
      </c>
      <c r="AM138" s="74">
        <f t="shared" si="20"/>
        <v>0.1276024177</v>
      </c>
      <c r="AN138" s="73">
        <v>1299.0</v>
      </c>
    </row>
    <row r="139">
      <c r="A139" s="65" t="s">
        <v>2118</v>
      </c>
      <c r="B139" s="65">
        <f t="shared" si="1"/>
        <v>72</v>
      </c>
      <c r="C139" s="65" t="str">
        <f t="shared" si="2"/>
        <v>SC-CLD-SPR-K-75x74x8</v>
      </c>
      <c r="D139" s="65" t="s">
        <v>2120</v>
      </c>
      <c r="E139" s="65" t="s">
        <v>2121</v>
      </c>
      <c r="F139" s="65" t="s">
        <v>2122</v>
      </c>
      <c r="G139" s="65" t="s">
        <v>5138</v>
      </c>
      <c r="H139" s="65" t="s">
        <v>52</v>
      </c>
      <c r="I139" s="65">
        <v>29999.0</v>
      </c>
      <c r="J139" s="66">
        <v>0.25</v>
      </c>
      <c r="K139" s="65">
        <f t="shared" si="3"/>
        <v>22499</v>
      </c>
      <c r="L139" s="66">
        <v>0.2</v>
      </c>
      <c r="M139" s="65">
        <f t="shared" si="4"/>
        <v>23999</v>
      </c>
      <c r="N139" s="67">
        <f t="shared" si="140"/>
        <v>0.1000033334</v>
      </c>
      <c r="O139" s="68">
        <v>26999.0</v>
      </c>
      <c r="P139" s="67">
        <f t="shared" si="155"/>
        <v>0.1000033334</v>
      </c>
      <c r="Q139" s="69">
        <v>26999.0</v>
      </c>
      <c r="R139" s="70"/>
      <c r="S139" s="71">
        <f t="shared" ref="S139:S144" si="157">O139/M139-1</f>
        <v>0.1250052086</v>
      </c>
      <c r="T139" s="72">
        <f t="shared" si="6"/>
        <v>0</v>
      </c>
      <c r="U139" s="73" t="str">
        <f t="shared" si="136"/>
        <v/>
      </c>
      <c r="V139" s="73">
        <f t="shared" si="151"/>
        <v>20338.13559</v>
      </c>
      <c r="W139" s="73">
        <f t="shared" si="9"/>
        <v>20338.13559</v>
      </c>
      <c r="X139" s="74">
        <f t="shared" si="10"/>
        <v>1</v>
      </c>
      <c r="Y139" s="73">
        <f t="shared" si="11"/>
        <v>0</v>
      </c>
      <c r="Z139" s="73">
        <f t="shared" si="12"/>
        <v>22880.50847</v>
      </c>
      <c r="AA139" s="73">
        <f t="shared" si="13"/>
        <v>22880.50847</v>
      </c>
      <c r="AB139" s="74">
        <f t="shared" si="14"/>
        <v>1</v>
      </c>
      <c r="AC139" s="61" t="str">
        <f t="shared" si="15"/>
        <v>8</v>
      </c>
      <c r="AD139" s="71" t="str">
        <f t="shared" si="16"/>
        <v>#DIV/0!</v>
      </c>
      <c r="AE139" s="61"/>
      <c r="AF139" s="61"/>
      <c r="AG139" s="71">
        <f t="array" ref="AG139">IFERROR(xlookup(G139,'Old Master'!T:T,'Old Master'!V:V),N139)</f>
        <v>0.1000033334</v>
      </c>
      <c r="AH139" s="73">
        <f t="shared" si="17"/>
        <v>26999</v>
      </c>
      <c r="AI139" s="73">
        <f t="shared" si="18"/>
        <v>22880.50847</v>
      </c>
      <c r="AJ139" s="72">
        <f t="shared" si="19"/>
        <v>1</v>
      </c>
      <c r="AK139" s="83"/>
      <c r="AL139" s="71">
        <f t="array" ref="AL139">iferror(if(isblank(xlookup($G139,'Old Master'!$T:$T,'Old Master'!$W:$W)),AG139,xlookup($G139,'Old Master'!$T:$T,'Old Master'!$W:$W)),AG139)</f>
        <v>0.1000033334</v>
      </c>
      <c r="AM139" s="74">
        <f t="shared" si="20"/>
        <v>0.1000033334</v>
      </c>
      <c r="AN139" s="73">
        <f t="shared" ref="AN139:AN144" si="158">mround($I139*(1-AL139),100)-1</f>
        <v>26999</v>
      </c>
    </row>
    <row r="140">
      <c r="A140" s="65" t="s">
        <v>817</v>
      </c>
      <c r="B140" s="65">
        <f t="shared" si="1"/>
        <v>36</v>
      </c>
      <c r="C140" s="65" t="str">
        <f t="shared" si="2"/>
        <v>SC-HYB-LATEX-S-75x38x6</v>
      </c>
      <c r="D140" s="65" t="s">
        <v>819</v>
      </c>
      <c r="E140" s="65" t="s">
        <v>820</v>
      </c>
      <c r="F140" s="65" t="s">
        <v>821</v>
      </c>
      <c r="G140" s="65" t="s">
        <v>5108</v>
      </c>
      <c r="H140" s="65" t="s">
        <v>52</v>
      </c>
      <c r="I140" s="65">
        <v>11499.0</v>
      </c>
      <c r="J140" s="66">
        <v>0.25</v>
      </c>
      <c r="K140" s="65">
        <f t="shared" si="3"/>
        <v>8624</v>
      </c>
      <c r="L140" s="66">
        <v>0.2</v>
      </c>
      <c r="M140" s="65">
        <f t="shared" si="4"/>
        <v>9199</v>
      </c>
      <c r="N140" s="75">
        <v>0.16</v>
      </c>
      <c r="O140" s="68">
        <f t="shared" ref="O140:O144" si="159">I140*(1-N140)</f>
        <v>9659.16</v>
      </c>
      <c r="P140" s="75">
        <v>0.13</v>
      </c>
      <c r="Q140" s="68">
        <f t="shared" ref="Q140:Q144" si="160">I140*(1-P140)</f>
        <v>10004.13</v>
      </c>
      <c r="R140" s="71">
        <f t="shared" ref="R140:R144" si="161">Q140/M140-1</f>
        <v>0.08752364387</v>
      </c>
      <c r="S140" s="71">
        <f t="shared" si="157"/>
        <v>0.05002282857</v>
      </c>
      <c r="T140" s="72">
        <f t="shared" si="6"/>
        <v>0</v>
      </c>
      <c r="U140" s="73" t="str">
        <f t="shared" si="136"/>
        <v/>
      </c>
      <c r="V140" s="73">
        <f t="shared" si="151"/>
        <v>7795.762712</v>
      </c>
      <c r="W140" s="73">
        <f t="shared" si="9"/>
        <v>7795.762712</v>
      </c>
      <c r="X140" s="74">
        <f t="shared" si="10"/>
        <v>1</v>
      </c>
      <c r="Y140" s="73">
        <f t="shared" si="11"/>
        <v>0</v>
      </c>
      <c r="Z140" s="73">
        <f t="shared" si="12"/>
        <v>8185.728814</v>
      </c>
      <c r="AA140" s="73">
        <f t="shared" si="13"/>
        <v>8185.728814</v>
      </c>
      <c r="AB140" s="74">
        <f t="shared" si="14"/>
        <v>1</v>
      </c>
      <c r="AC140" s="61" t="str">
        <f t="shared" si="15"/>
        <v>6</v>
      </c>
      <c r="AD140" s="71" t="str">
        <f t="shared" si="16"/>
        <v>#DIV/0!</v>
      </c>
      <c r="AE140" s="73">
        <f t="shared" ref="AE140:AE144" si="162">Q140/118%-Y140</f>
        <v>8478.076271</v>
      </c>
      <c r="AF140" s="74">
        <f t="shared" ref="AF140:AF144" si="163">AE140/(Q140/1.18)</f>
        <v>1</v>
      </c>
      <c r="AG140" s="71">
        <f t="array" ref="AG140">IFERROR(xlookup(G140,'Old Master'!T:T,'Old Master'!V:V),N140)</f>
        <v>0.16</v>
      </c>
      <c r="AH140" s="73">
        <f t="shared" si="17"/>
        <v>9659.16</v>
      </c>
      <c r="AI140" s="73">
        <f t="shared" si="18"/>
        <v>8185.728814</v>
      </c>
      <c r="AJ140" s="72">
        <f t="shared" si="19"/>
        <v>1</v>
      </c>
      <c r="AK140" s="83"/>
      <c r="AL140" s="71">
        <f t="array" ref="AL140">iferror(if(isblank(xlookup($G140,'Old Master'!$T:$T,'Old Master'!$W:$W)),AG140,xlookup($G140,'Old Master'!$T:$T,'Old Master'!$W:$W)),AG140)</f>
        <v>0.16</v>
      </c>
      <c r="AM140" s="74">
        <f t="shared" si="20"/>
        <v>0.1565353509</v>
      </c>
      <c r="AN140" s="73">
        <f t="shared" si="158"/>
        <v>9699</v>
      </c>
    </row>
    <row r="141">
      <c r="A141" s="65" t="s">
        <v>875</v>
      </c>
      <c r="B141" s="65">
        <f t="shared" si="1"/>
        <v>48</v>
      </c>
      <c r="C141" s="65" t="str">
        <f t="shared" si="2"/>
        <v>SC-HYB-LATEX-D-78x50x8</v>
      </c>
      <c r="D141" s="65" t="s">
        <v>877</v>
      </c>
      <c r="E141" s="65" t="s">
        <v>878</v>
      </c>
      <c r="F141" s="65" t="s">
        <v>879</v>
      </c>
      <c r="G141" s="65" t="s">
        <v>5108</v>
      </c>
      <c r="H141" s="65" t="s">
        <v>52</v>
      </c>
      <c r="I141" s="65">
        <v>16899.0</v>
      </c>
      <c r="J141" s="66">
        <v>0.25</v>
      </c>
      <c r="K141" s="65">
        <f t="shared" si="3"/>
        <v>12674</v>
      </c>
      <c r="L141" s="66">
        <v>0.2</v>
      </c>
      <c r="M141" s="65">
        <f t="shared" si="4"/>
        <v>13519</v>
      </c>
      <c r="N141" s="75">
        <v>0.16</v>
      </c>
      <c r="O141" s="68">
        <f t="shared" si="159"/>
        <v>14195.16</v>
      </c>
      <c r="P141" s="75">
        <v>0.13</v>
      </c>
      <c r="Q141" s="68">
        <f t="shared" si="160"/>
        <v>14702.13</v>
      </c>
      <c r="R141" s="71">
        <f t="shared" si="161"/>
        <v>0.08751608847</v>
      </c>
      <c r="S141" s="71">
        <f t="shared" si="157"/>
        <v>0.05001553369</v>
      </c>
      <c r="T141" s="72">
        <f t="shared" si="6"/>
        <v>0</v>
      </c>
      <c r="U141" s="73" t="str">
        <f t="shared" si="136"/>
        <v/>
      </c>
      <c r="V141" s="73">
        <f t="shared" si="151"/>
        <v>11456.77966</v>
      </c>
      <c r="W141" s="73">
        <f t="shared" si="9"/>
        <v>11456.77966</v>
      </c>
      <c r="X141" s="74">
        <f t="shared" si="10"/>
        <v>1</v>
      </c>
      <c r="Y141" s="73">
        <f t="shared" si="11"/>
        <v>0</v>
      </c>
      <c r="Z141" s="73">
        <f t="shared" si="12"/>
        <v>12029.79661</v>
      </c>
      <c r="AA141" s="73">
        <f t="shared" si="13"/>
        <v>12029.79661</v>
      </c>
      <c r="AB141" s="74">
        <f t="shared" si="14"/>
        <v>1</v>
      </c>
      <c r="AC141" s="61" t="str">
        <f t="shared" si="15"/>
        <v>8</v>
      </c>
      <c r="AD141" s="71" t="str">
        <f t="shared" si="16"/>
        <v>#DIV/0!</v>
      </c>
      <c r="AE141" s="73">
        <f t="shared" si="162"/>
        <v>12459.4322</v>
      </c>
      <c r="AF141" s="74">
        <f t="shared" si="163"/>
        <v>1</v>
      </c>
      <c r="AG141" s="71">
        <f t="array" ref="AG141">IFERROR(xlookup(G141,'Old Master'!T:T,'Old Master'!V:V),N141)</f>
        <v>0.16</v>
      </c>
      <c r="AH141" s="73">
        <f t="shared" si="17"/>
        <v>14195.16</v>
      </c>
      <c r="AI141" s="73">
        <f t="shared" si="18"/>
        <v>12029.79661</v>
      </c>
      <c r="AJ141" s="72">
        <f t="shared" si="19"/>
        <v>1</v>
      </c>
      <c r="AK141" s="83"/>
      <c r="AL141" s="71">
        <f t="array" ref="AL141">iferror(if(isblank(xlookup($G141,'Old Master'!$T:$T,'Old Master'!$W:$W)),AG141,xlookup($G141,'Old Master'!$T:$T,'Old Master'!$W:$W)),AG141)</f>
        <v>0.16</v>
      </c>
      <c r="AM141" s="74">
        <f t="shared" si="20"/>
        <v>0.1597727676</v>
      </c>
      <c r="AN141" s="73">
        <f t="shared" si="158"/>
        <v>14199</v>
      </c>
    </row>
    <row r="142">
      <c r="A142" s="65" t="s">
        <v>969</v>
      </c>
      <c r="B142" s="65">
        <f t="shared" si="1"/>
        <v>66</v>
      </c>
      <c r="C142" s="65" t="str">
        <f t="shared" si="2"/>
        <v>SC-HYB-LATEX-Q-78x68x6</v>
      </c>
      <c r="D142" s="65" t="s">
        <v>971</v>
      </c>
      <c r="E142" s="65" t="s">
        <v>972</v>
      </c>
      <c r="F142" s="65" t="s">
        <v>973</v>
      </c>
      <c r="G142" s="65" t="s">
        <v>5108</v>
      </c>
      <c r="H142" s="65" t="s">
        <v>52</v>
      </c>
      <c r="I142" s="65">
        <v>19999.0</v>
      </c>
      <c r="J142" s="66">
        <v>0.25</v>
      </c>
      <c r="K142" s="65">
        <f t="shared" si="3"/>
        <v>14999</v>
      </c>
      <c r="L142" s="66">
        <v>0.2</v>
      </c>
      <c r="M142" s="65">
        <f t="shared" si="4"/>
        <v>15999</v>
      </c>
      <c r="N142" s="75">
        <v>0.16</v>
      </c>
      <c r="O142" s="68">
        <f t="shared" si="159"/>
        <v>16799.16</v>
      </c>
      <c r="P142" s="75">
        <v>0.13</v>
      </c>
      <c r="Q142" s="68">
        <f t="shared" si="160"/>
        <v>17399.13</v>
      </c>
      <c r="R142" s="71">
        <f t="shared" si="161"/>
        <v>0.0875135946</v>
      </c>
      <c r="S142" s="71">
        <f t="shared" si="157"/>
        <v>0.05001312582</v>
      </c>
      <c r="T142" s="72">
        <f t="shared" si="6"/>
        <v>0</v>
      </c>
      <c r="U142" s="73" t="str">
        <f t="shared" si="136"/>
        <v/>
      </c>
      <c r="V142" s="73">
        <f t="shared" si="151"/>
        <v>13558.47458</v>
      </c>
      <c r="W142" s="73">
        <f t="shared" si="9"/>
        <v>13558.47458</v>
      </c>
      <c r="X142" s="74">
        <f t="shared" si="10"/>
        <v>1</v>
      </c>
      <c r="Y142" s="73">
        <f t="shared" si="11"/>
        <v>0</v>
      </c>
      <c r="Z142" s="73">
        <f t="shared" si="12"/>
        <v>14236.57627</v>
      </c>
      <c r="AA142" s="73">
        <f t="shared" si="13"/>
        <v>14236.57627</v>
      </c>
      <c r="AB142" s="74">
        <f t="shared" si="14"/>
        <v>1</v>
      </c>
      <c r="AC142" s="61" t="str">
        <f t="shared" si="15"/>
        <v>6</v>
      </c>
      <c r="AD142" s="71" t="str">
        <f t="shared" si="16"/>
        <v>#DIV/0!</v>
      </c>
      <c r="AE142" s="73">
        <f t="shared" si="162"/>
        <v>14745.02542</v>
      </c>
      <c r="AF142" s="74">
        <f t="shared" si="163"/>
        <v>1</v>
      </c>
      <c r="AG142" s="71">
        <f t="array" ref="AG142">IFERROR(xlookup(G142,'Old Master'!T:T,'Old Master'!V:V),N142)</f>
        <v>0.16</v>
      </c>
      <c r="AH142" s="73">
        <f t="shared" si="17"/>
        <v>16799.16</v>
      </c>
      <c r="AI142" s="73">
        <f t="shared" si="18"/>
        <v>14236.57627</v>
      </c>
      <c r="AJ142" s="72">
        <f t="shared" si="19"/>
        <v>1</v>
      </c>
      <c r="AK142" s="83"/>
      <c r="AL142" s="71">
        <f t="array" ref="AL142">iferror(if(isblank(xlookup($G142,'Old Master'!$T:$T,'Old Master'!$W:$W)),AG142,xlookup($G142,'Old Master'!$T:$T,'Old Master'!$W:$W)),AG142)</f>
        <v>0.16</v>
      </c>
      <c r="AM142" s="74">
        <f t="shared" si="20"/>
        <v>0.1600080004</v>
      </c>
      <c r="AN142" s="73">
        <f t="shared" si="158"/>
        <v>16799</v>
      </c>
    </row>
    <row r="143">
      <c r="A143" s="65" t="s">
        <v>1034</v>
      </c>
      <c r="B143" s="65">
        <f t="shared" si="1"/>
        <v>72</v>
      </c>
      <c r="C143" s="65" t="str">
        <f t="shared" si="2"/>
        <v>SC-HYB-LATEX-K-84x74x6</v>
      </c>
      <c r="D143" s="65" t="s">
        <v>1036</v>
      </c>
      <c r="E143" s="65">
        <v>0.0</v>
      </c>
      <c r="F143" s="65">
        <v>0.0</v>
      </c>
      <c r="G143" s="65" t="s">
        <v>5108</v>
      </c>
      <c r="H143" s="65" t="s">
        <v>52</v>
      </c>
      <c r="I143" s="65">
        <v>22999.0</v>
      </c>
      <c r="J143" s="66">
        <v>0.25</v>
      </c>
      <c r="K143" s="65">
        <f t="shared" si="3"/>
        <v>17249</v>
      </c>
      <c r="L143" s="66">
        <v>0.2</v>
      </c>
      <c r="M143" s="65">
        <f t="shared" si="4"/>
        <v>18399</v>
      </c>
      <c r="N143" s="75">
        <v>0.16</v>
      </c>
      <c r="O143" s="68">
        <f t="shared" si="159"/>
        <v>19319.16</v>
      </c>
      <c r="P143" s="75">
        <v>0.13</v>
      </c>
      <c r="Q143" s="68">
        <f t="shared" si="160"/>
        <v>20009.13</v>
      </c>
      <c r="R143" s="71">
        <f t="shared" si="161"/>
        <v>0.08751182129</v>
      </c>
      <c r="S143" s="71">
        <f t="shared" si="157"/>
        <v>0.05001141366</v>
      </c>
      <c r="T143" s="72">
        <f t="shared" si="6"/>
        <v>0</v>
      </c>
      <c r="U143" s="73" t="str">
        <f t="shared" si="136"/>
        <v/>
      </c>
      <c r="V143" s="73">
        <f t="shared" si="151"/>
        <v>15592.37288</v>
      </c>
      <c r="W143" s="73">
        <f t="shared" si="9"/>
        <v>15592.37288</v>
      </c>
      <c r="X143" s="74">
        <f t="shared" si="10"/>
        <v>1</v>
      </c>
      <c r="Y143" s="73">
        <f t="shared" si="11"/>
        <v>0</v>
      </c>
      <c r="Z143" s="73">
        <f t="shared" si="12"/>
        <v>16372.16949</v>
      </c>
      <c r="AA143" s="73">
        <f t="shared" si="13"/>
        <v>16372.16949</v>
      </c>
      <c r="AB143" s="74">
        <f t="shared" si="14"/>
        <v>1</v>
      </c>
      <c r="AC143" s="61" t="str">
        <f t="shared" si="15"/>
        <v>6</v>
      </c>
      <c r="AD143" s="71" t="str">
        <f t="shared" si="16"/>
        <v>#DIV/0!</v>
      </c>
      <c r="AE143" s="73">
        <f t="shared" si="162"/>
        <v>16956.88983</v>
      </c>
      <c r="AF143" s="74">
        <f t="shared" si="163"/>
        <v>1</v>
      </c>
      <c r="AG143" s="71">
        <f t="array" ref="AG143">IFERROR(xlookup(G143,'Old Master'!T:T,'Old Master'!V:V),N143)</f>
        <v>0.16</v>
      </c>
      <c r="AH143" s="73">
        <f t="shared" si="17"/>
        <v>19319.16</v>
      </c>
      <c r="AI143" s="73">
        <f t="shared" si="18"/>
        <v>16372.16949</v>
      </c>
      <c r="AJ143" s="72">
        <f t="shared" si="19"/>
        <v>1</v>
      </c>
      <c r="AK143" s="83"/>
      <c r="AL143" s="71">
        <f t="array" ref="AL143">iferror(if(isblank(xlookup($G143,'Old Master'!$T:$T,'Old Master'!$W:$W)),AG143,xlookup($G143,'Old Master'!$T:$T,'Old Master'!$W:$W)),AG143)</f>
        <v>0.16</v>
      </c>
      <c r="AM143" s="74">
        <f t="shared" si="20"/>
        <v>0.1608765599</v>
      </c>
      <c r="AN143" s="73">
        <f t="shared" si="158"/>
        <v>19299</v>
      </c>
    </row>
    <row r="144">
      <c r="A144" s="65" t="s">
        <v>1078</v>
      </c>
      <c r="B144" s="65">
        <f t="shared" si="1"/>
        <v>72</v>
      </c>
      <c r="C144" s="65" t="str">
        <f t="shared" si="2"/>
        <v>SC-HYB-LATEX-K-84x74x8</v>
      </c>
      <c r="D144" s="65" t="s">
        <v>1080</v>
      </c>
      <c r="E144" s="65">
        <v>0.0</v>
      </c>
      <c r="F144" s="65">
        <v>0.0</v>
      </c>
      <c r="G144" s="65" t="s">
        <v>5108</v>
      </c>
      <c r="H144" s="65" t="s">
        <v>52</v>
      </c>
      <c r="I144" s="65">
        <v>26999.0</v>
      </c>
      <c r="J144" s="66">
        <v>0.25</v>
      </c>
      <c r="K144" s="65">
        <f t="shared" si="3"/>
        <v>20249</v>
      </c>
      <c r="L144" s="66">
        <v>0.2</v>
      </c>
      <c r="M144" s="65">
        <f t="shared" si="4"/>
        <v>21599</v>
      </c>
      <c r="N144" s="75">
        <v>0.16</v>
      </c>
      <c r="O144" s="68">
        <f t="shared" si="159"/>
        <v>22679.16</v>
      </c>
      <c r="P144" s="75">
        <v>0.13</v>
      </c>
      <c r="Q144" s="68">
        <f t="shared" si="160"/>
        <v>23489.13</v>
      </c>
      <c r="R144" s="71">
        <f t="shared" si="161"/>
        <v>0.08751006991</v>
      </c>
      <c r="S144" s="71">
        <f t="shared" si="157"/>
        <v>0.05000972267</v>
      </c>
      <c r="T144" s="72">
        <f t="shared" si="6"/>
        <v>0</v>
      </c>
      <c r="U144" s="73" t="str">
        <f t="shared" si="136"/>
        <v/>
      </c>
      <c r="V144" s="73">
        <f t="shared" si="151"/>
        <v>18304.23729</v>
      </c>
      <c r="W144" s="73">
        <f t="shared" si="9"/>
        <v>18304.23729</v>
      </c>
      <c r="X144" s="74">
        <f t="shared" si="10"/>
        <v>1</v>
      </c>
      <c r="Y144" s="73">
        <f t="shared" si="11"/>
        <v>0</v>
      </c>
      <c r="Z144" s="73">
        <f t="shared" si="12"/>
        <v>19219.62712</v>
      </c>
      <c r="AA144" s="73">
        <f t="shared" si="13"/>
        <v>19219.62712</v>
      </c>
      <c r="AB144" s="74">
        <f t="shared" si="14"/>
        <v>1</v>
      </c>
      <c r="AC144" s="61" t="str">
        <f t="shared" si="15"/>
        <v>8</v>
      </c>
      <c r="AD144" s="71" t="str">
        <f t="shared" si="16"/>
        <v>#DIV/0!</v>
      </c>
      <c r="AE144" s="73">
        <f t="shared" si="162"/>
        <v>19906.04237</v>
      </c>
      <c r="AF144" s="74">
        <f t="shared" si="163"/>
        <v>1</v>
      </c>
      <c r="AG144" s="71">
        <f t="array" ref="AG144">IFERROR(xlookup(G144,'Old Master'!T:T,'Old Master'!V:V),N144)</f>
        <v>0.16</v>
      </c>
      <c r="AH144" s="73">
        <f t="shared" si="17"/>
        <v>22679.16</v>
      </c>
      <c r="AI144" s="73">
        <f t="shared" si="18"/>
        <v>19219.62712</v>
      </c>
      <c r="AJ144" s="72">
        <f t="shared" si="19"/>
        <v>1</v>
      </c>
      <c r="AK144" s="83"/>
      <c r="AL144" s="71">
        <f t="array" ref="AL144">iferror(if(isblank(xlookup($G144,'Old Master'!$T:$T,'Old Master'!$W:$W)),AG144,xlookup($G144,'Old Master'!$T:$T,'Old Master'!$W:$W)),AG144)</f>
        <v>0.16</v>
      </c>
      <c r="AM144" s="74">
        <f t="shared" si="20"/>
        <v>0.159265158</v>
      </c>
      <c r="AN144" s="73">
        <f t="shared" si="158"/>
        <v>22699</v>
      </c>
    </row>
    <row r="145">
      <c r="A145" s="65" t="s">
        <v>2162</v>
      </c>
      <c r="B145" s="65" t="str">
        <f t="shared" si="1"/>
        <v>#VALUE!</v>
      </c>
      <c r="C145" s="65" t="str">
        <f t="shared" si="2"/>
        <v>#VALUE!</v>
      </c>
      <c r="D145" s="65" t="s">
        <v>2164</v>
      </c>
      <c r="E145" s="65">
        <v>0.0</v>
      </c>
      <c r="F145" s="65">
        <v>0.0</v>
      </c>
      <c r="G145" s="65" t="s">
        <v>5103</v>
      </c>
      <c r="H145" s="65" t="s">
        <v>4730</v>
      </c>
      <c r="I145" s="65">
        <v>6499.0</v>
      </c>
      <c r="J145" s="66">
        <v>0.3</v>
      </c>
      <c r="K145" s="65">
        <f t="shared" si="3"/>
        <v>4549</v>
      </c>
      <c r="L145" s="66">
        <v>0.3</v>
      </c>
      <c r="M145" s="65">
        <f t="shared" si="4"/>
        <v>4549</v>
      </c>
      <c r="N145" s="67">
        <f t="shared" ref="N145:N164" si="164">1-O145/I145</f>
        <v>0.2</v>
      </c>
      <c r="O145" s="78">
        <v>5199.200000000001</v>
      </c>
      <c r="P145" s="67">
        <f t="shared" ref="P145:P147" si="165">1-Q145/I145</f>
        <v>0.2</v>
      </c>
      <c r="Q145" s="82">
        <v>5199.200000000001</v>
      </c>
      <c r="R145" s="70"/>
      <c r="S145" s="71">
        <f>O145/K145-1</f>
        <v>0.1429325126</v>
      </c>
      <c r="T145" s="72">
        <f t="shared" si="6"/>
        <v>0</v>
      </c>
      <c r="U145" s="73" t="str">
        <f t="shared" si="136"/>
        <v/>
      </c>
      <c r="V145" s="73">
        <f>K145/1.18</f>
        <v>3855.084746</v>
      </c>
      <c r="W145" s="73">
        <f t="shared" si="9"/>
        <v>3855.084746</v>
      </c>
      <c r="X145" s="74">
        <f t="shared" si="10"/>
        <v>1</v>
      </c>
      <c r="Y145" s="73">
        <f t="shared" si="11"/>
        <v>0</v>
      </c>
      <c r="Z145" s="73">
        <f t="shared" si="12"/>
        <v>4406.101695</v>
      </c>
      <c r="AA145" s="73">
        <f t="shared" si="13"/>
        <v>4406.101695</v>
      </c>
      <c r="AB145" s="74">
        <f t="shared" si="14"/>
        <v>1</v>
      </c>
      <c r="AC145" s="61" t="str">
        <f t="shared" si="15"/>
        <v>0</v>
      </c>
      <c r="AD145" s="71" t="str">
        <f t="shared" si="16"/>
        <v>#DIV/0!</v>
      </c>
      <c r="AE145" s="61"/>
      <c r="AF145" s="61"/>
      <c r="AG145" s="71">
        <f t="array" ref="AG145">IFERROR(xlookup(G145,'Old Master'!T:T,'Old Master'!V:V),N145)</f>
        <v>0.2</v>
      </c>
      <c r="AH145" s="73">
        <f t="shared" si="17"/>
        <v>5199.2</v>
      </c>
      <c r="AI145" s="73">
        <f t="shared" si="18"/>
        <v>4406.101695</v>
      </c>
      <c r="AJ145" s="72">
        <f t="shared" si="19"/>
        <v>1</v>
      </c>
      <c r="AK145" s="83"/>
      <c r="AL145" s="71">
        <f t="array" ref="AL145">iferror(if(isblank(xlookup($G145,'Old Master'!$T:$T,'Old Master'!$W:$W)),AG145,xlookup($G145,'Old Master'!$T:$T,'Old Master'!$W:$W)),AG145)</f>
        <v>0.2</v>
      </c>
      <c r="AM145" s="74">
        <f t="shared" si="20"/>
        <v>0.2</v>
      </c>
      <c r="AN145" s="73">
        <f>O145</f>
        <v>5199.2</v>
      </c>
    </row>
    <row r="146">
      <c r="A146" s="65" t="s">
        <v>652</v>
      </c>
      <c r="B146" s="65">
        <f t="shared" si="1"/>
        <v>72</v>
      </c>
      <c r="C146" s="65" t="str">
        <f t="shared" si="2"/>
        <v>SC-ORIG-K-84x74x8</v>
      </c>
      <c r="D146" s="65" t="s">
        <v>654</v>
      </c>
      <c r="E146" s="65" t="s">
        <v>655</v>
      </c>
      <c r="F146" s="65" t="s">
        <v>656</v>
      </c>
      <c r="G146" s="65" t="s">
        <v>51</v>
      </c>
      <c r="H146" s="65" t="s">
        <v>52</v>
      </c>
      <c r="I146" s="65">
        <v>21999.0</v>
      </c>
      <c r="J146" s="66">
        <v>0.28</v>
      </c>
      <c r="K146" s="65">
        <f t="shared" si="3"/>
        <v>15839</v>
      </c>
      <c r="L146" s="66">
        <v>0.24</v>
      </c>
      <c r="M146" s="65">
        <f t="shared" si="4"/>
        <v>16719</v>
      </c>
      <c r="N146" s="67">
        <f t="shared" si="164"/>
        <v>0.1900086368</v>
      </c>
      <c r="O146" s="68">
        <v>17819.0</v>
      </c>
      <c r="P146" s="67">
        <f t="shared" si="165"/>
        <v>0.1900086368</v>
      </c>
      <c r="Q146" s="69">
        <v>17819.0</v>
      </c>
      <c r="R146" s="76"/>
      <c r="S146" s="72">
        <f t="shared" ref="S146:S148" si="166">O146/M146-1</f>
        <v>0.0657934087</v>
      </c>
      <c r="T146" s="72">
        <f t="shared" si="6"/>
        <v>0</v>
      </c>
      <c r="U146" s="73" t="str">
        <f t="shared" si="136"/>
        <v/>
      </c>
      <c r="V146" s="73">
        <f t="shared" ref="V146:V158" si="167">M146/1.18</f>
        <v>14168.64407</v>
      </c>
      <c r="W146" s="73">
        <f t="shared" si="9"/>
        <v>14168.64407</v>
      </c>
      <c r="X146" s="74">
        <f t="shared" si="10"/>
        <v>1</v>
      </c>
      <c r="Y146" s="73">
        <f t="shared" si="11"/>
        <v>0</v>
      </c>
      <c r="Z146" s="73">
        <f t="shared" si="12"/>
        <v>15100.84746</v>
      </c>
      <c r="AA146" s="73">
        <f t="shared" si="13"/>
        <v>15100.84746</v>
      </c>
      <c r="AB146" s="74">
        <f t="shared" si="14"/>
        <v>1</v>
      </c>
      <c r="AC146" s="61" t="str">
        <f t="shared" si="15"/>
        <v>8</v>
      </c>
      <c r="AD146" s="71" t="str">
        <f t="shared" si="16"/>
        <v>#DIV/0!</v>
      </c>
      <c r="AE146" s="61"/>
      <c r="AF146" s="61"/>
      <c r="AG146" s="71">
        <f t="array" ref="AG146">IFERROR(xlookup(G146,'Old Master'!T:T,'Old Master'!V:V),N146)</f>
        <v>0.1900086368</v>
      </c>
      <c r="AH146" s="73">
        <f t="shared" si="17"/>
        <v>17819</v>
      </c>
      <c r="AI146" s="73">
        <f t="shared" si="18"/>
        <v>15100.84746</v>
      </c>
      <c r="AJ146" s="72">
        <f t="shared" si="19"/>
        <v>1</v>
      </c>
      <c r="AK146" s="83"/>
      <c r="AL146" s="71">
        <f t="array" ref="AL146">iferror(if(isblank(xlookup($G146,'Old Master'!$T:$T,'Old Master'!$W:$W)),AG146,xlookup($G146,'Old Master'!$T:$T,'Old Master'!$W:$W)),AG146)</f>
        <v>0.1900086368</v>
      </c>
      <c r="AM146" s="74">
        <f t="shared" si="20"/>
        <v>0.190917769</v>
      </c>
      <c r="AN146" s="73">
        <f t="shared" ref="AN146:AN155" si="168">mround($I146*(1-AL146),100)-1</f>
        <v>17799</v>
      </c>
    </row>
    <row r="147">
      <c r="A147" s="65" t="s">
        <v>1886</v>
      </c>
      <c r="B147" s="65">
        <f t="shared" si="1"/>
        <v>78</v>
      </c>
      <c r="C147" s="65" t="str">
        <f t="shared" si="2"/>
        <v>SC-ULTM-LATEX-K-84x80x8</v>
      </c>
      <c r="D147" s="65">
        <v>0.0</v>
      </c>
      <c r="E147" s="65">
        <v>0.0</v>
      </c>
      <c r="F147" s="65" t="s">
        <v>1889</v>
      </c>
      <c r="G147" s="65" t="s">
        <v>5109</v>
      </c>
      <c r="H147" s="65" t="s">
        <v>52</v>
      </c>
      <c r="I147" s="65">
        <v>46999.0</v>
      </c>
      <c r="J147" s="66">
        <v>0.23</v>
      </c>
      <c r="K147" s="65">
        <f t="shared" si="3"/>
        <v>36189</v>
      </c>
      <c r="L147" s="66">
        <v>0.18</v>
      </c>
      <c r="M147" s="65">
        <f t="shared" si="4"/>
        <v>38539</v>
      </c>
      <c r="N147" s="67">
        <f t="shared" si="164"/>
        <v>0.1000021277</v>
      </c>
      <c r="O147" s="68">
        <v>42299.0</v>
      </c>
      <c r="P147" s="67">
        <f t="shared" si="165"/>
        <v>0.1000021277</v>
      </c>
      <c r="Q147" s="69">
        <v>42299.0</v>
      </c>
      <c r="R147" s="70"/>
      <c r="S147" s="71">
        <f t="shared" si="166"/>
        <v>0.0975635071</v>
      </c>
      <c r="T147" s="72">
        <f t="shared" si="6"/>
        <v>0</v>
      </c>
      <c r="U147" s="73" t="str">
        <f t="shared" si="136"/>
        <v/>
      </c>
      <c r="V147" s="73">
        <f t="shared" si="167"/>
        <v>32660.16949</v>
      </c>
      <c r="W147" s="73">
        <f t="shared" si="9"/>
        <v>32660.16949</v>
      </c>
      <c r="X147" s="74">
        <f t="shared" si="10"/>
        <v>1</v>
      </c>
      <c r="Y147" s="73">
        <f t="shared" si="11"/>
        <v>0</v>
      </c>
      <c r="Z147" s="73">
        <f t="shared" si="12"/>
        <v>35846.61017</v>
      </c>
      <c r="AA147" s="73">
        <f t="shared" si="13"/>
        <v>35846.61017</v>
      </c>
      <c r="AB147" s="74">
        <f t="shared" si="14"/>
        <v>1</v>
      </c>
      <c r="AC147" s="61" t="str">
        <f t="shared" si="15"/>
        <v>8</v>
      </c>
      <c r="AD147" s="71" t="str">
        <f t="shared" si="16"/>
        <v>#DIV/0!</v>
      </c>
      <c r="AE147" s="61"/>
      <c r="AF147" s="61"/>
      <c r="AG147" s="71">
        <f t="array" ref="AG147">IFERROR(xlookup(G147,'Old Master'!T:T,'Old Master'!V:V),N147)</f>
        <v>0.1000021277</v>
      </c>
      <c r="AH147" s="73">
        <f t="shared" si="17"/>
        <v>42299</v>
      </c>
      <c r="AI147" s="73">
        <f t="shared" si="18"/>
        <v>35846.61017</v>
      </c>
      <c r="AJ147" s="72">
        <f t="shared" si="19"/>
        <v>1</v>
      </c>
      <c r="AK147" s="83"/>
      <c r="AL147" s="71">
        <f t="array" ref="AL147">iferror(if(isblank(xlookup($G147,'Old Master'!$T:$T,'Old Master'!$W:$W)),AG147,xlookup($G147,'Old Master'!$T:$T,'Old Master'!$W:$W)),AG147)</f>
        <v>0.1000021277</v>
      </c>
      <c r="AM147" s="74">
        <f t="shared" si="20"/>
        <v>0.1000021277</v>
      </c>
      <c r="AN147" s="73">
        <f t="shared" si="168"/>
        <v>42299</v>
      </c>
    </row>
    <row r="148">
      <c r="A148" s="65" t="s">
        <v>5343</v>
      </c>
      <c r="B148" s="65">
        <f t="shared" si="1"/>
        <v>48</v>
      </c>
      <c r="C148" s="65" t="str">
        <f t="shared" si="2"/>
        <v>SC-LTx-ORTHO-D-72x50x6</v>
      </c>
      <c r="D148" s="65" t="s">
        <v>4094</v>
      </c>
      <c r="E148" s="65">
        <v>0.0</v>
      </c>
      <c r="F148" s="65" t="s">
        <v>4095</v>
      </c>
      <c r="G148" s="65" t="s">
        <v>5118</v>
      </c>
      <c r="H148" s="65" t="s">
        <v>52</v>
      </c>
      <c r="I148" s="81">
        <v>16399.0</v>
      </c>
      <c r="J148" s="66">
        <v>0.23</v>
      </c>
      <c r="K148" s="81">
        <f t="shared" si="3"/>
        <v>12627</v>
      </c>
      <c r="L148" s="66">
        <v>0.2</v>
      </c>
      <c r="M148" s="81">
        <f t="shared" si="4"/>
        <v>13119</v>
      </c>
      <c r="N148" s="67">
        <f t="shared" si="164"/>
        <v>0.3250137203</v>
      </c>
      <c r="O148" s="68">
        <v>11069.1</v>
      </c>
      <c r="P148" s="75">
        <v>0.1</v>
      </c>
      <c r="Q148" s="68">
        <f>I148*(1-P148)</f>
        <v>14759.1</v>
      </c>
      <c r="R148" s="70"/>
      <c r="S148" s="71">
        <f t="shared" si="166"/>
        <v>-0.1562542877</v>
      </c>
      <c r="T148" s="72">
        <f t="shared" si="6"/>
        <v>0</v>
      </c>
      <c r="U148" s="73" t="str">
        <f t="shared" si="136"/>
        <v/>
      </c>
      <c r="V148" s="73">
        <f t="shared" si="167"/>
        <v>11117.79661</v>
      </c>
      <c r="W148" s="73">
        <f t="shared" si="9"/>
        <v>11117.79661</v>
      </c>
      <c r="X148" s="74">
        <f t="shared" si="10"/>
        <v>1</v>
      </c>
      <c r="Y148" s="73">
        <f t="shared" si="11"/>
        <v>0</v>
      </c>
      <c r="Z148" s="73">
        <f t="shared" si="12"/>
        <v>9380.59322</v>
      </c>
      <c r="AA148" s="73">
        <f t="shared" si="13"/>
        <v>9380.59322</v>
      </c>
      <c r="AB148" s="74">
        <f t="shared" si="14"/>
        <v>1</v>
      </c>
      <c r="AC148" s="61" t="str">
        <f t="shared" si="15"/>
        <v>6</v>
      </c>
      <c r="AD148" s="71" t="str">
        <f t="shared" si="16"/>
        <v>#DIV/0!</v>
      </c>
      <c r="AE148" s="61"/>
      <c r="AF148" s="61"/>
      <c r="AG148" s="71">
        <f t="array" ref="AG148">IFERROR(xlookup(G148,'Old Master'!T:T,'Old Master'!V:V),N148)</f>
        <v>0.3250137203</v>
      </c>
      <c r="AH148" s="73">
        <f t="shared" si="17"/>
        <v>11069.1</v>
      </c>
      <c r="AI148" s="73">
        <f t="shared" si="18"/>
        <v>9380.59322</v>
      </c>
      <c r="AJ148" s="72">
        <f t="shared" si="19"/>
        <v>1</v>
      </c>
      <c r="AK148" s="83"/>
      <c r="AL148" s="71">
        <f t="array" ref="AL148">iferror(if(isblank(xlookup($G148,'Old Master'!$T:$T,'Old Master'!$W:$W)),AG148,xlookup($G148,'Old Master'!$T:$T,'Old Master'!$W:$W)),AG148)</f>
        <v>0.3250137203</v>
      </c>
      <c r="AM148" s="74">
        <f t="shared" si="20"/>
        <v>0.3231904384</v>
      </c>
      <c r="AN148" s="73">
        <f t="shared" si="168"/>
        <v>11099</v>
      </c>
    </row>
    <row r="149">
      <c r="A149" s="65" t="s">
        <v>3861</v>
      </c>
      <c r="B149" s="65" t="str">
        <f t="shared" si="1"/>
        <v>#VALUE!</v>
      </c>
      <c r="C149" s="65" t="str">
        <f t="shared" si="2"/>
        <v>#VALUE!</v>
      </c>
      <c r="D149" s="65" t="s">
        <v>3863</v>
      </c>
      <c r="E149" s="65">
        <v>0.0</v>
      </c>
      <c r="F149" s="65" t="s">
        <v>3864</v>
      </c>
      <c r="G149" s="65" t="s">
        <v>4727</v>
      </c>
      <c r="H149" s="65" t="s">
        <v>4727</v>
      </c>
      <c r="I149" s="65">
        <v>1869.0</v>
      </c>
      <c r="J149" s="66">
        <v>0.2815485168426345</v>
      </c>
      <c r="K149" s="65">
        <f t="shared" si="3"/>
        <v>1343</v>
      </c>
      <c r="L149" s="66">
        <v>0.3</v>
      </c>
      <c r="M149" s="65">
        <f t="shared" si="4"/>
        <v>1308</v>
      </c>
      <c r="N149" s="67">
        <f t="shared" si="164"/>
        <v>0.2001070091</v>
      </c>
      <c r="O149" s="68">
        <v>1495.0</v>
      </c>
      <c r="P149" s="67">
        <f t="shared" ref="P149:P157" si="169">1-Q149/I149</f>
        <v>0.2001070091</v>
      </c>
      <c r="Q149" s="69">
        <v>1495.0</v>
      </c>
      <c r="R149" s="70"/>
      <c r="S149" s="71">
        <f>O149/K149-1</f>
        <v>0.113179449</v>
      </c>
      <c r="T149" s="72">
        <f t="shared" si="6"/>
        <v>0</v>
      </c>
      <c r="U149" s="73" t="str">
        <f t="shared" si="136"/>
        <v/>
      </c>
      <c r="V149" s="73">
        <f t="shared" si="167"/>
        <v>1108.474576</v>
      </c>
      <c r="W149" s="73">
        <f t="shared" si="9"/>
        <v>1108.474576</v>
      </c>
      <c r="X149" s="74">
        <f t="shared" si="10"/>
        <v>1</v>
      </c>
      <c r="Y149" s="73">
        <f t="shared" si="11"/>
        <v>0</v>
      </c>
      <c r="Z149" s="73">
        <f t="shared" si="12"/>
        <v>1266.949153</v>
      </c>
      <c r="AA149" s="73">
        <f t="shared" si="13"/>
        <v>1266.949153</v>
      </c>
      <c r="AB149" s="74">
        <f t="shared" si="14"/>
        <v>1</v>
      </c>
      <c r="AC149" s="61" t="str">
        <f t="shared" si="15"/>
        <v>L</v>
      </c>
      <c r="AD149" s="71" t="str">
        <f t="shared" si="16"/>
        <v>#DIV/0!</v>
      </c>
      <c r="AE149" s="61"/>
      <c r="AF149" s="61"/>
      <c r="AG149" s="71">
        <f t="array" ref="AG149">IFERROR(xlookup(G149,'Old Master'!T:T,'Old Master'!V:V),N149)</f>
        <v>0.2001070091</v>
      </c>
      <c r="AH149" s="73">
        <f t="shared" si="17"/>
        <v>1495</v>
      </c>
      <c r="AI149" s="73">
        <f t="shared" si="18"/>
        <v>1266.949153</v>
      </c>
      <c r="AJ149" s="72">
        <f t="shared" si="19"/>
        <v>1</v>
      </c>
      <c r="AK149" s="83"/>
      <c r="AL149" s="71">
        <f t="array" ref="AL149">iferror(if(isblank(xlookup($G149,'Old Master'!$T:$T,'Old Master'!$W:$W)),AG149,xlookup($G149,'Old Master'!$T:$T,'Old Master'!$W:$W)),AG149)</f>
        <v>0.2001070091</v>
      </c>
      <c r="AM149" s="74">
        <f t="shared" si="20"/>
        <v>0.1979668272</v>
      </c>
      <c r="AN149" s="73">
        <f t="shared" si="168"/>
        <v>1499</v>
      </c>
    </row>
    <row r="150">
      <c r="A150" s="65" t="s">
        <v>37</v>
      </c>
      <c r="B150" s="65">
        <f t="shared" si="1"/>
        <v>36</v>
      </c>
      <c r="C150" s="65" t="str">
        <f t="shared" si="2"/>
        <v>SC-ORIG-S-78x38x6</v>
      </c>
      <c r="D150" s="65" t="s">
        <v>39</v>
      </c>
      <c r="E150" s="65" t="s">
        <v>40</v>
      </c>
      <c r="F150" s="65" t="s">
        <v>41</v>
      </c>
      <c r="G150" s="65" t="s">
        <v>51</v>
      </c>
      <c r="H150" s="65" t="s">
        <v>52</v>
      </c>
      <c r="I150" s="65">
        <v>10999.0</v>
      </c>
      <c r="J150" s="66">
        <v>0.28</v>
      </c>
      <c r="K150" s="65">
        <f t="shared" si="3"/>
        <v>7919</v>
      </c>
      <c r="L150" s="66">
        <v>0.24</v>
      </c>
      <c r="M150" s="65">
        <f t="shared" si="4"/>
        <v>8359</v>
      </c>
      <c r="N150" s="67">
        <f t="shared" si="164"/>
        <v>0.1900172743</v>
      </c>
      <c r="O150" s="68">
        <v>8909.0</v>
      </c>
      <c r="P150" s="67">
        <f t="shared" si="169"/>
        <v>0.1900172743</v>
      </c>
      <c r="Q150" s="69">
        <v>8909.0</v>
      </c>
      <c r="R150" s="76"/>
      <c r="S150" s="72">
        <f t="shared" ref="S150:S155" si="170">O150/M150-1</f>
        <v>0.06579734418</v>
      </c>
      <c r="T150" s="72">
        <f t="shared" si="6"/>
        <v>0</v>
      </c>
      <c r="U150" s="73" t="str">
        <f t="shared" si="136"/>
        <v/>
      </c>
      <c r="V150" s="73">
        <f t="shared" si="167"/>
        <v>7083.898305</v>
      </c>
      <c r="W150" s="73">
        <f t="shared" si="9"/>
        <v>7083.898305</v>
      </c>
      <c r="X150" s="74">
        <f t="shared" si="10"/>
        <v>1</v>
      </c>
      <c r="Y150" s="73">
        <f t="shared" si="11"/>
        <v>0</v>
      </c>
      <c r="Z150" s="73">
        <f t="shared" si="12"/>
        <v>7550</v>
      </c>
      <c r="AA150" s="73">
        <f t="shared" si="13"/>
        <v>7550</v>
      </c>
      <c r="AB150" s="74">
        <f t="shared" si="14"/>
        <v>1</v>
      </c>
      <c r="AC150" s="61" t="str">
        <f t="shared" si="15"/>
        <v>6</v>
      </c>
      <c r="AD150" s="71" t="str">
        <f t="shared" si="16"/>
        <v>#DIV/0!</v>
      </c>
      <c r="AE150" s="61"/>
      <c r="AF150" s="61"/>
      <c r="AG150" s="71">
        <f t="array" ref="AG150">IFERROR(xlookup(G150,'Old Master'!T:T,'Old Master'!V:V),N150)</f>
        <v>0.1900172743</v>
      </c>
      <c r="AH150" s="73">
        <f t="shared" si="17"/>
        <v>8909</v>
      </c>
      <c r="AI150" s="73">
        <f t="shared" si="18"/>
        <v>7550</v>
      </c>
      <c r="AJ150" s="72">
        <f t="shared" si="19"/>
        <v>1</v>
      </c>
      <c r="AK150" s="83"/>
      <c r="AL150" s="71">
        <f t="array" ref="AL150">iferror(if(isblank(xlookup($G150,'Old Master'!$T:$T,'Old Master'!$W:$W)),AG150,xlookup($G150,'Old Master'!$T:$T,'Old Master'!$W:$W)),AG150)</f>
        <v>0.1900172743</v>
      </c>
      <c r="AM150" s="74">
        <f t="shared" si="20"/>
        <v>0.1909264479</v>
      </c>
      <c r="AN150" s="73">
        <f t="shared" si="168"/>
        <v>8899</v>
      </c>
    </row>
    <row r="151">
      <c r="A151" s="65" t="s">
        <v>576</v>
      </c>
      <c r="B151" s="65">
        <f t="shared" si="1"/>
        <v>70</v>
      </c>
      <c r="C151" s="65" t="str">
        <f t="shared" si="2"/>
        <v>SC-ORIG-K-75x72x6</v>
      </c>
      <c r="D151" s="65" t="s">
        <v>578</v>
      </c>
      <c r="E151" s="65">
        <v>0.0</v>
      </c>
      <c r="F151" s="65" t="s">
        <v>579</v>
      </c>
      <c r="G151" s="65" t="s">
        <v>51</v>
      </c>
      <c r="H151" s="65" t="s">
        <v>52</v>
      </c>
      <c r="I151" s="65">
        <v>18199.0</v>
      </c>
      <c r="J151" s="66">
        <v>0.28</v>
      </c>
      <c r="K151" s="65">
        <f t="shared" si="3"/>
        <v>13103</v>
      </c>
      <c r="L151" s="66">
        <v>0.24</v>
      </c>
      <c r="M151" s="65">
        <f t="shared" si="4"/>
        <v>13831</v>
      </c>
      <c r="N151" s="67">
        <f t="shared" si="164"/>
        <v>0.1900104401</v>
      </c>
      <c r="O151" s="68">
        <v>14741.0</v>
      </c>
      <c r="P151" s="67">
        <f t="shared" si="169"/>
        <v>0.1900104401</v>
      </c>
      <c r="Q151" s="69">
        <v>14741.0</v>
      </c>
      <c r="R151" s="76"/>
      <c r="S151" s="72">
        <f t="shared" si="170"/>
        <v>0.06579423035</v>
      </c>
      <c r="T151" s="72">
        <f t="shared" si="6"/>
        <v>0</v>
      </c>
      <c r="U151" s="73" t="str">
        <f t="shared" si="136"/>
        <v/>
      </c>
      <c r="V151" s="73">
        <f t="shared" si="167"/>
        <v>11721.18644</v>
      </c>
      <c r="W151" s="73">
        <f t="shared" si="9"/>
        <v>11721.18644</v>
      </c>
      <c r="X151" s="74">
        <f t="shared" si="10"/>
        <v>1</v>
      </c>
      <c r="Y151" s="73">
        <f t="shared" si="11"/>
        <v>0</v>
      </c>
      <c r="Z151" s="73">
        <f t="shared" si="12"/>
        <v>12492.37288</v>
      </c>
      <c r="AA151" s="73">
        <f t="shared" si="13"/>
        <v>12492.37288</v>
      </c>
      <c r="AB151" s="74">
        <f t="shared" si="14"/>
        <v>1</v>
      </c>
      <c r="AC151" s="61" t="str">
        <f t="shared" si="15"/>
        <v>6</v>
      </c>
      <c r="AD151" s="71" t="str">
        <f t="shared" si="16"/>
        <v>#DIV/0!</v>
      </c>
      <c r="AE151" s="61"/>
      <c r="AF151" s="61"/>
      <c r="AG151" s="71">
        <f t="array" ref="AG151">IFERROR(xlookup(G151,'Old Master'!T:T,'Old Master'!V:V),N151)</f>
        <v>0.1900104401</v>
      </c>
      <c r="AH151" s="73">
        <f t="shared" si="17"/>
        <v>14741</v>
      </c>
      <c r="AI151" s="73">
        <f t="shared" si="18"/>
        <v>12492.37288</v>
      </c>
      <c r="AJ151" s="72">
        <f t="shared" si="19"/>
        <v>1</v>
      </c>
      <c r="AK151" s="83"/>
      <c r="AL151" s="71">
        <f t="array" ref="AL151">iferror(if(isblank(xlookup($G151,'Old Master'!$T:$T,'Old Master'!$W:$W)),AG151,xlookup($G151,'Old Master'!$T:$T,'Old Master'!$W:$W)),AG151)</f>
        <v>0.1900104401</v>
      </c>
      <c r="AM151" s="74">
        <f t="shared" si="20"/>
        <v>0.1923182592</v>
      </c>
      <c r="AN151" s="73">
        <f t="shared" si="168"/>
        <v>14699</v>
      </c>
    </row>
    <row r="152">
      <c r="A152" s="65" t="s">
        <v>1891</v>
      </c>
      <c r="B152" s="65">
        <f t="shared" si="1"/>
        <v>72</v>
      </c>
      <c r="C152" s="65" t="str">
        <f t="shared" si="2"/>
        <v>SC-ULTM-LATEX-K-72x74x10</v>
      </c>
      <c r="D152" s="65" t="s">
        <v>1893</v>
      </c>
      <c r="E152" s="65" t="s">
        <v>1894</v>
      </c>
      <c r="F152" s="65">
        <v>0.0</v>
      </c>
      <c r="G152" s="65" t="s">
        <v>5109</v>
      </c>
      <c r="H152" s="65" t="s">
        <v>52</v>
      </c>
      <c r="I152" s="65">
        <v>38999.0</v>
      </c>
      <c r="J152" s="66">
        <v>0.23</v>
      </c>
      <c r="K152" s="65">
        <f t="shared" si="3"/>
        <v>30029</v>
      </c>
      <c r="L152" s="66">
        <v>0.18</v>
      </c>
      <c r="M152" s="65">
        <f t="shared" si="4"/>
        <v>31979</v>
      </c>
      <c r="N152" s="67">
        <f t="shared" si="164"/>
        <v>0.1000025642</v>
      </c>
      <c r="O152" s="68">
        <v>35099.0</v>
      </c>
      <c r="P152" s="67">
        <f t="shared" si="169"/>
        <v>0.1000025642</v>
      </c>
      <c r="Q152" s="69">
        <v>35099.0</v>
      </c>
      <c r="R152" s="70"/>
      <c r="S152" s="71">
        <f t="shared" si="170"/>
        <v>0.09756402639</v>
      </c>
      <c r="T152" s="72">
        <f t="shared" si="6"/>
        <v>0</v>
      </c>
      <c r="U152" s="73" t="str">
        <f t="shared" si="136"/>
        <v/>
      </c>
      <c r="V152" s="73">
        <f t="shared" si="167"/>
        <v>27100.84746</v>
      </c>
      <c r="W152" s="73">
        <f t="shared" si="9"/>
        <v>27100.84746</v>
      </c>
      <c r="X152" s="74">
        <f t="shared" si="10"/>
        <v>1</v>
      </c>
      <c r="Y152" s="73">
        <f t="shared" si="11"/>
        <v>0</v>
      </c>
      <c r="Z152" s="73">
        <f t="shared" si="12"/>
        <v>29744.91525</v>
      </c>
      <c r="AA152" s="73">
        <f t="shared" si="13"/>
        <v>29744.91525</v>
      </c>
      <c r="AB152" s="74">
        <f t="shared" si="14"/>
        <v>1</v>
      </c>
      <c r="AC152" s="61" t="str">
        <f t="shared" si="15"/>
        <v>0</v>
      </c>
      <c r="AD152" s="71" t="str">
        <f t="shared" si="16"/>
        <v>#DIV/0!</v>
      </c>
      <c r="AE152" s="61"/>
      <c r="AF152" s="61"/>
      <c r="AG152" s="71">
        <f t="array" ref="AG152">IFERROR(xlookup(G152,'Old Master'!T:T,'Old Master'!V:V),N152)</f>
        <v>0.1000025642</v>
      </c>
      <c r="AH152" s="73">
        <f t="shared" si="17"/>
        <v>35099</v>
      </c>
      <c r="AI152" s="73">
        <f t="shared" si="18"/>
        <v>29744.91525</v>
      </c>
      <c r="AJ152" s="72">
        <f t="shared" si="19"/>
        <v>1</v>
      </c>
      <c r="AK152" s="83"/>
      <c r="AL152" s="71">
        <f t="array" ref="AL152">iferror(if(isblank(xlookup($G152,'Old Master'!$T:$T,'Old Master'!$W:$W)),AG152,xlookup($G152,'Old Master'!$T:$T,'Old Master'!$W:$W)),AG152)</f>
        <v>0.1000025642</v>
      </c>
      <c r="AM152" s="74">
        <f t="shared" si="20"/>
        <v>0.1000025642</v>
      </c>
      <c r="AN152" s="73">
        <f t="shared" si="168"/>
        <v>35099</v>
      </c>
    </row>
    <row r="153">
      <c r="A153" s="65" t="s">
        <v>1915</v>
      </c>
      <c r="B153" s="65">
        <f t="shared" si="1"/>
        <v>78</v>
      </c>
      <c r="C153" s="65" t="str">
        <f t="shared" si="2"/>
        <v>SC-ULTM-LATEX-K-84x80x10</v>
      </c>
      <c r="D153" s="65" t="s">
        <v>1917</v>
      </c>
      <c r="E153" s="65">
        <v>0.0</v>
      </c>
      <c r="F153" s="65" t="s">
        <v>1918</v>
      </c>
      <c r="G153" s="65" t="s">
        <v>5109</v>
      </c>
      <c r="H153" s="65" t="s">
        <v>52</v>
      </c>
      <c r="I153" s="65">
        <v>48799.0</v>
      </c>
      <c r="J153" s="66">
        <v>0.23</v>
      </c>
      <c r="K153" s="65">
        <f t="shared" si="3"/>
        <v>37575</v>
      </c>
      <c r="L153" s="66">
        <v>0.18</v>
      </c>
      <c r="M153" s="65">
        <f t="shared" si="4"/>
        <v>40015</v>
      </c>
      <c r="N153" s="67">
        <f t="shared" si="164"/>
        <v>0.1000020492</v>
      </c>
      <c r="O153" s="68">
        <v>43919.0</v>
      </c>
      <c r="P153" s="67">
        <f t="shared" si="169"/>
        <v>0.1000020492</v>
      </c>
      <c r="Q153" s="69">
        <v>43919.0</v>
      </c>
      <c r="R153" s="70"/>
      <c r="S153" s="71">
        <f t="shared" si="170"/>
        <v>0.09756341372</v>
      </c>
      <c r="T153" s="72">
        <f t="shared" si="6"/>
        <v>0</v>
      </c>
      <c r="U153" s="73" t="str">
        <f t="shared" si="136"/>
        <v/>
      </c>
      <c r="V153" s="73">
        <f t="shared" si="167"/>
        <v>33911.01695</v>
      </c>
      <c r="W153" s="73">
        <f t="shared" si="9"/>
        <v>33911.01695</v>
      </c>
      <c r="X153" s="74">
        <f t="shared" si="10"/>
        <v>1</v>
      </c>
      <c r="Y153" s="73">
        <f t="shared" si="11"/>
        <v>0</v>
      </c>
      <c r="Z153" s="73">
        <f t="shared" si="12"/>
        <v>37219.49153</v>
      </c>
      <c r="AA153" s="73">
        <f t="shared" si="13"/>
        <v>37219.49153</v>
      </c>
      <c r="AB153" s="74">
        <f t="shared" si="14"/>
        <v>1</v>
      </c>
      <c r="AC153" s="61" t="str">
        <f t="shared" si="15"/>
        <v>0</v>
      </c>
      <c r="AD153" s="71" t="str">
        <f t="shared" si="16"/>
        <v>#DIV/0!</v>
      </c>
      <c r="AE153" s="61"/>
      <c r="AF153" s="61"/>
      <c r="AG153" s="71">
        <f t="array" ref="AG153">IFERROR(xlookup(G153,'Old Master'!T:T,'Old Master'!V:V),N153)</f>
        <v>0.1000020492</v>
      </c>
      <c r="AH153" s="73">
        <f t="shared" si="17"/>
        <v>43919</v>
      </c>
      <c r="AI153" s="73">
        <f t="shared" si="18"/>
        <v>37219.49153</v>
      </c>
      <c r="AJ153" s="72">
        <f t="shared" si="19"/>
        <v>1</v>
      </c>
      <c r="AK153" s="83"/>
      <c r="AL153" s="71">
        <f t="array" ref="AL153">iferror(if(isblank(xlookup($G153,'Old Master'!$T:$T,'Old Master'!$W:$W)),AG153,xlookup($G153,'Old Master'!$T:$T,'Old Master'!$W:$W)),AG153)</f>
        <v>0.1000020492</v>
      </c>
      <c r="AM153" s="74">
        <f t="shared" si="20"/>
        <v>0.1004118937</v>
      </c>
      <c r="AN153" s="73">
        <f t="shared" si="168"/>
        <v>43899</v>
      </c>
    </row>
    <row r="154">
      <c r="A154" s="65" t="s">
        <v>1688</v>
      </c>
      <c r="B154" s="65">
        <f t="shared" si="1"/>
        <v>36</v>
      </c>
      <c r="C154" s="65" t="str">
        <f t="shared" si="2"/>
        <v>SC-ULTM-LATEX-S-72x38x8</v>
      </c>
      <c r="D154" s="65" t="s">
        <v>1690</v>
      </c>
      <c r="E154" s="65" t="s">
        <v>1692</v>
      </c>
      <c r="F154" s="65" t="s">
        <v>1693</v>
      </c>
      <c r="G154" s="65" t="s">
        <v>5109</v>
      </c>
      <c r="H154" s="65" t="s">
        <v>52</v>
      </c>
      <c r="I154" s="65">
        <v>18999.0</v>
      </c>
      <c r="J154" s="66">
        <v>0.23</v>
      </c>
      <c r="K154" s="65">
        <f t="shared" si="3"/>
        <v>14629</v>
      </c>
      <c r="L154" s="66">
        <v>0.18</v>
      </c>
      <c r="M154" s="65">
        <f t="shared" si="4"/>
        <v>15579</v>
      </c>
      <c r="N154" s="67">
        <f t="shared" si="164"/>
        <v>0.1000052634</v>
      </c>
      <c r="O154" s="68">
        <v>17099.0</v>
      </c>
      <c r="P154" s="67">
        <f t="shared" si="169"/>
        <v>0.1000052634</v>
      </c>
      <c r="Q154" s="69">
        <v>17099.0</v>
      </c>
      <c r="R154" s="70"/>
      <c r="S154" s="71">
        <f t="shared" si="170"/>
        <v>0.09756723795</v>
      </c>
      <c r="T154" s="72">
        <f t="shared" si="6"/>
        <v>0</v>
      </c>
      <c r="U154" s="73" t="str">
        <f t="shared" si="136"/>
        <v/>
      </c>
      <c r="V154" s="73">
        <f t="shared" si="167"/>
        <v>13202.54237</v>
      </c>
      <c r="W154" s="73">
        <f t="shared" si="9"/>
        <v>13202.54237</v>
      </c>
      <c r="X154" s="74">
        <f t="shared" si="10"/>
        <v>1</v>
      </c>
      <c r="Y154" s="73">
        <f t="shared" si="11"/>
        <v>0</v>
      </c>
      <c r="Z154" s="73">
        <f t="shared" si="12"/>
        <v>14490.67797</v>
      </c>
      <c r="AA154" s="73">
        <f t="shared" si="13"/>
        <v>14490.67797</v>
      </c>
      <c r="AB154" s="74">
        <f t="shared" si="14"/>
        <v>1</v>
      </c>
      <c r="AC154" s="61" t="str">
        <f t="shared" si="15"/>
        <v>8</v>
      </c>
      <c r="AD154" s="71" t="str">
        <f t="shared" si="16"/>
        <v>#DIV/0!</v>
      </c>
      <c r="AE154" s="61"/>
      <c r="AF154" s="61"/>
      <c r="AG154" s="71">
        <f t="array" ref="AG154">IFERROR(xlookup(G154,'Old Master'!T:T,'Old Master'!V:V),N154)</f>
        <v>0.1000052634</v>
      </c>
      <c r="AH154" s="73">
        <f t="shared" si="17"/>
        <v>17099</v>
      </c>
      <c r="AI154" s="73">
        <f t="shared" si="18"/>
        <v>14490.67797</v>
      </c>
      <c r="AJ154" s="72">
        <f t="shared" si="19"/>
        <v>1</v>
      </c>
      <c r="AK154" s="83"/>
      <c r="AL154" s="71">
        <f t="array" ref="AL154">iferror(if(isblank(xlookup($G154,'Old Master'!$T:$T,'Old Master'!$W:$W)),AG154,xlookup($G154,'Old Master'!$T:$T,'Old Master'!$W:$W)),AG154)</f>
        <v>0.1000052634</v>
      </c>
      <c r="AM154" s="74">
        <f t="shared" si="20"/>
        <v>0.1000052634</v>
      </c>
      <c r="AN154" s="73">
        <f t="shared" si="168"/>
        <v>17099</v>
      </c>
    </row>
    <row r="155">
      <c r="A155" s="65" t="s">
        <v>1530</v>
      </c>
      <c r="B155" s="65">
        <f t="shared" si="1"/>
        <v>36</v>
      </c>
      <c r="C155" s="65" t="str">
        <f t="shared" si="2"/>
        <v>SC-ULTM-S-72x38x8</v>
      </c>
      <c r="D155" s="65" t="s">
        <v>1532</v>
      </c>
      <c r="E155" s="65" t="s">
        <v>1530</v>
      </c>
      <c r="F155" s="65" t="s">
        <v>1530</v>
      </c>
      <c r="G155" s="65" t="s">
        <v>5112</v>
      </c>
      <c r="H155" s="65" t="s">
        <v>52</v>
      </c>
      <c r="I155" s="65">
        <v>14999.0</v>
      </c>
      <c r="J155" s="66">
        <v>0.25</v>
      </c>
      <c r="K155" s="65">
        <f t="shared" si="3"/>
        <v>11249</v>
      </c>
      <c r="L155" s="66">
        <v>0.22</v>
      </c>
      <c r="M155" s="65">
        <f t="shared" si="4"/>
        <v>11699</v>
      </c>
      <c r="N155" s="67">
        <f t="shared" si="164"/>
        <v>0.1000066671</v>
      </c>
      <c r="O155" s="68">
        <v>13499.0</v>
      </c>
      <c r="P155" s="67">
        <f t="shared" si="169"/>
        <v>0.1000066671</v>
      </c>
      <c r="Q155" s="69">
        <v>13499.0</v>
      </c>
      <c r="R155" s="70"/>
      <c r="S155" s="71">
        <f t="shared" si="170"/>
        <v>0.1538593042</v>
      </c>
      <c r="T155" s="72">
        <f t="shared" si="6"/>
        <v>0</v>
      </c>
      <c r="U155" s="73" t="str">
        <f t="shared" si="136"/>
        <v/>
      </c>
      <c r="V155" s="73">
        <f t="shared" si="167"/>
        <v>9914.40678</v>
      </c>
      <c r="W155" s="73">
        <f t="shared" si="9"/>
        <v>9914.40678</v>
      </c>
      <c r="X155" s="74">
        <f t="shared" si="10"/>
        <v>1</v>
      </c>
      <c r="Y155" s="73">
        <f t="shared" si="11"/>
        <v>0</v>
      </c>
      <c r="Z155" s="73">
        <f t="shared" si="12"/>
        <v>11439.83051</v>
      </c>
      <c r="AA155" s="73">
        <f t="shared" si="13"/>
        <v>11439.83051</v>
      </c>
      <c r="AB155" s="74">
        <f t="shared" si="14"/>
        <v>1</v>
      </c>
      <c r="AC155" s="61" t="str">
        <f t="shared" si="15"/>
        <v>8</v>
      </c>
      <c r="AD155" s="71" t="str">
        <f t="shared" si="16"/>
        <v>#DIV/0!</v>
      </c>
      <c r="AE155" s="61"/>
      <c r="AF155" s="61"/>
      <c r="AG155" s="71">
        <f t="array" ref="AG155">IFERROR(xlookup(G155,'Old Master'!T:T,'Old Master'!V:V),N155)</f>
        <v>0.1000066671</v>
      </c>
      <c r="AH155" s="73">
        <f t="shared" si="17"/>
        <v>13499</v>
      </c>
      <c r="AI155" s="73">
        <f t="shared" si="18"/>
        <v>11439.83051</v>
      </c>
      <c r="AJ155" s="72">
        <f t="shared" si="19"/>
        <v>1</v>
      </c>
      <c r="AK155" s="83"/>
      <c r="AL155" s="71">
        <f t="array" ref="AL155">iferror(if(isblank(xlookup($G155,'Old Master'!$T:$T,'Old Master'!$W:$W)),AG155,xlookup($G155,'Old Master'!$T:$T,'Old Master'!$W:$W)),AG155)</f>
        <v>0.1000066671</v>
      </c>
      <c r="AM155" s="74">
        <f t="shared" si="20"/>
        <v>0.1000066671</v>
      </c>
      <c r="AN155" s="73">
        <f t="shared" si="168"/>
        <v>13499</v>
      </c>
    </row>
    <row r="156">
      <c r="A156" s="65" t="s">
        <v>2404</v>
      </c>
      <c r="B156" s="65" t="str">
        <f t="shared" si="1"/>
        <v>#VALUE!</v>
      </c>
      <c r="C156" s="65" t="str">
        <f t="shared" si="2"/>
        <v>#VALUE!</v>
      </c>
      <c r="D156" s="65" t="s">
        <v>2406</v>
      </c>
      <c r="E156" s="65" t="s">
        <v>2407</v>
      </c>
      <c r="F156" s="65" t="s">
        <v>2408</v>
      </c>
      <c r="G156" s="65" t="s">
        <v>5074</v>
      </c>
      <c r="H156" s="65" t="s">
        <v>1145</v>
      </c>
      <c r="I156" s="65">
        <v>3999.0</v>
      </c>
      <c r="J156" s="66">
        <v>0.1750437609402351</v>
      </c>
      <c r="K156" s="65">
        <f t="shared" si="3"/>
        <v>3299</v>
      </c>
      <c r="L156" s="66">
        <v>0.2</v>
      </c>
      <c r="M156" s="65">
        <f t="shared" si="4"/>
        <v>3199</v>
      </c>
      <c r="N156" s="77">
        <f t="shared" si="164"/>
        <v>0.05001250313</v>
      </c>
      <c r="O156" s="78">
        <v>3799.0</v>
      </c>
      <c r="P156" s="67">
        <f t="shared" si="169"/>
        <v>0.05001250313</v>
      </c>
      <c r="Q156" s="79">
        <v>3799.0</v>
      </c>
      <c r="R156" s="70"/>
      <c r="S156" s="71">
        <f t="shared" ref="S156:S157" si="171">O156/K156-1</f>
        <v>0.1515610791</v>
      </c>
      <c r="T156" s="72">
        <f t="shared" si="6"/>
        <v>0</v>
      </c>
      <c r="U156" s="73" t="str">
        <f t="shared" si="136"/>
        <v/>
      </c>
      <c r="V156" s="73">
        <f t="shared" si="167"/>
        <v>2711.016949</v>
      </c>
      <c r="W156" s="73">
        <f t="shared" si="9"/>
        <v>2711.016949</v>
      </c>
      <c r="X156" s="74">
        <f t="shared" si="10"/>
        <v>1</v>
      </c>
      <c r="Y156" s="73">
        <f t="shared" si="11"/>
        <v>0</v>
      </c>
      <c r="Z156" s="73">
        <f t="shared" si="12"/>
        <v>3219.491525</v>
      </c>
      <c r="AA156" s="73">
        <f t="shared" si="13"/>
        <v>3219.491525</v>
      </c>
      <c r="AB156" s="74">
        <f t="shared" si="14"/>
        <v>1</v>
      </c>
      <c r="AC156" s="61" t="str">
        <f t="shared" si="15"/>
        <v>8</v>
      </c>
      <c r="AD156" s="71" t="str">
        <f t="shared" si="16"/>
        <v>#DIV/0!</v>
      </c>
      <c r="AE156" s="61"/>
      <c r="AF156" s="61"/>
      <c r="AG156" s="71">
        <f t="array" ref="AG156">IFERROR(xlookup(G156,'Old Master'!T:T,'Old Master'!V:V),N156)</f>
        <v>0.05001250313</v>
      </c>
      <c r="AH156" s="73">
        <f t="shared" si="17"/>
        <v>3799</v>
      </c>
      <c r="AI156" s="73">
        <f t="shared" si="18"/>
        <v>3219.491525</v>
      </c>
      <c r="AJ156" s="72">
        <f t="shared" si="19"/>
        <v>1</v>
      </c>
      <c r="AK156" s="83"/>
      <c r="AL156" s="71">
        <f t="shared" ref="AL156:AL157" si="172">(I156-AN156)/I156</f>
        <v>0.05001250313</v>
      </c>
      <c r="AM156" s="74">
        <f t="shared" si="20"/>
        <v>0.05001250313</v>
      </c>
      <c r="AN156" s="73">
        <v>3799.0</v>
      </c>
    </row>
    <row r="157">
      <c r="A157" s="65" t="s">
        <v>2454</v>
      </c>
      <c r="B157" s="65" t="str">
        <f t="shared" si="1"/>
        <v>#VALUE!</v>
      </c>
      <c r="C157" s="65" t="str">
        <f t="shared" si="2"/>
        <v>#VALUE!</v>
      </c>
      <c r="D157" s="65" t="s">
        <v>2456</v>
      </c>
      <c r="E157" s="65" t="s">
        <v>2457</v>
      </c>
      <c r="F157" s="65" t="s">
        <v>2458</v>
      </c>
      <c r="G157" s="65" t="s">
        <v>5083</v>
      </c>
      <c r="H157" s="65" t="s">
        <v>1145</v>
      </c>
      <c r="I157" s="65">
        <v>5599.0</v>
      </c>
      <c r="J157" s="66">
        <v>0.3000535809966065</v>
      </c>
      <c r="K157" s="65">
        <f t="shared" si="3"/>
        <v>3919</v>
      </c>
      <c r="L157" s="66">
        <v>0.25</v>
      </c>
      <c r="M157" s="65">
        <f t="shared" si="4"/>
        <v>4199</v>
      </c>
      <c r="N157" s="77">
        <f t="shared" si="164"/>
        <v>0.1964636542</v>
      </c>
      <c r="O157" s="78">
        <v>4499.0</v>
      </c>
      <c r="P157" s="67">
        <f t="shared" si="169"/>
        <v>0.1964636542</v>
      </c>
      <c r="Q157" s="79">
        <v>4499.0</v>
      </c>
      <c r="R157" s="70"/>
      <c r="S157" s="71">
        <f t="shared" si="171"/>
        <v>0.147996938</v>
      </c>
      <c r="T157" s="72">
        <f t="shared" si="6"/>
        <v>0</v>
      </c>
      <c r="U157" s="73" t="str">
        <f t="shared" si="136"/>
        <v/>
      </c>
      <c r="V157" s="73">
        <f t="shared" si="167"/>
        <v>3558.474576</v>
      </c>
      <c r="W157" s="73">
        <f t="shared" si="9"/>
        <v>3558.474576</v>
      </c>
      <c r="X157" s="74">
        <f t="shared" si="10"/>
        <v>1</v>
      </c>
      <c r="Y157" s="73">
        <f t="shared" si="11"/>
        <v>0</v>
      </c>
      <c r="Z157" s="73">
        <f t="shared" si="12"/>
        <v>3812.711864</v>
      </c>
      <c r="AA157" s="73">
        <f t="shared" si="13"/>
        <v>3812.711864</v>
      </c>
      <c r="AB157" s="74">
        <f t="shared" si="14"/>
        <v>1</v>
      </c>
      <c r="AC157" s="61" t="str">
        <f t="shared" si="15"/>
        <v>6</v>
      </c>
      <c r="AD157" s="71" t="str">
        <f t="shared" si="16"/>
        <v>#DIV/0!</v>
      </c>
      <c r="AE157" s="61"/>
      <c r="AF157" s="61"/>
      <c r="AG157" s="71">
        <f t="array" ref="AG157">IFERROR(xlookup(G157,'Old Master'!T:T,'Old Master'!V:V),N157)</f>
        <v>0.1964636542</v>
      </c>
      <c r="AH157" s="73">
        <f t="shared" si="17"/>
        <v>4499</v>
      </c>
      <c r="AI157" s="73">
        <f t="shared" si="18"/>
        <v>3812.711864</v>
      </c>
      <c r="AJ157" s="72">
        <f t="shared" si="19"/>
        <v>1</v>
      </c>
      <c r="AK157" s="83"/>
      <c r="AL157" s="71">
        <f t="shared" si="172"/>
        <v>0.1964636542</v>
      </c>
      <c r="AM157" s="74">
        <f t="shared" si="20"/>
        <v>0.1964636542</v>
      </c>
      <c r="AN157" s="73">
        <v>4499.0</v>
      </c>
    </row>
    <row r="158">
      <c r="A158" s="65" t="s">
        <v>5344</v>
      </c>
      <c r="B158" s="65">
        <f t="shared" si="1"/>
        <v>36</v>
      </c>
      <c r="C158" s="65" t="str">
        <f t="shared" si="2"/>
        <v>SC-LTx-ORTHO-S-72x38x5</v>
      </c>
      <c r="D158" s="65" t="s">
        <v>4020</v>
      </c>
      <c r="E158" s="65">
        <v>0.0</v>
      </c>
      <c r="F158" s="65" t="s">
        <v>4021</v>
      </c>
      <c r="G158" s="65" t="s">
        <v>5118</v>
      </c>
      <c r="H158" s="65" t="s">
        <v>52</v>
      </c>
      <c r="I158" s="81">
        <v>11999.0</v>
      </c>
      <c r="J158" s="66">
        <v>0.23</v>
      </c>
      <c r="K158" s="81">
        <f t="shared" si="3"/>
        <v>9239</v>
      </c>
      <c r="L158" s="66">
        <v>0.2</v>
      </c>
      <c r="M158" s="81">
        <f t="shared" si="4"/>
        <v>9599</v>
      </c>
      <c r="N158" s="67">
        <f t="shared" si="164"/>
        <v>0.3250187516</v>
      </c>
      <c r="O158" s="68">
        <v>8099.1</v>
      </c>
      <c r="P158" s="75">
        <v>0.1</v>
      </c>
      <c r="Q158" s="68">
        <f>I158*(1-P158)</f>
        <v>10799.1</v>
      </c>
      <c r="R158" s="70"/>
      <c r="S158" s="71">
        <f>O158/M158-1</f>
        <v>-0.15625586</v>
      </c>
      <c r="T158" s="72">
        <f t="shared" si="6"/>
        <v>0</v>
      </c>
      <c r="U158" s="73" t="str">
        <f t="shared" si="136"/>
        <v/>
      </c>
      <c r="V158" s="73">
        <f t="shared" si="167"/>
        <v>8134.745763</v>
      </c>
      <c r="W158" s="73">
        <f t="shared" si="9"/>
        <v>8134.745763</v>
      </c>
      <c r="X158" s="74">
        <f t="shared" si="10"/>
        <v>1</v>
      </c>
      <c r="Y158" s="73">
        <f t="shared" si="11"/>
        <v>0</v>
      </c>
      <c r="Z158" s="73">
        <f t="shared" si="12"/>
        <v>6863.644068</v>
      </c>
      <c r="AA158" s="73">
        <f t="shared" si="13"/>
        <v>6863.644068</v>
      </c>
      <c r="AB158" s="74">
        <f t="shared" si="14"/>
        <v>1</v>
      </c>
      <c r="AC158" s="61" t="str">
        <f t="shared" si="15"/>
        <v>5</v>
      </c>
      <c r="AD158" s="71" t="str">
        <f t="shared" si="16"/>
        <v>#DIV/0!</v>
      </c>
      <c r="AE158" s="61"/>
      <c r="AF158" s="61"/>
      <c r="AG158" s="71">
        <f t="array" ref="AG158">IFERROR(xlookup(G158,'Old Master'!T:T,'Old Master'!V:V),N158)</f>
        <v>0.3250187516</v>
      </c>
      <c r="AH158" s="73">
        <f t="shared" si="17"/>
        <v>8099.1</v>
      </c>
      <c r="AI158" s="73">
        <f t="shared" si="18"/>
        <v>6863.644068</v>
      </c>
      <c r="AJ158" s="72">
        <f t="shared" si="19"/>
        <v>1</v>
      </c>
      <c r="AK158" s="83"/>
      <c r="AL158" s="71">
        <f t="array" ref="AL158">iferror(if(isblank(xlookup($G158,'Old Master'!$T:$T,'Old Master'!$W:$W)),AG158,xlookup($G158,'Old Master'!$T:$T,'Old Master'!$W:$W)),AG158)</f>
        <v>0.3250187516</v>
      </c>
      <c r="AM158" s="74">
        <f t="shared" si="20"/>
        <v>0.3250270856</v>
      </c>
      <c r="AN158" s="73">
        <f t="shared" ref="AN158:AN162" si="173">mround($I158*(1-AL158),100)-1</f>
        <v>8099</v>
      </c>
    </row>
    <row r="159">
      <c r="A159" s="65" t="s">
        <v>3783</v>
      </c>
      <c r="B159" s="65">
        <f t="shared" si="1"/>
        <v>36</v>
      </c>
      <c r="C159" s="65" t="str">
        <f t="shared" si="2"/>
        <v>SC-MFMTTOPPER-S-72x38x2</v>
      </c>
      <c r="D159" s="65" t="s">
        <v>3785</v>
      </c>
      <c r="E159" s="65">
        <v>0.0</v>
      </c>
      <c r="F159" s="65">
        <v>0.0</v>
      </c>
      <c r="G159" s="65" t="s">
        <v>5132</v>
      </c>
      <c r="H159" s="65" t="s">
        <v>4730</v>
      </c>
      <c r="I159" s="65">
        <v>5299.0</v>
      </c>
      <c r="J159" s="66">
        <v>0.30194376297414605</v>
      </c>
      <c r="K159" s="65">
        <f t="shared" si="3"/>
        <v>3699</v>
      </c>
      <c r="L159" s="66">
        <v>0.15</v>
      </c>
      <c r="M159" s="65">
        <f t="shared" si="4"/>
        <v>4504</v>
      </c>
      <c r="N159" s="67">
        <f t="shared" si="164"/>
        <v>0.2519343272</v>
      </c>
      <c r="O159" s="68">
        <v>3964.0</v>
      </c>
      <c r="P159" s="67">
        <f t="shared" ref="P159:P164" si="174">1-Q159/I159</f>
        <v>0.2519343272</v>
      </c>
      <c r="Q159" s="69">
        <v>3964.0</v>
      </c>
      <c r="R159" s="70"/>
      <c r="S159" s="71">
        <f>O159/K159-1</f>
        <v>0.07164098405</v>
      </c>
      <c r="T159" s="72">
        <f t="shared" si="6"/>
        <v>0</v>
      </c>
      <c r="U159" s="73" t="str">
        <f t="shared" si="136"/>
        <v/>
      </c>
      <c r="V159" s="73">
        <f>K159/1.18</f>
        <v>3134.745763</v>
      </c>
      <c r="W159" s="73">
        <f t="shared" si="9"/>
        <v>3134.745763</v>
      </c>
      <c r="X159" s="74">
        <f t="shared" si="10"/>
        <v>1</v>
      </c>
      <c r="Y159" s="73">
        <f t="shared" si="11"/>
        <v>0</v>
      </c>
      <c r="Z159" s="73">
        <f t="shared" si="12"/>
        <v>3359.322034</v>
      </c>
      <c r="AA159" s="73">
        <f t="shared" si="13"/>
        <v>3359.322034</v>
      </c>
      <c r="AB159" s="74">
        <f t="shared" si="14"/>
        <v>1</v>
      </c>
      <c r="AC159" s="61" t="str">
        <f t="shared" si="15"/>
        <v>2</v>
      </c>
      <c r="AD159" s="71" t="str">
        <f t="shared" si="16"/>
        <v>#DIV/0!</v>
      </c>
      <c r="AE159" s="61"/>
      <c r="AF159" s="61"/>
      <c r="AG159" s="71">
        <f t="array" ref="AG159">IFERROR(xlookup(G159,'Old Master'!T:T,'Old Master'!V:V),N159)</f>
        <v>0.2519343272</v>
      </c>
      <c r="AH159" s="73">
        <f t="shared" si="17"/>
        <v>3964</v>
      </c>
      <c r="AI159" s="73">
        <f t="shared" si="18"/>
        <v>3359.322034</v>
      </c>
      <c r="AJ159" s="72">
        <f t="shared" si="19"/>
        <v>1</v>
      </c>
      <c r="AK159" s="83"/>
      <c r="AL159" s="71">
        <f t="array" ref="AL159">iferror(if(isblank(xlookup($G159,'Old Master'!$T:$T,'Old Master'!$W:$W)),AG159,xlookup($G159,'Old Master'!$T:$T,'Old Master'!$W:$W)),AG159)</f>
        <v>0.2519343272</v>
      </c>
      <c r="AM159" s="74">
        <f t="shared" si="20"/>
        <v>0.2453293074</v>
      </c>
      <c r="AN159" s="73">
        <f t="shared" si="173"/>
        <v>3999</v>
      </c>
    </row>
    <row r="160">
      <c r="A160" s="65" t="s">
        <v>534</v>
      </c>
      <c r="B160" s="65">
        <f t="shared" si="1"/>
        <v>60</v>
      </c>
      <c r="C160" s="65" t="str">
        <f t="shared" si="2"/>
        <v>SC-ORIG-Q-78x62x4</v>
      </c>
      <c r="D160" s="65" t="s">
        <v>536</v>
      </c>
      <c r="E160" s="65">
        <v>0.0</v>
      </c>
      <c r="F160" s="65" t="s">
        <v>537</v>
      </c>
      <c r="G160" s="65" t="s">
        <v>51</v>
      </c>
      <c r="H160" s="65" t="s">
        <v>52</v>
      </c>
      <c r="I160" s="65">
        <v>11839.0</v>
      </c>
      <c r="J160" s="66">
        <v>0.28</v>
      </c>
      <c r="K160" s="65">
        <f t="shared" si="3"/>
        <v>8524</v>
      </c>
      <c r="L160" s="66">
        <v>0.24</v>
      </c>
      <c r="M160" s="65">
        <f t="shared" si="4"/>
        <v>8998</v>
      </c>
      <c r="N160" s="67">
        <f t="shared" si="164"/>
        <v>0.1899653687</v>
      </c>
      <c r="O160" s="68">
        <v>9590.0</v>
      </c>
      <c r="P160" s="67">
        <f t="shared" si="174"/>
        <v>0.1899653687</v>
      </c>
      <c r="Q160" s="69">
        <v>9590.0</v>
      </c>
      <c r="R160" s="76"/>
      <c r="S160" s="72">
        <f t="shared" ref="S160:S162" si="175">O160/M160-1</f>
        <v>0.06579239831</v>
      </c>
      <c r="T160" s="72">
        <f t="shared" si="6"/>
        <v>0</v>
      </c>
      <c r="U160" s="73" t="str">
        <f t="shared" si="136"/>
        <v/>
      </c>
      <c r="V160" s="73">
        <f t="shared" ref="V160:V165" si="176">M160/1.18</f>
        <v>7625.423729</v>
      </c>
      <c r="W160" s="73">
        <f t="shared" si="9"/>
        <v>7625.423729</v>
      </c>
      <c r="X160" s="74">
        <f t="shared" si="10"/>
        <v>1</v>
      </c>
      <c r="Y160" s="73">
        <f t="shared" si="11"/>
        <v>0</v>
      </c>
      <c r="Z160" s="73">
        <f t="shared" si="12"/>
        <v>8127.118644</v>
      </c>
      <c r="AA160" s="73">
        <f t="shared" si="13"/>
        <v>8127.118644</v>
      </c>
      <c r="AB160" s="74">
        <f t="shared" si="14"/>
        <v>1</v>
      </c>
      <c r="AC160" s="61" t="str">
        <f t="shared" si="15"/>
        <v>4</v>
      </c>
      <c r="AD160" s="71" t="str">
        <f t="shared" si="16"/>
        <v>#DIV/0!</v>
      </c>
      <c r="AE160" s="61"/>
      <c r="AF160" s="61"/>
      <c r="AG160" s="71">
        <f t="array" ref="AG160">IFERROR(xlookup(G160,'Old Master'!T:T,'Old Master'!V:V),N160)</f>
        <v>0.1899653687</v>
      </c>
      <c r="AH160" s="73">
        <f t="shared" si="17"/>
        <v>9590</v>
      </c>
      <c r="AI160" s="73">
        <f t="shared" si="18"/>
        <v>8127.118644</v>
      </c>
      <c r="AJ160" s="72">
        <f t="shared" si="19"/>
        <v>1</v>
      </c>
      <c r="AK160" s="83"/>
      <c r="AL160" s="71">
        <f t="array" ref="AL160">iferror(if(isblank(xlookup($G160,'Old Master'!$T:$T,'Old Master'!$W:$W)),AG160,xlookup($G160,'Old Master'!$T:$T,'Old Master'!$W:$W)),AG160)</f>
        <v>0.1899653687</v>
      </c>
      <c r="AM160" s="74">
        <f t="shared" si="20"/>
        <v>0.1892051694</v>
      </c>
      <c r="AN160" s="73">
        <f t="shared" si="173"/>
        <v>9599</v>
      </c>
    </row>
    <row r="161">
      <c r="A161" s="65" t="s">
        <v>60</v>
      </c>
      <c r="B161" s="65">
        <f t="shared" si="1"/>
        <v>36</v>
      </c>
      <c r="C161" s="65" t="str">
        <f t="shared" si="2"/>
        <v>SC-ORIG-S-72x38x8</v>
      </c>
      <c r="D161" s="65" t="s">
        <v>62</v>
      </c>
      <c r="E161" s="65" t="s">
        <v>63</v>
      </c>
      <c r="F161" s="65" t="s">
        <v>64</v>
      </c>
      <c r="G161" s="65" t="s">
        <v>51</v>
      </c>
      <c r="H161" s="65" t="s">
        <v>52</v>
      </c>
      <c r="I161" s="65">
        <v>11599.0</v>
      </c>
      <c r="J161" s="66">
        <v>0.28</v>
      </c>
      <c r="K161" s="65">
        <f t="shared" si="3"/>
        <v>8351</v>
      </c>
      <c r="L161" s="66">
        <v>0.24</v>
      </c>
      <c r="M161" s="65">
        <f t="shared" si="4"/>
        <v>8815</v>
      </c>
      <c r="N161" s="67">
        <f t="shared" si="164"/>
        <v>0.1900163807</v>
      </c>
      <c r="O161" s="68">
        <v>9395.0</v>
      </c>
      <c r="P161" s="67">
        <f t="shared" si="174"/>
        <v>0.1900163807</v>
      </c>
      <c r="Q161" s="69">
        <v>9395.0</v>
      </c>
      <c r="R161" s="76"/>
      <c r="S161" s="72">
        <f t="shared" si="175"/>
        <v>0.06579693704</v>
      </c>
      <c r="T161" s="72">
        <f t="shared" si="6"/>
        <v>0</v>
      </c>
      <c r="U161" s="73" t="str">
        <f t="shared" si="136"/>
        <v/>
      </c>
      <c r="V161" s="73">
        <f t="shared" si="176"/>
        <v>7470.338983</v>
      </c>
      <c r="W161" s="73">
        <f t="shared" si="9"/>
        <v>7470.338983</v>
      </c>
      <c r="X161" s="74">
        <f t="shared" si="10"/>
        <v>1</v>
      </c>
      <c r="Y161" s="73">
        <f t="shared" si="11"/>
        <v>0</v>
      </c>
      <c r="Z161" s="73">
        <f t="shared" si="12"/>
        <v>7961.864407</v>
      </c>
      <c r="AA161" s="73">
        <f t="shared" si="13"/>
        <v>7961.864407</v>
      </c>
      <c r="AB161" s="74">
        <f t="shared" si="14"/>
        <v>1</v>
      </c>
      <c r="AC161" s="61" t="str">
        <f t="shared" si="15"/>
        <v>8</v>
      </c>
      <c r="AD161" s="71" t="str">
        <f t="shared" si="16"/>
        <v>#DIV/0!</v>
      </c>
      <c r="AE161" s="61"/>
      <c r="AF161" s="61"/>
      <c r="AG161" s="71">
        <f t="array" ref="AG161">IFERROR(xlookup(G161,'Old Master'!T:T,'Old Master'!V:V),N161)</f>
        <v>0.1900163807</v>
      </c>
      <c r="AH161" s="73">
        <f t="shared" si="17"/>
        <v>9395</v>
      </c>
      <c r="AI161" s="73">
        <f t="shared" si="18"/>
        <v>7961.864407</v>
      </c>
      <c r="AJ161" s="72">
        <f t="shared" si="19"/>
        <v>1</v>
      </c>
      <c r="AK161" s="83"/>
      <c r="AL161" s="71">
        <f t="array" ref="AL161">iferror(if(isblank(xlookup($G161,'Old Master'!$T:$T,'Old Master'!$W:$W)),AG161,xlookup($G161,'Old Master'!$T:$T,'Old Master'!$W:$W)),AG161)</f>
        <v>0.1900163807</v>
      </c>
      <c r="AM161" s="74">
        <f t="shared" si="20"/>
        <v>0.1896715234</v>
      </c>
      <c r="AN161" s="73">
        <f t="shared" si="173"/>
        <v>9399</v>
      </c>
    </row>
    <row r="162">
      <c r="A162" s="65" t="s">
        <v>680</v>
      </c>
      <c r="B162" s="65">
        <f t="shared" si="1"/>
        <v>72</v>
      </c>
      <c r="C162" s="65" t="str">
        <f t="shared" si="2"/>
        <v>SC-ORIG-K-75x74x10</v>
      </c>
      <c r="D162" s="65" t="s">
        <v>682</v>
      </c>
      <c r="E162" s="65" t="s">
        <v>683</v>
      </c>
      <c r="F162" s="65" t="s">
        <v>684</v>
      </c>
      <c r="G162" s="65" t="s">
        <v>51</v>
      </c>
      <c r="H162" s="65" t="s">
        <v>52</v>
      </c>
      <c r="I162" s="65">
        <v>23599.0</v>
      </c>
      <c r="J162" s="66">
        <v>0.28</v>
      </c>
      <c r="K162" s="65">
        <f t="shared" si="3"/>
        <v>16991</v>
      </c>
      <c r="L162" s="66">
        <v>0.24</v>
      </c>
      <c r="M162" s="65">
        <f t="shared" si="4"/>
        <v>17935</v>
      </c>
      <c r="N162" s="67">
        <f t="shared" si="164"/>
        <v>0.1900080512</v>
      </c>
      <c r="O162" s="68">
        <v>19115.0</v>
      </c>
      <c r="P162" s="67">
        <f t="shared" si="174"/>
        <v>0.1900080512</v>
      </c>
      <c r="Q162" s="69">
        <v>19115.0</v>
      </c>
      <c r="R162" s="76"/>
      <c r="S162" s="72">
        <f t="shared" si="175"/>
        <v>0.0657931419</v>
      </c>
      <c r="T162" s="72">
        <f t="shared" si="6"/>
        <v>0</v>
      </c>
      <c r="U162" s="73" t="str">
        <f t="shared" si="136"/>
        <v/>
      </c>
      <c r="V162" s="73">
        <f t="shared" si="176"/>
        <v>15199.15254</v>
      </c>
      <c r="W162" s="73">
        <f t="shared" si="9"/>
        <v>15199.15254</v>
      </c>
      <c r="X162" s="74">
        <f t="shared" si="10"/>
        <v>1</v>
      </c>
      <c r="Y162" s="73">
        <f t="shared" si="11"/>
        <v>0</v>
      </c>
      <c r="Z162" s="73">
        <f t="shared" si="12"/>
        <v>16199.15254</v>
      </c>
      <c r="AA162" s="73">
        <f t="shared" si="13"/>
        <v>16199.15254</v>
      </c>
      <c r="AB162" s="74">
        <f t="shared" si="14"/>
        <v>1</v>
      </c>
      <c r="AC162" s="61" t="str">
        <f t="shared" si="15"/>
        <v>0</v>
      </c>
      <c r="AD162" s="71" t="str">
        <f t="shared" si="16"/>
        <v>#DIV/0!</v>
      </c>
      <c r="AE162" s="61"/>
      <c r="AF162" s="61"/>
      <c r="AG162" s="71">
        <f t="array" ref="AG162">IFERROR(xlookup(G162,'Old Master'!T:T,'Old Master'!V:V),N162)</f>
        <v>0.1900080512</v>
      </c>
      <c r="AH162" s="73">
        <f t="shared" si="17"/>
        <v>19115</v>
      </c>
      <c r="AI162" s="73">
        <f t="shared" si="18"/>
        <v>16199.15254</v>
      </c>
      <c r="AJ162" s="72">
        <f t="shared" si="19"/>
        <v>1</v>
      </c>
      <c r="AK162" s="83"/>
      <c r="AL162" s="71">
        <f t="array" ref="AL162">iferror(if(isblank(xlookup($G162,'Old Master'!$T:$T,'Old Master'!$W:$W)),AG162,xlookup($G162,'Old Master'!$T:$T,'Old Master'!$W:$W)),AG162)</f>
        <v>0.1900080512</v>
      </c>
      <c r="AM162" s="74">
        <f t="shared" si="20"/>
        <v>0.190686046</v>
      </c>
      <c r="AN162" s="73">
        <f t="shared" si="173"/>
        <v>19099</v>
      </c>
    </row>
    <row r="163">
      <c r="A163" s="65" t="s">
        <v>2329</v>
      </c>
      <c r="B163" s="65" t="str">
        <f t="shared" si="1"/>
        <v>#VALUE!</v>
      </c>
      <c r="C163" s="65" t="str">
        <f t="shared" si="2"/>
        <v>#VALUE!</v>
      </c>
      <c r="D163" s="65" t="s">
        <v>2331</v>
      </c>
      <c r="E163" s="65" t="s">
        <v>2332</v>
      </c>
      <c r="F163" s="65" t="s">
        <v>2333</v>
      </c>
      <c r="G163" s="65" t="s">
        <v>5077</v>
      </c>
      <c r="H163" s="65" t="s">
        <v>4730</v>
      </c>
      <c r="I163" s="65">
        <v>1089.0</v>
      </c>
      <c r="J163" s="66">
        <v>0.17447199265381086</v>
      </c>
      <c r="K163" s="65">
        <f t="shared" si="3"/>
        <v>899</v>
      </c>
      <c r="L163" s="66">
        <v>0.1</v>
      </c>
      <c r="M163" s="65">
        <f t="shared" si="4"/>
        <v>980</v>
      </c>
      <c r="N163" s="67">
        <f t="shared" si="164"/>
        <v>0.04958677686</v>
      </c>
      <c r="O163" s="68">
        <v>1035.0</v>
      </c>
      <c r="P163" s="67">
        <f t="shared" si="174"/>
        <v>0.04958677686</v>
      </c>
      <c r="Q163" s="69">
        <v>1035.0</v>
      </c>
      <c r="R163" s="70"/>
      <c r="S163" s="71">
        <f>O163/K163-1</f>
        <v>0.1512791991</v>
      </c>
      <c r="T163" s="72">
        <f t="shared" si="6"/>
        <v>0</v>
      </c>
      <c r="U163" s="73" t="str">
        <f t="shared" si="136"/>
        <v/>
      </c>
      <c r="V163" s="73">
        <f t="shared" si="176"/>
        <v>830.5084746</v>
      </c>
      <c r="W163" s="73">
        <f t="shared" si="9"/>
        <v>830.5084746</v>
      </c>
      <c r="X163" s="74">
        <f t="shared" si="10"/>
        <v>1</v>
      </c>
      <c r="Y163" s="73">
        <f t="shared" si="11"/>
        <v>0</v>
      </c>
      <c r="Z163" s="73">
        <f t="shared" si="12"/>
        <v>877.1186441</v>
      </c>
      <c r="AA163" s="73">
        <f t="shared" si="13"/>
        <v>877.1186441</v>
      </c>
      <c r="AB163" s="74">
        <f t="shared" si="14"/>
        <v>1</v>
      </c>
      <c r="AC163" s="61" t="str">
        <f t="shared" si="15"/>
        <v>2</v>
      </c>
      <c r="AD163" s="71" t="str">
        <f t="shared" si="16"/>
        <v>#DIV/0!</v>
      </c>
      <c r="AE163" s="61"/>
      <c r="AF163" s="61"/>
      <c r="AG163" s="71">
        <f t="array" ref="AG163">IFERROR(xlookup(G163,'Old Master'!T:T,'Old Master'!V:V),N163)</f>
        <v>0.04958677686</v>
      </c>
      <c r="AH163" s="73">
        <f t="shared" si="17"/>
        <v>1035</v>
      </c>
      <c r="AI163" s="73">
        <f t="shared" si="18"/>
        <v>877.1186441</v>
      </c>
      <c r="AJ163" s="72">
        <f t="shared" si="19"/>
        <v>1</v>
      </c>
      <c r="AK163" s="83"/>
      <c r="AL163" s="71">
        <f t="array" ref="AL163">iferror(if(isblank(xlookup($G163,'Old Master'!$T:$T,'Old Master'!$W:$W)),AG163,xlookup($G163,'Old Master'!$T:$T,'Old Master'!$W:$W)),AG163)</f>
        <v>0.04958677686</v>
      </c>
      <c r="AM163" s="74">
        <f t="shared" si="20"/>
        <v>0.04958677686</v>
      </c>
      <c r="AN163" s="73">
        <f>O163</f>
        <v>1035</v>
      </c>
    </row>
    <row r="164">
      <c r="A164" s="65" t="s">
        <v>1754</v>
      </c>
      <c r="B164" s="65">
        <f t="shared" si="1"/>
        <v>48</v>
      </c>
      <c r="C164" s="65" t="str">
        <f t="shared" si="2"/>
        <v>SC-ULTM-LATEX-D-78x50x8</v>
      </c>
      <c r="D164" s="65" t="s">
        <v>1756</v>
      </c>
      <c r="E164" s="65" t="s">
        <v>1757</v>
      </c>
      <c r="F164" s="65" t="s">
        <v>1758</v>
      </c>
      <c r="G164" s="65" t="s">
        <v>5109</v>
      </c>
      <c r="H164" s="65" t="s">
        <v>52</v>
      </c>
      <c r="I164" s="65">
        <v>24999.0</v>
      </c>
      <c r="J164" s="66">
        <v>0.23</v>
      </c>
      <c r="K164" s="65">
        <f t="shared" si="3"/>
        <v>19249</v>
      </c>
      <c r="L164" s="66">
        <v>0.18</v>
      </c>
      <c r="M164" s="65">
        <f t="shared" si="4"/>
        <v>20499</v>
      </c>
      <c r="N164" s="67">
        <f t="shared" si="164"/>
        <v>0.1000040002</v>
      </c>
      <c r="O164" s="68">
        <v>22499.0</v>
      </c>
      <c r="P164" s="67">
        <f t="shared" si="174"/>
        <v>0.1000040002</v>
      </c>
      <c r="Q164" s="69">
        <v>22499.0</v>
      </c>
      <c r="R164" s="70"/>
      <c r="S164" s="71">
        <f t="shared" ref="S164:S165" si="177">O164/M164-1</f>
        <v>0.09756573491</v>
      </c>
      <c r="T164" s="72">
        <f t="shared" si="6"/>
        <v>0</v>
      </c>
      <c r="U164" s="73" t="str">
        <f t="shared" si="136"/>
        <v/>
      </c>
      <c r="V164" s="73">
        <f t="shared" si="176"/>
        <v>17372.0339</v>
      </c>
      <c r="W164" s="73">
        <f t="shared" si="9"/>
        <v>17372.0339</v>
      </c>
      <c r="X164" s="74">
        <f t="shared" si="10"/>
        <v>1</v>
      </c>
      <c r="Y164" s="73">
        <f t="shared" si="11"/>
        <v>0</v>
      </c>
      <c r="Z164" s="73">
        <f t="shared" si="12"/>
        <v>19066.94915</v>
      </c>
      <c r="AA164" s="73">
        <f t="shared" si="13"/>
        <v>19066.94915</v>
      </c>
      <c r="AB164" s="74">
        <f t="shared" si="14"/>
        <v>1</v>
      </c>
      <c r="AC164" s="61" t="str">
        <f t="shared" si="15"/>
        <v>8</v>
      </c>
      <c r="AD164" s="71" t="str">
        <f t="shared" si="16"/>
        <v>#DIV/0!</v>
      </c>
      <c r="AE164" s="61"/>
      <c r="AF164" s="61"/>
      <c r="AG164" s="71">
        <f t="array" ref="AG164">IFERROR(xlookup(G164,'Old Master'!T:T,'Old Master'!V:V),N164)</f>
        <v>0.1000040002</v>
      </c>
      <c r="AH164" s="73">
        <f t="shared" si="17"/>
        <v>22499</v>
      </c>
      <c r="AI164" s="73">
        <f t="shared" si="18"/>
        <v>19066.94915</v>
      </c>
      <c r="AJ164" s="72">
        <f t="shared" si="19"/>
        <v>1</v>
      </c>
      <c r="AK164" s="83"/>
      <c r="AL164" s="71">
        <f t="array" ref="AL164">iferror(if(isblank(xlookup($G164,'Old Master'!$T:$T,'Old Master'!$W:$W)),AG164,xlookup($G164,'Old Master'!$T:$T,'Old Master'!$W:$W)),AG164)</f>
        <v>0.1000040002</v>
      </c>
      <c r="AM164" s="74">
        <f t="shared" si="20"/>
        <v>0.1000040002</v>
      </c>
      <c r="AN164" s="73">
        <f t="shared" ref="AN164:AN165" si="178">mround($I164*(1-AL164),100)-1</f>
        <v>22499</v>
      </c>
    </row>
    <row r="165">
      <c r="A165" s="65" t="s">
        <v>824</v>
      </c>
      <c r="B165" s="65">
        <f t="shared" si="1"/>
        <v>36</v>
      </c>
      <c r="C165" s="65" t="str">
        <f t="shared" si="2"/>
        <v>SC-HYB-LATEX-S-78x38x6</v>
      </c>
      <c r="D165" s="65" t="s">
        <v>826</v>
      </c>
      <c r="E165" s="65" t="s">
        <v>827</v>
      </c>
      <c r="F165" s="65" t="s">
        <v>828</v>
      </c>
      <c r="G165" s="65" t="s">
        <v>5108</v>
      </c>
      <c r="H165" s="65" t="s">
        <v>52</v>
      </c>
      <c r="I165" s="65">
        <v>11899.0</v>
      </c>
      <c r="J165" s="66">
        <v>0.25</v>
      </c>
      <c r="K165" s="65">
        <f t="shared" si="3"/>
        <v>8924</v>
      </c>
      <c r="L165" s="66">
        <v>0.2</v>
      </c>
      <c r="M165" s="65">
        <f t="shared" si="4"/>
        <v>9519</v>
      </c>
      <c r="N165" s="75">
        <v>0.16</v>
      </c>
      <c r="O165" s="68">
        <f>I165*(1-N165)</f>
        <v>9995.16</v>
      </c>
      <c r="P165" s="75">
        <v>0.13</v>
      </c>
      <c r="Q165" s="68">
        <f>I165*(1-P165)</f>
        <v>10352.13</v>
      </c>
      <c r="R165" s="71">
        <f>Q165/M165-1</f>
        <v>0.08752284904</v>
      </c>
      <c r="S165" s="71">
        <f t="shared" si="177"/>
        <v>0.05002206114</v>
      </c>
      <c r="T165" s="72">
        <f t="shared" si="6"/>
        <v>0</v>
      </c>
      <c r="U165" s="73" t="str">
        <f t="shared" si="136"/>
        <v/>
      </c>
      <c r="V165" s="73">
        <f t="shared" si="176"/>
        <v>8066.949153</v>
      </c>
      <c r="W165" s="73">
        <f t="shared" si="9"/>
        <v>8066.949153</v>
      </c>
      <c r="X165" s="74">
        <f t="shared" si="10"/>
        <v>1</v>
      </c>
      <c r="Y165" s="73">
        <f t="shared" si="11"/>
        <v>0</v>
      </c>
      <c r="Z165" s="73">
        <f t="shared" si="12"/>
        <v>8470.474576</v>
      </c>
      <c r="AA165" s="73">
        <f t="shared" si="13"/>
        <v>8470.474576</v>
      </c>
      <c r="AB165" s="74">
        <f t="shared" si="14"/>
        <v>1</v>
      </c>
      <c r="AC165" s="61" t="str">
        <f t="shared" si="15"/>
        <v>6</v>
      </c>
      <c r="AD165" s="71" t="str">
        <f t="shared" si="16"/>
        <v>#DIV/0!</v>
      </c>
      <c r="AE165" s="73">
        <f>Q165/118%-Y165</f>
        <v>8772.991525</v>
      </c>
      <c r="AF165" s="74">
        <f>AE165/(Q165/1.18)</f>
        <v>1</v>
      </c>
      <c r="AG165" s="71">
        <f t="array" ref="AG165">IFERROR(xlookup(G165,'Old Master'!T:T,'Old Master'!V:V),N165)</f>
        <v>0.16</v>
      </c>
      <c r="AH165" s="73">
        <f t="shared" si="17"/>
        <v>9995.16</v>
      </c>
      <c r="AI165" s="73">
        <f t="shared" si="18"/>
        <v>8470.474576</v>
      </c>
      <c r="AJ165" s="72">
        <f t="shared" si="19"/>
        <v>1</v>
      </c>
      <c r="AK165" s="83"/>
      <c r="AL165" s="71">
        <f t="array" ref="AL165">iferror(if(isblank(xlookup($G165,'Old Master'!$T:$T,'Old Master'!$W:$W)),AG165,xlookup($G165,'Old Master'!$T:$T,'Old Master'!$W:$W)),AG165)</f>
        <v>0.16</v>
      </c>
      <c r="AM165" s="74">
        <f t="shared" si="20"/>
        <v>0.1596772838</v>
      </c>
      <c r="AN165" s="73">
        <f t="shared" si="178"/>
        <v>9999</v>
      </c>
    </row>
    <row r="166">
      <c r="A166" s="65" t="s">
        <v>3793</v>
      </c>
      <c r="B166" s="65">
        <f t="shared" si="1"/>
        <v>48</v>
      </c>
      <c r="C166" s="65" t="str">
        <f t="shared" si="2"/>
        <v>SC-MFMTTOPPER-D-72x50x2</v>
      </c>
      <c r="D166" s="65" t="s">
        <v>3795</v>
      </c>
      <c r="E166" s="65">
        <v>0.0</v>
      </c>
      <c r="F166" s="65">
        <v>0.0</v>
      </c>
      <c r="G166" s="65" t="s">
        <v>5132</v>
      </c>
      <c r="H166" s="65" t="s">
        <v>4730</v>
      </c>
      <c r="I166" s="65">
        <v>6999.0</v>
      </c>
      <c r="J166" s="66">
        <v>0.3014716388055436</v>
      </c>
      <c r="K166" s="65">
        <f t="shared" si="3"/>
        <v>4889</v>
      </c>
      <c r="L166" s="66">
        <v>0.15</v>
      </c>
      <c r="M166" s="65">
        <f t="shared" si="4"/>
        <v>5949</v>
      </c>
      <c r="N166" s="67">
        <f t="shared" ref="N166:N172" si="179">1-O166/I166</f>
        <v>0.2514644949</v>
      </c>
      <c r="O166" s="68">
        <v>5239.0</v>
      </c>
      <c r="P166" s="67">
        <f t="shared" ref="P166:P172" si="180">1-Q166/I166</f>
        <v>0.2514644949</v>
      </c>
      <c r="Q166" s="69">
        <v>5239.0</v>
      </c>
      <c r="R166" s="70"/>
      <c r="S166" s="71">
        <f t="shared" ref="S166:S167" si="181">O166/K166-1</f>
        <v>0.07158928206</v>
      </c>
      <c r="T166" s="72">
        <f t="shared" si="6"/>
        <v>0</v>
      </c>
      <c r="U166" s="73" t="str">
        <f t="shared" si="136"/>
        <v/>
      </c>
      <c r="V166" s="73">
        <f t="shared" ref="V166:V167" si="182">K166/1.18</f>
        <v>4143.220339</v>
      </c>
      <c r="W166" s="73">
        <f t="shared" si="9"/>
        <v>4143.220339</v>
      </c>
      <c r="X166" s="74">
        <f t="shared" si="10"/>
        <v>1</v>
      </c>
      <c r="Y166" s="73">
        <f t="shared" si="11"/>
        <v>0</v>
      </c>
      <c r="Z166" s="73">
        <f t="shared" si="12"/>
        <v>4439.830508</v>
      </c>
      <c r="AA166" s="73">
        <f t="shared" si="13"/>
        <v>4439.830508</v>
      </c>
      <c r="AB166" s="74">
        <f t="shared" si="14"/>
        <v>1</v>
      </c>
      <c r="AC166" s="61" t="str">
        <f t="shared" si="15"/>
        <v>2</v>
      </c>
      <c r="AD166" s="71" t="str">
        <f t="shared" si="16"/>
        <v>#DIV/0!</v>
      </c>
      <c r="AE166" s="61"/>
      <c r="AF166" s="61"/>
      <c r="AG166" s="71">
        <f t="array" ref="AG166">IFERROR(xlookup(G166,'Old Master'!T:T,'Old Master'!V:V),N166)</f>
        <v>0.2514644949</v>
      </c>
      <c r="AH166" s="73">
        <f t="shared" si="17"/>
        <v>5239</v>
      </c>
      <c r="AI166" s="73">
        <f t="shared" si="18"/>
        <v>4439.830508</v>
      </c>
      <c r="AJ166" s="72">
        <f t="shared" si="19"/>
        <v>1</v>
      </c>
      <c r="AK166" s="83"/>
      <c r="AL166" s="71">
        <f t="array" ref="AL166">iferror(if(isblank(xlookup($G166,'Old Master'!$T:$T,'Old Master'!$W:$W)),AG166,xlookup($G166,'Old Master'!$T:$T,'Old Master'!$W:$W)),AG166)</f>
        <v>0.2514644949</v>
      </c>
      <c r="AM166" s="74">
        <f t="shared" si="20"/>
        <v>0.2514644949</v>
      </c>
      <c r="AN166" s="73">
        <f t="shared" ref="AN166:AN167" si="183">O166</f>
        <v>5239</v>
      </c>
    </row>
    <row r="167">
      <c r="A167" s="65" t="s">
        <v>2167</v>
      </c>
      <c r="B167" s="65" t="str">
        <f t="shared" si="1"/>
        <v>#VALUE!</v>
      </c>
      <c r="C167" s="65" t="str">
        <f t="shared" si="2"/>
        <v>#VALUE!</v>
      </c>
      <c r="D167" s="65" t="s">
        <v>2169</v>
      </c>
      <c r="E167" s="65">
        <v>0.0</v>
      </c>
      <c r="F167" s="65">
        <v>0.0</v>
      </c>
      <c r="G167" s="65" t="s">
        <v>5103</v>
      </c>
      <c r="H167" s="65" t="s">
        <v>4730</v>
      </c>
      <c r="I167" s="65">
        <v>7499.0</v>
      </c>
      <c r="J167" s="66">
        <v>0.3</v>
      </c>
      <c r="K167" s="65">
        <f t="shared" si="3"/>
        <v>5249</v>
      </c>
      <c r="L167" s="66">
        <v>0.3</v>
      </c>
      <c r="M167" s="65">
        <f t="shared" si="4"/>
        <v>5249</v>
      </c>
      <c r="N167" s="67">
        <f t="shared" si="179"/>
        <v>0.2</v>
      </c>
      <c r="O167" s="78">
        <v>5999.200000000001</v>
      </c>
      <c r="P167" s="67">
        <f t="shared" si="180"/>
        <v>0.2</v>
      </c>
      <c r="Q167" s="82">
        <v>5999.200000000001</v>
      </c>
      <c r="R167" s="70"/>
      <c r="S167" s="71">
        <f t="shared" si="181"/>
        <v>0.1429224614</v>
      </c>
      <c r="T167" s="72">
        <f t="shared" si="6"/>
        <v>0</v>
      </c>
      <c r="U167" s="73" t="str">
        <f t="shared" si="136"/>
        <v/>
      </c>
      <c r="V167" s="73">
        <f t="shared" si="182"/>
        <v>4448.305085</v>
      </c>
      <c r="W167" s="73">
        <f t="shared" si="9"/>
        <v>4448.305085</v>
      </c>
      <c r="X167" s="74">
        <f t="shared" si="10"/>
        <v>1</v>
      </c>
      <c r="Y167" s="73">
        <f t="shared" si="11"/>
        <v>0</v>
      </c>
      <c r="Z167" s="73">
        <f t="shared" si="12"/>
        <v>5084.067797</v>
      </c>
      <c r="AA167" s="73">
        <f t="shared" si="13"/>
        <v>5084.067797</v>
      </c>
      <c r="AB167" s="74">
        <f t="shared" si="14"/>
        <v>1</v>
      </c>
      <c r="AC167" s="61" t="str">
        <f t="shared" si="15"/>
        <v>2</v>
      </c>
      <c r="AD167" s="71" t="str">
        <f t="shared" si="16"/>
        <v>#DIV/0!</v>
      </c>
      <c r="AE167" s="61"/>
      <c r="AF167" s="61"/>
      <c r="AG167" s="71">
        <f t="array" ref="AG167">IFERROR(xlookup(G167,'Old Master'!T:T,'Old Master'!V:V),N167)</f>
        <v>0.2</v>
      </c>
      <c r="AH167" s="73">
        <f t="shared" si="17"/>
        <v>5999.2</v>
      </c>
      <c r="AI167" s="73">
        <f t="shared" si="18"/>
        <v>5084.067797</v>
      </c>
      <c r="AJ167" s="72">
        <f t="shared" si="19"/>
        <v>1</v>
      </c>
      <c r="AK167" s="83"/>
      <c r="AL167" s="71">
        <f t="array" ref="AL167">iferror(if(isblank(xlookup($G167,'Old Master'!$T:$T,'Old Master'!$W:$W)),AG167,xlookup($G167,'Old Master'!$T:$T,'Old Master'!$W:$W)),AG167)</f>
        <v>0.2</v>
      </c>
      <c r="AM167" s="74">
        <f t="shared" si="20"/>
        <v>0.2</v>
      </c>
      <c r="AN167" s="73">
        <f t="shared" si="183"/>
        <v>5999.2</v>
      </c>
    </row>
    <row r="168">
      <c r="A168" s="65" t="s">
        <v>367</v>
      </c>
      <c r="B168" s="65">
        <f t="shared" si="1"/>
        <v>66</v>
      </c>
      <c r="C168" s="65" t="str">
        <f t="shared" si="2"/>
        <v>SC-ORIG-Q-78x68x6</v>
      </c>
      <c r="D168" s="65" t="s">
        <v>369</v>
      </c>
      <c r="E168" s="65" t="s">
        <v>370</v>
      </c>
      <c r="F168" s="65" t="s">
        <v>371</v>
      </c>
      <c r="G168" s="65" t="s">
        <v>51</v>
      </c>
      <c r="H168" s="65" t="s">
        <v>52</v>
      </c>
      <c r="I168" s="65">
        <v>18199.0</v>
      </c>
      <c r="J168" s="66">
        <v>0.28</v>
      </c>
      <c r="K168" s="65">
        <f t="shared" si="3"/>
        <v>13103</v>
      </c>
      <c r="L168" s="66">
        <v>0.24</v>
      </c>
      <c r="M168" s="65">
        <f t="shared" si="4"/>
        <v>13831</v>
      </c>
      <c r="N168" s="67">
        <f t="shared" si="179"/>
        <v>0.1900104401</v>
      </c>
      <c r="O168" s="68">
        <v>14741.0</v>
      </c>
      <c r="P168" s="67">
        <f t="shared" si="180"/>
        <v>0.1900104401</v>
      </c>
      <c r="Q168" s="69">
        <v>14741.0</v>
      </c>
      <c r="R168" s="76"/>
      <c r="S168" s="72">
        <f t="shared" ref="S168:S178" si="184">O168/M168-1</f>
        <v>0.06579423035</v>
      </c>
      <c r="T168" s="72">
        <f t="shared" si="6"/>
        <v>0</v>
      </c>
      <c r="U168" s="73" t="str">
        <f t="shared" si="136"/>
        <v/>
      </c>
      <c r="V168" s="73">
        <f t="shared" ref="V168:V184" si="185">M168/1.18</f>
        <v>11721.18644</v>
      </c>
      <c r="W168" s="73">
        <f t="shared" si="9"/>
        <v>11721.18644</v>
      </c>
      <c r="X168" s="74">
        <f t="shared" si="10"/>
        <v>1</v>
      </c>
      <c r="Y168" s="73">
        <f t="shared" si="11"/>
        <v>0</v>
      </c>
      <c r="Z168" s="73">
        <f t="shared" si="12"/>
        <v>12492.37288</v>
      </c>
      <c r="AA168" s="73">
        <f t="shared" si="13"/>
        <v>12492.37288</v>
      </c>
      <c r="AB168" s="74">
        <f t="shared" si="14"/>
        <v>1</v>
      </c>
      <c r="AC168" s="61" t="str">
        <f t="shared" si="15"/>
        <v>6</v>
      </c>
      <c r="AD168" s="71" t="str">
        <f t="shared" si="16"/>
        <v>#DIV/0!</v>
      </c>
      <c r="AE168" s="61"/>
      <c r="AF168" s="61"/>
      <c r="AG168" s="71">
        <f t="array" ref="AG168">IFERROR(xlookup(G168,'Old Master'!T:T,'Old Master'!V:V),N168)</f>
        <v>0.1900104401</v>
      </c>
      <c r="AH168" s="73">
        <f t="shared" si="17"/>
        <v>14741</v>
      </c>
      <c r="AI168" s="73">
        <f t="shared" si="18"/>
        <v>12492.37288</v>
      </c>
      <c r="AJ168" s="72">
        <f t="shared" si="19"/>
        <v>1</v>
      </c>
      <c r="AK168" s="83"/>
      <c r="AL168" s="71">
        <f t="array" ref="AL168">iferror(if(isblank(xlookup($G168,'Old Master'!$T:$T,'Old Master'!$W:$W)),AG168,xlookup($G168,'Old Master'!$T:$T,'Old Master'!$W:$W)),AG168)</f>
        <v>0.1900104401</v>
      </c>
      <c r="AM168" s="74">
        <f t="shared" si="20"/>
        <v>0.1923182592</v>
      </c>
      <c r="AN168" s="73">
        <f t="shared" ref="AN168:AN178" si="186">mround($I168*(1-AL168),100)-1</f>
        <v>14699</v>
      </c>
    </row>
    <row r="169">
      <c r="A169" s="65" t="s">
        <v>1836</v>
      </c>
      <c r="B169" s="65">
        <f t="shared" si="1"/>
        <v>66</v>
      </c>
      <c r="C169" s="65" t="str">
        <f t="shared" si="2"/>
        <v>SC-ULTM-LATEX-Q-75x68x8</v>
      </c>
      <c r="D169" s="65">
        <v>0.0</v>
      </c>
      <c r="E169" s="65">
        <v>0.0</v>
      </c>
      <c r="F169" s="65" t="s">
        <v>1839</v>
      </c>
      <c r="G169" s="65" t="s">
        <v>5109</v>
      </c>
      <c r="H169" s="65" t="s">
        <v>52</v>
      </c>
      <c r="I169" s="65">
        <v>34999.0</v>
      </c>
      <c r="J169" s="66">
        <v>0.23</v>
      </c>
      <c r="K169" s="65">
        <f t="shared" si="3"/>
        <v>26949</v>
      </c>
      <c r="L169" s="66">
        <v>0.18</v>
      </c>
      <c r="M169" s="65">
        <f t="shared" si="4"/>
        <v>28699</v>
      </c>
      <c r="N169" s="67">
        <f t="shared" si="179"/>
        <v>0.1000028572</v>
      </c>
      <c r="O169" s="68">
        <v>31499.0</v>
      </c>
      <c r="P169" s="67">
        <f t="shared" si="180"/>
        <v>0.1000028572</v>
      </c>
      <c r="Q169" s="69">
        <v>31499.0</v>
      </c>
      <c r="R169" s="70"/>
      <c r="S169" s="71">
        <f t="shared" si="184"/>
        <v>0.09756437507</v>
      </c>
      <c r="T169" s="72">
        <f t="shared" si="6"/>
        <v>0</v>
      </c>
      <c r="U169" s="73">
        <f t="array" ref="U169">IFERROR(XLOOKUP(A169,COGS!I:I,COGS!J:J), IFERROR(XLOOKUP(C169,COGS!I:I,COGS!J:J),I169*35%))</f>
        <v>12249.65</v>
      </c>
      <c r="V169" s="73">
        <f t="shared" si="185"/>
        <v>24321.18644</v>
      </c>
      <c r="W169" s="73">
        <f t="shared" si="9"/>
        <v>12071.53644</v>
      </c>
      <c r="X169" s="74">
        <f t="shared" si="10"/>
        <v>0.4963383045</v>
      </c>
      <c r="Y169" s="73">
        <f t="shared" si="11"/>
        <v>14087.0975</v>
      </c>
      <c r="Z169" s="73">
        <f t="shared" si="12"/>
        <v>26694.0678</v>
      </c>
      <c r="AA169" s="73">
        <f t="shared" si="13"/>
        <v>12606.9703</v>
      </c>
      <c r="AB169" s="74">
        <f t="shared" si="14"/>
        <v>0.4722761024</v>
      </c>
      <c r="AC169" s="61" t="str">
        <f t="shared" si="15"/>
        <v>8</v>
      </c>
      <c r="AD169" s="71">
        <f t="shared" si="16"/>
        <v>0.15</v>
      </c>
      <c r="AE169" s="61"/>
      <c r="AF169" s="61"/>
      <c r="AG169" s="71">
        <f t="array" ref="AG169">IFERROR(xlookup(G169,'Old Master'!T:T,'Old Master'!V:V),N169)</f>
        <v>0.1000028572</v>
      </c>
      <c r="AH169" s="73">
        <f t="shared" si="17"/>
        <v>31499</v>
      </c>
      <c r="AI169" s="73">
        <f t="shared" si="18"/>
        <v>12606.9703</v>
      </c>
      <c r="AJ169" s="72">
        <f t="shared" si="19"/>
        <v>0.4722761024</v>
      </c>
      <c r="AK169" s="83"/>
      <c r="AL169" s="71">
        <f t="array" ref="AL169">iferror(if(isblank(xlookup($G169,'Old Master'!$T:$T,'Old Master'!$W:$W)),AG169,xlookup($G169,'Old Master'!$T:$T,'Old Master'!$W:$W)),AG169)</f>
        <v>0.1000028572</v>
      </c>
      <c r="AM169" s="74">
        <f t="shared" si="20"/>
        <v>0.1000028572</v>
      </c>
      <c r="AN169" s="73">
        <f t="shared" si="186"/>
        <v>31499</v>
      </c>
    </row>
    <row r="170">
      <c r="A170" s="65" t="s">
        <v>1565</v>
      </c>
      <c r="B170" s="65">
        <f t="shared" si="1"/>
        <v>48</v>
      </c>
      <c r="C170" s="65" t="str">
        <f t="shared" si="2"/>
        <v>SC-ULTM-D-78x50x8</v>
      </c>
      <c r="D170" s="65" t="s">
        <v>1567</v>
      </c>
      <c r="E170" s="65" t="s">
        <v>1565</v>
      </c>
      <c r="F170" s="65" t="s">
        <v>1565</v>
      </c>
      <c r="G170" s="65" t="s">
        <v>5112</v>
      </c>
      <c r="H170" s="65" t="s">
        <v>52</v>
      </c>
      <c r="I170" s="65">
        <v>18999.0</v>
      </c>
      <c r="J170" s="66">
        <v>0.25</v>
      </c>
      <c r="K170" s="65">
        <f t="shared" si="3"/>
        <v>14249</v>
      </c>
      <c r="L170" s="66">
        <v>0.22</v>
      </c>
      <c r="M170" s="65">
        <f t="shared" si="4"/>
        <v>14819</v>
      </c>
      <c r="N170" s="67">
        <f t="shared" si="179"/>
        <v>0.1000052634</v>
      </c>
      <c r="O170" s="68">
        <v>17099.0</v>
      </c>
      <c r="P170" s="67">
        <f t="shared" si="180"/>
        <v>0.1000052634</v>
      </c>
      <c r="Q170" s="69">
        <v>17099.0</v>
      </c>
      <c r="R170" s="70"/>
      <c r="S170" s="71">
        <f t="shared" si="184"/>
        <v>0.1538565355</v>
      </c>
      <c r="T170" s="72">
        <f t="shared" si="6"/>
        <v>0</v>
      </c>
      <c r="U170" s="73" t="str">
        <f t="shared" ref="U170:U203" si="187">IFERROR(XLOOKUP(A170,COGS!I:I,COGS!J:J), IFERROR(XLOOKUP(C170,COGS!I:I,COGS!J:J),""))</f>
        <v/>
      </c>
      <c r="V170" s="73">
        <f t="shared" si="185"/>
        <v>12558.47458</v>
      </c>
      <c r="W170" s="73">
        <f t="shared" si="9"/>
        <v>12558.47458</v>
      </c>
      <c r="X170" s="74">
        <f t="shared" si="10"/>
        <v>1</v>
      </c>
      <c r="Y170" s="73">
        <f t="shared" si="11"/>
        <v>0</v>
      </c>
      <c r="Z170" s="73">
        <f t="shared" si="12"/>
        <v>14490.67797</v>
      </c>
      <c r="AA170" s="73">
        <f t="shared" si="13"/>
        <v>14490.67797</v>
      </c>
      <c r="AB170" s="74">
        <f t="shared" si="14"/>
        <v>1</v>
      </c>
      <c r="AC170" s="61" t="str">
        <f t="shared" si="15"/>
        <v>8</v>
      </c>
      <c r="AD170" s="71" t="str">
        <f t="shared" si="16"/>
        <v>#DIV/0!</v>
      </c>
      <c r="AE170" s="61"/>
      <c r="AF170" s="61"/>
      <c r="AG170" s="71">
        <f t="array" ref="AG170">IFERROR(xlookup(G170,'Old Master'!T:T,'Old Master'!V:V),N170)</f>
        <v>0.1000052634</v>
      </c>
      <c r="AH170" s="73">
        <f t="shared" si="17"/>
        <v>17099</v>
      </c>
      <c r="AI170" s="73">
        <f t="shared" si="18"/>
        <v>14490.67797</v>
      </c>
      <c r="AJ170" s="72">
        <f t="shared" si="19"/>
        <v>1</v>
      </c>
      <c r="AK170" s="83"/>
      <c r="AL170" s="71">
        <f t="array" ref="AL170">iferror(if(isblank(xlookup($G170,'Old Master'!$T:$T,'Old Master'!$W:$W)),AG170,xlookup($G170,'Old Master'!$T:$T,'Old Master'!$W:$W)),AG170)</f>
        <v>0.1000052634</v>
      </c>
      <c r="AM170" s="74">
        <f t="shared" si="20"/>
        <v>0.1000052634</v>
      </c>
      <c r="AN170" s="73">
        <f t="shared" si="186"/>
        <v>17099</v>
      </c>
    </row>
    <row r="171">
      <c r="A171" s="65" t="s">
        <v>1585</v>
      </c>
      <c r="B171" s="65">
        <f t="shared" si="1"/>
        <v>60</v>
      </c>
      <c r="C171" s="65" t="str">
        <f t="shared" si="2"/>
        <v>SC-ULTM-Q-72x62x10</v>
      </c>
      <c r="D171" s="65" t="s">
        <v>1587</v>
      </c>
      <c r="E171" s="65" t="s">
        <v>1585</v>
      </c>
      <c r="F171" s="65" t="s">
        <v>1585</v>
      </c>
      <c r="G171" s="65" t="s">
        <v>5112</v>
      </c>
      <c r="H171" s="65" t="s">
        <v>52</v>
      </c>
      <c r="I171" s="65">
        <v>25999.0</v>
      </c>
      <c r="J171" s="66">
        <v>0.25</v>
      </c>
      <c r="K171" s="65">
        <f t="shared" si="3"/>
        <v>19499</v>
      </c>
      <c r="L171" s="66">
        <v>0.22</v>
      </c>
      <c r="M171" s="65">
        <f t="shared" si="4"/>
        <v>20279</v>
      </c>
      <c r="N171" s="67">
        <f t="shared" si="179"/>
        <v>0.1000038463</v>
      </c>
      <c r="O171" s="68">
        <v>23399.0</v>
      </c>
      <c r="P171" s="67">
        <f t="shared" si="180"/>
        <v>0.1000038463</v>
      </c>
      <c r="Q171" s="69">
        <v>23399.0</v>
      </c>
      <c r="R171" s="70"/>
      <c r="S171" s="71">
        <f t="shared" si="184"/>
        <v>0.1538537403</v>
      </c>
      <c r="T171" s="72">
        <f t="shared" si="6"/>
        <v>0</v>
      </c>
      <c r="U171" s="73" t="str">
        <f t="shared" si="187"/>
        <v/>
      </c>
      <c r="V171" s="73">
        <f t="shared" si="185"/>
        <v>17185.59322</v>
      </c>
      <c r="W171" s="73">
        <f t="shared" si="9"/>
        <v>17185.59322</v>
      </c>
      <c r="X171" s="74">
        <f t="shared" si="10"/>
        <v>1</v>
      </c>
      <c r="Y171" s="73">
        <f t="shared" si="11"/>
        <v>0</v>
      </c>
      <c r="Z171" s="73">
        <f t="shared" si="12"/>
        <v>19829.66102</v>
      </c>
      <c r="AA171" s="73">
        <f t="shared" si="13"/>
        <v>19829.66102</v>
      </c>
      <c r="AB171" s="74">
        <f t="shared" si="14"/>
        <v>1</v>
      </c>
      <c r="AC171" s="61" t="str">
        <f t="shared" si="15"/>
        <v>0</v>
      </c>
      <c r="AD171" s="71" t="str">
        <f t="shared" si="16"/>
        <v>#DIV/0!</v>
      </c>
      <c r="AE171" s="61"/>
      <c r="AF171" s="61"/>
      <c r="AG171" s="71">
        <f t="array" ref="AG171">IFERROR(xlookup(G171,'Old Master'!T:T,'Old Master'!V:V),N171)</f>
        <v>0.1000038463</v>
      </c>
      <c r="AH171" s="73">
        <f t="shared" si="17"/>
        <v>23399</v>
      </c>
      <c r="AI171" s="73">
        <f t="shared" si="18"/>
        <v>19829.66102</v>
      </c>
      <c r="AJ171" s="72">
        <f t="shared" si="19"/>
        <v>1</v>
      </c>
      <c r="AK171" s="83"/>
      <c r="AL171" s="71">
        <f t="array" ref="AL171">iferror(if(isblank(xlookup($G171,'Old Master'!$T:$T,'Old Master'!$W:$W)),AG171,xlookup($G171,'Old Master'!$T:$T,'Old Master'!$W:$W)),AG171)</f>
        <v>0.1000038463</v>
      </c>
      <c r="AM171" s="74">
        <f t="shared" si="20"/>
        <v>0.1000038463</v>
      </c>
      <c r="AN171" s="73">
        <f t="shared" si="186"/>
        <v>23399</v>
      </c>
    </row>
    <row r="172">
      <c r="A172" s="65" t="s">
        <v>2071</v>
      </c>
      <c r="B172" s="65">
        <f t="shared" si="1"/>
        <v>60</v>
      </c>
      <c r="C172" s="65" t="str">
        <f t="shared" si="2"/>
        <v>SC-CLD-SPR-Q-72x62x8</v>
      </c>
      <c r="D172" s="65" t="s">
        <v>2073</v>
      </c>
      <c r="E172" s="65" t="s">
        <v>2074</v>
      </c>
      <c r="F172" s="65" t="s">
        <v>2075</v>
      </c>
      <c r="G172" s="65" t="s">
        <v>5138</v>
      </c>
      <c r="H172" s="65" t="s">
        <v>52</v>
      </c>
      <c r="I172" s="65">
        <v>25999.0</v>
      </c>
      <c r="J172" s="66">
        <v>0.25</v>
      </c>
      <c r="K172" s="65">
        <f t="shared" si="3"/>
        <v>19499</v>
      </c>
      <c r="L172" s="66">
        <v>0.2</v>
      </c>
      <c r="M172" s="65">
        <f t="shared" si="4"/>
        <v>20799</v>
      </c>
      <c r="N172" s="67">
        <f t="shared" si="179"/>
        <v>0.1000038463</v>
      </c>
      <c r="O172" s="68">
        <v>23399.0</v>
      </c>
      <c r="P172" s="67">
        <f t="shared" si="180"/>
        <v>0.1000038463</v>
      </c>
      <c r="Q172" s="69">
        <v>23399.0</v>
      </c>
      <c r="R172" s="70"/>
      <c r="S172" s="71">
        <f t="shared" si="184"/>
        <v>0.1250060099</v>
      </c>
      <c r="T172" s="72">
        <f t="shared" si="6"/>
        <v>0</v>
      </c>
      <c r="U172" s="73" t="str">
        <f t="shared" si="187"/>
        <v/>
      </c>
      <c r="V172" s="73">
        <f t="shared" si="185"/>
        <v>17626.27119</v>
      </c>
      <c r="W172" s="73">
        <f t="shared" si="9"/>
        <v>17626.27119</v>
      </c>
      <c r="X172" s="74">
        <f t="shared" si="10"/>
        <v>1</v>
      </c>
      <c r="Y172" s="73">
        <f t="shared" si="11"/>
        <v>0</v>
      </c>
      <c r="Z172" s="73">
        <f t="shared" si="12"/>
        <v>19829.66102</v>
      </c>
      <c r="AA172" s="73">
        <f t="shared" si="13"/>
        <v>19829.66102</v>
      </c>
      <c r="AB172" s="74">
        <f t="shared" si="14"/>
        <v>1</v>
      </c>
      <c r="AC172" s="61" t="str">
        <f t="shared" si="15"/>
        <v>8</v>
      </c>
      <c r="AD172" s="71" t="str">
        <f t="shared" si="16"/>
        <v>#DIV/0!</v>
      </c>
      <c r="AE172" s="61"/>
      <c r="AF172" s="61"/>
      <c r="AG172" s="71">
        <f t="array" ref="AG172">IFERROR(xlookup(G172,'Old Master'!T:T,'Old Master'!V:V),N172)</f>
        <v>0.1000038463</v>
      </c>
      <c r="AH172" s="73">
        <f t="shared" si="17"/>
        <v>23399</v>
      </c>
      <c r="AI172" s="73">
        <f t="shared" si="18"/>
        <v>19829.66102</v>
      </c>
      <c r="AJ172" s="72">
        <f t="shared" si="19"/>
        <v>1</v>
      </c>
      <c r="AK172" s="83"/>
      <c r="AL172" s="71">
        <f t="array" ref="AL172">iferror(if(isblank(xlookup($G172,'Old Master'!$T:$T,'Old Master'!$W:$W)),AG172,xlookup($G172,'Old Master'!$T:$T,'Old Master'!$W:$W)),AG172)</f>
        <v>0.1000038463</v>
      </c>
      <c r="AM172" s="74">
        <f t="shared" si="20"/>
        <v>0.1000038463</v>
      </c>
      <c r="AN172" s="73">
        <f t="shared" si="186"/>
        <v>23399</v>
      </c>
    </row>
    <row r="173">
      <c r="A173" s="65" t="s">
        <v>804</v>
      </c>
      <c r="B173" s="65">
        <f t="shared" si="1"/>
        <v>30</v>
      </c>
      <c r="C173" s="65" t="str">
        <f t="shared" si="2"/>
        <v>SC-HYB-LATEX-S-72x32x6</v>
      </c>
      <c r="D173" s="65" t="s">
        <v>806</v>
      </c>
      <c r="E173" s="65" t="s">
        <v>807</v>
      </c>
      <c r="F173" s="65" t="s">
        <v>808</v>
      </c>
      <c r="G173" s="65" t="s">
        <v>5108</v>
      </c>
      <c r="H173" s="65" t="s">
        <v>52</v>
      </c>
      <c r="I173" s="65">
        <v>10999.0</v>
      </c>
      <c r="J173" s="66">
        <v>0.25</v>
      </c>
      <c r="K173" s="65">
        <f t="shared" si="3"/>
        <v>8249</v>
      </c>
      <c r="L173" s="66">
        <v>0.2</v>
      </c>
      <c r="M173" s="65">
        <f t="shared" si="4"/>
        <v>8799</v>
      </c>
      <c r="N173" s="75">
        <v>0.16</v>
      </c>
      <c r="O173" s="68">
        <f t="shared" ref="O173:O174" si="188">I173*(1-N173)</f>
        <v>9239.16</v>
      </c>
      <c r="P173" s="75">
        <v>0.13</v>
      </c>
      <c r="Q173" s="68">
        <f t="shared" ref="Q173:Q175" si="189">I173*(1-P173)</f>
        <v>9569.13</v>
      </c>
      <c r="R173" s="71">
        <f t="shared" ref="R173:R174" si="190">Q173/M173-1</f>
        <v>0.08752471872</v>
      </c>
      <c r="S173" s="71">
        <f t="shared" si="184"/>
        <v>0.05002386635</v>
      </c>
      <c r="T173" s="72">
        <f t="shared" si="6"/>
        <v>0</v>
      </c>
      <c r="U173" s="73" t="str">
        <f t="shared" si="187"/>
        <v/>
      </c>
      <c r="V173" s="73">
        <f t="shared" si="185"/>
        <v>7456.779661</v>
      </c>
      <c r="W173" s="73">
        <f t="shared" si="9"/>
        <v>7456.779661</v>
      </c>
      <c r="X173" s="74">
        <f t="shared" si="10"/>
        <v>1</v>
      </c>
      <c r="Y173" s="73">
        <f t="shared" si="11"/>
        <v>0</v>
      </c>
      <c r="Z173" s="73">
        <f t="shared" si="12"/>
        <v>7829.79661</v>
      </c>
      <c r="AA173" s="73">
        <f t="shared" si="13"/>
        <v>7829.79661</v>
      </c>
      <c r="AB173" s="74">
        <f t="shared" si="14"/>
        <v>1</v>
      </c>
      <c r="AC173" s="61" t="str">
        <f t="shared" si="15"/>
        <v>6</v>
      </c>
      <c r="AD173" s="71" t="str">
        <f t="shared" si="16"/>
        <v>#DIV/0!</v>
      </c>
      <c r="AE173" s="73">
        <f t="shared" ref="AE173:AE174" si="191">Q173/118%-Y173</f>
        <v>8109.432203</v>
      </c>
      <c r="AF173" s="74">
        <f t="shared" ref="AF173:AF174" si="192">AE173/(Q173/1.18)</f>
        <v>1</v>
      </c>
      <c r="AG173" s="71">
        <f t="array" ref="AG173">IFERROR(xlookup(G173,'Old Master'!T:T,'Old Master'!V:V),N173)</f>
        <v>0.16</v>
      </c>
      <c r="AH173" s="73">
        <f t="shared" si="17"/>
        <v>9239.16</v>
      </c>
      <c r="AI173" s="73">
        <f t="shared" si="18"/>
        <v>7829.79661</v>
      </c>
      <c r="AJ173" s="72">
        <f t="shared" si="19"/>
        <v>1</v>
      </c>
      <c r="AK173" s="83"/>
      <c r="AL173" s="71">
        <f t="array" ref="AL173">iferror(if(isblank(xlookup($G173,'Old Master'!$T:$T,'Old Master'!$W:$W)),AG173,xlookup($G173,'Old Master'!$T:$T,'Old Master'!$W:$W)),AG173)</f>
        <v>0.16</v>
      </c>
      <c r="AM173" s="74">
        <f t="shared" si="20"/>
        <v>0.163651241</v>
      </c>
      <c r="AN173" s="73">
        <f t="shared" si="186"/>
        <v>9199</v>
      </c>
    </row>
    <row r="174">
      <c r="A174" s="65" t="s">
        <v>899</v>
      </c>
      <c r="B174" s="65">
        <f t="shared" si="1"/>
        <v>48</v>
      </c>
      <c r="C174" s="65" t="str">
        <f t="shared" si="2"/>
        <v>SC-HYB-LATEX-D-78x50x6</v>
      </c>
      <c r="D174" s="65" t="s">
        <v>901</v>
      </c>
      <c r="E174" s="65">
        <v>0.0</v>
      </c>
      <c r="F174" s="65" t="s">
        <v>902</v>
      </c>
      <c r="G174" s="65" t="s">
        <v>5108</v>
      </c>
      <c r="H174" s="65" t="s">
        <v>52</v>
      </c>
      <c r="I174" s="65">
        <v>14699.0</v>
      </c>
      <c r="J174" s="66">
        <v>0.25</v>
      </c>
      <c r="K174" s="65">
        <f t="shared" si="3"/>
        <v>11024</v>
      </c>
      <c r="L174" s="66">
        <v>0.2</v>
      </c>
      <c r="M174" s="65">
        <f t="shared" si="4"/>
        <v>11759</v>
      </c>
      <c r="N174" s="75">
        <v>0.16</v>
      </c>
      <c r="O174" s="68">
        <f t="shared" si="188"/>
        <v>12347.16</v>
      </c>
      <c r="P174" s="75">
        <v>0.13</v>
      </c>
      <c r="Q174" s="68">
        <f t="shared" si="189"/>
        <v>12788.13</v>
      </c>
      <c r="R174" s="71">
        <f t="shared" si="190"/>
        <v>0.08751849647</v>
      </c>
      <c r="S174" s="71">
        <f t="shared" si="184"/>
        <v>0.05001785866</v>
      </c>
      <c r="T174" s="72">
        <f t="shared" si="6"/>
        <v>0</v>
      </c>
      <c r="U174" s="73" t="str">
        <f t="shared" si="187"/>
        <v/>
      </c>
      <c r="V174" s="73">
        <f t="shared" si="185"/>
        <v>9965.254237</v>
      </c>
      <c r="W174" s="73">
        <f t="shared" si="9"/>
        <v>9965.254237</v>
      </c>
      <c r="X174" s="74">
        <f t="shared" si="10"/>
        <v>1</v>
      </c>
      <c r="Y174" s="73">
        <f t="shared" si="11"/>
        <v>0</v>
      </c>
      <c r="Z174" s="73">
        <f t="shared" si="12"/>
        <v>10463.69492</v>
      </c>
      <c r="AA174" s="73">
        <f t="shared" si="13"/>
        <v>10463.69492</v>
      </c>
      <c r="AB174" s="74">
        <f t="shared" si="14"/>
        <v>1</v>
      </c>
      <c r="AC174" s="61" t="str">
        <f t="shared" si="15"/>
        <v>6</v>
      </c>
      <c r="AD174" s="71" t="str">
        <f t="shared" si="16"/>
        <v>#DIV/0!</v>
      </c>
      <c r="AE174" s="73">
        <f t="shared" si="191"/>
        <v>10837.39831</v>
      </c>
      <c r="AF174" s="74">
        <f t="shared" si="192"/>
        <v>1</v>
      </c>
      <c r="AG174" s="71">
        <f t="array" ref="AG174">IFERROR(xlookup(G174,'Old Master'!T:T,'Old Master'!V:V),N174)</f>
        <v>0.16</v>
      </c>
      <c r="AH174" s="73">
        <f t="shared" si="17"/>
        <v>12347.16</v>
      </c>
      <c r="AI174" s="73">
        <f t="shared" si="18"/>
        <v>10463.69492</v>
      </c>
      <c r="AJ174" s="72">
        <f t="shared" si="19"/>
        <v>1</v>
      </c>
      <c r="AK174" s="83"/>
      <c r="AL174" s="71">
        <f t="array" ref="AL174">iferror(if(isblank(xlookup($G174,'Old Master'!$T:$T,'Old Master'!$W:$W)),AG174,xlookup($G174,'Old Master'!$T:$T,'Old Master'!$W:$W)),AG174)</f>
        <v>0.16</v>
      </c>
      <c r="AM174" s="74">
        <f t="shared" si="20"/>
        <v>0.1632764134</v>
      </c>
      <c r="AN174" s="73">
        <f t="shared" si="186"/>
        <v>12299</v>
      </c>
    </row>
    <row r="175">
      <c r="A175" s="65" t="s">
        <v>5345</v>
      </c>
      <c r="B175" s="65">
        <f t="shared" si="1"/>
        <v>60</v>
      </c>
      <c r="C175" s="65" t="str">
        <f t="shared" si="2"/>
        <v>SC-LTx-ORTHO-Q-75x62x5</v>
      </c>
      <c r="D175" s="65" t="s">
        <v>4298</v>
      </c>
      <c r="E175" s="65">
        <v>0.0</v>
      </c>
      <c r="F175" s="65" t="s">
        <v>4299</v>
      </c>
      <c r="G175" s="65" t="s">
        <v>5118</v>
      </c>
      <c r="H175" s="65" t="s">
        <v>52</v>
      </c>
      <c r="I175" s="81">
        <v>17599.0</v>
      </c>
      <c r="J175" s="66">
        <v>0.23</v>
      </c>
      <c r="K175" s="81">
        <f t="shared" si="3"/>
        <v>13551</v>
      </c>
      <c r="L175" s="66">
        <v>0.2</v>
      </c>
      <c r="M175" s="81">
        <f t="shared" si="4"/>
        <v>14079</v>
      </c>
      <c r="N175" s="67">
        <f t="shared" ref="N175:N204" si="193">1-O175/I175</f>
        <v>0.3250127848</v>
      </c>
      <c r="O175" s="68">
        <v>11879.1</v>
      </c>
      <c r="P175" s="75">
        <v>0.1</v>
      </c>
      <c r="Q175" s="68">
        <f t="shared" si="189"/>
        <v>15839.1</v>
      </c>
      <c r="R175" s="70"/>
      <c r="S175" s="71">
        <f t="shared" si="184"/>
        <v>-0.1562539953</v>
      </c>
      <c r="T175" s="72">
        <f t="shared" si="6"/>
        <v>0</v>
      </c>
      <c r="U175" s="73" t="str">
        <f t="shared" si="187"/>
        <v/>
      </c>
      <c r="V175" s="73">
        <f t="shared" si="185"/>
        <v>11931.35593</v>
      </c>
      <c r="W175" s="73">
        <f t="shared" si="9"/>
        <v>11931.35593</v>
      </c>
      <c r="X175" s="74">
        <f t="shared" si="10"/>
        <v>1</v>
      </c>
      <c r="Y175" s="73">
        <f t="shared" si="11"/>
        <v>0</v>
      </c>
      <c r="Z175" s="73">
        <f t="shared" si="12"/>
        <v>10067.0339</v>
      </c>
      <c r="AA175" s="73">
        <f t="shared" si="13"/>
        <v>10067.0339</v>
      </c>
      <c r="AB175" s="74">
        <f t="shared" si="14"/>
        <v>1</v>
      </c>
      <c r="AC175" s="61" t="str">
        <f t="shared" si="15"/>
        <v>5</v>
      </c>
      <c r="AD175" s="71" t="str">
        <f t="shared" si="16"/>
        <v>#DIV/0!</v>
      </c>
      <c r="AE175" s="61"/>
      <c r="AF175" s="61"/>
      <c r="AG175" s="71">
        <f t="array" ref="AG175">IFERROR(xlookup(G175,'Old Master'!T:T,'Old Master'!V:V),N175)</f>
        <v>0.3250127848</v>
      </c>
      <c r="AH175" s="73">
        <f t="shared" si="17"/>
        <v>11879.1</v>
      </c>
      <c r="AI175" s="73">
        <f t="shared" si="18"/>
        <v>10067.0339</v>
      </c>
      <c r="AJ175" s="72">
        <f t="shared" si="19"/>
        <v>1</v>
      </c>
      <c r="AK175" s="83"/>
      <c r="AL175" s="71">
        <f t="array" ref="AL175">iferror(if(isblank(xlookup($G175,'Old Master'!$T:$T,'Old Master'!$W:$W)),AG175,xlookup($G175,'Old Master'!$T:$T,'Old Master'!$W:$W)),AG175)</f>
        <v>0.3250127848</v>
      </c>
      <c r="AM175" s="74">
        <f t="shared" si="20"/>
        <v>0.3238820388</v>
      </c>
      <c r="AN175" s="73">
        <f t="shared" si="186"/>
        <v>11899</v>
      </c>
    </row>
    <row r="176">
      <c r="A176" s="65" t="s">
        <v>528</v>
      </c>
      <c r="B176" s="65">
        <f t="shared" si="1"/>
        <v>60</v>
      </c>
      <c r="C176" s="65" t="str">
        <f t="shared" si="2"/>
        <v>SC-ORIG-Q-75x62x4</v>
      </c>
      <c r="D176" s="65" t="s">
        <v>530</v>
      </c>
      <c r="E176" s="65">
        <v>0.0</v>
      </c>
      <c r="F176" s="65" t="s">
        <v>531</v>
      </c>
      <c r="G176" s="65" t="s">
        <v>51</v>
      </c>
      <c r="H176" s="65" t="s">
        <v>52</v>
      </c>
      <c r="I176" s="65">
        <v>11569.0</v>
      </c>
      <c r="J176" s="66">
        <v>0.28</v>
      </c>
      <c r="K176" s="65">
        <f t="shared" si="3"/>
        <v>8330</v>
      </c>
      <c r="L176" s="66">
        <v>0.24</v>
      </c>
      <c r="M176" s="65">
        <f t="shared" si="4"/>
        <v>8792</v>
      </c>
      <c r="N176" s="67">
        <f t="shared" si="193"/>
        <v>0.1899904918</v>
      </c>
      <c r="O176" s="68">
        <v>9371.0</v>
      </c>
      <c r="P176" s="67">
        <f t="shared" ref="P176:P182" si="194">1-Q176/I176</f>
        <v>0.1899904918</v>
      </c>
      <c r="Q176" s="69">
        <v>9371.0</v>
      </c>
      <c r="R176" s="76"/>
      <c r="S176" s="72">
        <f t="shared" si="184"/>
        <v>0.06585532302</v>
      </c>
      <c r="T176" s="72">
        <f t="shared" si="6"/>
        <v>0</v>
      </c>
      <c r="U176" s="73" t="str">
        <f t="shared" si="187"/>
        <v/>
      </c>
      <c r="V176" s="73">
        <f t="shared" si="185"/>
        <v>7450.847458</v>
      </c>
      <c r="W176" s="73">
        <f t="shared" si="9"/>
        <v>7450.847458</v>
      </c>
      <c r="X176" s="74">
        <f t="shared" si="10"/>
        <v>1</v>
      </c>
      <c r="Y176" s="73">
        <f t="shared" si="11"/>
        <v>0</v>
      </c>
      <c r="Z176" s="73">
        <f t="shared" si="12"/>
        <v>7941.525424</v>
      </c>
      <c r="AA176" s="73">
        <f t="shared" si="13"/>
        <v>7941.525424</v>
      </c>
      <c r="AB176" s="74">
        <f t="shared" si="14"/>
        <v>1</v>
      </c>
      <c r="AC176" s="61" t="str">
        <f t="shared" si="15"/>
        <v>4</v>
      </c>
      <c r="AD176" s="71" t="str">
        <f t="shared" si="16"/>
        <v>#DIV/0!</v>
      </c>
      <c r="AE176" s="61"/>
      <c r="AF176" s="61"/>
      <c r="AG176" s="71">
        <f t="array" ref="AG176">IFERROR(xlookup(G176,'Old Master'!T:T,'Old Master'!V:V),N176)</f>
        <v>0.1899904918</v>
      </c>
      <c r="AH176" s="73">
        <f t="shared" si="17"/>
        <v>9371</v>
      </c>
      <c r="AI176" s="73">
        <f t="shared" si="18"/>
        <v>7941.525424</v>
      </c>
      <c r="AJ176" s="72">
        <f t="shared" si="19"/>
        <v>1</v>
      </c>
      <c r="AK176" s="83"/>
      <c r="AL176" s="71">
        <f t="array" ref="AL176">iferror(if(isblank(xlookup($G176,'Old Master'!$T:$T,'Old Master'!$W:$W)),AG176,xlookup($G176,'Old Master'!$T:$T,'Old Master'!$W:$W)),AG176)</f>
        <v>0.1899904918</v>
      </c>
      <c r="AM176" s="74">
        <f t="shared" si="20"/>
        <v>0.1875702308</v>
      </c>
      <c r="AN176" s="73">
        <f t="shared" si="186"/>
        <v>9399</v>
      </c>
    </row>
    <row r="177">
      <c r="A177" s="65" t="s">
        <v>220</v>
      </c>
      <c r="B177" s="65">
        <f t="shared" si="1"/>
        <v>48</v>
      </c>
      <c r="C177" s="65" t="str">
        <f t="shared" si="2"/>
        <v>SC-ORIG-D-78x50x6</v>
      </c>
      <c r="D177" s="65" t="s">
        <v>222</v>
      </c>
      <c r="E177" s="65" t="s">
        <v>223</v>
      </c>
      <c r="F177" s="65" t="s">
        <v>224</v>
      </c>
      <c r="G177" s="65" t="s">
        <v>51</v>
      </c>
      <c r="H177" s="65" t="s">
        <v>52</v>
      </c>
      <c r="I177" s="65">
        <v>13399.0</v>
      </c>
      <c r="J177" s="66">
        <v>0.28</v>
      </c>
      <c r="K177" s="65">
        <f t="shared" si="3"/>
        <v>9647</v>
      </c>
      <c r="L177" s="66">
        <v>0.24</v>
      </c>
      <c r="M177" s="65">
        <f t="shared" si="4"/>
        <v>10183</v>
      </c>
      <c r="N177" s="67">
        <f t="shared" si="193"/>
        <v>0.1900141802</v>
      </c>
      <c r="O177" s="68">
        <v>10853.0</v>
      </c>
      <c r="P177" s="67">
        <f t="shared" si="194"/>
        <v>0.1900141802</v>
      </c>
      <c r="Q177" s="69">
        <v>10853.0</v>
      </c>
      <c r="R177" s="76"/>
      <c r="S177" s="72">
        <f t="shared" si="184"/>
        <v>0.0657959344</v>
      </c>
      <c r="T177" s="72">
        <f t="shared" si="6"/>
        <v>0</v>
      </c>
      <c r="U177" s="73" t="str">
        <f t="shared" si="187"/>
        <v/>
      </c>
      <c r="V177" s="73">
        <f t="shared" si="185"/>
        <v>8629.661017</v>
      </c>
      <c r="W177" s="73">
        <f t="shared" si="9"/>
        <v>8629.661017</v>
      </c>
      <c r="X177" s="74">
        <f t="shared" si="10"/>
        <v>1</v>
      </c>
      <c r="Y177" s="73">
        <f t="shared" si="11"/>
        <v>0</v>
      </c>
      <c r="Z177" s="73">
        <f t="shared" si="12"/>
        <v>9197.457627</v>
      </c>
      <c r="AA177" s="73">
        <f t="shared" si="13"/>
        <v>9197.457627</v>
      </c>
      <c r="AB177" s="74">
        <f t="shared" si="14"/>
        <v>1</v>
      </c>
      <c r="AC177" s="61" t="str">
        <f t="shared" si="15"/>
        <v>6</v>
      </c>
      <c r="AD177" s="71" t="str">
        <f t="shared" si="16"/>
        <v>#DIV/0!</v>
      </c>
      <c r="AE177" s="61"/>
      <c r="AF177" s="61"/>
      <c r="AG177" s="71">
        <f t="array" ref="AG177">IFERROR(xlookup(G177,'Old Master'!T:T,'Old Master'!V:V),N177)</f>
        <v>0.1900141802</v>
      </c>
      <c r="AH177" s="73">
        <f t="shared" si="17"/>
        <v>10853</v>
      </c>
      <c r="AI177" s="73">
        <f t="shared" si="18"/>
        <v>9197.457627</v>
      </c>
      <c r="AJ177" s="72">
        <f t="shared" si="19"/>
        <v>1</v>
      </c>
      <c r="AK177" s="83"/>
      <c r="AL177" s="71">
        <f t="array" ref="AL177">iferror(if(isblank(xlookup($G177,'Old Master'!$T:$T,'Old Master'!$W:$W)),AG177,xlookup($G177,'Old Master'!$T:$T,'Old Master'!$W:$W)),AG177)</f>
        <v>0.1900141802</v>
      </c>
      <c r="AM177" s="74">
        <f t="shared" si="20"/>
        <v>0.1865810881</v>
      </c>
      <c r="AN177" s="73">
        <f t="shared" si="186"/>
        <v>10899</v>
      </c>
    </row>
    <row r="178">
      <c r="A178" s="65" t="s">
        <v>745</v>
      </c>
      <c r="B178" s="65">
        <f t="shared" si="1"/>
        <v>72</v>
      </c>
      <c r="C178" s="65" t="str">
        <f t="shared" si="2"/>
        <v>SC-ORIG-K-78x74x4</v>
      </c>
      <c r="D178" s="65" t="s">
        <v>747</v>
      </c>
      <c r="E178" s="65">
        <v>0.0</v>
      </c>
      <c r="F178" s="65" t="s">
        <v>748</v>
      </c>
      <c r="G178" s="65" t="s">
        <v>51</v>
      </c>
      <c r="H178" s="65" t="s">
        <v>52</v>
      </c>
      <c r="I178" s="65">
        <v>14469.0</v>
      </c>
      <c r="J178" s="66">
        <v>0.28</v>
      </c>
      <c r="K178" s="65">
        <f t="shared" si="3"/>
        <v>10418</v>
      </c>
      <c r="L178" s="66">
        <v>0.24</v>
      </c>
      <c r="M178" s="65">
        <f t="shared" si="4"/>
        <v>10996</v>
      </c>
      <c r="N178" s="67">
        <f t="shared" si="193"/>
        <v>0.1899923975</v>
      </c>
      <c r="O178" s="68">
        <v>11720.0</v>
      </c>
      <c r="P178" s="67">
        <f t="shared" si="194"/>
        <v>0.1899923975</v>
      </c>
      <c r="Q178" s="69">
        <v>11720.0</v>
      </c>
      <c r="R178" s="76"/>
      <c r="S178" s="72">
        <f t="shared" si="184"/>
        <v>0.06584212441</v>
      </c>
      <c r="T178" s="72">
        <f t="shared" si="6"/>
        <v>0</v>
      </c>
      <c r="U178" s="73" t="str">
        <f t="shared" si="187"/>
        <v/>
      </c>
      <c r="V178" s="73">
        <f t="shared" si="185"/>
        <v>9318.644068</v>
      </c>
      <c r="W178" s="73">
        <f t="shared" si="9"/>
        <v>9318.644068</v>
      </c>
      <c r="X178" s="74">
        <f t="shared" si="10"/>
        <v>1</v>
      </c>
      <c r="Y178" s="73">
        <f t="shared" si="11"/>
        <v>0</v>
      </c>
      <c r="Z178" s="73">
        <f t="shared" si="12"/>
        <v>9932.20339</v>
      </c>
      <c r="AA178" s="73">
        <f t="shared" si="13"/>
        <v>9932.20339</v>
      </c>
      <c r="AB178" s="74">
        <f t="shared" si="14"/>
        <v>1</v>
      </c>
      <c r="AC178" s="61" t="str">
        <f t="shared" si="15"/>
        <v>4</v>
      </c>
      <c r="AD178" s="71" t="str">
        <f t="shared" si="16"/>
        <v>#DIV/0!</v>
      </c>
      <c r="AE178" s="61"/>
      <c r="AF178" s="61"/>
      <c r="AG178" s="71">
        <f t="array" ref="AG178">IFERROR(xlookup(G178,'Old Master'!T:T,'Old Master'!V:V),N178)</f>
        <v>0.1899923975</v>
      </c>
      <c r="AH178" s="73">
        <f t="shared" si="17"/>
        <v>11720</v>
      </c>
      <c r="AI178" s="73">
        <f t="shared" si="18"/>
        <v>9932.20339</v>
      </c>
      <c r="AJ178" s="72">
        <f t="shared" si="19"/>
        <v>1</v>
      </c>
      <c r="AK178" s="83"/>
      <c r="AL178" s="71">
        <f t="array" ref="AL178">iferror(if(isblank(xlookup($G178,'Old Master'!$T:$T,'Old Master'!$W:$W)),AG178,xlookup($G178,'Old Master'!$T:$T,'Old Master'!$W:$W)),AG178)</f>
        <v>0.1899923975</v>
      </c>
      <c r="AM178" s="74">
        <f t="shared" si="20"/>
        <v>0.1914437763</v>
      </c>
      <c r="AN178" s="73">
        <f t="shared" si="186"/>
        <v>11699</v>
      </c>
    </row>
    <row r="179">
      <c r="A179" s="65" t="s">
        <v>2262</v>
      </c>
      <c r="B179" s="65" t="str">
        <f t="shared" si="1"/>
        <v>#VALUE!</v>
      </c>
      <c r="C179" s="65" t="str">
        <f t="shared" si="2"/>
        <v>#VALUE!</v>
      </c>
      <c r="D179" s="65" t="s">
        <v>2264</v>
      </c>
      <c r="E179" s="65" t="s">
        <v>2265</v>
      </c>
      <c r="F179" s="65" t="s">
        <v>2266</v>
      </c>
      <c r="G179" s="65" t="s">
        <v>5077</v>
      </c>
      <c r="H179" s="65" t="s">
        <v>4730</v>
      </c>
      <c r="I179" s="65">
        <v>989.0</v>
      </c>
      <c r="J179" s="66">
        <v>0.17189079878665314</v>
      </c>
      <c r="K179" s="65">
        <f t="shared" si="3"/>
        <v>819</v>
      </c>
      <c r="L179" s="66">
        <v>0.1</v>
      </c>
      <c r="M179" s="65">
        <f t="shared" si="4"/>
        <v>890</v>
      </c>
      <c r="N179" s="67">
        <f t="shared" si="193"/>
        <v>0.04954499494</v>
      </c>
      <c r="O179" s="68">
        <v>940.0</v>
      </c>
      <c r="P179" s="67">
        <f t="shared" si="194"/>
        <v>0.04954499494</v>
      </c>
      <c r="Q179" s="69">
        <v>940.0</v>
      </c>
      <c r="R179" s="70"/>
      <c r="S179" s="71">
        <f>O179/K179-1</f>
        <v>0.1477411477</v>
      </c>
      <c r="T179" s="72">
        <f t="shared" si="6"/>
        <v>0</v>
      </c>
      <c r="U179" s="73" t="str">
        <f t="shared" si="187"/>
        <v/>
      </c>
      <c r="V179" s="73">
        <f t="shared" si="185"/>
        <v>754.2372881</v>
      </c>
      <c r="W179" s="73">
        <f t="shared" si="9"/>
        <v>754.2372881</v>
      </c>
      <c r="X179" s="74">
        <f t="shared" si="10"/>
        <v>1</v>
      </c>
      <c r="Y179" s="73">
        <f t="shared" si="11"/>
        <v>0</v>
      </c>
      <c r="Z179" s="73">
        <f t="shared" si="12"/>
        <v>796.6101695</v>
      </c>
      <c r="AA179" s="73">
        <f t="shared" si="13"/>
        <v>796.6101695</v>
      </c>
      <c r="AB179" s="74">
        <f t="shared" si="14"/>
        <v>1</v>
      </c>
      <c r="AC179" s="61" t="str">
        <f t="shared" si="15"/>
        <v>0</v>
      </c>
      <c r="AD179" s="71" t="str">
        <f t="shared" si="16"/>
        <v>#DIV/0!</v>
      </c>
      <c r="AE179" s="61"/>
      <c r="AF179" s="61"/>
      <c r="AG179" s="71">
        <f t="array" ref="AG179">IFERROR(xlookup(G179,'Old Master'!T:T,'Old Master'!V:V),N179)</f>
        <v>0.04954499494</v>
      </c>
      <c r="AH179" s="73">
        <f t="shared" si="17"/>
        <v>940</v>
      </c>
      <c r="AI179" s="73">
        <f t="shared" si="18"/>
        <v>796.6101695</v>
      </c>
      <c r="AJ179" s="72">
        <f t="shared" si="19"/>
        <v>1</v>
      </c>
      <c r="AK179" s="83"/>
      <c r="AL179" s="71">
        <f t="array" ref="AL179">iferror(if(isblank(xlookup($G179,'Old Master'!$T:$T,'Old Master'!$W:$W)),AG179,xlookup($G179,'Old Master'!$T:$T,'Old Master'!$W:$W)),AG179)</f>
        <v>0.04954499494</v>
      </c>
      <c r="AM179" s="74">
        <f t="shared" si="20"/>
        <v>0.04954499494</v>
      </c>
      <c r="AN179" s="73">
        <f>O179</f>
        <v>940</v>
      </c>
    </row>
    <row r="180">
      <c r="A180" s="65" t="s">
        <v>1663</v>
      </c>
      <c r="B180" s="65">
        <f t="shared" si="1"/>
        <v>72</v>
      </c>
      <c r="C180" s="65" t="str">
        <f t="shared" si="2"/>
        <v>SC-ULTM-K-75x74x10</v>
      </c>
      <c r="D180" s="65" t="s">
        <v>1665</v>
      </c>
      <c r="E180" s="65" t="s">
        <v>1663</v>
      </c>
      <c r="F180" s="65" t="s">
        <v>1663</v>
      </c>
      <c r="G180" s="65" t="s">
        <v>5112</v>
      </c>
      <c r="H180" s="65" t="s">
        <v>52</v>
      </c>
      <c r="I180" s="65">
        <v>29999.0</v>
      </c>
      <c r="J180" s="66">
        <v>0.25</v>
      </c>
      <c r="K180" s="65">
        <f t="shared" si="3"/>
        <v>22499</v>
      </c>
      <c r="L180" s="66">
        <v>0.22</v>
      </c>
      <c r="M180" s="65">
        <f t="shared" si="4"/>
        <v>23399</v>
      </c>
      <c r="N180" s="67">
        <f t="shared" si="193"/>
        <v>0.1000033334</v>
      </c>
      <c r="O180" s="68">
        <v>26999.0</v>
      </c>
      <c r="P180" s="67">
        <f t="shared" si="194"/>
        <v>0.1000033334</v>
      </c>
      <c r="Q180" s="69">
        <v>26999.0</v>
      </c>
      <c r="R180" s="70"/>
      <c r="S180" s="71">
        <f t="shared" ref="S180:S181" si="195">O180/M180-1</f>
        <v>0.1538527287</v>
      </c>
      <c r="T180" s="72">
        <f t="shared" si="6"/>
        <v>0</v>
      </c>
      <c r="U180" s="73" t="str">
        <f t="shared" si="187"/>
        <v/>
      </c>
      <c r="V180" s="73">
        <f t="shared" si="185"/>
        <v>19829.66102</v>
      </c>
      <c r="W180" s="73">
        <f t="shared" si="9"/>
        <v>19829.66102</v>
      </c>
      <c r="X180" s="74">
        <f t="shared" si="10"/>
        <v>1</v>
      </c>
      <c r="Y180" s="73">
        <f t="shared" si="11"/>
        <v>0</v>
      </c>
      <c r="Z180" s="73">
        <f t="shared" si="12"/>
        <v>22880.50847</v>
      </c>
      <c r="AA180" s="73">
        <f t="shared" si="13"/>
        <v>22880.50847</v>
      </c>
      <c r="AB180" s="74">
        <f t="shared" si="14"/>
        <v>1</v>
      </c>
      <c r="AC180" s="61" t="str">
        <f t="shared" si="15"/>
        <v>0</v>
      </c>
      <c r="AD180" s="71" t="str">
        <f t="shared" si="16"/>
        <v>#DIV/0!</v>
      </c>
      <c r="AE180" s="61"/>
      <c r="AF180" s="61"/>
      <c r="AG180" s="71">
        <f t="array" ref="AG180">IFERROR(xlookup(G180,'Old Master'!T:T,'Old Master'!V:V),N180)</f>
        <v>0.1000033334</v>
      </c>
      <c r="AH180" s="73">
        <f t="shared" si="17"/>
        <v>26999</v>
      </c>
      <c r="AI180" s="73">
        <f t="shared" si="18"/>
        <v>22880.50847</v>
      </c>
      <c r="AJ180" s="72">
        <f t="shared" si="19"/>
        <v>1</v>
      </c>
      <c r="AK180" s="83"/>
      <c r="AL180" s="71">
        <f t="array" ref="AL180">iferror(if(isblank(xlookup($G180,'Old Master'!$T:$T,'Old Master'!$W:$W)),AG180,xlookup($G180,'Old Master'!$T:$T,'Old Master'!$W:$W)),AG180)</f>
        <v>0.1000033334</v>
      </c>
      <c r="AM180" s="74">
        <f t="shared" si="20"/>
        <v>0.1000033334</v>
      </c>
      <c r="AN180" s="73">
        <f t="shared" ref="AN180:AN181" si="196">mround($I180*(1-AL180),100)-1</f>
        <v>26999</v>
      </c>
    </row>
    <row r="181">
      <c r="A181" s="65" t="s">
        <v>1540</v>
      </c>
      <c r="B181" s="65">
        <f t="shared" si="1"/>
        <v>36</v>
      </c>
      <c r="C181" s="65" t="str">
        <f t="shared" si="2"/>
        <v>SC-ULTM-S-78x38x8</v>
      </c>
      <c r="D181" s="65" t="s">
        <v>1542</v>
      </c>
      <c r="E181" s="65" t="s">
        <v>1540</v>
      </c>
      <c r="F181" s="65" t="s">
        <v>1540</v>
      </c>
      <c r="G181" s="65" t="s">
        <v>5112</v>
      </c>
      <c r="H181" s="65" t="s">
        <v>52</v>
      </c>
      <c r="I181" s="65">
        <v>14999.0</v>
      </c>
      <c r="J181" s="66">
        <v>0.25</v>
      </c>
      <c r="K181" s="65">
        <f t="shared" si="3"/>
        <v>11249</v>
      </c>
      <c r="L181" s="66">
        <v>0.22</v>
      </c>
      <c r="M181" s="65">
        <f t="shared" si="4"/>
        <v>11699</v>
      </c>
      <c r="N181" s="67">
        <f t="shared" si="193"/>
        <v>0.1000066671</v>
      </c>
      <c r="O181" s="68">
        <v>13499.0</v>
      </c>
      <c r="P181" s="67">
        <f t="shared" si="194"/>
        <v>0.1000066671</v>
      </c>
      <c r="Q181" s="69">
        <v>13499.0</v>
      </c>
      <c r="R181" s="70"/>
      <c r="S181" s="71">
        <f t="shared" si="195"/>
        <v>0.1538593042</v>
      </c>
      <c r="T181" s="72">
        <f t="shared" si="6"/>
        <v>0</v>
      </c>
      <c r="U181" s="73" t="str">
        <f t="shared" si="187"/>
        <v/>
      </c>
      <c r="V181" s="73">
        <f t="shared" si="185"/>
        <v>9914.40678</v>
      </c>
      <c r="W181" s="73">
        <f t="shared" si="9"/>
        <v>9914.40678</v>
      </c>
      <c r="X181" s="74">
        <f t="shared" si="10"/>
        <v>1</v>
      </c>
      <c r="Y181" s="73">
        <f t="shared" si="11"/>
        <v>0</v>
      </c>
      <c r="Z181" s="73">
        <f t="shared" si="12"/>
        <v>11439.83051</v>
      </c>
      <c r="AA181" s="73">
        <f t="shared" si="13"/>
        <v>11439.83051</v>
      </c>
      <c r="AB181" s="74">
        <f t="shared" si="14"/>
        <v>1</v>
      </c>
      <c r="AC181" s="61" t="str">
        <f t="shared" si="15"/>
        <v>8</v>
      </c>
      <c r="AD181" s="71" t="str">
        <f t="shared" si="16"/>
        <v>#DIV/0!</v>
      </c>
      <c r="AE181" s="61"/>
      <c r="AF181" s="61"/>
      <c r="AG181" s="71">
        <f t="array" ref="AG181">IFERROR(xlookup(G181,'Old Master'!T:T,'Old Master'!V:V),N181)</f>
        <v>0.1000066671</v>
      </c>
      <c r="AH181" s="73">
        <f t="shared" si="17"/>
        <v>13499</v>
      </c>
      <c r="AI181" s="73">
        <f t="shared" si="18"/>
        <v>11439.83051</v>
      </c>
      <c r="AJ181" s="72">
        <f t="shared" si="19"/>
        <v>1</v>
      </c>
      <c r="AK181" s="83"/>
      <c r="AL181" s="71">
        <f t="array" ref="AL181">iferror(if(isblank(xlookup($G181,'Old Master'!$T:$T,'Old Master'!$W:$W)),AG181,xlookup($G181,'Old Master'!$T:$T,'Old Master'!$W:$W)),AG181)</f>
        <v>0.1000066671</v>
      </c>
      <c r="AM181" s="74">
        <f t="shared" si="20"/>
        <v>0.1000066671</v>
      </c>
      <c r="AN181" s="73">
        <f t="shared" si="196"/>
        <v>13499</v>
      </c>
    </row>
    <row r="182">
      <c r="A182" s="65" t="s">
        <v>3479</v>
      </c>
      <c r="B182" s="65" t="str">
        <f t="shared" si="1"/>
        <v>#VALUE!</v>
      </c>
      <c r="C182" s="65" t="str">
        <f t="shared" si="2"/>
        <v>#VALUE!</v>
      </c>
      <c r="D182" s="65" t="s">
        <v>3481</v>
      </c>
      <c r="E182" s="65">
        <v>0.0</v>
      </c>
      <c r="F182" s="65" t="s">
        <v>3483</v>
      </c>
      <c r="G182" s="65" t="s">
        <v>5091</v>
      </c>
      <c r="H182" s="65" t="s">
        <v>1145</v>
      </c>
      <c r="I182" s="65">
        <v>2989.0</v>
      </c>
      <c r="J182" s="66">
        <v>0.2475744396119104</v>
      </c>
      <c r="K182" s="65">
        <f t="shared" si="3"/>
        <v>2249</v>
      </c>
      <c r="L182" s="66">
        <v>0.2</v>
      </c>
      <c r="M182" s="65">
        <f t="shared" si="4"/>
        <v>2391</v>
      </c>
      <c r="N182" s="77">
        <f t="shared" si="193"/>
        <v>0.1475409836</v>
      </c>
      <c r="O182" s="68">
        <v>2548.0</v>
      </c>
      <c r="P182" s="67">
        <f t="shared" si="194"/>
        <v>0.1475409836</v>
      </c>
      <c r="Q182" s="69">
        <v>2548.0</v>
      </c>
      <c r="R182" s="70"/>
      <c r="S182" s="71">
        <f>O182/K182-1</f>
        <v>0.1329479769</v>
      </c>
      <c r="T182" s="72">
        <f t="shared" si="6"/>
        <v>0</v>
      </c>
      <c r="U182" s="73" t="str">
        <f t="shared" si="187"/>
        <v/>
      </c>
      <c r="V182" s="73">
        <f t="shared" si="185"/>
        <v>2026.271186</v>
      </c>
      <c r="W182" s="73">
        <f t="shared" si="9"/>
        <v>2026.271186</v>
      </c>
      <c r="X182" s="74">
        <f t="shared" si="10"/>
        <v>1</v>
      </c>
      <c r="Y182" s="73">
        <f t="shared" si="11"/>
        <v>0</v>
      </c>
      <c r="Z182" s="73">
        <f t="shared" si="12"/>
        <v>2159.322034</v>
      </c>
      <c r="AA182" s="73">
        <f t="shared" si="13"/>
        <v>2159.322034</v>
      </c>
      <c r="AB182" s="74">
        <f t="shared" si="14"/>
        <v>1</v>
      </c>
      <c r="AC182" s="61" t="str">
        <f t="shared" si="15"/>
        <v>6</v>
      </c>
      <c r="AD182" s="71" t="str">
        <f t="shared" si="16"/>
        <v>#DIV/0!</v>
      </c>
      <c r="AE182" s="61"/>
      <c r="AF182" s="61"/>
      <c r="AG182" s="71">
        <f t="array" ref="AG182">IFERROR(xlookup(G182,'Old Master'!T:T,'Old Master'!V:V),N182)</f>
        <v>0.1475409836</v>
      </c>
      <c r="AH182" s="73">
        <f t="shared" si="17"/>
        <v>2548</v>
      </c>
      <c r="AI182" s="73">
        <f t="shared" si="18"/>
        <v>2159.322034</v>
      </c>
      <c r="AJ182" s="72">
        <f t="shared" si="19"/>
        <v>1</v>
      </c>
      <c r="AK182" s="83"/>
      <c r="AL182" s="71">
        <f>(I182-AN182)/I182</f>
        <v>0.1304784209</v>
      </c>
      <c r="AM182" s="74">
        <f t="shared" si="20"/>
        <v>0.1304784209</v>
      </c>
      <c r="AN182" s="80">
        <v>2599.0</v>
      </c>
    </row>
    <row r="183">
      <c r="A183" s="65" t="s">
        <v>5346</v>
      </c>
      <c r="B183" s="65">
        <f t="shared" si="1"/>
        <v>72</v>
      </c>
      <c r="C183" s="65" t="str">
        <f t="shared" si="2"/>
        <v>SC-LTx-ORTHO-K-72x74x5</v>
      </c>
      <c r="D183" s="65" t="s">
        <v>4332</v>
      </c>
      <c r="E183" s="65">
        <v>0.0</v>
      </c>
      <c r="F183" s="65" t="s">
        <v>4333</v>
      </c>
      <c r="G183" s="65" t="s">
        <v>5118</v>
      </c>
      <c r="H183" s="65" t="s">
        <v>52</v>
      </c>
      <c r="I183" s="81">
        <v>19199.0</v>
      </c>
      <c r="J183" s="66">
        <v>0.23</v>
      </c>
      <c r="K183" s="81">
        <f t="shared" si="3"/>
        <v>14783</v>
      </c>
      <c r="L183" s="66">
        <v>0.2</v>
      </c>
      <c r="M183" s="81">
        <f t="shared" si="4"/>
        <v>15359</v>
      </c>
      <c r="N183" s="67">
        <f t="shared" si="193"/>
        <v>0.3250117194</v>
      </c>
      <c r="O183" s="68">
        <v>12959.1</v>
      </c>
      <c r="P183" s="75">
        <v>0.1</v>
      </c>
      <c r="Q183" s="68">
        <f t="shared" ref="Q183:Q184" si="197">I183*(1-P183)</f>
        <v>17279.1</v>
      </c>
      <c r="R183" s="70"/>
      <c r="S183" s="71">
        <f t="shared" ref="S183:S184" si="198">O183/M183-1</f>
        <v>-0.1562536623</v>
      </c>
      <c r="T183" s="72">
        <f t="shared" si="6"/>
        <v>0</v>
      </c>
      <c r="U183" s="73" t="str">
        <f t="shared" si="187"/>
        <v/>
      </c>
      <c r="V183" s="73">
        <f t="shared" si="185"/>
        <v>13016.10169</v>
      </c>
      <c r="W183" s="73">
        <f t="shared" si="9"/>
        <v>13016.10169</v>
      </c>
      <c r="X183" s="74">
        <f t="shared" si="10"/>
        <v>1</v>
      </c>
      <c r="Y183" s="73">
        <f t="shared" si="11"/>
        <v>0</v>
      </c>
      <c r="Z183" s="73">
        <f t="shared" si="12"/>
        <v>10982.28814</v>
      </c>
      <c r="AA183" s="73">
        <f t="shared" si="13"/>
        <v>10982.28814</v>
      </c>
      <c r="AB183" s="74">
        <f t="shared" si="14"/>
        <v>1</v>
      </c>
      <c r="AC183" s="61" t="str">
        <f t="shared" si="15"/>
        <v>5</v>
      </c>
      <c r="AD183" s="71" t="str">
        <f t="shared" si="16"/>
        <v>#DIV/0!</v>
      </c>
      <c r="AE183" s="61"/>
      <c r="AF183" s="61"/>
      <c r="AG183" s="71">
        <f t="array" ref="AG183">IFERROR(xlookup(G183,'Old Master'!T:T,'Old Master'!V:V),N183)</f>
        <v>0.3250117194</v>
      </c>
      <c r="AH183" s="73">
        <f t="shared" si="17"/>
        <v>12959.1</v>
      </c>
      <c r="AI183" s="73">
        <f t="shared" si="18"/>
        <v>10982.28814</v>
      </c>
      <c r="AJ183" s="72">
        <f t="shared" si="19"/>
        <v>1</v>
      </c>
      <c r="AK183" s="83"/>
      <c r="AL183" s="71">
        <f t="array" ref="AL183">iferror(if(isblank(xlookup($G183,'Old Master'!$T:$T,'Old Master'!$W:$W)),AG183,xlookup($G183,'Old Master'!$T:$T,'Old Master'!$W:$W)),AG183)</f>
        <v>0.3250117194</v>
      </c>
      <c r="AM183" s="74">
        <f t="shared" si="20"/>
        <v>0.3229334861</v>
      </c>
      <c r="AN183" s="73">
        <f t="shared" ref="AN183:AN184" si="199">mround($I183*(1-AL183),100)-1</f>
        <v>12999</v>
      </c>
    </row>
    <row r="184">
      <c r="A184" s="65" t="s">
        <v>5347</v>
      </c>
      <c r="B184" s="65">
        <f t="shared" si="1"/>
        <v>72</v>
      </c>
      <c r="C184" s="65" t="str">
        <f t="shared" si="2"/>
        <v>SC-LTx-ORTHO-K-75x74x5</v>
      </c>
      <c r="D184" s="65" t="s">
        <v>4338</v>
      </c>
      <c r="E184" s="65">
        <v>0.0</v>
      </c>
      <c r="F184" s="65" t="s">
        <v>4339</v>
      </c>
      <c r="G184" s="65" t="s">
        <v>5118</v>
      </c>
      <c r="H184" s="65" t="s">
        <v>52</v>
      </c>
      <c r="I184" s="81">
        <v>19699.0</v>
      </c>
      <c r="J184" s="66">
        <v>0.23</v>
      </c>
      <c r="K184" s="81">
        <f t="shared" si="3"/>
        <v>15168</v>
      </c>
      <c r="L184" s="66">
        <v>0.2</v>
      </c>
      <c r="M184" s="81">
        <f t="shared" si="4"/>
        <v>15759</v>
      </c>
      <c r="N184" s="67">
        <f t="shared" si="193"/>
        <v>0.3238692319</v>
      </c>
      <c r="O184" s="68">
        <v>13319.1</v>
      </c>
      <c r="P184" s="75">
        <v>0.1</v>
      </c>
      <c r="Q184" s="68">
        <f t="shared" si="197"/>
        <v>17729.1</v>
      </c>
      <c r="R184" s="70"/>
      <c r="S184" s="71">
        <f t="shared" si="198"/>
        <v>-0.1548258138</v>
      </c>
      <c r="T184" s="72">
        <f t="shared" si="6"/>
        <v>0</v>
      </c>
      <c r="U184" s="73" t="str">
        <f t="shared" si="187"/>
        <v/>
      </c>
      <c r="V184" s="73">
        <f t="shared" si="185"/>
        <v>13355.08475</v>
      </c>
      <c r="W184" s="73">
        <f t="shared" si="9"/>
        <v>13355.08475</v>
      </c>
      <c r="X184" s="74">
        <f t="shared" si="10"/>
        <v>1</v>
      </c>
      <c r="Y184" s="73">
        <f t="shared" si="11"/>
        <v>0</v>
      </c>
      <c r="Z184" s="73">
        <f t="shared" si="12"/>
        <v>11287.37288</v>
      </c>
      <c r="AA184" s="73">
        <f t="shared" si="13"/>
        <v>11287.37288</v>
      </c>
      <c r="AB184" s="74">
        <f t="shared" si="14"/>
        <v>1</v>
      </c>
      <c r="AC184" s="61" t="str">
        <f t="shared" si="15"/>
        <v>5</v>
      </c>
      <c r="AD184" s="71" t="str">
        <f t="shared" si="16"/>
        <v>#DIV/0!</v>
      </c>
      <c r="AE184" s="61"/>
      <c r="AF184" s="61"/>
      <c r="AG184" s="71">
        <f t="array" ref="AG184">IFERROR(xlookup(G184,'Old Master'!T:T,'Old Master'!V:V),N184)</f>
        <v>0.3238692319</v>
      </c>
      <c r="AH184" s="73">
        <f t="shared" si="17"/>
        <v>13319.1</v>
      </c>
      <c r="AI184" s="73">
        <f t="shared" si="18"/>
        <v>11287.37288</v>
      </c>
      <c r="AJ184" s="72">
        <f t="shared" si="19"/>
        <v>1</v>
      </c>
      <c r="AK184" s="83"/>
      <c r="AL184" s="71">
        <f t="array" ref="AL184">iferror(if(isblank(xlookup($G184,'Old Master'!$T:$T,'Old Master'!$W:$W)),AG184,xlookup($G184,'Old Master'!$T:$T,'Old Master'!$W:$W)),AG184)</f>
        <v>0.3238692319</v>
      </c>
      <c r="AM184" s="74">
        <f t="shared" si="20"/>
        <v>0.3248895883</v>
      </c>
      <c r="AN184" s="73">
        <f t="shared" si="199"/>
        <v>13299</v>
      </c>
    </row>
    <row r="185">
      <c r="A185" s="65" t="s">
        <v>2007</v>
      </c>
      <c r="B185" s="65" t="str">
        <f t="shared" si="1"/>
        <v>#VALUE!</v>
      </c>
      <c r="C185" s="65" t="str">
        <f t="shared" si="2"/>
        <v>#VALUE!</v>
      </c>
      <c r="D185" s="65" t="s">
        <v>2009</v>
      </c>
      <c r="E185" s="65">
        <v>0.0</v>
      </c>
      <c r="F185" s="65" t="s">
        <v>2010</v>
      </c>
      <c r="G185" s="65" t="s">
        <v>5132</v>
      </c>
      <c r="H185" s="65" t="s">
        <v>4730</v>
      </c>
      <c r="I185" s="65">
        <v>7499.0</v>
      </c>
      <c r="J185" s="66">
        <v>0.3507134284571276</v>
      </c>
      <c r="K185" s="65">
        <f t="shared" si="3"/>
        <v>4869</v>
      </c>
      <c r="L185" s="66">
        <v>0.15</v>
      </c>
      <c r="M185" s="65">
        <f t="shared" si="4"/>
        <v>6374</v>
      </c>
      <c r="N185" s="67">
        <f t="shared" si="193"/>
        <v>0.2507000933</v>
      </c>
      <c r="O185" s="68">
        <v>5619.0</v>
      </c>
      <c r="P185" s="67">
        <f t="shared" ref="P185:P195" si="200">1-Q185/I185</f>
        <v>0.2507000933</v>
      </c>
      <c r="Q185" s="69">
        <v>5619.0</v>
      </c>
      <c r="R185" s="70"/>
      <c r="S185" s="71">
        <f t="shared" ref="S185:S186" si="201">O185/K185-1</f>
        <v>0.1540357363</v>
      </c>
      <c r="T185" s="72">
        <f t="shared" si="6"/>
        <v>0</v>
      </c>
      <c r="U185" s="73" t="str">
        <f t="shared" si="187"/>
        <v/>
      </c>
      <c r="V185" s="73">
        <f t="shared" ref="V185:V186" si="202">K185/1.18</f>
        <v>4126.271186</v>
      </c>
      <c r="W185" s="73">
        <f t="shared" si="9"/>
        <v>4126.271186</v>
      </c>
      <c r="X185" s="74">
        <f t="shared" si="10"/>
        <v>1</v>
      </c>
      <c r="Y185" s="73">
        <f t="shared" si="11"/>
        <v>0</v>
      </c>
      <c r="Z185" s="73">
        <f t="shared" si="12"/>
        <v>4761.864407</v>
      </c>
      <c r="AA185" s="73">
        <f t="shared" si="13"/>
        <v>4761.864407</v>
      </c>
      <c r="AB185" s="74">
        <f t="shared" si="14"/>
        <v>1</v>
      </c>
      <c r="AC185" s="61" t="str">
        <f t="shared" si="15"/>
        <v>2</v>
      </c>
      <c r="AD185" s="71" t="str">
        <f t="shared" si="16"/>
        <v>#DIV/0!</v>
      </c>
      <c r="AE185" s="61"/>
      <c r="AF185" s="61"/>
      <c r="AG185" s="71">
        <f t="array" ref="AG185">IFERROR(xlookup(G185,'Old Master'!T:T,'Old Master'!V:V),N185)</f>
        <v>0.2507000933</v>
      </c>
      <c r="AH185" s="73">
        <f t="shared" si="17"/>
        <v>5619</v>
      </c>
      <c r="AI185" s="73">
        <f t="shared" si="18"/>
        <v>4761.864407</v>
      </c>
      <c r="AJ185" s="72">
        <f t="shared" si="19"/>
        <v>1</v>
      </c>
      <c r="AK185" s="83"/>
      <c r="AL185" s="71">
        <f t="array" ref="AL185">iferror(if(isblank(xlookup($G185,'Old Master'!$T:$T,'Old Master'!$W:$W)),AG185,xlookup($G185,'Old Master'!$T:$T,'Old Master'!$W:$W)),AG185)</f>
        <v>0.2507000933</v>
      </c>
      <c r="AM185" s="74">
        <f t="shared" si="20"/>
        <v>0.2507000933</v>
      </c>
      <c r="AN185" s="73">
        <f t="shared" ref="AN185:AN186" si="203">O185</f>
        <v>5619</v>
      </c>
    </row>
    <row r="186">
      <c r="A186" s="65" t="s">
        <v>2152</v>
      </c>
      <c r="B186" s="65" t="str">
        <f t="shared" si="1"/>
        <v>#VALUE!</v>
      </c>
      <c r="C186" s="65" t="str">
        <f t="shared" si="2"/>
        <v>#VALUE!</v>
      </c>
      <c r="D186" s="65" t="s">
        <v>2154</v>
      </c>
      <c r="E186" s="65">
        <v>0.0</v>
      </c>
      <c r="F186" s="65">
        <v>0.0</v>
      </c>
      <c r="G186" s="65" t="s">
        <v>5103</v>
      </c>
      <c r="H186" s="65" t="s">
        <v>4730</v>
      </c>
      <c r="I186" s="65">
        <v>6499.0</v>
      </c>
      <c r="J186" s="66">
        <v>0.3</v>
      </c>
      <c r="K186" s="65">
        <f t="shared" si="3"/>
        <v>4549</v>
      </c>
      <c r="L186" s="66">
        <v>0.3</v>
      </c>
      <c r="M186" s="65">
        <f t="shared" si="4"/>
        <v>4549</v>
      </c>
      <c r="N186" s="67">
        <f t="shared" si="193"/>
        <v>0.2</v>
      </c>
      <c r="O186" s="78">
        <v>5199.200000000001</v>
      </c>
      <c r="P186" s="67">
        <f t="shared" si="200"/>
        <v>0.2</v>
      </c>
      <c r="Q186" s="82">
        <v>5199.200000000001</v>
      </c>
      <c r="R186" s="70"/>
      <c r="S186" s="71">
        <f t="shared" si="201"/>
        <v>0.1429325126</v>
      </c>
      <c r="T186" s="72">
        <f t="shared" si="6"/>
        <v>0</v>
      </c>
      <c r="U186" s="73" t="str">
        <f t="shared" si="187"/>
        <v/>
      </c>
      <c r="V186" s="73">
        <f t="shared" si="202"/>
        <v>3855.084746</v>
      </c>
      <c r="W186" s="73">
        <f t="shared" si="9"/>
        <v>3855.084746</v>
      </c>
      <c r="X186" s="74">
        <f t="shared" si="10"/>
        <v>1</v>
      </c>
      <c r="Y186" s="73">
        <f t="shared" si="11"/>
        <v>0</v>
      </c>
      <c r="Z186" s="73">
        <f t="shared" si="12"/>
        <v>4406.101695</v>
      </c>
      <c r="AA186" s="73">
        <f t="shared" si="13"/>
        <v>4406.101695</v>
      </c>
      <c r="AB186" s="74">
        <f t="shared" si="14"/>
        <v>1</v>
      </c>
      <c r="AC186" s="61" t="str">
        <f t="shared" si="15"/>
        <v>0</v>
      </c>
      <c r="AD186" s="71" t="str">
        <f t="shared" si="16"/>
        <v>#DIV/0!</v>
      </c>
      <c r="AE186" s="61"/>
      <c r="AF186" s="61"/>
      <c r="AG186" s="71">
        <f t="array" ref="AG186">IFERROR(xlookup(G186,'Old Master'!T:T,'Old Master'!V:V),N186)</f>
        <v>0.2</v>
      </c>
      <c r="AH186" s="73">
        <f t="shared" si="17"/>
        <v>5199.2</v>
      </c>
      <c r="AI186" s="73">
        <f t="shared" si="18"/>
        <v>4406.101695</v>
      </c>
      <c r="AJ186" s="72">
        <f t="shared" si="19"/>
        <v>1</v>
      </c>
      <c r="AK186" s="83"/>
      <c r="AL186" s="71">
        <f t="array" ref="AL186">iferror(if(isblank(xlookup($G186,'Old Master'!$T:$T,'Old Master'!$W:$W)),AG186,xlookup($G186,'Old Master'!$T:$T,'Old Master'!$W:$W)),AG186)</f>
        <v>0.2</v>
      </c>
      <c r="AM186" s="74">
        <f t="shared" si="20"/>
        <v>0.2</v>
      </c>
      <c r="AN186" s="73">
        <f t="shared" si="203"/>
        <v>5199.2</v>
      </c>
    </row>
    <row r="187">
      <c r="A187" s="65" t="s">
        <v>16</v>
      </c>
      <c r="B187" s="65">
        <f t="shared" si="1"/>
        <v>30</v>
      </c>
      <c r="C187" s="65" t="str">
        <f t="shared" si="2"/>
        <v>SC-ORIG-S-72x32x6</v>
      </c>
      <c r="D187" s="65" t="s">
        <v>18</v>
      </c>
      <c r="E187" s="65" t="s">
        <v>19</v>
      </c>
      <c r="F187" s="65" t="s">
        <v>20</v>
      </c>
      <c r="G187" s="65" t="s">
        <v>51</v>
      </c>
      <c r="H187" s="65" t="s">
        <v>52</v>
      </c>
      <c r="I187" s="65">
        <v>9399.0</v>
      </c>
      <c r="J187" s="66">
        <v>0.28</v>
      </c>
      <c r="K187" s="65">
        <f t="shared" si="3"/>
        <v>6767</v>
      </c>
      <c r="L187" s="66">
        <v>0.24</v>
      </c>
      <c r="M187" s="65">
        <f t="shared" si="4"/>
        <v>7143</v>
      </c>
      <c r="N187" s="67">
        <f t="shared" si="193"/>
        <v>0.1900202149</v>
      </c>
      <c r="O187" s="68">
        <v>7613.0</v>
      </c>
      <c r="P187" s="67">
        <f t="shared" si="200"/>
        <v>0.1900202149</v>
      </c>
      <c r="Q187" s="69">
        <v>7613.0</v>
      </c>
      <c r="R187" s="76"/>
      <c r="S187" s="72">
        <f t="shared" ref="S187:S193" si="204">O187/M187-1</f>
        <v>0.06579868403</v>
      </c>
      <c r="T187" s="72">
        <f t="shared" si="6"/>
        <v>0</v>
      </c>
      <c r="U187" s="73" t="str">
        <f t="shared" si="187"/>
        <v/>
      </c>
      <c r="V187" s="73">
        <f t="shared" ref="V187:V196" si="205">M187/1.18</f>
        <v>6053.389831</v>
      </c>
      <c r="W187" s="73">
        <f t="shared" si="9"/>
        <v>6053.389831</v>
      </c>
      <c r="X187" s="74">
        <f t="shared" si="10"/>
        <v>1</v>
      </c>
      <c r="Y187" s="73">
        <f t="shared" si="11"/>
        <v>0</v>
      </c>
      <c r="Z187" s="73">
        <f t="shared" si="12"/>
        <v>6451.694915</v>
      </c>
      <c r="AA187" s="73">
        <f t="shared" si="13"/>
        <v>6451.694915</v>
      </c>
      <c r="AB187" s="74">
        <f t="shared" si="14"/>
        <v>1</v>
      </c>
      <c r="AC187" s="61" t="str">
        <f t="shared" si="15"/>
        <v>6</v>
      </c>
      <c r="AD187" s="71" t="str">
        <f t="shared" si="16"/>
        <v>#DIV/0!</v>
      </c>
      <c r="AE187" s="61"/>
      <c r="AF187" s="61"/>
      <c r="AG187" s="71">
        <f t="array" ref="AG187">IFERROR(xlookup(G187,'Old Master'!T:T,'Old Master'!V:V),N187)</f>
        <v>0.1900202149</v>
      </c>
      <c r="AH187" s="73">
        <f t="shared" si="17"/>
        <v>7613</v>
      </c>
      <c r="AI187" s="73">
        <f t="shared" si="18"/>
        <v>6451.694915</v>
      </c>
      <c r="AJ187" s="72">
        <f t="shared" si="19"/>
        <v>1</v>
      </c>
      <c r="AK187" s="61"/>
      <c r="AL187" s="71">
        <f t="array" ref="AL187">iferror(if(isblank(xlookup($G187,'Old Master'!$T:$T,'Old Master'!$W:$W)),AG187,xlookup($G187,'Old Master'!$T:$T,'Old Master'!$W:$W)),AG187)</f>
        <v>0.1900202149</v>
      </c>
      <c r="AM187" s="74">
        <f t="shared" si="20"/>
        <v>0.1915097351</v>
      </c>
      <c r="AN187" s="73">
        <f t="shared" ref="AN187:AN193" si="206">mround($I187*(1-AL187),100)-1</f>
        <v>7599</v>
      </c>
    </row>
    <row r="188">
      <c r="A188" s="65" t="s">
        <v>609</v>
      </c>
      <c r="B188" s="65">
        <f t="shared" si="1"/>
        <v>78</v>
      </c>
      <c r="C188" s="65" t="str">
        <f t="shared" si="2"/>
        <v>SC-ORIG-K-84x80x6</v>
      </c>
      <c r="D188" s="65" t="s">
        <v>611</v>
      </c>
      <c r="E188" s="65">
        <v>0.0</v>
      </c>
      <c r="F188" s="65" t="s">
        <v>612</v>
      </c>
      <c r="G188" s="65" t="s">
        <v>51</v>
      </c>
      <c r="H188" s="65" t="s">
        <v>52</v>
      </c>
      <c r="I188" s="65">
        <v>22999.0</v>
      </c>
      <c r="J188" s="66">
        <v>0.28</v>
      </c>
      <c r="K188" s="65">
        <f t="shared" si="3"/>
        <v>16559</v>
      </c>
      <c r="L188" s="66">
        <v>0.24</v>
      </c>
      <c r="M188" s="65">
        <f t="shared" si="4"/>
        <v>17479</v>
      </c>
      <c r="N188" s="67">
        <f t="shared" si="193"/>
        <v>0.1900082612</v>
      </c>
      <c r="O188" s="68">
        <v>18629.0</v>
      </c>
      <c r="P188" s="67">
        <f t="shared" si="200"/>
        <v>0.1900082612</v>
      </c>
      <c r="Q188" s="69">
        <v>18629.0</v>
      </c>
      <c r="R188" s="76"/>
      <c r="S188" s="72">
        <f t="shared" si="204"/>
        <v>0.0657932376</v>
      </c>
      <c r="T188" s="72">
        <f t="shared" si="6"/>
        <v>0</v>
      </c>
      <c r="U188" s="73" t="str">
        <f t="shared" si="187"/>
        <v/>
      </c>
      <c r="V188" s="73">
        <f t="shared" si="205"/>
        <v>14812.71186</v>
      </c>
      <c r="W188" s="73">
        <f t="shared" si="9"/>
        <v>14812.71186</v>
      </c>
      <c r="X188" s="74">
        <f t="shared" si="10"/>
        <v>1</v>
      </c>
      <c r="Y188" s="73">
        <f t="shared" si="11"/>
        <v>0</v>
      </c>
      <c r="Z188" s="73">
        <f t="shared" si="12"/>
        <v>15787.28814</v>
      </c>
      <c r="AA188" s="73">
        <f t="shared" si="13"/>
        <v>15787.28814</v>
      </c>
      <c r="AB188" s="74">
        <f t="shared" si="14"/>
        <v>1</v>
      </c>
      <c r="AC188" s="61" t="str">
        <f t="shared" si="15"/>
        <v>6</v>
      </c>
      <c r="AD188" s="71" t="str">
        <f t="shared" si="16"/>
        <v>#DIV/0!</v>
      </c>
      <c r="AE188" s="61"/>
      <c r="AF188" s="61"/>
      <c r="AG188" s="71">
        <f t="array" ref="AG188">IFERROR(xlookup(G188,'Old Master'!T:T,'Old Master'!V:V),N188)</f>
        <v>0.1900082612</v>
      </c>
      <c r="AH188" s="73">
        <f t="shared" si="17"/>
        <v>18629</v>
      </c>
      <c r="AI188" s="73">
        <f t="shared" si="18"/>
        <v>15787.28814</v>
      </c>
      <c r="AJ188" s="72">
        <f t="shared" si="19"/>
        <v>1</v>
      </c>
      <c r="AK188" s="61"/>
      <c r="AL188" s="71">
        <f t="array" ref="AL188">iferror(if(isblank(xlookup($G188,'Old Master'!$T:$T,'Old Master'!$W:$W)),AG188,xlookup($G188,'Old Master'!$T:$T,'Old Master'!$W:$W)),AG188)</f>
        <v>0.1900082612</v>
      </c>
      <c r="AM188" s="74">
        <f t="shared" si="20"/>
        <v>0.1913126658</v>
      </c>
      <c r="AN188" s="73">
        <f t="shared" si="206"/>
        <v>18599</v>
      </c>
    </row>
    <row r="189">
      <c r="A189" s="65" t="s">
        <v>659</v>
      </c>
      <c r="B189" s="65">
        <f t="shared" si="1"/>
        <v>78</v>
      </c>
      <c r="C189" s="65" t="str">
        <f t="shared" si="2"/>
        <v>SC-ORIG-K-84x80x8</v>
      </c>
      <c r="D189" s="65" t="s">
        <v>661</v>
      </c>
      <c r="E189" s="65">
        <v>0.0</v>
      </c>
      <c r="F189" s="65">
        <v>0.0</v>
      </c>
      <c r="G189" s="65" t="s">
        <v>51</v>
      </c>
      <c r="H189" s="65" t="s">
        <v>52</v>
      </c>
      <c r="I189" s="65">
        <v>25999.0</v>
      </c>
      <c r="J189" s="66">
        <v>0.28</v>
      </c>
      <c r="K189" s="65">
        <f t="shared" si="3"/>
        <v>18719</v>
      </c>
      <c r="L189" s="66">
        <v>0.24</v>
      </c>
      <c r="M189" s="65">
        <f t="shared" si="4"/>
        <v>19759</v>
      </c>
      <c r="N189" s="67">
        <f t="shared" si="193"/>
        <v>0.190007308</v>
      </c>
      <c r="O189" s="68">
        <v>21059.0</v>
      </c>
      <c r="P189" s="67">
        <f t="shared" si="200"/>
        <v>0.190007308</v>
      </c>
      <c r="Q189" s="69">
        <v>21059.0</v>
      </c>
      <c r="R189" s="76"/>
      <c r="S189" s="72">
        <f t="shared" si="204"/>
        <v>0.06579280328</v>
      </c>
      <c r="T189" s="72">
        <f t="shared" si="6"/>
        <v>0</v>
      </c>
      <c r="U189" s="73" t="str">
        <f t="shared" si="187"/>
        <v/>
      </c>
      <c r="V189" s="73">
        <f t="shared" si="205"/>
        <v>16744.91525</v>
      </c>
      <c r="W189" s="73">
        <f t="shared" si="9"/>
        <v>16744.91525</v>
      </c>
      <c r="X189" s="74">
        <f t="shared" si="10"/>
        <v>1</v>
      </c>
      <c r="Y189" s="73">
        <f t="shared" si="11"/>
        <v>0</v>
      </c>
      <c r="Z189" s="73">
        <f t="shared" si="12"/>
        <v>17846.61017</v>
      </c>
      <c r="AA189" s="73">
        <f t="shared" si="13"/>
        <v>17846.61017</v>
      </c>
      <c r="AB189" s="74">
        <f t="shared" si="14"/>
        <v>1</v>
      </c>
      <c r="AC189" s="61" t="str">
        <f t="shared" si="15"/>
        <v>8</v>
      </c>
      <c r="AD189" s="71" t="str">
        <f t="shared" si="16"/>
        <v>#DIV/0!</v>
      </c>
      <c r="AE189" s="61"/>
      <c r="AF189" s="61"/>
      <c r="AG189" s="71">
        <f t="array" ref="AG189">IFERROR(xlookup(G189,'Old Master'!T:T,'Old Master'!V:V),N189)</f>
        <v>0.190007308</v>
      </c>
      <c r="AH189" s="73">
        <f t="shared" si="17"/>
        <v>21059</v>
      </c>
      <c r="AI189" s="73">
        <f t="shared" si="18"/>
        <v>17846.61017</v>
      </c>
      <c r="AJ189" s="72">
        <f t="shared" si="19"/>
        <v>1</v>
      </c>
      <c r="AK189" s="61"/>
      <c r="AL189" s="71">
        <f t="array" ref="AL189">iferror(if(isblank(xlookup($G189,'Old Master'!$T:$T,'Old Master'!$W:$W)),AG189,xlookup($G189,'Old Master'!$T:$T,'Old Master'!$W:$W)),AG189)</f>
        <v>0.190007308</v>
      </c>
      <c r="AM189" s="74">
        <f t="shared" si="20"/>
        <v>0.1884687873</v>
      </c>
      <c r="AN189" s="73">
        <f t="shared" si="206"/>
        <v>21099</v>
      </c>
    </row>
    <row r="190">
      <c r="A190" s="65" t="s">
        <v>614</v>
      </c>
      <c r="B190" s="65">
        <f t="shared" si="1"/>
        <v>70</v>
      </c>
      <c r="C190" s="65" t="str">
        <f t="shared" si="2"/>
        <v>SC-ORIG-K-72x72x8</v>
      </c>
      <c r="D190" s="65" t="s">
        <v>616</v>
      </c>
      <c r="E190" s="65">
        <v>0.0</v>
      </c>
      <c r="F190" s="65" t="s">
        <v>617</v>
      </c>
      <c r="G190" s="65" t="s">
        <v>51</v>
      </c>
      <c r="H190" s="65" t="s">
        <v>52</v>
      </c>
      <c r="I190" s="65">
        <v>20399.0</v>
      </c>
      <c r="J190" s="66">
        <v>0.28</v>
      </c>
      <c r="K190" s="65">
        <f t="shared" si="3"/>
        <v>14687</v>
      </c>
      <c r="L190" s="66">
        <v>0.24</v>
      </c>
      <c r="M190" s="65">
        <f t="shared" si="4"/>
        <v>15503</v>
      </c>
      <c r="N190" s="67">
        <f t="shared" si="193"/>
        <v>0.1900093142</v>
      </c>
      <c r="O190" s="68">
        <v>16523.0</v>
      </c>
      <c r="P190" s="67">
        <f t="shared" si="200"/>
        <v>0.1900093142</v>
      </c>
      <c r="Q190" s="69">
        <v>16523.0</v>
      </c>
      <c r="R190" s="76"/>
      <c r="S190" s="72">
        <f t="shared" si="204"/>
        <v>0.06579371735</v>
      </c>
      <c r="T190" s="72">
        <f t="shared" si="6"/>
        <v>0</v>
      </c>
      <c r="U190" s="73" t="str">
        <f t="shared" si="187"/>
        <v/>
      </c>
      <c r="V190" s="73">
        <f t="shared" si="205"/>
        <v>13138.13559</v>
      </c>
      <c r="W190" s="73">
        <f t="shared" si="9"/>
        <v>13138.13559</v>
      </c>
      <c r="X190" s="74">
        <f t="shared" si="10"/>
        <v>1</v>
      </c>
      <c r="Y190" s="73">
        <f t="shared" si="11"/>
        <v>0</v>
      </c>
      <c r="Z190" s="73">
        <f t="shared" si="12"/>
        <v>14002.54237</v>
      </c>
      <c r="AA190" s="73">
        <f t="shared" si="13"/>
        <v>14002.54237</v>
      </c>
      <c r="AB190" s="74">
        <f t="shared" si="14"/>
        <v>1</v>
      </c>
      <c r="AC190" s="61" t="str">
        <f t="shared" si="15"/>
        <v>8</v>
      </c>
      <c r="AD190" s="71" t="str">
        <f t="shared" si="16"/>
        <v>#DIV/0!</v>
      </c>
      <c r="AE190" s="61"/>
      <c r="AF190" s="61"/>
      <c r="AG190" s="71">
        <f t="array" ref="AG190">IFERROR(xlookup(G190,'Old Master'!T:T,'Old Master'!V:V),N190)</f>
        <v>0.1900093142</v>
      </c>
      <c r="AH190" s="73">
        <f t="shared" si="17"/>
        <v>16523</v>
      </c>
      <c r="AI190" s="73">
        <f t="shared" si="18"/>
        <v>14002.54237</v>
      </c>
      <c r="AJ190" s="72">
        <f t="shared" si="19"/>
        <v>1</v>
      </c>
      <c r="AK190" s="61"/>
      <c r="AL190" s="71">
        <f t="array" ref="AL190">iferror(if(isblank(xlookup($G190,'Old Master'!$T:$T,'Old Master'!$W:$W)),AG190,xlookup($G190,'Old Master'!$T:$T,'Old Master'!$W:$W)),AG190)</f>
        <v>0.1900093142</v>
      </c>
      <c r="AM190" s="74">
        <f t="shared" si="20"/>
        <v>0.1911858424</v>
      </c>
      <c r="AN190" s="73">
        <f t="shared" si="206"/>
        <v>16499</v>
      </c>
    </row>
    <row r="191">
      <c r="A191" s="65" t="s">
        <v>1808</v>
      </c>
      <c r="B191" s="65">
        <f t="shared" si="1"/>
        <v>60</v>
      </c>
      <c r="C191" s="65" t="str">
        <f t="shared" si="2"/>
        <v>SC-ULTM-LATEX-Q-72x62x10</v>
      </c>
      <c r="D191" s="65" t="s">
        <v>1810</v>
      </c>
      <c r="E191" s="65" t="s">
        <v>1811</v>
      </c>
      <c r="F191" s="65">
        <v>0.0</v>
      </c>
      <c r="G191" s="65" t="s">
        <v>5109</v>
      </c>
      <c r="H191" s="65" t="s">
        <v>52</v>
      </c>
      <c r="I191" s="65">
        <v>34999.0</v>
      </c>
      <c r="J191" s="66">
        <v>0.23</v>
      </c>
      <c r="K191" s="65">
        <f t="shared" si="3"/>
        <v>26949</v>
      </c>
      <c r="L191" s="66">
        <v>0.18</v>
      </c>
      <c r="M191" s="65">
        <f t="shared" si="4"/>
        <v>28699</v>
      </c>
      <c r="N191" s="67">
        <f t="shared" si="193"/>
        <v>0.1000028572</v>
      </c>
      <c r="O191" s="68">
        <v>31499.0</v>
      </c>
      <c r="P191" s="67">
        <f t="shared" si="200"/>
        <v>0.1000028572</v>
      </c>
      <c r="Q191" s="69">
        <v>31499.0</v>
      </c>
      <c r="R191" s="70"/>
      <c r="S191" s="71">
        <f t="shared" si="204"/>
        <v>0.09756437507</v>
      </c>
      <c r="T191" s="72">
        <f t="shared" si="6"/>
        <v>0</v>
      </c>
      <c r="U191" s="73" t="str">
        <f t="shared" si="187"/>
        <v/>
      </c>
      <c r="V191" s="73">
        <f t="shared" si="205"/>
        <v>24321.18644</v>
      </c>
      <c r="W191" s="73">
        <f t="shared" si="9"/>
        <v>24321.18644</v>
      </c>
      <c r="X191" s="74">
        <f t="shared" si="10"/>
        <v>1</v>
      </c>
      <c r="Y191" s="73">
        <f t="shared" si="11"/>
        <v>0</v>
      </c>
      <c r="Z191" s="73">
        <f t="shared" si="12"/>
        <v>26694.0678</v>
      </c>
      <c r="AA191" s="73">
        <f t="shared" si="13"/>
        <v>26694.0678</v>
      </c>
      <c r="AB191" s="74">
        <f t="shared" si="14"/>
        <v>1</v>
      </c>
      <c r="AC191" s="61" t="str">
        <f t="shared" si="15"/>
        <v>0</v>
      </c>
      <c r="AD191" s="71" t="str">
        <f t="shared" si="16"/>
        <v>#DIV/0!</v>
      </c>
      <c r="AE191" s="61"/>
      <c r="AF191" s="61"/>
      <c r="AG191" s="71">
        <f t="array" ref="AG191">IFERROR(xlookup(G191,'Old Master'!T:T,'Old Master'!V:V),N191)</f>
        <v>0.1000028572</v>
      </c>
      <c r="AH191" s="73">
        <f t="shared" si="17"/>
        <v>31499</v>
      </c>
      <c r="AI191" s="73">
        <f t="shared" si="18"/>
        <v>26694.0678</v>
      </c>
      <c r="AJ191" s="72">
        <f t="shared" si="19"/>
        <v>1</v>
      </c>
      <c r="AK191" s="61"/>
      <c r="AL191" s="71">
        <f t="array" ref="AL191">iferror(if(isblank(xlookup($G191,'Old Master'!$T:$T,'Old Master'!$W:$W)),AG191,xlookup($G191,'Old Master'!$T:$T,'Old Master'!$W:$W)),AG191)</f>
        <v>0.1000028572</v>
      </c>
      <c r="AM191" s="74">
        <f t="shared" si="20"/>
        <v>0.1000028572</v>
      </c>
      <c r="AN191" s="73">
        <f t="shared" si="206"/>
        <v>31499</v>
      </c>
    </row>
    <row r="192">
      <c r="A192" s="65" t="s">
        <v>1658</v>
      </c>
      <c r="B192" s="65">
        <f t="shared" si="1"/>
        <v>72</v>
      </c>
      <c r="C192" s="65" t="str">
        <f t="shared" si="2"/>
        <v>SC-ULTM-K-72x74x10</v>
      </c>
      <c r="D192" s="65" t="s">
        <v>1660</v>
      </c>
      <c r="E192" s="65">
        <v>0.0</v>
      </c>
      <c r="F192" s="65" t="s">
        <v>1658</v>
      </c>
      <c r="G192" s="65" t="s">
        <v>5112</v>
      </c>
      <c r="H192" s="65" t="s">
        <v>52</v>
      </c>
      <c r="I192" s="65">
        <v>29999.0</v>
      </c>
      <c r="J192" s="66">
        <v>0.25</v>
      </c>
      <c r="K192" s="65">
        <f t="shared" si="3"/>
        <v>22499</v>
      </c>
      <c r="L192" s="66">
        <v>0.22</v>
      </c>
      <c r="M192" s="65">
        <f t="shared" si="4"/>
        <v>23399</v>
      </c>
      <c r="N192" s="67">
        <f t="shared" si="193"/>
        <v>0.1000033334</v>
      </c>
      <c r="O192" s="68">
        <v>26999.0</v>
      </c>
      <c r="P192" s="67">
        <f t="shared" si="200"/>
        <v>0.1000033334</v>
      </c>
      <c r="Q192" s="69">
        <v>26999.0</v>
      </c>
      <c r="R192" s="70"/>
      <c r="S192" s="71">
        <f t="shared" si="204"/>
        <v>0.1538527287</v>
      </c>
      <c r="T192" s="72">
        <f t="shared" si="6"/>
        <v>0</v>
      </c>
      <c r="U192" s="73" t="str">
        <f t="shared" si="187"/>
        <v/>
      </c>
      <c r="V192" s="73">
        <f t="shared" si="205"/>
        <v>19829.66102</v>
      </c>
      <c r="W192" s="73">
        <f t="shared" si="9"/>
        <v>19829.66102</v>
      </c>
      <c r="X192" s="74">
        <f t="shared" si="10"/>
        <v>1</v>
      </c>
      <c r="Y192" s="73">
        <f t="shared" si="11"/>
        <v>0</v>
      </c>
      <c r="Z192" s="73">
        <f t="shared" si="12"/>
        <v>22880.50847</v>
      </c>
      <c r="AA192" s="73">
        <f t="shared" si="13"/>
        <v>22880.50847</v>
      </c>
      <c r="AB192" s="74">
        <f t="shared" si="14"/>
        <v>1</v>
      </c>
      <c r="AC192" s="61" t="str">
        <f t="shared" si="15"/>
        <v>0</v>
      </c>
      <c r="AD192" s="71" t="str">
        <f t="shared" si="16"/>
        <v>#DIV/0!</v>
      </c>
      <c r="AE192" s="61"/>
      <c r="AF192" s="61"/>
      <c r="AG192" s="71">
        <f t="array" ref="AG192">IFERROR(xlookup(G192,'Old Master'!T:T,'Old Master'!V:V),N192)</f>
        <v>0.1000033334</v>
      </c>
      <c r="AH192" s="73">
        <f t="shared" si="17"/>
        <v>26999</v>
      </c>
      <c r="AI192" s="73">
        <f t="shared" si="18"/>
        <v>22880.50847</v>
      </c>
      <c r="AJ192" s="72">
        <f t="shared" si="19"/>
        <v>1</v>
      </c>
      <c r="AK192" s="61"/>
      <c r="AL192" s="71">
        <f t="array" ref="AL192">iferror(if(isblank(xlookup($G192,'Old Master'!$T:$T,'Old Master'!$W:$W)),AG192,xlookup($G192,'Old Master'!$T:$T,'Old Master'!$W:$W)),AG192)</f>
        <v>0.1000033334</v>
      </c>
      <c r="AM192" s="74">
        <f t="shared" si="20"/>
        <v>0.1000033334</v>
      </c>
      <c r="AN192" s="73">
        <f t="shared" si="206"/>
        <v>26999</v>
      </c>
    </row>
    <row r="193">
      <c r="A193" s="65" t="s">
        <v>1648</v>
      </c>
      <c r="B193" s="65">
        <f t="shared" si="1"/>
        <v>72</v>
      </c>
      <c r="C193" s="65" t="str">
        <f t="shared" si="2"/>
        <v>SC-ULTM-K-84x74x8</v>
      </c>
      <c r="D193" s="65" t="s">
        <v>1650</v>
      </c>
      <c r="E193" s="65">
        <v>0.0</v>
      </c>
      <c r="F193" s="65" t="s">
        <v>1648</v>
      </c>
      <c r="G193" s="65" t="s">
        <v>5112</v>
      </c>
      <c r="H193" s="65" t="s">
        <v>52</v>
      </c>
      <c r="I193" s="65">
        <v>29999.0</v>
      </c>
      <c r="J193" s="66">
        <v>0.25</v>
      </c>
      <c r="K193" s="65">
        <f t="shared" si="3"/>
        <v>22499</v>
      </c>
      <c r="L193" s="66">
        <v>0.22</v>
      </c>
      <c r="M193" s="65">
        <f t="shared" si="4"/>
        <v>23399</v>
      </c>
      <c r="N193" s="67">
        <f t="shared" si="193"/>
        <v>0.1000033334</v>
      </c>
      <c r="O193" s="68">
        <v>26999.0</v>
      </c>
      <c r="P193" s="67">
        <f t="shared" si="200"/>
        <v>0.1000033334</v>
      </c>
      <c r="Q193" s="69">
        <v>26999.0</v>
      </c>
      <c r="R193" s="70"/>
      <c r="S193" s="71">
        <f t="shared" si="204"/>
        <v>0.1538527287</v>
      </c>
      <c r="T193" s="72">
        <f t="shared" si="6"/>
        <v>0</v>
      </c>
      <c r="U193" s="73" t="str">
        <f t="shared" si="187"/>
        <v/>
      </c>
      <c r="V193" s="73">
        <f t="shared" si="205"/>
        <v>19829.66102</v>
      </c>
      <c r="W193" s="73">
        <f t="shared" si="9"/>
        <v>19829.66102</v>
      </c>
      <c r="X193" s="74">
        <f t="shared" si="10"/>
        <v>1</v>
      </c>
      <c r="Y193" s="73">
        <f t="shared" si="11"/>
        <v>0</v>
      </c>
      <c r="Z193" s="73">
        <f t="shared" si="12"/>
        <v>22880.50847</v>
      </c>
      <c r="AA193" s="73">
        <f t="shared" si="13"/>
        <v>22880.50847</v>
      </c>
      <c r="AB193" s="74">
        <f t="shared" si="14"/>
        <v>1</v>
      </c>
      <c r="AC193" s="61" t="str">
        <f t="shared" si="15"/>
        <v>8</v>
      </c>
      <c r="AD193" s="71" t="str">
        <f t="shared" si="16"/>
        <v>#DIV/0!</v>
      </c>
      <c r="AE193" s="61"/>
      <c r="AF193" s="61"/>
      <c r="AG193" s="71">
        <f t="array" ref="AG193">IFERROR(xlookup(G193,'Old Master'!T:T,'Old Master'!V:V),N193)</f>
        <v>0.1000033334</v>
      </c>
      <c r="AH193" s="73">
        <f t="shared" si="17"/>
        <v>26999</v>
      </c>
      <c r="AI193" s="73">
        <f t="shared" si="18"/>
        <v>22880.50847</v>
      </c>
      <c r="AJ193" s="72">
        <f t="shared" si="19"/>
        <v>1</v>
      </c>
      <c r="AK193" s="61"/>
      <c r="AL193" s="71">
        <f t="array" ref="AL193">iferror(if(isblank(xlookup($G193,'Old Master'!$T:$T,'Old Master'!$W:$W)),AG193,xlookup($G193,'Old Master'!$T:$T,'Old Master'!$W:$W)),AG193)</f>
        <v>0.1000033334</v>
      </c>
      <c r="AM193" s="74">
        <f t="shared" si="20"/>
        <v>0.1000033334</v>
      </c>
      <c r="AN193" s="73">
        <f t="shared" si="206"/>
        <v>26999</v>
      </c>
    </row>
    <row r="194">
      <c r="A194" s="65" t="s">
        <v>2418</v>
      </c>
      <c r="B194" s="65" t="str">
        <f t="shared" si="1"/>
        <v>#VALUE!</v>
      </c>
      <c r="C194" s="65" t="str">
        <f t="shared" si="2"/>
        <v>#VALUE!</v>
      </c>
      <c r="D194" s="65" t="s">
        <v>2420</v>
      </c>
      <c r="E194" s="65" t="s">
        <v>2421</v>
      </c>
      <c r="F194" s="65">
        <v>0.0</v>
      </c>
      <c r="G194" s="65" t="s">
        <v>5074</v>
      </c>
      <c r="H194" s="65" t="s">
        <v>1145</v>
      </c>
      <c r="I194" s="65">
        <v>5956.0</v>
      </c>
      <c r="J194" s="66">
        <v>0.3453660174613835</v>
      </c>
      <c r="K194" s="65">
        <f t="shared" si="3"/>
        <v>3899</v>
      </c>
      <c r="L194" s="66">
        <v>0.2</v>
      </c>
      <c r="M194" s="65">
        <f t="shared" si="4"/>
        <v>4765</v>
      </c>
      <c r="N194" s="77">
        <f t="shared" si="193"/>
        <v>0.2614170584</v>
      </c>
      <c r="O194" s="78">
        <v>4399.0</v>
      </c>
      <c r="P194" s="67">
        <f t="shared" si="200"/>
        <v>0.2614170584</v>
      </c>
      <c r="Q194" s="79">
        <v>4399.0</v>
      </c>
      <c r="R194" s="70"/>
      <c r="S194" s="71">
        <f>O194/K194-1</f>
        <v>0.1282380097</v>
      </c>
      <c r="T194" s="72">
        <f t="shared" si="6"/>
        <v>0</v>
      </c>
      <c r="U194" s="73" t="str">
        <f t="shared" si="187"/>
        <v/>
      </c>
      <c r="V194" s="73">
        <f t="shared" si="205"/>
        <v>4038.135593</v>
      </c>
      <c r="W194" s="73">
        <f t="shared" si="9"/>
        <v>4038.135593</v>
      </c>
      <c r="X194" s="74">
        <f t="shared" si="10"/>
        <v>1</v>
      </c>
      <c r="Y194" s="73">
        <f t="shared" si="11"/>
        <v>0</v>
      </c>
      <c r="Z194" s="73">
        <f t="shared" si="12"/>
        <v>3727.966102</v>
      </c>
      <c r="AA194" s="73">
        <f t="shared" si="13"/>
        <v>3727.966102</v>
      </c>
      <c r="AB194" s="74">
        <f t="shared" si="14"/>
        <v>1</v>
      </c>
      <c r="AC194" s="61" t="str">
        <f t="shared" si="15"/>
        <v>0</v>
      </c>
      <c r="AD194" s="71" t="str">
        <f t="shared" si="16"/>
        <v>#DIV/0!</v>
      </c>
      <c r="AE194" s="61"/>
      <c r="AF194" s="61"/>
      <c r="AG194" s="71">
        <f t="array" ref="AG194">IFERROR(xlookup(G194,'Old Master'!T:T,'Old Master'!V:V),N194)</f>
        <v>0.2614170584</v>
      </c>
      <c r="AH194" s="73">
        <f t="shared" si="17"/>
        <v>4399</v>
      </c>
      <c r="AI194" s="73">
        <f t="shared" si="18"/>
        <v>3727.966102</v>
      </c>
      <c r="AJ194" s="72">
        <f t="shared" si="19"/>
        <v>1</v>
      </c>
      <c r="AK194" s="61"/>
      <c r="AL194" s="71">
        <f>(I194-AN194)/I194</f>
        <v>0.1438885158</v>
      </c>
      <c r="AM194" s="74">
        <f t="shared" si="20"/>
        <v>0.1438885158</v>
      </c>
      <c r="AN194" s="73">
        <v>5099.0</v>
      </c>
    </row>
    <row r="195">
      <c r="A195" s="65" t="s">
        <v>2078</v>
      </c>
      <c r="B195" s="65">
        <f t="shared" si="1"/>
        <v>60</v>
      </c>
      <c r="C195" s="65" t="str">
        <f t="shared" si="2"/>
        <v>SC-CLD-SPR-Q-75x62x8</v>
      </c>
      <c r="D195" s="65" t="s">
        <v>2080</v>
      </c>
      <c r="E195" s="65" t="s">
        <v>2081</v>
      </c>
      <c r="F195" s="65" t="s">
        <v>2082</v>
      </c>
      <c r="G195" s="65" t="s">
        <v>5138</v>
      </c>
      <c r="H195" s="65" t="s">
        <v>52</v>
      </c>
      <c r="I195" s="65">
        <v>25999.0</v>
      </c>
      <c r="J195" s="66">
        <v>0.25</v>
      </c>
      <c r="K195" s="65">
        <f t="shared" si="3"/>
        <v>19499</v>
      </c>
      <c r="L195" s="66">
        <v>0.2</v>
      </c>
      <c r="M195" s="65">
        <f t="shared" si="4"/>
        <v>20799</v>
      </c>
      <c r="N195" s="67">
        <f t="shared" si="193"/>
        <v>0.1000038463</v>
      </c>
      <c r="O195" s="68">
        <v>23399.0</v>
      </c>
      <c r="P195" s="67">
        <f t="shared" si="200"/>
        <v>0.1000038463</v>
      </c>
      <c r="Q195" s="69">
        <v>23399.0</v>
      </c>
      <c r="R195" s="70"/>
      <c r="S195" s="71">
        <f t="shared" ref="S195:S196" si="207">O195/M195-1</f>
        <v>0.1250060099</v>
      </c>
      <c r="T195" s="72">
        <f t="shared" si="6"/>
        <v>0</v>
      </c>
      <c r="U195" s="73" t="str">
        <f t="shared" si="187"/>
        <v/>
      </c>
      <c r="V195" s="73">
        <f t="shared" si="205"/>
        <v>17626.27119</v>
      </c>
      <c r="W195" s="73">
        <f t="shared" si="9"/>
        <v>17626.27119</v>
      </c>
      <c r="X195" s="74">
        <f t="shared" si="10"/>
        <v>1</v>
      </c>
      <c r="Y195" s="73">
        <f t="shared" si="11"/>
        <v>0</v>
      </c>
      <c r="Z195" s="73">
        <f t="shared" si="12"/>
        <v>19829.66102</v>
      </c>
      <c r="AA195" s="73">
        <f t="shared" si="13"/>
        <v>19829.66102</v>
      </c>
      <c r="AB195" s="74">
        <f t="shared" si="14"/>
        <v>1</v>
      </c>
      <c r="AC195" s="61" t="str">
        <f t="shared" si="15"/>
        <v>8</v>
      </c>
      <c r="AD195" s="71" t="str">
        <f t="shared" si="16"/>
        <v>#DIV/0!</v>
      </c>
      <c r="AE195" s="61"/>
      <c r="AF195" s="61"/>
      <c r="AG195" s="71">
        <f t="array" ref="AG195">IFERROR(xlookup(G195,'Old Master'!T:T,'Old Master'!V:V),N195)</f>
        <v>0.1000038463</v>
      </c>
      <c r="AH195" s="73">
        <f t="shared" si="17"/>
        <v>23399</v>
      </c>
      <c r="AI195" s="73">
        <f t="shared" si="18"/>
        <v>19829.66102</v>
      </c>
      <c r="AJ195" s="72">
        <f t="shared" si="19"/>
        <v>1</v>
      </c>
      <c r="AK195" s="61"/>
      <c r="AL195" s="71">
        <f t="array" ref="AL195">iferror(if(isblank(xlookup($G195,'Old Master'!$T:$T,'Old Master'!$W:$W)),AG195,xlookup($G195,'Old Master'!$T:$T,'Old Master'!$W:$W)),AG195)</f>
        <v>0.1000038463</v>
      </c>
      <c r="AM195" s="74">
        <f t="shared" si="20"/>
        <v>0.1000038463</v>
      </c>
      <c r="AN195" s="73">
        <f t="shared" ref="AN195:AN196" si="208">mround($I195*(1-AL195),100)-1</f>
        <v>23399</v>
      </c>
    </row>
    <row r="196">
      <c r="A196" s="65" t="s">
        <v>5348</v>
      </c>
      <c r="B196" s="65">
        <f t="shared" si="1"/>
        <v>48</v>
      </c>
      <c r="C196" s="65" t="str">
        <f t="shared" si="2"/>
        <v>SC-LTx-ORTHO-D-72x50x8</v>
      </c>
      <c r="D196" s="65" t="s">
        <v>4072</v>
      </c>
      <c r="E196" s="65">
        <v>0.0</v>
      </c>
      <c r="F196" s="65" t="s">
        <v>4073</v>
      </c>
      <c r="G196" s="65" t="s">
        <v>5118</v>
      </c>
      <c r="H196" s="65" t="s">
        <v>52</v>
      </c>
      <c r="I196" s="81">
        <v>18899.0</v>
      </c>
      <c r="J196" s="66">
        <v>0.23</v>
      </c>
      <c r="K196" s="81">
        <f t="shared" si="3"/>
        <v>14552</v>
      </c>
      <c r="L196" s="66">
        <v>0.2</v>
      </c>
      <c r="M196" s="81">
        <f t="shared" si="4"/>
        <v>15119</v>
      </c>
      <c r="N196" s="67">
        <f t="shared" si="193"/>
        <v>0.3238213662</v>
      </c>
      <c r="O196" s="68">
        <v>12779.1</v>
      </c>
      <c r="P196" s="75">
        <v>0.1</v>
      </c>
      <c r="Q196" s="68">
        <f>I196*(1-P196)</f>
        <v>17009.1</v>
      </c>
      <c r="R196" s="70"/>
      <c r="S196" s="71">
        <f t="shared" si="207"/>
        <v>-0.1547655268</v>
      </c>
      <c r="T196" s="72">
        <f t="shared" si="6"/>
        <v>0</v>
      </c>
      <c r="U196" s="73" t="str">
        <f t="shared" si="187"/>
        <v/>
      </c>
      <c r="V196" s="73">
        <f t="shared" si="205"/>
        <v>12812.71186</v>
      </c>
      <c r="W196" s="73">
        <f t="shared" si="9"/>
        <v>12812.71186</v>
      </c>
      <c r="X196" s="74">
        <f t="shared" si="10"/>
        <v>1</v>
      </c>
      <c r="Y196" s="73">
        <f t="shared" si="11"/>
        <v>0</v>
      </c>
      <c r="Z196" s="73">
        <f t="shared" si="12"/>
        <v>10829.74576</v>
      </c>
      <c r="AA196" s="73">
        <f t="shared" si="13"/>
        <v>10829.74576</v>
      </c>
      <c r="AB196" s="74">
        <f t="shared" si="14"/>
        <v>1</v>
      </c>
      <c r="AC196" s="61" t="str">
        <f t="shared" si="15"/>
        <v>8</v>
      </c>
      <c r="AD196" s="71" t="str">
        <f t="shared" si="16"/>
        <v>#DIV/0!</v>
      </c>
      <c r="AE196" s="61"/>
      <c r="AF196" s="61"/>
      <c r="AG196" s="71">
        <f t="array" ref="AG196">IFERROR(xlookup(G196,'Old Master'!T:T,'Old Master'!V:V),N196)</f>
        <v>0.3238213662</v>
      </c>
      <c r="AH196" s="73">
        <f t="shared" si="17"/>
        <v>12779.1</v>
      </c>
      <c r="AI196" s="73">
        <f t="shared" si="18"/>
        <v>10829.74576</v>
      </c>
      <c r="AJ196" s="72">
        <f t="shared" si="19"/>
        <v>1</v>
      </c>
      <c r="AK196" s="61"/>
      <c r="AL196" s="71">
        <f t="array" ref="AL196">iferror(if(isblank(xlookup($G196,'Old Master'!$T:$T,'Old Master'!$W:$W)),AG196,xlookup($G196,'Old Master'!$T:$T,'Old Master'!$W:$W)),AG196)</f>
        <v>0.3238213662</v>
      </c>
      <c r="AM196" s="74">
        <f t="shared" si="20"/>
        <v>0.3227684004</v>
      </c>
      <c r="AN196" s="73">
        <f t="shared" si="208"/>
        <v>12799</v>
      </c>
    </row>
    <row r="197">
      <c r="A197" s="65" t="s">
        <v>2000</v>
      </c>
      <c r="B197" s="65" t="str">
        <f t="shared" si="1"/>
        <v>#VALUE!</v>
      </c>
      <c r="C197" s="65" t="str">
        <f t="shared" si="2"/>
        <v>#VALUE!</v>
      </c>
      <c r="D197" s="65" t="s">
        <v>2002</v>
      </c>
      <c r="E197" s="65" t="s">
        <v>2004</v>
      </c>
      <c r="F197" s="65" t="s">
        <v>2005</v>
      </c>
      <c r="G197" s="65" t="s">
        <v>5132</v>
      </c>
      <c r="H197" s="65" t="s">
        <v>4730</v>
      </c>
      <c r="I197" s="65">
        <v>6999.0</v>
      </c>
      <c r="J197" s="66">
        <v>0.3514787826832405</v>
      </c>
      <c r="K197" s="65">
        <f t="shared" si="3"/>
        <v>4539</v>
      </c>
      <c r="L197" s="66">
        <v>0.15</v>
      </c>
      <c r="M197" s="65">
        <f t="shared" si="4"/>
        <v>5949</v>
      </c>
      <c r="N197" s="67">
        <f t="shared" si="193"/>
        <v>0.2514644949</v>
      </c>
      <c r="O197" s="68">
        <v>5239.0</v>
      </c>
      <c r="P197" s="67">
        <f t="shared" ref="P197:P204" si="209">1-Q197/I197</f>
        <v>0.2514644949</v>
      </c>
      <c r="Q197" s="69">
        <v>5239.0</v>
      </c>
      <c r="R197" s="70"/>
      <c r="S197" s="71">
        <f t="shared" ref="S197:S198" si="210">O197/K197-1</f>
        <v>0.154218991</v>
      </c>
      <c r="T197" s="72">
        <f t="shared" si="6"/>
        <v>0</v>
      </c>
      <c r="U197" s="73" t="str">
        <f t="shared" si="187"/>
        <v/>
      </c>
      <c r="V197" s="73">
        <f t="shared" ref="V197:V198" si="211">K197/1.18</f>
        <v>3846.610169</v>
      </c>
      <c r="W197" s="73">
        <f t="shared" si="9"/>
        <v>3846.610169</v>
      </c>
      <c r="X197" s="74">
        <f t="shared" si="10"/>
        <v>1</v>
      </c>
      <c r="Y197" s="73">
        <f t="shared" si="11"/>
        <v>0</v>
      </c>
      <c r="Z197" s="73">
        <f t="shared" si="12"/>
        <v>4439.830508</v>
      </c>
      <c r="AA197" s="73">
        <f t="shared" si="13"/>
        <v>4439.830508</v>
      </c>
      <c r="AB197" s="74">
        <f t="shared" si="14"/>
        <v>1</v>
      </c>
      <c r="AC197" s="61" t="str">
        <f t="shared" si="15"/>
        <v>0</v>
      </c>
      <c r="AD197" s="71" t="str">
        <f t="shared" si="16"/>
        <v>#DIV/0!</v>
      </c>
      <c r="AE197" s="61"/>
      <c r="AF197" s="61"/>
      <c r="AG197" s="71">
        <f t="array" ref="AG197">IFERROR(xlookup(G197,'Old Master'!T:T,'Old Master'!V:V),N197)</f>
        <v>0.2514644949</v>
      </c>
      <c r="AH197" s="73">
        <f t="shared" si="17"/>
        <v>5239</v>
      </c>
      <c r="AI197" s="73">
        <f t="shared" si="18"/>
        <v>4439.830508</v>
      </c>
      <c r="AJ197" s="72">
        <f t="shared" si="19"/>
        <v>1</v>
      </c>
      <c r="AK197" s="61"/>
      <c r="AL197" s="71">
        <f t="array" ref="AL197">iferror(if(isblank(xlookup($G197,'Old Master'!$T:$T,'Old Master'!$W:$W)),AG197,xlookup($G197,'Old Master'!$T:$T,'Old Master'!$W:$W)),AG197)</f>
        <v>0.2514644949</v>
      </c>
      <c r="AM197" s="74">
        <f t="shared" si="20"/>
        <v>0.2514644949</v>
      </c>
      <c r="AN197" s="73">
        <f t="shared" ref="AN197:AN198" si="212">O197</f>
        <v>5239</v>
      </c>
    </row>
    <row r="198">
      <c r="A198" s="65" t="s">
        <v>2172</v>
      </c>
      <c r="B198" s="65" t="str">
        <f t="shared" si="1"/>
        <v>#VALUE!</v>
      </c>
      <c r="C198" s="65" t="str">
        <f t="shared" si="2"/>
        <v>#VALUE!</v>
      </c>
      <c r="D198" s="65" t="s">
        <v>2174</v>
      </c>
      <c r="E198" s="65">
        <v>0.0</v>
      </c>
      <c r="F198" s="65">
        <v>0.0</v>
      </c>
      <c r="G198" s="65" t="s">
        <v>5103</v>
      </c>
      <c r="H198" s="65" t="s">
        <v>4730</v>
      </c>
      <c r="I198" s="65">
        <v>7499.0</v>
      </c>
      <c r="J198" s="66">
        <v>0.3</v>
      </c>
      <c r="K198" s="65">
        <f t="shared" si="3"/>
        <v>5249</v>
      </c>
      <c r="L198" s="66">
        <v>0.3</v>
      </c>
      <c r="M198" s="65">
        <f t="shared" si="4"/>
        <v>5249</v>
      </c>
      <c r="N198" s="67">
        <f t="shared" si="193"/>
        <v>0.2</v>
      </c>
      <c r="O198" s="78">
        <v>5999.200000000001</v>
      </c>
      <c r="P198" s="67">
        <f t="shared" si="209"/>
        <v>0.2</v>
      </c>
      <c r="Q198" s="82">
        <v>5999.200000000001</v>
      </c>
      <c r="R198" s="70"/>
      <c r="S198" s="71">
        <f t="shared" si="210"/>
        <v>0.1429224614</v>
      </c>
      <c r="T198" s="72">
        <f t="shared" si="6"/>
        <v>0</v>
      </c>
      <c r="U198" s="73" t="str">
        <f t="shared" si="187"/>
        <v/>
      </c>
      <c r="V198" s="73">
        <f t="shared" si="211"/>
        <v>4448.305085</v>
      </c>
      <c r="W198" s="73">
        <f t="shared" si="9"/>
        <v>4448.305085</v>
      </c>
      <c r="X198" s="74">
        <f t="shared" si="10"/>
        <v>1</v>
      </c>
      <c r="Y198" s="73">
        <f t="shared" si="11"/>
        <v>0</v>
      </c>
      <c r="Z198" s="73">
        <f t="shared" si="12"/>
        <v>5084.067797</v>
      </c>
      <c r="AA198" s="73">
        <f t="shared" si="13"/>
        <v>5084.067797</v>
      </c>
      <c r="AB198" s="74">
        <f t="shared" si="14"/>
        <v>1</v>
      </c>
      <c r="AC198" s="61" t="str">
        <f t="shared" si="15"/>
        <v>2</v>
      </c>
      <c r="AD198" s="71" t="str">
        <f t="shared" si="16"/>
        <v>#DIV/0!</v>
      </c>
      <c r="AE198" s="61"/>
      <c r="AF198" s="61"/>
      <c r="AG198" s="71">
        <f t="array" ref="AG198">IFERROR(xlookup(G198,'Old Master'!T:T,'Old Master'!V:V),N198)</f>
        <v>0.2</v>
      </c>
      <c r="AH198" s="73">
        <f t="shared" si="17"/>
        <v>5999.2</v>
      </c>
      <c r="AI198" s="73">
        <f t="shared" si="18"/>
        <v>5084.067797</v>
      </c>
      <c r="AJ198" s="72">
        <f t="shared" si="19"/>
        <v>1</v>
      </c>
      <c r="AK198" s="61"/>
      <c r="AL198" s="71">
        <f t="array" ref="AL198">iferror(if(isblank(xlookup($G198,'Old Master'!$T:$T,'Old Master'!$W:$W)),AG198,xlookup($G198,'Old Master'!$T:$T,'Old Master'!$W:$W)),AG198)</f>
        <v>0.2</v>
      </c>
      <c r="AM198" s="74">
        <f t="shared" si="20"/>
        <v>0.2</v>
      </c>
      <c r="AN198" s="73">
        <f t="shared" si="212"/>
        <v>5999.2</v>
      </c>
    </row>
    <row r="199">
      <c r="A199" s="65" t="s">
        <v>30</v>
      </c>
      <c r="B199" s="65">
        <f t="shared" si="1"/>
        <v>36</v>
      </c>
      <c r="C199" s="65" t="str">
        <f t="shared" si="2"/>
        <v>SC-ORIG-S-75x38x6</v>
      </c>
      <c r="D199" s="65" t="s">
        <v>32</v>
      </c>
      <c r="E199" s="65" t="s">
        <v>33</v>
      </c>
      <c r="F199" s="65" t="s">
        <v>34</v>
      </c>
      <c r="G199" s="65" t="s">
        <v>51</v>
      </c>
      <c r="H199" s="65" t="s">
        <v>52</v>
      </c>
      <c r="I199" s="65">
        <v>10599.0</v>
      </c>
      <c r="J199" s="66">
        <v>0.28</v>
      </c>
      <c r="K199" s="65">
        <f t="shared" si="3"/>
        <v>7631</v>
      </c>
      <c r="L199" s="66">
        <v>0.24</v>
      </c>
      <c r="M199" s="65">
        <f t="shared" si="4"/>
        <v>8055</v>
      </c>
      <c r="N199" s="67">
        <f t="shared" si="193"/>
        <v>0.1900179262</v>
      </c>
      <c r="O199" s="68">
        <v>8585.0</v>
      </c>
      <c r="P199" s="67">
        <f t="shared" si="209"/>
        <v>0.1900179262</v>
      </c>
      <c r="Q199" s="69">
        <v>8585.0</v>
      </c>
      <c r="R199" s="76"/>
      <c r="S199" s="72">
        <f t="shared" ref="S199:S200" si="213">O199/M199-1</f>
        <v>0.06579764122</v>
      </c>
      <c r="T199" s="72">
        <f t="shared" si="6"/>
        <v>0</v>
      </c>
      <c r="U199" s="73" t="str">
        <f t="shared" si="187"/>
        <v/>
      </c>
      <c r="V199" s="73">
        <f t="shared" ref="V199:V206" si="214">M199/1.18</f>
        <v>6826.271186</v>
      </c>
      <c r="W199" s="73">
        <f t="shared" si="9"/>
        <v>6826.271186</v>
      </c>
      <c r="X199" s="74">
        <f t="shared" si="10"/>
        <v>1</v>
      </c>
      <c r="Y199" s="73">
        <f t="shared" si="11"/>
        <v>0</v>
      </c>
      <c r="Z199" s="73">
        <f t="shared" si="12"/>
        <v>7275.423729</v>
      </c>
      <c r="AA199" s="73">
        <f t="shared" si="13"/>
        <v>7275.423729</v>
      </c>
      <c r="AB199" s="74">
        <f t="shared" si="14"/>
        <v>1</v>
      </c>
      <c r="AC199" s="61" t="str">
        <f t="shared" si="15"/>
        <v>6</v>
      </c>
      <c r="AD199" s="71" t="str">
        <f t="shared" si="16"/>
        <v>#DIV/0!</v>
      </c>
      <c r="AE199" s="61"/>
      <c r="AF199" s="61"/>
      <c r="AG199" s="71">
        <f t="array" ref="AG199">IFERROR(xlookup(G199,'Old Master'!T:T,'Old Master'!V:V),N199)</f>
        <v>0.1900179262</v>
      </c>
      <c r="AH199" s="73">
        <f t="shared" si="17"/>
        <v>8585</v>
      </c>
      <c r="AI199" s="73">
        <f t="shared" si="18"/>
        <v>7275.423729</v>
      </c>
      <c r="AJ199" s="72">
        <f t="shared" si="19"/>
        <v>1</v>
      </c>
      <c r="AK199" s="61"/>
      <c r="AL199" s="71">
        <f t="array" ref="AL199">iferror(if(isblank(xlookup($G199,'Old Master'!$T:$T,'Old Master'!$W:$W)),AG199,xlookup($G199,'Old Master'!$T:$T,'Old Master'!$W:$W)),AG199)</f>
        <v>0.1900179262</v>
      </c>
      <c r="AM199" s="74">
        <f t="shared" si="20"/>
        <v>0.1886970469</v>
      </c>
      <c r="AN199" s="73">
        <f t="shared" ref="AN199:AN200" si="215">mround($I199*(1-AL199),100)-1</f>
        <v>8599</v>
      </c>
    </row>
    <row r="200">
      <c r="A200" s="65" t="s">
        <v>246</v>
      </c>
      <c r="B200" s="65">
        <f t="shared" si="1"/>
        <v>48</v>
      </c>
      <c r="C200" s="65" t="str">
        <f t="shared" si="2"/>
        <v>SC-ORIG-D-78x50x8</v>
      </c>
      <c r="D200" s="65" t="s">
        <v>248</v>
      </c>
      <c r="E200" s="65" t="s">
        <v>249</v>
      </c>
      <c r="F200" s="65" t="s">
        <v>250</v>
      </c>
      <c r="G200" s="65" t="s">
        <v>51</v>
      </c>
      <c r="H200" s="65" t="s">
        <v>52</v>
      </c>
      <c r="I200" s="65">
        <v>14999.0</v>
      </c>
      <c r="J200" s="66">
        <v>0.28</v>
      </c>
      <c r="K200" s="65">
        <f t="shared" si="3"/>
        <v>10799</v>
      </c>
      <c r="L200" s="66">
        <v>0.24</v>
      </c>
      <c r="M200" s="65">
        <f t="shared" si="4"/>
        <v>11399</v>
      </c>
      <c r="N200" s="67">
        <f t="shared" si="193"/>
        <v>0.1900126675</v>
      </c>
      <c r="O200" s="68">
        <v>12149.0</v>
      </c>
      <c r="P200" s="67">
        <f t="shared" si="209"/>
        <v>0.1900126675</v>
      </c>
      <c r="Q200" s="69">
        <v>12149.0</v>
      </c>
      <c r="R200" s="76"/>
      <c r="S200" s="72">
        <f t="shared" si="213"/>
        <v>0.0657952452</v>
      </c>
      <c r="T200" s="72">
        <f t="shared" si="6"/>
        <v>0</v>
      </c>
      <c r="U200" s="73" t="str">
        <f t="shared" si="187"/>
        <v/>
      </c>
      <c r="V200" s="73">
        <f t="shared" si="214"/>
        <v>9660.169492</v>
      </c>
      <c r="W200" s="73">
        <f t="shared" si="9"/>
        <v>9660.169492</v>
      </c>
      <c r="X200" s="74">
        <f t="shared" si="10"/>
        <v>1</v>
      </c>
      <c r="Y200" s="73">
        <f t="shared" si="11"/>
        <v>0</v>
      </c>
      <c r="Z200" s="73">
        <f t="shared" si="12"/>
        <v>10295.76271</v>
      </c>
      <c r="AA200" s="73">
        <f t="shared" si="13"/>
        <v>10295.76271</v>
      </c>
      <c r="AB200" s="74">
        <f t="shared" si="14"/>
        <v>1</v>
      </c>
      <c r="AC200" s="61" t="str">
        <f t="shared" si="15"/>
        <v>8</v>
      </c>
      <c r="AD200" s="71" t="str">
        <f t="shared" si="16"/>
        <v>#DIV/0!</v>
      </c>
      <c r="AE200" s="61"/>
      <c r="AF200" s="61"/>
      <c r="AG200" s="71">
        <f t="array" ref="AG200">IFERROR(xlookup(G200,'Old Master'!T:T,'Old Master'!V:V),N200)</f>
        <v>0.1900126675</v>
      </c>
      <c r="AH200" s="73">
        <f t="shared" si="17"/>
        <v>12149</v>
      </c>
      <c r="AI200" s="73">
        <f t="shared" si="18"/>
        <v>10295.76271</v>
      </c>
      <c r="AJ200" s="72">
        <f t="shared" si="19"/>
        <v>1</v>
      </c>
      <c r="AK200" s="61"/>
      <c r="AL200" s="71">
        <f t="array" ref="AL200">iferror(if(isblank(xlookup($G200,'Old Master'!$T:$T,'Old Master'!$W:$W)),AG200,xlookup($G200,'Old Master'!$T:$T,'Old Master'!$W:$W)),AG200)</f>
        <v>0.1900126675</v>
      </c>
      <c r="AM200" s="74">
        <f t="shared" si="20"/>
        <v>0.1933462231</v>
      </c>
      <c r="AN200" s="73">
        <f t="shared" si="215"/>
        <v>12099</v>
      </c>
    </row>
    <row r="201">
      <c r="A201" s="65" t="s">
        <v>2335</v>
      </c>
      <c r="B201" s="65" t="str">
        <f t="shared" si="1"/>
        <v>#VALUE!</v>
      </c>
      <c r="C201" s="65" t="str">
        <f t="shared" si="2"/>
        <v>#VALUE!</v>
      </c>
      <c r="D201" s="65" t="s">
        <v>2337</v>
      </c>
      <c r="E201" s="65" t="s">
        <v>2338</v>
      </c>
      <c r="F201" s="65" t="s">
        <v>2339</v>
      </c>
      <c r="G201" s="65" t="s">
        <v>5077</v>
      </c>
      <c r="H201" s="65" t="s">
        <v>4730</v>
      </c>
      <c r="I201" s="65">
        <v>1089.0</v>
      </c>
      <c r="J201" s="66">
        <v>0.17447199265381086</v>
      </c>
      <c r="K201" s="65">
        <f t="shared" si="3"/>
        <v>899</v>
      </c>
      <c r="L201" s="66">
        <v>0.1</v>
      </c>
      <c r="M201" s="65">
        <f t="shared" si="4"/>
        <v>980</v>
      </c>
      <c r="N201" s="67">
        <f t="shared" si="193"/>
        <v>0.04958677686</v>
      </c>
      <c r="O201" s="68">
        <v>1035.0</v>
      </c>
      <c r="P201" s="67">
        <f t="shared" si="209"/>
        <v>0.04958677686</v>
      </c>
      <c r="Q201" s="69">
        <v>1035.0</v>
      </c>
      <c r="R201" s="70"/>
      <c r="S201" s="71">
        <f>O201/K201-1</f>
        <v>0.1512791991</v>
      </c>
      <c r="T201" s="72">
        <f t="shared" si="6"/>
        <v>0</v>
      </c>
      <c r="U201" s="73" t="str">
        <f t="shared" si="187"/>
        <v/>
      </c>
      <c r="V201" s="73">
        <f t="shared" si="214"/>
        <v>830.5084746</v>
      </c>
      <c r="W201" s="73">
        <f t="shared" si="9"/>
        <v>830.5084746</v>
      </c>
      <c r="X201" s="74">
        <f t="shared" si="10"/>
        <v>1</v>
      </c>
      <c r="Y201" s="73">
        <f t="shared" si="11"/>
        <v>0</v>
      </c>
      <c r="Z201" s="73">
        <f t="shared" si="12"/>
        <v>877.1186441</v>
      </c>
      <c r="AA201" s="73">
        <f t="shared" si="13"/>
        <v>877.1186441</v>
      </c>
      <c r="AB201" s="74">
        <f t="shared" si="14"/>
        <v>1</v>
      </c>
      <c r="AC201" s="61" t="str">
        <f t="shared" si="15"/>
        <v>2</v>
      </c>
      <c r="AD201" s="71" t="str">
        <f t="shared" si="16"/>
        <v>#DIV/0!</v>
      </c>
      <c r="AE201" s="61"/>
      <c r="AF201" s="61"/>
      <c r="AG201" s="71">
        <f t="array" ref="AG201">IFERROR(xlookup(G201,'Old Master'!T:T,'Old Master'!V:V),N201)</f>
        <v>0.04958677686</v>
      </c>
      <c r="AH201" s="73">
        <f t="shared" si="17"/>
        <v>1035</v>
      </c>
      <c r="AI201" s="73">
        <f t="shared" si="18"/>
        <v>877.1186441</v>
      </c>
      <c r="AJ201" s="72">
        <f t="shared" si="19"/>
        <v>1</v>
      </c>
      <c r="AK201" s="61"/>
      <c r="AL201" s="71">
        <f t="array" ref="AL201">iferror(if(isblank(xlookup($G201,'Old Master'!$T:$T,'Old Master'!$W:$W)),AG201,xlookup($G201,'Old Master'!$T:$T,'Old Master'!$W:$W)),AG201)</f>
        <v>0.04958677686</v>
      </c>
      <c r="AM201" s="74">
        <f t="shared" si="20"/>
        <v>0.04958677686</v>
      </c>
      <c r="AN201" s="73">
        <f>O201</f>
        <v>1035</v>
      </c>
    </row>
    <row r="202">
      <c r="A202" s="65" t="s">
        <v>1803</v>
      </c>
      <c r="B202" s="65">
        <f t="shared" si="1"/>
        <v>60</v>
      </c>
      <c r="C202" s="65" t="str">
        <f t="shared" si="2"/>
        <v>SC-ULTM-LATEX-Q-84x62x8</v>
      </c>
      <c r="D202" s="65" t="s">
        <v>1805</v>
      </c>
      <c r="E202" s="65">
        <v>0.0</v>
      </c>
      <c r="F202" s="65" t="s">
        <v>1806</v>
      </c>
      <c r="G202" s="65" t="s">
        <v>5109</v>
      </c>
      <c r="H202" s="65" t="s">
        <v>52</v>
      </c>
      <c r="I202" s="65">
        <v>35999.0</v>
      </c>
      <c r="J202" s="66">
        <v>0.23</v>
      </c>
      <c r="K202" s="65">
        <f t="shared" si="3"/>
        <v>27719</v>
      </c>
      <c r="L202" s="66">
        <v>0.18</v>
      </c>
      <c r="M202" s="65">
        <f t="shared" si="4"/>
        <v>29519</v>
      </c>
      <c r="N202" s="67">
        <f t="shared" si="193"/>
        <v>0.1000027779</v>
      </c>
      <c r="O202" s="68">
        <v>32399.0</v>
      </c>
      <c r="P202" s="67">
        <f t="shared" si="209"/>
        <v>0.1000027779</v>
      </c>
      <c r="Q202" s="69">
        <v>32399.0</v>
      </c>
      <c r="R202" s="70"/>
      <c r="S202" s="71">
        <f t="shared" ref="S202:S206" si="216">O202/M202-1</f>
        <v>0.09756428063</v>
      </c>
      <c r="T202" s="72">
        <f t="shared" si="6"/>
        <v>0</v>
      </c>
      <c r="U202" s="73" t="str">
        <f t="shared" si="187"/>
        <v/>
      </c>
      <c r="V202" s="73">
        <f t="shared" si="214"/>
        <v>25016.10169</v>
      </c>
      <c r="W202" s="73">
        <f t="shared" si="9"/>
        <v>25016.10169</v>
      </c>
      <c r="X202" s="74">
        <f t="shared" si="10"/>
        <v>1</v>
      </c>
      <c r="Y202" s="73">
        <f t="shared" si="11"/>
        <v>0</v>
      </c>
      <c r="Z202" s="73">
        <f t="shared" si="12"/>
        <v>27456.77966</v>
      </c>
      <c r="AA202" s="73">
        <f t="shared" si="13"/>
        <v>27456.77966</v>
      </c>
      <c r="AB202" s="74">
        <f t="shared" si="14"/>
        <v>1</v>
      </c>
      <c r="AC202" s="61" t="str">
        <f t="shared" si="15"/>
        <v>8</v>
      </c>
      <c r="AD202" s="71" t="str">
        <f t="shared" si="16"/>
        <v>#DIV/0!</v>
      </c>
      <c r="AE202" s="61"/>
      <c r="AF202" s="61"/>
      <c r="AG202" s="71">
        <f t="array" ref="AG202">IFERROR(xlookup(G202,'Old Master'!T:T,'Old Master'!V:V),N202)</f>
        <v>0.1000027779</v>
      </c>
      <c r="AH202" s="73">
        <f t="shared" si="17"/>
        <v>32399</v>
      </c>
      <c r="AI202" s="73">
        <f t="shared" si="18"/>
        <v>27456.77966</v>
      </c>
      <c r="AJ202" s="72">
        <f t="shared" si="19"/>
        <v>1</v>
      </c>
      <c r="AK202" s="61"/>
      <c r="AL202" s="71">
        <f t="array" ref="AL202">iferror(if(isblank(xlookup($G202,'Old Master'!$T:$T,'Old Master'!$W:$W)),AG202,xlookup($G202,'Old Master'!$T:$T,'Old Master'!$W:$W)),AG202)</f>
        <v>0.1000027779</v>
      </c>
      <c r="AM202" s="74">
        <f t="shared" si="20"/>
        <v>0.1000027779</v>
      </c>
      <c r="AN202" s="73">
        <f t="shared" ref="AN202:AN206" si="217">mround($I202*(1-AL202),100)-1</f>
        <v>32399</v>
      </c>
    </row>
    <row r="203">
      <c r="A203" s="65" t="s">
        <v>1696</v>
      </c>
      <c r="B203" s="65">
        <f t="shared" si="1"/>
        <v>36</v>
      </c>
      <c r="C203" s="65" t="str">
        <f t="shared" si="2"/>
        <v>SC-ULTM-LATEX-S-75x38x8</v>
      </c>
      <c r="D203" s="65" t="s">
        <v>1698</v>
      </c>
      <c r="E203" s="65" t="s">
        <v>1699</v>
      </c>
      <c r="F203" s="65" t="s">
        <v>1700</v>
      </c>
      <c r="G203" s="65" t="s">
        <v>5109</v>
      </c>
      <c r="H203" s="65" t="s">
        <v>52</v>
      </c>
      <c r="I203" s="65">
        <v>18999.0</v>
      </c>
      <c r="J203" s="66">
        <v>0.23</v>
      </c>
      <c r="K203" s="65">
        <f t="shared" si="3"/>
        <v>14629</v>
      </c>
      <c r="L203" s="66">
        <v>0.18</v>
      </c>
      <c r="M203" s="65">
        <f t="shared" si="4"/>
        <v>15579</v>
      </c>
      <c r="N203" s="67">
        <f t="shared" si="193"/>
        <v>0.1000052634</v>
      </c>
      <c r="O203" s="68">
        <v>17099.0</v>
      </c>
      <c r="P203" s="67">
        <f t="shared" si="209"/>
        <v>0.1000052634</v>
      </c>
      <c r="Q203" s="69">
        <v>17099.0</v>
      </c>
      <c r="R203" s="70"/>
      <c r="S203" s="71">
        <f t="shared" si="216"/>
        <v>0.09756723795</v>
      </c>
      <c r="T203" s="72">
        <f t="shared" si="6"/>
        <v>0</v>
      </c>
      <c r="U203" s="73" t="str">
        <f t="shared" si="187"/>
        <v/>
      </c>
      <c r="V203" s="73">
        <f t="shared" si="214"/>
        <v>13202.54237</v>
      </c>
      <c r="W203" s="73">
        <f t="shared" si="9"/>
        <v>13202.54237</v>
      </c>
      <c r="X203" s="74">
        <f t="shared" si="10"/>
        <v>1</v>
      </c>
      <c r="Y203" s="73">
        <f t="shared" si="11"/>
        <v>0</v>
      </c>
      <c r="Z203" s="73">
        <f t="shared" si="12"/>
        <v>14490.67797</v>
      </c>
      <c r="AA203" s="73">
        <f t="shared" si="13"/>
        <v>14490.67797</v>
      </c>
      <c r="AB203" s="74">
        <f t="shared" si="14"/>
        <v>1</v>
      </c>
      <c r="AC203" s="61" t="str">
        <f t="shared" si="15"/>
        <v>8</v>
      </c>
      <c r="AD203" s="71" t="str">
        <f t="shared" si="16"/>
        <v>#DIV/0!</v>
      </c>
      <c r="AE203" s="61"/>
      <c r="AF203" s="61"/>
      <c r="AG203" s="71">
        <f t="array" ref="AG203">IFERROR(xlookup(G203,'Old Master'!T:T,'Old Master'!V:V),N203)</f>
        <v>0.1000052634</v>
      </c>
      <c r="AH203" s="73">
        <f t="shared" si="17"/>
        <v>17099</v>
      </c>
      <c r="AI203" s="73">
        <f t="shared" si="18"/>
        <v>14490.67797</v>
      </c>
      <c r="AJ203" s="72">
        <f t="shared" si="19"/>
        <v>1</v>
      </c>
      <c r="AK203" s="61"/>
      <c r="AL203" s="71">
        <f t="array" ref="AL203">iferror(if(isblank(xlookup($G203,'Old Master'!$T:$T,'Old Master'!$W:$W)),AG203,xlookup($G203,'Old Master'!$T:$T,'Old Master'!$W:$W)),AG203)</f>
        <v>0.1000052634</v>
      </c>
      <c r="AM203" s="74">
        <f t="shared" si="20"/>
        <v>0.1000052634</v>
      </c>
      <c r="AN203" s="73">
        <f t="shared" si="217"/>
        <v>17099</v>
      </c>
    </row>
    <row r="204">
      <c r="A204" s="65" t="s">
        <v>1834</v>
      </c>
      <c r="B204" s="65">
        <f t="shared" si="1"/>
        <v>66</v>
      </c>
      <c r="C204" s="65" t="str">
        <f t="shared" si="2"/>
        <v>SC-ULTM-LATEX-Q-72x68x8</v>
      </c>
      <c r="D204" s="65">
        <v>0.0</v>
      </c>
      <c r="E204" s="65">
        <v>0.0</v>
      </c>
      <c r="F204" s="65" t="s">
        <v>1835</v>
      </c>
      <c r="G204" s="65" t="s">
        <v>5109</v>
      </c>
      <c r="H204" s="65" t="s">
        <v>52</v>
      </c>
      <c r="I204" s="65">
        <v>34999.0</v>
      </c>
      <c r="J204" s="66">
        <v>0.23</v>
      </c>
      <c r="K204" s="65">
        <f t="shared" si="3"/>
        <v>26949</v>
      </c>
      <c r="L204" s="66">
        <v>0.18</v>
      </c>
      <c r="M204" s="65">
        <f t="shared" si="4"/>
        <v>28699</v>
      </c>
      <c r="N204" s="67">
        <f t="shared" si="193"/>
        <v>0.1000028572</v>
      </c>
      <c r="O204" s="68">
        <v>31499.0</v>
      </c>
      <c r="P204" s="67">
        <f t="shared" si="209"/>
        <v>0.1000028572</v>
      </c>
      <c r="Q204" s="69">
        <v>31499.0</v>
      </c>
      <c r="R204" s="70"/>
      <c r="S204" s="71">
        <f t="shared" si="216"/>
        <v>0.09756437507</v>
      </c>
      <c r="T204" s="72">
        <f t="shared" si="6"/>
        <v>0</v>
      </c>
      <c r="U204" s="73">
        <f t="array" ref="U204">IFERROR(XLOOKUP(A204,COGS!I:I,COGS!J:J), IFERROR(XLOOKUP(C204,COGS!I:I,COGS!J:J),I204*35%))</f>
        <v>12249.65</v>
      </c>
      <c r="V204" s="73">
        <f t="shared" si="214"/>
        <v>24321.18644</v>
      </c>
      <c r="W204" s="73">
        <f t="shared" si="9"/>
        <v>12071.53644</v>
      </c>
      <c r="X204" s="74">
        <f t="shared" si="10"/>
        <v>0.4963383045</v>
      </c>
      <c r="Y204" s="73">
        <f t="shared" si="11"/>
        <v>14087.0975</v>
      </c>
      <c r="Z204" s="73">
        <f t="shared" si="12"/>
        <v>26694.0678</v>
      </c>
      <c r="AA204" s="73">
        <f t="shared" si="13"/>
        <v>12606.9703</v>
      </c>
      <c r="AB204" s="74">
        <f t="shared" si="14"/>
        <v>0.4722761024</v>
      </c>
      <c r="AC204" s="61" t="str">
        <f t="shared" si="15"/>
        <v>8</v>
      </c>
      <c r="AD204" s="71">
        <f t="shared" si="16"/>
        <v>0.15</v>
      </c>
      <c r="AE204" s="61"/>
      <c r="AF204" s="61"/>
      <c r="AG204" s="71">
        <f t="array" ref="AG204">IFERROR(xlookup(G204,'Old Master'!T:T,'Old Master'!V:V),N204)</f>
        <v>0.1000028572</v>
      </c>
      <c r="AH204" s="73">
        <f t="shared" si="17"/>
        <v>31499</v>
      </c>
      <c r="AI204" s="73">
        <f t="shared" si="18"/>
        <v>12606.9703</v>
      </c>
      <c r="AJ204" s="72">
        <f t="shared" si="19"/>
        <v>0.4722761024</v>
      </c>
      <c r="AK204" s="61"/>
      <c r="AL204" s="71">
        <f t="array" ref="AL204">iferror(if(isblank(xlookup($G204,'Old Master'!$T:$T,'Old Master'!$W:$W)),AG204,xlookup($G204,'Old Master'!$T:$T,'Old Master'!$W:$W)),AG204)</f>
        <v>0.1000028572</v>
      </c>
      <c r="AM204" s="74">
        <f t="shared" si="20"/>
        <v>0.1000028572</v>
      </c>
      <c r="AN204" s="73">
        <f t="shared" si="217"/>
        <v>31499</v>
      </c>
    </row>
    <row r="205">
      <c r="A205" s="65" t="s">
        <v>964</v>
      </c>
      <c r="B205" s="65">
        <f t="shared" si="1"/>
        <v>66</v>
      </c>
      <c r="C205" s="65" t="str">
        <f t="shared" si="2"/>
        <v>SC-HYB-LATEX-Q-75x68x6</v>
      </c>
      <c r="D205" s="65">
        <v>0.0</v>
      </c>
      <c r="E205" s="65">
        <v>0.0</v>
      </c>
      <c r="F205" s="65" t="s">
        <v>967</v>
      </c>
      <c r="G205" s="65" t="s">
        <v>5108</v>
      </c>
      <c r="H205" s="65" t="s">
        <v>52</v>
      </c>
      <c r="I205" s="65">
        <v>19999.0</v>
      </c>
      <c r="J205" s="66">
        <v>0.0</v>
      </c>
      <c r="K205" s="65">
        <f t="shared" si="3"/>
        <v>19999</v>
      </c>
      <c r="L205" s="66">
        <v>0.2</v>
      </c>
      <c r="M205" s="65">
        <f t="shared" si="4"/>
        <v>15999</v>
      </c>
      <c r="N205" s="75">
        <v>0.16</v>
      </c>
      <c r="O205" s="68">
        <f>I205*(1-N205)</f>
        <v>16799.16</v>
      </c>
      <c r="P205" s="75">
        <v>0.13</v>
      </c>
      <c r="Q205" s="68">
        <f t="shared" ref="Q205:Q206" si="218">I205*(1-P205)</f>
        <v>17399.13</v>
      </c>
      <c r="R205" s="71">
        <f>Q205/M205-1</f>
        <v>0.0875135946</v>
      </c>
      <c r="S205" s="71">
        <f t="shared" si="216"/>
        <v>0.05001312582</v>
      </c>
      <c r="T205" s="72">
        <f t="shared" si="6"/>
        <v>0</v>
      </c>
      <c r="U205" s="73" t="str">
        <f t="shared" ref="U205:U212" si="219">IFERROR(XLOOKUP(A205,COGS!I:I,COGS!J:J), IFERROR(XLOOKUP(C205,COGS!I:I,COGS!J:J),""))</f>
        <v/>
      </c>
      <c r="V205" s="73">
        <f t="shared" si="214"/>
        <v>13558.47458</v>
      </c>
      <c r="W205" s="73">
        <f t="shared" si="9"/>
        <v>13558.47458</v>
      </c>
      <c r="X205" s="74">
        <f t="shared" si="10"/>
        <v>1</v>
      </c>
      <c r="Y205" s="73">
        <f t="shared" si="11"/>
        <v>0</v>
      </c>
      <c r="Z205" s="73">
        <f t="shared" si="12"/>
        <v>14236.57627</v>
      </c>
      <c r="AA205" s="73">
        <f t="shared" si="13"/>
        <v>14236.57627</v>
      </c>
      <c r="AB205" s="74">
        <f t="shared" si="14"/>
        <v>1</v>
      </c>
      <c r="AC205" s="61" t="str">
        <f t="shared" si="15"/>
        <v>6</v>
      </c>
      <c r="AD205" s="71" t="str">
        <f t="shared" si="16"/>
        <v>#DIV/0!</v>
      </c>
      <c r="AE205" s="73">
        <f>Q205/118%-Y205</f>
        <v>14745.02542</v>
      </c>
      <c r="AF205" s="74">
        <f>AE205/(Q205/1.18)</f>
        <v>1</v>
      </c>
      <c r="AG205" s="71">
        <f t="array" ref="AG205">IFERROR(xlookup(G205,'Old Master'!T:T,'Old Master'!V:V),N205)</f>
        <v>0.16</v>
      </c>
      <c r="AH205" s="73">
        <f t="shared" si="17"/>
        <v>16799.16</v>
      </c>
      <c r="AI205" s="73">
        <f t="shared" si="18"/>
        <v>14236.57627</v>
      </c>
      <c r="AJ205" s="72">
        <f t="shared" si="19"/>
        <v>1</v>
      </c>
      <c r="AK205" s="61"/>
      <c r="AL205" s="71">
        <f t="array" ref="AL205">iferror(if(isblank(xlookup($G205,'Old Master'!$T:$T,'Old Master'!$W:$W)),AG205,xlookup($G205,'Old Master'!$T:$T,'Old Master'!$W:$W)),AG205)</f>
        <v>0.16</v>
      </c>
      <c r="AM205" s="74">
        <f t="shared" si="20"/>
        <v>0.1600080004</v>
      </c>
      <c r="AN205" s="73">
        <f t="shared" si="217"/>
        <v>16799</v>
      </c>
    </row>
    <row r="206">
      <c r="A206" s="65" t="s">
        <v>5349</v>
      </c>
      <c r="B206" s="65">
        <f t="shared" si="1"/>
        <v>30</v>
      </c>
      <c r="C206" s="65" t="str">
        <f t="shared" si="2"/>
        <v>SC-LTx-ORTHO-S-72x32x6</v>
      </c>
      <c r="D206" s="65" t="s">
        <v>3924</v>
      </c>
      <c r="E206" s="65">
        <v>0.0</v>
      </c>
      <c r="F206" s="65" t="s">
        <v>3925</v>
      </c>
      <c r="G206" s="65" t="s">
        <v>5118</v>
      </c>
      <c r="H206" s="65" t="s">
        <v>52</v>
      </c>
      <c r="I206" s="81">
        <v>10499.0</v>
      </c>
      <c r="J206" s="66">
        <v>0.23</v>
      </c>
      <c r="K206" s="81">
        <f t="shared" si="3"/>
        <v>8084</v>
      </c>
      <c r="L206" s="66">
        <v>0.2</v>
      </c>
      <c r="M206" s="81">
        <f t="shared" si="4"/>
        <v>8399</v>
      </c>
      <c r="N206" s="67">
        <f t="shared" ref="N206:N214" si="220">1-O206/I206</f>
        <v>0.3228783694</v>
      </c>
      <c r="O206" s="68">
        <v>7109.1</v>
      </c>
      <c r="P206" s="75">
        <v>0.1</v>
      </c>
      <c r="Q206" s="68">
        <f t="shared" si="218"/>
        <v>9449.1</v>
      </c>
      <c r="R206" s="70"/>
      <c r="S206" s="71">
        <f t="shared" si="216"/>
        <v>-0.1535778069</v>
      </c>
      <c r="T206" s="72">
        <f t="shared" si="6"/>
        <v>0</v>
      </c>
      <c r="U206" s="73" t="str">
        <f t="shared" si="219"/>
        <v/>
      </c>
      <c r="V206" s="73">
        <f t="shared" si="214"/>
        <v>7117.79661</v>
      </c>
      <c r="W206" s="73">
        <f t="shared" si="9"/>
        <v>7117.79661</v>
      </c>
      <c r="X206" s="74">
        <f t="shared" si="10"/>
        <v>1</v>
      </c>
      <c r="Y206" s="73">
        <f t="shared" si="11"/>
        <v>0</v>
      </c>
      <c r="Z206" s="73">
        <f t="shared" si="12"/>
        <v>6024.661017</v>
      </c>
      <c r="AA206" s="73">
        <f t="shared" si="13"/>
        <v>6024.661017</v>
      </c>
      <c r="AB206" s="74">
        <f t="shared" si="14"/>
        <v>1</v>
      </c>
      <c r="AC206" s="61" t="str">
        <f t="shared" si="15"/>
        <v>6</v>
      </c>
      <c r="AD206" s="71" t="str">
        <f t="shared" si="16"/>
        <v>#DIV/0!</v>
      </c>
      <c r="AE206" s="61"/>
      <c r="AF206" s="61"/>
      <c r="AG206" s="71">
        <f t="array" ref="AG206">IFERROR(xlookup(G206,'Old Master'!T:T,'Old Master'!V:V),N206)</f>
        <v>0.3228783694</v>
      </c>
      <c r="AH206" s="73">
        <f t="shared" si="17"/>
        <v>7109.1</v>
      </c>
      <c r="AI206" s="73">
        <f t="shared" si="18"/>
        <v>6024.661017</v>
      </c>
      <c r="AJ206" s="72">
        <f t="shared" si="19"/>
        <v>1</v>
      </c>
      <c r="AK206" s="61"/>
      <c r="AL206" s="71">
        <f t="array" ref="AL206">iferror(if(isblank(xlookup($G206,'Old Master'!$T:$T,'Old Master'!$W:$W)),AG206,xlookup($G206,'Old Master'!$T:$T,'Old Master'!$W:$W)),AG206)</f>
        <v>0.3228783694</v>
      </c>
      <c r="AM206" s="74">
        <f t="shared" si="20"/>
        <v>0.3238403657</v>
      </c>
      <c r="AN206" s="73">
        <f t="shared" si="217"/>
        <v>7099</v>
      </c>
    </row>
    <row r="207">
      <c r="A207" s="65" t="s">
        <v>2147</v>
      </c>
      <c r="B207" s="65" t="str">
        <f t="shared" si="1"/>
        <v>#VALUE!</v>
      </c>
      <c r="C207" s="65" t="str">
        <f t="shared" si="2"/>
        <v>#VALUE!</v>
      </c>
      <c r="D207" s="65" t="s">
        <v>2149</v>
      </c>
      <c r="E207" s="65">
        <v>0.0</v>
      </c>
      <c r="F207" s="65">
        <v>0.0</v>
      </c>
      <c r="G207" s="65" t="s">
        <v>5103</v>
      </c>
      <c r="H207" s="65" t="s">
        <v>4730</v>
      </c>
      <c r="I207" s="65">
        <v>5499.0</v>
      </c>
      <c r="J207" s="66">
        <v>0.3</v>
      </c>
      <c r="K207" s="65">
        <f t="shared" si="3"/>
        <v>3849</v>
      </c>
      <c r="L207" s="66">
        <v>0.3</v>
      </c>
      <c r="M207" s="65">
        <f t="shared" si="4"/>
        <v>3849</v>
      </c>
      <c r="N207" s="67">
        <f t="shared" si="220"/>
        <v>0.2</v>
      </c>
      <c r="O207" s="78">
        <v>4399.2</v>
      </c>
      <c r="P207" s="67">
        <f t="shared" ref="P207:P214" si="221">1-Q207/I207</f>
        <v>0.2</v>
      </c>
      <c r="Q207" s="82">
        <v>4399.2</v>
      </c>
      <c r="R207" s="70"/>
      <c r="S207" s="71">
        <f>O207/K207-1</f>
        <v>0.1429462198</v>
      </c>
      <c r="T207" s="72">
        <f t="shared" si="6"/>
        <v>0</v>
      </c>
      <c r="U207" s="73" t="str">
        <f t="shared" si="219"/>
        <v/>
      </c>
      <c r="V207" s="73">
        <f>K207/1.18</f>
        <v>3261.864407</v>
      </c>
      <c r="W207" s="73">
        <f t="shared" si="9"/>
        <v>3261.864407</v>
      </c>
      <c r="X207" s="74">
        <f t="shared" si="10"/>
        <v>1</v>
      </c>
      <c r="Y207" s="73">
        <f t="shared" si="11"/>
        <v>0</v>
      </c>
      <c r="Z207" s="73">
        <f t="shared" si="12"/>
        <v>3728.135593</v>
      </c>
      <c r="AA207" s="73">
        <f t="shared" si="13"/>
        <v>3728.135593</v>
      </c>
      <c r="AB207" s="74">
        <f t="shared" si="14"/>
        <v>1</v>
      </c>
      <c r="AC207" s="61" t="str">
        <f t="shared" si="15"/>
        <v>8</v>
      </c>
      <c r="AD207" s="71" t="str">
        <f t="shared" si="16"/>
        <v>#DIV/0!</v>
      </c>
      <c r="AE207" s="61"/>
      <c r="AF207" s="61"/>
      <c r="AG207" s="71">
        <f t="array" ref="AG207">IFERROR(xlookup(G207,'Old Master'!T:T,'Old Master'!V:V),N207)</f>
        <v>0.2</v>
      </c>
      <c r="AH207" s="73">
        <f t="shared" si="17"/>
        <v>4399.2</v>
      </c>
      <c r="AI207" s="73">
        <f t="shared" si="18"/>
        <v>3728.135593</v>
      </c>
      <c r="AJ207" s="72">
        <f t="shared" si="19"/>
        <v>1</v>
      </c>
      <c r="AK207" s="61"/>
      <c r="AL207" s="71">
        <f t="array" ref="AL207">iferror(if(isblank(xlookup($G207,'Old Master'!$T:$T,'Old Master'!$W:$W)),AG207,xlookup($G207,'Old Master'!$T:$T,'Old Master'!$W:$W)),AG207)</f>
        <v>0.2</v>
      </c>
      <c r="AM207" s="74">
        <f t="shared" si="20"/>
        <v>0.2</v>
      </c>
      <c r="AN207" s="73">
        <f>O207</f>
        <v>4399.2</v>
      </c>
    </row>
    <row r="208">
      <c r="A208" s="65" t="s">
        <v>315</v>
      </c>
      <c r="B208" s="65">
        <f t="shared" si="1"/>
        <v>48</v>
      </c>
      <c r="C208" s="65" t="str">
        <f t="shared" si="2"/>
        <v>SC-ORIG-D-72x50x4</v>
      </c>
      <c r="D208" s="65" t="s">
        <v>317</v>
      </c>
      <c r="E208" s="65">
        <v>0.0</v>
      </c>
      <c r="F208" s="65" t="s">
        <v>318</v>
      </c>
      <c r="G208" s="65" t="s">
        <v>51</v>
      </c>
      <c r="H208" s="65" t="s">
        <v>52</v>
      </c>
      <c r="I208" s="65">
        <v>10259.0</v>
      </c>
      <c r="J208" s="66">
        <v>0.28</v>
      </c>
      <c r="K208" s="65">
        <f t="shared" si="3"/>
        <v>7386</v>
      </c>
      <c r="L208" s="66">
        <v>0.24</v>
      </c>
      <c r="M208" s="65">
        <f t="shared" si="4"/>
        <v>7797</v>
      </c>
      <c r="N208" s="67">
        <f t="shared" si="220"/>
        <v>0.1899795302</v>
      </c>
      <c r="O208" s="68">
        <v>8310.0</v>
      </c>
      <c r="P208" s="67">
        <f t="shared" si="221"/>
        <v>0.1899795302</v>
      </c>
      <c r="Q208" s="69">
        <v>8310.0</v>
      </c>
      <c r="R208" s="76"/>
      <c r="S208" s="72">
        <f t="shared" ref="S208:S209" si="222">O208/M208-1</f>
        <v>0.06579453636</v>
      </c>
      <c r="T208" s="72">
        <f t="shared" si="6"/>
        <v>0</v>
      </c>
      <c r="U208" s="73" t="str">
        <f t="shared" si="219"/>
        <v/>
      </c>
      <c r="V208" s="73">
        <f t="shared" ref="V208:V212" si="223">M208/1.18</f>
        <v>6607.627119</v>
      </c>
      <c r="W208" s="73">
        <f t="shared" si="9"/>
        <v>6607.627119</v>
      </c>
      <c r="X208" s="74">
        <f t="shared" si="10"/>
        <v>1</v>
      </c>
      <c r="Y208" s="73">
        <f t="shared" si="11"/>
        <v>0</v>
      </c>
      <c r="Z208" s="73">
        <f t="shared" si="12"/>
        <v>7042.372881</v>
      </c>
      <c r="AA208" s="73">
        <f t="shared" si="13"/>
        <v>7042.372881</v>
      </c>
      <c r="AB208" s="74">
        <f t="shared" si="14"/>
        <v>1</v>
      </c>
      <c r="AC208" s="61" t="str">
        <f t="shared" si="15"/>
        <v>4</v>
      </c>
      <c r="AD208" s="71" t="str">
        <f t="shared" si="16"/>
        <v>#DIV/0!</v>
      </c>
      <c r="AE208" s="61"/>
      <c r="AF208" s="61"/>
      <c r="AG208" s="71">
        <f t="array" ref="AG208">IFERROR(xlookup(G208,'Old Master'!T:T,'Old Master'!V:V),N208)</f>
        <v>0.1899795302</v>
      </c>
      <c r="AH208" s="73">
        <f t="shared" si="17"/>
        <v>8310</v>
      </c>
      <c r="AI208" s="73">
        <f t="shared" si="18"/>
        <v>7042.372881</v>
      </c>
      <c r="AJ208" s="72">
        <f t="shared" si="19"/>
        <v>1</v>
      </c>
      <c r="AK208" s="61"/>
      <c r="AL208" s="71">
        <f t="array" ref="AL208">iferror(if(isblank(xlookup($G208,'Old Master'!$T:$T,'Old Master'!$W:$W)),AG208,xlookup($G208,'Old Master'!$T:$T,'Old Master'!$W:$W)),AG208)</f>
        <v>0.1899795302</v>
      </c>
      <c r="AM208" s="74">
        <f t="shared" si="20"/>
        <v>0.1910517594</v>
      </c>
      <c r="AN208" s="73">
        <f t="shared" ref="AN208:AN220" si="224">mround($I208*(1-AL208),100)-1</f>
        <v>8299</v>
      </c>
    </row>
    <row r="209">
      <c r="A209" s="65" t="s">
        <v>401</v>
      </c>
      <c r="B209" s="65">
        <f t="shared" si="1"/>
        <v>66</v>
      </c>
      <c r="C209" s="65" t="str">
        <f t="shared" si="2"/>
        <v>SC-ORIG-Q-72x68x8</v>
      </c>
      <c r="D209" s="65" t="s">
        <v>403</v>
      </c>
      <c r="E209" s="65" t="s">
        <v>401</v>
      </c>
      <c r="F209" s="65" t="s">
        <v>404</v>
      </c>
      <c r="G209" s="65" t="s">
        <v>51</v>
      </c>
      <c r="H209" s="65" t="s">
        <v>52</v>
      </c>
      <c r="I209" s="65">
        <v>19799.0</v>
      </c>
      <c r="J209" s="66">
        <v>0.28</v>
      </c>
      <c r="K209" s="65">
        <f t="shared" si="3"/>
        <v>14255</v>
      </c>
      <c r="L209" s="66">
        <v>0.24</v>
      </c>
      <c r="M209" s="65">
        <f t="shared" si="4"/>
        <v>15047</v>
      </c>
      <c r="N209" s="67">
        <f t="shared" si="220"/>
        <v>0.1900095964</v>
      </c>
      <c r="O209" s="68">
        <v>16037.0</v>
      </c>
      <c r="P209" s="67">
        <f t="shared" si="221"/>
        <v>0.1900095964</v>
      </c>
      <c r="Q209" s="69">
        <v>16037.0</v>
      </c>
      <c r="R209" s="76"/>
      <c r="S209" s="72">
        <f t="shared" si="222"/>
        <v>0.06579384595</v>
      </c>
      <c r="T209" s="72">
        <f t="shared" si="6"/>
        <v>0</v>
      </c>
      <c r="U209" s="73" t="str">
        <f t="shared" si="219"/>
        <v/>
      </c>
      <c r="V209" s="73">
        <f t="shared" si="223"/>
        <v>12751.69492</v>
      </c>
      <c r="W209" s="73">
        <f t="shared" si="9"/>
        <v>12751.69492</v>
      </c>
      <c r="X209" s="74">
        <f t="shared" si="10"/>
        <v>1</v>
      </c>
      <c r="Y209" s="73">
        <f t="shared" si="11"/>
        <v>0</v>
      </c>
      <c r="Z209" s="73">
        <f t="shared" si="12"/>
        <v>13590.67797</v>
      </c>
      <c r="AA209" s="73">
        <f t="shared" si="13"/>
        <v>13590.67797</v>
      </c>
      <c r="AB209" s="74">
        <f t="shared" si="14"/>
        <v>1</v>
      </c>
      <c r="AC209" s="61" t="str">
        <f t="shared" si="15"/>
        <v>8</v>
      </c>
      <c r="AD209" s="71" t="str">
        <f t="shared" si="16"/>
        <v>#DIV/0!</v>
      </c>
      <c r="AE209" s="61"/>
      <c r="AF209" s="61"/>
      <c r="AG209" s="71">
        <f t="array" ref="AG209">IFERROR(xlookup(G209,'Old Master'!T:T,'Old Master'!V:V),N209)</f>
        <v>0.1900095964</v>
      </c>
      <c r="AH209" s="73">
        <f t="shared" si="17"/>
        <v>16037</v>
      </c>
      <c r="AI209" s="73">
        <f t="shared" si="18"/>
        <v>13590.67797</v>
      </c>
      <c r="AJ209" s="72">
        <f t="shared" si="19"/>
        <v>1</v>
      </c>
      <c r="AK209" s="61"/>
      <c r="AL209" s="71">
        <f t="array" ref="AL209">iferror(if(isblank(xlookup($G209,'Old Master'!$T:$T,'Old Master'!$W:$W)),AG209,xlookup($G209,'Old Master'!$T:$T,'Old Master'!$W:$W)),AG209)</f>
        <v>0.1900095964</v>
      </c>
      <c r="AM209" s="74">
        <f t="shared" si="20"/>
        <v>0.1919288853</v>
      </c>
      <c r="AN209" s="73">
        <f t="shared" si="224"/>
        <v>15999</v>
      </c>
    </row>
    <row r="210">
      <c r="A210" s="65" t="s">
        <v>5350</v>
      </c>
      <c r="B210" s="65" t="str">
        <f t="shared" si="1"/>
        <v>#VALUE!</v>
      </c>
      <c r="C210" s="65" t="str">
        <f t="shared" si="2"/>
        <v>#VALUE!</v>
      </c>
      <c r="D210" s="65">
        <v>0.0</v>
      </c>
      <c r="E210" s="65" t="s">
        <v>1162</v>
      </c>
      <c r="F210" s="65" t="s">
        <v>1163</v>
      </c>
      <c r="G210" s="65" t="s">
        <v>5113</v>
      </c>
      <c r="H210" s="65" t="s">
        <v>5114</v>
      </c>
      <c r="I210" s="65">
        <v>2989.0</v>
      </c>
      <c r="J210" s="66">
        <v>0.1</v>
      </c>
      <c r="K210" s="65">
        <f t="shared" si="3"/>
        <v>2690</v>
      </c>
      <c r="L210" s="66">
        <v>0.43</v>
      </c>
      <c r="M210" s="65">
        <f t="shared" si="4"/>
        <v>1704</v>
      </c>
      <c r="N210" s="67">
        <f t="shared" si="220"/>
        <v>0.100033456</v>
      </c>
      <c r="O210" s="68">
        <v>2690.0</v>
      </c>
      <c r="P210" s="67">
        <f t="shared" si="221"/>
        <v>0.100033456</v>
      </c>
      <c r="Q210" s="69">
        <v>2690.0</v>
      </c>
      <c r="R210" s="70"/>
      <c r="S210" s="71">
        <f>O210/K210-1</f>
        <v>0</v>
      </c>
      <c r="T210" s="72">
        <f t="shared" si="6"/>
        <v>0</v>
      </c>
      <c r="U210" s="73" t="str">
        <f t="shared" si="219"/>
        <v/>
      </c>
      <c r="V210" s="73">
        <f t="shared" si="223"/>
        <v>1444.067797</v>
      </c>
      <c r="W210" s="73">
        <f t="shared" si="9"/>
        <v>1444.067797</v>
      </c>
      <c r="X210" s="74">
        <f t="shared" si="10"/>
        <v>1</v>
      </c>
      <c r="Y210" s="73">
        <f t="shared" si="11"/>
        <v>0</v>
      </c>
      <c r="Z210" s="73">
        <f t="shared" si="12"/>
        <v>2279.661017</v>
      </c>
      <c r="AA210" s="73">
        <f t="shared" si="13"/>
        <v>2279.661017</v>
      </c>
      <c r="AB210" s="74">
        <f t="shared" si="14"/>
        <v>1</v>
      </c>
      <c r="AC210" s="61" t="str">
        <f t="shared" si="15"/>
        <v>6</v>
      </c>
      <c r="AD210" s="71" t="str">
        <f t="shared" si="16"/>
        <v>#DIV/0!</v>
      </c>
      <c r="AE210" s="61"/>
      <c r="AF210" s="61"/>
      <c r="AG210" s="71">
        <f t="array" ref="AG210">IFERROR(xlookup(G210,'Old Master'!T:T,'Old Master'!V:V),N210)</f>
        <v>0.100033456</v>
      </c>
      <c r="AH210" s="73">
        <f t="shared" si="17"/>
        <v>2690</v>
      </c>
      <c r="AI210" s="73">
        <f t="shared" si="18"/>
        <v>2279.661017</v>
      </c>
      <c r="AJ210" s="72">
        <f t="shared" si="19"/>
        <v>1</v>
      </c>
      <c r="AK210" s="61"/>
      <c r="AL210" s="71">
        <f t="array" ref="AL210">iferror(if(isblank(xlookup($G210,'Old Master'!$T:$T,'Old Master'!$W:$W)),AG210,xlookup($G210,'Old Master'!$T:$T,'Old Master'!$W:$W)),AG210)</f>
        <v>0.100033456</v>
      </c>
      <c r="AM210" s="74">
        <f t="shared" si="20"/>
        <v>0.09702241552</v>
      </c>
      <c r="AN210" s="73">
        <f t="shared" si="224"/>
        <v>2699</v>
      </c>
    </row>
    <row r="211">
      <c r="A211" s="65" t="s">
        <v>1653</v>
      </c>
      <c r="B211" s="65">
        <f t="shared" si="1"/>
        <v>78</v>
      </c>
      <c r="C211" s="65" t="str">
        <f t="shared" si="2"/>
        <v>SC-ULTM-K-84x80x8</v>
      </c>
      <c r="D211" s="65" t="s">
        <v>1655</v>
      </c>
      <c r="E211" s="65">
        <v>0.0</v>
      </c>
      <c r="F211" s="65" t="s">
        <v>1656</v>
      </c>
      <c r="G211" s="65" t="s">
        <v>5112</v>
      </c>
      <c r="H211" s="65" t="s">
        <v>52</v>
      </c>
      <c r="I211" s="65">
        <v>31999.0</v>
      </c>
      <c r="J211" s="66">
        <v>0.25</v>
      </c>
      <c r="K211" s="65">
        <f t="shared" si="3"/>
        <v>23999</v>
      </c>
      <c r="L211" s="66">
        <v>0.22</v>
      </c>
      <c r="M211" s="65">
        <f t="shared" si="4"/>
        <v>24959</v>
      </c>
      <c r="N211" s="67">
        <f t="shared" si="220"/>
        <v>0.1000031251</v>
      </c>
      <c r="O211" s="68">
        <v>28799.0</v>
      </c>
      <c r="P211" s="67">
        <f t="shared" si="221"/>
        <v>0.1000031251</v>
      </c>
      <c r="Q211" s="69">
        <v>28799.0</v>
      </c>
      <c r="R211" s="70"/>
      <c r="S211" s="71">
        <f t="shared" ref="S211:S212" si="225">O211/M211-1</f>
        <v>0.1538523178</v>
      </c>
      <c r="T211" s="72">
        <f t="shared" si="6"/>
        <v>0</v>
      </c>
      <c r="U211" s="73" t="str">
        <f t="shared" si="219"/>
        <v/>
      </c>
      <c r="V211" s="73">
        <f t="shared" si="223"/>
        <v>21151.69492</v>
      </c>
      <c r="W211" s="73">
        <f t="shared" si="9"/>
        <v>21151.69492</v>
      </c>
      <c r="X211" s="74">
        <f t="shared" si="10"/>
        <v>1</v>
      </c>
      <c r="Y211" s="73">
        <f t="shared" si="11"/>
        <v>0</v>
      </c>
      <c r="Z211" s="73">
        <f t="shared" si="12"/>
        <v>24405.9322</v>
      </c>
      <c r="AA211" s="73">
        <f t="shared" si="13"/>
        <v>24405.9322</v>
      </c>
      <c r="AB211" s="74">
        <f t="shared" si="14"/>
        <v>1</v>
      </c>
      <c r="AC211" s="61" t="str">
        <f t="shared" si="15"/>
        <v>8</v>
      </c>
      <c r="AD211" s="71" t="str">
        <f t="shared" si="16"/>
        <v>#DIV/0!</v>
      </c>
      <c r="AE211" s="61"/>
      <c r="AF211" s="61"/>
      <c r="AG211" s="71">
        <f t="array" ref="AG211">IFERROR(xlookup(G211,'Old Master'!T:T,'Old Master'!V:V),N211)</f>
        <v>0.1000031251</v>
      </c>
      <c r="AH211" s="73">
        <f t="shared" si="17"/>
        <v>28799</v>
      </c>
      <c r="AI211" s="73">
        <f t="shared" si="18"/>
        <v>24405.9322</v>
      </c>
      <c r="AJ211" s="72">
        <f t="shared" si="19"/>
        <v>1</v>
      </c>
      <c r="AK211" s="61"/>
      <c r="AL211" s="71">
        <f t="array" ref="AL211">iferror(if(isblank(xlookup($G211,'Old Master'!$T:$T,'Old Master'!$W:$W)),AG211,xlookup($G211,'Old Master'!$T:$T,'Old Master'!$W:$W)),AG211)</f>
        <v>0.1000031251</v>
      </c>
      <c r="AM211" s="74">
        <f t="shared" si="20"/>
        <v>0.1000031251</v>
      </c>
      <c r="AN211" s="73">
        <f t="shared" si="224"/>
        <v>28799</v>
      </c>
    </row>
    <row r="212">
      <c r="A212" s="65" t="s">
        <v>1590</v>
      </c>
      <c r="B212" s="65">
        <f t="shared" si="1"/>
        <v>60</v>
      </c>
      <c r="C212" s="65" t="str">
        <f t="shared" si="2"/>
        <v>SC-ULTM-Q-75x62x10</v>
      </c>
      <c r="D212" s="65" t="s">
        <v>1592</v>
      </c>
      <c r="E212" s="65" t="s">
        <v>1590</v>
      </c>
      <c r="F212" s="65" t="s">
        <v>1590</v>
      </c>
      <c r="G212" s="65" t="s">
        <v>5112</v>
      </c>
      <c r="H212" s="65" t="s">
        <v>52</v>
      </c>
      <c r="I212" s="65">
        <v>25999.0</v>
      </c>
      <c r="J212" s="66">
        <v>0.25</v>
      </c>
      <c r="K212" s="65">
        <f t="shared" si="3"/>
        <v>19499</v>
      </c>
      <c r="L212" s="66">
        <v>0.22</v>
      </c>
      <c r="M212" s="65">
        <f t="shared" si="4"/>
        <v>20279</v>
      </c>
      <c r="N212" s="67">
        <f t="shared" si="220"/>
        <v>0.1000038463</v>
      </c>
      <c r="O212" s="68">
        <v>23399.0</v>
      </c>
      <c r="P212" s="67">
        <f t="shared" si="221"/>
        <v>0.1000038463</v>
      </c>
      <c r="Q212" s="69">
        <v>23399.0</v>
      </c>
      <c r="R212" s="70"/>
      <c r="S212" s="71">
        <f t="shared" si="225"/>
        <v>0.1538537403</v>
      </c>
      <c r="T212" s="72">
        <f t="shared" si="6"/>
        <v>0</v>
      </c>
      <c r="U212" s="73" t="str">
        <f t="shared" si="219"/>
        <v/>
      </c>
      <c r="V212" s="73">
        <f t="shared" si="223"/>
        <v>17185.59322</v>
      </c>
      <c r="W212" s="73">
        <f t="shared" si="9"/>
        <v>17185.59322</v>
      </c>
      <c r="X212" s="74">
        <f t="shared" si="10"/>
        <v>1</v>
      </c>
      <c r="Y212" s="73">
        <f t="shared" si="11"/>
        <v>0</v>
      </c>
      <c r="Z212" s="73">
        <f t="shared" si="12"/>
        <v>19829.66102</v>
      </c>
      <c r="AA212" s="73">
        <f t="shared" si="13"/>
        <v>19829.66102</v>
      </c>
      <c r="AB212" s="74">
        <f t="shared" si="14"/>
        <v>1</v>
      </c>
      <c r="AC212" s="61" t="str">
        <f t="shared" si="15"/>
        <v>0</v>
      </c>
      <c r="AD212" s="71" t="str">
        <f t="shared" si="16"/>
        <v>#DIV/0!</v>
      </c>
      <c r="AE212" s="61"/>
      <c r="AF212" s="61"/>
      <c r="AG212" s="71">
        <f t="array" ref="AG212">IFERROR(xlookup(G212,'Old Master'!T:T,'Old Master'!V:V),N212)</f>
        <v>0.1000038463</v>
      </c>
      <c r="AH212" s="73">
        <f t="shared" si="17"/>
        <v>23399</v>
      </c>
      <c r="AI212" s="73">
        <f t="shared" si="18"/>
        <v>19829.66102</v>
      </c>
      <c r="AJ212" s="72">
        <f t="shared" si="19"/>
        <v>1</v>
      </c>
      <c r="AK212" s="61"/>
      <c r="AL212" s="71">
        <f t="array" ref="AL212">iferror(if(isblank(xlookup($G212,'Old Master'!$T:$T,'Old Master'!$W:$W)),AG212,xlookup($G212,'Old Master'!$T:$T,'Old Master'!$W:$W)),AG212)</f>
        <v>0.1000038463</v>
      </c>
      <c r="AM212" s="74">
        <f t="shared" si="20"/>
        <v>0.1000038463</v>
      </c>
      <c r="AN212" s="73">
        <f t="shared" si="224"/>
        <v>23399</v>
      </c>
    </row>
    <row r="213">
      <c r="A213" s="65" t="s">
        <v>4403</v>
      </c>
      <c r="B213" s="65">
        <f t="shared" si="1"/>
        <v>72</v>
      </c>
      <c r="C213" s="65" t="str">
        <f t="shared" si="2"/>
        <v>SC-QRMTTOPPER-K-78x74x2</v>
      </c>
      <c r="D213" s="65" t="s">
        <v>4405</v>
      </c>
      <c r="E213" s="65">
        <v>0.0</v>
      </c>
      <c r="F213" s="65" t="s">
        <v>4406</v>
      </c>
      <c r="G213" s="65" t="s">
        <v>5143</v>
      </c>
      <c r="H213" s="65" t="s">
        <v>4730</v>
      </c>
      <c r="I213" s="65">
        <v>6599.0</v>
      </c>
      <c r="J213" s="66">
        <v>0.2</v>
      </c>
      <c r="K213" s="65">
        <f t="shared" si="3"/>
        <v>5279</v>
      </c>
      <c r="L213" s="66">
        <v>0.26</v>
      </c>
      <c r="M213" s="65">
        <f t="shared" si="4"/>
        <v>4883</v>
      </c>
      <c r="N213" s="67">
        <f t="shared" si="220"/>
        <v>0.0909228671</v>
      </c>
      <c r="O213" s="78">
        <v>5999.0</v>
      </c>
      <c r="P213" s="67">
        <f t="shared" si="221"/>
        <v>0.0909228671</v>
      </c>
      <c r="Q213" s="79">
        <v>5999.0</v>
      </c>
      <c r="R213" s="70"/>
      <c r="S213" s="71">
        <f>O213/K213-1</f>
        <v>0.1363894677</v>
      </c>
      <c r="T213" s="72">
        <f t="shared" si="6"/>
        <v>0</v>
      </c>
      <c r="U213" s="73">
        <f>O213*35%</f>
        <v>2099.65</v>
      </c>
      <c r="V213" s="73">
        <f>K213/1.18</f>
        <v>4473.728814</v>
      </c>
      <c r="W213" s="73">
        <f t="shared" si="9"/>
        <v>2374.078814</v>
      </c>
      <c r="X213" s="74">
        <f t="shared" si="10"/>
        <v>0.5306711498</v>
      </c>
      <c r="Y213" s="73">
        <f t="shared" si="11"/>
        <v>2414.5975</v>
      </c>
      <c r="Z213" s="73">
        <f t="shared" si="12"/>
        <v>5083.898305</v>
      </c>
      <c r="AA213" s="73">
        <f t="shared" si="13"/>
        <v>2669.300805</v>
      </c>
      <c r="AB213" s="74">
        <f t="shared" si="14"/>
        <v>0.52505</v>
      </c>
      <c r="AC213" s="61" t="str">
        <f t="shared" si="15"/>
        <v>2</v>
      </c>
      <c r="AD213" s="71">
        <f t="shared" si="16"/>
        <v>0.15</v>
      </c>
      <c r="AE213" s="61"/>
      <c r="AF213" s="61"/>
      <c r="AG213" s="71">
        <f t="array" ref="AG213">IFERROR(xlookup(G213,'Old Master'!T:T,'Old Master'!V:V),N213)</f>
        <v>0.0909228671</v>
      </c>
      <c r="AH213" s="73">
        <f>$I213*(1-AG213)</f>
        <v>5999</v>
      </c>
      <c r="AI213" s="73">
        <f>AH213/118%-$Y213</f>
        <v>2669.300805</v>
      </c>
      <c r="AJ213" s="72">
        <f t="shared" si="19"/>
        <v>0.52505</v>
      </c>
      <c r="AK213" s="61"/>
      <c r="AL213" s="71">
        <f t="array" ref="AL213">iferror(if(isblank(xlookup($G213,'Old Master'!$T:$T,'Old Master'!$W:$W)),AG213,xlookup($G213,'Old Master'!$T:$T,'Old Master'!$W:$W)),AG213)</f>
        <v>0.0909228671</v>
      </c>
      <c r="AM213" s="74">
        <f t="shared" si="20"/>
        <v>0.0909228671</v>
      </c>
      <c r="AN213" s="73">
        <f t="shared" si="224"/>
        <v>5999</v>
      </c>
    </row>
    <row r="214">
      <c r="A214" s="65" t="s">
        <v>2031</v>
      </c>
      <c r="B214" s="65">
        <f t="shared" si="1"/>
        <v>36</v>
      </c>
      <c r="C214" s="65" t="str">
        <f t="shared" si="2"/>
        <v>SC-CLD-SPR-S-72x38x8</v>
      </c>
      <c r="D214" s="65" t="s">
        <v>2033</v>
      </c>
      <c r="E214" s="65" t="s">
        <v>2034</v>
      </c>
      <c r="F214" s="65" t="s">
        <v>2035</v>
      </c>
      <c r="G214" s="65" t="s">
        <v>5138</v>
      </c>
      <c r="H214" s="65" t="s">
        <v>52</v>
      </c>
      <c r="I214" s="65">
        <v>19999.0</v>
      </c>
      <c r="J214" s="66">
        <v>0.25</v>
      </c>
      <c r="K214" s="65">
        <f t="shared" si="3"/>
        <v>14999</v>
      </c>
      <c r="L214" s="66">
        <v>0.2</v>
      </c>
      <c r="M214" s="65">
        <f t="shared" si="4"/>
        <v>15999</v>
      </c>
      <c r="N214" s="67">
        <f t="shared" si="220"/>
        <v>0.1000050003</v>
      </c>
      <c r="O214" s="68">
        <v>17999.0</v>
      </c>
      <c r="P214" s="67">
        <f t="shared" si="221"/>
        <v>0.1000050003</v>
      </c>
      <c r="Q214" s="69">
        <v>17999.0</v>
      </c>
      <c r="R214" s="70"/>
      <c r="S214" s="71">
        <f t="shared" ref="S214:S220" si="226">O214/M214-1</f>
        <v>0.125007813</v>
      </c>
      <c r="T214" s="72">
        <f t="shared" si="6"/>
        <v>0</v>
      </c>
      <c r="U214" s="73" t="str">
        <f t="shared" ref="U214:U228" si="227">IFERROR(XLOOKUP(A214,COGS!I:I,COGS!J:J), IFERROR(XLOOKUP(C214,COGS!I:I,COGS!J:J),""))</f>
        <v/>
      </c>
      <c r="V214" s="73">
        <f t="shared" ref="V214:V250" si="228">M214/1.18</f>
        <v>13558.47458</v>
      </c>
      <c r="W214" s="73">
        <f t="shared" si="9"/>
        <v>13558.47458</v>
      </c>
      <c r="X214" s="74">
        <f t="shared" si="10"/>
        <v>1</v>
      </c>
      <c r="Y214" s="73">
        <f t="shared" si="11"/>
        <v>0</v>
      </c>
      <c r="Z214" s="73">
        <f t="shared" si="12"/>
        <v>15253.38983</v>
      </c>
      <c r="AA214" s="73">
        <f t="shared" si="13"/>
        <v>15253.38983</v>
      </c>
      <c r="AB214" s="74">
        <f t="shared" si="14"/>
        <v>1</v>
      </c>
      <c r="AC214" s="61" t="str">
        <f t="shared" si="15"/>
        <v>8</v>
      </c>
      <c r="AD214" s="71" t="str">
        <f t="shared" si="16"/>
        <v>#DIV/0!</v>
      </c>
      <c r="AE214" s="61"/>
      <c r="AF214" s="61"/>
      <c r="AG214" s="71">
        <f t="array" ref="AG214">IFERROR(xlookup(G214,'Old Master'!T:T,'Old Master'!V:V),N214)</f>
        <v>0.1000050003</v>
      </c>
      <c r="AH214" s="73">
        <f t="shared" ref="AH214:AH844" si="229">I214*(1-AG214)</f>
        <v>17999</v>
      </c>
      <c r="AI214" s="73">
        <f t="shared" ref="AI214:AI844" si="230">AH214/118%-Y214</f>
        <v>15253.38983</v>
      </c>
      <c r="AJ214" s="72">
        <f t="shared" si="19"/>
        <v>1</v>
      </c>
      <c r="AK214" s="61"/>
      <c r="AL214" s="71">
        <f t="array" ref="AL214">iferror(if(isblank(xlookup($G214,'Old Master'!$T:$T,'Old Master'!$W:$W)),AG214,xlookup($G214,'Old Master'!$T:$T,'Old Master'!$W:$W)),AG214)</f>
        <v>0.1000050003</v>
      </c>
      <c r="AM214" s="74">
        <f t="shared" si="20"/>
        <v>0.1000050003</v>
      </c>
      <c r="AN214" s="73">
        <f t="shared" si="224"/>
        <v>17999</v>
      </c>
    </row>
    <row r="215">
      <c r="A215" s="65" t="s">
        <v>986</v>
      </c>
      <c r="B215" s="65">
        <f t="shared" si="1"/>
        <v>66</v>
      </c>
      <c r="C215" s="65" t="str">
        <f t="shared" si="2"/>
        <v>SC-HYB-LATEX-Q-75x68x8</v>
      </c>
      <c r="D215" s="65">
        <v>0.0</v>
      </c>
      <c r="E215" s="65">
        <v>0.0</v>
      </c>
      <c r="F215" s="65" t="s">
        <v>987</v>
      </c>
      <c r="G215" s="65" t="s">
        <v>5108</v>
      </c>
      <c r="H215" s="65" t="s">
        <v>52</v>
      </c>
      <c r="I215" s="65">
        <v>22999.0</v>
      </c>
      <c r="J215" s="66">
        <v>0.0</v>
      </c>
      <c r="K215" s="65">
        <f t="shared" si="3"/>
        <v>22999</v>
      </c>
      <c r="L215" s="66">
        <v>0.2</v>
      </c>
      <c r="M215" s="65">
        <f t="shared" si="4"/>
        <v>18399</v>
      </c>
      <c r="N215" s="75">
        <v>0.16</v>
      </c>
      <c r="O215" s="68">
        <f>I215*(1-N215)</f>
        <v>19319.16</v>
      </c>
      <c r="P215" s="75">
        <v>0.13</v>
      </c>
      <c r="Q215" s="68">
        <f t="shared" ref="Q215:Q220" si="231">I215*(1-P215)</f>
        <v>20009.13</v>
      </c>
      <c r="R215" s="71">
        <f>Q215/M215-1</f>
        <v>0.08751182129</v>
      </c>
      <c r="S215" s="71">
        <f t="shared" si="226"/>
        <v>0.05001141366</v>
      </c>
      <c r="T215" s="72">
        <f t="shared" si="6"/>
        <v>0</v>
      </c>
      <c r="U215" s="73" t="str">
        <f t="shared" si="227"/>
        <v/>
      </c>
      <c r="V215" s="73">
        <f t="shared" si="228"/>
        <v>15592.37288</v>
      </c>
      <c r="W215" s="73">
        <f t="shared" si="9"/>
        <v>15592.37288</v>
      </c>
      <c r="X215" s="74">
        <f t="shared" si="10"/>
        <v>1</v>
      </c>
      <c r="Y215" s="73">
        <f t="shared" si="11"/>
        <v>0</v>
      </c>
      <c r="Z215" s="73">
        <f t="shared" si="12"/>
        <v>16372.16949</v>
      </c>
      <c r="AA215" s="73">
        <f t="shared" si="13"/>
        <v>16372.16949</v>
      </c>
      <c r="AB215" s="74">
        <f t="shared" si="14"/>
        <v>1</v>
      </c>
      <c r="AC215" s="61" t="str">
        <f t="shared" si="15"/>
        <v>8</v>
      </c>
      <c r="AD215" s="71" t="str">
        <f t="shared" si="16"/>
        <v>#DIV/0!</v>
      </c>
      <c r="AE215" s="73">
        <f>Q215/118%-Y215</f>
        <v>16956.88983</v>
      </c>
      <c r="AF215" s="74">
        <f>AE215/(Q215/1.18)</f>
        <v>1</v>
      </c>
      <c r="AG215" s="71">
        <f t="array" ref="AG215">IFERROR(xlookup(G215,'Old Master'!T:T,'Old Master'!V:V),N215)</f>
        <v>0.16</v>
      </c>
      <c r="AH215" s="73">
        <f t="shared" si="229"/>
        <v>19319.16</v>
      </c>
      <c r="AI215" s="73">
        <f t="shared" si="230"/>
        <v>16372.16949</v>
      </c>
      <c r="AJ215" s="72">
        <f t="shared" si="19"/>
        <v>1</v>
      </c>
      <c r="AK215" s="61"/>
      <c r="AL215" s="71">
        <f t="array" ref="AL215">iferror(if(isblank(xlookup($G215,'Old Master'!$T:$T,'Old Master'!$W:$W)),AG215,xlookup($G215,'Old Master'!$T:$T,'Old Master'!$W:$W)),AG215)</f>
        <v>0.16</v>
      </c>
      <c r="AM215" s="74">
        <f t="shared" si="20"/>
        <v>0.1608765599</v>
      </c>
      <c r="AN215" s="73">
        <f t="shared" si="224"/>
        <v>19299</v>
      </c>
    </row>
    <row r="216">
      <c r="A216" s="65" t="s">
        <v>5351</v>
      </c>
      <c r="B216" s="65">
        <f t="shared" si="1"/>
        <v>48</v>
      </c>
      <c r="C216" s="65" t="str">
        <f t="shared" si="2"/>
        <v>SC-LTx-ORTHO-D-75x50x6</v>
      </c>
      <c r="D216" s="65" t="s">
        <v>4099</v>
      </c>
      <c r="E216" s="65">
        <v>0.0</v>
      </c>
      <c r="F216" s="65" t="s">
        <v>4100</v>
      </c>
      <c r="G216" s="65" t="s">
        <v>5118</v>
      </c>
      <c r="H216" s="65" t="s">
        <v>52</v>
      </c>
      <c r="I216" s="81">
        <v>16399.0</v>
      </c>
      <c r="J216" s="66">
        <v>0.23</v>
      </c>
      <c r="K216" s="81">
        <f t="shared" si="3"/>
        <v>12627</v>
      </c>
      <c r="L216" s="66">
        <v>0.2</v>
      </c>
      <c r="M216" s="81">
        <f t="shared" si="4"/>
        <v>13119</v>
      </c>
      <c r="N216" s="67">
        <f t="shared" ref="N216:N233" si="232">1-O216/I216</f>
        <v>0.3250137203</v>
      </c>
      <c r="O216" s="68">
        <v>11069.1</v>
      </c>
      <c r="P216" s="75">
        <v>0.1</v>
      </c>
      <c r="Q216" s="68">
        <f t="shared" si="231"/>
        <v>14759.1</v>
      </c>
      <c r="R216" s="70"/>
      <c r="S216" s="71">
        <f t="shared" si="226"/>
        <v>-0.1562542877</v>
      </c>
      <c r="T216" s="72">
        <f t="shared" si="6"/>
        <v>0</v>
      </c>
      <c r="U216" s="73" t="str">
        <f t="shared" si="227"/>
        <v/>
      </c>
      <c r="V216" s="73">
        <f t="shared" si="228"/>
        <v>11117.79661</v>
      </c>
      <c r="W216" s="73">
        <f t="shared" si="9"/>
        <v>11117.79661</v>
      </c>
      <c r="X216" s="74">
        <f t="shared" si="10"/>
        <v>1</v>
      </c>
      <c r="Y216" s="73">
        <f t="shared" si="11"/>
        <v>0</v>
      </c>
      <c r="Z216" s="73">
        <f t="shared" si="12"/>
        <v>9380.59322</v>
      </c>
      <c r="AA216" s="73">
        <f t="shared" si="13"/>
        <v>9380.59322</v>
      </c>
      <c r="AB216" s="74">
        <f t="shared" si="14"/>
        <v>1</v>
      </c>
      <c r="AC216" s="61" t="str">
        <f t="shared" si="15"/>
        <v>6</v>
      </c>
      <c r="AD216" s="71" t="str">
        <f t="shared" si="16"/>
        <v>#DIV/0!</v>
      </c>
      <c r="AE216" s="61"/>
      <c r="AF216" s="61"/>
      <c r="AG216" s="71">
        <f t="array" ref="AG216">IFERROR(xlookup(G216,'Old Master'!T:T,'Old Master'!V:V),N216)</f>
        <v>0.3250137203</v>
      </c>
      <c r="AH216" s="73">
        <f t="shared" si="229"/>
        <v>11069.1</v>
      </c>
      <c r="AI216" s="73">
        <f t="shared" si="230"/>
        <v>9380.59322</v>
      </c>
      <c r="AJ216" s="72">
        <f t="shared" si="19"/>
        <v>1</v>
      </c>
      <c r="AK216" s="61"/>
      <c r="AL216" s="71">
        <f t="array" ref="AL216">iferror(if(isblank(xlookup($G216,'Old Master'!$T:$T,'Old Master'!$W:$W)),AG216,xlookup($G216,'Old Master'!$T:$T,'Old Master'!$W:$W)),AG216)</f>
        <v>0.3250137203</v>
      </c>
      <c r="AM216" s="74">
        <f t="shared" si="20"/>
        <v>0.3231904384</v>
      </c>
      <c r="AN216" s="73">
        <f t="shared" si="224"/>
        <v>11099</v>
      </c>
    </row>
    <row r="217">
      <c r="A217" s="65" t="s">
        <v>5352</v>
      </c>
      <c r="B217" s="65">
        <f t="shared" si="1"/>
        <v>72</v>
      </c>
      <c r="C217" s="65" t="str">
        <f t="shared" si="2"/>
        <v>SC-LTx-ORTHO-K-84x74x6</v>
      </c>
      <c r="D217" s="65" t="s">
        <v>4215</v>
      </c>
      <c r="E217" s="65">
        <v>0.0</v>
      </c>
      <c r="F217" s="65" t="s">
        <v>4216</v>
      </c>
      <c r="G217" s="65" t="s">
        <v>5118</v>
      </c>
      <c r="H217" s="65" t="s">
        <v>52</v>
      </c>
      <c r="I217" s="81">
        <v>26699.0</v>
      </c>
      <c r="J217" s="66">
        <v>0.23</v>
      </c>
      <c r="K217" s="81">
        <f t="shared" si="3"/>
        <v>20558</v>
      </c>
      <c r="L217" s="66">
        <v>0.2</v>
      </c>
      <c r="M217" s="81">
        <f t="shared" si="4"/>
        <v>21359</v>
      </c>
      <c r="N217" s="67">
        <f t="shared" si="232"/>
        <v>0.3258511555</v>
      </c>
      <c r="O217" s="68">
        <v>17999.100000000002</v>
      </c>
      <c r="P217" s="75">
        <v>0.1</v>
      </c>
      <c r="Q217" s="68">
        <f t="shared" si="231"/>
        <v>24029.1</v>
      </c>
      <c r="R217" s="70"/>
      <c r="S217" s="71">
        <f t="shared" si="226"/>
        <v>-0.1573060537</v>
      </c>
      <c r="T217" s="72">
        <f t="shared" si="6"/>
        <v>0</v>
      </c>
      <c r="U217" s="73" t="str">
        <f t="shared" si="227"/>
        <v/>
      </c>
      <c r="V217" s="73">
        <f t="shared" si="228"/>
        <v>18100.84746</v>
      </c>
      <c r="W217" s="73">
        <f t="shared" si="9"/>
        <v>18100.84746</v>
      </c>
      <c r="X217" s="74">
        <f t="shared" si="10"/>
        <v>1</v>
      </c>
      <c r="Y217" s="73">
        <f t="shared" si="11"/>
        <v>0</v>
      </c>
      <c r="Z217" s="73">
        <f t="shared" si="12"/>
        <v>15253.47458</v>
      </c>
      <c r="AA217" s="73">
        <f t="shared" si="13"/>
        <v>15253.47458</v>
      </c>
      <c r="AB217" s="74">
        <f t="shared" si="14"/>
        <v>1</v>
      </c>
      <c r="AC217" s="61" t="str">
        <f t="shared" si="15"/>
        <v>6</v>
      </c>
      <c r="AD217" s="71" t="str">
        <f t="shared" si="16"/>
        <v>#DIV/0!</v>
      </c>
      <c r="AE217" s="61"/>
      <c r="AF217" s="61"/>
      <c r="AG217" s="71">
        <f t="array" ref="AG217">IFERROR(xlookup(G217,'Old Master'!T:T,'Old Master'!V:V),N217)</f>
        <v>0.3258511555</v>
      </c>
      <c r="AH217" s="73">
        <f t="shared" si="229"/>
        <v>17999.1</v>
      </c>
      <c r="AI217" s="73">
        <f t="shared" si="230"/>
        <v>15253.47458</v>
      </c>
      <c r="AJ217" s="72">
        <f t="shared" si="19"/>
        <v>1</v>
      </c>
      <c r="AK217" s="61"/>
      <c r="AL217" s="71">
        <f t="array" ref="AL217">iferror(if(isblank(xlookup($G217,'Old Master'!$T:$T,'Old Master'!$W:$W)),AG217,xlookup($G217,'Old Master'!$T:$T,'Old Master'!$W:$W)),AG217)</f>
        <v>0.3258511555</v>
      </c>
      <c r="AM217" s="74">
        <f t="shared" si="20"/>
        <v>0.3258549009</v>
      </c>
      <c r="AN217" s="73">
        <f t="shared" si="224"/>
        <v>17999</v>
      </c>
    </row>
    <row r="218">
      <c r="A218" s="65" t="s">
        <v>5353</v>
      </c>
      <c r="B218" s="65">
        <f t="shared" si="1"/>
        <v>66</v>
      </c>
      <c r="C218" s="65" t="str">
        <f t="shared" si="2"/>
        <v>SC-LTx-ORTHO-Q-78x68x8</v>
      </c>
      <c r="D218" s="65" t="s">
        <v>4192</v>
      </c>
      <c r="E218" s="65">
        <v>0.0</v>
      </c>
      <c r="F218" s="65" t="s">
        <v>4193</v>
      </c>
      <c r="G218" s="65" t="s">
        <v>5118</v>
      </c>
      <c r="H218" s="65" t="s">
        <v>52</v>
      </c>
      <c r="I218" s="81">
        <v>26699.0</v>
      </c>
      <c r="J218" s="66">
        <v>0.23</v>
      </c>
      <c r="K218" s="81">
        <f t="shared" si="3"/>
        <v>20558</v>
      </c>
      <c r="L218" s="66">
        <v>0.2</v>
      </c>
      <c r="M218" s="81">
        <f t="shared" si="4"/>
        <v>21359</v>
      </c>
      <c r="N218" s="67">
        <f t="shared" si="232"/>
        <v>0.3258511555</v>
      </c>
      <c r="O218" s="68">
        <v>17999.100000000002</v>
      </c>
      <c r="P218" s="75">
        <v>0.1</v>
      </c>
      <c r="Q218" s="68">
        <f t="shared" si="231"/>
        <v>24029.1</v>
      </c>
      <c r="R218" s="70"/>
      <c r="S218" s="71">
        <f t="shared" si="226"/>
        <v>-0.1573060537</v>
      </c>
      <c r="T218" s="72">
        <f t="shared" si="6"/>
        <v>0</v>
      </c>
      <c r="U218" s="73" t="str">
        <f t="shared" si="227"/>
        <v/>
      </c>
      <c r="V218" s="73">
        <f t="shared" si="228"/>
        <v>18100.84746</v>
      </c>
      <c r="W218" s="73">
        <f t="shared" si="9"/>
        <v>18100.84746</v>
      </c>
      <c r="X218" s="74">
        <f t="shared" si="10"/>
        <v>1</v>
      </c>
      <c r="Y218" s="73">
        <f t="shared" si="11"/>
        <v>0</v>
      </c>
      <c r="Z218" s="73">
        <f t="shared" si="12"/>
        <v>15253.47458</v>
      </c>
      <c r="AA218" s="73">
        <f t="shared" si="13"/>
        <v>15253.47458</v>
      </c>
      <c r="AB218" s="74">
        <f t="shared" si="14"/>
        <v>1</v>
      </c>
      <c r="AC218" s="61" t="str">
        <f t="shared" si="15"/>
        <v>8</v>
      </c>
      <c r="AD218" s="71" t="str">
        <f t="shared" si="16"/>
        <v>#DIV/0!</v>
      </c>
      <c r="AE218" s="61"/>
      <c r="AF218" s="61"/>
      <c r="AG218" s="71">
        <f t="array" ref="AG218">IFERROR(xlookup(G218,'Old Master'!T:T,'Old Master'!V:V),N218)</f>
        <v>0.3258511555</v>
      </c>
      <c r="AH218" s="73">
        <f t="shared" si="229"/>
        <v>17999.1</v>
      </c>
      <c r="AI218" s="73">
        <f t="shared" si="230"/>
        <v>15253.47458</v>
      </c>
      <c r="AJ218" s="72">
        <f t="shared" si="19"/>
        <v>1</v>
      </c>
      <c r="AK218" s="61"/>
      <c r="AL218" s="71">
        <f t="array" ref="AL218">iferror(if(isblank(xlookup($G218,'Old Master'!$T:$T,'Old Master'!$W:$W)),AG218,xlookup($G218,'Old Master'!$T:$T,'Old Master'!$W:$W)),AG218)</f>
        <v>0.3258511555</v>
      </c>
      <c r="AM218" s="74">
        <f t="shared" si="20"/>
        <v>0.3258549009</v>
      </c>
      <c r="AN218" s="73">
        <f t="shared" si="224"/>
        <v>17999</v>
      </c>
    </row>
    <row r="219">
      <c r="A219" s="65" t="s">
        <v>5354</v>
      </c>
      <c r="B219" s="65">
        <f t="shared" si="1"/>
        <v>30</v>
      </c>
      <c r="C219" s="65" t="str">
        <f t="shared" si="2"/>
        <v>SC-LTx-ORTHO-S-72x32x8</v>
      </c>
      <c r="D219" s="65" t="s">
        <v>3963</v>
      </c>
      <c r="E219" s="65">
        <v>0.0</v>
      </c>
      <c r="F219" s="65" t="s">
        <v>3964</v>
      </c>
      <c r="G219" s="65" t="s">
        <v>5118</v>
      </c>
      <c r="H219" s="65" t="s">
        <v>52</v>
      </c>
      <c r="I219" s="81">
        <v>12299.0</v>
      </c>
      <c r="J219" s="66">
        <v>0.23</v>
      </c>
      <c r="K219" s="81">
        <f t="shared" si="3"/>
        <v>9470</v>
      </c>
      <c r="L219" s="66">
        <v>0.2</v>
      </c>
      <c r="M219" s="81">
        <f t="shared" si="4"/>
        <v>9839</v>
      </c>
      <c r="N219" s="67">
        <f t="shared" si="232"/>
        <v>0.3268477112</v>
      </c>
      <c r="O219" s="68">
        <v>8279.1</v>
      </c>
      <c r="P219" s="75">
        <v>0.1</v>
      </c>
      <c r="Q219" s="68">
        <f t="shared" si="231"/>
        <v>11069.1</v>
      </c>
      <c r="R219" s="70"/>
      <c r="S219" s="71">
        <f t="shared" si="226"/>
        <v>-0.1585425348</v>
      </c>
      <c r="T219" s="72">
        <f t="shared" si="6"/>
        <v>0</v>
      </c>
      <c r="U219" s="73" t="str">
        <f t="shared" si="227"/>
        <v/>
      </c>
      <c r="V219" s="73">
        <f t="shared" si="228"/>
        <v>8338.135593</v>
      </c>
      <c r="W219" s="73">
        <f t="shared" si="9"/>
        <v>8338.135593</v>
      </c>
      <c r="X219" s="74">
        <f t="shared" si="10"/>
        <v>1</v>
      </c>
      <c r="Y219" s="73">
        <f t="shared" si="11"/>
        <v>0</v>
      </c>
      <c r="Z219" s="73">
        <f t="shared" si="12"/>
        <v>7016.186441</v>
      </c>
      <c r="AA219" s="73">
        <f t="shared" si="13"/>
        <v>7016.186441</v>
      </c>
      <c r="AB219" s="74">
        <f t="shared" si="14"/>
        <v>1</v>
      </c>
      <c r="AC219" s="61" t="str">
        <f t="shared" si="15"/>
        <v>8</v>
      </c>
      <c r="AD219" s="71" t="str">
        <f t="shared" si="16"/>
        <v>#DIV/0!</v>
      </c>
      <c r="AE219" s="61"/>
      <c r="AF219" s="61"/>
      <c r="AG219" s="71">
        <f t="array" ref="AG219">IFERROR(xlookup(G219,'Old Master'!T:T,'Old Master'!V:V),N219)</f>
        <v>0.3268477112</v>
      </c>
      <c r="AH219" s="73">
        <f t="shared" si="229"/>
        <v>8279.1</v>
      </c>
      <c r="AI219" s="73">
        <f t="shared" si="230"/>
        <v>7016.186441</v>
      </c>
      <c r="AJ219" s="72">
        <f t="shared" si="19"/>
        <v>1</v>
      </c>
      <c r="AK219" s="61"/>
      <c r="AL219" s="71">
        <f t="array" ref="AL219">iferror(if(isblank(xlookup($G219,'Old Master'!$T:$T,'Old Master'!$W:$W)),AG219,xlookup($G219,'Old Master'!$T:$T,'Old Master'!$W:$W)),AG219)</f>
        <v>0.3268477112</v>
      </c>
      <c r="AM219" s="74">
        <f t="shared" si="20"/>
        <v>0.3252296935</v>
      </c>
      <c r="AN219" s="73">
        <f t="shared" si="224"/>
        <v>8299</v>
      </c>
    </row>
    <row r="220">
      <c r="A220" s="65" t="s">
        <v>5355</v>
      </c>
      <c r="B220" s="65">
        <f t="shared" si="1"/>
        <v>36</v>
      </c>
      <c r="C220" s="65" t="str">
        <f t="shared" si="2"/>
        <v>SC-LTx-ORTHO-S-72x38x8</v>
      </c>
      <c r="D220" s="65" t="s">
        <v>3980</v>
      </c>
      <c r="E220" s="65">
        <v>0.0</v>
      </c>
      <c r="F220" s="65" t="s">
        <v>3981</v>
      </c>
      <c r="G220" s="65" t="s">
        <v>5118</v>
      </c>
      <c r="H220" s="65" t="s">
        <v>52</v>
      </c>
      <c r="I220" s="81">
        <v>14399.0</v>
      </c>
      <c r="J220" s="66">
        <v>0.23</v>
      </c>
      <c r="K220" s="81">
        <f t="shared" si="3"/>
        <v>11087</v>
      </c>
      <c r="L220" s="66">
        <v>0.2</v>
      </c>
      <c r="M220" s="81">
        <f t="shared" si="4"/>
        <v>11519</v>
      </c>
      <c r="N220" s="67">
        <f t="shared" si="232"/>
        <v>0.3250156261</v>
      </c>
      <c r="O220" s="68">
        <v>9719.1</v>
      </c>
      <c r="P220" s="75">
        <v>0.1</v>
      </c>
      <c r="Q220" s="68">
        <f t="shared" si="231"/>
        <v>12959.1</v>
      </c>
      <c r="R220" s="70"/>
      <c r="S220" s="71">
        <f t="shared" si="226"/>
        <v>-0.1562548832</v>
      </c>
      <c r="T220" s="72">
        <f t="shared" si="6"/>
        <v>0</v>
      </c>
      <c r="U220" s="73" t="str">
        <f t="shared" si="227"/>
        <v/>
      </c>
      <c r="V220" s="73">
        <f t="shared" si="228"/>
        <v>9761.864407</v>
      </c>
      <c r="W220" s="73">
        <f t="shared" si="9"/>
        <v>9761.864407</v>
      </c>
      <c r="X220" s="74">
        <f t="shared" si="10"/>
        <v>1</v>
      </c>
      <c r="Y220" s="73">
        <f t="shared" si="11"/>
        <v>0</v>
      </c>
      <c r="Z220" s="73">
        <f t="shared" si="12"/>
        <v>8236.525424</v>
      </c>
      <c r="AA220" s="73">
        <f t="shared" si="13"/>
        <v>8236.525424</v>
      </c>
      <c r="AB220" s="74">
        <f t="shared" si="14"/>
        <v>1</v>
      </c>
      <c r="AC220" s="61" t="str">
        <f t="shared" si="15"/>
        <v>8</v>
      </c>
      <c r="AD220" s="71" t="str">
        <f t="shared" si="16"/>
        <v>#DIV/0!</v>
      </c>
      <c r="AE220" s="61"/>
      <c r="AF220" s="61"/>
      <c r="AG220" s="71">
        <f t="array" ref="AG220">IFERROR(xlookup(G220,'Old Master'!T:T,'Old Master'!V:V),N220)</f>
        <v>0.3250156261</v>
      </c>
      <c r="AH220" s="73">
        <f t="shared" si="229"/>
        <v>9719.1</v>
      </c>
      <c r="AI220" s="73">
        <f t="shared" si="230"/>
        <v>8236.525424</v>
      </c>
      <c r="AJ220" s="72">
        <f t="shared" si="19"/>
        <v>1</v>
      </c>
      <c r="AK220" s="61"/>
      <c r="AL220" s="71">
        <f t="array" ref="AL220">iferror(if(isblank(xlookup($G220,'Old Master'!$T:$T,'Old Master'!$W:$W)),AG220,xlookup($G220,'Old Master'!$T:$T,'Old Master'!$W:$W)),AG220)</f>
        <v>0.3250156261</v>
      </c>
      <c r="AM220" s="74">
        <f t="shared" si="20"/>
        <v>0.3264115564</v>
      </c>
      <c r="AN220" s="73">
        <f t="shared" si="224"/>
        <v>9699</v>
      </c>
    </row>
    <row r="221">
      <c r="A221" s="65" t="s">
        <v>1121</v>
      </c>
      <c r="B221" s="65" t="str">
        <f t="shared" si="1"/>
        <v>#VALUE!</v>
      </c>
      <c r="C221" s="65" t="str">
        <f t="shared" si="2"/>
        <v>#VALUE!</v>
      </c>
      <c r="D221" s="65" t="s">
        <v>1123</v>
      </c>
      <c r="E221" s="65">
        <v>0.0</v>
      </c>
      <c r="F221" s="65">
        <v>0.0</v>
      </c>
      <c r="G221" s="65" t="s">
        <v>1144</v>
      </c>
      <c r="H221" s="65" t="s">
        <v>1145</v>
      </c>
      <c r="I221" s="65">
        <v>4599.0</v>
      </c>
      <c r="J221" s="66">
        <v>0.35</v>
      </c>
      <c r="K221" s="65">
        <f t="shared" si="3"/>
        <v>2989</v>
      </c>
      <c r="L221" s="66">
        <v>0.0</v>
      </c>
      <c r="M221" s="65">
        <f t="shared" si="4"/>
        <v>4599</v>
      </c>
      <c r="N221" s="77">
        <f t="shared" si="232"/>
        <v>0.1522070015</v>
      </c>
      <c r="O221" s="78">
        <v>3899.0</v>
      </c>
      <c r="P221" s="67">
        <f t="shared" ref="P221:P233" si="233">1-Q221/I221</f>
        <v>0.1522070015</v>
      </c>
      <c r="Q221" s="79">
        <v>3899.0</v>
      </c>
      <c r="R221" s="70"/>
      <c r="S221" s="71">
        <f>O221/K221-1</f>
        <v>0.3044496487</v>
      </c>
      <c r="T221" s="72">
        <f t="shared" si="6"/>
        <v>0</v>
      </c>
      <c r="U221" s="73" t="str">
        <f t="shared" si="227"/>
        <v/>
      </c>
      <c r="V221" s="73">
        <f t="shared" si="228"/>
        <v>3897.457627</v>
      </c>
      <c r="W221" s="73">
        <f t="shared" si="9"/>
        <v>3897.457627</v>
      </c>
      <c r="X221" s="74">
        <f t="shared" si="10"/>
        <v>1</v>
      </c>
      <c r="Y221" s="73">
        <f t="shared" si="11"/>
        <v>0</v>
      </c>
      <c r="Z221" s="73">
        <f t="shared" si="12"/>
        <v>3304.237288</v>
      </c>
      <c r="AA221" s="73">
        <f t="shared" si="13"/>
        <v>3304.237288</v>
      </c>
      <c r="AB221" s="74">
        <f t="shared" si="14"/>
        <v>1</v>
      </c>
      <c r="AC221" s="61" t="str">
        <f t="shared" si="15"/>
        <v>8</v>
      </c>
      <c r="AD221" s="71" t="str">
        <f t="shared" si="16"/>
        <v>#DIV/0!</v>
      </c>
      <c r="AE221" s="61"/>
      <c r="AF221" s="61"/>
      <c r="AG221" s="71">
        <f t="array" ref="AG221">IFERROR(xlookup(G221,'Old Master'!T:T,'Old Master'!V:V),N221)</f>
        <v>0.1522070015</v>
      </c>
      <c r="AH221" s="73">
        <f t="shared" si="229"/>
        <v>3899</v>
      </c>
      <c r="AI221" s="73">
        <f t="shared" si="230"/>
        <v>3304.237288</v>
      </c>
      <c r="AJ221" s="72">
        <f t="shared" si="19"/>
        <v>1</v>
      </c>
      <c r="AK221" s="61"/>
      <c r="AL221" s="71">
        <f>(I221-AN221)/I221</f>
        <v>0.1522070015</v>
      </c>
      <c r="AM221" s="74">
        <f t="shared" si="20"/>
        <v>0.1522070015</v>
      </c>
      <c r="AN221" s="73">
        <v>3899.0</v>
      </c>
    </row>
    <row r="222">
      <c r="A222" s="65" t="s">
        <v>355</v>
      </c>
      <c r="B222" s="65">
        <f t="shared" si="1"/>
        <v>66</v>
      </c>
      <c r="C222" s="65" t="str">
        <f t="shared" si="2"/>
        <v>SC-ORIG-Q-72x68x6</v>
      </c>
      <c r="D222" s="65" t="s">
        <v>357</v>
      </c>
      <c r="E222" s="65" t="s">
        <v>358</v>
      </c>
      <c r="F222" s="65" t="s">
        <v>359</v>
      </c>
      <c r="G222" s="65" t="s">
        <v>51</v>
      </c>
      <c r="H222" s="65" t="s">
        <v>52</v>
      </c>
      <c r="I222" s="65">
        <v>17299.0</v>
      </c>
      <c r="J222" s="66">
        <v>0.28</v>
      </c>
      <c r="K222" s="65">
        <f t="shared" si="3"/>
        <v>12455</v>
      </c>
      <c r="L222" s="66">
        <v>0.24</v>
      </c>
      <c r="M222" s="65">
        <f t="shared" si="4"/>
        <v>13147</v>
      </c>
      <c r="N222" s="67">
        <f t="shared" si="232"/>
        <v>0.1900109833</v>
      </c>
      <c r="O222" s="68">
        <v>14012.0</v>
      </c>
      <c r="P222" s="67">
        <f t="shared" si="233"/>
        <v>0.1900109833</v>
      </c>
      <c r="Q222" s="69">
        <v>14012.0</v>
      </c>
      <c r="R222" s="76"/>
      <c r="S222" s="72">
        <f t="shared" ref="S222:S223" si="234">O222/M222-1</f>
        <v>0.06579447783</v>
      </c>
      <c r="T222" s="72">
        <f t="shared" si="6"/>
        <v>0</v>
      </c>
      <c r="U222" s="73" t="str">
        <f t="shared" si="227"/>
        <v/>
      </c>
      <c r="V222" s="73">
        <f t="shared" si="228"/>
        <v>11141.52542</v>
      </c>
      <c r="W222" s="73">
        <f t="shared" si="9"/>
        <v>11141.52542</v>
      </c>
      <c r="X222" s="74">
        <f t="shared" si="10"/>
        <v>1</v>
      </c>
      <c r="Y222" s="73">
        <f t="shared" si="11"/>
        <v>0</v>
      </c>
      <c r="Z222" s="73">
        <f t="shared" si="12"/>
        <v>11874.57627</v>
      </c>
      <c r="AA222" s="73">
        <f t="shared" si="13"/>
        <v>11874.57627</v>
      </c>
      <c r="AB222" s="74">
        <f t="shared" si="14"/>
        <v>1</v>
      </c>
      <c r="AC222" s="61" t="str">
        <f t="shared" si="15"/>
        <v>6</v>
      </c>
      <c r="AD222" s="71" t="str">
        <f t="shared" si="16"/>
        <v>#DIV/0!</v>
      </c>
      <c r="AE222" s="61"/>
      <c r="AF222" s="61"/>
      <c r="AG222" s="71">
        <f t="array" ref="AG222">IFERROR(xlookup(G222,'Old Master'!T:T,'Old Master'!V:V),N222)</f>
        <v>0.1900109833</v>
      </c>
      <c r="AH222" s="73">
        <f t="shared" si="229"/>
        <v>14012</v>
      </c>
      <c r="AI222" s="73">
        <f t="shared" si="230"/>
        <v>11874.57627</v>
      </c>
      <c r="AJ222" s="72">
        <f t="shared" si="19"/>
        <v>1</v>
      </c>
      <c r="AK222" s="61"/>
      <c r="AL222" s="71">
        <f t="array" ref="AL222">iferror(if(isblank(xlookup($G222,'Old Master'!$T:$T,'Old Master'!$W:$W)),AG222,xlookup($G222,'Old Master'!$T:$T,'Old Master'!$W:$W)),AG222)</f>
        <v>0.1900109833</v>
      </c>
      <c r="AM222" s="74">
        <f t="shared" si="20"/>
        <v>0.1907624718</v>
      </c>
      <c r="AN222" s="73">
        <f t="shared" ref="AN222:AN224" si="235">mround($I222*(1-AL222),100)-1</f>
        <v>13999</v>
      </c>
    </row>
    <row r="223">
      <c r="A223" s="65" t="s">
        <v>361</v>
      </c>
      <c r="B223" s="65">
        <f t="shared" si="1"/>
        <v>66</v>
      </c>
      <c r="C223" s="65" t="str">
        <f t="shared" si="2"/>
        <v>SC-ORIG-Q-75x68x6</v>
      </c>
      <c r="D223" s="65" t="s">
        <v>363</v>
      </c>
      <c r="E223" s="65" t="s">
        <v>364</v>
      </c>
      <c r="F223" s="65" t="s">
        <v>365</v>
      </c>
      <c r="G223" s="65" t="s">
        <v>51</v>
      </c>
      <c r="H223" s="65" t="s">
        <v>52</v>
      </c>
      <c r="I223" s="65">
        <v>17699.0</v>
      </c>
      <c r="J223" s="66">
        <v>0.28</v>
      </c>
      <c r="K223" s="65">
        <f t="shared" si="3"/>
        <v>12743</v>
      </c>
      <c r="L223" s="66">
        <v>0.24</v>
      </c>
      <c r="M223" s="65">
        <f t="shared" si="4"/>
        <v>13451</v>
      </c>
      <c r="N223" s="67">
        <f t="shared" si="232"/>
        <v>0.1900107351</v>
      </c>
      <c r="O223" s="68">
        <v>14336.0</v>
      </c>
      <c r="P223" s="67">
        <f t="shared" si="233"/>
        <v>0.1900107351</v>
      </c>
      <c r="Q223" s="69">
        <v>14336.0</v>
      </c>
      <c r="R223" s="76"/>
      <c r="S223" s="72">
        <f t="shared" si="234"/>
        <v>0.06579436473</v>
      </c>
      <c r="T223" s="72">
        <f t="shared" si="6"/>
        <v>0</v>
      </c>
      <c r="U223" s="73" t="str">
        <f t="shared" si="227"/>
        <v/>
      </c>
      <c r="V223" s="73">
        <f t="shared" si="228"/>
        <v>11399.15254</v>
      </c>
      <c r="W223" s="73">
        <f t="shared" si="9"/>
        <v>11399.15254</v>
      </c>
      <c r="X223" s="74">
        <f t="shared" si="10"/>
        <v>1</v>
      </c>
      <c r="Y223" s="73">
        <f t="shared" si="11"/>
        <v>0</v>
      </c>
      <c r="Z223" s="73">
        <f t="shared" si="12"/>
        <v>12149.15254</v>
      </c>
      <c r="AA223" s="73">
        <f t="shared" si="13"/>
        <v>12149.15254</v>
      </c>
      <c r="AB223" s="74">
        <f t="shared" si="14"/>
        <v>1</v>
      </c>
      <c r="AC223" s="61" t="str">
        <f t="shared" si="15"/>
        <v>6</v>
      </c>
      <c r="AD223" s="71" t="str">
        <f t="shared" si="16"/>
        <v>#DIV/0!</v>
      </c>
      <c r="AE223" s="61"/>
      <c r="AF223" s="61"/>
      <c r="AG223" s="71">
        <f t="array" ref="AG223">IFERROR(xlookup(G223,'Old Master'!T:T,'Old Master'!V:V),N223)</f>
        <v>0.1900107351</v>
      </c>
      <c r="AH223" s="73">
        <f t="shared" si="229"/>
        <v>14336</v>
      </c>
      <c r="AI223" s="73">
        <f t="shared" si="230"/>
        <v>12149.15254</v>
      </c>
      <c r="AJ223" s="72">
        <f t="shared" si="19"/>
        <v>1</v>
      </c>
      <c r="AK223" s="61"/>
      <c r="AL223" s="71">
        <f t="array" ref="AL223">iferror(if(isblank(xlookup($G223,'Old Master'!$T:$T,'Old Master'!$W:$W)),AG223,xlookup($G223,'Old Master'!$T:$T,'Old Master'!$W:$W)),AG223)</f>
        <v>0.1900107351</v>
      </c>
      <c r="AM223" s="74">
        <f t="shared" si="20"/>
        <v>0.1921012487</v>
      </c>
      <c r="AN223" s="73">
        <f t="shared" si="235"/>
        <v>14299</v>
      </c>
    </row>
    <row r="224">
      <c r="A224" s="65" t="s">
        <v>1153</v>
      </c>
      <c r="B224" s="65" t="str">
        <f t="shared" si="1"/>
        <v>#VALUE!</v>
      </c>
      <c r="C224" s="65" t="str">
        <f t="shared" si="2"/>
        <v>#VALUE!</v>
      </c>
      <c r="D224" s="65" t="s">
        <v>1155</v>
      </c>
      <c r="E224" s="65" t="s">
        <v>1156</v>
      </c>
      <c r="F224" s="65" t="s">
        <v>1157</v>
      </c>
      <c r="G224" s="65" t="s">
        <v>1195</v>
      </c>
      <c r="H224" s="65" t="s">
        <v>5114</v>
      </c>
      <c r="I224" s="65">
        <v>2489.0</v>
      </c>
      <c r="J224" s="66">
        <v>0.2815485168426345</v>
      </c>
      <c r="K224" s="65">
        <f t="shared" si="3"/>
        <v>1788</v>
      </c>
      <c r="L224" s="66">
        <v>0.43</v>
      </c>
      <c r="M224" s="65">
        <f t="shared" si="4"/>
        <v>1419</v>
      </c>
      <c r="N224" s="67">
        <f t="shared" si="232"/>
        <v>0.2816392125</v>
      </c>
      <c r="O224" s="68">
        <v>1788.0</v>
      </c>
      <c r="P224" s="67">
        <f t="shared" si="233"/>
        <v>0.2816392125</v>
      </c>
      <c r="Q224" s="69">
        <v>1788.0</v>
      </c>
      <c r="R224" s="70"/>
      <c r="S224" s="71">
        <f t="shared" ref="S224:S225" si="236">O224/K224-1</f>
        <v>0</v>
      </c>
      <c r="T224" s="72">
        <f t="shared" si="6"/>
        <v>0</v>
      </c>
      <c r="U224" s="73" t="str">
        <f t="shared" si="227"/>
        <v/>
      </c>
      <c r="V224" s="73">
        <f t="shared" si="228"/>
        <v>1202.542373</v>
      </c>
      <c r="W224" s="73">
        <f t="shared" si="9"/>
        <v>1202.542373</v>
      </c>
      <c r="X224" s="74">
        <f t="shared" si="10"/>
        <v>1</v>
      </c>
      <c r="Y224" s="73">
        <f t="shared" si="11"/>
        <v>0</v>
      </c>
      <c r="Z224" s="73">
        <f t="shared" si="12"/>
        <v>1515.254237</v>
      </c>
      <c r="AA224" s="73">
        <f t="shared" si="13"/>
        <v>1515.254237</v>
      </c>
      <c r="AB224" s="74">
        <f t="shared" si="14"/>
        <v>1</v>
      </c>
      <c r="AC224" s="61" t="str">
        <f t="shared" si="15"/>
        <v>2</v>
      </c>
      <c r="AD224" s="71" t="str">
        <f t="shared" si="16"/>
        <v>#DIV/0!</v>
      </c>
      <c r="AE224" s="61"/>
      <c r="AF224" s="61"/>
      <c r="AG224" s="71">
        <f t="array" ref="AG224">IFERROR(xlookup(G224,'Old Master'!T:T,'Old Master'!V:V),N224)</f>
        <v>0.2816392125</v>
      </c>
      <c r="AH224" s="73">
        <f t="shared" si="229"/>
        <v>1788</v>
      </c>
      <c r="AI224" s="73">
        <f t="shared" si="230"/>
        <v>1515.254237</v>
      </c>
      <c r="AJ224" s="72">
        <f t="shared" si="19"/>
        <v>1</v>
      </c>
      <c r="AK224" s="61"/>
      <c r="AL224" s="71">
        <f t="array" ref="AL224">iferror(if(isblank(xlookup($G224,'Old Master'!$T:$T,'Old Master'!$W:$W)),AG224,xlookup($G224,'Old Master'!$T:$T,'Old Master'!$W:$W)),AG224)</f>
        <v>0.2816392125</v>
      </c>
      <c r="AM224" s="74">
        <f t="shared" si="20"/>
        <v>0.277219767</v>
      </c>
      <c r="AN224" s="73">
        <f t="shared" si="235"/>
        <v>1799</v>
      </c>
    </row>
    <row r="225">
      <c r="A225" s="65" t="s">
        <v>5356</v>
      </c>
      <c r="B225" s="65" t="str">
        <f t="shared" si="1"/>
        <v>#VALUE!</v>
      </c>
      <c r="C225" s="65" t="str">
        <f t="shared" si="2"/>
        <v>#VALUE!</v>
      </c>
      <c r="D225" s="65">
        <v>0.0</v>
      </c>
      <c r="E225" s="65">
        <v>0.0</v>
      </c>
      <c r="F225" s="65" t="s">
        <v>2602</v>
      </c>
      <c r="G225" s="65" t="s">
        <v>5113</v>
      </c>
      <c r="H225" s="65" t="s">
        <v>5114</v>
      </c>
      <c r="I225" s="65">
        <v>4489.0</v>
      </c>
      <c r="J225" s="66">
        <v>0.0</v>
      </c>
      <c r="K225" s="65">
        <f t="shared" si="3"/>
        <v>4489</v>
      </c>
      <c r="L225" s="66">
        <v>0.0</v>
      </c>
      <c r="M225" s="65">
        <f t="shared" si="4"/>
        <v>4489</v>
      </c>
      <c r="N225" s="67">
        <f t="shared" si="232"/>
        <v>-0.09133437291</v>
      </c>
      <c r="O225" s="78">
        <v>4899.0</v>
      </c>
      <c r="P225" s="67">
        <f t="shared" si="233"/>
        <v>-0.09133437291</v>
      </c>
      <c r="Q225" s="79">
        <v>4899.0</v>
      </c>
      <c r="R225" s="70"/>
      <c r="S225" s="71">
        <f t="shared" si="236"/>
        <v>0.09133437291</v>
      </c>
      <c r="T225" s="72">
        <f t="shared" si="6"/>
        <v>0</v>
      </c>
      <c r="U225" s="73" t="str">
        <f t="shared" si="227"/>
        <v/>
      </c>
      <c r="V225" s="73">
        <f t="shared" si="228"/>
        <v>3804.237288</v>
      </c>
      <c r="W225" s="73">
        <f t="shared" si="9"/>
        <v>3804.237288</v>
      </c>
      <c r="X225" s="74">
        <f t="shared" si="10"/>
        <v>1</v>
      </c>
      <c r="Y225" s="73">
        <f t="shared" si="11"/>
        <v>0</v>
      </c>
      <c r="Z225" s="73">
        <f t="shared" si="12"/>
        <v>4151.694915</v>
      </c>
      <c r="AA225" s="73">
        <f t="shared" si="13"/>
        <v>4151.694915</v>
      </c>
      <c r="AB225" s="74">
        <f t="shared" si="14"/>
        <v>1</v>
      </c>
      <c r="AC225" s="61" t="str">
        <f t="shared" si="15"/>
        <v>8</v>
      </c>
      <c r="AD225" s="71" t="str">
        <f t="shared" si="16"/>
        <v>#DIV/0!</v>
      </c>
      <c r="AE225" s="61"/>
      <c r="AF225" s="61"/>
      <c r="AG225" s="71">
        <f t="array" ref="AG225">IFERROR(xlookup(G225,'Old Master'!T:T,'Old Master'!V:V),N225)</f>
        <v>-0.09133437291</v>
      </c>
      <c r="AH225" s="73">
        <f t="shared" si="229"/>
        <v>4899</v>
      </c>
      <c r="AI225" s="73">
        <f t="shared" si="230"/>
        <v>4151.694915</v>
      </c>
      <c r="AJ225" s="72">
        <f t="shared" si="19"/>
        <v>1</v>
      </c>
      <c r="AK225" s="61"/>
      <c r="AL225" s="71">
        <f t="array" ref="AL225">iferror(if(isblank(xlookup($G225,'Old Master'!$T:$T,'Old Master'!$W:$W)),AG225,xlookup($G225,'Old Master'!$T:$T,'Old Master'!$W:$W)),AG225)</f>
        <v>-0.09133437291</v>
      </c>
      <c r="AM225" s="74">
        <f t="shared" si="20"/>
        <v>0</v>
      </c>
      <c r="AN225" s="73">
        <f>I225</f>
        <v>4489</v>
      </c>
    </row>
    <row r="226">
      <c r="A226" s="65" t="s">
        <v>3765</v>
      </c>
      <c r="B226" s="65" t="str">
        <f t="shared" si="1"/>
        <v>#VALUE!</v>
      </c>
      <c r="C226" s="65" t="str">
        <f t="shared" si="2"/>
        <v>#VALUE!</v>
      </c>
      <c r="D226" s="65" t="s">
        <v>3767</v>
      </c>
      <c r="E226" s="65" t="s">
        <v>3768</v>
      </c>
      <c r="F226" s="65" t="s">
        <v>3769</v>
      </c>
      <c r="G226" s="65" t="s">
        <v>5158</v>
      </c>
      <c r="H226" s="65" t="s">
        <v>5158</v>
      </c>
      <c r="I226" s="65">
        <v>43999.0</v>
      </c>
      <c r="J226" s="66">
        <v>0.25</v>
      </c>
      <c r="K226" s="65">
        <f t="shared" si="3"/>
        <v>32999</v>
      </c>
      <c r="L226" s="66">
        <v>0.250005681947317</v>
      </c>
      <c r="M226" s="65">
        <f t="shared" si="4"/>
        <v>32999</v>
      </c>
      <c r="N226" s="67">
        <f t="shared" si="232"/>
        <v>0.1500034092</v>
      </c>
      <c r="O226" s="68">
        <v>37399.0</v>
      </c>
      <c r="P226" s="67">
        <f t="shared" si="233"/>
        <v>0.1500034092</v>
      </c>
      <c r="Q226" s="69">
        <v>37399.0</v>
      </c>
      <c r="R226" s="70"/>
      <c r="S226" s="71">
        <f>O226/M226-1</f>
        <v>0.1333373739</v>
      </c>
      <c r="T226" s="72">
        <f t="shared" si="6"/>
        <v>0</v>
      </c>
      <c r="U226" s="73" t="str">
        <f t="shared" si="227"/>
        <v/>
      </c>
      <c r="V226" s="73">
        <f t="shared" si="228"/>
        <v>27965.25424</v>
      </c>
      <c r="W226" s="73">
        <f t="shared" si="9"/>
        <v>27965.25424</v>
      </c>
      <c r="X226" s="74">
        <f t="shared" si="10"/>
        <v>1</v>
      </c>
      <c r="Y226" s="73">
        <f t="shared" si="11"/>
        <v>0</v>
      </c>
      <c r="Z226" s="73">
        <f t="shared" si="12"/>
        <v>31694.0678</v>
      </c>
      <c r="AA226" s="73">
        <f t="shared" si="13"/>
        <v>31694.0678</v>
      </c>
      <c r="AB226" s="74">
        <f t="shared" si="14"/>
        <v>1</v>
      </c>
      <c r="AC226" s="61" t="str">
        <f t="shared" si="15"/>
        <v>E</v>
      </c>
      <c r="AD226" s="71" t="str">
        <f t="shared" si="16"/>
        <v>#DIV/0!</v>
      </c>
      <c r="AE226" s="61"/>
      <c r="AF226" s="61"/>
      <c r="AG226" s="71">
        <f t="array" ref="AG226">IFERROR(xlookup(G226,'Old Master'!T:T,'Old Master'!V:V),N226)</f>
        <v>0.1500034092</v>
      </c>
      <c r="AH226" s="73">
        <f t="shared" si="229"/>
        <v>37399</v>
      </c>
      <c r="AI226" s="73">
        <f t="shared" si="230"/>
        <v>31694.0678</v>
      </c>
      <c r="AJ226" s="72">
        <f t="shared" si="19"/>
        <v>1</v>
      </c>
      <c r="AK226" s="61"/>
      <c r="AL226" s="71">
        <f t="array" ref="AL226">iferror(if(isblank(xlookup($G226,'Old Master'!$T:$T,'Old Master'!$W:$W)),AG226,xlookup($G226,'Old Master'!$T:$T,'Old Master'!$W:$W)),AG226)</f>
        <v>0.1500034092</v>
      </c>
      <c r="AM226" s="74">
        <f t="shared" si="20"/>
        <v>0.1500034092</v>
      </c>
      <c r="AN226" s="73">
        <f t="shared" ref="AN226:AN230" si="237">mround($I226*(1-AL226),100)-1</f>
        <v>37399</v>
      </c>
    </row>
    <row r="227">
      <c r="A227" s="65" t="s">
        <v>3593</v>
      </c>
      <c r="B227" s="65" t="str">
        <f t="shared" si="1"/>
        <v>#VALUE!</v>
      </c>
      <c r="C227" s="65" t="str">
        <f t="shared" si="2"/>
        <v>#VALUE!</v>
      </c>
      <c r="D227" s="65" t="s">
        <v>3595</v>
      </c>
      <c r="E227" s="65" t="s">
        <v>3596</v>
      </c>
      <c r="F227" s="65" t="s">
        <v>3597</v>
      </c>
      <c r="G227" s="65" t="s">
        <v>5099</v>
      </c>
      <c r="H227" s="65" t="s">
        <v>4730</v>
      </c>
      <c r="I227" s="65">
        <v>2289.0</v>
      </c>
      <c r="J227" s="66">
        <v>0.25775447793796413</v>
      </c>
      <c r="K227" s="65">
        <f t="shared" si="3"/>
        <v>1699</v>
      </c>
      <c r="L227" s="66">
        <v>0.15</v>
      </c>
      <c r="M227" s="65">
        <f t="shared" si="4"/>
        <v>1946</v>
      </c>
      <c r="N227" s="67">
        <f t="shared" si="232"/>
        <v>0.126692879</v>
      </c>
      <c r="O227" s="78">
        <v>1999.0</v>
      </c>
      <c r="P227" s="67">
        <f t="shared" si="233"/>
        <v>0.126692879</v>
      </c>
      <c r="Q227" s="79">
        <v>1999.0</v>
      </c>
      <c r="R227" s="70"/>
      <c r="S227" s="71">
        <f>O227/K227-1</f>
        <v>0.1765744556</v>
      </c>
      <c r="T227" s="72">
        <f t="shared" si="6"/>
        <v>0</v>
      </c>
      <c r="U227" s="73" t="str">
        <f t="shared" si="227"/>
        <v/>
      </c>
      <c r="V227" s="73">
        <f t="shared" si="228"/>
        <v>1649.152542</v>
      </c>
      <c r="W227" s="73">
        <f t="shared" si="9"/>
        <v>1649.152542</v>
      </c>
      <c r="X227" s="74">
        <f t="shared" si="10"/>
        <v>1</v>
      </c>
      <c r="Y227" s="73">
        <f t="shared" si="11"/>
        <v>0</v>
      </c>
      <c r="Z227" s="73">
        <f t="shared" si="12"/>
        <v>1694.067797</v>
      </c>
      <c r="AA227" s="73">
        <f t="shared" si="13"/>
        <v>1694.067797</v>
      </c>
      <c r="AB227" s="74">
        <f t="shared" si="14"/>
        <v>1</v>
      </c>
      <c r="AC227" s="61" t="str">
        <f t="shared" si="15"/>
        <v>0</v>
      </c>
      <c r="AD227" s="71" t="str">
        <f t="shared" si="16"/>
        <v>#DIV/0!</v>
      </c>
      <c r="AE227" s="61"/>
      <c r="AF227" s="61"/>
      <c r="AG227" s="71">
        <f t="array" ref="AG227">IFERROR(xlookup(G227,'Old Master'!T:T,'Old Master'!V:V),N227)</f>
        <v>0.126692879</v>
      </c>
      <c r="AH227" s="73">
        <f t="shared" si="229"/>
        <v>1999</v>
      </c>
      <c r="AI227" s="73">
        <f t="shared" si="230"/>
        <v>1694.067797</v>
      </c>
      <c r="AJ227" s="72">
        <f t="shared" si="19"/>
        <v>1</v>
      </c>
      <c r="AK227" s="61"/>
      <c r="AL227" s="71">
        <f t="array" ref="AL227">iferror(if(isblank(xlookup($G227,'Old Master'!$T:$T,'Old Master'!$W:$W)),AG227,xlookup($G227,'Old Master'!$T:$T,'Old Master'!$W:$W)),AG227)</f>
        <v>0.126692879</v>
      </c>
      <c r="AM227" s="74">
        <f t="shared" si="20"/>
        <v>0.126692879</v>
      </c>
      <c r="AN227" s="73">
        <f t="shared" si="237"/>
        <v>1999</v>
      </c>
    </row>
    <row r="228">
      <c r="A228" s="65" t="s">
        <v>1535</v>
      </c>
      <c r="B228" s="65">
        <f t="shared" si="1"/>
        <v>36</v>
      </c>
      <c r="C228" s="65" t="str">
        <f t="shared" si="2"/>
        <v>SC-ULTM-S-75x38x8</v>
      </c>
      <c r="D228" s="65" t="s">
        <v>1537</v>
      </c>
      <c r="E228" s="65" t="s">
        <v>1535</v>
      </c>
      <c r="F228" s="65" t="s">
        <v>1535</v>
      </c>
      <c r="G228" s="65" t="s">
        <v>5112</v>
      </c>
      <c r="H228" s="65" t="s">
        <v>52</v>
      </c>
      <c r="I228" s="65">
        <v>14999.0</v>
      </c>
      <c r="J228" s="66">
        <v>0.25</v>
      </c>
      <c r="K228" s="65">
        <f t="shared" si="3"/>
        <v>11249</v>
      </c>
      <c r="L228" s="66">
        <v>0.22</v>
      </c>
      <c r="M228" s="65">
        <f t="shared" si="4"/>
        <v>11699</v>
      </c>
      <c r="N228" s="67">
        <f t="shared" si="232"/>
        <v>0.1000066671</v>
      </c>
      <c r="O228" s="68">
        <v>13499.0</v>
      </c>
      <c r="P228" s="67">
        <f t="shared" si="233"/>
        <v>0.1000066671</v>
      </c>
      <c r="Q228" s="69">
        <v>13499.0</v>
      </c>
      <c r="R228" s="70"/>
      <c r="S228" s="71">
        <f t="shared" ref="S228:S230" si="238">O228/M228-1</f>
        <v>0.1538593042</v>
      </c>
      <c r="T228" s="72">
        <f t="shared" si="6"/>
        <v>0</v>
      </c>
      <c r="U228" s="73" t="str">
        <f t="shared" si="227"/>
        <v/>
      </c>
      <c r="V228" s="73">
        <f t="shared" si="228"/>
        <v>9914.40678</v>
      </c>
      <c r="W228" s="73">
        <f t="shared" si="9"/>
        <v>9914.40678</v>
      </c>
      <c r="X228" s="74">
        <f t="shared" si="10"/>
        <v>1</v>
      </c>
      <c r="Y228" s="73">
        <f t="shared" si="11"/>
        <v>0</v>
      </c>
      <c r="Z228" s="73">
        <f t="shared" si="12"/>
        <v>11439.83051</v>
      </c>
      <c r="AA228" s="73">
        <f t="shared" si="13"/>
        <v>11439.83051</v>
      </c>
      <c r="AB228" s="74">
        <f t="shared" si="14"/>
        <v>1</v>
      </c>
      <c r="AC228" s="61" t="str">
        <f t="shared" si="15"/>
        <v>8</v>
      </c>
      <c r="AD228" s="71" t="str">
        <f t="shared" si="16"/>
        <v>#DIV/0!</v>
      </c>
      <c r="AE228" s="61"/>
      <c r="AF228" s="61"/>
      <c r="AG228" s="71">
        <f t="array" ref="AG228">IFERROR(xlookup(G228,'Old Master'!T:T,'Old Master'!V:V),N228)</f>
        <v>0.1000066671</v>
      </c>
      <c r="AH228" s="73">
        <f t="shared" si="229"/>
        <v>13499</v>
      </c>
      <c r="AI228" s="73">
        <f t="shared" si="230"/>
        <v>11439.83051</v>
      </c>
      <c r="AJ228" s="72">
        <f t="shared" si="19"/>
        <v>1</v>
      </c>
      <c r="AK228" s="61"/>
      <c r="AL228" s="71">
        <f t="array" ref="AL228">iferror(if(isblank(xlookup($G228,'Old Master'!$T:$T,'Old Master'!$W:$W)),AG228,xlookup($G228,'Old Master'!$T:$T,'Old Master'!$W:$W)),AG228)</f>
        <v>0.1000066671</v>
      </c>
      <c r="AM228" s="74">
        <f t="shared" si="20"/>
        <v>0.1000066671</v>
      </c>
      <c r="AN228" s="73">
        <f t="shared" si="237"/>
        <v>13499</v>
      </c>
    </row>
    <row r="229">
      <c r="A229" s="65" t="s">
        <v>1605</v>
      </c>
      <c r="B229" s="65">
        <f t="shared" si="1"/>
        <v>66</v>
      </c>
      <c r="C229" s="65" t="str">
        <f t="shared" si="2"/>
        <v>SC-ULTM-Q-75x68x8</v>
      </c>
      <c r="D229" s="65">
        <v>0.0</v>
      </c>
      <c r="E229" s="65">
        <v>0.0</v>
      </c>
      <c r="F229" s="65" t="s">
        <v>1606</v>
      </c>
      <c r="G229" s="65" t="s">
        <v>5112</v>
      </c>
      <c r="H229" s="65" t="s">
        <v>52</v>
      </c>
      <c r="I229" s="65">
        <v>25999.0</v>
      </c>
      <c r="J229" s="66">
        <v>0.0</v>
      </c>
      <c r="K229" s="65">
        <f t="shared" si="3"/>
        <v>25999</v>
      </c>
      <c r="L229" s="66">
        <v>0.0</v>
      </c>
      <c r="M229" s="65">
        <f t="shared" si="4"/>
        <v>25999</v>
      </c>
      <c r="N229" s="67">
        <f t="shared" si="232"/>
        <v>0.1000038463</v>
      </c>
      <c r="O229" s="68">
        <v>23399.0</v>
      </c>
      <c r="P229" s="67">
        <f t="shared" si="233"/>
        <v>0.1000038463</v>
      </c>
      <c r="Q229" s="69">
        <v>23399.0</v>
      </c>
      <c r="R229" s="70"/>
      <c r="S229" s="71">
        <f t="shared" si="238"/>
        <v>-0.1000038463</v>
      </c>
      <c r="T229" s="72">
        <f t="shared" si="6"/>
        <v>0</v>
      </c>
      <c r="U229" s="73">
        <f t="shared" ref="U229:U230" si="239">IFERROR(XLOOKUP(A229,COGS!I:I,COGS!J:J), IFERROR(XLOOKUP(C229,COGS!I:I,COGS!J:J),I229*35%))</f>
        <v>9099.65</v>
      </c>
      <c r="V229" s="73">
        <f t="shared" si="228"/>
        <v>22033.05085</v>
      </c>
      <c r="W229" s="73">
        <f t="shared" si="9"/>
        <v>12933.40085</v>
      </c>
      <c r="X229" s="74">
        <f t="shared" si="10"/>
        <v>0.587</v>
      </c>
      <c r="Y229" s="73">
        <f t="shared" si="11"/>
        <v>10464.5975</v>
      </c>
      <c r="Z229" s="73">
        <f t="shared" si="12"/>
        <v>19829.66102</v>
      </c>
      <c r="AA229" s="73">
        <f t="shared" si="13"/>
        <v>9365.063517</v>
      </c>
      <c r="AB229" s="74">
        <f t="shared" si="14"/>
        <v>0.4722755225</v>
      </c>
      <c r="AC229" s="61" t="str">
        <f t="shared" si="15"/>
        <v>8</v>
      </c>
      <c r="AD229" s="71">
        <f t="shared" si="16"/>
        <v>0.15</v>
      </c>
      <c r="AE229" s="61"/>
      <c r="AF229" s="61"/>
      <c r="AG229" s="71">
        <f t="array" ref="AG229">IFERROR(xlookup(G229,'Old Master'!T:T,'Old Master'!V:V),N229)</f>
        <v>0.1000038463</v>
      </c>
      <c r="AH229" s="73">
        <f t="shared" si="229"/>
        <v>23399</v>
      </c>
      <c r="AI229" s="73">
        <f t="shared" si="230"/>
        <v>9365.063517</v>
      </c>
      <c r="AJ229" s="72">
        <f t="shared" si="19"/>
        <v>0.4722755225</v>
      </c>
      <c r="AK229" s="61"/>
      <c r="AL229" s="71">
        <f t="array" ref="AL229">iferror(if(isblank(xlookup($G229,'Old Master'!$T:$T,'Old Master'!$W:$W)),AG229,xlookup($G229,'Old Master'!$T:$T,'Old Master'!$W:$W)),AG229)</f>
        <v>0.1000038463</v>
      </c>
      <c r="AM229" s="74">
        <f t="shared" si="20"/>
        <v>0.1000038463</v>
      </c>
      <c r="AN229" s="73">
        <f t="shared" si="237"/>
        <v>23399</v>
      </c>
    </row>
    <row r="230">
      <c r="A230" s="65" t="s">
        <v>1612</v>
      </c>
      <c r="B230" s="65">
        <f t="shared" si="1"/>
        <v>66</v>
      </c>
      <c r="C230" s="65" t="str">
        <f t="shared" si="2"/>
        <v>SC-ULTM-Q-84x68x8</v>
      </c>
      <c r="D230" s="65">
        <v>0.0</v>
      </c>
      <c r="E230" s="65">
        <v>0.0</v>
      </c>
      <c r="F230" s="65" t="s">
        <v>1615</v>
      </c>
      <c r="G230" s="65" t="s">
        <v>5112</v>
      </c>
      <c r="H230" s="65" t="s">
        <v>52</v>
      </c>
      <c r="I230" s="65">
        <v>29999.0</v>
      </c>
      <c r="J230" s="66">
        <v>0.0</v>
      </c>
      <c r="K230" s="65">
        <f t="shared" si="3"/>
        <v>29999</v>
      </c>
      <c r="L230" s="66">
        <v>0.0</v>
      </c>
      <c r="M230" s="65">
        <f t="shared" si="4"/>
        <v>29999</v>
      </c>
      <c r="N230" s="67">
        <f t="shared" si="232"/>
        <v>0.1000033334</v>
      </c>
      <c r="O230" s="68">
        <v>26999.0</v>
      </c>
      <c r="P230" s="67">
        <f t="shared" si="233"/>
        <v>0.1000033334</v>
      </c>
      <c r="Q230" s="69">
        <v>26999.0</v>
      </c>
      <c r="R230" s="70"/>
      <c r="S230" s="71">
        <f t="shared" si="238"/>
        <v>-0.1000033334</v>
      </c>
      <c r="T230" s="72">
        <f t="shared" si="6"/>
        <v>0</v>
      </c>
      <c r="U230" s="73">
        <f t="shared" si="239"/>
        <v>10499.65</v>
      </c>
      <c r="V230" s="73">
        <f t="shared" si="228"/>
        <v>25422.88136</v>
      </c>
      <c r="W230" s="73">
        <f t="shared" si="9"/>
        <v>14923.23136</v>
      </c>
      <c r="X230" s="74">
        <f t="shared" si="10"/>
        <v>0.587</v>
      </c>
      <c r="Y230" s="73">
        <f t="shared" si="11"/>
        <v>12074.5975</v>
      </c>
      <c r="Z230" s="73">
        <f t="shared" si="12"/>
        <v>22880.50847</v>
      </c>
      <c r="AA230" s="73">
        <f t="shared" si="13"/>
        <v>10805.91097</v>
      </c>
      <c r="AB230" s="74">
        <f t="shared" si="14"/>
        <v>0.4722758232</v>
      </c>
      <c r="AC230" s="61" t="str">
        <f t="shared" si="15"/>
        <v>8</v>
      </c>
      <c r="AD230" s="71">
        <f t="shared" si="16"/>
        <v>0.15</v>
      </c>
      <c r="AE230" s="61"/>
      <c r="AF230" s="61"/>
      <c r="AG230" s="71">
        <f t="array" ref="AG230">IFERROR(xlookup(G230,'Old Master'!T:T,'Old Master'!V:V),N230)</f>
        <v>0.1000033334</v>
      </c>
      <c r="AH230" s="73">
        <f t="shared" si="229"/>
        <v>26999</v>
      </c>
      <c r="AI230" s="73">
        <f t="shared" si="230"/>
        <v>10805.91097</v>
      </c>
      <c r="AJ230" s="72">
        <f t="shared" si="19"/>
        <v>0.4722758232</v>
      </c>
      <c r="AK230" s="61"/>
      <c r="AL230" s="71">
        <f t="array" ref="AL230">iferror(if(isblank(xlookup($G230,'Old Master'!$T:$T,'Old Master'!$W:$W)),AG230,xlookup($G230,'Old Master'!$T:$T,'Old Master'!$W:$W)),AG230)</f>
        <v>0.1000033334</v>
      </c>
      <c r="AM230" s="74">
        <f t="shared" si="20"/>
        <v>0.1000033334</v>
      </c>
      <c r="AN230" s="73">
        <f t="shared" si="237"/>
        <v>26999</v>
      </c>
    </row>
    <row r="231">
      <c r="A231" s="65" t="s">
        <v>3841</v>
      </c>
      <c r="B231" s="65" t="str">
        <f t="shared" si="1"/>
        <v>#VALUE!</v>
      </c>
      <c r="C231" s="65" t="str">
        <f t="shared" si="2"/>
        <v>#VALUE!</v>
      </c>
      <c r="D231" s="65" t="s">
        <v>3843</v>
      </c>
      <c r="E231" s="65">
        <v>0.0</v>
      </c>
      <c r="F231" s="65" t="s">
        <v>3844</v>
      </c>
      <c r="G231" s="65" t="s">
        <v>5092</v>
      </c>
      <c r="H231" s="65" t="s">
        <v>1145</v>
      </c>
      <c r="I231" s="65">
        <v>2499.0</v>
      </c>
      <c r="J231" s="66">
        <v>0.0</v>
      </c>
      <c r="K231" s="65">
        <f t="shared" si="3"/>
        <v>2499</v>
      </c>
      <c r="L231" s="66">
        <v>0.0</v>
      </c>
      <c r="M231" s="65">
        <f t="shared" si="4"/>
        <v>2499</v>
      </c>
      <c r="N231" s="77">
        <f t="shared" si="232"/>
        <v>0.200080032</v>
      </c>
      <c r="O231" s="68">
        <v>1999.0</v>
      </c>
      <c r="P231" s="67">
        <f t="shared" si="233"/>
        <v>0.200080032</v>
      </c>
      <c r="Q231" s="69">
        <v>1999.0</v>
      </c>
      <c r="R231" s="70"/>
      <c r="S231" s="71">
        <f>O231/K231-1</f>
        <v>-0.200080032</v>
      </c>
      <c r="T231" s="72">
        <f t="shared" si="6"/>
        <v>0</v>
      </c>
      <c r="U231" s="73" t="str">
        <f t="shared" ref="U231:U234" si="240">IFERROR(XLOOKUP(A231,COGS!I:I,COGS!J:J), IFERROR(XLOOKUP(C231,COGS!I:I,COGS!J:J),""))</f>
        <v/>
      </c>
      <c r="V231" s="73">
        <f t="shared" si="228"/>
        <v>2117.79661</v>
      </c>
      <c r="W231" s="73">
        <f t="shared" si="9"/>
        <v>2117.79661</v>
      </c>
      <c r="X231" s="74">
        <f t="shared" si="10"/>
        <v>1</v>
      </c>
      <c r="Y231" s="73">
        <f t="shared" si="11"/>
        <v>0</v>
      </c>
      <c r="Z231" s="73">
        <f t="shared" si="12"/>
        <v>1694.067797</v>
      </c>
      <c r="AA231" s="73">
        <f t="shared" si="13"/>
        <v>1694.067797</v>
      </c>
      <c r="AB231" s="74">
        <f t="shared" si="14"/>
        <v>1</v>
      </c>
      <c r="AC231" s="61" t="str">
        <f t="shared" si="15"/>
        <v>L</v>
      </c>
      <c r="AD231" s="71" t="str">
        <f t="shared" si="16"/>
        <v>#DIV/0!</v>
      </c>
      <c r="AE231" s="61"/>
      <c r="AF231" s="61"/>
      <c r="AG231" s="71">
        <f t="array" ref="AG231">IFERROR(xlookup(G231,'Old Master'!T:T,'Old Master'!V:V),N231)</f>
        <v>0.200080032</v>
      </c>
      <c r="AH231" s="73">
        <f t="shared" si="229"/>
        <v>1999</v>
      </c>
      <c r="AI231" s="73">
        <f t="shared" si="230"/>
        <v>1694.067797</v>
      </c>
      <c r="AJ231" s="72">
        <f t="shared" si="19"/>
        <v>1</v>
      </c>
      <c r="AK231" s="61"/>
      <c r="AL231" s="71">
        <f>(I231-AN231)/I231</f>
        <v>0.200080032</v>
      </c>
      <c r="AM231" s="74">
        <f t="shared" si="20"/>
        <v>0.200080032</v>
      </c>
      <c r="AN231" s="73">
        <v>1999.0</v>
      </c>
    </row>
    <row r="232">
      <c r="A232" s="65" t="s">
        <v>2132</v>
      </c>
      <c r="B232" s="65">
        <f t="shared" si="1"/>
        <v>72</v>
      </c>
      <c r="C232" s="65" t="str">
        <f t="shared" si="2"/>
        <v>SC-CLD-SPR-K-84x74x8</v>
      </c>
      <c r="D232" s="65" t="s">
        <v>2134</v>
      </c>
      <c r="E232" s="65" t="s">
        <v>2135</v>
      </c>
      <c r="F232" s="65">
        <v>0.0</v>
      </c>
      <c r="G232" s="65" t="s">
        <v>5138</v>
      </c>
      <c r="H232" s="65" t="s">
        <v>52</v>
      </c>
      <c r="I232" s="65">
        <v>31999.0</v>
      </c>
      <c r="J232" s="66">
        <v>0.25</v>
      </c>
      <c r="K232" s="65">
        <f t="shared" si="3"/>
        <v>23999</v>
      </c>
      <c r="L232" s="66">
        <v>0.2</v>
      </c>
      <c r="M232" s="65">
        <f t="shared" si="4"/>
        <v>25599</v>
      </c>
      <c r="N232" s="67">
        <f t="shared" si="232"/>
        <v>0.1000031251</v>
      </c>
      <c r="O232" s="68">
        <v>28799.0</v>
      </c>
      <c r="P232" s="67">
        <f t="shared" si="233"/>
        <v>0.1000031251</v>
      </c>
      <c r="Q232" s="69">
        <v>28799.0</v>
      </c>
      <c r="R232" s="70"/>
      <c r="S232" s="71">
        <f>O232/M232-1</f>
        <v>0.125004883</v>
      </c>
      <c r="T232" s="72">
        <f t="shared" si="6"/>
        <v>0</v>
      </c>
      <c r="U232" s="73" t="str">
        <f t="shared" si="240"/>
        <v/>
      </c>
      <c r="V232" s="73">
        <f t="shared" si="228"/>
        <v>21694.0678</v>
      </c>
      <c r="W232" s="73">
        <f t="shared" si="9"/>
        <v>21694.0678</v>
      </c>
      <c r="X232" s="74">
        <f t="shared" si="10"/>
        <v>1</v>
      </c>
      <c r="Y232" s="73">
        <f t="shared" si="11"/>
        <v>0</v>
      </c>
      <c r="Z232" s="73">
        <f t="shared" si="12"/>
        <v>24405.9322</v>
      </c>
      <c r="AA232" s="73">
        <f t="shared" si="13"/>
        <v>24405.9322</v>
      </c>
      <c r="AB232" s="74">
        <f t="shared" si="14"/>
        <v>1</v>
      </c>
      <c r="AC232" s="61" t="str">
        <f t="shared" si="15"/>
        <v>8</v>
      </c>
      <c r="AD232" s="71" t="str">
        <f t="shared" si="16"/>
        <v>#DIV/0!</v>
      </c>
      <c r="AE232" s="61"/>
      <c r="AF232" s="61"/>
      <c r="AG232" s="71">
        <f t="array" ref="AG232">IFERROR(xlookup(G232,'Old Master'!T:T,'Old Master'!V:V),N232)</f>
        <v>0.1000031251</v>
      </c>
      <c r="AH232" s="73">
        <f t="shared" si="229"/>
        <v>28799</v>
      </c>
      <c r="AI232" s="73">
        <f t="shared" si="230"/>
        <v>24405.9322</v>
      </c>
      <c r="AJ232" s="72">
        <f t="shared" si="19"/>
        <v>1</v>
      </c>
      <c r="AK232" s="61"/>
      <c r="AL232" s="71">
        <f t="array" ref="AL232">iferror(if(isblank(xlookup($G232,'Old Master'!$T:$T,'Old Master'!$W:$W)),AG232,xlookup($G232,'Old Master'!$T:$T,'Old Master'!$W:$W)),AG232)</f>
        <v>0.1000031251</v>
      </c>
      <c r="AM232" s="74">
        <f t="shared" si="20"/>
        <v>0.1000031251</v>
      </c>
      <c r="AN232" s="73">
        <f>mround($I232*(1-AL232),100)-1</f>
        <v>28799</v>
      </c>
    </row>
    <row r="233">
      <c r="A233" s="65" t="s">
        <v>2477</v>
      </c>
      <c r="B233" s="65" t="str">
        <f t="shared" si="1"/>
        <v>#VALUE!</v>
      </c>
      <c r="C233" s="65" t="str">
        <f t="shared" si="2"/>
        <v>#VALUE!</v>
      </c>
      <c r="D233" s="65" t="s">
        <v>2477</v>
      </c>
      <c r="E233" s="65" t="s">
        <v>2479</v>
      </c>
      <c r="F233" s="65" t="s">
        <v>2477</v>
      </c>
      <c r="G233" s="65" t="s">
        <v>5083</v>
      </c>
      <c r="H233" s="65" t="s">
        <v>1145</v>
      </c>
      <c r="I233" s="65">
        <v>5599.0</v>
      </c>
      <c r="J233" s="66">
        <v>0.35</v>
      </c>
      <c r="K233" s="65">
        <f t="shared" si="3"/>
        <v>3639</v>
      </c>
      <c r="L233" s="66">
        <v>0.25</v>
      </c>
      <c r="M233" s="65">
        <f t="shared" si="4"/>
        <v>4199</v>
      </c>
      <c r="N233" s="77">
        <f t="shared" si="232"/>
        <v>0.3214859796</v>
      </c>
      <c r="O233" s="78">
        <v>3799.0</v>
      </c>
      <c r="P233" s="67">
        <f t="shared" si="233"/>
        <v>0.3214859796</v>
      </c>
      <c r="Q233" s="79">
        <v>3799.0</v>
      </c>
      <c r="R233" s="70"/>
      <c r="S233" s="71">
        <f>O233/K233-1</f>
        <v>0.04396812311</v>
      </c>
      <c r="T233" s="72">
        <f t="shared" si="6"/>
        <v>0</v>
      </c>
      <c r="U233" s="73" t="str">
        <f t="shared" si="240"/>
        <v/>
      </c>
      <c r="V233" s="73">
        <f t="shared" si="228"/>
        <v>3558.474576</v>
      </c>
      <c r="W233" s="73">
        <f t="shared" si="9"/>
        <v>3558.474576</v>
      </c>
      <c r="X233" s="74">
        <f t="shared" si="10"/>
        <v>1</v>
      </c>
      <c r="Y233" s="73">
        <f t="shared" si="11"/>
        <v>0</v>
      </c>
      <c r="Z233" s="73">
        <f t="shared" si="12"/>
        <v>3219.491525</v>
      </c>
      <c r="AA233" s="73">
        <f t="shared" si="13"/>
        <v>3219.491525</v>
      </c>
      <c r="AB233" s="74">
        <f t="shared" si="14"/>
        <v>1</v>
      </c>
      <c r="AC233" s="61" t="str">
        <f t="shared" si="15"/>
        <v>6</v>
      </c>
      <c r="AD233" s="71" t="str">
        <f t="shared" si="16"/>
        <v>#DIV/0!</v>
      </c>
      <c r="AE233" s="61"/>
      <c r="AF233" s="61"/>
      <c r="AG233" s="71">
        <f t="array" ref="AG233">IFERROR(xlookup(G233,'Old Master'!T:T,'Old Master'!V:V),N233)</f>
        <v>0.3214859796</v>
      </c>
      <c r="AH233" s="73">
        <f t="shared" si="229"/>
        <v>3799</v>
      </c>
      <c r="AI233" s="73">
        <f t="shared" si="230"/>
        <v>3219.491525</v>
      </c>
      <c r="AJ233" s="72">
        <f t="shared" si="19"/>
        <v>1</v>
      </c>
      <c r="AK233" s="61"/>
      <c r="AL233" s="71">
        <f>(I233-AN233)/I233</f>
        <v>0.3214859796</v>
      </c>
      <c r="AM233" s="74">
        <f t="shared" si="20"/>
        <v>0.3214859796</v>
      </c>
      <c r="AN233" s="73">
        <v>3799.0</v>
      </c>
    </row>
    <row r="234">
      <c r="A234" s="65" t="s">
        <v>1038</v>
      </c>
      <c r="B234" s="65">
        <f t="shared" si="1"/>
        <v>78</v>
      </c>
      <c r="C234" s="65" t="str">
        <f t="shared" si="2"/>
        <v>SC-HYB-LATEX-K-84x80x6</v>
      </c>
      <c r="D234" s="65" t="s">
        <v>1040</v>
      </c>
      <c r="E234" s="65">
        <v>0.0</v>
      </c>
      <c r="F234" s="65">
        <v>0.0</v>
      </c>
      <c r="G234" s="65" t="s">
        <v>5108</v>
      </c>
      <c r="H234" s="65" t="s">
        <v>52</v>
      </c>
      <c r="I234" s="65">
        <v>25999.0</v>
      </c>
      <c r="J234" s="66">
        <v>0.25</v>
      </c>
      <c r="K234" s="65">
        <f t="shared" si="3"/>
        <v>19499</v>
      </c>
      <c r="L234" s="66">
        <v>0.2</v>
      </c>
      <c r="M234" s="65">
        <f t="shared" si="4"/>
        <v>20799</v>
      </c>
      <c r="N234" s="75">
        <v>0.16</v>
      </c>
      <c r="O234" s="68">
        <f t="shared" ref="O234:O235" si="241">I234*(1-N234)</f>
        <v>21839.16</v>
      </c>
      <c r="P234" s="75">
        <v>0.13</v>
      </c>
      <c r="Q234" s="68">
        <f t="shared" ref="Q234:Q237" si="242">I234*(1-P234)</f>
        <v>22619.13</v>
      </c>
      <c r="R234" s="71">
        <f t="shared" ref="R234:R235" si="243">Q234/M234-1</f>
        <v>0.08751045723</v>
      </c>
      <c r="S234" s="71">
        <f t="shared" ref="S234:S243" si="244">O234/M234-1</f>
        <v>0.05001009664</v>
      </c>
      <c r="T234" s="72">
        <f t="shared" si="6"/>
        <v>0</v>
      </c>
      <c r="U234" s="73" t="str">
        <f t="shared" si="240"/>
        <v/>
      </c>
      <c r="V234" s="73">
        <f t="shared" si="228"/>
        <v>17626.27119</v>
      </c>
      <c r="W234" s="73">
        <f t="shared" si="9"/>
        <v>17626.27119</v>
      </c>
      <c r="X234" s="74">
        <f t="shared" si="10"/>
        <v>1</v>
      </c>
      <c r="Y234" s="73">
        <f t="shared" si="11"/>
        <v>0</v>
      </c>
      <c r="Z234" s="73">
        <f t="shared" si="12"/>
        <v>18507.76271</v>
      </c>
      <c r="AA234" s="73">
        <f t="shared" si="13"/>
        <v>18507.76271</v>
      </c>
      <c r="AB234" s="74">
        <f t="shared" si="14"/>
        <v>1</v>
      </c>
      <c r="AC234" s="61" t="str">
        <f t="shared" si="15"/>
        <v>6</v>
      </c>
      <c r="AD234" s="71" t="str">
        <f t="shared" si="16"/>
        <v>#DIV/0!</v>
      </c>
      <c r="AE234" s="73">
        <f t="shared" ref="AE234:AE235" si="245">Q234/118%-Y234</f>
        <v>19168.75424</v>
      </c>
      <c r="AF234" s="74">
        <f t="shared" ref="AF234:AF235" si="246">AE234/(Q234/1.18)</f>
        <v>1</v>
      </c>
      <c r="AG234" s="71">
        <f t="array" ref="AG234">IFERROR(xlookup(G234,'Old Master'!T:T,'Old Master'!V:V),N234)</f>
        <v>0.16</v>
      </c>
      <c r="AH234" s="73">
        <f t="shared" si="229"/>
        <v>21839.16</v>
      </c>
      <c r="AI234" s="73">
        <f t="shared" si="230"/>
        <v>18507.76271</v>
      </c>
      <c r="AJ234" s="72">
        <f t="shared" si="19"/>
        <v>1</v>
      </c>
      <c r="AK234" s="61"/>
      <c r="AL234" s="71">
        <f t="array" ref="AL234">iferror(if(isblank(xlookup($G234,'Old Master'!$T:$T,'Old Master'!$W:$W)),AG234,xlookup($G234,'Old Master'!$T:$T,'Old Master'!$W:$W)),AG234)</f>
        <v>0.16</v>
      </c>
      <c r="AM234" s="74">
        <f t="shared" si="20"/>
        <v>0.1615446748</v>
      </c>
      <c r="AN234" s="73">
        <f t="shared" ref="AN234:AN248" si="247">mround($I234*(1-AL234),100)-1</f>
        <v>21799</v>
      </c>
    </row>
    <row r="235">
      <c r="A235" s="65" t="s">
        <v>962</v>
      </c>
      <c r="B235" s="65">
        <f t="shared" si="1"/>
        <v>66</v>
      </c>
      <c r="C235" s="65" t="str">
        <f>SUBSTITUTE(A235, "x"&amp;TEXT(B235,"0")&amp;"x", "x"&amp;TEXT(B235+4,"0")&amp;"x")</f>
        <v>SC-HYB-LATEX-Q-72x70x6</v>
      </c>
      <c r="D235" s="65">
        <v>0.0</v>
      </c>
      <c r="E235" s="65">
        <v>0.0</v>
      </c>
      <c r="F235" s="65" t="s">
        <v>963</v>
      </c>
      <c r="G235" s="65" t="s">
        <v>5108</v>
      </c>
      <c r="H235" s="65" t="s">
        <v>52</v>
      </c>
      <c r="I235" s="65">
        <v>19999.0</v>
      </c>
      <c r="J235" s="66">
        <v>0.0</v>
      </c>
      <c r="K235" s="65">
        <f t="shared" si="3"/>
        <v>19999</v>
      </c>
      <c r="L235" s="66">
        <v>0.2</v>
      </c>
      <c r="M235" s="65">
        <f t="shared" si="4"/>
        <v>15999</v>
      </c>
      <c r="N235" s="75">
        <v>0.16</v>
      </c>
      <c r="O235" s="68">
        <f t="shared" si="241"/>
        <v>16799.16</v>
      </c>
      <c r="P235" s="75">
        <v>0.13</v>
      </c>
      <c r="Q235" s="68">
        <f t="shared" si="242"/>
        <v>17399.13</v>
      </c>
      <c r="R235" s="71">
        <f t="shared" si="243"/>
        <v>0.0875135946</v>
      </c>
      <c r="S235" s="71">
        <f t="shared" si="244"/>
        <v>0.05001312582</v>
      </c>
      <c r="T235" s="72">
        <f t="shared" si="6"/>
        <v>0</v>
      </c>
      <c r="U235" s="73">
        <f t="array" ref="U235">IFERROR(XLOOKUP(A235,COGS!I:I,COGS!J:J), IFERROR(XLOOKUP(C235,COGS!I:I,COGS!J:J),I235*35%))</f>
        <v>6999.65</v>
      </c>
      <c r="V235" s="73">
        <f t="shared" si="228"/>
        <v>13558.47458</v>
      </c>
      <c r="W235" s="73">
        <f t="shared" si="9"/>
        <v>6558.824576</v>
      </c>
      <c r="X235" s="74">
        <f t="shared" si="10"/>
        <v>0.4837435465</v>
      </c>
      <c r="Y235" s="73">
        <f t="shared" si="11"/>
        <v>8049.5975</v>
      </c>
      <c r="Z235" s="73">
        <f t="shared" si="12"/>
        <v>14236.57627</v>
      </c>
      <c r="AA235" s="73">
        <f t="shared" si="13"/>
        <v>6186.978771</v>
      </c>
      <c r="AB235" s="74">
        <f t="shared" si="14"/>
        <v>0.4345833333</v>
      </c>
      <c r="AC235" s="61" t="str">
        <f t="shared" si="15"/>
        <v>6</v>
      </c>
      <c r="AD235" s="71">
        <f t="shared" si="16"/>
        <v>0.15</v>
      </c>
      <c r="AE235" s="73">
        <f t="shared" si="245"/>
        <v>6695.427924</v>
      </c>
      <c r="AF235" s="74">
        <f t="shared" si="246"/>
        <v>0.4540804598</v>
      </c>
      <c r="AG235" s="71">
        <f t="array" ref="AG235">IFERROR(xlookup(G235,'Old Master'!T:T,'Old Master'!V:V),N235)</f>
        <v>0.16</v>
      </c>
      <c r="AH235" s="73">
        <f t="shared" si="229"/>
        <v>16799.16</v>
      </c>
      <c r="AI235" s="73">
        <f t="shared" si="230"/>
        <v>6186.978771</v>
      </c>
      <c r="AJ235" s="72">
        <f t="shared" si="19"/>
        <v>0.4345833333</v>
      </c>
      <c r="AK235" s="61"/>
      <c r="AL235" s="71">
        <f t="array" ref="AL235">iferror(if(isblank(xlookup($G235,'Old Master'!$T:$T,'Old Master'!$W:$W)),AG235,xlookup($G235,'Old Master'!$T:$T,'Old Master'!$W:$W)),AG235)</f>
        <v>0.16</v>
      </c>
      <c r="AM235" s="74">
        <f t="shared" si="20"/>
        <v>0.1600080004</v>
      </c>
      <c r="AN235" s="73">
        <f t="shared" si="247"/>
        <v>16799</v>
      </c>
    </row>
    <row r="236">
      <c r="A236" s="65" t="s">
        <v>5357</v>
      </c>
      <c r="B236" s="65">
        <f t="shared" si="1"/>
        <v>36</v>
      </c>
      <c r="C236" s="65" t="str">
        <f t="shared" ref="C236:C589" si="248">SUBSTITUTE(A236, "x"&amp;TEXT(B236,"0")&amp;"x", "x"&amp;TEXT(B236+2,"0")&amp;"x")</f>
        <v>SC-LTx-ORTHO-S-75x38x5</v>
      </c>
      <c r="D236" s="65" t="s">
        <v>4026</v>
      </c>
      <c r="E236" s="65">
        <v>0.0</v>
      </c>
      <c r="F236" s="65" t="s">
        <v>4027</v>
      </c>
      <c r="G236" s="65" t="s">
        <v>5118</v>
      </c>
      <c r="H236" s="65" t="s">
        <v>52</v>
      </c>
      <c r="I236" s="81">
        <v>12299.0</v>
      </c>
      <c r="J236" s="66">
        <v>0.23</v>
      </c>
      <c r="K236" s="81">
        <f t="shared" si="3"/>
        <v>9470</v>
      </c>
      <c r="L236" s="66">
        <v>0.2</v>
      </c>
      <c r="M236" s="81">
        <f t="shared" si="4"/>
        <v>9839</v>
      </c>
      <c r="N236" s="67">
        <f t="shared" ref="N236:N276" si="249">1-O236/I236</f>
        <v>0.3268477112</v>
      </c>
      <c r="O236" s="68">
        <v>8279.1</v>
      </c>
      <c r="P236" s="75">
        <v>0.1</v>
      </c>
      <c r="Q236" s="68">
        <f t="shared" si="242"/>
        <v>11069.1</v>
      </c>
      <c r="R236" s="70"/>
      <c r="S236" s="71">
        <f t="shared" si="244"/>
        <v>-0.1585425348</v>
      </c>
      <c r="T236" s="72">
        <f t="shared" si="6"/>
        <v>0</v>
      </c>
      <c r="U236" s="73" t="str">
        <f t="shared" ref="U236:U265" si="250">IFERROR(XLOOKUP(A236,COGS!I:I,COGS!J:J), IFERROR(XLOOKUP(C236,COGS!I:I,COGS!J:J),""))</f>
        <v/>
      </c>
      <c r="V236" s="73">
        <f t="shared" si="228"/>
        <v>8338.135593</v>
      </c>
      <c r="W236" s="73">
        <f t="shared" si="9"/>
        <v>8338.135593</v>
      </c>
      <c r="X236" s="74">
        <f t="shared" si="10"/>
        <v>1</v>
      </c>
      <c r="Y236" s="73">
        <f t="shared" si="11"/>
        <v>0</v>
      </c>
      <c r="Z236" s="73">
        <f t="shared" si="12"/>
        <v>7016.186441</v>
      </c>
      <c r="AA236" s="73">
        <f t="shared" si="13"/>
        <v>7016.186441</v>
      </c>
      <c r="AB236" s="74">
        <f t="shared" si="14"/>
        <v>1</v>
      </c>
      <c r="AC236" s="61" t="str">
        <f t="shared" si="15"/>
        <v>5</v>
      </c>
      <c r="AD236" s="71" t="str">
        <f t="shared" si="16"/>
        <v>#DIV/0!</v>
      </c>
      <c r="AE236" s="61"/>
      <c r="AF236" s="61"/>
      <c r="AG236" s="71">
        <f t="array" ref="AG236">IFERROR(xlookup(G236,'Old Master'!T:T,'Old Master'!V:V),N236)</f>
        <v>0.3268477112</v>
      </c>
      <c r="AH236" s="73">
        <f t="shared" si="229"/>
        <v>8279.1</v>
      </c>
      <c r="AI236" s="73">
        <f t="shared" si="230"/>
        <v>7016.186441</v>
      </c>
      <c r="AJ236" s="72">
        <f t="shared" si="19"/>
        <v>1</v>
      </c>
      <c r="AK236" s="61"/>
      <c r="AL236" s="71">
        <f t="array" ref="AL236">iferror(if(isblank(xlookup($G236,'Old Master'!$T:$T,'Old Master'!$W:$W)),AG236,xlookup($G236,'Old Master'!$T:$T,'Old Master'!$W:$W)),AG236)</f>
        <v>0.3268477112</v>
      </c>
      <c r="AM236" s="74">
        <f t="shared" si="20"/>
        <v>0.3252296935</v>
      </c>
      <c r="AN236" s="73">
        <f t="shared" si="247"/>
        <v>8299</v>
      </c>
    </row>
    <row r="237">
      <c r="A237" s="65" t="s">
        <v>5358</v>
      </c>
      <c r="B237" s="65">
        <f t="shared" si="1"/>
        <v>36</v>
      </c>
      <c r="C237" s="65" t="str">
        <f t="shared" si="248"/>
        <v>SC-LTx-ORTHO-S-78x38x6</v>
      </c>
      <c r="D237" s="65" t="s">
        <v>3952</v>
      </c>
      <c r="E237" s="65">
        <v>0.0</v>
      </c>
      <c r="F237" s="65" t="s">
        <v>3953</v>
      </c>
      <c r="G237" s="65" t="s">
        <v>5118</v>
      </c>
      <c r="H237" s="65" t="s">
        <v>52</v>
      </c>
      <c r="I237" s="81">
        <v>13299.0</v>
      </c>
      <c r="J237" s="66">
        <v>0.23</v>
      </c>
      <c r="K237" s="81">
        <f t="shared" si="3"/>
        <v>10240</v>
      </c>
      <c r="L237" s="66">
        <v>0.2</v>
      </c>
      <c r="M237" s="81">
        <f t="shared" si="4"/>
        <v>10639</v>
      </c>
      <c r="N237" s="67">
        <f t="shared" si="249"/>
        <v>0.323325062</v>
      </c>
      <c r="O237" s="68">
        <v>8999.1</v>
      </c>
      <c r="P237" s="75">
        <v>0.1</v>
      </c>
      <c r="Q237" s="68">
        <f t="shared" si="242"/>
        <v>11969.1</v>
      </c>
      <c r="R237" s="70"/>
      <c r="S237" s="71">
        <f t="shared" si="244"/>
        <v>-0.1541404267</v>
      </c>
      <c r="T237" s="72">
        <f t="shared" si="6"/>
        <v>0</v>
      </c>
      <c r="U237" s="73" t="str">
        <f t="shared" si="250"/>
        <v/>
      </c>
      <c r="V237" s="73">
        <f t="shared" si="228"/>
        <v>9016.101695</v>
      </c>
      <c r="W237" s="73">
        <f t="shared" si="9"/>
        <v>9016.101695</v>
      </c>
      <c r="X237" s="74">
        <f t="shared" si="10"/>
        <v>1</v>
      </c>
      <c r="Y237" s="73">
        <f t="shared" si="11"/>
        <v>0</v>
      </c>
      <c r="Z237" s="73">
        <f t="shared" si="12"/>
        <v>7626.355932</v>
      </c>
      <c r="AA237" s="73">
        <f t="shared" si="13"/>
        <v>7626.355932</v>
      </c>
      <c r="AB237" s="74">
        <f t="shared" si="14"/>
        <v>1</v>
      </c>
      <c r="AC237" s="61" t="str">
        <f t="shared" si="15"/>
        <v>6</v>
      </c>
      <c r="AD237" s="71" t="str">
        <f t="shared" si="16"/>
        <v>#DIV/0!</v>
      </c>
      <c r="AE237" s="61"/>
      <c r="AF237" s="61"/>
      <c r="AG237" s="71">
        <f t="array" ref="AG237">IFERROR(xlookup(G237,'Old Master'!T:T,'Old Master'!V:V),N237)</f>
        <v>0.323325062</v>
      </c>
      <c r="AH237" s="73">
        <f t="shared" si="229"/>
        <v>8999.1</v>
      </c>
      <c r="AI237" s="73">
        <f t="shared" si="230"/>
        <v>7626.355932</v>
      </c>
      <c r="AJ237" s="72">
        <f t="shared" si="19"/>
        <v>1</v>
      </c>
      <c r="AK237" s="61"/>
      <c r="AL237" s="71">
        <f t="array" ref="AL237">iferror(if(isblank(xlookup($G237,'Old Master'!$T:$T,'Old Master'!$W:$W)),AG237,xlookup($G237,'Old Master'!$T:$T,'Old Master'!$W:$W)),AG237)</f>
        <v>0.323325062</v>
      </c>
      <c r="AM237" s="74">
        <f t="shared" si="20"/>
        <v>0.3233325814</v>
      </c>
      <c r="AN237" s="73">
        <f t="shared" si="247"/>
        <v>8999</v>
      </c>
    </row>
    <row r="238">
      <c r="A238" s="65" t="s">
        <v>53</v>
      </c>
      <c r="B238" s="65">
        <f t="shared" si="1"/>
        <v>30</v>
      </c>
      <c r="C238" s="65" t="str">
        <f t="shared" si="248"/>
        <v>SC-ORIG-S-72x32x8</v>
      </c>
      <c r="D238" s="65" t="s">
        <v>55</v>
      </c>
      <c r="E238" s="65" t="s">
        <v>56</v>
      </c>
      <c r="F238" s="65" t="s">
        <v>57</v>
      </c>
      <c r="G238" s="65" t="s">
        <v>51</v>
      </c>
      <c r="H238" s="65" t="s">
        <v>52</v>
      </c>
      <c r="I238" s="65">
        <v>10399.0</v>
      </c>
      <c r="J238" s="66">
        <v>0.28</v>
      </c>
      <c r="K238" s="65">
        <f t="shared" si="3"/>
        <v>7487</v>
      </c>
      <c r="L238" s="66">
        <v>0.24</v>
      </c>
      <c r="M238" s="65">
        <f t="shared" si="4"/>
        <v>7903</v>
      </c>
      <c r="N238" s="67">
        <f t="shared" si="249"/>
        <v>0.190018271</v>
      </c>
      <c r="O238" s="68">
        <v>8423.0</v>
      </c>
      <c r="P238" s="67">
        <f t="shared" ref="P238:P276" si="251">1-Q238/I238</f>
        <v>0.190018271</v>
      </c>
      <c r="Q238" s="69">
        <v>8423.0</v>
      </c>
      <c r="R238" s="76"/>
      <c r="S238" s="72">
        <f t="shared" si="244"/>
        <v>0.0657977983</v>
      </c>
      <c r="T238" s="72">
        <f t="shared" si="6"/>
        <v>0</v>
      </c>
      <c r="U238" s="73" t="str">
        <f t="shared" si="250"/>
        <v/>
      </c>
      <c r="V238" s="73">
        <f t="shared" si="228"/>
        <v>6697.457627</v>
      </c>
      <c r="W238" s="73">
        <f t="shared" si="9"/>
        <v>6697.457627</v>
      </c>
      <c r="X238" s="74">
        <f t="shared" si="10"/>
        <v>1</v>
      </c>
      <c r="Y238" s="73">
        <f t="shared" si="11"/>
        <v>0</v>
      </c>
      <c r="Z238" s="73">
        <f t="shared" si="12"/>
        <v>7138.135593</v>
      </c>
      <c r="AA238" s="73">
        <f t="shared" si="13"/>
        <v>7138.135593</v>
      </c>
      <c r="AB238" s="74">
        <f t="shared" si="14"/>
        <v>1</v>
      </c>
      <c r="AC238" s="61" t="str">
        <f t="shared" si="15"/>
        <v>8</v>
      </c>
      <c r="AD238" s="71" t="str">
        <f t="shared" si="16"/>
        <v>#DIV/0!</v>
      </c>
      <c r="AE238" s="61"/>
      <c r="AF238" s="61"/>
      <c r="AG238" s="71">
        <f t="array" ref="AG238">IFERROR(xlookup(G238,'Old Master'!T:T,'Old Master'!V:V),N238)</f>
        <v>0.190018271</v>
      </c>
      <c r="AH238" s="73">
        <f t="shared" si="229"/>
        <v>8423</v>
      </c>
      <c r="AI238" s="73">
        <f t="shared" si="230"/>
        <v>7138.135593</v>
      </c>
      <c r="AJ238" s="72">
        <f t="shared" si="19"/>
        <v>1</v>
      </c>
      <c r="AK238" s="61"/>
      <c r="AL238" s="71">
        <f t="array" ref="AL238">iferror(if(isblank(xlookup($G238,'Old Master'!$T:$T,'Old Master'!$W:$W)),AG238,xlookup($G238,'Old Master'!$T:$T,'Old Master'!$W:$W)),AG238)</f>
        <v>0.190018271</v>
      </c>
      <c r="AM238" s="74">
        <f t="shared" si="20"/>
        <v>0.1923261852</v>
      </c>
      <c r="AN238" s="73">
        <f t="shared" si="247"/>
        <v>8399</v>
      </c>
    </row>
    <row r="239">
      <c r="A239" s="65" t="s">
        <v>74</v>
      </c>
      <c r="B239" s="65">
        <f t="shared" si="1"/>
        <v>36</v>
      </c>
      <c r="C239" s="65" t="str">
        <f t="shared" si="248"/>
        <v>SC-ORIG-S-78x38x8</v>
      </c>
      <c r="D239" s="65" t="s">
        <v>76</v>
      </c>
      <c r="E239" s="65" t="s">
        <v>77</v>
      </c>
      <c r="F239" s="65" t="s">
        <v>78</v>
      </c>
      <c r="G239" s="65" t="s">
        <v>51</v>
      </c>
      <c r="H239" s="65" t="s">
        <v>52</v>
      </c>
      <c r="I239" s="65">
        <v>12299.0</v>
      </c>
      <c r="J239" s="66">
        <v>0.28</v>
      </c>
      <c r="K239" s="65">
        <f t="shared" si="3"/>
        <v>8855</v>
      </c>
      <c r="L239" s="66">
        <v>0.24</v>
      </c>
      <c r="M239" s="65">
        <f t="shared" si="4"/>
        <v>9347</v>
      </c>
      <c r="N239" s="67">
        <f t="shared" si="249"/>
        <v>0.1900154484</v>
      </c>
      <c r="O239" s="68">
        <v>9962.0</v>
      </c>
      <c r="P239" s="67">
        <f t="shared" si="251"/>
        <v>0.1900154484</v>
      </c>
      <c r="Q239" s="69">
        <v>9962.0</v>
      </c>
      <c r="R239" s="76"/>
      <c r="S239" s="72">
        <f t="shared" si="244"/>
        <v>0.06579651225</v>
      </c>
      <c r="T239" s="72">
        <f t="shared" si="6"/>
        <v>0</v>
      </c>
      <c r="U239" s="73" t="str">
        <f t="shared" si="250"/>
        <v/>
      </c>
      <c r="V239" s="73">
        <f t="shared" si="228"/>
        <v>7921.186441</v>
      </c>
      <c r="W239" s="73">
        <f t="shared" si="9"/>
        <v>7921.186441</v>
      </c>
      <c r="X239" s="74">
        <f t="shared" si="10"/>
        <v>1</v>
      </c>
      <c r="Y239" s="73">
        <f t="shared" si="11"/>
        <v>0</v>
      </c>
      <c r="Z239" s="73">
        <f t="shared" si="12"/>
        <v>8442.372881</v>
      </c>
      <c r="AA239" s="73">
        <f t="shared" si="13"/>
        <v>8442.372881</v>
      </c>
      <c r="AB239" s="74">
        <f t="shared" si="14"/>
        <v>1</v>
      </c>
      <c r="AC239" s="61" t="str">
        <f t="shared" si="15"/>
        <v>8</v>
      </c>
      <c r="AD239" s="71" t="str">
        <f t="shared" si="16"/>
        <v>#DIV/0!</v>
      </c>
      <c r="AE239" s="61"/>
      <c r="AF239" s="61"/>
      <c r="AG239" s="71">
        <f t="array" ref="AG239">IFERROR(xlookup(G239,'Old Master'!T:T,'Old Master'!V:V),N239)</f>
        <v>0.1900154484</v>
      </c>
      <c r="AH239" s="73">
        <f t="shared" si="229"/>
        <v>9962</v>
      </c>
      <c r="AI239" s="73">
        <f t="shared" si="230"/>
        <v>8442.372881</v>
      </c>
      <c r="AJ239" s="72">
        <f t="shared" si="19"/>
        <v>1</v>
      </c>
      <c r="AK239" s="61"/>
      <c r="AL239" s="71">
        <f t="array" ref="AL239">iferror(if(isblank(xlookup($G239,'Old Master'!$T:$T,'Old Master'!$W:$W)),AG239,xlookup($G239,'Old Master'!$T:$T,'Old Master'!$W:$W)),AG239)</f>
        <v>0.1900154484</v>
      </c>
      <c r="AM239" s="74">
        <f t="shared" si="20"/>
        <v>0.1870070737</v>
      </c>
      <c r="AN239" s="73">
        <f t="shared" si="247"/>
        <v>9999</v>
      </c>
    </row>
    <row r="240">
      <c r="A240" s="65" t="s">
        <v>412</v>
      </c>
      <c r="B240" s="65">
        <f t="shared" si="1"/>
        <v>66</v>
      </c>
      <c r="C240" s="65" t="str">
        <f t="shared" si="248"/>
        <v>SC-ORIG-Q-78x68x8</v>
      </c>
      <c r="D240" s="65" t="s">
        <v>414</v>
      </c>
      <c r="E240" s="65">
        <v>0.0</v>
      </c>
      <c r="F240" s="65" t="s">
        <v>415</v>
      </c>
      <c r="G240" s="65" t="s">
        <v>51</v>
      </c>
      <c r="H240" s="65" t="s">
        <v>52</v>
      </c>
      <c r="I240" s="65">
        <v>20699.0</v>
      </c>
      <c r="J240" s="66">
        <v>0.28</v>
      </c>
      <c r="K240" s="65">
        <f t="shared" si="3"/>
        <v>14903</v>
      </c>
      <c r="L240" s="66">
        <v>0.24</v>
      </c>
      <c r="M240" s="65">
        <f t="shared" si="4"/>
        <v>15731</v>
      </c>
      <c r="N240" s="67">
        <f t="shared" si="249"/>
        <v>0.1900091792</v>
      </c>
      <c r="O240" s="68">
        <v>16766.0</v>
      </c>
      <c r="P240" s="67">
        <f t="shared" si="251"/>
        <v>0.1900091792</v>
      </c>
      <c r="Q240" s="69">
        <v>16766.0</v>
      </c>
      <c r="R240" s="76"/>
      <c r="S240" s="72">
        <f t="shared" si="244"/>
        <v>0.06579365584</v>
      </c>
      <c r="T240" s="72">
        <f t="shared" si="6"/>
        <v>0</v>
      </c>
      <c r="U240" s="73" t="str">
        <f t="shared" si="250"/>
        <v/>
      </c>
      <c r="V240" s="73">
        <f t="shared" si="228"/>
        <v>13331.35593</v>
      </c>
      <c r="W240" s="73">
        <f t="shared" si="9"/>
        <v>13331.35593</v>
      </c>
      <c r="X240" s="74">
        <f t="shared" si="10"/>
        <v>1</v>
      </c>
      <c r="Y240" s="73">
        <f t="shared" si="11"/>
        <v>0</v>
      </c>
      <c r="Z240" s="73">
        <f t="shared" si="12"/>
        <v>14208.47458</v>
      </c>
      <c r="AA240" s="73">
        <f t="shared" si="13"/>
        <v>14208.47458</v>
      </c>
      <c r="AB240" s="74">
        <f t="shared" si="14"/>
        <v>1</v>
      </c>
      <c r="AC240" s="61" t="str">
        <f t="shared" si="15"/>
        <v>8</v>
      </c>
      <c r="AD240" s="71" t="str">
        <f t="shared" si="16"/>
        <v>#DIV/0!</v>
      </c>
      <c r="AE240" s="61"/>
      <c r="AF240" s="61"/>
      <c r="AG240" s="71">
        <f t="array" ref="AG240">IFERROR(xlookup(G240,'Old Master'!T:T,'Old Master'!V:V),N240)</f>
        <v>0.1900091792</v>
      </c>
      <c r="AH240" s="73">
        <f t="shared" si="229"/>
        <v>16766</v>
      </c>
      <c r="AI240" s="73">
        <f t="shared" si="230"/>
        <v>14208.47458</v>
      </c>
      <c r="AJ240" s="72">
        <f t="shared" si="19"/>
        <v>1</v>
      </c>
      <c r="AK240" s="61"/>
      <c r="AL240" s="71">
        <f t="array" ref="AL240">iferror(if(isblank(xlookup($G240,'Old Master'!$T:$T,'Old Master'!$W:$W)),AG240,xlookup($G240,'Old Master'!$T:$T,'Old Master'!$W:$W)),AG240)</f>
        <v>0.1900091792</v>
      </c>
      <c r="AM240" s="74">
        <f t="shared" si="20"/>
        <v>0.1884148993</v>
      </c>
      <c r="AN240" s="73">
        <f t="shared" si="247"/>
        <v>16799</v>
      </c>
    </row>
    <row r="241">
      <c r="A241" s="65" t="s">
        <v>429</v>
      </c>
      <c r="B241" s="65">
        <f t="shared" si="1"/>
        <v>60</v>
      </c>
      <c r="C241" s="65" t="str">
        <f t="shared" si="248"/>
        <v>SC-ORIG-Q-75x62x10</v>
      </c>
      <c r="D241" s="65" t="s">
        <v>431</v>
      </c>
      <c r="E241" s="65" t="s">
        <v>432</v>
      </c>
      <c r="F241" s="65" t="s">
        <v>433</v>
      </c>
      <c r="G241" s="65" t="s">
        <v>51</v>
      </c>
      <c r="H241" s="65" t="s">
        <v>52</v>
      </c>
      <c r="I241" s="65">
        <v>20699.0</v>
      </c>
      <c r="J241" s="66">
        <v>0.28</v>
      </c>
      <c r="K241" s="65">
        <f t="shared" si="3"/>
        <v>14903</v>
      </c>
      <c r="L241" s="66">
        <v>0.24</v>
      </c>
      <c r="M241" s="65">
        <f t="shared" si="4"/>
        <v>15731</v>
      </c>
      <c r="N241" s="67">
        <f t="shared" si="249"/>
        <v>0.1900091792</v>
      </c>
      <c r="O241" s="68">
        <v>16766.0</v>
      </c>
      <c r="P241" s="67">
        <f t="shared" si="251"/>
        <v>0.1900091792</v>
      </c>
      <c r="Q241" s="69">
        <v>16766.0</v>
      </c>
      <c r="R241" s="76"/>
      <c r="S241" s="72">
        <f t="shared" si="244"/>
        <v>0.06579365584</v>
      </c>
      <c r="T241" s="72">
        <f t="shared" si="6"/>
        <v>0</v>
      </c>
      <c r="U241" s="73" t="str">
        <f t="shared" si="250"/>
        <v/>
      </c>
      <c r="V241" s="73">
        <f t="shared" si="228"/>
        <v>13331.35593</v>
      </c>
      <c r="W241" s="73">
        <f t="shared" si="9"/>
        <v>13331.35593</v>
      </c>
      <c r="X241" s="74">
        <f t="shared" si="10"/>
        <v>1</v>
      </c>
      <c r="Y241" s="73">
        <f t="shared" si="11"/>
        <v>0</v>
      </c>
      <c r="Z241" s="73">
        <f t="shared" si="12"/>
        <v>14208.47458</v>
      </c>
      <c r="AA241" s="73">
        <f t="shared" si="13"/>
        <v>14208.47458</v>
      </c>
      <c r="AB241" s="74">
        <f t="shared" si="14"/>
        <v>1</v>
      </c>
      <c r="AC241" s="61" t="str">
        <f t="shared" si="15"/>
        <v>0</v>
      </c>
      <c r="AD241" s="71" t="str">
        <f t="shared" si="16"/>
        <v>#DIV/0!</v>
      </c>
      <c r="AE241" s="61"/>
      <c r="AF241" s="61"/>
      <c r="AG241" s="71">
        <f t="array" ref="AG241">IFERROR(xlookup(G241,'Old Master'!T:T,'Old Master'!V:V),N241)</f>
        <v>0.1900091792</v>
      </c>
      <c r="AH241" s="73">
        <f t="shared" si="229"/>
        <v>16766</v>
      </c>
      <c r="AI241" s="73">
        <f t="shared" si="230"/>
        <v>14208.47458</v>
      </c>
      <c r="AJ241" s="72">
        <f t="shared" si="19"/>
        <v>1</v>
      </c>
      <c r="AK241" s="61"/>
      <c r="AL241" s="71">
        <f t="array" ref="AL241">iferror(if(isblank(xlookup($G241,'Old Master'!$T:$T,'Old Master'!$W:$W)),AG241,xlookup($G241,'Old Master'!$T:$T,'Old Master'!$W:$W)),AG241)</f>
        <v>0.1900091792</v>
      </c>
      <c r="AM241" s="74">
        <f t="shared" si="20"/>
        <v>0.1884148993</v>
      </c>
      <c r="AN241" s="73">
        <f t="shared" si="247"/>
        <v>16799</v>
      </c>
    </row>
    <row r="242">
      <c r="A242" s="65" t="s">
        <v>627</v>
      </c>
      <c r="B242" s="65">
        <f t="shared" si="1"/>
        <v>70</v>
      </c>
      <c r="C242" s="65" t="str">
        <f t="shared" si="248"/>
        <v>SC-ORIG-K-75x72x8</v>
      </c>
      <c r="D242" s="65" t="s">
        <v>629</v>
      </c>
      <c r="E242" s="65">
        <v>0.0</v>
      </c>
      <c r="F242" s="65" t="s">
        <v>630</v>
      </c>
      <c r="G242" s="65" t="s">
        <v>51</v>
      </c>
      <c r="H242" s="65" t="s">
        <v>52</v>
      </c>
      <c r="I242" s="65">
        <v>20899.0</v>
      </c>
      <c r="J242" s="66">
        <v>0.28</v>
      </c>
      <c r="K242" s="65">
        <f t="shared" si="3"/>
        <v>15047</v>
      </c>
      <c r="L242" s="66">
        <v>0.24</v>
      </c>
      <c r="M242" s="65">
        <f t="shared" si="4"/>
        <v>15883</v>
      </c>
      <c r="N242" s="67">
        <f t="shared" si="249"/>
        <v>0.1900090913</v>
      </c>
      <c r="O242" s="68">
        <v>16928.0</v>
      </c>
      <c r="P242" s="67">
        <f t="shared" si="251"/>
        <v>0.1900090913</v>
      </c>
      <c r="Q242" s="69">
        <v>16928.0</v>
      </c>
      <c r="R242" s="76"/>
      <c r="S242" s="72">
        <f t="shared" si="244"/>
        <v>0.06579361582</v>
      </c>
      <c r="T242" s="72">
        <f t="shared" si="6"/>
        <v>0</v>
      </c>
      <c r="U242" s="73" t="str">
        <f t="shared" si="250"/>
        <v/>
      </c>
      <c r="V242" s="73">
        <f t="shared" si="228"/>
        <v>13460.16949</v>
      </c>
      <c r="W242" s="73">
        <f t="shared" si="9"/>
        <v>13460.16949</v>
      </c>
      <c r="X242" s="74">
        <f t="shared" si="10"/>
        <v>1</v>
      </c>
      <c r="Y242" s="73">
        <f t="shared" si="11"/>
        <v>0</v>
      </c>
      <c r="Z242" s="73">
        <f t="shared" si="12"/>
        <v>14345.76271</v>
      </c>
      <c r="AA242" s="73">
        <f t="shared" si="13"/>
        <v>14345.76271</v>
      </c>
      <c r="AB242" s="74">
        <f t="shared" si="14"/>
        <v>1</v>
      </c>
      <c r="AC242" s="61" t="str">
        <f t="shared" si="15"/>
        <v>8</v>
      </c>
      <c r="AD242" s="71" t="str">
        <f t="shared" si="16"/>
        <v>#DIV/0!</v>
      </c>
      <c r="AE242" s="61"/>
      <c r="AF242" s="61"/>
      <c r="AG242" s="71">
        <f t="array" ref="AG242">IFERROR(xlookup(G242,'Old Master'!T:T,'Old Master'!V:V),N242)</f>
        <v>0.1900090913</v>
      </c>
      <c r="AH242" s="73">
        <f t="shared" si="229"/>
        <v>16928</v>
      </c>
      <c r="AI242" s="73">
        <f t="shared" si="230"/>
        <v>14345.76271</v>
      </c>
      <c r="AJ242" s="72">
        <f t="shared" si="19"/>
        <v>1</v>
      </c>
      <c r="AK242" s="61"/>
      <c r="AL242" s="71">
        <f t="array" ref="AL242">iferror(if(isblank(xlookup($G242,'Old Master'!$T:$T,'Old Master'!$W:$W)),AG242,xlookup($G242,'Old Master'!$T:$T,'Old Master'!$W:$W)),AG242)</f>
        <v>0.1900090913</v>
      </c>
      <c r="AM242" s="74">
        <f t="shared" si="20"/>
        <v>0.1913967175</v>
      </c>
      <c r="AN242" s="73">
        <f t="shared" si="247"/>
        <v>16899</v>
      </c>
    </row>
    <row r="243">
      <c r="A243" s="65" t="s">
        <v>590</v>
      </c>
      <c r="B243" s="65">
        <f t="shared" si="1"/>
        <v>70</v>
      </c>
      <c r="C243" s="65" t="str">
        <f t="shared" si="248"/>
        <v>SC-ORIG-K-78x72x6</v>
      </c>
      <c r="D243" s="65" t="s">
        <v>592</v>
      </c>
      <c r="E243" s="65">
        <v>0.0</v>
      </c>
      <c r="F243" s="65" t="s">
        <v>593</v>
      </c>
      <c r="G243" s="65" t="s">
        <v>51</v>
      </c>
      <c r="H243" s="65" t="s">
        <v>52</v>
      </c>
      <c r="I243" s="65">
        <v>18399.0</v>
      </c>
      <c r="J243" s="66">
        <v>0.28</v>
      </c>
      <c r="K243" s="65">
        <f t="shared" si="3"/>
        <v>13247</v>
      </c>
      <c r="L243" s="66">
        <v>0.24</v>
      </c>
      <c r="M243" s="65">
        <f t="shared" si="4"/>
        <v>13983</v>
      </c>
      <c r="N243" s="67">
        <f t="shared" si="249"/>
        <v>0.1900103266</v>
      </c>
      <c r="O243" s="68">
        <v>14903.0</v>
      </c>
      <c r="P243" s="67">
        <f t="shared" si="251"/>
        <v>0.1900103266</v>
      </c>
      <c r="Q243" s="69">
        <v>14903.0</v>
      </c>
      <c r="R243" s="76"/>
      <c r="S243" s="72">
        <f t="shared" si="244"/>
        <v>0.06579417865</v>
      </c>
      <c r="T243" s="72">
        <f t="shared" si="6"/>
        <v>0</v>
      </c>
      <c r="U243" s="73" t="str">
        <f t="shared" si="250"/>
        <v/>
      </c>
      <c r="V243" s="73">
        <f t="shared" si="228"/>
        <v>11850</v>
      </c>
      <c r="W243" s="73">
        <f t="shared" si="9"/>
        <v>11850</v>
      </c>
      <c r="X243" s="74">
        <f t="shared" si="10"/>
        <v>1</v>
      </c>
      <c r="Y243" s="73">
        <f t="shared" si="11"/>
        <v>0</v>
      </c>
      <c r="Z243" s="73">
        <f t="shared" si="12"/>
        <v>12629.66102</v>
      </c>
      <c r="AA243" s="73">
        <f t="shared" si="13"/>
        <v>12629.66102</v>
      </c>
      <c r="AB243" s="74">
        <f t="shared" si="14"/>
        <v>1</v>
      </c>
      <c r="AC243" s="61" t="str">
        <f t="shared" si="15"/>
        <v>6</v>
      </c>
      <c r="AD243" s="71" t="str">
        <f t="shared" si="16"/>
        <v>#DIV/0!</v>
      </c>
      <c r="AE243" s="61"/>
      <c r="AF243" s="61"/>
      <c r="AG243" s="71">
        <f t="array" ref="AG243">IFERROR(xlookup(G243,'Old Master'!T:T,'Old Master'!V:V),N243)</f>
        <v>0.1900103266</v>
      </c>
      <c r="AH243" s="73">
        <f t="shared" si="229"/>
        <v>14903</v>
      </c>
      <c r="AI243" s="73">
        <f t="shared" si="230"/>
        <v>12629.66102</v>
      </c>
      <c r="AJ243" s="72">
        <f t="shared" si="19"/>
        <v>1</v>
      </c>
      <c r="AK243" s="61"/>
      <c r="AL243" s="71">
        <f t="array" ref="AL243">iferror(if(isblank(xlookup($G243,'Old Master'!$T:$T,'Old Master'!$W:$W)),AG243,xlookup($G243,'Old Master'!$T:$T,'Old Master'!$W:$W)),AG243)</f>
        <v>0.1900103266</v>
      </c>
      <c r="AM243" s="74">
        <f t="shared" si="20"/>
        <v>0.1902277298</v>
      </c>
      <c r="AN243" s="73">
        <f t="shared" si="247"/>
        <v>14899</v>
      </c>
    </row>
    <row r="244">
      <c r="A244" s="65" t="s">
        <v>1146</v>
      </c>
      <c r="B244" s="65" t="str">
        <f t="shared" si="1"/>
        <v>#VALUE!</v>
      </c>
      <c r="C244" s="65" t="str">
        <f t="shared" si="248"/>
        <v>#VALUE!</v>
      </c>
      <c r="D244" s="65" t="s">
        <v>1148</v>
      </c>
      <c r="E244" s="65" t="s">
        <v>1149</v>
      </c>
      <c r="F244" s="65" t="s">
        <v>1150</v>
      </c>
      <c r="G244" s="65" t="s">
        <v>1195</v>
      </c>
      <c r="H244" s="65" t="s">
        <v>5114</v>
      </c>
      <c r="I244" s="65">
        <v>1989.0</v>
      </c>
      <c r="J244" s="66">
        <v>0.2815485168426345</v>
      </c>
      <c r="K244" s="65">
        <f t="shared" si="3"/>
        <v>1429</v>
      </c>
      <c r="L244" s="66">
        <v>0.43</v>
      </c>
      <c r="M244" s="65">
        <f t="shared" si="4"/>
        <v>1134</v>
      </c>
      <c r="N244" s="67">
        <f t="shared" si="249"/>
        <v>0.2815485168</v>
      </c>
      <c r="O244" s="68">
        <v>1429.0</v>
      </c>
      <c r="P244" s="67">
        <f t="shared" si="251"/>
        <v>0.2815485168</v>
      </c>
      <c r="Q244" s="69">
        <v>1429.0</v>
      </c>
      <c r="R244" s="70"/>
      <c r="S244" s="71">
        <f>O244/K244-1</f>
        <v>0</v>
      </c>
      <c r="T244" s="72">
        <f t="shared" si="6"/>
        <v>0</v>
      </c>
      <c r="U244" s="73" t="str">
        <f t="shared" si="250"/>
        <v/>
      </c>
      <c r="V244" s="73">
        <f t="shared" si="228"/>
        <v>961.0169492</v>
      </c>
      <c r="W244" s="73">
        <f t="shared" si="9"/>
        <v>961.0169492</v>
      </c>
      <c r="X244" s="74">
        <f t="shared" si="10"/>
        <v>1</v>
      </c>
      <c r="Y244" s="73">
        <f t="shared" si="11"/>
        <v>0</v>
      </c>
      <c r="Z244" s="73">
        <f t="shared" si="12"/>
        <v>1211.016949</v>
      </c>
      <c r="AA244" s="73">
        <f t="shared" si="13"/>
        <v>1211.016949</v>
      </c>
      <c r="AB244" s="74">
        <f t="shared" si="14"/>
        <v>1</v>
      </c>
      <c r="AC244" s="61" t="str">
        <f t="shared" si="15"/>
        <v>6</v>
      </c>
      <c r="AD244" s="71" t="str">
        <f t="shared" si="16"/>
        <v>#DIV/0!</v>
      </c>
      <c r="AE244" s="61"/>
      <c r="AF244" s="61"/>
      <c r="AG244" s="71">
        <f t="array" ref="AG244">IFERROR(xlookup(G244,'Old Master'!T:T,'Old Master'!V:V),N244)</f>
        <v>0.2815485168</v>
      </c>
      <c r="AH244" s="73">
        <f t="shared" si="229"/>
        <v>1429</v>
      </c>
      <c r="AI244" s="73">
        <f t="shared" si="230"/>
        <v>1211.016949</v>
      </c>
      <c r="AJ244" s="72">
        <f t="shared" si="19"/>
        <v>1</v>
      </c>
      <c r="AK244" s="61"/>
      <c r="AL244" s="71">
        <f t="array" ref="AL244">iferror(if(isblank(xlookup($G244,'Old Master'!$T:$T,'Old Master'!$W:$W)),AG244,xlookup($G244,'Old Master'!$T:$T,'Old Master'!$W:$W)),AG244)</f>
        <v>0.2815485168</v>
      </c>
      <c r="AM244" s="74">
        <f t="shared" si="20"/>
        <v>0.2966314731</v>
      </c>
      <c r="AN244" s="73">
        <f t="shared" si="247"/>
        <v>1399</v>
      </c>
    </row>
    <row r="245">
      <c r="A245" s="65" t="s">
        <v>1677</v>
      </c>
      <c r="B245" s="65">
        <f t="shared" si="1"/>
        <v>78</v>
      </c>
      <c r="C245" s="65" t="str">
        <f t="shared" si="248"/>
        <v>SC-ULTM-K-84x80x10</v>
      </c>
      <c r="D245" s="65" t="s">
        <v>1679</v>
      </c>
      <c r="E245" s="65">
        <v>0.0</v>
      </c>
      <c r="F245" s="65">
        <v>0.0</v>
      </c>
      <c r="G245" s="65" t="s">
        <v>5112</v>
      </c>
      <c r="H245" s="65" t="s">
        <v>52</v>
      </c>
      <c r="I245" s="65">
        <v>35999.0</v>
      </c>
      <c r="J245" s="66">
        <v>0.25</v>
      </c>
      <c r="K245" s="65">
        <f t="shared" si="3"/>
        <v>26999</v>
      </c>
      <c r="L245" s="66">
        <v>0.22</v>
      </c>
      <c r="M245" s="65">
        <f t="shared" si="4"/>
        <v>28079</v>
      </c>
      <c r="N245" s="67">
        <f t="shared" si="249"/>
        <v>0.1000027779</v>
      </c>
      <c r="O245" s="68">
        <v>32399.0</v>
      </c>
      <c r="P245" s="67">
        <f t="shared" si="251"/>
        <v>0.1000027779</v>
      </c>
      <c r="Q245" s="69">
        <v>32399.0</v>
      </c>
      <c r="R245" s="70"/>
      <c r="S245" s="71">
        <f t="shared" ref="S245:S248" si="252">O245/M245-1</f>
        <v>0.1538516329</v>
      </c>
      <c r="T245" s="72">
        <f t="shared" si="6"/>
        <v>0</v>
      </c>
      <c r="U245" s="73" t="str">
        <f t="shared" si="250"/>
        <v/>
      </c>
      <c r="V245" s="73">
        <f t="shared" si="228"/>
        <v>23795.76271</v>
      </c>
      <c r="W245" s="73">
        <f t="shared" si="9"/>
        <v>23795.76271</v>
      </c>
      <c r="X245" s="74">
        <f t="shared" si="10"/>
        <v>1</v>
      </c>
      <c r="Y245" s="73">
        <f t="shared" si="11"/>
        <v>0</v>
      </c>
      <c r="Z245" s="73">
        <f t="shared" si="12"/>
        <v>27456.77966</v>
      </c>
      <c r="AA245" s="73">
        <f t="shared" si="13"/>
        <v>27456.77966</v>
      </c>
      <c r="AB245" s="74">
        <f t="shared" si="14"/>
        <v>1</v>
      </c>
      <c r="AC245" s="61" t="str">
        <f t="shared" si="15"/>
        <v>0</v>
      </c>
      <c r="AD245" s="71" t="str">
        <f t="shared" si="16"/>
        <v>#DIV/0!</v>
      </c>
      <c r="AE245" s="61"/>
      <c r="AF245" s="61"/>
      <c r="AG245" s="71">
        <f t="array" ref="AG245">IFERROR(xlookup(G245,'Old Master'!T:T,'Old Master'!V:V),N245)</f>
        <v>0.1000027779</v>
      </c>
      <c r="AH245" s="73">
        <f t="shared" si="229"/>
        <v>32399</v>
      </c>
      <c r="AI245" s="73">
        <f t="shared" si="230"/>
        <v>27456.77966</v>
      </c>
      <c r="AJ245" s="72">
        <f t="shared" si="19"/>
        <v>1</v>
      </c>
      <c r="AK245" s="61"/>
      <c r="AL245" s="71">
        <f t="array" ref="AL245">iferror(if(isblank(xlookup($G245,'Old Master'!$T:$T,'Old Master'!$W:$W)),AG245,xlookup($G245,'Old Master'!$T:$T,'Old Master'!$W:$W)),AG245)</f>
        <v>0.1000027779</v>
      </c>
      <c r="AM245" s="74">
        <f t="shared" si="20"/>
        <v>0.1000027779</v>
      </c>
      <c r="AN245" s="73">
        <f t="shared" si="247"/>
        <v>32399</v>
      </c>
    </row>
    <row r="246">
      <c r="A246" s="65" t="s">
        <v>1520</v>
      </c>
      <c r="B246" s="65">
        <f t="shared" si="1"/>
        <v>30</v>
      </c>
      <c r="C246" s="65" t="str">
        <f t="shared" si="248"/>
        <v>SC-ULTM-S-72x32x8</v>
      </c>
      <c r="D246" s="65" t="s">
        <v>1522</v>
      </c>
      <c r="E246" s="65" t="s">
        <v>1520</v>
      </c>
      <c r="F246" s="65" t="s">
        <v>1520</v>
      </c>
      <c r="G246" s="65" t="s">
        <v>5112</v>
      </c>
      <c r="H246" s="65" t="s">
        <v>52</v>
      </c>
      <c r="I246" s="65">
        <v>13999.0</v>
      </c>
      <c r="J246" s="66">
        <v>0.25</v>
      </c>
      <c r="K246" s="65">
        <f t="shared" si="3"/>
        <v>10499</v>
      </c>
      <c r="L246" s="66">
        <v>0.22</v>
      </c>
      <c r="M246" s="65">
        <f t="shared" si="4"/>
        <v>10919</v>
      </c>
      <c r="N246" s="67">
        <f t="shared" si="249"/>
        <v>0.1000071434</v>
      </c>
      <c r="O246" s="68">
        <v>12599.0</v>
      </c>
      <c r="P246" s="67">
        <f t="shared" si="251"/>
        <v>0.1000071434</v>
      </c>
      <c r="Q246" s="69">
        <v>12599.0</v>
      </c>
      <c r="R246" s="70"/>
      <c r="S246" s="71">
        <f t="shared" si="252"/>
        <v>0.1538602436</v>
      </c>
      <c r="T246" s="72">
        <f t="shared" si="6"/>
        <v>0</v>
      </c>
      <c r="U246" s="73" t="str">
        <f t="shared" si="250"/>
        <v/>
      </c>
      <c r="V246" s="73">
        <f t="shared" si="228"/>
        <v>9253.389831</v>
      </c>
      <c r="W246" s="73">
        <f t="shared" si="9"/>
        <v>9253.389831</v>
      </c>
      <c r="X246" s="74">
        <f t="shared" si="10"/>
        <v>1</v>
      </c>
      <c r="Y246" s="73">
        <f t="shared" si="11"/>
        <v>0</v>
      </c>
      <c r="Z246" s="73">
        <f t="shared" si="12"/>
        <v>10677.11864</v>
      </c>
      <c r="AA246" s="73">
        <f t="shared" si="13"/>
        <v>10677.11864</v>
      </c>
      <c r="AB246" s="74">
        <f t="shared" si="14"/>
        <v>1</v>
      </c>
      <c r="AC246" s="61" t="str">
        <f t="shared" si="15"/>
        <v>8</v>
      </c>
      <c r="AD246" s="71" t="str">
        <f t="shared" si="16"/>
        <v>#DIV/0!</v>
      </c>
      <c r="AE246" s="61"/>
      <c r="AF246" s="61"/>
      <c r="AG246" s="71">
        <f t="array" ref="AG246">IFERROR(xlookup(G246,'Old Master'!T:T,'Old Master'!V:V),N246)</f>
        <v>0.1000071434</v>
      </c>
      <c r="AH246" s="73">
        <f t="shared" si="229"/>
        <v>12599</v>
      </c>
      <c r="AI246" s="73">
        <f t="shared" si="230"/>
        <v>10677.11864</v>
      </c>
      <c r="AJ246" s="72">
        <f t="shared" si="19"/>
        <v>1</v>
      </c>
      <c r="AK246" s="61"/>
      <c r="AL246" s="71">
        <f t="array" ref="AL246">iferror(if(isblank(xlookup($G246,'Old Master'!$T:$T,'Old Master'!$W:$W)),AG246,xlookup($G246,'Old Master'!$T:$T,'Old Master'!$W:$W)),AG246)</f>
        <v>0.1000071434</v>
      </c>
      <c r="AM246" s="74">
        <f t="shared" si="20"/>
        <v>0.1000071434</v>
      </c>
      <c r="AN246" s="73">
        <f t="shared" si="247"/>
        <v>12599</v>
      </c>
    </row>
    <row r="247">
      <c r="A247" s="65" t="s">
        <v>1600</v>
      </c>
      <c r="B247" s="65">
        <f t="shared" si="1"/>
        <v>66</v>
      </c>
      <c r="C247" s="65" t="str">
        <f t="shared" si="248"/>
        <v>SC-ULTM-Q-72x68x8</v>
      </c>
      <c r="D247" s="65">
        <v>0.0</v>
      </c>
      <c r="E247" s="65">
        <v>0.0</v>
      </c>
      <c r="F247" s="65" t="s">
        <v>1603</v>
      </c>
      <c r="G247" s="65" t="s">
        <v>5112</v>
      </c>
      <c r="H247" s="65" t="s">
        <v>52</v>
      </c>
      <c r="I247" s="65">
        <v>25999.0</v>
      </c>
      <c r="J247" s="66">
        <v>0.0</v>
      </c>
      <c r="K247" s="65">
        <f t="shared" si="3"/>
        <v>25999</v>
      </c>
      <c r="L247" s="66">
        <v>0.0</v>
      </c>
      <c r="M247" s="65">
        <f t="shared" si="4"/>
        <v>25999</v>
      </c>
      <c r="N247" s="67">
        <f t="shared" si="249"/>
        <v>0.1000038463</v>
      </c>
      <c r="O247" s="68">
        <v>23399.0</v>
      </c>
      <c r="P247" s="67">
        <f t="shared" si="251"/>
        <v>0.1000038463</v>
      </c>
      <c r="Q247" s="69">
        <v>23399.0</v>
      </c>
      <c r="R247" s="70"/>
      <c r="S247" s="71">
        <f t="shared" si="252"/>
        <v>-0.1000038463</v>
      </c>
      <c r="T247" s="72">
        <f t="shared" si="6"/>
        <v>0</v>
      </c>
      <c r="U247" s="73" t="str">
        <f t="shared" si="250"/>
        <v/>
      </c>
      <c r="V247" s="73">
        <f t="shared" si="228"/>
        <v>22033.05085</v>
      </c>
      <c r="W247" s="73">
        <f t="shared" si="9"/>
        <v>22033.05085</v>
      </c>
      <c r="X247" s="74">
        <f t="shared" si="10"/>
        <v>1</v>
      </c>
      <c r="Y247" s="73">
        <f t="shared" si="11"/>
        <v>0</v>
      </c>
      <c r="Z247" s="73">
        <f t="shared" si="12"/>
        <v>19829.66102</v>
      </c>
      <c r="AA247" s="73">
        <f t="shared" si="13"/>
        <v>19829.66102</v>
      </c>
      <c r="AB247" s="74">
        <f t="shared" si="14"/>
        <v>1</v>
      </c>
      <c r="AC247" s="61" t="str">
        <f t="shared" si="15"/>
        <v>8</v>
      </c>
      <c r="AD247" s="71" t="str">
        <f t="shared" si="16"/>
        <v>#DIV/0!</v>
      </c>
      <c r="AE247" s="61"/>
      <c r="AF247" s="61"/>
      <c r="AG247" s="71">
        <f t="array" ref="AG247">IFERROR(xlookup(G247,'Old Master'!T:T,'Old Master'!V:V),N247)</f>
        <v>0.1000038463</v>
      </c>
      <c r="AH247" s="73">
        <f t="shared" si="229"/>
        <v>23399</v>
      </c>
      <c r="AI247" s="73">
        <f t="shared" si="230"/>
        <v>19829.66102</v>
      </c>
      <c r="AJ247" s="72">
        <f t="shared" si="19"/>
        <v>1</v>
      </c>
      <c r="AK247" s="61"/>
      <c r="AL247" s="71">
        <f t="array" ref="AL247">iferror(if(isblank(xlookup($G247,'Old Master'!$T:$T,'Old Master'!$W:$W)),AG247,xlookup($G247,'Old Master'!$T:$T,'Old Master'!$W:$W)),AG247)</f>
        <v>0.1000038463</v>
      </c>
      <c r="AM247" s="74">
        <f t="shared" si="20"/>
        <v>0.1000038463</v>
      </c>
      <c r="AN247" s="73">
        <f t="shared" si="247"/>
        <v>23399</v>
      </c>
    </row>
    <row r="248">
      <c r="A248" s="65" t="s">
        <v>2189</v>
      </c>
      <c r="B248" s="65">
        <f t="shared" si="1"/>
        <v>28</v>
      </c>
      <c r="C248" s="65" t="str">
        <f t="shared" si="248"/>
        <v>SC-BABY-S-52x30x4</v>
      </c>
      <c r="D248" s="65" t="s">
        <v>5359</v>
      </c>
      <c r="E248" s="65" t="s">
        <v>2193</v>
      </c>
      <c r="F248" s="65" t="s">
        <v>2194</v>
      </c>
      <c r="G248" s="65" t="s">
        <v>5093</v>
      </c>
      <c r="H248" s="65" t="s">
        <v>52</v>
      </c>
      <c r="I248" s="65">
        <v>3999.0</v>
      </c>
      <c r="J248" s="66">
        <v>0.3</v>
      </c>
      <c r="K248" s="65">
        <f t="shared" si="3"/>
        <v>2799</v>
      </c>
      <c r="L248" s="66">
        <v>0.3</v>
      </c>
      <c r="M248" s="65">
        <f t="shared" si="4"/>
        <v>2799</v>
      </c>
      <c r="N248" s="67">
        <f t="shared" si="249"/>
        <v>0.2500625156</v>
      </c>
      <c r="O248" s="68">
        <v>2999.0</v>
      </c>
      <c r="P248" s="67">
        <f t="shared" si="251"/>
        <v>0.2500625156</v>
      </c>
      <c r="Q248" s="69">
        <v>2999.0</v>
      </c>
      <c r="R248" s="70"/>
      <c r="S248" s="71">
        <f t="shared" si="252"/>
        <v>0.07145409075</v>
      </c>
      <c r="T248" s="72">
        <f t="shared" si="6"/>
        <v>0</v>
      </c>
      <c r="U248" s="73" t="str">
        <f t="shared" si="250"/>
        <v/>
      </c>
      <c r="V248" s="73">
        <f t="shared" si="228"/>
        <v>2372.033898</v>
      </c>
      <c r="W248" s="73">
        <f t="shared" si="9"/>
        <v>2372.033898</v>
      </c>
      <c r="X248" s="74">
        <f t="shared" si="10"/>
        <v>1</v>
      </c>
      <c r="Y248" s="73">
        <f t="shared" si="11"/>
        <v>0</v>
      </c>
      <c r="Z248" s="73">
        <f t="shared" si="12"/>
        <v>2541.525424</v>
      </c>
      <c r="AA248" s="73">
        <f t="shared" si="13"/>
        <v>2541.525424</v>
      </c>
      <c r="AB248" s="74">
        <f t="shared" si="14"/>
        <v>1</v>
      </c>
      <c r="AC248" s="61" t="str">
        <f t="shared" si="15"/>
        <v>4</v>
      </c>
      <c r="AD248" s="71" t="str">
        <f t="shared" si="16"/>
        <v>#DIV/0!</v>
      </c>
      <c r="AE248" s="61"/>
      <c r="AF248" s="61"/>
      <c r="AG248" s="71">
        <f t="array" ref="AG248">IFERROR(xlookup(G248,'Old Master'!T:T,'Old Master'!V:V),N248)</f>
        <v>0.2500625156</v>
      </c>
      <c r="AH248" s="73">
        <f t="shared" si="229"/>
        <v>2999</v>
      </c>
      <c r="AI248" s="73">
        <f t="shared" si="230"/>
        <v>2541.525424</v>
      </c>
      <c r="AJ248" s="72">
        <f t="shared" si="19"/>
        <v>1</v>
      </c>
      <c r="AK248" s="61"/>
      <c r="AL248" s="71">
        <f t="array" ref="AL248">iferror(if(isblank(xlookup($G248,'Old Master'!$T:$T,'Old Master'!$W:$W)),AG248,xlookup($G248,'Old Master'!$T:$T,'Old Master'!$W:$W)),AG248)</f>
        <v>0.2500625156</v>
      </c>
      <c r="AM248" s="74">
        <f t="shared" si="20"/>
        <v>0.2500625156</v>
      </c>
      <c r="AN248" s="73">
        <f t="shared" si="247"/>
        <v>2999</v>
      </c>
    </row>
    <row r="249">
      <c r="A249" s="65" t="s">
        <v>1498</v>
      </c>
      <c r="B249" s="65" t="str">
        <f t="shared" si="1"/>
        <v>#VALUE!</v>
      </c>
      <c r="C249" s="65" t="str">
        <f t="shared" si="248"/>
        <v>#VALUE!</v>
      </c>
      <c r="D249" s="65" t="s">
        <v>1500</v>
      </c>
      <c r="E249" s="65" t="s">
        <v>1498</v>
      </c>
      <c r="F249" s="65">
        <v>0.0</v>
      </c>
      <c r="G249" s="65" t="s">
        <v>5078</v>
      </c>
      <c r="H249" s="65" t="s">
        <v>4730</v>
      </c>
      <c r="I249" s="65">
        <v>649.0</v>
      </c>
      <c r="J249" s="66">
        <v>0.1</v>
      </c>
      <c r="K249" s="65">
        <f t="shared" si="3"/>
        <v>584</v>
      </c>
      <c r="L249" s="66">
        <v>0.1</v>
      </c>
      <c r="M249" s="65">
        <f t="shared" si="4"/>
        <v>584</v>
      </c>
      <c r="N249" s="67">
        <f t="shared" si="249"/>
        <v>0</v>
      </c>
      <c r="O249" s="78">
        <v>649.0</v>
      </c>
      <c r="P249" s="67">
        <f t="shared" si="251"/>
        <v>0</v>
      </c>
      <c r="Q249" s="79">
        <v>649.0</v>
      </c>
      <c r="R249" s="70"/>
      <c r="S249" s="71">
        <f t="shared" ref="S249:S253" si="253">O249/K249-1</f>
        <v>0.1113013699</v>
      </c>
      <c r="T249" s="72">
        <f t="shared" si="6"/>
        <v>0</v>
      </c>
      <c r="U249" s="73" t="str">
        <f t="shared" si="250"/>
        <v/>
      </c>
      <c r="V249" s="73">
        <f t="shared" si="228"/>
        <v>494.9152542</v>
      </c>
      <c r="W249" s="73">
        <f t="shared" si="9"/>
        <v>494.9152542</v>
      </c>
      <c r="X249" s="74">
        <f t="shared" si="10"/>
        <v>1</v>
      </c>
      <c r="Y249" s="73">
        <f t="shared" si="11"/>
        <v>0</v>
      </c>
      <c r="Z249" s="73">
        <f t="shared" si="12"/>
        <v>550</v>
      </c>
      <c r="AA249" s="73">
        <f t="shared" si="13"/>
        <v>550</v>
      </c>
      <c r="AB249" s="74">
        <f t="shared" si="14"/>
        <v>1</v>
      </c>
      <c r="AC249" s="61" t="str">
        <f t="shared" si="15"/>
        <v>8</v>
      </c>
      <c r="AD249" s="71" t="str">
        <f t="shared" si="16"/>
        <v>#DIV/0!</v>
      </c>
      <c r="AE249" s="61"/>
      <c r="AF249" s="61"/>
      <c r="AG249" s="71">
        <f t="array" ref="AG249">IFERROR(xlookup(G249,'Old Master'!T:T,'Old Master'!V:V),N249)</f>
        <v>0</v>
      </c>
      <c r="AH249" s="73">
        <f t="shared" si="229"/>
        <v>649</v>
      </c>
      <c r="AI249" s="73">
        <f t="shared" si="230"/>
        <v>550</v>
      </c>
      <c r="AJ249" s="72">
        <f t="shared" si="19"/>
        <v>1</v>
      </c>
      <c r="AK249" s="61"/>
      <c r="AL249" s="71">
        <f t="array" ref="AL249">iferror(if(isblank(xlookup($G249,'Old Master'!$T:$T,'Old Master'!$W:$W)),AG249,xlookup($G249,'Old Master'!$T:$T,'Old Master'!$W:$W)),AG249)</f>
        <v>0</v>
      </c>
      <c r="AM249" s="74">
        <f t="shared" si="20"/>
        <v>0</v>
      </c>
      <c r="AN249" s="73">
        <f t="shared" ref="AN249:AN251" si="254">O249</f>
        <v>649</v>
      </c>
    </row>
    <row r="250">
      <c r="A250" s="65" t="s">
        <v>1513</v>
      </c>
      <c r="B250" s="65" t="str">
        <f t="shared" si="1"/>
        <v>#VALUE!</v>
      </c>
      <c r="C250" s="65" t="str">
        <f t="shared" si="248"/>
        <v>#VALUE!</v>
      </c>
      <c r="D250" s="65" t="s">
        <v>1515</v>
      </c>
      <c r="E250" s="65" t="s">
        <v>1513</v>
      </c>
      <c r="F250" s="65" t="s">
        <v>1517</v>
      </c>
      <c r="G250" s="65" t="s">
        <v>5078</v>
      </c>
      <c r="H250" s="65" t="s">
        <v>4730</v>
      </c>
      <c r="I250" s="65">
        <v>549.0</v>
      </c>
      <c r="J250" s="66">
        <v>0.1</v>
      </c>
      <c r="K250" s="65">
        <f t="shared" si="3"/>
        <v>494</v>
      </c>
      <c r="L250" s="66">
        <v>0.1</v>
      </c>
      <c r="M250" s="65">
        <f t="shared" si="4"/>
        <v>494</v>
      </c>
      <c r="N250" s="67">
        <f t="shared" si="249"/>
        <v>0</v>
      </c>
      <c r="O250" s="78">
        <v>549.0</v>
      </c>
      <c r="P250" s="67">
        <f t="shared" si="251"/>
        <v>0</v>
      </c>
      <c r="Q250" s="79">
        <v>549.0</v>
      </c>
      <c r="R250" s="70"/>
      <c r="S250" s="71">
        <f t="shared" si="253"/>
        <v>0.1113360324</v>
      </c>
      <c r="T250" s="72">
        <f t="shared" si="6"/>
        <v>0</v>
      </c>
      <c r="U250" s="73" t="str">
        <f t="shared" si="250"/>
        <v/>
      </c>
      <c r="V250" s="73">
        <f t="shared" si="228"/>
        <v>418.6440678</v>
      </c>
      <c r="W250" s="73">
        <f t="shared" si="9"/>
        <v>418.6440678</v>
      </c>
      <c r="X250" s="74">
        <f t="shared" si="10"/>
        <v>1</v>
      </c>
      <c r="Y250" s="73">
        <f t="shared" si="11"/>
        <v>0</v>
      </c>
      <c r="Z250" s="73">
        <f t="shared" si="12"/>
        <v>465.2542373</v>
      </c>
      <c r="AA250" s="73">
        <f t="shared" si="13"/>
        <v>465.2542373</v>
      </c>
      <c r="AB250" s="74">
        <f t="shared" si="14"/>
        <v>1</v>
      </c>
      <c r="AC250" s="61" t="str">
        <f t="shared" si="15"/>
        <v>8</v>
      </c>
      <c r="AD250" s="71" t="str">
        <f t="shared" si="16"/>
        <v>#DIV/0!</v>
      </c>
      <c r="AE250" s="61"/>
      <c r="AF250" s="61"/>
      <c r="AG250" s="71">
        <f t="array" ref="AG250">IFERROR(xlookup(G250,'Old Master'!T:T,'Old Master'!V:V),N250)</f>
        <v>0</v>
      </c>
      <c r="AH250" s="73">
        <f t="shared" si="229"/>
        <v>549</v>
      </c>
      <c r="AI250" s="73">
        <f t="shared" si="230"/>
        <v>465.2542373</v>
      </c>
      <c r="AJ250" s="72">
        <f t="shared" si="19"/>
        <v>1</v>
      </c>
      <c r="AK250" s="61"/>
      <c r="AL250" s="71">
        <f t="array" ref="AL250">iferror(if(isblank(xlookup($G250,'Old Master'!$T:$T,'Old Master'!$W:$W)),AG250,xlookup($G250,'Old Master'!$T:$T,'Old Master'!$W:$W)),AG250)</f>
        <v>0</v>
      </c>
      <c r="AM250" s="74">
        <f t="shared" si="20"/>
        <v>0</v>
      </c>
      <c r="AN250" s="73">
        <f t="shared" si="254"/>
        <v>549</v>
      </c>
    </row>
    <row r="251">
      <c r="A251" s="65" t="s">
        <v>2012</v>
      </c>
      <c r="B251" s="65" t="str">
        <f t="shared" si="1"/>
        <v>#VALUE!</v>
      </c>
      <c r="C251" s="65" t="str">
        <f t="shared" si="248"/>
        <v>#VALUE!</v>
      </c>
      <c r="D251" s="65" t="s">
        <v>2014</v>
      </c>
      <c r="E251" s="65" t="s">
        <v>2015</v>
      </c>
      <c r="F251" s="65" t="s">
        <v>2016</v>
      </c>
      <c r="G251" s="65" t="s">
        <v>5132</v>
      </c>
      <c r="H251" s="65" t="s">
        <v>4730</v>
      </c>
      <c r="I251" s="65">
        <v>7499.0</v>
      </c>
      <c r="J251" s="66">
        <v>0.3507134284571276</v>
      </c>
      <c r="K251" s="65">
        <f t="shared" si="3"/>
        <v>4869</v>
      </c>
      <c r="L251" s="66">
        <v>0.15</v>
      </c>
      <c r="M251" s="65">
        <f t="shared" si="4"/>
        <v>6374</v>
      </c>
      <c r="N251" s="67">
        <f t="shared" si="249"/>
        <v>0.2507000933</v>
      </c>
      <c r="O251" s="68">
        <v>5619.0</v>
      </c>
      <c r="P251" s="67">
        <f t="shared" si="251"/>
        <v>0.2507000933</v>
      </c>
      <c r="Q251" s="69">
        <v>5619.0</v>
      </c>
      <c r="R251" s="70"/>
      <c r="S251" s="71">
        <f t="shared" si="253"/>
        <v>0.1540357363</v>
      </c>
      <c r="T251" s="72">
        <f t="shared" si="6"/>
        <v>0</v>
      </c>
      <c r="U251" s="73" t="str">
        <f t="shared" si="250"/>
        <v/>
      </c>
      <c r="V251" s="73">
        <f t="shared" ref="V251:V253" si="255">K251/1.18</f>
        <v>4126.271186</v>
      </c>
      <c r="W251" s="73">
        <f t="shared" si="9"/>
        <v>4126.271186</v>
      </c>
      <c r="X251" s="74">
        <f t="shared" si="10"/>
        <v>1</v>
      </c>
      <c r="Y251" s="73">
        <f t="shared" si="11"/>
        <v>0</v>
      </c>
      <c r="Z251" s="73">
        <f t="shared" si="12"/>
        <v>4761.864407</v>
      </c>
      <c r="AA251" s="73">
        <f t="shared" si="13"/>
        <v>4761.864407</v>
      </c>
      <c r="AB251" s="74">
        <f t="shared" si="14"/>
        <v>1</v>
      </c>
      <c r="AC251" s="61" t="str">
        <f t="shared" si="15"/>
        <v>2</v>
      </c>
      <c r="AD251" s="71" t="str">
        <f t="shared" si="16"/>
        <v>#DIV/0!</v>
      </c>
      <c r="AE251" s="61"/>
      <c r="AF251" s="61"/>
      <c r="AG251" s="71">
        <f t="array" ref="AG251">IFERROR(xlookup(G251,'Old Master'!T:T,'Old Master'!V:V),N251)</f>
        <v>0.2507000933</v>
      </c>
      <c r="AH251" s="73">
        <f t="shared" si="229"/>
        <v>5619</v>
      </c>
      <c r="AI251" s="73">
        <f t="shared" si="230"/>
        <v>4761.864407</v>
      </c>
      <c r="AJ251" s="72">
        <f t="shared" si="19"/>
        <v>1</v>
      </c>
      <c r="AK251" s="61"/>
      <c r="AL251" s="71">
        <f t="array" ref="AL251">iferror(if(isblank(xlookup($G251,'Old Master'!$T:$T,'Old Master'!$W:$W)),AG251,xlookup($G251,'Old Master'!$T:$T,'Old Master'!$W:$W)),AG251)</f>
        <v>0.2507000933</v>
      </c>
      <c r="AM251" s="74">
        <f t="shared" si="20"/>
        <v>0.2507000933</v>
      </c>
      <c r="AN251" s="73">
        <f t="shared" si="254"/>
        <v>5619</v>
      </c>
    </row>
    <row r="252">
      <c r="A252" s="65" t="s">
        <v>1987</v>
      </c>
      <c r="B252" s="65" t="str">
        <f t="shared" si="1"/>
        <v>#VALUE!</v>
      </c>
      <c r="C252" s="65" t="str">
        <f t="shared" si="248"/>
        <v>#VALUE!</v>
      </c>
      <c r="D252" s="65" t="s">
        <v>1989</v>
      </c>
      <c r="E252" s="65" t="s">
        <v>1991</v>
      </c>
      <c r="F252" s="65" t="s">
        <v>1992</v>
      </c>
      <c r="G252" s="65" t="s">
        <v>5132</v>
      </c>
      <c r="H252" s="65" t="s">
        <v>4730</v>
      </c>
      <c r="I252" s="65">
        <v>6499.0</v>
      </c>
      <c r="J252" s="66">
        <v>0.3507134284571276</v>
      </c>
      <c r="K252" s="65">
        <f t="shared" si="3"/>
        <v>4220</v>
      </c>
      <c r="L252" s="66">
        <v>0.15</v>
      </c>
      <c r="M252" s="65">
        <f t="shared" si="4"/>
        <v>5524</v>
      </c>
      <c r="N252" s="67">
        <f t="shared" si="249"/>
        <v>0.2506539468</v>
      </c>
      <c r="O252" s="68">
        <v>4870.0</v>
      </c>
      <c r="P252" s="67">
        <f t="shared" si="251"/>
        <v>0.2506539468</v>
      </c>
      <c r="Q252" s="69">
        <v>4870.0</v>
      </c>
      <c r="R252" s="70"/>
      <c r="S252" s="71">
        <f t="shared" si="253"/>
        <v>0.154028436</v>
      </c>
      <c r="T252" s="72">
        <f t="shared" si="6"/>
        <v>0</v>
      </c>
      <c r="U252" s="73" t="str">
        <f t="shared" si="250"/>
        <v/>
      </c>
      <c r="V252" s="73">
        <f t="shared" si="255"/>
        <v>3576.271186</v>
      </c>
      <c r="W252" s="73">
        <f t="shared" si="9"/>
        <v>3576.271186</v>
      </c>
      <c r="X252" s="74">
        <f t="shared" si="10"/>
        <v>1</v>
      </c>
      <c r="Y252" s="73">
        <f t="shared" si="11"/>
        <v>0</v>
      </c>
      <c r="Z252" s="73">
        <f t="shared" si="12"/>
        <v>4127.118644</v>
      </c>
      <c r="AA252" s="73">
        <f t="shared" si="13"/>
        <v>4127.118644</v>
      </c>
      <c r="AB252" s="74">
        <f t="shared" si="14"/>
        <v>1</v>
      </c>
      <c r="AC252" s="61" t="str">
        <f t="shared" si="15"/>
        <v>0</v>
      </c>
      <c r="AD252" s="71" t="str">
        <f t="shared" si="16"/>
        <v>#DIV/0!</v>
      </c>
      <c r="AE252" s="61"/>
      <c r="AF252" s="61"/>
      <c r="AG252" s="71">
        <f t="array" ref="AG252">IFERROR(xlookup(G252,'Old Master'!T:T,'Old Master'!V:V),N252)</f>
        <v>0.2506539468</v>
      </c>
      <c r="AH252" s="73">
        <f t="shared" si="229"/>
        <v>4870</v>
      </c>
      <c r="AI252" s="73">
        <f t="shared" si="230"/>
        <v>4127.118644</v>
      </c>
      <c r="AJ252" s="72">
        <f t="shared" si="19"/>
        <v>1</v>
      </c>
      <c r="AK252" s="61"/>
      <c r="AL252" s="71">
        <f t="array" ref="AL252">iferror(if(isblank(xlookup($G252,'Old Master'!$T:$T,'Old Master'!$W:$W)),AG252,xlookup($G252,'Old Master'!$T:$T,'Old Master'!$W:$W)),AG252)</f>
        <v>0.2506539468</v>
      </c>
      <c r="AM252" s="74">
        <f t="shared" si="20"/>
        <v>0.2461917218</v>
      </c>
      <c r="AN252" s="73">
        <f>mround($I252*(1-AL252),100)-1</f>
        <v>4899</v>
      </c>
    </row>
    <row r="253">
      <c r="A253" s="65" t="s">
        <v>2138</v>
      </c>
      <c r="B253" s="65" t="str">
        <f t="shared" si="1"/>
        <v>#VALUE!</v>
      </c>
      <c r="C253" s="65" t="str">
        <f t="shared" si="248"/>
        <v>#VALUE!</v>
      </c>
      <c r="D253" s="65" t="s">
        <v>2140</v>
      </c>
      <c r="E253" s="65">
        <v>0.0</v>
      </c>
      <c r="F253" s="65">
        <v>0.0</v>
      </c>
      <c r="G253" s="65" t="s">
        <v>5103</v>
      </c>
      <c r="H253" s="65" t="s">
        <v>4730</v>
      </c>
      <c r="I253" s="65">
        <v>4499.0</v>
      </c>
      <c r="J253" s="66">
        <v>0.3</v>
      </c>
      <c r="K253" s="65">
        <f t="shared" si="3"/>
        <v>3149</v>
      </c>
      <c r="L253" s="66">
        <v>0.3</v>
      </c>
      <c r="M253" s="65">
        <f t="shared" si="4"/>
        <v>3149</v>
      </c>
      <c r="N253" s="67">
        <f t="shared" si="249"/>
        <v>0.2</v>
      </c>
      <c r="O253" s="78">
        <v>3599.2000000000003</v>
      </c>
      <c r="P253" s="67">
        <f t="shared" si="251"/>
        <v>0.2</v>
      </c>
      <c r="Q253" s="82">
        <v>3599.2000000000003</v>
      </c>
      <c r="R253" s="70"/>
      <c r="S253" s="71">
        <f t="shared" si="253"/>
        <v>0.142966021</v>
      </c>
      <c r="T253" s="72">
        <f t="shared" si="6"/>
        <v>0</v>
      </c>
      <c r="U253" s="73" t="str">
        <f t="shared" si="250"/>
        <v/>
      </c>
      <c r="V253" s="73">
        <f t="shared" si="255"/>
        <v>2668.644068</v>
      </c>
      <c r="W253" s="73">
        <f t="shared" si="9"/>
        <v>2668.644068</v>
      </c>
      <c r="X253" s="74">
        <f t="shared" si="10"/>
        <v>1</v>
      </c>
      <c r="Y253" s="73">
        <f t="shared" si="11"/>
        <v>0</v>
      </c>
      <c r="Z253" s="73">
        <f t="shared" si="12"/>
        <v>3050.169492</v>
      </c>
      <c r="AA253" s="73">
        <f t="shared" si="13"/>
        <v>3050.169492</v>
      </c>
      <c r="AB253" s="74">
        <f t="shared" si="14"/>
        <v>1</v>
      </c>
      <c r="AC253" s="61" t="str">
        <f t="shared" si="15"/>
        <v>6</v>
      </c>
      <c r="AD253" s="71" t="str">
        <f t="shared" si="16"/>
        <v>#DIV/0!</v>
      </c>
      <c r="AE253" s="61"/>
      <c r="AF253" s="61"/>
      <c r="AG253" s="71">
        <f t="array" ref="AG253">IFERROR(xlookup(G253,'Old Master'!T:T,'Old Master'!V:V),N253)</f>
        <v>0.2</v>
      </c>
      <c r="AH253" s="73">
        <f t="shared" si="229"/>
        <v>3599.2</v>
      </c>
      <c r="AI253" s="73">
        <f t="shared" si="230"/>
        <v>3050.169492</v>
      </c>
      <c r="AJ253" s="72">
        <f t="shared" si="19"/>
        <v>1</v>
      </c>
      <c r="AK253" s="61"/>
      <c r="AL253" s="71">
        <f t="array" ref="AL253">iferror(if(isblank(xlookup($G253,'Old Master'!$T:$T,'Old Master'!$W:$W)),AG253,xlookup($G253,'Old Master'!$T:$T,'Old Master'!$W:$W)),AG253)</f>
        <v>0.2</v>
      </c>
      <c r="AM253" s="74">
        <f t="shared" si="20"/>
        <v>0.2</v>
      </c>
      <c r="AN253" s="73">
        <f>O253</f>
        <v>3599.2</v>
      </c>
    </row>
    <row r="254">
      <c r="A254" s="65" t="s">
        <v>505</v>
      </c>
      <c r="B254" s="65">
        <f t="shared" si="1"/>
        <v>66</v>
      </c>
      <c r="C254" s="65" t="str">
        <f t="shared" si="248"/>
        <v>SC-ORIG-Q-75x68x5</v>
      </c>
      <c r="D254" s="65" t="s">
        <v>507</v>
      </c>
      <c r="E254" s="65">
        <v>0.0</v>
      </c>
      <c r="F254" s="65" t="s">
        <v>508</v>
      </c>
      <c r="G254" s="65" t="s">
        <v>51</v>
      </c>
      <c r="H254" s="65" t="s">
        <v>52</v>
      </c>
      <c r="I254" s="65">
        <v>15969.0</v>
      </c>
      <c r="J254" s="66">
        <v>0.28</v>
      </c>
      <c r="K254" s="65">
        <f t="shared" si="3"/>
        <v>11498</v>
      </c>
      <c r="L254" s="66">
        <v>0.24</v>
      </c>
      <c r="M254" s="65">
        <f t="shared" si="4"/>
        <v>12136</v>
      </c>
      <c r="N254" s="67">
        <f t="shared" si="249"/>
        <v>0.1899931117</v>
      </c>
      <c r="O254" s="68">
        <v>12935.0</v>
      </c>
      <c r="P254" s="67">
        <f t="shared" si="251"/>
        <v>0.1899931117</v>
      </c>
      <c r="Q254" s="69">
        <v>12935.0</v>
      </c>
      <c r="R254" s="76"/>
      <c r="S254" s="72">
        <f t="shared" ref="S254:S257" si="256">O254/M254-1</f>
        <v>0.06583717864</v>
      </c>
      <c r="T254" s="72">
        <f t="shared" si="6"/>
        <v>0</v>
      </c>
      <c r="U254" s="73" t="str">
        <f t="shared" si="250"/>
        <v/>
      </c>
      <c r="V254" s="73">
        <f t="shared" ref="V254:V266" si="257">M254/1.18</f>
        <v>10284.74576</v>
      </c>
      <c r="W254" s="73">
        <f t="shared" si="9"/>
        <v>10284.74576</v>
      </c>
      <c r="X254" s="74">
        <f t="shared" si="10"/>
        <v>1</v>
      </c>
      <c r="Y254" s="73">
        <f t="shared" si="11"/>
        <v>0</v>
      </c>
      <c r="Z254" s="73">
        <f t="shared" si="12"/>
        <v>10961.86441</v>
      </c>
      <c r="AA254" s="73">
        <f t="shared" si="13"/>
        <v>10961.86441</v>
      </c>
      <c r="AB254" s="74">
        <f t="shared" si="14"/>
        <v>1</v>
      </c>
      <c r="AC254" s="61" t="str">
        <f t="shared" si="15"/>
        <v>5</v>
      </c>
      <c r="AD254" s="71" t="str">
        <f t="shared" si="16"/>
        <v>#DIV/0!</v>
      </c>
      <c r="AE254" s="61"/>
      <c r="AF254" s="61"/>
      <c r="AG254" s="71">
        <f t="array" ref="AG254">IFERROR(xlookup(G254,'Old Master'!T:T,'Old Master'!V:V),N254)</f>
        <v>0.1899931117</v>
      </c>
      <c r="AH254" s="73">
        <f t="shared" si="229"/>
        <v>12935</v>
      </c>
      <c r="AI254" s="73">
        <f t="shared" si="230"/>
        <v>10961.86441</v>
      </c>
      <c r="AJ254" s="72">
        <f t="shared" si="19"/>
        <v>1</v>
      </c>
      <c r="AK254" s="61"/>
      <c r="AL254" s="71">
        <f t="array" ref="AL254">iferror(if(isblank(xlookup($G254,'Old Master'!$T:$T,'Old Master'!$W:$W)),AG254,xlookup($G254,'Old Master'!$T:$T,'Old Master'!$W:$W)),AG254)</f>
        <v>0.1899931117</v>
      </c>
      <c r="AM254" s="74">
        <f t="shared" si="20"/>
        <v>0.1922474795</v>
      </c>
      <c r="AN254" s="73">
        <f t="shared" ref="AN254:AN258" si="258">mround($I254*(1-AL254),100)-1</f>
        <v>12899</v>
      </c>
    </row>
    <row r="255">
      <c r="A255" s="65" t="s">
        <v>699</v>
      </c>
      <c r="B255" s="65">
        <f t="shared" si="1"/>
        <v>72</v>
      </c>
      <c r="C255" s="65" t="str">
        <f t="shared" si="248"/>
        <v>SC-ORIG-K-84x74x10</v>
      </c>
      <c r="D255" s="65" t="s">
        <v>701</v>
      </c>
      <c r="E255" s="65" t="s">
        <v>702</v>
      </c>
      <c r="F255" s="65" t="s">
        <v>703</v>
      </c>
      <c r="G255" s="65" t="s">
        <v>51</v>
      </c>
      <c r="H255" s="65" t="s">
        <v>52</v>
      </c>
      <c r="I255" s="65">
        <v>26499.0</v>
      </c>
      <c r="J255" s="66">
        <v>0.28</v>
      </c>
      <c r="K255" s="65">
        <f t="shared" si="3"/>
        <v>19079</v>
      </c>
      <c r="L255" s="66">
        <v>0.24</v>
      </c>
      <c r="M255" s="65">
        <f t="shared" si="4"/>
        <v>20139</v>
      </c>
      <c r="N255" s="67">
        <f t="shared" si="249"/>
        <v>0.1900071701</v>
      </c>
      <c r="O255" s="68">
        <v>21464.0</v>
      </c>
      <c r="P255" s="67">
        <f t="shared" si="251"/>
        <v>0.1900071701</v>
      </c>
      <c r="Q255" s="69">
        <v>21464.0</v>
      </c>
      <c r="R255" s="76"/>
      <c r="S255" s="72">
        <f t="shared" si="256"/>
        <v>0.06579274045</v>
      </c>
      <c r="T255" s="72">
        <f t="shared" si="6"/>
        <v>0</v>
      </c>
      <c r="U255" s="73" t="str">
        <f t="shared" si="250"/>
        <v/>
      </c>
      <c r="V255" s="73">
        <f t="shared" si="257"/>
        <v>17066.94915</v>
      </c>
      <c r="W255" s="73">
        <f t="shared" si="9"/>
        <v>17066.94915</v>
      </c>
      <c r="X255" s="74">
        <f t="shared" si="10"/>
        <v>1</v>
      </c>
      <c r="Y255" s="73">
        <f t="shared" si="11"/>
        <v>0</v>
      </c>
      <c r="Z255" s="73">
        <f t="shared" si="12"/>
        <v>18189.83051</v>
      </c>
      <c r="AA255" s="73">
        <f t="shared" si="13"/>
        <v>18189.83051</v>
      </c>
      <c r="AB255" s="74">
        <f t="shared" si="14"/>
        <v>1</v>
      </c>
      <c r="AC255" s="61" t="str">
        <f t="shared" si="15"/>
        <v>0</v>
      </c>
      <c r="AD255" s="71" t="str">
        <f t="shared" si="16"/>
        <v>#DIV/0!</v>
      </c>
      <c r="AE255" s="61"/>
      <c r="AF255" s="61"/>
      <c r="AG255" s="71">
        <f t="array" ref="AG255">IFERROR(xlookup(G255,'Old Master'!T:T,'Old Master'!V:V),N255)</f>
        <v>0.1900071701</v>
      </c>
      <c r="AH255" s="73">
        <f t="shared" si="229"/>
        <v>21464</v>
      </c>
      <c r="AI255" s="73">
        <f t="shared" si="230"/>
        <v>18189.83051</v>
      </c>
      <c r="AJ255" s="72">
        <f t="shared" si="19"/>
        <v>1</v>
      </c>
      <c r="AK255" s="61"/>
      <c r="AL255" s="71">
        <f t="array" ref="AL255">iferror(if(isblank(xlookup($G255,'Old Master'!$T:$T,'Old Master'!$W:$W)),AG255,xlookup($G255,'Old Master'!$T:$T,'Old Master'!$W:$W)),AG255)</f>
        <v>0.1900071701</v>
      </c>
      <c r="AM255" s="74">
        <f t="shared" si="20"/>
        <v>0.1886863655</v>
      </c>
      <c r="AN255" s="73">
        <f t="shared" si="258"/>
        <v>21499</v>
      </c>
    </row>
    <row r="256">
      <c r="A256" s="65" t="s">
        <v>663</v>
      </c>
      <c r="B256" s="65">
        <f t="shared" si="1"/>
        <v>70</v>
      </c>
      <c r="C256" s="65" t="str">
        <f t="shared" si="248"/>
        <v>SC-ORIG-K-72x72x10</v>
      </c>
      <c r="D256" s="65" t="s">
        <v>665</v>
      </c>
      <c r="E256" s="65">
        <v>0.0</v>
      </c>
      <c r="F256" s="65" t="s">
        <v>666</v>
      </c>
      <c r="G256" s="65" t="s">
        <v>51</v>
      </c>
      <c r="H256" s="65" t="s">
        <v>52</v>
      </c>
      <c r="I256" s="65">
        <v>22999.0</v>
      </c>
      <c r="J256" s="66">
        <v>0.28</v>
      </c>
      <c r="K256" s="65">
        <f t="shared" si="3"/>
        <v>16559</v>
      </c>
      <c r="L256" s="66">
        <v>0.24</v>
      </c>
      <c r="M256" s="65">
        <f t="shared" si="4"/>
        <v>17479</v>
      </c>
      <c r="N256" s="67">
        <f t="shared" si="249"/>
        <v>0.1900082612</v>
      </c>
      <c r="O256" s="68">
        <v>18629.0</v>
      </c>
      <c r="P256" s="67">
        <f t="shared" si="251"/>
        <v>0.1900082612</v>
      </c>
      <c r="Q256" s="69">
        <v>18629.0</v>
      </c>
      <c r="R256" s="76"/>
      <c r="S256" s="72">
        <f t="shared" si="256"/>
        <v>0.0657932376</v>
      </c>
      <c r="T256" s="72">
        <f t="shared" si="6"/>
        <v>0</v>
      </c>
      <c r="U256" s="73" t="str">
        <f t="shared" si="250"/>
        <v/>
      </c>
      <c r="V256" s="73">
        <f t="shared" si="257"/>
        <v>14812.71186</v>
      </c>
      <c r="W256" s="73">
        <f t="shared" si="9"/>
        <v>14812.71186</v>
      </c>
      <c r="X256" s="74">
        <f t="shared" si="10"/>
        <v>1</v>
      </c>
      <c r="Y256" s="73">
        <f t="shared" si="11"/>
        <v>0</v>
      </c>
      <c r="Z256" s="73">
        <f t="shared" si="12"/>
        <v>15787.28814</v>
      </c>
      <c r="AA256" s="73">
        <f t="shared" si="13"/>
        <v>15787.28814</v>
      </c>
      <c r="AB256" s="74">
        <f t="shared" si="14"/>
        <v>1</v>
      </c>
      <c r="AC256" s="61" t="str">
        <f t="shared" si="15"/>
        <v>0</v>
      </c>
      <c r="AD256" s="71" t="str">
        <f t="shared" si="16"/>
        <v>#DIV/0!</v>
      </c>
      <c r="AE256" s="61"/>
      <c r="AF256" s="61"/>
      <c r="AG256" s="71">
        <f t="array" ref="AG256">IFERROR(xlookup(G256,'Old Master'!T:T,'Old Master'!V:V),N256)</f>
        <v>0.1900082612</v>
      </c>
      <c r="AH256" s="73">
        <f t="shared" si="229"/>
        <v>18629</v>
      </c>
      <c r="AI256" s="73">
        <f t="shared" si="230"/>
        <v>15787.28814</v>
      </c>
      <c r="AJ256" s="72">
        <f t="shared" si="19"/>
        <v>1</v>
      </c>
      <c r="AK256" s="61"/>
      <c r="AL256" s="71">
        <f t="array" ref="AL256">iferror(if(isblank(xlookup($G256,'Old Master'!$T:$T,'Old Master'!$W:$W)),AG256,xlookup($G256,'Old Master'!$T:$T,'Old Master'!$W:$W)),AG256)</f>
        <v>0.1900082612</v>
      </c>
      <c r="AM256" s="74">
        <f t="shared" si="20"/>
        <v>0.1913126658</v>
      </c>
      <c r="AN256" s="73">
        <f t="shared" si="258"/>
        <v>18599</v>
      </c>
    </row>
    <row r="257">
      <c r="A257" s="65" t="s">
        <v>687</v>
      </c>
      <c r="B257" s="65">
        <f t="shared" si="1"/>
        <v>70</v>
      </c>
      <c r="C257" s="65" t="str">
        <f t="shared" si="248"/>
        <v>SC-ORIG-K-78x72x10</v>
      </c>
      <c r="D257" s="65" t="s">
        <v>689</v>
      </c>
      <c r="E257" s="65">
        <v>0.0</v>
      </c>
      <c r="F257" s="65" t="s">
        <v>690</v>
      </c>
      <c r="G257" s="65" t="s">
        <v>51</v>
      </c>
      <c r="H257" s="65" t="s">
        <v>52</v>
      </c>
      <c r="I257" s="65">
        <v>24499.0</v>
      </c>
      <c r="J257" s="66">
        <v>0.28</v>
      </c>
      <c r="K257" s="65">
        <f t="shared" si="3"/>
        <v>17639</v>
      </c>
      <c r="L257" s="66">
        <v>0.24</v>
      </c>
      <c r="M257" s="65">
        <f t="shared" si="4"/>
        <v>18619</v>
      </c>
      <c r="N257" s="67">
        <f t="shared" si="249"/>
        <v>0.1900077554</v>
      </c>
      <c r="O257" s="68">
        <v>19844.0</v>
      </c>
      <c r="P257" s="67">
        <f t="shared" si="251"/>
        <v>0.1900077554</v>
      </c>
      <c r="Q257" s="69">
        <v>19844.0</v>
      </c>
      <c r="R257" s="76"/>
      <c r="S257" s="72">
        <f t="shared" si="256"/>
        <v>0.06579300714</v>
      </c>
      <c r="T257" s="72">
        <f t="shared" si="6"/>
        <v>0</v>
      </c>
      <c r="U257" s="73" t="str">
        <f t="shared" si="250"/>
        <v/>
      </c>
      <c r="V257" s="73">
        <f t="shared" si="257"/>
        <v>15778.81356</v>
      </c>
      <c r="W257" s="73">
        <f t="shared" si="9"/>
        <v>15778.81356</v>
      </c>
      <c r="X257" s="74">
        <f t="shared" si="10"/>
        <v>1</v>
      </c>
      <c r="Y257" s="73">
        <f t="shared" si="11"/>
        <v>0</v>
      </c>
      <c r="Z257" s="73">
        <f t="shared" si="12"/>
        <v>16816.94915</v>
      </c>
      <c r="AA257" s="73">
        <f t="shared" si="13"/>
        <v>16816.94915</v>
      </c>
      <c r="AB257" s="74">
        <f t="shared" si="14"/>
        <v>1</v>
      </c>
      <c r="AC257" s="61" t="str">
        <f t="shared" si="15"/>
        <v>0</v>
      </c>
      <c r="AD257" s="71" t="str">
        <f t="shared" si="16"/>
        <v>#DIV/0!</v>
      </c>
      <c r="AE257" s="61"/>
      <c r="AF257" s="61"/>
      <c r="AG257" s="71">
        <f t="array" ref="AG257">IFERROR(xlookup(G257,'Old Master'!T:T,'Old Master'!V:V),N257)</f>
        <v>0.1900077554</v>
      </c>
      <c r="AH257" s="73">
        <f t="shared" si="229"/>
        <v>19844</v>
      </c>
      <c r="AI257" s="73">
        <f t="shared" si="230"/>
        <v>16816.94915</v>
      </c>
      <c r="AJ257" s="72">
        <f t="shared" si="19"/>
        <v>1</v>
      </c>
      <c r="AK257" s="61"/>
      <c r="AL257" s="71">
        <f t="array" ref="AL257">iferror(if(isblank(xlookup($G257,'Old Master'!$T:$T,'Old Master'!$W:$W)),AG257,xlookup($G257,'Old Master'!$T:$T,'Old Master'!$W:$W)),AG257)</f>
        <v>0.1900077554</v>
      </c>
      <c r="AM257" s="74">
        <f t="shared" si="20"/>
        <v>0.1918445651</v>
      </c>
      <c r="AN257" s="73">
        <f t="shared" si="258"/>
        <v>19799</v>
      </c>
    </row>
    <row r="258">
      <c r="A258" s="65" t="s">
        <v>2594</v>
      </c>
      <c r="B258" s="65" t="str">
        <f t="shared" si="1"/>
        <v>#VALUE!</v>
      </c>
      <c r="C258" s="65" t="str">
        <f t="shared" si="248"/>
        <v>#VALUE!</v>
      </c>
      <c r="D258" s="65" t="s">
        <v>2596</v>
      </c>
      <c r="E258" s="65" t="s">
        <v>2597</v>
      </c>
      <c r="F258" s="65" t="s">
        <v>2598</v>
      </c>
      <c r="G258" s="65" t="s">
        <v>1195</v>
      </c>
      <c r="H258" s="65" t="s">
        <v>5114</v>
      </c>
      <c r="I258" s="65">
        <v>3489.0</v>
      </c>
      <c r="J258" s="66">
        <v>0.2815485168426345</v>
      </c>
      <c r="K258" s="65">
        <f t="shared" si="3"/>
        <v>2507</v>
      </c>
      <c r="L258" s="66">
        <v>0.43</v>
      </c>
      <c r="M258" s="65">
        <f t="shared" si="4"/>
        <v>1989</v>
      </c>
      <c r="N258" s="67">
        <f t="shared" si="249"/>
        <v>0.2814560046</v>
      </c>
      <c r="O258" s="68">
        <v>2507.0</v>
      </c>
      <c r="P258" s="67">
        <f t="shared" si="251"/>
        <v>0.2814560046</v>
      </c>
      <c r="Q258" s="69">
        <v>2507.0</v>
      </c>
      <c r="R258" s="70"/>
      <c r="S258" s="71">
        <f t="shared" ref="S258:S260" si="259">O258/K258-1</f>
        <v>0</v>
      </c>
      <c r="T258" s="72">
        <f t="shared" si="6"/>
        <v>0</v>
      </c>
      <c r="U258" s="73" t="str">
        <f t="shared" si="250"/>
        <v/>
      </c>
      <c r="V258" s="73">
        <f t="shared" si="257"/>
        <v>1685.59322</v>
      </c>
      <c r="W258" s="73">
        <f t="shared" si="9"/>
        <v>1685.59322</v>
      </c>
      <c r="X258" s="74">
        <f t="shared" si="10"/>
        <v>1</v>
      </c>
      <c r="Y258" s="73">
        <f t="shared" si="11"/>
        <v>0</v>
      </c>
      <c r="Z258" s="73">
        <f t="shared" si="12"/>
        <v>2124.576271</v>
      </c>
      <c r="AA258" s="73">
        <f t="shared" si="13"/>
        <v>2124.576271</v>
      </c>
      <c r="AB258" s="74">
        <f t="shared" si="14"/>
        <v>1</v>
      </c>
      <c r="AC258" s="61" t="str">
        <f t="shared" si="15"/>
        <v>4</v>
      </c>
      <c r="AD258" s="71" t="str">
        <f t="shared" si="16"/>
        <v>#DIV/0!</v>
      </c>
      <c r="AE258" s="61"/>
      <c r="AF258" s="61"/>
      <c r="AG258" s="71">
        <f t="array" ref="AG258">IFERROR(xlookup(G258,'Old Master'!T:T,'Old Master'!V:V),N258)</f>
        <v>0.2814560046</v>
      </c>
      <c r="AH258" s="73">
        <f t="shared" si="229"/>
        <v>2507</v>
      </c>
      <c r="AI258" s="73">
        <f t="shared" si="230"/>
        <v>2124.576271</v>
      </c>
      <c r="AJ258" s="72">
        <f t="shared" si="19"/>
        <v>1</v>
      </c>
      <c r="AK258" s="61"/>
      <c r="AL258" s="71">
        <f t="array" ref="AL258">iferror(if(isblank(xlookup($G258,'Old Master'!$T:$T,'Old Master'!$W:$W)),AG258,xlookup($G258,'Old Master'!$T:$T,'Old Master'!$W:$W)),AG258)</f>
        <v>0.2814560046</v>
      </c>
      <c r="AM258" s="74">
        <f t="shared" si="20"/>
        <v>0.2837489252</v>
      </c>
      <c r="AN258" s="73">
        <f t="shared" si="258"/>
        <v>2499</v>
      </c>
    </row>
    <row r="259">
      <c r="A259" s="65" t="s">
        <v>2230</v>
      </c>
      <c r="B259" s="65" t="str">
        <f t="shared" si="1"/>
        <v>#VALUE!</v>
      </c>
      <c r="C259" s="65" t="str">
        <f t="shared" si="248"/>
        <v>#VALUE!</v>
      </c>
      <c r="D259" s="65" t="s">
        <v>2232</v>
      </c>
      <c r="E259" s="65" t="s">
        <v>2233</v>
      </c>
      <c r="F259" s="65">
        <v>0.0</v>
      </c>
      <c r="G259" s="65" t="s">
        <v>5077</v>
      </c>
      <c r="H259" s="65" t="s">
        <v>4730</v>
      </c>
      <c r="I259" s="65">
        <v>889.0</v>
      </c>
      <c r="J259" s="66">
        <v>0.17997750281214853</v>
      </c>
      <c r="K259" s="65">
        <f t="shared" si="3"/>
        <v>729</v>
      </c>
      <c r="L259" s="66">
        <v>0.1</v>
      </c>
      <c r="M259" s="65">
        <f t="shared" si="4"/>
        <v>800</v>
      </c>
      <c r="N259" s="67">
        <f t="shared" si="249"/>
        <v>0.04949381327</v>
      </c>
      <c r="O259" s="68">
        <v>845.0</v>
      </c>
      <c r="P259" s="67">
        <f t="shared" si="251"/>
        <v>0.04949381327</v>
      </c>
      <c r="Q259" s="69">
        <v>845.0</v>
      </c>
      <c r="R259" s="70"/>
      <c r="S259" s="71">
        <f t="shared" si="259"/>
        <v>0.159122085</v>
      </c>
      <c r="T259" s="72">
        <f t="shared" si="6"/>
        <v>0</v>
      </c>
      <c r="U259" s="73" t="str">
        <f t="shared" si="250"/>
        <v/>
      </c>
      <c r="V259" s="73">
        <f t="shared" si="257"/>
        <v>677.9661017</v>
      </c>
      <c r="W259" s="73">
        <f t="shared" si="9"/>
        <v>677.9661017</v>
      </c>
      <c r="X259" s="74">
        <f t="shared" si="10"/>
        <v>1</v>
      </c>
      <c r="Y259" s="73">
        <f t="shared" si="11"/>
        <v>0</v>
      </c>
      <c r="Z259" s="73">
        <f t="shared" si="12"/>
        <v>716.1016949</v>
      </c>
      <c r="AA259" s="73">
        <f t="shared" si="13"/>
        <v>716.1016949</v>
      </c>
      <c r="AB259" s="74">
        <f t="shared" si="14"/>
        <v>1</v>
      </c>
      <c r="AC259" s="61" t="str">
        <f t="shared" si="15"/>
        <v>8</v>
      </c>
      <c r="AD259" s="71" t="str">
        <f t="shared" si="16"/>
        <v>#DIV/0!</v>
      </c>
      <c r="AE259" s="61"/>
      <c r="AF259" s="61"/>
      <c r="AG259" s="71">
        <f t="array" ref="AG259">IFERROR(xlookup(G259,'Old Master'!T:T,'Old Master'!V:V),N259)</f>
        <v>0.04949381327</v>
      </c>
      <c r="AH259" s="73">
        <f t="shared" si="229"/>
        <v>845</v>
      </c>
      <c r="AI259" s="73">
        <f t="shared" si="230"/>
        <v>716.1016949</v>
      </c>
      <c r="AJ259" s="72">
        <f t="shared" si="19"/>
        <v>1</v>
      </c>
      <c r="AK259" s="61"/>
      <c r="AL259" s="71">
        <f t="array" ref="AL259">iferror(if(isblank(xlookup($G259,'Old Master'!$T:$T,'Old Master'!$W:$W)),AG259,xlookup($G259,'Old Master'!$T:$T,'Old Master'!$W:$W)),AG259)</f>
        <v>0.04949381327</v>
      </c>
      <c r="AM259" s="74">
        <f t="shared" si="20"/>
        <v>0.04949381327</v>
      </c>
      <c r="AN259" s="73">
        <f t="shared" ref="AN259:AN260" si="260">O259</f>
        <v>845</v>
      </c>
    </row>
    <row r="260">
      <c r="A260" s="65" t="s">
        <v>4669</v>
      </c>
      <c r="B260" s="65" t="str">
        <f t="shared" si="1"/>
        <v>#VALUE!</v>
      </c>
      <c r="C260" s="65" t="str">
        <f t="shared" si="248"/>
        <v>#VALUE!</v>
      </c>
      <c r="D260" s="65" t="s">
        <v>4671</v>
      </c>
      <c r="E260" s="65">
        <v>0.0</v>
      </c>
      <c r="F260" s="65" t="s">
        <v>4672</v>
      </c>
      <c r="G260" s="65" t="s">
        <v>5077</v>
      </c>
      <c r="H260" s="65" t="s">
        <v>4730</v>
      </c>
      <c r="I260" s="65">
        <v>1699.0</v>
      </c>
      <c r="J260" s="66">
        <v>0.1</v>
      </c>
      <c r="K260" s="65">
        <f t="shared" si="3"/>
        <v>1529</v>
      </c>
      <c r="L260" s="66">
        <v>0.1</v>
      </c>
      <c r="M260" s="65">
        <f t="shared" si="4"/>
        <v>1529</v>
      </c>
      <c r="N260" s="67">
        <f t="shared" si="249"/>
        <v>0.05002942908</v>
      </c>
      <c r="O260" s="68">
        <v>1614.0</v>
      </c>
      <c r="P260" s="67">
        <f t="shared" si="251"/>
        <v>0.05002942908</v>
      </c>
      <c r="Q260" s="69">
        <v>1614.0</v>
      </c>
      <c r="R260" s="70"/>
      <c r="S260" s="71">
        <f t="shared" si="259"/>
        <v>0.05559189012</v>
      </c>
      <c r="T260" s="72">
        <f t="shared" si="6"/>
        <v>0</v>
      </c>
      <c r="U260" s="73" t="str">
        <f t="shared" si="250"/>
        <v/>
      </c>
      <c r="V260" s="73">
        <f t="shared" si="257"/>
        <v>1295.762712</v>
      </c>
      <c r="W260" s="73">
        <f t="shared" si="9"/>
        <v>1295.762712</v>
      </c>
      <c r="X260" s="74">
        <f t="shared" si="10"/>
        <v>1</v>
      </c>
      <c r="Y260" s="73">
        <f t="shared" si="11"/>
        <v>0</v>
      </c>
      <c r="Z260" s="73">
        <f t="shared" si="12"/>
        <v>1367.79661</v>
      </c>
      <c r="AA260" s="73">
        <f t="shared" si="13"/>
        <v>1367.79661</v>
      </c>
      <c r="AB260" s="74">
        <f t="shared" si="14"/>
        <v>1</v>
      </c>
      <c r="AC260" s="61" t="str">
        <f t="shared" si="15"/>
        <v>2</v>
      </c>
      <c r="AD260" s="71" t="str">
        <f t="shared" si="16"/>
        <v>#DIV/0!</v>
      </c>
      <c r="AE260" s="61"/>
      <c r="AF260" s="61"/>
      <c r="AG260" s="71">
        <f t="array" ref="AG260">IFERROR(xlookup(G260,'Old Master'!T:T,'Old Master'!V:V),N260)</f>
        <v>0.05002942908</v>
      </c>
      <c r="AH260" s="73">
        <f t="shared" si="229"/>
        <v>1614</v>
      </c>
      <c r="AI260" s="73">
        <f t="shared" si="230"/>
        <v>1367.79661</v>
      </c>
      <c r="AJ260" s="72">
        <f t="shared" si="19"/>
        <v>1</v>
      </c>
      <c r="AK260" s="61"/>
      <c r="AL260" s="71">
        <f t="array" ref="AL260">iferror(if(isblank(xlookup($G260,'Old Master'!$T:$T,'Old Master'!$W:$W)),AG260,xlookup($G260,'Old Master'!$T:$T,'Old Master'!$W:$W)),AG260)</f>
        <v>0.05002942908</v>
      </c>
      <c r="AM260" s="74">
        <f t="shared" si="20"/>
        <v>0.05002942908</v>
      </c>
      <c r="AN260" s="73">
        <f t="shared" si="260"/>
        <v>1614</v>
      </c>
    </row>
    <row r="261">
      <c r="A261" s="65" t="s">
        <v>3761</v>
      </c>
      <c r="B261" s="65" t="str">
        <f t="shared" si="1"/>
        <v>#VALUE!</v>
      </c>
      <c r="C261" s="65" t="str">
        <f t="shared" si="248"/>
        <v>#VALUE!</v>
      </c>
      <c r="D261" s="65" t="s">
        <v>3761</v>
      </c>
      <c r="E261" s="65" t="s">
        <v>3763</v>
      </c>
      <c r="F261" s="65">
        <v>0.0</v>
      </c>
      <c r="G261" s="65" t="s">
        <v>5158</v>
      </c>
      <c r="H261" s="65" t="s">
        <v>5158</v>
      </c>
      <c r="I261" s="65">
        <v>43999.0</v>
      </c>
      <c r="J261" s="66">
        <v>0.25</v>
      </c>
      <c r="K261" s="65">
        <f t="shared" si="3"/>
        <v>32999</v>
      </c>
      <c r="L261" s="66">
        <v>0.250005681947317</v>
      </c>
      <c r="M261" s="65">
        <f t="shared" si="4"/>
        <v>32999</v>
      </c>
      <c r="N261" s="67">
        <f t="shared" si="249"/>
        <v>0.1500034092</v>
      </c>
      <c r="O261" s="68">
        <v>37399.0</v>
      </c>
      <c r="P261" s="67">
        <f t="shared" si="251"/>
        <v>0.1500034092</v>
      </c>
      <c r="Q261" s="69">
        <v>37399.0</v>
      </c>
      <c r="R261" s="70"/>
      <c r="S261" s="71">
        <f>O261/M261-1</f>
        <v>0.1333373739</v>
      </c>
      <c r="T261" s="72">
        <f t="shared" si="6"/>
        <v>0</v>
      </c>
      <c r="U261" s="73" t="str">
        <f t="shared" si="250"/>
        <v/>
      </c>
      <c r="V261" s="73">
        <f t="shared" si="257"/>
        <v>27965.25424</v>
      </c>
      <c r="W261" s="73">
        <f t="shared" si="9"/>
        <v>27965.25424</v>
      </c>
      <c r="X261" s="74">
        <f t="shared" si="10"/>
        <v>1</v>
      </c>
      <c r="Y261" s="73">
        <f t="shared" si="11"/>
        <v>0</v>
      </c>
      <c r="Z261" s="73">
        <f t="shared" si="12"/>
        <v>31694.0678</v>
      </c>
      <c r="AA261" s="73">
        <f t="shared" si="13"/>
        <v>31694.0678</v>
      </c>
      <c r="AB261" s="74">
        <f t="shared" si="14"/>
        <v>1</v>
      </c>
      <c r="AC261" s="61" t="str">
        <f t="shared" si="15"/>
        <v>W</v>
      </c>
      <c r="AD261" s="71" t="str">
        <f t="shared" si="16"/>
        <v>#DIV/0!</v>
      </c>
      <c r="AE261" s="61"/>
      <c r="AF261" s="61"/>
      <c r="AG261" s="71">
        <f t="array" ref="AG261">IFERROR(xlookup(G261,'Old Master'!T:T,'Old Master'!V:V),N261)</f>
        <v>0.1500034092</v>
      </c>
      <c r="AH261" s="73">
        <f t="shared" si="229"/>
        <v>37399</v>
      </c>
      <c r="AI261" s="73">
        <f t="shared" si="230"/>
        <v>31694.0678</v>
      </c>
      <c r="AJ261" s="72">
        <f t="shared" si="19"/>
        <v>1</v>
      </c>
      <c r="AK261" s="61"/>
      <c r="AL261" s="71">
        <f t="array" ref="AL261">iferror(if(isblank(xlookup($G261,'Old Master'!$T:$T,'Old Master'!$W:$W)),AG261,xlookup($G261,'Old Master'!$T:$T,'Old Master'!$W:$W)),AG261)</f>
        <v>0.1500034092</v>
      </c>
      <c r="AM261" s="74">
        <f t="shared" si="20"/>
        <v>0.1500034092</v>
      </c>
      <c r="AN261" s="73">
        <f t="shared" ref="AN261:AN262" si="261">mround($I261*(1-AL261),100)-1</f>
        <v>37399</v>
      </c>
    </row>
    <row r="262">
      <c r="A262" s="65" t="s">
        <v>3116</v>
      </c>
      <c r="B262" s="65" t="str">
        <f t="shared" si="1"/>
        <v>#VALUE!</v>
      </c>
      <c r="C262" s="65" t="str">
        <f t="shared" si="248"/>
        <v>#VALUE!</v>
      </c>
      <c r="D262" s="65" t="s">
        <v>3118</v>
      </c>
      <c r="E262" s="65" t="s">
        <v>3119</v>
      </c>
      <c r="F262" s="65" t="s">
        <v>3120</v>
      </c>
      <c r="G262" s="65" t="s">
        <v>5087</v>
      </c>
      <c r="H262" s="65" t="s">
        <v>4730</v>
      </c>
      <c r="I262" s="65">
        <v>2489.0</v>
      </c>
      <c r="J262" s="66">
        <v>0.2571313780634793</v>
      </c>
      <c r="K262" s="65">
        <f t="shared" si="3"/>
        <v>1849</v>
      </c>
      <c r="L262" s="66">
        <v>0.15</v>
      </c>
      <c r="M262" s="65">
        <f t="shared" si="4"/>
        <v>2116</v>
      </c>
      <c r="N262" s="67">
        <f t="shared" si="249"/>
        <v>0.1570912013</v>
      </c>
      <c r="O262" s="68">
        <v>2098.0</v>
      </c>
      <c r="P262" s="67">
        <f t="shared" si="251"/>
        <v>0.1570912013</v>
      </c>
      <c r="Q262" s="69">
        <v>2098.0</v>
      </c>
      <c r="R262" s="70"/>
      <c r="S262" s="71">
        <f t="shared" ref="S262:S264" si="262">O262/K262-1</f>
        <v>0.1346673878</v>
      </c>
      <c r="T262" s="72">
        <f t="shared" si="6"/>
        <v>0</v>
      </c>
      <c r="U262" s="73" t="str">
        <f t="shared" si="250"/>
        <v/>
      </c>
      <c r="V262" s="73">
        <f t="shared" si="257"/>
        <v>1793.220339</v>
      </c>
      <c r="W262" s="73">
        <f t="shared" si="9"/>
        <v>1793.220339</v>
      </c>
      <c r="X262" s="74">
        <f t="shared" si="10"/>
        <v>1</v>
      </c>
      <c r="Y262" s="73">
        <f t="shared" si="11"/>
        <v>0</v>
      </c>
      <c r="Z262" s="73">
        <f t="shared" si="12"/>
        <v>1777.966102</v>
      </c>
      <c r="AA262" s="73">
        <f t="shared" si="13"/>
        <v>1777.966102</v>
      </c>
      <c r="AB262" s="74">
        <f t="shared" si="14"/>
        <v>1</v>
      </c>
      <c r="AC262" s="61" t="str">
        <f t="shared" si="15"/>
        <v>0</v>
      </c>
      <c r="AD262" s="71" t="str">
        <f t="shared" si="16"/>
        <v>#DIV/0!</v>
      </c>
      <c r="AE262" s="61"/>
      <c r="AF262" s="61"/>
      <c r="AG262" s="71">
        <f t="array" ref="AG262">IFERROR(xlookup(G262,'Old Master'!T:T,'Old Master'!V:V),N262)</f>
        <v>0.1570912013</v>
      </c>
      <c r="AH262" s="73">
        <f t="shared" si="229"/>
        <v>2098</v>
      </c>
      <c r="AI262" s="73">
        <f t="shared" si="230"/>
        <v>1777.966102</v>
      </c>
      <c r="AJ262" s="72">
        <f t="shared" si="19"/>
        <v>1</v>
      </c>
      <c r="AK262" s="61"/>
      <c r="AL262" s="71">
        <f t="array" ref="AL262">iferror(if(isblank(xlookup($G262,'Old Master'!$T:$T,'Old Master'!$W:$W)),AG262,xlookup($G262,'Old Master'!$T:$T,'Old Master'!$W:$W)),AG262)</f>
        <v>0.1570912013</v>
      </c>
      <c r="AM262" s="74">
        <f t="shared" si="20"/>
        <v>0.1566894335</v>
      </c>
      <c r="AN262" s="73">
        <f t="shared" si="261"/>
        <v>2099</v>
      </c>
    </row>
    <row r="263">
      <c r="A263" s="65" t="s">
        <v>1469</v>
      </c>
      <c r="B263" s="65" t="str">
        <f t="shared" si="1"/>
        <v>#VALUE!</v>
      </c>
      <c r="C263" s="65" t="str">
        <f t="shared" si="248"/>
        <v>#VALUE!</v>
      </c>
      <c r="D263" s="65" t="s">
        <v>1471</v>
      </c>
      <c r="E263" s="65" t="s">
        <v>1472</v>
      </c>
      <c r="F263" s="65" t="s">
        <v>1473</v>
      </c>
      <c r="G263" s="65" t="s">
        <v>5089</v>
      </c>
      <c r="H263" s="65" t="s">
        <v>4730</v>
      </c>
      <c r="I263" s="65">
        <v>2999.0</v>
      </c>
      <c r="J263" s="66">
        <v>0.28342780926975664</v>
      </c>
      <c r="K263" s="65">
        <f t="shared" si="3"/>
        <v>2149</v>
      </c>
      <c r="L263" s="66">
        <v>0.1</v>
      </c>
      <c r="M263" s="65">
        <f t="shared" si="4"/>
        <v>2699</v>
      </c>
      <c r="N263" s="67">
        <f t="shared" si="249"/>
        <v>0.1833944648</v>
      </c>
      <c r="O263" s="68">
        <v>2449.0</v>
      </c>
      <c r="P263" s="67">
        <f t="shared" si="251"/>
        <v>0.1833944648</v>
      </c>
      <c r="Q263" s="69">
        <v>2449.0</v>
      </c>
      <c r="R263" s="70"/>
      <c r="S263" s="71">
        <f t="shared" si="262"/>
        <v>0.1395998139</v>
      </c>
      <c r="T263" s="72">
        <f t="shared" si="6"/>
        <v>0</v>
      </c>
      <c r="U263" s="73" t="str">
        <f t="shared" si="250"/>
        <v/>
      </c>
      <c r="V263" s="73">
        <f t="shared" si="257"/>
        <v>2287.288136</v>
      </c>
      <c r="W263" s="73">
        <f t="shared" si="9"/>
        <v>2287.288136</v>
      </c>
      <c r="X263" s="74">
        <f t="shared" si="10"/>
        <v>1</v>
      </c>
      <c r="Y263" s="73">
        <f t="shared" si="11"/>
        <v>0</v>
      </c>
      <c r="Z263" s="73">
        <f t="shared" si="12"/>
        <v>2075.423729</v>
      </c>
      <c r="AA263" s="73">
        <f t="shared" si="13"/>
        <v>2075.423729</v>
      </c>
      <c r="AB263" s="74">
        <f t="shared" si="14"/>
        <v>1</v>
      </c>
      <c r="AC263" s="61" t="str">
        <f t="shared" si="15"/>
        <v>2</v>
      </c>
      <c r="AD263" s="71" t="str">
        <f t="shared" si="16"/>
        <v>#DIV/0!</v>
      </c>
      <c r="AE263" s="61"/>
      <c r="AF263" s="61"/>
      <c r="AG263" s="71">
        <f t="array" ref="AG263">IFERROR(xlookup(G263,'Old Master'!T:T,'Old Master'!V:V),N263)</f>
        <v>0.1833944648</v>
      </c>
      <c r="AH263" s="73">
        <f t="shared" si="229"/>
        <v>2449</v>
      </c>
      <c r="AI263" s="73">
        <f t="shared" si="230"/>
        <v>2075.423729</v>
      </c>
      <c r="AJ263" s="72">
        <f t="shared" si="19"/>
        <v>1</v>
      </c>
      <c r="AK263" s="61"/>
      <c r="AL263" s="71">
        <f t="array" ref="AL263">iferror(if(isblank(xlookup($G263,'Old Master'!$T:$T,'Old Master'!$W:$W)),AG263,xlookup($G263,'Old Master'!$T:$T,'Old Master'!$W:$W)),AG263)</f>
        <v>0.1833944648</v>
      </c>
      <c r="AM263" s="74">
        <f t="shared" si="20"/>
        <v>0.1833944648</v>
      </c>
      <c r="AN263" s="73">
        <f>O263</f>
        <v>2449</v>
      </c>
    </row>
    <row r="264">
      <c r="A264" s="65" t="s">
        <v>2481</v>
      </c>
      <c r="B264" s="65" t="str">
        <f t="shared" si="1"/>
        <v>#VALUE!</v>
      </c>
      <c r="C264" s="65" t="str">
        <f t="shared" si="248"/>
        <v>#VALUE!</v>
      </c>
      <c r="D264" s="65" t="s">
        <v>2483</v>
      </c>
      <c r="E264" s="65" t="s">
        <v>2481</v>
      </c>
      <c r="F264" s="65" t="s">
        <v>2481</v>
      </c>
      <c r="G264" s="65" t="s">
        <v>5079</v>
      </c>
      <c r="H264" s="65" t="s">
        <v>1145</v>
      </c>
      <c r="I264" s="65">
        <v>1489.0</v>
      </c>
      <c r="J264" s="66">
        <v>0.3290799194089993</v>
      </c>
      <c r="K264" s="65">
        <f t="shared" si="3"/>
        <v>999</v>
      </c>
      <c r="L264" s="66">
        <v>0.33</v>
      </c>
      <c r="M264" s="65">
        <f t="shared" si="4"/>
        <v>998</v>
      </c>
      <c r="N264" s="77">
        <f t="shared" si="249"/>
        <v>0.3290799194</v>
      </c>
      <c r="O264" s="68">
        <v>999.0</v>
      </c>
      <c r="P264" s="67">
        <f t="shared" si="251"/>
        <v>0.3290799194</v>
      </c>
      <c r="Q264" s="69">
        <v>999.0</v>
      </c>
      <c r="R264" s="70"/>
      <c r="S264" s="71">
        <f t="shared" si="262"/>
        <v>0</v>
      </c>
      <c r="T264" s="72">
        <f t="shared" si="6"/>
        <v>0</v>
      </c>
      <c r="U264" s="73" t="str">
        <f t="shared" si="250"/>
        <v/>
      </c>
      <c r="V264" s="73">
        <f t="shared" si="257"/>
        <v>845.7627119</v>
      </c>
      <c r="W264" s="73">
        <f t="shared" si="9"/>
        <v>845.7627119</v>
      </c>
      <c r="X264" s="74">
        <f t="shared" si="10"/>
        <v>1</v>
      </c>
      <c r="Y264" s="73">
        <f t="shared" si="11"/>
        <v>0</v>
      </c>
      <c r="Z264" s="73">
        <f t="shared" si="12"/>
        <v>846.6101695</v>
      </c>
      <c r="AA264" s="73">
        <f t="shared" si="13"/>
        <v>846.6101695</v>
      </c>
      <c r="AB264" s="74">
        <f t="shared" si="14"/>
        <v>1</v>
      </c>
      <c r="AC264" s="61" t="str">
        <f t="shared" si="15"/>
        <v>9</v>
      </c>
      <c r="AD264" s="71" t="str">
        <f t="shared" si="16"/>
        <v>#DIV/0!</v>
      </c>
      <c r="AE264" s="61"/>
      <c r="AF264" s="61"/>
      <c r="AG264" s="71">
        <f t="array" ref="AG264">IFERROR(xlookup(G264,'Old Master'!T:T,'Old Master'!V:V),N264)</f>
        <v>0.3290799194</v>
      </c>
      <c r="AH264" s="73">
        <f t="shared" si="229"/>
        <v>999</v>
      </c>
      <c r="AI264" s="73">
        <f t="shared" si="230"/>
        <v>846.6101695</v>
      </c>
      <c r="AJ264" s="72">
        <f t="shared" si="19"/>
        <v>1</v>
      </c>
      <c r="AK264" s="61"/>
      <c r="AL264" s="71">
        <f>(I264-AN264)/I264</f>
        <v>0.3290799194</v>
      </c>
      <c r="AM264" s="74">
        <f t="shared" si="20"/>
        <v>0.3290799194</v>
      </c>
      <c r="AN264" s="73">
        <v>999.0</v>
      </c>
    </row>
    <row r="265">
      <c r="A265" s="65" t="s">
        <v>1911</v>
      </c>
      <c r="B265" s="65">
        <f t="shared" si="1"/>
        <v>72</v>
      </c>
      <c r="C265" s="65" t="str">
        <f t="shared" si="248"/>
        <v>SC-ULTM-LATEX-K-84x74x10</v>
      </c>
      <c r="D265" s="65" t="s">
        <v>1913</v>
      </c>
      <c r="E265" s="65">
        <v>0.0</v>
      </c>
      <c r="F265" s="65">
        <v>0.0</v>
      </c>
      <c r="G265" s="65" t="s">
        <v>5109</v>
      </c>
      <c r="H265" s="65" t="s">
        <v>52</v>
      </c>
      <c r="I265" s="65">
        <v>44999.0</v>
      </c>
      <c r="J265" s="66">
        <v>0.23</v>
      </c>
      <c r="K265" s="65">
        <f t="shared" si="3"/>
        <v>34649</v>
      </c>
      <c r="L265" s="66">
        <v>0.18</v>
      </c>
      <c r="M265" s="65">
        <f t="shared" si="4"/>
        <v>36899</v>
      </c>
      <c r="N265" s="67">
        <f t="shared" si="249"/>
        <v>0.1000022223</v>
      </c>
      <c r="O265" s="68">
        <v>40499.0</v>
      </c>
      <c r="P265" s="67">
        <f t="shared" si="251"/>
        <v>0.1000022223</v>
      </c>
      <c r="Q265" s="69">
        <v>40499.0</v>
      </c>
      <c r="R265" s="70"/>
      <c r="S265" s="71">
        <f t="shared" ref="S265:S266" si="263">O265/M265-1</f>
        <v>0.09756361961</v>
      </c>
      <c r="T265" s="72">
        <f t="shared" si="6"/>
        <v>0</v>
      </c>
      <c r="U265" s="73" t="str">
        <f t="shared" si="250"/>
        <v/>
      </c>
      <c r="V265" s="73">
        <f t="shared" si="257"/>
        <v>31270.33898</v>
      </c>
      <c r="W265" s="73">
        <f t="shared" si="9"/>
        <v>31270.33898</v>
      </c>
      <c r="X265" s="74">
        <f t="shared" si="10"/>
        <v>1</v>
      </c>
      <c r="Y265" s="73">
        <f t="shared" si="11"/>
        <v>0</v>
      </c>
      <c r="Z265" s="73">
        <f t="shared" si="12"/>
        <v>34321.18644</v>
      </c>
      <c r="AA265" s="73">
        <f t="shared" si="13"/>
        <v>34321.18644</v>
      </c>
      <c r="AB265" s="74">
        <f t="shared" si="14"/>
        <v>1</v>
      </c>
      <c r="AC265" s="61" t="str">
        <f t="shared" si="15"/>
        <v>0</v>
      </c>
      <c r="AD265" s="71" t="str">
        <f t="shared" si="16"/>
        <v>#DIV/0!</v>
      </c>
      <c r="AE265" s="61"/>
      <c r="AF265" s="61"/>
      <c r="AG265" s="71">
        <f t="array" ref="AG265">IFERROR(xlookup(G265,'Old Master'!T:T,'Old Master'!V:V),N265)</f>
        <v>0.1000022223</v>
      </c>
      <c r="AH265" s="73">
        <f t="shared" si="229"/>
        <v>40499</v>
      </c>
      <c r="AI265" s="73">
        <f t="shared" si="230"/>
        <v>34321.18644</v>
      </c>
      <c r="AJ265" s="72">
        <f t="shared" si="19"/>
        <v>1</v>
      </c>
      <c r="AK265" s="61"/>
      <c r="AL265" s="71">
        <f t="array" ref="AL265">iferror(if(isblank(xlookup($G265,'Old Master'!$T:$T,'Old Master'!$W:$W)),AG265,xlookup($G265,'Old Master'!$T:$T,'Old Master'!$W:$W)),AG265)</f>
        <v>0.1000022223</v>
      </c>
      <c r="AM265" s="74">
        <f t="shared" si="20"/>
        <v>0.1000022223</v>
      </c>
      <c r="AN265" s="73">
        <f t="shared" ref="AN265:AN272" si="264">mround($I265*(1-AL265),100)-1</f>
        <v>40499</v>
      </c>
    </row>
    <row r="266">
      <c r="A266" s="65" t="s">
        <v>1607</v>
      </c>
      <c r="B266" s="65">
        <f t="shared" si="1"/>
        <v>66</v>
      </c>
      <c r="C266" s="65" t="str">
        <f t="shared" si="248"/>
        <v>SC-ULTM-Q-78x68x8</v>
      </c>
      <c r="D266" s="65">
        <v>0.0</v>
      </c>
      <c r="E266" s="65">
        <v>0.0</v>
      </c>
      <c r="F266" s="65" t="s">
        <v>1610</v>
      </c>
      <c r="G266" s="65" t="s">
        <v>5112</v>
      </c>
      <c r="H266" s="65" t="s">
        <v>52</v>
      </c>
      <c r="I266" s="65">
        <v>25999.0</v>
      </c>
      <c r="J266" s="66">
        <v>0.0</v>
      </c>
      <c r="K266" s="65">
        <f t="shared" si="3"/>
        <v>25999</v>
      </c>
      <c r="L266" s="66">
        <v>0.0</v>
      </c>
      <c r="M266" s="65">
        <f t="shared" si="4"/>
        <v>25999</v>
      </c>
      <c r="N266" s="67">
        <f t="shared" si="249"/>
        <v>0.1000038463</v>
      </c>
      <c r="O266" s="68">
        <v>23399.0</v>
      </c>
      <c r="P266" s="67">
        <f t="shared" si="251"/>
        <v>0.1000038463</v>
      </c>
      <c r="Q266" s="69">
        <v>23399.0</v>
      </c>
      <c r="R266" s="70"/>
      <c r="S266" s="71">
        <f t="shared" si="263"/>
        <v>-0.1000038463</v>
      </c>
      <c r="T266" s="72">
        <f t="shared" si="6"/>
        <v>0</v>
      </c>
      <c r="U266" s="73">
        <f t="array" ref="U266">IFERROR(XLOOKUP(A266,COGS!I:I,COGS!J:J), IFERROR(XLOOKUP(C266,COGS!I:I,COGS!J:J),I266*35%))</f>
        <v>9099.65</v>
      </c>
      <c r="V266" s="73">
        <f t="shared" si="257"/>
        <v>22033.05085</v>
      </c>
      <c r="W266" s="73">
        <f t="shared" si="9"/>
        <v>12933.40085</v>
      </c>
      <c r="X266" s="74">
        <f t="shared" si="10"/>
        <v>0.587</v>
      </c>
      <c r="Y266" s="73">
        <f t="shared" si="11"/>
        <v>10464.5975</v>
      </c>
      <c r="Z266" s="73">
        <f t="shared" si="12"/>
        <v>19829.66102</v>
      </c>
      <c r="AA266" s="73">
        <f t="shared" si="13"/>
        <v>9365.063517</v>
      </c>
      <c r="AB266" s="74">
        <f t="shared" si="14"/>
        <v>0.4722755225</v>
      </c>
      <c r="AC266" s="61" t="str">
        <f t="shared" si="15"/>
        <v>8</v>
      </c>
      <c r="AD266" s="71">
        <f t="shared" si="16"/>
        <v>0.15</v>
      </c>
      <c r="AE266" s="61"/>
      <c r="AF266" s="61"/>
      <c r="AG266" s="71">
        <f t="array" ref="AG266">IFERROR(xlookup(G266,'Old Master'!T:T,'Old Master'!V:V),N266)</f>
        <v>0.1000038463</v>
      </c>
      <c r="AH266" s="73">
        <f t="shared" si="229"/>
        <v>23399</v>
      </c>
      <c r="AI266" s="73">
        <f t="shared" si="230"/>
        <v>9365.063517</v>
      </c>
      <c r="AJ266" s="72">
        <f t="shared" si="19"/>
        <v>0.4722755225</v>
      </c>
      <c r="AK266" s="61"/>
      <c r="AL266" s="71">
        <f t="array" ref="AL266">iferror(if(isblank(xlookup($G266,'Old Master'!$T:$T,'Old Master'!$W:$W)),AG266,xlookup($G266,'Old Master'!$T:$T,'Old Master'!$W:$W)),AG266)</f>
        <v>0.1000038463</v>
      </c>
      <c r="AM266" s="74">
        <f t="shared" si="20"/>
        <v>0.1000038463</v>
      </c>
      <c r="AN266" s="73">
        <f t="shared" si="264"/>
        <v>23399</v>
      </c>
    </row>
    <row r="267">
      <c r="A267" s="65" t="s">
        <v>4393</v>
      </c>
      <c r="B267" s="65">
        <f t="shared" si="1"/>
        <v>72</v>
      </c>
      <c r="C267" s="65" t="str">
        <f t="shared" si="248"/>
        <v>SC-QRMTTOPPER-K-72x74x2</v>
      </c>
      <c r="D267" s="65" t="s">
        <v>4395</v>
      </c>
      <c r="E267" s="65">
        <v>0.0</v>
      </c>
      <c r="F267" s="65" t="s">
        <v>4396</v>
      </c>
      <c r="G267" s="65" t="s">
        <v>5143</v>
      </c>
      <c r="H267" s="65" t="s">
        <v>4730</v>
      </c>
      <c r="I267" s="65">
        <v>6599.0</v>
      </c>
      <c r="J267" s="66">
        <v>0.2</v>
      </c>
      <c r="K267" s="65">
        <f t="shared" si="3"/>
        <v>5279</v>
      </c>
      <c r="L267" s="66">
        <v>0.26</v>
      </c>
      <c r="M267" s="65">
        <f t="shared" si="4"/>
        <v>4883</v>
      </c>
      <c r="N267" s="67">
        <f t="shared" si="249"/>
        <v>0.0909228671</v>
      </c>
      <c r="O267" s="78">
        <v>5999.0</v>
      </c>
      <c r="P267" s="67">
        <f t="shared" si="251"/>
        <v>0.0909228671</v>
      </c>
      <c r="Q267" s="79">
        <v>5999.0</v>
      </c>
      <c r="R267" s="70"/>
      <c r="S267" s="71">
        <f t="shared" ref="S267:S268" si="265">O267/K267-1</f>
        <v>0.1363894677</v>
      </c>
      <c r="T267" s="72">
        <f t="shared" si="6"/>
        <v>0</v>
      </c>
      <c r="U267" s="73">
        <f t="shared" ref="U267:U268" si="266">O267*35%</f>
        <v>2099.65</v>
      </c>
      <c r="V267" s="73">
        <f t="shared" ref="V267:V268" si="267">K267/1.18</f>
        <v>4473.728814</v>
      </c>
      <c r="W267" s="73">
        <f t="shared" si="9"/>
        <v>2374.078814</v>
      </c>
      <c r="X267" s="74">
        <f t="shared" si="10"/>
        <v>0.5306711498</v>
      </c>
      <c r="Y267" s="73">
        <f t="shared" si="11"/>
        <v>2414.5975</v>
      </c>
      <c r="Z267" s="73">
        <f t="shared" si="12"/>
        <v>5083.898305</v>
      </c>
      <c r="AA267" s="73">
        <f t="shared" si="13"/>
        <v>2669.300805</v>
      </c>
      <c r="AB267" s="74">
        <f t="shared" si="14"/>
        <v>0.52505</v>
      </c>
      <c r="AC267" s="61" t="str">
        <f t="shared" si="15"/>
        <v>2</v>
      </c>
      <c r="AD267" s="71">
        <f t="shared" si="16"/>
        <v>0.15</v>
      </c>
      <c r="AE267" s="61"/>
      <c r="AF267" s="61"/>
      <c r="AG267" s="71">
        <f t="array" ref="AG267">IFERROR(xlookup(G267,'Old Master'!T:T,'Old Master'!V:V),N267)</f>
        <v>0.0909228671</v>
      </c>
      <c r="AH267" s="73">
        <f t="shared" si="229"/>
        <v>5999</v>
      </c>
      <c r="AI267" s="73">
        <f t="shared" si="230"/>
        <v>2669.300805</v>
      </c>
      <c r="AJ267" s="72">
        <f t="shared" si="19"/>
        <v>0.52505</v>
      </c>
      <c r="AK267" s="61"/>
      <c r="AL267" s="71">
        <f t="array" ref="AL267">iferror(if(isblank(xlookup($G267,'Old Master'!$T:$T,'Old Master'!$W:$W)),AG267,xlookup($G267,'Old Master'!$T:$T,'Old Master'!$W:$W)),AG267)</f>
        <v>0.0909228671</v>
      </c>
      <c r="AM267" s="74">
        <f t="shared" si="20"/>
        <v>0.0909228671</v>
      </c>
      <c r="AN267" s="73">
        <f t="shared" si="264"/>
        <v>5999</v>
      </c>
    </row>
    <row r="268">
      <c r="A268" s="65" t="s">
        <v>4378</v>
      </c>
      <c r="B268" s="65">
        <f t="shared" si="1"/>
        <v>60</v>
      </c>
      <c r="C268" s="65" t="str">
        <f t="shared" si="248"/>
        <v>SC-QRMTTOPPER-Q-72x62x2</v>
      </c>
      <c r="D268" s="65" t="s">
        <v>4380</v>
      </c>
      <c r="E268" s="65">
        <v>0.0</v>
      </c>
      <c r="F268" s="65" t="s">
        <v>4381</v>
      </c>
      <c r="G268" s="65" t="s">
        <v>5143</v>
      </c>
      <c r="H268" s="65" t="s">
        <v>4730</v>
      </c>
      <c r="I268" s="65">
        <v>5639.0</v>
      </c>
      <c r="J268" s="66">
        <v>0.2</v>
      </c>
      <c r="K268" s="65">
        <f t="shared" si="3"/>
        <v>4511</v>
      </c>
      <c r="L268" s="66">
        <v>0.26</v>
      </c>
      <c r="M268" s="65">
        <f t="shared" si="4"/>
        <v>4173</v>
      </c>
      <c r="N268" s="67">
        <f t="shared" si="249"/>
        <v>0.09576165987</v>
      </c>
      <c r="O268" s="78">
        <v>5099.0</v>
      </c>
      <c r="P268" s="67">
        <f t="shared" si="251"/>
        <v>0.09576165987</v>
      </c>
      <c r="Q268" s="79">
        <v>5099.0</v>
      </c>
      <c r="R268" s="70"/>
      <c r="S268" s="71">
        <f t="shared" si="265"/>
        <v>0.1303480381</v>
      </c>
      <c r="T268" s="72">
        <f t="shared" si="6"/>
        <v>0</v>
      </c>
      <c r="U268" s="73">
        <f t="shared" si="266"/>
        <v>1784.65</v>
      </c>
      <c r="V268" s="73">
        <f t="shared" si="267"/>
        <v>3822.881356</v>
      </c>
      <c r="W268" s="73">
        <f t="shared" si="9"/>
        <v>2038.231356</v>
      </c>
      <c r="X268" s="74">
        <f t="shared" si="10"/>
        <v>0.5331662603</v>
      </c>
      <c r="Y268" s="73">
        <f t="shared" si="11"/>
        <v>2052.3475</v>
      </c>
      <c r="Z268" s="73">
        <f t="shared" si="12"/>
        <v>4321.186441</v>
      </c>
      <c r="AA268" s="73">
        <f t="shared" si="13"/>
        <v>2268.838941</v>
      </c>
      <c r="AB268" s="74">
        <f t="shared" si="14"/>
        <v>0.52505</v>
      </c>
      <c r="AC268" s="61" t="str">
        <f t="shared" si="15"/>
        <v>2</v>
      </c>
      <c r="AD268" s="71">
        <f t="shared" si="16"/>
        <v>0.15</v>
      </c>
      <c r="AE268" s="61"/>
      <c r="AF268" s="61"/>
      <c r="AG268" s="71">
        <f t="array" ref="AG268">IFERROR(xlookup(G268,'Old Master'!T:T,'Old Master'!V:V),N268)</f>
        <v>0.09576165987</v>
      </c>
      <c r="AH268" s="73">
        <f t="shared" si="229"/>
        <v>5099</v>
      </c>
      <c r="AI268" s="73">
        <f t="shared" si="230"/>
        <v>2268.838941</v>
      </c>
      <c r="AJ268" s="72">
        <f t="shared" si="19"/>
        <v>0.52505</v>
      </c>
      <c r="AK268" s="61"/>
      <c r="AL268" s="71">
        <f t="array" ref="AL268">iferror(if(isblank(xlookup($G268,'Old Master'!$T:$T,'Old Master'!$W:$W)),AG268,xlookup($G268,'Old Master'!$T:$T,'Old Master'!$W:$W)),AG268)</f>
        <v>0.09576165987</v>
      </c>
      <c r="AM268" s="74">
        <f t="shared" si="20"/>
        <v>0.09576165987</v>
      </c>
      <c r="AN268" s="73">
        <f t="shared" si="264"/>
        <v>5099</v>
      </c>
    </row>
    <row r="269">
      <c r="A269" s="65" t="s">
        <v>2050</v>
      </c>
      <c r="B269" s="65">
        <f t="shared" si="1"/>
        <v>48</v>
      </c>
      <c r="C269" s="65" t="str">
        <f t="shared" si="248"/>
        <v>SC-CLD-SPR-D-72x50x8</v>
      </c>
      <c r="D269" s="65" t="s">
        <v>2052</v>
      </c>
      <c r="E269" s="65" t="s">
        <v>2053</v>
      </c>
      <c r="F269" s="65" t="s">
        <v>2054</v>
      </c>
      <c r="G269" s="65" t="s">
        <v>5138</v>
      </c>
      <c r="H269" s="65" t="s">
        <v>52</v>
      </c>
      <c r="I269" s="65">
        <v>22999.0</v>
      </c>
      <c r="J269" s="66">
        <v>0.25</v>
      </c>
      <c r="K269" s="65">
        <f t="shared" si="3"/>
        <v>17249</v>
      </c>
      <c r="L269" s="66">
        <v>0.2</v>
      </c>
      <c r="M269" s="65">
        <f t="shared" si="4"/>
        <v>18399</v>
      </c>
      <c r="N269" s="67">
        <f t="shared" si="249"/>
        <v>0.100004348</v>
      </c>
      <c r="O269" s="68">
        <v>20699.0</v>
      </c>
      <c r="P269" s="67">
        <f t="shared" si="251"/>
        <v>0.100004348</v>
      </c>
      <c r="Q269" s="69">
        <v>20699.0</v>
      </c>
      <c r="R269" s="70"/>
      <c r="S269" s="71">
        <f>O269/M269-1</f>
        <v>0.1250067938</v>
      </c>
      <c r="T269" s="72">
        <f t="shared" si="6"/>
        <v>0</v>
      </c>
      <c r="U269" s="73" t="str">
        <f t="shared" ref="U269:U304" si="268">IFERROR(XLOOKUP(A269,COGS!I:I,COGS!J:J), IFERROR(XLOOKUP(C269,COGS!I:I,COGS!J:J),""))</f>
        <v/>
      </c>
      <c r="V269" s="73">
        <f t="shared" ref="V269:V282" si="269">M269/1.18</f>
        <v>15592.37288</v>
      </c>
      <c r="W269" s="73">
        <f t="shared" si="9"/>
        <v>15592.37288</v>
      </c>
      <c r="X269" s="74">
        <f t="shared" si="10"/>
        <v>1</v>
      </c>
      <c r="Y269" s="73">
        <f t="shared" si="11"/>
        <v>0</v>
      </c>
      <c r="Z269" s="73">
        <f t="shared" si="12"/>
        <v>17541.52542</v>
      </c>
      <c r="AA269" s="73">
        <f t="shared" si="13"/>
        <v>17541.52542</v>
      </c>
      <c r="AB269" s="74">
        <f t="shared" si="14"/>
        <v>1</v>
      </c>
      <c r="AC269" s="61" t="str">
        <f t="shared" si="15"/>
        <v>8</v>
      </c>
      <c r="AD269" s="71" t="str">
        <f t="shared" si="16"/>
        <v>#DIV/0!</v>
      </c>
      <c r="AE269" s="61"/>
      <c r="AF269" s="61"/>
      <c r="AG269" s="71">
        <f t="array" ref="AG269">IFERROR(xlookup(G269,'Old Master'!T:T,'Old Master'!V:V),N269)</f>
        <v>0.100004348</v>
      </c>
      <c r="AH269" s="73">
        <f t="shared" si="229"/>
        <v>20699</v>
      </c>
      <c r="AI269" s="73">
        <f t="shared" si="230"/>
        <v>17541.52542</v>
      </c>
      <c r="AJ269" s="72">
        <f t="shared" si="19"/>
        <v>1</v>
      </c>
      <c r="AK269" s="61"/>
      <c r="AL269" s="71">
        <f t="array" ref="AL269">iferror(if(isblank(xlookup($G269,'Old Master'!$T:$T,'Old Master'!$W:$W)),AG269,xlookup($G269,'Old Master'!$T:$T,'Old Master'!$W:$W)),AG269)</f>
        <v>0.100004348</v>
      </c>
      <c r="AM269" s="74">
        <f t="shared" si="20"/>
        <v>0.100004348</v>
      </c>
      <c r="AN269" s="73">
        <f t="shared" si="264"/>
        <v>20699</v>
      </c>
    </row>
    <row r="270">
      <c r="A270" s="65" t="s">
        <v>2981</v>
      </c>
      <c r="B270" s="65" t="str">
        <f t="shared" si="1"/>
        <v>#VALUE!</v>
      </c>
      <c r="C270" s="65" t="str">
        <f t="shared" si="248"/>
        <v>#VALUE!</v>
      </c>
      <c r="D270" s="65" t="s">
        <v>2983</v>
      </c>
      <c r="E270" s="65" t="s">
        <v>2981</v>
      </c>
      <c r="F270" s="65" t="s">
        <v>2981</v>
      </c>
      <c r="G270" s="65" t="s">
        <v>5088</v>
      </c>
      <c r="H270" s="65" t="s">
        <v>4730</v>
      </c>
      <c r="I270" s="65">
        <v>2989.0</v>
      </c>
      <c r="J270" s="66">
        <v>0.3312144529943125</v>
      </c>
      <c r="K270" s="65">
        <f t="shared" si="3"/>
        <v>1999</v>
      </c>
      <c r="L270" s="66">
        <v>0.15</v>
      </c>
      <c r="M270" s="65">
        <f t="shared" si="4"/>
        <v>2541</v>
      </c>
      <c r="N270" s="67">
        <f t="shared" si="249"/>
        <v>0.09702241552</v>
      </c>
      <c r="O270" s="68">
        <v>2699.0</v>
      </c>
      <c r="P270" s="67">
        <f t="shared" si="251"/>
        <v>0.09702241552</v>
      </c>
      <c r="Q270" s="69">
        <v>2699.0</v>
      </c>
      <c r="R270" s="70"/>
      <c r="S270" s="71">
        <f t="shared" ref="S270:S276" si="270">O270/K270-1</f>
        <v>0.3501750875</v>
      </c>
      <c r="T270" s="72">
        <f t="shared" si="6"/>
        <v>0</v>
      </c>
      <c r="U270" s="73" t="str">
        <f t="shared" si="268"/>
        <v/>
      </c>
      <c r="V270" s="73">
        <f t="shared" si="269"/>
        <v>2153.389831</v>
      </c>
      <c r="W270" s="73">
        <f t="shared" si="9"/>
        <v>2153.389831</v>
      </c>
      <c r="X270" s="74">
        <f t="shared" si="10"/>
        <v>1</v>
      </c>
      <c r="Y270" s="73">
        <f t="shared" si="11"/>
        <v>0</v>
      </c>
      <c r="Z270" s="73">
        <f t="shared" si="12"/>
        <v>2287.288136</v>
      </c>
      <c r="AA270" s="73">
        <f t="shared" si="13"/>
        <v>2287.288136</v>
      </c>
      <c r="AB270" s="74">
        <f t="shared" si="14"/>
        <v>1</v>
      </c>
      <c r="AC270" s="61" t="str">
        <f t="shared" si="15"/>
        <v>0</v>
      </c>
      <c r="AD270" s="71" t="str">
        <f t="shared" si="16"/>
        <v>#DIV/0!</v>
      </c>
      <c r="AE270" s="61"/>
      <c r="AF270" s="61"/>
      <c r="AG270" s="71">
        <f t="array" ref="AG270">IFERROR(xlookup(G270,'Old Master'!T:T,'Old Master'!V:V),N270)</f>
        <v>0.09702241552</v>
      </c>
      <c r="AH270" s="73">
        <f t="shared" si="229"/>
        <v>2699</v>
      </c>
      <c r="AI270" s="73">
        <f t="shared" si="230"/>
        <v>2287.288136</v>
      </c>
      <c r="AJ270" s="72">
        <f t="shared" si="19"/>
        <v>1</v>
      </c>
      <c r="AK270" s="61"/>
      <c r="AL270" s="71">
        <f t="array" ref="AL270">iferror(if(isblank(xlookup($G270,'Old Master'!$T:$T,'Old Master'!$W:$W)),AG270,xlookup($G270,'Old Master'!$T:$T,'Old Master'!$W:$W)),AG270)</f>
        <v>0.09702241552</v>
      </c>
      <c r="AM270" s="74">
        <f t="shared" si="20"/>
        <v>0.09702241552</v>
      </c>
      <c r="AN270" s="73">
        <f t="shared" si="264"/>
        <v>2699</v>
      </c>
    </row>
    <row r="271">
      <c r="A271" s="65" t="s">
        <v>2995</v>
      </c>
      <c r="B271" s="65" t="str">
        <f t="shared" si="1"/>
        <v>#VALUE!</v>
      </c>
      <c r="C271" s="65" t="str">
        <f t="shared" si="248"/>
        <v>#VALUE!</v>
      </c>
      <c r="D271" s="65" t="s">
        <v>2997</v>
      </c>
      <c r="E271" s="65" t="s">
        <v>2995</v>
      </c>
      <c r="F271" s="65" t="s">
        <v>2995</v>
      </c>
      <c r="G271" s="65" t="s">
        <v>5088</v>
      </c>
      <c r="H271" s="65" t="s">
        <v>4730</v>
      </c>
      <c r="I271" s="65">
        <v>2789.0</v>
      </c>
      <c r="J271" s="66">
        <v>0.2832556471853711</v>
      </c>
      <c r="K271" s="65">
        <f t="shared" si="3"/>
        <v>1999</v>
      </c>
      <c r="L271" s="66">
        <v>0.15</v>
      </c>
      <c r="M271" s="65">
        <f t="shared" si="4"/>
        <v>2371</v>
      </c>
      <c r="N271" s="67">
        <f t="shared" si="249"/>
        <v>0.1039799211</v>
      </c>
      <c r="O271" s="68">
        <v>2499.0</v>
      </c>
      <c r="P271" s="67">
        <f t="shared" si="251"/>
        <v>0.1039799211</v>
      </c>
      <c r="Q271" s="69">
        <v>2499.0</v>
      </c>
      <c r="R271" s="70"/>
      <c r="S271" s="71">
        <f t="shared" si="270"/>
        <v>0.2501250625</v>
      </c>
      <c r="T271" s="72">
        <f t="shared" si="6"/>
        <v>0</v>
      </c>
      <c r="U271" s="73" t="str">
        <f t="shared" si="268"/>
        <v/>
      </c>
      <c r="V271" s="73">
        <f t="shared" si="269"/>
        <v>2009.322034</v>
      </c>
      <c r="W271" s="73">
        <f t="shared" si="9"/>
        <v>2009.322034</v>
      </c>
      <c r="X271" s="74">
        <f t="shared" si="10"/>
        <v>1</v>
      </c>
      <c r="Y271" s="73">
        <f t="shared" si="11"/>
        <v>0</v>
      </c>
      <c r="Z271" s="73">
        <f t="shared" si="12"/>
        <v>2117.79661</v>
      </c>
      <c r="AA271" s="73">
        <f t="shared" si="13"/>
        <v>2117.79661</v>
      </c>
      <c r="AB271" s="74">
        <f t="shared" si="14"/>
        <v>1</v>
      </c>
      <c r="AC271" s="61" t="str">
        <f t="shared" si="15"/>
        <v>0</v>
      </c>
      <c r="AD271" s="71" t="str">
        <f t="shared" si="16"/>
        <v>#DIV/0!</v>
      </c>
      <c r="AE271" s="61"/>
      <c r="AF271" s="61"/>
      <c r="AG271" s="71">
        <f t="array" ref="AG271">IFERROR(xlookup(G271,'Old Master'!T:T,'Old Master'!V:V),N271)</f>
        <v>0.1039799211</v>
      </c>
      <c r="AH271" s="73">
        <f t="shared" si="229"/>
        <v>2499</v>
      </c>
      <c r="AI271" s="73">
        <f t="shared" si="230"/>
        <v>2117.79661</v>
      </c>
      <c r="AJ271" s="72">
        <f t="shared" si="19"/>
        <v>1</v>
      </c>
      <c r="AK271" s="61"/>
      <c r="AL271" s="71">
        <f t="array" ref="AL271">iferror(if(isblank(xlookup($G271,'Old Master'!$T:$T,'Old Master'!$W:$W)),AG271,xlookup($G271,'Old Master'!$T:$T,'Old Master'!$W:$W)),AG271)</f>
        <v>0.1039799211</v>
      </c>
      <c r="AM271" s="74">
        <f t="shared" si="20"/>
        <v>0.1039799211</v>
      </c>
      <c r="AN271" s="73">
        <f t="shared" si="264"/>
        <v>2499</v>
      </c>
    </row>
    <row r="272">
      <c r="A272" s="65" t="s">
        <v>2822</v>
      </c>
      <c r="B272" s="65" t="str">
        <f t="shared" si="1"/>
        <v>#VALUE!</v>
      </c>
      <c r="C272" s="65" t="str">
        <f t="shared" si="248"/>
        <v>#VALUE!</v>
      </c>
      <c r="D272" s="65" t="s">
        <v>2824</v>
      </c>
      <c r="E272" s="65" t="s">
        <v>2822</v>
      </c>
      <c r="F272" s="65" t="s">
        <v>2825</v>
      </c>
      <c r="G272" s="65" t="s">
        <v>5107</v>
      </c>
      <c r="H272" s="65" t="s">
        <v>4730</v>
      </c>
      <c r="I272" s="65">
        <v>2189.0</v>
      </c>
      <c r="J272" s="66">
        <v>0.2815485168426345</v>
      </c>
      <c r="K272" s="65">
        <f t="shared" si="3"/>
        <v>1573</v>
      </c>
      <c r="L272" s="66">
        <v>0.1</v>
      </c>
      <c r="M272" s="65">
        <f t="shared" si="4"/>
        <v>1970</v>
      </c>
      <c r="N272" s="67">
        <f t="shared" si="249"/>
        <v>0.1813613522</v>
      </c>
      <c r="O272" s="68">
        <v>1792.0</v>
      </c>
      <c r="P272" s="67">
        <f t="shared" si="251"/>
        <v>0.1813613522</v>
      </c>
      <c r="Q272" s="69">
        <v>1792.0</v>
      </c>
      <c r="R272" s="70"/>
      <c r="S272" s="71">
        <f t="shared" si="270"/>
        <v>0.139224412</v>
      </c>
      <c r="T272" s="72">
        <f t="shared" si="6"/>
        <v>0</v>
      </c>
      <c r="U272" s="73" t="str">
        <f t="shared" si="268"/>
        <v/>
      </c>
      <c r="V272" s="73">
        <f t="shared" si="269"/>
        <v>1669.491525</v>
      </c>
      <c r="W272" s="73">
        <f t="shared" si="9"/>
        <v>1669.491525</v>
      </c>
      <c r="X272" s="74">
        <f t="shared" si="10"/>
        <v>1</v>
      </c>
      <c r="Y272" s="73">
        <f t="shared" si="11"/>
        <v>0</v>
      </c>
      <c r="Z272" s="73">
        <f t="shared" si="12"/>
        <v>1518.644068</v>
      </c>
      <c r="AA272" s="73">
        <f t="shared" si="13"/>
        <v>1518.644068</v>
      </c>
      <c r="AB272" s="74">
        <f t="shared" si="14"/>
        <v>1</v>
      </c>
      <c r="AC272" s="61" t="str">
        <f t="shared" si="15"/>
        <v>2</v>
      </c>
      <c r="AD272" s="71" t="str">
        <f t="shared" si="16"/>
        <v>#DIV/0!</v>
      </c>
      <c r="AE272" s="61"/>
      <c r="AF272" s="61"/>
      <c r="AG272" s="71">
        <f t="array" ref="AG272">IFERROR(xlookup(G272,'Old Master'!T:T,'Old Master'!V:V),N272)</f>
        <v>0.1813613522</v>
      </c>
      <c r="AH272" s="73">
        <f t="shared" si="229"/>
        <v>1792</v>
      </c>
      <c r="AI272" s="73">
        <f t="shared" si="230"/>
        <v>1518.644068</v>
      </c>
      <c r="AJ272" s="72">
        <f t="shared" si="19"/>
        <v>1</v>
      </c>
      <c r="AK272" s="61"/>
      <c r="AL272" s="71">
        <f t="array" ref="AL272">iferror(if(isblank(xlookup($G272,'Old Master'!$T:$T,'Old Master'!$W:$W)),AG272,xlookup($G272,'Old Master'!$T:$T,'Old Master'!$W:$W)),AG272)</f>
        <v>0.1813613522</v>
      </c>
      <c r="AM272" s="74">
        <f t="shared" si="20"/>
        <v>0.178163545</v>
      </c>
      <c r="AN272" s="73">
        <f t="shared" si="264"/>
        <v>1799</v>
      </c>
    </row>
    <row r="273">
      <c r="A273" s="65" t="s">
        <v>2812</v>
      </c>
      <c r="B273" s="65" t="str">
        <f t="shared" si="1"/>
        <v>#VALUE!</v>
      </c>
      <c r="C273" s="65" t="str">
        <f t="shared" si="248"/>
        <v>#VALUE!</v>
      </c>
      <c r="D273" s="65" t="s">
        <v>2814</v>
      </c>
      <c r="E273" s="65" t="s">
        <v>2812</v>
      </c>
      <c r="F273" s="65" t="s">
        <v>2812</v>
      </c>
      <c r="G273" s="65" t="s">
        <v>5107</v>
      </c>
      <c r="H273" s="65" t="s">
        <v>4730</v>
      </c>
      <c r="I273" s="65">
        <v>2489.0</v>
      </c>
      <c r="J273" s="66">
        <v>0.2815485168426345</v>
      </c>
      <c r="K273" s="65">
        <f t="shared" si="3"/>
        <v>1788</v>
      </c>
      <c r="L273" s="66">
        <v>0.1</v>
      </c>
      <c r="M273" s="65">
        <f t="shared" si="4"/>
        <v>2240</v>
      </c>
      <c r="N273" s="67">
        <f t="shared" si="249"/>
        <v>0.1815990358</v>
      </c>
      <c r="O273" s="68">
        <v>2037.0</v>
      </c>
      <c r="P273" s="67">
        <f t="shared" si="251"/>
        <v>0.1815990358</v>
      </c>
      <c r="Q273" s="69">
        <v>2037.0</v>
      </c>
      <c r="R273" s="70"/>
      <c r="S273" s="71">
        <f t="shared" si="270"/>
        <v>0.139261745</v>
      </c>
      <c r="T273" s="72">
        <f t="shared" si="6"/>
        <v>0</v>
      </c>
      <c r="U273" s="73" t="str">
        <f t="shared" si="268"/>
        <v/>
      </c>
      <c r="V273" s="73">
        <f t="shared" si="269"/>
        <v>1898.305085</v>
      </c>
      <c r="W273" s="73">
        <f t="shared" si="9"/>
        <v>1898.305085</v>
      </c>
      <c r="X273" s="74">
        <f t="shared" si="10"/>
        <v>1</v>
      </c>
      <c r="Y273" s="73">
        <f t="shared" si="11"/>
        <v>0</v>
      </c>
      <c r="Z273" s="73">
        <f t="shared" si="12"/>
        <v>1726.271186</v>
      </c>
      <c r="AA273" s="73">
        <f t="shared" si="13"/>
        <v>1726.271186</v>
      </c>
      <c r="AB273" s="74">
        <f t="shared" si="14"/>
        <v>1</v>
      </c>
      <c r="AC273" s="61" t="str">
        <f t="shared" si="15"/>
        <v>2</v>
      </c>
      <c r="AD273" s="71" t="str">
        <f t="shared" si="16"/>
        <v>#DIV/0!</v>
      </c>
      <c r="AE273" s="61"/>
      <c r="AF273" s="61"/>
      <c r="AG273" s="71">
        <f t="array" ref="AG273">IFERROR(xlookup(G273,'Old Master'!T:T,'Old Master'!V:V),N273)</f>
        <v>0.1815990358</v>
      </c>
      <c r="AH273" s="73">
        <f t="shared" si="229"/>
        <v>2037</v>
      </c>
      <c r="AI273" s="73">
        <f t="shared" si="230"/>
        <v>1726.271186</v>
      </c>
      <c r="AJ273" s="72">
        <f t="shared" si="19"/>
        <v>1</v>
      </c>
      <c r="AK273" s="61"/>
      <c r="AL273" s="71">
        <f t="array" ref="AL273">iferror(if(isblank(xlookup($G273,'Old Master'!$T:$T,'Old Master'!$W:$W)),AG273,xlookup($G273,'Old Master'!$T:$T,'Old Master'!$W:$W)),AG273)</f>
        <v>0.1815990358</v>
      </c>
      <c r="AM273" s="74">
        <f t="shared" si="20"/>
        <v>0.1815990358</v>
      </c>
      <c r="AN273" s="73">
        <f>O273</f>
        <v>2037</v>
      </c>
    </row>
    <row r="274">
      <c r="A274" s="65" t="s">
        <v>2828</v>
      </c>
      <c r="B274" s="65" t="str">
        <f t="shared" si="1"/>
        <v>#VALUE!</v>
      </c>
      <c r="C274" s="65" t="str">
        <f t="shared" si="248"/>
        <v>#VALUE!</v>
      </c>
      <c r="D274" s="65" t="s">
        <v>2830</v>
      </c>
      <c r="E274" s="65" t="s">
        <v>2828</v>
      </c>
      <c r="F274" s="65" t="s">
        <v>2832</v>
      </c>
      <c r="G274" s="65" t="s">
        <v>5107</v>
      </c>
      <c r="H274" s="65" t="s">
        <v>4730</v>
      </c>
      <c r="I274" s="65">
        <v>2189.0</v>
      </c>
      <c r="J274" s="66">
        <v>0.2815485168426345</v>
      </c>
      <c r="K274" s="65">
        <f t="shared" si="3"/>
        <v>1573</v>
      </c>
      <c r="L274" s="66">
        <v>0.1</v>
      </c>
      <c r="M274" s="65">
        <f t="shared" si="4"/>
        <v>1970</v>
      </c>
      <c r="N274" s="67">
        <f t="shared" si="249"/>
        <v>0.1813613522</v>
      </c>
      <c r="O274" s="68">
        <v>1792.0</v>
      </c>
      <c r="P274" s="67">
        <f t="shared" si="251"/>
        <v>0.1813613522</v>
      </c>
      <c r="Q274" s="69">
        <v>1792.0</v>
      </c>
      <c r="R274" s="70"/>
      <c r="S274" s="71">
        <f t="shared" si="270"/>
        <v>0.139224412</v>
      </c>
      <c r="T274" s="72">
        <f t="shared" si="6"/>
        <v>0</v>
      </c>
      <c r="U274" s="73" t="str">
        <f t="shared" si="268"/>
        <v/>
      </c>
      <c r="V274" s="73">
        <f t="shared" si="269"/>
        <v>1669.491525</v>
      </c>
      <c r="W274" s="73">
        <f t="shared" si="9"/>
        <v>1669.491525</v>
      </c>
      <c r="X274" s="74">
        <f t="shared" si="10"/>
        <v>1</v>
      </c>
      <c r="Y274" s="73">
        <f t="shared" si="11"/>
        <v>0</v>
      </c>
      <c r="Z274" s="73">
        <f t="shared" si="12"/>
        <v>1518.644068</v>
      </c>
      <c r="AA274" s="73">
        <f t="shared" si="13"/>
        <v>1518.644068</v>
      </c>
      <c r="AB274" s="74">
        <f t="shared" si="14"/>
        <v>1</v>
      </c>
      <c r="AC274" s="61" t="str">
        <f t="shared" si="15"/>
        <v>2</v>
      </c>
      <c r="AD274" s="71" t="str">
        <f t="shared" si="16"/>
        <v>#DIV/0!</v>
      </c>
      <c r="AE274" s="61"/>
      <c r="AF274" s="61"/>
      <c r="AG274" s="71">
        <f t="array" ref="AG274">IFERROR(xlookup(G274,'Old Master'!T:T,'Old Master'!V:V),N274)</f>
        <v>0.1813613522</v>
      </c>
      <c r="AH274" s="73">
        <f t="shared" si="229"/>
        <v>1792</v>
      </c>
      <c r="AI274" s="73">
        <f t="shared" si="230"/>
        <v>1518.644068</v>
      </c>
      <c r="AJ274" s="72">
        <f t="shared" si="19"/>
        <v>1</v>
      </c>
      <c r="AK274" s="61"/>
      <c r="AL274" s="71">
        <f t="array" ref="AL274">iferror(if(isblank(xlookup($G274,'Old Master'!$T:$T,'Old Master'!$W:$W)),AG274,xlookup($G274,'Old Master'!$T:$T,'Old Master'!$W:$W)),AG274)</f>
        <v>0.1813613522</v>
      </c>
      <c r="AM274" s="74">
        <f t="shared" si="20"/>
        <v>0.178163545</v>
      </c>
      <c r="AN274" s="73">
        <f>mround($I274*(1-AL274),100)-1</f>
        <v>1799</v>
      </c>
    </row>
    <row r="275">
      <c r="A275" s="65" t="s">
        <v>1503</v>
      </c>
      <c r="B275" s="65" t="str">
        <f t="shared" si="1"/>
        <v>#VALUE!</v>
      </c>
      <c r="C275" s="65" t="str">
        <f t="shared" si="248"/>
        <v>#VALUE!</v>
      </c>
      <c r="D275" s="65" t="s">
        <v>1505</v>
      </c>
      <c r="E275" s="65" t="s">
        <v>1503</v>
      </c>
      <c r="F275" s="65" t="s">
        <v>1506</v>
      </c>
      <c r="G275" s="65" t="s">
        <v>5078</v>
      </c>
      <c r="H275" s="65" t="s">
        <v>4730</v>
      </c>
      <c r="I275" s="65">
        <v>549.0</v>
      </c>
      <c r="J275" s="66">
        <v>0.1</v>
      </c>
      <c r="K275" s="65">
        <f t="shared" si="3"/>
        <v>494</v>
      </c>
      <c r="L275" s="66">
        <v>0.1</v>
      </c>
      <c r="M275" s="65">
        <f t="shared" si="4"/>
        <v>494</v>
      </c>
      <c r="N275" s="67">
        <f t="shared" si="249"/>
        <v>0</v>
      </c>
      <c r="O275" s="78">
        <v>549.0</v>
      </c>
      <c r="P275" s="67">
        <f t="shared" si="251"/>
        <v>0</v>
      </c>
      <c r="Q275" s="79">
        <v>549.0</v>
      </c>
      <c r="R275" s="70"/>
      <c r="S275" s="71">
        <f t="shared" si="270"/>
        <v>0.1113360324</v>
      </c>
      <c r="T275" s="72">
        <f t="shared" si="6"/>
        <v>0</v>
      </c>
      <c r="U275" s="73" t="str">
        <f t="shared" si="268"/>
        <v/>
      </c>
      <c r="V275" s="73">
        <f t="shared" si="269"/>
        <v>418.6440678</v>
      </c>
      <c r="W275" s="73">
        <f t="shared" si="9"/>
        <v>418.6440678</v>
      </c>
      <c r="X275" s="74">
        <f t="shared" si="10"/>
        <v>1</v>
      </c>
      <c r="Y275" s="73">
        <f t="shared" si="11"/>
        <v>0</v>
      </c>
      <c r="Z275" s="73">
        <f t="shared" si="12"/>
        <v>465.2542373</v>
      </c>
      <c r="AA275" s="73">
        <f t="shared" si="13"/>
        <v>465.2542373</v>
      </c>
      <c r="AB275" s="74">
        <f t="shared" si="14"/>
        <v>1</v>
      </c>
      <c r="AC275" s="61" t="str">
        <f t="shared" si="15"/>
        <v>8</v>
      </c>
      <c r="AD275" s="71" t="str">
        <f t="shared" si="16"/>
        <v>#DIV/0!</v>
      </c>
      <c r="AE275" s="61"/>
      <c r="AF275" s="61"/>
      <c r="AG275" s="71">
        <f t="array" ref="AG275">IFERROR(xlookup(G275,'Old Master'!T:T,'Old Master'!V:V),N275)</f>
        <v>0</v>
      </c>
      <c r="AH275" s="73">
        <f t="shared" si="229"/>
        <v>549</v>
      </c>
      <c r="AI275" s="73">
        <f t="shared" si="230"/>
        <v>465.2542373</v>
      </c>
      <c r="AJ275" s="72">
        <f t="shared" si="19"/>
        <v>1</v>
      </c>
      <c r="AK275" s="61"/>
      <c r="AL275" s="71">
        <f t="array" ref="AL275">iferror(if(isblank(xlookup($G275,'Old Master'!$T:$T,'Old Master'!$W:$W)),AG275,xlookup($G275,'Old Master'!$T:$T,'Old Master'!$W:$W)),AG275)</f>
        <v>0</v>
      </c>
      <c r="AM275" s="74">
        <f t="shared" si="20"/>
        <v>0</v>
      </c>
      <c r="AN275" s="73">
        <f t="shared" ref="AN275:AN276" si="271">O275</f>
        <v>549</v>
      </c>
    </row>
    <row r="276">
      <c r="A276" s="65" t="s">
        <v>1493</v>
      </c>
      <c r="B276" s="65" t="str">
        <f t="shared" si="1"/>
        <v>#VALUE!</v>
      </c>
      <c r="C276" s="65" t="str">
        <f t="shared" si="248"/>
        <v>#VALUE!</v>
      </c>
      <c r="D276" s="65" t="s">
        <v>1495</v>
      </c>
      <c r="E276" s="65" t="s">
        <v>1493</v>
      </c>
      <c r="F276" s="65" t="s">
        <v>1496</v>
      </c>
      <c r="G276" s="65" t="s">
        <v>5078</v>
      </c>
      <c r="H276" s="65" t="s">
        <v>4730</v>
      </c>
      <c r="I276" s="65">
        <v>649.0</v>
      </c>
      <c r="J276" s="66">
        <v>0.1</v>
      </c>
      <c r="K276" s="65">
        <f t="shared" si="3"/>
        <v>584</v>
      </c>
      <c r="L276" s="66">
        <v>0.1</v>
      </c>
      <c r="M276" s="65">
        <f t="shared" si="4"/>
        <v>584</v>
      </c>
      <c r="N276" s="67">
        <f t="shared" si="249"/>
        <v>0</v>
      </c>
      <c r="O276" s="78">
        <v>649.0</v>
      </c>
      <c r="P276" s="67">
        <f t="shared" si="251"/>
        <v>0</v>
      </c>
      <c r="Q276" s="79">
        <v>649.0</v>
      </c>
      <c r="R276" s="70"/>
      <c r="S276" s="71">
        <f t="shared" si="270"/>
        <v>0.1113013699</v>
      </c>
      <c r="T276" s="72">
        <f t="shared" si="6"/>
        <v>0</v>
      </c>
      <c r="U276" s="73" t="str">
        <f t="shared" si="268"/>
        <v/>
      </c>
      <c r="V276" s="73">
        <f t="shared" si="269"/>
        <v>494.9152542</v>
      </c>
      <c r="W276" s="73">
        <f t="shared" si="9"/>
        <v>494.9152542</v>
      </c>
      <c r="X276" s="74">
        <f t="shared" si="10"/>
        <v>1</v>
      </c>
      <c r="Y276" s="73">
        <f t="shared" si="11"/>
        <v>0</v>
      </c>
      <c r="Z276" s="73">
        <f t="shared" si="12"/>
        <v>550</v>
      </c>
      <c r="AA276" s="73">
        <f t="shared" si="13"/>
        <v>550</v>
      </c>
      <c r="AB276" s="74">
        <f t="shared" si="14"/>
        <v>1</v>
      </c>
      <c r="AC276" s="61" t="str">
        <f t="shared" si="15"/>
        <v>8</v>
      </c>
      <c r="AD276" s="71" t="str">
        <f t="shared" si="16"/>
        <v>#DIV/0!</v>
      </c>
      <c r="AE276" s="61"/>
      <c r="AF276" s="61"/>
      <c r="AG276" s="71">
        <f t="array" ref="AG276">IFERROR(xlookup(G276,'Old Master'!T:T,'Old Master'!V:V),N276)</f>
        <v>0</v>
      </c>
      <c r="AH276" s="73">
        <f t="shared" si="229"/>
        <v>649</v>
      </c>
      <c r="AI276" s="73">
        <f t="shared" si="230"/>
        <v>550</v>
      </c>
      <c r="AJ276" s="72">
        <f t="shared" si="19"/>
        <v>1</v>
      </c>
      <c r="AK276" s="61"/>
      <c r="AL276" s="71">
        <f t="array" ref="AL276">iferror(if(isblank(xlookup($G276,'Old Master'!$T:$T,'Old Master'!$W:$W)),AG276,xlookup($G276,'Old Master'!$T:$T,'Old Master'!$W:$W)),AG276)</f>
        <v>0</v>
      </c>
      <c r="AM276" s="74">
        <f t="shared" si="20"/>
        <v>0</v>
      </c>
      <c r="AN276" s="73">
        <f t="shared" si="271"/>
        <v>649</v>
      </c>
    </row>
    <row r="277">
      <c r="A277" s="65" t="s">
        <v>932</v>
      </c>
      <c r="B277" s="65">
        <f t="shared" si="1"/>
        <v>60</v>
      </c>
      <c r="C277" s="65" t="str">
        <f t="shared" si="248"/>
        <v>SC-HYB-LATEX-Q-84x62x6</v>
      </c>
      <c r="D277" s="65">
        <v>0.0</v>
      </c>
      <c r="E277" s="65">
        <v>0.0</v>
      </c>
      <c r="F277" s="65" t="s">
        <v>935</v>
      </c>
      <c r="G277" s="65" t="s">
        <v>5108</v>
      </c>
      <c r="H277" s="65" t="s">
        <v>52</v>
      </c>
      <c r="I277" s="65">
        <v>19999.0</v>
      </c>
      <c r="J277" s="66">
        <v>0.0</v>
      </c>
      <c r="K277" s="65">
        <f t="shared" si="3"/>
        <v>19999</v>
      </c>
      <c r="L277" s="66">
        <v>0.2</v>
      </c>
      <c r="M277" s="65">
        <f t="shared" si="4"/>
        <v>15999</v>
      </c>
      <c r="N277" s="75">
        <v>0.16</v>
      </c>
      <c r="O277" s="68">
        <f>I277*(1-N277)</f>
        <v>16799.16</v>
      </c>
      <c r="P277" s="75">
        <v>0.13</v>
      </c>
      <c r="Q277" s="68">
        <f t="shared" ref="Q277:Q280" si="272">I277*(1-P277)</f>
        <v>17399.13</v>
      </c>
      <c r="R277" s="71">
        <f>Q277/M277-1</f>
        <v>0.0875135946</v>
      </c>
      <c r="S277" s="71">
        <f t="shared" ref="S277:S280" si="273">O277/M277-1</f>
        <v>0.05001312582</v>
      </c>
      <c r="T277" s="72">
        <f t="shared" si="6"/>
        <v>0</v>
      </c>
      <c r="U277" s="73" t="str">
        <f t="shared" si="268"/>
        <v/>
      </c>
      <c r="V277" s="73">
        <f t="shared" si="269"/>
        <v>13558.47458</v>
      </c>
      <c r="W277" s="73">
        <f t="shared" si="9"/>
        <v>13558.47458</v>
      </c>
      <c r="X277" s="74">
        <f t="shared" si="10"/>
        <v>1</v>
      </c>
      <c r="Y277" s="73">
        <f t="shared" si="11"/>
        <v>0</v>
      </c>
      <c r="Z277" s="73">
        <f t="shared" si="12"/>
        <v>14236.57627</v>
      </c>
      <c r="AA277" s="73">
        <f t="shared" si="13"/>
        <v>14236.57627</v>
      </c>
      <c r="AB277" s="74">
        <f t="shared" si="14"/>
        <v>1</v>
      </c>
      <c r="AC277" s="61" t="str">
        <f t="shared" si="15"/>
        <v>6</v>
      </c>
      <c r="AD277" s="71" t="str">
        <f t="shared" si="16"/>
        <v>#DIV/0!</v>
      </c>
      <c r="AE277" s="73">
        <f>Q277/118%-Y277</f>
        <v>14745.02542</v>
      </c>
      <c r="AF277" s="74">
        <f>AE277/(Q277/1.18)</f>
        <v>1</v>
      </c>
      <c r="AG277" s="71">
        <f t="array" ref="AG277">IFERROR(xlookup(G277,'Old Master'!T:T,'Old Master'!V:V),N277)</f>
        <v>0.16</v>
      </c>
      <c r="AH277" s="73">
        <f t="shared" si="229"/>
        <v>16799.16</v>
      </c>
      <c r="AI277" s="73">
        <f t="shared" si="230"/>
        <v>14236.57627</v>
      </c>
      <c r="AJ277" s="72">
        <f t="shared" si="19"/>
        <v>1</v>
      </c>
      <c r="AK277" s="61"/>
      <c r="AL277" s="71">
        <f t="array" ref="AL277">iferror(if(isblank(xlookup($G277,'Old Master'!$T:$T,'Old Master'!$W:$W)),AG277,xlookup($G277,'Old Master'!$T:$T,'Old Master'!$W:$W)),AG277)</f>
        <v>0.16</v>
      </c>
      <c r="AM277" s="74">
        <f t="shared" si="20"/>
        <v>0.1600080004</v>
      </c>
      <c r="AN277" s="73">
        <f t="shared" ref="AN277:AN281" si="274">mround($I277*(1-AL277),100)-1</f>
        <v>16799</v>
      </c>
    </row>
    <row r="278">
      <c r="A278" s="65" t="s">
        <v>5360</v>
      </c>
      <c r="B278" s="65">
        <f t="shared" si="1"/>
        <v>48</v>
      </c>
      <c r="C278" s="65" t="str">
        <f t="shared" si="248"/>
        <v>SC-LTx-ORTHO-D-78x50x6</v>
      </c>
      <c r="D278" s="65" t="s">
        <v>4105</v>
      </c>
      <c r="E278" s="65">
        <v>0.0</v>
      </c>
      <c r="F278" s="65" t="s">
        <v>4106</v>
      </c>
      <c r="G278" s="65" t="s">
        <v>5118</v>
      </c>
      <c r="H278" s="65" t="s">
        <v>52</v>
      </c>
      <c r="I278" s="81">
        <v>16699.0</v>
      </c>
      <c r="J278" s="66">
        <v>0.23</v>
      </c>
      <c r="K278" s="81">
        <f t="shared" si="3"/>
        <v>12858</v>
      </c>
      <c r="L278" s="66">
        <v>0.2</v>
      </c>
      <c r="M278" s="81">
        <f t="shared" si="4"/>
        <v>13359</v>
      </c>
      <c r="N278" s="67">
        <f t="shared" ref="N278:N358" si="275">1-O278/I278</f>
        <v>0.3263608599</v>
      </c>
      <c r="O278" s="68">
        <v>11249.1</v>
      </c>
      <c r="P278" s="75">
        <v>0.1</v>
      </c>
      <c r="Q278" s="68">
        <f t="shared" si="272"/>
        <v>15029.1</v>
      </c>
      <c r="R278" s="70"/>
      <c r="S278" s="71">
        <f t="shared" si="273"/>
        <v>-0.1579384684</v>
      </c>
      <c r="T278" s="72">
        <f t="shared" si="6"/>
        <v>0</v>
      </c>
      <c r="U278" s="73" t="str">
        <f t="shared" si="268"/>
        <v/>
      </c>
      <c r="V278" s="73">
        <f t="shared" si="269"/>
        <v>11321.18644</v>
      </c>
      <c r="W278" s="73">
        <f t="shared" si="9"/>
        <v>11321.18644</v>
      </c>
      <c r="X278" s="74">
        <f t="shared" si="10"/>
        <v>1</v>
      </c>
      <c r="Y278" s="73">
        <f t="shared" si="11"/>
        <v>0</v>
      </c>
      <c r="Z278" s="73">
        <f t="shared" si="12"/>
        <v>9533.135593</v>
      </c>
      <c r="AA278" s="73">
        <f t="shared" si="13"/>
        <v>9533.135593</v>
      </c>
      <c r="AB278" s="74">
        <f t="shared" si="14"/>
        <v>1</v>
      </c>
      <c r="AC278" s="61" t="str">
        <f t="shared" si="15"/>
        <v>6</v>
      </c>
      <c r="AD278" s="71" t="str">
        <f t="shared" si="16"/>
        <v>#DIV/0!</v>
      </c>
      <c r="AE278" s="61"/>
      <c r="AF278" s="61"/>
      <c r="AG278" s="71">
        <f t="array" ref="AG278">IFERROR(xlookup(G278,'Old Master'!T:T,'Old Master'!V:V),N278)</f>
        <v>0.3263608599</v>
      </c>
      <c r="AH278" s="73">
        <f t="shared" si="229"/>
        <v>11249.1</v>
      </c>
      <c r="AI278" s="73">
        <f t="shared" si="230"/>
        <v>9533.135593</v>
      </c>
      <c r="AJ278" s="72">
        <f t="shared" si="19"/>
        <v>1</v>
      </c>
      <c r="AK278" s="61"/>
      <c r="AL278" s="71">
        <f t="array" ref="AL278">iferror(if(isblank(xlookup($G278,'Old Master'!$T:$T,'Old Master'!$W:$W)),AG278,xlookup($G278,'Old Master'!$T:$T,'Old Master'!$W:$W)),AG278)</f>
        <v>0.3263608599</v>
      </c>
      <c r="AM278" s="74">
        <f t="shared" si="20"/>
        <v>0.3293610396</v>
      </c>
      <c r="AN278" s="73">
        <f t="shared" si="274"/>
        <v>11199</v>
      </c>
    </row>
    <row r="279">
      <c r="A279" s="65" t="s">
        <v>5361</v>
      </c>
      <c r="B279" s="65">
        <f t="shared" si="1"/>
        <v>78</v>
      </c>
      <c r="C279" s="65" t="str">
        <f t="shared" si="248"/>
        <v>SC-LTx-ORTHO-K-84x80x6</v>
      </c>
      <c r="D279" s="65" t="s">
        <v>4221</v>
      </c>
      <c r="E279" s="65">
        <v>0.0</v>
      </c>
      <c r="F279" s="65" t="s">
        <v>4222</v>
      </c>
      <c r="G279" s="65" t="s">
        <v>5118</v>
      </c>
      <c r="H279" s="65" t="s">
        <v>52</v>
      </c>
      <c r="I279" s="81">
        <v>28399.0</v>
      </c>
      <c r="J279" s="66">
        <v>0.23</v>
      </c>
      <c r="K279" s="81">
        <f t="shared" si="3"/>
        <v>21867</v>
      </c>
      <c r="L279" s="66">
        <v>0.2</v>
      </c>
      <c r="M279" s="81">
        <f t="shared" si="4"/>
        <v>22719</v>
      </c>
      <c r="N279" s="67">
        <f t="shared" si="275"/>
        <v>0.3250079228</v>
      </c>
      <c r="O279" s="68">
        <v>19169.100000000002</v>
      </c>
      <c r="P279" s="75">
        <v>0.1</v>
      </c>
      <c r="Q279" s="68">
        <f t="shared" si="272"/>
        <v>25559.1</v>
      </c>
      <c r="R279" s="70"/>
      <c r="S279" s="71">
        <f t="shared" si="273"/>
        <v>-0.1562524759</v>
      </c>
      <c r="T279" s="72">
        <f t="shared" si="6"/>
        <v>0</v>
      </c>
      <c r="U279" s="73" t="str">
        <f t="shared" si="268"/>
        <v/>
      </c>
      <c r="V279" s="73">
        <f t="shared" si="269"/>
        <v>19253.38983</v>
      </c>
      <c r="W279" s="73">
        <f t="shared" si="9"/>
        <v>19253.38983</v>
      </c>
      <c r="X279" s="74">
        <f t="shared" si="10"/>
        <v>1</v>
      </c>
      <c r="Y279" s="73">
        <f t="shared" si="11"/>
        <v>0</v>
      </c>
      <c r="Z279" s="73">
        <f t="shared" si="12"/>
        <v>16245</v>
      </c>
      <c r="AA279" s="73">
        <f t="shared" si="13"/>
        <v>16245</v>
      </c>
      <c r="AB279" s="74">
        <f t="shared" si="14"/>
        <v>1</v>
      </c>
      <c r="AC279" s="61" t="str">
        <f t="shared" si="15"/>
        <v>6</v>
      </c>
      <c r="AD279" s="71" t="str">
        <f t="shared" si="16"/>
        <v>#DIV/0!</v>
      </c>
      <c r="AE279" s="61"/>
      <c r="AF279" s="61"/>
      <c r="AG279" s="71">
        <f t="array" ref="AG279">IFERROR(xlookup(G279,'Old Master'!T:T,'Old Master'!V:V),N279)</f>
        <v>0.3250079228</v>
      </c>
      <c r="AH279" s="73">
        <f t="shared" si="229"/>
        <v>19169.1</v>
      </c>
      <c r="AI279" s="73">
        <f t="shared" si="230"/>
        <v>16245</v>
      </c>
      <c r="AJ279" s="72">
        <f t="shared" si="19"/>
        <v>1</v>
      </c>
      <c r="AK279" s="61"/>
      <c r="AL279" s="71">
        <f t="array" ref="AL279">iferror(if(isblank(xlookup($G279,'Old Master'!$T:$T,'Old Master'!$W:$W)),AG279,xlookup($G279,'Old Master'!$T:$T,'Old Master'!$W:$W)),AG279)</f>
        <v>0.3250079228</v>
      </c>
      <c r="AM279" s="74">
        <f t="shared" si="20"/>
        <v>0.3239550688</v>
      </c>
      <c r="AN279" s="73">
        <f t="shared" si="274"/>
        <v>19199</v>
      </c>
    </row>
    <row r="280">
      <c r="A280" s="65" t="s">
        <v>5362</v>
      </c>
      <c r="B280" s="65">
        <f t="shared" si="1"/>
        <v>66</v>
      </c>
      <c r="C280" s="65" t="str">
        <f t="shared" si="248"/>
        <v>SC-LTx-ORTHO-Q-78x68x6</v>
      </c>
      <c r="D280" s="65" t="s">
        <v>4174</v>
      </c>
      <c r="E280" s="65">
        <v>0.0</v>
      </c>
      <c r="F280" s="65" t="s">
        <v>4175</v>
      </c>
      <c r="G280" s="65" t="s">
        <v>5118</v>
      </c>
      <c r="H280" s="65" t="s">
        <v>52</v>
      </c>
      <c r="I280" s="81">
        <v>23099.0</v>
      </c>
      <c r="J280" s="66">
        <v>0.23</v>
      </c>
      <c r="K280" s="81">
        <f t="shared" si="3"/>
        <v>17786</v>
      </c>
      <c r="L280" s="66">
        <v>0.2</v>
      </c>
      <c r="M280" s="81">
        <f t="shared" si="4"/>
        <v>18479</v>
      </c>
      <c r="N280" s="67">
        <f t="shared" si="275"/>
        <v>0.3259838088</v>
      </c>
      <c r="O280" s="68">
        <v>15569.1</v>
      </c>
      <c r="P280" s="75">
        <v>0.1</v>
      </c>
      <c r="Q280" s="68">
        <f t="shared" si="272"/>
        <v>20789.1</v>
      </c>
      <c r="R280" s="70"/>
      <c r="S280" s="71">
        <f t="shared" si="273"/>
        <v>-0.1574706424</v>
      </c>
      <c r="T280" s="72">
        <f t="shared" si="6"/>
        <v>0</v>
      </c>
      <c r="U280" s="73" t="str">
        <f t="shared" si="268"/>
        <v/>
      </c>
      <c r="V280" s="73">
        <f t="shared" si="269"/>
        <v>15660.16949</v>
      </c>
      <c r="W280" s="73">
        <f t="shared" si="9"/>
        <v>15660.16949</v>
      </c>
      <c r="X280" s="74">
        <f t="shared" si="10"/>
        <v>1</v>
      </c>
      <c r="Y280" s="73">
        <f t="shared" si="11"/>
        <v>0</v>
      </c>
      <c r="Z280" s="73">
        <f t="shared" si="12"/>
        <v>13194.15254</v>
      </c>
      <c r="AA280" s="73">
        <f t="shared" si="13"/>
        <v>13194.15254</v>
      </c>
      <c r="AB280" s="74">
        <f t="shared" si="14"/>
        <v>1</v>
      </c>
      <c r="AC280" s="61" t="str">
        <f t="shared" si="15"/>
        <v>6</v>
      </c>
      <c r="AD280" s="71" t="str">
        <f t="shared" si="16"/>
        <v>#DIV/0!</v>
      </c>
      <c r="AE280" s="61"/>
      <c r="AF280" s="61"/>
      <c r="AG280" s="71">
        <f t="array" ref="AG280">IFERROR(xlookup(G280,'Old Master'!T:T,'Old Master'!V:V),N280)</f>
        <v>0.3259838088</v>
      </c>
      <c r="AH280" s="73">
        <f t="shared" si="229"/>
        <v>15569.1</v>
      </c>
      <c r="AI280" s="73">
        <f t="shared" si="230"/>
        <v>13194.15254</v>
      </c>
      <c r="AJ280" s="72">
        <f t="shared" si="19"/>
        <v>1</v>
      </c>
      <c r="AK280" s="61"/>
      <c r="AL280" s="71">
        <f t="array" ref="AL280">iferror(if(isblank(xlookup($G280,'Old Master'!$T:$T,'Old Master'!$W:$W)),AG280,xlookup($G280,'Old Master'!$T:$T,'Old Master'!$W:$W)),AG280)</f>
        <v>0.3259838088</v>
      </c>
      <c r="AM280" s="74">
        <f t="shared" si="20"/>
        <v>0.3246893805</v>
      </c>
      <c r="AN280" s="73">
        <f t="shared" si="274"/>
        <v>15599</v>
      </c>
    </row>
    <row r="281">
      <c r="A281" s="65" t="s">
        <v>5363</v>
      </c>
      <c r="B281" s="65" t="str">
        <f t="shared" si="1"/>
        <v>#VALUE!</v>
      </c>
      <c r="C281" s="65" t="str">
        <f t="shared" si="248"/>
        <v>#VALUE!</v>
      </c>
      <c r="D281" s="65" t="s">
        <v>3520</v>
      </c>
      <c r="E281" s="65" t="s">
        <v>3518</v>
      </c>
      <c r="F281" s="65" t="s">
        <v>3518</v>
      </c>
      <c r="G281" s="65" t="s">
        <v>5106</v>
      </c>
      <c r="H281" s="65" t="s">
        <v>4730</v>
      </c>
      <c r="I281" s="65">
        <v>5489.0</v>
      </c>
      <c r="J281" s="66">
        <v>0.30424485334304974</v>
      </c>
      <c r="K281" s="65">
        <f t="shared" si="3"/>
        <v>3819</v>
      </c>
      <c r="L281" s="66">
        <v>0.15</v>
      </c>
      <c r="M281" s="65">
        <f t="shared" si="4"/>
        <v>4666</v>
      </c>
      <c r="N281" s="67">
        <f t="shared" si="275"/>
        <v>0.08926944799</v>
      </c>
      <c r="O281" s="78">
        <v>4999.0</v>
      </c>
      <c r="P281" s="67">
        <f t="shared" ref="P281:P318" si="276">1-Q281/I281</f>
        <v>0.08926944799</v>
      </c>
      <c r="Q281" s="79">
        <v>4999.0</v>
      </c>
      <c r="R281" s="70"/>
      <c r="S281" s="71">
        <f t="shared" ref="S281:S288" si="277">O281/K281-1</f>
        <v>0.3089814087</v>
      </c>
      <c r="T281" s="72">
        <f t="shared" si="6"/>
        <v>0</v>
      </c>
      <c r="U281" s="73" t="str">
        <f t="shared" si="268"/>
        <v/>
      </c>
      <c r="V281" s="73">
        <f t="shared" si="269"/>
        <v>3954.237288</v>
      </c>
      <c r="W281" s="73">
        <f t="shared" si="9"/>
        <v>3954.237288</v>
      </c>
      <c r="X281" s="74">
        <f t="shared" si="10"/>
        <v>1</v>
      </c>
      <c r="Y281" s="73">
        <f t="shared" si="11"/>
        <v>0</v>
      </c>
      <c r="Z281" s="73">
        <f t="shared" si="12"/>
        <v>4236.440678</v>
      </c>
      <c r="AA281" s="73">
        <f t="shared" si="13"/>
        <v>4236.440678</v>
      </c>
      <c r="AB281" s="74">
        <f t="shared" si="14"/>
        <v>1</v>
      </c>
      <c r="AC281" s="61" t="str">
        <f t="shared" si="15"/>
        <v>0</v>
      </c>
      <c r="AD281" s="71" t="str">
        <f t="shared" si="16"/>
        <v>#DIV/0!</v>
      </c>
      <c r="AE281" s="61"/>
      <c r="AF281" s="61"/>
      <c r="AG281" s="71">
        <f t="array" ref="AG281">IFERROR(xlookup(G281,'Old Master'!T:T,'Old Master'!V:V),N281)</f>
        <v>0.08926944799</v>
      </c>
      <c r="AH281" s="73">
        <f t="shared" si="229"/>
        <v>4999</v>
      </c>
      <c r="AI281" s="73">
        <f t="shared" si="230"/>
        <v>4236.440678</v>
      </c>
      <c r="AJ281" s="72">
        <f t="shared" si="19"/>
        <v>1</v>
      </c>
      <c r="AK281" s="61"/>
      <c r="AL281" s="71">
        <f t="array" ref="AL281">iferror(if(isblank(xlookup($G281,'Old Master'!$T:$T,'Old Master'!$W:$W)),AG281,xlookup($G281,'Old Master'!$T:$T,'Old Master'!$W:$W)),AG281)</f>
        <v>0.08926944799</v>
      </c>
      <c r="AM281" s="74">
        <f t="shared" si="20"/>
        <v>0.08926944799</v>
      </c>
      <c r="AN281" s="73">
        <f t="shared" si="274"/>
        <v>4999</v>
      </c>
    </row>
    <row r="282">
      <c r="A282" s="65" t="s">
        <v>1115</v>
      </c>
      <c r="B282" s="65" t="str">
        <f t="shared" si="1"/>
        <v>#VALUE!</v>
      </c>
      <c r="C282" s="65" t="str">
        <f t="shared" si="248"/>
        <v>#VALUE!</v>
      </c>
      <c r="D282" s="65" t="s">
        <v>1117</v>
      </c>
      <c r="E282" s="65">
        <v>0.0</v>
      </c>
      <c r="F282" s="65">
        <v>0.0</v>
      </c>
      <c r="G282" s="65" t="s">
        <v>1144</v>
      </c>
      <c r="H282" s="65" t="s">
        <v>1145</v>
      </c>
      <c r="I282" s="65">
        <v>2489.0</v>
      </c>
      <c r="J282" s="66">
        <v>0.3</v>
      </c>
      <c r="K282" s="65">
        <f t="shared" si="3"/>
        <v>1742</v>
      </c>
      <c r="L282" s="66">
        <v>0.3</v>
      </c>
      <c r="M282" s="65">
        <f t="shared" si="4"/>
        <v>1742</v>
      </c>
      <c r="N282" s="77">
        <f t="shared" si="275"/>
        <v>0.1968662113</v>
      </c>
      <c r="O282" s="78">
        <v>1999.0</v>
      </c>
      <c r="P282" s="67">
        <f t="shared" si="276"/>
        <v>0.1968662113</v>
      </c>
      <c r="Q282" s="79">
        <v>1999.0</v>
      </c>
      <c r="R282" s="70"/>
      <c r="S282" s="71">
        <f t="shared" si="277"/>
        <v>0.1475315729</v>
      </c>
      <c r="T282" s="72">
        <f t="shared" si="6"/>
        <v>0</v>
      </c>
      <c r="U282" s="73" t="str">
        <f t="shared" si="268"/>
        <v/>
      </c>
      <c r="V282" s="73">
        <f t="shared" si="269"/>
        <v>1476.271186</v>
      </c>
      <c r="W282" s="73">
        <f t="shared" si="9"/>
        <v>1476.271186</v>
      </c>
      <c r="X282" s="74">
        <f t="shared" si="10"/>
        <v>1</v>
      </c>
      <c r="Y282" s="73">
        <f t="shared" si="11"/>
        <v>0</v>
      </c>
      <c r="Z282" s="73">
        <f t="shared" si="12"/>
        <v>1694.067797</v>
      </c>
      <c r="AA282" s="73">
        <f t="shared" si="13"/>
        <v>1694.067797</v>
      </c>
      <c r="AB282" s="74">
        <f t="shared" si="14"/>
        <v>1</v>
      </c>
      <c r="AC282" s="61" t="str">
        <f t="shared" si="15"/>
        <v>8</v>
      </c>
      <c r="AD282" s="71" t="str">
        <f t="shared" si="16"/>
        <v>#DIV/0!</v>
      </c>
      <c r="AE282" s="61"/>
      <c r="AF282" s="61"/>
      <c r="AG282" s="71">
        <f t="array" ref="AG282">IFERROR(xlookup(G282,'Old Master'!T:T,'Old Master'!V:V),N282)</f>
        <v>0.1968662113</v>
      </c>
      <c r="AH282" s="73">
        <f t="shared" si="229"/>
        <v>1999</v>
      </c>
      <c r="AI282" s="73">
        <f t="shared" si="230"/>
        <v>1694.067797</v>
      </c>
      <c r="AJ282" s="72">
        <f t="shared" si="19"/>
        <v>1</v>
      </c>
      <c r="AK282" s="61"/>
      <c r="AL282" s="71">
        <f>(I282-AN282)/I282</f>
        <v>0.1968662113</v>
      </c>
      <c r="AM282" s="74">
        <f t="shared" si="20"/>
        <v>0.1968662113</v>
      </c>
      <c r="AN282" s="73">
        <v>1999.0</v>
      </c>
    </row>
    <row r="283">
      <c r="A283" s="65" t="s">
        <v>2018</v>
      </c>
      <c r="B283" s="65" t="str">
        <f t="shared" si="1"/>
        <v>#VALUE!</v>
      </c>
      <c r="C283" s="65" t="str">
        <f t="shared" si="248"/>
        <v>#VALUE!</v>
      </c>
      <c r="D283" s="65" t="s">
        <v>2020</v>
      </c>
      <c r="E283" s="65" t="s">
        <v>2022</v>
      </c>
      <c r="F283" s="65" t="s">
        <v>2023</v>
      </c>
      <c r="G283" s="65" t="s">
        <v>5132</v>
      </c>
      <c r="H283" s="65" t="s">
        <v>4730</v>
      </c>
      <c r="I283" s="65">
        <v>7999.0</v>
      </c>
      <c r="J283" s="66">
        <v>0.3512939117389674</v>
      </c>
      <c r="K283" s="65">
        <f t="shared" si="3"/>
        <v>5189</v>
      </c>
      <c r="L283" s="66">
        <v>0.15</v>
      </c>
      <c r="M283" s="65">
        <f t="shared" si="4"/>
        <v>6799</v>
      </c>
      <c r="N283" s="67">
        <f t="shared" si="275"/>
        <v>0.2512814102</v>
      </c>
      <c r="O283" s="68">
        <v>5989.0</v>
      </c>
      <c r="P283" s="67">
        <f t="shared" si="276"/>
        <v>0.2512814102</v>
      </c>
      <c r="Q283" s="69">
        <v>5989.0</v>
      </c>
      <c r="R283" s="70"/>
      <c r="S283" s="71">
        <f t="shared" si="277"/>
        <v>0.1541722875</v>
      </c>
      <c r="T283" s="72">
        <f t="shared" si="6"/>
        <v>0</v>
      </c>
      <c r="U283" s="73" t="str">
        <f t="shared" si="268"/>
        <v/>
      </c>
      <c r="V283" s="73">
        <f t="shared" ref="V283:V287" si="278">K283/1.18</f>
        <v>4397.457627</v>
      </c>
      <c r="W283" s="73">
        <f t="shared" si="9"/>
        <v>4397.457627</v>
      </c>
      <c r="X283" s="74">
        <f t="shared" si="10"/>
        <v>1</v>
      </c>
      <c r="Y283" s="73">
        <f t="shared" si="11"/>
        <v>0</v>
      </c>
      <c r="Z283" s="73">
        <f t="shared" si="12"/>
        <v>5075.423729</v>
      </c>
      <c r="AA283" s="73">
        <f t="shared" si="13"/>
        <v>5075.423729</v>
      </c>
      <c r="AB283" s="74">
        <f t="shared" si="14"/>
        <v>1</v>
      </c>
      <c r="AC283" s="61" t="str">
        <f t="shared" si="15"/>
        <v>2</v>
      </c>
      <c r="AD283" s="71" t="str">
        <f t="shared" si="16"/>
        <v>#DIV/0!</v>
      </c>
      <c r="AE283" s="61"/>
      <c r="AF283" s="61"/>
      <c r="AG283" s="71">
        <f t="array" ref="AG283">IFERROR(xlookup(G283,'Old Master'!T:T,'Old Master'!V:V),N283)</f>
        <v>0.2512814102</v>
      </c>
      <c r="AH283" s="73">
        <f t="shared" si="229"/>
        <v>5989</v>
      </c>
      <c r="AI283" s="73">
        <f t="shared" si="230"/>
        <v>5075.423729</v>
      </c>
      <c r="AJ283" s="72">
        <f t="shared" si="19"/>
        <v>1</v>
      </c>
      <c r="AK283" s="61"/>
      <c r="AL283" s="71">
        <f t="array" ref="AL283">iferror(if(isblank(xlookup($G283,'Old Master'!$T:$T,'Old Master'!$W:$W)),AG283,xlookup($G283,'Old Master'!$T:$T,'Old Master'!$W:$W)),AG283)</f>
        <v>0.2512814102</v>
      </c>
      <c r="AM283" s="74">
        <f t="shared" si="20"/>
        <v>0.2500312539</v>
      </c>
      <c r="AN283" s="73">
        <f t="shared" ref="AN283:AN285" si="279">mround($I283*(1-AL283),100)-1</f>
        <v>5999</v>
      </c>
    </row>
    <row r="284">
      <c r="A284" s="65" t="s">
        <v>1974</v>
      </c>
      <c r="B284" s="65" t="str">
        <f t="shared" si="1"/>
        <v>#VALUE!</v>
      </c>
      <c r="C284" s="65" t="str">
        <f t="shared" si="248"/>
        <v>#VALUE!</v>
      </c>
      <c r="D284" s="65" t="s">
        <v>1976</v>
      </c>
      <c r="E284" s="65" t="s">
        <v>1977</v>
      </c>
      <c r="F284" s="65" t="s">
        <v>1978</v>
      </c>
      <c r="G284" s="65" t="s">
        <v>5132</v>
      </c>
      <c r="H284" s="65" t="s">
        <v>4730</v>
      </c>
      <c r="I284" s="65">
        <v>4499.0</v>
      </c>
      <c r="J284" s="66">
        <v>0.3511891531451433</v>
      </c>
      <c r="K284" s="65">
        <f t="shared" si="3"/>
        <v>2919</v>
      </c>
      <c r="L284" s="66">
        <v>0.15</v>
      </c>
      <c r="M284" s="65">
        <f t="shared" si="4"/>
        <v>3824</v>
      </c>
      <c r="N284" s="67">
        <f t="shared" si="275"/>
        <v>0.251166926</v>
      </c>
      <c r="O284" s="68">
        <v>3369.0</v>
      </c>
      <c r="P284" s="67">
        <f t="shared" si="276"/>
        <v>0.251166926</v>
      </c>
      <c r="Q284" s="69">
        <v>3369.0</v>
      </c>
      <c r="R284" s="70"/>
      <c r="S284" s="71">
        <f t="shared" si="277"/>
        <v>0.1541623844</v>
      </c>
      <c r="T284" s="72">
        <f t="shared" si="6"/>
        <v>0</v>
      </c>
      <c r="U284" s="73" t="str">
        <f t="shared" si="268"/>
        <v/>
      </c>
      <c r="V284" s="73">
        <f t="shared" si="278"/>
        <v>2473.728814</v>
      </c>
      <c r="W284" s="73">
        <f t="shared" si="9"/>
        <v>2473.728814</v>
      </c>
      <c r="X284" s="74">
        <f t="shared" si="10"/>
        <v>1</v>
      </c>
      <c r="Y284" s="73">
        <f t="shared" si="11"/>
        <v>0</v>
      </c>
      <c r="Z284" s="73">
        <f t="shared" si="12"/>
        <v>2855.084746</v>
      </c>
      <c r="AA284" s="73">
        <f t="shared" si="13"/>
        <v>2855.084746</v>
      </c>
      <c r="AB284" s="74">
        <f t="shared" si="14"/>
        <v>1</v>
      </c>
      <c r="AC284" s="61" t="str">
        <f t="shared" si="15"/>
        <v>6</v>
      </c>
      <c r="AD284" s="71" t="str">
        <f t="shared" si="16"/>
        <v>#DIV/0!</v>
      </c>
      <c r="AE284" s="61"/>
      <c r="AF284" s="61"/>
      <c r="AG284" s="71">
        <f t="array" ref="AG284">IFERROR(xlookup(G284,'Old Master'!T:T,'Old Master'!V:V),N284)</f>
        <v>0.251166926</v>
      </c>
      <c r="AH284" s="73">
        <f t="shared" si="229"/>
        <v>3369</v>
      </c>
      <c r="AI284" s="73">
        <f t="shared" si="230"/>
        <v>2855.084746</v>
      </c>
      <c r="AJ284" s="72">
        <f t="shared" si="19"/>
        <v>1</v>
      </c>
      <c r="AK284" s="61"/>
      <c r="AL284" s="71">
        <f t="array" ref="AL284">iferror(if(isblank(xlookup($G284,'Old Master'!$T:$T,'Old Master'!$W:$W)),AG284,xlookup($G284,'Old Master'!$T:$T,'Old Master'!$W:$W)),AG284)</f>
        <v>0.251166926</v>
      </c>
      <c r="AM284" s="74">
        <f t="shared" si="20"/>
        <v>0.2444987775</v>
      </c>
      <c r="AN284" s="73">
        <f t="shared" si="279"/>
        <v>3399</v>
      </c>
    </row>
    <row r="285">
      <c r="A285" s="65" t="s">
        <v>3788</v>
      </c>
      <c r="B285" s="65">
        <f t="shared" si="1"/>
        <v>36</v>
      </c>
      <c r="C285" s="65" t="str">
        <f t="shared" si="248"/>
        <v>SC-MFMTTOPPER-S-78x38x2</v>
      </c>
      <c r="D285" s="65" t="s">
        <v>3790</v>
      </c>
      <c r="E285" s="65">
        <v>0.0</v>
      </c>
      <c r="F285" s="65">
        <v>0.0</v>
      </c>
      <c r="G285" s="65" t="s">
        <v>5132</v>
      </c>
      <c r="H285" s="65" t="s">
        <v>4730</v>
      </c>
      <c r="I285" s="65">
        <v>5999.0</v>
      </c>
      <c r="J285" s="66">
        <v>0.35</v>
      </c>
      <c r="K285" s="65">
        <f t="shared" si="3"/>
        <v>3899</v>
      </c>
      <c r="L285" s="66">
        <v>0.15</v>
      </c>
      <c r="M285" s="65">
        <f t="shared" si="4"/>
        <v>5099</v>
      </c>
      <c r="N285" s="67">
        <f t="shared" si="275"/>
        <v>0.2500416736</v>
      </c>
      <c r="O285" s="68">
        <v>4499.0</v>
      </c>
      <c r="P285" s="67">
        <f t="shared" si="276"/>
        <v>0.2500416736</v>
      </c>
      <c r="Q285" s="69">
        <v>4499.0</v>
      </c>
      <c r="R285" s="70"/>
      <c r="S285" s="71">
        <f t="shared" si="277"/>
        <v>0.1538856117</v>
      </c>
      <c r="T285" s="72">
        <f t="shared" si="6"/>
        <v>0</v>
      </c>
      <c r="U285" s="73" t="str">
        <f t="shared" si="268"/>
        <v/>
      </c>
      <c r="V285" s="73">
        <f t="shared" si="278"/>
        <v>3304.237288</v>
      </c>
      <c r="W285" s="73">
        <f t="shared" si="9"/>
        <v>3304.237288</v>
      </c>
      <c r="X285" s="74">
        <f t="shared" si="10"/>
        <v>1</v>
      </c>
      <c r="Y285" s="73">
        <f t="shared" si="11"/>
        <v>0</v>
      </c>
      <c r="Z285" s="73">
        <f t="shared" si="12"/>
        <v>3812.711864</v>
      </c>
      <c r="AA285" s="73">
        <f t="shared" si="13"/>
        <v>3812.711864</v>
      </c>
      <c r="AB285" s="74">
        <f t="shared" si="14"/>
        <v>1</v>
      </c>
      <c r="AC285" s="61" t="str">
        <f t="shared" si="15"/>
        <v>2</v>
      </c>
      <c r="AD285" s="71" t="str">
        <f t="shared" si="16"/>
        <v>#DIV/0!</v>
      </c>
      <c r="AE285" s="61"/>
      <c r="AF285" s="61"/>
      <c r="AG285" s="71">
        <f t="array" ref="AG285">IFERROR(xlookup(G285,'Old Master'!T:T,'Old Master'!V:V),N285)</f>
        <v>0.2500416736</v>
      </c>
      <c r="AH285" s="73">
        <f t="shared" si="229"/>
        <v>4499</v>
      </c>
      <c r="AI285" s="73">
        <f t="shared" si="230"/>
        <v>3812.711864</v>
      </c>
      <c r="AJ285" s="72">
        <f t="shared" si="19"/>
        <v>1</v>
      </c>
      <c r="AK285" s="61"/>
      <c r="AL285" s="71">
        <f t="array" ref="AL285">iferror(if(isblank(xlookup($G285,'Old Master'!$T:$T,'Old Master'!$W:$W)),AG285,xlookup($G285,'Old Master'!$T:$T,'Old Master'!$W:$W)),AG285)</f>
        <v>0.2500416736</v>
      </c>
      <c r="AM285" s="74">
        <f t="shared" si="20"/>
        <v>0.2500416736</v>
      </c>
      <c r="AN285" s="73">
        <f t="shared" si="279"/>
        <v>4499</v>
      </c>
    </row>
    <row r="286">
      <c r="A286" s="65" t="s">
        <v>4784</v>
      </c>
      <c r="B286" s="65">
        <f t="shared" si="1"/>
        <v>60</v>
      </c>
      <c r="C286" s="65" t="str">
        <f t="shared" si="248"/>
        <v>SC-MFMTTOPPER-K-75x62x2</v>
      </c>
      <c r="D286" s="65" t="s">
        <v>4786</v>
      </c>
      <c r="E286" s="65">
        <v>0.0</v>
      </c>
      <c r="F286" s="65">
        <v>0.0</v>
      </c>
      <c r="G286" s="65" t="s">
        <v>5132</v>
      </c>
      <c r="H286" s="65" t="s">
        <v>4730</v>
      </c>
      <c r="I286" s="65">
        <v>8999.0</v>
      </c>
      <c r="J286" s="66">
        <v>0.3009364487680698</v>
      </c>
      <c r="K286" s="65">
        <f t="shared" si="3"/>
        <v>6291</v>
      </c>
      <c r="L286" s="66">
        <v>0.15</v>
      </c>
      <c r="M286" s="65">
        <f t="shared" si="4"/>
        <v>7649</v>
      </c>
      <c r="N286" s="67">
        <f t="shared" si="275"/>
        <v>0.2509167685</v>
      </c>
      <c r="O286" s="68">
        <v>6741.0</v>
      </c>
      <c r="P286" s="67">
        <f t="shared" si="276"/>
        <v>0.2509167685</v>
      </c>
      <c r="Q286" s="69">
        <v>6741.0</v>
      </c>
      <c r="R286" s="70"/>
      <c r="S286" s="71">
        <f t="shared" si="277"/>
        <v>0.07153075823</v>
      </c>
      <c r="T286" s="72">
        <f t="shared" si="6"/>
        <v>0</v>
      </c>
      <c r="U286" s="73" t="str">
        <f t="shared" si="268"/>
        <v/>
      </c>
      <c r="V286" s="73">
        <f t="shared" si="278"/>
        <v>5331.355932</v>
      </c>
      <c r="W286" s="73">
        <f t="shared" si="9"/>
        <v>5331.355932</v>
      </c>
      <c r="X286" s="74">
        <f t="shared" si="10"/>
        <v>1</v>
      </c>
      <c r="Y286" s="73">
        <f t="shared" si="11"/>
        <v>0</v>
      </c>
      <c r="Z286" s="73">
        <f t="shared" si="12"/>
        <v>5712.711864</v>
      </c>
      <c r="AA286" s="73">
        <f t="shared" si="13"/>
        <v>5712.711864</v>
      </c>
      <c r="AB286" s="74">
        <f t="shared" si="14"/>
        <v>1</v>
      </c>
      <c r="AC286" s="61" t="str">
        <f t="shared" si="15"/>
        <v>2</v>
      </c>
      <c r="AD286" s="71" t="str">
        <f t="shared" si="16"/>
        <v>#DIV/0!</v>
      </c>
      <c r="AE286" s="61"/>
      <c r="AF286" s="61"/>
      <c r="AG286" s="71">
        <f t="array" ref="AG286">IFERROR(xlookup(G286,'Old Master'!T:T,'Old Master'!V:V),N286)</f>
        <v>0.2509167685</v>
      </c>
      <c r="AH286" s="73">
        <f t="shared" si="229"/>
        <v>6741</v>
      </c>
      <c r="AI286" s="73">
        <f t="shared" si="230"/>
        <v>5712.711864</v>
      </c>
      <c r="AJ286" s="72">
        <f t="shared" si="19"/>
        <v>1</v>
      </c>
      <c r="AK286" s="61"/>
      <c r="AL286" s="71">
        <f t="array" ref="AL286">iferror(if(isblank(xlookup($G286,'Old Master'!$T:$T,'Old Master'!$W:$W)),AG286,xlookup($G286,'Old Master'!$T:$T,'Old Master'!$W:$W)),AG286)</f>
        <v>0.2509167685</v>
      </c>
      <c r="AM286" s="74">
        <f t="shared" si="20"/>
        <v>0.2509167685</v>
      </c>
      <c r="AN286" s="73">
        <f t="shared" ref="AN286:AN287" si="280">O286</f>
        <v>6741</v>
      </c>
    </row>
    <row r="287">
      <c r="A287" s="65" t="s">
        <v>2157</v>
      </c>
      <c r="B287" s="65" t="str">
        <f t="shared" si="1"/>
        <v>#VALUE!</v>
      </c>
      <c r="C287" s="65" t="str">
        <f t="shared" si="248"/>
        <v>#VALUE!</v>
      </c>
      <c r="D287" s="65" t="s">
        <v>2159</v>
      </c>
      <c r="E287" s="65">
        <v>0.0</v>
      </c>
      <c r="F287" s="65">
        <v>0.0</v>
      </c>
      <c r="G287" s="65" t="s">
        <v>5103</v>
      </c>
      <c r="H287" s="65" t="s">
        <v>4730</v>
      </c>
      <c r="I287" s="65">
        <v>6499.0</v>
      </c>
      <c r="J287" s="66">
        <v>0.3</v>
      </c>
      <c r="K287" s="65">
        <f t="shared" si="3"/>
        <v>4549</v>
      </c>
      <c r="L287" s="66">
        <v>0.3</v>
      </c>
      <c r="M287" s="65">
        <f t="shared" si="4"/>
        <v>4549</v>
      </c>
      <c r="N287" s="67">
        <f t="shared" si="275"/>
        <v>0.2</v>
      </c>
      <c r="O287" s="78">
        <v>5199.200000000001</v>
      </c>
      <c r="P287" s="67">
        <f t="shared" si="276"/>
        <v>0.2</v>
      </c>
      <c r="Q287" s="82">
        <v>5199.200000000001</v>
      </c>
      <c r="R287" s="70"/>
      <c r="S287" s="71">
        <f t="shared" si="277"/>
        <v>0.1429325126</v>
      </c>
      <c r="T287" s="72">
        <f t="shared" si="6"/>
        <v>0</v>
      </c>
      <c r="U287" s="73" t="str">
        <f t="shared" si="268"/>
        <v/>
      </c>
      <c r="V287" s="73">
        <f t="shared" si="278"/>
        <v>3855.084746</v>
      </c>
      <c r="W287" s="73">
        <f t="shared" si="9"/>
        <v>3855.084746</v>
      </c>
      <c r="X287" s="74">
        <f t="shared" si="10"/>
        <v>1</v>
      </c>
      <c r="Y287" s="73">
        <f t="shared" si="11"/>
        <v>0</v>
      </c>
      <c r="Z287" s="73">
        <f t="shared" si="12"/>
        <v>4406.101695</v>
      </c>
      <c r="AA287" s="73">
        <f t="shared" si="13"/>
        <v>4406.101695</v>
      </c>
      <c r="AB287" s="74">
        <f t="shared" si="14"/>
        <v>1</v>
      </c>
      <c r="AC287" s="61" t="str">
        <f t="shared" si="15"/>
        <v>0</v>
      </c>
      <c r="AD287" s="71" t="str">
        <f t="shared" si="16"/>
        <v>#DIV/0!</v>
      </c>
      <c r="AE287" s="61"/>
      <c r="AF287" s="61"/>
      <c r="AG287" s="71">
        <f t="array" ref="AG287">IFERROR(xlookup(G287,'Old Master'!T:T,'Old Master'!V:V),N287)</f>
        <v>0.2</v>
      </c>
      <c r="AH287" s="73">
        <f t="shared" si="229"/>
        <v>5199.2</v>
      </c>
      <c r="AI287" s="73">
        <f t="shared" si="230"/>
        <v>4406.101695</v>
      </c>
      <c r="AJ287" s="72">
        <f t="shared" si="19"/>
        <v>1</v>
      </c>
      <c r="AK287" s="61"/>
      <c r="AL287" s="71">
        <f t="array" ref="AL287">iferror(if(isblank(xlookup($G287,'Old Master'!$T:$T,'Old Master'!$W:$W)),AG287,xlookup($G287,'Old Master'!$T:$T,'Old Master'!$W:$W)),AG287)</f>
        <v>0.2</v>
      </c>
      <c r="AM287" s="74">
        <f t="shared" si="20"/>
        <v>0.2</v>
      </c>
      <c r="AN287" s="73">
        <f t="shared" si="280"/>
        <v>5199.2</v>
      </c>
    </row>
    <row r="288">
      <c r="A288" s="65" t="s">
        <v>3851</v>
      </c>
      <c r="B288" s="65" t="str">
        <f t="shared" si="1"/>
        <v>#VALUE!</v>
      </c>
      <c r="C288" s="65" t="str">
        <f t="shared" si="248"/>
        <v>#VALUE!</v>
      </c>
      <c r="D288" s="65" t="s">
        <v>3853</v>
      </c>
      <c r="E288" s="65">
        <v>0.0</v>
      </c>
      <c r="F288" s="65" t="s">
        <v>3854</v>
      </c>
      <c r="G288" s="65" t="s">
        <v>4727</v>
      </c>
      <c r="H288" s="65" t="s">
        <v>4727</v>
      </c>
      <c r="I288" s="65">
        <v>1249.0</v>
      </c>
      <c r="J288" s="66">
        <v>0.2815485168426345</v>
      </c>
      <c r="K288" s="65">
        <f t="shared" si="3"/>
        <v>897</v>
      </c>
      <c r="L288" s="66">
        <v>0.3</v>
      </c>
      <c r="M288" s="65">
        <f t="shared" si="4"/>
        <v>874</v>
      </c>
      <c r="N288" s="67">
        <f t="shared" si="275"/>
        <v>0.2001601281</v>
      </c>
      <c r="O288" s="68">
        <v>999.0</v>
      </c>
      <c r="P288" s="67">
        <f t="shared" si="276"/>
        <v>0.2001601281</v>
      </c>
      <c r="Q288" s="69">
        <v>999.0</v>
      </c>
      <c r="R288" s="70"/>
      <c r="S288" s="71">
        <f t="shared" si="277"/>
        <v>0.1137123746</v>
      </c>
      <c r="T288" s="72">
        <f t="shared" si="6"/>
        <v>0</v>
      </c>
      <c r="U288" s="73" t="str">
        <f t="shared" si="268"/>
        <v/>
      </c>
      <c r="V288" s="73">
        <f t="shared" ref="V288:V306" si="281">M288/1.18</f>
        <v>740.6779661</v>
      </c>
      <c r="W288" s="73">
        <f t="shared" si="9"/>
        <v>740.6779661</v>
      </c>
      <c r="X288" s="74">
        <f t="shared" si="10"/>
        <v>1</v>
      </c>
      <c r="Y288" s="73">
        <f t="shared" si="11"/>
        <v>0</v>
      </c>
      <c r="Z288" s="73">
        <f t="shared" si="12"/>
        <v>846.6101695</v>
      </c>
      <c r="AA288" s="73">
        <f t="shared" si="13"/>
        <v>846.6101695</v>
      </c>
      <c r="AB288" s="74">
        <f t="shared" si="14"/>
        <v>1</v>
      </c>
      <c r="AC288" s="61" t="str">
        <f t="shared" si="15"/>
        <v>L</v>
      </c>
      <c r="AD288" s="71" t="str">
        <f t="shared" si="16"/>
        <v>#DIV/0!</v>
      </c>
      <c r="AE288" s="61"/>
      <c r="AF288" s="61"/>
      <c r="AG288" s="71">
        <f t="array" ref="AG288">IFERROR(xlookup(G288,'Old Master'!T:T,'Old Master'!V:V),N288)</f>
        <v>0.2001601281</v>
      </c>
      <c r="AH288" s="73">
        <f t="shared" si="229"/>
        <v>999</v>
      </c>
      <c r="AI288" s="73">
        <f t="shared" si="230"/>
        <v>846.6101695</v>
      </c>
      <c r="AJ288" s="72">
        <f t="shared" si="19"/>
        <v>1</v>
      </c>
      <c r="AK288" s="61"/>
      <c r="AL288" s="71">
        <f t="array" ref="AL288">iferror(if(isblank(xlookup($G288,'Old Master'!$T:$T,'Old Master'!$W:$W)),AG288,xlookup($G288,'Old Master'!$T:$T,'Old Master'!$W:$W)),AG288)</f>
        <v>0.2001601281</v>
      </c>
      <c r="AM288" s="74">
        <f t="shared" si="20"/>
        <v>0.2001601281</v>
      </c>
      <c r="AN288" s="73">
        <f t="shared" ref="AN288:AN297" si="282">mround($I288*(1-AL288),100)-1</f>
        <v>999</v>
      </c>
    </row>
    <row r="289">
      <c r="A289" s="65" t="s">
        <v>499</v>
      </c>
      <c r="B289" s="65">
        <f t="shared" si="1"/>
        <v>66</v>
      </c>
      <c r="C289" s="65" t="str">
        <f t="shared" si="248"/>
        <v>SC-ORIG-Q-72x68x5</v>
      </c>
      <c r="D289" s="65" t="s">
        <v>501</v>
      </c>
      <c r="E289" s="65">
        <v>0.0</v>
      </c>
      <c r="F289" s="65" t="s">
        <v>502</v>
      </c>
      <c r="G289" s="65" t="s">
        <v>51</v>
      </c>
      <c r="H289" s="65" t="s">
        <v>52</v>
      </c>
      <c r="I289" s="65">
        <v>15689.0</v>
      </c>
      <c r="J289" s="66">
        <v>0.28</v>
      </c>
      <c r="K289" s="65">
        <f t="shared" si="3"/>
        <v>11296</v>
      </c>
      <c r="L289" s="66">
        <v>0.24</v>
      </c>
      <c r="M289" s="65">
        <f t="shared" si="4"/>
        <v>11924</v>
      </c>
      <c r="N289" s="67">
        <f t="shared" si="275"/>
        <v>0.1900057365</v>
      </c>
      <c r="O289" s="68">
        <v>12708.0</v>
      </c>
      <c r="P289" s="67">
        <f t="shared" si="276"/>
        <v>0.1900057365</v>
      </c>
      <c r="Q289" s="69">
        <v>12708.0</v>
      </c>
      <c r="R289" s="76"/>
      <c r="S289" s="72">
        <f t="shared" ref="S289:S293" si="283">O289/M289-1</f>
        <v>0.06574974841</v>
      </c>
      <c r="T289" s="72">
        <f t="shared" si="6"/>
        <v>0</v>
      </c>
      <c r="U289" s="73" t="str">
        <f t="shared" si="268"/>
        <v/>
      </c>
      <c r="V289" s="73">
        <f t="shared" si="281"/>
        <v>10105.08475</v>
      </c>
      <c r="W289" s="73">
        <f t="shared" si="9"/>
        <v>10105.08475</v>
      </c>
      <c r="X289" s="74">
        <f t="shared" si="10"/>
        <v>1</v>
      </c>
      <c r="Y289" s="73">
        <f t="shared" si="11"/>
        <v>0</v>
      </c>
      <c r="Z289" s="73">
        <f t="shared" si="12"/>
        <v>10769.49153</v>
      </c>
      <c r="AA289" s="73">
        <f t="shared" si="13"/>
        <v>10769.49153</v>
      </c>
      <c r="AB289" s="74">
        <f t="shared" si="14"/>
        <v>1</v>
      </c>
      <c r="AC289" s="61" t="str">
        <f t="shared" si="15"/>
        <v>5</v>
      </c>
      <c r="AD289" s="71" t="str">
        <f t="shared" si="16"/>
        <v>#DIV/0!</v>
      </c>
      <c r="AE289" s="61"/>
      <c r="AF289" s="61"/>
      <c r="AG289" s="71">
        <f t="array" ref="AG289">IFERROR(xlookup(G289,'Old Master'!T:T,'Old Master'!V:V),N289)</f>
        <v>0.1900057365</v>
      </c>
      <c r="AH289" s="73">
        <f t="shared" si="229"/>
        <v>12708</v>
      </c>
      <c r="AI289" s="73">
        <f t="shared" si="230"/>
        <v>10769.49153</v>
      </c>
      <c r="AJ289" s="72">
        <f t="shared" si="19"/>
        <v>1</v>
      </c>
      <c r="AK289" s="61"/>
      <c r="AL289" s="71">
        <f t="array" ref="AL289">iferror(if(isblank(xlookup($G289,'Old Master'!$T:$T,'Old Master'!$W:$W)),AG289,xlookup($G289,'Old Master'!$T:$T,'Old Master'!$W:$W)),AG289)</f>
        <v>0.1900057365</v>
      </c>
      <c r="AM289" s="74">
        <f t="shared" si="20"/>
        <v>0.1905793868</v>
      </c>
      <c r="AN289" s="73">
        <f t="shared" si="282"/>
        <v>12699</v>
      </c>
    </row>
    <row r="290">
      <c r="A290" s="65" t="s">
        <v>86</v>
      </c>
      <c r="B290" s="65">
        <f t="shared" si="1"/>
        <v>36</v>
      </c>
      <c r="C290" s="65" t="str">
        <f t="shared" si="248"/>
        <v>SC-ORIG-S-72x38x10</v>
      </c>
      <c r="D290" s="65" t="s">
        <v>88</v>
      </c>
      <c r="E290" s="65" t="s">
        <v>89</v>
      </c>
      <c r="F290" s="65" t="s">
        <v>90</v>
      </c>
      <c r="G290" s="65" t="s">
        <v>51</v>
      </c>
      <c r="H290" s="65" t="s">
        <v>52</v>
      </c>
      <c r="I290" s="65">
        <v>12999.0</v>
      </c>
      <c r="J290" s="66">
        <v>0.28</v>
      </c>
      <c r="K290" s="65">
        <f t="shared" si="3"/>
        <v>9359</v>
      </c>
      <c r="L290" s="66">
        <v>0.24</v>
      </c>
      <c r="M290" s="65">
        <f t="shared" si="4"/>
        <v>9879</v>
      </c>
      <c r="N290" s="67">
        <f t="shared" si="275"/>
        <v>0.1900146165</v>
      </c>
      <c r="O290" s="68">
        <v>10529.0</v>
      </c>
      <c r="P290" s="67">
        <f t="shared" si="276"/>
        <v>0.1900146165</v>
      </c>
      <c r="Q290" s="69">
        <v>10529.0</v>
      </c>
      <c r="R290" s="76"/>
      <c r="S290" s="72">
        <f t="shared" si="283"/>
        <v>0.06579613321</v>
      </c>
      <c r="T290" s="72">
        <f t="shared" si="6"/>
        <v>0</v>
      </c>
      <c r="U290" s="73" t="str">
        <f t="shared" si="268"/>
        <v/>
      </c>
      <c r="V290" s="73">
        <f t="shared" si="281"/>
        <v>8372.033898</v>
      </c>
      <c r="W290" s="73">
        <f t="shared" si="9"/>
        <v>8372.033898</v>
      </c>
      <c r="X290" s="74">
        <f t="shared" si="10"/>
        <v>1</v>
      </c>
      <c r="Y290" s="73">
        <f t="shared" si="11"/>
        <v>0</v>
      </c>
      <c r="Z290" s="73">
        <f t="shared" si="12"/>
        <v>8922.881356</v>
      </c>
      <c r="AA290" s="73">
        <f t="shared" si="13"/>
        <v>8922.881356</v>
      </c>
      <c r="AB290" s="74">
        <f t="shared" si="14"/>
        <v>1</v>
      </c>
      <c r="AC290" s="61" t="str">
        <f t="shared" si="15"/>
        <v>0</v>
      </c>
      <c r="AD290" s="71" t="str">
        <f t="shared" si="16"/>
        <v>#DIV/0!</v>
      </c>
      <c r="AE290" s="61"/>
      <c r="AF290" s="61"/>
      <c r="AG290" s="71">
        <f t="array" ref="AG290">IFERROR(xlookup(G290,'Old Master'!T:T,'Old Master'!V:V),N290)</f>
        <v>0.1900146165</v>
      </c>
      <c r="AH290" s="73">
        <f t="shared" si="229"/>
        <v>10529</v>
      </c>
      <c r="AI290" s="73">
        <f t="shared" si="230"/>
        <v>8922.881356</v>
      </c>
      <c r="AJ290" s="72">
        <f t="shared" si="19"/>
        <v>1</v>
      </c>
      <c r="AK290" s="61"/>
      <c r="AL290" s="71">
        <f t="array" ref="AL290">iferror(if(isblank(xlookup($G290,'Old Master'!$T:$T,'Old Master'!$W:$W)),AG290,xlookup($G290,'Old Master'!$T:$T,'Old Master'!$W:$W)),AG290)</f>
        <v>0.1900146165</v>
      </c>
      <c r="AM290" s="74">
        <f t="shared" si="20"/>
        <v>0.1923224863</v>
      </c>
      <c r="AN290" s="73">
        <f t="shared" si="282"/>
        <v>10499</v>
      </c>
    </row>
    <row r="291">
      <c r="A291" s="65" t="s">
        <v>272</v>
      </c>
      <c r="B291" s="65">
        <f t="shared" si="1"/>
        <v>48</v>
      </c>
      <c r="C291" s="65" t="str">
        <f t="shared" si="248"/>
        <v>SC-ORIG-D-78x50x10</v>
      </c>
      <c r="D291" s="65" t="s">
        <v>274</v>
      </c>
      <c r="E291" s="65" t="s">
        <v>275</v>
      </c>
      <c r="F291" s="65" t="s">
        <v>276</v>
      </c>
      <c r="G291" s="65" t="s">
        <v>51</v>
      </c>
      <c r="H291" s="65" t="s">
        <v>52</v>
      </c>
      <c r="I291" s="65">
        <v>16999.0</v>
      </c>
      <c r="J291" s="66">
        <v>0.28</v>
      </c>
      <c r="K291" s="65">
        <f t="shared" si="3"/>
        <v>12239</v>
      </c>
      <c r="L291" s="66">
        <v>0.24</v>
      </c>
      <c r="M291" s="65">
        <f t="shared" si="4"/>
        <v>12919</v>
      </c>
      <c r="N291" s="67">
        <f t="shared" si="275"/>
        <v>0.1900111771</v>
      </c>
      <c r="O291" s="68">
        <v>13769.0</v>
      </c>
      <c r="P291" s="67">
        <f t="shared" si="276"/>
        <v>0.1900111771</v>
      </c>
      <c r="Q291" s="69">
        <v>13769.0</v>
      </c>
      <c r="R291" s="76"/>
      <c r="S291" s="72">
        <f t="shared" si="283"/>
        <v>0.06579456614</v>
      </c>
      <c r="T291" s="72">
        <f t="shared" si="6"/>
        <v>0</v>
      </c>
      <c r="U291" s="73" t="str">
        <f t="shared" si="268"/>
        <v/>
      </c>
      <c r="V291" s="73">
        <f t="shared" si="281"/>
        <v>10948.30508</v>
      </c>
      <c r="W291" s="73">
        <f t="shared" si="9"/>
        <v>10948.30508</v>
      </c>
      <c r="X291" s="74">
        <f t="shared" si="10"/>
        <v>1</v>
      </c>
      <c r="Y291" s="73">
        <f t="shared" si="11"/>
        <v>0</v>
      </c>
      <c r="Z291" s="73">
        <f t="shared" si="12"/>
        <v>11668.64407</v>
      </c>
      <c r="AA291" s="73">
        <f t="shared" si="13"/>
        <v>11668.64407</v>
      </c>
      <c r="AB291" s="74">
        <f t="shared" si="14"/>
        <v>1</v>
      </c>
      <c r="AC291" s="61" t="str">
        <f t="shared" si="15"/>
        <v>0</v>
      </c>
      <c r="AD291" s="71" t="str">
        <f t="shared" si="16"/>
        <v>#DIV/0!</v>
      </c>
      <c r="AE291" s="61"/>
      <c r="AF291" s="61"/>
      <c r="AG291" s="71">
        <f t="array" ref="AG291">IFERROR(xlookup(G291,'Old Master'!T:T,'Old Master'!V:V),N291)</f>
        <v>0.1900111771</v>
      </c>
      <c r="AH291" s="73">
        <f t="shared" si="229"/>
        <v>13769</v>
      </c>
      <c r="AI291" s="73">
        <f t="shared" si="230"/>
        <v>11668.64407</v>
      </c>
      <c r="AJ291" s="72">
        <f t="shared" si="19"/>
        <v>1</v>
      </c>
      <c r="AK291" s="61"/>
      <c r="AL291" s="71">
        <f t="array" ref="AL291">iferror(if(isblank(xlookup($G291,'Old Master'!$T:$T,'Old Master'!$W:$W)),AG291,xlookup($G291,'Old Master'!$T:$T,'Old Master'!$W:$W)),AG291)</f>
        <v>0.1900111771</v>
      </c>
      <c r="AM291" s="74">
        <f t="shared" si="20"/>
        <v>0.1882463674</v>
      </c>
      <c r="AN291" s="73">
        <f t="shared" si="282"/>
        <v>13799</v>
      </c>
    </row>
    <row r="292">
      <c r="A292" s="65" t="s">
        <v>417</v>
      </c>
      <c r="B292" s="65">
        <f t="shared" si="1"/>
        <v>60</v>
      </c>
      <c r="C292" s="65" t="str">
        <f t="shared" si="248"/>
        <v>SC-ORIG-Q-84x62x8</v>
      </c>
      <c r="D292" s="65">
        <v>0.0</v>
      </c>
      <c r="E292" s="65">
        <v>0.0</v>
      </c>
      <c r="F292" s="65" t="s">
        <v>420</v>
      </c>
      <c r="G292" s="65" t="s">
        <v>51</v>
      </c>
      <c r="H292" s="65" t="s">
        <v>52</v>
      </c>
      <c r="I292" s="65">
        <v>20999.0</v>
      </c>
      <c r="J292" s="66">
        <v>0.28</v>
      </c>
      <c r="K292" s="65">
        <f t="shared" si="3"/>
        <v>15119</v>
      </c>
      <c r="L292" s="66">
        <v>0.24</v>
      </c>
      <c r="M292" s="65">
        <f t="shared" si="4"/>
        <v>15959</v>
      </c>
      <c r="N292" s="67">
        <f t="shared" si="275"/>
        <v>0.190009048</v>
      </c>
      <c r="O292" s="68">
        <v>17009.0</v>
      </c>
      <c r="P292" s="67">
        <f t="shared" si="276"/>
        <v>0.190009048</v>
      </c>
      <c r="Q292" s="69">
        <v>17009.0</v>
      </c>
      <c r="R292" s="76"/>
      <c r="S292" s="72">
        <f t="shared" si="283"/>
        <v>0.06579359609</v>
      </c>
      <c r="T292" s="72">
        <f t="shared" si="6"/>
        <v>0</v>
      </c>
      <c r="U292" s="73" t="str">
        <f t="shared" si="268"/>
        <v/>
      </c>
      <c r="V292" s="73">
        <f t="shared" si="281"/>
        <v>13524.57627</v>
      </c>
      <c r="W292" s="73">
        <f t="shared" si="9"/>
        <v>13524.57627</v>
      </c>
      <c r="X292" s="74">
        <f t="shared" si="10"/>
        <v>1</v>
      </c>
      <c r="Y292" s="73">
        <f t="shared" si="11"/>
        <v>0</v>
      </c>
      <c r="Z292" s="73">
        <f t="shared" si="12"/>
        <v>14414.40678</v>
      </c>
      <c r="AA292" s="73">
        <f t="shared" si="13"/>
        <v>14414.40678</v>
      </c>
      <c r="AB292" s="74">
        <f t="shared" si="14"/>
        <v>1</v>
      </c>
      <c r="AC292" s="61" t="str">
        <f t="shared" si="15"/>
        <v>8</v>
      </c>
      <c r="AD292" s="71" t="str">
        <f t="shared" si="16"/>
        <v>#DIV/0!</v>
      </c>
      <c r="AE292" s="61"/>
      <c r="AF292" s="61"/>
      <c r="AG292" s="71">
        <f t="array" ref="AG292">IFERROR(xlookup(G292,'Old Master'!T:T,'Old Master'!V:V),N292)</f>
        <v>0.190009048</v>
      </c>
      <c r="AH292" s="73">
        <f t="shared" si="229"/>
        <v>17009</v>
      </c>
      <c r="AI292" s="73">
        <f t="shared" si="230"/>
        <v>14414.40678</v>
      </c>
      <c r="AJ292" s="72">
        <f t="shared" si="19"/>
        <v>1</v>
      </c>
      <c r="AK292" s="61"/>
      <c r="AL292" s="71">
        <f t="array" ref="AL292">iferror(if(isblank(xlookup($G292,'Old Master'!$T:$T,'Old Master'!$W:$W)),AG292,xlookup($G292,'Old Master'!$T:$T,'Old Master'!$W:$W)),AG292)</f>
        <v>0.190009048</v>
      </c>
      <c r="AM292" s="74">
        <f t="shared" si="20"/>
        <v>0.1904852612</v>
      </c>
      <c r="AN292" s="73">
        <f t="shared" si="282"/>
        <v>16999</v>
      </c>
    </row>
    <row r="293">
      <c r="A293" s="65" t="s">
        <v>455</v>
      </c>
      <c r="B293" s="65">
        <f t="shared" si="1"/>
        <v>66</v>
      </c>
      <c r="C293" s="65" t="str">
        <f t="shared" si="248"/>
        <v>SC-ORIG-Q-78x68x10</v>
      </c>
      <c r="D293" s="65" t="s">
        <v>457</v>
      </c>
      <c r="E293" s="65" t="s">
        <v>458</v>
      </c>
      <c r="F293" s="65" t="s">
        <v>459</v>
      </c>
      <c r="G293" s="65" t="s">
        <v>51</v>
      </c>
      <c r="H293" s="65" t="s">
        <v>52</v>
      </c>
      <c r="I293" s="65">
        <v>23499.0</v>
      </c>
      <c r="J293" s="66">
        <v>0.28</v>
      </c>
      <c r="K293" s="65">
        <f t="shared" si="3"/>
        <v>16919</v>
      </c>
      <c r="L293" s="66">
        <v>0.24</v>
      </c>
      <c r="M293" s="65">
        <f t="shared" si="4"/>
        <v>17859</v>
      </c>
      <c r="N293" s="67">
        <f t="shared" si="275"/>
        <v>0.1900080855</v>
      </c>
      <c r="O293" s="68">
        <v>19034.0</v>
      </c>
      <c r="P293" s="67">
        <f t="shared" si="276"/>
        <v>0.1900080855</v>
      </c>
      <c r="Q293" s="69">
        <v>19034.0</v>
      </c>
      <c r="R293" s="76"/>
      <c r="S293" s="72">
        <f t="shared" si="283"/>
        <v>0.06579315751</v>
      </c>
      <c r="T293" s="72">
        <f t="shared" si="6"/>
        <v>0</v>
      </c>
      <c r="U293" s="73" t="str">
        <f t="shared" si="268"/>
        <v/>
      </c>
      <c r="V293" s="73">
        <f t="shared" si="281"/>
        <v>15134.74576</v>
      </c>
      <c r="W293" s="73">
        <f t="shared" si="9"/>
        <v>15134.74576</v>
      </c>
      <c r="X293" s="74">
        <f t="shared" si="10"/>
        <v>1</v>
      </c>
      <c r="Y293" s="73">
        <f t="shared" si="11"/>
        <v>0</v>
      </c>
      <c r="Z293" s="73">
        <f t="shared" si="12"/>
        <v>16130.50847</v>
      </c>
      <c r="AA293" s="73">
        <f t="shared" si="13"/>
        <v>16130.50847</v>
      </c>
      <c r="AB293" s="74">
        <f t="shared" si="14"/>
        <v>1</v>
      </c>
      <c r="AC293" s="61" t="str">
        <f t="shared" si="15"/>
        <v>0</v>
      </c>
      <c r="AD293" s="71" t="str">
        <f t="shared" si="16"/>
        <v>#DIV/0!</v>
      </c>
      <c r="AE293" s="61"/>
      <c r="AF293" s="61"/>
      <c r="AG293" s="71">
        <f t="array" ref="AG293">IFERROR(xlookup(G293,'Old Master'!T:T,'Old Master'!V:V),N293)</f>
        <v>0.1900080855</v>
      </c>
      <c r="AH293" s="73">
        <f t="shared" si="229"/>
        <v>19034</v>
      </c>
      <c r="AI293" s="73">
        <f t="shared" si="230"/>
        <v>16130.50847</v>
      </c>
      <c r="AJ293" s="72">
        <f t="shared" si="19"/>
        <v>1</v>
      </c>
      <c r="AK293" s="61"/>
      <c r="AL293" s="71">
        <f t="array" ref="AL293">iferror(if(isblank(xlookup($G293,'Old Master'!$T:$T,'Old Master'!$W:$W)),AG293,xlookup($G293,'Old Master'!$T:$T,'Old Master'!$W:$W)),AG293)</f>
        <v>0.1900080855</v>
      </c>
      <c r="AM293" s="74">
        <f t="shared" si="20"/>
        <v>0.1914975105</v>
      </c>
      <c r="AN293" s="73">
        <f t="shared" si="282"/>
        <v>18999</v>
      </c>
    </row>
    <row r="294">
      <c r="A294" s="65" t="s">
        <v>1170</v>
      </c>
      <c r="B294" s="65" t="str">
        <f t="shared" si="1"/>
        <v>#VALUE!</v>
      </c>
      <c r="C294" s="65" t="str">
        <f t="shared" si="248"/>
        <v>#VALUE!</v>
      </c>
      <c r="D294" s="65" t="s">
        <v>1171</v>
      </c>
      <c r="E294" s="65">
        <v>0.0</v>
      </c>
      <c r="F294" s="65" t="s">
        <v>1170</v>
      </c>
      <c r="G294" s="65" t="s">
        <v>1195</v>
      </c>
      <c r="H294" s="65" t="s">
        <v>5114</v>
      </c>
      <c r="I294" s="65">
        <v>2489.0</v>
      </c>
      <c r="J294" s="66">
        <v>0.2815485168426345</v>
      </c>
      <c r="K294" s="65">
        <f t="shared" si="3"/>
        <v>1788</v>
      </c>
      <c r="L294" s="66">
        <v>0.43</v>
      </c>
      <c r="M294" s="65">
        <f t="shared" si="4"/>
        <v>1419</v>
      </c>
      <c r="N294" s="67">
        <f t="shared" si="275"/>
        <v>0.2816392125</v>
      </c>
      <c r="O294" s="68">
        <v>1788.0</v>
      </c>
      <c r="P294" s="67">
        <f t="shared" si="276"/>
        <v>0.2816392125</v>
      </c>
      <c r="Q294" s="69">
        <v>1788.0</v>
      </c>
      <c r="R294" s="70"/>
      <c r="S294" s="71">
        <f t="shared" ref="S294:S303" si="284">O294/K294-1</f>
        <v>0</v>
      </c>
      <c r="T294" s="72">
        <f t="shared" si="6"/>
        <v>0</v>
      </c>
      <c r="U294" s="73" t="str">
        <f t="shared" si="268"/>
        <v/>
      </c>
      <c r="V294" s="73">
        <f t="shared" si="281"/>
        <v>1202.542373</v>
      </c>
      <c r="W294" s="73">
        <f t="shared" si="9"/>
        <v>1202.542373</v>
      </c>
      <c r="X294" s="74">
        <f t="shared" si="10"/>
        <v>1</v>
      </c>
      <c r="Y294" s="73">
        <f t="shared" si="11"/>
        <v>0</v>
      </c>
      <c r="Z294" s="73">
        <f t="shared" si="12"/>
        <v>1515.254237</v>
      </c>
      <c r="AA294" s="73">
        <f t="shared" si="13"/>
        <v>1515.254237</v>
      </c>
      <c r="AB294" s="74">
        <f t="shared" si="14"/>
        <v>1</v>
      </c>
      <c r="AC294" s="61" t="str">
        <f t="shared" si="15"/>
        <v>2</v>
      </c>
      <c r="AD294" s="71" t="str">
        <f t="shared" si="16"/>
        <v>#DIV/0!</v>
      </c>
      <c r="AE294" s="61"/>
      <c r="AF294" s="61"/>
      <c r="AG294" s="71">
        <f t="array" ref="AG294">IFERROR(xlookup(G294,'Old Master'!T:T,'Old Master'!V:V),N294)</f>
        <v>0.2816392125</v>
      </c>
      <c r="AH294" s="73">
        <f t="shared" si="229"/>
        <v>1788</v>
      </c>
      <c r="AI294" s="73">
        <f t="shared" si="230"/>
        <v>1515.254237</v>
      </c>
      <c r="AJ294" s="72">
        <f t="shared" si="19"/>
        <v>1</v>
      </c>
      <c r="AK294" s="61"/>
      <c r="AL294" s="71">
        <f t="array" ref="AL294">iferror(if(isblank(xlookup($G294,'Old Master'!$T:$T,'Old Master'!$W:$W)),AG294,xlookup($G294,'Old Master'!$T:$T,'Old Master'!$W:$W)),AG294)</f>
        <v>0.2816392125</v>
      </c>
      <c r="AM294" s="74">
        <f t="shared" si="20"/>
        <v>0.277219767</v>
      </c>
      <c r="AN294" s="73">
        <f t="shared" si="282"/>
        <v>1799</v>
      </c>
    </row>
    <row r="295">
      <c r="A295" s="65" t="s">
        <v>5364</v>
      </c>
      <c r="B295" s="65" t="str">
        <f t="shared" si="1"/>
        <v>#VALUE!</v>
      </c>
      <c r="C295" s="65" t="str">
        <f t="shared" si="248"/>
        <v>#VALUE!</v>
      </c>
      <c r="D295" s="65" t="s">
        <v>2616</v>
      </c>
      <c r="E295" s="65">
        <v>0.0</v>
      </c>
      <c r="F295" s="65" t="s">
        <v>2614</v>
      </c>
      <c r="G295" s="65" t="s">
        <v>1195</v>
      </c>
      <c r="H295" s="65" t="s">
        <v>5114</v>
      </c>
      <c r="I295" s="65">
        <v>4489.0</v>
      </c>
      <c r="J295" s="66">
        <v>0.2815485168426345</v>
      </c>
      <c r="K295" s="65">
        <f t="shared" si="3"/>
        <v>3225</v>
      </c>
      <c r="L295" s="66">
        <v>0.43</v>
      </c>
      <c r="M295" s="65">
        <f t="shared" si="4"/>
        <v>2559</v>
      </c>
      <c r="N295" s="67">
        <f t="shared" si="275"/>
        <v>0.2815771887</v>
      </c>
      <c r="O295" s="68">
        <v>3225.0</v>
      </c>
      <c r="P295" s="67">
        <f t="shared" si="276"/>
        <v>0.2815771887</v>
      </c>
      <c r="Q295" s="69">
        <v>3225.0</v>
      </c>
      <c r="R295" s="70"/>
      <c r="S295" s="71">
        <f t="shared" si="284"/>
        <v>0</v>
      </c>
      <c r="T295" s="72">
        <f t="shared" si="6"/>
        <v>0</v>
      </c>
      <c r="U295" s="73" t="str">
        <f t="shared" si="268"/>
        <v/>
      </c>
      <c r="V295" s="73">
        <f t="shared" si="281"/>
        <v>2168.644068</v>
      </c>
      <c r="W295" s="73">
        <f t="shared" si="9"/>
        <v>2168.644068</v>
      </c>
      <c r="X295" s="74">
        <f t="shared" si="10"/>
        <v>1</v>
      </c>
      <c r="Y295" s="73">
        <f t="shared" si="11"/>
        <v>0</v>
      </c>
      <c r="Z295" s="73">
        <f t="shared" si="12"/>
        <v>2733.050847</v>
      </c>
      <c r="AA295" s="73">
        <f t="shared" si="13"/>
        <v>2733.050847</v>
      </c>
      <c r="AB295" s="74">
        <f t="shared" si="14"/>
        <v>1</v>
      </c>
      <c r="AC295" s="61" t="str">
        <f t="shared" si="15"/>
        <v>8</v>
      </c>
      <c r="AD295" s="71" t="str">
        <f t="shared" si="16"/>
        <v>#DIV/0!</v>
      </c>
      <c r="AE295" s="61"/>
      <c r="AF295" s="61"/>
      <c r="AG295" s="71">
        <f t="array" ref="AG295">IFERROR(xlookup(G295,'Old Master'!T:T,'Old Master'!V:V),N295)</f>
        <v>0.2815771887</v>
      </c>
      <c r="AH295" s="73">
        <f t="shared" si="229"/>
        <v>3225</v>
      </c>
      <c r="AI295" s="73">
        <f t="shared" si="230"/>
        <v>2733.050847</v>
      </c>
      <c r="AJ295" s="72">
        <f t="shared" si="19"/>
        <v>1</v>
      </c>
      <c r="AK295" s="61"/>
      <c r="AL295" s="71">
        <f t="array" ref="AL295">iferror(if(isblank(xlookup($G295,'Old Master'!$T:$T,'Old Master'!$W:$W)),AG295,xlookup($G295,'Old Master'!$T:$T,'Old Master'!$W:$W)),AG295)</f>
        <v>0.2815771887</v>
      </c>
      <c r="AM295" s="74">
        <f t="shared" si="20"/>
        <v>0.2873691245</v>
      </c>
      <c r="AN295" s="73">
        <f t="shared" si="282"/>
        <v>3199</v>
      </c>
    </row>
    <row r="296">
      <c r="A296" s="65" t="s">
        <v>5365</v>
      </c>
      <c r="B296" s="65" t="str">
        <f t="shared" si="1"/>
        <v>#VALUE!</v>
      </c>
      <c r="C296" s="65" t="str">
        <f t="shared" si="248"/>
        <v>#VALUE!</v>
      </c>
      <c r="D296" s="65" t="s">
        <v>1175</v>
      </c>
      <c r="E296" s="65">
        <v>0.0</v>
      </c>
      <c r="F296" s="65" t="s">
        <v>1173</v>
      </c>
      <c r="G296" s="65" t="s">
        <v>1195</v>
      </c>
      <c r="H296" s="65" t="s">
        <v>5114</v>
      </c>
      <c r="I296" s="65">
        <v>2989.0</v>
      </c>
      <c r="J296" s="66">
        <v>0.2815485168426345</v>
      </c>
      <c r="K296" s="65">
        <f t="shared" si="3"/>
        <v>2147</v>
      </c>
      <c r="L296" s="66">
        <v>0.0</v>
      </c>
      <c r="M296" s="65">
        <f t="shared" si="4"/>
        <v>2989</v>
      </c>
      <c r="N296" s="67">
        <f t="shared" si="275"/>
        <v>0.2816995651</v>
      </c>
      <c r="O296" s="68">
        <v>2147.0</v>
      </c>
      <c r="P296" s="67">
        <f t="shared" si="276"/>
        <v>0.2816995651</v>
      </c>
      <c r="Q296" s="69">
        <v>2147.0</v>
      </c>
      <c r="R296" s="70"/>
      <c r="S296" s="71">
        <f t="shared" si="284"/>
        <v>0</v>
      </c>
      <c r="T296" s="72">
        <f t="shared" si="6"/>
        <v>0</v>
      </c>
      <c r="U296" s="73" t="str">
        <f t="shared" si="268"/>
        <v/>
      </c>
      <c r="V296" s="73">
        <f t="shared" si="281"/>
        <v>2533.050847</v>
      </c>
      <c r="W296" s="73">
        <f t="shared" si="9"/>
        <v>2533.050847</v>
      </c>
      <c r="X296" s="74">
        <f t="shared" si="10"/>
        <v>1</v>
      </c>
      <c r="Y296" s="73">
        <f t="shared" si="11"/>
        <v>0</v>
      </c>
      <c r="Z296" s="73">
        <f t="shared" si="12"/>
        <v>1819.491525</v>
      </c>
      <c r="AA296" s="73">
        <f t="shared" si="13"/>
        <v>1819.491525</v>
      </c>
      <c r="AB296" s="74">
        <f t="shared" si="14"/>
        <v>1</v>
      </c>
      <c r="AC296" s="61" t="str">
        <f t="shared" si="15"/>
        <v>6</v>
      </c>
      <c r="AD296" s="71" t="str">
        <f t="shared" si="16"/>
        <v>#DIV/0!</v>
      </c>
      <c r="AE296" s="61"/>
      <c r="AF296" s="61"/>
      <c r="AG296" s="71">
        <f t="array" ref="AG296">IFERROR(xlookup(G296,'Old Master'!T:T,'Old Master'!V:V),N296)</f>
        <v>0.2816995651</v>
      </c>
      <c r="AH296" s="73">
        <f t="shared" si="229"/>
        <v>2147</v>
      </c>
      <c r="AI296" s="73">
        <f t="shared" si="230"/>
        <v>1819.491525</v>
      </c>
      <c r="AJ296" s="72">
        <f t="shared" si="19"/>
        <v>1</v>
      </c>
      <c r="AK296" s="61"/>
      <c r="AL296" s="71">
        <f t="array" ref="AL296">iferror(if(isblank(xlookup($G296,'Old Master'!$T:$T,'Old Master'!$W:$W)),AG296,xlookup($G296,'Old Master'!$T:$T,'Old Master'!$W:$W)),AG296)</f>
        <v>0.2816995651</v>
      </c>
      <c r="AM296" s="74">
        <f t="shared" si="20"/>
        <v>0.2977584476</v>
      </c>
      <c r="AN296" s="73">
        <f t="shared" si="282"/>
        <v>2099</v>
      </c>
    </row>
    <row r="297">
      <c r="A297" s="65" t="s">
        <v>5366</v>
      </c>
      <c r="B297" s="65" t="str">
        <f t="shared" si="1"/>
        <v>#VALUE!</v>
      </c>
      <c r="C297" s="65" t="str">
        <f t="shared" si="248"/>
        <v>#VALUE!</v>
      </c>
      <c r="D297" s="65" t="s">
        <v>2631</v>
      </c>
      <c r="E297" s="65">
        <v>0.0</v>
      </c>
      <c r="F297" s="65" t="s">
        <v>2629</v>
      </c>
      <c r="G297" s="65" t="s">
        <v>1195</v>
      </c>
      <c r="H297" s="65" t="s">
        <v>5114</v>
      </c>
      <c r="I297" s="65">
        <v>4489.0</v>
      </c>
      <c r="J297" s="66">
        <v>0.2815485168426345</v>
      </c>
      <c r="K297" s="65">
        <f t="shared" si="3"/>
        <v>3225</v>
      </c>
      <c r="L297" s="66">
        <v>0.0</v>
      </c>
      <c r="M297" s="65">
        <f t="shared" si="4"/>
        <v>4489</v>
      </c>
      <c r="N297" s="67">
        <f t="shared" si="275"/>
        <v>0.2815771887</v>
      </c>
      <c r="O297" s="68">
        <v>3225.0</v>
      </c>
      <c r="P297" s="67">
        <f t="shared" si="276"/>
        <v>0.2815771887</v>
      </c>
      <c r="Q297" s="69">
        <v>3225.0</v>
      </c>
      <c r="R297" s="70"/>
      <c r="S297" s="71">
        <f t="shared" si="284"/>
        <v>0</v>
      </c>
      <c r="T297" s="72">
        <f t="shared" si="6"/>
        <v>0</v>
      </c>
      <c r="U297" s="73" t="str">
        <f t="shared" si="268"/>
        <v/>
      </c>
      <c r="V297" s="73">
        <f t="shared" si="281"/>
        <v>3804.237288</v>
      </c>
      <c r="W297" s="73">
        <f t="shared" si="9"/>
        <v>3804.237288</v>
      </c>
      <c r="X297" s="74">
        <f t="shared" si="10"/>
        <v>1</v>
      </c>
      <c r="Y297" s="73">
        <f t="shared" si="11"/>
        <v>0</v>
      </c>
      <c r="Z297" s="73">
        <f t="shared" si="12"/>
        <v>2733.050847</v>
      </c>
      <c r="AA297" s="73">
        <f t="shared" si="13"/>
        <v>2733.050847</v>
      </c>
      <c r="AB297" s="74">
        <f t="shared" si="14"/>
        <v>1</v>
      </c>
      <c r="AC297" s="61" t="str">
        <f t="shared" si="15"/>
        <v>8</v>
      </c>
      <c r="AD297" s="71" t="str">
        <f t="shared" si="16"/>
        <v>#DIV/0!</v>
      </c>
      <c r="AE297" s="61"/>
      <c r="AF297" s="61"/>
      <c r="AG297" s="71">
        <f t="array" ref="AG297">IFERROR(xlookup(G297,'Old Master'!T:T,'Old Master'!V:V),N297)</f>
        <v>0.2815771887</v>
      </c>
      <c r="AH297" s="73">
        <f t="shared" si="229"/>
        <v>3225</v>
      </c>
      <c r="AI297" s="73">
        <f t="shared" si="230"/>
        <v>2733.050847</v>
      </c>
      <c r="AJ297" s="72">
        <f t="shared" si="19"/>
        <v>1</v>
      </c>
      <c r="AK297" s="61"/>
      <c r="AL297" s="71">
        <f t="array" ref="AL297">iferror(if(isblank(xlookup($G297,'Old Master'!$T:$T,'Old Master'!$W:$W)),AG297,xlookup($G297,'Old Master'!$T:$T,'Old Master'!$W:$W)),AG297)</f>
        <v>0.2815771887</v>
      </c>
      <c r="AM297" s="74">
        <f t="shared" si="20"/>
        <v>0.2873691245</v>
      </c>
      <c r="AN297" s="73">
        <f t="shared" si="282"/>
        <v>3199</v>
      </c>
    </row>
    <row r="298">
      <c r="A298" s="65" t="s">
        <v>2268</v>
      </c>
      <c r="B298" s="65" t="str">
        <f t="shared" si="1"/>
        <v>#VALUE!</v>
      </c>
      <c r="C298" s="65" t="str">
        <f t="shared" si="248"/>
        <v>#VALUE!</v>
      </c>
      <c r="D298" s="65" t="s">
        <v>2270</v>
      </c>
      <c r="E298" s="65" t="s">
        <v>2271</v>
      </c>
      <c r="F298" s="65" t="s">
        <v>2272</v>
      </c>
      <c r="G298" s="65" t="s">
        <v>5077</v>
      </c>
      <c r="H298" s="65" t="s">
        <v>4730</v>
      </c>
      <c r="I298" s="65">
        <v>989.0</v>
      </c>
      <c r="J298" s="66">
        <v>0.17189079878665314</v>
      </c>
      <c r="K298" s="65">
        <f t="shared" si="3"/>
        <v>819</v>
      </c>
      <c r="L298" s="66">
        <v>0.1</v>
      </c>
      <c r="M298" s="65">
        <f t="shared" si="4"/>
        <v>890</v>
      </c>
      <c r="N298" s="67">
        <f t="shared" si="275"/>
        <v>0.04954499494</v>
      </c>
      <c r="O298" s="68">
        <v>940.0</v>
      </c>
      <c r="P298" s="67">
        <f t="shared" si="276"/>
        <v>0.04954499494</v>
      </c>
      <c r="Q298" s="69">
        <v>940.0</v>
      </c>
      <c r="R298" s="70"/>
      <c r="S298" s="71">
        <f t="shared" si="284"/>
        <v>0.1477411477</v>
      </c>
      <c r="T298" s="72">
        <f t="shared" si="6"/>
        <v>0</v>
      </c>
      <c r="U298" s="73" t="str">
        <f t="shared" si="268"/>
        <v/>
      </c>
      <c r="V298" s="73">
        <f t="shared" si="281"/>
        <v>754.2372881</v>
      </c>
      <c r="W298" s="73">
        <f t="shared" si="9"/>
        <v>754.2372881</v>
      </c>
      <c r="X298" s="74">
        <f t="shared" si="10"/>
        <v>1</v>
      </c>
      <c r="Y298" s="73">
        <f t="shared" si="11"/>
        <v>0</v>
      </c>
      <c r="Z298" s="73">
        <f t="shared" si="12"/>
        <v>796.6101695</v>
      </c>
      <c r="AA298" s="73">
        <f t="shared" si="13"/>
        <v>796.6101695</v>
      </c>
      <c r="AB298" s="74">
        <f t="shared" si="14"/>
        <v>1</v>
      </c>
      <c r="AC298" s="61" t="str">
        <f t="shared" si="15"/>
        <v>0</v>
      </c>
      <c r="AD298" s="71" t="str">
        <f t="shared" si="16"/>
        <v>#DIV/0!</v>
      </c>
      <c r="AE298" s="61"/>
      <c r="AF298" s="61"/>
      <c r="AG298" s="71">
        <f t="array" ref="AG298">IFERROR(xlookup(G298,'Old Master'!T:T,'Old Master'!V:V),N298)</f>
        <v>0.04954499494</v>
      </c>
      <c r="AH298" s="73">
        <f t="shared" si="229"/>
        <v>940</v>
      </c>
      <c r="AI298" s="73">
        <f t="shared" si="230"/>
        <v>796.6101695</v>
      </c>
      <c r="AJ298" s="72">
        <f t="shared" si="19"/>
        <v>1</v>
      </c>
      <c r="AK298" s="61"/>
      <c r="AL298" s="71">
        <f t="array" ref="AL298">iferror(if(isblank(xlookup($G298,'Old Master'!$T:$T,'Old Master'!$W:$W)),AG298,xlookup($G298,'Old Master'!$T:$T,'Old Master'!$W:$W)),AG298)</f>
        <v>0.04954499494</v>
      </c>
      <c r="AM298" s="74">
        <f t="shared" si="20"/>
        <v>0.04954499494</v>
      </c>
      <c r="AN298" s="73">
        <f>O298</f>
        <v>940</v>
      </c>
    </row>
    <row r="299">
      <c r="A299" s="65" t="s">
        <v>3154</v>
      </c>
      <c r="B299" s="65" t="str">
        <f t="shared" si="1"/>
        <v>#VALUE!</v>
      </c>
      <c r="C299" s="65" t="str">
        <f t="shared" si="248"/>
        <v>#VALUE!</v>
      </c>
      <c r="D299" s="65" t="s">
        <v>3156</v>
      </c>
      <c r="E299" s="65">
        <v>0.0</v>
      </c>
      <c r="F299" s="65" t="s">
        <v>3157</v>
      </c>
      <c r="G299" s="65" t="s">
        <v>5087</v>
      </c>
      <c r="H299" s="65" t="s">
        <v>4730</v>
      </c>
      <c r="I299" s="65">
        <v>2689.0</v>
      </c>
      <c r="J299" s="66">
        <v>0.25660096690219414</v>
      </c>
      <c r="K299" s="65">
        <f t="shared" si="3"/>
        <v>1999</v>
      </c>
      <c r="L299" s="66">
        <v>0.15</v>
      </c>
      <c r="M299" s="65">
        <f t="shared" si="4"/>
        <v>2286</v>
      </c>
      <c r="N299" s="67">
        <f t="shared" si="275"/>
        <v>0.1565637784</v>
      </c>
      <c r="O299" s="68">
        <v>2268.0</v>
      </c>
      <c r="P299" s="67">
        <f t="shared" si="276"/>
        <v>0.1565637784</v>
      </c>
      <c r="Q299" s="69">
        <v>2268.0</v>
      </c>
      <c r="R299" s="70"/>
      <c r="S299" s="71">
        <f t="shared" si="284"/>
        <v>0.1345672836</v>
      </c>
      <c r="T299" s="72">
        <f t="shared" si="6"/>
        <v>0</v>
      </c>
      <c r="U299" s="73" t="str">
        <f t="shared" si="268"/>
        <v/>
      </c>
      <c r="V299" s="73">
        <f t="shared" si="281"/>
        <v>1937.288136</v>
      </c>
      <c r="W299" s="73">
        <f t="shared" si="9"/>
        <v>1937.288136</v>
      </c>
      <c r="X299" s="74">
        <f t="shared" si="10"/>
        <v>1</v>
      </c>
      <c r="Y299" s="73">
        <f t="shared" si="11"/>
        <v>0</v>
      </c>
      <c r="Z299" s="73">
        <f t="shared" si="12"/>
        <v>1922.033898</v>
      </c>
      <c r="AA299" s="73">
        <f t="shared" si="13"/>
        <v>1922.033898</v>
      </c>
      <c r="AB299" s="74">
        <f t="shared" si="14"/>
        <v>1</v>
      </c>
      <c r="AC299" s="61" t="str">
        <f t="shared" si="15"/>
        <v>0</v>
      </c>
      <c r="AD299" s="71" t="str">
        <f t="shared" si="16"/>
        <v>#DIV/0!</v>
      </c>
      <c r="AE299" s="61"/>
      <c r="AF299" s="61"/>
      <c r="AG299" s="71">
        <f t="array" ref="AG299">IFERROR(xlookup(G299,'Old Master'!T:T,'Old Master'!V:V),N299)</f>
        <v>0.1565637784</v>
      </c>
      <c r="AH299" s="73">
        <f t="shared" si="229"/>
        <v>2268</v>
      </c>
      <c r="AI299" s="73">
        <f t="shared" si="230"/>
        <v>1922.033898</v>
      </c>
      <c r="AJ299" s="72">
        <f t="shared" si="19"/>
        <v>1</v>
      </c>
      <c r="AK299" s="61"/>
      <c r="AL299" s="71">
        <f t="array" ref="AL299">iferror(if(isblank(xlookup($G299,'Old Master'!$T:$T,'Old Master'!$W:$W)),AG299,xlookup($G299,'Old Master'!$T:$T,'Old Master'!$W:$W)),AG299)</f>
        <v>0.1565637784</v>
      </c>
      <c r="AM299" s="74">
        <f t="shared" si="20"/>
        <v>0.1450353291</v>
      </c>
      <c r="AN299" s="73">
        <f t="shared" ref="AN299:AN301" si="285">mround($I299*(1-AL299),100)-1</f>
        <v>2299</v>
      </c>
    </row>
    <row r="300">
      <c r="A300" s="65" t="s">
        <v>3076</v>
      </c>
      <c r="B300" s="65" t="str">
        <f t="shared" si="1"/>
        <v>#VALUE!</v>
      </c>
      <c r="C300" s="65" t="str">
        <f t="shared" si="248"/>
        <v>#VALUE!</v>
      </c>
      <c r="D300" s="65" t="s">
        <v>3078</v>
      </c>
      <c r="E300" s="65" t="s">
        <v>3079</v>
      </c>
      <c r="F300" s="65" t="s">
        <v>3080</v>
      </c>
      <c r="G300" s="65" t="s">
        <v>5087</v>
      </c>
      <c r="H300" s="65" t="s">
        <v>4730</v>
      </c>
      <c r="I300" s="65">
        <v>1879.0</v>
      </c>
      <c r="J300" s="66">
        <v>0.2554550292708888</v>
      </c>
      <c r="K300" s="65">
        <f t="shared" si="3"/>
        <v>1399</v>
      </c>
      <c r="L300" s="66">
        <v>0.15</v>
      </c>
      <c r="M300" s="65">
        <f t="shared" si="4"/>
        <v>1597</v>
      </c>
      <c r="N300" s="67">
        <f t="shared" si="275"/>
        <v>0.1554018095</v>
      </c>
      <c r="O300" s="68">
        <v>1587.0</v>
      </c>
      <c r="P300" s="67">
        <f t="shared" si="276"/>
        <v>0.1554018095</v>
      </c>
      <c r="Q300" s="69">
        <v>1587.0</v>
      </c>
      <c r="R300" s="70"/>
      <c r="S300" s="71">
        <f t="shared" si="284"/>
        <v>0.1343817012</v>
      </c>
      <c r="T300" s="72">
        <f t="shared" si="6"/>
        <v>0</v>
      </c>
      <c r="U300" s="73" t="str">
        <f t="shared" si="268"/>
        <v/>
      </c>
      <c r="V300" s="73">
        <f t="shared" si="281"/>
        <v>1353.389831</v>
      </c>
      <c r="W300" s="73">
        <f t="shared" si="9"/>
        <v>1353.389831</v>
      </c>
      <c r="X300" s="74">
        <f t="shared" si="10"/>
        <v>1</v>
      </c>
      <c r="Y300" s="73">
        <f t="shared" si="11"/>
        <v>0</v>
      </c>
      <c r="Z300" s="73">
        <f t="shared" si="12"/>
        <v>1344.915254</v>
      </c>
      <c r="AA300" s="73">
        <f t="shared" si="13"/>
        <v>1344.915254</v>
      </c>
      <c r="AB300" s="74">
        <f t="shared" si="14"/>
        <v>1</v>
      </c>
      <c r="AC300" s="61" t="str">
        <f t="shared" si="15"/>
        <v>0</v>
      </c>
      <c r="AD300" s="71" t="str">
        <f t="shared" si="16"/>
        <v>#DIV/0!</v>
      </c>
      <c r="AE300" s="61"/>
      <c r="AF300" s="61"/>
      <c r="AG300" s="71">
        <f t="array" ref="AG300">IFERROR(xlookup(G300,'Old Master'!T:T,'Old Master'!V:V),N300)</f>
        <v>0.1554018095</v>
      </c>
      <c r="AH300" s="73">
        <f t="shared" si="229"/>
        <v>1587</v>
      </c>
      <c r="AI300" s="73">
        <f t="shared" si="230"/>
        <v>1344.915254</v>
      </c>
      <c r="AJ300" s="72">
        <f t="shared" si="19"/>
        <v>1</v>
      </c>
      <c r="AK300" s="61"/>
      <c r="AL300" s="71">
        <f t="array" ref="AL300">iferror(if(isblank(xlookup($G300,'Old Master'!$T:$T,'Old Master'!$W:$W)),AG300,xlookup($G300,'Old Master'!$T:$T,'Old Master'!$W:$W)),AG300)</f>
        <v>0.1554018095</v>
      </c>
      <c r="AM300" s="74">
        <f t="shared" si="20"/>
        <v>0.1490154337</v>
      </c>
      <c r="AN300" s="73">
        <f t="shared" si="285"/>
        <v>1599</v>
      </c>
    </row>
    <row r="301">
      <c r="A301" s="65" t="s">
        <v>2931</v>
      </c>
      <c r="B301" s="65" t="str">
        <f t="shared" si="1"/>
        <v>#VALUE!</v>
      </c>
      <c r="C301" s="65" t="str">
        <f t="shared" si="248"/>
        <v>#VALUE!</v>
      </c>
      <c r="D301" s="65" t="s">
        <v>2933</v>
      </c>
      <c r="E301" s="65" t="s">
        <v>2935</v>
      </c>
      <c r="F301" s="65">
        <v>0.0</v>
      </c>
      <c r="G301" s="65" t="s">
        <v>5116</v>
      </c>
      <c r="H301" s="65" t="s">
        <v>4730</v>
      </c>
      <c r="I301" s="65">
        <v>3599.0</v>
      </c>
      <c r="J301" s="66">
        <v>0.2500694637399278</v>
      </c>
      <c r="K301" s="65">
        <f t="shared" si="3"/>
        <v>2699</v>
      </c>
      <c r="L301" s="66">
        <v>0.15</v>
      </c>
      <c r="M301" s="65">
        <f t="shared" si="4"/>
        <v>3059</v>
      </c>
      <c r="N301" s="67">
        <f t="shared" si="275"/>
        <v>0.1389274799</v>
      </c>
      <c r="O301" s="78">
        <v>3099.0</v>
      </c>
      <c r="P301" s="67">
        <f t="shared" si="276"/>
        <v>0.1389274799</v>
      </c>
      <c r="Q301" s="79">
        <v>3099.0</v>
      </c>
      <c r="R301" s="70"/>
      <c r="S301" s="71">
        <f t="shared" si="284"/>
        <v>0.1482030382</v>
      </c>
      <c r="T301" s="72">
        <f t="shared" si="6"/>
        <v>0</v>
      </c>
      <c r="U301" s="73" t="str">
        <f t="shared" si="268"/>
        <v/>
      </c>
      <c r="V301" s="73">
        <f t="shared" si="281"/>
        <v>2592.372881</v>
      </c>
      <c r="W301" s="73">
        <f t="shared" si="9"/>
        <v>2592.372881</v>
      </c>
      <c r="X301" s="74">
        <f t="shared" si="10"/>
        <v>1</v>
      </c>
      <c r="Y301" s="73">
        <f t="shared" si="11"/>
        <v>0</v>
      </c>
      <c r="Z301" s="73">
        <f t="shared" si="12"/>
        <v>2626.271186</v>
      </c>
      <c r="AA301" s="73">
        <f t="shared" si="13"/>
        <v>2626.271186</v>
      </c>
      <c r="AB301" s="74">
        <f t="shared" si="14"/>
        <v>1</v>
      </c>
      <c r="AC301" s="61" t="str">
        <f t="shared" si="15"/>
        <v>0</v>
      </c>
      <c r="AD301" s="71" t="str">
        <f t="shared" si="16"/>
        <v>#DIV/0!</v>
      </c>
      <c r="AE301" s="61"/>
      <c r="AF301" s="61"/>
      <c r="AG301" s="71">
        <f t="array" ref="AG301">IFERROR(xlookup(G301,'Old Master'!T:T,'Old Master'!V:V),N301)</f>
        <v>0.1389274799</v>
      </c>
      <c r="AH301" s="73">
        <f t="shared" si="229"/>
        <v>3099</v>
      </c>
      <c r="AI301" s="73">
        <f t="shared" si="230"/>
        <v>2626.271186</v>
      </c>
      <c r="AJ301" s="72">
        <f t="shared" si="19"/>
        <v>1</v>
      </c>
      <c r="AK301" s="61"/>
      <c r="AL301" s="71">
        <f t="array" ref="AL301">iferror(if(isblank(xlookup($G301,'Old Master'!$T:$T,'Old Master'!$W:$W)),AG301,xlookup($G301,'Old Master'!$T:$T,'Old Master'!$W:$W)),AG301)</f>
        <v>0.1389274799</v>
      </c>
      <c r="AM301" s="74">
        <f t="shared" si="20"/>
        <v>0.1389274799</v>
      </c>
      <c r="AN301" s="73">
        <f t="shared" si="285"/>
        <v>3099</v>
      </c>
    </row>
    <row r="302">
      <c r="A302" s="65" t="s">
        <v>1487</v>
      </c>
      <c r="B302" s="65" t="str">
        <f t="shared" si="1"/>
        <v>#VALUE!</v>
      </c>
      <c r="C302" s="65" t="str">
        <f t="shared" si="248"/>
        <v>#VALUE!</v>
      </c>
      <c r="D302" s="65" t="s">
        <v>1489</v>
      </c>
      <c r="E302" s="65" t="s">
        <v>1490</v>
      </c>
      <c r="F302" s="65" t="s">
        <v>1491</v>
      </c>
      <c r="G302" s="65" t="s">
        <v>5089</v>
      </c>
      <c r="H302" s="65" t="s">
        <v>4730</v>
      </c>
      <c r="I302" s="65">
        <v>2999.0</v>
      </c>
      <c r="J302" s="66">
        <v>0.28342780926975664</v>
      </c>
      <c r="K302" s="65">
        <f t="shared" si="3"/>
        <v>2149</v>
      </c>
      <c r="L302" s="66">
        <v>0.1</v>
      </c>
      <c r="M302" s="65">
        <f t="shared" si="4"/>
        <v>2699</v>
      </c>
      <c r="N302" s="67">
        <f t="shared" si="275"/>
        <v>0.1833944648</v>
      </c>
      <c r="O302" s="68">
        <v>2449.0</v>
      </c>
      <c r="P302" s="67">
        <f t="shared" si="276"/>
        <v>0.1833944648</v>
      </c>
      <c r="Q302" s="69">
        <v>2449.0</v>
      </c>
      <c r="R302" s="70"/>
      <c r="S302" s="71">
        <f t="shared" si="284"/>
        <v>0.1395998139</v>
      </c>
      <c r="T302" s="72">
        <f t="shared" si="6"/>
        <v>0</v>
      </c>
      <c r="U302" s="73" t="str">
        <f t="shared" si="268"/>
        <v/>
      </c>
      <c r="V302" s="73">
        <f t="shared" si="281"/>
        <v>2287.288136</v>
      </c>
      <c r="W302" s="73">
        <f t="shared" si="9"/>
        <v>2287.288136</v>
      </c>
      <c r="X302" s="74">
        <f t="shared" si="10"/>
        <v>1</v>
      </c>
      <c r="Y302" s="73">
        <f t="shared" si="11"/>
        <v>0</v>
      </c>
      <c r="Z302" s="73">
        <f t="shared" si="12"/>
        <v>2075.423729</v>
      </c>
      <c r="AA302" s="73">
        <f t="shared" si="13"/>
        <v>2075.423729</v>
      </c>
      <c r="AB302" s="74">
        <f t="shared" si="14"/>
        <v>1</v>
      </c>
      <c r="AC302" s="61" t="str">
        <f t="shared" si="15"/>
        <v>2</v>
      </c>
      <c r="AD302" s="71" t="str">
        <f t="shared" si="16"/>
        <v>#DIV/0!</v>
      </c>
      <c r="AE302" s="61"/>
      <c r="AF302" s="61"/>
      <c r="AG302" s="71">
        <f t="array" ref="AG302">IFERROR(xlookup(G302,'Old Master'!T:T,'Old Master'!V:V),N302)</f>
        <v>0.1833944648</v>
      </c>
      <c r="AH302" s="73">
        <f t="shared" si="229"/>
        <v>2449</v>
      </c>
      <c r="AI302" s="73">
        <f t="shared" si="230"/>
        <v>2075.423729</v>
      </c>
      <c r="AJ302" s="72">
        <f t="shared" si="19"/>
        <v>1</v>
      </c>
      <c r="AK302" s="61"/>
      <c r="AL302" s="71">
        <f t="array" ref="AL302">iferror(if(isblank(xlookup($G302,'Old Master'!$T:$T,'Old Master'!$W:$W)),AG302,xlookup($G302,'Old Master'!$T:$T,'Old Master'!$W:$W)),AG302)</f>
        <v>0.1833944648</v>
      </c>
      <c r="AM302" s="74">
        <f t="shared" si="20"/>
        <v>0.1833944648</v>
      </c>
      <c r="AN302" s="73">
        <f>O302</f>
        <v>2449</v>
      </c>
    </row>
    <row r="303">
      <c r="A303" s="65" t="s">
        <v>5367</v>
      </c>
      <c r="B303" s="65" t="str">
        <f t="shared" si="1"/>
        <v>#VALUE!</v>
      </c>
      <c r="C303" s="65" t="str">
        <f t="shared" si="248"/>
        <v>#VALUE!</v>
      </c>
      <c r="D303" s="65" t="s">
        <v>3058</v>
      </c>
      <c r="E303" s="65" t="s">
        <v>3059</v>
      </c>
      <c r="F303" s="65" t="s">
        <v>3060</v>
      </c>
      <c r="G303" s="65" t="s">
        <v>5139</v>
      </c>
      <c r="H303" s="65" t="s">
        <v>4730</v>
      </c>
      <c r="I303" s="65">
        <v>5199.0</v>
      </c>
      <c r="J303" s="66">
        <v>0.2500480861704174</v>
      </c>
      <c r="K303" s="65">
        <f t="shared" si="3"/>
        <v>3899</v>
      </c>
      <c r="L303" s="66">
        <v>0.15</v>
      </c>
      <c r="M303" s="65">
        <f t="shared" si="4"/>
        <v>4419</v>
      </c>
      <c r="N303" s="67">
        <f t="shared" si="275"/>
        <v>0.1538757453</v>
      </c>
      <c r="O303" s="78">
        <v>4399.0</v>
      </c>
      <c r="P303" s="67">
        <f t="shared" si="276"/>
        <v>0.1538757453</v>
      </c>
      <c r="Q303" s="79">
        <v>4399.0</v>
      </c>
      <c r="R303" s="70"/>
      <c r="S303" s="71">
        <f t="shared" si="284"/>
        <v>0.1282380097</v>
      </c>
      <c r="T303" s="72">
        <f t="shared" si="6"/>
        <v>0</v>
      </c>
      <c r="U303" s="73" t="str">
        <f t="shared" si="268"/>
        <v/>
      </c>
      <c r="V303" s="73">
        <f t="shared" si="281"/>
        <v>3744.915254</v>
      </c>
      <c r="W303" s="73">
        <f t="shared" si="9"/>
        <v>3744.915254</v>
      </c>
      <c r="X303" s="74">
        <f t="shared" si="10"/>
        <v>1</v>
      </c>
      <c r="Y303" s="73">
        <f t="shared" si="11"/>
        <v>0</v>
      </c>
      <c r="Z303" s="73">
        <f t="shared" si="12"/>
        <v>3727.966102</v>
      </c>
      <c r="AA303" s="73">
        <f t="shared" si="13"/>
        <v>3727.966102</v>
      </c>
      <c r="AB303" s="74">
        <f t="shared" si="14"/>
        <v>1</v>
      </c>
      <c r="AC303" s="61" t="str">
        <f t="shared" si="15"/>
        <v>0</v>
      </c>
      <c r="AD303" s="71" t="str">
        <f t="shared" si="16"/>
        <v>#DIV/0!</v>
      </c>
      <c r="AE303" s="61"/>
      <c r="AF303" s="61"/>
      <c r="AG303" s="71">
        <f t="array" ref="AG303">IFERROR(xlookup(G303,'Old Master'!T:T,'Old Master'!V:V),N303)</f>
        <v>0.1538757453</v>
      </c>
      <c r="AH303" s="73">
        <f t="shared" si="229"/>
        <v>4399</v>
      </c>
      <c r="AI303" s="73">
        <f t="shared" si="230"/>
        <v>3727.966102</v>
      </c>
      <c r="AJ303" s="72">
        <f t="shared" si="19"/>
        <v>1</v>
      </c>
      <c r="AK303" s="61"/>
      <c r="AL303" s="71">
        <f t="array" ref="AL303">iferror(if(isblank(xlookup($G303,'Old Master'!$T:$T,'Old Master'!$W:$W)),AG303,xlookup($G303,'Old Master'!$T:$T,'Old Master'!$W:$W)),AG303)</f>
        <v>0.1538757453</v>
      </c>
      <c r="AM303" s="74">
        <f t="shared" si="20"/>
        <v>0.1538757453</v>
      </c>
      <c r="AN303" s="73">
        <f t="shared" ref="AN303:AN315" si="286">mround($I303*(1-AL303),100)-1</f>
        <v>4399</v>
      </c>
    </row>
    <row r="304">
      <c r="A304" s="65" t="s">
        <v>1715</v>
      </c>
      <c r="B304" s="65">
        <f t="shared" si="1"/>
        <v>36</v>
      </c>
      <c r="C304" s="65" t="str">
        <f t="shared" si="248"/>
        <v>SC-ULTM-LATEX-S-72x38x10</v>
      </c>
      <c r="D304" s="65" t="s">
        <v>1717</v>
      </c>
      <c r="E304" s="65" t="s">
        <v>1718</v>
      </c>
      <c r="F304" s="65" t="s">
        <v>1719</v>
      </c>
      <c r="G304" s="65" t="s">
        <v>5109</v>
      </c>
      <c r="H304" s="65" t="s">
        <v>52</v>
      </c>
      <c r="I304" s="65">
        <v>20999.0</v>
      </c>
      <c r="J304" s="66">
        <v>0.23</v>
      </c>
      <c r="K304" s="65">
        <f t="shared" si="3"/>
        <v>16169</v>
      </c>
      <c r="L304" s="66">
        <v>0.18</v>
      </c>
      <c r="M304" s="65">
        <f t="shared" si="4"/>
        <v>17219</v>
      </c>
      <c r="N304" s="67">
        <f t="shared" si="275"/>
        <v>0.1000047621</v>
      </c>
      <c r="O304" s="68">
        <v>18899.0</v>
      </c>
      <c r="P304" s="67">
        <f t="shared" si="276"/>
        <v>0.1000047621</v>
      </c>
      <c r="Q304" s="69">
        <v>18899.0</v>
      </c>
      <c r="R304" s="70"/>
      <c r="S304" s="71">
        <f t="shared" ref="S304:S306" si="287">O304/M304-1</f>
        <v>0.0975666415</v>
      </c>
      <c r="T304" s="72">
        <f t="shared" si="6"/>
        <v>0</v>
      </c>
      <c r="U304" s="73" t="str">
        <f t="shared" si="268"/>
        <v/>
      </c>
      <c r="V304" s="73">
        <f t="shared" si="281"/>
        <v>14592.37288</v>
      </c>
      <c r="W304" s="73">
        <f t="shared" si="9"/>
        <v>14592.37288</v>
      </c>
      <c r="X304" s="74">
        <f t="shared" si="10"/>
        <v>1</v>
      </c>
      <c r="Y304" s="73">
        <f t="shared" si="11"/>
        <v>0</v>
      </c>
      <c r="Z304" s="73">
        <f t="shared" si="12"/>
        <v>16016.10169</v>
      </c>
      <c r="AA304" s="73">
        <f t="shared" si="13"/>
        <v>16016.10169</v>
      </c>
      <c r="AB304" s="74">
        <f t="shared" si="14"/>
        <v>1</v>
      </c>
      <c r="AC304" s="61" t="str">
        <f t="shared" si="15"/>
        <v>0</v>
      </c>
      <c r="AD304" s="71" t="str">
        <f t="shared" si="16"/>
        <v>#DIV/0!</v>
      </c>
      <c r="AE304" s="61"/>
      <c r="AF304" s="61"/>
      <c r="AG304" s="71">
        <f t="array" ref="AG304">IFERROR(xlookup(G304,'Old Master'!T:T,'Old Master'!V:V),N304)</f>
        <v>0.1000047621</v>
      </c>
      <c r="AH304" s="73">
        <f t="shared" si="229"/>
        <v>18899</v>
      </c>
      <c r="AI304" s="73">
        <f t="shared" si="230"/>
        <v>16016.10169</v>
      </c>
      <c r="AJ304" s="72">
        <f t="shared" si="19"/>
        <v>1</v>
      </c>
      <c r="AK304" s="61"/>
      <c r="AL304" s="71">
        <f t="array" ref="AL304">iferror(if(isblank(xlookup($G304,'Old Master'!$T:$T,'Old Master'!$W:$W)),AG304,xlookup($G304,'Old Master'!$T:$T,'Old Master'!$W:$W)),AG304)</f>
        <v>0.1000047621</v>
      </c>
      <c r="AM304" s="74">
        <f t="shared" si="20"/>
        <v>0.1000047621</v>
      </c>
      <c r="AN304" s="73">
        <f t="shared" si="286"/>
        <v>18899</v>
      </c>
    </row>
    <row r="305">
      <c r="A305" s="65" t="s">
        <v>1855</v>
      </c>
      <c r="B305" s="65">
        <f t="shared" si="1"/>
        <v>66</v>
      </c>
      <c r="C305" s="65" t="str">
        <f t="shared" si="248"/>
        <v>SC-ULTM-LATEX-Q-78x68x10</v>
      </c>
      <c r="D305" s="65">
        <v>0.0</v>
      </c>
      <c r="E305" s="65">
        <v>0.0</v>
      </c>
      <c r="F305" s="65" t="s">
        <v>1856</v>
      </c>
      <c r="G305" s="65" t="s">
        <v>5109</v>
      </c>
      <c r="H305" s="65" t="s">
        <v>52</v>
      </c>
      <c r="I305" s="65">
        <v>38999.0</v>
      </c>
      <c r="J305" s="66">
        <v>0.23</v>
      </c>
      <c r="K305" s="65">
        <f t="shared" si="3"/>
        <v>30029</v>
      </c>
      <c r="L305" s="66">
        <v>0.18</v>
      </c>
      <c r="M305" s="65">
        <f t="shared" si="4"/>
        <v>31979</v>
      </c>
      <c r="N305" s="67">
        <f t="shared" si="275"/>
        <v>0.1000025642</v>
      </c>
      <c r="O305" s="68">
        <v>35099.0</v>
      </c>
      <c r="P305" s="67">
        <f t="shared" si="276"/>
        <v>0.1000025642</v>
      </c>
      <c r="Q305" s="69">
        <v>35099.0</v>
      </c>
      <c r="R305" s="70"/>
      <c r="S305" s="71">
        <f t="shared" si="287"/>
        <v>0.09756402639</v>
      </c>
      <c r="T305" s="72">
        <f t="shared" si="6"/>
        <v>0</v>
      </c>
      <c r="U305" s="73">
        <f t="shared" ref="U305:U306" si="288">IFERROR(XLOOKUP(A305,COGS!I:I,COGS!J:J), IFERROR(XLOOKUP(C305,COGS!I:I,COGS!J:J),I305*35%))</f>
        <v>13649.65</v>
      </c>
      <c r="V305" s="73">
        <f t="shared" si="281"/>
        <v>27100.84746</v>
      </c>
      <c r="W305" s="73">
        <f t="shared" si="9"/>
        <v>13451.19746</v>
      </c>
      <c r="X305" s="74">
        <f t="shared" si="10"/>
        <v>0.4963386285</v>
      </c>
      <c r="Y305" s="73">
        <f t="shared" si="11"/>
        <v>15697.0975</v>
      </c>
      <c r="Z305" s="73">
        <f t="shared" si="12"/>
        <v>29744.91525</v>
      </c>
      <c r="AA305" s="73">
        <f t="shared" si="13"/>
        <v>14047.81775</v>
      </c>
      <c r="AB305" s="74">
        <f t="shared" si="14"/>
        <v>0.4722762743</v>
      </c>
      <c r="AC305" s="61" t="str">
        <f t="shared" si="15"/>
        <v>0</v>
      </c>
      <c r="AD305" s="71">
        <f t="shared" si="16"/>
        <v>0.15</v>
      </c>
      <c r="AE305" s="61"/>
      <c r="AF305" s="61"/>
      <c r="AG305" s="71">
        <f t="array" ref="AG305">IFERROR(xlookup(G305,'Old Master'!T:T,'Old Master'!V:V),N305)</f>
        <v>0.1000025642</v>
      </c>
      <c r="AH305" s="73">
        <f t="shared" si="229"/>
        <v>35099</v>
      </c>
      <c r="AI305" s="73">
        <f t="shared" si="230"/>
        <v>14047.81775</v>
      </c>
      <c r="AJ305" s="72">
        <f t="shared" si="19"/>
        <v>0.4722762743</v>
      </c>
      <c r="AK305" s="61"/>
      <c r="AL305" s="71">
        <f t="array" ref="AL305">iferror(if(isblank(xlookup($G305,'Old Master'!$T:$T,'Old Master'!$W:$W)),AG305,xlookup($G305,'Old Master'!$T:$T,'Old Master'!$W:$W)),AG305)</f>
        <v>0.1000025642</v>
      </c>
      <c r="AM305" s="74">
        <f t="shared" si="20"/>
        <v>0.1000025642</v>
      </c>
      <c r="AN305" s="73">
        <f t="shared" si="286"/>
        <v>35099</v>
      </c>
    </row>
    <row r="306">
      <c r="A306" s="65" t="s">
        <v>1846</v>
      </c>
      <c r="B306" s="65">
        <f t="shared" si="1"/>
        <v>66</v>
      </c>
      <c r="C306" s="65" t="str">
        <f t="shared" si="248"/>
        <v>SC-ULTM-LATEX-Q-84x68x8</v>
      </c>
      <c r="D306" s="65">
        <v>0.0</v>
      </c>
      <c r="E306" s="65">
        <v>0.0</v>
      </c>
      <c r="F306" s="65" t="s">
        <v>1847</v>
      </c>
      <c r="G306" s="65" t="s">
        <v>5109</v>
      </c>
      <c r="H306" s="65" t="s">
        <v>52</v>
      </c>
      <c r="I306" s="65">
        <v>42999.0</v>
      </c>
      <c r="J306" s="66">
        <v>0.23</v>
      </c>
      <c r="K306" s="65">
        <f t="shared" si="3"/>
        <v>33109</v>
      </c>
      <c r="L306" s="66">
        <v>0.18</v>
      </c>
      <c r="M306" s="65">
        <f t="shared" si="4"/>
        <v>35259</v>
      </c>
      <c r="N306" s="67">
        <f t="shared" si="275"/>
        <v>0.1000023256</v>
      </c>
      <c r="O306" s="68">
        <v>38699.0</v>
      </c>
      <c r="P306" s="67">
        <f t="shared" si="276"/>
        <v>0.1000023256</v>
      </c>
      <c r="Q306" s="69">
        <v>38699.0</v>
      </c>
      <c r="R306" s="70"/>
      <c r="S306" s="71">
        <f t="shared" si="287"/>
        <v>0.09756374259</v>
      </c>
      <c r="T306" s="72">
        <f t="shared" si="6"/>
        <v>0</v>
      </c>
      <c r="U306" s="73">
        <f t="shared" si="288"/>
        <v>15049.65</v>
      </c>
      <c r="V306" s="73">
        <f t="shared" si="281"/>
        <v>29880.50847</v>
      </c>
      <c r="W306" s="73">
        <f t="shared" si="9"/>
        <v>14830.85847</v>
      </c>
      <c r="X306" s="74">
        <f t="shared" si="10"/>
        <v>0.4963388922</v>
      </c>
      <c r="Y306" s="73">
        <f t="shared" si="11"/>
        <v>17307.0975</v>
      </c>
      <c r="Z306" s="73">
        <f t="shared" si="12"/>
        <v>32795.76271</v>
      </c>
      <c r="AA306" s="73">
        <f t="shared" si="13"/>
        <v>15488.66521</v>
      </c>
      <c r="AB306" s="74">
        <f t="shared" si="14"/>
        <v>0.4722764141</v>
      </c>
      <c r="AC306" s="61" t="str">
        <f t="shared" si="15"/>
        <v>8</v>
      </c>
      <c r="AD306" s="71">
        <f t="shared" si="16"/>
        <v>0.15</v>
      </c>
      <c r="AE306" s="61"/>
      <c r="AF306" s="61"/>
      <c r="AG306" s="71">
        <f t="array" ref="AG306">IFERROR(xlookup(G306,'Old Master'!T:T,'Old Master'!V:V),N306)</f>
        <v>0.1000023256</v>
      </c>
      <c r="AH306" s="73">
        <f t="shared" si="229"/>
        <v>38699</v>
      </c>
      <c r="AI306" s="73">
        <f t="shared" si="230"/>
        <v>15488.66521</v>
      </c>
      <c r="AJ306" s="72">
        <f t="shared" si="19"/>
        <v>0.4722764141</v>
      </c>
      <c r="AK306" s="61"/>
      <c r="AL306" s="71">
        <f t="array" ref="AL306">iferror(if(isblank(xlookup($G306,'Old Master'!$T:$T,'Old Master'!$W:$W)),AG306,xlookup($G306,'Old Master'!$T:$T,'Old Master'!$W:$W)),AG306)</f>
        <v>0.1000023256</v>
      </c>
      <c r="AM306" s="74">
        <f t="shared" si="20"/>
        <v>0.1000023256</v>
      </c>
      <c r="AN306" s="73">
        <f t="shared" si="286"/>
        <v>38699</v>
      </c>
    </row>
    <row r="307">
      <c r="A307" s="65" t="s">
        <v>4383</v>
      </c>
      <c r="B307" s="65">
        <f t="shared" si="1"/>
        <v>60</v>
      </c>
      <c r="C307" s="65" t="str">
        <f t="shared" si="248"/>
        <v>SC-QRMTTOPPER-K-75x62x2</v>
      </c>
      <c r="D307" s="65" t="s">
        <v>4385</v>
      </c>
      <c r="E307" s="65">
        <v>0.0</v>
      </c>
      <c r="F307" s="65" t="s">
        <v>4386</v>
      </c>
      <c r="G307" s="65" t="s">
        <v>5143</v>
      </c>
      <c r="H307" s="65" t="s">
        <v>4730</v>
      </c>
      <c r="I307" s="65">
        <v>5759.0</v>
      </c>
      <c r="J307" s="66">
        <v>0.2</v>
      </c>
      <c r="K307" s="65">
        <f t="shared" si="3"/>
        <v>4607</v>
      </c>
      <c r="L307" s="66">
        <v>0.26</v>
      </c>
      <c r="M307" s="65">
        <f t="shared" si="4"/>
        <v>4262</v>
      </c>
      <c r="N307" s="67">
        <f t="shared" si="275"/>
        <v>0.09723910401</v>
      </c>
      <c r="O307" s="78">
        <v>5199.0</v>
      </c>
      <c r="P307" s="67">
        <f t="shared" si="276"/>
        <v>0.09723910401</v>
      </c>
      <c r="Q307" s="79">
        <v>5199.0</v>
      </c>
      <c r="R307" s="70"/>
      <c r="S307" s="71">
        <f t="shared" ref="S307:S309" si="289">O307/K307-1</f>
        <v>0.1285001085</v>
      </c>
      <c r="T307" s="72">
        <f t="shared" si="6"/>
        <v>0</v>
      </c>
      <c r="U307" s="73">
        <f t="shared" ref="U307:U309" si="290">O307*35%</f>
        <v>1819.65</v>
      </c>
      <c r="V307" s="73">
        <f t="shared" ref="V307:V309" si="291">K307/1.18</f>
        <v>3904.237288</v>
      </c>
      <c r="W307" s="73">
        <f t="shared" si="9"/>
        <v>2084.587288</v>
      </c>
      <c r="X307" s="74">
        <f t="shared" si="10"/>
        <v>0.5339294552</v>
      </c>
      <c r="Y307" s="73">
        <f t="shared" si="11"/>
        <v>2092.5975</v>
      </c>
      <c r="Z307" s="73">
        <f t="shared" si="12"/>
        <v>4405.932203</v>
      </c>
      <c r="AA307" s="73">
        <f t="shared" si="13"/>
        <v>2313.334703</v>
      </c>
      <c r="AB307" s="74">
        <f t="shared" si="14"/>
        <v>0.52505</v>
      </c>
      <c r="AC307" s="61" t="str">
        <f t="shared" si="15"/>
        <v>2</v>
      </c>
      <c r="AD307" s="71">
        <f t="shared" si="16"/>
        <v>0.15</v>
      </c>
      <c r="AE307" s="61"/>
      <c r="AF307" s="61"/>
      <c r="AG307" s="71">
        <f t="array" ref="AG307">IFERROR(xlookup(G307,'Old Master'!T:T,'Old Master'!V:V),N307)</f>
        <v>0.09723910401</v>
      </c>
      <c r="AH307" s="73">
        <f t="shared" si="229"/>
        <v>5199</v>
      </c>
      <c r="AI307" s="73">
        <f t="shared" si="230"/>
        <v>2313.334703</v>
      </c>
      <c r="AJ307" s="72">
        <f t="shared" si="19"/>
        <v>0.52505</v>
      </c>
      <c r="AK307" s="61"/>
      <c r="AL307" s="71">
        <f t="array" ref="AL307">iferror(if(isblank(xlookup($G307,'Old Master'!$T:$T,'Old Master'!$W:$W)),AG307,xlookup($G307,'Old Master'!$T:$T,'Old Master'!$W:$W)),AG307)</f>
        <v>0.09723910401</v>
      </c>
      <c r="AM307" s="74">
        <f t="shared" si="20"/>
        <v>0.09723910401</v>
      </c>
      <c r="AN307" s="73">
        <f t="shared" si="286"/>
        <v>5199</v>
      </c>
    </row>
    <row r="308">
      <c r="A308" s="65" t="s">
        <v>4398</v>
      </c>
      <c r="B308" s="65">
        <f t="shared" si="1"/>
        <v>72</v>
      </c>
      <c r="C308" s="65" t="str">
        <f t="shared" si="248"/>
        <v>SC-QRMTTOPPER-K-75x74x2</v>
      </c>
      <c r="D308" s="65" t="s">
        <v>4400</v>
      </c>
      <c r="E308" s="65">
        <v>0.0</v>
      </c>
      <c r="F308" s="65" t="s">
        <v>4401</v>
      </c>
      <c r="G308" s="65" t="s">
        <v>5143</v>
      </c>
      <c r="H308" s="65" t="s">
        <v>4730</v>
      </c>
      <c r="I308" s="65">
        <v>6599.0</v>
      </c>
      <c r="J308" s="66">
        <v>0.2</v>
      </c>
      <c r="K308" s="65">
        <f t="shared" si="3"/>
        <v>5279</v>
      </c>
      <c r="L308" s="66">
        <v>0.26</v>
      </c>
      <c r="M308" s="65">
        <f t="shared" si="4"/>
        <v>4883</v>
      </c>
      <c r="N308" s="67">
        <f t="shared" si="275"/>
        <v>0.0909228671</v>
      </c>
      <c r="O308" s="78">
        <v>5999.0</v>
      </c>
      <c r="P308" s="67">
        <f t="shared" si="276"/>
        <v>0.0909228671</v>
      </c>
      <c r="Q308" s="79">
        <v>5999.0</v>
      </c>
      <c r="R308" s="70"/>
      <c r="S308" s="71">
        <f t="shared" si="289"/>
        <v>0.1363894677</v>
      </c>
      <c r="T308" s="72">
        <f t="shared" si="6"/>
        <v>0</v>
      </c>
      <c r="U308" s="73">
        <f t="shared" si="290"/>
        <v>2099.65</v>
      </c>
      <c r="V308" s="73">
        <f t="shared" si="291"/>
        <v>4473.728814</v>
      </c>
      <c r="W308" s="73">
        <f t="shared" si="9"/>
        <v>2374.078814</v>
      </c>
      <c r="X308" s="74">
        <f t="shared" si="10"/>
        <v>0.5306711498</v>
      </c>
      <c r="Y308" s="73">
        <f t="shared" si="11"/>
        <v>2414.5975</v>
      </c>
      <c r="Z308" s="73">
        <f t="shared" si="12"/>
        <v>5083.898305</v>
      </c>
      <c r="AA308" s="73">
        <f t="shared" si="13"/>
        <v>2669.300805</v>
      </c>
      <c r="AB308" s="74">
        <f t="shared" si="14"/>
        <v>0.52505</v>
      </c>
      <c r="AC308" s="61" t="str">
        <f t="shared" si="15"/>
        <v>2</v>
      </c>
      <c r="AD308" s="71">
        <f t="shared" si="16"/>
        <v>0.15</v>
      </c>
      <c r="AE308" s="61"/>
      <c r="AF308" s="61"/>
      <c r="AG308" s="71">
        <f t="array" ref="AG308">IFERROR(xlookup(G308,'Old Master'!T:T,'Old Master'!V:V),N308)</f>
        <v>0.0909228671</v>
      </c>
      <c r="AH308" s="73">
        <f t="shared" si="229"/>
        <v>5999</v>
      </c>
      <c r="AI308" s="73">
        <f t="shared" si="230"/>
        <v>2669.300805</v>
      </c>
      <c r="AJ308" s="72">
        <f t="shared" si="19"/>
        <v>0.52505</v>
      </c>
      <c r="AK308" s="61"/>
      <c r="AL308" s="71">
        <f t="array" ref="AL308">iferror(if(isblank(xlookup($G308,'Old Master'!$T:$T,'Old Master'!$W:$W)),AG308,xlookup($G308,'Old Master'!$T:$T,'Old Master'!$W:$W)),AG308)</f>
        <v>0.0909228671</v>
      </c>
      <c r="AM308" s="74">
        <f t="shared" si="20"/>
        <v>0.0909228671</v>
      </c>
      <c r="AN308" s="73">
        <f t="shared" si="286"/>
        <v>5999</v>
      </c>
    </row>
    <row r="309">
      <c r="A309" s="65" t="s">
        <v>4388</v>
      </c>
      <c r="B309" s="65">
        <f t="shared" si="1"/>
        <v>60</v>
      </c>
      <c r="C309" s="65" t="str">
        <f t="shared" si="248"/>
        <v>SC-QRMTTOPPER-Q-78x62x2</v>
      </c>
      <c r="D309" s="65" t="s">
        <v>4390</v>
      </c>
      <c r="E309" s="65">
        <v>0.0</v>
      </c>
      <c r="F309" s="65" t="s">
        <v>4391</v>
      </c>
      <c r="G309" s="65" t="s">
        <v>5143</v>
      </c>
      <c r="H309" s="65" t="s">
        <v>4730</v>
      </c>
      <c r="I309" s="65">
        <v>5879.0</v>
      </c>
      <c r="J309" s="66">
        <v>0.2</v>
      </c>
      <c r="K309" s="65">
        <f t="shared" si="3"/>
        <v>4703</v>
      </c>
      <c r="L309" s="66">
        <v>0.26</v>
      </c>
      <c r="M309" s="65">
        <f t="shared" si="4"/>
        <v>4350</v>
      </c>
      <c r="N309" s="67">
        <f t="shared" si="275"/>
        <v>0.09865623405</v>
      </c>
      <c r="O309" s="78">
        <v>5299.0</v>
      </c>
      <c r="P309" s="67">
        <f t="shared" si="276"/>
        <v>0.09865623405</v>
      </c>
      <c r="Q309" s="79">
        <v>5299.0</v>
      </c>
      <c r="R309" s="70"/>
      <c r="S309" s="71">
        <f t="shared" si="289"/>
        <v>0.1267276207</v>
      </c>
      <c r="T309" s="72">
        <f t="shared" si="6"/>
        <v>0</v>
      </c>
      <c r="U309" s="73">
        <f t="shared" si="290"/>
        <v>1854.65</v>
      </c>
      <c r="V309" s="73">
        <f t="shared" si="291"/>
        <v>3985.59322</v>
      </c>
      <c r="W309" s="73">
        <f t="shared" si="9"/>
        <v>2130.94322</v>
      </c>
      <c r="X309" s="74">
        <f t="shared" si="10"/>
        <v>0.5346614927</v>
      </c>
      <c r="Y309" s="73">
        <f t="shared" si="11"/>
        <v>2132.8475</v>
      </c>
      <c r="Z309" s="73">
        <f t="shared" si="12"/>
        <v>4490.677966</v>
      </c>
      <c r="AA309" s="73">
        <f t="shared" si="13"/>
        <v>2357.830466</v>
      </c>
      <c r="AB309" s="74">
        <f t="shared" si="14"/>
        <v>0.52505</v>
      </c>
      <c r="AC309" s="61" t="str">
        <f t="shared" si="15"/>
        <v>2</v>
      </c>
      <c r="AD309" s="71">
        <f t="shared" si="16"/>
        <v>0.15</v>
      </c>
      <c r="AE309" s="61"/>
      <c r="AF309" s="61"/>
      <c r="AG309" s="71">
        <f t="array" ref="AG309">IFERROR(xlookup(G309,'Old Master'!T:T,'Old Master'!V:V),N309)</f>
        <v>0.09865623405</v>
      </c>
      <c r="AH309" s="73">
        <f t="shared" si="229"/>
        <v>5299</v>
      </c>
      <c r="AI309" s="73">
        <f t="shared" si="230"/>
        <v>2357.830466</v>
      </c>
      <c r="AJ309" s="72">
        <f t="shared" si="19"/>
        <v>0.52505</v>
      </c>
      <c r="AK309" s="61"/>
      <c r="AL309" s="71">
        <f t="array" ref="AL309">iferror(if(isblank(xlookup($G309,'Old Master'!$T:$T,'Old Master'!$W:$W)),AG309,xlookup($G309,'Old Master'!$T:$T,'Old Master'!$W:$W)),AG309)</f>
        <v>0.09865623405</v>
      </c>
      <c r="AM309" s="74">
        <f t="shared" si="20"/>
        <v>0.09865623405</v>
      </c>
      <c r="AN309" s="73">
        <f t="shared" si="286"/>
        <v>5299</v>
      </c>
    </row>
    <row r="310">
      <c r="A310" s="65" t="s">
        <v>2064</v>
      </c>
      <c r="B310" s="65">
        <f t="shared" si="1"/>
        <v>48</v>
      </c>
      <c r="C310" s="65" t="str">
        <f t="shared" si="248"/>
        <v>SC-CLD-SPR-D-78x50x8</v>
      </c>
      <c r="D310" s="65" t="s">
        <v>2066</v>
      </c>
      <c r="E310" s="65" t="s">
        <v>2067</v>
      </c>
      <c r="F310" s="65" t="s">
        <v>2068</v>
      </c>
      <c r="G310" s="65" t="s">
        <v>5138</v>
      </c>
      <c r="H310" s="65" t="s">
        <v>52</v>
      </c>
      <c r="I310" s="65">
        <v>22999.0</v>
      </c>
      <c r="J310" s="66">
        <v>0.25</v>
      </c>
      <c r="K310" s="65">
        <f t="shared" si="3"/>
        <v>17249</v>
      </c>
      <c r="L310" s="66">
        <v>0.2</v>
      </c>
      <c r="M310" s="65">
        <f t="shared" si="4"/>
        <v>18399</v>
      </c>
      <c r="N310" s="67">
        <f t="shared" si="275"/>
        <v>0.100004348</v>
      </c>
      <c r="O310" s="68">
        <v>20699.0</v>
      </c>
      <c r="P310" s="67">
        <f t="shared" si="276"/>
        <v>0.100004348</v>
      </c>
      <c r="Q310" s="69">
        <v>20699.0</v>
      </c>
      <c r="R310" s="70"/>
      <c r="S310" s="71">
        <f t="shared" ref="S310:S313" si="292">O310/M310-1</f>
        <v>0.1250067938</v>
      </c>
      <c r="T310" s="72">
        <f t="shared" si="6"/>
        <v>0</v>
      </c>
      <c r="U310" s="73" t="str">
        <f t="shared" ref="U310:U360" si="293">IFERROR(XLOOKUP(A310,COGS!I:I,COGS!J:J), IFERROR(XLOOKUP(C310,COGS!I:I,COGS!J:J),""))</f>
        <v/>
      </c>
      <c r="V310" s="73">
        <f t="shared" ref="V310:V324" si="294">M310/1.18</f>
        <v>15592.37288</v>
      </c>
      <c r="W310" s="73">
        <f t="shared" si="9"/>
        <v>15592.37288</v>
      </c>
      <c r="X310" s="74">
        <f t="shared" si="10"/>
        <v>1</v>
      </c>
      <c r="Y310" s="73">
        <f t="shared" si="11"/>
        <v>0</v>
      </c>
      <c r="Z310" s="73">
        <f t="shared" si="12"/>
        <v>17541.52542</v>
      </c>
      <c r="AA310" s="73">
        <f t="shared" si="13"/>
        <v>17541.52542</v>
      </c>
      <c r="AB310" s="74">
        <f t="shared" si="14"/>
        <v>1</v>
      </c>
      <c r="AC310" s="61" t="str">
        <f t="shared" si="15"/>
        <v>8</v>
      </c>
      <c r="AD310" s="71" t="str">
        <f t="shared" si="16"/>
        <v>#DIV/0!</v>
      </c>
      <c r="AE310" s="61"/>
      <c r="AF310" s="61"/>
      <c r="AG310" s="71">
        <f t="array" ref="AG310">IFERROR(xlookup(G310,'Old Master'!T:T,'Old Master'!V:V),N310)</f>
        <v>0.100004348</v>
      </c>
      <c r="AH310" s="73">
        <f t="shared" si="229"/>
        <v>20699</v>
      </c>
      <c r="AI310" s="73">
        <f t="shared" si="230"/>
        <v>17541.52542</v>
      </c>
      <c r="AJ310" s="72">
        <f t="shared" si="19"/>
        <v>1</v>
      </c>
      <c r="AK310" s="61"/>
      <c r="AL310" s="71">
        <f t="array" ref="AL310">iferror(if(isblank(xlookup($G310,'Old Master'!$T:$T,'Old Master'!$W:$W)),AG310,xlookup($G310,'Old Master'!$T:$T,'Old Master'!$W:$W)),AG310)</f>
        <v>0.100004348</v>
      </c>
      <c r="AM310" s="74">
        <f t="shared" si="20"/>
        <v>0.100004348</v>
      </c>
      <c r="AN310" s="73">
        <f t="shared" si="286"/>
        <v>20699</v>
      </c>
    </row>
    <row r="311">
      <c r="A311" s="65" t="s">
        <v>2104</v>
      </c>
      <c r="B311" s="65">
        <f t="shared" si="1"/>
        <v>66</v>
      </c>
      <c r="C311" s="65" t="str">
        <f t="shared" si="248"/>
        <v>SC-CLD-SPR-Q-78x68x8</v>
      </c>
      <c r="D311" s="65" t="s">
        <v>2106</v>
      </c>
      <c r="E311" s="65" t="s">
        <v>2107</v>
      </c>
      <c r="F311" s="65" t="s">
        <v>2108</v>
      </c>
      <c r="G311" s="65" t="s">
        <v>5138</v>
      </c>
      <c r="H311" s="65" t="s">
        <v>52</v>
      </c>
      <c r="I311" s="65">
        <v>27999.0</v>
      </c>
      <c r="J311" s="66">
        <v>0.25</v>
      </c>
      <c r="K311" s="65">
        <f t="shared" si="3"/>
        <v>20999</v>
      </c>
      <c r="L311" s="66">
        <v>0.2</v>
      </c>
      <c r="M311" s="65">
        <f t="shared" si="4"/>
        <v>22399</v>
      </c>
      <c r="N311" s="67">
        <f t="shared" si="275"/>
        <v>0.1000035716</v>
      </c>
      <c r="O311" s="68">
        <v>25199.0</v>
      </c>
      <c r="P311" s="67">
        <f t="shared" si="276"/>
        <v>0.1000035716</v>
      </c>
      <c r="Q311" s="69">
        <v>25199.0</v>
      </c>
      <c r="R311" s="70"/>
      <c r="S311" s="71">
        <f t="shared" si="292"/>
        <v>0.1250055806</v>
      </c>
      <c r="T311" s="72">
        <f t="shared" si="6"/>
        <v>0</v>
      </c>
      <c r="U311" s="73" t="str">
        <f t="shared" si="293"/>
        <v/>
      </c>
      <c r="V311" s="73">
        <f t="shared" si="294"/>
        <v>18982.20339</v>
      </c>
      <c r="W311" s="73">
        <f t="shared" si="9"/>
        <v>18982.20339</v>
      </c>
      <c r="X311" s="74">
        <f t="shared" si="10"/>
        <v>1</v>
      </c>
      <c r="Y311" s="73">
        <f t="shared" si="11"/>
        <v>0</v>
      </c>
      <c r="Z311" s="73">
        <f t="shared" si="12"/>
        <v>21355.08475</v>
      </c>
      <c r="AA311" s="73">
        <f t="shared" si="13"/>
        <v>21355.08475</v>
      </c>
      <c r="AB311" s="74">
        <f t="shared" si="14"/>
        <v>1</v>
      </c>
      <c r="AC311" s="61" t="str">
        <f t="shared" si="15"/>
        <v>8</v>
      </c>
      <c r="AD311" s="71" t="str">
        <f t="shared" si="16"/>
        <v>#DIV/0!</v>
      </c>
      <c r="AE311" s="61"/>
      <c r="AF311" s="61"/>
      <c r="AG311" s="71">
        <f t="array" ref="AG311">IFERROR(xlookup(G311,'Old Master'!T:T,'Old Master'!V:V),N311)</f>
        <v>0.1000035716</v>
      </c>
      <c r="AH311" s="73">
        <f t="shared" si="229"/>
        <v>25199</v>
      </c>
      <c r="AI311" s="73">
        <f t="shared" si="230"/>
        <v>21355.08475</v>
      </c>
      <c r="AJ311" s="72">
        <f t="shared" si="19"/>
        <v>1</v>
      </c>
      <c r="AK311" s="61"/>
      <c r="AL311" s="71">
        <f t="array" ref="AL311">iferror(if(isblank(xlookup($G311,'Old Master'!$T:$T,'Old Master'!$W:$W)),AG311,xlookup($G311,'Old Master'!$T:$T,'Old Master'!$W:$W)),AG311)</f>
        <v>0.1000035716</v>
      </c>
      <c r="AM311" s="74">
        <f t="shared" si="20"/>
        <v>0.1000035716</v>
      </c>
      <c r="AN311" s="73">
        <f t="shared" si="286"/>
        <v>25199</v>
      </c>
    </row>
    <row r="312">
      <c r="A312" s="65" t="s">
        <v>2025</v>
      </c>
      <c r="B312" s="65">
        <f t="shared" si="1"/>
        <v>30</v>
      </c>
      <c r="C312" s="65" t="str">
        <f t="shared" si="248"/>
        <v>SC-CLD-SPR-S-72x32x8</v>
      </c>
      <c r="D312" s="65" t="s">
        <v>2027</v>
      </c>
      <c r="E312" s="65" t="s">
        <v>2028</v>
      </c>
      <c r="F312" s="65">
        <v>0.0</v>
      </c>
      <c r="G312" s="65" t="s">
        <v>5138</v>
      </c>
      <c r="H312" s="65" t="s">
        <v>52</v>
      </c>
      <c r="I312" s="65">
        <v>17999.0</v>
      </c>
      <c r="J312" s="66">
        <v>0.25</v>
      </c>
      <c r="K312" s="65">
        <f t="shared" si="3"/>
        <v>13499</v>
      </c>
      <c r="L312" s="66">
        <v>0.2</v>
      </c>
      <c r="M312" s="65">
        <f t="shared" si="4"/>
        <v>14399</v>
      </c>
      <c r="N312" s="67">
        <f t="shared" si="275"/>
        <v>0.1000055559</v>
      </c>
      <c r="O312" s="68">
        <v>16199.0</v>
      </c>
      <c r="P312" s="67">
        <f t="shared" si="276"/>
        <v>0.1000055559</v>
      </c>
      <c r="Q312" s="69">
        <v>16199.0</v>
      </c>
      <c r="R312" s="70"/>
      <c r="S312" s="71">
        <f t="shared" si="292"/>
        <v>0.1250086812</v>
      </c>
      <c r="T312" s="72">
        <f t="shared" si="6"/>
        <v>0</v>
      </c>
      <c r="U312" s="73" t="str">
        <f t="shared" si="293"/>
        <v/>
      </c>
      <c r="V312" s="73">
        <f t="shared" si="294"/>
        <v>12202.54237</v>
      </c>
      <c r="W312" s="73">
        <f t="shared" si="9"/>
        <v>12202.54237</v>
      </c>
      <c r="X312" s="74">
        <f t="shared" si="10"/>
        <v>1</v>
      </c>
      <c r="Y312" s="73">
        <f t="shared" si="11"/>
        <v>0</v>
      </c>
      <c r="Z312" s="73">
        <f t="shared" si="12"/>
        <v>13727.9661</v>
      </c>
      <c r="AA312" s="73">
        <f t="shared" si="13"/>
        <v>13727.9661</v>
      </c>
      <c r="AB312" s="74">
        <f t="shared" si="14"/>
        <v>1</v>
      </c>
      <c r="AC312" s="61" t="str">
        <f t="shared" si="15"/>
        <v>8</v>
      </c>
      <c r="AD312" s="71" t="str">
        <f t="shared" si="16"/>
        <v>#DIV/0!</v>
      </c>
      <c r="AE312" s="61"/>
      <c r="AF312" s="61"/>
      <c r="AG312" s="71">
        <f t="array" ref="AG312">IFERROR(xlookup(G312,'Old Master'!T:T,'Old Master'!V:V),N312)</f>
        <v>0.1000055559</v>
      </c>
      <c r="AH312" s="73">
        <f t="shared" si="229"/>
        <v>16199</v>
      </c>
      <c r="AI312" s="73">
        <f t="shared" si="230"/>
        <v>13727.9661</v>
      </c>
      <c r="AJ312" s="72">
        <f t="shared" si="19"/>
        <v>1</v>
      </c>
      <c r="AK312" s="61"/>
      <c r="AL312" s="71">
        <f t="array" ref="AL312">iferror(if(isblank(xlookup($G312,'Old Master'!$T:$T,'Old Master'!$W:$W)),AG312,xlookup($G312,'Old Master'!$T:$T,'Old Master'!$W:$W)),AG312)</f>
        <v>0.1000055559</v>
      </c>
      <c r="AM312" s="74">
        <f t="shared" si="20"/>
        <v>0.1000055559</v>
      </c>
      <c r="AN312" s="73">
        <f t="shared" si="286"/>
        <v>16199</v>
      </c>
    </row>
    <row r="313">
      <c r="A313" s="65" t="s">
        <v>2044</v>
      </c>
      <c r="B313" s="65">
        <f t="shared" si="1"/>
        <v>36</v>
      </c>
      <c r="C313" s="65" t="str">
        <f t="shared" si="248"/>
        <v>SC-CLD-SPR-S-78x38x8</v>
      </c>
      <c r="D313" s="65" t="s">
        <v>2046</v>
      </c>
      <c r="E313" s="65" t="s">
        <v>2047</v>
      </c>
      <c r="F313" s="65">
        <v>0.0</v>
      </c>
      <c r="G313" s="65" t="s">
        <v>5138</v>
      </c>
      <c r="H313" s="65" t="s">
        <v>52</v>
      </c>
      <c r="I313" s="65">
        <v>19999.0</v>
      </c>
      <c r="J313" s="66">
        <v>0.25</v>
      </c>
      <c r="K313" s="65">
        <f t="shared" si="3"/>
        <v>14999</v>
      </c>
      <c r="L313" s="66">
        <v>0.2</v>
      </c>
      <c r="M313" s="65">
        <f t="shared" si="4"/>
        <v>15999</v>
      </c>
      <c r="N313" s="67">
        <f t="shared" si="275"/>
        <v>0.1000050003</v>
      </c>
      <c r="O313" s="68">
        <v>17999.0</v>
      </c>
      <c r="P313" s="67">
        <f t="shared" si="276"/>
        <v>0.1000050003</v>
      </c>
      <c r="Q313" s="69">
        <v>17999.0</v>
      </c>
      <c r="R313" s="70"/>
      <c r="S313" s="71">
        <f t="shared" si="292"/>
        <v>0.125007813</v>
      </c>
      <c r="T313" s="72">
        <f t="shared" si="6"/>
        <v>0</v>
      </c>
      <c r="U313" s="73" t="str">
        <f t="shared" si="293"/>
        <v/>
      </c>
      <c r="V313" s="73">
        <f t="shared" si="294"/>
        <v>13558.47458</v>
      </c>
      <c r="W313" s="73">
        <f t="shared" si="9"/>
        <v>13558.47458</v>
      </c>
      <c r="X313" s="74">
        <f t="shared" si="10"/>
        <v>1</v>
      </c>
      <c r="Y313" s="73">
        <f t="shared" si="11"/>
        <v>0</v>
      </c>
      <c r="Z313" s="73">
        <f t="shared" si="12"/>
        <v>15253.38983</v>
      </c>
      <c r="AA313" s="73">
        <f t="shared" si="13"/>
        <v>15253.38983</v>
      </c>
      <c r="AB313" s="74">
        <f t="shared" si="14"/>
        <v>1</v>
      </c>
      <c r="AC313" s="61" t="str">
        <f t="shared" si="15"/>
        <v>8</v>
      </c>
      <c r="AD313" s="71" t="str">
        <f t="shared" si="16"/>
        <v>#DIV/0!</v>
      </c>
      <c r="AE313" s="61"/>
      <c r="AF313" s="61"/>
      <c r="AG313" s="71">
        <f t="array" ref="AG313">IFERROR(xlookup(G313,'Old Master'!T:T,'Old Master'!V:V),N313)</f>
        <v>0.1000050003</v>
      </c>
      <c r="AH313" s="73">
        <f t="shared" si="229"/>
        <v>17999</v>
      </c>
      <c r="AI313" s="73">
        <f t="shared" si="230"/>
        <v>15253.38983</v>
      </c>
      <c r="AJ313" s="72">
        <f t="shared" si="19"/>
        <v>1</v>
      </c>
      <c r="AK313" s="61"/>
      <c r="AL313" s="71">
        <f t="array" ref="AL313">iferror(if(isblank(xlookup($G313,'Old Master'!$T:$T,'Old Master'!$W:$W)),AG313,xlookup($G313,'Old Master'!$T:$T,'Old Master'!$W:$W)),AG313)</f>
        <v>0.1000050003</v>
      </c>
      <c r="AM313" s="74">
        <f t="shared" si="20"/>
        <v>0.1000050003</v>
      </c>
      <c r="AN313" s="73">
        <f t="shared" si="286"/>
        <v>17999</v>
      </c>
    </row>
    <row r="314">
      <c r="A314" s="65" t="s">
        <v>2985</v>
      </c>
      <c r="B314" s="65" t="str">
        <f t="shared" si="1"/>
        <v>#VALUE!</v>
      </c>
      <c r="C314" s="65" t="str">
        <f t="shared" si="248"/>
        <v>#VALUE!</v>
      </c>
      <c r="D314" s="65" t="s">
        <v>2987</v>
      </c>
      <c r="E314" s="65" t="s">
        <v>2985</v>
      </c>
      <c r="F314" s="65" t="s">
        <v>2985</v>
      </c>
      <c r="G314" s="65" t="s">
        <v>5088</v>
      </c>
      <c r="H314" s="65" t="s">
        <v>4730</v>
      </c>
      <c r="I314" s="65">
        <v>2989.0</v>
      </c>
      <c r="J314" s="66">
        <v>0.3312144529943125</v>
      </c>
      <c r="K314" s="65">
        <f t="shared" si="3"/>
        <v>1999</v>
      </c>
      <c r="L314" s="66">
        <v>0.15</v>
      </c>
      <c r="M314" s="65">
        <f t="shared" si="4"/>
        <v>2541</v>
      </c>
      <c r="N314" s="67">
        <f t="shared" si="275"/>
        <v>0.09702241552</v>
      </c>
      <c r="O314" s="68">
        <v>2699.0</v>
      </c>
      <c r="P314" s="67">
        <f t="shared" si="276"/>
        <v>0.09702241552</v>
      </c>
      <c r="Q314" s="69">
        <v>2699.0</v>
      </c>
      <c r="R314" s="70"/>
      <c r="S314" s="71">
        <f t="shared" ref="S314:S318" si="295">O314/K314-1</f>
        <v>0.3501750875</v>
      </c>
      <c r="T314" s="72">
        <f t="shared" si="6"/>
        <v>0</v>
      </c>
      <c r="U314" s="73" t="str">
        <f t="shared" si="293"/>
        <v/>
      </c>
      <c r="V314" s="73">
        <f t="shared" si="294"/>
        <v>2153.389831</v>
      </c>
      <c r="W314" s="73">
        <f t="shared" si="9"/>
        <v>2153.389831</v>
      </c>
      <c r="X314" s="74">
        <f t="shared" si="10"/>
        <v>1</v>
      </c>
      <c r="Y314" s="73">
        <f t="shared" si="11"/>
        <v>0</v>
      </c>
      <c r="Z314" s="73">
        <f t="shared" si="12"/>
        <v>2287.288136</v>
      </c>
      <c r="AA314" s="73">
        <f t="shared" si="13"/>
        <v>2287.288136</v>
      </c>
      <c r="AB314" s="74">
        <f t="shared" si="14"/>
        <v>1</v>
      </c>
      <c r="AC314" s="61" t="str">
        <f t="shared" si="15"/>
        <v>0</v>
      </c>
      <c r="AD314" s="71" t="str">
        <f t="shared" si="16"/>
        <v>#DIV/0!</v>
      </c>
      <c r="AE314" s="61"/>
      <c r="AF314" s="61"/>
      <c r="AG314" s="71">
        <f t="array" ref="AG314">IFERROR(xlookup(G314,'Old Master'!T:T,'Old Master'!V:V),N314)</f>
        <v>0.09702241552</v>
      </c>
      <c r="AH314" s="73">
        <f t="shared" si="229"/>
        <v>2699</v>
      </c>
      <c r="AI314" s="73">
        <f t="shared" si="230"/>
        <v>2287.288136</v>
      </c>
      <c r="AJ314" s="72">
        <f t="shared" si="19"/>
        <v>1</v>
      </c>
      <c r="AK314" s="61"/>
      <c r="AL314" s="71">
        <f t="array" ref="AL314">iferror(if(isblank(xlookup($G314,'Old Master'!$T:$T,'Old Master'!$W:$W)),AG314,xlookup($G314,'Old Master'!$T:$T,'Old Master'!$W:$W)),AG314)</f>
        <v>0.09702241552</v>
      </c>
      <c r="AM314" s="74">
        <f t="shared" si="20"/>
        <v>0.09702241552</v>
      </c>
      <c r="AN314" s="73">
        <f t="shared" si="286"/>
        <v>2699</v>
      </c>
    </row>
    <row r="315">
      <c r="A315" s="65" t="s">
        <v>2807</v>
      </c>
      <c r="B315" s="65" t="str">
        <f t="shared" si="1"/>
        <v>#VALUE!</v>
      </c>
      <c r="C315" s="65" t="str">
        <f t="shared" si="248"/>
        <v>#VALUE!</v>
      </c>
      <c r="D315" s="65" t="s">
        <v>2809</v>
      </c>
      <c r="E315" s="65">
        <v>0.0</v>
      </c>
      <c r="F315" s="65" t="s">
        <v>2807</v>
      </c>
      <c r="G315" s="65" t="s">
        <v>5107</v>
      </c>
      <c r="H315" s="65" t="s">
        <v>4730</v>
      </c>
      <c r="I315" s="65">
        <v>2189.0</v>
      </c>
      <c r="J315" s="66">
        <v>0.2815485168426345</v>
      </c>
      <c r="K315" s="65">
        <f t="shared" si="3"/>
        <v>1573</v>
      </c>
      <c r="L315" s="66">
        <v>0.1</v>
      </c>
      <c r="M315" s="65">
        <f t="shared" si="4"/>
        <v>1970</v>
      </c>
      <c r="N315" s="67">
        <f t="shared" si="275"/>
        <v>0.1813613522</v>
      </c>
      <c r="O315" s="68">
        <v>1792.0</v>
      </c>
      <c r="P315" s="67">
        <f t="shared" si="276"/>
        <v>0.1813613522</v>
      </c>
      <c r="Q315" s="69">
        <v>1792.0</v>
      </c>
      <c r="R315" s="70"/>
      <c r="S315" s="71">
        <f t="shared" si="295"/>
        <v>0.139224412</v>
      </c>
      <c r="T315" s="72">
        <f t="shared" si="6"/>
        <v>0</v>
      </c>
      <c r="U315" s="73" t="str">
        <f t="shared" si="293"/>
        <v/>
      </c>
      <c r="V315" s="73">
        <f t="shared" si="294"/>
        <v>1669.491525</v>
      </c>
      <c r="W315" s="73">
        <f t="shared" si="9"/>
        <v>1669.491525</v>
      </c>
      <c r="X315" s="74">
        <f t="shared" si="10"/>
        <v>1</v>
      </c>
      <c r="Y315" s="73">
        <f t="shared" si="11"/>
        <v>0</v>
      </c>
      <c r="Z315" s="73">
        <f t="shared" si="12"/>
        <v>1518.644068</v>
      </c>
      <c r="AA315" s="73">
        <f t="shared" si="13"/>
        <v>1518.644068</v>
      </c>
      <c r="AB315" s="74">
        <f t="shared" si="14"/>
        <v>1</v>
      </c>
      <c r="AC315" s="61" t="str">
        <f t="shared" si="15"/>
        <v>2</v>
      </c>
      <c r="AD315" s="71" t="str">
        <f t="shared" si="16"/>
        <v>#DIV/0!</v>
      </c>
      <c r="AE315" s="61"/>
      <c r="AF315" s="61"/>
      <c r="AG315" s="71">
        <f t="array" ref="AG315">IFERROR(xlookup(G315,'Old Master'!T:T,'Old Master'!V:V),N315)</f>
        <v>0.1813613522</v>
      </c>
      <c r="AH315" s="73">
        <f t="shared" si="229"/>
        <v>1792</v>
      </c>
      <c r="AI315" s="73">
        <f t="shared" si="230"/>
        <v>1518.644068</v>
      </c>
      <c r="AJ315" s="72">
        <f t="shared" si="19"/>
        <v>1</v>
      </c>
      <c r="AK315" s="61"/>
      <c r="AL315" s="71">
        <f t="array" ref="AL315">iferror(if(isblank(xlookup($G315,'Old Master'!$T:$T,'Old Master'!$W:$W)),AG315,xlookup($G315,'Old Master'!$T:$T,'Old Master'!$W:$W)),AG315)</f>
        <v>0.1813613522</v>
      </c>
      <c r="AM315" s="74">
        <f t="shared" si="20"/>
        <v>0.178163545</v>
      </c>
      <c r="AN315" s="73">
        <f t="shared" si="286"/>
        <v>1799</v>
      </c>
    </row>
    <row r="316">
      <c r="A316" s="65" t="s">
        <v>2783</v>
      </c>
      <c r="B316" s="65" t="str">
        <f t="shared" si="1"/>
        <v>#VALUE!</v>
      </c>
      <c r="C316" s="65" t="str">
        <f t="shared" si="248"/>
        <v>#VALUE!</v>
      </c>
      <c r="D316" s="65" t="s">
        <v>2785</v>
      </c>
      <c r="E316" s="65" t="s">
        <v>2783</v>
      </c>
      <c r="F316" s="65" t="s">
        <v>2786</v>
      </c>
      <c r="G316" s="65" t="s">
        <v>5107</v>
      </c>
      <c r="H316" s="65" t="s">
        <v>4730</v>
      </c>
      <c r="I316" s="65">
        <v>1989.0</v>
      </c>
      <c r="J316" s="66">
        <v>0.2815485168426345</v>
      </c>
      <c r="K316" s="65">
        <f t="shared" si="3"/>
        <v>1429</v>
      </c>
      <c r="L316" s="66">
        <v>0.1</v>
      </c>
      <c r="M316" s="65">
        <f t="shared" si="4"/>
        <v>1790</v>
      </c>
      <c r="N316" s="67">
        <f t="shared" si="275"/>
        <v>0.1814982403</v>
      </c>
      <c r="O316" s="68">
        <v>1628.0</v>
      </c>
      <c r="P316" s="67">
        <f t="shared" si="276"/>
        <v>0.1814982403</v>
      </c>
      <c r="Q316" s="69">
        <v>1628.0</v>
      </c>
      <c r="R316" s="70"/>
      <c r="S316" s="71">
        <f t="shared" si="295"/>
        <v>0.1392582225</v>
      </c>
      <c r="T316" s="72">
        <f t="shared" si="6"/>
        <v>0</v>
      </c>
      <c r="U316" s="73" t="str">
        <f t="shared" si="293"/>
        <v/>
      </c>
      <c r="V316" s="73">
        <f t="shared" si="294"/>
        <v>1516.949153</v>
      </c>
      <c r="W316" s="73">
        <f t="shared" si="9"/>
        <v>1516.949153</v>
      </c>
      <c r="X316" s="74">
        <f t="shared" si="10"/>
        <v>1</v>
      </c>
      <c r="Y316" s="73">
        <f t="shared" si="11"/>
        <v>0</v>
      </c>
      <c r="Z316" s="73">
        <f t="shared" si="12"/>
        <v>1379.661017</v>
      </c>
      <c r="AA316" s="73">
        <f t="shared" si="13"/>
        <v>1379.661017</v>
      </c>
      <c r="AB316" s="74">
        <f t="shared" si="14"/>
        <v>1</v>
      </c>
      <c r="AC316" s="61" t="str">
        <f t="shared" si="15"/>
        <v>0</v>
      </c>
      <c r="AD316" s="71" t="str">
        <f t="shared" si="16"/>
        <v>#DIV/0!</v>
      </c>
      <c r="AE316" s="61"/>
      <c r="AF316" s="61"/>
      <c r="AG316" s="71">
        <f t="array" ref="AG316">IFERROR(xlookup(G316,'Old Master'!T:T,'Old Master'!V:V),N316)</f>
        <v>0.1814982403</v>
      </c>
      <c r="AH316" s="73">
        <f t="shared" si="229"/>
        <v>1628</v>
      </c>
      <c r="AI316" s="73">
        <f t="shared" si="230"/>
        <v>1379.661017</v>
      </c>
      <c r="AJ316" s="72">
        <f t="shared" si="19"/>
        <v>1</v>
      </c>
      <c r="AK316" s="61"/>
      <c r="AL316" s="71">
        <f t="array" ref="AL316">iferror(if(isblank(xlookup($G316,'Old Master'!$T:$T,'Old Master'!$W:$W)),AG316,xlookup($G316,'Old Master'!$T:$T,'Old Master'!$W:$W)),AG316)</f>
        <v>0.1814982403</v>
      </c>
      <c r="AM316" s="74">
        <f t="shared" si="20"/>
        <v>0.1814982403</v>
      </c>
      <c r="AN316" s="73">
        <f>O316</f>
        <v>1628</v>
      </c>
    </row>
    <row r="317">
      <c r="A317" s="65" t="s">
        <v>3467</v>
      </c>
      <c r="B317" s="65" t="str">
        <f t="shared" si="1"/>
        <v>#VALUE!</v>
      </c>
      <c r="C317" s="65" t="str">
        <f t="shared" si="248"/>
        <v>#VALUE!</v>
      </c>
      <c r="D317" s="65" t="s">
        <v>3469</v>
      </c>
      <c r="E317" s="65" t="s">
        <v>3467</v>
      </c>
      <c r="F317" s="65" t="s">
        <v>3470</v>
      </c>
      <c r="G317" s="65" t="s">
        <v>5078</v>
      </c>
      <c r="H317" s="65" t="s">
        <v>4730</v>
      </c>
      <c r="I317" s="65">
        <v>499.0</v>
      </c>
      <c r="J317" s="66">
        <v>0.1</v>
      </c>
      <c r="K317" s="65">
        <f t="shared" si="3"/>
        <v>449</v>
      </c>
      <c r="L317" s="66">
        <v>0.1</v>
      </c>
      <c r="M317" s="65">
        <f t="shared" si="4"/>
        <v>449</v>
      </c>
      <c r="N317" s="67">
        <f t="shared" si="275"/>
        <v>0</v>
      </c>
      <c r="O317" s="78">
        <v>499.0</v>
      </c>
      <c r="P317" s="67">
        <f t="shared" si="276"/>
        <v>0</v>
      </c>
      <c r="Q317" s="79">
        <v>499.0</v>
      </c>
      <c r="R317" s="70"/>
      <c r="S317" s="71">
        <f t="shared" si="295"/>
        <v>0.1113585746</v>
      </c>
      <c r="T317" s="72">
        <f t="shared" si="6"/>
        <v>0</v>
      </c>
      <c r="U317" s="73" t="str">
        <f t="shared" si="293"/>
        <v/>
      </c>
      <c r="V317" s="73">
        <f t="shared" si="294"/>
        <v>380.5084746</v>
      </c>
      <c r="W317" s="73">
        <f t="shared" si="9"/>
        <v>380.5084746</v>
      </c>
      <c r="X317" s="74">
        <f t="shared" si="10"/>
        <v>1</v>
      </c>
      <c r="Y317" s="73">
        <f t="shared" si="11"/>
        <v>0</v>
      </c>
      <c r="Z317" s="73">
        <f t="shared" si="12"/>
        <v>422.8813559</v>
      </c>
      <c r="AA317" s="73">
        <f t="shared" si="13"/>
        <v>422.8813559</v>
      </c>
      <c r="AB317" s="74">
        <f t="shared" si="14"/>
        <v>1</v>
      </c>
      <c r="AC317" s="61" t="str">
        <f t="shared" si="15"/>
        <v>0</v>
      </c>
      <c r="AD317" s="71" t="str">
        <f t="shared" si="16"/>
        <v>#DIV/0!</v>
      </c>
      <c r="AE317" s="61"/>
      <c r="AF317" s="61"/>
      <c r="AG317" s="71">
        <f t="array" ref="AG317">IFERROR(xlookup(G317,'Old Master'!T:T,'Old Master'!V:V),N317)</f>
        <v>0</v>
      </c>
      <c r="AH317" s="73">
        <f t="shared" si="229"/>
        <v>499</v>
      </c>
      <c r="AI317" s="73">
        <f t="shared" si="230"/>
        <v>422.8813559</v>
      </c>
      <c r="AJ317" s="72">
        <f t="shared" si="19"/>
        <v>1</v>
      </c>
      <c r="AK317" s="61"/>
      <c r="AL317" s="71">
        <f t="array" ref="AL317">iferror(if(isblank(xlookup($G317,'Old Master'!$T:$T,'Old Master'!$W:$W)),AG317,xlookup($G317,'Old Master'!$T:$T,'Old Master'!$W:$W)),AG317)</f>
        <v>0</v>
      </c>
      <c r="AM317" s="74">
        <f t="shared" si="20"/>
        <v>0</v>
      </c>
      <c r="AN317" s="73">
        <f>mround($I317*(1-AL317),100)-1</f>
        <v>499</v>
      </c>
    </row>
    <row r="318">
      <c r="A318" s="65" t="s">
        <v>1508</v>
      </c>
      <c r="B318" s="65" t="str">
        <f t="shared" si="1"/>
        <v>#VALUE!</v>
      </c>
      <c r="C318" s="65" t="str">
        <f t="shared" si="248"/>
        <v>#VALUE!</v>
      </c>
      <c r="D318" s="65" t="s">
        <v>1510</v>
      </c>
      <c r="E318" s="65" t="s">
        <v>1508</v>
      </c>
      <c r="F318" s="65" t="s">
        <v>1511</v>
      </c>
      <c r="G318" s="65" t="s">
        <v>5078</v>
      </c>
      <c r="H318" s="65" t="s">
        <v>4730</v>
      </c>
      <c r="I318" s="65">
        <v>549.0</v>
      </c>
      <c r="J318" s="66">
        <v>0.1</v>
      </c>
      <c r="K318" s="65">
        <f t="shared" si="3"/>
        <v>494</v>
      </c>
      <c r="L318" s="66">
        <v>0.1</v>
      </c>
      <c r="M318" s="65">
        <f t="shared" si="4"/>
        <v>494</v>
      </c>
      <c r="N318" s="67">
        <f t="shared" si="275"/>
        <v>0</v>
      </c>
      <c r="O318" s="78">
        <v>549.0</v>
      </c>
      <c r="P318" s="67">
        <f t="shared" si="276"/>
        <v>0</v>
      </c>
      <c r="Q318" s="79">
        <v>549.0</v>
      </c>
      <c r="R318" s="70"/>
      <c r="S318" s="71">
        <f t="shared" si="295"/>
        <v>0.1113360324</v>
      </c>
      <c r="T318" s="72">
        <f t="shared" si="6"/>
        <v>0</v>
      </c>
      <c r="U318" s="73" t="str">
        <f t="shared" si="293"/>
        <v/>
      </c>
      <c r="V318" s="73">
        <f t="shared" si="294"/>
        <v>418.6440678</v>
      </c>
      <c r="W318" s="73">
        <f t="shared" si="9"/>
        <v>418.6440678</v>
      </c>
      <c r="X318" s="74">
        <f t="shared" si="10"/>
        <v>1</v>
      </c>
      <c r="Y318" s="73">
        <f t="shared" si="11"/>
        <v>0</v>
      </c>
      <c r="Z318" s="73">
        <f t="shared" si="12"/>
        <v>465.2542373</v>
      </c>
      <c r="AA318" s="73">
        <f t="shared" si="13"/>
        <v>465.2542373</v>
      </c>
      <c r="AB318" s="74">
        <f t="shared" si="14"/>
        <v>1</v>
      </c>
      <c r="AC318" s="61" t="str">
        <f t="shared" si="15"/>
        <v>8</v>
      </c>
      <c r="AD318" s="71" t="str">
        <f t="shared" si="16"/>
        <v>#DIV/0!</v>
      </c>
      <c r="AE318" s="61"/>
      <c r="AF318" s="61"/>
      <c r="AG318" s="71">
        <f t="array" ref="AG318">IFERROR(xlookup(G318,'Old Master'!T:T,'Old Master'!V:V),N318)</f>
        <v>0</v>
      </c>
      <c r="AH318" s="73">
        <f t="shared" si="229"/>
        <v>549</v>
      </c>
      <c r="AI318" s="73">
        <f t="shared" si="230"/>
        <v>465.2542373</v>
      </c>
      <c r="AJ318" s="72">
        <f t="shared" si="19"/>
        <v>1</v>
      </c>
      <c r="AK318" s="61"/>
      <c r="AL318" s="71">
        <f t="array" ref="AL318">iferror(if(isblank(xlookup($G318,'Old Master'!$T:$T,'Old Master'!$W:$W)),AG318,xlookup($G318,'Old Master'!$T:$T,'Old Master'!$W:$W)),AG318)</f>
        <v>0</v>
      </c>
      <c r="AM318" s="74">
        <f t="shared" si="20"/>
        <v>0</v>
      </c>
      <c r="AN318" s="73">
        <f>O318</f>
        <v>549</v>
      </c>
    </row>
    <row r="319">
      <c r="A319" s="65" t="s">
        <v>5368</v>
      </c>
      <c r="B319" s="65">
        <f t="shared" si="1"/>
        <v>72</v>
      </c>
      <c r="C319" s="65" t="str">
        <f t="shared" si="248"/>
        <v>SC-LTx-ORTHO-K-84x74x8</v>
      </c>
      <c r="D319" s="65" t="s">
        <v>4243</v>
      </c>
      <c r="E319" s="65">
        <v>0.0</v>
      </c>
      <c r="F319" s="65" t="s">
        <v>4244</v>
      </c>
      <c r="G319" s="65" t="s">
        <v>5118</v>
      </c>
      <c r="H319" s="65" t="s">
        <v>52</v>
      </c>
      <c r="I319" s="81">
        <v>30899.0</v>
      </c>
      <c r="J319" s="66">
        <v>0.23</v>
      </c>
      <c r="K319" s="81">
        <f t="shared" si="3"/>
        <v>23792</v>
      </c>
      <c r="L319" s="66">
        <v>0.2</v>
      </c>
      <c r="M319" s="81">
        <f t="shared" si="4"/>
        <v>24719</v>
      </c>
      <c r="N319" s="67">
        <f t="shared" si="275"/>
        <v>0.3242791029</v>
      </c>
      <c r="O319" s="68">
        <v>20879.100000000002</v>
      </c>
      <c r="P319" s="75">
        <v>0.1</v>
      </c>
      <c r="Q319" s="68">
        <f t="shared" ref="Q319:Q323" si="296">I319*(1-P319)</f>
        <v>27809.1</v>
      </c>
      <c r="R319" s="70"/>
      <c r="S319" s="71">
        <f t="shared" ref="S319:S323" si="297">O319/M319-1</f>
        <v>-0.1553420446</v>
      </c>
      <c r="T319" s="72">
        <f t="shared" si="6"/>
        <v>0</v>
      </c>
      <c r="U319" s="73" t="str">
        <f t="shared" si="293"/>
        <v/>
      </c>
      <c r="V319" s="73">
        <f t="shared" si="294"/>
        <v>20948.30508</v>
      </c>
      <c r="W319" s="73">
        <f t="shared" si="9"/>
        <v>20948.30508</v>
      </c>
      <c r="X319" s="74">
        <f t="shared" si="10"/>
        <v>1</v>
      </c>
      <c r="Y319" s="73">
        <f t="shared" si="11"/>
        <v>0</v>
      </c>
      <c r="Z319" s="73">
        <f t="shared" si="12"/>
        <v>17694.15254</v>
      </c>
      <c r="AA319" s="73">
        <f t="shared" si="13"/>
        <v>17694.15254</v>
      </c>
      <c r="AB319" s="74">
        <f t="shared" si="14"/>
        <v>1</v>
      </c>
      <c r="AC319" s="61" t="str">
        <f t="shared" si="15"/>
        <v>8</v>
      </c>
      <c r="AD319" s="71" t="str">
        <f t="shared" si="16"/>
        <v>#DIV/0!</v>
      </c>
      <c r="AE319" s="61"/>
      <c r="AF319" s="61"/>
      <c r="AG319" s="71">
        <f t="array" ref="AG319">IFERROR(xlookup(G319,'Old Master'!T:T,'Old Master'!V:V),N319)</f>
        <v>0.3242791029</v>
      </c>
      <c r="AH319" s="73">
        <f t="shared" si="229"/>
        <v>20879.1</v>
      </c>
      <c r="AI319" s="73">
        <f t="shared" si="230"/>
        <v>17694.15254</v>
      </c>
      <c r="AJ319" s="72">
        <f t="shared" si="19"/>
        <v>1</v>
      </c>
      <c r="AK319" s="61"/>
      <c r="AL319" s="71">
        <f t="array" ref="AL319">iferror(if(isblank(xlookup($G319,'Old Master'!$T:$T,'Old Master'!$W:$W)),AG319,xlookup($G319,'Old Master'!$T:$T,'Old Master'!$W:$W)),AG319)</f>
        <v>0.3242791029</v>
      </c>
      <c r="AM319" s="74">
        <f t="shared" si="20"/>
        <v>0.3236350691</v>
      </c>
      <c r="AN319" s="73">
        <f t="shared" ref="AN319:AN324" si="298">mround($I319*(1-AL319),100)-1</f>
        <v>20899</v>
      </c>
    </row>
    <row r="320">
      <c r="A320" s="65" t="s">
        <v>5369</v>
      </c>
      <c r="B320" s="65">
        <f t="shared" si="1"/>
        <v>78</v>
      </c>
      <c r="C320" s="65" t="str">
        <f t="shared" si="248"/>
        <v>SC-LTx-ORTHO-K-84x80x8</v>
      </c>
      <c r="D320" s="65" t="s">
        <v>4249</v>
      </c>
      <c r="E320" s="65">
        <v>0.0</v>
      </c>
      <c r="F320" s="65" t="s">
        <v>4250</v>
      </c>
      <c r="G320" s="65" t="s">
        <v>5118</v>
      </c>
      <c r="H320" s="65" t="s">
        <v>52</v>
      </c>
      <c r="I320" s="81">
        <v>33299.0</v>
      </c>
      <c r="J320" s="66">
        <v>0.23</v>
      </c>
      <c r="K320" s="81">
        <f t="shared" si="3"/>
        <v>25640</v>
      </c>
      <c r="L320" s="66">
        <v>0.2</v>
      </c>
      <c r="M320" s="81">
        <f t="shared" si="4"/>
        <v>26639</v>
      </c>
      <c r="N320" s="67">
        <f t="shared" si="275"/>
        <v>0.324331061</v>
      </c>
      <c r="O320" s="68">
        <v>22499.100000000002</v>
      </c>
      <c r="P320" s="75">
        <v>0.1</v>
      </c>
      <c r="Q320" s="68">
        <f t="shared" si="296"/>
        <v>29969.1</v>
      </c>
      <c r="R320" s="70"/>
      <c r="S320" s="71">
        <f t="shared" si="297"/>
        <v>-0.1554074853</v>
      </c>
      <c r="T320" s="72">
        <f t="shared" si="6"/>
        <v>0</v>
      </c>
      <c r="U320" s="73" t="str">
        <f t="shared" si="293"/>
        <v/>
      </c>
      <c r="V320" s="73">
        <f t="shared" si="294"/>
        <v>22575.42373</v>
      </c>
      <c r="W320" s="73">
        <f t="shared" si="9"/>
        <v>22575.42373</v>
      </c>
      <c r="X320" s="74">
        <f t="shared" si="10"/>
        <v>1</v>
      </c>
      <c r="Y320" s="73">
        <f t="shared" si="11"/>
        <v>0</v>
      </c>
      <c r="Z320" s="73">
        <f t="shared" si="12"/>
        <v>19067.0339</v>
      </c>
      <c r="AA320" s="73">
        <f t="shared" si="13"/>
        <v>19067.0339</v>
      </c>
      <c r="AB320" s="74">
        <f t="shared" si="14"/>
        <v>1</v>
      </c>
      <c r="AC320" s="61" t="str">
        <f t="shared" si="15"/>
        <v>8</v>
      </c>
      <c r="AD320" s="71" t="str">
        <f t="shared" si="16"/>
        <v>#DIV/0!</v>
      </c>
      <c r="AE320" s="61"/>
      <c r="AF320" s="61"/>
      <c r="AG320" s="71">
        <f t="array" ref="AG320">IFERROR(xlookup(G320,'Old Master'!T:T,'Old Master'!V:V),N320)</f>
        <v>0.324331061</v>
      </c>
      <c r="AH320" s="73">
        <f t="shared" si="229"/>
        <v>22499.1</v>
      </c>
      <c r="AI320" s="73">
        <f t="shared" si="230"/>
        <v>19067.0339</v>
      </c>
      <c r="AJ320" s="72">
        <f t="shared" si="19"/>
        <v>1</v>
      </c>
      <c r="AK320" s="61"/>
      <c r="AL320" s="71">
        <f t="array" ref="AL320">iferror(if(isblank(xlookup($G320,'Old Master'!$T:$T,'Old Master'!$W:$W)),AG320,xlookup($G320,'Old Master'!$T:$T,'Old Master'!$W:$W)),AG320)</f>
        <v>0.324331061</v>
      </c>
      <c r="AM320" s="74">
        <f t="shared" si="20"/>
        <v>0.3243340641</v>
      </c>
      <c r="AN320" s="73">
        <f t="shared" si="298"/>
        <v>22499</v>
      </c>
    </row>
    <row r="321">
      <c r="A321" s="65" t="s">
        <v>5370</v>
      </c>
      <c r="B321" s="65">
        <f t="shared" si="1"/>
        <v>66</v>
      </c>
      <c r="C321" s="65" t="str">
        <f t="shared" si="248"/>
        <v>SC-LTx-ORTHO-Q-72x68x6</v>
      </c>
      <c r="D321" s="65" t="s">
        <v>4162</v>
      </c>
      <c r="E321" s="65">
        <v>0.0</v>
      </c>
      <c r="F321" s="65" t="s">
        <v>4163</v>
      </c>
      <c r="G321" s="65" t="s">
        <v>5118</v>
      </c>
      <c r="H321" s="65" t="s">
        <v>52</v>
      </c>
      <c r="I321" s="81">
        <v>22899.0</v>
      </c>
      <c r="J321" s="66">
        <v>0.23</v>
      </c>
      <c r="K321" s="81">
        <f t="shared" si="3"/>
        <v>17632</v>
      </c>
      <c r="L321" s="66">
        <v>0.2</v>
      </c>
      <c r="M321" s="81">
        <f t="shared" si="4"/>
        <v>18319</v>
      </c>
      <c r="N321" s="67">
        <f t="shared" si="275"/>
        <v>0.3240272501</v>
      </c>
      <c r="O321" s="68">
        <v>15479.1</v>
      </c>
      <c r="P321" s="75">
        <v>0.1</v>
      </c>
      <c r="Q321" s="68">
        <f t="shared" si="296"/>
        <v>20609.1</v>
      </c>
      <c r="R321" s="70"/>
      <c r="S321" s="71">
        <f t="shared" si="297"/>
        <v>-0.1550248376</v>
      </c>
      <c r="T321" s="72">
        <f t="shared" si="6"/>
        <v>0</v>
      </c>
      <c r="U321" s="73" t="str">
        <f t="shared" si="293"/>
        <v/>
      </c>
      <c r="V321" s="73">
        <f t="shared" si="294"/>
        <v>15524.57627</v>
      </c>
      <c r="W321" s="73">
        <f t="shared" si="9"/>
        <v>15524.57627</v>
      </c>
      <c r="X321" s="74">
        <f t="shared" si="10"/>
        <v>1</v>
      </c>
      <c r="Y321" s="73">
        <f t="shared" si="11"/>
        <v>0</v>
      </c>
      <c r="Z321" s="73">
        <f t="shared" si="12"/>
        <v>13117.88136</v>
      </c>
      <c r="AA321" s="73">
        <f t="shared" si="13"/>
        <v>13117.88136</v>
      </c>
      <c r="AB321" s="74">
        <f t="shared" si="14"/>
        <v>1</v>
      </c>
      <c r="AC321" s="61" t="str">
        <f t="shared" si="15"/>
        <v>6</v>
      </c>
      <c r="AD321" s="71" t="str">
        <f t="shared" si="16"/>
        <v>#DIV/0!</v>
      </c>
      <c r="AE321" s="61"/>
      <c r="AF321" s="61"/>
      <c r="AG321" s="71">
        <f t="array" ref="AG321">IFERROR(xlookup(G321,'Old Master'!T:T,'Old Master'!V:V),N321)</f>
        <v>0.3240272501</v>
      </c>
      <c r="AH321" s="73">
        <f t="shared" si="229"/>
        <v>15479.1</v>
      </c>
      <c r="AI321" s="73">
        <f t="shared" si="230"/>
        <v>13117.88136</v>
      </c>
      <c r="AJ321" s="72">
        <f t="shared" si="19"/>
        <v>1</v>
      </c>
      <c r="AK321" s="61"/>
      <c r="AL321" s="71">
        <f t="array" ref="AL321">iferror(if(isblank(xlookup($G321,'Old Master'!$T:$T,'Old Master'!$W:$W)),AG321,xlookup($G321,'Old Master'!$T:$T,'Old Master'!$W:$W)),AG321)</f>
        <v>0.3240272501</v>
      </c>
      <c r="AM321" s="74">
        <f t="shared" si="20"/>
        <v>0.3231582165</v>
      </c>
      <c r="AN321" s="73">
        <f t="shared" si="298"/>
        <v>15499</v>
      </c>
    </row>
    <row r="322">
      <c r="A322" s="65" t="s">
        <v>5371</v>
      </c>
      <c r="B322" s="65">
        <f t="shared" si="1"/>
        <v>30</v>
      </c>
      <c r="C322" s="65" t="str">
        <f t="shared" si="248"/>
        <v>SC-LTx-ORTHO-S-72x32x5</v>
      </c>
      <c r="D322" s="65" t="s">
        <v>4003</v>
      </c>
      <c r="E322" s="65">
        <v>0.0</v>
      </c>
      <c r="F322" s="65" t="s">
        <v>4004</v>
      </c>
      <c r="G322" s="65" t="s">
        <v>5118</v>
      </c>
      <c r="H322" s="65" t="s">
        <v>52</v>
      </c>
      <c r="I322" s="81">
        <v>9999.0</v>
      </c>
      <c r="J322" s="66">
        <v>0.23</v>
      </c>
      <c r="K322" s="81">
        <f t="shared" si="3"/>
        <v>7699</v>
      </c>
      <c r="L322" s="66">
        <v>0.2</v>
      </c>
      <c r="M322" s="81">
        <f t="shared" si="4"/>
        <v>7999</v>
      </c>
      <c r="N322" s="67">
        <f t="shared" si="275"/>
        <v>0.3250225023</v>
      </c>
      <c r="O322" s="68">
        <v>6749.1</v>
      </c>
      <c r="P322" s="75">
        <v>0.1</v>
      </c>
      <c r="Q322" s="68">
        <f t="shared" si="296"/>
        <v>8999.1</v>
      </c>
      <c r="R322" s="70"/>
      <c r="S322" s="71">
        <f t="shared" si="297"/>
        <v>-0.1562570321</v>
      </c>
      <c r="T322" s="72">
        <f t="shared" si="6"/>
        <v>0</v>
      </c>
      <c r="U322" s="73" t="str">
        <f t="shared" si="293"/>
        <v/>
      </c>
      <c r="V322" s="73">
        <f t="shared" si="294"/>
        <v>6778.813559</v>
      </c>
      <c r="W322" s="73">
        <f t="shared" si="9"/>
        <v>6778.813559</v>
      </c>
      <c r="X322" s="74">
        <f t="shared" si="10"/>
        <v>1</v>
      </c>
      <c r="Y322" s="73">
        <f t="shared" si="11"/>
        <v>0</v>
      </c>
      <c r="Z322" s="73">
        <f t="shared" si="12"/>
        <v>5719.576271</v>
      </c>
      <c r="AA322" s="73">
        <f t="shared" si="13"/>
        <v>5719.576271</v>
      </c>
      <c r="AB322" s="74">
        <f t="shared" si="14"/>
        <v>1</v>
      </c>
      <c r="AC322" s="61" t="str">
        <f t="shared" si="15"/>
        <v>5</v>
      </c>
      <c r="AD322" s="71" t="str">
        <f t="shared" si="16"/>
        <v>#DIV/0!</v>
      </c>
      <c r="AE322" s="61"/>
      <c r="AF322" s="61"/>
      <c r="AG322" s="71">
        <f t="array" ref="AG322">IFERROR(xlookup(G322,'Old Master'!T:T,'Old Master'!V:V),N322)</f>
        <v>0.3250225023</v>
      </c>
      <c r="AH322" s="73">
        <f t="shared" si="229"/>
        <v>6749.1</v>
      </c>
      <c r="AI322" s="73">
        <f t="shared" si="230"/>
        <v>5719.576271</v>
      </c>
      <c r="AJ322" s="72">
        <f t="shared" si="19"/>
        <v>1</v>
      </c>
      <c r="AK322" s="61"/>
      <c r="AL322" s="71">
        <f t="array" ref="AL322">iferror(if(isblank(xlookup($G322,'Old Master'!$T:$T,'Old Master'!$W:$W)),AG322,xlookup($G322,'Old Master'!$T:$T,'Old Master'!$W:$W)),AG322)</f>
        <v>0.3250225023</v>
      </c>
      <c r="AM322" s="74">
        <f t="shared" si="20"/>
        <v>0.3300330033</v>
      </c>
      <c r="AN322" s="73">
        <f t="shared" si="298"/>
        <v>6699</v>
      </c>
    </row>
    <row r="323">
      <c r="A323" s="65" t="s">
        <v>5372</v>
      </c>
      <c r="B323" s="65">
        <f t="shared" si="1"/>
        <v>36</v>
      </c>
      <c r="C323" s="65" t="str">
        <f t="shared" si="248"/>
        <v>SC-LTx-ORTHO-S-75x38x6</v>
      </c>
      <c r="D323" s="65" t="s">
        <v>3946</v>
      </c>
      <c r="E323" s="65">
        <v>0.0</v>
      </c>
      <c r="F323" s="65" t="s">
        <v>3947</v>
      </c>
      <c r="G323" s="65" t="s">
        <v>5118</v>
      </c>
      <c r="H323" s="65" t="s">
        <v>52</v>
      </c>
      <c r="I323" s="81">
        <v>13299.0</v>
      </c>
      <c r="J323" s="66">
        <v>0.23</v>
      </c>
      <c r="K323" s="81">
        <f t="shared" si="3"/>
        <v>10240</v>
      </c>
      <c r="L323" s="66">
        <v>0.2</v>
      </c>
      <c r="M323" s="81">
        <f t="shared" si="4"/>
        <v>10639</v>
      </c>
      <c r="N323" s="67">
        <f t="shared" si="275"/>
        <v>0.323325062</v>
      </c>
      <c r="O323" s="68">
        <v>8999.1</v>
      </c>
      <c r="P323" s="75">
        <v>0.1</v>
      </c>
      <c r="Q323" s="68">
        <f t="shared" si="296"/>
        <v>11969.1</v>
      </c>
      <c r="R323" s="70"/>
      <c r="S323" s="71">
        <f t="shared" si="297"/>
        <v>-0.1541404267</v>
      </c>
      <c r="T323" s="72">
        <f t="shared" si="6"/>
        <v>0</v>
      </c>
      <c r="U323" s="73" t="str">
        <f t="shared" si="293"/>
        <v/>
      </c>
      <c r="V323" s="73">
        <f t="shared" si="294"/>
        <v>9016.101695</v>
      </c>
      <c r="W323" s="73">
        <f t="shared" si="9"/>
        <v>9016.101695</v>
      </c>
      <c r="X323" s="74">
        <f t="shared" si="10"/>
        <v>1</v>
      </c>
      <c r="Y323" s="73">
        <f t="shared" si="11"/>
        <v>0</v>
      </c>
      <c r="Z323" s="73">
        <f t="shared" si="12"/>
        <v>7626.355932</v>
      </c>
      <c r="AA323" s="73">
        <f t="shared" si="13"/>
        <v>7626.355932</v>
      </c>
      <c r="AB323" s="74">
        <f t="shared" si="14"/>
        <v>1</v>
      </c>
      <c r="AC323" s="61" t="str">
        <f t="shared" si="15"/>
        <v>6</v>
      </c>
      <c r="AD323" s="71" t="str">
        <f t="shared" si="16"/>
        <v>#DIV/0!</v>
      </c>
      <c r="AE323" s="61"/>
      <c r="AF323" s="61"/>
      <c r="AG323" s="71">
        <f t="array" ref="AG323">IFERROR(xlookup(G323,'Old Master'!T:T,'Old Master'!V:V),N323)</f>
        <v>0.323325062</v>
      </c>
      <c r="AH323" s="73">
        <f t="shared" si="229"/>
        <v>8999.1</v>
      </c>
      <c r="AI323" s="73">
        <f t="shared" si="230"/>
        <v>7626.355932</v>
      </c>
      <c r="AJ323" s="72">
        <f t="shared" si="19"/>
        <v>1</v>
      </c>
      <c r="AK323" s="61"/>
      <c r="AL323" s="71">
        <f t="array" ref="AL323">iferror(if(isblank(xlookup($G323,'Old Master'!$T:$T,'Old Master'!$W:$W)),AG323,xlookup($G323,'Old Master'!$T:$T,'Old Master'!$W:$W)),AG323)</f>
        <v>0.323325062</v>
      </c>
      <c r="AM323" s="74">
        <f t="shared" si="20"/>
        <v>0.3233325814</v>
      </c>
      <c r="AN323" s="73">
        <f t="shared" si="298"/>
        <v>8999</v>
      </c>
    </row>
    <row r="324">
      <c r="A324" s="65" t="s">
        <v>5373</v>
      </c>
      <c r="B324" s="65" t="str">
        <f t="shared" si="1"/>
        <v>#VALUE!</v>
      </c>
      <c r="C324" s="65" t="str">
        <f t="shared" si="248"/>
        <v>#VALUE!</v>
      </c>
      <c r="D324" s="65" t="s">
        <v>3515</v>
      </c>
      <c r="E324" s="65" t="s">
        <v>3513</v>
      </c>
      <c r="F324" s="65" t="s">
        <v>3513</v>
      </c>
      <c r="G324" s="65" t="s">
        <v>5106</v>
      </c>
      <c r="H324" s="65" t="s">
        <v>4730</v>
      </c>
      <c r="I324" s="65">
        <v>3989.0</v>
      </c>
      <c r="J324" s="66">
        <v>0.24818250188017044</v>
      </c>
      <c r="K324" s="65">
        <f t="shared" si="3"/>
        <v>2999</v>
      </c>
      <c r="L324" s="66">
        <v>0.15</v>
      </c>
      <c r="M324" s="65">
        <f t="shared" si="4"/>
        <v>3391</v>
      </c>
      <c r="N324" s="67">
        <f t="shared" si="275"/>
        <v>0.1479067435</v>
      </c>
      <c r="O324" s="78">
        <v>3399.0</v>
      </c>
      <c r="P324" s="67">
        <f t="shared" ref="P324:P358" si="299">1-Q324/I324</f>
        <v>0.1479067435</v>
      </c>
      <c r="Q324" s="79">
        <v>3399.0</v>
      </c>
      <c r="R324" s="70"/>
      <c r="S324" s="71">
        <f t="shared" ref="S324:S327" si="300">O324/K324-1</f>
        <v>0.1333777926</v>
      </c>
      <c r="T324" s="72">
        <f t="shared" si="6"/>
        <v>0</v>
      </c>
      <c r="U324" s="73" t="str">
        <f t="shared" si="293"/>
        <v/>
      </c>
      <c r="V324" s="73">
        <f t="shared" si="294"/>
        <v>2873.728814</v>
      </c>
      <c r="W324" s="73">
        <f t="shared" si="9"/>
        <v>2873.728814</v>
      </c>
      <c r="X324" s="74">
        <f t="shared" si="10"/>
        <v>1</v>
      </c>
      <c r="Y324" s="73">
        <f t="shared" si="11"/>
        <v>0</v>
      </c>
      <c r="Z324" s="73">
        <f t="shared" si="12"/>
        <v>2880.508475</v>
      </c>
      <c r="AA324" s="73">
        <f t="shared" si="13"/>
        <v>2880.508475</v>
      </c>
      <c r="AB324" s="74">
        <f t="shared" si="14"/>
        <v>1</v>
      </c>
      <c r="AC324" s="61" t="str">
        <f t="shared" si="15"/>
        <v>0</v>
      </c>
      <c r="AD324" s="71" t="str">
        <f t="shared" si="16"/>
        <v>#DIV/0!</v>
      </c>
      <c r="AE324" s="61"/>
      <c r="AF324" s="61"/>
      <c r="AG324" s="71">
        <f t="array" ref="AG324">IFERROR(xlookup(G324,'Old Master'!T:T,'Old Master'!V:V),N324)</f>
        <v>0.1479067435</v>
      </c>
      <c r="AH324" s="73">
        <f t="shared" si="229"/>
        <v>3399</v>
      </c>
      <c r="AI324" s="73">
        <f t="shared" si="230"/>
        <v>2880.508475</v>
      </c>
      <c r="AJ324" s="72">
        <f t="shared" si="19"/>
        <v>1</v>
      </c>
      <c r="AK324" s="61"/>
      <c r="AL324" s="71">
        <f t="array" ref="AL324">iferror(if(isblank(xlookup($G324,'Old Master'!$T:$T,'Old Master'!$W:$W)),AG324,xlookup($G324,'Old Master'!$T:$T,'Old Master'!$W:$W)),AG324)</f>
        <v>0.1479067435</v>
      </c>
      <c r="AM324" s="74">
        <f t="shared" si="20"/>
        <v>0.1479067435</v>
      </c>
      <c r="AN324" s="73">
        <f t="shared" si="298"/>
        <v>3399</v>
      </c>
    </row>
    <row r="325">
      <c r="A325" s="65" t="s">
        <v>1981</v>
      </c>
      <c r="B325" s="65" t="str">
        <f t="shared" si="1"/>
        <v>#VALUE!</v>
      </c>
      <c r="C325" s="65" t="str">
        <f t="shared" si="248"/>
        <v>#VALUE!</v>
      </c>
      <c r="D325" s="65" t="s">
        <v>1983</v>
      </c>
      <c r="E325" s="65" t="s">
        <v>1984</v>
      </c>
      <c r="F325" s="65" t="s">
        <v>1985</v>
      </c>
      <c r="G325" s="65" t="s">
        <v>5132</v>
      </c>
      <c r="H325" s="65" t="s">
        <v>4730</v>
      </c>
      <c r="I325" s="65">
        <v>5499.0</v>
      </c>
      <c r="J325" s="66">
        <v>0.35097290416439353</v>
      </c>
      <c r="K325" s="65">
        <f t="shared" si="3"/>
        <v>3569</v>
      </c>
      <c r="L325" s="66">
        <v>0.15</v>
      </c>
      <c r="M325" s="65">
        <f t="shared" si="4"/>
        <v>4674</v>
      </c>
      <c r="N325" s="67">
        <f t="shared" si="275"/>
        <v>0.250954719</v>
      </c>
      <c r="O325" s="68">
        <v>4119.0</v>
      </c>
      <c r="P325" s="67">
        <f t="shared" si="299"/>
        <v>0.250954719</v>
      </c>
      <c r="Q325" s="69">
        <v>4119.0</v>
      </c>
      <c r="R325" s="70"/>
      <c r="S325" s="71">
        <f t="shared" si="300"/>
        <v>0.1541047913</v>
      </c>
      <c r="T325" s="72">
        <f t="shared" si="6"/>
        <v>0</v>
      </c>
      <c r="U325" s="73" t="str">
        <f t="shared" si="293"/>
        <v/>
      </c>
      <c r="V325" s="73">
        <f t="shared" ref="V325:V327" si="301">K325/1.18</f>
        <v>3024.576271</v>
      </c>
      <c r="W325" s="73">
        <f t="shared" si="9"/>
        <v>3024.576271</v>
      </c>
      <c r="X325" s="74">
        <f t="shared" si="10"/>
        <v>1</v>
      </c>
      <c r="Y325" s="73">
        <f t="shared" si="11"/>
        <v>0</v>
      </c>
      <c r="Z325" s="73">
        <f t="shared" si="12"/>
        <v>3490.677966</v>
      </c>
      <c r="AA325" s="73">
        <f t="shared" si="13"/>
        <v>3490.677966</v>
      </c>
      <c r="AB325" s="74">
        <f t="shared" si="14"/>
        <v>1</v>
      </c>
      <c r="AC325" s="61" t="str">
        <f t="shared" si="15"/>
        <v>8</v>
      </c>
      <c r="AD325" s="71" t="str">
        <f t="shared" si="16"/>
        <v>#DIV/0!</v>
      </c>
      <c r="AE325" s="61"/>
      <c r="AF325" s="61"/>
      <c r="AG325" s="71">
        <f t="array" ref="AG325">IFERROR(xlookup(G325,'Old Master'!T:T,'Old Master'!V:V),N325)</f>
        <v>0.250954719</v>
      </c>
      <c r="AH325" s="73">
        <f t="shared" si="229"/>
        <v>4119</v>
      </c>
      <c r="AI325" s="73">
        <f t="shared" si="230"/>
        <v>3490.677966</v>
      </c>
      <c r="AJ325" s="72">
        <f t="shared" si="19"/>
        <v>1</v>
      </c>
      <c r="AK325" s="61"/>
      <c r="AL325" s="71">
        <f t="array" ref="AL325">iferror(if(isblank(xlookup($G325,'Old Master'!$T:$T,'Old Master'!$W:$W)),AG325,xlookup($G325,'Old Master'!$T:$T,'Old Master'!$W:$W)),AG325)</f>
        <v>0.250954719</v>
      </c>
      <c r="AM325" s="74">
        <f t="shared" si="20"/>
        <v>0.250954719</v>
      </c>
      <c r="AN325" s="73">
        <f>O325</f>
        <v>4119</v>
      </c>
    </row>
    <row r="326">
      <c r="A326" s="65" t="s">
        <v>1994</v>
      </c>
      <c r="B326" s="65" t="str">
        <f t="shared" si="1"/>
        <v>#VALUE!</v>
      </c>
      <c r="C326" s="65" t="str">
        <f t="shared" si="248"/>
        <v>#VALUE!</v>
      </c>
      <c r="D326" s="65" t="s">
        <v>1996</v>
      </c>
      <c r="E326" s="65" t="s">
        <v>1997</v>
      </c>
      <c r="F326" s="65" t="s">
        <v>1998</v>
      </c>
      <c r="G326" s="65" t="s">
        <v>5132</v>
      </c>
      <c r="H326" s="65" t="s">
        <v>4730</v>
      </c>
      <c r="I326" s="65">
        <v>6499.0</v>
      </c>
      <c r="J326" s="66">
        <v>0.3009364487680698</v>
      </c>
      <c r="K326" s="65">
        <f t="shared" si="3"/>
        <v>4543</v>
      </c>
      <c r="L326" s="66">
        <v>0.15</v>
      </c>
      <c r="M326" s="65">
        <f t="shared" si="4"/>
        <v>5524</v>
      </c>
      <c r="N326" s="67">
        <f t="shared" si="275"/>
        <v>0.2509616864</v>
      </c>
      <c r="O326" s="68">
        <v>4868.0</v>
      </c>
      <c r="P326" s="67">
        <f t="shared" si="299"/>
        <v>0.2509616864</v>
      </c>
      <c r="Q326" s="69">
        <v>4868.0</v>
      </c>
      <c r="R326" s="70"/>
      <c r="S326" s="71">
        <f t="shared" si="300"/>
        <v>0.07153863086</v>
      </c>
      <c r="T326" s="72">
        <f t="shared" si="6"/>
        <v>0</v>
      </c>
      <c r="U326" s="73" t="str">
        <f t="shared" si="293"/>
        <v/>
      </c>
      <c r="V326" s="73">
        <f t="shared" si="301"/>
        <v>3850</v>
      </c>
      <c r="W326" s="73">
        <f t="shared" si="9"/>
        <v>3850</v>
      </c>
      <c r="X326" s="74">
        <f t="shared" si="10"/>
        <v>1</v>
      </c>
      <c r="Y326" s="73">
        <f t="shared" si="11"/>
        <v>0</v>
      </c>
      <c r="Z326" s="73">
        <f t="shared" si="12"/>
        <v>4125.423729</v>
      </c>
      <c r="AA326" s="73">
        <f t="shared" si="13"/>
        <v>4125.423729</v>
      </c>
      <c r="AB326" s="74">
        <f t="shared" si="14"/>
        <v>1</v>
      </c>
      <c r="AC326" s="61" t="str">
        <f t="shared" si="15"/>
        <v>0</v>
      </c>
      <c r="AD326" s="71" t="str">
        <f t="shared" si="16"/>
        <v>#DIV/0!</v>
      </c>
      <c r="AE326" s="61"/>
      <c r="AF326" s="61"/>
      <c r="AG326" s="71">
        <f t="array" ref="AG326">IFERROR(xlookup(G326,'Old Master'!T:T,'Old Master'!V:V),N326)</f>
        <v>0.2509616864</v>
      </c>
      <c r="AH326" s="73">
        <f t="shared" si="229"/>
        <v>4868</v>
      </c>
      <c r="AI326" s="73">
        <f t="shared" si="230"/>
        <v>4125.423729</v>
      </c>
      <c r="AJ326" s="72">
        <f t="shared" si="19"/>
        <v>1</v>
      </c>
      <c r="AK326" s="61"/>
      <c r="AL326" s="71">
        <f t="array" ref="AL326">iferror(if(isblank(xlookup($G326,'Old Master'!$T:$T,'Old Master'!$W:$W)),AG326,xlookup($G326,'Old Master'!$T:$T,'Old Master'!$W:$W)),AG326)</f>
        <v>0.2509616864</v>
      </c>
      <c r="AM326" s="74">
        <f t="shared" si="20"/>
        <v>0.2461917218</v>
      </c>
      <c r="AN326" s="73">
        <f>mround($I326*(1-AL326),100)-1</f>
        <v>4899</v>
      </c>
    </row>
    <row r="327">
      <c r="A327" s="65" t="s">
        <v>2143</v>
      </c>
      <c r="B327" s="65" t="str">
        <f t="shared" si="1"/>
        <v>#VALUE!</v>
      </c>
      <c r="C327" s="65" t="str">
        <f t="shared" si="248"/>
        <v>#VALUE!</v>
      </c>
      <c r="D327" s="65">
        <v>0.0</v>
      </c>
      <c r="E327" s="65" t="s">
        <v>2145</v>
      </c>
      <c r="F327" s="65">
        <v>0.0</v>
      </c>
      <c r="G327" s="65" t="s">
        <v>5103</v>
      </c>
      <c r="H327" s="65" t="s">
        <v>4730</v>
      </c>
      <c r="I327" s="65">
        <v>4999.0</v>
      </c>
      <c r="J327" s="66">
        <v>0.3</v>
      </c>
      <c r="K327" s="65">
        <f t="shared" si="3"/>
        <v>3499</v>
      </c>
      <c r="L327" s="66">
        <v>0.3</v>
      </c>
      <c r="M327" s="65">
        <f t="shared" si="4"/>
        <v>3499</v>
      </c>
      <c r="N327" s="67">
        <f t="shared" si="275"/>
        <v>0.2</v>
      </c>
      <c r="O327" s="78">
        <v>3999.2000000000003</v>
      </c>
      <c r="P327" s="67">
        <f t="shared" si="299"/>
        <v>0.2</v>
      </c>
      <c r="Q327" s="82">
        <v>3999.2000000000003</v>
      </c>
      <c r="R327" s="70"/>
      <c r="S327" s="71">
        <f t="shared" si="300"/>
        <v>0.14295513</v>
      </c>
      <c r="T327" s="72">
        <f t="shared" si="6"/>
        <v>0</v>
      </c>
      <c r="U327" s="73" t="str">
        <f t="shared" si="293"/>
        <v/>
      </c>
      <c r="V327" s="73">
        <f t="shared" si="301"/>
        <v>2965.254237</v>
      </c>
      <c r="W327" s="73">
        <f t="shared" si="9"/>
        <v>2965.254237</v>
      </c>
      <c r="X327" s="74">
        <f t="shared" si="10"/>
        <v>1</v>
      </c>
      <c r="Y327" s="73">
        <f t="shared" si="11"/>
        <v>0</v>
      </c>
      <c r="Z327" s="73">
        <f t="shared" si="12"/>
        <v>3389.152542</v>
      </c>
      <c r="AA327" s="73">
        <f t="shared" si="13"/>
        <v>3389.152542</v>
      </c>
      <c r="AB327" s="74">
        <f t="shared" si="14"/>
        <v>1</v>
      </c>
      <c r="AC327" s="61" t="str">
        <f t="shared" si="15"/>
        <v>6</v>
      </c>
      <c r="AD327" s="71" t="str">
        <f t="shared" si="16"/>
        <v>#DIV/0!</v>
      </c>
      <c r="AE327" s="61"/>
      <c r="AF327" s="61"/>
      <c r="AG327" s="71">
        <f t="array" ref="AG327">IFERROR(xlookup(G327,'Old Master'!T:T,'Old Master'!V:V),N327)</f>
        <v>0.2</v>
      </c>
      <c r="AH327" s="73">
        <f t="shared" si="229"/>
        <v>3999.2</v>
      </c>
      <c r="AI327" s="73">
        <f t="shared" si="230"/>
        <v>3389.152542</v>
      </c>
      <c r="AJ327" s="72">
        <f t="shared" si="19"/>
        <v>1</v>
      </c>
      <c r="AK327" s="61"/>
      <c r="AL327" s="71">
        <f t="array" ref="AL327">iferror(if(isblank(xlookup($G327,'Old Master'!$T:$T,'Old Master'!$W:$W)),AG327,xlookup($G327,'Old Master'!$T:$T,'Old Master'!$W:$W)),AG327)</f>
        <v>0.2</v>
      </c>
      <c r="AM327" s="74">
        <f t="shared" si="20"/>
        <v>0.2</v>
      </c>
      <c r="AN327" s="73">
        <f>O327</f>
        <v>3999.2</v>
      </c>
    </row>
    <row r="328">
      <c r="A328" s="65" t="s">
        <v>134</v>
      </c>
      <c r="B328" s="65">
        <f t="shared" si="1"/>
        <v>36</v>
      </c>
      <c r="C328" s="65" t="str">
        <f t="shared" si="248"/>
        <v>SC-ORIG-S-75x38x5</v>
      </c>
      <c r="D328" s="65" t="s">
        <v>136</v>
      </c>
      <c r="E328" s="65">
        <v>0.0</v>
      </c>
      <c r="F328" s="65" t="s">
        <v>137</v>
      </c>
      <c r="G328" s="65" t="s">
        <v>51</v>
      </c>
      <c r="H328" s="65" t="s">
        <v>52</v>
      </c>
      <c r="I328" s="65">
        <v>10269.0</v>
      </c>
      <c r="J328" s="66">
        <v>0.28</v>
      </c>
      <c r="K328" s="65">
        <f t="shared" si="3"/>
        <v>7394</v>
      </c>
      <c r="L328" s="66">
        <v>0.24</v>
      </c>
      <c r="M328" s="65">
        <f t="shared" si="4"/>
        <v>7804</v>
      </c>
      <c r="N328" s="67">
        <f t="shared" si="275"/>
        <v>0.1899892881</v>
      </c>
      <c r="O328" s="68">
        <v>8318.0</v>
      </c>
      <c r="P328" s="67">
        <f t="shared" si="299"/>
        <v>0.1899892881</v>
      </c>
      <c r="Q328" s="69">
        <v>8318.0</v>
      </c>
      <c r="R328" s="76"/>
      <c r="S328" s="72">
        <f t="shared" ref="S328:S332" si="302">O328/M328-1</f>
        <v>0.06586365966</v>
      </c>
      <c r="T328" s="72">
        <f t="shared" si="6"/>
        <v>0</v>
      </c>
      <c r="U328" s="73" t="str">
        <f t="shared" si="293"/>
        <v/>
      </c>
      <c r="V328" s="73">
        <f t="shared" ref="V328:V401" si="303">M328/1.18</f>
        <v>6613.559322</v>
      </c>
      <c r="W328" s="73">
        <f t="shared" si="9"/>
        <v>6613.559322</v>
      </c>
      <c r="X328" s="74">
        <f t="shared" si="10"/>
        <v>1</v>
      </c>
      <c r="Y328" s="73">
        <f t="shared" si="11"/>
        <v>0</v>
      </c>
      <c r="Z328" s="73">
        <f t="shared" si="12"/>
        <v>7049.152542</v>
      </c>
      <c r="AA328" s="73">
        <f t="shared" si="13"/>
        <v>7049.152542</v>
      </c>
      <c r="AB328" s="74">
        <f t="shared" si="14"/>
        <v>1</v>
      </c>
      <c r="AC328" s="61" t="str">
        <f t="shared" si="15"/>
        <v>5</v>
      </c>
      <c r="AD328" s="71" t="str">
        <f t="shared" si="16"/>
        <v>#DIV/0!</v>
      </c>
      <c r="AE328" s="61"/>
      <c r="AF328" s="61"/>
      <c r="AG328" s="71">
        <f t="array" ref="AG328">IFERROR(xlookup(G328,'Old Master'!T:T,'Old Master'!V:V),N328)</f>
        <v>0.1899892881</v>
      </c>
      <c r="AH328" s="73">
        <f t="shared" si="229"/>
        <v>8318</v>
      </c>
      <c r="AI328" s="73">
        <f t="shared" si="230"/>
        <v>7049.152542</v>
      </c>
      <c r="AJ328" s="72">
        <f t="shared" si="19"/>
        <v>1</v>
      </c>
      <c r="AK328" s="61"/>
      <c r="AL328" s="71">
        <f t="array" ref="AL328">iferror(if(isblank(xlookup($G328,'Old Master'!$T:$T,'Old Master'!$W:$W)),AG328,xlookup($G328,'Old Master'!$T:$T,'Old Master'!$W:$W)),AG328)</f>
        <v>0.1899892881</v>
      </c>
      <c r="AM328" s="74">
        <f t="shared" si="20"/>
        <v>0.191839517</v>
      </c>
      <c r="AN328" s="73">
        <f t="shared" ref="AN328:AN338" si="304">mround($I328*(1-AL328),100)-1</f>
        <v>8299</v>
      </c>
    </row>
    <row r="329">
      <c r="A329" s="65" t="s">
        <v>140</v>
      </c>
      <c r="B329" s="65">
        <f t="shared" si="1"/>
        <v>36</v>
      </c>
      <c r="C329" s="65" t="str">
        <f t="shared" si="248"/>
        <v>SC-ORIG-S-78x38x5</v>
      </c>
      <c r="D329" s="65" t="s">
        <v>142</v>
      </c>
      <c r="E329" s="65">
        <v>0.0</v>
      </c>
      <c r="F329" s="65" t="s">
        <v>143</v>
      </c>
      <c r="G329" s="65" t="s">
        <v>51</v>
      </c>
      <c r="H329" s="65" t="s">
        <v>52</v>
      </c>
      <c r="I329" s="65">
        <v>10409.0</v>
      </c>
      <c r="J329" s="66">
        <v>0.28</v>
      </c>
      <c r="K329" s="65">
        <f t="shared" si="3"/>
        <v>7494</v>
      </c>
      <c r="L329" s="66">
        <v>0.24</v>
      </c>
      <c r="M329" s="65">
        <f t="shared" si="4"/>
        <v>7911</v>
      </c>
      <c r="N329" s="67">
        <f t="shared" si="275"/>
        <v>0.1900278605</v>
      </c>
      <c r="O329" s="68">
        <v>8431.0</v>
      </c>
      <c r="P329" s="67">
        <f t="shared" si="299"/>
        <v>0.1900278605</v>
      </c>
      <c r="Q329" s="69">
        <v>8431.0</v>
      </c>
      <c r="R329" s="76"/>
      <c r="S329" s="72">
        <f t="shared" si="302"/>
        <v>0.06573126027</v>
      </c>
      <c r="T329" s="72">
        <f t="shared" si="6"/>
        <v>0</v>
      </c>
      <c r="U329" s="73" t="str">
        <f t="shared" si="293"/>
        <v/>
      </c>
      <c r="V329" s="73">
        <f t="shared" si="303"/>
        <v>6704.237288</v>
      </c>
      <c r="W329" s="73">
        <f t="shared" si="9"/>
        <v>6704.237288</v>
      </c>
      <c r="X329" s="74">
        <f t="shared" si="10"/>
        <v>1</v>
      </c>
      <c r="Y329" s="73">
        <f t="shared" si="11"/>
        <v>0</v>
      </c>
      <c r="Z329" s="73">
        <f t="shared" si="12"/>
        <v>7144.915254</v>
      </c>
      <c r="AA329" s="73">
        <f t="shared" si="13"/>
        <v>7144.915254</v>
      </c>
      <c r="AB329" s="74">
        <f t="shared" si="14"/>
        <v>1</v>
      </c>
      <c r="AC329" s="61" t="str">
        <f t="shared" si="15"/>
        <v>5</v>
      </c>
      <c r="AD329" s="71" t="str">
        <f t="shared" si="16"/>
        <v>#DIV/0!</v>
      </c>
      <c r="AE329" s="61"/>
      <c r="AF329" s="61"/>
      <c r="AG329" s="71">
        <f t="array" ref="AG329">IFERROR(xlookup(G329,'Old Master'!T:T,'Old Master'!V:V),N329)</f>
        <v>0.1900278605</v>
      </c>
      <c r="AH329" s="73">
        <f t="shared" si="229"/>
        <v>8431</v>
      </c>
      <c r="AI329" s="73">
        <f t="shared" si="230"/>
        <v>7144.915254</v>
      </c>
      <c r="AJ329" s="72">
        <f t="shared" si="19"/>
        <v>1</v>
      </c>
      <c r="AK329" s="61"/>
      <c r="AL329" s="71">
        <f t="array" ref="AL329">iferror(if(isblank(xlookup($G329,'Old Master'!$T:$T,'Old Master'!$W:$W)),AG329,xlookup($G329,'Old Master'!$T:$T,'Old Master'!$W:$W)),AG329)</f>
        <v>0.1900278605</v>
      </c>
      <c r="AM329" s="74">
        <f t="shared" si="20"/>
        <v>0.1931021232</v>
      </c>
      <c r="AN329" s="73">
        <f t="shared" si="304"/>
        <v>8399</v>
      </c>
    </row>
    <row r="330">
      <c r="A330" s="65" t="s">
        <v>67</v>
      </c>
      <c r="B330" s="65">
        <f t="shared" si="1"/>
        <v>36</v>
      </c>
      <c r="C330" s="65" t="str">
        <f t="shared" si="248"/>
        <v>SC-ORIG-S-75x38x8</v>
      </c>
      <c r="D330" s="65" t="s">
        <v>69</v>
      </c>
      <c r="E330" s="65" t="s">
        <v>70</v>
      </c>
      <c r="F330" s="65" t="s">
        <v>71</v>
      </c>
      <c r="G330" s="65" t="s">
        <v>51</v>
      </c>
      <c r="H330" s="65" t="s">
        <v>52</v>
      </c>
      <c r="I330" s="65">
        <v>11999.0</v>
      </c>
      <c r="J330" s="66">
        <v>0.28</v>
      </c>
      <c r="K330" s="65">
        <f t="shared" si="3"/>
        <v>8639</v>
      </c>
      <c r="L330" s="66">
        <v>0.24</v>
      </c>
      <c r="M330" s="65">
        <f t="shared" si="4"/>
        <v>9119</v>
      </c>
      <c r="N330" s="67">
        <f t="shared" si="275"/>
        <v>0.1900158347</v>
      </c>
      <c r="O330" s="68">
        <v>9719.0</v>
      </c>
      <c r="P330" s="67">
        <f t="shared" si="299"/>
        <v>0.1900158347</v>
      </c>
      <c r="Q330" s="69">
        <v>9719.0</v>
      </c>
      <c r="R330" s="76"/>
      <c r="S330" s="72">
        <f t="shared" si="302"/>
        <v>0.06579668823</v>
      </c>
      <c r="T330" s="72">
        <f t="shared" si="6"/>
        <v>0</v>
      </c>
      <c r="U330" s="73" t="str">
        <f t="shared" si="293"/>
        <v/>
      </c>
      <c r="V330" s="73">
        <f t="shared" si="303"/>
        <v>7727.966102</v>
      </c>
      <c r="W330" s="73">
        <f t="shared" si="9"/>
        <v>7727.966102</v>
      </c>
      <c r="X330" s="74">
        <f t="shared" si="10"/>
        <v>1</v>
      </c>
      <c r="Y330" s="73">
        <f t="shared" si="11"/>
        <v>0</v>
      </c>
      <c r="Z330" s="73">
        <f t="shared" si="12"/>
        <v>8236.440678</v>
      </c>
      <c r="AA330" s="73">
        <f t="shared" si="13"/>
        <v>8236.440678</v>
      </c>
      <c r="AB330" s="74">
        <f t="shared" si="14"/>
        <v>1</v>
      </c>
      <c r="AC330" s="61" t="str">
        <f t="shared" si="15"/>
        <v>8</v>
      </c>
      <c r="AD330" s="71" t="str">
        <f t="shared" si="16"/>
        <v>#DIV/0!</v>
      </c>
      <c r="AE330" s="61"/>
      <c r="AF330" s="61"/>
      <c r="AG330" s="71">
        <f t="array" ref="AG330">IFERROR(xlookup(G330,'Old Master'!T:T,'Old Master'!V:V),N330)</f>
        <v>0.1900158347</v>
      </c>
      <c r="AH330" s="73">
        <f t="shared" si="229"/>
        <v>9719</v>
      </c>
      <c r="AI330" s="73">
        <f t="shared" si="230"/>
        <v>8236.440678</v>
      </c>
      <c r="AJ330" s="72">
        <f t="shared" si="19"/>
        <v>1</v>
      </c>
      <c r="AK330" s="61"/>
      <c r="AL330" s="71">
        <f t="array" ref="AL330">iferror(if(isblank(xlookup($G330,'Old Master'!$T:$T,'Old Master'!$W:$W)),AG330,xlookup($G330,'Old Master'!$T:$T,'Old Master'!$W:$W)),AG330)</f>
        <v>0.1900158347</v>
      </c>
      <c r="AM330" s="74">
        <f t="shared" si="20"/>
        <v>0.1916826402</v>
      </c>
      <c r="AN330" s="73">
        <f t="shared" si="304"/>
        <v>9699</v>
      </c>
    </row>
    <row r="331">
      <c r="A331" s="65" t="s">
        <v>406</v>
      </c>
      <c r="B331" s="65">
        <f t="shared" si="1"/>
        <v>66</v>
      </c>
      <c r="C331" s="65" t="str">
        <f t="shared" si="248"/>
        <v>SC-ORIG-Q-75x68x8</v>
      </c>
      <c r="D331" s="65" t="s">
        <v>408</v>
      </c>
      <c r="E331" s="65" t="s">
        <v>409</v>
      </c>
      <c r="F331" s="65" t="s">
        <v>410</v>
      </c>
      <c r="G331" s="65" t="s">
        <v>51</v>
      </c>
      <c r="H331" s="65" t="s">
        <v>52</v>
      </c>
      <c r="I331" s="65">
        <v>19999.0</v>
      </c>
      <c r="J331" s="66">
        <v>0.28</v>
      </c>
      <c r="K331" s="65">
        <f t="shared" si="3"/>
        <v>14399</v>
      </c>
      <c r="L331" s="66">
        <v>0.24</v>
      </c>
      <c r="M331" s="65">
        <f t="shared" si="4"/>
        <v>15199</v>
      </c>
      <c r="N331" s="67">
        <f t="shared" si="275"/>
        <v>0.1900095005</v>
      </c>
      <c r="O331" s="68">
        <v>16199.0</v>
      </c>
      <c r="P331" s="67">
        <f t="shared" si="299"/>
        <v>0.1900095005</v>
      </c>
      <c r="Q331" s="69">
        <v>16199.0</v>
      </c>
      <c r="R331" s="76"/>
      <c r="S331" s="72">
        <f t="shared" si="302"/>
        <v>0.06579380222</v>
      </c>
      <c r="T331" s="72">
        <f t="shared" si="6"/>
        <v>0</v>
      </c>
      <c r="U331" s="73" t="str">
        <f t="shared" si="293"/>
        <v/>
      </c>
      <c r="V331" s="73">
        <f t="shared" si="303"/>
        <v>12880.50847</v>
      </c>
      <c r="W331" s="73">
        <f t="shared" si="9"/>
        <v>12880.50847</v>
      </c>
      <c r="X331" s="74">
        <f t="shared" si="10"/>
        <v>1</v>
      </c>
      <c r="Y331" s="73">
        <f t="shared" si="11"/>
        <v>0</v>
      </c>
      <c r="Z331" s="73">
        <f t="shared" si="12"/>
        <v>13727.9661</v>
      </c>
      <c r="AA331" s="73">
        <f t="shared" si="13"/>
        <v>13727.9661</v>
      </c>
      <c r="AB331" s="74">
        <f t="shared" si="14"/>
        <v>1</v>
      </c>
      <c r="AC331" s="61" t="str">
        <f t="shared" si="15"/>
        <v>8</v>
      </c>
      <c r="AD331" s="71" t="str">
        <f t="shared" si="16"/>
        <v>#DIV/0!</v>
      </c>
      <c r="AE331" s="61"/>
      <c r="AF331" s="61"/>
      <c r="AG331" s="71">
        <f t="array" ref="AG331">IFERROR(xlookup(G331,'Old Master'!T:T,'Old Master'!V:V),N331)</f>
        <v>0.1900095005</v>
      </c>
      <c r="AH331" s="73">
        <f t="shared" si="229"/>
        <v>16199</v>
      </c>
      <c r="AI331" s="73">
        <f t="shared" si="230"/>
        <v>13727.9661</v>
      </c>
      <c r="AJ331" s="72">
        <f t="shared" si="19"/>
        <v>1</v>
      </c>
      <c r="AK331" s="61"/>
      <c r="AL331" s="71">
        <f t="array" ref="AL331">iferror(if(isblank(xlookup($G331,'Old Master'!$T:$T,'Old Master'!$W:$W)),AG331,xlookup($G331,'Old Master'!$T:$T,'Old Master'!$W:$W)),AG331)</f>
        <v>0.1900095005</v>
      </c>
      <c r="AM331" s="74">
        <f t="shared" si="20"/>
        <v>0.1900095005</v>
      </c>
      <c r="AN331" s="73">
        <f t="shared" si="304"/>
        <v>16199</v>
      </c>
    </row>
    <row r="332">
      <c r="A332" s="65" t="s">
        <v>449</v>
      </c>
      <c r="B332" s="65">
        <f t="shared" si="1"/>
        <v>66</v>
      </c>
      <c r="C332" s="65" t="str">
        <f t="shared" si="248"/>
        <v>SC-ORIG-Q-75x68x10</v>
      </c>
      <c r="D332" s="65" t="s">
        <v>451</v>
      </c>
      <c r="E332" s="65" t="s">
        <v>452</v>
      </c>
      <c r="F332" s="65" t="s">
        <v>453</v>
      </c>
      <c r="G332" s="65" t="s">
        <v>51</v>
      </c>
      <c r="H332" s="65" t="s">
        <v>52</v>
      </c>
      <c r="I332" s="65">
        <v>21499.0</v>
      </c>
      <c r="J332" s="66">
        <v>0.28</v>
      </c>
      <c r="K332" s="65">
        <f t="shared" si="3"/>
        <v>15479</v>
      </c>
      <c r="L332" s="66">
        <v>0.24</v>
      </c>
      <c r="M332" s="65">
        <f t="shared" si="4"/>
        <v>16339</v>
      </c>
      <c r="N332" s="67">
        <f t="shared" si="275"/>
        <v>0.1900088376</v>
      </c>
      <c r="O332" s="68">
        <v>17414.0</v>
      </c>
      <c r="P332" s="67">
        <f t="shared" si="299"/>
        <v>0.1900088376</v>
      </c>
      <c r="Q332" s="69">
        <v>17414.0</v>
      </c>
      <c r="R332" s="76"/>
      <c r="S332" s="72">
        <f t="shared" si="302"/>
        <v>0.06579350021</v>
      </c>
      <c r="T332" s="72">
        <f t="shared" si="6"/>
        <v>0</v>
      </c>
      <c r="U332" s="73" t="str">
        <f t="shared" si="293"/>
        <v/>
      </c>
      <c r="V332" s="73">
        <f t="shared" si="303"/>
        <v>13846.61017</v>
      </c>
      <c r="W332" s="73">
        <f t="shared" si="9"/>
        <v>13846.61017</v>
      </c>
      <c r="X332" s="74">
        <f t="shared" si="10"/>
        <v>1</v>
      </c>
      <c r="Y332" s="73">
        <f t="shared" si="11"/>
        <v>0</v>
      </c>
      <c r="Z332" s="73">
        <f t="shared" si="12"/>
        <v>14757.62712</v>
      </c>
      <c r="AA332" s="73">
        <f t="shared" si="13"/>
        <v>14757.62712</v>
      </c>
      <c r="AB332" s="74">
        <f t="shared" si="14"/>
        <v>1</v>
      </c>
      <c r="AC332" s="61" t="str">
        <f t="shared" si="15"/>
        <v>0</v>
      </c>
      <c r="AD332" s="71" t="str">
        <f t="shared" si="16"/>
        <v>#DIV/0!</v>
      </c>
      <c r="AE332" s="61"/>
      <c r="AF332" s="61"/>
      <c r="AG332" s="71">
        <f t="array" ref="AG332">IFERROR(xlookup(G332,'Old Master'!T:T,'Old Master'!V:V),N332)</f>
        <v>0.1900088376</v>
      </c>
      <c r="AH332" s="73">
        <f t="shared" si="229"/>
        <v>17414</v>
      </c>
      <c r="AI332" s="73">
        <f t="shared" si="230"/>
        <v>14757.62712</v>
      </c>
      <c r="AJ332" s="72">
        <f t="shared" si="19"/>
        <v>1</v>
      </c>
      <c r="AK332" s="61"/>
      <c r="AL332" s="71">
        <f t="array" ref="AL332">iferror(if(isblank(xlookup($G332,'Old Master'!$T:$T,'Old Master'!$W:$W)),AG332,xlookup($G332,'Old Master'!$T:$T,'Old Master'!$W:$W)),AG332)</f>
        <v>0.1900088376</v>
      </c>
      <c r="AM332" s="74">
        <f t="shared" si="20"/>
        <v>0.1907065445</v>
      </c>
      <c r="AN332" s="73">
        <f t="shared" si="304"/>
        <v>17399</v>
      </c>
    </row>
    <row r="333">
      <c r="A333" s="65" t="s">
        <v>5374</v>
      </c>
      <c r="B333" s="65" t="str">
        <f t="shared" si="1"/>
        <v>#VALUE!</v>
      </c>
      <c r="C333" s="65" t="str">
        <f t="shared" si="248"/>
        <v>#VALUE!</v>
      </c>
      <c r="D333" s="65" t="s">
        <v>1190</v>
      </c>
      <c r="E333" s="65">
        <v>0.0</v>
      </c>
      <c r="F333" s="65" t="s">
        <v>1188</v>
      </c>
      <c r="G333" s="65" t="s">
        <v>1195</v>
      </c>
      <c r="H333" s="65" t="s">
        <v>5114</v>
      </c>
      <c r="I333" s="65">
        <v>2989.0</v>
      </c>
      <c r="J333" s="66">
        <v>0.2815485168426345</v>
      </c>
      <c r="K333" s="65">
        <f t="shared" si="3"/>
        <v>2147</v>
      </c>
      <c r="L333" s="66">
        <v>0.43</v>
      </c>
      <c r="M333" s="65">
        <f t="shared" si="4"/>
        <v>1704</v>
      </c>
      <c r="N333" s="67">
        <f t="shared" si="275"/>
        <v>0.2816995651</v>
      </c>
      <c r="O333" s="68">
        <v>2147.0</v>
      </c>
      <c r="P333" s="67">
        <f t="shared" si="299"/>
        <v>0.2816995651</v>
      </c>
      <c r="Q333" s="69">
        <v>2147.0</v>
      </c>
      <c r="R333" s="70"/>
      <c r="S333" s="71">
        <f t="shared" ref="S333:S347" si="305">O333/K333-1</f>
        <v>0</v>
      </c>
      <c r="T333" s="72">
        <f t="shared" si="6"/>
        <v>0</v>
      </c>
      <c r="U333" s="73" t="str">
        <f t="shared" si="293"/>
        <v/>
      </c>
      <c r="V333" s="73">
        <f t="shared" si="303"/>
        <v>1444.067797</v>
      </c>
      <c r="W333" s="73">
        <f t="shared" si="9"/>
        <v>1444.067797</v>
      </c>
      <c r="X333" s="74">
        <f t="shared" si="10"/>
        <v>1</v>
      </c>
      <c r="Y333" s="73">
        <f t="shared" si="11"/>
        <v>0</v>
      </c>
      <c r="Z333" s="73">
        <f t="shared" si="12"/>
        <v>1819.491525</v>
      </c>
      <c r="AA333" s="73">
        <f t="shared" si="13"/>
        <v>1819.491525</v>
      </c>
      <c r="AB333" s="74">
        <f t="shared" si="14"/>
        <v>1</v>
      </c>
      <c r="AC333" s="61" t="str">
        <f t="shared" si="15"/>
        <v>6</v>
      </c>
      <c r="AD333" s="71" t="str">
        <f t="shared" si="16"/>
        <v>#DIV/0!</v>
      </c>
      <c r="AE333" s="61"/>
      <c r="AF333" s="61"/>
      <c r="AG333" s="71">
        <f t="array" ref="AG333">IFERROR(xlookup(G333,'Old Master'!T:T,'Old Master'!V:V),N333)</f>
        <v>0.2816995651</v>
      </c>
      <c r="AH333" s="73">
        <f t="shared" si="229"/>
        <v>2147</v>
      </c>
      <c r="AI333" s="73">
        <f t="shared" si="230"/>
        <v>1819.491525</v>
      </c>
      <c r="AJ333" s="72">
        <f t="shared" si="19"/>
        <v>1</v>
      </c>
      <c r="AK333" s="61"/>
      <c r="AL333" s="71">
        <f t="array" ref="AL333">iferror(if(isblank(xlookup($G333,'Old Master'!$T:$T,'Old Master'!$W:$W)),AG333,xlookup($G333,'Old Master'!$T:$T,'Old Master'!$W:$W)),AG333)</f>
        <v>0.2816995651</v>
      </c>
      <c r="AM333" s="74">
        <f t="shared" si="20"/>
        <v>0.2977584476</v>
      </c>
      <c r="AN333" s="73">
        <f t="shared" si="304"/>
        <v>2099</v>
      </c>
    </row>
    <row r="334">
      <c r="A334" s="65" t="s">
        <v>1165</v>
      </c>
      <c r="B334" s="65" t="str">
        <f t="shared" si="1"/>
        <v>#VALUE!</v>
      </c>
      <c r="C334" s="65" t="str">
        <f t="shared" si="248"/>
        <v>#VALUE!</v>
      </c>
      <c r="D334" s="65" t="s">
        <v>1167</v>
      </c>
      <c r="E334" s="65">
        <v>0.0</v>
      </c>
      <c r="F334" s="65" t="s">
        <v>1165</v>
      </c>
      <c r="G334" s="65" t="s">
        <v>1195</v>
      </c>
      <c r="H334" s="65" t="s">
        <v>5114</v>
      </c>
      <c r="I334" s="65">
        <v>1989.0</v>
      </c>
      <c r="J334" s="66">
        <v>0.2815485168426345</v>
      </c>
      <c r="K334" s="65">
        <f t="shared" si="3"/>
        <v>1429</v>
      </c>
      <c r="L334" s="66">
        <v>0.0</v>
      </c>
      <c r="M334" s="65">
        <f t="shared" si="4"/>
        <v>1989</v>
      </c>
      <c r="N334" s="67">
        <f t="shared" si="275"/>
        <v>0.2815485168</v>
      </c>
      <c r="O334" s="68">
        <v>1429.0</v>
      </c>
      <c r="P334" s="67">
        <f t="shared" si="299"/>
        <v>0.2815485168</v>
      </c>
      <c r="Q334" s="69">
        <v>1429.0</v>
      </c>
      <c r="R334" s="70"/>
      <c r="S334" s="71">
        <f t="shared" si="305"/>
        <v>0</v>
      </c>
      <c r="T334" s="72">
        <f t="shared" si="6"/>
        <v>0</v>
      </c>
      <c r="U334" s="73" t="str">
        <f t="shared" si="293"/>
        <v/>
      </c>
      <c r="V334" s="73">
        <f t="shared" si="303"/>
        <v>1685.59322</v>
      </c>
      <c r="W334" s="73">
        <f t="shared" si="9"/>
        <v>1685.59322</v>
      </c>
      <c r="X334" s="74">
        <f t="shared" si="10"/>
        <v>1</v>
      </c>
      <c r="Y334" s="73">
        <f t="shared" si="11"/>
        <v>0</v>
      </c>
      <c r="Z334" s="73">
        <f t="shared" si="12"/>
        <v>1211.016949</v>
      </c>
      <c r="AA334" s="73">
        <f t="shared" si="13"/>
        <v>1211.016949</v>
      </c>
      <c r="AB334" s="74">
        <f t="shared" si="14"/>
        <v>1</v>
      </c>
      <c r="AC334" s="61" t="str">
        <f t="shared" si="15"/>
        <v>6</v>
      </c>
      <c r="AD334" s="71" t="str">
        <f t="shared" si="16"/>
        <v>#DIV/0!</v>
      </c>
      <c r="AE334" s="61"/>
      <c r="AF334" s="61"/>
      <c r="AG334" s="71">
        <f t="array" ref="AG334">IFERROR(xlookup(G334,'Old Master'!T:T,'Old Master'!V:V),N334)</f>
        <v>0.2815485168</v>
      </c>
      <c r="AH334" s="73">
        <f t="shared" si="229"/>
        <v>1429</v>
      </c>
      <c r="AI334" s="73">
        <f t="shared" si="230"/>
        <v>1211.016949</v>
      </c>
      <c r="AJ334" s="72">
        <f t="shared" si="19"/>
        <v>1</v>
      </c>
      <c r="AK334" s="61"/>
      <c r="AL334" s="71">
        <f t="array" ref="AL334">iferror(if(isblank(xlookup($G334,'Old Master'!$T:$T,'Old Master'!$W:$W)),AG334,xlookup($G334,'Old Master'!$T:$T,'Old Master'!$W:$W)),AG334)</f>
        <v>0.2815485168</v>
      </c>
      <c r="AM334" s="74">
        <f t="shared" si="20"/>
        <v>0.2966314731</v>
      </c>
      <c r="AN334" s="73">
        <f t="shared" si="304"/>
        <v>1399</v>
      </c>
    </row>
    <row r="335">
      <c r="A335" s="65" t="s">
        <v>5375</v>
      </c>
      <c r="B335" s="65" t="str">
        <f t="shared" si="1"/>
        <v>#VALUE!</v>
      </c>
      <c r="C335" s="65" t="str">
        <f t="shared" si="248"/>
        <v>#VALUE!</v>
      </c>
      <c r="D335" s="65" t="s">
        <v>2611</v>
      </c>
      <c r="E335" s="65">
        <v>0.0</v>
      </c>
      <c r="F335" s="65" t="s">
        <v>2609</v>
      </c>
      <c r="G335" s="65" t="s">
        <v>1195</v>
      </c>
      <c r="H335" s="65" t="s">
        <v>5114</v>
      </c>
      <c r="I335" s="65">
        <v>3489.0</v>
      </c>
      <c r="J335" s="66">
        <v>0.2815485168426345</v>
      </c>
      <c r="K335" s="65">
        <f t="shared" si="3"/>
        <v>2507</v>
      </c>
      <c r="L335" s="66">
        <v>0.0</v>
      </c>
      <c r="M335" s="65">
        <f t="shared" si="4"/>
        <v>3489</v>
      </c>
      <c r="N335" s="67">
        <f t="shared" si="275"/>
        <v>0.2814560046</v>
      </c>
      <c r="O335" s="68">
        <v>2507.0</v>
      </c>
      <c r="P335" s="67">
        <f t="shared" si="299"/>
        <v>0.2814560046</v>
      </c>
      <c r="Q335" s="69">
        <v>2507.0</v>
      </c>
      <c r="R335" s="70"/>
      <c r="S335" s="71">
        <f t="shared" si="305"/>
        <v>0</v>
      </c>
      <c r="T335" s="72">
        <f t="shared" si="6"/>
        <v>0</v>
      </c>
      <c r="U335" s="73" t="str">
        <f t="shared" si="293"/>
        <v/>
      </c>
      <c r="V335" s="73">
        <f t="shared" si="303"/>
        <v>2956.779661</v>
      </c>
      <c r="W335" s="73">
        <f t="shared" si="9"/>
        <v>2956.779661</v>
      </c>
      <c r="X335" s="74">
        <f t="shared" si="10"/>
        <v>1</v>
      </c>
      <c r="Y335" s="73">
        <f t="shared" si="11"/>
        <v>0</v>
      </c>
      <c r="Z335" s="73">
        <f t="shared" si="12"/>
        <v>2124.576271</v>
      </c>
      <c r="AA335" s="73">
        <f t="shared" si="13"/>
        <v>2124.576271</v>
      </c>
      <c r="AB335" s="74">
        <f t="shared" si="14"/>
        <v>1</v>
      </c>
      <c r="AC335" s="61" t="str">
        <f t="shared" si="15"/>
        <v>4</v>
      </c>
      <c r="AD335" s="71" t="str">
        <f t="shared" si="16"/>
        <v>#DIV/0!</v>
      </c>
      <c r="AE335" s="61"/>
      <c r="AF335" s="61"/>
      <c r="AG335" s="71">
        <f t="array" ref="AG335">IFERROR(xlookup(G335,'Old Master'!T:T,'Old Master'!V:V),N335)</f>
        <v>0.2814560046</v>
      </c>
      <c r="AH335" s="73">
        <f t="shared" si="229"/>
        <v>2507</v>
      </c>
      <c r="AI335" s="73">
        <f t="shared" si="230"/>
        <v>2124.576271</v>
      </c>
      <c r="AJ335" s="72">
        <f t="shared" si="19"/>
        <v>1</v>
      </c>
      <c r="AK335" s="61"/>
      <c r="AL335" s="71">
        <f t="array" ref="AL335">iferror(if(isblank(xlookup($G335,'Old Master'!$T:$T,'Old Master'!$W:$W)),AG335,xlookup($G335,'Old Master'!$T:$T,'Old Master'!$W:$W)),AG335)</f>
        <v>0.2814560046</v>
      </c>
      <c r="AM335" s="74">
        <f t="shared" si="20"/>
        <v>0.2837489252</v>
      </c>
      <c r="AN335" s="73">
        <f t="shared" si="304"/>
        <v>2499</v>
      </c>
    </row>
    <row r="336">
      <c r="A336" s="65" t="s">
        <v>5376</v>
      </c>
      <c r="B336" s="65" t="str">
        <f t="shared" si="1"/>
        <v>#VALUE!</v>
      </c>
      <c r="C336" s="65" t="str">
        <f t="shared" si="248"/>
        <v>#VALUE!</v>
      </c>
      <c r="D336" s="65" t="s">
        <v>2626</v>
      </c>
      <c r="E336" s="65">
        <v>0.0</v>
      </c>
      <c r="F336" s="65" t="s">
        <v>2624</v>
      </c>
      <c r="G336" s="65" t="s">
        <v>1195</v>
      </c>
      <c r="H336" s="65" t="s">
        <v>5114</v>
      </c>
      <c r="I336" s="65">
        <v>3489.0</v>
      </c>
      <c r="J336" s="66">
        <v>0.2815485168426345</v>
      </c>
      <c r="K336" s="65">
        <f t="shared" si="3"/>
        <v>2507</v>
      </c>
      <c r="L336" s="66">
        <v>0.0</v>
      </c>
      <c r="M336" s="65">
        <f t="shared" si="4"/>
        <v>3489</v>
      </c>
      <c r="N336" s="67">
        <f t="shared" si="275"/>
        <v>0.2814560046</v>
      </c>
      <c r="O336" s="68">
        <v>2507.0</v>
      </c>
      <c r="P336" s="67">
        <f t="shared" si="299"/>
        <v>0.2814560046</v>
      </c>
      <c r="Q336" s="69">
        <v>2507.0</v>
      </c>
      <c r="R336" s="70"/>
      <c r="S336" s="71">
        <f t="shared" si="305"/>
        <v>0</v>
      </c>
      <c r="T336" s="72">
        <f t="shared" si="6"/>
        <v>0</v>
      </c>
      <c r="U336" s="73" t="str">
        <f t="shared" si="293"/>
        <v/>
      </c>
      <c r="V336" s="73">
        <f t="shared" si="303"/>
        <v>2956.779661</v>
      </c>
      <c r="W336" s="73">
        <f t="shared" si="9"/>
        <v>2956.779661</v>
      </c>
      <c r="X336" s="74">
        <f t="shared" si="10"/>
        <v>1</v>
      </c>
      <c r="Y336" s="73">
        <f t="shared" si="11"/>
        <v>0</v>
      </c>
      <c r="Z336" s="73">
        <f t="shared" si="12"/>
        <v>2124.576271</v>
      </c>
      <c r="AA336" s="73">
        <f t="shared" si="13"/>
        <v>2124.576271</v>
      </c>
      <c r="AB336" s="74">
        <f t="shared" si="14"/>
        <v>1</v>
      </c>
      <c r="AC336" s="61" t="str">
        <f t="shared" si="15"/>
        <v>4</v>
      </c>
      <c r="AD336" s="71" t="str">
        <f t="shared" si="16"/>
        <v>#DIV/0!</v>
      </c>
      <c r="AE336" s="61"/>
      <c r="AF336" s="61"/>
      <c r="AG336" s="71">
        <f t="array" ref="AG336">IFERROR(xlookup(G336,'Old Master'!T:T,'Old Master'!V:V),N336)</f>
        <v>0.2814560046</v>
      </c>
      <c r="AH336" s="73">
        <f t="shared" si="229"/>
        <v>2507</v>
      </c>
      <c r="AI336" s="73">
        <f t="shared" si="230"/>
        <v>2124.576271</v>
      </c>
      <c r="AJ336" s="72">
        <f t="shared" si="19"/>
        <v>1</v>
      </c>
      <c r="AK336" s="61"/>
      <c r="AL336" s="71">
        <f t="array" ref="AL336">iferror(if(isblank(xlookup($G336,'Old Master'!$T:$T,'Old Master'!$W:$W)),AG336,xlookup($G336,'Old Master'!$T:$T,'Old Master'!$W:$W)),AG336)</f>
        <v>0.2814560046</v>
      </c>
      <c r="AM336" s="74">
        <f t="shared" si="20"/>
        <v>0.2837489252</v>
      </c>
      <c r="AN336" s="73">
        <f t="shared" si="304"/>
        <v>2499</v>
      </c>
    </row>
    <row r="337">
      <c r="A337" s="65" t="s">
        <v>1183</v>
      </c>
      <c r="B337" s="65" t="str">
        <f t="shared" si="1"/>
        <v>#VALUE!</v>
      </c>
      <c r="C337" s="65" t="str">
        <f t="shared" si="248"/>
        <v>#VALUE!</v>
      </c>
      <c r="D337" s="65" t="s">
        <v>1185</v>
      </c>
      <c r="E337" s="65">
        <v>0.0</v>
      </c>
      <c r="F337" s="65" t="s">
        <v>1183</v>
      </c>
      <c r="G337" s="65" t="s">
        <v>1195</v>
      </c>
      <c r="H337" s="65" t="s">
        <v>5114</v>
      </c>
      <c r="I337" s="65">
        <v>2489.0</v>
      </c>
      <c r="J337" s="66">
        <v>0.0</v>
      </c>
      <c r="K337" s="65">
        <f t="shared" si="3"/>
        <v>2489</v>
      </c>
      <c r="L337" s="66">
        <v>0.0</v>
      </c>
      <c r="M337" s="65">
        <f t="shared" si="4"/>
        <v>2489</v>
      </c>
      <c r="N337" s="67">
        <f t="shared" si="275"/>
        <v>0</v>
      </c>
      <c r="O337" s="78">
        <v>2489.0</v>
      </c>
      <c r="P337" s="67">
        <f t="shared" si="299"/>
        <v>0</v>
      </c>
      <c r="Q337" s="79">
        <v>2489.0</v>
      </c>
      <c r="R337" s="70"/>
      <c r="S337" s="71">
        <f t="shared" si="305"/>
        <v>0</v>
      </c>
      <c r="T337" s="72">
        <f t="shared" si="6"/>
        <v>0</v>
      </c>
      <c r="U337" s="73" t="str">
        <f t="shared" si="293"/>
        <v/>
      </c>
      <c r="V337" s="73">
        <f t="shared" si="303"/>
        <v>2109.322034</v>
      </c>
      <c r="W337" s="73">
        <f t="shared" si="9"/>
        <v>2109.322034</v>
      </c>
      <c r="X337" s="74">
        <f t="shared" si="10"/>
        <v>1</v>
      </c>
      <c r="Y337" s="73">
        <f t="shared" si="11"/>
        <v>0</v>
      </c>
      <c r="Z337" s="73">
        <f t="shared" si="12"/>
        <v>2109.322034</v>
      </c>
      <c r="AA337" s="73">
        <f t="shared" si="13"/>
        <v>2109.322034</v>
      </c>
      <c r="AB337" s="74">
        <f t="shared" si="14"/>
        <v>1</v>
      </c>
      <c r="AC337" s="61" t="str">
        <f t="shared" si="15"/>
        <v>2</v>
      </c>
      <c r="AD337" s="71" t="str">
        <f t="shared" si="16"/>
        <v>#DIV/0!</v>
      </c>
      <c r="AE337" s="61"/>
      <c r="AF337" s="61"/>
      <c r="AG337" s="71">
        <f t="array" ref="AG337">IFERROR(xlookup(G337,'Old Master'!T:T,'Old Master'!V:V),N337)</f>
        <v>0</v>
      </c>
      <c r="AH337" s="73">
        <f t="shared" si="229"/>
        <v>2489</v>
      </c>
      <c r="AI337" s="73">
        <f t="shared" si="230"/>
        <v>2109.322034</v>
      </c>
      <c r="AJ337" s="72">
        <f t="shared" si="19"/>
        <v>1</v>
      </c>
      <c r="AK337" s="61"/>
      <c r="AL337" s="71">
        <f t="array" ref="AL337">iferror(if(isblank(xlookup($G337,'Old Master'!$T:$T,'Old Master'!$W:$W)),AG337,xlookup($G337,'Old Master'!$T:$T,'Old Master'!$W:$W)),AG337)</f>
        <v>0</v>
      </c>
      <c r="AM337" s="74">
        <f t="shared" si="20"/>
        <v>-0.004017677782</v>
      </c>
      <c r="AN337" s="73">
        <f t="shared" si="304"/>
        <v>2499</v>
      </c>
    </row>
    <row r="338">
      <c r="A338" s="65" t="s">
        <v>1178</v>
      </c>
      <c r="B338" s="65" t="str">
        <f t="shared" si="1"/>
        <v>#VALUE!</v>
      </c>
      <c r="C338" s="65" t="str">
        <f t="shared" si="248"/>
        <v>#VALUE!</v>
      </c>
      <c r="D338" s="65" t="s">
        <v>1180</v>
      </c>
      <c r="E338" s="65">
        <v>0.0</v>
      </c>
      <c r="F338" s="65" t="s">
        <v>1178</v>
      </c>
      <c r="G338" s="65" t="s">
        <v>1195</v>
      </c>
      <c r="H338" s="65" t="s">
        <v>5114</v>
      </c>
      <c r="I338" s="65">
        <v>1989.0</v>
      </c>
      <c r="J338" s="66">
        <v>0.0</v>
      </c>
      <c r="K338" s="65">
        <f t="shared" si="3"/>
        <v>1989</v>
      </c>
      <c r="L338" s="66">
        <v>0.0</v>
      </c>
      <c r="M338" s="65">
        <f t="shared" si="4"/>
        <v>1989</v>
      </c>
      <c r="N338" s="67">
        <f t="shared" si="275"/>
        <v>0</v>
      </c>
      <c r="O338" s="78">
        <v>1989.0</v>
      </c>
      <c r="P338" s="67">
        <f t="shared" si="299"/>
        <v>0</v>
      </c>
      <c r="Q338" s="79">
        <v>1989.0</v>
      </c>
      <c r="R338" s="70"/>
      <c r="S338" s="71">
        <f t="shared" si="305"/>
        <v>0</v>
      </c>
      <c r="T338" s="72">
        <f t="shared" si="6"/>
        <v>0</v>
      </c>
      <c r="U338" s="73" t="str">
        <f t="shared" si="293"/>
        <v/>
      </c>
      <c r="V338" s="73">
        <f t="shared" si="303"/>
        <v>1685.59322</v>
      </c>
      <c r="W338" s="73">
        <f t="shared" si="9"/>
        <v>1685.59322</v>
      </c>
      <c r="X338" s="74">
        <f t="shared" si="10"/>
        <v>1</v>
      </c>
      <c r="Y338" s="73">
        <f t="shared" si="11"/>
        <v>0</v>
      </c>
      <c r="Z338" s="73">
        <f t="shared" si="12"/>
        <v>1685.59322</v>
      </c>
      <c r="AA338" s="73">
        <f t="shared" si="13"/>
        <v>1685.59322</v>
      </c>
      <c r="AB338" s="74">
        <f t="shared" si="14"/>
        <v>1</v>
      </c>
      <c r="AC338" s="61" t="str">
        <f t="shared" si="15"/>
        <v>6</v>
      </c>
      <c r="AD338" s="71" t="str">
        <f t="shared" si="16"/>
        <v>#DIV/0!</v>
      </c>
      <c r="AE338" s="61"/>
      <c r="AF338" s="61"/>
      <c r="AG338" s="71">
        <f t="array" ref="AG338">IFERROR(xlookup(G338,'Old Master'!T:T,'Old Master'!V:V),N338)</f>
        <v>0</v>
      </c>
      <c r="AH338" s="73">
        <f t="shared" si="229"/>
        <v>1989</v>
      </c>
      <c r="AI338" s="73">
        <f t="shared" si="230"/>
        <v>1685.59322</v>
      </c>
      <c r="AJ338" s="72">
        <f t="shared" si="19"/>
        <v>1</v>
      </c>
      <c r="AK338" s="61"/>
      <c r="AL338" s="71">
        <f t="array" ref="AL338">iferror(if(isblank(xlookup($G338,'Old Master'!$T:$T,'Old Master'!$W:$W)),AG338,xlookup($G338,'Old Master'!$T:$T,'Old Master'!$W:$W)),AG338)</f>
        <v>0</v>
      </c>
      <c r="AM338" s="74">
        <f t="shared" si="20"/>
        <v>-0.005027652086</v>
      </c>
      <c r="AN338" s="73">
        <f t="shared" si="304"/>
        <v>1999</v>
      </c>
    </row>
    <row r="339">
      <c r="A339" s="65" t="s">
        <v>2236</v>
      </c>
      <c r="B339" s="65" t="str">
        <f t="shared" si="1"/>
        <v>#VALUE!</v>
      </c>
      <c r="C339" s="65" t="str">
        <f t="shared" si="248"/>
        <v>#VALUE!</v>
      </c>
      <c r="D339" s="65" t="s">
        <v>2238</v>
      </c>
      <c r="E339" s="65" t="s">
        <v>2239</v>
      </c>
      <c r="F339" s="65" t="s">
        <v>2240</v>
      </c>
      <c r="G339" s="65" t="s">
        <v>5077</v>
      </c>
      <c r="H339" s="65" t="s">
        <v>4730</v>
      </c>
      <c r="I339" s="65">
        <v>889.0</v>
      </c>
      <c r="J339" s="66">
        <v>0.17997750281214853</v>
      </c>
      <c r="K339" s="65">
        <f t="shared" si="3"/>
        <v>729</v>
      </c>
      <c r="L339" s="66">
        <v>0.1</v>
      </c>
      <c r="M339" s="65">
        <f t="shared" si="4"/>
        <v>800</v>
      </c>
      <c r="N339" s="67">
        <f t="shared" si="275"/>
        <v>0.04949381327</v>
      </c>
      <c r="O339" s="68">
        <v>845.0</v>
      </c>
      <c r="P339" s="67">
        <f t="shared" si="299"/>
        <v>0.04949381327</v>
      </c>
      <c r="Q339" s="69">
        <v>845.0</v>
      </c>
      <c r="R339" s="70"/>
      <c r="S339" s="71">
        <f t="shared" si="305"/>
        <v>0.159122085</v>
      </c>
      <c r="T339" s="72">
        <f t="shared" si="6"/>
        <v>0</v>
      </c>
      <c r="U339" s="73" t="str">
        <f t="shared" si="293"/>
        <v/>
      </c>
      <c r="V339" s="73">
        <f t="shared" si="303"/>
        <v>677.9661017</v>
      </c>
      <c r="W339" s="73">
        <f t="shared" si="9"/>
        <v>677.9661017</v>
      </c>
      <c r="X339" s="74">
        <f t="shared" si="10"/>
        <v>1</v>
      </c>
      <c r="Y339" s="73">
        <f t="shared" si="11"/>
        <v>0</v>
      </c>
      <c r="Z339" s="73">
        <f t="shared" si="12"/>
        <v>716.1016949</v>
      </c>
      <c r="AA339" s="73">
        <f t="shared" si="13"/>
        <v>716.1016949</v>
      </c>
      <c r="AB339" s="74">
        <f t="shared" si="14"/>
        <v>1</v>
      </c>
      <c r="AC339" s="61" t="str">
        <f t="shared" si="15"/>
        <v>8</v>
      </c>
      <c r="AD339" s="71" t="str">
        <f t="shared" si="16"/>
        <v>#DIV/0!</v>
      </c>
      <c r="AE339" s="61"/>
      <c r="AF339" s="61"/>
      <c r="AG339" s="71">
        <f t="array" ref="AG339">IFERROR(xlookup(G339,'Old Master'!T:T,'Old Master'!V:V),N339)</f>
        <v>0.04949381327</v>
      </c>
      <c r="AH339" s="73">
        <f t="shared" si="229"/>
        <v>845</v>
      </c>
      <c r="AI339" s="73">
        <f t="shared" si="230"/>
        <v>716.1016949</v>
      </c>
      <c r="AJ339" s="72">
        <f t="shared" si="19"/>
        <v>1</v>
      </c>
      <c r="AK339" s="61"/>
      <c r="AL339" s="71">
        <f t="array" ref="AL339">iferror(if(isblank(xlookup($G339,'Old Master'!$T:$T,'Old Master'!$W:$W)),AG339,xlookup($G339,'Old Master'!$T:$T,'Old Master'!$W:$W)),AG339)</f>
        <v>0.04949381327</v>
      </c>
      <c r="AM339" s="74">
        <f t="shared" si="20"/>
        <v>0.04949381327</v>
      </c>
      <c r="AN339" s="73">
        <f t="shared" ref="AN339:AN341" si="306">O339</f>
        <v>845</v>
      </c>
    </row>
    <row r="340">
      <c r="A340" s="65" t="s">
        <v>2197</v>
      </c>
      <c r="B340" s="65" t="str">
        <f t="shared" si="1"/>
        <v>#VALUE!</v>
      </c>
      <c r="C340" s="65" t="str">
        <f t="shared" si="248"/>
        <v>#VALUE!</v>
      </c>
      <c r="D340" s="65" t="s">
        <v>2199</v>
      </c>
      <c r="E340" s="65" t="s">
        <v>2200</v>
      </c>
      <c r="F340" s="65" t="s">
        <v>2201</v>
      </c>
      <c r="G340" s="65" t="s">
        <v>5077</v>
      </c>
      <c r="H340" s="65" t="s">
        <v>4730</v>
      </c>
      <c r="I340" s="65">
        <v>789.0</v>
      </c>
      <c r="J340" s="66">
        <v>0.17743979721166037</v>
      </c>
      <c r="K340" s="65">
        <f t="shared" si="3"/>
        <v>649</v>
      </c>
      <c r="L340" s="66">
        <v>0.1</v>
      </c>
      <c r="M340" s="65">
        <f t="shared" si="4"/>
        <v>710</v>
      </c>
      <c r="N340" s="67">
        <f t="shared" si="275"/>
        <v>0.04942965779</v>
      </c>
      <c r="O340" s="68">
        <v>750.0</v>
      </c>
      <c r="P340" s="67">
        <f t="shared" si="299"/>
        <v>0.04942965779</v>
      </c>
      <c r="Q340" s="69">
        <v>750.0</v>
      </c>
      <c r="R340" s="70"/>
      <c r="S340" s="71">
        <f t="shared" si="305"/>
        <v>0.155624037</v>
      </c>
      <c r="T340" s="72">
        <f t="shared" si="6"/>
        <v>0</v>
      </c>
      <c r="U340" s="73" t="str">
        <f t="shared" si="293"/>
        <v/>
      </c>
      <c r="V340" s="73">
        <f t="shared" si="303"/>
        <v>601.6949153</v>
      </c>
      <c r="W340" s="73">
        <f t="shared" si="9"/>
        <v>601.6949153</v>
      </c>
      <c r="X340" s="74">
        <f t="shared" si="10"/>
        <v>1</v>
      </c>
      <c r="Y340" s="73">
        <f t="shared" si="11"/>
        <v>0</v>
      </c>
      <c r="Z340" s="73">
        <f t="shared" si="12"/>
        <v>635.5932203</v>
      </c>
      <c r="AA340" s="73">
        <f t="shared" si="13"/>
        <v>635.5932203</v>
      </c>
      <c r="AB340" s="74">
        <f t="shared" si="14"/>
        <v>1</v>
      </c>
      <c r="AC340" s="61" t="str">
        <f t="shared" si="15"/>
        <v>6</v>
      </c>
      <c r="AD340" s="71" t="str">
        <f t="shared" si="16"/>
        <v>#DIV/0!</v>
      </c>
      <c r="AE340" s="61"/>
      <c r="AF340" s="61"/>
      <c r="AG340" s="71">
        <f t="array" ref="AG340">IFERROR(xlookup(G340,'Old Master'!T:T,'Old Master'!V:V),N340)</f>
        <v>0.04942965779</v>
      </c>
      <c r="AH340" s="73">
        <f t="shared" si="229"/>
        <v>750</v>
      </c>
      <c r="AI340" s="73">
        <f t="shared" si="230"/>
        <v>635.5932203</v>
      </c>
      <c r="AJ340" s="72">
        <f t="shared" si="19"/>
        <v>1</v>
      </c>
      <c r="AK340" s="61"/>
      <c r="AL340" s="71">
        <f t="array" ref="AL340">iferror(if(isblank(xlookup($G340,'Old Master'!$T:$T,'Old Master'!$W:$W)),AG340,xlookup($G340,'Old Master'!$T:$T,'Old Master'!$W:$W)),AG340)</f>
        <v>0.04942965779</v>
      </c>
      <c r="AM340" s="74">
        <f t="shared" si="20"/>
        <v>0.04942965779</v>
      </c>
      <c r="AN340" s="73">
        <f t="shared" si="306"/>
        <v>750</v>
      </c>
    </row>
    <row r="341">
      <c r="A341" s="65" t="s">
        <v>4654</v>
      </c>
      <c r="B341" s="65" t="str">
        <f t="shared" si="1"/>
        <v>#VALUE!</v>
      </c>
      <c r="C341" s="65" t="str">
        <f t="shared" si="248"/>
        <v>#VALUE!</v>
      </c>
      <c r="D341" s="65" t="s">
        <v>4656</v>
      </c>
      <c r="E341" s="65">
        <v>0.0</v>
      </c>
      <c r="F341" s="65" t="s">
        <v>4657</v>
      </c>
      <c r="G341" s="65" t="s">
        <v>5077</v>
      </c>
      <c r="H341" s="65" t="s">
        <v>4730</v>
      </c>
      <c r="I341" s="65">
        <v>1699.0</v>
      </c>
      <c r="J341" s="66">
        <v>0.0</v>
      </c>
      <c r="K341" s="65">
        <f t="shared" si="3"/>
        <v>1699</v>
      </c>
      <c r="L341" s="66">
        <v>0.0</v>
      </c>
      <c r="M341" s="65">
        <f t="shared" si="4"/>
        <v>1699</v>
      </c>
      <c r="N341" s="67">
        <f t="shared" si="275"/>
        <v>0.05002942908</v>
      </c>
      <c r="O341" s="68">
        <v>1614.0</v>
      </c>
      <c r="P341" s="67">
        <f t="shared" si="299"/>
        <v>0.05002942908</v>
      </c>
      <c r="Q341" s="69">
        <v>1614.0</v>
      </c>
      <c r="R341" s="70"/>
      <c r="S341" s="71">
        <f t="shared" si="305"/>
        <v>-0.05002942908</v>
      </c>
      <c r="T341" s="72">
        <f t="shared" si="6"/>
        <v>0</v>
      </c>
      <c r="U341" s="73" t="str">
        <f t="shared" si="293"/>
        <v/>
      </c>
      <c r="V341" s="73">
        <f t="shared" si="303"/>
        <v>1439.830508</v>
      </c>
      <c r="W341" s="73">
        <f t="shared" si="9"/>
        <v>1439.830508</v>
      </c>
      <c r="X341" s="74">
        <f t="shared" si="10"/>
        <v>1</v>
      </c>
      <c r="Y341" s="73">
        <f t="shared" si="11"/>
        <v>0</v>
      </c>
      <c r="Z341" s="73">
        <f t="shared" si="12"/>
        <v>1367.79661</v>
      </c>
      <c r="AA341" s="73">
        <f t="shared" si="13"/>
        <v>1367.79661</v>
      </c>
      <c r="AB341" s="74">
        <f t="shared" si="14"/>
        <v>1</v>
      </c>
      <c r="AC341" s="61" t="str">
        <f t="shared" si="15"/>
        <v>2</v>
      </c>
      <c r="AD341" s="71" t="str">
        <f t="shared" si="16"/>
        <v>#DIV/0!</v>
      </c>
      <c r="AE341" s="61"/>
      <c r="AF341" s="61"/>
      <c r="AG341" s="71">
        <f t="array" ref="AG341">IFERROR(xlookup(G341,'Old Master'!T:T,'Old Master'!V:V),N341)</f>
        <v>0.05002942908</v>
      </c>
      <c r="AH341" s="73">
        <f t="shared" si="229"/>
        <v>1614</v>
      </c>
      <c r="AI341" s="73">
        <f t="shared" si="230"/>
        <v>1367.79661</v>
      </c>
      <c r="AJ341" s="72">
        <f t="shared" si="19"/>
        <v>1</v>
      </c>
      <c r="AK341" s="61"/>
      <c r="AL341" s="71">
        <f t="array" ref="AL341">iferror(if(isblank(xlookup($G341,'Old Master'!$T:$T,'Old Master'!$W:$W)),AG341,xlookup($G341,'Old Master'!$T:$T,'Old Master'!$W:$W)),AG341)</f>
        <v>0.05002942908</v>
      </c>
      <c r="AM341" s="74">
        <f t="shared" si="20"/>
        <v>0.05002942908</v>
      </c>
      <c r="AN341" s="73">
        <f t="shared" si="306"/>
        <v>1614</v>
      </c>
    </row>
    <row r="342">
      <c r="A342" s="65" t="s">
        <v>3131</v>
      </c>
      <c r="B342" s="65" t="str">
        <f t="shared" si="1"/>
        <v>#VALUE!</v>
      </c>
      <c r="C342" s="65" t="str">
        <f t="shared" si="248"/>
        <v>#VALUE!</v>
      </c>
      <c r="D342" s="65" t="s">
        <v>3133</v>
      </c>
      <c r="E342" s="65" t="s">
        <v>3134</v>
      </c>
      <c r="F342" s="65" t="s">
        <v>3135</v>
      </c>
      <c r="G342" s="65" t="s">
        <v>5087</v>
      </c>
      <c r="H342" s="65" t="s">
        <v>4730</v>
      </c>
      <c r="I342" s="65">
        <v>2489.0</v>
      </c>
      <c r="J342" s="66">
        <v>0.2571313780634793</v>
      </c>
      <c r="K342" s="65">
        <f t="shared" si="3"/>
        <v>1849</v>
      </c>
      <c r="L342" s="66">
        <v>0.15</v>
      </c>
      <c r="M342" s="65">
        <f t="shared" si="4"/>
        <v>2116</v>
      </c>
      <c r="N342" s="67">
        <f t="shared" si="275"/>
        <v>0.1570912013</v>
      </c>
      <c r="O342" s="68">
        <v>2098.0</v>
      </c>
      <c r="P342" s="67">
        <f t="shared" si="299"/>
        <v>0.1570912013</v>
      </c>
      <c r="Q342" s="69">
        <v>2098.0</v>
      </c>
      <c r="R342" s="70"/>
      <c r="S342" s="71">
        <f t="shared" si="305"/>
        <v>0.1346673878</v>
      </c>
      <c r="T342" s="72">
        <f t="shared" si="6"/>
        <v>0</v>
      </c>
      <c r="U342" s="73" t="str">
        <f t="shared" si="293"/>
        <v/>
      </c>
      <c r="V342" s="73">
        <f t="shared" si="303"/>
        <v>1793.220339</v>
      </c>
      <c r="W342" s="73">
        <f t="shared" si="9"/>
        <v>1793.220339</v>
      </c>
      <c r="X342" s="74">
        <f t="shared" si="10"/>
        <v>1</v>
      </c>
      <c r="Y342" s="73">
        <f t="shared" si="11"/>
        <v>0</v>
      </c>
      <c r="Z342" s="73">
        <f t="shared" si="12"/>
        <v>1777.966102</v>
      </c>
      <c r="AA342" s="73">
        <f t="shared" si="13"/>
        <v>1777.966102</v>
      </c>
      <c r="AB342" s="74">
        <f t="shared" si="14"/>
        <v>1</v>
      </c>
      <c r="AC342" s="61" t="str">
        <f t="shared" si="15"/>
        <v>0</v>
      </c>
      <c r="AD342" s="71" t="str">
        <f t="shared" si="16"/>
        <v>#DIV/0!</v>
      </c>
      <c r="AE342" s="61"/>
      <c r="AF342" s="61"/>
      <c r="AG342" s="71">
        <f t="array" ref="AG342">IFERROR(xlookup(G342,'Old Master'!T:T,'Old Master'!V:V),N342)</f>
        <v>0.1570912013</v>
      </c>
      <c r="AH342" s="73">
        <f t="shared" si="229"/>
        <v>2098</v>
      </c>
      <c r="AI342" s="73">
        <f t="shared" si="230"/>
        <v>1777.966102</v>
      </c>
      <c r="AJ342" s="72">
        <f t="shared" si="19"/>
        <v>1</v>
      </c>
      <c r="AK342" s="61"/>
      <c r="AL342" s="71">
        <f t="array" ref="AL342">iferror(if(isblank(xlookup($G342,'Old Master'!$T:$T,'Old Master'!$W:$W)),AG342,xlookup($G342,'Old Master'!$T:$T,'Old Master'!$W:$W)),AG342)</f>
        <v>0.1570912013</v>
      </c>
      <c r="AM342" s="74">
        <f t="shared" si="20"/>
        <v>0.1566894335</v>
      </c>
      <c r="AN342" s="73">
        <f t="shared" ref="AN342:AN343" si="307">mround($I342*(1-AL342),100)-1</f>
        <v>2099</v>
      </c>
    </row>
    <row r="343">
      <c r="A343" s="65" t="s">
        <v>3089</v>
      </c>
      <c r="B343" s="65" t="str">
        <f t="shared" si="1"/>
        <v>#VALUE!</v>
      </c>
      <c r="C343" s="65" t="str">
        <f t="shared" si="248"/>
        <v>#VALUE!</v>
      </c>
      <c r="D343" s="65" t="s">
        <v>3091</v>
      </c>
      <c r="E343" s="65" t="s">
        <v>3092</v>
      </c>
      <c r="F343" s="65" t="s">
        <v>3093</v>
      </c>
      <c r="G343" s="65" t="s">
        <v>5087</v>
      </c>
      <c r="H343" s="65" t="s">
        <v>4730</v>
      </c>
      <c r="I343" s="65">
        <v>1879.0</v>
      </c>
      <c r="J343" s="66">
        <v>0.2554550292708888</v>
      </c>
      <c r="K343" s="65">
        <f t="shared" si="3"/>
        <v>1399</v>
      </c>
      <c r="L343" s="66">
        <v>0.15</v>
      </c>
      <c r="M343" s="65">
        <f t="shared" si="4"/>
        <v>1597</v>
      </c>
      <c r="N343" s="67">
        <f t="shared" si="275"/>
        <v>0.1554018095</v>
      </c>
      <c r="O343" s="68">
        <v>1587.0</v>
      </c>
      <c r="P343" s="67">
        <f t="shared" si="299"/>
        <v>0.1554018095</v>
      </c>
      <c r="Q343" s="69">
        <v>1587.0</v>
      </c>
      <c r="R343" s="70"/>
      <c r="S343" s="71">
        <f t="shared" si="305"/>
        <v>0.1343817012</v>
      </c>
      <c r="T343" s="72">
        <f t="shared" si="6"/>
        <v>0</v>
      </c>
      <c r="U343" s="73" t="str">
        <f t="shared" si="293"/>
        <v/>
      </c>
      <c r="V343" s="73">
        <f t="shared" si="303"/>
        <v>1353.389831</v>
      </c>
      <c r="W343" s="73">
        <f t="shared" si="9"/>
        <v>1353.389831</v>
      </c>
      <c r="X343" s="74">
        <f t="shared" si="10"/>
        <v>1</v>
      </c>
      <c r="Y343" s="73">
        <f t="shared" si="11"/>
        <v>0</v>
      </c>
      <c r="Z343" s="73">
        <f t="shared" si="12"/>
        <v>1344.915254</v>
      </c>
      <c r="AA343" s="73">
        <f t="shared" si="13"/>
        <v>1344.915254</v>
      </c>
      <c r="AB343" s="74">
        <f t="shared" si="14"/>
        <v>1</v>
      </c>
      <c r="AC343" s="61" t="str">
        <f t="shared" si="15"/>
        <v>0</v>
      </c>
      <c r="AD343" s="71" t="str">
        <f t="shared" si="16"/>
        <v>#DIV/0!</v>
      </c>
      <c r="AE343" s="61"/>
      <c r="AF343" s="61"/>
      <c r="AG343" s="71">
        <f t="array" ref="AG343">IFERROR(xlookup(G343,'Old Master'!T:T,'Old Master'!V:V),N343)</f>
        <v>0.1554018095</v>
      </c>
      <c r="AH343" s="73">
        <f t="shared" si="229"/>
        <v>1587</v>
      </c>
      <c r="AI343" s="73">
        <f t="shared" si="230"/>
        <v>1344.915254</v>
      </c>
      <c r="AJ343" s="72">
        <f t="shared" si="19"/>
        <v>1</v>
      </c>
      <c r="AK343" s="61"/>
      <c r="AL343" s="71">
        <f t="array" ref="AL343">iferror(if(isblank(xlookup($G343,'Old Master'!$T:$T,'Old Master'!$W:$W)),AG343,xlookup($G343,'Old Master'!$T:$T,'Old Master'!$W:$W)),AG343)</f>
        <v>0.1554018095</v>
      </c>
      <c r="AM343" s="74">
        <f t="shared" si="20"/>
        <v>0.1490154337</v>
      </c>
      <c r="AN343" s="73">
        <f t="shared" si="307"/>
        <v>1599</v>
      </c>
    </row>
    <row r="344">
      <c r="A344" s="65" t="s">
        <v>1431</v>
      </c>
      <c r="B344" s="65" t="str">
        <f t="shared" si="1"/>
        <v>#VALUE!</v>
      </c>
      <c r="C344" s="65" t="str">
        <f t="shared" si="248"/>
        <v>#VALUE!</v>
      </c>
      <c r="D344" s="65" t="s">
        <v>1433</v>
      </c>
      <c r="E344" s="65" t="s">
        <v>1435</v>
      </c>
      <c r="F344" s="65" t="s">
        <v>1436</v>
      </c>
      <c r="G344" s="65" t="s">
        <v>5089</v>
      </c>
      <c r="H344" s="65" t="s">
        <v>4730</v>
      </c>
      <c r="I344" s="65">
        <v>2999.0</v>
      </c>
      <c r="J344" s="66">
        <v>0.28342780926975664</v>
      </c>
      <c r="K344" s="65">
        <f t="shared" si="3"/>
        <v>2149</v>
      </c>
      <c r="L344" s="66">
        <v>0.1</v>
      </c>
      <c r="M344" s="65">
        <f t="shared" si="4"/>
        <v>2699</v>
      </c>
      <c r="N344" s="67">
        <f t="shared" si="275"/>
        <v>0.1833944648</v>
      </c>
      <c r="O344" s="68">
        <v>2449.0</v>
      </c>
      <c r="P344" s="67">
        <f t="shared" si="299"/>
        <v>0.1833944648</v>
      </c>
      <c r="Q344" s="69">
        <v>2449.0</v>
      </c>
      <c r="R344" s="70"/>
      <c r="S344" s="71">
        <f t="shared" si="305"/>
        <v>0.1395998139</v>
      </c>
      <c r="T344" s="72">
        <f t="shared" si="6"/>
        <v>0</v>
      </c>
      <c r="U344" s="73" t="str">
        <f t="shared" si="293"/>
        <v/>
      </c>
      <c r="V344" s="73">
        <f t="shared" si="303"/>
        <v>2287.288136</v>
      </c>
      <c r="W344" s="73">
        <f t="shared" si="9"/>
        <v>2287.288136</v>
      </c>
      <c r="X344" s="74">
        <f t="shared" si="10"/>
        <v>1</v>
      </c>
      <c r="Y344" s="73">
        <f t="shared" si="11"/>
        <v>0</v>
      </c>
      <c r="Z344" s="73">
        <f t="shared" si="12"/>
        <v>2075.423729</v>
      </c>
      <c r="AA344" s="73">
        <f t="shared" si="13"/>
        <v>2075.423729</v>
      </c>
      <c r="AB344" s="74">
        <f t="shared" si="14"/>
        <v>1</v>
      </c>
      <c r="AC344" s="61" t="str">
        <f t="shared" si="15"/>
        <v>2</v>
      </c>
      <c r="AD344" s="71" t="str">
        <f t="shared" si="16"/>
        <v>#DIV/0!</v>
      </c>
      <c r="AE344" s="61"/>
      <c r="AF344" s="61"/>
      <c r="AG344" s="71">
        <f t="array" ref="AG344">IFERROR(xlookup(G344,'Old Master'!T:T,'Old Master'!V:V),N344)</f>
        <v>0.1833944648</v>
      </c>
      <c r="AH344" s="73">
        <f t="shared" si="229"/>
        <v>2449</v>
      </c>
      <c r="AI344" s="73">
        <f t="shared" si="230"/>
        <v>2075.423729</v>
      </c>
      <c r="AJ344" s="72">
        <f t="shared" si="19"/>
        <v>1</v>
      </c>
      <c r="AK344" s="61"/>
      <c r="AL344" s="71">
        <f t="array" ref="AL344">iferror(if(isblank(xlookup($G344,'Old Master'!$T:$T,'Old Master'!$W:$W)),AG344,xlookup($G344,'Old Master'!$T:$T,'Old Master'!$W:$W)),AG344)</f>
        <v>0.1833944648</v>
      </c>
      <c r="AM344" s="74">
        <f t="shared" si="20"/>
        <v>0.1833944648</v>
      </c>
      <c r="AN344" s="73">
        <f>O344</f>
        <v>2449</v>
      </c>
    </row>
    <row r="345">
      <c r="A345" s="65" t="s">
        <v>1413</v>
      </c>
      <c r="B345" s="65" t="str">
        <f t="shared" si="1"/>
        <v>#VALUE!</v>
      </c>
      <c r="C345" s="65" t="str">
        <f t="shared" si="248"/>
        <v>#VALUE!</v>
      </c>
      <c r="D345" s="65" t="s">
        <v>1415</v>
      </c>
      <c r="E345" s="65" t="s">
        <v>1416</v>
      </c>
      <c r="F345" s="65" t="s">
        <v>1417</v>
      </c>
      <c r="G345" s="65" t="s">
        <v>5089</v>
      </c>
      <c r="H345" s="65" t="s">
        <v>4730</v>
      </c>
      <c r="I345" s="65">
        <v>2649.0</v>
      </c>
      <c r="J345" s="66">
        <v>0.2831257078142695</v>
      </c>
      <c r="K345" s="65">
        <f t="shared" si="3"/>
        <v>1899</v>
      </c>
      <c r="L345" s="66">
        <v>0.1</v>
      </c>
      <c r="M345" s="65">
        <f t="shared" si="4"/>
        <v>2384</v>
      </c>
      <c r="N345" s="67">
        <f t="shared" si="275"/>
        <v>0.1830879577</v>
      </c>
      <c r="O345" s="68">
        <v>2164.0</v>
      </c>
      <c r="P345" s="67">
        <f t="shared" si="299"/>
        <v>0.1830879577</v>
      </c>
      <c r="Q345" s="69">
        <v>2164.0</v>
      </c>
      <c r="R345" s="70"/>
      <c r="S345" s="71">
        <f t="shared" si="305"/>
        <v>0.1395471301</v>
      </c>
      <c r="T345" s="72">
        <f t="shared" si="6"/>
        <v>0</v>
      </c>
      <c r="U345" s="73" t="str">
        <f t="shared" si="293"/>
        <v/>
      </c>
      <c r="V345" s="73">
        <f t="shared" si="303"/>
        <v>2020.338983</v>
      </c>
      <c r="W345" s="73">
        <f t="shared" si="9"/>
        <v>2020.338983</v>
      </c>
      <c r="X345" s="74">
        <f t="shared" si="10"/>
        <v>1</v>
      </c>
      <c r="Y345" s="73">
        <f t="shared" si="11"/>
        <v>0</v>
      </c>
      <c r="Z345" s="73">
        <f t="shared" si="12"/>
        <v>1833.898305</v>
      </c>
      <c r="AA345" s="73">
        <f t="shared" si="13"/>
        <v>1833.898305</v>
      </c>
      <c r="AB345" s="74">
        <f t="shared" si="14"/>
        <v>1</v>
      </c>
      <c r="AC345" s="61" t="str">
        <f t="shared" si="15"/>
        <v>0</v>
      </c>
      <c r="AD345" s="71" t="str">
        <f t="shared" si="16"/>
        <v>#DIV/0!</v>
      </c>
      <c r="AE345" s="61"/>
      <c r="AF345" s="61"/>
      <c r="AG345" s="71">
        <f t="array" ref="AG345">IFERROR(xlookup(G345,'Old Master'!T:T,'Old Master'!V:V),N345)</f>
        <v>0.1830879577</v>
      </c>
      <c r="AH345" s="73">
        <f t="shared" si="229"/>
        <v>2164</v>
      </c>
      <c r="AI345" s="73">
        <f t="shared" si="230"/>
        <v>1833.898305</v>
      </c>
      <c r="AJ345" s="72">
        <f t="shared" si="19"/>
        <v>1</v>
      </c>
      <c r="AK345" s="61"/>
      <c r="AL345" s="71">
        <f t="array" ref="AL345">iferror(if(isblank(xlookup($G345,'Old Master'!$T:$T,'Old Master'!$W:$W)),AG345,xlookup($G345,'Old Master'!$T:$T,'Old Master'!$W:$W)),AG345)</f>
        <v>0.1830879577</v>
      </c>
      <c r="AM345" s="74">
        <f t="shared" si="20"/>
        <v>0.1698754247</v>
      </c>
      <c r="AN345" s="73">
        <f t="shared" ref="AN345:AN351" si="308">mround($I345*(1-AL345),100)-1</f>
        <v>2199</v>
      </c>
    </row>
    <row r="346">
      <c r="A346" s="65" t="s">
        <v>1394</v>
      </c>
      <c r="B346" s="65" t="str">
        <f t="shared" si="1"/>
        <v>#VALUE!</v>
      </c>
      <c r="C346" s="65" t="str">
        <f t="shared" si="248"/>
        <v>#VALUE!</v>
      </c>
      <c r="D346" s="65" t="s">
        <v>1396</v>
      </c>
      <c r="E346" s="65" t="s">
        <v>1397</v>
      </c>
      <c r="F346" s="65" t="s">
        <v>1398</v>
      </c>
      <c r="G346" s="65" t="s">
        <v>5089</v>
      </c>
      <c r="H346" s="65" t="s">
        <v>4730</v>
      </c>
      <c r="I346" s="65">
        <v>2649.0</v>
      </c>
      <c r="J346" s="66">
        <v>0.2831257078142695</v>
      </c>
      <c r="K346" s="65">
        <f t="shared" si="3"/>
        <v>1899</v>
      </c>
      <c r="L346" s="66">
        <v>0.1</v>
      </c>
      <c r="M346" s="65">
        <f t="shared" si="4"/>
        <v>2384</v>
      </c>
      <c r="N346" s="67">
        <f t="shared" si="275"/>
        <v>0.1830879577</v>
      </c>
      <c r="O346" s="68">
        <v>2164.0</v>
      </c>
      <c r="P346" s="67">
        <f t="shared" si="299"/>
        <v>0.1830879577</v>
      </c>
      <c r="Q346" s="69">
        <v>2164.0</v>
      </c>
      <c r="R346" s="70"/>
      <c r="S346" s="71">
        <f t="shared" si="305"/>
        <v>0.1395471301</v>
      </c>
      <c r="T346" s="72">
        <f t="shared" si="6"/>
        <v>0</v>
      </c>
      <c r="U346" s="73" t="str">
        <f t="shared" si="293"/>
        <v/>
      </c>
      <c r="V346" s="73">
        <f t="shared" si="303"/>
        <v>2020.338983</v>
      </c>
      <c r="W346" s="73">
        <f t="shared" si="9"/>
        <v>2020.338983</v>
      </c>
      <c r="X346" s="74">
        <f t="shared" si="10"/>
        <v>1</v>
      </c>
      <c r="Y346" s="73">
        <f t="shared" si="11"/>
        <v>0</v>
      </c>
      <c r="Z346" s="73">
        <f t="shared" si="12"/>
        <v>1833.898305</v>
      </c>
      <c r="AA346" s="73">
        <f t="shared" si="13"/>
        <v>1833.898305</v>
      </c>
      <c r="AB346" s="74">
        <f t="shared" si="14"/>
        <v>1</v>
      </c>
      <c r="AC346" s="61" t="str">
        <f t="shared" si="15"/>
        <v>0</v>
      </c>
      <c r="AD346" s="71" t="str">
        <f t="shared" si="16"/>
        <v>#DIV/0!</v>
      </c>
      <c r="AE346" s="61"/>
      <c r="AF346" s="61"/>
      <c r="AG346" s="71">
        <f t="array" ref="AG346">IFERROR(xlookup(G346,'Old Master'!T:T,'Old Master'!V:V),N346)</f>
        <v>0.1830879577</v>
      </c>
      <c r="AH346" s="73">
        <f t="shared" si="229"/>
        <v>2164</v>
      </c>
      <c r="AI346" s="73">
        <f t="shared" si="230"/>
        <v>1833.898305</v>
      </c>
      <c r="AJ346" s="72">
        <f t="shared" si="19"/>
        <v>1</v>
      </c>
      <c r="AK346" s="61"/>
      <c r="AL346" s="71">
        <f t="array" ref="AL346">iferror(if(isblank(xlookup($G346,'Old Master'!$T:$T,'Old Master'!$W:$W)),AG346,xlookup($G346,'Old Master'!$T:$T,'Old Master'!$W:$W)),AG346)</f>
        <v>0.1830879577</v>
      </c>
      <c r="AM346" s="74">
        <f t="shared" si="20"/>
        <v>0.1698754247</v>
      </c>
      <c r="AN346" s="73">
        <f t="shared" si="308"/>
        <v>2199</v>
      </c>
    </row>
    <row r="347">
      <c r="A347" s="65" t="s">
        <v>3658</v>
      </c>
      <c r="B347" s="65" t="str">
        <f t="shared" si="1"/>
        <v>#VALUE!</v>
      </c>
      <c r="C347" s="65" t="str">
        <f t="shared" si="248"/>
        <v>#VALUE!</v>
      </c>
      <c r="D347" s="65" t="s">
        <v>3660</v>
      </c>
      <c r="E347" s="65" t="s">
        <v>3661</v>
      </c>
      <c r="F347" s="65" t="s">
        <v>3662</v>
      </c>
      <c r="G347" s="65" t="s">
        <v>5098</v>
      </c>
      <c r="H347" s="65" t="s">
        <v>4730</v>
      </c>
      <c r="I347" s="65">
        <v>999.0</v>
      </c>
      <c r="J347" s="66">
        <v>0.1</v>
      </c>
      <c r="K347" s="65">
        <f t="shared" si="3"/>
        <v>899</v>
      </c>
      <c r="L347" s="66">
        <v>0.1</v>
      </c>
      <c r="M347" s="65">
        <f t="shared" si="4"/>
        <v>899</v>
      </c>
      <c r="N347" s="67">
        <f t="shared" si="275"/>
        <v>0.1001001001</v>
      </c>
      <c r="O347" s="68">
        <v>899.0</v>
      </c>
      <c r="P347" s="67">
        <f t="shared" si="299"/>
        <v>0.1001001001</v>
      </c>
      <c r="Q347" s="69">
        <v>899.0</v>
      </c>
      <c r="R347" s="70"/>
      <c r="S347" s="71">
        <f t="shared" si="305"/>
        <v>0</v>
      </c>
      <c r="T347" s="72">
        <f t="shared" si="6"/>
        <v>0</v>
      </c>
      <c r="U347" s="73" t="str">
        <f t="shared" si="293"/>
        <v/>
      </c>
      <c r="V347" s="73">
        <f t="shared" si="303"/>
        <v>761.8644068</v>
      </c>
      <c r="W347" s="73">
        <f t="shared" si="9"/>
        <v>761.8644068</v>
      </c>
      <c r="X347" s="74">
        <f t="shared" si="10"/>
        <v>1</v>
      </c>
      <c r="Y347" s="73">
        <f t="shared" si="11"/>
        <v>0</v>
      </c>
      <c r="Z347" s="73">
        <f t="shared" si="12"/>
        <v>761.8644068</v>
      </c>
      <c r="AA347" s="73">
        <f t="shared" si="13"/>
        <v>761.8644068</v>
      </c>
      <c r="AB347" s="74">
        <f t="shared" si="14"/>
        <v>1</v>
      </c>
      <c r="AC347" s="61" t="str">
        <f t="shared" si="15"/>
        <v>0</v>
      </c>
      <c r="AD347" s="71" t="str">
        <f t="shared" si="16"/>
        <v>#DIV/0!</v>
      </c>
      <c r="AE347" s="61"/>
      <c r="AF347" s="61"/>
      <c r="AG347" s="71">
        <f t="array" ref="AG347">IFERROR(xlookup(G347,'Old Master'!T:T,'Old Master'!V:V),N347)</f>
        <v>0.1001001001</v>
      </c>
      <c r="AH347" s="73">
        <f t="shared" si="229"/>
        <v>899</v>
      </c>
      <c r="AI347" s="73">
        <f t="shared" si="230"/>
        <v>761.8644068</v>
      </c>
      <c r="AJ347" s="72">
        <f t="shared" si="19"/>
        <v>1</v>
      </c>
      <c r="AK347" s="61"/>
      <c r="AL347" s="71">
        <f t="array" ref="AL347">iferror(if(isblank(xlookup($G347,'Old Master'!$T:$T,'Old Master'!$W:$W)),AG347,xlookup($G347,'Old Master'!$T:$T,'Old Master'!$W:$W)),AG347)</f>
        <v>0.1001001001</v>
      </c>
      <c r="AM347" s="74">
        <f t="shared" si="20"/>
        <v>0.1001001001</v>
      </c>
      <c r="AN347" s="73">
        <f t="shared" si="308"/>
        <v>899</v>
      </c>
    </row>
    <row r="348">
      <c r="A348" s="65" t="s">
        <v>1728</v>
      </c>
      <c r="B348" s="65">
        <f t="shared" si="1"/>
        <v>36</v>
      </c>
      <c r="C348" s="65" t="str">
        <f t="shared" si="248"/>
        <v>SC-ULTM-LATEX-S-78x38x10</v>
      </c>
      <c r="D348" s="65" t="s">
        <v>1730</v>
      </c>
      <c r="E348" s="65" t="s">
        <v>1731</v>
      </c>
      <c r="F348" s="65" t="s">
        <v>1732</v>
      </c>
      <c r="G348" s="65" t="s">
        <v>5109</v>
      </c>
      <c r="H348" s="65" t="s">
        <v>52</v>
      </c>
      <c r="I348" s="65">
        <v>20999.0</v>
      </c>
      <c r="J348" s="66">
        <v>0.23</v>
      </c>
      <c r="K348" s="65">
        <f t="shared" si="3"/>
        <v>16169</v>
      </c>
      <c r="L348" s="66">
        <v>0.18</v>
      </c>
      <c r="M348" s="65">
        <f t="shared" si="4"/>
        <v>17219</v>
      </c>
      <c r="N348" s="67">
        <f t="shared" si="275"/>
        <v>0.1000047621</v>
      </c>
      <c r="O348" s="68">
        <v>18899.0</v>
      </c>
      <c r="P348" s="67">
        <f t="shared" si="299"/>
        <v>0.1000047621</v>
      </c>
      <c r="Q348" s="69">
        <v>18899.0</v>
      </c>
      <c r="R348" s="70"/>
      <c r="S348" s="71">
        <f t="shared" ref="S348:S349" si="309">O348/M348-1</f>
        <v>0.0975666415</v>
      </c>
      <c r="T348" s="72">
        <f t="shared" si="6"/>
        <v>0</v>
      </c>
      <c r="U348" s="73" t="str">
        <f t="shared" si="293"/>
        <v/>
      </c>
      <c r="V348" s="73">
        <f t="shared" si="303"/>
        <v>14592.37288</v>
      </c>
      <c r="W348" s="73">
        <f t="shared" si="9"/>
        <v>14592.37288</v>
      </c>
      <c r="X348" s="74">
        <f t="shared" si="10"/>
        <v>1</v>
      </c>
      <c r="Y348" s="73">
        <f t="shared" si="11"/>
        <v>0</v>
      </c>
      <c r="Z348" s="73">
        <f t="shared" si="12"/>
        <v>16016.10169</v>
      </c>
      <c r="AA348" s="73">
        <f t="shared" si="13"/>
        <v>16016.10169</v>
      </c>
      <c r="AB348" s="74">
        <f t="shared" si="14"/>
        <v>1</v>
      </c>
      <c r="AC348" s="61" t="str">
        <f t="shared" si="15"/>
        <v>0</v>
      </c>
      <c r="AD348" s="71" t="str">
        <f t="shared" si="16"/>
        <v>#DIV/0!</v>
      </c>
      <c r="AE348" s="61"/>
      <c r="AF348" s="61"/>
      <c r="AG348" s="71">
        <f t="array" ref="AG348">IFERROR(xlookup(G348,'Old Master'!T:T,'Old Master'!V:V),N348)</f>
        <v>0.1000047621</v>
      </c>
      <c r="AH348" s="73">
        <f t="shared" si="229"/>
        <v>18899</v>
      </c>
      <c r="AI348" s="73">
        <f t="shared" si="230"/>
        <v>16016.10169</v>
      </c>
      <c r="AJ348" s="72">
        <f t="shared" si="19"/>
        <v>1</v>
      </c>
      <c r="AK348" s="61"/>
      <c r="AL348" s="71">
        <f t="array" ref="AL348">iferror(if(isblank(xlookup($G348,'Old Master'!$T:$T,'Old Master'!$W:$W)),AG348,xlookup($G348,'Old Master'!$T:$T,'Old Master'!$W:$W)),AG348)</f>
        <v>0.1000047621</v>
      </c>
      <c r="AM348" s="74">
        <f t="shared" si="20"/>
        <v>0.1000047621</v>
      </c>
      <c r="AN348" s="73">
        <f t="shared" si="308"/>
        <v>18899</v>
      </c>
    </row>
    <row r="349">
      <c r="A349" s="65" t="s">
        <v>4764</v>
      </c>
      <c r="B349" s="65">
        <f t="shared" si="1"/>
        <v>48</v>
      </c>
      <c r="C349" s="65" t="str">
        <f t="shared" si="248"/>
        <v>SC-ULTM-D-75x50x10</v>
      </c>
      <c r="D349" s="65" t="s">
        <v>4766</v>
      </c>
      <c r="E349" s="65" t="s">
        <v>4764</v>
      </c>
      <c r="F349" s="65" t="s">
        <v>4764</v>
      </c>
      <c r="G349" s="65" t="s">
        <v>5112</v>
      </c>
      <c r="H349" s="65" t="s">
        <v>52</v>
      </c>
      <c r="I349" s="65">
        <v>25999.0</v>
      </c>
      <c r="J349" s="66">
        <v>0.25</v>
      </c>
      <c r="K349" s="65">
        <f t="shared" si="3"/>
        <v>19499</v>
      </c>
      <c r="L349" s="66">
        <v>0.22</v>
      </c>
      <c r="M349" s="65">
        <f t="shared" si="4"/>
        <v>20279</v>
      </c>
      <c r="N349" s="67">
        <f t="shared" si="275"/>
        <v>0.1000038463</v>
      </c>
      <c r="O349" s="68">
        <v>23399.0</v>
      </c>
      <c r="P349" s="67">
        <f t="shared" si="299"/>
        <v>0.1000038463</v>
      </c>
      <c r="Q349" s="69">
        <v>23399.0</v>
      </c>
      <c r="R349" s="70"/>
      <c r="S349" s="71">
        <f t="shared" si="309"/>
        <v>0.1538537403</v>
      </c>
      <c r="T349" s="72">
        <f t="shared" si="6"/>
        <v>0</v>
      </c>
      <c r="U349" s="73" t="str">
        <f t="shared" si="293"/>
        <v/>
      </c>
      <c r="V349" s="73">
        <f t="shared" si="303"/>
        <v>17185.59322</v>
      </c>
      <c r="W349" s="73">
        <f t="shared" si="9"/>
        <v>17185.59322</v>
      </c>
      <c r="X349" s="74">
        <f t="shared" si="10"/>
        <v>1</v>
      </c>
      <c r="Y349" s="73">
        <f t="shared" si="11"/>
        <v>0</v>
      </c>
      <c r="Z349" s="73">
        <f t="shared" si="12"/>
        <v>19829.66102</v>
      </c>
      <c r="AA349" s="73">
        <f t="shared" si="13"/>
        <v>19829.66102</v>
      </c>
      <c r="AB349" s="74">
        <f t="shared" si="14"/>
        <v>1</v>
      </c>
      <c r="AC349" s="61" t="str">
        <f t="shared" si="15"/>
        <v>0</v>
      </c>
      <c r="AD349" s="71" t="str">
        <f t="shared" si="16"/>
        <v>#DIV/0!</v>
      </c>
      <c r="AE349" s="61"/>
      <c r="AF349" s="61"/>
      <c r="AG349" s="71">
        <f t="array" ref="AG349">IFERROR(xlookup(G349,'Old Master'!T:T,'Old Master'!V:V),N349)</f>
        <v>0.1000038463</v>
      </c>
      <c r="AH349" s="73">
        <f t="shared" si="229"/>
        <v>23399</v>
      </c>
      <c r="AI349" s="73">
        <f t="shared" si="230"/>
        <v>19829.66102</v>
      </c>
      <c r="AJ349" s="72">
        <f t="shared" si="19"/>
        <v>1</v>
      </c>
      <c r="AK349" s="61"/>
      <c r="AL349" s="71">
        <f t="array" ref="AL349">iferror(if(isblank(xlookup($G349,'Old Master'!$T:$T,'Old Master'!$W:$W)),AG349,xlookup($G349,'Old Master'!$T:$T,'Old Master'!$W:$W)),AG349)</f>
        <v>0.1000038463</v>
      </c>
      <c r="AM349" s="74">
        <f t="shared" si="20"/>
        <v>0.1000038463</v>
      </c>
      <c r="AN349" s="73">
        <f t="shared" si="308"/>
        <v>23399</v>
      </c>
    </row>
    <row r="350">
      <c r="A350" s="65" t="s">
        <v>2990</v>
      </c>
      <c r="B350" s="65" t="str">
        <f t="shared" si="1"/>
        <v>#VALUE!</v>
      </c>
      <c r="C350" s="65" t="str">
        <f t="shared" si="248"/>
        <v>#VALUE!</v>
      </c>
      <c r="D350" s="65" t="s">
        <v>2992</v>
      </c>
      <c r="E350" s="65" t="s">
        <v>2990</v>
      </c>
      <c r="F350" s="65" t="s">
        <v>2990</v>
      </c>
      <c r="G350" s="65" t="s">
        <v>5088</v>
      </c>
      <c r="H350" s="65" t="s">
        <v>4730</v>
      </c>
      <c r="I350" s="65">
        <v>2789.0</v>
      </c>
      <c r="J350" s="66">
        <v>0.2832556471853711</v>
      </c>
      <c r="K350" s="65">
        <f t="shared" si="3"/>
        <v>1999</v>
      </c>
      <c r="L350" s="66">
        <v>0.15</v>
      </c>
      <c r="M350" s="65">
        <f t="shared" si="4"/>
        <v>2371</v>
      </c>
      <c r="N350" s="67">
        <f t="shared" si="275"/>
        <v>0.1039799211</v>
      </c>
      <c r="O350" s="68">
        <v>2499.0</v>
      </c>
      <c r="P350" s="67">
        <f t="shared" si="299"/>
        <v>0.1039799211</v>
      </c>
      <c r="Q350" s="69">
        <v>2499.0</v>
      </c>
      <c r="R350" s="70"/>
      <c r="S350" s="71">
        <f t="shared" ref="S350:S358" si="310">O350/K350-1</f>
        <v>0.2501250625</v>
      </c>
      <c r="T350" s="72">
        <f t="shared" si="6"/>
        <v>0</v>
      </c>
      <c r="U350" s="73" t="str">
        <f t="shared" si="293"/>
        <v/>
      </c>
      <c r="V350" s="73">
        <f t="shared" si="303"/>
        <v>2009.322034</v>
      </c>
      <c r="W350" s="73">
        <f t="shared" si="9"/>
        <v>2009.322034</v>
      </c>
      <c r="X350" s="74">
        <f t="shared" si="10"/>
        <v>1</v>
      </c>
      <c r="Y350" s="73">
        <f t="shared" si="11"/>
        <v>0</v>
      </c>
      <c r="Z350" s="73">
        <f t="shared" si="12"/>
        <v>2117.79661</v>
      </c>
      <c r="AA350" s="73">
        <f t="shared" si="13"/>
        <v>2117.79661</v>
      </c>
      <c r="AB350" s="74">
        <f t="shared" si="14"/>
        <v>1</v>
      </c>
      <c r="AC350" s="61" t="str">
        <f t="shared" si="15"/>
        <v>0</v>
      </c>
      <c r="AD350" s="71" t="str">
        <f t="shared" si="16"/>
        <v>#DIV/0!</v>
      </c>
      <c r="AE350" s="61"/>
      <c r="AF350" s="61"/>
      <c r="AG350" s="71">
        <f t="array" ref="AG350">IFERROR(xlookup(G350,'Old Master'!T:T,'Old Master'!V:V),N350)</f>
        <v>0.1039799211</v>
      </c>
      <c r="AH350" s="73">
        <f t="shared" si="229"/>
        <v>2499</v>
      </c>
      <c r="AI350" s="73">
        <f t="shared" si="230"/>
        <v>2117.79661</v>
      </c>
      <c r="AJ350" s="72">
        <f t="shared" si="19"/>
        <v>1</v>
      </c>
      <c r="AK350" s="61"/>
      <c r="AL350" s="71">
        <f t="array" ref="AL350">iferror(if(isblank(xlookup($G350,'Old Master'!$T:$T,'Old Master'!$W:$W)),AG350,xlookup($G350,'Old Master'!$T:$T,'Old Master'!$W:$W)),AG350)</f>
        <v>0.1039799211</v>
      </c>
      <c r="AM350" s="74">
        <f t="shared" si="20"/>
        <v>0.1039799211</v>
      </c>
      <c r="AN350" s="73">
        <f t="shared" si="308"/>
        <v>2499</v>
      </c>
    </row>
    <row r="351">
      <c r="A351" s="65" t="s">
        <v>2969</v>
      </c>
      <c r="B351" s="65" t="str">
        <f t="shared" si="1"/>
        <v>#VALUE!</v>
      </c>
      <c r="C351" s="65" t="str">
        <f t="shared" si="248"/>
        <v>#VALUE!</v>
      </c>
      <c r="D351" s="65" t="s">
        <v>2971</v>
      </c>
      <c r="E351" s="65" t="s">
        <v>2972</v>
      </c>
      <c r="F351" s="65" t="s">
        <v>2973</v>
      </c>
      <c r="G351" s="65" t="s">
        <v>5088</v>
      </c>
      <c r="H351" s="65" t="s">
        <v>4730</v>
      </c>
      <c r="I351" s="65">
        <v>2089.0</v>
      </c>
      <c r="J351" s="66">
        <v>0.28243178554332216</v>
      </c>
      <c r="K351" s="65">
        <f t="shared" si="3"/>
        <v>1499</v>
      </c>
      <c r="L351" s="66">
        <v>0.15</v>
      </c>
      <c r="M351" s="65">
        <f t="shared" si="4"/>
        <v>1776</v>
      </c>
      <c r="N351" s="67">
        <f t="shared" si="275"/>
        <v>0.0909526089</v>
      </c>
      <c r="O351" s="68">
        <v>1899.0</v>
      </c>
      <c r="P351" s="67">
        <f t="shared" si="299"/>
        <v>0.0909526089</v>
      </c>
      <c r="Q351" s="69">
        <v>1899.0</v>
      </c>
      <c r="R351" s="70"/>
      <c r="S351" s="71">
        <f t="shared" si="310"/>
        <v>0.266844563</v>
      </c>
      <c r="T351" s="72">
        <f t="shared" si="6"/>
        <v>0</v>
      </c>
      <c r="U351" s="73" t="str">
        <f t="shared" si="293"/>
        <v/>
      </c>
      <c r="V351" s="73">
        <f t="shared" si="303"/>
        <v>1505.084746</v>
      </c>
      <c r="W351" s="73">
        <f t="shared" si="9"/>
        <v>1505.084746</v>
      </c>
      <c r="X351" s="74">
        <f t="shared" si="10"/>
        <v>1</v>
      </c>
      <c r="Y351" s="73">
        <f t="shared" si="11"/>
        <v>0</v>
      </c>
      <c r="Z351" s="73">
        <f t="shared" si="12"/>
        <v>1609.322034</v>
      </c>
      <c r="AA351" s="73">
        <f t="shared" si="13"/>
        <v>1609.322034</v>
      </c>
      <c r="AB351" s="74">
        <f t="shared" si="14"/>
        <v>1</v>
      </c>
      <c r="AC351" s="61" t="str">
        <f t="shared" si="15"/>
        <v>0</v>
      </c>
      <c r="AD351" s="71" t="str">
        <f t="shared" si="16"/>
        <v>#DIV/0!</v>
      </c>
      <c r="AE351" s="61"/>
      <c r="AF351" s="61"/>
      <c r="AG351" s="71">
        <f t="array" ref="AG351">IFERROR(xlookup(G351,'Old Master'!T:T,'Old Master'!V:V),N351)</f>
        <v>0.0909526089</v>
      </c>
      <c r="AH351" s="73">
        <f t="shared" si="229"/>
        <v>1899</v>
      </c>
      <c r="AI351" s="73">
        <f t="shared" si="230"/>
        <v>1609.322034</v>
      </c>
      <c r="AJ351" s="72">
        <f t="shared" si="19"/>
        <v>1</v>
      </c>
      <c r="AK351" s="61"/>
      <c r="AL351" s="71">
        <f t="array" ref="AL351">iferror(if(isblank(xlookup($G351,'Old Master'!$T:$T,'Old Master'!$W:$W)),AG351,xlookup($G351,'Old Master'!$T:$T,'Old Master'!$W:$W)),AG351)</f>
        <v>0.0909526089</v>
      </c>
      <c r="AM351" s="74">
        <f t="shared" si="20"/>
        <v>0.0909526089</v>
      </c>
      <c r="AN351" s="73">
        <f t="shared" si="308"/>
        <v>1899</v>
      </c>
    </row>
    <row r="352">
      <c r="A352" s="65" t="s">
        <v>2889</v>
      </c>
      <c r="B352" s="65" t="str">
        <f t="shared" si="1"/>
        <v>#VALUE!</v>
      </c>
      <c r="C352" s="65" t="str">
        <f t="shared" si="248"/>
        <v>#VALUE!</v>
      </c>
      <c r="D352" s="65" t="s">
        <v>2891</v>
      </c>
      <c r="E352" s="65">
        <v>0.0</v>
      </c>
      <c r="F352" s="65" t="s">
        <v>2889</v>
      </c>
      <c r="G352" s="65" t="s">
        <v>5107</v>
      </c>
      <c r="H352" s="65" t="s">
        <v>4730</v>
      </c>
      <c r="I352" s="65">
        <v>2489.0</v>
      </c>
      <c r="J352" s="66">
        <v>0.2815485168426345</v>
      </c>
      <c r="K352" s="65">
        <f t="shared" si="3"/>
        <v>1788</v>
      </c>
      <c r="L352" s="66">
        <v>0.1</v>
      </c>
      <c r="M352" s="65">
        <f t="shared" si="4"/>
        <v>2240</v>
      </c>
      <c r="N352" s="67">
        <f t="shared" si="275"/>
        <v>0.1815990358</v>
      </c>
      <c r="O352" s="68">
        <v>2037.0</v>
      </c>
      <c r="P352" s="67">
        <f t="shared" si="299"/>
        <v>0.1815990358</v>
      </c>
      <c r="Q352" s="69">
        <v>2037.0</v>
      </c>
      <c r="R352" s="70"/>
      <c r="S352" s="71">
        <f t="shared" si="310"/>
        <v>0.139261745</v>
      </c>
      <c r="T352" s="72">
        <f t="shared" si="6"/>
        <v>0</v>
      </c>
      <c r="U352" s="73" t="str">
        <f t="shared" si="293"/>
        <v/>
      </c>
      <c r="V352" s="73">
        <f t="shared" si="303"/>
        <v>1898.305085</v>
      </c>
      <c r="W352" s="73">
        <f t="shared" si="9"/>
        <v>1898.305085</v>
      </c>
      <c r="X352" s="74">
        <f t="shared" si="10"/>
        <v>1</v>
      </c>
      <c r="Y352" s="73">
        <f t="shared" si="11"/>
        <v>0</v>
      </c>
      <c r="Z352" s="73">
        <f t="shared" si="12"/>
        <v>1726.271186</v>
      </c>
      <c r="AA352" s="73">
        <f t="shared" si="13"/>
        <v>1726.271186</v>
      </c>
      <c r="AB352" s="74">
        <f t="shared" si="14"/>
        <v>1</v>
      </c>
      <c r="AC352" s="61" t="str">
        <f t="shared" si="15"/>
        <v>2</v>
      </c>
      <c r="AD352" s="71" t="str">
        <f t="shared" si="16"/>
        <v>#DIV/0!</v>
      </c>
      <c r="AE352" s="61"/>
      <c r="AF352" s="61"/>
      <c r="AG352" s="71">
        <f t="array" ref="AG352">IFERROR(xlookup(G352,'Old Master'!T:T,'Old Master'!V:V),N352)</f>
        <v>0.1815990358</v>
      </c>
      <c r="AH352" s="73">
        <f t="shared" si="229"/>
        <v>2037</v>
      </c>
      <c r="AI352" s="73">
        <f t="shared" si="230"/>
        <v>1726.271186</v>
      </c>
      <c r="AJ352" s="72">
        <f t="shared" si="19"/>
        <v>1</v>
      </c>
      <c r="AK352" s="61"/>
      <c r="AL352" s="71">
        <f t="array" ref="AL352">iferror(if(isblank(xlookup($G352,'Old Master'!$T:$T,'Old Master'!$W:$W)),AG352,xlookup($G352,'Old Master'!$T:$T,'Old Master'!$W:$W)),AG352)</f>
        <v>0.1815990358</v>
      </c>
      <c r="AM352" s="74">
        <f t="shared" si="20"/>
        <v>0.1815990358</v>
      </c>
      <c r="AN352" s="73">
        <f t="shared" ref="AN352:AN355" si="311">O352</f>
        <v>2037</v>
      </c>
    </row>
    <row r="353">
      <c r="A353" s="65" t="s">
        <v>2773</v>
      </c>
      <c r="B353" s="65" t="str">
        <f t="shared" si="1"/>
        <v>#VALUE!</v>
      </c>
      <c r="C353" s="65" t="str">
        <f t="shared" si="248"/>
        <v>#VALUE!</v>
      </c>
      <c r="D353" s="65" t="s">
        <v>2775</v>
      </c>
      <c r="E353" s="65" t="s">
        <v>2773</v>
      </c>
      <c r="F353" s="65" t="s">
        <v>2773</v>
      </c>
      <c r="G353" s="65" t="s">
        <v>5107</v>
      </c>
      <c r="H353" s="65" t="s">
        <v>4730</v>
      </c>
      <c r="I353" s="65">
        <v>2489.0</v>
      </c>
      <c r="J353" s="66">
        <v>0.2815485168426345</v>
      </c>
      <c r="K353" s="65">
        <f t="shared" si="3"/>
        <v>1788</v>
      </c>
      <c r="L353" s="66">
        <v>0.1</v>
      </c>
      <c r="M353" s="65">
        <f t="shared" si="4"/>
        <v>2240</v>
      </c>
      <c r="N353" s="67">
        <f t="shared" si="275"/>
        <v>0.1815990358</v>
      </c>
      <c r="O353" s="68">
        <v>2037.0</v>
      </c>
      <c r="P353" s="67">
        <f t="shared" si="299"/>
        <v>0.1815990358</v>
      </c>
      <c r="Q353" s="69">
        <v>2037.0</v>
      </c>
      <c r="R353" s="70"/>
      <c r="S353" s="71">
        <f t="shared" si="310"/>
        <v>0.139261745</v>
      </c>
      <c r="T353" s="72">
        <f t="shared" si="6"/>
        <v>0</v>
      </c>
      <c r="U353" s="73" t="str">
        <f t="shared" si="293"/>
        <v/>
      </c>
      <c r="V353" s="73">
        <f t="shared" si="303"/>
        <v>1898.305085</v>
      </c>
      <c r="W353" s="73">
        <f t="shared" si="9"/>
        <v>1898.305085</v>
      </c>
      <c r="X353" s="74">
        <f t="shared" si="10"/>
        <v>1</v>
      </c>
      <c r="Y353" s="73">
        <f t="shared" si="11"/>
        <v>0</v>
      </c>
      <c r="Z353" s="73">
        <f t="shared" si="12"/>
        <v>1726.271186</v>
      </c>
      <c r="AA353" s="73">
        <f t="shared" si="13"/>
        <v>1726.271186</v>
      </c>
      <c r="AB353" s="74">
        <f t="shared" si="14"/>
        <v>1</v>
      </c>
      <c r="AC353" s="61" t="str">
        <f t="shared" si="15"/>
        <v>0</v>
      </c>
      <c r="AD353" s="71" t="str">
        <f t="shared" si="16"/>
        <v>#DIV/0!</v>
      </c>
      <c r="AE353" s="61"/>
      <c r="AF353" s="61"/>
      <c r="AG353" s="71">
        <f t="array" ref="AG353">IFERROR(xlookup(G353,'Old Master'!T:T,'Old Master'!V:V),N353)</f>
        <v>0.1815990358</v>
      </c>
      <c r="AH353" s="73">
        <f t="shared" si="229"/>
        <v>2037</v>
      </c>
      <c r="AI353" s="73">
        <f t="shared" si="230"/>
        <v>1726.271186</v>
      </c>
      <c r="AJ353" s="72">
        <f t="shared" si="19"/>
        <v>1</v>
      </c>
      <c r="AK353" s="61"/>
      <c r="AL353" s="71">
        <f t="array" ref="AL353">iferror(if(isblank(xlookup($G353,'Old Master'!$T:$T,'Old Master'!$W:$W)),AG353,xlookup($G353,'Old Master'!$T:$T,'Old Master'!$W:$W)),AG353)</f>
        <v>0.1815990358</v>
      </c>
      <c r="AM353" s="74">
        <f t="shared" si="20"/>
        <v>0.1815990358</v>
      </c>
      <c r="AN353" s="73">
        <f t="shared" si="311"/>
        <v>2037</v>
      </c>
    </row>
    <row r="354">
      <c r="A354" s="65" t="s">
        <v>2763</v>
      </c>
      <c r="B354" s="65" t="str">
        <f t="shared" si="1"/>
        <v>#VALUE!</v>
      </c>
      <c r="C354" s="65" t="str">
        <f t="shared" si="248"/>
        <v>#VALUE!</v>
      </c>
      <c r="D354" s="65" t="s">
        <v>2765</v>
      </c>
      <c r="E354" s="65" t="s">
        <v>2763</v>
      </c>
      <c r="F354" s="65" t="s">
        <v>2763</v>
      </c>
      <c r="G354" s="65" t="s">
        <v>5107</v>
      </c>
      <c r="H354" s="65" t="s">
        <v>4730</v>
      </c>
      <c r="I354" s="65">
        <v>1989.0</v>
      </c>
      <c r="J354" s="66">
        <v>0.2815485168426345</v>
      </c>
      <c r="K354" s="65">
        <f t="shared" si="3"/>
        <v>1429</v>
      </c>
      <c r="L354" s="66">
        <v>0.1</v>
      </c>
      <c r="M354" s="65">
        <f t="shared" si="4"/>
        <v>1790</v>
      </c>
      <c r="N354" s="67">
        <f t="shared" si="275"/>
        <v>0.1814982403</v>
      </c>
      <c r="O354" s="68">
        <v>1628.0</v>
      </c>
      <c r="P354" s="67">
        <f t="shared" si="299"/>
        <v>0.1814982403</v>
      </c>
      <c r="Q354" s="69">
        <v>1628.0</v>
      </c>
      <c r="R354" s="70"/>
      <c r="S354" s="71">
        <f t="shared" si="310"/>
        <v>0.1392582225</v>
      </c>
      <c r="T354" s="72">
        <f t="shared" si="6"/>
        <v>0</v>
      </c>
      <c r="U354" s="73" t="str">
        <f t="shared" si="293"/>
        <v/>
      </c>
      <c r="V354" s="73">
        <f t="shared" si="303"/>
        <v>1516.949153</v>
      </c>
      <c r="W354" s="73">
        <f t="shared" si="9"/>
        <v>1516.949153</v>
      </c>
      <c r="X354" s="74">
        <f t="shared" si="10"/>
        <v>1</v>
      </c>
      <c r="Y354" s="73">
        <f t="shared" si="11"/>
        <v>0</v>
      </c>
      <c r="Z354" s="73">
        <f t="shared" si="12"/>
        <v>1379.661017</v>
      </c>
      <c r="AA354" s="73">
        <f t="shared" si="13"/>
        <v>1379.661017</v>
      </c>
      <c r="AB354" s="74">
        <f t="shared" si="14"/>
        <v>1</v>
      </c>
      <c r="AC354" s="61" t="str">
        <f t="shared" si="15"/>
        <v>0</v>
      </c>
      <c r="AD354" s="71" t="str">
        <f t="shared" si="16"/>
        <v>#DIV/0!</v>
      </c>
      <c r="AE354" s="61"/>
      <c r="AF354" s="61"/>
      <c r="AG354" s="71">
        <f t="array" ref="AG354">IFERROR(xlookup(G354,'Old Master'!T:T,'Old Master'!V:V),N354)</f>
        <v>0.1814982403</v>
      </c>
      <c r="AH354" s="73">
        <f t="shared" si="229"/>
        <v>1628</v>
      </c>
      <c r="AI354" s="73">
        <f t="shared" si="230"/>
        <v>1379.661017</v>
      </c>
      <c r="AJ354" s="72">
        <f t="shared" si="19"/>
        <v>1</v>
      </c>
      <c r="AK354" s="61"/>
      <c r="AL354" s="71">
        <f t="array" ref="AL354">iferror(if(isblank(xlookup($G354,'Old Master'!$T:$T,'Old Master'!$W:$W)),AG354,xlookup($G354,'Old Master'!$T:$T,'Old Master'!$W:$W)),AG354)</f>
        <v>0.1814982403</v>
      </c>
      <c r="AM354" s="74">
        <f t="shared" si="20"/>
        <v>0.1814982403</v>
      </c>
      <c r="AN354" s="73">
        <f t="shared" si="311"/>
        <v>1628</v>
      </c>
    </row>
    <row r="355">
      <c r="A355" s="65" t="s">
        <v>2739</v>
      </c>
      <c r="B355" s="65" t="str">
        <f t="shared" si="1"/>
        <v>#VALUE!</v>
      </c>
      <c r="C355" s="65" t="str">
        <f t="shared" si="248"/>
        <v>#VALUE!</v>
      </c>
      <c r="D355" s="65" t="s">
        <v>2741</v>
      </c>
      <c r="E355" s="65" t="s">
        <v>2742</v>
      </c>
      <c r="F355" s="65" t="s">
        <v>2743</v>
      </c>
      <c r="G355" s="65" t="s">
        <v>5107</v>
      </c>
      <c r="H355" s="65" t="s">
        <v>4730</v>
      </c>
      <c r="I355" s="65">
        <v>1989.0</v>
      </c>
      <c r="J355" s="66">
        <v>0.2815485168426345</v>
      </c>
      <c r="K355" s="65">
        <f t="shared" si="3"/>
        <v>1429</v>
      </c>
      <c r="L355" s="66">
        <v>0.1</v>
      </c>
      <c r="M355" s="65">
        <f t="shared" si="4"/>
        <v>1790</v>
      </c>
      <c r="N355" s="67">
        <f t="shared" si="275"/>
        <v>0.1814982403</v>
      </c>
      <c r="O355" s="68">
        <v>1628.0</v>
      </c>
      <c r="P355" s="67">
        <f t="shared" si="299"/>
        <v>0.1814982403</v>
      </c>
      <c r="Q355" s="69">
        <v>1628.0</v>
      </c>
      <c r="R355" s="70"/>
      <c r="S355" s="71">
        <f t="shared" si="310"/>
        <v>0.1392582225</v>
      </c>
      <c r="T355" s="72">
        <f t="shared" si="6"/>
        <v>0</v>
      </c>
      <c r="U355" s="73" t="str">
        <f t="shared" si="293"/>
        <v/>
      </c>
      <c r="V355" s="73">
        <f t="shared" si="303"/>
        <v>1516.949153</v>
      </c>
      <c r="W355" s="73">
        <f t="shared" si="9"/>
        <v>1516.949153</v>
      </c>
      <c r="X355" s="74">
        <f t="shared" si="10"/>
        <v>1</v>
      </c>
      <c r="Y355" s="73">
        <f t="shared" si="11"/>
        <v>0</v>
      </c>
      <c r="Z355" s="73">
        <f t="shared" si="12"/>
        <v>1379.661017</v>
      </c>
      <c r="AA355" s="73">
        <f t="shared" si="13"/>
        <v>1379.661017</v>
      </c>
      <c r="AB355" s="74">
        <f t="shared" si="14"/>
        <v>1</v>
      </c>
      <c r="AC355" s="61" t="str">
        <f t="shared" si="15"/>
        <v>0</v>
      </c>
      <c r="AD355" s="71" t="str">
        <f t="shared" si="16"/>
        <v>#DIV/0!</v>
      </c>
      <c r="AE355" s="61"/>
      <c r="AF355" s="61"/>
      <c r="AG355" s="71">
        <f t="array" ref="AG355">IFERROR(xlookup(G355,'Old Master'!T:T,'Old Master'!V:V),N355)</f>
        <v>0.1814982403</v>
      </c>
      <c r="AH355" s="73">
        <f t="shared" si="229"/>
        <v>1628</v>
      </c>
      <c r="AI355" s="73">
        <f t="shared" si="230"/>
        <v>1379.661017</v>
      </c>
      <c r="AJ355" s="72">
        <f t="shared" si="19"/>
        <v>1</v>
      </c>
      <c r="AK355" s="61"/>
      <c r="AL355" s="71">
        <f t="array" ref="AL355">iferror(if(isblank(xlookup($G355,'Old Master'!$T:$T,'Old Master'!$W:$W)),AG355,xlookup($G355,'Old Master'!$T:$T,'Old Master'!$W:$W)),AG355)</f>
        <v>0.1814982403</v>
      </c>
      <c r="AM355" s="74">
        <f t="shared" si="20"/>
        <v>0.1814982403</v>
      </c>
      <c r="AN355" s="73">
        <f t="shared" si="311"/>
        <v>1628</v>
      </c>
    </row>
    <row r="356">
      <c r="A356" s="65" t="s">
        <v>2768</v>
      </c>
      <c r="B356" s="65" t="str">
        <f t="shared" si="1"/>
        <v>#VALUE!</v>
      </c>
      <c r="C356" s="65" t="str">
        <f t="shared" si="248"/>
        <v>#VALUE!</v>
      </c>
      <c r="D356" s="65" t="s">
        <v>2770</v>
      </c>
      <c r="E356" s="65" t="s">
        <v>2768</v>
      </c>
      <c r="F356" s="65" t="s">
        <v>2768</v>
      </c>
      <c r="G356" s="65" t="s">
        <v>5107</v>
      </c>
      <c r="H356" s="65" t="s">
        <v>4730</v>
      </c>
      <c r="I356" s="65">
        <v>2289.0</v>
      </c>
      <c r="J356" s="66">
        <v>0.2815485168426345</v>
      </c>
      <c r="K356" s="65">
        <f t="shared" si="3"/>
        <v>1645</v>
      </c>
      <c r="L356" s="66">
        <v>0.1</v>
      </c>
      <c r="M356" s="65">
        <f t="shared" si="4"/>
        <v>2060</v>
      </c>
      <c r="N356" s="67">
        <f t="shared" si="275"/>
        <v>0.1817387505</v>
      </c>
      <c r="O356" s="68">
        <v>1873.0</v>
      </c>
      <c r="P356" s="67">
        <f t="shared" si="299"/>
        <v>0.1817387505</v>
      </c>
      <c r="Q356" s="69">
        <v>1873.0</v>
      </c>
      <c r="R356" s="70"/>
      <c r="S356" s="71">
        <f t="shared" si="310"/>
        <v>0.1386018237</v>
      </c>
      <c r="T356" s="72">
        <f t="shared" si="6"/>
        <v>0</v>
      </c>
      <c r="U356" s="73" t="str">
        <f t="shared" si="293"/>
        <v/>
      </c>
      <c r="V356" s="73">
        <f t="shared" si="303"/>
        <v>1745.762712</v>
      </c>
      <c r="W356" s="73">
        <f t="shared" si="9"/>
        <v>1745.762712</v>
      </c>
      <c r="X356" s="74">
        <f t="shared" si="10"/>
        <v>1</v>
      </c>
      <c r="Y356" s="73">
        <f t="shared" si="11"/>
        <v>0</v>
      </c>
      <c r="Z356" s="73">
        <f t="shared" si="12"/>
        <v>1587.288136</v>
      </c>
      <c r="AA356" s="73">
        <f t="shared" si="13"/>
        <v>1587.288136</v>
      </c>
      <c r="AB356" s="74">
        <f t="shared" si="14"/>
        <v>1</v>
      </c>
      <c r="AC356" s="61" t="str">
        <f t="shared" si="15"/>
        <v>0</v>
      </c>
      <c r="AD356" s="71" t="str">
        <f t="shared" si="16"/>
        <v>#DIV/0!</v>
      </c>
      <c r="AE356" s="61"/>
      <c r="AF356" s="61"/>
      <c r="AG356" s="71">
        <f t="array" ref="AG356">IFERROR(xlookup(G356,'Old Master'!T:T,'Old Master'!V:V),N356)</f>
        <v>0.1817387505</v>
      </c>
      <c r="AH356" s="73">
        <f t="shared" si="229"/>
        <v>1873</v>
      </c>
      <c r="AI356" s="73">
        <f t="shared" si="230"/>
        <v>1587.288136</v>
      </c>
      <c r="AJ356" s="72">
        <f t="shared" si="19"/>
        <v>1</v>
      </c>
      <c r="AK356" s="61"/>
      <c r="AL356" s="71">
        <f t="array" ref="AL356">iferror(if(isblank(xlookup($G356,'Old Master'!$T:$T,'Old Master'!$W:$W)),AG356,xlookup($G356,'Old Master'!$T:$T,'Old Master'!$W:$W)),AG356)</f>
        <v>0.1817387505</v>
      </c>
      <c r="AM356" s="74">
        <f t="shared" si="20"/>
        <v>0.1703800786</v>
      </c>
      <c r="AN356" s="73">
        <f>mround($I356*(1-AL356),100)-1</f>
        <v>1899</v>
      </c>
    </row>
    <row r="357">
      <c r="A357" s="65" t="s">
        <v>2728</v>
      </c>
      <c r="B357" s="65" t="str">
        <f t="shared" si="1"/>
        <v>#VALUE!</v>
      </c>
      <c r="C357" s="65" t="str">
        <f t="shared" si="248"/>
        <v>#VALUE!</v>
      </c>
      <c r="D357" s="65" t="s">
        <v>2730</v>
      </c>
      <c r="E357" s="65" t="s">
        <v>2728</v>
      </c>
      <c r="F357" s="65">
        <v>0.0</v>
      </c>
      <c r="G357" s="65" t="s">
        <v>5107</v>
      </c>
      <c r="H357" s="65" t="s">
        <v>4730</v>
      </c>
      <c r="I357" s="65">
        <v>1989.0</v>
      </c>
      <c r="J357" s="66">
        <v>0.2815485168426345</v>
      </c>
      <c r="K357" s="65">
        <f t="shared" si="3"/>
        <v>1429</v>
      </c>
      <c r="L357" s="66">
        <v>0.1</v>
      </c>
      <c r="M357" s="65">
        <f t="shared" si="4"/>
        <v>1790</v>
      </c>
      <c r="N357" s="67">
        <f t="shared" si="275"/>
        <v>0.1814982403</v>
      </c>
      <c r="O357" s="68">
        <v>1628.0</v>
      </c>
      <c r="P357" s="67">
        <f t="shared" si="299"/>
        <v>0.1814982403</v>
      </c>
      <c r="Q357" s="69">
        <v>1628.0</v>
      </c>
      <c r="R357" s="70"/>
      <c r="S357" s="71">
        <f t="shared" si="310"/>
        <v>0.1392582225</v>
      </c>
      <c r="T357" s="72">
        <f t="shared" si="6"/>
        <v>0</v>
      </c>
      <c r="U357" s="73" t="str">
        <f t="shared" si="293"/>
        <v/>
      </c>
      <c r="V357" s="73">
        <f t="shared" si="303"/>
        <v>1516.949153</v>
      </c>
      <c r="W357" s="73">
        <f t="shared" si="9"/>
        <v>1516.949153</v>
      </c>
      <c r="X357" s="74">
        <f t="shared" si="10"/>
        <v>1</v>
      </c>
      <c r="Y357" s="73">
        <f t="shared" si="11"/>
        <v>0</v>
      </c>
      <c r="Z357" s="73">
        <f t="shared" si="12"/>
        <v>1379.661017</v>
      </c>
      <c r="AA357" s="73">
        <f t="shared" si="13"/>
        <v>1379.661017</v>
      </c>
      <c r="AB357" s="74">
        <f t="shared" si="14"/>
        <v>1</v>
      </c>
      <c r="AC357" s="61" t="str">
        <f t="shared" si="15"/>
        <v>0</v>
      </c>
      <c r="AD357" s="71" t="str">
        <f t="shared" si="16"/>
        <v>#DIV/0!</v>
      </c>
      <c r="AE357" s="61"/>
      <c r="AF357" s="61"/>
      <c r="AG357" s="71">
        <f t="array" ref="AG357">IFERROR(xlookup(G357,'Old Master'!T:T,'Old Master'!V:V),N357)</f>
        <v>0.1814982403</v>
      </c>
      <c r="AH357" s="73">
        <f t="shared" si="229"/>
        <v>1628</v>
      </c>
      <c r="AI357" s="73">
        <f t="shared" si="230"/>
        <v>1379.661017</v>
      </c>
      <c r="AJ357" s="72">
        <f t="shared" si="19"/>
        <v>1</v>
      </c>
      <c r="AK357" s="61"/>
      <c r="AL357" s="71">
        <f t="array" ref="AL357">iferror(if(isblank(xlookup($G357,'Old Master'!$T:$T,'Old Master'!$W:$W)),AG357,xlookup($G357,'Old Master'!$T:$T,'Old Master'!$W:$W)),AG357)</f>
        <v>0.1814982403</v>
      </c>
      <c r="AM357" s="74">
        <f t="shared" si="20"/>
        <v>0.1814982403</v>
      </c>
      <c r="AN357" s="73">
        <f t="shared" ref="AN357:AN358" si="312">O357</f>
        <v>1628</v>
      </c>
    </row>
    <row r="358">
      <c r="A358" s="65" t="s">
        <v>3442</v>
      </c>
      <c r="B358" s="65" t="str">
        <f t="shared" si="1"/>
        <v>#VALUE!</v>
      </c>
      <c r="C358" s="65" t="str">
        <f t="shared" si="248"/>
        <v>#VALUE!</v>
      </c>
      <c r="D358" s="65" t="s">
        <v>3444</v>
      </c>
      <c r="E358" s="65" t="s">
        <v>3442</v>
      </c>
      <c r="F358" s="65">
        <v>0.0</v>
      </c>
      <c r="G358" s="65" t="s">
        <v>5078</v>
      </c>
      <c r="H358" s="65" t="s">
        <v>4730</v>
      </c>
      <c r="I358" s="65">
        <v>649.0</v>
      </c>
      <c r="J358" s="66">
        <v>0.1</v>
      </c>
      <c r="K358" s="65">
        <f t="shared" si="3"/>
        <v>584</v>
      </c>
      <c r="L358" s="66">
        <v>0.1</v>
      </c>
      <c r="M358" s="65">
        <f t="shared" si="4"/>
        <v>584</v>
      </c>
      <c r="N358" s="67">
        <f t="shared" si="275"/>
        <v>0</v>
      </c>
      <c r="O358" s="78">
        <v>649.0</v>
      </c>
      <c r="P358" s="67">
        <f t="shared" si="299"/>
        <v>0</v>
      </c>
      <c r="Q358" s="79">
        <v>649.0</v>
      </c>
      <c r="R358" s="70"/>
      <c r="S358" s="71">
        <f t="shared" si="310"/>
        <v>0.1113013699</v>
      </c>
      <c r="T358" s="72">
        <f t="shared" si="6"/>
        <v>0</v>
      </c>
      <c r="U358" s="73" t="str">
        <f t="shared" si="293"/>
        <v/>
      </c>
      <c r="V358" s="73">
        <f t="shared" si="303"/>
        <v>494.9152542</v>
      </c>
      <c r="W358" s="73">
        <f t="shared" si="9"/>
        <v>494.9152542</v>
      </c>
      <c r="X358" s="74">
        <f t="shared" si="10"/>
        <v>1</v>
      </c>
      <c r="Y358" s="73">
        <f t="shared" si="11"/>
        <v>0</v>
      </c>
      <c r="Z358" s="73">
        <f t="shared" si="12"/>
        <v>550</v>
      </c>
      <c r="AA358" s="73">
        <f t="shared" si="13"/>
        <v>550</v>
      </c>
      <c r="AB358" s="74">
        <f t="shared" si="14"/>
        <v>1</v>
      </c>
      <c r="AC358" s="61" t="str">
        <f t="shared" si="15"/>
        <v>0</v>
      </c>
      <c r="AD358" s="71" t="str">
        <f t="shared" si="16"/>
        <v>#DIV/0!</v>
      </c>
      <c r="AE358" s="61"/>
      <c r="AF358" s="61"/>
      <c r="AG358" s="71">
        <f t="array" ref="AG358">IFERROR(xlookup(G358,'Old Master'!T:T,'Old Master'!V:V),N358)</f>
        <v>0</v>
      </c>
      <c r="AH358" s="73">
        <f t="shared" si="229"/>
        <v>649</v>
      </c>
      <c r="AI358" s="73">
        <f t="shared" si="230"/>
        <v>550</v>
      </c>
      <c r="AJ358" s="72">
        <f t="shared" si="19"/>
        <v>1</v>
      </c>
      <c r="AK358" s="61"/>
      <c r="AL358" s="71">
        <f t="array" ref="AL358">iferror(if(isblank(xlookup($G358,'Old Master'!$T:$T,'Old Master'!$W:$W)),AG358,xlookup($G358,'Old Master'!$T:$T,'Old Master'!$W:$W)),AG358)</f>
        <v>0</v>
      </c>
      <c r="AM358" s="74">
        <f t="shared" si="20"/>
        <v>0</v>
      </c>
      <c r="AN358" s="73">
        <f t="shared" si="312"/>
        <v>649</v>
      </c>
    </row>
    <row r="359">
      <c r="A359" s="65" t="s">
        <v>981</v>
      </c>
      <c r="B359" s="65">
        <f t="shared" si="1"/>
        <v>66</v>
      </c>
      <c r="C359" s="65" t="str">
        <f t="shared" si="248"/>
        <v>SC-HYB-LATEX-Q-72x68x8</v>
      </c>
      <c r="D359" s="65">
        <v>0.0</v>
      </c>
      <c r="E359" s="65">
        <v>0.0</v>
      </c>
      <c r="F359" s="65" t="s">
        <v>984</v>
      </c>
      <c r="G359" s="65" t="s">
        <v>5108</v>
      </c>
      <c r="H359" s="65" t="s">
        <v>52</v>
      </c>
      <c r="I359" s="65">
        <v>22999.0</v>
      </c>
      <c r="J359" s="66">
        <v>0.0</v>
      </c>
      <c r="K359" s="65">
        <f t="shared" si="3"/>
        <v>22999</v>
      </c>
      <c r="L359" s="66">
        <v>0.2</v>
      </c>
      <c r="M359" s="65">
        <f t="shared" si="4"/>
        <v>18399</v>
      </c>
      <c r="N359" s="75">
        <v>0.16</v>
      </c>
      <c r="O359" s="68">
        <f t="shared" ref="O359:O361" si="313">I359*(1-N359)</f>
        <v>19319.16</v>
      </c>
      <c r="P359" s="75">
        <v>0.13</v>
      </c>
      <c r="Q359" s="68">
        <f t="shared" ref="Q359:Q361" si="314">I359*(1-P359)</f>
        <v>20009.13</v>
      </c>
      <c r="R359" s="71">
        <f t="shared" ref="R359:R361" si="315">Q359/M359-1</f>
        <v>0.08751182129</v>
      </c>
      <c r="S359" s="71">
        <f t="shared" ref="S359:S361" si="316">O359/M359-1</f>
        <v>0.05001141366</v>
      </c>
      <c r="T359" s="72">
        <f t="shared" si="6"/>
        <v>0</v>
      </c>
      <c r="U359" s="73" t="str">
        <f t="shared" si="293"/>
        <v/>
      </c>
      <c r="V359" s="73">
        <f t="shared" si="303"/>
        <v>15592.37288</v>
      </c>
      <c r="W359" s="73">
        <f t="shared" si="9"/>
        <v>15592.37288</v>
      </c>
      <c r="X359" s="74">
        <f t="shared" si="10"/>
        <v>1</v>
      </c>
      <c r="Y359" s="73">
        <f t="shared" si="11"/>
        <v>0</v>
      </c>
      <c r="Z359" s="73">
        <f t="shared" si="12"/>
        <v>16372.16949</v>
      </c>
      <c r="AA359" s="73">
        <f t="shared" si="13"/>
        <v>16372.16949</v>
      </c>
      <c r="AB359" s="74">
        <f t="shared" si="14"/>
        <v>1</v>
      </c>
      <c r="AC359" s="61" t="str">
        <f t="shared" si="15"/>
        <v>8</v>
      </c>
      <c r="AD359" s="71" t="str">
        <f t="shared" si="16"/>
        <v>#DIV/0!</v>
      </c>
      <c r="AE359" s="73">
        <f t="shared" ref="AE359:AE361" si="317">Q359/118%-Y359</f>
        <v>16956.88983</v>
      </c>
      <c r="AF359" s="74">
        <f t="shared" ref="AF359:AF361" si="318">AE359/(Q359/1.18)</f>
        <v>1</v>
      </c>
      <c r="AG359" s="71">
        <f t="array" ref="AG359">IFERROR(xlookup(G359,'Old Master'!T:T,'Old Master'!V:V),N359)</f>
        <v>0.16</v>
      </c>
      <c r="AH359" s="73">
        <f t="shared" si="229"/>
        <v>19319.16</v>
      </c>
      <c r="AI359" s="73">
        <f t="shared" si="230"/>
        <v>16372.16949</v>
      </c>
      <c r="AJ359" s="72">
        <f t="shared" si="19"/>
        <v>1</v>
      </c>
      <c r="AK359" s="61"/>
      <c r="AL359" s="71">
        <f t="array" ref="AL359">iferror(if(isblank(xlookup($G359,'Old Master'!$T:$T,'Old Master'!$W:$W)),AG359,xlookup($G359,'Old Master'!$T:$T,'Old Master'!$W:$W)),AG359)</f>
        <v>0.16</v>
      </c>
      <c r="AM359" s="74">
        <f t="shared" si="20"/>
        <v>0.1608765599</v>
      </c>
      <c r="AN359" s="73">
        <f t="shared" ref="AN359:AN382" si="319">mround($I359*(1-AL359),100)-1</f>
        <v>19299</v>
      </c>
    </row>
    <row r="360">
      <c r="A360" s="65" t="s">
        <v>957</v>
      </c>
      <c r="B360" s="65">
        <f t="shared" si="1"/>
        <v>60</v>
      </c>
      <c r="C360" s="65" t="str">
        <f t="shared" si="248"/>
        <v>SC-HYB-LATEX-Q-84x62x8</v>
      </c>
      <c r="D360" s="65">
        <v>0.0</v>
      </c>
      <c r="E360" s="65">
        <v>0.0</v>
      </c>
      <c r="F360" s="65" t="s">
        <v>960</v>
      </c>
      <c r="G360" s="65" t="s">
        <v>5108</v>
      </c>
      <c r="H360" s="65" t="s">
        <v>52</v>
      </c>
      <c r="I360" s="65">
        <v>22999.0</v>
      </c>
      <c r="J360" s="66">
        <v>0.0</v>
      </c>
      <c r="K360" s="65">
        <f t="shared" si="3"/>
        <v>22999</v>
      </c>
      <c r="L360" s="66">
        <v>0.2</v>
      </c>
      <c r="M360" s="65">
        <f t="shared" si="4"/>
        <v>18399</v>
      </c>
      <c r="N360" s="75">
        <v>0.16</v>
      </c>
      <c r="O360" s="68">
        <f t="shared" si="313"/>
        <v>19319.16</v>
      </c>
      <c r="P360" s="75">
        <v>0.13</v>
      </c>
      <c r="Q360" s="68">
        <f t="shared" si="314"/>
        <v>20009.13</v>
      </c>
      <c r="R360" s="71">
        <f t="shared" si="315"/>
        <v>0.08751182129</v>
      </c>
      <c r="S360" s="71">
        <f t="shared" si="316"/>
        <v>0.05001141366</v>
      </c>
      <c r="T360" s="72">
        <f t="shared" si="6"/>
        <v>0</v>
      </c>
      <c r="U360" s="73" t="str">
        <f t="shared" si="293"/>
        <v/>
      </c>
      <c r="V360" s="73">
        <f t="shared" si="303"/>
        <v>15592.37288</v>
      </c>
      <c r="W360" s="73">
        <f t="shared" si="9"/>
        <v>15592.37288</v>
      </c>
      <c r="X360" s="74">
        <f t="shared" si="10"/>
        <v>1</v>
      </c>
      <c r="Y360" s="73">
        <f t="shared" si="11"/>
        <v>0</v>
      </c>
      <c r="Z360" s="73">
        <f t="shared" si="12"/>
        <v>16372.16949</v>
      </c>
      <c r="AA360" s="73">
        <f t="shared" si="13"/>
        <v>16372.16949</v>
      </c>
      <c r="AB360" s="74">
        <f t="shared" si="14"/>
        <v>1</v>
      </c>
      <c r="AC360" s="61" t="str">
        <f t="shared" si="15"/>
        <v>8</v>
      </c>
      <c r="AD360" s="71" t="str">
        <f t="shared" si="16"/>
        <v>#DIV/0!</v>
      </c>
      <c r="AE360" s="73">
        <f t="shared" si="317"/>
        <v>16956.88983</v>
      </c>
      <c r="AF360" s="74">
        <f t="shared" si="318"/>
        <v>1</v>
      </c>
      <c r="AG360" s="71">
        <f t="array" ref="AG360">IFERROR(xlookup(G360,'Old Master'!T:T,'Old Master'!V:V),N360)</f>
        <v>0.16</v>
      </c>
      <c r="AH360" s="73">
        <f t="shared" si="229"/>
        <v>19319.16</v>
      </c>
      <c r="AI360" s="73">
        <f t="shared" si="230"/>
        <v>16372.16949</v>
      </c>
      <c r="AJ360" s="72">
        <f t="shared" si="19"/>
        <v>1</v>
      </c>
      <c r="AK360" s="61"/>
      <c r="AL360" s="71">
        <f t="array" ref="AL360">iferror(if(isblank(xlookup($G360,'Old Master'!$T:$T,'Old Master'!$W:$W)),AG360,xlookup($G360,'Old Master'!$T:$T,'Old Master'!$W:$W)),AG360)</f>
        <v>0.16</v>
      </c>
      <c r="AM360" s="74">
        <f t="shared" si="20"/>
        <v>0.1608765599</v>
      </c>
      <c r="AN360" s="73">
        <f t="shared" si="319"/>
        <v>19299</v>
      </c>
    </row>
    <row r="361">
      <c r="A361" s="65" t="s">
        <v>993</v>
      </c>
      <c r="B361" s="65">
        <f t="shared" si="1"/>
        <v>66</v>
      </c>
      <c r="C361" s="65" t="str">
        <f t="shared" si="248"/>
        <v>SC-HYB-LATEX-Q-84x68x8</v>
      </c>
      <c r="D361" s="65">
        <v>0.0</v>
      </c>
      <c r="E361" s="65">
        <v>0.0</v>
      </c>
      <c r="F361" s="65" t="s">
        <v>996</v>
      </c>
      <c r="G361" s="65" t="s">
        <v>5108</v>
      </c>
      <c r="H361" s="65" t="s">
        <v>52</v>
      </c>
      <c r="I361" s="65">
        <v>26999.0</v>
      </c>
      <c r="J361" s="66">
        <v>0.0</v>
      </c>
      <c r="K361" s="65">
        <f t="shared" si="3"/>
        <v>26999</v>
      </c>
      <c r="L361" s="66">
        <v>0.2</v>
      </c>
      <c r="M361" s="65">
        <f t="shared" si="4"/>
        <v>21599</v>
      </c>
      <c r="N361" s="75">
        <v>0.16</v>
      </c>
      <c r="O361" s="68">
        <f t="shared" si="313"/>
        <v>22679.16</v>
      </c>
      <c r="P361" s="75">
        <v>0.13</v>
      </c>
      <c r="Q361" s="68">
        <f t="shared" si="314"/>
        <v>23489.13</v>
      </c>
      <c r="R361" s="71">
        <f t="shared" si="315"/>
        <v>0.08751006991</v>
      </c>
      <c r="S361" s="71">
        <f t="shared" si="316"/>
        <v>0.05000972267</v>
      </c>
      <c r="T361" s="72">
        <f t="shared" si="6"/>
        <v>0</v>
      </c>
      <c r="U361" s="73">
        <f t="array" ref="U361">IFERROR(XLOOKUP(A361,COGS!I:I,COGS!J:J), IFERROR(XLOOKUP(C361,COGS!I:I,COGS!J:J),I361*35%))</f>
        <v>9449.65</v>
      </c>
      <c r="V361" s="73">
        <f t="shared" si="303"/>
        <v>18304.23729</v>
      </c>
      <c r="W361" s="73">
        <f t="shared" si="9"/>
        <v>8854.587288</v>
      </c>
      <c r="X361" s="74">
        <f t="shared" si="10"/>
        <v>0.4837452197</v>
      </c>
      <c r="Y361" s="73">
        <f t="shared" si="11"/>
        <v>10867.0975</v>
      </c>
      <c r="Z361" s="73">
        <f t="shared" si="12"/>
        <v>19219.62712</v>
      </c>
      <c r="AA361" s="73">
        <f t="shared" si="13"/>
        <v>8352.529619</v>
      </c>
      <c r="AB361" s="74">
        <f t="shared" si="14"/>
        <v>0.4345833333</v>
      </c>
      <c r="AC361" s="61" t="str">
        <f t="shared" si="15"/>
        <v>8</v>
      </c>
      <c r="AD361" s="71">
        <f t="shared" si="16"/>
        <v>0.15</v>
      </c>
      <c r="AE361" s="73">
        <f t="shared" si="317"/>
        <v>9038.944873</v>
      </c>
      <c r="AF361" s="74">
        <f t="shared" si="318"/>
        <v>0.4540804598</v>
      </c>
      <c r="AG361" s="71">
        <f t="array" ref="AG361">IFERROR(xlookup(G361,'Old Master'!T:T,'Old Master'!V:V),N361)</f>
        <v>0.16</v>
      </c>
      <c r="AH361" s="73">
        <f t="shared" si="229"/>
        <v>22679.16</v>
      </c>
      <c r="AI361" s="73">
        <f t="shared" si="230"/>
        <v>8352.529619</v>
      </c>
      <c r="AJ361" s="72">
        <f t="shared" si="19"/>
        <v>0.4345833333</v>
      </c>
      <c r="AK361" s="61"/>
      <c r="AL361" s="71">
        <f t="array" ref="AL361">iferror(if(isblank(xlookup($G361,'Old Master'!$T:$T,'Old Master'!$W:$W)),AG361,xlookup($G361,'Old Master'!$T:$T,'Old Master'!$W:$W)),AG361)</f>
        <v>0.16</v>
      </c>
      <c r="AM361" s="74">
        <f t="shared" si="20"/>
        <v>0.159265158</v>
      </c>
      <c r="AN361" s="73">
        <f t="shared" si="319"/>
        <v>22699</v>
      </c>
    </row>
    <row r="362">
      <c r="A362" s="65" t="s">
        <v>3331</v>
      </c>
      <c r="B362" s="65" t="str">
        <f t="shared" si="1"/>
        <v>#VALUE!</v>
      </c>
      <c r="C362" s="65" t="str">
        <f t="shared" si="248"/>
        <v>#VALUE!</v>
      </c>
      <c r="D362" s="65" t="s">
        <v>3333</v>
      </c>
      <c r="E362" s="65" t="s">
        <v>3334</v>
      </c>
      <c r="F362" s="65" t="s">
        <v>3335</v>
      </c>
      <c r="G362" s="65" t="s">
        <v>5086</v>
      </c>
      <c r="H362" s="65" t="s">
        <v>4730</v>
      </c>
      <c r="I362" s="65">
        <v>2189.0</v>
      </c>
      <c r="J362" s="66">
        <v>0.1</v>
      </c>
      <c r="K362" s="65">
        <f t="shared" si="3"/>
        <v>1970</v>
      </c>
      <c r="L362" s="66">
        <v>0.1</v>
      </c>
      <c r="M362" s="65">
        <f t="shared" si="4"/>
        <v>1970</v>
      </c>
      <c r="N362" s="67">
        <f t="shared" ref="N362:N434" si="320">1-O362/I362</f>
        <v>0.08679762449</v>
      </c>
      <c r="O362" s="78">
        <v>1999.0</v>
      </c>
      <c r="P362" s="67">
        <f>1-Q362/I362</f>
        <v>0.08679762449</v>
      </c>
      <c r="Q362" s="79">
        <v>1999.0</v>
      </c>
      <c r="R362" s="70"/>
      <c r="S362" s="71">
        <f>O362/K362-1</f>
        <v>0.01472081218</v>
      </c>
      <c r="T362" s="72">
        <f t="shared" si="6"/>
        <v>0</v>
      </c>
      <c r="U362" s="73" t="str">
        <f t="shared" ref="U362:U394" si="321">IFERROR(XLOOKUP(A362,COGS!I:I,COGS!J:J), IFERROR(XLOOKUP(C362,COGS!I:I,COGS!J:J),""))</f>
        <v/>
      </c>
      <c r="V362" s="73">
        <f t="shared" si="303"/>
        <v>1669.491525</v>
      </c>
      <c r="W362" s="73">
        <f t="shared" si="9"/>
        <v>1669.491525</v>
      </c>
      <c r="X362" s="74">
        <f t="shared" si="10"/>
        <v>1</v>
      </c>
      <c r="Y362" s="73">
        <f t="shared" si="11"/>
        <v>0</v>
      </c>
      <c r="Z362" s="73">
        <f t="shared" si="12"/>
        <v>1694.067797</v>
      </c>
      <c r="AA362" s="73">
        <f t="shared" si="13"/>
        <v>1694.067797</v>
      </c>
      <c r="AB362" s="74">
        <f t="shared" si="14"/>
        <v>1</v>
      </c>
      <c r="AC362" s="61" t="str">
        <f t="shared" si="15"/>
        <v>2</v>
      </c>
      <c r="AD362" s="71" t="str">
        <f t="shared" si="16"/>
        <v>#DIV/0!</v>
      </c>
      <c r="AE362" s="61"/>
      <c r="AF362" s="61"/>
      <c r="AG362" s="71">
        <f t="array" ref="AG362">IFERROR(xlookup(G362,'Old Master'!T:T,'Old Master'!V:V),N362)</f>
        <v>0.08679762449</v>
      </c>
      <c r="AH362" s="73">
        <f t="shared" si="229"/>
        <v>1999</v>
      </c>
      <c r="AI362" s="73">
        <f t="shared" si="230"/>
        <v>1694.067797</v>
      </c>
      <c r="AJ362" s="72">
        <f t="shared" si="19"/>
        <v>1</v>
      </c>
      <c r="AK362" s="61"/>
      <c r="AL362" s="71">
        <f t="array" ref="AL362">iferror(if(isblank(xlookup($G362,'Old Master'!$T:$T,'Old Master'!$W:$W)),AG362,xlookup($G362,'Old Master'!$T:$T,'Old Master'!$W:$W)),AG362)</f>
        <v>0.08679762449</v>
      </c>
      <c r="AM362" s="74">
        <f t="shared" si="20"/>
        <v>0.08679762449</v>
      </c>
      <c r="AN362" s="73">
        <f t="shared" si="319"/>
        <v>1999</v>
      </c>
    </row>
    <row r="363">
      <c r="A363" s="65" t="s">
        <v>5377</v>
      </c>
      <c r="B363" s="65">
        <f t="shared" si="1"/>
        <v>42</v>
      </c>
      <c r="C363" s="65" t="str">
        <f t="shared" si="248"/>
        <v>SC-LTx-ORTHO-D-72x44x8</v>
      </c>
      <c r="D363" s="65" t="s">
        <v>4057</v>
      </c>
      <c r="E363" s="65">
        <v>0.0</v>
      </c>
      <c r="F363" s="65" t="s">
        <v>4058</v>
      </c>
      <c r="G363" s="65" t="s">
        <v>5118</v>
      </c>
      <c r="H363" s="65" t="s">
        <v>52</v>
      </c>
      <c r="I363" s="81">
        <v>16499.0</v>
      </c>
      <c r="J363" s="66">
        <v>0.23</v>
      </c>
      <c r="K363" s="81">
        <f t="shared" si="3"/>
        <v>12704</v>
      </c>
      <c r="L363" s="66">
        <v>0.2</v>
      </c>
      <c r="M363" s="81">
        <f t="shared" si="4"/>
        <v>13199</v>
      </c>
      <c r="N363" s="67">
        <f t="shared" si="320"/>
        <v>0.3236499182</v>
      </c>
      <c r="O363" s="68">
        <v>11159.1</v>
      </c>
      <c r="P363" s="75">
        <v>0.1</v>
      </c>
      <c r="Q363" s="68">
        <f t="shared" ref="Q363:Q368" si="322">I363*(1-P363)</f>
        <v>14849.1</v>
      </c>
      <c r="R363" s="70"/>
      <c r="S363" s="71">
        <f t="shared" ref="S363:S368" si="323">O363/M363-1</f>
        <v>-0.1545495871</v>
      </c>
      <c r="T363" s="72">
        <f t="shared" si="6"/>
        <v>0</v>
      </c>
      <c r="U363" s="73" t="str">
        <f t="shared" si="321"/>
        <v/>
      </c>
      <c r="V363" s="73">
        <f t="shared" si="303"/>
        <v>11185.59322</v>
      </c>
      <c r="W363" s="73">
        <f t="shared" si="9"/>
        <v>11185.59322</v>
      </c>
      <c r="X363" s="74">
        <f t="shared" si="10"/>
        <v>1</v>
      </c>
      <c r="Y363" s="73">
        <f t="shared" si="11"/>
        <v>0</v>
      </c>
      <c r="Z363" s="73">
        <f t="shared" si="12"/>
        <v>9456.864407</v>
      </c>
      <c r="AA363" s="73">
        <f t="shared" si="13"/>
        <v>9456.864407</v>
      </c>
      <c r="AB363" s="74">
        <f t="shared" si="14"/>
        <v>1</v>
      </c>
      <c r="AC363" s="61" t="str">
        <f t="shared" si="15"/>
        <v>8</v>
      </c>
      <c r="AD363" s="71" t="str">
        <f t="shared" si="16"/>
        <v>#DIV/0!</v>
      </c>
      <c r="AE363" s="61"/>
      <c r="AF363" s="61"/>
      <c r="AG363" s="71">
        <f t="array" ref="AG363">IFERROR(xlookup(G363,'Old Master'!T:T,'Old Master'!V:V),N363)</f>
        <v>0.3236499182</v>
      </c>
      <c r="AH363" s="73">
        <f t="shared" si="229"/>
        <v>11159.1</v>
      </c>
      <c r="AI363" s="73">
        <f t="shared" si="230"/>
        <v>9456.864407</v>
      </c>
      <c r="AJ363" s="72">
        <f t="shared" si="19"/>
        <v>1</v>
      </c>
      <c r="AK363" s="61"/>
      <c r="AL363" s="71">
        <f t="array" ref="AL363">iferror(if(isblank(xlookup($G363,'Old Master'!$T:$T,'Old Master'!$W:$W)),AG363,xlookup($G363,'Old Master'!$T:$T,'Old Master'!$W:$W)),AG363)</f>
        <v>0.3236499182</v>
      </c>
      <c r="AM363" s="74">
        <f t="shared" si="20"/>
        <v>0.3212315898</v>
      </c>
      <c r="AN363" s="73">
        <f t="shared" si="319"/>
        <v>11199</v>
      </c>
    </row>
    <row r="364">
      <c r="A364" s="65" t="s">
        <v>5378</v>
      </c>
      <c r="B364" s="65">
        <f t="shared" si="1"/>
        <v>42</v>
      </c>
      <c r="C364" s="65" t="str">
        <f t="shared" si="248"/>
        <v>SC-LTx-ORTHO-D-75x44x6</v>
      </c>
      <c r="D364" s="65" t="s">
        <v>4047</v>
      </c>
      <c r="E364" s="65">
        <v>0.0</v>
      </c>
      <c r="F364" s="65" t="s">
        <v>4048</v>
      </c>
      <c r="G364" s="65" t="s">
        <v>5118</v>
      </c>
      <c r="H364" s="65" t="s">
        <v>52</v>
      </c>
      <c r="I364" s="81">
        <v>15099.0</v>
      </c>
      <c r="J364" s="66">
        <v>0.23</v>
      </c>
      <c r="K364" s="81">
        <f t="shared" si="3"/>
        <v>11626</v>
      </c>
      <c r="L364" s="66">
        <v>0.2</v>
      </c>
      <c r="M364" s="81">
        <f t="shared" si="4"/>
        <v>12079</v>
      </c>
      <c r="N364" s="67">
        <f t="shared" si="320"/>
        <v>0.3265050666</v>
      </c>
      <c r="O364" s="68">
        <v>10169.1</v>
      </c>
      <c r="P364" s="75">
        <v>0.1</v>
      </c>
      <c r="Q364" s="68">
        <f t="shared" si="322"/>
        <v>13589.1</v>
      </c>
      <c r="R364" s="70"/>
      <c r="S364" s="71">
        <f t="shared" si="323"/>
        <v>-0.1581173938</v>
      </c>
      <c r="T364" s="72">
        <f t="shared" si="6"/>
        <v>0</v>
      </c>
      <c r="U364" s="73" t="str">
        <f t="shared" si="321"/>
        <v/>
      </c>
      <c r="V364" s="73">
        <f t="shared" si="303"/>
        <v>10236.44068</v>
      </c>
      <c r="W364" s="73">
        <f t="shared" si="9"/>
        <v>10236.44068</v>
      </c>
      <c r="X364" s="74">
        <f t="shared" si="10"/>
        <v>1</v>
      </c>
      <c r="Y364" s="73">
        <f t="shared" si="11"/>
        <v>0</v>
      </c>
      <c r="Z364" s="73">
        <f t="shared" si="12"/>
        <v>8617.881356</v>
      </c>
      <c r="AA364" s="73">
        <f t="shared" si="13"/>
        <v>8617.881356</v>
      </c>
      <c r="AB364" s="74">
        <f t="shared" si="14"/>
        <v>1</v>
      </c>
      <c r="AC364" s="61" t="str">
        <f t="shared" si="15"/>
        <v>6</v>
      </c>
      <c r="AD364" s="71" t="str">
        <f t="shared" si="16"/>
        <v>#DIV/0!</v>
      </c>
      <c r="AE364" s="61"/>
      <c r="AF364" s="61"/>
      <c r="AG364" s="71">
        <f t="array" ref="AG364">IFERROR(xlookup(G364,'Old Master'!T:T,'Old Master'!V:V),N364)</f>
        <v>0.3265050666</v>
      </c>
      <c r="AH364" s="73">
        <f t="shared" si="229"/>
        <v>10169.1</v>
      </c>
      <c r="AI364" s="73">
        <f t="shared" si="230"/>
        <v>8617.881356</v>
      </c>
      <c r="AJ364" s="72">
        <f t="shared" si="19"/>
        <v>1</v>
      </c>
      <c r="AK364" s="61"/>
      <c r="AL364" s="71">
        <f t="array" ref="AL364">iferror(if(isblank(xlookup($G364,'Old Master'!$T:$T,'Old Master'!$W:$W)),AG364,xlookup($G364,'Old Master'!$T:$T,'Old Master'!$W:$W)),AG364)</f>
        <v>0.3265050666</v>
      </c>
      <c r="AM364" s="74">
        <f t="shared" si="20"/>
        <v>0.324524803</v>
      </c>
      <c r="AN364" s="73">
        <f t="shared" si="319"/>
        <v>10199</v>
      </c>
    </row>
    <row r="365">
      <c r="A365" s="65" t="s">
        <v>5379</v>
      </c>
      <c r="B365" s="65">
        <f t="shared" si="1"/>
        <v>42</v>
      </c>
      <c r="C365" s="65" t="str">
        <f t="shared" si="248"/>
        <v>SC-LTx-ORTHO-D-75x44x8</v>
      </c>
      <c r="D365" s="65" t="s">
        <v>4062</v>
      </c>
      <c r="E365" s="65">
        <v>0.0</v>
      </c>
      <c r="F365" s="65" t="s">
        <v>4063</v>
      </c>
      <c r="G365" s="65" t="s">
        <v>5118</v>
      </c>
      <c r="H365" s="65" t="s">
        <v>52</v>
      </c>
      <c r="I365" s="81">
        <v>17599.0</v>
      </c>
      <c r="J365" s="66">
        <v>0.23</v>
      </c>
      <c r="K365" s="81">
        <f t="shared" si="3"/>
        <v>13551</v>
      </c>
      <c r="L365" s="66">
        <v>0.2</v>
      </c>
      <c r="M365" s="81">
        <f t="shared" si="4"/>
        <v>14079</v>
      </c>
      <c r="N365" s="67">
        <f t="shared" si="320"/>
        <v>0.3250127848</v>
      </c>
      <c r="O365" s="68">
        <v>11879.1</v>
      </c>
      <c r="P365" s="75">
        <v>0.1</v>
      </c>
      <c r="Q365" s="68">
        <f t="shared" si="322"/>
        <v>15839.1</v>
      </c>
      <c r="R365" s="70"/>
      <c r="S365" s="71">
        <f t="shared" si="323"/>
        <v>-0.1562539953</v>
      </c>
      <c r="T365" s="72">
        <f t="shared" si="6"/>
        <v>0</v>
      </c>
      <c r="U365" s="73" t="str">
        <f t="shared" si="321"/>
        <v/>
      </c>
      <c r="V365" s="73">
        <f t="shared" si="303"/>
        <v>11931.35593</v>
      </c>
      <c r="W365" s="73">
        <f t="shared" si="9"/>
        <v>11931.35593</v>
      </c>
      <c r="X365" s="74">
        <f t="shared" si="10"/>
        <v>1</v>
      </c>
      <c r="Y365" s="73">
        <f t="shared" si="11"/>
        <v>0</v>
      </c>
      <c r="Z365" s="73">
        <f t="shared" si="12"/>
        <v>10067.0339</v>
      </c>
      <c r="AA365" s="73">
        <f t="shared" si="13"/>
        <v>10067.0339</v>
      </c>
      <c r="AB365" s="74">
        <f t="shared" si="14"/>
        <v>1</v>
      </c>
      <c r="AC365" s="61" t="str">
        <f t="shared" si="15"/>
        <v>8</v>
      </c>
      <c r="AD365" s="71" t="str">
        <f t="shared" si="16"/>
        <v>#DIV/0!</v>
      </c>
      <c r="AE365" s="61"/>
      <c r="AF365" s="61"/>
      <c r="AG365" s="71">
        <f t="array" ref="AG365">IFERROR(xlookup(G365,'Old Master'!T:T,'Old Master'!V:V),N365)</f>
        <v>0.3250127848</v>
      </c>
      <c r="AH365" s="73">
        <f t="shared" si="229"/>
        <v>11879.1</v>
      </c>
      <c r="AI365" s="73">
        <f t="shared" si="230"/>
        <v>10067.0339</v>
      </c>
      <c r="AJ365" s="72">
        <f t="shared" si="19"/>
        <v>1</v>
      </c>
      <c r="AK365" s="61"/>
      <c r="AL365" s="71">
        <f t="array" ref="AL365">iferror(if(isblank(xlookup($G365,'Old Master'!$T:$T,'Old Master'!$W:$W)),AG365,xlookup($G365,'Old Master'!$T:$T,'Old Master'!$W:$W)),AG365)</f>
        <v>0.3250127848</v>
      </c>
      <c r="AM365" s="74">
        <f t="shared" si="20"/>
        <v>0.3238820388</v>
      </c>
      <c r="AN365" s="73">
        <f t="shared" si="319"/>
        <v>11899</v>
      </c>
    </row>
    <row r="366">
      <c r="A366" s="65" t="s">
        <v>5380</v>
      </c>
      <c r="B366" s="65">
        <f t="shared" si="1"/>
        <v>30</v>
      </c>
      <c r="C366" s="65" t="str">
        <f t="shared" si="248"/>
        <v>SC-LTx-ORTHO-S-75x32x6</v>
      </c>
      <c r="D366" s="65" t="s">
        <v>3929</v>
      </c>
      <c r="E366" s="65">
        <v>0.0</v>
      </c>
      <c r="F366" s="65" t="s">
        <v>3930</v>
      </c>
      <c r="G366" s="65" t="s">
        <v>5118</v>
      </c>
      <c r="H366" s="65" t="s">
        <v>52</v>
      </c>
      <c r="I366" s="81">
        <v>11699.0</v>
      </c>
      <c r="J366" s="66">
        <v>0.23</v>
      </c>
      <c r="K366" s="81">
        <f t="shared" si="3"/>
        <v>9008</v>
      </c>
      <c r="L366" s="66">
        <v>0.2</v>
      </c>
      <c r="M366" s="81">
        <f t="shared" si="4"/>
        <v>9359</v>
      </c>
      <c r="N366" s="67">
        <f t="shared" si="320"/>
        <v>0.3230959911</v>
      </c>
      <c r="O366" s="68">
        <v>7919.1</v>
      </c>
      <c r="P366" s="75">
        <v>0.1</v>
      </c>
      <c r="Q366" s="68">
        <f t="shared" si="322"/>
        <v>10529.1</v>
      </c>
      <c r="R366" s="70"/>
      <c r="S366" s="71">
        <f t="shared" si="323"/>
        <v>-0.1538519073</v>
      </c>
      <c r="T366" s="72">
        <f t="shared" si="6"/>
        <v>0</v>
      </c>
      <c r="U366" s="73" t="str">
        <f t="shared" si="321"/>
        <v/>
      </c>
      <c r="V366" s="73">
        <f t="shared" si="303"/>
        <v>7931.355932</v>
      </c>
      <c r="W366" s="73">
        <f t="shared" si="9"/>
        <v>7931.355932</v>
      </c>
      <c r="X366" s="74">
        <f t="shared" si="10"/>
        <v>1</v>
      </c>
      <c r="Y366" s="73">
        <f t="shared" si="11"/>
        <v>0</v>
      </c>
      <c r="Z366" s="73">
        <f t="shared" si="12"/>
        <v>6711.101695</v>
      </c>
      <c r="AA366" s="73">
        <f t="shared" si="13"/>
        <v>6711.101695</v>
      </c>
      <c r="AB366" s="74">
        <f t="shared" si="14"/>
        <v>1</v>
      </c>
      <c r="AC366" s="61" t="str">
        <f t="shared" si="15"/>
        <v>6</v>
      </c>
      <c r="AD366" s="71" t="str">
        <f t="shared" si="16"/>
        <v>#DIV/0!</v>
      </c>
      <c r="AE366" s="61"/>
      <c r="AF366" s="61"/>
      <c r="AG366" s="71">
        <f t="array" ref="AG366">IFERROR(xlookup(G366,'Old Master'!T:T,'Old Master'!V:V),N366)</f>
        <v>0.3230959911</v>
      </c>
      <c r="AH366" s="73">
        <f t="shared" si="229"/>
        <v>7919.1</v>
      </c>
      <c r="AI366" s="73">
        <f t="shared" si="230"/>
        <v>6711.101695</v>
      </c>
      <c r="AJ366" s="72">
        <f t="shared" si="19"/>
        <v>1</v>
      </c>
      <c r="AK366" s="61"/>
      <c r="AL366" s="71">
        <f t="array" ref="AL366">iferror(if(isblank(xlookup($G366,'Old Master'!$T:$T,'Old Master'!$W:$W)),AG366,xlookup($G366,'Old Master'!$T:$T,'Old Master'!$W:$W)),AG366)</f>
        <v>0.3230959911</v>
      </c>
      <c r="AM366" s="74">
        <f t="shared" si="20"/>
        <v>0.3248140867</v>
      </c>
      <c r="AN366" s="73">
        <f t="shared" si="319"/>
        <v>7899</v>
      </c>
    </row>
    <row r="367">
      <c r="A367" s="65" t="s">
        <v>5381</v>
      </c>
      <c r="B367" s="65">
        <f t="shared" si="1"/>
        <v>36</v>
      </c>
      <c r="C367" s="65" t="str">
        <f t="shared" si="248"/>
        <v>SC-LTx-ORTHO-S-75x38x8</v>
      </c>
      <c r="D367" s="65" t="s">
        <v>3986</v>
      </c>
      <c r="E367" s="65">
        <v>0.0</v>
      </c>
      <c r="F367" s="65" t="s">
        <v>3987</v>
      </c>
      <c r="G367" s="65" t="s">
        <v>5118</v>
      </c>
      <c r="H367" s="65" t="s">
        <v>52</v>
      </c>
      <c r="I367" s="81">
        <v>15099.0</v>
      </c>
      <c r="J367" s="66">
        <v>0.23</v>
      </c>
      <c r="K367" s="81">
        <f t="shared" si="3"/>
        <v>11626</v>
      </c>
      <c r="L367" s="66">
        <v>0.2</v>
      </c>
      <c r="M367" s="81">
        <f t="shared" si="4"/>
        <v>12079</v>
      </c>
      <c r="N367" s="67">
        <f t="shared" si="320"/>
        <v>0.3265050666</v>
      </c>
      <c r="O367" s="68">
        <v>10169.1</v>
      </c>
      <c r="P367" s="75">
        <v>0.1</v>
      </c>
      <c r="Q367" s="68">
        <f t="shared" si="322"/>
        <v>13589.1</v>
      </c>
      <c r="R367" s="70"/>
      <c r="S367" s="71">
        <f t="shared" si="323"/>
        <v>-0.1581173938</v>
      </c>
      <c r="T367" s="72">
        <f t="shared" si="6"/>
        <v>0</v>
      </c>
      <c r="U367" s="73" t="str">
        <f t="shared" si="321"/>
        <v/>
      </c>
      <c r="V367" s="73">
        <f t="shared" si="303"/>
        <v>10236.44068</v>
      </c>
      <c r="W367" s="73">
        <f t="shared" si="9"/>
        <v>10236.44068</v>
      </c>
      <c r="X367" s="74">
        <f t="shared" si="10"/>
        <v>1</v>
      </c>
      <c r="Y367" s="73">
        <f t="shared" si="11"/>
        <v>0</v>
      </c>
      <c r="Z367" s="73">
        <f t="shared" si="12"/>
        <v>8617.881356</v>
      </c>
      <c r="AA367" s="73">
        <f t="shared" si="13"/>
        <v>8617.881356</v>
      </c>
      <c r="AB367" s="74">
        <f t="shared" si="14"/>
        <v>1</v>
      </c>
      <c r="AC367" s="61" t="str">
        <f t="shared" si="15"/>
        <v>8</v>
      </c>
      <c r="AD367" s="71" t="str">
        <f t="shared" si="16"/>
        <v>#DIV/0!</v>
      </c>
      <c r="AE367" s="61"/>
      <c r="AF367" s="61"/>
      <c r="AG367" s="71">
        <f t="array" ref="AG367">IFERROR(xlookup(G367,'Old Master'!T:T,'Old Master'!V:V),N367)</f>
        <v>0.3265050666</v>
      </c>
      <c r="AH367" s="73">
        <f t="shared" si="229"/>
        <v>10169.1</v>
      </c>
      <c r="AI367" s="73">
        <f t="shared" si="230"/>
        <v>8617.881356</v>
      </c>
      <c r="AJ367" s="72">
        <f t="shared" si="19"/>
        <v>1</v>
      </c>
      <c r="AK367" s="61"/>
      <c r="AL367" s="71">
        <f t="array" ref="AL367">iferror(if(isblank(xlookup($G367,'Old Master'!$T:$T,'Old Master'!$W:$W)),AG367,xlookup($G367,'Old Master'!$T:$T,'Old Master'!$W:$W)),AG367)</f>
        <v>0.3265050666</v>
      </c>
      <c r="AM367" s="74">
        <f t="shared" si="20"/>
        <v>0.324524803</v>
      </c>
      <c r="AN367" s="73">
        <f t="shared" si="319"/>
        <v>10199</v>
      </c>
    </row>
    <row r="368">
      <c r="A368" s="65" t="s">
        <v>5382</v>
      </c>
      <c r="B368" s="65">
        <f t="shared" si="1"/>
        <v>36</v>
      </c>
      <c r="C368" s="65" t="str">
        <f t="shared" si="248"/>
        <v>SC-LTx-ORTHO-S-78x38x8</v>
      </c>
      <c r="D368" s="65" t="s">
        <v>3992</v>
      </c>
      <c r="E368" s="65">
        <v>0.0</v>
      </c>
      <c r="F368" s="65" t="s">
        <v>3994</v>
      </c>
      <c r="G368" s="65" t="s">
        <v>5118</v>
      </c>
      <c r="H368" s="65" t="s">
        <v>52</v>
      </c>
      <c r="I368" s="81">
        <v>15099.0</v>
      </c>
      <c r="J368" s="66">
        <v>0.23</v>
      </c>
      <c r="K368" s="81">
        <f t="shared" si="3"/>
        <v>11626</v>
      </c>
      <c r="L368" s="66">
        <v>0.2</v>
      </c>
      <c r="M368" s="81">
        <f t="shared" si="4"/>
        <v>12079</v>
      </c>
      <c r="N368" s="67">
        <f t="shared" si="320"/>
        <v>0.3265050666</v>
      </c>
      <c r="O368" s="68">
        <v>10169.1</v>
      </c>
      <c r="P368" s="75">
        <v>0.1</v>
      </c>
      <c r="Q368" s="68">
        <f t="shared" si="322"/>
        <v>13589.1</v>
      </c>
      <c r="R368" s="70"/>
      <c r="S368" s="71">
        <f t="shared" si="323"/>
        <v>-0.1581173938</v>
      </c>
      <c r="T368" s="72">
        <f t="shared" si="6"/>
        <v>0</v>
      </c>
      <c r="U368" s="73" t="str">
        <f t="shared" si="321"/>
        <v/>
      </c>
      <c r="V368" s="73">
        <f t="shared" si="303"/>
        <v>10236.44068</v>
      </c>
      <c r="W368" s="73">
        <f t="shared" si="9"/>
        <v>10236.44068</v>
      </c>
      <c r="X368" s="74">
        <f t="shared" si="10"/>
        <v>1</v>
      </c>
      <c r="Y368" s="73">
        <f t="shared" si="11"/>
        <v>0</v>
      </c>
      <c r="Z368" s="73">
        <f t="shared" si="12"/>
        <v>8617.881356</v>
      </c>
      <c r="AA368" s="73">
        <f t="shared" si="13"/>
        <v>8617.881356</v>
      </c>
      <c r="AB368" s="74">
        <f t="shared" si="14"/>
        <v>1</v>
      </c>
      <c r="AC368" s="61" t="str">
        <f t="shared" si="15"/>
        <v>8</v>
      </c>
      <c r="AD368" s="71" t="str">
        <f t="shared" si="16"/>
        <v>#DIV/0!</v>
      </c>
      <c r="AE368" s="61"/>
      <c r="AF368" s="61"/>
      <c r="AG368" s="71">
        <f t="array" ref="AG368">IFERROR(xlookup(G368,'Old Master'!T:T,'Old Master'!V:V),N368)</f>
        <v>0.3265050666</v>
      </c>
      <c r="AH368" s="73">
        <f t="shared" si="229"/>
        <v>10169.1</v>
      </c>
      <c r="AI368" s="73">
        <f t="shared" si="230"/>
        <v>8617.881356</v>
      </c>
      <c r="AJ368" s="72">
        <f t="shared" si="19"/>
        <v>1</v>
      </c>
      <c r="AK368" s="61"/>
      <c r="AL368" s="71">
        <f t="array" ref="AL368">iferror(if(isblank(xlookup($G368,'Old Master'!$T:$T,'Old Master'!$W:$W)),AG368,xlookup($G368,'Old Master'!$T:$T,'Old Master'!$W:$W)),AG368)</f>
        <v>0.3265050666</v>
      </c>
      <c r="AM368" s="74">
        <f t="shared" si="20"/>
        <v>0.324524803</v>
      </c>
      <c r="AN368" s="73">
        <f t="shared" si="319"/>
        <v>10199</v>
      </c>
    </row>
    <row r="369">
      <c r="A369" s="65" t="s">
        <v>3891</v>
      </c>
      <c r="B369" s="65" t="str">
        <f t="shared" si="1"/>
        <v>#VALUE!</v>
      </c>
      <c r="C369" s="65" t="str">
        <f t="shared" si="248"/>
        <v>#VALUE!</v>
      </c>
      <c r="D369" s="65" t="s">
        <v>3893</v>
      </c>
      <c r="E369" s="65">
        <v>0.0</v>
      </c>
      <c r="F369" s="65" t="s">
        <v>3894</v>
      </c>
      <c r="G369" s="65" t="s">
        <v>4727</v>
      </c>
      <c r="H369" s="65" t="s">
        <v>4727</v>
      </c>
      <c r="I369" s="65">
        <v>1999.0</v>
      </c>
      <c r="J369" s="66">
        <v>0.2815485168426345</v>
      </c>
      <c r="K369" s="65">
        <f t="shared" si="3"/>
        <v>1436</v>
      </c>
      <c r="L369" s="66">
        <v>0.3</v>
      </c>
      <c r="M369" s="65">
        <f t="shared" si="4"/>
        <v>1399</v>
      </c>
      <c r="N369" s="67">
        <f t="shared" si="320"/>
        <v>0.20010005</v>
      </c>
      <c r="O369" s="68">
        <v>1599.0</v>
      </c>
      <c r="P369" s="67">
        <f t="shared" ref="P369:P434" si="324">1-Q369/I369</f>
        <v>0.20010005</v>
      </c>
      <c r="Q369" s="69">
        <v>1599.0</v>
      </c>
      <c r="R369" s="70"/>
      <c r="S369" s="71">
        <f t="shared" ref="S369:S372" si="325">O369/K369-1</f>
        <v>0.1135097493</v>
      </c>
      <c r="T369" s="72">
        <f t="shared" si="6"/>
        <v>0</v>
      </c>
      <c r="U369" s="73" t="str">
        <f t="shared" si="321"/>
        <v/>
      </c>
      <c r="V369" s="73">
        <f t="shared" si="303"/>
        <v>1185.59322</v>
      </c>
      <c r="W369" s="73">
        <f t="shared" si="9"/>
        <v>1185.59322</v>
      </c>
      <c r="X369" s="74">
        <f t="shared" si="10"/>
        <v>1</v>
      </c>
      <c r="Y369" s="73">
        <f t="shared" si="11"/>
        <v>0</v>
      </c>
      <c r="Z369" s="73">
        <f t="shared" si="12"/>
        <v>1355.084746</v>
      </c>
      <c r="AA369" s="73">
        <f t="shared" si="13"/>
        <v>1355.084746</v>
      </c>
      <c r="AB369" s="74">
        <f t="shared" si="14"/>
        <v>1</v>
      </c>
      <c r="AC369" s="61" t="str">
        <f t="shared" si="15"/>
        <v>L</v>
      </c>
      <c r="AD369" s="71" t="str">
        <f t="shared" si="16"/>
        <v>#DIV/0!</v>
      </c>
      <c r="AE369" s="61"/>
      <c r="AF369" s="61"/>
      <c r="AG369" s="71">
        <f t="array" ref="AG369">IFERROR(xlookup(G369,'Old Master'!T:T,'Old Master'!V:V),N369)</f>
        <v>0.20010005</v>
      </c>
      <c r="AH369" s="73">
        <f t="shared" si="229"/>
        <v>1599</v>
      </c>
      <c r="AI369" s="73">
        <f t="shared" si="230"/>
        <v>1355.084746</v>
      </c>
      <c r="AJ369" s="72">
        <f t="shared" si="19"/>
        <v>1</v>
      </c>
      <c r="AK369" s="61"/>
      <c r="AL369" s="71">
        <f t="array" ref="AL369">iferror(if(isblank(xlookup($G369,'Old Master'!$T:$T,'Old Master'!$W:$W)),AG369,xlookup($G369,'Old Master'!$T:$T,'Old Master'!$W:$W)),AG369)</f>
        <v>0.20010005</v>
      </c>
      <c r="AM369" s="74">
        <f t="shared" si="20"/>
        <v>0.20010005</v>
      </c>
      <c r="AN369" s="73">
        <f t="shared" si="319"/>
        <v>1599</v>
      </c>
    </row>
    <row r="370">
      <c r="A370" s="65" t="s">
        <v>3871</v>
      </c>
      <c r="B370" s="65" t="str">
        <f t="shared" si="1"/>
        <v>#VALUE!</v>
      </c>
      <c r="C370" s="65" t="str">
        <f t="shared" si="248"/>
        <v>#VALUE!</v>
      </c>
      <c r="D370" s="65" t="s">
        <v>3873</v>
      </c>
      <c r="E370" s="65">
        <v>0.0</v>
      </c>
      <c r="F370" s="65" t="s">
        <v>3874</v>
      </c>
      <c r="G370" s="65" t="s">
        <v>4727</v>
      </c>
      <c r="H370" s="65" t="s">
        <v>4727</v>
      </c>
      <c r="I370" s="65">
        <v>1869.0</v>
      </c>
      <c r="J370" s="66">
        <v>0.2815485168426345</v>
      </c>
      <c r="K370" s="65">
        <f t="shared" si="3"/>
        <v>1343</v>
      </c>
      <c r="L370" s="66">
        <v>0.3</v>
      </c>
      <c r="M370" s="65">
        <f t="shared" si="4"/>
        <v>1308</v>
      </c>
      <c r="N370" s="67">
        <f t="shared" si="320"/>
        <v>0.2001070091</v>
      </c>
      <c r="O370" s="68">
        <v>1495.0</v>
      </c>
      <c r="P370" s="67">
        <f t="shared" si="324"/>
        <v>0.2001070091</v>
      </c>
      <c r="Q370" s="69">
        <v>1495.0</v>
      </c>
      <c r="R370" s="70"/>
      <c r="S370" s="71">
        <f t="shared" si="325"/>
        <v>0.113179449</v>
      </c>
      <c r="T370" s="72">
        <f t="shared" si="6"/>
        <v>0</v>
      </c>
      <c r="U370" s="73" t="str">
        <f t="shared" si="321"/>
        <v/>
      </c>
      <c r="V370" s="73">
        <f t="shared" si="303"/>
        <v>1108.474576</v>
      </c>
      <c r="W370" s="73">
        <f t="shared" si="9"/>
        <v>1108.474576</v>
      </c>
      <c r="X370" s="74">
        <f t="shared" si="10"/>
        <v>1</v>
      </c>
      <c r="Y370" s="73">
        <f t="shared" si="11"/>
        <v>0</v>
      </c>
      <c r="Z370" s="73">
        <f t="shared" si="12"/>
        <v>1266.949153</v>
      </c>
      <c r="AA370" s="73">
        <f t="shared" si="13"/>
        <v>1266.949153</v>
      </c>
      <c r="AB370" s="74">
        <f t="shared" si="14"/>
        <v>1</v>
      </c>
      <c r="AC370" s="61" t="str">
        <f t="shared" si="15"/>
        <v>L</v>
      </c>
      <c r="AD370" s="71" t="str">
        <f t="shared" si="16"/>
        <v>#DIV/0!</v>
      </c>
      <c r="AE370" s="61"/>
      <c r="AF370" s="61"/>
      <c r="AG370" s="71">
        <f t="array" ref="AG370">IFERROR(xlookup(G370,'Old Master'!T:T,'Old Master'!V:V),N370)</f>
        <v>0.2001070091</v>
      </c>
      <c r="AH370" s="73">
        <f t="shared" si="229"/>
        <v>1495</v>
      </c>
      <c r="AI370" s="73">
        <f t="shared" si="230"/>
        <v>1266.949153</v>
      </c>
      <c r="AJ370" s="72">
        <f t="shared" si="19"/>
        <v>1</v>
      </c>
      <c r="AK370" s="61"/>
      <c r="AL370" s="71">
        <f t="array" ref="AL370">iferror(if(isblank(xlookup($G370,'Old Master'!$T:$T,'Old Master'!$W:$W)),AG370,xlookup($G370,'Old Master'!$T:$T,'Old Master'!$W:$W)),AG370)</f>
        <v>0.2001070091</v>
      </c>
      <c r="AM370" s="74">
        <f t="shared" si="20"/>
        <v>0.1979668272</v>
      </c>
      <c r="AN370" s="73">
        <f t="shared" si="319"/>
        <v>1499</v>
      </c>
    </row>
    <row r="371">
      <c r="A371" s="65" t="s">
        <v>3881</v>
      </c>
      <c r="B371" s="65" t="str">
        <f t="shared" si="1"/>
        <v>#VALUE!</v>
      </c>
      <c r="C371" s="65" t="str">
        <f t="shared" si="248"/>
        <v>#VALUE!</v>
      </c>
      <c r="D371" s="65" t="s">
        <v>3883</v>
      </c>
      <c r="E371" s="65">
        <v>0.0</v>
      </c>
      <c r="F371" s="65" t="s">
        <v>3884</v>
      </c>
      <c r="G371" s="65" t="s">
        <v>4727</v>
      </c>
      <c r="H371" s="65" t="s">
        <v>4727</v>
      </c>
      <c r="I371" s="65">
        <v>2499.0</v>
      </c>
      <c r="J371" s="66">
        <v>0.2815485168426345</v>
      </c>
      <c r="K371" s="65">
        <f t="shared" si="3"/>
        <v>1795</v>
      </c>
      <c r="L371" s="66">
        <v>0.3</v>
      </c>
      <c r="M371" s="65">
        <f t="shared" si="4"/>
        <v>1749</v>
      </c>
      <c r="N371" s="67">
        <f t="shared" si="320"/>
        <v>0.200080032</v>
      </c>
      <c r="O371" s="68">
        <v>1999.0</v>
      </c>
      <c r="P371" s="67">
        <f t="shared" si="324"/>
        <v>0.200080032</v>
      </c>
      <c r="Q371" s="69">
        <v>1999.0</v>
      </c>
      <c r="R371" s="70"/>
      <c r="S371" s="71">
        <f t="shared" si="325"/>
        <v>0.1136490251</v>
      </c>
      <c r="T371" s="72">
        <f t="shared" si="6"/>
        <v>0</v>
      </c>
      <c r="U371" s="73" t="str">
        <f t="shared" si="321"/>
        <v/>
      </c>
      <c r="V371" s="73">
        <f t="shared" si="303"/>
        <v>1482.20339</v>
      </c>
      <c r="W371" s="73">
        <f t="shared" si="9"/>
        <v>1482.20339</v>
      </c>
      <c r="X371" s="74">
        <f t="shared" si="10"/>
        <v>1</v>
      </c>
      <c r="Y371" s="73">
        <f t="shared" si="11"/>
        <v>0</v>
      </c>
      <c r="Z371" s="73">
        <f t="shared" si="12"/>
        <v>1694.067797</v>
      </c>
      <c r="AA371" s="73">
        <f t="shared" si="13"/>
        <v>1694.067797</v>
      </c>
      <c r="AB371" s="74">
        <f t="shared" si="14"/>
        <v>1</v>
      </c>
      <c r="AC371" s="61" t="str">
        <f t="shared" si="15"/>
        <v>L</v>
      </c>
      <c r="AD371" s="71" t="str">
        <f t="shared" si="16"/>
        <v>#DIV/0!</v>
      </c>
      <c r="AE371" s="61"/>
      <c r="AF371" s="61"/>
      <c r="AG371" s="71">
        <f t="array" ref="AG371">IFERROR(xlookup(G371,'Old Master'!T:T,'Old Master'!V:V),N371)</f>
        <v>0.200080032</v>
      </c>
      <c r="AH371" s="73">
        <f t="shared" si="229"/>
        <v>1999</v>
      </c>
      <c r="AI371" s="73">
        <f t="shared" si="230"/>
        <v>1694.067797</v>
      </c>
      <c r="AJ371" s="72">
        <f t="shared" si="19"/>
        <v>1</v>
      </c>
      <c r="AK371" s="61"/>
      <c r="AL371" s="71">
        <f t="array" ref="AL371">iferror(if(isblank(xlookup($G371,'Old Master'!$T:$T,'Old Master'!$W:$W)),AG371,xlookup($G371,'Old Master'!$T:$T,'Old Master'!$W:$W)),AG371)</f>
        <v>0.200080032</v>
      </c>
      <c r="AM371" s="74">
        <f t="shared" si="20"/>
        <v>0.200080032</v>
      </c>
      <c r="AN371" s="73">
        <f t="shared" si="319"/>
        <v>1999</v>
      </c>
    </row>
    <row r="372">
      <c r="A372" s="65" t="s">
        <v>3901</v>
      </c>
      <c r="B372" s="65" t="str">
        <f t="shared" si="1"/>
        <v>#VALUE!</v>
      </c>
      <c r="C372" s="65" t="str">
        <f t="shared" si="248"/>
        <v>#VALUE!</v>
      </c>
      <c r="D372" s="65" t="s">
        <v>3903</v>
      </c>
      <c r="E372" s="65">
        <v>0.0</v>
      </c>
      <c r="F372" s="65" t="s">
        <v>3904</v>
      </c>
      <c r="G372" s="65" t="s">
        <v>4727</v>
      </c>
      <c r="H372" s="65" t="s">
        <v>4727</v>
      </c>
      <c r="I372" s="65">
        <v>1999.0</v>
      </c>
      <c r="J372" s="66">
        <v>0.2815485168426345</v>
      </c>
      <c r="K372" s="65">
        <f t="shared" si="3"/>
        <v>1436</v>
      </c>
      <c r="L372" s="66">
        <v>0.3</v>
      </c>
      <c r="M372" s="65">
        <f t="shared" si="4"/>
        <v>1399</v>
      </c>
      <c r="N372" s="67">
        <f t="shared" si="320"/>
        <v>0.20010005</v>
      </c>
      <c r="O372" s="68">
        <v>1599.0</v>
      </c>
      <c r="P372" s="67">
        <f t="shared" si="324"/>
        <v>0.20010005</v>
      </c>
      <c r="Q372" s="69">
        <v>1599.0</v>
      </c>
      <c r="R372" s="70"/>
      <c r="S372" s="71">
        <f t="shared" si="325"/>
        <v>0.1135097493</v>
      </c>
      <c r="T372" s="72">
        <f t="shared" si="6"/>
        <v>0</v>
      </c>
      <c r="U372" s="73" t="str">
        <f t="shared" si="321"/>
        <v/>
      </c>
      <c r="V372" s="73">
        <f t="shared" si="303"/>
        <v>1185.59322</v>
      </c>
      <c r="W372" s="73">
        <f t="shared" si="9"/>
        <v>1185.59322</v>
      </c>
      <c r="X372" s="74">
        <f t="shared" si="10"/>
        <v>1</v>
      </c>
      <c r="Y372" s="73">
        <f t="shared" si="11"/>
        <v>0</v>
      </c>
      <c r="Z372" s="73">
        <f t="shared" si="12"/>
        <v>1355.084746</v>
      </c>
      <c r="AA372" s="73">
        <f t="shared" si="13"/>
        <v>1355.084746</v>
      </c>
      <c r="AB372" s="74">
        <f t="shared" si="14"/>
        <v>1</v>
      </c>
      <c r="AC372" s="61" t="str">
        <f t="shared" si="15"/>
        <v>L</v>
      </c>
      <c r="AD372" s="71" t="str">
        <f t="shared" si="16"/>
        <v>#DIV/0!</v>
      </c>
      <c r="AE372" s="61"/>
      <c r="AF372" s="61"/>
      <c r="AG372" s="71">
        <f t="array" ref="AG372">IFERROR(xlookup(G372,'Old Master'!T:T,'Old Master'!V:V),N372)</f>
        <v>0.20010005</v>
      </c>
      <c r="AH372" s="73">
        <f t="shared" si="229"/>
        <v>1599</v>
      </c>
      <c r="AI372" s="73">
        <f t="shared" si="230"/>
        <v>1355.084746</v>
      </c>
      <c r="AJ372" s="72">
        <f t="shared" si="19"/>
        <v>1</v>
      </c>
      <c r="AK372" s="61"/>
      <c r="AL372" s="71">
        <f t="array" ref="AL372">iferror(if(isblank(xlookup($G372,'Old Master'!$T:$T,'Old Master'!$W:$W)),AG372,xlookup($G372,'Old Master'!$T:$T,'Old Master'!$W:$W)),AG372)</f>
        <v>0.20010005</v>
      </c>
      <c r="AM372" s="74">
        <f t="shared" si="20"/>
        <v>0.20010005</v>
      </c>
      <c r="AN372" s="73">
        <f t="shared" si="319"/>
        <v>1599</v>
      </c>
    </row>
    <row r="373">
      <c r="A373" s="65" t="s">
        <v>166</v>
      </c>
      <c r="B373" s="65">
        <f t="shared" si="1"/>
        <v>30</v>
      </c>
      <c r="C373" s="65" t="str">
        <f t="shared" si="248"/>
        <v>SC-ORIG-S-72x32x4</v>
      </c>
      <c r="D373" s="65" t="s">
        <v>168</v>
      </c>
      <c r="E373" s="65">
        <v>0.0</v>
      </c>
      <c r="F373" s="65" t="s">
        <v>169</v>
      </c>
      <c r="G373" s="65" t="s">
        <v>51</v>
      </c>
      <c r="H373" s="65" t="s">
        <v>52</v>
      </c>
      <c r="I373" s="65">
        <v>7359.0</v>
      </c>
      <c r="J373" s="66">
        <v>0.28</v>
      </c>
      <c r="K373" s="65">
        <f t="shared" si="3"/>
        <v>5298</v>
      </c>
      <c r="L373" s="66">
        <v>0.24</v>
      </c>
      <c r="M373" s="65">
        <f t="shared" si="4"/>
        <v>5593</v>
      </c>
      <c r="N373" s="67">
        <f t="shared" si="320"/>
        <v>0.1899714635</v>
      </c>
      <c r="O373" s="68">
        <v>5961.0</v>
      </c>
      <c r="P373" s="67">
        <f t="shared" si="324"/>
        <v>0.1899714635</v>
      </c>
      <c r="Q373" s="69">
        <v>5961.0</v>
      </c>
      <c r="R373" s="76"/>
      <c r="S373" s="72">
        <f t="shared" ref="S373:S381" si="326">O373/M373-1</f>
        <v>0.06579653138</v>
      </c>
      <c r="T373" s="72">
        <f t="shared" si="6"/>
        <v>0</v>
      </c>
      <c r="U373" s="73" t="str">
        <f t="shared" si="321"/>
        <v/>
      </c>
      <c r="V373" s="73">
        <f t="shared" si="303"/>
        <v>4739.830508</v>
      </c>
      <c r="W373" s="73">
        <f t="shared" si="9"/>
        <v>4739.830508</v>
      </c>
      <c r="X373" s="74">
        <f t="shared" si="10"/>
        <v>1</v>
      </c>
      <c r="Y373" s="73">
        <f t="shared" si="11"/>
        <v>0</v>
      </c>
      <c r="Z373" s="73">
        <f t="shared" si="12"/>
        <v>5051.694915</v>
      </c>
      <c r="AA373" s="73">
        <f t="shared" si="13"/>
        <v>5051.694915</v>
      </c>
      <c r="AB373" s="74">
        <f t="shared" si="14"/>
        <v>1</v>
      </c>
      <c r="AC373" s="61" t="str">
        <f t="shared" si="15"/>
        <v>4</v>
      </c>
      <c r="AD373" s="71" t="str">
        <f t="shared" si="16"/>
        <v>#DIV/0!</v>
      </c>
      <c r="AE373" s="61"/>
      <c r="AF373" s="61"/>
      <c r="AG373" s="71">
        <f t="array" ref="AG373">IFERROR(xlookup(G373,'Old Master'!T:T,'Old Master'!V:V),N373)</f>
        <v>0.1899714635</v>
      </c>
      <c r="AH373" s="73">
        <f t="shared" si="229"/>
        <v>5961</v>
      </c>
      <c r="AI373" s="73">
        <f t="shared" si="230"/>
        <v>5051.694915</v>
      </c>
      <c r="AJ373" s="72">
        <f t="shared" si="19"/>
        <v>1</v>
      </c>
      <c r="AK373" s="61"/>
      <c r="AL373" s="71">
        <f t="array" ref="AL373">iferror(if(isblank(xlookup($G373,'Old Master'!$T:$T,'Old Master'!$W:$W)),AG373,xlookup($G373,'Old Master'!$T:$T,'Old Master'!$W:$W)),AG373)</f>
        <v>0.1899714635</v>
      </c>
      <c r="AM373" s="74">
        <f t="shared" si="20"/>
        <v>0.1848077184</v>
      </c>
      <c r="AN373" s="73">
        <f t="shared" si="319"/>
        <v>5999</v>
      </c>
    </row>
    <row r="374">
      <c r="A374" s="65" t="s">
        <v>289</v>
      </c>
      <c r="B374" s="65">
        <f t="shared" si="1"/>
        <v>48</v>
      </c>
      <c r="C374" s="65" t="str">
        <f t="shared" si="248"/>
        <v>SC-ORIG-D-75x50x5</v>
      </c>
      <c r="D374" s="65" t="s">
        <v>291</v>
      </c>
      <c r="E374" s="65">
        <v>0.0</v>
      </c>
      <c r="F374" s="65" t="s">
        <v>292</v>
      </c>
      <c r="G374" s="65" t="s">
        <v>51</v>
      </c>
      <c r="H374" s="65" t="s">
        <v>52</v>
      </c>
      <c r="I374" s="65">
        <v>12909.0</v>
      </c>
      <c r="J374" s="66">
        <v>0.28</v>
      </c>
      <c r="K374" s="65">
        <f t="shared" si="3"/>
        <v>9294</v>
      </c>
      <c r="L374" s="66">
        <v>0.24</v>
      </c>
      <c r="M374" s="65">
        <f t="shared" si="4"/>
        <v>9811</v>
      </c>
      <c r="N374" s="67">
        <f t="shared" si="320"/>
        <v>0.1900224649</v>
      </c>
      <c r="O374" s="68">
        <v>10456.0</v>
      </c>
      <c r="P374" s="67">
        <f t="shared" si="324"/>
        <v>0.1900224649</v>
      </c>
      <c r="Q374" s="69">
        <v>10456.0</v>
      </c>
      <c r="R374" s="76"/>
      <c r="S374" s="72">
        <f t="shared" si="326"/>
        <v>0.06574253389</v>
      </c>
      <c r="T374" s="72">
        <f t="shared" si="6"/>
        <v>0</v>
      </c>
      <c r="U374" s="73" t="str">
        <f t="shared" si="321"/>
        <v/>
      </c>
      <c r="V374" s="73">
        <f t="shared" si="303"/>
        <v>8314.40678</v>
      </c>
      <c r="W374" s="73">
        <f t="shared" si="9"/>
        <v>8314.40678</v>
      </c>
      <c r="X374" s="74">
        <f t="shared" si="10"/>
        <v>1</v>
      </c>
      <c r="Y374" s="73">
        <f t="shared" si="11"/>
        <v>0</v>
      </c>
      <c r="Z374" s="73">
        <f t="shared" si="12"/>
        <v>8861.016949</v>
      </c>
      <c r="AA374" s="73">
        <f t="shared" si="13"/>
        <v>8861.016949</v>
      </c>
      <c r="AB374" s="74">
        <f t="shared" si="14"/>
        <v>1</v>
      </c>
      <c r="AC374" s="61" t="str">
        <f t="shared" si="15"/>
        <v>5</v>
      </c>
      <c r="AD374" s="71" t="str">
        <f t="shared" si="16"/>
        <v>#DIV/0!</v>
      </c>
      <c r="AE374" s="61"/>
      <c r="AF374" s="61"/>
      <c r="AG374" s="71">
        <f t="array" ref="AG374">IFERROR(xlookup(G374,'Old Master'!T:T,'Old Master'!V:V),N374)</f>
        <v>0.1900224649</v>
      </c>
      <c r="AH374" s="73">
        <f t="shared" si="229"/>
        <v>10456</v>
      </c>
      <c r="AI374" s="73">
        <f t="shared" si="230"/>
        <v>8861.016949</v>
      </c>
      <c r="AJ374" s="72">
        <f t="shared" si="19"/>
        <v>1</v>
      </c>
      <c r="AK374" s="61"/>
      <c r="AL374" s="71">
        <f t="array" ref="AL374">iferror(if(isblank(xlookup($G374,'Old Master'!$T:$T,'Old Master'!$W:$W)),AG374,xlookup($G374,'Old Master'!$T:$T,'Old Master'!$W:$W)),AG374)</f>
        <v>0.1900224649</v>
      </c>
      <c r="AM374" s="74">
        <f t="shared" si="20"/>
        <v>0.1866914556</v>
      </c>
      <c r="AN374" s="73">
        <f t="shared" si="319"/>
        <v>10499</v>
      </c>
    </row>
    <row r="375">
      <c r="A375" s="65" t="s">
        <v>294</v>
      </c>
      <c r="B375" s="65">
        <f t="shared" si="1"/>
        <v>48</v>
      </c>
      <c r="C375" s="65" t="str">
        <f t="shared" si="248"/>
        <v>SC-ORIG-D-78x50x5</v>
      </c>
      <c r="D375" s="65" t="s">
        <v>296</v>
      </c>
      <c r="E375" s="65">
        <v>0.0</v>
      </c>
      <c r="F375" s="65" t="s">
        <v>297</v>
      </c>
      <c r="G375" s="65" t="s">
        <v>51</v>
      </c>
      <c r="H375" s="65" t="s">
        <v>52</v>
      </c>
      <c r="I375" s="65">
        <v>13189.0</v>
      </c>
      <c r="J375" s="66">
        <v>0.28</v>
      </c>
      <c r="K375" s="65">
        <f t="shared" si="3"/>
        <v>9496</v>
      </c>
      <c r="L375" s="66">
        <v>0.24</v>
      </c>
      <c r="M375" s="65">
        <f t="shared" si="4"/>
        <v>10024</v>
      </c>
      <c r="N375" s="67">
        <f t="shared" si="320"/>
        <v>0.1900068239</v>
      </c>
      <c r="O375" s="68">
        <v>10683.0</v>
      </c>
      <c r="P375" s="67">
        <f t="shared" si="324"/>
        <v>0.1900068239</v>
      </c>
      <c r="Q375" s="69">
        <v>10683.0</v>
      </c>
      <c r="R375" s="76"/>
      <c r="S375" s="72">
        <f t="shared" si="326"/>
        <v>0.06574221868</v>
      </c>
      <c r="T375" s="72">
        <f t="shared" si="6"/>
        <v>0</v>
      </c>
      <c r="U375" s="73" t="str">
        <f t="shared" si="321"/>
        <v/>
      </c>
      <c r="V375" s="73">
        <f t="shared" si="303"/>
        <v>8494.915254</v>
      </c>
      <c r="W375" s="73">
        <f t="shared" si="9"/>
        <v>8494.915254</v>
      </c>
      <c r="X375" s="74">
        <f t="shared" si="10"/>
        <v>1</v>
      </c>
      <c r="Y375" s="73">
        <f t="shared" si="11"/>
        <v>0</v>
      </c>
      <c r="Z375" s="73">
        <f t="shared" si="12"/>
        <v>9053.389831</v>
      </c>
      <c r="AA375" s="73">
        <f t="shared" si="13"/>
        <v>9053.389831</v>
      </c>
      <c r="AB375" s="74">
        <f t="shared" si="14"/>
        <v>1</v>
      </c>
      <c r="AC375" s="61" t="str">
        <f t="shared" si="15"/>
        <v>5</v>
      </c>
      <c r="AD375" s="71" t="str">
        <f t="shared" si="16"/>
        <v>#DIV/0!</v>
      </c>
      <c r="AE375" s="61"/>
      <c r="AF375" s="61"/>
      <c r="AG375" s="71">
        <f t="array" ref="AG375">IFERROR(xlookup(G375,'Old Master'!T:T,'Old Master'!V:V),N375)</f>
        <v>0.1900068239</v>
      </c>
      <c r="AH375" s="73">
        <f t="shared" si="229"/>
        <v>10683</v>
      </c>
      <c r="AI375" s="73">
        <f t="shared" si="230"/>
        <v>9053.389831</v>
      </c>
      <c r="AJ375" s="72">
        <f t="shared" si="19"/>
        <v>1</v>
      </c>
      <c r="AK375" s="61"/>
      <c r="AL375" s="71">
        <f t="array" ref="AL375">iferror(if(isblank(xlookup($G375,'Old Master'!$T:$T,'Old Master'!$W:$W)),AG375,xlookup($G375,'Old Master'!$T:$T,'Old Master'!$W:$W)),AG375)</f>
        <v>0.1900068239</v>
      </c>
      <c r="AM375" s="74">
        <f t="shared" si="20"/>
        <v>0.1887936917</v>
      </c>
      <c r="AN375" s="73">
        <f t="shared" si="319"/>
        <v>10699</v>
      </c>
    </row>
    <row r="376">
      <c r="A376" s="65" t="s">
        <v>546</v>
      </c>
      <c r="B376" s="65">
        <f t="shared" si="1"/>
        <v>66</v>
      </c>
      <c r="C376" s="65" t="str">
        <f t="shared" si="248"/>
        <v>SC-ORIG-Q-75x68x4</v>
      </c>
      <c r="D376" s="65" t="s">
        <v>548</v>
      </c>
      <c r="E376" s="65">
        <v>0.0</v>
      </c>
      <c r="F376" s="65" t="s">
        <v>549</v>
      </c>
      <c r="G376" s="65" t="s">
        <v>51</v>
      </c>
      <c r="H376" s="65" t="s">
        <v>52</v>
      </c>
      <c r="I376" s="65">
        <v>12889.0</v>
      </c>
      <c r="J376" s="66">
        <v>0.28</v>
      </c>
      <c r="K376" s="65">
        <f t="shared" si="3"/>
        <v>9280</v>
      </c>
      <c r="L376" s="66">
        <v>0.24</v>
      </c>
      <c r="M376" s="65">
        <f t="shared" si="4"/>
        <v>9796</v>
      </c>
      <c r="N376" s="67">
        <f t="shared" si="320"/>
        <v>0.1900069827</v>
      </c>
      <c r="O376" s="68">
        <v>10440.0</v>
      </c>
      <c r="P376" s="67">
        <f t="shared" si="324"/>
        <v>0.1900069827</v>
      </c>
      <c r="Q376" s="69">
        <v>10440.0</v>
      </c>
      <c r="R376" s="76"/>
      <c r="S376" s="72">
        <f t="shared" si="326"/>
        <v>0.06574111882</v>
      </c>
      <c r="T376" s="72">
        <f t="shared" si="6"/>
        <v>0</v>
      </c>
      <c r="U376" s="73" t="str">
        <f t="shared" si="321"/>
        <v/>
      </c>
      <c r="V376" s="73">
        <f t="shared" si="303"/>
        <v>8301.694915</v>
      </c>
      <c r="W376" s="73">
        <f t="shared" si="9"/>
        <v>8301.694915</v>
      </c>
      <c r="X376" s="74">
        <f t="shared" si="10"/>
        <v>1</v>
      </c>
      <c r="Y376" s="73">
        <f t="shared" si="11"/>
        <v>0</v>
      </c>
      <c r="Z376" s="73">
        <f t="shared" si="12"/>
        <v>8847.457627</v>
      </c>
      <c r="AA376" s="73">
        <f t="shared" si="13"/>
        <v>8847.457627</v>
      </c>
      <c r="AB376" s="74">
        <f t="shared" si="14"/>
        <v>1</v>
      </c>
      <c r="AC376" s="61" t="str">
        <f t="shared" si="15"/>
        <v>4</v>
      </c>
      <c r="AD376" s="71" t="str">
        <f t="shared" si="16"/>
        <v>#DIV/0!</v>
      </c>
      <c r="AE376" s="61"/>
      <c r="AF376" s="61"/>
      <c r="AG376" s="71">
        <f t="array" ref="AG376">IFERROR(xlookup(G376,'Old Master'!T:T,'Old Master'!V:V),N376)</f>
        <v>0.1900069827</v>
      </c>
      <c r="AH376" s="73">
        <f t="shared" si="229"/>
        <v>10440</v>
      </c>
      <c r="AI376" s="73">
        <f t="shared" si="230"/>
        <v>8847.457627</v>
      </c>
      <c r="AJ376" s="72">
        <f t="shared" si="19"/>
        <v>1</v>
      </c>
      <c r="AK376" s="61"/>
      <c r="AL376" s="71">
        <f t="array" ref="AL376">iferror(if(isblank(xlookup($G376,'Old Master'!$T:$T,'Old Master'!$W:$W)),AG376,xlookup($G376,'Old Master'!$T:$T,'Old Master'!$W:$W)),AG376)</f>
        <v>0.1900069827</v>
      </c>
      <c r="AM376" s="74">
        <f t="shared" si="20"/>
        <v>0.1931879898</v>
      </c>
      <c r="AN376" s="73">
        <f t="shared" si="319"/>
        <v>10399</v>
      </c>
    </row>
    <row r="377">
      <c r="A377" s="65" t="s">
        <v>757</v>
      </c>
      <c r="B377" s="65">
        <f t="shared" si="1"/>
        <v>72</v>
      </c>
      <c r="C377" s="65" t="str">
        <f t="shared" si="248"/>
        <v>SC-ORIG-K-84x74x4</v>
      </c>
      <c r="D377" s="65" t="s">
        <v>759</v>
      </c>
      <c r="E377" s="65">
        <v>0.0</v>
      </c>
      <c r="F377" s="65" t="s">
        <v>760</v>
      </c>
      <c r="G377" s="65" t="s">
        <v>51</v>
      </c>
      <c r="H377" s="65" t="s">
        <v>52</v>
      </c>
      <c r="I377" s="65">
        <v>14469.0</v>
      </c>
      <c r="J377" s="66">
        <v>0.28</v>
      </c>
      <c r="K377" s="65">
        <f t="shared" si="3"/>
        <v>10418</v>
      </c>
      <c r="L377" s="66">
        <v>0.24</v>
      </c>
      <c r="M377" s="65">
        <f t="shared" si="4"/>
        <v>10996</v>
      </c>
      <c r="N377" s="67">
        <f t="shared" si="320"/>
        <v>0.1899923975</v>
      </c>
      <c r="O377" s="68">
        <v>11720.0</v>
      </c>
      <c r="P377" s="67">
        <f t="shared" si="324"/>
        <v>0.1899923975</v>
      </c>
      <c r="Q377" s="69">
        <v>11720.0</v>
      </c>
      <c r="R377" s="76"/>
      <c r="S377" s="72">
        <f t="shared" si="326"/>
        <v>0.06584212441</v>
      </c>
      <c r="T377" s="72">
        <f t="shared" si="6"/>
        <v>0</v>
      </c>
      <c r="U377" s="73" t="str">
        <f t="shared" si="321"/>
        <v/>
      </c>
      <c r="V377" s="73">
        <f t="shared" si="303"/>
        <v>9318.644068</v>
      </c>
      <c r="W377" s="73">
        <f t="shared" si="9"/>
        <v>9318.644068</v>
      </c>
      <c r="X377" s="74">
        <f t="shared" si="10"/>
        <v>1</v>
      </c>
      <c r="Y377" s="73">
        <f t="shared" si="11"/>
        <v>0</v>
      </c>
      <c r="Z377" s="73">
        <f t="shared" si="12"/>
        <v>9932.20339</v>
      </c>
      <c r="AA377" s="73">
        <f t="shared" si="13"/>
        <v>9932.20339</v>
      </c>
      <c r="AB377" s="74">
        <f t="shared" si="14"/>
        <v>1</v>
      </c>
      <c r="AC377" s="61" t="str">
        <f t="shared" si="15"/>
        <v>4</v>
      </c>
      <c r="AD377" s="71" t="str">
        <f t="shared" si="16"/>
        <v>#DIV/0!</v>
      </c>
      <c r="AE377" s="61"/>
      <c r="AF377" s="61"/>
      <c r="AG377" s="71">
        <f t="array" ref="AG377">IFERROR(xlookup(G377,'Old Master'!T:T,'Old Master'!V:V),N377)</f>
        <v>0.1899923975</v>
      </c>
      <c r="AH377" s="73">
        <f t="shared" si="229"/>
        <v>11720</v>
      </c>
      <c r="AI377" s="73">
        <f t="shared" si="230"/>
        <v>9932.20339</v>
      </c>
      <c r="AJ377" s="72">
        <f t="shared" si="19"/>
        <v>1</v>
      </c>
      <c r="AK377" s="61"/>
      <c r="AL377" s="71">
        <f t="array" ref="AL377">iferror(if(isblank(xlookup($G377,'Old Master'!$T:$T,'Old Master'!$W:$W)),AG377,xlookup($G377,'Old Master'!$T:$T,'Old Master'!$W:$W)),AG377)</f>
        <v>0.1899923975</v>
      </c>
      <c r="AM377" s="74">
        <f t="shared" si="20"/>
        <v>0.1914437763</v>
      </c>
      <c r="AN377" s="73">
        <f t="shared" si="319"/>
        <v>11699</v>
      </c>
    </row>
    <row r="378">
      <c r="A378" s="65" t="s">
        <v>374</v>
      </c>
      <c r="B378" s="65">
        <f t="shared" si="1"/>
        <v>60</v>
      </c>
      <c r="C378" s="65" t="str">
        <f t="shared" si="248"/>
        <v>SC-ORIG-Q-84x62x6</v>
      </c>
      <c r="D378" s="65" t="s">
        <v>376</v>
      </c>
      <c r="E378" s="65">
        <v>0.0</v>
      </c>
      <c r="F378" s="65" t="s">
        <v>377</v>
      </c>
      <c r="G378" s="65" t="s">
        <v>51</v>
      </c>
      <c r="H378" s="65" t="s">
        <v>52</v>
      </c>
      <c r="I378" s="65">
        <v>16999.0</v>
      </c>
      <c r="J378" s="66">
        <v>0.28</v>
      </c>
      <c r="K378" s="65">
        <f t="shared" si="3"/>
        <v>12239</v>
      </c>
      <c r="L378" s="66">
        <v>0.24</v>
      </c>
      <c r="M378" s="65">
        <f t="shared" si="4"/>
        <v>12919</v>
      </c>
      <c r="N378" s="67">
        <f t="shared" si="320"/>
        <v>0.1900111771</v>
      </c>
      <c r="O378" s="68">
        <v>13769.0</v>
      </c>
      <c r="P378" s="67">
        <f t="shared" si="324"/>
        <v>0.1900111771</v>
      </c>
      <c r="Q378" s="69">
        <v>13769.0</v>
      </c>
      <c r="R378" s="76"/>
      <c r="S378" s="72">
        <f t="shared" si="326"/>
        <v>0.06579456614</v>
      </c>
      <c r="T378" s="72">
        <f t="shared" si="6"/>
        <v>0</v>
      </c>
      <c r="U378" s="73" t="str">
        <f t="shared" si="321"/>
        <v/>
      </c>
      <c r="V378" s="73">
        <f t="shared" si="303"/>
        <v>10948.30508</v>
      </c>
      <c r="W378" s="73">
        <f t="shared" si="9"/>
        <v>10948.30508</v>
      </c>
      <c r="X378" s="74">
        <f t="shared" si="10"/>
        <v>1</v>
      </c>
      <c r="Y378" s="73">
        <f t="shared" si="11"/>
        <v>0</v>
      </c>
      <c r="Z378" s="73">
        <f t="shared" si="12"/>
        <v>11668.64407</v>
      </c>
      <c r="AA378" s="73">
        <f t="shared" si="13"/>
        <v>11668.64407</v>
      </c>
      <c r="AB378" s="74">
        <f t="shared" si="14"/>
        <v>1</v>
      </c>
      <c r="AC378" s="61" t="str">
        <f t="shared" si="15"/>
        <v>6</v>
      </c>
      <c r="AD378" s="71" t="str">
        <f t="shared" si="16"/>
        <v>#DIV/0!</v>
      </c>
      <c r="AE378" s="61"/>
      <c r="AF378" s="61"/>
      <c r="AG378" s="71">
        <f t="array" ref="AG378">IFERROR(xlookup(G378,'Old Master'!T:T,'Old Master'!V:V),N378)</f>
        <v>0.1900111771</v>
      </c>
      <c r="AH378" s="73">
        <f t="shared" si="229"/>
        <v>13769</v>
      </c>
      <c r="AI378" s="73">
        <f t="shared" si="230"/>
        <v>11668.64407</v>
      </c>
      <c r="AJ378" s="72">
        <f t="shared" si="19"/>
        <v>1</v>
      </c>
      <c r="AK378" s="61"/>
      <c r="AL378" s="71">
        <f t="array" ref="AL378">iferror(if(isblank(xlookup($G378,'Old Master'!$T:$T,'Old Master'!$W:$W)),AG378,xlookup($G378,'Old Master'!$T:$T,'Old Master'!$W:$W)),AG378)</f>
        <v>0.1900111771</v>
      </c>
      <c r="AM378" s="74">
        <f t="shared" si="20"/>
        <v>0.1882463674</v>
      </c>
      <c r="AN378" s="73">
        <f t="shared" si="319"/>
        <v>13799</v>
      </c>
    </row>
    <row r="379">
      <c r="A379" s="65" t="s">
        <v>729</v>
      </c>
      <c r="B379" s="65">
        <f t="shared" si="1"/>
        <v>78</v>
      </c>
      <c r="C379" s="65" t="str">
        <f t="shared" si="248"/>
        <v>SC-ORIG-K-84x80x5</v>
      </c>
      <c r="D379" s="65" t="s">
        <v>731</v>
      </c>
      <c r="E379" s="65">
        <v>0.0</v>
      </c>
      <c r="F379" s="65" t="s">
        <v>732</v>
      </c>
      <c r="G379" s="65" t="s">
        <v>51</v>
      </c>
      <c r="H379" s="65" t="s">
        <v>52</v>
      </c>
      <c r="I379" s="65">
        <v>19439.0</v>
      </c>
      <c r="J379" s="66">
        <v>0.28</v>
      </c>
      <c r="K379" s="65">
        <f t="shared" si="3"/>
        <v>13996</v>
      </c>
      <c r="L379" s="66">
        <v>0.24</v>
      </c>
      <c r="M379" s="65">
        <f t="shared" si="4"/>
        <v>14774</v>
      </c>
      <c r="N379" s="67">
        <f t="shared" si="320"/>
        <v>0.1899789084</v>
      </c>
      <c r="O379" s="68">
        <v>15746.0</v>
      </c>
      <c r="P379" s="67">
        <f t="shared" si="324"/>
        <v>0.1899789084</v>
      </c>
      <c r="Q379" s="69">
        <v>15746.0</v>
      </c>
      <c r="R379" s="76"/>
      <c r="S379" s="72">
        <f t="shared" si="326"/>
        <v>0.06579125491</v>
      </c>
      <c r="T379" s="72">
        <f t="shared" si="6"/>
        <v>0</v>
      </c>
      <c r="U379" s="73" t="str">
        <f t="shared" si="321"/>
        <v/>
      </c>
      <c r="V379" s="73">
        <f t="shared" si="303"/>
        <v>12520.33898</v>
      </c>
      <c r="W379" s="73">
        <f t="shared" si="9"/>
        <v>12520.33898</v>
      </c>
      <c r="X379" s="74">
        <f t="shared" si="10"/>
        <v>1</v>
      </c>
      <c r="Y379" s="73">
        <f t="shared" si="11"/>
        <v>0</v>
      </c>
      <c r="Z379" s="73">
        <f t="shared" si="12"/>
        <v>13344.0678</v>
      </c>
      <c r="AA379" s="73">
        <f t="shared" si="13"/>
        <v>13344.0678</v>
      </c>
      <c r="AB379" s="74">
        <f t="shared" si="14"/>
        <v>1</v>
      </c>
      <c r="AC379" s="61" t="str">
        <f t="shared" si="15"/>
        <v>5</v>
      </c>
      <c r="AD379" s="71" t="str">
        <f t="shared" si="16"/>
        <v>#DIV/0!</v>
      </c>
      <c r="AE379" s="61"/>
      <c r="AF379" s="61"/>
      <c r="AG379" s="71">
        <f t="array" ref="AG379">IFERROR(xlookup(G379,'Old Master'!T:T,'Old Master'!V:V),N379)</f>
        <v>0.1899789084</v>
      </c>
      <c r="AH379" s="73">
        <f t="shared" si="229"/>
        <v>15746</v>
      </c>
      <c r="AI379" s="73">
        <f t="shared" si="230"/>
        <v>13344.0678</v>
      </c>
      <c r="AJ379" s="72">
        <f t="shared" si="19"/>
        <v>1</v>
      </c>
      <c r="AK379" s="61"/>
      <c r="AL379" s="71">
        <f t="array" ref="AL379">iferror(if(isblank(xlookup($G379,'Old Master'!$T:$T,'Old Master'!$W:$W)),AG379,xlookup($G379,'Old Master'!$T:$T,'Old Master'!$W:$W)),AG379)</f>
        <v>0.1899789084</v>
      </c>
      <c r="AM379" s="74">
        <f t="shared" si="20"/>
        <v>0.1923967282</v>
      </c>
      <c r="AN379" s="73">
        <f t="shared" si="319"/>
        <v>15699</v>
      </c>
    </row>
    <row r="380">
      <c r="A380" s="65" t="s">
        <v>461</v>
      </c>
      <c r="B380" s="65">
        <f t="shared" si="1"/>
        <v>60</v>
      </c>
      <c r="C380" s="65" t="str">
        <f t="shared" si="248"/>
        <v>SC-ORIG-Q-84x62x10</v>
      </c>
      <c r="D380" s="65" t="s">
        <v>463</v>
      </c>
      <c r="E380" s="65">
        <v>0.0</v>
      </c>
      <c r="F380" s="65" t="s">
        <v>464</v>
      </c>
      <c r="G380" s="65" t="s">
        <v>51</v>
      </c>
      <c r="H380" s="65" t="s">
        <v>52</v>
      </c>
      <c r="I380" s="65">
        <v>24999.0</v>
      </c>
      <c r="J380" s="66">
        <v>0.28</v>
      </c>
      <c r="K380" s="65">
        <f t="shared" si="3"/>
        <v>17999</v>
      </c>
      <c r="L380" s="66">
        <v>0.24</v>
      </c>
      <c r="M380" s="65">
        <f t="shared" si="4"/>
        <v>18999</v>
      </c>
      <c r="N380" s="67">
        <f t="shared" si="320"/>
        <v>0.1900076003</v>
      </c>
      <c r="O380" s="68">
        <v>20249.0</v>
      </c>
      <c r="P380" s="67">
        <f t="shared" si="324"/>
        <v>0.1900076003</v>
      </c>
      <c r="Q380" s="69">
        <v>20249.0</v>
      </c>
      <c r="R380" s="76"/>
      <c r="S380" s="72">
        <f t="shared" si="326"/>
        <v>0.06579293647</v>
      </c>
      <c r="T380" s="72">
        <f t="shared" si="6"/>
        <v>0</v>
      </c>
      <c r="U380" s="73" t="str">
        <f t="shared" si="321"/>
        <v/>
      </c>
      <c r="V380" s="73">
        <f t="shared" si="303"/>
        <v>16100.84746</v>
      </c>
      <c r="W380" s="73">
        <f t="shared" si="9"/>
        <v>16100.84746</v>
      </c>
      <c r="X380" s="74">
        <f t="shared" si="10"/>
        <v>1</v>
      </c>
      <c r="Y380" s="73">
        <f t="shared" si="11"/>
        <v>0</v>
      </c>
      <c r="Z380" s="73">
        <f t="shared" si="12"/>
        <v>17160.16949</v>
      </c>
      <c r="AA380" s="73">
        <f t="shared" si="13"/>
        <v>17160.16949</v>
      </c>
      <c r="AB380" s="74">
        <f t="shared" si="14"/>
        <v>1</v>
      </c>
      <c r="AC380" s="61" t="str">
        <f t="shared" si="15"/>
        <v>0</v>
      </c>
      <c r="AD380" s="71" t="str">
        <f t="shared" si="16"/>
        <v>#DIV/0!</v>
      </c>
      <c r="AE380" s="61"/>
      <c r="AF380" s="61"/>
      <c r="AG380" s="71">
        <f t="array" ref="AG380">IFERROR(xlookup(G380,'Old Master'!T:T,'Old Master'!V:V),N380)</f>
        <v>0.1900076003</v>
      </c>
      <c r="AH380" s="73">
        <f t="shared" si="229"/>
        <v>20249</v>
      </c>
      <c r="AI380" s="73">
        <f t="shared" si="230"/>
        <v>17160.16949</v>
      </c>
      <c r="AJ380" s="72">
        <f t="shared" si="19"/>
        <v>1</v>
      </c>
      <c r="AK380" s="61"/>
      <c r="AL380" s="71">
        <f t="array" ref="AL380">iferror(if(isblank(xlookup($G380,'Old Master'!$T:$T,'Old Master'!$W:$W)),AG380,xlookup($G380,'Old Master'!$T:$T,'Old Master'!$W:$W)),AG380)</f>
        <v>0.1900076003</v>
      </c>
      <c r="AM380" s="74">
        <f t="shared" si="20"/>
        <v>0.1920076803</v>
      </c>
      <c r="AN380" s="73">
        <f t="shared" si="319"/>
        <v>20199</v>
      </c>
    </row>
    <row r="381">
      <c r="A381" s="65" t="s">
        <v>646</v>
      </c>
      <c r="B381" s="65">
        <f t="shared" si="1"/>
        <v>70</v>
      </c>
      <c r="C381" s="65" t="str">
        <f t="shared" si="248"/>
        <v>SC-ORIG-K-78x72x8</v>
      </c>
      <c r="D381" s="65" t="s">
        <v>648</v>
      </c>
      <c r="E381" s="65">
        <v>0.0</v>
      </c>
      <c r="F381" s="65" t="s">
        <v>649</v>
      </c>
      <c r="G381" s="65" t="s">
        <v>51</v>
      </c>
      <c r="H381" s="65" t="s">
        <v>52</v>
      </c>
      <c r="I381" s="65">
        <v>21199.0</v>
      </c>
      <c r="J381" s="66">
        <v>0.28</v>
      </c>
      <c r="K381" s="65">
        <f t="shared" si="3"/>
        <v>15263</v>
      </c>
      <c r="L381" s="66">
        <v>0.24</v>
      </c>
      <c r="M381" s="65">
        <f t="shared" si="4"/>
        <v>16111</v>
      </c>
      <c r="N381" s="67">
        <f t="shared" si="320"/>
        <v>0.1900089627</v>
      </c>
      <c r="O381" s="68">
        <v>17171.0</v>
      </c>
      <c r="P381" s="67">
        <f t="shared" si="324"/>
        <v>0.1900089627</v>
      </c>
      <c r="Q381" s="69">
        <v>17171.0</v>
      </c>
      <c r="R381" s="76"/>
      <c r="S381" s="72">
        <f t="shared" si="326"/>
        <v>0.0657935572</v>
      </c>
      <c r="T381" s="72">
        <f t="shared" si="6"/>
        <v>0</v>
      </c>
      <c r="U381" s="73" t="str">
        <f t="shared" si="321"/>
        <v/>
      </c>
      <c r="V381" s="73">
        <f t="shared" si="303"/>
        <v>13653.38983</v>
      </c>
      <c r="W381" s="73">
        <f t="shared" si="9"/>
        <v>13653.38983</v>
      </c>
      <c r="X381" s="74">
        <f t="shared" si="10"/>
        <v>1</v>
      </c>
      <c r="Y381" s="73">
        <f t="shared" si="11"/>
        <v>0</v>
      </c>
      <c r="Z381" s="73">
        <f t="shared" si="12"/>
        <v>14551.69492</v>
      </c>
      <c r="AA381" s="73">
        <f t="shared" si="13"/>
        <v>14551.69492</v>
      </c>
      <c r="AB381" s="74">
        <f t="shared" si="14"/>
        <v>1</v>
      </c>
      <c r="AC381" s="61" t="str">
        <f t="shared" si="15"/>
        <v>8</v>
      </c>
      <c r="AD381" s="71" t="str">
        <f t="shared" si="16"/>
        <v>#DIV/0!</v>
      </c>
      <c r="AE381" s="61"/>
      <c r="AF381" s="61"/>
      <c r="AG381" s="71">
        <f t="array" ref="AG381">IFERROR(xlookup(G381,'Old Master'!T:T,'Old Master'!V:V),N381)</f>
        <v>0.1900089627</v>
      </c>
      <c r="AH381" s="73">
        <f t="shared" si="229"/>
        <v>17171</v>
      </c>
      <c r="AI381" s="73">
        <f t="shared" si="230"/>
        <v>14551.69492</v>
      </c>
      <c r="AJ381" s="72">
        <f t="shared" si="19"/>
        <v>1</v>
      </c>
      <c r="AK381" s="61"/>
      <c r="AL381" s="71">
        <f t="array" ref="AL381">iferror(if(isblank(xlookup($G381,'Old Master'!$T:$T,'Old Master'!$W:$W)),AG381,xlookup($G381,'Old Master'!$T:$T,'Old Master'!$W:$W)),AG381)</f>
        <v>0.1900089627</v>
      </c>
      <c r="AM381" s="74">
        <f t="shared" si="20"/>
        <v>0.1886881457</v>
      </c>
      <c r="AN381" s="73">
        <f t="shared" si="319"/>
        <v>17199</v>
      </c>
    </row>
    <row r="382">
      <c r="A382" s="65" t="s">
        <v>2587</v>
      </c>
      <c r="B382" s="65" t="str">
        <f t="shared" si="1"/>
        <v>#VALUE!</v>
      </c>
      <c r="C382" s="65" t="str">
        <f t="shared" si="248"/>
        <v>#VALUE!</v>
      </c>
      <c r="D382" s="65" t="s">
        <v>2589</v>
      </c>
      <c r="E382" s="65" t="s">
        <v>2590</v>
      </c>
      <c r="F382" s="65" t="s">
        <v>2591</v>
      </c>
      <c r="G382" s="65" t="s">
        <v>1195</v>
      </c>
      <c r="H382" s="65" t="s">
        <v>5114</v>
      </c>
      <c r="I382" s="65">
        <v>2989.0</v>
      </c>
      <c r="J382" s="66">
        <v>0.2815485168426345</v>
      </c>
      <c r="K382" s="65">
        <f t="shared" si="3"/>
        <v>2147</v>
      </c>
      <c r="L382" s="66">
        <v>0.43</v>
      </c>
      <c r="M382" s="65">
        <f t="shared" si="4"/>
        <v>1704</v>
      </c>
      <c r="N382" s="67">
        <f t="shared" si="320"/>
        <v>0.2816995651</v>
      </c>
      <c r="O382" s="68">
        <v>2147.0</v>
      </c>
      <c r="P382" s="67">
        <f t="shared" si="324"/>
        <v>0.2816995651</v>
      </c>
      <c r="Q382" s="69">
        <v>2147.0</v>
      </c>
      <c r="R382" s="70"/>
      <c r="S382" s="71">
        <f t="shared" ref="S382:S391" si="327">O382/K382-1</f>
        <v>0</v>
      </c>
      <c r="T382" s="72">
        <f t="shared" si="6"/>
        <v>0</v>
      </c>
      <c r="U382" s="73" t="str">
        <f t="shared" si="321"/>
        <v/>
      </c>
      <c r="V382" s="73">
        <f t="shared" si="303"/>
        <v>1444.067797</v>
      </c>
      <c r="W382" s="73">
        <f t="shared" si="9"/>
        <v>1444.067797</v>
      </c>
      <c r="X382" s="74">
        <f t="shared" si="10"/>
        <v>1</v>
      </c>
      <c r="Y382" s="73">
        <f t="shared" si="11"/>
        <v>0</v>
      </c>
      <c r="Z382" s="73">
        <f t="shared" si="12"/>
        <v>1819.491525</v>
      </c>
      <c r="AA382" s="73">
        <f t="shared" si="13"/>
        <v>1819.491525</v>
      </c>
      <c r="AB382" s="74">
        <f t="shared" si="14"/>
        <v>1</v>
      </c>
      <c r="AC382" s="61" t="str">
        <f t="shared" si="15"/>
        <v>6</v>
      </c>
      <c r="AD382" s="71" t="str">
        <f t="shared" si="16"/>
        <v>#DIV/0!</v>
      </c>
      <c r="AE382" s="61"/>
      <c r="AF382" s="61"/>
      <c r="AG382" s="71">
        <f t="array" ref="AG382">IFERROR(xlookup(G382,'Old Master'!T:T,'Old Master'!V:V),N382)</f>
        <v>0.2816995651</v>
      </c>
      <c r="AH382" s="73">
        <f t="shared" si="229"/>
        <v>2147</v>
      </c>
      <c r="AI382" s="73">
        <f t="shared" si="230"/>
        <v>1819.491525</v>
      </c>
      <c r="AJ382" s="72">
        <f t="shared" si="19"/>
        <v>1</v>
      </c>
      <c r="AK382" s="61"/>
      <c r="AL382" s="71">
        <f t="array" ref="AL382">iferror(if(isblank(xlookup($G382,'Old Master'!$T:$T,'Old Master'!$W:$W)),AG382,xlookup($G382,'Old Master'!$T:$T,'Old Master'!$W:$W)),AG382)</f>
        <v>0.2816995651</v>
      </c>
      <c r="AM382" s="74">
        <f t="shared" si="20"/>
        <v>0.2977584476</v>
      </c>
      <c r="AN382" s="73">
        <f t="shared" si="319"/>
        <v>2099</v>
      </c>
    </row>
    <row r="383">
      <c r="A383" s="65" t="s">
        <v>2242</v>
      </c>
      <c r="B383" s="65" t="str">
        <f t="shared" si="1"/>
        <v>#VALUE!</v>
      </c>
      <c r="C383" s="65" t="str">
        <f t="shared" si="248"/>
        <v>#VALUE!</v>
      </c>
      <c r="D383" s="65" t="s">
        <v>2244</v>
      </c>
      <c r="E383" s="65" t="s">
        <v>2245</v>
      </c>
      <c r="F383" s="65" t="s">
        <v>2246</v>
      </c>
      <c r="G383" s="65" t="s">
        <v>5077</v>
      </c>
      <c r="H383" s="65" t="s">
        <v>4730</v>
      </c>
      <c r="I383" s="65">
        <v>889.0</v>
      </c>
      <c r="J383" s="66">
        <v>0.17997750281214853</v>
      </c>
      <c r="K383" s="65">
        <f t="shared" si="3"/>
        <v>729</v>
      </c>
      <c r="L383" s="66">
        <v>0.1</v>
      </c>
      <c r="M383" s="65">
        <f t="shared" si="4"/>
        <v>800</v>
      </c>
      <c r="N383" s="67">
        <f t="shared" si="320"/>
        <v>0.04949381327</v>
      </c>
      <c r="O383" s="68">
        <v>845.0</v>
      </c>
      <c r="P383" s="67">
        <f t="shared" si="324"/>
        <v>0.04949381327</v>
      </c>
      <c r="Q383" s="69">
        <v>845.0</v>
      </c>
      <c r="R383" s="70"/>
      <c r="S383" s="71">
        <f t="shared" si="327"/>
        <v>0.159122085</v>
      </c>
      <c r="T383" s="72">
        <f t="shared" si="6"/>
        <v>0</v>
      </c>
      <c r="U383" s="73" t="str">
        <f t="shared" si="321"/>
        <v/>
      </c>
      <c r="V383" s="73">
        <f t="shared" si="303"/>
        <v>677.9661017</v>
      </c>
      <c r="W383" s="73">
        <f t="shared" si="9"/>
        <v>677.9661017</v>
      </c>
      <c r="X383" s="74">
        <f t="shared" si="10"/>
        <v>1</v>
      </c>
      <c r="Y383" s="73">
        <f t="shared" si="11"/>
        <v>0</v>
      </c>
      <c r="Z383" s="73">
        <f t="shared" si="12"/>
        <v>716.1016949</v>
      </c>
      <c r="AA383" s="73">
        <f t="shared" si="13"/>
        <v>716.1016949</v>
      </c>
      <c r="AB383" s="74">
        <f t="shared" si="14"/>
        <v>1</v>
      </c>
      <c r="AC383" s="61" t="str">
        <f t="shared" si="15"/>
        <v>8</v>
      </c>
      <c r="AD383" s="71" t="str">
        <f t="shared" si="16"/>
        <v>#DIV/0!</v>
      </c>
      <c r="AE383" s="61"/>
      <c r="AF383" s="61"/>
      <c r="AG383" s="71">
        <f t="array" ref="AG383">IFERROR(xlookup(G383,'Old Master'!T:T,'Old Master'!V:V),N383)</f>
        <v>0.04949381327</v>
      </c>
      <c r="AH383" s="73">
        <f t="shared" si="229"/>
        <v>845</v>
      </c>
      <c r="AI383" s="73">
        <f t="shared" si="230"/>
        <v>716.1016949</v>
      </c>
      <c r="AJ383" s="72">
        <f t="shared" si="19"/>
        <v>1</v>
      </c>
      <c r="AK383" s="61"/>
      <c r="AL383" s="71">
        <f t="array" ref="AL383">iferror(if(isblank(xlookup($G383,'Old Master'!$T:$T,'Old Master'!$W:$W)),AG383,xlookup($G383,'Old Master'!$T:$T,'Old Master'!$W:$W)),AG383)</f>
        <v>0.04949381327</v>
      </c>
      <c r="AM383" s="74">
        <f t="shared" si="20"/>
        <v>0.04949381327</v>
      </c>
      <c r="AN383" s="73">
        <f t="shared" ref="AN383:AN393" si="328">O383</f>
        <v>845</v>
      </c>
    </row>
    <row r="384">
      <c r="A384" s="65" t="s">
        <v>2203</v>
      </c>
      <c r="B384" s="65" t="str">
        <f t="shared" si="1"/>
        <v>#VALUE!</v>
      </c>
      <c r="C384" s="65" t="str">
        <f t="shared" si="248"/>
        <v>#VALUE!</v>
      </c>
      <c r="D384" s="65" t="s">
        <v>2205</v>
      </c>
      <c r="E384" s="65" t="s">
        <v>2206</v>
      </c>
      <c r="F384" s="65" t="s">
        <v>2207</v>
      </c>
      <c r="G384" s="65" t="s">
        <v>5077</v>
      </c>
      <c r="H384" s="65" t="s">
        <v>4730</v>
      </c>
      <c r="I384" s="65">
        <v>789.0</v>
      </c>
      <c r="J384" s="66">
        <v>0.17743979721166037</v>
      </c>
      <c r="K384" s="65">
        <f t="shared" si="3"/>
        <v>649</v>
      </c>
      <c r="L384" s="66">
        <v>0.1</v>
      </c>
      <c r="M384" s="65">
        <f t="shared" si="4"/>
        <v>710</v>
      </c>
      <c r="N384" s="67">
        <f t="shared" si="320"/>
        <v>0.04942965779</v>
      </c>
      <c r="O384" s="68">
        <v>750.0</v>
      </c>
      <c r="P384" s="67">
        <f t="shared" si="324"/>
        <v>0.04942965779</v>
      </c>
      <c r="Q384" s="69">
        <v>750.0</v>
      </c>
      <c r="R384" s="70"/>
      <c r="S384" s="71">
        <f t="shared" si="327"/>
        <v>0.155624037</v>
      </c>
      <c r="T384" s="72">
        <f t="shared" si="6"/>
        <v>0</v>
      </c>
      <c r="U384" s="73" t="str">
        <f t="shared" si="321"/>
        <v/>
      </c>
      <c r="V384" s="73">
        <f t="shared" si="303"/>
        <v>601.6949153</v>
      </c>
      <c r="W384" s="73">
        <f t="shared" si="9"/>
        <v>601.6949153</v>
      </c>
      <c r="X384" s="74">
        <f t="shared" si="10"/>
        <v>1</v>
      </c>
      <c r="Y384" s="73">
        <f t="shared" si="11"/>
        <v>0</v>
      </c>
      <c r="Z384" s="73">
        <f t="shared" si="12"/>
        <v>635.5932203</v>
      </c>
      <c r="AA384" s="73">
        <f t="shared" si="13"/>
        <v>635.5932203</v>
      </c>
      <c r="AB384" s="74">
        <f t="shared" si="14"/>
        <v>1</v>
      </c>
      <c r="AC384" s="61" t="str">
        <f t="shared" si="15"/>
        <v>6</v>
      </c>
      <c r="AD384" s="71" t="str">
        <f t="shared" si="16"/>
        <v>#DIV/0!</v>
      </c>
      <c r="AE384" s="61"/>
      <c r="AF384" s="61"/>
      <c r="AG384" s="71">
        <f t="array" ref="AG384">IFERROR(xlookup(G384,'Old Master'!T:T,'Old Master'!V:V),N384)</f>
        <v>0.04942965779</v>
      </c>
      <c r="AH384" s="73">
        <f t="shared" si="229"/>
        <v>750</v>
      </c>
      <c r="AI384" s="73">
        <f t="shared" si="230"/>
        <v>635.5932203</v>
      </c>
      <c r="AJ384" s="72">
        <f t="shared" si="19"/>
        <v>1</v>
      </c>
      <c r="AK384" s="61"/>
      <c r="AL384" s="71">
        <f t="array" ref="AL384">iferror(if(isblank(xlookup($G384,'Old Master'!$T:$T,'Old Master'!$W:$W)),AG384,xlookup($G384,'Old Master'!$T:$T,'Old Master'!$W:$W)),AG384)</f>
        <v>0.04942965779</v>
      </c>
      <c r="AM384" s="74">
        <f t="shared" si="20"/>
        <v>0.04942965779</v>
      </c>
      <c r="AN384" s="73">
        <f t="shared" si="328"/>
        <v>750</v>
      </c>
    </row>
    <row r="385">
      <c r="A385" s="65" t="s">
        <v>2362</v>
      </c>
      <c r="B385" s="65" t="str">
        <f t="shared" si="1"/>
        <v>#VALUE!</v>
      </c>
      <c r="C385" s="65" t="str">
        <f t="shared" si="248"/>
        <v>#VALUE!</v>
      </c>
      <c r="D385" s="65" t="s">
        <v>2364</v>
      </c>
      <c r="E385" s="65">
        <v>0.0</v>
      </c>
      <c r="F385" s="65">
        <v>0.0</v>
      </c>
      <c r="G385" s="65" t="s">
        <v>5077</v>
      </c>
      <c r="H385" s="65" t="s">
        <v>4730</v>
      </c>
      <c r="I385" s="65">
        <v>1089.0</v>
      </c>
      <c r="J385" s="66">
        <v>0.17447199265381086</v>
      </c>
      <c r="K385" s="65">
        <f t="shared" si="3"/>
        <v>899</v>
      </c>
      <c r="L385" s="66">
        <v>0.1</v>
      </c>
      <c r="M385" s="65">
        <f t="shared" si="4"/>
        <v>980</v>
      </c>
      <c r="N385" s="67">
        <f t="shared" si="320"/>
        <v>0.04958677686</v>
      </c>
      <c r="O385" s="68">
        <v>1035.0</v>
      </c>
      <c r="P385" s="67">
        <f t="shared" si="324"/>
        <v>0.04958677686</v>
      </c>
      <c r="Q385" s="69">
        <v>1035.0</v>
      </c>
      <c r="R385" s="70"/>
      <c r="S385" s="71">
        <f t="shared" si="327"/>
        <v>0.1512791991</v>
      </c>
      <c r="T385" s="72">
        <f t="shared" si="6"/>
        <v>0</v>
      </c>
      <c r="U385" s="73" t="str">
        <f t="shared" si="321"/>
        <v/>
      </c>
      <c r="V385" s="73">
        <f t="shared" si="303"/>
        <v>830.5084746</v>
      </c>
      <c r="W385" s="73">
        <f t="shared" si="9"/>
        <v>830.5084746</v>
      </c>
      <c r="X385" s="74">
        <f t="shared" si="10"/>
        <v>1</v>
      </c>
      <c r="Y385" s="73">
        <f t="shared" si="11"/>
        <v>0</v>
      </c>
      <c r="Z385" s="73">
        <f t="shared" si="12"/>
        <v>877.1186441</v>
      </c>
      <c r="AA385" s="73">
        <f t="shared" si="13"/>
        <v>877.1186441</v>
      </c>
      <c r="AB385" s="74">
        <f t="shared" si="14"/>
        <v>1</v>
      </c>
      <c r="AC385" s="61" t="str">
        <f t="shared" si="15"/>
        <v>2</v>
      </c>
      <c r="AD385" s="71" t="str">
        <f t="shared" si="16"/>
        <v>#DIV/0!</v>
      </c>
      <c r="AE385" s="61"/>
      <c r="AF385" s="61"/>
      <c r="AG385" s="71">
        <f t="array" ref="AG385">IFERROR(xlookup(G385,'Old Master'!T:T,'Old Master'!V:V),N385)</f>
        <v>0.04958677686</v>
      </c>
      <c r="AH385" s="73">
        <f t="shared" si="229"/>
        <v>1035</v>
      </c>
      <c r="AI385" s="73">
        <f t="shared" si="230"/>
        <v>877.1186441</v>
      </c>
      <c r="AJ385" s="72">
        <f t="shared" si="19"/>
        <v>1</v>
      </c>
      <c r="AK385" s="61"/>
      <c r="AL385" s="71">
        <f t="array" ref="AL385">iferror(if(isblank(xlookup($G385,'Old Master'!$T:$T,'Old Master'!$W:$W)),AG385,xlookup($G385,'Old Master'!$T:$T,'Old Master'!$W:$W)),AG385)</f>
        <v>0.04958677686</v>
      </c>
      <c r="AM385" s="74">
        <f t="shared" si="20"/>
        <v>0.04958677686</v>
      </c>
      <c r="AN385" s="73">
        <f t="shared" si="328"/>
        <v>1035</v>
      </c>
    </row>
    <row r="386">
      <c r="A386" s="65" t="s">
        <v>2347</v>
      </c>
      <c r="B386" s="65" t="str">
        <f t="shared" si="1"/>
        <v>#VALUE!</v>
      </c>
      <c r="C386" s="65" t="str">
        <f t="shared" si="248"/>
        <v>#VALUE!</v>
      </c>
      <c r="D386" s="65" t="s">
        <v>2349</v>
      </c>
      <c r="E386" s="65">
        <v>0.0</v>
      </c>
      <c r="F386" s="65" t="s">
        <v>2350</v>
      </c>
      <c r="G386" s="65" t="s">
        <v>5077</v>
      </c>
      <c r="H386" s="65" t="s">
        <v>4730</v>
      </c>
      <c r="I386" s="65">
        <v>1200.0</v>
      </c>
      <c r="J386" s="66">
        <v>0.17447199265381086</v>
      </c>
      <c r="K386" s="65">
        <f t="shared" si="3"/>
        <v>991</v>
      </c>
      <c r="L386" s="66">
        <v>0.0</v>
      </c>
      <c r="M386" s="65">
        <f t="shared" si="4"/>
        <v>1200</v>
      </c>
      <c r="N386" s="67">
        <f t="shared" si="320"/>
        <v>0.05</v>
      </c>
      <c r="O386" s="68">
        <v>1140.0</v>
      </c>
      <c r="P386" s="67">
        <f t="shared" si="324"/>
        <v>0.05</v>
      </c>
      <c r="Q386" s="69">
        <v>1140.0</v>
      </c>
      <c r="R386" s="70"/>
      <c r="S386" s="71">
        <f t="shared" si="327"/>
        <v>0.1503531786</v>
      </c>
      <c r="T386" s="72">
        <f t="shared" si="6"/>
        <v>0</v>
      </c>
      <c r="U386" s="73" t="str">
        <f t="shared" si="321"/>
        <v/>
      </c>
      <c r="V386" s="73">
        <f t="shared" si="303"/>
        <v>1016.949153</v>
      </c>
      <c r="W386" s="73">
        <f t="shared" si="9"/>
        <v>1016.949153</v>
      </c>
      <c r="X386" s="74">
        <f t="shared" si="10"/>
        <v>1</v>
      </c>
      <c r="Y386" s="73">
        <f t="shared" si="11"/>
        <v>0</v>
      </c>
      <c r="Z386" s="73">
        <f t="shared" si="12"/>
        <v>966.1016949</v>
      </c>
      <c r="AA386" s="73">
        <f t="shared" si="13"/>
        <v>966.1016949</v>
      </c>
      <c r="AB386" s="74">
        <f t="shared" si="14"/>
        <v>1</v>
      </c>
      <c r="AC386" s="61" t="str">
        <f t="shared" si="15"/>
        <v>2</v>
      </c>
      <c r="AD386" s="71" t="str">
        <f t="shared" si="16"/>
        <v>#DIV/0!</v>
      </c>
      <c r="AE386" s="61"/>
      <c r="AF386" s="61"/>
      <c r="AG386" s="71">
        <f t="array" ref="AG386">IFERROR(xlookup(G386,'Old Master'!T:T,'Old Master'!V:V),N386)</f>
        <v>0.05</v>
      </c>
      <c r="AH386" s="73">
        <f t="shared" si="229"/>
        <v>1140</v>
      </c>
      <c r="AI386" s="73">
        <f t="shared" si="230"/>
        <v>966.1016949</v>
      </c>
      <c r="AJ386" s="72">
        <f t="shared" si="19"/>
        <v>1</v>
      </c>
      <c r="AK386" s="61"/>
      <c r="AL386" s="71">
        <f t="array" ref="AL386">iferror(if(isblank(xlookup($G386,'Old Master'!$T:$T,'Old Master'!$W:$W)),AG386,xlookup($G386,'Old Master'!$T:$T,'Old Master'!$W:$W)),AG386)</f>
        <v>0.05</v>
      </c>
      <c r="AM386" s="74">
        <f t="shared" si="20"/>
        <v>0.05</v>
      </c>
      <c r="AN386" s="73">
        <f t="shared" si="328"/>
        <v>1140</v>
      </c>
    </row>
    <row r="387">
      <c r="A387" s="65" t="s">
        <v>2304</v>
      </c>
      <c r="B387" s="65" t="str">
        <f t="shared" si="1"/>
        <v>#VALUE!</v>
      </c>
      <c r="C387" s="65" t="str">
        <f t="shared" si="248"/>
        <v>#VALUE!</v>
      </c>
      <c r="D387" s="65" t="s">
        <v>2306</v>
      </c>
      <c r="E387" s="65">
        <v>0.0</v>
      </c>
      <c r="F387" s="65">
        <v>0.0</v>
      </c>
      <c r="G387" s="65" t="s">
        <v>5077</v>
      </c>
      <c r="H387" s="65" t="s">
        <v>4730</v>
      </c>
      <c r="I387" s="65">
        <v>989.0</v>
      </c>
      <c r="J387" s="66">
        <v>0.17159199237368927</v>
      </c>
      <c r="K387" s="65">
        <f t="shared" si="3"/>
        <v>819</v>
      </c>
      <c r="L387" s="66">
        <v>0.0</v>
      </c>
      <c r="M387" s="65">
        <f t="shared" si="4"/>
        <v>989</v>
      </c>
      <c r="N387" s="67">
        <f t="shared" si="320"/>
        <v>0.04954499494</v>
      </c>
      <c r="O387" s="68">
        <v>940.0</v>
      </c>
      <c r="P387" s="67">
        <f t="shared" si="324"/>
        <v>0.04954499494</v>
      </c>
      <c r="Q387" s="69">
        <v>940.0</v>
      </c>
      <c r="R387" s="70"/>
      <c r="S387" s="71">
        <f t="shared" si="327"/>
        <v>0.1477411477</v>
      </c>
      <c r="T387" s="72">
        <f t="shared" si="6"/>
        <v>0</v>
      </c>
      <c r="U387" s="73" t="str">
        <f t="shared" si="321"/>
        <v/>
      </c>
      <c r="V387" s="73">
        <f t="shared" si="303"/>
        <v>838.1355932</v>
      </c>
      <c r="W387" s="73">
        <f t="shared" si="9"/>
        <v>838.1355932</v>
      </c>
      <c r="X387" s="74">
        <f t="shared" si="10"/>
        <v>1</v>
      </c>
      <c r="Y387" s="73">
        <f t="shared" si="11"/>
        <v>0</v>
      </c>
      <c r="Z387" s="73">
        <f t="shared" si="12"/>
        <v>796.6101695</v>
      </c>
      <c r="AA387" s="73">
        <f t="shared" si="13"/>
        <v>796.6101695</v>
      </c>
      <c r="AB387" s="74">
        <f t="shared" si="14"/>
        <v>1</v>
      </c>
      <c r="AC387" s="61" t="str">
        <f t="shared" si="15"/>
        <v>0</v>
      </c>
      <c r="AD387" s="71" t="str">
        <f t="shared" si="16"/>
        <v>#DIV/0!</v>
      </c>
      <c r="AE387" s="61"/>
      <c r="AF387" s="61"/>
      <c r="AG387" s="71">
        <f t="array" ref="AG387">IFERROR(xlookup(G387,'Old Master'!T:T,'Old Master'!V:V),N387)</f>
        <v>0.04954499494</v>
      </c>
      <c r="AH387" s="73">
        <f t="shared" si="229"/>
        <v>940</v>
      </c>
      <c r="AI387" s="73">
        <f t="shared" si="230"/>
        <v>796.6101695</v>
      </c>
      <c r="AJ387" s="72">
        <f t="shared" si="19"/>
        <v>1</v>
      </c>
      <c r="AK387" s="61"/>
      <c r="AL387" s="71">
        <f t="array" ref="AL387">iferror(if(isblank(xlookup($G387,'Old Master'!$T:$T,'Old Master'!$W:$W)),AG387,xlookup($G387,'Old Master'!$T:$T,'Old Master'!$W:$W)),AG387)</f>
        <v>0.04954499494</v>
      </c>
      <c r="AM387" s="74">
        <f t="shared" si="20"/>
        <v>0.04954499494</v>
      </c>
      <c r="AN387" s="73">
        <f t="shared" si="328"/>
        <v>940</v>
      </c>
    </row>
    <row r="388">
      <c r="A388" s="65" t="s">
        <v>4659</v>
      </c>
      <c r="B388" s="65" t="str">
        <f t="shared" si="1"/>
        <v>#VALUE!</v>
      </c>
      <c r="C388" s="65" t="str">
        <f t="shared" si="248"/>
        <v>#VALUE!</v>
      </c>
      <c r="D388" s="65" t="s">
        <v>4661</v>
      </c>
      <c r="E388" s="65">
        <v>0.0</v>
      </c>
      <c r="F388" s="65" t="s">
        <v>4662</v>
      </c>
      <c r="G388" s="65" t="s">
        <v>5077</v>
      </c>
      <c r="H388" s="65" t="s">
        <v>4730</v>
      </c>
      <c r="I388" s="65">
        <v>1699.0</v>
      </c>
      <c r="J388" s="66">
        <v>0.1</v>
      </c>
      <c r="K388" s="65">
        <f t="shared" si="3"/>
        <v>1529</v>
      </c>
      <c r="L388" s="66">
        <v>0.1</v>
      </c>
      <c r="M388" s="65">
        <f t="shared" si="4"/>
        <v>1529</v>
      </c>
      <c r="N388" s="67">
        <f t="shared" si="320"/>
        <v>0.05002942908</v>
      </c>
      <c r="O388" s="68">
        <v>1614.0</v>
      </c>
      <c r="P388" s="67">
        <f t="shared" si="324"/>
        <v>0.05002942908</v>
      </c>
      <c r="Q388" s="69">
        <v>1614.0</v>
      </c>
      <c r="R388" s="70"/>
      <c r="S388" s="71">
        <f t="shared" si="327"/>
        <v>0.05559189012</v>
      </c>
      <c r="T388" s="72">
        <f t="shared" si="6"/>
        <v>0</v>
      </c>
      <c r="U388" s="73" t="str">
        <f t="shared" si="321"/>
        <v/>
      </c>
      <c r="V388" s="73">
        <f t="shared" si="303"/>
        <v>1295.762712</v>
      </c>
      <c r="W388" s="73">
        <f t="shared" si="9"/>
        <v>1295.762712</v>
      </c>
      <c r="X388" s="74">
        <f t="shared" si="10"/>
        <v>1</v>
      </c>
      <c r="Y388" s="73">
        <f t="shared" si="11"/>
        <v>0</v>
      </c>
      <c r="Z388" s="73">
        <f t="shared" si="12"/>
        <v>1367.79661</v>
      </c>
      <c r="AA388" s="73">
        <f t="shared" si="13"/>
        <v>1367.79661</v>
      </c>
      <c r="AB388" s="74">
        <f t="shared" si="14"/>
        <v>1</v>
      </c>
      <c r="AC388" s="61" t="str">
        <f t="shared" si="15"/>
        <v>2</v>
      </c>
      <c r="AD388" s="71" t="str">
        <f t="shared" si="16"/>
        <v>#DIV/0!</v>
      </c>
      <c r="AE388" s="61"/>
      <c r="AF388" s="61"/>
      <c r="AG388" s="71">
        <f t="array" ref="AG388">IFERROR(xlookup(G388,'Old Master'!T:T,'Old Master'!V:V),N388)</f>
        <v>0.05002942908</v>
      </c>
      <c r="AH388" s="73">
        <f t="shared" si="229"/>
        <v>1614</v>
      </c>
      <c r="AI388" s="73">
        <f t="shared" si="230"/>
        <v>1367.79661</v>
      </c>
      <c r="AJ388" s="72">
        <f t="shared" si="19"/>
        <v>1</v>
      </c>
      <c r="AK388" s="61"/>
      <c r="AL388" s="71">
        <f t="array" ref="AL388">iferror(if(isblank(xlookup($G388,'Old Master'!$T:$T,'Old Master'!$W:$W)),AG388,xlookup($G388,'Old Master'!$T:$T,'Old Master'!$W:$W)),AG388)</f>
        <v>0.05002942908</v>
      </c>
      <c r="AM388" s="74">
        <f t="shared" si="20"/>
        <v>0.05002942908</v>
      </c>
      <c r="AN388" s="73">
        <f t="shared" si="328"/>
        <v>1614</v>
      </c>
    </row>
    <row r="389">
      <c r="A389" s="65" t="s">
        <v>4649</v>
      </c>
      <c r="B389" s="65" t="str">
        <f t="shared" si="1"/>
        <v>#VALUE!</v>
      </c>
      <c r="C389" s="65" t="str">
        <f t="shared" si="248"/>
        <v>#VALUE!</v>
      </c>
      <c r="D389" s="65" t="s">
        <v>4651</v>
      </c>
      <c r="E389" s="65">
        <v>0.0</v>
      </c>
      <c r="F389" s="65" t="s">
        <v>4652</v>
      </c>
      <c r="G389" s="65" t="s">
        <v>5077</v>
      </c>
      <c r="H389" s="65" t="s">
        <v>4730</v>
      </c>
      <c r="I389" s="65">
        <v>1699.0</v>
      </c>
      <c r="J389" s="66">
        <v>0.1</v>
      </c>
      <c r="K389" s="65">
        <f t="shared" si="3"/>
        <v>1529</v>
      </c>
      <c r="L389" s="66">
        <v>0.1</v>
      </c>
      <c r="M389" s="65">
        <f t="shared" si="4"/>
        <v>1529</v>
      </c>
      <c r="N389" s="67">
        <f t="shared" si="320"/>
        <v>0.05002942908</v>
      </c>
      <c r="O389" s="68">
        <v>1614.0</v>
      </c>
      <c r="P389" s="67">
        <f t="shared" si="324"/>
        <v>0.05002942908</v>
      </c>
      <c r="Q389" s="69">
        <v>1614.0</v>
      </c>
      <c r="R389" s="70"/>
      <c r="S389" s="71">
        <f t="shared" si="327"/>
        <v>0.05559189012</v>
      </c>
      <c r="T389" s="72">
        <f t="shared" si="6"/>
        <v>0</v>
      </c>
      <c r="U389" s="73" t="str">
        <f t="shared" si="321"/>
        <v/>
      </c>
      <c r="V389" s="73">
        <f t="shared" si="303"/>
        <v>1295.762712</v>
      </c>
      <c r="W389" s="73">
        <f t="shared" si="9"/>
        <v>1295.762712</v>
      </c>
      <c r="X389" s="74">
        <f t="shared" si="10"/>
        <v>1</v>
      </c>
      <c r="Y389" s="73">
        <f t="shared" si="11"/>
        <v>0</v>
      </c>
      <c r="Z389" s="73">
        <f t="shared" si="12"/>
        <v>1367.79661</v>
      </c>
      <c r="AA389" s="73">
        <f t="shared" si="13"/>
        <v>1367.79661</v>
      </c>
      <c r="AB389" s="74">
        <f t="shared" si="14"/>
        <v>1</v>
      </c>
      <c r="AC389" s="61" t="str">
        <f t="shared" si="15"/>
        <v>2</v>
      </c>
      <c r="AD389" s="71" t="str">
        <f t="shared" si="16"/>
        <v>#DIV/0!</v>
      </c>
      <c r="AE389" s="61"/>
      <c r="AF389" s="61"/>
      <c r="AG389" s="71">
        <f t="array" ref="AG389">IFERROR(xlookup(G389,'Old Master'!T:T,'Old Master'!V:V),N389)</f>
        <v>0.05002942908</v>
      </c>
      <c r="AH389" s="73">
        <f t="shared" si="229"/>
        <v>1614</v>
      </c>
      <c r="AI389" s="73">
        <f t="shared" si="230"/>
        <v>1367.79661</v>
      </c>
      <c r="AJ389" s="72">
        <f t="shared" si="19"/>
        <v>1</v>
      </c>
      <c r="AK389" s="61"/>
      <c r="AL389" s="71">
        <f t="array" ref="AL389">iferror(if(isblank(xlookup($G389,'Old Master'!$T:$T,'Old Master'!$W:$W)),AG389,xlookup($G389,'Old Master'!$T:$T,'Old Master'!$W:$W)),AG389)</f>
        <v>0.05002942908</v>
      </c>
      <c r="AM389" s="74">
        <f t="shared" si="20"/>
        <v>0.05002942908</v>
      </c>
      <c r="AN389" s="73">
        <f t="shared" si="328"/>
        <v>1614</v>
      </c>
    </row>
    <row r="390">
      <c r="A390" s="65" t="s">
        <v>4624</v>
      </c>
      <c r="B390" s="65" t="str">
        <f t="shared" si="1"/>
        <v>#VALUE!</v>
      </c>
      <c r="C390" s="65" t="str">
        <f t="shared" si="248"/>
        <v>#VALUE!</v>
      </c>
      <c r="D390" s="65" t="s">
        <v>4626</v>
      </c>
      <c r="E390" s="65">
        <v>0.0</v>
      </c>
      <c r="F390" s="65" t="s">
        <v>4627</v>
      </c>
      <c r="G390" s="65" t="s">
        <v>5077</v>
      </c>
      <c r="H390" s="65" t="s">
        <v>4730</v>
      </c>
      <c r="I390" s="65">
        <v>1699.0</v>
      </c>
      <c r="J390" s="66">
        <v>0.1</v>
      </c>
      <c r="K390" s="65">
        <f t="shared" si="3"/>
        <v>1529</v>
      </c>
      <c r="L390" s="66">
        <v>0.1</v>
      </c>
      <c r="M390" s="65">
        <f t="shared" si="4"/>
        <v>1529</v>
      </c>
      <c r="N390" s="67">
        <f t="shared" si="320"/>
        <v>0.05002942908</v>
      </c>
      <c r="O390" s="68">
        <v>1614.0</v>
      </c>
      <c r="P390" s="67">
        <f t="shared" si="324"/>
        <v>0.05002942908</v>
      </c>
      <c r="Q390" s="69">
        <v>1614.0</v>
      </c>
      <c r="R390" s="70"/>
      <c r="S390" s="71">
        <f t="shared" si="327"/>
        <v>0.05559189012</v>
      </c>
      <c r="T390" s="72">
        <f t="shared" si="6"/>
        <v>0</v>
      </c>
      <c r="U390" s="73" t="str">
        <f t="shared" si="321"/>
        <v/>
      </c>
      <c r="V390" s="73">
        <f t="shared" si="303"/>
        <v>1295.762712</v>
      </c>
      <c r="W390" s="73">
        <f t="shared" si="9"/>
        <v>1295.762712</v>
      </c>
      <c r="X390" s="74">
        <f t="shared" si="10"/>
        <v>1</v>
      </c>
      <c r="Y390" s="73">
        <f t="shared" si="11"/>
        <v>0</v>
      </c>
      <c r="Z390" s="73">
        <f t="shared" si="12"/>
        <v>1367.79661</v>
      </c>
      <c r="AA390" s="73">
        <f t="shared" si="13"/>
        <v>1367.79661</v>
      </c>
      <c r="AB390" s="74">
        <f t="shared" si="14"/>
        <v>1</v>
      </c>
      <c r="AC390" s="61" t="str">
        <f t="shared" si="15"/>
        <v>2</v>
      </c>
      <c r="AD390" s="71" t="str">
        <f t="shared" si="16"/>
        <v>#DIV/0!</v>
      </c>
      <c r="AE390" s="61"/>
      <c r="AF390" s="61"/>
      <c r="AG390" s="71">
        <f t="array" ref="AG390">IFERROR(xlookup(G390,'Old Master'!T:T,'Old Master'!V:V),N390)</f>
        <v>0.05002942908</v>
      </c>
      <c r="AH390" s="73">
        <f t="shared" si="229"/>
        <v>1614</v>
      </c>
      <c r="AI390" s="73">
        <f t="shared" si="230"/>
        <v>1367.79661</v>
      </c>
      <c r="AJ390" s="72">
        <f t="shared" si="19"/>
        <v>1</v>
      </c>
      <c r="AK390" s="61"/>
      <c r="AL390" s="71">
        <f t="array" ref="AL390">iferror(if(isblank(xlookup($G390,'Old Master'!$T:$T,'Old Master'!$W:$W)),AG390,xlookup($G390,'Old Master'!$T:$T,'Old Master'!$W:$W)),AG390)</f>
        <v>0.05002942908</v>
      </c>
      <c r="AM390" s="74">
        <f t="shared" si="20"/>
        <v>0.05002942908</v>
      </c>
      <c r="AN390" s="73">
        <f t="shared" si="328"/>
        <v>1614</v>
      </c>
    </row>
    <row r="391">
      <c r="A391" s="65" t="s">
        <v>4578</v>
      </c>
      <c r="B391" s="65" t="str">
        <f t="shared" si="1"/>
        <v>#VALUE!</v>
      </c>
      <c r="C391" s="65" t="str">
        <f t="shared" si="248"/>
        <v>#VALUE!</v>
      </c>
      <c r="D391" s="65">
        <v>0.0</v>
      </c>
      <c r="E391" s="65">
        <v>0.0</v>
      </c>
      <c r="F391" s="65" t="s">
        <v>4580</v>
      </c>
      <c r="G391" s="65" t="s">
        <v>5077</v>
      </c>
      <c r="H391" s="84" t="s">
        <v>4730</v>
      </c>
      <c r="I391" s="65">
        <v>1499.0</v>
      </c>
      <c r="J391" s="66">
        <v>0.0</v>
      </c>
      <c r="K391" s="65">
        <f t="shared" si="3"/>
        <v>1499</v>
      </c>
      <c r="L391" s="66">
        <v>0.0</v>
      </c>
      <c r="M391" s="65">
        <f t="shared" si="4"/>
        <v>1499</v>
      </c>
      <c r="N391" s="67">
        <f t="shared" si="320"/>
        <v>0.05003335557</v>
      </c>
      <c r="O391" s="68">
        <v>1424.0</v>
      </c>
      <c r="P391" s="67">
        <f t="shared" si="324"/>
        <v>0.05003335557</v>
      </c>
      <c r="Q391" s="69">
        <v>1424.0</v>
      </c>
      <c r="R391" s="70"/>
      <c r="S391" s="71">
        <f t="shared" si="327"/>
        <v>-0.05003335557</v>
      </c>
      <c r="T391" s="72">
        <f t="shared" si="6"/>
        <v>0</v>
      </c>
      <c r="U391" s="73" t="str">
        <f t="shared" si="321"/>
        <v/>
      </c>
      <c r="V391" s="73">
        <f t="shared" si="303"/>
        <v>1270.338983</v>
      </c>
      <c r="W391" s="73">
        <f t="shared" si="9"/>
        <v>1270.338983</v>
      </c>
      <c r="X391" s="74">
        <f t="shared" si="10"/>
        <v>1</v>
      </c>
      <c r="Y391" s="73">
        <f t="shared" si="11"/>
        <v>0</v>
      </c>
      <c r="Z391" s="73">
        <f t="shared" si="12"/>
        <v>1206.779661</v>
      </c>
      <c r="AA391" s="73">
        <f t="shared" si="13"/>
        <v>1206.779661</v>
      </c>
      <c r="AB391" s="74">
        <f t="shared" si="14"/>
        <v>1</v>
      </c>
      <c r="AC391" s="61" t="str">
        <f t="shared" si="15"/>
        <v>0</v>
      </c>
      <c r="AD391" s="71" t="str">
        <f t="shared" si="16"/>
        <v>#DIV/0!</v>
      </c>
      <c r="AE391" s="61"/>
      <c r="AF391" s="61"/>
      <c r="AG391" s="71">
        <f t="array" ref="AG391">IFERROR(xlookup(G391,'Old Master'!T:T,'Old Master'!V:V),N391)</f>
        <v>0.05003335557</v>
      </c>
      <c r="AH391" s="73">
        <f t="shared" si="229"/>
        <v>1424</v>
      </c>
      <c r="AI391" s="73">
        <f t="shared" si="230"/>
        <v>1206.779661</v>
      </c>
      <c r="AJ391" s="72">
        <f t="shared" si="19"/>
        <v>1</v>
      </c>
      <c r="AK391" s="61"/>
      <c r="AL391" s="71">
        <f t="array" ref="AL391">iferror(if(isblank(xlookup($G391,'Old Master'!$T:$T,'Old Master'!$W:$W)),AG391,xlookup($G391,'Old Master'!$T:$T,'Old Master'!$W:$W)),AG391)</f>
        <v>0.05003335557</v>
      </c>
      <c r="AM391" s="74">
        <f t="shared" si="20"/>
        <v>0.05003335557</v>
      </c>
      <c r="AN391" s="73">
        <f t="shared" si="328"/>
        <v>1424</v>
      </c>
    </row>
    <row r="392">
      <c r="A392" s="65" t="s">
        <v>3777</v>
      </c>
      <c r="B392" s="65" t="str">
        <f t="shared" si="1"/>
        <v>#VALUE!</v>
      </c>
      <c r="C392" s="65" t="str">
        <f t="shared" si="248"/>
        <v>#VALUE!</v>
      </c>
      <c r="D392" s="65" t="s">
        <v>3779</v>
      </c>
      <c r="E392" s="65" t="s">
        <v>3780</v>
      </c>
      <c r="F392" s="65" t="s">
        <v>3781</v>
      </c>
      <c r="G392" s="65" t="s">
        <v>5158</v>
      </c>
      <c r="H392" s="65" t="s">
        <v>5158</v>
      </c>
      <c r="I392" s="65">
        <v>26249.0</v>
      </c>
      <c r="J392" s="66">
        <v>0.25</v>
      </c>
      <c r="K392" s="65">
        <f t="shared" si="3"/>
        <v>19687</v>
      </c>
      <c r="L392" s="66">
        <v>0.24999047582765055</v>
      </c>
      <c r="M392" s="65">
        <f t="shared" si="4"/>
        <v>19687</v>
      </c>
      <c r="N392" s="67">
        <f t="shared" si="320"/>
        <v>0.1499866662</v>
      </c>
      <c r="O392" s="68">
        <v>22312.0</v>
      </c>
      <c r="P392" s="67">
        <f t="shared" si="324"/>
        <v>0.1499866662</v>
      </c>
      <c r="Q392" s="69">
        <v>22312.0</v>
      </c>
      <c r="R392" s="70"/>
      <c r="S392" s="71">
        <f>O392/M392-1</f>
        <v>0.1333367197</v>
      </c>
      <c r="T392" s="72">
        <f t="shared" si="6"/>
        <v>0</v>
      </c>
      <c r="U392" s="73" t="str">
        <f t="shared" si="321"/>
        <v/>
      </c>
      <c r="V392" s="73">
        <f t="shared" si="303"/>
        <v>16683.89831</v>
      </c>
      <c r="W392" s="73">
        <f t="shared" si="9"/>
        <v>16683.89831</v>
      </c>
      <c r="X392" s="74">
        <f t="shared" si="10"/>
        <v>1</v>
      </c>
      <c r="Y392" s="73">
        <f t="shared" si="11"/>
        <v>0</v>
      </c>
      <c r="Z392" s="73">
        <f t="shared" si="12"/>
        <v>18908.47458</v>
      </c>
      <c r="AA392" s="73">
        <f t="shared" si="13"/>
        <v>18908.47458</v>
      </c>
      <c r="AB392" s="74">
        <f t="shared" si="14"/>
        <v>1</v>
      </c>
      <c r="AC392" s="61" t="str">
        <f t="shared" si="15"/>
        <v>N</v>
      </c>
      <c r="AD392" s="71" t="str">
        <f t="shared" si="16"/>
        <v>#DIV/0!</v>
      </c>
      <c r="AE392" s="61"/>
      <c r="AF392" s="61"/>
      <c r="AG392" s="71">
        <f t="array" ref="AG392">IFERROR(xlookup(G392,'Old Master'!T:T,'Old Master'!V:V),N392)</f>
        <v>0.1499866662</v>
      </c>
      <c r="AH392" s="73">
        <f t="shared" si="229"/>
        <v>22312</v>
      </c>
      <c r="AI392" s="73">
        <f t="shared" si="230"/>
        <v>18908.47458</v>
      </c>
      <c r="AJ392" s="72">
        <f t="shared" si="19"/>
        <v>1</v>
      </c>
      <c r="AK392" s="61"/>
      <c r="AL392" s="71">
        <f t="array" ref="AL392">iferror(if(isblank(xlookup($G392,'Old Master'!$T:$T,'Old Master'!$W:$W)),AG392,xlookup($G392,'Old Master'!$T:$T,'Old Master'!$W:$W)),AG392)</f>
        <v>0.1499866662</v>
      </c>
      <c r="AM392" s="74">
        <f t="shared" si="20"/>
        <v>0.1499866662</v>
      </c>
      <c r="AN392" s="73">
        <f t="shared" si="328"/>
        <v>22312</v>
      </c>
    </row>
    <row r="393">
      <c r="A393" s="65" t="s">
        <v>1450</v>
      </c>
      <c r="B393" s="65" t="str">
        <f t="shared" si="1"/>
        <v>#VALUE!</v>
      </c>
      <c r="C393" s="65" t="str">
        <f t="shared" si="248"/>
        <v>#VALUE!</v>
      </c>
      <c r="D393" s="65" t="s">
        <v>1452</v>
      </c>
      <c r="E393" s="65" t="s">
        <v>1454</v>
      </c>
      <c r="F393" s="65" t="s">
        <v>1455</v>
      </c>
      <c r="G393" s="65" t="s">
        <v>5089</v>
      </c>
      <c r="H393" s="65" t="s">
        <v>4730</v>
      </c>
      <c r="I393" s="65">
        <v>2999.0</v>
      </c>
      <c r="J393" s="66">
        <v>0.28342780926975664</v>
      </c>
      <c r="K393" s="65">
        <f t="shared" si="3"/>
        <v>2149</v>
      </c>
      <c r="L393" s="66">
        <v>0.1</v>
      </c>
      <c r="M393" s="65">
        <f t="shared" si="4"/>
        <v>2699</v>
      </c>
      <c r="N393" s="67">
        <f t="shared" si="320"/>
        <v>0.1833944648</v>
      </c>
      <c r="O393" s="68">
        <v>2449.0</v>
      </c>
      <c r="P393" s="67">
        <f t="shared" si="324"/>
        <v>0.1833944648</v>
      </c>
      <c r="Q393" s="69">
        <v>2449.0</v>
      </c>
      <c r="R393" s="70"/>
      <c r="S393" s="71">
        <f t="shared" ref="S393:S395" si="329">O393/K393-1</f>
        <v>0.1395998139</v>
      </c>
      <c r="T393" s="72">
        <f t="shared" si="6"/>
        <v>0</v>
      </c>
      <c r="U393" s="73" t="str">
        <f t="shared" si="321"/>
        <v/>
      </c>
      <c r="V393" s="73">
        <f t="shared" si="303"/>
        <v>2287.288136</v>
      </c>
      <c r="W393" s="73">
        <f t="shared" si="9"/>
        <v>2287.288136</v>
      </c>
      <c r="X393" s="74">
        <f t="shared" si="10"/>
        <v>1</v>
      </c>
      <c r="Y393" s="73">
        <f t="shared" si="11"/>
        <v>0</v>
      </c>
      <c r="Z393" s="73">
        <f t="shared" si="12"/>
        <v>2075.423729</v>
      </c>
      <c r="AA393" s="73">
        <f t="shared" si="13"/>
        <v>2075.423729</v>
      </c>
      <c r="AB393" s="74">
        <f t="shared" si="14"/>
        <v>1</v>
      </c>
      <c r="AC393" s="61" t="str">
        <f t="shared" si="15"/>
        <v>2</v>
      </c>
      <c r="AD393" s="71" t="str">
        <f t="shared" si="16"/>
        <v>#DIV/0!</v>
      </c>
      <c r="AE393" s="61"/>
      <c r="AF393" s="61"/>
      <c r="AG393" s="71">
        <f t="array" ref="AG393">IFERROR(xlookup(G393,'Old Master'!T:T,'Old Master'!V:V),N393)</f>
        <v>0.1833944648</v>
      </c>
      <c r="AH393" s="73">
        <f t="shared" si="229"/>
        <v>2449</v>
      </c>
      <c r="AI393" s="73">
        <f t="shared" si="230"/>
        <v>2075.423729</v>
      </c>
      <c r="AJ393" s="72">
        <f t="shared" si="19"/>
        <v>1</v>
      </c>
      <c r="AK393" s="61"/>
      <c r="AL393" s="71">
        <f t="array" ref="AL393">iferror(if(isblank(xlookup($G393,'Old Master'!$T:$T,'Old Master'!$W:$W)),AG393,xlookup($G393,'Old Master'!$T:$T,'Old Master'!$W:$W)),AG393)</f>
        <v>0.1833944648</v>
      </c>
      <c r="AM393" s="74">
        <f t="shared" si="20"/>
        <v>0.1833944648</v>
      </c>
      <c r="AN393" s="73">
        <f t="shared" si="328"/>
        <v>2449</v>
      </c>
    </row>
    <row r="394">
      <c r="A394" s="65" t="s">
        <v>1357</v>
      </c>
      <c r="B394" s="65" t="str">
        <f t="shared" si="1"/>
        <v>#VALUE!</v>
      </c>
      <c r="C394" s="65" t="str">
        <f t="shared" si="248"/>
        <v>#VALUE!</v>
      </c>
      <c r="D394" s="65" t="s">
        <v>1359</v>
      </c>
      <c r="E394" s="65" t="s">
        <v>1360</v>
      </c>
      <c r="F394" s="65" t="s">
        <v>1361</v>
      </c>
      <c r="G394" s="65" t="s">
        <v>5089</v>
      </c>
      <c r="H394" s="65" t="s">
        <v>4730</v>
      </c>
      <c r="I394" s="65">
        <v>2649.0</v>
      </c>
      <c r="J394" s="66">
        <v>0.2831257078142695</v>
      </c>
      <c r="K394" s="65">
        <f t="shared" si="3"/>
        <v>1899</v>
      </c>
      <c r="L394" s="66">
        <v>0.1</v>
      </c>
      <c r="M394" s="65">
        <f t="shared" si="4"/>
        <v>2384</v>
      </c>
      <c r="N394" s="67">
        <f t="shared" si="320"/>
        <v>0.1830879577</v>
      </c>
      <c r="O394" s="68">
        <v>2164.0</v>
      </c>
      <c r="P394" s="67">
        <f t="shared" si="324"/>
        <v>0.1830879577</v>
      </c>
      <c r="Q394" s="69">
        <v>2164.0</v>
      </c>
      <c r="R394" s="70"/>
      <c r="S394" s="71">
        <f t="shared" si="329"/>
        <v>0.1395471301</v>
      </c>
      <c r="T394" s="72">
        <f t="shared" si="6"/>
        <v>0</v>
      </c>
      <c r="U394" s="73" t="str">
        <f t="shared" si="321"/>
        <v/>
      </c>
      <c r="V394" s="73">
        <f t="shared" si="303"/>
        <v>2020.338983</v>
      </c>
      <c r="W394" s="73">
        <f t="shared" si="9"/>
        <v>2020.338983</v>
      </c>
      <c r="X394" s="74">
        <f t="shared" si="10"/>
        <v>1</v>
      </c>
      <c r="Y394" s="73">
        <f t="shared" si="11"/>
        <v>0</v>
      </c>
      <c r="Z394" s="73">
        <f t="shared" si="12"/>
        <v>1833.898305</v>
      </c>
      <c r="AA394" s="73">
        <f t="shared" si="13"/>
        <v>1833.898305</v>
      </c>
      <c r="AB394" s="74">
        <f t="shared" si="14"/>
        <v>1</v>
      </c>
      <c r="AC394" s="61" t="str">
        <f t="shared" si="15"/>
        <v>0</v>
      </c>
      <c r="AD394" s="71" t="str">
        <f t="shared" si="16"/>
        <v>#DIV/0!</v>
      </c>
      <c r="AE394" s="61"/>
      <c r="AF394" s="61"/>
      <c r="AG394" s="71">
        <f t="array" ref="AG394">IFERROR(xlookup(G394,'Old Master'!T:T,'Old Master'!V:V),N394)</f>
        <v>0.1830879577</v>
      </c>
      <c r="AH394" s="73">
        <f t="shared" si="229"/>
        <v>2164</v>
      </c>
      <c r="AI394" s="73">
        <f t="shared" si="230"/>
        <v>1833.898305</v>
      </c>
      <c r="AJ394" s="72">
        <f t="shared" si="19"/>
        <v>1</v>
      </c>
      <c r="AK394" s="61"/>
      <c r="AL394" s="71">
        <f t="array" ref="AL394">iferror(if(isblank(xlookup($G394,'Old Master'!$T:$T,'Old Master'!$W:$W)),AG394,xlookup($G394,'Old Master'!$T:$T,'Old Master'!$W:$W)),AG394)</f>
        <v>0.1830879577</v>
      </c>
      <c r="AM394" s="74">
        <f t="shared" si="20"/>
        <v>0.1698754247</v>
      </c>
      <c r="AN394" s="73">
        <f t="shared" ref="AN394:AN407" si="330">mround($I394*(1-AL394),100)-1</f>
        <v>2199</v>
      </c>
    </row>
    <row r="395">
      <c r="A395" s="65" t="s">
        <v>3575</v>
      </c>
      <c r="B395" s="65" t="str">
        <f t="shared" si="1"/>
        <v>#VALUE!</v>
      </c>
      <c r="C395" s="65" t="str">
        <f t="shared" si="248"/>
        <v>#VALUE!</v>
      </c>
      <c r="D395" s="65" t="s">
        <v>3577</v>
      </c>
      <c r="E395" s="65" t="s">
        <v>3578</v>
      </c>
      <c r="F395" s="65" t="s">
        <v>3579</v>
      </c>
      <c r="G395" s="65" t="s">
        <v>5099</v>
      </c>
      <c r="H395" s="65" t="s">
        <v>4730</v>
      </c>
      <c r="I395" s="65">
        <v>2289.0</v>
      </c>
      <c r="J395" s="66">
        <v>0.25775447793796413</v>
      </c>
      <c r="K395" s="65">
        <f t="shared" si="3"/>
        <v>1699</v>
      </c>
      <c r="L395" s="66">
        <v>0.15</v>
      </c>
      <c r="M395" s="65">
        <f t="shared" si="4"/>
        <v>1946</v>
      </c>
      <c r="N395" s="67">
        <f t="shared" si="320"/>
        <v>0.126692879</v>
      </c>
      <c r="O395" s="78">
        <v>1999.0</v>
      </c>
      <c r="P395" s="67">
        <f t="shared" si="324"/>
        <v>0.126692879</v>
      </c>
      <c r="Q395" s="79">
        <v>1999.0</v>
      </c>
      <c r="R395" s="70"/>
      <c r="S395" s="71">
        <f t="shared" si="329"/>
        <v>0.1765744556</v>
      </c>
      <c r="T395" s="72">
        <f t="shared" si="6"/>
        <v>0</v>
      </c>
      <c r="U395" s="73">
        <f>35%*I395</f>
        <v>801.15</v>
      </c>
      <c r="V395" s="73">
        <f t="shared" si="303"/>
        <v>1649.152542</v>
      </c>
      <c r="W395" s="73">
        <f t="shared" si="9"/>
        <v>848.0025424</v>
      </c>
      <c r="X395" s="74">
        <f t="shared" si="10"/>
        <v>0.514205036</v>
      </c>
      <c r="Y395" s="73">
        <f>110%*U395</f>
        <v>881.265</v>
      </c>
      <c r="Z395" s="73">
        <f t="shared" si="12"/>
        <v>1694.067797</v>
      </c>
      <c r="AA395" s="73">
        <f t="shared" si="13"/>
        <v>812.8027966</v>
      </c>
      <c r="AB395" s="74">
        <f t="shared" si="14"/>
        <v>0.4797935468</v>
      </c>
      <c r="AC395" s="61" t="str">
        <f t="shared" si="15"/>
        <v>0</v>
      </c>
      <c r="AD395" s="71">
        <f t="shared" si="16"/>
        <v>0.1</v>
      </c>
      <c r="AE395" s="61"/>
      <c r="AF395" s="61"/>
      <c r="AG395" s="71">
        <f t="array" ref="AG395">IFERROR(xlookup(G395,'Old Master'!T:T,'Old Master'!V:V),N395)</f>
        <v>0.126692879</v>
      </c>
      <c r="AH395" s="73">
        <f t="shared" si="229"/>
        <v>1999</v>
      </c>
      <c r="AI395" s="73">
        <f t="shared" si="230"/>
        <v>812.8027966</v>
      </c>
      <c r="AJ395" s="72">
        <f t="shared" si="19"/>
        <v>0.4797935468</v>
      </c>
      <c r="AK395" s="61"/>
      <c r="AL395" s="71">
        <f t="array" ref="AL395">iferror(if(isblank(xlookup($G395,'Old Master'!$T:$T,'Old Master'!$W:$W)),AG395,xlookup($G395,'Old Master'!$T:$T,'Old Master'!$W:$W)),AG395)</f>
        <v>0.126692879</v>
      </c>
      <c r="AM395" s="74">
        <f t="shared" si="20"/>
        <v>0.126692879</v>
      </c>
      <c r="AN395" s="73">
        <f t="shared" si="330"/>
        <v>1999</v>
      </c>
    </row>
    <row r="396">
      <c r="A396" s="65" t="s">
        <v>1722</v>
      </c>
      <c r="B396" s="65">
        <f t="shared" si="1"/>
        <v>36</v>
      </c>
      <c r="C396" s="65" t="str">
        <f t="shared" si="248"/>
        <v>SC-ULTM-LATEX-S-75x38x10</v>
      </c>
      <c r="D396" s="65" t="s">
        <v>1724</v>
      </c>
      <c r="E396" s="65" t="s">
        <v>1725</v>
      </c>
      <c r="F396" s="65">
        <v>0.0</v>
      </c>
      <c r="G396" s="65" t="s">
        <v>5109</v>
      </c>
      <c r="H396" s="65" t="s">
        <v>52</v>
      </c>
      <c r="I396" s="65">
        <v>20999.0</v>
      </c>
      <c r="J396" s="66">
        <v>0.23</v>
      </c>
      <c r="K396" s="65">
        <f t="shared" si="3"/>
        <v>16169</v>
      </c>
      <c r="L396" s="66">
        <v>0.18</v>
      </c>
      <c r="M396" s="65">
        <f t="shared" si="4"/>
        <v>17219</v>
      </c>
      <c r="N396" s="67">
        <f t="shared" si="320"/>
        <v>0.1000047621</v>
      </c>
      <c r="O396" s="68">
        <v>18899.0</v>
      </c>
      <c r="P396" s="67">
        <f t="shared" si="324"/>
        <v>0.1000047621</v>
      </c>
      <c r="Q396" s="69">
        <v>18899.0</v>
      </c>
      <c r="R396" s="70"/>
      <c r="S396" s="71">
        <f t="shared" ref="S396:S400" si="331">O396/M396-1</f>
        <v>0.0975666415</v>
      </c>
      <c r="T396" s="72">
        <f t="shared" si="6"/>
        <v>0</v>
      </c>
      <c r="U396" s="73" t="str">
        <f t="shared" ref="U396:U397" si="332">IFERROR(XLOOKUP(A396,COGS!I:I,COGS!J:J), IFERROR(XLOOKUP(C396,COGS!I:I,COGS!J:J),""))</f>
        <v/>
      </c>
      <c r="V396" s="73">
        <f t="shared" si="303"/>
        <v>14592.37288</v>
      </c>
      <c r="W396" s="73">
        <f t="shared" si="9"/>
        <v>14592.37288</v>
      </c>
      <c r="X396" s="74">
        <f t="shared" si="10"/>
        <v>1</v>
      </c>
      <c r="Y396" s="73">
        <f t="shared" ref="Y396:Y824" si="333">iferror(xlookup(A396,COGS!$I:$I,COGS!$K:$K),U396*(1+iferror(vlookup(G396,COGS!$R:$U,4,0),15%)))</f>
        <v>0</v>
      </c>
      <c r="Z396" s="73">
        <f t="shared" si="12"/>
        <v>16016.10169</v>
      </c>
      <c r="AA396" s="73">
        <f t="shared" si="13"/>
        <v>16016.10169</v>
      </c>
      <c r="AB396" s="74">
        <f t="shared" si="14"/>
        <v>1</v>
      </c>
      <c r="AC396" s="61" t="str">
        <f t="shared" si="15"/>
        <v>0</v>
      </c>
      <c r="AD396" s="71" t="str">
        <f t="shared" si="16"/>
        <v>#DIV/0!</v>
      </c>
      <c r="AE396" s="61"/>
      <c r="AF396" s="61"/>
      <c r="AG396" s="71">
        <f t="array" ref="AG396">IFERROR(xlookup(G396,'Old Master'!T:T,'Old Master'!V:V),N396)</f>
        <v>0.1000047621</v>
      </c>
      <c r="AH396" s="73">
        <f t="shared" si="229"/>
        <v>18899</v>
      </c>
      <c r="AI396" s="73">
        <f t="shared" si="230"/>
        <v>16016.10169</v>
      </c>
      <c r="AJ396" s="72">
        <f t="shared" si="19"/>
        <v>1</v>
      </c>
      <c r="AK396" s="61"/>
      <c r="AL396" s="71">
        <f t="array" ref="AL396">iferror(if(isblank(xlookup($G396,'Old Master'!$T:$T,'Old Master'!$W:$W)),AG396,xlookup($G396,'Old Master'!$T:$T,'Old Master'!$W:$W)),AG396)</f>
        <v>0.1000047621</v>
      </c>
      <c r="AM396" s="74">
        <f t="shared" si="20"/>
        <v>0.1000047621</v>
      </c>
      <c r="AN396" s="73">
        <f t="shared" si="330"/>
        <v>18899</v>
      </c>
    </row>
    <row r="397">
      <c r="A397" s="65" t="s">
        <v>1771</v>
      </c>
      <c r="B397" s="65">
        <f t="shared" si="1"/>
        <v>48</v>
      </c>
      <c r="C397" s="65" t="str">
        <f t="shared" si="248"/>
        <v>SC-ULTM-LATEX-D-78x50x10</v>
      </c>
      <c r="D397" s="65">
        <v>0.0</v>
      </c>
      <c r="E397" s="65">
        <v>0.0</v>
      </c>
      <c r="F397" s="65" t="s">
        <v>1774</v>
      </c>
      <c r="G397" s="65" t="s">
        <v>5109</v>
      </c>
      <c r="H397" s="65" t="s">
        <v>52</v>
      </c>
      <c r="I397" s="65">
        <v>26999.0</v>
      </c>
      <c r="J397" s="66">
        <v>0.23</v>
      </c>
      <c r="K397" s="65">
        <f t="shared" si="3"/>
        <v>20789</v>
      </c>
      <c r="L397" s="66">
        <v>0.18</v>
      </c>
      <c r="M397" s="65">
        <f t="shared" si="4"/>
        <v>22139</v>
      </c>
      <c r="N397" s="67">
        <f t="shared" si="320"/>
        <v>0.1000037038</v>
      </c>
      <c r="O397" s="68">
        <v>24299.0</v>
      </c>
      <c r="P397" s="67">
        <f t="shared" si="324"/>
        <v>0.1000037038</v>
      </c>
      <c r="Q397" s="69">
        <v>24299.0</v>
      </c>
      <c r="R397" s="70"/>
      <c r="S397" s="71">
        <f t="shared" si="331"/>
        <v>0.09756538236</v>
      </c>
      <c r="T397" s="72">
        <f t="shared" si="6"/>
        <v>0</v>
      </c>
      <c r="U397" s="73" t="str">
        <f t="shared" si="332"/>
        <v/>
      </c>
      <c r="V397" s="73">
        <f t="shared" si="303"/>
        <v>18761.86441</v>
      </c>
      <c r="W397" s="73">
        <f t="shared" si="9"/>
        <v>18761.86441</v>
      </c>
      <c r="X397" s="74">
        <f t="shared" si="10"/>
        <v>1</v>
      </c>
      <c r="Y397" s="73">
        <f t="shared" si="333"/>
        <v>0</v>
      </c>
      <c r="Z397" s="73">
        <f t="shared" si="12"/>
        <v>20592.37288</v>
      </c>
      <c r="AA397" s="73">
        <f t="shared" si="13"/>
        <v>20592.37288</v>
      </c>
      <c r="AB397" s="74">
        <f t="shared" si="14"/>
        <v>1</v>
      </c>
      <c r="AC397" s="61" t="str">
        <f t="shared" si="15"/>
        <v>0</v>
      </c>
      <c r="AD397" s="71" t="str">
        <f t="shared" si="16"/>
        <v>#DIV/0!</v>
      </c>
      <c r="AE397" s="61"/>
      <c r="AF397" s="61"/>
      <c r="AG397" s="71">
        <f t="array" ref="AG397">IFERROR(xlookup(G397,'Old Master'!T:T,'Old Master'!V:V),N397)</f>
        <v>0.1000037038</v>
      </c>
      <c r="AH397" s="73">
        <f t="shared" si="229"/>
        <v>24299</v>
      </c>
      <c r="AI397" s="73">
        <f t="shared" si="230"/>
        <v>20592.37288</v>
      </c>
      <c r="AJ397" s="72">
        <f t="shared" si="19"/>
        <v>1</v>
      </c>
      <c r="AK397" s="61"/>
      <c r="AL397" s="71">
        <f t="array" ref="AL397">iferror(if(isblank(xlookup($G397,'Old Master'!$T:$T,'Old Master'!$W:$W)),AG397,xlookup($G397,'Old Master'!$T:$T,'Old Master'!$W:$W)),AG397)</f>
        <v>0.1000037038</v>
      </c>
      <c r="AM397" s="74">
        <f t="shared" si="20"/>
        <v>0.1000037038</v>
      </c>
      <c r="AN397" s="73">
        <f t="shared" si="330"/>
        <v>24299</v>
      </c>
    </row>
    <row r="398">
      <c r="A398" s="65" t="s">
        <v>1857</v>
      </c>
      <c r="B398" s="65">
        <f t="shared" si="1"/>
        <v>66</v>
      </c>
      <c r="C398" s="65" t="str">
        <f t="shared" si="248"/>
        <v>SC-ULTM-LATEX-Q-84x68x10</v>
      </c>
      <c r="D398" s="65">
        <v>0.0</v>
      </c>
      <c r="E398" s="65">
        <v>0.0</v>
      </c>
      <c r="F398" s="65" t="s">
        <v>1858</v>
      </c>
      <c r="G398" s="65" t="s">
        <v>5109</v>
      </c>
      <c r="H398" s="65" t="s">
        <v>52</v>
      </c>
      <c r="I398" s="65">
        <v>44999.0</v>
      </c>
      <c r="J398" s="66">
        <v>0.23</v>
      </c>
      <c r="K398" s="65">
        <f t="shared" si="3"/>
        <v>34649</v>
      </c>
      <c r="L398" s="66">
        <v>0.18</v>
      </c>
      <c r="M398" s="65">
        <f t="shared" si="4"/>
        <v>36899</v>
      </c>
      <c r="N398" s="67">
        <f t="shared" si="320"/>
        <v>0.1000022223</v>
      </c>
      <c r="O398" s="68">
        <v>40499.0</v>
      </c>
      <c r="P398" s="67">
        <f t="shared" si="324"/>
        <v>0.1000022223</v>
      </c>
      <c r="Q398" s="69">
        <v>40499.0</v>
      </c>
      <c r="R398" s="70"/>
      <c r="S398" s="71">
        <f t="shared" si="331"/>
        <v>0.09756361961</v>
      </c>
      <c r="T398" s="72">
        <f t="shared" si="6"/>
        <v>0</v>
      </c>
      <c r="U398" s="73">
        <f t="array" ref="U398">IFERROR(XLOOKUP(A398,COGS!I:I,COGS!J:J), IFERROR(XLOOKUP(C398,COGS!I:I,COGS!J:J),I398*35%))</f>
        <v>15749.65</v>
      </c>
      <c r="V398" s="73">
        <f t="shared" si="303"/>
        <v>31270.33898</v>
      </c>
      <c r="W398" s="73">
        <f t="shared" si="9"/>
        <v>15520.68898</v>
      </c>
      <c r="X398" s="74">
        <f t="shared" si="10"/>
        <v>0.4963390065</v>
      </c>
      <c r="Y398" s="73">
        <f t="shared" si="333"/>
        <v>18112.0975</v>
      </c>
      <c r="Z398" s="73">
        <f t="shared" si="12"/>
        <v>34321.18644</v>
      </c>
      <c r="AA398" s="73">
        <f t="shared" si="13"/>
        <v>16209.08894</v>
      </c>
      <c r="AB398" s="74">
        <f t="shared" si="14"/>
        <v>0.4722764747</v>
      </c>
      <c r="AC398" s="61" t="str">
        <f t="shared" si="15"/>
        <v>0</v>
      </c>
      <c r="AD398" s="71">
        <f t="shared" si="16"/>
        <v>0.15</v>
      </c>
      <c r="AE398" s="61"/>
      <c r="AF398" s="61"/>
      <c r="AG398" s="71">
        <f t="array" ref="AG398">IFERROR(xlookup(G398,'Old Master'!T:T,'Old Master'!V:V),N398)</f>
        <v>0.1000022223</v>
      </c>
      <c r="AH398" s="73">
        <f t="shared" si="229"/>
        <v>40499</v>
      </c>
      <c r="AI398" s="73">
        <f t="shared" si="230"/>
        <v>16209.08894</v>
      </c>
      <c r="AJ398" s="72">
        <f t="shared" si="19"/>
        <v>0.4722764747</v>
      </c>
      <c r="AK398" s="61"/>
      <c r="AL398" s="71">
        <f t="array" ref="AL398">iferror(if(isblank(xlookup($G398,'Old Master'!$T:$T,'Old Master'!$W:$W)),AG398,xlookup($G398,'Old Master'!$T:$T,'Old Master'!$W:$W)),AG398)</f>
        <v>0.1000022223</v>
      </c>
      <c r="AM398" s="74">
        <f t="shared" si="20"/>
        <v>0.1000022223</v>
      </c>
      <c r="AN398" s="73">
        <f t="shared" si="330"/>
        <v>40499</v>
      </c>
    </row>
    <row r="399">
      <c r="A399" s="65" t="s">
        <v>1545</v>
      </c>
      <c r="B399" s="65">
        <f t="shared" si="1"/>
        <v>36</v>
      </c>
      <c r="C399" s="65" t="str">
        <f t="shared" si="248"/>
        <v>SC-ULTM-S-72x38x10</v>
      </c>
      <c r="D399" s="65" t="s">
        <v>1547</v>
      </c>
      <c r="E399" s="65" t="s">
        <v>1545</v>
      </c>
      <c r="F399" s="65" t="s">
        <v>1545</v>
      </c>
      <c r="G399" s="65" t="s">
        <v>5112</v>
      </c>
      <c r="H399" s="65" t="s">
        <v>52</v>
      </c>
      <c r="I399" s="65">
        <v>16999.0</v>
      </c>
      <c r="J399" s="66">
        <v>0.25</v>
      </c>
      <c r="K399" s="65">
        <f t="shared" si="3"/>
        <v>12749</v>
      </c>
      <c r="L399" s="66">
        <v>0.22</v>
      </c>
      <c r="M399" s="65">
        <f t="shared" si="4"/>
        <v>13259</v>
      </c>
      <c r="N399" s="67">
        <f t="shared" si="320"/>
        <v>0.1000058827</v>
      </c>
      <c r="O399" s="68">
        <v>15299.0</v>
      </c>
      <c r="P399" s="67">
        <f t="shared" si="324"/>
        <v>0.1000058827</v>
      </c>
      <c r="Q399" s="69">
        <v>15299.0</v>
      </c>
      <c r="R399" s="70"/>
      <c r="S399" s="71">
        <f t="shared" si="331"/>
        <v>0.153857757</v>
      </c>
      <c r="T399" s="72">
        <f t="shared" si="6"/>
        <v>0</v>
      </c>
      <c r="U399" s="73" t="str">
        <f t="shared" ref="U399:U401" si="334">IFERROR(XLOOKUP(A399,COGS!I:I,COGS!J:J), IFERROR(XLOOKUP(C399,COGS!I:I,COGS!J:J),""))</f>
        <v/>
      </c>
      <c r="V399" s="73">
        <f t="shared" si="303"/>
        <v>11236.44068</v>
      </c>
      <c r="W399" s="73">
        <f t="shared" si="9"/>
        <v>11236.44068</v>
      </c>
      <c r="X399" s="74">
        <f t="shared" si="10"/>
        <v>1</v>
      </c>
      <c r="Y399" s="73">
        <f t="shared" si="333"/>
        <v>0</v>
      </c>
      <c r="Z399" s="73">
        <f t="shared" si="12"/>
        <v>12965.25424</v>
      </c>
      <c r="AA399" s="73">
        <f t="shared" si="13"/>
        <v>12965.25424</v>
      </c>
      <c r="AB399" s="74">
        <f t="shared" si="14"/>
        <v>1</v>
      </c>
      <c r="AC399" s="61" t="str">
        <f t="shared" si="15"/>
        <v>0</v>
      </c>
      <c r="AD399" s="71" t="str">
        <f t="shared" si="16"/>
        <v>#DIV/0!</v>
      </c>
      <c r="AE399" s="61"/>
      <c r="AF399" s="61"/>
      <c r="AG399" s="71">
        <f t="array" ref="AG399">IFERROR(xlookup(G399,'Old Master'!T:T,'Old Master'!V:V),N399)</f>
        <v>0.1000058827</v>
      </c>
      <c r="AH399" s="73">
        <f t="shared" si="229"/>
        <v>15299</v>
      </c>
      <c r="AI399" s="73">
        <f t="shared" si="230"/>
        <v>12965.25424</v>
      </c>
      <c r="AJ399" s="72">
        <f t="shared" si="19"/>
        <v>1</v>
      </c>
      <c r="AK399" s="61"/>
      <c r="AL399" s="71">
        <f t="array" ref="AL399">iferror(if(isblank(xlookup($G399,'Old Master'!$T:$T,'Old Master'!$W:$W)),AG399,xlookup($G399,'Old Master'!$T:$T,'Old Master'!$W:$W)),AG399)</f>
        <v>0.1000058827</v>
      </c>
      <c r="AM399" s="74">
        <f t="shared" si="20"/>
        <v>0.1000058827</v>
      </c>
      <c r="AN399" s="73">
        <f t="shared" si="330"/>
        <v>15299</v>
      </c>
    </row>
    <row r="400">
      <c r="A400" s="65" t="s">
        <v>1550</v>
      </c>
      <c r="B400" s="65">
        <f t="shared" si="1"/>
        <v>36</v>
      </c>
      <c r="C400" s="65" t="str">
        <f t="shared" si="248"/>
        <v>SC-ULTM-S-78x38x10</v>
      </c>
      <c r="D400" s="65" t="s">
        <v>1552</v>
      </c>
      <c r="E400" s="65" t="s">
        <v>1550</v>
      </c>
      <c r="F400" s="65" t="s">
        <v>1550</v>
      </c>
      <c r="G400" s="65" t="s">
        <v>5112</v>
      </c>
      <c r="H400" s="65" t="s">
        <v>52</v>
      </c>
      <c r="I400" s="65">
        <v>16999.0</v>
      </c>
      <c r="J400" s="66">
        <v>0.25</v>
      </c>
      <c r="K400" s="65">
        <f t="shared" si="3"/>
        <v>12749</v>
      </c>
      <c r="L400" s="66">
        <v>0.22</v>
      </c>
      <c r="M400" s="65">
        <f t="shared" si="4"/>
        <v>13259</v>
      </c>
      <c r="N400" s="67">
        <f t="shared" si="320"/>
        <v>0.1000058827</v>
      </c>
      <c r="O400" s="68">
        <v>15299.0</v>
      </c>
      <c r="P400" s="67">
        <f t="shared" si="324"/>
        <v>0.1000058827</v>
      </c>
      <c r="Q400" s="69">
        <v>15299.0</v>
      </c>
      <c r="R400" s="70"/>
      <c r="S400" s="71">
        <f t="shared" si="331"/>
        <v>0.153857757</v>
      </c>
      <c r="T400" s="72">
        <f t="shared" si="6"/>
        <v>0</v>
      </c>
      <c r="U400" s="73" t="str">
        <f t="shared" si="334"/>
        <v/>
      </c>
      <c r="V400" s="73">
        <f t="shared" si="303"/>
        <v>11236.44068</v>
      </c>
      <c r="W400" s="73">
        <f t="shared" si="9"/>
        <v>11236.44068</v>
      </c>
      <c r="X400" s="74">
        <f t="shared" si="10"/>
        <v>1</v>
      </c>
      <c r="Y400" s="73">
        <f t="shared" si="333"/>
        <v>0</v>
      </c>
      <c r="Z400" s="73">
        <f t="shared" si="12"/>
        <v>12965.25424</v>
      </c>
      <c r="AA400" s="73">
        <f t="shared" si="13"/>
        <v>12965.25424</v>
      </c>
      <c r="AB400" s="74">
        <f t="shared" si="14"/>
        <v>1</v>
      </c>
      <c r="AC400" s="61" t="str">
        <f t="shared" si="15"/>
        <v>0</v>
      </c>
      <c r="AD400" s="71" t="str">
        <f t="shared" si="16"/>
        <v>#DIV/0!</v>
      </c>
      <c r="AE400" s="61"/>
      <c r="AF400" s="61"/>
      <c r="AG400" s="71">
        <f t="array" ref="AG400">IFERROR(xlookup(G400,'Old Master'!T:T,'Old Master'!V:V),N400)</f>
        <v>0.1000058827</v>
      </c>
      <c r="AH400" s="73">
        <f t="shared" si="229"/>
        <v>15299</v>
      </c>
      <c r="AI400" s="73">
        <f t="shared" si="230"/>
        <v>12965.25424</v>
      </c>
      <c r="AJ400" s="72">
        <f t="shared" si="19"/>
        <v>1</v>
      </c>
      <c r="AK400" s="61"/>
      <c r="AL400" s="71">
        <f t="array" ref="AL400">iferror(if(isblank(xlookup($G400,'Old Master'!$T:$T,'Old Master'!$W:$W)),AG400,xlookup($G400,'Old Master'!$T:$T,'Old Master'!$W:$W)),AG400)</f>
        <v>0.1000058827</v>
      </c>
      <c r="AM400" s="74">
        <f t="shared" si="20"/>
        <v>0.1000058827</v>
      </c>
      <c r="AN400" s="73">
        <f t="shared" si="330"/>
        <v>15299</v>
      </c>
    </row>
    <row r="401">
      <c r="A401" s="65" t="s">
        <v>3164</v>
      </c>
      <c r="B401" s="65" t="str">
        <f t="shared" si="1"/>
        <v>#VALUE!</v>
      </c>
      <c r="C401" s="65" t="str">
        <f t="shared" si="248"/>
        <v>#VALUE!</v>
      </c>
      <c r="D401" s="65" t="s">
        <v>3166</v>
      </c>
      <c r="E401" s="65" t="s">
        <v>3164</v>
      </c>
      <c r="F401" s="65" t="s">
        <v>3164</v>
      </c>
      <c r="G401" s="65" t="s">
        <v>5094</v>
      </c>
      <c r="H401" s="65" t="s">
        <v>4730</v>
      </c>
      <c r="I401" s="65">
        <v>3989.0</v>
      </c>
      <c r="J401" s="66">
        <v>0.24818250188017044</v>
      </c>
      <c r="K401" s="65">
        <f t="shared" si="3"/>
        <v>2999</v>
      </c>
      <c r="L401" s="66">
        <v>0.15</v>
      </c>
      <c r="M401" s="65">
        <f t="shared" si="4"/>
        <v>3391</v>
      </c>
      <c r="N401" s="67">
        <f t="shared" si="320"/>
        <v>0.1499122587</v>
      </c>
      <c r="O401" s="68">
        <v>3391.0</v>
      </c>
      <c r="P401" s="67">
        <f t="shared" si="324"/>
        <v>0.1499122587</v>
      </c>
      <c r="Q401" s="69">
        <v>3391.0</v>
      </c>
      <c r="R401" s="70"/>
      <c r="S401" s="71">
        <f t="shared" ref="S401:S404" si="335">O401/K401-1</f>
        <v>0.1307102367</v>
      </c>
      <c r="T401" s="72">
        <f t="shared" si="6"/>
        <v>0</v>
      </c>
      <c r="U401" s="73" t="str">
        <f t="shared" si="334"/>
        <v/>
      </c>
      <c r="V401" s="73">
        <f t="shared" si="303"/>
        <v>2873.728814</v>
      </c>
      <c r="W401" s="73">
        <f t="shared" si="9"/>
        <v>2873.728814</v>
      </c>
      <c r="X401" s="74">
        <f t="shared" si="10"/>
        <v>1</v>
      </c>
      <c r="Y401" s="73">
        <f t="shared" si="333"/>
        <v>0</v>
      </c>
      <c r="Z401" s="73">
        <f t="shared" si="12"/>
        <v>2873.728814</v>
      </c>
      <c r="AA401" s="73">
        <f t="shared" si="13"/>
        <v>2873.728814</v>
      </c>
      <c r="AB401" s="74">
        <f t="shared" si="14"/>
        <v>1</v>
      </c>
      <c r="AC401" s="61" t="str">
        <f t="shared" si="15"/>
        <v>0</v>
      </c>
      <c r="AD401" s="71" t="str">
        <f t="shared" si="16"/>
        <v>#DIV/0!</v>
      </c>
      <c r="AE401" s="61"/>
      <c r="AF401" s="61"/>
      <c r="AG401" s="71">
        <f t="array" ref="AG401">IFERROR(xlookup(G401,'Old Master'!T:T,'Old Master'!V:V),N401)</f>
        <v>0.1499122587</v>
      </c>
      <c r="AH401" s="73">
        <f t="shared" si="229"/>
        <v>3391</v>
      </c>
      <c r="AI401" s="73">
        <f t="shared" si="230"/>
        <v>2873.728814</v>
      </c>
      <c r="AJ401" s="72">
        <f t="shared" si="19"/>
        <v>1</v>
      </c>
      <c r="AK401" s="61"/>
      <c r="AL401" s="71">
        <f t="array" ref="AL401">iferror(if(isblank(xlookup($G401,'Old Master'!$T:$T,'Old Master'!$W:$W)),AG401,xlookup($G401,'Old Master'!$T:$T,'Old Master'!$W:$W)),AG401)</f>
        <v>0.1499122587</v>
      </c>
      <c r="AM401" s="74">
        <f t="shared" si="20"/>
        <v>0.1479067435</v>
      </c>
      <c r="AN401" s="73">
        <f t="shared" si="330"/>
        <v>3399</v>
      </c>
    </row>
    <row r="402">
      <c r="A402" s="65" t="s">
        <v>4373</v>
      </c>
      <c r="B402" s="65">
        <f t="shared" si="1"/>
        <v>48</v>
      </c>
      <c r="C402" s="65" t="str">
        <f t="shared" si="248"/>
        <v>SC-QRMTTOPPER-D-72x50x2</v>
      </c>
      <c r="D402" s="65" t="s">
        <v>4375</v>
      </c>
      <c r="E402" s="65">
        <v>0.0</v>
      </c>
      <c r="F402" s="65" t="s">
        <v>4376</v>
      </c>
      <c r="G402" s="65" t="s">
        <v>5143</v>
      </c>
      <c r="H402" s="65" t="s">
        <v>4730</v>
      </c>
      <c r="I402" s="65">
        <v>4799.0</v>
      </c>
      <c r="J402" s="66">
        <v>0.2</v>
      </c>
      <c r="K402" s="65">
        <f t="shared" si="3"/>
        <v>3839</v>
      </c>
      <c r="L402" s="66">
        <v>0.26</v>
      </c>
      <c r="M402" s="65">
        <f t="shared" si="4"/>
        <v>3551</v>
      </c>
      <c r="N402" s="67">
        <f t="shared" si="320"/>
        <v>0.1041883726</v>
      </c>
      <c r="O402" s="78">
        <v>4299.0</v>
      </c>
      <c r="P402" s="67">
        <f t="shared" si="324"/>
        <v>0.1041883726</v>
      </c>
      <c r="Q402" s="79">
        <v>4299.0</v>
      </c>
      <c r="R402" s="70"/>
      <c r="S402" s="71">
        <f t="shared" si="335"/>
        <v>0.1198228705</v>
      </c>
      <c r="T402" s="72">
        <f t="shared" si="6"/>
        <v>0</v>
      </c>
      <c r="U402" s="73">
        <f t="shared" ref="U402:U404" si="336">O402*35%</f>
        <v>1504.65</v>
      </c>
      <c r="V402" s="73">
        <f t="shared" ref="V402:V404" si="337">K402/1.18</f>
        <v>3253.389831</v>
      </c>
      <c r="W402" s="73">
        <f t="shared" si="9"/>
        <v>1748.739831</v>
      </c>
      <c r="X402" s="74">
        <f t="shared" si="10"/>
        <v>0.5375131545</v>
      </c>
      <c r="Y402" s="73">
        <f t="shared" si="333"/>
        <v>1730.3475</v>
      </c>
      <c r="Z402" s="73">
        <f t="shared" si="12"/>
        <v>3643.220339</v>
      </c>
      <c r="AA402" s="73">
        <f t="shared" si="13"/>
        <v>1912.872839</v>
      </c>
      <c r="AB402" s="74">
        <f t="shared" si="14"/>
        <v>0.52505</v>
      </c>
      <c r="AC402" s="61" t="str">
        <f t="shared" si="15"/>
        <v>2</v>
      </c>
      <c r="AD402" s="71">
        <f t="shared" si="16"/>
        <v>0.15</v>
      </c>
      <c r="AE402" s="61"/>
      <c r="AF402" s="61"/>
      <c r="AG402" s="71">
        <f t="array" ref="AG402">IFERROR(xlookup(G402,'Old Master'!T:T,'Old Master'!V:V),N402)</f>
        <v>0.1041883726</v>
      </c>
      <c r="AH402" s="73">
        <f t="shared" si="229"/>
        <v>4299</v>
      </c>
      <c r="AI402" s="73">
        <f t="shared" si="230"/>
        <v>1912.872839</v>
      </c>
      <c r="AJ402" s="72">
        <f t="shared" si="19"/>
        <v>0.52505</v>
      </c>
      <c r="AK402" s="61"/>
      <c r="AL402" s="71">
        <f t="array" ref="AL402">iferror(if(isblank(xlookup($G402,'Old Master'!$T:$T,'Old Master'!$W:$W)),AG402,xlookup($G402,'Old Master'!$T:$T,'Old Master'!$W:$W)),AG402)</f>
        <v>0.1041883726</v>
      </c>
      <c r="AM402" s="74">
        <f t="shared" si="20"/>
        <v>0.1041883726</v>
      </c>
      <c r="AN402" s="73">
        <f t="shared" si="330"/>
        <v>4299</v>
      </c>
    </row>
    <row r="403">
      <c r="A403" s="65" t="s">
        <v>4363</v>
      </c>
      <c r="B403" s="65">
        <f t="shared" si="1"/>
        <v>36</v>
      </c>
      <c r="C403" s="65" t="str">
        <f t="shared" si="248"/>
        <v>SC-QRMTTOPPER-S-72x38x2</v>
      </c>
      <c r="D403" s="65" t="s">
        <v>4365</v>
      </c>
      <c r="E403" s="65">
        <v>0.0</v>
      </c>
      <c r="F403" s="65" t="s">
        <v>4366</v>
      </c>
      <c r="G403" s="65" t="s">
        <v>5143</v>
      </c>
      <c r="H403" s="65" t="s">
        <v>4730</v>
      </c>
      <c r="I403" s="65">
        <v>3959.0</v>
      </c>
      <c r="J403" s="66">
        <v>0.2</v>
      </c>
      <c r="K403" s="65">
        <f t="shared" si="3"/>
        <v>3167</v>
      </c>
      <c r="L403" s="66">
        <v>0.26</v>
      </c>
      <c r="M403" s="65">
        <f t="shared" si="4"/>
        <v>2930</v>
      </c>
      <c r="N403" s="67">
        <f t="shared" si="320"/>
        <v>0.09093205355</v>
      </c>
      <c r="O403" s="78">
        <v>3599.0</v>
      </c>
      <c r="P403" s="67">
        <f t="shared" si="324"/>
        <v>0.09093205355</v>
      </c>
      <c r="Q403" s="79">
        <v>3599.0</v>
      </c>
      <c r="R403" s="70"/>
      <c r="S403" s="71">
        <f t="shared" si="335"/>
        <v>0.136406694</v>
      </c>
      <c r="T403" s="72">
        <f t="shared" si="6"/>
        <v>0</v>
      </c>
      <c r="U403" s="73">
        <f t="shared" si="336"/>
        <v>1259.65</v>
      </c>
      <c r="V403" s="73">
        <f t="shared" si="337"/>
        <v>2683.898305</v>
      </c>
      <c r="W403" s="73">
        <f t="shared" si="9"/>
        <v>1424.248305</v>
      </c>
      <c r="X403" s="74">
        <f t="shared" si="10"/>
        <v>0.5306640354</v>
      </c>
      <c r="Y403" s="73">
        <f t="shared" si="333"/>
        <v>1448.5975</v>
      </c>
      <c r="Z403" s="73">
        <f t="shared" si="12"/>
        <v>3050</v>
      </c>
      <c r="AA403" s="73">
        <f t="shared" si="13"/>
        <v>1601.4025</v>
      </c>
      <c r="AB403" s="74">
        <f t="shared" si="14"/>
        <v>0.52505</v>
      </c>
      <c r="AC403" s="61" t="str">
        <f t="shared" si="15"/>
        <v>2</v>
      </c>
      <c r="AD403" s="71">
        <f t="shared" si="16"/>
        <v>0.15</v>
      </c>
      <c r="AE403" s="61"/>
      <c r="AF403" s="61"/>
      <c r="AG403" s="71">
        <f t="array" ref="AG403">IFERROR(xlookup(G403,'Old Master'!T:T,'Old Master'!V:V),N403)</f>
        <v>0.09093205355</v>
      </c>
      <c r="AH403" s="73">
        <f t="shared" si="229"/>
        <v>3599</v>
      </c>
      <c r="AI403" s="73">
        <f t="shared" si="230"/>
        <v>1601.4025</v>
      </c>
      <c r="AJ403" s="72">
        <f t="shared" si="19"/>
        <v>0.52505</v>
      </c>
      <c r="AK403" s="61"/>
      <c r="AL403" s="71">
        <f t="array" ref="AL403">iferror(if(isblank(xlookup($G403,'Old Master'!$T:$T,'Old Master'!$W:$W)),AG403,xlookup($G403,'Old Master'!$T:$T,'Old Master'!$W:$W)),AG403)</f>
        <v>0.09093205355</v>
      </c>
      <c r="AM403" s="74">
        <f t="shared" si="20"/>
        <v>0.09093205355</v>
      </c>
      <c r="AN403" s="73">
        <f t="shared" si="330"/>
        <v>3599</v>
      </c>
    </row>
    <row r="404">
      <c r="A404" s="65" t="s">
        <v>4368</v>
      </c>
      <c r="B404" s="65">
        <f t="shared" si="1"/>
        <v>36</v>
      </c>
      <c r="C404" s="65" t="str">
        <f t="shared" si="248"/>
        <v>SC-QRMTTOPPER-S-78x38x2</v>
      </c>
      <c r="D404" s="65" t="s">
        <v>4370</v>
      </c>
      <c r="E404" s="65">
        <v>0.0</v>
      </c>
      <c r="F404" s="65" t="s">
        <v>4371</v>
      </c>
      <c r="G404" s="65" t="s">
        <v>5143</v>
      </c>
      <c r="H404" s="65" t="s">
        <v>4730</v>
      </c>
      <c r="I404" s="65">
        <v>4199.0</v>
      </c>
      <c r="J404" s="66">
        <v>0.2</v>
      </c>
      <c r="K404" s="65">
        <f t="shared" si="3"/>
        <v>3359</v>
      </c>
      <c r="L404" s="66">
        <v>0.26</v>
      </c>
      <c r="M404" s="65">
        <f t="shared" si="4"/>
        <v>3107</v>
      </c>
      <c r="N404" s="67">
        <f t="shared" si="320"/>
        <v>0.09526077638</v>
      </c>
      <c r="O404" s="78">
        <v>3799.0</v>
      </c>
      <c r="P404" s="67">
        <f t="shared" si="324"/>
        <v>0.09526077638</v>
      </c>
      <c r="Q404" s="79">
        <v>3799.0</v>
      </c>
      <c r="R404" s="70"/>
      <c r="S404" s="71">
        <f t="shared" si="335"/>
        <v>0.1309913665</v>
      </c>
      <c r="T404" s="72">
        <f t="shared" si="6"/>
        <v>0</v>
      </c>
      <c r="U404" s="73">
        <f t="shared" si="336"/>
        <v>1329.65</v>
      </c>
      <c r="V404" s="73">
        <f t="shared" si="337"/>
        <v>2846.610169</v>
      </c>
      <c r="W404" s="73">
        <f t="shared" si="9"/>
        <v>1516.960169</v>
      </c>
      <c r="X404" s="74">
        <f t="shared" si="10"/>
        <v>0.5329005656</v>
      </c>
      <c r="Y404" s="73">
        <f t="shared" si="333"/>
        <v>1529.0975</v>
      </c>
      <c r="Z404" s="73">
        <f t="shared" si="12"/>
        <v>3219.491525</v>
      </c>
      <c r="AA404" s="73">
        <f t="shared" si="13"/>
        <v>1690.394025</v>
      </c>
      <c r="AB404" s="74">
        <f t="shared" si="14"/>
        <v>0.52505</v>
      </c>
      <c r="AC404" s="61" t="str">
        <f t="shared" si="15"/>
        <v>2</v>
      </c>
      <c r="AD404" s="71">
        <f t="shared" si="16"/>
        <v>0.15</v>
      </c>
      <c r="AE404" s="61"/>
      <c r="AF404" s="61"/>
      <c r="AG404" s="71">
        <f t="array" ref="AG404">IFERROR(xlookup(G404,'Old Master'!T:T,'Old Master'!V:V),N404)</f>
        <v>0.09526077638</v>
      </c>
      <c r="AH404" s="73">
        <f t="shared" si="229"/>
        <v>3799</v>
      </c>
      <c r="AI404" s="73">
        <f t="shared" si="230"/>
        <v>1690.394025</v>
      </c>
      <c r="AJ404" s="72">
        <f t="shared" si="19"/>
        <v>0.52505</v>
      </c>
      <c r="AK404" s="61"/>
      <c r="AL404" s="71">
        <f t="array" ref="AL404">iferror(if(isblank(xlookup($G404,'Old Master'!$T:$T,'Old Master'!$W:$W)),AG404,xlookup($G404,'Old Master'!$T:$T,'Old Master'!$W:$W)),AG404)</f>
        <v>0.09526077638</v>
      </c>
      <c r="AM404" s="74">
        <f t="shared" si="20"/>
        <v>0.09526077638</v>
      </c>
      <c r="AN404" s="73">
        <f t="shared" si="330"/>
        <v>3799</v>
      </c>
    </row>
    <row r="405">
      <c r="A405" s="65" t="s">
        <v>2092</v>
      </c>
      <c r="B405" s="65">
        <f t="shared" si="1"/>
        <v>66</v>
      </c>
      <c r="C405" s="65" t="str">
        <f t="shared" si="248"/>
        <v>SC-CLD-SPR-Q-72x68x8</v>
      </c>
      <c r="D405" s="65" t="s">
        <v>2094</v>
      </c>
      <c r="E405" s="65" t="s">
        <v>2095</v>
      </c>
      <c r="F405" s="65">
        <v>0.0</v>
      </c>
      <c r="G405" s="65" t="s">
        <v>5138</v>
      </c>
      <c r="H405" s="65" t="s">
        <v>52</v>
      </c>
      <c r="I405" s="65">
        <v>27999.0</v>
      </c>
      <c r="J405" s="66">
        <v>0.25</v>
      </c>
      <c r="K405" s="65">
        <f t="shared" si="3"/>
        <v>20999</v>
      </c>
      <c r="L405" s="66">
        <v>0.2</v>
      </c>
      <c r="M405" s="65">
        <f t="shared" si="4"/>
        <v>22399</v>
      </c>
      <c r="N405" s="67">
        <f t="shared" si="320"/>
        <v>0.1000035716</v>
      </c>
      <c r="O405" s="68">
        <v>25199.0</v>
      </c>
      <c r="P405" s="67">
        <f t="shared" si="324"/>
        <v>0.1000035716</v>
      </c>
      <c r="Q405" s="69">
        <v>25199.0</v>
      </c>
      <c r="R405" s="70"/>
      <c r="S405" s="71">
        <f t="shared" ref="S405:S407" si="338">O405/M405-1</f>
        <v>0.1250055806</v>
      </c>
      <c r="T405" s="72">
        <f t="shared" si="6"/>
        <v>0</v>
      </c>
      <c r="U405" s="73" t="str">
        <f t="shared" ref="U405:U436" si="339">IFERROR(XLOOKUP(A405,COGS!I:I,COGS!J:J), IFERROR(XLOOKUP(C405,COGS!I:I,COGS!J:J),""))</f>
        <v/>
      </c>
      <c r="V405" s="73">
        <f t="shared" ref="V405:V844" si="340">M405/1.18</f>
        <v>18982.20339</v>
      </c>
      <c r="W405" s="73">
        <f t="shared" si="9"/>
        <v>18982.20339</v>
      </c>
      <c r="X405" s="74">
        <f t="shared" si="10"/>
        <v>1</v>
      </c>
      <c r="Y405" s="73">
        <f t="shared" si="333"/>
        <v>0</v>
      </c>
      <c r="Z405" s="73">
        <f t="shared" si="12"/>
        <v>21355.08475</v>
      </c>
      <c r="AA405" s="73">
        <f t="shared" si="13"/>
        <v>21355.08475</v>
      </c>
      <c r="AB405" s="74">
        <f t="shared" si="14"/>
        <v>1</v>
      </c>
      <c r="AC405" s="61" t="str">
        <f t="shared" si="15"/>
        <v>8</v>
      </c>
      <c r="AD405" s="71" t="str">
        <f t="shared" si="16"/>
        <v>#DIV/0!</v>
      </c>
      <c r="AE405" s="61"/>
      <c r="AF405" s="61"/>
      <c r="AG405" s="71">
        <f t="array" ref="AG405">IFERROR(xlookup(G405,'Old Master'!T:T,'Old Master'!V:V),N405)</f>
        <v>0.1000035716</v>
      </c>
      <c r="AH405" s="73">
        <f t="shared" si="229"/>
        <v>25199</v>
      </c>
      <c r="AI405" s="73">
        <f t="shared" si="230"/>
        <v>21355.08475</v>
      </c>
      <c r="AJ405" s="72">
        <f t="shared" si="19"/>
        <v>1</v>
      </c>
      <c r="AK405" s="61"/>
      <c r="AL405" s="71">
        <f t="array" ref="AL405">iferror(if(isblank(xlookup($G405,'Old Master'!$T:$T,'Old Master'!$W:$W)),AG405,xlookup($G405,'Old Master'!$T:$T,'Old Master'!$W:$W)),AG405)</f>
        <v>0.1000035716</v>
      </c>
      <c r="AM405" s="74">
        <f t="shared" si="20"/>
        <v>0.1000035716</v>
      </c>
      <c r="AN405" s="73">
        <f t="shared" si="330"/>
        <v>25199</v>
      </c>
    </row>
    <row r="406">
      <c r="A406" s="65" t="s">
        <v>2098</v>
      </c>
      <c r="B406" s="65">
        <f t="shared" si="1"/>
        <v>66</v>
      </c>
      <c r="C406" s="65" t="str">
        <f t="shared" si="248"/>
        <v>SC-CLD-SPR-Q-75x68x8</v>
      </c>
      <c r="D406" s="65" t="s">
        <v>2100</v>
      </c>
      <c r="E406" s="65" t="s">
        <v>2101</v>
      </c>
      <c r="F406" s="65">
        <v>0.0</v>
      </c>
      <c r="G406" s="65" t="s">
        <v>5138</v>
      </c>
      <c r="H406" s="65" t="s">
        <v>52</v>
      </c>
      <c r="I406" s="65">
        <v>27999.0</v>
      </c>
      <c r="J406" s="66">
        <v>0.25</v>
      </c>
      <c r="K406" s="65">
        <f t="shared" si="3"/>
        <v>20999</v>
      </c>
      <c r="L406" s="66">
        <v>0.2</v>
      </c>
      <c r="M406" s="65">
        <f t="shared" si="4"/>
        <v>22399</v>
      </c>
      <c r="N406" s="67">
        <f t="shared" si="320"/>
        <v>0.1000035716</v>
      </c>
      <c r="O406" s="68">
        <v>25199.0</v>
      </c>
      <c r="P406" s="67">
        <f t="shared" si="324"/>
        <v>0.1000035716</v>
      </c>
      <c r="Q406" s="69">
        <v>25199.0</v>
      </c>
      <c r="R406" s="70"/>
      <c r="S406" s="71">
        <f t="shared" si="338"/>
        <v>0.1250055806</v>
      </c>
      <c r="T406" s="72">
        <f t="shared" si="6"/>
        <v>0</v>
      </c>
      <c r="U406" s="73" t="str">
        <f t="shared" si="339"/>
        <v/>
      </c>
      <c r="V406" s="73">
        <f t="shared" si="340"/>
        <v>18982.20339</v>
      </c>
      <c r="W406" s="73">
        <f t="shared" si="9"/>
        <v>18982.20339</v>
      </c>
      <c r="X406" s="74">
        <f t="shared" si="10"/>
        <v>1</v>
      </c>
      <c r="Y406" s="73">
        <f t="shared" si="333"/>
        <v>0</v>
      </c>
      <c r="Z406" s="73">
        <f t="shared" si="12"/>
        <v>21355.08475</v>
      </c>
      <c r="AA406" s="73">
        <f t="shared" si="13"/>
        <v>21355.08475</v>
      </c>
      <c r="AB406" s="74">
        <f t="shared" si="14"/>
        <v>1</v>
      </c>
      <c r="AC406" s="61" t="str">
        <f t="shared" si="15"/>
        <v>8</v>
      </c>
      <c r="AD406" s="71" t="str">
        <f t="shared" si="16"/>
        <v>#DIV/0!</v>
      </c>
      <c r="AE406" s="61"/>
      <c r="AF406" s="61"/>
      <c r="AG406" s="71">
        <f t="array" ref="AG406">IFERROR(xlookup(G406,'Old Master'!T:T,'Old Master'!V:V),N406)</f>
        <v>0.1000035716</v>
      </c>
      <c r="AH406" s="73">
        <f t="shared" si="229"/>
        <v>25199</v>
      </c>
      <c r="AI406" s="73">
        <f t="shared" si="230"/>
        <v>21355.08475</v>
      </c>
      <c r="AJ406" s="72">
        <f t="shared" si="19"/>
        <v>1</v>
      </c>
      <c r="AK406" s="61"/>
      <c r="AL406" s="71">
        <f t="array" ref="AL406">iferror(if(isblank(xlookup($G406,'Old Master'!$T:$T,'Old Master'!$W:$W)),AG406,xlookup($G406,'Old Master'!$T:$T,'Old Master'!$W:$W)),AG406)</f>
        <v>0.1000035716</v>
      </c>
      <c r="AM406" s="74">
        <f t="shared" si="20"/>
        <v>0.1000035716</v>
      </c>
      <c r="AN406" s="73">
        <f t="shared" si="330"/>
        <v>25199</v>
      </c>
    </row>
    <row r="407">
      <c r="A407" s="65" t="s">
        <v>2038</v>
      </c>
      <c r="B407" s="65">
        <f t="shared" si="1"/>
        <v>36</v>
      </c>
      <c r="C407" s="65" t="str">
        <f t="shared" si="248"/>
        <v>SC-CLD-SPR-S-75x38x8</v>
      </c>
      <c r="D407" s="65" t="s">
        <v>2040</v>
      </c>
      <c r="E407" s="65" t="s">
        <v>2041</v>
      </c>
      <c r="F407" s="65">
        <v>0.0</v>
      </c>
      <c r="G407" s="65" t="s">
        <v>5138</v>
      </c>
      <c r="H407" s="65" t="s">
        <v>52</v>
      </c>
      <c r="I407" s="65">
        <v>19999.0</v>
      </c>
      <c r="J407" s="66">
        <v>0.25</v>
      </c>
      <c r="K407" s="65">
        <f t="shared" si="3"/>
        <v>14999</v>
      </c>
      <c r="L407" s="66">
        <v>0.2</v>
      </c>
      <c r="M407" s="65">
        <f t="shared" si="4"/>
        <v>15999</v>
      </c>
      <c r="N407" s="67">
        <f t="shared" si="320"/>
        <v>0.1000050003</v>
      </c>
      <c r="O407" s="68">
        <v>17999.0</v>
      </c>
      <c r="P407" s="67">
        <f t="shared" si="324"/>
        <v>0.1000050003</v>
      </c>
      <c r="Q407" s="69">
        <v>17999.0</v>
      </c>
      <c r="R407" s="70"/>
      <c r="S407" s="71">
        <f t="shared" si="338"/>
        <v>0.125007813</v>
      </c>
      <c r="T407" s="72">
        <f t="shared" si="6"/>
        <v>0</v>
      </c>
      <c r="U407" s="73" t="str">
        <f t="shared" si="339"/>
        <v/>
      </c>
      <c r="V407" s="73">
        <f t="shared" si="340"/>
        <v>13558.47458</v>
      </c>
      <c r="W407" s="73">
        <f t="shared" si="9"/>
        <v>13558.47458</v>
      </c>
      <c r="X407" s="74">
        <f t="shared" si="10"/>
        <v>1</v>
      </c>
      <c r="Y407" s="73">
        <f t="shared" si="333"/>
        <v>0</v>
      </c>
      <c r="Z407" s="73">
        <f t="shared" si="12"/>
        <v>15253.38983</v>
      </c>
      <c r="AA407" s="73">
        <f t="shared" si="13"/>
        <v>15253.38983</v>
      </c>
      <c r="AB407" s="74">
        <f t="shared" si="14"/>
        <v>1</v>
      </c>
      <c r="AC407" s="61" t="str">
        <f t="shared" si="15"/>
        <v>8</v>
      </c>
      <c r="AD407" s="71" t="str">
        <f t="shared" si="16"/>
        <v>#DIV/0!</v>
      </c>
      <c r="AE407" s="61"/>
      <c r="AF407" s="61"/>
      <c r="AG407" s="71">
        <f t="array" ref="AG407">IFERROR(xlookup(G407,'Old Master'!T:T,'Old Master'!V:V),N407)</f>
        <v>0.1000050003</v>
      </c>
      <c r="AH407" s="73">
        <f t="shared" si="229"/>
        <v>17999</v>
      </c>
      <c r="AI407" s="73">
        <f t="shared" si="230"/>
        <v>15253.38983</v>
      </c>
      <c r="AJ407" s="72">
        <f t="shared" si="19"/>
        <v>1</v>
      </c>
      <c r="AK407" s="61"/>
      <c r="AL407" s="71">
        <f t="array" ref="AL407">iferror(if(isblank(xlookup($G407,'Old Master'!$T:$T,'Old Master'!$W:$W)),AG407,xlookup($G407,'Old Master'!$T:$T,'Old Master'!$W:$W)),AG407)</f>
        <v>0.1000050003</v>
      </c>
      <c r="AM407" s="74">
        <f t="shared" si="20"/>
        <v>0.1000050003</v>
      </c>
      <c r="AN407" s="73">
        <f t="shared" si="330"/>
        <v>17999</v>
      </c>
    </row>
    <row r="408">
      <c r="A408" s="65" t="s">
        <v>2462</v>
      </c>
      <c r="B408" s="65" t="str">
        <f t="shared" si="1"/>
        <v>#VALUE!</v>
      </c>
      <c r="C408" s="65" t="str">
        <f t="shared" si="248"/>
        <v>#VALUE!</v>
      </c>
      <c r="D408" s="65" t="s">
        <v>2464</v>
      </c>
      <c r="E408" s="65">
        <v>0.0</v>
      </c>
      <c r="F408" s="65">
        <v>0.0</v>
      </c>
      <c r="G408" s="65" t="s">
        <v>5083</v>
      </c>
      <c r="H408" s="65" t="s">
        <v>1145</v>
      </c>
      <c r="I408" s="65">
        <v>3489.0</v>
      </c>
      <c r="J408" s="66">
        <v>0.33</v>
      </c>
      <c r="K408" s="65">
        <f t="shared" si="3"/>
        <v>2338</v>
      </c>
      <c r="L408" s="66">
        <v>0.0</v>
      </c>
      <c r="M408" s="65">
        <f t="shared" si="4"/>
        <v>3489</v>
      </c>
      <c r="N408" s="77">
        <f t="shared" si="320"/>
        <v>0.2298652909</v>
      </c>
      <c r="O408" s="68">
        <v>2687.0</v>
      </c>
      <c r="P408" s="67">
        <f t="shared" si="324"/>
        <v>0.2298652909</v>
      </c>
      <c r="Q408" s="69">
        <v>2687.0</v>
      </c>
      <c r="R408" s="70"/>
      <c r="S408" s="71">
        <f t="shared" ref="S408:S434" si="341">O408/K408-1</f>
        <v>0.1492728828</v>
      </c>
      <c r="T408" s="72">
        <f t="shared" si="6"/>
        <v>0</v>
      </c>
      <c r="U408" s="73" t="str">
        <f t="shared" si="339"/>
        <v/>
      </c>
      <c r="V408" s="73">
        <f t="shared" si="340"/>
        <v>2956.779661</v>
      </c>
      <c r="W408" s="73">
        <f t="shared" si="9"/>
        <v>2956.779661</v>
      </c>
      <c r="X408" s="74">
        <f t="shared" si="10"/>
        <v>1</v>
      </c>
      <c r="Y408" s="73">
        <f t="shared" si="333"/>
        <v>0</v>
      </c>
      <c r="Z408" s="73">
        <f t="shared" si="12"/>
        <v>2277.118644</v>
      </c>
      <c r="AA408" s="73">
        <f t="shared" si="13"/>
        <v>2277.118644</v>
      </c>
      <c r="AB408" s="74">
        <f t="shared" si="14"/>
        <v>1</v>
      </c>
      <c r="AC408" s="61" t="str">
        <f t="shared" si="15"/>
        <v>8</v>
      </c>
      <c r="AD408" s="71" t="str">
        <f t="shared" si="16"/>
        <v>#DIV/0!</v>
      </c>
      <c r="AE408" s="61"/>
      <c r="AF408" s="61"/>
      <c r="AG408" s="71">
        <f t="array" ref="AG408">IFERROR(xlookup(G408,'Old Master'!T:T,'Old Master'!V:V),N408)</f>
        <v>0.2298652909</v>
      </c>
      <c r="AH408" s="73">
        <f t="shared" si="229"/>
        <v>2687</v>
      </c>
      <c r="AI408" s="73">
        <f t="shared" si="230"/>
        <v>2277.118644</v>
      </c>
      <c r="AJ408" s="72">
        <f t="shared" si="19"/>
        <v>1</v>
      </c>
      <c r="AK408" s="61"/>
      <c r="AL408" s="71">
        <f>(I408-AN408)/I408</f>
        <v>0.2298652909</v>
      </c>
      <c r="AM408" s="74">
        <f t="shared" si="20"/>
        <v>0.2298652909</v>
      </c>
      <c r="AN408" s="73">
        <v>2687.0</v>
      </c>
    </row>
    <row r="409">
      <c r="A409" s="65" t="s">
        <v>2977</v>
      </c>
      <c r="B409" s="65" t="str">
        <f t="shared" si="1"/>
        <v>#VALUE!</v>
      </c>
      <c r="C409" s="65" t="str">
        <f t="shared" si="248"/>
        <v>#VALUE!</v>
      </c>
      <c r="D409" s="65" t="s">
        <v>2979</v>
      </c>
      <c r="E409" s="65">
        <v>0.0</v>
      </c>
      <c r="F409" s="65" t="s">
        <v>2977</v>
      </c>
      <c r="G409" s="65" t="s">
        <v>5088</v>
      </c>
      <c r="H409" s="65" t="s">
        <v>4730</v>
      </c>
      <c r="I409" s="65">
        <v>2789.0</v>
      </c>
      <c r="J409" s="66">
        <v>0.2832556471853711</v>
      </c>
      <c r="K409" s="65">
        <f t="shared" si="3"/>
        <v>1999</v>
      </c>
      <c r="L409" s="66">
        <v>0.15</v>
      </c>
      <c r="M409" s="65">
        <f t="shared" si="4"/>
        <v>2371</v>
      </c>
      <c r="N409" s="67">
        <f t="shared" si="320"/>
        <v>0.1039799211</v>
      </c>
      <c r="O409" s="68">
        <v>2499.0</v>
      </c>
      <c r="P409" s="67">
        <f t="shared" si="324"/>
        <v>0.1039799211</v>
      </c>
      <c r="Q409" s="69">
        <v>2499.0</v>
      </c>
      <c r="R409" s="70"/>
      <c r="S409" s="71">
        <f t="shared" si="341"/>
        <v>0.2501250625</v>
      </c>
      <c r="T409" s="72">
        <f t="shared" si="6"/>
        <v>0</v>
      </c>
      <c r="U409" s="73" t="str">
        <f t="shared" si="339"/>
        <v/>
      </c>
      <c r="V409" s="73">
        <f t="shared" si="340"/>
        <v>2009.322034</v>
      </c>
      <c r="W409" s="73">
        <f t="shared" si="9"/>
        <v>2009.322034</v>
      </c>
      <c r="X409" s="74">
        <f t="shared" si="10"/>
        <v>1</v>
      </c>
      <c r="Y409" s="73">
        <f t="shared" si="333"/>
        <v>0</v>
      </c>
      <c r="Z409" s="73">
        <f t="shared" si="12"/>
        <v>2117.79661</v>
      </c>
      <c r="AA409" s="73">
        <f t="shared" si="13"/>
        <v>2117.79661</v>
      </c>
      <c r="AB409" s="74">
        <f t="shared" si="14"/>
        <v>1</v>
      </c>
      <c r="AC409" s="61" t="str">
        <f t="shared" si="15"/>
        <v>0</v>
      </c>
      <c r="AD409" s="71" t="str">
        <f t="shared" si="16"/>
        <v>#DIV/0!</v>
      </c>
      <c r="AE409" s="61"/>
      <c r="AF409" s="61"/>
      <c r="AG409" s="71">
        <f t="array" ref="AG409">IFERROR(xlookup(G409,'Old Master'!T:T,'Old Master'!V:V),N409)</f>
        <v>0.1039799211</v>
      </c>
      <c r="AH409" s="73">
        <f t="shared" si="229"/>
        <v>2499</v>
      </c>
      <c r="AI409" s="73">
        <f t="shared" si="230"/>
        <v>2117.79661</v>
      </c>
      <c r="AJ409" s="72">
        <f t="shared" si="19"/>
        <v>1</v>
      </c>
      <c r="AK409" s="61"/>
      <c r="AL409" s="71">
        <f t="array" ref="AL409">iferror(if(isblank(xlookup($G409,'Old Master'!$T:$T,'Old Master'!$W:$W)),AG409,xlookup($G409,'Old Master'!$T:$T,'Old Master'!$W:$W)),AG409)</f>
        <v>0.1039799211</v>
      </c>
      <c r="AM409" s="74">
        <f t="shared" si="20"/>
        <v>0.1039799211</v>
      </c>
      <c r="AN409" s="73">
        <f t="shared" ref="AN409:AN413" si="342">mround($I409*(1-AL409),100)-1</f>
        <v>2499</v>
      </c>
    </row>
    <row r="410">
      <c r="A410" s="65" t="s">
        <v>2957</v>
      </c>
      <c r="B410" s="65" t="str">
        <f t="shared" si="1"/>
        <v>#VALUE!</v>
      </c>
      <c r="C410" s="65" t="str">
        <f t="shared" si="248"/>
        <v>#VALUE!</v>
      </c>
      <c r="D410" s="65" t="s">
        <v>2959</v>
      </c>
      <c r="E410" s="65" t="s">
        <v>2960</v>
      </c>
      <c r="F410" s="65">
        <v>0.0</v>
      </c>
      <c r="G410" s="65" t="s">
        <v>5088</v>
      </c>
      <c r="H410" s="65" t="s">
        <v>4730</v>
      </c>
      <c r="I410" s="65">
        <v>2089.0</v>
      </c>
      <c r="J410" s="66">
        <v>0.28243178554332216</v>
      </c>
      <c r="K410" s="65">
        <f t="shared" si="3"/>
        <v>1499</v>
      </c>
      <c r="L410" s="66">
        <v>0.15</v>
      </c>
      <c r="M410" s="65">
        <f t="shared" si="4"/>
        <v>1776</v>
      </c>
      <c r="N410" s="67">
        <f t="shared" si="320"/>
        <v>0.0909526089</v>
      </c>
      <c r="O410" s="68">
        <v>1899.0</v>
      </c>
      <c r="P410" s="67">
        <f t="shared" si="324"/>
        <v>0.0909526089</v>
      </c>
      <c r="Q410" s="69">
        <v>1899.0</v>
      </c>
      <c r="R410" s="70"/>
      <c r="S410" s="71">
        <f t="shared" si="341"/>
        <v>0.266844563</v>
      </c>
      <c r="T410" s="72">
        <f t="shared" si="6"/>
        <v>0</v>
      </c>
      <c r="U410" s="73" t="str">
        <f t="shared" si="339"/>
        <v/>
      </c>
      <c r="V410" s="73">
        <f t="shared" si="340"/>
        <v>1505.084746</v>
      </c>
      <c r="W410" s="73">
        <f t="shared" si="9"/>
        <v>1505.084746</v>
      </c>
      <c r="X410" s="74">
        <f t="shared" si="10"/>
        <v>1</v>
      </c>
      <c r="Y410" s="73">
        <f t="shared" si="333"/>
        <v>0</v>
      </c>
      <c r="Z410" s="73">
        <f t="shared" si="12"/>
        <v>1609.322034</v>
      </c>
      <c r="AA410" s="73">
        <f t="shared" si="13"/>
        <v>1609.322034</v>
      </c>
      <c r="AB410" s="74">
        <f t="shared" si="14"/>
        <v>1</v>
      </c>
      <c r="AC410" s="61" t="str">
        <f t="shared" si="15"/>
        <v>0</v>
      </c>
      <c r="AD410" s="71" t="str">
        <f t="shared" si="16"/>
        <v>#DIV/0!</v>
      </c>
      <c r="AE410" s="61"/>
      <c r="AF410" s="61"/>
      <c r="AG410" s="71">
        <f t="array" ref="AG410">IFERROR(xlookup(G410,'Old Master'!T:T,'Old Master'!V:V),N410)</f>
        <v>0.0909526089</v>
      </c>
      <c r="AH410" s="73">
        <f t="shared" si="229"/>
        <v>1899</v>
      </c>
      <c r="AI410" s="73">
        <f t="shared" si="230"/>
        <v>1609.322034</v>
      </c>
      <c r="AJ410" s="72">
        <f t="shared" si="19"/>
        <v>1</v>
      </c>
      <c r="AK410" s="61"/>
      <c r="AL410" s="71">
        <f t="array" ref="AL410">iferror(if(isblank(xlookup($G410,'Old Master'!$T:$T,'Old Master'!$W:$W)),AG410,xlookup($G410,'Old Master'!$T:$T,'Old Master'!$W:$W)),AG410)</f>
        <v>0.0909526089</v>
      </c>
      <c r="AM410" s="74">
        <f t="shared" si="20"/>
        <v>0.0909526089</v>
      </c>
      <c r="AN410" s="73">
        <f t="shared" si="342"/>
        <v>1899</v>
      </c>
    </row>
    <row r="411">
      <c r="A411" s="65" t="s">
        <v>2945</v>
      </c>
      <c r="B411" s="65" t="str">
        <f t="shared" si="1"/>
        <v>#VALUE!</v>
      </c>
      <c r="C411" s="65" t="str">
        <f t="shared" si="248"/>
        <v>#VALUE!</v>
      </c>
      <c r="D411" s="65" t="s">
        <v>2947</v>
      </c>
      <c r="E411" s="65" t="s">
        <v>2948</v>
      </c>
      <c r="F411" s="65" t="s">
        <v>2949</v>
      </c>
      <c r="G411" s="65" t="s">
        <v>5088</v>
      </c>
      <c r="H411" s="65" t="s">
        <v>4730</v>
      </c>
      <c r="I411" s="65">
        <v>2089.0</v>
      </c>
      <c r="J411" s="66">
        <v>0.28243178554332216</v>
      </c>
      <c r="K411" s="65">
        <f t="shared" si="3"/>
        <v>1499</v>
      </c>
      <c r="L411" s="66">
        <v>0.15</v>
      </c>
      <c r="M411" s="65">
        <f t="shared" si="4"/>
        <v>1776</v>
      </c>
      <c r="N411" s="67">
        <f t="shared" si="320"/>
        <v>0.0909526089</v>
      </c>
      <c r="O411" s="68">
        <v>1899.0</v>
      </c>
      <c r="P411" s="67">
        <f t="shared" si="324"/>
        <v>0.0909526089</v>
      </c>
      <c r="Q411" s="69">
        <v>1899.0</v>
      </c>
      <c r="R411" s="70"/>
      <c r="S411" s="71">
        <f t="shared" si="341"/>
        <v>0.266844563</v>
      </c>
      <c r="T411" s="72">
        <f t="shared" si="6"/>
        <v>0</v>
      </c>
      <c r="U411" s="73" t="str">
        <f t="shared" si="339"/>
        <v/>
      </c>
      <c r="V411" s="73">
        <f t="shared" si="340"/>
        <v>1505.084746</v>
      </c>
      <c r="W411" s="73">
        <f t="shared" si="9"/>
        <v>1505.084746</v>
      </c>
      <c r="X411" s="74">
        <f t="shared" si="10"/>
        <v>1</v>
      </c>
      <c r="Y411" s="73">
        <f t="shared" si="333"/>
        <v>0</v>
      </c>
      <c r="Z411" s="73">
        <f t="shared" si="12"/>
        <v>1609.322034</v>
      </c>
      <c r="AA411" s="73">
        <f t="shared" si="13"/>
        <v>1609.322034</v>
      </c>
      <c r="AB411" s="74">
        <f t="shared" si="14"/>
        <v>1</v>
      </c>
      <c r="AC411" s="61" t="str">
        <f t="shared" si="15"/>
        <v>0</v>
      </c>
      <c r="AD411" s="71" t="str">
        <f t="shared" si="16"/>
        <v>#DIV/0!</v>
      </c>
      <c r="AE411" s="61"/>
      <c r="AF411" s="61"/>
      <c r="AG411" s="71">
        <f t="array" ref="AG411">IFERROR(xlookup(G411,'Old Master'!T:T,'Old Master'!V:V),N411)</f>
        <v>0.0909526089</v>
      </c>
      <c r="AH411" s="73">
        <f t="shared" si="229"/>
        <v>1899</v>
      </c>
      <c r="AI411" s="73">
        <f t="shared" si="230"/>
        <v>1609.322034</v>
      </c>
      <c r="AJ411" s="72">
        <f t="shared" si="19"/>
        <v>1</v>
      </c>
      <c r="AK411" s="61"/>
      <c r="AL411" s="71">
        <f t="array" ref="AL411">iferror(if(isblank(xlookup($G411,'Old Master'!$T:$T,'Old Master'!$W:$W)),AG411,xlookup($G411,'Old Master'!$T:$T,'Old Master'!$W:$W)),AG411)</f>
        <v>0.0909526089</v>
      </c>
      <c r="AM411" s="74">
        <f t="shared" si="20"/>
        <v>0.0909526089</v>
      </c>
      <c r="AN411" s="73">
        <f t="shared" si="342"/>
        <v>1899</v>
      </c>
    </row>
    <row r="412">
      <c r="A412" s="65" t="s">
        <v>2951</v>
      </c>
      <c r="B412" s="65" t="str">
        <f t="shared" si="1"/>
        <v>#VALUE!</v>
      </c>
      <c r="C412" s="65" t="str">
        <f t="shared" si="248"/>
        <v>#VALUE!</v>
      </c>
      <c r="D412" s="65" t="s">
        <v>2953</v>
      </c>
      <c r="E412" s="65" t="s">
        <v>2954</v>
      </c>
      <c r="F412" s="65" t="s">
        <v>2955</v>
      </c>
      <c r="G412" s="65" t="s">
        <v>5088</v>
      </c>
      <c r="H412" s="65" t="s">
        <v>4730</v>
      </c>
      <c r="I412" s="65">
        <v>2089.0</v>
      </c>
      <c r="J412" s="66">
        <v>0.28243178554332216</v>
      </c>
      <c r="K412" s="65">
        <f t="shared" si="3"/>
        <v>1499</v>
      </c>
      <c r="L412" s="66">
        <v>0.15</v>
      </c>
      <c r="M412" s="65">
        <f t="shared" si="4"/>
        <v>1776</v>
      </c>
      <c r="N412" s="67">
        <f t="shared" si="320"/>
        <v>0.0909526089</v>
      </c>
      <c r="O412" s="68">
        <v>1899.0</v>
      </c>
      <c r="P412" s="67">
        <f t="shared" si="324"/>
        <v>0.0909526089</v>
      </c>
      <c r="Q412" s="69">
        <v>1899.0</v>
      </c>
      <c r="R412" s="70"/>
      <c r="S412" s="71">
        <f t="shared" si="341"/>
        <v>0.266844563</v>
      </c>
      <c r="T412" s="72">
        <f t="shared" si="6"/>
        <v>0</v>
      </c>
      <c r="U412" s="73" t="str">
        <f t="shared" si="339"/>
        <v/>
      </c>
      <c r="V412" s="73">
        <f t="shared" si="340"/>
        <v>1505.084746</v>
      </c>
      <c r="W412" s="73">
        <f t="shared" si="9"/>
        <v>1505.084746</v>
      </c>
      <c r="X412" s="74">
        <f t="shared" si="10"/>
        <v>1</v>
      </c>
      <c r="Y412" s="73">
        <f t="shared" si="333"/>
        <v>0</v>
      </c>
      <c r="Z412" s="73">
        <f t="shared" si="12"/>
        <v>1609.322034</v>
      </c>
      <c r="AA412" s="73">
        <f t="shared" si="13"/>
        <v>1609.322034</v>
      </c>
      <c r="AB412" s="74">
        <f t="shared" si="14"/>
        <v>1</v>
      </c>
      <c r="AC412" s="61" t="str">
        <f t="shared" si="15"/>
        <v>0</v>
      </c>
      <c r="AD412" s="71" t="str">
        <f t="shared" si="16"/>
        <v>#DIV/0!</v>
      </c>
      <c r="AE412" s="61"/>
      <c r="AF412" s="61"/>
      <c r="AG412" s="71">
        <f t="array" ref="AG412">IFERROR(xlookup(G412,'Old Master'!T:T,'Old Master'!V:V),N412)</f>
        <v>0.0909526089</v>
      </c>
      <c r="AH412" s="73">
        <f t="shared" si="229"/>
        <v>1899</v>
      </c>
      <c r="AI412" s="73">
        <f t="shared" si="230"/>
        <v>1609.322034</v>
      </c>
      <c r="AJ412" s="72">
        <f t="shared" si="19"/>
        <v>1</v>
      </c>
      <c r="AK412" s="61"/>
      <c r="AL412" s="71">
        <f t="array" ref="AL412">iferror(if(isblank(xlookup($G412,'Old Master'!$T:$T,'Old Master'!$W:$W)),AG412,xlookup($G412,'Old Master'!$T:$T,'Old Master'!$W:$W)),AG412)</f>
        <v>0.0909526089</v>
      </c>
      <c r="AM412" s="74">
        <f t="shared" si="20"/>
        <v>0.0909526089</v>
      </c>
      <c r="AN412" s="73">
        <f t="shared" si="342"/>
        <v>1899</v>
      </c>
    </row>
    <row r="413">
      <c r="A413" s="65" t="s">
        <v>2792</v>
      </c>
      <c r="B413" s="65" t="str">
        <f t="shared" si="1"/>
        <v>#VALUE!</v>
      </c>
      <c r="C413" s="65" t="str">
        <f t="shared" si="248"/>
        <v>#VALUE!</v>
      </c>
      <c r="D413" s="65" t="s">
        <v>2794</v>
      </c>
      <c r="E413" s="65" t="s">
        <v>2792</v>
      </c>
      <c r="F413" s="65">
        <v>0.0</v>
      </c>
      <c r="G413" s="65" t="s">
        <v>5107</v>
      </c>
      <c r="H413" s="65" t="s">
        <v>4730</v>
      </c>
      <c r="I413" s="65">
        <v>2189.0</v>
      </c>
      <c r="J413" s="66">
        <v>0.2815485168426345</v>
      </c>
      <c r="K413" s="65">
        <f t="shared" si="3"/>
        <v>1573</v>
      </c>
      <c r="L413" s="66">
        <v>0.1</v>
      </c>
      <c r="M413" s="65">
        <f t="shared" si="4"/>
        <v>1970</v>
      </c>
      <c r="N413" s="67">
        <f t="shared" si="320"/>
        <v>0.1813613522</v>
      </c>
      <c r="O413" s="68">
        <v>1792.0</v>
      </c>
      <c r="P413" s="67">
        <f t="shared" si="324"/>
        <v>0.1813613522</v>
      </c>
      <c r="Q413" s="69">
        <v>1792.0</v>
      </c>
      <c r="R413" s="70"/>
      <c r="S413" s="71">
        <f t="shared" si="341"/>
        <v>0.139224412</v>
      </c>
      <c r="T413" s="72">
        <f t="shared" si="6"/>
        <v>0</v>
      </c>
      <c r="U413" s="73" t="str">
        <f t="shared" si="339"/>
        <v/>
      </c>
      <c r="V413" s="73">
        <f t="shared" si="340"/>
        <v>1669.491525</v>
      </c>
      <c r="W413" s="73">
        <f t="shared" si="9"/>
        <v>1669.491525</v>
      </c>
      <c r="X413" s="74">
        <f t="shared" si="10"/>
        <v>1</v>
      </c>
      <c r="Y413" s="73">
        <f t="shared" si="333"/>
        <v>0</v>
      </c>
      <c r="Z413" s="73">
        <f t="shared" si="12"/>
        <v>1518.644068</v>
      </c>
      <c r="AA413" s="73">
        <f t="shared" si="13"/>
        <v>1518.644068</v>
      </c>
      <c r="AB413" s="74">
        <f t="shared" si="14"/>
        <v>1</v>
      </c>
      <c r="AC413" s="61" t="str">
        <f t="shared" si="15"/>
        <v>2</v>
      </c>
      <c r="AD413" s="71" t="str">
        <f t="shared" si="16"/>
        <v>#DIV/0!</v>
      </c>
      <c r="AE413" s="61"/>
      <c r="AF413" s="61"/>
      <c r="AG413" s="71">
        <f t="array" ref="AG413">IFERROR(xlookup(G413,'Old Master'!T:T,'Old Master'!V:V),N413)</f>
        <v>0.1813613522</v>
      </c>
      <c r="AH413" s="73">
        <f t="shared" si="229"/>
        <v>1792</v>
      </c>
      <c r="AI413" s="73">
        <f t="shared" si="230"/>
        <v>1518.644068</v>
      </c>
      <c r="AJ413" s="72">
        <f t="shared" si="19"/>
        <v>1</v>
      </c>
      <c r="AK413" s="61"/>
      <c r="AL413" s="71">
        <f t="array" ref="AL413">iferror(if(isblank(xlookup($G413,'Old Master'!$T:$T,'Old Master'!$W:$W)),AG413,xlookup($G413,'Old Master'!$T:$T,'Old Master'!$W:$W)),AG413)</f>
        <v>0.1813613522</v>
      </c>
      <c r="AM413" s="74">
        <f t="shared" si="20"/>
        <v>0.178163545</v>
      </c>
      <c r="AN413" s="73">
        <f t="shared" si="342"/>
        <v>1799</v>
      </c>
    </row>
    <row r="414">
      <c r="A414" s="65" t="s">
        <v>2722</v>
      </c>
      <c r="B414" s="65" t="str">
        <f t="shared" si="1"/>
        <v>#VALUE!</v>
      </c>
      <c r="C414" s="65" t="str">
        <f t="shared" si="248"/>
        <v>#VALUE!</v>
      </c>
      <c r="D414" s="65" t="s">
        <v>2724</v>
      </c>
      <c r="E414" s="65" t="s">
        <v>2722</v>
      </c>
      <c r="F414" s="65">
        <v>0.0</v>
      </c>
      <c r="G414" s="65" t="s">
        <v>5107</v>
      </c>
      <c r="H414" s="65" t="s">
        <v>4730</v>
      </c>
      <c r="I414" s="65">
        <v>1989.0</v>
      </c>
      <c r="J414" s="66">
        <v>0.2815485168426345</v>
      </c>
      <c r="K414" s="65">
        <f t="shared" si="3"/>
        <v>1429</v>
      </c>
      <c r="L414" s="66">
        <v>0.1</v>
      </c>
      <c r="M414" s="65">
        <f t="shared" si="4"/>
        <v>1790</v>
      </c>
      <c r="N414" s="67">
        <f t="shared" si="320"/>
        <v>0.1814982403</v>
      </c>
      <c r="O414" s="68">
        <v>1628.0</v>
      </c>
      <c r="P414" s="67">
        <f t="shared" si="324"/>
        <v>0.1814982403</v>
      </c>
      <c r="Q414" s="69">
        <v>1628.0</v>
      </c>
      <c r="R414" s="70"/>
      <c r="S414" s="71">
        <f t="shared" si="341"/>
        <v>0.1392582225</v>
      </c>
      <c r="T414" s="72">
        <f t="shared" si="6"/>
        <v>0</v>
      </c>
      <c r="U414" s="73" t="str">
        <f t="shared" si="339"/>
        <v/>
      </c>
      <c r="V414" s="73">
        <f t="shared" si="340"/>
        <v>1516.949153</v>
      </c>
      <c r="W414" s="73">
        <f t="shared" si="9"/>
        <v>1516.949153</v>
      </c>
      <c r="X414" s="74">
        <f t="shared" si="10"/>
        <v>1</v>
      </c>
      <c r="Y414" s="73">
        <f t="shared" si="333"/>
        <v>0</v>
      </c>
      <c r="Z414" s="73">
        <f t="shared" si="12"/>
        <v>1379.661017</v>
      </c>
      <c r="AA414" s="73">
        <f t="shared" si="13"/>
        <v>1379.661017</v>
      </c>
      <c r="AB414" s="74">
        <f t="shared" si="14"/>
        <v>1</v>
      </c>
      <c r="AC414" s="61" t="str">
        <f t="shared" si="15"/>
        <v>0</v>
      </c>
      <c r="AD414" s="71" t="str">
        <f t="shared" si="16"/>
        <v>#DIV/0!</v>
      </c>
      <c r="AE414" s="61"/>
      <c r="AF414" s="61"/>
      <c r="AG414" s="71">
        <f t="array" ref="AG414">IFERROR(xlookup(G414,'Old Master'!T:T,'Old Master'!V:V),N414)</f>
        <v>0.1814982403</v>
      </c>
      <c r="AH414" s="73">
        <f t="shared" si="229"/>
        <v>1628</v>
      </c>
      <c r="AI414" s="73">
        <f t="shared" si="230"/>
        <v>1379.661017</v>
      </c>
      <c r="AJ414" s="72">
        <f t="shared" si="19"/>
        <v>1</v>
      </c>
      <c r="AK414" s="61"/>
      <c r="AL414" s="71">
        <f t="array" ref="AL414">iferror(if(isblank(xlookup($G414,'Old Master'!$T:$T,'Old Master'!$W:$W)),AG414,xlookup($G414,'Old Master'!$T:$T,'Old Master'!$W:$W)),AG414)</f>
        <v>0.1814982403</v>
      </c>
      <c r="AM414" s="74">
        <f t="shared" si="20"/>
        <v>0.1814982403</v>
      </c>
      <c r="AN414" s="73">
        <f t="shared" ref="AN414:AN418" si="343">O414</f>
        <v>1628</v>
      </c>
    </row>
    <row r="415">
      <c r="A415" s="65" t="s">
        <v>2751</v>
      </c>
      <c r="B415" s="65" t="str">
        <f t="shared" si="1"/>
        <v>#VALUE!</v>
      </c>
      <c r="C415" s="65" t="str">
        <f t="shared" si="248"/>
        <v>#VALUE!</v>
      </c>
      <c r="D415" s="65" t="s">
        <v>2753</v>
      </c>
      <c r="E415" s="65" t="s">
        <v>2754</v>
      </c>
      <c r="F415" s="65" t="s">
        <v>2755</v>
      </c>
      <c r="G415" s="65" t="s">
        <v>5107</v>
      </c>
      <c r="H415" s="65" t="s">
        <v>4730</v>
      </c>
      <c r="I415" s="65">
        <v>1989.0</v>
      </c>
      <c r="J415" s="66">
        <v>0.2815485168426345</v>
      </c>
      <c r="K415" s="65">
        <f t="shared" si="3"/>
        <v>1429</v>
      </c>
      <c r="L415" s="66">
        <v>0.1</v>
      </c>
      <c r="M415" s="65">
        <f t="shared" si="4"/>
        <v>1790</v>
      </c>
      <c r="N415" s="67">
        <f t="shared" si="320"/>
        <v>0.1814982403</v>
      </c>
      <c r="O415" s="68">
        <v>1628.0</v>
      </c>
      <c r="P415" s="67">
        <f t="shared" si="324"/>
        <v>0.1814982403</v>
      </c>
      <c r="Q415" s="69">
        <v>1628.0</v>
      </c>
      <c r="R415" s="70"/>
      <c r="S415" s="71">
        <f t="shared" si="341"/>
        <v>0.1392582225</v>
      </c>
      <c r="T415" s="72">
        <f t="shared" si="6"/>
        <v>0</v>
      </c>
      <c r="U415" s="73" t="str">
        <f t="shared" si="339"/>
        <v/>
      </c>
      <c r="V415" s="73">
        <f t="shared" si="340"/>
        <v>1516.949153</v>
      </c>
      <c r="W415" s="73">
        <f t="shared" si="9"/>
        <v>1516.949153</v>
      </c>
      <c r="X415" s="74">
        <f t="shared" si="10"/>
        <v>1</v>
      </c>
      <c r="Y415" s="73">
        <f t="shared" si="333"/>
        <v>0</v>
      </c>
      <c r="Z415" s="73">
        <f t="shared" si="12"/>
        <v>1379.661017</v>
      </c>
      <c r="AA415" s="73">
        <f t="shared" si="13"/>
        <v>1379.661017</v>
      </c>
      <c r="AB415" s="74">
        <f t="shared" si="14"/>
        <v>1</v>
      </c>
      <c r="AC415" s="61" t="str">
        <f t="shared" si="15"/>
        <v>0</v>
      </c>
      <c r="AD415" s="71" t="str">
        <f t="shared" si="16"/>
        <v>#DIV/0!</v>
      </c>
      <c r="AE415" s="61"/>
      <c r="AF415" s="61"/>
      <c r="AG415" s="71">
        <f t="array" ref="AG415">IFERROR(xlookup(G415,'Old Master'!T:T,'Old Master'!V:V),N415)</f>
        <v>0.1814982403</v>
      </c>
      <c r="AH415" s="73">
        <f t="shared" si="229"/>
        <v>1628</v>
      </c>
      <c r="AI415" s="73">
        <f t="shared" si="230"/>
        <v>1379.661017</v>
      </c>
      <c r="AJ415" s="72">
        <f t="shared" si="19"/>
        <v>1</v>
      </c>
      <c r="AK415" s="61"/>
      <c r="AL415" s="71">
        <f t="array" ref="AL415">iferror(if(isblank(xlookup($G415,'Old Master'!$T:$T,'Old Master'!$W:$W)),AG415,xlookup($G415,'Old Master'!$T:$T,'Old Master'!$W:$W)),AG415)</f>
        <v>0.1814982403</v>
      </c>
      <c r="AM415" s="74">
        <f t="shared" si="20"/>
        <v>0.1814982403</v>
      </c>
      <c r="AN415" s="73">
        <f t="shared" si="343"/>
        <v>1628</v>
      </c>
    </row>
    <row r="416">
      <c r="A416" s="65" t="s">
        <v>2777</v>
      </c>
      <c r="B416" s="65" t="str">
        <f t="shared" si="1"/>
        <v>#VALUE!</v>
      </c>
      <c r="C416" s="65" t="str">
        <f t="shared" si="248"/>
        <v>#VALUE!</v>
      </c>
      <c r="D416" s="65" t="s">
        <v>2779</v>
      </c>
      <c r="E416" s="65">
        <v>0.0</v>
      </c>
      <c r="F416" s="65" t="s">
        <v>2780</v>
      </c>
      <c r="G416" s="65" t="s">
        <v>5107</v>
      </c>
      <c r="H416" s="65" t="s">
        <v>4730</v>
      </c>
      <c r="I416" s="65">
        <v>1989.0</v>
      </c>
      <c r="J416" s="66">
        <v>0.2815485168426345</v>
      </c>
      <c r="K416" s="65">
        <f t="shared" si="3"/>
        <v>1429</v>
      </c>
      <c r="L416" s="66">
        <v>0.1</v>
      </c>
      <c r="M416" s="65">
        <f t="shared" si="4"/>
        <v>1790</v>
      </c>
      <c r="N416" s="67">
        <f t="shared" si="320"/>
        <v>0.1814982403</v>
      </c>
      <c r="O416" s="68">
        <v>1628.0</v>
      </c>
      <c r="P416" s="67">
        <f t="shared" si="324"/>
        <v>0.1814982403</v>
      </c>
      <c r="Q416" s="69">
        <v>1628.0</v>
      </c>
      <c r="R416" s="70"/>
      <c r="S416" s="71">
        <f t="shared" si="341"/>
        <v>0.1392582225</v>
      </c>
      <c r="T416" s="72">
        <f t="shared" si="6"/>
        <v>0</v>
      </c>
      <c r="U416" s="73" t="str">
        <f t="shared" si="339"/>
        <v/>
      </c>
      <c r="V416" s="73">
        <f t="shared" si="340"/>
        <v>1516.949153</v>
      </c>
      <c r="W416" s="73">
        <f t="shared" si="9"/>
        <v>1516.949153</v>
      </c>
      <c r="X416" s="74">
        <f t="shared" si="10"/>
        <v>1</v>
      </c>
      <c r="Y416" s="73">
        <f t="shared" si="333"/>
        <v>0</v>
      </c>
      <c r="Z416" s="73">
        <f t="shared" si="12"/>
        <v>1379.661017</v>
      </c>
      <c r="AA416" s="73">
        <f t="shared" si="13"/>
        <v>1379.661017</v>
      </c>
      <c r="AB416" s="74">
        <f t="shared" si="14"/>
        <v>1</v>
      </c>
      <c r="AC416" s="61" t="str">
        <f t="shared" si="15"/>
        <v>0</v>
      </c>
      <c r="AD416" s="71" t="str">
        <f t="shared" si="16"/>
        <v>#DIV/0!</v>
      </c>
      <c r="AE416" s="61"/>
      <c r="AF416" s="61"/>
      <c r="AG416" s="71">
        <f t="array" ref="AG416">IFERROR(xlookup(G416,'Old Master'!T:T,'Old Master'!V:V),N416)</f>
        <v>0.1814982403</v>
      </c>
      <c r="AH416" s="73">
        <f t="shared" si="229"/>
        <v>1628</v>
      </c>
      <c r="AI416" s="73">
        <f t="shared" si="230"/>
        <v>1379.661017</v>
      </c>
      <c r="AJ416" s="72">
        <f t="shared" si="19"/>
        <v>1</v>
      </c>
      <c r="AK416" s="61"/>
      <c r="AL416" s="71">
        <f t="array" ref="AL416">iferror(if(isblank(xlookup($G416,'Old Master'!$T:$T,'Old Master'!$W:$W)),AG416,xlookup($G416,'Old Master'!$T:$T,'Old Master'!$W:$W)),AG416)</f>
        <v>0.1814982403</v>
      </c>
      <c r="AM416" s="74">
        <f t="shared" si="20"/>
        <v>0.1814982403</v>
      </c>
      <c r="AN416" s="73">
        <f t="shared" si="343"/>
        <v>1628</v>
      </c>
    </row>
    <row r="417">
      <c r="A417" s="65" t="s">
        <v>2745</v>
      </c>
      <c r="B417" s="65" t="str">
        <f t="shared" si="1"/>
        <v>#VALUE!</v>
      </c>
      <c r="C417" s="65" t="str">
        <f t="shared" si="248"/>
        <v>#VALUE!</v>
      </c>
      <c r="D417" s="65" t="s">
        <v>2747</v>
      </c>
      <c r="E417" s="65" t="s">
        <v>2748</v>
      </c>
      <c r="F417" s="65" t="s">
        <v>2749</v>
      </c>
      <c r="G417" s="65" t="s">
        <v>5107</v>
      </c>
      <c r="H417" s="65" t="s">
        <v>4730</v>
      </c>
      <c r="I417" s="65">
        <v>1989.0</v>
      </c>
      <c r="J417" s="66">
        <v>0.2815485168426345</v>
      </c>
      <c r="K417" s="65">
        <f t="shared" si="3"/>
        <v>1429</v>
      </c>
      <c r="L417" s="66">
        <v>0.1</v>
      </c>
      <c r="M417" s="65">
        <f t="shared" si="4"/>
        <v>1790</v>
      </c>
      <c r="N417" s="67">
        <f t="shared" si="320"/>
        <v>0.1814982403</v>
      </c>
      <c r="O417" s="68">
        <v>1628.0</v>
      </c>
      <c r="P417" s="67">
        <f t="shared" si="324"/>
        <v>0.1814982403</v>
      </c>
      <c r="Q417" s="69">
        <v>1628.0</v>
      </c>
      <c r="R417" s="70"/>
      <c r="S417" s="71">
        <f t="shared" si="341"/>
        <v>0.1392582225</v>
      </c>
      <c r="T417" s="72">
        <f t="shared" si="6"/>
        <v>0</v>
      </c>
      <c r="U417" s="73" t="str">
        <f t="shared" si="339"/>
        <v/>
      </c>
      <c r="V417" s="73">
        <f t="shared" si="340"/>
        <v>1516.949153</v>
      </c>
      <c r="W417" s="73">
        <f t="shared" si="9"/>
        <v>1516.949153</v>
      </c>
      <c r="X417" s="74">
        <f t="shared" si="10"/>
        <v>1</v>
      </c>
      <c r="Y417" s="73">
        <f t="shared" si="333"/>
        <v>0</v>
      </c>
      <c r="Z417" s="73">
        <f t="shared" si="12"/>
        <v>1379.661017</v>
      </c>
      <c r="AA417" s="73">
        <f t="shared" si="13"/>
        <v>1379.661017</v>
      </c>
      <c r="AB417" s="74">
        <f t="shared" si="14"/>
        <v>1</v>
      </c>
      <c r="AC417" s="61" t="str">
        <f t="shared" si="15"/>
        <v>0</v>
      </c>
      <c r="AD417" s="71" t="str">
        <f t="shared" si="16"/>
        <v>#DIV/0!</v>
      </c>
      <c r="AE417" s="61"/>
      <c r="AF417" s="61"/>
      <c r="AG417" s="71">
        <f t="array" ref="AG417">IFERROR(xlookup(G417,'Old Master'!T:T,'Old Master'!V:V),N417)</f>
        <v>0.1814982403</v>
      </c>
      <c r="AH417" s="73">
        <f t="shared" si="229"/>
        <v>1628</v>
      </c>
      <c r="AI417" s="73">
        <f t="shared" si="230"/>
        <v>1379.661017</v>
      </c>
      <c r="AJ417" s="72">
        <f t="shared" si="19"/>
        <v>1</v>
      </c>
      <c r="AK417" s="61"/>
      <c r="AL417" s="71">
        <f t="array" ref="AL417">iferror(if(isblank(xlookup($G417,'Old Master'!$T:$T,'Old Master'!$W:$W)),AG417,xlookup($G417,'Old Master'!$T:$T,'Old Master'!$W:$W)),AG417)</f>
        <v>0.1814982403</v>
      </c>
      <c r="AM417" s="74">
        <f t="shared" si="20"/>
        <v>0.1814982403</v>
      </c>
      <c r="AN417" s="73">
        <f t="shared" si="343"/>
        <v>1628</v>
      </c>
    </row>
    <row r="418">
      <c r="A418" s="65" t="s">
        <v>2733</v>
      </c>
      <c r="B418" s="65" t="str">
        <f t="shared" si="1"/>
        <v>#VALUE!</v>
      </c>
      <c r="C418" s="65" t="str">
        <f t="shared" si="248"/>
        <v>#VALUE!</v>
      </c>
      <c r="D418" s="65" t="s">
        <v>2735</v>
      </c>
      <c r="E418" s="65" t="s">
        <v>2736</v>
      </c>
      <c r="F418" s="65" t="s">
        <v>2737</v>
      </c>
      <c r="G418" s="65" t="s">
        <v>5107</v>
      </c>
      <c r="H418" s="65" t="s">
        <v>4730</v>
      </c>
      <c r="I418" s="65">
        <v>1989.0</v>
      </c>
      <c r="J418" s="66">
        <v>0.2815485168426345</v>
      </c>
      <c r="K418" s="65">
        <f t="shared" si="3"/>
        <v>1429</v>
      </c>
      <c r="L418" s="66">
        <v>0.1</v>
      </c>
      <c r="M418" s="65">
        <f t="shared" si="4"/>
        <v>1790</v>
      </c>
      <c r="N418" s="67">
        <f t="shared" si="320"/>
        <v>0.1814982403</v>
      </c>
      <c r="O418" s="68">
        <v>1628.0</v>
      </c>
      <c r="P418" s="67">
        <f t="shared" si="324"/>
        <v>0.1814982403</v>
      </c>
      <c r="Q418" s="69">
        <v>1628.0</v>
      </c>
      <c r="R418" s="70"/>
      <c r="S418" s="71">
        <f t="shared" si="341"/>
        <v>0.1392582225</v>
      </c>
      <c r="T418" s="72">
        <f t="shared" si="6"/>
        <v>0</v>
      </c>
      <c r="U418" s="73" t="str">
        <f t="shared" si="339"/>
        <v/>
      </c>
      <c r="V418" s="73">
        <f t="shared" si="340"/>
        <v>1516.949153</v>
      </c>
      <c r="W418" s="73">
        <f t="shared" si="9"/>
        <v>1516.949153</v>
      </c>
      <c r="X418" s="74">
        <f t="shared" si="10"/>
        <v>1</v>
      </c>
      <c r="Y418" s="73">
        <f t="shared" si="333"/>
        <v>0</v>
      </c>
      <c r="Z418" s="73">
        <f t="shared" si="12"/>
        <v>1379.661017</v>
      </c>
      <c r="AA418" s="73">
        <f t="shared" si="13"/>
        <v>1379.661017</v>
      </c>
      <c r="AB418" s="74">
        <f t="shared" si="14"/>
        <v>1</v>
      </c>
      <c r="AC418" s="61" t="str">
        <f t="shared" si="15"/>
        <v>0</v>
      </c>
      <c r="AD418" s="71" t="str">
        <f t="shared" si="16"/>
        <v>#DIV/0!</v>
      </c>
      <c r="AE418" s="61"/>
      <c r="AF418" s="61"/>
      <c r="AG418" s="71">
        <f t="array" ref="AG418">IFERROR(xlookup(G418,'Old Master'!T:T,'Old Master'!V:V),N418)</f>
        <v>0.1814982403</v>
      </c>
      <c r="AH418" s="73">
        <f t="shared" si="229"/>
        <v>1628</v>
      </c>
      <c r="AI418" s="73">
        <f t="shared" si="230"/>
        <v>1379.661017</v>
      </c>
      <c r="AJ418" s="72">
        <f t="shared" si="19"/>
        <v>1</v>
      </c>
      <c r="AK418" s="61"/>
      <c r="AL418" s="71">
        <f t="array" ref="AL418">iferror(if(isblank(xlookup($G418,'Old Master'!$T:$T,'Old Master'!$W:$W)),AG418,xlookup($G418,'Old Master'!$T:$T,'Old Master'!$W:$W)),AG418)</f>
        <v>0.1814982403</v>
      </c>
      <c r="AM418" s="74">
        <f t="shared" si="20"/>
        <v>0.1814982403</v>
      </c>
      <c r="AN418" s="73">
        <f t="shared" si="343"/>
        <v>1628</v>
      </c>
    </row>
    <row r="419">
      <c r="A419" s="65" t="s">
        <v>2884</v>
      </c>
      <c r="B419" s="65" t="str">
        <f t="shared" si="1"/>
        <v>#VALUE!</v>
      </c>
      <c r="C419" s="65" t="str">
        <f t="shared" si="248"/>
        <v>#VALUE!</v>
      </c>
      <c r="D419" s="65" t="s">
        <v>2886</v>
      </c>
      <c r="E419" s="65" t="s">
        <v>2884</v>
      </c>
      <c r="F419" s="65">
        <v>0.0</v>
      </c>
      <c r="G419" s="65" t="s">
        <v>5107</v>
      </c>
      <c r="H419" s="65" t="s">
        <v>4730</v>
      </c>
      <c r="I419" s="65">
        <v>2189.0</v>
      </c>
      <c r="J419" s="66">
        <v>0.2815485168426345</v>
      </c>
      <c r="K419" s="65">
        <f t="shared" si="3"/>
        <v>1573</v>
      </c>
      <c r="L419" s="66">
        <v>0.1</v>
      </c>
      <c r="M419" s="65">
        <f t="shared" si="4"/>
        <v>1970</v>
      </c>
      <c r="N419" s="67">
        <f t="shared" si="320"/>
        <v>0.1813613522</v>
      </c>
      <c r="O419" s="68">
        <v>1792.0</v>
      </c>
      <c r="P419" s="67">
        <f t="shared" si="324"/>
        <v>0.1813613522</v>
      </c>
      <c r="Q419" s="69">
        <v>1792.0</v>
      </c>
      <c r="R419" s="70"/>
      <c r="S419" s="71">
        <f t="shared" si="341"/>
        <v>0.139224412</v>
      </c>
      <c r="T419" s="72">
        <f t="shared" si="6"/>
        <v>0</v>
      </c>
      <c r="U419" s="73" t="str">
        <f t="shared" si="339"/>
        <v/>
      </c>
      <c r="V419" s="73">
        <f t="shared" si="340"/>
        <v>1669.491525</v>
      </c>
      <c r="W419" s="73">
        <f t="shared" si="9"/>
        <v>1669.491525</v>
      </c>
      <c r="X419" s="74">
        <f t="shared" si="10"/>
        <v>1</v>
      </c>
      <c r="Y419" s="73">
        <f t="shared" si="333"/>
        <v>0</v>
      </c>
      <c r="Z419" s="73">
        <f t="shared" si="12"/>
        <v>1518.644068</v>
      </c>
      <c r="AA419" s="73">
        <f t="shared" si="13"/>
        <v>1518.644068</v>
      </c>
      <c r="AB419" s="74">
        <f t="shared" si="14"/>
        <v>1</v>
      </c>
      <c r="AC419" s="61" t="str">
        <f t="shared" si="15"/>
        <v>2</v>
      </c>
      <c r="AD419" s="71" t="str">
        <f t="shared" si="16"/>
        <v>#DIV/0!</v>
      </c>
      <c r="AE419" s="61"/>
      <c r="AF419" s="61"/>
      <c r="AG419" s="71">
        <f t="array" ref="AG419">IFERROR(xlookup(G419,'Old Master'!T:T,'Old Master'!V:V),N419)</f>
        <v>0.1813613522</v>
      </c>
      <c r="AH419" s="73">
        <f t="shared" si="229"/>
        <v>1792</v>
      </c>
      <c r="AI419" s="73">
        <f t="shared" si="230"/>
        <v>1518.644068</v>
      </c>
      <c r="AJ419" s="72">
        <f t="shared" si="19"/>
        <v>1</v>
      </c>
      <c r="AK419" s="61"/>
      <c r="AL419" s="71">
        <f t="array" ref="AL419">iferror(if(isblank(xlookup($G419,'Old Master'!$T:$T,'Old Master'!$W:$W)),AG419,xlookup($G419,'Old Master'!$T:$T,'Old Master'!$W:$W)),AG419)</f>
        <v>0.1813613522</v>
      </c>
      <c r="AM419" s="74">
        <f t="shared" si="20"/>
        <v>0.178163545</v>
      </c>
      <c r="AN419" s="73">
        <f>mround($I419*(1-AL419),100)-1</f>
        <v>1799</v>
      </c>
    </row>
    <row r="420">
      <c r="A420" s="65" t="s">
        <v>2757</v>
      </c>
      <c r="B420" s="65" t="str">
        <f t="shared" si="1"/>
        <v>#VALUE!</v>
      </c>
      <c r="C420" s="65" t="str">
        <f t="shared" si="248"/>
        <v>#VALUE!</v>
      </c>
      <c r="D420" s="65" t="s">
        <v>2759</v>
      </c>
      <c r="E420" s="65" t="s">
        <v>2760</v>
      </c>
      <c r="F420" s="65" t="s">
        <v>2761</v>
      </c>
      <c r="G420" s="65" t="s">
        <v>5107</v>
      </c>
      <c r="H420" s="65" t="s">
        <v>4730</v>
      </c>
      <c r="I420" s="65">
        <v>1989.0</v>
      </c>
      <c r="J420" s="66">
        <v>0.2815485168426345</v>
      </c>
      <c r="K420" s="65">
        <f t="shared" si="3"/>
        <v>1429</v>
      </c>
      <c r="L420" s="66">
        <v>0.1</v>
      </c>
      <c r="M420" s="65">
        <f t="shared" si="4"/>
        <v>1790</v>
      </c>
      <c r="N420" s="67">
        <f t="shared" si="320"/>
        <v>0.1814982403</v>
      </c>
      <c r="O420" s="68">
        <v>1628.0</v>
      </c>
      <c r="P420" s="67">
        <f t="shared" si="324"/>
        <v>0.1814982403</v>
      </c>
      <c r="Q420" s="69">
        <v>1628.0</v>
      </c>
      <c r="R420" s="70"/>
      <c r="S420" s="71">
        <f t="shared" si="341"/>
        <v>0.1392582225</v>
      </c>
      <c r="T420" s="72">
        <f t="shared" si="6"/>
        <v>0</v>
      </c>
      <c r="U420" s="73" t="str">
        <f t="shared" si="339"/>
        <v/>
      </c>
      <c r="V420" s="73">
        <f t="shared" si="340"/>
        <v>1516.949153</v>
      </c>
      <c r="W420" s="73">
        <f t="shared" si="9"/>
        <v>1516.949153</v>
      </c>
      <c r="X420" s="74">
        <f t="shared" si="10"/>
        <v>1</v>
      </c>
      <c r="Y420" s="73">
        <f t="shared" si="333"/>
        <v>0</v>
      </c>
      <c r="Z420" s="73">
        <f t="shared" si="12"/>
        <v>1379.661017</v>
      </c>
      <c r="AA420" s="73">
        <f t="shared" si="13"/>
        <v>1379.661017</v>
      </c>
      <c r="AB420" s="74">
        <f t="shared" si="14"/>
        <v>1</v>
      </c>
      <c r="AC420" s="61" t="str">
        <f t="shared" si="15"/>
        <v>0</v>
      </c>
      <c r="AD420" s="71" t="str">
        <f t="shared" si="16"/>
        <v>#DIV/0!</v>
      </c>
      <c r="AE420" s="61"/>
      <c r="AF420" s="61"/>
      <c r="AG420" s="71">
        <f t="array" ref="AG420">IFERROR(xlookup(G420,'Old Master'!T:T,'Old Master'!V:V),N420)</f>
        <v>0.1814982403</v>
      </c>
      <c r="AH420" s="73">
        <f t="shared" si="229"/>
        <v>1628</v>
      </c>
      <c r="AI420" s="73">
        <f t="shared" si="230"/>
        <v>1379.661017</v>
      </c>
      <c r="AJ420" s="72">
        <f t="shared" si="19"/>
        <v>1</v>
      </c>
      <c r="AK420" s="61"/>
      <c r="AL420" s="71">
        <f t="array" ref="AL420">iferror(if(isblank(xlookup($G420,'Old Master'!$T:$T,'Old Master'!$W:$W)),AG420,xlookup($G420,'Old Master'!$T:$T,'Old Master'!$W:$W)),AG420)</f>
        <v>0.1814982403</v>
      </c>
      <c r="AM420" s="74">
        <f t="shared" si="20"/>
        <v>0.1814982403</v>
      </c>
      <c r="AN420" s="73">
        <f t="shared" ref="AN420:AN430" si="344">O420</f>
        <v>1628</v>
      </c>
    </row>
    <row r="421">
      <c r="A421" s="65" t="s">
        <v>2657</v>
      </c>
      <c r="B421" s="65" t="str">
        <f t="shared" si="1"/>
        <v>#VALUE!</v>
      </c>
      <c r="C421" s="65" t="str">
        <f t="shared" si="248"/>
        <v>#VALUE!</v>
      </c>
      <c r="D421" s="65" t="s">
        <v>2659</v>
      </c>
      <c r="E421" s="65" t="s">
        <v>2660</v>
      </c>
      <c r="F421" s="65" t="s">
        <v>2661</v>
      </c>
      <c r="G421" s="65" t="s">
        <v>5107</v>
      </c>
      <c r="H421" s="65" t="s">
        <v>4730</v>
      </c>
      <c r="I421" s="65">
        <v>1389.0</v>
      </c>
      <c r="J421" s="66">
        <v>0.28077753779697623</v>
      </c>
      <c r="K421" s="65">
        <f t="shared" si="3"/>
        <v>999</v>
      </c>
      <c r="L421" s="66">
        <v>0.1</v>
      </c>
      <c r="M421" s="65">
        <f t="shared" si="4"/>
        <v>1250</v>
      </c>
      <c r="N421" s="67">
        <f t="shared" si="320"/>
        <v>0.1807055436</v>
      </c>
      <c r="O421" s="68">
        <v>1138.0</v>
      </c>
      <c r="P421" s="67">
        <f t="shared" si="324"/>
        <v>0.1807055436</v>
      </c>
      <c r="Q421" s="69">
        <v>1138.0</v>
      </c>
      <c r="R421" s="70"/>
      <c r="S421" s="71">
        <f t="shared" si="341"/>
        <v>0.1391391391</v>
      </c>
      <c r="T421" s="72">
        <f t="shared" si="6"/>
        <v>0</v>
      </c>
      <c r="U421" s="73" t="str">
        <f t="shared" si="339"/>
        <v/>
      </c>
      <c r="V421" s="73">
        <f t="shared" si="340"/>
        <v>1059.322034</v>
      </c>
      <c r="W421" s="73">
        <f t="shared" si="9"/>
        <v>1059.322034</v>
      </c>
      <c r="X421" s="74">
        <f t="shared" si="10"/>
        <v>1</v>
      </c>
      <c r="Y421" s="73">
        <f t="shared" si="333"/>
        <v>0</v>
      </c>
      <c r="Z421" s="73">
        <f t="shared" si="12"/>
        <v>964.4067797</v>
      </c>
      <c r="AA421" s="73">
        <f t="shared" si="13"/>
        <v>964.4067797</v>
      </c>
      <c r="AB421" s="74">
        <f t="shared" si="14"/>
        <v>1</v>
      </c>
      <c r="AC421" s="61" t="str">
        <f t="shared" si="15"/>
        <v>6</v>
      </c>
      <c r="AD421" s="71" t="str">
        <f t="shared" si="16"/>
        <v>#DIV/0!</v>
      </c>
      <c r="AE421" s="61"/>
      <c r="AF421" s="61"/>
      <c r="AG421" s="71">
        <f t="array" ref="AG421">IFERROR(xlookup(G421,'Old Master'!T:T,'Old Master'!V:V),N421)</f>
        <v>0.1807055436</v>
      </c>
      <c r="AH421" s="73">
        <f t="shared" si="229"/>
        <v>1138</v>
      </c>
      <c r="AI421" s="73">
        <f t="shared" si="230"/>
        <v>964.4067797</v>
      </c>
      <c r="AJ421" s="72">
        <f t="shared" si="19"/>
        <v>1</v>
      </c>
      <c r="AK421" s="61"/>
      <c r="AL421" s="71">
        <f t="array" ref="AL421">iferror(if(isblank(xlookup($G421,'Old Master'!$T:$T,'Old Master'!$W:$W)),AG421,xlookup($G421,'Old Master'!$T:$T,'Old Master'!$W:$W)),AG421)</f>
        <v>0.1807055436</v>
      </c>
      <c r="AM421" s="74">
        <f t="shared" si="20"/>
        <v>0.1807055436</v>
      </c>
      <c r="AN421" s="73">
        <f t="shared" si="344"/>
        <v>1138</v>
      </c>
    </row>
    <row r="422">
      <c r="A422" s="65" t="s">
        <v>2651</v>
      </c>
      <c r="B422" s="65" t="str">
        <f t="shared" si="1"/>
        <v>#VALUE!</v>
      </c>
      <c r="C422" s="65" t="str">
        <f t="shared" si="248"/>
        <v>#VALUE!</v>
      </c>
      <c r="D422" s="65" t="s">
        <v>2653</v>
      </c>
      <c r="E422" s="65" t="s">
        <v>2654</v>
      </c>
      <c r="F422" s="65" t="s">
        <v>2655</v>
      </c>
      <c r="G422" s="65" t="s">
        <v>5107</v>
      </c>
      <c r="H422" s="65" t="s">
        <v>4730</v>
      </c>
      <c r="I422" s="65">
        <v>1389.0</v>
      </c>
      <c r="J422" s="66">
        <v>0.28077753779697623</v>
      </c>
      <c r="K422" s="65">
        <f t="shared" si="3"/>
        <v>999</v>
      </c>
      <c r="L422" s="66">
        <v>0.1</v>
      </c>
      <c r="M422" s="65">
        <f t="shared" si="4"/>
        <v>1250</v>
      </c>
      <c r="N422" s="67">
        <f t="shared" si="320"/>
        <v>0.1807055436</v>
      </c>
      <c r="O422" s="68">
        <v>1138.0</v>
      </c>
      <c r="P422" s="67">
        <f t="shared" si="324"/>
        <v>0.1807055436</v>
      </c>
      <c r="Q422" s="69">
        <v>1138.0</v>
      </c>
      <c r="R422" s="70"/>
      <c r="S422" s="71">
        <f t="shared" si="341"/>
        <v>0.1391391391</v>
      </c>
      <c r="T422" s="72">
        <f t="shared" si="6"/>
        <v>0</v>
      </c>
      <c r="U422" s="73" t="str">
        <f t="shared" si="339"/>
        <v/>
      </c>
      <c r="V422" s="73">
        <f t="shared" si="340"/>
        <v>1059.322034</v>
      </c>
      <c r="W422" s="73">
        <f t="shared" si="9"/>
        <v>1059.322034</v>
      </c>
      <c r="X422" s="74">
        <f t="shared" si="10"/>
        <v>1</v>
      </c>
      <c r="Y422" s="73">
        <f t="shared" si="333"/>
        <v>0</v>
      </c>
      <c r="Z422" s="73">
        <f t="shared" si="12"/>
        <v>964.4067797</v>
      </c>
      <c r="AA422" s="73">
        <f t="shared" si="13"/>
        <v>964.4067797</v>
      </c>
      <c r="AB422" s="74">
        <f t="shared" si="14"/>
        <v>1</v>
      </c>
      <c r="AC422" s="61" t="str">
        <f t="shared" si="15"/>
        <v>6</v>
      </c>
      <c r="AD422" s="71" t="str">
        <f t="shared" si="16"/>
        <v>#DIV/0!</v>
      </c>
      <c r="AE422" s="61"/>
      <c r="AF422" s="61"/>
      <c r="AG422" s="71">
        <f t="array" ref="AG422">IFERROR(xlookup(G422,'Old Master'!T:T,'Old Master'!V:V),N422)</f>
        <v>0.1807055436</v>
      </c>
      <c r="AH422" s="73">
        <f t="shared" si="229"/>
        <v>1138</v>
      </c>
      <c r="AI422" s="73">
        <f t="shared" si="230"/>
        <v>964.4067797</v>
      </c>
      <c r="AJ422" s="72">
        <f t="shared" si="19"/>
        <v>1</v>
      </c>
      <c r="AK422" s="61"/>
      <c r="AL422" s="71">
        <f t="array" ref="AL422">iferror(if(isblank(xlookup($G422,'Old Master'!$T:$T,'Old Master'!$W:$W)),AG422,xlookup($G422,'Old Master'!$T:$T,'Old Master'!$W:$W)),AG422)</f>
        <v>0.1807055436</v>
      </c>
      <c r="AM422" s="74">
        <f t="shared" si="20"/>
        <v>0.1807055436</v>
      </c>
      <c r="AN422" s="73">
        <f t="shared" si="344"/>
        <v>1138</v>
      </c>
    </row>
    <row r="423">
      <c r="A423" s="65" t="s">
        <v>2638</v>
      </c>
      <c r="B423" s="65" t="str">
        <f t="shared" si="1"/>
        <v>#VALUE!</v>
      </c>
      <c r="C423" s="65" t="str">
        <f t="shared" si="248"/>
        <v>#VALUE!</v>
      </c>
      <c r="D423" s="65" t="s">
        <v>2640</v>
      </c>
      <c r="E423" s="65" t="s">
        <v>2641</v>
      </c>
      <c r="F423" s="65" t="s">
        <v>2642</v>
      </c>
      <c r="G423" s="65" t="s">
        <v>5107</v>
      </c>
      <c r="H423" s="65" t="s">
        <v>4730</v>
      </c>
      <c r="I423" s="65">
        <v>1389.0</v>
      </c>
      <c r="J423" s="66">
        <v>0.28077753779697623</v>
      </c>
      <c r="K423" s="65">
        <f t="shared" si="3"/>
        <v>999</v>
      </c>
      <c r="L423" s="66">
        <v>0.1</v>
      </c>
      <c r="M423" s="65">
        <f t="shared" si="4"/>
        <v>1250</v>
      </c>
      <c r="N423" s="67">
        <f t="shared" si="320"/>
        <v>0.1807055436</v>
      </c>
      <c r="O423" s="68">
        <v>1138.0</v>
      </c>
      <c r="P423" s="67">
        <f t="shared" si="324"/>
        <v>0.1807055436</v>
      </c>
      <c r="Q423" s="69">
        <v>1138.0</v>
      </c>
      <c r="R423" s="70"/>
      <c r="S423" s="71">
        <f t="shared" si="341"/>
        <v>0.1391391391</v>
      </c>
      <c r="T423" s="72">
        <f t="shared" si="6"/>
        <v>0</v>
      </c>
      <c r="U423" s="73" t="str">
        <f t="shared" si="339"/>
        <v/>
      </c>
      <c r="V423" s="73">
        <f t="shared" si="340"/>
        <v>1059.322034</v>
      </c>
      <c r="W423" s="73">
        <f t="shared" si="9"/>
        <v>1059.322034</v>
      </c>
      <c r="X423" s="74">
        <f t="shared" si="10"/>
        <v>1</v>
      </c>
      <c r="Y423" s="73">
        <f t="shared" si="333"/>
        <v>0</v>
      </c>
      <c r="Z423" s="73">
        <f t="shared" si="12"/>
        <v>964.4067797</v>
      </c>
      <c r="AA423" s="73">
        <f t="shared" si="13"/>
        <v>964.4067797</v>
      </c>
      <c r="AB423" s="74">
        <f t="shared" si="14"/>
        <v>1</v>
      </c>
      <c r="AC423" s="61" t="str">
        <f t="shared" si="15"/>
        <v>6</v>
      </c>
      <c r="AD423" s="71" t="str">
        <f t="shared" si="16"/>
        <v>#DIV/0!</v>
      </c>
      <c r="AE423" s="61"/>
      <c r="AF423" s="61"/>
      <c r="AG423" s="71">
        <f t="array" ref="AG423">IFERROR(xlookup(G423,'Old Master'!T:T,'Old Master'!V:V),N423)</f>
        <v>0.1807055436</v>
      </c>
      <c r="AH423" s="73">
        <f t="shared" si="229"/>
        <v>1138</v>
      </c>
      <c r="AI423" s="73">
        <f t="shared" si="230"/>
        <v>964.4067797</v>
      </c>
      <c r="AJ423" s="72">
        <f t="shared" si="19"/>
        <v>1</v>
      </c>
      <c r="AK423" s="61"/>
      <c r="AL423" s="71">
        <f t="array" ref="AL423">iferror(if(isblank(xlookup($G423,'Old Master'!$T:$T,'Old Master'!$W:$W)),AG423,xlookup($G423,'Old Master'!$T:$T,'Old Master'!$W:$W)),AG423)</f>
        <v>0.1807055436</v>
      </c>
      <c r="AM423" s="74">
        <f t="shared" si="20"/>
        <v>0.1807055436</v>
      </c>
      <c r="AN423" s="73">
        <f t="shared" si="344"/>
        <v>1138</v>
      </c>
    </row>
    <row r="424">
      <c r="A424" s="65" t="s">
        <v>2644</v>
      </c>
      <c r="B424" s="65" t="str">
        <f t="shared" si="1"/>
        <v>#VALUE!</v>
      </c>
      <c r="C424" s="65" t="str">
        <f t="shared" si="248"/>
        <v>#VALUE!</v>
      </c>
      <c r="D424" s="65" t="s">
        <v>2646</v>
      </c>
      <c r="E424" s="65" t="s">
        <v>2648</v>
      </c>
      <c r="F424" s="65" t="s">
        <v>2649</v>
      </c>
      <c r="G424" s="65" t="s">
        <v>5107</v>
      </c>
      <c r="H424" s="65" t="s">
        <v>4730</v>
      </c>
      <c r="I424" s="65">
        <v>1389.0</v>
      </c>
      <c r="J424" s="66">
        <v>0.28077753779697623</v>
      </c>
      <c r="K424" s="65">
        <f t="shared" si="3"/>
        <v>999</v>
      </c>
      <c r="L424" s="66">
        <v>0.1</v>
      </c>
      <c r="M424" s="65">
        <f t="shared" si="4"/>
        <v>1250</v>
      </c>
      <c r="N424" s="67">
        <f t="shared" si="320"/>
        <v>0.1807055436</v>
      </c>
      <c r="O424" s="68">
        <v>1138.0</v>
      </c>
      <c r="P424" s="67">
        <f t="shared" si="324"/>
        <v>0.1807055436</v>
      </c>
      <c r="Q424" s="69">
        <v>1138.0</v>
      </c>
      <c r="R424" s="70"/>
      <c r="S424" s="71">
        <f t="shared" si="341"/>
        <v>0.1391391391</v>
      </c>
      <c r="T424" s="72">
        <f t="shared" si="6"/>
        <v>0</v>
      </c>
      <c r="U424" s="73" t="str">
        <f t="shared" si="339"/>
        <v/>
      </c>
      <c r="V424" s="73">
        <f t="shared" si="340"/>
        <v>1059.322034</v>
      </c>
      <c r="W424" s="73">
        <f t="shared" si="9"/>
        <v>1059.322034</v>
      </c>
      <c r="X424" s="74">
        <f t="shared" si="10"/>
        <v>1</v>
      </c>
      <c r="Y424" s="73">
        <f t="shared" si="333"/>
        <v>0</v>
      </c>
      <c r="Z424" s="73">
        <f t="shared" si="12"/>
        <v>964.4067797</v>
      </c>
      <c r="AA424" s="73">
        <f t="shared" si="13"/>
        <v>964.4067797</v>
      </c>
      <c r="AB424" s="74">
        <f t="shared" si="14"/>
        <v>1</v>
      </c>
      <c r="AC424" s="61" t="str">
        <f t="shared" si="15"/>
        <v>6</v>
      </c>
      <c r="AD424" s="71" t="str">
        <f t="shared" si="16"/>
        <v>#DIV/0!</v>
      </c>
      <c r="AE424" s="61"/>
      <c r="AF424" s="61"/>
      <c r="AG424" s="71">
        <f t="array" ref="AG424">IFERROR(xlookup(G424,'Old Master'!T:T,'Old Master'!V:V),N424)</f>
        <v>0.1807055436</v>
      </c>
      <c r="AH424" s="73">
        <f t="shared" si="229"/>
        <v>1138</v>
      </c>
      <c r="AI424" s="73">
        <f t="shared" si="230"/>
        <v>964.4067797</v>
      </c>
      <c r="AJ424" s="72">
        <f t="shared" si="19"/>
        <v>1</v>
      </c>
      <c r="AK424" s="61"/>
      <c r="AL424" s="71">
        <f t="array" ref="AL424">iferror(if(isblank(xlookup($G424,'Old Master'!$T:$T,'Old Master'!$W:$W)),AG424,xlookup($G424,'Old Master'!$T:$T,'Old Master'!$W:$W)),AG424)</f>
        <v>0.1807055436</v>
      </c>
      <c r="AM424" s="74">
        <f t="shared" si="20"/>
        <v>0.1807055436</v>
      </c>
      <c r="AN424" s="73">
        <f t="shared" si="344"/>
        <v>1138</v>
      </c>
    </row>
    <row r="425">
      <c r="A425" s="65" t="s">
        <v>2663</v>
      </c>
      <c r="B425" s="65" t="str">
        <f t="shared" si="1"/>
        <v>#VALUE!</v>
      </c>
      <c r="C425" s="65" t="str">
        <f t="shared" si="248"/>
        <v>#VALUE!</v>
      </c>
      <c r="D425" s="65" t="s">
        <v>2665</v>
      </c>
      <c r="E425" s="65" t="s">
        <v>2666</v>
      </c>
      <c r="F425" s="65" t="s">
        <v>2667</v>
      </c>
      <c r="G425" s="65" t="s">
        <v>5107</v>
      </c>
      <c r="H425" s="65" t="s">
        <v>4730</v>
      </c>
      <c r="I425" s="65">
        <v>1389.0</v>
      </c>
      <c r="J425" s="66">
        <v>0.28077753779697623</v>
      </c>
      <c r="K425" s="65">
        <f t="shared" si="3"/>
        <v>999</v>
      </c>
      <c r="L425" s="66">
        <v>0.1</v>
      </c>
      <c r="M425" s="65">
        <f t="shared" si="4"/>
        <v>1250</v>
      </c>
      <c r="N425" s="67">
        <f t="shared" si="320"/>
        <v>0.1807055436</v>
      </c>
      <c r="O425" s="68">
        <v>1138.0</v>
      </c>
      <c r="P425" s="67">
        <f t="shared" si="324"/>
        <v>0.1807055436</v>
      </c>
      <c r="Q425" s="69">
        <v>1138.0</v>
      </c>
      <c r="R425" s="70"/>
      <c r="S425" s="71">
        <f t="shared" si="341"/>
        <v>0.1391391391</v>
      </c>
      <c r="T425" s="72">
        <f t="shared" si="6"/>
        <v>0</v>
      </c>
      <c r="U425" s="73" t="str">
        <f t="shared" si="339"/>
        <v/>
      </c>
      <c r="V425" s="73">
        <f t="shared" si="340"/>
        <v>1059.322034</v>
      </c>
      <c r="W425" s="73">
        <f t="shared" si="9"/>
        <v>1059.322034</v>
      </c>
      <c r="X425" s="74">
        <f t="shared" si="10"/>
        <v>1</v>
      </c>
      <c r="Y425" s="73">
        <f t="shared" si="333"/>
        <v>0</v>
      </c>
      <c r="Z425" s="73">
        <f t="shared" si="12"/>
        <v>964.4067797</v>
      </c>
      <c r="AA425" s="73">
        <f t="shared" si="13"/>
        <v>964.4067797</v>
      </c>
      <c r="AB425" s="74">
        <f t="shared" si="14"/>
        <v>1</v>
      </c>
      <c r="AC425" s="61" t="str">
        <f t="shared" si="15"/>
        <v>6</v>
      </c>
      <c r="AD425" s="71" t="str">
        <f t="shared" si="16"/>
        <v>#DIV/0!</v>
      </c>
      <c r="AE425" s="61"/>
      <c r="AF425" s="61"/>
      <c r="AG425" s="71">
        <f t="array" ref="AG425">IFERROR(xlookup(G425,'Old Master'!T:T,'Old Master'!V:V),N425)</f>
        <v>0.1807055436</v>
      </c>
      <c r="AH425" s="73">
        <f t="shared" si="229"/>
        <v>1138</v>
      </c>
      <c r="AI425" s="73">
        <f t="shared" si="230"/>
        <v>964.4067797</v>
      </c>
      <c r="AJ425" s="72">
        <f t="shared" si="19"/>
        <v>1</v>
      </c>
      <c r="AK425" s="61"/>
      <c r="AL425" s="71">
        <f t="array" ref="AL425">iferror(if(isblank(xlookup($G425,'Old Master'!$T:$T,'Old Master'!$W:$W)),AG425,xlookup($G425,'Old Master'!$T:$T,'Old Master'!$W:$W)),AG425)</f>
        <v>0.1807055436</v>
      </c>
      <c r="AM425" s="74">
        <f t="shared" si="20"/>
        <v>0.1807055436</v>
      </c>
      <c r="AN425" s="73">
        <f t="shared" si="344"/>
        <v>1138</v>
      </c>
    </row>
    <row r="426">
      <c r="A426" s="65" t="s">
        <v>2697</v>
      </c>
      <c r="B426" s="65" t="str">
        <f t="shared" si="1"/>
        <v>#VALUE!</v>
      </c>
      <c r="C426" s="65" t="str">
        <f t="shared" si="248"/>
        <v>#VALUE!</v>
      </c>
      <c r="D426" s="65" t="s">
        <v>2699</v>
      </c>
      <c r="E426" s="65" t="s">
        <v>2700</v>
      </c>
      <c r="F426" s="65">
        <v>0.0</v>
      </c>
      <c r="G426" s="65" t="s">
        <v>5107</v>
      </c>
      <c r="H426" s="65" t="s">
        <v>4730</v>
      </c>
      <c r="I426" s="65">
        <v>1889.0</v>
      </c>
      <c r="J426" s="66">
        <v>0.2805717310746426</v>
      </c>
      <c r="K426" s="65">
        <f t="shared" si="3"/>
        <v>1359</v>
      </c>
      <c r="L426" s="66">
        <v>0.1</v>
      </c>
      <c r="M426" s="65">
        <f t="shared" si="4"/>
        <v>1700</v>
      </c>
      <c r="N426" s="67">
        <f t="shared" si="320"/>
        <v>0.180518793</v>
      </c>
      <c r="O426" s="68">
        <v>1548.0</v>
      </c>
      <c r="P426" s="67">
        <f t="shared" si="324"/>
        <v>0.180518793</v>
      </c>
      <c r="Q426" s="69">
        <v>1548.0</v>
      </c>
      <c r="R426" s="70"/>
      <c r="S426" s="71">
        <f t="shared" si="341"/>
        <v>0.1390728477</v>
      </c>
      <c r="T426" s="72">
        <f t="shared" si="6"/>
        <v>0</v>
      </c>
      <c r="U426" s="73" t="str">
        <f t="shared" si="339"/>
        <v/>
      </c>
      <c r="V426" s="73">
        <f t="shared" si="340"/>
        <v>1440.677966</v>
      </c>
      <c r="W426" s="73">
        <f t="shared" si="9"/>
        <v>1440.677966</v>
      </c>
      <c r="X426" s="74">
        <f t="shared" si="10"/>
        <v>1</v>
      </c>
      <c r="Y426" s="73">
        <f t="shared" si="333"/>
        <v>0</v>
      </c>
      <c r="Z426" s="73">
        <f t="shared" si="12"/>
        <v>1311.864407</v>
      </c>
      <c r="AA426" s="73">
        <f t="shared" si="13"/>
        <v>1311.864407</v>
      </c>
      <c r="AB426" s="74">
        <f t="shared" si="14"/>
        <v>1</v>
      </c>
      <c r="AC426" s="61" t="str">
        <f t="shared" si="15"/>
        <v>8</v>
      </c>
      <c r="AD426" s="71" t="str">
        <f t="shared" si="16"/>
        <v>#DIV/0!</v>
      </c>
      <c r="AE426" s="61"/>
      <c r="AF426" s="61"/>
      <c r="AG426" s="71">
        <f t="array" ref="AG426">IFERROR(xlookup(G426,'Old Master'!T:T,'Old Master'!V:V),N426)</f>
        <v>0.180518793</v>
      </c>
      <c r="AH426" s="73">
        <f t="shared" si="229"/>
        <v>1548</v>
      </c>
      <c r="AI426" s="73">
        <f t="shared" si="230"/>
        <v>1311.864407</v>
      </c>
      <c r="AJ426" s="72">
        <f t="shared" si="19"/>
        <v>1</v>
      </c>
      <c r="AK426" s="61"/>
      <c r="AL426" s="71">
        <f t="array" ref="AL426">iferror(if(isblank(xlookup($G426,'Old Master'!$T:$T,'Old Master'!$W:$W)),AG426,xlookup($G426,'Old Master'!$T:$T,'Old Master'!$W:$W)),AG426)</f>
        <v>0.180518793</v>
      </c>
      <c r="AM426" s="74">
        <f t="shared" si="20"/>
        <v>0.180518793</v>
      </c>
      <c r="AN426" s="73">
        <f t="shared" si="344"/>
        <v>1548</v>
      </c>
    </row>
    <row r="427">
      <c r="A427" s="65" t="s">
        <v>2679</v>
      </c>
      <c r="B427" s="65" t="str">
        <f t="shared" si="1"/>
        <v>#VALUE!</v>
      </c>
      <c r="C427" s="65" t="str">
        <f t="shared" si="248"/>
        <v>#VALUE!</v>
      </c>
      <c r="D427" s="65" t="s">
        <v>2681</v>
      </c>
      <c r="E427" s="65" t="s">
        <v>2682</v>
      </c>
      <c r="F427" s="65" t="s">
        <v>2683</v>
      </c>
      <c r="G427" s="65" t="s">
        <v>5107</v>
      </c>
      <c r="H427" s="65" t="s">
        <v>4730</v>
      </c>
      <c r="I427" s="65">
        <v>1889.0</v>
      </c>
      <c r="J427" s="66">
        <v>0.2805717310746426</v>
      </c>
      <c r="K427" s="65">
        <f t="shared" si="3"/>
        <v>1359</v>
      </c>
      <c r="L427" s="66">
        <v>0.1</v>
      </c>
      <c r="M427" s="65">
        <f t="shared" si="4"/>
        <v>1700</v>
      </c>
      <c r="N427" s="67">
        <f t="shared" si="320"/>
        <v>0.180518793</v>
      </c>
      <c r="O427" s="68">
        <v>1548.0</v>
      </c>
      <c r="P427" s="67">
        <f t="shared" si="324"/>
        <v>0.180518793</v>
      </c>
      <c r="Q427" s="69">
        <v>1548.0</v>
      </c>
      <c r="R427" s="70"/>
      <c r="S427" s="71">
        <f t="shared" si="341"/>
        <v>0.1390728477</v>
      </c>
      <c r="T427" s="72">
        <f t="shared" si="6"/>
        <v>0</v>
      </c>
      <c r="U427" s="73" t="str">
        <f t="shared" si="339"/>
        <v/>
      </c>
      <c r="V427" s="73">
        <f t="shared" si="340"/>
        <v>1440.677966</v>
      </c>
      <c r="W427" s="73">
        <f t="shared" si="9"/>
        <v>1440.677966</v>
      </c>
      <c r="X427" s="74">
        <f t="shared" si="10"/>
        <v>1</v>
      </c>
      <c r="Y427" s="73">
        <f t="shared" si="333"/>
        <v>0</v>
      </c>
      <c r="Z427" s="73">
        <f t="shared" si="12"/>
        <v>1311.864407</v>
      </c>
      <c r="AA427" s="73">
        <f t="shared" si="13"/>
        <v>1311.864407</v>
      </c>
      <c r="AB427" s="74">
        <f t="shared" si="14"/>
        <v>1</v>
      </c>
      <c r="AC427" s="61" t="str">
        <f t="shared" si="15"/>
        <v>8</v>
      </c>
      <c r="AD427" s="71" t="str">
        <f t="shared" si="16"/>
        <v>#DIV/0!</v>
      </c>
      <c r="AE427" s="61"/>
      <c r="AF427" s="61"/>
      <c r="AG427" s="71">
        <f t="array" ref="AG427">IFERROR(xlookup(G427,'Old Master'!T:T,'Old Master'!V:V),N427)</f>
        <v>0.180518793</v>
      </c>
      <c r="AH427" s="73">
        <f t="shared" si="229"/>
        <v>1548</v>
      </c>
      <c r="AI427" s="73">
        <f t="shared" si="230"/>
        <v>1311.864407</v>
      </c>
      <c r="AJ427" s="72">
        <f t="shared" si="19"/>
        <v>1</v>
      </c>
      <c r="AK427" s="61"/>
      <c r="AL427" s="71">
        <f t="array" ref="AL427">iferror(if(isblank(xlookup($G427,'Old Master'!$T:$T,'Old Master'!$W:$W)),AG427,xlookup($G427,'Old Master'!$T:$T,'Old Master'!$W:$W)),AG427)</f>
        <v>0.180518793</v>
      </c>
      <c r="AM427" s="74">
        <f t="shared" si="20"/>
        <v>0.180518793</v>
      </c>
      <c r="AN427" s="73">
        <f t="shared" si="344"/>
        <v>1548</v>
      </c>
    </row>
    <row r="428">
      <c r="A428" s="65" t="s">
        <v>2685</v>
      </c>
      <c r="B428" s="65" t="str">
        <f t="shared" si="1"/>
        <v>#VALUE!</v>
      </c>
      <c r="C428" s="65" t="str">
        <f t="shared" si="248"/>
        <v>#VALUE!</v>
      </c>
      <c r="D428" s="65" t="s">
        <v>2687</v>
      </c>
      <c r="E428" s="65" t="s">
        <v>2688</v>
      </c>
      <c r="F428" s="65" t="s">
        <v>2689</v>
      </c>
      <c r="G428" s="65" t="s">
        <v>5107</v>
      </c>
      <c r="H428" s="65" t="s">
        <v>4730</v>
      </c>
      <c r="I428" s="65">
        <v>1889.0</v>
      </c>
      <c r="J428" s="66">
        <v>0.2805717310746426</v>
      </c>
      <c r="K428" s="65">
        <f t="shared" si="3"/>
        <v>1359</v>
      </c>
      <c r="L428" s="66">
        <v>0.1</v>
      </c>
      <c r="M428" s="65">
        <f t="shared" si="4"/>
        <v>1700</v>
      </c>
      <c r="N428" s="67">
        <f t="shared" si="320"/>
        <v>0.180518793</v>
      </c>
      <c r="O428" s="68">
        <v>1548.0</v>
      </c>
      <c r="P428" s="67">
        <f t="shared" si="324"/>
        <v>0.180518793</v>
      </c>
      <c r="Q428" s="69">
        <v>1548.0</v>
      </c>
      <c r="R428" s="70"/>
      <c r="S428" s="71">
        <f t="shared" si="341"/>
        <v>0.1390728477</v>
      </c>
      <c r="T428" s="72">
        <f t="shared" si="6"/>
        <v>0</v>
      </c>
      <c r="U428" s="73" t="str">
        <f t="shared" si="339"/>
        <v/>
      </c>
      <c r="V428" s="73">
        <f t="shared" si="340"/>
        <v>1440.677966</v>
      </c>
      <c r="W428" s="73">
        <f t="shared" si="9"/>
        <v>1440.677966</v>
      </c>
      <c r="X428" s="74">
        <f t="shared" si="10"/>
        <v>1</v>
      </c>
      <c r="Y428" s="73">
        <f t="shared" si="333"/>
        <v>0</v>
      </c>
      <c r="Z428" s="73">
        <f t="shared" si="12"/>
        <v>1311.864407</v>
      </c>
      <c r="AA428" s="73">
        <f t="shared" si="13"/>
        <v>1311.864407</v>
      </c>
      <c r="AB428" s="74">
        <f t="shared" si="14"/>
        <v>1</v>
      </c>
      <c r="AC428" s="61" t="str">
        <f t="shared" si="15"/>
        <v>8</v>
      </c>
      <c r="AD428" s="71" t="str">
        <f t="shared" si="16"/>
        <v>#DIV/0!</v>
      </c>
      <c r="AE428" s="61"/>
      <c r="AF428" s="61"/>
      <c r="AG428" s="71">
        <f t="array" ref="AG428">IFERROR(xlookup(G428,'Old Master'!T:T,'Old Master'!V:V),N428)</f>
        <v>0.180518793</v>
      </c>
      <c r="AH428" s="73">
        <f t="shared" si="229"/>
        <v>1548</v>
      </c>
      <c r="AI428" s="73">
        <f t="shared" si="230"/>
        <v>1311.864407</v>
      </c>
      <c r="AJ428" s="72">
        <f t="shared" si="19"/>
        <v>1</v>
      </c>
      <c r="AK428" s="61"/>
      <c r="AL428" s="71">
        <f t="array" ref="AL428">iferror(if(isblank(xlookup($G428,'Old Master'!$T:$T,'Old Master'!$W:$W)),AG428,xlookup($G428,'Old Master'!$T:$T,'Old Master'!$W:$W)),AG428)</f>
        <v>0.180518793</v>
      </c>
      <c r="AM428" s="74">
        <f t="shared" si="20"/>
        <v>0.180518793</v>
      </c>
      <c r="AN428" s="73">
        <f t="shared" si="344"/>
        <v>1548</v>
      </c>
    </row>
    <row r="429">
      <c r="A429" s="65" t="s">
        <v>2703</v>
      </c>
      <c r="B429" s="65" t="str">
        <f t="shared" si="1"/>
        <v>#VALUE!</v>
      </c>
      <c r="C429" s="65" t="str">
        <f t="shared" si="248"/>
        <v>#VALUE!</v>
      </c>
      <c r="D429" s="65" t="s">
        <v>2705</v>
      </c>
      <c r="E429" s="65" t="s">
        <v>2706</v>
      </c>
      <c r="F429" s="65" t="s">
        <v>2707</v>
      </c>
      <c r="G429" s="65" t="s">
        <v>5107</v>
      </c>
      <c r="H429" s="65" t="s">
        <v>4730</v>
      </c>
      <c r="I429" s="65">
        <v>1889.0</v>
      </c>
      <c r="J429" s="66">
        <v>0.2805717310746426</v>
      </c>
      <c r="K429" s="65">
        <f t="shared" si="3"/>
        <v>1359</v>
      </c>
      <c r="L429" s="66">
        <v>0.1</v>
      </c>
      <c r="M429" s="65">
        <f t="shared" si="4"/>
        <v>1700</v>
      </c>
      <c r="N429" s="67">
        <f t="shared" si="320"/>
        <v>0.180518793</v>
      </c>
      <c r="O429" s="68">
        <v>1548.0</v>
      </c>
      <c r="P429" s="67">
        <f t="shared" si="324"/>
        <v>0.180518793</v>
      </c>
      <c r="Q429" s="69">
        <v>1548.0</v>
      </c>
      <c r="R429" s="70"/>
      <c r="S429" s="71">
        <f t="shared" si="341"/>
        <v>0.1390728477</v>
      </c>
      <c r="T429" s="72">
        <f t="shared" si="6"/>
        <v>0</v>
      </c>
      <c r="U429" s="73" t="str">
        <f t="shared" si="339"/>
        <v/>
      </c>
      <c r="V429" s="73">
        <f t="shared" si="340"/>
        <v>1440.677966</v>
      </c>
      <c r="W429" s="73">
        <f t="shared" si="9"/>
        <v>1440.677966</v>
      </c>
      <c r="X429" s="74">
        <f t="shared" si="10"/>
        <v>1</v>
      </c>
      <c r="Y429" s="73">
        <f t="shared" si="333"/>
        <v>0</v>
      </c>
      <c r="Z429" s="73">
        <f t="shared" si="12"/>
        <v>1311.864407</v>
      </c>
      <c r="AA429" s="73">
        <f t="shared" si="13"/>
        <v>1311.864407</v>
      </c>
      <c r="AB429" s="74">
        <f t="shared" si="14"/>
        <v>1</v>
      </c>
      <c r="AC429" s="61" t="str">
        <f t="shared" si="15"/>
        <v>8</v>
      </c>
      <c r="AD429" s="71" t="str">
        <f t="shared" si="16"/>
        <v>#DIV/0!</v>
      </c>
      <c r="AE429" s="61"/>
      <c r="AF429" s="61"/>
      <c r="AG429" s="71">
        <f t="array" ref="AG429">IFERROR(xlookup(G429,'Old Master'!T:T,'Old Master'!V:V),N429)</f>
        <v>0.180518793</v>
      </c>
      <c r="AH429" s="73">
        <f t="shared" si="229"/>
        <v>1548</v>
      </c>
      <c r="AI429" s="73">
        <f t="shared" si="230"/>
        <v>1311.864407</v>
      </c>
      <c r="AJ429" s="72">
        <f t="shared" si="19"/>
        <v>1</v>
      </c>
      <c r="AK429" s="61"/>
      <c r="AL429" s="71">
        <f t="array" ref="AL429">iferror(if(isblank(xlookup($G429,'Old Master'!$T:$T,'Old Master'!$W:$W)),AG429,xlookup($G429,'Old Master'!$T:$T,'Old Master'!$W:$W)),AG429)</f>
        <v>0.180518793</v>
      </c>
      <c r="AM429" s="74">
        <f t="shared" si="20"/>
        <v>0.180518793</v>
      </c>
      <c r="AN429" s="73">
        <f t="shared" si="344"/>
        <v>1548</v>
      </c>
    </row>
    <row r="430">
      <c r="A430" s="65" t="s">
        <v>3436</v>
      </c>
      <c r="B430" s="65" t="str">
        <f t="shared" si="1"/>
        <v>#VALUE!</v>
      </c>
      <c r="C430" s="65" t="str">
        <f t="shared" si="248"/>
        <v>#VALUE!</v>
      </c>
      <c r="D430" s="65" t="s">
        <v>3438</v>
      </c>
      <c r="E430" s="65" t="s">
        <v>3436</v>
      </c>
      <c r="F430" s="65">
        <v>0.0</v>
      </c>
      <c r="G430" s="65" t="s">
        <v>5078</v>
      </c>
      <c r="H430" s="65" t="s">
        <v>4730</v>
      </c>
      <c r="I430" s="65">
        <v>649.0</v>
      </c>
      <c r="J430" s="66">
        <v>0.1</v>
      </c>
      <c r="K430" s="65">
        <f t="shared" si="3"/>
        <v>584</v>
      </c>
      <c r="L430" s="66">
        <v>0.1</v>
      </c>
      <c r="M430" s="65">
        <f t="shared" si="4"/>
        <v>584</v>
      </c>
      <c r="N430" s="67">
        <f t="shared" si="320"/>
        <v>0</v>
      </c>
      <c r="O430" s="78">
        <v>649.0</v>
      </c>
      <c r="P430" s="67">
        <f t="shared" si="324"/>
        <v>0</v>
      </c>
      <c r="Q430" s="79">
        <v>649.0</v>
      </c>
      <c r="R430" s="70"/>
      <c r="S430" s="71">
        <f t="shared" si="341"/>
        <v>0.1113013699</v>
      </c>
      <c r="T430" s="72">
        <f t="shared" si="6"/>
        <v>0</v>
      </c>
      <c r="U430" s="73" t="str">
        <f t="shared" si="339"/>
        <v/>
      </c>
      <c r="V430" s="73">
        <f t="shared" si="340"/>
        <v>494.9152542</v>
      </c>
      <c r="W430" s="73">
        <f t="shared" si="9"/>
        <v>494.9152542</v>
      </c>
      <c r="X430" s="74">
        <f t="shared" si="10"/>
        <v>1</v>
      </c>
      <c r="Y430" s="73">
        <f t="shared" si="333"/>
        <v>0</v>
      </c>
      <c r="Z430" s="73">
        <f t="shared" si="12"/>
        <v>550</v>
      </c>
      <c r="AA430" s="73">
        <f t="shared" si="13"/>
        <v>550</v>
      </c>
      <c r="AB430" s="74">
        <f t="shared" si="14"/>
        <v>1</v>
      </c>
      <c r="AC430" s="61" t="str">
        <f t="shared" si="15"/>
        <v>0</v>
      </c>
      <c r="AD430" s="71" t="str">
        <f t="shared" si="16"/>
        <v>#DIV/0!</v>
      </c>
      <c r="AE430" s="61"/>
      <c r="AF430" s="61"/>
      <c r="AG430" s="71">
        <f t="array" ref="AG430">IFERROR(xlookup(G430,'Old Master'!T:T,'Old Master'!V:V),N430)</f>
        <v>0</v>
      </c>
      <c r="AH430" s="73">
        <f t="shared" si="229"/>
        <v>649</v>
      </c>
      <c r="AI430" s="73">
        <f t="shared" si="230"/>
        <v>550</v>
      </c>
      <c r="AJ430" s="72">
        <f t="shared" si="19"/>
        <v>1</v>
      </c>
      <c r="AK430" s="61"/>
      <c r="AL430" s="71">
        <f t="array" ref="AL430">iferror(if(isblank(xlookup($G430,'Old Master'!$T:$T,'Old Master'!$W:$W)),AG430,xlookup($G430,'Old Master'!$T:$T,'Old Master'!$W:$W)),AG430)</f>
        <v>0</v>
      </c>
      <c r="AM430" s="74">
        <f t="shared" si="20"/>
        <v>0</v>
      </c>
      <c r="AN430" s="73">
        <f t="shared" si="344"/>
        <v>649</v>
      </c>
    </row>
    <row r="431">
      <c r="A431" s="65" t="s">
        <v>3461</v>
      </c>
      <c r="B431" s="65" t="str">
        <f t="shared" si="1"/>
        <v>#VALUE!</v>
      </c>
      <c r="C431" s="65" t="str">
        <f t="shared" si="248"/>
        <v>#VALUE!</v>
      </c>
      <c r="D431" s="65" t="s">
        <v>3463</v>
      </c>
      <c r="E431" s="65" t="s">
        <v>3461</v>
      </c>
      <c r="F431" s="65" t="s">
        <v>3465</v>
      </c>
      <c r="G431" s="65" t="s">
        <v>5078</v>
      </c>
      <c r="H431" s="65" t="s">
        <v>4730</v>
      </c>
      <c r="I431" s="65">
        <v>499.0</v>
      </c>
      <c r="J431" s="66">
        <v>0.1</v>
      </c>
      <c r="K431" s="65">
        <f t="shared" si="3"/>
        <v>449</v>
      </c>
      <c r="L431" s="66">
        <v>0.1</v>
      </c>
      <c r="M431" s="65">
        <f t="shared" si="4"/>
        <v>449</v>
      </c>
      <c r="N431" s="67">
        <f t="shared" si="320"/>
        <v>0</v>
      </c>
      <c r="O431" s="78">
        <v>499.0</v>
      </c>
      <c r="P431" s="67">
        <f t="shared" si="324"/>
        <v>0</v>
      </c>
      <c r="Q431" s="79">
        <v>499.0</v>
      </c>
      <c r="R431" s="70"/>
      <c r="S431" s="71">
        <f t="shared" si="341"/>
        <v>0.1113585746</v>
      </c>
      <c r="T431" s="72">
        <f t="shared" si="6"/>
        <v>0</v>
      </c>
      <c r="U431" s="73" t="str">
        <f t="shared" si="339"/>
        <v/>
      </c>
      <c r="V431" s="73">
        <f t="shared" si="340"/>
        <v>380.5084746</v>
      </c>
      <c r="W431" s="73">
        <f t="shared" si="9"/>
        <v>380.5084746</v>
      </c>
      <c r="X431" s="74">
        <f t="shared" si="10"/>
        <v>1</v>
      </c>
      <c r="Y431" s="73">
        <f t="shared" si="333"/>
        <v>0</v>
      </c>
      <c r="Z431" s="73">
        <f t="shared" si="12"/>
        <v>422.8813559</v>
      </c>
      <c r="AA431" s="73">
        <f t="shared" si="13"/>
        <v>422.8813559</v>
      </c>
      <c r="AB431" s="74">
        <f t="shared" si="14"/>
        <v>1</v>
      </c>
      <c r="AC431" s="61" t="str">
        <f t="shared" si="15"/>
        <v>0</v>
      </c>
      <c r="AD431" s="71" t="str">
        <f t="shared" si="16"/>
        <v>#DIV/0!</v>
      </c>
      <c r="AE431" s="61"/>
      <c r="AF431" s="61"/>
      <c r="AG431" s="71">
        <f t="array" ref="AG431">IFERROR(xlookup(G431,'Old Master'!T:T,'Old Master'!V:V),N431)</f>
        <v>0</v>
      </c>
      <c r="AH431" s="73">
        <f t="shared" si="229"/>
        <v>499</v>
      </c>
      <c r="AI431" s="73">
        <f t="shared" si="230"/>
        <v>422.8813559</v>
      </c>
      <c r="AJ431" s="72">
        <f t="shared" si="19"/>
        <v>1</v>
      </c>
      <c r="AK431" s="61"/>
      <c r="AL431" s="71">
        <f t="array" ref="AL431">iferror(if(isblank(xlookup($G431,'Old Master'!$T:$T,'Old Master'!$W:$W)),AG431,xlookup($G431,'Old Master'!$T:$T,'Old Master'!$W:$W)),AG431)</f>
        <v>0</v>
      </c>
      <c r="AM431" s="74">
        <f t="shared" si="20"/>
        <v>0</v>
      </c>
      <c r="AN431" s="73">
        <f>mround($I431*(1-AL431),100)-1</f>
        <v>499</v>
      </c>
    </row>
    <row r="432">
      <c r="A432" s="65" t="s">
        <v>3449</v>
      </c>
      <c r="B432" s="65" t="str">
        <f t="shared" si="1"/>
        <v>#VALUE!</v>
      </c>
      <c r="C432" s="65" t="str">
        <f t="shared" si="248"/>
        <v>#VALUE!</v>
      </c>
      <c r="D432" s="65" t="s">
        <v>3451</v>
      </c>
      <c r="E432" s="65" t="s">
        <v>3449</v>
      </c>
      <c r="F432" s="65">
        <v>0.0</v>
      </c>
      <c r="G432" s="65" t="s">
        <v>5078</v>
      </c>
      <c r="H432" s="65" t="s">
        <v>4730</v>
      </c>
      <c r="I432" s="65">
        <v>549.0</v>
      </c>
      <c r="J432" s="66">
        <v>0.1</v>
      </c>
      <c r="K432" s="65">
        <f t="shared" si="3"/>
        <v>494</v>
      </c>
      <c r="L432" s="66">
        <v>0.1</v>
      </c>
      <c r="M432" s="65">
        <f t="shared" si="4"/>
        <v>494</v>
      </c>
      <c r="N432" s="67">
        <f t="shared" si="320"/>
        <v>0</v>
      </c>
      <c r="O432" s="78">
        <v>549.0</v>
      </c>
      <c r="P432" s="67">
        <f t="shared" si="324"/>
        <v>0</v>
      </c>
      <c r="Q432" s="79">
        <v>549.0</v>
      </c>
      <c r="R432" s="70"/>
      <c r="S432" s="71">
        <f t="shared" si="341"/>
        <v>0.1113360324</v>
      </c>
      <c r="T432" s="72">
        <f t="shared" si="6"/>
        <v>0</v>
      </c>
      <c r="U432" s="73" t="str">
        <f t="shared" si="339"/>
        <v/>
      </c>
      <c r="V432" s="73">
        <f t="shared" si="340"/>
        <v>418.6440678</v>
      </c>
      <c r="W432" s="73">
        <f t="shared" si="9"/>
        <v>418.6440678</v>
      </c>
      <c r="X432" s="74">
        <f t="shared" si="10"/>
        <v>1</v>
      </c>
      <c r="Y432" s="73">
        <f t="shared" si="333"/>
        <v>0</v>
      </c>
      <c r="Z432" s="73">
        <f t="shared" si="12"/>
        <v>465.2542373</v>
      </c>
      <c r="AA432" s="73">
        <f t="shared" si="13"/>
        <v>465.2542373</v>
      </c>
      <c r="AB432" s="74">
        <f t="shared" si="14"/>
        <v>1</v>
      </c>
      <c r="AC432" s="61" t="str">
        <f t="shared" si="15"/>
        <v>0</v>
      </c>
      <c r="AD432" s="71" t="str">
        <f t="shared" si="16"/>
        <v>#DIV/0!</v>
      </c>
      <c r="AE432" s="61"/>
      <c r="AF432" s="61"/>
      <c r="AG432" s="71">
        <f t="array" ref="AG432">IFERROR(xlookup(G432,'Old Master'!T:T,'Old Master'!V:V),N432)</f>
        <v>0</v>
      </c>
      <c r="AH432" s="73">
        <f t="shared" si="229"/>
        <v>549</v>
      </c>
      <c r="AI432" s="73">
        <f t="shared" si="230"/>
        <v>465.2542373</v>
      </c>
      <c r="AJ432" s="72">
        <f t="shared" si="19"/>
        <v>1</v>
      </c>
      <c r="AK432" s="61"/>
      <c r="AL432" s="71">
        <f t="array" ref="AL432">iferror(if(isblank(xlookup($G432,'Old Master'!$T:$T,'Old Master'!$W:$W)),AG432,xlookup($G432,'Old Master'!$T:$T,'Old Master'!$W:$W)),AG432)</f>
        <v>0</v>
      </c>
      <c r="AM432" s="74">
        <f t="shared" si="20"/>
        <v>0</v>
      </c>
      <c r="AN432" s="73">
        <f>O432</f>
        <v>549</v>
      </c>
    </row>
    <row r="433">
      <c r="A433" s="65" t="s">
        <v>3418</v>
      </c>
      <c r="B433" s="65" t="str">
        <f t="shared" si="1"/>
        <v>#VALUE!</v>
      </c>
      <c r="C433" s="65" t="str">
        <f t="shared" si="248"/>
        <v>#VALUE!</v>
      </c>
      <c r="D433" s="65" t="s">
        <v>3420</v>
      </c>
      <c r="E433" s="65">
        <v>0.0</v>
      </c>
      <c r="F433" s="65">
        <v>0.0</v>
      </c>
      <c r="G433" s="65" t="s">
        <v>5078</v>
      </c>
      <c r="H433" s="65" t="s">
        <v>4730</v>
      </c>
      <c r="I433" s="65">
        <v>699.0</v>
      </c>
      <c r="J433" s="66">
        <v>0.1</v>
      </c>
      <c r="K433" s="65">
        <f t="shared" si="3"/>
        <v>629</v>
      </c>
      <c r="L433" s="66">
        <v>0.1</v>
      </c>
      <c r="M433" s="65">
        <f t="shared" si="4"/>
        <v>629</v>
      </c>
      <c r="N433" s="67">
        <f t="shared" si="320"/>
        <v>0</v>
      </c>
      <c r="O433" s="78">
        <v>699.0</v>
      </c>
      <c r="P433" s="67">
        <f t="shared" si="324"/>
        <v>0</v>
      </c>
      <c r="Q433" s="79">
        <v>699.0</v>
      </c>
      <c r="R433" s="70"/>
      <c r="S433" s="71">
        <f t="shared" si="341"/>
        <v>0.1112877583</v>
      </c>
      <c r="T433" s="72">
        <f t="shared" si="6"/>
        <v>0</v>
      </c>
      <c r="U433" s="73" t="str">
        <f t="shared" si="339"/>
        <v/>
      </c>
      <c r="V433" s="73">
        <f t="shared" si="340"/>
        <v>533.0508475</v>
      </c>
      <c r="W433" s="73">
        <f t="shared" si="9"/>
        <v>533.0508475</v>
      </c>
      <c r="X433" s="74">
        <f t="shared" si="10"/>
        <v>1</v>
      </c>
      <c r="Y433" s="73">
        <f t="shared" si="333"/>
        <v>0</v>
      </c>
      <c r="Z433" s="73">
        <f t="shared" si="12"/>
        <v>592.3728814</v>
      </c>
      <c r="AA433" s="73">
        <f t="shared" si="13"/>
        <v>592.3728814</v>
      </c>
      <c r="AB433" s="74">
        <f t="shared" si="14"/>
        <v>1</v>
      </c>
      <c r="AC433" s="61" t="str">
        <f t="shared" si="15"/>
        <v>0</v>
      </c>
      <c r="AD433" s="71" t="str">
        <f t="shared" si="16"/>
        <v>#DIV/0!</v>
      </c>
      <c r="AE433" s="61"/>
      <c r="AF433" s="61"/>
      <c r="AG433" s="71">
        <f t="array" ref="AG433">IFERROR(xlookup(G433,'Old Master'!T:T,'Old Master'!V:V),N433)</f>
        <v>0</v>
      </c>
      <c r="AH433" s="73">
        <f t="shared" si="229"/>
        <v>699</v>
      </c>
      <c r="AI433" s="73">
        <f t="shared" si="230"/>
        <v>592.3728814</v>
      </c>
      <c r="AJ433" s="72">
        <f t="shared" si="19"/>
        <v>1</v>
      </c>
      <c r="AK433" s="61"/>
      <c r="AL433" s="71">
        <f t="array" ref="AL433">iferror(if(isblank(xlookup($G433,'Old Master'!$T:$T,'Old Master'!$W:$W)),AG433,xlookup($G433,'Old Master'!$T:$T,'Old Master'!$W:$W)),AG433)</f>
        <v>0</v>
      </c>
      <c r="AM433" s="74">
        <f t="shared" si="20"/>
        <v>0</v>
      </c>
      <c r="AN433" s="73">
        <f t="shared" ref="AN433:AN460" si="345">mround($I433*(1-AL433),100)-1</f>
        <v>699</v>
      </c>
    </row>
    <row r="434">
      <c r="A434" s="65" t="s">
        <v>3472</v>
      </c>
      <c r="B434" s="65" t="str">
        <f t="shared" si="1"/>
        <v>#VALUE!</v>
      </c>
      <c r="C434" s="65" t="str">
        <f t="shared" si="248"/>
        <v>#VALUE!</v>
      </c>
      <c r="D434" s="65" t="s">
        <v>3474</v>
      </c>
      <c r="E434" s="65" t="s">
        <v>3472</v>
      </c>
      <c r="F434" s="65">
        <v>0.0</v>
      </c>
      <c r="G434" s="65" t="s">
        <v>5078</v>
      </c>
      <c r="H434" s="65" t="s">
        <v>4730</v>
      </c>
      <c r="I434" s="65">
        <v>499.0</v>
      </c>
      <c r="J434" s="66">
        <v>0.1</v>
      </c>
      <c r="K434" s="65">
        <f t="shared" si="3"/>
        <v>449</v>
      </c>
      <c r="L434" s="66">
        <v>0.1</v>
      </c>
      <c r="M434" s="65">
        <f t="shared" si="4"/>
        <v>449</v>
      </c>
      <c r="N434" s="67">
        <f t="shared" si="320"/>
        <v>0</v>
      </c>
      <c r="O434" s="78">
        <v>499.0</v>
      </c>
      <c r="P434" s="67">
        <f t="shared" si="324"/>
        <v>0</v>
      </c>
      <c r="Q434" s="79">
        <v>499.0</v>
      </c>
      <c r="R434" s="70"/>
      <c r="S434" s="71">
        <f t="shared" si="341"/>
        <v>0.1113585746</v>
      </c>
      <c r="T434" s="72">
        <f t="shared" si="6"/>
        <v>0</v>
      </c>
      <c r="U434" s="73" t="str">
        <f t="shared" si="339"/>
        <v/>
      </c>
      <c r="V434" s="73">
        <f t="shared" si="340"/>
        <v>380.5084746</v>
      </c>
      <c r="W434" s="73">
        <f t="shared" si="9"/>
        <v>380.5084746</v>
      </c>
      <c r="X434" s="74">
        <f t="shared" si="10"/>
        <v>1</v>
      </c>
      <c r="Y434" s="73">
        <f t="shared" si="333"/>
        <v>0</v>
      </c>
      <c r="Z434" s="73">
        <f t="shared" si="12"/>
        <v>422.8813559</v>
      </c>
      <c r="AA434" s="73">
        <f t="shared" si="13"/>
        <v>422.8813559</v>
      </c>
      <c r="AB434" s="74">
        <f t="shared" si="14"/>
        <v>1</v>
      </c>
      <c r="AC434" s="61" t="str">
        <f t="shared" si="15"/>
        <v>0</v>
      </c>
      <c r="AD434" s="71" t="str">
        <f t="shared" si="16"/>
        <v>#DIV/0!</v>
      </c>
      <c r="AE434" s="61"/>
      <c r="AF434" s="61"/>
      <c r="AG434" s="71">
        <f t="array" ref="AG434">IFERROR(xlookup(G434,'Old Master'!T:T,'Old Master'!V:V),N434)</f>
        <v>0</v>
      </c>
      <c r="AH434" s="73">
        <f t="shared" si="229"/>
        <v>499</v>
      </c>
      <c r="AI434" s="73">
        <f t="shared" si="230"/>
        <v>422.8813559</v>
      </c>
      <c r="AJ434" s="72">
        <f t="shared" si="19"/>
        <v>1</v>
      </c>
      <c r="AK434" s="61"/>
      <c r="AL434" s="71">
        <f t="array" ref="AL434">iferror(if(isblank(xlookup($G434,'Old Master'!$T:$T,'Old Master'!$W:$W)),AG434,xlookup($G434,'Old Master'!$T:$T,'Old Master'!$W:$W)),AG434)</f>
        <v>0</v>
      </c>
      <c r="AM434" s="74">
        <f t="shared" si="20"/>
        <v>0</v>
      </c>
      <c r="AN434" s="73">
        <f t="shared" si="345"/>
        <v>499</v>
      </c>
    </row>
    <row r="435">
      <c r="A435" s="65" t="s">
        <v>831</v>
      </c>
      <c r="B435" s="65">
        <f t="shared" si="1"/>
        <v>36</v>
      </c>
      <c r="C435" s="65" t="str">
        <f t="shared" si="248"/>
        <v>SC-HYB-LATEX-S-84x38x6</v>
      </c>
      <c r="D435" s="65" t="s">
        <v>833</v>
      </c>
      <c r="E435" s="65">
        <v>0.0</v>
      </c>
      <c r="F435" s="65" t="s">
        <v>834</v>
      </c>
      <c r="G435" s="65" t="s">
        <v>5108</v>
      </c>
      <c r="H435" s="65" t="s">
        <v>52</v>
      </c>
      <c r="I435" s="65">
        <v>13999.0</v>
      </c>
      <c r="J435" s="66">
        <v>0.25</v>
      </c>
      <c r="K435" s="65">
        <f t="shared" si="3"/>
        <v>10499</v>
      </c>
      <c r="L435" s="66">
        <v>0.2</v>
      </c>
      <c r="M435" s="65">
        <f t="shared" si="4"/>
        <v>11199</v>
      </c>
      <c r="N435" s="75">
        <v>0.16</v>
      </c>
      <c r="O435" s="68">
        <f t="shared" ref="O435:O437" si="346">I435*(1-N435)</f>
        <v>11759.16</v>
      </c>
      <c r="P435" s="75">
        <v>0.13</v>
      </c>
      <c r="Q435" s="68">
        <f t="shared" ref="Q435:Q437" si="347">I435*(1-P435)</f>
        <v>12179.13</v>
      </c>
      <c r="R435" s="71">
        <f t="shared" ref="R435:R437" si="348">Q435/M435-1</f>
        <v>0.08751942138</v>
      </c>
      <c r="S435" s="71">
        <f t="shared" ref="S435:S437" si="349">O435/M435-1</f>
        <v>0.05001875167</v>
      </c>
      <c r="T435" s="72">
        <f t="shared" si="6"/>
        <v>0</v>
      </c>
      <c r="U435" s="73" t="str">
        <f t="shared" si="339"/>
        <v/>
      </c>
      <c r="V435" s="73">
        <f t="shared" si="340"/>
        <v>9490.677966</v>
      </c>
      <c r="W435" s="73">
        <f t="shared" si="9"/>
        <v>9490.677966</v>
      </c>
      <c r="X435" s="74">
        <f t="shared" si="10"/>
        <v>1</v>
      </c>
      <c r="Y435" s="73">
        <f t="shared" si="333"/>
        <v>0</v>
      </c>
      <c r="Z435" s="73">
        <f t="shared" si="12"/>
        <v>9965.389831</v>
      </c>
      <c r="AA435" s="73">
        <f t="shared" si="13"/>
        <v>9965.389831</v>
      </c>
      <c r="AB435" s="74">
        <f t="shared" si="14"/>
        <v>1</v>
      </c>
      <c r="AC435" s="61" t="str">
        <f t="shared" si="15"/>
        <v>6</v>
      </c>
      <c r="AD435" s="71" t="str">
        <f t="shared" si="16"/>
        <v>#DIV/0!</v>
      </c>
      <c r="AE435" s="73">
        <f t="shared" ref="AE435:AE437" si="350">Q435/118%-Y435</f>
        <v>10321.29661</v>
      </c>
      <c r="AF435" s="74">
        <f t="shared" ref="AF435:AF437" si="351">AE435/(Q435/1.18)</f>
        <v>1</v>
      </c>
      <c r="AG435" s="71">
        <f t="array" ref="AG435">IFERROR(xlookup(G435,'Old Master'!T:T,'Old Master'!V:V),N435)</f>
        <v>0.16</v>
      </c>
      <c r="AH435" s="73">
        <f t="shared" si="229"/>
        <v>11759.16</v>
      </c>
      <c r="AI435" s="73">
        <f t="shared" si="230"/>
        <v>9965.389831</v>
      </c>
      <c r="AJ435" s="72">
        <f t="shared" si="19"/>
        <v>1</v>
      </c>
      <c r="AK435" s="61"/>
      <c r="AL435" s="71">
        <f t="array" ref="AL435">iferror(if(isblank(xlookup($G435,'Old Master'!$T:$T,'Old Master'!$W:$W)),AG435,xlookup($G435,'Old Master'!$T:$T,'Old Master'!$W:$W)),AG435)</f>
        <v>0.16</v>
      </c>
      <c r="AM435" s="74">
        <f t="shared" si="20"/>
        <v>0.1571540824</v>
      </c>
      <c r="AN435" s="73">
        <f t="shared" si="345"/>
        <v>11799</v>
      </c>
    </row>
    <row r="436">
      <c r="A436" s="65" t="s">
        <v>905</v>
      </c>
      <c r="B436" s="65">
        <f t="shared" si="1"/>
        <v>48</v>
      </c>
      <c r="C436" s="65" t="str">
        <f t="shared" si="248"/>
        <v>SC-HYB-LATEX-D-84x50x6</v>
      </c>
      <c r="D436" s="65" t="s">
        <v>907</v>
      </c>
      <c r="E436" s="65">
        <v>0.0</v>
      </c>
      <c r="F436" s="65" t="s">
        <v>908</v>
      </c>
      <c r="G436" s="65" t="s">
        <v>5108</v>
      </c>
      <c r="H436" s="65" t="s">
        <v>52</v>
      </c>
      <c r="I436" s="65">
        <v>16999.0</v>
      </c>
      <c r="J436" s="66">
        <v>0.25</v>
      </c>
      <c r="K436" s="65">
        <f t="shared" si="3"/>
        <v>12749</v>
      </c>
      <c r="L436" s="66">
        <v>0.2</v>
      </c>
      <c r="M436" s="65">
        <f t="shared" si="4"/>
        <v>13599</v>
      </c>
      <c r="N436" s="75">
        <v>0.16</v>
      </c>
      <c r="O436" s="68">
        <f t="shared" si="346"/>
        <v>14279.16</v>
      </c>
      <c r="P436" s="75">
        <v>0.13</v>
      </c>
      <c r="Q436" s="68">
        <f t="shared" si="347"/>
        <v>14789.13</v>
      </c>
      <c r="R436" s="71">
        <f t="shared" si="348"/>
        <v>0.08751599382</v>
      </c>
      <c r="S436" s="71">
        <f t="shared" si="349"/>
        <v>0.05001544231</v>
      </c>
      <c r="T436" s="72">
        <f t="shared" si="6"/>
        <v>0</v>
      </c>
      <c r="U436" s="73" t="str">
        <f t="shared" si="339"/>
        <v/>
      </c>
      <c r="V436" s="73">
        <f t="shared" si="340"/>
        <v>11524.57627</v>
      </c>
      <c r="W436" s="73">
        <f t="shared" si="9"/>
        <v>11524.57627</v>
      </c>
      <c r="X436" s="74">
        <f t="shared" si="10"/>
        <v>1</v>
      </c>
      <c r="Y436" s="73">
        <f t="shared" si="333"/>
        <v>0</v>
      </c>
      <c r="Z436" s="73">
        <f t="shared" si="12"/>
        <v>12100.98305</v>
      </c>
      <c r="AA436" s="73">
        <f t="shared" si="13"/>
        <v>12100.98305</v>
      </c>
      <c r="AB436" s="74">
        <f t="shared" si="14"/>
        <v>1</v>
      </c>
      <c r="AC436" s="61" t="str">
        <f t="shared" si="15"/>
        <v>6</v>
      </c>
      <c r="AD436" s="71" t="str">
        <f t="shared" si="16"/>
        <v>#DIV/0!</v>
      </c>
      <c r="AE436" s="73">
        <f t="shared" si="350"/>
        <v>12533.16102</v>
      </c>
      <c r="AF436" s="74">
        <f t="shared" si="351"/>
        <v>1</v>
      </c>
      <c r="AG436" s="71">
        <f t="array" ref="AG436">IFERROR(xlookup(G436,'Old Master'!T:T,'Old Master'!V:V),N436)</f>
        <v>0.16</v>
      </c>
      <c r="AH436" s="73">
        <f t="shared" si="229"/>
        <v>14279.16</v>
      </c>
      <c r="AI436" s="73">
        <f t="shared" si="230"/>
        <v>12100.98305</v>
      </c>
      <c r="AJ436" s="72">
        <f t="shared" si="19"/>
        <v>1</v>
      </c>
      <c r="AK436" s="61"/>
      <c r="AL436" s="71">
        <f t="array" ref="AL436">iferror(if(isblank(xlookup($G436,'Old Master'!$T:$T,'Old Master'!$W:$W)),AG436,xlookup($G436,'Old Master'!$T:$T,'Old Master'!$W:$W)),AG436)</f>
        <v>0.16</v>
      </c>
      <c r="AM436" s="74">
        <f t="shared" si="20"/>
        <v>0.1588328725</v>
      </c>
      <c r="AN436" s="73">
        <f t="shared" si="345"/>
        <v>14299</v>
      </c>
    </row>
    <row r="437">
      <c r="A437" s="65" t="s">
        <v>976</v>
      </c>
      <c r="B437" s="65">
        <f t="shared" si="1"/>
        <v>66</v>
      </c>
      <c r="C437" s="65" t="str">
        <f t="shared" si="248"/>
        <v>SC-HYB-LATEX-Q-84x68x6</v>
      </c>
      <c r="D437" s="65">
        <v>0.0</v>
      </c>
      <c r="E437" s="65">
        <v>0.0</v>
      </c>
      <c r="F437" s="65" t="s">
        <v>979</v>
      </c>
      <c r="G437" s="65" t="s">
        <v>5108</v>
      </c>
      <c r="H437" s="65" t="s">
        <v>52</v>
      </c>
      <c r="I437" s="65">
        <v>23999.0</v>
      </c>
      <c r="J437" s="66">
        <v>0.0</v>
      </c>
      <c r="K437" s="65">
        <f t="shared" si="3"/>
        <v>23999</v>
      </c>
      <c r="L437" s="66">
        <v>0.2</v>
      </c>
      <c r="M437" s="65">
        <f t="shared" si="4"/>
        <v>19199</v>
      </c>
      <c r="N437" s="75">
        <v>0.16</v>
      </c>
      <c r="O437" s="68">
        <f t="shared" si="346"/>
        <v>20159.16</v>
      </c>
      <c r="P437" s="75">
        <v>0.13</v>
      </c>
      <c r="Q437" s="68">
        <f t="shared" si="347"/>
        <v>20879.13</v>
      </c>
      <c r="R437" s="71">
        <f t="shared" si="348"/>
        <v>0.08751132872</v>
      </c>
      <c r="S437" s="71">
        <f t="shared" si="349"/>
        <v>0.05001093807</v>
      </c>
      <c r="T437" s="72">
        <f t="shared" si="6"/>
        <v>0</v>
      </c>
      <c r="U437" s="73">
        <f t="array" ref="U437">IFERROR(XLOOKUP(A437,COGS!I:I,COGS!J:J), IFERROR(XLOOKUP(C437,COGS!I:I,COGS!J:J),I437*35%))</f>
        <v>8399.65</v>
      </c>
      <c r="V437" s="73">
        <f t="shared" si="340"/>
        <v>16270.33898</v>
      </c>
      <c r="W437" s="73">
        <f t="shared" si="9"/>
        <v>7870.688983</v>
      </c>
      <c r="X437" s="74">
        <f t="shared" si="10"/>
        <v>0.4837446221</v>
      </c>
      <c r="Y437" s="73">
        <f t="shared" si="333"/>
        <v>9659.5975</v>
      </c>
      <c r="Z437" s="73">
        <f t="shared" si="12"/>
        <v>17084.0339</v>
      </c>
      <c r="AA437" s="73">
        <f t="shared" si="13"/>
        <v>7424.436398</v>
      </c>
      <c r="AB437" s="74">
        <f t="shared" si="14"/>
        <v>0.4345833333</v>
      </c>
      <c r="AC437" s="61" t="str">
        <f t="shared" si="15"/>
        <v>6</v>
      </c>
      <c r="AD437" s="71">
        <f t="shared" si="16"/>
        <v>0.15</v>
      </c>
      <c r="AE437" s="73">
        <f t="shared" si="350"/>
        <v>8034.580466</v>
      </c>
      <c r="AF437" s="74">
        <f t="shared" si="351"/>
        <v>0.4540804598</v>
      </c>
      <c r="AG437" s="71">
        <f t="array" ref="AG437">IFERROR(xlookup(G437,'Old Master'!T:T,'Old Master'!V:V),N437)</f>
        <v>0.16</v>
      </c>
      <c r="AH437" s="73">
        <f t="shared" si="229"/>
        <v>20159.16</v>
      </c>
      <c r="AI437" s="73">
        <f t="shared" si="230"/>
        <v>7424.436398</v>
      </c>
      <c r="AJ437" s="72">
        <f t="shared" si="19"/>
        <v>0.4345833333</v>
      </c>
      <c r="AK437" s="61"/>
      <c r="AL437" s="71">
        <f t="array" ref="AL437">iferror(if(isblank(xlookup($G437,'Old Master'!$T:$T,'Old Master'!$W:$W)),AG437,xlookup($G437,'Old Master'!$T:$T,'Old Master'!$W:$W)),AG437)</f>
        <v>0.16</v>
      </c>
      <c r="AM437" s="74">
        <f t="shared" si="20"/>
        <v>0.1583399308</v>
      </c>
      <c r="AN437" s="73">
        <f t="shared" si="345"/>
        <v>20199</v>
      </c>
    </row>
    <row r="438">
      <c r="A438" s="65" t="s">
        <v>3373</v>
      </c>
      <c r="B438" s="65" t="str">
        <f t="shared" si="1"/>
        <v>#VALUE!</v>
      </c>
      <c r="C438" s="65" t="str">
        <f t="shared" si="248"/>
        <v>#VALUE!</v>
      </c>
      <c r="D438" s="65" t="s">
        <v>3375</v>
      </c>
      <c r="E438" s="65" t="s">
        <v>3376</v>
      </c>
      <c r="F438" s="65" t="s">
        <v>3377</v>
      </c>
      <c r="G438" s="65" t="s">
        <v>5086</v>
      </c>
      <c r="H438" s="65" t="s">
        <v>4730</v>
      </c>
      <c r="I438" s="65">
        <v>2189.0</v>
      </c>
      <c r="J438" s="66">
        <v>0.1</v>
      </c>
      <c r="K438" s="65">
        <f t="shared" si="3"/>
        <v>1970</v>
      </c>
      <c r="L438" s="66">
        <v>0.1</v>
      </c>
      <c r="M438" s="65">
        <f t="shared" si="4"/>
        <v>1970</v>
      </c>
      <c r="N438" s="67">
        <f t="shared" ref="N438:N587" si="352">1-O438/I438</f>
        <v>0.08679762449</v>
      </c>
      <c r="O438" s="78">
        <v>1999.0</v>
      </c>
      <c r="P438" s="67">
        <f t="shared" ref="P438:P443" si="353">1-Q438/I438</f>
        <v>0.08679762449</v>
      </c>
      <c r="Q438" s="79">
        <v>1999.0</v>
      </c>
      <c r="R438" s="70"/>
      <c r="S438" s="71">
        <f t="shared" ref="S438:S443" si="354">O438/K438-1</f>
        <v>0.01472081218</v>
      </c>
      <c r="T438" s="72">
        <f t="shared" si="6"/>
        <v>0</v>
      </c>
      <c r="U438" s="73" t="str">
        <f t="shared" ref="U438:U478" si="355">IFERROR(XLOOKUP(A438,COGS!I:I,COGS!J:J), IFERROR(XLOOKUP(C438,COGS!I:I,COGS!J:J),""))</f>
        <v/>
      </c>
      <c r="V438" s="73">
        <f t="shared" si="340"/>
        <v>1669.491525</v>
      </c>
      <c r="W438" s="73">
        <f t="shared" si="9"/>
        <v>1669.491525</v>
      </c>
      <c r="X438" s="74">
        <f t="shared" si="10"/>
        <v>1</v>
      </c>
      <c r="Y438" s="73">
        <f t="shared" si="333"/>
        <v>0</v>
      </c>
      <c r="Z438" s="73">
        <f t="shared" si="12"/>
        <v>1694.067797</v>
      </c>
      <c r="AA438" s="73">
        <f t="shared" si="13"/>
        <v>1694.067797</v>
      </c>
      <c r="AB438" s="74">
        <f t="shared" si="14"/>
        <v>1</v>
      </c>
      <c r="AC438" s="61" t="str">
        <f t="shared" si="15"/>
        <v>2</v>
      </c>
      <c r="AD438" s="71" t="str">
        <f t="shared" si="16"/>
        <v>#DIV/0!</v>
      </c>
      <c r="AE438" s="61"/>
      <c r="AF438" s="61"/>
      <c r="AG438" s="71">
        <f t="array" ref="AG438">IFERROR(xlookup(G438,'Old Master'!T:T,'Old Master'!V:V),N438)</f>
        <v>0.08679762449</v>
      </c>
      <c r="AH438" s="73">
        <f t="shared" si="229"/>
        <v>1999</v>
      </c>
      <c r="AI438" s="73">
        <f t="shared" si="230"/>
        <v>1694.067797</v>
      </c>
      <c r="AJ438" s="72">
        <f t="shared" si="19"/>
        <v>1</v>
      </c>
      <c r="AK438" s="61"/>
      <c r="AL438" s="71">
        <f t="array" ref="AL438">iferror(if(isblank(xlookup($G438,'Old Master'!$T:$T,'Old Master'!$W:$W)),AG438,xlookup($G438,'Old Master'!$T:$T,'Old Master'!$W:$W)),AG438)</f>
        <v>0.08679762449</v>
      </c>
      <c r="AM438" s="74">
        <f t="shared" si="20"/>
        <v>0.08679762449</v>
      </c>
      <c r="AN438" s="73">
        <f t="shared" si="345"/>
        <v>1999</v>
      </c>
    </row>
    <row r="439">
      <c r="A439" s="65" t="s">
        <v>3235</v>
      </c>
      <c r="B439" s="65" t="str">
        <f t="shared" si="1"/>
        <v>#VALUE!</v>
      </c>
      <c r="C439" s="65" t="str">
        <f t="shared" si="248"/>
        <v>#VALUE!</v>
      </c>
      <c r="D439" s="65" t="s">
        <v>3237</v>
      </c>
      <c r="E439" s="65" t="s">
        <v>3238</v>
      </c>
      <c r="F439" s="65" t="s">
        <v>3239</v>
      </c>
      <c r="G439" s="65" t="s">
        <v>5086</v>
      </c>
      <c r="H439" s="65" t="s">
        <v>4730</v>
      </c>
      <c r="I439" s="65">
        <v>1889.0</v>
      </c>
      <c r="J439" s="66">
        <v>0.1</v>
      </c>
      <c r="K439" s="65">
        <f t="shared" si="3"/>
        <v>1700</v>
      </c>
      <c r="L439" s="66">
        <v>0.1</v>
      </c>
      <c r="M439" s="65">
        <f t="shared" si="4"/>
        <v>1700</v>
      </c>
      <c r="N439" s="67">
        <f t="shared" si="352"/>
        <v>0.1005823187</v>
      </c>
      <c r="O439" s="78">
        <v>1699.0</v>
      </c>
      <c r="P439" s="67">
        <f t="shared" si="353"/>
        <v>0.1005823187</v>
      </c>
      <c r="Q439" s="79">
        <v>1699.0</v>
      </c>
      <c r="R439" s="70"/>
      <c r="S439" s="71">
        <f t="shared" si="354"/>
        <v>-0.0005882352941</v>
      </c>
      <c r="T439" s="72">
        <f t="shared" si="6"/>
        <v>0</v>
      </c>
      <c r="U439" s="73" t="str">
        <f t="shared" si="355"/>
        <v/>
      </c>
      <c r="V439" s="73">
        <f t="shared" si="340"/>
        <v>1440.677966</v>
      </c>
      <c r="W439" s="73">
        <f t="shared" si="9"/>
        <v>1440.677966</v>
      </c>
      <c r="X439" s="74">
        <f t="shared" si="10"/>
        <v>1</v>
      </c>
      <c r="Y439" s="73">
        <f t="shared" si="333"/>
        <v>0</v>
      </c>
      <c r="Z439" s="73">
        <f t="shared" si="12"/>
        <v>1439.830508</v>
      </c>
      <c r="AA439" s="73">
        <f t="shared" si="13"/>
        <v>1439.830508</v>
      </c>
      <c r="AB439" s="74">
        <f t="shared" si="14"/>
        <v>1</v>
      </c>
      <c r="AC439" s="61" t="str">
        <f t="shared" si="15"/>
        <v>8</v>
      </c>
      <c r="AD439" s="71" t="str">
        <f t="shared" si="16"/>
        <v>#DIV/0!</v>
      </c>
      <c r="AE439" s="61"/>
      <c r="AF439" s="61"/>
      <c r="AG439" s="71">
        <f t="array" ref="AG439">IFERROR(xlookup(G439,'Old Master'!T:T,'Old Master'!V:V),N439)</f>
        <v>0.1005823187</v>
      </c>
      <c r="AH439" s="73">
        <f t="shared" si="229"/>
        <v>1699</v>
      </c>
      <c r="AI439" s="73">
        <f t="shared" si="230"/>
        <v>1439.830508</v>
      </c>
      <c r="AJ439" s="72">
        <f t="shared" si="19"/>
        <v>1</v>
      </c>
      <c r="AK439" s="61"/>
      <c r="AL439" s="71">
        <f t="array" ref="AL439">iferror(if(isblank(xlookup($G439,'Old Master'!$T:$T,'Old Master'!$W:$W)),AG439,xlookup($G439,'Old Master'!$T:$T,'Old Master'!$W:$W)),AG439)</f>
        <v>0.1005823187</v>
      </c>
      <c r="AM439" s="74">
        <f t="shared" si="20"/>
        <v>0.1005823187</v>
      </c>
      <c r="AN439" s="73">
        <f t="shared" si="345"/>
        <v>1699</v>
      </c>
    </row>
    <row r="440">
      <c r="A440" s="65" t="s">
        <v>3307</v>
      </c>
      <c r="B440" s="65" t="str">
        <f t="shared" si="1"/>
        <v>#VALUE!</v>
      </c>
      <c r="C440" s="65" t="str">
        <f t="shared" si="248"/>
        <v>#VALUE!</v>
      </c>
      <c r="D440" s="65" t="s">
        <v>3309</v>
      </c>
      <c r="E440" s="65" t="s">
        <v>3310</v>
      </c>
      <c r="F440" s="65" t="s">
        <v>3311</v>
      </c>
      <c r="G440" s="65" t="s">
        <v>5086</v>
      </c>
      <c r="H440" s="65" t="s">
        <v>4730</v>
      </c>
      <c r="I440" s="65">
        <v>1989.0</v>
      </c>
      <c r="J440" s="66">
        <v>0.1</v>
      </c>
      <c r="K440" s="65">
        <f t="shared" si="3"/>
        <v>1790</v>
      </c>
      <c r="L440" s="66">
        <v>0.1</v>
      </c>
      <c r="M440" s="65">
        <f t="shared" si="4"/>
        <v>1790</v>
      </c>
      <c r="N440" s="67">
        <f t="shared" si="352"/>
        <v>0.09552538964</v>
      </c>
      <c r="O440" s="78">
        <v>1799.0</v>
      </c>
      <c r="P440" s="67">
        <f t="shared" si="353"/>
        <v>0.09552538964</v>
      </c>
      <c r="Q440" s="79">
        <v>1799.0</v>
      </c>
      <c r="R440" s="70"/>
      <c r="S440" s="71">
        <f t="shared" si="354"/>
        <v>0.005027932961</v>
      </c>
      <c r="T440" s="72">
        <f t="shared" si="6"/>
        <v>0</v>
      </c>
      <c r="U440" s="73" t="str">
        <f t="shared" si="355"/>
        <v/>
      </c>
      <c r="V440" s="73">
        <f t="shared" si="340"/>
        <v>1516.949153</v>
      </c>
      <c r="W440" s="73">
        <f t="shared" si="9"/>
        <v>1516.949153</v>
      </c>
      <c r="X440" s="74">
        <f t="shared" si="10"/>
        <v>1</v>
      </c>
      <c r="Y440" s="73">
        <f t="shared" si="333"/>
        <v>0</v>
      </c>
      <c r="Z440" s="73">
        <f t="shared" si="12"/>
        <v>1524.576271</v>
      </c>
      <c r="AA440" s="73">
        <f t="shared" si="13"/>
        <v>1524.576271</v>
      </c>
      <c r="AB440" s="74">
        <f t="shared" si="14"/>
        <v>1</v>
      </c>
      <c r="AC440" s="61" t="str">
        <f t="shared" si="15"/>
        <v>0</v>
      </c>
      <c r="AD440" s="71" t="str">
        <f t="shared" si="16"/>
        <v>#DIV/0!</v>
      </c>
      <c r="AE440" s="61"/>
      <c r="AF440" s="61"/>
      <c r="AG440" s="71">
        <f t="array" ref="AG440">IFERROR(xlookup(G440,'Old Master'!T:T,'Old Master'!V:V),N440)</f>
        <v>0.09552538964</v>
      </c>
      <c r="AH440" s="73">
        <f t="shared" si="229"/>
        <v>1799</v>
      </c>
      <c r="AI440" s="73">
        <f t="shared" si="230"/>
        <v>1524.576271</v>
      </c>
      <c r="AJ440" s="72">
        <f t="shared" si="19"/>
        <v>1</v>
      </c>
      <c r="AK440" s="61"/>
      <c r="AL440" s="71">
        <f t="array" ref="AL440">iferror(if(isblank(xlookup($G440,'Old Master'!$T:$T,'Old Master'!$W:$W)),AG440,xlookup($G440,'Old Master'!$T:$T,'Old Master'!$W:$W)),AG440)</f>
        <v>0.09552538964</v>
      </c>
      <c r="AM440" s="74">
        <f t="shared" si="20"/>
        <v>0.09552538964</v>
      </c>
      <c r="AN440" s="73">
        <f t="shared" si="345"/>
        <v>1799</v>
      </c>
    </row>
    <row r="441">
      <c r="A441" s="65" t="s">
        <v>3289</v>
      </c>
      <c r="B441" s="65" t="str">
        <f t="shared" si="1"/>
        <v>#VALUE!</v>
      </c>
      <c r="C441" s="65" t="str">
        <f t="shared" si="248"/>
        <v>#VALUE!</v>
      </c>
      <c r="D441" s="65" t="s">
        <v>3291</v>
      </c>
      <c r="E441" s="65" t="s">
        <v>3292</v>
      </c>
      <c r="F441" s="65" t="s">
        <v>3293</v>
      </c>
      <c r="G441" s="65" t="s">
        <v>5086</v>
      </c>
      <c r="H441" s="65" t="s">
        <v>4730</v>
      </c>
      <c r="I441" s="65">
        <v>1989.0</v>
      </c>
      <c r="J441" s="66">
        <v>0.1</v>
      </c>
      <c r="K441" s="65">
        <f t="shared" si="3"/>
        <v>1790</v>
      </c>
      <c r="L441" s="66">
        <v>0.1</v>
      </c>
      <c r="M441" s="65">
        <f t="shared" si="4"/>
        <v>1790</v>
      </c>
      <c r="N441" s="67">
        <f t="shared" si="352"/>
        <v>0.09552538964</v>
      </c>
      <c r="O441" s="78">
        <v>1799.0</v>
      </c>
      <c r="P441" s="67">
        <f t="shared" si="353"/>
        <v>0.09552538964</v>
      </c>
      <c r="Q441" s="79">
        <v>1799.0</v>
      </c>
      <c r="R441" s="70"/>
      <c r="S441" s="71">
        <f t="shared" si="354"/>
        <v>0.005027932961</v>
      </c>
      <c r="T441" s="72">
        <f t="shared" si="6"/>
        <v>0</v>
      </c>
      <c r="U441" s="73" t="str">
        <f t="shared" si="355"/>
        <v/>
      </c>
      <c r="V441" s="73">
        <f t="shared" si="340"/>
        <v>1516.949153</v>
      </c>
      <c r="W441" s="73">
        <f t="shared" si="9"/>
        <v>1516.949153</v>
      </c>
      <c r="X441" s="74">
        <f t="shared" si="10"/>
        <v>1</v>
      </c>
      <c r="Y441" s="73">
        <f t="shared" si="333"/>
        <v>0</v>
      </c>
      <c r="Z441" s="73">
        <f t="shared" si="12"/>
        <v>1524.576271</v>
      </c>
      <c r="AA441" s="73">
        <f t="shared" si="13"/>
        <v>1524.576271</v>
      </c>
      <c r="AB441" s="74">
        <f t="shared" si="14"/>
        <v>1</v>
      </c>
      <c r="AC441" s="61" t="str">
        <f t="shared" si="15"/>
        <v>0</v>
      </c>
      <c r="AD441" s="71" t="str">
        <f t="shared" si="16"/>
        <v>#DIV/0!</v>
      </c>
      <c r="AE441" s="61"/>
      <c r="AF441" s="61"/>
      <c r="AG441" s="71">
        <f t="array" ref="AG441">IFERROR(xlookup(G441,'Old Master'!T:T,'Old Master'!V:V),N441)</f>
        <v>0.09552538964</v>
      </c>
      <c r="AH441" s="73">
        <f t="shared" si="229"/>
        <v>1799</v>
      </c>
      <c r="AI441" s="73">
        <f t="shared" si="230"/>
        <v>1524.576271</v>
      </c>
      <c r="AJ441" s="72">
        <f t="shared" si="19"/>
        <v>1</v>
      </c>
      <c r="AK441" s="61"/>
      <c r="AL441" s="71">
        <f t="array" ref="AL441">iferror(if(isblank(xlookup($G441,'Old Master'!$T:$T,'Old Master'!$W:$W)),AG441,xlookup($G441,'Old Master'!$T:$T,'Old Master'!$W:$W)),AG441)</f>
        <v>0.09552538964</v>
      </c>
      <c r="AM441" s="74">
        <f t="shared" si="20"/>
        <v>0.09552538964</v>
      </c>
      <c r="AN441" s="73">
        <f t="shared" si="345"/>
        <v>1799</v>
      </c>
    </row>
    <row r="442">
      <c r="A442" s="65" t="s">
        <v>5383</v>
      </c>
      <c r="B442" s="65" t="str">
        <f t="shared" si="1"/>
        <v>#VALUE!</v>
      </c>
      <c r="C442" s="65" t="str">
        <f t="shared" si="248"/>
        <v>#VALUE!</v>
      </c>
      <c r="D442" s="65" t="s">
        <v>3189</v>
      </c>
      <c r="E442" s="65" t="s">
        <v>3187</v>
      </c>
      <c r="F442" s="65" t="s">
        <v>3190</v>
      </c>
      <c r="G442" s="65" t="s">
        <v>5121</v>
      </c>
      <c r="H442" s="65" t="s">
        <v>4730</v>
      </c>
      <c r="I442" s="65">
        <v>2889.0</v>
      </c>
      <c r="J442" s="66">
        <v>0.15</v>
      </c>
      <c r="K442" s="65">
        <f t="shared" si="3"/>
        <v>2456</v>
      </c>
      <c r="L442" s="66">
        <v>0.15</v>
      </c>
      <c r="M442" s="65">
        <f t="shared" si="4"/>
        <v>2456</v>
      </c>
      <c r="N442" s="67">
        <f t="shared" si="352"/>
        <v>0.1349948079</v>
      </c>
      <c r="O442" s="78">
        <v>2499.0</v>
      </c>
      <c r="P442" s="67">
        <f t="shared" si="353"/>
        <v>0.1349948079</v>
      </c>
      <c r="Q442" s="79">
        <v>2499.0</v>
      </c>
      <c r="R442" s="70"/>
      <c r="S442" s="71">
        <f t="shared" si="354"/>
        <v>0.01750814332</v>
      </c>
      <c r="T442" s="72">
        <f t="shared" si="6"/>
        <v>0</v>
      </c>
      <c r="U442" s="73" t="str">
        <f t="shared" si="355"/>
        <v/>
      </c>
      <c r="V442" s="73">
        <f t="shared" si="340"/>
        <v>2081.355932</v>
      </c>
      <c r="W442" s="73">
        <f t="shared" si="9"/>
        <v>2081.355932</v>
      </c>
      <c r="X442" s="74">
        <f t="shared" si="10"/>
        <v>1</v>
      </c>
      <c r="Y442" s="73">
        <f t="shared" si="333"/>
        <v>0</v>
      </c>
      <c r="Z442" s="73">
        <f t="shared" si="12"/>
        <v>2117.79661</v>
      </c>
      <c r="AA442" s="73">
        <f t="shared" si="13"/>
        <v>2117.79661</v>
      </c>
      <c r="AB442" s="74">
        <f t="shared" si="14"/>
        <v>1</v>
      </c>
      <c r="AC442" s="61" t="str">
        <f t="shared" si="15"/>
        <v>9</v>
      </c>
      <c r="AD442" s="71" t="str">
        <f t="shared" si="16"/>
        <v>#DIV/0!</v>
      </c>
      <c r="AE442" s="61"/>
      <c r="AF442" s="61"/>
      <c r="AG442" s="71">
        <f t="array" ref="AG442">IFERROR(xlookup(G442,'Old Master'!T:T,'Old Master'!V:V),N442)</f>
        <v>0.1349948079</v>
      </c>
      <c r="AH442" s="73">
        <f t="shared" si="229"/>
        <v>2499</v>
      </c>
      <c r="AI442" s="73">
        <f t="shared" si="230"/>
        <v>2117.79661</v>
      </c>
      <c r="AJ442" s="72">
        <f t="shared" si="19"/>
        <v>1</v>
      </c>
      <c r="AK442" s="61"/>
      <c r="AL442" s="71">
        <f t="array" ref="AL442">iferror(if(isblank(xlookup($G442,'Old Master'!$T:$T,'Old Master'!$W:$W)),AG442,xlookup($G442,'Old Master'!$T:$T,'Old Master'!$W:$W)),AG442)</f>
        <v>0.1349948079</v>
      </c>
      <c r="AM442" s="74">
        <f t="shared" si="20"/>
        <v>0.1349948079</v>
      </c>
      <c r="AN442" s="73">
        <f t="shared" si="345"/>
        <v>2499</v>
      </c>
    </row>
    <row r="443">
      <c r="A443" s="65" t="s">
        <v>5384</v>
      </c>
      <c r="B443" s="65" t="str">
        <f t="shared" si="1"/>
        <v>#VALUE!</v>
      </c>
      <c r="C443" s="65" t="str">
        <f t="shared" si="248"/>
        <v>#VALUE!</v>
      </c>
      <c r="D443" s="65" t="s">
        <v>3195</v>
      </c>
      <c r="E443" s="65" t="s">
        <v>3193</v>
      </c>
      <c r="F443" s="65" t="s">
        <v>3196</v>
      </c>
      <c r="G443" s="65" t="s">
        <v>5121</v>
      </c>
      <c r="H443" s="65" t="s">
        <v>4730</v>
      </c>
      <c r="I443" s="65">
        <v>2889.0</v>
      </c>
      <c r="J443" s="66">
        <v>0.15</v>
      </c>
      <c r="K443" s="65">
        <f t="shared" si="3"/>
        <v>2456</v>
      </c>
      <c r="L443" s="66">
        <v>0.15</v>
      </c>
      <c r="M443" s="65">
        <f t="shared" si="4"/>
        <v>2456</v>
      </c>
      <c r="N443" s="67">
        <f t="shared" si="352"/>
        <v>0.1349948079</v>
      </c>
      <c r="O443" s="78">
        <v>2499.0</v>
      </c>
      <c r="P443" s="67">
        <f t="shared" si="353"/>
        <v>0.1349948079</v>
      </c>
      <c r="Q443" s="79">
        <v>2499.0</v>
      </c>
      <c r="R443" s="70"/>
      <c r="S443" s="71">
        <f t="shared" si="354"/>
        <v>0.01750814332</v>
      </c>
      <c r="T443" s="72">
        <f t="shared" si="6"/>
        <v>0</v>
      </c>
      <c r="U443" s="73" t="str">
        <f t="shared" si="355"/>
        <v/>
      </c>
      <c r="V443" s="73">
        <f t="shared" si="340"/>
        <v>2081.355932</v>
      </c>
      <c r="W443" s="73">
        <f t="shared" si="9"/>
        <v>2081.355932</v>
      </c>
      <c r="X443" s="74">
        <f t="shared" si="10"/>
        <v>1</v>
      </c>
      <c r="Y443" s="73">
        <f t="shared" si="333"/>
        <v>0</v>
      </c>
      <c r="Z443" s="73">
        <f t="shared" si="12"/>
        <v>2117.79661</v>
      </c>
      <c r="AA443" s="73">
        <f t="shared" si="13"/>
        <v>2117.79661</v>
      </c>
      <c r="AB443" s="74">
        <f t="shared" si="14"/>
        <v>1</v>
      </c>
      <c r="AC443" s="61" t="str">
        <f t="shared" si="15"/>
        <v>9</v>
      </c>
      <c r="AD443" s="71" t="str">
        <f t="shared" si="16"/>
        <v>#DIV/0!</v>
      </c>
      <c r="AE443" s="61"/>
      <c r="AF443" s="61"/>
      <c r="AG443" s="71">
        <f t="array" ref="AG443">IFERROR(xlookup(G443,'Old Master'!T:T,'Old Master'!V:V),N443)</f>
        <v>0.1349948079</v>
      </c>
      <c r="AH443" s="73">
        <f t="shared" si="229"/>
        <v>2499</v>
      </c>
      <c r="AI443" s="73">
        <f t="shared" si="230"/>
        <v>2117.79661</v>
      </c>
      <c r="AJ443" s="72">
        <f t="shared" si="19"/>
        <v>1</v>
      </c>
      <c r="AK443" s="61"/>
      <c r="AL443" s="71">
        <f t="array" ref="AL443">iferror(if(isblank(xlookup($G443,'Old Master'!$T:$T,'Old Master'!$W:$W)),AG443,xlookup($G443,'Old Master'!$T:$T,'Old Master'!$W:$W)),AG443)</f>
        <v>0.1349948079</v>
      </c>
      <c r="AM443" s="74">
        <f t="shared" si="20"/>
        <v>0.1349948079</v>
      </c>
      <c r="AN443" s="73">
        <f t="shared" si="345"/>
        <v>2499</v>
      </c>
    </row>
    <row r="444">
      <c r="A444" s="65" t="s">
        <v>5385</v>
      </c>
      <c r="B444" s="65">
        <f t="shared" si="1"/>
        <v>42</v>
      </c>
      <c r="C444" s="65" t="str">
        <f t="shared" si="248"/>
        <v>SC-LTx-ORTHO-D-72x44x5</v>
      </c>
      <c r="D444" s="65" t="s">
        <v>4254</v>
      </c>
      <c r="E444" s="65">
        <v>0.0</v>
      </c>
      <c r="F444" s="65" t="s">
        <v>4255</v>
      </c>
      <c r="G444" s="65" t="s">
        <v>5118</v>
      </c>
      <c r="H444" s="65" t="s">
        <v>52</v>
      </c>
      <c r="I444" s="81">
        <v>13099.0</v>
      </c>
      <c r="J444" s="66">
        <v>0.23</v>
      </c>
      <c r="K444" s="81">
        <f t="shared" si="3"/>
        <v>10086</v>
      </c>
      <c r="L444" s="66">
        <v>0.2</v>
      </c>
      <c r="M444" s="81">
        <f t="shared" si="4"/>
        <v>10479</v>
      </c>
      <c r="N444" s="67">
        <f t="shared" si="352"/>
        <v>0.3267348653</v>
      </c>
      <c r="O444" s="68">
        <v>8819.1</v>
      </c>
      <c r="P444" s="75">
        <v>0.1</v>
      </c>
      <c r="Q444" s="68">
        <f t="shared" ref="Q444:Q459" si="356">I444*(1-P444)</f>
        <v>11789.1</v>
      </c>
      <c r="R444" s="70"/>
      <c r="S444" s="71">
        <f t="shared" ref="S444:S459" si="357">O444/M444-1</f>
        <v>-0.1584025193</v>
      </c>
      <c r="T444" s="72">
        <f t="shared" si="6"/>
        <v>0</v>
      </c>
      <c r="U444" s="73" t="str">
        <f t="shared" si="355"/>
        <v/>
      </c>
      <c r="V444" s="73">
        <f t="shared" si="340"/>
        <v>8880.508475</v>
      </c>
      <c r="W444" s="73">
        <f t="shared" si="9"/>
        <v>8880.508475</v>
      </c>
      <c r="X444" s="74">
        <f t="shared" si="10"/>
        <v>1</v>
      </c>
      <c r="Y444" s="73">
        <f t="shared" si="333"/>
        <v>0</v>
      </c>
      <c r="Z444" s="73">
        <f t="shared" si="12"/>
        <v>7473.813559</v>
      </c>
      <c r="AA444" s="73">
        <f t="shared" si="13"/>
        <v>7473.813559</v>
      </c>
      <c r="AB444" s="74">
        <f t="shared" si="14"/>
        <v>1</v>
      </c>
      <c r="AC444" s="61" t="str">
        <f t="shared" si="15"/>
        <v>5</v>
      </c>
      <c r="AD444" s="71" t="str">
        <f t="shared" si="16"/>
        <v>#DIV/0!</v>
      </c>
      <c r="AE444" s="61"/>
      <c r="AF444" s="61"/>
      <c r="AG444" s="71">
        <f t="array" ref="AG444">IFERROR(xlookup(G444,'Old Master'!T:T,'Old Master'!V:V),N444)</f>
        <v>0.3267348653</v>
      </c>
      <c r="AH444" s="73">
        <f t="shared" si="229"/>
        <v>8819.1</v>
      </c>
      <c r="AI444" s="73">
        <f t="shared" si="230"/>
        <v>7473.813559</v>
      </c>
      <c r="AJ444" s="72">
        <f t="shared" si="19"/>
        <v>1</v>
      </c>
      <c r="AK444" s="61"/>
      <c r="AL444" s="71">
        <f t="array" ref="AL444">iferror(if(isblank(xlookup($G444,'Old Master'!$T:$T,'Old Master'!$W:$W)),AG444,xlookup($G444,'Old Master'!$T:$T,'Old Master'!$W:$W)),AG444)</f>
        <v>0.3267348653</v>
      </c>
      <c r="AM444" s="74">
        <f t="shared" si="20"/>
        <v>0.3282693335</v>
      </c>
      <c r="AN444" s="73">
        <f t="shared" si="345"/>
        <v>8799</v>
      </c>
    </row>
    <row r="445">
      <c r="A445" s="65" t="s">
        <v>5386</v>
      </c>
      <c r="B445" s="65">
        <f t="shared" si="1"/>
        <v>42</v>
      </c>
      <c r="C445" s="65" t="str">
        <f t="shared" si="248"/>
        <v>SC-LTx-ORTHO-D-72x44x6</v>
      </c>
      <c r="D445" s="65" t="s">
        <v>4042</v>
      </c>
      <c r="E445" s="65">
        <v>0.0</v>
      </c>
      <c r="F445" s="65" t="s">
        <v>4043</v>
      </c>
      <c r="G445" s="65" t="s">
        <v>5118</v>
      </c>
      <c r="H445" s="65" t="s">
        <v>52</v>
      </c>
      <c r="I445" s="81">
        <v>14299.0</v>
      </c>
      <c r="J445" s="66">
        <v>0.23</v>
      </c>
      <c r="K445" s="81">
        <f t="shared" si="3"/>
        <v>11010</v>
      </c>
      <c r="L445" s="66">
        <v>0.2</v>
      </c>
      <c r="M445" s="81">
        <f t="shared" si="4"/>
        <v>11439</v>
      </c>
      <c r="N445" s="67">
        <f t="shared" si="352"/>
        <v>0.326589272</v>
      </c>
      <c r="O445" s="68">
        <v>9629.1</v>
      </c>
      <c r="P445" s="75">
        <v>0.1</v>
      </c>
      <c r="Q445" s="68">
        <f t="shared" si="356"/>
        <v>12869.1</v>
      </c>
      <c r="R445" s="70"/>
      <c r="S445" s="71">
        <f t="shared" si="357"/>
        <v>-0.1582218725</v>
      </c>
      <c r="T445" s="72">
        <f t="shared" si="6"/>
        <v>0</v>
      </c>
      <c r="U445" s="73" t="str">
        <f t="shared" si="355"/>
        <v/>
      </c>
      <c r="V445" s="73">
        <f t="shared" si="340"/>
        <v>9694.067797</v>
      </c>
      <c r="W445" s="73">
        <f t="shared" si="9"/>
        <v>9694.067797</v>
      </c>
      <c r="X445" s="74">
        <f t="shared" si="10"/>
        <v>1</v>
      </c>
      <c r="Y445" s="73">
        <f t="shared" si="333"/>
        <v>0</v>
      </c>
      <c r="Z445" s="73">
        <f t="shared" si="12"/>
        <v>8160.254237</v>
      </c>
      <c r="AA445" s="73">
        <f t="shared" si="13"/>
        <v>8160.254237</v>
      </c>
      <c r="AB445" s="74">
        <f t="shared" si="14"/>
        <v>1</v>
      </c>
      <c r="AC445" s="61" t="str">
        <f t="shared" si="15"/>
        <v>6</v>
      </c>
      <c r="AD445" s="71" t="str">
        <f t="shared" si="16"/>
        <v>#DIV/0!</v>
      </c>
      <c r="AE445" s="61"/>
      <c r="AF445" s="61"/>
      <c r="AG445" s="71">
        <f t="array" ref="AG445">IFERROR(xlookup(G445,'Old Master'!T:T,'Old Master'!V:V),N445)</f>
        <v>0.326589272</v>
      </c>
      <c r="AH445" s="73">
        <f t="shared" si="229"/>
        <v>9629.1</v>
      </c>
      <c r="AI445" s="73">
        <f t="shared" si="230"/>
        <v>8160.254237</v>
      </c>
      <c r="AJ445" s="72">
        <f t="shared" si="19"/>
        <v>1</v>
      </c>
      <c r="AK445" s="61"/>
      <c r="AL445" s="71">
        <f t="array" ref="AL445">iferror(if(isblank(xlookup($G445,'Old Master'!$T:$T,'Old Master'!$W:$W)),AG445,xlookup($G445,'Old Master'!$T:$T,'Old Master'!$W:$W)),AG445)</f>
        <v>0.326589272</v>
      </c>
      <c r="AM445" s="74">
        <f t="shared" si="20"/>
        <v>0.3286943143</v>
      </c>
      <c r="AN445" s="73">
        <f t="shared" si="345"/>
        <v>9599</v>
      </c>
    </row>
    <row r="446">
      <c r="A446" s="65" t="s">
        <v>5387</v>
      </c>
      <c r="B446" s="65">
        <f t="shared" si="1"/>
        <v>48</v>
      </c>
      <c r="C446" s="65" t="str">
        <f t="shared" si="248"/>
        <v>SC-LTx-ORTHO-D-75x50x8</v>
      </c>
      <c r="D446" s="65" t="s">
        <v>4078</v>
      </c>
      <c r="E446" s="65">
        <v>0.0</v>
      </c>
      <c r="F446" s="65" t="s">
        <v>4079</v>
      </c>
      <c r="G446" s="65" t="s">
        <v>5118</v>
      </c>
      <c r="H446" s="65" t="s">
        <v>52</v>
      </c>
      <c r="I446" s="81">
        <v>19199.0</v>
      </c>
      <c r="J446" s="66">
        <v>0.23</v>
      </c>
      <c r="K446" s="81">
        <f t="shared" si="3"/>
        <v>14783</v>
      </c>
      <c r="L446" s="66">
        <v>0.2</v>
      </c>
      <c r="M446" s="81">
        <f t="shared" si="4"/>
        <v>15359</v>
      </c>
      <c r="N446" s="67">
        <f t="shared" si="352"/>
        <v>0.3250117194</v>
      </c>
      <c r="O446" s="68">
        <v>12959.1</v>
      </c>
      <c r="P446" s="75">
        <v>0.1</v>
      </c>
      <c r="Q446" s="68">
        <f t="shared" si="356"/>
        <v>17279.1</v>
      </c>
      <c r="R446" s="70"/>
      <c r="S446" s="71">
        <f t="shared" si="357"/>
        <v>-0.1562536623</v>
      </c>
      <c r="T446" s="72">
        <f t="shared" si="6"/>
        <v>0</v>
      </c>
      <c r="U446" s="73" t="str">
        <f t="shared" si="355"/>
        <v/>
      </c>
      <c r="V446" s="73">
        <f t="shared" si="340"/>
        <v>13016.10169</v>
      </c>
      <c r="W446" s="73">
        <f t="shared" si="9"/>
        <v>13016.10169</v>
      </c>
      <c r="X446" s="74">
        <f t="shared" si="10"/>
        <v>1</v>
      </c>
      <c r="Y446" s="73">
        <f t="shared" si="333"/>
        <v>0</v>
      </c>
      <c r="Z446" s="73">
        <f t="shared" si="12"/>
        <v>10982.28814</v>
      </c>
      <c r="AA446" s="73">
        <f t="shared" si="13"/>
        <v>10982.28814</v>
      </c>
      <c r="AB446" s="74">
        <f t="shared" si="14"/>
        <v>1</v>
      </c>
      <c r="AC446" s="61" t="str">
        <f t="shared" si="15"/>
        <v>8</v>
      </c>
      <c r="AD446" s="71" t="str">
        <f t="shared" si="16"/>
        <v>#DIV/0!</v>
      </c>
      <c r="AE446" s="61"/>
      <c r="AF446" s="61"/>
      <c r="AG446" s="71">
        <f t="array" ref="AG446">IFERROR(xlookup(G446,'Old Master'!T:T,'Old Master'!V:V),N446)</f>
        <v>0.3250117194</v>
      </c>
      <c r="AH446" s="73">
        <f t="shared" si="229"/>
        <v>12959.1</v>
      </c>
      <c r="AI446" s="73">
        <f t="shared" si="230"/>
        <v>10982.28814</v>
      </c>
      <c r="AJ446" s="72">
        <f t="shared" si="19"/>
        <v>1</v>
      </c>
      <c r="AK446" s="61"/>
      <c r="AL446" s="71">
        <f t="array" ref="AL446">iferror(if(isblank(xlookup($G446,'Old Master'!$T:$T,'Old Master'!$W:$W)),AG446,xlookup($G446,'Old Master'!$T:$T,'Old Master'!$W:$W)),AG446)</f>
        <v>0.3250117194</v>
      </c>
      <c r="AM446" s="74">
        <f t="shared" si="20"/>
        <v>0.3229334861</v>
      </c>
      <c r="AN446" s="73">
        <f t="shared" si="345"/>
        <v>12999</v>
      </c>
    </row>
    <row r="447">
      <c r="A447" s="65" t="s">
        <v>5388</v>
      </c>
      <c r="B447" s="65">
        <f t="shared" si="1"/>
        <v>42</v>
      </c>
      <c r="C447" s="65" t="str">
        <f t="shared" si="248"/>
        <v>SC-LTx-ORTHO-D-78x44x5</v>
      </c>
      <c r="D447" s="65" t="s">
        <v>4264</v>
      </c>
      <c r="E447" s="65">
        <v>0.0</v>
      </c>
      <c r="F447" s="65" t="s">
        <v>4265</v>
      </c>
      <c r="G447" s="65" t="s">
        <v>5118</v>
      </c>
      <c r="H447" s="65" t="s">
        <v>52</v>
      </c>
      <c r="I447" s="81">
        <v>13699.0</v>
      </c>
      <c r="J447" s="66">
        <v>0.23</v>
      </c>
      <c r="K447" s="81">
        <f t="shared" si="3"/>
        <v>10548</v>
      </c>
      <c r="L447" s="66">
        <v>0.2</v>
      </c>
      <c r="M447" s="81">
        <f t="shared" si="4"/>
        <v>10959</v>
      </c>
      <c r="N447" s="67">
        <f t="shared" si="352"/>
        <v>0.3233739689</v>
      </c>
      <c r="O447" s="68">
        <v>9269.1</v>
      </c>
      <c r="P447" s="75">
        <v>0.1</v>
      </c>
      <c r="Q447" s="68">
        <f t="shared" si="356"/>
        <v>12329.1</v>
      </c>
      <c r="R447" s="70"/>
      <c r="S447" s="71">
        <f t="shared" si="357"/>
        <v>-0.1542020257</v>
      </c>
      <c r="T447" s="72">
        <f t="shared" si="6"/>
        <v>0</v>
      </c>
      <c r="U447" s="73" t="str">
        <f t="shared" si="355"/>
        <v/>
      </c>
      <c r="V447" s="73">
        <f t="shared" si="340"/>
        <v>9287.288136</v>
      </c>
      <c r="W447" s="73">
        <f t="shared" si="9"/>
        <v>9287.288136</v>
      </c>
      <c r="X447" s="74">
        <f t="shared" si="10"/>
        <v>1</v>
      </c>
      <c r="Y447" s="73">
        <f t="shared" si="333"/>
        <v>0</v>
      </c>
      <c r="Z447" s="73">
        <f t="shared" si="12"/>
        <v>7855.169492</v>
      </c>
      <c r="AA447" s="73">
        <f t="shared" si="13"/>
        <v>7855.169492</v>
      </c>
      <c r="AB447" s="74">
        <f t="shared" si="14"/>
        <v>1</v>
      </c>
      <c r="AC447" s="61" t="str">
        <f t="shared" si="15"/>
        <v>5</v>
      </c>
      <c r="AD447" s="71" t="str">
        <f t="shared" si="16"/>
        <v>#DIV/0!</v>
      </c>
      <c r="AE447" s="61"/>
      <c r="AF447" s="61"/>
      <c r="AG447" s="71">
        <f t="array" ref="AG447">IFERROR(xlookup(G447,'Old Master'!T:T,'Old Master'!V:V),N447)</f>
        <v>0.3233739689</v>
      </c>
      <c r="AH447" s="73">
        <f t="shared" si="229"/>
        <v>9269.1</v>
      </c>
      <c r="AI447" s="73">
        <f t="shared" si="230"/>
        <v>7855.169492</v>
      </c>
      <c r="AJ447" s="72">
        <f t="shared" si="19"/>
        <v>1</v>
      </c>
      <c r="AK447" s="61"/>
      <c r="AL447" s="71">
        <f t="array" ref="AL447">iferror(if(isblank(xlookup($G447,'Old Master'!$T:$T,'Old Master'!$W:$W)),AG447,xlookup($G447,'Old Master'!$T:$T,'Old Master'!$W:$W)),AG447)</f>
        <v>0.3233739689</v>
      </c>
      <c r="AM447" s="74">
        <f t="shared" si="20"/>
        <v>0.3211913278</v>
      </c>
      <c r="AN447" s="73">
        <f t="shared" si="345"/>
        <v>9299</v>
      </c>
    </row>
    <row r="448">
      <c r="A448" s="65" t="s">
        <v>5389</v>
      </c>
      <c r="B448" s="65">
        <f t="shared" si="1"/>
        <v>42</v>
      </c>
      <c r="C448" s="65" t="str">
        <f t="shared" si="248"/>
        <v>SC-LTx-ORTHO-D-78x44x8</v>
      </c>
      <c r="D448" s="65" t="s">
        <v>4067</v>
      </c>
      <c r="E448" s="65">
        <v>0.0</v>
      </c>
      <c r="F448" s="65" t="s">
        <v>4068</v>
      </c>
      <c r="G448" s="65" t="s">
        <v>5118</v>
      </c>
      <c r="H448" s="65" t="s">
        <v>52</v>
      </c>
      <c r="I448" s="81">
        <v>17599.0</v>
      </c>
      <c r="J448" s="66">
        <v>0.23</v>
      </c>
      <c r="K448" s="81">
        <f t="shared" si="3"/>
        <v>13551</v>
      </c>
      <c r="L448" s="66">
        <v>0.2</v>
      </c>
      <c r="M448" s="81">
        <f t="shared" si="4"/>
        <v>14079</v>
      </c>
      <c r="N448" s="67">
        <f t="shared" si="352"/>
        <v>0.3250127848</v>
      </c>
      <c r="O448" s="68">
        <v>11879.1</v>
      </c>
      <c r="P448" s="75">
        <v>0.1</v>
      </c>
      <c r="Q448" s="68">
        <f t="shared" si="356"/>
        <v>15839.1</v>
      </c>
      <c r="R448" s="70"/>
      <c r="S448" s="71">
        <f t="shared" si="357"/>
        <v>-0.1562539953</v>
      </c>
      <c r="T448" s="72">
        <f t="shared" si="6"/>
        <v>0</v>
      </c>
      <c r="U448" s="73" t="str">
        <f t="shared" si="355"/>
        <v/>
      </c>
      <c r="V448" s="73">
        <f t="shared" si="340"/>
        <v>11931.35593</v>
      </c>
      <c r="W448" s="73">
        <f t="shared" si="9"/>
        <v>11931.35593</v>
      </c>
      <c r="X448" s="74">
        <f t="shared" si="10"/>
        <v>1</v>
      </c>
      <c r="Y448" s="73">
        <f t="shared" si="333"/>
        <v>0</v>
      </c>
      <c r="Z448" s="73">
        <f t="shared" si="12"/>
        <v>10067.0339</v>
      </c>
      <c r="AA448" s="73">
        <f t="shared" si="13"/>
        <v>10067.0339</v>
      </c>
      <c r="AB448" s="74">
        <f t="shared" si="14"/>
        <v>1</v>
      </c>
      <c r="AC448" s="61" t="str">
        <f t="shared" si="15"/>
        <v>8</v>
      </c>
      <c r="AD448" s="71" t="str">
        <f t="shared" si="16"/>
        <v>#DIV/0!</v>
      </c>
      <c r="AE448" s="61"/>
      <c r="AF448" s="61"/>
      <c r="AG448" s="71">
        <f t="array" ref="AG448">IFERROR(xlookup(G448,'Old Master'!T:T,'Old Master'!V:V),N448)</f>
        <v>0.3250127848</v>
      </c>
      <c r="AH448" s="73">
        <f t="shared" si="229"/>
        <v>11879.1</v>
      </c>
      <c r="AI448" s="73">
        <f t="shared" si="230"/>
        <v>10067.0339</v>
      </c>
      <c r="AJ448" s="72">
        <f t="shared" si="19"/>
        <v>1</v>
      </c>
      <c r="AK448" s="61"/>
      <c r="AL448" s="71">
        <f t="array" ref="AL448">iferror(if(isblank(xlookup($G448,'Old Master'!$T:$T,'Old Master'!$W:$W)),AG448,xlookup($G448,'Old Master'!$T:$T,'Old Master'!$W:$W)),AG448)</f>
        <v>0.3250127848</v>
      </c>
      <c r="AM448" s="74">
        <f t="shared" si="20"/>
        <v>0.3238820388</v>
      </c>
      <c r="AN448" s="73">
        <f t="shared" si="345"/>
        <v>11899</v>
      </c>
    </row>
    <row r="449">
      <c r="A449" s="65" t="s">
        <v>5390</v>
      </c>
      <c r="B449" s="65">
        <f t="shared" si="1"/>
        <v>48</v>
      </c>
      <c r="C449" s="65" t="str">
        <f t="shared" si="248"/>
        <v>SC-LTx-ORTHO-D-78x50x5</v>
      </c>
      <c r="D449" s="65" t="s">
        <v>4281</v>
      </c>
      <c r="E449" s="65">
        <v>0.0</v>
      </c>
      <c r="F449" s="65" t="s">
        <v>4282</v>
      </c>
      <c r="G449" s="65" t="s">
        <v>5118</v>
      </c>
      <c r="H449" s="65" t="s">
        <v>52</v>
      </c>
      <c r="I449" s="81">
        <v>15299.0</v>
      </c>
      <c r="J449" s="66">
        <v>0.23</v>
      </c>
      <c r="K449" s="81">
        <f t="shared" si="3"/>
        <v>11780</v>
      </c>
      <c r="L449" s="66">
        <v>0.2</v>
      </c>
      <c r="M449" s="81">
        <f t="shared" si="4"/>
        <v>12239</v>
      </c>
      <c r="N449" s="67">
        <f t="shared" si="352"/>
        <v>0.3235440225</v>
      </c>
      <c r="O449" s="68">
        <v>10349.1</v>
      </c>
      <c r="P449" s="75">
        <v>0.1</v>
      </c>
      <c r="Q449" s="68">
        <f t="shared" si="356"/>
        <v>13769.1</v>
      </c>
      <c r="R449" s="70"/>
      <c r="S449" s="71">
        <f t="shared" si="357"/>
        <v>-0.1544162105</v>
      </c>
      <c r="T449" s="72">
        <f t="shared" si="6"/>
        <v>0</v>
      </c>
      <c r="U449" s="73" t="str">
        <f t="shared" si="355"/>
        <v/>
      </c>
      <c r="V449" s="73">
        <f t="shared" si="340"/>
        <v>10372.0339</v>
      </c>
      <c r="W449" s="73">
        <f t="shared" si="9"/>
        <v>10372.0339</v>
      </c>
      <c r="X449" s="74">
        <f t="shared" si="10"/>
        <v>1</v>
      </c>
      <c r="Y449" s="73">
        <f t="shared" si="333"/>
        <v>0</v>
      </c>
      <c r="Z449" s="73">
        <f t="shared" si="12"/>
        <v>8770.423729</v>
      </c>
      <c r="AA449" s="73">
        <f t="shared" si="13"/>
        <v>8770.423729</v>
      </c>
      <c r="AB449" s="74">
        <f t="shared" si="14"/>
        <v>1</v>
      </c>
      <c r="AC449" s="61" t="str">
        <f t="shared" si="15"/>
        <v>5</v>
      </c>
      <c r="AD449" s="71" t="str">
        <f t="shared" si="16"/>
        <v>#DIV/0!</v>
      </c>
      <c r="AE449" s="61"/>
      <c r="AF449" s="61"/>
      <c r="AG449" s="71">
        <f t="array" ref="AG449">IFERROR(xlookup(G449,'Old Master'!T:T,'Old Master'!V:V),N449)</f>
        <v>0.3235440225</v>
      </c>
      <c r="AH449" s="73">
        <f t="shared" si="229"/>
        <v>10349.1</v>
      </c>
      <c r="AI449" s="73">
        <f t="shared" si="230"/>
        <v>8770.423729</v>
      </c>
      <c r="AJ449" s="72">
        <f t="shared" si="19"/>
        <v>1</v>
      </c>
      <c r="AK449" s="61"/>
      <c r="AL449" s="71">
        <f t="array" ref="AL449">iferror(if(isblank(xlookup($G449,'Old Master'!$T:$T,'Old Master'!$W:$W)),AG449,xlookup($G449,'Old Master'!$T:$T,'Old Master'!$W:$W)),AG449)</f>
        <v>0.3235440225</v>
      </c>
      <c r="AM449" s="74">
        <f t="shared" si="20"/>
        <v>0.3268187463</v>
      </c>
      <c r="AN449" s="73">
        <f t="shared" si="345"/>
        <v>10299</v>
      </c>
    </row>
    <row r="450">
      <c r="A450" s="65" t="s">
        <v>5391</v>
      </c>
      <c r="B450" s="65">
        <f t="shared" si="1"/>
        <v>48</v>
      </c>
      <c r="C450" s="65" t="str">
        <f t="shared" si="248"/>
        <v>SC-LTx-ORTHO-D-84x50x6</v>
      </c>
      <c r="D450" s="65" t="s">
        <v>4111</v>
      </c>
      <c r="E450" s="65">
        <v>0.0</v>
      </c>
      <c r="F450" s="65" t="s">
        <v>4112</v>
      </c>
      <c r="G450" s="65" t="s">
        <v>5118</v>
      </c>
      <c r="H450" s="65" t="s">
        <v>52</v>
      </c>
      <c r="I450" s="81">
        <v>20699.0</v>
      </c>
      <c r="J450" s="66">
        <v>0.23</v>
      </c>
      <c r="K450" s="81">
        <f t="shared" si="3"/>
        <v>15938</v>
      </c>
      <c r="L450" s="66">
        <v>0.2</v>
      </c>
      <c r="M450" s="81">
        <f t="shared" si="4"/>
        <v>16559</v>
      </c>
      <c r="N450" s="67">
        <f t="shared" si="352"/>
        <v>0.3260978791</v>
      </c>
      <c r="O450" s="68">
        <v>13949.1</v>
      </c>
      <c r="P450" s="75">
        <v>0.1</v>
      </c>
      <c r="Q450" s="68">
        <f t="shared" si="356"/>
        <v>18629.1</v>
      </c>
      <c r="R450" s="70"/>
      <c r="S450" s="71">
        <f t="shared" si="357"/>
        <v>-0.1576121746</v>
      </c>
      <c r="T450" s="72">
        <f t="shared" si="6"/>
        <v>0</v>
      </c>
      <c r="U450" s="73" t="str">
        <f t="shared" si="355"/>
        <v/>
      </c>
      <c r="V450" s="73">
        <f t="shared" si="340"/>
        <v>14033.05085</v>
      </c>
      <c r="W450" s="73">
        <f t="shared" si="9"/>
        <v>14033.05085</v>
      </c>
      <c r="X450" s="74">
        <f t="shared" si="10"/>
        <v>1</v>
      </c>
      <c r="Y450" s="73">
        <f t="shared" si="333"/>
        <v>0</v>
      </c>
      <c r="Z450" s="73">
        <f t="shared" si="12"/>
        <v>11821.27119</v>
      </c>
      <c r="AA450" s="73">
        <f t="shared" si="13"/>
        <v>11821.27119</v>
      </c>
      <c r="AB450" s="74">
        <f t="shared" si="14"/>
        <v>1</v>
      </c>
      <c r="AC450" s="61" t="str">
        <f t="shared" si="15"/>
        <v>6</v>
      </c>
      <c r="AD450" s="71" t="str">
        <f t="shared" si="16"/>
        <v>#DIV/0!</v>
      </c>
      <c r="AE450" s="61"/>
      <c r="AF450" s="61"/>
      <c r="AG450" s="71">
        <f t="array" ref="AG450">IFERROR(xlookup(G450,'Old Master'!T:T,'Old Master'!V:V),N450)</f>
        <v>0.3260978791</v>
      </c>
      <c r="AH450" s="73">
        <f t="shared" si="229"/>
        <v>13949.1</v>
      </c>
      <c r="AI450" s="73">
        <f t="shared" si="230"/>
        <v>11821.27119</v>
      </c>
      <c r="AJ450" s="72">
        <f t="shared" si="19"/>
        <v>1</v>
      </c>
      <c r="AK450" s="61"/>
      <c r="AL450" s="71">
        <f t="array" ref="AL450">iferror(if(isblank(xlookup($G450,'Old Master'!$T:$T,'Old Master'!$W:$W)),AG450,xlookup($G450,'Old Master'!$T:$T,'Old Master'!$W:$W)),AG450)</f>
        <v>0.3260978791</v>
      </c>
      <c r="AM450" s="74">
        <f t="shared" si="20"/>
        <v>0.3285182859</v>
      </c>
      <c r="AN450" s="73">
        <f t="shared" si="345"/>
        <v>13899</v>
      </c>
    </row>
    <row r="451">
      <c r="A451" s="65" t="s">
        <v>5392</v>
      </c>
      <c r="B451" s="65">
        <f t="shared" si="1"/>
        <v>72</v>
      </c>
      <c r="C451" s="65" t="str">
        <f t="shared" si="248"/>
        <v>SC-LTx-ORTHO-K-84x74x5</v>
      </c>
      <c r="D451" s="65" t="s">
        <v>4350</v>
      </c>
      <c r="E451" s="65">
        <v>0.0</v>
      </c>
      <c r="F451" s="65" t="s">
        <v>4351</v>
      </c>
      <c r="G451" s="65" t="s">
        <v>5118</v>
      </c>
      <c r="H451" s="65" t="s">
        <v>52</v>
      </c>
      <c r="I451" s="81">
        <v>22499.0</v>
      </c>
      <c r="J451" s="66">
        <v>0.23</v>
      </c>
      <c r="K451" s="81">
        <f t="shared" si="3"/>
        <v>17324</v>
      </c>
      <c r="L451" s="66">
        <v>0.2</v>
      </c>
      <c r="M451" s="81">
        <f t="shared" si="4"/>
        <v>17999</v>
      </c>
      <c r="N451" s="67">
        <f t="shared" si="352"/>
        <v>0.324009956</v>
      </c>
      <c r="O451" s="68">
        <v>15209.1</v>
      </c>
      <c r="P451" s="75">
        <v>0.1</v>
      </c>
      <c r="Q451" s="68">
        <f t="shared" si="356"/>
        <v>20249.1</v>
      </c>
      <c r="R451" s="70"/>
      <c r="S451" s="71">
        <f t="shared" si="357"/>
        <v>-0.1550030557</v>
      </c>
      <c r="T451" s="72">
        <f t="shared" si="6"/>
        <v>0</v>
      </c>
      <c r="U451" s="73" t="str">
        <f t="shared" si="355"/>
        <v/>
      </c>
      <c r="V451" s="73">
        <f t="shared" si="340"/>
        <v>15253.38983</v>
      </c>
      <c r="W451" s="73">
        <f t="shared" si="9"/>
        <v>15253.38983</v>
      </c>
      <c r="X451" s="74">
        <f t="shared" si="10"/>
        <v>1</v>
      </c>
      <c r="Y451" s="73">
        <f t="shared" si="333"/>
        <v>0</v>
      </c>
      <c r="Z451" s="73">
        <f t="shared" si="12"/>
        <v>12889.0678</v>
      </c>
      <c r="AA451" s="73">
        <f t="shared" si="13"/>
        <v>12889.0678</v>
      </c>
      <c r="AB451" s="74">
        <f t="shared" si="14"/>
        <v>1</v>
      </c>
      <c r="AC451" s="61" t="str">
        <f t="shared" si="15"/>
        <v>5</v>
      </c>
      <c r="AD451" s="71" t="str">
        <f t="shared" si="16"/>
        <v>#DIV/0!</v>
      </c>
      <c r="AE451" s="61"/>
      <c r="AF451" s="61"/>
      <c r="AG451" s="71">
        <f t="array" ref="AG451">IFERROR(xlookup(G451,'Old Master'!T:T,'Old Master'!V:V),N451)</f>
        <v>0.324009956</v>
      </c>
      <c r="AH451" s="73">
        <f t="shared" si="229"/>
        <v>15209.1</v>
      </c>
      <c r="AI451" s="73">
        <f t="shared" si="230"/>
        <v>12889.0678</v>
      </c>
      <c r="AJ451" s="72">
        <f t="shared" si="19"/>
        <v>1</v>
      </c>
      <c r="AK451" s="61"/>
      <c r="AL451" s="71">
        <f t="array" ref="AL451">iferror(if(isblank(xlookup($G451,'Old Master'!$T:$T,'Old Master'!$W:$W)),AG451,xlookup($G451,'Old Master'!$T:$T,'Old Master'!$W:$W)),AG451)</f>
        <v>0.324009956</v>
      </c>
      <c r="AM451" s="74">
        <f t="shared" si="20"/>
        <v>0.3244588648</v>
      </c>
      <c r="AN451" s="73">
        <f t="shared" si="345"/>
        <v>15199</v>
      </c>
    </row>
    <row r="452">
      <c r="A452" s="65" t="s">
        <v>5393</v>
      </c>
      <c r="B452" s="65">
        <f t="shared" si="1"/>
        <v>78</v>
      </c>
      <c r="C452" s="65" t="str">
        <f t="shared" si="248"/>
        <v>SC-LTx-ORTHO-K-84x80x5</v>
      </c>
      <c r="D452" s="65" t="s">
        <v>4356</v>
      </c>
      <c r="E452" s="65">
        <v>0.0</v>
      </c>
      <c r="F452" s="65" t="s">
        <v>4357</v>
      </c>
      <c r="G452" s="65" t="s">
        <v>5118</v>
      </c>
      <c r="H452" s="65" t="s">
        <v>52</v>
      </c>
      <c r="I452" s="81">
        <v>23699.0</v>
      </c>
      <c r="J452" s="66">
        <v>0.23</v>
      </c>
      <c r="K452" s="81">
        <f t="shared" si="3"/>
        <v>18248</v>
      </c>
      <c r="L452" s="66">
        <v>0.2</v>
      </c>
      <c r="M452" s="81">
        <f t="shared" si="4"/>
        <v>18959</v>
      </c>
      <c r="N452" s="67">
        <f t="shared" si="352"/>
        <v>0.3240600869</v>
      </c>
      <c r="O452" s="68">
        <v>16019.1</v>
      </c>
      <c r="P452" s="75">
        <v>0.1</v>
      </c>
      <c r="Q452" s="68">
        <f t="shared" si="356"/>
        <v>21329.1</v>
      </c>
      <c r="R452" s="70"/>
      <c r="S452" s="71">
        <f t="shared" si="357"/>
        <v>-0.1550661955</v>
      </c>
      <c r="T452" s="72">
        <f t="shared" si="6"/>
        <v>0</v>
      </c>
      <c r="U452" s="73" t="str">
        <f t="shared" si="355"/>
        <v/>
      </c>
      <c r="V452" s="73">
        <f t="shared" si="340"/>
        <v>16066.94915</v>
      </c>
      <c r="W452" s="73">
        <f t="shared" si="9"/>
        <v>16066.94915</v>
      </c>
      <c r="X452" s="74">
        <f t="shared" si="10"/>
        <v>1</v>
      </c>
      <c r="Y452" s="73">
        <f t="shared" si="333"/>
        <v>0</v>
      </c>
      <c r="Z452" s="73">
        <f t="shared" si="12"/>
        <v>13575.50847</v>
      </c>
      <c r="AA452" s="73">
        <f t="shared" si="13"/>
        <v>13575.50847</v>
      </c>
      <c r="AB452" s="74">
        <f t="shared" si="14"/>
        <v>1</v>
      </c>
      <c r="AC452" s="61" t="str">
        <f t="shared" si="15"/>
        <v>5</v>
      </c>
      <c r="AD452" s="71" t="str">
        <f t="shared" si="16"/>
        <v>#DIV/0!</v>
      </c>
      <c r="AE452" s="61"/>
      <c r="AF452" s="61"/>
      <c r="AG452" s="71">
        <f t="array" ref="AG452">IFERROR(xlookup(G452,'Old Master'!T:T,'Old Master'!V:V),N452)</f>
        <v>0.3240600869</v>
      </c>
      <c r="AH452" s="73">
        <f t="shared" si="229"/>
        <v>16019.1</v>
      </c>
      <c r="AI452" s="73">
        <f t="shared" si="230"/>
        <v>13575.50847</v>
      </c>
      <c r="AJ452" s="72">
        <f t="shared" si="19"/>
        <v>1</v>
      </c>
      <c r="AK452" s="61"/>
      <c r="AL452" s="71">
        <f t="array" ref="AL452">iferror(if(isblank(xlookup($G452,'Old Master'!$T:$T,'Old Master'!$W:$W)),AG452,xlookup($G452,'Old Master'!$T:$T,'Old Master'!$W:$W)),AG452)</f>
        <v>0.3240600869</v>
      </c>
      <c r="AM452" s="74">
        <f t="shared" si="20"/>
        <v>0.324908224</v>
      </c>
      <c r="AN452" s="73">
        <f t="shared" si="345"/>
        <v>15999</v>
      </c>
    </row>
    <row r="453">
      <c r="A453" s="65" t="s">
        <v>5394</v>
      </c>
      <c r="B453" s="65">
        <f t="shared" si="1"/>
        <v>66</v>
      </c>
      <c r="C453" s="65" t="str">
        <f t="shared" si="248"/>
        <v>SC-LTx-ORTHO-Q-72x68x5</v>
      </c>
      <c r="D453" s="65" t="s">
        <v>4310</v>
      </c>
      <c r="E453" s="65">
        <v>0.0</v>
      </c>
      <c r="F453" s="65" t="s">
        <v>4311</v>
      </c>
      <c r="G453" s="65" t="s">
        <v>5118</v>
      </c>
      <c r="H453" s="65" t="s">
        <v>52</v>
      </c>
      <c r="I453" s="81">
        <v>19899.0</v>
      </c>
      <c r="J453" s="66">
        <v>0.23</v>
      </c>
      <c r="K453" s="81">
        <f t="shared" si="3"/>
        <v>15322</v>
      </c>
      <c r="L453" s="66">
        <v>0.2</v>
      </c>
      <c r="M453" s="81">
        <f t="shared" si="4"/>
        <v>15919</v>
      </c>
      <c r="N453" s="67">
        <f t="shared" si="352"/>
        <v>0.3261420172</v>
      </c>
      <c r="O453" s="68">
        <v>13409.1</v>
      </c>
      <c r="P453" s="75">
        <v>0.1</v>
      </c>
      <c r="Q453" s="68">
        <f t="shared" si="356"/>
        <v>17909.1</v>
      </c>
      <c r="R453" s="70"/>
      <c r="S453" s="71">
        <f t="shared" si="357"/>
        <v>-0.1576669389</v>
      </c>
      <c r="T453" s="72">
        <f t="shared" si="6"/>
        <v>0</v>
      </c>
      <c r="U453" s="73" t="str">
        <f t="shared" si="355"/>
        <v/>
      </c>
      <c r="V453" s="73">
        <f t="shared" si="340"/>
        <v>13490.67797</v>
      </c>
      <c r="W453" s="73">
        <f t="shared" si="9"/>
        <v>13490.67797</v>
      </c>
      <c r="X453" s="74">
        <f t="shared" si="10"/>
        <v>1</v>
      </c>
      <c r="Y453" s="73">
        <f t="shared" si="333"/>
        <v>0</v>
      </c>
      <c r="Z453" s="73">
        <f t="shared" si="12"/>
        <v>11363.64407</v>
      </c>
      <c r="AA453" s="73">
        <f t="shared" si="13"/>
        <v>11363.64407</v>
      </c>
      <c r="AB453" s="74">
        <f t="shared" si="14"/>
        <v>1</v>
      </c>
      <c r="AC453" s="61" t="str">
        <f t="shared" si="15"/>
        <v>5</v>
      </c>
      <c r="AD453" s="71" t="str">
        <f t="shared" si="16"/>
        <v>#DIV/0!</v>
      </c>
      <c r="AE453" s="61"/>
      <c r="AF453" s="61"/>
      <c r="AG453" s="71">
        <f t="array" ref="AG453">IFERROR(xlookup(G453,'Old Master'!T:T,'Old Master'!V:V),N453)</f>
        <v>0.3261420172</v>
      </c>
      <c r="AH453" s="73">
        <f t="shared" si="229"/>
        <v>13409.1</v>
      </c>
      <c r="AI453" s="73">
        <f t="shared" si="230"/>
        <v>11363.64407</v>
      </c>
      <c r="AJ453" s="72">
        <f t="shared" si="19"/>
        <v>1</v>
      </c>
      <c r="AK453" s="61"/>
      <c r="AL453" s="71">
        <f t="array" ref="AL453">iferror(if(isblank(xlookup($G453,'Old Master'!$T:$T,'Old Master'!$W:$W)),AG453,xlookup($G453,'Old Master'!$T:$T,'Old Master'!$W:$W)),AG453)</f>
        <v>0.3261420172</v>
      </c>
      <c r="AM453" s="74">
        <f t="shared" si="20"/>
        <v>0.3266495804</v>
      </c>
      <c r="AN453" s="73">
        <f t="shared" si="345"/>
        <v>13399</v>
      </c>
    </row>
    <row r="454">
      <c r="A454" s="65" t="s">
        <v>5395</v>
      </c>
      <c r="B454" s="65">
        <f t="shared" si="1"/>
        <v>66</v>
      </c>
      <c r="C454" s="65" t="str">
        <f t="shared" si="248"/>
        <v>SC-LTx-ORTHO-Q-72x68x8</v>
      </c>
      <c r="D454" s="65" t="s">
        <v>4180</v>
      </c>
      <c r="E454" s="65">
        <v>0.0</v>
      </c>
      <c r="F454" s="65" t="s">
        <v>4181</v>
      </c>
      <c r="G454" s="65" t="s">
        <v>5118</v>
      </c>
      <c r="H454" s="65" t="s">
        <v>52</v>
      </c>
      <c r="I454" s="81">
        <v>25899.0</v>
      </c>
      <c r="J454" s="66">
        <v>0.23</v>
      </c>
      <c r="K454" s="81">
        <f t="shared" si="3"/>
        <v>19942</v>
      </c>
      <c r="L454" s="66">
        <v>0.2</v>
      </c>
      <c r="M454" s="81">
        <f t="shared" si="4"/>
        <v>20719</v>
      </c>
      <c r="N454" s="67">
        <f t="shared" si="352"/>
        <v>0.325877447</v>
      </c>
      <c r="O454" s="68">
        <v>17459.100000000002</v>
      </c>
      <c r="P454" s="75">
        <v>0.1</v>
      </c>
      <c r="Q454" s="68">
        <f t="shared" si="356"/>
        <v>23309.1</v>
      </c>
      <c r="R454" s="70"/>
      <c r="S454" s="71">
        <f t="shared" si="357"/>
        <v>-0.1573386746</v>
      </c>
      <c r="T454" s="72">
        <f t="shared" si="6"/>
        <v>0</v>
      </c>
      <c r="U454" s="73" t="str">
        <f t="shared" si="355"/>
        <v/>
      </c>
      <c r="V454" s="73">
        <f t="shared" si="340"/>
        <v>17558.47458</v>
      </c>
      <c r="W454" s="73">
        <f t="shared" si="9"/>
        <v>17558.47458</v>
      </c>
      <c r="X454" s="74">
        <f t="shared" si="10"/>
        <v>1</v>
      </c>
      <c r="Y454" s="73">
        <f t="shared" si="333"/>
        <v>0</v>
      </c>
      <c r="Z454" s="73">
        <f t="shared" si="12"/>
        <v>14795.84746</v>
      </c>
      <c r="AA454" s="73">
        <f t="shared" si="13"/>
        <v>14795.84746</v>
      </c>
      <c r="AB454" s="74">
        <f t="shared" si="14"/>
        <v>1</v>
      </c>
      <c r="AC454" s="61" t="str">
        <f t="shared" si="15"/>
        <v>8</v>
      </c>
      <c r="AD454" s="71" t="str">
        <f t="shared" si="16"/>
        <v>#DIV/0!</v>
      </c>
      <c r="AE454" s="61"/>
      <c r="AF454" s="61"/>
      <c r="AG454" s="71">
        <f t="array" ref="AG454">IFERROR(xlookup(G454,'Old Master'!T:T,'Old Master'!V:V),N454)</f>
        <v>0.325877447</v>
      </c>
      <c r="AH454" s="73">
        <f t="shared" si="229"/>
        <v>17459.1</v>
      </c>
      <c r="AI454" s="73">
        <f t="shared" si="230"/>
        <v>14795.84746</v>
      </c>
      <c r="AJ454" s="72">
        <f t="shared" si="19"/>
        <v>1</v>
      </c>
      <c r="AK454" s="61"/>
      <c r="AL454" s="71">
        <f t="array" ref="AL454">iferror(if(isblank(xlookup($G454,'Old Master'!$T:$T,'Old Master'!$W:$W)),AG454,xlookup($G454,'Old Master'!$T:$T,'Old Master'!$W:$W)),AG454)</f>
        <v>0.325877447</v>
      </c>
      <c r="AM454" s="74">
        <f t="shared" si="20"/>
        <v>0.324336847</v>
      </c>
      <c r="AN454" s="73">
        <f t="shared" si="345"/>
        <v>17499</v>
      </c>
    </row>
    <row r="455">
      <c r="A455" s="65" t="s">
        <v>5396</v>
      </c>
      <c r="B455" s="65">
        <f t="shared" si="1"/>
        <v>66</v>
      </c>
      <c r="C455" s="65" t="str">
        <f t="shared" si="248"/>
        <v>SC-LTx-ORTHO-Q-75x68x5</v>
      </c>
      <c r="D455" s="65" t="s">
        <v>4316</v>
      </c>
      <c r="E455" s="65">
        <v>0.0</v>
      </c>
      <c r="F455" s="65" t="s">
        <v>4317</v>
      </c>
      <c r="G455" s="65" t="s">
        <v>5118</v>
      </c>
      <c r="H455" s="65" t="s">
        <v>52</v>
      </c>
      <c r="I455" s="81">
        <v>20399.0</v>
      </c>
      <c r="J455" s="66">
        <v>0.23</v>
      </c>
      <c r="K455" s="81">
        <f t="shared" si="3"/>
        <v>15707</v>
      </c>
      <c r="L455" s="66">
        <v>0.2</v>
      </c>
      <c r="M455" s="81">
        <f t="shared" si="4"/>
        <v>16319</v>
      </c>
      <c r="N455" s="67">
        <f t="shared" si="352"/>
        <v>0.32501103</v>
      </c>
      <c r="O455" s="68">
        <v>13769.1</v>
      </c>
      <c r="P455" s="75">
        <v>0.1</v>
      </c>
      <c r="Q455" s="68">
        <f t="shared" si="356"/>
        <v>18359.1</v>
      </c>
      <c r="R455" s="70"/>
      <c r="S455" s="71">
        <f t="shared" si="357"/>
        <v>-0.1562534469</v>
      </c>
      <c r="T455" s="72">
        <f t="shared" si="6"/>
        <v>0</v>
      </c>
      <c r="U455" s="73" t="str">
        <f t="shared" si="355"/>
        <v/>
      </c>
      <c r="V455" s="73">
        <f t="shared" si="340"/>
        <v>13829.66102</v>
      </c>
      <c r="W455" s="73">
        <f t="shared" si="9"/>
        <v>13829.66102</v>
      </c>
      <c r="X455" s="74">
        <f t="shared" si="10"/>
        <v>1</v>
      </c>
      <c r="Y455" s="73">
        <f t="shared" si="333"/>
        <v>0</v>
      </c>
      <c r="Z455" s="73">
        <f t="shared" si="12"/>
        <v>11668.72881</v>
      </c>
      <c r="AA455" s="73">
        <f t="shared" si="13"/>
        <v>11668.72881</v>
      </c>
      <c r="AB455" s="74">
        <f t="shared" si="14"/>
        <v>1</v>
      </c>
      <c r="AC455" s="61" t="str">
        <f t="shared" si="15"/>
        <v>5</v>
      </c>
      <c r="AD455" s="71" t="str">
        <f t="shared" si="16"/>
        <v>#DIV/0!</v>
      </c>
      <c r="AE455" s="61"/>
      <c r="AF455" s="61"/>
      <c r="AG455" s="71">
        <f t="array" ref="AG455">IFERROR(xlookup(G455,'Old Master'!T:T,'Old Master'!V:V),N455)</f>
        <v>0.32501103</v>
      </c>
      <c r="AH455" s="73">
        <f t="shared" si="229"/>
        <v>13769.1</v>
      </c>
      <c r="AI455" s="73">
        <f t="shared" si="230"/>
        <v>11668.72881</v>
      </c>
      <c r="AJ455" s="72">
        <f t="shared" si="19"/>
        <v>1</v>
      </c>
      <c r="AK455" s="61"/>
      <c r="AL455" s="71">
        <f t="array" ref="AL455">iferror(if(isblank(xlookup($G455,'Old Master'!$T:$T,'Old Master'!$W:$W)),AG455,xlookup($G455,'Old Master'!$T:$T,'Old Master'!$W:$W)),AG455)</f>
        <v>0.32501103</v>
      </c>
      <c r="AM455" s="74">
        <f t="shared" si="20"/>
        <v>0.3235452718</v>
      </c>
      <c r="AN455" s="73">
        <f t="shared" si="345"/>
        <v>13799</v>
      </c>
    </row>
    <row r="456">
      <c r="A456" s="65" t="s">
        <v>5397</v>
      </c>
      <c r="B456" s="65">
        <f t="shared" si="1"/>
        <v>66</v>
      </c>
      <c r="C456" s="65" t="str">
        <f t="shared" si="248"/>
        <v>SC-LTx-ORTHO-Q-75x68x6</v>
      </c>
      <c r="D456" s="65" t="s">
        <v>4168</v>
      </c>
      <c r="E456" s="65">
        <v>0.0</v>
      </c>
      <c r="F456" s="65" t="s">
        <v>4169</v>
      </c>
      <c r="G456" s="65" t="s">
        <v>5118</v>
      </c>
      <c r="H456" s="65" t="s">
        <v>52</v>
      </c>
      <c r="I456" s="81">
        <v>23299.0</v>
      </c>
      <c r="J456" s="66">
        <v>0.23</v>
      </c>
      <c r="K456" s="81">
        <f t="shared" si="3"/>
        <v>17940</v>
      </c>
      <c r="L456" s="66">
        <v>0.2</v>
      </c>
      <c r="M456" s="81">
        <f t="shared" si="4"/>
        <v>18639</v>
      </c>
      <c r="N456" s="67">
        <f t="shared" si="352"/>
        <v>0.3240439504</v>
      </c>
      <c r="O456" s="68">
        <v>15749.1</v>
      </c>
      <c r="P456" s="75">
        <v>0.1</v>
      </c>
      <c r="Q456" s="68">
        <f t="shared" si="356"/>
        <v>20969.1</v>
      </c>
      <c r="R456" s="70"/>
      <c r="S456" s="71">
        <f t="shared" si="357"/>
        <v>-0.1550458716</v>
      </c>
      <c r="T456" s="72">
        <f t="shared" si="6"/>
        <v>0</v>
      </c>
      <c r="U456" s="73" t="str">
        <f t="shared" si="355"/>
        <v/>
      </c>
      <c r="V456" s="73">
        <f t="shared" si="340"/>
        <v>15795.76271</v>
      </c>
      <c r="W456" s="73">
        <f t="shared" si="9"/>
        <v>15795.76271</v>
      </c>
      <c r="X456" s="74">
        <f t="shared" si="10"/>
        <v>1</v>
      </c>
      <c r="Y456" s="73">
        <f t="shared" si="333"/>
        <v>0</v>
      </c>
      <c r="Z456" s="73">
        <f t="shared" si="12"/>
        <v>13346.69492</v>
      </c>
      <c r="AA456" s="73">
        <f t="shared" si="13"/>
        <v>13346.69492</v>
      </c>
      <c r="AB456" s="74">
        <f t="shared" si="14"/>
        <v>1</v>
      </c>
      <c r="AC456" s="61" t="str">
        <f t="shared" si="15"/>
        <v>6</v>
      </c>
      <c r="AD456" s="71" t="str">
        <f t="shared" si="16"/>
        <v>#DIV/0!</v>
      </c>
      <c r="AE456" s="61"/>
      <c r="AF456" s="61"/>
      <c r="AG456" s="71">
        <f t="array" ref="AG456">IFERROR(xlookup(G456,'Old Master'!T:T,'Old Master'!V:V),N456)</f>
        <v>0.3240439504</v>
      </c>
      <c r="AH456" s="73">
        <f t="shared" si="229"/>
        <v>15749.1</v>
      </c>
      <c r="AI456" s="73">
        <f t="shared" si="230"/>
        <v>13346.69492</v>
      </c>
      <c r="AJ456" s="72">
        <f t="shared" si="19"/>
        <v>1</v>
      </c>
      <c r="AK456" s="61"/>
      <c r="AL456" s="71">
        <f t="array" ref="AL456">iferror(if(isblank(xlookup($G456,'Old Master'!$T:$T,'Old Master'!$W:$W)),AG456,xlookup($G456,'Old Master'!$T:$T,'Old Master'!$W:$W)),AG456)</f>
        <v>0.3240439504</v>
      </c>
      <c r="AM456" s="74">
        <f t="shared" si="20"/>
        <v>0.3261942573</v>
      </c>
      <c r="AN456" s="73">
        <f t="shared" si="345"/>
        <v>15699</v>
      </c>
    </row>
    <row r="457">
      <c r="A457" s="65" t="s">
        <v>5398</v>
      </c>
      <c r="B457" s="65">
        <f t="shared" si="1"/>
        <v>66</v>
      </c>
      <c r="C457" s="65" t="str">
        <f t="shared" si="248"/>
        <v>SC-LTx-ORTHO-Q-78x68x5</v>
      </c>
      <c r="D457" s="65" t="s">
        <v>4322</v>
      </c>
      <c r="E457" s="65">
        <v>0.0</v>
      </c>
      <c r="F457" s="65" t="s">
        <v>4323</v>
      </c>
      <c r="G457" s="65" t="s">
        <v>5118</v>
      </c>
      <c r="H457" s="65" t="s">
        <v>52</v>
      </c>
      <c r="I457" s="81">
        <v>20699.0</v>
      </c>
      <c r="J457" s="66">
        <v>0.23</v>
      </c>
      <c r="K457" s="81">
        <f t="shared" si="3"/>
        <v>15938</v>
      </c>
      <c r="L457" s="66">
        <v>0.2</v>
      </c>
      <c r="M457" s="81">
        <f t="shared" si="4"/>
        <v>16559</v>
      </c>
      <c r="N457" s="67">
        <f t="shared" si="352"/>
        <v>0.3260978791</v>
      </c>
      <c r="O457" s="68">
        <v>13949.1</v>
      </c>
      <c r="P457" s="75">
        <v>0.1</v>
      </c>
      <c r="Q457" s="68">
        <f t="shared" si="356"/>
        <v>18629.1</v>
      </c>
      <c r="R457" s="70"/>
      <c r="S457" s="71">
        <f t="shared" si="357"/>
        <v>-0.1576121746</v>
      </c>
      <c r="T457" s="72">
        <f t="shared" si="6"/>
        <v>0</v>
      </c>
      <c r="U457" s="73" t="str">
        <f t="shared" si="355"/>
        <v/>
      </c>
      <c r="V457" s="73">
        <f t="shared" si="340"/>
        <v>14033.05085</v>
      </c>
      <c r="W457" s="73">
        <f t="shared" si="9"/>
        <v>14033.05085</v>
      </c>
      <c r="X457" s="74">
        <f t="shared" si="10"/>
        <v>1</v>
      </c>
      <c r="Y457" s="73">
        <f t="shared" si="333"/>
        <v>0</v>
      </c>
      <c r="Z457" s="73">
        <f t="shared" si="12"/>
        <v>11821.27119</v>
      </c>
      <c r="AA457" s="73">
        <f t="shared" si="13"/>
        <v>11821.27119</v>
      </c>
      <c r="AB457" s="74">
        <f t="shared" si="14"/>
        <v>1</v>
      </c>
      <c r="AC457" s="61" t="str">
        <f t="shared" si="15"/>
        <v>5</v>
      </c>
      <c r="AD457" s="71" t="str">
        <f t="shared" si="16"/>
        <v>#DIV/0!</v>
      </c>
      <c r="AE457" s="61"/>
      <c r="AF457" s="61"/>
      <c r="AG457" s="71">
        <f t="array" ref="AG457">IFERROR(xlookup(G457,'Old Master'!T:T,'Old Master'!V:V),N457)</f>
        <v>0.3260978791</v>
      </c>
      <c r="AH457" s="73">
        <f t="shared" si="229"/>
        <v>13949.1</v>
      </c>
      <c r="AI457" s="73">
        <f t="shared" si="230"/>
        <v>11821.27119</v>
      </c>
      <c r="AJ457" s="72">
        <f t="shared" si="19"/>
        <v>1</v>
      </c>
      <c r="AK457" s="61"/>
      <c r="AL457" s="71">
        <f t="array" ref="AL457">iferror(if(isblank(xlookup($G457,'Old Master'!$T:$T,'Old Master'!$W:$W)),AG457,xlookup($G457,'Old Master'!$T:$T,'Old Master'!$W:$W)),AG457)</f>
        <v>0.3260978791</v>
      </c>
      <c r="AM457" s="74">
        <f t="shared" si="20"/>
        <v>0.3285182859</v>
      </c>
      <c r="AN457" s="73">
        <f t="shared" si="345"/>
        <v>13899</v>
      </c>
    </row>
    <row r="458">
      <c r="A458" s="65" t="s">
        <v>5399</v>
      </c>
      <c r="B458" s="65">
        <f t="shared" si="1"/>
        <v>60</v>
      </c>
      <c r="C458" s="65" t="str">
        <f t="shared" si="248"/>
        <v>SC-LTx-ORTHO-Q-84x62x5</v>
      </c>
      <c r="D458" s="65" t="s">
        <v>4327</v>
      </c>
      <c r="E458" s="65">
        <v>0.0</v>
      </c>
      <c r="F458" s="65" t="s">
        <v>4328</v>
      </c>
      <c r="G458" s="65" t="s">
        <v>5118</v>
      </c>
      <c r="H458" s="65" t="s">
        <v>52</v>
      </c>
      <c r="I458" s="81">
        <v>20899.0</v>
      </c>
      <c r="J458" s="66">
        <v>0.23</v>
      </c>
      <c r="K458" s="81">
        <f t="shared" si="3"/>
        <v>16092</v>
      </c>
      <c r="L458" s="66">
        <v>0.2</v>
      </c>
      <c r="M458" s="81">
        <f t="shared" si="4"/>
        <v>16719</v>
      </c>
      <c r="N458" s="67">
        <f t="shared" si="352"/>
        <v>0.3239341595</v>
      </c>
      <c r="O458" s="68">
        <v>14129.1</v>
      </c>
      <c r="P458" s="75">
        <v>0.1</v>
      </c>
      <c r="Q458" s="68">
        <f t="shared" si="356"/>
        <v>18809.1</v>
      </c>
      <c r="R458" s="70"/>
      <c r="S458" s="71">
        <f t="shared" si="357"/>
        <v>-0.1549075902</v>
      </c>
      <c r="T458" s="72">
        <f t="shared" si="6"/>
        <v>0</v>
      </c>
      <c r="U458" s="73" t="str">
        <f t="shared" si="355"/>
        <v/>
      </c>
      <c r="V458" s="73">
        <f t="shared" si="340"/>
        <v>14168.64407</v>
      </c>
      <c r="W458" s="73">
        <f t="shared" si="9"/>
        <v>14168.64407</v>
      </c>
      <c r="X458" s="74">
        <f t="shared" si="10"/>
        <v>1</v>
      </c>
      <c r="Y458" s="73">
        <f t="shared" si="333"/>
        <v>0</v>
      </c>
      <c r="Z458" s="73">
        <f t="shared" si="12"/>
        <v>11973.81356</v>
      </c>
      <c r="AA458" s="73">
        <f t="shared" si="13"/>
        <v>11973.81356</v>
      </c>
      <c r="AB458" s="74">
        <f t="shared" si="14"/>
        <v>1</v>
      </c>
      <c r="AC458" s="61" t="str">
        <f t="shared" si="15"/>
        <v>5</v>
      </c>
      <c r="AD458" s="71" t="str">
        <f t="shared" si="16"/>
        <v>#DIV/0!</v>
      </c>
      <c r="AE458" s="61"/>
      <c r="AF458" s="61"/>
      <c r="AG458" s="71">
        <f t="array" ref="AG458">IFERROR(xlookup(G458,'Old Master'!T:T,'Old Master'!V:V),N458)</f>
        <v>0.3239341595</v>
      </c>
      <c r="AH458" s="73">
        <f t="shared" si="229"/>
        <v>14129.1</v>
      </c>
      <c r="AI458" s="73">
        <f t="shared" si="230"/>
        <v>11973.81356</v>
      </c>
      <c r="AJ458" s="72">
        <f t="shared" si="19"/>
        <v>1</v>
      </c>
      <c r="AK458" s="61"/>
      <c r="AL458" s="71">
        <f t="array" ref="AL458">iferror(if(isblank(xlookup($G458,'Old Master'!$T:$T,'Old Master'!$W:$W)),AG458,xlookup($G458,'Old Master'!$T:$T,'Old Master'!$W:$W)),AG458)</f>
        <v>0.3239341595</v>
      </c>
      <c r="AM458" s="74">
        <f t="shared" si="20"/>
        <v>0.3253744198</v>
      </c>
      <c r="AN458" s="73">
        <f t="shared" si="345"/>
        <v>14099</v>
      </c>
    </row>
    <row r="459">
      <c r="A459" s="65" t="s">
        <v>5400</v>
      </c>
      <c r="B459" s="65">
        <f t="shared" si="1"/>
        <v>30</v>
      </c>
      <c r="C459" s="65" t="str">
        <f t="shared" si="248"/>
        <v>SC-LTx-ORTHO-S-78x32x8</v>
      </c>
      <c r="D459" s="65" t="s">
        <v>3975</v>
      </c>
      <c r="E459" s="65">
        <v>0.0</v>
      </c>
      <c r="F459" s="65" t="s">
        <v>3976</v>
      </c>
      <c r="G459" s="65" t="s">
        <v>5118</v>
      </c>
      <c r="H459" s="65" t="s">
        <v>52</v>
      </c>
      <c r="I459" s="81">
        <v>13299.0</v>
      </c>
      <c r="J459" s="66">
        <v>0.23</v>
      </c>
      <c r="K459" s="81">
        <f t="shared" si="3"/>
        <v>10240</v>
      </c>
      <c r="L459" s="66">
        <v>0.2</v>
      </c>
      <c r="M459" s="81">
        <f t="shared" si="4"/>
        <v>10639</v>
      </c>
      <c r="N459" s="67">
        <f t="shared" si="352"/>
        <v>0.323325062</v>
      </c>
      <c r="O459" s="68">
        <v>8999.1</v>
      </c>
      <c r="P459" s="75">
        <v>0.1</v>
      </c>
      <c r="Q459" s="68">
        <f t="shared" si="356"/>
        <v>11969.1</v>
      </c>
      <c r="R459" s="70"/>
      <c r="S459" s="71">
        <f t="shared" si="357"/>
        <v>-0.1541404267</v>
      </c>
      <c r="T459" s="72">
        <f t="shared" si="6"/>
        <v>0</v>
      </c>
      <c r="U459" s="73" t="str">
        <f t="shared" si="355"/>
        <v/>
      </c>
      <c r="V459" s="73">
        <f t="shared" si="340"/>
        <v>9016.101695</v>
      </c>
      <c r="W459" s="73">
        <f t="shared" si="9"/>
        <v>9016.101695</v>
      </c>
      <c r="X459" s="74">
        <f t="shared" si="10"/>
        <v>1</v>
      </c>
      <c r="Y459" s="73">
        <f t="shared" si="333"/>
        <v>0</v>
      </c>
      <c r="Z459" s="73">
        <f t="shared" si="12"/>
        <v>7626.355932</v>
      </c>
      <c r="AA459" s="73">
        <f t="shared" si="13"/>
        <v>7626.355932</v>
      </c>
      <c r="AB459" s="74">
        <f t="shared" si="14"/>
        <v>1</v>
      </c>
      <c r="AC459" s="61" t="str">
        <f t="shared" si="15"/>
        <v>8</v>
      </c>
      <c r="AD459" s="71" t="str">
        <f t="shared" si="16"/>
        <v>#DIV/0!</v>
      </c>
      <c r="AE459" s="61"/>
      <c r="AF459" s="61"/>
      <c r="AG459" s="71">
        <f t="array" ref="AG459">IFERROR(xlookup(G459,'Old Master'!T:T,'Old Master'!V:V),N459)</f>
        <v>0.323325062</v>
      </c>
      <c r="AH459" s="73">
        <f t="shared" si="229"/>
        <v>8999.1</v>
      </c>
      <c r="AI459" s="73">
        <f t="shared" si="230"/>
        <v>7626.355932</v>
      </c>
      <c r="AJ459" s="72">
        <f t="shared" si="19"/>
        <v>1</v>
      </c>
      <c r="AK459" s="61"/>
      <c r="AL459" s="71">
        <f t="array" ref="AL459">iferror(if(isblank(xlookup($G459,'Old Master'!$T:$T,'Old Master'!$W:$W)),AG459,xlookup($G459,'Old Master'!$T:$T,'Old Master'!$W:$W)),AG459)</f>
        <v>0.323325062</v>
      </c>
      <c r="AM459" s="74">
        <f t="shared" si="20"/>
        <v>0.3233325814</v>
      </c>
      <c r="AN459" s="73">
        <f t="shared" si="345"/>
        <v>8999</v>
      </c>
    </row>
    <row r="460">
      <c r="A460" s="65" t="s">
        <v>5401</v>
      </c>
      <c r="B460" s="65" t="str">
        <f t="shared" si="1"/>
        <v>#VALUE!</v>
      </c>
      <c r="C460" s="65" t="str">
        <f t="shared" si="248"/>
        <v>#VALUE!</v>
      </c>
      <c r="D460" s="65" t="s">
        <v>3052</v>
      </c>
      <c r="E460" s="65" t="s">
        <v>3053</v>
      </c>
      <c r="F460" s="65" t="s">
        <v>3054</v>
      </c>
      <c r="G460" s="65" t="s">
        <v>5106</v>
      </c>
      <c r="H460" s="65" t="s">
        <v>4730</v>
      </c>
      <c r="I460" s="65">
        <v>3599.0</v>
      </c>
      <c r="J460" s="66">
        <v>0.2500694637399278</v>
      </c>
      <c r="K460" s="65">
        <f t="shared" si="3"/>
        <v>2699</v>
      </c>
      <c r="L460" s="66">
        <v>0.15</v>
      </c>
      <c r="M460" s="65">
        <f t="shared" si="4"/>
        <v>3059</v>
      </c>
      <c r="N460" s="67">
        <f t="shared" si="352"/>
        <v>0.1500416782</v>
      </c>
      <c r="O460" s="68">
        <v>3059.0</v>
      </c>
      <c r="P460" s="67">
        <f t="shared" ref="P460:P587" si="358">1-Q460/I460</f>
        <v>0.1500416782</v>
      </c>
      <c r="Q460" s="69">
        <v>3059.0</v>
      </c>
      <c r="R460" s="70"/>
      <c r="S460" s="71">
        <f t="shared" ref="S460:S461" si="359">O460/K460-1</f>
        <v>0.1333827343</v>
      </c>
      <c r="T460" s="72">
        <f t="shared" si="6"/>
        <v>0</v>
      </c>
      <c r="U460" s="73" t="str">
        <f t="shared" si="355"/>
        <v/>
      </c>
      <c r="V460" s="73">
        <f t="shared" si="340"/>
        <v>2592.372881</v>
      </c>
      <c r="W460" s="73">
        <f t="shared" si="9"/>
        <v>2592.372881</v>
      </c>
      <c r="X460" s="74">
        <f t="shared" si="10"/>
        <v>1</v>
      </c>
      <c r="Y460" s="73">
        <f t="shared" si="333"/>
        <v>0</v>
      </c>
      <c r="Z460" s="73">
        <f t="shared" si="12"/>
        <v>2592.372881</v>
      </c>
      <c r="AA460" s="73">
        <f t="shared" si="13"/>
        <v>2592.372881</v>
      </c>
      <c r="AB460" s="74">
        <f t="shared" si="14"/>
        <v>1</v>
      </c>
      <c r="AC460" s="61" t="str">
        <f t="shared" si="15"/>
        <v>0</v>
      </c>
      <c r="AD460" s="71" t="str">
        <f t="shared" si="16"/>
        <v>#DIV/0!</v>
      </c>
      <c r="AE460" s="61"/>
      <c r="AF460" s="61"/>
      <c r="AG460" s="71">
        <f t="array" ref="AG460">IFERROR(xlookup(G460,'Old Master'!T:T,'Old Master'!V:V),N460)</f>
        <v>0.1500416782</v>
      </c>
      <c r="AH460" s="73">
        <f t="shared" si="229"/>
        <v>3059</v>
      </c>
      <c r="AI460" s="73">
        <f t="shared" si="230"/>
        <v>2592.372881</v>
      </c>
      <c r="AJ460" s="72">
        <f t="shared" si="19"/>
        <v>1</v>
      </c>
      <c r="AK460" s="61"/>
      <c r="AL460" s="71">
        <f t="array" ref="AL460">iferror(if(isblank(xlookup($G460,'Old Master'!$T:$T,'Old Master'!$W:$W)),AG460,xlookup($G460,'Old Master'!$T:$T,'Old Master'!$W:$W)),AG460)</f>
        <v>0.1500416782</v>
      </c>
      <c r="AM460" s="74">
        <f t="shared" si="20"/>
        <v>0.1389274799</v>
      </c>
      <c r="AN460" s="73">
        <f t="shared" si="345"/>
        <v>3099</v>
      </c>
    </row>
    <row r="461">
      <c r="A461" s="65" t="s">
        <v>1127</v>
      </c>
      <c r="B461" s="65" t="str">
        <f t="shared" si="1"/>
        <v>#VALUE!</v>
      </c>
      <c r="C461" s="65" t="str">
        <f t="shared" si="248"/>
        <v>#VALUE!</v>
      </c>
      <c r="D461" s="65" t="s">
        <v>1129</v>
      </c>
      <c r="E461" s="65">
        <v>0.0</v>
      </c>
      <c r="F461" s="65">
        <v>0.0</v>
      </c>
      <c r="G461" s="65" t="s">
        <v>1144</v>
      </c>
      <c r="H461" s="65" t="s">
        <v>1145</v>
      </c>
      <c r="I461" s="65">
        <v>8299.0</v>
      </c>
      <c r="J461" s="66">
        <v>0.4</v>
      </c>
      <c r="K461" s="65">
        <f t="shared" si="3"/>
        <v>4979</v>
      </c>
      <c r="L461" s="66">
        <v>0.0</v>
      </c>
      <c r="M461" s="65">
        <f t="shared" si="4"/>
        <v>8299</v>
      </c>
      <c r="N461" s="77">
        <f t="shared" si="352"/>
        <v>0.06024822268</v>
      </c>
      <c r="O461" s="78">
        <v>7799.0</v>
      </c>
      <c r="P461" s="67">
        <f t="shared" si="358"/>
        <v>0.06024822268</v>
      </c>
      <c r="Q461" s="79">
        <v>7799.0</v>
      </c>
      <c r="R461" s="70"/>
      <c r="S461" s="71">
        <f t="shared" si="359"/>
        <v>0.5663787909</v>
      </c>
      <c r="T461" s="72">
        <f t="shared" si="6"/>
        <v>0</v>
      </c>
      <c r="U461" s="73" t="str">
        <f t="shared" si="355"/>
        <v/>
      </c>
      <c r="V461" s="73">
        <f t="shared" si="340"/>
        <v>7033.050847</v>
      </c>
      <c r="W461" s="73">
        <f t="shared" si="9"/>
        <v>7033.050847</v>
      </c>
      <c r="X461" s="74">
        <f t="shared" si="10"/>
        <v>1</v>
      </c>
      <c r="Y461" s="73">
        <f t="shared" si="333"/>
        <v>0</v>
      </c>
      <c r="Z461" s="73">
        <f t="shared" si="12"/>
        <v>6609.322034</v>
      </c>
      <c r="AA461" s="73">
        <f t="shared" si="13"/>
        <v>6609.322034</v>
      </c>
      <c r="AB461" s="74">
        <f t="shared" si="14"/>
        <v>1</v>
      </c>
      <c r="AC461" s="61" t="str">
        <f t="shared" si="15"/>
        <v>8</v>
      </c>
      <c r="AD461" s="71" t="str">
        <f t="shared" si="16"/>
        <v>#DIV/0!</v>
      </c>
      <c r="AE461" s="61"/>
      <c r="AF461" s="61"/>
      <c r="AG461" s="71">
        <f t="array" ref="AG461">IFERROR(xlookup(G461,'Old Master'!T:T,'Old Master'!V:V),N461)</f>
        <v>0.06024822268</v>
      </c>
      <c r="AH461" s="73">
        <f t="shared" si="229"/>
        <v>7799</v>
      </c>
      <c r="AI461" s="73">
        <f t="shared" si="230"/>
        <v>6609.322034</v>
      </c>
      <c r="AJ461" s="72">
        <f t="shared" si="19"/>
        <v>1</v>
      </c>
      <c r="AK461" s="61"/>
      <c r="AL461" s="71">
        <f>(I461-AN461)/I461</f>
        <v>0.06024822268</v>
      </c>
      <c r="AM461" s="74">
        <f t="shared" si="20"/>
        <v>0.06024822268</v>
      </c>
      <c r="AN461" s="73">
        <v>7799.0</v>
      </c>
    </row>
    <row r="462">
      <c r="A462" s="65" t="s">
        <v>178</v>
      </c>
      <c r="B462" s="65">
        <f t="shared" si="1"/>
        <v>30</v>
      </c>
      <c r="C462" s="65" t="str">
        <f t="shared" si="248"/>
        <v>SC-ORIG-S-78x32x4</v>
      </c>
      <c r="D462" s="65" t="s">
        <v>180</v>
      </c>
      <c r="E462" s="65">
        <v>0.0</v>
      </c>
      <c r="F462" s="65" t="s">
        <v>181</v>
      </c>
      <c r="G462" s="65" t="s">
        <v>51</v>
      </c>
      <c r="H462" s="65" t="s">
        <v>52</v>
      </c>
      <c r="I462" s="65">
        <v>7889.0</v>
      </c>
      <c r="J462" s="66">
        <v>0.28</v>
      </c>
      <c r="K462" s="65">
        <f t="shared" si="3"/>
        <v>5680</v>
      </c>
      <c r="L462" s="66">
        <v>0.24</v>
      </c>
      <c r="M462" s="65">
        <f t="shared" si="4"/>
        <v>5996</v>
      </c>
      <c r="N462" s="67">
        <f t="shared" si="352"/>
        <v>0.1900114083</v>
      </c>
      <c r="O462" s="68">
        <v>6390.0</v>
      </c>
      <c r="P462" s="67">
        <f t="shared" si="358"/>
        <v>0.1900114083</v>
      </c>
      <c r="Q462" s="69">
        <v>6390.0</v>
      </c>
      <c r="R462" s="76"/>
      <c r="S462" s="72">
        <f t="shared" ref="S462:S481" si="360">O462/M462-1</f>
        <v>0.06571047365</v>
      </c>
      <c r="T462" s="72">
        <f t="shared" si="6"/>
        <v>0</v>
      </c>
      <c r="U462" s="73" t="str">
        <f t="shared" si="355"/>
        <v/>
      </c>
      <c r="V462" s="73">
        <f t="shared" si="340"/>
        <v>5081.355932</v>
      </c>
      <c r="W462" s="73">
        <f t="shared" si="9"/>
        <v>5081.355932</v>
      </c>
      <c r="X462" s="74">
        <f t="shared" si="10"/>
        <v>1</v>
      </c>
      <c r="Y462" s="73">
        <f t="shared" si="333"/>
        <v>0</v>
      </c>
      <c r="Z462" s="73">
        <f t="shared" si="12"/>
        <v>5415.254237</v>
      </c>
      <c r="AA462" s="73">
        <f t="shared" si="13"/>
        <v>5415.254237</v>
      </c>
      <c r="AB462" s="74">
        <f t="shared" si="14"/>
        <v>1</v>
      </c>
      <c r="AC462" s="61" t="str">
        <f t="shared" si="15"/>
        <v>4</v>
      </c>
      <c r="AD462" s="71" t="str">
        <f t="shared" si="16"/>
        <v>#DIV/0!</v>
      </c>
      <c r="AE462" s="61"/>
      <c r="AF462" s="61"/>
      <c r="AG462" s="71">
        <f t="array" ref="AG462">IFERROR(xlookup(G462,'Old Master'!T:T,'Old Master'!V:V),N462)</f>
        <v>0.1900114083</v>
      </c>
      <c r="AH462" s="73">
        <f t="shared" si="229"/>
        <v>6390</v>
      </c>
      <c r="AI462" s="73">
        <f t="shared" si="230"/>
        <v>5415.254237</v>
      </c>
      <c r="AJ462" s="72">
        <f t="shared" si="19"/>
        <v>1</v>
      </c>
      <c r="AK462" s="61"/>
      <c r="AL462" s="71">
        <f t="array" ref="AL462">iferror(if(isblank(xlookup($G462,'Old Master'!$T:$T,'Old Master'!$W:$W)),AG462,xlookup($G462,'Old Master'!$T:$T,'Old Master'!$W:$W)),AG462)</f>
        <v>0.1900114083</v>
      </c>
      <c r="AM462" s="74">
        <f t="shared" si="20"/>
        <v>0.1888705793</v>
      </c>
      <c r="AN462" s="73">
        <f t="shared" ref="AN462:AN484" si="361">mround($I462*(1-AL462),100)-1</f>
        <v>6399</v>
      </c>
    </row>
    <row r="463">
      <c r="A463" s="65" t="s">
        <v>189</v>
      </c>
      <c r="B463" s="65">
        <f t="shared" si="1"/>
        <v>36</v>
      </c>
      <c r="C463" s="65" t="str">
        <f t="shared" si="248"/>
        <v>SC-ORIG-S-75x38x4</v>
      </c>
      <c r="D463" s="65" t="s">
        <v>191</v>
      </c>
      <c r="E463" s="65">
        <v>0.0</v>
      </c>
      <c r="F463" s="65" t="s">
        <v>192</v>
      </c>
      <c r="G463" s="65" t="s">
        <v>51</v>
      </c>
      <c r="H463" s="65" t="s">
        <v>52</v>
      </c>
      <c r="I463" s="65">
        <v>8149.0</v>
      </c>
      <c r="J463" s="66">
        <v>0.28</v>
      </c>
      <c r="K463" s="65">
        <f t="shared" si="3"/>
        <v>5867</v>
      </c>
      <c r="L463" s="66">
        <v>0.24</v>
      </c>
      <c r="M463" s="65">
        <f t="shared" si="4"/>
        <v>6193</v>
      </c>
      <c r="N463" s="67">
        <f t="shared" si="352"/>
        <v>0.1899619585</v>
      </c>
      <c r="O463" s="68">
        <v>6601.0</v>
      </c>
      <c r="P463" s="67">
        <f t="shared" si="358"/>
        <v>0.1899619585</v>
      </c>
      <c r="Q463" s="69">
        <v>6601.0</v>
      </c>
      <c r="R463" s="76"/>
      <c r="S463" s="72">
        <f t="shared" si="360"/>
        <v>0.0658808332</v>
      </c>
      <c r="T463" s="72">
        <f t="shared" si="6"/>
        <v>0</v>
      </c>
      <c r="U463" s="73" t="str">
        <f t="shared" si="355"/>
        <v/>
      </c>
      <c r="V463" s="73">
        <f t="shared" si="340"/>
        <v>5248.305085</v>
      </c>
      <c r="W463" s="73">
        <f t="shared" si="9"/>
        <v>5248.305085</v>
      </c>
      <c r="X463" s="74">
        <f t="shared" si="10"/>
        <v>1</v>
      </c>
      <c r="Y463" s="73">
        <f t="shared" si="333"/>
        <v>0</v>
      </c>
      <c r="Z463" s="73">
        <f t="shared" si="12"/>
        <v>5594.067797</v>
      </c>
      <c r="AA463" s="73">
        <f t="shared" si="13"/>
        <v>5594.067797</v>
      </c>
      <c r="AB463" s="74">
        <f t="shared" si="14"/>
        <v>1</v>
      </c>
      <c r="AC463" s="61" t="str">
        <f t="shared" si="15"/>
        <v>4</v>
      </c>
      <c r="AD463" s="71" t="str">
        <f t="shared" si="16"/>
        <v>#DIV/0!</v>
      </c>
      <c r="AE463" s="61"/>
      <c r="AF463" s="61"/>
      <c r="AG463" s="71">
        <f t="array" ref="AG463">IFERROR(xlookup(G463,'Old Master'!T:T,'Old Master'!V:V),N463)</f>
        <v>0.1899619585</v>
      </c>
      <c r="AH463" s="73">
        <f t="shared" si="229"/>
        <v>6601</v>
      </c>
      <c r="AI463" s="73">
        <f t="shared" si="230"/>
        <v>5594.067797</v>
      </c>
      <c r="AJ463" s="72">
        <f t="shared" si="19"/>
        <v>1</v>
      </c>
      <c r="AK463" s="61"/>
      <c r="AL463" s="71">
        <f t="array" ref="AL463">iferror(if(isblank(xlookup($G463,'Old Master'!$T:$T,'Old Master'!$W:$W)),AG463,xlookup($G463,'Old Master'!$T:$T,'Old Master'!$W:$W)),AG463)</f>
        <v>0.1899619585</v>
      </c>
      <c r="AM463" s="74">
        <f t="shared" si="20"/>
        <v>0.1902073874</v>
      </c>
      <c r="AN463" s="73">
        <f t="shared" si="361"/>
        <v>6599</v>
      </c>
    </row>
    <row r="464">
      <c r="A464" s="65" t="s">
        <v>201</v>
      </c>
      <c r="B464" s="65">
        <f t="shared" si="1"/>
        <v>36</v>
      </c>
      <c r="C464" s="65" t="str">
        <f t="shared" si="248"/>
        <v>SC-ORIG-S-84x38x4</v>
      </c>
      <c r="D464" s="65" t="s">
        <v>203</v>
      </c>
      <c r="E464" s="65">
        <v>0.0</v>
      </c>
      <c r="F464" s="65" t="s">
        <v>204</v>
      </c>
      <c r="G464" s="65" t="s">
        <v>51</v>
      </c>
      <c r="H464" s="65" t="s">
        <v>52</v>
      </c>
      <c r="I464" s="65">
        <v>9199.0</v>
      </c>
      <c r="J464" s="66">
        <v>0.28</v>
      </c>
      <c r="K464" s="65">
        <f t="shared" si="3"/>
        <v>6623</v>
      </c>
      <c r="L464" s="66">
        <v>0.24</v>
      </c>
      <c r="M464" s="65">
        <f t="shared" si="4"/>
        <v>6991</v>
      </c>
      <c r="N464" s="67">
        <f t="shared" si="352"/>
        <v>0.1900206544</v>
      </c>
      <c r="O464" s="68">
        <v>7451.0</v>
      </c>
      <c r="P464" s="67">
        <f t="shared" si="358"/>
        <v>0.1900206544</v>
      </c>
      <c r="Q464" s="69">
        <v>7451.0</v>
      </c>
      <c r="R464" s="76"/>
      <c r="S464" s="72">
        <f t="shared" si="360"/>
        <v>0.06579888428</v>
      </c>
      <c r="T464" s="72">
        <f t="shared" si="6"/>
        <v>0</v>
      </c>
      <c r="U464" s="73" t="str">
        <f t="shared" si="355"/>
        <v/>
      </c>
      <c r="V464" s="73">
        <f t="shared" si="340"/>
        <v>5924.576271</v>
      </c>
      <c r="W464" s="73">
        <f t="shared" si="9"/>
        <v>5924.576271</v>
      </c>
      <c r="X464" s="74">
        <f t="shared" si="10"/>
        <v>1</v>
      </c>
      <c r="Y464" s="73">
        <f t="shared" si="333"/>
        <v>0</v>
      </c>
      <c r="Z464" s="73">
        <f t="shared" si="12"/>
        <v>6314.40678</v>
      </c>
      <c r="AA464" s="73">
        <f t="shared" si="13"/>
        <v>6314.40678</v>
      </c>
      <c r="AB464" s="74">
        <f t="shared" si="14"/>
        <v>1</v>
      </c>
      <c r="AC464" s="61" t="str">
        <f t="shared" si="15"/>
        <v>4</v>
      </c>
      <c r="AD464" s="71" t="str">
        <f t="shared" si="16"/>
        <v>#DIV/0!</v>
      </c>
      <c r="AE464" s="61"/>
      <c r="AF464" s="61"/>
      <c r="AG464" s="71">
        <f t="array" ref="AG464">IFERROR(xlookup(G464,'Old Master'!T:T,'Old Master'!V:V),N464)</f>
        <v>0.1900206544</v>
      </c>
      <c r="AH464" s="73">
        <f t="shared" si="229"/>
        <v>7451</v>
      </c>
      <c r="AI464" s="73">
        <f t="shared" si="230"/>
        <v>6314.40678</v>
      </c>
      <c r="AJ464" s="72">
        <f t="shared" si="19"/>
        <v>1</v>
      </c>
      <c r="AK464" s="61"/>
      <c r="AL464" s="71">
        <f t="array" ref="AL464">iferror(if(isblank(xlookup($G464,'Old Master'!$T:$T,'Old Master'!$W:$W)),AG464,xlookup($G464,'Old Master'!$T:$T,'Old Master'!$W:$W)),AG464)</f>
        <v>0.1900206544</v>
      </c>
      <c r="AM464" s="74">
        <f t="shared" si="20"/>
        <v>0.1848026959</v>
      </c>
      <c r="AN464" s="73">
        <f t="shared" si="361"/>
        <v>7499</v>
      </c>
    </row>
    <row r="465">
      <c r="A465" s="65" t="s">
        <v>304</v>
      </c>
      <c r="B465" s="65">
        <f t="shared" si="1"/>
        <v>42</v>
      </c>
      <c r="C465" s="65" t="str">
        <f t="shared" si="248"/>
        <v>SC-ORIG-D-72x44x4</v>
      </c>
      <c r="D465" s="65" t="s">
        <v>306</v>
      </c>
      <c r="E465" s="65">
        <v>0.0</v>
      </c>
      <c r="F465" s="65" t="s">
        <v>307</v>
      </c>
      <c r="G465" s="65" t="s">
        <v>51</v>
      </c>
      <c r="H465" s="65" t="s">
        <v>52</v>
      </c>
      <c r="I465" s="65">
        <v>8809.0</v>
      </c>
      <c r="J465" s="66">
        <v>0.28</v>
      </c>
      <c r="K465" s="65">
        <f t="shared" si="3"/>
        <v>6342</v>
      </c>
      <c r="L465" s="66">
        <v>0.24</v>
      </c>
      <c r="M465" s="65">
        <f t="shared" si="4"/>
        <v>6695</v>
      </c>
      <c r="N465" s="67">
        <f t="shared" si="352"/>
        <v>0.1900329209</v>
      </c>
      <c r="O465" s="68">
        <v>7135.0</v>
      </c>
      <c r="P465" s="67">
        <f t="shared" si="358"/>
        <v>0.1900329209</v>
      </c>
      <c r="Q465" s="69">
        <v>7135.0</v>
      </c>
      <c r="R465" s="76"/>
      <c r="S465" s="72">
        <f t="shared" si="360"/>
        <v>0.06572068708</v>
      </c>
      <c r="T465" s="72">
        <f t="shared" si="6"/>
        <v>0</v>
      </c>
      <c r="U465" s="73" t="str">
        <f t="shared" si="355"/>
        <v/>
      </c>
      <c r="V465" s="73">
        <f t="shared" si="340"/>
        <v>5673.728814</v>
      </c>
      <c r="W465" s="73">
        <f t="shared" si="9"/>
        <v>5673.728814</v>
      </c>
      <c r="X465" s="74">
        <f t="shared" si="10"/>
        <v>1</v>
      </c>
      <c r="Y465" s="73">
        <f t="shared" si="333"/>
        <v>0</v>
      </c>
      <c r="Z465" s="73">
        <f t="shared" si="12"/>
        <v>6046.610169</v>
      </c>
      <c r="AA465" s="73">
        <f t="shared" si="13"/>
        <v>6046.610169</v>
      </c>
      <c r="AB465" s="74">
        <f t="shared" si="14"/>
        <v>1</v>
      </c>
      <c r="AC465" s="61" t="str">
        <f t="shared" si="15"/>
        <v>4</v>
      </c>
      <c r="AD465" s="71" t="str">
        <f t="shared" si="16"/>
        <v>#DIV/0!</v>
      </c>
      <c r="AE465" s="61"/>
      <c r="AF465" s="61"/>
      <c r="AG465" s="71">
        <f t="array" ref="AG465">IFERROR(xlookup(G465,'Old Master'!T:T,'Old Master'!V:V),N465)</f>
        <v>0.1900329209</v>
      </c>
      <c r="AH465" s="73">
        <f t="shared" si="229"/>
        <v>7135</v>
      </c>
      <c r="AI465" s="73">
        <f t="shared" si="230"/>
        <v>6046.610169</v>
      </c>
      <c r="AJ465" s="72">
        <f t="shared" si="19"/>
        <v>1</v>
      </c>
      <c r="AK465" s="61"/>
      <c r="AL465" s="71">
        <f t="array" ref="AL465">iferror(if(isblank(xlookup($G465,'Old Master'!$T:$T,'Old Master'!$W:$W)),AG465,xlookup($G465,'Old Master'!$T:$T,'Old Master'!$W:$W)),AG465)</f>
        <v>0.1900329209</v>
      </c>
      <c r="AM465" s="74">
        <f t="shared" si="20"/>
        <v>0.1941196504</v>
      </c>
      <c r="AN465" s="73">
        <f t="shared" si="361"/>
        <v>7099</v>
      </c>
    </row>
    <row r="466">
      <c r="A466" s="65" t="s">
        <v>146</v>
      </c>
      <c r="B466" s="65">
        <f t="shared" si="1"/>
        <v>36</v>
      </c>
      <c r="C466" s="65" t="str">
        <f t="shared" si="248"/>
        <v>SC-ORIG-S-84x38x5</v>
      </c>
      <c r="D466" s="65" t="s">
        <v>148</v>
      </c>
      <c r="E466" s="65">
        <v>0.0</v>
      </c>
      <c r="F466" s="65" t="s">
        <v>149</v>
      </c>
      <c r="G466" s="65" t="s">
        <v>51</v>
      </c>
      <c r="H466" s="65" t="s">
        <v>52</v>
      </c>
      <c r="I466" s="65">
        <v>11099.0</v>
      </c>
      <c r="J466" s="66">
        <v>0.28</v>
      </c>
      <c r="K466" s="65">
        <f t="shared" si="3"/>
        <v>7991</v>
      </c>
      <c r="L466" s="66">
        <v>0.24</v>
      </c>
      <c r="M466" s="65">
        <f t="shared" si="4"/>
        <v>8435</v>
      </c>
      <c r="N466" s="67">
        <f t="shared" si="352"/>
        <v>0.1900171187</v>
      </c>
      <c r="O466" s="68">
        <v>8990.0</v>
      </c>
      <c r="P466" s="67">
        <f t="shared" si="358"/>
        <v>0.1900171187</v>
      </c>
      <c r="Q466" s="69">
        <v>8990.0</v>
      </c>
      <c r="R466" s="76"/>
      <c r="S466" s="72">
        <f t="shared" si="360"/>
        <v>0.06579727327</v>
      </c>
      <c r="T466" s="72">
        <f t="shared" si="6"/>
        <v>0</v>
      </c>
      <c r="U466" s="73" t="str">
        <f t="shared" si="355"/>
        <v/>
      </c>
      <c r="V466" s="73">
        <f t="shared" si="340"/>
        <v>7148.305085</v>
      </c>
      <c r="W466" s="73">
        <f t="shared" si="9"/>
        <v>7148.305085</v>
      </c>
      <c r="X466" s="74">
        <f t="shared" si="10"/>
        <v>1</v>
      </c>
      <c r="Y466" s="73">
        <f t="shared" si="333"/>
        <v>0</v>
      </c>
      <c r="Z466" s="73">
        <f t="shared" si="12"/>
        <v>7618.644068</v>
      </c>
      <c r="AA466" s="73">
        <f t="shared" si="13"/>
        <v>7618.644068</v>
      </c>
      <c r="AB466" s="74">
        <f t="shared" si="14"/>
        <v>1</v>
      </c>
      <c r="AC466" s="61" t="str">
        <f t="shared" si="15"/>
        <v>5</v>
      </c>
      <c r="AD466" s="71" t="str">
        <f t="shared" si="16"/>
        <v>#DIV/0!</v>
      </c>
      <c r="AE466" s="61"/>
      <c r="AF466" s="61"/>
      <c r="AG466" s="71">
        <f t="array" ref="AG466">IFERROR(xlookup(G466,'Old Master'!T:T,'Old Master'!V:V),N466)</f>
        <v>0.1900171187</v>
      </c>
      <c r="AH466" s="73">
        <f t="shared" si="229"/>
        <v>8990</v>
      </c>
      <c r="AI466" s="73">
        <f t="shared" si="230"/>
        <v>7618.644068</v>
      </c>
      <c r="AJ466" s="72">
        <f t="shared" si="19"/>
        <v>1</v>
      </c>
      <c r="AK466" s="61"/>
      <c r="AL466" s="71">
        <f t="array" ref="AL466">iferror(if(isblank(xlookup($G466,'Old Master'!$T:$T,'Old Master'!$W:$W)),AG466,xlookup($G466,'Old Master'!$T:$T,'Old Master'!$W:$W)),AG466)</f>
        <v>0.1900171187</v>
      </c>
      <c r="AM466" s="74">
        <f t="shared" si="20"/>
        <v>0.1892062348</v>
      </c>
      <c r="AN466" s="73">
        <f t="shared" si="361"/>
        <v>8999</v>
      </c>
    </row>
    <row r="467">
      <c r="A467" s="65" t="s">
        <v>321</v>
      </c>
      <c r="B467" s="65">
        <f t="shared" si="1"/>
        <v>48</v>
      </c>
      <c r="C467" s="65" t="str">
        <f t="shared" si="248"/>
        <v>SC-ORIG-D-75x50x4</v>
      </c>
      <c r="D467" s="65" t="s">
        <v>323</v>
      </c>
      <c r="E467" s="65">
        <v>0.0</v>
      </c>
      <c r="F467" s="65" t="s">
        <v>324</v>
      </c>
      <c r="G467" s="65" t="s">
        <v>51</v>
      </c>
      <c r="H467" s="65" t="s">
        <v>52</v>
      </c>
      <c r="I467" s="65">
        <v>10259.0</v>
      </c>
      <c r="J467" s="66">
        <v>0.28</v>
      </c>
      <c r="K467" s="65">
        <f t="shared" si="3"/>
        <v>7386</v>
      </c>
      <c r="L467" s="66">
        <v>0.24</v>
      </c>
      <c r="M467" s="65">
        <f t="shared" si="4"/>
        <v>7797</v>
      </c>
      <c r="N467" s="67">
        <f t="shared" si="352"/>
        <v>0.1899795302</v>
      </c>
      <c r="O467" s="68">
        <v>8310.0</v>
      </c>
      <c r="P467" s="67">
        <f t="shared" si="358"/>
        <v>0.1899795302</v>
      </c>
      <c r="Q467" s="69">
        <v>8310.0</v>
      </c>
      <c r="R467" s="76"/>
      <c r="S467" s="72">
        <f t="shared" si="360"/>
        <v>0.06579453636</v>
      </c>
      <c r="T467" s="72">
        <f t="shared" si="6"/>
        <v>0</v>
      </c>
      <c r="U467" s="73" t="str">
        <f t="shared" si="355"/>
        <v/>
      </c>
      <c r="V467" s="73">
        <f t="shared" si="340"/>
        <v>6607.627119</v>
      </c>
      <c r="W467" s="73">
        <f t="shared" si="9"/>
        <v>6607.627119</v>
      </c>
      <c r="X467" s="74">
        <f t="shared" si="10"/>
        <v>1</v>
      </c>
      <c r="Y467" s="73">
        <f t="shared" si="333"/>
        <v>0</v>
      </c>
      <c r="Z467" s="73">
        <f t="shared" si="12"/>
        <v>7042.372881</v>
      </c>
      <c r="AA467" s="73">
        <f t="shared" si="13"/>
        <v>7042.372881</v>
      </c>
      <c r="AB467" s="74">
        <f t="shared" si="14"/>
        <v>1</v>
      </c>
      <c r="AC467" s="61" t="str">
        <f t="shared" si="15"/>
        <v>4</v>
      </c>
      <c r="AD467" s="71" t="str">
        <f t="shared" si="16"/>
        <v>#DIV/0!</v>
      </c>
      <c r="AE467" s="61"/>
      <c r="AF467" s="61"/>
      <c r="AG467" s="71">
        <f t="array" ref="AG467">IFERROR(xlookup(G467,'Old Master'!T:T,'Old Master'!V:V),N467)</f>
        <v>0.1899795302</v>
      </c>
      <c r="AH467" s="73">
        <f t="shared" si="229"/>
        <v>8310</v>
      </c>
      <c r="AI467" s="73">
        <f t="shared" si="230"/>
        <v>7042.372881</v>
      </c>
      <c r="AJ467" s="72">
        <f t="shared" si="19"/>
        <v>1</v>
      </c>
      <c r="AK467" s="61"/>
      <c r="AL467" s="71">
        <f t="array" ref="AL467">iferror(if(isblank(xlookup($G467,'Old Master'!$T:$T,'Old Master'!$W:$W)),AG467,xlookup($G467,'Old Master'!$T:$T,'Old Master'!$W:$W)),AG467)</f>
        <v>0.1899795302</v>
      </c>
      <c r="AM467" s="74">
        <f t="shared" si="20"/>
        <v>0.1910517594</v>
      </c>
      <c r="AN467" s="73">
        <f t="shared" si="361"/>
        <v>8299</v>
      </c>
    </row>
    <row r="468">
      <c r="A468" s="65" t="s">
        <v>326</v>
      </c>
      <c r="B468" s="65">
        <f t="shared" si="1"/>
        <v>48</v>
      </c>
      <c r="C468" s="65" t="str">
        <f t="shared" si="248"/>
        <v>SC-ORIG-D-78x50x4</v>
      </c>
      <c r="D468" s="65" t="s">
        <v>328</v>
      </c>
      <c r="E468" s="65">
        <v>0.0</v>
      </c>
      <c r="F468" s="65" t="s">
        <v>329</v>
      </c>
      <c r="G468" s="65" t="s">
        <v>51</v>
      </c>
      <c r="H468" s="65" t="s">
        <v>52</v>
      </c>
      <c r="I468" s="65">
        <v>10779.0</v>
      </c>
      <c r="J468" s="66">
        <v>0.28</v>
      </c>
      <c r="K468" s="65">
        <f t="shared" si="3"/>
        <v>7761</v>
      </c>
      <c r="L468" s="66">
        <v>0.24</v>
      </c>
      <c r="M468" s="65">
        <f t="shared" si="4"/>
        <v>8192</v>
      </c>
      <c r="N468" s="67">
        <f t="shared" si="352"/>
        <v>0.1899990723</v>
      </c>
      <c r="O468" s="68">
        <v>8731.0</v>
      </c>
      <c r="P468" s="67">
        <f t="shared" si="358"/>
        <v>0.1899990723</v>
      </c>
      <c r="Q468" s="69">
        <v>8731.0</v>
      </c>
      <c r="R468" s="76"/>
      <c r="S468" s="72">
        <f t="shared" si="360"/>
        <v>0.06579589844</v>
      </c>
      <c r="T468" s="72">
        <f t="shared" si="6"/>
        <v>0</v>
      </c>
      <c r="U468" s="73" t="str">
        <f t="shared" si="355"/>
        <v/>
      </c>
      <c r="V468" s="73">
        <f t="shared" si="340"/>
        <v>6942.372881</v>
      </c>
      <c r="W468" s="73">
        <f t="shared" si="9"/>
        <v>6942.372881</v>
      </c>
      <c r="X468" s="74">
        <f t="shared" si="10"/>
        <v>1</v>
      </c>
      <c r="Y468" s="73">
        <f t="shared" si="333"/>
        <v>0</v>
      </c>
      <c r="Z468" s="73">
        <f t="shared" si="12"/>
        <v>7399.152542</v>
      </c>
      <c r="AA468" s="73">
        <f t="shared" si="13"/>
        <v>7399.152542</v>
      </c>
      <c r="AB468" s="74">
        <f t="shared" si="14"/>
        <v>1</v>
      </c>
      <c r="AC468" s="61" t="str">
        <f t="shared" si="15"/>
        <v>4</v>
      </c>
      <c r="AD468" s="71" t="str">
        <f t="shared" si="16"/>
        <v>#DIV/0!</v>
      </c>
      <c r="AE468" s="61"/>
      <c r="AF468" s="61"/>
      <c r="AG468" s="71">
        <f t="array" ref="AG468">IFERROR(xlookup(G468,'Old Master'!T:T,'Old Master'!V:V),N468)</f>
        <v>0.1899990723</v>
      </c>
      <c r="AH468" s="73">
        <f t="shared" si="229"/>
        <v>8731</v>
      </c>
      <c r="AI468" s="73">
        <f t="shared" si="230"/>
        <v>7399.152542</v>
      </c>
      <c r="AJ468" s="72">
        <f t="shared" si="19"/>
        <v>1</v>
      </c>
      <c r="AK468" s="61"/>
      <c r="AL468" s="71">
        <f t="array" ref="AL468">iferror(if(isblank(xlookup($G468,'Old Master'!$T:$T,'Old Master'!$W:$W)),AG468,xlookup($G468,'Old Master'!$T:$T,'Old Master'!$W:$W)),AG468)</f>
        <v>0.1899990723</v>
      </c>
      <c r="AM468" s="74">
        <f t="shared" si="20"/>
        <v>0.1929678078</v>
      </c>
      <c r="AN468" s="73">
        <f t="shared" si="361"/>
        <v>8699</v>
      </c>
    </row>
    <row r="469">
      <c r="A469" s="65" t="s">
        <v>331</v>
      </c>
      <c r="B469" s="65">
        <f t="shared" si="1"/>
        <v>48</v>
      </c>
      <c r="C469" s="65" t="str">
        <f t="shared" si="248"/>
        <v>SC-ORIG-D-84x50x4</v>
      </c>
      <c r="D469" s="65" t="s">
        <v>333</v>
      </c>
      <c r="E469" s="65">
        <v>0.0</v>
      </c>
      <c r="F469" s="65" t="s">
        <v>334</v>
      </c>
      <c r="G469" s="65" t="s">
        <v>51</v>
      </c>
      <c r="H469" s="65" t="s">
        <v>52</v>
      </c>
      <c r="I469" s="65">
        <v>10909.0</v>
      </c>
      <c r="J469" s="66">
        <v>0.28</v>
      </c>
      <c r="K469" s="65">
        <f t="shared" si="3"/>
        <v>7854</v>
      </c>
      <c r="L469" s="66">
        <v>0.24</v>
      </c>
      <c r="M469" s="65">
        <f t="shared" si="4"/>
        <v>8291</v>
      </c>
      <c r="N469" s="67">
        <f t="shared" si="352"/>
        <v>0.1900265836</v>
      </c>
      <c r="O469" s="68">
        <v>8836.0</v>
      </c>
      <c r="P469" s="67">
        <f t="shared" si="358"/>
        <v>0.1900265836</v>
      </c>
      <c r="Q469" s="69">
        <v>8836.0</v>
      </c>
      <c r="R469" s="76"/>
      <c r="S469" s="72">
        <f t="shared" si="360"/>
        <v>0.06573392836</v>
      </c>
      <c r="T469" s="72">
        <f t="shared" si="6"/>
        <v>0</v>
      </c>
      <c r="U469" s="73" t="str">
        <f t="shared" si="355"/>
        <v/>
      </c>
      <c r="V469" s="73">
        <f t="shared" si="340"/>
        <v>7026.271186</v>
      </c>
      <c r="W469" s="73">
        <f t="shared" si="9"/>
        <v>7026.271186</v>
      </c>
      <c r="X469" s="74">
        <f t="shared" si="10"/>
        <v>1</v>
      </c>
      <c r="Y469" s="73">
        <f t="shared" si="333"/>
        <v>0</v>
      </c>
      <c r="Z469" s="73">
        <f t="shared" si="12"/>
        <v>7488.135593</v>
      </c>
      <c r="AA469" s="73">
        <f t="shared" si="13"/>
        <v>7488.135593</v>
      </c>
      <c r="AB469" s="74">
        <f t="shared" si="14"/>
        <v>1</v>
      </c>
      <c r="AC469" s="61" t="str">
        <f t="shared" si="15"/>
        <v>4</v>
      </c>
      <c r="AD469" s="71" t="str">
        <f t="shared" si="16"/>
        <v>#DIV/0!</v>
      </c>
      <c r="AE469" s="61"/>
      <c r="AF469" s="61"/>
      <c r="AG469" s="71">
        <f t="array" ref="AG469">IFERROR(xlookup(G469,'Old Master'!T:T,'Old Master'!V:V),N469)</f>
        <v>0.1900265836</v>
      </c>
      <c r="AH469" s="73">
        <f t="shared" si="229"/>
        <v>8836</v>
      </c>
      <c r="AI469" s="73">
        <f t="shared" si="230"/>
        <v>7488.135593</v>
      </c>
      <c r="AJ469" s="72">
        <f t="shared" si="19"/>
        <v>1</v>
      </c>
      <c r="AK469" s="61"/>
      <c r="AL469" s="71">
        <f t="array" ref="AL469">iferror(if(isblank(xlookup($G469,'Old Master'!$T:$T,'Old Master'!$W:$W)),AG469,xlookup($G469,'Old Master'!$T:$T,'Old Master'!$W:$W)),AG469)</f>
        <v>0.1900265836</v>
      </c>
      <c r="AM469" s="74">
        <f t="shared" si="20"/>
        <v>0.1934182785</v>
      </c>
      <c r="AN469" s="73">
        <f t="shared" si="361"/>
        <v>8799</v>
      </c>
    </row>
    <row r="470">
      <c r="A470" s="65" t="s">
        <v>44</v>
      </c>
      <c r="B470" s="65">
        <f t="shared" si="1"/>
        <v>42</v>
      </c>
      <c r="C470" s="65" t="str">
        <f t="shared" si="248"/>
        <v>SC-ORIG-S-75x44x6</v>
      </c>
      <c r="D470" s="65" t="s">
        <v>46</v>
      </c>
      <c r="E470" s="65" t="s">
        <v>47</v>
      </c>
      <c r="F470" s="65" t="s">
        <v>48</v>
      </c>
      <c r="G470" s="65" t="s">
        <v>51</v>
      </c>
      <c r="H470" s="65" t="s">
        <v>52</v>
      </c>
      <c r="I470" s="65">
        <v>12399.0</v>
      </c>
      <c r="J470" s="66">
        <v>0.28</v>
      </c>
      <c r="K470" s="65">
        <f t="shared" si="3"/>
        <v>8927</v>
      </c>
      <c r="L470" s="66">
        <v>0.24</v>
      </c>
      <c r="M470" s="65">
        <f t="shared" si="4"/>
        <v>9423</v>
      </c>
      <c r="N470" s="67">
        <f t="shared" si="352"/>
        <v>0.1900153238</v>
      </c>
      <c r="O470" s="68">
        <v>10043.0</v>
      </c>
      <c r="P470" s="67">
        <f t="shared" si="358"/>
        <v>0.1900153238</v>
      </c>
      <c r="Q470" s="69">
        <v>10043.0</v>
      </c>
      <c r="R470" s="76"/>
      <c r="S470" s="72">
        <f t="shared" si="360"/>
        <v>0.06579645548</v>
      </c>
      <c r="T470" s="72">
        <f t="shared" si="6"/>
        <v>0</v>
      </c>
      <c r="U470" s="73" t="str">
        <f t="shared" si="355"/>
        <v/>
      </c>
      <c r="V470" s="73">
        <f t="shared" si="340"/>
        <v>7985.59322</v>
      </c>
      <c r="W470" s="73">
        <f t="shared" si="9"/>
        <v>7985.59322</v>
      </c>
      <c r="X470" s="74">
        <f t="shared" si="10"/>
        <v>1</v>
      </c>
      <c r="Y470" s="73">
        <f t="shared" si="333"/>
        <v>0</v>
      </c>
      <c r="Z470" s="73">
        <f t="shared" si="12"/>
        <v>8511.016949</v>
      </c>
      <c r="AA470" s="73">
        <f t="shared" si="13"/>
        <v>8511.016949</v>
      </c>
      <c r="AB470" s="74">
        <f t="shared" si="14"/>
        <v>1</v>
      </c>
      <c r="AC470" s="61" t="str">
        <f t="shared" si="15"/>
        <v>6</v>
      </c>
      <c r="AD470" s="71" t="str">
        <f t="shared" si="16"/>
        <v>#DIV/0!</v>
      </c>
      <c r="AE470" s="61"/>
      <c r="AF470" s="61"/>
      <c r="AG470" s="71">
        <f t="array" ref="AG470">IFERROR(xlookup(G470,'Old Master'!T:T,'Old Master'!V:V),N470)</f>
        <v>0.1900153238</v>
      </c>
      <c r="AH470" s="73">
        <f t="shared" si="229"/>
        <v>10043</v>
      </c>
      <c r="AI470" s="73">
        <f t="shared" si="230"/>
        <v>8511.016949</v>
      </c>
      <c r="AJ470" s="72">
        <f t="shared" si="19"/>
        <v>1</v>
      </c>
      <c r="AK470" s="61"/>
      <c r="AL470" s="71">
        <f t="array" ref="AL470">iferror(if(isblank(xlookup($G470,'Old Master'!$T:$T,'Old Master'!$W:$W)),AG470,xlookup($G470,'Old Master'!$T:$T,'Old Master'!$W:$W)),AG470)</f>
        <v>0.1900153238</v>
      </c>
      <c r="AM470" s="74">
        <f t="shared" si="20"/>
        <v>0.1935639971</v>
      </c>
      <c r="AN470" s="73">
        <f t="shared" si="361"/>
        <v>9999</v>
      </c>
    </row>
    <row r="471">
      <c r="A471" s="65" t="s">
        <v>739</v>
      </c>
      <c r="B471" s="65">
        <f t="shared" si="1"/>
        <v>72</v>
      </c>
      <c r="C471" s="65" t="str">
        <f t="shared" si="248"/>
        <v>SC-ORIG-K-75x74x4</v>
      </c>
      <c r="D471" s="65" t="s">
        <v>741</v>
      </c>
      <c r="E471" s="65">
        <v>0.0</v>
      </c>
      <c r="F471" s="65" t="s">
        <v>742</v>
      </c>
      <c r="G471" s="65" t="s">
        <v>51</v>
      </c>
      <c r="H471" s="65" t="s">
        <v>52</v>
      </c>
      <c r="I471" s="65">
        <v>13809.0</v>
      </c>
      <c r="J471" s="66">
        <v>0.28</v>
      </c>
      <c r="K471" s="65">
        <f t="shared" si="3"/>
        <v>9942</v>
      </c>
      <c r="L471" s="66">
        <v>0.24</v>
      </c>
      <c r="M471" s="65">
        <f t="shared" si="4"/>
        <v>10495</v>
      </c>
      <c r="N471" s="67">
        <f t="shared" si="352"/>
        <v>0.1900210008</v>
      </c>
      <c r="O471" s="68">
        <v>11185.0</v>
      </c>
      <c r="P471" s="67">
        <f t="shared" si="358"/>
        <v>0.1900210008</v>
      </c>
      <c r="Q471" s="69">
        <v>11185.0</v>
      </c>
      <c r="R471" s="76"/>
      <c r="S471" s="72">
        <f t="shared" si="360"/>
        <v>0.06574559314</v>
      </c>
      <c r="T471" s="72">
        <f t="shared" si="6"/>
        <v>0</v>
      </c>
      <c r="U471" s="73" t="str">
        <f t="shared" si="355"/>
        <v/>
      </c>
      <c r="V471" s="73">
        <f t="shared" si="340"/>
        <v>8894.067797</v>
      </c>
      <c r="W471" s="73">
        <f t="shared" si="9"/>
        <v>8894.067797</v>
      </c>
      <c r="X471" s="74">
        <f t="shared" si="10"/>
        <v>1</v>
      </c>
      <c r="Y471" s="73">
        <f t="shared" si="333"/>
        <v>0</v>
      </c>
      <c r="Z471" s="73">
        <f t="shared" si="12"/>
        <v>9478.813559</v>
      </c>
      <c r="AA471" s="73">
        <f t="shared" si="13"/>
        <v>9478.813559</v>
      </c>
      <c r="AB471" s="74">
        <f t="shared" si="14"/>
        <v>1</v>
      </c>
      <c r="AC471" s="61" t="str">
        <f t="shared" si="15"/>
        <v>4</v>
      </c>
      <c r="AD471" s="71" t="str">
        <f t="shared" si="16"/>
        <v>#DIV/0!</v>
      </c>
      <c r="AE471" s="61"/>
      <c r="AF471" s="61"/>
      <c r="AG471" s="71">
        <f t="array" ref="AG471">IFERROR(xlookup(G471,'Old Master'!T:T,'Old Master'!V:V),N471)</f>
        <v>0.1900210008</v>
      </c>
      <c r="AH471" s="73">
        <f t="shared" si="229"/>
        <v>11185</v>
      </c>
      <c r="AI471" s="73">
        <f t="shared" si="230"/>
        <v>9478.813559</v>
      </c>
      <c r="AJ471" s="72">
        <f t="shared" si="19"/>
        <v>1</v>
      </c>
      <c r="AK471" s="61"/>
      <c r="AL471" s="71">
        <f t="array" ref="AL471">iferror(if(isblank(xlookup($G471,'Old Master'!$T:$T,'Old Master'!$W:$W)),AG471,xlookup($G471,'Old Master'!$T:$T,'Old Master'!$W:$W)),AG471)</f>
        <v>0.1900210008</v>
      </c>
      <c r="AM471" s="74">
        <f t="shared" si="20"/>
        <v>0.1890071692</v>
      </c>
      <c r="AN471" s="73">
        <f t="shared" si="361"/>
        <v>11199</v>
      </c>
    </row>
    <row r="472">
      <c r="A472" s="65" t="s">
        <v>81</v>
      </c>
      <c r="B472" s="65">
        <f t="shared" si="1"/>
        <v>36</v>
      </c>
      <c r="C472" s="65" t="str">
        <f t="shared" si="248"/>
        <v>SC-ORIG-S-84x38x8</v>
      </c>
      <c r="D472" s="65" t="s">
        <v>83</v>
      </c>
      <c r="E472" s="65">
        <v>0.0</v>
      </c>
      <c r="F472" s="65" t="s">
        <v>84</v>
      </c>
      <c r="G472" s="65" t="s">
        <v>51</v>
      </c>
      <c r="H472" s="65" t="s">
        <v>52</v>
      </c>
      <c r="I472" s="65">
        <v>16999.0</v>
      </c>
      <c r="J472" s="66">
        <v>0.28</v>
      </c>
      <c r="K472" s="65">
        <f t="shared" si="3"/>
        <v>12239</v>
      </c>
      <c r="L472" s="66">
        <v>0.24</v>
      </c>
      <c r="M472" s="65">
        <f t="shared" si="4"/>
        <v>12919</v>
      </c>
      <c r="N472" s="67">
        <f t="shared" si="352"/>
        <v>0.1900111771</v>
      </c>
      <c r="O472" s="68">
        <v>13769.0</v>
      </c>
      <c r="P472" s="67">
        <f t="shared" si="358"/>
        <v>0.1900111771</v>
      </c>
      <c r="Q472" s="69">
        <v>13769.0</v>
      </c>
      <c r="R472" s="76"/>
      <c r="S472" s="72">
        <f t="shared" si="360"/>
        <v>0.06579456614</v>
      </c>
      <c r="T472" s="72">
        <f t="shared" si="6"/>
        <v>0</v>
      </c>
      <c r="U472" s="73" t="str">
        <f t="shared" si="355"/>
        <v/>
      </c>
      <c r="V472" s="73">
        <f t="shared" si="340"/>
        <v>10948.30508</v>
      </c>
      <c r="W472" s="73">
        <f t="shared" si="9"/>
        <v>10948.30508</v>
      </c>
      <c r="X472" s="74">
        <f t="shared" si="10"/>
        <v>1</v>
      </c>
      <c r="Y472" s="73">
        <f t="shared" si="333"/>
        <v>0</v>
      </c>
      <c r="Z472" s="73">
        <f t="shared" si="12"/>
        <v>11668.64407</v>
      </c>
      <c r="AA472" s="73">
        <f t="shared" si="13"/>
        <v>11668.64407</v>
      </c>
      <c r="AB472" s="74">
        <f t="shared" si="14"/>
        <v>1</v>
      </c>
      <c r="AC472" s="61" t="str">
        <f t="shared" si="15"/>
        <v>8</v>
      </c>
      <c r="AD472" s="71" t="str">
        <f t="shared" si="16"/>
        <v>#DIV/0!</v>
      </c>
      <c r="AE472" s="61"/>
      <c r="AF472" s="61"/>
      <c r="AG472" s="71">
        <f t="array" ref="AG472">IFERROR(xlookup(G472,'Old Master'!T:T,'Old Master'!V:V),N472)</f>
        <v>0.1900111771</v>
      </c>
      <c r="AH472" s="73">
        <f t="shared" si="229"/>
        <v>13769</v>
      </c>
      <c r="AI472" s="73">
        <f t="shared" si="230"/>
        <v>11668.64407</v>
      </c>
      <c r="AJ472" s="72">
        <f t="shared" si="19"/>
        <v>1</v>
      </c>
      <c r="AK472" s="61"/>
      <c r="AL472" s="71">
        <f t="array" ref="AL472">iferror(if(isblank(xlookup($G472,'Old Master'!$T:$T,'Old Master'!$W:$W)),AG472,xlookup($G472,'Old Master'!$T:$T,'Old Master'!$W:$W)),AG472)</f>
        <v>0.1900111771</v>
      </c>
      <c r="AM472" s="74">
        <f t="shared" si="20"/>
        <v>0.1882463674</v>
      </c>
      <c r="AN472" s="73">
        <f t="shared" si="361"/>
        <v>13799</v>
      </c>
    </row>
    <row r="473">
      <c r="A473" s="65" t="s">
        <v>511</v>
      </c>
      <c r="B473" s="65">
        <f t="shared" si="1"/>
        <v>66</v>
      </c>
      <c r="C473" s="65" t="str">
        <f t="shared" si="248"/>
        <v>SC-ORIG-Q-78x68x5</v>
      </c>
      <c r="D473" s="65" t="s">
        <v>513</v>
      </c>
      <c r="E473" s="65">
        <v>0.0</v>
      </c>
      <c r="F473" s="65" t="s">
        <v>514</v>
      </c>
      <c r="G473" s="65" t="s">
        <v>51</v>
      </c>
      <c r="H473" s="65" t="s">
        <v>52</v>
      </c>
      <c r="I473" s="65">
        <v>16659.0</v>
      </c>
      <c r="J473" s="66">
        <v>0.28</v>
      </c>
      <c r="K473" s="65">
        <f t="shared" si="3"/>
        <v>11994</v>
      </c>
      <c r="L473" s="66">
        <v>0.24</v>
      </c>
      <c r="M473" s="65">
        <f t="shared" si="4"/>
        <v>12661</v>
      </c>
      <c r="N473" s="67">
        <f t="shared" si="352"/>
        <v>0.1899873942</v>
      </c>
      <c r="O473" s="68">
        <v>13494.0</v>
      </c>
      <c r="P473" s="67">
        <f t="shared" si="358"/>
        <v>0.1899873942</v>
      </c>
      <c r="Q473" s="69">
        <v>13494.0</v>
      </c>
      <c r="R473" s="76"/>
      <c r="S473" s="72">
        <f t="shared" si="360"/>
        <v>0.06579259142</v>
      </c>
      <c r="T473" s="72">
        <f t="shared" si="6"/>
        <v>0</v>
      </c>
      <c r="U473" s="73" t="str">
        <f t="shared" si="355"/>
        <v/>
      </c>
      <c r="V473" s="73">
        <f t="shared" si="340"/>
        <v>10729.66102</v>
      </c>
      <c r="W473" s="73">
        <f t="shared" si="9"/>
        <v>10729.66102</v>
      </c>
      <c r="X473" s="74">
        <f t="shared" si="10"/>
        <v>1</v>
      </c>
      <c r="Y473" s="73">
        <f t="shared" si="333"/>
        <v>0</v>
      </c>
      <c r="Z473" s="73">
        <f t="shared" si="12"/>
        <v>11435.59322</v>
      </c>
      <c r="AA473" s="73">
        <f t="shared" si="13"/>
        <v>11435.59322</v>
      </c>
      <c r="AB473" s="74">
        <f t="shared" si="14"/>
        <v>1</v>
      </c>
      <c r="AC473" s="61" t="str">
        <f t="shared" si="15"/>
        <v>5</v>
      </c>
      <c r="AD473" s="71" t="str">
        <f t="shared" si="16"/>
        <v>#DIV/0!</v>
      </c>
      <c r="AE473" s="61"/>
      <c r="AF473" s="61"/>
      <c r="AG473" s="71">
        <f t="array" ref="AG473">IFERROR(xlookup(G473,'Old Master'!T:T,'Old Master'!V:V),N473)</f>
        <v>0.1899873942</v>
      </c>
      <c r="AH473" s="73">
        <f t="shared" si="229"/>
        <v>13494</v>
      </c>
      <c r="AI473" s="73">
        <f t="shared" si="230"/>
        <v>11435.59322</v>
      </c>
      <c r="AJ473" s="72">
        <f t="shared" si="19"/>
        <v>1</v>
      </c>
      <c r="AK473" s="61"/>
      <c r="AL473" s="71">
        <f t="array" ref="AL473">iferror(if(isblank(xlookup($G473,'Old Master'!$T:$T,'Old Master'!$W:$W)),AG473,xlookup($G473,'Old Master'!$T:$T,'Old Master'!$W:$W)),AG473)</f>
        <v>0.1899873942</v>
      </c>
      <c r="AM473" s="74">
        <f t="shared" si="20"/>
        <v>0.1896872561</v>
      </c>
      <c r="AN473" s="73">
        <f t="shared" si="361"/>
        <v>13499</v>
      </c>
    </row>
    <row r="474">
      <c r="A474" s="65" t="s">
        <v>93</v>
      </c>
      <c r="B474" s="65">
        <f t="shared" si="1"/>
        <v>36</v>
      </c>
      <c r="C474" s="65" t="str">
        <f t="shared" si="248"/>
        <v>SC-ORIG-S-75x38x10</v>
      </c>
      <c r="D474" s="65" t="s">
        <v>95</v>
      </c>
      <c r="E474" s="65" t="s">
        <v>96</v>
      </c>
      <c r="F474" s="65" t="s">
        <v>97</v>
      </c>
      <c r="G474" s="65" t="s">
        <v>51</v>
      </c>
      <c r="H474" s="65" t="s">
        <v>52</v>
      </c>
      <c r="I474" s="65">
        <v>13499.0</v>
      </c>
      <c r="J474" s="66">
        <v>0.28</v>
      </c>
      <c r="K474" s="65">
        <f t="shared" si="3"/>
        <v>9719</v>
      </c>
      <c r="L474" s="66">
        <v>0.24</v>
      </c>
      <c r="M474" s="65">
        <f t="shared" si="4"/>
        <v>10259</v>
      </c>
      <c r="N474" s="67">
        <f t="shared" si="352"/>
        <v>0.1900140751</v>
      </c>
      <c r="O474" s="68">
        <v>10934.0</v>
      </c>
      <c r="P474" s="67">
        <f t="shared" si="358"/>
        <v>0.1900140751</v>
      </c>
      <c r="Q474" s="69">
        <v>10934.0</v>
      </c>
      <c r="R474" s="76"/>
      <c r="S474" s="72">
        <f t="shared" si="360"/>
        <v>0.06579588654</v>
      </c>
      <c r="T474" s="72">
        <f t="shared" si="6"/>
        <v>0</v>
      </c>
      <c r="U474" s="73" t="str">
        <f t="shared" si="355"/>
        <v/>
      </c>
      <c r="V474" s="73">
        <f t="shared" si="340"/>
        <v>8694.067797</v>
      </c>
      <c r="W474" s="73">
        <f t="shared" si="9"/>
        <v>8694.067797</v>
      </c>
      <c r="X474" s="74">
        <f t="shared" si="10"/>
        <v>1</v>
      </c>
      <c r="Y474" s="73">
        <f t="shared" si="333"/>
        <v>0</v>
      </c>
      <c r="Z474" s="73">
        <f t="shared" si="12"/>
        <v>9266.101695</v>
      </c>
      <c r="AA474" s="73">
        <f t="shared" si="13"/>
        <v>9266.101695</v>
      </c>
      <c r="AB474" s="74">
        <f t="shared" si="14"/>
        <v>1</v>
      </c>
      <c r="AC474" s="61" t="str">
        <f t="shared" si="15"/>
        <v>0</v>
      </c>
      <c r="AD474" s="71" t="str">
        <f t="shared" si="16"/>
        <v>#DIV/0!</v>
      </c>
      <c r="AE474" s="61"/>
      <c r="AF474" s="61"/>
      <c r="AG474" s="71">
        <f t="array" ref="AG474">IFERROR(xlookup(G474,'Old Master'!T:T,'Old Master'!V:V),N474)</f>
        <v>0.1900140751</v>
      </c>
      <c r="AH474" s="73">
        <f t="shared" si="229"/>
        <v>10934</v>
      </c>
      <c r="AI474" s="73">
        <f t="shared" si="230"/>
        <v>9266.101695</v>
      </c>
      <c r="AJ474" s="72">
        <f t="shared" si="19"/>
        <v>1</v>
      </c>
      <c r="AK474" s="61"/>
      <c r="AL474" s="71">
        <f t="array" ref="AL474">iferror(if(isblank(xlookup($G474,'Old Master'!$T:$T,'Old Master'!$W:$W)),AG474,xlookup($G474,'Old Master'!$T:$T,'Old Master'!$W:$W)),AG474)</f>
        <v>0.1900140751</v>
      </c>
      <c r="AM474" s="74">
        <f t="shared" si="20"/>
        <v>0.1926068598</v>
      </c>
      <c r="AN474" s="73">
        <f t="shared" si="361"/>
        <v>10899</v>
      </c>
    </row>
    <row r="475">
      <c r="A475" s="65" t="s">
        <v>100</v>
      </c>
      <c r="B475" s="65">
        <f t="shared" si="1"/>
        <v>36</v>
      </c>
      <c r="C475" s="65" t="str">
        <f t="shared" si="248"/>
        <v>SC-ORIG-S-78x38x10</v>
      </c>
      <c r="D475" s="65" t="s">
        <v>102</v>
      </c>
      <c r="E475" s="65" t="s">
        <v>103</v>
      </c>
      <c r="F475" s="65" t="s">
        <v>104</v>
      </c>
      <c r="G475" s="65" t="s">
        <v>51</v>
      </c>
      <c r="H475" s="65" t="s">
        <v>52</v>
      </c>
      <c r="I475" s="65">
        <v>13999.0</v>
      </c>
      <c r="J475" s="66">
        <v>0.28</v>
      </c>
      <c r="K475" s="65">
        <f t="shared" si="3"/>
        <v>10079</v>
      </c>
      <c r="L475" s="66">
        <v>0.24</v>
      </c>
      <c r="M475" s="65">
        <f t="shared" si="4"/>
        <v>10639</v>
      </c>
      <c r="N475" s="67">
        <f t="shared" si="352"/>
        <v>0.1900135724</v>
      </c>
      <c r="O475" s="68">
        <v>11339.0</v>
      </c>
      <c r="P475" s="67">
        <f t="shared" si="358"/>
        <v>0.1900135724</v>
      </c>
      <c r="Q475" s="69">
        <v>11339.0</v>
      </c>
      <c r="R475" s="76"/>
      <c r="S475" s="72">
        <f t="shared" si="360"/>
        <v>0.06579565749</v>
      </c>
      <c r="T475" s="72">
        <f t="shared" si="6"/>
        <v>0</v>
      </c>
      <c r="U475" s="73" t="str">
        <f t="shared" si="355"/>
        <v/>
      </c>
      <c r="V475" s="73">
        <f t="shared" si="340"/>
        <v>9016.101695</v>
      </c>
      <c r="W475" s="73">
        <f t="shared" si="9"/>
        <v>9016.101695</v>
      </c>
      <c r="X475" s="74">
        <f t="shared" si="10"/>
        <v>1</v>
      </c>
      <c r="Y475" s="73">
        <f t="shared" si="333"/>
        <v>0</v>
      </c>
      <c r="Z475" s="73">
        <f t="shared" si="12"/>
        <v>9609.322034</v>
      </c>
      <c r="AA475" s="73">
        <f t="shared" si="13"/>
        <v>9609.322034</v>
      </c>
      <c r="AB475" s="74">
        <f t="shared" si="14"/>
        <v>1</v>
      </c>
      <c r="AC475" s="61" t="str">
        <f t="shared" si="15"/>
        <v>0</v>
      </c>
      <c r="AD475" s="71" t="str">
        <f t="shared" si="16"/>
        <v>#DIV/0!</v>
      </c>
      <c r="AE475" s="61"/>
      <c r="AF475" s="61"/>
      <c r="AG475" s="71">
        <f t="array" ref="AG475">IFERROR(xlookup(G475,'Old Master'!T:T,'Old Master'!V:V),N475)</f>
        <v>0.1900135724</v>
      </c>
      <c r="AH475" s="73">
        <f t="shared" si="229"/>
        <v>11339</v>
      </c>
      <c r="AI475" s="73">
        <f t="shared" si="230"/>
        <v>9609.322034</v>
      </c>
      <c r="AJ475" s="72">
        <f t="shared" si="19"/>
        <v>1</v>
      </c>
      <c r="AK475" s="61"/>
      <c r="AL475" s="71">
        <f t="array" ref="AL475">iferror(if(isblank(xlookup($G475,'Old Master'!$T:$T,'Old Master'!$W:$W)),AG475,xlookup($G475,'Old Master'!$T:$T,'Old Master'!$W:$W)),AG475)</f>
        <v>0.1900135724</v>
      </c>
      <c r="AM475" s="74">
        <f t="shared" si="20"/>
        <v>0.1928709194</v>
      </c>
      <c r="AN475" s="73">
        <f t="shared" si="361"/>
        <v>11299</v>
      </c>
    </row>
    <row r="476">
      <c r="A476" s="65" t="s">
        <v>783</v>
      </c>
      <c r="B476" s="65">
        <f t="shared" si="1"/>
        <v>75</v>
      </c>
      <c r="C476" s="65" t="str">
        <f t="shared" si="248"/>
        <v>SC-ORIG-K-78x77x5</v>
      </c>
      <c r="D476" s="65" t="s">
        <v>785</v>
      </c>
      <c r="E476" s="65">
        <v>0.0</v>
      </c>
      <c r="F476" s="65" t="s">
        <v>786</v>
      </c>
      <c r="G476" s="65" t="s">
        <v>51</v>
      </c>
      <c r="H476" s="65" t="s">
        <v>52</v>
      </c>
      <c r="I476" s="65">
        <v>18049.0</v>
      </c>
      <c r="J476" s="66">
        <v>0.28</v>
      </c>
      <c r="K476" s="65">
        <f t="shared" si="3"/>
        <v>12995</v>
      </c>
      <c r="L476" s="66">
        <v>0.24</v>
      </c>
      <c r="M476" s="65">
        <f t="shared" si="4"/>
        <v>13717</v>
      </c>
      <c r="N476" s="67">
        <f t="shared" si="352"/>
        <v>0.1899828245</v>
      </c>
      <c r="O476" s="68">
        <v>14620.0</v>
      </c>
      <c r="P476" s="67">
        <f t="shared" si="358"/>
        <v>0.1899828245</v>
      </c>
      <c r="Q476" s="69">
        <v>14620.0</v>
      </c>
      <c r="R476" s="76"/>
      <c r="S476" s="72">
        <f t="shared" si="360"/>
        <v>0.065830721</v>
      </c>
      <c r="T476" s="72">
        <f t="shared" si="6"/>
        <v>0</v>
      </c>
      <c r="U476" s="73" t="str">
        <f t="shared" si="355"/>
        <v/>
      </c>
      <c r="V476" s="73">
        <f t="shared" si="340"/>
        <v>11624.57627</v>
      </c>
      <c r="W476" s="73">
        <f t="shared" si="9"/>
        <v>11624.57627</v>
      </c>
      <c r="X476" s="74">
        <f t="shared" si="10"/>
        <v>1</v>
      </c>
      <c r="Y476" s="73">
        <f t="shared" si="333"/>
        <v>0</v>
      </c>
      <c r="Z476" s="73">
        <f t="shared" si="12"/>
        <v>12389.83051</v>
      </c>
      <c r="AA476" s="73">
        <f t="shared" si="13"/>
        <v>12389.83051</v>
      </c>
      <c r="AB476" s="74">
        <f t="shared" si="14"/>
        <v>1</v>
      </c>
      <c r="AC476" s="61" t="str">
        <f t="shared" si="15"/>
        <v>5</v>
      </c>
      <c r="AD476" s="71" t="str">
        <f t="shared" si="16"/>
        <v>#DIV/0!</v>
      </c>
      <c r="AE476" s="61"/>
      <c r="AF476" s="61"/>
      <c r="AG476" s="71">
        <f t="array" ref="AG476">IFERROR(xlookup(G476,'Old Master'!T:T,'Old Master'!V:V),N476)</f>
        <v>0.1899828245</v>
      </c>
      <c r="AH476" s="73">
        <f t="shared" si="229"/>
        <v>14620</v>
      </c>
      <c r="AI476" s="73">
        <f t="shared" si="230"/>
        <v>12389.83051</v>
      </c>
      <c r="AJ476" s="72">
        <f t="shared" si="19"/>
        <v>1</v>
      </c>
      <c r="AK476" s="61"/>
      <c r="AL476" s="71">
        <f t="array" ref="AL476">iferror(if(isblank(xlookup($G476,'Old Master'!$T:$T,'Old Master'!$W:$W)),AG476,xlookup($G476,'Old Master'!$T:$T,'Old Master'!$W:$W)),AG476)</f>
        <v>0.1899828245</v>
      </c>
      <c r="AM476" s="74">
        <f t="shared" si="20"/>
        <v>0.1911463239</v>
      </c>
      <c r="AN476" s="73">
        <f t="shared" si="361"/>
        <v>14599</v>
      </c>
    </row>
    <row r="477">
      <c r="A477" s="65" t="s">
        <v>724</v>
      </c>
      <c r="B477" s="65">
        <f t="shared" si="1"/>
        <v>72</v>
      </c>
      <c r="C477" s="65" t="str">
        <f t="shared" si="248"/>
        <v>SC-ORIG-K-84x74x5</v>
      </c>
      <c r="D477" s="65" t="s">
        <v>726</v>
      </c>
      <c r="E477" s="65">
        <v>0.0</v>
      </c>
      <c r="F477" s="65" t="s">
        <v>727</v>
      </c>
      <c r="G477" s="65" t="s">
        <v>51</v>
      </c>
      <c r="H477" s="65" t="s">
        <v>52</v>
      </c>
      <c r="I477" s="65">
        <v>18739.0</v>
      </c>
      <c r="J477" s="66">
        <v>0.28</v>
      </c>
      <c r="K477" s="65">
        <f t="shared" si="3"/>
        <v>13492</v>
      </c>
      <c r="L477" s="66">
        <v>0.24</v>
      </c>
      <c r="M477" s="65">
        <f t="shared" si="4"/>
        <v>14242</v>
      </c>
      <c r="N477" s="67">
        <f t="shared" si="352"/>
        <v>0.1899781205</v>
      </c>
      <c r="O477" s="68">
        <v>15179.0</v>
      </c>
      <c r="P477" s="67">
        <f t="shared" si="358"/>
        <v>0.1899781205</v>
      </c>
      <c r="Q477" s="69">
        <v>15179.0</v>
      </c>
      <c r="R477" s="76"/>
      <c r="S477" s="72">
        <f t="shared" si="360"/>
        <v>0.06579132144</v>
      </c>
      <c r="T477" s="72">
        <f t="shared" si="6"/>
        <v>0</v>
      </c>
      <c r="U477" s="73" t="str">
        <f t="shared" si="355"/>
        <v/>
      </c>
      <c r="V477" s="73">
        <f t="shared" si="340"/>
        <v>12069.49153</v>
      </c>
      <c r="W477" s="73">
        <f t="shared" si="9"/>
        <v>12069.49153</v>
      </c>
      <c r="X477" s="74">
        <f t="shared" si="10"/>
        <v>1</v>
      </c>
      <c r="Y477" s="73">
        <f t="shared" si="333"/>
        <v>0</v>
      </c>
      <c r="Z477" s="73">
        <f t="shared" si="12"/>
        <v>12863.55932</v>
      </c>
      <c r="AA477" s="73">
        <f t="shared" si="13"/>
        <v>12863.55932</v>
      </c>
      <c r="AB477" s="74">
        <f t="shared" si="14"/>
        <v>1</v>
      </c>
      <c r="AC477" s="61" t="str">
        <f t="shared" si="15"/>
        <v>5</v>
      </c>
      <c r="AD477" s="71" t="str">
        <f t="shared" si="16"/>
        <v>#DIV/0!</v>
      </c>
      <c r="AE477" s="61"/>
      <c r="AF477" s="61"/>
      <c r="AG477" s="71">
        <f t="array" ref="AG477">IFERROR(xlookup(G477,'Old Master'!T:T,'Old Master'!V:V),N477)</f>
        <v>0.1899781205</v>
      </c>
      <c r="AH477" s="73">
        <f t="shared" si="229"/>
        <v>15179</v>
      </c>
      <c r="AI477" s="73">
        <f t="shared" si="230"/>
        <v>12863.55932</v>
      </c>
      <c r="AJ477" s="72">
        <f t="shared" si="19"/>
        <v>1</v>
      </c>
      <c r="AK477" s="61"/>
      <c r="AL477" s="71">
        <f t="array" ref="AL477">iferror(if(isblank(xlookup($G477,'Old Master'!$T:$T,'Old Master'!$W:$W)),AG477,xlookup($G477,'Old Master'!$T:$T,'Old Master'!$W:$W)),AG477)</f>
        <v>0.1899781205</v>
      </c>
      <c r="AM477" s="74">
        <f t="shared" si="20"/>
        <v>0.1889108277</v>
      </c>
      <c r="AN477" s="73">
        <f t="shared" si="361"/>
        <v>15199</v>
      </c>
    </row>
    <row r="478">
      <c r="A478" s="65" t="s">
        <v>265</v>
      </c>
      <c r="B478" s="65">
        <f t="shared" si="1"/>
        <v>48</v>
      </c>
      <c r="C478" s="65" t="str">
        <f t="shared" si="248"/>
        <v>SC-ORIG-D-75x50x10</v>
      </c>
      <c r="D478" s="65" t="s">
        <v>267</v>
      </c>
      <c r="E478" s="65" t="s">
        <v>268</v>
      </c>
      <c r="F478" s="65" t="s">
        <v>269</v>
      </c>
      <c r="G478" s="65" t="s">
        <v>51</v>
      </c>
      <c r="H478" s="65" t="s">
        <v>52</v>
      </c>
      <c r="I478" s="65">
        <v>16899.0</v>
      </c>
      <c r="J478" s="66">
        <v>0.28</v>
      </c>
      <c r="K478" s="65">
        <f t="shared" si="3"/>
        <v>12167</v>
      </c>
      <c r="L478" s="66">
        <v>0.24</v>
      </c>
      <c r="M478" s="65">
        <f t="shared" si="4"/>
        <v>12843</v>
      </c>
      <c r="N478" s="67">
        <f t="shared" si="352"/>
        <v>0.1900112433</v>
      </c>
      <c r="O478" s="68">
        <v>13688.0</v>
      </c>
      <c r="P478" s="67">
        <f t="shared" si="358"/>
        <v>0.1900112433</v>
      </c>
      <c r="Q478" s="69">
        <v>13688.0</v>
      </c>
      <c r="R478" s="76"/>
      <c r="S478" s="72">
        <f t="shared" si="360"/>
        <v>0.06579459628</v>
      </c>
      <c r="T478" s="72">
        <f t="shared" si="6"/>
        <v>0</v>
      </c>
      <c r="U478" s="73" t="str">
        <f t="shared" si="355"/>
        <v/>
      </c>
      <c r="V478" s="73">
        <f t="shared" si="340"/>
        <v>10883.89831</v>
      </c>
      <c r="W478" s="73">
        <f t="shared" si="9"/>
        <v>10883.89831</v>
      </c>
      <c r="X478" s="74">
        <f t="shared" si="10"/>
        <v>1</v>
      </c>
      <c r="Y478" s="73">
        <f t="shared" si="333"/>
        <v>0</v>
      </c>
      <c r="Z478" s="73">
        <f t="shared" si="12"/>
        <v>11600</v>
      </c>
      <c r="AA478" s="73">
        <f t="shared" si="13"/>
        <v>11600</v>
      </c>
      <c r="AB478" s="74">
        <f t="shared" si="14"/>
        <v>1</v>
      </c>
      <c r="AC478" s="61" t="str">
        <f t="shared" si="15"/>
        <v>0</v>
      </c>
      <c r="AD478" s="71" t="str">
        <f t="shared" si="16"/>
        <v>#DIV/0!</v>
      </c>
      <c r="AE478" s="61"/>
      <c r="AF478" s="61"/>
      <c r="AG478" s="71">
        <f t="array" ref="AG478">IFERROR(xlookup(G478,'Old Master'!T:T,'Old Master'!V:V),N478)</f>
        <v>0.1900112433</v>
      </c>
      <c r="AH478" s="73">
        <f t="shared" si="229"/>
        <v>13688</v>
      </c>
      <c r="AI478" s="73">
        <f t="shared" si="230"/>
        <v>11600</v>
      </c>
      <c r="AJ478" s="72">
        <f t="shared" si="19"/>
        <v>1</v>
      </c>
      <c r="AK478" s="61"/>
      <c r="AL478" s="71">
        <f t="array" ref="AL478">iferror(if(isblank(xlookup($G478,'Old Master'!$T:$T,'Old Master'!$W:$W)),AG478,xlookup($G478,'Old Master'!$T:$T,'Old Master'!$W:$W)),AG478)</f>
        <v>0.1900112433</v>
      </c>
      <c r="AM478" s="74">
        <f t="shared" si="20"/>
        <v>0.1893603172</v>
      </c>
      <c r="AN478" s="73">
        <f t="shared" si="361"/>
        <v>13699</v>
      </c>
    </row>
    <row r="479">
      <c r="A479" s="65" t="s">
        <v>161</v>
      </c>
      <c r="B479" s="65">
        <f t="shared" si="1"/>
        <v>42</v>
      </c>
      <c r="C479" s="65" t="str">
        <f t="shared" si="248"/>
        <v>SC-ORIG-S-78x44x5</v>
      </c>
      <c r="D479" s="65" t="s">
        <v>163</v>
      </c>
      <c r="E479" s="65">
        <v>0.0</v>
      </c>
      <c r="F479" s="65" t="s">
        <v>164</v>
      </c>
      <c r="G479" s="65" t="s">
        <v>51</v>
      </c>
      <c r="H479" s="65" t="s">
        <v>52</v>
      </c>
      <c r="I479" s="65">
        <v>12079.0</v>
      </c>
      <c r="J479" s="66">
        <v>0.28</v>
      </c>
      <c r="K479" s="65">
        <f t="shared" si="3"/>
        <v>8697</v>
      </c>
      <c r="L479" s="66">
        <v>0.24</v>
      </c>
      <c r="M479" s="65">
        <f t="shared" si="4"/>
        <v>9180</v>
      </c>
      <c r="N479" s="67">
        <f t="shared" si="352"/>
        <v>0.1899991721</v>
      </c>
      <c r="O479" s="68">
        <v>9784.0</v>
      </c>
      <c r="P479" s="67">
        <f t="shared" si="358"/>
        <v>0.1899991721</v>
      </c>
      <c r="Q479" s="69">
        <v>9784.0</v>
      </c>
      <c r="R479" s="76"/>
      <c r="S479" s="72">
        <f t="shared" si="360"/>
        <v>0.06579520697</v>
      </c>
      <c r="T479" s="72">
        <f t="shared" si="6"/>
        <v>0</v>
      </c>
      <c r="U479" s="73">
        <f t="shared" ref="U479:U481" si="362">IFERROR(XLOOKUP(A479,COGS!I:I,COGS!J:J), IFERROR(XLOOKUP(C479,COGS!I:I,COGS!J:J),I479*35%))</f>
        <v>4227.65</v>
      </c>
      <c r="V479" s="73">
        <f t="shared" si="340"/>
        <v>7779.661017</v>
      </c>
      <c r="W479" s="73">
        <f t="shared" si="9"/>
        <v>3552.011017</v>
      </c>
      <c r="X479" s="74">
        <f t="shared" si="10"/>
        <v>0.4565765795</v>
      </c>
      <c r="Y479" s="73">
        <f t="shared" si="333"/>
        <v>4861.7975</v>
      </c>
      <c r="Z479" s="73">
        <f t="shared" si="12"/>
        <v>8291.525424</v>
      </c>
      <c r="AA479" s="73">
        <f t="shared" si="13"/>
        <v>3429.727924</v>
      </c>
      <c r="AB479" s="74">
        <f t="shared" si="14"/>
        <v>0.4136425746</v>
      </c>
      <c r="AC479" s="61" t="str">
        <f t="shared" si="15"/>
        <v>5</v>
      </c>
      <c r="AD479" s="71">
        <f t="shared" si="16"/>
        <v>0.15</v>
      </c>
      <c r="AE479" s="61"/>
      <c r="AF479" s="61"/>
      <c r="AG479" s="71">
        <f t="array" ref="AG479">IFERROR(xlookup(G479,'Old Master'!T:T,'Old Master'!V:V),N479)</f>
        <v>0.1899991721</v>
      </c>
      <c r="AH479" s="73">
        <f t="shared" si="229"/>
        <v>9784</v>
      </c>
      <c r="AI479" s="73">
        <f t="shared" si="230"/>
        <v>3429.727924</v>
      </c>
      <c r="AJ479" s="72">
        <f t="shared" si="19"/>
        <v>0.4136425746</v>
      </c>
      <c r="AK479" s="61"/>
      <c r="AL479" s="71">
        <f t="array" ref="AL479">iferror(if(isblank(xlookup($G479,'Old Master'!$T:$T,'Old Master'!$W:$W)),AG479,xlookup($G479,'Old Master'!$T:$T,'Old Master'!$W:$W)),AG479)</f>
        <v>0.1899991721</v>
      </c>
      <c r="AM479" s="74">
        <f t="shared" si="20"/>
        <v>0.1887573475</v>
      </c>
      <c r="AN479" s="73">
        <f t="shared" si="361"/>
        <v>9799</v>
      </c>
    </row>
    <row r="480">
      <c r="A480" s="65" t="s">
        <v>151</v>
      </c>
      <c r="B480" s="65">
        <f t="shared" si="1"/>
        <v>42</v>
      </c>
      <c r="C480" s="65" t="str">
        <f t="shared" si="248"/>
        <v>SC-ORIG-S-72x44x5</v>
      </c>
      <c r="D480" s="65" t="s">
        <v>153</v>
      </c>
      <c r="E480" s="65">
        <v>0.0</v>
      </c>
      <c r="F480" s="65" t="s">
        <v>154</v>
      </c>
      <c r="G480" s="65" t="s">
        <v>51</v>
      </c>
      <c r="H480" s="65" t="s">
        <v>52</v>
      </c>
      <c r="I480" s="65">
        <v>11519.0</v>
      </c>
      <c r="J480" s="66">
        <v>0.28</v>
      </c>
      <c r="K480" s="65">
        <f t="shared" si="3"/>
        <v>8294</v>
      </c>
      <c r="L480" s="66">
        <v>0.24</v>
      </c>
      <c r="M480" s="65">
        <f t="shared" si="4"/>
        <v>8754</v>
      </c>
      <c r="N480" s="67">
        <f t="shared" si="352"/>
        <v>0.1900338571</v>
      </c>
      <c r="O480" s="68">
        <v>9330.0</v>
      </c>
      <c r="P480" s="67">
        <f t="shared" si="358"/>
        <v>0.1900338571</v>
      </c>
      <c r="Q480" s="69">
        <v>9330.0</v>
      </c>
      <c r="R480" s="76"/>
      <c r="S480" s="72">
        <f t="shared" si="360"/>
        <v>0.06579849212</v>
      </c>
      <c r="T480" s="72">
        <f t="shared" si="6"/>
        <v>0</v>
      </c>
      <c r="U480" s="73">
        <f t="shared" si="362"/>
        <v>4031.65</v>
      </c>
      <c r="V480" s="73">
        <f t="shared" si="340"/>
        <v>7418.644068</v>
      </c>
      <c r="W480" s="73">
        <f t="shared" si="9"/>
        <v>3386.994068</v>
      </c>
      <c r="X480" s="74">
        <f t="shared" si="10"/>
        <v>0.4565516335</v>
      </c>
      <c r="Y480" s="73">
        <f t="shared" si="333"/>
        <v>4636.3975</v>
      </c>
      <c r="Z480" s="73">
        <f t="shared" si="12"/>
        <v>7906.779661</v>
      </c>
      <c r="AA480" s="73">
        <f t="shared" si="13"/>
        <v>3270.382161</v>
      </c>
      <c r="AB480" s="74">
        <f t="shared" si="14"/>
        <v>0.4136174652</v>
      </c>
      <c r="AC480" s="61" t="str">
        <f t="shared" si="15"/>
        <v>5</v>
      </c>
      <c r="AD480" s="71">
        <f t="shared" si="16"/>
        <v>0.15</v>
      </c>
      <c r="AE480" s="61"/>
      <c r="AF480" s="61"/>
      <c r="AG480" s="71">
        <f t="array" ref="AG480">IFERROR(xlookup(G480,'Old Master'!T:T,'Old Master'!V:V),N480)</f>
        <v>0.1900338571</v>
      </c>
      <c r="AH480" s="73">
        <f t="shared" si="229"/>
        <v>9330</v>
      </c>
      <c r="AI480" s="73">
        <f t="shared" si="230"/>
        <v>3270.382161</v>
      </c>
      <c r="AJ480" s="72">
        <f t="shared" si="19"/>
        <v>0.4136174652</v>
      </c>
      <c r="AK480" s="61"/>
      <c r="AL480" s="71">
        <f t="array" ref="AL480">iferror(if(isblank(xlookup($G480,'Old Master'!$T:$T,'Old Master'!$W:$W)),AG480,xlookup($G480,'Old Master'!$T:$T,'Old Master'!$W:$W)),AG480)</f>
        <v>0.1900338571</v>
      </c>
      <c r="AM480" s="74">
        <f t="shared" si="20"/>
        <v>0.1927250629</v>
      </c>
      <c r="AN480" s="73">
        <f t="shared" si="361"/>
        <v>9299</v>
      </c>
    </row>
    <row r="481">
      <c r="A481" s="65" t="s">
        <v>471</v>
      </c>
      <c r="B481" s="65">
        <f t="shared" si="1"/>
        <v>66</v>
      </c>
      <c r="C481" s="65" t="str">
        <f t="shared" si="248"/>
        <v>SC-ORIG-Q-84x68x8</v>
      </c>
      <c r="D481" s="65">
        <v>0.0</v>
      </c>
      <c r="E481" s="65">
        <v>0.0</v>
      </c>
      <c r="F481" s="65" t="s">
        <v>474</v>
      </c>
      <c r="G481" s="65" t="s">
        <v>51</v>
      </c>
      <c r="H481" s="65" t="s">
        <v>52</v>
      </c>
      <c r="I481" s="65">
        <v>21999.0</v>
      </c>
      <c r="J481" s="66">
        <v>0.28</v>
      </c>
      <c r="K481" s="65">
        <f t="shared" si="3"/>
        <v>15839</v>
      </c>
      <c r="L481" s="66">
        <v>0.24</v>
      </c>
      <c r="M481" s="65">
        <f t="shared" si="4"/>
        <v>16719</v>
      </c>
      <c r="N481" s="67">
        <f t="shared" si="352"/>
        <v>0.1900086368</v>
      </c>
      <c r="O481" s="68">
        <v>17819.0</v>
      </c>
      <c r="P481" s="67">
        <f t="shared" si="358"/>
        <v>0.1900086368</v>
      </c>
      <c r="Q481" s="69">
        <v>17819.0</v>
      </c>
      <c r="R481" s="76"/>
      <c r="S481" s="72">
        <f t="shared" si="360"/>
        <v>0.0657934087</v>
      </c>
      <c r="T481" s="72">
        <f t="shared" si="6"/>
        <v>0</v>
      </c>
      <c r="U481" s="73">
        <f t="shared" si="362"/>
        <v>7699.65</v>
      </c>
      <c r="V481" s="73">
        <f t="shared" si="340"/>
        <v>14168.64407</v>
      </c>
      <c r="W481" s="73">
        <f t="shared" si="9"/>
        <v>6468.994068</v>
      </c>
      <c r="X481" s="74">
        <f t="shared" si="10"/>
        <v>0.4565711466</v>
      </c>
      <c r="Y481" s="73">
        <f t="shared" si="333"/>
        <v>8854.5975</v>
      </c>
      <c r="Z481" s="73">
        <f t="shared" si="12"/>
        <v>15100.84746</v>
      </c>
      <c r="AA481" s="73">
        <f t="shared" si="13"/>
        <v>6246.249958</v>
      </c>
      <c r="AB481" s="74">
        <f t="shared" si="14"/>
        <v>0.4136357231</v>
      </c>
      <c r="AC481" s="61" t="str">
        <f t="shared" si="15"/>
        <v>8</v>
      </c>
      <c r="AD481" s="71">
        <f t="shared" si="16"/>
        <v>0.15</v>
      </c>
      <c r="AE481" s="61"/>
      <c r="AF481" s="61"/>
      <c r="AG481" s="71">
        <f t="array" ref="AG481">IFERROR(xlookup(G481,'Old Master'!T:T,'Old Master'!V:V),N481)</f>
        <v>0.1900086368</v>
      </c>
      <c r="AH481" s="73">
        <f t="shared" si="229"/>
        <v>17819</v>
      </c>
      <c r="AI481" s="73">
        <f t="shared" si="230"/>
        <v>6246.249958</v>
      </c>
      <c r="AJ481" s="72">
        <f t="shared" si="19"/>
        <v>0.4136357231</v>
      </c>
      <c r="AK481" s="61"/>
      <c r="AL481" s="71">
        <f t="array" ref="AL481">iferror(if(isblank(xlookup($G481,'Old Master'!$T:$T,'Old Master'!$W:$W)),AG481,xlookup($G481,'Old Master'!$T:$T,'Old Master'!$W:$W)),AG481)</f>
        <v>0.1900086368</v>
      </c>
      <c r="AM481" s="74">
        <f t="shared" si="20"/>
        <v>0.190917769</v>
      </c>
      <c r="AN481" s="73">
        <f t="shared" si="361"/>
        <v>17799</v>
      </c>
    </row>
    <row r="482">
      <c r="A482" s="65" t="s">
        <v>5402</v>
      </c>
      <c r="B482" s="65" t="str">
        <f t="shared" si="1"/>
        <v>#VALUE!</v>
      </c>
      <c r="C482" s="65" t="str">
        <f t="shared" si="248"/>
        <v>#VALUE!</v>
      </c>
      <c r="D482" s="65" t="s">
        <v>3201</v>
      </c>
      <c r="E482" s="65" t="s">
        <v>3199</v>
      </c>
      <c r="F482" s="65" t="s">
        <v>3202</v>
      </c>
      <c r="G482" s="65" t="s">
        <v>1195</v>
      </c>
      <c r="H482" s="65" t="s">
        <v>5114</v>
      </c>
      <c r="I482" s="65">
        <v>2889.0</v>
      </c>
      <c r="J482" s="66">
        <v>0.2815485168426345</v>
      </c>
      <c r="K482" s="65">
        <f t="shared" si="3"/>
        <v>2076</v>
      </c>
      <c r="L482" s="66">
        <v>0.43</v>
      </c>
      <c r="M482" s="65">
        <f t="shared" si="4"/>
        <v>1647</v>
      </c>
      <c r="N482" s="67">
        <f t="shared" si="352"/>
        <v>0.2814122534</v>
      </c>
      <c r="O482" s="68">
        <v>2076.0</v>
      </c>
      <c r="P482" s="67">
        <f t="shared" si="358"/>
        <v>0.2814122534</v>
      </c>
      <c r="Q482" s="69">
        <v>2076.0</v>
      </c>
      <c r="R482" s="70"/>
      <c r="S482" s="71">
        <f t="shared" ref="S482:S540" si="363">O482/K482-1</f>
        <v>0</v>
      </c>
      <c r="T482" s="72">
        <f t="shared" si="6"/>
        <v>0</v>
      </c>
      <c r="U482" s="73" t="str">
        <f t="shared" ref="U482:U540" si="364">IFERROR(XLOOKUP(A482,COGS!I:I,COGS!J:J), IFERROR(XLOOKUP(C482,COGS!I:I,COGS!J:J),""))</f>
        <v/>
      </c>
      <c r="V482" s="73">
        <f t="shared" si="340"/>
        <v>1395.762712</v>
      </c>
      <c r="W482" s="73">
        <f t="shared" si="9"/>
        <v>1395.762712</v>
      </c>
      <c r="X482" s="74">
        <f t="shared" si="10"/>
        <v>1</v>
      </c>
      <c r="Y482" s="73">
        <f t="shared" si="333"/>
        <v>0</v>
      </c>
      <c r="Z482" s="73">
        <f t="shared" si="12"/>
        <v>1759.322034</v>
      </c>
      <c r="AA482" s="73">
        <f t="shared" si="13"/>
        <v>1759.322034</v>
      </c>
      <c r="AB482" s="74">
        <f t="shared" si="14"/>
        <v>1</v>
      </c>
      <c r="AC482" s="61" t="str">
        <f t="shared" si="15"/>
        <v>9</v>
      </c>
      <c r="AD482" s="71" t="str">
        <f t="shared" si="16"/>
        <v>#DIV/0!</v>
      </c>
      <c r="AE482" s="61"/>
      <c r="AF482" s="61"/>
      <c r="AG482" s="71">
        <f t="array" ref="AG482">IFERROR(xlookup(G482,'Old Master'!T:T,'Old Master'!V:V),N482)</f>
        <v>0.2814122534</v>
      </c>
      <c r="AH482" s="73">
        <f t="shared" si="229"/>
        <v>2076</v>
      </c>
      <c r="AI482" s="73">
        <f t="shared" si="230"/>
        <v>1759.322034</v>
      </c>
      <c r="AJ482" s="72">
        <f t="shared" si="19"/>
        <v>1</v>
      </c>
      <c r="AK482" s="61"/>
      <c r="AL482" s="71">
        <f t="array" ref="AL482">iferror(if(isblank(xlookup($G482,'Old Master'!$T:$T,'Old Master'!$W:$W)),AG482,xlookup($G482,'Old Master'!$T:$T,'Old Master'!$W:$W)),AG482)</f>
        <v>0.2814122534</v>
      </c>
      <c r="AM482" s="74">
        <f t="shared" si="20"/>
        <v>0.2734510211</v>
      </c>
      <c r="AN482" s="73">
        <f t="shared" si="361"/>
        <v>2099</v>
      </c>
    </row>
    <row r="483">
      <c r="A483" s="65" t="s">
        <v>5403</v>
      </c>
      <c r="B483" s="65" t="str">
        <f t="shared" si="1"/>
        <v>#VALUE!</v>
      </c>
      <c r="C483" s="65" t="str">
        <f t="shared" si="248"/>
        <v>#VALUE!</v>
      </c>
      <c r="D483" s="65" t="s">
        <v>2606</v>
      </c>
      <c r="E483" s="65">
        <v>0.0</v>
      </c>
      <c r="F483" s="65" t="s">
        <v>2604</v>
      </c>
      <c r="G483" s="65" t="s">
        <v>1195</v>
      </c>
      <c r="H483" s="65" t="s">
        <v>5114</v>
      </c>
      <c r="I483" s="65">
        <v>2989.0</v>
      </c>
      <c r="J483" s="66">
        <v>0.2815485168426345</v>
      </c>
      <c r="K483" s="65">
        <f t="shared" si="3"/>
        <v>2147</v>
      </c>
      <c r="L483" s="66">
        <v>0.43</v>
      </c>
      <c r="M483" s="65">
        <f t="shared" si="4"/>
        <v>1704</v>
      </c>
      <c r="N483" s="67">
        <f t="shared" si="352"/>
        <v>0.2816995651</v>
      </c>
      <c r="O483" s="68">
        <v>2147.0</v>
      </c>
      <c r="P483" s="67">
        <f t="shared" si="358"/>
        <v>0.2816995651</v>
      </c>
      <c r="Q483" s="69">
        <v>2147.0</v>
      </c>
      <c r="R483" s="70"/>
      <c r="S483" s="71">
        <f t="shared" si="363"/>
        <v>0</v>
      </c>
      <c r="T483" s="72">
        <f t="shared" si="6"/>
        <v>0</v>
      </c>
      <c r="U483" s="73" t="str">
        <f t="shared" si="364"/>
        <v/>
      </c>
      <c r="V483" s="73">
        <f t="shared" si="340"/>
        <v>1444.067797</v>
      </c>
      <c r="W483" s="73">
        <f t="shared" si="9"/>
        <v>1444.067797</v>
      </c>
      <c r="X483" s="74">
        <f t="shared" si="10"/>
        <v>1</v>
      </c>
      <c r="Y483" s="73">
        <f t="shared" si="333"/>
        <v>0</v>
      </c>
      <c r="Z483" s="73">
        <f t="shared" si="12"/>
        <v>1819.491525</v>
      </c>
      <c r="AA483" s="73">
        <f t="shared" si="13"/>
        <v>1819.491525</v>
      </c>
      <c r="AB483" s="74">
        <f t="shared" si="14"/>
        <v>1</v>
      </c>
      <c r="AC483" s="61" t="str">
        <f t="shared" si="15"/>
        <v>6</v>
      </c>
      <c r="AD483" s="71" t="str">
        <f t="shared" si="16"/>
        <v>#DIV/0!</v>
      </c>
      <c r="AE483" s="61"/>
      <c r="AF483" s="61"/>
      <c r="AG483" s="71">
        <f t="array" ref="AG483">IFERROR(xlookup(G483,'Old Master'!T:T,'Old Master'!V:V),N483)</f>
        <v>0.2816995651</v>
      </c>
      <c r="AH483" s="73">
        <f t="shared" si="229"/>
        <v>2147</v>
      </c>
      <c r="AI483" s="73">
        <f t="shared" si="230"/>
        <v>1819.491525</v>
      </c>
      <c r="AJ483" s="72">
        <f t="shared" si="19"/>
        <v>1</v>
      </c>
      <c r="AK483" s="61"/>
      <c r="AL483" s="71">
        <f t="array" ref="AL483">iferror(if(isblank(xlookup($G483,'Old Master'!$T:$T,'Old Master'!$W:$W)),AG483,xlookup($G483,'Old Master'!$T:$T,'Old Master'!$W:$W)),AG483)</f>
        <v>0.2816995651</v>
      </c>
      <c r="AM483" s="74">
        <f t="shared" si="20"/>
        <v>0.2977584476</v>
      </c>
      <c r="AN483" s="73">
        <f t="shared" si="361"/>
        <v>2099</v>
      </c>
    </row>
    <row r="484">
      <c r="A484" s="65" t="s">
        <v>5404</v>
      </c>
      <c r="B484" s="65" t="str">
        <f t="shared" si="1"/>
        <v>#VALUE!</v>
      </c>
      <c r="C484" s="65" t="str">
        <f t="shared" si="248"/>
        <v>#VALUE!</v>
      </c>
      <c r="D484" s="65" t="s">
        <v>2621</v>
      </c>
      <c r="E484" s="65">
        <v>0.0</v>
      </c>
      <c r="F484" s="65" t="s">
        <v>2619</v>
      </c>
      <c r="G484" s="65" t="s">
        <v>1195</v>
      </c>
      <c r="H484" s="65" t="s">
        <v>5114</v>
      </c>
      <c r="I484" s="65">
        <v>2989.0</v>
      </c>
      <c r="J484" s="66">
        <v>0.2815485168426345</v>
      </c>
      <c r="K484" s="65">
        <f t="shared" si="3"/>
        <v>2147</v>
      </c>
      <c r="L484" s="66">
        <v>0.43</v>
      </c>
      <c r="M484" s="65">
        <f t="shared" si="4"/>
        <v>1704</v>
      </c>
      <c r="N484" s="67">
        <f t="shared" si="352"/>
        <v>0.2816995651</v>
      </c>
      <c r="O484" s="68">
        <v>2147.0</v>
      </c>
      <c r="P484" s="67">
        <f t="shared" si="358"/>
        <v>0.2816995651</v>
      </c>
      <c r="Q484" s="69">
        <v>2147.0</v>
      </c>
      <c r="R484" s="70"/>
      <c r="S484" s="71">
        <f t="shared" si="363"/>
        <v>0</v>
      </c>
      <c r="T484" s="72">
        <f t="shared" si="6"/>
        <v>0</v>
      </c>
      <c r="U484" s="73" t="str">
        <f t="shared" si="364"/>
        <v/>
      </c>
      <c r="V484" s="73">
        <f t="shared" si="340"/>
        <v>1444.067797</v>
      </c>
      <c r="W484" s="73">
        <f t="shared" si="9"/>
        <v>1444.067797</v>
      </c>
      <c r="X484" s="74">
        <f t="shared" si="10"/>
        <v>1</v>
      </c>
      <c r="Y484" s="73">
        <f t="shared" si="333"/>
        <v>0</v>
      </c>
      <c r="Z484" s="73">
        <f t="shared" si="12"/>
        <v>1819.491525</v>
      </c>
      <c r="AA484" s="73">
        <f t="shared" si="13"/>
        <v>1819.491525</v>
      </c>
      <c r="AB484" s="74">
        <f t="shared" si="14"/>
        <v>1</v>
      </c>
      <c r="AC484" s="61" t="str">
        <f t="shared" si="15"/>
        <v>6</v>
      </c>
      <c r="AD484" s="71" t="str">
        <f t="shared" si="16"/>
        <v>#DIV/0!</v>
      </c>
      <c r="AE484" s="61"/>
      <c r="AF484" s="61"/>
      <c r="AG484" s="71">
        <f t="array" ref="AG484">IFERROR(xlookup(G484,'Old Master'!T:T,'Old Master'!V:V),N484)</f>
        <v>0.2816995651</v>
      </c>
      <c r="AH484" s="73">
        <f t="shared" si="229"/>
        <v>2147</v>
      </c>
      <c r="AI484" s="73">
        <f t="shared" si="230"/>
        <v>1819.491525</v>
      </c>
      <c r="AJ484" s="72">
        <f t="shared" si="19"/>
        <v>1</v>
      </c>
      <c r="AK484" s="61"/>
      <c r="AL484" s="71">
        <f t="array" ref="AL484">iferror(if(isblank(xlookup($G484,'Old Master'!$T:$T,'Old Master'!$W:$W)),AG484,xlookup($G484,'Old Master'!$T:$T,'Old Master'!$W:$W)),AG484)</f>
        <v>0.2816995651</v>
      </c>
      <c r="AM484" s="74">
        <f t="shared" si="20"/>
        <v>0.2977584476</v>
      </c>
      <c r="AN484" s="73">
        <f t="shared" si="361"/>
        <v>2099</v>
      </c>
    </row>
    <row r="485">
      <c r="A485" s="65" t="s">
        <v>2209</v>
      </c>
      <c r="B485" s="65" t="str">
        <f t="shared" si="1"/>
        <v>#VALUE!</v>
      </c>
      <c r="C485" s="65" t="str">
        <f t="shared" si="248"/>
        <v>#VALUE!</v>
      </c>
      <c r="D485" s="65" t="s">
        <v>2211</v>
      </c>
      <c r="E485" s="65" t="s">
        <v>2212</v>
      </c>
      <c r="F485" s="65" t="s">
        <v>2213</v>
      </c>
      <c r="G485" s="65" t="s">
        <v>5077</v>
      </c>
      <c r="H485" s="65" t="s">
        <v>4730</v>
      </c>
      <c r="I485" s="65">
        <v>789.0</v>
      </c>
      <c r="J485" s="66">
        <v>0.17743979721166037</v>
      </c>
      <c r="K485" s="65">
        <f t="shared" si="3"/>
        <v>649</v>
      </c>
      <c r="L485" s="66">
        <v>0.1</v>
      </c>
      <c r="M485" s="65">
        <f t="shared" si="4"/>
        <v>710</v>
      </c>
      <c r="N485" s="67">
        <f t="shared" si="352"/>
        <v>0.04942965779</v>
      </c>
      <c r="O485" s="68">
        <v>750.0</v>
      </c>
      <c r="P485" s="67">
        <f t="shared" si="358"/>
        <v>0.04942965779</v>
      </c>
      <c r="Q485" s="69">
        <v>750.0</v>
      </c>
      <c r="R485" s="70"/>
      <c r="S485" s="71">
        <f t="shared" si="363"/>
        <v>0.155624037</v>
      </c>
      <c r="T485" s="72">
        <f t="shared" si="6"/>
        <v>0</v>
      </c>
      <c r="U485" s="73" t="str">
        <f t="shared" si="364"/>
        <v/>
      </c>
      <c r="V485" s="73">
        <f t="shared" si="340"/>
        <v>601.6949153</v>
      </c>
      <c r="W485" s="73">
        <f t="shared" si="9"/>
        <v>601.6949153</v>
      </c>
      <c r="X485" s="74">
        <f t="shared" si="10"/>
        <v>1</v>
      </c>
      <c r="Y485" s="73">
        <f t="shared" si="333"/>
        <v>0</v>
      </c>
      <c r="Z485" s="73">
        <f t="shared" si="12"/>
        <v>635.5932203</v>
      </c>
      <c r="AA485" s="73">
        <f t="shared" si="13"/>
        <v>635.5932203</v>
      </c>
      <c r="AB485" s="74">
        <f t="shared" si="14"/>
        <v>1</v>
      </c>
      <c r="AC485" s="61" t="str">
        <f t="shared" si="15"/>
        <v>6</v>
      </c>
      <c r="AD485" s="71" t="str">
        <f t="shared" si="16"/>
        <v>#DIV/0!</v>
      </c>
      <c r="AE485" s="61"/>
      <c r="AF485" s="61"/>
      <c r="AG485" s="71">
        <f t="array" ref="AG485">IFERROR(xlookup(G485,'Old Master'!T:T,'Old Master'!V:V),N485)</f>
        <v>0.04942965779</v>
      </c>
      <c r="AH485" s="73">
        <f t="shared" si="229"/>
        <v>750</v>
      </c>
      <c r="AI485" s="73">
        <f t="shared" si="230"/>
        <v>635.5932203</v>
      </c>
      <c r="AJ485" s="72">
        <f t="shared" si="19"/>
        <v>1</v>
      </c>
      <c r="AK485" s="61"/>
      <c r="AL485" s="71">
        <f t="array" ref="AL485">iferror(if(isblank(xlookup($G485,'Old Master'!$T:$T,'Old Master'!$W:$W)),AG485,xlookup($G485,'Old Master'!$T:$T,'Old Master'!$W:$W)),AG485)</f>
        <v>0.04942965779</v>
      </c>
      <c r="AM485" s="74">
        <f t="shared" si="20"/>
        <v>0.04942965779</v>
      </c>
      <c r="AN485" s="73">
        <f t="shared" ref="AN485:AN489" si="365">O485</f>
        <v>750</v>
      </c>
    </row>
    <row r="486">
      <c r="A486" s="65" t="s">
        <v>2215</v>
      </c>
      <c r="B486" s="65" t="str">
        <f t="shared" si="1"/>
        <v>#VALUE!</v>
      </c>
      <c r="C486" s="65" t="str">
        <f t="shared" si="248"/>
        <v>#VALUE!</v>
      </c>
      <c r="D486" s="65" t="s">
        <v>2217</v>
      </c>
      <c r="E486" s="65">
        <v>0.0</v>
      </c>
      <c r="F486" s="65">
        <v>0.0</v>
      </c>
      <c r="G486" s="65" t="s">
        <v>5077</v>
      </c>
      <c r="H486" s="65" t="s">
        <v>4730</v>
      </c>
      <c r="I486" s="65">
        <v>789.0</v>
      </c>
      <c r="J486" s="66">
        <v>0.17743979721166037</v>
      </c>
      <c r="K486" s="65">
        <f t="shared" si="3"/>
        <v>649</v>
      </c>
      <c r="L486" s="66">
        <v>0.1</v>
      </c>
      <c r="M486" s="65">
        <f t="shared" si="4"/>
        <v>710</v>
      </c>
      <c r="N486" s="67">
        <f t="shared" si="352"/>
        <v>0.04942965779</v>
      </c>
      <c r="O486" s="68">
        <v>750.0</v>
      </c>
      <c r="P486" s="67">
        <f t="shared" si="358"/>
        <v>0.04942965779</v>
      </c>
      <c r="Q486" s="69">
        <v>750.0</v>
      </c>
      <c r="R486" s="70"/>
      <c r="S486" s="71">
        <f t="shared" si="363"/>
        <v>0.155624037</v>
      </c>
      <c r="T486" s="72">
        <f t="shared" si="6"/>
        <v>0</v>
      </c>
      <c r="U486" s="73" t="str">
        <f t="shared" si="364"/>
        <v/>
      </c>
      <c r="V486" s="73">
        <f t="shared" si="340"/>
        <v>601.6949153</v>
      </c>
      <c r="W486" s="73">
        <f t="shared" si="9"/>
        <v>601.6949153</v>
      </c>
      <c r="X486" s="74">
        <f t="shared" si="10"/>
        <v>1</v>
      </c>
      <c r="Y486" s="73">
        <f t="shared" si="333"/>
        <v>0</v>
      </c>
      <c r="Z486" s="73">
        <f t="shared" si="12"/>
        <v>635.5932203</v>
      </c>
      <c r="AA486" s="73">
        <f t="shared" si="13"/>
        <v>635.5932203</v>
      </c>
      <c r="AB486" s="74">
        <f t="shared" si="14"/>
        <v>1</v>
      </c>
      <c r="AC486" s="61" t="str">
        <f t="shared" si="15"/>
        <v>6</v>
      </c>
      <c r="AD486" s="71" t="str">
        <f t="shared" si="16"/>
        <v>#DIV/0!</v>
      </c>
      <c r="AE486" s="61"/>
      <c r="AF486" s="61"/>
      <c r="AG486" s="71">
        <f t="array" ref="AG486">IFERROR(xlookup(G486,'Old Master'!T:T,'Old Master'!V:V),N486)</f>
        <v>0.04942965779</v>
      </c>
      <c r="AH486" s="73">
        <f t="shared" si="229"/>
        <v>750</v>
      </c>
      <c r="AI486" s="73">
        <f t="shared" si="230"/>
        <v>635.5932203</v>
      </c>
      <c r="AJ486" s="72">
        <f t="shared" si="19"/>
        <v>1</v>
      </c>
      <c r="AK486" s="61"/>
      <c r="AL486" s="71">
        <f t="array" ref="AL486">iferror(if(isblank(xlookup($G486,'Old Master'!$T:$T,'Old Master'!$W:$W)),AG486,xlookup($G486,'Old Master'!$T:$T,'Old Master'!$W:$W)),AG486)</f>
        <v>0.04942965779</v>
      </c>
      <c r="AM486" s="74">
        <f t="shared" si="20"/>
        <v>0.04942965779</v>
      </c>
      <c r="AN486" s="73">
        <f t="shared" si="365"/>
        <v>750</v>
      </c>
    </row>
    <row r="487">
      <c r="A487" s="65" t="s">
        <v>2352</v>
      </c>
      <c r="B487" s="65" t="str">
        <f t="shared" si="1"/>
        <v>#VALUE!</v>
      </c>
      <c r="C487" s="65" t="str">
        <f t="shared" si="248"/>
        <v>#VALUE!</v>
      </c>
      <c r="D487" s="65" t="s">
        <v>2354</v>
      </c>
      <c r="E487" s="65">
        <v>0.0</v>
      </c>
      <c r="F487" s="65">
        <v>0.0</v>
      </c>
      <c r="G487" s="65" t="s">
        <v>5077</v>
      </c>
      <c r="H487" s="65" t="s">
        <v>4730</v>
      </c>
      <c r="I487" s="65">
        <v>1089.0</v>
      </c>
      <c r="J487" s="66">
        <v>0.17447199265381086</v>
      </c>
      <c r="K487" s="65">
        <f t="shared" si="3"/>
        <v>899</v>
      </c>
      <c r="L487" s="66">
        <v>0.1</v>
      </c>
      <c r="M487" s="65">
        <f t="shared" si="4"/>
        <v>980</v>
      </c>
      <c r="N487" s="67">
        <f t="shared" si="352"/>
        <v>0.04958677686</v>
      </c>
      <c r="O487" s="68">
        <v>1035.0</v>
      </c>
      <c r="P487" s="67">
        <f t="shared" si="358"/>
        <v>0.04958677686</v>
      </c>
      <c r="Q487" s="69">
        <v>1035.0</v>
      </c>
      <c r="R487" s="70"/>
      <c r="S487" s="71">
        <f t="shared" si="363"/>
        <v>0.1512791991</v>
      </c>
      <c r="T487" s="72">
        <f t="shared" si="6"/>
        <v>0</v>
      </c>
      <c r="U487" s="73" t="str">
        <f t="shared" si="364"/>
        <v/>
      </c>
      <c r="V487" s="73">
        <f t="shared" si="340"/>
        <v>830.5084746</v>
      </c>
      <c r="W487" s="73">
        <f t="shared" si="9"/>
        <v>830.5084746</v>
      </c>
      <c r="X487" s="74">
        <f t="shared" si="10"/>
        <v>1</v>
      </c>
      <c r="Y487" s="73">
        <f t="shared" si="333"/>
        <v>0</v>
      </c>
      <c r="Z487" s="73">
        <f t="shared" si="12"/>
        <v>877.1186441</v>
      </c>
      <c r="AA487" s="73">
        <f t="shared" si="13"/>
        <v>877.1186441</v>
      </c>
      <c r="AB487" s="74">
        <f t="shared" si="14"/>
        <v>1</v>
      </c>
      <c r="AC487" s="61" t="str">
        <f t="shared" si="15"/>
        <v>2</v>
      </c>
      <c r="AD487" s="71" t="str">
        <f t="shared" si="16"/>
        <v>#DIV/0!</v>
      </c>
      <c r="AE487" s="61"/>
      <c r="AF487" s="61"/>
      <c r="AG487" s="71">
        <f t="array" ref="AG487">IFERROR(xlookup(G487,'Old Master'!T:T,'Old Master'!V:V),N487)</f>
        <v>0.04958677686</v>
      </c>
      <c r="AH487" s="73">
        <f t="shared" si="229"/>
        <v>1035</v>
      </c>
      <c r="AI487" s="73">
        <f t="shared" si="230"/>
        <v>877.1186441</v>
      </c>
      <c r="AJ487" s="72">
        <f t="shared" si="19"/>
        <v>1</v>
      </c>
      <c r="AK487" s="61"/>
      <c r="AL487" s="71">
        <f t="array" ref="AL487">iferror(if(isblank(xlookup($G487,'Old Master'!$T:$T,'Old Master'!$W:$W)),AG487,xlookup($G487,'Old Master'!$T:$T,'Old Master'!$W:$W)),AG487)</f>
        <v>0.04958677686</v>
      </c>
      <c r="AM487" s="74">
        <f t="shared" si="20"/>
        <v>0.04958677686</v>
      </c>
      <c r="AN487" s="73">
        <f t="shared" si="365"/>
        <v>1035</v>
      </c>
    </row>
    <row r="488">
      <c r="A488" s="65" t="s">
        <v>2357</v>
      </c>
      <c r="B488" s="65" t="str">
        <f t="shared" si="1"/>
        <v>#VALUE!</v>
      </c>
      <c r="C488" s="65" t="str">
        <f t="shared" si="248"/>
        <v>#VALUE!</v>
      </c>
      <c r="D488" s="65" t="s">
        <v>2359</v>
      </c>
      <c r="E488" s="65">
        <v>0.0</v>
      </c>
      <c r="F488" s="65">
        <v>0.0</v>
      </c>
      <c r="G488" s="65" t="s">
        <v>5077</v>
      </c>
      <c r="H488" s="65" t="s">
        <v>4730</v>
      </c>
      <c r="I488" s="65">
        <v>1089.0</v>
      </c>
      <c r="J488" s="66">
        <v>0.17447199265381086</v>
      </c>
      <c r="K488" s="65">
        <f t="shared" si="3"/>
        <v>899</v>
      </c>
      <c r="L488" s="66">
        <v>0.0</v>
      </c>
      <c r="M488" s="65">
        <f t="shared" si="4"/>
        <v>1089</v>
      </c>
      <c r="N488" s="67">
        <f t="shared" si="352"/>
        <v>0.04958677686</v>
      </c>
      <c r="O488" s="68">
        <v>1035.0</v>
      </c>
      <c r="P488" s="67">
        <f t="shared" si="358"/>
        <v>0.04958677686</v>
      </c>
      <c r="Q488" s="69">
        <v>1035.0</v>
      </c>
      <c r="R488" s="70"/>
      <c r="S488" s="71">
        <f t="shared" si="363"/>
        <v>0.1512791991</v>
      </c>
      <c r="T488" s="72">
        <f t="shared" si="6"/>
        <v>0</v>
      </c>
      <c r="U488" s="73" t="str">
        <f t="shared" si="364"/>
        <v/>
      </c>
      <c r="V488" s="73">
        <f t="shared" si="340"/>
        <v>922.8813559</v>
      </c>
      <c r="W488" s="73">
        <f t="shared" si="9"/>
        <v>922.8813559</v>
      </c>
      <c r="X488" s="74">
        <f t="shared" si="10"/>
        <v>1</v>
      </c>
      <c r="Y488" s="73">
        <f t="shared" si="333"/>
        <v>0</v>
      </c>
      <c r="Z488" s="73">
        <f t="shared" si="12"/>
        <v>877.1186441</v>
      </c>
      <c r="AA488" s="73">
        <f t="shared" si="13"/>
        <v>877.1186441</v>
      </c>
      <c r="AB488" s="74">
        <f t="shared" si="14"/>
        <v>1</v>
      </c>
      <c r="AC488" s="61" t="str">
        <f t="shared" si="15"/>
        <v>2</v>
      </c>
      <c r="AD488" s="71" t="str">
        <f t="shared" si="16"/>
        <v>#DIV/0!</v>
      </c>
      <c r="AE488" s="61"/>
      <c r="AF488" s="61"/>
      <c r="AG488" s="71">
        <f t="array" ref="AG488">IFERROR(xlookup(G488,'Old Master'!T:T,'Old Master'!V:V),N488)</f>
        <v>0.04958677686</v>
      </c>
      <c r="AH488" s="73">
        <f t="shared" si="229"/>
        <v>1035</v>
      </c>
      <c r="AI488" s="73">
        <f t="shared" si="230"/>
        <v>877.1186441</v>
      </c>
      <c r="AJ488" s="72">
        <f t="shared" si="19"/>
        <v>1</v>
      </c>
      <c r="AK488" s="61"/>
      <c r="AL488" s="71">
        <f t="array" ref="AL488">iferror(if(isblank(xlookup($G488,'Old Master'!$T:$T,'Old Master'!$W:$W)),AG488,xlookup($G488,'Old Master'!$T:$T,'Old Master'!$W:$W)),AG488)</f>
        <v>0.04958677686</v>
      </c>
      <c r="AM488" s="74">
        <f t="shared" si="20"/>
        <v>0.04958677686</v>
      </c>
      <c r="AN488" s="73">
        <f t="shared" si="365"/>
        <v>1035</v>
      </c>
    </row>
    <row r="489">
      <c r="A489" s="65" t="s">
        <v>2299</v>
      </c>
      <c r="B489" s="65" t="str">
        <f t="shared" si="1"/>
        <v>#VALUE!</v>
      </c>
      <c r="C489" s="65" t="str">
        <f t="shared" si="248"/>
        <v>#VALUE!</v>
      </c>
      <c r="D489" s="65" t="s">
        <v>2301</v>
      </c>
      <c r="E489" s="65">
        <v>0.0</v>
      </c>
      <c r="F489" s="65">
        <v>0.0</v>
      </c>
      <c r="G489" s="65" t="s">
        <v>5077</v>
      </c>
      <c r="H489" s="65" t="s">
        <v>4730</v>
      </c>
      <c r="I489" s="65">
        <v>989.0</v>
      </c>
      <c r="J489" s="66">
        <v>0.17189079878665314</v>
      </c>
      <c r="K489" s="65">
        <f t="shared" si="3"/>
        <v>819</v>
      </c>
      <c r="L489" s="66">
        <v>0.1</v>
      </c>
      <c r="M489" s="65">
        <f t="shared" si="4"/>
        <v>890</v>
      </c>
      <c r="N489" s="67">
        <f t="shared" si="352"/>
        <v>0.04954499494</v>
      </c>
      <c r="O489" s="68">
        <v>940.0</v>
      </c>
      <c r="P489" s="67">
        <f t="shared" si="358"/>
        <v>0.04954499494</v>
      </c>
      <c r="Q489" s="69">
        <v>940.0</v>
      </c>
      <c r="R489" s="70"/>
      <c r="S489" s="71">
        <f t="shared" si="363"/>
        <v>0.1477411477</v>
      </c>
      <c r="T489" s="72">
        <f t="shared" si="6"/>
        <v>0</v>
      </c>
      <c r="U489" s="73" t="str">
        <f t="shared" si="364"/>
        <v/>
      </c>
      <c r="V489" s="73">
        <f t="shared" si="340"/>
        <v>754.2372881</v>
      </c>
      <c r="W489" s="73">
        <f t="shared" si="9"/>
        <v>754.2372881</v>
      </c>
      <c r="X489" s="74">
        <f t="shared" si="10"/>
        <v>1</v>
      </c>
      <c r="Y489" s="73">
        <f t="shared" si="333"/>
        <v>0</v>
      </c>
      <c r="Z489" s="73">
        <f t="shared" si="12"/>
        <v>796.6101695</v>
      </c>
      <c r="AA489" s="73">
        <f t="shared" si="13"/>
        <v>796.6101695</v>
      </c>
      <c r="AB489" s="74">
        <f t="shared" si="14"/>
        <v>1</v>
      </c>
      <c r="AC489" s="61" t="str">
        <f t="shared" si="15"/>
        <v>0</v>
      </c>
      <c r="AD489" s="71" t="str">
        <f t="shared" si="16"/>
        <v>#DIV/0!</v>
      </c>
      <c r="AE489" s="61"/>
      <c r="AF489" s="61"/>
      <c r="AG489" s="71">
        <f t="array" ref="AG489">IFERROR(xlookup(G489,'Old Master'!T:T,'Old Master'!V:V),N489)</f>
        <v>0.04954499494</v>
      </c>
      <c r="AH489" s="73">
        <f t="shared" si="229"/>
        <v>940</v>
      </c>
      <c r="AI489" s="73">
        <f t="shared" si="230"/>
        <v>796.6101695</v>
      </c>
      <c r="AJ489" s="72">
        <f t="shared" si="19"/>
        <v>1</v>
      </c>
      <c r="AK489" s="61"/>
      <c r="AL489" s="71">
        <f t="array" ref="AL489">iferror(if(isblank(xlookup($G489,'Old Master'!$T:$T,'Old Master'!$W:$W)),AG489,xlookup($G489,'Old Master'!$T:$T,'Old Master'!$W:$W)),AG489)</f>
        <v>0.04954499494</v>
      </c>
      <c r="AM489" s="74">
        <f t="shared" si="20"/>
        <v>0.04954499494</v>
      </c>
      <c r="AN489" s="73">
        <f t="shared" si="365"/>
        <v>940</v>
      </c>
    </row>
    <row r="490">
      <c r="A490" s="65" t="s">
        <v>2280</v>
      </c>
      <c r="B490" s="65" t="str">
        <f t="shared" si="1"/>
        <v>#VALUE!</v>
      </c>
      <c r="C490" s="65" t="str">
        <f t="shared" si="248"/>
        <v>#VALUE!</v>
      </c>
      <c r="D490" s="65" t="s">
        <v>2282</v>
      </c>
      <c r="E490" s="65" t="s">
        <v>2283</v>
      </c>
      <c r="F490" s="65" t="s">
        <v>2284</v>
      </c>
      <c r="G490" s="65" t="s">
        <v>5077</v>
      </c>
      <c r="H490" s="65" t="s">
        <v>4730</v>
      </c>
      <c r="I490" s="65">
        <v>1049.0</v>
      </c>
      <c r="J490" s="66">
        <v>0.17159199237368927</v>
      </c>
      <c r="K490" s="65">
        <f t="shared" si="3"/>
        <v>869</v>
      </c>
      <c r="L490" s="66">
        <v>0.1</v>
      </c>
      <c r="M490" s="65">
        <f t="shared" si="4"/>
        <v>944</v>
      </c>
      <c r="N490" s="67">
        <f t="shared" si="352"/>
        <v>0.04957102002</v>
      </c>
      <c r="O490" s="68">
        <v>997.0</v>
      </c>
      <c r="P490" s="67">
        <f t="shared" si="358"/>
        <v>0.04957102002</v>
      </c>
      <c r="Q490" s="69">
        <v>997.0</v>
      </c>
      <c r="R490" s="70"/>
      <c r="S490" s="71">
        <f t="shared" si="363"/>
        <v>0.1472957422</v>
      </c>
      <c r="T490" s="72">
        <f t="shared" si="6"/>
        <v>0</v>
      </c>
      <c r="U490" s="73" t="str">
        <f t="shared" si="364"/>
        <v/>
      </c>
      <c r="V490" s="73">
        <f t="shared" si="340"/>
        <v>800</v>
      </c>
      <c r="W490" s="73">
        <f t="shared" si="9"/>
        <v>800</v>
      </c>
      <c r="X490" s="74">
        <f t="shared" si="10"/>
        <v>1</v>
      </c>
      <c r="Y490" s="73">
        <f t="shared" si="333"/>
        <v>0</v>
      </c>
      <c r="Z490" s="73">
        <f t="shared" si="12"/>
        <v>844.9152542</v>
      </c>
      <c r="AA490" s="73">
        <f t="shared" si="13"/>
        <v>844.9152542</v>
      </c>
      <c r="AB490" s="74">
        <f t="shared" si="14"/>
        <v>1</v>
      </c>
      <c r="AC490" s="61" t="str">
        <f t="shared" si="15"/>
        <v>6</v>
      </c>
      <c r="AD490" s="71" t="str">
        <f t="shared" si="16"/>
        <v>#DIV/0!</v>
      </c>
      <c r="AE490" s="61"/>
      <c r="AF490" s="61"/>
      <c r="AG490" s="71">
        <f t="array" ref="AG490">IFERROR(xlookup(G490,'Old Master'!T:T,'Old Master'!V:V),N490)</f>
        <v>0.04957102002</v>
      </c>
      <c r="AH490" s="73">
        <f t="shared" si="229"/>
        <v>997</v>
      </c>
      <c r="AI490" s="73">
        <f t="shared" si="230"/>
        <v>844.9152542</v>
      </c>
      <c r="AJ490" s="72">
        <f t="shared" si="19"/>
        <v>1</v>
      </c>
      <c r="AK490" s="61"/>
      <c r="AL490" s="71">
        <f t="array" ref="AL490">iferror(if(isblank(xlookup($G490,'Old Master'!$T:$T,'Old Master'!$W:$W)),AG490,xlookup($G490,'Old Master'!$T:$T,'Old Master'!$W:$W)),AG490)</f>
        <v>0.04957102002</v>
      </c>
      <c r="AM490" s="74">
        <f t="shared" si="20"/>
        <v>0.04766444233</v>
      </c>
      <c r="AN490" s="73">
        <f t="shared" ref="AN490:AN493" si="366">mround($I490*(1-AL490),100)-1</f>
        <v>999</v>
      </c>
    </row>
    <row r="491">
      <c r="A491" s="65" t="s">
        <v>2286</v>
      </c>
      <c r="B491" s="65" t="str">
        <f t="shared" si="1"/>
        <v>#VALUE!</v>
      </c>
      <c r="C491" s="65" t="str">
        <f t="shared" si="248"/>
        <v>#VALUE!</v>
      </c>
      <c r="D491" s="65" t="s">
        <v>2288</v>
      </c>
      <c r="E491" s="65" t="s">
        <v>2290</v>
      </c>
      <c r="F491" s="65" t="s">
        <v>2291</v>
      </c>
      <c r="G491" s="65" t="s">
        <v>5077</v>
      </c>
      <c r="H491" s="65" t="s">
        <v>4730</v>
      </c>
      <c r="I491" s="65">
        <v>1049.0</v>
      </c>
      <c r="J491" s="66">
        <v>0.17159199237368927</v>
      </c>
      <c r="K491" s="65">
        <f t="shared" si="3"/>
        <v>869</v>
      </c>
      <c r="L491" s="66">
        <v>0.1</v>
      </c>
      <c r="M491" s="65">
        <f t="shared" si="4"/>
        <v>944</v>
      </c>
      <c r="N491" s="67">
        <f t="shared" si="352"/>
        <v>0.04957102002</v>
      </c>
      <c r="O491" s="68">
        <v>997.0</v>
      </c>
      <c r="P491" s="67">
        <f t="shared" si="358"/>
        <v>0.04957102002</v>
      </c>
      <c r="Q491" s="69">
        <v>997.0</v>
      </c>
      <c r="R491" s="70"/>
      <c r="S491" s="71">
        <f t="shared" si="363"/>
        <v>0.1472957422</v>
      </c>
      <c r="T491" s="72">
        <f t="shared" si="6"/>
        <v>0</v>
      </c>
      <c r="U491" s="73" t="str">
        <f t="shared" si="364"/>
        <v/>
      </c>
      <c r="V491" s="73">
        <f t="shared" si="340"/>
        <v>800</v>
      </c>
      <c r="W491" s="73">
        <f t="shared" si="9"/>
        <v>800</v>
      </c>
      <c r="X491" s="74">
        <f t="shared" si="10"/>
        <v>1</v>
      </c>
      <c r="Y491" s="73">
        <f t="shared" si="333"/>
        <v>0</v>
      </c>
      <c r="Z491" s="73">
        <f t="shared" si="12"/>
        <v>844.9152542</v>
      </c>
      <c r="AA491" s="73">
        <f t="shared" si="13"/>
        <v>844.9152542</v>
      </c>
      <c r="AB491" s="74">
        <f t="shared" si="14"/>
        <v>1</v>
      </c>
      <c r="AC491" s="61" t="str">
        <f t="shared" si="15"/>
        <v>6</v>
      </c>
      <c r="AD491" s="71" t="str">
        <f t="shared" si="16"/>
        <v>#DIV/0!</v>
      </c>
      <c r="AE491" s="61"/>
      <c r="AF491" s="61"/>
      <c r="AG491" s="71">
        <f t="array" ref="AG491">IFERROR(xlookup(G491,'Old Master'!T:T,'Old Master'!V:V),N491)</f>
        <v>0.04957102002</v>
      </c>
      <c r="AH491" s="73">
        <f t="shared" si="229"/>
        <v>997</v>
      </c>
      <c r="AI491" s="73">
        <f t="shared" si="230"/>
        <v>844.9152542</v>
      </c>
      <c r="AJ491" s="72">
        <f t="shared" si="19"/>
        <v>1</v>
      </c>
      <c r="AK491" s="61"/>
      <c r="AL491" s="71">
        <f t="array" ref="AL491">iferror(if(isblank(xlookup($G491,'Old Master'!$T:$T,'Old Master'!$W:$W)),AG491,xlookup($G491,'Old Master'!$T:$T,'Old Master'!$W:$W)),AG491)</f>
        <v>0.04957102002</v>
      </c>
      <c r="AM491" s="74">
        <f t="shared" si="20"/>
        <v>0.04766444233</v>
      </c>
      <c r="AN491" s="73">
        <f t="shared" si="366"/>
        <v>999</v>
      </c>
    </row>
    <row r="492">
      <c r="A492" s="65" t="s">
        <v>2293</v>
      </c>
      <c r="B492" s="65" t="str">
        <f t="shared" si="1"/>
        <v>#VALUE!</v>
      </c>
      <c r="C492" s="65" t="str">
        <f t="shared" si="248"/>
        <v>#VALUE!</v>
      </c>
      <c r="D492" s="65" t="s">
        <v>2295</v>
      </c>
      <c r="E492" s="65" t="s">
        <v>2296</v>
      </c>
      <c r="F492" s="65" t="s">
        <v>2297</v>
      </c>
      <c r="G492" s="65" t="s">
        <v>5077</v>
      </c>
      <c r="H492" s="65" t="s">
        <v>4730</v>
      </c>
      <c r="I492" s="65">
        <v>1049.0</v>
      </c>
      <c r="J492" s="66">
        <v>0.17159199237368927</v>
      </c>
      <c r="K492" s="65">
        <f t="shared" si="3"/>
        <v>869</v>
      </c>
      <c r="L492" s="66">
        <v>0.1</v>
      </c>
      <c r="M492" s="65">
        <f t="shared" si="4"/>
        <v>944</v>
      </c>
      <c r="N492" s="67">
        <f t="shared" si="352"/>
        <v>0.04957102002</v>
      </c>
      <c r="O492" s="68">
        <v>997.0</v>
      </c>
      <c r="P492" s="67">
        <f t="shared" si="358"/>
        <v>0.04957102002</v>
      </c>
      <c r="Q492" s="69">
        <v>997.0</v>
      </c>
      <c r="R492" s="70"/>
      <c r="S492" s="71">
        <f t="shared" si="363"/>
        <v>0.1472957422</v>
      </c>
      <c r="T492" s="72">
        <f t="shared" si="6"/>
        <v>0</v>
      </c>
      <c r="U492" s="73" t="str">
        <f t="shared" si="364"/>
        <v/>
      </c>
      <c r="V492" s="73">
        <f t="shared" si="340"/>
        <v>800</v>
      </c>
      <c r="W492" s="73">
        <f t="shared" si="9"/>
        <v>800</v>
      </c>
      <c r="X492" s="74">
        <f t="shared" si="10"/>
        <v>1</v>
      </c>
      <c r="Y492" s="73">
        <f t="shared" si="333"/>
        <v>0</v>
      </c>
      <c r="Z492" s="73">
        <f t="shared" si="12"/>
        <v>844.9152542</v>
      </c>
      <c r="AA492" s="73">
        <f t="shared" si="13"/>
        <v>844.9152542</v>
      </c>
      <c r="AB492" s="74">
        <f t="shared" si="14"/>
        <v>1</v>
      </c>
      <c r="AC492" s="61" t="str">
        <f t="shared" si="15"/>
        <v>6</v>
      </c>
      <c r="AD492" s="71" t="str">
        <f t="shared" si="16"/>
        <v>#DIV/0!</v>
      </c>
      <c r="AE492" s="61"/>
      <c r="AF492" s="61"/>
      <c r="AG492" s="71">
        <f t="array" ref="AG492">IFERROR(xlookup(G492,'Old Master'!T:T,'Old Master'!V:V),N492)</f>
        <v>0.04957102002</v>
      </c>
      <c r="AH492" s="73">
        <f t="shared" si="229"/>
        <v>997</v>
      </c>
      <c r="AI492" s="73">
        <f t="shared" si="230"/>
        <v>844.9152542</v>
      </c>
      <c r="AJ492" s="72">
        <f t="shared" si="19"/>
        <v>1</v>
      </c>
      <c r="AK492" s="61"/>
      <c r="AL492" s="71">
        <f t="array" ref="AL492">iferror(if(isblank(xlookup($G492,'Old Master'!$T:$T,'Old Master'!$W:$W)),AG492,xlookup($G492,'Old Master'!$T:$T,'Old Master'!$W:$W)),AG492)</f>
        <v>0.04957102002</v>
      </c>
      <c r="AM492" s="74">
        <f t="shared" si="20"/>
        <v>0.04766444233</v>
      </c>
      <c r="AN492" s="73">
        <f t="shared" si="366"/>
        <v>999</v>
      </c>
    </row>
    <row r="493">
      <c r="A493" s="65" t="s">
        <v>2324</v>
      </c>
      <c r="B493" s="65" t="str">
        <f t="shared" si="1"/>
        <v>#VALUE!</v>
      </c>
      <c r="C493" s="65" t="str">
        <f t="shared" si="248"/>
        <v>#VALUE!</v>
      </c>
      <c r="D493" s="65" t="s">
        <v>2326</v>
      </c>
      <c r="E493" s="65">
        <v>0.0</v>
      </c>
      <c r="F493" s="65">
        <v>0.0</v>
      </c>
      <c r="G493" s="65" t="s">
        <v>5077</v>
      </c>
      <c r="H493" s="65" t="s">
        <v>4730</v>
      </c>
      <c r="I493" s="65">
        <v>1049.0</v>
      </c>
      <c r="J493" s="66">
        <v>0.17159199237368927</v>
      </c>
      <c r="K493" s="65">
        <f t="shared" si="3"/>
        <v>869</v>
      </c>
      <c r="L493" s="66">
        <v>0.1</v>
      </c>
      <c r="M493" s="65">
        <f t="shared" si="4"/>
        <v>944</v>
      </c>
      <c r="N493" s="67">
        <f t="shared" si="352"/>
        <v>0.04957102002</v>
      </c>
      <c r="O493" s="68">
        <v>997.0</v>
      </c>
      <c r="P493" s="67">
        <f t="shared" si="358"/>
        <v>0.04957102002</v>
      </c>
      <c r="Q493" s="69">
        <v>997.0</v>
      </c>
      <c r="R493" s="70"/>
      <c r="S493" s="71">
        <f t="shared" si="363"/>
        <v>0.1472957422</v>
      </c>
      <c r="T493" s="72">
        <f t="shared" si="6"/>
        <v>0</v>
      </c>
      <c r="U493" s="73" t="str">
        <f t="shared" si="364"/>
        <v/>
      </c>
      <c r="V493" s="73">
        <f t="shared" si="340"/>
        <v>800</v>
      </c>
      <c r="W493" s="73">
        <f t="shared" si="9"/>
        <v>800</v>
      </c>
      <c r="X493" s="74">
        <f t="shared" si="10"/>
        <v>1</v>
      </c>
      <c r="Y493" s="73">
        <f t="shared" si="333"/>
        <v>0</v>
      </c>
      <c r="Z493" s="73">
        <f t="shared" si="12"/>
        <v>844.9152542</v>
      </c>
      <c r="AA493" s="73">
        <f t="shared" si="13"/>
        <v>844.9152542</v>
      </c>
      <c r="AB493" s="74">
        <f t="shared" si="14"/>
        <v>1</v>
      </c>
      <c r="AC493" s="61" t="str">
        <f t="shared" si="15"/>
        <v>6</v>
      </c>
      <c r="AD493" s="71" t="str">
        <f t="shared" si="16"/>
        <v>#DIV/0!</v>
      </c>
      <c r="AE493" s="61"/>
      <c r="AF493" s="61"/>
      <c r="AG493" s="71">
        <f t="array" ref="AG493">IFERROR(xlookup(G493,'Old Master'!T:T,'Old Master'!V:V),N493)</f>
        <v>0.04957102002</v>
      </c>
      <c r="AH493" s="73">
        <f t="shared" si="229"/>
        <v>997</v>
      </c>
      <c r="AI493" s="73">
        <f t="shared" si="230"/>
        <v>844.9152542</v>
      </c>
      <c r="AJ493" s="72">
        <f t="shared" si="19"/>
        <v>1</v>
      </c>
      <c r="AK493" s="61"/>
      <c r="AL493" s="71">
        <f t="array" ref="AL493">iferror(if(isblank(xlookup($G493,'Old Master'!$T:$T,'Old Master'!$W:$W)),AG493,xlookup($G493,'Old Master'!$T:$T,'Old Master'!$W:$W)),AG493)</f>
        <v>0.04957102002</v>
      </c>
      <c r="AM493" s="74">
        <f t="shared" si="20"/>
        <v>0.04766444233</v>
      </c>
      <c r="AN493" s="73">
        <f t="shared" si="366"/>
        <v>999</v>
      </c>
    </row>
    <row r="494">
      <c r="A494" s="65" t="s">
        <v>2309</v>
      </c>
      <c r="B494" s="65" t="str">
        <f t="shared" si="1"/>
        <v>#VALUE!</v>
      </c>
      <c r="C494" s="65" t="str">
        <f t="shared" si="248"/>
        <v>#VALUE!</v>
      </c>
      <c r="D494" s="65" t="s">
        <v>2311</v>
      </c>
      <c r="E494" s="65">
        <v>0.0</v>
      </c>
      <c r="F494" s="65">
        <v>0.0</v>
      </c>
      <c r="G494" s="65" t="s">
        <v>5077</v>
      </c>
      <c r="H494" s="65" t="s">
        <v>4730</v>
      </c>
      <c r="I494" s="65">
        <v>989.0</v>
      </c>
      <c r="J494" s="66">
        <v>0.17159199237368927</v>
      </c>
      <c r="K494" s="65">
        <f t="shared" si="3"/>
        <v>819</v>
      </c>
      <c r="L494" s="66">
        <v>0.0</v>
      </c>
      <c r="M494" s="65">
        <f t="shared" si="4"/>
        <v>989</v>
      </c>
      <c r="N494" s="67">
        <f t="shared" si="352"/>
        <v>0.04954499494</v>
      </c>
      <c r="O494" s="68">
        <v>940.0</v>
      </c>
      <c r="P494" s="67">
        <f t="shared" si="358"/>
        <v>0.04954499494</v>
      </c>
      <c r="Q494" s="69">
        <v>940.0</v>
      </c>
      <c r="R494" s="70"/>
      <c r="S494" s="71">
        <f t="shared" si="363"/>
        <v>0.1477411477</v>
      </c>
      <c r="T494" s="72">
        <f t="shared" si="6"/>
        <v>0</v>
      </c>
      <c r="U494" s="73" t="str">
        <f t="shared" si="364"/>
        <v/>
      </c>
      <c r="V494" s="73">
        <f t="shared" si="340"/>
        <v>838.1355932</v>
      </c>
      <c r="W494" s="73">
        <f t="shared" si="9"/>
        <v>838.1355932</v>
      </c>
      <c r="X494" s="74">
        <f t="shared" si="10"/>
        <v>1</v>
      </c>
      <c r="Y494" s="73">
        <f t="shared" si="333"/>
        <v>0</v>
      </c>
      <c r="Z494" s="73">
        <f t="shared" si="12"/>
        <v>796.6101695</v>
      </c>
      <c r="AA494" s="73">
        <f t="shared" si="13"/>
        <v>796.6101695</v>
      </c>
      <c r="AB494" s="74">
        <f t="shared" si="14"/>
        <v>1</v>
      </c>
      <c r="AC494" s="61" t="str">
        <f t="shared" si="15"/>
        <v>0</v>
      </c>
      <c r="AD494" s="71" t="str">
        <f t="shared" si="16"/>
        <v>#DIV/0!</v>
      </c>
      <c r="AE494" s="61"/>
      <c r="AF494" s="61"/>
      <c r="AG494" s="71">
        <f t="array" ref="AG494">IFERROR(xlookup(G494,'Old Master'!T:T,'Old Master'!V:V),N494)</f>
        <v>0.04954499494</v>
      </c>
      <c r="AH494" s="73">
        <f t="shared" si="229"/>
        <v>940</v>
      </c>
      <c r="AI494" s="73">
        <f t="shared" si="230"/>
        <v>796.6101695</v>
      </c>
      <c r="AJ494" s="72">
        <f t="shared" si="19"/>
        <v>1</v>
      </c>
      <c r="AK494" s="61"/>
      <c r="AL494" s="71">
        <f t="array" ref="AL494">iferror(if(isblank(xlookup($G494,'Old Master'!$T:$T,'Old Master'!$W:$W)),AG494,xlookup($G494,'Old Master'!$T:$T,'Old Master'!$W:$W)),AG494)</f>
        <v>0.04954499494</v>
      </c>
      <c r="AM494" s="74">
        <f t="shared" si="20"/>
        <v>0.04954499494</v>
      </c>
      <c r="AN494" s="73">
        <f t="shared" ref="AN494:AN512" si="367">O494</f>
        <v>940</v>
      </c>
    </row>
    <row r="495">
      <c r="A495" s="65" t="s">
        <v>4511</v>
      </c>
      <c r="B495" s="65" t="str">
        <f t="shared" si="1"/>
        <v>#VALUE!</v>
      </c>
      <c r="C495" s="65" t="str">
        <f t="shared" si="248"/>
        <v>#VALUE!</v>
      </c>
      <c r="D495" s="65" t="s">
        <v>4513</v>
      </c>
      <c r="E495" s="65">
        <v>0.0</v>
      </c>
      <c r="F495" s="65" t="s">
        <v>4514</v>
      </c>
      <c r="G495" s="65" t="s">
        <v>5077</v>
      </c>
      <c r="H495" s="65" t="s">
        <v>4730</v>
      </c>
      <c r="I495" s="65">
        <v>1199.0</v>
      </c>
      <c r="J495" s="66">
        <v>0.1</v>
      </c>
      <c r="K495" s="65">
        <f t="shared" si="3"/>
        <v>1079</v>
      </c>
      <c r="L495" s="66">
        <v>0.1</v>
      </c>
      <c r="M495" s="65">
        <f t="shared" si="4"/>
        <v>1079</v>
      </c>
      <c r="N495" s="67">
        <f t="shared" si="352"/>
        <v>0.05004170142</v>
      </c>
      <c r="O495" s="68">
        <v>1139.0</v>
      </c>
      <c r="P495" s="67">
        <f t="shared" si="358"/>
        <v>0.05004170142</v>
      </c>
      <c r="Q495" s="69">
        <v>1139.0</v>
      </c>
      <c r="R495" s="70"/>
      <c r="S495" s="71">
        <f t="shared" si="363"/>
        <v>0.05560704356</v>
      </c>
      <c r="T495" s="72">
        <f t="shared" si="6"/>
        <v>0</v>
      </c>
      <c r="U495" s="73" t="str">
        <f t="shared" si="364"/>
        <v/>
      </c>
      <c r="V495" s="73">
        <f t="shared" si="340"/>
        <v>914.4067797</v>
      </c>
      <c r="W495" s="73">
        <f t="shared" si="9"/>
        <v>914.4067797</v>
      </c>
      <c r="X495" s="74">
        <f t="shared" si="10"/>
        <v>1</v>
      </c>
      <c r="Y495" s="73">
        <f t="shared" si="333"/>
        <v>0</v>
      </c>
      <c r="Z495" s="73">
        <f t="shared" si="12"/>
        <v>965.2542373</v>
      </c>
      <c r="AA495" s="73">
        <f t="shared" si="13"/>
        <v>965.2542373</v>
      </c>
      <c r="AB495" s="74">
        <f t="shared" si="14"/>
        <v>1</v>
      </c>
      <c r="AC495" s="61" t="str">
        <f t="shared" si="15"/>
        <v>8</v>
      </c>
      <c r="AD495" s="71" t="str">
        <f t="shared" si="16"/>
        <v>#DIV/0!</v>
      </c>
      <c r="AE495" s="61"/>
      <c r="AF495" s="61"/>
      <c r="AG495" s="71">
        <f t="array" ref="AG495">IFERROR(xlookup(G495,'Old Master'!T:T,'Old Master'!V:V),N495)</f>
        <v>0.05004170142</v>
      </c>
      <c r="AH495" s="73">
        <f t="shared" si="229"/>
        <v>1139</v>
      </c>
      <c r="AI495" s="73">
        <f t="shared" si="230"/>
        <v>965.2542373</v>
      </c>
      <c r="AJ495" s="72">
        <f t="shared" si="19"/>
        <v>1</v>
      </c>
      <c r="AK495" s="61"/>
      <c r="AL495" s="71">
        <f t="array" ref="AL495">iferror(if(isblank(xlookup($G495,'Old Master'!$T:$T,'Old Master'!$W:$W)),AG495,xlookup($G495,'Old Master'!$T:$T,'Old Master'!$W:$W)),AG495)</f>
        <v>0.05004170142</v>
      </c>
      <c r="AM495" s="74">
        <f t="shared" si="20"/>
        <v>0.05004170142</v>
      </c>
      <c r="AN495" s="73">
        <f t="shared" si="367"/>
        <v>1139</v>
      </c>
    </row>
    <row r="496">
      <c r="A496" s="65" t="s">
        <v>4516</v>
      </c>
      <c r="B496" s="65" t="str">
        <f t="shared" si="1"/>
        <v>#VALUE!</v>
      </c>
      <c r="C496" s="65" t="str">
        <f t="shared" si="248"/>
        <v>#VALUE!</v>
      </c>
      <c r="D496" s="65" t="s">
        <v>4518</v>
      </c>
      <c r="E496" s="65">
        <v>0.0</v>
      </c>
      <c r="F496" s="65" t="s">
        <v>4519</v>
      </c>
      <c r="G496" s="65" t="s">
        <v>5077</v>
      </c>
      <c r="H496" s="65" t="s">
        <v>4730</v>
      </c>
      <c r="I496" s="65">
        <v>1199.0</v>
      </c>
      <c r="J496" s="66">
        <v>0.1</v>
      </c>
      <c r="K496" s="65">
        <f t="shared" si="3"/>
        <v>1079</v>
      </c>
      <c r="L496" s="66">
        <v>0.1</v>
      </c>
      <c r="M496" s="65">
        <f t="shared" si="4"/>
        <v>1079</v>
      </c>
      <c r="N496" s="67">
        <f t="shared" si="352"/>
        <v>0.05004170142</v>
      </c>
      <c r="O496" s="68">
        <v>1139.0</v>
      </c>
      <c r="P496" s="67">
        <f t="shared" si="358"/>
        <v>0.05004170142</v>
      </c>
      <c r="Q496" s="69">
        <v>1139.0</v>
      </c>
      <c r="R496" s="70"/>
      <c r="S496" s="71">
        <f t="shared" si="363"/>
        <v>0.05560704356</v>
      </c>
      <c r="T496" s="72">
        <f t="shared" si="6"/>
        <v>0</v>
      </c>
      <c r="U496" s="73" t="str">
        <f t="shared" si="364"/>
        <v/>
      </c>
      <c r="V496" s="73">
        <f t="shared" si="340"/>
        <v>914.4067797</v>
      </c>
      <c r="W496" s="73">
        <f t="shared" si="9"/>
        <v>914.4067797</v>
      </c>
      <c r="X496" s="74">
        <f t="shared" si="10"/>
        <v>1</v>
      </c>
      <c r="Y496" s="73">
        <f t="shared" si="333"/>
        <v>0</v>
      </c>
      <c r="Z496" s="73">
        <f t="shared" si="12"/>
        <v>965.2542373</v>
      </c>
      <c r="AA496" s="73">
        <f t="shared" si="13"/>
        <v>965.2542373</v>
      </c>
      <c r="AB496" s="74">
        <f t="shared" si="14"/>
        <v>1</v>
      </c>
      <c r="AC496" s="61" t="str">
        <f t="shared" si="15"/>
        <v>8</v>
      </c>
      <c r="AD496" s="71" t="str">
        <f t="shared" si="16"/>
        <v>#DIV/0!</v>
      </c>
      <c r="AE496" s="61"/>
      <c r="AF496" s="61"/>
      <c r="AG496" s="71">
        <f t="array" ref="AG496">IFERROR(xlookup(G496,'Old Master'!T:T,'Old Master'!V:V),N496)</f>
        <v>0.05004170142</v>
      </c>
      <c r="AH496" s="73">
        <f t="shared" si="229"/>
        <v>1139</v>
      </c>
      <c r="AI496" s="73">
        <f t="shared" si="230"/>
        <v>965.2542373</v>
      </c>
      <c r="AJ496" s="72">
        <f t="shared" si="19"/>
        <v>1</v>
      </c>
      <c r="AK496" s="61"/>
      <c r="AL496" s="71">
        <f t="array" ref="AL496">iferror(if(isblank(xlookup($G496,'Old Master'!$T:$T,'Old Master'!$W:$W)),AG496,xlookup($G496,'Old Master'!$T:$T,'Old Master'!$W:$W)),AG496)</f>
        <v>0.05004170142</v>
      </c>
      <c r="AM496" s="74">
        <f t="shared" si="20"/>
        <v>0.05004170142</v>
      </c>
      <c r="AN496" s="73">
        <f t="shared" si="367"/>
        <v>1139</v>
      </c>
    </row>
    <row r="497">
      <c r="A497" s="65" t="s">
        <v>4664</v>
      </c>
      <c r="B497" s="65" t="str">
        <f t="shared" si="1"/>
        <v>#VALUE!</v>
      </c>
      <c r="C497" s="65" t="str">
        <f t="shared" si="248"/>
        <v>#VALUE!</v>
      </c>
      <c r="D497" s="65" t="s">
        <v>4666</v>
      </c>
      <c r="E497" s="65">
        <v>0.0</v>
      </c>
      <c r="F497" s="65" t="s">
        <v>4667</v>
      </c>
      <c r="G497" s="65" t="s">
        <v>5077</v>
      </c>
      <c r="H497" s="65" t="s">
        <v>4730</v>
      </c>
      <c r="I497" s="65">
        <v>1699.0</v>
      </c>
      <c r="J497" s="66">
        <v>0.1</v>
      </c>
      <c r="K497" s="65">
        <f t="shared" si="3"/>
        <v>1529</v>
      </c>
      <c r="L497" s="66">
        <v>0.1</v>
      </c>
      <c r="M497" s="65">
        <f t="shared" si="4"/>
        <v>1529</v>
      </c>
      <c r="N497" s="67">
        <f t="shared" si="352"/>
        <v>0.05002942908</v>
      </c>
      <c r="O497" s="68">
        <v>1614.0</v>
      </c>
      <c r="P497" s="67">
        <f t="shared" si="358"/>
        <v>0.05002942908</v>
      </c>
      <c r="Q497" s="69">
        <v>1614.0</v>
      </c>
      <c r="R497" s="70"/>
      <c r="S497" s="71">
        <f t="shared" si="363"/>
        <v>0.05559189012</v>
      </c>
      <c r="T497" s="72">
        <f t="shared" si="6"/>
        <v>0</v>
      </c>
      <c r="U497" s="73" t="str">
        <f t="shared" si="364"/>
        <v/>
      </c>
      <c r="V497" s="73">
        <f t="shared" si="340"/>
        <v>1295.762712</v>
      </c>
      <c r="W497" s="73">
        <f t="shared" si="9"/>
        <v>1295.762712</v>
      </c>
      <c r="X497" s="74">
        <f t="shared" si="10"/>
        <v>1</v>
      </c>
      <c r="Y497" s="73">
        <f t="shared" si="333"/>
        <v>0</v>
      </c>
      <c r="Z497" s="73">
        <f t="shared" si="12"/>
        <v>1367.79661</v>
      </c>
      <c r="AA497" s="73">
        <f t="shared" si="13"/>
        <v>1367.79661</v>
      </c>
      <c r="AB497" s="74">
        <f t="shared" si="14"/>
        <v>1</v>
      </c>
      <c r="AC497" s="61" t="str">
        <f t="shared" si="15"/>
        <v>2</v>
      </c>
      <c r="AD497" s="71" t="str">
        <f t="shared" si="16"/>
        <v>#DIV/0!</v>
      </c>
      <c r="AE497" s="61"/>
      <c r="AF497" s="61"/>
      <c r="AG497" s="71">
        <f t="array" ref="AG497">IFERROR(xlookup(G497,'Old Master'!T:T,'Old Master'!V:V),N497)</f>
        <v>0.05002942908</v>
      </c>
      <c r="AH497" s="73">
        <f t="shared" si="229"/>
        <v>1614</v>
      </c>
      <c r="AI497" s="73">
        <f t="shared" si="230"/>
        <v>1367.79661</v>
      </c>
      <c r="AJ497" s="72">
        <f t="shared" si="19"/>
        <v>1</v>
      </c>
      <c r="AK497" s="61"/>
      <c r="AL497" s="71">
        <f t="array" ref="AL497">iferror(if(isblank(xlookup($G497,'Old Master'!$T:$T,'Old Master'!$W:$W)),AG497,xlookup($G497,'Old Master'!$T:$T,'Old Master'!$W:$W)),AG497)</f>
        <v>0.05002942908</v>
      </c>
      <c r="AM497" s="74">
        <f t="shared" si="20"/>
        <v>0.05002942908</v>
      </c>
      <c r="AN497" s="73">
        <f t="shared" si="367"/>
        <v>1614</v>
      </c>
    </row>
    <row r="498">
      <c r="A498" s="65" t="s">
        <v>4592</v>
      </c>
      <c r="B498" s="65" t="str">
        <f t="shared" si="1"/>
        <v>#VALUE!</v>
      </c>
      <c r="C498" s="65" t="str">
        <f t="shared" si="248"/>
        <v>#VALUE!</v>
      </c>
      <c r="D498" s="65" t="s">
        <v>4594</v>
      </c>
      <c r="E498" s="65">
        <v>0.0</v>
      </c>
      <c r="F498" s="65" t="s">
        <v>4595</v>
      </c>
      <c r="G498" s="65" t="s">
        <v>5077</v>
      </c>
      <c r="H498" s="65" t="s">
        <v>4730</v>
      </c>
      <c r="I498" s="65">
        <v>1499.0</v>
      </c>
      <c r="J498" s="66">
        <v>0.1</v>
      </c>
      <c r="K498" s="65">
        <f t="shared" si="3"/>
        <v>1349</v>
      </c>
      <c r="L498" s="66">
        <v>0.1</v>
      </c>
      <c r="M498" s="65">
        <f t="shared" si="4"/>
        <v>1349</v>
      </c>
      <c r="N498" s="67">
        <f t="shared" si="352"/>
        <v>0.05003335557</v>
      </c>
      <c r="O498" s="68">
        <v>1424.0</v>
      </c>
      <c r="P498" s="67">
        <f t="shared" si="358"/>
        <v>0.05003335557</v>
      </c>
      <c r="Q498" s="69">
        <v>1424.0</v>
      </c>
      <c r="R498" s="70"/>
      <c r="S498" s="71">
        <f t="shared" si="363"/>
        <v>0.05559673832</v>
      </c>
      <c r="T498" s="72">
        <f t="shared" si="6"/>
        <v>0</v>
      </c>
      <c r="U498" s="73" t="str">
        <f t="shared" si="364"/>
        <v/>
      </c>
      <c r="V498" s="73">
        <f t="shared" si="340"/>
        <v>1143.220339</v>
      </c>
      <c r="W498" s="73">
        <f t="shared" si="9"/>
        <v>1143.220339</v>
      </c>
      <c r="X498" s="74">
        <f t="shared" si="10"/>
        <v>1</v>
      </c>
      <c r="Y498" s="73">
        <f t="shared" si="333"/>
        <v>0</v>
      </c>
      <c r="Z498" s="73">
        <f t="shared" si="12"/>
        <v>1206.779661</v>
      </c>
      <c r="AA498" s="73">
        <f t="shared" si="13"/>
        <v>1206.779661</v>
      </c>
      <c r="AB498" s="74">
        <f t="shared" si="14"/>
        <v>1</v>
      </c>
      <c r="AC498" s="61" t="str">
        <f t="shared" si="15"/>
        <v>0</v>
      </c>
      <c r="AD498" s="71" t="str">
        <f t="shared" si="16"/>
        <v>#DIV/0!</v>
      </c>
      <c r="AE498" s="61"/>
      <c r="AF498" s="61"/>
      <c r="AG498" s="71">
        <f t="array" ref="AG498">IFERROR(xlookup(G498,'Old Master'!T:T,'Old Master'!V:V),N498)</f>
        <v>0.05003335557</v>
      </c>
      <c r="AH498" s="73">
        <f t="shared" si="229"/>
        <v>1424</v>
      </c>
      <c r="AI498" s="73">
        <f t="shared" si="230"/>
        <v>1206.779661</v>
      </c>
      <c r="AJ498" s="72">
        <f t="shared" si="19"/>
        <v>1</v>
      </c>
      <c r="AK498" s="61"/>
      <c r="AL498" s="71">
        <f t="array" ref="AL498">iferror(if(isblank(xlookup($G498,'Old Master'!$T:$T,'Old Master'!$W:$W)),AG498,xlookup($G498,'Old Master'!$T:$T,'Old Master'!$W:$W)),AG498)</f>
        <v>0.05003335557</v>
      </c>
      <c r="AM498" s="74">
        <f t="shared" si="20"/>
        <v>0.05003335557</v>
      </c>
      <c r="AN498" s="73">
        <f t="shared" si="367"/>
        <v>1424</v>
      </c>
    </row>
    <row r="499">
      <c r="A499" s="65" t="s">
        <v>4629</v>
      </c>
      <c r="B499" s="65" t="str">
        <f t="shared" si="1"/>
        <v>#VALUE!</v>
      </c>
      <c r="C499" s="65" t="str">
        <f t="shared" si="248"/>
        <v>#VALUE!</v>
      </c>
      <c r="D499" s="65" t="s">
        <v>4631</v>
      </c>
      <c r="E499" s="65">
        <v>0.0</v>
      </c>
      <c r="F499" s="65" t="s">
        <v>4632</v>
      </c>
      <c r="G499" s="65" t="s">
        <v>5077</v>
      </c>
      <c r="H499" s="65" t="s">
        <v>4730</v>
      </c>
      <c r="I499" s="65">
        <v>1699.0</v>
      </c>
      <c r="J499" s="66">
        <v>0.1</v>
      </c>
      <c r="K499" s="65">
        <f t="shared" si="3"/>
        <v>1529</v>
      </c>
      <c r="L499" s="66">
        <v>0.1</v>
      </c>
      <c r="M499" s="65">
        <f t="shared" si="4"/>
        <v>1529</v>
      </c>
      <c r="N499" s="67">
        <f t="shared" si="352"/>
        <v>0.05002942908</v>
      </c>
      <c r="O499" s="68">
        <v>1614.0</v>
      </c>
      <c r="P499" s="67">
        <f t="shared" si="358"/>
        <v>0.05002942908</v>
      </c>
      <c r="Q499" s="69">
        <v>1614.0</v>
      </c>
      <c r="R499" s="70"/>
      <c r="S499" s="71">
        <f t="shared" si="363"/>
        <v>0.05559189012</v>
      </c>
      <c r="T499" s="72">
        <f t="shared" si="6"/>
        <v>0</v>
      </c>
      <c r="U499" s="73" t="str">
        <f t="shared" si="364"/>
        <v/>
      </c>
      <c r="V499" s="73">
        <f t="shared" si="340"/>
        <v>1295.762712</v>
      </c>
      <c r="W499" s="73">
        <f t="shared" si="9"/>
        <v>1295.762712</v>
      </c>
      <c r="X499" s="74">
        <f t="shared" si="10"/>
        <v>1</v>
      </c>
      <c r="Y499" s="73">
        <f t="shared" si="333"/>
        <v>0</v>
      </c>
      <c r="Z499" s="73">
        <f t="shared" si="12"/>
        <v>1367.79661</v>
      </c>
      <c r="AA499" s="73">
        <f t="shared" si="13"/>
        <v>1367.79661</v>
      </c>
      <c r="AB499" s="74">
        <f t="shared" si="14"/>
        <v>1</v>
      </c>
      <c r="AC499" s="61" t="str">
        <f t="shared" si="15"/>
        <v>2</v>
      </c>
      <c r="AD499" s="71" t="str">
        <f t="shared" si="16"/>
        <v>#DIV/0!</v>
      </c>
      <c r="AE499" s="61"/>
      <c r="AF499" s="61"/>
      <c r="AG499" s="71">
        <f t="array" ref="AG499">IFERROR(xlookup(G499,'Old Master'!T:T,'Old Master'!V:V),N499)</f>
        <v>0.05002942908</v>
      </c>
      <c r="AH499" s="73">
        <f t="shared" si="229"/>
        <v>1614</v>
      </c>
      <c r="AI499" s="73">
        <f t="shared" si="230"/>
        <v>1367.79661</v>
      </c>
      <c r="AJ499" s="72">
        <f t="shared" si="19"/>
        <v>1</v>
      </c>
      <c r="AK499" s="61"/>
      <c r="AL499" s="71">
        <f t="array" ref="AL499">iferror(if(isblank(xlookup($G499,'Old Master'!$T:$T,'Old Master'!$W:$W)),AG499,xlookup($G499,'Old Master'!$T:$T,'Old Master'!$W:$W)),AG499)</f>
        <v>0.05002942908</v>
      </c>
      <c r="AM499" s="74">
        <f t="shared" si="20"/>
        <v>0.05002942908</v>
      </c>
      <c r="AN499" s="73">
        <f t="shared" si="367"/>
        <v>1614</v>
      </c>
    </row>
    <row r="500">
      <c r="A500" s="65" t="s">
        <v>4634</v>
      </c>
      <c r="B500" s="65" t="str">
        <f t="shared" si="1"/>
        <v>#VALUE!</v>
      </c>
      <c r="C500" s="65" t="str">
        <f t="shared" si="248"/>
        <v>#VALUE!</v>
      </c>
      <c r="D500" s="65" t="s">
        <v>4636</v>
      </c>
      <c r="E500" s="65">
        <v>0.0</v>
      </c>
      <c r="F500" s="65" t="s">
        <v>4637</v>
      </c>
      <c r="G500" s="65" t="s">
        <v>5077</v>
      </c>
      <c r="H500" s="65" t="s">
        <v>4730</v>
      </c>
      <c r="I500" s="65">
        <v>1699.0</v>
      </c>
      <c r="J500" s="66">
        <v>0.1</v>
      </c>
      <c r="K500" s="65">
        <f t="shared" si="3"/>
        <v>1529</v>
      </c>
      <c r="L500" s="66">
        <v>0.1</v>
      </c>
      <c r="M500" s="65">
        <f t="shared" si="4"/>
        <v>1529</v>
      </c>
      <c r="N500" s="67">
        <f t="shared" si="352"/>
        <v>0.05002942908</v>
      </c>
      <c r="O500" s="68">
        <v>1614.0</v>
      </c>
      <c r="P500" s="67">
        <f t="shared" si="358"/>
        <v>0.05002942908</v>
      </c>
      <c r="Q500" s="69">
        <v>1614.0</v>
      </c>
      <c r="R500" s="70"/>
      <c r="S500" s="71">
        <f t="shared" si="363"/>
        <v>0.05559189012</v>
      </c>
      <c r="T500" s="72">
        <f t="shared" si="6"/>
        <v>0</v>
      </c>
      <c r="U500" s="73" t="str">
        <f t="shared" si="364"/>
        <v/>
      </c>
      <c r="V500" s="73">
        <f t="shared" si="340"/>
        <v>1295.762712</v>
      </c>
      <c r="W500" s="73">
        <f t="shared" si="9"/>
        <v>1295.762712</v>
      </c>
      <c r="X500" s="74">
        <f t="shared" si="10"/>
        <v>1</v>
      </c>
      <c r="Y500" s="73">
        <f t="shared" si="333"/>
        <v>0</v>
      </c>
      <c r="Z500" s="73">
        <f t="shared" si="12"/>
        <v>1367.79661</v>
      </c>
      <c r="AA500" s="73">
        <f t="shared" si="13"/>
        <v>1367.79661</v>
      </c>
      <c r="AB500" s="74">
        <f t="shared" si="14"/>
        <v>1</v>
      </c>
      <c r="AC500" s="61" t="str">
        <f t="shared" si="15"/>
        <v>2</v>
      </c>
      <c r="AD500" s="71" t="str">
        <f t="shared" si="16"/>
        <v>#DIV/0!</v>
      </c>
      <c r="AE500" s="61"/>
      <c r="AF500" s="61"/>
      <c r="AG500" s="71">
        <f t="array" ref="AG500">IFERROR(xlookup(G500,'Old Master'!T:T,'Old Master'!V:V),N500)</f>
        <v>0.05002942908</v>
      </c>
      <c r="AH500" s="73">
        <f t="shared" si="229"/>
        <v>1614</v>
      </c>
      <c r="AI500" s="73">
        <f t="shared" si="230"/>
        <v>1367.79661</v>
      </c>
      <c r="AJ500" s="72">
        <f t="shared" si="19"/>
        <v>1</v>
      </c>
      <c r="AK500" s="61"/>
      <c r="AL500" s="71">
        <f t="array" ref="AL500">iferror(if(isblank(xlookup($G500,'Old Master'!$T:$T,'Old Master'!$W:$W)),AG500,xlookup($G500,'Old Master'!$T:$T,'Old Master'!$W:$W)),AG500)</f>
        <v>0.05002942908</v>
      </c>
      <c r="AM500" s="74">
        <f t="shared" si="20"/>
        <v>0.05002942908</v>
      </c>
      <c r="AN500" s="73">
        <f t="shared" si="367"/>
        <v>1614</v>
      </c>
    </row>
    <row r="501">
      <c r="A501" s="65" t="s">
        <v>4548</v>
      </c>
      <c r="B501" s="65" t="str">
        <f t="shared" si="1"/>
        <v>#VALUE!</v>
      </c>
      <c r="C501" s="65" t="str">
        <f t="shared" si="248"/>
        <v>#VALUE!</v>
      </c>
      <c r="D501" s="65" t="s">
        <v>4550</v>
      </c>
      <c r="E501" s="65">
        <v>0.0</v>
      </c>
      <c r="F501" s="65" t="s">
        <v>4551</v>
      </c>
      <c r="G501" s="65" t="s">
        <v>5077</v>
      </c>
      <c r="H501" s="65" t="s">
        <v>4730</v>
      </c>
      <c r="I501" s="65">
        <v>1499.0</v>
      </c>
      <c r="J501" s="66">
        <v>0.1</v>
      </c>
      <c r="K501" s="65">
        <f t="shared" si="3"/>
        <v>1349</v>
      </c>
      <c r="L501" s="66">
        <v>0.1</v>
      </c>
      <c r="M501" s="65">
        <f t="shared" si="4"/>
        <v>1349</v>
      </c>
      <c r="N501" s="67">
        <f t="shared" si="352"/>
        <v>0.05003335557</v>
      </c>
      <c r="O501" s="68">
        <v>1424.0</v>
      </c>
      <c r="P501" s="67">
        <f t="shared" si="358"/>
        <v>0.05003335557</v>
      </c>
      <c r="Q501" s="69">
        <v>1424.0</v>
      </c>
      <c r="R501" s="70"/>
      <c r="S501" s="71">
        <f t="shared" si="363"/>
        <v>0.05559673832</v>
      </c>
      <c r="T501" s="72">
        <f t="shared" si="6"/>
        <v>0</v>
      </c>
      <c r="U501" s="73" t="str">
        <f t="shared" si="364"/>
        <v/>
      </c>
      <c r="V501" s="73">
        <f t="shared" si="340"/>
        <v>1143.220339</v>
      </c>
      <c r="W501" s="73">
        <f t="shared" si="9"/>
        <v>1143.220339</v>
      </c>
      <c r="X501" s="74">
        <f t="shared" si="10"/>
        <v>1</v>
      </c>
      <c r="Y501" s="73">
        <f t="shared" si="333"/>
        <v>0</v>
      </c>
      <c r="Z501" s="73">
        <f t="shared" si="12"/>
        <v>1206.779661</v>
      </c>
      <c r="AA501" s="73">
        <f t="shared" si="13"/>
        <v>1206.779661</v>
      </c>
      <c r="AB501" s="74">
        <f t="shared" si="14"/>
        <v>1</v>
      </c>
      <c r="AC501" s="61" t="str">
        <f t="shared" si="15"/>
        <v>0</v>
      </c>
      <c r="AD501" s="71" t="str">
        <f t="shared" si="16"/>
        <v>#DIV/0!</v>
      </c>
      <c r="AE501" s="61"/>
      <c r="AF501" s="61"/>
      <c r="AG501" s="71">
        <f t="array" ref="AG501">IFERROR(xlookup(G501,'Old Master'!T:T,'Old Master'!V:V),N501)</f>
        <v>0.05003335557</v>
      </c>
      <c r="AH501" s="73">
        <f t="shared" si="229"/>
        <v>1424</v>
      </c>
      <c r="AI501" s="73">
        <f t="shared" si="230"/>
        <v>1206.779661</v>
      </c>
      <c r="AJ501" s="72">
        <f t="shared" si="19"/>
        <v>1</v>
      </c>
      <c r="AK501" s="61"/>
      <c r="AL501" s="71">
        <f t="array" ref="AL501">iferror(if(isblank(xlookup($G501,'Old Master'!$T:$T,'Old Master'!$W:$W)),AG501,xlookup($G501,'Old Master'!$T:$T,'Old Master'!$W:$W)),AG501)</f>
        <v>0.05003335557</v>
      </c>
      <c r="AM501" s="74">
        <f t="shared" si="20"/>
        <v>0.05003335557</v>
      </c>
      <c r="AN501" s="73">
        <f t="shared" si="367"/>
        <v>1424</v>
      </c>
    </row>
    <row r="502">
      <c r="A502" s="65" t="s">
        <v>4570</v>
      </c>
      <c r="B502" s="65" t="str">
        <f t="shared" si="1"/>
        <v>#VALUE!</v>
      </c>
      <c r="C502" s="65" t="str">
        <f t="shared" si="248"/>
        <v>#VALUE!</v>
      </c>
      <c r="D502" s="65" t="s">
        <v>4572</v>
      </c>
      <c r="E502" s="65">
        <v>0.0</v>
      </c>
      <c r="F502" s="65" t="s">
        <v>4573</v>
      </c>
      <c r="G502" s="65" t="s">
        <v>5077</v>
      </c>
      <c r="H502" s="65" t="s">
        <v>4730</v>
      </c>
      <c r="I502" s="65">
        <v>1499.0</v>
      </c>
      <c r="J502" s="66">
        <v>0.1</v>
      </c>
      <c r="K502" s="65">
        <f t="shared" si="3"/>
        <v>1349</v>
      </c>
      <c r="L502" s="66">
        <v>0.1</v>
      </c>
      <c r="M502" s="65">
        <f t="shared" si="4"/>
        <v>1349</v>
      </c>
      <c r="N502" s="67">
        <f t="shared" si="352"/>
        <v>0.05003335557</v>
      </c>
      <c r="O502" s="68">
        <v>1424.0</v>
      </c>
      <c r="P502" s="67">
        <f t="shared" si="358"/>
        <v>0.05003335557</v>
      </c>
      <c r="Q502" s="69">
        <v>1424.0</v>
      </c>
      <c r="R502" s="70"/>
      <c r="S502" s="71">
        <f t="shared" si="363"/>
        <v>0.05559673832</v>
      </c>
      <c r="T502" s="72">
        <f t="shared" si="6"/>
        <v>0</v>
      </c>
      <c r="U502" s="73" t="str">
        <f t="shared" si="364"/>
        <v/>
      </c>
      <c r="V502" s="73">
        <f t="shared" si="340"/>
        <v>1143.220339</v>
      </c>
      <c r="W502" s="73">
        <f t="shared" si="9"/>
        <v>1143.220339</v>
      </c>
      <c r="X502" s="74">
        <f t="shared" si="10"/>
        <v>1</v>
      </c>
      <c r="Y502" s="73">
        <f t="shared" si="333"/>
        <v>0</v>
      </c>
      <c r="Z502" s="73">
        <f t="shared" si="12"/>
        <v>1206.779661</v>
      </c>
      <c r="AA502" s="73">
        <f t="shared" si="13"/>
        <v>1206.779661</v>
      </c>
      <c r="AB502" s="74">
        <f t="shared" si="14"/>
        <v>1</v>
      </c>
      <c r="AC502" s="61" t="str">
        <f t="shared" si="15"/>
        <v>0</v>
      </c>
      <c r="AD502" s="71" t="str">
        <f t="shared" si="16"/>
        <v>#DIV/0!</v>
      </c>
      <c r="AE502" s="61"/>
      <c r="AF502" s="61"/>
      <c r="AG502" s="71">
        <f t="array" ref="AG502">IFERROR(xlookup(G502,'Old Master'!T:T,'Old Master'!V:V),N502)</f>
        <v>0.05003335557</v>
      </c>
      <c r="AH502" s="73">
        <f t="shared" si="229"/>
        <v>1424</v>
      </c>
      <c r="AI502" s="73">
        <f t="shared" si="230"/>
        <v>1206.779661</v>
      </c>
      <c r="AJ502" s="72">
        <f t="shared" si="19"/>
        <v>1</v>
      </c>
      <c r="AK502" s="61"/>
      <c r="AL502" s="71">
        <f t="array" ref="AL502">iferror(if(isblank(xlookup($G502,'Old Master'!$T:$T,'Old Master'!$W:$W)),AG502,xlookup($G502,'Old Master'!$T:$T,'Old Master'!$W:$W)),AG502)</f>
        <v>0.05003335557</v>
      </c>
      <c r="AM502" s="74">
        <f t="shared" si="20"/>
        <v>0.05003335557</v>
      </c>
      <c r="AN502" s="73">
        <f t="shared" si="367"/>
        <v>1424</v>
      </c>
    </row>
    <row r="503">
      <c r="A503" s="65" t="s">
        <v>4438</v>
      </c>
      <c r="B503" s="65" t="str">
        <f t="shared" si="1"/>
        <v>#VALUE!</v>
      </c>
      <c r="C503" s="65" t="str">
        <f t="shared" si="248"/>
        <v>#VALUE!</v>
      </c>
      <c r="D503" s="65" t="s">
        <v>4440</v>
      </c>
      <c r="E503" s="65">
        <v>0.0</v>
      </c>
      <c r="F503" s="65" t="s">
        <v>4441</v>
      </c>
      <c r="G503" s="65" t="s">
        <v>5077</v>
      </c>
      <c r="H503" s="65" t="s">
        <v>4730</v>
      </c>
      <c r="I503" s="65">
        <v>999.0</v>
      </c>
      <c r="J503" s="66">
        <v>0.1</v>
      </c>
      <c r="K503" s="65">
        <f t="shared" si="3"/>
        <v>899</v>
      </c>
      <c r="L503" s="66">
        <v>0.1</v>
      </c>
      <c r="M503" s="65">
        <f t="shared" si="4"/>
        <v>899</v>
      </c>
      <c r="N503" s="67">
        <f t="shared" si="352"/>
        <v>0.05005005005</v>
      </c>
      <c r="O503" s="68">
        <v>949.0</v>
      </c>
      <c r="P503" s="67">
        <f t="shared" si="358"/>
        <v>0.05005005005</v>
      </c>
      <c r="Q503" s="69">
        <v>949.0</v>
      </c>
      <c r="R503" s="70"/>
      <c r="S503" s="71">
        <f t="shared" si="363"/>
        <v>0.05561735261</v>
      </c>
      <c r="T503" s="72">
        <f t="shared" si="6"/>
        <v>0</v>
      </c>
      <c r="U503" s="73" t="str">
        <f t="shared" si="364"/>
        <v/>
      </c>
      <c r="V503" s="73">
        <f t="shared" si="340"/>
        <v>761.8644068</v>
      </c>
      <c r="W503" s="73">
        <f t="shared" si="9"/>
        <v>761.8644068</v>
      </c>
      <c r="X503" s="74">
        <f t="shared" si="10"/>
        <v>1</v>
      </c>
      <c r="Y503" s="73">
        <f t="shared" si="333"/>
        <v>0</v>
      </c>
      <c r="Z503" s="73">
        <f t="shared" si="12"/>
        <v>804.2372881</v>
      </c>
      <c r="AA503" s="73">
        <f t="shared" si="13"/>
        <v>804.2372881</v>
      </c>
      <c r="AB503" s="74">
        <f t="shared" si="14"/>
        <v>1</v>
      </c>
      <c r="AC503" s="61" t="str">
        <f t="shared" si="15"/>
        <v>6</v>
      </c>
      <c r="AD503" s="71" t="str">
        <f t="shared" si="16"/>
        <v>#DIV/0!</v>
      </c>
      <c r="AE503" s="61"/>
      <c r="AF503" s="61"/>
      <c r="AG503" s="71">
        <f t="array" ref="AG503">IFERROR(xlookup(G503,'Old Master'!T:T,'Old Master'!V:V),N503)</f>
        <v>0.05005005005</v>
      </c>
      <c r="AH503" s="73">
        <f t="shared" si="229"/>
        <v>949</v>
      </c>
      <c r="AI503" s="73">
        <f t="shared" si="230"/>
        <v>804.2372881</v>
      </c>
      <c r="AJ503" s="72">
        <f t="shared" si="19"/>
        <v>1</v>
      </c>
      <c r="AK503" s="61"/>
      <c r="AL503" s="71">
        <f t="array" ref="AL503">iferror(if(isblank(xlookup($G503,'Old Master'!$T:$T,'Old Master'!$W:$W)),AG503,xlookup($G503,'Old Master'!$T:$T,'Old Master'!$W:$W)),AG503)</f>
        <v>0.05005005005</v>
      </c>
      <c r="AM503" s="74">
        <f t="shared" si="20"/>
        <v>0.05005005005</v>
      </c>
      <c r="AN503" s="73">
        <f t="shared" si="367"/>
        <v>949</v>
      </c>
    </row>
    <row r="504">
      <c r="A504" s="65" t="s">
        <v>4614</v>
      </c>
      <c r="B504" s="65" t="str">
        <f t="shared" si="1"/>
        <v>#VALUE!</v>
      </c>
      <c r="C504" s="65" t="str">
        <f t="shared" si="248"/>
        <v>#VALUE!</v>
      </c>
      <c r="D504" s="65" t="s">
        <v>4616</v>
      </c>
      <c r="E504" s="65">
        <v>0.0</v>
      </c>
      <c r="F504" s="65" t="s">
        <v>4617</v>
      </c>
      <c r="G504" s="65" t="s">
        <v>5077</v>
      </c>
      <c r="H504" s="65" t="s">
        <v>4730</v>
      </c>
      <c r="I504" s="65">
        <v>1699.0</v>
      </c>
      <c r="J504" s="66">
        <v>0.1</v>
      </c>
      <c r="K504" s="65">
        <f t="shared" si="3"/>
        <v>1529</v>
      </c>
      <c r="L504" s="66">
        <v>0.1</v>
      </c>
      <c r="M504" s="65">
        <f t="shared" si="4"/>
        <v>1529</v>
      </c>
      <c r="N504" s="67">
        <f t="shared" si="352"/>
        <v>0.05002942908</v>
      </c>
      <c r="O504" s="68">
        <v>1614.0</v>
      </c>
      <c r="P504" s="67">
        <f t="shared" si="358"/>
        <v>0.05002942908</v>
      </c>
      <c r="Q504" s="69">
        <v>1614.0</v>
      </c>
      <c r="R504" s="70"/>
      <c r="S504" s="71">
        <f t="shared" si="363"/>
        <v>0.05559189012</v>
      </c>
      <c r="T504" s="72">
        <f t="shared" si="6"/>
        <v>0</v>
      </c>
      <c r="U504" s="73" t="str">
        <f t="shared" si="364"/>
        <v/>
      </c>
      <c r="V504" s="73">
        <f t="shared" si="340"/>
        <v>1295.762712</v>
      </c>
      <c r="W504" s="73">
        <f t="shared" si="9"/>
        <v>1295.762712</v>
      </c>
      <c r="X504" s="74">
        <f t="shared" si="10"/>
        <v>1</v>
      </c>
      <c r="Y504" s="73">
        <f t="shared" si="333"/>
        <v>0</v>
      </c>
      <c r="Z504" s="73">
        <f t="shared" si="12"/>
        <v>1367.79661</v>
      </c>
      <c r="AA504" s="73">
        <f t="shared" si="13"/>
        <v>1367.79661</v>
      </c>
      <c r="AB504" s="74">
        <f t="shared" si="14"/>
        <v>1</v>
      </c>
      <c r="AC504" s="61" t="str">
        <f t="shared" si="15"/>
        <v>2</v>
      </c>
      <c r="AD504" s="71" t="str">
        <f t="shared" si="16"/>
        <v>#DIV/0!</v>
      </c>
      <c r="AE504" s="61"/>
      <c r="AF504" s="61"/>
      <c r="AG504" s="71">
        <f t="array" ref="AG504">IFERROR(xlookup(G504,'Old Master'!T:T,'Old Master'!V:V),N504)</f>
        <v>0.05002942908</v>
      </c>
      <c r="AH504" s="73">
        <f t="shared" si="229"/>
        <v>1614</v>
      </c>
      <c r="AI504" s="73">
        <f t="shared" si="230"/>
        <v>1367.79661</v>
      </c>
      <c r="AJ504" s="72">
        <f t="shared" si="19"/>
        <v>1</v>
      </c>
      <c r="AK504" s="61"/>
      <c r="AL504" s="71">
        <f t="array" ref="AL504">iferror(if(isblank(xlookup($G504,'Old Master'!$T:$T,'Old Master'!$W:$W)),AG504,xlookup($G504,'Old Master'!$T:$T,'Old Master'!$W:$W)),AG504)</f>
        <v>0.05002942908</v>
      </c>
      <c r="AM504" s="74">
        <f t="shared" si="20"/>
        <v>0.05002942908</v>
      </c>
      <c r="AN504" s="73">
        <f t="shared" si="367"/>
        <v>1614</v>
      </c>
    </row>
    <row r="505">
      <c r="A505" s="65" t="s">
        <v>4619</v>
      </c>
      <c r="B505" s="65" t="str">
        <f t="shared" si="1"/>
        <v>#VALUE!</v>
      </c>
      <c r="C505" s="65" t="str">
        <f t="shared" si="248"/>
        <v>#VALUE!</v>
      </c>
      <c r="D505" s="65" t="s">
        <v>4621</v>
      </c>
      <c r="E505" s="65">
        <v>0.0</v>
      </c>
      <c r="F505" s="65" t="s">
        <v>4622</v>
      </c>
      <c r="G505" s="65" t="s">
        <v>5077</v>
      </c>
      <c r="H505" s="65" t="s">
        <v>4730</v>
      </c>
      <c r="I505" s="65">
        <v>1699.0</v>
      </c>
      <c r="J505" s="66">
        <v>0.1</v>
      </c>
      <c r="K505" s="65">
        <f t="shared" si="3"/>
        <v>1529</v>
      </c>
      <c r="L505" s="66">
        <v>0.1</v>
      </c>
      <c r="M505" s="65">
        <f t="shared" si="4"/>
        <v>1529</v>
      </c>
      <c r="N505" s="67">
        <f t="shared" si="352"/>
        <v>0.05002942908</v>
      </c>
      <c r="O505" s="68">
        <v>1614.0</v>
      </c>
      <c r="P505" s="67">
        <f t="shared" si="358"/>
        <v>0.05002942908</v>
      </c>
      <c r="Q505" s="69">
        <v>1614.0</v>
      </c>
      <c r="R505" s="70"/>
      <c r="S505" s="71">
        <f t="shared" si="363"/>
        <v>0.05559189012</v>
      </c>
      <c r="T505" s="72">
        <f t="shared" si="6"/>
        <v>0</v>
      </c>
      <c r="U505" s="73" t="str">
        <f t="shared" si="364"/>
        <v/>
      </c>
      <c r="V505" s="73">
        <f t="shared" si="340"/>
        <v>1295.762712</v>
      </c>
      <c r="W505" s="73">
        <f t="shared" si="9"/>
        <v>1295.762712</v>
      </c>
      <c r="X505" s="74">
        <f t="shared" si="10"/>
        <v>1</v>
      </c>
      <c r="Y505" s="73">
        <f t="shared" si="333"/>
        <v>0</v>
      </c>
      <c r="Z505" s="73">
        <f t="shared" si="12"/>
        <v>1367.79661</v>
      </c>
      <c r="AA505" s="73">
        <f t="shared" si="13"/>
        <v>1367.79661</v>
      </c>
      <c r="AB505" s="74">
        <f t="shared" si="14"/>
        <v>1</v>
      </c>
      <c r="AC505" s="61" t="str">
        <f t="shared" si="15"/>
        <v>2</v>
      </c>
      <c r="AD505" s="71" t="str">
        <f t="shared" si="16"/>
        <v>#DIV/0!</v>
      </c>
      <c r="AE505" s="61"/>
      <c r="AF505" s="61"/>
      <c r="AG505" s="71">
        <f t="array" ref="AG505">IFERROR(xlookup(G505,'Old Master'!T:T,'Old Master'!V:V),N505)</f>
        <v>0.05002942908</v>
      </c>
      <c r="AH505" s="73">
        <f t="shared" si="229"/>
        <v>1614</v>
      </c>
      <c r="AI505" s="73">
        <f t="shared" si="230"/>
        <v>1367.79661</v>
      </c>
      <c r="AJ505" s="72">
        <f t="shared" si="19"/>
        <v>1</v>
      </c>
      <c r="AK505" s="61"/>
      <c r="AL505" s="71">
        <f t="array" ref="AL505">iferror(if(isblank(xlookup($G505,'Old Master'!$T:$T,'Old Master'!$W:$W)),AG505,xlookup($G505,'Old Master'!$T:$T,'Old Master'!$W:$W)),AG505)</f>
        <v>0.05002942908</v>
      </c>
      <c r="AM505" s="74">
        <f t="shared" si="20"/>
        <v>0.05002942908</v>
      </c>
      <c r="AN505" s="73">
        <f t="shared" si="367"/>
        <v>1614</v>
      </c>
    </row>
    <row r="506">
      <c r="A506" s="65" t="s">
        <v>4408</v>
      </c>
      <c r="B506" s="65" t="str">
        <f t="shared" si="1"/>
        <v>#VALUE!</v>
      </c>
      <c r="C506" s="65" t="str">
        <f t="shared" si="248"/>
        <v>#VALUE!</v>
      </c>
      <c r="D506" s="65" t="s">
        <v>4410</v>
      </c>
      <c r="E506" s="65">
        <v>0.0</v>
      </c>
      <c r="F506" s="65" t="s">
        <v>4411</v>
      </c>
      <c r="G506" s="65" t="s">
        <v>5077</v>
      </c>
      <c r="H506" s="65" t="s">
        <v>4730</v>
      </c>
      <c r="I506" s="65">
        <v>999.0</v>
      </c>
      <c r="J506" s="66">
        <v>0.1</v>
      </c>
      <c r="K506" s="65">
        <f t="shared" si="3"/>
        <v>899</v>
      </c>
      <c r="L506" s="66">
        <v>0.1</v>
      </c>
      <c r="M506" s="65">
        <f t="shared" si="4"/>
        <v>899</v>
      </c>
      <c r="N506" s="67">
        <f t="shared" si="352"/>
        <v>0.05005005005</v>
      </c>
      <c r="O506" s="68">
        <v>949.0</v>
      </c>
      <c r="P506" s="67">
        <f t="shared" si="358"/>
        <v>0.05005005005</v>
      </c>
      <c r="Q506" s="69">
        <v>949.0</v>
      </c>
      <c r="R506" s="70"/>
      <c r="S506" s="71">
        <f t="shared" si="363"/>
        <v>0.05561735261</v>
      </c>
      <c r="T506" s="72">
        <f t="shared" si="6"/>
        <v>0</v>
      </c>
      <c r="U506" s="73" t="str">
        <f t="shared" si="364"/>
        <v/>
      </c>
      <c r="V506" s="73">
        <f t="shared" si="340"/>
        <v>761.8644068</v>
      </c>
      <c r="W506" s="73">
        <f t="shared" si="9"/>
        <v>761.8644068</v>
      </c>
      <c r="X506" s="74">
        <f t="shared" si="10"/>
        <v>1</v>
      </c>
      <c r="Y506" s="73">
        <f t="shared" si="333"/>
        <v>0</v>
      </c>
      <c r="Z506" s="73">
        <f t="shared" si="12"/>
        <v>804.2372881</v>
      </c>
      <c r="AA506" s="73">
        <f t="shared" si="13"/>
        <v>804.2372881</v>
      </c>
      <c r="AB506" s="74">
        <f t="shared" si="14"/>
        <v>1</v>
      </c>
      <c r="AC506" s="61" t="str">
        <f t="shared" si="15"/>
        <v>6</v>
      </c>
      <c r="AD506" s="71" t="str">
        <f t="shared" si="16"/>
        <v>#DIV/0!</v>
      </c>
      <c r="AE506" s="61"/>
      <c r="AF506" s="61"/>
      <c r="AG506" s="71">
        <f t="array" ref="AG506">IFERROR(xlookup(G506,'Old Master'!T:T,'Old Master'!V:V),N506)</f>
        <v>0.05005005005</v>
      </c>
      <c r="AH506" s="73">
        <f t="shared" si="229"/>
        <v>949</v>
      </c>
      <c r="AI506" s="73">
        <f t="shared" si="230"/>
        <v>804.2372881</v>
      </c>
      <c r="AJ506" s="72">
        <f t="shared" si="19"/>
        <v>1</v>
      </c>
      <c r="AK506" s="61"/>
      <c r="AL506" s="71">
        <f t="array" ref="AL506">iferror(if(isblank(xlookup($G506,'Old Master'!$T:$T,'Old Master'!$W:$W)),AG506,xlookup($G506,'Old Master'!$T:$T,'Old Master'!$W:$W)),AG506)</f>
        <v>0.05005005005</v>
      </c>
      <c r="AM506" s="74">
        <f t="shared" si="20"/>
        <v>0.05005005005</v>
      </c>
      <c r="AN506" s="73">
        <f t="shared" si="367"/>
        <v>949</v>
      </c>
    </row>
    <row r="507">
      <c r="A507" s="65" t="s">
        <v>4597</v>
      </c>
      <c r="B507" s="65" t="str">
        <f t="shared" si="1"/>
        <v>#VALUE!</v>
      </c>
      <c r="C507" s="65" t="str">
        <f t="shared" si="248"/>
        <v>#VALUE!</v>
      </c>
      <c r="D507" s="65">
        <v>0.0</v>
      </c>
      <c r="E507" s="65">
        <v>0.0</v>
      </c>
      <c r="F507" s="65" t="s">
        <v>4599</v>
      </c>
      <c r="G507" s="65" t="s">
        <v>5077</v>
      </c>
      <c r="H507" s="84" t="s">
        <v>4730</v>
      </c>
      <c r="I507" s="65">
        <v>1499.0</v>
      </c>
      <c r="J507" s="66">
        <v>0.0</v>
      </c>
      <c r="K507" s="65">
        <f t="shared" si="3"/>
        <v>1499</v>
      </c>
      <c r="L507" s="66">
        <v>0.0</v>
      </c>
      <c r="M507" s="65">
        <f t="shared" si="4"/>
        <v>1499</v>
      </c>
      <c r="N507" s="67">
        <f t="shared" si="352"/>
        <v>0.05003335557</v>
      </c>
      <c r="O507" s="68">
        <v>1424.0</v>
      </c>
      <c r="P507" s="67">
        <f t="shared" si="358"/>
        <v>0.05003335557</v>
      </c>
      <c r="Q507" s="69">
        <v>1424.0</v>
      </c>
      <c r="R507" s="70"/>
      <c r="S507" s="71">
        <f t="shared" si="363"/>
        <v>-0.05003335557</v>
      </c>
      <c r="T507" s="72">
        <f t="shared" si="6"/>
        <v>0</v>
      </c>
      <c r="U507" s="73" t="str">
        <f t="shared" si="364"/>
        <v/>
      </c>
      <c r="V507" s="73">
        <f t="shared" si="340"/>
        <v>1270.338983</v>
      </c>
      <c r="W507" s="73">
        <f t="shared" si="9"/>
        <v>1270.338983</v>
      </c>
      <c r="X507" s="74">
        <f t="shared" si="10"/>
        <v>1</v>
      </c>
      <c r="Y507" s="73">
        <f t="shared" si="333"/>
        <v>0</v>
      </c>
      <c r="Z507" s="73">
        <f t="shared" si="12"/>
        <v>1206.779661</v>
      </c>
      <c r="AA507" s="73">
        <f t="shared" si="13"/>
        <v>1206.779661</v>
      </c>
      <c r="AB507" s="74">
        <f t="shared" si="14"/>
        <v>1</v>
      </c>
      <c r="AC507" s="61" t="str">
        <f t="shared" si="15"/>
        <v>0</v>
      </c>
      <c r="AD507" s="71" t="str">
        <f t="shared" si="16"/>
        <v>#DIV/0!</v>
      </c>
      <c r="AE507" s="61"/>
      <c r="AF507" s="61"/>
      <c r="AG507" s="71">
        <f t="array" ref="AG507">IFERROR(xlookup(G507,'Old Master'!T:T,'Old Master'!V:V),N507)</f>
        <v>0.05003335557</v>
      </c>
      <c r="AH507" s="73">
        <f t="shared" si="229"/>
        <v>1424</v>
      </c>
      <c r="AI507" s="73">
        <f t="shared" si="230"/>
        <v>1206.779661</v>
      </c>
      <c r="AJ507" s="72">
        <f t="shared" si="19"/>
        <v>1</v>
      </c>
      <c r="AK507" s="61"/>
      <c r="AL507" s="71">
        <f t="array" ref="AL507">iferror(if(isblank(xlookup($G507,'Old Master'!$T:$T,'Old Master'!$W:$W)),AG507,xlookup($G507,'Old Master'!$T:$T,'Old Master'!$W:$W)),AG507)</f>
        <v>0.05003335557</v>
      </c>
      <c r="AM507" s="74">
        <f t="shared" si="20"/>
        <v>0.05003335557</v>
      </c>
      <c r="AN507" s="73">
        <f t="shared" si="367"/>
        <v>1424</v>
      </c>
    </row>
    <row r="508">
      <c r="A508" s="65" t="s">
        <v>4600</v>
      </c>
      <c r="B508" s="65" t="str">
        <f t="shared" si="1"/>
        <v>#VALUE!</v>
      </c>
      <c r="C508" s="65" t="str">
        <f t="shared" si="248"/>
        <v>#VALUE!</v>
      </c>
      <c r="D508" s="65">
        <v>0.0</v>
      </c>
      <c r="E508" s="65">
        <v>0.0</v>
      </c>
      <c r="F508" s="65" t="s">
        <v>4602</v>
      </c>
      <c r="G508" s="65" t="s">
        <v>5077</v>
      </c>
      <c r="H508" s="84" t="s">
        <v>4730</v>
      </c>
      <c r="I508" s="65">
        <v>1499.0</v>
      </c>
      <c r="J508" s="66">
        <v>0.0</v>
      </c>
      <c r="K508" s="65">
        <f t="shared" si="3"/>
        <v>1499</v>
      </c>
      <c r="L508" s="66">
        <v>0.0</v>
      </c>
      <c r="M508" s="65">
        <f t="shared" si="4"/>
        <v>1499</v>
      </c>
      <c r="N508" s="67">
        <f t="shared" si="352"/>
        <v>0.05003335557</v>
      </c>
      <c r="O508" s="68">
        <v>1424.0</v>
      </c>
      <c r="P508" s="67">
        <f t="shared" si="358"/>
        <v>0.05003335557</v>
      </c>
      <c r="Q508" s="69">
        <v>1424.0</v>
      </c>
      <c r="R508" s="70"/>
      <c r="S508" s="71">
        <f t="shared" si="363"/>
        <v>-0.05003335557</v>
      </c>
      <c r="T508" s="72">
        <f t="shared" si="6"/>
        <v>0</v>
      </c>
      <c r="U508" s="73" t="str">
        <f t="shared" si="364"/>
        <v/>
      </c>
      <c r="V508" s="73">
        <f t="shared" si="340"/>
        <v>1270.338983</v>
      </c>
      <c r="W508" s="73">
        <f t="shared" si="9"/>
        <v>1270.338983</v>
      </c>
      <c r="X508" s="74">
        <f t="shared" si="10"/>
        <v>1</v>
      </c>
      <c r="Y508" s="73">
        <f t="shared" si="333"/>
        <v>0</v>
      </c>
      <c r="Z508" s="73">
        <f t="shared" si="12"/>
        <v>1206.779661</v>
      </c>
      <c r="AA508" s="73">
        <f t="shared" si="13"/>
        <v>1206.779661</v>
      </c>
      <c r="AB508" s="74">
        <f t="shared" si="14"/>
        <v>1</v>
      </c>
      <c r="AC508" s="61" t="str">
        <f t="shared" si="15"/>
        <v>0</v>
      </c>
      <c r="AD508" s="71" t="str">
        <f t="shared" si="16"/>
        <v>#DIV/0!</v>
      </c>
      <c r="AE508" s="61"/>
      <c r="AF508" s="61"/>
      <c r="AG508" s="71">
        <f t="array" ref="AG508">IFERROR(xlookup(G508,'Old Master'!T:T,'Old Master'!V:V),N508)</f>
        <v>0.05003335557</v>
      </c>
      <c r="AH508" s="73">
        <f t="shared" si="229"/>
        <v>1424</v>
      </c>
      <c r="AI508" s="73">
        <f t="shared" si="230"/>
        <v>1206.779661</v>
      </c>
      <c r="AJ508" s="72">
        <f t="shared" si="19"/>
        <v>1</v>
      </c>
      <c r="AK508" s="61"/>
      <c r="AL508" s="71">
        <f t="array" ref="AL508">iferror(if(isblank(xlookup($G508,'Old Master'!$T:$T,'Old Master'!$W:$W)),AG508,xlookup($G508,'Old Master'!$T:$T,'Old Master'!$W:$W)),AG508)</f>
        <v>0.05003335557</v>
      </c>
      <c r="AM508" s="74">
        <f t="shared" si="20"/>
        <v>0.05003335557</v>
      </c>
      <c r="AN508" s="73">
        <f t="shared" si="367"/>
        <v>1424</v>
      </c>
    </row>
    <row r="509">
      <c r="A509" s="65" t="s">
        <v>4556</v>
      </c>
      <c r="B509" s="65" t="str">
        <f t="shared" si="1"/>
        <v>#VALUE!</v>
      </c>
      <c r="C509" s="65" t="str">
        <f t="shared" si="248"/>
        <v>#VALUE!</v>
      </c>
      <c r="D509" s="65">
        <v>0.0</v>
      </c>
      <c r="E509" s="65">
        <v>0.0</v>
      </c>
      <c r="F509" s="65" t="s">
        <v>4558</v>
      </c>
      <c r="G509" s="65" t="s">
        <v>5077</v>
      </c>
      <c r="H509" s="84" t="s">
        <v>4730</v>
      </c>
      <c r="I509" s="65">
        <v>1499.0</v>
      </c>
      <c r="J509" s="66">
        <v>0.0</v>
      </c>
      <c r="K509" s="65">
        <f t="shared" si="3"/>
        <v>1499</v>
      </c>
      <c r="L509" s="66">
        <v>0.0</v>
      </c>
      <c r="M509" s="65">
        <f t="shared" si="4"/>
        <v>1499</v>
      </c>
      <c r="N509" s="67">
        <f t="shared" si="352"/>
        <v>0.05003335557</v>
      </c>
      <c r="O509" s="68">
        <v>1424.0</v>
      </c>
      <c r="P509" s="67">
        <f t="shared" si="358"/>
        <v>0.05003335557</v>
      </c>
      <c r="Q509" s="69">
        <v>1424.0</v>
      </c>
      <c r="R509" s="70"/>
      <c r="S509" s="71">
        <f t="shared" si="363"/>
        <v>-0.05003335557</v>
      </c>
      <c r="T509" s="72">
        <f t="shared" si="6"/>
        <v>0</v>
      </c>
      <c r="U509" s="73" t="str">
        <f t="shared" si="364"/>
        <v/>
      </c>
      <c r="V509" s="73">
        <f t="shared" si="340"/>
        <v>1270.338983</v>
      </c>
      <c r="W509" s="73">
        <f t="shared" si="9"/>
        <v>1270.338983</v>
      </c>
      <c r="X509" s="74">
        <f t="shared" si="10"/>
        <v>1</v>
      </c>
      <c r="Y509" s="73">
        <f t="shared" si="333"/>
        <v>0</v>
      </c>
      <c r="Z509" s="73">
        <f t="shared" si="12"/>
        <v>1206.779661</v>
      </c>
      <c r="AA509" s="73">
        <f t="shared" si="13"/>
        <v>1206.779661</v>
      </c>
      <c r="AB509" s="74">
        <f t="shared" si="14"/>
        <v>1</v>
      </c>
      <c r="AC509" s="61" t="str">
        <f t="shared" si="15"/>
        <v>0</v>
      </c>
      <c r="AD509" s="71" t="str">
        <f t="shared" si="16"/>
        <v>#DIV/0!</v>
      </c>
      <c r="AE509" s="61"/>
      <c r="AF509" s="61"/>
      <c r="AG509" s="71">
        <f t="array" ref="AG509">IFERROR(xlookup(G509,'Old Master'!T:T,'Old Master'!V:V),N509)</f>
        <v>0.05003335557</v>
      </c>
      <c r="AH509" s="73">
        <f t="shared" si="229"/>
        <v>1424</v>
      </c>
      <c r="AI509" s="73">
        <f t="shared" si="230"/>
        <v>1206.779661</v>
      </c>
      <c r="AJ509" s="72">
        <f t="shared" si="19"/>
        <v>1</v>
      </c>
      <c r="AK509" s="61"/>
      <c r="AL509" s="71">
        <f t="array" ref="AL509">iferror(if(isblank(xlookup($G509,'Old Master'!$T:$T,'Old Master'!$W:$W)),AG509,xlookup($G509,'Old Master'!$T:$T,'Old Master'!$W:$W)),AG509)</f>
        <v>0.05003335557</v>
      </c>
      <c r="AM509" s="74">
        <f t="shared" si="20"/>
        <v>0.05003335557</v>
      </c>
      <c r="AN509" s="73">
        <f t="shared" si="367"/>
        <v>1424</v>
      </c>
    </row>
    <row r="510">
      <c r="A510" s="65" t="s">
        <v>4639</v>
      </c>
      <c r="B510" s="65" t="str">
        <f t="shared" si="1"/>
        <v>#VALUE!</v>
      </c>
      <c r="C510" s="65" t="str">
        <f t="shared" si="248"/>
        <v>#VALUE!</v>
      </c>
      <c r="D510" s="65" t="s">
        <v>4641</v>
      </c>
      <c r="E510" s="65">
        <v>0.0</v>
      </c>
      <c r="F510" s="65" t="s">
        <v>4642</v>
      </c>
      <c r="G510" s="65" t="s">
        <v>5077</v>
      </c>
      <c r="H510" s="65" t="s">
        <v>4730</v>
      </c>
      <c r="I510" s="65">
        <v>1699.0</v>
      </c>
      <c r="J510" s="66">
        <v>0.0</v>
      </c>
      <c r="K510" s="65">
        <f t="shared" si="3"/>
        <v>1699</v>
      </c>
      <c r="L510" s="66">
        <v>0.0</v>
      </c>
      <c r="M510" s="65">
        <f t="shared" si="4"/>
        <v>1699</v>
      </c>
      <c r="N510" s="67">
        <f t="shared" si="352"/>
        <v>0.05002942908</v>
      </c>
      <c r="O510" s="68">
        <v>1614.0</v>
      </c>
      <c r="P510" s="67">
        <f t="shared" si="358"/>
        <v>0.05002942908</v>
      </c>
      <c r="Q510" s="69">
        <v>1614.0</v>
      </c>
      <c r="R510" s="70"/>
      <c r="S510" s="71">
        <f t="shared" si="363"/>
        <v>-0.05002942908</v>
      </c>
      <c r="T510" s="72">
        <f t="shared" si="6"/>
        <v>0</v>
      </c>
      <c r="U510" s="73" t="str">
        <f t="shared" si="364"/>
        <v/>
      </c>
      <c r="V510" s="73">
        <f t="shared" si="340"/>
        <v>1439.830508</v>
      </c>
      <c r="W510" s="73">
        <f t="shared" si="9"/>
        <v>1439.830508</v>
      </c>
      <c r="X510" s="74">
        <f t="shared" si="10"/>
        <v>1</v>
      </c>
      <c r="Y510" s="73">
        <f t="shared" si="333"/>
        <v>0</v>
      </c>
      <c r="Z510" s="73">
        <f t="shared" si="12"/>
        <v>1367.79661</v>
      </c>
      <c r="AA510" s="73">
        <f t="shared" si="13"/>
        <v>1367.79661</v>
      </c>
      <c r="AB510" s="74">
        <f t="shared" si="14"/>
        <v>1</v>
      </c>
      <c r="AC510" s="61" t="str">
        <f t="shared" si="15"/>
        <v>2</v>
      </c>
      <c r="AD510" s="71" t="str">
        <f t="shared" si="16"/>
        <v>#DIV/0!</v>
      </c>
      <c r="AE510" s="61"/>
      <c r="AF510" s="61"/>
      <c r="AG510" s="71">
        <f t="array" ref="AG510">IFERROR(xlookup(G510,'Old Master'!T:T,'Old Master'!V:V),N510)</f>
        <v>0.05002942908</v>
      </c>
      <c r="AH510" s="73">
        <f t="shared" si="229"/>
        <v>1614</v>
      </c>
      <c r="AI510" s="73">
        <f t="shared" si="230"/>
        <v>1367.79661</v>
      </c>
      <c r="AJ510" s="72">
        <f t="shared" si="19"/>
        <v>1</v>
      </c>
      <c r="AK510" s="61"/>
      <c r="AL510" s="71">
        <f t="array" ref="AL510">iferror(if(isblank(xlookup($G510,'Old Master'!$T:$T,'Old Master'!$W:$W)),AG510,xlookup($G510,'Old Master'!$T:$T,'Old Master'!$W:$W)),AG510)</f>
        <v>0.05002942908</v>
      </c>
      <c r="AM510" s="74">
        <f t="shared" si="20"/>
        <v>0.05002942908</v>
      </c>
      <c r="AN510" s="73">
        <f t="shared" si="367"/>
        <v>1614</v>
      </c>
    </row>
    <row r="511">
      <c r="A511" s="65" t="s">
        <v>4575</v>
      </c>
      <c r="B511" s="65" t="str">
        <f t="shared" si="1"/>
        <v>#VALUE!</v>
      </c>
      <c r="C511" s="65" t="str">
        <f t="shared" si="248"/>
        <v>#VALUE!</v>
      </c>
      <c r="D511" s="65">
        <v>0.0</v>
      </c>
      <c r="E511" s="65">
        <v>0.0</v>
      </c>
      <c r="F511" s="65" t="s">
        <v>4577</v>
      </c>
      <c r="G511" s="65" t="s">
        <v>5077</v>
      </c>
      <c r="H511" s="84" t="s">
        <v>4730</v>
      </c>
      <c r="I511" s="65">
        <v>1499.0</v>
      </c>
      <c r="J511" s="66">
        <v>0.0</v>
      </c>
      <c r="K511" s="65">
        <f t="shared" si="3"/>
        <v>1499</v>
      </c>
      <c r="L511" s="66">
        <v>0.0</v>
      </c>
      <c r="M511" s="65">
        <f t="shared" si="4"/>
        <v>1499</v>
      </c>
      <c r="N511" s="67">
        <f t="shared" si="352"/>
        <v>0.05003335557</v>
      </c>
      <c r="O511" s="68">
        <v>1424.0</v>
      </c>
      <c r="P511" s="67">
        <f t="shared" si="358"/>
        <v>0.05003335557</v>
      </c>
      <c r="Q511" s="69">
        <v>1424.0</v>
      </c>
      <c r="R511" s="70"/>
      <c r="S511" s="71">
        <f t="shared" si="363"/>
        <v>-0.05003335557</v>
      </c>
      <c r="T511" s="72">
        <f t="shared" si="6"/>
        <v>0</v>
      </c>
      <c r="U511" s="73" t="str">
        <f t="shared" si="364"/>
        <v/>
      </c>
      <c r="V511" s="73">
        <f t="shared" si="340"/>
        <v>1270.338983</v>
      </c>
      <c r="W511" s="73">
        <f t="shared" si="9"/>
        <v>1270.338983</v>
      </c>
      <c r="X511" s="74">
        <f t="shared" si="10"/>
        <v>1</v>
      </c>
      <c r="Y511" s="73">
        <f t="shared" si="333"/>
        <v>0</v>
      </c>
      <c r="Z511" s="73">
        <f t="shared" si="12"/>
        <v>1206.779661</v>
      </c>
      <c r="AA511" s="73">
        <f t="shared" si="13"/>
        <v>1206.779661</v>
      </c>
      <c r="AB511" s="74">
        <f t="shared" si="14"/>
        <v>1</v>
      </c>
      <c r="AC511" s="61" t="str">
        <f t="shared" si="15"/>
        <v>0</v>
      </c>
      <c r="AD511" s="71" t="str">
        <f t="shared" si="16"/>
        <v>#DIV/0!</v>
      </c>
      <c r="AE511" s="61"/>
      <c r="AF511" s="61"/>
      <c r="AG511" s="71">
        <f t="array" ref="AG511">IFERROR(xlookup(G511,'Old Master'!T:T,'Old Master'!V:V),N511)</f>
        <v>0.05003335557</v>
      </c>
      <c r="AH511" s="73">
        <f t="shared" si="229"/>
        <v>1424</v>
      </c>
      <c r="AI511" s="73">
        <f t="shared" si="230"/>
        <v>1206.779661</v>
      </c>
      <c r="AJ511" s="72">
        <f t="shared" si="19"/>
        <v>1</v>
      </c>
      <c r="AK511" s="61"/>
      <c r="AL511" s="71">
        <f t="array" ref="AL511">iferror(if(isblank(xlookup($G511,'Old Master'!$T:$T,'Old Master'!$W:$W)),AG511,xlookup($G511,'Old Master'!$T:$T,'Old Master'!$W:$W)),AG511)</f>
        <v>0.05003335557</v>
      </c>
      <c r="AM511" s="74">
        <f t="shared" si="20"/>
        <v>0.05003335557</v>
      </c>
      <c r="AN511" s="73">
        <f t="shared" si="367"/>
        <v>1424</v>
      </c>
    </row>
    <row r="512">
      <c r="A512" s="65" t="s">
        <v>4644</v>
      </c>
      <c r="B512" s="65" t="str">
        <f t="shared" si="1"/>
        <v>#VALUE!</v>
      </c>
      <c r="C512" s="65" t="str">
        <f t="shared" si="248"/>
        <v>#VALUE!</v>
      </c>
      <c r="D512" s="65" t="s">
        <v>4646</v>
      </c>
      <c r="E512" s="65">
        <v>0.0</v>
      </c>
      <c r="F512" s="65" t="s">
        <v>4647</v>
      </c>
      <c r="G512" s="65" t="s">
        <v>5077</v>
      </c>
      <c r="H512" s="65" t="s">
        <v>4730</v>
      </c>
      <c r="I512" s="65">
        <v>1699.0</v>
      </c>
      <c r="J512" s="66">
        <v>0.0</v>
      </c>
      <c r="K512" s="65">
        <f t="shared" si="3"/>
        <v>1699</v>
      </c>
      <c r="L512" s="66">
        <v>0.0</v>
      </c>
      <c r="M512" s="65">
        <f t="shared" si="4"/>
        <v>1699</v>
      </c>
      <c r="N512" s="67">
        <f t="shared" si="352"/>
        <v>0.05002942908</v>
      </c>
      <c r="O512" s="68">
        <v>1614.0</v>
      </c>
      <c r="P512" s="67">
        <f t="shared" si="358"/>
        <v>0.05002942908</v>
      </c>
      <c r="Q512" s="69">
        <v>1614.0</v>
      </c>
      <c r="R512" s="70"/>
      <c r="S512" s="71">
        <f t="shared" si="363"/>
        <v>-0.05002942908</v>
      </c>
      <c r="T512" s="72">
        <f t="shared" si="6"/>
        <v>0</v>
      </c>
      <c r="U512" s="73" t="str">
        <f t="shared" si="364"/>
        <v/>
      </c>
      <c r="V512" s="73">
        <f t="shared" si="340"/>
        <v>1439.830508</v>
      </c>
      <c r="W512" s="73">
        <f t="shared" si="9"/>
        <v>1439.830508</v>
      </c>
      <c r="X512" s="74">
        <f t="shared" si="10"/>
        <v>1</v>
      </c>
      <c r="Y512" s="73">
        <f t="shared" si="333"/>
        <v>0</v>
      </c>
      <c r="Z512" s="73">
        <f t="shared" si="12"/>
        <v>1367.79661</v>
      </c>
      <c r="AA512" s="73">
        <f t="shared" si="13"/>
        <v>1367.79661</v>
      </c>
      <c r="AB512" s="74">
        <f t="shared" si="14"/>
        <v>1</v>
      </c>
      <c r="AC512" s="61" t="str">
        <f t="shared" si="15"/>
        <v>2</v>
      </c>
      <c r="AD512" s="71" t="str">
        <f t="shared" si="16"/>
        <v>#DIV/0!</v>
      </c>
      <c r="AE512" s="61"/>
      <c r="AF512" s="61"/>
      <c r="AG512" s="71">
        <f t="array" ref="AG512">IFERROR(xlookup(G512,'Old Master'!T:T,'Old Master'!V:V),N512)</f>
        <v>0.05002942908</v>
      </c>
      <c r="AH512" s="73">
        <f t="shared" si="229"/>
        <v>1614</v>
      </c>
      <c r="AI512" s="73">
        <f t="shared" si="230"/>
        <v>1367.79661</v>
      </c>
      <c r="AJ512" s="72">
        <f t="shared" si="19"/>
        <v>1</v>
      </c>
      <c r="AK512" s="61"/>
      <c r="AL512" s="71">
        <f t="array" ref="AL512">iferror(if(isblank(xlookup($G512,'Old Master'!$T:$T,'Old Master'!$W:$W)),AG512,xlookup($G512,'Old Master'!$T:$T,'Old Master'!$W:$W)),AG512)</f>
        <v>0.05002942908</v>
      </c>
      <c r="AM512" s="74">
        <f t="shared" si="20"/>
        <v>0.05002942908</v>
      </c>
      <c r="AN512" s="73">
        <f t="shared" si="367"/>
        <v>1614</v>
      </c>
    </row>
    <row r="513">
      <c r="A513" s="65" t="s">
        <v>3106</v>
      </c>
      <c r="B513" s="65" t="str">
        <f t="shared" si="1"/>
        <v>#VALUE!</v>
      </c>
      <c r="C513" s="65" t="str">
        <f t="shared" si="248"/>
        <v>#VALUE!</v>
      </c>
      <c r="D513" s="65" t="s">
        <v>3108</v>
      </c>
      <c r="E513" s="65">
        <v>0.0</v>
      </c>
      <c r="F513" s="65" t="s">
        <v>3109</v>
      </c>
      <c r="G513" s="65" t="s">
        <v>5087</v>
      </c>
      <c r="H513" s="65" t="s">
        <v>4730</v>
      </c>
      <c r="I513" s="65">
        <v>1989.0</v>
      </c>
      <c r="J513" s="66">
        <v>0.261437908496732</v>
      </c>
      <c r="K513" s="65">
        <f t="shared" si="3"/>
        <v>1469</v>
      </c>
      <c r="L513" s="66">
        <v>0.15</v>
      </c>
      <c r="M513" s="65">
        <f t="shared" si="4"/>
        <v>1691</v>
      </c>
      <c r="N513" s="67">
        <f t="shared" si="352"/>
        <v>0.161387632</v>
      </c>
      <c r="O513" s="68">
        <v>1668.0</v>
      </c>
      <c r="P513" s="67">
        <f t="shared" si="358"/>
        <v>0.161387632</v>
      </c>
      <c r="Q513" s="69">
        <v>1668.0</v>
      </c>
      <c r="R513" s="70"/>
      <c r="S513" s="71">
        <f t="shared" si="363"/>
        <v>0.1354663036</v>
      </c>
      <c r="T513" s="72">
        <f t="shared" si="6"/>
        <v>0</v>
      </c>
      <c r="U513" s="73" t="str">
        <f t="shared" si="364"/>
        <v/>
      </c>
      <c r="V513" s="73">
        <f t="shared" si="340"/>
        <v>1433.050847</v>
      </c>
      <c r="W513" s="73">
        <f t="shared" si="9"/>
        <v>1433.050847</v>
      </c>
      <c r="X513" s="74">
        <f t="shared" si="10"/>
        <v>1</v>
      </c>
      <c r="Y513" s="73">
        <f t="shared" si="333"/>
        <v>0</v>
      </c>
      <c r="Z513" s="73">
        <f t="shared" si="12"/>
        <v>1413.559322</v>
      </c>
      <c r="AA513" s="73">
        <f t="shared" si="13"/>
        <v>1413.559322</v>
      </c>
      <c r="AB513" s="74">
        <f t="shared" si="14"/>
        <v>1</v>
      </c>
      <c r="AC513" s="61" t="str">
        <f t="shared" si="15"/>
        <v>0</v>
      </c>
      <c r="AD513" s="71" t="str">
        <f t="shared" si="16"/>
        <v>#DIV/0!</v>
      </c>
      <c r="AE513" s="61"/>
      <c r="AF513" s="61"/>
      <c r="AG513" s="71">
        <f t="array" ref="AG513">IFERROR(xlookup(G513,'Old Master'!T:T,'Old Master'!V:V),N513)</f>
        <v>0.161387632</v>
      </c>
      <c r="AH513" s="73">
        <f t="shared" si="229"/>
        <v>1668</v>
      </c>
      <c r="AI513" s="73">
        <f t="shared" si="230"/>
        <v>1413.559322</v>
      </c>
      <c r="AJ513" s="72">
        <f t="shared" si="19"/>
        <v>1</v>
      </c>
      <c r="AK513" s="61"/>
      <c r="AL513" s="71">
        <f t="array" ref="AL513">iferror(if(isblank(xlookup($G513,'Old Master'!$T:$T,'Old Master'!$W:$W)),AG513,xlookup($G513,'Old Master'!$T:$T,'Old Master'!$W:$W)),AG513)</f>
        <v>0.161387632</v>
      </c>
      <c r="AM513" s="74">
        <f t="shared" si="20"/>
        <v>0.1458019105</v>
      </c>
      <c r="AN513" s="73">
        <f t="shared" ref="AN513:AN515" si="368">mround($I513*(1-AL513),100)-1</f>
        <v>1699</v>
      </c>
    </row>
    <row r="514">
      <c r="A514" s="65" t="s">
        <v>3159</v>
      </c>
      <c r="B514" s="65" t="str">
        <f t="shared" si="1"/>
        <v>#VALUE!</v>
      </c>
      <c r="C514" s="65" t="str">
        <f t="shared" si="248"/>
        <v>#VALUE!</v>
      </c>
      <c r="D514" s="65" t="s">
        <v>3161</v>
      </c>
      <c r="E514" s="65">
        <v>0.0</v>
      </c>
      <c r="F514" s="65" t="s">
        <v>3162</v>
      </c>
      <c r="G514" s="65" t="s">
        <v>5087</v>
      </c>
      <c r="H514" s="65" t="s">
        <v>4730</v>
      </c>
      <c r="I514" s="65">
        <v>2689.0</v>
      </c>
      <c r="J514" s="66">
        <v>0.25660096690219414</v>
      </c>
      <c r="K514" s="65">
        <f t="shared" si="3"/>
        <v>1999</v>
      </c>
      <c r="L514" s="66">
        <v>0.15</v>
      </c>
      <c r="M514" s="65">
        <f t="shared" si="4"/>
        <v>2286</v>
      </c>
      <c r="N514" s="67">
        <f t="shared" si="352"/>
        <v>0.1565637784</v>
      </c>
      <c r="O514" s="68">
        <v>2268.0</v>
      </c>
      <c r="P514" s="67">
        <f t="shared" si="358"/>
        <v>0.1565637784</v>
      </c>
      <c r="Q514" s="69">
        <v>2268.0</v>
      </c>
      <c r="R514" s="70"/>
      <c r="S514" s="71">
        <f t="shared" si="363"/>
        <v>0.1345672836</v>
      </c>
      <c r="T514" s="72">
        <f t="shared" si="6"/>
        <v>0</v>
      </c>
      <c r="U514" s="73" t="str">
        <f t="shared" si="364"/>
        <v/>
      </c>
      <c r="V514" s="73">
        <f t="shared" si="340"/>
        <v>1937.288136</v>
      </c>
      <c r="W514" s="73">
        <f t="shared" si="9"/>
        <v>1937.288136</v>
      </c>
      <c r="X514" s="74">
        <f t="shared" si="10"/>
        <v>1</v>
      </c>
      <c r="Y514" s="73">
        <f t="shared" si="333"/>
        <v>0</v>
      </c>
      <c r="Z514" s="73">
        <f t="shared" si="12"/>
        <v>1922.033898</v>
      </c>
      <c r="AA514" s="73">
        <f t="shared" si="13"/>
        <v>1922.033898</v>
      </c>
      <c r="AB514" s="74">
        <f t="shared" si="14"/>
        <v>1</v>
      </c>
      <c r="AC514" s="61" t="str">
        <f t="shared" si="15"/>
        <v>0</v>
      </c>
      <c r="AD514" s="71" t="str">
        <f t="shared" si="16"/>
        <v>#DIV/0!</v>
      </c>
      <c r="AE514" s="61"/>
      <c r="AF514" s="61"/>
      <c r="AG514" s="71">
        <f t="array" ref="AG514">IFERROR(xlookup(G514,'Old Master'!T:T,'Old Master'!V:V),N514)</f>
        <v>0.1565637784</v>
      </c>
      <c r="AH514" s="73">
        <f t="shared" si="229"/>
        <v>2268</v>
      </c>
      <c r="AI514" s="73">
        <f t="shared" si="230"/>
        <v>1922.033898</v>
      </c>
      <c r="AJ514" s="72">
        <f t="shared" si="19"/>
        <v>1</v>
      </c>
      <c r="AK514" s="61"/>
      <c r="AL514" s="71">
        <f t="array" ref="AL514">iferror(if(isblank(xlookup($G514,'Old Master'!$T:$T,'Old Master'!$W:$W)),AG514,xlookup($G514,'Old Master'!$T:$T,'Old Master'!$W:$W)),AG514)</f>
        <v>0.1565637784</v>
      </c>
      <c r="AM514" s="74">
        <f t="shared" si="20"/>
        <v>0.1450353291</v>
      </c>
      <c r="AN514" s="73">
        <f t="shared" si="368"/>
        <v>2299</v>
      </c>
    </row>
    <row r="515">
      <c r="A515" s="65" t="s">
        <v>3069</v>
      </c>
      <c r="B515" s="65" t="str">
        <f t="shared" si="1"/>
        <v>#VALUE!</v>
      </c>
      <c r="C515" s="65" t="str">
        <f t="shared" si="248"/>
        <v>#VALUE!</v>
      </c>
      <c r="D515" s="65" t="s">
        <v>3071</v>
      </c>
      <c r="E515" s="65" t="s">
        <v>3072</v>
      </c>
      <c r="F515" s="65" t="s">
        <v>3073</v>
      </c>
      <c r="G515" s="65" t="s">
        <v>5087</v>
      </c>
      <c r="H515" s="65" t="s">
        <v>4730</v>
      </c>
      <c r="I515" s="65">
        <v>1879.0</v>
      </c>
      <c r="J515" s="66">
        <v>0.2554550292708888</v>
      </c>
      <c r="K515" s="65">
        <f t="shared" si="3"/>
        <v>1399</v>
      </c>
      <c r="L515" s="66">
        <v>0.15</v>
      </c>
      <c r="M515" s="65">
        <f t="shared" si="4"/>
        <v>1597</v>
      </c>
      <c r="N515" s="67">
        <f t="shared" si="352"/>
        <v>0.1554018095</v>
      </c>
      <c r="O515" s="68">
        <v>1587.0</v>
      </c>
      <c r="P515" s="67">
        <f t="shared" si="358"/>
        <v>0.1554018095</v>
      </c>
      <c r="Q515" s="69">
        <v>1587.0</v>
      </c>
      <c r="R515" s="70"/>
      <c r="S515" s="71">
        <f t="shared" si="363"/>
        <v>0.1343817012</v>
      </c>
      <c r="T515" s="72">
        <f t="shared" si="6"/>
        <v>0</v>
      </c>
      <c r="U515" s="73" t="str">
        <f t="shared" si="364"/>
        <v/>
      </c>
      <c r="V515" s="73">
        <f t="shared" si="340"/>
        <v>1353.389831</v>
      </c>
      <c r="W515" s="73">
        <f t="shared" si="9"/>
        <v>1353.389831</v>
      </c>
      <c r="X515" s="74">
        <f t="shared" si="10"/>
        <v>1</v>
      </c>
      <c r="Y515" s="73">
        <f t="shared" si="333"/>
        <v>0</v>
      </c>
      <c r="Z515" s="73">
        <f t="shared" si="12"/>
        <v>1344.915254</v>
      </c>
      <c r="AA515" s="73">
        <f t="shared" si="13"/>
        <v>1344.915254</v>
      </c>
      <c r="AB515" s="74">
        <f t="shared" si="14"/>
        <v>1</v>
      </c>
      <c r="AC515" s="61" t="str">
        <f t="shared" si="15"/>
        <v>0</v>
      </c>
      <c r="AD515" s="71" t="str">
        <f t="shared" si="16"/>
        <v>#DIV/0!</v>
      </c>
      <c r="AE515" s="61"/>
      <c r="AF515" s="61"/>
      <c r="AG515" s="71">
        <f t="array" ref="AG515">IFERROR(xlookup(G515,'Old Master'!T:T,'Old Master'!V:V),N515)</f>
        <v>0.1554018095</v>
      </c>
      <c r="AH515" s="73">
        <f t="shared" si="229"/>
        <v>1587</v>
      </c>
      <c r="AI515" s="73">
        <f t="shared" si="230"/>
        <v>1344.915254</v>
      </c>
      <c r="AJ515" s="72">
        <f t="shared" si="19"/>
        <v>1</v>
      </c>
      <c r="AK515" s="61"/>
      <c r="AL515" s="71">
        <f t="array" ref="AL515">iferror(if(isblank(xlookup($G515,'Old Master'!$T:$T,'Old Master'!$W:$W)),AG515,xlookup($G515,'Old Master'!$T:$T,'Old Master'!$W:$W)),AG515)</f>
        <v>0.1554018095</v>
      </c>
      <c r="AM515" s="74">
        <f t="shared" si="20"/>
        <v>0.1490154337</v>
      </c>
      <c r="AN515" s="73">
        <f t="shared" si="368"/>
        <v>1599</v>
      </c>
    </row>
    <row r="516">
      <c r="A516" s="65" t="s">
        <v>2893</v>
      </c>
      <c r="B516" s="65" t="str">
        <f t="shared" si="1"/>
        <v>#VALUE!</v>
      </c>
      <c r="C516" s="65" t="str">
        <f t="shared" si="248"/>
        <v>#VALUE!</v>
      </c>
      <c r="D516" s="65" t="s">
        <v>2895</v>
      </c>
      <c r="E516" s="65" t="s">
        <v>2896</v>
      </c>
      <c r="F516" s="65" t="s">
        <v>2897</v>
      </c>
      <c r="G516" s="65" t="s">
        <v>5116</v>
      </c>
      <c r="H516" s="65" t="s">
        <v>4730</v>
      </c>
      <c r="I516" s="65">
        <v>2699.0</v>
      </c>
      <c r="J516" s="66">
        <v>0.25935531678399404</v>
      </c>
      <c r="K516" s="65">
        <f t="shared" si="3"/>
        <v>1999</v>
      </c>
      <c r="L516" s="66">
        <v>0.15</v>
      </c>
      <c r="M516" s="65">
        <f t="shared" si="4"/>
        <v>2294</v>
      </c>
      <c r="N516" s="67">
        <f t="shared" si="352"/>
        <v>0.1111522786</v>
      </c>
      <c r="O516" s="78">
        <v>2399.0</v>
      </c>
      <c r="P516" s="67">
        <f t="shared" si="358"/>
        <v>0.1111522786</v>
      </c>
      <c r="Q516" s="79">
        <v>2399.0</v>
      </c>
      <c r="R516" s="70"/>
      <c r="S516" s="71">
        <f t="shared" si="363"/>
        <v>0.20010005</v>
      </c>
      <c r="T516" s="72">
        <f t="shared" si="6"/>
        <v>0</v>
      </c>
      <c r="U516" s="73" t="str">
        <f t="shared" si="364"/>
        <v/>
      </c>
      <c r="V516" s="73">
        <f t="shared" si="340"/>
        <v>1944.067797</v>
      </c>
      <c r="W516" s="73">
        <f t="shared" si="9"/>
        <v>1944.067797</v>
      </c>
      <c r="X516" s="74">
        <f t="shared" si="10"/>
        <v>1</v>
      </c>
      <c r="Y516" s="73">
        <f t="shared" si="333"/>
        <v>0</v>
      </c>
      <c r="Z516" s="73">
        <f t="shared" si="12"/>
        <v>2033.050847</v>
      </c>
      <c r="AA516" s="73">
        <f t="shared" si="13"/>
        <v>2033.050847</v>
      </c>
      <c r="AB516" s="74">
        <f t="shared" si="14"/>
        <v>1</v>
      </c>
      <c r="AC516" s="61" t="str">
        <f t="shared" si="15"/>
        <v>0</v>
      </c>
      <c r="AD516" s="71" t="str">
        <f t="shared" si="16"/>
        <v>#DIV/0!</v>
      </c>
      <c r="AE516" s="61"/>
      <c r="AF516" s="61"/>
      <c r="AG516" s="71">
        <f t="array" ref="AG516">IFERROR(xlookup(G516,'Old Master'!T:T,'Old Master'!V:V),N516)</f>
        <v>0.1111522786</v>
      </c>
      <c r="AH516" s="73">
        <f t="shared" si="229"/>
        <v>2399</v>
      </c>
      <c r="AI516" s="73">
        <f t="shared" si="230"/>
        <v>2033.050847</v>
      </c>
      <c r="AJ516" s="72">
        <f t="shared" si="19"/>
        <v>1</v>
      </c>
      <c r="AK516" s="61"/>
      <c r="AL516" s="71">
        <f t="array" ref="AL516">iferror(if(isblank(xlookup($G516,'Old Master'!$T:$T,'Old Master'!$W:$W)),AG516,xlookup($G516,'Old Master'!$T:$T,'Old Master'!$W:$W)),AG516)</f>
        <v>0.1111522786</v>
      </c>
      <c r="AM516" s="74">
        <f t="shared" si="20"/>
        <v>0.1111522786</v>
      </c>
      <c r="AN516" s="73">
        <f t="shared" ref="AN516:AN517" si="369">O516</f>
        <v>2399</v>
      </c>
    </row>
    <row r="517">
      <c r="A517" s="65" t="s">
        <v>2899</v>
      </c>
      <c r="B517" s="65" t="str">
        <f t="shared" si="1"/>
        <v>#VALUE!</v>
      </c>
      <c r="C517" s="65" t="str">
        <f t="shared" si="248"/>
        <v>#VALUE!</v>
      </c>
      <c r="D517" s="65" t="s">
        <v>2901</v>
      </c>
      <c r="E517" s="65" t="s">
        <v>2902</v>
      </c>
      <c r="F517" s="65" t="s">
        <v>2903</v>
      </c>
      <c r="G517" s="65" t="s">
        <v>5116</v>
      </c>
      <c r="H517" s="65" t="s">
        <v>4730</v>
      </c>
      <c r="I517" s="65">
        <v>2699.0</v>
      </c>
      <c r="J517" s="66">
        <v>0.25935531678399404</v>
      </c>
      <c r="K517" s="65">
        <f t="shared" si="3"/>
        <v>1999</v>
      </c>
      <c r="L517" s="66">
        <v>0.15</v>
      </c>
      <c r="M517" s="65">
        <f t="shared" si="4"/>
        <v>2294</v>
      </c>
      <c r="N517" s="67">
        <f t="shared" si="352"/>
        <v>0.1111522786</v>
      </c>
      <c r="O517" s="78">
        <v>2399.0</v>
      </c>
      <c r="P517" s="67">
        <f t="shared" si="358"/>
        <v>0.1111522786</v>
      </c>
      <c r="Q517" s="79">
        <v>2399.0</v>
      </c>
      <c r="R517" s="70"/>
      <c r="S517" s="71">
        <f t="shared" si="363"/>
        <v>0.20010005</v>
      </c>
      <c r="T517" s="72">
        <f t="shared" si="6"/>
        <v>0</v>
      </c>
      <c r="U517" s="73" t="str">
        <f t="shared" si="364"/>
        <v/>
      </c>
      <c r="V517" s="73">
        <f t="shared" si="340"/>
        <v>1944.067797</v>
      </c>
      <c r="W517" s="73">
        <f t="shared" si="9"/>
        <v>1944.067797</v>
      </c>
      <c r="X517" s="74">
        <f t="shared" si="10"/>
        <v>1</v>
      </c>
      <c r="Y517" s="73">
        <f t="shared" si="333"/>
        <v>0</v>
      </c>
      <c r="Z517" s="73">
        <f t="shared" si="12"/>
        <v>2033.050847</v>
      </c>
      <c r="AA517" s="73">
        <f t="shared" si="13"/>
        <v>2033.050847</v>
      </c>
      <c r="AB517" s="74">
        <f t="shared" si="14"/>
        <v>1</v>
      </c>
      <c r="AC517" s="61" t="str">
        <f t="shared" si="15"/>
        <v>0</v>
      </c>
      <c r="AD517" s="71" t="str">
        <f t="shared" si="16"/>
        <v>#DIV/0!</v>
      </c>
      <c r="AE517" s="61"/>
      <c r="AF517" s="61"/>
      <c r="AG517" s="71">
        <f t="array" ref="AG517">IFERROR(xlookup(G517,'Old Master'!T:T,'Old Master'!V:V),N517)</f>
        <v>0.1111522786</v>
      </c>
      <c r="AH517" s="73">
        <f t="shared" si="229"/>
        <v>2399</v>
      </c>
      <c r="AI517" s="73">
        <f t="shared" si="230"/>
        <v>2033.050847</v>
      </c>
      <c r="AJ517" s="72">
        <f t="shared" si="19"/>
        <v>1</v>
      </c>
      <c r="AK517" s="61"/>
      <c r="AL517" s="71">
        <f t="array" ref="AL517">iferror(if(isblank(xlookup($G517,'Old Master'!$T:$T,'Old Master'!$W:$W)),AG517,xlookup($G517,'Old Master'!$T:$T,'Old Master'!$W:$W)),AG517)</f>
        <v>0.1111522786</v>
      </c>
      <c r="AM517" s="74">
        <f t="shared" si="20"/>
        <v>0.1111522786</v>
      </c>
      <c r="AN517" s="73">
        <f t="shared" si="369"/>
        <v>2399</v>
      </c>
    </row>
    <row r="518">
      <c r="A518" s="65" t="s">
        <v>2938</v>
      </c>
      <c r="B518" s="65" t="str">
        <f t="shared" si="1"/>
        <v>#VALUE!</v>
      </c>
      <c r="C518" s="65" t="str">
        <f t="shared" si="248"/>
        <v>#VALUE!</v>
      </c>
      <c r="D518" s="65" t="s">
        <v>2940</v>
      </c>
      <c r="E518" s="65" t="s">
        <v>2942</v>
      </c>
      <c r="F518" s="65" t="s">
        <v>2943</v>
      </c>
      <c r="G518" s="65" t="s">
        <v>5116</v>
      </c>
      <c r="H518" s="65" t="s">
        <v>4730</v>
      </c>
      <c r="I518" s="65">
        <v>3599.0</v>
      </c>
      <c r="J518" s="66">
        <v>0.2500694637399278</v>
      </c>
      <c r="K518" s="65">
        <f t="shared" si="3"/>
        <v>2699</v>
      </c>
      <c r="L518" s="66">
        <v>0.15</v>
      </c>
      <c r="M518" s="65">
        <f t="shared" si="4"/>
        <v>3059</v>
      </c>
      <c r="N518" s="67">
        <f t="shared" si="352"/>
        <v>0.1389274799</v>
      </c>
      <c r="O518" s="78">
        <v>3099.0</v>
      </c>
      <c r="P518" s="67">
        <f t="shared" si="358"/>
        <v>0.1389274799</v>
      </c>
      <c r="Q518" s="79">
        <v>3099.0</v>
      </c>
      <c r="R518" s="70"/>
      <c r="S518" s="71">
        <f t="shared" si="363"/>
        <v>0.1482030382</v>
      </c>
      <c r="T518" s="72">
        <f t="shared" si="6"/>
        <v>0</v>
      </c>
      <c r="U518" s="73" t="str">
        <f t="shared" si="364"/>
        <v/>
      </c>
      <c r="V518" s="73">
        <f t="shared" si="340"/>
        <v>2592.372881</v>
      </c>
      <c r="W518" s="73">
        <f t="shared" si="9"/>
        <v>2592.372881</v>
      </c>
      <c r="X518" s="74">
        <f t="shared" si="10"/>
        <v>1</v>
      </c>
      <c r="Y518" s="73">
        <f t="shared" si="333"/>
        <v>0</v>
      </c>
      <c r="Z518" s="73">
        <f t="shared" si="12"/>
        <v>2626.271186</v>
      </c>
      <c r="AA518" s="73">
        <f t="shared" si="13"/>
        <v>2626.271186</v>
      </c>
      <c r="AB518" s="74">
        <f t="shared" si="14"/>
        <v>1</v>
      </c>
      <c r="AC518" s="61" t="str">
        <f t="shared" si="15"/>
        <v>0</v>
      </c>
      <c r="AD518" s="71" t="str">
        <f t="shared" si="16"/>
        <v>#DIV/0!</v>
      </c>
      <c r="AE518" s="61"/>
      <c r="AF518" s="61"/>
      <c r="AG518" s="71">
        <f t="array" ref="AG518">IFERROR(xlookup(G518,'Old Master'!T:T,'Old Master'!V:V),N518)</f>
        <v>0.1389274799</v>
      </c>
      <c r="AH518" s="73">
        <f t="shared" si="229"/>
        <v>3099</v>
      </c>
      <c r="AI518" s="73">
        <f t="shared" si="230"/>
        <v>2626.271186</v>
      </c>
      <c r="AJ518" s="72">
        <f t="shared" si="19"/>
        <v>1</v>
      </c>
      <c r="AK518" s="61"/>
      <c r="AL518" s="71">
        <f t="array" ref="AL518">iferror(if(isblank(xlookup($G518,'Old Master'!$T:$T,'Old Master'!$W:$W)),AG518,xlookup($G518,'Old Master'!$T:$T,'Old Master'!$W:$W)),AG518)</f>
        <v>0.1389274799</v>
      </c>
      <c r="AM518" s="74">
        <f t="shared" si="20"/>
        <v>0.1389274799</v>
      </c>
      <c r="AN518" s="73">
        <f t="shared" ref="AN518:AN520" si="370">mround($I518*(1-AL518),100)-1</f>
        <v>3099</v>
      </c>
    </row>
    <row r="519">
      <c r="A519" s="65" t="s">
        <v>2917</v>
      </c>
      <c r="B519" s="65" t="str">
        <f t="shared" si="1"/>
        <v>#VALUE!</v>
      </c>
      <c r="C519" s="65" t="str">
        <f t="shared" si="248"/>
        <v>#VALUE!</v>
      </c>
      <c r="D519" s="65" t="s">
        <v>2919</v>
      </c>
      <c r="E519" s="65" t="s">
        <v>2921</v>
      </c>
      <c r="F519" s="65" t="s">
        <v>2922</v>
      </c>
      <c r="G519" s="65" t="s">
        <v>5116</v>
      </c>
      <c r="H519" s="65" t="s">
        <v>4730</v>
      </c>
      <c r="I519" s="65">
        <v>3599.0</v>
      </c>
      <c r="J519" s="66">
        <v>0.2500694637399278</v>
      </c>
      <c r="K519" s="65">
        <f t="shared" si="3"/>
        <v>2699</v>
      </c>
      <c r="L519" s="66">
        <v>0.15</v>
      </c>
      <c r="M519" s="65">
        <f t="shared" si="4"/>
        <v>3059</v>
      </c>
      <c r="N519" s="67">
        <f t="shared" si="352"/>
        <v>0.1389274799</v>
      </c>
      <c r="O519" s="78">
        <v>3099.0</v>
      </c>
      <c r="P519" s="67">
        <f t="shared" si="358"/>
        <v>0.1389274799</v>
      </c>
      <c r="Q519" s="79">
        <v>3099.0</v>
      </c>
      <c r="R519" s="70"/>
      <c r="S519" s="71">
        <f t="shared" si="363"/>
        <v>0.1482030382</v>
      </c>
      <c r="T519" s="72">
        <f t="shared" si="6"/>
        <v>0</v>
      </c>
      <c r="U519" s="73" t="str">
        <f t="shared" si="364"/>
        <v/>
      </c>
      <c r="V519" s="73">
        <f t="shared" si="340"/>
        <v>2592.372881</v>
      </c>
      <c r="W519" s="73">
        <f t="shared" si="9"/>
        <v>2592.372881</v>
      </c>
      <c r="X519" s="74">
        <f t="shared" si="10"/>
        <v>1</v>
      </c>
      <c r="Y519" s="73">
        <f t="shared" si="333"/>
        <v>0</v>
      </c>
      <c r="Z519" s="73">
        <f t="shared" si="12"/>
        <v>2626.271186</v>
      </c>
      <c r="AA519" s="73">
        <f t="shared" si="13"/>
        <v>2626.271186</v>
      </c>
      <c r="AB519" s="74">
        <f t="shared" si="14"/>
        <v>1</v>
      </c>
      <c r="AC519" s="61" t="str">
        <f t="shared" si="15"/>
        <v>0</v>
      </c>
      <c r="AD519" s="71" t="str">
        <f t="shared" si="16"/>
        <v>#DIV/0!</v>
      </c>
      <c r="AE519" s="61"/>
      <c r="AF519" s="61"/>
      <c r="AG519" s="71">
        <f t="array" ref="AG519">IFERROR(xlookup(G519,'Old Master'!T:T,'Old Master'!V:V),N519)</f>
        <v>0.1389274799</v>
      </c>
      <c r="AH519" s="73">
        <f t="shared" si="229"/>
        <v>3099</v>
      </c>
      <c r="AI519" s="73">
        <f t="shared" si="230"/>
        <v>2626.271186</v>
      </c>
      <c r="AJ519" s="72">
        <f t="shared" si="19"/>
        <v>1</v>
      </c>
      <c r="AK519" s="61"/>
      <c r="AL519" s="71">
        <f t="array" ref="AL519">iferror(if(isblank(xlookup($G519,'Old Master'!$T:$T,'Old Master'!$W:$W)),AG519,xlookup($G519,'Old Master'!$T:$T,'Old Master'!$W:$W)),AG519)</f>
        <v>0.1389274799</v>
      </c>
      <c r="AM519" s="74">
        <f t="shared" si="20"/>
        <v>0.1389274799</v>
      </c>
      <c r="AN519" s="73">
        <f t="shared" si="370"/>
        <v>3099</v>
      </c>
    </row>
    <row r="520">
      <c r="A520" s="65" t="s">
        <v>2924</v>
      </c>
      <c r="B520" s="65" t="str">
        <f t="shared" si="1"/>
        <v>#VALUE!</v>
      </c>
      <c r="C520" s="65" t="str">
        <f t="shared" si="248"/>
        <v>#VALUE!</v>
      </c>
      <c r="D520" s="65" t="s">
        <v>2926</v>
      </c>
      <c r="E520" s="65" t="s">
        <v>2928</v>
      </c>
      <c r="F520" s="65" t="s">
        <v>2929</v>
      </c>
      <c r="G520" s="65" t="s">
        <v>5116</v>
      </c>
      <c r="H520" s="65" t="s">
        <v>4730</v>
      </c>
      <c r="I520" s="65">
        <v>3599.0</v>
      </c>
      <c r="J520" s="66">
        <v>0.2500694637399278</v>
      </c>
      <c r="K520" s="65">
        <f t="shared" si="3"/>
        <v>2699</v>
      </c>
      <c r="L520" s="66">
        <v>0.15</v>
      </c>
      <c r="M520" s="65">
        <f t="shared" si="4"/>
        <v>3059</v>
      </c>
      <c r="N520" s="67">
        <f t="shared" si="352"/>
        <v>0.1389274799</v>
      </c>
      <c r="O520" s="78">
        <v>3099.0</v>
      </c>
      <c r="P520" s="67">
        <f t="shared" si="358"/>
        <v>0.1389274799</v>
      </c>
      <c r="Q520" s="79">
        <v>3099.0</v>
      </c>
      <c r="R520" s="70"/>
      <c r="S520" s="71">
        <f t="shared" si="363"/>
        <v>0.1482030382</v>
      </c>
      <c r="T520" s="72">
        <f t="shared" si="6"/>
        <v>0</v>
      </c>
      <c r="U520" s="73" t="str">
        <f t="shared" si="364"/>
        <v/>
      </c>
      <c r="V520" s="73">
        <f t="shared" si="340"/>
        <v>2592.372881</v>
      </c>
      <c r="W520" s="73">
        <f t="shared" si="9"/>
        <v>2592.372881</v>
      </c>
      <c r="X520" s="74">
        <f t="shared" si="10"/>
        <v>1</v>
      </c>
      <c r="Y520" s="73">
        <f t="shared" si="333"/>
        <v>0</v>
      </c>
      <c r="Z520" s="73">
        <f t="shared" si="12"/>
        <v>2626.271186</v>
      </c>
      <c r="AA520" s="73">
        <f t="shared" si="13"/>
        <v>2626.271186</v>
      </c>
      <c r="AB520" s="74">
        <f t="shared" si="14"/>
        <v>1</v>
      </c>
      <c r="AC520" s="61" t="str">
        <f t="shared" si="15"/>
        <v>0</v>
      </c>
      <c r="AD520" s="71" t="str">
        <f t="shared" si="16"/>
        <v>#DIV/0!</v>
      </c>
      <c r="AE520" s="61"/>
      <c r="AF520" s="61"/>
      <c r="AG520" s="71">
        <f t="array" ref="AG520">IFERROR(xlookup(G520,'Old Master'!T:T,'Old Master'!V:V),N520)</f>
        <v>0.1389274799</v>
      </c>
      <c r="AH520" s="73">
        <f t="shared" si="229"/>
        <v>3099</v>
      </c>
      <c r="AI520" s="73">
        <f t="shared" si="230"/>
        <v>2626.271186</v>
      </c>
      <c r="AJ520" s="72">
        <f t="shared" si="19"/>
        <v>1</v>
      </c>
      <c r="AK520" s="61"/>
      <c r="AL520" s="71">
        <f t="array" ref="AL520">iferror(if(isblank(xlookup($G520,'Old Master'!$T:$T,'Old Master'!$W:$W)),AG520,xlookup($G520,'Old Master'!$T:$T,'Old Master'!$W:$W)),AG520)</f>
        <v>0.1389274799</v>
      </c>
      <c r="AM520" s="74">
        <f t="shared" si="20"/>
        <v>0.1389274799</v>
      </c>
      <c r="AN520" s="73">
        <f t="shared" si="370"/>
        <v>3099</v>
      </c>
    </row>
    <row r="521">
      <c r="A521" s="65" t="s">
        <v>1481</v>
      </c>
      <c r="B521" s="65" t="str">
        <f t="shared" si="1"/>
        <v>#VALUE!</v>
      </c>
      <c r="C521" s="65" t="str">
        <f t="shared" si="248"/>
        <v>#VALUE!</v>
      </c>
      <c r="D521" s="65" t="s">
        <v>1483</v>
      </c>
      <c r="E521" s="65" t="s">
        <v>1484</v>
      </c>
      <c r="F521" s="65" t="s">
        <v>1485</v>
      </c>
      <c r="G521" s="65" t="s">
        <v>5089</v>
      </c>
      <c r="H521" s="65" t="s">
        <v>4730</v>
      </c>
      <c r="I521" s="65">
        <v>2999.0</v>
      </c>
      <c r="J521" s="66">
        <v>0.28342780926975664</v>
      </c>
      <c r="K521" s="65">
        <f t="shared" si="3"/>
        <v>2149</v>
      </c>
      <c r="L521" s="66">
        <v>0.1</v>
      </c>
      <c r="M521" s="65">
        <f t="shared" si="4"/>
        <v>2699</v>
      </c>
      <c r="N521" s="67">
        <f t="shared" si="352"/>
        <v>0.1833944648</v>
      </c>
      <c r="O521" s="68">
        <v>2449.0</v>
      </c>
      <c r="P521" s="67">
        <f t="shared" si="358"/>
        <v>0.1833944648</v>
      </c>
      <c r="Q521" s="69">
        <v>2449.0</v>
      </c>
      <c r="R521" s="70"/>
      <c r="S521" s="71">
        <f t="shared" si="363"/>
        <v>0.1395998139</v>
      </c>
      <c r="T521" s="72">
        <f t="shared" si="6"/>
        <v>0</v>
      </c>
      <c r="U521" s="73" t="str">
        <f t="shared" si="364"/>
        <v/>
      </c>
      <c r="V521" s="73">
        <f t="shared" si="340"/>
        <v>2287.288136</v>
      </c>
      <c r="W521" s="73">
        <f t="shared" si="9"/>
        <v>2287.288136</v>
      </c>
      <c r="X521" s="74">
        <f t="shared" si="10"/>
        <v>1</v>
      </c>
      <c r="Y521" s="73">
        <f t="shared" si="333"/>
        <v>0</v>
      </c>
      <c r="Z521" s="73">
        <f t="shared" si="12"/>
        <v>2075.423729</v>
      </c>
      <c r="AA521" s="73">
        <f t="shared" si="13"/>
        <v>2075.423729</v>
      </c>
      <c r="AB521" s="74">
        <f t="shared" si="14"/>
        <v>1</v>
      </c>
      <c r="AC521" s="61" t="str">
        <f t="shared" si="15"/>
        <v>2</v>
      </c>
      <c r="AD521" s="71" t="str">
        <f t="shared" si="16"/>
        <v>#DIV/0!</v>
      </c>
      <c r="AE521" s="61"/>
      <c r="AF521" s="61"/>
      <c r="AG521" s="71">
        <f t="array" ref="AG521">IFERROR(xlookup(G521,'Old Master'!T:T,'Old Master'!V:V),N521)</f>
        <v>0.1833944648</v>
      </c>
      <c r="AH521" s="73">
        <f t="shared" si="229"/>
        <v>2449</v>
      </c>
      <c r="AI521" s="73">
        <f t="shared" si="230"/>
        <v>2075.423729</v>
      </c>
      <c r="AJ521" s="72">
        <f t="shared" si="19"/>
        <v>1</v>
      </c>
      <c r="AK521" s="61"/>
      <c r="AL521" s="71">
        <f t="array" ref="AL521">iferror(if(isblank(xlookup($G521,'Old Master'!$T:$T,'Old Master'!$W:$W)),AG521,xlookup($G521,'Old Master'!$T:$T,'Old Master'!$W:$W)),AG521)</f>
        <v>0.1833944648</v>
      </c>
      <c r="AM521" s="74">
        <f t="shared" si="20"/>
        <v>0.1833944648</v>
      </c>
      <c r="AN521" s="73">
        <f t="shared" ref="AN521:AN526" si="371">O521</f>
        <v>2449</v>
      </c>
    </row>
    <row r="522">
      <c r="A522" s="65" t="s">
        <v>1419</v>
      </c>
      <c r="B522" s="65" t="str">
        <f t="shared" si="1"/>
        <v>#VALUE!</v>
      </c>
      <c r="C522" s="65" t="str">
        <f t="shared" si="248"/>
        <v>#VALUE!</v>
      </c>
      <c r="D522" s="65" t="s">
        <v>1421</v>
      </c>
      <c r="E522" s="65" t="s">
        <v>1422</v>
      </c>
      <c r="F522" s="65" t="s">
        <v>1423</v>
      </c>
      <c r="G522" s="65" t="s">
        <v>5089</v>
      </c>
      <c r="H522" s="65" t="s">
        <v>4730</v>
      </c>
      <c r="I522" s="65">
        <v>2999.0</v>
      </c>
      <c r="J522" s="66">
        <v>0.28342780926975664</v>
      </c>
      <c r="K522" s="65">
        <f t="shared" si="3"/>
        <v>2149</v>
      </c>
      <c r="L522" s="66">
        <v>0.1</v>
      </c>
      <c r="M522" s="65">
        <f t="shared" si="4"/>
        <v>2699</v>
      </c>
      <c r="N522" s="67">
        <f t="shared" si="352"/>
        <v>0.1833944648</v>
      </c>
      <c r="O522" s="68">
        <v>2449.0</v>
      </c>
      <c r="P522" s="67">
        <f t="shared" si="358"/>
        <v>0.1833944648</v>
      </c>
      <c r="Q522" s="69">
        <v>2449.0</v>
      </c>
      <c r="R522" s="70"/>
      <c r="S522" s="71">
        <f t="shared" si="363"/>
        <v>0.1395998139</v>
      </c>
      <c r="T522" s="72">
        <f t="shared" si="6"/>
        <v>0</v>
      </c>
      <c r="U522" s="73" t="str">
        <f t="shared" si="364"/>
        <v/>
      </c>
      <c r="V522" s="73">
        <f t="shared" si="340"/>
        <v>2287.288136</v>
      </c>
      <c r="W522" s="73">
        <f t="shared" si="9"/>
        <v>2287.288136</v>
      </c>
      <c r="X522" s="74">
        <f t="shared" si="10"/>
        <v>1</v>
      </c>
      <c r="Y522" s="73">
        <f t="shared" si="333"/>
        <v>0</v>
      </c>
      <c r="Z522" s="73">
        <f t="shared" si="12"/>
        <v>2075.423729</v>
      </c>
      <c r="AA522" s="73">
        <f t="shared" si="13"/>
        <v>2075.423729</v>
      </c>
      <c r="AB522" s="74">
        <f t="shared" si="14"/>
        <v>1</v>
      </c>
      <c r="AC522" s="61" t="str">
        <f t="shared" si="15"/>
        <v>2</v>
      </c>
      <c r="AD522" s="71" t="str">
        <f t="shared" si="16"/>
        <v>#DIV/0!</v>
      </c>
      <c r="AE522" s="61"/>
      <c r="AF522" s="61"/>
      <c r="AG522" s="71">
        <f t="array" ref="AG522">IFERROR(xlookup(G522,'Old Master'!T:T,'Old Master'!V:V),N522)</f>
        <v>0.1833944648</v>
      </c>
      <c r="AH522" s="73">
        <f t="shared" si="229"/>
        <v>2449</v>
      </c>
      <c r="AI522" s="73">
        <f t="shared" si="230"/>
        <v>2075.423729</v>
      </c>
      <c r="AJ522" s="72">
        <f t="shared" si="19"/>
        <v>1</v>
      </c>
      <c r="AK522" s="61"/>
      <c r="AL522" s="71">
        <f t="array" ref="AL522">iferror(if(isblank(xlookup($G522,'Old Master'!$T:$T,'Old Master'!$W:$W)),AG522,xlookup($G522,'Old Master'!$T:$T,'Old Master'!$W:$W)),AG522)</f>
        <v>0.1833944648</v>
      </c>
      <c r="AM522" s="74">
        <f t="shared" si="20"/>
        <v>0.1833944648</v>
      </c>
      <c r="AN522" s="73">
        <f t="shared" si="371"/>
        <v>2449</v>
      </c>
    </row>
    <row r="523">
      <c r="A523" s="65" t="s">
        <v>1457</v>
      </c>
      <c r="B523" s="65" t="str">
        <f t="shared" si="1"/>
        <v>#VALUE!</v>
      </c>
      <c r="C523" s="65" t="str">
        <f t="shared" si="248"/>
        <v>#VALUE!</v>
      </c>
      <c r="D523" s="65" t="s">
        <v>1459</v>
      </c>
      <c r="E523" s="65" t="s">
        <v>1460</v>
      </c>
      <c r="F523" s="65" t="s">
        <v>1461</v>
      </c>
      <c r="G523" s="65" t="s">
        <v>5089</v>
      </c>
      <c r="H523" s="65" t="s">
        <v>4730</v>
      </c>
      <c r="I523" s="65">
        <v>2999.0</v>
      </c>
      <c r="J523" s="66">
        <v>0.28342780926975664</v>
      </c>
      <c r="K523" s="65">
        <f t="shared" si="3"/>
        <v>2149</v>
      </c>
      <c r="L523" s="66">
        <v>0.1</v>
      </c>
      <c r="M523" s="65">
        <f t="shared" si="4"/>
        <v>2699</v>
      </c>
      <c r="N523" s="67">
        <f t="shared" si="352"/>
        <v>0.1833944648</v>
      </c>
      <c r="O523" s="68">
        <v>2449.0</v>
      </c>
      <c r="P523" s="67">
        <f t="shared" si="358"/>
        <v>0.1833944648</v>
      </c>
      <c r="Q523" s="69">
        <v>2449.0</v>
      </c>
      <c r="R523" s="70"/>
      <c r="S523" s="71">
        <f t="shared" si="363"/>
        <v>0.1395998139</v>
      </c>
      <c r="T523" s="72">
        <f t="shared" si="6"/>
        <v>0</v>
      </c>
      <c r="U523" s="73" t="str">
        <f t="shared" si="364"/>
        <v/>
      </c>
      <c r="V523" s="73">
        <f t="shared" si="340"/>
        <v>2287.288136</v>
      </c>
      <c r="W523" s="73">
        <f t="shared" si="9"/>
        <v>2287.288136</v>
      </c>
      <c r="X523" s="74">
        <f t="shared" si="10"/>
        <v>1</v>
      </c>
      <c r="Y523" s="73">
        <f t="shared" si="333"/>
        <v>0</v>
      </c>
      <c r="Z523" s="73">
        <f t="shared" si="12"/>
        <v>2075.423729</v>
      </c>
      <c r="AA523" s="73">
        <f t="shared" si="13"/>
        <v>2075.423729</v>
      </c>
      <c r="AB523" s="74">
        <f t="shared" si="14"/>
        <v>1</v>
      </c>
      <c r="AC523" s="61" t="str">
        <f t="shared" si="15"/>
        <v>2</v>
      </c>
      <c r="AD523" s="71" t="str">
        <f t="shared" si="16"/>
        <v>#DIV/0!</v>
      </c>
      <c r="AE523" s="61"/>
      <c r="AF523" s="61"/>
      <c r="AG523" s="71">
        <f t="array" ref="AG523">IFERROR(xlookup(G523,'Old Master'!T:T,'Old Master'!V:V),N523)</f>
        <v>0.1833944648</v>
      </c>
      <c r="AH523" s="73">
        <f t="shared" si="229"/>
        <v>2449</v>
      </c>
      <c r="AI523" s="73">
        <f t="shared" si="230"/>
        <v>2075.423729</v>
      </c>
      <c r="AJ523" s="72">
        <f t="shared" si="19"/>
        <v>1</v>
      </c>
      <c r="AK523" s="61"/>
      <c r="AL523" s="71">
        <f t="array" ref="AL523">iferror(if(isblank(xlookup($G523,'Old Master'!$T:$T,'Old Master'!$W:$W)),AG523,xlookup($G523,'Old Master'!$T:$T,'Old Master'!$W:$W)),AG523)</f>
        <v>0.1833944648</v>
      </c>
      <c r="AM523" s="74">
        <f t="shared" si="20"/>
        <v>0.1833944648</v>
      </c>
      <c r="AN523" s="73">
        <f t="shared" si="371"/>
        <v>2449</v>
      </c>
    </row>
    <row r="524">
      <c r="A524" s="65" t="s">
        <v>1463</v>
      </c>
      <c r="B524" s="65" t="str">
        <f t="shared" si="1"/>
        <v>#VALUE!</v>
      </c>
      <c r="C524" s="65" t="str">
        <f t="shared" si="248"/>
        <v>#VALUE!</v>
      </c>
      <c r="D524" s="65" t="s">
        <v>1465</v>
      </c>
      <c r="E524" s="65" t="s">
        <v>1466</v>
      </c>
      <c r="F524" s="65" t="s">
        <v>1467</v>
      </c>
      <c r="G524" s="65" t="s">
        <v>5089</v>
      </c>
      <c r="H524" s="65" t="s">
        <v>4730</v>
      </c>
      <c r="I524" s="65">
        <v>2999.0</v>
      </c>
      <c r="J524" s="66">
        <v>0.28342780926975664</v>
      </c>
      <c r="K524" s="65">
        <f t="shared" si="3"/>
        <v>2149</v>
      </c>
      <c r="L524" s="66">
        <v>0.1</v>
      </c>
      <c r="M524" s="65">
        <f t="shared" si="4"/>
        <v>2699</v>
      </c>
      <c r="N524" s="67">
        <f t="shared" si="352"/>
        <v>0.1833944648</v>
      </c>
      <c r="O524" s="68">
        <v>2449.0</v>
      </c>
      <c r="P524" s="67">
        <f t="shared" si="358"/>
        <v>0.1833944648</v>
      </c>
      <c r="Q524" s="69">
        <v>2449.0</v>
      </c>
      <c r="R524" s="70"/>
      <c r="S524" s="71">
        <f t="shared" si="363"/>
        <v>0.1395998139</v>
      </c>
      <c r="T524" s="72">
        <f t="shared" si="6"/>
        <v>0</v>
      </c>
      <c r="U524" s="73" t="str">
        <f t="shared" si="364"/>
        <v/>
      </c>
      <c r="V524" s="73">
        <f t="shared" si="340"/>
        <v>2287.288136</v>
      </c>
      <c r="W524" s="73">
        <f t="shared" si="9"/>
        <v>2287.288136</v>
      </c>
      <c r="X524" s="74">
        <f t="shared" si="10"/>
        <v>1</v>
      </c>
      <c r="Y524" s="73">
        <f t="shared" si="333"/>
        <v>0</v>
      </c>
      <c r="Z524" s="73">
        <f t="shared" si="12"/>
        <v>2075.423729</v>
      </c>
      <c r="AA524" s="73">
        <f t="shared" si="13"/>
        <v>2075.423729</v>
      </c>
      <c r="AB524" s="74">
        <f t="shared" si="14"/>
        <v>1</v>
      </c>
      <c r="AC524" s="61" t="str">
        <f t="shared" si="15"/>
        <v>2</v>
      </c>
      <c r="AD524" s="71" t="str">
        <f t="shared" si="16"/>
        <v>#DIV/0!</v>
      </c>
      <c r="AE524" s="61"/>
      <c r="AF524" s="61"/>
      <c r="AG524" s="71">
        <f t="array" ref="AG524">IFERROR(xlookup(G524,'Old Master'!T:T,'Old Master'!V:V),N524)</f>
        <v>0.1833944648</v>
      </c>
      <c r="AH524" s="73">
        <f t="shared" si="229"/>
        <v>2449</v>
      </c>
      <c r="AI524" s="73">
        <f t="shared" si="230"/>
        <v>2075.423729</v>
      </c>
      <c r="AJ524" s="72">
        <f t="shared" si="19"/>
        <v>1</v>
      </c>
      <c r="AK524" s="61"/>
      <c r="AL524" s="71">
        <f t="array" ref="AL524">iferror(if(isblank(xlookup($G524,'Old Master'!$T:$T,'Old Master'!$W:$W)),AG524,xlookup($G524,'Old Master'!$T:$T,'Old Master'!$W:$W)),AG524)</f>
        <v>0.1833944648</v>
      </c>
      <c r="AM524" s="74">
        <f t="shared" si="20"/>
        <v>0.1833944648</v>
      </c>
      <c r="AN524" s="73">
        <f t="shared" si="371"/>
        <v>2449</v>
      </c>
    </row>
    <row r="525">
      <c r="A525" s="65" t="s">
        <v>1438</v>
      </c>
      <c r="B525" s="65" t="str">
        <f t="shared" si="1"/>
        <v>#VALUE!</v>
      </c>
      <c r="C525" s="65" t="str">
        <f t="shared" si="248"/>
        <v>#VALUE!</v>
      </c>
      <c r="D525" s="65" t="s">
        <v>1440</v>
      </c>
      <c r="E525" s="65" t="s">
        <v>1441</v>
      </c>
      <c r="F525" s="65" t="s">
        <v>1442</v>
      </c>
      <c r="G525" s="65" t="s">
        <v>5089</v>
      </c>
      <c r="H525" s="65" t="s">
        <v>4730</v>
      </c>
      <c r="I525" s="65">
        <v>2999.0</v>
      </c>
      <c r="J525" s="66">
        <v>0.28342780926975664</v>
      </c>
      <c r="K525" s="65">
        <f t="shared" si="3"/>
        <v>2149</v>
      </c>
      <c r="L525" s="66">
        <v>0.1</v>
      </c>
      <c r="M525" s="65">
        <f t="shared" si="4"/>
        <v>2699</v>
      </c>
      <c r="N525" s="67">
        <f t="shared" si="352"/>
        <v>0.1833944648</v>
      </c>
      <c r="O525" s="68">
        <v>2449.0</v>
      </c>
      <c r="P525" s="67">
        <f t="shared" si="358"/>
        <v>0.1833944648</v>
      </c>
      <c r="Q525" s="69">
        <v>2449.0</v>
      </c>
      <c r="R525" s="70"/>
      <c r="S525" s="71">
        <f t="shared" si="363"/>
        <v>0.1395998139</v>
      </c>
      <c r="T525" s="72">
        <f t="shared" si="6"/>
        <v>0</v>
      </c>
      <c r="U525" s="73" t="str">
        <f t="shared" si="364"/>
        <v/>
      </c>
      <c r="V525" s="73">
        <f t="shared" si="340"/>
        <v>2287.288136</v>
      </c>
      <c r="W525" s="73">
        <f t="shared" si="9"/>
        <v>2287.288136</v>
      </c>
      <c r="X525" s="74">
        <f t="shared" si="10"/>
        <v>1</v>
      </c>
      <c r="Y525" s="73">
        <f t="shared" si="333"/>
        <v>0</v>
      </c>
      <c r="Z525" s="73">
        <f t="shared" si="12"/>
        <v>2075.423729</v>
      </c>
      <c r="AA525" s="73">
        <f t="shared" si="13"/>
        <v>2075.423729</v>
      </c>
      <c r="AB525" s="74">
        <f t="shared" si="14"/>
        <v>1</v>
      </c>
      <c r="AC525" s="61" t="str">
        <f t="shared" si="15"/>
        <v>2</v>
      </c>
      <c r="AD525" s="71" t="str">
        <f t="shared" si="16"/>
        <v>#DIV/0!</v>
      </c>
      <c r="AE525" s="61"/>
      <c r="AF525" s="61"/>
      <c r="AG525" s="71">
        <f t="array" ref="AG525">IFERROR(xlookup(G525,'Old Master'!T:T,'Old Master'!V:V),N525)</f>
        <v>0.1833944648</v>
      </c>
      <c r="AH525" s="73">
        <f t="shared" si="229"/>
        <v>2449</v>
      </c>
      <c r="AI525" s="73">
        <f t="shared" si="230"/>
        <v>2075.423729</v>
      </c>
      <c r="AJ525" s="72">
        <f t="shared" si="19"/>
        <v>1</v>
      </c>
      <c r="AK525" s="61"/>
      <c r="AL525" s="71">
        <f t="array" ref="AL525">iferror(if(isblank(xlookup($G525,'Old Master'!$T:$T,'Old Master'!$W:$W)),AG525,xlookup($G525,'Old Master'!$T:$T,'Old Master'!$W:$W)),AG525)</f>
        <v>0.1833944648</v>
      </c>
      <c r="AM525" s="74">
        <f t="shared" si="20"/>
        <v>0.1833944648</v>
      </c>
      <c r="AN525" s="73">
        <f t="shared" si="371"/>
        <v>2449</v>
      </c>
    </row>
    <row r="526">
      <c r="A526" s="65" t="s">
        <v>1444</v>
      </c>
      <c r="B526" s="65" t="str">
        <f t="shared" si="1"/>
        <v>#VALUE!</v>
      </c>
      <c r="C526" s="65" t="str">
        <f t="shared" si="248"/>
        <v>#VALUE!</v>
      </c>
      <c r="D526" s="65" t="s">
        <v>1446</v>
      </c>
      <c r="E526" s="65" t="s">
        <v>1447</v>
      </c>
      <c r="F526" s="65" t="s">
        <v>1448</v>
      </c>
      <c r="G526" s="65" t="s">
        <v>5089</v>
      </c>
      <c r="H526" s="65" t="s">
        <v>4730</v>
      </c>
      <c r="I526" s="65">
        <v>2999.0</v>
      </c>
      <c r="J526" s="66">
        <v>0.28342780926975664</v>
      </c>
      <c r="K526" s="65">
        <f t="shared" si="3"/>
        <v>2149</v>
      </c>
      <c r="L526" s="66">
        <v>0.1</v>
      </c>
      <c r="M526" s="65">
        <f t="shared" si="4"/>
        <v>2699</v>
      </c>
      <c r="N526" s="67">
        <f t="shared" si="352"/>
        <v>0.1833944648</v>
      </c>
      <c r="O526" s="68">
        <v>2449.0</v>
      </c>
      <c r="P526" s="67">
        <f t="shared" si="358"/>
        <v>0.1833944648</v>
      </c>
      <c r="Q526" s="69">
        <v>2449.0</v>
      </c>
      <c r="R526" s="70"/>
      <c r="S526" s="71">
        <f t="shared" si="363"/>
        <v>0.1395998139</v>
      </c>
      <c r="T526" s="72">
        <f t="shared" si="6"/>
        <v>0</v>
      </c>
      <c r="U526" s="73" t="str">
        <f t="shared" si="364"/>
        <v/>
      </c>
      <c r="V526" s="73">
        <f t="shared" si="340"/>
        <v>2287.288136</v>
      </c>
      <c r="W526" s="73">
        <f t="shared" si="9"/>
        <v>2287.288136</v>
      </c>
      <c r="X526" s="74">
        <f t="shared" si="10"/>
        <v>1</v>
      </c>
      <c r="Y526" s="73">
        <f t="shared" si="333"/>
        <v>0</v>
      </c>
      <c r="Z526" s="73">
        <f t="shared" si="12"/>
        <v>2075.423729</v>
      </c>
      <c r="AA526" s="73">
        <f t="shared" si="13"/>
        <v>2075.423729</v>
      </c>
      <c r="AB526" s="74">
        <f t="shared" si="14"/>
        <v>1</v>
      </c>
      <c r="AC526" s="61" t="str">
        <f t="shared" si="15"/>
        <v>2</v>
      </c>
      <c r="AD526" s="71" t="str">
        <f t="shared" si="16"/>
        <v>#DIV/0!</v>
      </c>
      <c r="AE526" s="61"/>
      <c r="AF526" s="61"/>
      <c r="AG526" s="71">
        <f t="array" ref="AG526">IFERROR(xlookup(G526,'Old Master'!T:T,'Old Master'!V:V),N526)</f>
        <v>0.1833944648</v>
      </c>
      <c r="AH526" s="73">
        <f t="shared" si="229"/>
        <v>2449</v>
      </c>
      <c r="AI526" s="73">
        <f t="shared" si="230"/>
        <v>2075.423729</v>
      </c>
      <c r="AJ526" s="72">
        <f t="shared" si="19"/>
        <v>1</v>
      </c>
      <c r="AK526" s="61"/>
      <c r="AL526" s="71">
        <f t="array" ref="AL526">iferror(if(isblank(xlookup($G526,'Old Master'!$T:$T,'Old Master'!$W:$W)),AG526,xlookup($G526,'Old Master'!$T:$T,'Old Master'!$W:$W)),AG526)</f>
        <v>0.1833944648</v>
      </c>
      <c r="AM526" s="74">
        <f t="shared" si="20"/>
        <v>0.1833944648</v>
      </c>
      <c r="AN526" s="73">
        <f t="shared" si="371"/>
        <v>2449</v>
      </c>
    </row>
    <row r="527">
      <c r="A527" s="65" t="s">
        <v>1345</v>
      </c>
      <c r="B527" s="65" t="str">
        <f t="shared" si="1"/>
        <v>#VALUE!</v>
      </c>
      <c r="C527" s="65" t="str">
        <f t="shared" si="248"/>
        <v>#VALUE!</v>
      </c>
      <c r="D527" s="65" t="s">
        <v>1347</v>
      </c>
      <c r="E527" s="65" t="s">
        <v>1348</v>
      </c>
      <c r="F527" s="65" t="s">
        <v>1349</v>
      </c>
      <c r="G527" s="65" t="s">
        <v>5089</v>
      </c>
      <c r="H527" s="65" t="s">
        <v>4730</v>
      </c>
      <c r="I527" s="65">
        <v>2649.0</v>
      </c>
      <c r="J527" s="66">
        <v>0.2831257078142695</v>
      </c>
      <c r="K527" s="65">
        <f t="shared" si="3"/>
        <v>1899</v>
      </c>
      <c r="L527" s="66">
        <v>0.1</v>
      </c>
      <c r="M527" s="65">
        <f t="shared" si="4"/>
        <v>2384</v>
      </c>
      <c r="N527" s="67">
        <f t="shared" si="352"/>
        <v>0.1830879577</v>
      </c>
      <c r="O527" s="68">
        <v>2164.0</v>
      </c>
      <c r="P527" s="67">
        <f t="shared" si="358"/>
        <v>0.1830879577</v>
      </c>
      <c r="Q527" s="69">
        <v>2164.0</v>
      </c>
      <c r="R527" s="70"/>
      <c r="S527" s="71">
        <f t="shared" si="363"/>
        <v>0.1395471301</v>
      </c>
      <c r="T527" s="72">
        <f t="shared" si="6"/>
        <v>0</v>
      </c>
      <c r="U527" s="73" t="str">
        <f t="shared" si="364"/>
        <v/>
      </c>
      <c r="V527" s="73">
        <f t="shared" si="340"/>
        <v>2020.338983</v>
      </c>
      <c r="W527" s="73">
        <f t="shared" si="9"/>
        <v>2020.338983</v>
      </c>
      <c r="X527" s="74">
        <f t="shared" si="10"/>
        <v>1</v>
      </c>
      <c r="Y527" s="73">
        <f t="shared" si="333"/>
        <v>0</v>
      </c>
      <c r="Z527" s="73">
        <f t="shared" si="12"/>
        <v>1833.898305</v>
      </c>
      <c r="AA527" s="73">
        <f t="shared" si="13"/>
        <v>1833.898305</v>
      </c>
      <c r="AB527" s="74">
        <f t="shared" si="14"/>
        <v>1</v>
      </c>
      <c r="AC527" s="61" t="str">
        <f t="shared" si="15"/>
        <v>0</v>
      </c>
      <c r="AD527" s="71" t="str">
        <f t="shared" si="16"/>
        <v>#DIV/0!</v>
      </c>
      <c r="AE527" s="61"/>
      <c r="AF527" s="61"/>
      <c r="AG527" s="71">
        <f t="array" ref="AG527">IFERROR(xlookup(G527,'Old Master'!T:T,'Old Master'!V:V),N527)</f>
        <v>0.1830879577</v>
      </c>
      <c r="AH527" s="73">
        <f t="shared" si="229"/>
        <v>2164</v>
      </c>
      <c r="AI527" s="73">
        <f t="shared" si="230"/>
        <v>1833.898305</v>
      </c>
      <c r="AJ527" s="72">
        <f t="shared" si="19"/>
        <v>1</v>
      </c>
      <c r="AK527" s="61"/>
      <c r="AL527" s="71">
        <f t="array" ref="AL527">iferror(if(isblank(xlookup($G527,'Old Master'!$T:$T,'Old Master'!$W:$W)),AG527,xlookup($G527,'Old Master'!$T:$T,'Old Master'!$W:$W)),AG527)</f>
        <v>0.1830879577</v>
      </c>
      <c r="AM527" s="74">
        <f t="shared" si="20"/>
        <v>0.1698754247</v>
      </c>
      <c r="AN527" s="73">
        <f t="shared" ref="AN527:AN533" si="372">mround($I527*(1-AL527),100)-1</f>
        <v>2199</v>
      </c>
    </row>
    <row r="528">
      <c r="A528" s="65" t="s">
        <v>1382</v>
      </c>
      <c r="B528" s="65" t="str">
        <f t="shared" si="1"/>
        <v>#VALUE!</v>
      </c>
      <c r="C528" s="65" t="str">
        <f t="shared" si="248"/>
        <v>#VALUE!</v>
      </c>
      <c r="D528" s="65" t="s">
        <v>1384</v>
      </c>
      <c r="E528" s="65" t="s">
        <v>1385</v>
      </c>
      <c r="F528" s="65" t="s">
        <v>1386</v>
      </c>
      <c r="G528" s="65" t="s">
        <v>5089</v>
      </c>
      <c r="H528" s="65" t="s">
        <v>4730</v>
      </c>
      <c r="I528" s="65">
        <v>2649.0</v>
      </c>
      <c r="J528" s="66">
        <v>0.2831257078142695</v>
      </c>
      <c r="K528" s="65">
        <f t="shared" si="3"/>
        <v>1899</v>
      </c>
      <c r="L528" s="66">
        <v>0.1</v>
      </c>
      <c r="M528" s="65">
        <f t="shared" si="4"/>
        <v>2384</v>
      </c>
      <c r="N528" s="67">
        <f t="shared" si="352"/>
        <v>0.1830879577</v>
      </c>
      <c r="O528" s="68">
        <v>2164.0</v>
      </c>
      <c r="P528" s="67">
        <f t="shared" si="358"/>
        <v>0.1830879577</v>
      </c>
      <c r="Q528" s="69">
        <v>2164.0</v>
      </c>
      <c r="R528" s="70"/>
      <c r="S528" s="71">
        <f t="shared" si="363"/>
        <v>0.1395471301</v>
      </c>
      <c r="T528" s="72">
        <f t="shared" si="6"/>
        <v>0</v>
      </c>
      <c r="U528" s="73" t="str">
        <f t="shared" si="364"/>
        <v/>
      </c>
      <c r="V528" s="73">
        <f t="shared" si="340"/>
        <v>2020.338983</v>
      </c>
      <c r="W528" s="73">
        <f t="shared" si="9"/>
        <v>2020.338983</v>
      </c>
      <c r="X528" s="74">
        <f t="shared" si="10"/>
        <v>1</v>
      </c>
      <c r="Y528" s="73">
        <f t="shared" si="333"/>
        <v>0</v>
      </c>
      <c r="Z528" s="73">
        <f t="shared" si="12"/>
        <v>1833.898305</v>
      </c>
      <c r="AA528" s="73">
        <f t="shared" si="13"/>
        <v>1833.898305</v>
      </c>
      <c r="AB528" s="74">
        <f t="shared" si="14"/>
        <v>1</v>
      </c>
      <c r="AC528" s="61" t="str">
        <f t="shared" si="15"/>
        <v>0</v>
      </c>
      <c r="AD528" s="71" t="str">
        <f t="shared" si="16"/>
        <v>#DIV/0!</v>
      </c>
      <c r="AE528" s="61"/>
      <c r="AF528" s="61"/>
      <c r="AG528" s="71">
        <f t="array" ref="AG528">IFERROR(xlookup(G528,'Old Master'!T:T,'Old Master'!V:V),N528)</f>
        <v>0.1830879577</v>
      </c>
      <c r="AH528" s="73">
        <f t="shared" si="229"/>
        <v>2164</v>
      </c>
      <c r="AI528" s="73">
        <f t="shared" si="230"/>
        <v>1833.898305</v>
      </c>
      <c r="AJ528" s="72">
        <f t="shared" si="19"/>
        <v>1</v>
      </c>
      <c r="AK528" s="61"/>
      <c r="AL528" s="71">
        <f t="array" ref="AL528">iferror(if(isblank(xlookup($G528,'Old Master'!$T:$T,'Old Master'!$W:$W)),AG528,xlookup($G528,'Old Master'!$T:$T,'Old Master'!$W:$W)),AG528)</f>
        <v>0.1830879577</v>
      </c>
      <c r="AM528" s="74">
        <f t="shared" si="20"/>
        <v>0.1698754247</v>
      </c>
      <c r="AN528" s="73">
        <f t="shared" si="372"/>
        <v>2199</v>
      </c>
    </row>
    <row r="529">
      <c r="A529" s="65" t="s">
        <v>1388</v>
      </c>
      <c r="B529" s="65" t="str">
        <f t="shared" si="1"/>
        <v>#VALUE!</v>
      </c>
      <c r="C529" s="65" t="str">
        <f t="shared" si="248"/>
        <v>#VALUE!</v>
      </c>
      <c r="D529" s="65" t="s">
        <v>1390</v>
      </c>
      <c r="E529" s="65" t="s">
        <v>1391</v>
      </c>
      <c r="F529" s="65" t="s">
        <v>1392</v>
      </c>
      <c r="G529" s="65" t="s">
        <v>5089</v>
      </c>
      <c r="H529" s="65" t="s">
        <v>4730</v>
      </c>
      <c r="I529" s="65">
        <v>2649.0</v>
      </c>
      <c r="J529" s="66">
        <v>0.2831257078142695</v>
      </c>
      <c r="K529" s="65">
        <f t="shared" si="3"/>
        <v>1899</v>
      </c>
      <c r="L529" s="66">
        <v>0.1</v>
      </c>
      <c r="M529" s="65">
        <f t="shared" si="4"/>
        <v>2384</v>
      </c>
      <c r="N529" s="67">
        <f t="shared" si="352"/>
        <v>0.1830879577</v>
      </c>
      <c r="O529" s="68">
        <v>2164.0</v>
      </c>
      <c r="P529" s="67">
        <f t="shared" si="358"/>
        <v>0.1830879577</v>
      </c>
      <c r="Q529" s="69">
        <v>2164.0</v>
      </c>
      <c r="R529" s="70"/>
      <c r="S529" s="71">
        <f t="shared" si="363"/>
        <v>0.1395471301</v>
      </c>
      <c r="T529" s="72">
        <f t="shared" si="6"/>
        <v>0</v>
      </c>
      <c r="U529" s="73" t="str">
        <f t="shared" si="364"/>
        <v/>
      </c>
      <c r="V529" s="73">
        <f t="shared" si="340"/>
        <v>2020.338983</v>
      </c>
      <c r="W529" s="73">
        <f t="shared" si="9"/>
        <v>2020.338983</v>
      </c>
      <c r="X529" s="74">
        <f t="shared" si="10"/>
        <v>1</v>
      </c>
      <c r="Y529" s="73">
        <f t="shared" si="333"/>
        <v>0</v>
      </c>
      <c r="Z529" s="73">
        <f t="shared" si="12"/>
        <v>1833.898305</v>
      </c>
      <c r="AA529" s="73">
        <f t="shared" si="13"/>
        <v>1833.898305</v>
      </c>
      <c r="AB529" s="74">
        <f t="shared" si="14"/>
        <v>1</v>
      </c>
      <c r="AC529" s="61" t="str">
        <f t="shared" si="15"/>
        <v>0</v>
      </c>
      <c r="AD529" s="71" t="str">
        <f t="shared" si="16"/>
        <v>#DIV/0!</v>
      </c>
      <c r="AE529" s="61"/>
      <c r="AF529" s="61"/>
      <c r="AG529" s="71">
        <f t="array" ref="AG529">IFERROR(xlookup(G529,'Old Master'!T:T,'Old Master'!V:V),N529)</f>
        <v>0.1830879577</v>
      </c>
      <c r="AH529" s="73">
        <f t="shared" si="229"/>
        <v>2164</v>
      </c>
      <c r="AI529" s="73">
        <f t="shared" si="230"/>
        <v>1833.898305</v>
      </c>
      <c r="AJ529" s="72">
        <f t="shared" si="19"/>
        <v>1</v>
      </c>
      <c r="AK529" s="61"/>
      <c r="AL529" s="71">
        <f t="array" ref="AL529">iferror(if(isblank(xlookup($G529,'Old Master'!$T:$T,'Old Master'!$W:$W)),AG529,xlookup($G529,'Old Master'!$T:$T,'Old Master'!$W:$W)),AG529)</f>
        <v>0.1830879577</v>
      </c>
      <c r="AM529" s="74">
        <f t="shared" si="20"/>
        <v>0.1698754247</v>
      </c>
      <c r="AN529" s="73">
        <f t="shared" si="372"/>
        <v>2199</v>
      </c>
    </row>
    <row r="530">
      <c r="A530" s="65" t="s">
        <v>1363</v>
      </c>
      <c r="B530" s="65" t="str">
        <f t="shared" si="1"/>
        <v>#VALUE!</v>
      </c>
      <c r="C530" s="65" t="str">
        <f t="shared" si="248"/>
        <v>#VALUE!</v>
      </c>
      <c r="D530" s="65" t="s">
        <v>1365</v>
      </c>
      <c r="E530" s="65" t="s">
        <v>1366</v>
      </c>
      <c r="F530" s="65" t="s">
        <v>1367</v>
      </c>
      <c r="G530" s="65" t="s">
        <v>5089</v>
      </c>
      <c r="H530" s="65" t="s">
        <v>4730</v>
      </c>
      <c r="I530" s="65">
        <v>2649.0</v>
      </c>
      <c r="J530" s="66">
        <v>0.2831257078142695</v>
      </c>
      <c r="K530" s="65">
        <f t="shared" si="3"/>
        <v>1899</v>
      </c>
      <c r="L530" s="66">
        <v>0.1</v>
      </c>
      <c r="M530" s="65">
        <f t="shared" si="4"/>
        <v>2384</v>
      </c>
      <c r="N530" s="67">
        <f t="shared" si="352"/>
        <v>0.1830879577</v>
      </c>
      <c r="O530" s="68">
        <v>2164.0</v>
      </c>
      <c r="P530" s="67">
        <f t="shared" si="358"/>
        <v>0.1830879577</v>
      </c>
      <c r="Q530" s="69">
        <v>2164.0</v>
      </c>
      <c r="R530" s="70"/>
      <c r="S530" s="71">
        <f t="shared" si="363"/>
        <v>0.1395471301</v>
      </c>
      <c r="T530" s="72">
        <f t="shared" si="6"/>
        <v>0</v>
      </c>
      <c r="U530" s="73" t="str">
        <f t="shared" si="364"/>
        <v/>
      </c>
      <c r="V530" s="73">
        <f t="shared" si="340"/>
        <v>2020.338983</v>
      </c>
      <c r="W530" s="73">
        <f t="shared" si="9"/>
        <v>2020.338983</v>
      </c>
      <c r="X530" s="74">
        <f t="shared" si="10"/>
        <v>1</v>
      </c>
      <c r="Y530" s="73">
        <f t="shared" si="333"/>
        <v>0</v>
      </c>
      <c r="Z530" s="73">
        <f t="shared" si="12"/>
        <v>1833.898305</v>
      </c>
      <c r="AA530" s="73">
        <f t="shared" si="13"/>
        <v>1833.898305</v>
      </c>
      <c r="AB530" s="74">
        <f t="shared" si="14"/>
        <v>1</v>
      </c>
      <c r="AC530" s="61" t="str">
        <f t="shared" si="15"/>
        <v>0</v>
      </c>
      <c r="AD530" s="71" t="str">
        <f t="shared" si="16"/>
        <v>#DIV/0!</v>
      </c>
      <c r="AE530" s="61"/>
      <c r="AF530" s="61"/>
      <c r="AG530" s="71">
        <f t="array" ref="AG530">IFERROR(xlookup(G530,'Old Master'!T:T,'Old Master'!V:V),N530)</f>
        <v>0.1830879577</v>
      </c>
      <c r="AH530" s="73">
        <f t="shared" si="229"/>
        <v>2164</v>
      </c>
      <c r="AI530" s="73">
        <f t="shared" si="230"/>
        <v>1833.898305</v>
      </c>
      <c r="AJ530" s="72">
        <f t="shared" si="19"/>
        <v>1</v>
      </c>
      <c r="AK530" s="61"/>
      <c r="AL530" s="71">
        <f t="array" ref="AL530">iferror(if(isblank(xlookup($G530,'Old Master'!$T:$T,'Old Master'!$W:$W)),AG530,xlookup($G530,'Old Master'!$T:$T,'Old Master'!$W:$W)),AG530)</f>
        <v>0.1830879577</v>
      </c>
      <c r="AM530" s="74">
        <f t="shared" si="20"/>
        <v>0.1698754247</v>
      </c>
      <c r="AN530" s="73">
        <f t="shared" si="372"/>
        <v>2199</v>
      </c>
    </row>
    <row r="531">
      <c r="A531" s="65" t="s">
        <v>1369</v>
      </c>
      <c r="B531" s="65" t="str">
        <f t="shared" si="1"/>
        <v>#VALUE!</v>
      </c>
      <c r="C531" s="65" t="str">
        <f t="shared" si="248"/>
        <v>#VALUE!</v>
      </c>
      <c r="D531" s="65" t="s">
        <v>1371</v>
      </c>
      <c r="E531" s="65" t="s">
        <v>1372</v>
      </c>
      <c r="F531" s="65" t="s">
        <v>1373</v>
      </c>
      <c r="G531" s="65" t="s">
        <v>5089</v>
      </c>
      <c r="H531" s="65" t="s">
        <v>4730</v>
      </c>
      <c r="I531" s="65">
        <v>2649.0</v>
      </c>
      <c r="J531" s="66">
        <v>0.2831257078142695</v>
      </c>
      <c r="K531" s="65">
        <f t="shared" si="3"/>
        <v>1899</v>
      </c>
      <c r="L531" s="66">
        <v>0.1</v>
      </c>
      <c r="M531" s="65">
        <f t="shared" si="4"/>
        <v>2384</v>
      </c>
      <c r="N531" s="67">
        <f t="shared" si="352"/>
        <v>0.1830879577</v>
      </c>
      <c r="O531" s="68">
        <v>2164.0</v>
      </c>
      <c r="P531" s="67">
        <f t="shared" si="358"/>
        <v>0.1830879577</v>
      </c>
      <c r="Q531" s="69">
        <v>2164.0</v>
      </c>
      <c r="R531" s="70"/>
      <c r="S531" s="71">
        <f t="shared" si="363"/>
        <v>0.1395471301</v>
      </c>
      <c r="T531" s="72">
        <f t="shared" si="6"/>
        <v>0</v>
      </c>
      <c r="U531" s="73" t="str">
        <f t="shared" si="364"/>
        <v/>
      </c>
      <c r="V531" s="73">
        <f t="shared" si="340"/>
        <v>2020.338983</v>
      </c>
      <c r="W531" s="73">
        <f t="shared" si="9"/>
        <v>2020.338983</v>
      </c>
      <c r="X531" s="74">
        <f t="shared" si="10"/>
        <v>1</v>
      </c>
      <c r="Y531" s="73">
        <f t="shared" si="333"/>
        <v>0</v>
      </c>
      <c r="Z531" s="73">
        <f t="shared" si="12"/>
        <v>1833.898305</v>
      </c>
      <c r="AA531" s="73">
        <f t="shared" si="13"/>
        <v>1833.898305</v>
      </c>
      <c r="AB531" s="74">
        <f t="shared" si="14"/>
        <v>1</v>
      </c>
      <c r="AC531" s="61" t="str">
        <f t="shared" si="15"/>
        <v>0</v>
      </c>
      <c r="AD531" s="71" t="str">
        <f t="shared" si="16"/>
        <v>#DIV/0!</v>
      </c>
      <c r="AE531" s="61"/>
      <c r="AF531" s="61"/>
      <c r="AG531" s="71">
        <f t="array" ref="AG531">IFERROR(xlookup(G531,'Old Master'!T:T,'Old Master'!V:V),N531)</f>
        <v>0.1830879577</v>
      </c>
      <c r="AH531" s="73">
        <f t="shared" si="229"/>
        <v>2164</v>
      </c>
      <c r="AI531" s="73">
        <f t="shared" si="230"/>
        <v>1833.898305</v>
      </c>
      <c r="AJ531" s="72">
        <f t="shared" si="19"/>
        <v>1</v>
      </c>
      <c r="AK531" s="61"/>
      <c r="AL531" s="71">
        <f t="array" ref="AL531">iferror(if(isblank(xlookup($G531,'Old Master'!$T:$T,'Old Master'!$W:$W)),AG531,xlookup($G531,'Old Master'!$T:$T,'Old Master'!$W:$W)),AG531)</f>
        <v>0.1830879577</v>
      </c>
      <c r="AM531" s="74">
        <f t="shared" si="20"/>
        <v>0.1698754247</v>
      </c>
      <c r="AN531" s="73">
        <f t="shared" si="372"/>
        <v>2199</v>
      </c>
    </row>
    <row r="532">
      <c r="A532" s="65" t="s">
        <v>1375</v>
      </c>
      <c r="B532" s="65" t="str">
        <f t="shared" si="1"/>
        <v>#VALUE!</v>
      </c>
      <c r="C532" s="65" t="str">
        <f t="shared" si="248"/>
        <v>#VALUE!</v>
      </c>
      <c r="D532" s="65" t="s">
        <v>1377</v>
      </c>
      <c r="E532" s="65" t="s">
        <v>1379</v>
      </c>
      <c r="F532" s="65" t="s">
        <v>1380</v>
      </c>
      <c r="G532" s="65" t="s">
        <v>5089</v>
      </c>
      <c r="H532" s="65" t="s">
        <v>4730</v>
      </c>
      <c r="I532" s="65">
        <v>2649.0</v>
      </c>
      <c r="J532" s="66">
        <v>0.2831257078142695</v>
      </c>
      <c r="K532" s="65">
        <f t="shared" si="3"/>
        <v>1899</v>
      </c>
      <c r="L532" s="66">
        <v>0.1</v>
      </c>
      <c r="M532" s="65">
        <f t="shared" si="4"/>
        <v>2384</v>
      </c>
      <c r="N532" s="67">
        <f t="shared" si="352"/>
        <v>0.1830879577</v>
      </c>
      <c r="O532" s="68">
        <v>2164.0</v>
      </c>
      <c r="P532" s="67">
        <f t="shared" si="358"/>
        <v>0.1830879577</v>
      </c>
      <c r="Q532" s="69">
        <v>2164.0</v>
      </c>
      <c r="R532" s="70"/>
      <c r="S532" s="71">
        <f t="shared" si="363"/>
        <v>0.1395471301</v>
      </c>
      <c r="T532" s="72">
        <f t="shared" si="6"/>
        <v>0</v>
      </c>
      <c r="U532" s="73" t="str">
        <f t="shared" si="364"/>
        <v/>
      </c>
      <c r="V532" s="73">
        <f t="shared" si="340"/>
        <v>2020.338983</v>
      </c>
      <c r="W532" s="73">
        <f t="shared" si="9"/>
        <v>2020.338983</v>
      </c>
      <c r="X532" s="74">
        <f t="shared" si="10"/>
        <v>1</v>
      </c>
      <c r="Y532" s="73">
        <f t="shared" si="333"/>
        <v>0</v>
      </c>
      <c r="Z532" s="73">
        <f t="shared" si="12"/>
        <v>1833.898305</v>
      </c>
      <c r="AA532" s="73">
        <f t="shared" si="13"/>
        <v>1833.898305</v>
      </c>
      <c r="AB532" s="74">
        <f t="shared" si="14"/>
        <v>1</v>
      </c>
      <c r="AC532" s="61" t="str">
        <f t="shared" si="15"/>
        <v>0</v>
      </c>
      <c r="AD532" s="71" t="str">
        <f t="shared" si="16"/>
        <v>#DIV/0!</v>
      </c>
      <c r="AE532" s="61"/>
      <c r="AF532" s="61"/>
      <c r="AG532" s="71">
        <f t="array" ref="AG532">IFERROR(xlookup(G532,'Old Master'!T:T,'Old Master'!V:V),N532)</f>
        <v>0.1830879577</v>
      </c>
      <c r="AH532" s="73">
        <f t="shared" si="229"/>
        <v>2164</v>
      </c>
      <c r="AI532" s="73">
        <f t="shared" si="230"/>
        <v>1833.898305</v>
      </c>
      <c r="AJ532" s="72">
        <f t="shared" si="19"/>
        <v>1</v>
      </c>
      <c r="AK532" s="61"/>
      <c r="AL532" s="71">
        <f t="array" ref="AL532">iferror(if(isblank(xlookup($G532,'Old Master'!$T:$T,'Old Master'!$W:$W)),AG532,xlookup($G532,'Old Master'!$T:$T,'Old Master'!$W:$W)),AG532)</f>
        <v>0.1830879577</v>
      </c>
      <c r="AM532" s="74">
        <f t="shared" si="20"/>
        <v>0.1698754247</v>
      </c>
      <c r="AN532" s="73">
        <f t="shared" si="372"/>
        <v>2199</v>
      </c>
    </row>
    <row r="533">
      <c r="A533" s="65" t="s">
        <v>3664</v>
      </c>
      <c r="B533" s="65" t="str">
        <f t="shared" si="1"/>
        <v>#VALUE!</v>
      </c>
      <c r="C533" s="65" t="str">
        <f t="shared" si="248"/>
        <v>#VALUE!</v>
      </c>
      <c r="D533" s="65" t="s">
        <v>3666</v>
      </c>
      <c r="E533" s="65" t="s">
        <v>3668</v>
      </c>
      <c r="F533" s="65" t="s">
        <v>3669</v>
      </c>
      <c r="G533" s="65" t="s">
        <v>5098</v>
      </c>
      <c r="H533" s="65" t="s">
        <v>4730</v>
      </c>
      <c r="I533" s="65">
        <v>999.0</v>
      </c>
      <c r="J533" s="66">
        <v>0.1</v>
      </c>
      <c r="K533" s="65">
        <f t="shared" si="3"/>
        <v>899</v>
      </c>
      <c r="L533" s="66">
        <v>0.1</v>
      </c>
      <c r="M533" s="65">
        <f t="shared" si="4"/>
        <v>899</v>
      </c>
      <c r="N533" s="67">
        <f t="shared" si="352"/>
        <v>0.1001001001</v>
      </c>
      <c r="O533" s="68">
        <v>899.0</v>
      </c>
      <c r="P533" s="67">
        <f t="shared" si="358"/>
        <v>0.1001001001</v>
      </c>
      <c r="Q533" s="69">
        <v>899.0</v>
      </c>
      <c r="R533" s="70"/>
      <c r="S533" s="71">
        <f t="shared" si="363"/>
        <v>0</v>
      </c>
      <c r="T533" s="72">
        <f t="shared" si="6"/>
        <v>0</v>
      </c>
      <c r="U533" s="73" t="str">
        <f t="shared" si="364"/>
        <v/>
      </c>
      <c r="V533" s="73">
        <f t="shared" si="340"/>
        <v>761.8644068</v>
      </c>
      <c r="W533" s="73">
        <f t="shared" si="9"/>
        <v>761.8644068</v>
      </c>
      <c r="X533" s="74">
        <f t="shared" si="10"/>
        <v>1</v>
      </c>
      <c r="Y533" s="73">
        <f t="shared" si="333"/>
        <v>0</v>
      </c>
      <c r="Z533" s="73">
        <f t="shared" si="12"/>
        <v>761.8644068</v>
      </c>
      <c r="AA533" s="73">
        <f t="shared" si="13"/>
        <v>761.8644068</v>
      </c>
      <c r="AB533" s="74">
        <f t="shared" si="14"/>
        <v>1</v>
      </c>
      <c r="AC533" s="61" t="str">
        <f t="shared" si="15"/>
        <v>0</v>
      </c>
      <c r="AD533" s="71" t="str">
        <f t="shared" si="16"/>
        <v>#DIV/0!</v>
      </c>
      <c r="AE533" s="61"/>
      <c r="AF533" s="61"/>
      <c r="AG533" s="71">
        <f t="array" ref="AG533">IFERROR(xlookup(G533,'Old Master'!T:T,'Old Master'!V:V),N533)</f>
        <v>0.1001001001</v>
      </c>
      <c r="AH533" s="73">
        <f t="shared" si="229"/>
        <v>899</v>
      </c>
      <c r="AI533" s="73">
        <f t="shared" si="230"/>
        <v>761.8644068</v>
      </c>
      <c r="AJ533" s="72">
        <f t="shared" si="19"/>
        <v>1</v>
      </c>
      <c r="AK533" s="61"/>
      <c r="AL533" s="71">
        <f t="array" ref="AL533">iferror(if(isblank(xlookup($G533,'Old Master'!$T:$T,'Old Master'!$W:$W)),AG533,xlookup($G533,'Old Master'!$T:$T,'Old Master'!$W:$W)),AG533)</f>
        <v>0.1001001001</v>
      </c>
      <c r="AM533" s="74">
        <f t="shared" si="20"/>
        <v>0.1001001001</v>
      </c>
      <c r="AN533" s="73">
        <f t="shared" si="372"/>
        <v>899</v>
      </c>
    </row>
    <row r="534">
      <c r="A534" s="65" t="s">
        <v>3506</v>
      </c>
      <c r="B534" s="65" t="str">
        <f t="shared" si="1"/>
        <v>#VALUE!</v>
      </c>
      <c r="C534" s="65" t="str">
        <f t="shared" si="248"/>
        <v>#VALUE!</v>
      </c>
      <c r="D534" s="65" t="s">
        <v>3508</v>
      </c>
      <c r="E534" s="65" t="s">
        <v>3510</v>
      </c>
      <c r="F534" s="65" t="s">
        <v>3511</v>
      </c>
      <c r="G534" s="65" t="s">
        <v>5098</v>
      </c>
      <c r="H534" s="65" t="s">
        <v>4730</v>
      </c>
      <c r="I534" s="65">
        <v>899.0</v>
      </c>
      <c r="J534" s="66">
        <v>0.1</v>
      </c>
      <c r="K534" s="65">
        <f t="shared" si="3"/>
        <v>809</v>
      </c>
      <c r="L534" s="66">
        <v>0.1</v>
      </c>
      <c r="M534" s="65">
        <f t="shared" si="4"/>
        <v>809</v>
      </c>
      <c r="N534" s="67">
        <f t="shared" si="352"/>
        <v>0.1001112347</v>
      </c>
      <c r="O534" s="68">
        <v>809.0</v>
      </c>
      <c r="P534" s="67">
        <f t="shared" si="358"/>
        <v>0.1001112347</v>
      </c>
      <c r="Q534" s="69">
        <v>809.0</v>
      </c>
      <c r="R534" s="70"/>
      <c r="S534" s="71">
        <f t="shared" si="363"/>
        <v>0</v>
      </c>
      <c r="T534" s="72">
        <f t="shared" si="6"/>
        <v>0</v>
      </c>
      <c r="U534" s="73" t="str">
        <f t="shared" si="364"/>
        <v/>
      </c>
      <c r="V534" s="73">
        <f t="shared" si="340"/>
        <v>685.5932203</v>
      </c>
      <c r="W534" s="73">
        <f t="shared" si="9"/>
        <v>685.5932203</v>
      </c>
      <c r="X534" s="74">
        <f t="shared" si="10"/>
        <v>1</v>
      </c>
      <c r="Y534" s="73">
        <f t="shared" si="333"/>
        <v>0</v>
      </c>
      <c r="Z534" s="73">
        <f t="shared" si="12"/>
        <v>685.5932203</v>
      </c>
      <c r="AA534" s="73">
        <f t="shared" si="13"/>
        <v>685.5932203</v>
      </c>
      <c r="AB534" s="74">
        <f t="shared" si="14"/>
        <v>1</v>
      </c>
      <c r="AC534" s="61" t="str">
        <f t="shared" si="15"/>
        <v>8</v>
      </c>
      <c r="AD534" s="71" t="str">
        <f t="shared" si="16"/>
        <v>#DIV/0!</v>
      </c>
      <c r="AE534" s="61"/>
      <c r="AF534" s="61"/>
      <c r="AG534" s="71">
        <f t="array" ref="AG534">IFERROR(xlookup(G534,'Old Master'!T:T,'Old Master'!V:V),N534)</f>
        <v>0.1001112347</v>
      </c>
      <c r="AH534" s="73">
        <f t="shared" si="229"/>
        <v>809</v>
      </c>
      <c r="AI534" s="73">
        <f t="shared" si="230"/>
        <v>685.5932203</v>
      </c>
      <c r="AJ534" s="72">
        <f t="shared" si="19"/>
        <v>1</v>
      </c>
      <c r="AK534" s="61"/>
      <c r="AL534" s="71">
        <f t="array" ref="AL534">iferror(if(isblank(xlookup($G534,'Old Master'!$T:$T,'Old Master'!$W:$W)),AG534,xlookup($G534,'Old Master'!$T:$T,'Old Master'!$W:$W)),AG534)</f>
        <v>0.1001112347</v>
      </c>
      <c r="AM534" s="74">
        <f t="shared" si="20"/>
        <v>0.1001112347</v>
      </c>
      <c r="AN534" s="73">
        <f t="shared" ref="AN534:AN535" si="373">O534</f>
        <v>809</v>
      </c>
    </row>
    <row r="535">
      <c r="A535" s="65" t="s">
        <v>3523</v>
      </c>
      <c r="B535" s="65" t="str">
        <f t="shared" si="1"/>
        <v>#VALUE!</v>
      </c>
      <c r="C535" s="65" t="str">
        <f t="shared" si="248"/>
        <v>#VALUE!</v>
      </c>
      <c r="D535" s="65" t="s">
        <v>3525</v>
      </c>
      <c r="E535" s="65" t="s">
        <v>3527</v>
      </c>
      <c r="F535" s="65" t="s">
        <v>3528</v>
      </c>
      <c r="G535" s="65" t="s">
        <v>5098</v>
      </c>
      <c r="H535" s="65" t="s">
        <v>4730</v>
      </c>
      <c r="I535" s="65">
        <v>799.0</v>
      </c>
      <c r="J535" s="66">
        <v>0.1</v>
      </c>
      <c r="K535" s="65">
        <f t="shared" si="3"/>
        <v>719</v>
      </c>
      <c r="L535" s="66">
        <v>0.1</v>
      </c>
      <c r="M535" s="65">
        <f t="shared" si="4"/>
        <v>719</v>
      </c>
      <c r="N535" s="67">
        <f t="shared" si="352"/>
        <v>0.1001251564</v>
      </c>
      <c r="O535" s="68">
        <v>719.0</v>
      </c>
      <c r="P535" s="67">
        <f t="shared" si="358"/>
        <v>0.1001251564</v>
      </c>
      <c r="Q535" s="69">
        <v>719.0</v>
      </c>
      <c r="R535" s="70"/>
      <c r="S535" s="71">
        <f t="shared" si="363"/>
        <v>0</v>
      </c>
      <c r="T535" s="72">
        <f t="shared" si="6"/>
        <v>0</v>
      </c>
      <c r="U535" s="73" t="str">
        <f t="shared" si="364"/>
        <v/>
      </c>
      <c r="V535" s="73">
        <f t="shared" si="340"/>
        <v>609.3220339</v>
      </c>
      <c r="W535" s="73">
        <f t="shared" si="9"/>
        <v>609.3220339</v>
      </c>
      <c r="X535" s="74">
        <f t="shared" si="10"/>
        <v>1</v>
      </c>
      <c r="Y535" s="73">
        <f t="shared" si="333"/>
        <v>0</v>
      </c>
      <c r="Z535" s="73">
        <f t="shared" si="12"/>
        <v>609.3220339</v>
      </c>
      <c r="AA535" s="73">
        <f t="shared" si="13"/>
        <v>609.3220339</v>
      </c>
      <c r="AB535" s="74">
        <f t="shared" si="14"/>
        <v>1</v>
      </c>
      <c r="AC535" s="61" t="str">
        <f t="shared" si="15"/>
        <v>0</v>
      </c>
      <c r="AD535" s="71" t="str">
        <f t="shared" si="16"/>
        <v>#DIV/0!</v>
      </c>
      <c r="AE535" s="61"/>
      <c r="AF535" s="61"/>
      <c r="AG535" s="71">
        <f t="array" ref="AG535">IFERROR(xlookup(G535,'Old Master'!T:T,'Old Master'!V:V),N535)</f>
        <v>0.1001251564</v>
      </c>
      <c r="AH535" s="73">
        <f t="shared" si="229"/>
        <v>719</v>
      </c>
      <c r="AI535" s="73">
        <f t="shared" si="230"/>
        <v>609.3220339</v>
      </c>
      <c r="AJ535" s="72">
        <f t="shared" si="19"/>
        <v>1</v>
      </c>
      <c r="AK535" s="61"/>
      <c r="AL535" s="71">
        <f t="array" ref="AL535">iferror(if(isblank(xlookup($G535,'Old Master'!$T:$T,'Old Master'!$W:$W)),AG535,xlookup($G535,'Old Master'!$T:$T,'Old Master'!$W:$W)),AG535)</f>
        <v>0.1001251564</v>
      </c>
      <c r="AM535" s="74">
        <f t="shared" si="20"/>
        <v>0.1001251564</v>
      </c>
      <c r="AN535" s="73">
        <f t="shared" si="373"/>
        <v>719</v>
      </c>
    </row>
    <row r="536">
      <c r="A536" s="65" t="s">
        <v>3644</v>
      </c>
      <c r="B536" s="65" t="str">
        <f t="shared" si="1"/>
        <v>#VALUE!</v>
      </c>
      <c r="C536" s="65" t="str">
        <f t="shared" si="248"/>
        <v>#VALUE!</v>
      </c>
      <c r="D536" s="65" t="s">
        <v>3646</v>
      </c>
      <c r="E536" s="65" t="s">
        <v>3648</v>
      </c>
      <c r="F536" s="65">
        <v>0.0</v>
      </c>
      <c r="G536" s="65" t="s">
        <v>5098</v>
      </c>
      <c r="H536" s="65" t="s">
        <v>4730</v>
      </c>
      <c r="I536" s="65">
        <v>999.0</v>
      </c>
      <c r="J536" s="66">
        <v>0.1</v>
      </c>
      <c r="K536" s="65">
        <f t="shared" si="3"/>
        <v>899</v>
      </c>
      <c r="L536" s="66">
        <v>0.1</v>
      </c>
      <c r="M536" s="65">
        <f t="shared" si="4"/>
        <v>899</v>
      </c>
      <c r="N536" s="67">
        <f t="shared" si="352"/>
        <v>0.1001001001</v>
      </c>
      <c r="O536" s="68">
        <v>899.0</v>
      </c>
      <c r="P536" s="67">
        <f t="shared" si="358"/>
        <v>0.1001001001</v>
      </c>
      <c r="Q536" s="69">
        <v>899.0</v>
      </c>
      <c r="R536" s="70"/>
      <c r="S536" s="71">
        <f t="shared" si="363"/>
        <v>0</v>
      </c>
      <c r="T536" s="72">
        <f t="shared" si="6"/>
        <v>0</v>
      </c>
      <c r="U536" s="73" t="str">
        <f t="shared" si="364"/>
        <v/>
      </c>
      <c r="V536" s="73">
        <f t="shared" si="340"/>
        <v>761.8644068</v>
      </c>
      <c r="W536" s="73">
        <f t="shared" si="9"/>
        <v>761.8644068</v>
      </c>
      <c r="X536" s="74">
        <f t="shared" si="10"/>
        <v>1</v>
      </c>
      <c r="Y536" s="73">
        <f t="shared" si="333"/>
        <v>0</v>
      </c>
      <c r="Z536" s="73">
        <f t="shared" si="12"/>
        <v>761.8644068</v>
      </c>
      <c r="AA536" s="73">
        <f t="shared" si="13"/>
        <v>761.8644068</v>
      </c>
      <c r="AB536" s="74">
        <f t="shared" si="14"/>
        <v>1</v>
      </c>
      <c r="AC536" s="61" t="str">
        <f t="shared" si="15"/>
        <v>0</v>
      </c>
      <c r="AD536" s="71" t="str">
        <f t="shared" si="16"/>
        <v>#DIV/0!</v>
      </c>
      <c r="AE536" s="61"/>
      <c r="AF536" s="61"/>
      <c r="AG536" s="71">
        <f t="array" ref="AG536">IFERROR(xlookup(G536,'Old Master'!T:T,'Old Master'!V:V),N536)</f>
        <v>0.1001001001</v>
      </c>
      <c r="AH536" s="73">
        <f t="shared" si="229"/>
        <v>899</v>
      </c>
      <c r="AI536" s="73">
        <f t="shared" si="230"/>
        <v>761.8644068</v>
      </c>
      <c r="AJ536" s="72">
        <f t="shared" si="19"/>
        <v>1</v>
      </c>
      <c r="AK536" s="61"/>
      <c r="AL536" s="71">
        <f t="array" ref="AL536">iferror(if(isblank(xlookup($G536,'Old Master'!$T:$T,'Old Master'!$W:$W)),AG536,xlookup($G536,'Old Master'!$T:$T,'Old Master'!$W:$W)),AG536)</f>
        <v>0.1001001001</v>
      </c>
      <c r="AM536" s="74">
        <f t="shared" si="20"/>
        <v>0.1001001001</v>
      </c>
      <c r="AN536" s="73">
        <f>mround($I536*(1-AL536),100)-1</f>
        <v>899</v>
      </c>
    </row>
    <row r="537">
      <c r="A537" s="65" t="s">
        <v>3485</v>
      </c>
      <c r="B537" s="65" t="str">
        <f t="shared" si="1"/>
        <v>#VALUE!</v>
      </c>
      <c r="C537" s="65" t="str">
        <f t="shared" si="248"/>
        <v>#VALUE!</v>
      </c>
      <c r="D537" s="65" t="s">
        <v>3487</v>
      </c>
      <c r="E537" s="65" t="s">
        <v>3489</v>
      </c>
      <c r="F537" s="65" t="s">
        <v>3490</v>
      </c>
      <c r="G537" s="65" t="s">
        <v>5098</v>
      </c>
      <c r="H537" s="65" t="s">
        <v>4730</v>
      </c>
      <c r="I537" s="65">
        <v>899.0</v>
      </c>
      <c r="J537" s="66">
        <v>0.1</v>
      </c>
      <c r="K537" s="65">
        <f t="shared" si="3"/>
        <v>809</v>
      </c>
      <c r="L537" s="66">
        <v>0.1</v>
      </c>
      <c r="M537" s="65">
        <f t="shared" si="4"/>
        <v>809</v>
      </c>
      <c r="N537" s="67">
        <f t="shared" si="352"/>
        <v>0.1001112347</v>
      </c>
      <c r="O537" s="68">
        <v>809.0</v>
      </c>
      <c r="P537" s="67">
        <f t="shared" si="358"/>
        <v>0.1001112347</v>
      </c>
      <c r="Q537" s="69">
        <v>809.0</v>
      </c>
      <c r="R537" s="70"/>
      <c r="S537" s="71">
        <f t="shared" si="363"/>
        <v>0</v>
      </c>
      <c r="T537" s="72">
        <f t="shared" si="6"/>
        <v>0</v>
      </c>
      <c r="U537" s="73" t="str">
        <f t="shared" si="364"/>
        <v/>
      </c>
      <c r="V537" s="73">
        <f t="shared" si="340"/>
        <v>685.5932203</v>
      </c>
      <c r="W537" s="73">
        <f t="shared" si="9"/>
        <v>685.5932203</v>
      </c>
      <c r="X537" s="74">
        <f t="shared" si="10"/>
        <v>1</v>
      </c>
      <c r="Y537" s="73">
        <f t="shared" si="333"/>
        <v>0</v>
      </c>
      <c r="Z537" s="73">
        <f t="shared" si="12"/>
        <v>685.5932203</v>
      </c>
      <c r="AA537" s="73">
        <f t="shared" si="13"/>
        <v>685.5932203</v>
      </c>
      <c r="AB537" s="74">
        <f t="shared" si="14"/>
        <v>1</v>
      </c>
      <c r="AC537" s="61" t="str">
        <f t="shared" si="15"/>
        <v>8</v>
      </c>
      <c r="AD537" s="71" t="str">
        <f t="shared" si="16"/>
        <v>#DIV/0!</v>
      </c>
      <c r="AE537" s="61"/>
      <c r="AF537" s="61"/>
      <c r="AG537" s="71">
        <f t="array" ref="AG537">IFERROR(xlookup(G537,'Old Master'!T:T,'Old Master'!V:V),N537)</f>
        <v>0.1001112347</v>
      </c>
      <c r="AH537" s="73">
        <f t="shared" si="229"/>
        <v>809</v>
      </c>
      <c r="AI537" s="73">
        <f t="shared" si="230"/>
        <v>685.5932203</v>
      </c>
      <c r="AJ537" s="72">
        <f t="shared" si="19"/>
        <v>1</v>
      </c>
      <c r="AK537" s="61"/>
      <c r="AL537" s="71">
        <f t="array" ref="AL537">iferror(if(isblank(xlookup($G537,'Old Master'!$T:$T,'Old Master'!$W:$W)),AG537,xlookup($G537,'Old Master'!$T:$T,'Old Master'!$W:$W)),AG537)</f>
        <v>0.1001112347</v>
      </c>
      <c r="AM537" s="74">
        <f t="shared" si="20"/>
        <v>0.1001112347</v>
      </c>
      <c r="AN537" s="73">
        <f t="shared" ref="AN537:AN538" si="374">O537</f>
        <v>809</v>
      </c>
    </row>
    <row r="538">
      <c r="A538" s="65" t="s">
        <v>3499</v>
      </c>
      <c r="B538" s="65" t="str">
        <f t="shared" si="1"/>
        <v>#VALUE!</v>
      </c>
      <c r="C538" s="65" t="str">
        <f t="shared" si="248"/>
        <v>#VALUE!</v>
      </c>
      <c r="D538" s="65" t="s">
        <v>3501</v>
      </c>
      <c r="E538" s="65" t="s">
        <v>3503</v>
      </c>
      <c r="F538" s="65" t="s">
        <v>3504</v>
      </c>
      <c r="G538" s="65" t="s">
        <v>5098</v>
      </c>
      <c r="H538" s="65" t="s">
        <v>4730</v>
      </c>
      <c r="I538" s="65">
        <v>899.0</v>
      </c>
      <c r="J538" s="66">
        <v>0.1</v>
      </c>
      <c r="K538" s="65">
        <f t="shared" si="3"/>
        <v>809</v>
      </c>
      <c r="L538" s="66">
        <v>0.1</v>
      </c>
      <c r="M538" s="65">
        <f t="shared" si="4"/>
        <v>809</v>
      </c>
      <c r="N538" s="67">
        <f t="shared" si="352"/>
        <v>0.1001112347</v>
      </c>
      <c r="O538" s="68">
        <v>809.0</v>
      </c>
      <c r="P538" s="67">
        <f t="shared" si="358"/>
        <v>0.1001112347</v>
      </c>
      <c r="Q538" s="69">
        <v>809.0</v>
      </c>
      <c r="R538" s="70"/>
      <c r="S538" s="71">
        <f t="shared" si="363"/>
        <v>0</v>
      </c>
      <c r="T538" s="72">
        <f t="shared" si="6"/>
        <v>0</v>
      </c>
      <c r="U538" s="73" t="str">
        <f t="shared" si="364"/>
        <v/>
      </c>
      <c r="V538" s="73">
        <f t="shared" si="340"/>
        <v>685.5932203</v>
      </c>
      <c r="W538" s="73">
        <f t="shared" si="9"/>
        <v>685.5932203</v>
      </c>
      <c r="X538" s="74">
        <f t="shared" si="10"/>
        <v>1</v>
      </c>
      <c r="Y538" s="73">
        <f t="shared" si="333"/>
        <v>0</v>
      </c>
      <c r="Z538" s="73">
        <f t="shared" si="12"/>
        <v>685.5932203</v>
      </c>
      <c r="AA538" s="73">
        <f t="shared" si="13"/>
        <v>685.5932203</v>
      </c>
      <c r="AB538" s="74">
        <f t="shared" si="14"/>
        <v>1</v>
      </c>
      <c r="AC538" s="61" t="str">
        <f t="shared" si="15"/>
        <v>8</v>
      </c>
      <c r="AD538" s="71" t="str">
        <f t="shared" si="16"/>
        <v>#DIV/0!</v>
      </c>
      <c r="AE538" s="61"/>
      <c r="AF538" s="61"/>
      <c r="AG538" s="71">
        <f t="array" ref="AG538">IFERROR(xlookup(G538,'Old Master'!T:T,'Old Master'!V:V),N538)</f>
        <v>0.1001112347</v>
      </c>
      <c r="AH538" s="73">
        <f t="shared" si="229"/>
        <v>809</v>
      </c>
      <c r="AI538" s="73">
        <f t="shared" si="230"/>
        <v>685.5932203</v>
      </c>
      <c r="AJ538" s="72">
        <f t="shared" si="19"/>
        <v>1</v>
      </c>
      <c r="AK538" s="61"/>
      <c r="AL538" s="71">
        <f t="array" ref="AL538">iferror(if(isblank(xlookup($G538,'Old Master'!$T:$T,'Old Master'!$W:$W)),AG538,xlookup($G538,'Old Master'!$T:$T,'Old Master'!$W:$W)),AG538)</f>
        <v>0.1001112347</v>
      </c>
      <c r="AM538" s="74">
        <f t="shared" si="20"/>
        <v>0.1001112347</v>
      </c>
      <c r="AN538" s="73">
        <f t="shared" si="374"/>
        <v>809</v>
      </c>
    </row>
    <row r="539">
      <c r="A539" s="65" t="s">
        <v>3651</v>
      </c>
      <c r="B539" s="65" t="str">
        <f t="shared" si="1"/>
        <v>#VALUE!</v>
      </c>
      <c r="C539" s="65" t="str">
        <f t="shared" si="248"/>
        <v>#VALUE!</v>
      </c>
      <c r="D539" s="65" t="s">
        <v>3653</v>
      </c>
      <c r="E539" s="65" t="s">
        <v>3655</v>
      </c>
      <c r="F539" s="65" t="s">
        <v>3656</v>
      </c>
      <c r="G539" s="65" t="s">
        <v>5098</v>
      </c>
      <c r="H539" s="65" t="s">
        <v>4730</v>
      </c>
      <c r="I539" s="65">
        <v>999.0</v>
      </c>
      <c r="J539" s="66">
        <v>0.1</v>
      </c>
      <c r="K539" s="65">
        <f t="shared" si="3"/>
        <v>899</v>
      </c>
      <c r="L539" s="66">
        <v>0.1</v>
      </c>
      <c r="M539" s="65">
        <f t="shared" si="4"/>
        <v>899</v>
      </c>
      <c r="N539" s="67">
        <f t="shared" si="352"/>
        <v>0.1001001001</v>
      </c>
      <c r="O539" s="68">
        <v>899.0</v>
      </c>
      <c r="P539" s="67">
        <f t="shared" si="358"/>
        <v>0.1001001001</v>
      </c>
      <c r="Q539" s="69">
        <v>899.0</v>
      </c>
      <c r="R539" s="70"/>
      <c r="S539" s="71">
        <f t="shared" si="363"/>
        <v>0</v>
      </c>
      <c r="T539" s="72">
        <f t="shared" si="6"/>
        <v>0</v>
      </c>
      <c r="U539" s="73" t="str">
        <f t="shared" si="364"/>
        <v/>
      </c>
      <c r="V539" s="73">
        <f t="shared" si="340"/>
        <v>761.8644068</v>
      </c>
      <c r="W539" s="73">
        <f t="shared" si="9"/>
        <v>761.8644068</v>
      </c>
      <c r="X539" s="74">
        <f t="shared" si="10"/>
        <v>1</v>
      </c>
      <c r="Y539" s="73">
        <f t="shared" si="333"/>
        <v>0</v>
      </c>
      <c r="Z539" s="73">
        <f t="shared" si="12"/>
        <v>761.8644068</v>
      </c>
      <c r="AA539" s="73">
        <f t="shared" si="13"/>
        <v>761.8644068</v>
      </c>
      <c r="AB539" s="74">
        <f t="shared" si="14"/>
        <v>1</v>
      </c>
      <c r="AC539" s="61" t="str">
        <f t="shared" si="15"/>
        <v>0</v>
      </c>
      <c r="AD539" s="71" t="str">
        <f t="shared" si="16"/>
        <v>#DIV/0!</v>
      </c>
      <c r="AE539" s="61"/>
      <c r="AF539" s="61"/>
      <c r="AG539" s="71">
        <f t="array" ref="AG539">IFERROR(xlookup(G539,'Old Master'!T:T,'Old Master'!V:V),N539)</f>
        <v>0.1001001001</v>
      </c>
      <c r="AH539" s="73">
        <f t="shared" si="229"/>
        <v>899</v>
      </c>
      <c r="AI539" s="73">
        <f t="shared" si="230"/>
        <v>761.8644068</v>
      </c>
      <c r="AJ539" s="72">
        <f t="shared" si="19"/>
        <v>1</v>
      </c>
      <c r="AK539" s="61"/>
      <c r="AL539" s="71">
        <f t="array" ref="AL539">iferror(if(isblank(xlookup($G539,'Old Master'!$T:$T,'Old Master'!$W:$W)),AG539,xlookup($G539,'Old Master'!$T:$T,'Old Master'!$W:$W)),AG539)</f>
        <v>0.1001001001</v>
      </c>
      <c r="AM539" s="74">
        <f t="shared" si="20"/>
        <v>0.1001001001</v>
      </c>
      <c r="AN539" s="73">
        <f>mround($I539*(1-AL539),100)-1</f>
        <v>899</v>
      </c>
    </row>
    <row r="540">
      <c r="A540" s="65" t="s">
        <v>3492</v>
      </c>
      <c r="B540" s="65" t="str">
        <f t="shared" si="1"/>
        <v>#VALUE!</v>
      </c>
      <c r="C540" s="65" t="str">
        <f t="shared" si="248"/>
        <v>#VALUE!</v>
      </c>
      <c r="D540" s="65" t="s">
        <v>3494</v>
      </c>
      <c r="E540" s="65" t="s">
        <v>3496</v>
      </c>
      <c r="F540" s="65" t="s">
        <v>3497</v>
      </c>
      <c r="G540" s="65" t="s">
        <v>5098</v>
      </c>
      <c r="H540" s="65" t="s">
        <v>4730</v>
      </c>
      <c r="I540" s="65">
        <v>899.0</v>
      </c>
      <c r="J540" s="66">
        <v>0.1</v>
      </c>
      <c r="K540" s="65">
        <f t="shared" si="3"/>
        <v>809</v>
      </c>
      <c r="L540" s="66">
        <v>0.1</v>
      </c>
      <c r="M540" s="65">
        <f t="shared" si="4"/>
        <v>809</v>
      </c>
      <c r="N540" s="67">
        <f t="shared" si="352"/>
        <v>0.1001112347</v>
      </c>
      <c r="O540" s="68">
        <v>809.0</v>
      </c>
      <c r="P540" s="67">
        <f t="shared" si="358"/>
        <v>0.1001112347</v>
      </c>
      <c r="Q540" s="69">
        <v>809.0</v>
      </c>
      <c r="R540" s="70"/>
      <c r="S540" s="71">
        <f t="shared" si="363"/>
        <v>0</v>
      </c>
      <c r="T540" s="72">
        <f t="shared" si="6"/>
        <v>0</v>
      </c>
      <c r="U540" s="73" t="str">
        <f t="shared" si="364"/>
        <v/>
      </c>
      <c r="V540" s="73">
        <f t="shared" si="340"/>
        <v>685.5932203</v>
      </c>
      <c r="W540" s="73">
        <f t="shared" si="9"/>
        <v>685.5932203</v>
      </c>
      <c r="X540" s="74">
        <f t="shared" si="10"/>
        <v>1</v>
      </c>
      <c r="Y540" s="73">
        <f t="shared" si="333"/>
        <v>0</v>
      </c>
      <c r="Z540" s="73">
        <f t="shared" si="12"/>
        <v>685.5932203</v>
      </c>
      <c r="AA540" s="73">
        <f t="shared" si="13"/>
        <v>685.5932203</v>
      </c>
      <c r="AB540" s="74">
        <f t="shared" si="14"/>
        <v>1</v>
      </c>
      <c r="AC540" s="61" t="str">
        <f t="shared" si="15"/>
        <v>8</v>
      </c>
      <c r="AD540" s="71" t="str">
        <f t="shared" si="16"/>
        <v>#DIV/0!</v>
      </c>
      <c r="AE540" s="61"/>
      <c r="AF540" s="61"/>
      <c r="AG540" s="71">
        <f t="array" ref="AG540">IFERROR(xlookup(G540,'Old Master'!T:T,'Old Master'!V:V),N540)</f>
        <v>0.1001112347</v>
      </c>
      <c r="AH540" s="73">
        <f t="shared" si="229"/>
        <v>809</v>
      </c>
      <c r="AI540" s="73">
        <f t="shared" si="230"/>
        <v>685.5932203</v>
      </c>
      <c r="AJ540" s="72">
        <f t="shared" si="19"/>
        <v>1</v>
      </c>
      <c r="AK540" s="61"/>
      <c r="AL540" s="71">
        <f t="array" ref="AL540">iferror(if(isblank(xlookup($G540,'Old Master'!$T:$T,'Old Master'!$W:$W)),AG540,xlookup($G540,'Old Master'!$T:$T,'Old Master'!$W:$W)),AG540)</f>
        <v>0.1001112347</v>
      </c>
      <c r="AM540" s="74">
        <f t="shared" si="20"/>
        <v>0.1001112347</v>
      </c>
      <c r="AN540" s="73">
        <f>O540</f>
        <v>809</v>
      </c>
    </row>
    <row r="541">
      <c r="A541" s="65" t="s">
        <v>1766</v>
      </c>
      <c r="B541" s="65">
        <f t="shared" si="1"/>
        <v>48</v>
      </c>
      <c r="C541" s="65" t="str">
        <f t="shared" si="248"/>
        <v>SC-ULTM-LATEX-D-72x50x10</v>
      </c>
      <c r="D541" s="65" t="s">
        <v>1768</v>
      </c>
      <c r="E541" s="65">
        <v>0.0</v>
      </c>
      <c r="F541" s="65">
        <v>0.0</v>
      </c>
      <c r="G541" s="65" t="s">
        <v>5109</v>
      </c>
      <c r="H541" s="65" t="s">
        <v>52</v>
      </c>
      <c r="I541" s="65">
        <v>31999.0</v>
      </c>
      <c r="J541" s="66">
        <v>0.23</v>
      </c>
      <c r="K541" s="65">
        <f t="shared" si="3"/>
        <v>24639</v>
      </c>
      <c r="L541" s="66">
        <v>0.18</v>
      </c>
      <c r="M541" s="65">
        <f t="shared" si="4"/>
        <v>26239</v>
      </c>
      <c r="N541" s="67">
        <f t="shared" si="352"/>
        <v>0.1000031251</v>
      </c>
      <c r="O541" s="68">
        <v>28799.0</v>
      </c>
      <c r="P541" s="67">
        <f t="shared" si="358"/>
        <v>0.1000031251</v>
      </c>
      <c r="Q541" s="69">
        <v>28799.0</v>
      </c>
      <c r="R541" s="70"/>
      <c r="S541" s="71">
        <f t="shared" ref="S541:S550" si="375">O541/M541-1</f>
        <v>0.09756469378</v>
      </c>
      <c r="T541" s="72">
        <f t="shared" si="6"/>
        <v>0</v>
      </c>
      <c r="U541" s="73">
        <f t="array" ref="U541">IFERROR(XLOOKUP(A541,COGS!I:I,COGS!J:J), IFERROR(XLOOKUP(C541,COGS!I:I,COGS!J:J),I541*35%))</f>
        <v>11199.65</v>
      </c>
      <c r="V541" s="73">
        <f t="shared" si="340"/>
        <v>22236.44068</v>
      </c>
      <c r="W541" s="73">
        <f t="shared" si="9"/>
        <v>11036.79068</v>
      </c>
      <c r="X541" s="74">
        <f t="shared" si="10"/>
        <v>0.4963380083</v>
      </c>
      <c r="Y541" s="73">
        <f t="shared" si="333"/>
        <v>12879.5975</v>
      </c>
      <c r="Z541" s="73">
        <f t="shared" si="12"/>
        <v>24405.9322</v>
      </c>
      <c r="AA541" s="73">
        <f t="shared" si="13"/>
        <v>11526.3347</v>
      </c>
      <c r="AB541" s="74">
        <f t="shared" si="14"/>
        <v>0.4722759453</v>
      </c>
      <c r="AC541" s="61" t="str">
        <f t="shared" si="15"/>
        <v>0</v>
      </c>
      <c r="AD541" s="71">
        <f t="shared" si="16"/>
        <v>0.15</v>
      </c>
      <c r="AE541" s="61"/>
      <c r="AF541" s="61"/>
      <c r="AG541" s="71">
        <f t="array" ref="AG541">IFERROR(xlookup(G541,'Old Master'!T:T,'Old Master'!V:V),N541)</f>
        <v>0.1000031251</v>
      </c>
      <c r="AH541" s="73">
        <f t="shared" si="229"/>
        <v>28799</v>
      </c>
      <c r="AI541" s="73">
        <f t="shared" si="230"/>
        <v>11526.3347</v>
      </c>
      <c r="AJ541" s="72">
        <f t="shared" si="19"/>
        <v>0.4722759453</v>
      </c>
      <c r="AK541" s="61"/>
      <c r="AL541" s="71">
        <f t="array" ref="AL541">iferror(if(isblank(xlookup($G541,'Old Master'!$T:$T,'Old Master'!$W:$W)),AG541,xlookup($G541,'Old Master'!$T:$T,'Old Master'!$W:$W)),AG541)</f>
        <v>0.1000031251</v>
      </c>
      <c r="AM541" s="74">
        <f t="shared" si="20"/>
        <v>0.1000031251</v>
      </c>
      <c r="AN541" s="73">
        <f t="shared" ref="AN541:AN552" si="376">mround($I541*(1-AL541),100)-1</f>
        <v>28799</v>
      </c>
    </row>
    <row r="542">
      <c r="A542" s="65" t="s">
        <v>1761</v>
      </c>
      <c r="B542" s="65">
        <f t="shared" si="1"/>
        <v>48</v>
      </c>
      <c r="C542" s="65" t="str">
        <f t="shared" si="248"/>
        <v>SC-ULTM-LATEX-D-84x50x8</v>
      </c>
      <c r="D542" s="65" t="s">
        <v>1763</v>
      </c>
      <c r="E542" s="65">
        <v>0.0</v>
      </c>
      <c r="F542" s="65" t="s">
        <v>1764</v>
      </c>
      <c r="G542" s="65" t="s">
        <v>5109</v>
      </c>
      <c r="H542" s="65" t="s">
        <v>52</v>
      </c>
      <c r="I542" s="65">
        <v>28999.0</v>
      </c>
      <c r="J542" s="66">
        <v>0.23</v>
      </c>
      <c r="K542" s="65">
        <f t="shared" si="3"/>
        <v>22329</v>
      </c>
      <c r="L542" s="66">
        <v>0.18</v>
      </c>
      <c r="M542" s="65">
        <f t="shared" si="4"/>
        <v>23779</v>
      </c>
      <c r="N542" s="67">
        <f t="shared" si="352"/>
        <v>0.1000034484</v>
      </c>
      <c r="O542" s="68">
        <v>26099.0</v>
      </c>
      <c r="P542" s="67">
        <f t="shared" si="358"/>
        <v>0.1000034484</v>
      </c>
      <c r="Q542" s="69">
        <v>26099.0</v>
      </c>
      <c r="R542" s="70"/>
      <c r="S542" s="71">
        <f t="shared" si="375"/>
        <v>0.09756507843</v>
      </c>
      <c r="T542" s="72">
        <f t="shared" si="6"/>
        <v>0</v>
      </c>
      <c r="U542" s="73" t="str">
        <f t="shared" ref="U542:U549" si="377">IFERROR(XLOOKUP(A542,COGS!I:I,COGS!J:J), IFERROR(XLOOKUP(C542,COGS!I:I,COGS!J:J),""))</f>
        <v/>
      </c>
      <c r="V542" s="73">
        <f t="shared" si="340"/>
        <v>20151.69492</v>
      </c>
      <c r="W542" s="73">
        <f t="shared" si="9"/>
        <v>20151.69492</v>
      </c>
      <c r="X542" s="74">
        <f t="shared" si="10"/>
        <v>1</v>
      </c>
      <c r="Y542" s="73">
        <f t="shared" si="333"/>
        <v>0</v>
      </c>
      <c r="Z542" s="73">
        <f t="shared" si="12"/>
        <v>22117.79661</v>
      </c>
      <c r="AA542" s="73">
        <f t="shared" si="13"/>
        <v>22117.79661</v>
      </c>
      <c r="AB542" s="74">
        <f t="shared" si="14"/>
        <v>1</v>
      </c>
      <c r="AC542" s="61" t="str">
        <f t="shared" si="15"/>
        <v>8</v>
      </c>
      <c r="AD542" s="71" t="str">
        <f t="shared" si="16"/>
        <v>#DIV/0!</v>
      </c>
      <c r="AE542" s="61"/>
      <c r="AF542" s="61"/>
      <c r="AG542" s="71">
        <f t="array" ref="AG542">IFERROR(xlookup(G542,'Old Master'!T:T,'Old Master'!V:V),N542)</f>
        <v>0.1000034484</v>
      </c>
      <c r="AH542" s="73">
        <f t="shared" si="229"/>
        <v>26099</v>
      </c>
      <c r="AI542" s="73">
        <f t="shared" si="230"/>
        <v>22117.79661</v>
      </c>
      <c r="AJ542" s="72">
        <f t="shared" si="19"/>
        <v>1</v>
      </c>
      <c r="AK542" s="61"/>
      <c r="AL542" s="71">
        <f t="array" ref="AL542">iferror(if(isblank(xlookup($G542,'Old Master'!$T:$T,'Old Master'!$W:$W)),AG542,xlookup($G542,'Old Master'!$T:$T,'Old Master'!$W:$W)),AG542)</f>
        <v>0.1000034484</v>
      </c>
      <c r="AM542" s="74">
        <f t="shared" si="20"/>
        <v>0.1000034484</v>
      </c>
      <c r="AN542" s="73">
        <f t="shared" si="376"/>
        <v>26099</v>
      </c>
    </row>
    <row r="543">
      <c r="A543" s="65" t="s">
        <v>1681</v>
      </c>
      <c r="B543" s="65">
        <f t="shared" si="1"/>
        <v>30</v>
      </c>
      <c r="C543" s="65" t="str">
        <f t="shared" si="248"/>
        <v>SC-ULTM-LATEX-S-72x32x8</v>
      </c>
      <c r="D543" s="65" t="s">
        <v>1683</v>
      </c>
      <c r="E543" s="65" t="s">
        <v>1684</v>
      </c>
      <c r="F543" s="65" t="s">
        <v>1685</v>
      </c>
      <c r="G543" s="65" t="s">
        <v>5109</v>
      </c>
      <c r="H543" s="65" t="s">
        <v>52</v>
      </c>
      <c r="I543" s="65">
        <v>18999.0</v>
      </c>
      <c r="J543" s="66">
        <v>0.23</v>
      </c>
      <c r="K543" s="65">
        <f t="shared" si="3"/>
        <v>14629</v>
      </c>
      <c r="L543" s="66">
        <v>0.18</v>
      </c>
      <c r="M543" s="65">
        <f t="shared" si="4"/>
        <v>15579</v>
      </c>
      <c r="N543" s="67">
        <f t="shared" si="352"/>
        <v>0.1000052634</v>
      </c>
      <c r="O543" s="68">
        <v>17099.0</v>
      </c>
      <c r="P543" s="67">
        <f t="shared" si="358"/>
        <v>0.1000052634</v>
      </c>
      <c r="Q543" s="69">
        <v>17099.0</v>
      </c>
      <c r="R543" s="70"/>
      <c r="S543" s="71">
        <f t="shared" si="375"/>
        <v>0.09756723795</v>
      </c>
      <c r="T543" s="72">
        <f t="shared" si="6"/>
        <v>0</v>
      </c>
      <c r="U543" s="73" t="str">
        <f t="shared" si="377"/>
        <v/>
      </c>
      <c r="V543" s="73">
        <f t="shared" si="340"/>
        <v>13202.54237</v>
      </c>
      <c r="W543" s="73">
        <f t="shared" si="9"/>
        <v>13202.54237</v>
      </c>
      <c r="X543" s="74">
        <f t="shared" si="10"/>
        <v>1</v>
      </c>
      <c r="Y543" s="73">
        <f t="shared" si="333"/>
        <v>0</v>
      </c>
      <c r="Z543" s="73">
        <f t="shared" si="12"/>
        <v>14490.67797</v>
      </c>
      <c r="AA543" s="73">
        <f t="shared" si="13"/>
        <v>14490.67797</v>
      </c>
      <c r="AB543" s="74">
        <f t="shared" si="14"/>
        <v>1</v>
      </c>
      <c r="AC543" s="61" t="str">
        <f t="shared" si="15"/>
        <v>8</v>
      </c>
      <c r="AD543" s="71" t="str">
        <f t="shared" si="16"/>
        <v>#DIV/0!</v>
      </c>
      <c r="AE543" s="61"/>
      <c r="AF543" s="61"/>
      <c r="AG543" s="71">
        <f t="array" ref="AG543">IFERROR(xlookup(G543,'Old Master'!T:T,'Old Master'!V:V),N543)</f>
        <v>0.1000052634</v>
      </c>
      <c r="AH543" s="73">
        <f t="shared" si="229"/>
        <v>17099</v>
      </c>
      <c r="AI543" s="73">
        <f t="shared" si="230"/>
        <v>14490.67797</v>
      </c>
      <c r="AJ543" s="72">
        <f t="shared" si="19"/>
        <v>1</v>
      </c>
      <c r="AK543" s="61"/>
      <c r="AL543" s="71">
        <f t="array" ref="AL543">iferror(if(isblank(xlookup($G543,'Old Master'!$T:$T,'Old Master'!$W:$W)),AG543,xlookup($G543,'Old Master'!$T:$T,'Old Master'!$W:$W)),AG543)</f>
        <v>0.1000052634</v>
      </c>
      <c r="AM543" s="74">
        <f t="shared" si="20"/>
        <v>0.1000052634</v>
      </c>
      <c r="AN543" s="73">
        <f t="shared" si="376"/>
        <v>17099</v>
      </c>
    </row>
    <row r="544">
      <c r="A544" s="65" t="s">
        <v>1735</v>
      </c>
      <c r="B544" s="65">
        <f t="shared" si="1"/>
        <v>36</v>
      </c>
      <c r="C544" s="65" t="str">
        <f t="shared" si="248"/>
        <v>SC-ULTM-LATEX-S-84x38x10</v>
      </c>
      <c r="D544" s="65" t="s">
        <v>1737</v>
      </c>
      <c r="E544" s="65">
        <v>0.0</v>
      </c>
      <c r="F544" s="65" t="s">
        <v>1738</v>
      </c>
      <c r="G544" s="65" t="s">
        <v>5109</v>
      </c>
      <c r="H544" s="65" t="s">
        <v>52</v>
      </c>
      <c r="I544" s="65">
        <v>23499.0</v>
      </c>
      <c r="J544" s="66">
        <v>0.23</v>
      </c>
      <c r="K544" s="65">
        <f t="shared" si="3"/>
        <v>18094</v>
      </c>
      <c r="L544" s="66">
        <v>0.18</v>
      </c>
      <c r="M544" s="65">
        <f t="shared" si="4"/>
        <v>19269</v>
      </c>
      <c r="N544" s="67">
        <f t="shared" si="352"/>
        <v>0.1000042555</v>
      </c>
      <c r="O544" s="68">
        <v>21149.0</v>
      </c>
      <c r="P544" s="67">
        <f t="shared" si="358"/>
        <v>0.1000042555</v>
      </c>
      <c r="Q544" s="69">
        <v>21149.0</v>
      </c>
      <c r="R544" s="70"/>
      <c r="S544" s="71">
        <f t="shared" si="375"/>
        <v>0.09756603872</v>
      </c>
      <c r="T544" s="72">
        <f t="shared" si="6"/>
        <v>0</v>
      </c>
      <c r="U544" s="73" t="str">
        <f t="shared" si="377"/>
        <v/>
      </c>
      <c r="V544" s="73">
        <f t="shared" si="340"/>
        <v>16329.66102</v>
      </c>
      <c r="W544" s="73">
        <f t="shared" si="9"/>
        <v>16329.66102</v>
      </c>
      <c r="X544" s="74">
        <f t="shared" si="10"/>
        <v>1</v>
      </c>
      <c r="Y544" s="73">
        <f t="shared" si="333"/>
        <v>0</v>
      </c>
      <c r="Z544" s="73">
        <f t="shared" si="12"/>
        <v>17922.88136</v>
      </c>
      <c r="AA544" s="73">
        <f t="shared" si="13"/>
        <v>17922.88136</v>
      </c>
      <c r="AB544" s="74">
        <f t="shared" si="14"/>
        <v>1</v>
      </c>
      <c r="AC544" s="61" t="str">
        <f t="shared" si="15"/>
        <v>0</v>
      </c>
      <c r="AD544" s="71" t="str">
        <f t="shared" si="16"/>
        <v>#DIV/0!</v>
      </c>
      <c r="AE544" s="61"/>
      <c r="AF544" s="61"/>
      <c r="AG544" s="71">
        <f t="array" ref="AG544">IFERROR(xlookup(G544,'Old Master'!T:T,'Old Master'!V:V),N544)</f>
        <v>0.1000042555</v>
      </c>
      <c r="AH544" s="73">
        <f t="shared" si="229"/>
        <v>21149</v>
      </c>
      <c r="AI544" s="73">
        <f t="shared" si="230"/>
        <v>17922.88136</v>
      </c>
      <c r="AJ544" s="72">
        <f t="shared" si="19"/>
        <v>1</v>
      </c>
      <c r="AK544" s="61"/>
      <c r="AL544" s="71">
        <f t="array" ref="AL544">iferror(if(isblank(xlookup($G544,'Old Master'!$T:$T,'Old Master'!$W:$W)),AG544,xlookup($G544,'Old Master'!$T:$T,'Old Master'!$W:$W)),AG544)</f>
        <v>0.1000042555</v>
      </c>
      <c r="AM544" s="74">
        <f t="shared" si="20"/>
        <v>0.1021320056</v>
      </c>
      <c r="AN544" s="73">
        <f t="shared" si="376"/>
        <v>21099</v>
      </c>
    </row>
    <row r="545">
      <c r="A545" s="65" t="s">
        <v>1829</v>
      </c>
      <c r="B545" s="65">
        <f t="shared" si="1"/>
        <v>60</v>
      </c>
      <c r="C545" s="65" t="str">
        <f t="shared" si="248"/>
        <v>SC-ULTM-LATEX-Q-84x62x10</v>
      </c>
      <c r="D545" s="65">
        <v>0.0</v>
      </c>
      <c r="E545" s="65">
        <v>0.0</v>
      </c>
      <c r="F545" s="65" t="s">
        <v>1832</v>
      </c>
      <c r="G545" s="65" t="s">
        <v>5109</v>
      </c>
      <c r="H545" s="65" t="s">
        <v>52</v>
      </c>
      <c r="I545" s="65">
        <v>37499.0</v>
      </c>
      <c r="J545" s="66">
        <v>0.23</v>
      </c>
      <c r="K545" s="65">
        <f t="shared" si="3"/>
        <v>28874</v>
      </c>
      <c r="L545" s="66">
        <v>0.18</v>
      </c>
      <c r="M545" s="65">
        <f t="shared" si="4"/>
        <v>30749</v>
      </c>
      <c r="N545" s="67">
        <f t="shared" si="352"/>
        <v>0.1000026667</v>
      </c>
      <c r="O545" s="68">
        <v>33749.0</v>
      </c>
      <c r="P545" s="67">
        <f t="shared" si="358"/>
        <v>0.1000026667</v>
      </c>
      <c r="Q545" s="69">
        <v>33749.0</v>
      </c>
      <c r="R545" s="70"/>
      <c r="S545" s="71">
        <f t="shared" si="375"/>
        <v>0.09756414843</v>
      </c>
      <c r="T545" s="72">
        <f t="shared" si="6"/>
        <v>0</v>
      </c>
      <c r="U545" s="73" t="str">
        <f t="shared" si="377"/>
        <v/>
      </c>
      <c r="V545" s="73">
        <f t="shared" si="340"/>
        <v>26058.47458</v>
      </c>
      <c r="W545" s="73">
        <f t="shared" si="9"/>
        <v>26058.47458</v>
      </c>
      <c r="X545" s="74">
        <f t="shared" si="10"/>
        <v>1</v>
      </c>
      <c r="Y545" s="73">
        <f t="shared" si="333"/>
        <v>0</v>
      </c>
      <c r="Z545" s="73">
        <f t="shared" si="12"/>
        <v>28600.84746</v>
      </c>
      <c r="AA545" s="73">
        <f t="shared" si="13"/>
        <v>28600.84746</v>
      </c>
      <c r="AB545" s="74">
        <f t="shared" si="14"/>
        <v>1</v>
      </c>
      <c r="AC545" s="61" t="str">
        <f t="shared" si="15"/>
        <v>0</v>
      </c>
      <c r="AD545" s="71" t="str">
        <f t="shared" si="16"/>
        <v>#DIV/0!</v>
      </c>
      <c r="AE545" s="61"/>
      <c r="AF545" s="61"/>
      <c r="AG545" s="71">
        <f t="array" ref="AG545">IFERROR(xlookup(G545,'Old Master'!T:T,'Old Master'!V:V),N545)</f>
        <v>0.1000026667</v>
      </c>
      <c r="AH545" s="73">
        <f t="shared" si="229"/>
        <v>33749</v>
      </c>
      <c r="AI545" s="73">
        <f t="shared" si="230"/>
        <v>28600.84746</v>
      </c>
      <c r="AJ545" s="72">
        <f t="shared" si="19"/>
        <v>1</v>
      </c>
      <c r="AK545" s="61"/>
      <c r="AL545" s="71">
        <f t="array" ref="AL545">iferror(if(isblank(xlookup($G545,'Old Master'!$T:$T,'Old Master'!$W:$W)),AG545,xlookup($G545,'Old Master'!$T:$T,'Old Master'!$W:$W)),AG545)</f>
        <v>0.1000026667</v>
      </c>
      <c r="AM545" s="74">
        <f t="shared" si="20"/>
        <v>0.1013360356</v>
      </c>
      <c r="AN545" s="73">
        <f t="shared" si="376"/>
        <v>33699</v>
      </c>
    </row>
    <row r="546">
      <c r="A546" s="65" t="s">
        <v>4760</v>
      </c>
      <c r="B546" s="65">
        <f t="shared" si="1"/>
        <v>48</v>
      </c>
      <c r="C546" s="65" t="str">
        <f t="shared" si="248"/>
        <v>SC-ULTM-D-72x50x10</v>
      </c>
      <c r="D546" s="65" t="s">
        <v>4762</v>
      </c>
      <c r="E546" s="65">
        <v>0.0</v>
      </c>
      <c r="F546" s="65" t="s">
        <v>4760</v>
      </c>
      <c r="G546" s="65" t="s">
        <v>5112</v>
      </c>
      <c r="H546" s="65" t="s">
        <v>52</v>
      </c>
      <c r="I546" s="65">
        <v>18999.0</v>
      </c>
      <c r="J546" s="66">
        <v>0.25</v>
      </c>
      <c r="K546" s="65">
        <f t="shared" si="3"/>
        <v>14249</v>
      </c>
      <c r="L546" s="66">
        <v>0.22</v>
      </c>
      <c r="M546" s="65">
        <f t="shared" si="4"/>
        <v>14819</v>
      </c>
      <c r="N546" s="67">
        <f t="shared" si="352"/>
        <v>0.1000052634</v>
      </c>
      <c r="O546" s="68">
        <v>17099.0</v>
      </c>
      <c r="P546" s="67">
        <f t="shared" si="358"/>
        <v>0.1000052634</v>
      </c>
      <c r="Q546" s="69">
        <v>17099.0</v>
      </c>
      <c r="R546" s="70"/>
      <c r="S546" s="71">
        <f t="shared" si="375"/>
        <v>0.1538565355</v>
      </c>
      <c r="T546" s="72">
        <f t="shared" si="6"/>
        <v>0</v>
      </c>
      <c r="U546" s="73" t="str">
        <f t="shared" si="377"/>
        <v/>
      </c>
      <c r="V546" s="73">
        <f t="shared" si="340"/>
        <v>12558.47458</v>
      </c>
      <c r="W546" s="73">
        <f t="shared" si="9"/>
        <v>12558.47458</v>
      </c>
      <c r="X546" s="74">
        <f t="shared" si="10"/>
        <v>1</v>
      </c>
      <c r="Y546" s="73">
        <f t="shared" si="333"/>
        <v>0</v>
      </c>
      <c r="Z546" s="73">
        <f t="shared" si="12"/>
        <v>14490.67797</v>
      </c>
      <c r="AA546" s="73">
        <f t="shared" si="13"/>
        <v>14490.67797</v>
      </c>
      <c r="AB546" s="74">
        <f t="shared" si="14"/>
        <v>1</v>
      </c>
      <c r="AC546" s="61" t="str">
        <f t="shared" si="15"/>
        <v>0</v>
      </c>
      <c r="AD546" s="71" t="str">
        <f t="shared" si="16"/>
        <v>#DIV/0!</v>
      </c>
      <c r="AE546" s="61"/>
      <c r="AF546" s="61"/>
      <c r="AG546" s="71">
        <f t="array" ref="AG546">IFERROR(xlookup(G546,'Old Master'!T:T,'Old Master'!V:V),N546)</f>
        <v>0.1000052634</v>
      </c>
      <c r="AH546" s="73">
        <f t="shared" si="229"/>
        <v>17099</v>
      </c>
      <c r="AI546" s="73">
        <f t="shared" si="230"/>
        <v>14490.67797</v>
      </c>
      <c r="AJ546" s="72">
        <f t="shared" si="19"/>
        <v>1</v>
      </c>
      <c r="AK546" s="61"/>
      <c r="AL546" s="71">
        <f t="array" ref="AL546">iferror(if(isblank(xlookup($G546,'Old Master'!$T:$T,'Old Master'!$W:$W)),AG546,xlookup($G546,'Old Master'!$T:$T,'Old Master'!$W:$W)),AG546)</f>
        <v>0.1000052634</v>
      </c>
      <c r="AM546" s="74">
        <f t="shared" si="20"/>
        <v>0.1000052634</v>
      </c>
      <c r="AN546" s="73">
        <f t="shared" si="376"/>
        <v>17099</v>
      </c>
    </row>
    <row r="547">
      <c r="A547" s="65" t="s">
        <v>5004</v>
      </c>
      <c r="B547" s="65">
        <f t="shared" si="1"/>
        <v>48</v>
      </c>
      <c r="C547" s="65" t="str">
        <f t="shared" si="248"/>
        <v>SC-ULTM-D-84x50x8</v>
      </c>
      <c r="D547" s="65" t="s">
        <v>5266</v>
      </c>
      <c r="E547" s="65">
        <v>0.0</v>
      </c>
      <c r="F547" s="65" t="s">
        <v>5007</v>
      </c>
      <c r="G547" s="65" t="s">
        <v>5112</v>
      </c>
      <c r="H547" s="65" t="s">
        <v>52</v>
      </c>
      <c r="I547" s="65">
        <v>21699.0</v>
      </c>
      <c r="J547" s="66">
        <v>0.25</v>
      </c>
      <c r="K547" s="65">
        <f t="shared" si="3"/>
        <v>16274</v>
      </c>
      <c r="L547" s="66">
        <v>0.22</v>
      </c>
      <c r="M547" s="65">
        <f t="shared" si="4"/>
        <v>16925</v>
      </c>
      <c r="N547" s="67">
        <f t="shared" si="352"/>
        <v>0.1000046085</v>
      </c>
      <c r="O547" s="68">
        <v>19529.0</v>
      </c>
      <c r="P547" s="67">
        <f t="shared" si="358"/>
        <v>0.1000046085</v>
      </c>
      <c r="Q547" s="69">
        <v>19529.0</v>
      </c>
      <c r="R547" s="70"/>
      <c r="S547" s="71">
        <f t="shared" si="375"/>
        <v>0.1538552437</v>
      </c>
      <c r="T547" s="72">
        <f t="shared" si="6"/>
        <v>0</v>
      </c>
      <c r="U547" s="73" t="str">
        <f t="shared" si="377"/>
        <v/>
      </c>
      <c r="V547" s="73">
        <f t="shared" si="340"/>
        <v>14343.22034</v>
      </c>
      <c r="W547" s="73">
        <f t="shared" si="9"/>
        <v>14343.22034</v>
      </c>
      <c r="X547" s="74">
        <f t="shared" si="10"/>
        <v>1</v>
      </c>
      <c r="Y547" s="73">
        <f t="shared" si="333"/>
        <v>0</v>
      </c>
      <c r="Z547" s="73">
        <f t="shared" si="12"/>
        <v>16550</v>
      </c>
      <c r="AA547" s="73">
        <f t="shared" si="13"/>
        <v>16550</v>
      </c>
      <c r="AB547" s="74">
        <f t="shared" si="14"/>
        <v>1</v>
      </c>
      <c r="AC547" s="61" t="str">
        <f t="shared" si="15"/>
        <v>8</v>
      </c>
      <c r="AD547" s="71" t="str">
        <f t="shared" si="16"/>
        <v>#DIV/0!</v>
      </c>
      <c r="AE547" s="61"/>
      <c r="AF547" s="61"/>
      <c r="AG547" s="71">
        <f t="array" ref="AG547">IFERROR(xlookup(G547,'Old Master'!T:T,'Old Master'!V:V),N547)</f>
        <v>0.1000046085</v>
      </c>
      <c r="AH547" s="73">
        <f t="shared" si="229"/>
        <v>19529</v>
      </c>
      <c r="AI547" s="73">
        <f t="shared" si="230"/>
        <v>16550</v>
      </c>
      <c r="AJ547" s="72">
        <f t="shared" si="19"/>
        <v>1</v>
      </c>
      <c r="AK547" s="61"/>
      <c r="AL547" s="71">
        <f t="array" ref="AL547">iferror(if(isblank(xlookup($G547,'Old Master'!$T:$T,'Old Master'!$W:$W)),AG547,xlookup($G547,'Old Master'!$T:$T,'Old Master'!$W:$W)),AG547)</f>
        <v>0.1000046085</v>
      </c>
      <c r="AM547" s="74">
        <f t="shared" si="20"/>
        <v>0.1013871607</v>
      </c>
      <c r="AN547" s="73">
        <f t="shared" si="376"/>
        <v>19499</v>
      </c>
    </row>
    <row r="548">
      <c r="A548" s="65" t="s">
        <v>1673</v>
      </c>
      <c r="B548" s="65">
        <f t="shared" si="1"/>
        <v>72</v>
      </c>
      <c r="C548" s="65" t="str">
        <f t="shared" si="248"/>
        <v>SC-ULTM-K-84x74x10</v>
      </c>
      <c r="D548" s="65" t="s">
        <v>1675</v>
      </c>
      <c r="E548" s="65">
        <v>0.0</v>
      </c>
      <c r="F548" s="65">
        <v>0.0</v>
      </c>
      <c r="G548" s="65" t="s">
        <v>5112</v>
      </c>
      <c r="H548" s="65" t="s">
        <v>52</v>
      </c>
      <c r="I548" s="65">
        <v>32999.0</v>
      </c>
      <c r="J548" s="66">
        <v>0.25</v>
      </c>
      <c r="K548" s="65">
        <f t="shared" si="3"/>
        <v>24749</v>
      </c>
      <c r="L548" s="66">
        <v>0.22</v>
      </c>
      <c r="M548" s="65">
        <f t="shared" si="4"/>
        <v>25739</v>
      </c>
      <c r="N548" s="67">
        <f t="shared" si="352"/>
        <v>0.1000030304</v>
      </c>
      <c r="O548" s="68">
        <v>29699.0</v>
      </c>
      <c r="P548" s="67">
        <f t="shared" si="358"/>
        <v>0.1000030304</v>
      </c>
      <c r="Q548" s="69">
        <v>29699.0</v>
      </c>
      <c r="R548" s="70"/>
      <c r="S548" s="71">
        <f t="shared" si="375"/>
        <v>0.153852131</v>
      </c>
      <c r="T548" s="72">
        <f t="shared" si="6"/>
        <v>0</v>
      </c>
      <c r="U548" s="73" t="str">
        <f t="shared" si="377"/>
        <v/>
      </c>
      <c r="V548" s="73">
        <f t="shared" si="340"/>
        <v>21812.71186</v>
      </c>
      <c r="W548" s="73">
        <f t="shared" si="9"/>
        <v>21812.71186</v>
      </c>
      <c r="X548" s="74">
        <f t="shared" si="10"/>
        <v>1</v>
      </c>
      <c r="Y548" s="73">
        <f t="shared" si="333"/>
        <v>0</v>
      </c>
      <c r="Z548" s="73">
        <f t="shared" si="12"/>
        <v>25168.64407</v>
      </c>
      <c r="AA548" s="73">
        <f t="shared" si="13"/>
        <v>25168.64407</v>
      </c>
      <c r="AB548" s="74">
        <f t="shared" si="14"/>
        <v>1</v>
      </c>
      <c r="AC548" s="61" t="str">
        <f t="shared" si="15"/>
        <v>0</v>
      </c>
      <c r="AD548" s="71" t="str">
        <f t="shared" si="16"/>
        <v>#DIV/0!</v>
      </c>
      <c r="AE548" s="61"/>
      <c r="AF548" s="61"/>
      <c r="AG548" s="71">
        <f t="array" ref="AG548">IFERROR(xlookup(G548,'Old Master'!T:T,'Old Master'!V:V),N548)</f>
        <v>0.1000030304</v>
      </c>
      <c r="AH548" s="73">
        <f t="shared" si="229"/>
        <v>29699</v>
      </c>
      <c r="AI548" s="73">
        <f t="shared" si="230"/>
        <v>25168.64407</v>
      </c>
      <c r="AJ548" s="72">
        <f t="shared" si="19"/>
        <v>1</v>
      </c>
      <c r="AK548" s="61"/>
      <c r="AL548" s="71">
        <f t="array" ref="AL548">iferror(if(isblank(xlookup($G548,'Old Master'!$T:$T,'Old Master'!$W:$W)),AG548,xlookup($G548,'Old Master'!$T:$T,'Old Master'!$W:$W)),AG548)</f>
        <v>0.1000030304</v>
      </c>
      <c r="AM548" s="74">
        <f t="shared" si="20"/>
        <v>0.1000030304</v>
      </c>
      <c r="AN548" s="73">
        <f t="shared" si="376"/>
        <v>29699</v>
      </c>
    </row>
    <row r="549">
      <c r="A549" s="65" t="s">
        <v>1525</v>
      </c>
      <c r="B549" s="65">
        <f t="shared" si="1"/>
        <v>30</v>
      </c>
      <c r="C549" s="65" t="str">
        <f t="shared" si="248"/>
        <v>SC-ULTM-S-78x32x8</v>
      </c>
      <c r="D549" s="65" t="s">
        <v>1527</v>
      </c>
      <c r="E549" s="65">
        <v>0.0</v>
      </c>
      <c r="F549" s="65" t="s">
        <v>1528</v>
      </c>
      <c r="G549" s="65" t="s">
        <v>5112</v>
      </c>
      <c r="H549" s="65" t="s">
        <v>52</v>
      </c>
      <c r="I549" s="65">
        <v>13999.0</v>
      </c>
      <c r="J549" s="66">
        <v>0.25</v>
      </c>
      <c r="K549" s="65">
        <f t="shared" si="3"/>
        <v>10499</v>
      </c>
      <c r="L549" s="66">
        <v>0.22</v>
      </c>
      <c r="M549" s="65">
        <f t="shared" si="4"/>
        <v>10919</v>
      </c>
      <c r="N549" s="67">
        <f t="shared" si="352"/>
        <v>0.1000071434</v>
      </c>
      <c r="O549" s="68">
        <v>12599.0</v>
      </c>
      <c r="P549" s="67">
        <f t="shared" si="358"/>
        <v>0.1000071434</v>
      </c>
      <c r="Q549" s="69">
        <v>12599.0</v>
      </c>
      <c r="R549" s="70"/>
      <c r="S549" s="71">
        <f t="shared" si="375"/>
        <v>0.1538602436</v>
      </c>
      <c r="T549" s="72">
        <f t="shared" si="6"/>
        <v>0</v>
      </c>
      <c r="U549" s="73" t="str">
        <f t="shared" si="377"/>
        <v/>
      </c>
      <c r="V549" s="73">
        <f t="shared" si="340"/>
        <v>9253.389831</v>
      </c>
      <c r="W549" s="73">
        <f t="shared" si="9"/>
        <v>9253.389831</v>
      </c>
      <c r="X549" s="74">
        <f t="shared" si="10"/>
        <v>1</v>
      </c>
      <c r="Y549" s="73">
        <f t="shared" si="333"/>
        <v>0</v>
      </c>
      <c r="Z549" s="73">
        <f t="shared" si="12"/>
        <v>10677.11864</v>
      </c>
      <c r="AA549" s="73">
        <f t="shared" si="13"/>
        <v>10677.11864</v>
      </c>
      <c r="AB549" s="74">
        <f t="shared" si="14"/>
        <v>1</v>
      </c>
      <c r="AC549" s="61" t="str">
        <f t="shared" si="15"/>
        <v>8</v>
      </c>
      <c r="AD549" s="71" t="str">
        <f t="shared" si="16"/>
        <v>#DIV/0!</v>
      </c>
      <c r="AE549" s="61"/>
      <c r="AF549" s="61"/>
      <c r="AG549" s="71">
        <f t="array" ref="AG549">IFERROR(xlookup(G549,'Old Master'!T:T,'Old Master'!V:V),N549)</f>
        <v>0.1000071434</v>
      </c>
      <c r="AH549" s="73">
        <f t="shared" si="229"/>
        <v>12599</v>
      </c>
      <c r="AI549" s="73">
        <f t="shared" si="230"/>
        <v>10677.11864</v>
      </c>
      <c r="AJ549" s="72">
        <f t="shared" si="19"/>
        <v>1</v>
      </c>
      <c r="AK549" s="61"/>
      <c r="AL549" s="71">
        <f t="array" ref="AL549">iferror(if(isblank(xlookup($G549,'Old Master'!$T:$T,'Old Master'!$W:$W)),AG549,xlookup($G549,'Old Master'!$T:$T,'Old Master'!$W:$W)),AG549)</f>
        <v>0.1000071434</v>
      </c>
      <c r="AM549" s="74">
        <f t="shared" si="20"/>
        <v>0.1000071434</v>
      </c>
      <c r="AN549" s="73">
        <f t="shared" si="376"/>
        <v>12599</v>
      </c>
    </row>
    <row r="550">
      <c r="A550" s="65" t="s">
        <v>1629</v>
      </c>
      <c r="B550" s="65">
        <f t="shared" si="1"/>
        <v>66</v>
      </c>
      <c r="C550" s="65" t="str">
        <f t="shared" si="248"/>
        <v>SC-ULTM-Q-84x68x10</v>
      </c>
      <c r="D550" s="65">
        <v>0.0</v>
      </c>
      <c r="E550" s="65">
        <v>0.0</v>
      </c>
      <c r="F550" s="65" t="s">
        <v>1630</v>
      </c>
      <c r="G550" s="65" t="s">
        <v>5112</v>
      </c>
      <c r="H550" s="65" t="s">
        <v>52</v>
      </c>
      <c r="I550" s="65">
        <v>32999.0</v>
      </c>
      <c r="J550" s="66">
        <v>0.0</v>
      </c>
      <c r="K550" s="65">
        <f t="shared" si="3"/>
        <v>32999</v>
      </c>
      <c r="L550" s="66">
        <v>0.0</v>
      </c>
      <c r="M550" s="65">
        <f t="shared" si="4"/>
        <v>32999</v>
      </c>
      <c r="N550" s="67">
        <f t="shared" si="352"/>
        <v>0.1000030304</v>
      </c>
      <c r="O550" s="68">
        <v>29699.0</v>
      </c>
      <c r="P550" s="67">
        <f t="shared" si="358"/>
        <v>0.1000030304</v>
      </c>
      <c r="Q550" s="69">
        <v>29699.0</v>
      </c>
      <c r="R550" s="70"/>
      <c r="S550" s="71">
        <f t="shared" si="375"/>
        <v>-0.1000030304</v>
      </c>
      <c r="T550" s="72">
        <f t="shared" si="6"/>
        <v>0</v>
      </c>
      <c r="U550" s="73">
        <f t="array" ref="U550">IFERROR(XLOOKUP(A550,COGS!I:I,COGS!J:J), IFERROR(XLOOKUP(C550,COGS!I:I,COGS!J:J),I550*35%))</f>
        <v>11549.65</v>
      </c>
      <c r="V550" s="73">
        <f t="shared" si="340"/>
        <v>27965.25424</v>
      </c>
      <c r="W550" s="73">
        <f t="shared" si="9"/>
        <v>16415.60424</v>
      </c>
      <c r="X550" s="74">
        <f t="shared" si="10"/>
        <v>0.587</v>
      </c>
      <c r="Y550" s="73">
        <f t="shared" si="333"/>
        <v>13282.0975</v>
      </c>
      <c r="Z550" s="73">
        <f t="shared" si="12"/>
        <v>25168.64407</v>
      </c>
      <c r="AA550" s="73">
        <f t="shared" si="13"/>
        <v>11886.54657</v>
      </c>
      <c r="AB550" s="74">
        <f t="shared" si="14"/>
        <v>0.4722760009</v>
      </c>
      <c r="AC550" s="61" t="str">
        <f t="shared" si="15"/>
        <v>0</v>
      </c>
      <c r="AD550" s="71">
        <f t="shared" si="16"/>
        <v>0.15</v>
      </c>
      <c r="AE550" s="61"/>
      <c r="AF550" s="61"/>
      <c r="AG550" s="71">
        <f t="array" ref="AG550">IFERROR(xlookup(G550,'Old Master'!T:T,'Old Master'!V:V),N550)</f>
        <v>0.1000030304</v>
      </c>
      <c r="AH550" s="73">
        <f t="shared" si="229"/>
        <v>29699</v>
      </c>
      <c r="AI550" s="73">
        <f t="shared" si="230"/>
        <v>11886.54657</v>
      </c>
      <c r="AJ550" s="72">
        <f t="shared" si="19"/>
        <v>0.4722760009</v>
      </c>
      <c r="AK550" s="61"/>
      <c r="AL550" s="71">
        <f t="array" ref="AL550">iferror(if(isblank(xlookup($G550,'Old Master'!$T:$T,'Old Master'!$W:$W)),AG550,xlookup($G550,'Old Master'!$T:$T,'Old Master'!$W:$W)),AG550)</f>
        <v>0.1000030304</v>
      </c>
      <c r="AM550" s="74">
        <f t="shared" si="20"/>
        <v>0.1000030304</v>
      </c>
      <c r="AN550" s="73">
        <f t="shared" si="376"/>
        <v>29699</v>
      </c>
    </row>
    <row r="551">
      <c r="A551" s="65" t="s">
        <v>4888</v>
      </c>
      <c r="B551" s="65" t="str">
        <f t="shared" si="1"/>
        <v>#VALUE!</v>
      </c>
      <c r="C551" s="65" t="str">
        <f t="shared" si="248"/>
        <v>#VALUE!</v>
      </c>
      <c r="D551" s="65" t="s">
        <v>5265</v>
      </c>
      <c r="E551" s="65">
        <v>0.0</v>
      </c>
      <c r="F551" s="65">
        <v>0.0</v>
      </c>
      <c r="G551" s="65" t="s">
        <v>5146</v>
      </c>
      <c r="H551" s="65" t="s">
        <v>5114</v>
      </c>
      <c r="I551" s="65">
        <v>27999.0</v>
      </c>
      <c r="J551" s="66">
        <v>0.2</v>
      </c>
      <c r="K551" s="65">
        <f t="shared" si="3"/>
        <v>22399</v>
      </c>
      <c r="L551" s="66">
        <v>0.15000535733419051</v>
      </c>
      <c r="M551" s="65">
        <f t="shared" si="4"/>
        <v>23799</v>
      </c>
      <c r="N551" s="67">
        <f t="shared" si="352"/>
        <v>0.1500053573</v>
      </c>
      <c r="O551" s="68">
        <v>23799.0</v>
      </c>
      <c r="P551" s="67">
        <f t="shared" si="358"/>
        <v>0.1500053573</v>
      </c>
      <c r="Q551" s="69">
        <v>23799.0</v>
      </c>
      <c r="R551" s="70"/>
      <c r="S551" s="71">
        <f>O551/K551-1</f>
        <v>0.0625027903</v>
      </c>
      <c r="T551" s="72">
        <f t="shared" si="6"/>
        <v>0</v>
      </c>
      <c r="U551" s="73" t="str">
        <f t="shared" ref="U551:U552" si="378">IFERROR(XLOOKUP(A551,COGS!I:I,COGS!J:J), IFERROR(XLOOKUP(C551,COGS!I:I,COGS!J:J),""))</f>
        <v/>
      </c>
      <c r="V551" s="73">
        <f t="shared" si="340"/>
        <v>20168.64407</v>
      </c>
      <c r="W551" s="73">
        <f t="shared" si="9"/>
        <v>20168.64407</v>
      </c>
      <c r="X551" s="74">
        <f t="shared" si="10"/>
        <v>1</v>
      </c>
      <c r="Y551" s="73">
        <f t="shared" si="333"/>
        <v>0</v>
      </c>
      <c r="Z551" s="73">
        <f t="shared" si="12"/>
        <v>20168.64407</v>
      </c>
      <c r="AA551" s="73">
        <f t="shared" si="13"/>
        <v>20168.64407</v>
      </c>
      <c r="AB551" s="74">
        <f t="shared" si="14"/>
        <v>1</v>
      </c>
      <c r="AC551" s="61" t="str">
        <f t="shared" si="15"/>
        <v>2</v>
      </c>
      <c r="AD551" s="71" t="str">
        <f t="shared" si="16"/>
        <v>#DIV/0!</v>
      </c>
      <c r="AE551" s="61"/>
      <c r="AF551" s="61"/>
      <c r="AG551" s="71">
        <f t="array" ref="AG551">IFERROR(xlookup(G551,'Old Master'!T:T,'Old Master'!V:V),N551)</f>
        <v>0.1500053573</v>
      </c>
      <c r="AH551" s="73">
        <f t="shared" si="229"/>
        <v>23799</v>
      </c>
      <c r="AI551" s="73">
        <f t="shared" si="230"/>
        <v>20168.64407</v>
      </c>
      <c r="AJ551" s="72">
        <f t="shared" si="19"/>
        <v>1</v>
      </c>
      <c r="AK551" s="61"/>
      <c r="AL551" s="71">
        <f t="array" ref="AL551">iferror(if(isblank(xlookup($G551,'Old Master'!$T:$T,'Old Master'!$W:$W)),AG551,xlookup($G551,'Old Master'!$T:$T,'Old Master'!$W:$W)),AG551)</f>
        <v>0.1500053573</v>
      </c>
      <c r="AM551" s="74">
        <f t="shared" si="20"/>
        <v>0.1500053573</v>
      </c>
      <c r="AN551" s="73">
        <f t="shared" si="376"/>
        <v>23799</v>
      </c>
    </row>
    <row r="552">
      <c r="A552" s="65" t="s">
        <v>2057</v>
      </c>
      <c r="B552" s="65">
        <f t="shared" si="1"/>
        <v>48</v>
      </c>
      <c r="C552" s="65" t="str">
        <f t="shared" si="248"/>
        <v>SC-CLD-SPR-D-75x50x8</v>
      </c>
      <c r="D552" s="65" t="s">
        <v>2059</v>
      </c>
      <c r="E552" s="65" t="s">
        <v>2060</v>
      </c>
      <c r="F552" s="65">
        <v>0.0</v>
      </c>
      <c r="G552" s="65" t="s">
        <v>5138</v>
      </c>
      <c r="H552" s="65" t="s">
        <v>52</v>
      </c>
      <c r="I552" s="65">
        <v>22999.0</v>
      </c>
      <c r="J552" s="66">
        <v>0.25</v>
      </c>
      <c r="K552" s="65">
        <f t="shared" si="3"/>
        <v>17249</v>
      </c>
      <c r="L552" s="66">
        <v>0.2</v>
      </c>
      <c r="M552" s="65">
        <f t="shared" si="4"/>
        <v>18399</v>
      </c>
      <c r="N552" s="67">
        <f t="shared" si="352"/>
        <v>0.100004348</v>
      </c>
      <c r="O552" s="68">
        <v>20699.0</v>
      </c>
      <c r="P552" s="67">
        <f t="shared" si="358"/>
        <v>0.100004348</v>
      </c>
      <c r="Q552" s="69">
        <v>20699.0</v>
      </c>
      <c r="R552" s="70"/>
      <c r="S552" s="71">
        <f>O552/M552-1</f>
        <v>0.1250067938</v>
      </c>
      <c r="T552" s="72">
        <f t="shared" si="6"/>
        <v>0</v>
      </c>
      <c r="U552" s="73" t="str">
        <f t="shared" si="378"/>
        <v/>
      </c>
      <c r="V552" s="73">
        <f t="shared" si="340"/>
        <v>15592.37288</v>
      </c>
      <c r="W552" s="73">
        <f t="shared" si="9"/>
        <v>15592.37288</v>
      </c>
      <c r="X552" s="74">
        <f t="shared" si="10"/>
        <v>1</v>
      </c>
      <c r="Y552" s="73">
        <f t="shared" si="333"/>
        <v>0</v>
      </c>
      <c r="Z552" s="73">
        <f t="shared" si="12"/>
        <v>17541.52542</v>
      </c>
      <c r="AA552" s="73">
        <f t="shared" si="13"/>
        <v>17541.52542</v>
      </c>
      <c r="AB552" s="74">
        <f t="shared" si="14"/>
        <v>1</v>
      </c>
      <c r="AC552" s="61" t="str">
        <f t="shared" si="15"/>
        <v>8</v>
      </c>
      <c r="AD552" s="71" t="str">
        <f t="shared" si="16"/>
        <v>#DIV/0!</v>
      </c>
      <c r="AE552" s="61"/>
      <c r="AF552" s="61"/>
      <c r="AG552" s="71">
        <f t="array" ref="AG552">IFERROR(xlookup(G552,'Old Master'!T:T,'Old Master'!V:V),N552)</f>
        <v>0.100004348</v>
      </c>
      <c r="AH552" s="73">
        <f t="shared" si="229"/>
        <v>20699</v>
      </c>
      <c r="AI552" s="73">
        <f t="shared" si="230"/>
        <v>17541.52542</v>
      </c>
      <c r="AJ552" s="72">
        <f t="shared" si="19"/>
        <v>1</v>
      </c>
      <c r="AK552" s="61"/>
      <c r="AL552" s="71">
        <f t="array" ref="AL552">iferror(if(isblank(xlookup($G552,'Old Master'!$T:$T,'Old Master'!$W:$W)),AG552,xlookup($G552,'Old Master'!$T:$T,'Old Master'!$W:$W)),AG552)</f>
        <v>0.100004348</v>
      </c>
      <c r="AM552" s="74">
        <f t="shared" si="20"/>
        <v>0.100004348</v>
      </c>
      <c r="AN552" s="73">
        <f t="shared" si="376"/>
        <v>20699</v>
      </c>
    </row>
    <row r="553">
      <c r="A553" s="65" t="s">
        <v>4819</v>
      </c>
      <c r="B553" s="65" t="str">
        <f t="shared" si="1"/>
        <v>#VALUE!</v>
      </c>
      <c r="C553" s="65" t="str">
        <f t="shared" si="248"/>
        <v>#VALUE!</v>
      </c>
      <c r="D553" s="65" t="s">
        <v>4819</v>
      </c>
      <c r="E553" s="65">
        <v>0.0</v>
      </c>
      <c r="F553" s="65">
        <v>0.0</v>
      </c>
      <c r="G553" s="65" t="s">
        <v>5084</v>
      </c>
      <c r="H553" s="65" t="s">
        <v>1145</v>
      </c>
      <c r="I553" s="65">
        <v>6999.0</v>
      </c>
      <c r="J553" s="66">
        <v>0.49</v>
      </c>
      <c r="K553" s="65">
        <f t="shared" si="3"/>
        <v>3569</v>
      </c>
      <c r="L553" s="66">
        <v>0.49</v>
      </c>
      <c r="M553" s="65">
        <f t="shared" si="4"/>
        <v>3569</v>
      </c>
      <c r="N553" s="77">
        <f t="shared" si="352"/>
        <v>0.471495928</v>
      </c>
      <c r="O553" s="78">
        <v>3699.0</v>
      </c>
      <c r="P553" s="67">
        <f t="shared" si="358"/>
        <v>0.471495928</v>
      </c>
      <c r="Q553" s="79">
        <v>3699.0</v>
      </c>
      <c r="R553" s="70"/>
      <c r="S553" s="71">
        <f t="shared" ref="S553:S587" si="379">O553/K553-1</f>
        <v>0.03642476884</v>
      </c>
      <c r="T553" s="72">
        <f t="shared" si="6"/>
        <v>0</v>
      </c>
      <c r="U553" s="73">
        <f t="shared" ref="U553:U555" si="380">IFERROR(XLOOKUP(A553,COGS!I:I,COGS!J:J), IFERROR(XLOOKUP(C553,COGS!I:I,COGS!J:J),I553*35%))</f>
        <v>2449.65</v>
      </c>
      <c r="V553" s="73">
        <f t="shared" si="340"/>
        <v>3024.576271</v>
      </c>
      <c r="W553" s="73">
        <f t="shared" si="9"/>
        <v>574.9262712</v>
      </c>
      <c r="X553" s="74">
        <f t="shared" si="10"/>
        <v>0.1900848977</v>
      </c>
      <c r="Y553" s="73">
        <f t="shared" si="333"/>
        <v>2817.0975</v>
      </c>
      <c r="Z553" s="73">
        <f t="shared" si="12"/>
        <v>3134.745763</v>
      </c>
      <c r="AA553" s="73">
        <f t="shared" si="13"/>
        <v>317.6482627</v>
      </c>
      <c r="AB553" s="74">
        <f t="shared" si="14"/>
        <v>0.1013314274</v>
      </c>
      <c r="AC553" s="61" t="str">
        <f t="shared" si="15"/>
        <v>6</v>
      </c>
      <c r="AD553" s="71">
        <f t="shared" si="16"/>
        <v>0.15</v>
      </c>
      <c r="AE553" s="61"/>
      <c r="AF553" s="61"/>
      <c r="AG553" s="71">
        <f t="array" ref="AG553">IFERROR(xlookup(G553,'Old Master'!T:T,'Old Master'!V:V),N553)</f>
        <v>0.471495928</v>
      </c>
      <c r="AH553" s="73">
        <f t="shared" si="229"/>
        <v>3699</v>
      </c>
      <c r="AI553" s="73">
        <f t="shared" si="230"/>
        <v>317.6482627</v>
      </c>
      <c r="AJ553" s="72">
        <f t="shared" si="19"/>
        <v>0.1013314274</v>
      </c>
      <c r="AK553" s="61"/>
      <c r="AL553" s="71">
        <f t="shared" ref="AL553:AL555" si="381">(I553-AN553)/I553</f>
        <v>0.471495928</v>
      </c>
      <c r="AM553" s="74">
        <f t="shared" si="20"/>
        <v>0.471495928</v>
      </c>
      <c r="AN553" s="73">
        <v>3699.0</v>
      </c>
    </row>
    <row r="554">
      <c r="A554" s="65" t="s">
        <v>4822</v>
      </c>
      <c r="B554" s="65" t="str">
        <f t="shared" si="1"/>
        <v>#VALUE!</v>
      </c>
      <c r="C554" s="65" t="str">
        <f t="shared" si="248"/>
        <v>#VALUE!</v>
      </c>
      <c r="D554" s="65" t="s">
        <v>4824</v>
      </c>
      <c r="E554" s="65">
        <v>0.0</v>
      </c>
      <c r="F554" s="65">
        <v>0.0</v>
      </c>
      <c r="G554" s="65" t="s">
        <v>5084</v>
      </c>
      <c r="H554" s="65" t="s">
        <v>1145</v>
      </c>
      <c r="I554" s="65">
        <v>10999.0</v>
      </c>
      <c r="J554" s="66">
        <v>0.3</v>
      </c>
      <c r="K554" s="65">
        <f t="shared" si="3"/>
        <v>7699</v>
      </c>
      <c r="L554" s="66">
        <v>0.3</v>
      </c>
      <c r="M554" s="65">
        <f t="shared" si="4"/>
        <v>7699</v>
      </c>
      <c r="N554" s="77">
        <f t="shared" si="352"/>
        <v>0.2909355396</v>
      </c>
      <c r="O554" s="78">
        <v>7799.0</v>
      </c>
      <c r="P554" s="67">
        <f t="shared" si="358"/>
        <v>0.2909355396</v>
      </c>
      <c r="Q554" s="79">
        <v>7799.0</v>
      </c>
      <c r="R554" s="70"/>
      <c r="S554" s="71">
        <f t="shared" si="379"/>
        <v>0.01298869983</v>
      </c>
      <c r="T554" s="72">
        <f t="shared" si="6"/>
        <v>0</v>
      </c>
      <c r="U554" s="73">
        <f t="shared" si="380"/>
        <v>3849.65</v>
      </c>
      <c r="V554" s="73">
        <f t="shared" si="340"/>
        <v>6524.576271</v>
      </c>
      <c r="W554" s="73">
        <f t="shared" si="9"/>
        <v>2674.926271</v>
      </c>
      <c r="X554" s="74">
        <f t="shared" si="10"/>
        <v>0.40997701</v>
      </c>
      <c r="Y554" s="73">
        <f t="shared" si="333"/>
        <v>4427.0975</v>
      </c>
      <c r="Z554" s="73">
        <f t="shared" si="12"/>
        <v>6609.322034</v>
      </c>
      <c r="AA554" s="73">
        <f t="shared" si="13"/>
        <v>2182.224534</v>
      </c>
      <c r="AB554" s="74">
        <f t="shared" si="14"/>
        <v>0.3301737338</v>
      </c>
      <c r="AC554" s="61" t="str">
        <f t="shared" si="15"/>
        <v>6</v>
      </c>
      <c r="AD554" s="71">
        <f t="shared" si="16"/>
        <v>0.15</v>
      </c>
      <c r="AE554" s="61"/>
      <c r="AF554" s="61"/>
      <c r="AG554" s="71">
        <f t="array" ref="AG554">IFERROR(xlookup(G554,'Old Master'!T:T,'Old Master'!V:V),N554)</f>
        <v>0.2909355396</v>
      </c>
      <c r="AH554" s="73">
        <f t="shared" si="229"/>
        <v>7799</v>
      </c>
      <c r="AI554" s="73">
        <f t="shared" si="230"/>
        <v>2182.224534</v>
      </c>
      <c r="AJ554" s="72">
        <f t="shared" si="19"/>
        <v>0.3301737338</v>
      </c>
      <c r="AK554" s="61"/>
      <c r="AL554" s="71">
        <f t="shared" si="381"/>
        <v>0.2909355396</v>
      </c>
      <c r="AM554" s="74">
        <f t="shared" si="20"/>
        <v>0.2909355396</v>
      </c>
      <c r="AN554" s="73">
        <v>7799.0</v>
      </c>
    </row>
    <row r="555">
      <c r="A555" s="65" t="s">
        <v>4816</v>
      </c>
      <c r="B555" s="65" t="str">
        <f t="shared" si="1"/>
        <v>#VALUE!</v>
      </c>
      <c r="C555" s="65" t="str">
        <f t="shared" si="248"/>
        <v>#VALUE!</v>
      </c>
      <c r="D555" s="65" t="s">
        <v>4816</v>
      </c>
      <c r="E555" s="65">
        <v>0.0</v>
      </c>
      <c r="F555" s="65">
        <v>0.0</v>
      </c>
      <c r="G555" s="65" t="s">
        <v>5083</v>
      </c>
      <c r="H555" s="65" t="s">
        <v>1145</v>
      </c>
      <c r="I555" s="65">
        <v>10999.0</v>
      </c>
      <c r="J555" s="66">
        <v>0.3</v>
      </c>
      <c r="K555" s="65">
        <f t="shared" si="3"/>
        <v>7699</v>
      </c>
      <c r="L555" s="66">
        <v>0.25</v>
      </c>
      <c r="M555" s="65">
        <f t="shared" si="4"/>
        <v>8249</v>
      </c>
      <c r="N555" s="77">
        <f t="shared" si="352"/>
        <v>0.1818347122</v>
      </c>
      <c r="O555" s="78">
        <v>8999.0</v>
      </c>
      <c r="P555" s="67">
        <f t="shared" si="358"/>
        <v>0.1818347122</v>
      </c>
      <c r="Q555" s="79">
        <v>8999.0</v>
      </c>
      <c r="R555" s="70"/>
      <c r="S555" s="71">
        <f t="shared" si="379"/>
        <v>0.1688530978</v>
      </c>
      <c r="T555" s="72">
        <f t="shared" si="6"/>
        <v>0</v>
      </c>
      <c r="U555" s="73">
        <f t="shared" si="380"/>
        <v>3849.65</v>
      </c>
      <c r="V555" s="73">
        <f t="shared" si="340"/>
        <v>6990.677966</v>
      </c>
      <c r="W555" s="73">
        <f t="shared" si="9"/>
        <v>3141.027966</v>
      </c>
      <c r="X555" s="74">
        <f t="shared" si="10"/>
        <v>0.4493166444</v>
      </c>
      <c r="Y555" s="73">
        <f t="shared" si="333"/>
        <v>4427.0975</v>
      </c>
      <c r="Z555" s="73">
        <f t="shared" si="12"/>
        <v>7626.271186</v>
      </c>
      <c r="AA555" s="73">
        <f t="shared" si="13"/>
        <v>3199.173686</v>
      </c>
      <c r="AB555" s="74">
        <f t="shared" si="14"/>
        <v>0.4194938271</v>
      </c>
      <c r="AC555" s="61" t="str">
        <f t="shared" si="15"/>
        <v>6</v>
      </c>
      <c r="AD555" s="71">
        <f t="shared" si="16"/>
        <v>0.15</v>
      </c>
      <c r="AE555" s="61"/>
      <c r="AF555" s="61"/>
      <c r="AG555" s="71">
        <f t="array" ref="AG555">IFERROR(xlookup(G555,'Old Master'!T:T,'Old Master'!V:V),N555)</f>
        <v>0.1818347122</v>
      </c>
      <c r="AH555" s="73">
        <f t="shared" si="229"/>
        <v>8999</v>
      </c>
      <c r="AI555" s="73">
        <f t="shared" si="230"/>
        <v>3199.173686</v>
      </c>
      <c r="AJ555" s="72">
        <f t="shared" si="19"/>
        <v>0.4194938271</v>
      </c>
      <c r="AK555" s="61"/>
      <c r="AL555" s="71">
        <f t="shared" si="381"/>
        <v>0.1818347122</v>
      </c>
      <c r="AM555" s="74">
        <f t="shared" si="20"/>
        <v>0.1818347122</v>
      </c>
      <c r="AN555" s="80">
        <v>8999.0</v>
      </c>
    </row>
    <row r="556">
      <c r="A556" s="65" t="s">
        <v>2963</v>
      </c>
      <c r="B556" s="65" t="str">
        <f t="shared" si="1"/>
        <v>#VALUE!</v>
      </c>
      <c r="C556" s="65" t="str">
        <f t="shared" si="248"/>
        <v>#VALUE!</v>
      </c>
      <c r="D556" s="65" t="s">
        <v>2965</v>
      </c>
      <c r="E556" s="65" t="s">
        <v>2966</v>
      </c>
      <c r="F556" s="65" t="s">
        <v>2967</v>
      </c>
      <c r="G556" s="65" t="s">
        <v>5088</v>
      </c>
      <c r="H556" s="65" t="s">
        <v>4730</v>
      </c>
      <c r="I556" s="65">
        <v>2089.0</v>
      </c>
      <c r="J556" s="66">
        <v>0.28243178554332216</v>
      </c>
      <c r="K556" s="65">
        <f t="shared" si="3"/>
        <v>1499</v>
      </c>
      <c r="L556" s="66">
        <v>0.15</v>
      </c>
      <c r="M556" s="65">
        <f t="shared" si="4"/>
        <v>1776</v>
      </c>
      <c r="N556" s="67">
        <f t="shared" si="352"/>
        <v>0.0909526089</v>
      </c>
      <c r="O556" s="68">
        <v>1899.0</v>
      </c>
      <c r="P556" s="67">
        <f t="shared" si="358"/>
        <v>0.0909526089</v>
      </c>
      <c r="Q556" s="69">
        <v>1899.0</v>
      </c>
      <c r="R556" s="70"/>
      <c r="S556" s="71">
        <f t="shared" si="379"/>
        <v>0.266844563</v>
      </c>
      <c r="T556" s="72">
        <f t="shared" si="6"/>
        <v>0</v>
      </c>
      <c r="U556" s="73" t="str">
        <f t="shared" ref="U556:U560" si="382">IFERROR(XLOOKUP(A556,COGS!I:I,COGS!J:J), IFERROR(XLOOKUP(C556,COGS!I:I,COGS!J:J),""))</f>
        <v/>
      </c>
      <c r="V556" s="73">
        <f t="shared" si="340"/>
        <v>1505.084746</v>
      </c>
      <c r="W556" s="73">
        <f t="shared" si="9"/>
        <v>1505.084746</v>
      </c>
      <c r="X556" s="74">
        <f t="shared" si="10"/>
        <v>1</v>
      </c>
      <c r="Y556" s="73">
        <f t="shared" si="333"/>
        <v>0</v>
      </c>
      <c r="Z556" s="73">
        <f t="shared" si="12"/>
        <v>1609.322034</v>
      </c>
      <c r="AA556" s="73">
        <f t="shared" si="13"/>
        <v>1609.322034</v>
      </c>
      <c r="AB556" s="74">
        <f t="shared" si="14"/>
        <v>1</v>
      </c>
      <c r="AC556" s="61" t="str">
        <f t="shared" si="15"/>
        <v>0</v>
      </c>
      <c r="AD556" s="71" t="str">
        <f t="shared" si="16"/>
        <v>#DIV/0!</v>
      </c>
      <c r="AE556" s="61"/>
      <c r="AF556" s="61"/>
      <c r="AG556" s="71">
        <f t="array" ref="AG556">IFERROR(xlookup(G556,'Old Master'!T:T,'Old Master'!V:V),N556)</f>
        <v>0.0909526089</v>
      </c>
      <c r="AH556" s="73">
        <f t="shared" si="229"/>
        <v>1899</v>
      </c>
      <c r="AI556" s="73">
        <f t="shared" si="230"/>
        <v>1609.322034</v>
      </c>
      <c r="AJ556" s="72">
        <f t="shared" si="19"/>
        <v>1</v>
      </c>
      <c r="AK556" s="61"/>
      <c r="AL556" s="71">
        <f t="array" ref="AL556">iferror(if(isblank(xlookup($G556,'Old Master'!$T:$T,'Old Master'!$W:$W)),AG556,xlookup($G556,'Old Master'!$T:$T,'Old Master'!$W:$W)),AG556)</f>
        <v>0.0909526089</v>
      </c>
      <c r="AM556" s="74">
        <f t="shared" si="20"/>
        <v>0.0909526089</v>
      </c>
      <c r="AN556" s="73">
        <f t="shared" ref="AN556:AN557" si="383">mround($I556*(1-AL556),100)-1</f>
        <v>1899</v>
      </c>
    </row>
    <row r="557">
      <c r="A557" s="65" t="s">
        <v>4892</v>
      </c>
      <c r="B557" s="65" t="str">
        <f t="shared" si="1"/>
        <v>#VALUE!</v>
      </c>
      <c r="C557" s="65" t="str">
        <f t="shared" si="248"/>
        <v>#VALUE!</v>
      </c>
      <c r="D557" s="65" t="s">
        <v>5263</v>
      </c>
      <c r="E557" s="65">
        <v>0.0</v>
      </c>
      <c r="F557" s="65">
        <v>0.0</v>
      </c>
      <c r="G557" s="65" t="s">
        <v>5107</v>
      </c>
      <c r="H557" s="65" t="s">
        <v>4730</v>
      </c>
      <c r="I557" s="65">
        <v>2189.0</v>
      </c>
      <c r="J557" s="66">
        <v>0.2815485168426345</v>
      </c>
      <c r="K557" s="65">
        <f t="shared" si="3"/>
        <v>1573</v>
      </c>
      <c r="L557" s="66">
        <v>0.1</v>
      </c>
      <c r="M557" s="65">
        <f t="shared" si="4"/>
        <v>1970</v>
      </c>
      <c r="N557" s="67">
        <f t="shared" si="352"/>
        <v>0.1813613522</v>
      </c>
      <c r="O557" s="68">
        <v>1792.0</v>
      </c>
      <c r="P557" s="67">
        <f t="shared" si="358"/>
        <v>0.1813613522</v>
      </c>
      <c r="Q557" s="69">
        <v>1792.0</v>
      </c>
      <c r="R557" s="70"/>
      <c r="S557" s="71">
        <f t="shared" si="379"/>
        <v>0.139224412</v>
      </c>
      <c r="T557" s="72">
        <f t="shared" si="6"/>
        <v>0</v>
      </c>
      <c r="U557" s="73" t="str">
        <f t="shared" si="382"/>
        <v/>
      </c>
      <c r="V557" s="73">
        <f t="shared" si="340"/>
        <v>1669.491525</v>
      </c>
      <c r="W557" s="73">
        <f t="shared" si="9"/>
        <v>1669.491525</v>
      </c>
      <c r="X557" s="74">
        <f t="shared" si="10"/>
        <v>1</v>
      </c>
      <c r="Y557" s="73">
        <f t="shared" si="333"/>
        <v>0</v>
      </c>
      <c r="Z557" s="73">
        <f t="shared" si="12"/>
        <v>1518.644068</v>
      </c>
      <c r="AA557" s="73">
        <f t="shared" si="13"/>
        <v>1518.644068</v>
      </c>
      <c r="AB557" s="74">
        <f t="shared" si="14"/>
        <v>1</v>
      </c>
      <c r="AC557" s="61" t="str">
        <f t="shared" si="15"/>
        <v>2</v>
      </c>
      <c r="AD557" s="71" t="str">
        <f t="shared" si="16"/>
        <v>#DIV/0!</v>
      </c>
      <c r="AE557" s="61"/>
      <c r="AF557" s="61"/>
      <c r="AG557" s="71">
        <f t="array" ref="AG557">IFERROR(xlookup(G557,'Old Master'!T:T,'Old Master'!V:V),N557)</f>
        <v>0.1813613522</v>
      </c>
      <c r="AH557" s="73">
        <f t="shared" si="229"/>
        <v>1792</v>
      </c>
      <c r="AI557" s="73">
        <f t="shared" si="230"/>
        <v>1518.644068</v>
      </c>
      <c r="AJ557" s="72">
        <f t="shared" si="19"/>
        <v>1</v>
      </c>
      <c r="AK557" s="61"/>
      <c r="AL557" s="71">
        <f t="array" ref="AL557">iferror(if(isblank(xlookup($G557,'Old Master'!$T:$T,'Old Master'!$W:$W)),AG557,xlookup($G557,'Old Master'!$T:$T,'Old Master'!$W:$W)),AG557)</f>
        <v>0.1813613522</v>
      </c>
      <c r="AM557" s="74">
        <f t="shared" si="20"/>
        <v>0.178163545</v>
      </c>
      <c r="AN557" s="73">
        <f t="shared" si="383"/>
        <v>1799</v>
      </c>
    </row>
    <row r="558">
      <c r="A558" s="65" t="s">
        <v>4896</v>
      </c>
      <c r="B558" s="65" t="str">
        <f t="shared" si="1"/>
        <v>#VALUE!</v>
      </c>
      <c r="C558" s="65" t="str">
        <f t="shared" si="248"/>
        <v>#VALUE!</v>
      </c>
      <c r="D558" s="65" t="s">
        <v>5264</v>
      </c>
      <c r="E558" s="65">
        <v>0.0</v>
      </c>
      <c r="F558" s="65">
        <v>0.0</v>
      </c>
      <c r="G558" s="65" t="s">
        <v>5107</v>
      </c>
      <c r="H558" s="65" t="s">
        <v>4730</v>
      </c>
      <c r="I558" s="65">
        <v>1989.0</v>
      </c>
      <c r="J558" s="66">
        <v>0.2815485168426345</v>
      </c>
      <c r="K558" s="65">
        <f t="shared" si="3"/>
        <v>1429</v>
      </c>
      <c r="L558" s="66">
        <v>0.1</v>
      </c>
      <c r="M558" s="65">
        <f t="shared" si="4"/>
        <v>1790</v>
      </c>
      <c r="N558" s="67">
        <f t="shared" si="352"/>
        <v>0.1814982403</v>
      </c>
      <c r="O558" s="68">
        <v>1628.0</v>
      </c>
      <c r="P558" s="67">
        <f t="shared" si="358"/>
        <v>0.1814982403</v>
      </c>
      <c r="Q558" s="69">
        <v>1628.0</v>
      </c>
      <c r="R558" s="70"/>
      <c r="S558" s="71">
        <f t="shared" si="379"/>
        <v>0.1392582225</v>
      </c>
      <c r="T558" s="72">
        <f t="shared" si="6"/>
        <v>0</v>
      </c>
      <c r="U558" s="73" t="str">
        <f t="shared" si="382"/>
        <v/>
      </c>
      <c r="V558" s="73">
        <f t="shared" si="340"/>
        <v>1516.949153</v>
      </c>
      <c r="W558" s="73">
        <f t="shared" si="9"/>
        <v>1516.949153</v>
      </c>
      <c r="X558" s="74">
        <f t="shared" si="10"/>
        <v>1</v>
      </c>
      <c r="Y558" s="73">
        <f t="shared" si="333"/>
        <v>0</v>
      </c>
      <c r="Z558" s="73">
        <f t="shared" si="12"/>
        <v>1379.661017</v>
      </c>
      <c r="AA558" s="73">
        <f t="shared" si="13"/>
        <v>1379.661017</v>
      </c>
      <c r="AB558" s="74">
        <f t="shared" si="14"/>
        <v>1</v>
      </c>
      <c r="AC558" s="61" t="str">
        <f t="shared" si="15"/>
        <v>0</v>
      </c>
      <c r="AD558" s="71" t="str">
        <f t="shared" si="16"/>
        <v>#DIV/0!</v>
      </c>
      <c r="AE558" s="61"/>
      <c r="AF558" s="61"/>
      <c r="AG558" s="71">
        <f t="array" ref="AG558">IFERROR(xlookup(G558,'Old Master'!T:T,'Old Master'!V:V),N558)</f>
        <v>0.1814982403</v>
      </c>
      <c r="AH558" s="73">
        <f t="shared" si="229"/>
        <v>1628</v>
      </c>
      <c r="AI558" s="73">
        <f t="shared" si="230"/>
        <v>1379.661017</v>
      </c>
      <c r="AJ558" s="72">
        <f t="shared" si="19"/>
        <v>1</v>
      </c>
      <c r="AK558" s="61"/>
      <c r="AL558" s="71">
        <f t="array" ref="AL558">iferror(if(isblank(xlookup($G558,'Old Master'!$T:$T,'Old Master'!$W:$W)),AG558,xlookup($G558,'Old Master'!$T:$T,'Old Master'!$W:$W)),AG558)</f>
        <v>0.1814982403</v>
      </c>
      <c r="AM558" s="74">
        <f t="shared" si="20"/>
        <v>0.1814982403</v>
      </c>
      <c r="AN558" s="73">
        <f t="shared" ref="AN558:AN565" si="384">O558</f>
        <v>1628</v>
      </c>
    </row>
    <row r="559">
      <c r="A559" s="65" t="s">
        <v>4900</v>
      </c>
      <c r="B559" s="65" t="str">
        <f t="shared" si="1"/>
        <v>#VALUE!</v>
      </c>
      <c r="C559" s="65" t="str">
        <f t="shared" si="248"/>
        <v>#VALUE!</v>
      </c>
      <c r="D559" s="65" t="s">
        <v>5261</v>
      </c>
      <c r="E559" s="65">
        <v>0.0</v>
      </c>
      <c r="F559" s="65">
        <v>0.0</v>
      </c>
      <c r="G559" s="65" t="s">
        <v>5107</v>
      </c>
      <c r="H559" s="65" t="s">
        <v>4730</v>
      </c>
      <c r="I559" s="65">
        <v>1989.0</v>
      </c>
      <c r="J559" s="66">
        <v>0.2815485168426345</v>
      </c>
      <c r="K559" s="65">
        <f t="shared" si="3"/>
        <v>1429</v>
      </c>
      <c r="L559" s="66">
        <v>0.1</v>
      </c>
      <c r="M559" s="65">
        <f t="shared" si="4"/>
        <v>1790</v>
      </c>
      <c r="N559" s="67">
        <f t="shared" si="352"/>
        <v>0.1814982403</v>
      </c>
      <c r="O559" s="68">
        <v>1628.0</v>
      </c>
      <c r="P559" s="67">
        <f t="shared" si="358"/>
        <v>0.1814982403</v>
      </c>
      <c r="Q559" s="69">
        <v>1628.0</v>
      </c>
      <c r="R559" s="70"/>
      <c r="S559" s="71">
        <f t="shared" si="379"/>
        <v>0.1392582225</v>
      </c>
      <c r="T559" s="72">
        <f t="shared" si="6"/>
        <v>0</v>
      </c>
      <c r="U559" s="73" t="str">
        <f t="shared" si="382"/>
        <v/>
      </c>
      <c r="V559" s="73">
        <f t="shared" si="340"/>
        <v>1516.949153</v>
      </c>
      <c r="W559" s="73">
        <f t="shared" si="9"/>
        <v>1516.949153</v>
      </c>
      <c r="X559" s="74">
        <f t="shared" si="10"/>
        <v>1</v>
      </c>
      <c r="Y559" s="73">
        <f t="shared" si="333"/>
        <v>0</v>
      </c>
      <c r="Z559" s="73">
        <f t="shared" si="12"/>
        <v>1379.661017</v>
      </c>
      <c r="AA559" s="73">
        <f t="shared" si="13"/>
        <v>1379.661017</v>
      </c>
      <c r="AB559" s="74">
        <f t="shared" si="14"/>
        <v>1</v>
      </c>
      <c r="AC559" s="61" t="str">
        <f t="shared" si="15"/>
        <v>0</v>
      </c>
      <c r="AD559" s="71" t="str">
        <f t="shared" si="16"/>
        <v>#DIV/0!</v>
      </c>
      <c r="AE559" s="61"/>
      <c r="AF559" s="61"/>
      <c r="AG559" s="71">
        <f t="array" ref="AG559">IFERROR(xlookup(G559,'Old Master'!T:T,'Old Master'!V:V),N559)</f>
        <v>0.1814982403</v>
      </c>
      <c r="AH559" s="73">
        <f t="shared" si="229"/>
        <v>1628</v>
      </c>
      <c r="AI559" s="73">
        <f t="shared" si="230"/>
        <v>1379.661017</v>
      </c>
      <c r="AJ559" s="72">
        <f t="shared" si="19"/>
        <v>1</v>
      </c>
      <c r="AK559" s="61"/>
      <c r="AL559" s="71">
        <f t="array" ref="AL559">iferror(if(isblank(xlookup($G559,'Old Master'!$T:$T,'Old Master'!$W:$W)),AG559,xlookup($G559,'Old Master'!$T:$T,'Old Master'!$W:$W)),AG559)</f>
        <v>0.1814982403</v>
      </c>
      <c r="AM559" s="74">
        <f t="shared" si="20"/>
        <v>0.1814982403</v>
      </c>
      <c r="AN559" s="73">
        <f t="shared" si="384"/>
        <v>1628</v>
      </c>
    </row>
    <row r="560">
      <c r="A560" s="65" t="s">
        <v>2691</v>
      </c>
      <c r="B560" s="65" t="str">
        <f t="shared" si="1"/>
        <v>#VALUE!</v>
      </c>
      <c r="C560" s="65" t="str">
        <f t="shared" si="248"/>
        <v>#VALUE!</v>
      </c>
      <c r="D560" s="65" t="s">
        <v>2693</v>
      </c>
      <c r="E560" s="65" t="s">
        <v>2694</v>
      </c>
      <c r="F560" s="65" t="s">
        <v>2695</v>
      </c>
      <c r="G560" s="65" t="s">
        <v>5107</v>
      </c>
      <c r="H560" s="65" t="s">
        <v>4730</v>
      </c>
      <c r="I560" s="65">
        <v>1889.0</v>
      </c>
      <c r="J560" s="66">
        <v>0.28077753779697623</v>
      </c>
      <c r="K560" s="65">
        <f t="shared" si="3"/>
        <v>1359</v>
      </c>
      <c r="L560" s="66">
        <v>0.1</v>
      </c>
      <c r="M560" s="65">
        <f t="shared" si="4"/>
        <v>1700</v>
      </c>
      <c r="N560" s="67">
        <f t="shared" si="352"/>
        <v>0.180518793</v>
      </c>
      <c r="O560" s="68">
        <v>1548.0</v>
      </c>
      <c r="P560" s="67">
        <f t="shared" si="358"/>
        <v>0.180518793</v>
      </c>
      <c r="Q560" s="69">
        <v>1548.0</v>
      </c>
      <c r="R560" s="70"/>
      <c r="S560" s="71">
        <f t="shared" si="379"/>
        <v>0.1390728477</v>
      </c>
      <c r="T560" s="72">
        <f t="shared" si="6"/>
        <v>0</v>
      </c>
      <c r="U560" s="73" t="str">
        <f t="shared" si="382"/>
        <v/>
      </c>
      <c r="V560" s="73">
        <f t="shared" si="340"/>
        <v>1440.677966</v>
      </c>
      <c r="W560" s="73">
        <f t="shared" si="9"/>
        <v>1440.677966</v>
      </c>
      <c r="X560" s="74">
        <f t="shared" si="10"/>
        <v>1</v>
      </c>
      <c r="Y560" s="73">
        <f t="shared" si="333"/>
        <v>0</v>
      </c>
      <c r="Z560" s="73">
        <f t="shared" si="12"/>
        <v>1311.864407</v>
      </c>
      <c r="AA560" s="73">
        <f t="shared" si="13"/>
        <v>1311.864407</v>
      </c>
      <c r="AB560" s="74">
        <f t="shared" si="14"/>
        <v>1</v>
      </c>
      <c r="AC560" s="61" t="str">
        <f t="shared" si="15"/>
        <v>8</v>
      </c>
      <c r="AD560" s="71" t="str">
        <f t="shared" si="16"/>
        <v>#DIV/0!</v>
      </c>
      <c r="AE560" s="61"/>
      <c r="AF560" s="61"/>
      <c r="AG560" s="71">
        <f t="array" ref="AG560">IFERROR(xlookup(G560,'Old Master'!T:T,'Old Master'!V:V),N560)</f>
        <v>0.180518793</v>
      </c>
      <c r="AH560" s="73">
        <f t="shared" si="229"/>
        <v>1548</v>
      </c>
      <c r="AI560" s="73">
        <f t="shared" si="230"/>
        <v>1311.864407</v>
      </c>
      <c r="AJ560" s="72">
        <f t="shared" si="19"/>
        <v>1</v>
      </c>
      <c r="AK560" s="61"/>
      <c r="AL560" s="71">
        <f t="array" ref="AL560">iferror(if(isblank(xlookup($G560,'Old Master'!$T:$T,'Old Master'!$W:$W)),AG560,xlookup($G560,'Old Master'!$T:$T,'Old Master'!$W:$W)),AG560)</f>
        <v>0.180518793</v>
      </c>
      <c r="AM560" s="74">
        <f t="shared" si="20"/>
        <v>0.180518793</v>
      </c>
      <c r="AN560" s="73">
        <f t="shared" si="384"/>
        <v>1548</v>
      </c>
    </row>
    <row r="561">
      <c r="A561" s="65" t="s">
        <v>2854</v>
      </c>
      <c r="B561" s="65" t="str">
        <f t="shared" si="1"/>
        <v>#VALUE!</v>
      </c>
      <c r="C561" s="65" t="str">
        <f t="shared" si="248"/>
        <v>#VALUE!</v>
      </c>
      <c r="D561" s="65" t="s">
        <v>2856</v>
      </c>
      <c r="E561" s="65">
        <v>0.0</v>
      </c>
      <c r="F561" s="65">
        <v>0.0</v>
      </c>
      <c r="G561" s="65" t="s">
        <v>5107</v>
      </c>
      <c r="H561" s="65" t="s">
        <v>4730</v>
      </c>
      <c r="I561" s="65">
        <v>1989.0</v>
      </c>
      <c r="J561" s="66">
        <v>0.28077753779697623</v>
      </c>
      <c r="K561" s="65">
        <f t="shared" si="3"/>
        <v>1431</v>
      </c>
      <c r="L561" s="66">
        <v>0.0</v>
      </c>
      <c r="M561" s="65">
        <f t="shared" si="4"/>
        <v>1989</v>
      </c>
      <c r="N561" s="67">
        <f t="shared" si="352"/>
        <v>0.1809954751</v>
      </c>
      <c r="O561" s="68">
        <v>1629.0</v>
      </c>
      <c r="P561" s="67">
        <f t="shared" si="358"/>
        <v>0.1809954751</v>
      </c>
      <c r="Q561" s="69">
        <v>1629.0</v>
      </c>
      <c r="R561" s="70"/>
      <c r="S561" s="71">
        <f t="shared" si="379"/>
        <v>0.1383647799</v>
      </c>
      <c r="T561" s="72">
        <f t="shared" si="6"/>
        <v>0</v>
      </c>
      <c r="U561" s="73">
        <f t="shared" ref="U561:U572" si="385">IFERROR(XLOOKUP(A561,COGS!I:I,COGS!J:J), IFERROR(XLOOKUP(C561,COGS!I:I,COGS!J:J),I561*35%))</f>
        <v>696.15</v>
      </c>
      <c r="V561" s="73">
        <f t="shared" si="340"/>
        <v>1685.59322</v>
      </c>
      <c r="W561" s="73">
        <f t="shared" si="9"/>
        <v>989.4432203</v>
      </c>
      <c r="X561" s="74">
        <f t="shared" si="10"/>
        <v>0.587</v>
      </c>
      <c r="Y561" s="73">
        <f t="shared" si="333"/>
        <v>800.5725</v>
      </c>
      <c r="Z561" s="73">
        <f t="shared" si="12"/>
        <v>1380.508475</v>
      </c>
      <c r="AA561" s="73">
        <f t="shared" si="13"/>
        <v>579.9359746</v>
      </c>
      <c r="AB561" s="74">
        <f t="shared" si="14"/>
        <v>0.420088674</v>
      </c>
      <c r="AC561" s="61" t="str">
        <f t="shared" si="15"/>
        <v>8</v>
      </c>
      <c r="AD561" s="71">
        <f t="shared" si="16"/>
        <v>0.15</v>
      </c>
      <c r="AE561" s="61"/>
      <c r="AF561" s="61"/>
      <c r="AG561" s="71">
        <f t="array" ref="AG561">IFERROR(xlookup(G561,'Old Master'!T:T,'Old Master'!V:V),N561)</f>
        <v>0.1809954751</v>
      </c>
      <c r="AH561" s="73">
        <f t="shared" si="229"/>
        <v>1629</v>
      </c>
      <c r="AI561" s="73">
        <f t="shared" si="230"/>
        <v>579.9359746</v>
      </c>
      <c r="AJ561" s="72">
        <f t="shared" si="19"/>
        <v>0.420088674</v>
      </c>
      <c r="AK561" s="61"/>
      <c r="AL561" s="71">
        <f t="array" ref="AL561">iferror(if(isblank(xlookup($G561,'Old Master'!$T:$T,'Old Master'!$W:$W)),AG561,xlookup($G561,'Old Master'!$T:$T,'Old Master'!$W:$W)),AG561)</f>
        <v>0.1809954751</v>
      </c>
      <c r="AM561" s="74">
        <f t="shared" si="20"/>
        <v>0.1809954751</v>
      </c>
      <c r="AN561" s="73">
        <f t="shared" si="384"/>
        <v>1629</v>
      </c>
    </row>
    <row r="562">
      <c r="A562" s="65" t="s">
        <v>2859</v>
      </c>
      <c r="B562" s="65" t="str">
        <f t="shared" si="1"/>
        <v>#VALUE!</v>
      </c>
      <c r="C562" s="65" t="str">
        <f t="shared" si="248"/>
        <v>#VALUE!</v>
      </c>
      <c r="D562" s="65" t="s">
        <v>2861</v>
      </c>
      <c r="E562" s="65">
        <v>0.0</v>
      </c>
      <c r="F562" s="65">
        <v>0.0</v>
      </c>
      <c r="G562" s="65" t="s">
        <v>5107</v>
      </c>
      <c r="H562" s="65" t="s">
        <v>4730</v>
      </c>
      <c r="I562" s="65">
        <v>1989.0</v>
      </c>
      <c r="J562" s="66">
        <v>0.28077753779697623</v>
      </c>
      <c r="K562" s="65">
        <f t="shared" si="3"/>
        <v>1431</v>
      </c>
      <c r="L562" s="66">
        <v>0.0</v>
      </c>
      <c r="M562" s="65">
        <f t="shared" si="4"/>
        <v>1989</v>
      </c>
      <c r="N562" s="67">
        <f t="shared" si="352"/>
        <v>0.1809954751</v>
      </c>
      <c r="O562" s="68">
        <v>1629.0</v>
      </c>
      <c r="P562" s="67">
        <f t="shared" si="358"/>
        <v>0.1809954751</v>
      </c>
      <c r="Q562" s="69">
        <v>1629.0</v>
      </c>
      <c r="R562" s="70"/>
      <c r="S562" s="71">
        <f t="shared" si="379"/>
        <v>0.1383647799</v>
      </c>
      <c r="T562" s="72">
        <f t="shared" si="6"/>
        <v>0</v>
      </c>
      <c r="U562" s="73">
        <f t="shared" si="385"/>
        <v>696.15</v>
      </c>
      <c r="V562" s="73">
        <f t="shared" si="340"/>
        <v>1685.59322</v>
      </c>
      <c r="W562" s="73">
        <f t="shared" si="9"/>
        <v>989.4432203</v>
      </c>
      <c r="X562" s="74">
        <f t="shared" si="10"/>
        <v>0.587</v>
      </c>
      <c r="Y562" s="73">
        <f t="shared" si="333"/>
        <v>800.5725</v>
      </c>
      <c r="Z562" s="73">
        <f t="shared" si="12"/>
        <v>1380.508475</v>
      </c>
      <c r="AA562" s="73">
        <f t="shared" si="13"/>
        <v>579.9359746</v>
      </c>
      <c r="AB562" s="74">
        <f t="shared" si="14"/>
        <v>0.420088674</v>
      </c>
      <c r="AC562" s="61" t="str">
        <f t="shared" si="15"/>
        <v>8</v>
      </c>
      <c r="AD562" s="71">
        <f t="shared" si="16"/>
        <v>0.15</v>
      </c>
      <c r="AE562" s="61"/>
      <c r="AF562" s="61"/>
      <c r="AG562" s="71">
        <f t="array" ref="AG562">IFERROR(xlookup(G562,'Old Master'!T:T,'Old Master'!V:V),N562)</f>
        <v>0.1809954751</v>
      </c>
      <c r="AH562" s="73">
        <f t="shared" si="229"/>
        <v>1629</v>
      </c>
      <c r="AI562" s="73">
        <f t="shared" si="230"/>
        <v>579.9359746</v>
      </c>
      <c r="AJ562" s="72">
        <f t="shared" si="19"/>
        <v>0.420088674</v>
      </c>
      <c r="AK562" s="61"/>
      <c r="AL562" s="71">
        <f t="array" ref="AL562">iferror(if(isblank(xlookup($G562,'Old Master'!$T:$T,'Old Master'!$W:$W)),AG562,xlookup($G562,'Old Master'!$T:$T,'Old Master'!$W:$W)),AG562)</f>
        <v>0.1809954751</v>
      </c>
      <c r="AM562" s="74">
        <f t="shared" si="20"/>
        <v>0.1809954751</v>
      </c>
      <c r="AN562" s="73">
        <f t="shared" si="384"/>
        <v>1629</v>
      </c>
    </row>
    <row r="563">
      <c r="A563" s="65" t="s">
        <v>2864</v>
      </c>
      <c r="B563" s="65" t="str">
        <f t="shared" si="1"/>
        <v>#VALUE!</v>
      </c>
      <c r="C563" s="65" t="str">
        <f t="shared" si="248"/>
        <v>#VALUE!</v>
      </c>
      <c r="D563" s="65" t="s">
        <v>2866</v>
      </c>
      <c r="E563" s="65">
        <v>0.0</v>
      </c>
      <c r="F563" s="65">
        <v>0.0</v>
      </c>
      <c r="G563" s="65" t="s">
        <v>5107</v>
      </c>
      <c r="H563" s="65" t="s">
        <v>4730</v>
      </c>
      <c r="I563" s="65">
        <v>1989.0</v>
      </c>
      <c r="J563" s="66">
        <v>0.28077753779697623</v>
      </c>
      <c r="K563" s="65">
        <f t="shared" si="3"/>
        <v>1431</v>
      </c>
      <c r="L563" s="66">
        <v>0.0</v>
      </c>
      <c r="M563" s="65">
        <f t="shared" si="4"/>
        <v>1989</v>
      </c>
      <c r="N563" s="67">
        <f t="shared" si="352"/>
        <v>0.1809954751</v>
      </c>
      <c r="O563" s="68">
        <v>1629.0</v>
      </c>
      <c r="P563" s="67">
        <f t="shared" si="358"/>
        <v>0.1809954751</v>
      </c>
      <c r="Q563" s="69">
        <v>1629.0</v>
      </c>
      <c r="R563" s="70"/>
      <c r="S563" s="71">
        <f t="shared" si="379"/>
        <v>0.1383647799</v>
      </c>
      <c r="T563" s="72">
        <f t="shared" si="6"/>
        <v>0</v>
      </c>
      <c r="U563" s="73">
        <f t="shared" si="385"/>
        <v>696.15</v>
      </c>
      <c r="V563" s="73">
        <f t="shared" si="340"/>
        <v>1685.59322</v>
      </c>
      <c r="W563" s="73">
        <f t="shared" si="9"/>
        <v>989.4432203</v>
      </c>
      <c r="X563" s="74">
        <f t="shared" si="10"/>
        <v>0.587</v>
      </c>
      <c r="Y563" s="73">
        <f t="shared" si="333"/>
        <v>800.5725</v>
      </c>
      <c r="Z563" s="73">
        <f t="shared" si="12"/>
        <v>1380.508475</v>
      </c>
      <c r="AA563" s="73">
        <f t="shared" si="13"/>
        <v>579.9359746</v>
      </c>
      <c r="AB563" s="74">
        <f t="shared" si="14"/>
        <v>0.420088674</v>
      </c>
      <c r="AC563" s="61" t="str">
        <f t="shared" si="15"/>
        <v>8</v>
      </c>
      <c r="AD563" s="71">
        <f t="shared" si="16"/>
        <v>0.15</v>
      </c>
      <c r="AE563" s="61"/>
      <c r="AF563" s="61"/>
      <c r="AG563" s="71">
        <f t="array" ref="AG563">IFERROR(xlookup(G563,'Old Master'!T:T,'Old Master'!V:V),N563)</f>
        <v>0.1809954751</v>
      </c>
      <c r="AH563" s="73">
        <f t="shared" si="229"/>
        <v>1629</v>
      </c>
      <c r="AI563" s="73">
        <f t="shared" si="230"/>
        <v>579.9359746</v>
      </c>
      <c r="AJ563" s="72">
        <f t="shared" si="19"/>
        <v>0.420088674</v>
      </c>
      <c r="AK563" s="61"/>
      <c r="AL563" s="71">
        <f t="array" ref="AL563">iferror(if(isblank(xlookup($G563,'Old Master'!$T:$T,'Old Master'!$W:$W)),AG563,xlookup($G563,'Old Master'!$T:$T,'Old Master'!$W:$W)),AG563)</f>
        <v>0.1809954751</v>
      </c>
      <c r="AM563" s="74">
        <f t="shared" si="20"/>
        <v>0.1809954751</v>
      </c>
      <c r="AN563" s="73">
        <f t="shared" si="384"/>
        <v>1629</v>
      </c>
    </row>
    <row r="564">
      <c r="A564" s="65" t="s">
        <v>2797</v>
      </c>
      <c r="B564" s="65" t="str">
        <f t="shared" si="1"/>
        <v>#VALUE!</v>
      </c>
      <c r="C564" s="65" t="str">
        <f t="shared" si="248"/>
        <v>#VALUE!</v>
      </c>
      <c r="D564" s="65" t="s">
        <v>2799</v>
      </c>
      <c r="E564" s="65">
        <v>0.0</v>
      </c>
      <c r="F564" s="65">
        <v>0.0</v>
      </c>
      <c r="G564" s="65" t="s">
        <v>5107</v>
      </c>
      <c r="H564" s="65" t="s">
        <v>4730</v>
      </c>
      <c r="I564" s="65">
        <v>2489.0</v>
      </c>
      <c r="J564" s="66">
        <v>0.28077753779697623</v>
      </c>
      <c r="K564" s="65">
        <f t="shared" si="3"/>
        <v>1790</v>
      </c>
      <c r="L564" s="66">
        <v>0.0</v>
      </c>
      <c r="M564" s="65">
        <f t="shared" si="4"/>
        <v>2489</v>
      </c>
      <c r="N564" s="67">
        <f t="shared" si="352"/>
        <v>0.1807955002</v>
      </c>
      <c r="O564" s="68">
        <v>2039.0</v>
      </c>
      <c r="P564" s="67">
        <f t="shared" si="358"/>
        <v>0.1807955002</v>
      </c>
      <c r="Q564" s="69">
        <v>2039.0</v>
      </c>
      <c r="R564" s="70"/>
      <c r="S564" s="71">
        <f t="shared" si="379"/>
        <v>0.1391061453</v>
      </c>
      <c r="T564" s="72">
        <f t="shared" si="6"/>
        <v>0</v>
      </c>
      <c r="U564" s="73">
        <f t="shared" si="385"/>
        <v>871.15</v>
      </c>
      <c r="V564" s="73">
        <f t="shared" si="340"/>
        <v>2109.322034</v>
      </c>
      <c r="W564" s="73">
        <f t="shared" si="9"/>
        <v>1238.172034</v>
      </c>
      <c r="X564" s="74">
        <f t="shared" si="10"/>
        <v>0.587</v>
      </c>
      <c r="Y564" s="73">
        <f t="shared" si="333"/>
        <v>1001.8225</v>
      </c>
      <c r="Z564" s="73">
        <f t="shared" si="12"/>
        <v>1727.966102</v>
      </c>
      <c r="AA564" s="73">
        <f t="shared" si="13"/>
        <v>726.1436017</v>
      </c>
      <c r="AB564" s="74">
        <f t="shared" si="14"/>
        <v>0.4202302354</v>
      </c>
      <c r="AC564" s="61" t="str">
        <f t="shared" si="15"/>
        <v>2</v>
      </c>
      <c r="AD564" s="71">
        <f t="shared" si="16"/>
        <v>0.15</v>
      </c>
      <c r="AE564" s="61"/>
      <c r="AF564" s="61"/>
      <c r="AG564" s="71">
        <f t="array" ref="AG564">IFERROR(xlookup(G564,'Old Master'!T:T,'Old Master'!V:V),N564)</f>
        <v>0.1807955002</v>
      </c>
      <c r="AH564" s="73">
        <f t="shared" si="229"/>
        <v>2039</v>
      </c>
      <c r="AI564" s="73">
        <f t="shared" si="230"/>
        <v>726.1436017</v>
      </c>
      <c r="AJ564" s="72">
        <f t="shared" si="19"/>
        <v>0.4202302354</v>
      </c>
      <c r="AK564" s="61"/>
      <c r="AL564" s="71">
        <f t="array" ref="AL564">iferror(if(isblank(xlookup($G564,'Old Master'!$T:$T,'Old Master'!$W:$W)),AG564,xlookup($G564,'Old Master'!$T:$T,'Old Master'!$W:$W)),AG564)</f>
        <v>0.1807955002</v>
      </c>
      <c r="AM564" s="74">
        <f t="shared" si="20"/>
        <v>0.1807955002</v>
      </c>
      <c r="AN564" s="73">
        <f t="shared" si="384"/>
        <v>2039</v>
      </c>
    </row>
    <row r="565">
      <c r="A565" s="65" t="s">
        <v>2849</v>
      </c>
      <c r="B565" s="65" t="str">
        <f t="shared" si="1"/>
        <v>#VALUE!</v>
      </c>
      <c r="C565" s="65" t="str">
        <f t="shared" si="248"/>
        <v>#VALUE!</v>
      </c>
      <c r="D565" s="65" t="s">
        <v>2851</v>
      </c>
      <c r="E565" s="65">
        <v>0.0</v>
      </c>
      <c r="F565" s="65">
        <v>0.0</v>
      </c>
      <c r="G565" s="65" t="s">
        <v>5107</v>
      </c>
      <c r="H565" s="65" t="s">
        <v>4730</v>
      </c>
      <c r="I565" s="65">
        <v>2489.0</v>
      </c>
      <c r="J565" s="66">
        <v>0.28077753779697623</v>
      </c>
      <c r="K565" s="65">
        <f t="shared" si="3"/>
        <v>1790</v>
      </c>
      <c r="L565" s="66">
        <v>0.0</v>
      </c>
      <c r="M565" s="65">
        <f t="shared" si="4"/>
        <v>2489</v>
      </c>
      <c r="N565" s="67">
        <f t="shared" si="352"/>
        <v>0.1807955002</v>
      </c>
      <c r="O565" s="68">
        <v>2039.0</v>
      </c>
      <c r="P565" s="67">
        <f t="shared" si="358"/>
        <v>0.1807955002</v>
      </c>
      <c r="Q565" s="69">
        <v>2039.0</v>
      </c>
      <c r="R565" s="70"/>
      <c r="S565" s="71">
        <f t="shared" si="379"/>
        <v>0.1391061453</v>
      </c>
      <c r="T565" s="72">
        <f t="shared" si="6"/>
        <v>0</v>
      </c>
      <c r="U565" s="73">
        <f t="shared" si="385"/>
        <v>871.15</v>
      </c>
      <c r="V565" s="73">
        <f t="shared" si="340"/>
        <v>2109.322034</v>
      </c>
      <c r="W565" s="73">
        <f t="shared" si="9"/>
        <v>1238.172034</v>
      </c>
      <c r="X565" s="74">
        <f t="shared" si="10"/>
        <v>0.587</v>
      </c>
      <c r="Y565" s="73">
        <f t="shared" si="333"/>
        <v>1001.8225</v>
      </c>
      <c r="Z565" s="73">
        <f t="shared" si="12"/>
        <v>1727.966102</v>
      </c>
      <c r="AA565" s="73">
        <f t="shared" si="13"/>
        <v>726.1436017</v>
      </c>
      <c r="AB565" s="74">
        <f t="shared" si="14"/>
        <v>0.4202302354</v>
      </c>
      <c r="AC565" s="61" t="str">
        <f t="shared" si="15"/>
        <v>2</v>
      </c>
      <c r="AD565" s="71">
        <f t="shared" si="16"/>
        <v>0.15</v>
      </c>
      <c r="AE565" s="61"/>
      <c r="AF565" s="61"/>
      <c r="AG565" s="71">
        <f t="array" ref="AG565">IFERROR(xlookup(G565,'Old Master'!T:T,'Old Master'!V:V),N565)</f>
        <v>0.1807955002</v>
      </c>
      <c r="AH565" s="73">
        <f t="shared" si="229"/>
        <v>2039</v>
      </c>
      <c r="AI565" s="73">
        <f t="shared" si="230"/>
        <v>726.1436017</v>
      </c>
      <c r="AJ565" s="72">
        <f t="shared" si="19"/>
        <v>0.4202302354</v>
      </c>
      <c r="AK565" s="61"/>
      <c r="AL565" s="71">
        <f t="array" ref="AL565">iferror(if(isblank(xlookup($G565,'Old Master'!$T:$T,'Old Master'!$W:$W)),AG565,xlookup($G565,'Old Master'!$T:$T,'Old Master'!$W:$W)),AG565)</f>
        <v>0.1807955002</v>
      </c>
      <c r="AM565" s="74">
        <f t="shared" si="20"/>
        <v>0.1807955002</v>
      </c>
      <c r="AN565" s="73">
        <f t="shared" si="384"/>
        <v>2039</v>
      </c>
    </row>
    <row r="566">
      <c r="A566" s="65" t="s">
        <v>2869</v>
      </c>
      <c r="B566" s="65" t="str">
        <f t="shared" si="1"/>
        <v>#VALUE!</v>
      </c>
      <c r="C566" s="65" t="str">
        <f t="shared" si="248"/>
        <v>#VALUE!</v>
      </c>
      <c r="D566" s="65" t="s">
        <v>2871</v>
      </c>
      <c r="E566" s="65">
        <v>0.0</v>
      </c>
      <c r="F566" s="65">
        <v>0.0</v>
      </c>
      <c r="G566" s="65" t="s">
        <v>5107</v>
      </c>
      <c r="H566" s="65" t="s">
        <v>4730</v>
      </c>
      <c r="I566" s="65">
        <v>2289.0</v>
      </c>
      <c r="J566" s="66">
        <v>0.28077753779697623</v>
      </c>
      <c r="K566" s="65">
        <f t="shared" si="3"/>
        <v>1646</v>
      </c>
      <c r="L566" s="66">
        <v>0.0</v>
      </c>
      <c r="M566" s="65">
        <f t="shared" si="4"/>
        <v>2289</v>
      </c>
      <c r="N566" s="67">
        <f t="shared" si="352"/>
        <v>0.1808650066</v>
      </c>
      <c r="O566" s="68">
        <v>1875.0</v>
      </c>
      <c r="P566" s="67">
        <f t="shared" si="358"/>
        <v>0.1808650066</v>
      </c>
      <c r="Q566" s="69">
        <v>1875.0</v>
      </c>
      <c r="R566" s="70"/>
      <c r="S566" s="71">
        <f t="shared" si="379"/>
        <v>0.1391251519</v>
      </c>
      <c r="T566" s="72">
        <f t="shared" si="6"/>
        <v>0</v>
      </c>
      <c r="U566" s="73">
        <f t="shared" si="385"/>
        <v>801.15</v>
      </c>
      <c r="V566" s="73">
        <f t="shared" si="340"/>
        <v>1939.830508</v>
      </c>
      <c r="W566" s="73">
        <f t="shared" si="9"/>
        <v>1138.680508</v>
      </c>
      <c r="X566" s="74">
        <f t="shared" si="10"/>
        <v>0.587</v>
      </c>
      <c r="Y566" s="73">
        <f t="shared" si="333"/>
        <v>921.3225</v>
      </c>
      <c r="Z566" s="73">
        <f t="shared" si="12"/>
        <v>1588.983051</v>
      </c>
      <c r="AA566" s="73">
        <f t="shared" si="13"/>
        <v>667.6605508</v>
      </c>
      <c r="AB566" s="74">
        <f t="shared" si="14"/>
        <v>0.42018104</v>
      </c>
      <c r="AC566" s="61" t="str">
        <f t="shared" si="15"/>
        <v>0</v>
      </c>
      <c r="AD566" s="71">
        <f t="shared" si="16"/>
        <v>0.15</v>
      </c>
      <c r="AE566" s="61"/>
      <c r="AF566" s="61"/>
      <c r="AG566" s="71">
        <f t="array" ref="AG566">IFERROR(xlookup(G566,'Old Master'!T:T,'Old Master'!V:V),N566)</f>
        <v>0.1808650066</v>
      </c>
      <c r="AH566" s="73">
        <f t="shared" si="229"/>
        <v>1875</v>
      </c>
      <c r="AI566" s="73">
        <f t="shared" si="230"/>
        <v>667.6605508</v>
      </c>
      <c r="AJ566" s="72">
        <f t="shared" si="19"/>
        <v>0.42018104</v>
      </c>
      <c r="AK566" s="61"/>
      <c r="AL566" s="71">
        <f t="array" ref="AL566">iferror(if(isblank(xlookup($G566,'Old Master'!$T:$T,'Old Master'!$W:$W)),AG566,xlookup($G566,'Old Master'!$T:$T,'Old Master'!$W:$W)),AG566)</f>
        <v>0.1808650066</v>
      </c>
      <c r="AM566" s="74">
        <f t="shared" si="20"/>
        <v>0.1703800786</v>
      </c>
      <c r="AN566" s="73">
        <f t="shared" ref="AN566:AN568" si="386">mround($I566*(1-AL566),100)-1</f>
        <v>1899</v>
      </c>
    </row>
    <row r="567">
      <c r="A567" s="65" t="s">
        <v>2874</v>
      </c>
      <c r="B567" s="65" t="str">
        <f t="shared" si="1"/>
        <v>#VALUE!</v>
      </c>
      <c r="C567" s="65" t="str">
        <f t="shared" si="248"/>
        <v>#VALUE!</v>
      </c>
      <c r="D567" s="65" t="s">
        <v>2876</v>
      </c>
      <c r="E567" s="65">
        <v>0.0</v>
      </c>
      <c r="F567" s="65">
        <v>0.0</v>
      </c>
      <c r="G567" s="65" t="s">
        <v>5107</v>
      </c>
      <c r="H567" s="65" t="s">
        <v>4730</v>
      </c>
      <c r="I567" s="65">
        <v>2289.0</v>
      </c>
      <c r="J567" s="66">
        <v>0.28077753779697623</v>
      </c>
      <c r="K567" s="65">
        <f t="shared" si="3"/>
        <v>1646</v>
      </c>
      <c r="L567" s="66">
        <v>0.0</v>
      </c>
      <c r="M567" s="65">
        <f t="shared" si="4"/>
        <v>2289</v>
      </c>
      <c r="N567" s="67">
        <f t="shared" si="352"/>
        <v>0.1808650066</v>
      </c>
      <c r="O567" s="68">
        <v>1875.0</v>
      </c>
      <c r="P567" s="67">
        <f t="shared" si="358"/>
        <v>0.1808650066</v>
      </c>
      <c r="Q567" s="69">
        <v>1875.0</v>
      </c>
      <c r="R567" s="70"/>
      <c r="S567" s="71">
        <f t="shared" si="379"/>
        <v>0.1391251519</v>
      </c>
      <c r="T567" s="72">
        <f t="shared" si="6"/>
        <v>0</v>
      </c>
      <c r="U567" s="73">
        <f t="shared" si="385"/>
        <v>801.15</v>
      </c>
      <c r="V567" s="73">
        <f t="shared" si="340"/>
        <v>1939.830508</v>
      </c>
      <c r="W567" s="73">
        <f t="shared" si="9"/>
        <v>1138.680508</v>
      </c>
      <c r="X567" s="74">
        <f t="shared" si="10"/>
        <v>0.587</v>
      </c>
      <c r="Y567" s="73">
        <f t="shared" si="333"/>
        <v>921.3225</v>
      </c>
      <c r="Z567" s="73">
        <f t="shared" si="12"/>
        <v>1588.983051</v>
      </c>
      <c r="AA567" s="73">
        <f t="shared" si="13"/>
        <v>667.6605508</v>
      </c>
      <c r="AB567" s="74">
        <f t="shared" si="14"/>
        <v>0.42018104</v>
      </c>
      <c r="AC567" s="61" t="str">
        <f t="shared" si="15"/>
        <v>0</v>
      </c>
      <c r="AD567" s="71">
        <f t="shared" si="16"/>
        <v>0.15</v>
      </c>
      <c r="AE567" s="61"/>
      <c r="AF567" s="61"/>
      <c r="AG567" s="71">
        <f t="array" ref="AG567">IFERROR(xlookup(G567,'Old Master'!T:T,'Old Master'!V:V),N567)</f>
        <v>0.1808650066</v>
      </c>
      <c r="AH567" s="73">
        <f t="shared" si="229"/>
        <v>1875</v>
      </c>
      <c r="AI567" s="73">
        <f t="shared" si="230"/>
        <v>667.6605508</v>
      </c>
      <c r="AJ567" s="72">
        <f t="shared" si="19"/>
        <v>0.42018104</v>
      </c>
      <c r="AK567" s="61"/>
      <c r="AL567" s="71">
        <f t="array" ref="AL567">iferror(if(isblank(xlookup($G567,'Old Master'!$T:$T,'Old Master'!$W:$W)),AG567,xlookup($G567,'Old Master'!$T:$T,'Old Master'!$W:$W)),AG567)</f>
        <v>0.1808650066</v>
      </c>
      <c r="AM567" s="74">
        <f t="shared" si="20"/>
        <v>0.1703800786</v>
      </c>
      <c r="AN567" s="73">
        <f t="shared" si="386"/>
        <v>1899</v>
      </c>
    </row>
    <row r="568">
      <c r="A568" s="65" t="s">
        <v>2879</v>
      </c>
      <c r="B568" s="65" t="str">
        <f t="shared" si="1"/>
        <v>#VALUE!</v>
      </c>
      <c r="C568" s="65" t="str">
        <f t="shared" si="248"/>
        <v>#VALUE!</v>
      </c>
      <c r="D568" s="65" t="s">
        <v>2881</v>
      </c>
      <c r="E568" s="65">
        <v>0.0</v>
      </c>
      <c r="F568" s="65">
        <v>0.0</v>
      </c>
      <c r="G568" s="65" t="s">
        <v>5107</v>
      </c>
      <c r="H568" s="65" t="s">
        <v>4730</v>
      </c>
      <c r="I568" s="65">
        <v>2289.0</v>
      </c>
      <c r="J568" s="66">
        <v>0.28077753779697623</v>
      </c>
      <c r="K568" s="65">
        <f t="shared" si="3"/>
        <v>1646</v>
      </c>
      <c r="L568" s="66">
        <v>0.0</v>
      </c>
      <c r="M568" s="65">
        <f t="shared" si="4"/>
        <v>2289</v>
      </c>
      <c r="N568" s="67">
        <f t="shared" si="352"/>
        <v>0.1808650066</v>
      </c>
      <c r="O568" s="68">
        <v>1875.0</v>
      </c>
      <c r="P568" s="67">
        <f t="shared" si="358"/>
        <v>0.1808650066</v>
      </c>
      <c r="Q568" s="69">
        <v>1875.0</v>
      </c>
      <c r="R568" s="70"/>
      <c r="S568" s="71">
        <f t="shared" si="379"/>
        <v>0.1391251519</v>
      </c>
      <c r="T568" s="72">
        <f t="shared" si="6"/>
        <v>0</v>
      </c>
      <c r="U568" s="73">
        <f t="shared" si="385"/>
        <v>801.15</v>
      </c>
      <c r="V568" s="73">
        <f t="shared" si="340"/>
        <v>1939.830508</v>
      </c>
      <c r="W568" s="73">
        <f t="shared" si="9"/>
        <v>1138.680508</v>
      </c>
      <c r="X568" s="74">
        <f t="shared" si="10"/>
        <v>0.587</v>
      </c>
      <c r="Y568" s="73">
        <f t="shared" si="333"/>
        <v>921.3225</v>
      </c>
      <c r="Z568" s="73">
        <f t="shared" si="12"/>
        <v>1588.983051</v>
      </c>
      <c r="AA568" s="73">
        <f t="shared" si="13"/>
        <v>667.6605508</v>
      </c>
      <c r="AB568" s="74">
        <f t="shared" si="14"/>
        <v>0.42018104</v>
      </c>
      <c r="AC568" s="61" t="str">
        <f t="shared" si="15"/>
        <v>0</v>
      </c>
      <c r="AD568" s="71">
        <f t="shared" si="16"/>
        <v>0.15</v>
      </c>
      <c r="AE568" s="61"/>
      <c r="AF568" s="61"/>
      <c r="AG568" s="71">
        <f t="array" ref="AG568">IFERROR(xlookup(G568,'Old Master'!T:T,'Old Master'!V:V),N568)</f>
        <v>0.1808650066</v>
      </c>
      <c r="AH568" s="73">
        <f t="shared" si="229"/>
        <v>1875</v>
      </c>
      <c r="AI568" s="73">
        <f t="shared" si="230"/>
        <v>667.6605508</v>
      </c>
      <c r="AJ568" s="72">
        <f t="shared" si="19"/>
        <v>0.42018104</v>
      </c>
      <c r="AK568" s="61"/>
      <c r="AL568" s="71">
        <f t="array" ref="AL568">iferror(if(isblank(xlookup($G568,'Old Master'!$T:$T,'Old Master'!$W:$W)),AG568,xlookup($G568,'Old Master'!$T:$T,'Old Master'!$W:$W)),AG568)</f>
        <v>0.1808650066</v>
      </c>
      <c r="AM568" s="74">
        <f t="shared" si="20"/>
        <v>0.1703800786</v>
      </c>
      <c r="AN568" s="73">
        <f t="shared" si="386"/>
        <v>1899</v>
      </c>
    </row>
    <row r="569">
      <c r="A569" s="65" t="s">
        <v>2835</v>
      </c>
      <c r="B569" s="65" t="str">
        <f t="shared" si="1"/>
        <v>#VALUE!</v>
      </c>
      <c r="C569" s="65" t="str">
        <f t="shared" si="248"/>
        <v>#VALUE!</v>
      </c>
      <c r="D569" s="65" t="s">
        <v>2837</v>
      </c>
      <c r="E569" s="65">
        <v>0.0</v>
      </c>
      <c r="F569" s="65">
        <v>0.0</v>
      </c>
      <c r="G569" s="65" t="s">
        <v>5107</v>
      </c>
      <c r="H569" s="65" t="s">
        <v>4730</v>
      </c>
      <c r="I569" s="65">
        <v>1589.0</v>
      </c>
      <c r="J569" s="66">
        <v>0.28077753779697623</v>
      </c>
      <c r="K569" s="65">
        <f t="shared" si="3"/>
        <v>1143</v>
      </c>
      <c r="L569" s="66">
        <v>0.0</v>
      </c>
      <c r="M569" s="65">
        <f t="shared" si="4"/>
        <v>1589</v>
      </c>
      <c r="N569" s="67">
        <f t="shared" si="352"/>
        <v>0.1806167401</v>
      </c>
      <c r="O569" s="68">
        <v>1302.0</v>
      </c>
      <c r="P569" s="67">
        <f t="shared" si="358"/>
        <v>0.1806167401</v>
      </c>
      <c r="Q569" s="69">
        <v>1302.0</v>
      </c>
      <c r="R569" s="70"/>
      <c r="S569" s="71">
        <f t="shared" si="379"/>
        <v>0.1391076115</v>
      </c>
      <c r="T569" s="72">
        <f t="shared" si="6"/>
        <v>0</v>
      </c>
      <c r="U569" s="73">
        <f t="shared" si="385"/>
        <v>556.15</v>
      </c>
      <c r="V569" s="73">
        <f t="shared" si="340"/>
        <v>1346.610169</v>
      </c>
      <c r="W569" s="73">
        <f t="shared" si="9"/>
        <v>790.4601695</v>
      </c>
      <c r="X569" s="74">
        <f t="shared" si="10"/>
        <v>0.587</v>
      </c>
      <c r="Y569" s="73">
        <f t="shared" si="333"/>
        <v>639.5725</v>
      </c>
      <c r="Z569" s="73">
        <f t="shared" si="12"/>
        <v>1103.389831</v>
      </c>
      <c r="AA569" s="73">
        <f t="shared" si="13"/>
        <v>463.8173305</v>
      </c>
      <c r="AB569" s="74">
        <f t="shared" si="14"/>
        <v>0.4203567204</v>
      </c>
      <c r="AC569" s="61" t="str">
        <f t="shared" si="15"/>
        <v>6</v>
      </c>
      <c r="AD569" s="71">
        <f t="shared" si="16"/>
        <v>0.15</v>
      </c>
      <c r="AE569" s="61"/>
      <c r="AF569" s="61"/>
      <c r="AG569" s="71">
        <f t="array" ref="AG569">IFERROR(xlookup(G569,'Old Master'!T:T,'Old Master'!V:V),N569)</f>
        <v>0.1806167401</v>
      </c>
      <c r="AH569" s="73">
        <f t="shared" si="229"/>
        <v>1302</v>
      </c>
      <c r="AI569" s="73">
        <f t="shared" si="230"/>
        <v>463.8173305</v>
      </c>
      <c r="AJ569" s="72">
        <f t="shared" si="19"/>
        <v>0.4203567204</v>
      </c>
      <c r="AK569" s="61"/>
      <c r="AL569" s="71">
        <f t="array" ref="AL569">iferror(if(isblank(xlookup($G569,'Old Master'!$T:$T,'Old Master'!$W:$W)),AG569,xlookup($G569,'Old Master'!$T:$T,'Old Master'!$W:$W)),AG569)</f>
        <v>0.1806167401</v>
      </c>
      <c r="AM569" s="74">
        <f t="shared" si="20"/>
        <v>0.1806167401</v>
      </c>
      <c r="AN569" s="73">
        <f t="shared" ref="AN569:AN573" si="387">O569</f>
        <v>1302</v>
      </c>
    </row>
    <row r="570">
      <c r="A570" s="65" t="s">
        <v>2844</v>
      </c>
      <c r="B570" s="65" t="str">
        <f t="shared" si="1"/>
        <v>#VALUE!</v>
      </c>
      <c r="C570" s="65" t="str">
        <f t="shared" si="248"/>
        <v>#VALUE!</v>
      </c>
      <c r="D570" s="65" t="s">
        <v>2846</v>
      </c>
      <c r="E570" s="65">
        <v>0.0</v>
      </c>
      <c r="F570" s="65">
        <v>0.0</v>
      </c>
      <c r="G570" s="65" t="s">
        <v>5107</v>
      </c>
      <c r="H570" s="65" t="s">
        <v>4730</v>
      </c>
      <c r="I570" s="65">
        <v>1589.0</v>
      </c>
      <c r="J570" s="66">
        <v>0.28077753779697623</v>
      </c>
      <c r="K570" s="65">
        <f t="shared" si="3"/>
        <v>1143</v>
      </c>
      <c r="L570" s="66">
        <v>0.0</v>
      </c>
      <c r="M570" s="65">
        <f t="shared" si="4"/>
        <v>1589</v>
      </c>
      <c r="N570" s="67">
        <f t="shared" si="352"/>
        <v>0.1806167401</v>
      </c>
      <c r="O570" s="68">
        <v>1302.0</v>
      </c>
      <c r="P570" s="67">
        <f t="shared" si="358"/>
        <v>0.1806167401</v>
      </c>
      <c r="Q570" s="69">
        <v>1302.0</v>
      </c>
      <c r="R570" s="70"/>
      <c r="S570" s="71">
        <f t="shared" si="379"/>
        <v>0.1391076115</v>
      </c>
      <c r="T570" s="72">
        <f t="shared" si="6"/>
        <v>0</v>
      </c>
      <c r="U570" s="73">
        <f t="shared" si="385"/>
        <v>556.15</v>
      </c>
      <c r="V570" s="73">
        <f t="shared" si="340"/>
        <v>1346.610169</v>
      </c>
      <c r="W570" s="73">
        <f t="shared" si="9"/>
        <v>790.4601695</v>
      </c>
      <c r="X570" s="74">
        <f t="shared" si="10"/>
        <v>0.587</v>
      </c>
      <c r="Y570" s="73">
        <f t="shared" si="333"/>
        <v>639.5725</v>
      </c>
      <c r="Z570" s="73">
        <f t="shared" si="12"/>
        <v>1103.389831</v>
      </c>
      <c r="AA570" s="73">
        <f t="shared" si="13"/>
        <v>463.8173305</v>
      </c>
      <c r="AB570" s="74">
        <f t="shared" si="14"/>
        <v>0.4203567204</v>
      </c>
      <c r="AC570" s="61" t="str">
        <f t="shared" si="15"/>
        <v>6</v>
      </c>
      <c r="AD570" s="71">
        <f t="shared" si="16"/>
        <v>0.15</v>
      </c>
      <c r="AE570" s="61"/>
      <c r="AF570" s="61"/>
      <c r="AG570" s="71">
        <f t="array" ref="AG570">IFERROR(xlookup(G570,'Old Master'!T:T,'Old Master'!V:V),N570)</f>
        <v>0.1806167401</v>
      </c>
      <c r="AH570" s="73">
        <f t="shared" si="229"/>
        <v>1302</v>
      </c>
      <c r="AI570" s="73">
        <f t="shared" si="230"/>
        <v>463.8173305</v>
      </c>
      <c r="AJ570" s="72">
        <f t="shared" si="19"/>
        <v>0.4203567204</v>
      </c>
      <c r="AK570" s="61"/>
      <c r="AL570" s="71">
        <f t="array" ref="AL570">iferror(if(isblank(xlookup($G570,'Old Master'!$T:$T,'Old Master'!$W:$W)),AG570,xlookup($G570,'Old Master'!$T:$T,'Old Master'!$W:$W)),AG570)</f>
        <v>0.1806167401</v>
      </c>
      <c r="AM570" s="74">
        <f t="shared" si="20"/>
        <v>0.1806167401</v>
      </c>
      <c r="AN570" s="73">
        <f t="shared" si="387"/>
        <v>1302</v>
      </c>
    </row>
    <row r="571">
      <c r="A571" s="65" t="s">
        <v>2817</v>
      </c>
      <c r="B571" s="65" t="str">
        <f t="shared" si="1"/>
        <v>#VALUE!</v>
      </c>
      <c r="C571" s="65" t="str">
        <f t="shared" si="248"/>
        <v>#VALUE!</v>
      </c>
      <c r="D571" s="65" t="s">
        <v>2819</v>
      </c>
      <c r="E571" s="65">
        <v>0.0</v>
      </c>
      <c r="F571" s="65">
        <v>0.0</v>
      </c>
      <c r="G571" s="65" t="s">
        <v>5107</v>
      </c>
      <c r="H571" s="65" t="s">
        <v>4730</v>
      </c>
      <c r="I571" s="65">
        <v>2489.0</v>
      </c>
      <c r="J571" s="66">
        <v>0.28077753779697623</v>
      </c>
      <c r="K571" s="65">
        <f t="shared" si="3"/>
        <v>1790</v>
      </c>
      <c r="L571" s="66">
        <v>0.0</v>
      </c>
      <c r="M571" s="65">
        <f t="shared" si="4"/>
        <v>2489</v>
      </c>
      <c r="N571" s="67">
        <f t="shared" si="352"/>
        <v>0.1807955002</v>
      </c>
      <c r="O571" s="68">
        <v>2039.0</v>
      </c>
      <c r="P571" s="67">
        <f t="shared" si="358"/>
        <v>0.1807955002</v>
      </c>
      <c r="Q571" s="69">
        <v>2039.0</v>
      </c>
      <c r="R571" s="70"/>
      <c r="S571" s="71">
        <f t="shared" si="379"/>
        <v>0.1391061453</v>
      </c>
      <c r="T571" s="72">
        <f t="shared" si="6"/>
        <v>0</v>
      </c>
      <c r="U571" s="73">
        <f t="shared" si="385"/>
        <v>871.15</v>
      </c>
      <c r="V571" s="73">
        <f t="shared" si="340"/>
        <v>2109.322034</v>
      </c>
      <c r="W571" s="73">
        <f t="shared" si="9"/>
        <v>1238.172034</v>
      </c>
      <c r="X571" s="74">
        <f t="shared" si="10"/>
        <v>0.587</v>
      </c>
      <c r="Y571" s="73">
        <f t="shared" si="333"/>
        <v>1001.8225</v>
      </c>
      <c r="Z571" s="73">
        <f t="shared" si="12"/>
        <v>1727.966102</v>
      </c>
      <c r="AA571" s="73">
        <f t="shared" si="13"/>
        <v>726.1436017</v>
      </c>
      <c r="AB571" s="74">
        <f t="shared" si="14"/>
        <v>0.4202302354</v>
      </c>
      <c r="AC571" s="61" t="str">
        <f t="shared" si="15"/>
        <v>2</v>
      </c>
      <c r="AD571" s="71">
        <f t="shared" si="16"/>
        <v>0.15</v>
      </c>
      <c r="AE571" s="61"/>
      <c r="AF571" s="61"/>
      <c r="AG571" s="71">
        <f t="array" ref="AG571">IFERROR(xlookup(G571,'Old Master'!T:T,'Old Master'!V:V),N571)</f>
        <v>0.1807955002</v>
      </c>
      <c r="AH571" s="73">
        <f t="shared" si="229"/>
        <v>2039</v>
      </c>
      <c r="AI571" s="73">
        <f t="shared" si="230"/>
        <v>726.1436017</v>
      </c>
      <c r="AJ571" s="72">
        <f t="shared" si="19"/>
        <v>0.4202302354</v>
      </c>
      <c r="AK571" s="61"/>
      <c r="AL571" s="71">
        <f t="array" ref="AL571">iferror(if(isblank(xlookup($G571,'Old Master'!$T:$T,'Old Master'!$W:$W)),AG571,xlookup($G571,'Old Master'!$T:$T,'Old Master'!$W:$W)),AG571)</f>
        <v>0.1807955002</v>
      </c>
      <c r="AM571" s="74">
        <f t="shared" si="20"/>
        <v>0.1807955002</v>
      </c>
      <c r="AN571" s="73">
        <f t="shared" si="387"/>
        <v>2039</v>
      </c>
    </row>
    <row r="572">
      <c r="A572" s="65" t="s">
        <v>2839</v>
      </c>
      <c r="B572" s="65" t="str">
        <f t="shared" si="1"/>
        <v>#VALUE!</v>
      </c>
      <c r="C572" s="65" t="str">
        <f t="shared" si="248"/>
        <v>#VALUE!</v>
      </c>
      <c r="D572" s="65" t="s">
        <v>2841</v>
      </c>
      <c r="E572" s="65">
        <v>0.0</v>
      </c>
      <c r="F572" s="65">
        <v>0.0</v>
      </c>
      <c r="G572" s="65" t="s">
        <v>5107</v>
      </c>
      <c r="H572" s="65" t="s">
        <v>4730</v>
      </c>
      <c r="I572" s="65">
        <v>1589.0</v>
      </c>
      <c r="J572" s="66">
        <v>0.0</v>
      </c>
      <c r="K572" s="65">
        <f t="shared" si="3"/>
        <v>1589</v>
      </c>
      <c r="L572" s="66">
        <v>0.0</v>
      </c>
      <c r="M572" s="65">
        <f t="shared" si="4"/>
        <v>1589</v>
      </c>
      <c r="N572" s="67">
        <f t="shared" si="352"/>
        <v>0.1806167401</v>
      </c>
      <c r="O572" s="68">
        <v>1302.0</v>
      </c>
      <c r="P572" s="67">
        <f t="shared" si="358"/>
        <v>0.1806167401</v>
      </c>
      <c r="Q572" s="69">
        <v>1302.0</v>
      </c>
      <c r="R572" s="70"/>
      <c r="S572" s="71">
        <f t="shared" si="379"/>
        <v>-0.1806167401</v>
      </c>
      <c r="T572" s="72">
        <f t="shared" si="6"/>
        <v>0</v>
      </c>
      <c r="U572" s="73">
        <f t="shared" si="385"/>
        <v>556.15</v>
      </c>
      <c r="V572" s="73">
        <f t="shared" si="340"/>
        <v>1346.610169</v>
      </c>
      <c r="W572" s="73">
        <f t="shared" si="9"/>
        <v>790.4601695</v>
      </c>
      <c r="X572" s="74">
        <f t="shared" si="10"/>
        <v>0.587</v>
      </c>
      <c r="Y572" s="73">
        <f t="shared" si="333"/>
        <v>639.5725</v>
      </c>
      <c r="Z572" s="73">
        <f t="shared" si="12"/>
        <v>1103.389831</v>
      </c>
      <c r="AA572" s="73">
        <f t="shared" si="13"/>
        <v>463.8173305</v>
      </c>
      <c r="AB572" s="74">
        <f t="shared" si="14"/>
        <v>0.4203567204</v>
      </c>
      <c r="AC572" s="61" t="str">
        <f t="shared" si="15"/>
        <v>6</v>
      </c>
      <c r="AD572" s="71">
        <f t="shared" si="16"/>
        <v>0.15</v>
      </c>
      <c r="AE572" s="61"/>
      <c r="AF572" s="61"/>
      <c r="AG572" s="71">
        <f t="array" ref="AG572">IFERROR(xlookup(G572,'Old Master'!T:T,'Old Master'!V:V),N572)</f>
        <v>0.1806167401</v>
      </c>
      <c r="AH572" s="73">
        <f t="shared" si="229"/>
        <v>1302</v>
      </c>
      <c r="AI572" s="73">
        <f t="shared" si="230"/>
        <v>463.8173305</v>
      </c>
      <c r="AJ572" s="72">
        <f t="shared" si="19"/>
        <v>0.4203567204</v>
      </c>
      <c r="AK572" s="61"/>
      <c r="AL572" s="71">
        <f t="array" ref="AL572">iferror(if(isblank(xlookup($G572,'Old Master'!$T:$T,'Old Master'!$W:$W)),AG572,xlookup($G572,'Old Master'!$T:$T,'Old Master'!$W:$W)),AG572)</f>
        <v>0.1806167401</v>
      </c>
      <c r="AM572" s="74">
        <f t="shared" si="20"/>
        <v>0.1806167401</v>
      </c>
      <c r="AN572" s="73">
        <f t="shared" si="387"/>
        <v>1302</v>
      </c>
    </row>
    <row r="573">
      <c r="A573" s="65" t="s">
        <v>3455</v>
      </c>
      <c r="B573" s="65" t="str">
        <f t="shared" si="1"/>
        <v>#VALUE!</v>
      </c>
      <c r="C573" s="65" t="str">
        <f t="shared" si="248"/>
        <v>#VALUE!</v>
      </c>
      <c r="D573" s="65" t="s">
        <v>3457</v>
      </c>
      <c r="E573" s="65">
        <v>0.0</v>
      </c>
      <c r="F573" s="65" t="s">
        <v>3459</v>
      </c>
      <c r="G573" s="65" t="s">
        <v>5078</v>
      </c>
      <c r="H573" s="65" t="s">
        <v>4730</v>
      </c>
      <c r="I573" s="65">
        <v>549.0</v>
      </c>
      <c r="J573" s="66">
        <v>0.1</v>
      </c>
      <c r="K573" s="65">
        <f t="shared" si="3"/>
        <v>494</v>
      </c>
      <c r="L573" s="66">
        <v>0.1</v>
      </c>
      <c r="M573" s="65">
        <f t="shared" si="4"/>
        <v>494</v>
      </c>
      <c r="N573" s="67">
        <f t="shared" si="352"/>
        <v>0</v>
      </c>
      <c r="O573" s="78">
        <v>549.0</v>
      </c>
      <c r="P573" s="67">
        <f t="shared" si="358"/>
        <v>0</v>
      </c>
      <c r="Q573" s="79">
        <v>549.0</v>
      </c>
      <c r="R573" s="70"/>
      <c r="S573" s="71">
        <f t="shared" si="379"/>
        <v>0.1113360324</v>
      </c>
      <c r="T573" s="72">
        <f t="shared" si="6"/>
        <v>0</v>
      </c>
      <c r="U573" s="73" t="str">
        <f t="shared" ref="U573:U575" si="388">IFERROR(XLOOKUP(A573,COGS!I:I,COGS!J:J), IFERROR(XLOOKUP(C573,COGS!I:I,COGS!J:J),""))</f>
        <v/>
      </c>
      <c r="V573" s="73">
        <f t="shared" si="340"/>
        <v>418.6440678</v>
      </c>
      <c r="W573" s="73">
        <f t="shared" si="9"/>
        <v>418.6440678</v>
      </c>
      <c r="X573" s="74">
        <f t="shared" si="10"/>
        <v>1</v>
      </c>
      <c r="Y573" s="73">
        <f t="shared" si="333"/>
        <v>0</v>
      </c>
      <c r="Z573" s="73">
        <f t="shared" si="12"/>
        <v>465.2542373</v>
      </c>
      <c r="AA573" s="73">
        <f t="shared" si="13"/>
        <v>465.2542373</v>
      </c>
      <c r="AB573" s="74">
        <f t="shared" si="14"/>
        <v>1</v>
      </c>
      <c r="AC573" s="61" t="str">
        <f t="shared" si="15"/>
        <v>0</v>
      </c>
      <c r="AD573" s="71" t="str">
        <f t="shared" si="16"/>
        <v>#DIV/0!</v>
      </c>
      <c r="AE573" s="61"/>
      <c r="AF573" s="61"/>
      <c r="AG573" s="71">
        <f t="array" ref="AG573">IFERROR(xlookup(G573,'Old Master'!T:T,'Old Master'!V:V),N573)</f>
        <v>0</v>
      </c>
      <c r="AH573" s="73">
        <f t="shared" si="229"/>
        <v>549</v>
      </c>
      <c r="AI573" s="73">
        <f t="shared" si="230"/>
        <v>465.2542373</v>
      </c>
      <c r="AJ573" s="72">
        <f t="shared" si="19"/>
        <v>1</v>
      </c>
      <c r="AK573" s="61"/>
      <c r="AL573" s="71">
        <f t="array" ref="AL573">iferror(if(isblank(xlookup($G573,'Old Master'!$T:$T,'Old Master'!$W:$W)),AG573,xlookup($G573,'Old Master'!$T:$T,'Old Master'!$W:$W)),AG573)</f>
        <v>0</v>
      </c>
      <c r="AM573" s="74">
        <f t="shared" si="20"/>
        <v>0</v>
      </c>
      <c r="AN573" s="73">
        <f t="shared" si="387"/>
        <v>549</v>
      </c>
    </row>
    <row r="574">
      <c r="A574" s="65" t="s">
        <v>3424</v>
      </c>
      <c r="B574" s="65" t="str">
        <f t="shared" si="1"/>
        <v>#VALUE!</v>
      </c>
      <c r="C574" s="65" t="str">
        <f t="shared" si="248"/>
        <v>#VALUE!</v>
      </c>
      <c r="D574" s="65" t="s">
        <v>3426</v>
      </c>
      <c r="E574" s="65" t="s">
        <v>3424</v>
      </c>
      <c r="F574" s="65">
        <v>0.0</v>
      </c>
      <c r="G574" s="65" t="s">
        <v>5078</v>
      </c>
      <c r="H574" s="65" t="s">
        <v>4730</v>
      </c>
      <c r="I574" s="65">
        <v>699.0</v>
      </c>
      <c r="J574" s="66">
        <v>0.1</v>
      </c>
      <c r="K574" s="65">
        <f t="shared" si="3"/>
        <v>629</v>
      </c>
      <c r="L574" s="66">
        <v>0.1</v>
      </c>
      <c r="M574" s="65">
        <f t="shared" si="4"/>
        <v>629</v>
      </c>
      <c r="N574" s="67">
        <f t="shared" si="352"/>
        <v>0</v>
      </c>
      <c r="O574" s="78">
        <v>699.0</v>
      </c>
      <c r="P574" s="67">
        <f t="shared" si="358"/>
        <v>0</v>
      </c>
      <c r="Q574" s="79">
        <v>699.0</v>
      </c>
      <c r="R574" s="70"/>
      <c r="S574" s="71">
        <f t="shared" si="379"/>
        <v>0.1112877583</v>
      </c>
      <c r="T574" s="72">
        <f t="shared" si="6"/>
        <v>0</v>
      </c>
      <c r="U574" s="73" t="str">
        <f t="shared" si="388"/>
        <v/>
      </c>
      <c r="V574" s="73">
        <f t="shared" si="340"/>
        <v>533.0508475</v>
      </c>
      <c r="W574" s="73">
        <f t="shared" si="9"/>
        <v>533.0508475</v>
      </c>
      <c r="X574" s="74">
        <f t="shared" si="10"/>
        <v>1</v>
      </c>
      <c r="Y574" s="73">
        <f t="shared" si="333"/>
        <v>0</v>
      </c>
      <c r="Z574" s="73">
        <f t="shared" si="12"/>
        <v>592.3728814</v>
      </c>
      <c r="AA574" s="73">
        <f t="shared" si="13"/>
        <v>592.3728814</v>
      </c>
      <c r="AB574" s="74">
        <f t="shared" si="14"/>
        <v>1</v>
      </c>
      <c r="AC574" s="61" t="str">
        <f t="shared" si="15"/>
        <v>0</v>
      </c>
      <c r="AD574" s="71" t="str">
        <f t="shared" si="16"/>
        <v>#DIV/0!</v>
      </c>
      <c r="AE574" s="61"/>
      <c r="AF574" s="61"/>
      <c r="AG574" s="71">
        <f t="array" ref="AG574">IFERROR(xlookup(G574,'Old Master'!T:T,'Old Master'!V:V),N574)</f>
        <v>0</v>
      </c>
      <c r="AH574" s="73">
        <f t="shared" si="229"/>
        <v>699</v>
      </c>
      <c r="AI574" s="73">
        <f t="shared" si="230"/>
        <v>592.3728814</v>
      </c>
      <c r="AJ574" s="72">
        <f t="shared" si="19"/>
        <v>1</v>
      </c>
      <c r="AK574" s="61"/>
      <c r="AL574" s="71">
        <f t="array" ref="AL574">iferror(if(isblank(xlookup($G574,'Old Master'!$T:$T,'Old Master'!$W:$W)),AG574,xlookup($G574,'Old Master'!$T:$T,'Old Master'!$W:$W)),AG574)</f>
        <v>0</v>
      </c>
      <c r="AM574" s="74">
        <f t="shared" si="20"/>
        <v>0</v>
      </c>
      <c r="AN574" s="73">
        <f>mround($I574*(1-AL574),100)-1</f>
        <v>699</v>
      </c>
    </row>
    <row r="575">
      <c r="A575" s="65" t="s">
        <v>3430</v>
      </c>
      <c r="B575" s="65" t="str">
        <f t="shared" si="1"/>
        <v>#VALUE!</v>
      </c>
      <c r="C575" s="65" t="str">
        <f t="shared" si="248"/>
        <v>#VALUE!</v>
      </c>
      <c r="D575" s="65" t="s">
        <v>3432</v>
      </c>
      <c r="E575" s="65" t="s">
        <v>3430</v>
      </c>
      <c r="F575" s="65">
        <v>0.0</v>
      </c>
      <c r="G575" s="65" t="s">
        <v>5078</v>
      </c>
      <c r="H575" s="65" t="s">
        <v>4730</v>
      </c>
      <c r="I575" s="65">
        <v>649.0</v>
      </c>
      <c r="J575" s="66">
        <v>0.1</v>
      </c>
      <c r="K575" s="65">
        <f t="shared" si="3"/>
        <v>584</v>
      </c>
      <c r="L575" s="66">
        <v>0.1</v>
      </c>
      <c r="M575" s="65">
        <f t="shared" si="4"/>
        <v>584</v>
      </c>
      <c r="N575" s="67">
        <f t="shared" si="352"/>
        <v>0</v>
      </c>
      <c r="O575" s="78">
        <v>649.0</v>
      </c>
      <c r="P575" s="67">
        <f t="shared" si="358"/>
        <v>0</v>
      </c>
      <c r="Q575" s="79">
        <v>649.0</v>
      </c>
      <c r="R575" s="70"/>
      <c r="S575" s="71">
        <f t="shared" si="379"/>
        <v>0.1113013699</v>
      </c>
      <c r="T575" s="72">
        <f t="shared" si="6"/>
        <v>0</v>
      </c>
      <c r="U575" s="73" t="str">
        <f t="shared" si="388"/>
        <v/>
      </c>
      <c r="V575" s="73">
        <f t="shared" si="340"/>
        <v>494.9152542</v>
      </c>
      <c r="W575" s="73">
        <f t="shared" si="9"/>
        <v>494.9152542</v>
      </c>
      <c r="X575" s="74">
        <f t="shared" si="10"/>
        <v>1</v>
      </c>
      <c r="Y575" s="73">
        <f t="shared" si="333"/>
        <v>0</v>
      </c>
      <c r="Z575" s="73">
        <f t="shared" si="12"/>
        <v>550</v>
      </c>
      <c r="AA575" s="73">
        <f t="shared" si="13"/>
        <v>550</v>
      </c>
      <c r="AB575" s="74">
        <f t="shared" si="14"/>
        <v>1</v>
      </c>
      <c r="AC575" s="61" t="str">
        <f t="shared" si="15"/>
        <v>0</v>
      </c>
      <c r="AD575" s="71" t="str">
        <f t="shared" si="16"/>
        <v>#DIV/0!</v>
      </c>
      <c r="AE575" s="61"/>
      <c r="AF575" s="61"/>
      <c r="AG575" s="71">
        <f t="array" ref="AG575">IFERROR(xlookup(G575,'Old Master'!T:T,'Old Master'!V:V),N575)</f>
        <v>0</v>
      </c>
      <c r="AH575" s="73">
        <f t="shared" si="229"/>
        <v>649</v>
      </c>
      <c r="AI575" s="73">
        <f t="shared" si="230"/>
        <v>550</v>
      </c>
      <c r="AJ575" s="72">
        <f t="shared" si="19"/>
        <v>1</v>
      </c>
      <c r="AK575" s="61"/>
      <c r="AL575" s="71">
        <f t="array" ref="AL575">iferror(if(isblank(xlookup($G575,'Old Master'!$T:$T,'Old Master'!$W:$W)),AG575,xlookup($G575,'Old Master'!$T:$T,'Old Master'!$W:$W)),AG575)</f>
        <v>0</v>
      </c>
      <c r="AM575" s="74">
        <f t="shared" si="20"/>
        <v>0</v>
      </c>
      <c r="AN575" s="73">
        <f>O575</f>
        <v>649</v>
      </c>
    </row>
    <row r="576">
      <c r="A576" s="65" t="s">
        <v>4841</v>
      </c>
      <c r="B576" s="65" t="str">
        <f t="shared" si="1"/>
        <v>#VALUE!</v>
      </c>
      <c r="C576" s="65" t="str">
        <f t="shared" si="248"/>
        <v>#VALUE!</v>
      </c>
      <c r="D576" s="65" t="s">
        <v>4843</v>
      </c>
      <c r="E576" s="65">
        <v>0.0</v>
      </c>
      <c r="F576" s="65">
        <v>0.0</v>
      </c>
      <c r="G576" s="65" t="s">
        <v>4693</v>
      </c>
      <c r="H576" s="65" t="s">
        <v>1145</v>
      </c>
      <c r="I576" s="65">
        <v>3899.0</v>
      </c>
      <c r="J576" s="66">
        <v>0.26</v>
      </c>
      <c r="K576" s="65">
        <f t="shared" si="3"/>
        <v>2885</v>
      </c>
      <c r="L576" s="66">
        <v>0.2</v>
      </c>
      <c r="M576" s="65">
        <f t="shared" si="4"/>
        <v>3119</v>
      </c>
      <c r="N576" s="77">
        <f t="shared" si="352"/>
        <v>0.1538856117</v>
      </c>
      <c r="O576" s="78">
        <v>3299.0</v>
      </c>
      <c r="P576" s="67">
        <f t="shared" si="358"/>
        <v>0.1538856117</v>
      </c>
      <c r="Q576" s="79">
        <v>3299.0</v>
      </c>
      <c r="R576" s="70"/>
      <c r="S576" s="71">
        <f t="shared" si="379"/>
        <v>0.1435008666</v>
      </c>
      <c r="T576" s="72">
        <f t="shared" si="6"/>
        <v>0</v>
      </c>
      <c r="U576" s="73">
        <f t="array" ref="U576">IFERROR(XLOOKUP(A576,COGS!I:I,COGS!J:J), IFERROR(XLOOKUP(C576,COGS!I:I,COGS!J:J),I576*35%))</f>
        <v>1364.65</v>
      </c>
      <c r="V576" s="73">
        <f t="shared" si="340"/>
        <v>2643.220339</v>
      </c>
      <c r="W576" s="73">
        <f t="shared" si="9"/>
        <v>1278.570339</v>
      </c>
      <c r="X576" s="74">
        <f t="shared" si="10"/>
        <v>0.4837168964</v>
      </c>
      <c r="Y576" s="73">
        <f t="shared" si="333"/>
        <v>1569.3475</v>
      </c>
      <c r="Z576" s="73">
        <f t="shared" si="12"/>
        <v>2795.762712</v>
      </c>
      <c r="AA576" s="73">
        <f t="shared" si="13"/>
        <v>1226.415212</v>
      </c>
      <c r="AB576" s="74">
        <f t="shared" si="14"/>
        <v>0.4386692786</v>
      </c>
      <c r="AC576" s="61" t="str">
        <f t="shared" si="15"/>
        <v>0</v>
      </c>
      <c r="AD576" s="71">
        <f t="shared" si="16"/>
        <v>0.15</v>
      </c>
      <c r="AE576" s="61"/>
      <c r="AF576" s="61"/>
      <c r="AG576" s="71">
        <f t="array" ref="AG576">IFERROR(xlookup(G576,'Old Master'!T:T,'Old Master'!V:V),N576)</f>
        <v>0.1538856117</v>
      </c>
      <c r="AH576" s="73">
        <f t="shared" si="229"/>
        <v>3299</v>
      </c>
      <c r="AI576" s="73">
        <f t="shared" si="230"/>
        <v>1226.415212</v>
      </c>
      <c r="AJ576" s="72">
        <f t="shared" si="19"/>
        <v>0.4386692786</v>
      </c>
      <c r="AK576" s="61"/>
      <c r="AL576" s="71">
        <f t="shared" ref="AL576:AL577" si="389">(I576-AN576)/I576</f>
        <v>0.1538856117</v>
      </c>
      <c r="AM576" s="74">
        <f t="shared" si="20"/>
        <v>0.1538856117</v>
      </c>
      <c r="AN576" s="73">
        <v>3299.0</v>
      </c>
    </row>
    <row r="577">
      <c r="A577" s="65" t="s">
        <v>4905</v>
      </c>
      <c r="B577" s="65" t="str">
        <f t="shared" si="1"/>
        <v>#VALUE!</v>
      </c>
      <c r="C577" s="65" t="str">
        <f t="shared" si="248"/>
        <v>#VALUE!</v>
      </c>
      <c r="D577" s="65" t="s">
        <v>5405</v>
      </c>
      <c r="E577" s="65">
        <v>0.0</v>
      </c>
      <c r="F577" s="65" t="s">
        <v>5406</v>
      </c>
      <c r="G577" s="65" t="s">
        <v>4693</v>
      </c>
      <c r="H577" s="65" t="s">
        <v>1145</v>
      </c>
      <c r="I577" s="65">
        <v>1989.0</v>
      </c>
      <c r="J577" s="66">
        <v>0.2</v>
      </c>
      <c r="K577" s="65">
        <f t="shared" si="3"/>
        <v>1591</v>
      </c>
      <c r="L577" s="66">
        <v>0.2</v>
      </c>
      <c r="M577" s="65">
        <f t="shared" si="4"/>
        <v>1591</v>
      </c>
      <c r="N577" s="77">
        <f t="shared" si="352"/>
        <v>0.1000502765</v>
      </c>
      <c r="O577" s="68">
        <v>1790.0</v>
      </c>
      <c r="P577" s="67">
        <f t="shared" si="358"/>
        <v>0.1000502765</v>
      </c>
      <c r="Q577" s="69">
        <v>1790.0</v>
      </c>
      <c r="R577" s="70"/>
      <c r="S577" s="71">
        <f t="shared" si="379"/>
        <v>0.1250785669</v>
      </c>
      <c r="T577" s="72">
        <f t="shared" si="6"/>
        <v>0</v>
      </c>
      <c r="U577" s="73" t="str">
        <f t="shared" ref="U577:U580" si="390">IFERROR(XLOOKUP(A577,COGS!I:I,COGS!J:J), IFERROR(XLOOKUP(C577,COGS!I:I,COGS!J:J),""))</f>
        <v/>
      </c>
      <c r="V577" s="73">
        <f t="shared" si="340"/>
        <v>1348.305085</v>
      </c>
      <c r="W577" s="73">
        <f t="shared" si="9"/>
        <v>1348.305085</v>
      </c>
      <c r="X577" s="74">
        <f t="shared" si="10"/>
        <v>1</v>
      </c>
      <c r="Y577" s="73">
        <f t="shared" si="333"/>
        <v>0</v>
      </c>
      <c r="Z577" s="73">
        <f t="shared" si="12"/>
        <v>1516.949153</v>
      </c>
      <c r="AA577" s="73">
        <f t="shared" si="13"/>
        <v>1516.949153</v>
      </c>
      <c r="AB577" s="74">
        <f t="shared" si="14"/>
        <v>1</v>
      </c>
      <c r="AC577" s="61" t="str">
        <f t="shared" si="15"/>
        <v>9</v>
      </c>
      <c r="AD577" s="71" t="str">
        <f t="shared" si="16"/>
        <v>#DIV/0!</v>
      </c>
      <c r="AE577" s="61"/>
      <c r="AF577" s="61"/>
      <c r="AG577" s="71">
        <f t="array" ref="AG577">IFERROR(xlookup(G577,'Old Master'!T:T,'Old Master'!V:V),N577)</f>
        <v>0.1000502765</v>
      </c>
      <c r="AH577" s="73">
        <f t="shared" si="229"/>
        <v>1790</v>
      </c>
      <c r="AI577" s="73">
        <f t="shared" si="230"/>
        <v>1516.949153</v>
      </c>
      <c r="AJ577" s="72">
        <f t="shared" si="19"/>
        <v>1</v>
      </c>
      <c r="AK577" s="61"/>
      <c r="AL577" s="71">
        <f t="shared" si="389"/>
        <v>0.1458019105</v>
      </c>
      <c r="AM577" s="74">
        <f t="shared" si="20"/>
        <v>0.1458019105</v>
      </c>
      <c r="AN577" s="73">
        <v>1699.0</v>
      </c>
    </row>
    <row r="578">
      <c r="A578" s="65" t="s">
        <v>3746</v>
      </c>
      <c r="B578" s="65" t="str">
        <f t="shared" si="1"/>
        <v>#VALUE!</v>
      </c>
      <c r="C578" s="65" t="str">
        <f t="shared" si="248"/>
        <v>#VALUE!</v>
      </c>
      <c r="D578" s="65" t="s">
        <v>3748</v>
      </c>
      <c r="E578" s="65">
        <v>0.0</v>
      </c>
      <c r="F578" s="65">
        <v>0.0</v>
      </c>
      <c r="G578" s="65" t="s">
        <v>5154</v>
      </c>
      <c r="H578" s="65" t="s">
        <v>4730</v>
      </c>
      <c r="I578" s="65">
        <v>499.0</v>
      </c>
      <c r="J578" s="66">
        <v>0.1</v>
      </c>
      <c r="K578" s="65">
        <f t="shared" si="3"/>
        <v>449</v>
      </c>
      <c r="L578" s="66">
        <v>0.15030060120240485</v>
      </c>
      <c r="M578" s="65">
        <f t="shared" si="4"/>
        <v>424</v>
      </c>
      <c r="N578" s="67">
        <f t="shared" si="352"/>
        <v>0.1002004008</v>
      </c>
      <c r="O578" s="78">
        <v>449.0</v>
      </c>
      <c r="P578" s="67">
        <f t="shared" si="358"/>
        <v>0.1002004008</v>
      </c>
      <c r="Q578" s="79">
        <v>449.0</v>
      </c>
      <c r="R578" s="70"/>
      <c r="S578" s="71">
        <f t="shared" si="379"/>
        <v>0</v>
      </c>
      <c r="T578" s="72">
        <f t="shared" si="6"/>
        <v>0</v>
      </c>
      <c r="U578" s="73" t="str">
        <f t="shared" si="390"/>
        <v/>
      </c>
      <c r="V578" s="73">
        <f t="shared" si="340"/>
        <v>359.3220339</v>
      </c>
      <c r="W578" s="73">
        <f t="shared" si="9"/>
        <v>359.3220339</v>
      </c>
      <c r="X578" s="74">
        <f t="shared" si="10"/>
        <v>1</v>
      </c>
      <c r="Y578" s="73">
        <f t="shared" si="333"/>
        <v>0</v>
      </c>
      <c r="Z578" s="73">
        <f t="shared" si="12"/>
        <v>380.5084746</v>
      </c>
      <c r="AA578" s="73">
        <f t="shared" si="13"/>
        <v>380.5084746</v>
      </c>
      <c r="AB578" s="74">
        <f t="shared" si="14"/>
        <v>1</v>
      </c>
      <c r="AC578" s="61" t="str">
        <f t="shared" si="15"/>
        <v>0</v>
      </c>
      <c r="AD578" s="71" t="str">
        <f t="shared" si="16"/>
        <v>#DIV/0!</v>
      </c>
      <c r="AE578" s="61"/>
      <c r="AF578" s="61"/>
      <c r="AG578" s="71">
        <f t="array" ref="AG578">IFERROR(xlookup(G578,'Old Master'!T:T,'Old Master'!V:V),N578)</f>
        <v>0.1002004008</v>
      </c>
      <c r="AH578" s="73">
        <f t="shared" si="229"/>
        <v>449</v>
      </c>
      <c r="AI578" s="73">
        <f t="shared" si="230"/>
        <v>380.5084746</v>
      </c>
      <c r="AJ578" s="72">
        <f t="shared" si="19"/>
        <v>1</v>
      </c>
      <c r="AK578" s="61"/>
      <c r="AL578" s="71">
        <f t="array" ref="AL578">iferror(if(isblank(xlookup($G578,'Old Master'!$T:$T,'Old Master'!$W:$W)),AG578,xlookup($G578,'Old Master'!$T:$T,'Old Master'!$W:$W)),AG578)</f>
        <v>0.1002004008</v>
      </c>
      <c r="AM578" s="74">
        <f t="shared" si="20"/>
        <v>0.1002004008</v>
      </c>
      <c r="AN578" s="73">
        <f t="shared" ref="AN578:AN579" si="391">O578</f>
        <v>449</v>
      </c>
    </row>
    <row r="579">
      <c r="A579" s="65" t="s">
        <v>3751</v>
      </c>
      <c r="B579" s="65" t="str">
        <f t="shared" si="1"/>
        <v>#VALUE!</v>
      </c>
      <c r="C579" s="65" t="str">
        <f t="shared" si="248"/>
        <v>#VALUE!</v>
      </c>
      <c r="D579" s="65" t="s">
        <v>3753</v>
      </c>
      <c r="E579" s="65">
        <v>0.0</v>
      </c>
      <c r="F579" s="65">
        <v>0.0</v>
      </c>
      <c r="G579" s="65" t="s">
        <v>5154</v>
      </c>
      <c r="H579" s="65" t="s">
        <v>4730</v>
      </c>
      <c r="I579" s="65">
        <v>499.0</v>
      </c>
      <c r="J579" s="66">
        <v>0.1</v>
      </c>
      <c r="K579" s="65">
        <f t="shared" si="3"/>
        <v>449</v>
      </c>
      <c r="L579" s="66">
        <v>0.15030060120240485</v>
      </c>
      <c r="M579" s="65">
        <f t="shared" si="4"/>
        <v>424</v>
      </c>
      <c r="N579" s="67">
        <f t="shared" si="352"/>
        <v>0.1002004008</v>
      </c>
      <c r="O579" s="78">
        <v>449.0</v>
      </c>
      <c r="P579" s="67">
        <f t="shared" si="358"/>
        <v>0.1002004008</v>
      </c>
      <c r="Q579" s="79">
        <v>449.0</v>
      </c>
      <c r="R579" s="70"/>
      <c r="S579" s="71">
        <f t="shared" si="379"/>
        <v>0</v>
      </c>
      <c r="T579" s="72">
        <f t="shared" si="6"/>
        <v>0</v>
      </c>
      <c r="U579" s="73" t="str">
        <f t="shared" si="390"/>
        <v/>
      </c>
      <c r="V579" s="73">
        <f t="shared" si="340"/>
        <v>359.3220339</v>
      </c>
      <c r="W579" s="73">
        <f t="shared" si="9"/>
        <v>359.3220339</v>
      </c>
      <c r="X579" s="74">
        <f t="shared" si="10"/>
        <v>1</v>
      </c>
      <c r="Y579" s="73">
        <f t="shared" si="333"/>
        <v>0</v>
      </c>
      <c r="Z579" s="73">
        <f t="shared" si="12"/>
        <v>380.5084746</v>
      </c>
      <c r="AA579" s="73">
        <f t="shared" si="13"/>
        <v>380.5084746</v>
      </c>
      <c r="AB579" s="74">
        <f t="shared" si="14"/>
        <v>1</v>
      </c>
      <c r="AC579" s="61" t="str">
        <f t="shared" si="15"/>
        <v>0</v>
      </c>
      <c r="AD579" s="71" t="str">
        <f t="shared" si="16"/>
        <v>#DIV/0!</v>
      </c>
      <c r="AE579" s="61"/>
      <c r="AF579" s="61"/>
      <c r="AG579" s="71">
        <f t="array" ref="AG579">IFERROR(xlookup(G579,'Old Master'!T:T,'Old Master'!V:V),N579)</f>
        <v>0.1002004008</v>
      </c>
      <c r="AH579" s="73">
        <f t="shared" si="229"/>
        <v>449</v>
      </c>
      <c r="AI579" s="73">
        <f t="shared" si="230"/>
        <v>380.5084746</v>
      </c>
      <c r="AJ579" s="72">
        <f t="shared" si="19"/>
        <v>1</v>
      </c>
      <c r="AK579" s="61"/>
      <c r="AL579" s="71">
        <f t="array" ref="AL579">iferror(if(isblank(xlookup($G579,'Old Master'!$T:$T,'Old Master'!$W:$W)),AG579,xlookup($G579,'Old Master'!$T:$T,'Old Master'!$W:$W)),AG579)</f>
        <v>0.1002004008</v>
      </c>
      <c r="AM579" s="74">
        <f t="shared" si="20"/>
        <v>0.1002004008</v>
      </c>
      <c r="AN579" s="73">
        <f t="shared" si="391"/>
        <v>449</v>
      </c>
    </row>
    <row r="580">
      <c r="A580" s="65" t="s">
        <v>3711</v>
      </c>
      <c r="B580" s="65" t="str">
        <f t="shared" si="1"/>
        <v>#VALUE!</v>
      </c>
      <c r="C580" s="65" t="str">
        <f t="shared" si="248"/>
        <v>#VALUE!</v>
      </c>
      <c r="D580" s="65" t="s">
        <v>3713</v>
      </c>
      <c r="E580" s="65" t="s">
        <v>3711</v>
      </c>
      <c r="F580" s="65" t="s">
        <v>3714</v>
      </c>
      <c r="G580" s="65" t="s">
        <v>5154</v>
      </c>
      <c r="H580" s="65" t="s">
        <v>4730</v>
      </c>
      <c r="I580" s="65">
        <v>949.0</v>
      </c>
      <c r="J580" s="66">
        <v>0.1</v>
      </c>
      <c r="K580" s="65">
        <f t="shared" si="3"/>
        <v>854</v>
      </c>
      <c r="L580" s="66">
        <v>0.1496311907270811</v>
      </c>
      <c r="M580" s="65">
        <f t="shared" si="4"/>
        <v>807</v>
      </c>
      <c r="N580" s="67">
        <f t="shared" si="352"/>
        <v>0.05268703899</v>
      </c>
      <c r="O580" s="78">
        <v>899.0</v>
      </c>
      <c r="P580" s="67">
        <f t="shared" si="358"/>
        <v>0.05268703899</v>
      </c>
      <c r="Q580" s="79">
        <v>899.0</v>
      </c>
      <c r="R580" s="70"/>
      <c r="S580" s="71">
        <f t="shared" si="379"/>
        <v>0.05269320843</v>
      </c>
      <c r="T580" s="72">
        <f t="shared" si="6"/>
        <v>0</v>
      </c>
      <c r="U580" s="73" t="str">
        <f t="shared" si="390"/>
        <v/>
      </c>
      <c r="V580" s="73">
        <f t="shared" si="340"/>
        <v>683.8983051</v>
      </c>
      <c r="W580" s="73">
        <f t="shared" si="9"/>
        <v>683.8983051</v>
      </c>
      <c r="X580" s="74">
        <f t="shared" si="10"/>
        <v>1</v>
      </c>
      <c r="Y580" s="73">
        <f t="shared" si="333"/>
        <v>0</v>
      </c>
      <c r="Z580" s="73">
        <f t="shared" si="12"/>
        <v>761.8644068</v>
      </c>
      <c r="AA580" s="73">
        <f t="shared" si="13"/>
        <v>761.8644068</v>
      </c>
      <c r="AB580" s="74">
        <f t="shared" si="14"/>
        <v>1</v>
      </c>
      <c r="AC580" s="61" t="str">
        <f t="shared" si="15"/>
        <v>0</v>
      </c>
      <c r="AD580" s="71" t="str">
        <f t="shared" si="16"/>
        <v>#DIV/0!</v>
      </c>
      <c r="AE580" s="61"/>
      <c r="AF580" s="61"/>
      <c r="AG580" s="71">
        <f t="array" ref="AG580">IFERROR(xlookup(G580,'Old Master'!T:T,'Old Master'!V:V),N580)</f>
        <v>0.05268703899</v>
      </c>
      <c r="AH580" s="73">
        <f t="shared" si="229"/>
        <v>899</v>
      </c>
      <c r="AI580" s="73">
        <f t="shared" si="230"/>
        <v>761.8644068</v>
      </c>
      <c r="AJ580" s="72">
        <f t="shared" si="19"/>
        <v>1</v>
      </c>
      <c r="AK580" s="61"/>
      <c r="AL580" s="71">
        <f t="array" ref="AL580">iferror(if(isblank(xlookup($G580,'Old Master'!$T:$T,'Old Master'!$W:$W)),AG580,xlookup($G580,'Old Master'!$T:$T,'Old Master'!$W:$W)),AG580)</f>
        <v>0.05268703899</v>
      </c>
      <c r="AM580" s="74">
        <f t="shared" si="20"/>
        <v>0.05268703899</v>
      </c>
      <c r="AN580" s="73">
        <f>mround($I580*(1-AL580),100)-1</f>
        <v>899</v>
      </c>
    </row>
    <row r="581">
      <c r="A581" s="65" t="s">
        <v>4831</v>
      </c>
      <c r="B581" s="65" t="str">
        <f t="shared" si="1"/>
        <v>#VALUE!</v>
      </c>
      <c r="C581" s="65" t="str">
        <f t="shared" si="248"/>
        <v>#VALUE!</v>
      </c>
      <c r="D581" s="65" t="s">
        <v>4833</v>
      </c>
      <c r="E581" s="65">
        <v>0.0</v>
      </c>
      <c r="F581" s="65">
        <v>0.0</v>
      </c>
      <c r="G581" s="65" t="s">
        <v>5082</v>
      </c>
      <c r="H581" s="65" t="s">
        <v>1145</v>
      </c>
      <c r="I581" s="65">
        <v>4999.0</v>
      </c>
      <c r="J581" s="66">
        <v>0.26</v>
      </c>
      <c r="K581" s="65">
        <f t="shared" si="3"/>
        <v>3699</v>
      </c>
      <c r="L581" s="66">
        <v>0.25</v>
      </c>
      <c r="M581" s="65">
        <f t="shared" si="4"/>
        <v>3749</v>
      </c>
      <c r="N581" s="77">
        <f t="shared" si="352"/>
        <v>0.1600320064</v>
      </c>
      <c r="O581" s="68">
        <v>4199.0</v>
      </c>
      <c r="P581" s="67">
        <f t="shared" si="358"/>
        <v>0.1600320064</v>
      </c>
      <c r="Q581" s="69">
        <v>4199.0</v>
      </c>
      <c r="R581" s="70"/>
      <c r="S581" s="71">
        <f t="shared" si="379"/>
        <v>0.135171668</v>
      </c>
      <c r="T581" s="72">
        <f t="shared" si="6"/>
        <v>0</v>
      </c>
      <c r="U581" s="73">
        <f t="array" ref="U581">IFERROR(XLOOKUP(A581,COGS!I:I,COGS!J:J), IFERROR(XLOOKUP(C581,COGS!I:I,COGS!J:J),I581*35%))</f>
        <v>1749.65</v>
      </c>
      <c r="V581" s="73">
        <f t="shared" si="340"/>
        <v>3177.118644</v>
      </c>
      <c r="W581" s="73">
        <f t="shared" si="9"/>
        <v>1427.468644</v>
      </c>
      <c r="X581" s="74">
        <f t="shared" si="10"/>
        <v>0.4492966124</v>
      </c>
      <c r="Y581" s="73">
        <f t="shared" si="333"/>
        <v>2012.0975</v>
      </c>
      <c r="Z581" s="73">
        <f t="shared" si="12"/>
        <v>3558.474576</v>
      </c>
      <c r="AA581" s="73">
        <f t="shared" si="13"/>
        <v>1546.377076</v>
      </c>
      <c r="AB581" s="74">
        <f t="shared" si="14"/>
        <v>0.4345617885</v>
      </c>
      <c r="AC581" s="61" t="str">
        <f t="shared" si="15"/>
        <v>5</v>
      </c>
      <c r="AD581" s="71">
        <f t="shared" si="16"/>
        <v>0.15</v>
      </c>
      <c r="AE581" s="61"/>
      <c r="AF581" s="61"/>
      <c r="AG581" s="71">
        <f t="array" ref="AG581">IFERROR(xlookup(G581,'Old Master'!T:T,'Old Master'!V:V),N581)</f>
        <v>0.1600320064</v>
      </c>
      <c r="AH581" s="73">
        <f t="shared" si="229"/>
        <v>4199</v>
      </c>
      <c r="AI581" s="73">
        <f t="shared" si="230"/>
        <v>1546.377076</v>
      </c>
      <c r="AJ581" s="72">
        <f t="shared" si="19"/>
        <v>0.4345617885</v>
      </c>
      <c r="AK581" s="61"/>
      <c r="AL581" s="71">
        <f>(I581-AN581)/I581</f>
        <v>0.1400280056</v>
      </c>
      <c r="AM581" s="74">
        <f t="shared" si="20"/>
        <v>0.1400280056</v>
      </c>
      <c r="AN581" s="73">
        <v>4299.0</v>
      </c>
    </row>
    <row r="582">
      <c r="A582" s="65" t="s">
        <v>5407</v>
      </c>
      <c r="B582" s="65" t="str">
        <f t="shared" si="1"/>
        <v>#VALUE!</v>
      </c>
      <c r="C582" s="65" t="str">
        <f t="shared" si="248"/>
        <v>#VALUE!</v>
      </c>
      <c r="D582" s="65" t="s">
        <v>3028</v>
      </c>
      <c r="E582" s="65" t="s">
        <v>3029</v>
      </c>
      <c r="F582" s="65">
        <v>0.0</v>
      </c>
      <c r="G582" s="65" t="s">
        <v>5131</v>
      </c>
      <c r="H582" s="65" t="s">
        <v>4730</v>
      </c>
      <c r="I582" s="65">
        <v>2989.0</v>
      </c>
      <c r="J582" s="66">
        <v>0.3312144529943125</v>
      </c>
      <c r="K582" s="65">
        <f t="shared" si="3"/>
        <v>1999</v>
      </c>
      <c r="L582" s="66">
        <v>0.25025092004014715</v>
      </c>
      <c r="M582" s="65">
        <f t="shared" si="4"/>
        <v>2241</v>
      </c>
      <c r="N582" s="67">
        <f t="shared" si="352"/>
        <v>0.2308464369</v>
      </c>
      <c r="O582" s="78">
        <v>2299.0</v>
      </c>
      <c r="P582" s="67">
        <f t="shared" si="358"/>
        <v>0.2308464369</v>
      </c>
      <c r="Q582" s="79">
        <v>2299.0</v>
      </c>
      <c r="R582" s="70"/>
      <c r="S582" s="71">
        <f t="shared" si="379"/>
        <v>0.1500750375</v>
      </c>
      <c r="T582" s="72">
        <f t="shared" si="6"/>
        <v>0</v>
      </c>
      <c r="U582" s="73" t="str">
        <f t="shared" ref="U582:U586" si="392">IFERROR(XLOOKUP(A582,COGS!I:I,COGS!J:J), IFERROR(XLOOKUP(C582,COGS!I:I,COGS!J:J),""))</f>
        <v/>
      </c>
      <c r="V582" s="73">
        <f t="shared" si="340"/>
        <v>1899.152542</v>
      </c>
      <c r="W582" s="73">
        <f t="shared" si="9"/>
        <v>1899.152542</v>
      </c>
      <c r="X582" s="74">
        <f t="shared" si="10"/>
        <v>1</v>
      </c>
      <c r="Y582" s="73">
        <f t="shared" si="333"/>
        <v>0</v>
      </c>
      <c r="Z582" s="73">
        <f t="shared" si="12"/>
        <v>1948.305085</v>
      </c>
      <c r="AA582" s="73">
        <f t="shared" si="13"/>
        <v>1948.305085</v>
      </c>
      <c r="AB582" s="74">
        <f t="shared" si="14"/>
        <v>1</v>
      </c>
      <c r="AC582" s="61" t="str">
        <f t="shared" si="15"/>
        <v>0</v>
      </c>
      <c r="AD582" s="71" t="str">
        <f t="shared" si="16"/>
        <v>#DIV/0!</v>
      </c>
      <c r="AE582" s="61"/>
      <c r="AF582" s="61"/>
      <c r="AG582" s="71">
        <f t="array" ref="AG582">IFERROR(xlookup(G582,'Old Master'!T:T,'Old Master'!V:V),N582)</f>
        <v>0.2308464369</v>
      </c>
      <c r="AH582" s="73">
        <f t="shared" si="229"/>
        <v>2299</v>
      </c>
      <c r="AI582" s="73">
        <f t="shared" si="230"/>
        <v>1948.305085</v>
      </c>
      <c r="AJ582" s="72">
        <f t="shared" si="19"/>
        <v>1</v>
      </c>
      <c r="AK582" s="61"/>
      <c r="AL582" s="71">
        <f t="array" ref="AL582">iferror(if(isblank(xlookup($G582,'Old Master'!$T:$T,'Old Master'!$W:$W)),AG582,xlookup($G582,'Old Master'!$T:$T,'Old Master'!$W:$W)),AG582)</f>
        <v>0.2308464369</v>
      </c>
      <c r="AM582" s="74">
        <f t="shared" si="20"/>
        <v>0.2308464369</v>
      </c>
      <c r="AN582" s="73">
        <f t="shared" ref="AN582:AN583" si="393">mround($I582*(1-AL582),100)-1</f>
        <v>2299</v>
      </c>
    </row>
    <row r="583">
      <c r="A583" s="65" t="s">
        <v>3032</v>
      </c>
      <c r="B583" s="65" t="str">
        <f t="shared" si="1"/>
        <v>#VALUE!</v>
      </c>
      <c r="C583" s="65" t="str">
        <f t="shared" si="248"/>
        <v>#VALUE!</v>
      </c>
      <c r="D583" s="65" t="s">
        <v>3034</v>
      </c>
      <c r="E583" s="65" t="s">
        <v>3035</v>
      </c>
      <c r="F583" s="65">
        <v>0.0</v>
      </c>
      <c r="G583" s="65" t="s">
        <v>5131</v>
      </c>
      <c r="H583" s="65" t="s">
        <v>4730</v>
      </c>
      <c r="I583" s="65">
        <v>2989.0</v>
      </c>
      <c r="J583" s="66">
        <v>0.3312144529943125</v>
      </c>
      <c r="K583" s="65">
        <f t="shared" si="3"/>
        <v>1999</v>
      </c>
      <c r="L583" s="66">
        <v>0.25025092004014715</v>
      </c>
      <c r="M583" s="65">
        <f t="shared" si="4"/>
        <v>2241</v>
      </c>
      <c r="N583" s="67">
        <f t="shared" si="352"/>
        <v>0.2308464369</v>
      </c>
      <c r="O583" s="78">
        <v>2299.0</v>
      </c>
      <c r="P583" s="67">
        <f t="shared" si="358"/>
        <v>0.2308464369</v>
      </c>
      <c r="Q583" s="79">
        <v>2299.0</v>
      </c>
      <c r="R583" s="70"/>
      <c r="S583" s="71">
        <f t="shared" si="379"/>
        <v>0.1500750375</v>
      </c>
      <c r="T583" s="72">
        <f t="shared" si="6"/>
        <v>0</v>
      </c>
      <c r="U583" s="73" t="str">
        <f t="shared" si="392"/>
        <v/>
      </c>
      <c r="V583" s="73">
        <f t="shared" si="340"/>
        <v>1899.152542</v>
      </c>
      <c r="W583" s="73">
        <f t="shared" si="9"/>
        <v>1899.152542</v>
      </c>
      <c r="X583" s="74">
        <f t="shared" si="10"/>
        <v>1</v>
      </c>
      <c r="Y583" s="73">
        <f t="shared" si="333"/>
        <v>0</v>
      </c>
      <c r="Z583" s="73">
        <f t="shared" si="12"/>
        <v>1948.305085</v>
      </c>
      <c r="AA583" s="73">
        <f t="shared" si="13"/>
        <v>1948.305085</v>
      </c>
      <c r="AB583" s="74">
        <f t="shared" si="14"/>
        <v>1</v>
      </c>
      <c r="AC583" s="61" t="str">
        <f t="shared" si="15"/>
        <v>0</v>
      </c>
      <c r="AD583" s="71" t="str">
        <f t="shared" si="16"/>
        <v>#DIV/0!</v>
      </c>
      <c r="AE583" s="61"/>
      <c r="AF583" s="61"/>
      <c r="AG583" s="71">
        <f t="array" ref="AG583">IFERROR(xlookup(G583,'Old Master'!T:T,'Old Master'!V:V),N583)</f>
        <v>0.2308464369</v>
      </c>
      <c r="AH583" s="73">
        <f t="shared" si="229"/>
        <v>2299</v>
      </c>
      <c r="AI583" s="73">
        <f t="shared" si="230"/>
        <v>1948.305085</v>
      </c>
      <c r="AJ583" s="72">
        <f t="shared" si="19"/>
        <v>1</v>
      </c>
      <c r="AK583" s="61"/>
      <c r="AL583" s="71">
        <f t="array" ref="AL583">iferror(if(isblank(xlookup($G583,'Old Master'!$T:$T,'Old Master'!$W:$W)),AG583,xlookup($G583,'Old Master'!$T:$T,'Old Master'!$W:$W)),AG583)</f>
        <v>0.2308464369</v>
      </c>
      <c r="AM583" s="74">
        <f t="shared" si="20"/>
        <v>0.2308464369</v>
      </c>
      <c r="AN583" s="73">
        <f t="shared" si="393"/>
        <v>2299</v>
      </c>
    </row>
    <row r="584">
      <c r="A584" s="65" t="s">
        <v>4906</v>
      </c>
      <c r="B584" s="65" t="str">
        <f t="shared" si="1"/>
        <v>#VALUE!</v>
      </c>
      <c r="C584" s="65" t="str">
        <f t="shared" si="248"/>
        <v>#VALUE!</v>
      </c>
      <c r="D584" s="65" t="s">
        <v>5262</v>
      </c>
      <c r="E584" s="65">
        <v>0.0</v>
      </c>
      <c r="F584" s="65">
        <v>0.0</v>
      </c>
      <c r="G584" s="65" t="s">
        <v>5131</v>
      </c>
      <c r="H584" s="65" t="s">
        <v>4730</v>
      </c>
      <c r="I584" s="65">
        <v>2789.0</v>
      </c>
      <c r="J584" s="66">
        <v>0.2832556471853711</v>
      </c>
      <c r="K584" s="65">
        <f t="shared" si="3"/>
        <v>1999</v>
      </c>
      <c r="L584" s="66">
        <v>0.2502689135891001</v>
      </c>
      <c r="M584" s="65">
        <f t="shared" si="4"/>
        <v>2091</v>
      </c>
      <c r="N584" s="67">
        <f t="shared" si="352"/>
        <v>0.1756902115</v>
      </c>
      <c r="O584" s="78">
        <v>2299.0</v>
      </c>
      <c r="P584" s="67">
        <f t="shared" si="358"/>
        <v>0.1756902115</v>
      </c>
      <c r="Q584" s="79">
        <v>2299.0</v>
      </c>
      <c r="R584" s="70"/>
      <c r="S584" s="71">
        <f t="shared" si="379"/>
        <v>0.1500750375</v>
      </c>
      <c r="T584" s="72">
        <f t="shared" si="6"/>
        <v>0</v>
      </c>
      <c r="U584" s="73" t="str">
        <f t="shared" si="392"/>
        <v/>
      </c>
      <c r="V584" s="73">
        <f t="shared" si="340"/>
        <v>1772.033898</v>
      </c>
      <c r="W584" s="73">
        <f t="shared" si="9"/>
        <v>1772.033898</v>
      </c>
      <c r="X584" s="74">
        <f t="shared" si="10"/>
        <v>1</v>
      </c>
      <c r="Y584" s="73">
        <f t="shared" si="333"/>
        <v>0</v>
      </c>
      <c r="Z584" s="73">
        <f t="shared" si="12"/>
        <v>1948.305085</v>
      </c>
      <c r="AA584" s="73">
        <f t="shared" si="13"/>
        <v>1948.305085</v>
      </c>
      <c r="AB584" s="74">
        <f t="shared" si="14"/>
        <v>1</v>
      </c>
      <c r="AC584" s="61" t="str">
        <f t="shared" si="15"/>
        <v>0</v>
      </c>
      <c r="AD584" s="71" t="str">
        <f t="shared" si="16"/>
        <v>#DIV/0!</v>
      </c>
      <c r="AE584" s="61"/>
      <c r="AF584" s="61"/>
      <c r="AG584" s="71">
        <f t="array" ref="AG584">IFERROR(xlookup(G584,'Old Master'!T:T,'Old Master'!V:V),N584)</f>
        <v>0.1756902115</v>
      </c>
      <c r="AH584" s="73">
        <f t="shared" si="229"/>
        <v>2299</v>
      </c>
      <c r="AI584" s="73">
        <f t="shared" si="230"/>
        <v>1948.305085</v>
      </c>
      <c r="AJ584" s="72">
        <f t="shared" si="19"/>
        <v>1</v>
      </c>
      <c r="AK584" s="61"/>
      <c r="AL584" s="71">
        <f t="array" ref="AL584">iferror(if(isblank(xlookup($G584,'Old Master'!$T:$T,'Old Master'!$W:$W)),AG584,xlookup($G584,'Old Master'!$T:$T,'Old Master'!$W:$W)),AG584)</f>
        <v>0.1756902115</v>
      </c>
      <c r="AM584" s="74">
        <f t="shared" si="20"/>
        <v>0.1756902115</v>
      </c>
      <c r="AN584" s="73">
        <f t="shared" ref="AN584:AN586" si="394">O584</f>
        <v>2299</v>
      </c>
    </row>
    <row r="585">
      <c r="A585" s="65" t="s">
        <v>3008</v>
      </c>
      <c r="B585" s="65" t="str">
        <f t="shared" si="1"/>
        <v>#VALUE!</v>
      </c>
      <c r="C585" s="65" t="str">
        <f t="shared" si="248"/>
        <v>#VALUE!</v>
      </c>
      <c r="D585" s="65" t="s">
        <v>3010</v>
      </c>
      <c r="E585" s="65" t="s">
        <v>3011</v>
      </c>
      <c r="F585" s="65" t="s">
        <v>3012</v>
      </c>
      <c r="G585" s="65" t="s">
        <v>5131</v>
      </c>
      <c r="H585" s="65" t="s">
        <v>4730</v>
      </c>
      <c r="I585" s="65">
        <v>2089.0</v>
      </c>
      <c r="J585" s="66">
        <v>0.22</v>
      </c>
      <c r="K585" s="65">
        <f t="shared" si="3"/>
        <v>1629</v>
      </c>
      <c r="L585" s="66">
        <v>0.2503590234561991</v>
      </c>
      <c r="M585" s="65">
        <f t="shared" si="4"/>
        <v>1566</v>
      </c>
      <c r="N585" s="67">
        <f t="shared" si="352"/>
        <v>0.1388224031</v>
      </c>
      <c r="O585" s="78">
        <v>1799.0</v>
      </c>
      <c r="P585" s="67">
        <f t="shared" si="358"/>
        <v>0.1388224031</v>
      </c>
      <c r="Q585" s="79">
        <v>1799.0</v>
      </c>
      <c r="R585" s="70"/>
      <c r="S585" s="71">
        <f t="shared" si="379"/>
        <v>0.1043585021</v>
      </c>
      <c r="T585" s="72">
        <f t="shared" si="6"/>
        <v>0</v>
      </c>
      <c r="U585" s="73" t="str">
        <f t="shared" si="392"/>
        <v/>
      </c>
      <c r="V585" s="73">
        <f t="shared" si="340"/>
        <v>1327.118644</v>
      </c>
      <c r="W585" s="73">
        <f t="shared" si="9"/>
        <v>1327.118644</v>
      </c>
      <c r="X585" s="74">
        <f t="shared" si="10"/>
        <v>1</v>
      </c>
      <c r="Y585" s="73">
        <f t="shared" si="333"/>
        <v>0</v>
      </c>
      <c r="Z585" s="73">
        <f t="shared" si="12"/>
        <v>1524.576271</v>
      </c>
      <c r="AA585" s="73">
        <f t="shared" si="13"/>
        <v>1524.576271</v>
      </c>
      <c r="AB585" s="74">
        <f t="shared" si="14"/>
        <v>1</v>
      </c>
      <c r="AC585" s="61" t="str">
        <f t="shared" si="15"/>
        <v>0</v>
      </c>
      <c r="AD585" s="71" t="str">
        <f t="shared" si="16"/>
        <v>#DIV/0!</v>
      </c>
      <c r="AE585" s="61"/>
      <c r="AF585" s="61"/>
      <c r="AG585" s="71">
        <f t="array" ref="AG585">IFERROR(xlookup(G585,'Old Master'!T:T,'Old Master'!V:V),N585)</f>
        <v>0.1388224031</v>
      </c>
      <c r="AH585" s="73">
        <f t="shared" si="229"/>
        <v>1799</v>
      </c>
      <c r="AI585" s="73">
        <f t="shared" si="230"/>
        <v>1524.576271</v>
      </c>
      <c r="AJ585" s="72">
        <f t="shared" si="19"/>
        <v>1</v>
      </c>
      <c r="AK585" s="61"/>
      <c r="AL585" s="71">
        <f t="array" ref="AL585">iferror(if(isblank(xlookup($G585,'Old Master'!$T:$T,'Old Master'!$W:$W)),AG585,xlookup($G585,'Old Master'!$T:$T,'Old Master'!$W:$W)),AG585)</f>
        <v>0.1388224031</v>
      </c>
      <c r="AM585" s="74">
        <f t="shared" si="20"/>
        <v>0.1388224031</v>
      </c>
      <c r="AN585" s="73">
        <f t="shared" si="394"/>
        <v>1799</v>
      </c>
    </row>
    <row r="586">
      <c r="A586" s="65" t="s">
        <v>5408</v>
      </c>
      <c r="B586" s="65" t="str">
        <f t="shared" si="1"/>
        <v>#VALUE!</v>
      </c>
      <c r="C586" s="65" t="str">
        <f t="shared" si="248"/>
        <v>#VALUE!</v>
      </c>
      <c r="D586" s="65" t="s">
        <v>3004</v>
      </c>
      <c r="E586" s="65" t="s">
        <v>3005</v>
      </c>
      <c r="F586" s="65">
        <v>0.0</v>
      </c>
      <c r="G586" s="65" t="s">
        <v>5131</v>
      </c>
      <c r="H586" s="65" t="s">
        <v>4730</v>
      </c>
      <c r="I586" s="65">
        <v>2089.0</v>
      </c>
      <c r="J586" s="66">
        <v>0.22</v>
      </c>
      <c r="K586" s="65">
        <f t="shared" si="3"/>
        <v>1629</v>
      </c>
      <c r="L586" s="66">
        <v>0.24988032551460027</v>
      </c>
      <c r="M586" s="65">
        <f t="shared" si="4"/>
        <v>1567</v>
      </c>
      <c r="N586" s="67">
        <f t="shared" si="352"/>
        <v>0.1388224031</v>
      </c>
      <c r="O586" s="78">
        <v>1799.0</v>
      </c>
      <c r="P586" s="67">
        <f t="shared" si="358"/>
        <v>0.1388224031</v>
      </c>
      <c r="Q586" s="79">
        <v>1799.0</v>
      </c>
      <c r="R586" s="70"/>
      <c r="S586" s="71">
        <f t="shared" si="379"/>
        <v>0.1043585021</v>
      </c>
      <c r="T586" s="72">
        <f t="shared" si="6"/>
        <v>0</v>
      </c>
      <c r="U586" s="73" t="str">
        <f t="shared" si="392"/>
        <v/>
      </c>
      <c r="V586" s="73">
        <f t="shared" si="340"/>
        <v>1327.966102</v>
      </c>
      <c r="W586" s="73">
        <f t="shared" si="9"/>
        <v>1327.966102</v>
      </c>
      <c r="X586" s="74">
        <f t="shared" si="10"/>
        <v>1</v>
      </c>
      <c r="Y586" s="73">
        <f t="shared" si="333"/>
        <v>0</v>
      </c>
      <c r="Z586" s="73">
        <f t="shared" si="12"/>
        <v>1524.576271</v>
      </c>
      <c r="AA586" s="73">
        <f t="shared" si="13"/>
        <v>1524.576271</v>
      </c>
      <c r="AB586" s="74">
        <f t="shared" si="14"/>
        <v>1</v>
      </c>
      <c r="AC586" s="61" t="str">
        <f t="shared" si="15"/>
        <v>0</v>
      </c>
      <c r="AD586" s="71" t="str">
        <f t="shared" si="16"/>
        <v>#DIV/0!</v>
      </c>
      <c r="AE586" s="61"/>
      <c r="AF586" s="61"/>
      <c r="AG586" s="71">
        <f t="array" ref="AG586">IFERROR(xlookup(G586,'Old Master'!T:T,'Old Master'!V:V),N586)</f>
        <v>0.1388224031</v>
      </c>
      <c r="AH586" s="73">
        <f t="shared" si="229"/>
        <v>1799</v>
      </c>
      <c r="AI586" s="73">
        <f t="shared" si="230"/>
        <v>1524.576271</v>
      </c>
      <c r="AJ586" s="72">
        <f t="shared" si="19"/>
        <v>1</v>
      </c>
      <c r="AK586" s="61"/>
      <c r="AL586" s="71">
        <f t="array" ref="AL586">iferror(if(isblank(xlookup($G586,'Old Master'!$T:$T,'Old Master'!$W:$W)),AG586,xlookup($G586,'Old Master'!$T:$T,'Old Master'!$W:$W)),AG586)</f>
        <v>0.1388224031</v>
      </c>
      <c r="AM586" s="74">
        <f t="shared" si="20"/>
        <v>0.1388224031</v>
      </c>
      <c r="AN586" s="73">
        <f t="shared" si="394"/>
        <v>1799</v>
      </c>
    </row>
    <row r="587">
      <c r="A587" s="65" t="s">
        <v>4836</v>
      </c>
      <c r="B587" s="65" t="str">
        <f t="shared" si="1"/>
        <v>#VALUE!</v>
      </c>
      <c r="C587" s="65" t="str">
        <f t="shared" si="248"/>
        <v>#VALUE!</v>
      </c>
      <c r="D587" s="65" t="s">
        <v>4838</v>
      </c>
      <c r="E587" s="65">
        <v>0.0</v>
      </c>
      <c r="F587" s="65">
        <v>0.0</v>
      </c>
      <c r="G587" s="65" t="s">
        <v>5091</v>
      </c>
      <c r="H587" s="65" t="s">
        <v>1145</v>
      </c>
      <c r="I587" s="65">
        <v>5599.0</v>
      </c>
      <c r="J587" s="66">
        <v>0.2</v>
      </c>
      <c r="K587" s="65">
        <f t="shared" si="3"/>
        <v>4479</v>
      </c>
      <c r="L587" s="66">
        <v>0.2</v>
      </c>
      <c r="M587" s="65">
        <f t="shared" si="4"/>
        <v>4479</v>
      </c>
      <c r="N587" s="77">
        <f t="shared" si="352"/>
        <v>0.1071619932</v>
      </c>
      <c r="O587" s="78">
        <v>4999.0</v>
      </c>
      <c r="P587" s="67">
        <f t="shared" si="358"/>
        <v>0.1071619932</v>
      </c>
      <c r="Q587" s="79">
        <v>4999.0</v>
      </c>
      <c r="R587" s="70"/>
      <c r="S587" s="71">
        <f t="shared" si="379"/>
        <v>0.1160973432</v>
      </c>
      <c r="T587" s="72">
        <f t="shared" si="6"/>
        <v>0</v>
      </c>
      <c r="U587" s="73">
        <f t="array" ref="U587">IFERROR(XLOOKUP(A587,COGS!I:I,COGS!J:J), IFERROR(XLOOKUP(C587,COGS!I:I,COGS!J:J),I587*35%))</f>
        <v>1959.65</v>
      </c>
      <c r="V587" s="73">
        <f t="shared" si="340"/>
        <v>3795.762712</v>
      </c>
      <c r="W587" s="73">
        <f t="shared" si="9"/>
        <v>1836.112712</v>
      </c>
      <c r="X587" s="74">
        <f t="shared" si="10"/>
        <v>0.483726948</v>
      </c>
      <c r="Y587" s="73">
        <f t="shared" si="333"/>
        <v>2253.5975</v>
      </c>
      <c r="Z587" s="73">
        <f t="shared" si="12"/>
        <v>4236.440678</v>
      </c>
      <c r="AA587" s="73">
        <f t="shared" si="13"/>
        <v>1982.843178</v>
      </c>
      <c r="AB587" s="74">
        <f t="shared" si="14"/>
        <v>0.4680445989</v>
      </c>
      <c r="AC587" s="61" t="str">
        <f t="shared" si="15"/>
        <v>6</v>
      </c>
      <c r="AD587" s="71">
        <f t="shared" si="16"/>
        <v>0.15</v>
      </c>
      <c r="AE587" s="61"/>
      <c r="AF587" s="61"/>
      <c r="AG587" s="71">
        <f t="array" ref="AG587">IFERROR(xlookup(G587,'Old Master'!T:T,'Old Master'!V:V),N587)</f>
        <v>0.1071619932</v>
      </c>
      <c r="AH587" s="73">
        <f t="shared" si="229"/>
        <v>4999</v>
      </c>
      <c r="AI587" s="73">
        <f t="shared" si="230"/>
        <v>1982.843178</v>
      </c>
      <c r="AJ587" s="72">
        <f t="shared" si="19"/>
        <v>0.4680445989</v>
      </c>
      <c r="AK587" s="61"/>
      <c r="AL587" s="71">
        <f>(I587-AN587)/I587</f>
        <v>0.1071619932</v>
      </c>
      <c r="AM587" s="74">
        <f t="shared" si="20"/>
        <v>0.1071619932</v>
      </c>
      <c r="AN587" s="80">
        <v>4999.0</v>
      </c>
    </row>
    <row r="588">
      <c r="A588" s="65" t="s">
        <v>856</v>
      </c>
      <c r="B588" s="65">
        <f t="shared" si="1"/>
        <v>36</v>
      </c>
      <c r="C588" s="65" t="str">
        <f t="shared" si="248"/>
        <v>SC-HYB-LATEX-S-84x38x8</v>
      </c>
      <c r="D588" s="65" t="s">
        <v>858</v>
      </c>
      <c r="E588" s="65">
        <v>0.0</v>
      </c>
      <c r="F588" s="65" t="s">
        <v>859</v>
      </c>
      <c r="G588" s="65" t="s">
        <v>5108</v>
      </c>
      <c r="H588" s="65" t="s">
        <v>52</v>
      </c>
      <c r="I588" s="65">
        <v>15499.0</v>
      </c>
      <c r="J588" s="66">
        <v>0.25</v>
      </c>
      <c r="K588" s="65">
        <f t="shared" si="3"/>
        <v>11624</v>
      </c>
      <c r="L588" s="66">
        <v>0.2</v>
      </c>
      <c r="M588" s="65">
        <f t="shared" si="4"/>
        <v>12399</v>
      </c>
      <c r="N588" s="75">
        <v>0.16</v>
      </c>
      <c r="O588" s="68">
        <f t="shared" ref="O588:O591" si="395">I588*(1-N588)</f>
        <v>13019.16</v>
      </c>
      <c r="P588" s="75">
        <v>0.13</v>
      </c>
      <c r="Q588" s="68">
        <f t="shared" ref="Q588:Q591" si="396">I588*(1-P588)</f>
        <v>13484.13</v>
      </c>
      <c r="R588" s="71">
        <f t="shared" ref="R588:R591" si="397">Q588/M588-1</f>
        <v>0.08751754174</v>
      </c>
      <c r="S588" s="71">
        <f t="shared" ref="S588:S591" si="398">O588/M588-1</f>
        <v>0.05001693685</v>
      </c>
      <c r="T588" s="72">
        <f t="shared" si="6"/>
        <v>0</v>
      </c>
      <c r="U588" s="73" t="str">
        <f t="shared" ref="U588:U591" si="399">IFERROR(XLOOKUP(A588,COGS!I:I,COGS!J:J), IFERROR(XLOOKUP(C588,COGS!I:I,COGS!J:J),""))</f>
        <v/>
      </c>
      <c r="V588" s="73">
        <f t="shared" si="340"/>
        <v>10507.62712</v>
      </c>
      <c r="W588" s="73">
        <f t="shared" si="9"/>
        <v>10507.62712</v>
      </c>
      <c r="X588" s="74">
        <f t="shared" si="10"/>
        <v>1</v>
      </c>
      <c r="Y588" s="73">
        <f t="shared" si="333"/>
        <v>0</v>
      </c>
      <c r="Z588" s="73">
        <f t="shared" si="12"/>
        <v>11033.18644</v>
      </c>
      <c r="AA588" s="73">
        <f t="shared" si="13"/>
        <v>11033.18644</v>
      </c>
      <c r="AB588" s="74">
        <f t="shared" si="14"/>
        <v>1</v>
      </c>
      <c r="AC588" s="61" t="str">
        <f t="shared" si="15"/>
        <v>8</v>
      </c>
      <c r="AD588" s="71" t="str">
        <f t="shared" si="16"/>
        <v>#DIV/0!</v>
      </c>
      <c r="AE588" s="73">
        <f t="shared" ref="AE588:AE591" si="400">Q588/118%-Y588</f>
        <v>11427.22881</v>
      </c>
      <c r="AF588" s="74">
        <f t="shared" ref="AF588:AF591" si="401">AE588/(Q588/1.18)</f>
        <v>1</v>
      </c>
      <c r="AG588" s="71">
        <f t="array" ref="AG588">IFERROR(xlookup(G588,'Old Master'!T:T,'Old Master'!V:V),N588)</f>
        <v>0.16</v>
      </c>
      <c r="AH588" s="73">
        <f t="shared" si="229"/>
        <v>13019.16</v>
      </c>
      <c r="AI588" s="73">
        <f t="shared" si="230"/>
        <v>11033.18644</v>
      </c>
      <c r="AJ588" s="72">
        <f t="shared" si="19"/>
        <v>1</v>
      </c>
      <c r="AK588" s="61"/>
      <c r="AL588" s="71">
        <f t="array" ref="AL588">iferror(if(isblank(xlookup($G588,'Old Master'!$T:$T,'Old Master'!$W:$W)),AG588,xlookup($G588,'Old Master'!$T:$T,'Old Master'!$W:$W)),AG588)</f>
        <v>0.16</v>
      </c>
      <c r="AM588" s="74">
        <f t="shared" si="20"/>
        <v>0.1613007291</v>
      </c>
      <c r="AN588" s="73">
        <f t="shared" ref="AN588:AN591" si="402">mround($I588*(1-AL588),100)-1</f>
        <v>12999</v>
      </c>
    </row>
    <row r="589">
      <c r="A589" s="65" t="s">
        <v>882</v>
      </c>
      <c r="B589" s="65">
        <f t="shared" si="1"/>
        <v>48</v>
      </c>
      <c r="C589" s="65" t="str">
        <f t="shared" si="248"/>
        <v>SC-HYB-LATEX-D-84x50x8</v>
      </c>
      <c r="D589" s="65" t="s">
        <v>884</v>
      </c>
      <c r="E589" s="65">
        <v>0.0</v>
      </c>
      <c r="F589" s="65" t="s">
        <v>885</v>
      </c>
      <c r="G589" s="65" t="s">
        <v>5108</v>
      </c>
      <c r="H589" s="65" t="s">
        <v>52</v>
      </c>
      <c r="I589" s="65">
        <v>18999.0</v>
      </c>
      <c r="J589" s="66">
        <v>0.25</v>
      </c>
      <c r="K589" s="65">
        <f t="shared" si="3"/>
        <v>14249</v>
      </c>
      <c r="L589" s="66">
        <v>0.2</v>
      </c>
      <c r="M589" s="65">
        <f t="shared" si="4"/>
        <v>15199</v>
      </c>
      <c r="N589" s="75">
        <v>0.16</v>
      </c>
      <c r="O589" s="68">
        <f t="shared" si="395"/>
        <v>15959.16</v>
      </c>
      <c r="P589" s="75">
        <v>0.13</v>
      </c>
      <c r="Q589" s="68">
        <f t="shared" si="396"/>
        <v>16529.13</v>
      </c>
      <c r="R589" s="71">
        <f t="shared" si="397"/>
        <v>0.08751431015</v>
      </c>
      <c r="S589" s="71">
        <f t="shared" si="398"/>
        <v>0.0500138167</v>
      </c>
      <c r="T589" s="72">
        <f t="shared" si="6"/>
        <v>0</v>
      </c>
      <c r="U589" s="73" t="str">
        <f t="shared" si="399"/>
        <v/>
      </c>
      <c r="V589" s="73">
        <f t="shared" si="340"/>
        <v>12880.50847</v>
      </c>
      <c r="W589" s="73">
        <f t="shared" si="9"/>
        <v>12880.50847</v>
      </c>
      <c r="X589" s="74">
        <f t="shared" si="10"/>
        <v>1</v>
      </c>
      <c r="Y589" s="73">
        <f t="shared" si="333"/>
        <v>0</v>
      </c>
      <c r="Z589" s="73">
        <f t="shared" si="12"/>
        <v>13524.71186</v>
      </c>
      <c r="AA589" s="73">
        <f t="shared" si="13"/>
        <v>13524.71186</v>
      </c>
      <c r="AB589" s="74">
        <f t="shared" si="14"/>
        <v>1</v>
      </c>
      <c r="AC589" s="61" t="str">
        <f t="shared" si="15"/>
        <v>8</v>
      </c>
      <c r="AD589" s="71" t="str">
        <f t="shared" si="16"/>
        <v>#DIV/0!</v>
      </c>
      <c r="AE589" s="73">
        <f t="shared" si="400"/>
        <v>14007.73729</v>
      </c>
      <c r="AF589" s="74">
        <f t="shared" si="401"/>
        <v>1</v>
      </c>
      <c r="AG589" s="71">
        <f t="array" ref="AG589">IFERROR(xlookup(G589,'Old Master'!T:T,'Old Master'!V:V),N589)</f>
        <v>0.16</v>
      </c>
      <c r="AH589" s="73">
        <f t="shared" si="229"/>
        <v>15959.16</v>
      </c>
      <c r="AI589" s="73">
        <f t="shared" si="230"/>
        <v>13524.71186</v>
      </c>
      <c r="AJ589" s="72">
        <f t="shared" si="19"/>
        <v>1</v>
      </c>
      <c r="AK589" s="61"/>
      <c r="AL589" s="71">
        <f t="array" ref="AL589">iferror(if(isblank(xlookup($G589,'Old Master'!$T:$T,'Old Master'!$W:$W)),AG589,xlookup($G589,'Old Master'!$T:$T,'Old Master'!$W:$W)),AG589)</f>
        <v>0.16</v>
      </c>
      <c r="AM589" s="74">
        <f t="shared" si="20"/>
        <v>0.1579030475</v>
      </c>
      <c r="AN589" s="73">
        <f t="shared" si="402"/>
        <v>15999</v>
      </c>
    </row>
    <row r="590">
      <c r="A590" s="65" t="s">
        <v>1049</v>
      </c>
      <c r="B590" s="65">
        <f t="shared" si="1"/>
        <v>72</v>
      </c>
      <c r="C590" s="84" t="s">
        <v>1047</v>
      </c>
      <c r="D590" s="65" t="s">
        <v>1049</v>
      </c>
      <c r="E590" s="65">
        <v>0.0</v>
      </c>
      <c r="F590" s="65">
        <v>0.0</v>
      </c>
      <c r="G590" s="65" t="s">
        <v>5108</v>
      </c>
      <c r="H590" s="65" t="s">
        <v>52</v>
      </c>
      <c r="I590" s="65">
        <v>22699.0</v>
      </c>
      <c r="J590" s="66">
        <v>0.25</v>
      </c>
      <c r="K590" s="65">
        <f t="shared" si="3"/>
        <v>17024</v>
      </c>
      <c r="L590" s="66">
        <v>0.2</v>
      </c>
      <c r="M590" s="65">
        <f t="shared" si="4"/>
        <v>18159</v>
      </c>
      <c r="N590" s="75">
        <v>0.16</v>
      </c>
      <c r="O590" s="68">
        <f t="shared" si="395"/>
        <v>19067.16</v>
      </c>
      <c r="P590" s="75">
        <v>0.13</v>
      </c>
      <c r="Q590" s="68">
        <f t="shared" si="396"/>
        <v>19748.13</v>
      </c>
      <c r="R590" s="71">
        <f t="shared" si="397"/>
        <v>0.08751197753</v>
      </c>
      <c r="S590" s="71">
        <f t="shared" si="398"/>
        <v>0.05001156451</v>
      </c>
      <c r="T590" s="72">
        <f t="shared" si="6"/>
        <v>0</v>
      </c>
      <c r="U590" s="73" t="str">
        <f t="shared" si="399"/>
        <v/>
      </c>
      <c r="V590" s="73">
        <f t="shared" si="340"/>
        <v>15388.98305</v>
      </c>
      <c r="W590" s="73">
        <f t="shared" si="9"/>
        <v>15388.98305</v>
      </c>
      <c r="X590" s="74">
        <f t="shared" si="10"/>
        <v>1</v>
      </c>
      <c r="Y590" s="73">
        <f t="shared" si="333"/>
        <v>0</v>
      </c>
      <c r="Z590" s="73">
        <f t="shared" si="12"/>
        <v>16158.61017</v>
      </c>
      <c r="AA590" s="73">
        <f t="shared" si="13"/>
        <v>16158.61017</v>
      </c>
      <c r="AB590" s="74">
        <f t="shared" si="14"/>
        <v>1</v>
      </c>
      <c r="AC590" s="61" t="str">
        <f t="shared" si="15"/>
        <v>8</v>
      </c>
      <c r="AD590" s="71" t="str">
        <f t="shared" si="16"/>
        <v>#DIV/0!</v>
      </c>
      <c r="AE590" s="73">
        <f t="shared" si="400"/>
        <v>16735.70339</v>
      </c>
      <c r="AF590" s="74">
        <f t="shared" si="401"/>
        <v>1</v>
      </c>
      <c r="AG590" s="71">
        <f t="array" ref="AG590">IFERROR(xlookup(G590,'Old Master'!T:T,'Old Master'!V:V),N590)</f>
        <v>0.16</v>
      </c>
      <c r="AH590" s="73">
        <f t="shared" si="229"/>
        <v>19067.16</v>
      </c>
      <c r="AI590" s="73">
        <f t="shared" si="230"/>
        <v>16158.61017</v>
      </c>
      <c r="AJ590" s="72">
        <f t="shared" si="19"/>
        <v>1</v>
      </c>
      <c r="AK590" s="61"/>
      <c r="AL590" s="71">
        <f t="array" ref="AL590">iferror(if(isblank(xlookup($G590,'Old Master'!$T:$T,'Old Master'!$W:$W)),AG590,xlookup($G590,'Old Master'!$T:$T,'Old Master'!$W:$W)),AG590)</f>
        <v>0.16</v>
      </c>
      <c r="AM590" s="74">
        <f t="shared" si="20"/>
        <v>0.158597295</v>
      </c>
      <c r="AN590" s="73">
        <f t="shared" si="402"/>
        <v>19099</v>
      </c>
    </row>
    <row r="591">
      <c r="A591" s="65" t="s">
        <v>939</v>
      </c>
      <c r="B591" s="65">
        <f t="shared" si="1"/>
        <v>60</v>
      </c>
      <c r="C591" s="84" t="s">
        <v>937</v>
      </c>
      <c r="D591" s="65" t="s">
        <v>939</v>
      </c>
      <c r="E591" s="65">
        <v>0.0</v>
      </c>
      <c r="F591" s="65">
        <v>0.0</v>
      </c>
      <c r="G591" s="65" t="s">
        <v>5108</v>
      </c>
      <c r="H591" s="65" t="s">
        <v>52</v>
      </c>
      <c r="I591" s="65">
        <v>19399.0</v>
      </c>
      <c r="J591" s="66">
        <v>0.25</v>
      </c>
      <c r="K591" s="65">
        <f t="shared" si="3"/>
        <v>14549</v>
      </c>
      <c r="L591" s="66">
        <v>0.2</v>
      </c>
      <c r="M591" s="65">
        <f t="shared" si="4"/>
        <v>15519</v>
      </c>
      <c r="N591" s="75">
        <v>0.16</v>
      </c>
      <c r="O591" s="68">
        <f t="shared" si="395"/>
        <v>16295.16</v>
      </c>
      <c r="P591" s="75">
        <v>0.13</v>
      </c>
      <c r="Q591" s="68">
        <f t="shared" si="396"/>
        <v>16877.13</v>
      </c>
      <c r="R591" s="71">
        <f t="shared" si="397"/>
        <v>0.08751401508</v>
      </c>
      <c r="S591" s="71">
        <f t="shared" si="398"/>
        <v>0.0500135318</v>
      </c>
      <c r="T591" s="72">
        <f t="shared" si="6"/>
        <v>0</v>
      </c>
      <c r="U591" s="73" t="str">
        <f t="shared" si="399"/>
        <v/>
      </c>
      <c r="V591" s="73">
        <f t="shared" si="340"/>
        <v>13151.69492</v>
      </c>
      <c r="W591" s="73">
        <f t="shared" si="9"/>
        <v>13151.69492</v>
      </c>
      <c r="X591" s="74">
        <f t="shared" si="10"/>
        <v>1</v>
      </c>
      <c r="Y591" s="73">
        <f t="shared" si="333"/>
        <v>0</v>
      </c>
      <c r="Z591" s="73">
        <f t="shared" si="12"/>
        <v>13809.45763</v>
      </c>
      <c r="AA591" s="73">
        <f t="shared" si="13"/>
        <v>13809.45763</v>
      </c>
      <c r="AB591" s="74">
        <f t="shared" si="14"/>
        <v>1</v>
      </c>
      <c r="AC591" s="61" t="str">
        <f t="shared" si="15"/>
        <v>8</v>
      </c>
      <c r="AD591" s="71" t="str">
        <f t="shared" si="16"/>
        <v>#DIV/0!</v>
      </c>
      <c r="AE591" s="73">
        <f t="shared" si="400"/>
        <v>14302.65254</v>
      </c>
      <c r="AF591" s="74">
        <f t="shared" si="401"/>
        <v>1</v>
      </c>
      <c r="AG591" s="71">
        <f t="array" ref="AG591">IFERROR(xlookup(G591,'Old Master'!T:T,'Old Master'!V:V),N591)</f>
        <v>0.16</v>
      </c>
      <c r="AH591" s="73">
        <f t="shared" si="229"/>
        <v>16295.16</v>
      </c>
      <c r="AI591" s="73">
        <f t="shared" si="230"/>
        <v>13809.45763</v>
      </c>
      <c r="AJ591" s="72">
        <f t="shared" si="19"/>
        <v>1</v>
      </c>
      <c r="AK591" s="61"/>
      <c r="AL591" s="71">
        <f t="array" ref="AL591">iferror(if(isblank(xlookup($G591,'Old Master'!$T:$T,'Old Master'!$W:$W)),AG591,xlookup($G591,'Old Master'!$T:$T,'Old Master'!$W:$W)),AG591)</f>
        <v>0.16</v>
      </c>
      <c r="AM591" s="74">
        <f t="shared" si="20"/>
        <v>0.1598020517</v>
      </c>
      <c r="AN591" s="73">
        <f t="shared" si="402"/>
        <v>16299</v>
      </c>
    </row>
    <row r="592">
      <c r="A592" s="65" t="s">
        <v>4910</v>
      </c>
      <c r="B592" s="65" t="str">
        <f t="shared" si="1"/>
        <v>#VALUE!</v>
      </c>
      <c r="C592" s="65" t="str">
        <f t="shared" ref="C592:C844" si="403">SUBSTITUTE(A592, "x"&amp;TEXT(B592,"0")&amp;"x", "x"&amp;TEXT(B592+2,"0")&amp;"x")</f>
        <v>#VALUE!</v>
      </c>
      <c r="D592" s="65" t="s">
        <v>5284</v>
      </c>
      <c r="E592" s="65">
        <v>0.0</v>
      </c>
      <c r="F592" s="65">
        <v>0.0</v>
      </c>
      <c r="G592" s="65" t="s">
        <v>5081</v>
      </c>
      <c r="H592" s="65" t="s">
        <v>1145</v>
      </c>
      <c r="I592" s="65">
        <v>6999.0</v>
      </c>
      <c r="J592" s="66">
        <v>0.2</v>
      </c>
      <c r="K592" s="65">
        <f t="shared" si="3"/>
        <v>5599</v>
      </c>
      <c r="L592" s="66">
        <v>0.2</v>
      </c>
      <c r="M592" s="65">
        <f t="shared" si="4"/>
        <v>5599</v>
      </c>
      <c r="N592" s="77">
        <f t="shared" ref="N592:N844" si="404">1-O592/I592</f>
        <v>0</v>
      </c>
      <c r="O592" s="78">
        <v>6999.0</v>
      </c>
      <c r="P592" s="67">
        <f t="shared" ref="P592:P632" si="405">1-Q592/I592</f>
        <v>0</v>
      </c>
      <c r="Q592" s="79">
        <v>6999.0</v>
      </c>
      <c r="R592" s="70"/>
      <c r="S592" s="71">
        <f t="shared" ref="S592:S632" si="406">O592/K592-1</f>
        <v>0.2500446508</v>
      </c>
      <c r="T592" s="72">
        <f t="shared" si="6"/>
        <v>0</v>
      </c>
      <c r="U592" s="73">
        <f t="array" ref="U592">IFERROR(XLOOKUP(A592,COGS!I:I,COGS!J:J), IFERROR(XLOOKUP(C592,COGS!I:I,COGS!J:J),I592*35%))</f>
        <v>2449.65</v>
      </c>
      <c r="V592" s="73">
        <f t="shared" si="340"/>
        <v>4744.915254</v>
      </c>
      <c r="W592" s="73">
        <f t="shared" si="9"/>
        <v>2295.265254</v>
      </c>
      <c r="X592" s="74">
        <f t="shared" si="10"/>
        <v>0.4837315592</v>
      </c>
      <c r="Y592" s="73">
        <f t="shared" si="333"/>
        <v>2817.0975</v>
      </c>
      <c r="Z592" s="73">
        <f t="shared" si="12"/>
        <v>5931.355932</v>
      </c>
      <c r="AA592" s="73">
        <f t="shared" si="13"/>
        <v>3114.258432</v>
      </c>
      <c r="AB592" s="74">
        <f t="shared" si="14"/>
        <v>0.52505</v>
      </c>
      <c r="AC592" s="61" t="str">
        <f t="shared" si="15"/>
        <v>6</v>
      </c>
      <c r="AD592" s="71">
        <f t="shared" si="16"/>
        <v>0.15</v>
      </c>
      <c r="AE592" s="61"/>
      <c r="AF592" s="61"/>
      <c r="AG592" s="71">
        <f t="array" ref="AG592">IFERROR(xlookup(G592,'Old Master'!T:T,'Old Master'!V:V),N592)</f>
        <v>0</v>
      </c>
      <c r="AH592" s="73">
        <f t="shared" si="229"/>
        <v>6999</v>
      </c>
      <c r="AI592" s="73">
        <f t="shared" si="230"/>
        <v>3114.258432</v>
      </c>
      <c r="AJ592" s="72">
        <f t="shared" si="19"/>
        <v>0.52505</v>
      </c>
      <c r="AK592" s="61"/>
      <c r="AL592" s="71">
        <f t="shared" ref="AL592:AL593" si="407">(I592-AN592)/I592</f>
        <v>0</v>
      </c>
      <c r="AM592" s="74">
        <f t="shared" si="20"/>
        <v>0</v>
      </c>
      <c r="AN592" s="73">
        <v>6999.0</v>
      </c>
    </row>
    <row r="593">
      <c r="A593" s="65" t="s">
        <v>4914</v>
      </c>
      <c r="B593" s="65" t="str">
        <f t="shared" si="1"/>
        <v>#VALUE!</v>
      </c>
      <c r="C593" s="65" t="str">
        <f t="shared" si="403"/>
        <v>#VALUE!</v>
      </c>
      <c r="D593" s="65" t="s">
        <v>5253</v>
      </c>
      <c r="E593" s="65">
        <v>0.0</v>
      </c>
      <c r="F593" s="65">
        <v>0.0</v>
      </c>
      <c r="G593" s="65" t="s">
        <v>5081</v>
      </c>
      <c r="H593" s="65" t="s">
        <v>1145</v>
      </c>
      <c r="I593" s="65">
        <v>2499.0</v>
      </c>
      <c r="J593" s="66">
        <v>0.0</v>
      </c>
      <c r="K593" s="65">
        <f t="shared" si="3"/>
        <v>2499</v>
      </c>
      <c r="L593" s="66">
        <v>0.0</v>
      </c>
      <c r="M593" s="65">
        <f t="shared" si="4"/>
        <v>2499</v>
      </c>
      <c r="N593" s="77">
        <f t="shared" si="404"/>
        <v>0</v>
      </c>
      <c r="O593" s="78">
        <v>2499.0</v>
      </c>
      <c r="P593" s="67">
        <f t="shared" si="405"/>
        <v>0</v>
      </c>
      <c r="Q593" s="79">
        <v>2499.0</v>
      </c>
      <c r="R593" s="70"/>
      <c r="S593" s="71">
        <f t="shared" si="406"/>
        <v>0</v>
      </c>
      <c r="T593" s="72">
        <f t="shared" si="6"/>
        <v>0</v>
      </c>
      <c r="U593" s="73" t="str">
        <f t="shared" ref="U593:U655" si="408">IFERROR(XLOOKUP(A593,COGS!I:I,COGS!J:J), IFERROR(XLOOKUP(C593,COGS!I:I,COGS!J:J),""))</f>
        <v/>
      </c>
      <c r="V593" s="73">
        <f t="shared" si="340"/>
        <v>2117.79661</v>
      </c>
      <c r="W593" s="73">
        <f t="shared" si="9"/>
        <v>2117.79661</v>
      </c>
      <c r="X593" s="74">
        <f t="shared" si="10"/>
        <v>1</v>
      </c>
      <c r="Y593" s="73">
        <f t="shared" si="333"/>
        <v>0</v>
      </c>
      <c r="Z593" s="73">
        <f t="shared" si="12"/>
        <v>2117.79661</v>
      </c>
      <c r="AA593" s="73">
        <f t="shared" si="13"/>
        <v>2117.79661</v>
      </c>
      <c r="AB593" s="74">
        <f t="shared" si="14"/>
        <v>1</v>
      </c>
      <c r="AC593" s="61" t="str">
        <f t="shared" si="15"/>
        <v>8</v>
      </c>
      <c r="AD593" s="71" t="str">
        <f t="shared" si="16"/>
        <v>#DIV/0!</v>
      </c>
      <c r="AE593" s="61"/>
      <c r="AF593" s="61"/>
      <c r="AG593" s="71">
        <f t="array" ref="AG593">IFERROR(xlookup(G593,'Old Master'!T:T,'Old Master'!V:V),N593)</f>
        <v>0</v>
      </c>
      <c r="AH593" s="73">
        <f t="shared" si="229"/>
        <v>2499</v>
      </c>
      <c r="AI593" s="73">
        <f t="shared" si="230"/>
        <v>2117.79661</v>
      </c>
      <c r="AJ593" s="72">
        <f t="shared" si="19"/>
        <v>1</v>
      </c>
      <c r="AK593" s="61"/>
      <c r="AL593" s="71">
        <f t="shared" si="407"/>
        <v>0</v>
      </c>
      <c r="AM593" s="74">
        <f t="shared" si="20"/>
        <v>0</v>
      </c>
      <c r="AN593" s="73">
        <v>2499.0</v>
      </c>
    </row>
    <row r="594">
      <c r="A594" s="65" t="s">
        <v>5409</v>
      </c>
      <c r="B594" s="65" t="str">
        <f t="shared" si="1"/>
        <v>#VALUE!</v>
      </c>
      <c r="C594" s="65" t="str">
        <f t="shared" si="403"/>
        <v>#VALUE!</v>
      </c>
      <c r="D594" s="65" t="s">
        <v>3040</v>
      </c>
      <c r="E594" s="65" t="s">
        <v>3041</v>
      </c>
      <c r="F594" s="65">
        <v>0.0</v>
      </c>
      <c r="G594" s="65" t="s">
        <v>5086</v>
      </c>
      <c r="H594" s="65" t="s">
        <v>4730</v>
      </c>
      <c r="I594" s="65">
        <v>2989.0</v>
      </c>
      <c r="J594" s="66">
        <v>0.3312144529943125</v>
      </c>
      <c r="K594" s="65">
        <f t="shared" si="3"/>
        <v>1999</v>
      </c>
      <c r="L594" s="66">
        <v>0.1</v>
      </c>
      <c r="M594" s="65">
        <f t="shared" si="4"/>
        <v>2690</v>
      </c>
      <c r="N594" s="67">
        <f t="shared" si="404"/>
        <v>0.09702241552</v>
      </c>
      <c r="O594" s="78">
        <v>2699.0</v>
      </c>
      <c r="P594" s="67">
        <f t="shared" si="405"/>
        <v>0.09702241552</v>
      </c>
      <c r="Q594" s="79">
        <v>2699.0</v>
      </c>
      <c r="R594" s="70"/>
      <c r="S594" s="71">
        <f t="shared" si="406"/>
        <v>0.3501750875</v>
      </c>
      <c r="T594" s="72">
        <f t="shared" si="6"/>
        <v>0</v>
      </c>
      <c r="U594" s="73" t="str">
        <f t="shared" si="408"/>
        <v/>
      </c>
      <c r="V594" s="73">
        <f t="shared" si="340"/>
        <v>2279.661017</v>
      </c>
      <c r="W594" s="73">
        <f t="shared" si="9"/>
        <v>2279.661017</v>
      </c>
      <c r="X594" s="74">
        <f t="shared" si="10"/>
        <v>1</v>
      </c>
      <c r="Y594" s="73">
        <f t="shared" si="333"/>
        <v>0</v>
      </c>
      <c r="Z594" s="73">
        <f t="shared" si="12"/>
        <v>2287.288136</v>
      </c>
      <c r="AA594" s="73">
        <f t="shared" si="13"/>
        <v>2287.288136</v>
      </c>
      <c r="AB594" s="74">
        <f t="shared" si="14"/>
        <v>1</v>
      </c>
      <c r="AC594" s="61" t="str">
        <f t="shared" si="15"/>
        <v>0</v>
      </c>
      <c r="AD594" s="71" t="str">
        <f t="shared" si="16"/>
        <v>#DIV/0!</v>
      </c>
      <c r="AE594" s="61"/>
      <c r="AF594" s="61"/>
      <c r="AG594" s="71">
        <f t="array" ref="AG594">IFERROR(xlookup(G594,'Old Master'!T:T,'Old Master'!V:V),N594)</f>
        <v>0.09702241552</v>
      </c>
      <c r="AH594" s="73">
        <f t="shared" si="229"/>
        <v>2699</v>
      </c>
      <c r="AI594" s="73">
        <f t="shared" si="230"/>
        <v>2287.288136</v>
      </c>
      <c r="AJ594" s="72">
        <f t="shared" si="19"/>
        <v>1</v>
      </c>
      <c r="AK594" s="61"/>
      <c r="AL594" s="71">
        <f t="array" ref="AL594">iferror(if(isblank(xlookup($G594,'Old Master'!$T:$T,'Old Master'!$W:$W)),AG594,xlookup($G594,'Old Master'!$T:$T,'Old Master'!$W:$W)),AG594)</f>
        <v>0.09702241552</v>
      </c>
      <c r="AM594" s="74">
        <f t="shared" si="20"/>
        <v>0.09702241552</v>
      </c>
      <c r="AN594" s="73">
        <f t="shared" ref="AN594:AN655" si="409">mround($I594*(1-AL594),100)-1</f>
        <v>2699</v>
      </c>
    </row>
    <row r="595">
      <c r="A595" s="65" t="s">
        <v>3229</v>
      </c>
      <c r="B595" s="65" t="str">
        <f t="shared" si="1"/>
        <v>#VALUE!</v>
      </c>
      <c r="C595" s="65" t="str">
        <f t="shared" si="403"/>
        <v>#VALUE!</v>
      </c>
      <c r="D595" s="65" t="s">
        <v>3231</v>
      </c>
      <c r="E595" s="65" t="s">
        <v>3232</v>
      </c>
      <c r="F595" s="65" t="s">
        <v>3233</v>
      </c>
      <c r="G595" s="65" t="s">
        <v>5086</v>
      </c>
      <c r="H595" s="65" t="s">
        <v>4730</v>
      </c>
      <c r="I595" s="65">
        <v>1889.0</v>
      </c>
      <c r="J595" s="66">
        <v>0.1</v>
      </c>
      <c r="K595" s="65">
        <f t="shared" si="3"/>
        <v>1700</v>
      </c>
      <c r="L595" s="66">
        <v>0.1</v>
      </c>
      <c r="M595" s="65">
        <f t="shared" si="4"/>
        <v>1700</v>
      </c>
      <c r="N595" s="67">
        <f t="shared" si="404"/>
        <v>0.1005823187</v>
      </c>
      <c r="O595" s="78">
        <v>1699.0</v>
      </c>
      <c r="P595" s="67">
        <f t="shared" si="405"/>
        <v>0.1005823187</v>
      </c>
      <c r="Q595" s="79">
        <v>1699.0</v>
      </c>
      <c r="R595" s="70"/>
      <c r="S595" s="71">
        <f t="shared" si="406"/>
        <v>-0.0005882352941</v>
      </c>
      <c r="T595" s="72">
        <f t="shared" si="6"/>
        <v>0</v>
      </c>
      <c r="U595" s="73" t="str">
        <f t="shared" si="408"/>
        <v/>
      </c>
      <c r="V595" s="73">
        <f t="shared" si="340"/>
        <v>1440.677966</v>
      </c>
      <c r="W595" s="73">
        <f t="shared" si="9"/>
        <v>1440.677966</v>
      </c>
      <c r="X595" s="74">
        <f t="shared" si="10"/>
        <v>1</v>
      </c>
      <c r="Y595" s="73">
        <f t="shared" si="333"/>
        <v>0</v>
      </c>
      <c r="Z595" s="73">
        <f t="shared" si="12"/>
        <v>1439.830508</v>
      </c>
      <c r="AA595" s="73">
        <f t="shared" si="13"/>
        <v>1439.830508</v>
      </c>
      <c r="AB595" s="74">
        <f t="shared" si="14"/>
        <v>1</v>
      </c>
      <c r="AC595" s="61" t="str">
        <f t="shared" si="15"/>
        <v>8</v>
      </c>
      <c r="AD595" s="71" t="str">
        <f t="shared" si="16"/>
        <v>#DIV/0!</v>
      </c>
      <c r="AE595" s="61"/>
      <c r="AF595" s="61"/>
      <c r="AG595" s="71">
        <f t="array" ref="AG595">IFERROR(xlookup(G595,'Old Master'!T:T,'Old Master'!V:V),N595)</f>
        <v>0.1005823187</v>
      </c>
      <c r="AH595" s="73">
        <f t="shared" si="229"/>
        <v>1699</v>
      </c>
      <c r="AI595" s="73">
        <f t="shared" si="230"/>
        <v>1439.830508</v>
      </c>
      <c r="AJ595" s="72">
        <f t="shared" si="19"/>
        <v>1</v>
      </c>
      <c r="AK595" s="61"/>
      <c r="AL595" s="71">
        <f t="array" ref="AL595">iferror(if(isblank(xlookup($G595,'Old Master'!$T:$T,'Old Master'!$W:$W)),AG595,xlookup($G595,'Old Master'!$T:$T,'Old Master'!$W:$W)),AG595)</f>
        <v>0.1005823187</v>
      </c>
      <c r="AM595" s="74">
        <f t="shared" si="20"/>
        <v>0.1005823187</v>
      </c>
      <c r="AN595" s="73">
        <f t="shared" si="409"/>
        <v>1699</v>
      </c>
    </row>
    <row r="596">
      <c r="A596" s="65" t="s">
        <v>3349</v>
      </c>
      <c r="B596" s="65" t="str">
        <f t="shared" si="1"/>
        <v>#VALUE!</v>
      </c>
      <c r="C596" s="65" t="str">
        <f t="shared" si="403"/>
        <v>#VALUE!</v>
      </c>
      <c r="D596" s="65" t="s">
        <v>3351</v>
      </c>
      <c r="E596" s="65" t="s">
        <v>3352</v>
      </c>
      <c r="F596" s="65" t="s">
        <v>3353</v>
      </c>
      <c r="G596" s="65" t="s">
        <v>5086</v>
      </c>
      <c r="H596" s="65" t="s">
        <v>4730</v>
      </c>
      <c r="I596" s="65">
        <v>2189.0</v>
      </c>
      <c r="J596" s="66">
        <v>0.1</v>
      </c>
      <c r="K596" s="65">
        <f t="shared" si="3"/>
        <v>1970</v>
      </c>
      <c r="L596" s="66">
        <v>0.1</v>
      </c>
      <c r="M596" s="65">
        <f t="shared" si="4"/>
        <v>1970</v>
      </c>
      <c r="N596" s="67">
        <f t="shared" si="404"/>
        <v>0.08679762449</v>
      </c>
      <c r="O596" s="78">
        <v>1999.0</v>
      </c>
      <c r="P596" s="67">
        <f t="shared" si="405"/>
        <v>0.08679762449</v>
      </c>
      <c r="Q596" s="79">
        <v>1999.0</v>
      </c>
      <c r="R596" s="70"/>
      <c r="S596" s="71">
        <f t="shared" si="406"/>
        <v>0.01472081218</v>
      </c>
      <c r="T596" s="72">
        <f t="shared" si="6"/>
        <v>0</v>
      </c>
      <c r="U596" s="73" t="str">
        <f t="shared" si="408"/>
        <v/>
      </c>
      <c r="V596" s="73">
        <f t="shared" si="340"/>
        <v>1669.491525</v>
      </c>
      <c r="W596" s="73">
        <f t="shared" si="9"/>
        <v>1669.491525</v>
      </c>
      <c r="X596" s="74">
        <f t="shared" si="10"/>
        <v>1</v>
      </c>
      <c r="Y596" s="73">
        <f t="shared" si="333"/>
        <v>0</v>
      </c>
      <c r="Z596" s="73">
        <f t="shared" si="12"/>
        <v>1694.067797</v>
      </c>
      <c r="AA596" s="73">
        <f t="shared" si="13"/>
        <v>1694.067797</v>
      </c>
      <c r="AB596" s="74">
        <f t="shared" si="14"/>
        <v>1</v>
      </c>
      <c r="AC596" s="61" t="str">
        <f t="shared" si="15"/>
        <v>2</v>
      </c>
      <c r="AD596" s="71" t="str">
        <f t="shared" si="16"/>
        <v>#DIV/0!</v>
      </c>
      <c r="AE596" s="61"/>
      <c r="AF596" s="61"/>
      <c r="AG596" s="71">
        <f t="array" ref="AG596">IFERROR(xlookup(G596,'Old Master'!T:T,'Old Master'!V:V),N596)</f>
        <v>0.08679762449</v>
      </c>
      <c r="AH596" s="73">
        <f t="shared" si="229"/>
        <v>1999</v>
      </c>
      <c r="AI596" s="73">
        <f t="shared" si="230"/>
        <v>1694.067797</v>
      </c>
      <c r="AJ596" s="72">
        <f t="shared" si="19"/>
        <v>1</v>
      </c>
      <c r="AK596" s="61"/>
      <c r="AL596" s="71">
        <f t="array" ref="AL596">iferror(if(isblank(xlookup($G596,'Old Master'!$T:$T,'Old Master'!$W:$W)),AG596,xlookup($G596,'Old Master'!$T:$T,'Old Master'!$W:$W)),AG596)</f>
        <v>0.08679762449</v>
      </c>
      <c r="AM596" s="74">
        <f t="shared" si="20"/>
        <v>0.08679762449</v>
      </c>
      <c r="AN596" s="73">
        <f t="shared" si="409"/>
        <v>1999</v>
      </c>
    </row>
    <row r="597">
      <c r="A597" s="65" t="s">
        <v>3325</v>
      </c>
      <c r="B597" s="65" t="str">
        <f t="shared" si="1"/>
        <v>#VALUE!</v>
      </c>
      <c r="C597" s="65" t="str">
        <f t="shared" si="403"/>
        <v>#VALUE!</v>
      </c>
      <c r="D597" s="65" t="s">
        <v>3327</v>
      </c>
      <c r="E597" s="65" t="s">
        <v>3328</v>
      </c>
      <c r="F597" s="65" t="s">
        <v>3329</v>
      </c>
      <c r="G597" s="65" t="s">
        <v>5086</v>
      </c>
      <c r="H597" s="65" t="s">
        <v>4730</v>
      </c>
      <c r="I597" s="65">
        <v>2189.0</v>
      </c>
      <c r="J597" s="66">
        <v>0.1</v>
      </c>
      <c r="K597" s="65">
        <f t="shared" si="3"/>
        <v>1970</v>
      </c>
      <c r="L597" s="66">
        <v>0.1</v>
      </c>
      <c r="M597" s="65">
        <f t="shared" si="4"/>
        <v>1970</v>
      </c>
      <c r="N597" s="67">
        <f t="shared" si="404"/>
        <v>0.08679762449</v>
      </c>
      <c r="O597" s="78">
        <v>1999.0</v>
      </c>
      <c r="P597" s="67">
        <f t="shared" si="405"/>
        <v>0.08679762449</v>
      </c>
      <c r="Q597" s="79">
        <v>1999.0</v>
      </c>
      <c r="R597" s="70"/>
      <c r="S597" s="71">
        <f t="shared" si="406"/>
        <v>0.01472081218</v>
      </c>
      <c r="T597" s="72">
        <f t="shared" si="6"/>
        <v>0</v>
      </c>
      <c r="U597" s="73" t="str">
        <f t="shared" si="408"/>
        <v/>
      </c>
      <c r="V597" s="73">
        <f t="shared" si="340"/>
        <v>1669.491525</v>
      </c>
      <c r="W597" s="73">
        <f t="shared" si="9"/>
        <v>1669.491525</v>
      </c>
      <c r="X597" s="74">
        <f t="shared" si="10"/>
        <v>1</v>
      </c>
      <c r="Y597" s="73">
        <f t="shared" si="333"/>
        <v>0</v>
      </c>
      <c r="Z597" s="73">
        <f t="shared" si="12"/>
        <v>1694.067797</v>
      </c>
      <c r="AA597" s="73">
        <f t="shared" si="13"/>
        <v>1694.067797</v>
      </c>
      <c r="AB597" s="74">
        <f t="shared" si="14"/>
        <v>1</v>
      </c>
      <c r="AC597" s="61" t="str">
        <f t="shared" si="15"/>
        <v>2</v>
      </c>
      <c r="AD597" s="71" t="str">
        <f t="shared" si="16"/>
        <v>#DIV/0!</v>
      </c>
      <c r="AE597" s="61"/>
      <c r="AF597" s="61"/>
      <c r="AG597" s="71">
        <f t="array" ref="AG597">IFERROR(xlookup(G597,'Old Master'!T:T,'Old Master'!V:V),N597)</f>
        <v>0.08679762449</v>
      </c>
      <c r="AH597" s="73">
        <f t="shared" si="229"/>
        <v>1999</v>
      </c>
      <c r="AI597" s="73">
        <f t="shared" si="230"/>
        <v>1694.067797</v>
      </c>
      <c r="AJ597" s="72">
        <f t="shared" si="19"/>
        <v>1</v>
      </c>
      <c r="AK597" s="61"/>
      <c r="AL597" s="71">
        <f t="array" ref="AL597">iferror(if(isblank(xlookup($G597,'Old Master'!$T:$T,'Old Master'!$W:$W)),AG597,xlookup($G597,'Old Master'!$T:$T,'Old Master'!$W:$W)),AG597)</f>
        <v>0.08679762449</v>
      </c>
      <c r="AM597" s="74">
        <f t="shared" si="20"/>
        <v>0.08679762449</v>
      </c>
      <c r="AN597" s="73">
        <f t="shared" si="409"/>
        <v>1999</v>
      </c>
    </row>
    <row r="598">
      <c r="A598" s="65" t="s">
        <v>3253</v>
      </c>
      <c r="B598" s="65" t="str">
        <f t="shared" si="1"/>
        <v>#VALUE!</v>
      </c>
      <c r="C598" s="65" t="str">
        <f t="shared" si="403"/>
        <v>#VALUE!</v>
      </c>
      <c r="D598" s="65" t="s">
        <v>3255</v>
      </c>
      <c r="E598" s="65" t="s">
        <v>3256</v>
      </c>
      <c r="F598" s="65" t="s">
        <v>3257</v>
      </c>
      <c r="G598" s="65" t="s">
        <v>5086</v>
      </c>
      <c r="H598" s="65" t="s">
        <v>4730</v>
      </c>
      <c r="I598" s="65">
        <v>1989.0</v>
      </c>
      <c r="J598" s="66">
        <v>0.1</v>
      </c>
      <c r="K598" s="65">
        <f t="shared" si="3"/>
        <v>1790</v>
      </c>
      <c r="L598" s="66">
        <v>0.1</v>
      </c>
      <c r="M598" s="65">
        <f t="shared" si="4"/>
        <v>1790</v>
      </c>
      <c r="N598" s="67">
        <f t="shared" si="404"/>
        <v>0.09552538964</v>
      </c>
      <c r="O598" s="78">
        <v>1799.0</v>
      </c>
      <c r="P598" s="67">
        <f t="shared" si="405"/>
        <v>0.09552538964</v>
      </c>
      <c r="Q598" s="79">
        <v>1799.0</v>
      </c>
      <c r="R598" s="70"/>
      <c r="S598" s="71">
        <f t="shared" si="406"/>
        <v>0.005027932961</v>
      </c>
      <c r="T598" s="72">
        <f t="shared" si="6"/>
        <v>0</v>
      </c>
      <c r="U598" s="73" t="str">
        <f t="shared" si="408"/>
        <v/>
      </c>
      <c r="V598" s="73">
        <f t="shared" si="340"/>
        <v>1516.949153</v>
      </c>
      <c r="W598" s="73">
        <f t="shared" si="9"/>
        <v>1516.949153</v>
      </c>
      <c r="X598" s="74">
        <f t="shared" si="10"/>
        <v>1</v>
      </c>
      <c r="Y598" s="73">
        <f t="shared" si="333"/>
        <v>0</v>
      </c>
      <c r="Z598" s="73">
        <f t="shared" si="12"/>
        <v>1524.576271</v>
      </c>
      <c r="AA598" s="73">
        <f t="shared" si="13"/>
        <v>1524.576271</v>
      </c>
      <c r="AB598" s="74">
        <f t="shared" si="14"/>
        <v>1</v>
      </c>
      <c r="AC598" s="61" t="str">
        <f t="shared" si="15"/>
        <v>0</v>
      </c>
      <c r="AD598" s="71" t="str">
        <f t="shared" si="16"/>
        <v>#DIV/0!</v>
      </c>
      <c r="AE598" s="61"/>
      <c r="AF598" s="61"/>
      <c r="AG598" s="71">
        <f t="array" ref="AG598">IFERROR(xlookup(G598,'Old Master'!T:T,'Old Master'!V:V),N598)</f>
        <v>0.09552538964</v>
      </c>
      <c r="AH598" s="73">
        <f t="shared" si="229"/>
        <v>1799</v>
      </c>
      <c r="AI598" s="73">
        <f t="shared" si="230"/>
        <v>1524.576271</v>
      </c>
      <c r="AJ598" s="72">
        <f t="shared" si="19"/>
        <v>1</v>
      </c>
      <c r="AK598" s="61"/>
      <c r="AL598" s="71">
        <f t="array" ref="AL598">iferror(if(isblank(xlookup($G598,'Old Master'!$T:$T,'Old Master'!$W:$W)),AG598,xlookup($G598,'Old Master'!$T:$T,'Old Master'!$W:$W)),AG598)</f>
        <v>0.09552538964</v>
      </c>
      <c r="AM598" s="74">
        <f t="shared" si="20"/>
        <v>0.09552538964</v>
      </c>
      <c r="AN598" s="73">
        <f t="shared" si="409"/>
        <v>1799</v>
      </c>
    </row>
    <row r="599">
      <c r="A599" s="65" t="s">
        <v>3277</v>
      </c>
      <c r="B599" s="65" t="str">
        <f t="shared" si="1"/>
        <v>#VALUE!</v>
      </c>
      <c r="C599" s="65" t="str">
        <f t="shared" si="403"/>
        <v>#VALUE!</v>
      </c>
      <c r="D599" s="65" t="s">
        <v>3279</v>
      </c>
      <c r="E599" s="65" t="s">
        <v>3280</v>
      </c>
      <c r="F599" s="65" t="s">
        <v>3281</v>
      </c>
      <c r="G599" s="65" t="s">
        <v>5086</v>
      </c>
      <c r="H599" s="65" t="s">
        <v>4730</v>
      </c>
      <c r="I599" s="65">
        <v>1989.0</v>
      </c>
      <c r="J599" s="66">
        <v>0.1</v>
      </c>
      <c r="K599" s="65">
        <f t="shared" si="3"/>
        <v>1790</v>
      </c>
      <c r="L599" s="66">
        <v>0.1</v>
      </c>
      <c r="M599" s="65">
        <f t="shared" si="4"/>
        <v>1790</v>
      </c>
      <c r="N599" s="67">
        <f t="shared" si="404"/>
        <v>0.09552538964</v>
      </c>
      <c r="O599" s="78">
        <v>1799.0</v>
      </c>
      <c r="P599" s="67">
        <f t="shared" si="405"/>
        <v>0.09552538964</v>
      </c>
      <c r="Q599" s="79">
        <v>1799.0</v>
      </c>
      <c r="R599" s="70"/>
      <c r="S599" s="71">
        <f t="shared" si="406"/>
        <v>0.005027932961</v>
      </c>
      <c r="T599" s="72">
        <f t="shared" si="6"/>
        <v>0</v>
      </c>
      <c r="U599" s="73" t="str">
        <f t="shared" si="408"/>
        <v/>
      </c>
      <c r="V599" s="73">
        <f t="shared" si="340"/>
        <v>1516.949153</v>
      </c>
      <c r="W599" s="73">
        <f t="shared" si="9"/>
        <v>1516.949153</v>
      </c>
      <c r="X599" s="74">
        <f t="shared" si="10"/>
        <v>1</v>
      </c>
      <c r="Y599" s="73">
        <f t="shared" si="333"/>
        <v>0</v>
      </c>
      <c r="Z599" s="73">
        <f t="shared" si="12"/>
        <v>1524.576271</v>
      </c>
      <c r="AA599" s="73">
        <f t="shared" si="13"/>
        <v>1524.576271</v>
      </c>
      <c r="AB599" s="74">
        <f t="shared" si="14"/>
        <v>1</v>
      </c>
      <c r="AC599" s="61" t="str">
        <f t="shared" si="15"/>
        <v>0</v>
      </c>
      <c r="AD599" s="71" t="str">
        <f t="shared" si="16"/>
        <v>#DIV/0!</v>
      </c>
      <c r="AE599" s="61"/>
      <c r="AF599" s="61"/>
      <c r="AG599" s="71">
        <f t="array" ref="AG599">IFERROR(xlookup(G599,'Old Master'!T:T,'Old Master'!V:V),N599)</f>
        <v>0.09552538964</v>
      </c>
      <c r="AH599" s="73">
        <f t="shared" si="229"/>
        <v>1799</v>
      </c>
      <c r="AI599" s="73">
        <f t="shared" si="230"/>
        <v>1524.576271</v>
      </c>
      <c r="AJ599" s="72">
        <f t="shared" si="19"/>
        <v>1</v>
      </c>
      <c r="AK599" s="61"/>
      <c r="AL599" s="71">
        <f t="array" ref="AL599">iferror(if(isblank(xlookup($G599,'Old Master'!$T:$T,'Old Master'!$W:$W)),AG599,xlookup($G599,'Old Master'!$T:$T,'Old Master'!$W:$W)),AG599)</f>
        <v>0.09552538964</v>
      </c>
      <c r="AM599" s="74">
        <f t="shared" si="20"/>
        <v>0.09552538964</v>
      </c>
      <c r="AN599" s="73">
        <f t="shared" si="409"/>
        <v>1799</v>
      </c>
    </row>
    <row r="600">
      <c r="A600" s="65" t="s">
        <v>3301</v>
      </c>
      <c r="B600" s="65" t="str">
        <f t="shared" si="1"/>
        <v>#VALUE!</v>
      </c>
      <c r="C600" s="65" t="str">
        <f t="shared" si="403"/>
        <v>#VALUE!</v>
      </c>
      <c r="D600" s="65" t="s">
        <v>3303</v>
      </c>
      <c r="E600" s="65" t="s">
        <v>3304</v>
      </c>
      <c r="F600" s="65" t="s">
        <v>3305</v>
      </c>
      <c r="G600" s="65" t="s">
        <v>5086</v>
      </c>
      <c r="H600" s="65" t="s">
        <v>4730</v>
      </c>
      <c r="I600" s="65">
        <v>1989.0</v>
      </c>
      <c r="J600" s="66">
        <v>0.1</v>
      </c>
      <c r="K600" s="65">
        <f t="shared" si="3"/>
        <v>1790</v>
      </c>
      <c r="L600" s="66">
        <v>0.1</v>
      </c>
      <c r="M600" s="65">
        <f t="shared" si="4"/>
        <v>1790</v>
      </c>
      <c r="N600" s="67">
        <f t="shared" si="404"/>
        <v>0.09552538964</v>
      </c>
      <c r="O600" s="78">
        <v>1799.0</v>
      </c>
      <c r="P600" s="67">
        <f t="shared" si="405"/>
        <v>0.09552538964</v>
      </c>
      <c r="Q600" s="79">
        <v>1799.0</v>
      </c>
      <c r="R600" s="70"/>
      <c r="S600" s="71">
        <f t="shared" si="406"/>
        <v>0.005027932961</v>
      </c>
      <c r="T600" s="72">
        <f t="shared" si="6"/>
        <v>0</v>
      </c>
      <c r="U600" s="73" t="str">
        <f t="shared" si="408"/>
        <v/>
      </c>
      <c r="V600" s="73">
        <f t="shared" si="340"/>
        <v>1516.949153</v>
      </c>
      <c r="W600" s="73">
        <f t="shared" si="9"/>
        <v>1516.949153</v>
      </c>
      <c r="X600" s="74">
        <f t="shared" si="10"/>
        <v>1</v>
      </c>
      <c r="Y600" s="73">
        <f t="shared" si="333"/>
        <v>0</v>
      </c>
      <c r="Z600" s="73">
        <f t="shared" si="12"/>
        <v>1524.576271</v>
      </c>
      <c r="AA600" s="73">
        <f t="shared" si="13"/>
        <v>1524.576271</v>
      </c>
      <c r="AB600" s="74">
        <f t="shared" si="14"/>
        <v>1</v>
      </c>
      <c r="AC600" s="61" t="str">
        <f t="shared" si="15"/>
        <v>0</v>
      </c>
      <c r="AD600" s="71" t="str">
        <f t="shared" si="16"/>
        <v>#DIV/0!</v>
      </c>
      <c r="AE600" s="61"/>
      <c r="AF600" s="61"/>
      <c r="AG600" s="71">
        <f t="array" ref="AG600">IFERROR(xlookup(G600,'Old Master'!T:T,'Old Master'!V:V),N600)</f>
        <v>0.09552538964</v>
      </c>
      <c r="AH600" s="73">
        <f t="shared" si="229"/>
        <v>1799</v>
      </c>
      <c r="AI600" s="73">
        <f t="shared" si="230"/>
        <v>1524.576271</v>
      </c>
      <c r="AJ600" s="72">
        <f t="shared" si="19"/>
        <v>1</v>
      </c>
      <c r="AK600" s="61"/>
      <c r="AL600" s="71">
        <f t="array" ref="AL600">iferror(if(isblank(xlookup($G600,'Old Master'!$T:$T,'Old Master'!$W:$W)),AG600,xlookup($G600,'Old Master'!$T:$T,'Old Master'!$W:$W)),AG600)</f>
        <v>0.09552538964</v>
      </c>
      <c r="AM600" s="74">
        <f t="shared" si="20"/>
        <v>0.09552538964</v>
      </c>
      <c r="AN600" s="73">
        <f t="shared" si="409"/>
        <v>1799</v>
      </c>
    </row>
    <row r="601">
      <c r="A601" s="65" t="s">
        <v>3205</v>
      </c>
      <c r="B601" s="65" t="str">
        <f t="shared" si="1"/>
        <v>#VALUE!</v>
      </c>
      <c r="C601" s="65" t="str">
        <f t="shared" si="403"/>
        <v>#VALUE!</v>
      </c>
      <c r="D601" s="65" t="s">
        <v>3207</v>
      </c>
      <c r="E601" s="65" t="s">
        <v>3208</v>
      </c>
      <c r="F601" s="65">
        <v>0.0</v>
      </c>
      <c r="G601" s="65" t="s">
        <v>5086</v>
      </c>
      <c r="H601" s="65" t="s">
        <v>4730</v>
      </c>
      <c r="I601" s="65">
        <v>1389.0</v>
      </c>
      <c r="J601" s="66">
        <v>0.1</v>
      </c>
      <c r="K601" s="65">
        <f t="shared" si="3"/>
        <v>1250</v>
      </c>
      <c r="L601" s="66">
        <v>0.1</v>
      </c>
      <c r="M601" s="65">
        <f t="shared" si="4"/>
        <v>1250</v>
      </c>
      <c r="N601" s="67">
        <f t="shared" si="404"/>
        <v>0.1007919366</v>
      </c>
      <c r="O601" s="78">
        <v>1249.0</v>
      </c>
      <c r="P601" s="67">
        <f t="shared" si="405"/>
        <v>0.1007919366</v>
      </c>
      <c r="Q601" s="79">
        <v>1249.0</v>
      </c>
      <c r="R601" s="70"/>
      <c r="S601" s="71">
        <f t="shared" si="406"/>
        <v>-0.0008</v>
      </c>
      <c r="T601" s="72">
        <f t="shared" si="6"/>
        <v>0</v>
      </c>
      <c r="U601" s="73" t="str">
        <f t="shared" si="408"/>
        <v/>
      </c>
      <c r="V601" s="73">
        <f t="shared" si="340"/>
        <v>1059.322034</v>
      </c>
      <c r="W601" s="73">
        <f t="shared" si="9"/>
        <v>1059.322034</v>
      </c>
      <c r="X601" s="74">
        <f t="shared" si="10"/>
        <v>1</v>
      </c>
      <c r="Y601" s="73">
        <f t="shared" si="333"/>
        <v>0</v>
      </c>
      <c r="Z601" s="73">
        <f t="shared" si="12"/>
        <v>1058.474576</v>
      </c>
      <c r="AA601" s="73">
        <f t="shared" si="13"/>
        <v>1058.474576</v>
      </c>
      <c r="AB601" s="74">
        <f t="shared" si="14"/>
        <v>1</v>
      </c>
      <c r="AC601" s="61" t="str">
        <f t="shared" si="15"/>
        <v>6</v>
      </c>
      <c r="AD601" s="71" t="str">
        <f t="shared" si="16"/>
        <v>#DIV/0!</v>
      </c>
      <c r="AE601" s="61"/>
      <c r="AF601" s="61"/>
      <c r="AG601" s="71">
        <f t="array" ref="AG601">IFERROR(xlookup(G601,'Old Master'!T:T,'Old Master'!V:V),N601)</f>
        <v>0.1007919366</v>
      </c>
      <c r="AH601" s="73">
        <f t="shared" si="229"/>
        <v>1249</v>
      </c>
      <c r="AI601" s="73">
        <f t="shared" si="230"/>
        <v>1058.474576</v>
      </c>
      <c r="AJ601" s="72">
        <f t="shared" si="19"/>
        <v>1</v>
      </c>
      <c r="AK601" s="61"/>
      <c r="AL601" s="71">
        <f t="array" ref="AL601">iferror(if(isblank(xlookup($G601,'Old Master'!$T:$T,'Old Master'!$W:$W)),AG601,xlookup($G601,'Old Master'!$T:$T,'Old Master'!$W:$W)),AG601)</f>
        <v>0.1007919366</v>
      </c>
      <c r="AM601" s="74">
        <f t="shared" si="20"/>
        <v>0.1367890569</v>
      </c>
      <c r="AN601" s="73">
        <f t="shared" si="409"/>
        <v>1199</v>
      </c>
    </row>
    <row r="602">
      <c r="A602" s="65" t="s">
        <v>3379</v>
      </c>
      <c r="B602" s="65" t="str">
        <f t="shared" si="1"/>
        <v>#VALUE!</v>
      </c>
      <c r="C602" s="65" t="str">
        <f t="shared" si="403"/>
        <v>#VALUE!</v>
      </c>
      <c r="D602" s="65" t="s">
        <v>3381</v>
      </c>
      <c r="E602" s="65" t="s">
        <v>3382</v>
      </c>
      <c r="F602" s="65" t="s">
        <v>3383</v>
      </c>
      <c r="G602" s="65" t="s">
        <v>5086</v>
      </c>
      <c r="H602" s="65" t="s">
        <v>4730</v>
      </c>
      <c r="I602" s="65">
        <v>2189.0</v>
      </c>
      <c r="J602" s="66">
        <v>0.1</v>
      </c>
      <c r="K602" s="65">
        <f t="shared" si="3"/>
        <v>1970</v>
      </c>
      <c r="L602" s="66">
        <v>0.1</v>
      </c>
      <c r="M602" s="65">
        <f t="shared" si="4"/>
        <v>1970</v>
      </c>
      <c r="N602" s="67">
        <f t="shared" si="404"/>
        <v>0.08679762449</v>
      </c>
      <c r="O602" s="78">
        <v>1999.0</v>
      </c>
      <c r="P602" s="67">
        <f t="shared" si="405"/>
        <v>0.08679762449</v>
      </c>
      <c r="Q602" s="79">
        <v>1999.0</v>
      </c>
      <c r="R602" s="70"/>
      <c r="S602" s="71">
        <f t="shared" si="406"/>
        <v>0.01472081218</v>
      </c>
      <c r="T602" s="72">
        <f t="shared" si="6"/>
        <v>0</v>
      </c>
      <c r="U602" s="73" t="str">
        <f t="shared" si="408"/>
        <v/>
      </c>
      <c r="V602" s="73">
        <f t="shared" si="340"/>
        <v>1669.491525</v>
      </c>
      <c r="W602" s="73">
        <f t="shared" si="9"/>
        <v>1669.491525</v>
      </c>
      <c r="X602" s="74">
        <f t="shared" si="10"/>
        <v>1</v>
      </c>
      <c r="Y602" s="73">
        <f t="shared" si="333"/>
        <v>0</v>
      </c>
      <c r="Z602" s="73">
        <f t="shared" si="12"/>
        <v>1694.067797</v>
      </c>
      <c r="AA602" s="73">
        <f t="shared" si="13"/>
        <v>1694.067797</v>
      </c>
      <c r="AB602" s="74">
        <f t="shared" si="14"/>
        <v>1</v>
      </c>
      <c r="AC602" s="61" t="str">
        <f t="shared" si="15"/>
        <v>2</v>
      </c>
      <c r="AD602" s="71" t="str">
        <f t="shared" si="16"/>
        <v>#DIV/0!</v>
      </c>
      <c r="AE602" s="61"/>
      <c r="AF602" s="61"/>
      <c r="AG602" s="71">
        <f t="array" ref="AG602">IFERROR(xlookup(G602,'Old Master'!T:T,'Old Master'!V:V),N602)</f>
        <v>0.08679762449</v>
      </c>
      <c r="AH602" s="73">
        <f t="shared" si="229"/>
        <v>1999</v>
      </c>
      <c r="AI602" s="73">
        <f t="shared" si="230"/>
        <v>1694.067797</v>
      </c>
      <c r="AJ602" s="72">
        <f t="shared" si="19"/>
        <v>1</v>
      </c>
      <c r="AK602" s="61"/>
      <c r="AL602" s="71">
        <f t="array" ref="AL602">iferror(if(isblank(xlookup($G602,'Old Master'!$T:$T,'Old Master'!$W:$W)),AG602,xlookup($G602,'Old Master'!$T:$T,'Old Master'!$W:$W)),AG602)</f>
        <v>0.08679762449</v>
      </c>
      <c r="AM602" s="74">
        <f t="shared" si="20"/>
        <v>0.08679762449</v>
      </c>
      <c r="AN602" s="73">
        <f t="shared" si="409"/>
        <v>1999</v>
      </c>
    </row>
    <row r="603">
      <c r="A603" s="65" t="s">
        <v>3355</v>
      </c>
      <c r="B603" s="65" t="str">
        <f t="shared" si="1"/>
        <v>#VALUE!</v>
      </c>
      <c r="C603" s="65" t="str">
        <f t="shared" si="403"/>
        <v>#VALUE!</v>
      </c>
      <c r="D603" s="65" t="s">
        <v>3357</v>
      </c>
      <c r="E603" s="65" t="s">
        <v>3358</v>
      </c>
      <c r="F603" s="65">
        <v>0.0</v>
      </c>
      <c r="G603" s="65" t="s">
        <v>5086</v>
      </c>
      <c r="H603" s="65" t="s">
        <v>4730</v>
      </c>
      <c r="I603" s="65">
        <v>2189.0</v>
      </c>
      <c r="J603" s="66">
        <v>0.1</v>
      </c>
      <c r="K603" s="65">
        <f t="shared" si="3"/>
        <v>1970</v>
      </c>
      <c r="L603" s="66">
        <v>0.1</v>
      </c>
      <c r="M603" s="65">
        <f t="shared" si="4"/>
        <v>1970</v>
      </c>
      <c r="N603" s="67">
        <f t="shared" si="404"/>
        <v>0.08679762449</v>
      </c>
      <c r="O603" s="78">
        <v>1999.0</v>
      </c>
      <c r="P603" s="67">
        <f t="shared" si="405"/>
        <v>0.08679762449</v>
      </c>
      <c r="Q603" s="79">
        <v>1999.0</v>
      </c>
      <c r="R603" s="70"/>
      <c r="S603" s="71">
        <f t="shared" si="406"/>
        <v>0.01472081218</v>
      </c>
      <c r="T603" s="72">
        <f t="shared" si="6"/>
        <v>0</v>
      </c>
      <c r="U603" s="73" t="str">
        <f t="shared" si="408"/>
        <v/>
      </c>
      <c r="V603" s="73">
        <f t="shared" si="340"/>
        <v>1669.491525</v>
      </c>
      <c r="W603" s="73">
        <f t="shared" si="9"/>
        <v>1669.491525</v>
      </c>
      <c r="X603" s="74">
        <f t="shared" si="10"/>
        <v>1</v>
      </c>
      <c r="Y603" s="73">
        <f t="shared" si="333"/>
        <v>0</v>
      </c>
      <c r="Z603" s="73">
        <f t="shared" si="12"/>
        <v>1694.067797</v>
      </c>
      <c r="AA603" s="73">
        <f t="shared" si="13"/>
        <v>1694.067797</v>
      </c>
      <c r="AB603" s="74">
        <f t="shared" si="14"/>
        <v>1</v>
      </c>
      <c r="AC603" s="61" t="str">
        <f t="shared" si="15"/>
        <v>2</v>
      </c>
      <c r="AD603" s="71" t="str">
        <f t="shared" si="16"/>
        <v>#DIV/0!</v>
      </c>
      <c r="AE603" s="61"/>
      <c r="AF603" s="61"/>
      <c r="AG603" s="71">
        <f t="array" ref="AG603">IFERROR(xlookup(G603,'Old Master'!T:T,'Old Master'!V:V),N603)</f>
        <v>0.08679762449</v>
      </c>
      <c r="AH603" s="73">
        <f t="shared" si="229"/>
        <v>1999</v>
      </c>
      <c r="AI603" s="73">
        <f t="shared" si="230"/>
        <v>1694.067797</v>
      </c>
      <c r="AJ603" s="72">
        <f t="shared" si="19"/>
        <v>1</v>
      </c>
      <c r="AK603" s="61"/>
      <c r="AL603" s="71">
        <f t="array" ref="AL603">iferror(if(isblank(xlookup($G603,'Old Master'!$T:$T,'Old Master'!$W:$W)),AG603,xlookup($G603,'Old Master'!$T:$T,'Old Master'!$W:$W)),AG603)</f>
        <v>0.08679762449</v>
      </c>
      <c r="AM603" s="74">
        <f t="shared" si="20"/>
        <v>0.08679762449</v>
      </c>
      <c r="AN603" s="73">
        <f t="shared" si="409"/>
        <v>1999</v>
      </c>
    </row>
    <row r="604">
      <c r="A604" s="65" t="s">
        <v>3259</v>
      </c>
      <c r="B604" s="65" t="str">
        <f t="shared" si="1"/>
        <v>#VALUE!</v>
      </c>
      <c r="C604" s="65" t="str">
        <f t="shared" si="403"/>
        <v>#VALUE!</v>
      </c>
      <c r="D604" s="65" t="s">
        <v>3261</v>
      </c>
      <c r="E604" s="65" t="s">
        <v>3262</v>
      </c>
      <c r="F604" s="65">
        <v>0.0</v>
      </c>
      <c r="G604" s="65" t="s">
        <v>5086</v>
      </c>
      <c r="H604" s="65" t="s">
        <v>4730</v>
      </c>
      <c r="I604" s="65">
        <v>1989.0</v>
      </c>
      <c r="J604" s="66">
        <v>0.1</v>
      </c>
      <c r="K604" s="65">
        <f t="shared" si="3"/>
        <v>1790</v>
      </c>
      <c r="L604" s="66">
        <v>0.1</v>
      </c>
      <c r="M604" s="65">
        <f t="shared" si="4"/>
        <v>1790</v>
      </c>
      <c r="N604" s="67">
        <f t="shared" si="404"/>
        <v>0.09552538964</v>
      </c>
      <c r="O604" s="78">
        <v>1799.0</v>
      </c>
      <c r="P604" s="67">
        <f t="shared" si="405"/>
        <v>0.09552538964</v>
      </c>
      <c r="Q604" s="79">
        <v>1799.0</v>
      </c>
      <c r="R604" s="70"/>
      <c r="S604" s="71">
        <f t="shared" si="406"/>
        <v>0.005027932961</v>
      </c>
      <c r="T604" s="72">
        <f t="shared" si="6"/>
        <v>0</v>
      </c>
      <c r="U604" s="73" t="str">
        <f t="shared" si="408"/>
        <v/>
      </c>
      <c r="V604" s="73">
        <f t="shared" si="340"/>
        <v>1516.949153</v>
      </c>
      <c r="W604" s="73">
        <f t="shared" si="9"/>
        <v>1516.949153</v>
      </c>
      <c r="X604" s="74">
        <f t="shared" si="10"/>
        <v>1</v>
      </c>
      <c r="Y604" s="73">
        <f t="shared" si="333"/>
        <v>0</v>
      </c>
      <c r="Z604" s="73">
        <f t="shared" si="12"/>
        <v>1524.576271</v>
      </c>
      <c r="AA604" s="73">
        <f t="shared" si="13"/>
        <v>1524.576271</v>
      </c>
      <c r="AB604" s="74">
        <f t="shared" si="14"/>
        <v>1</v>
      </c>
      <c r="AC604" s="61" t="str">
        <f t="shared" si="15"/>
        <v>0</v>
      </c>
      <c r="AD604" s="71" t="str">
        <f t="shared" si="16"/>
        <v>#DIV/0!</v>
      </c>
      <c r="AE604" s="61"/>
      <c r="AF604" s="61"/>
      <c r="AG604" s="71">
        <f t="array" ref="AG604">IFERROR(xlookup(G604,'Old Master'!T:T,'Old Master'!V:V),N604)</f>
        <v>0.09552538964</v>
      </c>
      <c r="AH604" s="73">
        <f t="shared" si="229"/>
        <v>1799</v>
      </c>
      <c r="AI604" s="73">
        <f t="shared" si="230"/>
        <v>1524.576271</v>
      </c>
      <c r="AJ604" s="72">
        <f t="shared" si="19"/>
        <v>1</v>
      </c>
      <c r="AK604" s="61"/>
      <c r="AL604" s="71">
        <f t="array" ref="AL604">iferror(if(isblank(xlookup($G604,'Old Master'!$T:$T,'Old Master'!$W:$W)),AG604,xlookup($G604,'Old Master'!$T:$T,'Old Master'!$W:$W)),AG604)</f>
        <v>0.09552538964</v>
      </c>
      <c r="AM604" s="74">
        <f t="shared" si="20"/>
        <v>0.09552538964</v>
      </c>
      <c r="AN604" s="73">
        <f t="shared" si="409"/>
        <v>1799</v>
      </c>
    </row>
    <row r="605">
      <c r="A605" s="65" t="s">
        <v>3283</v>
      </c>
      <c r="B605" s="65" t="str">
        <f t="shared" si="1"/>
        <v>#VALUE!</v>
      </c>
      <c r="C605" s="65" t="str">
        <f t="shared" si="403"/>
        <v>#VALUE!</v>
      </c>
      <c r="D605" s="65" t="s">
        <v>3285</v>
      </c>
      <c r="E605" s="65" t="s">
        <v>3286</v>
      </c>
      <c r="F605" s="65" t="s">
        <v>3287</v>
      </c>
      <c r="G605" s="65" t="s">
        <v>5086</v>
      </c>
      <c r="H605" s="65" t="s">
        <v>4730</v>
      </c>
      <c r="I605" s="65">
        <v>1989.0</v>
      </c>
      <c r="J605" s="66">
        <v>0.1</v>
      </c>
      <c r="K605" s="65">
        <f t="shared" si="3"/>
        <v>1790</v>
      </c>
      <c r="L605" s="66">
        <v>0.1</v>
      </c>
      <c r="M605" s="65">
        <f t="shared" si="4"/>
        <v>1790</v>
      </c>
      <c r="N605" s="67">
        <f t="shared" si="404"/>
        <v>0.09552538964</v>
      </c>
      <c r="O605" s="78">
        <v>1799.0</v>
      </c>
      <c r="P605" s="67">
        <f t="shared" si="405"/>
        <v>0.09552538964</v>
      </c>
      <c r="Q605" s="79">
        <v>1799.0</v>
      </c>
      <c r="R605" s="70"/>
      <c r="S605" s="71">
        <f t="shared" si="406"/>
        <v>0.005027932961</v>
      </c>
      <c r="T605" s="72">
        <f t="shared" si="6"/>
        <v>0</v>
      </c>
      <c r="U605" s="73" t="str">
        <f t="shared" si="408"/>
        <v/>
      </c>
      <c r="V605" s="73">
        <f t="shared" si="340"/>
        <v>1516.949153</v>
      </c>
      <c r="W605" s="73">
        <f t="shared" si="9"/>
        <v>1516.949153</v>
      </c>
      <c r="X605" s="74">
        <f t="shared" si="10"/>
        <v>1</v>
      </c>
      <c r="Y605" s="73">
        <f t="shared" si="333"/>
        <v>0</v>
      </c>
      <c r="Z605" s="73">
        <f t="shared" si="12"/>
        <v>1524.576271</v>
      </c>
      <c r="AA605" s="73">
        <f t="shared" si="13"/>
        <v>1524.576271</v>
      </c>
      <c r="AB605" s="74">
        <f t="shared" si="14"/>
        <v>1</v>
      </c>
      <c r="AC605" s="61" t="str">
        <f t="shared" si="15"/>
        <v>0</v>
      </c>
      <c r="AD605" s="71" t="str">
        <f t="shared" si="16"/>
        <v>#DIV/0!</v>
      </c>
      <c r="AE605" s="61"/>
      <c r="AF605" s="61"/>
      <c r="AG605" s="71">
        <f t="array" ref="AG605">IFERROR(xlookup(G605,'Old Master'!T:T,'Old Master'!V:V),N605)</f>
        <v>0.09552538964</v>
      </c>
      <c r="AH605" s="73">
        <f t="shared" si="229"/>
        <v>1799</v>
      </c>
      <c r="AI605" s="73">
        <f t="shared" si="230"/>
        <v>1524.576271</v>
      </c>
      <c r="AJ605" s="72">
        <f t="shared" si="19"/>
        <v>1</v>
      </c>
      <c r="AK605" s="61"/>
      <c r="AL605" s="71">
        <f t="array" ref="AL605">iferror(if(isblank(xlookup($G605,'Old Master'!$T:$T,'Old Master'!$W:$W)),AG605,xlookup($G605,'Old Master'!$T:$T,'Old Master'!$W:$W)),AG605)</f>
        <v>0.09552538964</v>
      </c>
      <c r="AM605" s="74">
        <f t="shared" si="20"/>
        <v>0.09552538964</v>
      </c>
      <c r="AN605" s="73">
        <f t="shared" si="409"/>
        <v>1799</v>
      </c>
    </row>
    <row r="606">
      <c r="A606" s="65" t="s">
        <v>3211</v>
      </c>
      <c r="B606" s="65" t="str">
        <f t="shared" si="1"/>
        <v>#VALUE!</v>
      </c>
      <c r="C606" s="65" t="str">
        <f t="shared" si="403"/>
        <v>#VALUE!</v>
      </c>
      <c r="D606" s="65" t="s">
        <v>3213</v>
      </c>
      <c r="E606" s="65" t="s">
        <v>3214</v>
      </c>
      <c r="F606" s="65" t="s">
        <v>3215</v>
      </c>
      <c r="G606" s="65" t="s">
        <v>5086</v>
      </c>
      <c r="H606" s="65" t="s">
        <v>4730</v>
      </c>
      <c r="I606" s="65">
        <v>1389.0</v>
      </c>
      <c r="J606" s="66">
        <v>0.1</v>
      </c>
      <c r="K606" s="65">
        <f t="shared" si="3"/>
        <v>1250</v>
      </c>
      <c r="L606" s="66">
        <v>0.1</v>
      </c>
      <c r="M606" s="65">
        <f t="shared" si="4"/>
        <v>1250</v>
      </c>
      <c r="N606" s="67">
        <f t="shared" si="404"/>
        <v>0.1007919366</v>
      </c>
      <c r="O606" s="78">
        <v>1249.0</v>
      </c>
      <c r="P606" s="67">
        <f t="shared" si="405"/>
        <v>0.1007919366</v>
      </c>
      <c r="Q606" s="79">
        <v>1249.0</v>
      </c>
      <c r="R606" s="70"/>
      <c r="S606" s="71">
        <f t="shared" si="406"/>
        <v>-0.0008</v>
      </c>
      <c r="T606" s="72">
        <f t="shared" si="6"/>
        <v>0</v>
      </c>
      <c r="U606" s="73" t="str">
        <f t="shared" si="408"/>
        <v/>
      </c>
      <c r="V606" s="73">
        <f t="shared" si="340"/>
        <v>1059.322034</v>
      </c>
      <c r="W606" s="73">
        <f t="shared" si="9"/>
        <v>1059.322034</v>
      </c>
      <c r="X606" s="74">
        <f t="shared" si="10"/>
        <v>1</v>
      </c>
      <c r="Y606" s="73">
        <f t="shared" si="333"/>
        <v>0</v>
      </c>
      <c r="Z606" s="73">
        <f t="shared" si="12"/>
        <v>1058.474576</v>
      </c>
      <c r="AA606" s="73">
        <f t="shared" si="13"/>
        <v>1058.474576</v>
      </c>
      <c r="AB606" s="74">
        <f t="shared" si="14"/>
        <v>1</v>
      </c>
      <c r="AC606" s="61" t="str">
        <f t="shared" si="15"/>
        <v>6</v>
      </c>
      <c r="AD606" s="71" t="str">
        <f t="shared" si="16"/>
        <v>#DIV/0!</v>
      </c>
      <c r="AE606" s="61"/>
      <c r="AF606" s="61"/>
      <c r="AG606" s="71">
        <f t="array" ref="AG606">IFERROR(xlookup(G606,'Old Master'!T:T,'Old Master'!V:V),N606)</f>
        <v>0.1007919366</v>
      </c>
      <c r="AH606" s="73">
        <f t="shared" si="229"/>
        <v>1249</v>
      </c>
      <c r="AI606" s="73">
        <f t="shared" si="230"/>
        <v>1058.474576</v>
      </c>
      <c r="AJ606" s="72">
        <f t="shared" si="19"/>
        <v>1</v>
      </c>
      <c r="AK606" s="61"/>
      <c r="AL606" s="71">
        <f t="array" ref="AL606">iferror(if(isblank(xlookup($G606,'Old Master'!$T:$T,'Old Master'!$W:$W)),AG606,xlookup($G606,'Old Master'!$T:$T,'Old Master'!$W:$W)),AG606)</f>
        <v>0.1007919366</v>
      </c>
      <c r="AM606" s="74">
        <f t="shared" si="20"/>
        <v>0.1367890569</v>
      </c>
      <c r="AN606" s="73">
        <f t="shared" si="409"/>
        <v>1199</v>
      </c>
    </row>
    <row r="607">
      <c r="A607" s="65" t="s">
        <v>5410</v>
      </c>
      <c r="B607" s="65" t="str">
        <f t="shared" si="1"/>
        <v>#VALUE!</v>
      </c>
      <c r="C607" s="65" t="str">
        <f t="shared" si="403"/>
        <v>#VALUE!</v>
      </c>
      <c r="D607" s="65" t="s">
        <v>3016</v>
      </c>
      <c r="E607" s="65" t="s">
        <v>3017</v>
      </c>
      <c r="F607" s="65" t="s">
        <v>3018</v>
      </c>
      <c r="G607" s="65" t="s">
        <v>5086</v>
      </c>
      <c r="H607" s="65" t="s">
        <v>4730</v>
      </c>
      <c r="I607" s="65">
        <v>2089.0</v>
      </c>
      <c r="J607" s="66">
        <v>0.1</v>
      </c>
      <c r="K607" s="65">
        <f t="shared" si="3"/>
        <v>1880</v>
      </c>
      <c r="L607" s="66">
        <v>0.1</v>
      </c>
      <c r="M607" s="65">
        <f t="shared" si="4"/>
        <v>1880</v>
      </c>
      <c r="N607" s="67">
        <f t="shared" si="404"/>
        <v>0.0909526089</v>
      </c>
      <c r="O607" s="78">
        <v>1899.0</v>
      </c>
      <c r="P607" s="67">
        <f t="shared" si="405"/>
        <v>0.0909526089</v>
      </c>
      <c r="Q607" s="79">
        <v>1899.0</v>
      </c>
      <c r="R607" s="70"/>
      <c r="S607" s="71">
        <f t="shared" si="406"/>
        <v>0.01010638298</v>
      </c>
      <c r="T607" s="72">
        <f t="shared" si="6"/>
        <v>0</v>
      </c>
      <c r="U607" s="73" t="str">
        <f t="shared" si="408"/>
        <v/>
      </c>
      <c r="V607" s="73">
        <f t="shared" si="340"/>
        <v>1593.220339</v>
      </c>
      <c r="W607" s="73">
        <f t="shared" si="9"/>
        <v>1593.220339</v>
      </c>
      <c r="X607" s="74">
        <f t="shared" si="10"/>
        <v>1</v>
      </c>
      <c r="Y607" s="73">
        <f t="shared" si="333"/>
        <v>0</v>
      </c>
      <c r="Z607" s="73">
        <f t="shared" si="12"/>
        <v>1609.322034</v>
      </c>
      <c r="AA607" s="73">
        <f t="shared" si="13"/>
        <v>1609.322034</v>
      </c>
      <c r="AB607" s="74">
        <f t="shared" si="14"/>
        <v>1</v>
      </c>
      <c r="AC607" s="61" t="str">
        <f t="shared" si="15"/>
        <v>0</v>
      </c>
      <c r="AD607" s="71" t="str">
        <f t="shared" si="16"/>
        <v>#DIV/0!</v>
      </c>
      <c r="AE607" s="61"/>
      <c r="AF607" s="61"/>
      <c r="AG607" s="71">
        <f t="array" ref="AG607">IFERROR(xlookup(G607,'Old Master'!T:T,'Old Master'!V:V),N607)</f>
        <v>0.0909526089</v>
      </c>
      <c r="AH607" s="73">
        <f t="shared" si="229"/>
        <v>1899</v>
      </c>
      <c r="AI607" s="73">
        <f t="shared" si="230"/>
        <v>1609.322034</v>
      </c>
      <c r="AJ607" s="72">
        <f t="shared" si="19"/>
        <v>1</v>
      </c>
      <c r="AK607" s="61"/>
      <c r="AL607" s="71">
        <f t="array" ref="AL607">iferror(if(isblank(xlookup($G607,'Old Master'!$T:$T,'Old Master'!$W:$W)),AG607,xlookup($G607,'Old Master'!$T:$T,'Old Master'!$W:$W)),AG607)</f>
        <v>0.0909526089</v>
      </c>
      <c r="AM607" s="74">
        <f t="shared" si="20"/>
        <v>0.0909526089</v>
      </c>
      <c r="AN607" s="73">
        <f t="shared" si="409"/>
        <v>1899</v>
      </c>
    </row>
    <row r="608">
      <c r="A608" s="65" t="s">
        <v>3247</v>
      </c>
      <c r="B608" s="65" t="str">
        <f t="shared" si="1"/>
        <v>#VALUE!</v>
      </c>
      <c r="C608" s="65" t="str">
        <f t="shared" si="403"/>
        <v>#VALUE!</v>
      </c>
      <c r="D608" s="65" t="s">
        <v>3249</v>
      </c>
      <c r="E608" s="65" t="s">
        <v>3250</v>
      </c>
      <c r="F608" s="65" t="s">
        <v>3251</v>
      </c>
      <c r="G608" s="65" t="s">
        <v>5086</v>
      </c>
      <c r="H608" s="65" t="s">
        <v>4730</v>
      </c>
      <c r="I608" s="65">
        <v>1889.0</v>
      </c>
      <c r="J608" s="66">
        <v>0.1</v>
      </c>
      <c r="K608" s="65">
        <f t="shared" si="3"/>
        <v>1700</v>
      </c>
      <c r="L608" s="66">
        <v>0.1</v>
      </c>
      <c r="M608" s="65">
        <f t="shared" si="4"/>
        <v>1700</v>
      </c>
      <c r="N608" s="67">
        <f t="shared" si="404"/>
        <v>0.1005823187</v>
      </c>
      <c r="O608" s="78">
        <v>1699.0</v>
      </c>
      <c r="P608" s="67">
        <f t="shared" si="405"/>
        <v>0.1005823187</v>
      </c>
      <c r="Q608" s="79">
        <v>1699.0</v>
      </c>
      <c r="R608" s="70"/>
      <c r="S608" s="71">
        <f t="shared" si="406"/>
        <v>-0.0005882352941</v>
      </c>
      <c r="T608" s="72">
        <f t="shared" si="6"/>
        <v>0</v>
      </c>
      <c r="U608" s="73" t="str">
        <f t="shared" si="408"/>
        <v/>
      </c>
      <c r="V608" s="73">
        <f t="shared" si="340"/>
        <v>1440.677966</v>
      </c>
      <c r="W608" s="73">
        <f t="shared" si="9"/>
        <v>1440.677966</v>
      </c>
      <c r="X608" s="74">
        <f t="shared" si="10"/>
        <v>1</v>
      </c>
      <c r="Y608" s="73">
        <f t="shared" si="333"/>
        <v>0</v>
      </c>
      <c r="Z608" s="73">
        <f t="shared" si="12"/>
        <v>1439.830508</v>
      </c>
      <c r="AA608" s="73">
        <f t="shared" si="13"/>
        <v>1439.830508</v>
      </c>
      <c r="AB608" s="74">
        <f t="shared" si="14"/>
        <v>1</v>
      </c>
      <c r="AC608" s="61" t="str">
        <f t="shared" si="15"/>
        <v>8</v>
      </c>
      <c r="AD608" s="71" t="str">
        <f t="shared" si="16"/>
        <v>#DIV/0!</v>
      </c>
      <c r="AE608" s="61"/>
      <c r="AF608" s="61"/>
      <c r="AG608" s="71">
        <f t="array" ref="AG608">IFERROR(xlookup(G608,'Old Master'!T:T,'Old Master'!V:V),N608)</f>
        <v>0.1005823187</v>
      </c>
      <c r="AH608" s="73">
        <f t="shared" si="229"/>
        <v>1699</v>
      </c>
      <c r="AI608" s="73">
        <f t="shared" si="230"/>
        <v>1439.830508</v>
      </c>
      <c r="AJ608" s="72">
        <f t="shared" si="19"/>
        <v>1</v>
      </c>
      <c r="AK608" s="61"/>
      <c r="AL608" s="71">
        <f t="array" ref="AL608">iferror(if(isblank(xlookup($G608,'Old Master'!$T:$T,'Old Master'!$W:$W)),AG608,xlookup($G608,'Old Master'!$T:$T,'Old Master'!$W:$W)),AG608)</f>
        <v>0.1005823187</v>
      </c>
      <c r="AM608" s="74">
        <f t="shared" si="20"/>
        <v>0.1005823187</v>
      </c>
      <c r="AN608" s="73">
        <f t="shared" si="409"/>
        <v>1699</v>
      </c>
    </row>
    <row r="609">
      <c r="A609" s="65" t="s">
        <v>3391</v>
      </c>
      <c r="B609" s="65" t="str">
        <f t="shared" si="1"/>
        <v>#VALUE!</v>
      </c>
      <c r="C609" s="65" t="str">
        <f t="shared" si="403"/>
        <v>#VALUE!</v>
      </c>
      <c r="D609" s="65" t="s">
        <v>3393</v>
      </c>
      <c r="E609" s="65" t="s">
        <v>3394</v>
      </c>
      <c r="F609" s="65" t="s">
        <v>3395</v>
      </c>
      <c r="G609" s="65" t="s">
        <v>5086</v>
      </c>
      <c r="H609" s="65" t="s">
        <v>4730</v>
      </c>
      <c r="I609" s="65">
        <v>2189.0</v>
      </c>
      <c r="J609" s="66">
        <v>0.1</v>
      </c>
      <c r="K609" s="65">
        <f t="shared" si="3"/>
        <v>1970</v>
      </c>
      <c r="L609" s="66">
        <v>0.1</v>
      </c>
      <c r="M609" s="65">
        <f t="shared" si="4"/>
        <v>1970</v>
      </c>
      <c r="N609" s="67">
        <f t="shared" si="404"/>
        <v>0.08679762449</v>
      </c>
      <c r="O609" s="78">
        <v>1999.0</v>
      </c>
      <c r="P609" s="67">
        <f t="shared" si="405"/>
        <v>0.08679762449</v>
      </c>
      <c r="Q609" s="79">
        <v>1999.0</v>
      </c>
      <c r="R609" s="70"/>
      <c r="S609" s="71">
        <f t="shared" si="406"/>
        <v>0.01472081218</v>
      </c>
      <c r="T609" s="72">
        <f t="shared" si="6"/>
        <v>0</v>
      </c>
      <c r="U609" s="73" t="str">
        <f t="shared" si="408"/>
        <v/>
      </c>
      <c r="V609" s="73">
        <f t="shared" si="340"/>
        <v>1669.491525</v>
      </c>
      <c r="W609" s="73">
        <f t="shared" si="9"/>
        <v>1669.491525</v>
      </c>
      <c r="X609" s="74">
        <f t="shared" si="10"/>
        <v>1</v>
      </c>
      <c r="Y609" s="73">
        <f t="shared" si="333"/>
        <v>0</v>
      </c>
      <c r="Z609" s="73">
        <f t="shared" si="12"/>
        <v>1694.067797</v>
      </c>
      <c r="AA609" s="73">
        <f t="shared" si="13"/>
        <v>1694.067797</v>
      </c>
      <c r="AB609" s="74">
        <f t="shared" si="14"/>
        <v>1</v>
      </c>
      <c r="AC609" s="61" t="str">
        <f t="shared" si="15"/>
        <v>2</v>
      </c>
      <c r="AD609" s="71" t="str">
        <f t="shared" si="16"/>
        <v>#DIV/0!</v>
      </c>
      <c r="AE609" s="61"/>
      <c r="AF609" s="61"/>
      <c r="AG609" s="71">
        <f t="array" ref="AG609">IFERROR(xlookup(G609,'Old Master'!T:T,'Old Master'!V:V),N609)</f>
        <v>0.08679762449</v>
      </c>
      <c r="AH609" s="73">
        <f t="shared" si="229"/>
        <v>1999</v>
      </c>
      <c r="AI609" s="73">
        <f t="shared" si="230"/>
        <v>1694.067797</v>
      </c>
      <c r="AJ609" s="72">
        <f t="shared" si="19"/>
        <v>1</v>
      </c>
      <c r="AK609" s="61"/>
      <c r="AL609" s="71">
        <f t="array" ref="AL609">iferror(if(isblank(xlookup($G609,'Old Master'!$T:$T,'Old Master'!$W:$W)),AG609,xlookup($G609,'Old Master'!$T:$T,'Old Master'!$W:$W)),AG609)</f>
        <v>0.08679762449</v>
      </c>
      <c r="AM609" s="74">
        <f t="shared" si="20"/>
        <v>0.08679762449</v>
      </c>
      <c r="AN609" s="73">
        <f t="shared" si="409"/>
        <v>1999</v>
      </c>
    </row>
    <row r="610">
      <c r="A610" s="65" t="s">
        <v>3367</v>
      </c>
      <c r="B610" s="65" t="str">
        <f t="shared" si="1"/>
        <v>#VALUE!</v>
      </c>
      <c r="C610" s="65" t="str">
        <f t="shared" si="403"/>
        <v>#VALUE!</v>
      </c>
      <c r="D610" s="65" t="s">
        <v>3369</v>
      </c>
      <c r="E610" s="65" t="s">
        <v>3370</v>
      </c>
      <c r="F610" s="65">
        <v>0.0</v>
      </c>
      <c r="G610" s="65" t="s">
        <v>5086</v>
      </c>
      <c r="H610" s="65" t="s">
        <v>4730</v>
      </c>
      <c r="I610" s="65">
        <v>2189.0</v>
      </c>
      <c r="J610" s="66">
        <v>0.1</v>
      </c>
      <c r="K610" s="65">
        <f t="shared" si="3"/>
        <v>1970</v>
      </c>
      <c r="L610" s="66">
        <v>0.1</v>
      </c>
      <c r="M610" s="65">
        <f t="shared" si="4"/>
        <v>1970</v>
      </c>
      <c r="N610" s="67">
        <f t="shared" si="404"/>
        <v>0.08679762449</v>
      </c>
      <c r="O610" s="78">
        <v>1999.0</v>
      </c>
      <c r="P610" s="67">
        <f t="shared" si="405"/>
        <v>0.08679762449</v>
      </c>
      <c r="Q610" s="79">
        <v>1999.0</v>
      </c>
      <c r="R610" s="70"/>
      <c r="S610" s="71">
        <f t="shared" si="406"/>
        <v>0.01472081218</v>
      </c>
      <c r="T610" s="72">
        <f t="shared" si="6"/>
        <v>0</v>
      </c>
      <c r="U610" s="73" t="str">
        <f t="shared" si="408"/>
        <v/>
      </c>
      <c r="V610" s="73">
        <f t="shared" si="340"/>
        <v>1669.491525</v>
      </c>
      <c r="W610" s="73">
        <f t="shared" si="9"/>
        <v>1669.491525</v>
      </c>
      <c r="X610" s="74">
        <f t="shared" si="10"/>
        <v>1</v>
      </c>
      <c r="Y610" s="73">
        <f t="shared" si="333"/>
        <v>0</v>
      </c>
      <c r="Z610" s="73">
        <f t="shared" si="12"/>
        <v>1694.067797</v>
      </c>
      <c r="AA610" s="73">
        <f t="shared" si="13"/>
        <v>1694.067797</v>
      </c>
      <c r="AB610" s="74">
        <f t="shared" si="14"/>
        <v>1</v>
      </c>
      <c r="AC610" s="61" t="str">
        <f t="shared" si="15"/>
        <v>2</v>
      </c>
      <c r="AD610" s="71" t="str">
        <f t="shared" si="16"/>
        <v>#DIV/0!</v>
      </c>
      <c r="AE610" s="61"/>
      <c r="AF610" s="61"/>
      <c r="AG610" s="71">
        <f t="array" ref="AG610">IFERROR(xlookup(G610,'Old Master'!T:T,'Old Master'!V:V),N610)</f>
        <v>0.08679762449</v>
      </c>
      <c r="AH610" s="73">
        <f t="shared" si="229"/>
        <v>1999</v>
      </c>
      <c r="AI610" s="73">
        <f t="shared" si="230"/>
        <v>1694.067797</v>
      </c>
      <c r="AJ610" s="72">
        <f t="shared" si="19"/>
        <v>1</v>
      </c>
      <c r="AK610" s="61"/>
      <c r="AL610" s="71">
        <f t="array" ref="AL610">iferror(if(isblank(xlookup($G610,'Old Master'!$T:$T,'Old Master'!$W:$W)),AG610,xlookup($G610,'Old Master'!$T:$T,'Old Master'!$W:$W)),AG610)</f>
        <v>0.08679762449</v>
      </c>
      <c r="AM610" s="74">
        <f t="shared" si="20"/>
        <v>0.08679762449</v>
      </c>
      <c r="AN610" s="73">
        <f t="shared" si="409"/>
        <v>1999</v>
      </c>
    </row>
    <row r="611">
      <c r="A611" s="65" t="s">
        <v>3343</v>
      </c>
      <c r="B611" s="65" t="str">
        <f t="shared" si="1"/>
        <v>#VALUE!</v>
      </c>
      <c r="C611" s="65" t="str">
        <f t="shared" si="403"/>
        <v>#VALUE!</v>
      </c>
      <c r="D611" s="65" t="s">
        <v>3345</v>
      </c>
      <c r="E611" s="65" t="s">
        <v>3346</v>
      </c>
      <c r="F611" s="65" t="s">
        <v>3347</v>
      </c>
      <c r="G611" s="65" t="s">
        <v>5086</v>
      </c>
      <c r="H611" s="65" t="s">
        <v>4730</v>
      </c>
      <c r="I611" s="65">
        <v>2189.0</v>
      </c>
      <c r="J611" s="66">
        <v>0.1</v>
      </c>
      <c r="K611" s="65">
        <f t="shared" si="3"/>
        <v>1970</v>
      </c>
      <c r="L611" s="66">
        <v>0.1</v>
      </c>
      <c r="M611" s="65">
        <f t="shared" si="4"/>
        <v>1970</v>
      </c>
      <c r="N611" s="67">
        <f t="shared" si="404"/>
        <v>0.08679762449</v>
      </c>
      <c r="O611" s="78">
        <v>1999.0</v>
      </c>
      <c r="P611" s="67">
        <f t="shared" si="405"/>
        <v>0.08679762449</v>
      </c>
      <c r="Q611" s="79">
        <v>1999.0</v>
      </c>
      <c r="R611" s="70"/>
      <c r="S611" s="71">
        <f t="shared" si="406"/>
        <v>0.01472081218</v>
      </c>
      <c r="T611" s="72">
        <f t="shared" si="6"/>
        <v>0</v>
      </c>
      <c r="U611" s="73" t="str">
        <f t="shared" si="408"/>
        <v/>
      </c>
      <c r="V611" s="73">
        <f t="shared" si="340"/>
        <v>1669.491525</v>
      </c>
      <c r="W611" s="73">
        <f t="shared" si="9"/>
        <v>1669.491525</v>
      </c>
      <c r="X611" s="74">
        <f t="shared" si="10"/>
        <v>1</v>
      </c>
      <c r="Y611" s="73">
        <f t="shared" si="333"/>
        <v>0</v>
      </c>
      <c r="Z611" s="73">
        <f t="shared" si="12"/>
        <v>1694.067797</v>
      </c>
      <c r="AA611" s="73">
        <f t="shared" si="13"/>
        <v>1694.067797</v>
      </c>
      <c r="AB611" s="74">
        <f t="shared" si="14"/>
        <v>1</v>
      </c>
      <c r="AC611" s="61" t="str">
        <f t="shared" si="15"/>
        <v>2</v>
      </c>
      <c r="AD611" s="71" t="str">
        <f t="shared" si="16"/>
        <v>#DIV/0!</v>
      </c>
      <c r="AE611" s="61"/>
      <c r="AF611" s="61"/>
      <c r="AG611" s="71">
        <f t="array" ref="AG611">IFERROR(xlookup(G611,'Old Master'!T:T,'Old Master'!V:V),N611)</f>
        <v>0.08679762449</v>
      </c>
      <c r="AH611" s="73">
        <f t="shared" si="229"/>
        <v>1999</v>
      </c>
      <c r="AI611" s="73">
        <f t="shared" si="230"/>
        <v>1694.067797</v>
      </c>
      <c r="AJ611" s="72">
        <f t="shared" si="19"/>
        <v>1</v>
      </c>
      <c r="AK611" s="61"/>
      <c r="AL611" s="71">
        <f t="array" ref="AL611">iferror(if(isblank(xlookup($G611,'Old Master'!$T:$T,'Old Master'!$W:$W)),AG611,xlookup($G611,'Old Master'!$T:$T,'Old Master'!$W:$W)),AG611)</f>
        <v>0.08679762449</v>
      </c>
      <c r="AM611" s="74">
        <f t="shared" si="20"/>
        <v>0.08679762449</v>
      </c>
      <c r="AN611" s="73">
        <f t="shared" si="409"/>
        <v>1999</v>
      </c>
    </row>
    <row r="612">
      <c r="A612" s="65" t="s">
        <v>3271</v>
      </c>
      <c r="B612" s="65" t="str">
        <f t="shared" si="1"/>
        <v>#VALUE!</v>
      </c>
      <c r="C612" s="65" t="str">
        <f t="shared" si="403"/>
        <v>#VALUE!</v>
      </c>
      <c r="D612" s="65" t="s">
        <v>3273</v>
      </c>
      <c r="E612" s="65" t="s">
        <v>3274</v>
      </c>
      <c r="F612" s="65">
        <v>0.0</v>
      </c>
      <c r="G612" s="65" t="s">
        <v>5086</v>
      </c>
      <c r="H612" s="65" t="s">
        <v>4730</v>
      </c>
      <c r="I612" s="65">
        <v>1989.0</v>
      </c>
      <c r="J612" s="66">
        <v>0.1</v>
      </c>
      <c r="K612" s="65">
        <f t="shared" si="3"/>
        <v>1790</v>
      </c>
      <c r="L612" s="66">
        <v>0.1</v>
      </c>
      <c r="M612" s="65">
        <f t="shared" si="4"/>
        <v>1790</v>
      </c>
      <c r="N612" s="67">
        <f t="shared" si="404"/>
        <v>0.09552538964</v>
      </c>
      <c r="O612" s="78">
        <v>1799.0</v>
      </c>
      <c r="P612" s="67">
        <f t="shared" si="405"/>
        <v>0.09552538964</v>
      </c>
      <c r="Q612" s="79">
        <v>1799.0</v>
      </c>
      <c r="R612" s="70"/>
      <c r="S612" s="71">
        <f t="shared" si="406"/>
        <v>0.005027932961</v>
      </c>
      <c r="T612" s="72">
        <f t="shared" si="6"/>
        <v>0</v>
      </c>
      <c r="U612" s="73" t="str">
        <f t="shared" si="408"/>
        <v/>
      </c>
      <c r="V612" s="73">
        <f t="shared" si="340"/>
        <v>1516.949153</v>
      </c>
      <c r="W612" s="73">
        <f t="shared" si="9"/>
        <v>1516.949153</v>
      </c>
      <c r="X612" s="74">
        <f t="shared" si="10"/>
        <v>1</v>
      </c>
      <c r="Y612" s="73">
        <f t="shared" si="333"/>
        <v>0</v>
      </c>
      <c r="Z612" s="73">
        <f t="shared" si="12"/>
        <v>1524.576271</v>
      </c>
      <c r="AA612" s="73">
        <f t="shared" si="13"/>
        <v>1524.576271</v>
      </c>
      <c r="AB612" s="74">
        <f t="shared" si="14"/>
        <v>1</v>
      </c>
      <c r="AC612" s="61" t="str">
        <f t="shared" si="15"/>
        <v>0</v>
      </c>
      <c r="AD612" s="71" t="str">
        <f t="shared" si="16"/>
        <v>#DIV/0!</v>
      </c>
      <c r="AE612" s="61"/>
      <c r="AF612" s="61"/>
      <c r="AG612" s="71">
        <f t="array" ref="AG612">IFERROR(xlookup(G612,'Old Master'!T:T,'Old Master'!V:V),N612)</f>
        <v>0.09552538964</v>
      </c>
      <c r="AH612" s="73">
        <f t="shared" si="229"/>
        <v>1799</v>
      </c>
      <c r="AI612" s="73">
        <f t="shared" si="230"/>
        <v>1524.576271</v>
      </c>
      <c r="AJ612" s="72">
        <f t="shared" si="19"/>
        <v>1</v>
      </c>
      <c r="AK612" s="61"/>
      <c r="AL612" s="71">
        <f t="array" ref="AL612">iferror(if(isblank(xlookup($G612,'Old Master'!$T:$T,'Old Master'!$W:$W)),AG612,xlookup($G612,'Old Master'!$T:$T,'Old Master'!$W:$W)),AG612)</f>
        <v>0.09552538964</v>
      </c>
      <c r="AM612" s="74">
        <f t="shared" si="20"/>
        <v>0.09552538964</v>
      </c>
      <c r="AN612" s="73">
        <f t="shared" si="409"/>
        <v>1799</v>
      </c>
    </row>
    <row r="613">
      <c r="A613" s="65" t="s">
        <v>3295</v>
      </c>
      <c r="B613" s="65" t="str">
        <f t="shared" si="1"/>
        <v>#VALUE!</v>
      </c>
      <c r="C613" s="65" t="str">
        <f t="shared" si="403"/>
        <v>#VALUE!</v>
      </c>
      <c r="D613" s="65" t="s">
        <v>3297</v>
      </c>
      <c r="E613" s="65" t="s">
        <v>3298</v>
      </c>
      <c r="F613" s="65" t="s">
        <v>3299</v>
      </c>
      <c r="G613" s="65" t="s">
        <v>5086</v>
      </c>
      <c r="H613" s="65" t="s">
        <v>4730</v>
      </c>
      <c r="I613" s="65">
        <v>1989.0</v>
      </c>
      <c r="J613" s="66">
        <v>0.1</v>
      </c>
      <c r="K613" s="65">
        <f t="shared" si="3"/>
        <v>1790</v>
      </c>
      <c r="L613" s="66">
        <v>0.1</v>
      </c>
      <c r="M613" s="65">
        <f t="shared" si="4"/>
        <v>1790</v>
      </c>
      <c r="N613" s="67">
        <f t="shared" si="404"/>
        <v>0.09552538964</v>
      </c>
      <c r="O613" s="78">
        <v>1799.0</v>
      </c>
      <c r="P613" s="67">
        <f t="shared" si="405"/>
        <v>0.09552538964</v>
      </c>
      <c r="Q613" s="79">
        <v>1799.0</v>
      </c>
      <c r="R613" s="70"/>
      <c r="S613" s="71">
        <f t="shared" si="406"/>
        <v>0.005027932961</v>
      </c>
      <c r="T613" s="72">
        <f t="shared" si="6"/>
        <v>0</v>
      </c>
      <c r="U613" s="73" t="str">
        <f t="shared" si="408"/>
        <v/>
      </c>
      <c r="V613" s="73">
        <f t="shared" si="340"/>
        <v>1516.949153</v>
      </c>
      <c r="W613" s="73">
        <f t="shared" si="9"/>
        <v>1516.949153</v>
      </c>
      <c r="X613" s="74">
        <f t="shared" si="10"/>
        <v>1</v>
      </c>
      <c r="Y613" s="73">
        <f t="shared" si="333"/>
        <v>0</v>
      </c>
      <c r="Z613" s="73">
        <f t="shared" si="12"/>
        <v>1524.576271</v>
      </c>
      <c r="AA613" s="73">
        <f t="shared" si="13"/>
        <v>1524.576271</v>
      </c>
      <c r="AB613" s="74">
        <f t="shared" si="14"/>
        <v>1</v>
      </c>
      <c r="AC613" s="61" t="str">
        <f t="shared" si="15"/>
        <v>0</v>
      </c>
      <c r="AD613" s="71" t="str">
        <f t="shared" si="16"/>
        <v>#DIV/0!</v>
      </c>
      <c r="AE613" s="61"/>
      <c r="AF613" s="61"/>
      <c r="AG613" s="71">
        <f t="array" ref="AG613">IFERROR(xlookup(G613,'Old Master'!T:T,'Old Master'!V:V),N613)</f>
        <v>0.09552538964</v>
      </c>
      <c r="AH613" s="73">
        <f t="shared" si="229"/>
        <v>1799</v>
      </c>
      <c r="AI613" s="73">
        <f t="shared" si="230"/>
        <v>1524.576271</v>
      </c>
      <c r="AJ613" s="72">
        <f t="shared" si="19"/>
        <v>1</v>
      </c>
      <c r="AK613" s="61"/>
      <c r="AL613" s="71">
        <f t="array" ref="AL613">iferror(if(isblank(xlookup($G613,'Old Master'!$T:$T,'Old Master'!$W:$W)),AG613,xlookup($G613,'Old Master'!$T:$T,'Old Master'!$W:$W)),AG613)</f>
        <v>0.09552538964</v>
      </c>
      <c r="AM613" s="74">
        <f t="shared" si="20"/>
        <v>0.09552538964</v>
      </c>
      <c r="AN613" s="73">
        <f t="shared" si="409"/>
        <v>1799</v>
      </c>
    </row>
    <row r="614">
      <c r="A614" s="65" t="s">
        <v>3319</v>
      </c>
      <c r="B614" s="65" t="str">
        <f t="shared" si="1"/>
        <v>#VALUE!</v>
      </c>
      <c r="C614" s="65" t="str">
        <f t="shared" si="403"/>
        <v>#VALUE!</v>
      </c>
      <c r="D614" s="65" t="s">
        <v>3321</v>
      </c>
      <c r="E614" s="65" t="s">
        <v>3322</v>
      </c>
      <c r="F614" s="65" t="s">
        <v>3323</v>
      </c>
      <c r="G614" s="65" t="s">
        <v>5086</v>
      </c>
      <c r="H614" s="65" t="s">
        <v>4730</v>
      </c>
      <c r="I614" s="65">
        <v>1989.0</v>
      </c>
      <c r="J614" s="66">
        <v>0.1</v>
      </c>
      <c r="K614" s="65">
        <f t="shared" si="3"/>
        <v>1790</v>
      </c>
      <c r="L614" s="66">
        <v>0.1</v>
      </c>
      <c r="M614" s="65">
        <f t="shared" si="4"/>
        <v>1790</v>
      </c>
      <c r="N614" s="67">
        <f t="shared" si="404"/>
        <v>0.09552538964</v>
      </c>
      <c r="O614" s="78">
        <v>1799.0</v>
      </c>
      <c r="P614" s="67">
        <f t="shared" si="405"/>
        <v>0.09552538964</v>
      </c>
      <c r="Q614" s="79">
        <v>1799.0</v>
      </c>
      <c r="R614" s="70"/>
      <c r="S614" s="71">
        <f t="shared" si="406"/>
        <v>0.005027932961</v>
      </c>
      <c r="T614" s="72">
        <f t="shared" si="6"/>
        <v>0</v>
      </c>
      <c r="U614" s="73" t="str">
        <f t="shared" si="408"/>
        <v/>
      </c>
      <c r="V614" s="73">
        <f t="shared" si="340"/>
        <v>1516.949153</v>
      </c>
      <c r="W614" s="73">
        <f t="shared" si="9"/>
        <v>1516.949153</v>
      </c>
      <c r="X614" s="74">
        <f t="shared" si="10"/>
        <v>1</v>
      </c>
      <c r="Y614" s="73">
        <f t="shared" si="333"/>
        <v>0</v>
      </c>
      <c r="Z614" s="73">
        <f t="shared" si="12"/>
        <v>1524.576271</v>
      </c>
      <c r="AA614" s="73">
        <f t="shared" si="13"/>
        <v>1524.576271</v>
      </c>
      <c r="AB614" s="74">
        <f t="shared" si="14"/>
        <v>1</v>
      </c>
      <c r="AC614" s="61" t="str">
        <f t="shared" si="15"/>
        <v>0</v>
      </c>
      <c r="AD614" s="71" t="str">
        <f t="shared" si="16"/>
        <v>#DIV/0!</v>
      </c>
      <c r="AE614" s="61"/>
      <c r="AF614" s="61"/>
      <c r="AG614" s="71">
        <f t="array" ref="AG614">IFERROR(xlookup(G614,'Old Master'!T:T,'Old Master'!V:V),N614)</f>
        <v>0.09552538964</v>
      </c>
      <c r="AH614" s="73">
        <f t="shared" si="229"/>
        <v>1799</v>
      </c>
      <c r="AI614" s="73">
        <f t="shared" si="230"/>
        <v>1524.576271</v>
      </c>
      <c r="AJ614" s="72">
        <f t="shared" si="19"/>
        <v>1</v>
      </c>
      <c r="AK614" s="61"/>
      <c r="AL614" s="71">
        <f t="array" ref="AL614">iferror(if(isblank(xlookup($G614,'Old Master'!$T:$T,'Old Master'!$W:$W)),AG614,xlookup($G614,'Old Master'!$T:$T,'Old Master'!$W:$W)),AG614)</f>
        <v>0.09552538964</v>
      </c>
      <c r="AM614" s="74">
        <f t="shared" si="20"/>
        <v>0.09552538964</v>
      </c>
      <c r="AN614" s="73">
        <f t="shared" si="409"/>
        <v>1799</v>
      </c>
    </row>
    <row r="615">
      <c r="A615" s="65" t="s">
        <v>3223</v>
      </c>
      <c r="B615" s="65" t="str">
        <f t="shared" si="1"/>
        <v>#VALUE!</v>
      </c>
      <c r="C615" s="65" t="str">
        <f t="shared" si="403"/>
        <v>#VALUE!</v>
      </c>
      <c r="D615" s="65" t="s">
        <v>3225</v>
      </c>
      <c r="E615" s="65" t="s">
        <v>3226</v>
      </c>
      <c r="F615" s="65">
        <v>0.0</v>
      </c>
      <c r="G615" s="65" t="s">
        <v>5086</v>
      </c>
      <c r="H615" s="65" t="s">
        <v>4730</v>
      </c>
      <c r="I615" s="65">
        <v>1389.0</v>
      </c>
      <c r="J615" s="66">
        <v>0.1</v>
      </c>
      <c r="K615" s="65">
        <f t="shared" si="3"/>
        <v>1250</v>
      </c>
      <c r="L615" s="66">
        <v>0.1</v>
      </c>
      <c r="M615" s="65">
        <f t="shared" si="4"/>
        <v>1250</v>
      </c>
      <c r="N615" s="67">
        <f t="shared" si="404"/>
        <v>0.1007919366</v>
      </c>
      <c r="O615" s="78">
        <v>1249.0</v>
      </c>
      <c r="P615" s="67">
        <f t="shared" si="405"/>
        <v>0.1007919366</v>
      </c>
      <c r="Q615" s="79">
        <v>1249.0</v>
      </c>
      <c r="R615" s="70"/>
      <c r="S615" s="71">
        <f t="shared" si="406"/>
        <v>-0.0008</v>
      </c>
      <c r="T615" s="72">
        <f t="shared" si="6"/>
        <v>0</v>
      </c>
      <c r="U615" s="73" t="str">
        <f t="shared" si="408"/>
        <v/>
      </c>
      <c r="V615" s="73">
        <f t="shared" si="340"/>
        <v>1059.322034</v>
      </c>
      <c r="W615" s="73">
        <f t="shared" si="9"/>
        <v>1059.322034</v>
      </c>
      <c r="X615" s="74">
        <f t="shared" si="10"/>
        <v>1</v>
      </c>
      <c r="Y615" s="73">
        <f t="shared" si="333"/>
        <v>0</v>
      </c>
      <c r="Z615" s="73">
        <f t="shared" si="12"/>
        <v>1058.474576</v>
      </c>
      <c r="AA615" s="73">
        <f t="shared" si="13"/>
        <v>1058.474576</v>
      </c>
      <c r="AB615" s="74">
        <f t="shared" si="14"/>
        <v>1</v>
      </c>
      <c r="AC615" s="61" t="str">
        <f t="shared" si="15"/>
        <v>6</v>
      </c>
      <c r="AD615" s="71" t="str">
        <f t="shared" si="16"/>
        <v>#DIV/0!</v>
      </c>
      <c r="AE615" s="61"/>
      <c r="AF615" s="61"/>
      <c r="AG615" s="71">
        <f t="array" ref="AG615">IFERROR(xlookup(G615,'Old Master'!T:T,'Old Master'!V:V),N615)</f>
        <v>0.1007919366</v>
      </c>
      <c r="AH615" s="73">
        <f t="shared" si="229"/>
        <v>1249</v>
      </c>
      <c r="AI615" s="73">
        <f t="shared" si="230"/>
        <v>1058.474576</v>
      </c>
      <c r="AJ615" s="72">
        <f t="shared" si="19"/>
        <v>1</v>
      </c>
      <c r="AK615" s="61"/>
      <c r="AL615" s="71">
        <f t="array" ref="AL615">iferror(if(isblank(xlookup($G615,'Old Master'!$T:$T,'Old Master'!$W:$W)),AG615,xlookup($G615,'Old Master'!$T:$T,'Old Master'!$W:$W)),AG615)</f>
        <v>0.1007919366</v>
      </c>
      <c r="AM615" s="74">
        <f t="shared" si="20"/>
        <v>0.1367890569</v>
      </c>
      <c r="AN615" s="73">
        <f t="shared" si="409"/>
        <v>1199</v>
      </c>
    </row>
    <row r="616">
      <c r="A616" s="65" t="s">
        <v>3756</v>
      </c>
      <c r="B616" s="65" t="str">
        <f t="shared" si="1"/>
        <v>#VALUE!</v>
      </c>
      <c r="C616" s="65" t="str">
        <f t="shared" si="403"/>
        <v>#VALUE!</v>
      </c>
      <c r="D616" s="65" t="s">
        <v>3758</v>
      </c>
      <c r="E616" s="65">
        <v>0.0</v>
      </c>
      <c r="F616" s="65">
        <v>0.0</v>
      </c>
      <c r="G616" s="65" t="s">
        <v>5086</v>
      </c>
      <c r="H616" s="65" t="s">
        <v>4730</v>
      </c>
      <c r="I616" s="65">
        <v>499.0</v>
      </c>
      <c r="J616" s="66">
        <v>0.1</v>
      </c>
      <c r="K616" s="65">
        <f t="shared" si="3"/>
        <v>449</v>
      </c>
      <c r="L616" s="66">
        <v>0.1</v>
      </c>
      <c r="M616" s="65">
        <f t="shared" si="4"/>
        <v>449</v>
      </c>
      <c r="N616" s="67">
        <f t="shared" si="404"/>
        <v>0.1002004008</v>
      </c>
      <c r="O616" s="78">
        <v>449.0</v>
      </c>
      <c r="P616" s="67">
        <f t="shared" si="405"/>
        <v>0.1002004008</v>
      </c>
      <c r="Q616" s="79">
        <v>449.0</v>
      </c>
      <c r="R616" s="70"/>
      <c r="S616" s="71">
        <f t="shared" si="406"/>
        <v>0</v>
      </c>
      <c r="T616" s="72">
        <f t="shared" si="6"/>
        <v>0</v>
      </c>
      <c r="U616" s="73" t="str">
        <f t="shared" si="408"/>
        <v/>
      </c>
      <c r="V616" s="73">
        <f t="shared" si="340"/>
        <v>380.5084746</v>
      </c>
      <c r="W616" s="73">
        <f t="shared" si="9"/>
        <v>380.5084746</v>
      </c>
      <c r="X616" s="74">
        <f t="shared" si="10"/>
        <v>1</v>
      </c>
      <c r="Y616" s="73">
        <f t="shared" si="333"/>
        <v>0</v>
      </c>
      <c r="Z616" s="73">
        <f t="shared" si="12"/>
        <v>380.5084746</v>
      </c>
      <c r="AA616" s="73">
        <f t="shared" si="13"/>
        <v>380.5084746</v>
      </c>
      <c r="AB616" s="74">
        <f t="shared" si="14"/>
        <v>1</v>
      </c>
      <c r="AC616" s="61" t="str">
        <f t="shared" si="15"/>
        <v>0</v>
      </c>
      <c r="AD616" s="71" t="str">
        <f t="shared" si="16"/>
        <v>#DIV/0!</v>
      </c>
      <c r="AE616" s="61"/>
      <c r="AF616" s="61"/>
      <c r="AG616" s="71">
        <f t="array" ref="AG616">IFERROR(xlookup(G616,'Old Master'!T:T,'Old Master'!V:V),N616)</f>
        <v>0.1002004008</v>
      </c>
      <c r="AH616" s="73">
        <f t="shared" si="229"/>
        <v>449</v>
      </c>
      <c r="AI616" s="73">
        <f t="shared" si="230"/>
        <v>380.5084746</v>
      </c>
      <c r="AJ616" s="72">
        <f t="shared" si="19"/>
        <v>1</v>
      </c>
      <c r="AK616" s="61"/>
      <c r="AL616" s="71">
        <f t="array" ref="AL616">iferror(if(isblank(xlookup($G616,'Old Master'!$T:$T,'Old Master'!$W:$W)),AG616,xlookup($G616,'Old Master'!$T:$T,'Old Master'!$W:$W)),AG616)</f>
        <v>0.1002004008</v>
      </c>
      <c r="AM616" s="74">
        <f t="shared" si="20"/>
        <v>0.2004008016</v>
      </c>
      <c r="AN616" s="73">
        <f t="shared" si="409"/>
        <v>399</v>
      </c>
    </row>
    <row r="617">
      <c r="A617" s="65" t="s">
        <v>3736</v>
      </c>
      <c r="B617" s="65" t="str">
        <f t="shared" si="1"/>
        <v>#VALUE!</v>
      </c>
      <c r="C617" s="65" t="str">
        <f t="shared" si="403"/>
        <v>#VALUE!</v>
      </c>
      <c r="D617" s="65" t="s">
        <v>3738</v>
      </c>
      <c r="E617" s="65">
        <v>0.0</v>
      </c>
      <c r="F617" s="65" t="s">
        <v>3739</v>
      </c>
      <c r="G617" s="65" t="s">
        <v>5086</v>
      </c>
      <c r="H617" s="65" t="s">
        <v>4730</v>
      </c>
      <c r="I617" s="65">
        <v>649.0</v>
      </c>
      <c r="J617" s="66">
        <v>0.1</v>
      </c>
      <c r="K617" s="65">
        <f t="shared" si="3"/>
        <v>584</v>
      </c>
      <c r="L617" s="66">
        <v>0.1</v>
      </c>
      <c r="M617" s="65">
        <f t="shared" si="4"/>
        <v>584</v>
      </c>
      <c r="N617" s="67">
        <f t="shared" si="404"/>
        <v>0.07704160247</v>
      </c>
      <c r="O617" s="78">
        <v>599.0</v>
      </c>
      <c r="P617" s="67">
        <f t="shared" si="405"/>
        <v>0.07704160247</v>
      </c>
      <c r="Q617" s="79">
        <v>599.0</v>
      </c>
      <c r="R617" s="70"/>
      <c r="S617" s="71">
        <f t="shared" si="406"/>
        <v>0.02568493151</v>
      </c>
      <c r="T617" s="72">
        <f t="shared" si="6"/>
        <v>0</v>
      </c>
      <c r="U617" s="73" t="str">
        <f t="shared" si="408"/>
        <v/>
      </c>
      <c r="V617" s="73">
        <f t="shared" si="340"/>
        <v>494.9152542</v>
      </c>
      <c r="W617" s="73">
        <f t="shared" si="9"/>
        <v>494.9152542</v>
      </c>
      <c r="X617" s="74">
        <f t="shared" si="10"/>
        <v>1</v>
      </c>
      <c r="Y617" s="73">
        <f t="shared" si="333"/>
        <v>0</v>
      </c>
      <c r="Z617" s="73">
        <f t="shared" si="12"/>
        <v>507.6271186</v>
      </c>
      <c r="AA617" s="73">
        <f t="shared" si="13"/>
        <v>507.6271186</v>
      </c>
      <c r="AB617" s="74">
        <f t="shared" si="14"/>
        <v>1</v>
      </c>
      <c r="AC617" s="61" t="str">
        <f t="shared" si="15"/>
        <v>0</v>
      </c>
      <c r="AD617" s="71" t="str">
        <f t="shared" si="16"/>
        <v>#DIV/0!</v>
      </c>
      <c r="AE617" s="61"/>
      <c r="AF617" s="61"/>
      <c r="AG617" s="71">
        <f t="array" ref="AG617">IFERROR(xlookup(G617,'Old Master'!T:T,'Old Master'!V:V),N617)</f>
        <v>0.07704160247</v>
      </c>
      <c r="AH617" s="73">
        <f t="shared" si="229"/>
        <v>599</v>
      </c>
      <c r="AI617" s="73">
        <f t="shared" si="230"/>
        <v>507.6271186</v>
      </c>
      <c r="AJ617" s="72">
        <f t="shared" si="19"/>
        <v>1</v>
      </c>
      <c r="AK617" s="61"/>
      <c r="AL617" s="71">
        <f t="array" ref="AL617">iferror(if(isblank(xlookup($G617,'Old Master'!$T:$T,'Old Master'!$W:$W)),AG617,xlookup($G617,'Old Master'!$T:$T,'Old Master'!$W:$W)),AG617)</f>
        <v>0.07704160247</v>
      </c>
      <c r="AM617" s="74">
        <f t="shared" si="20"/>
        <v>0.07704160247</v>
      </c>
      <c r="AN617" s="73">
        <f t="shared" si="409"/>
        <v>599</v>
      </c>
    </row>
    <row r="618">
      <c r="A618" s="65" t="s">
        <v>3614</v>
      </c>
      <c r="B618" s="65" t="str">
        <f t="shared" si="1"/>
        <v>#VALUE!</v>
      </c>
      <c r="C618" s="65" t="str">
        <f t="shared" si="403"/>
        <v>#VALUE!</v>
      </c>
      <c r="D618" s="65" t="s">
        <v>3616</v>
      </c>
      <c r="E618" s="65">
        <v>0.0</v>
      </c>
      <c r="F618" s="65">
        <v>0.0</v>
      </c>
      <c r="G618" s="65" t="s">
        <v>5086</v>
      </c>
      <c r="H618" s="65" t="s">
        <v>4730</v>
      </c>
      <c r="I618" s="65">
        <v>549.0</v>
      </c>
      <c r="J618" s="66">
        <v>0.1</v>
      </c>
      <c r="K618" s="65">
        <f t="shared" si="3"/>
        <v>494</v>
      </c>
      <c r="L618" s="66">
        <v>0.1</v>
      </c>
      <c r="M618" s="65">
        <f t="shared" si="4"/>
        <v>494</v>
      </c>
      <c r="N618" s="67">
        <f t="shared" si="404"/>
        <v>0.09107468124</v>
      </c>
      <c r="O618" s="78">
        <v>499.0</v>
      </c>
      <c r="P618" s="67">
        <f t="shared" si="405"/>
        <v>0.09107468124</v>
      </c>
      <c r="Q618" s="79">
        <v>499.0</v>
      </c>
      <c r="R618" s="70"/>
      <c r="S618" s="71">
        <f t="shared" si="406"/>
        <v>0.01012145749</v>
      </c>
      <c r="T618" s="72">
        <f t="shared" si="6"/>
        <v>0</v>
      </c>
      <c r="U618" s="73" t="str">
        <f t="shared" si="408"/>
        <v/>
      </c>
      <c r="V618" s="73">
        <f t="shared" si="340"/>
        <v>418.6440678</v>
      </c>
      <c r="W618" s="73">
        <f t="shared" si="9"/>
        <v>418.6440678</v>
      </c>
      <c r="X618" s="74">
        <f t="shared" si="10"/>
        <v>1</v>
      </c>
      <c r="Y618" s="73">
        <f t="shared" si="333"/>
        <v>0</v>
      </c>
      <c r="Z618" s="73">
        <f t="shared" si="12"/>
        <v>422.8813559</v>
      </c>
      <c r="AA618" s="73">
        <f t="shared" si="13"/>
        <v>422.8813559</v>
      </c>
      <c r="AB618" s="74">
        <f t="shared" si="14"/>
        <v>1</v>
      </c>
      <c r="AC618" s="61" t="str">
        <f t="shared" si="15"/>
        <v>7</v>
      </c>
      <c r="AD618" s="71" t="str">
        <f t="shared" si="16"/>
        <v>#DIV/0!</v>
      </c>
      <c r="AE618" s="61"/>
      <c r="AF618" s="61"/>
      <c r="AG618" s="71">
        <f t="array" ref="AG618">IFERROR(xlookup(G618,'Old Master'!T:T,'Old Master'!V:V),N618)</f>
        <v>0.09107468124</v>
      </c>
      <c r="AH618" s="73">
        <f t="shared" si="229"/>
        <v>499</v>
      </c>
      <c r="AI618" s="73">
        <f t="shared" si="230"/>
        <v>422.8813559</v>
      </c>
      <c r="AJ618" s="72">
        <f t="shared" si="19"/>
        <v>1</v>
      </c>
      <c r="AK618" s="61"/>
      <c r="AL618" s="71">
        <f t="array" ref="AL618">iferror(if(isblank(xlookup($G618,'Old Master'!$T:$T,'Old Master'!$W:$W)),AG618,xlookup($G618,'Old Master'!$T:$T,'Old Master'!$W:$W)),AG618)</f>
        <v>0.09107468124</v>
      </c>
      <c r="AM618" s="74">
        <f t="shared" si="20"/>
        <v>0.09107468124</v>
      </c>
      <c r="AN618" s="73">
        <f t="shared" si="409"/>
        <v>499</v>
      </c>
    </row>
    <row r="619">
      <c r="A619" s="65" t="s">
        <v>3241</v>
      </c>
      <c r="B619" s="65" t="str">
        <f t="shared" si="1"/>
        <v>#VALUE!</v>
      </c>
      <c r="C619" s="65" t="str">
        <f t="shared" si="403"/>
        <v>#VALUE!</v>
      </c>
      <c r="D619" s="65" t="s">
        <v>3243</v>
      </c>
      <c r="E619" s="65" t="s">
        <v>3244</v>
      </c>
      <c r="F619" s="65" t="s">
        <v>3245</v>
      </c>
      <c r="G619" s="65" t="s">
        <v>5086</v>
      </c>
      <c r="H619" s="65" t="s">
        <v>4730</v>
      </c>
      <c r="I619" s="65">
        <v>1889.0</v>
      </c>
      <c r="J619" s="66">
        <v>0.1</v>
      </c>
      <c r="K619" s="65">
        <f t="shared" si="3"/>
        <v>1700</v>
      </c>
      <c r="L619" s="66">
        <v>0.1</v>
      </c>
      <c r="M619" s="65">
        <f t="shared" si="4"/>
        <v>1700</v>
      </c>
      <c r="N619" s="67">
        <f t="shared" si="404"/>
        <v>0.1005823187</v>
      </c>
      <c r="O619" s="78">
        <v>1699.0</v>
      </c>
      <c r="P619" s="67">
        <f t="shared" si="405"/>
        <v>0.1005823187</v>
      </c>
      <c r="Q619" s="79">
        <v>1699.0</v>
      </c>
      <c r="R619" s="70"/>
      <c r="S619" s="71">
        <f t="shared" si="406"/>
        <v>-0.0005882352941</v>
      </c>
      <c r="T619" s="72">
        <f t="shared" si="6"/>
        <v>0</v>
      </c>
      <c r="U619" s="73" t="str">
        <f t="shared" si="408"/>
        <v/>
      </c>
      <c r="V619" s="73">
        <f t="shared" si="340"/>
        <v>1440.677966</v>
      </c>
      <c r="W619" s="73">
        <f t="shared" si="9"/>
        <v>1440.677966</v>
      </c>
      <c r="X619" s="74">
        <f t="shared" si="10"/>
        <v>1</v>
      </c>
      <c r="Y619" s="73">
        <f t="shared" si="333"/>
        <v>0</v>
      </c>
      <c r="Z619" s="73">
        <f t="shared" si="12"/>
        <v>1439.830508</v>
      </c>
      <c r="AA619" s="73">
        <f t="shared" si="13"/>
        <v>1439.830508</v>
      </c>
      <c r="AB619" s="74">
        <f t="shared" si="14"/>
        <v>1</v>
      </c>
      <c r="AC619" s="61" t="str">
        <f t="shared" si="15"/>
        <v>8</v>
      </c>
      <c r="AD619" s="71" t="str">
        <f t="shared" si="16"/>
        <v>#DIV/0!</v>
      </c>
      <c r="AE619" s="61"/>
      <c r="AF619" s="61"/>
      <c r="AG619" s="71">
        <f t="array" ref="AG619">IFERROR(xlookup(G619,'Old Master'!T:T,'Old Master'!V:V),N619)</f>
        <v>0.1005823187</v>
      </c>
      <c r="AH619" s="73">
        <f t="shared" si="229"/>
        <v>1699</v>
      </c>
      <c r="AI619" s="73">
        <f t="shared" si="230"/>
        <v>1439.830508</v>
      </c>
      <c r="AJ619" s="72">
        <f t="shared" si="19"/>
        <v>1</v>
      </c>
      <c r="AK619" s="61"/>
      <c r="AL619" s="71">
        <f t="array" ref="AL619">iferror(if(isblank(xlookup($G619,'Old Master'!$T:$T,'Old Master'!$W:$W)),AG619,xlookup($G619,'Old Master'!$T:$T,'Old Master'!$W:$W)),AG619)</f>
        <v>0.1005823187</v>
      </c>
      <c r="AM619" s="74">
        <f t="shared" si="20"/>
        <v>0.1005823187</v>
      </c>
      <c r="AN619" s="73">
        <f t="shared" si="409"/>
        <v>1699</v>
      </c>
    </row>
    <row r="620">
      <c r="A620" s="65" t="s">
        <v>3385</v>
      </c>
      <c r="B620" s="65" t="str">
        <f t="shared" si="1"/>
        <v>#VALUE!</v>
      </c>
      <c r="C620" s="65" t="str">
        <f t="shared" si="403"/>
        <v>#VALUE!</v>
      </c>
      <c r="D620" s="65" t="s">
        <v>3387</v>
      </c>
      <c r="E620" s="65" t="s">
        <v>3388</v>
      </c>
      <c r="F620" s="65">
        <v>0.0</v>
      </c>
      <c r="G620" s="65" t="s">
        <v>5086</v>
      </c>
      <c r="H620" s="65" t="s">
        <v>4730</v>
      </c>
      <c r="I620" s="65">
        <v>2189.0</v>
      </c>
      <c r="J620" s="66">
        <v>0.1</v>
      </c>
      <c r="K620" s="65">
        <f t="shared" si="3"/>
        <v>1970</v>
      </c>
      <c r="L620" s="66">
        <v>0.1</v>
      </c>
      <c r="M620" s="65">
        <f t="shared" si="4"/>
        <v>1970</v>
      </c>
      <c r="N620" s="67">
        <f t="shared" si="404"/>
        <v>0.08679762449</v>
      </c>
      <c r="O620" s="78">
        <v>1999.0</v>
      </c>
      <c r="P620" s="67">
        <f t="shared" si="405"/>
        <v>0.08679762449</v>
      </c>
      <c r="Q620" s="79">
        <v>1999.0</v>
      </c>
      <c r="R620" s="70"/>
      <c r="S620" s="71">
        <f t="shared" si="406"/>
        <v>0.01472081218</v>
      </c>
      <c r="T620" s="72">
        <f t="shared" si="6"/>
        <v>0</v>
      </c>
      <c r="U620" s="73" t="str">
        <f t="shared" si="408"/>
        <v/>
      </c>
      <c r="V620" s="73">
        <f t="shared" si="340"/>
        <v>1669.491525</v>
      </c>
      <c r="W620" s="73">
        <f t="shared" si="9"/>
        <v>1669.491525</v>
      </c>
      <c r="X620" s="74">
        <f t="shared" si="10"/>
        <v>1</v>
      </c>
      <c r="Y620" s="73">
        <f t="shared" si="333"/>
        <v>0</v>
      </c>
      <c r="Z620" s="73">
        <f t="shared" si="12"/>
        <v>1694.067797</v>
      </c>
      <c r="AA620" s="73">
        <f t="shared" si="13"/>
        <v>1694.067797</v>
      </c>
      <c r="AB620" s="74">
        <f t="shared" si="14"/>
        <v>1</v>
      </c>
      <c r="AC620" s="61" t="str">
        <f t="shared" si="15"/>
        <v>2</v>
      </c>
      <c r="AD620" s="71" t="str">
        <f t="shared" si="16"/>
        <v>#DIV/0!</v>
      </c>
      <c r="AE620" s="61"/>
      <c r="AF620" s="61"/>
      <c r="AG620" s="71">
        <f t="array" ref="AG620">IFERROR(xlookup(G620,'Old Master'!T:T,'Old Master'!V:V),N620)</f>
        <v>0.08679762449</v>
      </c>
      <c r="AH620" s="73">
        <f t="shared" si="229"/>
        <v>1999</v>
      </c>
      <c r="AI620" s="73">
        <f t="shared" si="230"/>
        <v>1694.067797</v>
      </c>
      <c r="AJ620" s="72">
        <f t="shared" si="19"/>
        <v>1</v>
      </c>
      <c r="AK620" s="61"/>
      <c r="AL620" s="71">
        <f t="array" ref="AL620">iferror(if(isblank(xlookup($G620,'Old Master'!$T:$T,'Old Master'!$W:$W)),AG620,xlookup($G620,'Old Master'!$T:$T,'Old Master'!$W:$W)),AG620)</f>
        <v>0.08679762449</v>
      </c>
      <c r="AM620" s="74">
        <f t="shared" si="20"/>
        <v>0.08679762449</v>
      </c>
      <c r="AN620" s="73">
        <f t="shared" si="409"/>
        <v>1999</v>
      </c>
    </row>
    <row r="621">
      <c r="A621" s="65" t="s">
        <v>3361</v>
      </c>
      <c r="B621" s="65" t="str">
        <f t="shared" si="1"/>
        <v>#VALUE!</v>
      </c>
      <c r="C621" s="65" t="str">
        <f t="shared" si="403"/>
        <v>#VALUE!</v>
      </c>
      <c r="D621" s="65" t="s">
        <v>3363</v>
      </c>
      <c r="E621" s="65" t="s">
        <v>3364</v>
      </c>
      <c r="F621" s="65">
        <v>0.0</v>
      </c>
      <c r="G621" s="65" t="s">
        <v>5086</v>
      </c>
      <c r="H621" s="65" t="s">
        <v>4730</v>
      </c>
      <c r="I621" s="65">
        <v>2189.0</v>
      </c>
      <c r="J621" s="66">
        <v>0.1</v>
      </c>
      <c r="K621" s="65">
        <f t="shared" si="3"/>
        <v>1970</v>
      </c>
      <c r="L621" s="66">
        <v>0.1</v>
      </c>
      <c r="M621" s="65">
        <f t="shared" si="4"/>
        <v>1970</v>
      </c>
      <c r="N621" s="67">
        <f t="shared" si="404"/>
        <v>0.08679762449</v>
      </c>
      <c r="O621" s="78">
        <v>1999.0</v>
      </c>
      <c r="P621" s="67">
        <f t="shared" si="405"/>
        <v>0.08679762449</v>
      </c>
      <c r="Q621" s="79">
        <v>1999.0</v>
      </c>
      <c r="R621" s="70"/>
      <c r="S621" s="71">
        <f t="shared" si="406"/>
        <v>0.01472081218</v>
      </c>
      <c r="T621" s="72">
        <f t="shared" si="6"/>
        <v>0</v>
      </c>
      <c r="U621" s="73" t="str">
        <f t="shared" si="408"/>
        <v/>
      </c>
      <c r="V621" s="73">
        <f t="shared" si="340"/>
        <v>1669.491525</v>
      </c>
      <c r="W621" s="73">
        <f t="shared" si="9"/>
        <v>1669.491525</v>
      </c>
      <c r="X621" s="74">
        <f t="shared" si="10"/>
        <v>1</v>
      </c>
      <c r="Y621" s="73">
        <f t="shared" si="333"/>
        <v>0</v>
      </c>
      <c r="Z621" s="73">
        <f t="shared" si="12"/>
        <v>1694.067797</v>
      </c>
      <c r="AA621" s="73">
        <f t="shared" si="13"/>
        <v>1694.067797</v>
      </c>
      <c r="AB621" s="74">
        <f t="shared" si="14"/>
        <v>1</v>
      </c>
      <c r="AC621" s="61" t="str">
        <f t="shared" si="15"/>
        <v>2</v>
      </c>
      <c r="AD621" s="71" t="str">
        <f t="shared" si="16"/>
        <v>#DIV/0!</v>
      </c>
      <c r="AE621" s="61"/>
      <c r="AF621" s="61"/>
      <c r="AG621" s="71">
        <f t="array" ref="AG621">IFERROR(xlookup(G621,'Old Master'!T:T,'Old Master'!V:V),N621)</f>
        <v>0.08679762449</v>
      </c>
      <c r="AH621" s="73">
        <f t="shared" si="229"/>
        <v>1999</v>
      </c>
      <c r="AI621" s="73">
        <f t="shared" si="230"/>
        <v>1694.067797</v>
      </c>
      <c r="AJ621" s="72">
        <f t="shared" si="19"/>
        <v>1</v>
      </c>
      <c r="AK621" s="61"/>
      <c r="AL621" s="71">
        <f t="array" ref="AL621">iferror(if(isblank(xlookup($G621,'Old Master'!$T:$T,'Old Master'!$W:$W)),AG621,xlookup($G621,'Old Master'!$T:$T,'Old Master'!$W:$W)),AG621)</f>
        <v>0.08679762449</v>
      </c>
      <c r="AM621" s="74">
        <f t="shared" si="20"/>
        <v>0.08679762449</v>
      </c>
      <c r="AN621" s="73">
        <f t="shared" si="409"/>
        <v>1999</v>
      </c>
    </row>
    <row r="622">
      <c r="A622" s="65" t="s">
        <v>3265</v>
      </c>
      <c r="B622" s="65" t="str">
        <f t="shared" si="1"/>
        <v>#VALUE!</v>
      </c>
      <c r="C622" s="65" t="str">
        <f t="shared" si="403"/>
        <v>#VALUE!</v>
      </c>
      <c r="D622" s="65" t="s">
        <v>3267</v>
      </c>
      <c r="E622" s="65" t="s">
        <v>3268</v>
      </c>
      <c r="F622" s="65" t="s">
        <v>3269</v>
      </c>
      <c r="G622" s="65" t="s">
        <v>5086</v>
      </c>
      <c r="H622" s="65" t="s">
        <v>4730</v>
      </c>
      <c r="I622" s="65">
        <v>1989.0</v>
      </c>
      <c r="J622" s="66">
        <v>0.1</v>
      </c>
      <c r="K622" s="65">
        <f t="shared" si="3"/>
        <v>1790</v>
      </c>
      <c r="L622" s="66">
        <v>0.1</v>
      </c>
      <c r="M622" s="65">
        <f t="shared" si="4"/>
        <v>1790</v>
      </c>
      <c r="N622" s="67">
        <f t="shared" si="404"/>
        <v>0.09552538964</v>
      </c>
      <c r="O622" s="78">
        <v>1799.0</v>
      </c>
      <c r="P622" s="67">
        <f t="shared" si="405"/>
        <v>0.09552538964</v>
      </c>
      <c r="Q622" s="79">
        <v>1799.0</v>
      </c>
      <c r="R622" s="70"/>
      <c r="S622" s="71">
        <f t="shared" si="406"/>
        <v>0.005027932961</v>
      </c>
      <c r="T622" s="72">
        <f t="shared" si="6"/>
        <v>0</v>
      </c>
      <c r="U622" s="73" t="str">
        <f t="shared" si="408"/>
        <v/>
      </c>
      <c r="V622" s="73">
        <f t="shared" si="340"/>
        <v>1516.949153</v>
      </c>
      <c r="W622" s="73">
        <f t="shared" si="9"/>
        <v>1516.949153</v>
      </c>
      <c r="X622" s="74">
        <f t="shared" si="10"/>
        <v>1</v>
      </c>
      <c r="Y622" s="73">
        <f t="shared" si="333"/>
        <v>0</v>
      </c>
      <c r="Z622" s="73">
        <f t="shared" si="12"/>
        <v>1524.576271</v>
      </c>
      <c r="AA622" s="73">
        <f t="shared" si="13"/>
        <v>1524.576271</v>
      </c>
      <c r="AB622" s="74">
        <f t="shared" si="14"/>
        <v>1</v>
      </c>
      <c r="AC622" s="61" t="str">
        <f t="shared" si="15"/>
        <v>0</v>
      </c>
      <c r="AD622" s="71" t="str">
        <f t="shared" si="16"/>
        <v>#DIV/0!</v>
      </c>
      <c r="AE622" s="61"/>
      <c r="AF622" s="61"/>
      <c r="AG622" s="71">
        <f t="array" ref="AG622">IFERROR(xlookup(G622,'Old Master'!T:T,'Old Master'!V:V),N622)</f>
        <v>0.09552538964</v>
      </c>
      <c r="AH622" s="73">
        <f t="shared" si="229"/>
        <v>1799</v>
      </c>
      <c r="AI622" s="73">
        <f t="shared" si="230"/>
        <v>1524.576271</v>
      </c>
      <c r="AJ622" s="72">
        <f t="shared" si="19"/>
        <v>1</v>
      </c>
      <c r="AK622" s="61"/>
      <c r="AL622" s="71">
        <f t="array" ref="AL622">iferror(if(isblank(xlookup($G622,'Old Master'!$T:$T,'Old Master'!$W:$W)),AG622,xlookup($G622,'Old Master'!$T:$T,'Old Master'!$W:$W)),AG622)</f>
        <v>0.09552538964</v>
      </c>
      <c r="AM622" s="74">
        <f t="shared" si="20"/>
        <v>0.09552538964</v>
      </c>
      <c r="AN622" s="73">
        <f t="shared" si="409"/>
        <v>1799</v>
      </c>
    </row>
    <row r="623">
      <c r="A623" s="65" t="s">
        <v>3313</v>
      </c>
      <c r="B623" s="65" t="str">
        <f t="shared" si="1"/>
        <v>#VALUE!</v>
      </c>
      <c r="C623" s="65" t="str">
        <f t="shared" si="403"/>
        <v>#VALUE!</v>
      </c>
      <c r="D623" s="65" t="s">
        <v>3315</v>
      </c>
      <c r="E623" s="65" t="s">
        <v>3316</v>
      </c>
      <c r="F623" s="65">
        <v>0.0</v>
      </c>
      <c r="G623" s="65" t="s">
        <v>5142</v>
      </c>
      <c r="H623" s="65" t="s">
        <v>4730</v>
      </c>
      <c r="I623" s="65">
        <v>1989.0</v>
      </c>
      <c r="J623" s="66">
        <v>0.1</v>
      </c>
      <c r="K623" s="65">
        <f t="shared" si="3"/>
        <v>1790</v>
      </c>
      <c r="L623" s="66">
        <v>0.11111111111111116</v>
      </c>
      <c r="M623" s="65">
        <f t="shared" si="4"/>
        <v>1768</v>
      </c>
      <c r="N623" s="67">
        <f t="shared" si="404"/>
        <v>0.09552538964</v>
      </c>
      <c r="O623" s="78">
        <v>1799.0</v>
      </c>
      <c r="P623" s="67">
        <f t="shared" si="405"/>
        <v>0.09552538964</v>
      </c>
      <c r="Q623" s="79">
        <v>1799.0</v>
      </c>
      <c r="R623" s="70"/>
      <c r="S623" s="71">
        <f t="shared" si="406"/>
        <v>0.005027932961</v>
      </c>
      <c r="T623" s="72">
        <f t="shared" si="6"/>
        <v>0</v>
      </c>
      <c r="U623" s="73" t="str">
        <f t="shared" si="408"/>
        <v/>
      </c>
      <c r="V623" s="73">
        <f t="shared" si="340"/>
        <v>1498.305085</v>
      </c>
      <c r="W623" s="73">
        <f t="shared" si="9"/>
        <v>1498.305085</v>
      </c>
      <c r="X623" s="74">
        <f t="shared" si="10"/>
        <v>1</v>
      </c>
      <c r="Y623" s="73">
        <f t="shared" si="333"/>
        <v>0</v>
      </c>
      <c r="Z623" s="73">
        <f t="shared" si="12"/>
        <v>1524.576271</v>
      </c>
      <c r="AA623" s="73">
        <f t="shared" si="13"/>
        <v>1524.576271</v>
      </c>
      <c r="AB623" s="74">
        <f t="shared" si="14"/>
        <v>1</v>
      </c>
      <c r="AC623" s="61" t="str">
        <f t="shared" si="15"/>
        <v>0</v>
      </c>
      <c r="AD623" s="71" t="str">
        <f t="shared" si="16"/>
        <v>#DIV/0!</v>
      </c>
      <c r="AE623" s="61"/>
      <c r="AF623" s="61"/>
      <c r="AG623" s="71">
        <f t="array" ref="AG623">IFERROR(xlookup(G623,'Old Master'!T:T,'Old Master'!V:V),N623)</f>
        <v>0.09552538964</v>
      </c>
      <c r="AH623" s="73">
        <f t="shared" si="229"/>
        <v>1799</v>
      </c>
      <c r="AI623" s="73">
        <f t="shared" si="230"/>
        <v>1524.576271</v>
      </c>
      <c r="AJ623" s="72">
        <f t="shared" si="19"/>
        <v>1</v>
      </c>
      <c r="AK623" s="61"/>
      <c r="AL623" s="71">
        <f t="array" ref="AL623">iferror(if(isblank(xlookup($G623,'Old Master'!$T:$T,'Old Master'!$W:$W)),AG623,xlookup($G623,'Old Master'!$T:$T,'Old Master'!$W:$W)),AG623)</f>
        <v>0.09552538964</v>
      </c>
      <c r="AM623" s="74">
        <f t="shared" si="20"/>
        <v>0.09552538964</v>
      </c>
      <c r="AN623" s="73">
        <f t="shared" si="409"/>
        <v>1799</v>
      </c>
    </row>
    <row r="624">
      <c r="A624" s="65" t="s">
        <v>3217</v>
      </c>
      <c r="B624" s="65" t="str">
        <f t="shared" si="1"/>
        <v>#VALUE!</v>
      </c>
      <c r="C624" s="65" t="str">
        <f t="shared" si="403"/>
        <v>#VALUE!</v>
      </c>
      <c r="D624" s="65" t="s">
        <v>3219</v>
      </c>
      <c r="E624" s="65" t="s">
        <v>3220</v>
      </c>
      <c r="F624" s="65">
        <v>0.0</v>
      </c>
      <c r="G624" s="65" t="s">
        <v>5142</v>
      </c>
      <c r="H624" s="65" t="s">
        <v>4730</v>
      </c>
      <c r="I624" s="65">
        <v>1389.0</v>
      </c>
      <c r="J624" s="66">
        <v>0.1</v>
      </c>
      <c r="K624" s="65">
        <f t="shared" si="3"/>
        <v>1250</v>
      </c>
      <c r="L624" s="66">
        <v>0.10007199424046076</v>
      </c>
      <c r="M624" s="65">
        <f t="shared" si="4"/>
        <v>1250</v>
      </c>
      <c r="N624" s="67">
        <f t="shared" si="404"/>
        <v>0.06479481641</v>
      </c>
      <c r="O624" s="78">
        <v>1299.0</v>
      </c>
      <c r="P624" s="67">
        <f t="shared" si="405"/>
        <v>0.06479481641</v>
      </c>
      <c r="Q624" s="79">
        <v>1299.0</v>
      </c>
      <c r="R624" s="70"/>
      <c r="S624" s="71">
        <f t="shared" si="406"/>
        <v>0.0392</v>
      </c>
      <c r="T624" s="72">
        <f t="shared" si="6"/>
        <v>0</v>
      </c>
      <c r="U624" s="73" t="str">
        <f t="shared" si="408"/>
        <v/>
      </c>
      <c r="V624" s="73">
        <f t="shared" si="340"/>
        <v>1059.322034</v>
      </c>
      <c r="W624" s="73">
        <f t="shared" si="9"/>
        <v>1059.322034</v>
      </c>
      <c r="X624" s="74">
        <f t="shared" si="10"/>
        <v>1</v>
      </c>
      <c r="Y624" s="73">
        <f t="shared" si="333"/>
        <v>0</v>
      </c>
      <c r="Z624" s="73">
        <f t="shared" si="12"/>
        <v>1100.847458</v>
      </c>
      <c r="AA624" s="73">
        <f t="shared" si="13"/>
        <v>1100.847458</v>
      </c>
      <c r="AB624" s="74">
        <f t="shared" si="14"/>
        <v>1</v>
      </c>
      <c r="AC624" s="61" t="str">
        <f t="shared" si="15"/>
        <v>6</v>
      </c>
      <c r="AD624" s="71" t="str">
        <f t="shared" si="16"/>
        <v>#DIV/0!</v>
      </c>
      <c r="AE624" s="61"/>
      <c r="AF624" s="61"/>
      <c r="AG624" s="71">
        <f t="array" ref="AG624">IFERROR(xlookup(G624,'Old Master'!T:T,'Old Master'!V:V),N624)</f>
        <v>0.06479481641</v>
      </c>
      <c r="AH624" s="73">
        <f t="shared" si="229"/>
        <v>1299</v>
      </c>
      <c r="AI624" s="73">
        <f t="shared" si="230"/>
        <v>1100.847458</v>
      </c>
      <c r="AJ624" s="72">
        <f t="shared" si="19"/>
        <v>1</v>
      </c>
      <c r="AK624" s="61"/>
      <c r="AL624" s="71">
        <f t="array" ref="AL624">iferror(if(isblank(xlookup($G624,'Old Master'!$T:$T,'Old Master'!$W:$W)),AG624,xlookup($G624,'Old Master'!$T:$T,'Old Master'!$W:$W)),AG624)</f>
        <v>0.06479481641</v>
      </c>
      <c r="AM624" s="74">
        <f t="shared" si="20"/>
        <v>0.06479481641</v>
      </c>
      <c r="AN624" s="73">
        <f t="shared" si="409"/>
        <v>1299</v>
      </c>
    </row>
    <row r="625">
      <c r="A625" s="65" t="s">
        <v>3337</v>
      </c>
      <c r="B625" s="65" t="str">
        <f t="shared" si="1"/>
        <v>#VALUE!</v>
      </c>
      <c r="C625" s="65" t="str">
        <f t="shared" si="403"/>
        <v>#VALUE!</v>
      </c>
      <c r="D625" s="65" t="s">
        <v>3339</v>
      </c>
      <c r="E625" s="65" t="s">
        <v>3340</v>
      </c>
      <c r="F625" s="65">
        <v>0.0</v>
      </c>
      <c r="G625" s="65" t="s">
        <v>5142</v>
      </c>
      <c r="H625" s="65" t="s">
        <v>4730</v>
      </c>
      <c r="I625" s="65">
        <v>2189.0</v>
      </c>
      <c r="J625" s="66">
        <v>0.1</v>
      </c>
      <c r="K625" s="65">
        <f t="shared" si="3"/>
        <v>1970</v>
      </c>
      <c r="L625" s="66">
        <v>0.10004568296025584</v>
      </c>
      <c r="M625" s="65">
        <f t="shared" si="4"/>
        <v>1970</v>
      </c>
      <c r="N625" s="67">
        <f t="shared" si="404"/>
        <v>0.08679762449</v>
      </c>
      <c r="O625" s="78">
        <v>1999.0</v>
      </c>
      <c r="P625" s="67">
        <f t="shared" si="405"/>
        <v>0.08679762449</v>
      </c>
      <c r="Q625" s="79">
        <v>1999.0</v>
      </c>
      <c r="R625" s="70"/>
      <c r="S625" s="71">
        <f t="shared" si="406"/>
        <v>0.01472081218</v>
      </c>
      <c r="T625" s="72">
        <f t="shared" si="6"/>
        <v>0</v>
      </c>
      <c r="U625" s="73" t="str">
        <f t="shared" si="408"/>
        <v/>
      </c>
      <c r="V625" s="73">
        <f t="shared" si="340"/>
        <v>1669.491525</v>
      </c>
      <c r="W625" s="73">
        <f t="shared" si="9"/>
        <v>1669.491525</v>
      </c>
      <c r="X625" s="74">
        <f t="shared" si="10"/>
        <v>1</v>
      </c>
      <c r="Y625" s="73">
        <f t="shared" si="333"/>
        <v>0</v>
      </c>
      <c r="Z625" s="73">
        <f t="shared" si="12"/>
        <v>1694.067797</v>
      </c>
      <c r="AA625" s="73">
        <f t="shared" si="13"/>
        <v>1694.067797</v>
      </c>
      <c r="AB625" s="74">
        <f t="shared" si="14"/>
        <v>1</v>
      </c>
      <c r="AC625" s="61" t="str">
        <f t="shared" si="15"/>
        <v>2</v>
      </c>
      <c r="AD625" s="71" t="str">
        <f t="shared" si="16"/>
        <v>#DIV/0!</v>
      </c>
      <c r="AE625" s="61"/>
      <c r="AF625" s="61"/>
      <c r="AG625" s="71">
        <f t="array" ref="AG625">IFERROR(xlookup(G625,'Old Master'!T:T,'Old Master'!V:V),N625)</f>
        <v>0.08679762449</v>
      </c>
      <c r="AH625" s="73">
        <f t="shared" si="229"/>
        <v>1999</v>
      </c>
      <c r="AI625" s="73">
        <f t="shared" si="230"/>
        <v>1694.067797</v>
      </c>
      <c r="AJ625" s="72">
        <f t="shared" si="19"/>
        <v>1</v>
      </c>
      <c r="AK625" s="61"/>
      <c r="AL625" s="71">
        <f t="array" ref="AL625">iferror(if(isblank(xlookup($G625,'Old Master'!$T:$T,'Old Master'!$W:$W)),AG625,xlookup($G625,'Old Master'!$T:$T,'Old Master'!$W:$W)),AG625)</f>
        <v>0.08679762449</v>
      </c>
      <c r="AM625" s="74">
        <f t="shared" si="20"/>
        <v>0.08679762449</v>
      </c>
      <c r="AN625" s="73">
        <f t="shared" si="409"/>
        <v>1999</v>
      </c>
    </row>
    <row r="626">
      <c r="A626" s="65" t="s">
        <v>3726</v>
      </c>
      <c r="B626" s="65" t="str">
        <f t="shared" si="1"/>
        <v>#VALUE!</v>
      </c>
      <c r="C626" s="65" t="str">
        <f t="shared" si="403"/>
        <v>#VALUE!</v>
      </c>
      <c r="D626" s="65" t="s">
        <v>3728</v>
      </c>
      <c r="E626" s="65">
        <v>0.0</v>
      </c>
      <c r="F626" s="65" t="s">
        <v>3729</v>
      </c>
      <c r="G626" s="65" t="s">
        <v>5155</v>
      </c>
      <c r="H626" s="65" t="s">
        <v>4730</v>
      </c>
      <c r="I626" s="65">
        <v>649.0</v>
      </c>
      <c r="J626" s="66">
        <v>0.1</v>
      </c>
      <c r="K626" s="65">
        <f t="shared" si="3"/>
        <v>584</v>
      </c>
      <c r="L626" s="66">
        <v>0.1</v>
      </c>
      <c r="M626" s="65">
        <f t="shared" si="4"/>
        <v>584</v>
      </c>
      <c r="N626" s="67">
        <f t="shared" si="404"/>
        <v>0.07704160247</v>
      </c>
      <c r="O626" s="78">
        <v>599.0</v>
      </c>
      <c r="P626" s="67">
        <f t="shared" si="405"/>
        <v>0.07704160247</v>
      </c>
      <c r="Q626" s="79">
        <v>599.0</v>
      </c>
      <c r="R626" s="70"/>
      <c r="S626" s="71">
        <f t="shared" si="406"/>
        <v>0.02568493151</v>
      </c>
      <c r="T626" s="72">
        <f t="shared" si="6"/>
        <v>0</v>
      </c>
      <c r="U626" s="73" t="str">
        <f t="shared" si="408"/>
        <v/>
      </c>
      <c r="V626" s="73">
        <f t="shared" si="340"/>
        <v>494.9152542</v>
      </c>
      <c r="W626" s="73">
        <f t="shared" si="9"/>
        <v>494.9152542</v>
      </c>
      <c r="X626" s="74">
        <f t="shared" si="10"/>
        <v>1</v>
      </c>
      <c r="Y626" s="73">
        <f t="shared" si="333"/>
        <v>0</v>
      </c>
      <c r="Z626" s="73">
        <f t="shared" si="12"/>
        <v>507.6271186</v>
      </c>
      <c r="AA626" s="73">
        <f t="shared" si="13"/>
        <v>507.6271186</v>
      </c>
      <c r="AB626" s="74">
        <f t="shared" si="14"/>
        <v>1</v>
      </c>
      <c r="AC626" s="61" t="str">
        <f t="shared" si="15"/>
        <v>0</v>
      </c>
      <c r="AD626" s="71" t="str">
        <f t="shared" si="16"/>
        <v>#DIV/0!</v>
      </c>
      <c r="AE626" s="61"/>
      <c r="AF626" s="61"/>
      <c r="AG626" s="71">
        <f t="array" ref="AG626">IFERROR(xlookup(G626,'Old Master'!T:T,'Old Master'!V:V),N626)</f>
        <v>0.07704160247</v>
      </c>
      <c r="AH626" s="73">
        <f t="shared" si="229"/>
        <v>599</v>
      </c>
      <c r="AI626" s="73">
        <f t="shared" si="230"/>
        <v>507.6271186</v>
      </c>
      <c r="AJ626" s="72">
        <f t="shared" si="19"/>
        <v>1</v>
      </c>
      <c r="AK626" s="61"/>
      <c r="AL626" s="71">
        <f t="array" ref="AL626">iferror(if(isblank(xlookup($G626,'Old Master'!$T:$T,'Old Master'!$W:$W)),AG626,xlookup($G626,'Old Master'!$T:$T,'Old Master'!$W:$W)),AG626)</f>
        <v>0.07704160247</v>
      </c>
      <c r="AM626" s="74">
        <f t="shared" si="20"/>
        <v>0.07704160247</v>
      </c>
      <c r="AN626" s="73">
        <f t="shared" si="409"/>
        <v>599</v>
      </c>
    </row>
    <row r="627">
      <c r="A627" s="65" t="s">
        <v>3604</v>
      </c>
      <c r="B627" s="65" t="str">
        <f t="shared" si="1"/>
        <v>#VALUE!</v>
      </c>
      <c r="C627" s="65" t="str">
        <f t="shared" si="403"/>
        <v>#VALUE!</v>
      </c>
      <c r="D627" s="65" t="s">
        <v>3606</v>
      </c>
      <c r="E627" s="65">
        <v>0.0</v>
      </c>
      <c r="F627" s="65">
        <v>0.0</v>
      </c>
      <c r="G627" s="65" t="s">
        <v>5155</v>
      </c>
      <c r="H627" s="65" t="s">
        <v>4730</v>
      </c>
      <c r="I627" s="65">
        <v>549.0</v>
      </c>
      <c r="J627" s="66">
        <v>0.1</v>
      </c>
      <c r="K627" s="65">
        <f t="shared" si="3"/>
        <v>494</v>
      </c>
      <c r="L627" s="66">
        <v>0.1</v>
      </c>
      <c r="M627" s="65">
        <f t="shared" si="4"/>
        <v>494</v>
      </c>
      <c r="N627" s="67">
        <f t="shared" si="404"/>
        <v>0.09107468124</v>
      </c>
      <c r="O627" s="78">
        <v>499.0</v>
      </c>
      <c r="P627" s="67">
        <f t="shared" si="405"/>
        <v>0.09107468124</v>
      </c>
      <c r="Q627" s="79">
        <v>499.0</v>
      </c>
      <c r="R627" s="70"/>
      <c r="S627" s="71">
        <f t="shared" si="406"/>
        <v>0.01012145749</v>
      </c>
      <c r="T627" s="72">
        <f t="shared" si="6"/>
        <v>0</v>
      </c>
      <c r="U627" s="73" t="str">
        <f t="shared" si="408"/>
        <v/>
      </c>
      <c r="V627" s="73">
        <f t="shared" si="340"/>
        <v>418.6440678</v>
      </c>
      <c r="W627" s="73">
        <f t="shared" si="9"/>
        <v>418.6440678</v>
      </c>
      <c r="X627" s="74">
        <f t="shared" si="10"/>
        <v>1</v>
      </c>
      <c r="Y627" s="73">
        <f t="shared" si="333"/>
        <v>0</v>
      </c>
      <c r="Z627" s="73">
        <f t="shared" si="12"/>
        <v>422.8813559</v>
      </c>
      <c r="AA627" s="73">
        <f t="shared" si="13"/>
        <v>422.8813559</v>
      </c>
      <c r="AB627" s="74">
        <f t="shared" si="14"/>
        <v>1</v>
      </c>
      <c r="AC627" s="61" t="str">
        <f t="shared" si="15"/>
        <v>7</v>
      </c>
      <c r="AD627" s="71" t="str">
        <f t="shared" si="16"/>
        <v>#DIV/0!</v>
      </c>
      <c r="AE627" s="61"/>
      <c r="AF627" s="61"/>
      <c r="AG627" s="71">
        <f t="array" ref="AG627">IFERROR(xlookup(G627,'Old Master'!T:T,'Old Master'!V:V),N627)</f>
        <v>0.09107468124</v>
      </c>
      <c r="AH627" s="73">
        <f t="shared" si="229"/>
        <v>499</v>
      </c>
      <c r="AI627" s="73">
        <f t="shared" si="230"/>
        <v>422.8813559</v>
      </c>
      <c r="AJ627" s="72">
        <f t="shared" si="19"/>
        <v>1</v>
      </c>
      <c r="AK627" s="61"/>
      <c r="AL627" s="71">
        <f t="array" ref="AL627">iferror(if(isblank(xlookup($G627,'Old Master'!$T:$T,'Old Master'!$W:$W)),AG627,xlookup($G627,'Old Master'!$T:$T,'Old Master'!$W:$W)),AG627)</f>
        <v>0.09107468124</v>
      </c>
      <c r="AM627" s="74">
        <f t="shared" si="20"/>
        <v>0.09107468124</v>
      </c>
      <c r="AN627" s="73">
        <f t="shared" si="409"/>
        <v>499</v>
      </c>
    </row>
    <row r="628">
      <c r="A628" s="65" t="s">
        <v>3741</v>
      </c>
      <c r="B628" s="65" t="str">
        <f t="shared" si="1"/>
        <v>#VALUE!</v>
      </c>
      <c r="C628" s="65" t="str">
        <f t="shared" si="403"/>
        <v>#VALUE!</v>
      </c>
      <c r="D628" s="65" t="s">
        <v>3743</v>
      </c>
      <c r="E628" s="65">
        <v>0.0</v>
      </c>
      <c r="F628" s="65">
        <v>0.0</v>
      </c>
      <c r="G628" s="65" t="s">
        <v>5155</v>
      </c>
      <c r="H628" s="65" t="s">
        <v>4730</v>
      </c>
      <c r="I628" s="65">
        <v>499.0</v>
      </c>
      <c r="J628" s="66">
        <v>0.1</v>
      </c>
      <c r="K628" s="65">
        <f t="shared" si="3"/>
        <v>449</v>
      </c>
      <c r="L628" s="66">
        <v>0.1</v>
      </c>
      <c r="M628" s="65">
        <f t="shared" si="4"/>
        <v>449</v>
      </c>
      <c r="N628" s="67">
        <f t="shared" si="404"/>
        <v>0.1002004008</v>
      </c>
      <c r="O628" s="68">
        <v>449.0</v>
      </c>
      <c r="P628" s="67">
        <f t="shared" si="405"/>
        <v>0.1002004008</v>
      </c>
      <c r="Q628" s="69">
        <v>449.0</v>
      </c>
      <c r="R628" s="70"/>
      <c r="S628" s="71">
        <f t="shared" si="406"/>
        <v>0</v>
      </c>
      <c r="T628" s="72">
        <f t="shared" si="6"/>
        <v>0</v>
      </c>
      <c r="U628" s="73" t="str">
        <f t="shared" si="408"/>
        <v/>
      </c>
      <c r="V628" s="73">
        <f t="shared" si="340"/>
        <v>380.5084746</v>
      </c>
      <c r="W628" s="73">
        <f t="shared" si="9"/>
        <v>380.5084746</v>
      </c>
      <c r="X628" s="74">
        <f t="shared" si="10"/>
        <v>1</v>
      </c>
      <c r="Y628" s="73">
        <f t="shared" si="333"/>
        <v>0</v>
      </c>
      <c r="Z628" s="73">
        <f t="shared" si="12"/>
        <v>380.5084746</v>
      </c>
      <c r="AA628" s="73">
        <f t="shared" si="13"/>
        <v>380.5084746</v>
      </c>
      <c r="AB628" s="74">
        <f t="shared" si="14"/>
        <v>1</v>
      </c>
      <c r="AC628" s="61" t="str">
        <f t="shared" si="15"/>
        <v>0</v>
      </c>
      <c r="AD628" s="71" t="str">
        <f t="shared" si="16"/>
        <v>#DIV/0!</v>
      </c>
      <c r="AE628" s="61"/>
      <c r="AF628" s="61"/>
      <c r="AG628" s="71">
        <f t="array" ref="AG628">IFERROR(xlookup(G628,'Old Master'!T:T,'Old Master'!V:V),N628)</f>
        <v>0.1002004008</v>
      </c>
      <c r="AH628" s="73">
        <f t="shared" si="229"/>
        <v>449</v>
      </c>
      <c r="AI628" s="73">
        <f t="shared" si="230"/>
        <v>380.5084746</v>
      </c>
      <c r="AJ628" s="72">
        <f t="shared" si="19"/>
        <v>1</v>
      </c>
      <c r="AK628" s="61"/>
      <c r="AL628" s="71">
        <f t="array" ref="AL628">iferror(if(isblank(xlookup($G628,'Old Master'!$T:$T,'Old Master'!$W:$W)),AG628,xlookup($G628,'Old Master'!$T:$T,'Old Master'!$W:$W)),AG628)</f>
        <v>0.1002004008</v>
      </c>
      <c r="AM628" s="74">
        <f t="shared" si="20"/>
        <v>0.2004008016</v>
      </c>
      <c r="AN628" s="73">
        <f t="shared" si="409"/>
        <v>399</v>
      </c>
    </row>
    <row r="629">
      <c r="A629" s="65" t="s">
        <v>3721</v>
      </c>
      <c r="B629" s="65" t="str">
        <f t="shared" si="1"/>
        <v>#VALUE!</v>
      </c>
      <c r="C629" s="65" t="str">
        <f t="shared" si="403"/>
        <v>#VALUE!</v>
      </c>
      <c r="D629" s="65" t="s">
        <v>3723</v>
      </c>
      <c r="E629" s="65" t="s">
        <v>3721</v>
      </c>
      <c r="F629" s="65" t="s">
        <v>3724</v>
      </c>
      <c r="G629" s="65" t="s">
        <v>5155</v>
      </c>
      <c r="H629" s="65" t="s">
        <v>4730</v>
      </c>
      <c r="I629" s="65">
        <v>649.0</v>
      </c>
      <c r="J629" s="66">
        <v>0.1</v>
      </c>
      <c r="K629" s="65">
        <f t="shared" si="3"/>
        <v>584</v>
      </c>
      <c r="L629" s="66">
        <v>0.1</v>
      </c>
      <c r="M629" s="65">
        <f t="shared" si="4"/>
        <v>584</v>
      </c>
      <c r="N629" s="67">
        <f t="shared" si="404"/>
        <v>0.07704160247</v>
      </c>
      <c r="O629" s="78">
        <v>599.0</v>
      </c>
      <c r="P629" s="67">
        <f t="shared" si="405"/>
        <v>0.07704160247</v>
      </c>
      <c r="Q629" s="79">
        <v>599.0</v>
      </c>
      <c r="R629" s="70"/>
      <c r="S629" s="71">
        <f t="shared" si="406"/>
        <v>0.02568493151</v>
      </c>
      <c r="T629" s="72">
        <f t="shared" si="6"/>
        <v>0</v>
      </c>
      <c r="U629" s="73" t="str">
        <f t="shared" si="408"/>
        <v/>
      </c>
      <c r="V629" s="73">
        <f t="shared" si="340"/>
        <v>494.9152542</v>
      </c>
      <c r="W629" s="73">
        <f t="shared" si="9"/>
        <v>494.9152542</v>
      </c>
      <c r="X629" s="74">
        <f t="shared" si="10"/>
        <v>1</v>
      </c>
      <c r="Y629" s="73">
        <f t="shared" si="333"/>
        <v>0</v>
      </c>
      <c r="Z629" s="73">
        <f t="shared" si="12"/>
        <v>507.6271186</v>
      </c>
      <c r="AA629" s="73">
        <f t="shared" si="13"/>
        <v>507.6271186</v>
      </c>
      <c r="AB629" s="74">
        <f t="shared" si="14"/>
        <v>1</v>
      </c>
      <c r="AC629" s="61" t="str">
        <f t="shared" si="15"/>
        <v>0</v>
      </c>
      <c r="AD629" s="71" t="str">
        <f t="shared" si="16"/>
        <v>#DIV/0!</v>
      </c>
      <c r="AE629" s="61"/>
      <c r="AF629" s="61"/>
      <c r="AG629" s="71">
        <f t="array" ref="AG629">IFERROR(xlookup(G629,'Old Master'!T:T,'Old Master'!V:V),N629)</f>
        <v>0.07704160247</v>
      </c>
      <c r="AH629" s="73">
        <f t="shared" si="229"/>
        <v>599</v>
      </c>
      <c r="AI629" s="73">
        <f t="shared" si="230"/>
        <v>507.6271186</v>
      </c>
      <c r="AJ629" s="72">
        <f t="shared" si="19"/>
        <v>1</v>
      </c>
      <c r="AK629" s="61"/>
      <c r="AL629" s="71">
        <f t="array" ref="AL629">iferror(if(isblank(xlookup($G629,'Old Master'!$T:$T,'Old Master'!$W:$W)),AG629,xlookup($G629,'Old Master'!$T:$T,'Old Master'!$W:$W)),AG629)</f>
        <v>0.07704160247</v>
      </c>
      <c r="AM629" s="74">
        <f t="shared" si="20"/>
        <v>0.07704160247</v>
      </c>
      <c r="AN629" s="73">
        <f t="shared" si="409"/>
        <v>599</v>
      </c>
    </row>
    <row r="630">
      <c r="A630" s="65" t="s">
        <v>3599</v>
      </c>
      <c r="B630" s="65" t="str">
        <f t="shared" si="1"/>
        <v>#VALUE!</v>
      </c>
      <c r="C630" s="65" t="str">
        <f t="shared" si="403"/>
        <v>#VALUE!</v>
      </c>
      <c r="D630" s="65" t="s">
        <v>3601</v>
      </c>
      <c r="E630" s="65">
        <v>0.0</v>
      </c>
      <c r="F630" s="65" t="s">
        <v>3602</v>
      </c>
      <c r="G630" s="65" t="s">
        <v>5155</v>
      </c>
      <c r="H630" s="65" t="s">
        <v>4730</v>
      </c>
      <c r="I630" s="65">
        <v>549.0</v>
      </c>
      <c r="J630" s="66">
        <v>0.1</v>
      </c>
      <c r="K630" s="65">
        <f t="shared" si="3"/>
        <v>494</v>
      </c>
      <c r="L630" s="66">
        <v>0.1</v>
      </c>
      <c r="M630" s="65">
        <f t="shared" si="4"/>
        <v>494</v>
      </c>
      <c r="N630" s="67">
        <f t="shared" si="404"/>
        <v>0.09107468124</v>
      </c>
      <c r="O630" s="78">
        <v>499.0</v>
      </c>
      <c r="P630" s="67">
        <f t="shared" si="405"/>
        <v>0.09107468124</v>
      </c>
      <c r="Q630" s="79">
        <v>499.0</v>
      </c>
      <c r="R630" s="70"/>
      <c r="S630" s="71">
        <f t="shared" si="406"/>
        <v>0.01012145749</v>
      </c>
      <c r="T630" s="72">
        <f t="shared" si="6"/>
        <v>0</v>
      </c>
      <c r="U630" s="73" t="str">
        <f t="shared" si="408"/>
        <v/>
      </c>
      <c r="V630" s="73">
        <f t="shared" si="340"/>
        <v>418.6440678</v>
      </c>
      <c r="W630" s="73">
        <f t="shared" si="9"/>
        <v>418.6440678</v>
      </c>
      <c r="X630" s="74">
        <f t="shared" si="10"/>
        <v>1</v>
      </c>
      <c r="Y630" s="73">
        <f t="shared" si="333"/>
        <v>0</v>
      </c>
      <c r="Z630" s="73">
        <f t="shared" si="12"/>
        <v>422.8813559</v>
      </c>
      <c r="AA630" s="73">
        <f t="shared" si="13"/>
        <v>422.8813559</v>
      </c>
      <c r="AB630" s="74">
        <f t="shared" si="14"/>
        <v>1</v>
      </c>
      <c r="AC630" s="61" t="str">
        <f t="shared" si="15"/>
        <v>7</v>
      </c>
      <c r="AD630" s="71" t="str">
        <f t="shared" si="16"/>
        <v>#DIV/0!</v>
      </c>
      <c r="AE630" s="61"/>
      <c r="AF630" s="61"/>
      <c r="AG630" s="71">
        <f t="array" ref="AG630">IFERROR(xlookup(G630,'Old Master'!T:T,'Old Master'!V:V),N630)</f>
        <v>0.09107468124</v>
      </c>
      <c r="AH630" s="73">
        <f t="shared" si="229"/>
        <v>499</v>
      </c>
      <c r="AI630" s="73">
        <f t="shared" si="230"/>
        <v>422.8813559</v>
      </c>
      <c r="AJ630" s="72">
        <f t="shared" si="19"/>
        <v>1</v>
      </c>
      <c r="AK630" s="61"/>
      <c r="AL630" s="71">
        <f t="array" ref="AL630">iferror(if(isblank(xlookup($G630,'Old Master'!$T:$T,'Old Master'!$W:$W)),AG630,xlookup($G630,'Old Master'!$T:$T,'Old Master'!$W:$W)),AG630)</f>
        <v>0.09107468124</v>
      </c>
      <c r="AM630" s="74">
        <f t="shared" si="20"/>
        <v>0.09107468124</v>
      </c>
      <c r="AN630" s="73">
        <f t="shared" si="409"/>
        <v>499</v>
      </c>
    </row>
    <row r="631">
      <c r="A631" s="65" t="s">
        <v>3731</v>
      </c>
      <c r="B631" s="65" t="str">
        <f t="shared" si="1"/>
        <v>#VALUE!</v>
      </c>
      <c r="C631" s="65" t="str">
        <f t="shared" si="403"/>
        <v>#VALUE!</v>
      </c>
      <c r="D631" s="65" t="s">
        <v>3733</v>
      </c>
      <c r="E631" s="65">
        <v>0.0</v>
      </c>
      <c r="F631" s="65">
        <v>0.0</v>
      </c>
      <c r="G631" s="65" t="s">
        <v>5155</v>
      </c>
      <c r="H631" s="65" t="s">
        <v>4730</v>
      </c>
      <c r="I631" s="65">
        <v>649.0</v>
      </c>
      <c r="J631" s="66">
        <v>0.1</v>
      </c>
      <c r="K631" s="65">
        <f t="shared" si="3"/>
        <v>584</v>
      </c>
      <c r="L631" s="66">
        <v>0.1</v>
      </c>
      <c r="M631" s="65">
        <f t="shared" si="4"/>
        <v>584</v>
      </c>
      <c r="N631" s="67">
        <f t="shared" si="404"/>
        <v>0.07704160247</v>
      </c>
      <c r="O631" s="78">
        <v>599.0</v>
      </c>
      <c r="P631" s="67">
        <f t="shared" si="405"/>
        <v>0.07704160247</v>
      </c>
      <c r="Q631" s="79">
        <v>599.0</v>
      </c>
      <c r="R631" s="70"/>
      <c r="S631" s="71">
        <f t="shared" si="406"/>
        <v>0.02568493151</v>
      </c>
      <c r="T631" s="72">
        <f t="shared" si="6"/>
        <v>0</v>
      </c>
      <c r="U631" s="73" t="str">
        <f t="shared" si="408"/>
        <v/>
      </c>
      <c r="V631" s="73">
        <f t="shared" si="340"/>
        <v>494.9152542</v>
      </c>
      <c r="W631" s="73">
        <f t="shared" si="9"/>
        <v>494.9152542</v>
      </c>
      <c r="X631" s="74">
        <f t="shared" si="10"/>
        <v>1</v>
      </c>
      <c r="Y631" s="73">
        <f t="shared" si="333"/>
        <v>0</v>
      </c>
      <c r="Z631" s="73">
        <f t="shared" si="12"/>
        <v>507.6271186</v>
      </c>
      <c r="AA631" s="73">
        <f t="shared" si="13"/>
        <v>507.6271186</v>
      </c>
      <c r="AB631" s="74">
        <f t="shared" si="14"/>
        <v>1</v>
      </c>
      <c r="AC631" s="61" t="str">
        <f t="shared" si="15"/>
        <v>0</v>
      </c>
      <c r="AD631" s="71" t="str">
        <f t="shared" si="16"/>
        <v>#DIV/0!</v>
      </c>
      <c r="AE631" s="61"/>
      <c r="AF631" s="61"/>
      <c r="AG631" s="71">
        <f t="array" ref="AG631">IFERROR(xlookup(G631,'Old Master'!T:T,'Old Master'!V:V),N631)</f>
        <v>0.07704160247</v>
      </c>
      <c r="AH631" s="73">
        <f t="shared" si="229"/>
        <v>599</v>
      </c>
      <c r="AI631" s="73">
        <f t="shared" si="230"/>
        <v>507.6271186</v>
      </c>
      <c r="AJ631" s="72">
        <f t="shared" si="19"/>
        <v>1</v>
      </c>
      <c r="AK631" s="61"/>
      <c r="AL631" s="71">
        <f t="array" ref="AL631">iferror(if(isblank(xlookup($G631,'Old Master'!$T:$T,'Old Master'!$W:$W)),AG631,xlookup($G631,'Old Master'!$T:$T,'Old Master'!$W:$W)),AG631)</f>
        <v>0.07704160247</v>
      </c>
      <c r="AM631" s="74">
        <f t="shared" si="20"/>
        <v>0.07704160247</v>
      </c>
      <c r="AN631" s="73">
        <f t="shared" si="409"/>
        <v>599</v>
      </c>
    </row>
    <row r="632">
      <c r="A632" s="65" t="s">
        <v>3609</v>
      </c>
      <c r="B632" s="65" t="str">
        <f t="shared" si="1"/>
        <v>#VALUE!</v>
      </c>
      <c r="C632" s="65" t="str">
        <f t="shared" si="403"/>
        <v>#VALUE!</v>
      </c>
      <c r="D632" s="65" t="s">
        <v>3611</v>
      </c>
      <c r="E632" s="65">
        <v>0.0</v>
      </c>
      <c r="F632" s="65" t="s">
        <v>3612</v>
      </c>
      <c r="G632" s="65" t="s">
        <v>5155</v>
      </c>
      <c r="H632" s="65" t="s">
        <v>4730</v>
      </c>
      <c r="I632" s="65">
        <v>549.0</v>
      </c>
      <c r="J632" s="66">
        <v>0.1</v>
      </c>
      <c r="K632" s="65">
        <f t="shared" si="3"/>
        <v>494</v>
      </c>
      <c r="L632" s="66">
        <v>0.1</v>
      </c>
      <c r="M632" s="65">
        <f t="shared" si="4"/>
        <v>494</v>
      </c>
      <c r="N632" s="67">
        <f t="shared" si="404"/>
        <v>0.09107468124</v>
      </c>
      <c r="O632" s="78">
        <v>499.0</v>
      </c>
      <c r="P632" s="67">
        <f t="shared" si="405"/>
        <v>0.09107468124</v>
      </c>
      <c r="Q632" s="79">
        <v>499.0</v>
      </c>
      <c r="R632" s="70"/>
      <c r="S632" s="71">
        <f t="shared" si="406"/>
        <v>0.01012145749</v>
      </c>
      <c r="T632" s="72">
        <f t="shared" si="6"/>
        <v>0</v>
      </c>
      <c r="U632" s="73" t="str">
        <f t="shared" si="408"/>
        <v/>
      </c>
      <c r="V632" s="73">
        <f t="shared" si="340"/>
        <v>418.6440678</v>
      </c>
      <c r="W632" s="73">
        <f t="shared" si="9"/>
        <v>418.6440678</v>
      </c>
      <c r="X632" s="74">
        <f t="shared" si="10"/>
        <v>1</v>
      </c>
      <c r="Y632" s="73">
        <f t="shared" si="333"/>
        <v>0</v>
      </c>
      <c r="Z632" s="73">
        <f t="shared" si="12"/>
        <v>422.8813559</v>
      </c>
      <c r="AA632" s="73">
        <f t="shared" si="13"/>
        <v>422.8813559</v>
      </c>
      <c r="AB632" s="74">
        <f t="shared" si="14"/>
        <v>1</v>
      </c>
      <c r="AC632" s="61" t="str">
        <f t="shared" si="15"/>
        <v>7</v>
      </c>
      <c r="AD632" s="71" t="str">
        <f t="shared" si="16"/>
        <v>#DIV/0!</v>
      </c>
      <c r="AE632" s="61"/>
      <c r="AF632" s="61"/>
      <c r="AG632" s="71">
        <f t="array" ref="AG632">IFERROR(xlookup(G632,'Old Master'!T:T,'Old Master'!V:V),N632)</f>
        <v>0.09107468124</v>
      </c>
      <c r="AH632" s="73">
        <f t="shared" si="229"/>
        <v>499</v>
      </c>
      <c r="AI632" s="73">
        <f t="shared" si="230"/>
        <v>422.8813559</v>
      </c>
      <c r="AJ632" s="72">
        <f t="shared" si="19"/>
        <v>1</v>
      </c>
      <c r="AK632" s="61"/>
      <c r="AL632" s="71">
        <f t="array" ref="AL632">iferror(if(isblank(xlookup($G632,'Old Master'!$T:$T,'Old Master'!$W:$W)),AG632,xlookup($G632,'Old Master'!$T:$T,'Old Master'!$W:$W)),AG632)</f>
        <v>0.09107468124</v>
      </c>
      <c r="AM632" s="74">
        <f t="shared" si="20"/>
        <v>0.09107468124</v>
      </c>
      <c r="AN632" s="73">
        <f t="shared" si="409"/>
        <v>499</v>
      </c>
    </row>
    <row r="633">
      <c r="A633" s="65" t="s">
        <v>5411</v>
      </c>
      <c r="B633" s="65">
        <f t="shared" si="1"/>
        <v>42</v>
      </c>
      <c r="C633" s="65" t="str">
        <f t="shared" si="403"/>
        <v>SC-LTx-ORTHO-D-75x44x5</v>
      </c>
      <c r="D633" s="65" t="s">
        <v>4259</v>
      </c>
      <c r="E633" s="65">
        <v>0.0</v>
      </c>
      <c r="F633" s="65" t="s">
        <v>4260</v>
      </c>
      <c r="G633" s="65" t="s">
        <v>5118</v>
      </c>
      <c r="H633" s="65" t="s">
        <v>52</v>
      </c>
      <c r="I633" s="81">
        <v>13699.0</v>
      </c>
      <c r="J633" s="66">
        <v>0.23</v>
      </c>
      <c r="K633" s="81">
        <f t="shared" si="3"/>
        <v>10548</v>
      </c>
      <c r="L633" s="66">
        <v>0.2</v>
      </c>
      <c r="M633" s="81">
        <f t="shared" si="4"/>
        <v>10959</v>
      </c>
      <c r="N633" s="67">
        <f t="shared" si="404"/>
        <v>0.3233739689</v>
      </c>
      <c r="O633" s="68">
        <v>9269.1</v>
      </c>
      <c r="P633" s="75">
        <v>0.1</v>
      </c>
      <c r="Q633" s="68">
        <f t="shared" ref="Q633:Q655" si="410">I633*(1-P633)</f>
        <v>12329.1</v>
      </c>
      <c r="R633" s="70"/>
      <c r="S633" s="71">
        <f t="shared" ref="S633:S655" si="411">O633/M633-1</f>
        <v>-0.1542020257</v>
      </c>
      <c r="T633" s="72">
        <f t="shared" si="6"/>
        <v>0</v>
      </c>
      <c r="U633" s="73" t="str">
        <f t="shared" si="408"/>
        <v/>
      </c>
      <c r="V633" s="73">
        <f t="shared" si="340"/>
        <v>9287.288136</v>
      </c>
      <c r="W633" s="73">
        <f t="shared" si="9"/>
        <v>9287.288136</v>
      </c>
      <c r="X633" s="74">
        <f t="shared" si="10"/>
        <v>1</v>
      </c>
      <c r="Y633" s="73">
        <f t="shared" si="333"/>
        <v>0</v>
      </c>
      <c r="Z633" s="73">
        <f t="shared" si="12"/>
        <v>7855.169492</v>
      </c>
      <c r="AA633" s="73">
        <f t="shared" si="13"/>
        <v>7855.169492</v>
      </c>
      <c r="AB633" s="74">
        <f t="shared" si="14"/>
        <v>1</v>
      </c>
      <c r="AC633" s="61" t="str">
        <f t="shared" si="15"/>
        <v>5</v>
      </c>
      <c r="AD633" s="71" t="str">
        <f t="shared" si="16"/>
        <v>#DIV/0!</v>
      </c>
      <c r="AE633" s="61"/>
      <c r="AF633" s="61"/>
      <c r="AG633" s="71">
        <f t="array" ref="AG633">IFERROR(xlookup(G633,'Old Master'!T:T,'Old Master'!V:V),N633)</f>
        <v>0.3233739689</v>
      </c>
      <c r="AH633" s="73">
        <f t="shared" si="229"/>
        <v>9269.1</v>
      </c>
      <c r="AI633" s="73">
        <f t="shared" si="230"/>
        <v>7855.169492</v>
      </c>
      <c r="AJ633" s="72">
        <f t="shared" si="19"/>
        <v>1</v>
      </c>
      <c r="AK633" s="61"/>
      <c r="AL633" s="71">
        <f t="array" ref="AL633">iferror(if(isblank(xlookup($G633,'Old Master'!$T:$T,'Old Master'!$W:$W)),AG633,xlookup($G633,'Old Master'!$T:$T,'Old Master'!$W:$W)),AG633)</f>
        <v>0.3233739689</v>
      </c>
      <c r="AM633" s="74">
        <f t="shared" si="20"/>
        <v>0.3211913278</v>
      </c>
      <c r="AN633" s="73">
        <f t="shared" si="409"/>
        <v>9299</v>
      </c>
    </row>
    <row r="634">
      <c r="A634" s="65" t="s">
        <v>5412</v>
      </c>
      <c r="B634" s="65">
        <f t="shared" si="1"/>
        <v>48</v>
      </c>
      <c r="C634" s="65" t="str">
        <f t="shared" si="403"/>
        <v>SC-LTx-ORTHO-D-75x50x5</v>
      </c>
      <c r="D634" s="65" t="s">
        <v>4275</v>
      </c>
      <c r="E634" s="65">
        <v>0.0</v>
      </c>
      <c r="F634" s="65" t="s">
        <v>4276</v>
      </c>
      <c r="G634" s="65" t="s">
        <v>5118</v>
      </c>
      <c r="H634" s="65" t="s">
        <v>52</v>
      </c>
      <c r="I634" s="81">
        <v>15099.0</v>
      </c>
      <c r="J634" s="66">
        <v>0.23</v>
      </c>
      <c r="K634" s="81">
        <f t="shared" si="3"/>
        <v>11626</v>
      </c>
      <c r="L634" s="66">
        <v>0.2</v>
      </c>
      <c r="M634" s="81">
        <f t="shared" si="4"/>
        <v>12079</v>
      </c>
      <c r="N634" s="67">
        <f t="shared" si="404"/>
        <v>0.3265050666</v>
      </c>
      <c r="O634" s="68">
        <v>10169.1</v>
      </c>
      <c r="P634" s="75">
        <v>0.1</v>
      </c>
      <c r="Q634" s="68">
        <f t="shared" si="410"/>
        <v>13589.1</v>
      </c>
      <c r="R634" s="70"/>
      <c r="S634" s="71">
        <f t="shared" si="411"/>
        <v>-0.1581173938</v>
      </c>
      <c r="T634" s="72">
        <f t="shared" si="6"/>
        <v>0</v>
      </c>
      <c r="U634" s="73" t="str">
        <f t="shared" si="408"/>
        <v/>
      </c>
      <c r="V634" s="73">
        <f t="shared" si="340"/>
        <v>10236.44068</v>
      </c>
      <c r="W634" s="73">
        <f t="shared" si="9"/>
        <v>10236.44068</v>
      </c>
      <c r="X634" s="74">
        <f t="shared" si="10"/>
        <v>1</v>
      </c>
      <c r="Y634" s="73">
        <f t="shared" si="333"/>
        <v>0</v>
      </c>
      <c r="Z634" s="73">
        <f t="shared" si="12"/>
        <v>8617.881356</v>
      </c>
      <c r="AA634" s="73">
        <f t="shared" si="13"/>
        <v>8617.881356</v>
      </c>
      <c r="AB634" s="74">
        <f t="shared" si="14"/>
        <v>1</v>
      </c>
      <c r="AC634" s="61" t="str">
        <f t="shared" si="15"/>
        <v>5</v>
      </c>
      <c r="AD634" s="71" t="str">
        <f t="shared" si="16"/>
        <v>#DIV/0!</v>
      </c>
      <c r="AE634" s="61"/>
      <c r="AF634" s="61"/>
      <c r="AG634" s="71">
        <f t="array" ref="AG634">IFERROR(xlookup(G634,'Old Master'!T:T,'Old Master'!V:V),N634)</f>
        <v>0.3265050666</v>
      </c>
      <c r="AH634" s="73">
        <f t="shared" si="229"/>
        <v>10169.1</v>
      </c>
      <c r="AI634" s="73">
        <f t="shared" si="230"/>
        <v>8617.881356</v>
      </c>
      <c r="AJ634" s="72">
        <f t="shared" si="19"/>
        <v>1</v>
      </c>
      <c r="AK634" s="61"/>
      <c r="AL634" s="71">
        <f t="array" ref="AL634">iferror(if(isblank(xlookup($G634,'Old Master'!$T:$T,'Old Master'!$W:$W)),AG634,xlookup($G634,'Old Master'!$T:$T,'Old Master'!$W:$W)),AG634)</f>
        <v>0.3265050666</v>
      </c>
      <c r="AM634" s="74">
        <f t="shared" si="20"/>
        <v>0.324524803</v>
      </c>
      <c r="AN634" s="73">
        <f t="shared" si="409"/>
        <v>10199</v>
      </c>
    </row>
    <row r="635">
      <c r="A635" s="65" t="s">
        <v>5413</v>
      </c>
      <c r="B635" s="65">
        <f t="shared" si="1"/>
        <v>42</v>
      </c>
      <c r="C635" s="65" t="str">
        <f t="shared" si="403"/>
        <v>SC-LTx-ORTHO-D-78x44x6</v>
      </c>
      <c r="D635" s="65" t="s">
        <v>4052</v>
      </c>
      <c r="E635" s="65">
        <v>0.0</v>
      </c>
      <c r="F635" s="65" t="s">
        <v>4053</v>
      </c>
      <c r="G635" s="65" t="s">
        <v>5118</v>
      </c>
      <c r="H635" s="65" t="s">
        <v>52</v>
      </c>
      <c r="I635" s="81">
        <v>15099.0</v>
      </c>
      <c r="J635" s="66">
        <v>0.23</v>
      </c>
      <c r="K635" s="81">
        <f t="shared" si="3"/>
        <v>11626</v>
      </c>
      <c r="L635" s="66">
        <v>0.2</v>
      </c>
      <c r="M635" s="81">
        <f t="shared" si="4"/>
        <v>12079</v>
      </c>
      <c r="N635" s="67">
        <f t="shared" si="404"/>
        <v>0.3265050666</v>
      </c>
      <c r="O635" s="68">
        <v>10169.1</v>
      </c>
      <c r="P635" s="75">
        <v>0.1</v>
      </c>
      <c r="Q635" s="68">
        <f t="shared" si="410"/>
        <v>13589.1</v>
      </c>
      <c r="R635" s="70"/>
      <c r="S635" s="71">
        <f t="shared" si="411"/>
        <v>-0.1581173938</v>
      </c>
      <c r="T635" s="72">
        <f t="shared" si="6"/>
        <v>0</v>
      </c>
      <c r="U635" s="73" t="str">
        <f t="shared" si="408"/>
        <v/>
      </c>
      <c r="V635" s="73">
        <f t="shared" si="340"/>
        <v>10236.44068</v>
      </c>
      <c r="W635" s="73">
        <f t="shared" si="9"/>
        <v>10236.44068</v>
      </c>
      <c r="X635" s="74">
        <f t="shared" si="10"/>
        <v>1</v>
      </c>
      <c r="Y635" s="73">
        <f t="shared" si="333"/>
        <v>0</v>
      </c>
      <c r="Z635" s="73">
        <f t="shared" si="12"/>
        <v>8617.881356</v>
      </c>
      <c r="AA635" s="73">
        <f t="shared" si="13"/>
        <v>8617.881356</v>
      </c>
      <c r="AB635" s="74">
        <f t="shared" si="14"/>
        <v>1</v>
      </c>
      <c r="AC635" s="61" t="str">
        <f t="shared" si="15"/>
        <v>6</v>
      </c>
      <c r="AD635" s="71" t="str">
        <f t="shared" si="16"/>
        <v>#DIV/0!</v>
      </c>
      <c r="AE635" s="61"/>
      <c r="AF635" s="61"/>
      <c r="AG635" s="71">
        <f t="array" ref="AG635">IFERROR(xlookup(G635,'Old Master'!T:T,'Old Master'!V:V),N635)</f>
        <v>0.3265050666</v>
      </c>
      <c r="AH635" s="73">
        <f t="shared" si="229"/>
        <v>10169.1</v>
      </c>
      <c r="AI635" s="73">
        <f t="shared" si="230"/>
        <v>8617.881356</v>
      </c>
      <c r="AJ635" s="72">
        <f t="shared" si="19"/>
        <v>1</v>
      </c>
      <c r="AK635" s="61"/>
      <c r="AL635" s="71">
        <f t="array" ref="AL635">iferror(if(isblank(xlookup($G635,'Old Master'!$T:$T,'Old Master'!$W:$W)),AG635,xlookup($G635,'Old Master'!$T:$T,'Old Master'!$W:$W)),AG635)</f>
        <v>0.3265050666</v>
      </c>
      <c r="AM635" s="74">
        <f t="shared" si="20"/>
        <v>0.324524803</v>
      </c>
      <c r="AN635" s="73">
        <f t="shared" si="409"/>
        <v>10199</v>
      </c>
    </row>
    <row r="636">
      <c r="A636" s="65" t="s">
        <v>5414</v>
      </c>
      <c r="B636" s="65">
        <f t="shared" si="1"/>
        <v>48</v>
      </c>
      <c r="C636" s="65" t="str">
        <f t="shared" si="403"/>
        <v>SC-LTx-ORTHO-D-78x50x8</v>
      </c>
      <c r="D636" s="65" t="s">
        <v>4084</v>
      </c>
      <c r="E636" s="65">
        <v>0.0</v>
      </c>
      <c r="F636" s="65" t="s">
        <v>4085</v>
      </c>
      <c r="G636" s="65" t="s">
        <v>5118</v>
      </c>
      <c r="H636" s="65" t="s">
        <v>52</v>
      </c>
      <c r="I636" s="81">
        <v>19199.0</v>
      </c>
      <c r="J636" s="66">
        <v>0.23</v>
      </c>
      <c r="K636" s="81">
        <f t="shared" si="3"/>
        <v>14783</v>
      </c>
      <c r="L636" s="66">
        <v>0.2</v>
      </c>
      <c r="M636" s="81">
        <f t="shared" si="4"/>
        <v>15359</v>
      </c>
      <c r="N636" s="67">
        <f t="shared" si="404"/>
        <v>0.3250117194</v>
      </c>
      <c r="O636" s="68">
        <v>12959.1</v>
      </c>
      <c r="P636" s="75">
        <v>0.1</v>
      </c>
      <c r="Q636" s="68">
        <f t="shared" si="410"/>
        <v>17279.1</v>
      </c>
      <c r="R636" s="70"/>
      <c r="S636" s="71">
        <f t="shared" si="411"/>
        <v>-0.1562536623</v>
      </c>
      <c r="T636" s="72">
        <f t="shared" si="6"/>
        <v>0</v>
      </c>
      <c r="U636" s="73" t="str">
        <f t="shared" si="408"/>
        <v/>
      </c>
      <c r="V636" s="73">
        <f t="shared" si="340"/>
        <v>13016.10169</v>
      </c>
      <c r="W636" s="73">
        <f t="shared" si="9"/>
        <v>13016.10169</v>
      </c>
      <c r="X636" s="74">
        <f t="shared" si="10"/>
        <v>1</v>
      </c>
      <c r="Y636" s="73">
        <f t="shared" si="333"/>
        <v>0</v>
      </c>
      <c r="Z636" s="73">
        <f t="shared" si="12"/>
        <v>10982.28814</v>
      </c>
      <c r="AA636" s="73">
        <f t="shared" si="13"/>
        <v>10982.28814</v>
      </c>
      <c r="AB636" s="74">
        <f t="shared" si="14"/>
        <v>1</v>
      </c>
      <c r="AC636" s="61" t="str">
        <f t="shared" si="15"/>
        <v>8</v>
      </c>
      <c r="AD636" s="71" t="str">
        <f t="shared" si="16"/>
        <v>#DIV/0!</v>
      </c>
      <c r="AE636" s="61"/>
      <c r="AF636" s="61"/>
      <c r="AG636" s="71">
        <f t="array" ref="AG636">IFERROR(xlookup(G636,'Old Master'!T:T,'Old Master'!V:V),N636)</f>
        <v>0.3250117194</v>
      </c>
      <c r="AH636" s="73">
        <f t="shared" si="229"/>
        <v>12959.1</v>
      </c>
      <c r="AI636" s="73">
        <f t="shared" si="230"/>
        <v>10982.28814</v>
      </c>
      <c r="AJ636" s="72">
        <f t="shared" si="19"/>
        <v>1</v>
      </c>
      <c r="AK636" s="61"/>
      <c r="AL636" s="71">
        <f t="array" ref="AL636">iferror(if(isblank(xlookup($G636,'Old Master'!$T:$T,'Old Master'!$W:$W)),AG636,xlookup($G636,'Old Master'!$T:$T,'Old Master'!$W:$W)),AG636)</f>
        <v>0.3250117194</v>
      </c>
      <c r="AM636" s="74">
        <f t="shared" si="20"/>
        <v>0.3229334861</v>
      </c>
      <c r="AN636" s="73">
        <f t="shared" si="409"/>
        <v>12999</v>
      </c>
    </row>
    <row r="637">
      <c r="A637" s="65" t="s">
        <v>5415</v>
      </c>
      <c r="B637" s="65">
        <f t="shared" si="1"/>
        <v>48</v>
      </c>
      <c r="C637" s="65" t="str">
        <f t="shared" si="403"/>
        <v>SC-LTx-ORTHO-D-84x50x5</v>
      </c>
      <c r="D637" s="65" t="s">
        <v>4287</v>
      </c>
      <c r="E637" s="65">
        <v>0.0</v>
      </c>
      <c r="F637" s="65" t="s">
        <v>4288</v>
      </c>
      <c r="G637" s="65" t="s">
        <v>5118</v>
      </c>
      <c r="H637" s="65" t="s">
        <v>52</v>
      </c>
      <c r="I637" s="81">
        <v>17099.0</v>
      </c>
      <c r="J637" s="66">
        <v>0.23</v>
      </c>
      <c r="K637" s="81">
        <f t="shared" si="3"/>
        <v>13166</v>
      </c>
      <c r="L637" s="66">
        <v>0.2</v>
      </c>
      <c r="M637" s="81">
        <f t="shared" si="4"/>
        <v>13679</v>
      </c>
      <c r="N637" s="67">
        <f t="shared" si="404"/>
        <v>0.3263290251</v>
      </c>
      <c r="O637" s="68">
        <v>11519.1</v>
      </c>
      <c r="P637" s="75">
        <v>0.1</v>
      </c>
      <c r="Q637" s="68">
        <f t="shared" si="410"/>
        <v>15389.1</v>
      </c>
      <c r="R637" s="70"/>
      <c r="S637" s="71">
        <f t="shared" si="411"/>
        <v>-0.1578989692</v>
      </c>
      <c r="T637" s="72">
        <f t="shared" si="6"/>
        <v>0</v>
      </c>
      <c r="U637" s="73" t="str">
        <f t="shared" si="408"/>
        <v/>
      </c>
      <c r="V637" s="73">
        <f t="shared" si="340"/>
        <v>11592.37288</v>
      </c>
      <c r="W637" s="73">
        <f t="shared" si="9"/>
        <v>11592.37288</v>
      </c>
      <c r="X637" s="74">
        <f t="shared" si="10"/>
        <v>1</v>
      </c>
      <c r="Y637" s="73">
        <f t="shared" si="333"/>
        <v>0</v>
      </c>
      <c r="Z637" s="73">
        <f t="shared" si="12"/>
        <v>9761.949153</v>
      </c>
      <c r="AA637" s="73">
        <f t="shared" si="13"/>
        <v>9761.949153</v>
      </c>
      <c r="AB637" s="74">
        <f t="shared" si="14"/>
        <v>1</v>
      </c>
      <c r="AC637" s="61" t="str">
        <f t="shared" si="15"/>
        <v>5</v>
      </c>
      <c r="AD637" s="71" t="str">
        <f t="shared" si="16"/>
        <v>#DIV/0!</v>
      </c>
      <c r="AE637" s="61"/>
      <c r="AF637" s="61"/>
      <c r="AG637" s="71">
        <f t="array" ref="AG637">IFERROR(xlookup(G637,'Old Master'!T:T,'Old Master'!V:V),N637)</f>
        <v>0.3263290251</v>
      </c>
      <c r="AH637" s="73">
        <f t="shared" si="229"/>
        <v>11519.1</v>
      </c>
      <c r="AI637" s="73">
        <f t="shared" si="230"/>
        <v>9761.949153</v>
      </c>
      <c r="AJ637" s="72">
        <f t="shared" si="19"/>
        <v>1</v>
      </c>
      <c r="AK637" s="61"/>
      <c r="AL637" s="71">
        <f t="array" ref="AL637">iferror(if(isblank(xlookup($G637,'Old Master'!$T:$T,'Old Master'!$W:$W)),AG637,xlookup($G637,'Old Master'!$T:$T,'Old Master'!$W:$W)),AG637)</f>
        <v>0.3263290251</v>
      </c>
      <c r="AM637" s="74">
        <f t="shared" si="20"/>
        <v>0.3275045324</v>
      </c>
      <c r="AN637" s="73">
        <f t="shared" si="409"/>
        <v>11499</v>
      </c>
    </row>
    <row r="638">
      <c r="A638" s="65" t="s">
        <v>5416</v>
      </c>
      <c r="B638" s="65">
        <f t="shared" si="1"/>
        <v>48</v>
      </c>
      <c r="C638" s="65" t="str">
        <f t="shared" si="403"/>
        <v>SC-LTx-ORTHO-D-84x50x8</v>
      </c>
      <c r="D638" s="65" t="s">
        <v>4089</v>
      </c>
      <c r="E638" s="65">
        <v>0.0</v>
      </c>
      <c r="F638" s="65" t="s">
        <v>4090</v>
      </c>
      <c r="G638" s="65" t="s">
        <v>5118</v>
      </c>
      <c r="H638" s="65" t="s">
        <v>52</v>
      </c>
      <c r="I638" s="81">
        <v>24299.0</v>
      </c>
      <c r="J638" s="66">
        <v>0.23</v>
      </c>
      <c r="K638" s="81">
        <f t="shared" si="3"/>
        <v>18710</v>
      </c>
      <c r="L638" s="66">
        <v>0.2</v>
      </c>
      <c r="M638" s="81">
        <f t="shared" si="4"/>
        <v>19439</v>
      </c>
      <c r="N638" s="67">
        <f t="shared" si="404"/>
        <v>0.3259352237</v>
      </c>
      <c r="O638" s="68">
        <v>16379.1</v>
      </c>
      <c r="P638" s="75">
        <v>0.1</v>
      </c>
      <c r="Q638" s="68">
        <f t="shared" si="410"/>
        <v>21869.1</v>
      </c>
      <c r="R638" s="70"/>
      <c r="S638" s="71">
        <f t="shared" si="411"/>
        <v>-0.1574103606</v>
      </c>
      <c r="T638" s="72">
        <f t="shared" si="6"/>
        <v>0</v>
      </c>
      <c r="U638" s="73" t="str">
        <f t="shared" si="408"/>
        <v/>
      </c>
      <c r="V638" s="73">
        <f t="shared" si="340"/>
        <v>16473.72881</v>
      </c>
      <c r="W638" s="73">
        <f t="shared" si="9"/>
        <v>16473.72881</v>
      </c>
      <c r="X638" s="74">
        <f t="shared" si="10"/>
        <v>1</v>
      </c>
      <c r="Y638" s="73">
        <f t="shared" si="333"/>
        <v>0</v>
      </c>
      <c r="Z638" s="73">
        <f t="shared" si="12"/>
        <v>13880.59322</v>
      </c>
      <c r="AA638" s="73">
        <f t="shared" si="13"/>
        <v>13880.59322</v>
      </c>
      <c r="AB638" s="74">
        <f t="shared" si="14"/>
        <v>1</v>
      </c>
      <c r="AC638" s="61" t="str">
        <f t="shared" si="15"/>
        <v>8</v>
      </c>
      <c r="AD638" s="71" t="str">
        <f t="shared" si="16"/>
        <v>#DIV/0!</v>
      </c>
      <c r="AE638" s="61"/>
      <c r="AF638" s="61"/>
      <c r="AG638" s="71">
        <f t="array" ref="AG638">IFERROR(xlookup(G638,'Old Master'!T:T,'Old Master'!V:V),N638)</f>
        <v>0.3259352237</v>
      </c>
      <c r="AH638" s="73">
        <f t="shared" si="229"/>
        <v>16379.1</v>
      </c>
      <c r="AI638" s="73">
        <f t="shared" si="230"/>
        <v>13880.59322</v>
      </c>
      <c r="AJ638" s="72">
        <f t="shared" si="19"/>
        <v>1</v>
      </c>
      <c r="AK638" s="61"/>
      <c r="AL638" s="71">
        <f t="array" ref="AL638">iferror(if(isblank(xlookup($G638,'Old Master'!$T:$T,'Old Master'!$W:$W)),AG638,xlookup($G638,'Old Master'!$T:$T,'Old Master'!$W:$W)),AG638)</f>
        <v>0.3259352237</v>
      </c>
      <c r="AM638" s="74">
        <f t="shared" si="20"/>
        <v>0.3251162599</v>
      </c>
      <c r="AN638" s="73">
        <f t="shared" si="409"/>
        <v>16399</v>
      </c>
    </row>
    <row r="639">
      <c r="A639" s="65" t="s">
        <v>5417</v>
      </c>
      <c r="B639" s="65">
        <f t="shared" si="1"/>
        <v>75</v>
      </c>
      <c r="C639" s="65" t="str">
        <f t="shared" si="403"/>
        <v>SC-LTx-ORTHO-K-75x77x5</v>
      </c>
      <c r="D639" s="65" t="s">
        <v>4867</v>
      </c>
      <c r="E639" s="65">
        <v>0.0</v>
      </c>
      <c r="F639" s="65" t="s">
        <v>4868</v>
      </c>
      <c r="G639" s="65" t="s">
        <v>5118</v>
      </c>
      <c r="H639" s="65" t="s">
        <v>52</v>
      </c>
      <c r="I639" s="81">
        <v>21699.0</v>
      </c>
      <c r="J639" s="66">
        <v>0.23</v>
      </c>
      <c r="K639" s="81">
        <f t="shared" si="3"/>
        <v>16708</v>
      </c>
      <c r="L639" s="66">
        <v>0.2</v>
      </c>
      <c r="M639" s="81">
        <f t="shared" si="4"/>
        <v>17359</v>
      </c>
      <c r="N639" s="67">
        <f t="shared" si="404"/>
        <v>0.323973455</v>
      </c>
      <c r="O639" s="68">
        <v>14669.1</v>
      </c>
      <c r="P639" s="75">
        <v>0.1</v>
      </c>
      <c r="Q639" s="68">
        <f t="shared" si="410"/>
        <v>19529.1</v>
      </c>
      <c r="R639" s="70"/>
      <c r="S639" s="71">
        <f t="shared" si="411"/>
        <v>-0.1549570828</v>
      </c>
      <c r="T639" s="72">
        <f t="shared" si="6"/>
        <v>0</v>
      </c>
      <c r="U639" s="73" t="str">
        <f t="shared" si="408"/>
        <v/>
      </c>
      <c r="V639" s="73">
        <f t="shared" si="340"/>
        <v>14711.01695</v>
      </c>
      <c r="W639" s="73">
        <f t="shared" si="9"/>
        <v>14711.01695</v>
      </c>
      <c r="X639" s="74">
        <f t="shared" si="10"/>
        <v>1</v>
      </c>
      <c r="Y639" s="73">
        <f t="shared" si="333"/>
        <v>0</v>
      </c>
      <c r="Z639" s="73">
        <f t="shared" si="12"/>
        <v>12431.44068</v>
      </c>
      <c r="AA639" s="73">
        <f t="shared" si="13"/>
        <v>12431.44068</v>
      </c>
      <c r="AB639" s="74">
        <f t="shared" si="14"/>
        <v>1</v>
      </c>
      <c r="AC639" s="61" t="str">
        <f t="shared" si="15"/>
        <v>5</v>
      </c>
      <c r="AD639" s="71" t="str">
        <f t="shared" si="16"/>
        <v>#DIV/0!</v>
      </c>
      <c r="AE639" s="61"/>
      <c r="AF639" s="61"/>
      <c r="AG639" s="71">
        <f t="array" ref="AG639">IFERROR(xlookup(G639,'Old Master'!T:T,'Old Master'!V:V),N639)</f>
        <v>0.323973455</v>
      </c>
      <c r="AH639" s="73">
        <f t="shared" si="229"/>
        <v>14669.1</v>
      </c>
      <c r="AI639" s="73">
        <f t="shared" si="230"/>
        <v>12431.44068</v>
      </c>
      <c r="AJ639" s="72">
        <f t="shared" si="19"/>
        <v>1</v>
      </c>
      <c r="AK639" s="61"/>
      <c r="AL639" s="71">
        <f t="array" ref="AL639">iferror(if(isblank(xlookup($G639,'Old Master'!$T:$T,'Old Master'!$W:$W)),AG639,xlookup($G639,'Old Master'!$T:$T,'Old Master'!$W:$W)),AG639)</f>
        <v>0.323973455</v>
      </c>
      <c r="AM639" s="74">
        <f t="shared" si="20"/>
        <v>0.3225955113</v>
      </c>
      <c r="AN639" s="73">
        <f t="shared" si="409"/>
        <v>14699</v>
      </c>
    </row>
    <row r="640">
      <c r="A640" s="65" t="s">
        <v>5418</v>
      </c>
      <c r="B640" s="65">
        <f t="shared" si="1"/>
        <v>75</v>
      </c>
      <c r="C640" s="65" t="str">
        <f t="shared" si="403"/>
        <v>SC-LTx-ORTHO-K-75x77x6</v>
      </c>
      <c r="D640" s="65" t="s">
        <v>5279</v>
      </c>
      <c r="E640" s="65">
        <v>0.0</v>
      </c>
      <c r="F640" s="65" t="s">
        <v>4872</v>
      </c>
      <c r="G640" s="65" t="s">
        <v>5118</v>
      </c>
      <c r="H640" s="65" t="s">
        <v>52</v>
      </c>
      <c r="I640" s="81">
        <v>25099.0</v>
      </c>
      <c r="J640" s="66">
        <v>0.23</v>
      </c>
      <c r="K640" s="81">
        <f t="shared" si="3"/>
        <v>19326</v>
      </c>
      <c r="L640" s="66">
        <v>0.2</v>
      </c>
      <c r="M640" s="81">
        <f t="shared" si="4"/>
        <v>20079</v>
      </c>
      <c r="N640" s="67">
        <f t="shared" si="404"/>
        <v>0.3259054146</v>
      </c>
      <c r="O640" s="68">
        <v>16919.100000000002</v>
      </c>
      <c r="P640" s="75">
        <v>0.1</v>
      </c>
      <c r="Q640" s="68">
        <f t="shared" si="410"/>
        <v>22589.1</v>
      </c>
      <c r="R640" s="70"/>
      <c r="S640" s="71">
        <f t="shared" si="411"/>
        <v>-0.1573733752</v>
      </c>
      <c r="T640" s="72">
        <f t="shared" si="6"/>
        <v>0</v>
      </c>
      <c r="U640" s="73" t="str">
        <f t="shared" si="408"/>
        <v/>
      </c>
      <c r="V640" s="73">
        <f t="shared" si="340"/>
        <v>17016.10169</v>
      </c>
      <c r="W640" s="73">
        <f t="shared" si="9"/>
        <v>17016.10169</v>
      </c>
      <c r="X640" s="74">
        <f t="shared" si="10"/>
        <v>1</v>
      </c>
      <c r="Y640" s="73">
        <f t="shared" si="333"/>
        <v>0</v>
      </c>
      <c r="Z640" s="73">
        <f t="shared" si="12"/>
        <v>14338.22034</v>
      </c>
      <c r="AA640" s="73">
        <f t="shared" si="13"/>
        <v>14338.22034</v>
      </c>
      <c r="AB640" s="74">
        <f t="shared" si="14"/>
        <v>1</v>
      </c>
      <c r="AC640" s="61" t="str">
        <f t="shared" si="15"/>
        <v>6</v>
      </c>
      <c r="AD640" s="71" t="str">
        <f t="shared" si="16"/>
        <v>#DIV/0!</v>
      </c>
      <c r="AE640" s="61"/>
      <c r="AF640" s="61"/>
      <c r="AG640" s="71">
        <f t="array" ref="AG640">IFERROR(xlookup(G640,'Old Master'!T:T,'Old Master'!V:V),N640)</f>
        <v>0.3259054146</v>
      </c>
      <c r="AH640" s="73">
        <f t="shared" si="229"/>
        <v>16919.1</v>
      </c>
      <c r="AI640" s="73">
        <f t="shared" si="230"/>
        <v>14338.22034</v>
      </c>
      <c r="AJ640" s="72">
        <f t="shared" si="19"/>
        <v>1</v>
      </c>
      <c r="AK640" s="61"/>
      <c r="AL640" s="71">
        <f t="array" ref="AL640">iferror(if(isblank(xlookup($G640,'Old Master'!$T:$T,'Old Master'!$W:$W)),AG640,xlookup($G640,'Old Master'!$T:$T,'Old Master'!$W:$W)),AG640)</f>
        <v>0.3259054146</v>
      </c>
      <c r="AM640" s="74">
        <f t="shared" si="20"/>
        <v>0.3267062433</v>
      </c>
      <c r="AN640" s="73">
        <f t="shared" si="409"/>
        <v>16899</v>
      </c>
    </row>
    <row r="641">
      <c r="A641" s="65" t="s">
        <v>5419</v>
      </c>
      <c r="B641" s="65">
        <f t="shared" si="1"/>
        <v>75</v>
      </c>
      <c r="C641" s="65" t="str">
        <f t="shared" si="403"/>
        <v>SC-LTx-ORTHO-K-75x77x8</v>
      </c>
      <c r="D641" s="65" t="s">
        <v>5278</v>
      </c>
      <c r="E641" s="65">
        <v>0.0</v>
      </c>
      <c r="F641" s="65" t="s">
        <v>4876</v>
      </c>
      <c r="G641" s="65" t="s">
        <v>5118</v>
      </c>
      <c r="H641" s="65" t="s">
        <v>52</v>
      </c>
      <c r="I641" s="81">
        <v>28399.0</v>
      </c>
      <c r="J641" s="66">
        <v>0.23</v>
      </c>
      <c r="K641" s="81">
        <f t="shared" si="3"/>
        <v>21867</v>
      </c>
      <c r="L641" s="66">
        <v>0.2</v>
      </c>
      <c r="M641" s="81">
        <f t="shared" si="4"/>
        <v>22719</v>
      </c>
      <c r="N641" s="67">
        <f t="shared" si="404"/>
        <v>0.3250079228</v>
      </c>
      <c r="O641" s="68">
        <v>19169.100000000002</v>
      </c>
      <c r="P641" s="75">
        <v>0.1</v>
      </c>
      <c r="Q641" s="68">
        <f t="shared" si="410"/>
        <v>25559.1</v>
      </c>
      <c r="R641" s="70"/>
      <c r="S641" s="71">
        <f t="shared" si="411"/>
        <v>-0.1562524759</v>
      </c>
      <c r="T641" s="72">
        <f t="shared" si="6"/>
        <v>0</v>
      </c>
      <c r="U641" s="73" t="str">
        <f t="shared" si="408"/>
        <v/>
      </c>
      <c r="V641" s="73">
        <f t="shared" si="340"/>
        <v>19253.38983</v>
      </c>
      <c r="W641" s="73">
        <f t="shared" si="9"/>
        <v>19253.38983</v>
      </c>
      <c r="X641" s="74">
        <f t="shared" si="10"/>
        <v>1</v>
      </c>
      <c r="Y641" s="73">
        <f t="shared" si="333"/>
        <v>0</v>
      </c>
      <c r="Z641" s="73">
        <f t="shared" si="12"/>
        <v>16245</v>
      </c>
      <c r="AA641" s="73">
        <f t="shared" si="13"/>
        <v>16245</v>
      </c>
      <c r="AB641" s="74">
        <f t="shared" si="14"/>
        <v>1</v>
      </c>
      <c r="AC641" s="61" t="str">
        <f t="shared" si="15"/>
        <v>8</v>
      </c>
      <c r="AD641" s="71" t="str">
        <f t="shared" si="16"/>
        <v>#DIV/0!</v>
      </c>
      <c r="AE641" s="61"/>
      <c r="AF641" s="61"/>
      <c r="AG641" s="71">
        <f t="array" ref="AG641">IFERROR(xlookup(G641,'Old Master'!T:T,'Old Master'!V:V),N641)</f>
        <v>0.3250079228</v>
      </c>
      <c r="AH641" s="73">
        <f t="shared" si="229"/>
        <v>19169.1</v>
      </c>
      <c r="AI641" s="73">
        <f t="shared" si="230"/>
        <v>16245</v>
      </c>
      <c r="AJ641" s="72">
        <f t="shared" si="19"/>
        <v>1</v>
      </c>
      <c r="AK641" s="61"/>
      <c r="AL641" s="71">
        <f t="array" ref="AL641">iferror(if(isblank(xlookup($G641,'Old Master'!$T:$T,'Old Master'!$W:$W)),AG641,xlookup($G641,'Old Master'!$T:$T,'Old Master'!$W:$W)),AG641)</f>
        <v>0.3250079228</v>
      </c>
      <c r="AM641" s="74">
        <f t="shared" si="20"/>
        <v>0.3239550688</v>
      </c>
      <c r="AN641" s="73">
        <f t="shared" si="409"/>
        <v>19199</v>
      </c>
    </row>
    <row r="642">
      <c r="A642" s="65" t="s">
        <v>5420</v>
      </c>
      <c r="B642" s="65">
        <f t="shared" si="1"/>
        <v>75</v>
      </c>
      <c r="C642" s="65" t="str">
        <f t="shared" si="403"/>
        <v>SC-LTx-ORTHO-K-78x77x5</v>
      </c>
      <c r="D642" s="65" t="s">
        <v>4879</v>
      </c>
      <c r="E642" s="65">
        <v>0.0</v>
      </c>
      <c r="F642" s="65" t="s">
        <v>4880</v>
      </c>
      <c r="G642" s="65" t="s">
        <v>5118</v>
      </c>
      <c r="H642" s="65" t="s">
        <v>52</v>
      </c>
      <c r="I642" s="81">
        <v>21999.0</v>
      </c>
      <c r="J642" s="66">
        <v>0.23</v>
      </c>
      <c r="K642" s="81">
        <f t="shared" si="3"/>
        <v>16939</v>
      </c>
      <c r="L642" s="66">
        <v>0.2</v>
      </c>
      <c r="M642" s="81">
        <f t="shared" si="4"/>
        <v>17599</v>
      </c>
      <c r="N642" s="67">
        <f t="shared" si="404"/>
        <v>0.3250102277</v>
      </c>
      <c r="O642" s="68">
        <v>14849.1</v>
      </c>
      <c r="P642" s="75">
        <v>0.1</v>
      </c>
      <c r="Q642" s="68">
        <f t="shared" si="410"/>
        <v>19799.1</v>
      </c>
      <c r="R642" s="70"/>
      <c r="S642" s="71">
        <f t="shared" si="411"/>
        <v>-0.1562531962</v>
      </c>
      <c r="T642" s="72">
        <f t="shared" si="6"/>
        <v>0</v>
      </c>
      <c r="U642" s="73" t="str">
        <f t="shared" si="408"/>
        <v/>
      </c>
      <c r="V642" s="73">
        <f t="shared" si="340"/>
        <v>14914.40678</v>
      </c>
      <c r="W642" s="73">
        <f t="shared" si="9"/>
        <v>14914.40678</v>
      </c>
      <c r="X642" s="74">
        <f t="shared" si="10"/>
        <v>1</v>
      </c>
      <c r="Y642" s="73">
        <f t="shared" si="333"/>
        <v>0</v>
      </c>
      <c r="Z642" s="73">
        <f t="shared" si="12"/>
        <v>12583.98305</v>
      </c>
      <c r="AA642" s="73">
        <f t="shared" si="13"/>
        <v>12583.98305</v>
      </c>
      <c r="AB642" s="74">
        <f t="shared" si="14"/>
        <v>1</v>
      </c>
      <c r="AC642" s="61" t="str">
        <f t="shared" si="15"/>
        <v>5</v>
      </c>
      <c r="AD642" s="71" t="str">
        <f t="shared" si="16"/>
        <v>#DIV/0!</v>
      </c>
      <c r="AE642" s="61"/>
      <c r="AF642" s="61"/>
      <c r="AG642" s="71">
        <f t="array" ref="AG642">IFERROR(xlookup(G642,'Old Master'!T:T,'Old Master'!V:V),N642)</f>
        <v>0.3250102277</v>
      </c>
      <c r="AH642" s="73">
        <f t="shared" si="229"/>
        <v>14849.1</v>
      </c>
      <c r="AI642" s="73">
        <f t="shared" si="230"/>
        <v>12583.98305</v>
      </c>
      <c r="AJ642" s="72">
        <f t="shared" si="19"/>
        <v>1</v>
      </c>
      <c r="AK642" s="61"/>
      <c r="AL642" s="71">
        <f t="array" ref="AL642">iferror(if(isblank(xlookup($G642,'Old Master'!$T:$T,'Old Master'!$W:$W)),AG642,xlookup($G642,'Old Master'!$T:$T,'Old Master'!$W:$W)),AG642)</f>
        <v>0.3250102277</v>
      </c>
      <c r="AM642" s="74">
        <f t="shared" si="20"/>
        <v>0.327287604</v>
      </c>
      <c r="AN642" s="73">
        <f t="shared" si="409"/>
        <v>14799</v>
      </c>
    </row>
    <row r="643">
      <c r="A643" s="65" t="s">
        <v>5421</v>
      </c>
      <c r="B643" s="65">
        <f t="shared" si="1"/>
        <v>75</v>
      </c>
      <c r="C643" s="65" t="str">
        <f t="shared" si="403"/>
        <v>SC-LTx-ORTHO-K-78x77x6</v>
      </c>
      <c r="D643" s="65" t="s">
        <v>5280</v>
      </c>
      <c r="E643" s="65">
        <v>0.0</v>
      </c>
      <c r="F643" s="65" t="s">
        <v>4883</v>
      </c>
      <c r="G643" s="65" t="s">
        <v>5118</v>
      </c>
      <c r="H643" s="65" t="s">
        <v>52</v>
      </c>
      <c r="I643" s="81">
        <v>26699.0</v>
      </c>
      <c r="J643" s="66">
        <v>0.23</v>
      </c>
      <c r="K643" s="81">
        <f t="shared" si="3"/>
        <v>20558</v>
      </c>
      <c r="L643" s="66">
        <v>0.2</v>
      </c>
      <c r="M643" s="81">
        <f t="shared" si="4"/>
        <v>21359</v>
      </c>
      <c r="N643" s="67">
        <f t="shared" si="404"/>
        <v>0.3258511555</v>
      </c>
      <c r="O643" s="68">
        <v>17999.100000000002</v>
      </c>
      <c r="P643" s="75">
        <v>0.1</v>
      </c>
      <c r="Q643" s="68">
        <f t="shared" si="410"/>
        <v>24029.1</v>
      </c>
      <c r="R643" s="70"/>
      <c r="S643" s="71">
        <f t="shared" si="411"/>
        <v>-0.1573060537</v>
      </c>
      <c r="T643" s="72">
        <f t="shared" si="6"/>
        <v>0</v>
      </c>
      <c r="U643" s="73" t="str">
        <f t="shared" si="408"/>
        <v/>
      </c>
      <c r="V643" s="73">
        <f t="shared" si="340"/>
        <v>18100.84746</v>
      </c>
      <c r="W643" s="73">
        <f t="shared" si="9"/>
        <v>18100.84746</v>
      </c>
      <c r="X643" s="74">
        <f t="shared" si="10"/>
        <v>1</v>
      </c>
      <c r="Y643" s="73">
        <f t="shared" si="333"/>
        <v>0</v>
      </c>
      <c r="Z643" s="73">
        <f t="shared" si="12"/>
        <v>15253.47458</v>
      </c>
      <c r="AA643" s="73">
        <f t="shared" si="13"/>
        <v>15253.47458</v>
      </c>
      <c r="AB643" s="74">
        <f t="shared" si="14"/>
        <v>1</v>
      </c>
      <c r="AC643" s="61" t="str">
        <f t="shared" si="15"/>
        <v>6</v>
      </c>
      <c r="AD643" s="71" t="str">
        <f t="shared" si="16"/>
        <v>#DIV/0!</v>
      </c>
      <c r="AE643" s="61"/>
      <c r="AF643" s="61"/>
      <c r="AG643" s="71">
        <f t="array" ref="AG643">IFERROR(xlookup(G643,'Old Master'!T:T,'Old Master'!V:V),N643)</f>
        <v>0.3258511555</v>
      </c>
      <c r="AH643" s="73">
        <f t="shared" si="229"/>
        <v>17999.1</v>
      </c>
      <c r="AI643" s="73">
        <f t="shared" si="230"/>
        <v>15253.47458</v>
      </c>
      <c r="AJ643" s="72">
        <f t="shared" si="19"/>
        <v>1</v>
      </c>
      <c r="AK643" s="61"/>
      <c r="AL643" s="71">
        <f t="array" ref="AL643">iferror(if(isblank(xlookup($G643,'Old Master'!$T:$T,'Old Master'!$W:$W)),AG643,xlookup($G643,'Old Master'!$T:$T,'Old Master'!$W:$W)),AG643)</f>
        <v>0.3258511555</v>
      </c>
      <c r="AM643" s="74">
        <f t="shared" si="20"/>
        <v>0.3258549009</v>
      </c>
      <c r="AN643" s="73">
        <f t="shared" si="409"/>
        <v>17999</v>
      </c>
    </row>
    <row r="644">
      <c r="A644" s="65" t="s">
        <v>5422</v>
      </c>
      <c r="B644" s="65">
        <f t="shared" si="1"/>
        <v>75</v>
      </c>
      <c r="C644" s="65" t="str">
        <f t="shared" si="403"/>
        <v>SC-LTx-ORTHO-K-78x77x8</v>
      </c>
      <c r="D644" s="65" t="s">
        <v>5277</v>
      </c>
      <c r="E644" s="65">
        <v>0.0</v>
      </c>
      <c r="F644" s="65" t="s">
        <v>4887</v>
      </c>
      <c r="G644" s="65" t="s">
        <v>5118</v>
      </c>
      <c r="H644" s="65" t="s">
        <v>52</v>
      </c>
      <c r="I644" s="81">
        <v>29999.0</v>
      </c>
      <c r="J644" s="66">
        <v>0.23</v>
      </c>
      <c r="K644" s="81">
        <f t="shared" si="3"/>
        <v>23099</v>
      </c>
      <c r="L644" s="66">
        <v>0.2</v>
      </c>
      <c r="M644" s="81">
        <f t="shared" si="4"/>
        <v>23999</v>
      </c>
      <c r="N644" s="67">
        <f t="shared" si="404"/>
        <v>0.3250075003</v>
      </c>
      <c r="O644" s="68">
        <v>20249.100000000002</v>
      </c>
      <c r="P644" s="75">
        <v>0.1</v>
      </c>
      <c r="Q644" s="68">
        <f t="shared" si="410"/>
        <v>26999.1</v>
      </c>
      <c r="R644" s="70"/>
      <c r="S644" s="71">
        <f t="shared" si="411"/>
        <v>-0.1562523438</v>
      </c>
      <c r="T644" s="72">
        <f t="shared" si="6"/>
        <v>0</v>
      </c>
      <c r="U644" s="73" t="str">
        <f t="shared" si="408"/>
        <v/>
      </c>
      <c r="V644" s="73">
        <f t="shared" si="340"/>
        <v>20338.13559</v>
      </c>
      <c r="W644" s="73">
        <f t="shared" si="9"/>
        <v>20338.13559</v>
      </c>
      <c r="X644" s="74">
        <f t="shared" si="10"/>
        <v>1</v>
      </c>
      <c r="Y644" s="73">
        <f t="shared" si="333"/>
        <v>0</v>
      </c>
      <c r="Z644" s="73">
        <f t="shared" si="12"/>
        <v>17160.25424</v>
      </c>
      <c r="AA644" s="73">
        <f t="shared" si="13"/>
        <v>17160.25424</v>
      </c>
      <c r="AB644" s="74">
        <f t="shared" si="14"/>
        <v>1</v>
      </c>
      <c r="AC644" s="61" t="str">
        <f t="shared" si="15"/>
        <v>8</v>
      </c>
      <c r="AD644" s="71" t="str">
        <f t="shared" si="16"/>
        <v>#DIV/0!</v>
      </c>
      <c r="AE644" s="61"/>
      <c r="AF644" s="61"/>
      <c r="AG644" s="71">
        <f t="array" ref="AG644">IFERROR(xlookup(G644,'Old Master'!T:T,'Old Master'!V:V),N644)</f>
        <v>0.3250075003</v>
      </c>
      <c r="AH644" s="73">
        <f t="shared" si="229"/>
        <v>20249.1</v>
      </c>
      <c r="AI644" s="73">
        <f t="shared" si="230"/>
        <v>17160.25424</v>
      </c>
      <c r="AJ644" s="72">
        <f t="shared" si="19"/>
        <v>1</v>
      </c>
      <c r="AK644" s="61"/>
      <c r="AL644" s="71">
        <f t="array" ref="AL644">iferror(if(isblank(xlookup($G644,'Old Master'!$T:$T,'Old Master'!$W:$W)),AG644,xlookup($G644,'Old Master'!$T:$T,'Old Master'!$W:$W)),AG644)</f>
        <v>0.3250075003</v>
      </c>
      <c r="AM644" s="74">
        <f t="shared" si="20"/>
        <v>0.3266775559</v>
      </c>
      <c r="AN644" s="73">
        <f t="shared" si="409"/>
        <v>20199</v>
      </c>
    </row>
    <row r="645">
      <c r="A645" s="65" t="s">
        <v>5423</v>
      </c>
      <c r="B645" s="65">
        <f t="shared" si="1"/>
        <v>66</v>
      </c>
      <c r="C645" s="65" t="str">
        <f t="shared" si="403"/>
        <v>SC-LTx-ORTHO-Q-75x68x8</v>
      </c>
      <c r="D645" s="65" t="s">
        <v>4186</v>
      </c>
      <c r="E645" s="65">
        <v>0.0</v>
      </c>
      <c r="F645" s="65" t="s">
        <v>4187</v>
      </c>
      <c r="G645" s="65" t="s">
        <v>5118</v>
      </c>
      <c r="H645" s="65" t="s">
        <v>52</v>
      </c>
      <c r="I645" s="81">
        <v>26699.0</v>
      </c>
      <c r="J645" s="66">
        <v>0.23</v>
      </c>
      <c r="K645" s="81">
        <f t="shared" si="3"/>
        <v>20558</v>
      </c>
      <c r="L645" s="66">
        <v>0.2</v>
      </c>
      <c r="M645" s="81">
        <f t="shared" si="4"/>
        <v>21359</v>
      </c>
      <c r="N645" s="67">
        <f t="shared" si="404"/>
        <v>0.3258511555</v>
      </c>
      <c r="O645" s="68">
        <v>17999.100000000002</v>
      </c>
      <c r="P645" s="75">
        <v>0.1</v>
      </c>
      <c r="Q645" s="68">
        <f t="shared" si="410"/>
        <v>24029.1</v>
      </c>
      <c r="R645" s="70"/>
      <c r="S645" s="71">
        <f t="shared" si="411"/>
        <v>-0.1573060537</v>
      </c>
      <c r="T645" s="72">
        <f t="shared" si="6"/>
        <v>0</v>
      </c>
      <c r="U645" s="73" t="str">
        <f t="shared" si="408"/>
        <v/>
      </c>
      <c r="V645" s="73">
        <f t="shared" si="340"/>
        <v>18100.84746</v>
      </c>
      <c r="W645" s="73">
        <f t="shared" si="9"/>
        <v>18100.84746</v>
      </c>
      <c r="X645" s="74">
        <f t="shared" si="10"/>
        <v>1</v>
      </c>
      <c r="Y645" s="73">
        <f t="shared" si="333"/>
        <v>0</v>
      </c>
      <c r="Z645" s="73">
        <f t="shared" si="12"/>
        <v>15253.47458</v>
      </c>
      <c r="AA645" s="73">
        <f t="shared" si="13"/>
        <v>15253.47458</v>
      </c>
      <c r="AB645" s="74">
        <f t="shared" si="14"/>
        <v>1</v>
      </c>
      <c r="AC645" s="61" t="str">
        <f t="shared" si="15"/>
        <v>8</v>
      </c>
      <c r="AD645" s="71" t="str">
        <f t="shared" si="16"/>
        <v>#DIV/0!</v>
      </c>
      <c r="AE645" s="61"/>
      <c r="AF645" s="61"/>
      <c r="AG645" s="71">
        <f t="array" ref="AG645">IFERROR(xlookup(G645,'Old Master'!T:T,'Old Master'!V:V),N645)</f>
        <v>0.3258511555</v>
      </c>
      <c r="AH645" s="73">
        <f t="shared" si="229"/>
        <v>17999.1</v>
      </c>
      <c r="AI645" s="73">
        <f t="shared" si="230"/>
        <v>15253.47458</v>
      </c>
      <c r="AJ645" s="72">
        <f t="shared" si="19"/>
        <v>1</v>
      </c>
      <c r="AK645" s="61"/>
      <c r="AL645" s="71">
        <f t="array" ref="AL645">iferror(if(isblank(xlookup($G645,'Old Master'!$T:$T,'Old Master'!$W:$W)),AG645,xlookup($G645,'Old Master'!$T:$T,'Old Master'!$W:$W)),AG645)</f>
        <v>0.3258511555</v>
      </c>
      <c r="AM645" s="74">
        <f t="shared" si="20"/>
        <v>0.3258549009</v>
      </c>
      <c r="AN645" s="73">
        <f t="shared" si="409"/>
        <v>17999</v>
      </c>
    </row>
    <row r="646">
      <c r="A646" s="65" t="s">
        <v>5424</v>
      </c>
      <c r="B646" s="65">
        <f t="shared" si="1"/>
        <v>60</v>
      </c>
      <c r="C646" s="65" t="str">
        <f t="shared" si="403"/>
        <v>SC-LTx-ORTHO-Q-84x62x6</v>
      </c>
      <c r="D646" s="65" t="s">
        <v>4134</v>
      </c>
      <c r="E646" s="65">
        <v>0.0</v>
      </c>
      <c r="F646" s="65" t="s">
        <v>4135</v>
      </c>
      <c r="G646" s="65" t="s">
        <v>5118</v>
      </c>
      <c r="H646" s="65" t="s">
        <v>52</v>
      </c>
      <c r="I646" s="81">
        <v>23299.0</v>
      </c>
      <c r="J646" s="66">
        <v>0.23</v>
      </c>
      <c r="K646" s="81">
        <f t="shared" si="3"/>
        <v>17940</v>
      </c>
      <c r="L646" s="66">
        <v>0.2</v>
      </c>
      <c r="M646" s="81">
        <f t="shared" si="4"/>
        <v>18639</v>
      </c>
      <c r="N646" s="67">
        <f t="shared" si="404"/>
        <v>0.3240439504</v>
      </c>
      <c r="O646" s="68">
        <v>15749.1</v>
      </c>
      <c r="P646" s="75">
        <v>0.1</v>
      </c>
      <c r="Q646" s="68">
        <f t="shared" si="410"/>
        <v>20969.1</v>
      </c>
      <c r="R646" s="70"/>
      <c r="S646" s="71">
        <f t="shared" si="411"/>
        <v>-0.1550458716</v>
      </c>
      <c r="T646" s="72">
        <f t="shared" si="6"/>
        <v>0</v>
      </c>
      <c r="U646" s="73" t="str">
        <f t="shared" si="408"/>
        <v/>
      </c>
      <c r="V646" s="73">
        <f t="shared" si="340"/>
        <v>15795.76271</v>
      </c>
      <c r="W646" s="73">
        <f t="shared" si="9"/>
        <v>15795.76271</v>
      </c>
      <c r="X646" s="74">
        <f t="shared" si="10"/>
        <v>1</v>
      </c>
      <c r="Y646" s="73">
        <f t="shared" si="333"/>
        <v>0</v>
      </c>
      <c r="Z646" s="73">
        <f t="shared" si="12"/>
        <v>13346.69492</v>
      </c>
      <c r="AA646" s="73">
        <f t="shared" si="13"/>
        <v>13346.69492</v>
      </c>
      <c r="AB646" s="74">
        <f t="shared" si="14"/>
        <v>1</v>
      </c>
      <c r="AC646" s="61" t="str">
        <f t="shared" si="15"/>
        <v>6</v>
      </c>
      <c r="AD646" s="71" t="str">
        <f t="shared" si="16"/>
        <v>#DIV/0!</v>
      </c>
      <c r="AE646" s="61"/>
      <c r="AF646" s="61"/>
      <c r="AG646" s="71">
        <f t="array" ref="AG646">IFERROR(xlookup(G646,'Old Master'!T:T,'Old Master'!V:V),N646)</f>
        <v>0.3240439504</v>
      </c>
      <c r="AH646" s="73">
        <f t="shared" si="229"/>
        <v>15749.1</v>
      </c>
      <c r="AI646" s="73">
        <f t="shared" si="230"/>
        <v>13346.69492</v>
      </c>
      <c r="AJ646" s="72">
        <f t="shared" si="19"/>
        <v>1</v>
      </c>
      <c r="AK646" s="61"/>
      <c r="AL646" s="71">
        <f t="array" ref="AL646">iferror(if(isblank(xlookup($G646,'Old Master'!$T:$T,'Old Master'!$W:$W)),AG646,xlookup($G646,'Old Master'!$T:$T,'Old Master'!$W:$W)),AG646)</f>
        <v>0.3240439504</v>
      </c>
      <c r="AM646" s="74">
        <f t="shared" si="20"/>
        <v>0.3261942573</v>
      </c>
      <c r="AN646" s="73">
        <f t="shared" si="409"/>
        <v>15699</v>
      </c>
    </row>
    <row r="647">
      <c r="A647" s="65" t="s">
        <v>5425</v>
      </c>
      <c r="B647" s="65">
        <f t="shared" si="1"/>
        <v>60</v>
      </c>
      <c r="C647" s="65" t="str">
        <f t="shared" si="403"/>
        <v>SC-LTx-ORTHO-Q-84x62x8</v>
      </c>
      <c r="D647" s="65" t="s">
        <v>4157</v>
      </c>
      <c r="E647" s="65">
        <v>0.0</v>
      </c>
      <c r="F647" s="65" t="s">
        <v>4158</v>
      </c>
      <c r="G647" s="65" t="s">
        <v>5118</v>
      </c>
      <c r="H647" s="65" t="s">
        <v>52</v>
      </c>
      <c r="I647" s="81">
        <v>29999.0</v>
      </c>
      <c r="J647" s="66">
        <v>0.23</v>
      </c>
      <c r="K647" s="81">
        <f t="shared" si="3"/>
        <v>23099</v>
      </c>
      <c r="L647" s="66">
        <v>0.2</v>
      </c>
      <c r="M647" s="81">
        <f t="shared" si="4"/>
        <v>23999</v>
      </c>
      <c r="N647" s="67">
        <f t="shared" si="404"/>
        <v>0.3250075003</v>
      </c>
      <c r="O647" s="68">
        <v>20249.100000000002</v>
      </c>
      <c r="P647" s="75">
        <v>0.1</v>
      </c>
      <c r="Q647" s="68">
        <f t="shared" si="410"/>
        <v>26999.1</v>
      </c>
      <c r="R647" s="70"/>
      <c r="S647" s="71">
        <f t="shared" si="411"/>
        <v>-0.1562523438</v>
      </c>
      <c r="T647" s="72">
        <f t="shared" si="6"/>
        <v>0</v>
      </c>
      <c r="U647" s="73" t="str">
        <f t="shared" si="408"/>
        <v/>
      </c>
      <c r="V647" s="73">
        <f t="shared" si="340"/>
        <v>20338.13559</v>
      </c>
      <c r="W647" s="73">
        <f t="shared" si="9"/>
        <v>20338.13559</v>
      </c>
      <c r="X647" s="74">
        <f t="shared" si="10"/>
        <v>1</v>
      </c>
      <c r="Y647" s="73">
        <f t="shared" si="333"/>
        <v>0</v>
      </c>
      <c r="Z647" s="73">
        <f t="shared" si="12"/>
        <v>17160.25424</v>
      </c>
      <c r="AA647" s="73">
        <f t="shared" si="13"/>
        <v>17160.25424</v>
      </c>
      <c r="AB647" s="74">
        <f t="shared" si="14"/>
        <v>1</v>
      </c>
      <c r="AC647" s="61" t="str">
        <f t="shared" si="15"/>
        <v>8</v>
      </c>
      <c r="AD647" s="71" t="str">
        <f t="shared" si="16"/>
        <v>#DIV/0!</v>
      </c>
      <c r="AE647" s="61"/>
      <c r="AF647" s="61"/>
      <c r="AG647" s="71">
        <f t="array" ref="AG647">IFERROR(xlookup(G647,'Old Master'!T:T,'Old Master'!V:V),N647)</f>
        <v>0.3250075003</v>
      </c>
      <c r="AH647" s="73">
        <f t="shared" si="229"/>
        <v>20249.1</v>
      </c>
      <c r="AI647" s="73">
        <f t="shared" si="230"/>
        <v>17160.25424</v>
      </c>
      <c r="AJ647" s="72">
        <f t="shared" si="19"/>
        <v>1</v>
      </c>
      <c r="AK647" s="61"/>
      <c r="AL647" s="71">
        <f t="array" ref="AL647">iferror(if(isblank(xlookup($G647,'Old Master'!$T:$T,'Old Master'!$W:$W)),AG647,xlookup($G647,'Old Master'!$T:$T,'Old Master'!$W:$W)),AG647)</f>
        <v>0.3250075003</v>
      </c>
      <c r="AM647" s="74">
        <f t="shared" si="20"/>
        <v>0.3266775559</v>
      </c>
      <c r="AN647" s="73">
        <f t="shared" si="409"/>
        <v>20199</v>
      </c>
    </row>
    <row r="648">
      <c r="A648" s="65" t="s">
        <v>5426</v>
      </c>
      <c r="B648" s="65">
        <f t="shared" si="1"/>
        <v>30</v>
      </c>
      <c r="C648" s="65" t="str">
        <f t="shared" si="403"/>
        <v>SC-LTx-ORTHO-S-75x32x5</v>
      </c>
      <c r="D648" s="65" t="s">
        <v>4009</v>
      </c>
      <c r="E648" s="65">
        <v>0.0</v>
      </c>
      <c r="F648" s="65" t="s">
        <v>4010</v>
      </c>
      <c r="G648" s="65" t="s">
        <v>5118</v>
      </c>
      <c r="H648" s="65" t="s">
        <v>52</v>
      </c>
      <c r="I648" s="81">
        <v>10499.0</v>
      </c>
      <c r="J648" s="66">
        <v>0.23</v>
      </c>
      <c r="K648" s="81">
        <f t="shared" si="3"/>
        <v>8084</v>
      </c>
      <c r="L648" s="66">
        <v>0.2</v>
      </c>
      <c r="M648" s="81">
        <f t="shared" si="4"/>
        <v>8399</v>
      </c>
      <c r="N648" s="67">
        <f t="shared" si="404"/>
        <v>0.3228783694</v>
      </c>
      <c r="O648" s="68">
        <v>7109.1</v>
      </c>
      <c r="P648" s="75">
        <v>0.1</v>
      </c>
      <c r="Q648" s="68">
        <f t="shared" si="410"/>
        <v>9449.1</v>
      </c>
      <c r="R648" s="70"/>
      <c r="S648" s="71">
        <f t="shared" si="411"/>
        <v>-0.1535778069</v>
      </c>
      <c r="T648" s="72">
        <f t="shared" si="6"/>
        <v>0</v>
      </c>
      <c r="U648" s="73" t="str">
        <f t="shared" si="408"/>
        <v/>
      </c>
      <c r="V648" s="73">
        <f t="shared" si="340"/>
        <v>7117.79661</v>
      </c>
      <c r="W648" s="73">
        <f t="shared" si="9"/>
        <v>7117.79661</v>
      </c>
      <c r="X648" s="74">
        <f t="shared" si="10"/>
        <v>1</v>
      </c>
      <c r="Y648" s="73">
        <f t="shared" si="333"/>
        <v>0</v>
      </c>
      <c r="Z648" s="73">
        <f t="shared" si="12"/>
        <v>6024.661017</v>
      </c>
      <c r="AA648" s="73">
        <f t="shared" si="13"/>
        <v>6024.661017</v>
      </c>
      <c r="AB648" s="74">
        <f t="shared" si="14"/>
        <v>1</v>
      </c>
      <c r="AC648" s="61" t="str">
        <f t="shared" si="15"/>
        <v>5</v>
      </c>
      <c r="AD648" s="71" t="str">
        <f t="shared" si="16"/>
        <v>#DIV/0!</v>
      </c>
      <c r="AE648" s="61"/>
      <c r="AF648" s="61"/>
      <c r="AG648" s="71">
        <f t="array" ref="AG648">IFERROR(xlookup(G648,'Old Master'!T:T,'Old Master'!V:V),N648)</f>
        <v>0.3228783694</v>
      </c>
      <c r="AH648" s="73">
        <f t="shared" si="229"/>
        <v>7109.1</v>
      </c>
      <c r="AI648" s="73">
        <f t="shared" si="230"/>
        <v>6024.661017</v>
      </c>
      <c r="AJ648" s="72">
        <f t="shared" si="19"/>
        <v>1</v>
      </c>
      <c r="AK648" s="61"/>
      <c r="AL648" s="71">
        <f t="array" ref="AL648">iferror(if(isblank(xlookup($G648,'Old Master'!$T:$T,'Old Master'!$W:$W)),AG648,xlookup($G648,'Old Master'!$T:$T,'Old Master'!$W:$W)),AG648)</f>
        <v>0.3228783694</v>
      </c>
      <c r="AM648" s="74">
        <f t="shared" si="20"/>
        <v>0.3238403657</v>
      </c>
      <c r="AN648" s="73">
        <f t="shared" si="409"/>
        <v>7099</v>
      </c>
    </row>
    <row r="649">
      <c r="A649" s="65" t="s">
        <v>5427</v>
      </c>
      <c r="B649" s="65">
        <f t="shared" si="1"/>
        <v>30</v>
      </c>
      <c r="C649" s="65" t="str">
        <f t="shared" si="403"/>
        <v>SC-LTx-ORTHO-S-75x32x8</v>
      </c>
      <c r="D649" s="65" t="s">
        <v>3969</v>
      </c>
      <c r="E649" s="65">
        <v>0.0</v>
      </c>
      <c r="F649" s="65" t="s">
        <v>3970</v>
      </c>
      <c r="G649" s="65" t="s">
        <v>5118</v>
      </c>
      <c r="H649" s="65" t="s">
        <v>52</v>
      </c>
      <c r="I649" s="81">
        <v>13299.0</v>
      </c>
      <c r="J649" s="66">
        <v>0.23</v>
      </c>
      <c r="K649" s="81">
        <f t="shared" si="3"/>
        <v>10240</v>
      </c>
      <c r="L649" s="66">
        <v>0.2</v>
      </c>
      <c r="M649" s="81">
        <f t="shared" si="4"/>
        <v>10639</v>
      </c>
      <c r="N649" s="67">
        <f t="shared" si="404"/>
        <v>0.323325062</v>
      </c>
      <c r="O649" s="68">
        <v>8999.1</v>
      </c>
      <c r="P649" s="75">
        <v>0.1</v>
      </c>
      <c r="Q649" s="68">
        <f t="shared" si="410"/>
        <v>11969.1</v>
      </c>
      <c r="R649" s="70"/>
      <c r="S649" s="71">
        <f t="shared" si="411"/>
        <v>-0.1541404267</v>
      </c>
      <c r="T649" s="72">
        <f t="shared" si="6"/>
        <v>0</v>
      </c>
      <c r="U649" s="73" t="str">
        <f t="shared" si="408"/>
        <v/>
      </c>
      <c r="V649" s="73">
        <f t="shared" si="340"/>
        <v>9016.101695</v>
      </c>
      <c r="W649" s="73">
        <f t="shared" si="9"/>
        <v>9016.101695</v>
      </c>
      <c r="X649" s="74">
        <f t="shared" si="10"/>
        <v>1</v>
      </c>
      <c r="Y649" s="73">
        <f t="shared" si="333"/>
        <v>0</v>
      </c>
      <c r="Z649" s="73">
        <f t="shared" si="12"/>
        <v>7626.355932</v>
      </c>
      <c r="AA649" s="73">
        <f t="shared" si="13"/>
        <v>7626.355932</v>
      </c>
      <c r="AB649" s="74">
        <f t="shared" si="14"/>
        <v>1</v>
      </c>
      <c r="AC649" s="61" t="str">
        <f t="shared" si="15"/>
        <v>8</v>
      </c>
      <c r="AD649" s="71" t="str">
        <f t="shared" si="16"/>
        <v>#DIV/0!</v>
      </c>
      <c r="AE649" s="61"/>
      <c r="AF649" s="61"/>
      <c r="AG649" s="71">
        <f t="array" ref="AG649">IFERROR(xlookup(G649,'Old Master'!T:T,'Old Master'!V:V),N649)</f>
        <v>0.323325062</v>
      </c>
      <c r="AH649" s="73">
        <f t="shared" si="229"/>
        <v>8999.1</v>
      </c>
      <c r="AI649" s="73">
        <f t="shared" si="230"/>
        <v>7626.355932</v>
      </c>
      <c r="AJ649" s="72">
        <f t="shared" si="19"/>
        <v>1</v>
      </c>
      <c r="AK649" s="61"/>
      <c r="AL649" s="71">
        <f t="array" ref="AL649">iferror(if(isblank(xlookup($G649,'Old Master'!$T:$T,'Old Master'!$W:$W)),AG649,xlookup($G649,'Old Master'!$T:$T,'Old Master'!$W:$W)),AG649)</f>
        <v>0.323325062</v>
      </c>
      <c r="AM649" s="74">
        <f t="shared" si="20"/>
        <v>0.3233325814</v>
      </c>
      <c r="AN649" s="73">
        <f t="shared" si="409"/>
        <v>8999</v>
      </c>
    </row>
    <row r="650">
      <c r="A650" s="65" t="s">
        <v>5428</v>
      </c>
      <c r="B650" s="65">
        <f t="shared" si="1"/>
        <v>30</v>
      </c>
      <c r="C650" s="65" t="str">
        <f t="shared" si="403"/>
        <v>SC-LTx-ORTHO-S-78x32x5</v>
      </c>
      <c r="D650" s="65" t="s">
        <v>4015</v>
      </c>
      <c r="E650" s="65">
        <v>0.0</v>
      </c>
      <c r="F650" s="65" t="s">
        <v>4016</v>
      </c>
      <c r="G650" s="65" t="s">
        <v>5118</v>
      </c>
      <c r="H650" s="65" t="s">
        <v>52</v>
      </c>
      <c r="I650" s="81">
        <v>10899.0</v>
      </c>
      <c r="J650" s="66">
        <v>0.23</v>
      </c>
      <c r="K650" s="81">
        <f t="shared" si="3"/>
        <v>8392</v>
      </c>
      <c r="L650" s="66">
        <v>0.2</v>
      </c>
      <c r="M650" s="81">
        <f t="shared" si="4"/>
        <v>8719</v>
      </c>
      <c r="N650" s="67">
        <f t="shared" si="404"/>
        <v>0.3229562345</v>
      </c>
      <c r="O650" s="68">
        <v>7379.1</v>
      </c>
      <c r="P650" s="75">
        <v>0.1</v>
      </c>
      <c r="Q650" s="68">
        <f t="shared" si="410"/>
        <v>9809.1</v>
      </c>
      <c r="R650" s="70"/>
      <c r="S650" s="71">
        <f t="shared" si="411"/>
        <v>-0.1536758803</v>
      </c>
      <c r="T650" s="72">
        <f t="shared" si="6"/>
        <v>0</v>
      </c>
      <c r="U650" s="73" t="str">
        <f t="shared" si="408"/>
        <v/>
      </c>
      <c r="V650" s="73">
        <f t="shared" si="340"/>
        <v>7388.983051</v>
      </c>
      <c r="W650" s="73">
        <f t="shared" si="9"/>
        <v>7388.983051</v>
      </c>
      <c r="X650" s="74">
        <f t="shared" si="10"/>
        <v>1</v>
      </c>
      <c r="Y650" s="73">
        <f t="shared" si="333"/>
        <v>0</v>
      </c>
      <c r="Z650" s="73">
        <f t="shared" si="12"/>
        <v>6253.474576</v>
      </c>
      <c r="AA650" s="73">
        <f t="shared" si="13"/>
        <v>6253.474576</v>
      </c>
      <c r="AB650" s="74">
        <f t="shared" si="14"/>
        <v>1</v>
      </c>
      <c r="AC650" s="61" t="str">
        <f t="shared" si="15"/>
        <v>5</v>
      </c>
      <c r="AD650" s="71" t="str">
        <f t="shared" si="16"/>
        <v>#DIV/0!</v>
      </c>
      <c r="AE650" s="61"/>
      <c r="AF650" s="61"/>
      <c r="AG650" s="71">
        <f t="array" ref="AG650">IFERROR(xlookup(G650,'Old Master'!T:T,'Old Master'!V:V),N650)</f>
        <v>0.3229562345</v>
      </c>
      <c r="AH650" s="73">
        <f t="shared" si="229"/>
        <v>7379.1</v>
      </c>
      <c r="AI650" s="73">
        <f t="shared" si="230"/>
        <v>6253.474576</v>
      </c>
      <c r="AJ650" s="72">
        <f t="shared" si="19"/>
        <v>1</v>
      </c>
      <c r="AK650" s="61"/>
      <c r="AL650" s="71">
        <f t="array" ref="AL650">iferror(if(isblank(xlookup($G650,'Old Master'!$T:$T,'Old Master'!$W:$W)),AG650,xlookup($G650,'Old Master'!$T:$T,'Old Master'!$W:$W)),AG650)</f>
        <v>0.3229562345</v>
      </c>
      <c r="AM650" s="74">
        <f t="shared" si="20"/>
        <v>0.3211303789</v>
      </c>
      <c r="AN650" s="73">
        <f t="shared" si="409"/>
        <v>7399</v>
      </c>
    </row>
    <row r="651">
      <c r="A651" s="65" t="s">
        <v>5429</v>
      </c>
      <c r="B651" s="65">
        <f t="shared" si="1"/>
        <v>30</v>
      </c>
      <c r="C651" s="65" t="str">
        <f t="shared" si="403"/>
        <v>SC-LTx-ORTHO-S-78x32x6</v>
      </c>
      <c r="D651" s="65" t="s">
        <v>3935</v>
      </c>
      <c r="E651" s="65">
        <v>0.0</v>
      </c>
      <c r="F651" s="65" t="s">
        <v>3936</v>
      </c>
      <c r="G651" s="65" t="s">
        <v>5118</v>
      </c>
      <c r="H651" s="65" t="s">
        <v>52</v>
      </c>
      <c r="I651" s="81">
        <v>11699.0</v>
      </c>
      <c r="J651" s="66">
        <v>0.23</v>
      </c>
      <c r="K651" s="81">
        <f t="shared" si="3"/>
        <v>9008</v>
      </c>
      <c r="L651" s="66">
        <v>0.2</v>
      </c>
      <c r="M651" s="81">
        <f t="shared" si="4"/>
        <v>9359</v>
      </c>
      <c r="N651" s="67">
        <f t="shared" si="404"/>
        <v>0.3230959911</v>
      </c>
      <c r="O651" s="68">
        <v>7919.1</v>
      </c>
      <c r="P651" s="75">
        <v>0.1</v>
      </c>
      <c r="Q651" s="68">
        <f t="shared" si="410"/>
        <v>10529.1</v>
      </c>
      <c r="R651" s="70"/>
      <c r="S651" s="71">
        <f t="shared" si="411"/>
        <v>-0.1538519073</v>
      </c>
      <c r="T651" s="72">
        <f t="shared" si="6"/>
        <v>0</v>
      </c>
      <c r="U651" s="73" t="str">
        <f t="shared" si="408"/>
        <v/>
      </c>
      <c r="V651" s="73">
        <f t="shared" si="340"/>
        <v>7931.355932</v>
      </c>
      <c r="W651" s="73">
        <f t="shared" si="9"/>
        <v>7931.355932</v>
      </c>
      <c r="X651" s="74">
        <f t="shared" si="10"/>
        <v>1</v>
      </c>
      <c r="Y651" s="73">
        <f t="shared" si="333"/>
        <v>0</v>
      </c>
      <c r="Z651" s="73">
        <f t="shared" si="12"/>
        <v>6711.101695</v>
      </c>
      <c r="AA651" s="73">
        <f t="shared" si="13"/>
        <v>6711.101695</v>
      </c>
      <c r="AB651" s="74">
        <f t="shared" si="14"/>
        <v>1</v>
      </c>
      <c r="AC651" s="61" t="str">
        <f t="shared" si="15"/>
        <v>6</v>
      </c>
      <c r="AD651" s="71" t="str">
        <f t="shared" si="16"/>
        <v>#DIV/0!</v>
      </c>
      <c r="AE651" s="61"/>
      <c r="AF651" s="61"/>
      <c r="AG651" s="71">
        <f t="array" ref="AG651">IFERROR(xlookup(G651,'Old Master'!T:T,'Old Master'!V:V),N651)</f>
        <v>0.3230959911</v>
      </c>
      <c r="AH651" s="73">
        <f t="shared" si="229"/>
        <v>7919.1</v>
      </c>
      <c r="AI651" s="73">
        <f t="shared" si="230"/>
        <v>6711.101695</v>
      </c>
      <c r="AJ651" s="72">
        <f t="shared" si="19"/>
        <v>1</v>
      </c>
      <c r="AK651" s="61"/>
      <c r="AL651" s="71">
        <f t="array" ref="AL651">iferror(if(isblank(xlookup($G651,'Old Master'!$T:$T,'Old Master'!$W:$W)),AG651,xlookup($G651,'Old Master'!$T:$T,'Old Master'!$W:$W)),AG651)</f>
        <v>0.3230959911</v>
      </c>
      <c r="AM651" s="74">
        <f t="shared" si="20"/>
        <v>0.3248140867</v>
      </c>
      <c r="AN651" s="73">
        <f t="shared" si="409"/>
        <v>7899</v>
      </c>
    </row>
    <row r="652">
      <c r="A652" s="65" t="s">
        <v>5430</v>
      </c>
      <c r="B652" s="65">
        <f t="shared" si="1"/>
        <v>36</v>
      </c>
      <c r="C652" s="65" t="str">
        <f t="shared" si="403"/>
        <v>SC-LTx-ORTHO-S-78x38x5</v>
      </c>
      <c r="D652" s="65" t="s">
        <v>4032</v>
      </c>
      <c r="E652" s="65">
        <v>0.0</v>
      </c>
      <c r="F652" s="65" t="s">
        <v>4033</v>
      </c>
      <c r="G652" s="65" t="s">
        <v>5118</v>
      </c>
      <c r="H652" s="65" t="s">
        <v>52</v>
      </c>
      <c r="I652" s="81">
        <v>12499.0</v>
      </c>
      <c r="J652" s="66">
        <v>0.23</v>
      </c>
      <c r="K652" s="81">
        <f t="shared" si="3"/>
        <v>9624</v>
      </c>
      <c r="L652" s="66">
        <v>0.2</v>
      </c>
      <c r="M652" s="81">
        <f t="shared" si="4"/>
        <v>9999</v>
      </c>
      <c r="N652" s="67">
        <f t="shared" si="404"/>
        <v>0.3232178574</v>
      </c>
      <c r="O652" s="68">
        <v>8459.1</v>
      </c>
      <c r="P652" s="75">
        <v>0.1</v>
      </c>
      <c r="Q652" s="68">
        <f t="shared" si="410"/>
        <v>11249.1</v>
      </c>
      <c r="R652" s="70"/>
      <c r="S652" s="71">
        <f t="shared" si="411"/>
        <v>-0.1540054005</v>
      </c>
      <c r="T652" s="72">
        <f t="shared" si="6"/>
        <v>0</v>
      </c>
      <c r="U652" s="73" t="str">
        <f t="shared" si="408"/>
        <v/>
      </c>
      <c r="V652" s="73">
        <f t="shared" si="340"/>
        <v>8473.728814</v>
      </c>
      <c r="W652" s="73">
        <f t="shared" si="9"/>
        <v>8473.728814</v>
      </c>
      <c r="X652" s="74">
        <f t="shared" si="10"/>
        <v>1</v>
      </c>
      <c r="Y652" s="73">
        <f t="shared" si="333"/>
        <v>0</v>
      </c>
      <c r="Z652" s="73">
        <f t="shared" si="12"/>
        <v>7168.728814</v>
      </c>
      <c r="AA652" s="73">
        <f t="shared" si="13"/>
        <v>7168.728814</v>
      </c>
      <c r="AB652" s="74">
        <f t="shared" si="14"/>
        <v>1</v>
      </c>
      <c r="AC652" s="61" t="str">
        <f t="shared" si="15"/>
        <v>5</v>
      </c>
      <c r="AD652" s="71" t="str">
        <f t="shared" si="16"/>
        <v>#DIV/0!</v>
      </c>
      <c r="AE652" s="61"/>
      <c r="AF652" s="61"/>
      <c r="AG652" s="71">
        <f t="array" ref="AG652">IFERROR(xlookup(G652,'Old Master'!T:T,'Old Master'!V:V),N652)</f>
        <v>0.3232178574</v>
      </c>
      <c r="AH652" s="73">
        <f t="shared" si="229"/>
        <v>8459.1</v>
      </c>
      <c r="AI652" s="73">
        <f t="shared" si="230"/>
        <v>7168.728814</v>
      </c>
      <c r="AJ652" s="72">
        <f t="shared" si="19"/>
        <v>1</v>
      </c>
      <c r="AK652" s="61"/>
      <c r="AL652" s="71">
        <f t="array" ref="AL652">iferror(if(isblank(xlookup($G652,'Old Master'!$T:$T,'Old Master'!$W:$W)),AG652,xlookup($G652,'Old Master'!$T:$T,'Old Master'!$W:$W)),AG652)</f>
        <v>0.3232178574</v>
      </c>
      <c r="AM652" s="74">
        <f t="shared" si="20"/>
        <v>0.320025602</v>
      </c>
      <c r="AN652" s="73">
        <f t="shared" si="409"/>
        <v>8499</v>
      </c>
    </row>
    <row r="653">
      <c r="A653" s="65" t="s">
        <v>5431</v>
      </c>
      <c r="B653" s="65">
        <f t="shared" si="1"/>
        <v>36</v>
      </c>
      <c r="C653" s="65" t="str">
        <f t="shared" si="403"/>
        <v>SC-LTx-ORTHO-S-84x38x5</v>
      </c>
      <c r="D653" s="65" t="s">
        <v>4037</v>
      </c>
      <c r="E653" s="65">
        <v>0.0</v>
      </c>
      <c r="F653" s="65" t="s">
        <v>4038</v>
      </c>
      <c r="G653" s="65" t="s">
        <v>5118</v>
      </c>
      <c r="H653" s="65" t="s">
        <v>52</v>
      </c>
      <c r="I653" s="81">
        <v>15099.0</v>
      </c>
      <c r="J653" s="66">
        <v>0.23</v>
      </c>
      <c r="K653" s="81">
        <f t="shared" si="3"/>
        <v>11626</v>
      </c>
      <c r="L653" s="66">
        <v>0.2</v>
      </c>
      <c r="M653" s="81">
        <f t="shared" si="4"/>
        <v>12079</v>
      </c>
      <c r="N653" s="67">
        <f t="shared" si="404"/>
        <v>0.3265050666</v>
      </c>
      <c r="O653" s="68">
        <v>10169.1</v>
      </c>
      <c r="P653" s="75">
        <v>0.1</v>
      </c>
      <c r="Q653" s="68">
        <f t="shared" si="410"/>
        <v>13589.1</v>
      </c>
      <c r="R653" s="70"/>
      <c r="S653" s="71">
        <f t="shared" si="411"/>
        <v>-0.1581173938</v>
      </c>
      <c r="T653" s="72">
        <f t="shared" si="6"/>
        <v>0</v>
      </c>
      <c r="U653" s="73" t="str">
        <f t="shared" si="408"/>
        <v/>
      </c>
      <c r="V653" s="73">
        <f t="shared" si="340"/>
        <v>10236.44068</v>
      </c>
      <c r="W653" s="73">
        <f t="shared" si="9"/>
        <v>10236.44068</v>
      </c>
      <c r="X653" s="74">
        <f t="shared" si="10"/>
        <v>1</v>
      </c>
      <c r="Y653" s="73">
        <f t="shared" si="333"/>
        <v>0</v>
      </c>
      <c r="Z653" s="73">
        <f t="shared" si="12"/>
        <v>8617.881356</v>
      </c>
      <c r="AA653" s="73">
        <f t="shared" si="13"/>
        <v>8617.881356</v>
      </c>
      <c r="AB653" s="74">
        <f t="shared" si="14"/>
        <v>1</v>
      </c>
      <c r="AC653" s="61" t="str">
        <f t="shared" si="15"/>
        <v>5</v>
      </c>
      <c r="AD653" s="71" t="str">
        <f t="shared" si="16"/>
        <v>#DIV/0!</v>
      </c>
      <c r="AE653" s="61"/>
      <c r="AF653" s="61"/>
      <c r="AG653" s="71">
        <f t="array" ref="AG653">IFERROR(xlookup(G653,'Old Master'!T:T,'Old Master'!V:V),N653)</f>
        <v>0.3265050666</v>
      </c>
      <c r="AH653" s="73">
        <f t="shared" si="229"/>
        <v>10169.1</v>
      </c>
      <c r="AI653" s="73">
        <f t="shared" si="230"/>
        <v>8617.881356</v>
      </c>
      <c r="AJ653" s="72">
        <f t="shared" si="19"/>
        <v>1</v>
      </c>
      <c r="AK653" s="61"/>
      <c r="AL653" s="71">
        <f t="array" ref="AL653">iferror(if(isblank(xlookup($G653,'Old Master'!$T:$T,'Old Master'!$W:$W)),AG653,xlookup($G653,'Old Master'!$T:$T,'Old Master'!$W:$W)),AG653)</f>
        <v>0.3265050666</v>
      </c>
      <c r="AM653" s="74">
        <f t="shared" si="20"/>
        <v>0.324524803</v>
      </c>
      <c r="AN653" s="73">
        <f t="shared" si="409"/>
        <v>10199</v>
      </c>
    </row>
    <row r="654">
      <c r="A654" s="65" t="s">
        <v>5432</v>
      </c>
      <c r="B654" s="65">
        <f t="shared" si="1"/>
        <v>36</v>
      </c>
      <c r="C654" s="65" t="str">
        <f t="shared" si="403"/>
        <v>SC-LTx-ORTHO-S-84x38x6</v>
      </c>
      <c r="D654" s="65" t="s">
        <v>3958</v>
      </c>
      <c r="E654" s="65">
        <v>0.0</v>
      </c>
      <c r="F654" s="65" t="s">
        <v>3959</v>
      </c>
      <c r="G654" s="65" t="s">
        <v>5118</v>
      </c>
      <c r="H654" s="65" t="s">
        <v>52</v>
      </c>
      <c r="I654" s="81">
        <v>16699.0</v>
      </c>
      <c r="J654" s="66">
        <v>0.23</v>
      </c>
      <c r="K654" s="81">
        <f t="shared" si="3"/>
        <v>12858</v>
      </c>
      <c r="L654" s="66">
        <v>0.2</v>
      </c>
      <c r="M654" s="81">
        <f t="shared" si="4"/>
        <v>13359</v>
      </c>
      <c r="N654" s="67">
        <f t="shared" si="404"/>
        <v>0.3263608599</v>
      </c>
      <c r="O654" s="68">
        <v>11249.1</v>
      </c>
      <c r="P654" s="75">
        <v>0.1</v>
      </c>
      <c r="Q654" s="68">
        <f t="shared" si="410"/>
        <v>15029.1</v>
      </c>
      <c r="R654" s="70"/>
      <c r="S654" s="71">
        <f t="shared" si="411"/>
        <v>-0.1579384684</v>
      </c>
      <c r="T654" s="72">
        <f t="shared" si="6"/>
        <v>0</v>
      </c>
      <c r="U654" s="73" t="str">
        <f t="shared" si="408"/>
        <v/>
      </c>
      <c r="V654" s="73">
        <f t="shared" si="340"/>
        <v>11321.18644</v>
      </c>
      <c r="W654" s="73">
        <f t="shared" si="9"/>
        <v>11321.18644</v>
      </c>
      <c r="X654" s="74">
        <f t="shared" si="10"/>
        <v>1</v>
      </c>
      <c r="Y654" s="73">
        <f t="shared" si="333"/>
        <v>0</v>
      </c>
      <c r="Z654" s="73">
        <f t="shared" si="12"/>
        <v>9533.135593</v>
      </c>
      <c r="AA654" s="73">
        <f t="shared" si="13"/>
        <v>9533.135593</v>
      </c>
      <c r="AB654" s="74">
        <f t="shared" si="14"/>
        <v>1</v>
      </c>
      <c r="AC654" s="61" t="str">
        <f t="shared" si="15"/>
        <v>6</v>
      </c>
      <c r="AD654" s="71" t="str">
        <f t="shared" si="16"/>
        <v>#DIV/0!</v>
      </c>
      <c r="AE654" s="61"/>
      <c r="AF654" s="61"/>
      <c r="AG654" s="71">
        <f t="array" ref="AG654">IFERROR(xlookup(G654,'Old Master'!T:T,'Old Master'!V:V),N654)</f>
        <v>0.3263608599</v>
      </c>
      <c r="AH654" s="73">
        <f t="shared" si="229"/>
        <v>11249.1</v>
      </c>
      <c r="AI654" s="73">
        <f t="shared" si="230"/>
        <v>9533.135593</v>
      </c>
      <c r="AJ654" s="72">
        <f t="shared" si="19"/>
        <v>1</v>
      </c>
      <c r="AK654" s="61"/>
      <c r="AL654" s="71">
        <f t="array" ref="AL654">iferror(if(isblank(xlookup($G654,'Old Master'!$T:$T,'Old Master'!$W:$W)),AG654,xlookup($G654,'Old Master'!$T:$T,'Old Master'!$W:$W)),AG654)</f>
        <v>0.3263608599</v>
      </c>
      <c r="AM654" s="74">
        <f t="shared" si="20"/>
        <v>0.3293610396</v>
      </c>
      <c r="AN654" s="73">
        <f t="shared" si="409"/>
        <v>11199</v>
      </c>
    </row>
    <row r="655">
      <c r="A655" s="65" t="s">
        <v>5433</v>
      </c>
      <c r="B655" s="65">
        <f t="shared" si="1"/>
        <v>36</v>
      </c>
      <c r="C655" s="65" t="str">
        <f t="shared" si="403"/>
        <v>SC-LTx-ORTHO-S-84x38x8</v>
      </c>
      <c r="D655" s="65" t="s">
        <v>3998</v>
      </c>
      <c r="E655" s="65">
        <v>0.0</v>
      </c>
      <c r="F655" s="65" t="s">
        <v>3999</v>
      </c>
      <c r="G655" s="65" t="s">
        <v>5118</v>
      </c>
      <c r="H655" s="65" t="s">
        <v>52</v>
      </c>
      <c r="I655" s="81">
        <v>19199.0</v>
      </c>
      <c r="J655" s="66">
        <v>0.23</v>
      </c>
      <c r="K655" s="81">
        <f t="shared" si="3"/>
        <v>14783</v>
      </c>
      <c r="L655" s="66">
        <v>0.2</v>
      </c>
      <c r="M655" s="81">
        <f t="shared" si="4"/>
        <v>15359</v>
      </c>
      <c r="N655" s="67">
        <f t="shared" si="404"/>
        <v>0.3250117194</v>
      </c>
      <c r="O655" s="68">
        <v>12959.1</v>
      </c>
      <c r="P655" s="75">
        <v>0.1</v>
      </c>
      <c r="Q655" s="68">
        <f t="shared" si="410"/>
        <v>17279.1</v>
      </c>
      <c r="R655" s="70"/>
      <c r="S655" s="71">
        <f t="shared" si="411"/>
        <v>-0.1562536623</v>
      </c>
      <c r="T655" s="72">
        <f t="shared" si="6"/>
        <v>0</v>
      </c>
      <c r="U655" s="73" t="str">
        <f t="shared" si="408"/>
        <v/>
      </c>
      <c r="V655" s="73">
        <f t="shared" si="340"/>
        <v>13016.10169</v>
      </c>
      <c r="W655" s="73">
        <f t="shared" si="9"/>
        <v>13016.10169</v>
      </c>
      <c r="X655" s="74">
        <f t="shared" si="10"/>
        <v>1</v>
      </c>
      <c r="Y655" s="73">
        <f t="shared" si="333"/>
        <v>0</v>
      </c>
      <c r="Z655" s="73">
        <f t="shared" si="12"/>
        <v>10982.28814</v>
      </c>
      <c r="AA655" s="73">
        <f t="shared" si="13"/>
        <v>10982.28814</v>
      </c>
      <c r="AB655" s="74">
        <f t="shared" si="14"/>
        <v>1</v>
      </c>
      <c r="AC655" s="61" t="str">
        <f t="shared" si="15"/>
        <v>8</v>
      </c>
      <c r="AD655" s="71" t="str">
        <f t="shared" si="16"/>
        <v>#DIV/0!</v>
      </c>
      <c r="AE655" s="61"/>
      <c r="AF655" s="61"/>
      <c r="AG655" s="71">
        <f t="array" ref="AG655">IFERROR(xlookup(G655,'Old Master'!T:T,'Old Master'!V:V),N655)</f>
        <v>0.3250117194</v>
      </c>
      <c r="AH655" s="73">
        <f t="shared" si="229"/>
        <v>12959.1</v>
      </c>
      <c r="AI655" s="73">
        <f t="shared" si="230"/>
        <v>10982.28814</v>
      </c>
      <c r="AJ655" s="72">
        <f t="shared" si="19"/>
        <v>1</v>
      </c>
      <c r="AK655" s="61"/>
      <c r="AL655" s="71">
        <f t="array" ref="AL655">iferror(if(isblank(xlookup($G655,'Old Master'!$T:$T,'Old Master'!$W:$W)),AG655,xlookup($G655,'Old Master'!$T:$T,'Old Master'!$W:$W)),AG655)</f>
        <v>0.3250117194</v>
      </c>
      <c r="AM655" s="74">
        <f t="shared" si="20"/>
        <v>0.3229334861</v>
      </c>
      <c r="AN655" s="73">
        <f t="shared" si="409"/>
        <v>12999</v>
      </c>
    </row>
    <row r="656">
      <c r="A656" s="65" t="s">
        <v>4827</v>
      </c>
      <c r="B656" s="65" t="str">
        <f t="shared" si="1"/>
        <v>#VALUE!</v>
      </c>
      <c r="C656" s="65" t="str">
        <f t="shared" si="403"/>
        <v>#VALUE!</v>
      </c>
      <c r="D656" s="65" t="s">
        <v>4829</v>
      </c>
      <c r="E656" s="65">
        <v>0.0</v>
      </c>
      <c r="F656" s="65">
        <v>0.0</v>
      </c>
      <c r="G656" s="65" t="s">
        <v>5085</v>
      </c>
      <c r="H656" s="65" t="s">
        <v>1145</v>
      </c>
      <c r="I656" s="65">
        <v>3899.0</v>
      </c>
      <c r="J656" s="66">
        <v>0.3</v>
      </c>
      <c r="K656" s="65">
        <f t="shared" si="3"/>
        <v>2729</v>
      </c>
      <c r="L656" s="66">
        <v>0.3</v>
      </c>
      <c r="M656" s="65">
        <f t="shared" si="4"/>
        <v>2729</v>
      </c>
      <c r="N656" s="77">
        <f t="shared" si="404"/>
        <v>0.1538856117</v>
      </c>
      <c r="O656" s="78">
        <v>3299.0</v>
      </c>
      <c r="P656" s="67">
        <f t="shared" ref="P656:P844" si="412">1-Q656/I656</f>
        <v>0.1538856117</v>
      </c>
      <c r="Q656" s="79">
        <v>3299.0</v>
      </c>
      <c r="R656" s="70"/>
      <c r="S656" s="71">
        <f t="shared" ref="S656:S668" si="413">O656/K656-1</f>
        <v>0.2088677171</v>
      </c>
      <c r="T656" s="72">
        <f t="shared" si="6"/>
        <v>0</v>
      </c>
      <c r="U656" s="73">
        <f t="shared" ref="U656:U665" si="414">IFERROR(XLOOKUP(A656,COGS!I:I,COGS!J:J), IFERROR(XLOOKUP(C656,COGS!I:I,COGS!J:J),I656*35%))</f>
        <v>1364.65</v>
      </c>
      <c r="V656" s="73">
        <f t="shared" si="340"/>
        <v>2312.711864</v>
      </c>
      <c r="W656" s="73">
        <f t="shared" si="9"/>
        <v>948.0618644</v>
      </c>
      <c r="X656" s="74">
        <f t="shared" si="10"/>
        <v>0.4099351411</v>
      </c>
      <c r="Y656" s="73">
        <f t="shared" si="333"/>
        <v>1569.3475</v>
      </c>
      <c r="Z656" s="73">
        <f t="shared" si="12"/>
        <v>2795.762712</v>
      </c>
      <c r="AA656" s="73">
        <f t="shared" si="13"/>
        <v>1226.415212</v>
      </c>
      <c r="AB656" s="74">
        <f t="shared" si="14"/>
        <v>0.4386692786</v>
      </c>
      <c r="AC656" s="61" t="str">
        <f t="shared" si="15"/>
        <v>6</v>
      </c>
      <c r="AD656" s="71">
        <f t="shared" si="16"/>
        <v>0.15</v>
      </c>
      <c r="AE656" s="61"/>
      <c r="AF656" s="61"/>
      <c r="AG656" s="71">
        <f t="array" ref="AG656">IFERROR(xlookup(G656,'Old Master'!T:T,'Old Master'!V:V),N656)</f>
        <v>0.1538856117</v>
      </c>
      <c r="AH656" s="73">
        <f t="shared" si="229"/>
        <v>3299</v>
      </c>
      <c r="AI656" s="73">
        <f t="shared" si="230"/>
        <v>1226.415212</v>
      </c>
      <c r="AJ656" s="72">
        <f t="shared" si="19"/>
        <v>0.4386692786</v>
      </c>
      <c r="AK656" s="61"/>
      <c r="AL656" s="71">
        <f t="shared" ref="AL656:AL657" si="415">(I656-AN656)/I656</f>
        <v>0.1538856117</v>
      </c>
      <c r="AM656" s="74">
        <f t="shared" si="20"/>
        <v>0.1538856117</v>
      </c>
      <c r="AN656" s="73">
        <v>3299.0</v>
      </c>
    </row>
    <row r="657">
      <c r="A657" s="65" t="s">
        <v>4917</v>
      </c>
      <c r="B657" s="65" t="str">
        <f t="shared" si="1"/>
        <v>#VALUE!</v>
      </c>
      <c r="C657" s="65" t="str">
        <f t="shared" si="403"/>
        <v>#VALUE!</v>
      </c>
      <c r="D657" s="65" t="s">
        <v>5285</v>
      </c>
      <c r="E657" s="65">
        <v>0.0</v>
      </c>
      <c r="F657" s="65">
        <v>0.0</v>
      </c>
      <c r="G657" s="65" t="s">
        <v>1144</v>
      </c>
      <c r="H657" s="65" t="s">
        <v>1145</v>
      </c>
      <c r="I657" s="65">
        <v>2999.0</v>
      </c>
      <c r="J657" s="66">
        <v>0.497737556561086</v>
      </c>
      <c r="K657" s="65">
        <f t="shared" si="3"/>
        <v>1506</v>
      </c>
      <c r="L657" s="66">
        <v>0.25</v>
      </c>
      <c r="M657" s="65">
        <f t="shared" si="4"/>
        <v>2249</v>
      </c>
      <c r="N657" s="77">
        <f t="shared" si="404"/>
        <v>0.4001333778</v>
      </c>
      <c r="O657" s="78">
        <v>1799.0</v>
      </c>
      <c r="P657" s="67">
        <f t="shared" si="412"/>
        <v>0.4001333778</v>
      </c>
      <c r="Q657" s="79">
        <v>1799.0</v>
      </c>
      <c r="R657" s="70"/>
      <c r="S657" s="71">
        <f t="shared" si="413"/>
        <v>0.1945551129</v>
      </c>
      <c r="T657" s="72">
        <f t="shared" si="6"/>
        <v>0</v>
      </c>
      <c r="U657" s="73">
        <f t="shared" si="414"/>
        <v>1049.65</v>
      </c>
      <c r="V657" s="73">
        <f t="shared" si="340"/>
        <v>1905.932203</v>
      </c>
      <c r="W657" s="73">
        <f t="shared" si="9"/>
        <v>856.2822034</v>
      </c>
      <c r="X657" s="74">
        <f t="shared" si="10"/>
        <v>0.4492721209</v>
      </c>
      <c r="Y657" s="73">
        <f t="shared" si="333"/>
        <v>1207.0975</v>
      </c>
      <c r="Z657" s="73">
        <f t="shared" si="12"/>
        <v>1524.576271</v>
      </c>
      <c r="AA657" s="73">
        <f t="shared" si="13"/>
        <v>317.4787712</v>
      </c>
      <c r="AB657" s="74">
        <f t="shared" si="14"/>
        <v>0.2082406615</v>
      </c>
      <c r="AC657" s="61" t="str">
        <f t="shared" si="15"/>
        <v>4</v>
      </c>
      <c r="AD657" s="71">
        <f t="shared" si="16"/>
        <v>0.15</v>
      </c>
      <c r="AE657" s="61"/>
      <c r="AF657" s="61"/>
      <c r="AG657" s="71">
        <f t="array" ref="AG657">IFERROR(xlookup(G657,'Old Master'!T:T,'Old Master'!V:V),N657)</f>
        <v>0.4001333778</v>
      </c>
      <c r="AH657" s="73">
        <f t="shared" si="229"/>
        <v>1799</v>
      </c>
      <c r="AI657" s="73">
        <f t="shared" si="230"/>
        <v>317.4787712</v>
      </c>
      <c r="AJ657" s="72">
        <f t="shared" si="19"/>
        <v>0.2082406615</v>
      </c>
      <c r="AK657" s="61"/>
      <c r="AL657" s="71">
        <f t="shared" si="415"/>
        <v>0.4001333778</v>
      </c>
      <c r="AM657" s="74">
        <f t="shared" si="20"/>
        <v>0.4001333778</v>
      </c>
      <c r="AN657" s="73">
        <v>1799.0</v>
      </c>
    </row>
    <row r="658">
      <c r="A658" s="65" t="s">
        <v>3846</v>
      </c>
      <c r="B658" s="65" t="str">
        <f t="shared" si="1"/>
        <v>#VALUE!</v>
      </c>
      <c r="C658" s="65" t="str">
        <f t="shared" si="403"/>
        <v>#VALUE!</v>
      </c>
      <c r="D658" s="65" t="s">
        <v>3848</v>
      </c>
      <c r="E658" s="65">
        <v>0.0</v>
      </c>
      <c r="F658" s="65" t="s">
        <v>3849</v>
      </c>
      <c r="G658" s="65" t="s">
        <v>4727</v>
      </c>
      <c r="H658" s="65" t="s">
        <v>4727</v>
      </c>
      <c r="I658" s="65">
        <v>1249.0</v>
      </c>
      <c r="J658" s="66">
        <v>0.2815485168426345</v>
      </c>
      <c r="K658" s="65">
        <f t="shared" si="3"/>
        <v>897</v>
      </c>
      <c r="L658" s="66">
        <v>0.3</v>
      </c>
      <c r="M658" s="65">
        <f t="shared" si="4"/>
        <v>874</v>
      </c>
      <c r="N658" s="67">
        <f t="shared" si="404"/>
        <v>0.2001601281</v>
      </c>
      <c r="O658" s="68">
        <v>999.0</v>
      </c>
      <c r="P658" s="67">
        <f t="shared" si="412"/>
        <v>0.2001601281</v>
      </c>
      <c r="Q658" s="69">
        <v>999.0</v>
      </c>
      <c r="R658" s="70"/>
      <c r="S658" s="71">
        <f t="shared" si="413"/>
        <v>0.1137123746</v>
      </c>
      <c r="T658" s="72">
        <f t="shared" si="6"/>
        <v>0</v>
      </c>
      <c r="U658" s="73">
        <f t="shared" si="414"/>
        <v>437.15</v>
      </c>
      <c r="V658" s="73">
        <f t="shared" si="340"/>
        <v>740.6779661</v>
      </c>
      <c r="W658" s="73">
        <f t="shared" si="9"/>
        <v>303.5279661</v>
      </c>
      <c r="X658" s="74">
        <f t="shared" si="10"/>
        <v>0.4097974828</v>
      </c>
      <c r="Y658" s="73">
        <f t="shared" si="333"/>
        <v>502.7225</v>
      </c>
      <c r="Z658" s="73">
        <f t="shared" si="12"/>
        <v>846.6101695</v>
      </c>
      <c r="AA658" s="73">
        <f t="shared" si="13"/>
        <v>343.8876695</v>
      </c>
      <c r="AB658" s="74">
        <f t="shared" si="14"/>
        <v>0.4061936436</v>
      </c>
      <c r="AC658" s="61" t="str">
        <f t="shared" si="15"/>
        <v>K</v>
      </c>
      <c r="AD658" s="71">
        <f t="shared" si="16"/>
        <v>0.15</v>
      </c>
      <c r="AE658" s="61"/>
      <c r="AF658" s="61"/>
      <c r="AG658" s="71">
        <f t="array" ref="AG658">IFERROR(xlookup(G658,'Old Master'!T:T,'Old Master'!V:V),N658)</f>
        <v>0.2001601281</v>
      </c>
      <c r="AH658" s="73">
        <f t="shared" si="229"/>
        <v>999</v>
      </c>
      <c r="AI658" s="73">
        <f t="shared" si="230"/>
        <v>343.8876695</v>
      </c>
      <c r="AJ658" s="72">
        <f t="shared" si="19"/>
        <v>0.4061936436</v>
      </c>
      <c r="AK658" s="61"/>
      <c r="AL658" s="71">
        <f t="array" ref="AL658">iferror(if(isblank(xlookup($G658,'Old Master'!$T:$T,'Old Master'!$W:$W)),AG658,xlookup($G658,'Old Master'!$T:$T,'Old Master'!$W:$W)),AG658)</f>
        <v>0.2001601281</v>
      </c>
      <c r="AM658" s="74">
        <f t="shared" si="20"/>
        <v>0.2001601281</v>
      </c>
      <c r="AN658" s="73">
        <f t="shared" ref="AN658:AN705" si="416">mround($I658*(1-AL658),100)-1</f>
        <v>999</v>
      </c>
    </row>
    <row r="659">
      <c r="A659" s="65" t="s">
        <v>3886</v>
      </c>
      <c r="B659" s="65" t="str">
        <f t="shared" si="1"/>
        <v>#VALUE!</v>
      </c>
      <c r="C659" s="65" t="str">
        <f t="shared" si="403"/>
        <v>#VALUE!</v>
      </c>
      <c r="D659" s="65" t="s">
        <v>3888</v>
      </c>
      <c r="E659" s="65">
        <v>0.0</v>
      </c>
      <c r="F659" s="65" t="s">
        <v>3889</v>
      </c>
      <c r="G659" s="65" t="s">
        <v>4727</v>
      </c>
      <c r="H659" s="65" t="s">
        <v>4727</v>
      </c>
      <c r="I659" s="65">
        <v>1999.0</v>
      </c>
      <c r="J659" s="66">
        <v>0.2815485168426345</v>
      </c>
      <c r="K659" s="65">
        <f t="shared" si="3"/>
        <v>1436</v>
      </c>
      <c r="L659" s="66">
        <v>0.3</v>
      </c>
      <c r="M659" s="65">
        <f t="shared" si="4"/>
        <v>1399</v>
      </c>
      <c r="N659" s="67">
        <f t="shared" si="404"/>
        <v>0.20010005</v>
      </c>
      <c r="O659" s="68">
        <v>1599.0</v>
      </c>
      <c r="P659" s="67">
        <f t="shared" si="412"/>
        <v>0.20010005</v>
      </c>
      <c r="Q659" s="69">
        <v>1599.0</v>
      </c>
      <c r="R659" s="70"/>
      <c r="S659" s="71">
        <f t="shared" si="413"/>
        <v>0.1135097493</v>
      </c>
      <c r="T659" s="72">
        <f t="shared" si="6"/>
        <v>0</v>
      </c>
      <c r="U659" s="73">
        <f t="shared" si="414"/>
        <v>699.65</v>
      </c>
      <c r="V659" s="73">
        <f t="shared" si="340"/>
        <v>1185.59322</v>
      </c>
      <c r="W659" s="73">
        <f t="shared" si="9"/>
        <v>485.9432203</v>
      </c>
      <c r="X659" s="74">
        <f t="shared" si="10"/>
        <v>0.4098734811</v>
      </c>
      <c r="Y659" s="73">
        <f t="shared" si="333"/>
        <v>804.5975</v>
      </c>
      <c r="Z659" s="73">
        <f t="shared" si="12"/>
        <v>1355.084746</v>
      </c>
      <c r="AA659" s="73">
        <f t="shared" si="13"/>
        <v>550.4872458</v>
      </c>
      <c r="AB659" s="74">
        <f t="shared" si="14"/>
        <v>0.4062382427</v>
      </c>
      <c r="AC659" s="61" t="str">
        <f t="shared" si="15"/>
        <v>K</v>
      </c>
      <c r="AD659" s="71">
        <f t="shared" si="16"/>
        <v>0.15</v>
      </c>
      <c r="AE659" s="61"/>
      <c r="AF659" s="61"/>
      <c r="AG659" s="71">
        <f t="array" ref="AG659">IFERROR(xlookup(G659,'Old Master'!T:T,'Old Master'!V:V),N659)</f>
        <v>0.20010005</v>
      </c>
      <c r="AH659" s="73">
        <f t="shared" si="229"/>
        <v>1599</v>
      </c>
      <c r="AI659" s="73">
        <f t="shared" si="230"/>
        <v>550.4872458</v>
      </c>
      <c r="AJ659" s="72">
        <f t="shared" si="19"/>
        <v>0.4062382427</v>
      </c>
      <c r="AK659" s="61"/>
      <c r="AL659" s="71">
        <f t="array" ref="AL659">iferror(if(isblank(xlookup($G659,'Old Master'!$T:$T,'Old Master'!$W:$W)),AG659,xlookup($G659,'Old Master'!$T:$T,'Old Master'!$W:$W)),AG659)</f>
        <v>0.20010005</v>
      </c>
      <c r="AM659" s="74">
        <f t="shared" si="20"/>
        <v>0.20010005</v>
      </c>
      <c r="AN659" s="73">
        <f t="shared" si="416"/>
        <v>1599</v>
      </c>
    </row>
    <row r="660">
      <c r="A660" s="65" t="s">
        <v>3866</v>
      </c>
      <c r="B660" s="65" t="str">
        <f t="shared" si="1"/>
        <v>#VALUE!</v>
      </c>
      <c r="C660" s="65" t="str">
        <f t="shared" si="403"/>
        <v>#VALUE!</v>
      </c>
      <c r="D660" s="65" t="s">
        <v>3868</v>
      </c>
      <c r="E660" s="65">
        <v>0.0</v>
      </c>
      <c r="F660" s="65" t="s">
        <v>3869</v>
      </c>
      <c r="G660" s="65" t="s">
        <v>4727</v>
      </c>
      <c r="H660" s="65" t="s">
        <v>4727</v>
      </c>
      <c r="I660" s="65">
        <v>1869.0</v>
      </c>
      <c r="J660" s="66">
        <v>0.2815485168426345</v>
      </c>
      <c r="K660" s="65">
        <f t="shared" si="3"/>
        <v>1343</v>
      </c>
      <c r="L660" s="66">
        <v>0.3</v>
      </c>
      <c r="M660" s="65">
        <f t="shared" si="4"/>
        <v>1308</v>
      </c>
      <c r="N660" s="67">
        <f t="shared" si="404"/>
        <v>0.2001070091</v>
      </c>
      <c r="O660" s="68">
        <v>1495.0</v>
      </c>
      <c r="P660" s="67">
        <f t="shared" si="412"/>
        <v>0.2001070091</v>
      </c>
      <c r="Q660" s="69">
        <v>1495.0</v>
      </c>
      <c r="R660" s="70"/>
      <c r="S660" s="71">
        <f t="shared" si="413"/>
        <v>0.113179449</v>
      </c>
      <c r="T660" s="72">
        <f t="shared" si="6"/>
        <v>0</v>
      </c>
      <c r="U660" s="73">
        <f t="shared" si="414"/>
        <v>654.15</v>
      </c>
      <c r="V660" s="73">
        <f t="shared" si="340"/>
        <v>1108.474576</v>
      </c>
      <c r="W660" s="73">
        <f t="shared" si="9"/>
        <v>454.3245763</v>
      </c>
      <c r="X660" s="74">
        <f t="shared" si="10"/>
        <v>0.4098646789</v>
      </c>
      <c r="Y660" s="73">
        <f t="shared" si="333"/>
        <v>752.2725</v>
      </c>
      <c r="Z660" s="73">
        <f t="shared" si="12"/>
        <v>1266.949153</v>
      </c>
      <c r="AA660" s="73">
        <f t="shared" si="13"/>
        <v>514.6766525</v>
      </c>
      <c r="AB660" s="74">
        <f t="shared" si="14"/>
        <v>0.4062330769</v>
      </c>
      <c r="AC660" s="61" t="str">
        <f t="shared" si="15"/>
        <v>K</v>
      </c>
      <c r="AD660" s="71">
        <f t="shared" si="16"/>
        <v>0.15</v>
      </c>
      <c r="AE660" s="61"/>
      <c r="AF660" s="61"/>
      <c r="AG660" s="71">
        <f t="array" ref="AG660">IFERROR(xlookup(G660,'Old Master'!T:T,'Old Master'!V:V),N660)</f>
        <v>0.2001070091</v>
      </c>
      <c r="AH660" s="73">
        <f t="shared" si="229"/>
        <v>1495</v>
      </c>
      <c r="AI660" s="73">
        <f t="shared" si="230"/>
        <v>514.6766525</v>
      </c>
      <c r="AJ660" s="72">
        <f t="shared" si="19"/>
        <v>0.4062330769</v>
      </c>
      <c r="AK660" s="61"/>
      <c r="AL660" s="71">
        <f t="array" ref="AL660">iferror(if(isblank(xlookup($G660,'Old Master'!$T:$T,'Old Master'!$W:$W)),AG660,xlookup($G660,'Old Master'!$T:$T,'Old Master'!$W:$W)),AG660)</f>
        <v>0.2001070091</v>
      </c>
      <c r="AM660" s="74">
        <f t="shared" si="20"/>
        <v>0.1979668272</v>
      </c>
      <c r="AN660" s="73">
        <f t="shared" si="416"/>
        <v>1499</v>
      </c>
    </row>
    <row r="661">
      <c r="A661" s="65" t="s">
        <v>3876</v>
      </c>
      <c r="B661" s="65" t="str">
        <f t="shared" si="1"/>
        <v>#VALUE!</v>
      </c>
      <c r="C661" s="65" t="str">
        <f t="shared" si="403"/>
        <v>#VALUE!</v>
      </c>
      <c r="D661" s="65" t="s">
        <v>3878</v>
      </c>
      <c r="E661" s="65">
        <v>0.0</v>
      </c>
      <c r="F661" s="65" t="s">
        <v>3879</v>
      </c>
      <c r="G661" s="65" t="s">
        <v>4727</v>
      </c>
      <c r="H661" s="65" t="s">
        <v>4727</v>
      </c>
      <c r="I661" s="65">
        <v>2499.0</v>
      </c>
      <c r="J661" s="66">
        <v>0.2815485168426345</v>
      </c>
      <c r="K661" s="65">
        <f t="shared" si="3"/>
        <v>1795</v>
      </c>
      <c r="L661" s="66">
        <v>0.3</v>
      </c>
      <c r="M661" s="65">
        <f t="shared" si="4"/>
        <v>1749</v>
      </c>
      <c r="N661" s="67">
        <f t="shared" si="404"/>
        <v>0.200080032</v>
      </c>
      <c r="O661" s="68">
        <v>1999.0</v>
      </c>
      <c r="P661" s="67">
        <f t="shared" si="412"/>
        <v>0.200080032</v>
      </c>
      <c r="Q661" s="69">
        <v>1999.0</v>
      </c>
      <c r="R661" s="70"/>
      <c r="S661" s="71">
        <f t="shared" si="413"/>
        <v>0.1136490251</v>
      </c>
      <c r="T661" s="72">
        <f t="shared" si="6"/>
        <v>0</v>
      </c>
      <c r="U661" s="73">
        <f t="shared" si="414"/>
        <v>874.65</v>
      </c>
      <c r="V661" s="73">
        <f t="shared" si="340"/>
        <v>1482.20339</v>
      </c>
      <c r="W661" s="73">
        <f t="shared" si="9"/>
        <v>607.5533898</v>
      </c>
      <c r="X661" s="74">
        <f t="shared" si="10"/>
        <v>0.4098987993</v>
      </c>
      <c r="Y661" s="73">
        <f t="shared" si="333"/>
        <v>1005.8475</v>
      </c>
      <c r="Z661" s="73">
        <f t="shared" si="12"/>
        <v>1694.067797</v>
      </c>
      <c r="AA661" s="73">
        <f t="shared" si="13"/>
        <v>688.2202966</v>
      </c>
      <c r="AB661" s="74">
        <f t="shared" si="14"/>
        <v>0.4062531016</v>
      </c>
      <c r="AC661" s="61" t="str">
        <f t="shared" si="15"/>
        <v>K</v>
      </c>
      <c r="AD661" s="71">
        <f t="shared" si="16"/>
        <v>0.15</v>
      </c>
      <c r="AE661" s="61"/>
      <c r="AF661" s="61"/>
      <c r="AG661" s="71">
        <f t="array" ref="AG661">IFERROR(xlookup(G661,'Old Master'!T:T,'Old Master'!V:V),N661)</f>
        <v>0.200080032</v>
      </c>
      <c r="AH661" s="73">
        <f t="shared" si="229"/>
        <v>1999</v>
      </c>
      <c r="AI661" s="73">
        <f t="shared" si="230"/>
        <v>688.2202966</v>
      </c>
      <c r="AJ661" s="72">
        <f t="shared" si="19"/>
        <v>0.4062531016</v>
      </c>
      <c r="AK661" s="61"/>
      <c r="AL661" s="71">
        <f t="array" ref="AL661">iferror(if(isblank(xlookup($G661,'Old Master'!$T:$T,'Old Master'!$W:$W)),AG661,xlookup($G661,'Old Master'!$T:$T,'Old Master'!$W:$W)),AG661)</f>
        <v>0.200080032</v>
      </c>
      <c r="AM661" s="74">
        <f t="shared" si="20"/>
        <v>0.200080032</v>
      </c>
      <c r="AN661" s="73">
        <f t="shared" si="416"/>
        <v>1999</v>
      </c>
    </row>
    <row r="662">
      <c r="A662" s="65" t="s">
        <v>3856</v>
      </c>
      <c r="B662" s="65" t="str">
        <f t="shared" si="1"/>
        <v>#VALUE!</v>
      </c>
      <c r="C662" s="65" t="str">
        <f t="shared" si="403"/>
        <v>#VALUE!</v>
      </c>
      <c r="D662" s="65" t="s">
        <v>3858</v>
      </c>
      <c r="E662" s="65">
        <v>0.0</v>
      </c>
      <c r="F662" s="65" t="s">
        <v>3859</v>
      </c>
      <c r="G662" s="65" t="s">
        <v>4727</v>
      </c>
      <c r="H662" s="65" t="s">
        <v>4727</v>
      </c>
      <c r="I662" s="65">
        <v>1869.0</v>
      </c>
      <c r="J662" s="66">
        <v>0.2815485168426345</v>
      </c>
      <c r="K662" s="65">
        <f t="shared" si="3"/>
        <v>1343</v>
      </c>
      <c r="L662" s="66">
        <v>0.3</v>
      </c>
      <c r="M662" s="65">
        <f t="shared" si="4"/>
        <v>1308</v>
      </c>
      <c r="N662" s="67">
        <f t="shared" si="404"/>
        <v>0.2001070091</v>
      </c>
      <c r="O662" s="68">
        <v>1495.0</v>
      </c>
      <c r="P662" s="67">
        <f t="shared" si="412"/>
        <v>0.2001070091</v>
      </c>
      <c r="Q662" s="69">
        <v>1495.0</v>
      </c>
      <c r="R662" s="70"/>
      <c r="S662" s="71">
        <f t="shared" si="413"/>
        <v>0.113179449</v>
      </c>
      <c r="T662" s="72">
        <f t="shared" si="6"/>
        <v>0</v>
      </c>
      <c r="U662" s="73">
        <f t="shared" si="414"/>
        <v>654.15</v>
      </c>
      <c r="V662" s="73">
        <f t="shared" si="340"/>
        <v>1108.474576</v>
      </c>
      <c r="W662" s="73">
        <f t="shared" si="9"/>
        <v>454.3245763</v>
      </c>
      <c r="X662" s="74">
        <f t="shared" si="10"/>
        <v>0.4098646789</v>
      </c>
      <c r="Y662" s="73">
        <f t="shared" si="333"/>
        <v>752.2725</v>
      </c>
      <c r="Z662" s="73">
        <f t="shared" si="12"/>
        <v>1266.949153</v>
      </c>
      <c r="AA662" s="73">
        <f t="shared" si="13"/>
        <v>514.6766525</v>
      </c>
      <c r="AB662" s="74">
        <f t="shared" si="14"/>
        <v>0.4062330769</v>
      </c>
      <c r="AC662" s="61" t="str">
        <f t="shared" si="15"/>
        <v>K</v>
      </c>
      <c r="AD662" s="71">
        <f t="shared" si="16"/>
        <v>0.15</v>
      </c>
      <c r="AE662" s="61"/>
      <c r="AF662" s="61"/>
      <c r="AG662" s="71">
        <f t="array" ref="AG662">IFERROR(xlookup(G662,'Old Master'!T:T,'Old Master'!V:V),N662)</f>
        <v>0.2001070091</v>
      </c>
      <c r="AH662" s="73">
        <f t="shared" si="229"/>
        <v>1495</v>
      </c>
      <c r="AI662" s="73">
        <f t="shared" si="230"/>
        <v>514.6766525</v>
      </c>
      <c r="AJ662" s="72">
        <f t="shared" si="19"/>
        <v>0.4062330769</v>
      </c>
      <c r="AK662" s="61"/>
      <c r="AL662" s="71">
        <f t="array" ref="AL662">iferror(if(isblank(xlookup($G662,'Old Master'!$T:$T,'Old Master'!$W:$W)),AG662,xlookup($G662,'Old Master'!$T:$T,'Old Master'!$W:$W)),AG662)</f>
        <v>0.2001070091</v>
      </c>
      <c r="AM662" s="74">
        <f t="shared" si="20"/>
        <v>0.1979668272</v>
      </c>
      <c r="AN662" s="73">
        <f t="shared" si="416"/>
        <v>1499</v>
      </c>
    </row>
    <row r="663">
      <c r="A663" s="65" t="s">
        <v>3896</v>
      </c>
      <c r="B663" s="65" t="str">
        <f t="shared" si="1"/>
        <v>#VALUE!</v>
      </c>
      <c r="C663" s="65" t="str">
        <f t="shared" si="403"/>
        <v>#VALUE!</v>
      </c>
      <c r="D663" s="65" t="s">
        <v>3898</v>
      </c>
      <c r="E663" s="65">
        <v>0.0</v>
      </c>
      <c r="F663" s="65" t="s">
        <v>3899</v>
      </c>
      <c r="G663" s="65" t="s">
        <v>4727</v>
      </c>
      <c r="H663" s="65" t="s">
        <v>4727</v>
      </c>
      <c r="I663" s="65">
        <v>1999.0</v>
      </c>
      <c r="J663" s="66">
        <v>0.2815485168426345</v>
      </c>
      <c r="K663" s="65">
        <f t="shared" si="3"/>
        <v>1436</v>
      </c>
      <c r="L663" s="66">
        <v>0.3</v>
      </c>
      <c r="M663" s="65">
        <f t="shared" si="4"/>
        <v>1399</v>
      </c>
      <c r="N663" s="67">
        <f t="shared" si="404"/>
        <v>0.20010005</v>
      </c>
      <c r="O663" s="68">
        <v>1599.0</v>
      </c>
      <c r="P663" s="67">
        <f t="shared" si="412"/>
        <v>0.20010005</v>
      </c>
      <c r="Q663" s="69">
        <v>1599.0</v>
      </c>
      <c r="R663" s="70"/>
      <c r="S663" s="71">
        <f t="shared" si="413"/>
        <v>0.1135097493</v>
      </c>
      <c r="T663" s="72">
        <f t="shared" si="6"/>
        <v>0</v>
      </c>
      <c r="U663" s="73">
        <f t="shared" si="414"/>
        <v>699.65</v>
      </c>
      <c r="V663" s="73">
        <f t="shared" si="340"/>
        <v>1185.59322</v>
      </c>
      <c r="W663" s="73">
        <f t="shared" si="9"/>
        <v>485.9432203</v>
      </c>
      <c r="X663" s="74">
        <f t="shared" si="10"/>
        <v>0.4098734811</v>
      </c>
      <c r="Y663" s="73">
        <f t="shared" si="333"/>
        <v>804.5975</v>
      </c>
      <c r="Z663" s="73">
        <f t="shared" si="12"/>
        <v>1355.084746</v>
      </c>
      <c r="AA663" s="73">
        <f t="shared" si="13"/>
        <v>550.4872458</v>
      </c>
      <c r="AB663" s="74">
        <f t="shared" si="14"/>
        <v>0.4062382427</v>
      </c>
      <c r="AC663" s="61" t="str">
        <f t="shared" si="15"/>
        <v>K</v>
      </c>
      <c r="AD663" s="71">
        <f t="shared" si="16"/>
        <v>0.15</v>
      </c>
      <c r="AE663" s="61"/>
      <c r="AF663" s="61"/>
      <c r="AG663" s="71">
        <f t="array" ref="AG663">IFERROR(xlookup(G663,'Old Master'!T:T,'Old Master'!V:V),N663)</f>
        <v>0.20010005</v>
      </c>
      <c r="AH663" s="73">
        <f t="shared" si="229"/>
        <v>1599</v>
      </c>
      <c r="AI663" s="73">
        <f t="shared" si="230"/>
        <v>550.4872458</v>
      </c>
      <c r="AJ663" s="72">
        <f t="shared" si="19"/>
        <v>0.4062382427</v>
      </c>
      <c r="AK663" s="61"/>
      <c r="AL663" s="71">
        <f t="array" ref="AL663">iferror(if(isblank(xlookup($G663,'Old Master'!$T:$T,'Old Master'!$W:$W)),AG663,xlookup($G663,'Old Master'!$T:$T,'Old Master'!$W:$W)),AG663)</f>
        <v>0.20010005</v>
      </c>
      <c r="AM663" s="74">
        <f t="shared" si="20"/>
        <v>0.20010005</v>
      </c>
      <c r="AN663" s="73">
        <f t="shared" si="416"/>
        <v>1599</v>
      </c>
    </row>
    <row r="664">
      <c r="A664" s="65" t="s">
        <v>4674</v>
      </c>
      <c r="B664" s="65" t="str">
        <f t="shared" si="1"/>
        <v>#VALUE!</v>
      </c>
      <c r="C664" s="65" t="str">
        <f t="shared" si="403"/>
        <v>#VALUE!</v>
      </c>
      <c r="D664" s="65" t="s">
        <v>4676</v>
      </c>
      <c r="E664" s="65">
        <v>0.0</v>
      </c>
      <c r="F664" s="65">
        <v>0.0</v>
      </c>
      <c r="G664" s="65" t="s">
        <v>4727</v>
      </c>
      <c r="H664" s="65" t="s">
        <v>4727</v>
      </c>
      <c r="I664" s="65">
        <v>1299.0</v>
      </c>
      <c r="J664" s="66">
        <v>0.2815485168426345</v>
      </c>
      <c r="K664" s="65">
        <f t="shared" si="3"/>
        <v>933</v>
      </c>
      <c r="L664" s="66">
        <v>0.0</v>
      </c>
      <c r="M664" s="65">
        <f t="shared" si="4"/>
        <v>1299</v>
      </c>
      <c r="N664" s="67">
        <f t="shared" si="404"/>
        <v>0.2309468822</v>
      </c>
      <c r="O664" s="78">
        <v>999.0</v>
      </c>
      <c r="P664" s="67">
        <f t="shared" si="412"/>
        <v>0.2309468822</v>
      </c>
      <c r="Q664" s="79">
        <v>999.0</v>
      </c>
      <c r="R664" s="70"/>
      <c r="S664" s="71">
        <f t="shared" si="413"/>
        <v>0.07073954984</v>
      </c>
      <c r="T664" s="72">
        <f t="shared" si="6"/>
        <v>0</v>
      </c>
      <c r="U664" s="73">
        <f t="shared" si="414"/>
        <v>454.65</v>
      </c>
      <c r="V664" s="73">
        <f t="shared" si="340"/>
        <v>1100.847458</v>
      </c>
      <c r="W664" s="73">
        <f t="shared" si="9"/>
        <v>646.1974576</v>
      </c>
      <c r="X664" s="74">
        <f t="shared" si="10"/>
        <v>0.587</v>
      </c>
      <c r="Y664" s="73">
        <f t="shared" si="333"/>
        <v>522.8475</v>
      </c>
      <c r="Z664" s="73">
        <f t="shared" si="12"/>
        <v>846.6101695</v>
      </c>
      <c r="AA664" s="73">
        <f t="shared" si="13"/>
        <v>323.7626695</v>
      </c>
      <c r="AB664" s="74">
        <f t="shared" si="14"/>
        <v>0.3824223724</v>
      </c>
      <c r="AC664" s="61" t="str">
        <f t="shared" si="15"/>
        <v>L</v>
      </c>
      <c r="AD664" s="71">
        <f t="shared" si="16"/>
        <v>0.15</v>
      </c>
      <c r="AE664" s="61"/>
      <c r="AF664" s="61"/>
      <c r="AG664" s="71">
        <f t="array" ref="AG664">IFERROR(xlookup(G664,'Old Master'!T:T,'Old Master'!V:V),N664)</f>
        <v>0.2309468822</v>
      </c>
      <c r="AH664" s="73">
        <f t="shared" si="229"/>
        <v>999</v>
      </c>
      <c r="AI664" s="73">
        <f t="shared" si="230"/>
        <v>323.7626695</v>
      </c>
      <c r="AJ664" s="72">
        <f t="shared" si="19"/>
        <v>0.3824223724</v>
      </c>
      <c r="AK664" s="61"/>
      <c r="AL664" s="71">
        <f t="array" ref="AL664">iferror(if(isblank(xlookup($G664,'Old Master'!$T:$T,'Old Master'!$W:$W)),AG664,xlookup($G664,'Old Master'!$T:$T,'Old Master'!$W:$W)),AG664)</f>
        <v>0.2309468822</v>
      </c>
      <c r="AM664" s="74">
        <f t="shared" si="20"/>
        <v>0.2309468822</v>
      </c>
      <c r="AN664" s="73">
        <f t="shared" si="416"/>
        <v>999</v>
      </c>
    </row>
    <row r="665">
      <c r="A665" s="65" t="s">
        <v>4678</v>
      </c>
      <c r="B665" s="65" t="str">
        <f t="shared" si="1"/>
        <v>#VALUE!</v>
      </c>
      <c r="C665" s="65" t="str">
        <f t="shared" si="403"/>
        <v>#VALUE!</v>
      </c>
      <c r="D665" s="65" t="s">
        <v>4680</v>
      </c>
      <c r="E665" s="65">
        <v>0.0</v>
      </c>
      <c r="F665" s="65">
        <v>0.0</v>
      </c>
      <c r="G665" s="65" t="s">
        <v>4727</v>
      </c>
      <c r="H665" s="65" t="s">
        <v>4727</v>
      </c>
      <c r="I665" s="65">
        <v>1299.0</v>
      </c>
      <c r="J665" s="66">
        <v>0.2815485168426345</v>
      </c>
      <c r="K665" s="65">
        <f t="shared" si="3"/>
        <v>933</v>
      </c>
      <c r="L665" s="66">
        <v>0.0</v>
      </c>
      <c r="M665" s="65">
        <f t="shared" si="4"/>
        <v>1299</v>
      </c>
      <c r="N665" s="67">
        <f t="shared" si="404"/>
        <v>0.2309468822</v>
      </c>
      <c r="O665" s="78">
        <v>999.0</v>
      </c>
      <c r="P665" s="67">
        <f t="shared" si="412"/>
        <v>0.2309468822</v>
      </c>
      <c r="Q665" s="79">
        <v>999.0</v>
      </c>
      <c r="R665" s="70"/>
      <c r="S665" s="71">
        <f t="shared" si="413"/>
        <v>0.07073954984</v>
      </c>
      <c r="T665" s="72">
        <f t="shared" si="6"/>
        <v>0</v>
      </c>
      <c r="U665" s="73">
        <f t="shared" si="414"/>
        <v>454.65</v>
      </c>
      <c r="V665" s="73">
        <f t="shared" si="340"/>
        <v>1100.847458</v>
      </c>
      <c r="W665" s="73">
        <f t="shared" si="9"/>
        <v>646.1974576</v>
      </c>
      <c r="X665" s="74">
        <f t="shared" si="10"/>
        <v>0.587</v>
      </c>
      <c r="Y665" s="73">
        <f t="shared" si="333"/>
        <v>522.8475</v>
      </c>
      <c r="Z665" s="73">
        <f t="shared" si="12"/>
        <v>846.6101695</v>
      </c>
      <c r="AA665" s="73">
        <f t="shared" si="13"/>
        <v>323.7626695</v>
      </c>
      <c r="AB665" s="74">
        <f t="shared" si="14"/>
        <v>0.3824223724</v>
      </c>
      <c r="AC665" s="61" t="str">
        <f t="shared" si="15"/>
        <v>L</v>
      </c>
      <c r="AD665" s="71">
        <f t="shared" si="16"/>
        <v>0.15</v>
      </c>
      <c r="AE665" s="61"/>
      <c r="AF665" s="61"/>
      <c r="AG665" s="71">
        <f t="array" ref="AG665">IFERROR(xlookup(G665,'Old Master'!T:T,'Old Master'!V:V),N665)</f>
        <v>0.2309468822</v>
      </c>
      <c r="AH665" s="73">
        <f t="shared" si="229"/>
        <v>999</v>
      </c>
      <c r="AI665" s="73">
        <f t="shared" si="230"/>
        <v>323.7626695</v>
      </c>
      <c r="AJ665" s="72">
        <f t="shared" si="19"/>
        <v>0.3824223724</v>
      </c>
      <c r="AK665" s="61"/>
      <c r="AL665" s="71">
        <f t="array" ref="AL665">iferror(if(isblank(xlookup($G665,'Old Master'!$T:$T,'Old Master'!$W:$W)),AG665,xlookup($G665,'Old Master'!$T:$T,'Old Master'!$W:$W)),AG665)</f>
        <v>0.2309468822</v>
      </c>
      <c r="AM665" s="74">
        <f t="shared" si="20"/>
        <v>0.2309468822</v>
      </c>
      <c r="AN665" s="73">
        <f t="shared" si="416"/>
        <v>999</v>
      </c>
    </row>
    <row r="666">
      <c r="A666" s="65" t="s">
        <v>5434</v>
      </c>
      <c r="B666" s="65" t="str">
        <f t="shared" si="1"/>
        <v>#VALUE!</v>
      </c>
      <c r="C666" s="65" t="str">
        <f t="shared" si="403"/>
        <v>#VALUE!</v>
      </c>
      <c r="D666" s="65" t="s">
        <v>3183</v>
      </c>
      <c r="E666" s="65" t="s">
        <v>3184</v>
      </c>
      <c r="F666" s="65" t="s">
        <v>3185</v>
      </c>
      <c r="G666" s="65" t="s">
        <v>5096</v>
      </c>
      <c r="H666" s="65" t="s">
        <v>4730</v>
      </c>
      <c r="I666" s="65">
        <v>2999.0</v>
      </c>
      <c r="J666" s="66">
        <v>0.15</v>
      </c>
      <c r="K666" s="65">
        <f t="shared" si="3"/>
        <v>2549</v>
      </c>
      <c r="L666" s="66">
        <v>0.15</v>
      </c>
      <c r="M666" s="65">
        <f t="shared" si="4"/>
        <v>2549</v>
      </c>
      <c r="N666" s="67">
        <f t="shared" si="404"/>
        <v>0.1333777926</v>
      </c>
      <c r="O666" s="78">
        <v>2599.0</v>
      </c>
      <c r="P666" s="67">
        <f t="shared" si="412"/>
        <v>0.1333777926</v>
      </c>
      <c r="Q666" s="79">
        <v>2599.0</v>
      </c>
      <c r="R666" s="70"/>
      <c r="S666" s="71">
        <f t="shared" si="413"/>
        <v>0.0196155355</v>
      </c>
      <c r="T666" s="72">
        <f t="shared" si="6"/>
        <v>0</v>
      </c>
      <c r="U666" s="73" t="str">
        <f t="shared" ref="U666:U698" si="417">IFERROR(XLOOKUP(A666,COGS!I:I,COGS!J:J), IFERROR(XLOOKUP(C666,COGS!I:I,COGS!J:J),""))</f>
        <v/>
      </c>
      <c r="V666" s="73">
        <f t="shared" si="340"/>
        <v>2160.169492</v>
      </c>
      <c r="W666" s="73">
        <f t="shared" si="9"/>
        <v>2160.169492</v>
      </c>
      <c r="X666" s="74">
        <f t="shared" si="10"/>
        <v>1</v>
      </c>
      <c r="Y666" s="73">
        <f t="shared" si="333"/>
        <v>0</v>
      </c>
      <c r="Z666" s="73">
        <f t="shared" si="12"/>
        <v>2202.542373</v>
      </c>
      <c r="AA666" s="73">
        <f t="shared" si="13"/>
        <v>2202.542373</v>
      </c>
      <c r="AB666" s="74">
        <f t="shared" si="14"/>
        <v>1</v>
      </c>
      <c r="AC666" s="61" t="str">
        <f t="shared" si="15"/>
        <v>9</v>
      </c>
      <c r="AD666" s="71" t="str">
        <f t="shared" si="16"/>
        <v>#DIV/0!</v>
      </c>
      <c r="AE666" s="61"/>
      <c r="AF666" s="61"/>
      <c r="AG666" s="71">
        <f t="array" ref="AG666">IFERROR(xlookup(G666,'Old Master'!T:T,'Old Master'!V:V),N666)</f>
        <v>0.1333777926</v>
      </c>
      <c r="AH666" s="73">
        <f t="shared" si="229"/>
        <v>2599</v>
      </c>
      <c r="AI666" s="73">
        <f t="shared" si="230"/>
        <v>2202.542373</v>
      </c>
      <c r="AJ666" s="72">
        <f t="shared" si="19"/>
        <v>1</v>
      </c>
      <c r="AK666" s="61"/>
      <c r="AL666" s="71">
        <f t="array" ref="AL666">iferror(if(isblank(xlookup($G666,'Old Master'!$T:$T,'Old Master'!$W:$W)),AG666,xlookup($G666,'Old Master'!$T:$T,'Old Master'!$W:$W)),AG666)</f>
        <v>0.1333777926</v>
      </c>
      <c r="AM666" s="74">
        <f t="shared" si="20"/>
        <v>0.1333777926</v>
      </c>
      <c r="AN666" s="73">
        <f t="shared" si="416"/>
        <v>2599</v>
      </c>
    </row>
    <row r="667">
      <c r="A667" s="65" t="s">
        <v>5435</v>
      </c>
      <c r="B667" s="65" t="str">
        <f t="shared" si="1"/>
        <v>#VALUE!</v>
      </c>
      <c r="C667" s="65" t="str">
        <f t="shared" si="403"/>
        <v>#VALUE!</v>
      </c>
      <c r="D667" s="65" t="s">
        <v>3171</v>
      </c>
      <c r="E667" s="65" t="s">
        <v>3172</v>
      </c>
      <c r="F667" s="65" t="s">
        <v>3173</v>
      </c>
      <c r="G667" s="65" t="s">
        <v>5096</v>
      </c>
      <c r="H667" s="65" t="s">
        <v>4730</v>
      </c>
      <c r="I667" s="65">
        <v>2999.0</v>
      </c>
      <c r="J667" s="66">
        <v>0.15</v>
      </c>
      <c r="K667" s="65">
        <f t="shared" si="3"/>
        <v>2549</v>
      </c>
      <c r="L667" s="66">
        <v>0.15</v>
      </c>
      <c r="M667" s="65">
        <f t="shared" si="4"/>
        <v>2549</v>
      </c>
      <c r="N667" s="67">
        <f t="shared" si="404"/>
        <v>0.1333777926</v>
      </c>
      <c r="O667" s="78">
        <v>2599.0</v>
      </c>
      <c r="P667" s="67">
        <f t="shared" si="412"/>
        <v>0.1333777926</v>
      </c>
      <c r="Q667" s="79">
        <v>2599.0</v>
      </c>
      <c r="R667" s="70"/>
      <c r="S667" s="71">
        <f t="shared" si="413"/>
        <v>0.0196155355</v>
      </c>
      <c r="T667" s="72">
        <f t="shared" si="6"/>
        <v>0</v>
      </c>
      <c r="U667" s="73" t="str">
        <f t="shared" si="417"/>
        <v/>
      </c>
      <c r="V667" s="73">
        <f t="shared" si="340"/>
        <v>2160.169492</v>
      </c>
      <c r="W667" s="73">
        <f t="shared" si="9"/>
        <v>2160.169492</v>
      </c>
      <c r="X667" s="74">
        <f t="shared" si="10"/>
        <v>1</v>
      </c>
      <c r="Y667" s="73">
        <f t="shared" si="333"/>
        <v>0</v>
      </c>
      <c r="Z667" s="73">
        <f t="shared" si="12"/>
        <v>2202.542373</v>
      </c>
      <c r="AA667" s="73">
        <f t="shared" si="13"/>
        <v>2202.542373</v>
      </c>
      <c r="AB667" s="74">
        <f t="shared" si="14"/>
        <v>1</v>
      </c>
      <c r="AC667" s="61" t="str">
        <f t="shared" si="15"/>
        <v>9</v>
      </c>
      <c r="AD667" s="71" t="str">
        <f t="shared" si="16"/>
        <v>#DIV/0!</v>
      </c>
      <c r="AE667" s="61"/>
      <c r="AF667" s="61"/>
      <c r="AG667" s="71">
        <f t="array" ref="AG667">IFERROR(xlookup(G667,'Old Master'!T:T,'Old Master'!V:V),N667)</f>
        <v>0.1333777926</v>
      </c>
      <c r="AH667" s="73">
        <f t="shared" si="229"/>
        <v>2599</v>
      </c>
      <c r="AI667" s="73">
        <f t="shared" si="230"/>
        <v>2202.542373</v>
      </c>
      <c r="AJ667" s="72">
        <f t="shared" si="19"/>
        <v>1</v>
      </c>
      <c r="AK667" s="61"/>
      <c r="AL667" s="71">
        <f t="array" ref="AL667">iferror(if(isblank(xlookup($G667,'Old Master'!$T:$T,'Old Master'!$W:$W)),AG667,xlookup($G667,'Old Master'!$T:$T,'Old Master'!$W:$W)),AG667)</f>
        <v>0.1333777926</v>
      </c>
      <c r="AM667" s="74">
        <f t="shared" si="20"/>
        <v>0.1333777926</v>
      </c>
      <c r="AN667" s="73">
        <f t="shared" si="416"/>
        <v>2599</v>
      </c>
    </row>
    <row r="668">
      <c r="A668" s="65" t="s">
        <v>5436</v>
      </c>
      <c r="B668" s="65" t="str">
        <f t="shared" si="1"/>
        <v>#VALUE!</v>
      </c>
      <c r="C668" s="65" t="str">
        <f t="shared" si="403"/>
        <v>#VALUE!</v>
      </c>
      <c r="D668" s="65" t="s">
        <v>3177</v>
      </c>
      <c r="E668" s="65" t="s">
        <v>3178</v>
      </c>
      <c r="F668" s="65" t="s">
        <v>3179</v>
      </c>
      <c r="G668" s="65" t="s">
        <v>5096</v>
      </c>
      <c r="H668" s="65" t="s">
        <v>4730</v>
      </c>
      <c r="I668" s="65">
        <v>2999.0</v>
      </c>
      <c r="J668" s="66">
        <v>0.15</v>
      </c>
      <c r="K668" s="65">
        <f t="shared" si="3"/>
        <v>2549</v>
      </c>
      <c r="L668" s="66">
        <v>0.15</v>
      </c>
      <c r="M668" s="65">
        <f t="shared" si="4"/>
        <v>2549</v>
      </c>
      <c r="N668" s="67">
        <f t="shared" si="404"/>
        <v>0.1333777926</v>
      </c>
      <c r="O668" s="78">
        <v>2599.0</v>
      </c>
      <c r="P668" s="67">
        <f t="shared" si="412"/>
        <v>0.1333777926</v>
      </c>
      <c r="Q668" s="79">
        <v>2599.0</v>
      </c>
      <c r="R668" s="70"/>
      <c r="S668" s="71">
        <f t="shared" si="413"/>
        <v>0.0196155355</v>
      </c>
      <c r="T668" s="72">
        <f t="shared" si="6"/>
        <v>0</v>
      </c>
      <c r="U668" s="73" t="str">
        <f t="shared" si="417"/>
        <v/>
      </c>
      <c r="V668" s="73">
        <f t="shared" si="340"/>
        <v>2160.169492</v>
      </c>
      <c r="W668" s="73">
        <f t="shared" si="9"/>
        <v>2160.169492</v>
      </c>
      <c r="X668" s="74">
        <f t="shared" si="10"/>
        <v>1</v>
      </c>
      <c r="Y668" s="73">
        <f t="shared" si="333"/>
        <v>0</v>
      </c>
      <c r="Z668" s="73">
        <f t="shared" si="12"/>
        <v>2202.542373</v>
      </c>
      <c r="AA668" s="73">
        <f t="shared" si="13"/>
        <v>2202.542373</v>
      </c>
      <c r="AB668" s="74">
        <f t="shared" si="14"/>
        <v>1</v>
      </c>
      <c r="AC668" s="61" t="str">
        <f t="shared" si="15"/>
        <v>9</v>
      </c>
      <c r="AD668" s="71" t="str">
        <f t="shared" si="16"/>
        <v>#DIV/0!</v>
      </c>
      <c r="AE668" s="61"/>
      <c r="AF668" s="61"/>
      <c r="AG668" s="71">
        <f t="array" ref="AG668">IFERROR(xlookup(G668,'Old Master'!T:T,'Old Master'!V:V),N668)</f>
        <v>0.1333777926</v>
      </c>
      <c r="AH668" s="73">
        <f t="shared" si="229"/>
        <v>2599</v>
      </c>
      <c r="AI668" s="73">
        <f t="shared" si="230"/>
        <v>2202.542373</v>
      </c>
      <c r="AJ668" s="72">
        <f t="shared" si="19"/>
        <v>1</v>
      </c>
      <c r="AK668" s="61"/>
      <c r="AL668" s="71">
        <f t="array" ref="AL668">iferror(if(isblank(xlookup($G668,'Old Master'!$T:$T,'Old Master'!$W:$W)),AG668,xlookup($G668,'Old Master'!$T:$T,'Old Master'!$W:$W)),AG668)</f>
        <v>0.1333777926</v>
      </c>
      <c r="AM668" s="74">
        <f t="shared" si="20"/>
        <v>0.1333777926</v>
      </c>
      <c r="AN668" s="73">
        <f t="shared" si="416"/>
        <v>2599</v>
      </c>
    </row>
    <row r="669">
      <c r="A669" s="65" t="s">
        <v>172</v>
      </c>
      <c r="B669" s="65">
        <f t="shared" si="1"/>
        <v>30</v>
      </c>
      <c r="C669" s="65" t="str">
        <f t="shared" si="403"/>
        <v>SC-ORIG-S-75x32x4</v>
      </c>
      <c r="D669" s="65" t="s">
        <v>174</v>
      </c>
      <c r="E669" s="65">
        <v>0.0</v>
      </c>
      <c r="F669" s="65" t="s">
        <v>175</v>
      </c>
      <c r="G669" s="65" t="s">
        <v>51</v>
      </c>
      <c r="H669" s="65" t="s">
        <v>52</v>
      </c>
      <c r="I669" s="65">
        <v>7489.0</v>
      </c>
      <c r="J669" s="66">
        <v>0.28</v>
      </c>
      <c r="K669" s="65">
        <f t="shared" si="3"/>
        <v>5392</v>
      </c>
      <c r="L669" s="66">
        <v>0.24</v>
      </c>
      <c r="M669" s="65">
        <f t="shared" si="4"/>
        <v>5692</v>
      </c>
      <c r="N669" s="67">
        <f t="shared" si="404"/>
        <v>0.1900120176</v>
      </c>
      <c r="O669" s="68">
        <v>6066.0</v>
      </c>
      <c r="P669" s="67">
        <f t="shared" si="412"/>
        <v>0.1900120176</v>
      </c>
      <c r="Q669" s="69">
        <v>6066.0</v>
      </c>
      <c r="R669" s="76"/>
      <c r="S669" s="72">
        <f t="shared" ref="S669:S705" si="418">O669/M669-1</f>
        <v>0.06570625439</v>
      </c>
      <c r="T669" s="72">
        <f t="shared" si="6"/>
        <v>0</v>
      </c>
      <c r="U669" s="73" t="str">
        <f t="shared" si="417"/>
        <v/>
      </c>
      <c r="V669" s="73">
        <f t="shared" si="340"/>
        <v>4823.728814</v>
      </c>
      <c r="W669" s="73">
        <f t="shared" si="9"/>
        <v>4823.728814</v>
      </c>
      <c r="X669" s="74">
        <f t="shared" si="10"/>
        <v>1</v>
      </c>
      <c r="Y669" s="73">
        <f t="shared" si="333"/>
        <v>0</v>
      </c>
      <c r="Z669" s="73">
        <f t="shared" si="12"/>
        <v>5140.677966</v>
      </c>
      <c r="AA669" s="73">
        <f t="shared" si="13"/>
        <v>5140.677966</v>
      </c>
      <c r="AB669" s="74">
        <f t="shared" si="14"/>
        <v>1</v>
      </c>
      <c r="AC669" s="61" t="str">
        <f t="shared" si="15"/>
        <v>4</v>
      </c>
      <c r="AD669" s="71" t="str">
        <f t="shared" si="16"/>
        <v>#DIV/0!</v>
      </c>
      <c r="AE669" s="61"/>
      <c r="AF669" s="61"/>
      <c r="AG669" s="71">
        <f t="array" ref="AG669">IFERROR(xlookup(G669,'Old Master'!T:T,'Old Master'!V:V),N669)</f>
        <v>0.1900120176</v>
      </c>
      <c r="AH669" s="73">
        <f t="shared" si="229"/>
        <v>6066</v>
      </c>
      <c r="AI669" s="73">
        <f t="shared" si="230"/>
        <v>5140.677966</v>
      </c>
      <c r="AJ669" s="72">
        <f t="shared" si="19"/>
        <v>1</v>
      </c>
      <c r="AK669" s="61"/>
      <c r="AL669" s="71">
        <f t="array" ref="AL669">iferror(if(isblank(xlookup($G669,'Old Master'!$T:$T,'Old Master'!$W:$W)),AG669,xlookup($G669,'Old Master'!$T:$T,'Old Master'!$W:$W)),AG669)</f>
        <v>0.1900120176</v>
      </c>
      <c r="AM669" s="74">
        <f t="shared" si="20"/>
        <v>0.1856055548</v>
      </c>
      <c r="AN669" s="73">
        <f t="shared" si="416"/>
        <v>6099</v>
      </c>
    </row>
    <row r="670">
      <c r="A670" s="65" t="s">
        <v>112</v>
      </c>
      <c r="B670" s="65">
        <f t="shared" si="1"/>
        <v>30</v>
      </c>
      <c r="C670" s="65" t="str">
        <f t="shared" si="403"/>
        <v>SC-ORIG-S-72x32x5</v>
      </c>
      <c r="D670" s="65" t="s">
        <v>114</v>
      </c>
      <c r="E670" s="65">
        <v>0.0</v>
      </c>
      <c r="F670" s="65" t="s">
        <v>115</v>
      </c>
      <c r="G670" s="65" t="s">
        <v>51</v>
      </c>
      <c r="H670" s="65" t="s">
        <v>52</v>
      </c>
      <c r="I670" s="65">
        <v>9019.0</v>
      </c>
      <c r="J670" s="66">
        <v>0.28</v>
      </c>
      <c r="K670" s="65">
        <f t="shared" si="3"/>
        <v>6494</v>
      </c>
      <c r="L670" s="66">
        <v>0.24</v>
      </c>
      <c r="M670" s="65">
        <f t="shared" si="4"/>
        <v>6854</v>
      </c>
      <c r="N670" s="67">
        <f t="shared" si="404"/>
        <v>0.190043242</v>
      </c>
      <c r="O670" s="68">
        <v>7305.0</v>
      </c>
      <c r="P670" s="67">
        <f t="shared" si="412"/>
        <v>0.190043242</v>
      </c>
      <c r="Q670" s="69">
        <v>7305.0</v>
      </c>
      <c r="R670" s="76"/>
      <c r="S670" s="72">
        <f t="shared" si="418"/>
        <v>0.06580099212</v>
      </c>
      <c r="T670" s="72">
        <f t="shared" si="6"/>
        <v>0</v>
      </c>
      <c r="U670" s="73" t="str">
        <f t="shared" si="417"/>
        <v/>
      </c>
      <c r="V670" s="73">
        <f t="shared" si="340"/>
        <v>5808.474576</v>
      </c>
      <c r="W670" s="73">
        <f t="shared" si="9"/>
        <v>5808.474576</v>
      </c>
      <c r="X670" s="74">
        <f t="shared" si="10"/>
        <v>1</v>
      </c>
      <c r="Y670" s="73">
        <f t="shared" si="333"/>
        <v>0</v>
      </c>
      <c r="Z670" s="73">
        <f t="shared" si="12"/>
        <v>6190.677966</v>
      </c>
      <c r="AA670" s="73">
        <f t="shared" si="13"/>
        <v>6190.677966</v>
      </c>
      <c r="AB670" s="74">
        <f t="shared" si="14"/>
        <v>1</v>
      </c>
      <c r="AC670" s="61" t="str">
        <f t="shared" si="15"/>
        <v>5</v>
      </c>
      <c r="AD670" s="71" t="str">
        <f t="shared" si="16"/>
        <v>#DIV/0!</v>
      </c>
      <c r="AE670" s="61"/>
      <c r="AF670" s="61"/>
      <c r="AG670" s="71">
        <f t="array" ref="AG670">IFERROR(xlookup(G670,'Old Master'!T:T,'Old Master'!V:V),N670)</f>
        <v>0.190043242</v>
      </c>
      <c r="AH670" s="73">
        <f t="shared" si="229"/>
        <v>7305</v>
      </c>
      <c r="AI670" s="73">
        <f t="shared" si="230"/>
        <v>6190.677966</v>
      </c>
      <c r="AJ670" s="72">
        <f t="shared" si="19"/>
        <v>1</v>
      </c>
      <c r="AK670" s="61"/>
      <c r="AL670" s="71">
        <f t="array" ref="AL670">iferror(if(isblank(xlookup($G670,'Old Master'!$T:$T,'Old Master'!$W:$W)),AG670,xlookup($G670,'Old Master'!$T:$T,'Old Master'!$W:$W)),AG670)</f>
        <v>0.190043242</v>
      </c>
      <c r="AM670" s="74">
        <f t="shared" si="20"/>
        <v>0.1907085043</v>
      </c>
      <c r="AN670" s="73">
        <f t="shared" si="416"/>
        <v>7299</v>
      </c>
    </row>
    <row r="671">
      <c r="A671" s="65" t="s">
        <v>123</v>
      </c>
      <c r="B671" s="65">
        <f t="shared" si="1"/>
        <v>30</v>
      </c>
      <c r="C671" s="65" t="str">
        <f t="shared" si="403"/>
        <v>SC-ORIG-S-75x32x5</v>
      </c>
      <c r="D671" s="65" t="s">
        <v>125</v>
      </c>
      <c r="E671" s="65">
        <v>0.0</v>
      </c>
      <c r="F671" s="65" t="s">
        <v>126</v>
      </c>
      <c r="G671" s="65" t="s">
        <v>51</v>
      </c>
      <c r="H671" s="65" t="s">
        <v>52</v>
      </c>
      <c r="I671" s="65">
        <v>9299.0</v>
      </c>
      <c r="J671" s="66">
        <v>0.28</v>
      </c>
      <c r="K671" s="65">
        <f t="shared" si="3"/>
        <v>6695</v>
      </c>
      <c r="L671" s="66">
        <v>0.24</v>
      </c>
      <c r="M671" s="65">
        <f t="shared" si="4"/>
        <v>7067</v>
      </c>
      <c r="N671" s="67">
        <f t="shared" si="404"/>
        <v>0.1900204323</v>
      </c>
      <c r="O671" s="68">
        <v>7532.0</v>
      </c>
      <c r="P671" s="67">
        <f t="shared" si="412"/>
        <v>0.1900204323</v>
      </c>
      <c r="Q671" s="69">
        <v>7532.0</v>
      </c>
      <c r="R671" s="76"/>
      <c r="S671" s="72">
        <f t="shared" si="418"/>
        <v>0.06579878308</v>
      </c>
      <c r="T671" s="72">
        <f t="shared" si="6"/>
        <v>0</v>
      </c>
      <c r="U671" s="73" t="str">
        <f t="shared" si="417"/>
        <v/>
      </c>
      <c r="V671" s="73">
        <f t="shared" si="340"/>
        <v>5988.983051</v>
      </c>
      <c r="W671" s="73">
        <f t="shared" si="9"/>
        <v>5988.983051</v>
      </c>
      <c r="X671" s="74">
        <f t="shared" si="10"/>
        <v>1</v>
      </c>
      <c r="Y671" s="73">
        <f t="shared" si="333"/>
        <v>0</v>
      </c>
      <c r="Z671" s="73">
        <f t="shared" si="12"/>
        <v>6383.050847</v>
      </c>
      <c r="AA671" s="73">
        <f t="shared" si="13"/>
        <v>6383.050847</v>
      </c>
      <c r="AB671" s="74">
        <f t="shared" si="14"/>
        <v>1</v>
      </c>
      <c r="AC671" s="61" t="str">
        <f t="shared" si="15"/>
        <v>5</v>
      </c>
      <c r="AD671" s="71" t="str">
        <f t="shared" si="16"/>
        <v>#DIV/0!</v>
      </c>
      <c r="AE671" s="61"/>
      <c r="AF671" s="61"/>
      <c r="AG671" s="71">
        <f t="array" ref="AG671">IFERROR(xlookup(G671,'Old Master'!T:T,'Old Master'!V:V),N671)</f>
        <v>0.1900204323</v>
      </c>
      <c r="AH671" s="73">
        <f t="shared" si="229"/>
        <v>7532</v>
      </c>
      <c r="AI671" s="73">
        <f t="shared" si="230"/>
        <v>6383.050847</v>
      </c>
      <c r="AJ671" s="72">
        <f t="shared" si="19"/>
        <v>1</v>
      </c>
      <c r="AK671" s="61"/>
      <c r="AL671" s="71">
        <f t="array" ref="AL671">iferror(if(isblank(xlookup($G671,'Old Master'!$T:$T,'Old Master'!$W:$W)),AG671,xlookup($G671,'Old Master'!$T:$T,'Old Master'!$W:$W)),AG671)</f>
        <v>0.1900204323</v>
      </c>
      <c r="AM671" s="74">
        <f t="shared" si="20"/>
        <v>0.193569201</v>
      </c>
      <c r="AN671" s="73">
        <f t="shared" si="416"/>
        <v>7499</v>
      </c>
    </row>
    <row r="672">
      <c r="A672" s="65" t="s">
        <v>129</v>
      </c>
      <c r="B672" s="65">
        <f t="shared" si="1"/>
        <v>30</v>
      </c>
      <c r="C672" s="65" t="str">
        <f t="shared" si="403"/>
        <v>SC-ORIG-S-78x32x5</v>
      </c>
      <c r="D672" s="65" t="s">
        <v>131</v>
      </c>
      <c r="E672" s="65">
        <v>0.0</v>
      </c>
      <c r="F672" s="65" t="s">
        <v>132</v>
      </c>
      <c r="G672" s="65" t="s">
        <v>51</v>
      </c>
      <c r="H672" s="65" t="s">
        <v>52</v>
      </c>
      <c r="I672" s="65">
        <v>9439.0</v>
      </c>
      <c r="J672" s="66">
        <v>0.28</v>
      </c>
      <c r="K672" s="65">
        <f t="shared" si="3"/>
        <v>6796</v>
      </c>
      <c r="L672" s="66">
        <v>0.24</v>
      </c>
      <c r="M672" s="65">
        <f t="shared" si="4"/>
        <v>7174</v>
      </c>
      <c r="N672" s="67">
        <f t="shared" si="404"/>
        <v>0.1899565632</v>
      </c>
      <c r="O672" s="68">
        <v>7646.0</v>
      </c>
      <c r="P672" s="67">
        <f t="shared" si="412"/>
        <v>0.1899565632</v>
      </c>
      <c r="Q672" s="69">
        <v>7646.0</v>
      </c>
      <c r="R672" s="76"/>
      <c r="S672" s="72">
        <f t="shared" si="418"/>
        <v>0.0657931419</v>
      </c>
      <c r="T672" s="72">
        <f t="shared" si="6"/>
        <v>0</v>
      </c>
      <c r="U672" s="73" t="str">
        <f t="shared" si="417"/>
        <v/>
      </c>
      <c r="V672" s="73">
        <f t="shared" si="340"/>
        <v>6079.661017</v>
      </c>
      <c r="W672" s="73">
        <f t="shared" si="9"/>
        <v>6079.661017</v>
      </c>
      <c r="X672" s="74">
        <f t="shared" si="10"/>
        <v>1</v>
      </c>
      <c r="Y672" s="73">
        <f t="shared" si="333"/>
        <v>0</v>
      </c>
      <c r="Z672" s="73">
        <f t="shared" si="12"/>
        <v>6479.661017</v>
      </c>
      <c r="AA672" s="73">
        <f t="shared" si="13"/>
        <v>6479.661017</v>
      </c>
      <c r="AB672" s="74">
        <f t="shared" si="14"/>
        <v>1</v>
      </c>
      <c r="AC672" s="61" t="str">
        <f t="shared" si="15"/>
        <v>5</v>
      </c>
      <c r="AD672" s="71" t="str">
        <f t="shared" si="16"/>
        <v>#DIV/0!</v>
      </c>
      <c r="AE672" s="61"/>
      <c r="AF672" s="61"/>
      <c r="AG672" s="71">
        <f t="array" ref="AG672">IFERROR(xlookup(G672,'Old Master'!T:T,'Old Master'!V:V),N672)</f>
        <v>0.1899565632</v>
      </c>
      <c r="AH672" s="73">
        <f t="shared" si="229"/>
        <v>7646</v>
      </c>
      <c r="AI672" s="73">
        <f t="shared" si="230"/>
        <v>6479.661017</v>
      </c>
      <c r="AJ672" s="72">
        <f t="shared" si="19"/>
        <v>1</v>
      </c>
      <c r="AK672" s="61"/>
      <c r="AL672" s="71">
        <f t="array" ref="AL672">iferror(if(isblank(xlookup($G672,'Old Master'!$T:$T,'Old Master'!$W:$W)),AG672,xlookup($G672,'Old Master'!$T:$T,'Old Master'!$W:$W)),AG672)</f>
        <v>0.1899565632</v>
      </c>
      <c r="AM672" s="74">
        <f t="shared" si="20"/>
        <v>0.1949359042</v>
      </c>
      <c r="AN672" s="73">
        <f t="shared" si="416"/>
        <v>7599</v>
      </c>
    </row>
    <row r="673">
      <c r="A673" s="65" t="s">
        <v>195</v>
      </c>
      <c r="B673" s="65">
        <f t="shared" si="1"/>
        <v>36</v>
      </c>
      <c r="C673" s="65" t="str">
        <f t="shared" si="403"/>
        <v>SC-ORIG-S-78x38x4</v>
      </c>
      <c r="D673" s="65" t="s">
        <v>197</v>
      </c>
      <c r="E673" s="65">
        <v>0.0</v>
      </c>
      <c r="F673" s="65" t="s">
        <v>198</v>
      </c>
      <c r="G673" s="65" t="s">
        <v>51</v>
      </c>
      <c r="H673" s="65" t="s">
        <v>52</v>
      </c>
      <c r="I673" s="65">
        <v>8279.0</v>
      </c>
      <c r="J673" s="66">
        <v>0.28</v>
      </c>
      <c r="K673" s="65">
        <f t="shared" si="3"/>
        <v>5961</v>
      </c>
      <c r="L673" s="66">
        <v>0.24</v>
      </c>
      <c r="M673" s="65">
        <f t="shared" si="4"/>
        <v>6292</v>
      </c>
      <c r="N673" s="67">
        <f t="shared" si="404"/>
        <v>0.1899987921</v>
      </c>
      <c r="O673" s="68">
        <v>6706.0</v>
      </c>
      <c r="P673" s="67">
        <f t="shared" si="412"/>
        <v>0.1899987921</v>
      </c>
      <c r="Q673" s="69">
        <v>6706.0</v>
      </c>
      <c r="R673" s="76"/>
      <c r="S673" s="72">
        <f t="shared" si="418"/>
        <v>0.06579783853</v>
      </c>
      <c r="T673" s="72">
        <f t="shared" si="6"/>
        <v>0</v>
      </c>
      <c r="U673" s="73" t="str">
        <f t="shared" si="417"/>
        <v/>
      </c>
      <c r="V673" s="73">
        <f t="shared" si="340"/>
        <v>5332.20339</v>
      </c>
      <c r="W673" s="73">
        <f t="shared" si="9"/>
        <v>5332.20339</v>
      </c>
      <c r="X673" s="74">
        <f t="shared" si="10"/>
        <v>1</v>
      </c>
      <c r="Y673" s="73">
        <f t="shared" si="333"/>
        <v>0</v>
      </c>
      <c r="Z673" s="73">
        <f t="shared" si="12"/>
        <v>5683.050847</v>
      </c>
      <c r="AA673" s="73">
        <f t="shared" si="13"/>
        <v>5683.050847</v>
      </c>
      <c r="AB673" s="74">
        <f t="shared" si="14"/>
        <v>1</v>
      </c>
      <c r="AC673" s="61" t="str">
        <f t="shared" si="15"/>
        <v>4</v>
      </c>
      <c r="AD673" s="71" t="str">
        <f t="shared" si="16"/>
        <v>#DIV/0!</v>
      </c>
      <c r="AE673" s="61"/>
      <c r="AF673" s="61"/>
      <c r="AG673" s="71">
        <f t="array" ref="AG673">IFERROR(xlookup(G673,'Old Master'!T:T,'Old Master'!V:V),N673)</f>
        <v>0.1899987921</v>
      </c>
      <c r="AH673" s="73">
        <f t="shared" si="229"/>
        <v>6706</v>
      </c>
      <c r="AI673" s="73">
        <f t="shared" si="230"/>
        <v>5683.050847</v>
      </c>
      <c r="AJ673" s="72">
        <f t="shared" si="19"/>
        <v>1</v>
      </c>
      <c r="AK673" s="61"/>
      <c r="AL673" s="71">
        <f t="array" ref="AL673">iferror(if(isblank(xlookup($G673,'Old Master'!$T:$T,'Old Master'!$W:$W)),AG673,xlookup($G673,'Old Master'!$T:$T,'Old Master'!$W:$W)),AG673)</f>
        <v>0.1899987921</v>
      </c>
      <c r="AM673" s="74">
        <f t="shared" si="20"/>
        <v>0.1908443049</v>
      </c>
      <c r="AN673" s="73">
        <f t="shared" si="416"/>
        <v>6699</v>
      </c>
    </row>
    <row r="674">
      <c r="A674" s="65" t="s">
        <v>117</v>
      </c>
      <c r="B674" s="65">
        <f t="shared" si="1"/>
        <v>36</v>
      </c>
      <c r="C674" s="65" t="str">
        <f t="shared" si="403"/>
        <v>SC-ORIG-S-72x38x5</v>
      </c>
      <c r="D674" s="65" t="s">
        <v>119</v>
      </c>
      <c r="E674" s="65">
        <v>0.0</v>
      </c>
      <c r="F674" s="65" t="s">
        <v>120</v>
      </c>
      <c r="G674" s="65" t="s">
        <v>51</v>
      </c>
      <c r="H674" s="65" t="s">
        <v>52</v>
      </c>
      <c r="I674" s="65">
        <v>9989.0</v>
      </c>
      <c r="J674" s="66">
        <v>0.28</v>
      </c>
      <c r="K674" s="65">
        <f t="shared" si="3"/>
        <v>7192</v>
      </c>
      <c r="L674" s="66">
        <v>0.24</v>
      </c>
      <c r="M674" s="65">
        <f t="shared" si="4"/>
        <v>7592</v>
      </c>
      <c r="N674" s="67">
        <f t="shared" si="404"/>
        <v>0.1900090099</v>
      </c>
      <c r="O674" s="68">
        <v>8091.0</v>
      </c>
      <c r="P674" s="67">
        <f t="shared" si="412"/>
        <v>0.1900090099</v>
      </c>
      <c r="Q674" s="69">
        <v>8091.0</v>
      </c>
      <c r="R674" s="76"/>
      <c r="S674" s="72">
        <f t="shared" si="418"/>
        <v>0.06572708114</v>
      </c>
      <c r="T674" s="72">
        <f t="shared" si="6"/>
        <v>0</v>
      </c>
      <c r="U674" s="73" t="str">
        <f t="shared" si="417"/>
        <v/>
      </c>
      <c r="V674" s="73">
        <f t="shared" si="340"/>
        <v>6433.898305</v>
      </c>
      <c r="W674" s="73">
        <f t="shared" si="9"/>
        <v>6433.898305</v>
      </c>
      <c r="X674" s="74">
        <f t="shared" si="10"/>
        <v>1</v>
      </c>
      <c r="Y674" s="73">
        <f t="shared" si="333"/>
        <v>0</v>
      </c>
      <c r="Z674" s="73">
        <f t="shared" si="12"/>
        <v>6856.779661</v>
      </c>
      <c r="AA674" s="73">
        <f t="shared" si="13"/>
        <v>6856.779661</v>
      </c>
      <c r="AB674" s="74">
        <f t="shared" si="14"/>
        <v>1</v>
      </c>
      <c r="AC674" s="61" t="str">
        <f t="shared" si="15"/>
        <v>5</v>
      </c>
      <c r="AD674" s="71" t="str">
        <f t="shared" si="16"/>
        <v>#DIV/0!</v>
      </c>
      <c r="AE674" s="61"/>
      <c r="AF674" s="61"/>
      <c r="AG674" s="71">
        <f t="array" ref="AG674">IFERROR(xlookup(G674,'Old Master'!T:T,'Old Master'!V:V),N674)</f>
        <v>0.1900090099</v>
      </c>
      <c r="AH674" s="73">
        <f t="shared" si="229"/>
        <v>8091</v>
      </c>
      <c r="AI674" s="73">
        <f t="shared" si="230"/>
        <v>6856.779661</v>
      </c>
      <c r="AJ674" s="72">
        <f t="shared" si="19"/>
        <v>1</v>
      </c>
      <c r="AK674" s="61"/>
      <c r="AL674" s="71">
        <f t="array" ref="AL674">iferror(if(isblank(xlookup($G674,'Old Master'!$T:$T,'Old Master'!$W:$W)),AG674,xlookup($G674,'Old Master'!$T:$T,'Old Master'!$W:$W)),AG674)</f>
        <v>0.1900090099</v>
      </c>
      <c r="AM674" s="74">
        <f t="shared" si="20"/>
        <v>0.1892081289</v>
      </c>
      <c r="AN674" s="73">
        <f t="shared" si="416"/>
        <v>8099</v>
      </c>
    </row>
    <row r="675">
      <c r="A675" s="65" t="s">
        <v>309</v>
      </c>
      <c r="B675" s="65">
        <f t="shared" si="1"/>
        <v>42</v>
      </c>
      <c r="C675" s="65" t="str">
        <f t="shared" si="403"/>
        <v>SC-ORIG-D-75x44x4</v>
      </c>
      <c r="D675" s="65" t="s">
        <v>311</v>
      </c>
      <c r="E675" s="65">
        <v>0.0</v>
      </c>
      <c r="F675" s="65" t="s">
        <v>312</v>
      </c>
      <c r="G675" s="65" t="s">
        <v>51</v>
      </c>
      <c r="H675" s="65" t="s">
        <v>52</v>
      </c>
      <c r="I675" s="65">
        <v>9069.0</v>
      </c>
      <c r="J675" s="66">
        <v>0.28</v>
      </c>
      <c r="K675" s="65">
        <f t="shared" si="3"/>
        <v>6530</v>
      </c>
      <c r="L675" s="66">
        <v>0.24</v>
      </c>
      <c r="M675" s="65">
        <f t="shared" si="4"/>
        <v>6892</v>
      </c>
      <c r="N675" s="67">
        <f t="shared" si="404"/>
        <v>0.1899878708</v>
      </c>
      <c r="O675" s="68">
        <v>7346.0</v>
      </c>
      <c r="P675" s="67">
        <f t="shared" si="412"/>
        <v>0.1899878708</v>
      </c>
      <c r="Q675" s="69">
        <v>7346.0</v>
      </c>
      <c r="R675" s="76"/>
      <c r="S675" s="72">
        <f t="shared" si="418"/>
        <v>0.06587347649</v>
      </c>
      <c r="T675" s="72">
        <f t="shared" si="6"/>
        <v>0</v>
      </c>
      <c r="U675" s="73" t="str">
        <f t="shared" si="417"/>
        <v/>
      </c>
      <c r="V675" s="73">
        <f t="shared" si="340"/>
        <v>5840.677966</v>
      </c>
      <c r="W675" s="73">
        <f t="shared" si="9"/>
        <v>5840.677966</v>
      </c>
      <c r="X675" s="74">
        <f t="shared" si="10"/>
        <v>1</v>
      </c>
      <c r="Y675" s="73">
        <f t="shared" si="333"/>
        <v>0</v>
      </c>
      <c r="Z675" s="73">
        <f t="shared" si="12"/>
        <v>6225.423729</v>
      </c>
      <c r="AA675" s="73">
        <f t="shared" si="13"/>
        <v>6225.423729</v>
      </c>
      <c r="AB675" s="74">
        <f t="shared" si="14"/>
        <v>1</v>
      </c>
      <c r="AC675" s="61" t="str">
        <f t="shared" si="15"/>
        <v>4</v>
      </c>
      <c r="AD675" s="71" t="str">
        <f t="shared" si="16"/>
        <v>#DIV/0!</v>
      </c>
      <c r="AE675" s="61"/>
      <c r="AF675" s="61"/>
      <c r="AG675" s="71">
        <f t="array" ref="AG675">IFERROR(xlookup(G675,'Old Master'!T:T,'Old Master'!V:V),N675)</f>
        <v>0.1899878708</v>
      </c>
      <c r="AH675" s="73">
        <f t="shared" si="229"/>
        <v>7346</v>
      </c>
      <c r="AI675" s="73">
        <f t="shared" si="230"/>
        <v>6225.423729</v>
      </c>
      <c r="AJ675" s="72">
        <f t="shared" si="19"/>
        <v>1</v>
      </c>
      <c r="AK675" s="61"/>
      <c r="AL675" s="71">
        <f t="array" ref="AL675">iferror(if(isblank(xlookup($G675,'Old Master'!$T:$T,'Old Master'!$W:$W)),AG675,xlookup($G675,'Old Master'!$T:$T,'Old Master'!$W:$W)),AG675)</f>
        <v>0.1899878708</v>
      </c>
      <c r="AM675" s="74">
        <f t="shared" si="20"/>
        <v>0.1951703606</v>
      </c>
      <c r="AN675" s="73">
        <f t="shared" si="416"/>
        <v>7299</v>
      </c>
    </row>
    <row r="676">
      <c r="A676" s="65" t="s">
        <v>4920</v>
      </c>
      <c r="B676" s="65">
        <f t="shared" si="1"/>
        <v>42</v>
      </c>
      <c r="C676" s="65" t="str">
        <f t="shared" si="403"/>
        <v>SC-ORIG-D-78x44x4</v>
      </c>
      <c r="D676" s="65" t="s">
        <v>5281</v>
      </c>
      <c r="E676" s="65">
        <v>0.0</v>
      </c>
      <c r="F676" s="65" t="s">
        <v>4923</v>
      </c>
      <c r="G676" s="65" t="s">
        <v>51</v>
      </c>
      <c r="H676" s="65" t="s">
        <v>52</v>
      </c>
      <c r="I676" s="65">
        <v>9199.0</v>
      </c>
      <c r="J676" s="66">
        <v>0.28</v>
      </c>
      <c r="K676" s="65">
        <f t="shared" si="3"/>
        <v>6623</v>
      </c>
      <c r="L676" s="66">
        <v>0.24</v>
      </c>
      <c r="M676" s="65">
        <f t="shared" si="4"/>
        <v>6991</v>
      </c>
      <c r="N676" s="67">
        <f t="shared" si="404"/>
        <v>0.1900206544</v>
      </c>
      <c r="O676" s="68">
        <v>7451.0</v>
      </c>
      <c r="P676" s="67">
        <f t="shared" si="412"/>
        <v>0.1900206544</v>
      </c>
      <c r="Q676" s="69">
        <v>7451.0</v>
      </c>
      <c r="R676" s="76"/>
      <c r="S676" s="72">
        <f t="shared" si="418"/>
        <v>0.06579888428</v>
      </c>
      <c r="T676" s="72">
        <f t="shared" si="6"/>
        <v>0</v>
      </c>
      <c r="U676" s="73" t="str">
        <f t="shared" si="417"/>
        <v/>
      </c>
      <c r="V676" s="73">
        <f t="shared" si="340"/>
        <v>5924.576271</v>
      </c>
      <c r="W676" s="73">
        <f t="shared" si="9"/>
        <v>5924.576271</v>
      </c>
      <c r="X676" s="74">
        <f t="shared" si="10"/>
        <v>1</v>
      </c>
      <c r="Y676" s="73">
        <f t="shared" si="333"/>
        <v>0</v>
      </c>
      <c r="Z676" s="73">
        <f t="shared" si="12"/>
        <v>6314.40678</v>
      </c>
      <c r="AA676" s="73">
        <f t="shared" si="13"/>
        <v>6314.40678</v>
      </c>
      <c r="AB676" s="74">
        <f t="shared" si="14"/>
        <v>1</v>
      </c>
      <c r="AC676" s="61" t="str">
        <f t="shared" si="15"/>
        <v>4</v>
      </c>
      <c r="AD676" s="71" t="str">
        <f t="shared" si="16"/>
        <v>#DIV/0!</v>
      </c>
      <c r="AE676" s="61"/>
      <c r="AF676" s="61"/>
      <c r="AG676" s="71">
        <f t="array" ref="AG676">IFERROR(xlookup(G676,'Old Master'!T:T,'Old Master'!V:V),N676)</f>
        <v>0.1900206544</v>
      </c>
      <c r="AH676" s="73">
        <f t="shared" si="229"/>
        <v>7451</v>
      </c>
      <c r="AI676" s="73">
        <f t="shared" si="230"/>
        <v>6314.40678</v>
      </c>
      <c r="AJ676" s="72">
        <f t="shared" si="19"/>
        <v>1</v>
      </c>
      <c r="AK676" s="61"/>
      <c r="AL676" s="71">
        <f t="array" ref="AL676">iferror(if(isblank(xlookup($G676,'Old Master'!$T:$T,'Old Master'!$W:$W)),AG676,xlookup($G676,'Old Master'!$T:$T,'Old Master'!$W:$W)),AG676)</f>
        <v>0.1900206544</v>
      </c>
      <c r="AM676" s="74">
        <f t="shared" si="20"/>
        <v>0.1848026959</v>
      </c>
      <c r="AN676" s="73">
        <f t="shared" si="416"/>
        <v>7499</v>
      </c>
    </row>
    <row r="677">
      <c r="A677" s="65" t="s">
        <v>284</v>
      </c>
      <c r="B677" s="65">
        <f t="shared" si="1"/>
        <v>48</v>
      </c>
      <c r="C677" s="65" t="str">
        <f t="shared" si="403"/>
        <v>SC-ORIG-D-72x50x5</v>
      </c>
      <c r="D677" s="65" t="s">
        <v>286</v>
      </c>
      <c r="E677" s="65">
        <v>0.0</v>
      </c>
      <c r="F677" s="65" t="s">
        <v>287</v>
      </c>
      <c r="G677" s="65" t="s">
        <v>51</v>
      </c>
      <c r="H677" s="65" t="s">
        <v>52</v>
      </c>
      <c r="I677" s="65">
        <v>12489.0</v>
      </c>
      <c r="J677" s="66">
        <v>0.28</v>
      </c>
      <c r="K677" s="65">
        <f t="shared" si="3"/>
        <v>8992</v>
      </c>
      <c r="L677" s="66">
        <v>0.24</v>
      </c>
      <c r="M677" s="65">
        <f t="shared" si="4"/>
        <v>9492</v>
      </c>
      <c r="N677" s="67">
        <f t="shared" si="404"/>
        <v>0.1900072063</v>
      </c>
      <c r="O677" s="68">
        <v>10116.0</v>
      </c>
      <c r="P677" s="67">
        <f t="shared" si="412"/>
        <v>0.1900072063</v>
      </c>
      <c r="Q677" s="69">
        <v>10116.0</v>
      </c>
      <c r="R677" s="76"/>
      <c r="S677" s="72">
        <f t="shared" si="418"/>
        <v>0.06573957016</v>
      </c>
      <c r="T677" s="72">
        <f t="shared" si="6"/>
        <v>0</v>
      </c>
      <c r="U677" s="73" t="str">
        <f t="shared" si="417"/>
        <v/>
      </c>
      <c r="V677" s="73">
        <f t="shared" si="340"/>
        <v>8044.067797</v>
      </c>
      <c r="W677" s="73">
        <f t="shared" si="9"/>
        <v>8044.067797</v>
      </c>
      <c r="X677" s="74">
        <f t="shared" si="10"/>
        <v>1</v>
      </c>
      <c r="Y677" s="73">
        <f t="shared" si="333"/>
        <v>0</v>
      </c>
      <c r="Z677" s="73">
        <f t="shared" si="12"/>
        <v>8572.881356</v>
      </c>
      <c r="AA677" s="73">
        <f t="shared" si="13"/>
        <v>8572.881356</v>
      </c>
      <c r="AB677" s="74">
        <f t="shared" si="14"/>
        <v>1</v>
      </c>
      <c r="AC677" s="61" t="str">
        <f t="shared" si="15"/>
        <v>5</v>
      </c>
      <c r="AD677" s="71" t="str">
        <f t="shared" si="16"/>
        <v>#DIV/0!</v>
      </c>
      <c r="AE677" s="61"/>
      <c r="AF677" s="61"/>
      <c r="AG677" s="71">
        <f t="array" ref="AG677">IFERROR(xlookup(G677,'Old Master'!T:T,'Old Master'!V:V),N677)</f>
        <v>0.1900072063</v>
      </c>
      <c r="AH677" s="73">
        <f t="shared" si="229"/>
        <v>10116</v>
      </c>
      <c r="AI677" s="73">
        <f t="shared" si="230"/>
        <v>8572.881356</v>
      </c>
      <c r="AJ677" s="72">
        <f t="shared" si="19"/>
        <v>1</v>
      </c>
      <c r="AK677" s="61"/>
      <c r="AL677" s="71">
        <f t="array" ref="AL677">iferror(if(isblank(xlookup($G677,'Old Master'!$T:$T,'Old Master'!$W:$W)),AG677,xlookup($G677,'Old Master'!$T:$T,'Old Master'!$W:$W)),AG677)</f>
        <v>0.1900072063</v>
      </c>
      <c r="AM677" s="74">
        <f t="shared" si="20"/>
        <v>0.1913684042</v>
      </c>
      <c r="AN677" s="73">
        <f t="shared" si="416"/>
        <v>10099</v>
      </c>
    </row>
    <row r="678">
      <c r="A678" s="65" t="s">
        <v>299</v>
      </c>
      <c r="B678" s="65">
        <f t="shared" si="1"/>
        <v>48</v>
      </c>
      <c r="C678" s="65" t="str">
        <f t="shared" si="403"/>
        <v>SC-ORIG-D-84x50x5</v>
      </c>
      <c r="D678" s="65" t="s">
        <v>301</v>
      </c>
      <c r="E678" s="65">
        <v>0.0</v>
      </c>
      <c r="F678" s="65" t="s">
        <v>302</v>
      </c>
      <c r="G678" s="65" t="s">
        <v>51</v>
      </c>
      <c r="H678" s="65" t="s">
        <v>52</v>
      </c>
      <c r="I678" s="65">
        <v>13599.0</v>
      </c>
      <c r="J678" s="66">
        <v>0.28</v>
      </c>
      <c r="K678" s="65">
        <f t="shared" si="3"/>
        <v>9791</v>
      </c>
      <c r="L678" s="66">
        <v>0.24</v>
      </c>
      <c r="M678" s="65">
        <f t="shared" si="4"/>
        <v>10335</v>
      </c>
      <c r="N678" s="67">
        <f t="shared" si="404"/>
        <v>0.1900139716</v>
      </c>
      <c r="O678" s="68">
        <v>11015.0</v>
      </c>
      <c r="P678" s="67">
        <f t="shared" si="412"/>
        <v>0.1900139716</v>
      </c>
      <c r="Q678" s="69">
        <v>11015.0</v>
      </c>
      <c r="R678" s="76"/>
      <c r="S678" s="72">
        <f t="shared" si="418"/>
        <v>0.06579583938</v>
      </c>
      <c r="T678" s="72">
        <f t="shared" si="6"/>
        <v>0</v>
      </c>
      <c r="U678" s="73" t="str">
        <f t="shared" si="417"/>
        <v/>
      </c>
      <c r="V678" s="73">
        <f t="shared" si="340"/>
        <v>8758.474576</v>
      </c>
      <c r="W678" s="73">
        <f t="shared" si="9"/>
        <v>8758.474576</v>
      </c>
      <c r="X678" s="74">
        <f t="shared" si="10"/>
        <v>1</v>
      </c>
      <c r="Y678" s="73">
        <f t="shared" si="333"/>
        <v>0</v>
      </c>
      <c r="Z678" s="73">
        <f t="shared" si="12"/>
        <v>9334.745763</v>
      </c>
      <c r="AA678" s="73">
        <f t="shared" si="13"/>
        <v>9334.745763</v>
      </c>
      <c r="AB678" s="74">
        <f t="shared" si="14"/>
        <v>1</v>
      </c>
      <c r="AC678" s="61" t="str">
        <f t="shared" si="15"/>
        <v>5</v>
      </c>
      <c r="AD678" s="71" t="str">
        <f t="shared" si="16"/>
        <v>#DIV/0!</v>
      </c>
      <c r="AE678" s="61"/>
      <c r="AF678" s="61"/>
      <c r="AG678" s="71">
        <f t="array" ref="AG678">IFERROR(xlookup(G678,'Old Master'!T:T,'Old Master'!V:V),N678)</f>
        <v>0.1900139716</v>
      </c>
      <c r="AH678" s="73">
        <f t="shared" si="229"/>
        <v>11015</v>
      </c>
      <c r="AI678" s="73">
        <f t="shared" si="230"/>
        <v>9334.745763</v>
      </c>
      <c r="AJ678" s="72">
        <f t="shared" si="19"/>
        <v>1</v>
      </c>
      <c r="AK678" s="61"/>
      <c r="AL678" s="71">
        <f t="array" ref="AL678">iferror(if(isblank(xlookup($G678,'Old Master'!$T:$T,'Old Master'!$W:$W)),AG678,xlookup($G678,'Old Master'!$T:$T,'Old Master'!$W:$W)),AG678)</f>
        <v>0.1900139716</v>
      </c>
      <c r="AM678" s="74">
        <f t="shared" si="20"/>
        <v>0.1911905287</v>
      </c>
      <c r="AN678" s="73">
        <f t="shared" si="416"/>
        <v>10999</v>
      </c>
    </row>
    <row r="679">
      <c r="A679" s="65" t="s">
        <v>540</v>
      </c>
      <c r="B679" s="65">
        <f t="shared" si="1"/>
        <v>66</v>
      </c>
      <c r="C679" s="65" t="str">
        <f t="shared" si="403"/>
        <v>SC-ORIG-Q-72x68x4</v>
      </c>
      <c r="D679" s="65" t="s">
        <v>542</v>
      </c>
      <c r="E679" s="65">
        <v>0.0</v>
      </c>
      <c r="F679" s="65" t="s">
        <v>543</v>
      </c>
      <c r="G679" s="65" t="s">
        <v>51</v>
      </c>
      <c r="H679" s="65" t="s">
        <v>52</v>
      </c>
      <c r="I679" s="65">
        <v>12229.0</v>
      </c>
      <c r="J679" s="66">
        <v>0.28</v>
      </c>
      <c r="K679" s="65">
        <f t="shared" si="3"/>
        <v>8805</v>
      </c>
      <c r="L679" s="66">
        <v>0.24</v>
      </c>
      <c r="M679" s="65">
        <f t="shared" si="4"/>
        <v>9294</v>
      </c>
      <c r="N679" s="67">
        <f t="shared" si="404"/>
        <v>0.1900400687</v>
      </c>
      <c r="O679" s="68">
        <v>9905.0</v>
      </c>
      <c r="P679" s="67">
        <f t="shared" si="412"/>
        <v>0.1900400687</v>
      </c>
      <c r="Q679" s="69">
        <v>9905.0</v>
      </c>
      <c r="R679" s="76"/>
      <c r="S679" s="72">
        <f t="shared" si="418"/>
        <v>0.0657413385</v>
      </c>
      <c r="T679" s="72">
        <f t="shared" si="6"/>
        <v>0</v>
      </c>
      <c r="U679" s="73" t="str">
        <f t="shared" si="417"/>
        <v/>
      </c>
      <c r="V679" s="73">
        <f t="shared" si="340"/>
        <v>7876.271186</v>
      </c>
      <c r="W679" s="73">
        <f t="shared" si="9"/>
        <v>7876.271186</v>
      </c>
      <c r="X679" s="74">
        <f t="shared" si="10"/>
        <v>1</v>
      </c>
      <c r="Y679" s="73">
        <f t="shared" si="333"/>
        <v>0</v>
      </c>
      <c r="Z679" s="73">
        <f t="shared" si="12"/>
        <v>8394.067797</v>
      </c>
      <c r="AA679" s="73">
        <f t="shared" si="13"/>
        <v>8394.067797</v>
      </c>
      <c r="AB679" s="74">
        <f t="shared" si="14"/>
        <v>1</v>
      </c>
      <c r="AC679" s="61" t="str">
        <f t="shared" si="15"/>
        <v>4</v>
      </c>
      <c r="AD679" s="71" t="str">
        <f t="shared" si="16"/>
        <v>#DIV/0!</v>
      </c>
      <c r="AE679" s="61"/>
      <c r="AF679" s="61"/>
      <c r="AG679" s="71">
        <f t="array" ref="AG679">IFERROR(xlookup(G679,'Old Master'!T:T,'Old Master'!V:V),N679)</f>
        <v>0.1900400687</v>
      </c>
      <c r="AH679" s="73">
        <f t="shared" si="229"/>
        <v>9905</v>
      </c>
      <c r="AI679" s="73">
        <f t="shared" si="230"/>
        <v>8394.067797</v>
      </c>
      <c r="AJ679" s="72">
        <f t="shared" si="19"/>
        <v>1</v>
      </c>
      <c r="AK679" s="61"/>
      <c r="AL679" s="71">
        <f t="array" ref="AL679">iferror(if(isblank(xlookup($G679,'Old Master'!$T:$T,'Old Master'!$W:$W)),AG679,xlookup($G679,'Old Master'!$T:$T,'Old Master'!$W:$W)),AG679)</f>
        <v>0.1900400687</v>
      </c>
      <c r="AM679" s="74">
        <f t="shared" si="20"/>
        <v>0.1905307057</v>
      </c>
      <c r="AN679" s="73">
        <f t="shared" si="416"/>
        <v>9899</v>
      </c>
    </row>
    <row r="680">
      <c r="A680" s="65" t="s">
        <v>552</v>
      </c>
      <c r="B680" s="65">
        <f t="shared" si="1"/>
        <v>60</v>
      </c>
      <c r="C680" s="65" t="str">
        <f t="shared" si="403"/>
        <v>SC-ORIG-Q-84x62x4</v>
      </c>
      <c r="D680" s="65" t="s">
        <v>554</v>
      </c>
      <c r="E680" s="65">
        <v>0.0</v>
      </c>
      <c r="F680" s="65" t="s">
        <v>555</v>
      </c>
      <c r="G680" s="65" t="s">
        <v>51</v>
      </c>
      <c r="H680" s="65" t="s">
        <v>52</v>
      </c>
      <c r="I680" s="65">
        <v>12889.0</v>
      </c>
      <c r="J680" s="66">
        <v>0.28</v>
      </c>
      <c r="K680" s="65">
        <f t="shared" si="3"/>
        <v>9280</v>
      </c>
      <c r="L680" s="66">
        <v>0.24</v>
      </c>
      <c r="M680" s="65">
        <f t="shared" si="4"/>
        <v>9796</v>
      </c>
      <c r="N680" s="67">
        <f t="shared" si="404"/>
        <v>0.1900069827</v>
      </c>
      <c r="O680" s="68">
        <v>10440.0</v>
      </c>
      <c r="P680" s="67">
        <f t="shared" si="412"/>
        <v>0.1900069827</v>
      </c>
      <c r="Q680" s="69">
        <v>10440.0</v>
      </c>
      <c r="R680" s="76"/>
      <c r="S680" s="72">
        <f t="shared" si="418"/>
        <v>0.06574111882</v>
      </c>
      <c r="T680" s="72">
        <f t="shared" si="6"/>
        <v>0</v>
      </c>
      <c r="U680" s="73" t="str">
        <f t="shared" si="417"/>
        <v/>
      </c>
      <c r="V680" s="73">
        <f t="shared" si="340"/>
        <v>8301.694915</v>
      </c>
      <c r="W680" s="73">
        <f t="shared" si="9"/>
        <v>8301.694915</v>
      </c>
      <c r="X680" s="74">
        <f t="shared" si="10"/>
        <v>1</v>
      </c>
      <c r="Y680" s="73">
        <f t="shared" si="333"/>
        <v>0</v>
      </c>
      <c r="Z680" s="73">
        <f t="shared" si="12"/>
        <v>8847.457627</v>
      </c>
      <c r="AA680" s="73">
        <f t="shared" si="13"/>
        <v>8847.457627</v>
      </c>
      <c r="AB680" s="74">
        <f t="shared" si="14"/>
        <v>1</v>
      </c>
      <c r="AC680" s="61" t="str">
        <f t="shared" si="15"/>
        <v>4</v>
      </c>
      <c r="AD680" s="71" t="str">
        <f t="shared" si="16"/>
        <v>#DIV/0!</v>
      </c>
      <c r="AE680" s="61"/>
      <c r="AF680" s="61"/>
      <c r="AG680" s="71">
        <f t="array" ref="AG680">IFERROR(xlookup(G680,'Old Master'!T:T,'Old Master'!V:V),N680)</f>
        <v>0.1900069827</v>
      </c>
      <c r="AH680" s="73">
        <f t="shared" si="229"/>
        <v>10440</v>
      </c>
      <c r="AI680" s="73">
        <f t="shared" si="230"/>
        <v>8847.457627</v>
      </c>
      <c r="AJ680" s="72">
        <f t="shared" si="19"/>
        <v>1</v>
      </c>
      <c r="AK680" s="61"/>
      <c r="AL680" s="71">
        <f t="array" ref="AL680">iferror(if(isblank(xlookup($G680,'Old Master'!$T:$T,'Old Master'!$W:$W)),AG680,xlookup($G680,'Old Master'!$T:$T,'Old Master'!$W:$W)),AG680)</f>
        <v>0.1900069827</v>
      </c>
      <c r="AM680" s="74">
        <f t="shared" si="20"/>
        <v>0.1931879898</v>
      </c>
      <c r="AN680" s="73">
        <f t="shared" si="416"/>
        <v>10399</v>
      </c>
    </row>
    <row r="681">
      <c r="A681" s="65" t="s">
        <v>481</v>
      </c>
      <c r="B681" s="65">
        <f t="shared" si="1"/>
        <v>60</v>
      </c>
      <c r="C681" s="65" t="str">
        <f t="shared" si="403"/>
        <v>SC-ORIG-Q-72x62x5</v>
      </c>
      <c r="D681" s="65" t="s">
        <v>483</v>
      </c>
      <c r="E681" s="65">
        <v>0.0</v>
      </c>
      <c r="F681" s="65" t="s">
        <v>484</v>
      </c>
      <c r="G681" s="65" t="s">
        <v>51</v>
      </c>
      <c r="H681" s="65" t="s">
        <v>52</v>
      </c>
      <c r="I681" s="65">
        <v>13879.0</v>
      </c>
      <c r="J681" s="66">
        <v>0.28</v>
      </c>
      <c r="K681" s="65">
        <f t="shared" si="3"/>
        <v>9993</v>
      </c>
      <c r="L681" s="66">
        <v>0.24</v>
      </c>
      <c r="M681" s="65">
        <f t="shared" si="4"/>
        <v>10548</v>
      </c>
      <c r="N681" s="67">
        <f t="shared" si="404"/>
        <v>0.1899992795</v>
      </c>
      <c r="O681" s="68">
        <v>11242.0</v>
      </c>
      <c r="P681" s="67">
        <f t="shared" si="412"/>
        <v>0.1899992795</v>
      </c>
      <c r="Q681" s="69">
        <v>11242.0</v>
      </c>
      <c r="R681" s="76"/>
      <c r="S681" s="72">
        <f t="shared" si="418"/>
        <v>0.06579446341</v>
      </c>
      <c r="T681" s="72">
        <f t="shared" si="6"/>
        <v>0</v>
      </c>
      <c r="U681" s="73" t="str">
        <f t="shared" si="417"/>
        <v/>
      </c>
      <c r="V681" s="73">
        <f t="shared" si="340"/>
        <v>8938.983051</v>
      </c>
      <c r="W681" s="73">
        <f t="shared" si="9"/>
        <v>8938.983051</v>
      </c>
      <c r="X681" s="74">
        <f t="shared" si="10"/>
        <v>1</v>
      </c>
      <c r="Y681" s="73">
        <f t="shared" si="333"/>
        <v>0</v>
      </c>
      <c r="Z681" s="73">
        <f t="shared" si="12"/>
        <v>9527.118644</v>
      </c>
      <c r="AA681" s="73">
        <f t="shared" si="13"/>
        <v>9527.118644</v>
      </c>
      <c r="AB681" s="74">
        <f t="shared" si="14"/>
        <v>1</v>
      </c>
      <c r="AC681" s="61" t="str">
        <f t="shared" si="15"/>
        <v>5</v>
      </c>
      <c r="AD681" s="71" t="str">
        <f t="shared" si="16"/>
        <v>#DIV/0!</v>
      </c>
      <c r="AE681" s="61"/>
      <c r="AF681" s="61"/>
      <c r="AG681" s="71">
        <f t="array" ref="AG681">IFERROR(xlookup(G681,'Old Master'!T:T,'Old Master'!V:V),N681)</f>
        <v>0.1899992795</v>
      </c>
      <c r="AH681" s="73">
        <f t="shared" si="229"/>
        <v>11242</v>
      </c>
      <c r="AI681" s="73">
        <f t="shared" si="230"/>
        <v>9527.118644</v>
      </c>
      <c r="AJ681" s="72">
        <f t="shared" si="19"/>
        <v>1</v>
      </c>
      <c r="AK681" s="61"/>
      <c r="AL681" s="71">
        <f t="array" ref="AL681">iferror(if(isblank(xlookup($G681,'Old Master'!$T:$T,'Old Master'!$W:$W)),AG681,xlookup($G681,'Old Master'!$T:$T,'Old Master'!$W:$W)),AG681)</f>
        <v>0.1899992795</v>
      </c>
      <c r="AM681" s="74">
        <f t="shared" si="20"/>
        <v>0.1930974854</v>
      </c>
      <c r="AN681" s="73">
        <f t="shared" si="416"/>
        <v>11199</v>
      </c>
    </row>
    <row r="682">
      <c r="A682" s="65" t="s">
        <v>557</v>
      </c>
      <c r="B682" s="65">
        <f t="shared" si="1"/>
        <v>66</v>
      </c>
      <c r="C682" s="65" t="str">
        <f t="shared" si="403"/>
        <v>SC-ORIG-Q-78x68x4</v>
      </c>
      <c r="D682" s="65" t="s">
        <v>559</v>
      </c>
      <c r="E682" s="65">
        <v>0.0</v>
      </c>
      <c r="F682" s="65" t="s">
        <v>560</v>
      </c>
      <c r="G682" s="65" t="s">
        <v>51</v>
      </c>
      <c r="H682" s="65" t="s">
        <v>52</v>
      </c>
      <c r="I682" s="65">
        <v>13149.0</v>
      </c>
      <c r="J682" s="66">
        <v>0.28</v>
      </c>
      <c r="K682" s="65">
        <f t="shared" si="3"/>
        <v>9467</v>
      </c>
      <c r="L682" s="66">
        <v>0.24</v>
      </c>
      <c r="M682" s="65">
        <f t="shared" si="4"/>
        <v>9993</v>
      </c>
      <c r="N682" s="67">
        <f t="shared" si="404"/>
        <v>0.1899764241</v>
      </c>
      <c r="O682" s="68">
        <v>10651.0</v>
      </c>
      <c r="P682" s="67">
        <f t="shared" si="412"/>
        <v>0.1899764241</v>
      </c>
      <c r="Q682" s="69">
        <v>10651.0</v>
      </c>
      <c r="R682" s="76"/>
      <c r="S682" s="72">
        <f t="shared" si="418"/>
        <v>0.06584609226</v>
      </c>
      <c r="T682" s="72">
        <f t="shared" si="6"/>
        <v>0</v>
      </c>
      <c r="U682" s="73" t="str">
        <f t="shared" si="417"/>
        <v/>
      </c>
      <c r="V682" s="73">
        <f t="shared" si="340"/>
        <v>8468.644068</v>
      </c>
      <c r="W682" s="73">
        <f t="shared" si="9"/>
        <v>8468.644068</v>
      </c>
      <c r="X682" s="74">
        <f t="shared" si="10"/>
        <v>1</v>
      </c>
      <c r="Y682" s="73">
        <f t="shared" si="333"/>
        <v>0</v>
      </c>
      <c r="Z682" s="73">
        <f t="shared" si="12"/>
        <v>9026.271186</v>
      </c>
      <c r="AA682" s="73">
        <f t="shared" si="13"/>
        <v>9026.271186</v>
      </c>
      <c r="AB682" s="74">
        <f t="shared" si="14"/>
        <v>1</v>
      </c>
      <c r="AC682" s="61" t="str">
        <f t="shared" si="15"/>
        <v>4</v>
      </c>
      <c r="AD682" s="71" t="str">
        <f t="shared" si="16"/>
        <v>#DIV/0!</v>
      </c>
      <c r="AE682" s="61"/>
      <c r="AF682" s="61"/>
      <c r="AG682" s="71">
        <f t="array" ref="AG682">IFERROR(xlookup(G682,'Old Master'!T:T,'Old Master'!V:V),N682)</f>
        <v>0.1899764241</v>
      </c>
      <c r="AH682" s="73">
        <f t="shared" si="229"/>
        <v>10651</v>
      </c>
      <c r="AI682" s="73">
        <f t="shared" si="230"/>
        <v>9026.271186</v>
      </c>
      <c r="AJ682" s="72">
        <f t="shared" si="19"/>
        <v>1</v>
      </c>
      <c r="AK682" s="61"/>
      <c r="AL682" s="71">
        <f t="array" ref="AL682">iferror(if(isblank(xlookup($G682,'Old Master'!$T:$T,'Old Master'!$W:$W)),AG682,xlookup($G682,'Old Master'!$T:$T,'Old Master'!$W:$W)),AG682)</f>
        <v>0.1899764241</v>
      </c>
      <c r="AM682" s="74">
        <f t="shared" si="20"/>
        <v>0.1863259563</v>
      </c>
      <c r="AN682" s="73">
        <f t="shared" si="416"/>
        <v>10699</v>
      </c>
    </row>
    <row r="683">
      <c r="A683" s="65" t="s">
        <v>487</v>
      </c>
      <c r="B683" s="65">
        <f t="shared" si="1"/>
        <v>60</v>
      </c>
      <c r="C683" s="65" t="str">
        <f t="shared" si="403"/>
        <v>SC-ORIG-Q-75x62x5</v>
      </c>
      <c r="D683" s="65" t="s">
        <v>489</v>
      </c>
      <c r="E683" s="65">
        <v>0.0</v>
      </c>
      <c r="F683" s="65" t="s">
        <v>490</v>
      </c>
      <c r="G683" s="65" t="s">
        <v>51</v>
      </c>
      <c r="H683" s="65" t="s">
        <v>52</v>
      </c>
      <c r="I683" s="65">
        <v>14579.0</v>
      </c>
      <c r="J683" s="66">
        <v>0.28</v>
      </c>
      <c r="K683" s="65">
        <f t="shared" si="3"/>
        <v>10497</v>
      </c>
      <c r="L683" s="66">
        <v>0.24</v>
      </c>
      <c r="M683" s="65">
        <f t="shared" si="4"/>
        <v>11080</v>
      </c>
      <c r="N683" s="67">
        <f t="shared" si="404"/>
        <v>0.1899993141</v>
      </c>
      <c r="O683" s="68">
        <v>11809.0</v>
      </c>
      <c r="P683" s="67">
        <f t="shared" si="412"/>
        <v>0.1899993141</v>
      </c>
      <c r="Q683" s="69">
        <v>11809.0</v>
      </c>
      <c r="R683" s="76"/>
      <c r="S683" s="72">
        <f t="shared" si="418"/>
        <v>0.06579422383</v>
      </c>
      <c r="T683" s="72">
        <f t="shared" si="6"/>
        <v>0</v>
      </c>
      <c r="U683" s="73" t="str">
        <f t="shared" si="417"/>
        <v/>
      </c>
      <c r="V683" s="73">
        <f t="shared" si="340"/>
        <v>9389.830508</v>
      </c>
      <c r="W683" s="73">
        <f t="shared" si="9"/>
        <v>9389.830508</v>
      </c>
      <c r="X683" s="74">
        <f t="shared" si="10"/>
        <v>1</v>
      </c>
      <c r="Y683" s="73">
        <f t="shared" si="333"/>
        <v>0</v>
      </c>
      <c r="Z683" s="73">
        <f t="shared" si="12"/>
        <v>10007.62712</v>
      </c>
      <c r="AA683" s="73">
        <f t="shared" si="13"/>
        <v>10007.62712</v>
      </c>
      <c r="AB683" s="74">
        <f t="shared" si="14"/>
        <v>1</v>
      </c>
      <c r="AC683" s="61" t="str">
        <f t="shared" si="15"/>
        <v>5</v>
      </c>
      <c r="AD683" s="71" t="str">
        <f t="shared" si="16"/>
        <v>#DIV/0!</v>
      </c>
      <c r="AE683" s="61"/>
      <c r="AF683" s="61"/>
      <c r="AG683" s="71">
        <f t="array" ref="AG683">IFERROR(xlookup(G683,'Old Master'!T:T,'Old Master'!V:V),N683)</f>
        <v>0.1899993141</v>
      </c>
      <c r="AH683" s="73">
        <f t="shared" si="229"/>
        <v>11809</v>
      </c>
      <c r="AI683" s="73">
        <f t="shared" si="230"/>
        <v>10007.62712</v>
      </c>
      <c r="AJ683" s="72">
        <f t="shared" si="19"/>
        <v>1</v>
      </c>
      <c r="AK683" s="61"/>
      <c r="AL683" s="71">
        <f t="array" ref="AL683">iferror(if(isblank(xlookup($G683,'Old Master'!$T:$T,'Old Master'!$W:$W)),AG683,xlookup($G683,'Old Master'!$T:$T,'Old Master'!$W:$W)),AG683)</f>
        <v>0.1899993141</v>
      </c>
      <c r="AM683" s="74">
        <f t="shared" si="20"/>
        <v>0.1906852322</v>
      </c>
      <c r="AN683" s="73">
        <f t="shared" si="416"/>
        <v>11799</v>
      </c>
    </row>
    <row r="684">
      <c r="A684" s="65" t="s">
        <v>493</v>
      </c>
      <c r="B684" s="65">
        <f t="shared" si="1"/>
        <v>60</v>
      </c>
      <c r="C684" s="65" t="str">
        <f t="shared" si="403"/>
        <v>SC-ORIG-Q-78x62x5</v>
      </c>
      <c r="D684" s="65" t="s">
        <v>495</v>
      </c>
      <c r="E684" s="65">
        <v>0.0</v>
      </c>
      <c r="F684" s="65" t="s">
        <v>496</v>
      </c>
      <c r="G684" s="65" t="s">
        <v>51</v>
      </c>
      <c r="H684" s="65" t="s">
        <v>52</v>
      </c>
      <c r="I684" s="65">
        <v>14849.0</v>
      </c>
      <c r="J684" s="66">
        <v>0.28</v>
      </c>
      <c r="K684" s="65">
        <f t="shared" si="3"/>
        <v>10691</v>
      </c>
      <c r="L684" s="66">
        <v>0.24</v>
      </c>
      <c r="M684" s="65">
        <f t="shared" si="4"/>
        <v>11285</v>
      </c>
      <c r="N684" s="67">
        <f t="shared" si="404"/>
        <v>0.1899791232</v>
      </c>
      <c r="O684" s="68">
        <v>12028.0</v>
      </c>
      <c r="P684" s="67">
        <f t="shared" si="412"/>
        <v>0.1899791232</v>
      </c>
      <c r="Q684" s="69">
        <v>12028.0</v>
      </c>
      <c r="R684" s="76"/>
      <c r="S684" s="72">
        <f t="shared" si="418"/>
        <v>0.0658396101</v>
      </c>
      <c r="T684" s="72">
        <f t="shared" si="6"/>
        <v>0</v>
      </c>
      <c r="U684" s="73" t="str">
        <f t="shared" si="417"/>
        <v/>
      </c>
      <c r="V684" s="73">
        <f t="shared" si="340"/>
        <v>9563.559322</v>
      </c>
      <c r="W684" s="73">
        <f t="shared" si="9"/>
        <v>9563.559322</v>
      </c>
      <c r="X684" s="74">
        <f t="shared" si="10"/>
        <v>1</v>
      </c>
      <c r="Y684" s="73">
        <f t="shared" si="333"/>
        <v>0</v>
      </c>
      <c r="Z684" s="73">
        <f t="shared" si="12"/>
        <v>10193.22034</v>
      </c>
      <c r="AA684" s="73">
        <f t="shared" si="13"/>
        <v>10193.22034</v>
      </c>
      <c r="AB684" s="74">
        <f t="shared" si="14"/>
        <v>1</v>
      </c>
      <c r="AC684" s="61" t="str">
        <f t="shared" si="15"/>
        <v>5</v>
      </c>
      <c r="AD684" s="71" t="str">
        <f t="shared" si="16"/>
        <v>#DIV/0!</v>
      </c>
      <c r="AE684" s="61"/>
      <c r="AF684" s="61"/>
      <c r="AG684" s="71">
        <f t="array" ref="AG684">IFERROR(xlookup(G684,'Old Master'!T:T,'Old Master'!V:V),N684)</f>
        <v>0.1899791232</v>
      </c>
      <c r="AH684" s="73">
        <f t="shared" si="229"/>
        <v>12028</v>
      </c>
      <c r="AI684" s="73">
        <f t="shared" si="230"/>
        <v>10193.22034</v>
      </c>
      <c r="AJ684" s="72">
        <f t="shared" si="19"/>
        <v>1</v>
      </c>
      <c r="AK684" s="61"/>
      <c r="AL684" s="71">
        <f t="array" ref="AL684">iferror(if(isblank(xlookup($G684,'Old Master'!$T:$T,'Old Master'!$W:$W)),AG684,xlookup($G684,'Old Master'!$T:$T,'Old Master'!$W:$W)),AG684)</f>
        <v>0.1899791232</v>
      </c>
      <c r="AM684" s="74">
        <f t="shared" si="20"/>
        <v>0.1919321166</v>
      </c>
      <c r="AN684" s="73">
        <f t="shared" si="416"/>
        <v>11999</v>
      </c>
    </row>
    <row r="685">
      <c r="A685" s="65" t="s">
        <v>751</v>
      </c>
      <c r="B685" s="65">
        <f t="shared" si="1"/>
        <v>75</v>
      </c>
      <c r="C685" s="65" t="str">
        <f t="shared" si="403"/>
        <v>SC-ORIG-K-75x77x4</v>
      </c>
      <c r="D685" s="65" t="s">
        <v>753</v>
      </c>
      <c r="E685" s="65">
        <v>0.0</v>
      </c>
      <c r="F685" s="65" t="s">
        <v>754</v>
      </c>
      <c r="G685" s="65" t="s">
        <v>51</v>
      </c>
      <c r="H685" s="65" t="s">
        <v>52</v>
      </c>
      <c r="I685" s="65">
        <v>14469.0</v>
      </c>
      <c r="J685" s="66">
        <v>0.28</v>
      </c>
      <c r="K685" s="65">
        <f t="shared" si="3"/>
        <v>10418</v>
      </c>
      <c r="L685" s="66">
        <v>0.24</v>
      </c>
      <c r="M685" s="65">
        <f t="shared" si="4"/>
        <v>10996</v>
      </c>
      <c r="N685" s="67">
        <f t="shared" si="404"/>
        <v>0.1899923975</v>
      </c>
      <c r="O685" s="68">
        <v>11720.0</v>
      </c>
      <c r="P685" s="67">
        <f t="shared" si="412"/>
        <v>0.1899923975</v>
      </c>
      <c r="Q685" s="69">
        <v>11720.0</v>
      </c>
      <c r="R685" s="76"/>
      <c r="S685" s="72">
        <f t="shared" si="418"/>
        <v>0.06584212441</v>
      </c>
      <c r="T685" s="72">
        <f t="shared" si="6"/>
        <v>0</v>
      </c>
      <c r="U685" s="73" t="str">
        <f t="shared" si="417"/>
        <v/>
      </c>
      <c r="V685" s="73">
        <f t="shared" si="340"/>
        <v>9318.644068</v>
      </c>
      <c r="W685" s="73">
        <f t="shared" si="9"/>
        <v>9318.644068</v>
      </c>
      <c r="X685" s="74">
        <f t="shared" si="10"/>
        <v>1</v>
      </c>
      <c r="Y685" s="73">
        <f t="shared" si="333"/>
        <v>0</v>
      </c>
      <c r="Z685" s="73">
        <f t="shared" si="12"/>
        <v>9932.20339</v>
      </c>
      <c r="AA685" s="73">
        <f t="shared" si="13"/>
        <v>9932.20339</v>
      </c>
      <c r="AB685" s="74">
        <f t="shared" si="14"/>
        <v>1</v>
      </c>
      <c r="AC685" s="61" t="str">
        <f t="shared" si="15"/>
        <v>4</v>
      </c>
      <c r="AD685" s="71" t="str">
        <f t="shared" si="16"/>
        <v>#DIV/0!</v>
      </c>
      <c r="AE685" s="61"/>
      <c r="AF685" s="61"/>
      <c r="AG685" s="71">
        <f t="array" ref="AG685">IFERROR(xlookup(G685,'Old Master'!T:T,'Old Master'!V:V),N685)</f>
        <v>0.1899923975</v>
      </c>
      <c r="AH685" s="73">
        <f t="shared" si="229"/>
        <v>11720</v>
      </c>
      <c r="AI685" s="73">
        <f t="shared" si="230"/>
        <v>9932.20339</v>
      </c>
      <c r="AJ685" s="72">
        <f t="shared" si="19"/>
        <v>1</v>
      </c>
      <c r="AK685" s="61"/>
      <c r="AL685" s="71">
        <f t="array" ref="AL685">iferror(if(isblank(xlookup($G685,'Old Master'!$T:$T,'Old Master'!$W:$W)),AG685,xlookup($G685,'Old Master'!$T:$T,'Old Master'!$W:$W)),AG685)</f>
        <v>0.1899923975</v>
      </c>
      <c r="AM685" s="74">
        <f t="shared" si="20"/>
        <v>0.1914437763</v>
      </c>
      <c r="AN685" s="73">
        <f t="shared" si="416"/>
        <v>11699</v>
      </c>
    </row>
    <row r="686">
      <c r="A686" s="65" t="s">
        <v>227</v>
      </c>
      <c r="B686" s="65">
        <f t="shared" si="1"/>
        <v>48</v>
      </c>
      <c r="C686" s="65" t="str">
        <f t="shared" si="403"/>
        <v>SC-ORIG-D-84x50x6</v>
      </c>
      <c r="D686" s="65" t="s">
        <v>229</v>
      </c>
      <c r="E686" s="65">
        <v>0.0</v>
      </c>
      <c r="F686" s="65" t="s">
        <v>230</v>
      </c>
      <c r="G686" s="65" t="s">
        <v>51</v>
      </c>
      <c r="H686" s="65" t="s">
        <v>52</v>
      </c>
      <c r="I686" s="65">
        <v>16999.0</v>
      </c>
      <c r="J686" s="66">
        <v>0.28</v>
      </c>
      <c r="K686" s="65">
        <f t="shared" si="3"/>
        <v>12239</v>
      </c>
      <c r="L686" s="66">
        <v>0.24</v>
      </c>
      <c r="M686" s="65">
        <f t="shared" si="4"/>
        <v>12919</v>
      </c>
      <c r="N686" s="67">
        <f t="shared" si="404"/>
        <v>0.1900111771</v>
      </c>
      <c r="O686" s="68">
        <v>13769.0</v>
      </c>
      <c r="P686" s="67">
        <f t="shared" si="412"/>
        <v>0.1900111771</v>
      </c>
      <c r="Q686" s="69">
        <v>13769.0</v>
      </c>
      <c r="R686" s="76"/>
      <c r="S686" s="72">
        <f t="shared" si="418"/>
        <v>0.06579456614</v>
      </c>
      <c r="T686" s="72">
        <f t="shared" si="6"/>
        <v>0</v>
      </c>
      <c r="U686" s="73" t="str">
        <f t="shared" si="417"/>
        <v/>
      </c>
      <c r="V686" s="73">
        <f t="shared" si="340"/>
        <v>10948.30508</v>
      </c>
      <c r="W686" s="73">
        <f t="shared" si="9"/>
        <v>10948.30508</v>
      </c>
      <c r="X686" s="74">
        <f t="shared" si="10"/>
        <v>1</v>
      </c>
      <c r="Y686" s="73">
        <f t="shared" si="333"/>
        <v>0</v>
      </c>
      <c r="Z686" s="73">
        <f t="shared" si="12"/>
        <v>11668.64407</v>
      </c>
      <c r="AA686" s="73">
        <f t="shared" si="13"/>
        <v>11668.64407</v>
      </c>
      <c r="AB686" s="74">
        <f t="shared" si="14"/>
        <v>1</v>
      </c>
      <c r="AC686" s="61" t="str">
        <f t="shared" si="15"/>
        <v>6</v>
      </c>
      <c r="AD686" s="71" t="str">
        <f t="shared" si="16"/>
        <v>#DIV/0!</v>
      </c>
      <c r="AE686" s="61"/>
      <c r="AF686" s="61"/>
      <c r="AG686" s="71">
        <f t="array" ref="AG686">IFERROR(xlookup(G686,'Old Master'!T:T,'Old Master'!V:V),N686)</f>
        <v>0.1900111771</v>
      </c>
      <c r="AH686" s="73">
        <f t="shared" si="229"/>
        <v>13769</v>
      </c>
      <c r="AI686" s="73">
        <f t="shared" si="230"/>
        <v>11668.64407</v>
      </c>
      <c r="AJ686" s="72">
        <f t="shared" si="19"/>
        <v>1</v>
      </c>
      <c r="AK686" s="61"/>
      <c r="AL686" s="71">
        <f t="array" ref="AL686">iferror(if(isblank(xlookup($G686,'Old Master'!$T:$T,'Old Master'!$W:$W)),AG686,xlookup($G686,'Old Master'!$T:$T,'Old Master'!$W:$W)),AG686)</f>
        <v>0.1900111771</v>
      </c>
      <c r="AM686" s="74">
        <f t="shared" si="20"/>
        <v>0.1882463674</v>
      </c>
      <c r="AN686" s="73">
        <f t="shared" si="416"/>
        <v>13799</v>
      </c>
    </row>
    <row r="687">
      <c r="A687" s="65" t="s">
        <v>517</v>
      </c>
      <c r="B687" s="65">
        <f t="shared" si="1"/>
        <v>60</v>
      </c>
      <c r="C687" s="65" t="str">
        <f t="shared" si="403"/>
        <v>SC-ORIG-Q-84x62x5</v>
      </c>
      <c r="D687" s="65" t="s">
        <v>519</v>
      </c>
      <c r="E687" s="65">
        <v>0.0</v>
      </c>
      <c r="F687" s="65" t="s">
        <v>520</v>
      </c>
      <c r="G687" s="65" t="s">
        <v>51</v>
      </c>
      <c r="H687" s="65" t="s">
        <v>52</v>
      </c>
      <c r="I687" s="65">
        <v>16659.0</v>
      </c>
      <c r="J687" s="66">
        <v>0.28</v>
      </c>
      <c r="K687" s="65">
        <f t="shared" si="3"/>
        <v>11994</v>
      </c>
      <c r="L687" s="66">
        <v>0.24</v>
      </c>
      <c r="M687" s="65">
        <f t="shared" si="4"/>
        <v>12661</v>
      </c>
      <c r="N687" s="67">
        <f t="shared" si="404"/>
        <v>0.1899873942</v>
      </c>
      <c r="O687" s="68">
        <v>13494.0</v>
      </c>
      <c r="P687" s="67">
        <f t="shared" si="412"/>
        <v>0.1899873942</v>
      </c>
      <c r="Q687" s="69">
        <v>13494.0</v>
      </c>
      <c r="R687" s="76"/>
      <c r="S687" s="72">
        <f t="shared" si="418"/>
        <v>0.06579259142</v>
      </c>
      <c r="T687" s="72">
        <f t="shared" si="6"/>
        <v>0</v>
      </c>
      <c r="U687" s="73" t="str">
        <f t="shared" si="417"/>
        <v/>
      </c>
      <c r="V687" s="73">
        <f t="shared" si="340"/>
        <v>10729.66102</v>
      </c>
      <c r="W687" s="73">
        <f t="shared" si="9"/>
        <v>10729.66102</v>
      </c>
      <c r="X687" s="74">
        <f t="shared" si="10"/>
        <v>1</v>
      </c>
      <c r="Y687" s="73">
        <f t="shared" si="333"/>
        <v>0</v>
      </c>
      <c r="Z687" s="73">
        <f t="shared" si="12"/>
        <v>11435.59322</v>
      </c>
      <c r="AA687" s="73">
        <f t="shared" si="13"/>
        <v>11435.59322</v>
      </c>
      <c r="AB687" s="74">
        <f t="shared" si="14"/>
        <v>1</v>
      </c>
      <c r="AC687" s="61" t="str">
        <f t="shared" si="15"/>
        <v>5</v>
      </c>
      <c r="AD687" s="71" t="str">
        <f t="shared" si="16"/>
        <v>#DIV/0!</v>
      </c>
      <c r="AE687" s="61"/>
      <c r="AF687" s="61"/>
      <c r="AG687" s="71">
        <f t="array" ref="AG687">IFERROR(xlookup(G687,'Old Master'!T:T,'Old Master'!V:V),N687)</f>
        <v>0.1899873942</v>
      </c>
      <c r="AH687" s="73">
        <f t="shared" si="229"/>
        <v>13494</v>
      </c>
      <c r="AI687" s="73">
        <f t="shared" si="230"/>
        <v>11435.59322</v>
      </c>
      <c r="AJ687" s="72">
        <f t="shared" si="19"/>
        <v>1</v>
      </c>
      <c r="AK687" s="61"/>
      <c r="AL687" s="71">
        <f t="array" ref="AL687">iferror(if(isblank(xlookup($G687,'Old Master'!$T:$T,'Old Master'!$W:$W)),AG687,xlookup($G687,'Old Master'!$T:$T,'Old Master'!$W:$W)),AG687)</f>
        <v>0.1899873942</v>
      </c>
      <c r="AM687" s="74">
        <f t="shared" si="20"/>
        <v>0.1896872561</v>
      </c>
      <c r="AN687" s="73">
        <f t="shared" si="416"/>
        <v>13499</v>
      </c>
    </row>
    <row r="688">
      <c r="A688" s="65" t="s">
        <v>4924</v>
      </c>
      <c r="B688" s="65">
        <f t="shared" si="1"/>
        <v>75</v>
      </c>
      <c r="C688" s="65" t="str">
        <f t="shared" si="403"/>
        <v>SC-ORIG-K-78x77x4</v>
      </c>
      <c r="D688" s="65" t="s">
        <v>5282</v>
      </c>
      <c r="E688" s="65">
        <v>0.0</v>
      </c>
      <c r="F688" s="65" t="s">
        <v>4927</v>
      </c>
      <c r="G688" s="65" t="s">
        <v>51</v>
      </c>
      <c r="H688" s="65" t="s">
        <v>52</v>
      </c>
      <c r="I688" s="65">
        <v>14989.0</v>
      </c>
      <c r="J688" s="66">
        <v>0.28</v>
      </c>
      <c r="K688" s="65">
        <f t="shared" si="3"/>
        <v>10792</v>
      </c>
      <c r="L688" s="66">
        <v>0.24</v>
      </c>
      <c r="M688" s="65">
        <f t="shared" si="4"/>
        <v>11392</v>
      </c>
      <c r="N688" s="67">
        <f t="shared" si="404"/>
        <v>0.1900060044</v>
      </c>
      <c r="O688" s="68">
        <v>12141.0</v>
      </c>
      <c r="P688" s="67">
        <f t="shared" si="412"/>
        <v>0.1900060044</v>
      </c>
      <c r="Q688" s="69">
        <v>12141.0</v>
      </c>
      <c r="R688" s="76"/>
      <c r="S688" s="72">
        <f t="shared" si="418"/>
        <v>0.06574789326</v>
      </c>
      <c r="T688" s="72">
        <f t="shared" si="6"/>
        <v>0</v>
      </c>
      <c r="U688" s="73" t="str">
        <f t="shared" si="417"/>
        <v/>
      </c>
      <c r="V688" s="73">
        <f t="shared" si="340"/>
        <v>9654.237288</v>
      </c>
      <c r="W688" s="73">
        <f t="shared" si="9"/>
        <v>9654.237288</v>
      </c>
      <c r="X688" s="74">
        <f t="shared" si="10"/>
        <v>1</v>
      </c>
      <c r="Y688" s="73">
        <f t="shared" si="333"/>
        <v>0</v>
      </c>
      <c r="Z688" s="73">
        <f t="shared" si="12"/>
        <v>10288.98305</v>
      </c>
      <c r="AA688" s="73">
        <f t="shared" si="13"/>
        <v>10288.98305</v>
      </c>
      <c r="AB688" s="74">
        <f t="shared" si="14"/>
        <v>1</v>
      </c>
      <c r="AC688" s="61" t="str">
        <f t="shared" si="15"/>
        <v>4</v>
      </c>
      <c r="AD688" s="71" t="str">
        <f t="shared" si="16"/>
        <v>#DIV/0!</v>
      </c>
      <c r="AE688" s="61"/>
      <c r="AF688" s="61"/>
      <c r="AG688" s="71">
        <f t="array" ref="AG688">IFERROR(xlookup(G688,'Old Master'!T:T,'Old Master'!V:V),N688)</f>
        <v>0.1900060044</v>
      </c>
      <c r="AH688" s="73">
        <f t="shared" si="229"/>
        <v>12141</v>
      </c>
      <c r="AI688" s="73">
        <f t="shared" si="230"/>
        <v>10288.98305</v>
      </c>
      <c r="AJ688" s="72">
        <f t="shared" si="19"/>
        <v>1</v>
      </c>
      <c r="AK688" s="61"/>
      <c r="AL688" s="71">
        <f t="array" ref="AL688">iferror(if(isblank(xlookup($G688,'Old Master'!$T:$T,'Old Master'!$W:$W)),AG688,xlookup($G688,'Old Master'!$T:$T,'Old Master'!$W:$W)),AG688)</f>
        <v>0.1900060044</v>
      </c>
      <c r="AM688" s="74">
        <f t="shared" si="20"/>
        <v>0.1928080592</v>
      </c>
      <c r="AN688" s="73">
        <f t="shared" si="416"/>
        <v>12099</v>
      </c>
    </row>
    <row r="689">
      <c r="A689" s="65" t="s">
        <v>709</v>
      </c>
      <c r="B689" s="65">
        <f t="shared" si="1"/>
        <v>72</v>
      </c>
      <c r="C689" s="65" t="str">
        <f t="shared" si="403"/>
        <v>SC-ORIG-K-72x74x5</v>
      </c>
      <c r="D689" s="65" t="s">
        <v>711</v>
      </c>
      <c r="E689" s="65">
        <v>0.0</v>
      </c>
      <c r="F689" s="65" t="s">
        <v>712</v>
      </c>
      <c r="G689" s="65" t="s">
        <v>51</v>
      </c>
      <c r="H689" s="65" t="s">
        <v>52</v>
      </c>
      <c r="I689" s="65">
        <v>16239.0</v>
      </c>
      <c r="J689" s="66">
        <v>0.28</v>
      </c>
      <c r="K689" s="65">
        <f t="shared" si="3"/>
        <v>11692</v>
      </c>
      <c r="L689" s="66">
        <v>0.24</v>
      </c>
      <c r="M689" s="65">
        <f t="shared" si="4"/>
        <v>12342</v>
      </c>
      <c r="N689" s="67">
        <f t="shared" si="404"/>
        <v>0.1899747521</v>
      </c>
      <c r="O689" s="68">
        <v>13154.0</v>
      </c>
      <c r="P689" s="67">
        <f t="shared" si="412"/>
        <v>0.1899747521</v>
      </c>
      <c r="Q689" s="69">
        <v>13154.0</v>
      </c>
      <c r="R689" s="76"/>
      <c r="S689" s="72">
        <f t="shared" si="418"/>
        <v>0.0657916059</v>
      </c>
      <c r="T689" s="72">
        <f t="shared" si="6"/>
        <v>0</v>
      </c>
      <c r="U689" s="73" t="str">
        <f t="shared" si="417"/>
        <v/>
      </c>
      <c r="V689" s="73">
        <f t="shared" si="340"/>
        <v>10459.32203</v>
      </c>
      <c r="W689" s="73">
        <f t="shared" si="9"/>
        <v>10459.32203</v>
      </c>
      <c r="X689" s="74">
        <f t="shared" si="10"/>
        <v>1</v>
      </c>
      <c r="Y689" s="73">
        <f t="shared" si="333"/>
        <v>0</v>
      </c>
      <c r="Z689" s="73">
        <f t="shared" si="12"/>
        <v>11147.45763</v>
      </c>
      <c r="AA689" s="73">
        <f t="shared" si="13"/>
        <v>11147.45763</v>
      </c>
      <c r="AB689" s="74">
        <f t="shared" si="14"/>
        <v>1</v>
      </c>
      <c r="AC689" s="61" t="str">
        <f t="shared" si="15"/>
        <v>5</v>
      </c>
      <c r="AD689" s="71" t="str">
        <f t="shared" si="16"/>
        <v>#DIV/0!</v>
      </c>
      <c r="AE689" s="61"/>
      <c r="AF689" s="61"/>
      <c r="AG689" s="71">
        <f t="array" ref="AG689">IFERROR(xlookup(G689,'Old Master'!T:T,'Old Master'!V:V),N689)</f>
        <v>0.1899747521</v>
      </c>
      <c r="AH689" s="73">
        <f t="shared" si="229"/>
        <v>13154</v>
      </c>
      <c r="AI689" s="73">
        <f t="shared" si="230"/>
        <v>11147.45763</v>
      </c>
      <c r="AJ689" s="72">
        <f t="shared" si="19"/>
        <v>1</v>
      </c>
      <c r="AK689" s="61"/>
      <c r="AL689" s="71">
        <f t="array" ref="AL689">iferror(if(isblank(xlookup($G689,'Old Master'!$T:$T,'Old Master'!$W:$W)),AG689,xlookup($G689,'Old Master'!$T:$T,'Old Master'!$W:$W)),AG689)</f>
        <v>0.1899747521</v>
      </c>
      <c r="AM689" s="74">
        <f t="shared" si="20"/>
        <v>0.1872036455</v>
      </c>
      <c r="AN689" s="73">
        <f t="shared" si="416"/>
        <v>13199</v>
      </c>
    </row>
    <row r="690">
      <c r="A690" s="65" t="s">
        <v>714</v>
      </c>
      <c r="B690" s="65">
        <f t="shared" si="1"/>
        <v>72</v>
      </c>
      <c r="C690" s="65" t="str">
        <f t="shared" si="403"/>
        <v>SC-ORIG-K-75x74x5</v>
      </c>
      <c r="D690" s="65" t="s">
        <v>716</v>
      </c>
      <c r="E690" s="65">
        <v>0.0</v>
      </c>
      <c r="F690" s="65" t="s">
        <v>717</v>
      </c>
      <c r="G690" s="65" t="s">
        <v>51</v>
      </c>
      <c r="H690" s="65" t="s">
        <v>52</v>
      </c>
      <c r="I690" s="65">
        <v>16659.0</v>
      </c>
      <c r="J690" s="66">
        <v>0.28</v>
      </c>
      <c r="K690" s="65">
        <f t="shared" si="3"/>
        <v>11994</v>
      </c>
      <c r="L690" s="66">
        <v>0.24</v>
      </c>
      <c r="M690" s="65">
        <f t="shared" si="4"/>
        <v>12661</v>
      </c>
      <c r="N690" s="67">
        <f t="shared" si="404"/>
        <v>0.1899873942</v>
      </c>
      <c r="O690" s="68">
        <v>13494.0</v>
      </c>
      <c r="P690" s="67">
        <f t="shared" si="412"/>
        <v>0.1899873942</v>
      </c>
      <c r="Q690" s="69">
        <v>13494.0</v>
      </c>
      <c r="R690" s="76"/>
      <c r="S690" s="72">
        <f t="shared" si="418"/>
        <v>0.06579259142</v>
      </c>
      <c r="T690" s="72">
        <f t="shared" si="6"/>
        <v>0</v>
      </c>
      <c r="U690" s="73" t="str">
        <f t="shared" si="417"/>
        <v/>
      </c>
      <c r="V690" s="73">
        <f t="shared" si="340"/>
        <v>10729.66102</v>
      </c>
      <c r="W690" s="73">
        <f t="shared" si="9"/>
        <v>10729.66102</v>
      </c>
      <c r="X690" s="74">
        <f t="shared" si="10"/>
        <v>1</v>
      </c>
      <c r="Y690" s="73">
        <f t="shared" si="333"/>
        <v>0</v>
      </c>
      <c r="Z690" s="73">
        <f t="shared" si="12"/>
        <v>11435.59322</v>
      </c>
      <c r="AA690" s="73">
        <f t="shared" si="13"/>
        <v>11435.59322</v>
      </c>
      <c r="AB690" s="74">
        <f t="shared" si="14"/>
        <v>1</v>
      </c>
      <c r="AC690" s="61" t="str">
        <f t="shared" si="15"/>
        <v>5</v>
      </c>
      <c r="AD690" s="71" t="str">
        <f t="shared" si="16"/>
        <v>#DIV/0!</v>
      </c>
      <c r="AE690" s="61"/>
      <c r="AF690" s="61"/>
      <c r="AG690" s="71">
        <f t="array" ref="AG690">IFERROR(xlookup(G690,'Old Master'!T:T,'Old Master'!V:V),N690)</f>
        <v>0.1899873942</v>
      </c>
      <c r="AH690" s="73">
        <f t="shared" si="229"/>
        <v>13494</v>
      </c>
      <c r="AI690" s="73">
        <f t="shared" si="230"/>
        <v>11435.59322</v>
      </c>
      <c r="AJ690" s="72">
        <f t="shared" si="19"/>
        <v>1</v>
      </c>
      <c r="AK690" s="61"/>
      <c r="AL690" s="71">
        <f t="array" ref="AL690">iferror(if(isblank(xlookup($G690,'Old Master'!$T:$T,'Old Master'!$W:$W)),AG690,xlookup($G690,'Old Master'!$T:$T,'Old Master'!$W:$W)),AG690)</f>
        <v>0.1899873942</v>
      </c>
      <c r="AM690" s="74">
        <f t="shared" si="20"/>
        <v>0.1896872561</v>
      </c>
      <c r="AN690" s="73">
        <f t="shared" si="416"/>
        <v>13499</v>
      </c>
    </row>
    <row r="691">
      <c r="A691" s="65" t="s">
        <v>763</v>
      </c>
      <c r="B691" s="65">
        <f t="shared" si="1"/>
        <v>78</v>
      </c>
      <c r="C691" s="65" t="str">
        <f t="shared" si="403"/>
        <v>SC-ORIG-K-84x80x4</v>
      </c>
      <c r="D691" s="65" t="s">
        <v>765</v>
      </c>
      <c r="E691" s="65">
        <v>0.0</v>
      </c>
      <c r="F691" s="65" t="s">
        <v>766</v>
      </c>
      <c r="G691" s="65" t="s">
        <v>51</v>
      </c>
      <c r="H691" s="65" t="s">
        <v>52</v>
      </c>
      <c r="I691" s="65">
        <v>16439.0</v>
      </c>
      <c r="J691" s="66">
        <v>0.28</v>
      </c>
      <c r="K691" s="65">
        <f t="shared" si="3"/>
        <v>11836</v>
      </c>
      <c r="L691" s="66">
        <v>0.24</v>
      </c>
      <c r="M691" s="65">
        <f t="shared" si="4"/>
        <v>12494</v>
      </c>
      <c r="N691" s="67">
        <f t="shared" si="404"/>
        <v>0.1899750593</v>
      </c>
      <c r="O691" s="68">
        <v>13316.0</v>
      </c>
      <c r="P691" s="67">
        <f t="shared" si="412"/>
        <v>0.1899750593</v>
      </c>
      <c r="Q691" s="69">
        <v>13316.0</v>
      </c>
      <c r="R691" s="76"/>
      <c r="S691" s="72">
        <f t="shared" si="418"/>
        <v>0.06579157996</v>
      </c>
      <c r="T691" s="72">
        <f t="shared" si="6"/>
        <v>0</v>
      </c>
      <c r="U691" s="73" t="str">
        <f t="shared" si="417"/>
        <v/>
      </c>
      <c r="V691" s="73">
        <f t="shared" si="340"/>
        <v>10588.13559</v>
      </c>
      <c r="W691" s="73">
        <f t="shared" si="9"/>
        <v>10588.13559</v>
      </c>
      <c r="X691" s="74">
        <f t="shared" si="10"/>
        <v>1</v>
      </c>
      <c r="Y691" s="73">
        <f t="shared" si="333"/>
        <v>0</v>
      </c>
      <c r="Z691" s="73">
        <f t="shared" si="12"/>
        <v>11284.74576</v>
      </c>
      <c r="AA691" s="73">
        <f t="shared" si="13"/>
        <v>11284.74576</v>
      </c>
      <c r="AB691" s="74">
        <f t="shared" si="14"/>
        <v>1</v>
      </c>
      <c r="AC691" s="61" t="str">
        <f t="shared" si="15"/>
        <v>4</v>
      </c>
      <c r="AD691" s="71" t="str">
        <f t="shared" si="16"/>
        <v>#DIV/0!</v>
      </c>
      <c r="AE691" s="61"/>
      <c r="AF691" s="61"/>
      <c r="AG691" s="71">
        <f t="array" ref="AG691">IFERROR(xlookup(G691,'Old Master'!T:T,'Old Master'!V:V),N691)</f>
        <v>0.1899750593</v>
      </c>
      <c r="AH691" s="73">
        <f t="shared" si="229"/>
        <v>13316</v>
      </c>
      <c r="AI691" s="73">
        <f t="shared" si="230"/>
        <v>11284.74576</v>
      </c>
      <c r="AJ691" s="72">
        <f t="shared" si="19"/>
        <v>1</v>
      </c>
      <c r="AK691" s="61"/>
      <c r="AL691" s="71">
        <f t="array" ref="AL691">iferror(if(isblank(xlookup($G691,'Old Master'!$T:$T,'Old Master'!$W:$W)),AG691,xlookup($G691,'Old Master'!$T:$T,'Old Master'!$W:$W)),AG691)</f>
        <v>0.1899750593</v>
      </c>
      <c r="AM691" s="74">
        <f t="shared" si="20"/>
        <v>0.1910091855</v>
      </c>
      <c r="AN691" s="73">
        <f t="shared" si="416"/>
        <v>13299</v>
      </c>
    </row>
    <row r="692">
      <c r="A692" s="65" t="s">
        <v>719</v>
      </c>
      <c r="B692" s="65">
        <f t="shared" si="1"/>
        <v>72</v>
      </c>
      <c r="C692" s="65" t="str">
        <f t="shared" si="403"/>
        <v>SC-ORIG-K-78x74x5</v>
      </c>
      <c r="D692" s="65" t="s">
        <v>721</v>
      </c>
      <c r="E692" s="65">
        <v>0.0</v>
      </c>
      <c r="F692" s="65" t="s">
        <v>722</v>
      </c>
      <c r="G692" s="65" t="s">
        <v>51</v>
      </c>
      <c r="H692" s="65" t="s">
        <v>52</v>
      </c>
      <c r="I692" s="65">
        <v>17219.0</v>
      </c>
      <c r="J692" s="66">
        <v>0.28</v>
      </c>
      <c r="K692" s="65">
        <f t="shared" si="3"/>
        <v>12398</v>
      </c>
      <c r="L692" s="66">
        <v>0.24</v>
      </c>
      <c r="M692" s="65">
        <f t="shared" si="4"/>
        <v>13086</v>
      </c>
      <c r="N692" s="67">
        <f t="shared" si="404"/>
        <v>0.1900226494</v>
      </c>
      <c r="O692" s="68">
        <v>13947.0</v>
      </c>
      <c r="P692" s="67">
        <f t="shared" si="412"/>
        <v>0.1900226494</v>
      </c>
      <c r="Q692" s="69">
        <v>13947.0</v>
      </c>
      <c r="R692" s="76"/>
      <c r="S692" s="72">
        <f t="shared" si="418"/>
        <v>0.06579550665</v>
      </c>
      <c r="T692" s="72">
        <f t="shared" si="6"/>
        <v>0</v>
      </c>
      <c r="U692" s="73" t="str">
        <f t="shared" si="417"/>
        <v/>
      </c>
      <c r="V692" s="73">
        <f t="shared" si="340"/>
        <v>11089.83051</v>
      </c>
      <c r="W692" s="73">
        <f t="shared" si="9"/>
        <v>11089.83051</v>
      </c>
      <c r="X692" s="74">
        <f t="shared" si="10"/>
        <v>1</v>
      </c>
      <c r="Y692" s="73">
        <f t="shared" si="333"/>
        <v>0</v>
      </c>
      <c r="Z692" s="73">
        <f t="shared" si="12"/>
        <v>11819.49153</v>
      </c>
      <c r="AA692" s="73">
        <f t="shared" si="13"/>
        <v>11819.49153</v>
      </c>
      <c r="AB692" s="74">
        <f t="shared" si="14"/>
        <v>1</v>
      </c>
      <c r="AC692" s="61" t="str">
        <f t="shared" si="15"/>
        <v>5</v>
      </c>
      <c r="AD692" s="71" t="str">
        <f t="shared" si="16"/>
        <v>#DIV/0!</v>
      </c>
      <c r="AE692" s="61"/>
      <c r="AF692" s="61"/>
      <c r="AG692" s="71">
        <f t="array" ref="AG692">IFERROR(xlookup(G692,'Old Master'!T:T,'Old Master'!V:V),N692)</f>
        <v>0.1900226494</v>
      </c>
      <c r="AH692" s="73">
        <f t="shared" si="229"/>
        <v>13947</v>
      </c>
      <c r="AI692" s="73">
        <f t="shared" si="230"/>
        <v>11819.49153</v>
      </c>
      <c r="AJ692" s="72">
        <f t="shared" si="19"/>
        <v>1</v>
      </c>
      <c r="AK692" s="61"/>
      <c r="AL692" s="71">
        <f t="array" ref="AL692">iferror(if(isblank(xlookup($G692,'Old Master'!$T:$T,'Old Master'!$W:$W)),AG692,xlookup($G692,'Old Master'!$T:$T,'Old Master'!$W:$W)),AG692)</f>
        <v>0.1900226494</v>
      </c>
      <c r="AM692" s="74">
        <f t="shared" si="20"/>
        <v>0.1928102677</v>
      </c>
      <c r="AN692" s="73">
        <f t="shared" si="416"/>
        <v>13899</v>
      </c>
    </row>
    <row r="693">
      <c r="A693" s="65" t="s">
        <v>777</v>
      </c>
      <c r="B693" s="65">
        <f t="shared" si="1"/>
        <v>75</v>
      </c>
      <c r="C693" s="65" t="str">
        <f t="shared" si="403"/>
        <v>SC-ORIG-K-75x77x5</v>
      </c>
      <c r="D693" s="65" t="s">
        <v>779</v>
      </c>
      <c r="E693" s="65">
        <v>0.0</v>
      </c>
      <c r="F693" s="65" t="s">
        <v>780</v>
      </c>
      <c r="G693" s="65" t="s">
        <v>51</v>
      </c>
      <c r="H693" s="65" t="s">
        <v>52</v>
      </c>
      <c r="I693" s="65">
        <v>17629.0</v>
      </c>
      <c r="J693" s="66">
        <v>0.28</v>
      </c>
      <c r="K693" s="65">
        <f t="shared" si="3"/>
        <v>12693</v>
      </c>
      <c r="L693" s="66">
        <v>0.24</v>
      </c>
      <c r="M693" s="65">
        <f t="shared" si="4"/>
        <v>13398</v>
      </c>
      <c r="N693" s="67">
        <f t="shared" si="404"/>
        <v>0.1900277951</v>
      </c>
      <c r="O693" s="68">
        <v>14279.0</v>
      </c>
      <c r="P693" s="67">
        <f t="shared" si="412"/>
        <v>0.1900277951</v>
      </c>
      <c r="Q693" s="69">
        <v>14279.0</v>
      </c>
      <c r="R693" s="76"/>
      <c r="S693" s="72">
        <f t="shared" si="418"/>
        <v>0.065756083</v>
      </c>
      <c r="T693" s="72">
        <f t="shared" si="6"/>
        <v>0</v>
      </c>
      <c r="U693" s="73" t="str">
        <f t="shared" si="417"/>
        <v/>
      </c>
      <c r="V693" s="73">
        <f t="shared" si="340"/>
        <v>11354.23729</v>
      </c>
      <c r="W693" s="73">
        <f t="shared" si="9"/>
        <v>11354.23729</v>
      </c>
      <c r="X693" s="74">
        <f t="shared" si="10"/>
        <v>1</v>
      </c>
      <c r="Y693" s="73">
        <f t="shared" si="333"/>
        <v>0</v>
      </c>
      <c r="Z693" s="73">
        <f t="shared" si="12"/>
        <v>12100.84746</v>
      </c>
      <c r="AA693" s="73">
        <f t="shared" si="13"/>
        <v>12100.84746</v>
      </c>
      <c r="AB693" s="74">
        <f t="shared" si="14"/>
        <v>1</v>
      </c>
      <c r="AC693" s="61" t="str">
        <f t="shared" si="15"/>
        <v>5</v>
      </c>
      <c r="AD693" s="71" t="str">
        <f t="shared" si="16"/>
        <v>#DIV/0!</v>
      </c>
      <c r="AE693" s="61"/>
      <c r="AF693" s="61"/>
      <c r="AG693" s="71">
        <f t="array" ref="AG693">IFERROR(xlookup(G693,'Old Master'!T:T,'Old Master'!V:V),N693)</f>
        <v>0.1900277951</v>
      </c>
      <c r="AH693" s="73">
        <f t="shared" si="229"/>
        <v>14279</v>
      </c>
      <c r="AI693" s="73">
        <f t="shared" si="230"/>
        <v>12100.84746</v>
      </c>
      <c r="AJ693" s="72">
        <f t="shared" si="19"/>
        <v>1</v>
      </c>
      <c r="AK693" s="61"/>
      <c r="AL693" s="71">
        <f t="array" ref="AL693">iferror(if(isblank(xlookup($G693,'Old Master'!$T:$T,'Old Master'!$W:$W)),AG693,xlookup($G693,'Old Master'!$T:$T,'Old Master'!$W:$W)),AG693)</f>
        <v>0.1900277951</v>
      </c>
      <c r="AM693" s="74">
        <f t="shared" si="20"/>
        <v>0.1888933008</v>
      </c>
      <c r="AN693" s="73">
        <f t="shared" si="416"/>
        <v>14299</v>
      </c>
    </row>
    <row r="694">
      <c r="A694" s="65" t="s">
        <v>107</v>
      </c>
      <c r="B694" s="65">
        <f t="shared" si="1"/>
        <v>36</v>
      </c>
      <c r="C694" s="65" t="str">
        <f t="shared" si="403"/>
        <v>SC-ORIG-S-84x38x10</v>
      </c>
      <c r="D694" s="65" t="s">
        <v>109</v>
      </c>
      <c r="E694" s="65">
        <v>0.0</v>
      </c>
      <c r="F694" s="65" t="s">
        <v>110</v>
      </c>
      <c r="G694" s="65" t="s">
        <v>51</v>
      </c>
      <c r="H694" s="65" t="s">
        <v>52</v>
      </c>
      <c r="I694" s="65">
        <v>17999.0</v>
      </c>
      <c r="J694" s="66">
        <v>0.28</v>
      </c>
      <c r="K694" s="65">
        <f t="shared" si="3"/>
        <v>12959</v>
      </c>
      <c r="L694" s="66">
        <v>0.24</v>
      </c>
      <c r="M694" s="65">
        <f t="shared" si="4"/>
        <v>13679</v>
      </c>
      <c r="N694" s="67">
        <f t="shared" si="404"/>
        <v>0.1900105561</v>
      </c>
      <c r="O694" s="68">
        <v>14579.0</v>
      </c>
      <c r="P694" s="67">
        <f t="shared" si="412"/>
        <v>0.1900105561</v>
      </c>
      <c r="Q694" s="69">
        <v>14579.0</v>
      </c>
      <c r="R694" s="76"/>
      <c r="S694" s="72">
        <f t="shared" si="418"/>
        <v>0.06579428321</v>
      </c>
      <c r="T694" s="72">
        <f t="shared" si="6"/>
        <v>0</v>
      </c>
      <c r="U694" s="73" t="str">
        <f t="shared" si="417"/>
        <v/>
      </c>
      <c r="V694" s="73">
        <f t="shared" si="340"/>
        <v>11592.37288</v>
      </c>
      <c r="W694" s="73">
        <f t="shared" si="9"/>
        <v>11592.37288</v>
      </c>
      <c r="X694" s="74">
        <f t="shared" si="10"/>
        <v>1</v>
      </c>
      <c r="Y694" s="73">
        <f t="shared" si="333"/>
        <v>0</v>
      </c>
      <c r="Z694" s="73">
        <f t="shared" si="12"/>
        <v>12355.08475</v>
      </c>
      <c r="AA694" s="73">
        <f t="shared" si="13"/>
        <v>12355.08475</v>
      </c>
      <c r="AB694" s="74">
        <f t="shared" si="14"/>
        <v>1</v>
      </c>
      <c r="AC694" s="61" t="str">
        <f t="shared" si="15"/>
        <v>0</v>
      </c>
      <c r="AD694" s="71" t="str">
        <f t="shared" si="16"/>
        <v>#DIV/0!</v>
      </c>
      <c r="AE694" s="61"/>
      <c r="AF694" s="61"/>
      <c r="AG694" s="71">
        <f t="array" ref="AG694">IFERROR(xlookup(G694,'Old Master'!T:T,'Old Master'!V:V),N694)</f>
        <v>0.1900105561</v>
      </c>
      <c r="AH694" s="73">
        <f t="shared" si="229"/>
        <v>14579</v>
      </c>
      <c r="AI694" s="73">
        <f t="shared" si="230"/>
        <v>12355.08475</v>
      </c>
      <c r="AJ694" s="72">
        <f t="shared" si="19"/>
        <v>1</v>
      </c>
      <c r="AK694" s="61"/>
      <c r="AL694" s="71">
        <f t="array" ref="AL694">iferror(if(isblank(xlookup($G694,'Old Master'!$T:$T,'Old Master'!$W:$W)),AG694,xlookup($G694,'Old Master'!$T:$T,'Old Master'!$W:$W)),AG694)</f>
        <v>0.1900105561</v>
      </c>
      <c r="AM694" s="74">
        <f t="shared" si="20"/>
        <v>0.1888993833</v>
      </c>
      <c r="AN694" s="73">
        <f t="shared" si="416"/>
        <v>14599</v>
      </c>
    </row>
    <row r="695">
      <c r="A695" s="65" t="s">
        <v>253</v>
      </c>
      <c r="B695" s="65">
        <f t="shared" si="1"/>
        <v>48</v>
      </c>
      <c r="C695" s="65" t="str">
        <f t="shared" si="403"/>
        <v>SC-ORIG-D-84x50x8</v>
      </c>
      <c r="D695" s="65">
        <v>0.0</v>
      </c>
      <c r="E695" s="65">
        <v>0.0</v>
      </c>
      <c r="F695" s="65" t="s">
        <v>256</v>
      </c>
      <c r="G695" s="65" t="s">
        <v>51</v>
      </c>
      <c r="H695" s="65" t="s">
        <v>52</v>
      </c>
      <c r="I695" s="65">
        <v>18999.0</v>
      </c>
      <c r="J695" s="66">
        <v>0.28</v>
      </c>
      <c r="K695" s="65">
        <f t="shared" si="3"/>
        <v>13679</v>
      </c>
      <c r="L695" s="66">
        <v>0.24</v>
      </c>
      <c r="M695" s="65">
        <f t="shared" si="4"/>
        <v>14439</v>
      </c>
      <c r="N695" s="67">
        <f t="shared" si="404"/>
        <v>0.1900100005</v>
      </c>
      <c r="O695" s="68">
        <v>15389.0</v>
      </c>
      <c r="P695" s="67">
        <f t="shared" si="412"/>
        <v>0.1900100005</v>
      </c>
      <c r="Q695" s="69">
        <v>15389.0</v>
      </c>
      <c r="R695" s="76"/>
      <c r="S695" s="72">
        <f t="shared" si="418"/>
        <v>0.06579403006</v>
      </c>
      <c r="T695" s="72">
        <f t="shared" si="6"/>
        <v>0</v>
      </c>
      <c r="U695" s="73" t="str">
        <f t="shared" si="417"/>
        <v/>
      </c>
      <c r="V695" s="73">
        <f t="shared" si="340"/>
        <v>12236.44068</v>
      </c>
      <c r="W695" s="73">
        <f t="shared" si="9"/>
        <v>12236.44068</v>
      </c>
      <c r="X695" s="74">
        <f t="shared" si="10"/>
        <v>1</v>
      </c>
      <c r="Y695" s="73">
        <f t="shared" si="333"/>
        <v>0</v>
      </c>
      <c r="Z695" s="73">
        <f t="shared" si="12"/>
        <v>13041.52542</v>
      </c>
      <c r="AA695" s="73">
        <f t="shared" si="13"/>
        <v>13041.52542</v>
      </c>
      <c r="AB695" s="74">
        <f t="shared" si="14"/>
        <v>1</v>
      </c>
      <c r="AC695" s="61" t="str">
        <f t="shared" si="15"/>
        <v>8</v>
      </c>
      <c r="AD695" s="71" t="str">
        <f t="shared" si="16"/>
        <v>#DIV/0!</v>
      </c>
      <c r="AE695" s="61"/>
      <c r="AF695" s="61"/>
      <c r="AG695" s="71">
        <f t="array" ref="AG695">IFERROR(xlookup(G695,'Old Master'!T:T,'Old Master'!V:V),N695)</f>
        <v>0.1900100005</v>
      </c>
      <c r="AH695" s="73">
        <f t="shared" si="229"/>
        <v>15389</v>
      </c>
      <c r="AI695" s="73">
        <f t="shared" si="230"/>
        <v>13041.52542</v>
      </c>
      <c r="AJ695" s="72">
        <f t="shared" si="19"/>
        <v>1</v>
      </c>
      <c r="AK695" s="61"/>
      <c r="AL695" s="71">
        <f t="array" ref="AL695">iferror(if(isblank(xlookup($G695,'Old Master'!$T:$T,'Old Master'!$W:$W)),AG695,xlookup($G695,'Old Master'!$T:$T,'Old Master'!$W:$W)),AG695)</f>
        <v>0.1900100005</v>
      </c>
      <c r="AM695" s="74">
        <f t="shared" si="20"/>
        <v>0.189483657</v>
      </c>
      <c r="AN695" s="73">
        <f t="shared" si="416"/>
        <v>15399</v>
      </c>
    </row>
    <row r="696">
      <c r="A696" s="65" t="s">
        <v>279</v>
      </c>
      <c r="B696" s="65">
        <f t="shared" si="1"/>
        <v>48</v>
      </c>
      <c r="C696" s="65" t="str">
        <f t="shared" si="403"/>
        <v>SC-ORIG-D-84x50x10</v>
      </c>
      <c r="D696" s="65" t="s">
        <v>281</v>
      </c>
      <c r="E696" s="65">
        <v>0.0</v>
      </c>
      <c r="F696" s="65" t="s">
        <v>282</v>
      </c>
      <c r="G696" s="65" t="s">
        <v>51</v>
      </c>
      <c r="H696" s="65" t="s">
        <v>52</v>
      </c>
      <c r="I696" s="65">
        <v>20999.0</v>
      </c>
      <c r="J696" s="66">
        <v>0.28</v>
      </c>
      <c r="K696" s="65">
        <f t="shared" si="3"/>
        <v>15119</v>
      </c>
      <c r="L696" s="66">
        <v>0.24</v>
      </c>
      <c r="M696" s="65">
        <f t="shared" si="4"/>
        <v>15959</v>
      </c>
      <c r="N696" s="67">
        <f t="shared" si="404"/>
        <v>0.190009048</v>
      </c>
      <c r="O696" s="68">
        <v>17009.0</v>
      </c>
      <c r="P696" s="67">
        <f t="shared" si="412"/>
        <v>0.190009048</v>
      </c>
      <c r="Q696" s="69">
        <v>17009.0</v>
      </c>
      <c r="R696" s="76"/>
      <c r="S696" s="72">
        <f t="shared" si="418"/>
        <v>0.06579359609</v>
      </c>
      <c r="T696" s="72">
        <f t="shared" si="6"/>
        <v>0</v>
      </c>
      <c r="U696" s="73" t="str">
        <f t="shared" si="417"/>
        <v/>
      </c>
      <c r="V696" s="73">
        <f t="shared" si="340"/>
        <v>13524.57627</v>
      </c>
      <c r="W696" s="73">
        <f t="shared" si="9"/>
        <v>13524.57627</v>
      </c>
      <c r="X696" s="74">
        <f t="shared" si="10"/>
        <v>1</v>
      </c>
      <c r="Y696" s="73">
        <f t="shared" si="333"/>
        <v>0</v>
      </c>
      <c r="Z696" s="73">
        <f t="shared" si="12"/>
        <v>14414.40678</v>
      </c>
      <c r="AA696" s="73">
        <f t="shared" si="13"/>
        <v>14414.40678</v>
      </c>
      <c r="AB696" s="74">
        <f t="shared" si="14"/>
        <v>1</v>
      </c>
      <c r="AC696" s="61" t="str">
        <f t="shared" si="15"/>
        <v>0</v>
      </c>
      <c r="AD696" s="71" t="str">
        <f t="shared" si="16"/>
        <v>#DIV/0!</v>
      </c>
      <c r="AE696" s="61"/>
      <c r="AF696" s="61"/>
      <c r="AG696" s="71">
        <f t="array" ref="AG696">IFERROR(xlookup(G696,'Old Master'!T:T,'Old Master'!V:V),N696)</f>
        <v>0.190009048</v>
      </c>
      <c r="AH696" s="73">
        <f t="shared" si="229"/>
        <v>17009</v>
      </c>
      <c r="AI696" s="73">
        <f t="shared" si="230"/>
        <v>14414.40678</v>
      </c>
      <c r="AJ696" s="72">
        <f t="shared" si="19"/>
        <v>1</v>
      </c>
      <c r="AK696" s="61"/>
      <c r="AL696" s="71">
        <f t="array" ref="AL696">iferror(if(isblank(xlookup($G696,'Old Master'!$T:$T,'Old Master'!$W:$W)),AG696,xlookup($G696,'Old Master'!$T:$T,'Old Master'!$W:$W)),AG696)</f>
        <v>0.190009048</v>
      </c>
      <c r="AM696" s="74">
        <f t="shared" si="20"/>
        <v>0.1904852612</v>
      </c>
      <c r="AN696" s="73">
        <f t="shared" si="416"/>
        <v>16999</v>
      </c>
    </row>
    <row r="697">
      <c r="A697" s="65" t="s">
        <v>443</v>
      </c>
      <c r="B697" s="65">
        <f t="shared" si="1"/>
        <v>66</v>
      </c>
      <c r="C697" s="65" t="str">
        <f t="shared" si="403"/>
        <v>SC-ORIG-Q-72x68x10</v>
      </c>
      <c r="D697" s="65" t="s">
        <v>445</v>
      </c>
      <c r="E697" s="65" t="s">
        <v>446</v>
      </c>
      <c r="F697" s="65" t="s">
        <v>447</v>
      </c>
      <c r="G697" s="65" t="s">
        <v>51</v>
      </c>
      <c r="H697" s="65" t="s">
        <v>52</v>
      </c>
      <c r="I697" s="65">
        <v>22399.0</v>
      </c>
      <c r="J697" s="66">
        <v>0.28</v>
      </c>
      <c r="K697" s="65">
        <f t="shared" si="3"/>
        <v>16127</v>
      </c>
      <c r="L697" s="66">
        <v>0.24</v>
      </c>
      <c r="M697" s="65">
        <f t="shared" si="4"/>
        <v>17023</v>
      </c>
      <c r="N697" s="67">
        <f t="shared" si="404"/>
        <v>0.1900084825</v>
      </c>
      <c r="O697" s="68">
        <v>18143.0</v>
      </c>
      <c r="P697" s="67">
        <f t="shared" si="412"/>
        <v>0.1900084825</v>
      </c>
      <c r="Q697" s="69">
        <v>18143.0</v>
      </c>
      <c r="R697" s="76"/>
      <c r="S697" s="72">
        <f t="shared" si="418"/>
        <v>0.06579333842</v>
      </c>
      <c r="T697" s="72">
        <f t="shared" si="6"/>
        <v>0</v>
      </c>
      <c r="U697" s="73" t="str">
        <f t="shared" si="417"/>
        <v/>
      </c>
      <c r="V697" s="73">
        <f t="shared" si="340"/>
        <v>14426.27119</v>
      </c>
      <c r="W697" s="73">
        <f t="shared" si="9"/>
        <v>14426.27119</v>
      </c>
      <c r="X697" s="74">
        <f t="shared" si="10"/>
        <v>1</v>
      </c>
      <c r="Y697" s="73">
        <f t="shared" si="333"/>
        <v>0</v>
      </c>
      <c r="Z697" s="73">
        <f t="shared" si="12"/>
        <v>15375.42373</v>
      </c>
      <c r="AA697" s="73">
        <f t="shared" si="13"/>
        <v>15375.42373</v>
      </c>
      <c r="AB697" s="74">
        <f t="shared" si="14"/>
        <v>1</v>
      </c>
      <c r="AC697" s="61" t="str">
        <f t="shared" si="15"/>
        <v>0</v>
      </c>
      <c r="AD697" s="71" t="str">
        <f t="shared" si="16"/>
        <v>#DIV/0!</v>
      </c>
      <c r="AE697" s="61"/>
      <c r="AF697" s="61"/>
      <c r="AG697" s="71">
        <f t="array" ref="AG697">IFERROR(xlookup(G697,'Old Master'!T:T,'Old Master'!V:V),N697)</f>
        <v>0.1900084825</v>
      </c>
      <c r="AH697" s="73">
        <f t="shared" si="229"/>
        <v>18143</v>
      </c>
      <c r="AI697" s="73">
        <f t="shared" si="230"/>
        <v>15375.42373</v>
      </c>
      <c r="AJ697" s="72">
        <f t="shared" si="19"/>
        <v>1</v>
      </c>
      <c r="AK697" s="61"/>
      <c r="AL697" s="71">
        <f t="array" ref="AL697">iferror(if(isblank(xlookup($G697,'Old Master'!$T:$T,'Old Master'!$W:$W)),AG697,xlookup($G697,'Old Master'!$T:$T,'Old Master'!$W:$W)),AG697)</f>
        <v>0.1900084825</v>
      </c>
      <c r="AM697" s="74">
        <f t="shared" si="20"/>
        <v>0.1919728559</v>
      </c>
      <c r="AN697" s="73">
        <f t="shared" si="416"/>
        <v>18099</v>
      </c>
    </row>
    <row r="698">
      <c r="A698" s="65" t="s">
        <v>705</v>
      </c>
      <c r="B698" s="65">
        <f t="shared" si="1"/>
        <v>78</v>
      </c>
      <c r="C698" s="65" t="str">
        <f t="shared" si="403"/>
        <v>SC-ORIG-K-84x80x10</v>
      </c>
      <c r="D698" s="65" t="s">
        <v>707</v>
      </c>
      <c r="E698" s="65">
        <v>0.0</v>
      </c>
      <c r="F698" s="65">
        <v>0.0</v>
      </c>
      <c r="G698" s="65" t="s">
        <v>51</v>
      </c>
      <c r="H698" s="65" t="s">
        <v>52</v>
      </c>
      <c r="I698" s="65">
        <v>30999.0</v>
      </c>
      <c r="J698" s="66">
        <v>0.28</v>
      </c>
      <c r="K698" s="65">
        <f t="shared" si="3"/>
        <v>22319</v>
      </c>
      <c r="L698" s="66">
        <v>0.24</v>
      </c>
      <c r="M698" s="65">
        <f t="shared" si="4"/>
        <v>23559</v>
      </c>
      <c r="N698" s="67">
        <f t="shared" si="404"/>
        <v>0.1900061292</v>
      </c>
      <c r="O698" s="68">
        <v>25109.0</v>
      </c>
      <c r="P698" s="67">
        <f t="shared" si="412"/>
        <v>0.1900061292</v>
      </c>
      <c r="Q698" s="69">
        <v>25109.0</v>
      </c>
      <c r="R698" s="76"/>
      <c r="S698" s="72">
        <f t="shared" si="418"/>
        <v>0.06579226623</v>
      </c>
      <c r="T698" s="72">
        <f t="shared" si="6"/>
        <v>0</v>
      </c>
      <c r="U698" s="73" t="str">
        <f t="shared" si="417"/>
        <v/>
      </c>
      <c r="V698" s="73">
        <f t="shared" si="340"/>
        <v>19965.25424</v>
      </c>
      <c r="W698" s="73">
        <f t="shared" si="9"/>
        <v>19965.25424</v>
      </c>
      <c r="X698" s="74">
        <f t="shared" si="10"/>
        <v>1</v>
      </c>
      <c r="Y698" s="73">
        <f t="shared" si="333"/>
        <v>0</v>
      </c>
      <c r="Z698" s="73">
        <f t="shared" si="12"/>
        <v>21278.81356</v>
      </c>
      <c r="AA698" s="73">
        <f t="shared" si="13"/>
        <v>21278.81356</v>
      </c>
      <c r="AB698" s="74">
        <f t="shared" si="14"/>
        <v>1</v>
      </c>
      <c r="AC698" s="61" t="str">
        <f t="shared" si="15"/>
        <v>0</v>
      </c>
      <c r="AD698" s="71" t="str">
        <f t="shared" si="16"/>
        <v>#DIV/0!</v>
      </c>
      <c r="AE698" s="61"/>
      <c r="AF698" s="61"/>
      <c r="AG698" s="71">
        <f t="array" ref="AG698">IFERROR(xlookup(G698,'Old Master'!T:T,'Old Master'!V:V),N698)</f>
        <v>0.1900061292</v>
      </c>
      <c r="AH698" s="73">
        <f t="shared" si="229"/>
        <v>25109</v>
      </c>
      <c r="AI698" s="73">
        <f t="shared" si="230"/>
        <v>21278.81356</v>
      </c>
      <c r="AJ698" s="72">
        <f t="shared" si="19"/>
        <v>1</v>
      </c>
      <c r="AK698" s="61"/>
      <c r="AL698" s="71">
        <f t="array" ref="AL698">iferror(if(isblank(xlookup($G698,'Old Master'!$T:$T,'Old Master'!$W:$W)),AG698,xlookup($G698,'Old Master'!$T:$T,'Old Master'!$W:$W)),AG698)</f>
        <v>0.1900061292</v>
      </c>
      <c r="AM698" s="74">
        <f t="shared" si="20"/>
        <v>0.1903287203</v>
      </c>
      <c r="AN698" s="73">
        <f t="shared" si="416"/>
        <v>25099</v>
      </c>
    </row>
    <row r="699">
      <c r="A699" s="65" t="s">
        <v>156</v>
      </c>
      <c r="B699" s="65">
        <f t="shared" si="1"/>
        <v>42</v>
      </c>
      <c r="C699" s="65" t="str">
        <f t="shared" si="403"/>
        <v>SC-ORIG-S-75x44x5</v>
      </c>
      <c r="D699" s="65" t="s">
        <v>158</v>
      </c>
      <c r="E699" s="65">
        <v>0.0</v>
      </c>
      <c r="F699" s="65" t="s">
        <v>159</v>
      </c>
      <c r="G699" s="65" t="s">
        <v>51</v>
      </c>
      <c r="H699" s="65" t="s">
        <v>52</v>
      </c>
      <c r="I699" s="65">
        <v>11799.0</v>
      </c>
      <c r="J699" s="66">
        <v>0.28</v>
      </c>
      <c r="K699" s="65">
        <f t="shared" si="3"/>
        <v>8495</v>
      </c>
      <c r="L699" s="66">
        <v>0.24</v>
      </c>
      <c r="M699" s="65">
        <f t="shared" si="4"/>
        <v>8967</v>
      </c>
      <c r="N699" s="67">
        <f t="shared" si="404"/>
        <v>0.1900161031</v>
      </c>
      <c r="O699" s="68">
        <v>9557.0</v>
      </c>
      <c r="P699" s="67">
        <f t="shared" si="412"/>
        <v>0.1900161031</v>
      </c>
      <c r="Q699" s="69">
        <v>9557.0</v>
      </c>
      <c r="R699" s="76"/>
      <c r="S699" s="72">
        <f t="shared" si="418"/>
        <v>0.06579681053</v>
      </c>
      <c r="T699" s="72">
        <f t="shared" si="6"/>
        <v>0</v>
      </c>
      <c r="U699" s="73">
        <f t="array" ref="U699">IFERROR(XLOOKUP(A699,COGS!I:I,COGS!J:J), IFERROR(XLOOKUP(C699,COGS!I:I,COGS!J:J),I699*35%))</f>
        <v>4129.65</v>
      </c>
      <c r="V699" s="73">
        <f t="shared" si="340"/>
        <v>7599.152542</v>
      </c>
      <c r="W699" s="73">
        <f t="shared" si="9"/>
        <v>3469.502542</v>
      </c>
      <c r="X699" s="74">
        <f t="shared" si="10"/>
        <v>0.4565644028</v>
      </c>
      <c r="Y699" s="73">
        <f t="shared" si="333"/>
        <v>4749.0975</v>
      </c>
      <c r="Z699" s="73">
        <f t="shared" si="12"/>
        <v>8099.152542</v>
      </c>
      <c r="AA699" s="73">
        <f t="shared" si="13"/>
        <v>3350.055042</v>
      </c>
      <c r="AB699" s="74">
        <f t="shared" si="14"/>
        <v>0.4136303181</v>
      </c>
      <c r="AC699" s="61" t="str">
        <f t="shared" si="15"/>
        <v>5</v>
      </c>
      <c r="AD699" s="71">
        <f t="shared" si="16"/>
        <v>0.15</v>
      </c>
      <c r="AE699" s="61"/>
      <c r="AF699" s="61"/>
      <c r="AG699" s="71">
        <f t="array" ref="AG699">IFERROR(xlookup(G699,'Old Master'!T:T,'Old Master'!V:V),N699)</f>
        <v>0.1900161031</v>
      </c>
      <c r="AH699" s="73">
        <f t="shared" si="229"/>
        <v>9557</v>
      </c>
      <c r="AI699" s="73">
        <f t="shared" si="230"/>
        <v>3350.055042</v>
      </c>
      <c r="AJ699" s="72">
        <f t="shared" si="19"/>
        <v>0.4136303181</v>
      </c>
      <c r="AK699" s="61"/>
      <c r="AL699" s="71">
        <f t="array" ref="AL699">iferror(if(isblank(xlookup($G699,'Old Master'!$T:$T,'Old Master'!$W:$W)),AG699,xlookup($G699,'Old Master'!$T:$T,'Old Master'!$W:$W)),AG699)</f>
        <v>0.1900161031</v>
      </c>
      <c r="AM699" s="74">
        <f t="shared" si="20"/>
        <v>0.1864564794</v>
      </c>
      <c r="AN699" s="73">
        <f t="shared" si="416"/>
        <v>9599</v>
      </c>
    </row>
    <row r="700">
      <c r="A700" s="65" t="s">
        <v>675</v>
      </c>
      <c r="B700" s="65">
        <f t="shared" si="1"/>
        <v>70</v>
      </c>
      <c r="C700" s="65" t="str">
        <f t="shared" si="403"/>
        <v>SC-ORIG-K-75x72x10</v>
      </c>
      <c r="D700" s="65" t="s">
        <v>677</v>
      </c>
      <c r="E700" s="65">
        <v>0.0</v>
      </c>
      <c r="F700" s="65" t="s">
        <v>678</v>
      </c>
      <c r="G700" s="65" t="s">
        <v>51</v>
      </c>
      <c r="H700" s="65" t="s">
        <v>52</v>
      </c>
      <c r="I700" s="65">
        <v>23599.0</v>
      </c>
      <c r="J700" s="66">
        <v>0.28</v>
      </c>
      <c r="K700" s="65">
        <f t="shared" si="3"/>
        <v>16991</v>
      </c>
      <c r="L700" s="66">
        <v>0.24</v>
      </c>
      <c r="M700" s="65">
        <f t="shared" si="4"/>
        <v>17935</v>
      </c>
      <c r="N700" s="67">
        <f t="shared" si="404"/>
        <v>0.1900080512</v>
      </c>
      <c r="O700" s="68">
        <v>19115.0</v>
      </c>
      <c r="P700" s="67">
        <f t="shared" si="412"/>
        <v>0.1900080512</v>
      </c>
      <c r="Q700" s="69">
        <v>19115.0</v>
      </c>
      <c r="R700" s="76"/>
      <c r="S700" s="72">
        <f t="shared" si="418"/>
        <v>0.0657931419</v>
      </c>
      <c r="T700" s="72">
        <f t="shared" si="6"/>
        <v>0</v>
      </c>
      <c r="U700" s="73" t="str">
        <f t="array" ref="U700">IFERROR(XLOOKUP(A700,COGS!I:I,COGS!J:J), IFERROR(XLOOKUP(C700,COGS!I:I,COGS!J:J),""))</f>
        <v/>
      </c>
      <c r="V700" s="73">
        <f t="shared" si="340"/>
        <v>15199.15254</v>
      </c>
      <c r="W700" s="73">
        <f t="shared" si="9"/>
        <v>15199.15254</v>
      </c>
      <c r="X700" s="74">
        <f t="shared" si="10"/>
        <v>1</v>
      </c>
      <c r="Y700" s="73">
        <f t="shared" si="333"/>
        <v>0</v>
      </c>
      <c r="Z700" s="73">
        <f t="shared" si="12"/>
        <v>16199.15254</v>
      </c>
      <c r="AA700" s="73">
        <f t="shared" si="13"/>
        <v>16199.15254</v>
      </c>
      <c r="AB700" s="74">
        <f t="shared" si="14"/>
        <v>1</v>
      </c>
      <c r="AC700" s="61" t="str">
        <f t="shared" si="15"/>
        <v>0</v>
      </c>
      <c r="AD700" s="71" t="str">
        <f t="shared" si="16"/>
        <v>#DIV/0!</v>
      </c>
      <c r="AE700" s="61"/>
      <c r="AF700" s="61"/>
      <c r="AG700" s="71">
        <f t="array" ref="AG700">IFERROR(xlookup(G700,'Old Master'!T:T,'Old Master'!V:V),N700)</f>
        <v>0.1900080512</v>
      </c>
      <c r="AH700" s="73">
        <f t="shared" si="229"/>
        <v>19115</v>
      </c>
      <c r="AI700" s="73">
        <f t="shared" si="230"/>
        <v>16199.15254</v>
      </c>
      <c r="AJ700" s="72">
        <f t="shared" si="19"/>
        <v>1</v>
      </c>
      <c r="AK700" s="61"/>
      <c r="AL700" s="71">
        <f t="array" ref="AL700">iferror(if(isblank(xlookup($G700,'Old Master'!$T:$T,'Old Master'!$W:$W)),AG700,xlookup($G700,'Old Master'!$T:$T,'Old Master'!$W:$W)),AG700)</f>
        <v>0.1900080512</v>
      </c>
      <c r="AM700" s="74">
        <f t="shared" si="20"/>
        <v>0.190686046</v>
      </c>
      <c r="AN700" s="73">
        <f t="shared" si="416"/>
        <v>19099</v>
      </c>
    </row>
    <row r="701">
      <c r="A701" s="65" t="s">
        <v>4928</v>
      </c>
      <c r="B701" s="65">
        <f t="shared" si="1"/>
        <v>42</v>
      </c>
      <c r="C701" s="65" t="str">
        <f t="shared" si="403"/>
        <v>SC-ORIG-S-72x44x6</v>
      </c>
      <c r="D701" s="65" t="s">
        <v>5252</v>
      </c>
      <c r="E701" s="65" t="s">
        <v>5191</v>
      </c>
      <c r="F701" s="65">
        <v>0.0</v>
      </c>
      <c r="G701" s="65" t="s">
        <v>51</v>
      </c>
      <c r="H701" s="65" t="s">
        <v>52</v>
      </c>
      <c r="I701" s="65">
        <v>11999.0</v>
      </c>
      <c r="J701" s="66">
        <v>0.28</v>
      </c>
      <c r="K701" s="65">
        <f t="shared" si="3"/>
        <v>8639</v>
      </c>
      <c r="L701" s="66">
        <v>0.24</v>
      </c>
      <c r="M701" s="65">
        <f t="shared" si="4"/>
        <v>9119</v>
      </c>
      <c r="N701" s="67">
        <f t="shared" si="404"/>
        <v>0.1900158347</v>
      </c>
      <c r="O701" s="68">
        <v>9719.0</v>
      </c>
      <c r="P701" s="67">
        <f t="shared" si="412"/>
        <v>0.1900158347</v>
      </c>
      <c r="Q701" s="69">
        <v>9719.0</v>
      </c>
      <c r="R701" s="76"/>
      <c r="S701" s="72">
        <f t="shared" si="418"/>
        <v>0.06579668823</v>
      </c>
      <c r="T701" s="72">
        <f t="shared" si="6"/>
        <v>0</v>
      </c>
      <c r="U701" s="73">
        <f t="shared" ref="U701:U705" si="419">IFERROR(XLOOKUP(A701,COGS!I:I,COGS!J:J), IFERROR(XLOOKUP(C701,COGS!I:I,COGS!J:J),I701*35%))</f>
        <v>4199.65</v>
      </c>
      <c r="V701" s="73">
        <f t="shared" si="340"/>
        <v>7727.966102</v>
      </c>
      <c r="W701" s="73">
        <f t="shared" si="9"/>
        <v>3528.316102</v>
      </c>
      <c r="X701" s="74">
        <f t="shared" si="10"/>
        <v>0.4565646452</v>
      </c>
      <c r="Y701" s="73">
        <f t="shared" si="333"/>
        <v>4829.5975</v>
      </c>
      <c r="Z701" s="73">
        <f t="shared" si="12"/>
        <v>8236.440678</v>
      </c>
      <c r="AA701" s="73">
        <f t="shared" si="13"/>
        <v>3406.843178</v>
      </c>
      <c r="AB701" s="74">
        <f t="shared" si="14"/>
        <v>0.4136305124</v>
      </c>
      <c r="AC701" s="61" t="str">
        <f t="shared" si="15"/>
        <v>6</v>
      </c>
      <c r="AD701" s="71">
        <f t="shared" si="16"/>
        <v>0.15</v>
      </c>
      <c r="AE701" s="61"/>
      <c r="AF701" s="61"/>
      <c r="AG701" s="71">
        <f t="array" ref="AG701">IFERROR(xlookup(G701,'Old Master'!T:T,'Old Master'!V:V),N701)</f>
        <v>0.1900158347</v>
      </c>
      <c r="AH701" s="73">
        <f t="shared" si="229"/>
        <v>9719</v>
      </c>
      <c r="AI701" s="73">
        <f t="shared" si="230"/>
        <v>3406.843178</v>
      </c>
      <c r="AJ701" s="72">
        <f t="shared" si="19"/>
        <v>0.4136305124</v>
      </c>
      <c r="AK701" s="61"/>
      <c r="AL701" s="71">
        <f t="array" ref="AL701">iferror(if(isblank(xlookup($G701,'Old Master'!$T:$T,'Old Master'!$W:$W)),AG701,xlookup($G701,'Old Master'!$T:$T,'Old Master'!$W:$W)),AG701)</f>
        <v>0.1900158347</v>
      </c>
      <c r="AM701" s="74">
        <f t="shared" si="20"/>
        <v>0.1916826402</v>
      </c>
      <c r="AN701" s="73">
        <f t="shared" si="416"/>
        <v>9699</v>
      </c>
    </row>
    <row r="702">
      <c r="A702" s="65" t="s">
        <v>4932</v>
      </c>
      <c r="B702" s="65">
        <f t="shared" si="1"/>
        <v>42</v>
      </c>
      <c r="C702" s="65" t="str">
        <f t="shared" si="403"/>
        <v>SC-ORIG-S-78x44x6</v>
      </c>
      <c r="D702" s="65" t="s">
        <v>5251</v>
      </c>
      <c r="E702" s="65">
        <v>0.0</v>
      </c>
      <c r="F702" s="65" t="s">
        <v>4935</v>
      </c>
      <c r="G702" s="65" t="s">
        <v>51</v>
      </c>
      <c r="H702" s="65" t="s">
        <v>52</v>
      </c>
      <c r="I702" s="65">
        <v>11999.0</v>
      </c>
      <c r="J702" s="66">
        <v>0.28</v>
      </c>
      <c r="K702" s="65">
        <f t="shared" si="3"/>
        <v>8639</v>
      </c>
      <c r="L702" s="66">
        <v>0.24</v>
      </c>
      <c r="M702" s="65">
        <f t="shared" si="4"/>
        <v>9119</v>
      </c>
      <c r="N702" s="67">
        <f t="shared" si="404"/>
        <v>0.1900158347</v>
      </c>
      <c r="O702" s="68">
        <v>9719.0</v>
      </c>
      <c r="P702" s="67">
        <f t="shared" si="412"/>
        <v>0.1900158347</v>
      </c>
      <c r="Q702" s="69">
        <v>9719.0</v>
      </c>
      <c r="R702" s="76"/>
      <c r="S702" s="72">
        <f t="shared" si="418"/>
        <v>0.06579668823</v>
      </c>
      <c r="T702" s="72">
        <f t="shared" si="6"/>
        <v>0</v>
      </c>
      <c r="U702" s="73">
        <f t="shared" si="419"/>
        <v>4199.65</v>
      </c>
      <c r="V702" s="73">
        <f t="shared" si="340"/>
        <v>7727.966102</v>
      </c>
      <c r="W702" s="73">
        <f t="shared" si="9"/>
        <v>3528.316102</v>
      </c>
      <c r="X702" s="74">
        <f t="shared" si="10"/>
        <v>0.4565646452</v>
      </c>
      <c r="Y702" s="73">
        <f t="shared" si="333"/>
        <v>4829.5975</v>
      </c>
      <c r="Z702" s="73">
        <f t="shared" si="12"/>
        <v>8236.440678</v>
      </c>
      <c r="AA702" s="73">
        <f t="shared" si="13"/>
        <v>3406.843178</v>
      </c>
      <c r="AB702" s="74">
        <f t="shared" si="14"/>
        <v>0.4136305124</v>
      </c>
      <c r="AC702" s="61" t="str">
        <f t="shared" si="15"/>
        <v>6</v>
      </c>
      <c r="AD702" s="71">
        <f t="shared" si="16"/>
        <v>0.15</v>
      </c>
      <c r="AE702" s="61"/>
      <c r="AF702" s="61"/>
      <c r="AG702" s="71">
        <f t="array" ref="AG702">IFERROR(xlookup(G702,'Old Master'!T:T,'Old Master'!V:V),N702)</f>
        <v>0.1900158347</v>
      </c>
      <c r="AH702" s="73">
        <f t="shared" si="229"/>
        <v>9719</v>
      </c>
      <c r="AI702" s="73">
        <f t="shared" si="230"/>
        <v>3406.843178</v>
      </c>
      <c r="AJ702" s="72">
        <f t="shared" si="19"/>
        <v>0.4136305124</v>
      </c>
      <c r="AK702" s="61"/>
      <c r="AL702" s="71">
        <f t="array" ref="AL702">iferror(if(isblank(xlookup($G702,'Old Master'!$T:$T,'Old Master'!$W:$W)),AG702,xlookup($G702,'Old Master'!$T:$T,'Old Master'!$W:$W)),AG702)</f>
        <v>0.1900158347</v>
      </c>
      <c r="AM702" s="74">
        <f t="shared" si="20"/>
        <v>0.1916826402</v>
      </c>
      <c r="AN702" s="73">
        <f t="shared" si="416"/>
        <v>9699</v>
      </c>
    </row>
    <row r="703">
      <c r="A703" s="65" t="s">
        <v>4936</v>
      </c>
      <c r="B703" s="65">
        <f t="shared" si="1"/>
        <v>84</v>
      </c>
      <c r="C703" s="65" t="str">
        <f t="shared" si="403"/>
        <v>SC-ORIG-K-84x86x10</v>
      </c>
      <c r="D703" s="65">
        <v>0.0</v>
      </c>
      <c r="E703" s="65">
        <v>0.0</v>
      </c>
      <c r="F703" s="65" t="s">
        <v>4939</v>
      </c>
      <c r="G703" s="65" t="s">
        <v>51</v>
      </c>
      <c r="H703" s="65" t="s">
        <v>52</v>
      </c>
      <c r="I703" s="65">
        <v>29999.0</v>
      </c>
      <c r="J703" s="66">
        <v>0.28</v>
      </c>
      <c r="K703" s="65">
        <f t="shared" si="3"/>
        <v>21599</v>
      </c>
      <c r="L703" s="66">
        <v>0.24</v>
      </c>
      <c r="M703" s="65">
        <f t="shared" si="4"/>
        <v>22799</v>
      </c>
      <c r="N703" s="67">
        <f t="shared" si="404"/>
        <v>0.1900063335</v>
      </c>
      <c r="O703" s="68">
        <v>24299.0</v>
      </c>
      <c r="P703" s="67">
        <f t="shared" si="412"/>
        <v>0.1900063335</v>
      </c>
      <c r="Q703" s="69">
        <v>24299.0</v>
      </c>
      <c r="R703" s="76"/>
      <c r="S703" s="72">
        <f t="shared" si="418"/>
        <v>0.06579235931</v>
      </c>
      <c r="T703" s="72">
        <f t="shared" si="6"/>
        <v>0</v>
      </c>
      <c r="U703" s="73">
        <f t="shared" si="419"/>
        <v>10499.65</v>
      </c>
      <c r="V703" s="73">
        <f t="shared" si="340"/>
        <v>19321.18644</v>
      </c>
      <c r="W703" s="73">
        <f t="shared" si="9"/>
        <v>8821.536441</v>
      </c>
      <c r="X703" s="74">
        <f t="shared" si="10"/>
        <v>0.4565732269</v>
      </c>
      <c r="Y703" s="73">
        <f t="shared" si="333"/>
        <v>12074.5975</v>
      </c>
      <c r="Z703" s="73">
        <f t="shared" si="12"/>
        <v>20592.37288</v>
      </c>
      <c r="AA703" s="73">
        <f t="shared" si="13"/>
        <v>8517.775381</v>
      </c>
      <c r="AB703" s="74">
        <f t="shared" si="14"/>
        <v>0.4136373904</v>
      </c>
      <c r="AC703" s="61" t="str">
        <f t="shared" si="15"/>
        <v>0</v>
      </c>
      <c r="AD703" s="71">
        <f t="shared" si="16"/>
        <v>0.15</v>
      </c>
      <c r="AE703" s="61"/>
      <c r="AF703" s="61"/>
      <c r="AG703" s="71">
        <f t="array" ref="AG703">IFERROR(xlookup(G703,'Old Master'!T:T,'Old Master'!V:V),N703)</f>
        <v>0.1900063335</v>
      </c>
      <c r="AH703" s="73">
        <f t="shared" si="229"/>
        <v>24299</v>
      </c>
      <c r="AI703" s="73">
        <f t="shared" si="230"/>
        <v>8517.775381</v>
      </c>
      <c r="AJ703" s="72">
        <f t="shared" si="19"/>
        <v>0.4136373904</v>
      </c>
      <c r="AK703" s="61"/>
      <c r="AL703" s="71">
        <f t="array" ref="AL703">iferror(if(isblank(xlookup($G703,'Old Master'!$T:$T,'Old Master'!$W:$W)),AG703,xlookup($G703,'Old Master'!$T:$T,'Old Master'!$W:$W)),AG703)</f>
        <v>0.1900063335</v>
      </c>
      <c r="AM703" s="74">
        <f t="shared" si="20"/>
        <v>0.1900063335</v>
      </c>
      <c r="AN703" s="73">
        <f t="shared" si="416"/>
        <v>24299</v>
      </c>
    </row>
    <row r="704">
      <c r="A704" s="65" t="s">
        <v>476</v>
      </c>
      <c r="B704" s="65">
        <f t="shared" si="1"/>
        <v>66</v>
      </c>
      <c r="C704" s="65" t="str">
        <f t="shared" si="403"/>
        <v>SC-ORIG-Q-84x68x10</v>
      </c>
      <c r="D704" s="65">
        <v>0.0</v>
      </c>
      <c r="E704" s="65">
        <v>0.0</v>
      </c>
      <c r="F704" s="65" t="s">
        <v>479</v>
      </c>
      <c r="G704" s="65" t="s">
        <v>51</v>
      </c>
      <c r="H704" s="65" t="s">
        <v>52</v>
      </c>
      <c r="I704" s="65">
        <v>25999.0</v>
      </c>
      <c r="J704" s="66">
        <v>0.28</v>
      </c>
      <c r="K704" s="65">
        <f t="shared" si="3"/>
        <v>18719</v>
      </c>
      <c r="L704" s="66">
        <v>0.24</v>
      </c>
      <c r="M704" s="65">
        <f t="shared" si="4"/>
        <v>19759</v>
      </c>
      <c r="N704" s="67">
        <f t="shared" si="404"/>
        <v>0.190007308</v>
      </c>
      <c r="O704" s="68">
        <v>21059.0</v>
      </c>
      <c r="P704" s="67">
        <f t="shared" si="412"/>
        <v>0.190007308</v>
      </c>
      <c r="Q704" s="69">
        <v>21059.0</v>
      </c>
      <c r="R704" s="76"/>
      <c r="S704" s="72">
        <f t="shared" si="418"/>
        <v>0.06579280328</v>
      </c>
      <c r="T704" s="72">
        <f t="shared" si="6"/>
        <v>0</v>
      </c>
      <c r="U704" s="73">
        <f t="shared" si="419"/>
        <v>9099.65</v>
      </c>
      <c r="V704" s="73">
        <f t="shared" si="340"/>
        <v>16744.91525</v>
      </c>
      <c r="W704" s="73">
        <f t="shared" si="9"/>
        <v>7645.265254</v>
      </c>
      <c r="X704" s="74">
        <f t="shared" si="10"/>
        <v>0.4565723468</v>
      </c>
      <c r="Y704" s="73">
        <f t="shared" si="333"/>
        <v>10464.5975</v>
      </c>
      <c r="Z704" s="73">
        <f t="shared" si="12"/>
        <v>17846.61017</v>
      </c>
      <c r="AA704" s="73">
        <f t="shared" si="13"/>
        <v>7382.012669</v>
      </c>
      <c r="AB704" s="74">
        <f t="shared" si="14"/>
        <v>0.413636685</v>
      </c>
      <c r="AC704" s="61" t="str">
        <f t="shared" si="15"/>
        <v>0</v>
      </c>
      <c r="AD704" s="71">
        <f t="shared" si="16"/>
        <v>0.15</v>
      </c>
      <c r="AE704" s="61"/>
      <c r="AF704" s="61"/>
      <c r="AG704" s="71">
        <f t="array" ref="AG704">IFERROR(xlookup(G704,'Old Master'!T:T,'Old Master'!V:V),N704)</f>
        <v>0.190007308</v>
      </c>
      <c r="AH704" s="73">
        <f t="shared" si="229"/>
        <v>21059</v>
      </c>
      <c r="AI704" s="73">
        <f t="shared" si="230"/>
        <v>7382.012669</v>
      </c>
      <c r="AJ704" s="72">
        <f t="shared" si="19"/>
        <v>0.413636685</v>
      </c>
      <c r="AK704" s="61"/>
      <c r="AL704" s="71">
        <f t="array" ref="AL704">iferror(if(isblank(xlookup($G704,'Old Master'!$T:$T,'Old Master'!$W:$W)),AG704,xlookup($G704,'Old Master'!$T:$T,'Old Master'!$W:$W)),AG704)</f>
        <v>0.190007308</v>
      </c>
      <c r="AM704" s="74">
        <f t="shared" si="20"/>
        <v>0.1884687873</v>
      </c>
      <c r="AN704" s="73">
        <f t="shared" si="416"/>
        <v>21099</v>
      </c>
    </row>
    <row r="705">
      <c r="A705" s="65" t="s">
        <v>466</v>
      </c>
      <c r="B705" s="65">
        <f t="shared" si="1"/>
        <v>66</v>
      </c>
      <c r="C705" s="65" t="str">
        <f t="shared" si="403"/>
        <v>SC-ORIG-Q-84x68x6</v>
      </c>
      <c r="D705" s="65">
        <v>0.0</v>
      </c>
      <c r="E705" s="65">
        <v>0.0</v>
      </c>
      <c r="F705" s="65" t="s">
        <v>469</v>
      </c>
      <c r="G705" s="65" t="s">
        <v>51</v>
      </c>
      <c r="H705" s="65" t="s">
        <v>52</v>
      </c>
      <c r="I705" s="65">
        <v>18999.0</v>
      </c>
      <c r="J705" s="66">
        <v>0.28</v>
      </c>
      <c r="K705" s="65">
        <f t="shared" si="3"/>
        <v>13679</v>
      </c>
      <c r="L705" s="66">
        <v>0.24</v>
      </c>
      <c r="M705" s="65">
        <f t="shared" si="4"/>
        <v>14439</v>
      </c>
      <c r="N705" s="67">
        <f t="shared" si="404"/>
        <v>0.1900100005</v>
      </c>
      <c r="O705" s="68">
        <v>15389.0</v>
      </c>
      <c r="P705" s="67">
        <f t="shared" si="412"/>
        <v>0.1900100005</v>
      </c>
      <c r="Q705" s="69">
        <v>15389.0</v>
      </c>
      <c r="R705" s="76"/>
      <c r="S705" s="72">
        <f t="shared" si="418"/>
        <v>0.06579403006</v>
      </c>
      <c r="T705" s="72">
        <f t="shared" si="6"/>
        <v>0</v>
      </c>
      <c r="U705" s="73">
        <f t="shared" si="419"/>
        <v>6649.65</v>
      </c>
      <c r="V705" s="73">
        <f t="shared" si="340"/>
        <v>12236.44068</v>
      </c>
      <c r="W705" s="73">
        <f t="shared" si="9"/>
        <v>5586.790678</v>
      </c>
      <c r="X705" s="74">
        <f t="shared" si="10"/>
        <v>0.4565699148</v>
      </c>
      <c r="Y705" s="73">
        <f t="shared" si="333"/>
        <v>7647.0975</v>
      </c>
      <c r="Z705" s="73">
        <f t="shared" si="12"/>
        <v>13041.52542</v>
      </c>
      <c r="AA705" s="73">
        <f t="shared" si="13"/>
        <v>5394.427924</v>
      </c>
      <c r="AB705" s="74">
        <f t="shared" si="14"/>
        <v>0.4136347359</v>
      </c>
      <c r="AC705" s="61" t="str">
        <f t="shared" si="15"/>
        <v>6</v>
      </c>
      <c r="AD705" s="71">
        <f t="shared" si="16"/>
        <v>0.15</v>
      </c>
      <c r="AE705" s="61"/>
      <c r="AF705" s="61"/>
      <c r="AG705" s="71">
        <f t="array" ref="AG705">IFERROR(xlookup(G705,'Old Master'!T:T,'Old Master'!V:V),N705)</f>
        <v>0.1900100005</v>
      </c>
      <c r="AH705" s="73">
        <f t="shared" si="229"/>
        <v>15389</v>
      </c>
      <c r="AI705" s="73">
        <f t="shared" si="230"/>
        <v>5394.427924</v>
      </c>
      <c r="AJ705" s="72">
        <f t="shared" si="19"/>
        <v>0.4136347359</v>
      </c>
      <c r="AK705" s="61"/>
      <c r="AL705" s="71">
        <f t="array" ref="AL705">iferror(if(isblank(xlookup($G705,'Old Master'!$T:$T,'Old Master'!$W:$W)),AG705,xlookup($G705,'Old Master'!$T:$T,'Old Master'!$W:$W)),AG705)</f>
        <v>0.1900100005</v>
      </c>
      <c r="AM705" s="74">
        <f t="shared" si="20"/>
        <v>0.189483657</v>
      </c>
      <c r="AN705" s="73">
        <f t="shared" si="416"/>
        <v>15399</v>
      </c>
    </row>
    <row r="706">
      <c r="A706" s="65" t="s">
        <v>2248</v>
      </c>
      <c r="B706" s="65" t="str">
        <f t="shared" si="1"/>
        <v>#VALUE!</v>
      </c>
      <c r="C706" s="65" t="str">
        <f t="shared" si="403"/>
        <v>#VALUE!</v>
      </c>
      <c r="D706" s="65" t="s">
        <v>2248</v>
      </c>
      <c r="E706" s="65">
        <v>0.0</v>
      </c>
      <c r="F706" s="65">
        <v>0.0</v>
      </c>
      <c r="G706" s="65" t="s">
        <v>5077</v>
      </c>
      <c r="H706" s="65" t="s">
        <v>4730</v>
      </c>
      <c r="I706" s="65">
        <v>889.0</v>
      </c>
      <c r="J706" s="66">
        <v>0.17997750281214853</v>
      </c>
      <c r="K706" s="65">
        <f t="shared" si="3"/>
        <v>729</v>
      </c>
      <c r="L706" s="66">
        <v>0.1</v>
      </c>
      <c r="M706" s="65">
        <f t="shared" si="4"/>
        <v>800</v>
      </c>
      <c r="N706" s="67">
        <f t="shared" si="404"/>
        <v>0.04949381327</v>
      </c>
      <c r="O706" s="68">
        <v>845.0</v>
      </c>
      <c r="P706" s="67">
        <f t="shared" si="412"/>
        <v>0.04949381327</v>
      </c>
      <c r="Q706" s="69">
        <v>845.0</v>
      </c>
      <c r="R706" s="70"/>
      <c r="S706" s="71">
        <f t="shared" ref="S706:S764" si="420">O706/K706-1</f>
        <v>0.159122085</v>
      </c>
      <c r="T706" s="72">
        <f t="shared" si="6"/>
        <v>0</v>
      </c>
      <c r="U706" s="73" t="str">
        <f t="shared" ref="U706:U734" si="421">IFERROR(XLOOKUP(A706,COGS!I:I,COGS!J:J), IFERROR(XLOOKUP(C706,COGS!I:I,COGS!J:J),""))</f>
        <v/>
      </c>
      <c r="V706" s="73">
        <f t="shared" si="340"/>
        <v>677.9661017</v>
      </c>
      <c r="W706" s="73">
        <f t="shared" si="9"/>
        <v>677.9661017</v>
      </c>
      <c r="X706" s="74">
        <f t="shared" si="10"/>
        <v>1</v>
      </c>
      <c r="Y706" s="73">
        <f t="shared" si="333"/>
        <v>0</v>
      </c>
      <c r="Z706" s="73">
        <f t="shared" si="12"/>
        <v>716.1016949</v>
      </c>
      <c r="AA706" s="73">
        <f t="shared" si="13"/>
        <v>716.1016949</v>
      </c>
      <c r="AB706" s="74">
        <f t="shared" si="14"/>
        <v>1</v>
      </c>
      <c r="AC706" s="61" t="str">
        <f t="shared" si="15"/>
        <v>8</v>
      </c>
      <c r="AD706" s="71" t="str">
        <f t="shared" si="16"/>
        <v>#DIV/0!</v>
      </c>
      <c r="AE706" s="61"/>
      <c r="AF706" s="61"/>
      <c r="AG706" s="71">
        <f t="array" ref="AG706">IFERROR(xlookup(G706,'Old Master'!T:T,'Old Master'!V:V),N706)</f>
        <v>0.04949381327</v>
      </c>
      <c r="AH706" s="73">
        <f t="shared" si="229"/>
        <v>845</v>
      </c>
      <c r="AI706" s="73">
        <f t="shared" si="230"/>
        <v>716.1016949</v>
      </c>
      <c r="AJ706" s="72">
        <f t="shared" si="19"/>
        <v>1</v>
      </c>
      <c r="AK706" s="61"/>
      <c r="AL706" s="71">
        <f t="array" ref="AL706">iferror(if(isblank(xlookup($G706,'Old Master'!$T:$T,'Old Master'!$W:$W)),AG706,xlookup($G706,'Old Master'!$T:$T,'Old Master'!$W:$W)),AG706)</f>
        <v>0.04949381327</v>
      </c>
      <c r="AM706" s="74">
        <f t="shared" si="20"/>
        <v>0.04949381327</v>
      </c>
      <c r="AN706" s="73">
        <f t="shared" ref="AN706:AN710" si="422">O706</f>
        <v>845</v>
      </c>
    </row>
    <row r="707">
      <c r="A707" s="65" t="s">
        <v>2252</v>
      </c>
      <c r="B707" s="65" t="str">
        <f t="shared" si="1"/>
        <v>#VALUE!</v>
      </c>
      <c r="C707" s="65" t="str">
        <f t="shared" si="403"/>
        <v>#VALUE!</v>
      </c>
      <c r="D707" s="65" t="s">
        <v>2252</v>
      </c>
      <c r="E707" s="65">
        <v>0.0</v>
      </c>
      <c r="F707" s="65">
        <v>0.0</v>
      </c>
      <c r="G707" s="65" t="s">
        <v>5077</v>
      </c>
      <c r="H707" s="65" t="s">
        <v>4730</v>
      </c>
      <c r="I707" s="65">
        <v>889.0</v>
      </c>
      <c r="J707" s="66">
        <v>0.17997750281214853</v>
      </c>
      <c r="K707" s="65">
        <f t="shared" si="3"/>
        <v>729</v>
      </c>
      <c r="L707" s="66">
        <v>0.1</v>
      </c>
      <c r="M707" s="65">
        <f t="shared" si="4"/>
        <v>800</v>
      </c>
      <c r="N707" s="67">
        <f t="shared" si="404"/>
        <v>0.04949381327</v>
      </c>
      <c r="O707" s="68">
        <v>845.0</v>
      </c>
      <c r="P707" s="67">
        <f t="shared" si="412"/>
        <v>0.04949381327</v>
      </c>
      <c r="Q707" s="69">
        <v>845.0</v>
      </c>
      <c r="R707" s="70"/>
      <c r="S707" s="71">
        <f t="shared" si="420"/>
        <v>0.159122085</v>
      </c>
      <c r="T707" s="72">
        <f t="shared" si="6"/>
        <v>0</v>
      </c>
      <c r="U707" s="73" t="str">
        <f t="shared" si="421"/>
        <v/>
      </c>
      <c r="V707" s="73">
        <f t="shared" si="340"/>
        <v>677.9661017</v>
      </c>
      <c r="W707" s="73">
        <f t="shared" si="9"/>
        <v>677.9661017</v>
      </c>
      <c r="X707" s="74">
        <f t="shared" si="10"/>
        <v>1</v>
      </c>
      <c r="Y707" s="73">
        <f t="shared" si="333"/>
        <v>0</v>
      </c>
      <c r="Z707" s="73">
        <f t="shared" si="12"/>
        <v>716.1016949</v>
      </c>
      <c r="AA707" s="73">
        <f t="shared" si="13"/>
        <v>716.1016949</v>
      </c>
      <c r="AB707" s="74">
        <f t="shared" si="14"/>
        <v>1</v>
      </c>
      <c r="AC707" s="61" t="str">
        <f t="shared" si="15"/>
        <v>8</v>
      </c>
      <c r="AD707" s="71" t="str">
        <f t="shared" si="16"/>
        <v>#DIV/0!</v>
      </c>
      <c r="AE707" s="61"/>
      <c r="AF707" s="61"/>
      <c r="AG707" s="71">
        <f t="array" ref="AG707">IFERROR(xlookup(G707,'Old Master'!T:T,'Old Master'!V:V),N707)</f>
        <v>0.04949381327</v>
      </c>
      <c r="AH707" s="73">
        <f t="shared" si="229"/>
        <v>845</v>
      </c>
      <c r="AI707" s="73">
        <f t="shared" si="230"/>
        <v>716.1016949</v>
      </c>
      <c r="AJ707" s="72">
        <f t="shared" si="19"/>
        <v>1</v>
      </c>
      <c r="AK707" s="61"/>
      <c r="AL707" s="71">
        <f t="array" ref="AL707">iferror(if(isblank(xlookup($G707,'Old Master'!$T:$T,'Old Master'!$W:$W)),AG707,xlookup($G707,'Old Master'!$T:$T,'Old Master'!$W:$W)),AG707)</f>
        <v>0.04949381327</v>
      </c>
      <c r="AM707" s="74">
        <f t="shared" si="20"/>
        <v>0.04949381327</v>
      </c>
      <c r="AN707" s="73">
        <f t="shared" si="422"/>
        <v>845</v>
      </c>
    </row>
    <row r="708">
      <c r="A708" s="65" t="s">
        <v>2257</v>
      </c>
      <c r="B708" s="65" t="str">
        <f t="shared" si="1"/>
        <v>#VALUE!</v>
      </c>
      <c r="C708" s="65" t="str">
        <f t="shared" si="403"/>
        <v>#VALUE!</v>
      </c>
      <c r="D708" s="65" t="s">
        <v>2259</v>
      </c>
      <c r="E708" s="65">
        <v>0.0</v>
      </c>
      <c r="F708" s="65">
        <v>0.0</v>
      </c>
      <c r="G708" s="65" t="s">
        <v>5077</v>
      </c>
      <c r="H708" s="65" t="s">
        <v>4730</v>
      </c>
      <c r="I708" s="65">
        <v>889.0</v>
      </c>
      <c r="J708" s="66">
        <v>0.17997750281214853</v>
      </c>
      <c r="K708" s="65">
        <f t="shared" si="3"/>
        <v>729</v>
      </c>
      <c r="L708" s="66">
        <v>0.1</v>
      </c>
      <c r="M708" s="65">
        <f t="shared" si="4"/>
        <v>800</v>
      </c>
      <c r="N708" s="67">
        <f t="shared" si="404"/>
        <v>0.04949381327</v>
      </c>
      <c r="O708" s="68">
        <v>845.0</v>
      </c>
      <c r="P708" s="67">
        <f t="shared" si="412"/>
        <v>0.04949381327</v>
      </c>
      <c r="Q708" s="69">
        <v>845.0</v>
      </c>
      <c r="R708" s="70"/>
      <c r="S708" s="71">
        <f t="shared" si="420"/>
        <v>0.159122085</v>
      </c>
      <c r="T708" s="72">
        <f t="shared" si="6"/>
        <v>0</v>
      </c>
      <c r="U708" s="73" t="str">
        <f t="shared" si="421"/>
        <v/>
      </c>
      <c r="V708" s="73">
        <f t="shared" si="340"/>
        <v>677.9661017</v>
      </c>
      <c r="W708" s="73">
        <f t="shared" si="9"/>
        <v>677.9661017</v>
      </c>
      <c r="X708" s="74">
        <f t="shared" si="10"/>
        <v>1</v>
      </c>
      <c r="Y708" s="73">
        <f t="shared" si="333"/>
        <v>0</v>
      </c>
      <c r="Z708" s="73">
        <f t="shared" si="12"/>
        <v>716.1016949</v>
      </c>
      <c r="AA708" s="73">
        <f t="shared" si="13"/>
        <v>716.1016949</v>
      </c>
      <c r="AB708" s="74">
        <f t="shared" si="14"/>
        <v>1</v>
      </c>
      <c r="AC708" s="61" t="str">
        <f t="shared" si="15"/>
        <v>8</v>
      </c>
      <c r="AD708" s="71" t="str">
        <f t="shared" si="16"/>
        <v>#DIV/0!</v>
      </c>
      <c r="AE708" s="61"/>
      <c r="AF708" s="61"/>
      <c r="AG708" s="71">
        <f t="array" ref="AG708">IFERROR(xlookup(G708,'Old Master'!T:T,'Old Master'!V:V),N708)</f>
        <v>0.04949381327</v>
      </c>
      <c r="AH708" s="73">
        <f t="shared" si="229"/>
        <v>845</v>
      </c>
      <c r="AI708" s="73">
        <f t="shared" si="230"/>
        <v>716.1016949</v>
      </c>
      <c r="AJ708" s="72">
        <f t="shared" si="19"/>
        <v>1</v>
      </c>
      <c r="AK708" s="61"/>
      <c r="AL708" s="71">
        <f t="array" ref="AL708">iferror(if(isblank(xlookup($G708,'Old Master'!$T:$T,'Old Master'!$W:$W)),AG708,xlookup($G708,'Old Master'!$T:$T,'Old Master'!$W:$W)),AG708)</f>
        <v>0.04949381327</v>
      </c>
      <c r="AM708" s="74">
        <f t="shared" si="20"/>
        <v>0.04949381327</v>
      </c>
      <c r="AN708" s="73">
        <f t="shared" si="422"/>
        <v>845</v>
      </c>
    </row>
    <row r="709">
      <c r="A709" s="65" t="s">
        <v>2220</v>
      </c>
      <c r="B709" s="65" t="str">
        <f t="shared" si="1"/>
        <v>#VALUE!</v>
      </c>
      <c r="C709" s="65" t="str">
        <f t="shared" si="403"/>
        <v>#VALUE!</v>
      </c>
      <c r="D709" s="65" t="s">
        <v>2222</v>
      </c>
      <c r="E709" s="65">
        <v>0.0</v>
      </c>
      <c r="F709" s="65">
        <v>0.0</v>
      </c>
      <c r="G709" s="65" t="s">
        <v>5077</v>
      </c>
      <c r="H709" s="65" t="s">
        <v>4730</v>
      </c>
      <c r="I709" s="65">
        <v>789.0</v>
      </c>
      <c r="J709" s="66">
        <v>0.17743979721166037</v>
      </c>
      <c r="K709" s="65">
        <f t="shared" si="3"/>
        <v>649</v>
      </c>
      <c r="L709" s="66">
        <v>0.1</v>
      </c>
      <c r="M709" s="65">
        <f t="shared" si="4"/>
        <v>710</v>
      </c>
      <c r="N709" s="67">
        <f t="shared" si="404"/>
        <v>0.04942965779</v>
      </c>
      <c r="O709" s="68">
        <v>750.0</v>
      </c>
      <c r="P709" s="67">
        <f t="shared" si="412"/>
        <v>0.04942965779</v>
      </c>
      <c r="Q709" s="69">
        <v>750.0</v>
      </c>
      <c r="R709" s="70"/>
      <c r="S709" s="71">
        <f t="shared" si="420"/>
        <v>0.155624037</v>
      </c>
      <c r="T709" s="72">
        <f t="shared" si="6"/>
        <v>0</v>
      </c>
      <c r="U709" s="73" t="str">
        <f t="shared" si="421"/>
        <v/>
      </c>
      <c r="V709" s="73">
        <f t="shared" si="340"/>
        <v>601.6949153</v>
      </c>
      <c r="W709" s="73">
        <f t="shared" si="9"/>
        <v>601.6949153</v>
      </c>
      <c r="X709" s="74">
        <f t="shared" si="10"/>
        <v>1</v>
      </c>
      <c r="Y709" s="73">
        <f t="shared" si="333"/>
        <v>0</v>
      </c>
      <c r="Z709" s="73">
        <f t="shared" si="12"/>
        <v>635.5932203</v>
      </c>
      <c r="AA709" s="73">
        <f t="shared" si="13"/>
        <v>635.5932203</v>
      </c>
      <c r="AB709" s="74">
        <f t="shared" si="14"/>
        <v>1</v>
      </c>
      <c r="AC709" s="61" t="str">
        <f t="shared" si="15"/>
        <v>6</v>
      </c>
      <c r="AD709" s="71" t="str">
        <f t="shared" si="16"/>
        <v>#DIV/0!</v>
      </c>
      <c r="AE709" s="61"/>
      <c r="AF709" s="61"/>
      <c r="AG709" s="71">
        <f t="array" ref="AG709">IFERROR(xlookup(G709,'Old Master'!T:T,'Old Master'!V:V),N709)</f>
        <v>0.04942965779</v>
      </c>
      <c r="AH709" s="73">
        <f t="shared" si="229"/>
        <v>750</v>
      </c>
      <c r="AI709" s="73">
        <f t="shared" si="230"/>
        <v>635.5932203</v>
      </c>
      <c r="AJ709" s="72">
        <f t="shared" si="19"/>
        <v>1</v>
      </c>
      <c r="AK709" s="61"/>
      <c r="AL709" s="71">
        <f t="array" ref="AL709">iferror(if(isblank(xlookup($G709,'Old Master'!$T:$T,'Old Master'!$W:$W)),AG709,xlookup($G709,'Old Master'!$T:$T,'Old Master'!$W:$W)),AG709)</f>
        <v>0.04942965779</v>
      </c>
      <c r="AM709" s="74">
        <f t="shared" si="20"/>
        <v>0.04942965779</v>
      </c>
      <c r="AN709" s="73">
        <f t="shared" si="422"/>
        <v>750</v>
      </c>
    </row>
    <row r="710">
      <c r="A710" s="65" t="s">
        <v>2225</v>
      </c>
      <c r="B710" s="65" t="str">
        <f t="shared" si="1"/>
        <v>#VALUE!</v>
      </c>
      <c r="C710" s="65" t="str">
        <f t="shared" si="403"/>
        <v>#VALUE!</v>
      </c>
      <c r="D710" s="65" t="s">
        <v>2227</v>
      </c>
      <c r="E710" s="65">
        <v>0.0</v>
      </c>
      <c r="F710" s="65">
        <v>0.0</v>
      </c>
      <c r="G710" s="65" t="s">
        <v>5077</v>
      </c>
      <c r="H710" s="65" t="s">
        <v>4730</v>
      </c>
      <c r="I710" s="65">
        <v>789.0</v>
      </c>
      <c r="J710" s="66">
        <v>0.17743979721166037</v>
      </c>
      <c r="K710" s="65">
        <f t="shared" si="3"/>
        <v>649</v>
      </c>
      <c r="L710" s="66">
        <v>0.1</v>
      </c>
      <c r="M710" s="65">
        <f t="shared" si="4"/>
        <v>710</v>
      </c>
      <c r="N710" s="67">
        <f t="shared" si="404"/>
        <v>0.04942965779</v>
      </c>
      <c r="O710" s="68">
        <v>750.0</v>
      </c>
      <c r="P710" s="67">
        <f t="shared" si="412"/>
        <v>0.04942965779</v>
      </c>
      <c r="Q710" s="69">
        <v>750.0</v>
      </c>
      <c r="R710" s="70"/>
      <c r="S710" s="71">
        <f t="shared" si="420"/>
        <v>0.155624037</v>
      </c>
      <c r="T710" s="72">
        <f t="shared" si="6"/>
        <v>0</v>
      </c>
      <c r="U710" s="73" t="str">
        <f t="shared" si="421"/>
        <v/>
      </c>
      <c r="V710" s="73">
        <f t="shared" si="340"/>
        <v>601.6949153</v>
      </c>
      <c r="W710" s="73">
        <f t="shared" si="9"/>
        <v>601.6949153</v>
      </c>
      <c r="X710" s="74">
        <f t="shared" si="10"/>
        <v>1</v>
      </c>
      <c r="Y710" s="73">
        <f t="shared" si="333"/>
        <v>0</v>
      </c>
      <c r="Z710" s="73">
        <f t="shared" si="12"/>
        <v>635.5932203</v>
      </c>
      <c r="AA710" s="73">
        <f t="shared" si="13"/>
        <v>635.5932203</v>
      </c>
      <c r="AB710" s="74">
        <f t="shared" si="14"/>
        <v>1</v>
      </c>
      <c r="AC710" s="61" t="str">
        <f t="shared" si="15"/>
        <v>6</v>
      </c>
      <c r="AD710" s="71" t="str">
        <f t="shared" si="16"/>
        <v>#DIV/0!</v>
      </c>
      <c r="AE710" s="61"/>
      <c r="AF710" s="61"/>
      <c r="AG710" s="71">
        <f t="array" ref="AG710">IFERROR(xlookup(G710,'Old Master'!T:T,'Old Master'!V:V),N710)</f>
        <v>0.04942965779</v>
      </c>
      <c r="AH710" s="73">
        <f t="shared" si="229"/>
        <v>750</v>
      </c>
      <c r="AI710" s="73">
        <f t="shared" si="230"/>
        <v>635.5932203</v>
      </c>
      <c r="AJ710" s="72">
        <f t="shared" si="19"/>
        <v>1</v>
      </c>
      <c r="AK710" s="61"/>
      <c r="AL710" s="71">
        <f t="array" ref="AL710">iferror(if(isblank(xlookup($G710,'Old Master'!$T:$T,'Old Master'!$W:$W)),AG710,xlookup($G710,'Old Master'!$T:$T,'Old Master'!$W:$W)),AG710)</f>
        <v>0.04942965779</v>
      </c>
      <c r="AM710" s="74">
        <f t="shared" si="20"/>
        <v>0.04942965779</v>
      </c>
      <c r="AN710" s="73">
        <f t="shared" si="422"/>
        <v>750</v>
      </c>
    </row>
    <row r="711">
      <c r="A711" s="65" t="s">
        <v>2314</v>
      </c>
      <c r="B711" s="65" t="str">
        <f t="shared" si="1"/>
        <v>#VALUE!</v>
      </c>
      <c r="C711" s="65" t="str">
        <f t="shared" si="403"/>
        <v>#VALUE!</v>
      </c>
      <c r="D711" s="65" t="s">
        <v>2316</v>
      </c>
      <c r="E711" s="65">
        <v>0.0</v>
      </c>
      <c r="F711" s="65">
        <v>0.0</v>
      </c>
      <c r="G711" s="65" t="s">
        <v>5077</v>
      </c>
      <c r="H711" s="65" t="s">
        <v>4730</v>
      </c>
      <c r="I711" s="65">
        <v>1049.0</v>
      </c>
      <c r="J711" s="66">
        <v>0.17159199237368927</v>
      </c>
      <c r="K711" s="65">
        <f t="shared" si="3"/>
        <v>869</v>
      </c>
      <c r="L711" s="66">
        <v>0.1</v>
      </c>
      <c r="M711" s="65">
        <f t="shared" si="4"/>
        <v>944</v>
      </c>
      <c r="N711" s="67">
        <f t="shared" si="404"/>
        <v>0.04957102002</v>
      </c>
      <c r="O711" s="68">
        <v>997.0</v>
      </c>
      <c r="P711" s="67">
        <f t="shared" si="412"/>
        <v>0.04957102002</v>
      </c>
      <c r="Q711" s="69">
        <v>997.0</v>
      </c>
      <c r="R711" s="70"/>
      <c r="S711" s="71">
        <f t="shared" si="420"/>
        <v>0.1472957422</v>
      </c>
      <c r="T711" s="72">
        <f t="shared" si="6"/>
        <v>0</v>
      </c>
      <c r="U711" s="73" t="str">
        <f t="shared" si="421"/>
        <v/>
      </c>
      <c r="V711" s="73">
        <f t="shared" si="340"/>
        <v>800</v>
      </c>
      <c r="W711" s="73">
        <f t="shared" si="9"/>
        <v>800</v>
      </c>
      <c r="X711" s="74">
        <f t="shared" si="10"/>
        <v>1</v>
      </c>
      <c r="Y711" s="73">
        <f t="shared" si="333"/>
        <v>0</v>
      </c>
      <c r="Z711" s="73">
        <f t="shared" si="12"/>
        <v>844.9152542</v>
      </c>
      <c r="AA711" s="73">
        <f t="shared" si="13"/>
        <v>844.9152542</v>
      </c>
      <c r="AB711" s="74">
        <f t="shared" si="14"/>
        <v>1</v>
      </c>
      <c r="AC711" s="61" t="str">
        <f t="shared" si="15"/>
        <v>6</v>
      </c>
      <c r="AD711" s="71" t="str">
        <f t="shared" si="16"/>
        <v>#DIV/0!</v>
      </c>
      <c r="AE711" s="61"/>
      <c r="AF711" s="61"/>
      <c r="AG711" s="71">
        <f t="array" ref="AG711">IFERROR(xlookup(G711,'Old Master'!T:T,'Old Master'!V:V),N711)</f>
        <v>0.04957102002</v>
      </c>
      <c r="AH711" s="73">
        <f t="shared" si="229"/>
        <v>997</v>
      </c>
      <c r="AI711" s="73">
        <f t="shared" si="230"/>
        <v>844.9152542</v>
      </c>
      <c r="AJ711" s="72">
        <f t="shared" si="19"/>
        <v>1</v>
      </c>
      <c r="AK711" s="61"/>
      <c r="AL711" s="71">
        <f t="array" ref="AL711">iferror(if(isblank(xlookup($G711,'Old Master'!$T:$T,'Old Master'!$W:$W)),AG711,xlookup($G711,'Old Master'!$T:$T,'Old Master'!$W:$W)),AG711)</f>
        <v>0.04957102002</v>
      </c>
      <c r="AM711" s="74">
        <f t="shared" si="20"/>
        <v>0.04766444233</v>
      </c>
      <c r="AN711" s="73">
        <f t="shared" ref="AN711:AN712" si="423">mround($I711*(1-AL711),100)-1</f>
        <v>999</v>
      </c>
    </row>
    <row r="712">
      <c r="A712" s="65" t="s">
        <v>2319</v>
      </c>
      <c r="B712" s="65" t="str">
        <f t="shared" si="1"/>
        <v>#VALUE!</v>
      </c>
      <c r="C712" s="65" t="str">
        <f t="shared" si="403"/>
        <v>#VALUE!</v>
      </c>
      <c r="D712" s="65" t="s">
        <v>2321</v>
      </c>
      <c r="E712" s="65">
        <v>0.0</v>
      </c>
      <c r="F712" s="65">
        <v>0.0</v>
      </c>
      <c r="G712" s="65" t="s">
        <v>5077</v>
      </c>
      <c r="H712" s="65" t="s">
        <v>4730</v>
      </c>
      <c r="I712" s="65">
        <v>1049.0</v>
      </c>
      <c r="J712" s="66">
        <v>0.17159199237368927</v>
      </c>
      <c r="K712" s="65">
        <f t="shared" si="3"/>
        <v>869</v>
      </c>
      <c r="L712" s="66">
        <v>0.1</v>
      </c>
      <c r="M712" s="65">
        <f t="shared" si="4"/>
        <v>944</v>
      </c>
      <c r="N712" s="67">
        <f t="shared" si="404"/>
        <v>0.04957102002</v>
      </c>
      <c r="O712" s="68">
        <v>997.0</v>
      </c>
      <c r="P712" s="67">
        <f t="shared" si="412"/>
        <v>0.04957102002</v>
      </c>
      <c r="Q712" s="69">
        <v>997.0</v>
      </c>
      <c r="R712" s="70"/>
      <c r="S712" s="71">
        <f t="shared" si="420"/>
        <v>0.1472957422</v>
      </c>
      <c r="T712" s="72">
        <f t="shared" si="6"/>
        <v>0</v>
      </c>
      <c r="U712" s="73" t="str">
        <f t="shared" si="421"/>
        <v/>
      </c>
      <c r="V712" s="73">
        <f t="shared" si="340"/>
        <v>800</v>
      </c>
      <c r="W712" s="73">
        <f t="shared" si="9"/>
        <v>800</v>
      </c>
      <c r="X712" s="74">
        <f t="shared" si="10"/>
        <v>1</v>
      </c>
      <c r="Y712" s="73">
        <f t="shared" si="333"/>
        <v>0</v>
      </c>
      <c r="Z712" s="73">
        <f t="shared" si="12"/>
        <v>844.9152542</v>
      </c>
      <c r="AA712" s="73">
        <f t="shared" si="13"/>
        <v>844.9152542</v>
      </c>
      <c r="AB712" s="74">
        <f t="shared" si="14"/>
        <v>1</v>
      </c>
      <c r="AC712" s="61" t="str">
        <f t="shared" si="15"/>
        <v>6</v>
      </c>
      <c r="AD712" s="71" t="str">
        <f t="shared" si="16"/>
        <v>#DIV/0!</v>
      </c>
      <c r="AE712" s="61"/>
      <c r="AF712" s="61"/>
      <c r="AG712" s="71">
        <f t="array" ref="AG712">IFERROR(xlookup(G712,'Old Master'!T:T,'Old Master'!V:V),N712)</f>
        <v>0.04957102002</v>
      </c>
      <c r="AH712" s="73">
        <f t="shared" si="229"/>
        <v>997</v>
      </c>
      <c r="AI712" s="73">
        <f t="shared" si="230"/>
        <v>844.9152542</v>
      </c>
      <c r="AJ712" s="72">
        <f t="shared" si="19"/>
        <v>1</v>
      </c>
      <c r="AK712" s="61"/>
      <c r="AL712" s="71">
        <f t="array" ref="AL712">iferror(if(isblank(xlookup($G712,'Old Master'!$T:$T,'Old Master'!$W:$W)),AG712,xlookup($G712,'Old Master'!$T:$T,'Old Master'!$W:$W)),AG712)</f>
        <v>0.04957102002</v>
      </c>
      <c r="AM712" s="74">
        <f t="shared" si="20"/>
        <v>0.04766444233</v>
      </c>
      <c r="AN712" s="73">
        <f t="shared" si="423"/>
        <v>999</v>
      </c>
    </row>
    <row r="713">
      <c r="A713" s="65" t="s">
        <v>4453</v>
      </c>
      <c r="B713" s="65" t="str">
        <f t="shared" si="1"/>
        <v>#VALUE!</v>
      </c>
      <c r="C713" s="65" t="str">
        <f t="shared" si="403"/>
        <v>#VALUE!</v>
      </c>
      <c r="D713" s="65" t="s">
        <v>4455</v>
      </c>
      <c r="E713" s="65">
        <v>0.0</v>
      </c>
      <c r="F713" s="65" t="s">
        <v>4456</v>
      </c>
      <c r="G713" s="65" t="s">
        <v>5077</v>
      </c>
      <c r="H713" s="65" t="s">
        <v>4730</v>
      </c>
      <c r="I713" s="65">
        <v>999.0</v>
      </c>
      <c r="J713" s="66">
        <v>0.1</v>
      </c>
      <c r="K713" s="65">
        <f t="shared" si="3"/>
        <v>899</v>
      </c>
      <c r="L713" s="66">
        <v>0.1</v>
      </c>
      <c r="M713" s="65">
        <f t="shared" si="4"/>
        <v>899</v>
      </c>
      <c r="N713" s="67">
        <f t="shared" si="404"/>
        <v>0.05005005005</v>
      </c>
      <c r="O713" s="68">
        <v>949.0</v>
      </c>
      <c r="P713" s="67">
        <f t="shared" si="412"/>
        <v>0.05005005005</v>
      </c>
      <c r="Q713" s="69">
        <v>949.0</v>
      </c>
      <c r="R713" s="70"/>
      <c r="S713" s="71">
        <f t="shared" si="420"/>
        <v>0.05561735261</v>
      </c>
      <c r="T713" s="72">
        <f t="shared" si="6"/>
        <v>0</v>
      </c>
      <c r="U713" s="73" t="str">
        <f t="shared" si="421"/>
        <v/>
      </c>
      <c r="V713" s="73">
        <f t="shared" si="340"/>
        <v>761.8644068</v>
      </c>
      <c r="W713" s="73">
        <f t="shared" si="9"/>
        <v>761.8644068</v>
      </c>
      <c r="X713" s="74">
        <f t="shared" si="10"/>
        <v>1</v>
      </c>
      <c r="Y713" s="73">
        <f t="shared" si="333"/>
        <v>0</v>
      </c>
      <c r="Z713" s="73">
        <f t="shared" si="12"/>
        <v>804.2372881</v>
      </c>
      <c r="AA713" s="73">
        <f t="shared" si="13"/>
        <v>804.2372881</v>
      </c>
      <c r="AB713" s="74">
        <f t="shared" si="14"/>
        <v>1</v>
      </c>
      <c r="AC713" s="61" t="str">
        <f t="shared" si="15"/>
        <v>6</v>
      </c>
      <c r="AD713" s="71" t="str">
        <f t="shared" si="16"/>
        <v>#DIV/0!</v>
      </c>
      <c r="AE713" s="61"/>
      <c r="AF713" s="61"/>
      <c r="AG713" s="71">
        <f t="array" ref="AG713">IFERROR(xlookup(G713,'Old Master'!T:T,'Old Master'!V:V),N713)</f>
        <v>0.05005005005</v>
      </c>
      <c r="AH713" s="73">
        <f t="shared" si="229"/>
        <v>949</v>
      </c>
      <c r="AI713" s="73">
        <f t="shared" si="230"/>
        <v>804.2372881</v>
      </c>
      <c r="AJ713" s="72">
        <f t="shared" si="19"/>
        <v>1</v>
      </c>
      <c r="AK713" s="61"/>
      <c r="AL713" s="71">
        <f t="array" ref="AL713">iferror(if(isblank(xlookup($G713,'Old Master'!$T:$T,'Old Master'!$W:$W)),AG713,xlookup($G713,'Old Master'!$T:$T,'Old Master'!$W:$W)),AG713)</f>
        <v>0.05005005005</v>
      </c>
      <c r="AM713" s="74">
        <f t="shared" si="20"/>
        <v>0.05005005005</v>
      </c>
      <c r="AN713" s="73">
        <f t="shared" ref="AN713:AN765" si="424">O713</f>
        <v>949</v>
      </c>
    </row>
    <row r="714">
      <c r="A714" s="65" t="s">
        <v>4461</v>
      </c>
      <c r="B714" s="65" t="str">
        <f t="shared" si="1"/>
        <v>#VALUE!</v>
      </c>
      <c r="C714" s="65" t="str">
        <f t="shared" si="403"/>
        <v>#VALUE!</v>
      </c>
      <c r="D714" s="65" t="s">
        <v>4463</v>
      </c>
      <c r="E714" s="65">
        <v>0.0</v>
      </c>
      <c r="F714" s="65" t="s">
        <v>4464</v>
      </c>
      <c r="G714" s="65" t="s">
        <v>5077</v>
      </c>
      <c r="H714" s="65" t="s">
        <v>4730</v>
      </c>
      <c r="I714" s="65">
        <v>999.0</v>
      </c>
      <c r="J714" s="66">
        <v>0.1</v>
      </c>
      <c r="K714" s="65">
        <f t="shared" si="3"/>
        <v>899</v>
      </c>
      <c r="L714" s="66">
        <v>0.1</v>
      </c>
      <c r="M714" s="65">
        <f t="shared" si="4"/>
        <v>899</v>
      </c>
      <c r="N714" s="67">
        <f t="shared" si="404"/>
        <v>0.05005005005</v>
      </c>
      <c r="O714" s="68">
        <v>949.0</v>
      </c>
      <c r="P714" s="67">
        <f t="shared" si="412"/>
        <v>0.05005005005</v>
      </c>
      <c r="Q714" s="69">
        <v>949.0</v>
      </c>
      <c r="R714" s="70"/>
      <c r="S714" s="71">
        <f t="shared" si="420"/>
        <v>0.05561735261</v>
      </c>
      <c r="T714" s="72">
        <f t="shared" si="6"/>
        <v>0</v>
      </c>
      <c r="U714" s="73" t="str">
        <f t="shared" si="421"/>
        <v/>
      </c>
      <c r="V714" s="73">
        <f t="shared" si="340"/>
        <v>761.8644068</v>
      </c>
      <c r="W714" s="73">
        <f t="shared" si="9"/>
        <v>761.8644068</v>
      </c>
      <c r="X714" s="74">
        <f t="shared" si="10"/>
        <v>1</v>
      </c>
      <c r="Y714" s="73">
        <f t="shared" si="333"/>
        <v>0</v>
      </c>
      <c r="Z714" s="73">
        <f t="shared" si="12"/>
        <v>804.2372881</v>
      </c>
      <c r="AA714" s="73">
        <f t="shared" si="13"/>
        <v>804.2372881</v>
      </c>
      <c r="AB714" s="74">
        <f t="shared" si="14"/>
        <v>1</v>
      </c>
      <c r="AC714" s="61" t="str">
        <f t="shared" si="15"/>
        <v>6</v>
      </c>
      <c r="AD714" s="71" t="str">
        <f t="shared" si="16"/>
        <v>#DIV/0!</v>
      </c>
      <c r="AE714" s="61"/>
      <c r="AF714" s="61"/>
      <c r="AG714" s="71">
        <f t="array" ref="AG714">IFERROR(xlookup(G714,'Old Master'!T:T,'Old Master'!V:V),N714)</f>
        <v>0.05005005005</v>
      </c>
      <c r="AH714" s="73">
        <f t="shared" si="229"/>
        <v>949</v>
      </c>
      <c r="AI714" s="73">
        <f t="shared" si="230"/>
        <v>804.2372881</v>
      </c>
      <c r="AJ714" s="72">
        <f t="shared" si="19"/>
        <v>1</v>
      </c>
      <c r="AK714" s="61"/>
      <c r="AL714" s="71">
        <f t="array" ref="AL714">iferror(if(isblank(xlookup($G714,'Old Master'!$T:$T,'Old Master'!$W:$W)),AG714,xlookup($G714,'Old Master'!$T:$T,'Old Master'!$W:$W)),AG714)</f>
        <v>0.05005005005</v>
      </c>
      <c r="AM714" s="74">
        <f t="shared" si="20"/>
        <v>0.05005005005</v>
      </c>
      <c r="AN714" s="73">
        <f t="shared" si="424"/>
        <v>949</v>
      </c>
    </row>
    <row r="715">
      <c r="A715" s="65" t="s">
        <v>4486</v>
      </c>
      <c r="B715" s="65" t="str">
        <f t="shared" si="1"/>
        <v>#VALUE!</v>
      </c>
      <c r="C715" s="65" t="str">
        <f t="shared" si="403"/>
        <v>#VALUE!</v>
      </c>
      <c r="D715" s="65" t="s">
        <v>4488</v>
      </c>
      <c r="E715" s="65">
        <v>0.0</v>
      </c>
      <c r="F715" s="65" t="s">
        <v>4489</v>
      </c>
      <c r="G715" s="65" t="s">
        <v>5077</v>
      </c>
      <c r="H715" s="65" t="s">
        <v>4730</v>
      </c>
      <c r="I715" s="65">
        <v>1199.0</v>
      </c>
      <c r="J715" s="66">
        <v>0.1</v>
      </c>
      <c r="K715" s="65">
        <f t="shared" si="3"/>
        <v>1079</v>
      </c>
      <c r="L715" s="66">
        <v>0.1</v>
      </c>
      <c r="M715" s="65">
        <f t="shared" si="4"/>
        <v>1079</v>
      </c>
      <c r="N715" s="67">
        <f t="shared" si="404"/>
        <v>0.05004170142</v>
      </c>
      <c r="O715" s="68">
        <v>1139.0</v>
      </c>
      <c r="P715" s="67">
        <f t="shared" si="412"/>
        <v>0.05004170142</v>
      </c>
      <c r="Q715" s="69">
        <v>1139.0</v>
      </c>
      <c r="R715" s="70"/>
      <c r="S715" s="71">
        <f t="shared" si="420"/>
        <v>0.05560704356</v>
      </c>
      <c r="T715" s="72">
        <f t="shared" si="6"/>
        <v>0</v>
      </c>
      <c r="U715" s="73" t="str">
        <f t="shared" si="421"/>
        <v/>
      </c>
      <c r="V715" s="73">
        <f t="shared" si="340"/>
        <v>914.4067797</v>
      </c>
      <c r="W715" s="73">
        <f t="shared" si="9"/>
        <v>914.4067797</v>
      </c>
      <c r="X715" s="74">
        <f t="shared" si="10"/>
        <v>1</v>
      </c>
      <c r="Y715" s="73">
        <f t="shared" si="333"/>
        <v>0</v>
      </c>
      <c r="Z715" s="73">
        <f t="shared" si="12"/>
        <v>965.2542373</v>
      </c>
      <c r="AA715" s="73">
        <f t="shared" si="13"/>
        <v>965.2542373</v>
      </c>
      <c r="AB715" s="74">
        <f t="shared" si="14"/>
        <v>1</v>
      </c>
      <c r="AC715" s="61" t="str">
        <f t="shared" si="15"/>
        <v>8</v>
      </c>
      <c r="AD715" s="71" t="str">
        <f t="shared" si="16"/>
        <v>#DIV/0!</v>
      </c>
      <c r="AE715" s="61"/>
      <c r="AF715" s="61"/>
      <c r="AG715" s="71">
        <f t="array" ref="AG715">IFERROR(xlookup(G715,'Old Master'!T:T,'Old Master'!V:V),N715)</f>
        <v>0.05004170142</v>
      </c>
      <c r="AH715" s="73">
        <f t="shared" si="229"/>
        <v>1139</v>
      </c>
      <c r="AI715" s="73">
        <f t="shared" si="230"/>
        <v>965.2542373</v>
      </c>
      <c r="AJ715" s="72">
        <f t="shared" si="19"/>
        <v>1</v>
      </c>
      <c r="AK715" s="61"/>
      <c r="AL715" s="71">
        <f t="array" ref="AL715">iferror(if(isblank(xlookup($G715,'Old Master'!$T:$T,'Old Master'!$W:$W)),AG715,xlookup($G715,'Old Master'!$T:$T,'Old Master'!$W:$W)),AG715)</f>
        <v>0.05004170142</v>
      </c>
      <c r="AM715" s="74">
        <f t="shared" si="20"/>
        <v>0.05004170142</v>
      </c>
      <c r="AN715" s="73">
        <f t="shared" si="424"/>
        <v>1139</v>
      </c>
    </row>
    <row r="716">
      <c r="A716" s="65" t="s">
        <v>4491</v>
      </c>
      <c r="B716" s="65" t="str">
        <f t="shared" si="1"/>
        <v>#VALUE!</v>
      </c>
      <c r="C716" s="65" t="str">
        <f t="shared" si="403"/>
        <v>#VALUE!</v>
      </c>
      <c r="D716" s="65" t="s">
        <v>4493</v>
      </c>
      <c r="E716" s="65">
        <v>0.0</v>
      </c>
      <c r="F716" s="65" t="s">
        <v>4494</v>
      </c>
      <c r="G716" s="65" t="s">
        <v>5077</v>
      </c>
      <c r="H716" s="65" t="s">
        <v>4730</v>
      </c>
      <c r="I716" s="65">
        <v>1199.0</v>
      </c>
      <c r="J716" s="66">
        <v>0.1</v>
      </c>
      <c r="K716" s="65">
        <f t="shared" si="3"/>
        <v>1079</v>
      </c>
      <c r="L716" s="66">
        <v>0.1</v>
      </c>
      <c r="M716" s="65">
        <f t="shared" si="4"/>
        <v>1079</v>
      </c>
      <c r="N716" s="67">
        <f t="shared" si="404"/>
        <v>0.05004170142</v>
      </c>
      <c r="O716" s="68">
        <v>1139.0</v>
      </c>
      <c r="P716" s="67">
        <f t="shared" si="412"/>
        <v>0.05004170142</v>
      </c>
      <c r="Q716" s="69">
        <v>1139.0</v>
      </c>
      <c r="R716" s="70"/>
      <c r="S716" s="71">
        <f t="shared" si="420"/>
        <v>0.05560704356</v>
      </c>
      <c r="T716" s="72">
        <f t="shared" si="6"/>
        <v>0</v>
      </c>
      <c r="U716" s="73" t="str">
        <f t="shared" si="421"/>
        <v/>
      </c>
      <c r="V716" s="73">
        <f t="shared" si="340"/>
        <v>914.4067797</v>
      </c>
      <c r="W716" s="73">
        <f t="shared" si="9"/>
        <v>914.4067797</v>
      </c>
      <c r="X716" s="74">
        <f t="shared" si="10"/>
        <v>1</v>
      </c>
      <c r="Y716" s="73">
        <f t="shared" si="333"/>
        <v>0</v>
      </c>
      <c r="Z716" s="73">
        <f t="shared" si="12"/>
        <v>965.2542373</v>
      </c>
      <c r="AA716" s="73">
        <f t="shared" si="13"/>
        <v>965.2542373</v>
      </c>
      <c r="AB716" s="74">
        <f t="shared" si="14"/>
        <v>1</v>
      </c>
      <c r="AC716" s="61" t="str">
        <f t="shared" si="15"/>
        <v>8</v>
      </c>
      <c r="AD716" s="71" t="str">
        <f t="shared" si="16"/>
        <v>#DIV/0!</v>
      </c>
      <c r="AE716" s="61"/>
      <c r="AF716" s="61"/>
      <c r="AG716" s="71">
        <f t="array" ref="AG716">IFERROR(xlookup(G716,'Old Master'!T:T,'Old Master'!V:V),N716)</f>
        <v>0.05004170142</v>
      </c>
      <c r="AH716" s="73">
        <f t="shared" si="229"/>
        <v>1139</v>
      </c>
      <c r="AI716" s="73">
        <f t="shared" si="230"/>
        <v>965.2542373</v>
      </c>
      <c r="AJ716" s="72">
        <f t="shared" si="19"/>
        <v>1</v>
      </c>
      <c r="AK716" s="61"/>
      <c r="AL716" s="71">
        <f t="array" ref="AL716">iferror(if(isblank(xlookup($G716,'Old Master'!$T:$T,'Old Master'!$W:$W)),AG716,xlookup($G716,'Old Master'!$T:$T,'Old Master'!$W:$W)),AG716)</f>
        <v>0.05004170142</v>
      </c>
      <c r="AM716" s="74">
        <f t="shared" si="20"/>
        <v>0.05004170142</v>
      </c>
      <c r="AN716" s="73">
        <f t="shared" si="424"/>
        <v>1139</v>
      </c>
    </row>
    <row r="717">
      <c r="A717" s="65" t="s">
        <v>4559</v>
      </c>
      <c r="B717" s="65" t="str">
        <f t="shared" si="1"/>
        <v>#VALUE!</v>
      </c>
      <c r="C717" s="65" t="str">
        <f t="shared" si="403"/>
        <v>#VALUE!</v>
      </c>
      <c r="D717" s="65" t="s">
        <v>4561</v>
      </c>
      <c r="E717" s="65">
        <v>0.0</v>
      </c>
      <c r="F717" s="65" t="s">
        <v>4562</v>
      </c>
      <c r="G717" s="65" t="s">
        <v>5077</v>
      </c>
      <c r="H717" s="65" t="s">
        <v>4730</v>
      </c>
      <c r="I717" s="65">
        <v>1599.0</v>
      </c>
      <c r="J717" s="66">
        <v>0.1</v>
      </c>
      <c r="K717" s="65">
        <f t="shared" si="3"/>
        <v>1439</v>
      </c>
      <c r="L717" s="66">
        <v>0.1</v>
      </c>
      <c r="M717" s="65">
        <f t="shared" si="4"/>
        <v>1439</v>
      </c>
      <c r="N717" s="67">
        <f t="shared" si="404"/>
        <v>0.05003126954</v>
      </c>
      <c r="O717" s="68">
        <v>1519.0</v>
      </c>
      <c r="P717" s="67">
        <f t="shared" si="412"/>
        <v>0.05003126954</v>
      </c>
      <c r="Q717" s="69">
        <v>1519.0</v>
      </c>
      <c r="R717" s="70"/>
      <c r="S717" s="71">
        <f t="shared" si="420"/>
        <v>0.05559416261</v>
      </c>
      <c r="T717" s="72">
        <f t="shared" si="6"/>
        <v>0</v>
      </c>
      <c r="U717" s="73" t="str">
        <f t="shared" si="421"/>
        <v/>
      </c>
      <c r="V717" s="73">
        <f t="shared" si="340"/>
        <v>1219.491525</v>
      </c>
      <c r="W717" s="73">
        <f t="shared" si="9"/>
        <v>1219.491525</v>
      </c>
      <c r="X717" s="74">
        <f t="shared" si="10"/>
        <v>1</v>
      </c>
      <c r="Y717" s="73">
        <f t="shared" si="333"/>
        <v>0</v>
      </c>
      <c r="Z717" s="73">
        <f t="shared" si="12"/>
        <v>1287.288136</v>
      </c>
      <c r="AA717" s="73">
        <f t="shared" si="13"/>
        <v>1287.288136</v>
      </c>
      <c r="AB717" s="74">
        <f t="shared" si="14"/>
        <v>1</v>
      </c>
      <c r="AC717" s="61" t="str">
        <f t="shared" si="15"/>
        <v>6</v>
      </c>
      <c r="AD717" s="71" t="str">
        <f t="shared" si="16"/>
        <v>#DIV/0!</v>
      </c>
      <c r="AE717" s="61"/>
      <c r="AF717" s="61"/>
      <c r="AG717" s="71">
        <f t="array" ref="AG717">IFERROR(xlookup(G717,'Old Master'!T:T,'Old Master'!V:V),N717)</f>
        <v>0.05003126954</v>
      </c>
      <c r="AH717" s="73">
        <f t="shared" si="229"/>
        <v>1519</v>
      </c>
      <c r="AI717" s="73">
        <f t="shared" si="230"/>
        <v>1287.288136</v>
      </c>
      <c r="AJ717" s="72">
        <f t="shared" si="19"/>
        <v>1</v>
      </c>
      <c r="AK717" s="61"/>
      <c r="AL717" s="71">
        <f t="array" ref="AL717">iferror(if(isblank(xlookup($G717,'Old Master'!$T:$T,'Old Master'!$W:$W)),AG717,xlookup($G717,'Old Master'!$T:$T,'Old Master'!$W:$W)),AG717)</f>
        <v>0.05003126954</v>
      </c>
      <c r="AM717" s="74">
        <f t="shared" si="20"/>
        <v>0.05003126954</v>
      </c>
      <c r="AN717" s="73">
        <f t="shared" si="424"/>
        <v>1519</v>
      </c>
    </row>
    <row r="718">
      <c r="A718" s="65" t="s">
        <v>4423</v>
      </c>
      <c r="B718" s="65" t="str">
        <f t="shared" si="1"/>
        <v>#VALUE!</v>
      </c>
      <c r="C718" s="65" t="str">
        <f t="shared" si="403"/>
        <v>#VALUE!</v>
      </c>
      <c r="D718" s="65" t="s">
        <v>4425</v>
      </c>
      <c r="E718" s="65">
        <v>0.0</v>
      </c>
      <c r="F718" s="65" t="s">
        <v>4426</v>
      </c>
      <c r="G718" s="65" t="s">
        <v>5077</v>
      </c>
      <c r="H718" s="65" t="s">
        <v>4730</v>
      </c>
      <c r="I718" s="65">
        <v>999.0</v>
      </c>
      <c r="J718" s="66">
        <v>0.1</v>
      </c>
      <c r="K718" s="65">
        <f t="shared" si="3"/>
        <v>899</v>
      </c>
      <c r="L718" s="66">
        <v>0.1</v>
      </c>
      <c r="M718" s="65">
        <f t="shared" si="4"/>
        <v>899</v>
      </c>
      <c r="N718" s="67">
        <f t="shared" si="404"/>
        <v>0.05005005005</v>
      </c>
      <c r="O718" s="68">
        <v>949.0</v>
      </c>
      <c r="P718" s="67">
        <f t="shared" si="412"/>
        <v>0.05005005005</v>
      </c>
      <c r="Q718" s="69">
        <v>949.0</v>
      </c>
      <c r="R718" s="70"/>
      <c r="S718" s="71">
        <f t="shared" si="420"/>
        <v>0.05561735261</v>
      </c>
      <c r="T718" s="72">
        <f t="shared" si="6"/>
        <v>0</v>
      </c>
      <c r="U718" s="73" t="str">
        <f t="shared" si="421"/>
        <v/>
      </c>
      <c r="V718" s="73">
        <f t="shared" si="340"/>
        <v>761.8644068</v>
      </c>
      <c r="W718" s="73">
        <f t="shared" si="9"/>
        <v>761.8644068</v>
      </c>
      <c r="X718" s="74">
        <f t="shared" si="10"/>
        <v>1</v>
      </c>
      <c r="Y718" s="73">
        <f t="shared" si="333"/>
        <v>0</v>
      </c>
      <c r="Z718" s="73">
        <f t="shared" si="12"/>
        <v>804.2372881</v>
      </c>
      <c r="AA718" s="73">
        <f t="shared" si="13"/>
        <v>804.2372881</v>
      </c>
      <c r="AB718" s="74">
        <f t="shared" si="14"/>
        <v>1</v>
      </c>
      <c r="AC718" s="61" t="str">
        <f t="shared" si="15"/>
        <v>6</v>
      </c>
      <c r="AD718" s="71" t="str">
        <f t="shared" si="16"/>
        <v>#DIV/0!</v>
      </c>
      <c r="AE718" s="61"/>
      <c r="AF718" s="61"/>
      <c r="AG718" s="71">
        <f t="array" ref="AG718">IFERROR(xlookup(G718,'Old Master'!T:T,'Old Master'!V:V),N718)</f>
        <v>0.05005005005</v>
      </c>
      <c r="AH718" s="73">
        <f t="shared" si="229"/>
        <v>949</v>
      </c>
      <c r="AI718" s="73">
        <f t="shared" si="230"/>
        <v>804.2372881</v>
      </c>
      <c r="AJ718" s="72">
        <f t="shared" si="19"/>
        <v>1</v>
      </c>
      <c r="AK718" s="61"/>
      <c r="AL718" s="71">
        <f t="array" ref="AL718">iferror(if(isblank(xlookup($G718,'Old Master'!$T:$T,'Old Master'!$W:$W)),AG718,xlookup($G718,'Old Master'!$T:$T,'Old Master'!$W:$W)),AG718)</f>
        <v>0.05005005005</v>
      </c>
      <c r="AM718" s="74">
        <f t="shared" si="20"/>
        <v>0.05005005005</v>
      </c>
      <c r="AN718" s="73">
        <f t="shared" si="424"/>
        <v>949</v>
      </c>
    </row>
    <row r="719">
      <c r="A719" s="65" t="s">
        <v>4428</v>
      </c>
      <c r="B719" s="65" t="str">
        <f t="shared" si="1"/>
        <v>#VALUE!</v>
      </c>
      <c r="C719" s="65" t="str">
        <f t="shared" si="403"/>
        <v>#VALUE!</v>
      </c>
      <c r="D719" s="65" t="s">
        <v>4430</v>
      </c>
      <c r="E719" s="65">
        <v>0.0</v>
      </c>
      <c r="F719" s="65" t="s">
        <v>4431</v>
      </c>
      <c r="G719" s="65" t="s">
        <v>5077</v>
      </c>
      <c r="H719" s="65" t="s">
        <v>4730</v>
      </c>
      <c r="I719" s="65">
        <v>999.0</v>
      </c>
      <c r="J719" s="66">
        <v>0.1</v>
      </c>
      <c r="K719" s="65">
        <f t="shared" si="3"/>
        <v>899</v>
      </c>
      <c r="L719" s="66">
        <v>0.1</v>
      </c>
      <c r="M719" s="65">
        <f t="shared" si="4"/>
        <v>899</v>
      </c>
      <c r="N719" s="67">
        <f t="shared" si="404"/>
        <v>0.05005005005</v>
      </c>
      <c r="O719" s="68">
        <v>949.0</v>
      </c>
      <c r="P719" s="67">
        <f t="shared" si="412"/>
        <v>0.05005005005</v>
      </c>
      <c r="Q719" s="69">
        <v>949.0</v>
      </c>
      <c r="R719" s="70"/>
      <c r="S719" s="71">
        <f t="shared" si="420"/>
        <v>0.05561735261</v>
      </c>
      <c r="T719" s="72">
        <f t="shared" si="6"/>
        <v>0</v>
      </c>
      <c r="U719" s="73" t="str">
        <f t="shared" si="421"/>
        <v/>
      </c>
      <c r="V719" s="73">
        <f t="shared" si="340"/>
        <v>761.8644068</v>
      </c>
      <c r="W719" s="73">
        <f t="shared" si="9"/>
        <v>761.8644068</v>
      </c>
      <c r="X719" s="74">
        <f t="shared" si="10"/>
        <v>1</v>
      </c>
      <c r="Y719" s="73">
        <f t="shared" si="333"/>
        <v>0</v>
      </c>
      <c r="Z719" s="73">
        <f t="shared" si="12"/>
        <v>804.2372881</v>
      </c>
      <c r="AA719" s="73">
        <f t="shared" si="13"/>
        <v>804.2372881</v>
      </c>
      <c r="AB719" s="74">
        <f t="shared" si="14"/>
        <v>1</v>
      </c>
      <c r="AC719" s="61" t="str">
        <f t="shared" si="15"/>
        <v>6</v>
      </c>
      <c r="AD719" s="71" t="str">
        <f t="shared" si="16"/>
        <v>#DIV/0!</v>
      </c>
      <c r="AE719" s="61"/>
      <c r="AF719" s="61"/>
      <c r="AG719" s="71">
        <f t="array" ref="AG719">IFERROR(xlookup(G719,'Old Master'!T:T,'Old Master'!V:V),N719)</f>
        <v>0.05005005005</v>
      </c>
      <c r="AH719" s="73">
        <f t="shared" si="229"/>
        <v>949</v>
      </c>
      <c r="AI719" s="73">
        <f t="shared" si="230"/>
        <v>804.2372881</v>
      </c>
      <c r="AJ719" s="72">
        <f t="shared" si="19"/>
        <v>1</v>
      </c>
      <c r="AK719" s="61"/>
      <c r="AL719" s="71">
        <f t="array" ref="AL719">iferror(if(isblank(xlookup($G719,'Old Master'!$T:$T,'Old Master'!$W:$W)),AG719,xlookup($G719,'Old Master'!$T:$T,'Old Master'!$W:$W)),AG719)</f>
        <v>0.05005005005</v>
      </c>
      <c r="AM719" s="74">
        <f t="shared" si="20"/>
        <v>0.05005005005</v>
      </c>
      <c r="AN719" s="73">
        <f t="shared" si="424"/>
        <v>949</v>
      </c>
    </row>
    <row r="720">
      <c r="A720" s="65" t="s">
        <v>4433</v>
      </c>
      <c r="B720" s="65" t="str">
        <f t="shared" si="1"/>
        <v>#VALUE!</v>
      </c>
      <c r="C720" s="65" t="str">
        <f t="shared" si="403"/>
        <v>#VALUE!</v>
      </c>
      <c r="D720" s="65" t="s">
        <v>4435</v>
      </c>
      <c r="E720" s="65">
        <v>0.0</v>
      </c>
      <c r="F720" s="65" t="s">
        <v>4436</v>
      </c>
      <c r="G720" s="65" t="s">
        <v>5077</v>
      </c>
      <c r="H720" s="65" t="s">
        <v>4730</v>
      </c>
      <c r="I720" s="65">
        <v>999.0</v>
      </c>
      <c r="J720" s="66">
        <v>0.1</v>
      </c>
      <c r="K720" s="65">
        <f t="shared" si="3"/>
        <v>899</v>
      </c>
      <c r="L720" s="66">
        <v>0.1</v>
      </c>
      <c r="M720" s="65">
        <f t="shared" si="4"/>
        <v>899</v>
      </c>
      <c r="N720" s="67">
        <f t="shared" si="404"/>
        <v>0.05005005005</v>
      </c>
      <c r="O720" s="68">
        <v>949.0</v>
      </c>
      <c r="P720" s="67">
        <f t="shared" si="412"/>
        <v>0.05005005005</v>
      </c>
      <c r="Q720" s="69">
        <v>949.0</v>
      </c>
      <c r="R720" s="70"/>
      <c r="S720" s="71">
        <f t="shared" si="420"/>
        <v>0.05561735261</v>
      </c>
      <c r="T720" s="72">
        <f t="shared" si="6"/>
        <v>0</v>
      </c>
      <c r="U720" s="73" t="str">
        <f t="shared" si="421"/>
        <v/>
      </c>
      <c r="V720" s="73">
        <f t="shared" si="340"/>
        <v>761.8644068</v>
      </c>
      <c r="W720" s="73">
        <f t="shared" si="9"/>
        <v>761.8644068</v>
      </c>
      <c r="X720" s="74">
        <f t="shared" si="10"/>
        <v>1</v>
      </c>
      <c r="Y720" s="73">
        <f t="shared" si="333"/>
        <v>0</v>
      </c>
      <c r="Z720" s="73">
        <f t="shared" si="12"/>
        <v>804.2372881</v>
      </c>
      <c r="AA720" s="73">
        <f t="shared" si="13"/>
        <v>804.2372881</v>
      </c>
      <c r="AB720" s="74">
        <f t="shared" si="14"/>
        <v>1</v>
      </c>
      <c r="AC720" s="61" t="str">
        <f t="shared" si="15"/>
        <v>6</v>
      </c>
      <c r="AD720" s="71" t="str">
        <f t="shared" si="16"/>
        <v>#DIV/0!</v>
      </c>
      <c r="AE720" s="61"/>
      <c r="AF720" s="61"/>
      <c r="AG720" s="71">
        <f t="array" ref="AG720">IFERROR(xlookup(G720,'Old Master'!T:T,'Old Master'!V:V),N720)</f>
        <v>0.05005005005</v>
      </c>
      <c r="AH720" s="73">
        <f t="shared" si="229"/>
        <v>949</v>
      </c>
      <c r="AI720" s="73">
        <f t="shared" si="230"/>
        <v>804.2372881</v>
      </c>
      <c r="AJ720" s="72">
        <f t="shared" si="19"/>
        <v>1</v>
      </c>
      <c r="AK720" s="61"/>
      <c r="AL720" s="71">
        <f t="array" ref="AL720">iferror(if(isblank(xlookup($G720,'Old Master'!$T:$T,'Old Master'!$W:$W)),AG720,xlookup($G720,'Old Master'!$T:$T,'Old Master'!$W:$W)),AG720)</f>
        <v>0.05005005005</v>
      </c>
      <c r="AM720" s="74">
        <f t="shared" si="20"/>
        <v>0.05005005005</v>
      </c>
      <c r="AN720" s="73">
        <f t="shared" si="424"/>
        <v>949</v>
      </c>
    </row>
    <row r="721">
      <c r="A721" s="65" t="s">
        <v>4501</v>
      </c>
      <c r="B721" s="65" t="str">
        <f t="shared" si="1"/>
        <v>#VALUE!</v>
      </c>
      <c r="C721" s="65" t="str">
        <f t="shared" si="403"/>
        <v>#VALUE!</v>
      </c>
      <c r="D721" s="65" t="s">
        <v>4503</v>
      </c>
      <c r="E721" s="65">
        <v>0.0</v>
      </c>
      <c r="F721" s="65" t="s">
        <v>4504</v>
      </c>
      <c r="G721" s="65" t="s">
        <v>5077</v>
      </c>
      <c r="H721" s="65" t="s">
        <v>4730</v>
      </c>
      <c r="I721" s="65">
        <v>1199.0</v>
      </c>
      <c r="J721" s="66">
        <v>0.1</v>
      </c>
      <c r="K721" s="65">
        <f t="shared" si="3"/>
        <v>1079</v>
      </c>
      <c r="L721" s="66">
        <v>0.1</v>
      </c>
      <c r="M721" s="65">
        <f t="shared" si="4"/>
        <v>1079</v>
      </c>
      <c r="N721" s="67">
        <f t="shared" si="404"/>
        <v>0.05004170142</v>
      </c>
      <c r="O721" s="68">
        <v>1139.0</v>
      </c>
      <c r="P721" s="67">
        <f t="shared" si="412"/>
        <v>0.05004170142</v>
      </c>
      <c r="Q721" s="69">
        <v>1139.0</v>
      </c>
      <c r="R721" s="70"/>
      <c r="S721" s="71">
        <f t="shared" si="420"/>
        <v>0.05560704356</v>
      </c>
      <c r="T721" s="72">
        <f t="shared" si="6"/>
        <v>0</v>
      </c>
      <c r="U721" s="73" t="str">
        <f t="shared" si="421"/>
        <v/>
      </c>
      <c r="V721" s="73">
        <f t="shared" si="340"/>
        <v>914.4067797</v>
      </c>
      <c r="W721" s="73">
        <f t="shared" si="9"/>
        <v>914.4067797</v>
      </c>
      <c r="X721" s="74">
        <f t="shared" si="10"/>
        <v>1</v>
      </c>
      <c r="Y721" s="73">
        <f t="shared" si="333"/>
        <v>0</v>
      </c>
      <c r="Z721" s="73">
        <f t="shared" si="12"/>
        <v>965.2542373</v>
      </c>
      <c r="AA721" s="73">
        <f t="shared" si="13"/>
        <v>965.2542373</v>
      </c>
      <c r="AB721" s="74">
        <f t="shared" si="14"/>
        <v>1</v>
      </c>
      <c r="AC721" s="61" t="str">
        <f t="shared" si="15"/>
        <v>8</v>
      </c>
      <c r="AD721" s="71" t="str">
        <f t="shared" si="16"/>
        <v>#DIV/0!</v>
      </c>
      <c r="AE721" s="61"/>
      <c r="AF721" s="61"/>
      <c r="AG721" s="71">
        <f t="array" ref="AG721">IFERROR(xlookup(G721,'Old Master'!T:T,'Old Master'!V:V),N721)</f>
        <v>0.05004170142</v>
      </c>
      <c r="AH721" s="73">
        <f t="shared" si="229"/>
        <v>1139</v>
      </c>
      <c r="AI721" s="73">
        <f t="shared" si="230"/>
        <v>965.2542373</v>
      </c>
      <c r="AJ721" s="72">
        <f t="shared" si="19"/>
        <v>1</v>
      </c>
      <c r="AK721" s="61"/>
      <c r="AL721" s="71">
        <f t="array" ref="AL721">iferror(if(isblank(xlookup($G721,'Old Master'!$T:$T,'Old Master'!$W:$W)),AG721,xlookup($G721,'Old Master'!$T:$T,'Old Master'!$W:$W)),AG721)</f>
        <v>0.05004170142</v>
      </c>
      <c r="AM721" s="74">
        <f t="shared" si="20"/>
        <v>0.05004170142</v>
      </c>
      <c r="AN721" s="73">
        <f t="shared" si="424"/>
        <v>1139</v>
      </c>
    </row>
    <row r="722">
      <c r="A722" s="65" t="s">
        <v>4506</v>
      </c>
      <c r="B722" s="65" t="str">
        <f t="shared" si="1"/>
        <v>#VALUE!</v>
      </c>
      <c r="C722" s="65" t="str">
        <f t="shared" si="403"/>
        <v>#VALUE!</v>
      </c>
      <c r="D722" s="65" t="s">
        <v>4508</v>
      </c>
      <c r="E722" s="65">
        <v>0.0</v>
      </c>
      <c r="F722" s="65" t="s">
        <v>4509</v>
      </c>
      <c r="G722" s="65" t="s">
        <v>5077</v>
      </c>
      <c r="H722" s="65" t="s">
        <v>4730</v>
      </c>
      <c r="I722" s="65">
        <v>1199.0</v>
      </c>
      <c r="J722" s="66">
        <v>0.1</v>
      </c>
      <c r="K722" s="65">
        <f t="shared" si="3"/>
        <v>1079</v>
      </c>
      <c r="L722" s="66">
        <v>0.1</v>
      </c>
      <c r="M722" s="65">
        <f t="shared" si="4"/>
        <v>1079</v>
      </c>
      <c r="N722" s="67">
        <f t="shared" si="404"/>
        <v>0.05004170142</v>
      </c>
      <c r="O722" s="68">
        <v>1139.0</v>
      </c>
      <c r="P722" s="67">
        <f t="shared" si="412"/>
        <v>0.05004170142</v>
      </c>
      <c r="Q722" s="69">
        <v>1139.0</v>
      </c>
      <c r="R722" s="70"/>
      <c r="S722" s="71">
        <f t="shared" si="420"/>
        <v>0.05560704356</v>
      </c>
      <c r="T722" s="72">
        <f t="shared" si="6"/>
        <v>0</v>
      </c>
      <c r="U722" s="73" t="str">
        <f t="shared" si="421"/>
        <v/>
      </c>
      <c r="V722" s="73">
        <f t="shared" si="340"/>
        <v>914.4067797</v>
      </c>
      <c r="W722" s="73">
        <f t="shared" si="9"/>
        <v>914.4067797</v>
      </c>
      <c r="X722" s="74">
        <f t="shared" si="10"/>
        <v>1</v>
      </c>
      <c r="Y722" s="73">
        <f t="shared" si="333"/>
        <v>0</v>
      </c>
      <c r="Z722" s="73">
        <f t="shared" si="12"/>
        <v>965.2542373</v>
      </c>
      <c r="AA722" s="73">
        <f t="shared" si="13"/>
        <v>965.2542373</v>
      </c>
      <c r="AB722" s="74">
        <f t="shared" si="14"/>
        <v>1</v>
      </c>
      <c r="AC722" s="61" t="str">
        <f t="shared" si="15"/>
        <v>8</v>
      </c>
      <c r="AD722" s="71" t="str">
        <f t="shared" si="16"/>
        <v>#DIV/0!</v>
      </c>
      <c r="AE722" s="61"/>
      <c r="AF722" s="61"/>
      <c r="AG722" s="71">
        <f t="array" ref="AG722">IFERROR(xlookup(G722,'Old Master'!T:T,'Old Master'!V:V),N722)</f>
        <v>0.05004170142</v>
      </c>
      <c r="AH722" s="73">
        <f t="shared" si="229"/>
        <v>1139</v>
      </c>
      <c r="AI722" s="73">
        <f t="shared" si="230"/>
        <v>965.2542373</v>
      </c>
      <c r="AJ722" s="72">
        <f t="shared" si="19"/>
        <v>1</v>
      </c>
      <c r="AK722" s="61"/>
      <c r="AL722" s="71">
        <f t="array" ref="AL722">iferror(if(isblank(xlookup($G722,'Old Master'!$T:$T,'Old Master'!$W:$W)),AG722,xlookup($G722,'Old Master'!$T:$T,'Old Master'!$W:$W)),AG722)</f>
        <v>0.05004170142</v>
      </c>
      <c r="AM722" s="74">
        <f t="shared" si="20"/>
        <v>0.05004170142</v>
      </c>
      <c r="AN722" s="73">
        <f t="shared" si="424"/>
        <v>1139</v>
      </c>
    </row>
    <row r="723">
      <c r="A723" s="65" t="s">
        <v>4581</v>
      </c>
      <c r="B723" s="65" t="str">
        <f t="shared" si="1"/>
        <v>#VALUE!</v>
      </c>
      <c r="C723" s="65" t="str">
        <f t="shared" si="403"/>
        <v>#VALUE!</v>
      </c>
      <c r="D723" s="65" t="s">
        <v>4583</v>
      </c>
      <c r="E723" s="65">
        <v>0.0</v>
      </c>
      <c r="F723" s="65" t="s">
        <v>4584</v>
      </c>
      <c r="G723" s="65" t="s">
        <v>5077</v>
      </c>
      <c r="H723" s="65" t="s">
        <v>4730</v>
      </c>
      <c r="I723" s="65">
        <v>1599.0</v>
      </c>
      <c r="J723" s="66">
        <v>0.1</v>
      </c>
      <c r="K723" s="65">
        <f t="shared" si="3"/>
        <v>1439</v>
      </c>
      <c r="L723" s="66">
        <v>0.1</v>
      </c>
      <c r="M723" s="65">
        <f t="shared" si="4"/>
        <v>1439</v>
      </c>
      <c r="N723" s="67">
        <f t="shared" si="404"/>
        <v>0.05003126954</v>
      </c>
      <c r="O723" s="68">
        <v>1519.0</v>
      </c>
      <c r="P723" s="67">
        <f t="shared" si="412"/>
        <v>0.05003126954</v>
      </c>
      <c r="Q723" s="69">
        <v>1519.0</v>
      </c>
      <c r="R723" s="70"/>
      <c r="S723" s="71">
        <f t="shared" si="420"/>
        <v>0.05559416261</v>
      </c>
      <c r="T723" s="72">
        <f t="shared" si="6"/>
        <v>0</v>
      </c>
      <c r="U723" s="73" t="str">
        <f t="shared" si="421"/>
        <v/>
      </c>
      <c r="V723" s="73">
        <f t="shared" si="340"/>
        <v>1219.491525</v>
      </c>
      <c r="W723" s="73">
        <f t="shared" si="9"/>
        <v>1219.491525</v>
      </c>
      <c r="X723" s="74">
        <f t="shared" si="10"/>
        <v>1</v>
      </c>
      <c r="Y723" s="73">
        <f t="shared" si="333"/>
        <v>0</v>
      </c>
      <c r="Z723" s="73">
        <f t="shared" si="12"/>
        <v>1287.288136</v>
      </c>
      <c r="AA723" s="73">
        <f t="shared" si="13"/>
        <v>1287.288136</v>
      </c>
      <c r="AB723" s="74">
        <f t="shared" si="14"/>
        <v>1</v>
      </c>
      <c r="AC723" s="61" t="str">
        <f t="shared" si="15"/>
        <v>6</v>
      </c>
      <c r="AD723" s="71" t="str">
        <f t="shared" si="16"/>
        <v>#DIV/0!</v>
      </c>
      <c r="AE723" s="61"/>
      <c r="AF723" s="61"/>
      <c r="AG723" s="71">
        <f t="array" ref="AG723">IFERROR(xlookup(G723,'Old Master'!T:T,'Old Master'!V:V),N723)</f>
        <v>0.05003126954</v>
      </c>
      <c r="AH723" s="73">
        <f t="shared" si="229"/>
        <v>1519</v>
      </c>
      <c r="AI723" s="73">
        <f t="shared" si="230"/>
        <v>1287.288136</v>
      </c>
      <c r="AJ723" s="72">
        <f t="shared" si="19"/>
        <v>1</v>
      </c>
      <c r="AK723" s="61"/>
      <c r="AL723" s="71">
        <f t="array" ref="AL723">iferror(if(isblank(xlookup($G723,'Old Master'!$T:$T,'Old Master'!$W:$W)),AG723,xlookup($G723,'Old Master'!$T:$T,'Old Master'!$W:$W)),AG723)</f>
        <v>0.05003126954</v>
      </c>
      <c r="AM723" s="74">
        <f t="shared" si="20"/>
        <v>0.05003126954</v>
      </c>
      <c r="AN723" s="73">
        <f t="shared" si="424"/>
        <v>1519</v>
      </c>
    </row>
    <row r="724">
      <c r="A724" s="65" t="s">
        <v>4443</v>
      </c>
      <c r="B724" s="65" t="str">
        <f t="shared" si="1"/>
        <v>#VALUE!</v>
      </c>
      <c r="C724" s="65" t="str">
        <f t="shared" si="403"/>
        <v>#VALUE!</v>
      </c>
      <c r="D724" s="65" t="s">
        <v>4445</v>
      </c>
      <c r="E724" s="65">
        <v>0.0</v>
      </c>
      <c r="F724" s="65" t="s">
        <v>4446</v>
      </c>
      <c r="G724" s="65" t="s">
        <v>5077</v>
      </c>
      <c r="H724" s="65" t="s">
        <v>4730</v>
      </c>
      <c r="I724" s="65">
        <v>999.0</v>
      </c>
      <c r="J724" s="66">
        <v>0.1</v>
      </c>
      <c r="K724" s="65">
        <f t="shared" si="3"/>
        <v>899</v>
      </c>
      <c r="L724" s="66">
        <v>0.1</v>
      </c>
      <c r="M724" s="65">
        <f t="shared" si="4"/>
        <v>899</v>
      </c>
      <c r="N724" s="67">
        <f t="shared" si="404"/>
        <v>0.05005005005</v>
      </c>
      <c r="O724" s="68">
        <v>949.0</v>
      </c>
      <c r="P724" s="67">
        <f t="shared" si="412"/>
        <v>0.05005005005</v>
      </c>
      <c r="Q724" s="69">
        <v>949.0</v>
      </c>
      <c r="R724" s="70"/>
      <c r="S724" s="71">
        <f t="shared" si="420"/>
        <v>0.05561735261</v>
      </c>
      <c r="T724" s="72">
        <f t="shared" si="6"/>
        <v>0</v>
      </c>
      <c r="U724" s="73" t="str">
        <f t="shared" si="421"/>
        <v/>
      </c>
      <c r="V724" s="73">
        <f t="shared" si="340"/>
        <v>761.8644068</v>
      </c>
      <c r="W724" s="73">
        <f t="shared" si="9"/>
        <v>761.8644068</v>
      </c>
      <c r="X724" s="74">
        <f t="shared" si="10"/>
        <v>1</v>
      </c>
      <c r="Y724" s="73">
        <f t="shared" si="333"/>
        <v>0</v>
      </c>
      <c r="Z724" s="73">
        <f t="shared" si="12"/>
        <v>804.2372881</v>
      </c>
      <c r="AA724" s="73">
        <f t="shared" si="13"/>
        <v>804.2372881</v>
      </c>
      <c r="AB724" s="74">
        <f t="shared" si="14"/>
        <v>1</v>
      </c>
      <c r="AC724" s="61" t="str">
        <f t="shared" si="15"/>
        <v>6</v>
      </c>
      <c r="AD724" s="71" t="str">
        <f t="shared" si="16"/>
        <v>#DIV/0!</v>
      </c>
      <c r="AE724" s="61"/>
      <c r="AF724" s="61"/>
      <c r="AG724" s="71">
        <f t="array" ref="AG724">IFERROR(xlookup(G724,'Old Master'!T:T,'Old Master'!V:V),N724)</f>
        <v>0.05005005005</v>
      </c>
      <c r="AH724" s="73">
        <f t="shared" si="229"/>
        <v>949</v>
      </c>
      <c r="AI724" s="73">
        <f t="shared" si="230"/>
        <v>804.2372881</v>
      </c>
      <c r="AJ724" s="72">
        <f t="shared" si="19"/>
        <v>1</v>
      </c>
      <c r="AK724" s="61"/>
      <c r="AL724" s="71">
        <f t="array" ref="AL724">iferror(if(isblank(xlookup($G724,'Old Master'!$T:$T,'Old Master'!$W:$W)),AG724,xlookup($G724,'Old Master'!$T:$T,'Old Master'!$W:$W)),AG724)</f>
        <v>0.05005005005</v>
      </c>
      <c r="AM724" s="74">
        <f t="shared" si="20"/>
        <v>0.05005005005</v>
      </c>
      <c r="AN724" s="73">
        <f t="shared" si="424"/>
        <v>949</v>
      </c>
    </row>
    <row r="725">
      <c r="A725" s="65" t="s">
        <v>4448</v>
      </c>
      <c r="B725" s="65" t="str">
        <f t="shared" si="1"/>
        <v>#VALUE!</v>
      </c>
      <c r="C725" s="65" t="str">
        <f t="shared" si="403"/>
        <v>#VALUE!</v>
      </c>
      <c r="D725" s="65" t="s">
        <v>4450</v>
      </c>
      <c r="E725" s="65">
        <v>0.0</v>
      </c>
      <c r="F725" s="65" t="s">
        <v>4451</v>
      </c>
      <c r="G725" s="65" t="s">
        <v>5077</v>
      </c>
      <c r="H725" s="65" t="s">
        <v>4730</v>
      </c>
      <c r="I725" s="65">
        <v>999.0</v>
      </c>
      <c r="J725" s="66">
        <v>0.1</v>
      </c>
      <c r="K725" s="65">
        <f t="shared" si="3"/>
        <v>899</v>
      </c>
      <c r="L725" s="66">
        <v>0.1</v>
      </c>
      <c r="M725" s="65">
        <f t="shared" si="4"/>
        <v>899</v>
      </c>
      <c r="N725" s="67">
        <f t="shared" si="404"/>
        <v>0.05005005005</v>
      </c>
      <c r="O725" s="68">
        <v>949.0</v>
      </c>
      <c r="P725" s="67">
        <f t="shared" si="412"/>
        <v>0.05005005005</v>
      </c>
      <c r="Q725" s="69">
        <v>949.0</v>
      </c>
      <c r="R725" s="70"/>
      <c r="S725" s="71">
        <f t="shared" si="420"/>
        <v>0.05561735261</v>
      </c>
      <c r="T725" s="72">
        <f t="shared" si="6"/>
        <v>0</v>
      </c>
      <c r="U725" s="73" t="str">
        <f t="shared" si="421"/>
        <v/>
      </c>
      <c r="V725" s="73">
        <f t="shared" si="340"/>
        <v>761.8644068</v>
      </c>
      <c r="W725" s="73">
        <f t="shared" si="9"/>
        <v>761.8644068</v>
      </c>
      <c r="X725" s="74">
        <f t="shared" si="10"/>
        <v>1</v>
      </c>
      <c r="Y725" s="73">
        <f t="shared" si="333"/>
        <v>0</v>
      </c>
      <c r="Z725" s="73">
        <f t="shared" si="12"/>
        <v>804.2372881</v>
      </c>
      <c r="AA725" s="73">
        <f t="shared" si="13"/>
        <v>804.2372881</v>
      </c>
      <c r="AB725" s="74">
        <f t="shared" si="14"/>
        <v>1</v>
      </c>
      <c r="AC725" s="61" t="str">
        <f t="shared" si="15"/>
        <v>6</v>
      </c>
      <c r="AD725" s="71" t="str">
        <f t="shared" si="16"/>
        <v>#DIV/0!</v>
      </c>
      <c r="AE725" s="61"/>
      <c r="AF725" s="61"/>
      <c r="AG725" s="71">
        <f t="array" ref="AG725">IFERROR(xlookup(G725,'Old Master'!T:T,'Old Master'!V:V),N725)</f>
        <v>0.05005005005</v>
      </c>
      <c r="AH725" s="73">
        <f t="shared" si="229"/>
        <v>949</v>
      </c>
      <c r="AI725" s="73">
        <f t="shared" si="230"/>
        <v>804.2372881</v>
      </c>
      <c r="AJ725" s="72">
        <f t="shared" si="19"/>
        <v>1</v>
      </c>
      <c r="AK725" s="61"/>
      <c r="AL725" s="71">
        <f t="array" ref="AL725">iferror(if(isblank(xlookup($G725,'Old Master'!$T:$T,'Old Master'!$W:$W)),AG725,xlookup($G725,'Old Master'!$T:$T,'Old Master'!$W:$W)),AG725)</f>
        <v>0.05005005005</v>
      </c>
      <c r="AM725" s="74">
        <f t="shared" si="20"/>
        <v>0.05005005005</v>
      </c>
      <c r="AN725" s="73">
        <f t="shared" si="424"/>
        <v>949</v>
      </c>
    </row>
    <row r="726">
      <c r="A726" s="65" t="s">
        <v>4471</v>
      </c>
      <c r="B726" s="65" t="str">
        <f t="shared" si="1"/>
        <v>#VALUE!</v>
      </c>
      <c r="C726" s="65" t="str">
        <f t="shared" si="403"/>
        <v>#VALUE!</v>
      </c>
      <c r="D726" s="65" t="s">
        <v>4473</v>
      </c>
      <c r="E726" s="65">
        <v>0.0</v>
      </c>
      <c r="F726" s="65" t="s">
        <v>4474</v>
      </c>
      <c r="G726" s="65" t="s">
        <v>5077</v>
      </c>
      <c r="H726" s="65" t="s">
        <v>4730</v>
      </c>
      <c r="I726" s="65">
        <v>1199.0</v>
      </c>
      <c r="J726" s="66">
        <v>0.1</v>
      </c>
      <c r="K726" s="65">
        <f t="shared" si="3"/>
        <v>1079</v>
      </c>
      <c r="L726" s="66">
        <v>0.1</v>
      </c>
      <c r="M726" s="65">
        <f t="shared" si="4"/>
        <v>1079</v>
      </c>
      <c r="N726" s="67">
        <f t="shared" si="404"/>
        <v>0.05004170142</v>
      </c>
      <c r="O726" s="68">
        <v>1139.0</v>
      </c>
      <c r="P726" s="67">
        <f t="shared" si="412"/>
        <v>0.05004170142</v>
      </c>
      <c r="Q726" s="69">
        <v>1139.0</v>
      </c>
      <c r="R726" s="70"/>
      <c r="S726" s="71">
        <f t="shared" si="420"/>
        <v>0.05560704356</v>
      </c>
      <c r="T726" s="72">
        <f t="shared" si="6"/>
        <v>0</v>
      </c>
      <c r="U726" s="73" t="str">
        <f t="shared" si="421"/>
        <v/>
      </c>
      <c r="V726" s="73">
        <f t="shared" si="340"/>
        <v>914.4067797</v>
      </c>
      <c r="W726" s="73">
        <f t="shared" si="9"/>
        <v>914.4067797</v>
      </c>
      <c r="X726" s="74">
        <f t="shared" si="10"/>
        <v>1</v>
      </c>
      <c r="Y726" s="73">
        <f t="shared" si="333"/>
        <v>0</v>
      </c>
      <c r="Z726" s="73">
        <f t="shared" si="12"/>
        <v>965.2542373</v>
      </c>
      <c r="AA726" s="73">
        <f t="shared" si="13"/>
        <v>965.2542373</v>
      </c>
      <c r="AB726" s="74">
        <f t="shared" si="14"/>
        <v>1</v>
      </c>
      <c r="AC726" s="61" t="str">
        <f t="shared" si="15"/>
        <v>8</v>
      </c>
      <c r="AD726" s="71" t="str">
        <f t="shared" si="16"/>
        <v>#DIV/0!</v>
      </c>
      <c r="AE726" s="61"/>
      <c r="AF726" s="61"/>
      <c r="AG726" s="71">
        <f t="array" ref="AG726">IFERROR(xlookup(G726,'Old Master'!T:T,'Old Master'!V:V),N726)</f>
        <v>0.05004170142</v>
      </c>
      <c r="AH726" s="73">
        <f t="shared" si="229"/>
        <v>1139</v>
      </c>
      <c r="AI726" s="73">
        <f t="shared" si="230"/>
        <v>965.2542373</v>
      </c>
      <c r="AJ726" s="72">
        <f t="shared" si="19"/>
        <v>1</v>
      </c>
      <c r="AK726" s="61"/>
      <c r="AL726" s="71">
        <f t="array" ref="AL726">iferror(if(isblank(xlookup($G726,'Old Master'!$T:$T,'Old Master'!$W:$W)),AG726,xlookup($G726,'Old Master'!$T:$T,'Old Master'!$W:$W)),AG726)</f>
        <v>0.05004170142</v>
      </c>
      <c r="AM726" s="74">
        <f t="shared" si="20"/>
        <v>0.05004170142</v>
      </c>
      <c r="AN726" s="73">
        <f t="shared" si="424"/>
        <v>1139</v>
      </c>
    </row>
    <row r="727">
      <c r="A727" s="65" t="s">
        <v>4476</v>
      </c>
      <c r="B727" s="65" t="str">
        <f t="shared" si="1"/>
        <v>#VALUE!</v>
      </c>
      <c r="C727" s="65" t="str">
        <f t="shared" si="403"/>
        <v>#VALUE!</v>
      </c>
      <c r="D727" s="65" t="s">
        <v>4478</v>
      </c>
      <c r="E727" s="65">
        <v>0.0</v>
      </c>
      <c r="F727" s="65" t="s">
        <v>4479</v>
      </c>
      <c r="G727" s="65" t="s">
        <v>5077</v>
      </c>
      <c r="H727" s="65" t="s">
        <v>4730</v>
      </c>
      <c r="I727" s="65">
        <v>1199.0</v>
      </c>
      <c r="J727" s="66">
        <v>0.1</v>
      </c>
      <c r="K727" s="65">
        <f t="shared" si="3"/>
        <v>1079</v>
      </c>
      <c r="L727" s="66">
        <v>0.1</v>
      </c>
      <c r="M727" s="65">
        <f t="shared" si="4"/>
        <v>1079</v>
      </c>
      <c r="N727" s="67">
        <f t="shared" si="404"/>
        <v>0.05004170142</v>
      </c>
      <c r="O727" s="68">
        <v>1139.0</v>
      </c>
      <c r="P727" s="67">
        <f t="shared" si="412"/>
        <v>0.05004170142</v>
      </c>
      <c r="Q727" s="69">
        <v>1139.0</v>
      </c>
      <c r="R727" s="70"/>
      <c r="S727" s="71">
        <f t="shared" si="420"/>
        <v>0.05560704356</v>
      </c>
      <c r="T727" s="72">
        <f t="shared" si="6"/>
        <v>0</v>
      </c>
      <c r="U727" s="73" t="str">
        <f t="shared" si="421"/>
        <v/>
      </c>
      <c r="V727" s="73">
        <f t="shared" si="340"/>
        <v>914.4067797</v>
      </c>
      <c r="W727" s="73">
        <f t="shared" si="9"/>
        <v>914.4067797</v>
      </c>
      <c r="X727" s="74">
        <f t="shared" si="10"/>
        <v>1</v>
      </c>
      <c r="Y727" s="73">
        <f t="shared" si="333"/>
        <v>0</v>
      </c>
      <c r="Z727" s="73">
        <f t="shared" si="12"/>
        <v>965.2542373</v>
      </c>
      <c r="AA727" s="73">
        <f t="shared" si="13"/>
        <v>965.2542373</v>
      </c>
      <c r="AB727" s="74">
        <f t="shared" si="14"/>
        <v>1</v>
      </c>
      <c r="AC727" s="61" t="str">
        <f t="shared" si="15"/>
        <v>8</v>
      </c>
      <c r="AD727" s="71" t="str">
        <f t="shared" si="16"/>
        <v>#DIV/0!</v>
      </c>
      <c r="AE727" s="61"/>
      <c r="AF727" s="61"/>
      <c r="AG727" s="71">
        <f t="array" ref="AG727">IFERROR(xlookup(G727,'Old Master'!T:T,'Old Master'!V:V),N727)</f>
        <v>0.05004170142</v>
      </c>
      <c r="AH727" s="73">
        <f t="shared" si="229"/>
        <v>1139</v>
      </c>
      <c r="AI727" s="73">
        <f t="shared" si="230"/>
        <v>965.2542373</v>
      </c>
      <c r="AJ727" s="72">
        <f t="shared" si="19"/>
        <v>1</v>
      </c>
      <c r="AK727" s="61"/>
      <c r="AL727" s="71">
        <f t="array" ref="AL727">iferror(if(isblank(xlookup($G727,'Old Master'!$T:$T,'Old Master'!$W:$W)),AG727,xlookup($G727,'Old Master'!$T:$T,'Old Master'!$W:$W)),AG727)</f>
        <v>0.05004170142</v>
      </c>
      <c r="AM727" s="74">
        <f t="shared" si="20"/>
        <v>0.05004170142</v>
      </c>
      <c r="AN727" s="73">
        <f t="shared" si="424"/>
        <v>1139</v>
      </c>
    </row>
    <row r="728">
      <c r="A728" s="65" t="s">
        <v>4526</v>
      </c>
      <c r="B728" s="65" t="str">
        <f t="shared" si="1"/>
        <v>#VALUE!</v>
      </c>
      <c r="C728" s="65" t="str">
        <f t="shared" si="403"/>
        <v>#VALUE!</v>
      </c>
      <c r="D728" s="65" t="s">
        <v>4528</v>
      </c>
      <c r="E728" s="65">
        <v>0.0</v>
      </c>
      <c r="F728" s="65" t="s">
        <v>4529</v>
      </c>
      <c r="G728" s="65" t="s">
        <v>5077</v>
      </c>
      <c r="H728" s="65" t="s">
        <v>4730</v>
      </c>
      <c r="I728" s="65">
        <v>1499.0</v>
      </c>
      <c r="J728" s="66">
        <v>0.1</v>
      </c>
      <c r="K728" s="65">
        <f t="shared" si="3"/>
        <v>1349</v>
      </c>
      <c r="L728" s="66">
        <v>0.1</v>
      </c>
      <c r="M728" s="65">
        <f t="shared" si="4"/>
        <v>1349</v>
      </c>
      <c r="N728" s="67">
        <f t="shared" si="404"/>
        <v>0.05003335557</v>
      </c>
      <c r="O728" s="68">
        <v>1424.0</v>
      </c>
      <c r="P728" s="67">
        <f t="shared" si="412"/>
        <v>0.05003335557</v>
      </c>
      <c r="Q728" s="69">
        <v>1424.0</v>
      </c>
      <c r="R728" s="70"/>
      <c r="S728" s="71">
        <f t="shared" si="420"/>
        <v>0.05559673832</v>
      </c>
      <c r="T728" s="72">
        <f t="shared" si="6"/>
        <v>0</v>
      </c>
      <c r="U728" s="73" t="str">
        <f t="shared" si="421"/>
        <v/>
      </c>
      <c r="V728" s="73">
        <f t="shared" si="340"/>
        <v>1143.220339</v>
      </c>
      <c r="W728" s="73">
        <f t="shared" si="9"/>
        <v>1143.220339</v>
      </c>
      <c r="X728" s="74">
        <f t="shared" si="10"/>
        <v>1</v>
      </c>
      <c r="Y728" s="73">
        <f t="shared" si="333"/>
        <v>0</v>
      </c>
      <c r="Z728" s="73">
        <f t="shared" si="12"/>
        <v>1206.779661</v>
      </c>
      <c r="AA728" s="73">
        <f t="shared" si="13"/>
        <v>1206.779661</v>
      </c>
      <c r="AB728" s="74">
        <f t="shared" si="14"/>
        <v>1</v>
      </c>
      <c r="AC728" s="61" t="str">
        <f t="shared" si="15"/>
        <v>0</v>
      </c>
      <c r="AD728" s="71" t="str">
        <f t="shared" si="16"/>
        <v>#DIV/0!</v>
      </c>
      <c r="AE728" s="61"/>
      <c r="AF728" s="61"/>
      <c r="AG728" s="71">
        <f t="array" ref="AG728">IFERROR(xlookup(G728,'Old Master'!T:T,'Old Master'!V:V),N728)</f>
        <v>0.05003335557</v>
      </c>
      <c r="AH728" s="73">
        <f t="shared" si="229"/>
        <v>1424</v>
      </c>
      <c r="AI728" s="73">
        <f t="shared" si="230"/>
        <v>1206.779661</v>
      </c>
      <c r="AJ728" s="72">
        <f t="shared" si="19"/>
        <v>1</v>
      </c>
      <c r="AK728" s="61"/>
      <c r="AL728" s="71">
        <f t="array" ref="AL728">iferror(if(isblank(xlookup($G728,'Old Master'!$T:$T,'Old Master'!$W:$W)),AG728,xlookup($G728,'Old Master'!$T:$T,'Old Master'!$W:$W)),AG728)</f>
        <v>0.05003335557</v>
      </c>
      <c r="AM728" s="74">
        <f t="shared" si="20"/>
        <v>0.05003335557</v>
      </c>
      <c r="AN728" s="73">
        <f t="shared" si="424"/>
        <v>1424</v>
      </c>
    </row>
    <row r="729">
      <c r="A729" s="65" t="s">
        <v>4537</v>
      </c>
      <c r="B729" s="65" t="str">
        <f t="shared" si="1"/>
        <v>#VALUE!</v>
      </c>
      <c r="C729" s="65" t="str">
        <f t="shared" si="403"/>
        <v>#VALUE!</v>
      </c>
      <c r="D729" s="65" t="s">
        <v>4539</v>
      </c>
      <c r="E729" s="65">
        <v>0.0</v>
      </c>
      <c r="F729" s="65" t="s">
        <v>4540</v>
      </c>
      <c r="G729" s="65" t="s">
        <v>5077</v>
      </c>
      <c r="H729" s="65" t="s">
        <v>4730</v>
      </c>
      <c r="I729" s="65">
        <v>1599.0</v>
      </c>
      <c r="J729" s="66">
        <v>0.1</v>
      </c>
      <c r="K729" s="65">
        <f t="shared" si="3"/>
        <v>1439</v>
      </c>
      <c r="L729" s="66">
        <v>0.1</v>
      </c>
      <c r="M729" s="65">
        <f t="shared" si="4"/>
        <v>1439</v>
      </c>
      <c r="N729" s="67">
        <f t="shared" si="404"/>
        <v>0.05003126954</v>
      </c>
      <c r="O729" s="68">
        <v>1519.0</v>
      </c>
      <c r="P729" s="67">
        <f t="shared" si="412"/>
        <v>0.05003126954</v>
      </c>
      <c r="Q729" s="69">
        <v>1519.0</v>
      </c>
      <c r="R729" s="70"/>
      <c r="S729" s="71">
        <f t="shared" si="420"/>
        <v>0.05559416261</v>
      </c>
      <c r="T729" s="72">
        <f t="shared" si="6"/>
        <v>0</v>
      </c>
      <c r="U729" s="73" t="str">
        <f t="shared" si="421"/>
        <v/>
      </c>
      <c r="V729" s="73">
        <f t="shared" si="340"/>
        <v>1219.491525</v>
      </c>
      <c r="W729" s="73">
        <f t="shared" si="9"/>
        <v>1219.491525</v>
      </c>
      <c r="X729" s="74">
        <f t="shared" si="10"/>
        <v>1</v>
      </c>
      <c r="Y729" s="73">
        <f t="shared" si="333"/>
        <v>0</v>
      </c>
      <c r="Z729" s="73">
        <f t="shared" si="12"/>
        <v>1287.288136</v>
      </c>
      <c r="AA729" s="73">
        <f t="shared" si="13"/>
        <v>1287.288136</v>
      </c>
      <c r="AB729" s="74">
        <f t="shared" si="14"/>
        <v>1</v>
      </c>
      <c r="AC729" s="61" t="str">
        <f t="shared" si="15"/>
        <v>6</v>
      </c>
      <c r="AD729" s="71" t="str">
        <f t="shared" si="16"/>
        <v>#DIV/0!</v>
      </c>
      <c r="AE729" s="61"/>
      <c r="AF729" s="61"/>
      <c r="AG729" s="71">
        <f t="array" ref="AG729">IFERROR(xlookup(G729,'Old Master'!T:T,'Old Master'!V:V),N729)</f>
        <v>0.05003126954</v>
      </c>
      <c r="AH729" s="73">
        <f t="shared" si="229"/>
        <v>1519</v>
      </c>
      <c r="AI729" s="73">
        <f t="shared" si="230"/>
        <v>1287.288136</v>
      </c>
      <c r="AJ729" s="72">
        <f t="shared" si="19"/>
        <v>1</v>
      </c>
      <c r="AK729" s="61"/>
      <c r="AL729" s="71">
        <f t="array" ref="AL729">iferror(if(isblank(xlookup($G729,'Old Master'!$T:$T,'Old Master'!$W:$W)),AG729,xlookup($G729,'Old Master'!$T:$T,'Old Master'!$W:$W)),AG729)</f>
        <v>0.05003126954</v>
      </c>
      <c r="AM729" s="74">
        <f t="shared" si="20"/>
        <v>0.05003126954</v>
      </c>
      <c r="AN729" s="73">
        <f t="shared" si="424"/>
        <v>1519</v>
      </c>
    </row>
    <row r="730">
      <c r="A730" s="65" t="s">
        <v>4413</v>
      </c>
      <c r="B730" s="65" t="str">
        <f t="shared" si="1"/>
        <v>#VALUE!</v>
      </c>
      <c r="C730" s="65" t="str">
        <f t="shared" si="403"/>
        <v>#VALUE!</v>
      </c>
      <c r="D730" s="65" t="s">
        <v>4415</v>
      </c>
      <c r="E730" s="65">
        <v>0.0</v>
      </c>
      <c r="F730" s="65" t="s">
        <v>4416</v>
      </c>
      <c r="G730" s="65" t="s">
        <v>5077</v>
      </c>
      <c r="H730" s="65" t="s">
        <v>4730</v>
      </c>
      <c r="I730" s="65">
        <v>999.0</v>
      </c>
      <c r="J730" s="66">
        <v>0.1</v>
      </c>
      <c r="K730" s="65">
        <f t="shared" si="3"/>
        <v>899</v>
      </c>
      <c r="L730" s="66">
        <v>0.1</v>
      </c>
      <c r="M730" s="65">
        <f t="shared" si="4"/>
        <v>899</v>
      </c>
      <c r="N730" s="67">
        <f t="shared" si="404"/>
        <v>0.05005005005</v>
      </c>
      <c r="O730" s="68">
        <v>949.0</v>
      </c>
      <c r="P730" s="67">
        <f t="shared" si="412"/>
        <v>0.05005005005</v>
      </c>
      <c r="Q730" s="69">
        <v>949.0</v>
      </c>
      <c r="R730" s="70"/>
      <c r="S730" s="71">
        <f t="shared" si="420"/>
        <v>0.05561735261</v>
      </c>
      <c r="T730" s="72">
        <f t="shared" si="6"/>
        <v>0</v>
      </c>
      <c r="U730" s="73" t="str">
        <f t="shared" si="421"/>
        <v/>
      </c>
      <c r="V730" s="73">
        <f t="shared" si="340"/>
        <v>761.8644068</v>
      </c>
      <c r="W730" s="73">
        <f t="shared" si="9"/>
        <v>761.8644068</v>
      </c>
      <c r="X730" s="74">
        <f t="shared" si="10"/>
        <v>1</v>
      </c>
      <c r="Y730" s="73">
        <f t="shared" si="333"/>
        <v>0</v>
      </c>
      <c r="Z730" s="73">
        <f t="shared" si="12"/>
        <v>804.2372881</v>
      </c>
      <c r="AA730" s="73">
        <f t="shared" si="13"/>
        <v>804.2372881</v>
      </c>
      <c r="AB730" s="74">
        <f t="shared" si="14"/>
        <v>1</v>
      </c>
      <c r="AC730" s="61" t="str">
        <f t="shared" si="15"/>
        <v>6</v>
      </c>
      <c r="AD730" s="71" t="str">
        <f t="shared" si="16"/>
        <v>#DIV/0!</v>
      </c>
      <c r="AE730" s="61"/>
      <c r="AF730" s="61"/>
      <c r="AG730" s="71">
        <f t="array" ref="AG730">IFERROR(xlookup(G730,'Old Master'!T:T,'Old Master'!V:V),N730)</f>
        <v>0.05005005005</v>
      </c>
      <c r="AH730" s="73">
        <f t="shared" si="229"/>
        <v>949</v>
      </c>
      <c r="AI730" s="73">
        <f t="shared" si="230"/>
        <v>804.2372881</v>
      </c>
      <c r="AJ730" s="72">
        <f t="shared" si="19"/>
        <v>1</v>
      </c>
      <c r="AK730" s="61"/>
      <c r="AL730" s="71">
        <f t="array" ref="AL730">iferror(if(isblank(xlookup($G730,'Old Master'!$T:$T,'Old Master'!$W:$W)),AG730,xlookup($G730,'Old Master'!$T:$T,'Old Master'!$W:$W)),AG730)</f>
        <v>0.05005005005</v>
      </c>
      <c r="AM730" s="74">
        <f t="shared" si="20"/>
        <v>0.05005005005</v>
      </c>
      <c r="AN730" s="73">
        <f t="shared" si="424"/>
        <v>949</v>
      </c>
    </row>
    <row r="731">
      <c r="A731" s="65" t="s">
        <v>4608</v>
      </c>
      <c r="B731" s="65" t="str">
        <f t="shared" si="1"/>
        <v>#VALUE!</v>
      </c>
      <c r="C731" s="65" t="str">
        <f t="shared" si="403"/>
        <v>#VALUE!</v>
      </c>
      <c r="D731" s="65">
        <v>0.0</v>
      </c>
      <c r="E731" s="65">
        <v>0.0</v>
      </c>
      <c r="F731" s="65" t="s">
        <v>4610</v>
      </c>
      <c r="G731" s="65" t="s">
        <v>5077</v>
      </c>
      <c r="H731" s="84" t="s">
        <v>4730</v>
      </c>
      <c r="I731" s="65">
        <v>1599.0</v>
      </c>
      <c r="J731" s="66">
        <v>0.0</v>
      </c>
      <c r="K731" s="65">
        <f t="shared" si="3"/>
        <v>1599</v>
      </c>
      <c r="L731" s="66">
        <v>0.0</v>
      </c>
      <c r="M731" s="65">
        <f t="shared" si="4"/>
        <v>1599</v>
      </c>
      <c r="N731" s="67">
        <f t="shared" si="404"/>
        <v>0.05003126954</v>
      </c>
      <c r="O731" s="68">
        <v>1519.0</v>
      </c>
      <c r="P731" s="67">
        <f t="shared" si="412"/>
        <v>0.05003126954</v>
      </c>
      <c r="Q731" s="69">
        <v>1519.0</v>
      </c>
      <c r="R731" s="70"/>
      <c r="S731" s="71">
        <f t="shared" si="420"/>
        <v>-0.05003126954</v>
      </c>
      <c r="T731" s="72">
        <f t="shared" si="6"/>
        <v>0</v>
      </c>
      <c r="U731" s="73" t="str">
        <f t="shared" si="421"/>
        <v/>
      </c>
      <c r="V731" s="73">
        <f t="shared" si="340"/>
        <v>1355.084746</v>
      </c>
      <c r="W731" s="73">
        <f t="shared" si="9"/>
        <v>1355.084746</v>
      </c>
      <c r="X731" s="74">
        <f t="shared" si="10"/>
        <v>1</v>
      </c>
      <c r="Y731" s="73">
        <f t="shared" si="333"/>
        <v>0</v>
      </c>
      <c r="Z731" s="73">
        <f t="shared" si="12"/>
        <v>1287.288136</v>
      </c>
      <c r="AA731" s="73">
        <f t="shared" si="13"/>
        <v>1287.288136</v>
      </c>
      <c r="AB731" s="74">
        <f t="shared" si="14"/>
        <v>1</v>
      </c>
      <c r="AC731" s="61" t="str">
        <f t="shared" si="15"/>
        <v>6</v>
      </c>
      <c r="AD731" s="71" t="str">
        <f t="shared" si="16"/>
        <v>#DIV/0!</v>
      </c>
      <c r="AE731" s="61"/>
      <c r="AF731" s="61"/>
      <c r="AG731" s="71">
        <f t="array" ref="AG731">IFERROR(xlookup(G731,'Old Master'!T:T,'Old Master'!V:V),N731)</f>
        <v>0.05003126954</v>
      </c>
      <c r="AH731" s="73">
        <f t="shared" si="229"/>
        <v>1519</v>
      </c>
      <c r="AI731" s="73">
        <f t="shared" si="230"/>
        <v>1287.288136</v>
      </c>
      <c r="AJ731" s="72">
        <f t="shared" si="19"/>
        <v>1</v>
      </c>
      <c r="AK731" s="61"/>
      <c r="AL731" s="71">
        <f t="array" ref="AL731">iferror(if(isblank(xlookup($G731,'Old Master'!$T:$T,'Old Master'!$W:$W)),AG731,xlookup($G731,'Old Master'!$T:$T,'Old Master'!$W:$W)),AG731)</f>
        <v>0.05003126954</v>
      </c>
      <c r="AM731" s="74">
        <f t="shared" si="20"/>
        <v>0.05003126954</v>
      </c>
      <c r="AN731" s="73">
        <f t="shared" si="424"/>
        <v>1519</v>
      </c>
    </row>
    <row r="732">
      <c r="A732" s="65" t="s">
        <v>4521</v>
      </c>
      <c r="B732" s="65" t="str">
        <f t="shared" si="1"/>
        <v>#VALUE!</v>
      </c>
      <c r="C732" s="65" t="str">
        <f t="shared" si="403"/>
        <v>#VALUE!</v>
      </c>
      <c r="D732" s="65" t="s">
        <v>4523</v>
      </c>
      <c r="E732" s="65">
        <v>0.0</v>
      </c>
      <c r="F732" s="65" t="s">
        <v>4524</v>
      </c>
      <c r="G732" s="65" t="s">
        <v>5077</v>
      </c>
      <c r="H732" s="65" t="s">
        <v>4730</v>
      </c>
      <c r="I732" s="65">
        <v>1199.0</v>
      </c>
      <c r="J732" s="66">
        <v>0.0</v>
      </c>
      <c r="K732" s="65">
        <f t="shared" si="3"/>
        <v>1199</v>
      </c>
      <c r="L732" s="66">
        <v>0.0</v>
      </c>
      <c r="M732" s="65">
        <f t="shared" si="4"/>
        <v>1199</v>
      </c>
      <c r="N732" s="67">
        <f t="shared" si="404"/>
        <v>0.05004170142</v>
      </c>
      <c r="O732" s="68">
        <v>1139.0</v>
      </c>
      <c r="P732" s="67">
        <f t="shared" si="412"/>
        <v>0.05004170142</v>
      </c>
      <c r="Q732" s="69">
        <v>1139.0</v>
      </c>
      <c r="R732" s="70"/>
      <c r="S732" s="71">
        <f t="shared" si="420"/>
        <v>-0.05004170142</v>
      </c>
      <c r="T732" s="72">
        <f t="shared" si="6"/>
        <v>0</v>
      </c>
      <c r="U732" s="73" t="str">
        <f t="shared" si="421"/>
        <v/>
      </c>
      <c r="V732" s="73">
        <f t="shared" si="340"/>
        <v>1016.101695</v>
      </c>
      <c r="W732" s="73">
        <f t="shared" si="9"/>
        <v>1016.101695</v>
      </c>
      <c r="X732" s="74">
        <f t="shared" si="10"/>
        <v>1</v>
      </c>
      <c r="Y732" s="73">
        <f t="shared" si="333"/>
        <v>0</v>
      </c>
      <c r="Z732" s="73">
        <f t="shared" si="12"/>
        <v>965.2542373</v>
      </c>
      <c r="AA732" s="73">
        <f t="shared" si="13"/>
        <v>965.2542373</v>
      </c>
      <c r="AB732" s="74">
        <f t="shared" si="14"/>
        <v>1</v>
      </c>
      <c r="AC732" s="61" t="str">
        <f t="shared" si="15"/>
        <v>8</v>
      </c>
      <c r="AD732" s="71" t="str">
        <f t="shared" si="16"/>
        <v>#DIV/0!</v>
      </c>
      <c r="AE732" s="61"/>
      <c r="AF732" s="61"/>
      <c r="AG732" s="71">
        <f t="array" ref="AG732">IFERROR(xlookup(G732,'Old Master'!T:T,'Old Master'!V:V),N732)</f>
        <v>0.05004170142</v>
      </c>
      <c r="AH732" s="73">
        <f t="shared" si="229"/>
        <v>1139</v>
      </c>
      <c r="AI732" s="73">
        <f t="shared" si="230"/>
        <v>965.2542373</v>
      </c>
      <c r="AJ732" s="72">
        <f t="shared" si="19"/>
        <v>1</v>
      </c>
      <c r="AK732" s="61"/>
      <c r="AL732" s="71">
        <f t="array" ref="AL732">iferror(if(isblank(xlookup($G732,'Old Master'!$T:$T,'Old Master'!$W:$W)),AG732,xlookup($G732,'Old Master'!$T:$T,'Old Master'!$W:$W)),AG732)</f>
        <v>0.05004170142</v>
      </c>
      <c r="AM732" s="74">
        <f t="shared" si="20"/>
        <v>0.05004170142</v>
      </c>
      <c r="AN732" s="73">
        <f t="shared" si="424"/>
        <v>1139</v>
      </c>
    </row>
    <row r="733">
      <c r="A733" s="65" t="s">
        <v>4611</v>
      </c>
      <c r="B733" s="65" t="str">
        <f t="shared" si="1"/>
        <v>#VALUE!</v>
      </c>
      <c r="C733" s="65" t="str">
        <f t="shared" si="403"/>
        <v>#VALUE!</v>
      </c>
      <c r="D733" s="65">
        <v>0.0</v>
      </c>
      <c r="E733" s="65">
        <v>0.0</v>
      </c>
      <c r="F733" s="65" t="s">
        <v>4613</v>
      </c>
      <c r="G733" s="65" t="s">
        <v>5077</v>
      </c>
      <c r="H733" s="84" t="s">
        <v>4730</v>
      </c>
      <c r="I733" s="65">
        <v>1599.0</v>
      </c>
      <c r="J733" s="66">
        <v>0.0</v>
      </c>
      <c r="K733" s="65">
        <f t="shared" si="3"/>
        <v>1599</v>
      </c>
      <c r="L733" s="66">
        <v>0.0</v>
      </c>
      <c r="M733" s="65">
        <f t="shared" si="4"/>
        <v>1599</v>
      </c>
      <c r="N733" s="67">
        <f t="shared" si="404"/>
        <v>0.05003126954</v>
      </c>
      <c r="O733" s="68">
        <v>1519.0</v>
      </c>
      <c r="P733" s="67">
        <f t="shared" si="412"/>
        <v>0.05003126954</v>
      </c>
      <c r="Q733" s="69">
        <v>1519.0</v>
      </c>
      <c r="R733" s="70"/>
      <c r="S733" s="71">
        <f t="shared" si="420"/>
        <v>-0.05003126954</v>
      </c>
      <c r="T733" s="72">
        <f t="shared" si="6"/>
        <v>0</v>
      </c>
      <c r="U733" s="73" t="str">
        <f t="shared" si="421"/>
        <v/>
      </c>
      <c r="V733" s="73">
        <f t="shared" si="340"/>
        <v>1355.084746</v>
      </c>
      <c r="W733" s="73">
        <f t="shared" si="9"/>
        <v>1355.084746</v>
      </c>
      <c r="X733" s="74">
        <f t="shared" si="10"/>
        <v>1</v>
      </c>
      <c r="Y733" s="73">
        <f t="shared" si="333"/>
        <v>0</v>
      </c>
      <c r="Z733" s="73">
        <f t="shared" si="12"/>
        <v>1287.288136</v>
      </c>
      <c r="AA733" s="73">
        <f t="shared" si="13"/>
        <v>1287.288136</v>
      </c>
      <c r="AB733" s="74">
        <f t="shared" si="14"/>
        <v>1</v>
      </c>
      <c r="AC733" s="61" t="str">
        <f t="shared" si="15"/>
        <v>6</v>
      </c>
      <c r="AD733" s="71" t="str">
        <f t="shared" si="16"/>
        <v>#DIV/0!</v>
      </c>
      <c r="AE733" s="61"/>
      <c r="AF733" s="61"/>
      <c r="AG733" s="71">
        <f t="array" ref="AG733">IFERROR(xlookup(G733,'Old Master'!T:T,'Old Master'!V:V),N733)</f>
        <v>0.05003126954</v>
      </c>
      <c r="AH733" s="73">
        <f t="shared" si="229"/>
        <v>1519</v>
      </c>
      <c r="AI733" s="73">
        <f t="shared" si="230"/>
        <v>1287.288136</v>
      </c>
      <c r="AJ733" s="72">
        <f t="shared" si="19"/>
        <v>1</v>
      </c>
      <c r="AK733" s="61"/>
      <c r="AL733" s="71">
        <f t="array" ref="AL733">iferror(if(isblank(xlookup($G733,'Old Master'!$T:$T,'Old Master'!$W:$W)),AG733,xlookup($G733,'Old Master'!$T:$T,'Old Master'!$W:$W)),AG733)</f>
        <v>0.05003126954</v>
      </c>
      <c r="AM733" s="74">
        <f t="shared" si="20"/>
        <v>0.05003126954</v>
      </c>
      <c r="AN733" s="73">
        <f t="shared" si="424"/>
        <v>1519</v>
      </c>
    </row>
    <row r="734">
      <c r="A734" s="65" t="s">
        <v>4603</v>
      </c>
      <c r="B734" s="65" t="str">
        <f t="shared" si="1"/>
        <v>#VALUE!</v>
      </c>
      <c r="C734" s="65" t="str">
        <f t="shared" si="403"/>
        <v>#VALUE!</v>
      </c>
      <c r="D734" s="65" t="s">
        <v>4605</v>
      </c>
      <c r="E734" s="65">
        <v>0.0</v>
      </c>
      <c r="F734" s="65" t="s">
        <v>4606</v>
      </c>
      <c r="G734" s="65" t="s">
        <v>5077</v>
      </c>
      <c r="H734" s="65" t="s">
        <v>4730</v>
      </c>
      <c r="I734" s="65">
        <v>1599.0</v>
      </c>
      <c r="J734" s="66">
        <v>0.0</v>
      </c>
      <c r="K734" s="65">
        <f t="shared" si="3"/>
        <v>1599</v>
      </c>
      <c r="L734" s="66">
        <v>0.0</v>
      </c>
      <c r="M734" s="65">
        <f t="shared" si="4"/>
        <v>1599</v>
      </c>
      <c r="N734" s="67">
        <f t="shared" si="404"/>
        <v>0.05003126954</v>
      </c>
      <c r="O734" s="68">
        <v>1519.0</v>
      </c>
      <c r="P734" s="67">
        <f t="shared" si="412"/>
        <v>0.05003126954</v>
      </c>
      <c r="Q734" s="69">
        <v>1519.0</v>
      </c>
      <c r="R734" s="70"/>
      <c r="S734" s="71">
        <f t="shared" si="420"/>
        <v>-0.05003126954</v>
      </c>
      <c r="T734" s="72">
        <f t="shared" si="6"/>
        <v>0</v>
      </c>
      <c r="U734" s="73" t="str">
        <f t="shared" si="421"/>
        <v/>
      </c>
      <c r="V734" s="73">
        <f t="shared" si="340"/>
        <v>1355.084746</v>
      </c>
      <c r="W734" s="73">
        <f t="shared" si="9"/>
        <v>1355.084746</v>
      </c>
      <c r="X734" s="74">
        <f t="shared" si="10"/>
        <v>1</v>
      </c>
      <c r="Y734" s="73">
        <f t="shared" si="333"/>
        <v>0</v>
      </c>
      <c r="Z734" s="73">
        <f t="shared" si="12"/>
        <v>1287.288136</v>
      </c>
      <c r="AA734" s="73">
        <f t="shared" si="13"/>
        <v>1287.288136</v>
      </c>
      <c r="AB734" s="74">
        <f t="shared" si="14"/>
        <v>1</v>
      </c>
      <c r="AC734" s="61" t="str">
        <f t="shared" si="15"/>
        <v>6</v>
      </c>
      <c r="AD734" s="71" t="str">
        <f t="shared" si="16"/>
        <v>#DIV/0!</v>
      </c>
      <c r="AE734" s="61"/>
      <c r="AF734" s="61"/>
      <c r="AG734" s="71">
        <f t="array" ref="AG734">IFERROR(xlookup(G734,'Old Master'!T:T,'Old Master'!V:V),N734)</f>
        <v>0.05003126954</v>
      </c>
      <c r="AH734" s="73">
        <f t="shared" si="229"/>
        <v>1519</v>
      </c>
      <c r="AI734" s="73">
        <f t="shared" si="230"/>
        <v>1287.288136</v>
      </c>
      <c r="AJ734" s="72">
        <f t="shared" si="19"/>
        <v>1</v>
      </c>
      <c r="AK734" s="61"/>
      <c r="AL734" s="71">
        <f t="array" ref="AL734">iferror(if(isblank(xlookup($G734,'Old Master'!$T:$T,'Old Master'!$W:$W)),AG734,xlookup($G734,'Old Master'!$T:$T,'Old Master'!$W:$W)),AG734)</f>
        <v>0.05003126954</v>
      </c>
      <c r="AM734" s="74">
        <f t="shared" si="20"/>
        <v>0.05003126954</v>
      </c>
      <c r="AN734" s="73">
        <f t="shared" si="424"/>
        <v>1519</v>
      </c>
    </row>
    <row r="735">
      <c r="A735" s="65" t="s">
        <v>4940</v>
      </c>
      <c r="B735" s="65" t="str">
        <f t="shared" si="1"/>
        <v>#VALUE!</v>
      </c>
      <c r="C735" s="65" t="str">
        <f t="shared" si="403"/>
        <v>#VALUE!</v>
      </c>
      <c r="D735" s="65">
        <v>0.0</v>
      </c>
      <c r="E735" s="65">
        <v>0.0</v>
      </c>
      <c r="F735" s="65" t="s">
        <v>4943</v>
      </c>
      <c r="G735" s="65" t="s">
        <v>5077</v>
      </c>
      <c r="H735" s="84" t="s">
        <v>4730</v>
      </c>
      <c r="I735" s="65">
        <v>1499.0</v>
      </c>
      <c r="J735" s="66">
        <v>0.0</v>
      </c>
      <c r="K735" s="65">
        <f t="shared" si="3"/>
        <v>1499</v>
      </c>
      <c r="L735" s="66">
        <v>0.0</v>
      </c>
      <c r="M735" s="65">
        <f t="shared" si="4"/>
        <v>1499</v>
      </c>
      <c r="N735" s="67">
        <f t="shared" si="404"/>
        <v>0.05003335557</v>
      </c>
      <c r="O735" s="68">
        <v>1424.0</v>
      </c>
      <c r="P735" s="67">
        <f t="shared" si="412"/>
        <v>0.05003335557</v>
      </c>
      <c r="Q735" s="69">
        <v>1424.0</v>
      </c>
      <c r="R735" s="70"/>
      <c r="S735" s="71">
        <f t="shared" si="420"/>
        <v>-0.05003335557</v>
      </c>
      <c r="T735" s="72">
        <f t="shared" si="6"/>
        <v>0</v>
      </c>
      <c r="U735" s="73">
        <f t="shared" ref="U735:U738" si="425">IFERROR(XLOOKUP(A735,COGS!I:I,COGS!J:J), IFERROR(XLOOKUP(C735,COGS!I:I,COGS!J:J),I735*35%))</f>
        <v>524.65</v>
      </c>
      <c r="V735" s="73">
        <f t="shared" si="340"/>
        <v>1270.338983</v>
      </c>
      <c r="W735" s="73">
        <f t="shared" si="9"/>
        <v>745.6889831</v>
      </c>
      <c r="X735" s="74">
        <f t="shared" si="10"/>
        <v>0.587</v>
      </c>
      <c r="Y735" s="73">
        <f t="shared" si="333"/>
        <v>603.3475</v>
      </c>
      <c r="Z735" s="73">
        <f t="shared" si="12"/>
        <v>1206.779661</v>
      </c>
      <c r="AA735" s="73">
        <f t="shared" si="13"/>
        <v>603.432161</v>
      </c>
      <c r="AB735" s="74">
        <f t="shared" si="14"/>
        <v>0.5000350772</v>
      </c>
      <c r="AC735" s="61" t="str">
        <f t="shared" si="15"/>
        <v>0</v>
      </c>
      <c r="AD735" s="71">
        <f t="shared" si="16"/>
        <v>0.15</v>
      </c>
      <c r="AE735" s="61"/>
      <c r="AF735" s="61"/>
      <c r="AG735" s="71">
        <f t="array" ref="AG735">IFERROR(xlookup(G735,'Old Master'!T:T,'Old Master'!V:V),N735)</f>
        <v>0.05003335557</v>
      </c>
      <c r="AH735" s="73">
        <f t="shared" si="229"/>
        <v>1424</v>
      </c>
      <c r="AI735" s="73">
        <f t="shared" si="230"/>
        <v>603.432161</v>
      </c>
      <c r="AJ735" s="72">
        <f t="shared" si="19"/>
        <v>0.5000350772</v>
      </c>
      <c r="AK735" s="61"/>
      <c r="AL735" s="71">
        <f t="array" ref="AL735">iferror(if(isblank(xlookup($G735,'Old Master'!$T:$T,'Old Master'!$W:$W)),AG735,xlookup($G735,'Old Master'!$T:$T,'Old Master'!$W:$W)),AG735)</f>
        <v>0.05003335557</v>
      </c>
      <c r="AM735" s="74">
        <f t="shared" si="20"/>
        <v>0.05003335557</v>
      </c>
      <c r="AN735" s="73">
        <f t="shared" si="424"/>
        <v>1424</v>
      </c>
    </row>
    <row r="736">
      <c r="A736" s="65" t="s">
        <v>4944</v>
      </c>
      <c r="B736" s="65" t="str">
        <f t="shared" si="1"/>
        <v>#VALUE!</v>
      </c>
      <c r="C736" s="65" t="str">
        <f t="shared" si="403"/>
        <v>#VALUE!</v>
      </c>
      <c r="D736" s="65">
        <v>0.0</v>
      </c>
      <c r="E736" s="65">
        <v>0.0</v>
      </c>
      <c r="F736" s="65" t="s">
        <v>4947</v>
      </c>
      <c r="G736" s="65" t="s">
        <v>5077</v>
      </c>
      <c r="H736" s="84" t="s">
        <v>4730</v>
      </c>
      <c r="I736" s="65">
        <v>1599.0</v>
      </c>
      <c r="J736" s="66">
        <v>0.0</v>
      </c>
      <c r="K736" s="65">
        <f t="shared" si="3"/>
        <v>1599</v>
      </c>
      <c r="L736" s="66">
        <v>0.0</v>
      </c>
      <c r="M736" s="65">
        <f t="shared" si="4"/>
        <v>1599</v>
      </c>
      <c r="N736" s="67">
        <f t="shared" si="404"/>
        <v>0.05003126954</v>
      </c>
      <c r="O736" s="68">
        <v>1519.0</v>
      </c>
      <c r="P736" s="67">
        <f t="shared" si="412"/>
        <v>0.05003126954</v>
      </c>
      <c r="Q736" s="69">
        <v>1519.0</v>
      </c>
      <c r="R736" s="70"/>
      <c r="S736" s="71">
        <f t="shared" si="420"/>
        <v>-0.05003126954</v>
      </c>
      <c r="T736" s="72">
        <f t="shared" si="6"/>
        <v>0</v>
      </c>
      <c r="U736" s="73">
        <f t="shared" si="425"/>
        <v>559.65</v>
      </c>
      <c r="V736" s="73">
        <f t="shared" si="340"/>
        <v>1355.084746</v>
      </c>
      <c r="W736" s="73">
        <f t="shared" si="9"/>
        <v>795.4347458</v>
      </c>
      <c r="X736" s="74">
        <f t="shared" si="10"/>
        <v>0.587</v>
      </c>
      <c r="Y736" s="73">
        <f t="shared" si="333"/>
        <v>643.5975</v>
      </c>
      <c r="Z736" s="73">
        <f t="shared" si="12"/>
        <v>1287.288136</v>
      </c>
      <c r="AA736" s="73">
        <f t="shared" si="13"/>
        <v>643.6906356</v>
      </c>
      <c r="AB736" s="74">
        <f t="shared" si="14"/>
        <v>0.5000361751</v>
      </c>
      <c r="AC736" s="61" t="str">
        <f t="shared" si="15"/>
        <v>6</v>
      </c>
      <c r="AD736" s="71">
        <f t="shared" si="16"/>
        <v>0.15</v>
      </c>
      <c r="AE736" s="61"/>
      <c r="AF736" s="61"/>
      <c r="AG736" s="71">
        <f t="array" ref="AG736">IFERROR(xlookup(G736,'Old Master'!T:T,'Old Master'!V:V),N736)</f>
        <v>0.05003126954</v>
      </c>
      <c r="AH736" s="73">
        <f t="shared" si="229"/>
        <v>1519</v>
      </c>
      <c r="AI736" s="73">
        <f t="shared" si="230"/>
        <v>643.6906356</v>
      </c>
      <c r="AJ736" s="72">
        <f t="shared" si="19"/>
        <v>0.5000361751</v>
      </c>
      <c r="AK736" s="61"/>
      <c r="AL736" s="71">
        <f t="array" ref="AL736">iferror(if(isblank(xlookup($G736,'Old Master'!$T:$T,'Old Master'!$W:$W)),AG736,xlookup($G736,'Old Master'!$T:$T,'Old Master'!$W:$W)),AG736)</f>
        <v>0.05003126954</v>
      </c>
      <c r="AM736" s="74">
        <f t="shared" si="20"/>
        <v>0.05003126954</v>
      </c>
      <c r="AN736" s="73">
        <f t="shared" si="424"/>
        <v>1519</v>
      </c>
    </row>
    <row r="737">
      <c r="A737" s="65" t="s">
        <v>4948</v>
      </c>
      <c r="B737" s="65" t="str">
        <f t="shared" si="1"/>
        <v>#VALUE!</v>
      </c>
      <c r="C737" s="65" t="str">
        <f t="shared" si="403"/>
        <v>#VALUE!</v>
      </c>
      <c r="D737" s="65">
        <v>0.0</v>
      </c>
      <c r="E737" s="65">
        <v>0.0</v>
      </c>
      <c r="F737" s="65" t="s">
        <v>4951</v>
      </c>
      <c r="G737" s="65" t="s">
        <v>5077</v>
      </c>
      <c r="H737" s="84" t="s">
        <v>4730</v>
      </c>
      <c r="I737" s="65">
        <v>1499.0</v>
      </c>
      <c r="J737" s="66">
        <v>0.0</v>
      </c>
      <c r="K737" s="65">
        <f t="shared" si="3"/>
        <v>1499</v>
      </c>
      <c r="L737" s="66">
        <v>0.0</v>
      </c>
      <c r="M737" s="65">
        <f t="shared" si="4"/>
        <v>1499</v>
      </c>
      <c r="N737" s="67">
        <f t="shared" si="404"/>
        <v>0.05003335557</v>
      </c>
      <c r="O737" s="68">
        <v>1424.0</v>
      </c>
      <c r="P737" s="67">
        <f t="shared" si="412"/>
        <v>0.05003335557</v>
      </c>
      <c r="Q737" s="69">
        <v>1424.0</v>
      </c>
      <c r="R737" s="70"/>
      <c r="S737" s="71">
        <f t="shared" si="420"/>
        <v>-0.05003335557</v>
      </c>
      <c r="T737" s="72">
        <f t="shared" si="6"/>
        <v>0</v>
      </c>
      <c r="U737" s="73">
        <f t="shared" si="425"/>
        <v>524.65</v>
      </c>
      <c r="V737" s="73">
        <f t="shared" si="340"/>
        <v>1270.338983</v>
      </c>
      <c r="W737" s="73">
        <f t="shared" si="9"/>
        <v>745.6889831</v>
      </c>
      <c r="X737" s="74">
        <f t="shared" si="10"/>
        <v>0.587</v>
      </c>
      <c r="Y737" s="73">
        <f t="shared" si="333"/>
        <v>603.3475</v>
      </c>
      <c r="Z737" s="73">
        <f t="shared" si="12"/>
        <v>1206.779661</v>
      </c>
      <c r="AA737" s="73">
        <f t="shared" si="13"/>
        <v>603.432161</v>
      </c>
      <c r="AB737" s="74">
        <f t="shared" si="14"/>
        <v>0.5000350772</v>
      </c>
      <c r="AC737" s="61" t="str">
        <f t="shared" si="15"/>
        <v>0</v>
      </c>
      <c r="AD737" s="71">
        <f t="shared" si="16"/>
        <v>0.15</v>
      </c>
      <c r="AE737" s="61"/>
      <c r="AF737" s="61"/>
      <c r="AG737" s="71">
        <f t="array" ref="AG737">IFERROR(xlookup(G737,'Old Master'!T:T,'Old Master'!V:V),N737)</f>
        <v>0.05003335557</v>
      </c>
      <c r="AH737" s="73">
        <f t="shared" si="229"/>
        <v>1424</v>
      </c>
      <c r="AI737" s="73">
        <f t="shared" si="230"/>
        <v>603.432161</v>
      </c>
      <c r="AJ737" s="72">
        <f t="shared" si="19"/>
        <v>0.5000350772</v>
      </c>
      <c r="AK737" s="61"/>
      <c r="AL737" s="71">
        <f t="array" ref="AL737">iferror(if(isblank(xlookup($G737,'Old Master'!$T:$T,'Old Master'!$W:$W)),AG737,xlookup($G737,'Old Master'!$T:$T,'Old Master'!$W:$W)),AG737)</f>
        <v>0.05003335557</v>
      </c>
      <c r="AM737" s="74">
        <f t="shared" si="20"/>
        <v>0.05003335557</v>
      </c>
      <c r="AN737" s="73">
        <f t="shared" si="424"/>
        <v>1424</v>
      </c>
    </row>
    <row r="738">
      <c r="A738" s="65" t="s">
        <v>4952</v>
      </c>
      <c r="B738" s="65" t="str">
        <f t="shared" si="1"/>
        <v>#VALUE!</v>
      </c>
      <c r="C738" s="65" t="str">
        <f t="shared" si="403"/>
        <v>#VALUE!</v>
      </c>
      <c r="D738" s="65">
        <v>0.0</v>
      </c>
      <c r="E738" s="65">
        <v>0.0</v>
      </c>
      <c r="F738" s="65" t="s">
        <v>4955</v>
      </c>
      <c r="G738" s="65" t="s">
        <v>5077</v>
      </c>
      <c r="H738" s="84" t="s">
        <v>4730</v>
      </c>
      <c r="I738" s="65">
        <v>1599.0</v>
      </c>
      <c r="J738" s="66">
        <v>0.0</v>
      </c>
      <c r="K738" s="65">
        <f t="shared" si="3"/>
        <v>1599</v>
      </c>
      <c r="L738" s="66">
        <v>0.0</v>
      </c>
      <c r="M738" s="65">
        <f t="shared" si="4"/>
        <v>1599</v>
      </c>
      <c r="N738" s="67">
        <f t="shared" si="404"/>
        <v>0.05003126954</v>
      </c>
      <c r="O738" s="68">
        <v>1519.0</v>
      </c>
      <c r="P738" s="67">
        <f t="shared" si="412"/>
        <v>0.05003126954</v>
      </c>
      <c r="Q738" s="69">
        <v>1519.0</v>
      </c>
      <c r="R738" s="70"/>
      <c r="S738" s="71">
        <f t="shared" si="420"/>
        <v>-0.05003126954</v>
      </c>
      <c r="T738" s="72">
        <f t="shared" si="6"/>
        <v>0</v>
      </c>
      <c r="U738" s="73">
        <f t="shared" si="425"/>
        <v>559.65</v>
      </c>
      <c r="V738" s="73">
        <f t="shared" si="340"/>
        <v>1355.084746</v>
      </c>
      <c r="W738" s="73">
        <f t="shared" si="9"/>
        <v>795.4347458</v>
      </c>
      <c r="X738" s="74">
        <f t="shared" si="10"/>
        <v>0.587</v>
      </c>
      <c r="Y738" s="73">
        <f t="shared" si="333"/>
        <v>643.5975</v>
      </c>
      <c r="Z738" s="73">
        <f t="shared" si="12"/>
        <v>1287.288136</v>
      </c>
      <c r="AA738" s="73">
        <f t="shared" si="13"/>
        <v>643.6906356</v>
      </c>
      <c r="AB738" s="74">
        <f t="shared" si="14"/>
        <v>0.5000361751</v>
      </c>
      <c r="AC738" s="61" t="str">
        <f t="shared" si="15"/>
        <v>6</v>
      </c>
      <c r="AD738" s="71">
        <f t="shared" si="16"/>
        <v>0.15</v>
      </c>
      <c r="AE738" s="61"/>
      <c r="AF738" s="61"/>
      <c r="AG738" s="71">
        <f t="array" ref="AG738">IFERROR(xlookup(G738,'Old Master'!T:T,'Old Master'!V:V),N738)</f>
        <v>0.05003126954</v>
      </c>
      <c r="AH738" s="73">
        <f t="shared" si="229"/>
        <v>1519</v>
      </c>
      <c r="AI738" s="73">
        <f t="shared" si="230"/>
        <v>643.6906356</v>
      </c>
      <c r="AJ738" s="72">
        <f t="shared" si="19"/>
        <v>0.5000361751</v>
      </c>
      <c r="AK738" s="61"/>
      <c r="AL738" s="71">
        <f t="array" ref="AL738">iferror(if(isblank(xlookup($G738,'Old Master'!$T:$T,'Old Master'!$W:$W)),AG738,xlookup($G738,'Old Master'!$T:$T,'Old Master'!$W:$W)),AG738)</f>
        <v>0.05003126954</v>
      </c>
      <c r="AM738" s="74">
        <f t="shared" si="20"/>
        <v>0.05003126954</v>
      </c>
      <c r="AN738" s="73">
        <f t="shared" si="424"/>
        <v>1519</v>
      </c>
    </row>
    <row r="739">
      <c r="A739" s="65" t="s">
        <v>4458</v>
      </c>
      <c r="B739" s="65" t="str">
        <f t="shared" si="1"/>
        <v>#VALUE!</v>
      </c>
      <c r="C739" s="65" t="str">
        <f t="shared" si="403"/>
        <v>#VALUE!</v>
      </c>
      <c r="D739" s="65">
        <v>0.0</v>
      </c>
      <c r="E739" s="65">
        <v>0.0</v>
      </c>
      <c r="F739" s="65" t="s">
        <v>4460</v>
      </c>
      <c r="G739" s="65" t="s">
        <v>5077</v>
      </c>
      <c r="H739" s="84" t="s">
        <v>4730</v>
      </c>
      <c r="I739" s="65">
        <v>999.0</v>
      </c>
      <c r="J739" s="66">
        <v>0.0</v>
      </c>
      <c r="K739" s="65">
        <f t="shared" si="3"/>
        <v>999</v>
      </c>
      <c r="L739" s="66">
        <v>0.0</v>
      </c>
      <c r="M739" s="65">
        <f t="shared" si="4"/>
        <v>999</v>
      </c>
      <c r="N739" s="67">
        <f t="shared" si="404"/>
        <v>0.05005005005</v>
      </c>
      <c r="O739" s="68">
        <v>949.0</v>
      </c>
      <c r="P739" s="67">
        <f t="shared" si="412"/>
        <v>0.05005005005</v>
      </c>
      <c r="Q739" s="69">
        <v>949.0</v>
      </c>
      <c r="R739" s="70"/>
      <c r="S739" s="71">
        <f t="shared" si="420"/>
        <v>-0.05005005005</v>
      </c>
      <c r="T739" s="72">
        <f t="shared" si="6"/>
        <v>0</v>
      </c>
      <c r="U739" s="73" t="str">
        <f t="shared" ref="U739:U743" si="426">IFERROR(XLOOKUP(A739,COGS!I:I,COGS!J:J), IFERROR(XLOOKUP(C739,COGS!I:I,COGS!J:J),""))</f>
        <v/>
      </c>
      <c r="V739" s="73">
        <f t="shared" si="340"/>
        <v>846.6101695</v>
      </c>
      <c r="W739" s="73">
        <f t="shared" si="9"/>
        <v>846.6101695</v>
      </c>
      <c r="X739" s="74">
        <f t="shared" si="10"/>
        <v>1</v>
      </c>
      <c r="Y739" s="73">
        <f t="shared" si="333"/>
        <v>0</v>
      </c>
      <c r="Z739" s="73">
        <f t="shared" si="12"/>
        <v>804.2372881</v>
      </c>
      <c r="AA739" s="73">
        <f t="shared" si="13"/>
        <v>804.2372881</v>
      </c>
      <c r="AB739" s="74">
        <f t="shared" si="14"/>
        <v>1</v>
      </c>
      <c r="AC739" s="61" t="str">
        <f t="shared" si="15"/>
        <v>6</v>
      </c>
      <c r="AD739" s="71" t="str">
        <f t="shared" si="16"/>
        <v>#DIV/0!</v>
      </c>
      <c r="AE739" s="61"/>
      <c r="AF739" s="61"/>
      <c r="AG739" s="71">
        <f t="array" ref="AG739">IFERROR(xlookup(G739,'Old Master'!T:T,'Old Master'!V:V),N739)</f>
        <v>0.05005005005</v>
      </c>
      <c r="AH739" s="73">
        <f t="shared" si="229"/>
        <v>949</v>
      </c>
      <c r="AI739" s="73">
        <f t="shared" si="230"/>
        <v>804.2372881</v>
      </c>
      <c r="AJ739" s="72">
        <f t="shared" si="19"/>
        <v>1</v>
      </c>
      <c r="AK739" s="61"/>
      <c r="AL739" s="71">
        <f t="array" ref="AL739">iferror(if(isblank(xlookup($G739,'Old Master'!$T:$T,'Old Master'!$W:$W)),AG739,xlookup($G739,'Old Master'!$T:$T,'Old Master'!$W:$W)),AG739)</f>
        <v>0.05005005005</v>
      </c>
      <c r="AM739" s="74">
        <f t="shared" si="20"/>
        <v>0.05005005005</v>
      </c>
      <c r="AN739" s="73">
        <f t="shared" si="424"/>
        <v>949</v>
      </c>
    </row>
    <row r="740">
      <c r="A740" s="65" t="s">
        <v>4481</v>
      </c>
      <c r="B740" s="65" t="str">
        <f t="shared" si="1"/>
        <v>#VALUE!</v>
      </c>
      <c r="C740" s="65" t="str">
        <f t="shared" si="403"/>
        <v>#VALUE!</v>
      </c>
      <c r="D740" s="65" t="s">
        <v>4483</v>
      </c>
      <c r="E740" s="65">
        <v>0.0</v>
      </c>
      <c r="F740" s="65" t="s">
        <v>4484</v>
      </c>
      <c r="G740" s="65" t="s">
        <v>5077</v>
      </c>
      <c r="H740" s="65" t="s">
        <v>4730</v>
      </c>
      <c r="I740" s="65">
        <v>1199.0</v>
      </c>
      <c r="J740" s="66">
        <v>0.0</v>
      </c>
      <c r="K740" s="65">
        <f t="shared" si="3"/>
        <v>1199</v>
      </c>
      <c r="L740" s="66">
        <v>0.0</v>
      </c>
      <c r="M740" s="65">
        <f t="shared" si="4"/>
        <v>1199</v>
      </c>
      <c r="N740" s="67">
        <f t="shared" si="404"/>
        <v>0.05004170142</v>
      </c>
      <c r="O740" s="68">
        <v>1139.0</v>
      </c>
      <c r="P740" s="67">
        <f t="shared" si="412"/>
        <v>0.05004170142</v>
      </c>
      <c r="Q740" s="69">
        <v>1139.0</v>
      </c>
      <c r="R740" s="70"/>
      <c r="S740" s="71">
        <f t="shared" si="420"/>
        <v>-0.05004170142</v>
      </c>
      <c r="T740" s="72">
        <f t="shared" si="6"/>
        <v>0</v>
      </c>
      <c r="U740" s="73" t="str">
        <f t="shared" si="426"/>
        <v/>
      </c>
      <c r="V740" s="73">
        <f t="shared" si="340"/>
        <v>1016.101695</v>
      </c>
      <c r="W740" s="73">
        <f t="shared" si="9"/>
        <v>1016.101695</v>
      </c>
      <c r="X740" s="74">
        <f t="shared" si="10"/>
        <v>1</v>
      </c>
      <c r="Y740" s="73">
        <f t="shared" si="333"/>
        <v>0</v>
      </c>
      <c r="Z740" s="73">
        <f t="shared" si="12"/>
        <v>965.2542373</v>
      </c>
      <c r="AA740" s="73">
        <f t="shared" si="13"/>
        <v>965.2542373</v>
      </c>
      <c r="AB740" s="74">
        <f t="shared" si="14"/>
        <v>1</v>
      </c>
      <c r="AC740" s="61" t="str">
        <f t="shared" si="15"/>
        <v>8</v>
      </c>
      <c r="AD740" s="71" t="str">
        <f t="shared" si="16"/>
        <v>#DIV/0!</v>
      </c>
      <c r="AE740" s="61"/>
      <c r="AF740" s="61"/>
      <c r="AG740" s="71">
        <f t="array" ref="AG740">IFERROR(xlookup(G740,'Old Master'!T:T,'Old Master'!V:V),N740)</f>
        <v>0.05004170142</v>
      </c>
      <c r="AH740" s="73">
        <f t="shared" si="229"/>
        <v>1139</v>
      </c>
      <c r="AI740" s="73">
        <f t="shared" si="230"/>
        <v>965.2542373</v>
      </c>
      <c r="AJ740" s="72">
        <f t="shared" si="19"/>
        <v>1</v>
      </c>
      <c r="AK740" s="61"/>
      <c r="AL740" s="71">
        <f t="array" ref="AL740">iferror(if(isblank(xlookup($G740,'Old Master'!$T:$T,'Old Master'!$W:$W)),AG740,xlookup($G740,'Old Master'!$T:$T,'Old Master'!$W:$W)),AG740)</f>
        <v>0.05004170142</v>
      </c>
      <c r="AM740" s="74">
        <f t="shared" si="20"/>
        <v>0.05004170142</v>
      </c>
      <c r="AN740" s="73">
        <f t="shared" si="424"/>
        <v>1139</v>
      </c>
    </row>
    <row r="741">
      <c r="A741" s="65" t="s">
        <v>4553</v>
      </c>
      <c r="B741" s="65" t="str">
        <f t="shared" si="1"/>
        <v>#VALUE!</v>
      </c>
      <c r="C741" s="65" t="str">
        <f t="shared" si="403"/>
        <v>#VALUE!</v>
      </c>
      <c r="D741" s="65">
        <v>0.0</v>
      </c>
      <c r="E741" s="65">
        <v>0.0</v>
      </c>
      <c r="F741" s="65" t="s">
        <v>4555</v>
      </c>
      <c r="G741" s="65" t="s">
        <v>5077</v>
      </c>
      <c r="H741" s="84" t="s">
        <v>4730</v>
      </c>
      <c r="I741" s="65">
        <v>1499.0</v>
      </c>
      <c r="J741" s="66">
        <v>0.0</v>
      </c>
      <c r="K741" s="65">
        <f t="shared" si="3"/>
        <v>1499</v>
      </c>
      <c r="L741" s="66">
        <v>0.0</v>
      </c>
      <c r="M741" s="65">
        <f t="shared" si="4"/>
        <v>1499</v>
      </c>
      <c r="N741" s="67">
        <f t="shared" si="404"/>
        <v>0.05003335557</v>
      </c>
      <c r="O741" s="68">
        <v>1424.0</v>
      </c>
      <c r="P741" s="67">
        <f t="shared" si="412"/>
        <v>0.05003335557</v>
      </c>
      <c r="Q741" s="69">
        <v>1424.0</v>
      </c>
      <c r="R741" s="70"/>
      <c r="S741" s="71">
        <f t="shared" si="420"/>
        <v>-0.05003335557</v>
      </c>
      <c r="T741" s="72">
        <f t="shared" si="6"/>
        <v>0</v>
      </c>
      <c r="U741" s="73" t="str">
        <f t="shared" si="426"/>
        <v/>
      </c>
      <c r="V741" s="73">
        <f t="shared" si="340"/>
        <v>1270.338983</v>
      </c>
      <c r="W741" s="73">
        <f t="shared" si="9"/>
        <v>1270.338983</v>
      </c>
      <c r="X741" s="74">
        <f t="shared" si="10"/>
        <v>1</v>
      </c>
      <c r="Y741" s="73">
        <f t="shared" si="333"/>
        <v>0</v>
      </c>
      <c r="Z741" s="73">
        <f t="shared" si="12"/>
        <v>1206.779661</v>
      </c>
      <c r="AA741" s="73">
        <f t="shared" si="13"/>
        <v>1206.779661</v>
      </c>
      <c r="AB741" s="74">
        <f t="shared" si="14"/>
        <v>1</v>
      </c>
      <c r="AC741" s="61" t="str">
        <f t="shared" si="15"/>
        <v>0</v>
      </c>
      <c r="AD741" s="71" t="str">
        <f t="shared" si="16"/>
        <v>#DIV/0!</v>
      </c>
      <c r="AE741" s="61"/>
      <c r="AF741" s="61"/>
      <c r="AG741" s="71">
        <f t="array" ref="AG741">IFERROR(xlookup(G741,'Old Master'!T:T,'Old Master'!V:V),N741)</f>
        <v>0.05003335557</v>
      </c>
      <c r="AH741" s="73">
        <f t="shared" si="229"/>
        <v>1424</v>
      </c>
      <c r="AI741" s="73">
        <f t="shared" si="230"/>
        <v>1206.779661</v>
      </c>
      <c r="AJ741" s="72">
        <f t="shared" si="19"/>
        <v>1</v>
      </c>
      <c r="AK741" s="61"/>
      <c r="AL741" s="71">
        <f t="array" ref="AL741">iferror(if(isblank(xlookup($G741,'Old Master'!$T:$T,'Old Master'!$W:$W)),AG741,xlookup($G741,'Old Master'!$T:$T,'Old Master'!$W:$W)),AG741)</f>
        <v>0.05003335557</v>
      </c>
      <c r="AM741" s="74">
        <f t="shared" si="20"/>
        <v>0.05003335557</v>
      </c>
      <c r="AN741" s="73">
        <f t="shared" si="424"/>
        <v>1424</v>
      </c>
    </row>
    <row r="742">
      <c r="A742" s="65" t="s">
        <v>4564</v>
      </c>
      <c r="B742" s="65" t="str">
        <f t="shared" si="1"/>
        <v>#VALUE!</v>
      </c>
      <c r="C742" s="65" t="str">
        <f t="shared" si="403"/>
        <v>#VALUE!</v>
      </c>
      <c r="D742" s="65">
        <v>0.0</v>
      </c>
      <c r="E742" s="65">
        <v>0.0</v>
      </c>
      <c r="F742" s="65" t="s">
        <v>4566</v>
      </c>
      <c r="G742" s="65" t="s">
        <v>5077</v>
      </c>
      <c r="H742" s="84" t="s">
        <v>4730</v>
      </c>
      <c r="I742" s="65">
        <v>1599.0</v>
      </c>
      <c r="J742" s="66">
        <v>0.0</v>
      </c>
      <c r="K742" s="65">
        <f t="shared" si="3"/>
        <v>1599</v>
      </c>
      <c r="L742" s="66">
        <v>0.0</v>
      </c>
      <c r="M742" s="65">
        <f t="shared" si="4"/>
        <v>1599</v>
      </c>
      <c r="N742" s="67">
        <f t="shared" si="404"/>
        <v>0.05003126954</v>
      </c>
      <c r="O742" s="68">
        <v>1519.0</v>
      </c>
      <c r="P742" s="67">
        <f t="shared" si="412"/>
        <v>0.05003126954</v>
      </c>
      <c r="Q742" s="69">
        <v>1519.0</v>
      </c>
      <c r="R742" s="70"/>
      <c r="S742" s="71">
        <f t="shared" si="420"/>
        <v>-0.05003126954</v>
      </c>
      <c r="T742" s="72">
        <f t="shared" si="6"/>
        <v>0</v>
      </c>
      <c r="U742" s="73" t="str">
        <f t="shared" si="426"/>
        <v/>
      </c>
      <c r="V742" s="73">
        <f t="shared" si="340"/>
        <v>1355.084746</v>
      </c>
      <c r="W742" s="73">
        <f t="shared" si="9"/>
        <v>1355.084746</v>
      </c>
      <c r="X742" s="74">
        <f t="shared" si="10"/>
        <v>1</v>
      </c>
      <c r="Y742" s="73">
        <f t="shared" si="333"/>
        <v>0</v>
      </c>
      <c r="Z742" s="73">
        <f t="shared" si="12"/>
        <v>1287.288136</v>
      </c>
      <c r="AA742" s="73">
        <f t="shared" si="13"/>
        <v>1287.288136</v>
      </c>
      <c r="AB742" s="74">
        <f t="shared" si="14"/>
        <v>1</v>
      </c>
      <c r="AC742" s="61" t="str">
        <f t="shared" si="15"/>
        <v>6</v>
      </c>
      <c r="AD742" s="71" t="str">
        <f t="shared" si="16"/>
        <v>#DIV/0!</v>
      </c>
      <c r="AE742" s="61"/>
      <c r="AF742" s="61"/>
      <c r="AG742" s="71">
        <f t="array" ref="AG742">IFERROR(xlookup(G742,'Old Master'!T:T,'Old Master'!V:V),N742)</f>
        <v>0.05003126954</v>
      </c>
      <c r="AH742" s="73">
        <f t="shared" si="229"/>
        <v>1519</v>
      </c>
      <c r="AI742" s="73">
        <f t="shared" si="230"/>
        <v>1287.288136</v>
      </c>
      <c r="AJ742" s="72">
        <f t="shared" si="19"/>
        <v>1</v>
      </c>
      <c r="AK742" s="61"/>
      <c r="AL742" s="71">
        <f t="array" ref="AL742">iferror(if(isblank(xlookup($G742,'Old Master'!$T:$T,'Old Master'!$W:$W)),AG742,xlookup($G742,'Old Master'!$T:$T,'Old Master'!$W:$W)),AG742)</f>
        <v>0.05003126954</v>
      </c>
      <c r="AM742" s="74">
        <f t="shared" si="20"/>
        <v>0.05003126954</v>
      </c>
      <c r="AN742" s="73">
        <f t="shared" si="424"/>
        <v>1519</v>
      </c>
    </row>
    <row r="743">
      <c r="A743" s="65" t="s">
        <v>4567</v>
      </c>
      <c r="B743" s="65" t="str">
        <f t="shared" si="1"/>
        <v>#VALUE!</v>
      </c>
      <c r="C743" s="65" t="str">
        <f t="shared" si="403"/>
        <v>#VALUE!</v>
      </c>
      <c r="D743" s="65">
        <v>0.0</v>
      </c>
      <c r="E743" s="65">
        <v>0.0</v>
      </c>
      <c r="F743" s="65" t="s">
        <v>4569</v>
      </c>
      <c r="G743" s="65" t="s">
        <v>5077</v>
      </c>
      <c r="H743" s="84" t="s">
        <v>4730</v>
      </c>
      <c r="I743" s="65">
        <v>1599.0</v>
      </c>
      <c r="J743" s="66">
        <v>0.0</v>
      </c>
      <c r="K743" s="65">
        <f t="shared" si="3"/>
        <v>1599</v>
      </c>
      <c r="L743" s="66">
        <v>0.0</v>
      </c>
      <c r="M743" s="65">
        <f t="shared" si="4"/>
        <v>1599</v>
      </c>
      <c r="N743" s="67">
        <f t="shared" si="404"/>
        <v>0.05003126954</v>
      </c>
      <c r="O743" s="68">
        <v>1519.0</v>
      </c>
      <c r="P743" s="67">
        <f t="shared" si="412"/>
        <v>0.05003126954</v>
      </c>
      <c r="Q743" s="69">
        <v>1519.0</v>
      </c>
      <c r="R743" s="70"/>
      <c r="S743" s="71">
        <f t="shared" si="420"/>
        <v>-0.05003126954</v>
      </c>
      <c r="T743" s="72">
        <f t="shared" si="6"/>
        <v>0</v>
      </c>
      <c r="U743" s="73" t="str">
        <f t="shared" si="426"/>
        <v/>
      </c>
      <c r="V743" s="73">
        <f t="shared" si="340"/>
        <v>1355.084746</v>
      </c>
      <c r="W743" s="73">
        <f t="shared" si="9"/>
        <v>1355.084746</v>
      </c>
      <c r="X743" s="74">
        <f t="shared" si="10"/>
        <v>1</v>
      </c>
      <c r="Y743" s="73">
        <f t="shared" si="333"/>
        <v>0</v>
      </c>
      <c r="Z743" s="73">
        <f t="shared" si="12"/>
        <v>1287.288136</v>
      </c>
      <c r="AA743" s="73">
        <f t="shared" si="13"/>
        <v>1287.288136</v>
      </c>
      <c r="AB743" s="74">
        <f t="shared" si="14"/>
        <v>1</v>
      </c>
      <c r="AC743" s="61" t="str">
        <f t="shared" si="15"/>
        <v>6</v>
      </c>
      <c r="AD743" s="71" t="str">
        <f t="shared" si="16"/>
        <v>#DIV/0!</v>
      </c>
      <c r="AE743" s="61"/>
      <c r="AF743" s="61"/>
      <c r="AG743" s="71">
        <f t="array" ref="AG743">IFERROR(xlookup(G743,'Old Master'!T:T,'Old Master'!V:V),N743)</f>
        <v>0.05003126954</v>
      </c>
      <c r="AH743" s="73">
        <f t="shared" si="229"/>
        <v>1519</v>
      </c>
      <c r="AI743" s="73">
        <f t="shared" si="230"/>
        <v>1287.288136</v>
      </c>
      <c r="AJ743" s="72">
        <f t="shared" si="19"/>
        <v>1</v>
      </c>
      <c r="AK743" s="61"/>
      <c r="AL743" s="71">
        <f t="array" ref="AL743">iferror(if(isblank(xlookup($G743,'Old Master'!$T:$T,'Old Master'!$W:$W)),AG743,xlookup($G743,'Old Master'!$T:$T,'Old Master'!$W:$W)),AG743)</f>
        <v>0.05003126954</v>
      </c>
      <c r="AM743" s="74">
        <f t="shared" si="20"/>
        <v>0.05003126954</v>
      </c>
      <c r="AN743" s="73">
        <f t="shared" si="424"/>
        <v>1519</v>
      </c>
    </row>
    <row r="744">
      <c r="A744" s="65" t="s">
        <v>4956</v>
      </c>
      <c r="B744" s="65" t="str">
        <f t="shared" si="1"/>
        <v>#VALUE!</v>
      </c>
      <c r="C744" s="65" t="str">
        <f t="shared" si="403"/>
        <v>#VALUE!</v>
      </c>
      <c r="D744" s="65">
        <v>0.0</v>
      </c>
      <c r="E744" s="65">
        <v>0.0</v>
      </c>
      <c r="F744" s="65" t="s">
        <v>4959</v>
      </c>
      <c r="G744" s="65" t="s">
        <v>5077</v>
      </c>
      <c r="H744" s="84" t="s">
        <v>4730</v>
      </c>
      <c r="I744" s="65">
        <v>1499.0</v>
      </c>
      <c r="J744" s="66">
        <v>0.0</v>
      </c>
      <c r="K744" s="65">
        <f t="shared" si="3"/>
        <v>1499</v>
      </c>
      <c r="L744" s="66">
        <v>0.0</v>
      </c>
      <c r="M744" s="65">
        <f t="shared" si="4"/>
        <v>1499</v>
      </c>
      <c r="N744" s="67">
        <f t="shared" si="404"/>
        <v>0.05003335557</v>
      </c>
      <c r="O744" s="68">
        <v>1424.0</v>
      </c>
      <c r="P744" s="67">
        <f t="shared" si="412"/>
        <v>0.05003335557</v>
      </c>
      <c r="Q744" s="69">
        <v>1424.0</v>
      </c>
      <c r="R744" s="70"/>
      <c r="S744" s="71">
        <f t="shared" si="420"/>
        <v>-0.05003335557</v>
      </c>
      <c r="T744" s="72">
        <f t="shared" si="6"/>
        <v>0</v>
      </c>
      <c r="U744" s="73">
        <f t="shared" ref="U744:U747" si="427">IFERROR(XLOOKUP(A744,COGS!I:I,COGS!J:J), IFERROR(XLOOKUP(C744,COGS!I:I,COGS!J:J),I744*35%))</f>
        <v>524.65</v>
      </c>
      <c r="V744" s="73">
        <f t="shared" si="340"/>
        <v>1270.338983</v>
      </c>
      <c r="W744" s="73">
        <f t="shared" si="9"/>
        <v>745.6889831</v>
      </c>
      <c r="X744" s="74">
        <f t="shared" si="10"/>
        <v>0.587</v>
      </c>
      <c r="Y744" s="73">
        <f t="shared" si="333"/>
        <v>603.3475</v>
      </c>
      <c r="Z744" s="73">
        <f t="shared" si="12"/>
        <v>1206.779661</v>
      </c>
      <c r="AA744" s="73">
        <f t="shared" si="13"/>
        <v>603.432161</v>
      </c>
      <c r="AB744" s="74">
        <f t="shared" si="14"/>
        <v>0.5000350772</v>
      </c>
      <c r="AC744" s="61" t="str">
        <f t="shared" si="15"/>
        <v>0</v>
      </c>
      <c r="AD744" s="71">
        <f t="shared" si="16"/>
        <v>0.15</v>
      </c>
      <c r="AE744" s="61"/>
      <c r="AF744" s="61"/>
      <c r="AG744" s="71">
        <f t="array" ref="AG744">IFERROR(xlookup(G744,'Old Master'!T:T,'Old Master'!V:V),N744)</f>
        <v>0.05003335557</v>
      </c>
      <c r="AH744" s="73">
        <f t="shared" si="229"/>
        <v>1424</v>
      </c>
      <c r="AI744" s="73">
        <f t="shared" si="230"/>
        <v>603.432161</v>
      </c>
      <c r="AJ744" s="72">
        <f t="shared" si="19"/>
        <v>0.5000350772</v>
      </c>
      <c r="AK744" s="61"/>
      <c r="AL744" s="71">
        <f t="array" ref="AL744">iferror(if(isblank(xlookup($G744,'Old Master'!$T:$T,'Old Master'!$W:$W)),AG744,xlookup($G744,'Old Master'!$T:$T,'Old Master'!$W:$W)),AG744)</f>
        <v>0.05003335557</v>
      </c>
      <c r="AM744" s="74">
        <f t="shared" si="20"/>
        <v>0.05003335557</v>
      </c>
      <c r="AN744" s="73">
        <f t="shared" si="424"/>
        <v>1424</v>
      </c>
    </row>
    <row r="745">
      <c r="A745" s="65" t="s">
        <v>4960</v>
      </c>
      <c r="B745" s="65" t="str">
        <f t="shared" si="1"/>
        <v>#VALUE!</v>
      </c>
      <c r="C745" s="65" t="str">
        <f t="shared" si="403"/>
        <v>#VALUE!</v>
      </c>
      <c r="D745" s="65">
        <v>0.0</v>
      </c>
      <c r="E745" s="65">
        <v>0.0</v>
      </c>
      <c r="F745" s="65" t="s">
        <v>4963</v>
      </c>
      <c r="G745" s="65" t="s">
        <v>5077</v>
      </c>
      <c r="H745" s="84" t="s">
        <v>4730</v>
      </c>
      <c r="I745" s="65">
        <v>1599.0</v>
      </c>
      <c r="J745" s="66">
        <v>0.0</v>
      </c>
      <c r="K745" s="65">
        <f t="shared" si="3"/>
        <v>1599</v>
      </c>
      <c r="L745" s="66">
        <v>0.0</v>
      </c>
      <c r="M745" s="65">
        <f t="shared" si="4"/>
        <v>1599</v>
      </c>
      <c r="N745" s="67">
        <f t="shared" si="404"/>
        <v>0.05003126954</v>
      </c>
      <c r="O745" s="68">
        <v>1519.0</v>
      </c>
      <c r="P745" s="67">
        <f t="shared" si="412"/>
        <v>0.05003126954</v>
      </c>
      <c r="Q745" s="69">
        <v>1519.0</v>
      </c>
      <c r="R745" s="70"/>
      <c r="S745" s="71">
        <f t="shared" si="420"/>
        <v>-0.05003126954</v>
      </c>
      <c r="T745" s="72">
        <f t="shared" si="6"/>
        <v>0</v>
      </c>
      <c r="U745" s="73">
        <f t="shared" si="427"/>
        <v>559.65</v>
      </c>
      <c r="V745" s="73">
        <f t="shared" si="340"/>
        <v>1355.084746</v>
      </c>
      <c r="W745" s="73">
        <f t="shared" si="9"/>
        <v>795.4347458</v>
      </c>
      <c r="X745" s="74">
        <f t="shared" si="10"/>
        <v>0.587</v>
      </c>
      <c r="Y745" s="73">
        <f t="shared" si="333"/>
        <v>643.5975</v>
      </c>
      <c r="Z745" s="73">
        <f t="shared" si="12"/>
        <v>1287.288136</v>
      </c>
      <c r="AA745" s="73">
        <f t="shared" si="13"/>
        <v>643.6906356</v>
      </c>
      <c r="AB745" s="74">
        <f t="shared" si="14"/>
        <v>0.5000361751</v>
      </c>
      <c r="AC745" s="61" t="str">
        <f t="shared" si="15"/>
        <v>6</v>
      </c>
      <c r="AD745" s="71">
        <f t="shared" si="16"/>
        <v>0.15</v>
      </c>
      <c r="AE745" s="61"/>
      <c r="AF745" s="61"/>
      <c r="AG745" s="71">
        <f t="array" ref="AG745">IFERROR(xlookup(G745,'Old Master'!T:T,'Old Master'!V:V),N745)</f>
        <v>0.05003126954</v>
      </c>
      <c r="AH745" s="73">
        <f t="shared" si="229"/>
        <v>1519</v>
      </c>
      <c r="AI745" s="73">
        <f t="shared" si="230"/>
        <v>643.6906356</v>
      </c>
      <c r="AJ745" s="72">
        <f t="shared" si="19"/>
        <v>0.5000361751</v>
      </c>
      <c r="AK745" s="61"/>
      <c r="AL745" s="71">
        <f t="array" ref="AL745">iferror(if(isblank(xlookup($G745,'Old Master'!$T:$T,'Old Master'!$W:$W)),AG745,xlookup($G745,'Old Master'!$T:$T,'Old Master'!$W:$W)),AG745)</f>
        <v>0.05003126954</v>
      </c>
      <c r="AM745" s="74">
        <f t="shared" si="20"/>
        <v>0.05003126954</v>
      </c>
      <c r="AN745" s="73">
        <f t="shared" si="424"/>
        <v>1519</v>
      </c>
    </row>
    <row r="746">
      <c r="A746" s="65" t="s">
        <v>4964</v>
      </c>
      <c r="B746" s="65" t="str">
        <f t="shared" si="1"/>
        <v>#VALUE!</v>
      </c>
      <c r="C746" s="65" t="str">
        <f t="shared" si="403"/>
        <v>#VALUE!</v>
      </c>
      <c r="D746" s="65">
        <v>0.0</v>
      </c>
      <c r="E746" s="65">
        <v>0.0</v>
      </c>
      <c r="F746" s="65" t="s">
        <v>4967</v>
      </c>
      <c r="G746" s="65" t="s">
        <v>5077</v>
      </c>
      <c r="H746" s="84" t="s">
        <v>4730</v>
      </c>
      <c r="I746" s="65">
        <v>1499.0</v>
      </c>
      <c r="J746" s="66">
        <v>0.0</v>
      </c>
      <c r="K746" s="65">
        <f t="shared" si="3"/>
        <v>1499</v>
      </c>
      <c r="L746" s="66">
        <v>0.0</v>
      </c>
      <c r="M746" s="65">
        <f t="shared" si="4"/>
        <v>1499</v>
      </c>
      <c r="N746" s="67">
        <f t="shared" si="404"/>
        <v>0.05003335557</v>
      </c>
      <c r="O746" s="68">
        <v>1424.0</v>
      </c>
      <c r="P746" s="67">
        <f t="shared" si="412"/>
        <v>0.05003335557</v>
      </c>
      <c r="Q746" s="69">
        <v>1424.0</v>
      </c>
      <c r="R746" s="70"/>
      <c r="S746" s="71">
        <f t="shared" si="420"/>
        <v>-0.05003335557</v>
      </c>
      <c r="T746" s="72">
        <f t="shared" si="6"/>
        <v>0</v>
      </c>
      <c r="U746" s="73">
        <f t="shared" si="427"/>
        <v>524.65</v>
      </c>
      <c r="V746" s="73">
        <f t="shared" si="340"/>
        <v>1270.338983</v>
      </c>
      <c r="W746" s="73">
        <f t="shared" si="9"/>
        <v>745.6889831</v>
      </c>
      <c r="X746" s="74">
        <f t="shared" si="10"/>
        <v>0.587</v>
      </c>
      <c r="Y746" s="73">
        <f t="shared" si="333"/>
        <v>603.3475</v>
      </c>
      <c r="Z746" s="73">
        <f t="shared" si="12"/>
        <v>1206.779661</v>
      </c>
      <c r="AA746" s="73">
        <f t="shared" si="13"/>
        <v>603.432161</v>
      </c>
      <c r="AB746" s="74">
        <f t="shared" si="14"/>
        <v>0.5000350772</v>
      </c>
      <c r="AC746" s="61" t="str">
        <f t="shared" si="15"/>
        <v>0</v>
      </c>
      <c r="AD746" s="71">
        <f t="shared" si="16"/>
        <v>0.15</v>
      </c>
      <c r="AE746" s="61"/>
      <c r="AF746" s="61"/>
      <c r="AG746" s="71">
        <f t="array" ref="AG746">IFERROR(xlookup(G746,'Old Master'!T:T,'Old Master'!V:V),N746)</f>
        <v>0.05003335557</v>
      </c>
      <c r="AH746" s="73">
        <f t="shared" si="229"/>
        <v>1424</v>
      </c>
      <c r="AI746" s="73">
        <f t="shared" si="230"/>
        <v>603.432161</v>
      </c>
      <c r="AJ746" s="72">
        <f t="shared" si="19"/>
        <v>0.5000350772</v>
      </c>
      <c r="AK746" s="61"/>
      <c r="AL746" s="71">
        <f t="array" ref="AL746">iferror(if(isblank(xlookup($G746,'Old Master'!$T:$T,'Old Master'!$W:$W)),AG746,xlookup($G746,'Old Master'!$T:$T,'Old Master'!$W:$W)),AG746)</f>
        <v>0.05003335557</v>
      </c>
      <c r="AM746" s="74">
        <f t="shared" si="20"/>
        <v>0.05003335557</v>
      </c>
      <c r="AN746" s="73">
        <f t="shared" si="424"/>
        <v>1424</v>
      </c>
    </row>
    <row r="747">
      <c r="A747" s="65" t="s">
        <v>4968</v>
      </c>
      <c r="B747" s="65" t="str">
        <f t="shared" si="1"/>
        <v>#VALUE!</v>
      </c>
      <c r="C747" s="65" t="str">
        <f t="shared" si="403"/>
        <v>#VALUE!</v>
      </c>
      <c r="D747" s="65">
        <v>0.0</v>
      </c>
      <c r="E747" s="65">
        <v>0.0</v>
      </c>
      <c r="F747" s="65" t="s">
        <v>4971</v>
      </c>
      <c r="G747" s="65" t="s">
        <v>5077</v>
      </c>
      <c r="H747" s="84" t="s">
        <v>4730</v>
      </c>
      <c r="I747" s="65">
        <v>1599.0</v>
      </c>
      <c r="J747" s="66">
        <v>0.0</v>
      </c>
      <c r="K747" s="65">
        <f t="shared" si="3"/>
        <v>1599</v>
      </c>
      <c r="L747" s="66">
        <v>0.0</v>
      </c>
      <c r="M747" s="65">
        <f t="shared" si="4"/>
        <v>1599</v>
      </c>
      <c r="N747" s="67">
        <f t="shared" si="404"/>
        <v>0.05003126954</v>
      </c>
      <c r="O747" s="68">
        <v>1519.0</v>
      </c>
      <c r="P747" s="67">
        <f t="shared" si="412"/>
        <v>0.05003126954</v>
      </c>
      <c r="Q747" s="69">
        <v>1519.0</v>
      </c>
      <c r="R747" s="70"/>
      <c r="S747" s="71">
        <f t="shared" si="420"/>
        <v>-0.05003126954</v>
      </c>
      <c r="T747" s="72">
        <f t="shared" si="6"/>
        <v>0</v>
      </c>
      <c r="U747" s="73">
        <f t="shared" si="427"/>
        <v>559.65</v>
      </c>
      <c r="V747" s="73">
        <f t="shared" si="340"/>
        <v>1355.084746</v>
      </c>
      <c r="W747" s="73">
        <f t="shared" si="9"/>
        <v>795.4347458</v>
      </c>
      <c r="X747" s="74">
        <f t="shared" si="10"/>
        <v>0.587</v>
      </c>
      <c r="Y747" s="73">
        <f t="shared" si="333"/>
        <v>643.5975</v>
      </c>
      <c r="Z747" s="73">
        <f t="shared" si="12"/>
        <v>1287.288136</v>
      </c>
      <c r="AA747" s="73">
        <f t="shared" si="13"/>
        <v>643.6906356</v>
      </c>
      <c r="AB747" s="74">
        <f t="shared" si="14"/>
        <v>0.5000361751</v>
      </c>
      <c r="AC747" s="61" t="str">
        <f t="shared" si="15"/>
        <v>6</v>
      </c>
      <c r="AD747" s="71">
        <f t="shared" si="16"/>
        <v>0.15</v>
      </c>
      <c r="AE747" s="61"/>
      <c r="AF747" s="61"/>
      <c r="AG747" s="71">
        <f t="array" ref="AG747">IFERROR(xlookup(G747,'Old Master'!T:T,'Old Master'!V:V),N747)</f>
        <v>0.05003126954</v>
      </c>
      <c r="AH747" s="73">
        <f t="shared" si="229"/>
        <v>1519</v>
      </c>
      <c r="AI747" s="73">
        <f t="shared" si="230"/>
        <v>643.6906356</v>
      </c>
      <c r="AJ747" s="72">
        <f t="shared" si="19"/>
        <v>0.5000361751</v>
      </c>
      <c r="AK747" s="61"/>
      <c r="AL747" s="71">
        <f t="array" ref="AL747">iferror(if(isblank(xlookup($G747,'Old Master'!$T:$T,'Old Master'!$W:$W)),AG747,xlookup($G747,'Old Master'!$T:$T,'Old Master'!$W:$W)),AG747)</f>
        <v>0.05003126954</v>
      </c>
      <c r="AM747" s="74">
        <f t="shared" si="20"/>
        <v>0.05003126954</v>
      </c>
      <c r="AN747" s="73">
        <f t="shared" si="424"/>
        <v>1519</v>
      </c>
    </row>
    <row r="748">
      <c r="A748" s="65" t="s">
        <v>4496</v>
      </c>
      <c r="B748" s="65" t="str">
        <f t="shared" si="1"/>
        <v>#VALUE!</v>
      </c>
      <c r="C748" s="65" t="str">
        <f t="shared" si="403"/>
        <v>#VALUE!</v>
      </c>
      <c r="D748" s="65" t="s">
        <v>4498</v>
      </c>
      <c r="E748" s="65">
        <v>0.0</v>
      </c>
      <c r="F748" s="65" t="s">
        <v>4499</v>
      </c>
      <c r="G748" s="65" t="s">
        <v>5077</v>
      </c>
      <c r="H748" s="65" t="s">
        <v>4730</v>
      </c>
      <c r="I748" s="65">
        <v>1199.0</v>
      </c>
      <c r="J748" s="66">
        <v>0.0</v>
      </c>
      <c r="K748" s="65">
        <f t="shared" si="3"/>
        <v>1199</v>
      </c>
      <c r="L748" s="66">
        <v>0.0</v>
      </c>
      <c r="M748" s="65">
        <f t="shared" si="4"/>
        <v>1199</v>
      </c>
      <c r="N748" s="67">
        <f t="shared" si="404"/>
        <v>0.05004170142</v>
      </c>
      <c r="O748" s="68">
        <v>1139.0</v>
      </c>
      <c r="P748" s="67">
        <f t="shared" si="412"/>
        <v>0.05004170142</v>
      </c>
      <c r="Q748" s="69">
        <v>1139.0</v>
      </c>
      <c r="R748" s="70"/>
      <c r="S748" s="71">
        <f t="shared" si="420"/>
        <v>-0.05004170142</v>
      </c>
      <c r="T748" s="72">
        <f t="shared" si="6"/>
        <v>0</v>
      </c>
      <c r="U748" s="73" t="str">
        <f t="shared" ref="U748:U750" si="428">IFERROR(XLOOKUP(A748,COGS!I:I,COGS!J:J), IFERROR(XLOOKUP(C748,COGS!I:I,COGS!J:J),""))</f>
        <v/>
      </c>
      <c r="V748" s="73">
        <f t="shared" si="340"/>
        <v>1016.101695</v>
      </c>
      <c r="W748" s="73">
        <f t="shared" si="9"/>
        <v>1016.101695</v>
      </c>
      <c r="X748" s="74">
        <f t="shared" si="10"/>
        <v>1</v>
      </c>
      <c r="Y748" s="73">
        <f t="shared" si="333"/>
        <v>0</v>
      </c>
      <c r="Z748" s="73">
        <f t="shared" si="12"/>
        <v>965.2542373</v>
      </c>
      <c r="AA748" s="73">
        <f t="shared" si="13"/>
        <v>965.2542373</v>
      </c>
      <c r="AB748" s="74">
        <f t="shared" si="14"/>
        <v>1</v>
      </c>
      <c r="AC748" s="61" t="str">
        <f t="shared" si="15"/>
        <v>8</v>
      </c>
      <c r="AD748" s="71" t="str">
        <f t="shared" si="16"/>
        <v>#DIV/0!</v>
      </c>
      <c r="AE748" s="61"/>
      <c r="AF748" s="61"/>
      <c r="AG748" s="71">
        <f t="array" ref="AG748">IFERROR(xlookup(G748,'Old Master'!T:T,'Old Master'!V:V),N748)</f>
        <v>0.05004170142</v>
      </c>
      <c r="AH748" s="73">
        <f t="shared" si="229"/>
        <v>1139</v>
      </c>
      <c r="AI748" s="73">
        <f t="shared" si="230"/>
        <v>965.2542373</v>
      </c>
      <c r="AJ748" s="72">
        <f t="shared" si="19"/>
        <v>1</v>
      </c>
      <c r="AK748" s="61"/>
      <c r="AL748" s="71">
        <f t="array" ref="AL748">iferror(if(isblank(xlookup($G748,'Old Master'!$T:$T,'Old Master'!$W:$W)),AG748,xlookup($G748,'Old Master'!$T:$T,'Old Master'!$W:$W)),AG748)</f>
        <v>0.05004170142</v>
      </c>
      <c r="AM748" s="74">
        <f t="shared" si="20"/>
        <v>0.05004170142</v>
      </c>
      <c r="AN748" s="73">
        <f t="shared" si="424"/>
        <v>1139</v>
      </c>
    </row>
    <row r="749">
      <c r="A749" s="65" t="s">
        <v>4586</v>
      </c>
      <c r="B749" s="65" t="str">
        <f t="shared" si="1"/>
        <v>#VALUE!</v>
      </c>
      <c r="C749" s="65" t="str">
        <f t="shared" si="403"/>
        <v>#VALUE!</v>
      </c>
      <c r="D749" s="65">
        <v>0.0</v>
      </c>
      <c r="E749" s="65">
        <v>0.0</v>
      </c>
      <c r="F749" s="65" t="s">
        <v>4588</v>
      </c>
      <c r="G749" s="65" t="s">
        <v>5077</v>
      </c>
      <c r="H749" s="84" t="s">
        <v>4730</v>
      </c>
      <c r="I749" s="65">
        <v>1599.0</v>
      </c>
      <c r="J749" s="66">
        <v>0.0</v>
      </c>
      <c r="K749" s="65">
        <f t="shared" si="3"/>
        <v>1599</v>
      </c>
      <c r="L749" s="66">
        <v>0.0</v>
      </c>
      <c r="M749" s="65">
        <f t="shared" si="4"/>
        <v>1599</v>
      </c>
      <c r="N749" s="67">
        <f t="shared" si="404"/>
        <v>0.05003126954</v>
      </c>
      <c r="O749" s="68">
        <v>1519.0</v>
      </c>
      <c r="P749" s="67">
        <f t="shared" si="412"/>
        <v>0.05003126954</v>
      </c>
      <c r="Q749" s="69">
        <v>1519.0</v>
      </c>
      <c r="R749" s="70"/>
      <c r="S749" s="71">
        <f t="shared" si="420"/>
        <v>-0.05003126954</v>
      </c>
      <c r="T749" s="72">
        <f t="shared" si="6"/>
        <v>0</v>
      </c>
      <c r="U749" s="73" t="str">
        <f t="shared" si="428"/>
        <v/>
      </c>
      <c r="V749" s="73">
        <f t="shared" si="340"/>
        <v>1355.084746</v>
      </c>
      <c r="W749" s="73">
        <f t="shared" si="9"/>
        <v>1355.084746</v>
      </c>
      <c r="X749" s="74">
        <f t="shared" si="10"/>
        <v>1</v>
      </c>
      <c r="Y749" s="73">
        <f t="shared" si="333"/>
        <v>0</v>
      </c>
      <c r="Z749" s="73">
        <f t="shared" si="12"/>
        <v>1287.288136</v>
      </c>
      <c r="AA749" s="73">
        <f t="shared" si="13"/>
        <v>1287.288136</v>
      </c>
      <c r="AB749" s="74">
        <f t="shared" si="14"/>
        <v>1</v>
      </c>
      <c r="AC749" s="61" t="str">
        <f t="shared" si="15"/>
        <v>6</v>
      </c>
      <c r="AD749" s="71" t="str">
        <f t="shared" si="16"/>
        <v>#DIV/0!</v>
      </c>
      <c r="AE749" s="61"/>
      <c r="AF749" s="61"/>
      <c r="AG749" s="71">
        <f t="array" ref="AG749">IFERROR(xlookup(G749,'Old Master'!T:T,'Old Master'!V:V),N749)</f>
        <v>0.05003126954</v>
      </c>
      <c r="AH749" s="73">
        <f t="shared" si="229"/>
        <v>1519</v>
      </c>
      <c r="AI749" s="73">
        <f t="shared" si="230"/>
        <v>1287.288136</v>
      </c>
      <c r="AJ749" s="72">
        <f t="shared" si="19"/>
        <v>1</v>
      </c>
      <c r="AK749" s="61"/>
      <c r="AL749" s="71">
        <f t="array" ref="AL749">iferror(if(isblank(xlookup($G749,'Old Master'!$T:$T,'Old Master'!$W:$W)),AG749,xlookup($G749,'Old Master'!$T:$T,'Old Master'!$W:$W)),AG749)</f>
        <v>0.05003126954</v>
      </c>
      <c r="AM749" s="74">
        <f t="shared" si="20"/>
        <v>0.05003126954</v>
      </c>
      <c r="AN749" s="73">
        <f t="shared" si="424"/>
        <v>1519</v>
      </c>
    </row>
    <row r="750">
      <c r="A750" s="65" t="s">
        <v>4589</v>
      </c>
      <c r="B750" s="65" t="str">
        <f t="shared" si="1"/>
        <v>#VALUE!</v>
      </c>
      <c r="C750" s="65" t="str">
        <f t="shared" si="403"/>
        <v>#VALUE!</v>
      </c>
      <c r="D750" s="65">
        <v>0.0</v>
      </c>
      <c r="E750" s="65">
        <v>0.0</v>
      </c>
      <c r="F750" s="65" t="s">
        <v>4591</v>
      </c>
      <c r="G750" s="65" t="s">
        <v>5077</v>
      </c>
      <c r="H750" s="84" t="s">
        <v>4730</v>
      </c>
      <c r="I750" s="65">
        <v>1599.0</v>
      </c>
      <c r="J750" s="66">
        <v>0.0</v>
      </c>
      <c r="K750" s="65">
        <f t="shared" si="3"/>
        <v>1599</v>
      </c>
      <c r="L750" s="66">
        <v>0.0</v>
      </c>
      <c r="M750" s="65">
        <f t="shared" si="4"/>
        <v>1599</v>
      </c>
      <c r="N750" s="67">
        <f t="shared" si="404"/>
        <v>0.05003126954</v>
      </c>
      <c r="O750" s="68">
        <v>1519.0</v>
      </c>
      <c r="P750" s="67">
        <f t="shared" si="412"/>
        <v>0.05003126954</v>
      </c>
      <c r="Q750" s="69">
        <v>1519.0</v>
      </c>
      <c r="R750" s="70"/>
      <c r="S750" s="71">
        <f t="shared" si="420"/>
        <v>-0.05003126954</v>
      </c>
      <c r="T750" s="72">
        <f t="shared" si="6"/>
        <v>0</v>
      </c>
      <c r="U750" s="73" t="str">
        <f t="shared" si="428"/>
        <v/>
      </c>
      <c r="V750" s="73">
        <f t="shared" si="340"/>
        <v>1355.084746</v>
      </c>
      <c r="W750" s="73">
        <f t="shared" si="9"/>
        <v>1355.084746</v>
      </c>
      <c r="X750" s="74">
        <f t="shared" si="10"/>
        <v>1</v>
      </c>
      <c r="Y750" s="73">
        <f t="shared" si="333"/>
        <v>0</v>
      </c>
      <c r="Z750" s="73">
        <f t="shared" si="12"/>
        <v>1287.288136</v>
      </c>
      <c r="AA750" s="73">
        <f t="shared" si="13"/>
        <v>1287.288136</v>
      </c>
      <c r="AB750" s="74">
        <f t="shared" si="14"/>
        <v>1</v>
      </c>
      <c r="AC750" s="61" t="str">
        <f t="shared" si="15"/>
        <v>6</v>
      </c>
      <c r="AD750" s="71" t="str">
        <f t="shared" si="16"/>
        <v>#DIV/0!</v>
      </c>
      <c r="AE750" s="61"/>
      <c r="AF750" s="61"/>
      <c r="AG750" s="71">
        <f t="array" ref="AG750">IFERROR(xlookup(G750,'Old Master'!T:T,'Old Master'!V:V),N750)</f>
        <v>0.05003126954</v>
      </c>
      <c r="AH750" s="73">
        <f t="shared" si="229"/>
        <v>1519</v>
      </c>
      <c r="AI750" s="73">
        <f t="shared" si="230"/>
        <v>1287.288136</v>
      </c>
      <c r="AJ750" s="72">
        <f t="shared" si="19"/>
        <v>1</v>
      </c>
      <c r="AK750" s="61"/>
      <c r="AL750" s="71">
        <f t="array" ref="AL750">iferror(if(isblank(xlookup($G750,'Old Master'!$T:$T,'Old Master'!$W:$W)),AG750,xlookup($G750,'Old Master'!$T:$T,'Old Master'!$W:$W)),AG750)</f>
        <v>0.05003126954</v>
      </c>
      <c r="AM750" s="74">
        <f t="shared" si="20"/>
        <v>0.05003126954</v>
      </c>
      <c r="AN750" s="73">
        <f t="shared" si="424"/>
        <v>1519</v>
      </c>
    </row>
    <row r="751">
      <c r="A751" s="65" t="s">
        <v>4972</v>
      </c>
      <c r="B751" s="65" t="str">
        <f t="shared" si="1"/>
        <v>#VALUE!</v>
      </c>
      <c r="C751" s="65" t="str">
        <f t="shared" si="403"/>
        <v>#VALUE!</v>
      </c>
      <c r="D751" s="65">
        <v>0.0</v>
      </c>
      <c r="E751" s="65">
        <v>0.0</v>
      </c>
      <c r="F751" s="65" t="s">
        <v>4975</v>
      </c>
      <c r="G751" s="65" t="s">
        <v>5077</v>
      </c>
      <c r="H751" s="84" t="s">
        <v>4730</v>
      </c>
      <c r="I751" s="65">
        <v>1499.0</v>
      </c>
      <c r="J751" s="66">
        <v>0.0</v>
      </c>
      <c r="K751" s="65">
        <f t="shared" si="3"/>
        <v>1499</v>
      </c>
      <c r="L751" s="66">
        <v>0.0</v>
      </c>
      <c r="M751" s="65">
        <f t="shared" si="4"/>
        <v>1499</v>
      </c>
      <c r="N751" s="67">
        <f t="shared" si="404"/>
        <v>0.05003335557</v>
      </c>
      <c r="O751" s="68">
        <v>1424.0</v>
      </c>
      <c r="P751" s="67">
        <f t="shared" si="412"/>
        <v>0.05003335557</v>
      </c>
      <c r="Q751" s="69">
        <v>1424.0</v>
      </c>
      <c r="R751" s="70"/>
      <c r="S751" s="71">
        <f t="shared" si="420"/>
        <v>-0.05003335557</v>
      </c>
      <c r="T751" s="72">
        <f t="shared" si="6"/>
        <v>0</v>
      </c>
      <c r="U751" s="73">
        <f t="shared" ref="U751:U754" si="429">IFERROR(XLOOKUP(A751,COGS!I:I,COGS!J:J), IFERROR(XLOOKUP(C751,COGS!I:I,COGS!J:J),I751*35%))</f>
        <v>524.65</v>
      </c>
      <c r="V751" s="73">
        <f t="shared" si="340"/>
        <v>1270.338983</v>
      </c>
      <c r="W751" s="73">
        <f t="shared" si="9"/>
        <v>745.6889831</v>
      </c>
      <c r="X751" s="74">
        <f t="shared" si="10"/>
        <v>0.587</v>
      </c>
      <c r="Y751" s="73">
        <f t="shared" si="333"/>
        <v>603.3475</v>
      </c>
      <c r="Z751" s="73">
        <f t="shared" si="12"/>
        <v>1206.779661</v>
      </c>
      <c r="AA751" s="73">
        <f t="shared" si="13"/>
        <v>603.432161</v>
      </c>
      <c r="AB751" s="74">
        <f t="shared" si="14"/>
        <v>0.5000350772</v>
      </c>
      <c r="AC751" s="61" t="str">
        <f t="shared" si="15"/>
        <v>0</v>
      </c>
      <c r="AD751" s="71">
        <f t="shared" si="16"/>
        <v>0.15</v>
      </c>
      <c r="AE751" s="61"/>
      <c r="AF751" s="61"/>
      <c r="AG751" s="71">
        <f t="array" ref="AG751">IFERROR(xlookup(G751,'Old Master'!T:T,'Old Master'!V:V),N751)</f>
        <v>0.05003335557</v>
      </c>
      <c r="AH751" s="73">
        <f t="shared" si="229"/>
        <v>1424</v>
      </c>
      <c r="AI751" s="73">
        <f t="shared" si="230"/>
        <v>603.432161</v>
      </c>
      <c r="AJ751" s="72">
        <f t="shared" si="19"/>
        <v>0.5000350772</v>
      </c>
      <c r="AK751" s="61"/>
      <c r="AL751" s="71">
        <f t="array" ref="AL751">iferror(if(isblank(xlookup($G751,'Old Master'!$T:$T,'Old Master'!$W:$W)),AG751,xlookup($G751,'Old Master'!$T:$T,'Old Master'!$W:$W)),AG751)</f>
        <v>0.05003335557</v>
      </c>
      <c r="AM751" s="74">
        <f t="shared" si="20"/>
        <v>0.05003335557</v>
      </c>
      <c r="AN751" s="73">
        <f t="shared" si="424"/>
        <v>1424</v>
      </c>
    </row>
    <row r="752">
      <c r="A752" s="65" t="s">
        <v>4976</v>
      </c>
      <c r="B752" s="65" t="str">
        <f t="shared" si="1"/>
        <v>#VALUE!</v>
      </c>
      <c r="C752" s="65" t="str">
        <f t="shared" si="403"/>
        <v>#VALUE!</v>
      </c>
      <c r="D752" s="65">
        <v>0.0</v>
      </c>
      <c r="E752" s="65">
        <v>0.0</v>
      </c>
      <c r="F752" s="65" t="s">
        <v>4979</v>
      </c>
      <c r="G752" s="65" t="s">
        <v>5077</v>
      </c>
      <c r="H752" s="84" t="s">
        <v>4730</v>
      </c>
      <c r="I752" s="65">
        <v>1599.0</v>
      </c>
      <c r="J752" s="66">
        <v>0.0</v>
      </c>
      <c r="K752" s="65">
        <f t="shared" si="3"/>
        <v>1599</v>
      </c>
      <c r="L752" s="66">
        <v>0.0</v>
      </c>
      <c r="M752" s="65">
        <f t="shared" si="4"/>
        <v>1599</v>
      </c>
      <c r="N752" s="67">
        <f t="shared" si="404"/>
        <v>0.05003126954</v>
      </c>
      <c r="O752" s="68">
        <v>1519.0</v>
      </c>
      <c r="P752" s="67">
        <f t="shared" si="412"/>
        <v>0.05003126954</v>
      </c>
      <c r="Q752" s="69">
        <v>1519.0</v>
      </c>
      <c r="R752" s="70"/>
      <c r="S752" s="71">
        <f t="shared" si="420"/>
        <v>-0.05003126954</v>
      </c>
      <c r="T752" s="72">
        <f t="shared" si="6"/>
        <v>0</v>
      </c>
      <c r="U752" s="73">
        <f t="shared" si="429"/>
        <v>559.65</v>
      </c>
      <c r="V752" s="73">
        <f t="shared" si="340"/>
        <v>1355.084746</v>
      </c>
      <c r="W752" s="73">
        <f t="shared" si="9"/>
        <v>795.4347458</v>
      </c>
      <c r="X752" s="74">
        <f t="shared" si="10"/>
        <v>0.587</v>
      </c>
      <c r="Y752" s="73">
        <f t="shared" si="333"/>
        <v>643.5975</v>
      </c>
      <c r="Z752" s="73">
        <f t="shared" si="12"/>
        <v>1287.288136</v>
      </c>
      <c r="AA752" s="73">
        <f t="shared" si="13"/>
        <v>643.6906356</v>
      </c>
      <c r="AB752" s="74">
        <f t="shared" si="14"/>
        <v>0.5000361751</v>
      </c>
      <c r="AC752" s="61" t="str">
        <f t="shared" si="15"/>
        <v>6</v>
      </c>
      <c r="AD752" s="71">
        <f t="shared" si="16"/>
        <v>0.15</v>
      </c>
      <c r="AE752" s="61"/>
      <c r="AF752" s="61"/>
      <c r="AG752" s="71">
        <f t="array" ref="AG752">IFERROR(xlookup(G752,'Old Master'!T:T,'Old Master'!V:V),N752)</f>
        <v>0.05003126954</v>
      </c>
      <c r="AH752" s="73">
        <f t="shared" si="229"/>
        <v>1519</v>
      </c>
      <c r="AI752" s="73">
        <f t="shared" si="230"/>
        <v>643.6906356</v>
      </c>
      <c r="AJ752" s="72">
        <f t="shared" si="19"/>
        <v>0.5000361751</v>
      </c>
      <c r="AK752" s="61"/>
      <c r="AL752" s="71">
        <f t="array" ref="AL752">iferror(if(isblank(xlookup($G752,'Old Master'!$T:$T,'Old Master'!$W:$W)),AG752,xlookup($G752,'Old Master'!$T:$T,'Old Master'!$W:$W)),AG752)</f>
        <v>0.05003126954</v>
      </c>
      <c r="AM752" s="74">
        <f t="shared" si="20"/>
        <v>0.05003126954</v>
      </c>
      <c r="AN752" s="73">
        <f t="shared" si="424"/>
        <v>1519</v>
      </c>
    </row>
    <row r="753">
      <c r="A753" s="65" t="s">
        <v>4980</v>
      </c>
      <c r="B753" s="65" t="str">
        <f t="shared" si="1"/>
        <v>#VALUE!</v>
      </c>
      <c r="C753" s="65" t="str">
        <f t="shared" si="403"/>
        <v>#VALUE!</v>
      </c>
      <c r="D753" s="65">
        <v>0.0</v>
      </c>
      <c r="E753" s="65">
        <v>0.0</v>
      </c>
      <c r="F753" s="65" t="s">
        <v>4983</v>
      </c>
      <c r="G753" s="65" t="s">
        <v>5077</v>
      </c>
      <c r="H753" s="84" t="s">
        <v>4730</v>
      </c>
      <c r="I753" s="65">
        <v>1499.0</v>
      </c>
      <c r="J753" s="66">
        <v>0.0</v>
      </c>
      <c r="K753" s="65">
        <f t="shared" si="3"/>
        <v>1499</v>
      </c>
      <c r="L753" s="66">
        <v>0.0</v>
      </c>
      <c r="M753" s="65">
        <f t="shared" si="4"/>
        <v>1499</v>
      </c>
      <c r="N753" s="67">
        <f t="shared" si="404"/>
        <v>0.05003335557</v>
      </c>
      <c r="O753" s="68">
        <v>1424.0</v>
      </c>
      <c r="P753" s="67">
        <f t="shared" si="412"/>
        <v>0.05003335557</v>
      </c>
      <c r="Q753" s="69">
        <v>1424.0</v>
      </c>
      <c r="R753" s="70"/>
      <c r="S753" s="71">
        <f t="shared" si="420"/>
        <v>-0.05003335557</v>
      </c>
      <c r="T753" s="72">
        <f t="shared" si="6"/>
        <v>0</v>
      </c>
      <c r="U753" s="73">
        <f t="shared" si="429"/>
        <v>524.65</v>
      </c>
      <c r="V753" s="73">
        <f t="shared" si="340"/>
        <v>1270.338983</v>
      </c>
      <c r="W753" s="73">
        <f t="shared" si="9"/>
        <v>745.6889831</v>
      </c>
      <c r="X753" s="74">
        <f t="shared" si="10"/>
        <v>0.587</v>
      </c>
      <c r="Y753" s="73">
        <f t="shared" si="333"/>
        <v>603.3475</v>
      </c>
      <c r="Z753" s="73">
        <f t="shared" si="12"/>
        <v>1206.779661</v>
      </c>
      <c r="AA753" s="73">
        <f t="shared" si="13"/>
        <v>603.432161</v>
      </c>
      <c r="AB753" s="74">
        <f t="shared" si="14"/>
        <v>0.5000350772</v>
      </c>
      <c r="AC753" s="61" t="str">
        <f t="shared" si="15"/>
        <v>0</v>
      </c>
      <c r="AD753" s="71">
        <f t="shared" si="16"/>
        <v>0.15</v>
      </c>
      <c r="AE753" s="61"/>
      <c r="AF753" s="61"/>
      <c r="AG753" s="71">
        <f t="array" ref="AG753">IFERROR(xlookup(G753,'Old Master'!T:T,'Old Master'!V:V),N753)</f>
        <v>0.05003335557</v>
      </c>
      <c r="AH753" s="73">
        <f t="shared" si="229"/>
        <v>1424</v>
      </c>
      <c r="AI753" s="73">
        <f t="shared" si="230"/>
        <v>603.432161</v>
      </c>
      <c r="AJ753" s="72">
        <f t="shared" si="19"/>
        <v>0.5000350772</v>
      </c>
      <c r="AK753" s="61"/>
      <c r="AL753" s="71">
        <f t="array" ref="AL753">iferror(if(isblank(xlookup($G753,'Old Master'!$T:$T,'Old Master'!$W:$W)),AG753,xlookup($G753,'Old Master'!$T:$T,'Old Master'!$W:$W)),AG753)</f>
        <v>0.05003335557</v>
      </c>
      <c r="AM753" s="74">
        <f t="shared" si="20"/>
        <v>0.05003335557</v>
      </c>
      <c r="AN753" s="73">
        <f t="shared" si="424"/>
        <v>1424</v>
      </c>
    </row>
    <row r="754">
      <c r="A754" s="65" t="s">
        <v>4984</v>
      </c>
      <c r="B754" s="65" t="str">
        <f t="shared" si="1"/>
        <v>#VALUE!</v>
      </c>
      <c r="C754" s="65" t="str">
        <f t="shared" si="403"/>
        <v>#VALUE!</v>
      </c>
      <c r="D754" s="65">
        <v>0.0</v>
      </c>
      <c r="E754" s="65">
        <v>0.0</v>
      </c>
      <c r="F754" s="65" t="s">
        <v>4987</v>
      </c>
      <c r="G754" s="65" t="s">
        <v>5077</v>
      </c>
      <c r="H754" s="84" t="s">
        <v>4730</v>
      </c>
      <c r="I754" s="65">
        <v>1599.0</v>
      </c>
      <c r="J754" s="66">
        <v>0.0</v>
      </c>
      <c r="K754" s="65">
        <f t="shared" si="3"/>
        <v>1599</v>
      </c>
      <c r="L754" s="66">
        <v>0.0</v>
      </c>
      <c r="M754" s="65">
        <f t="shared" si="4"/>
        <v>1599</v>
      </c>
      <c r="N754" s="67">
        <f t="shared" si="404"/>
        <v>0.05003126954</v>
      </c>
      <c r="O754" s="68">
        <v>1519.0</v>
      </c>
      <c r="P754" s="67">
        <f t="shared" si="412"/>
        <v>0.05003126954</v>
      </c>
      <c r="Q754" s="69">
        <v>1519.0</v>
      </c>
      <c r="R754" s="70"/>
      <c r="S754" s="71">
        <f t="shared" si="420"/>
        <v>-0.05003126954</v>
      </c>
      <c r="T754" s="72">
        <f t="shared" si="6"/>
        <v>0</v>
      </c>
      <c r="U754" s="73">
        <f t="shared" si="429"/>
        <v>559.65</v>
      </c>
      <c r="V754" s="73">
        <f t="shared" si="340"/>
        <v>1355.084746</v>
      </c>
      <c r="W754" s="73">
        <f t="shared" si="9"/>
        <v>795.4347458</v>
      </c>
      <c r="X754" s="74">
        <f t="shared" si="10"/>
        <v>0.587</v>
      </c>
      <c r="Y754" s="73">
        <f t="shared" si="333"/>
        <v>643.5975</v>
      </c>
      <c r="Z754" s="73">
        <f t="shared" si="12"/>
        <v>1287.288136</v>
      </c>
      <c r="AA754" s="73">
        <f t="shared" si="13"/>
        <v>643.6906356</v>
      </c>
      <c r="AB754" s="74">
        <f t="shared" si="14"/>
        <v>0.5000361751</v>
      </c>
      <c r="AC754" s="61" t="str">
        <f t="shared" si="15"/>
        <v>6</v>
      </c>
      <c r="AD754" s="71">
        <f t="shared" si="16"/>
        <v>0.15</v>
      </c>
      <c r="AE754" s="61"/>
      <c r="AF754" s="61"/>
      <c r="AG754" s="71">
        <f t="array" ref="AG754">IFERROR(xlookup(G754,'Old Master'!T:T,'Old Master'!V:V),N754)</f>
        <v>0.05003126954</v>
      </c>
      <c r="AH754" s="73">
        <f t="shared" si="229"/>
        <v>1519</v>
      </c>
      <c r="AI754" s="73">
        <f t="shared" si="230"/>
        <v>643.6906356</v>
      </c>
      <c r="AJ754" s="72">
        <f t="shared" si="19"/>
        <v>0.5000361751</v>
      </c>
      <c r="AK754" s="61"/>
      <c r="AL754" s="71">
        <f t="array" ref="AL754">iferror(if(isblank(xlookup($G754,'Old Master'!$T:$T,'Old Master'!$W:$W)),AG754,xlookup($G754,'Old Master'!$T:$T,'Old Master'!$W:$W)),AG754)</f>
        <v>0.05003126954</v>
      </c>
      <c r="AM754" s="74">
        <f t="shared" si="20"/>
        <v>0.05003126954</v>
      </c>
      <c r="AN754" s="73">
        <f t="shared" si="424"/>
        <v>1519</v>
      </c>
    </row>
    <row r="755">
      <c r="A755" s="65" t="s">
        <v>4466</v>
      </c>
      <c r="B755" s="65" t="str">
        <f t="shared" si="1"/>
        <v>#VALUE!</v>
      </c>
      <c r="C755" s="65" t="str">
        <f t="shared" si="403"/>
        <v>#VALUE!</v>
      </c>
      <c r="D755" s="65" t="s">
        <v>4468</v>
      </c>
      <c r="E755" s="65">
        <v>0.0</v>
      </c>
      <c r="F755" s="65" t="s">
        <v>4469</v>
      </c>
      <c r="G755" s="65" t="s">
        <v>5077</v>
      </c>
      <c r="H755" s="65" t="s">
        <v>4730</v>
      </c>
      <c r="I755" s="65">
        <v>1199.0</v>
      </c>
      <c r="J755" s="66">
        <v>0.0</v>
      </c>
      <c r="K755" s="65">
        <f t="shared" si="3"/>
        <v>1199</v>
      </c>
      <c r="L755" s="66">
        <v>0.0</v>
      </c>
      <c r="M755" s="65">
        <f t="shared" si="4"/>
        <v>1199</v>
      </c>
      <c r="N755" s="67">
        <f t="shared" si="404"/>
        <v>0.05004170142</v>
      </c>
      <c r="O755" s="68">
        <v>1139.0</v>
      </c>
      <c r="P755" s="67">
        <f t="shared" si="412"/>
        <v>0.05004170142</v>
      </c>
      <c r="Q755" s="69">
        <v>1139.0</v>
      </c>
      <c r="R755" s="70"/>
      <c r="S755" s="71">
        <f t="shared" si="420"/>
        <v>-0.05004170142</v>
      </c>
      <c r="T755" s="72">
        <f t="shared" si="6"/>
        <v>0</v>
      </c>
      <c r="U755" s="73" t="str">
        <f t="shared" ref="U755:U759" si="430">IFERROR(XLOOKUP(A755,COGS!I:I,COGS!J:J), IFERROR(XLOOKUP(C755,COGS!I:I,COGS!J:J),""))</f>
        <v/>
      </c>
      <c r="V755" s="73">
        <f t="shared" si="340"/>
        <v>1016.101695</v>
      </c>
      <c r="W755" s="73">
        <f t="shared" si="9"/>
        <v>1016.101695</v>
      </c>
      <c r="X755" s="74">
        <f t="shared" si="10"/>
        <v>1</v>
      </c>
      <c r="Y755" s="73">
        <f t="shared" si="333"/>
        <v>0</v>
      </c>
      <c r="Z755" s="73">
        <f t="shared" si="12"/>
        <v>965.2542373</v>
      </c>
      <c r="AA755" s="73">
        <f t="shared" si="13"/>
        <v>965.2542373</v>
      </c>
      <c r="AB755" s="74">
        <f t="shared" si="14"/>
        <v>1</v>
      </c>
      <c r="AC755" s="61" t="str">
        <f t="shared" si="15"/>
        <v>8</v>
      </c>
      <c r="AD755" s="71" t="str">
        <f t="shared" si="16"/>
        <v>#DIV/0!</v>
      </c>
      <c r="AE755" s="61"/>
      <c r="AF755" s="61"/>
      <c r="AG755" s="71">
        <f t="array" ref="AG755">IFERROR(xlookup(G755,'Old Master'!T:T,'Old Master'!V:V),N755)</f>
        <v>0.05004170142</v>
      </c>
      <c r="AH755" s="73">
        <f t="shared" si="229"/>
        <v>1139</v>
      </c>
      <c r="AI755" s="73">
        <f t="shared" si="230"/>
        <v>965.2542373</v>
      </c>
      <c r="AJ755" s="72">
        <f t="shared" si="19"/>
        <v>1</v>
      </c>
      <c r="AK755" s="61"/>
      <c r="AL755" s="71">
        <f t="array" ref="AL755">iferror(if(isblank(xlookup($G755,'Old Master'!$T:$T,'Old Master'!$W:$W)),AG755,xlookup($G755,'Old Master'!$T:$T,'Old Master'!$W:$W)),AG755)</f>
        <v>0.05004170142</v>
      </c>
      <c r="AM755" s="74">
        <f t="shared" si="20"/>
        <v>0.05004170142</v>
      </c>
      <c r="AN755" s="73">
        <f t="shared" si="424"/>
        <v>1139</v>
      </c>
    </row>
    <row r="756">
      <c r="A756" s="65" t="s">
        <v>4531</v>
      </c>
      <c r="B756" s="65" t="str">
        <f t="shared" si="1"/>
        <v>#VALUE!</v>
      </c>
      <c r="C756" s="65" t="str">
        <f t="shared" si="403"/>
        <v>#VALUE!</v>
      </c>
      <c r="D756" s="65">
        <v>0.0</v>
      </c>
      <c r="E756" s="65">
        <v>0.0</v>
      </c>
      <c r="F756" s="65" t="s">
        <v>4533</v>
      </c>
      <c r="G756" s="65" t="s">
        <v>5077</v>
      </c>
      <c r="H756" s="84" t="s">
        <v>4730</v>
      </c>
      <c r="I756" s="65">
        <v>1499.0</v>
      </c>
      <c r="J756" s="66">
        <v>0.0</v>
      </c>
      <c r="K756" s="65">
        <f t="shared" si="3"/>
        <v>1499</v>
      </c>
      <c r="L756" s="66">
        <v>0.0</v>
      </c>
      <c r="M756" s="65">
        <f t="shared" si="4"/>
        <v>1499</v>
      </c>
      <c r="N756" s="67">
        <f t="shared" si="404"/>
        <v>0.05003335557</v>
      </c>
      <c r="O756" s="68">
        <v>1424.0</v>
      </c>
      <c r="P756" s="67">
        <f t="shared" si="412"/>
        <v>0.05003335557</v>
      </c>
      <c r="Q756" s="69">
        <v>1424.0</v>
      </c>
      <c r="R756" s="70"/>
      <c r="S756" s="71">
        <f t="shared" si="420"/>
        <v>-0.05003335557</v>
      </c>
      <c r="T756" s="72">
        <f t="shared" si="6"/>
        <v>0</v>
      </c>
      <c r="U756" s="73" t="str">
        <f t="shared" si="430"/>
        <v/>
      </c>
      <c r="V756" s="73">
        <f t="shared" si="340"/>
        <v>1270.338983</v>
      </c>
      <c r="W756" s="73">
        <f t="shared" si="9"/>
        <v>1270.338983</v>
      </c>
      <c r="X756" s="74">
        <f t="shared" si="10"/>
        <v>1</v>
      </c>
      <c r="Y756" s="73">
        <f t="shared" si="333"/>
        <v>0</v>
      </c>
      <c r="Z756" s="73">
        <f t="shared" si="12"/>
        <v>1206.779661</v>
      </c>
      <c r="AA756" s="73">
        <f t="shared" si="13"/>
        <v>1206.779661</v>
      </c>
      <c r="AB756" s="74">
        <f t="shared" si="14"/>
        <v>1</v>
      </c>
      <c r="AC756" s="61" t="str">
        <f t="shared" si="15"/>
        <v>0</v>
      </c>
      <c r="AD756" s="71" t="str">
        <f t="shared" si="16"/>
        <v>#DIV/0!</v>
      </c>
      <c r="AE756" s="61"/>
      <c r="AF756" s="61"/>
      <c r="AG756" s="71">
        <f t="array" ref="AG756">IFERROR(xlookup(G756,'Old Master'!T:T,'Old Master'!V:V),N756)</f>
        <v>0.05003335557</v>
      </c>
      <c r="AH756" s="73">
        <f t="shared" si="229"/>
        <v>1424</v>
      </c>
      <c r="AI756" s="73">
        <f t="shared" si="230"/>
        <v>1206.779661</v>
      </c>
      <c r="AJ756" s="72">
        <f t="shared" si="19"/>
        <v>1</v>
      </c>
      <c r="AK756" s="61"/>
      <c r="AL756" s="71">
        <f t="array" ref="AL756">iferror(if(isblank(xlookup($G756,'Old Master'!$T:$T,'Old Master'!$W:$W)),AG756,xlookup($G756,'Old Master'!$T:$T,'Old Master'!$W:$W)),AG756)</f>
        <v>0.05003335557</v>
      </c>
      <c r="AM756" s="74">
        <f t="shared" si="20"/>
        <v>0.05003335557</v>
      </c>
      <c r="AN756" s="73">
        <f t="shared" si="424"/>
        <v>1424</v>
      </c>
    </row>
    <row r="757">
      <c r="A757" s="65" t="s">
        <v>4542</v>
      </c>
      <c r="B757" s="65" t="str">
        <f t="shared" si="1"/>
        <v>#VALUE!</v>
      </c>
      <c r="C757" s="65" t="str">
        <f t="shared" si="403"/>
        <v>#VALUE!</v>
      </c>
      <c r="D757" s="65">
        <v>0.0</v>
      </c>
      <c r="E757" s="65">
        <v>0.0</v>
      </c>
      <c r="F757" s="65" t="s">
        <v>4544</v>
      </c>
      <c r="G757" s="65" t="s">
        <v>5077</v>
      </c>
      <c r="H757" s="84" t="s">
        <v>4730</v>
      </c>
      <c r="I757" s="65">
        <v>1599.0</v>
      </c>
      <c r="J757" s="66">
        <v>0.0</v>
      </c>
      <c r="K757" s="65">
        <f t="shared" si="3"/>
        <v>1599</v>
      </c>
      <c r="L757" s="66">
        <v>0.0</v>
      </c>
      <c r="M757" s="65">
        <f t="shared" si="4"/>
        <v>1599</v>
      </c>
      <c r="N757" s="67">
        <f t="shared" si="404"/>
        <v>0.05003126954</v>
      </c>
      <c r="O757" s="68">
        <v>1519.0</v>
      </c>
      <c r="P757" s="67">
        <f t="shared" si="412"/>
        <v>0.05003126954</v>
      </c>
      <c r="Q757" s="69">
        <v>1519.0</v>
      </c>
      <c r="R757" s="70"/>
      <c r="S757" s="71">
        <f t="shared" si="420"/>
        <v>-0.05003126954</v>
      </c>
      <c r="T757" s="72">
        <f t="shared" si="6"/>
        <v>0</v>
      </c>
      <c r="U757" s="73" t="str">
        <f t="shared" si="430"/>
        <v/>
      </c>
      <c r="V757" s="73">
        <f t="shared" si="340"/>
        <v>1355.084746</v>
      </c>
      <c r="W757" s="73">
        <f t="shared" si="9"/>
        <v>1355.084746</v>
      </c>
      <c r="X757" s="74">
        <f t="shared" si="10"/>
        <v>1</v>
      </c>
      <c r="Y757" s="73">
        <f t="shared" si="333"/>
        <v>0</v>
      </c>
      <c r="Z757" s="73">
        <f t="shared" si="12"/>
        <v>1287.288136</v>
      </c>
      <c r="AA757" s="73">
        <f t="shared" si="13"/>
        <v>1287.288136</v>
      </c>
      <c r="AB757" s="74">
        <f t="shared" si="14"/>
        <v>1</v>
      </c>
      <c r="AC757" s="61" t="str">
        <f t="shared" si="15"/>
        <v>6</v>
      </c>
      <c r="AD757" s="71" t="str">
        <f t="shared" si="16"/>
        <v>#DIV/0!</v>
      </c>
      <c r="AE757" s="61"/>
      <c r="AF757" s="61"/>
      <c r="AG757" s="71">
        <f t="array" ref="AG757">IFERROR(xlookup(G757,'Old Master'!T:T,'Old Master'!V:V),N757)</f>
        <v>0.05003126954</v>
      </c>
      <c r="AH757" s="73">
        <f t="shared" si="229"/>
        <v>1519</v>
      </c>
      <c r="AI757" s="73">
        <f t="shared" si="230"/>
        <v>1287.288136</v>
      </c>
      <c r="AJ757" s="72">
        <f t="shared" si="19"/>
        <v>1</v>
      </c>
      <c r="AK757" s="61"/>
      <c r="AL757" s="71">
        <f t="array" ref="AL757">iferror(if(isblank(xlookup($G757,'Old Master'!$T:$T,'Old Master'!$W:$W)),AG757,xlookup($G757,'Old Master'!$T:$T,'Old Master'!$W:$W)),AG757)</f>
        <v>0.05003126954</v>
      </c>
      <c r="AM757" s="74">
        <f t="shared" si="20"/>
        <v>0.05003126954</v>
      </c>
      <c r="AN757" s="73">
        <f t="shared" si="424"/>
        <v>1519</v>
      </c>
    </row>
    <row r="758">
      <c r="A758" s="65" t="s">
        <v>4534</v>
      </c>
      <c r="B758" s="65" t="str">
        <f t="shared" si="1"/>
        <v>#VALUE!</v>
      </c>
      <c r="C758" s="65" t="str">
        <f t="shared" si="403"/>
        <v>#VALUE!</v>
      </c>
      <c r="D758" s="65">
        <v>0.0</v>
      </c>
      <c r="E758" s="65">
        <v>0.0</v>
      </c>
      <c r="F758" s="65" t="s">
        <v>4536</v>
      </c>
      <c r="G758" s="65" t="s">
        <v>5077</v>
      </c>
      <c r="H758" s="84" t="s">
        <v>4730</v>
      </c>
      <c r="I758" s="65">
        <v>1499.0</v>
      </c>
      <c r="J758" s="66">
        <v>0.0</v>
      </c>
      <c r="K758" s="65">
        <f t="shared" si="3"/>
        <v>1499</v>
      </c>
      <c r="L758" s="66">
        <v>0.0</v>
      </c>
      <c r="M758" s="65">
        <f t="shared" si="4"/>
        <v>1499</v>
      </c>
      <c r="N758" s="67">
        <f t="shared" si="404"/>
        <v>0.05003335557</v>
      </c>
      <c r="O758" s="68">
        <v>1424.0</v>
      </c>
      <c r="P758" s="67">
        <f t="shared" si="412"/>
        <v>0.05003335557</v>
      </c>
      <c r="Q758" s="69">
        <v>1424.0</v>
      </c>
      <c r="R758" s="70"/>
      <c r="S758" s="71">
        <f t="shared" si="420"/>
        <v>-0.05003335557</v>
      </c>
      <c r="T758" s="72">
        <f t="shared" si="6"/>
        <v>0</v>
      </c>
      <c r="U758" s="73" t="str">
        <f t="shared" si="430"/>
        <v/>
      </c>
      <c r="V758" s="73">
        <f t="shared" si="340"/>
        <v>1270.338983</v>
      </c>
      <c r="W758" s="73">
        <f t="shared" si="9"/>
        <v>1270.338983</v>
      </c>
      <c r="X758" s="74">
        <f t="shared" si="10"/>
        <v>1</v>
      </c>
      <c r="Y758" s="73">
        <f t="shared" si="333"/>
        <v>0</v>
      </c>
      <c r="Z758" s="73">
        <f t="shared" si="12"/>
        <v>1206.779661</v>
      </c>
      <c r="AA758" s="73">
        <f t="shared" si="13"/>
        <v>1206.779661</v>
      </c>
      <c r="AB758" s="74">
        <f t="shared" si="14"/>
        <v>1</v>
      </c>
      <c r="AC758" s="61" t="str">
        <f t="shared" si="15"/>
        <v>0</v>
      </c>
      <c r="AD758" s="71" t="str">
        <f t="shared" si="16"/>
        <v>#DIV/0!</v>
      </c>
      <c r="AE758" s="61"/>
      <c r="AF758" s="61"/>
      <c r="AG758" s="71">
        <f t="array" ref="AG758">IFERROR(xlookup(G758,'Old Master'!T:T,'Old Master'!V:V),N758)</f>
        <v>0.05003335557</v>
      </c>
      <c r="AH758" s="73">
        <f t="shared" si="229"/>
        <v>1424</v>
      </c>
      <c r="AI758" s="73">
        <f t="shared" si="230"/>
        <v>1206.779661</v>
      </c>
      <c r="AJ758" s="72">
        <f t="shared" si="19"/>
        <v>1</v>
      </c>
      <c r="AK758" s="61"/>
      <c r="AL758" s="71">
        <f t="array" ref="AL758">iferror(if(isblank(xlookup($G758,'Old Master'!$T:$T,'Old Master'!$W:$W)),AG758,xlookup($G758,'Old Master'!$T:$T,'Old Master'!$W:$W)),AG758)</f>
        <v>0.05003335557</v>
      </c>
      <c r="AM758" s="74">
        <f t="shared" si="20"/>
        <v>0.05003335557</v>
      </c>
      <c r="AN758" s="73">
        <f t="shared" si="424"/>
        <v>1424</v>
      </c>
    </row>
    <row r="759">
      <c r="A759" s="65" t="s">
        <v>4545</v>
      </c>
      <c r="B759" s="65" t="str">
        <f t="shared" si="1"/>
        <v>#VALUE!</v>
      </c>
      <c r="C759" s="65" t="str">
        <f t="shared" si="403"/>
        <v>#VALUE!</v>
      </c>
      <c r="D759" s="65">
        <v>0.0</v>
      </c>
      <c r="E759" s="65">
        <v>0.0</v>
      </c>
      <c r="F759" s="65" t="s">
        <v>4547</v>
      </c>
      <c r="G759" s="65" t="s">
        <v>5077</v>
      </c>
      <c r="H759" s="84" t="s">
        <v>4730</v>
      </c>
      <c r="I759" s="65">
        <v>1599.0</v>
      </c>
      <c r="J759" s="66">
        <v>0.0</v>
      </c>
      <c r="K759" s="65">
        <f t="shared" si="3"/>
        <v>1599</v>
      </c>
      <c r="L759" s="66">
        <v>0.0</v>
      </c>
      <c r="M759" s="65">
        <f t="shared" si="4"/>
        <v>1599</v>
      </c>
      <c r="N759" s="67">
        <f t="shared" si="404"/>
        <v>0.05003126954</v>
      </c>
      <c r="O759" s="68">
        <v>1519.0</v>
      </c>
      <c r="P759" s="67">
        <f t="shared" si="412"/>
        <v>0.05003126954</v>
      </c>
      <c r="Q759" s="69">
        <v>1519.0</v>
      </c>
      <c r="R759" s="70"/>
      <c r="S759" s="71">
        <f t="shared" si="420"/>
        <v>-0.05003126954</v>
      </c>
      <c r="T759" s="72">
        <f t="shared" si="6"/>
        <v>0</v>
      </c>
      <c r="U759" s="73" t="str">
        <f t="shared" si="430"/>
        <v/>
      </c>
      <c r="V759" s="73">
        <f t="shared" si="340"/>
        <v>1355.084746</v>
      </c>
      <c r="W759" s="73">
        <f t="shared" si="9"/>
        <v>1355.084746</v>
      </c>
      <c r="X759" s="74">
        <f t="shared" si="10"/>
        <v>1</v>
      </c>
      <c r="Y759" s="73">
        <f t="shared" si="333"/>
        <v>0</v>
      </c>
      <c r="Z759" s="73">
        <f t="shared" si="12"/>
        <v>1287.288136</v>
      </c>
      <c r="AA759" s="73">
        <f t="shared" si="13"/>
        <v>1287.288136</v>
      </c>
      <c r="AB759" s="74">
        <f t="shared" si="14"/>
        <v>1</v>
      </c>
      <c r="AC759" s="61" t="str">
        <f t="shared" si="15"/>
        <v>6</v>
      </c>
      <c r="AD759" s="71" t="str">
        <f t="shared" si="16"/>
        <v>#DIV/0!</v>
      </c>
      <c r="AE759" s="61"/>
      <c r="AF759" s="61"/>
      <c r="AG759" s="71">
        <f t="array" ref="AG759">IFERROR(xlookup(G759,'Old Master'!T:T,'Old Master'!V:V),N759)</f>
        <v>0.05003126954</v>
      </c>
      <c r="AH759" s="73">
        <f t="shared" si="229"/>
        <v>1519</v>
      </c>
      <c r="AI759" s="73">
        <f t="shared" si="230"/>
        <v>1287.288136</v>
      </c>
      <c r="AJ759" s="72">
        <f t="shared" si="19"/>
        <v>1</v>
      </c>
      <c r="AK759" s="61"/>
      <c r="AL759" s="71">
        <f t="array" ref="AL759">iferror(if(isblank(xlookup($G759,'Old Master'!$T:$T,'Old Master'!$W:$W)),AG759,xlookup($G759,'Old Master'!$T:$T,'Old Master'!$W:$W)),AG759)</f>
        <v>0.05003126954</v>
      </c>
      <c r="AM759" s="74">
        <f t="shared" si="20"/>
        <v>0.05003126954</v>
      </c>
      <c r="AN759" s="73">
        <f t="shared" si="424"/>
        <v>1519</v>
      </c>
    </row>
    <row r="760">
      <c r="A760" s="65" t="s">
        <v>4988</v>
      </c>
      <c r="B760" s="65" t="str">
        <f t="shared" si="1"/>
        <v>#VALUE!</v>
      </c>
      <c r="C760" s="65" t="str">
        <f t="shared" si="403"/>
        <v>#VALUE!</v>
      </c>
      <c r="D760" s="65">
        <v>0.0</v>
      </c>
      <c r="E760" s="65">
        <v>0.0</v>
      </c>
      <c r="F760" s="65" t="s">
        <v>4991</v>
      </c>
      <c r="G760" s="65" t="s">
        <v>5077</v>
      </c>
      <c r="H760" s="84" t="s">
        <v>4730</v>
      </c>
      <c r="I760" s="65">
        <v>1499.0</v>
      </c>
      <c r="J760" s="66">
        <v>0.0</v>
      </c>
      <c r="K760" s="65">
        <f t="shared" si="3"/>
        <v>1499</v>
      </c>
      <c r="L760" s="66">
        <v>0.0</v>
      </c>
      <c r="M760" s="65">
        <f t="shared" si="4"/>
        <v>1499</v>
      </c>
      <c r="N760" s="67">
        <f t="shared" si="404"/>
        <v>0.05003335557</v>
      </c>
      <c r="O760" s="68">
        <v>1424.0</v>
      </c>
      <c r="P760" s="67">
        <f t="shared" si="412"/>
        <v>0.05003335557</v>
      </c>
      <c r="Q760" s="69">
        <v>1424.0</v>
      </c>
      <c r="R760" s="70"/>
      <c r="S760" s="71">
        <f t="shared" si="420"/>
        <v>-0.05003335557</v>
      </c>
      <c r="T760" s="72">
        <f t="shared" si="6"/>
        <v>0</v>
      </c>
      <c r="U760" s="73">
        <f t="shared" ref="U760:U763" si="431">IFERROR(XLOOKUP(A760,COGS!I:I,COGS!J:J), IFERROR(XLOOKUP(C760,COGS!I:I,COGS!J:J),I760*35%))</f>
        <v>524.65</v>
      </c>
      <c r="V760" s="73">
        <f t="shared" si="340"/>
        <v>1270.338983</v>
      </c>
      <c r="W760" s="73">
        <f t="shared" si="9"/>
        <v>745.6889831</v>
      </c>
      <c r="X760" s="74">
        <f t="shared" si="10"/>
        <v>0.587</v>
      </c>
      <c r="Y760" s="73">
        <f t="shared" si="333"/>
        <v>603.3475</v>
      </c>
      <c r="Z760" s="73">
        <f t="shared" si="12"/>
        <v>1206.779661</v>
      </c>
      <c r="AA760" s="73">
        <f t="shared" si="13"/>
        <v>603.432161</v>
      </c>
      <c r="AB760" s="74">
        <f t="shared" si="14"/>
        <v>0.5000350772</v>
      </c>
      <c r="AC760" s="61" t="str">
        <f t="shared" si="15"/>
        <v>0</v>
      </c>
      <c r="AD760" s="71">
        <f t="shared" si="16"/>
        <v>0.15</v>
      </c>
      <c r="AE760" s="61"/>
      <c r="AF760" s="61"/>
      <c r="AG760" s="71">
        <f t="array" ref="AG760">IFERROR(xlookup(G760,'Old Master'!T:T,'Old Master'!V:V),N760)</f>
        <v>0.05003335557</v>
      </c>
      <c r="AH760" s="73">
        <f t="shared" si="229"/>
        <v>1424</v>
      </c>
      <c r="AI760" s="73">
        <f t="shared" si="230"/>
        <v>603.432161</v>
      </c>
      <c r="AJ760" s="72">
        <f t="shared" si="19"/>
        <v>0.5000350772</v>
      </c>
      <c r="AK760" s="61"/>
      <c r="AL760" s="71">
        <f t="array" ref="AL760">iferror(if(isblank(xlookup($G760,'Old Master'!$T:$T,'Old Master'!$W:$W)),AG760,xlookup($G760,'Old Master'!$T:$T,'Old Master'!$W:$W)),AG760)</f>
        <v>0.05003335557</v>
      </c>
      <c r="AM760" s="74">
        <f t="shared" si="20"/>
        <v>0.05003335557</v>
      </c>
      <c r="AN760" s="73">
        <f t="shared" si="424"/>
        <v>1424</v>
      </c>
    </row>
    <row r="761">
      <c r="A761" s="65" t="s">
        <v>4992</v>
      </c>
      <c r="B761" s="65" t="str">
        <f t="shared" si="1"/>
        <v>#VALUE!</v>
      </c>
      <c r="C761" s="65" t="str">
        <f t="shared" si="403"/>
        <v>#VALUE!</v>
      </c>
      <c r="D761" s="65">
        <v>0.0</v>
      </c>
      <c r="E761" s="65">
        <v>0.0</v>
      </c>
      <c r="F761" s="65" t="s">
        <v>4995</v>
      </c>
      <c r="G761" s="65" t="s">
        <v>5077</v>
      </c>
      <c r="H761" s="84" t="s">
        <v>4730</v>
      </c>
      <c r="I761" s="65">
        <v>1599.0</v>
      </c>
      <c r="J761" s="66">
        <v>0.0</v>
      </c>
      <c r="K761" s="65">
        <f t="shared" si="3"/>
        <v>1599</v>
      </c>
      <c r="L761" s="66">
        <v>0.0</v>
      </c>
      <c r="M761" s="65">
        <f t="shared" si="4"/>
        <v>1599</v>
      </c>
      <c r="N761" s="67">
        <f t="shared" si="404"/>
        <v>0.05003126954</v>
      </c>
      <c r="O761" s="68">
        <v>1519.0</v>
      </c>
      <c r="P761" s="67">
        <f t="shared" si="412"/>
        <v>0.05003126954</v>
      </c>
      <c r="Q761" s="69">
        <v>1519.0</v>
      </c>
      <c r="R761" s="70"/>
      <c r="S761" s="71">
        <f t="shared" si="420"/>
        <v>-0.05003126954</v>
      </c>
      <c r="T761" s="72">
        <f t="shared" si="6"/>
        <v>0</v>
      </c>
      <c r="U761" s="73">
        <f t="shared" si="431"/>
        <v>559.65</v>
      </c>
      <c r="V761" s="73">
        <f t="shared" si="340"/>
        <v>1355.084746</v>
      </c>
      <c r="W761" s="73">
        <f t="shared" si="9"/>
        <v>795.4347458</v>
      </c>
      <c r="X761" s="74">
        <f t="shared" si="10"/>
        <v>0.587</v>
      </c>
      <c r="Y761" s="73">
        <f t="shared" si="333"/>
        <v>643.5975</v>
      </c>
      <c r="Z761" s="73">
        <f t="shared" si="12"/>
        <v>1287.288136</v>
      </c>
      <c r="AA761" s="73">
        <f t="shared" si="13"/>
        <v>643.6906356</v>
      </c>
      <c r="AB761" s="74">
        <f t="shared" si="14"/>
        <v>0.5000361751</v>
      </c>
      <c r="AC761" s="61" t="str">
        <f t="shared" si="15"/>
        <v>6</v>
      </c>
      <c r="AD761" s="71">
        <f t="shared" si="16"/>
        <v>0.15</v>
      </c>
      <c r="AE761" s="61"/>
      <c r="AF761" s="61"/>
      <c r="AG761" s="71">
        <f t="array" ref="AG761">IFERROR(xlookup(G761,'Old Master'!T:T,'Old Master'!V:V),N761)</f>
        <v>0.05003126954</v>
      </c>
      <c r="AH761" s="73">
        <f t="shared" si="229"/>
        <v>1519</v>
      </c>
      <c r="AI761" s="73">
        <f t="shared" si="230"/>
        <v>643.6906356</v>
      </c>
      <c r="AJ761" s="72">
        <f t="shared" si="19"/>
        <v>0.5000361751</v>
      </c>
      <c r="AK761" s="61"/>
      <c r="AL761" s="71">
        <f t="array" ref="AL761">iferror(if(isblank(xlookup($G761,'Old Master'!$T:$T,'Old Master'!$W:$W)),AG761,xlookup($G761,'Old Master'!$T:$T,'Old Master'!$W:$W)),AG761)</f>
        <v>0.05003126954</v>
      </c>
      <c r="AM761" s="74">
        <f t="shared" si="20"/>
        <v>0.05003126954</v>
      </c>
      <c r="AN761" s="73">
        <f t="shared" si="424"/>
        <v>1519</v>
      </c>
    </row>
    <row r="762">
      <c r="A762" s="65" t="s">
        <v>4996</v>
      </c>
      <c r="B762" s="65" t="str">
        <f t="shared" si="1"/>
        <v>#VALUE!</v>
      </c>
      <c r="C762" s="65" t="str">
        <f t="shared" si="403"/>
        <v>#VALUE!</v>
      </c>
      <c r="D762" s="65">
        <v>0.0</v>
      </c>
      <c r="E762" s="65">
        <v>0.0</v>
      </c>
      <c r="F762" s="65" t="s">
        <v>4999</v>
      </c>
      <c r="G762" s="65" t="s">
        <v>5077</v>
      </c>
      <c r="H762" s="84" t="s">
        <v>4730</v>
      </c>
      <c r="I762" s="65">
        <v>1499.0</v>
      </c>
      <c r="J762" s="66">
        <v>0.0</v>
      </c>
      <c r="K762" s="65">
        <f t="shared" si="3"/>
        <v>1499</v>
      </c>
      <c r="L762" s="66">
        <v>0.0</v>
      </c>
      <c r="M762" s="65">
        <f t="shared" si="4"/>
        <v>1499</v>
      </c>
      <c r="N762" s="67">
        <f t="shared" si="404"/>
        <v>0.05003335557</v>
      </c>
      <c r="O762" s="68">
        <v>1424.0</v>
      </c>
      <c r="P762" s="67">
        <f t="shared" si="412"/>
        <v>0.05003335557</v>
      </c>
      <c r="Q762" s="69">
        <v>1424.0</v>
      </c>
      <c r="R762" s="70"/>
      <c r="S762" s="71">
        <f t="shared" si="420"/>
        <v>-0.05003335557</v>
      </c>
      <c r="T762" s="72">
        <f t="shared" si="6"/>
        <v>0</v>
      </c>
      <c r="U762" s="73">
        <f t="shared" si="431"/>
        <v>524.65</v>
      </c>
      <c r="V762" s="73">
        <f t="shared" si="340"/>
        <v>1270.338983</v>
      </c>
      <c r="W762" s="73">
        <f t="shared" si="9"/>
        <v>745.6889831</v>
      </c>
      <c r="X762" s="74">
        <f t="shared" si="10"/>
        <v>0.587</v>
      </c>
      <c r="Y762" s="73">
        <f t="shared" si="333"/>
        <v>603.3475</v>
      </c>
      <c r="Z762" s="73">
        <f t="shared" si="12"/>
        <v>1206.779661</v>
      </c>
      <c r="AA762" s="73">
        <f t="shared" si="13"/>
        <v>603.432161</v>
      </c>
      <c r="AB762" s="74">
        <f t="shared" si="14"/>
        <v>0.5000350772</v>
      </c>
      <c r="AC762" s="61" t="str">
        <f t="shared" si="15"/>
        <v>0</v>
      </c>
      <c r="AD762" s="71">
        <f t="shared" si="16"/>
        <v>0.15</v>
      </c>
      <c r="AE762" s="61"/>
      <c r="AF762" s="61"/>
      <c r="AG762" s="71">
        <f t="array" ref="AG762">IFERROR(xlookup(G762,'Old Master'!T:T,'Old Master'!V:V),N762)</f>
        <v>0.05003335557</v>
      </c>
      <c r="AH762" s="73">
        <f t="shared" si="229"/>
        <v>1424</v>
      </c>
      <c r="AI762" s="73">
        <f t="shared" si="230"/>
        <v>603.432161</v>
      </c>
      <c r="AJ762" s="72">
        <f t="shared" si="19"/>
        <v>0.5000350772</v>
      </c>
      <c r="AK762" s="61"/>
      <c r="AL762" s="71">
        <f t="array" ref="AL762">iferror(if(isblank(xlookup($G762,'Old Master'!$T:$T,'Old Master'!$W:$W)),AG762,xlookup($G762,'Old Master'!$T:$T,'Old Master'!$W:$W)),AG762)</f>
        <v>0.05003335557</v>
      </c>
      <c r="AM762" s="74">
        <f t="shared" si="20"/>
        <v>0.05003335557</v>
      </c>
      <c r="AN762" s="73">
        <f t="shared" si="424"/>
        <v>1424</v>
      </c>
    </row>
    <row r="763">
      <c r="A763" s="65" t="s">
        <v>5000</v>
      </c>
      <c r="B763" s="65" t="str">
        <f t="shared" si="1"/>
        <v>#VALUE!</v>
      </c>
      <c r="C763" s="65" t="str">
        <f t="shared" si="403"/>
        <v>#VALUE!</v>
      </c>
      <c r="D763" s="65">
        <v>0.0</v>
      </c>
      <c r="E763" s="65">
        <v>0.0</v>
      </c>
      <c r="F763" s="65" t="s">
        <v>5003</v>
      </c>
      <c r="G763" s="65" t="s">
        <v>5077</v>
      </c>
      <c r="H763" s="84" t="s">
        <v>4730</v>
      </c>
      <c r="I763" s="65">
        <v>1599.0</v>
      </c>
      <c r="J763" s="66">
        <v>0.0</v>
      </c>
      <c r="K763" s="65">
        <f t="shared" si="3"/>
        <v>1599</v>
      </c>
      <c r="L763" s="66">
        <v>0.0</v>
      </c>
      <c r="M763" s="65">
        <f t="shared" si="4"/>
        <v>1599</v>
      </c>
      <c r="N763" s="67">
        <f t="shared" si="404"/>
        <v>0.05003126954</v>
      </c>
      <c r="O763" s="68">
        <v>1519.0</v>
      </c>
      <c r="P763" s="67">
        <f t="shared" si="412"/>
        <v>0.05003126954</v>
      </c>
      <c r="Q763" s="69">
        <v>1519.0</v>
      </c>
      <c r="R763" s="70"/>
      <c r="S763" s="71">
        <f t="shared" si="420"/>
        <v>-0.05003126954</v>
      </c>
      <c r="T763" s="72">
        <f t="shared" si="6"/>
        <v>0</v>
      </c>
      <c r="U763" s="73">
        <f t="shared" si="431"/>
        <v>559.65</v>
      </c>
      <c r="V763" s="73">
        <f t="shared" si="340"/>
        <v>1355.084746</v>
      </c>
      <c r="W763" s="73">
        <f t="shared" si="9"/>
        <v>795.4347458</v>
      </c>
      <c r="X763" s="74">
        <f t="shared" si="10"/>
        <v>0.587</v>
      </c>
      <c r="Y763" s="73">
        <f t="shared" si="333"/>
        <v>643.5975</v>
      </c>
      <c r="Z763" s="73">
        <f t="shared" si="12"/>
        <v>1287.288136</v>
      </c>
      <c r="AA763" s="73">
        <f t="shared" si="13"/>
        <v>643.6906356</v>
      </c>
      <c r="AB763" s="74">
        <f t="shared" si="14"/>
        <v>0.5000361751</v>
      </c>
      <c r="AC763" s="61" t="str">
        <f t="shared" si="15"/>
        <v>6</v>
      </c>
      <c r="AD763" s="71">
        <f t="shared" si="16"/>
        <v>0.15</v>
      </c>
      <c r="AE763" s="61"/>
      <c r="AF763" s="61"/>
      <c r="AG763" s="71">
        <f t="array" ref="AG763">IFERROR(xlookup(G763,'Old Master'!T:T,'Old Master'!V:V),N763)</f>
        <v>0.05003126954</v>
      </c>
      <c r="AH763" s="73">
        <f t="shared" si="229"/>
        <v>1519</v>
      </c>
      <c r="AI763" s="73">
        <f t="shared" si="230"/>
        <v>643.6906356</v>
      </c>
      <c r="AJ763" s="72">
        <f t="shared" si="19"/>
        <v>0.5000361751</v>
      </c>
      <c r="AK763" s="61"/>
      <c r="AL763" s="71">
        <f t="array" ref="AL763">iferror(if(isblank(xlookup($G763,'Old Master'!$T:$T,'Old Master'!$W:$W)),AG763,xlookup($G763,'Old Master'!$T:$T,'Old Master'!$W:$W)),AG763)</f>
        <v>0.05003126954</v>
      </c>
      <c r="AM763" s="74">
        <f t="shared" si="20"/>
        <v>0.05003126954</v>
      </c>
      <c r="AN763" s="73">
        <f t="shared" si="424"/>
        <v>1519</v>
      </c>
    </row>
    <row r="764">
      <c r="A764" s="65" t="s">
        <v>4418</v>
      </c>
      <c r="B764" s="65" t="str">
        <f t="shared" si="1"/>
        <v>#VALUE!</v>
      </c>
      <c r="C764" s="65" t="str">
        <f t="shared" si="403"/>
        <v>#VALUE!</v>
      </c>
      <c r="D764" s="65" t="s">
        <v>4420</v>
      </c>
      <c r="E764" s="65">
        <v>0.0</v>
      </c>
      <c r="F764" s="65" t="s">
        <v>4421</v>
      </c>
      <c r="G764" s="65" t="s">
        <v>5077</v>
      </c>
      <c r="H764" s="65" t="s">
        <v>4730</v>
      </c>
      <c r="I764" s="65">
        <v>999.0</v>
      </c>
      <c r="J764" s="66">
        <v>0.0</v>
      </c>
      <c r="K764" s="65">
        <f t="shared" si="3"/>
        <v>999</v>
      </c>
      <c r="L764" s="66">
        <v>0.0</v>
      </c>
      <c r="M764" s="65">
        <f t="shared" si="4"/>
        <v>999</v>
      </c>
      <c r="N764" s="67">
        <f t="shared" si="404"/>
        <v>0.05005005005</v>
      </c>
      <c r="O764" s="68">
        <v>949.0</v>
      </c>
      <c r="P764" s="67">
        <f t="shared" si="412"/>
        <v>0.05005005005</v>
      </c>
      <c r="Q764" s="69">
        <v>949.0</v>
      </c>
      <c r="R764" s="70"/>
      <c r="S764" s="71">
        <f t="shared" si="420"/>
        <v>-0.05005005005</v>
      </c>
      <c r="T764" s="72">
        <f t="shared" si="6"/>
        <v>0</v>
      </c>
      <c r="U764" s="73" t="str">
        <f t="shared" ref="U764:U768" si="432">IFERROR(XLOOKUP(A764,COGS!I:I,COGS!J:J), IFERROR(XLOOKUP(C764,COGS!I:I,COGS!J:J),""))</f>
        <v/>
      </c>
      <c r="V764" s="73">
        <f t="shared" si="340"/>
        <v>846.6101695</v>
      </c>
      <c r="W764" s="73">
        <f t="shared" si="9"/>
        <v>846.6101695</v>
      </c>
      <c r="X764" s="74">
        <f t="shared" si="10"/>
        <v>1</v>
      </c>
      <c r="Y764" s="73">
        <f t="shared" si="333"/>
        <v>0</v>
      </c>
      <c r="Z764" s="73">
        <f t="shared" si="12"/>
        <v>804.2372881</v>
      </c>
      <c r="AA764" s="73">
        <f t="shared" si="13"/>
        <v>804.2372881</v>
      </c>
      <c r="AB764" s="74">
        <f t="shared" si="14"/>
        <v>1</v>
      </c>
      <c r="AC764" s="61" t="str">
        <f t="shared" si="15"/>
        <v>6</v>
      </c>
      <c r="AD764" s="71" t="str">
        <f t="shared" si="16"/>
        <v>#DIV/0!</v>
      </c>
      <c r="AE764" s="61"/>
      <c r="AF764" s="61"/>
      <c r="AG764" s="71">
        <f t="array" ref="AG764">IFERROR(xlookup(G764,'Old Master'!T:T,'Old Master'!V:V),N764)</f>
        <v>0.05005005005</v>
      </c>
      <c r="AH764" s="73">
        <f t="shared" si="229"/>
        <v>949</v>
      </c>
      <c r="AI764" s="73">
        <f t="shared" si="230"/>
        <v>804.2372881</v>
      </c>
      <c r="AJ764" s="72">
        <f t="shared" si="19"/>
        <v>1</v>
      </c>
      <c r="AK764" s="61"/>
      <c r="AL764" s="71">
        <f t="array" ref="AL764">iferror(if(isblank(xlookup($G764,'Old Master'!$T:$T,'Old Master'!$W:$W)),AG764,xlookup($G764,'Old Master'!$T:$T,'Old Master'!$W:$W)),AG764)</f>
        <v>0.05005005005</v>
      </c>
      <c r="AM764" s="74">
        <f t="shared" si="20"/>
        <v>0.05005005005</v>
      </c>
      <c r="AN764" s="73">
        <f t="shared" si="424"/>
        <v>949</v>
      </c>
    </row>
    <row r="765">
      <c r="A765" s="65" t="s">
        <v>3771</v>
      </c>
      <c r="B765" s="65" t="str">
        <f t="shared" si="1"/>
        <v>#VALUE!</v>
      </c>
      <c r="C765" s="65" t="str">
        <f t="shared" si="403"/>
        <v>#VALUE!</v>
      </c>
      <c r="D765" s="65" t="s">
        <v>3773</v>
      </c>
      <c r="E765" s="65" t="s">
        <v>3774</v>
      </c>
      <c r="F765" s="65" t="s">
        <v>3775</v>
      </c>
      <c r="G765" s="65" t="s">
        <v>5158</v>
      </c>
      <c r="H765" s="65" t="s">
        <v>5158</v>
      </c>
      <c r="I765" s="65">
        <v>26249.0</v>
      </c>
      <c r="J765" s="66">
        <v>0.25</v>
      </c>
      <c r="K765" s="65">
        <f t="shared" si="3"/>
        <v>19687</v>
      </c>
      <c r="L765" s="66">
        <v>0.24999047582765055</v>
      </c>
      <c r="M765" s="65">
        <f t="shared" si="4"/>
        <v>19687</v>
      </c>
      <c r="N765" s="67">
        <f t="shared" si="404"/>
        <v>0.1499866662</v>
      </c>
      <c r="O765" s="68">
        <v>22312.0</v>
      </c>
      <c r="P765" s="67">
        <f t="shared" si="412"/>
        <v>0.1499866662</v>
      </c>
      <c r="Q765" s="69">
        <v>22312.0</v>
      </c>
      <c r="R765" s="70"/>
      <c r="S765" s="71">
        <f>O765/M765-1</f>
        <v>0.1333367197</v>
      </c>
      <c r="T765" s="72">
        <f t="shared" si="6"/>
        <v>0</v>
      </c>
      <c r="U765" s="73" t="str">
        <f t="shared" si="432"/>
        <v/>
      </c>
      <c r="V765" s="73">
        <f t="shared" si="340"/>
        <v>16683.89831</v>
      </c>
      <c r="W765" s="73">
        <f t="shared" si="9"/>
        <v>16683.89831</v>
      </c>
      <c r="X765" s="74">
        <f t="shared" si="10"/>
        <v>1</v>
      </c>
      <c r="Y765" s="73">
        <f t="shared" si="333"/>
        <v>0</v>
      </c>
      <c r="Z765" s="73">
        <f t="shared" si="12"/>
        <v>18908.47458</v>
      </c>
      <c r="AA765" s="73">
        <f t="shared" si="13"/>
        <v>18908.47458</v>
      </c>
      <c r="AB765" s="74">
        <f t="shared" si="14"/>
        <v>1</v>
      </c>
      <c r="AC765" s="61" t="str">
        <f t="shared" si="15"/>
        <v>Y</v>
      </c>
      <c r="AD765" s="71" t="str">
        <f t="shared" si="16"/>
        <v>#DIV/0!</v>
      </c>
      <c r="AE765" s="61"/>
      <c r="AF765" s="61"/>
      <c r="AG765" s="71">
        <f t="array" ref="AG765">IFERROR(xlookup(G765,'Old Master'!T:T,'Old Master'!V:V),N765)</f>
        <v>0.1499866662</v>
      </c>
      <c r="AH765" s="73">
        <f t="shared" si="229"/>
        <v>22312</v>
      </c>
      <c r="AI765" s="73">
        <f t="shared" si="230"/>
        <v>18908.47458</v>
      </c>
      <c r="AJ765" s="72">
        <f t="shared" si="19"/>
        <v>1</v>
      </c>
      <c r="AK765" s="61"/>
      <c r="AL765" s="71">
        <f t="array" ref="AL765">iferror(if(isblank(xlookup($G765,'Old Master'!$T:$T,'Old Master'!$W:$W)),AG765,xlookup($G765,'Old Master'!$T:$T,'Old Master'!$W:$W)),AG765)</f>
        <v>0.1499866662</v>
      </c>
      <c r="AM765" s="74">
        <f t="shared" si="20"/>
        <v>0.1499866662</v>
      </c>
      <c r="AN765" s="73">
        <f t="shared" si="424"/>
        <v>22312</v>
      </c>
    </row>
    <row r="766">
      <c r="A766" s="65" t="s">
        <v>3149</v>
      </c>
      <c r="B766" s="65" t="str">
        <f t="shared" si="1"/>
        <v>#VALUE!</v>
      </c>
      <c r="C766" s="65" t="str">
        <f t="shared" si="403"/>
        <v>#VALUE!</v>
      </c>
      <c r="D766" s="65" t="s">
        <v>3151</v>
      </c>
      <c r="E766" s="65">
        <v>0.0</v>
      </c>
      <c r="F766" s="65" t="s">
        <v>3152</v>
      </c>
      <c r="G766" s="65" t="s">
        <v>5087</v>
      </c>
      <c r="H766" s="65" t="s">
        <v>4730</v>
      </c>
      <c r="I766" s="65">
        <v>2689.0</v>
      </c>
      <c r="J766" s="66">
        <v>0.25660096690219414</v>
      </c>
      <c r="K766" s="65">
        <f t="shared" si="3"/>
        <v>1999</v>
      </c>
      <c r="L766" s="66">
        <v>0.15</v>
      </c>
      <c r="M766" s="65">
        <f t="shared" si="4"/>
        <v>2286</v>
      </c>
      <c r="N766" s="67">
        <f t="shared" si="404"/>
        <v>0.1565637784</v>
      </c>
      <c r="O766" s="68">
        <v>2268.0</v>
      </c>
      <c r="P766" s="67">
        <f t="shared" si="412"/>
        <v>0.1565637784</v>
      </c>
      <c r="Q766" s="69">
        <v>2268.0</v>
      </c>
      <c r="R766" s="70"/>
      <c r="S766" s="71">
        <f t="shared" ref="S766:S828" si="433">O766/K766-1</f>
        <v>0.1345672836</v>
      </c>
      <c r="T766" s="72">
        <f t="shared" si="6"/>
        <v>0</v>
      </c>
      <c r="U766" s="73" t="str">
        <f t="shared" si="432"/>
        <v/>
      </c>
      <c r="V766" s="73">
        <f t="shared" si="340"/>
        <v>1937.288136</v>
      </c>
      <c r="W766" s="73">
        <f t="shared" si="9"/>
        <v>1937.288136</v>
      </c>
      <c r="X766" s="74">
        <f t="shared" si="10"/>
        <v>1</v>
      </c>
      <c r="Y766" s="73">
        <f t="shared" si="333"/>
        <v>0</v>
      </c>
      <c r="Z766" s="73">
        <f t="shared" si="12"/>
        <v>1922.033898</v>
      </c>
      <c r="AA766" s="73">
        <f t="shared" si="13"/>
        <v>1922.033898</v>
      </c>
      <c r="AB766" s="74">
        <f t="shared" si="14"/>
        <v>1</v>
      </c>
      <c r="AC766" s="61" t="str">
        <f t="shared" si="15"/>
        <v>0</v>
      </c>
      <c r="AD766" s="71" t="str">
        <f t="shared" si="16"/>
        <v>#DIV/0!</v>
      </c>
      <c r="AE766" s="61"/>
      <c r="AF766" s="61"/>
      <c r="AG766" s="71">
        <f t="array" ref="AG766">IFERROR(xlookup(G766,'Old Master'!T:T,'Old Master'!V:V),N766)</f>
        <v>0.1565637784</v>
      </c>
      <c r="AH766" s="73">
        <f t="shared" si="229"/>
        <v>2268</v>
      </c>
      <c r="AI766" s="73">
        <f t="shared" si="230"/>
        <v>1922.033898</v>
      </c>
      <c r="AJ766" s="72">
        <f t="shared" si="19"/>
        <v>1</v>
      </c>
      <c r="AK766" s="61"/>
      <c r="AL766" s="71">
        <f t="array" ref="AL766">iferror(if(isblank(xlookup($G766,'Old Master'!$T:$T,'Old Master'!$W:$W)),AG766,xlookup($G766,'Old Master'!$T:$T,'Old Master'!$W:$W)),AG766)</f>
        <v>0.1565637784</v>
      </c>
      <c r="AM766" s="74">
        <f t="shared" si="20"/>
        <v>0.1450353291</v>
      </c>
      <c r="AN766" s="73">
        <f t="shared" ref="AN766:AN768" si="434">mround($I766*(1-AL766),100)-1</f>
        <v>2299</v>
      </c>
    </row>
    <row r="767">
      <c r="A767" s="65" t="s">
        <v>3144</v>
      </c>
      <c r="B767" s="65" t="str">
        <f t="shared" si="1"/>
        <v>#VALUE!</v>
      </c>
      <c r="C767" s="65" t="str">
        <f t="shared" si="403"/>
        <v>#VALUE!</v>
      </c>
      <c r="D767" s="65" t="s">
        <v>3146</v>
      </c>
      <c r="E767" s="65">
        <v>0.0</v>
      </c>
      <c r="F767" s="65" t="s">
        <v>3147</v>
      </c>
      <c r="G767" s="65" t="s">
        <v>5087</v>
      </c>
      <c r="H767" s="65" t="s">
        <v>4730</v>
      </c>
      <c r="I767" s="65">
        <v>2689.0</v>
      </c>
      <c r="J767" s="66">
        <v>0.25660096690219414</v>
      </c>
      <c r="K767" s="65">
        <f t="shared" si="3"/>
        <v>1999</v>
      </c>
      <c r="L767" s="66">
        <v>0.15</v>
      </c>
      <c r="M767" s="65">
        <f t="shared" si="4"/>
        <v>2286</v>
      </c>
      <c r="N767" s="67">
        <f t="shared" si="404"/>
        <v>0.1565637784</v>
      </c>
      <c r="O767" s="68">
        <v>2268.0</v>
      </c>
      <c r="P767" s="67">
        <f t="shared" si="412"/>
        <v>0.1565637784</v>
      </c>
      <c r="Q767" s="69">
        <v>2268.0</v>
      </c>
      <c r="R767" s="70"/>
      <c r="S767" s="71">
        <f t="shared" si="433"/>
        <v>0.1345672836</v>
      </c>
      <c r="T767" s="72">
        <f t="shared" si="6"/>
        <v>0</v>
      </c>
      <c r="U767" s="73" t="str">
        <f t="shared" si="432"/>
        <v/>
      </c>
      <c r="V767" s="73">
        <f t="shared" si="340"/>
        <v>1937.288136</v>
      </c>
      <c r="W767" s="73">
        <f t="shared" si="9"/>
        <v>1937.288136</v>
      </c>
      <c r="X767" s="74">
        <f t="shared" si="10"/>
        <v>1</v>
      </c>
      <c r="Y767" s="73">
        <f t="shared" si="333"/>
        <v>0</v>
      </c>
      <c r="Z767" s="73">
        <f t="shared" si="12"/>
        <v>1922.033898</v>
      </c>
      <c r="AA767" s="73">
        <f t="shared" si="13"/>
        <v>1922.033898</v>
      </c>
      <c r="AB767" s="74">
        <f t="shared" si="14"/>
        <v>1</v>
      </c>
      <c r="AC767" s="61" t="str">
        <f t="shared" si="15"/>
        <v>0</v>
      </c>
      <c r="AD767" s="71" t="str">
        <f t="shared" si="16"/>
        <v>#DIV/0!</v>
      </c>
      <c r="AE767" s="61"/>
      <c r="AF767" s="61"/>
      <c r="AG767" s="71">
        <f t="array" ref="AG767">IFERROR(xlookup(G767,'Old Master'!T:T,'Old Master'!V:V),N767)</f>
        <v>0.1565637784</v>
      </c>
      <c r="AH767" s="73">
        <f t="shared" si="229"/>
        <v>2268</v>
      </c>
      <c r="AI767" s="73">
        <f t="shared" si="230"/>
        <v>1922.033898</v>
      </c>
      <c r="AJ767" s="72">
        <f t="shared" si="19"/>
        <v>1</v>
      </c>
      <c r="AK767" s="61"/>
      <c r="AL767" s="71">
        <f t="array" ref="AL767">iferror(if(isblank(xlookup($G767,'Old Master'!$T:$T,'Old Master'!$W:$W)),AG767,xlookup($G767,'Old Master'!$T:$T,'Old Master'!$W:$W)),AG767)</f>
        <v>0.1565637784</v>
      </c>
      <c r="AM767" s="74">
        <f t="shared" si="20"/>
        <v>0.1450353291</v>
      </c>
      <c r="AN767" s="73">
        <f t="shared" si="434"/>
        <v>2299</v>
      </c>
    </row>
    <row r="768">
      <c r="A768" s="65" t="s">
        <v>3083</v>
      </c>
      <c r="B768" s="65" t="str">
        <f t="shared" si="1"/>
        <v>#VALUE!</v>
      </c>
      <c r="C768" s="65" t="str">
        <f t="shared" si="403"/>
        <v>#VALUE!</v>
      </c>
      <c r="D768" s="65" t="s">
        <v>3085</v>
      </c>
      <c r="E768" s="65" t="s">
        <v>3086</v>
      </c>
      <c r="F768" s="65" t="s">
        <v>3087</v>
      </c>
      <c r="G768" s="65" t="s">
        <v>5087</v>
      </c>
      <c r="H768" s="65" t="s">
        <v>4730</v>
      </c>
      <c r="I768" s="65">
        <v>1879.0</v>
      </c>
      <c r="J768" s="66">
        <v>0.2554550292708888</v>
      </c>
      <c r="K768" s="65">
        <f t="shared" si="3"/>
        <v>1399</v>
      </c>
      <c r="L768" s="66">
        <v>0.15</v>
      </c>
      <c r="M768" s="65">
        <f t="shared" si="4"/>
        <v>1597</v>
      </c>
      <c r="N768" s="67">
        <f t="shared" si="404"/>
        <v>0.1554018095</v>
      </c>
      <c r="O768" s="68">
        <v>1587.0</v>
      </c>
      <c r="P768" s="67">
        <f t="shared" si="412"/>
        <v>0.1554018095</v>
      </c>
      <c r="Q768" s="69">
        <v>1587.0</v>
      </c>
      <c r="R768" s="70"/>
      <c r="S768" s="71">
        <f t="shared" si="433"/>
        <v>0.1343817012</v>
      </c>
      <c r="T768" s="72">
        <f t="shared" si="6"/>
        <v>0</v>
      </c>
      <c r="U768" s="73" t="str">
        <f t="shared" si="432"/>
        <v/>
      </c>
      <c r="V768" s="73">
        <f t="shared" si="340"/>
        <v>1353.389831</v>
      </c>
      <c r="W768" s="73">
        <f t="shared" si="9"/>
        <v>1353.389831</v>
      </c>
      <c r="X768" s="74">
        <f t="shared" si="10"/>
        <v>1</v>
      </c>
      <c r="Y768" s="73">
        <f t="shared" si="333"/>
        <v>0</v>
      </c>
      <c r="Z768" s="73">
        <f t="shared" si="12"/>
        <v>1344.915254</v>
      </c>
      <c r="AA768" s="73">
        <f t="shared" si="13"/>
        <v>1344.915254</v>
      </c>
      <c r="AB768" s="74">
        <f t="shared" si="14"/>
        <v>1</v>
      </c>
      <c r="AC768" s="61" t="str">
        <f t="shared" si="15"/>
        <v>0</v>
      </c>
      <c r="AD768" s="71" t="str">
        <f t="shared" si="16"/>
        <v>#DIV/0!</v>
      </c>
      <c r="AE768" s="61"/>
      <c r="AF768" s="61"/>
      <c r="AG768" s="71">
        <f t="array" ref="AG768">IFERROR(xlookup(G768,'Old Master'!T:T,'Old Master'!V:V),N768)</f>
        <v>0.1554018095</v>
      </c>
      <c r="AH768" s="73">
        <f t="shared" si="229"/>
        <v>1587</v>
      </c>
      <c r="AI768" s="73">
        <f t="shared" si="230"/>
        <v>1344.915254</v>
      </c>
      <c r="AJ768" s="72">
        <f t="shared" si="19"/>
        <v>1</v>
      </c>
      <c r="AK768" s="61"/>
      <c r="AL768" s="71">
        <f t="array" ref="AL768">iferror(if(isblank(xlookup($G768,'Old Master'!$T:$T,'Old Master'!$W:$W)),AG768,xlookup($G768,'Old Master'!$T:$T,'Old Master'!$W:$W)),AG768)</f>
        <v>0.1554018095</v>
      </c>
      <c r="AM768" s="74">
        <f t="shared" si="20"/>
        <v>0.1490154337</v>
      </c>
      <c r="AN768" s="73">
        <f t="shared" si="434"/>
        <v>1599</v>
      </c>
    </row>
    <row r="769">
      <c r="A769" s="65" t="s">
        <v>3101</v>
      </c>
      <c r="B769" s="65" t="str">
        <f t="shared" si="1"/>
        <v>#VALUE!</v>
      </c>
      <c r="C769" s="65" t="str">
        <f t="shared" si="403"/>
        <v>#VALUE!</v>
      </c>
      <c r="D769" s="65" t="s">
        <v>3103</v>
      </c>
      <c r="E769" s="65">
        <v>0.0</v>
      </c>
      <c r="F769" s="65" t="s">
        <v>3104</v>
      </c>
      <c r="G769" s="65" t="s">
        <v>5087</v>
      </c>
      <c r="H769" s="65" t="s">
        <v>4730</v>
      </c>
      <c r="I769" s="65">
        <v>1989.0</v>
      </c>
      <c r="J769" s="66">
        <v>0.0</v>
      </c>
      <c r="K769" s="65">
        <f t="shared" si="3"/>
        <v>1989</v>
      </c>
      <c r="L769" s="66">
        <v>0.0</v>
      </c>
      <c r="M769" s="65">
        <f t="shared" si="4"/>
        <v>1989</v>
      </c>
      <c r="N769" s="67">
        <f t="shared" si="404"/>
        <v>0</v>
      </c>
      <c r="O769" s="78">
        <v>1989.0</v>
      </c>
      <c r="P769" s="67">
        <f t="shared" si="412"/>
        <v>0</v>
      </c>
      <c r="Q769" s="79">
        <v>1989.0</v>
      </c>
      <c r="R769" s="70"/>
      <c r="S769" s="71">
        <f t="shared" si="433"/>
        <v>0</v>
      </c>
      <c r="T769" s="72">
        <f t="shared" si="6"/>
        <v>0</v>
      </c>
      <c r="U769" s="73">
        <f t="shared" ref="U769:U771" si="435">IFERROR(XLOOKUP(A769,COGS!I:I,COGS!J:J), IFERROR(XLOOKUP(C769,COGS!I:I,COGS!J:J),I769*35%))</f>
        <v>696.15</v>
      </c>
      <c r="V769" s="73">
        <f t="shared" si="340"/>
        <v>1685.59322</v>
      </c>
      <c r="W769" s="73">
        <f t="shared" si="9"/>
        <v>989.4432203</v>
      </c>
      <c r="X769" s="74">
        <f t="shared" si="10"/>
        <v>0.587</v>
      </c>
      <c r="Y769" s="73">
        <f t="shared" si="333"/>
        <v>800.5725</v>
      </c>
      <c r="Z769" s="73">
        <f t="shared" si="12"/>
        <v>1685.59322</v>
      </c>
      <c r="AA769" s="73">
        <f t="shared" si="13"/>
        <v>885.0207203</v>
      </c>
      <c r="AB769" s="74">
        <f t="shared" si="14"/>
        <v>0.52505</v>
      </c>
      <c r="AC769" s="61" t="str">
        <f t="shared" si="15"/>
        <v>0</v>
      </c>
      <c r="AD769" s="71">
        <f t="shared" si="16"/>
        <v>0.15</v>
      </c>
      <c r="AE769" s="61"/>
      <c r="AF769" s="61"/>
      <c r="AG769" s="71">
        <f t="array" ref="AG769">IFERROR(xlookup(G769,'Old Master'!T:T,'Old Master'!V:V),N769)</f>
        <v>0</v>
      </c>
      <c r="AH769" s="73">
        <f t="shared" si="229"/>
        <v>1989</v>
      </c>
      <c r="AI769" s="73">
        <f t="shared" si="230"/>
        <v>885.0207203</v>
      </c>
      <c r="AJ769" s="72">
        <f t="shared" si="19"/>
        <v>0.52505</v>
      </c>
      <c r="AK769" s="61"/>
      <c r="AL769" s="71">
        <f t="array" ref="AL769">iferror(if(isblank(xlookup($G769,'Old Master'!$T:$T,'Old Master'!$W:$W)),AG769,xlookup($G769,'Old Master'!$T:$T,'Old Master'!$W:$W)),AG769)</f>
        <v>0</v>
      </c>
      <c r="AM769" s="74">
        <f t="shared" si="20"/>
        <v>0</v>
      </c>
      <c r="AN769" s="73">
        <f t="shared" ref="AN769:AN771" si="436">O769</f>
        <v>1989</v>
      </c>
    </row>
    <row r="770">
      <c r="A770" s="65" t="s">
        <v>3111</v>
      </c>
      <c r="B770" s="65" t="str">
        <f t="shared" si="1"/>
        <v>#VALUE!</v>
      </c>
      <c r="C770" s="65" t="str">
        <f t="shared" si="403"/>
        <v>#VALUE!</v>
      </c>
      <c r="D770" s="65" t="s">
        <v>3113</v>
      </c>
      <c r="E770" s="65">
        <v>0.0</v>
      </c>
      <c r="F770" s="65" t="s">
        <v>3114</v>
      </c>
      <c r="G770" s="65" t="s">
        <v>5087</v>
      </c>
      <c r="H770" s="65" t="s">
        <v>4730</v>
      </c>
      <c r="I770" s="65">
        <v>1989.0</v>
      </c>
      <c r="J770" s="66">
        <v>0.0</v>
      </c>
      <c r="K770" s="65">
        <f t="shared" si="3"/>
        <v>1989</v>
      </c>
      <c r="L770" s="66">
        <v>0.0</v>
      </c>
      <c r="M770" s="65">
        <f t="shared" si="4"/>
        <v>1989</v>
      </c>
      <c r="N770" s="67">
        <f t="shared" si="404"/>
        <v>0</v>
      </c>
      <c r="O770" s="78">
        <v>1989.0</v>
      </c>
      <c r="P770" s="67">
        <f t="shared" si="412"/>
        <v>0</v>
      </c>
      <c r="Q770" s="79">
        <v>1989.0</v>
      </c>
      <c r="R770" s="70"/>
      <c r="S770" s="71">
        <f t="shared" si="433"/>
        <v>0</v>
      </c>
      <c r="T770" s="72">
        <f t="shared" si="6"/>
        <v>0</v>
      </c>
      <c r="U770" s="73">
        <f t="shared" si="435"/>
        <v>696.15</v>
      </c>
      <c r="V770" s="73">
        <f t="shared" si="340"/>
        <v>1685.59322</v>
      </c>
      <c r="W770" s="73">
        <f t="shared" si="9"/>
        <v>989.4432203</v>
      </c>
      <c r="X770" s="74">
        <f t="shared" si="10"/>
        <v>0.587</v>
      </c>
      <c r="Y770" s="73">
        <f t="shared" si="333"/>
        <v>800.5725</v>
      </c>
      <c r="Z770" s="73">
        <f t="shared" si="12"/>
        <v>1685.59322</v>
      </c>
      <c r="AA770" s="73">
        <f t="shared" si="13"/>
        <v>885.0207203</v>
      </c>
      <c r="AB770" s="74">
        <f t="shared" si="14"/>
        <v>0.52505</v>
      </c>
      <c r="AC770" s="61" t="str">
        <f t="shared" si="15"/>
        <v>0</v>
      </c>
      <c r="AD770" s="71">
        <f t="shared" si="16"/>
        <v>0.15</v>
      </c>
      <c r="AE770" s="61"/>
      <c r="AF770" s="61"/>
      <c r="AG770" s="71">
        <f t="array" ref="AG770">IFERROR(xlookup(G770,'Old Master'!T:T,'Old Master'!V:V),N770)</f>
        <v>0</v>
      </c>
      <c r="AH770" s="73">
        <f t="shared" si="229"/>
        <v>1989</v>
      </c>
      <c r="AI770" s="73">
        <f t="shared" si="230"/>
        <v>885.0207203</v>
      </c>
      <c r="AJ770" s="72">
        <f t="shared" si="19"/>
        <v>0.52505</v>
      </c>
      <c r="AK770" s="61"/>
      <c r="AL770" s="71">
        <f t="array" ref="AL770">iferror(if(isblank(xlookup($G770,'Old Master'!$T:$T,'Old Master'!$W:$W)),AG770,xlookup($G770,'Old Master'!$T:$T,'Old Master'!$W:$W)),AG770)</f>
        <v>0</v>
      </c>
      <c r="AM770" s="74">
        <f t="shared" si="20"/>
        <v>0</v>
      </c>
      <c r="AN770" s="73">
        <f t="shared" si="436"/>
        <v>1989</v>
      </c>
    </row>
    <row r="771">
      <c r="A771" s="65" t="s">
        <v>3096</v>
      </c>
      <c r="B771" s="65" t="str">
        <f t="shared" si="1"/>
        <v>#VALUE!</v>
      </c>
      <c r="C771" s="65" t="str">
        <f t="shared" si="403"/>
        <v>#VALUE!</v>
      </c>
      <c r="D771" s="65" t="s">
        <v>3098</v>
      </c>
      <c r="E771" s="65">
        <v>0.0</v>
      </c>
      <c r="F771" s="65" t="s">
        <v>3099</v>
      </c>
      <c r="G771" s="65" t="s">
        <v>5087</v>
      </c>
      <c r="H771" s="65" t="s">
        <v>4730</v>
      </c>
      <c r="I771" s="65">
        <v>1989.0</v>
      </c>
      <c r="J771" s="66">
        <v>0.0</v>
      </c>
      <c r="K771" s="65">
        <f t="shared" si="3"/>
        <v>1989</v>
      </c>
      <c r="L771" s="66">
        <v>0.0</v>
      </c>
      <c r="M771" s="65">
        <f t="shared" si="4"/>
        <v>1989</v>
      </c>
      <c r="N771" s="67">
        <f t="shared" si="404"/>
        <v>0</v>
      </c>
      <c r="O771" s="78">
        <v>1989.0</v>
      </c>
      <c r="P771" s="67">
        <f t="shared" si="412"/>
        <v>0</v>
      </c>
      <c r="Q771" s="79">
        <v>1989.0</v>
      </c>
      <c r="R771" s="70"/>
      <c r="S771" s="71">
        <f t="shared" si="433"/>
        <v>0</v>
      </c>
      <c r="T771" s="72">
        <f t="shared" si="6"/>
        <v>0</v>
      </c>
      <c r="U771" s="73">
        <f t="shared" si="435"/>
        <v>696.15</v>
      </c>
      <c r="V771" s="73">
        <f t="shared" si="340"/>
        <v>1685.59322</v>
      </c>
      <c r="W771" s="73">
        <f t="shared" si="9"/>
        <v>989.4432203</v>
      </c>
      <c r="X771" s="74">
        <f t="shared" si="10"/>
        <v>0.587</v>
      </c>
      <c r="Y771" s="73">
        <f t="shared" si="333"/>
        <v>800.5725</v>
      </c>
      <c r="Z771" s="73">
        <f t="shared" si="12"/>
        <v>1685.59322</v>
      </c>
      <c r="AA771" s="73">
        <f t="shared" si="13"/>
        <v>885.0207203</v>
      </c>
      <c r="AB771" s="74">
        <f t="shared" si="14"/>
        <v>0.52505</v>
      </c>
      <c r="AC771" s="61" t="str">
        <f t="shared" si="15"/>
        <v>0</v>
      </c>
      <c r="AD771" s="71">
        <f t="shared" si="16"/>
        <v>0.15</v>
      </c>
      <c r="AE771" s="61"/>
      <c r="AF771" s="61"/>
      <c r="AG771" s="71">
        <f t="array" ref="AG771">IFERROR(xlookup(G771,'Old Master'!T:T,'Old Master'!V:V),N771)</f>
        <v>0</v>
      </c>
      <c r="AH771" s="73">
        <f t="shared" si="229"/>
        <v>1989</v>
      </c>
      <c r="AI771" s="73">
        <f t="shared" si="230"/>
        <v>885.0207203</v>
      </c>
      <c r="AJ771" s="72">
        <f t="shared" si="19"/>
        <v>0.52505</v>
      </c>
      <c r="AK771" s="61"/>
      <c r="AL771" s="71">
        <f t="array" ref="AL771">iferror(if(isblank(xlookup($G771,'Old Master'!$T:$T,'Old Master'!$W:$W)),AG771,xlookup($G771,'Old Master'!$T:$T,'Old Master'!$W:$W)),AG771)</f>
        <v>0</v>
      </c>
      <c r="AM771" s="74">
        <f t="shared" si="20"/>
        <v>0</v>
      </c>
      <c r="AN771" s="73">
        <f t="shared" si="436"/>
        <v>1989</v>
      </c>
    </row>
    <row r="772">
      <c r="A772" s="65" t="s">
        <v>1291</v>
      </c>
      <c r="B772" s="65" t="str">
        <f t="shared" si="1"/>
        <v>#VALUE!</v>
      </c>
      <c r="C772" s="65" t="str">
        <f t="shared" si="403"/>
        <v>#VALUE!</v>
      </c>
      <c r="D772" s="65" t="s">
        <v>1293</v>
      </c>
      <c r="E772" s="65" t="s">
        <v>1294</v>
      </c>
      <c r="F772" s="65" t="s">
        <v>1295</v>
      </c>
      <c r="G772" s="65" t="s">
        <v>5116</v>
      </c>
      <c r="H772" s="65" t="s">
        <v>4730</v>
      </c>
      <c r="I772" s="65">
        <v>2449.0</v>
      </c>
      <c r="J772" s="66">
        <v>0.2817476521028991</v>
      </c>
      <c r="K772" s="65">
        <f t="shared" si="3"/>
        <v>1759</v>
      </c>
      <c r="L772" s="66">
        <v>0.15</v>
      </c>
      <c r="M772" s="65">
        <f t="shared" si="4"/>
        <v>2082</v>
      </c>
      <c r="N772" s="67">
        <f t="shared" si="404"/>
        <v>0.1429154757</v>
      </c>
      <c r="O772" s="78">
        <v>2099.0</v>
      </c>
      <c r="P772" s="67">
        <f t="shared" si="412"/>
        <v>0.1429154757</v>
      </c>
      <c r="Q772" s="79">
        <v>2099.0</v>
      </c>
      <c r="R772" s="70"/>
      <c r="S772" s="71">
        <f t="shared" si="433"/>
        <v>0.193291643</v>
      </c>
      <c r="T772" s="72">
        <f t="shared" si="6"/>
        <v>0</v>
      </c>
      <c r="U772" s="73" t="str">
        <f t="shared" ref="U772:U821" si="437">IFERROR(XLOOKUP(A772,COGS!I:I,COGS!J:J), IFERROR(XLOOKUP(C772,COGS!I:I,COGS!J:J),""))</f>
        <v/>
      </c>
      <c r="V772" s="73">
        <f t="shared" si="340"/>
        <v>1764.40678</v>
      </c>
      <c r="W772" s="73">
        <f t="shared" si="9"/>
        <v>1764.40678</v>
      </c>
      <c r="X772" s="74">
        <f t="shared" si="10"/>
        <v>1</v>
      </c>
      <c r="Y772" s="73">
        <f t="shared" si="333"/>
        <v>0</v>
      </c>
      <c r="Z772" s="73">
        <f t="shared" si="12"/>
        <v>1778.813559</v>
      </c>
      <c r="AA772" s="73">
        <f t="shared" si="13"/>
        <v>1778.813559</v>
      </c>
      <c r="AB772" s="74">
        <f t="shared" si="14"/>
        <v>1</v>
      </c>
      <c r="AC772" s="61" t="str">
        <f t="shared" si="15"/>
        <v>8</v>
      </c>
      <c r="AD772" s="71" t="str">
        <f t="shared" si="16"/>
        <v>#DIV/0!</v>
      </c>
      <c r="AE772" s="61"/>
      <c r="AF772" s="61"/>
      <c r="AG772" s="71">
        <f t="array" ref="AG772">IFERROR(xlookup(G772,'Old Master'!T:T,'Old Master'!V:V),N772)</f>
        <v>0.1429154757</v>
      </c>
      <c r="AH772" s="73">
        <f t="shared" si="229"/>
        <v>2099</v>
      </c>
      <c r="AI772" s="73">
        <f t="shared" si="230"/>
        <v>1778.813559</v>
      </c>
      <c r="AJ772" s="72">
        <f t="shared" si="19"/>
        <v>1</v>
      </c>
      <c r="AK772" s="61"/>
      <c r="AL772" s="71">
        <f t="array" ref="AL772">iferror(if(isblank(xlookup($G772,'Old Master'!$T:$T,'Old Master'!$W:$W)),AG772,xlookup($G772,'Old Master'!$T:$T,'Old Master'!$W:$W)),AG772)</f>
        <v>0.1429154757</v>
      </c>
      <c r="AM772" s="74">
        <f t="shared" si="20"/>
        <v>0.1429154757</v>
      </c>
      <c r="AN772" s="73">
        <f>mround($I772*(1-AL772),100)-1</f>
        <v>2099</v>
      </c>
    </row>
    <row r="773">
      <c r="A773" s="65" t="s">
        <v>2911</v>
      </c>
      <c r="B773" s="65" t="str">
        <f t="shared" si="1"/>
        <v>#VALUE!</v>
      </c>
      <c r="C773" s="65" t="str">
        <f t="shared" si="403"/>
        <v>#VALUE!</v>
      </c>
      <c r="D773" s="65" t="s">
        <v>2913</v>
      </c>
      <c r="E773" s="65" t="s">
        <v>2914</v>
      </c>
      <c r="F773" s="65" t="s">
        <v>2915</v>
      </c>
      <c r="G773" s="65" t="s">
        <v>5116</v>
      </c>
      <c r="H773" s="65" t="s">
        <v>4730</v>
      </c>
      <c r="I773" s="65">
        <v>2699.0</v>
      </c>
      <c r="J773" s="66">
        <v>0.25935531678399404</v>
      </c>
      <c r="K773" s="65">
        <f t="shared" si="3"/>
        <v>1999</v>
      </c>
      <c r="L773" s="66">
        <v>0.15</v>
      </c>
      <c r="M773" s="65">
        <f t="shared" si="4"/>
        <v>2294</v>
      </c>
      <c r="N773" s="67">
        <f t="shared" si="404"/>
        <v>0.1111522786</v>
      </c>
      <c r="O773" s="78">
        <v>2399.0</v>
      </c>
      <c r="P773" s="67">
        <f t="shared" si="412"/>
        <v>0.1111522786</v>
      </c>
      <c r="Q773" s="79">
        <v>2399.0</v>
      </c>
      <c r="R773" s="70"/>
      <c r="S773" s="71">
        <f t="shared" si="433"/>
        <v>0.20010005</v>
      </c>
      <c r="T773" s="72">
        <f t="shared" si="6"/>
        <v>0</v>
      </c>
      <c r="U773" s="73" t="str">
        <f t="shared" si="437"/>
        <v/>
      </c>
      <c r="V773" s="73">
        <f t="shared" si="340"/>
        <v>1944.067797</v>
      </c>
      <c r="W773" s="73">
        <f t="shared" si="9"/>
        <v>1944.067797</v>
      </c>
      <c r="X773" s="74">
        <f t="shared" si="10"/>
        <v>1</v>
      </c>
      <c r="Y773" s="73">
        <f t="shared" si="333"/>
        <v>0</v>
      </c>
      <c r="Z773" s="73">
        <f t="shared" si="12"/>
        <v>2033.050847</v>
      </c>
      <c r="AA773" s="73">
        <f t="shared" si="13"/>
        <v>2033.050847</v>
      </c>
      <c r="AB773" s="74">
        <f t="shared" si="14"/>
        <v>1</v>
      </c>
      <c r="AC773" s="61" t="str">
        <f t="shared" si="15"/>
        <v>0</v>
      </c>
      <c r="AD773" s="71" t="str">
        <f t="shared" si="16"/>
        <v>#DIV/0!</v>
      </c>
      <c r="AE773" s="61"/>
      <c r="AF773" s="61"/>
      <c r="AG773" s="71">
        <f t="array" ref="AG773">IFERROR(xlookup(G773,'Old Master'!T:T,'Old Master'!V:V),N773)</f>
        <v>0.1111522786</v>
      </c>
      <c r="AH773" s="73">
        <f t="shared" si="229"/>
        <v>2399</v>
      </c>
      <c r="AI773" s="73">
        <f t="shared" si="230"/>
        <v>2033.050847</v>
      </c>
      <c r="AJ773" s="72">
        <f t="shared" si="19"/>
        <v>1</v>
      </c>
      <c r="AK773" s="61"/>
      <c r="AL773" s="71">
        <f t="array" ref="AL773">iferror(if(isblank(xlookup($G773,'Old Master'!$T:$T,'Old Master'!$W:$W)),AG773,xlookup($G773,'Old Master'!$T:$T,'Old Master'!$W:$W)),AG773)</f>
        <v>0.1111522786</v>
      </c>
      <c r="AM773" s="74">
        <f t="shared" si="20"/>
        <v>0.1111522786</v>
      </c>
      <c r="AN773" s="73">
        <f t="shared" ref="AN773:AN788" si="438">O773</f>
        <v>2399</v>
      </c>
    </row>
    <row r="774">
      <c r="A774" s="65" t="s">
        <v>2905</v>
      </c>
      <c r="B774" s="65" t="str">
        <f t="shared" si="1"/>
        <v>#VALUE!</v>
      </c>
      <c r="C774" s="65" t="str">
        <f t="shared" si="403"/>
        <v>#VALUE!</v>
      </c>
      <c r="D774" s="65" t="s">
        <v>2907</v>
      </c>
      <c r="E774" s="65" t="s">
        <v>2908</v>
      </c>
      <c r="F774" s="65" t="s">
        <v>2909</v>
      </c>
      <c r="G774" s="65" t="s">
        <v>5116</v>
      </c>
      <c r="H774" s="65" t="s">
        <v>4730</v>
      </c>
      <c r="I774" s="65">
        <v>2699.0</v>
      </c>
      <c r="J774" s="66">
        <v>0.25935531678399404</v>
      </c>
      <c r="K774" s="65">
        <f t="shared" si="3"/>
        <v>1999</v>
      </c>
      <c r="L774" s="66">
        <v>0.15</v>
      </c>
      <c r="M774" s="65">
        <f t="shared" si="4"/>
        <v>2294</v>
      </c>
      <c r="N774" s="67">
        <f t="shared" si="404"/>
        <v>0.1111522786</v>
      </c>
      <c r="O774" s="78">
        <v>2399.0</v>
      </c>
      <c r="P774" s="67">
        <f t="shared" si="412"/>
        <v>0.1111522786</v>
      </c>
      <c r="Q774" s="79">
        <v>2399.0</v>
      </c>
      <c r="R774" s="70"/>
      <c r="S774" s="71">
        <f t="shared" si="433"/>
        <v>0.20010005</v>
      </c>
      <c r="T774" s="72">
        <f t="shared" si="6"/>
        <v>0</v>
      </c>
      <c r="U774" s="73" t="str">
        <f t="shared" si="437"/>
        <v/>
      </c>
      <c r="V774" s="73">
        <f t="shared" si="340"/>
        <v>1944.067797</v>
      </c>
      <c r="W774" s="73">
        <f t="shared" si="9"/>
        <v>1944.067797</v>
      </c>
      <c r="X774" s="74">
        <f t="shared" si="10"/>
        <v>1</v>
      </c>
      <c r="Y774" s="73">
        <f t="shared" si="333"/>
        <v>0</v>
      </c>
      <c r="Z774" s="73">
        <f t="shared" si="12"/>
        <v>2033.050847</v>
      </c>
      <c r="AA774" s="73">
        <f t="shared" si="13"/>
        <v>2033.050847</v>
      </c>
      <c r="AB774" s="74">
        <f t="shared" si="14"/>
        <v>1</v>
      </c>
      <c r="AC774" s="61" t="str">
        <f t="shared" si="15"/>
        <v>0</v>
      </c>
      <c r="AD774" s="71" t="str">
        <f t="shared" si="16"/>
        <v>#DIV/0!</v>
      </c>
      <c r="AE774" s="61"/>
      <c r="AF774" s="61"/>
      <c r="AG774" s="71">
        <f t="array" ref="AG774">IFERROR(xlookup(G774,'Old Master'!T:T,'Old Master'!V:V),N774)</f>
        <v>0.1111522786</v>
      </c>
      <c r="AH774" s="73">
        <f t="shared" si="229"/>
        <v>2399</v>
      </c>
      <c r="AI774" s="73">
        <f t="shared" si="230"/>
        <v>2033.050847</v>
      </c>
      <c r="AJ774" s="72">
        <f t="shared" si="19"/>
        <v>1</v>
      </c>
      <c r="AK774" s="61"/>
      <c r="AL774" s="71">
        <f t="array" ref="AL774">iferror(if(isblank(xlookup($G774,'Old Master'!$T:$T,'Old Master'!$W:$W)),AG774,xlookup($G774,'Old Master'!$T:$T,'Old Master'!$W:$W)),AG774)</f>
        <v>0.1111522786</v>
      </c>
      <c r="AM774" s="74">
        <f t="shared" si="20"/>
        <v>0.1111522786</v>
      </c>
      <c r="AN774" s="73">
        <f t="shared" si="438"/>
        <v>2399</v>
      </c>
    </row>
    <row r="775">
      <c r="A775" s="65" t="s">
        <v>1255</v>
      </c>
      <c r="B775" s="65" t="str">
        <f t="shared" si="1"/>
        <v>#VALUE!</v>
      </c>
      <c r="C775" s="65" t="str">
        <f t="shared" si="403"/>
        <v>#VALUE!</v>
      </c>
      <c r="D775" s="65" t="s">
        <v>1257</v>
      </c>
      <c r="E775" s="65" t="s">
        <v>1258</v>
      </c>
      <c r="F775" s="65" t="s">
        <v>1259</v>
      </c>
      <c r="G775" s="65" t="s">
        <v>5089</v>
      </c>
      <c r="H775" s="65" t="s">
        <v>4730</v>
      </c>
      <c r="I775" s="65">
        <v>1999.0</v>
      </c>
      <c r="J775" s="66">
        <v>0.2851425712856428</v>
      </c>
      <c r="K775" s="65">
        <f t="shared" si="3"/>
        <v>1429</v>
      </c>
      <c r="L775" s="66">
        <v>0.1</v>
      </c>
      <c r="M775" s="65">
        <f t="shared" si="4"/>
        <v>1799</v>
      </c>
      <c r="N775" s="67">
        <f t="shared" si="404"/>
        <v>0.1850925463</v>
      </c>
      <c r="O775" s="68">
        <v>1629.0</v>
      </c>
      <c r="P775" s="67">
        <f t="shared" si="412"/>
        <v>0.1850925463</v>
      </c>
      <c r="Q775" s="69">
        <v>1629.0</v>
      </c>
      <c r="R775" s="70"/>
      <c r="S775" s="71">
        <f t="shared" si="433"/>
        <v>0.1399580126</v>
      </c>
      <c r="T775" s="72">
        <f t="shared" si="6"/>
        <v>0</v>
      </c>
      <c r="U775" s="73" t="str">
        <f t="shared" si="437"/>
        <v/>
      </c>
      <c r="V775" s="73">
        <f t="shared" si="340"/>
        <v>1524.576271</v>
      </c>
      <c r="W775" s="73">
        <f t="shared" si="9"/>
        <v>1524.576271</v>
      </c>
      <c r="X775" s="74">
        <f t="shared" si="10"/>
        <v>1</v>
      </c>
      <c r="Y775" s="73">
        <f t="shared" si="333"/>
        <v>0</v>
      </c>
      <c r="Z775" s="73">
        <f t="shared" si="12"/>
        <v>1380.508475</v>
      </c>
      <c r="AA775" s="73">
        <f t="shared" si="13"/>
        <v>1380.508475</v>
      </c>
      <c r="AB775" s="74">
        <f t="shared" si="14"/>
        <v>1</v>
      </c>
      <c r="AC775" s="61" t="str">
        <f t="shared" si="15"/>
        <v>6</v>
      </c>
      <c r="AD775" s="71" t="str">
        <f t="shared" si="16"/>
        <v>#DIV/0!</v>
      </c>
      <c r="AE775" s="61"/>
      <c r="AF775" s="61"/>
      <c r="AG775" s="71">
        <f t="array" ref="AG775">IFERROR(xlookup(G775,'Old Master'!T:T,'Old Master'!V:V),N775)</f>
        <v>0.1850925463</v>
      </c>
      <c r="AH775" s="73">
        <f t="shared" si="229"/>
        <v>1629</v>
      </c>
      <c r="AI775" s="73">
        <f t="shared" si="230"/>
        <v>1380.508475</v>
      </c>
      <c r="AJ775" s="72">
        <f t="shared" si="19"/>
        <v>1</v>
      </c>
      <c r="AK775" s="61"/>
      <c r="AL775" s="71">
        <f t="array" ref="AL775">iferror(if(isblank(xlookup($G775,'Old Master'!$T:$T,'Old Master'!$W:$W)),AG775,xlookup($G775,'Old Master'!$T:$T,'Old Master'!$W:$W)),AG775)</f>
        <v>0.1850925463</v>
      </c>
      <c r="AM775" s="74">
        <f t="shared" si="20"/>
        <v>0.1850925463</v>
      </c>
      <c r="AN775" s="73">
        <f t="shared" si="438"/>
        <v>1629</v>
      </c>
    </row>
    <row r="776">
      <c r="A776" s="65" t="s">
        <v>1261</v>
      </c>
      <c r="B776" s="65" t="str">
        <f t="shared" si="1"/>
        <v>#VALUE!</v>
      </c>
      <c r="C776" s="65" t="str">
        <f t="shared" si="403"/>
        <v>#VALUE!</v>
      </c>
      <c r="D776" s="65" t="s">
        <v>1263</v>
      </c>
      <c r="E776" s="65" t="s">
        <v>1264</v>
      </c>
      <c r="F776" s="65" t="s">
        <v>1265</v>
      </c>
      <c r="G776" s="65" t="s">
        <v>5089</v>
      </c>
      <c r="H776" s="65" t="s">
        <v>4730</v>
      </c>
      <c r="I776" s="65">
        <v>1999.0</v>
      </c>
      <c r="J776" s="66">
        <v>0.2851425712856428</v>
      </c>
      <c r="K776" s="65">
        <f t="shared" si="3"/>
        <v>1429</v>
      </c>
      <c r="L776" s="66">
        <v>0.1</v>
      </c>
      <c r="M776" s="65">
        <f t="shared" si="4"/>
        <v>1799</v>
      </c>
      <c r="N776" s="67">
        <f t="shared" si="404"/>
        <v>0.1850925463</v>
      </c>
      <c r="O776" s="68">
        <v>1629.0</v>
      </c>
      <c r="P776" s="67">
        <f t="shared" si="412"/>
        <v>0.1850925463</v>
      </c>
      <c r="Q776" s="69">
        <v>1629.0</v>
      </c>
      <c r="R776" s="70"/>
      <c r="S776" s="71">
        <f t="shared" si="433"/>
        <v>0.1399580126</v>
      </c>
      <c r="T776" s="72">
        <f t="shared" si="6"/>
        <v>0</v>
      </c>
      <c r="U776" s="73" t="str">
        <f t="shared" si="437"/>
        <v/>
      </c>
      <c r="V776" s="73">
        <f t="shared" si="340"/>
        <v>1524.576271</v>
      </c>
      <c r="W776" s="73">
        <f t="shared" si="9"/>
        <v>1524.576271</v>
      </c>
      <c r="X776" s="74">
        <f t="shared" si="10"/>
        <v>1</v>
      </c>
      <c r="Y776" s="73">
        <f t="shared" si="333"/>
        <v>0</v>
      </c>
      <c r="Z776" s="73">
        <f t="shared" si="12"/>
        <v>1380.508475</v>
      </c>
      <c r="AA776" s="73">
        <f t="shared" si="13"/>
        <v>1380.508475</v>
      </c>
      <c r="AB776" s="74">
        <f t="shared" si="14"/>
        <v>1</v>
      </c>
      <c r="AC776" s="61" t="str">
        <f t="shared" si="15"/>
        <v>6</v>
      </c>
      <c r="AD776" s="71" t="str">
        <f t="shared" si="16"/>
        <v>#DIV/0!</v>
      </c>
      <c r="AE776" s="61"/>
      <c r="AF776" s="61"/>
      <c r="AG776" s="71">
        <f t="array" ref="AG776">IFERROR(xlookup(G776,'Old Master'!T:T,'Old Master'!V:V),N776)</f>
        <v>0.1850925463</v>
      </c>
      <c r="AH776" s="73">
        <f t="shared" si="229"/>
        <v>1629</v>
      </c>
      <c r="AI776" s="73">
        <f t="shared" si="230"/>
        <v>1380.508475</v>
      </c>
      <c r="AJ776" s="72">
        <f t="shared" si="19"/>
        <v>1</v>
      </c>
      <c r="AK776" s="61"/>
      <c r="AL776" s="71">
        <f t="array" ref="AL776">iferror(if(isblank(xlookup($G776,'Old Master'!$T:$T,'Old Master'!$W:$W)),AG776,xlookup($G776,'Old Master'!$T:$T,'Old Master'!$W:$W)),AG776)</f>
        <v>0.1850925463</v>
      </c>
      <c r="AM776" s="74">
        <f t="shared" si="20"/>
        <v>0.1850925463</v>
      </c>
      <c r="AN776" s="73">
        <f t="shared" si="438"/>
        <v>1629</v>
      </c>
    </row>
    <row r="777">
      <c r="A777" s="65" t="s">
        <v>1267</v>
      </c>
      <c r="B777" s="65" t="str">
        <f t="shared" si="1"/>
        <v>#VALUE!</v>
      </c>
      <c r="C777" s="65" t="str">
        <f t="shared" si="403"/>
        <v>#VALUE!</v>
      </c>
      <c r="D777" s="65" t="s">
        <v>1269</v>
      </c>
      <c r="E777" s="65" t="s">
        <v>1270</v>
      </c>
      <c r="F777" s="65" t="s">
        <v>1271</v>
      </c>
      <c r="G777" s="65" t="s">
        <v>5089</v>
      </c>
      <c r="H777" s="65" t="s">
        <v>4730</v>
      </c>
      <c r="I777" s="65">
        <v>1999.0</v>
      </c>
      <c r="J777" s="66">
        <v>0.2851425712856428</v>
      </c>
      <c r="K777" s="65">
        <f t="shared" si="3"/>
        <v>1429</v>
      </c>
      <c r="L777" s="66">
        <v>0.1</v>
      </c>
      <c r="M777" s="65">
        <f t="shared" si="4"/>
        <v>1799</v>
      </c>
      <c r="N777" s="67">
        <f t="shared" si="404"/>
        <v>0.1850925463</v>
      </c>
      <c r="O777" s="68">
        <v>1629.0</v>
      </c>
      <c r="P777" s="67">
        <f t="shared" si="412"/>
        <v>0.1850925463</v>
      </c>
      <c r="Q777" s="69">
        <v>1629.0</v>
      </c>
      <c r="R777" s="70"/>
      <c r="S777" s="71">
        <f t="shared" si="433"/>
        <v>0.1399580126</v>
      </c>
      <c r="T777" s="72">
        <f t="shared" si="6"/>
        <v>0</v>
      </c>
      <c r="U777" s="73" t="str">
        <f t="shared" si="437"/>
        <v/>
      </c>
      <c r="V777" s="73">
        <f t="shared" si="340"/>
        <v>1524.576271</v>
      </c>
      <c r="W777" s="73">
        <f t="shared" si="9"/>
        <v>1524.576271</v>
      </c>
      <c r="X777" s="74">
        <f t="shared" si="10"/>
        <v>1</v>
      </c>
      <c r="Y777" s="73">
        <f t="shared" si="333"/>
        <v>0</v>
      </c>
      <c r="Z777" s="73">
        <f t="shared" si="12"/>
        <v>1380.508475</v>
      </c>
      <c r="AA777" s="73">
        <f t="shared" si="13"/>
        <v>1380.508475</v>
      </c>
      <c r="AB777" s="74">
        <f t="shared" si="14"/>
        <v>1</v>
      </c>
      <c r="AC777" s="61" t="str">
        <f t="shared" si="15"/>
        <v>6</v>
      </c>
      <c r="AD777" s="71" t="str">
        <f t="shared" si="16"/>
        <v>#DIV/0!</v>
      </c>
      <c r="AE777" s="61"/>
      <c r="AF777" s="61"/>
      <c r="AG777" s="71">
        <f t="array" ref="AG777">IFERROR(xlookup(G777,'Old Master'!T:T,'Old Master'!V:V),N777)</f>
        <v>0.1850925463</v>
      </c>
      <c r="AH777" s="73">
        <f t="shared" si="229"/>
        <v>1629</v>
      </c>
      <c r="AI777" s="73">
        <f t="shared" si="230"/>
        <v>1380.508475</v>
      </c>
      <c r="AJ777" s="72">
        <f t="shared" si="19"/>
        <v>1</v>
      </c>
      <c r="AK777" s="61"/>
      <c r="AL777" s="71">
        <f t="array" ref="AL777">iferror(if(isblank(xlookup($G777,'Old Master'!$T:$T,'Old Master'!$W:$W)),AG777,xlookup($G777,'Old Master'!$T:$T,'Old Master'!$W:$W)),AG777)</f>
        <v>0.1850925463</v>
      </c>
      <c r="AM777" s="74">
        <f t="shared" si="20"/>
        <v>0.1850925463</v>
      </c>
      <c r="AN777" s="73">
        <f t="shared" si="438"/>
        <v>1629</v>
      </c>
    </row>
    <row r="778">
      <c r="A778" s="65" t="s">
        <v>1201</v>
      </c>
      <c r="B778" s="65" t="str">
        <f t="shared" si="1"/>
        <v>#VALUE!</v>
      </c>
      <c r="C778" s="65" t="str">
        <f t="shared" si="403"/>
        <v>#VALUE!</v>
      </c>
      <c r="D778" s="65" t="s">
        <v>1203</v>
      </c>
      <c r="E778" s="65" t="s">
        <v>1204</v>
      </c>
      <c r="F778" s="65" t="s">
        <v>1205</v>
      </c>
      <c r="G778" s="65" t="s">
        <v>5089</v>
      </c>
      <c r="H778" s="65" t="s">
        <v>4730</v>
      </c>
      <c r="I778" s="65">
        <v>1999.0</v>
      </c>
      <c r="J778" s="66">
        <v>0.2851425712856428</v>
      </c>
      <c r="K778" s="65">
        <f t="shared" si="3"/>
        <v>1429</v>
      </c>
      <c r="L778" s="66">
        <v>0.1</v>
      </c>
      <c r="M778" s="65">
        <f t="shared" si="4"/>
        <v>1799</v>
      </c>
      <c r="N778" s="67">
        <f t="shared" si="404"/>
        <v>0.1850925463</v>
      </c>
      <c r="O778" s="68">
        <v>1629.0</v>
      </c>
      <c r="P778" s="67">
        <f t="shared" si="412"/>
        <v>0.1850925463</v>
      </c>
      <c r="Q778" s="69">
        <v>1629.0</v>
      </c>
      <c r="R778" s="70"/>
      <c r="S778" s="71">
        <f t="shared" si="433"/>
        <v>0.1399580126</v>
      </c>
      <c r="T778" s="72">
        <f t="shared" si="6"/>
        <v>0</v>
      </c>
      <c r="U778" s="73" t="str">
        <f t="shared" si="437"/>
        <v/>
      </c>
      <c r="V778" s="73">
        <f t="shared" si="340"/>
        <v>1524.576271</v>
      </c>
      <c r="W778" s="73">
        <f t="shared" si="9"/>
        <v>1524.576271</v>
      </c>
      <c r="X778" s="74">
        <f t="shared" si="10"/>
        <v>1</v>
      </c>
      <c r="Y778" s="73">
        <f t="shared" si="333"/>
        <v>0</v>
      </c>
      <c r="Z778" s="73">
        <f t="shared" si="12"/>
        <v>1380.508475</v>
      </c>
      <c r="AA778" s="73">
        <f t="shared" si="13"/>
        <v>1380.508475</v>
      </c>
      <c r="AB778" s="74">
        <f t="shared" si="14"/>
        <v>1</v>
      </c>
      <c r="AC778" s="61" t="str">
        <f t="shared" si="15"/>
        <v>6</v>
      </c>
      <c r="AD778" s="71" t="str">
        <f t="shared" si="16"/>
        <v>#DIV/0!</v>
      </c>
      <c r="AE778" s="61"/>
      <c r="AF778" s="61"/>
      <c r="AG778" s="71">
        <f t="array" ref="AG778">IFERROR(xlookup(G778,'Old Master'!T:T,'Old Master'!V:V),N778)</f>
        <v>0.1850925463</v>
      </c>
      <c r="AH778" s="73">
        <f t="shared" si="229"/>
        <v>1629</v>
      </c>
      <c r="AI778" s="73">
        <f t="shared" si="230"/>
        <v>1380.508475</v>
      </c>
      <c r="AJ778" s="72">
        <f t="shared" si="19"/>
        <v>1</v>
      </c>
      <c r="AK778" s="61"/>
      <c r="AL778" s="71">
        <f t="array" ref="AL778">iferror(if(isblank(xlookup($G778,'Old Master'!$T:$T,'Old Master'!$W:$W)),AG778,xlookup($G778,'Old Master'!$T:$T,'Old Master'!$W:$W)),AG778)</f>
        <v>0.1850925463</v>
      </c>
      <c r="AM778" s="74">
        <f t="shared" si="20"/>
        <v>0.1850925463</v>
      </c>
      <c r="AN778" s="73">
        <f t="shared" si="438"/>
        <v>1629</v>
      </c>
    </row>
    <row r="779">
      <c r="A779" s="65" t="s">
        <v>1207</v>
      </c>
      <c r="B779" s="65" t="str">
        <f t="shared" si="1"/>
        <v>#VALUE!</v>
      </c>
      <c r="C779" s="65" t="str">
        <f t="shared" si="403"/>
        <v>#VALUE!</v>
      </c>
      <c r="D779" s="65" t="s">
        <v>1209</v>
      </c>
      <c r="E779" s="65" t="s">
        <v>1210</v>
      </c>
      <c r="F779" s="65" t="s">
        <v>1211</v>
      </c>
      <c r="G779" s="65" t="s">
        <v>5089</v>
      </c>
      <c r="H779" s="65" t="s">
        <v>4730</v>
      </c>
      <c r="I779" s="65">
        <v>1999.0</v>
      </c>
      <c r="J779" s="66">
        <v>0.2851425712856428</v>
      </c>
      <c r="K779" s="65">
        <f t="shared" si="3"/>
        <v>1429</v>
      </c>
      <c r="L779" s="66">
        <v>0.1</v>
      </c>
      <c r="M779" s="65">
        <f t="shared" si="4"/>
        <v>1799</v>
      </c>
      <c r="N779" s="67">
        <f t="shared" si="404"/>
        <v>0.1850925463</v>
      </c>
      <c r="O779" s="68">
        <v>1629.0</v>
      </c>
      <c r="P779" s="67">
        <f t="shared" si="412"/>
        <v>0.1850925463</v>
      </c>
      <c r="Q779" s="69">
        <v>1629.0</v>
      </c>
      <c r="R779" s="70"/>
      <c r="S779" s="71">
        <f t="shared" si="433"/>
        <v>0.1399580126</v>
      </c>
      <c r="T779" s="72">
        <f t="shared" si="6"/>
        <v>0</v>
      </c>
      <c r="U779" s="73" t="str">
        <f t="shared" si="437"/>
        <v/>
      </c>
      <c r="V779" s="73">
        <f t="shared" si="340"/>
        <v>1524.576271</v>
      </c>
      <c r="W779" s="73">
        <f t="shared" si="9"/>
        <v>1524.576271</v>
      </c>
      <c r="X779" s="74">
        <f t="shared" si="10"/>
        <v>1</v>
      </c>
      <c r="Y779" s="73">
        <f t="shared" si="333"/>
        <v>0</v>
      </c>
      <c r="Z779" s="73">
        <f t="shared" si="12"/>
        <v>1380.508475</v>
      </c>
      <c r="AA779" s="73">
        <f t="shared" si="13"/>
        <v>1380.508475</v>
      </c>
      <c r="AB779" s="74">
        <f t="shared" si="14"/>
        <v>1</v>
      </c>
      <c r="AC779" s="61" t="str">
        <f t="shared" si="15"/>
        <v>6</v>
      </c>
      <c r="AD779" s="71" t="str">
        <f t="shared" si="16"/>
        <v>#DIV/0!</v>
      </c>
      <c r="AE779" s="61"/>
      <c r="AF779" s="61"/>
      <c r="AG779" s="71">
        <f t="array" ref="AG779">IFERROR(xlookup(G779,'Old Master'!T:T,'Old Master'!V:V),N779)</f>
        <v>0.1850925463</v>
      </c>
      <c r="AH779" s="73">
        <f t="shared" si="229"/>
        <v>1629</v>
      </c>
      <c r="AI779" s="73">
        <f t="shared" si="230"/>
        <v>1380.508475</v>
      </c>
      <c r="AJ779" s="72">
        <f t="shared" si="19"/>
        <v>1</v>
      </c>
      <c r="AK779" s="61"/>
      <c r="AL779" s="71">
        <f t="array" ref="AL779">iferror(if(isblank(xlookup($G779,'Old Master'!$T:$T,'Old Master'!$W:$W)),AG779,xlookup($G779,'Old Master'!$T:$T,'Old Master'!$W:$W)),AG779)</f>
        <v>0.1850925463</v>
      </c>
      <c r="AM779" s="74">
        <f t="shared" si="20"/>
        <v>0.1850925463</v>
      </c>
      <c r="AN779" s="73">
        <f t="shared" si="438"/>
        <v>1629</v>
      </c>
    </row>
    <row r="780">
      <c r="A780" s="65" t="s">
        <v>1213</v>
      </c>
      <c r="B780" s="65" t="str">
        <f t="shared" si="1"/>
        <v>#VALUE!</v>
      </c>
      <c r="C780" s="65" t="str">
        <f t="shared" si="403"/>
        <v>#VALUE!</v>
      </c>
      <c r="D780" s="65" t="s">
        <v>1215</v>
      </c>
      <c r="E780" s="65" t="s">
        <v>1216</v>
      </c>
      <c r="F780" s="65" t="s">
        <v>1217</v>
      </c>
      <c r="G780" s="65" t="s">
        <v>5089</v>
      </c>
      <c r="H780" s="65" t="s">
        <v>4730</v>
      </c>
      <c r="I780" s="65">
        <v>1999.0</v>
      </c>
      <c r="J780" s="66">
        <v>0.2851425712856428</v>
      </c>
      <c r="K780" s="65">
        <f t="shared" si="3"/>
        <v>1429</v>
      </c>
      <c r="L780" s="66">
        <v>0.1</v>
      </c>
      <c r="M780" s="65">
        <f t="shared" si="4"/>
        <v>1799</v>
      </c>
      <c r="N780" s="67">
        <f t="shared" si="404"/>
        <v>0.1850925463</v>
      </c>
      <c r="O780" s="68">
        <v>1629.0</v>
      </c>
      <c r="P780" s="67">
        <f t="shared" si="412"/>
        <v>0.1850925463</v>
      </c>
      <c r="Q780" s="69">
        <v>1629.0</v>
      </c>
      <c r="R780" s="70"/>
      <c r="S780" s="71">
        <f t="shared" si="433"/>
        <v>0.1399580126</v>
      </c>
      <c r="T780" s="72">
        <f t="shared" si="6"/>
        <v>0</v>
      </c>
      <c r="U780" s="73" t="str">
        <f t="shared" si="437"/>
        <v/>
      </c>
      <c r="V780" s="73">
        <f t="shared" si="340"/>
        <v>1524.576271</v>
      </c>
      <c r="W780" s="73">
        <f t="shared" si="9"/>
        <v>1524.576271</v>
      </c>
      <c r="X780" s="74">
        <f t="shared" si="10"/>
        <v>1</v>
      </c>
      <c r="Y780" s="73">
        <f t="shared" si="333"/>
        <v>0</v>
      </c>
      <c r="Z780" s="73">
        <f t="shared" si="12"/>
        <v>1380.508475</v>
      </c>
      <c r="AA780" s="73">
        <f t="shared" si="13"/>
        <v>1380.508475</v>
      </c>
      <c r="AB780" s="74">
        <f t="shared" si="14"/>
        <v>1</v>
      </c>
      <c r="AC780" s="61" t="str">
        <f t="shared" si="15"/>
        <v>6</v>
      </c>
      <c r="AD780" s="71" t="str">
        <f t="shared" si="16"/>
        <v>#DIV/0!</v>
      </c>
      <c r="AE780" s="61"/>
      <c r="AF780" s="61"/>
      <c r="AG780" s="71">
        <f t="array" ref="AG780">IFERROR(xlookup(G780,'Old Master'!T:T,'Old Master'!V:V),N780)</f>
        <v>0.1850925463</v>
      </c>
      <c r="AH780" s="73">
        <f t="shared" si="229"/>
        <v>1629</v>
      </c>
      <c r="AI780" s="73">
        <f t="shared" si="230"/>
        <v>1380.508475</v>
      </c>
      <c r="AJ780" s="72">
        <f t="shared" si="19"/>
        <v>1</v>
      </c>
      <c r="AK780" s="61"/>
      <c r="AL780" s="71">
        <f t="array" ref="AL780">iferror(if(isblank(xlookup($G780,'Old Master'!$T:$T,'Old Master'!$W:$W)),AG780,xlookup($G780,'Old Master'!$T:$T,'Old Master'!$W:$W)),AG780)</f>
        <v>0.1850925463</v>
      </c>
      <c r="AM780" s="74">
        <f t="shared" si="20"/>
        <v>0.1850925463</v>
      </c>
      <c r="AN780" s="73">
        <f t="shared" si="438"/>
        <v>1629</v>
      </c>
    </row>
    <row r="781">
      <c r="A781" s="65" t="s">
        <v>1237</v>
      </c>
      <c r="B781" s="65" t="str">
        <f t="shared" si="1"/>
        <v>#VALUE!</v>
      </c>
      <c r="C781" s="65" t="str">
        <f t="shared" si="403"/>
        <v>#VALUE!</v>
      </c>
      <c r="D781" s="65" t="s">
        <v>1239</v>
      </c>
      <c r="E781" s="65" t="s">
        <v>1240</v>
      </c>
      <c r="F781" s="65" t="s">
        <v>1241</v>
      </c>
      <c r="G781" s="65" t="s">
        <v>5089</v>
      </c>
      <c r="H781" s="65" t="s">
        <v>4730</v>
      </c>
      <c r="I781" s="65">
        <v>1999.0</v>
      </c>
      <c r="J781" s="66">
        <v>0.2851425712856428</v>
      </c>
      <c r="K781" s="65">
        <f t="shared" si="3"/>
        <v>1429</v>
      </c>
      <c r="L781" s="66">
        <v>0.1</v>
      </c>
      <c r="M781" s="65">
        <f t="shared" si="4"/>
        <v>1799</v>
      </c>
      <c r="N781" s="67">
        <f t="shared" si="404"/>
        <v>0.1850925463</v>
      </c>
      <c r="O781" s="68">
        <v>1629.0</v>
      </c>
      <c r="P781" s="67">
        <f t="shared" si="412"/>
        <v>0.1850925463</v>
      </c>
      <c r="Q781" s="69">
        <v>1629.0</v>
      </c>
      <c r="R781" s="70"/>
      <c r="S781" s="71">
        <f t="shared" si="433"/>
        <v>0.1399580126</v>
      </c>
      <c r="T781" s="72">
        <f t="shared" si="6"/>
        <v>0</v>
      </c>
      <c r="U781" s="73" t="str">
        <f t="shared" si="437"/>
        <v/>
      </c>
      <c r="V781" s="73">
        <f t="shared" si="340"/>
        <v>1524.576271</v>
      </c>
      <c r="W781" s="73">
        <f t="shared" si="9"/>
        <v>1524.576271</v>
      </c>
      <c r="X781" s="74">
        <f t="shared" si="10"/>
        <v>1</v>
      </c>
      <c r="Y781" s="73">
        <f t="shared" si="333"/>
        <v>0</v>
      </c>
      <c r="Z781" s="73">
        <f t="shared" si="12"/>
        <v>1380.508475</v>
      </c>
      <c r="AA781" s="73">
        <f t="shared" si="13"/>
        <v>1380.508475</v>
      </c>
      <c r="AB781" s="74">
        <f t="shared" si="14"/>
        <v>1</v>
      </c>
      <c r="AC781" s="61" t="str">
        <f t="shared" si="15"/>
        <v>6</v>
      </c>
      <c r="AD781" s="71" t="str">
        <f t="shared" si="16"/>
        <v>#DIV/0!</v>
      </c>
      <c r="AE781" s="61"/>
      <c r="AF781" s="61"/>
      <c r="AG781" s="71">
        <f t="array" ref="AG781">IFERROR(xlookup(G781,'Old Master'!T:T,'Old Master'!V:V),N781)</f>
        <v>0.1850925463</v>
      </c>
      <c r="AH781" s="73">
        <f t="shared" si="229"/>
        <v>1629</v>
      </c>
      <c r="AI781" s="73">
        <f t="shared" si="230"/>
        <v>1380.508475</v>
      </c>
      <c r="AJ781" s="72">
        <f t="shared" si="19"/>
        <v>1</v>
      </c>
      <c r="AK781" s="61"/>
      <c r="AL781" s="71">
        <f t="array" ref="AL781">iferror(if(isblank(xlookup($G781,'Old Master'!$T:$T,'Old Master'!$W:$W)),AG781,xlookup($G781,'Old Master'!$T:$T,'Old Master'!$W:$W)),AG781)</f>
        <v>0.1850925463</v>
      </c>
      <c r="AM781" s="74">
        <f t="shared" si="20"/>
        <v>0.1850925463</v>
      </c>
      <c r="AN781" s="73">
        <f t="shared" si="438"/>
        <v>1629</v>
      </c>
    </row>
    <row r="782">
      <c r="A782" s="65" t="s">
        <v>1243</v>
      </c>
      <c r="B782" s="65" t="str">
        <f t="shared" si="1"/>
        <v>#VALUE!</v>
      </c>
      <c r="C782" s="65" t="str">
        <f t="shared" si="403"/>
        <v>#VALUE!</v>
      </c>
      <c r="D782" s="65" t="s">
        <v>1245</v>
      </c>
      <c r="E782" s="65" t="s">
        <v>1246</v>
      </c>
      <c r="F782" s="65" t="s">
        <v>1247</v>
      </c>
      <c r="G782" s="65" t="s">
        <v>5089</v>
      </c>
      <c r="H782" s="65" t="s">
        <v>4730</v>
      </c>
      <c r="I782" s="65">
        <v>1999.0</v>
      </c>
      <c r="J782" s="66">
        <v>0.2851425712856428</v>
      </c>
      <c r="K782" s="65">
        <f t="shared" si="3"/>
        <v>1429</v>
      </c>
      <c r="L782" s="66">
        <v>0.1</v>
      </c>
      <c r="M782" s="65">
        <f t="shared" si="4"/>
        <v>1799</v>
      </c>
      <c r="N782" s="67">
        <f t="shared" si="404"/>
        <v>0.1850925463</v>
      </c>
      <c r="O782" s="68">
        <v>1629.0</v>
      </c>
      <c r="P782" s="67">
        <f t="shared" si="412"/>
        <v>0.1850925463</v>
      </c>
      <c r="Q782" s="69">
        <v>1629.0</v>
      </c>
      <c r="R782" s="70"/>
      <c r="S782" s="71">
        <f t="shared" si="433"/>
        <v>0.1399580126</v>
      </c>
      <c r="T782" s="72">
        <f t="shared" si="6"/>
        <v>0</v>
      </c>
      <c r="U782" s="73" t="str">
        <f t="shared" si="437"/>
        <v/>
      </c>
      <c r="V782" s="73">
        <f t="shared" si="340"/>
        <v>1524.576271</v>
      </c>
      <c r="W782" s="73">
        <f t="shared" si="9"/>
        <v>1524.576271</v>
      </c>
      <c r="X782" s="74">
        <f t="shared" si="10"/>
        <v>1</v>
      </c>
      <c r="Y782" s="73">
        <f t="shared" si="333"/>
        <v>0</v>
      </c>
      <c r="Z782" s="73">
        <f t="shared" si="12"/>
        <v>1380.508475</v>
      </c>
      <c r="AA782" s="73">
        <f t="shared" si="13"/>
        <v>1380.508475</v>
      </c>
      <c r="AB782" s="74">
        <f t="shared" si="14"/>
        <v>1</v>
      </c>
      <c r="AC782" s="61" t="str">
        <f t="shared" si="15"/>
        <v>6</v>
      </c>
      <c r="AD782" s="71" t="str">
        <f t="shared" si="16"/>
        <v>#DIV/0!</v>
      </c>
      <c r="AE782" s="61"/>
      <c r="AF782" s="61"/>
      <c r="AG782" s="71">
        <f t="array" ref="AG782">IFERROR(xlookup(G782,'Old Master'!T:T,'Old Master'!V:V),N782)</f>
        <v>0.1850925463</v>
      </c>
      <c r="AH782" s="73">
        <f t="shared" si="229"/>
        <v>1629</v>
      </c>
      <c r="AI782" s="73">
        <f t="shared" si="230"/>
        <v>1380.508475</v>
      </c>
      <c r="AJ782" s="72">
        <f t="shared" si="19"/>
        <v>1</v>
      </c>
      <c r="AK782" s="61"/>
      <c r="AL782" s="71">
        <f t="array" ref="AL782">iferror(if(isblank(xlookup($G782,'Old Master'!$T:$T,'Old Master'!$W:$W)),AG782,xlookup($G782,'Old Master'!$T:$T,'Old Master'!$W:$W)),AG782)</f>
        <v>0.1850925463</v>
      </c>
      <c r="AM782" s="74">
        <f t="shared" si="20"/>
        <v>0.1850925463</v>
      </c>
      <c r="AN782" s="73">
        <f t="shared" si="438"/>
        <v>1629</v>
      </c>
    </row>
    <row r="783">
      <c r="A783" s="65" t="s">
        <v>1249</v>
      </c>
      <c r="B783" s="65" t="str">
        <f t="shared" si="1"/>
        <v>#VALUE!</v>
      </c>
      <c r="C783" s="65" t="str">
        <f t="shared" si="403"/>
        <v>#VALUE!</v>
      </c>
      <c r="D783" s="65" t="s">
        <v>1251</v>
      </c>
      <c r="E783" s="65" t="s">
        <v>1252</v>
      </c>
      <c r="F783" s="65" t="s">
        <v>1253</v>
      </c>
      <c r="G783" s="65" t="s">
        <v>5089</v>
      </c>
      <c r="H783" s="65" t="s">
        <v>4730</v>
      </c>
      <c r="I783" s="65">
        <v>1999.0</v>
      </c>
      <c r="J783" s="66">
        <v>0.2851425712856428</v>
      </c>
      <c r="K783" s="65">
        <f t="shared" si="3"/>
        <v>1429</v>
      </c>
      <c r="L783" s="66">
        <v>0.1</v>
      </c>
      <c r="M783" s="65">
        <f t="shared" si="4"/>
        <v>1799</v>
      </c>
      <c r="N783" s="67">
        <f t="shared" si="404"/>
        <v>0.1850925463</v>
      </c>
      <c r="O783" s="68">
        <v>1629.0</v>
      </c>
      <c r="P783" s="67">
        <f t="shared" si="412"/>
        <v>0.1850925463</v>
      </c>
      <c r="Q783" s="69">
        <v>1629.0</v>
      </c>
      <c r="R783" s="70"/>
      <c r="S783" s="71">
        <f t="shared" si="433"/>
        <v>0.1399580126</v>
      </c>
      <c r="T783" s="72">
        <f t="shared" si="6"/>
        <v>0</v>
      </c>
      <c r="U783" s="73" t="str">
        <f t="shared" si="437"/>
        <v/>
      </c>
      <c r="V783" s="73">
        <f t="shared" si="340"/>
        <v>1524.576271</v>
      </c>
      <c r="W783" s="73">
        <f t="shared" si="9"/>
        <v>1524.576271</v>
      </c>
      <c r="X783" s="74">
        <f t="shared" si="10"/>
        <v>1</v>
      </c>
      <c r="Y783" s="73">
        <f t="shared" si="333"/>
        <v>0</v>
      </c>
      <c r="Z783" s="73">
        <f t="shared" si="12"/>
        <v>1380.508475</v>
      </c>
      <c r="AA783" s="73">
        <f t="shared" si="13"/>
        <v>1380.508475</v>
      </c>
      <c r="AB783" s="74">
        <f t="shared" si="14"/>
        <v>1</v>
      </c>
      <c r="AC783" s="61" t="str">
        <f t="shared" si="15"/>
        <v>6</v>
      </c>
      <c r="AD783" s="71" t="str">
        <f t="shared" si="16"/>
        <v>#DIV/0!</v>
      </c>
      <c r="AE783" s="61"/>
      <c r="AF783" s="61"/>
      <c r="AG783" s="71">
        <f t="array" ref="AG783">IFERROR(xlookup(G783,'Old Master'!T:T,'Old Master'!V:V),N783)</f>
        <v>0.1850925463</v>
      </c>
      <c r="AH783" s="73">
        <f t="shared" si="229"/>
        <v>1629</v>
      </c>
      <c r="AI783" s="73">
        <f t="shared" si="230"/>
        <v>1380.508475</v>
      </c>
      <c r="AJ783" s="72">
        <f t="shared" si="19"/>
        <v>1</v>
      </c>
      <c r="AK783" s="61"/>
      <c r="AL783" s="71">
        <f t="array" ref="AL783">iferror(if(isblank(xlookup($G783,'Old Master'!$T:$T,'Old Master'!$W:$W)),AG783,xlookup($G783,'Old Master'!$T:$T,'Old Master'!$W:$W)),AG783)</f>
        <v>0.1850925463</v>
      </c>
      <c r="AM783" s="74">
        <f t="shared" si="20"/>
        <v>0.1850925463</v>
      </c>
      <c r="AN783" s="73">
        <f t="shared" si="438"/>
        <v>1629</v>
      </c>
    </row>
    <row r="784">
      <c r="A784" s="65" t="s">
        <v>1219</v>
      </c>
      <c r="B784" s="65" t="str">
        <f t="shared" si="1"/>
        <v>#VALUE!</v>
      </c>
      <c r="C784" s="65" t="str">
        <f t="shared" si="403"/>
        <v>#VALUE!</v>
      </c>
      <c r="D784" s="65" t="s">
        <v>1221</v>
      </c>
      <c r="E784" s="65" t="s">
        <v>1222</v>
      </c>
      <c r="F784" s="65" t="s">
        <v>1223</v>
      </c>
      <c r="G784" s="65" t="s">
        <v>5089</v>
      </c>
      <c r="H784" s="65" t="s">
        <v>4730</v>
      </c>
      <c r="I784" s="65">
        <v>1999.0</v>
      </c>
      <c r="J784" s="66">
        <v>0.2851425712856428</v>
      </c>
      <c r="K784" s="65">
        <f t="shared" si="3"/>
        <v>1429</v>
      </c>
      <c r="L784" s="66">
        <v>0.1</v>
      </c>
      <c r="M784" s="65">
        <f t="shared" si="4"/>
        <v>1799</v>
      </c>
      <c r="N784" s="67">
        <f t="shared" si="404"/>
        <v>0.1850925463</v>
      </c>
      <c r="O784" s="68">
        <v>1629.0</v>
      </c>
      <c r="P784" s="67">
        <f t="shared" si="412"/>
        <v>0.1850925463</v>
      </c>
      <c r="Q784" s="69">
        <v>1629.0</v>
      </c>
      <c r="R784" s="70"/>
      <c r="S784" s="71">
        <f t="shared" si="433"/>
        <v>0.1399580126</v>
      </c>
      <c r="T784" s="72">
        <f t="shared" si="6"/>
        <v>0</v>
      </c>
      <c r="U784" s="73" t="str">
        <f t="shared" si="437"/>
        <v/>
      </c>
      <c r="V784" s="73">
        <f t="shared" si="340"/>
        <v>1524.576271</v>
      </c>
      <c r="W784" s="73">
        <f t="shared" si="9"/>
        <v>1524.576271</v>
      </c>
      <c r="X784" s="74">
        <f t="shared" si="10"/>
        <v>1</v>
      </c>
      <c r="Y784" s="73">
        <f t="shared" si="333"/>
        <v>0</v>
      </c>
      <c r="Z784" s="73">
        <f t="shared" si="12"/>
        <v>1380.508475</v>
      </c>
      <c r="AA784" s="73">
        <f t="shared" si="13"/>
        <v>1380.508475</v>
      </c>
      <c r="AB784" s="74">
        <f t="shared" si="14"/>
        <v>1</v>
      </c>
      <c r="AC784" s="61" t="str">
        <f t="shared" si="15"/>
        <v>6</v>
      </c>
      <c r="AD784" s="71" t="str">
        <f t="shared" si="16"/>
        <v>#DIV/0!</v>
      </c>
      <c r="AE784" s="61"/>
      <c r="AF784" s="61"/>
      <c r="AG784" s="71">
        <f t="array" ref="AG784">IFERROR(xlookup(G784,'Old Master'!T:T,'Old Master'!V:V),N784)</f>
        <v>0.1850925463</v>
      </c>
      <c r="AH784" s="73">
        <f t="shared" si="229"/>
        <v>1629</v>
      </c>
      <c r="AI784" s="73">
        <f t="shared" si="230"/>
        <v>1380.508475</v>
      </c>
      <c r="AJ784" s="72">
        <f t="shared" si="19"/>
        <v>1</v>
      </c>
      <c r="AK784" s="61"/>
      <c r="AL784" s="71">
        <f t="array" ref="AL784">iferror(if(isblank(xlookup($G784,'Old Master'!$T:$T,'Old Master'!$W:$W)),AG784,xlookup($G784,'Old Master'!$T:$T,'Old Master'!$W:$W)),AG784)</f>
        <v>0.1850925463</v>
      </c>
      <c r="AM784" s="74">
        <f t="shared" si="20"/>
        <v>0.1850925463</v>
      </c>
      <c r="AN784" s="73">
        <f t="shared" si="438"/>
        <v>1629</v>
      </c>
    </row>
    <row r="785">
      <c r="A785" s="65" t="s">
        <v>1225</v>
      </c>
      <c r="B785" s="65" t="str">
        <f t="shared" si="1"/>
        <v>#VALUE!</v>
      </c>
      <c r="C785" s="65" t="str">
        <f t="shared" si="403"/>
        <v>#VALUE!</v>
      </c>
      <c r="D785" s="65" t="s">
        <v>1227</v>
      </c>
      <c r="E785" s="65" t="s">
        <v>1228</v>
      </c>
      <c r="F785" s="65" t="s">
        <v>1229</v>
      </c>
      <c r="G785" s="65" t="s">
        <v>5089</v>
      </c>
      <c r="H785" s="65" t="s">
        <v>4730</v>
      </c>
      <c r="I785" s="65">
        <v>1999.0</v>
      </c>
      <c r="J785" s="66">
        <v>0.2851425712856428</v>
      </c>
      <c r="K785" s="65">
        <f t="shared" si="3"/>
        <v>1429</v>
      </c>
      <c r="L785" s="66">
        <v>0.1</v>
      </c>
      <c r="M785" s="65">
        <f t="shared" si="4"/>
        <v>1799</v>
      </c>
      <c r="N785" s="67">
        <f t="shared" si="404"/>
        <v>0.1850925463</v>
      </c>
      <c r="O785" s="68">
        <v>1629.0</v>
      </c>
      <c r="P785" s="67">
        <f t="shared" si="412"/>
        <v>0.1850925463</v>
      </c>
      <c r="Q785" s="69">
        <v>1629.0</v>
      </c>
      <c r="R785" s="70"/>
      <c r="S785" s="71">
        <f t="shared" si="433"/>
        <v>0.1399580126</v>
      </c>
      <c r="T785" s="72">
        <f t="shared" si="6"/>
        <v>0</v>
      </c>
      <c r="U785" s="73" t="str">
        <f t="shared" si="437"/>
        <v/>
      </c>
      <c r="V785" s="73">
        <f t="shared" si="340"/>
        <v>1524.576271</v>
      </c>
      <c r="W785" s="73">
        <f t="shared" si="9"/>
        <v>1524.576271</v>
      </c>
      <c r="X785" s="74">
        <f t="shared" si="10"/>
        <v>1</v>
      </c>
      <c r="Y785" s="73">
        <f t="shared" si="333"/>
        <v>0</v>
      </c>
      <c r="Z785" s="73">
        <f t="shared" si="12"/>
        <v>1380.508475</v>
      </c>
      <c r="AA785" s="73">
        <f t="shared" si="13"/>
        <v>1380.508475</v>
      </c>
      <c r="AB785" s="74">
        <f t="shared" si="14"/>
        <v>1</v>
      </c>
      <c r="AC785" s="61" t="str">
        <f t="shared" si="15"/>
        <v>6</v>
      </c>
      <c r="AD785" s="71" t="str">
        <f t="shared" si="16"/>
        <v>#DIV/0!</v>
      </c>
      <c r="AE785" s="61"/>
      <c r="AF785" s="61"/>
      <c r="AG785" s="71">
        <f t="array" ref="AG785">IFERROR(xlookup(G785,'Old Master'!T:T,'Old Master'!V:V),N785)</f>
        <v>0.1850925463</v>
      </c>
      <c r="AH785" s="73">
        <f t="shared" si="229"/>
        <v>1629</v>
      </c>
      <c r="AI785" s="73">
        <f t="shared" si="230"/>
        <v>1380.508475</v>
      </c>
      <c r="AJ785" s="72">
        <f t="shared" si="19"/>
        <v>1</v>
      </c>
      <c r="AK785" s="61"/>
      <c r="AL785" s="71">
        <f t="array" ref="AL785">iferror(if(isblank(xlookup($G785,'Old Master'!$T:$T,'Old Master'!$W:$W)),AG785,xlookup($G785,'Old Master'!$T:$T,'Old Master'!$W:$W)),AG785)</f>
        <v>0.1850925463</v>
      </c>
      <c r="AM785" s="74">
        <f t="shared" si="20"/>
        <v>0.1850925463</v>
      </c>
      <c r="AN785" s="73">
        <f t="shared" si="438"/>
        <v>1629</v>
      </c>
    </row>
    <row r="786">
      <c r="A786" s="65" t="s">
        <v>1231</v>
      </c>
      <c r="B786" s="65" t="str">
        <f t="shared" si="1"/>
        <v>#VALUE!</v>
      </c>
      <c r="C786" s="65" t="str">
        <f t="shared" si="403"/>
        <v>#VALUE!</v>
      </c>
      <c r="D786" s="65" t="s">
        <v>1233</v>
      </c>
      <c r="E786" s="65" t="s">
        <v>1234</v>
      </c>
      <c r="F786" s="65" t="s">
        <v>1235</v>
      </c>
      <c r="G786" s="65" t="s">
        <v>5089</v>
      </c>
      <c r="H786" s="65" t="s">
        <v>4730</v>
      </c>
      <c r="I786" s="65">
        <v>1999.0</v>
      </c>
      <c r="J786" s="66">
        <v>0.2851425712856428</v>
      </c>
      <c r="K786" s="65">
        <f t="shared" si="3"/>
        <v>1429</v>
      </c>
      <c r="L786" s="66">
        <v>0.1</v>
      </c>
      <c r="M786" s="65">
        <f t="shared" si="4"/>
        <v>1799</v>
      </c>
      <c r="N786" s="67">
        <f t="shared" si="404"/>
        <v>0.1850925463</v>
      </c>
      <c r="O786" s="68">
        <v>1629.0</v>
      </c>
      <c r="P786" s="67">
        <f t="shared" si="412"/>
        <v>0.1850925463</v>
      </c>
      <c r="Q786" s="69">
        <v>1629.0</v>
      </c>
      <c r="R786" s="70"/>
      <c r="S786" s="71">
        <f t="shared" si="433"/>
        <v>0.1399580126</v>
      </c>
      <c r="T786" s="72">
        <f t="shared" si="6"/>
        <v>0</v>
      </c>
      <c r="U786" s="73" t="str">
        <f t="shared" si="437"/>
        <v/>
      </c>
      <c r="V786" s="73">
        <f t="shared" si="340"/>
        <v>1524.576271</v>
      </c>
      <c r="W786" s="73">
        <f t="shared" si="9"/>
        <v>1524.576271</v>
      </c>
      <c r="X786" s="74">
        <f t="shared" si="10"/>
        <v>1</v>
      </c>
      <c r="Y786" s="73">
        <f t="shared" si="333"/>
        <v>0</v>
      </c>
      <c r="Z786" s="73">
        <f t="shared" si="12"/>
        <v>1380.508475</v>
      </c>
      <c r="AA786" s="73">
        <f t="shared" si="13"/>
        <v>1380.508475</v>
      </c>
      <c r="AB786" s="74">
        <f t="shared" si="14"/>
        <v>1</v>
      </c>
      <c r="AC786" s="61" t="str">
        <f t="shared" si="15"/>
        <v>6</v>
      </c>
      <c r="AD786" s="71" t="str">
        <f t="shared" si="16"/>
        <v>#DIV/0!</v>
      </c>
      <c r="AE786" s="61"/>
      <c r="AF786" s="61"/>
      <c r="AG786" s="71">
        <f t="array" ref="AG786">IFERROR(xlookup(G786,'Old Master'!T:T,'Old Master'!V:V),N786)</f>
        <v>0.1850925463</v>
      </c>
      <c r="AH786" s="73">
        <f t="shared" si="229"/>
        <v>1629</v>
      </c>
      <c r="AI786" s="73">
        <f t="shared" si="230"/>
        <v>1380.508475</v>
      </c>
      <c r="AJ786" s="72">
        <f t="shared" si="19"/>
        <v>1</v>
      </c>
      <c r="AK786" s="61"/>
      <c r="AL786" s="71">
        <f t="array" ref="AL786">iferror(if(isblank(xlookup($G786,'Old Master'!$T:$T,'Old Master'!$W:$W)),AG786,xlookup($G786,'Old Master'!$T:$T,'Old Master'!$W:$W)),AG786)</f>
        <v>0.1850925463</v>
      </c>
      <c r="AM786" s="74">
        <f t="shared" si="20"/>
        <v>0.1850925463</v>
      </c>
      <c r="AN786" s="73">
        <f t="shared" si="438"/>
        <v>1629</v>
      </c>
    </row>
    <row r="787">
      <c r="A787" s="65" t="s">
        <v>1475</v>
      </c>
      <c r="B787" s="65" t="str">
        <f t="shared" si="1"/>
        <v>#VALUE!</v>
      </c>
      <c r="C787" s="65" t="str">
        <f t="shared" si="403"/>
        <v>#VALUE!</v>
      </c>
      <c r="D787" s="65" t="s">
        <v>1477</v>
      </c>
      <c r="E787" s="65" t="s">
        <v>1478</v>
      </c>
      <c r="F787" s="65" t="s">
        <v>1479</v>
      </c>
      <c r="G787" s="65" t="s">
        <v>5089</v>
      </c>
      <c r="H787" s="65" t="s">
        <v>4730</v>
      </c>
      <c r="I787" s="65">
        <v>2999.0</v>
      </c>
      <c r="J787" s="66">
        <v>0.28342780926975664</v>
      </c>
      <c r="K787" s="65">
        <f t="shared" si="3"/>
        <v>2149</v>
      </c>
      <c r="L787" s="66">
        <v>0.1</v>
      </c>
      <c r="M787" s="65">
        <f t="shared" si="4"/>
        <v>2699</v>
      </c>
      <c r="N787" s="67">
        <f t="shared" si="404"/>
        <v>0.1833944648</v>
      </c>
      <c r="O787" s="68">
        <v>2449.0</v>
      </c>
      <c r="P787" s="67">
        <f t="shared" si="412"/>
        <v>0.1833944648</v>
      </c>
      <c r="Q787" s="69">
        <v>2449.0</v>
      </c>
      <c r="R787" s="70"/>
      <c r="S787" s="71">
        <f t="shared" si="433"/>
        <v>0.1395998139</v>
      </c>
      <c r="T787" s="72">
        <f t="shared" si="6"/>
        <v>0</v>
      </c>
      <c r="U787" s="73" t="str">
        <f t="shared" si="437"/>
        <v/>
      </c>
      <c r="V787" s="73">
        <f t="shared" si="340"/>
        <v>2287.288136</v>
      </c>
      <c r="W787" s="73">
        <f t="shared" si="9"/>
        <v>2287.288136</v>
      </c>
      <c r="X787" s="74">
        <f t="shared" si="10"/>
        <v>1</v>
      </c>
      <c r="Y787" s="73">
        <f t="shared" si="333"/>
        <v>0</v>
      </c>
      <c r="Z787" s="73">
        <f t="shared" si="12"/>
        <v>2075.423729</v>
      </c>
      <c r="AA787" s="73">
        <f t="shared" si="13"/>
        <v>2075.423729</v>
      </c>
      <c r="AB787" s="74">
        <f t="shared" si="14"/>
        <v>1</v>
      </c>
      <c r="AC787" s="61" t="str">
        <f t="shared" si="15"/>
        <v>2</v>
      </c>
      <c r="AD787" s="71" t="str">
        <f t="shared" si="16"/>
        <v>#DIV/0!</v>
      </c>
      <c r="AE787" s="61"/>
      <c r="AF787" s="61"/>
      <c r="AG787" s="71">
        <f t="array" ref="AG787">IFERROR(xlookup(G787,'Old Master'!T:T,'Old Master'!V:V),N787)</f>
        <v>0.1833944648</v>
      </c>
      <c r="AH787" s="73">
        <f t="shared" si="229"/>
        <v>2449</v>
      </c>
      <c r="AI787" s="73">
        <f t="shared" si="230"/>
        <v>2075.423729</v>
      </c>
      <c r="AJ787" s="72">
        <f t="shared" si="19"/>
        <v>1</v>
      </c>
      <c r="AK787" s="61"/>
      <c r="AL787" s="71">
        <f t="array" ref="AL787">iferror(if(isblank(xlookup($G787,'Old Master'!$T:$T,'Old Master'!$W:$W)),AG787,xlookup($G787,'Old Master'!$T:$T,'Old Master'!$W:$W)),AG787)</f>
        <v>0.1833944648</v>
      </c>
      <c r="AM787" s="74">
        <f t="shared" si="20"/>
        <v>0.1833944648</v>
      </c>
      <c r="AN787" s="73">
        <f t="shared" si="438"/>
        <v>2449</v>
      </c>
    </row>
    <row r="788">
      <c r="A788" s="65" t="s">
        <v>1425</v>
      </c>
      <c r="B788" s="65" t="str">
        <f t="shared" si="1"/>
        <v>#VALUE!</v>
      </c>
      <c r="C788" s="65" t="str">
        <f t="shared" si="403"/>
        <v>#VALUE!</v>
      </c>
      <c r="D788" s="65" t="s">
        <v>1427</v>
      </c>
      <c r="E788" s="65" t="s">
        <v>1428</v>
      </c>
      <c r="F788" s="65" t="s">
        <v>1429</v>
      </c>
      <c r="G788" s="65" t="s">
        <v>5089</v>
      </c>
      <c r="H788" s="65" t="s">
        <v>4730</v>
      </c>
      <c r="I788" s="65">
        <v>2999.0</v>
      </c>
      <c r="J788" s="66">
        <v>0.28342780926975664</v>
      </c>
      <c r="K788" s="65">
        <f t="shared" si="3"/>
        <v>2149</v>
      </c>
      <c r="L788" s="66">
        <v>0.1</v>
      </c>
      <c r="M788" s="65">
        <f t="shared" si="4"/>
        <v>2699</v>
      </c>
      <c r="N788" s="67">
        <f t="shared" si="404"/>
        <v>0.1833944648</v>
      </c>
      <c r="O788" s="68">
        <v>2449.0</v>
      </c>
      <c r="P788" s="67">
        <f t="shared" si="412"/>
        <v>0.1833944648</v>
      </c>
      <c r="Q788" s="69">
        <v>2449.0</v>
      </c>
      <c r="R788" s="70"/>
      <c r="S788" s="71">
        <f t="shared" si="433"/>
        <v>0.1395998139</v>
      </c>
      <c r="T788" s="72">
        <f t="shared" si="6"/>
        <v>0</v>
      </c>
      <c r="U788" s="73" t="str">
        <f t="shared" si="437"/>
        <v/>
      </c>
      <c r="V788" s="73">
        <f t="shared" si="340"/>
        <v>2287.288136</v>
      </c>
      <c r="W788" s="73">
        <f t="shared" si="9"/>
        <v>2287.288136</v>
      </c>
      <c r="X788" s="74">
        <f t="shared" si="10"/>
        <v>1</v>
      </c>
      <c r="Y788" s="73">
        <f t="shared" si="333"/>
        <v>0</v>
      </c>
      <c r="Z788" s="73">
        <f t="shared" si="12"/>
        <v>2075.423729</v>
      </c>
      <c r="AA788" s="73">
        <f t="shared" si="13"/>
        <v>2075.423729</v>
      </c>
      <c r="AB788" s="74">
        <f t="shared" si="14"/>
        <v>1</v>
      </c>
      <c r="AC788" s="61" t="str">
        <f t="shared" si="15"/>
        <v>2</v>
      </c>
      <c r="AD788" s="71" t="str">
        <f t="shared" si="16"/>
        <v>#DIV/0!</v>
      </c>
      <c r="AE788" s="61"/>
      <c r="AF788" s="61"/>
      <c r="AG788" s="71">
        <f t="array" ref="AG788">IFERROR(xlookup(G788,'Old Master'!T:T,'Old Master'!V:V),N788)</f>
        <v>0.1833944648</v>
      </c>
      <c r="AH788" s="73">
        <f t="shared" si="229"/>
        <v>2449</v>
      </c>
      <c r="AI788" s="73">
        <f t="shared" si="230"/>
        <v>2075.423729</v>
      </c>
      <c r="AJ788" s="72">
        <f t="shared" si="19"/>
        <v>1</v>
      </c>
      <c r="AK788" s="61"/>
      <c r="AL788" s="71">
        <f t="array" ref="AL788">iferror(if(isblank(xlookup($G788,'Old Master'!$T:$T,'Old Master'!$W:$W)),AG788,xlookup($G788,'Old Master'!$T:$T,'Old Master'!$W:$W)),AG788)</f>
        <v>0.1833944648</v>
      </c>
      <c r="AM788" s="74">
        <f t="shared" si="20"/>
        <v>0.1833944648</v>
      </c>
      <c r="AN788" s="73">
        <f t="shared" si="438"/>
        <v>2449</v>
      </c>
    </row>
    <row r="789">
      <c r="A789" s="65" t="s">
        <v>1400</v>
      </c>
      <c r="B789" s="65" t="str">
        <f t="shared" si="1"/>
        <v>#VALUE!</v>
      </c>
      <c r="C789" s="65" t="str">
        <f t="shared" si="403"/>
        <v>#VALUE!</v>
      </c>
      <c r="D789" s="65" t="s">
        <v>1402</v>
      </c>
      <c r="E789" s="65" t="s">
        <v>1404</v>
      </c>
      <c r="F789" s="65" t="s">
        <v>1405</v>
      </c>
      <c r="G789" s="65" t="s">
        <v>5089</v>
      </c>
      <c r="H789" s="65" t="s">
        <v>4730</v>
      </c>
      <c r="I789" s="65">
        <v>2649.0</v>
      </c>
      <c r="J789" s="66">
        <v>0.2831257078142695</v>
      </c>
      <c r="K789" s="65">
        <f t="shared" si="3"/>
        <v>1899</v>
      </c>
      <c r="L789" s="66">
        <v>0.1</v>
      </c>
      <c r="M789" s="65">
        <f t="shared" si="4"/>
        <v>2384</v>
      </c>
      <c r="N789" s="67">
        <f t="shared" si="404"/>
        <v>0.1830879577</v>
      </c>
      <c r="O789" s="68">
        <v>2164.0</v>
      </c>
      <c r="P789" s="67">
        <f t="shared" si="412"/>
        <v>0.1830879577</v>
      </c>
      <c r="Q789" s="69">
        <v>2164.0</v>
      </c>
      <c r="R789" s="70"/>
      <c r="S789" s="71">
        <f t="shared" si="433"/>
        <v>0.1395471301</v>
      </c>
      <c r="T789" s="72">
        <f t="shared" si="6"/>
        <v>0</v>
      </c>
      <c r="U789" s="73" t="str">
        <f t="shared" si="437"/>
        <v/>
      </c>
      <c r="V789" s="73">
        <f t="shared" si="340"/>
        <v>2020.338983</v>
      </c>
      <c r="W789" s="73">
        <f t="shared" si="9"/>
        <v>2020.338983</v>
      </c>
      <c r="X789" s="74">
        <f t="shared" si="10"/>
        <v>1</v>
      </c>
      <c r="Y789" s="73">
        <f t="shared" si="333"/>
        <v>0</v>
      </c>
      <c r="Z789" s="73">
        <f t="shared" si="12"/>
        <v>1833.898305</v>
      </c>
      <c r="AA789" s="73">
        <f t="shared" si="13"/>
        <v>1833.898305</v>
      </c>
      <c r="AB789" s="74">
        <f t="shared" si="14"/>
        <v>1</v>
      </c>
      <c r="AC789" s="61" t="str">
        <f t="shared" si="15"/>
        <v>0</v>
      </c>
      <c r="AD789" s="71" t="str">
        <f t="shared" si="16"/>
        <v>#DIV/0!</v>
      </c>
      <c r="AE789" s="61"/>
      <c r="AF789" s="61"/>
      <c r="AG789" s="71">
        <f t="array" ref="AG789">IFERROR(xlookup(G789,'Old Master'!T:T,'Old Master'!V:V),N789)</f>
        <v>0.1830879577</v>
      </c>
      <c r="AH789" s="73">
        <f t="shared" si="229"/>
        <v>2164</v>
      </c>
      <c r="AI789" s="73">
        <f t="shared" si="230"/>
        <v>1833.898305</v>
      </c>
      <c r="AJ789" s="72">
        <f t="shared" si="19"/>
        <v>1</v>
      </c>
      <c r="AK789" s="61"/>
      <c r="AL789" s="71">
        <f t="array" ref="AL789">iferror(if(isblank(xlookup($G789,'Old Master'!$T:$T,'Old Master'!$W:$W)),AG789,xlookup($G789,'Old Master'!$T:$T,'Old Master'!$W:$W)),AG789)</f>
        <v>0.1830879577</v>
      </c>
      <c r="AM789" s="74">
        <f t="shared" si="20"/>
        <v>0.1698754247</v>
      </c>
      <c r="AN789" s="73">
        <f t="shared" ref="AN789:AN791" si="439">mround($I789*(1-AL789),100)-1</f>
        <v>2199</v>
      </c>
    </row>
    <row r="790">
      <c r="A790" s="65" t="s">
        <v>1407</v>
      </c>
      <c r="B790" s="65" t="str">
        <f t="shared" si="1"/>
        <v>#VALUE!</v>
      </c>
      <c r="C790" s="65" t="str">
        <f t="shared" si="403"/>
        <v>#VALUE!</v>
      </c>
      <c r="D790" s="65" t="s">
        <v>1409</v>
      </c>
      <c r="E790" s="65" t="s">
        <v>1410</v>
      </c>
      <c r="F790" s="65" t="s">
        <v>1411</v>
      </c>
      <c r="G790" s="65" t="s">
        <v>5089</v>
      </c>
      <c r="H790" s="65" t="s">
        <v>4730</v>
      </c>
      <c r="I790" s="65">
        <v>2649.0</v>
      </c>
      <c r="J790" s="66">
        <v>0.2831257078142695</v>
      </c>
      <c r="K790" s="65">
        <f t="shared" si="3"/>
        <v>1899</v>
      </c>
      <c r="L790" s="66">
        <v>0.1</v>
      </c>
      <c r="M790" s="65">
        <f t="shared" si="4"/>
        <v>2384</v>
      </c>
      <c r="N790" s="67">
        <f t="shared" si="404"/>
        <v>0.1830879577</v>
      </c>
      <c r="O790" s="68">
        <v>2164.0</v>
      </c>
      <c r="P790" s="67">
        <f t="shared" si="412"/>
        <v>0.1830879577</v>
      </c>
      <c r="Q790" s="69">
        <v>2164.0</v>
      </c>
      <c r="R790" s="70"/>
      <c r="S790" s="71">
        <f t="shared" si="433"/>
        <v>0.1395471301</v>
      </c>
      <c r="T790" s="72">
        <f t="shared" si="6"/>
        <v>0</v>
      </c>
      <c r="U790" s="73" t="str">
        <f t="shared" si="437"/>
        <v/>
      </c>
      <c r="V790" s="73">
        <f t="shared" si="340"/>
        <v>2020.338983</v>
      </c>
      <c r="W790" s="73">
        <f t="shared" si="9"/>
        <v>2020.338983</v>
      </c>
      <c r="X790" s="74">
        <f t="shared" si="10"/>
        <v>1</v>
      </c>
      <c r="Y790" s="73">
        <f t="shared" si="333"/>
        <v>0</v>
      </c>
      <c r="Z790" s="73">
        <f t="shared" si="12"/>
        <v>1833.898305</v>
      </c>
      <c r="AA790" s="73">
        <f t="shared" si="13"/>
        <v>1833.898305</v>
      </c>
      <c r="AB790" s="74">
        <f t="shared" si="14"/>
        <v>1</v>
      </c>
      <c r="AC790" s="61" t="str">
        <f t="shared" si="15"/>
        <v>0</v>
      </c>
      <c r="AD790" s="71" t="str">
        <f t="shared" si="16"/>
        <v>#DIV/0!</v>
      </c>
      <c r="AE790" s="61"/>
      <c r="AF790" s="61"/>
      <c r="AG790" s="71">
        <f t="array" ref="AG790">IFERROR(xlookup(G790,'Old Master'!T:T,'Old Master'!V:V),N790)</f>
        <v>0.1830879577</v>
      </c>
      <c r="AH790" s="73">
        <f t="shared" si="229"/>
        <v>2164</v>
      </c>
      <c r="AI790" s="73">
        <f t="shared" si="230"/>
        <v>1833.898305</v>
      </c>
      <c r="AJ790" s="72">
        <f t="shared" si="19"/>
        <v>1</v>
      </c>
      <c r="AK790" s="61"/>
      <c r="AL790" s="71">
        <f t="array" ref="AL790">iferror(if(isblank(xlookup($G790,'Old Master'!$T:$T,'Old Master'!$W:$W)),AG790,xlookup($G790,'Old Master'!$T:$T,'Old Master'!$W:$W)),AG790)</f>
        <v>0.1830879577</v>
      </c>
      <c r="AM790" s="74">
        <f t="shared" si="20"/>
        <v>0.1698754247</v>
      </c>
      <c r="AN790" s="73">
        <f t="shared" si="439"/>
        <v>2199</v>
      </c>
    </row>
    <row r="791">
      <c r="A791" s="65" t="s">
        <v>1351</v>
      </c>
      <c r="B791" s="65" t="str">
        <f t="shared" si="1"/>
        <v>#VALUE!</v>
      </c>
      <c r="C791" s="65" t="str">
        <f t="shared" si="403"/>
        <v>#VALUE!</v>
      </c>
      <c r="D791" s="65" t="s">
        <v>1353</v>
      </c>
      <c r="E791" s="65" t="s">
        <v>1354</v>
      </c>
      <c r="F791" s="65" t="s">
        <v>1355</v>
      </c>
      <c r="G791" s="65" t="s">
        <v>5089</v>
      </c>
      <c r="H791" s="65" t="s">
        <v>4730</v>
      </c>
      <c r="I791" s="65">
        <v>2649.0</v>
      </c>
      <c r="J791" s="66">
        <v>0.2831257078142695</v>
      </c>
      <c r="K791" s="65">
        <f t="shared" si="3"/>
        <v>1899</v>
      </c>
      <c r="L791" s="66">
        <v>0.1</v>
      </c>
      <c r="M791" s="65">
        <f t="shared" si="4"/>
        <v>2384</v>
      </c>
      <c r="N791" s="67">
        <f t="shared" si="404"/>
        <v>0.1830879577</v>
      </c>
      <c r="O791" s="68">
        <v>2164.0</v>
      </c>
      <c r="P791" s="67">
        <f t="shared" si="412"/>
        <v>0.1830879577</v>
      </c>
      <c r="Q791" s="69">
        <v>2164.0</v>
      </c>
      <c r="R791" s="70"/>
      <c r="S791" s="71">
        <f t="shared" si="433"/>
        <v>0.1395471301</v>
      </c>
      <c r="T791" s="72">
        <f t="shared" si="6"/>
        <v>0</v>
      </c>
      <c r="U791" s="73" t="str">
        <f t="shared" si="437"/>
        <v/>
      </c>
      <c r="V791" s="73">
        <f t="shared" si="340"/>
        <v>2020.338983</v>
      </c>
      <c r="W791" s="73">
        <f t="shared" si="9"/>
        <v>2020.338983</v>
      </c>
      <c r="X791" s="74">
        <f t="shared" si="10"/>
        <v>1</v>
      </c>
      <c r="Y791" s="73">
        <f t="shared" si="333"/>
        <v>0</v>
      </c>
      <c r="Z791" s="73">
        <f t="shared" si="12"/>
        <v>1833.898305</v>
      </c>
      <c r="AA791" s="73">
        <f t="shared" si="13"/>
        <v>1833.898305</v>
      </c>
      <c r="AB791" s="74">
        <f t="shared" si="14"/>
        <v>1</v>
      </c>
      <c r="AC791" s="61" t="str">
        <f t="shared" si="15"/>
        <v>0</v>
      </c>
      <c r="AD791" s="71" t="str">
        <f t="shared" si="16"/>
        <v>#DIV/0!</v>
      </c>
      <c r="AE791" s="61"/>
      <c r="AF791" s="61"/>
      <c r="AG791" s="71">
        <f t="array" ref="AG791">IFERROR(xlookup(G791,'Old Master'!T:T,'Old Master'!V:V),N791)</f>
        <v>0.1830879577</v>
      </c>
      <c r="AH791" s="73">
        <f t="shared" si="229"/>
        <v>2164</v>
      </c>
      <c r="AI791" s="73">
        <f t="shared" si="230"/>
        <v>1833.898305</v>
      </c>
      <c r="AJ791" s="72">
        <f t="shared" si="19"/>
        <v>1</v>
      </c>
      <c r="AK791" s="61"/>
      <c r="AL791" s="71">
        <f t="array" ref="AL791">iferror(if(isblank(xlookup($G791,'Old Master'!$T:$T,'Old Master'!$W:$W)),AG791,xlookup($G791,'Old Master'!$T:$T,'Old Master'!$W:$W)),AG791)</f>
        <v>0.1830879577</v>
      </c>
      <c r="AM791" s="74">
        <f t="shared" si="20"/>
        <v>0.1698754247</v>
      </c>
      <c r="AN791" s="73">
        <f t="shared" si="439"/>
        <v>2199</v>
      </c>
    </row>
    <row r="792">
      <c r="A792" s="65" t="s">
        <v>1327</v>
      </c>
      <c r="B792" s="65" t="str">
        <f t="shared" si="1"/>
        <v>#VALUE!</v>
      </c>
      <c r="C792" s="65" t="str">
        <f t="shared" si="403"/>
        <v>#VALUE!</v>
      </c>
      <c r="D792" s="65" t="s">
        <v>1329</v>
      </c>
      <c r="E792" s="65" t="s">
        <v>1330</v>
      </c>
      <c r="F792" s="65" t="s">
        <v>1331</v>
      </c>
      <c r="G792" s="65" t="s">
        <v>5089</v>
      </c>
      <c r="H792" s="65" t="s">
        <v>4730</v>
      </c>
      <c r="I792" s="65">
        <v>2449.0</v>
      </c>
      <c r="J792" s="66">
        <v>0.2817476521028991</v>
      </c>
      <c r="K792" s="65">
        <f t="shared" si="3"/>
        <v>1759</v>
      </c>
      <c r="L792" s="66">
        <v>0.1</v>
      </c>
      <c r="M792" s="65">
        <f t="shared" si="4"/>
        <v>2204</v>
      </c>
      <c r="N792" s="67">
        <f t="shared" si="404"/>
        <v>0.1817068191</v>
      </c>
      <c r="O792" s="68">
        <v>2004.0</v>
      </c>
      <c r="P792" s="67">
        <f t="shared" si="412"/>
        <v>0.1817068191</v>
      </c>
      <c r="Q792" s="69">
        <v>2004.0</v>
      </c>
      <c r="R792" s="70"/>
      <c r="S792" s="71">
        <f t="shared" si="433"/>
        <v>0.1392836839</v>
      </c>
      <c r="T792" s="72">
        <f t="shared" si="6"/>
        <v>0</v>
      </c>
      <c r="U792" s="73" t="str">
        <f t="shared" si="437"/>
        <v/>
      </c>
      <c r="V792" s="73">
        <f t="shared" si="340"/>
        <v>1867.79661</v>
      </c>
      <c r="W792" s="73">
        <f t="shared" si="9"/>
        <v>1867.79661</v>
      </c>
      <c r="X792" s="74">
        <f t="shared" si="10"/>
        <v>1</v>
      </c>
      <c r="Y792" s="73">
        <f t="shared" si="333"/>
        <v>0</v>
      </c>
      <c r="Z792" s="73">
        <f t="shared" si="12"/>
        <v>1698.305085</v>
      </c>
      <c r="AA792" s="73">
        <f t="shared" si="13"/>
        <v>1698.305085</v>
      </c>
      <c r="AB792" s="74">
        <f t="shared" si="14"/>
        <v>1</v>
      </c>
      <c r="AC792" s="61" t="str">
        <f t="shared" si="15"/>
        <v>8</v>
      </c>
      <c r="AD792" s="71" t="str">
        <f t="shared" si="16"/>
        <v>#DIV/0!</v>
      </c>
      <c r="AE792" s="61"/>
      <c r="AF792" s="61"/>
      <c r="AG792" s="71">
        <f t="array" ref="AG792">IFERROR(xlookup(G792,'Old Master'!T:T,'Old Master'!V:V),N792)</f>
        <v>0.1817068191</v>
      </c>
      <c r="AH792" s="73">
        <f t="shared" si="229"/>
        <v>2004</v>
      </c>
      <c r="AI792" s="73">
        <f t="shared" si="230"/>
        <v>1698.305085</v>
      </c>
      <c r="AJ792" s="72">
        <f t="shared" si="19"/>
        <v>1</v>
      </c>
      <c r="AK792" s="61"/>
      <c r="AL792" s="71">
        <f t="array" ref="AL792">iferror(if(isblank(xlookup($G792,'Old Master'!$T:$T,'Old Master'!$W:$W)),AG792,xlookup($G792,'Old Master'!$T:$T,'Old Master'!$W:$W)),AG792)</f>
        <v>0.1817068191</v>
      </c>
      <c r="AM792" s="74">
        <f t="shared" si="20"/>
        <v>0.1817068191</v>
      </c>
      <c r="AN792" s="73">
        <f t="shared" ref="AN792:AN805" si="440">O792</f>
        <v>2004</v>
      </c>
    </row>
    <row r="793">
      <c r="A793" s="65" t="s">
        <v>1333</v>
      </c>
      <c r="B793" s="65" t="str">
        <f t="shared" si="1"/>
        <v>#VALUE!</v>
      </c>
      <c r="C793" s="65" t="str">
        <f t="shared" si="403"/>
        <v>#VALUE!</v>
      </c>
      <c r="D793" s="65" t="s">
        <v>1335</v>
      </c>
      <c r="E793" s="65" t="s">
        <v>1336</v>
      </c>
      <c r="F793" s="65" t="s">
        <v>1337</v>
      </c>
      <c r="G793" s="65" t="s">
        <v>5089</v>
      </c>
      <c r="H793" s="65" t="s">
        <v>4730</v>
      </c>
      <c r="I793" s="65">
        <v>2449.0</v>
      </c>
      <c r="J793" s="66">
        <v>0.2817476521028991</v>
      </c>
      <c r="K793" s="65">
        <f t="shared" si="3"/>
        <v>1759</v>
      </c>
      <c r="L793" s="66">
        <v>0.1</v>
      </c>
      <c r="M793" s="65">
        <f t="shared" si="4"/>
        <v>2204</v>
      </c>
      <c r="N793" s="67">
        <f t="shared" si="404"/>
        <v>0.1817068191</v>
      </c>
      <c r="O793" s="68">
        <v>2004.0</v>
      </c>
      <c r="P793" s="67">
        <f t="shared" si="412"/>
        <v>0.1817068191</v>
      </c>
      <c r="Q793" s="69">
        <v>2004.0</v>
      </c>
      <c r="R793" s="70"/>
      <c r="S793" s="71">
        <f t="shared" si="433"/>
        <v>0.1392836839</v>
      </c>
      <c r="T793" s="72">
        <f t="shared" si="6"/>
        <v>0</v>
      </c>
      <c r="U793" s="73" t="str">
        <f t="shared" si="437"/>
        <v/>
      </c>
      <c r="V793" s="73">
        <f t="shared" si="340"/>
        <v>1867.79661</v>
      </c>
      <c r="W793" s="73">
        <f t="shared" si="9"/>
        <v>1867.79661</v>
      </c>
      <c r="X793" s="74">
        <f t="shared" si="10"/>
        <v>1</v>
      </c>
      <c r="Y793" s="73">
        <f t="shared" si="333"/>
        <v>0</v>
      </c>
      <c r="Z793" s="73">
        <f t="shared" si="12"/>
        <v>1698.305085</v>
      </c>
      <c r="AA793" s="73">
        <f t="shared" si="13"/>
        <v>1698.305085</v>
      </c>
      <c r="AB793" s="74">
        <f t="shared" si="14"/>
        <v>1</v>
      </c>
      <c r="AC793" s="61" t="str">
        <f t="shared" si="15"/>
        <v>8</v>
      </c>
      <c r="AD793" s="71" t="str">
        <f t="shared" si="16"/>
        <v>#DIV/0!</v>
      </c>
      <c r="AE793" s="61"/>
      <c r="AF793" s="61"/>
      <c r="AG793" s="71">
        <f t="array" ref="AG793">IFERROR(xlookup(G793,'Old Master'!T:T,'Old Master'!V:V),N793)</f>
        <v>0.1817068191</v>
      </c>
      <c r="AH793" s="73">
        <f t="shared" si="229"/>
        <v>2004</v>
      </c>
      <c r="AI793" s="73">
        <f t="shared" si="230"/>
        <v>1698.305085</v>
      </c>
      <c r="AJ793" s="72">
        <f t="shared" si="19"/>
        <v>1</v>
      </c>
      <c r="AK793" s="61"/>
      <c r="AL793" s="71">
        <f t="array" ref="AL793">iferror(if(isblank(xlookup($G793,'Old Master'!$T:$T,'Old Master'!$W:$W)),AG793,xlookup($G793,'Old Master'!$T:$T,'Old Master'!$W:$W)),AG793)</f>
        <v>0.1817068191</v>
      </c>
      <c r="AM793" s="74">
        <f t="shared" si="20"/>
        <v>0.1817068191</v>
      </c>
      <c r="AN793" s="73">
        <f t="shared" si="440"/>
        <v>2004</v>
      </c>
    </row>
    <row r="794">
      <c r="A794" s="65" t="s">
        <v>1339</v>
      </c>
      <c r="B794" s="65" t="str">
        <f t="shared" si="1"/>
        <v>#VALUE!</v>
      </c>
      <c r="C794" s="65" t="str">
        <f t="shared" si="403"/>
        <v>#VALUE!</v>
      </c>
      <c r="D794" s="65" t="s">
        <v>1341</v>
      </c>
      <c r="E794" s="65" t="s">
        <v>1342</v>
      </c>
      <c r="F794" s="65" t="s">
        <v>1343</v>
      </c>
      <c r="G794" s="65" t="s">
        <v>5089</v>
      </c>
      <c r="H794" s="65" t="s">
        <v>4730</v>
      </c>
      <c r="I794" s="65">
        <v>2449.0</v>
      </c>
      <c r="J794" s="66">
        <v>0.2817476521028991</v>
      </c>
      <c r="K794" s="65">
        <f t="shared" si="3"/>
        <v>1759</v>
      </c>
      <c r="L794" s="66">
        <v>0.1</v>
      </c>
      <c r="M794" s="65">
        <f t="shared" si="4"/>
        <v>2204</v>
      </c>
      <c r="N794" s="67">
        <f t="shared" si="404"/>
        <v>0.1817068191</v>
      </c>
      <c r="O794" s="68">
        <v>2004.0</v>
      </c>
      <c r="P794" s="67">
        <f t="shared" si="412"/>
        <v>0.1817068191</v>
      </c>
      <c r="Q794" s="69">
        <v>2004.0</v>
      </c>
      <c r="R794" s="70"/>
      <c r="S794" s="71">
        <f t="shared" si="433"/>
        <v>0.1392836839</v>
      </c>
      <c r="T794" s="72">
        <f t="shared" si="6"/>
        <v>0</v>
      </c>
      <c r="U794" s="73" t="str">
        <f t="shared" si="437"/>
        <v/>
      </c>
      <c r="V794" s="73">
        <f t="shared" si="340"/>
        <v>1867.79661</v>
      </c>
      <c r="W794" s="73">
        <f t="shared" si="9"/>
        <v>1867.79661</v>
      </c>
      <c r="X794" s="74">
        <f t="shared" si="10"/>
        <v>1</v>
      </c>
      <c r="Y794" s="73">
        <f t="shared" si="333"/>
        <v>0</v>
      </c>
      <c r="Z794" s="73">
        <f t="shared" si="12"/>
        <v>1698.305085</v>
      </c>
      <c r="AA794" s="73">
        <f t="shared" si="13"/>
        <v>1698.305085</v>
      </c>
      <c r="AB794" s="74">
        <f t="shared" si="14"/>
        <v>1</v>
      </c>
      <c r="AC794" s="61" t="str">
        <f t="shared" si="15"/>
        <v>8</v>
      </c>
      <c r="AD794" s="71" t="str">
        <f t="shared" si="16"/>
        <v>#DIV/0!</v>
      </c>
      <c r="AE794" s="61"/>
      <c r="AF794" s="61"/>
      <c r="AG794" s="71">
        <f t="array" ref="AG794">IFERROR(xlookup(G794,'Old Master'!T:T,'Old Master'!V:V),N794)</f>
        <v>0.1817068191</v>
      </c>
      <c r="AH794" s="73">
        <f t="shared" si="229"/>
        <v>2004</v>
      </c>
      <c r="AI794" s="73">
        <f t="shared" si="230"/>
        <v>1698.305085</v>
      </c>
      <c r="AJ794" s="72">
        <f t="shared" si="19"/>
        <v>1</v>
      </c>
      <c r="AK794" s="61"/>
      <c r="AL794" s="71">
        <f t="array" ref="AL794">iferror(if(isblank(xlookup($G794,'Old Master'!$T:$T,'Old Master'!$W:$W)),AG794,xlookup($G794,'Old Master'!$T:$T,'Old Master'!$W:$W)),AG794)</f>
        <v>0.1817068191</v>
      </c>
      <c r="AM794" s="74">
        <f t="shared" si="20"/>
        <v>0.1817068191</v>
      </c>
      <c r="AN794" s="73">
        <f t="shared" si="440"/>
        <v>2004</v>
      </c>
    </row>
    <row r="795">
      <c r="A795" s="65" t="s">
        <v>1273</v>
      </c>
      <c r="B795" s="65" t="str">
        <f t="shared" si="1"/>
        <v>#VALUE!</v>
      </c>
      <c r="C795" s="65" t="str">
        <f t="shared" si="403"/>
        <v>#VALUE!</v>
      </c>
      <c r="D795" s="65" t="s">
        <v>1275</v>
      </c>
      <c r="E795" s="65" t="s">
        <v>1276</v>
      </c>
      <c r="F795" s="65" t="s">
        <v>1277</v>
      </c>
      <c r="G795" s="65" t="s">
        <v>5089</v>
      </c>
      <c r="H795" s="65" t="s">
        <v>4730</v>
      </c>
      <c r="I795" s="65">
        <v>2449.0</v>
      </c>
      <c r="J795" s="66">
        <v>0.2817476521028991</v>
      </c>
      <c r="K795" s="65">
        <f t="shared" si="3"/>
        <v>1759</v>
      </c>
      <c r="L795" s="66">
        <v>0.1</v>
      </c>
      <c r="M795" s="65">
        <f t="shared" si="4"/>
        <v>2204</v>
      </c>
      <c r="N795" s="67">
        <f t="shared" si="404"/>
        <v>0.1817068191</v>
      </c>
      <c r="O795" s="68">
        <v>2004.0</v>
      </c>
      <c r="P795" s="67">
        <f t="shared" si="412"/>
        <v>0.1817068191</v>
      </c>
      <c r="Q795" s="69">
        <v>2004.0</v>
      </c>
      <c r="R795" s="70"/>
      <c r="S795" s="71">
        <f t="shared" si="433"/>
        <v>0.1392836839</v>
      </c>
      <c r="T795" s="72">
        <f t="shared" si="6"/>
        <v>0</v>
      </c>
      <c r="U795" s="73" t="str">
        <f t="shared" si="437"/>
        <v/>
      </c>
      <c r="V795" s="73">
        <f t="shared" si="340"/>
        <v>1867.79661</v>
      </c>
      <c r="W795" s="73">
        <f t="shared" si="9"/>
        <v>1867.79661</v>
      </c>
      <c r="X795" s="74">
        <f t="shared" si="10"/>
        <v>1</v>
      </c>
      <c r="Y795" s="73">
        <f t="shared" si="333"/>
        <v>0</v>
      </c>
      <c r="Z795" s="73">
        <f t="shared" si="12"/>
        <v>1698.305085</v>
      </c>
      <c r="AA795" s="73">
        <f t="shared" si="13"/>
        <v>1698.305085</v>
      </c>
      <c r="AB795" s="74">
        <f t="shared" si="14"/>
        <v>1</v>
      </c>
      <c r="AC795" s="61" t="str">
        <f t="shared" si="15"/>
        <v>8</v>
      </c>
      <c r="AD795" s="71" t="str">
        <f t="shared" si="16"/>
        <v>#DIV/0!</v>
      </c>
      <c r="AE795" s="61"/>
      <c r="AF795" s="61"/>
      <c r="AG795" s="71">
        <f t="array" ref="AG795">IFERROR(xlookup(G795,'Old Master'!T:T,'Old Master'!V:V),N795)</f>
        <v>0.1817068191</v>
      </c>
      <c r="AH795" s="73">
        <f t="shared" si="229"/>
        <v>2004</v>
      </c>
      <c r="AI795" s="73">
        <f t="shared" si="230"/>
        <v>1698.305085</v>
      </c>
      <c r="AJ795" s="72">
        <f t="shared" si="19"/>
        <v>1</v>
      </c>
      <c r="AK795" s="61"/>
      <c r="AL795" s="71">
        <f t="array" ref="AL795">iferror(if(isblank(xlookup($G795,'Old Master'!$T:$T,'Old Master'!$W:$W)),AG795,xlookup($G795,'Old Master'!$T:$T,'Old Master'!$W:$W)),AG795)</f>
        <v>0.1817068191</v>
      </c>
      <c r="AM795" s="74">
        <f t="shared" si="20"/>
        <v>0.1817068191</v>
      </c>
      <c r="AN795" s="73">
        <f t="shared" si="440"/>
        <v>2004</v>
      </c>
    </row>
    <row r="796">
      <c r="A796" s="65" t="s">
        <v>1279</v>
      </c>
      <c r="B796" s="65" t="str">
        <f t="shared" si="1"/>
        <v>#VALUE!</v>
      </c>
      <c r="C796" s="65" t="str">
        <f t="shared" si="403"/>
        <v>#VALUE!</v>
      </c>
      <c r="D796" s="65" t="s">
        <v>1281</v>
      </c>
      <c r="E796" s="65" t="s">
        <v>1282</v>
      </c>
      <c r="F796" s="65" t="s">
        <v>1283</v>
      </c>
      <c r="G796" s="65" t="s">
        <v>5089</v>
      </c>
      <c r="H796" s="65" t="s">
        <v>4730</v>
      </c>
      <c r="I796" s="65">
        <v>2449.0</v>
      </c>
      <c r="J796" s="66">
        <v>0.2817476521028991</v>
      </c>
      <c r="K796" s="65">
        <f t="shared" si="3"/>
        <v>1759</v>
      </c>
      <c r="L796" s="66">
        <v>0.1</v>
      </c>
      <c r="M796" s="65">
        <f t="shared" si="4"/>
        <v>2204</v>
      </c>
      <c r="N796" s="67">
        <f t="shared" si="404"/>
        <v>0.1817068191</v>
      </c>
      <c r="O796" s="68">
        <v>2004.0</v>
      </c>
      <c r="P796" s="67">
        <f t="shared" si="412"/>
        <v>0.1817068191</v>
      </c>
      <c r="Q796" s="69">
        <v>2004.0</v>
      </c>
      <c r="R796" s="70"/>
      <c r="S796" s="71">
        <f t="shared" si="433"/>
        <v>0.1392836839</v>
      </c>
      <c r="T796" s="72">
        <f t="shared" si="6"/>
        <v>0</v>
      </c>
      <c r="U796" s="73" t="str">
        <f t="shared" si="437"/>
        <v/>
      </c>
      <c r="V796" s="73">
        <f t="shared" si="340"/>
        <v>1867.79661</v>
      </c>
      <c r="W796" s="73">
        <f t="shared" si="9"/>
        <v>1867.79661</v>
      </c>
      <c r="X796" s="74">
        <f t="shared" si="10"/>
        <v>1</v>
      </c>
      <c r="Y796" s="73">
        <f t="shared" si="333"/>
        <v>0</v>
      </c>
      <c r="Z796" s="73">
        <f t="shared" si="12"/>
        <v>1698.305085</v>
      </c>
      <c r="AA796" s="73">
        <f t="shared" si="13"/>
        <v>1698.305085</v>
      </c>
      <c r="AB796" s="74">
        <f t="shared" si="14"/>
        <v>1</v>
      </c>
      <c r="AC796" s="61" t="str">
        <f t="shared" si="15"/>
        <v>8</v>
      </c>
      <c r="AD796" s="71" t="str">
        <f t="shared" si="16"/>
        <v>#DIV/0!</v>
      </c>
      <c r="AE796" s="61"/>
      <c r="AF796" s="61"/>
      <c r="AG796" s="71">
        <f t="array" ref="AG796">IFERROR(xlookup(G796,'Old Master'!T:T,'Old Master'!V:V),N796)</f>
        <v>0.1817068191</v>
      </c>
      <c r="AH796" s="73">
        <f t="shared" si="229"/>
        <v>2004</v>
      </c>
      <c r="AI796" s="73">
        <f t="shared" si="230"/>
        <v>1698.305085</v>
      </c>
      <c r="AJ796" s="72">
        <f t="shared" si="19"/>
        <v>1</v>
      </c>
      <c r="AK796" s="61"/>
      <c r="AL796" s="71">
        <f t="array" ref="AL796">iferror(if(isblank(xlookup($G796,'Old Master'!$T:$T,'Old Master'!$W:$W)),AG796,xlookup($G796,'Old Master'!$T:$T,'Old Master'!$W:$W)),AG796)</f>
        <v>0.1817068191</v>
      </c>
      <c r="AM796" s="74">
        <f t="shared" si="20"/>
        <v>0.1817068191</v>
      </c>
      <c r="AN796" s="73">
        <f t="shared" si="440"/>
        <v>2004</v>
      </c>
    </row>
    <row r="797">
      <c r="A797" s="65" t="s">
        <v>1285</v>
      </c>
      <c r="B797" s="65" t="str">
        <f t="shared" si="1"/>
        <v>#VALUE!</v>
      </c>
      <c r="C797" s="65" t="str">
        <f t="shared" si="403"/>
        <v>#VALUE!</v>
      </c>
      <c r="D797" s="65" t="s">
        <v>1287</v>
      </c>
      <c r="E797" s="65" t="s">
        <v>1288</v>
      </c>
      <c r="F797" s="65" t="s">
        <v>1289</v>
      </c>
      <c r="G797" s="65" t="s">
        <v>5089</v>
      </c>
      <c r="H797" s="65" t="s">
        <v>4730</v>
      </c>
      <c r="I797" s="65">
        <v>2449.0</v>
      </c>
      <c r="J797" s="66">
        <v>0.2817476521028991</v>
      </c>
      <c r="K797" s="65">
        <f t="shared" si="3"/>
        <v>1759</v>
      </c>
      <c r="L797" s="66">
        <v>0.1</v>
      </c>
      <c r="M797" s="65">
        <f t="shared" si="4"/>
        <v>2204</v>
      </c>
      <c r="N797" s="67">
        <f t="shared" si="404"/>
        <v>0.1817068191</v>
      </c>
      <c r="O797" s="68">
        <v>2004.0</v>
      </c>
      <c r="P797" s="67">
        <f t="shared" si="412"/>
        <v>0.1817068191</v>
      </c>
      <c r="Q797" s="69">
        <v>2004.0</v>
      </c>
      <c r="R797" s="70"/>
      <c r="S797" s="71">
        <f t="shared" si="433"/>
        <v>0.1392836839</v>
      </c>
      <c r="T797" s="72">
        <f t="shared" si="6"/>
        <v>0</v>
      </c>
      <c r="U797" s="73" t="str">
        <f t="shared" si="437"/>
        <v/>
      </c>
      <c r="V797" s="73">
        <f t="shared" si="340"/>
        <v>1867.79661</v>
      </c>
      <c r="W797" s="73">
        <f t="shared" si="9"/>
        <v>1867.79661</v>
      </c>
      <c r="X797" s="74">
        <f t="shared" si="10"/>
        <v>1</v>
      </c>
      <c r="Y797" s="73">
        <f t="shared" si="333"/>
        <v>0</v>
      </c>
      <c r="Z797" s="73">
        <f t="shared" si="12"/>
        <v>1698.305085</v>
      </c>
      <c r="AA797" s="73">
        <f t="shared" si="13"/>
        <v>1698.305085</v>
      </c>
      <c r="AB797" s="74">
        <f t="shared" si="14"/>
        <v>1</v>
      </c>
      <c r="AC797" s="61" t="str">
        <f t="shared" si="15"/>
        <v>8</v>
      </c>
      <c r="AD797" s="71" t="str">
        <f t="shared" si="16"/>
        <v>#DIV/0!</v>
      </c>
      <c r="AE797" s="61"/>
      <c r="AF797" s="61"/>
      <c r="AG797" s="71">
        <f t="array" ref="AG797">IFERROR(xlookup(G797,'Old Master'!T:T,'Old Master'!V:V),N797)</f>
        <v>0.1817068191</v>
      </c>
      <c r="AH797" s="73">
        <f t="shared" si="229"/>
        <v>2004</v>
      </c>
      <c r="AI797" s="73">
        <f t="shared" si="230"/>
        <v>1698.305085</v>
      </c>
      <c r="AJ797" s="72">
        <f t="shared" si="19"/>
        <v>1</v>
      </c>
      <c r="AK797" s="61"/>
      <c r="AL797" s="71">
        <f t="array" ref="AL797">iferror(if(isblank(xlookup($G797,'Old Master'!$T:$T,'Old Master'!$W:$W)),AG797,xlookup($G797,'Old Master'!$T:$T,'Old Master'!$W:$W)),AG797)</f>
        <v>0.1817068191</v>
      </c>
      <c r="AM797" s="74">
        <f t="shared" si="20"/>
        <v>0.1817068191</v>
      </c>
      <c r="AN797" s="73">
        <f t="shared" si="440"/>
        <v>2004</v>
      </c>
    </row>
    <row r="798">
      <c r="A798" s="65" t="s">
        <v>1309</v>
      </c>
      <c r="B798" s="65" t="str">
        <f t="shared" si="1"/>
        <v>#VALUE!</v>
      </c>
      <c r="C798" s="65" t="str">
        <f t="shared" si="403"/>
        <v>#VALUE!</v>
      </c>
      <c r="D798" s="65" t="s">
        <v>1311</v>
      </c>
      <c r="E798" s="65" t="s">
        <v>1312</v>
      </c>
      <c r="F798" s="65" t="s">
        <v>1313</v>
      </c>
      <c r="G798" s="65" t="s">
        <v>5089</v>
      </c>
      <c r="H798" s="65" t="s">
        <v>4730</v>
      </c>
      <c r="I798" s="65">
        <v>2449.0</v>
      </c>
      <c r="J798" s="66">
        <v>0.2817476521028991</v>
      </c>
      <c r="K798" s="65">
        <f t="shared" si="3"/>
        <v>1759</v>
      </c>
      <c r="L798" s="66">
        <v>0.1</v>
      </c>
      <c r="M798" s="65">
        <f t="shared" si="4"/>
        <v>2204</v>
      </c>
      <c r="N798" s="67">
        <f t="shared" si="404"/>
        <v>0.1817068191</v>
      </c>
      <c r="O798" s="68">
        <v>2004.0</v>
      </c>
      <c r="P798" s="67">
        <f t="shared" si="412"/>
        <v>0.1817068191</v>
      </c>
      <c r="Q798" s="69">
        <v>2004.0</v>
      </c>
      <c r="R798" s="70"/>
      <c r="S798" s="71">
        <f t="shared" si="433"/>
        <v>0.1392836839</v>
      </c>
      <c r="T798" s="72">
        <f t="shared" si="6"/>
        <v>0</v>
      </c>
      <c r="U798" s="73" t="str">
        <f t="shared" si="437"/>
        <v/>
      </c>
      <c r="V798" s="73">
        <f t="shared" si="340"/>
        <v>1867.79661</v>
      </c>
      <c r="W798" s="73">
        <f t="shared" si="9"/>
        <v>1867.79661</v>
      </c>
      <c r="X798" s="74">
        <f t="shared" si="10"/>
        <v>1</v>
      </c>
      <c r="Y798" s="73">
        <f t="shared" si="333"/>
        <v>0</v>
      </c>
      <c r="Z798" s="73">
        <f t="shared" si="12"/>
        <v>1698.305085</v>
      </c>
      <c r="AA798" s="73">
        <f t="shared" si="13"/>
        <v>1698.305085</v>
      </c>
      <c r="AB798" s="74">
        <f t="shared" si="14"/>
        <v>1</v>
      </c>
      <c r="AC798" s="61" t="str">
        <f t="shared" si="15"/>
        <v>8</v>
      </c>
      <c r="AD798" s="71" t="str">
        <f t="shared" si="16"/>
        <v>#DIV/0!</v>
      </c>
      <c r="AE798" s="61"/>
      <c r="AF798" s="61"/>
      <c r="AG798" s="71">
        <f t="array" ref="AG798">IFERROR(xlookup(G798,'Old Master'!T:T,'Old Master'!V:V),N798)</f>
        <v>0.1817068191</v>
      </c>
      <c r="AH798" s="73">
        <f t="shared" si="229"/>
        <v>2004</v>
      </c>
      <c r="AI798" s="73">
        <f t="shared" si="230"/>
        <v>1698.305085</v>
      </c>
      <c r="AJ798" s="72">
        <f t="shared" si="19"/>
        <v>1</v>
      </c>
      <c r="AK798" s="61"/>
      <c r="AL798" s="71">
        <f t="array" ref="AL798">iferror(if(isblank(xlookup($G798,'Old Master'!$T:$T,'Old Master'!$W:$W)),AG798,xlookup($G798,'Old Master'!$T:$T,'Old Master'!$W:$W)),AG798)</f>
        <v>0.1817068191</v>
      </c>
      <c r="AM798" s="74">
        <f t="shared" si="20"/>
        <v>0.1817068191</v>
      </c>
      <c r="AN798" s="73">
        <f t="shared" si="440"/>
        <v>2004</v>
      </c>
    </row>
    <row r="799">
      <c r="A799" s="65" t="s">
        <v>1315</v>
      </c>
      <c r="B799" s="65" t="str">
        <f t="shared" si="1"/>
        <v>#VALUE!</v>
      </c>
      <c r="C799" s="65" t="str">
        <f t="shared" si="403"/>
        <v>#VALUE!</v>
      </c>
      <c r="D799" s="65" t="s">
        <v>1317</v>
      </c>
      <c r="E799" s="65" t="s">
        <v>1318</v>
      </c>
      <c r="F799" s="65" t="s">
        <v>1319</v>
      </c>
      <c r="G799" s="65" t="s">
        <v>5089</v>
      </c>
      <c r="H799" s="65" t="s">
        <v>4730</v>
      </c>
      <c r="I799" s="65">
        <v>2449.0</v>
      </c>
      <c r="J799" s="66">
        <v>0.2817476521028991</v>
      </c>
      <c r="K799" s="65">
        <f t="shared" si="3"/>
        <v>1759</v>
      </c>
      <c r="L799" s="66">
        <v>0.1</v>
      </c>
      <c r="M799" s="65">
        <f t="shared" si="4"/>
        <v>2204</v>
      </c>
      <c r="N799" s="67">
        <f t="shared" si="404"/>
        <v>0.1817068191</v>
      </c>
      <c r="O799" s="68">
        <v>2004.0</v>
      </c>
      <c r="P799" s="67">
        <f t="shared" si="412"/>
        <v>0.1817068191</v>
      </c>
      <c r="Q799" s="69">
        <v>2004.0</v>
      </c>
      <c r="R799" s="70"/>
      <c r="S799" s="71">
        <f t="shared" si="433"/>
        <v>0.1392836839</v>
      </c>
      <c r="T799" s="72">
        <f t="shared" si="6"/>
        <v>0</v>
      </c>
      <c r="U799" s="73" t="str">
        <f t="shared" si="437"/>
        <v/>
      </c>
      <c r="V799" s="73">
        <f t="shared" si="340"/>
        <v>1867.79661</v>
      </c>
      <c r="W799" s="73">
        <f t="shared" si="9"/>
        <v>1867.79661</v>
      </c>
      <c r="X799" s="74">
        <f t="shared" si="10"/>
        <v>1</v>
      </c>
      <c r="Y799" s="73">
        <f t="shared" si="333"/>
        <v>0</v>
      </c>
      <c r="Z799" s="73">
        <f t="shared" si="12"/>
        <v>1698.305085</v>
      </c>
      <c r="AA799" s="73">
        <f t="shared" si="13"/>
        <v>1698.305085</v>
      </c>
      <c r="AB799" s="74">
        <f t="shared" si="14"/>
        <v>1</v>
      </c>
      <c r="AC799" s="61" t="str">
        <f t="shared" si="15"/>
        <v>8</v>
      </c>
      <c r="AD799" s="71" t="str">
        <f t="shared" si="16"/>
        <v>#DIV/0!</v>
      </c>
      <c r="AE799" s="61"/>
      <c r="AF799" s="61"/>
      <c r="AG799" s="71">
        <f t="array" ref="AG799">IFERROR(xlookup(G799,'Old Master'!T:T,'Old Master'!V:V),N799)</f>
        <v>0.1817068191</v>
      </c>
      <c r="AH799" s="73">
        <f t="shared" si="229"/>
        <v>2004</v>
      </c>
      <c r="AI799" s="73">
        <f t="shared" si="230"/>
        <v>1698.305085</v>
      </c>
      <c r="AJ799" s="72">
        <f t="shared" si="19"/>
        <v>1</v>
      </c>
      <c r="AK799" s="61"/>
      <c r="AL799" s="71">
        <f t="array" ref="AL799">iferror(if(isblank(xlookup($G799,'Old Master'!$T:$T,'Old Master'!$W:$W)),AG799,xlookup($G799,'Old Master'!$T:$T,'Old Master'!$W:$W)),AG799)</f>
        <v>0.1817068191</v>
      </c>
      <c r="AM799" s="74">
        <f t="shared" si="20"/>
        <v>0.1817068191</v>
      </c>
      <c r="AN799" s="73">
        <f t="shared" si="440"/>
        <v>2004</v>
      </c>
    </row>
    <row r="800">
      <c r="A800" s="65" t="s">
        <v>1321</v>
      </c>
      <c r="B800" s="65" t="str">
        <f t="shared" si="1"/>
        <v>#VALUE!</v>
      </c>
      <c r="C800" s="65" t="str">
        <f t="shared" si="403"/>
        <v>#VALUE!</v>
      </c>
      <c r="D800" s="65" t="s">
        <v>1323</v>
      </c>
      <c r="E800" s="65" t="s">
        <v>1324</v>
      </c>
      <c r="F800" s="65" t="s">
        <v>1325</v>
      </c>
      <c r="G800" s="65" t="s">
        <v>5089</v>
      </c>
      <c r="H800" s="65" t="s">
        <v>4730</v>
      </c>
      <c r="I800" s="65">
        <v>2449.0</v>
      </c>
      <c r="J800" s="66">
        <v>0.2817476521028991</v>
      </c>
      <c r="K800" s="65">
        <f t="shared" si="3"/>
        <v>1759</v>
      </c>
      <c r="L800" s="66">
        <v>0.1</v>
      </c>
      <c r="M800" s="65">
        <f t="shared" si="4"/>
        <v>2204</v>
      </c>
      <c r="N800" s="67">
        <f t="shared" si="404"/>
        <v>0.1817068191</v>
      </c>
      <c r="O800" s="68">
        <v>2004.0</v>
      </c>
      <c r="P800" s="67">
        <f t="shared" si="412"/>
        <v>0.1817068191</v>
      </c>
      <c r="Q800" s="69">
        <v>2004.0</v>
      </c>
      <c r="R800" s="70"/>
      <c r="S800" s="71">
        <f t="shared" si="433"/>
        <v>0.1392836839</v>
      </c>
      <c r="T800" s="72">
        <f t="shared" si="6"/>
        <v>0</v>
      </c>
      <c r="U800" s="73" t="str">
        <f t="shared" si="437"/>
        <v/>
      </c>
      <c r="V800" s="73">
        <f t="shared" si="340"/>
        <v>1867.79661</v>
      </c>
      <c r="W800" s="73">
        <f t="shared" si="9"/>
        <v>1867.79661</v>
      </c>
      <c r="X800" s="74">
        <f t="shared" si="10"/>
        <v>1</v>
      </c>
      <c r="Y800" s="73">
        <f t="shared" si="333"/>
        <v>0</v>
      </c>
      <c r="Z800" s="73">
        <f t="shared" si="12"/>
        <v>1698.305085</v>
      </c>
      <c r="AA800" s="73">
        <f t="shared" si="13"/>
        <v>1698.305085</v>
      </c>
      <c r="AB800" s="74">
        <f t="shared" si="14"/>
        <v>1</v>
      </c>
      <c r="AC800" s="61" t="str">
        <f t="shared" si="15"/>
        <v>8</v>
      </c>
      <c r="AD800" s="71" t="str">
        <f t="shared" si="16"/>
        <v>#DIV/0!</v>
      </c>
      <c r="AE800" s="61"/>
      <c r="AF800" s="61"/>
      <c r="AG800" s="71">
        <f t="array" ref="AG800">IFERROR(xlookup(G800,'Old Master'!T:T,'Old Master'!V:V),N800)</f>
        <v>0.1817068191</v>
      </c>
      <c r="AH800" s="73">
        <f t="shared" si="229"/>
        <v>2004</v>
      </c>
      <c r="AI800" s="73">
        <f t="shared" si="230"/>
        <v>1698.305085</v>
      </c>
      <c r="AJ800" s="72">
        <f t="shared" si="19"/>
        <v>1</v>
      </c>
      <c r="AK800" s="61"/>
      <c r="AL800" s="71">
        <f t="array" ref="AL800">iferror(if(isblank(xlookup($G800,'Old Master'!$T:$T,'Old Master'!$W:$W)),AG800,xlookup($G800,'Old Master'!$T:$T,'Old Master'!$W:$W)),AG800)</f>
        <v>0.1817068191</v>
      </c>
      <c r="AM800" s="74">
        <f t="shared" si="20"/>
        <v>0.1817068191</v>
      </c>
      <c r="AN800" s="73">
        <f t="shared" si="440"/>
        <v>2004</v>
      </c>
    </row>
    <row r="801">
      <c r="A801" s="65" t="s">
        <v>1297</v>
      </c>
      <c r="B801" s="65" t="str">
        <f t="shared" si="1"/>
        <v>#VALUE!</v>
      </c>
      <c r="C801" s="65" t="str">
        <f t="shared" si="403"/>
        <v>#VALUE!</v>
      </c>
      <c r="D801" s="65" t="s">
        <v>1299</v>
      </c>
      <c r="E801" s="65" t="s">
        <v>1300</v>
      </c>
      <c r="F801" s="65" t="s">
        <v>1301</v>
      </c>
      <c r="G801" s="65" t="s">
        <v>5089</v>
      </c>
      <c r="H801" s="65" t="s">
        <v>4730</v>
      </c>
      <c r="I801" s="65">
        <v>2449.0</v>
      </c>
      <c r="J801" s="66">
        <v>0.2817476521028991</v>
      </c>
      <c r="K801" s="65">
        <f t="shared" si="3"/>
        <v>1759</v>
      </c>
      <c r="L801" s="66">
        <v>0.1</v>
      </c>
      <c r="M801" s="65">
        <f t="shared" si="4"/>
        <v>2204</v>
      </c>
      <c r="N801" s="67">
        <f t="shared" si="404"/>
        <v>0.1817068191</v>
      </c>
      <c r="O801" s="68">
        <v>2004.0</v>
      </c>
      <c r="P801" s="67">
        <f t="shared" si="412"/>
        <v>0.1817068191</v>
      </c>
      <c r="Q801" s="69">
        <v>2004.0</v>
      </c>
      <c r="R801" s="70"/>
      <c r="S801" s="71">
        <f t="shared" si="433"/>
        <v>0.1392836839</v>
      </c>
      <c r="T801" s="72">
        <f t="shared" si="6"/>
        <v>0</v>
      </c>
      <c r="U801" s="73" t="str">
        <f t="shared" si="437"/>
        <v/>
      </c>
      <c r="V801" s="73">
        <f t="shared" si="340"/>
        <v>1867.79661</v>
      </c>
      <c r="W801" s="73">
        <f t="shared" si="9"/>
        <v>1867.79661</v>
      </c>
      <c r="X801" s="74">
        <f t="shared" si="10"/>
        <v>1</v>
      </c>
      <c r="Y801" s="73">
        <f t="shared" si="333"/>
        <v>0</v>
      </c>
      <c r="Z801" s="73">
        <f t="shared" si="12"/>
        <v>1698.305085</v>
      </c>
      <c r="AA801" s="73">
        <f t="shared" si="13"/>
        <v>1698.305085</v>
      </c>
      <c r="AB801" s="74">
        <f t="shared" si="14"/>
        <v>1</v>
      </c>
      <c r="AC801" s="61" t="str">
        <f t="shared" si="15"/>
        <v>8</v>
      </c>
      <c r="AD801" s="71" t="str">
        <f t="shared" si="16"/>
        <v>#DIV/0!</v>
      </c>
      <c r="AE801" s="61"/>
      <c r="AF801" s="61"/>
      <c r="AG801" s="71">
        <f t="array" ref="AG801">IFERROR(xlookup(G801,'Old Master'!T:T,'Old Master'!V:V),N801)</f>
        <v>0.1817068191</v>
      </c>
      <c r="AH801" s="73">
        <f t="shared" si="229"/>
        <v>2004</v>
      </c>
      <c r="AI801" s="73">
        <f t="shared" si="230"/>
        <v>1698.305085</v>
      </c>
      <c r="AJ801" s="72">
        <f t="shared" si="19"/>
        <v>1</v>
      </c>
      <c r="AK801" s="61"/>
      <c r="AL801" s="71">
        <f t="array" ref="AL801">iferror(if(isblank(xlookup($G801,'Old Master'!$T:$T,'Old Master'!$W:$W)),AG801,xlookup($G801,'Old Master'!$T:$T,'Old Master'!$W:$W)),AG801)</f>
        <v>0.1817068191</v>
      </c>
      <c r="AM801" s="74">
        <f t="shared" si="20"/>
        <v>0.1817068191</v>
      </c>
      <c r="AN801" s="73">
        <f t="shared" si="440"/>
        <v>2004</v>
      </c>
    </row>
    <row r="802">
      <c r="A802" s="65" t="s">
        <v>1303</v>
      </c>
      <c r="B802" s="65" t="str">
        <f t="shared" si="1"/>
        <v>#VALUE!</v>
      </c>
      <c r="C802" s="65" t="str">
        <f t="shared" si="403"/>
        <v>#VALUE!</v>
      </c>
      <c r="D802" s="65" t="s">
        <v>1305</v>
      </c>
      <c r="E802" s="65" t="s">
        <v>1306</v>
      </c>
      <c r="F802" s="65" t="s">
        <v>1307</v>
      </c>
      <c r="G802" s="65" t="s">
        <v>5089</v>
      </c>
      <c r="H802" s="65" t="s">
        <v>4730</v>
      </c>
      <c r="I802" s="65">
        <v>2449.0</v>
      </c>
      <c r="J802" s="66">
        <v>0.2817476521028991</v>
      </c>
      <c r="K802" s="65">
        <f t="shared" si="3"/>
        <v>1759</v>
      </c>
      <c r="L802" s="66">
        <v>0.1</v>
      </c>
      <c r="M802" s="65">
        <f t="shared" si="4"/>
        <v>2204</v>
      </c>
      <c r="N802" s="67">
        <f t="shared" si="404"/>
        <v>0.1817068191</v>
      </c>
      <c r="O802" s="68">
        <v>2004.0</v>
      </c>
      <c r="P802" s="67">
        <f t="shared" si="412"/>
        <v>0.1817068191</v>
      </c>
      <c r="Q802" s="69">
        <v>2004.0</v>
      </c>
      <c r="R802" s="70"/>
      <c r="S802" s="71">
        <f t="shared" si="433"/>
        <v>0.1392836839</v>
      </c>
      <c r="T802" s="72">
        <f t="shared" si="6"/>
        <v>0</v>
      </c>
      <c r="U802" s="73" t="str">
        <f t="shared" si="437"/>
        <v/>
      </c>
      <c r="V802" s="73">
        <f t="shared" si="340"/>
        <v>1867.79661</v>
      </c>
      <c r="W802" s="73">
        <f t="shared" si="9"/>
        <v>1867.79661</v>
      </c>
      <c r="X802" s="74">
        <f t="shared" si="10"/>
        <v>1</v>
      </c>
      <c r="Y802" s="73">
        <f t="shared" si="333"/>
        <v>0</v>
      </c>
      <c r="Z802" s="73">
        <f t="shared" si="12"/>
        <v>1698.305085</v>
      </c>
      <c r="AA802" s="73">
        <f t="shared" si="13"/>
        <v>1698.305085</v>
      </c>
      <c r="AB802" s="74">
        <f t="shared" si="14"/>
        <v>1</v>
      </c>
      <c r="AC802" s="61" t="str">
        <f t="shared" si="15"/>
        <v>8</v>
      </c>
      <c r="AD802" s="71" t="str">
        <f t="shared" si="16"/>
        <v>#DIV/0!</v>
      </c>
      <c r="AE802" s="61"/>
      <c r="AF802" s="61"/>
      <c r="AG802" s="71">
        <f t="array" ref="AG802">IFERROR(xlookup(G802,'Old Master'!T:T,'Old Master'!V:V),N802)</f>
        <v>0.1817068191</v>
      </c>
      <c r="AH802" s="73">
        <f t="shared" si="229"/>
        <v>2004</v>
      </c>
      <c r="AI802" s="73">
        <f t="shared" si="230"/>
        <v>1698.305085</v>
      </c>
      <c r="AJ802" s="72">
        <f t="shared" si="19"/>
        <v>1</v>
      </c>
      <c r="AK802" s="61"/>
      <c r="AL802" s="71">
        <f t="array" ref="AL802">iferror(if(isblank(xlookup($G802,'Old Master'!$T:$T,'Old Master'!$W:$W)),AG802,xlookup($G802,'Old Master'!$T:$T,'Old Master'!$W:$W)),AG802)</f>
        <v>0.1817068191</v>
      </c>
      <c r="AM802" s="74">
        <f t="shared" si="20"/>
        <v>0.1817068191</v>
      </c>
      <c r="AN802" s="73">
        <f t="shared" si="440"/>
        <v>2004</v>
      </c>
    </row>
    <row r="803">
      <c r="A803" s="65" t="s">
        <v>3544</v>
      </c>
      <c r="B803" s="65" t="str">
        <f t="shared" si="1"/>
        <v>#VALUE!</v>
      </c>
      <c r="C803" s="65" t="str">
        <f t="shared" si="403"/>
        <v>#VALUE!</v>
      </c>
      <c r="D803" s="65" t="s">
        <v>3546</v>
      </c>
      <c r="E803" s="65" t="s">
        <v>3548</v>
      </c>
      <c r="F803" s="65" t="s">
        <v>3549</v>
      </c>
      <c r="G803" s="65" t="s">
        <v>5098</v>
      </c>
      <c r="H803" s="65" t="s">
        <v>4730</v>
      </c>
      <c r="I803" s="65">
        <v>799.0</v>
      </c>
      <c r="J803" s="66">
        <v>0.1</v>
      </c>
      <c r="K803" s="65">
        <f t="shared" si="3"/>
        <v>719</v>
      </c>
      <c r="L803" s="66">
        <v>0.1</v>
      </c>
      <c r="M803" s="65">
        <f t="shared" si="4"/>
        <v>719</v>
      </c>
      <c r="N803" s="67">
        <f t="shared" si="404"/>
        <v>0.1001251564</v>
      </c>
      <c r="O803" s="68">
        <v>719.0</v>
      </c>
      <c r="P803" s="67">
        <f t="shared" si="412"/>
        <v>0.1001251564</v>
      </c>
      <c r="Q803" s="69">
        <v>719.0</v>
      </c>
      <c r="R803" s="70"/>
      <c r="S803" s="71">
        <f t="shared" si="433"/>
        <v>0</v>
      </c>
      <c r="T803" s="72">
        <f t="shared" si="6"/>
        <v>0</v>
      </c>
      <c r="U803" s="73" t="str">
        <f t="shared" si="437"/>
        <v/>
      </c>
      <c r="V803" s="73">
        <f t="shared" si="340"/>
        <v>609.3220339</v>
      </c>
      <c r="W803" s="73">
        <f t="shared" si="9"/>
        <v>609.3220339</v>
      </c>
      <c r="X803" s="74">
        <f t="shared" si="10"/>
        <v>1</v>
      </c>
      <c r="Y803" s="73">
        <f t="shared" si="333"/>
        <v>0</v>
      </c>
      <c r="Z803" s="73">
        <f t="shared" si="12"/>
        <v>609.3220339</v>
      </c>
      <c r="AA803" s="73">
        <f t="shared" si="13"/>
        <v>609.3220339</v>
      </c>
      <c r="AB803" s="74">
        <f t="shared" si="14"/>
        <v>1</v>
      </c>
      <c r="AC803" s="61" t="str">
        <f t="shared" si="15"/>
        <v>0</v>
      </c>
      <c r="AD803" s="71" t="str">
        <f t="shared" si="16"/>
        <v>#DIV/0!</v>
      </c>
      <c r="AE803" s="61"/>
      <c r="AF803" s="61"/>
      <c r="AG803" s="71">
        <f t="array" ref="AG803">IFERROR(xlookup(G803,'Old Master'!T:T,'Old Master'!V:V),N803)</f>
        <v>0.1001251564</v>
      </c>
      <c r="AH803" s="73">
        <f t="shared" si="229"/>
        <v>719</v>
      </c>
      <c r="AI803" s="73">
        <f t="shared" si="230"/>
        <v>609.3220339</v>
      </c>
      <c r="AJ803" s="72">
        <f t="shared" si="19"/>
        <v>1</v>
      </c>
      <c r="AK803" s="61"/>
      <c r="AL803" s="71">
        <f t="array" ref="AL803">iferror(if(isblank(xlookup($G803,'Old Master'!$T:$T,'Old Master'!$W:$W)),AG803,xlookup($G803,'Old Master'!$T:$T,'Old Master'!$W:$W)),AG803)</f>
        <v>0.1001251564</v>
      </c>
      <c r="AM803" s="74">
        <f t="shared" si="20"/>
        <v>0.1001251564</v>
      </c>
      <c r="AN803" s="73">
        <f t="shared" si="440"/>
        <v>719</v>
      </c>
    </row>
    <row r="804">
      <c r="A804" s="65" t="s">
        <v>3537</v>
      </c>
      <c r="B804" s="65" t="str">
        <f t="shared" si="1"/>
        <v>#VALUE!</v>
      </c>
      <c r="C804" s="65" t="str">
        <f t="shared" si="403"/>
        <v>#VALUE!</v>
      </c>
      <c r="D804" s="65" t="s">
        <v>3539</v>
      </c>
      <c r="E804" s="65" t="s">
        <v>3541</v>
      </c>
      <c r="F804" s="65" t="s">
        <v>3542</v>
      </c>
      <c r="G804" s="65" t="s">
        <v>5098</v>
      </c>
      <c r="H804" s="65" t="s">
        <v>4730</v>
      </c>
      <c r="I804" s="65">
        <v>799.0</v>
      </c>
      <c r="J804" s="66">
        <v>0.1</v>
      </c>
      <c r="K804" s="65">
        <f t="shared" si="3"/>
        <v>719</v>
      </c>
      <c r="L804" s="66">
        <v>0.1</v>
      </c>
      <c r="M804" s="65">
        <f t="shared" si="4"/>
        <v>719</v>
      </c>
      <c r="N804" s="67">
        <f t="shared" si="404"/>
        <v>0.1001251564</v>
      </c>
      <c r="O804" s="68">
        <v>719.0</v>
      </c>
      <c r="P804" s="67">
        <f t="shared" si="412"/>
        <v>0.1001251564</v>
      </c>
      <c r="Q804" s="69">
        <v>719.0</v>
      </c>
      <c r="R804" s="70"/>
      <c r="S804" s="71">
        <f t="shared" si="433"/>
        <v>0</v>
      </c>
      <c r="T804" s="72">
        <f t="shared" si="6"/>
        <v>0</v>
      </c>
      <c r="U804" s="73" t="str">
        <f t="shared" si="437"/>
        <v/>
      </c>
      <c r="V804" s="73">
        <f t="shared" si="340"/>
        <v>609.3220339</v>
      </c>
      <c r="W804" s="73">
        <f t="shared" si="9"/>
        <v>609.3220339</v>
      </c>
      <c r="X804" s="74">
        <f t="shared" si="10"/>
        <v>1</v>
      </c>
      <c r="Y804" s="73">
        <f t="shared" si="333"/>
        <v>0</v>
      </c>
      <c r="Z804" s="73">
        <f t="shared" si="12"/>
        <v>609.3220339</v>
      </c>
      <c r="AA804" s="73">
        <f t="shared" si="13"/>
        <v>609.3220339</v>
      </c>
      <c r="AB804" s="74">
        <f t="shared" si="14"/>
        <v>1</v>
      </c>
      <c r="AC804" s="61" t="str">
        <f t="shared" si="15"/>
        <v>0</v>
      </c>
      <c r="AD804" s="71" t="str">
        <f t="shared" si="16"/>
        <v>#DIV/0!</v>
      </c>
      <c r="AE804" s="61"/>
      <c r="AF804" s="61"/>
      <c r="AG804" s="71">
        <f t="array" ref="AG804">IFERROR(xlookup(G804,'Old Master'!T:T,'Old Master'!V:V),N804)</f>
        <v>0.1001251564</v>
      </c>
      <c r="AH804" s="73">
        <f t="shared" si="229"/>
        <v>719</v>
      </c>
      <c r="AI804" s="73">
        <f t="shared" si="230"/>
        <v>609.3220339</v>
      </c>
      <c r="AJ804" s="72">
        <f t="shared" si="19"/>
        <v>1</v>
      </c>
      <c r="AK804" s="61"/>
      <c r="AL804" s="71">
        <f t="array" ref="AL804">iferror(if(isblank(xlookup($G804,'Old Master'!$T:$T,'Old Master'!$W:$W)),AG804,xlookup($G804,'Old Master'!$T:$T,'Old Master'!$W:$W)),AG804)</f>
        <v>0.1001251564</v>
      </c>
      <c r="AM804" s="74">
        <f t="shared" si="20"/>
        <v>0.1001251564</v>
      </c>
      <c r="AN804" s="73">
        <f t="shared" si="440"/>
        <v>719</v>
      </c>
    </row>
    <row r="805">
      <c r="A805" s="65" t="s">
        <v>3530</v>
      </c>
      <c r="B805" s="65" t="str">
        <f t="shared" si="1"/>
        <v>#VALUE!</v>
      </c>
      <c r="C805" s="65" t="str">
        <f t="shared" si="403"/>
        <v>#VALUE!</v>
      </c>
      <c r="D805" s="65" t="s">
        <v>3532</v>
      </c>
      <c r="E805" s="65" t="s">
        <v>3534</v>
      </c>
      <c r="F805" s="65" t="s">
        <v>3535</v>
      </c>
      <c r="G805" s="65" t="s">
        <v>5098</v>
      </c>
      <c r="H805" s="65" t="s">
        <v>4730</v>
      </c>
      <c r="I805" s="65">
        <v>799.0</v>
      </c>
      <c r="J805" s="66">
        <v>0.1</v>
      </c>
      <c r="K805" s="65">
        <f t="shared" si="3"/>
        <v>719</v>
      </c>
      <c r="L805" s="66">
        <v>0.1</v>
      </c>
      <c r="M805" s="65">
        <f t="shared" si="4"/>
        <v>719</v>
      </c>
      <c r="N805" s="67">
        <f t="shared" si="404"/>
        <v>0.1001251564</v>
      </c>
      <c r="O805" s="68">
        <v>719.0</v>
      </c>
      <c r="P805" s="67">
        <f t="shared" si="412"/>
        <v>0.1001251564</v>
      </c>
      <c r="Q805" s="69">
        <v>719.0</v>
      </c>
      <c r="R805" s="70"/>
      <c r="S805" s="71">
        <f t="shared" si="433"/>
        <v>0</v>
      </c>
      <c r="T805" s="72">
        <f t="shared" si="6"/>
        <v>0</v>
      </c>
      <c r="U805" s="73" t="str">
        <f t="shared" si="437"/>
        <v/>
      </c>
      <c r="V805" s="73">
        <f t="shared" si="340"/>
        <v>609.3220339</v>
      </c>
      <c r="W805" s="73">
        <f t="shared" si="9"/>
        <v>609.3220339</v>
      </c>
      <c r="X805" s="74">
        <f t="shared" si="10"/>
        <v>1</v>
      </c>
      <c r="Y805" s="73">
        <f t="shared" si="333"/>
        <v>0</v>
      </c>
      <c r="Z805" s="73">
        <f t="shared" si="12"/>
        <v>609.3220339</v>
      </c>
      <c r="AA805" s="73">
        <f t="shared" si="13"/>
        <v>609.3220339</v>
      </c>
      <c r="AB805" s="74">
        <f t="shared" si="14"/>
        <v>1</v>
      </c>
      <c r="AC805" s="61" t="str">
        <f t="shared" si="15"/>
        <v>0</v>
      </c>
      <c r="AD805" s="71" t="str">
        <f t="shared" si="16"/>
        <v>#DIV/0!</v>
      </c>
      <c r="AE805" s="61"/>
      <c r="AF805" s="61"/>
      <c r="AG805" s="71">
        <f t="array" ref="AG805">IFERROR(xlookup(G805,'Old Master'!T:T,'Old Master'!V:V),N805)</f>
        <v>0.1001251564</v>
      </c>
      <c r="AH805" s="73">
        <f t="shared" si="229"/>
        <v>719</v>
      </c>
      <c r="AI805" s="73">
        <f t="shared" si="230"/>
        <v>609.3220339</v>
      </c>
      <c r="AJ805" s="72">
        <f t="shared" si="19"/>
        <v>1</v>
      </c>
      <c r="AK805" s="61"/>
      <c r="AL805" s="71">
        <f t="array" ref="AL805">iferror(if(isblank(xlookup($G805,'Old Master'!$T:$T,'Old Master'!$W:$W)),AG805,xlookup($G805,'Old Master'!$T:$T,'Old Master'!$W:$W)),AG805)</f>
        <v>0.1001251564</v>
      </c>
      <c r="AM805" s="74">
        <f t="shared" si="20"/>
        <v>0.1001251564</v>
      </c>
      <c r="AN805" s="73">
        <f t="shared" si="440"/>
        <v>719</v>
      </c>
    </row>
    <row r="806">
      <c r="A806" s="65" t="s">
        <v>5437</v>
      </c>
      <c r="B806" s="65" t="str">
        <f t="shared" si="1"/>
        <v>#VALUE!</v>
      </c>
      <c r="C806" s="65" t="str">
        <f t="shared" si="403"/>
        <v>#VALUE!</v>
      </c>
      <c r="D806" s="65" t="s">
        <v>3046</v>
      </c>
      <c r="E806" s="65" t="s">
        <v>3047</v>
      </c>
      <c r="F806" s="65">
        <v>0.0</v>
      </c>
      <c r="G806" s="65" t="s">
        <v>5127</v>
      </c>
      <c r="H806" s="65" t="s">
        <v>4730</v>
      </c>
      <c r="I806" s="65">
        <v>2989.0</v>
      </c>
      <c r="J806" s="66">
        <v>0.3312144529943125</v>
      </c>
      <c r="K806" s="65">
        <f t="shared" si="3"/>
        <v>1999</v>
      </c>
      <c r="L806" s="66">
        <v>0.1</v>
      </c>
      <c r="M806" s="65">
        <f t="shared" si="4"/>
        <v>2690</v>
      </c>
      <c r="N806" s="67">
        <f t="shared" si="404"/>
        <v>0.2308464369</v>
      </c>
      <c r="O806" s="78">
        <v>2299.0</v>
      </c>
      <c r="P806" s="67">
        <f t="shared" si="412"/>
        <v>0.2308464369</v>
      </c>
      <c r="Q806" s="79">
        <v>2299.0</v>
      </c>
      <c r="R806" s="70"/>
      <c r="S806" s="71">
        <f t="shared" si="433"/>
        <v>0.1500750375</v>
      </c>
      <c r="T806" s="72">
        <f t="shared" si="6"/>
        <v>0</v>
      </c>
      <c r="U806" s="73" t="str">
        <f t="shared" si="437"/>
        <v/>
      </c>
      <c r="V806" s="73">
        <f t="shared" si="340"/>
        <v>2279.661017</v>
      </c>
      <c r="W806" s="73">
        <f t="shared" si="9"/>
        <v>2279.661017</v>
      </c>
      <c r="X806" s="74">
        <f t="shared" si="10"/>
        <v>1</v>
      </c>
      <c r="Y806" s="73">
        <f t="shared" si="333"/>
        <v>0</v>
      </c>
      <c r="Z806" s="73">
        <f t="shared" si="12"/>
        <v>1948.305085</v>
      </c>
      <c r="AA806" s="73">
        <f t="shared" si="13"/>
        <v>1948.305085</v>
      </c>
      <c r="AB806" s="74">
        <f t="shared" si="14"/>
        <v>1</v>
      </c>
      <c r="AC806" s="61" t="str">
        <f t="shared" si="15"/>
        <v>0</v>
      </c>
      <c r="AD806" s="71" t="str">
        <f t="shared" si="16"/>
        <v>#DIV/0!</v>
      </c>
      <c r="AE806" s="61"/>
      <c r="AF806" s="61"/>
      <c r="AG806" s="71">
        <f t="array" ref="AG806">IFERROR(xlookup(G806,'Old Master'!T:T,'Old Master'!V:V),N806)</f>
        <v>0.2308464369</v>
      </c>
      <c r="AH806" s="73">
        <f t="shared" si="229"/>
        <v>2299</v>
      </c>
      <c r="AI806" s="73">
        <f t="shared" si="230"/>
        <v>1948.305085</v>
      </c>
      <c r="AJ806" s="72">
        <f t="shared" si="19"/>
        <v>1</v>
      </c>
      <c r="AK806" s="61"/>
      <c r="AL806" s="71">
        <f t="array" ref="AL806">iferror(if(isblank(xlookup($G806,'Old Master'!$T:$T,'Old Master'!$W:$W)),AG806,xlookup($G806,'Old Master'!$T:$T,'Old Master'!$W:$W)),AG806)</f>
        <v>0.2308464369</v>
      </c>
      <c r="AM806" s="74">
        <f t="shared" si="20"/>
        <v>0.2308464369</v>
      </c>
      <c r="AN806" s="73">
        <f t="shared" ref="AN806:AN820" si="441">mround($I806*(1-AL806),100)-1</f>
        <v>2299</v>
      </c>
    </row>
    <row r="807">
      <c r="A807" s="65" t="s">
        <v>3686</v>
      </c>
      <c r="B807" s="65" t="str">
        <f t="shared" si="1"/>
        <v>#VALUE!</v>
      </c>
      <c r="C807" s="65" t="str">
        <f t="shared" si="403"/>
        <v>#VALUE!</v>
      </c>
      <c r="D807" s="65" t="s">
        <v>3688</v>
      </c>
      <c r="E807" s="65">
        <v>0.0</v>
      </c>
      <c r="F807" s="65">
        <v>0.0</v>
      </c>
      <c r="G807" s="65" t="s">
        <v>5127</v>
      </c>
      <c r="H807" s="65" t="s">
        <v>4730</v>
      </c>
      <c r="I807" s="65">
        <v>999.0</v>
      </c>
      <c r="J807" s="66">
        <v>0.1</v>
      </c>
      <c r="K807" s="65">
        <f t="shared" si="3"/>
        <v>899</v>
      </c>
      <c r="L807" s="66">
        <v>0.1</v>
      </c>
      <c r="M807" s="65">
        <f t="shared" si="4"/>
        <v>899</v>
      </c>
      <c r="N807" s="67">
        <f t="shared" si="404"/>
        <v>0.1001001001</v>
      </c>
      <c r="O807" s="68">
        <v>899.0</v>
      </c>
      <c r="P807" s="67">
        <f t="shared" si="412"/>
        <v>0.1001001001</v>
      </c>
      <c r="Q807" s="69">
        <v>899.0</v>
      </c>
      <c r="R807" s="70"/>
      <c r="S807" s="71">
        <f t="shared" si="433"/>
        <v>0</v>
      </c>
      <c r="T807" s="72">
        <f t="shared" si="6"/>
        <v>0</v>
      </c>
      <c r="U807" s="73" t="str">
        <f t="shared" si="437"/>
        <v/>
      </c>
      <c r="V807" s="73">
        <f t="shared" si="340"/>
        <v>761.8644068</v>
      </c>
      <c r="W807" s="73">
        <f t="shared" si="9"/>
        <v>761.8644068</v>
      </c>
      <c r="X807" s="74">
        <f t="shared" si="10"/>
        <v>1</v>
      </c>
      <c r="Y807" s="73">
        <f t="shared" si="333"/>
        <v>0</v>
      </c>
      <c r="Z807" s="73">
        <f t="shared" si="12"/>
        <v>761.8644068</v>
      </c>
      <c r="AA807" s="73">
        <f t="shared" si="13"/>
        <v>761.8644068</v>
      </c>
      <c r="AB807" s="74">
        <f t="shared" si="14"/>
        <v>1</v>
      </c>
      <c r="AC807" s="61" t="str">
        <f t="shared" si="15"/>
        <v>0</v>
      </c>
      <c r="AD807" s="71" t="str">
        <f t="shared" si="16"/>
        <v>#DIV/0!</v>
      </c>
      <c r="AE807" s="61"/>
      <c r="AF807" s="61"/>
      <c r="AG807" s="71">
        <f t="array" ref="AG807">IFERROR(xlookup(G807,'Old Master'!T:T,'Old Master'!V:V),N807)</f>
        <v>0.1001001001</v>
      </c>
      <c r="AH807" s="73">
        <f t="shared" si="229"/>
        <v>899</v>
      </c>
      <c r="AI807" s="73">
        <f t="shared" si="230"/>
        <v>761.8644068</v>
      </c>
      <c r="AJ807" s="72">
        <f t="shared" si="19"/>
        <v>1</v>
      </c>
      <c r="AK807" s="61"/>
      <c r="AL807" s="71">
        <f t="array" ref="AL807">iferror(if(isblank(xlookup($G807,'Old Master'!$T:$T,'Old Master'!$W:$W)),AG807,xlookup($G807,'Old Master'!$T:$T,'Old Master'!$W:$W)),AG807)</f>
        <v>0.1001001001</v>
      </c>
      <c r="AM807" s="74">
        <f t="shared" si="20"/>
        <v>0.1001001001</v>
      </c>
      <c r="AN807" s="73">
        <f t="shared" si="441"/>
        <v>899</v>
      </c>
    </row>
    <row r="808">
      <c r="A808" s="65" t="s">
        <v>3634</v>
      </c>
      <c r="B808" s="65" t="str">
        <f t="shared" si="1"/>
        <v>#VALUE!</v>
      </c>
      <c r="C808" s="65" t="str">
        <f t="shared" si="403"/>
        <v>#VALUE!</v>
      </c>
      <c r="D808" s="65" t="s">
        <v>3636</v>
      </c>
      <c r="E808" s="65" t="s">
        <v>3634</v>
      </c>
      <c r="F808" s="65">
        <v>0.0</v>
      </c>
      <c r="G808" s="65" t="s">
        <v>5127</v>
      </c>
      <c r="H808" s="65" t="s">
        <v>4730</v>
      </c>
      <c r="I808" s="65">
        <v>899.0</v>
      </c>
      <c r="J808" s="66">
        <v>0.1</v>
      </c>
      <c r="K808" s="65">
        <f t="shared" si="3"/>
        <v>809</v>
      </c>
      <c r="L808" s="66">
        <v>0.1</v>
      </c>
      <c r="M808" s="65">
        <f t="shared" si="4"/>
        <v>809</v>
      </c>
      <c r="N808" s="67">
        <f t="shared" si="404"/>
        <v>0.1112347052</v>
      </c>
      <c r="O808" s="78">
        <v>799.0</v>
      </c>
      <c r="P808" s="67">
        <f t="shared" si="412"/>
        <v>0.1112347052</v>
      </c>
      <c r="Q808" s="79">
        <v>799.0</v>
      </c>
      <c r="R808" s="70"/>
      <c r="S808" s="71">
        <f t="shared" si="433"/>
        <v>-0.01236093943</v>
      </c>
      <c r="T808" s="72">
        <f t="shared" si="6"/>
        <v>0</v>
      </c>
      <c r="U808" s="73" t="str">
        <f t="shared" si="437"/>
        <v/>
      </c>
      <c r="V808" s="73">
        <f t="shared" si="340"/>
        <v>685.5932203</v>
      </c>
      <c r="W808" s="73">
        <f t="shared" si="9"/>
        <v>685.5932203</v>
      </c>
      <c r="X808" s="74">
        <f t="shared" si="10"/>
        <v>1</v>
      </c>
      <c r="Y808" s="73">
        <f t="shared" si="333"/>
        <v>0</v>
      </c>
      <c r="Z808" s="73">
        <f t="shared" si="12"/>
        <v>677.1186441</v>
      </c>
      <c r="AA808" s="73">
        <f t="shared" si="13"/>
        <v>677.1186441</v>
      </c>
      <c r="AB808" s="74">
        <f t="shared" si="14"/>
        <v>1</v>
      </c>
      <c r="AC808" s="61" t="str">
        <f t="shared" si="15"/>
        <v>8</v>
      </c>
      <c r="AD808" s="71" t="str">
        <f t="shared" si="16"/>
        <v>#DIV/0!</v>
      </c>
      <c r="AE808" s="61"/>
      <c r="AF808" s="61"/>
      <c r="AG808" s="71">
        <f t="array" ref="AG808">IFERROR(xlookup(G808,'Old Master'!T:T,'Old Master'!V:V),N808)</f>
        <v>0.1112347052</v>
      </c>
      <c r="AH808" s="73">
        <f t="shared" si="229"/>
        <v>799</v>
      </c>
      <c r="AI808" s="73">
        <f t="shared" si="230"/>
        <v>677.1186441</v>
      </c>
      <c r="AJ808" s="72">
        <f t="shared" si="19"/>
        <v>1</v>
      </c>
      <c r="AK808" s="61"/>
      <c r="AL808" s="71">
        <f t="array" ref="AL808">iferror(if(isblank(xlookup($G808,'Old Master'!$T:$T,'Old Master'!$W:$W)),AG808,xlookup($G808,'Old Master'!$T:$T,'Old Master'!$W:$W)),AG808)</f>
        <v>0.1112347052</v>
      </c>
      <c r="AM808" s="74">
        <f t="shared" si="20"/>
        <v>0.1112347052</v>
      </c>
      <c r="AN808" s="73">
        <f t="shared" si="441"/>
        <v>799</v>
      </c>
    </row>
    <row r="809">
      <c r="A809" s="65" t="s">
        <v>3696</v>
      </c>
      <c r="B809" s="65" t="str">
        <f t="shared" si="1"/>
        <v>#VALUE!</v>
      </c>
      <c r="C809" s="65" t="str">
        <f t="shared" si="403"/>
        <v>#VALUE!</v>
      </c>
      <c r="D809" s="65" t="s">
        <v>3698</v>
      </c>
      <c r="E809" s="65">
        <v>0.0</v>
      </c>
      <c r="F809" s="65" t="s">
        <v>3699</v>
      </c>
      <c r="G809" s="65" t="s">
        <v>5127</v>
      </c>
      <c r="H809" s="65" t="s">
        <v>4730</v>
      </c>
      <c r="I809" s="65">
        <v>949.0</v>
      </c>
      <c r="J809" s="66">
        <v>0.1</v>
      </c>
      <c r="K809" s="65">
        <f t="shared" si="3"/>
        <v>854</v>
      </c>
      <c r="L809" s="66">
        <v>0.1</v>
      </c>
      <c r="M809" s="65">
        <f t="shared" si="4"/>
        <v>854</v>
      </c>
      <c r="N809" s="67">
        <f t="shared" si="404"/>
        <v>0.05268703899</v>
      </c>
      <c r="O809" s="78">
        <v>899.0</v>
      </c>
      <c r="P809" s="67">
        <f t="shared" si="412"/>
        <v>0.05268703899</v>
      </c>
      <c r="Q809" s="79">
        <v>899.0</v>
      </c>
      <c r="R809" s="70"/>
      <c r="S809" s="71">
        <f t="shared" si="433"/>
        <v>0.05269320843</v>
      </c>
      <c r="T809" s="72">
        <f t="shared" si="6"/>
        <v>0</v>
      </c>
      <c r="U809" s="73" t="str">
        <f t="shared" si="437"/>
        <v/>
      </c>
      <c r="V809" s="73">
        <f t="shared" si="340"/>
        <v>723.7288136</v>
      </c>
      <c r="W809" s="73">
        <f t="shared" si="9"/>
        <v>723.7288136</v>
      </c>
      <c r="X809" s="74">
        <f t="shared" si="10"/>
        <v>1</v>
      </c>
      <c r="Y809" s="73">
        <f t="shared" si="333"/>
        <v>0</v>
      </c>
      <c r="Z809" s="73">
        <f t="shared" si="12"/>
        <v>761.8644068</v>
      </c>
      <c r="AA809" s="73">
        <f t="shared" si="13"/>
        <v>761.8644068</v>
      </c>
      <c r="AB809" s="74">
        <f t="shared" si="14"/>
        <v>1</v>
      </c>
      <c r="AC809" s="61" t="str">
        <f t="shared" si="15"/>
        <v>0</v>
      </c>
      <c r="AD809" s="71" t="str">
        <f t="shared" si="16"/>
        <v>#DIV/0!</v>
      </c>
      <c r="AE809" s="61"/>
      <c r="AF809" s="61"/>
      <c r="AG809" s="71">
        <f t="array" ref="AG809">IFERROR(xlookup(G809,'Old Master'!T:T,'Old Master'!V:V),N809)</f>
        <v>0.05268703899</v>
      </c>
      <c r="AH809" s="73">
        <f t="shared" si="229"/>
        <v>899</v>
      </c>
      <c r="AI809" s="73">
        <f t="shared" si="230"/>
        <v>761.8644068</v>
      </c>
      <c r="AJ809" s="72">
        <f t="shared" si="19"/>
        <v>1</v>
      </c>
      <c r="AK809" s="61"/>
      <c r="AL809" s="71">
        <f t="array" ref="AL809">iferror(if(isblank(xlookup($G809,'Old Master'!$T:$T,'Old Master'!$W:$W)),AG809,xlookup($G809,'Old Master'!$T:$T,'Old Master'!$W:$W)),AG809)</f>
        <v>0.05268703899</v>
      </c>
      <c r="AM809" s="74">
        <f t="shared" si="20"/>
        <v>0.05268703899</v>
      </c>
      <c r="AN809" s="73">
        <f t="shared" si="441"/>
        <v>899</v>
      </c>
    </row>
    <row r="810">
      <c r="A810" s="65" t="s">
        <v>3671</v>
      </c>
      <c r="B810" s="65" t="str">
        <f t="shared" si="1"/>
        <v>#VALUE!</v>
      </c>
      <c r="C810" s="65" t="str">
        <f t="shared" si="403"/>
        <v>#VALUE!</v>
      </c>
      <c r="D810" s="65" t="s">
        <v>3673</v>
      </c>
      <c r="E810" s="65">
        <v>0.0</v>
      </c>
      <c r="F810" s="65" t="s">
        <v>3674</v>
      </c>
      <c r="G810" s="65" t="s">
        <v>5127</v>
      </c>
      <c r="H810" s="65" t="s">
        <v>4730</v>
      </c>
      <c r="I810" s="65">
        <v>999.0</v>
      </c>
      <c r="J810" s="66">
        <v>0.1</v>
      </c>
      <c r="K810" s="65">
        <f t="shared" si="3"/>
        <v>899</v>
      </c>
      <c r="L810" s="66">
        <v>0.1</v>
      </c>
      <c r="M810" s="65">
        <f t="shared" si="4"/>
        <v>899</v>
      </c>
      <c r="N810" s="67">
        <f t="shared" si="404"/>
        <v>0.1201201201</v>
      </c>
      <c r="O810" s="78">
        <v>879.0</v>
      </c>
      <c r="P810" s="67">
        <f t="shared" si="412"/>
        <v>0.1201201201</v>
      </c>
      <c r="Q810" s="79">
        <v>879.0</v>
      </c>
      <c r="R810" s="70"/>
      <c r="S810" s="71">
        <f t="shared" si="433"/>
        <v>-0.02224694105</v>
      </c>
      <c r="T810" s="72">
        <f t="shared" si="6"/>
        <v>0</v>
      </c>
      <c r="U810" s="73" t="str">
        <f t="shared" si="437"/>
        <v/>
      </c>
      <c r="V810" s="73">
        <f t="shared" si="340"/>
        <v>761.8644068</v>
      </c>
      <c r="W810" s="73">
        <f t="shared" si="9"/>
        <v>761.8644068</v>
      </c>
      <c r="X810" s="74">
        <f t="shared" si="10"/>
        <v>1</v>
      </c>
      <c r="Y810" s="73">
        <f t="shared" si="333"/>
        <v>0</v>
      </c>
      <c r="Z810" s="73">
        <f t="shared" si="12"/>
        <v>744.9152542</v>
      </c>
      <c r="AA810" s="73">
        <f t="shared" si="13"/>
        <v>744.9152542</v>
      </c>
      <c r="AB810" s="74">
        <f t="shared" si="14"/>
        <v>1</v>
      </c>
      <c r="AC810" s="61" t="str">
        <f t="shared" si="15"/>
        <v>0</v>
      </c>
      <c r="AD810" s="71" t="str">
        <f t="shared" si="16"/>
        <v>#DIV/0!</v>
      </c>
      <c r="AE810" s="61"/>
      <c r="AF810" s="61"/>
      <c r="AG810" s="71">
        <f t="array" ref="AG810">IFERROR(xlookup(G810,'Old Master'!T:T,'Old Master'!V:V),N810)</f>
        <v>0.1201201201</v>
      </c>
      <c r="AH810" s="73">
        <f t="shared" si="229"/>
        <v>879</v>
      </c>
      <c r="AI810" s="73">
        <f t="shared" si="230"/>
        <v>744.9152542</v>
      </c>
      <c r="AJ810" s="72">
        <f t="shared" si="19"/>
        <v>1</v>
      </c>
      <c r="AK810" s="61"/>
      <c r="AL810" s="71">
        <f t="array" ref="AL810">iferror(if(isblank(xlookup($G810,'Old Master'!$T:$T,'Old Master'!$W:$W)),AG810,xlookup($G810,'Old Master'!$T:$T,'Old Master'!$W:$W)),AG810)</f>
        <v>0.1201201201</v>
      </c>
      <c r="AM810" s="74">
        <f t="shared" si="20"/>
        <v>0.1001001001</v>
      </c>
      <c r="AN810" s="73">
        <f t="shared" si="441"/>
        <v>899</v>
      </c>
    </row>
    <row r="811">
      <c r="A811" s="65" t="s">
        <v>3619</v>
      </c>
      <c r="B811" s="65" t="str">
        <f t="shared" si="1"/>
        <v>#VALUE!</v>
      </c>
      <c r="C811" s="65" t="str">
        <f t="shared" si="403"/>
        <v>#VALUE!</v>
      </c>
      <c r="D811" s="65" t="s">
        <v>3621</v>
      </c>
      <c r="E811" s="65">
        <v>0.0</v>
      </c>
      <c r="F811" s="65" t="s">
        <v>3622</v>
      </c>
      <c r="G811" s="65" t="s">
        <v>5127</v>
      </c>
      <c r="H811" s="65" t="s">
        <v>4730</v>
      </c>
      <c r="I811" s="65">
        <v>899.0</v>
      </c>
      <c r="J811" s="66">
        <v>0.1</v>
      </c>
      <c r="K811" s="65">
        <f t="shared" si="3"/>
        <v>809</v>
      </c>
      <c r="L811" s="66">
        <v>0.1</v>
      </c>
      <c r="M811" s="65">
        <f t="shared" si="4"/>
        <v>809</v>
      </c>
      <c r="N811" s="67">
        <f t="shared" si="404"/>
        <v>0.1112347052</v>
      </c>
      <c r="O811" s="78">
        <v>799.0</v>
      </c>
      <c r="P811" s="67">
        <f t="shared" si="412"/>
        <v>0.1112347052</v>
      </c>
      <c r="Q811" s="79">
        <v>799.0</v>
      </c>
      <c r="R811" s="70"/>
      <c r="S811" s="71">
        <f t="shared" si="433"/>
        <v>-0.01236093943</v>
      </c>
      <c r="T811" s="72">
        <f t="shared" si="6"/>
        <v>0</v>
      </c>
      <c r="U811" s="73" t="str">
        <f t="shared" si="437"/>
        <v/>
      </c>
      <c r="V811" s="73">
        <f t="shared" si="340"/>
        <v>685.5932203</v>
      </c>
      <c r="W811" s="73">
        <f t="shared" si="9"/>
        <v>685.5932203</v>
      </c>
      <c r="X811" s="74">
        <f t="shared" si="10"/>
        <v>1</v>
      </c>
      <c r="Y811" s="73">
        <f t="shared" si="333"/>
        <v>0</v>
      </c>
      <c r="Z811" s="73">
        <f t="shared" si="12"/>
        <v>677.1186441</v>
      </c>
      <c r="AA811" s="73">
        <f t="shared" si="13"/>
        <v>677.1186441</v>
      </c>
      <c r="AB811" s="74">
        <f t="shared" si="14"/>
        <v>1</v>
      </c>
      <c r="AC811" s="61" t="str">
        <f t="shared" si="15"/>
        <v>8</v>
      </c>
      <c r="AD811" s="71" t="str">
        <f t="shared" si="16"/>
        <v>#DIV/0!</v>
      </c>
      <c r="AE811" s="61"/>
      <c r="AF811" s="61"/>
      <c r="AG811" s="71">
        <f t="array" ref="AG811">IFERROR(xlookup(G811,'Old Master'!T:T,'Old Master'!V:V),N811)</f>
        <v>0.1112347052</v>
      </c>
      <c r="AH811" s="73">
        <f t="shared" si="229"/>
        <v>799</v>
      </c>
      <c r="AI811" s="73">
        <f t="shared" si="230"/>
        <v>677.1186441</v>
      </c>
      <c r="AJ811" s="72">
        <f t="shared" si="19"/>
        <v>1</v>
      </c>
      <c r="AK811" s="61"/>
      <c r="AL811" s="71">
        <f t="array" ref="AL811">iferror(if(isblank(xlookup($G811,'Old Master'!$T:$T,'Old Master'!$W:$W)),AG811,xlookup($G811,'Old Master'!$T:$T,'Old Master'!$W:$W)),AG811)</f>
        <v>0.1112347052</v>
      </c>
      <c r="AM811" s="74">
        <f t="shared" si="20"/>
        <v>0.1112347052</v>
      </c>
      <c r="AN811" s="73">
        <f t="shared" si="441"/>
        <v>799</v>
      </c>
    </row>
    <row r="812">
      <c r="A812" s="65" t="s">
        <v>3701</v>
      </c>
      <c r="B812" s="65" t="str">
        <f t="shared" si="1"/>
        <v>#VALUE!</v>
      </c>
      <c r="C812" s="65" t="str">
        <f t="shared" si="403"/>
        <v>#VALUE!</v>
      </c>
      <c r="D812" s="65" t="s">
        <v>3703</v>
      </c>
      <c r="E812" s="65">
        <v>0.0</v>
      </c>
      <c r="F812" s="65" t="s">
        <v>3704</v>
      </c>
      <c r="G812" s="65" t="s">
        <v>5127</v>
      </c>
      <c r="H812" s="65" t="s">
        <v>4730</v>
      </c>
      <c r="I812" s="65">
        <v>949.0</v>
      </c>
      <c r="J812" s="66">
        <v>0.1</v>
      </c>
      <c r="K812" s="65">
        <f t="shared" si="3"/>
        <v>854</v>
      </c>
      <c r="L812" s="66">
        <v>0.1</v>
      </c>
      <c r="M812" s="65">
        <f t="shared" si="4"/>
        <v>854</v>
      </c>
      <c r="N812" s="67">
        <f t="shared" si="404"/>
        <v>0.05268703899</v>
      </c>
      <c r="O812" s="78">
        <v>899.0</v>
      </c>
      <c r="P812" s="67">
        <f t="shared" si="412"/>
        <v>0.05268703899</v>
      </c>
      <c r="Q812" s="79">
        <v>899.0</v>
      </c>
      <c r="R812" s="70"/>
      <c r="S812" s="71">
        <f t="shared" si="433"/>
        <v>0.05269320843</v>
      </c>
      <c r="T812" s="72">
        <f t="shared" si="6"/>
        <v>0</v>
      </c>
      <c r="U812" s="73" t="str">
        <f t="shared" si="437"/>
        <v/>
      </c>
      <c r="V812" s="73">
        <f t="shared" si="340"/>
        <v>723.7288136</v>
      </c>
      <c r="W812" s="73">
        <f t="shared" si="9"/>
        <v>723.7288136</v>
      </c>
      <c r="X812" s="74">
        <f t="shared" si="10"/>
        <v>1</v>
      </c>
      <c r="Y812" s="73">
        <f t="shared" si="333"/>
        <v>0</v>
      </c>
      <c r="Z812" s="73">
        <f t="shared" si="12"/>
        <v>761.8644068</v>
      </c>
      <c r="AA812" s="73">
        <f t="shared" si="13"/>
        <v>761.8644068</v>
      </c>
      <c r="AB812" s="74">
        <f t="shared" si="14"/>
        <v>1</v>
      </c>
      <c r="AC812" s="61" t="str">
        <f t="shared" si="15"/>
        <v>0</v>
      </c>
      <c r="AD812" s="71" t="str">
        <f t="shared" si="16"/>
        <v>#DIV/0!</v>
      </c>
      <c r="AE812" s="61"/>
      <c r="AF812" s="61"/>
      <c r="AG812" s="71">
        <f t="array" ref="AG812">IFERROR(xlookup(G812,'Old Master'!T:T,'Old Master'!V:V),N812)</f>
        <v>0.05268703899</v>
      </c>
      <c r="AH812" s="73">
        <f t="shared" si="229"/>
        <v>899</v>
      </c>
      <c r="AI812" s="73">
        <f t="shared" si="230"/>
        <v>761.8644068</v>
      </c>
      <c r="AJ812" s="72">
        <f t="shared" si="19"/>
        <v>1</v>
      </c>
      <c r="AK812" s="61"/>
      <c r="AL812" s="71">
        <f t="array" ref="AL812">iferror(if(isblank(xlookup($G812,'Old Master'!$T:$T,'Old Master'!$W:$W)),AG812,xlookup($G812,'Old Master'!$T:$T,'Old Master'!$W:$W)),AG812)</f>
        <v>0.05268703899</v>
      </c>
      <c r="AM812" s="74">
        <f t="shared" si="20"/>
        <v>0.05268703899</v>
      </c>
      <c r="AN812" s="73">
        <f t="shared" si="441"/>
        <v>899</v>
      </c>
    </row>
    <row r="813">
      <c r="A813" s="65" t="s">
        <v>3676</v>
      </c>
      <c r="B813" s="65" t="str">
        <f t="shared" si="1"/>
        <v>#VALUE!</v>
      </c>
      <c r="C813" s="65" t="str">
        <f t="shared" si="403"/>
        <v>#VALUE!</v>
      </c>
      <c r="D813" s="65" t="s">
        <v>3678</v>
      </c>
      <c r="E813" s="65">
        <v>0.0</v>
      </c>
      <c r="F813" s="65">
        <v>0.0</v>
      </c>
      <c r="G813" s="65" t="s">
        <v>5127</v>
      </c>
      <c r="H813" s="65" t="s">
        <v>4730</v>
      </c>
      <c r="I813" s="65">
        <v>999.0</v>
      </c>
      <c r="J813" s="66">
        <v>0.1</v>
      </c>
      <c r="K813" s="65">
        <f t="shared" si="3"/>
        <v>899</v>
      </c>
      <c r="L813" s="66">
        <v>0.1</v>
      </c>
      <c r="M813" s="65">
        <f t="shared" si="4"/>
        <v>899</v>
      </c>
      <c r="N813" s="67">
        <f t="shared" si="404"/>
        <v>0.1201201201</v>
      </c>
      <c r="O813" s="78">
        <v>879.0</v>
      </c>
      <c r="P813" s="67">
        <f t="shared" si="412"/>
        <v>0.1201201201</v>
      </c>
      <c r="Q813" s="79">
        <v>879.0</v>
      </c>
      <c r="R813" s="70"/>
      <c r="S813" s="71">
        <f t="shared" si="433"/>
        <v>-0.02224694105</v>
      </c>
      <c r="T813" s="72">
        <f t="shared" si="6"/>
        <v>0</v>
      </c>
      <c r="U813" s="73" t="str">
        <f t="shared" si="437"/>
        <v/>
      </c>
      <c r="V813" s="73">
        <f t="shared" si="340"/>
        <v>761.8644068</v>
      </c>
      <c r="W813" s="73">
        <f t="shared" si="9"/>
        <v>761.8644068</v>
      </c>
      <c r="X813" s="74">
        <f t="shared" si="10"/>
        <v>1</v>
      </c>
      <c r="Y813" s="73">
        <f t="shared" si="333"/>
        <v>0</v>
      </c>
      <c r="Z813" s="73">
        <f t="shared" si="12"/>
        <v>744.9152542</v>
      </c>
      <c r="AA813" s="73">
        <f t="shared" si="13"/>
        <v>744.9152542</v>
      </c>
      <c r="AB813" s="74">
        <f t="shared" si="14"/>
        <v>1</v>
      </c>
      <c r="AC813" s="61" t="str">
        <f t="shared" si="15"/>
        <v>0</v>
      </c>
      <c r="AD813" s="71" t="str">
        <f t="shared" si="16"/>
        <v>#DIV/0!</v>
      </c>
      <c r="AE813" s="61"/>
      <c r="AF813" s="61"/>
      <c r="AG813" s="71">
        <f t="array" ref="AG813">IFERROR(xlookup(G813,'Old Master'!T:T,'Old Master'!V:V),N813)</f>
        <v>0.1201201201</v>
      </c>
      <c r="AH813" s="73">
        <f t="shared" si="229"/>
        <v>879</v>
      </c>
      <c r="AI813" s="73">
        <f t="shared" si="230"/>
        <v>744.9152542</v>
      </c>
      <c r="AJ813" s="72">
        <f t="shared" si="19"/>
        <v>1</v>
      </c>
      <c r="AK813" s="61"/>
      <c r="AL813" s="71">
        <f t="array" ref="AL813">iferror(if(isblank(xlookup($G813,'Old Master'!$T:$T,'Old Master'!$W:$W)),AG813,xlookup($G813,'Old Master'!$T:$T,'Old Master'!$W:$W)),AG813)</f>
        <v>0.1201201201</v>
      </c>
      <c r="AM813" s="74">
        <f t="shared" si="20"/>
        <v>0.1001001001</v>
      </c>
      <c r="AN813" s="73">
        <f t="shared" si="441"/>
        <v>899</v>
      </c>
    </row>
    <row r="814">
      <c r="A814" s="65" t="s">
        <v>3624</v>
      </c>
      <c r="B814" s="65" t="str">
        <f t="shared" si="1"/>
        <v>#VALUE!</v>
      </c>
      <c r="C814" s="65" t="str">
        <f t="shared" si="403"/>
        <v>#VALUE!</v>
      </c>
      <c r="D814" s="65" t="s">
        <v>3626</v>
      </c>
      <c r="E814" s="65">
        <v>0.0</v>
      </c>
      <c r="F814" s="65">
        <v>0.0</v>
      </c>
      <c r="G814" s="65" t="s">
        <v>5127</v>
      </c>
      <c r="H814" s="65" t="s">
        <v>4730</v>
      </c>
      <c r="I814" s="65">
        <v>899.0</v>
      </c>
      <c r="J814" s="66">
        <v>0.1</v>
      </c>
      <c r="K814" s="65">
        <f t="shared" si="3"/>
        <v>809</v>
      </c>
      <c r="L814" s="66">
        <v>0.1</v>
      </c>
      <c r="M814" s="65">
        <f t="shared" si="4"/>
        <v>809</v>
      </c>
      <c r="N814" s="67">
        <f t="shared" si="404"/>
        <v>0.1112347052</v>
      </c>
      <c r="O814" s="78">
        <v>799.0</v>
      </c>
      <c r="P814" s="67">
        <f t="shared" si="412"/>
        <v>0.1112347052</v>
      </c>
      <c r="Q814" s="79">
        <v>799.0</v>
      </c>
      <c r="R814" s="70"/>
      <c r="S814" s="71">
        <f t="shared" si="433"/>
        <v>-0.01236093943</v>
      </c>
      <c r="T814" s="72">
        <f t="shared" si="6"/>
        <v>0</v>
      </c>
      <c r="U814" s="73" t="str">
        <f t="shared" si="437"/>
        <v/>
      </c>
      <c r="V814" s="73">
        <f t="shared" si="340"/>
        <v>685.5932203</v>
      </c>
      <c r="W814" s="73">
        <f t="shared" si="9"/>
        <v>685.5932203</v>
      </c>
      <c r="X814" s="74">
        <f t="shared" si="10"/>
        <v>1</v>
      </c>
      <c r="Y814" s="73">
        <f t="shared" si="333"/>
        <v>0</v>
      </c>
      <c r="Z814" s="73">
        <f t="shared" si="12"/>
        <v>677.1186441</v>
      </c>
      <c r="AA814" s="73">
        <f t="shared" si="13"/>
        <v>677.1186441</v>
      </c>
      <c r="AB814" s="74">
        <f t="shared" si="14"/>
        <v>1</v>
      </c>
      <c r="AC814" s="61" t="str">
        <f t="shared" si="15"/>
        <v>8</v>
      </c>
      <c r="AD814" s="71" t="str">
        <f t="shared" si="16"/>
        <v>#DIV/0!</v>
      </c>
      <c r="AE814" s="61"/>
      <c r="AF814" s="61"/>
      <c r="AG814" s="71">
        <f t="array" ref="AG814">IFERROR(xlookup(G814,'Old Master'!T:T,'Old Master'!V:V),N814)</f>
        <v>0.1112347052</v>
      </c>
      <c r="AH814" s="73">
        <f t="shared" si="229"/>
        <v>799</v>
      </c>
      <c r="AI814" s="73">
        <f t="shared" si="230"/>
        <v>677.1186441</v>
      </c>
      <c r="AJ814" s="72">
        <f t="shared" si="19"/>
        <v>1</v>
      </c>
      <c r="AK814" s="61"/>
      <c r="AL814" s="71">
        <f t="array" ref="AL814">iferror(if(isblank(xlookup($G814,'Old Master'!$T:$T,'Old Master'!$W:$W)),AG814,xlookup($G814,'Old Master'!$T:$T,'Old Master'!$W:$W)),AG814)</f>
        <v>0.1112347052</v>
      </c>
      <c r="AM814" s="74">
        <f t="shared" si="20"/>
        <v>0.1112347052</v>
      </c>
      <c r="AN814" s="73">
        <f t="shared" si="441"/>
        <v>799</v>
      </c>
    </row>
    <row r="815">
      <c r="A815" s="65" t="s">
        <v>3691</v>
      </c>
      <c r="B815" s="65" t="str">
        <f t="shared" si="1"/>
        <v>#VALUE!</v>
      </c>
      <c r="C815" s="65" t="str">
        <f t="shared" si="403"/>
        <v>#VALUE!</v>
      </c>
      <c r="D815" s="65" t="s">
        <v>3693</v>
      </c>
      <c r="E815" s="65">
        <v>0.0</v>
      </c>
      <c r="F815" s="65">
        <v>0.0</v>
      </c>
      <c r="G815" s="65" t="s">
        <v>5127</v>
      </c>
      <c r="H815" s="65" t="s">
        <v>4730</v>
      </c>
      <c r="I815" s="65">
        <v>999.0</v>
      </c>
      <c r="J815" s="66">
        <v>0.1</v>
      </c>
      <c r="K815" s="65">
        <f t="shared" si="3"/>
        <v>899</v>
      </c>
      <c r="L815" s="66">
        <v>0.1</v>
      </c>
      <c r="M815" s="65">
        <f t="shared" si="4"/>
        <v>899</v>
      </c>
      <c r="N815" s="67">
        <f t="shared" si="404"/>
        <v>0.1001001001</v>
      </c>
      <c r="O815" s="68">
        <v>899.0</v>
      </c>
      <c r="P815" s="67">
        <f t="shared" si="412"/>
        <v>0.1001001001</v>
      </c>
      <c r="Q815" s="69">
        <v>899.0</v>
      </c>
      <c r="R815" s="70"/>
      <c r="S815" s="71">
        <f t="shared" si="433"/>
        <v>0</v>
      </c>
      <c r="T815" s="72">
        <f t="shared" si="6"/>
        <v>0</v>
      </c>
      <c r="U815" s="73" t="str">
        <f t="shared" si="437"/>
        <v/>
      </c>
      <c r="V815" s="73">
        <f t="shared" si="340"/>
        <v>761.8644068</v>
      </c>
      <c r="W815" s="73">
        <f t="shared" si="9"/>
        <v>761.8644068</v>
      </c>
      <c r="X815" s="74">
        <f t="shared" si="10"/>
        <v>1</v>
      </c>
      <c r="Y815" s="73">
        <f t="shared" si="333"/>
        <v>0</v>
      </c>
      <c r="Z815" s="73">
        <f t="shared" si="12"/>
        <v>761.8644068</v>
      </c>
      <c r="AA815" s="73">
        <f t="shared" si="13"/>
        <v>761.8644068</v>
      </c>
      <c r="AB815" s="74">
        <f t="shared" si="14"/>
        <v>1</v>
      </c>
      <c r="AC815" s="61" t="str">
        <f t="shared" si="15"/>
        <v>0</v>
      </c>
      <c r="AD815" s="71" t="str">
        <f t="shared" si="16"/>
        <v>#DIV/0!</v>
      </c>
      <c r="AE815" s="61"/>
      <c r="AF815" s="61"/>
      <c r="AG815" s="71">
        <f t="array" ref="AG815">IFERROR(xlookup(G815,'Old Master'!T:T,'Old Master'!V:V),N815)</f>
        <v>0.1001001001</v>
      </c>
      <c r="AH815" s="73">
        <f t="shared" si="229"/>
        <v>899</v>
      </c>
      <c r="AI815" s="73">
        <f t="shared" si="230"/>
        <v>761.8644068</v>
      </c>
      <c r="AJ815" s="72">
        <f t="shared" si="19"/>
        <v>1</v>
      </c>
      <c r="AK815" s="61"/>
      <c r="AL815" s="71">
        <f t="array" ref="AL815">iferror(if(isblank(xlookup($G815,'Old Master'!$T:$T,'Old Master'!$W:$W)),AG815,xlookup($G815,'Old Master'!$T:$T,'Old Master'!$W:$W)),AG815)</f>
        <v>0.1001001001</v>
      </c>
      <c r="AM815" s="74">
        <f t="shared" si="20"/>
        <v>0.1001001001</v>
      </c>
      <c r="AN815" s="73">
        <f t="shared" si="441"/>
        <v>899</v>
      </c>
    </row>
    <row r="816">
      <c r="A816" s="65" t="s">
        <v>3639</v>
      </c>
      <c r="B816" s="65" t="str">
        <f t="shared" si="1"/>
        <v>#VALUE!</v>
      </c>
      <c r="C816" s="65" t="str">
        <f t="shared" si="403"/>
        <v>#VALUE!</v>
      </c>
      <c r="D816" s="65" t="s">
        <v>3641</v>
      </c>
      <c r="E816" s="65">
        <v>0.0</v>
      </c>
      <c r="F816" s="65" t="s">
        <v>3642</v>
      </c>
      <c r="G816" s="65" t="s">
        <v>5127</v>
      </c>
      <c r="H816" s="65" t="s">
        <v>4730</v>
      </c>
      <c r="I816" s="65">
        <v>899.0</v>
      </c>
      <c r="J816" s="66">
        <v>0.1</v>
      </c>
      <c r="K816" s="65">
        <f t="shared" si="3"/>
        <v>809</v>
      </c>
      <c r="L816" s="66">
        <v>0.1</v>
      </c>
      <c r="M816" s="65">
        <f t="shared" si="4"/>
        <v>809</v>
      </c>
      <c r="N816" s="67">
        <f t="shared" si="404"/>
        <v>0.1112347052</v>
      </c>
      <c r="O816" s="78">
        <v>799.0</v>
      </c>
      <c r="P816" s="67">
        <f t="shared" si="412"/>
        <v>0.1112347052</v>
      </c>
      <c r="Q816" s="79">
        <v>799.0</v>
      </c>
      <c r="R816" s="70"/>
      <c r="S816" s="71">
        <f t="shared" si="433"/>
        <v>-0.01236093943</v>
      </c>
      <c r="T816" s="72">
        <f t="shared" si="6"/>
        <v>0</v>
      </c>
      <c r="U816" s="73" t="str">
        <f t="shared" si="437"/>
        <v/>
      </c>
      <c r="V816" s="73">
        <f t="shared" si="340"/>
        <v>685.5932203</v>
      </c>
      <c r="W816" s="73">
        <f t="shared" si="9"/>
        <v>685.5932203</v>
      </c>
      <c r="X816" s="74">
        <f t="shared" si="10"/>
        <v>1</v>
      </c>
      <c r="Y816" s="73">
        <f t="shared" si="333"/>
        <v>0</v>
      </c>
      <c r="Z816" s="73">
        <f t="shared" si="12"/>
        <v>677.1186441</v>
      </c>
      <c r="AA816" s="73">
        <f t="shared" si="13"/>
        <v>677.1186441</v>
      </c>
      <c r="AB816" s="74">
        <f t="shared" si="14"/>
        <v>1</v>
      </c>
      <c r="AC816" s="61" t="str">
        <f t="shared" si="15"/>
        <v>8</v>
      </c>
      <c r="AD816" s="71" t="str">
        <f t="shared" si="16"/>
        <v>#DIV/0!</v>
      </c>
      <c r="AE816" s="61"/>
      <c r="AF816" s="61"/>
      <c r="AG816" s="71">
        <f t="array" ref="AG816">IFERROR(xlookup(G816,'Old Master'!T:T,'Old Master'!V:V),N816)</f>
        <v>0.1112347052</v>
      </c>
      <c r="AH816" s="73">
        <f t="shared" si="229"/>
        <v>799</v>
      </c>
      <c r="AI816" s="73">
        <f t="shared" si="230"/>
        <v>677.1186441</v>
      </c>
      <c r="AJ816" s="72">
        <f t="shared" si="19"/>
        <v>1</v>
      </c>
      <c r="AK816" s="61"/>
      <c r="AL816" s="71">
        <f t="array" ref="AL816">iferror(if(isblank(xlookup($G816,'Old Master'!$T:$T,'Old Master'!$W:$W)),AG816,xlookup($G816,'Old Master'!$T:$T,'Old Master'!$W:$W)),AG816)</f>
        <v>0.1112347052</v>
      </c>
      <c r="AM816" s="74">
        <f t="shared" si="20"/>
        <v>0.1112347052</v>
      </c>
      <c r="AN816" s="73">
        <f t="shared" si="441"/>
        <v>799</v>
      </c>
    </row>
    <row r="817">
      <c r="A817" s="65" t="s">
        <v>3706</v>
      </c>
      <c r="B817" s="65" t="str">
        <f t="shared" si="1"/>
        <v>#VALUE!</v>
      </c>
      <c r="C817" s="65" t="str">
        <f t="shared" si="403"/>
        <v>#VALUE!</v>
      </c>
      <c r="D817" s="65" t="s">
        <v>3708</v>
      </c>
      <c r="E817" s="65">
        <v>0.0</v>
      </c>
      <c r="F817" s="65" t="s">
        <v>3709</v>
      </c>
      <c r="G817" s="65" t="s">
        <v>5127</v>
      </c>
      <c r="H817" s="65" t="s">
        <v>4730</v>
      </c>
      <c r="I817" s="65">
        <v>949.0</v>
      </c>
      <c r="J817" s="66">
        <v>0.1</v>
      </c>
      <c r="K817" s="65">
        <f t="shared" si="3"/>
        <v>854</v>
      </c>
      <c r="L817" s="66">
        <v>0.1</v>
      </c>
      <c r="M817" s="65">
        <f t="shared" si="4"/>
        <v>854</v>
      </c>
      <c r="N817" s="67">
        <f t="shared" si="404"/>
        <v>0.05268703899</v>
      </c>
      <c r="O817" s="78">
        <v>899.0</v>
      </c>
      <c r="P817" s="67">
        <f t="shared" si="412"/>
        <v>0.05268703899</v>
      </c>
      <c r="Q817" s="79">
        <v>899.0</v>
      </c>
      <c r="R817" s="70"/>
      <c r="S817" s="71">
        <f t="shared" si="433"/>
        <v>0.05269320843</v>
      </c>
      <c r="T817" s="72">
        <f t="shared" si="6"/>
        <v>0</v>
      </c>
      <c r="U817" s="73" t="str">
        <f t="shared" si="437"/>
        <v/>
      </c>
      <c r="V817" s="73">
        <f t="shared" si="340"/>
        <v>723.7288136</v>
      </c>
      <c r="W817" s="73">
        <f t="shared" si="9"/>
        <v>723.7288136</v>
      </c>
      <c r="X817" s="74">
        <f t="shared" si="10"/>
        <v>1</v>
      </c>
      <c r="Y817" s="73">
        <f t="shared" si="333"/>
        <v>0</v>
      </c>
      <c r="Z817" s="73">
        <f t="shared" si="12"/>
        <v>761.8644068</v>
      </c>
      <c r="AA817" s="73">
        <f t="shared" si="13"/>
        <v>761.8644068</v>
      </c>
      <c r="AB817" s="74">
        <f t="shared" si="14"/>
        <v>1</v>
      </c>
      <c r="AC817" s="61" t="str">
        <f t="shared" si="15"/>
        <v>0</v>
      </c>
      <c r="AD817" s="71" t="str">
        <f t="shared" si="16"/>
        <v>#DIV/0!</v>
      </c>
      <c r="AE817" s="61"/>
      <c r="AF817" s="61"/>
      <c r="AG817" s="71">
        <f t="array" ref="AG817">IFERROR(xlookup(G817,'Old Master'!T:T,'Old Master'!V:V),N817)</f>
        <v>0.05268703899</v>
      </c>
      <c r="AH817" s="73">
        <f t="shared" si="229"/>
        <v>899</v>
      </c>
      <c r="AI817" s="73">
        <f t="shared" si="230"/>
        <v>761.8644068</v>
      </c>
      <c r="AJ817" s="72">
        <f t="shared" si="19"/>
        <v>1</v>
      </c>
      <c r="AK817" s="61"/>
      <c r="AL817" s="71">
        <f t="array" ref="AL817">iferror(if(isblank(xlookup($G817,'Old Master'!$T:$T,'Old Master'!$W:$W)),AG817,xlookup($G817,'Old Master'!$T:$T,'Old Master'!$W:$W)),AG817)</f>
        <v>0.05268703899</v>
      </c>
      <c r="AM817" s="74">
        <f t="shared" si="20"/>
        <v>0.05268703899</v>
      </c>
      <c r="AN817" s="73">
        <f t="shared" si="441"/>
        <v>899</v>
      </c>
    </row>
    <row r="818">
      <c r="A818" s="65" t="s">
        <v>3681</v>
      </c>
      <c r="B818" s="65" t="str">
        <f t="shared" si="1"/>
        <v>#VALUE!</v>
      </c>
      <c r="C818" s="65" t="str">
        <f t="shared" si="403"/>
        <v>#VALUE!</v>
      </c>
      <c r="D818" s="65" t="s">
        <v>3683</v>
      </c>
      <c r="E818" s="65">
        <v>0.0</v>
      </c>
      <c r="F818" s="65">
        <v>0.0</v>
      </c>
      <c r="G818" s="65" t="s">
        <v>5127</v>
      </c>
      <c r="H818" s="65" t="s">
        <v>4730</v>
      </c>
      <c r="I818" s="65">
        <v>999.0</v>
      </c>
      <c r="J818" s="66">
        <v>0.1</v>
      </c>
      <c r="K818" s="65">
        <f t="shared" si="3"/>
        <v>899</v>
      </c>
      <c r="L818" s="66">
        <v>0.1</v>
      </c>
      <c r="M818" s="65">
        <f t="shared" si="4"/>
        <v>899</v>
      </c>
      <c r="N818" s="67">
        <f t="shared" si="404"/>
        <v>0.1201201201</v>
      </c>
      <c r="O818" s="78">
        <v>879.0</v>
      </c>
      <c r="P818" s="67">
        <f t="shared" si="412"/>
        <v>0.1201201201</v>
      </c>
      <c r="Q818" s="79">
        <v>879.0</v>
      </c>
      <c r="R818" s="70"/>
      <c r="S818" s="71">
        <f t="shared" si="433"/>
        <v>-0.02224694105</v>
      </c>
      <c r="T818" s="72">
        <f t="shared" si="6"/>
        <v>0</v>
      </c>
      <c r="U818" s="73" t="str">
        <f t="shared" si="437"/>
        <v/>
      </c>
      <c r="V818" s="73">
        <f t="shared" si="340"/>
        <v>761.8644068</v>
      </c>
      <c r="W818" s="73">
        <f t="shared" si="9"/>
        <v>761.8644068</v>
      </c>
      <c r="X818" s="74">
        <f t="shared" si="10"/>
        <v>1</v>
      </c>
      <c r="Y818" s="73">
        <f t="shared" si="333"/>
        <v>0</v>
      </c>
      <c r="Z818" s="73">
        <f t="shared" si="12"/>
        <v>744.9152542</v>
      </c>
      <c r="AA818" s="73">
        <f t="shared" si="13"/>
        <v>744.9152542</v>
      </c>
      <c r="AB818" s="74">
        <f t="shared" si="14"/>
        <v>1</v>
      </c>
      <c r="AC818" s="61" t="str">
        <f t="shared" si="15"/>
        <v>0</v>
      </c>
      <c r="AD818" s="71" t="str">
        <f t="shared" si="16"/>
        <v>#DIV/0!</v>
      </c>
      <c r="AE818" s="61"/>
      <c r="AF818" s="61"/>
      <c r="AG818" s="71">
        <f t="array" ref="AG818">IFERROR(xlookup(G818,'Old Master'!T:T,'Old Master'!V:V),N818)</f>
        <v>0.1201201201</v>
      </c>
      <c r="AH818" s="73">
        <f t="shared" si="229"/>
        <v>879</v>
      </c>
      <c r="AI818" s="73">
        <f t="shared" si="230"/>
        <v>744.9152542</v>
      </c>
      <c r="AJ818" s="72">
        <f t="shared" si="19"/>
        <v>1</v>
      </c>
      <c r="AK818" s="61"/>
      <c r="AL818" s="71">
        <f t="array" ref="AL818">iferror(if(isblank(xlookup($G818,'Old Master'!$T:$T,'Old Master'!$W:$W)),AG818,xlookup($G818,'Old Master'!$T:$T,'Old Master'!$W:$W)),AG818)</f>
        <v>0.1201201201</v>
      </c>
      <c r="AM818" s="74">
        <f t="shared" si="20"/>
        <v>0.1001001001</v>
      </c>
      <c r="AN818" s="73">
        <f t="shared" si="441"/>
        <v>899</v>
      </c>
    </row>
    <row r="819">
      <c r="A819" s="65" t="s">
        <v>3629</v>
      </c>
      <c r="B819" s="65" t="str">
        <f t="shared" si="1"/>
        <v>#VALUE!</v>
      </c>
      <c r="C819" s="65" t="str">
        <f t="shared" si="403"/>
        <v>#VALUE!</v>
      </c>
      <c r="D819" s="65" t="s">
        <v>3631</v>
      </c>
      <c r="E819" s="65">
        <v>0.0</v>
      </c>
      <c r="F819" s="65">
        <v>0.0</v>
      </c>
      <c r="G819" s="65" t="s">
        <v>5127</v>
      </c>
      <c r="H819" s="65" t="s">
        <v>4730</v>
      </c>
      <c r="I819" s="65">
        <v>899.0</v>
      </c>
      <c r="J819" s="66">
        <v>0.1</v>
      </c>
      <c r="K819" s="65">
        <f t="shared" si="3"/>
        <v>809</v>
      </c>
      <c r="L819" s="66">
        <v>0.1</v>
      </c>
      <c r="M819" s="65">
        <f t="shared" si="4"/>
        <v>809</v>
      </c>
      <c r="N819" s="67">
        <f t="shared" si="404"/>
        <v>0.1112347052</v>
      </c>
      <c r="O819" s="78">
        <v>799.0</v>
      </c>
      <c r="P819" s="67">
        <f t="shared" si="412"/>
        <v>0.1112347052</v>
      </c>
      <c r="Q819" s="79">
        <v>799.0</v>
      </c>
      <c r="R819" s="70"/>
      <c r="S819" s="71">
        <f t="shared" si="433"/>
        <v>-0.01236093943</v>
      </c>
      <c r="T819" s="72">
        <f t="shared" si="6"/>
        <v>0</v>
      </c>
      <c r="U819" s="73" t="str">
        <f t="shared" si="437"/>
        <v/>
      </c>
      <c r="V819" s="73">
        <f t="shared" si="340"/>
        <v>685.5932203</v>
      </c>
      <c r="W819" s="73">
        <f t="shared" si="9"/>
        <v>685.5932203</v>
      </c>
      <c r="X819" s="74">
        <f t="shared" si="10"/>
        <v>1</v>
      </c>
      <c r="Y819" s="73">
        <f t="shared" si="333"/>
        <v>0</v>
      </c>
      <c r="Z819" s="73">
        <f t="shared" si="12"/>
        <v>677.1186441</v>
      </c>
      <c r="AA819" s="73">
        <f t="shared" si="13"/>
        <v>677.1186441</v>
      </c>
      <c r="AB819" s="74">
        <f t="shared" si="14"/>
        <v>1</v>
      </c>
      <c r="AC819" s="61" t="str">
        <f t="shared" si="15"/>
        <v>8</v>
      </c>
      <c r="AD819" s="71" t="str">
        <f t="shared" si="16"/>
        <v>#DIV/0!</v>
      </c>
      <c r="AE819" s="61"/>
      <c r="AF819" s="61"/>
      <c r="AG819" s="71">
        <f t="array" ref="AG819">IFERROR(xlookup(G819,'Old Master'!T:T,'Old Master'!V:V),N819)</f>
        <v>0.1112347052</v>
      </c>
      <c r="AH819" s="73">
        <f t="shared" si="229"/>
        <v>799</v>
      </c>
      <c r="AI819" s="73">
        <f t="shared" si="230"/>
        <v>677.1186441</v>
      </c>
      <c r="AJ819" s="72">
        <f t="shared" si="19"/>
        <v>1</v>
      </c>
      <c r="AK819" s="61"/>
      <c r="AL819" s="71">
        <f t="array" ref="AL819">iferror(if(isblank(xlookup($G819,'Old Master'!$T:$T,'Old Master'!$W:$W)),AG819,xlookup($G819,'Old Master'!$T:$T,'Old Master'!$W:$W)),AG819)</f>
        <v>0.1112347052</v>
      </c>
      <c r="AM819" s="74">
        <f t="shared" si="20"/>
        <v>0.1112347052</v>
      </c>
      <c r="AN819" s="73">
        <f t="shared" si="441"/>
        <v>799</v>
      </c>
    </row>
    <row r="820">
      <c r="A820" s="65" t="s">
        <v>5438</v>
      </c>
      <c r="B820" s="65" t="str">
        <f t="shared" si="1"/>
        <v>#VALUE!</v>
      </c>
      <c r="C820" s="65" t="str">
        <f t="shared" si="403"/>
        <v>#VALUE!</v>
      </c>
      <c r="D820" s="65" t="s">
        <v>3022</v>
      </c>
      <c r="E820" s="65" t="s">
        <v>3023</v>
      </c>
      <c r="F820" s="65">
        <v>0.0</v>
      </c>
      <c r="G820" s="65" t="s">
        <v>5127</v>
      </c>
      <c r="H820" s="65" t="s">
        <v>4730</v>
      </c>
      <c r="I820" s="65">
        <v>2089.0</v>
      </c>
      <c r="J820" s="66">
        <v>0.1</v>
      </c>
      <c r="K820" s="65">
        <f t="shared" si="3"/>
        <v>1880</v>
      </c>
      <c r="L820" s="66">
        <v>0.1</v>
      </c>
      <c r="M820" s="65">
        <f t="shared" si="4"/>
        <v>1880</v>
      </c>
      <c r="N820" s="67">
        <f t="shared" si="404"/>
        <v>0.0909526089</v>
      </c>
      <c r="O820" s="78">
        <v>1899.0</v>
      </c>
      <c r="P820" s="67">
        <f t="shared" si="412"/>
        <v>0.0909526089</v>
      </c>
      <c r="Q820" s="79">
        <v>1899.0</v>
      </c>
      <c r="R820" s="70"/>
      <c r="S820" s="71">
        <f t="shared" si="433"/>
        <v>0.01010638298</v>
      </c>
      <c r="T820" s="72">
        <f t="shared" si="6"/>
        <v>0</v>
      </c>
      <c r="U820" s="73" t="str">
        <f t="shared" si="437"/>
        <v/>
      </c>
      <c r="V820" s="73">
        <f t="shared" si="340"/>
        <v>1593.220339</v>
      </c>
      <c r="W820" s="73">
        <f t="shared" si="9"/>
        <v>1593.220339</v>
      </c>
      <c r="X820" s="74">
        <f t="shared" si="10"/>
        <v>1</v>
      </c>
      <c r="Y820" s="73">
        <f t="shared" si="333"/>
        <v>0</v>
      </c>
      <c r="Z820" s="73">
        <f t="shared" si="12"/>
        <v>1609.322034</v>
      </c>
      <c r="AA820" s="73">
        <f t="shared" si="13"/>
        <v>1609.322034</v>
      </c>
      <c r="AB820" s="74">
        <f t="shared" si="14"/>
        <v>1</v>
      </c>
      <c r="AC820" s="61" t="str">
        <f t="shared" si="15"/>
        <v>0</v>
      </c>
      <c r="AD820" s="71" t="str">
        <f t="shared" si="16"/>
        <v>#DIV/0!</v>
      </c>
      <c r="AE820" s="61"/>
      <c r="AF820" s="61"/>
      <c r="AG820" s="71">
        <f t="array" ref="AG820">IFERROR(xlookup(G820,'Old Master'!T:T,'Old Master'!V:V),N820)</f>
        <v>0.0909526089</v>
      </c>
      <c r="AH820" s="73">
        <f t="shared" si="229"/>
        <v>1899</v>
      </c>
      <c r="AI820" s="73">
        <f t="shared" si="230"/>
        <v>1609.322034</v>
      </c>
      <c r="AJ820" s="72">
        <f t="shared" si="19"/>
        <v>1</v>
      </c>
      <c r="AK820" s="61"/>
      <c r="AL820" s="71">
        <f t="array" ref="AL820">iferror(if(isblank(xlookup($G820,'Old Master'!$T:$T,'Old Master'!$W:$W)),AG820,xlookup($G820,'Old Master'!$T:$T,'Old Master'!$W:$W)),AG820)</f>
        <v>0.0909526089</v>
      </c>
      <c r="AM820" s="74">
        <f t="shared" si="20"/>
        <v>0.0909526089</v>
      </c>
      <c r="AN820" s="73">
        <f t="shared" si="441"/>
        <v>1899</v>
      </c>
    </row>
    <row r="821">
      <c r="A821" s="65" t="s">
        <v>3716</v>
      </c>
      <c r="B821" s="65" t="str">
        <f t="shared" si="1"/>
        <v>#VALUE!</v>
      </c>
      <c r="C821" s="65" t="str">
        <f t="shared" si="403"/>
        <v>#VALUE!</v>
      </c>
      <c r="D821" s="65" t="s">
        <v>3718</v>
      </c>
      <c r="E821" s="65">
        <v>0.0</v>
      </c>
      <c r="F821" s="65">
        <v>0.0</v>
      </c>
      <c r="G821" s="65" t="s">
        <v>5127</v>
      </c>
      <c r="H821" s="65" t="s">
        <v>4730</v>
      </c>
      <c r="I821" s="65">
        <v>949.0</v>
      </c>
      <c r="J821" s="66">
        <v>0.0</v>
      </c>
      <c r="K821" s="65">
        <f t="shared" si="3"/>
        <v>949</v>
      </c>
      <c r="L821" s="66">
        <v>0.0</v>
      </c>
      <c r="M821" s="65">
        <f t="shared" si="4"/>
        <v>949</v>
      </c>
      <c r="N821" s="67">
        <f t="shared" si="404"/>
        <v>0</v>
      </c>
      <c r="O821" s="78">
        <v>949.0</v>
      </c>
      <c r="P821" s="67">
        <f t="shared" si="412"/>
        <v>0</v>
      </c>
      <c r="Q821" s="79">
        <v>949.0</v>
      </c>
      <c r="R821" s="70"/>
      <c r="S821" s="71">
        <f t="shared" si="433"/>
        <v>0</v>
      </c>
      <c r="T821" s="72">
        <f t="shared" si="6"/>
        <v>0</v>
      </c>
      <c r="U821" s="73" t="str">
        <f t="shared" si="437"/>
        <v/>
      </c>
      <c r="V821" s="73">
        <f t="shared" si="340"/>
        <v>804.2372881</v>
      </c>
      <c r="W821" s="73">
        <f t="shared" si="9"/>
        <v>804.2372881</v>
      </c>
      <c r="X821" s="74">
        <f t="shared" si="10"/>
        <v>1</v>
      </c>
      <c r="Y821" s="73">
        <f t="shared" si="333"/>
        <v>0</v>
      </c>
      <c r="Z821" s="73">
        <f t="shared" si="12"/>
        <v>804.2372881</v>
      </c>
      <c r="AA821" s="73">
        <f t="shared" si="13"/>
        <v>804.2372881</v>
      </c>
      <c r="AB821" s="74">
        <f t="shared" si="14"/>
        <v>1</v>
      </c>
      <c r="AC821" s="61" t="str">
        <f t="shared" si="15"/>
        <v>0</v>
      </c>
      <c r="AD821" s="71" t="str">
        <f t="shared" si="16"/>
        <v>#DIV/0!</v>
      </c>
      <c r="AE821" s="61"/>
      <c r="AF821" s="61"/>
      <c r="AG821" s="71">
        <f t="array" ref="AG821">IFERROR(xlookup(G821,'Old Master'!T:T,'Old Master'!V:V),N821)</f>
        <v>0</v>
      </c>
      <c r="AH821" s="73">
        <f t="shared" si="229"/>
        <v>949</v>
      </c>
      <c r="AI821" s="73">
        <f t="shared" si="230"/>
        <v>804.2372881</v>
      </c>
      <c r="AJ821" s="72">
        <f t="shared" si="19"/>
        <v>1</v>
      </c>
      <c r="AK821" s="61"/>
      <c r="AL821" s="71">
        <f t="array" ref="AL821">iferror(if(isblank(xlookup($G821,'Old Master'!$T:$T,'Old Master'!$W:$W)),AG821,xlookup($G821,'Old Master'!$T:$T,'Old Master'!$W:$W)),AG821)</f>
        <v>0</v>
      </c>
      <c r="AM821" s="74">
        <f t="shared" si="20"/>
        <v>0</v>
      </c>
      <c r="AN821" s="73">
        <f>O821</f>
        <v>949</v>
      </c>
    </row>
    <row r="822">
      <c r="A822" s="65" t="s">
        <v>4812</v>
      </c>
      <c r="B822" s="65" t="str">
        <f t="shared" si="1"/>
        <v>#VALUE!</v>
      </c>
      <c r="C822" s="65" t="str">
        <f t="shared" si="403"/>
        <v>#VALUE!</v>
      </c>
      <c r="D822" s="65" t="s">
        <v>4812</v>
      </c>
      <c r="E822" s="65">
        <v>0.0</v>
      </c>
      <c r="F822" s="65">
        <v>0.0</v>
      </c>
      <c r="G822" s="65" t="s">
        <v>5080</v>
      </c>
      <c r="H822" s="65" t="s">
        <v>1145</v>
      </c>
      <c r="I822" s="65">
        <v>5999.0</v>
      </c>
      <c r="J822" s="66">
        <v>0.25</v>
      </c>
      <c r="K822" s="65">
        <f t="shared" si="3"/>
        <v>4499</v>
      </c>
      <c r="L822" s="66">
        <v>0.25</v>
      </c>
      <c r="M822" s="65">
        <f t="shared" si="4"/>
        <v>4499</v>
      </c>
      <c r="N822" s="77">
        <f t="shared" si="404"/>
        <v>0.366727788</v>
      </c>
      <c r="O822" s="78">
        <v>3799.0</v>
      </c>
      <c r="P822" s="67">
        <f t="shared" si="412"/>
        <v>0.366727788</v>
      </c>
      <c r="Q822" s="79">
        <v>3799.0</v>
      </c>
      <c r="R822" s="70"/>
      <c r="S822" s="71">
        <f t="shared" si="433"/>
        <v>-0.1555901311</v>
      </c>
      <c r="T822" s="72">
        <f t="shared" si="6"/>
        <v>0</v>
      </c>
      <c r="U822" s="73">
        <f t="array" ref="U822">IFERROR(XLOOKUP(A822,COGS!I:I,COGS!J:J), IFERROR(XLOOKUP(C822,COGS!I:I,COGS!J:J),I822*35%))</f>
        <v>2099.65</v>
      </c>
      <c r="V822" s="73">
        <f t="shared" si="340"/>
        <v>3812.711864</v>
      </c>
      <c r="W822" s="73">
        <f t="shared" si="9"/>
        <v>1713.061864</v>
      </c>
      <c r="X822" s="74">
        <f t="shared" si="10"/>
        <v>0.4493027339</v>
      </c>
      <c r="Y822" s="73">
        <f t="shared" si="333"/>
        <v>2414.5975</v>
      </c>
      <c r="Z822" s="73">
        <f t="shared" si="12"/>
        <v>3219.491525</v>
      </c>
      <c r="AA822" s="73">
        <f t="shared" si="13"/>
        <v>804.8940254</v>
      </c>
      <c r="AB822" s="74">
        <f t="shared" si="14"/>
        <v>0.2500065675</v>
      </c>
      <c r="AC822" s="61" t="str">
        <f t="shared" si="15"/>
        <v>4</v>
      </c>
      <c r="AD822" s="71">
        <f t="shared" si="16"/>
        <v>0.15</v>
      </c>
      <c r="AE822" s="61"/>
      <c r="AF822" s="61"/>
      <c r="AG822" s="71">
        <f t="array" ref="AG822">IFERROR(xlookup(G822,'Old Master'!T:T,'Old Master'!V:V),N822)</f>
        <v>0.366727788</v>
      </c>
      <c r="AH822" s="73">
        <f t="shared" si="229"/>
        <v>3799</v>
      </c>
      <c r="AI822" s="73">
        <f t="shared" si="230"/>
        <v>804.8940254</v>
      </c>
      <c r="AJ822" s="72">
        <f t="shared" si="19"/>
        <v>0.2500065675</v>
      </c>
      <c r="AK822" s="61"/>
      <c r="AL822" s="71">
        <f>(I822-AN822)/I822</f>
        <v>0.366727788</v>
      </c>
      <c r="AM822" s="74">
        <f t="shared" si="20"/>
        <v>0.366727788</v>
      </c>
      <c r="AN822" s="80">
        <v>3799.0</v>
      </c>
    </row>
    <row r="823">
      <c r="A823" s="65" t="s">
        <v>3563</v>
      </c>
      <c r="B823" s="65" t="str">
        <f t="shared" si="1"/>
        <v>#VALUE!</v>
      </c>
      <c r="C823" s="65" t="str">
        <f t="shared" si="403"/>
        <v>#VALUE!</v>
      </c>
      <c r="D823" s="65" t="s">
        <v>3565</v>
      </c>
      <c r="E823" s="65" t="s">
        <v>3566</v>
      </c>
      <c r="F823" s="65" t="s">
        <v>3567</v>
      </c>
      <c r="G823" s="65" t="s">
        <v>5099</v>
      </c>
      <c r="H823" s="65" t="s">
        <v>4730</v>
      </c>
      <c r="I823" s="65">
        <v>1689.0</v>
      </c>
      <c r="J823" s="66">
        <v>0.26050917702782717</v>
      </c>
      <c r="K823" s="65">
        <f t="shared" si="3"/>
        <v>1249</v>
      </c>
      <c r="L823" s="66">
        <v>0.15</v>
      </c>
      <c r="M823" s="65">
        <f t="shared" si="4"/>
        <v>1436</v>
      </c>
      <c r="N823" s="67">
        <f t="shared" si="404"/>
        <v>0.1124925992</v>
      </c>
      <c r="O823" s="78">
        <v>1499.0</v>
      </c>
      <c r="P823" s="67">
        <f t="shared" si="412"/>
        <v>0.1124925992</v>
      </c>
      <c r="Q823" s="79">
        <v>1499.0</v>
      </c>
      <c r="R823" s="70"/>
      <c r="S823" s="71">
        <f t="shared" si="433"/>
        <v>0.2001601281</v>
      </c>
      <c r="T823" s="72">
        <f t="shared" si="6"/>
        <v>0</v>
      </c>
      <c r="U823" s="73" t="str">
        <f t="shared" ref="U823:U824" si="442">IFERROR(XLOOKUP(A823,COGS!I:I,COGS!J:J), IFERROR(XLOOKUP(C823,COGS!I:I,COGS!J:J),""))</f>
        <v/>
      </c>
      <c r="V823" s="73">
        <f t="shared" si="340"/>
        <v>1216.949153</v>
      </c>
      <c r="W823" s="73">
        <f t="shared" si="9"/>
        <v>1216.949153</v>
      </c>
      <c r="X823" s="74">
        <f t="shared" si="10"/>
        <v>1</v>
      </c>
      <c r="Y823" s="73">
        <f t="shared" si="333"/>
        <v>0</v>
      </c>
      <c r="Z823" s="73">
        <f t="shared" si="12"/>
        <v>1270.338983</v>
      </c>
      <c r="AA823" s="73">
        <f t="shared" si="13"/>
        <v>1270.338983</v>
      </c>
      <c r="AB823" s="74">
        <f t="shared" si="14"/>
        <v>1</v>
      </c>
      <c r="AC823" s="61" t="str">
        <f t="shared" si="15"/>
        <v>0</v>
      </c>
      <c r="AD823" s="71" t="str">
        <f t="shared" si="16"/>
        <v>#DIV/0!</v>
      </c>
      <c r="AE823" s="61"/>
      <c r="AF823" s="61"/>
      <c r="AG823" s="71">
        <f t="array" ref="AG823">IFERROR(xlookup(G823,'Old Master'!T:T,'Old Master'!V:V),N823)</f>
        <v>0.1124925992</v>
      </c>
      <c r="AH823" s="73">
        <f t="shared" si="229"/>
        <v>1499</v>
      </c>
      <c r="AI823" s="73">
        <f t="shared" si="230"/>
        <v>1270.338983</v>
      </c>
      <c r="AJ823" s="72">
        <f t="shared" si="19"/>
        <v>1</v>
      </c>
      <c r="AK823" s="61"/>
      <c r="AL823" s="71">
        <f t="array" ref="AL823">iferror(if(isblank(xlookup($G823,'Old Master'!$T:$T,'Old Master'!$W:$W)),AG823,xlookup($G823,'Old Master'!$T:$T,'Old Master'!$W:$W)),AG823)</f>
        <v>0.1124925992</v>
      </c>
      <c r="AM823" s="74">
        <f t="shared" si="20"/>
        <v>0.1124925992</v>
      </c>
      <c r="AN823" s="73">
        <f t="shared" ref="AN823:AN844" si="443">mround($I823*(1-AL823),100)-1</f>
        <v>1499</v>
      </c>
    </row>
    <row r="824">
      <c r="A824" s="65" t="s">
        <v>3557</v>
      </c>
      <c r="B824" s="65" t="str">
        <f t="shared" si="1"/>
        <v>#VALUE!</v>
      </c>
      <c r="C824" s="65" t="str">
        <f t="shared" si="403"/>
        <v>#VALUE!</v>
      </c>
      <c r="D824" s="65" t="s">
        <v>3559</v>
      </c>
      <c r="E824" s="65" t="s">
        <v>3560</v>
      </c>
      <c r="F824" s="65" t="s">
        <v>3561</v>
      </c>
      <c r="G824" s="65" t="s">
        <v>5099</v>
      </c>
      <c r="H824" s="65" t="s">
        <v>4730</v>
      </c>
      <c r="I824" s="65">
        <v>1689.0</v>
      </c>
      <c r="J824" s="66">
        <v>0.26</v>
      </c>
      <c r="K824" s="65">
        <f t="shared" si="3"/>
        <v>1250</v>
      </c>
      <c r="L824" s="66">
        <v>0.15</v>
      </c>
      <c r="M824" s="65">
        <f t="shared" si="4"/>
        <v>1436</v>
      </c>
      <c r="N824" s="67">
        <f t="shared" si="404"/>
        <v>0.1124925992</v>
      </c>
      <c r="O824" s="78">
        <v>1499.0</v>
      </c>
      <c r="P824" s="67">
        <f t="shared" si="412"/>
        <v>0.1124925992</v>
      </c>
      <c r="Q824" s="79">
        <v>1499.0</v>
      </c>
      <c r="R824" s="70"/>
      <c r="S824" s="71">
        <f t="shared" si="433"/>
        <v>0.1992</v>
      </c>
      <c r="T824" s="72">
        <f t="shared" si="6"/>
        <v>0</v>
      </c>
      <c r="U824" s="73" t="str">
        <f t="shared" si="442"/>
        <v/>
      </c>
      <c r="V824" s="73">
        <f t="shared" si="340"/>
        <v>1216.949153</v>
      </c>
      <c r="W824" s="73">
        <f t="shared" si="9"/>
        <v>1216.949153</v>
      </c>
      <c r="X824" s="74">
        <f t="shared" si="10"/>
        <v>1</v>
      </c>
      <c r="Y824" s="73">
        <f t="shared" si="333"/>
        <v>0</v>
      </c>
      <c r="Z824" s="73">
        <f t="shared" si="12"/>
        <v>1270.338983</v>
      </c>
      <c r="AA824" s="73">
        <f t="shared" si="13"/>
        <v>1270.338983</v>
      </c>
      <c r="AB824" s="74">
        <f t="shared" si="14"/>
        <v>1</v>
      </c>
      <c r="AC824" s="61" t="str">
        <f t="shared" si="15"/>
        <v>0</v>
      </c>
      <c r="AD824" s="71" t="str">
        <f t="shared" si="16"/>
        <v>#DIV/0!</v>
      </c>
      <c r="AE824" s="61"/>
      <c r="AF824" s="61"/>
      <c r="AG824" s="71">
        <f t="array" ref="AG824">IFERROR(xlookup(G824,'Old Master'!T:T,'Old Master'!V:V),N824)</f>
        <v>0.1124925992</v>
      </c>
      <c r="AH824" s="73">
        <f t="shared" si="229"/>
        <v>1499</v>
      </c>
      <c r="AI824" s="73">
        <f t="shared" si="230"/>
        <v>1270.338983</v>
      </c>
      <c r="AJ824" s="72">
        <f t="shared" si="19"/>
        <v>1</v>
      </c>
      <c r="AK824" s="61"/>
      <c r="AL824" s="71">
        <f t="array" ref="AL824">iferror(if(isblank(xlookup($G824,'Old Master'!$T:$T,'Old Master'!$W:$W)),AG824,xlookup($G824,'Old Master'!$T:$T,'Old Master'!$W:$W)),AG824)</f>
        <v>0.1124925992</v>
      </c>
      <c r="AM824" s="74">
        <f t="shared" si="20"/>
        <v>0.1124925992</v>
      </c>
      <c r="AN824" s="73">
        <f t="shared" si="443"/>
        <v>1499</v>
      </c>
    </row>
    <row r="825">
      <c r="A825" s="65" t="s">
        <v>3551</v>
      </c>
      <c r="B825" s="65" t="str">
        <f t="shared" si="1"/>
        <v>#VALUE!</v>
      </c>
      <c r="C825" s="65" t="str">
        <f t="shared" si="403"/>
        <v>#VALUE!</v>
      </c>
      <c r="D825" s="65" t="s">
        <v>3553</v>
      </c>
      <c r="E825" s="65" t="s">
        <v>3554</v>
      </c>
      <c r="F825" s="65" t="s">
        <v>3555</v>
      </c>
      <c r="G825" s="65" t="s">
        <v>5099</v>
      </c>
      <c r="H825" s="65" t="s">
        <v>4730</v>
      </c>
      <c r="I825" s="65">
        <v>1689.0</v>
      </c>
      <c r="J825" s="66">
        <v>0.26</v>
      </c>
      <c r="K825" s="65">
        <f t="shared" si="3"/>
        <v>1250</v>
      </c>
      <c r="L825" s="66">
        <v>0.15</v>
      </c>
      <c r="M825" s="65">
        <f t="shared" si="4"/>
        <v>1436</v>
      </c>
      <c r="N825" s="67">
        <f t="shared" si="404"/>
        <v>0.1124925992</v>
      </c>
      <c r="O825" s="78">
        <v>1499.0</v>
      </c>
      <c r="P825" s="67">
        <f t="shared" si="412"/>
        <v>0.1124925992</v>
      </c>
      <c r="Q825" s="79">
        <v>1499.0</v>
      </c>
      <c r="R825" s="70"/>
      <c r="S825" s="71">
        <f t="shared" si="433"/>
        <v>0.1992</v>
      </c>
      <c r="T825" s="72">
        <f t="shared" si="6"/>
        <v>0</v>
      </c>
      <c r="U825" s="73">
        <f>35%*I825</f>
        <v>591.15</v>
      </c>
      <c r="V825" s="73">
        <f t="shared" si="340"/>
        <v>1216.949153</v>
      </c>
      <c r="W825" s="73">
        <f t="shared" si="9"/>
        <v>625.7991525</v>
      </c>
      <c r="X825" s="74">
        <f t="shared" si="10"/>
        <v>0.5142360724</v>
      </c>
      <c r="Y825" s="73">
        <f>110%*U825</f>
        <v>650.265</v>
      </c>
      <c r="Z825" s="73">
        <f t="shared" si="12"/>
        <v>1270.338983</v>
      </c>
      <c r="AA825" s="73">
        <f t="shared" si="13"/>
        <v>620.0739831</v>
      </c>
      <c r="AB825" s="74">
        <f t="shared" si="14"/>
        <v>0.4881169446</v>
      </c>
      <c r="AC825" s="61" t="str">
        <f t="shared" si="15"/>
        <v>0</v>
      </c>
      <c r="AD825" s="71">
        <f t="shared" si="16"/>
        <v>0.1</v>
      </c>
      <c r="AE825" s="61"/>
      <c r="AF825" s="61"/>
      <c r="AG825" s="71">
        <f t="array" ref="AG825">IFERROR(xlookup(G825,'Old Master'!T:T,'Old Master'!V:V),N825)</f>
        <v>0.1124925992</v>
      </c>
      <c r="AH825" s="73">
        <f t="shared" si="229"/>
        <v>1499</v>
      </c>
      <c r="AI825" s="73">
        <f t="shared" si="230"/>
        <v>620.0739831</v>
      </c>
      <c r="AJ825" s="72">
        <f t="shared" si="19"/>
        <v>0.4881169446</v>
      </c>
      <c r="AK825" s="61"/>
      <c r="AL825" s="71">
        <f t="array" ref="AL825">iferror(if(isblank(xlookup($G825,'Old Master'!$T:$T,'Old Master'!$W:$W)),AG825,xlookup($G825,'Old Master'!$T:$T,'Old Master'!$W:$W)),AG825)</f>
        <v>0.1124925992</v>
      </c>
      <c r="AM825" s="74">
        <f t="shared" si="20"/>
        <v>0.1124925992</v>
      </c>
      <c r="AN825" s="73">
        <f t="shared" si="443"/>
        <v>1499</v>
      </c>
    </row>
    <row r="826">
      <c r="A826" s="65" t="s">
        <v>3569</v>
      </c>
      <c r="B826" s="65" t="str">
        <f t="shared" si="1"/>
        <v>#VALUE!</v>
      </c>
      <c r="C826" s="65" t="str">
        <f t="shared" si="403"/>
        <v>#VALUE!</v>
      </c>
      <c r="D826" s="65" t="s">
        <v>3571</v>
      </c>
      <c r="E826" s="65" t="s">
        <v>3572</v>
      </c>
      <c r="F826" s="65" t="s">
        <v>3573</v>
      </c>
      <c r="G826" s="65" t="s">
        <v>5099</v>
      </c>
      <c r="H826" s="65" t="s">
        <v>4730</v>
      </c>
      <c r="I826" s="65">
        <v>1689.0</v>
      </c>
      <c r="J826" s="66">
        <v>0.26</v>
      </c>
      <c r="K826" s="65">
        <f t="shared" si="3"/>
        <v>1250</v>
      </c>
      <c r="L826" s="66">
        <v>0.15</v>
      </c>
      <c r="M826" s="65">
        <f t="shared" si="4"/>
        <v>1436</v>
      </c>
      <c r="N826" s="67">
        <f t="shared" si="404"/>
        <v>0.1124925992</v>
      </c>
      <c r="O826" s="78">
        <v>1499.0</v>
      </c>
      <c r="P826" s="67">
        <f t="shared" si="412"/>
        <v>0.1124925992</v>
      </c>
      <c r="Q826" s="79">
        <v>1499.0</v>
      </c>
      <c r="R826" s="70"/>
      <c r="S826" s="71">
        <f t="shared" si="433"/>
        <v>0.1992</v>
      </c>
      <c r="T826" s="72">
        <f t="shared" si="6"/>
        <v>0</v>
      </c>
      <c r="U826" s="73" t="str">
        <f t="shared" ref="U826:U830" si="444">IFERROR(XLOOKUP(A826,COGS!I:I,COGS!J:J), IFERROR(XLOOKUP(C826,COGS!I:I,COGS!J:J),""))</f>
        <v/>
      </c>
      <c r="V826" s="73">
        <f t="shared" si="340"/>
        <v>1216.949153</v>
      </c>
      <c r="W826" s="73">
        <f t="shared" si="9"/>
        <v>1216.949153</v>
      </c>
      <c r="X826" s="74">
        <f t="shared" si="10"/>
        <v>1</v>
      </c>
      <c r="Y826" s="73">
        <f t="shared" ref="Y826:Y844" si="445">iferror(xlookup(A826,COGS!$I:$I,COGS!$K:$K),U826*(1+iferror(vlookup(G826,COGS!$R:$U,4,0),15%)))</f>
        <v>0</v>
      </c>
      <c r="Z826" s="73">
        <f t="shared" si="12"/>
        <v>1270.338983</v>
      </c>
      <c r="AA826" s="73">
        <f t="shared" si="13"/>
        <v>1270.338983</v>
      </c>
      <c r="AB826" s="74">
        <f t="shared" si="14"/>
        <v>1</v>
      </c>
      <c r="AC826" s="61" t="str">
        <f t="shared" si="15"/>
        <v>0</v>
      </c>
      <c r="AD826" s="71" t="str">
        <f t="shared" si="16"/>
        <v>#DIV/0!</v>
      </c>
      <c r="AE826" s="61"/>
      <c r="AF826" s="61"/>
      <c r="AG826" s="71">
        <f t="array" ref="AG826">IFERROR(xlookup(G826,'Old Master'!T:T,'Old Master'!V:V),N826)</f>
        <v>0.1124925992</v>
      </c>
      <c r="AH826" s="73">
        <f t="shared" si="229"/>
        <v>1499</v>
      </c>
      <c r="AI826" s="73">
        <f t="shared" si="230"/>
        <v>1270.338983</v>
      </c>
      <c r="AJ826" s="72">
        <f t="shared" si="19"/>
        <v>1</v>
      </c>
      <c r="AK826" s="61"/>
      <c r="AL826" s="71">
        <f t="array" ref="AL826">iferror(if(isblank(xlookup($G826,'Old Master'!$T:$T,'Old Master'!$W:$W)),AG826,xlookup($G826,'Old Master'!$T:$T,'Old Master'!$W:$W)),AG826)</f>
        <v>0.1124925992</v>
      </c>
      <c r="AM826" s="74">
        <f t="shared" si="20"/>
        <v>0.1124925992</v>
      </c>
      <c r="AN826" s="73">
        <f t="shared" si="443"/>
        <v>1499</v>
      </c>
    </row>
    <row r="827">
      <c r="A827" s="65" t="s">
        <v>3587</v>
      </c>
      <c r="B827" s="65" t="str">
        <f t="shared" si="1"/>
        <v>#VALUE!</v>
      </c>
      <c r="C827" s="65" t="str">
        <f t="shared" si="403"/>
        <v>#VALUE!</v>
      </c>
      <c r="D827" s="65" t="s">
        <v>3589</v>
      </c>
      <c r="E827" s="65" t="s">
        <v>3590</v>
      </c>
      <c r="F827" s="65" t="s">
        <v>3591</v>
      </c>
      <c r="G827" s="65" t="s">
        <v>5099</v>
      </c>
      <c r="H827" s="65" t="s">
        <v>4730</v>
      </c>
      <c r="I827" s="65">
        <v>2289.0</v>
      </c>
      <c r="J827" s="66">
        <v>0.25775447793796413</v>
      </c>
      <c r="K827" s="65">
        <f t="shared" si="3"/>
        <v>1699</v>
      </c>
      <c r="L827" s="66">
        <v>0.15</v>
      </c>
      <c r="M827" s="65">
        <f t="shared" si="4"/>
        <v>1946</v>
      </c>
      <c r="N827" s="67">
        <f t="shared" si="404"/>
        <v>0.126692879</v>
      </c>
      <c r="O827" s="78">
        <v>1999.0</v>
      </c>
      <c r="P827" s="67">
        <f t="shared" si="412"/>
        <v>0.126692879</v>
      </c>
      <c r="Q827" s="79">
        <v>1999.0</v>
      </c>
      <c r="R827" s="70"/>
      <c r="S827" s="71">
        <f t="shared" si="433"/>
        <v>0.1765744556</v>
      </c>
      <c r="T827" s="72">
        <f t="shared" si="6"/>
        <v>0</v>
      </c>
      <c r="U827" s="73" t="str">
        <f t="shared" si="444"/>
        <v/>
      </c>
      <c r="V827" s="73">
        <f t="shared" si="340"/>
        <v>1649.152542</v>
      </c>
      <c r="W827" s="73">
        <f t="shared" si="9"/>
        <v>1649.152542</v>
      </c>
      <c r="X827" s="74">
        <f t="shared" si="10"/>
        <v>1</v>
      </c>
      <c r="Y827" s="73">
        <f t="shared" si="445"/>
        <v>0</v>
      </c>
      <c r="Z827" s="73">
        <f t="shared" si="12"/>
        <v>1694.067797</v>
      </c>
      <c r="AA827" s="73">
        <f t="shared" si="13"/>
        <v>1694.067797</v>
      </c>
      <c r="AB827" s="74">
        <f t="shared" si="14"/>
        <v>1</v>
      </c>
      <c r="AC827" s="61" t="str">
        <f t="shared" si="15"/>
        <v>0</v>
      </c>
      <c r="AD827" s="71" t="str">
        <f t="shared" si="16"/>
        <v>#DIV/0!</v>
      </c>
      <c r="AE827" s="61"/>
      <c r="AF827" s="61"/>
      <c r="AG827" s="71">
        <f t="array" ref="AG827">IFERROR(xlookup(G827,'Old Master'!T:T,'Old Master'!V:V),N827)</f>
        <v>0.126692879</v>
      </c>
      <c r="AH827" s="73">
        <f t="shared" si="229"/>
        <v>1999</v>
      </c>
      <c r="AI827" s="73">
        <f t="shared" si="230"/>
        <v>1694.067797</v>
      </c>
      <c r="AJ827" s="72">
        <f t="shared" si="19"/>
        <v>1</v>
      </c>
      <c r="AK827" s="61"/>
      <c r="AL827" s="71">
        <f t="array" ref="AL827">iferror(if(isblank(xlookup($G827,'Old Master'!$T:$T,'Old Master'!$W:$W)),AG827,xlookup($G827,'Old Master'!$T:$T,'Old Master'!$W:$W)),AG827)</f>
        <v>0.126692879</v>
      </c>
      <c r="AM827" s="74">
        <f t="shared" si="20"/>
        <v>0.126692879</v>
      </c>
      <c r="AN827" s="73">
        <f t="shared" si="443"/>
        <v>1999</v>
      </c>
    </row>
    <row r="828">
      <c r="A828" s="65" t="s">
        <v>3581</v>
      </c>
      <c r="B828" s="65" t="str">
        <f t="shared" si="1"/>
        <v>#VALUE!</v>
      </c>
      <c r="C828" s="65" t="str">
        <f t="shared" si="403"/>
        <v>#VALUE!</v>
      </c>
      <c r="D828" s="65" t="s">
        <v>3583</v>
      </c>
      <c r="E828" s="65" t="s">
        <v>3584</v>
      </c>
      <c r="F828" s="65" t="s">
        <v>3585</v>
      </c>
      <c r="G828" s="65" t="s">
        <v>5099</v>
      </c>
      <c r="H828" s="65" t="s">
        <v>4730</v>
      </c>
      <c r="I828" s="65">
        <v>2289.0</v>
      </c>
      <c r="J828" s="66">
        <v>0.25775447793796413</v>
      </c>
      <c r="K828" s="65">
        <f t="shared" si="3"/>
        <v>1699</v>
      </c>
      <c r="L828" s="66">
        <v>0.15</v>
      </c>
      <c r="M828" s="65">
        <f t="shared" si="4"/>
        <v>1946</v>
      </c>
      <c r="N828" s="67">
        <f t="shared" si="404"/>
        <v>0.126692879</v>
      </c>
      <c r="O828" s="78">
        <v>1999.0</v>
      </c>
      <c r="P828" s="67">
        <f t="shared" si="412"/>
        <v>0.126692879</v>
      </c>
      <c r="Q828" s="79">
        <v>1999.0</v>
      </c>
      <c r="R828" s="70"/>
      <c r="S828" s="71">
        <f t="shared" si="433"/>
        <v>0.1765744556</v>
      </c>
      <c r="T828" s="72">
        <f t="shared" si="6"/>
        <v>0</v>
      </c>
      <c r="U828" s="73" t="str">
        <f t="shared" si="444"/>
        <v/>
      </c>
      <c r="V828" s="73">
        <f t="shared" si="340"/>
        <v>1649.152542</v>
      </c>
      <c r="W828" s="73">
        <f t="shared" si="9"/>
        <v>1649.152542</v>
      </c>
      <c r="X828" s="74">
        <f t="shared" si="10"/>
        <v>1</v>
      </c>
      <c r="Y828" s="73">
        <f t="shared" si="445"/>
        <v>0</v>
      </c>
      <c r="Z828" s="73">
        <f t="shared" si="12"/>
        <v>1694.067797</v>
      </c>
      <c r="AA828" s="73">
        <f t="shared" si="13"/>
        <v>1694.067797</v>
      </c>
      <c r="AB828" s="74">
        <f t="shared" si="14"/>
        <v>1</v>
      </c>
      <c r="AC828" s="61" t="str">
        <f t="shared" si="15"/>
        <v>0</v>
      </c>
      <c r="AD828" s="71" t="str">
        <f t="shared" si="16"/>
        <v>#DIV/0!</v>
      </c>
      <c r="AE828" s="61"/>
      <c r="AF828" s="61"/>
      <c r="AG828" s="71">
        <f t="array" ref="AG828">IFERROR(xlookup(G828,'Old Master'!T:T,'Old Master'!V:V),N828)</f>
        <v>0.126692879</v>
      </c>
      <c r="AH828" s="73">
        <f t="shared" si="229"/>
        <v>1999</v>
      </c>
      <c r="AI828" s="73">
        <f t="shared" si="230"/>
        <v>1694.067797</v>
      </c>
      <c r="AJ828" s="72">
        <f t="shared" si="19"/>
        <v>1</v>
      </c>
      <c r="AK828" s="61"/>
      <c r="AL828" s="71">
        <f t="array" ref="AL828">iferror(if(isblank(xlookup($G828,'Old Master'!$T:$T,'Old Master'!$W:$W)),AG828,xlookup($G828,'Old Master'!$T:$T,'Old Master'!$W:$W)),AG828)</f>
        <v>0.126692879</v>
      </c>
      <c r="AM828" s="74">
        <f t="shared" si="20"/>
        <v>0.126692879</v>
      </c>
      <c r="AN828" s="73">
        <f t="shared" si="443"/>
        <v>1999</v>
      </c>
    </row>
    <row r="829">
      <c r="A829" s="65" t="s">
        <v>1777</v>
      </c>
      <c r="B829" s="65">
        <f t="shared" si="1"/>
        <v>48</v>
      </c>
      <c r="C829" s="65" t="str">
        <f t="shared" si="403"/>
        <v>SC-ULTM-LATEX-D-84x50x10</v>
      </c>
      <c r="D829" s="65" t="s">
        <v>1779</v>
      </c>
      <c r="E829" s="65">
        <v>0.0</v>
      </c>
      <c r="F829" s="65" t="s">
        <v>1780</v>
      </c>
      <c r="G829" s="65" t="s">
        <v>5109</v>
      </c>
      <c r="H829" s="65" t="s">
        <v>52</v>
      </c>
      <c r="I829" s="65">
        <v>29999.0</v>
      </c>
      <c r="J829" s="66">
        <v>0.23</v>
      </c>
      <c r="K829" s="65">
        <f t="shared" si="3"/>
        <v>23099</v>
      </c>
      <c r="L829" s="66">
        <v>0.18</v>
      </c>
      <c r="M829" s="65">
        <f t="shared" si="4"/>
        <v>24599</v>
      </c>
      <c r="N829" s="67">
        <f t="shared" si="404"/>
        <v>0.1000033334</v>
      </c>
      <c r="O829" s="68">
        <v>26999.0</v>
      </c>
      <c r="P829" s="67">
        <f t="shared" si="412"/>
        <v>0.1000033334</v>
      </c>
      <c r="Q829" s="69">
        <v>26999.0</v>
      </c>
      <c r="R829" s="70"/>
      <c r="S829" s="71">
        <f t="shared" ref="S829:S843" si="446">O829/M829-1</f>
        <v>0.09756494166</v>
      </c>
      <c r="T829" s="72">
        <f t="shared" si="6"/>
        <v>0</v>
      </c>
      <c r="U829" s="73" t="str">
        <f t="shared" si="444"/>
        <v/>
      </c>
      <c r="V829" s="73">
        <f t="shared" si="340"/>
        <v>20846.61017</v>
      </c>
      <c r="W829" s="73">
        <f t="shared" si="9"/>
        <v>20846.61017</v>
      </c>
      <c r="X829" s="74">
        <f t="shared" si="10"/>
        <v>1</v>
      </c>
      <c r="Y829" s="73">
        <f t="shared" si="445"/>
        <v>0</v>
      </c>
      <c r="Z829" s="73">
        <f t="shared" si="12"/>
        <v>22880.50847</v>
      </c>
      <c r="AA829" s="73">
        <f t="shared" si="13"/>
        <v>22880.50847</v>
      </c>
      <c r="AB829" s="74">
        <f t="shared" si="14"/>
        <v>1</v>
      </c>
      <c r="AC829" s="61" t="str">
        <f t="shared" si="15"/>
        <v>0</v>
      </c>
      <c r="AD829" s="71" t="str">
        <f t="shared" si="16"/>
        <v>#DIV/0!</v>
      </c>
      <c r="AE829" s="61"/>
      <c r="AF829" s="61"/>
      <c r="AG829" s="71">
        <f t="array" ref="AG829">IFERROR(xlookup(G829,'Old Master'!T:T,'Old Master'!V:V),N829)</f>
        <v>0.1000033334</v>
      </c>
      <c r="AH829" s="73">
        <f t="shared" si="229"/>
        <v>26999</v>
      </c>
      <c r="AI829" s="73">
        <f t="shared" si="230"/>
        <v>22880.50847</v>
      </c>
      <c r="AJ829" s="72">
        <f t="shared" si="19"/>
        <v>1</v>
      </c>
      <c r="AK829" s="61"/>
      <c r="AL829" s="71">
        <f t="array" ref="AL829">iferror(if(isblank(xlookup($G829,'Old Master'!$T:$T,'Old Master'!$W:$W)),AG829,xlookup($G829,'Old Master'!$T:$T,'Old Master'!$W:$W)),AG829)</f>
        <v>0.1000033334</v>
      </c>
      <c r="AM829" s="74">
        <f t="shared" si="20"/>
        <v>0.1000033334</v>
      </c>
      <c r="AN829" s="73">
        <f t="shared" si="443"/>
        <v>26999</v>
      </c>
    </row>
    <row r="830">
      <c r="A830" s="65" t="s">
        <v>1710</v>
      </c>
      <c r="B830" s="65">
        <f t="shared" si="1"/>
        <v>36</v>
      </c>
      <c r="C830" s="65" t="str">
        <f t="shared" si="403"/>
        <v>SC-ULTM-LATEX-S-84x38x8</v>
      </c>
      <c r="D830" s="65" t="s">
        <v>1712</v>
      </c>
      <c r="E830" s="65">
        <v>0.0</v>
      </c>
      <c r="F830" s="65" t="s">
        <v>1713</v>
      </c>
      <c r="G830" s="65" t="s">
        <v>5109</v>
      </c>
      <c r="H830" s="65" t="s">
        <v>52</v>
      </c>
      <c r="I830" s="65">
        <v>23499.0</v>
      </c>
      <c r="J830" s="66">
        <v>0.23</v>
      </c>
      <c r="K830" s="65">
        <f t="shared" si="3"/>
        <v>18094</v>
      </c>
      <c r="L830" s="66">
        <v>0.18</v>
      </c>
      <c r="M830" s="65">
        <f t="shared" si="4"/>
        <v>19269</v>
      </c>
      <c r="N830" s="67">
        <f t="shared" si="404"/>
        <v>0.1000042555</v>
      </c>
      <c r="O830" s="68">
        <v>21149.0</v>
      </c>
      <c r="P830" s="67">
        <f t="shared" si="412"/>
        <v>0.1000042555</v>
      </c>
      <c r="Q830" s="69">
        <v>21149.0</v>
      </c>
      <c r="R830" s="70"/>
      <c r="S830" s="71">
        <f t="shared" si="446"/>
        <v>0.09756603872</v>
      </c>
      <c r="T830" s="72">
        <f t="shared" si="6"/>
        <v>0</v>
      </c>
      <c r="U830" s="73" t="str">
        <f t="shared" si="444"/>
        <v/>
      </c>
      <c r="V830" s="73">
        <f t="shared" si="340"/>
        <v>16329.66102</v>
      </c>
      <c r="W830" s="73">
        <f t="shared" si="9"/>
        <v>16329.66102</v>
      </c>
      <c r="X830" s="74">
        <f t="shared" si="10"/>
        <v>1</v>
      </c>
      <c r="Y830" s="73">
        <f t="shared" si="445"/>
        <v>0</v>
      </c>
      <c r="Z830" s="73">
        <f t="shared" si="12"/>
        <v>17922.88136</v>
      </c>
      <c r="AA830" s="73">
        <f t="shared" si="13"/>
        <v>17922.88136</v>
      </c>
      <c r="AB830" s="74">
        <f t="shared" si="14"/>
        <v>1</v>
      </c>
      <c r="AC830" s="61" t="str">
        <f t="shared" si="15"/>
        <v>8</v>
      </c>
      <c r="AD830" s="71" t="str">
        <f t="shared" si="16"/>
        <v>#DIV/0!</v>
      </c>
      <c r="AE830" s="61"/>
      <c r="AF830" s="61"/>
      <c r="AG830" s="71">
        <f t="array" ref="AG830">IFERROR(xlookup(G830,'Old Master'!T:T,'Old Master'!V:V),N830)</f>
        <v>0.1000042555</v>
      </c>
      <c r="AH830" s="73">
        <f t="shared" si="229"/>
        <v>21149</v>
      </c>
      <c r="AI830" s="73">
        <f t="shared" si="230"/>
        <v>17922.88136</v>
      </c>
      <c r="AJ830" s="72">
        <f t="shared" si="19"/>
        <v>1</v>
      </c>
      <c r="AK830" s="61"/>
      <c r="AL830" s="71">
        <f t="array" ref="AL830">iferror(if(isblank(xlookup($G830,'Old Master'!$T:$T,'Old Master'!$W:$W)),AG830,xlookup($G830,'Old Master'!$T:$T,'Old Master'!$W:$W)),AG830)</f>
        <v>0.1000042555</v>
      </c>
      <c r="AM830" s="74">
        <f t="shared" si="20"/>
        <v>0.1021320056</v>
      </c>
      <c r="AN830" s="73">
        <f t="shared" si="443"/>
        <v>21099</v>
      </c>
    </row>
    <row r="831">
      <c r="A831" s="65" t="s">
        <v>1848</v>
      </c>
      <c r="B831" s="65">
        <f t="shared" si="1"/>
        <v>66</v>
      </c>
      <c r="C831" s="65" t="str">
        <f t="shared" si="403"/>
        <v>SC-ULTM-LATEX-Q-72x68x10</v>
      </c>
      <c r="D831" s="65">
        <v>0.0</v>
      </c>
      <c r="E831" s="65">
        <v>0.0</v>
      </c>
      <c r="F831" s="65" t="s">
        <v>1849</v>
      </c>
      <c r="G831" s="65" t="s">
        <v>5109</v>
      </c>
      <c r="H831" s="65" t="s">
        <v>52</v>
      </c>
      <c r="I831" s="65">
        <v>38999.0</v>
      </c>
      <c r="J831" s="66">
        <v>0.23</v>
      </c>
      <c r="K831" s="65">
        <f t="shared" si="3"/>
        <v>30029</v>
      </c>
      <c r="L831" s="66">
        <v>0.18</v>
      </c>
      <c r="M831" s="65">
        <f t="shared" si="4"/>
        <v>31979</v>
      </c>
      <c r="N831" s="67">
        <f t="shared" si="404"/>
        <v>0.1000025642</v>
      </c>
      <c r="O831" s="68">
        <v>35099.0</v>
      </c>
      <c r="P831" s="67">
        <f t="shared" si="412"/>
        <v>0.1000025642</v>
      </c>
      <c r="Q831" s="69">
        <v>35099.0</v>
      </c>
      <c r="R831" s="70"/>
      <c r="S831" s="71">
        <f t="shared" si="446"/>
        <v>0.09756402639</v>
      </c>
      <c r="T831" s="72">
        <f t="shared" si="6"/>
        <v>0</v>
      </c>
      <c r="U831" s="73">
        <f t="shared" ref="U831:U833" si="447">IFERROR(XLOOKUP(A831,COGS!I:I,COGS!J:J), IFERROR(XLOOKUP(C831,COGS!I:I,COGS!J:J),I831*35%))</f>
        <v>13649.65</v>
      </c>
      <c r="V831" s="73">
        <f t="shared" si="340"/>
        <v>27100.84746</v>
      </c>
      <c r="W831" s="73">
        <f t="shared" si="9"/>
        <v>13451.19746</v>
      </c>
      <c r="X831" s="74">
        <f t="shared" si="10"/>
        <v>0.4963386285</v>
      </c>
      <c r="Y831" s="73">
        <f t="shared" si="445"/>
        <v>15697.0975</v>
      </c>
      <c r="Z831" s="73">
        <f t="shared" si="12"/>
        <v>29744.91525</v>
      </c>
      <c r="AA831" s="73">
        <f t="shared" si="13"/>
        <v>14047.81775</v>
      </c>
      <c r="AB831" s="74">
        <f t="shared" si="14"/>
        <v>0.4722762743</v>
      </c>
      <c r="AC831" s="61" t="str">
        <f t="shared" si="15"/>
        <v>0</v>
      </c>
      <c r="AD831" s="71">
        <f t="shared" si="16"/>
        <v>0.15</v>
      </c>
      <c r="AE831" s="61"/>
      <c r="AF831" s="61"/>
      <c r="AG831" s="71">
        <f t="array" ref="AG831">IFERROR(xlookup(G831,'Old Master'!T:T,'Old Master'!V:V),N831)</f>
        <v>0.1000025642</v>
      </c>
      <c r="AH831" s="73">
        <f t="shared" si="229"/>
        <v>35099</v>
      </c>
      <c r="AI831" s="73">
        <f t="shared" si="230"/>
        <v>14047.81775</v>
      </c>
      <c r="AJ831" s="72">
        <f t="shared" si="19"/>
        <v>0.4722762743</v>
      </c>
      <c r="AK831" s="61"/>
      <c r="AL831" s="71">
        <f t="array" ref="AL831">iferror(if(isblank(xlookup($G831,'Old Master'!$T:$T,'Old Master'!$W:$W)),AG831,xlookup($G831,'Old Master'!$T:$T,'Old Master'!$W:$W)),AG831)</f>
        <v>0.1000025642</v>
      </c>
      <c r="AM831" s="74">
        <f t="shared" si="20"/>
        <v>0.1000025642</v>
      </c>
      <c r="AN831" s="73">
        <f t="shared" si="443"/>
        <v>35099</v>
      </c>
    </row>
    <row r="832">
      <c r="A832" s="65" t="s">
        <v>1850</v>
      </c>
      <c r="B832" s="65">
        <f t="shared" si="1"/>
        <v>66</v>
      </c>
      <c r="C832" s="65" t="str">
        <f t="shared" si="403"/>
        <v>SC-ULTM-LATEX-Q-75x68x10</v>
      </c>
      <c r="D832" s="65">
        <v>0.0</v>
      </c>
      <c r="E832" s="65">
        <v>0.0</v>
      </c>
      <c r="F832" s="65" t="s">
        <v>1853</v>
      </c>
      <c r="G832" s="65" t="s">
        <v>5109</v>
      </c>
      <c r="H832" s="65" t="s">
        <v>52</v>
      </c>
      <c r="I832" s="65">
        <v>38999.0</v>
      </c>
      <c r="J832" s="66">
        <v>0.23</v>
      </c>
      <c r="K832" s="65">
        <f t="shared" si="3"/>
        <v>30029</v>
      </c>
      <c r="L832" s="66">
        <v>0.18</v>
      </c>
      <c r="M832" s="65">
        <f t="shared" si="4"/>
        <v>31979</v>
      </c>
      <c r="N832" s="67">
        <f t="shared" si="404"/>
        <v>0.1000025642</v>
      </c>
      <c r="O832" s="68">
        <v>35099.0</v>
      </c>
      <c r="P832" s="67">
        <f t="shared" si="412"/>
        <v>0.1000025642</v>
      </c>
      <c r="Q832" s="69">
        <v>35099.0</v>
      </c>
      <c r="R832" s="70"/>
      <c r="S832" s="71">
        <f t="shared" si="446"/>
        <v>0.09756402639</v>
      </c>
      <c r="T832" s="72">
        <f t="shared" si="6"/>
        <v>0</v>
      </c>
      <c r="U832" s="73">
        <f t="shared" si="447"/>
        <v>13649.65</v>
      </c>
      <c r="V832" s="73">
        <f t="shared" si="340"/>
        <v>27100.84746</v>
      </c>
      <c r="W832" s="73">
        <f t="shared" si="9"/>
        <v>13451.19746</v>
      </c>
      <c r="X832" s="74">
        <f t="shared" si="10"/>
        <v>0.4963386285</v>
      </c>
      <c r="Y832" s="73">
        <f t="shared" si="445"/>
        <v>15697.0975</v>
      </c>
      <c r="Z832" s="73">
        <f t="shared" si="12"/>
        <v>29744.91525</v>
      </c>
      <c r="AA832" s="73">
        <f t="shared" si="13"/>
        <v>14047.81775</v>
      </c>
      <c r="AB832" s="74">
        <f t="shared" si="14"/>
        <v>0.4722762743</v>
      </c>
      <c r="AC832" s="61" t="str">
        <f t="shared" si="15"/>
        <v>0</v>
      </c>
      <c r="AD832" s="71">
        <f t="shared" si="16"/>
        <v>0.15</v>
      </c>
      <c r="AE832" s="61"/>
      <c r="AF832" s="61"/>
      <c r="AG832" s="71">
        <f t="array" ref="AG832">IFERROR(xlookup(G832,'Old Master'!T:T,'Old Master'!V:V),N832)</f>
        <v>0.1000025642</v>
      </c>
      <c r="AH832" s="73">
        <f t="shared" si="229"/>
        <v>35099</v>
      </c>
      <c r="AI832" s="73">
        <f t="shared" si="230"/>
        <v>14047.81775</v>
      </c>
      <c r="AJ832" s="72">
        <f t="shared" si="19"/>
        <v>0.4722762743</v>
      </c>
      <c r="AK832" s="61"/>
      <c r="AL832" s="71">
        <f t="array" ref="AL832">iferror(if(isblank(xlookup($G832,'Old Master'!$T:$T,'Old Master'!$W:$W)),AG832,xlookup($G832,'Old Master'!$T:$T,'Old Master'!$W:$W)),AG832)</f>
        <v>0.1000025642</v>
      </c>
      <c r="AM832" s="74">
        <f t="shared" si="20"/>
        <v>0.1000025642</v>
      </c>
      <c r="AN832" s="73">
        <f t="shared" si="443"/>
        <v>35099</v>
      </c>
    </row>
    <row r="833">
      <c r="A833" s="65" t="s">
        <v>5439</v>
      </c>
      <c r="B833" s="65">
        <f t="shared" si="1"/>
        <v>60</v>
      </c>
      <c r="C833" s="65" t="str">
        <f t="shared" si="403"/>
        <v>SC-FLEX2-ULTM-Q-75x62x8</v>
      </c>
      <c r="D833" s="65" t="s">
        <v>5439</v>
      </c>
      <c r="E833" s="65">
        <v>0.0</v>
      </c>
      <c r="F833" s="65">
        <v>0.0</v>
      </c>
      <c r="G833" s="65" t="s">
        <v>5112</v>
      </c>
      <c r="H833" s="65" t="s">
        <v>52</v>
      </c>
      <c r="I833" s="65">
        <v>22999.0</v>
      </c>
      <c r="J833" s="66">
        <v>0.25</v>
      </c>
      <c r="K833" s="65">
        <f t="shared" si="3"/>
        <v>17249</v>
      </c>
      <c r="L833" s="66">
        <v>0.22</v>
      </c>
      <c r="M833" s="65">
        <f t="shared" si="4"/>
        <v>17939</v>
      </c>
      <c r="N833" s="67">
        <f t="shared" si="404"/>
        <v>0.100004348</v>
      </c>
      <c r="O833" s="68">
        <v>20699.0</v>
      </c>
      <c r="P833" s="67">
        <f t="shared" si="412"/>
        <v>0.100004348</v>
      </c>
      <c r="Q833" s="69">
        <v>20699.0</v>
      </c>
      <c r="R833" s="70"/>
      <c r="S833" s="71">
        <f t="shared" si="446"/>
        <v>0.1538547299</v>
      </c>
      <c r="T833" s="72">
        <f t="shared" si="6"/>
        <v>0</v>
      </c>
      <c r="U833" s="73">
        <f t="shared" si="447"/>
        <v>8049.65</v>
      </c>
      <c r="V833" s="73">
        <f t="shared" si="340"/>
        <v>15202.54237</v>
      </c>
      <c r="W833" s="73">
        <f t="shared" si="9"/>
        <v>7152.892373</v>
      </c>
      <c r="X833" s="74">
        <f t="shared" si="10"/>
        <v>0.470506327</v>
      </c>
      <c r="Y833" s="73">
        <f t="shared" si="445"/>
        <v>9257.0975</v>
      </c>
      <c r="Z833" s="73">
        <f t="shared" si="12"/>
        <v>17541.52542</v>
      </c>
      <c r="AA833" s="73">
        <f t="shared" si="13"/>
        <v>8284.427924</v>
      </c>
      <c r="AB833" s="74">
        <f t="shared" si="14"/>
        <v>0.4722752283</v>
      </c>
      <c r="AC833" s="61" t="str">
        <f t="shared" si="15"/>
        <v>8</v>
      </c>
      <c r="AD833" s="71">
        <f t="shared" si="16"/>
        <v>0.15</v>
      </c>
      <c r="AE833" s="61"/>
      <c r="AF833" s="61"/>
      <c r="AG833" s="71">
        <f t="array" ref="AG833">IFERROR(xlookup(G833,'Old Master'!T:T,'Old Master'!V:V),N833)</f>
        <v>0.100004348</v>
      </c>
      <c r="AH833" s="73">
        <f t="shared" si="229"/>
        <v>20699</v>
      </c>
      <c r="AI833" s="73">
        <f t="shared" si="230"/>
        <v>8284.427924</v>
      </c>
      <c r="AJ833" s="72">
        <f t="shared" si="19"/>
        <v>0.4722752283</v>
      </c>
      <c r="AK833" s="61"/>
      <c r="AL833" s="71">
        <f t="array" ref="AL833">iferror(if(isblank(xlookup($G833,'Old Master'!$T:$T,'Old Master'!$W:$W)),AG833,xlookup($G833,'Old Master'!$T:$T,'Old Master'!$W:$W)),AG833)</f>
        <v>0.100004348</v>
      </c>
      <c r="AM833" s="74">
        <f t="shared" si="20"/>
        <v>0.100004348</v>
      </c>
      <c r="AN833" s="73">
        <f t="shared" si="443"/>
        <v>20699</v>
      </c>
    </row>
    <row r="834">
      <c r="A834" s="65" t="s">
        <v>5008</v>
      </c>
      <c r="B834" s="65">
        <f t="shared" si="1"/>
        <v>48</v>
      </c>
      <c r="C834" s="65" t="str">
        <f t="shared" si="403"/>
        <v>SC-ULTM-D-78x50x10</v>
      </c>
      <c r="D834" s="65" t="s">
        <v>5260</v>
      </c>
      <c r="E834" s="65">
        <v>0.0</v>
      </c>
      <c r="F834" s="65">
        <v>0.0</v>
      </c>
      <c r="G834" s="65" t="s">
        <v>5112</v>
      </c>
      <c r="H834" s="65" t="s">
        <v>52</v>
      </c>
      <c r="I834" s="65">
        <v>21999.0</v>
      </c>
      <c r="J834" s="66">
        <v>0.25</v>
      </c>
      <c r="K834" s="65">
        <f t="shared" si="3"/>
        <v>16499</v>
      </c>
      <c r="L834" s="66">
        <v>0.22</v>
      </c>
      <c r="M834" s="65">
        <f t="shared" si="4"/>
        <v>17159</v>
      </c>
      <c r="N834" s="67">
        <f t="shared" si="404"/>
        <v>0.1000045457</v>
      </c>
      <c r="O834" s="68">
        <v>19799.0</v>
      </c>
      <c r="P834" s="67">
        <f t="shared" si="412"/>
        <v>0.1000045457</v>
      </c>
      <c r="Q834" s="69">
        <v>19799.0</v>
      </c>
      <c r="R834" s="70"/>
      <c r="S834" s="71">
        <f t="shared" si="446"/>
        <v>0.1538551198</v>
      </c>
      <c r="T834" s="72">
        <f t="shared" si="6"/>
        <v>0</v>
      </c>
      <c r="U834" s="73" t="str">
        <f t="shared" ref="U834:U837" si="448">IFERROR(XLOOKUP(A834,COGS!I:I,COGS!J:J), IFERROR(XLOOKUP(C834,COGS!I:I,COGS!J:J),""))</f>
        <v/>
      </c>
      <c r="V834" s="73">
        <f t="shared" si="340"/>
        <v>14541.52542</v>
      </c>
      <c r="W834" s="73">
        <f t="shared" si="9"/>
        <v>14541.52542</v>
      </c>
      <c r="X834" s="74">
        <f t="shared" si="10"/>
        <v>1</v>
      </c>
      <c r="Y834" s="73">
        <f t="shared" si="445"/>
        <v>0</v>
      </c>
      <c r="Z834" s="73">
        <f t="shared" si="12"/>
        <v>16778.81356</v>
      </c>
      <c r="AA834" s="73">
        <f t="shared" si="13"/>
        <v>16778.81356</v>
      </c>
      <c r="AB834" s="74">
        <f t="shared" si="14"/>
        <v>1</v>
      </c>
      <c r="AC834" s="61" t="str">
        <f t="shared" si="15"/>
        <v>0</v>
      </c>
      <c r="AD834" s="71" t="str">
        <f t="shared" si="16"/>
        <v>#DIV/0!</v>
      </c>
      <c r="AE834" s="61"/>
      <c r="AF834" s="61"/>
      <c r="AG834" s="71">
        <f t="array" ref="AG834">IFERROR(xlookup(G834,'Old Master'!T:T,'Old Master'!V:V),N834)</f>
        <v>0.1000045457</v>
      </c>
      <c r="AH834" s="73">
        <f t="shared" si="229"/>
        <v>19799</v>
      </c>
      <c r="AI834" s="73">
        <f t="shared" si="230"/>
        <v>16778.81356</v>
      </c>
      <c r="AJ834" s="72">
        <f t="shared" si="19"/>
        <v>1</v>
      </c>
      <c r="AK834" s="61"/>
      <c r="AL834" s="71">
        <f t="array" ref="AL834">iferror(if(isblank(xlookup($G834,'Old Master'!$T:$T,'Old Master'!$W:$W)),AG834,xlookup($G834,'Old Master'!$T:$T,'Old Master'!$W:$W)),AG834)</f>
        <v>0.1000045457</v>
      </c>
      <c r="AM834" s="74">
        <f t="shared" si="20"/>
        <v>0.1000045457</v>
      </c>
      <c r="AN834" s="73">
        <f t="shared" si="443"/>
        <v>19799</v>
      </c>
    </row>
    <row r="835">
      <c r="A835" s="65" t="s">
        <v>5011</v>
      </c>
      <c r="B835" s="65">
        <f t="shared" si="1"/>
        <v>48</v>
      </c>
      <c r="C835" s="65" t="str">
        <f t="shared" si="403"/>
        <v>SC-ULTM-D-84x50x10</v>
      </c>
      <c r="D835" s="65" t="s">
        <v>5269</v>
      </c>
      <c r="E835" s="65">
        <v>0.0</v>
      </c>
      <c r="F835" s="65" t="s">
        <v>5014</v>
      </c>
      <c r="G835" s="65" t="s">
        <v>5112</v>
      </c>
      <c r="H835" s="65" t="s">
        <v>52</v>
      </c>
      <c r="I835" s="65">
        <v>24299.0</v>
      </c>
      <c r="J835" s="66">
        <v>0.25</v>
      </c>
      <c r="K835" s="65">
        <f t="shared" si="3"/>
        <v>18224</v>
      </c>
      <c r="L835" s="66">
        <v>0.22</v>
      </c>
      <c r="M835" s="65">
        <f t="shared" si="4"/>
        <v>18953</v>
      </c>
      <c r="N835" s="67">
        <f t="shared" si="404"/>
        <v>0.1000041154</v>
      </c>
      <c r="O835" s="68">
        <v>21869.0</v>
      </c>
      <c r="P835" s="67">
        <f t="shared" si="412"/>
        <v>0.1000041154</v>
      </c>
      <c r="Q835" s="69">
        <v>21869.0</v>
      </c>
      <c r="R835" s="70"/>
      <c r="S835" s="71">
        <f t="shared" si="446"/>
        <v>0.1538542711</v>
      </c>
      <c r="T835" s="72">
        <f t="shared" si="6"/>
        <v>0</v>
      </c>
      <c r="U835" s="73" t="str">
        <f t="shared" si="448"/>
        <v/>
      </c>
      <c r="V835" s="73">
        <f t="shared" si="340"/>
        <v>16061.86441</v>
      </c>
      <c r="W835" s="73">
        <f t="shared" si="9"/>
        <v>16061.86441</v>
      </c>
      <c r="X835" s="74">
        <f t="shared" si="10"/>
        <v>1</v>
      </c>
      <c r="Y835" s="73">
        <f t="shared" si="445"/>
        <v>0</v>
      </c>
      <c r="Z835" s="73">
        <f t="shared" si="12"/>
        <v>18533.05085</v>
      </c>
      <c r="AA835" s="73">
        <f t="shared" si="13"/>
        <v>18533.05085</v>
      </c>
      <c r="AB835" s="74">
        <f t="shared" si="14"/>
        <v>1</v>
      </c>
      <c r="AC835" s="61" t="str">
        <f t="shared" si="15"/>
        <v>0</v>
      </c>
      <c r="AD835" s="71" t="str">
        <f t="shared" si="16"/>
        <v>#DIV/0!</v>
      </c>
      <c r="AE835" s="61"/>
      <c r="AF835" s="61"/>
      <c r="AG835" s="71">
        <f t="array" ref="AG835">IFERROR(xlookup(G835,'Old Master'!T:T,'Old Master'!V:V),N835)</f>
        <v>0.1000041154</v>
      </c>
      <c r="AH835" s="73">
        <f t="shared" si="229"/>
        <v>21869</v>
      </c>
      <c r="AI835" s="73">
        <f t="shared" si="230"/>
        <v>18533.05085</v>
      </c>
      <c r="AJ835" s="72">
        <f t="shared" si="19"/>
        <v>1</v>
      </c>
      <c r="AK835" s="61"/>
      <c r="AL835" s="71">
        <f t="array" ref="AL835">iferror(if(isblank(xlookup($G835,'Old Master'!$T:$T,'Old Master'!$W:$W)),AG835,xlookup($G835,'Old Master'!$T:$T,'Old Master'!$W:$W)),AG835)</f>
        <v>0.1000041154</v>
      </c>
      <c r="AM835" s="74">
        <f t="shared" si="20"/>
        <v>0.09876949669</v>
      </c>
      <c r="AN835" s="73">
        <f t="shared" si="443"/>
        <v>21899</v>
      </c>
    </row>
    <row r="836">
      <c r="A836" s="65" t="s">
        <v>5015</v>
      </c>
      <c r="B836" s="65">
        <f t="shared" si="1"/>
        <v>60</v>
      </c>
      <c r="C836" s="65" t="str">
        <f t="shared" si="403"/>
        <v>SC-ULTM-Q-84x62x10</v>
      </c>
      <c r="D836" s="65" t="s">
        <v>5267</v>
      </c>
      <c r="E836" s="65">
        <v>0.0</v>
      </c>
      <c r="F836" s="65" t="s">
        <v>5018</v>
      </c>
      <c r="G836" s="65" t="s">
        <v>5112</v>
      </c>
      <c r="H836" s="65" t="s">
        <v>52</v>
      </c>
      <c r="I836" s="65">
        <v>26899.0</v>
      </c>
      <c r="J836" s="66">
        <v>0.25</v>
      </c>
      <c r="K836" s="65">
        <f t="shared" si="3"/>
        <v>20174</v>
      </c>
      <c r="L836" s="66">
        <v>0.22</v>
      </c>
      <c r="M836" s="65">
        <f t="shared" si="4"/>
        <v>20981</v>
      </c>
      <c r="N836" s="67">
        <f t="shared" si="404"/>
        <v>0.1000037176</v>
      </c>
      <c r="O836" s="68">
        <v>24209.0</v>
      </c>
      <c r="P836" s="67">
        <f t="shared" si="412"/>
        <v>0.1000037176</v>
      </c>
      <c r="Q836" s="69">
        <v>24209.0</v>
      </c>
      <c r="R836" s="70"/>
      <c r="S836" s="71">
        <f t="shared" si="446"/>
        <v>0.1538534865</v>
      </c>
      <c r="T836" s="72">
        <f t="shared" si="6"/>
        <v>0</v>
      </c>
      <c r="U836" s="73" t="str">
        <f t="shared" si="448"/>
        <v/>
      </c>
      <c r="V836" s="73">
        <f t="shared" si="340"/>
        <v>17780.50847</v>
      </c>
      <c r="W836" s="73">
        <f t="shared" si="9"/>
        <v>17780.50847</v>
      </c>
      <c r="X836" s="74">
        <f t="shared" si="10"/>
        <v>1</v>
      </c>
      <c r="Y836" s="73">
        <f t="shared" si="445"/>
        <v>0</v>
      </c>
      <c r="Z836" s="73">
        <f t="shared" si="12"/>
        <v>20516.10169</v>
      </c>
      <c r="AA836" s="73">
        <f t="shared" si="13"/>
        <v>20516.10169</v>
      </c>
      <c r="AB836" s="74">
        <f t="shared" si="14"/>
        <v>1</v>
      </c>
      <c r="AC836" s="61" t="str">
        <f t="shared" si="15"/>
        <v>0</v>
      </c>
      <c r="AD836" s="71" t="str">
        <f t="shared" si="16"/>
        <v>#DIV/0!</v>
      </c>
      <c r="AE836" s="61"/>
      <c r="AF836" s="61"/>
      <c r="AG836" s="71">
        <f t="array" ref="AG836">IFERROR(xlookup(G836,'Old Master'!T:T,'Old Master'!V:V),N836)</f>
        <v>0.1000037176</v>
      </c>
      <c r="AH836" s="73">
        <f t="shared" si="229"/>
        <v>24209</v>
      </c>
      <c r="AI836" s="73">
        <f t="shared" si="230"/>
        <v>20516.10169</v>
      </c>
      <c r="AJ836" s="72">
        <f t="shared" si="19"/>
        <v>1</v>
      </c>
      <c r="AK836" s="61"/>
      <c r="AL836" s="71">
        <f t="array" ref="AL836">iferror(if(isblank(xlookup($G836,'Old Master'!$T:$T,'Old Master'!$W:$W)),AG836,xlookup($G836,'Old Master'!$T:$T,'Old Master'!$W:$W)),AG836)</f>
        <v>0.1000037176</v>
      </c>
      <c r="AM836" s="74">
        <f t="shared" si="20"/>
        <v>0.1003754786</v>
      </c>
      <c r="AN836" s="73">
        <f t="shared" si="443"/>
        <v>24199</v>
      </c>
    </row>
    <row r="837">
      <c r="A837" s="65" t="s">
        <v>5019</v>
      </c>
      <c r="B837" s="65">
        <f t="shared" si="1"/>
        <v>60</v>
      </c>
      <c r="C837" s="65" t="str">
        <f t="shared" si="403"/>
        <v>SC-ULTM-Q-84x62x8</v>
      </c>
      <c r="D837" s="65" t="s">
        <v>5268</v>
      </c>
      <c r="E837" s="65">
        <v>0.0</v>
      </c>
      <c r="F837" s="65" t="s">
        <v>5022</v>
      </c>
      <c r="G837" s="65" t="s">
        <v>5112</v>
      </c>
      <c r="H837" s="65" t="s">
        <v>52</v>
      </c>
      <c r="I837" s="65">
        <v>26899.0</v>
      </c>
      <c r="J837" s="66">
        <v>0.25</v>
      </c>
      <c r="K837" s="65">
        <f t="shared" si="3"/>
        <v>20174</v>
      </c>
      <c r="L837" s="66">
        <v>0.22</v>
      </c>
      <c r="M837" s="65">
        <f t="shared" si="4"/>
        <v>20981</v>
      </c>
      <c r="N837" s="67">
        <f t="shared" si="404"/>
        <v>0.1000037176</v>
      </c>
      <c r="O837" s="68">
        <v>24209.0</v>
      </c>
      <c r="P837" s="67">
        <f t="shared" si="412"/>
        <v>0.1000037176</v>
      </c>
      <c r="Q837" s="69">
        <v>24209.0</v>
      </c>
      <c r="R837" s="70"/>
      <c r="S837" s="71">
        <f t="shared" si="446"/>
        <v>0.1538534865</v>
      </c>
      <c r="T837" s="72">
        <f t="shared" si="6"/>
        <v>0</v>
      </c>
      <c r="U837" s="73" t="str">
        <f t="shared" si="448"/>
        <v/>
      </c>
      <c r="V837" s="73">
        <f t="shared" si="340"/>
        <v>17780.50847</v>
      </c>
      <c r="W837" s="73">
        <f t="shared" si="9"/>
        <v>17780.50847</v>
      </c>
      <c r="X837" s="74">
        <f t="shared" si="10"/>
        <v>1</v>
      </c>
      <c r="Y837" s="73">
        <f t="shared" si="445"/>
        <v>0</v>
      </c>
      <c r="Z837" s="73">
        <f t="shared" si="12"/>
        <v>20516.10169</v>
      </c>
      <c r="AA837" s="73">
        <f t="shared" si="13"/>
        <v>20516.10169</v>
      </c>
      <c r="AB837" s="74">
        <f t="shared" si="14"/>
        <v>1</v>
      </c>
      <c r="AC837" s="61" t="str">
        <f t="shared" si="15"/>
        <v>8</v>
      </c>
      <c r="AD837" s="71" t="str">
        <f t="shared" si="16"/>
        <v>#DIV/0!</v>
      </c>
      <c r="AE837" s="61"/>
      <c r="AF837" s="61"/>
      <c r="AG837" s="71">
        <f t="array" ref="AG837">IFERROR(xlookup(G837,'Old Master'!T:T,'Old Master'!V:V),N837)</f>
        <v>0.1000037176</v>
      </c>
      <c r="AH837" s="73">
        <f t="shared" si="229"/>
        <v>24209</v>
      </c>
      <c r="AI837" s="73">
        <f t="shared" si="230"/>
        <v>20516.10169</v>
      </c>
      <c r="AJ837" s="72">
        <f t="shared" si="19"/>
        <v>1</v>
      </c>
      <c r="AK837" s="61"/>
      <c r="AL837" s="71">
        <f t="array" ref="AL837">iferror(if(isblank(xlookup($G837,'Old Master'!$T:$T,'Old Master'!$W:$W)),AG837,xlookup($G837,'Old Master'!$T:$T,'Old Master'!$W:$W)),AG837)</f>
        <v>0.1000037176</v>
      </c>
      <c r="AM837" s="74">
        <f t="shared" si="20"/>
        <v>0.1003754786</v>
      </c>
      <c r="AN837" s="73">
        <f t="shared" si="443"/>
        <v>24199</v>
      </c>
    </row>
    <row r="838">
      <c r="A838" s="65" t="s">
        <v>5023</v>
      </c>
      <c r="B838" s="65">
        <f t="shared" si="1"/>
        <v>36</v>
      </c>
      <c r="C838" s="65" t="str">
        <f t="shared" si="403"/>
        <v>SC-ULTM-S-75x38x10</v>
      </c>
      <c r="D838" s="65" t="s">
        <v>5255</v>
      </c>
      <c r="E838" s="65">
        <v>0.0</v>
      </c>
      <c r="F838" s="65">
        <v>0.0</v>
      </c>
      <c r="G838" s="65" t="s">
        <v>5112</v>
      </c>
      <c r="H838" s="65" t="s">
        <v>52</v>
      </c>
      <c r="I838" s="65">
        <v>16999.0</v>
      </c>
      <c r="J838" s="66">
        <v>0.25</v>
      </c>
      <c r="K838" s="65">
        <f t="shared" si="3"/>
        <v>12749</v>
      </c>
      <c r="L838" s="66">
        <v>0.22</v>
      </c>
      <c r="M838" s="65">
        <f t="shared" si="4"/>
        <v>13259</v>
      </c>
      <c r="N838" s="67">
        <f t="shared" si="404"/>
        <v>0.1000058827</v>
      </c>
      <c r="O838" s="68">
        <v>15299.0</v>
      </c>
      <c r="P838" s="67">
        <f t="shared" si="412"/>
        <v>0.1000058827</v>
      </c>
      <c r="Q838" s="69">
        <v>15299.0</v>
      </c>
      <c r="R838" s="70"/>
      <c r="S838" s="71">
        <f t="shared" si="446"/>
        <v>0.153857757</v>
      </c>
      <c r="T838" s="72">
        <f t="shared" si="6"/>
        <v>0</v>
      </c>
      <c r="U838" s="73">
        <f t="array" ref="U838">IFERROR(XLOOKUP(A838,COGS!I:I,COGS!J:J), IFERROR(XLOOKUP(C838,COGS!I:I,COGS!J:J),I838*35%))</f>
        <v>5949.65</v>
      </c>
      <c r="V838" s="73">
        <f t="shared" si="340"/>
        <v>11236.44068</v>
      </c>
      <c r="W838" s="73">
        <f t="shared" si="9"/>
        <v>5286.790678</v>
      </c>
      <c r="X838" s="74">
        <f t="shared" si="10"/>
        <v>0.470504035</v>
      </c>
      <c r="Y838" s="73">
        <f t="shared" si="445"/>
        <v>6842.0975</v>
      </c>
      <c r="Z838" s="73">
        <f t="shared" si="12"/>
        <v>12965.25424</v>
      </c>
      <c r="AA838" s="73">
        <f t="shared" si="13"/>
        <v>6123.156737</v>
      </c>
      <c r="AB838" s="74">
        <f t="shared" si="14"/>
        <v>0.4722743284</v>
      </c>
      <c r="AC838" s="61" t="str">
        <f t="shared" si="15"/>
        <v>0</v>
      </c>
      <c r="AD838" s="71">
        <f t="shared" si="16"/>
        <v>0.15</v>
      </c>
      <c r="AE838" s="61"/>
      <c r="AF838" s="61"/>
      <c r="AG838" s="71">
        <f t="array" ref="AG838">IFERROR(xlookup(G838,'Old Master'!T:T,'Old Master'!V:V),N838)</f>
        <v>0.1000058827</v>
      </c>
      <c r="AH838" s="73">
        <f t="shared" si="229"/>
        <v>15299</v>
      </c>
      <c r="AI838" s="73">
        <f t="shared" si="230"/>
        <v>6123.156737</v>
      </c>
      <c r="AJ838" s="72">
        <f t="shared" si="19"/>
        <v>0.4722743284</v>
      </c>
      <c r="AK838" s="61"/>
      <c r="AL838" s="71">
        <f t="array" ref="AL838">iferror(if(isblank(xlookup($G838,'Old Master'!$T:$T,'Old Master'!$W:$W)),AG838,xlookup($G838,'Old Master'!$T:$T,'Old Master'!$W:$W)),AG838)</f>
        <v>0.1000058827</v>
      </c>
      <c r="AM838" s="74">
        <f t="shared" si="20"/>
        <v>0.1000058827</v>
      </c>
      <c r="AN838" s="73">
        <f t="shared" si="443"/>
        <v>15299</v>
      </c>
    </row>
    <row r="839">
      <c r="A839" s="65" t="s">
        <v>4807</v>
      </c>
      <c r="B839" s="65">
        <f t="shared" si="1"/>
        <v>36</v>
      </c>
      <c r="C839" s="65" t="str">
        <f t="shared" si="403"/>
        <v>SC-ULTM-S-84x38x10</v>
      </c>
      <c r="D839" s="65" t="s">
        <v>4809</v>
      </c>
      <c r="E839" s="65">
        <v>0.0</v>
      </c>
      <c r="F839" s="65" t="s">
        <v>5212</v>
      </c>
      <c r="G839" s="65" t="s">
        <v>5112</v>
      </c>
      <c r="H839" s="65" t="s">
        <v>52</v>
      </c>
      <c r="I839" s="65">
        <v>20499.0</v>
      </c>
      <c r="J839" s="66">
        <v>0.25</v>
      </c>
      <c r="K839" s="65">
        <f t="shared" si="3"/>
        <v>15374</v>
      </c>
      <c r="L839" s="66">
        <v>0.22</v>
      </c>
      <c r="M839" s="65">
        <f t="shared" si="4"/>
        <v>15989</v>
      </c>
      <c r="N839" s="67">
        <f t="shared" si="404"/>
        <v>0.1000048783</v>
      </c>
      <c r="O839" s="68">
        <v>18449.0</v>
      </c>
      <c r="P839" s="67">
        <f t="shared" si="412"/>
        <v>0.1000048783</v>
      </c>
      <c r="Q839" s="69">
        <v>18449.0</v>
      </c>
      <c r="R839" s="70"/>
      <c r="S839" s="71">
        <f t="shared" si="446"/>
        <v>0.1538557758</v>
      </c>
      <c r="T839" s="72">
        <f t="shared" si="6"/>
        <v>0</v>
      </c>
      <c r="U839" s="73" t="str">
        <f t="shared" ref="U839:U840" si="449">IFERROR(XLOOKUP(A839,COGS!I:I,COGS!J:J), IFERROR(XLOOKUP(C839,COGS!I:I,COGS!J:J),""))</f>
        <v/>
      </c>
      <c r="V839" s="73">
        <f t="shared" si="340"/>
        <v>13550</v>
      </c>
      <c r="W839" s="73">
        <f t="shared" si="9"/>
        <v>13550</v>
      </c>
      <c r="X839" s="74">
        <f t="shared" si="10"/>
        <v>1</v>
      </c>
      <c r="Y839" s="73">
        <f t="shared" si="445"/>
        <v>0</v>
      </c>
      <c r="Z839" s="73">
        <f t="shared" si="12"/>
        <v>15634.74576</v>
      </c>
      <c r="AA839" s="73">
        <f t="shared" si="13"/>
        <v>15634.74576</v>
      </c>
      <c r="AB839" s="74">
        <f t="shared" si="14"/>
        <v>1</v>
      </c>
      <c r="AC839" s="61" t="str">
        <f t="shared" si="15"/>
        <v>0</v>
      </c>
      <c r="AD839" s="71" t="str">
        <f t="shared" si="16"/>
        <v>#DIV/0!</v>
      </c>
      <c r="AE839" s="61"/>
      <c r="AF839" s="61"/>
      <c r="AG839" s="71">
        <f t="array" ref="AG839">IFERROR(xlookup(G839,'Old Master'!T:T,'Old Master'!V:V),N839)</f>
        <v>0.1000048783</v>
      </c>
      <c r="AH839" s="73">
        <f t="shared" si="229"/>
        <v>18449</v>
      </c>
      <c r="AI839" s="73">
        <f t="shared" si="230"/>
        <v>15634.74576</v>
      </c>
      <c r="AJ839" s="72">
        <f t="shared" si="19"/>
        <v>1</v>
      </c>
      <c r="AK839" s="61"/>
      <c r="AL839" s="71">
        <f t="array" ref="AL839">iferror(if(isblank(xlookup($G839,'Old Master'!$T:$T,'Old Master'!$W:$W)),AG839,xlookup($G839,'Old Master'!$T:$T,'Old Master'!$W:$W)),AG839)</f>
        <v>0.1000048783</v>
      </c>
      <c r="AM839" s="74">
        <f t="shared" si="20"/>
        <v>0.1024440217</v>
      </c>
      <c r="AN839" s="73">
        <f t="shared" si="443"/>
        <v>18399</v>
      </c>
    </row>
    <row r="840">
      <c r="A840" s="65" t="s">
        <v>4789</v>
      </c>
      <c r="B840" s="65">
        <f t="shared" si="1"/>
        <v>36</v>
      </c>
      <c r="C840" s="65" t="str">
        <f t="shared" si="403"/>
        <v>SC-ULTM-S-84x38x8</v>
      </c>
      <c r="D840" s="65" t="s">
        <v>4791</v>
      </c>
      <c r="E840" s="65">
        <v>0.0</v>
      </c>
      <c r="F840" s="65" t="s">
        <v>5213</v>
      </c>
      <c r="G840" s="65" t="s">
        <v>5112</v>
      </c>
      <c r="H840" s="65" t="s">
        <v>52</v>
      </c>
      <c r="I840" s="65">
        <v>17899.0</v>
      </c>
      <c r="J840" s="66">
        <v>0.25</v>
      </c>
      <c r="K840" s="65">
        <f t="shared" si="3"/>
        <v>13424</v>
      </c>
      <c r="L840" s="66">
        <v>0.22</v>
      </c>
      <c r="M840" s="65">
        <f t="shared" si="4"/>
        <v>13961</v>
      </c>
      <c r="N840" s="67">
        <f t="shared" si="404"/>
        <v>0.1000055869</v>
      </c>
      <c r="O840" s="68">
        <v>16109.0</v>
      </c>
      <c r="P840" s="67">
        <f t="shared" si="412"/>
        <v>0.1000055869</v>
      </c>
      <c r="Q840" s="69">
        <v>16109.0</v>
      </c>
      <c r="R840" s="70"/>
      <c r="S840" s="71">
        <f t="shared" si="446"/>
        <v>0.1538571736</v>
      </c>
      <c r="T840" s="72">
        <f t="shared" si="6"/>
        <v>0</v>
      </c>
      <c r="U840" s="73" t="str">
        <f t="shared" si="449"/>
        <v/>
      </c>
      <c r="V840" s="73">
        <f t="shared" si="340"/>
        <v>11831.35593</v>
      </c>
      <c r="W840" s="73">
        <f t="shared" si="9"/>
        <v>11831.35593</v>
      </c>
      <c r="X840" s="74">
        <f t="shared" si="10"/>
        <v>1</v>
      </c>
      <c r="Y840" s="73">
        <f t="shared" si="445"/>
        <v>0</v>
      </c>
      <c r="Z840" s="73">
        <f t="shared" si="12"/>
        <v>13651.69492</v>
      </c>
      <c r="AA840" s="73">
        <f t="shared" si="13"/>
        <v>13651.69492</v>
      </c>
      <c r="AB840" s="74">
        <f t="shared" si="14"/>
        <v>1</v>
      </c>
      <c r="AC840" s="61" t="str">
        <f t="shared" si="15"/>
        <v>8</v>
      </c>
      <c r="AD840" s="71" t="str">
        <f t="shared" si="16"/>
        <v>#DIV/0!</v>
      </c>
      <c r="AE840" s="61"/>
      <c r="AF840" s="61"/>
      <c r="AG840" s="71">
        <f t="array" ref="AG840">IFERROR(xlookup(G840,'Old Master'!T:T,'Old Master'!V:V),N840)</f>
        <v>0.1000055869</v>
      </c>
      <c r="AH840" s="73">
        <f t="shared" si="229"/>
        <v>16109</v>
      </c>
      <c r="AI840" s="73">
        <f t="shared" si="230"/>
        <v>13651.69492</v>
      </c>
      <c r="AJ840" s="72">
        <f t="shared" si="19"/>
        <v>1</v>
      </c>
      <c r="AK840" s="61"/>
      <c r="AL840" s="71">
        <f t="array" ref="AL840">iferror(if(isblank(xlookup($G840,'Old Master'!$T:$T,'Old Master'!$W:$W)),AG840,xlookup($G840,'Old Master'!$T:$T,'Old Master'!$W:$W)),AG840)</f>
        <v>0.1000055869</v>
      </c>
      <c r="AM840" s="74">
        <f t="shared" si="20"/>
        <v>0.1005642773</v>
      </c>
      <c r="AN840" s="73">
        <f t="shared" si="443"/>
        <v>16099</v>
      </c>
    </row>
    <row r="841">
      <c r="A841" s="65" t="s">
        <v>1617</v>
      </c>
      <c r="B841" s="65">
        <f t="shared" si="1"/>
        <v>66</v>
      </c>
      <c r="C841" s="65" t="str">
        <f t="shared" si="403"/>
        <v>SC-ULTM-Q-72x68x10</v>
      </c>
      <c r="D841" s="65">
        <v>0.0</v>
      </c>
      <c r="E841" s="65">
        <v>0.0</v>
      </c>
      <c r="F841" s="65" t="s">
        <v>1620</v>
      </c>
      <c r="G841" s="65" t="s">
        <v>5112</v>
      </c>
      <c r="H841" s="65" t="s">
        <v>52</v>
      </c>
      <c r="I841" s="65">
        <v>29999.0</v>
      </c>
      <c r="J841" s="66">
        <v>0.0</v>
      </c>
      <c r="K841" s="65">
        <f t="shared" si="3"/>
        <v>29999</v>
      </c>
      <c r="L841" s="66">
        <v>0.0</v>
      </c>
      <c r="M841" s="65">
        <f t="shared" si="4"/>
        <v>29999</v>
      </c>
      <c r="N841" s="67">
        <f t="shared" si="404"/>
        <v>0.1000033334</v>
      </c>
      <c r="O841" s="68">
        <v>26999.0</v>
      </c>
      <c r="P841" s="67">
        <f t="shared" si="412"/>
        <v>0.1000033334</v>
      </c>
      <c r="Q841" s="69">
        <v>26999.0</v>
      </c>
      <c r="R841" s="70"/>
      <c r="S841" s="71">
        <f t="shared" si="446"/>
        <v>-0.1000033334</v>
      </c>
      <c r="T841" s="72">
        <f t="shared" si="6"/>
        <v>0</v>
      </c>
      <c r="U841" s="73">
        <f t="shared" ref="U841:U842" si="450">IFERROR(XLOOKUP(A841,COGS!I:I,COGS!J:J), IFERROR(XLOOKUP(C841,COGS!I:I,COGS!J:J),I841*35%))</f>
        <v>10499.65</v>
      </c>
      <c r="V841" s="73">
        <f t="shared" si="340"/>
        <v>25422.88136</v>
      </c>
      <c r="W841" s="73">
        <f t="shared" si="9"/>
        <v>14923.23136</v>
      </c>
      <c r="X841" s="74">
        <f t="shared" si="10"/>
        <v>0.587</v>
      </c>
      <c r="Y841" s="73">
        <f t="shared" si="445"/>
        <v>12074.5975</v>
      </c>
      <c r="Z841" s="73">
        <f t="shared" si="12"/>
        <v>22880.50847</v>
      </c>
      <c r="AA841" s="73">
        <f t="shared" si="13"/>
        <v>10805.91097</v>
      </c>
      <c r="AB841" s="74">
        <f t="shared" si="14"/>
        <v>0.4722758232</v>
      </c>
      <c r="AC841" s="61" t="str">
        <f t="shared" si="15"/>
        <v>0</v>
      </c>
      <c r="AD841" s="71">
        <f t="shared" si="16"/>
        <v>0.15</v>
      </c>
      <c r="AE841" s="61"/>
      <c r="AF841" s="61"/>
      <c r="AG841" s="71">
        <f t="array" ref="AG841">IFERROR(xlookup(G841,'Old Master'!T:T,'Old Master'!V:V),N841)</f>
        <v>0.1000033334</v>
      </c>
      <c r="AH841" s="73">
        <f t="shared" si="229"/>
        <v>26999</v>
      </c>
      <c r="AI841" s="73">
        <f t="shared" si="230"/>
        <v>10805.91097</v>
      </c>
      <c r="AJ841" s="72">
        <f t="shared" si="19"/>
        <v>0.4722758232</v>
      </c>
      <c r="AK841" s="61"/>
      <c r="AL841" s="71">
        <f t="array" ref="AL841">iferror(if(isblank(xlookup($G841,'Old Master'!$T:$T,'Old Master'!$W:$W)),AG841,xlookup($G841,'Old Master'!$T:$T,'Old Master'!$W:$W)),AG841)</f>
        <v>0.1000033334</v>
      </c>
      <c r="AM841" s="74">
        <f t="shared" si="20"/>
        <v>0.1000033334</v>
      </c>
      <c r="AN841" s="73">
        <f t="shared" si="443"/>
        <v>26999</v>
      </c>
    </row>
    <row r="842">
      <c r="A842" s="65" t="s">
        <v>1622</v>
      </c>
      <c r="B842" s="65">
        <f t="shared" si="1"/>
        <v>66</v>
      </c>
      <c r="C842" s="65" t="str">
        <f t="shared" si="403"/>
        <v>SC-ULTM-Q-75x68x10</v>
      </c>
      <c r="D842" s="65">
        <v>0.0</v>
      </c>
      <c r="E842" s="65">
        <v>0.0</v>
      </c>
      <c r="F842" s="65" t="s">
        <v>1623</v>
      </c>
      <c r="G842" s="65" t="s">
        <v>5112</v>
      </c>
      <c r="H842" s="65" t="s">
        <v>52</v>
      </c>
      <c r="I842" s="65">
        <v>29999.0</v>
      </c>
      <c r="J842" s="66">
        <v>0.0</v>
      </c>
      <c r="K842" s="65">
        <f t="shared" si="3"/>
        <v>29999</v>
      </c>
      <c r="L842" s="66">
        <v>0.0</v>
      </c>
      <c r="M842" s="65">
        <f t="shared" si="4"/>
        <v>29999</v>
      </c>
      <c r="N842" s="67">
        <f t="shared" si="404"/>
        <v>0.1000033334</v>
      </c>
      <c r="O842" s="68">
        <v>26999.0</v>
      </c>
      <c r="P842" s="67">
        <f t="shared" si="412"/>
        <v>0.1000033334</v>
      </c>
      <c r="Q842" s="69">
        <v>26999.0</v>
      </c>
      <c r="R842" s="70"/>
      <c r="S842" s="71">
        <f t="shared" si="446"/>
        <v>-0.1000033334</v>
      </c>
      <c r="T842" s="72">
        <f t="shared" si="6"/>
        <v>0</v>
      </c>
      <c r="U842" s="73">
        <f t="shared" si="450"/>
        <v>10499.65</v>
      </c>
      <c r="V842" s="73">
        <f t="shared" si="340"/>
        <v>25422.88136</v>
      </c>
      <c r="W842" s="73">
        <f t="shared" si="9"/>
        <v>14923.23136</v>
      </c>
      <c r="X842" s="74">
        <f t="shared" si="10"/>
        <v>0.587</v>
      </c>
      <c r="Y842" s="73">
        <f t="shared" si="445"/>
        <v>12074.5975</v>
      </c>
      <c r="Z842" s="73">
        <f t="shared" si="12"/>
        <v>22880.50847</v>
      </c>
      <c r="AA842" s="73">
        <f t="shared" si="13"/>
        <v>10805.91097</v>
      </c>
      <c r="AB842" s="74">
        <f t="shared" si="14"/>
        <v>0.4722758232</v>
      </c>
      <c r="AC842" s="61" t="str">
        <f t="shared" si="15"/>
        <v>0</v>
      </c>
      <c r="AD842" s="71">
        <f t="shared" si="16"/>
        <v>0.15</v>
      </c>
      <c r="AE842" s="61"/>
      <c r="AF842" s="61"/>
      <c r="AG842" s="71">
        <f t="array" ref="AG842">IFERROR(xlookup(G842,'Old Master'!T:T,'Old Master'!V:V),N842)</f>
        <v>0.1000033334</v>
      </c>
      <c r="AH842" s="73">
        <f t="shared" si="229"/>
        <v>26999</v>
      </c>
      <c r="AI842" s="73">
        <f t="shared" si="230"/>
        <v>10805.91097</v>
      </c>
      <c r="AJ842" s="72">
        <f t="shared" si="19"/>
        <v>0.4722758232</v>
      </c>
      <c r="AK842" s="61"/>
      <c r="AL842" s="71">
        <f t="array" ref="AL842">iferror(if(isblank(xlookup($G842,'Old Master'!$T:$T,'Old Master'!$W:$W)),AG842,xlookup($G842,'Old Master'!$T:$T,'Old Master'!$W:$W)),AG842)</f>
        <v>0.1000033334</v>
      </c>
      <c r="AM842" s="74">
        <f t="shared" si="20"/>
        <v>0.1000033334</v>
      </c>
      <c r="AN842" s="73">
        <f t="shared" si="443"/>
        <v>26999</v>
      </c>
    </row>
    <row r="843">
      <c r="A843" s="65" t="s">
        <v>1624</v>
      </c>
      <c r="B843" s="65">
        <f t="shared" si="1"/>
        <v>66</v>
      </c>
      <c r="C843" s="65" t="str">
        <f t="shared" si="403"/>
        <v>SC-ULTM-Q-78x68x10</v>
      </c>
      <c r="D843" s="65">
        <v>0.0</v>
      </c>
      <c r="E843" s="65">
        <v>0.0</v>
      </c>
      <c r="F843" s="65" t="s">
        <v>1627</v>
      </c>
      <c r="G843" s="65" t="s">
        <v>5112</v>
      </c>
      <c r="H843" s="65" t="s">
        <v>52</v>
      </c>
      <c r="I843" s="65">
        <v>29999.0</v>
      </c>
      <c r="J843" s="66">
        <v>0.0</v>
      </c>
      <c r="K843" s="65">
        <f t="shared" si="3"/>
        <v>29999</v>
      </c>
      <c r="L843" s="66">
        <v>0.0</v>
      </c>
      <c r="M843" s="65">
        <f t="shared" si="4"/>
        <v>29999</v>
      </c>
      <c r="N843" s="67">
        <f t="shared" si="404"/>
        <v>0.1000033334</v>
      </c>
      <c r="O843" s="68">
        <v>26999.0</v>
      </c>
      <c r="P843" s="67">
        <f t="shared" si="412"/>
        <v>0.1000033334</v>
      </c>
      <c r="Q843" s="69">
        <v>26999.0</v>
      </c>
      <c r="R843" s="70"/>
      <c r="S843" s="71">
        <f t="shared" si="446"/>
        <v>-0.1000033334</v>
      </c>
      <c r="T843" s="72">
        <f t="shared" si="6"/>
        <v>0</v>
      </c>
      <c r="U843" s="73" t="str">
        <f t="array" ref="U843">IFERROR(XLOOKUP(A843,COGS!I:I,COGS!J:J), IFERROR(XLOOKUP(C843,COGS!I:I,COGS!J:J),""))</f>
        <v/>
      </c>
      <c r="V843" s="73">
        <f t="shared" si="340"/>
        <v>25422.88136</v>
      </c>
      <c r="W843" s="73">
        <f t="shared" si="9"/>
        <v>25422.88136</v>
      </c>
      <c r="X843" s="74">
        <f t="shared" si="10"/>
        <v>1</v>
      </c>
      <c r="Y843" s="73">
        <f t="shared" si="445"/>
        <v>0</v>
      </c>
      <c r="Z843" s="73">
        <f t="shared" si="12"/>
        <v>22880.50847</v>
      </c>
      <c r="AA843" s="73">
        <f t="shared" si="13"/>
        <v>22880.50847</v>
      </c>
      <c r="AB843" s="74">
        <f t="shared" si="14"/>
        <v>1</v>
      </c>
      <c r="AC843" s="61" t="str">
        <f t="shared" si="15"/>
        <v>0</v>
      </c>
      <c r="AD843" s="71" t="str">
        <f t="shared" si="16"/>
        <v>#DIV/0!</v>
      </c>
      <c r="AE843" s="61"/>
      <c r="AF843" s="61"/>
      <c r="AG843" s="71">
        <f t="array" ref="AG843">IFERROR(xlookup(G843,'Old Master'!T:T,'Old Master'!V:V),N843)</f>
        <v>0.1000033334</v>
      </c>
      <c r="AH843" s="73">
        <f t="shared" si="229"/>
        <v>26999</v>
      </c>
      <c r="AI843" s="73">
        <f t="shared" si="230"/>
        <v>22880.50847</v>
      </c>
      <c r="AJ843" s="72">
        <f t="shared" si="19"/>
        <v>1</v>
      </c>
      <c r="AK843" s="61"/>
      <c r="AL843" s="71">
        <f t="array" ref="AL843">iferror(if(isblank(xlookup($G843,'Old Master'!$T:$T,'Old Master'!$W:$W)),AG843,xlookup($G843,'Old Master'!$T:$T,'Old Master'!$W:$W)),AG843)</f>
        <v>0.1000033334</v>
      </c>
      <c r="AM843" s="74">
        <f t="shared" si="20"/>
        <v>0.1000033334</v>
      </c>
      <c r="AN843" s="73">
        <f t="shared" si="443"/>
        <v>26999</v>
      </c>
    </row>
    <row r="844">
      <c r="A844" s="65" t="s">
        <v>3836</v>
      </c>
      <c r="B844" s="65" t="str">
        <f t="shared" si="1"/>
        <v>#VALUE!</v>
      </c>
      <c r="C844" s="65" t="str">
        <f t="shared" si="403"/>
        <v>#VALUE!</v>
      </c>
      <c r="D844" s="65" t="s">
        <v>3838</v>
      </c>
      <c r="E844" s="65">
        <v>0.0</v>
      </c>
      <c r="F844" s="65" t="s">
        <v>3839</v>
      </c>
      <c r="G844" s="65" t="s">
        <v>5092</v>
      </c>
      <c r="H844" s="65" t="s">
        <v>4727</v>
      </c>
      <c r="I844" s="65">
        <v>2499.0</v>
      </c>
      <c r="J844" s="66">
        <v>0.3</v>
      </c>
      <c r="K844" s="65">
        <f t="shared" si="3"/>
        <v>1749</v>
      </c>
      <c r="L844" s="66">
        <v>0.2</v>
      </c>
      <c r="M844" s="65">
        <f t="shared" si="4"/>
        <v>1999</v>
      </c>
      <c r="N844" s="67">
        <f t="shared" si="404"/>
        <v>0.200080032</v>
      </c>
      <c r="O844" s="68">
        <v>1999.0</v>
      </c>
      <c r="P844" s="67">
        <f t="shared" si="412"/>
        <v>0.200080032</v>
      </c>
      <c r="Q844" s="69">
        <v>1999.0</v>
      </c>
      <c r="R844" s="70"/>
      <c r="S844" s="71">
        <f>O844/K844-1</f>
        <v>0.1429388222</v>
      </c>
      <c r="T844" s="72">
        <f t="shared" si="6"/>
        <v>0</v>
      </c>
      <c r="U844" s="73">
        <f t="array" ref="U844">IFERROR(XLOOKUP(A844,COGS!I:I,COGS!J:J), IFERROR(XLOOKUP(C844,COGS!I:I,COGS!J:J),I844*35%))</f>
        <v>874.65</v>
      </c>
      <c r="V844" s="73">
        <f t="shared" si="340"/>
        <v>1694.067797</v>
      </c>
      <c r="W844" s="73">
        <f t="shared" si="9"/>
        <v>819.4177966</v>
      </c>
      <c r="X844" s="74">
        <f t="shared" si="10"/>
        <v>0.4836983492</v>
      </c>
      <c r="Y844" s="73">
        <f t="shared" si="445"/>
        <v>1005.8475</v>
      </c>
      <c r="Z844" s="73">
        <f t="shared" si="12"/>
        <v>1694.067797</v>
      </c>
      <c r="AA844" s="73">
        <f t="shared" si="13"/>
        <v>688.2202966</v>
      </c>
      <c r="AB844" s="74">
        <f t="shared" si="14"/>
        <v>0.4062531016</v>
      </c>
      <c r="AC844" s="61" t="str">
        <f t="shared" si="15"/>
        <v>K</v>
      </c>
      <c r="AD844" s="71">
        <f t="shared" si="16"/>
        <v>0.15</v>
      </c>
      <c r="AE844" s="61"/>
      <c r="AF844" s="61"/>
      <c r="AG844" s="71">
        <f t="array" ref="AG844">IFERROR(xlookup(G844,'Old Master'!T:T,'Old Master'!V:V),N844)</f>
        <v>0.200080032</v>
      </c>
      <c r="AH844" s="73">
        <f t="shared" si="229"/>
        <v>1999</v>
      </c>
      <c r="AI844" s="73">
        <f t="shared" si="230"/>
        <v>688.2202966</v>
      </c>
      <c r="AJ844" s="72">
        <f t="shared" si="19"/>
        <v>0.4062531016</v>
      </c>
      <c r="AK844" s="61"/>
      <c r="AL844" s="71">
        <f t="array" ref="AL844">iferror(if(isblank(xlookup($G844,'Old Master'!$T:$T,'Old Master'!$W:$W)),AG844,xlookup($G844,'Old Master'!$T:$T,'Old Master'!$W:$W)),AG844)</f>
        <v>0.200080032</v>
      </c>
      <c r="AM844" s="74">
        <f t="shared" si="20"/>
        <v>0.200080032</v>
      </c>
      <c r="AN844" s="73">
        <f t="shared" si="443"/>
        <v>1999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5"/>
    <col customWidth="1" min="4" max="4" width="20.75"/>
  </cols>
  <sheetData>
    <row r="1">
      <c r="A1" s="85" t="s">
        <v>5440</v>
      </c>
      <c r="B1" s="86" t="s">
        <v>2</v>
      </c>
      <c r="C1" s="85" t="s">
        <v>5441</v>
      </c>
      <c r="D1" s="85" t="s">
        <v>5442</v>
      </c>
      <c r="E1" s="85" t="s">
        <v>5292</v>
      </c>
      <c r="F1" s="85" t="s">
        <v>12</v>
      </c>
      <c r="G1" s="85" t="s">
        <v>5443</v>
      </c>
      <c r="H1" s="85" t="s">
        <v>5444</v>
      </c>
      <c r="I1" s="49"/>
    </row>
    <row r="2">
      <c r="A2" s="87" t="s">
        <v>1498</v>
      </c>
      <c r="B2" s="87" t="s">
        <v>1500</v>
      </c>
      <c r="C2" s="87" t="s">
        <v>1501</v>
      </c>
      <c r="D2" s="87" t="s">
        <v>5445</v>
      </c>
      <c r="E2" s="87" t="s">
        <v>5078</v>
      </c>
      <c r="F2" s="36">
        <v>649.0</v>
      </c>
      <c r="G2" s="36">
        <v>584.0</v>
      </c>
      <c r="H2" s="7" t="s">
        <v>5073</v>
      </c>
      <c r="I2" s="49"/>
    </row>
    <row r="3">
      <c r="A3" s="87" t="s">
        <v>1808</v>
      </c>
      <c r="B3" s="87" t="s">
        <v>1810</v>
      </c>
      <c r="C3" s="87" t="s">
        <v>1812</v>
      </c>
      <c r="D3" s="87" t="s">
        <v>5446</v>
      </c>
      <c r="E3" s="87" t="s">
        <v>5109</v>
      </c>
      <c r="F3" s="36">
        <v>34999.0</v>
      </c>
      <c r="G3" s="36">
        <v>28699.0</v>
      </c>
      <c r="H3" s="7" t="s">
        <v>5447</v>
      </c>
      <c r="I3" s="49"/>
    </row>
    <row r="4">
      <c r="A4" s="87" t="s">
        <v>1881</v>
      </c>
      <c r="B4" s="87" t="s">
        <v>1883</v>
      </c>
      <c r="C4" s="87" t="s">
        <v>1884</v>
      </c>
      <c r="D4" s="87" t="s">
        <v>5448</v>
      </c>
      <c r="E4" s="87" t="s">
        <v>5109</v>
      </c>
      <c r="F4" s="36">
        <v>42999.0</v>
      </c>
      <c r="G4" s="36">
        <v>35259.0</v>
      </c>
      <c r="H4" s="7" t="s">
        <v>5447</v>
      </c>
      <c r="I4" s="49"/>
    </row>
    <row r="5">
      <c r="A5" s="87" t="s">
        <v>2697</v>
      </c>
      <c r="B5" s="87" t="s">
        <v>2699</v>
      </c>
      <c r="C5" s="87" t="s">
        <v>2701</v>
      </c>
      <c r="D5" s="87" t="s">
        <v>5449</v>
      </c>
      <c r="E5" s="87" t="s">
        <v>5107</v>
      </c>
      <c r="F5" s="36">
        <v>1889.0</v>
      </c>
      <c r="G5" s="36">
        <v>1700.0</v>
      </c>
      <c r="H5" s="7" t="s">
        <v>5073</v>
      </c>
      <c r="I5" s="49"/>
    </row>
    <row r="6">
      <c r="A6" s="87" t="s">
        <v>2931</v>
      </c>
      <c r="B6" s="87" t="s">
        <v>2934</v>
      </c>
      <c r="C6" s="87" t="s">
        <v>2936</v>
      </c>
      <c r="D6" s="87" t="s">
        <v>5450</v>
      </c>
      <c r="E6" s="87" t="s">
        <v>5116</v>
      </c>
      <c r="F6" s="36">
        <v>3599.0</v>
      </c>
      <c r="G6" s="36">
        <v>3059.0</v>
      </c>
      <c r="H6" s="7" t="s">
        <v>5073</v>
      </c>
      <c r="I6" s="49"/>
    </row>
    <row r="7">
      <c r="A7" s="87" t="s">
        <v>3002</v>
      </c>
      <c r="B7" s="87" t="s">
        <v>3004</v>
      </c>
      <c r="C7" s="87" t="s">
        <v>3006</v>
      </c>
      <c r="D7" s="87" t="s">
        <v>5451</v>
      </c>
      <c r="E7" s="87" t="s">
        <v>5131</v>
      </c>
      <c r="F7" s="36">
        <v>2089.0</v>
      </c>
      <c r="G7" s="36">
        <v>1567.0</v>
      </c>
      <c r="H7" s="7" t="s">
        <v>5073</v>
      </c>
      <c r="I7" s="49"/>
    </row>
    <row r="8">
      <c r="A8" s="87" t="s">
        <v>3020</v>
      </c>
      <c r="B8" s="87" t="s">
        <v>3022</v>
      </c>
      <c r="C8" s="87" t="s">
        <v>3024</v>
      </c>
      <c r="D8" s="87" t="s">
        <v>5452</v>
      </c>
      <c r="E8" s="87" t="s">
        <v>5127</v>
      </c>
      <c r="F8" s="36">
        <v>2089.0</v>
      </c>
      <c r="G8" s="36">
        <v>1880.0</v>
      </c>
      <c r="H8" s="7" t="s">
        <v>5073</v>
      </c>
      <c r="I8" s="49"/>
    </row>
    <row r="9">
      <c r="A9" s="87" t="s">
        <v>3026</v>
      </c>
      <c r="B9" s="87" t="s">
        <v>3028</v>
      </c>
      <c r="C9" s="87" t="s">
        <v>3030</v>
      </c>
      <c r="D9" s="87" t="s">
        <v>5453</v>
      </c>
      <c r="E9" s="87" t="s">
        <v>5131</v>
      </c>
      <c r="F9" s="36">
        <v>2989.0</v>
      </c>
      <c r="G9" s="36">
        <v>2241.0</v>
      </c>
      <c r="H9" s="7" t="s">
        <v>5447</v>
      </c>
      <c r="I9" s="49"/>
    </row>
    <row r="10">
      <c r="A10" s="87" t="s">
        <v>3032</v>
      </c>
      <c r="B10" s="87" t="s">
        <v>3034</v>
      </c>
      <c r="C10" s="87" t="s">
        <v>3036</v>
      </c>
      <c r="D10" s="87" t="s">
        <v>5454</v>
      </c>
      <c r="E10" s="87" t="s">
        <v>5131</v>
      </c>
      <c r="F10" s="36">
        <v>2989.0</v>
      </c>
      <c r="G10" s="36">
        <v>2241.0</v>
      </c>
      <c r="H10" s="7" t="s">
        <v>5447</v>
      </c>
      <c r="I10" s="49"/>
    </row>
    <row r="11">
      <c r="A11" s="87" t="s">
        <v>3038</v>
      </c>
      <c r="B11" s="87" t="s">
        <v>3040</v>
      </c>
      <c r="C11" s="87" t="s">
        <v>3042</v>
      </c>
      <c r="D11" s="87" t="s">
        <v>5455</v>
      </c>
      <c r="E11" s="87" t="s">
        <v>5086</v>
      </c>
      <c r="F11" s="36">
        <v>2989.0</v>
      </c>
      <c r="G11" s="36">
        <v>2690.0</v>
      </c>
      <c r="H11" s="7" t="s">
        <v>5447</v>
      </c>
      <c r="I11" s="49"/>
    </row>
    <row r="12">
      <c r="A12" s="87" t="s">
        <v>3044</v>
      </c>
      <c r="B12" s="87" t="s">
        <v>3046</v>
      </c>
      <c r="C12" s="87" t="s">
        <v>3048</v>
      </c>
      <c r="D12" s="87" t="s">
        <v>5456</v>
      </c>
      <c r="E12" s="87" t="s">
        <v>5127</v>
      </c>
      <c r="F12" s="36">
        <v>2989.0</v>
      </c>
      <c r="G12" s="36">
        <v>2690.0</v>
      </c>
      <c r="H12" s="7" t="s">
        <v>5447</v>
      </c>
      <c r="I12" s="49"/>
    </row>
    <row r="13">
      <c r="A13" s="87" t="s">
        <v>3205</v>
      </c>
      <c r="B13" s="87" t="s">
        <v>3207</v>
      </c>
      <c r="C13" s="87" t="s">
        <v>3209</v>
      </c>
      <c r="D13" s="87" t="s">
        <v>5457</v>
      </c>
      <c r="E13" s="87" t="s">
        <v>5086</v>
      </c>
      <c r="F13" s="36">
        <v>1389.0</v>
      </c>
      <c r="G13" s="36">
        <v>1250.0</v>
      </c>
      <c r="H13" s="7" t="s">
        <v>1161</v>
      </c>
      <c r="I13" s="49"/>
    </row>
    <row r="14">
      <c r="A14" s="87" t="s">
        <v>3217</v>
      </c>
      <c r="B14" s="87" t="s">
        <v>3219</v>
      </c>
      <c r="C14" s="87" t="s">
        <v>3221</v>
      </c>
      <c r="D14" s="87" t="s">
        <v>5458</v>
      </c>
      <c r="E14" s="87" t="s">
        <v>5142</v>
      </c>
      <c r="F14" s="36">
        <v>1389.0</v>
      </c>
      <c r="G14" s="36">
        <v>1250.0</v>
      </c>
      <c r="H14" s="7" t="s">
        <v>1161</v>
      </c>
      <c r="I14" s="49"/>
    </row>
    <row r="15">
      <c r="A15" s="87" t="s">
        <v>3223</v>
      </c>
      <c r="B15" s="87" t="s">
        <v>3225</v>
      </c>
      <c r="C15" s="87" t="s">
        <v>3227</v>
      </c>
      <c r="D15" s="87" t="s">
        <v>5459</v>
      </c>
      <c r="E15" s="87" t="s">
        <v>5086</v>
      </c>
      <c r="F15" s="36">
        <v>1389.0</v>
      </c>
      <c r="G15" s="36">
        <v>1250.0</v>
      </c>
      <c r="H15" s="7" t="s">
        <v>1161</v>
      </c>
      <c r="I15" s="49"/>
    </row>
    <row r="16">
      <c r="A16" s="87" t="s">
        <v>3259</v>
      </c>
      <c r="B16" s="87" t="s">
        <v>3261</v>
      </c>
      <c r="C16" s="87" t="s">
        <v>3263</v>
      </c>
      <c r="D16" s="87" t="s">
        <v>5460</v>
      </c>
      <c r="E16" s="87" t="s">
        <v>5086</v>
      </c>
      <c r="F16" s="36">
        <v>1989.0</v>
      </c>
      <c r="G16" s="36">
        <v>1790.0</v>
      </c>
      <c r="H16" s="7" t="s">
        <v>1161</v>
      </c>
      <c r="I16" s="49"/>
    </row>
    <row r="17">
      <c r="A17" s="87" t="s">
        <v>3271</v>
      </c>
      <c r="B17" s="87" t="s">
        <v>3273</v>
      </c>
      <c r="C17" s="87" t="s">
        <v>3275</v>
      </c>
      <c r="D17" s="87" t="s">
        <v>5461</v>
      </c>
      <c r="E17" s="87" t="s">
        <v>5086</v>
      </c>
      <c r="F17" s="36">
        <v>1989.0</v>
      </c>
      <c r="G17" s="36">
        <v>1790.0</v>
      </c>
      <c r="H17" s="7" t="s">
        <v>1161</v>
      </c>
      <c r="I17" s="49"/>
    </row>
    <row r="18">
      <c r="A18" s="87" t="s">
        <v>3313</v>
      </c>
      <c r="B18" s="87" t="s">
        <v>3315</v>
      </c>
      <c r="C18" s="87" t="s">
        <v>3317</v>
      </c>
      <c r="D18" s="87" t="s">
        <v>5462</v>
      </c>
      <c r="E18" s="87" t="s">
        <v>5142</v>
      </c>
      <c r="F18" s="36">
        <v>1989.0</v>
      </c>
      <c r="G18" s="36">
        <v>1768.0</v>
      </c>
      <c r="H18" s="7" t="s">
        <v>1161</v>
      </c>
      <c r="I18" s="49"/>
    </row>
    <row r="19">
      <c r="A19" s="87" t="s">
        <v>3337</v>
      </c>
      <c r="B19" s="87" t="s">
        <v>3339</v>
      </c>
      <c r="C19" s="87" t="s">
        <v>3341</v>
      </c>
      <c r="D19" s="87" t="s">
        <v>5463</v>
      </c>
      <c r="E19" s="87" t="s">
        <v>5142</v>
      </c>
      <c r="F19" s="36">
        <v>2189.0</v>
      </c>
      <c r="G19" s="36">
        <v>1970.0</v>
      </c>
      <c r="H19" s="7" t="s">
        <v>1161</v>
      </c>
      <c r="I19" s="49"/>
    </row>
    <row r="20">
      <c r="A20" s="87" t="s">
        <v>3355</v>
      </c>
      <c r="B20" s="87" t="s">
        <v>3357</v>
      </c>
      <c r="C20" s="87" t="s">
        <v>3359</v>
      </c>
      <c r="D20" s="87" t="s">
        <v>5464</v>
      </c>
      <c r="E20" s="87" t="s">
        <v>5086</v>
      </c>
      <c r="F20" s="36">
        <v>2189.0</v>
      </c>
      <c r="G20" s="36">
        <v>1970.0</v>
      </c>
      <c r="H20" s="7" t="s">
        <v>1161</v>
      </c>
      <c r="I20" s="49"/>
    </row>
    <row r="21">
      <c r="A21" s="87" t="s">
        <v>3361</v>
      </c>
      <c r="B21" s="87" t="s">
        <v>3363</v>
      </c>
      <c r="C21" s="87" t="s">
        <v>3365</v>
      </c>
      <c r="D21" s="87" t="s">
        <v>5465</v>
      </c>
      <c r="E21" s="87" t="s">
        <v>5086</v>
      </c>
      <c r="F21" s="36">
        <v>2189.0</v>
      </c>
      <c r="G21" s="36">
        <v>1970.0</v>
      </c>
      <c r="H21" s="7" t="s">
        <v>1161</v>
      </c>
      <c r="I21" s="49"/>
    </row>
    <row r="22">
      <c r="A22" s="87" t="s">
        <v>3367</v>
      </c>
      <c r="B22" s="87" t="s">
        <v>3369</v>
      </c>
      <c r="C22" s="87" t="s">
        <v>3371</v>
      </c>
      <c r="D22" s="87" t="s">
        <v>5466</v>
      </c>
      <c r="E22" s="87" t="s">
        <v>5086</v>
      </c>
      <c r="F22" s="36">
        <v>2189.0</v>
      </c>
      <c r="G22" s="36">
        <v>1970.0</v>
      </c>
      <c r="H22" s="7" t="s">
        <v>1161</v>
      </c>
      <c r="I22" s="49"/>
    </row>
    <row r="23">
      <c r="A23" s="87" t="s">
        <v>3385</v>
      </c>
      <c r="B23" s="87" t="s">
        <v>3387</v>
      </c>
      <c r="C23" s="87" t="s">
        <v>3389</v>
      </c>
      <c r="D23" s="87" t="s">
        <v>5467</v>
      </c>
      <c r="E23" s="87" t="s">
        <v>5086</v>
      </c>
      <c r="F23" s="36">
        <v>2189.0</v>
      </c>
      <c r="G23" s="36">
        <v>1970.0</v>
      </c>
      <c r="H23" s="7" t="s">
        <v>1161</v>
      </c>
      <c r="I23" s="49"/>
    </row>
    <row r="24">
      <c r="A24" s="87" t="s">
        <v>3418</v>
      </c>
      <c r="B24" s="87" t="s">
        <v>3421</v>
      </c>
      <c r="C24" s="87" t="s">
        <v>3422</v>
      </c>
      <c r="D24" s="87" t="s">
        <v>5468</v>
      </c>
      <c r="E24" s="87" t="s">
        <v>5078</v>
      </c>
      <c r="F24" s="36">
        <v>699.0</v>
      </c>
      <c r="G24" s="36">
        <v>629.0</v>
      </c>
      <c r="H24" s="7" t="s">
        <v>5073</v>
      </c>
      <c r="I24" s="49"/>
    </row>
    <row r="25">
      <c r="A25" s="87" t="s">
        <v>3424</v>
      </c>
      <c r="B25" s="87" t="s">
        <v>3427</v>
      </c>
      <c r="C25" s="87" t="s">
        <v>3428</v>
      </c>
      <c r="D25" s="87" t="s">
        <v>5469</v>
      </c>
      <c r="E25" s="87" t="s">
        <v>5078</v>
      </c>
      <c r="F25" s="36">
        <v>699.0</v>
      </c>
      <c r="G25" s="36">
        <v>629.0</v>
      </c>
      <c r="H25" s="7" t="s">
        <v>5073</v>
      </c>
      <c r="I25" s="49"/>
    </row>
    <row r="26">
      <c r="A26" s="87" t="s">
        <v>3430</v>
      </c>
      <c r="B26" s="87" t="s">
        <v>3433</v>
      </c>
      <c r="C26" s="87" t="s">
        <v>3434</v>
      </c>
      <c r="D26" s="87" t="s">
        <v>5470</v>
      </c>
      <c r="E26" s="87" t="s">
        <v>5078</v>
      </c>
      <c r="F26" s="36">
        <v>649.0</v>
      </c>
      <c r="G26" s="36">
        <v>584.0</v>
      </c>
      <c r="H26" s="7" t="s">
        <v>5073</v>
      </c>
      <c r="I26" s="49"/>
    </row>
    <row r="27">
      <c r="A27" s="87" t="s">
        <v>3436</v>
      </c>
      <c r="B27" s="87" t="s">
        <v>3439</v>
      </c>
      <c r="C27" s="87" t="s">
        <v>3440</v>
      </c>
      <c r="D27" s="87" t="s">
        <v>5471</v>
      </c>
      <c r="E27" s="87" t="s">
        <v>5078</v>
      </c>
      <c r="F27" s="36">
        <v>649.0</v>
      </c>
      <c r="G27" s="36">
        <v>584.0</v>
      </c>
      <c r="H27" s="7" t="s">
        <v>5073</v>
      </c>
      <c r="I27" s="49"/>
    </row>
    <row r="28">
      <c r="A28" s="87" t="s">
        <v>3442</v>
      </c>
      <c r="B28" s="87" t="s">
        <v>3445</v>
      </c>
      <c r="C28" s="87" t="s">
        <v>3446</v>
      </c>
      <c r="D28" s="87" t="s">
        <v>5472</v>
      </c>
      <c r="E28" s="87" t="s">
        <v>5078</v>
      </c>
      <c r="F28" s="36">
        <v>649.0</v>
      </c>
      <c r="G28" s="36">
        <v>584.0</v>
      </c>
      <c r="H28" s="7" t="s">
        <v>5073</v>
      </c>
      <c r="I28" s="49"/>
    </row>
    <row r="29">
      <c r="A29" s="87" t="s">
        <v>3604</v>
      </c>
      <c r="B29" s="87" t="s">
        <v>3606</v>
      </c>
      <c r="C29" s="87" t="s">
        <v>3607</v>
      </c>
      <c r="D29" s="87" t="s">
        <v>5473</v>
      </c>
      <c r="E29" s="87" t="s">
        <v>5155</v>
      </c>
      <c r="F29" s="36">
        <v>549.0</v>
      </c>
      <c r="G29" s="36">
        <v>494.0</v>
      </c>
      <c r="H29" s="7" t="s">
        <v>1161</v>
      </c>
      <c r="I29" s="49"/>
    </row>
    <row r="30">
      <c r="A30" s="87" t="s">
        <v>3614</v>
      </c>
      <c r="B30" s="87" t="s">
        <v>3616</v>
      </c>
      <c r="C30" s="87" t="s">
        <v>3617</v>
      </c>
      <c r="D30" s="87" t="s">
        <v>5474</v>
      </c>
      <c r="E30" s="87" t="s">
        <v>5155</v>
      </c>
      <c r="F30" s="36">
        <v>549.0</v>
      </c>
      <c r="G30" s="36">
        <v>494.0</v>
      </c>
      <c r="H30" s="7" t="s">
        <v>1161</v>
      </c>
      <c r="I30" s="49"/>
    </row>
    <row r="31">
      <c r="A31" s="87" t="s">
        <v>3624</v>
      </c>
      <c r="B31" s="87" t="s">
        <v>3626</v>
      </c>
      <c r="C31" s="87" t="s">
        <v>3627</v>
      </c>
      <c r="D31" s="87" t="s">
        <v>5475</v>
      </c>
      <c r="E31" s="87" t="s">
        <v>5127</v>
      </c>
      <c r="F31" s="36">
        <v>899.0</v>
      </c>
      <c r="G31" s="36">
        <v>809.0</v>
      </c>
      <c r="H31" s="7" t="s">
        <v>5447</v>
      </c>
      <c r="I31" s="49"/>
    </row>
    <row r="32">
      <c r="A32" s="87" t="s">
        <v>3629</v>
      </c>
      <c r="B32" s="87" t="s">
        <v>3631</v>
      </c>
      <c r="C32" s="87" t="s">
        <v>3632</v>
      </c>
      <c r="D32" s="87" t="s">
        <v>5476</v>
      </c>
      <c r="E32" s="87" t="s">
        <v>5127</v>
      </c>
      <c r="F32" s="36">
        <v>899.0</v>
      </c>
      <c r="G32" s="36">
        <v>809.0</v>
      </c>
      <c r="H32" s="7" t="s">
        <v>5073</v>
      </c>
      <c r="I32" s="49"/>
    </row>
    <row r="33">
      <c r="A33" s="87" t="s">
        <v>3634</v>
      </c>
      <c r="B33" s="87" t="s">
        <v>3636</v>
      </c>
      <c r="C33" s="87" t="s">
        <v>3637</v>
      </c>
      <c r="D33" s="87" t="s">
        <v>5477</v>
      </c>
      <c r="E33" s="87" t="s">
        <v>5127</v>
      </c>
      <c r="F33" s="36">
        <v>899.0</v>
      </c>
      <c r="G33" s="36">
        <v>809.0</v>
      </c>
      <c r="H33" s="7" t="s">
        <v>5073</v>
      </c>
      <c r="I33" s="49"/>
    </row>
    <row r="34">
      <c r="A34" s="87" t="s">
        <v>3644</v>
      </c>
      <c r="B34" s="87" t="s">
        <v>3647</v>
      </c>
      <c r="C34" s="87" t="s">
        <v>3649</v>
      </c>
      <c r="D34" s="87" t="s">
        <v>5478</v>
      </c>
      <c r="E34" s="87" t="s">
        <v>5098</v>
      </c>
      <c r="F34" s="36">
        <v>999.0</v>
      </c>
      <c r="G34" s="36">
        <v>899.0</v>
      </c>
      <c r="H34" s="7" t="s">
        <v>5073</v>
      </c>
      <c r="I34" s="49"/>
    </row>
    <row r="35">
      <c r="A35" s="87" t="s">
        <v>3676</v>
      </c>
      <c r="B35" s="87" t="s">
        <v>3678</v>
      </c>
      <c r="C35" s="87" t="s">
        <v>3679</v>
      </c>
      <c r="D35" s="87" t="s">
        <v>5479</v>
      </c>
      <c r="E35" s="87" t="s">
        <v>5127</v>
      </c>
      <c r="F35" s="36">
        <v>999.0</v>
      </c>
      <c r="G35" s="36">
        <v>899.0</v>
      </c>
      <c r="H35" s="7" t="s">
        <v>5073</v>
      </c>
      <c r="I35" s="49"/>
    </row>
    <row r="36">
      <c r="A36" s="87" t="s">
        <v>3681</v>
      </c>
      <c r="B36" s="87" t="s">
        <v>3683</v>
      </c>
      <c r="C36" s="87" t="s">
        <v>3684</v>
      </c>
      <c r="D36" s="87" t="s">
        <v>5480</v>
      </c>
      <c r="E36" s="87" t="s">
        <v>5127</v>
      </c>
      <c r="F36" s="36">
        <v>999.0</v>
      </c>
      <c r="G36" s="36">
        <v>899.0</v>
      </c>
      <c r="H36" s="7" t="s">
        <v>5073</v>
      </c>
      <c r="I36" s="49"/>
    </row>
    <row r="37">
      <c r="A37" s="87" t="s">
        <v>3686</v>
      </c>
      <c r="B37" s="87" t="s">
        <v>3688</v>
      </c>
      <c r="C37" s="87" t="s">
        <v>3689</v>
      </c>
      <c r="D37" s="87" t="s">
        <v>5481</v>
      </c>
      <c r="E37" s="87" t="s">
        <v>5127</v>
      </c>
      <c r="F37" s="36">
        <v>999.0</v>
      </c>
      <c r="G37" s="36">
        <v>899.0</v>
      </c>
      <c r="H37" s="7" t="s">
        <v>5073</v>
      </c>
      <c r="I37" s="49"/>
    </row>
    <row r="38">
      <c r="A38" s="87" t="s">
        <v>3691</v>
      </c>
      <c r="B38" s="87" t="s">
        <v>3693</v>
      </c>
      <c r="C38" s="87" t="s">
        <v>3694</v>
      </c>
      <c r="D38" s="87" t="s">
        <v>5482</v>
      </c>
      <c r="E38" s="87" t="s">
        <v>5127</v>
      </c>
      <c r="F38" s="36">
        <v>999.0</v>
      </c>
      <c r="G38" s="36">
        <v>899.0</v>
      </c>
      <c r="H38" s="7" t="s">
        <v>5447</v>
      </c>
      <c r="I38" s="49"/>
    </row>
    <row r="39">
      <c r="A39" s="87" t="s">
        <v>3731</v>
      </c>
      <c r="B39" s="87" t="s">
        <v>3733</v>
      </c>
      <c r="C39" s="87" t="s">
        <v>3734</v>
      </c>
      <c r="D39" s="87" t="s">
        <v>5483</v>
      </c>
      <c r="E39" s="87" t="s">
        <v>5155</v>
      </c>
      <c r="F39" s="36">
        <v>649.0</v>
      </c>
      <c r="G39" s="36">
        <v>584.0</v>
      </c>
      <c r="H39" s="7" t="s">
        <v>1161</v>
      </c>
      <c r="I39" s="49"/>
    </row>
    <row r="40">
      <c r="A40" s="87" t="s">
        <v>4900</v>
      </c>
      <c r="B40" s="87" t="s">
        <v>5261</v>
      </c>
      <c r="C40" s="87" t="s">
        <v>4903</v>
      </c>
      <c r="D40" s="87" t="s">
        <v>5484</v>
      </c>
      <c r="E40" s="87" t="s">
        <v>5107</v>
      </c>
      <c r="F40" s="36">
        <v>1989.0</v>
      </c>
      <c r="G40" s="36">
        <v>1790.0</v>
      </c>
      <c r="H40" s="7" t="s">
        <v>5073</v>
      </c>
      <c r="I40" s="49"/>
    </row>
    <row r="41">
      <c r="A41" s="87" t="s">
        <v>4819</v>
      </c>
      <c r="B41" s="36">
        <v>0.0</v>
      </c>
      <c r="C41" s="28" t="s">
        <v>5147</v>
      </c>
      <c r="D41" s="49"/>
      <c r="E41" s="87" t="s">
        <v>5485</v>
      </c>
      <c r="F41" s="36">
        <v>0.0</v>
      </c>
      <c r="G41" s="36">
        <v>0.0</v>
      </c>
      <c r="H41" s="87" t="s">
        <v>5486</v>
      </c>
      <c r="I41" s="49"/>
    </row>
    <row r="42">
      <c r="A42" s="87" t="s">
        <v>2415</v>
      </c>
      <c r="B42" s="87" t="s">
        <v>2416</v>
      </c>
      <c r="C42" s="28" t="s">
        <v>2417</v>
      </c>
      <c r="D42" s="28" t="s">
        <v>5487</v>
      </c>
      <c r="E42" s="87" t="s">
        <v>5488</v>
      </c>
      <c r="F42" s="36">
        <v>2599.0</v>
      </c>
      <c r="G42" s="36">
        <v>2079.0</v>
      </c>
      <c r="H42" s="28" t="s">
        <v>5090</v>
      </c>
      <c r="I42" s="49"/>
    </row>
    <row r="43">
      <c r="A43" s="87" t="s">
        <v>2138</v>
      </c>
      <c r="B43" s="87" t="s">
        <v>2140</v>
      </c>
      <c r="C43" s="87" t="s">
        <v>2141</v>
      </c>
      <c r="D43" s="87" t="s">
        <v>5489</v>
      </c>
      <c r="E43" s="87" t="s">
        <v>5103</v>
      </c>
      <c r="F43" s="36">
        <v>4499.0</v>
      </c>
      <c r="G43" s="36">
        <v>3149.0</v>
      </c>
      <c r="H43" s="87" t="s">
        <v>5073</v>
      </c>
      <c r="I43" s="49"/>
    </row>
    <row r="44">
      <c r="A44" s="87" t="s">
        <v>2418</v>
      </c>
      <c r="B44" s="87" t="s">
        <v>2420</v>
      </c>
      <c r="C44" s="28" t="s">
        <v>2422</v>
      </c>
      <c r="D44" s="28" t="s">
        <v>5490</v>
      </c>
      <c r="E44" s="87" t="s">
        <v>5074</v>
      </c>
      <c r="F44" s="36">
        <v>5956.0</v>
      </c>
      <c r="G44" s="36">
        <v>4765.0</v>
      </c>
      <c r="H44" s="87" t="s">
        <v>5486</v>
      </c>
      <c r="I44" s="49"/>
    </row>
    <row r="45">
      <c r="A45" s="87" t="s">
        <v>2147</v>
      </c>
      <c r="B45" s="87" t="s">
        <v>2149</v>
      </c>
      <c r="C45" s="87" t="s">
        <v>2150</v>
      </c>
      <c r="D45" s="87" t="s">
        <v>5491</v>
      </c>
      <c r="E45" s="87" t="s">
        <v>5492</v>
      </c>
      <c r="F45" s="36">
        <v>5499.0</v>
      </c>
      <c r="G45" s="36">
        <v>3849.0</v>
      </c>
      <c r="H45" s="87" t="s">
        <v>5073</v>
      </c>
      <c r="I45" s="49"/>
    </row>
    <row r="46">
      <c r="A46" s="87" t="s">
        <v>2152</v>
      </c>
      <c r="B46" s="87" t="s">
        <v>2154</v>
      </c>
      <c r="C46" s="87" t="s">
        <v>2155</v>
      </c>
      <c r="D46" s="87" t="s">
        <v>5493</v>
      </c>
      <c r="E46" s="87" t="s">
        <v>5494</v>
      </c>
      <c r="F46" s="36">
        <v>6499.0</v>
      </c>
      <c r="G46" s="36">
        <v>4549.0</v>
      </c>
      <c r="H46" s="87" t="s">
        <v>5073</v>
      </c>
      <c r="I46" s="49"/>
    </row>
    <row r="47">
      <c r="A47" s="87" t="s">
        <v>2157</v>
      </c>
      <c r="B47" s="87" t="s">
        <v>2159</v>
      </c>
      <c r="C47" s="87" t="s">
        <v>2160</v>
      </c>
      <c r="D47" s="87" t="s">
        <v>5495</v>
      </c>
      <c r="E47" s="87" t="s">
        <v>5492</v>
      </c>
      <c r="F47" s="36">
        <v>6499.0</v>
      </c>
      <c r="G47" s="36">
        <v>4549.0</v>
      </c>
      <c r="H47" s="87" t="s">
        <v>5073</v>
      </c>
      <c r="I47" s="49"/>
    </row>
    <row r="48">
      <c r="A48" s="87" t="s">
        <v>2162</v>
      </c>
      <c r="B48" s="87" t="s">
        <v>2164</v>
      </c>
      <c r="C48" s="87" t="s">
        <v>2165</v>
      </c>
      <c r="D48" s="87" t="s">
        <v>5496</v>
      </c>
      <c r="E48" s="87" t="s">
        <v>5103</v>
      </c>
      <c r="F48" s="36">
        <v>6499.0</v>
      </c>
      <c r="G48" s="36">
        <v>4549.0</v>
      </c>
      <c r="H48" s="87" t="s">
        <v>5073</v>
      </c>
      <c r="I48" s="49"/>
    </row>
    <row r="49">
      <c r="A49" s="87" t="s">
        <v>2167</v>
      </c>
      <c r="B49" s="87" t="s">
        <v>2169</v>
      </c>
      <c r="C49" s="87" t="s">
        <v>2170</v>
      </c>
      <c r="D49" s="87" t="s">
        <v>5497</v>
      </c>
      <c r="E49" s="87" t="s">
        <v>5103</v>
      </c>
      <c r="F49" s="36">
        <v>7499.0</v>
      </c>
      <c r="G49" s="36">
        <v>5249.0</v>
      </c>
      <c r="H49" s="87" t="s">
        <v>5073</v>
      </c>
      <c r="I49" s="49"/>
    </row>
    <row r="50">
      <c r="A50" s="87" t="s">
        <v>2172</v>
      </c>
      <c r="B50" s="87" t="s">
        <v>2174</v>
      </c>
      <c r="C50" s="87" t="s">
        <v>2175</v>
      </c>
      <c r="D50" s="87" t="s">
        <v>5498</v>
      </c>
      <c r="E50" s="87" t="s">
        <v>5103</v>
      </c>
      <c r="F50" s="36">
        <v>7499.0</v>
      </c>
      <c r="G50" s="36">
        <v>5249.0</v>
      </c>
      <c r="H50" s="87" t="s">
        <v>5073</v>
      </c>
      <c r="I50" s="49"/>
    </row>
    <row r="51">
      <c r="A51" s="87" t="s">
        <v>2177</v>
      </c>
      <c r="B51" s="87" t="s">
        <v>2179</v>
      </c>
      <c r="C51" s="87" t="s">
        <v>2180</v>
      </c>
      <c r="D51" s="87" t="s">
        <v>5499</v>
      </c>
      <c r="E51" s="87" t="s">
        <v>5103</v>
      </c>
      <c r="F51" s="36">
        <v>7499.0</v>
      </c>
      <c r="G51" s="36">
        <v>7499.0</v>
      </c>
      <c r="H51" s="87" t="s">
        <v>5073</v>
      </c>
      <c r="I51" s="49"/>
    </row>
    <row r="52">
      <c r="A52" s="87" t="s">
        <v>4822</v>
      </c>
      <c r="B52" s="87" t="s">
        <v>4824</v>
      </c>
      <c r="C52" s="28" t="s">
        <v>4825</v>
      </c>
      <c r="D52" s="49"/>
      <c r="E52" s="87" t="s">
        <v>5500</v>
      </c>
      <c r="F52" s="36">
        <v>10999.0</v>
      </c>
      <c r="G52" s="36">
        <v>7699.0</v>
      </c>
      <c r="H52" s="87" t="s">
        <v>5486</v>
      </c>
      <c r="I52" s="49"/>
    </row>
    <row r="53">
      <c r="A53" s="87" t="s">
        <v>4816</v>
      </c>
      <c r="B53" s="36">
        <v>0.0</v>
      </c>
      <c r="C53" s="87" t="s">
        <v>5148</v>
      </c>
      <c r="D53" s="49"/>
      <c r="E53" s="87" t="s">
        <v>5083</v>
      </c>
      <c r="F53" s="36">
        <v>0.0</v>
      </c>
      <c r="G53" s="36">
        <v>0.0</v>
      </c>
      <c r="H53" s="87" t="s">
        <v>5486</v>
      </c>
      <c r="I53" s="49"/>
    </row>
    <row r="54">
      <c r="A54" s="87" t="s">
        <v>4906</v>
      </c>
      <c r="B54" s="87" t="s">
        <v>5262</v>
      </c>
      <c r="C54" s="87" t="s">
        <v>4909</v>
      </c>
      <c r="D54" s="49"/>
      <c r="E54" s="87" t="s">
        <v>5088</v>
      </c>
      <c r="F54" s="36">
        <v>2789.0</v>
      </c>
      <c r="G54" s="36">
        <v>2091.0</v>
      </c>
      <c r="H54" s="87" t="s">
        <v>5486</v>
      </c>
      <c r="I54" s="49"/>
    </row>
    <row r="55">
      <c r="A55" s="87" t="s">
        <v>2722</v>
      </c>
      <c r="B55" s="87" t="s">
        <v>2725</v>
      </c>
      <c r="C55" s="28" t="s">
        <v>2726</v>
      </c>
      <c r="D55" s="88" t="s">
        <v>5501</v>
      </c>
      <c r="E55" s="87" t="s">
        <v>5107</v>
      </c>
      <c r="F55" s="36">
        <v>1989.0</v>
      </c>
      <c r="G55" s="36">
        <v>1790.0</v>
      </c>
      <c r="H55" s="87" t="s">
        <v>5486</v>
      </c>
      <c r="I55" s="49"/>
    </row>
    <row r="56">
      <c r="A56" s="87" t="s">
        <v>2792</v>
      </c>
      <c r="B56" s="87" t="s">
        <v>2794</v>
      </c>
      <c r="C56" s="87" t="s">
        <v>2795</v>
      </c>
      <c r="D56" s="88" t="s">
        <v>5502</v>
      </c>
      <c r="E56" s="87" t="s">
        <v>5107</v>
      </c>
      <c r="F56" s="36">
        <v>2189.0</v>
      </c>
      <c r="G56" s="36">
        <v>1970.0</v>
      </c>
      <c r="H56" s="87" t="s">
        <v>5486</v>
      </c>
      <c r="I56" s="49"/>
    </row>
    <row r="57">
      <c r="A57" s="87" t="s">
        <v>2884</v>
      </c>
      <c r="B57" s="87" t="s">
        <v>2886</v>
      </c>
      <c r="C57" s="28" t="s">
        <v>2887</v>
      </c>
      <c r="D57" s="88" t="s">
        <v>5503</v>
      </c>
      <c r="E57" s="87" t="s">
        <v>5107</v>
      </c>
      <c r="F57" s="36">
        <v>2189.0</v>
      </c>
      <c r="G57" s="36">
        <v>1970.0</v>
      </c>
      <c r="H57" s="87" t="s">
        <v>5486</v>
      </c>
      <c r="I57" s="49"/>
    </row>
    <row r="58">
      <c r="A58" s="87" t="s">
        <v>4892</v>
      </c>
      <c r="B58" s="87" t="s">
        <v>5263</v>
      </c>
      <c r="C58" s="87" t="s">
        <v>4895</v>
      </c>
      <c r="D58" s="88" t="s">
        <v>5504</v>
      </c>
      <c r="E58" s="87" t="s">
        <v>5107</v>
      </c>
      <c r="F58" s="36">
        <v>2189.0</v>
      </c>
      <c r="G58" s="36">
        <v>1970.0</v>
      </c>
      <c r="H58" s="87" t="s">
        <v>5486</v>
      </c>
      <c r="I58" s="49"/>
    </row>
    <row r="59">
      <c r="A59" s="87" t="s">
        <v>4896</v>
      </c>
      <c r="B59" s="87" t="s">
        <v>5264</v>
      </c>
      <c r="C59" s="87" t="s">
        <v>4899</v>
      </c>
      <c r="D59" s="88" t="s">
        <v>5505</v>
      </c>
      <c r="E59" s="87" t="s">
        <v>5107</v>
      </c>
      <c r="F59" s="36">
        <v>1989.0</v>
      </c>
      <c r="G59" s="36">
        <v>1790.0</v>
      </c>
      <c r="H59" s="87" t="s">
        <v>5486</v>
      </c>
      <c r="I59" s="49"/>
    </row>
    <row r="60">
      <c r="A60" s="87" t="s">
        <v>3449</v>
      </c>
      <c r="B60" s="87" t="s">
        <v>3452</v>
      </c>
      <c r="C60" s="87" t="s">
        <v>3453</v>
      </c>
      <c r="D60" s="89"/>
      <c r="E60" s="87" t="s">
        <v>5078</v>
      </c>
      <c r="F60" s="36">
        <v>549.0</v>
      </c>
      <c r="G60" s="36">
        <v>494.0</v>
      </c>
      <c r="H60" s="87" t="s">
        <v>5486</v>
      </c>
      <c r="I60" s="49"/>
    </row>
    <row r="61">
      <c r="A61" s="87" t="s">
        <v>3472</v>
      </c>
      <c r="B61" s="87" t="s">
        <v>3475</v>
      </c>
      <c r="C61" s="87" t="s">
        <v>3476</v>
      </c>
      <c r="D61" s="89"/>
      <c r="E61" s="87" t="s">
        <v>5078</v>
      </c>
      <c r="F61" s="36">
        <v>499.0</v>
      </c>
      <c r="G61" s="36">
        <v>449.0</v>
      </c>
      <c r="H61" s="87" t="s">
        <v>5486</v>
      </c>
      <c r="I61" s="49"/>
    </row>
    <row r="62">
      <c r="A62" s="87" t="s">
        <v>4841</v>
      </c>
      <c r="B62" s="87" t="s">
        <v>4843</v>
      </c>
      <c r="C62" s="87" t="s">
        <v>5153</v>
      </c>
      <c r="D62" s="89"/>
      <c r="E62" s="87" t="s">
        <v>4693</v>
      </c>
      <c r="F62" s="36">
        <v>3899.0</v>
      </c>
      <c r="G62" s="36">
        <v>3119.0</v>
      </c>
      <c r="H62" s="87" t="s">
        <v>5486</v>
      </c>
      <c r="I62" s="49"/>
    </row>
    <row r="63">
      <c r="A63" s="87" t="s">
        <v>4831</v>
      </c>
      <c r="B63" s="87" t="s">
        <v>4833</v>
      </c>
      <c r="C63" s="87" t="s">
        <v>4834</v>
      </c>
      <c r="D63" s="89"/>
      <c r="E63" s="87" t="s">
        <v>5082</v>
      </c>
      <c r="F63" s="36">
        <v>4999.0</v>
      </c>
      <c r="G63" s="36">
        <v>3749.0</v>
      </c>
      <c r="H63" s="87" t="s">
        <v>5486</v>
      </c>
      <c r="I63" s="49"/>
    </row>
    <row r="64">
      <c r="A64" s="87" t="s">
        <v>2975</v>
      </c>
      <c r="B64" s="87" t="s">
        <v>4858</v>
      </c>
      <c r="C64" s="87" t="s">
        <v>2976</v>
      </c>
      <c r="D64" s="88" t="s">
        <v>5506</v>
      </c>
      <c r="E64" s="87" t="s">
        <v>5131</v>
      </c>
      <c r="F64" s="36">
        <v>0.0</v>
      </c>
      <c r="G64" s="36">
        <v>0.0</v>
      </c>
      <c r="H64" s="87" t="s">
        <v>5486</v>
      </c>
      <c r="I64" s="49"/>
    </row>
    <row r="65">
      <c r="A65" s="87" t="s">
        <v>2462</v>
      </c>
      <c r="B65" s="87" t="s">
        <v>2464</v>
      </c>
      <c r="C65" s="87" t="s">
        <v>2465</v>
      </c>
      <c r="D65" s="87" t="s">
        <v>5507</v>
      </c>
      <c r="E65" s="87" t="s">
        <v>5083</v>
      </c>
      <c r="F65" s="36">
        <v>3489.0</v>
      </c>
      <c r="G65" s="36">
        <v>3489.0</v>
      </c>
      <c r="H65" s="87" t="s">
        <v>5073</v>
      </c>
      <c r="I65" s="49"/>
    </row>
    <row r="66">
      <c r="A66" s="87" t="s">
        <v>3000</v>
      </c>
      <c r="B66" s="87" t="s">
        <v>4861</v>
      </c>
      <c r="C66" s="87" t="s">
        <v>3001</v>
      </c>
      <c r="D66" s="49"/>
      <c r="E66" s="87" t="s">
        <v>5131</v>
      </c>
      <c r="F66" s="36">
        <v>0.0</v>
      </c>
      <c r="G66" s="36">
        <v>0.0</v>
      </c>
      <c r="H66" s="87" t="s">
        <v>5486</v>
      </c>
      <c r="I66" s="49"/>
    </row>
    <row r="67">
      <c r="A67" s="87" t="s">
        <v>4836</v>
      </c>
      <c r="B67" s="87" t="s">
        <v>4838</v>
      </c>
      <c r="C67" s="87" t="s">
        <v>4839</v>
      </c>
      <c r="D67" s="49"/>
      <c r="E67" s="87" t="s">
        <v>5091</v>
      </c>
      <c r="F67" s="36">
        <v>5599.0</v>
      </c>
      <c r="G67" s="36">
        <v>4479.0</v>
      </c>
      <c r="H67" s="87" t="s">
        <v>5486</v>
      </c>
      <c r="I67" s="49"/>
    </row>
    <row r="68">
      <c r="A68" s="87" t="s">
        <v>2797</v>
      </c>
      <c r="B68" s="87" t="s">
        <v>2799</v>
      </c>
      <c r="C68" s="28" t="s">
        <v>2800</v>
      </c>
      <c r="D68" s="28" t="s">
        <v>5508</v>
      </c>
      <c r="E68" s="87" t="s">
        <v>5107</v>
      </c>
      <c r="F68" s="36">
        <v>2489.0</v>
      </c>
      <c r="G68" s="36">
        <v>2489.0</v>
      </c>
      <c r="H68" s="28" t="s">
        <v>5509</v>
      </c>
      <c r="I68" s="49"/>
    </row>
    <row r="69">
      <c r="A69" s="87" t="s">
        <v>2817</v>
      </c>
      <c r="B69" s="87" t="s">
        <v>2819</v>
      </c>
      <c r="C69" s="28" t="s">
        <v>2820</v>
      </c>
      <c r="D69" s="28" t="s">
        <v>5510</v>
      </c>
      <c r="E69" s="87" t="s">
        <v>5107</v>
      </c>
      <c r="F69" s="36">
        <v>2489.0</v>
      </c>
      <c r="G69" s="36">
        <v>2489.0</v>
      </c>
      <c r="H69" s="28" t="s">
        <v>5509</v>
      </c>
      <c r="I69" s="49"/>
    </row>
    <row r="70">
      <c r="A70" s="87" t="s">
        <v>2835</v>
      </c>
      <c r="B70" s="87" t="s">
        <v>2837</v>
      </c>
      <c r="C70" s="28" t="s">
        <v>2800</v>
      </c>
      <c r="D70" s="28" t="s">
        <v>5508</v>
      </c>
      <c r="E70" s="87" t="s">
        <v>5107</v>
      </c>
      <c r="F70" s="36">
        <v>1589.0</v>
      </c>
      <c r="G70" s="36">
        <v>1589.0</v>
      </c>
      <c r="H70" s="28" t="s">
        <v>5509</v>
      </c>
      <c r="I70" s="49"/>
    </row>
    <row r="71">
      <c r="A71" s="87" t="s">
        <v>2839</v>
      </c>
      <c r="B71" s="87" t="s">
        <v>2841</v>
      </c>
      <c r="C71" s="28" t="s">
        <v>2842</v>
      </c>
      <c r="D71" s="28" t="s">
        <v>5511</v>
      </c>
      <c r="E71" s="87" t="s">
        <v>5107</v>
      </c>
      <c r="F71" s="36">
        <v>1589.0</v>
      </c>
      <c r="G71" s="36">
        <v>1589.0</v>
      </c>
      <c r="H71" s="28" t="s">
        <v>5509</v>
      </c>
      <c r="I71" s="49"/>
    </row>
    <row r="72">
      <c r="A72" s="87" t="s">
        <v>2844</v>
      </c>
      <c r="B72" s="87" t="s">
        <v>2846</v>
      </c>
      <c r="C72" s="28" t="s">
        <v>2847</v>
      </c>
      <c r="D72" s="28" t="s">
        <v>5512</v>
      </c>
      <c r="E72" s="87" t="s">
        <v>5107</v>
      </c>
      <c r="F72" s="36">
        <v>1589.0</v>
      </c>
      <c r="G72" s="36">
        <v>1589.0</v>
      </c>
      <c r="H72" s="28" t="s">
        <v>5509</v>
      </c>
      <c r="I72" s="49"/>
    </row>
    <row r="73">
      <c r="A73" s="87" t="s">
        <v>2849</v>
      </c>
      <c r="B73" s="87" t="s">
        <v>2851</v>
      </c>
      <c r="C73" s="28" t="s">
        <v>2852</v>
      </c>
      <c r="D73" s="28" t="s">
        <v>5513</v>
      </c>
      <c r="E73" s="87" t="s">
        <v>5107</v>
      </c>
      <c r="F73" s="36">
        <v>2489.0</v>
      </c>
      <c r="G73" s="36">
        <v>2489.0</v>
      </c>
      <c r="H73" s="28" t="s">
        <v>5509</v>
      </c>
      <c r="I73" s="49"/>
    </row>
    <row r="74">
      <c r="A74" s="87" t="s">
        <v>2854</v>
      </c>
      <c r="B74" s="87" t="s">
        <v>2856</v>
      </c>
      <c r="C74" s="28" t="s">
        <v>2857</v>
      </c>
      <c r="D74" s="28" t="s">
        <v>5514</v>
      </c>
      <c r="E74" s="87" t="s">
        <v>5107</v>
      </c>
      <c r="F74" s="36">
        <v>1989.0</v>
      </c>
      <c r="G74" s="36">
        <v>1989.0</v>
      </c>
      <c r="H74" s="28" t="s">
        <v>5509</v>
      </c>
      <c r="I74" s="49"/>
    </row>
    <row r="75">
      <c r="A75" s="87" t="s">
        <v>2859</v>
      </c>
      <c r="B75" s="87" t="s">
        <v>2861</v>
      </c>
      <c r="C75" s="28" t="s">
        <v>2862</v>
      </c>
      <c r="D75" s="28" t="s">
        <v>5515</v>
      </c>
      <c r="E75" s="87" t="s">
        <v>5107</v>
      </c>
      <c r="F75" s="36">
        <v>1989.0</v>
      </c>
      <c r="G75" s="36">
        <v>1989.0</v>
      </c>
      <c r="H75" s="28" t="s">
        <v>5509</v>
      </c>
      <c r="I75" s="49"/>
    </row>
    <row r="76">
      <c r="A76" s="87" t="s">
        <v>2864</v>
      </c>
      <c r="B76" s="87" t="s">
        <v>2866</v>
      </c>
      <c r="C76" s="28" t="s">
        <v>2867</v>
      </c>
      <c r="D76" s="28" t="s">
        <v>5516</v>
      </c>
      <c r="E76" s="87" t="s">
        <v>5107</v>
      </c>
      <c r="F76" s="36">
        <v>1989.0</v>
      </c>
      <c r="G76" s="36">
        <v>1989.0</v>
      </c>
      <c r="H76" s="28" t="s">
        <v>5509</v>
      </c>
      <c r="I76" s="49"/>
    </row>
    <row r="77">
      <c r="A77" s="87" t="s">
        <v>2869</v>
      </c>
      <c r="B77" s="87" t="s">
        <v>2871</v>
      </c>
      <c r="C77" s="28" t="s">
        <v>2872</v>
      </c>
      <c r="D77" s="28" t="s">
        <v>5517</v>
      </c>
      <c r="E77" s="87" t="s">
        <v>5107</v>
      </c>
      <c r="F77" s="36">
        <v>2289.0</v>
      </c>
      <c r="G77" s="36">
        <v>2289.0</v>
      </c>
      <c r="H77" s="28" t="s">
        <v>5509</v>
      </c>
      <c r="I77" s="49"/>
    </row>
    <row r="78">
      <c r="A78" s="87" t="s">
        <v>2874</v>
      </c>
      <c r="B78" s="87" t="s">
        <v>2876</v>
      </c>
      <c r="C78" s="28" t="s">
        <v>2877</v>
      </c>
      <c r="D78" s="28" t="s">
        <v>5518</v>
      </c>
      <c r="E78" s="87" t="s">
        <v>5107</v>
      </c>
      <c r="F78" s="36">
        <v>2289.0</v>
      </c>
      <c r="G78" s="36">
        <v>2289.0</v>
      </c>
      <c r="H78" s="28" t="s">
        <v>5509</v>
      </c>
      <c r="I78" s="49"/>
    </row>
    <row r="79">
      <c r="A79" s="87" t="s">
        <v>2879</v>
      </c>
      <c r="B79" s="87" t="s">
        <v>2881</v>
      </c>
      <c r="C79" s="28" t="s">
        <v>2882</v>
      </c>
      <c r="D79" s="28" t="s">
        <v>5519</v>
      </c>
      <c r="E79" s="87" t="s">
        <v>5107</v>
      </c>
      <c r="F79" s="36">
        <v>2289.0</v>
      </c>
      <c r="G79" s="36">
        <v>2289.0</v>
      </c>
      <c r="H79" s="28" t="s">
        <v>5509</v>
      </c>
      <c r="I79" s="49"/>
    </row>
    <row r="80">
      <c r="A80" s="87" t="s">
        <v>4910</v>
      </c>
      <c r="B80" s="87" t="s">
        <v>5284</v>
      </c>
      <c r="C80" s="87" t="s">
        <v>4913</v>
      </c>
      <c r="D80" s="49"/>
      <c r="E80" s="87" t="s">
        <v>5520</v>
      </c>
      <c r="F80" s="36">
        <v>6999.0</v>
      </c>
      <c r="G80" s="36">
        <v>5599.0</v>
      </c>
      <c r="H80" s="87" t="s">
        <v>5486</v>
      </c>
      <c r="I80" s="28" t="s">
        <v>2435</v>
      </c>
    </row>
    <row r="81">
      <c r="A81" s="87" t="s">
        <v>4914</v>
      </c>
      <c r="B81" s="87" t="s">
        <v>5253</v>
      </c>
      <c r="C81" s="28" t="s">
        <v>2428</v>
      </c>
      <c r="D81" s="28" t="s">
        <v>5521</v>
      </c>
      <c r="E81" s="87" t="s">
        <v>5081</v>
      </c>
      <c r="F81" s="36">
        <v>2499.0</v>
      </c>
      <c r="G81" s="36">
        <v>2499.0</v>
      </c>
      <c r="H81" s="87" t="s">
        <v>5486</v>
      </c>
      <c r="I81" s="49"/>
    </row>
    <row r="82">
      <c r="A82" s="87" t="s">
        <v>4827</v>
      </c>
      <c r="B82" s="87" t="s">
        <v>4829</v>
      </c>
      <c r="C82" s="28" t="s">
        <v>5196</v>
      </c>
      <c r="D82" s="49"/>
      <c r="E82" s="87" t="s">
        <v>5522</v>
      </c>
      <c r="F82" s="36">
        <v>3899.0</v>
      </c>
      <c r="G82" s="36">
        <v>2729.0</v>
      </c>
      <c r="H82" s="87" t="s">
        <v>5486</v>
      </c>
      <c r="I82" s="28" t="s">
        <v>2388</v>
      </c>
    </row>
    <row r="83">
      <c r="A83" s="87" t="s">
        <v>1121</v>
      </c>
      <c r="B83" s="87" t="s">
        <v>1123</v>
      </c>
      <c r="C83" s="28" t="s">
        <v>1124</v>
      </c>
      <c r="D83" s="49"/>
      <c r="E83" s="87" t="s">
        <v>1144</v>
      </c>
      <c r="F83" s="36">
        <v>4599.0</v>
      </c>
      <c r="G83" s="36">
        <v>4599.0</v>
      </c>
      <c r="H83" s="87" t="s">
        <v>5486</v>
      </c>
      <c r="I83" s="28" t="s">
        <v>5523</v>
      </c>
    </row>
    <row r="84">
      <c r="A84" s="87" t="s">
        <v>1127</v>
      </c>
      <c r="B84" s="87" t="s">
        <v>1129</v>
      </c>
      <c r="C84" s="28" t="s">
        <v>1130</v>
      </c>
      <c r="D84" s="49"/>
      <c r="E84" s="87" t="s">
        <v>1144</v>
      </c>
      <c r="F84" s="36">
        <v>8299.0</v>
      </c>
      <c r="G84" s="36">
        <v>8299.0</v>
      </c>
      <c r="H84" s="87" t="s">
        <v>5486</v>
      </c>
      <c r="I84" s="28" t="s">
        <v>5523</v>
      </c>
    </row>
    <row r="85">
      <c r="A85" s="87" t="s">
        <v>3741</v>
      </c>
      <c r="B85" s="87" t="s">
        <v>3743</v>
      </c>
      <c r="C85" s="87" t="s">
        <v>3744</v>
      </c>
      <c r="D85" s="49"/>
      <c r="E85" s="87" t="s">
        <v>5155</v>
      </c>
      <c r="F85" s="36">
        <v>499.0</v>
      </c>
      <c r="G85" s="36">
        <v>449.0</v>
      </c>
      <c r="H85" s="87" t="s">
        <v>1161</v>
      </c>
      <c r="I85" s="49"/>
    </row>
    <row r="86">
      <c r="A86" s="87" t="s">
        <v>3746</v>
      </c>
      <c r="B86" s="87" t="s">
        <v>3748</v>
      </c>
      <c r="C86" s="87" t="s">
        <v>3749</v>
      </c>
      <c r="D86" s="49"/>
      <c r="E86" s="87" t="s">
        <v>5155</v>
      </c>
      <c r="F86" s="36">
        <v>499.0</v>
      </c>
      <c r="G86" s="36">
        <v>424.0</v>
      </c>
      <c r="H86" s="87" t="s">
        <v>1161</v>
      </c>
      <c r="I86" s="49"/>
    </row>
    <row r="87">
      <c r="A87" s="87" t="s">
        <v>3751</v>
      </c>
      <c r="B87" s="87" t="s">
        <v>3753</v>
      </c>
      <c r="C87" s="87" t="s">
        <v>3754</v>
      </c>
      <c r="D87" s="49"/>
      <c r="E87" s="87" t="s">
        <v>5155</v>
      </c>
      <c r="F87" s="36">
        <v>499.0</v>
      </c>
      <c r="G87" s="36">
        <v>424.0</v>
      </c>
      <c r="H87" s="87" t="s">
        <v>1161</v>
      </c>
      <c r="I87" s="49"/>
    </row>
    <row r="88">
      <c r="A88" s="87" t="s">
        <v>3756</v>
      </c>
      <c r="B88" s="87" t="s">
        <v>3758</v>
      </c>
      <c r="C88" s="87" t="s">
        <v>3759</v>
      </c>
      <c r="D88" s="49"/>
      <c r="E88" s="87" t="s">
        <v>5155</v>
      </c>
      <c r="F88" s="36">
        <v>499.0</v>
      </c>
      <c r="G88" s="36">
        <v>449.0</v>
      </c>
      <c r="H88" s="87" t="s">
        <v>1161</v>
      </c>
      <c r="I88" s="49"/>
    </row>
    <row r="89">
      <c r="A89" s="87" t="s">
        <v>4812</v>
      </c>
      <c r="B89" s="36">
        <v>0.0</v>
      </c>
      <c r="C89" s="87" t="s">
        <v>4814</v>
      </c>
      <c r="D89" s="49"/>
      <c r="E89" s="87" t="s">
        <v>1144</v>
      </c>
      <c r="F89" s="36">
        <v>0.0</v>
      </c>
      <c r="G89" s="36">
        <v>0.0</v>
      </c>
      <c r="H89" s="87" t="s">
        <v>5486</v>
      </c>
      <c r="I89" s="28" t="s">
        <v>1091</v>
      </c>
    </row>
    <row r="90">
      <c r="A90" s="87" t="s">
        <v>4917</v>
      </c>
      <c r="B90" s="87" t="s">
        <v>5285</v>
      </c>
      <c r="C90" s="28" t="s">
        <v>5195</v>
      </c>
      <c r="D90" s="49"/>
      <c r="E90" s="87" t="s">
        <v>1144</v>
      </c>
      <c r="F90" s="36">
        <v>2999.0</v>
      </c>
      <c r="G90" s="36">
        <v>2249.0</v>
      </c>
      <c r="H90" s="87" t="s">
        <v>5486</v>
      </c>
      <c r="I90" s="28" t="s">
        <v>1091</v>
      </c>
    </row>
    <row r="91">
      <c r="A91" s="87" t="s">
        <v>2143</v>
      </c>
      <c r="B91" s="87" t="s">
        <v>2145</v>
      </c>
      <c r="C91" s="28" t="s">
        <v>5111</v>
      </c>
      <c r="D91" s="49"/>
      <c r="E91" s="87" t="s">
        <v>5103</v>
      </c>
      <c r="F91" s="36">
        <v>0.0</v>
      </c>
      <c r="G91" s="36">
        <v>0.0</v>
      </c>
      <c r="H91" s="87" t="s">
        <v>5486</v>
      </c>
      <c r="I91" s="28" t="s">
        <v>5524</v>
      </c>
    </row>
    <row r="92">
      <c r="A92" s="87" t="s">
        <v>4687</v>
      </c>
      <c r="B92" s="87" t="s">
        <v>4689</v>
      </c>
      <c r="C92" s="28" t="s">
        <v>4690</v>
      </c>
      <c r="D92" s="28" t="s">
        <v>5525</v>
      </c>
      <c r="E92" s="87" t="s">
        <v>5526</v>
      </c>
      <c r="F92" s="36">
        <v>0.0</v>
      </c>
      <c r="G92" s="36">
        <v>0.0</v>
      </c>
      <c r="H92" s="28" t="s">
        <v>5509</v>
      </c>
      <c r="I92" s="49"/>
    </row>
    <row r="93">
      <c r="A93" s="87" t="s">
        <v>336</v>
      </c>
      <c r="B93" s="87" t="s">
        <v>4751</v>
      </c>
      <c r="C93" s="87" t="s">
        <v>339</v>
      </c>
      <c r="D93" s="87" t="s">
        <v>5527</v>
      </c>
      <c r="E93" s="87" t="s">
        <v>51</v>
      </c>
      <c r="F93" s="36">
        <v>0.0</v>
      </c>
      <c r="G93" s="36">
        <v>0.0</v>
      </c>
      <c r="H93" s="87" t="s">
        <v>5509</v>
      </c>
      <c r="I93" s="49"/>
    </row>
    <row r="94">
      <c r="A94" s="87" t="s">
        <v>639</v>
      </c>
      <c r="B94" s="87" t="s">
        <v>4752</v>
      </c>
      <c r="C94" s="87" t="s">
        <v>643</v>
      </c>
      <c r="D94" s="87" t="s">
        <v>5528</v>
      </c>
      <c r="E94" s="87" t="s">
        <v>51</v>
      </c>
      <c r="F94" s="36">
        <v>21199.0</v>
      </c>
      <c r="G94" s="36">
        <v>16111.0</v>
      </c>
      <c r="H94" s="87" t="s">
        <v>5509</v>
      </c>
      <c r="I94" s="49"/>
    </row>
    <row r="95">
      <c r="A95" s="87" t="s">
        <v>93</v>
      </c>
      <c r="B95" s="87" t="s">
        <v>4759</v>
      </c>
      <c r="C95" s="87" t="s">
        <v>97</v>
      </c>
      <c r="D95" s="87" t="s">
        <v>5529</v>
      </c>
      <c r="E95" s="87" t="s">
        <v>51</v>
      </c>
      <c r="F95" s="36">
        <v>13499.0</v>
      </c>
      <c r="G95" s="36">
        <v>10259.0</v>
      </c>
      <c r="H95" s="87" t="s">
        <v>5509</v>
      </c>
      <c r="I95" s="49"/>
    </row>
    <row r="96">
      <c r="A96" s="87" t="s">
        <v>2604</v>
      </c>
      <c r="B96" s="87" t="s">
        <v>4794</v>
      </c>
      <c r="C96" s="28" t="s">
        <v>4795</v>
      </c>
      <c r="D96" s="28" t="s">
        <v>5530</v>
      </c>
      <c r="E96" s="87" t="s">
        <v>1195</v>
      </c>
      <c r="F96" s="36">
        <v>2989.0</v>
      </c>
      <c r="G96" s="36">
        <v>1704.0</v>
      </c>
      <c r="H96" s="87" t="s">
        <v>5486</v>
      </c>
      <c r="I96" s="49"/>
    </row>
    <row r="97">
      <c r="A97" s="87" t="s">
        <v>2614</v>
      </c>
      <c r="B97" s="87" t="s">
        <v>4799</v>
      </c>
      <c r="C97" s="28" t="s">
        <v>4800</v>
      </c>
      <c r="D97" s="28" t="s">
        <v>5531</v>
      </c>
      <c r="E97" s="87" t="s">
        <v>1195</v>
      </c>
      <c r="F97" s="36">
        <v>4489.0</v>
      </c>
      <c r="G97" s="36">
        <v>2559.0</v>
      </c>
      <c r="H97" s="87" t="s">
        <v>5486</v>
      </c>
      <c r="I97" s="49"/>
    </row>
    <row r="98">
      <c r="A98" s="87" t="s">
        <v>2619</v>
      </c>
      <c r="B98" s="87" t="s">
        <v>4802</v>
      </c>
      <c r="C98" s="28" t="s">
        <v>4803</v>
      </c>
      <c r="D98" s="28" t="s">
        <v>5532</v>
      </c>
      <c r="E98" s="87" t="s">
        <v>1195</v>
      </c>
      <c r="F98" s="36">
        <v>2989.0</v>
      </c>
      <c r="G98" s="36">
        <v>1704.0</v>
      </c>
      <c r="H98" s="87" t="s">
        <v>5486</v>
      </c>
      <c r="I98" s="49"/>
    </row>
    <row r="99">
      <c r="A99" s="87" t="s">
        <v>1188</v>
      </c>
      <c r="B99" s="87" t="s">
        <v>4805</v>
      </c>
      <c r="C99" s="28" t="s">
        <v>4806</v>
      </c>
      <c r="D99" s="28" t="s">
        <v>5533</v>
      </c>
      <c r="E99" s="87" t="s">
        <v>1195</v>
      </c>
      <c r="F99" s="36">
        <v>2989.0</v>
      </c>
      <c r="G99" s="36">
        <v>1704.0</v>
      </c>
      <c r="H99" s="87" t="s">
        <v>5486</v>
      </c>
      <c r="I99" s="49"/>
    </row>
    <row r="100">
      <c r="A100" s="87" t="s">
        <v>4904</v>
      </c>
      <c r="B100" s="36">
        <v>0.0</v>
      </c>
      <c r="C100" s="87" t="s">
        <v>5534</v>
      </c>
      <c r="D100" s="49"/>
      <c r="E100" s="87" t="s">
        <v>5535</v>
      </c>
      <c r="F100" s="36">
        <v>0.0</v>
      </c>
      <c r="G100" s="36">
        <v>0.0</v>
      </c>
      <c r="H100" s="87" t="s">
        <v>5486</v>
      </c>
      <c r="I100" s="49"/>
    </row>
    <row r="101">
      <c r="A101" s="87" t="s">
        <v>4905</v>
      </c>
      <c r="B101" s="36">
        <v>0.0</v>
      </c>
      <c r="C101" s="87" t="s">
        <v>5144</v>
      </c>
      <c r="D101" s="49"/>
      <c r="E101" s="87" t="s">
        <v>5535</v>
      </c>
      <c r="F101" s="36">
        <v>0.0</v>
      </c>
      <c r="G101" s="36">
        <v>0.0</v>
      </c>
      <c r="H101" s="87" t="s">
        <v>5486</v>
      </c>
      <c r="I101" s="49"/>
    </row>
    <row r="102">
      <c r="A102" s="87" t="s">
        <v>2215</v>
      </c>
      <c r="B102" s="87" t="s">
        <v>2217</v>
      </c>
      <c r="C102" s="28" t="s">
        <v>2218</v>
      </c>
      <c r="D102" s="28" t="s">
        <v>5536</v>
      </c>
      <c r="E102" s="87" t="s">
        <v>5077</v>
      </c>
      <c r="F102" s="36">
        <v>789.0</v>
      </c>
      <c r="G102" s="36">
        <v>710.0</v>
      </c>
      <c r="H102" s="87" t="s">
        <v>5486</v>
      </c>
      <c r="I102" s="49"/>
    </row>
    <row r="103">
      <c r="A103" s="87" t="s">
        <v>2225</v>
      </c>
      <c r="B103" s="87" t="s">
        <v>2227</v>
      </c>
      <c r="C103" s="28" t="s">
        <v>2228</v>
      </c>
      <c r="D103" s="28" t="s">
        <v>5537</v>
      </c>
      <c r="E103" s="87" t="s">
        <v>5077</v>
      </c>
      <c r="F103" s="36">
        <v>789.0</v>
      </c>
      <c r="G103" s="36">
        <v>710.0</v>
      </c>
      <c r="H103" s="87" t="s">
        <v>5486</v>
      </c>
      <c r="I103" s="49"/>
    </row>
    <row r="104">
      <c r="A104" s="87" t="s">
        <v>2252</v>
      </c>
      <c r="B104" s="36">
        <v>0.0</v>
      </c>
      <c r="C104" s="28" t="s">
        <v>2255</v>
      </c>
      <c r="D104" s="28" t="s">
        <v>5538</v>
      </c>
      <c r="E104" s="87" t="s">
        <v>5539</v>
      </c>
      <c r="F104" s="36">
        <v>0.0</v>
      </c>
      <c r="G104" s="36">
        <v>0.0</v>
      </c>
      <c r="H104" s="87" t="s">
        <v>5486</v>
      </c>
      <c r="I104" s="49"/>
    </row>
    <row r="105">
      <c r="A105" s="87" t="s">
        <v>2257</v>
      </c>
      <c r="B105" s="87" t="s">
        <v>2259</v>
      </c>
      <c r="C105" s="28" t="s">
        <v>2260</v>
      </c>
      <c r="D105" s="28" t="s">
        <v>5540</v>
      </c>
      <c r="E105" s="87" t="s">
        <v>5077</v>
      </c>
      <c r="F105" s="36">
        <v>889.0</v>
      </c>
      <c r="G105" s="36">
        <v>800.0</v>
      </c>
      <c r="H105" s="87" t="s">
        <v>5486</v>
      </c>
      <c r="I105" s="49"/>
    </row>
    <row r="106">
      <c r="A106" s="87" t="s">
        <v>2299</v>
      </c>
      <c r="B106" s="87" t="s">
        <v>2301</v>
      </c>
      <c r="C106" s="87" t="s">
        <v>2302</v>
      </c>
      <c r="D106" s="28" t="s">
        <v>5541</v>
      </c>
      <c r="E106" s="87" t="s">
        <v>5077</v>
      </c>
      <c r="F106" s="36">
        <v>989.0</v>
      </c>
      <c r="G106" s="36">
        <v>890.0</v>
      </c>
      <c r="H106" s="87" t="s">
        <v>5486</v>
      </c>
      <c r="I106" s="49"/>
    </row>
    <row r="107">
      <c r="A107" s="87" t="s">
        <v>2304</v>
      </c>
      <c r="B107" s="87" t="s">
        <v>2306</v>
      </c>
      <c r="C107" s="87" t="s">
        <v>2307</v>
      </c>
      <c r="D107" s="28" t="s">
        <v>5542</v>
      </c>
      <c r="E107" s="87" t="s">
        <v>5539</v>
      </c>
      <c r="F107" s="36">
        <v>989.0</v>
      </c>
      <c r="G107" s="36">
        <v>989.0</v>
      </c>
      <c r="H107" s="87" t="s">
        <v>5486</v>
      </c>
      <c r="I107" s="49"/>
    </row>
    <row r="108">
      <c r="A108" s="87" t="s">
        <v>2314</v>
      </c>
      <c r="B108" s="87" t="s">
        <v>2316</v>
      </c>
      <c r="C108" s="87" t="s">
        <v>2317</v>
      </c>
      <c r="D108" s="28" t="s">
        <v>5543</v>
      </c>
      <c r="E108" s="87" t="s">
        <v>5077</v>
      </c>
      <c r="F108" s="36">
        <v>1049.0</v>
      </c>
      <c r="G108" s="36">
        <v>944.0</v>
      </c>
      <c r="H108" s="87" t="s">
        <v>5486</v>
      </c>
      <c r="I108" s="49"/>
    </row>
    <row r="109">
      <c r="A109" s="87" t="s">
        <v>2319</v>
      </c>
      <c r="B109" s="87" t="s">
        <v>2321</v>
      </c>
      <c r="C109" s="87" t="s">
        <v>2322</v>
      </c>
      <c r="D109" s="28" t="s">
        <v>5544</v>
      </c>
      <c r="E109" s="87" t="s">
        <v>5077</v>
      </c>
      <c r="F109" s="36">
        <v>1049.0</v>
      </c>
      <c r="G109" s="36">
        <v>944.0</v>
      </c>
      <c r="H109" s="87" t="s">
        <v>5486</v>
      </c>
      <c r="I109" s="49"/>
    </row>
    <row r="110">
      <c r="A110" s="87" t="s">
        <v>2324</v>
      </c>
      <c r="B110" s="87" t="s">
        <v>2326</v>
      </c>
      <c r="C110" s="87" t="s">
        <v>2327</v>
      </c>
      <c r="D110" s="28" t="s">
        <v>5545</v>
      </c>
      <c r="E110" s="87" t="s">
        <v>5077</v>
      </c>
      <c r="F110" s="36">
        <v>1049.0</v>
      </c>
      <c r="G110" s="36">
        <v>944.0</v>
      </c>
      <c r="H110" s="87" t="s">
        <v>5486</v>
      </c>
      <c r="I110" s="49"/>
    </row>
    <row r="111">
      <c r="A111" s="87" t="s">
        <v>2352</v>
      </c>
      <c r="B111" s="87" t="s">
        <v>2354</v>
      </c>
      <c r="C111" s="87" t="s">
        <v>2355</v>
      </c>
      <c r="D111" s="28" t="s">
        <v>5546</v>
      </c>
      <c r="E111" s="87" t="s">
        <v>5077</v>
      </c>
      <c r="F111" s="36">
        <v>1089.0</v>
      </c>
      <c r="G111" s="36">
        <v>980.0</v>
      </c>
      <c r="H111" s="87" t="s">
        <v>5486</v>
      </c>
      <c r="I111" s="49"/>
    </row>
    <row r="112">
      <c r="A112" s="87" t="s">
        <v>2357</v>
      </c>
      <c r="B112" s="87" t="s">
        <v>2359</v>
      </c>
      <c r="C112" s="87" t="s">
        <v>2360</v>
      </c>
      <c r="D112" s="28" t="s">
        <v>5547</v>
      </c>
      <c r="E112" s="87" t="s">
        <v>5077</v>
      </c>
      <c r="F112" s="36">
        <v>1089.0</v>
      </c>
      <c r="G112" s="36">
        <v>1089.0</v>
      </c>
      <c r="H112" s="87" t="s">
        <v>5486</v>
      </c>
      <c r="I112" s="49"/>
    </row>
    <row r="113">
      <c r="A113" s="87" t="s">
        <v>2362</v>
      </c>
      <c r="B113" s="87" t="s">
        <v>2364</v>
      </c>
      <c r="C113" s="87" t="s">
        <v>2365</v>
      </c>
      <c r="D113" s="28" t="s">
        <v>5548</v>
      </c>
      <c r="E113" s="87" t="s">
        <v>5077</v>
      </c>
      <c r="F113" s="36">
        <v>1089.0</v>
      </c>
      <c r="G113" s="36">
        <v>980.0</v>
      </c>
      <c r="H113" s="87" t="s">
        <v>5486</v>
      </c>
      <c r="I113" s="49"/>
    </row>
    <row r="114">
      <c r="A114" s="87" t="s">
        <v>3761</v>
      </c>
      <c r="B114" s="87" t="s">
        <v>3761</v>
      </c>
      <c r="C114" s="87" t="s">
        <v>5157</v>
      </c>
      <c r="D114" s="49"/>
      <c r="E114" s="87" t="s">
        <v>5158</v>
      </c>
      <c r="F114" s="36">
        <v>43999.0</v>
      </c>
      <c r="G114" s="36">
        <v>32999.0</v>
      </c>
      <c r="H114" s="87" t="s">
        <v>5486</v>
      </c>
      <c r="I114" s="28" t="s">
        <v>3769</v>
      </c>
    </row>
    <row r="115">
      <c r="A115" s="87" t="s">
        <v>3716</v>
      </c>
      <c r="B115" s="87" t="s">
        <v>3718</v>
      </c>
      <c r="C115" s="28" t="s">
        <v>3719</v>
      </c>
      <c r="D115" s="28" t="s">
        <v>5549</v>
      </c>
      <c r="E115" s="87" t="s">
        <v>5127</v>
      </c>
      <c r="F115" s="36">
        <v>949.0</v>
      </c>
      <c r="G115" s="36">
        <v>949.0</v>
      </c>
      <c r="H115" s="28" t="s">
        <v>5447</v>
      </c>
      <c r="I115" s="49"/>
    </row>
    <row r="116">
      <c r="A116" s="87" t="s">
        <v>3062</v>
      </c>
      <c r="B116" s="87" t="s">
        <v>3064</v>
      </c>
      <c r="C116" s="28" t="s">
        <v>3066</v>
      </c>
      <c r="D116" s="28" t="s">
        <v>5550</v>
      </c>
      <c r="E116" s="87" t="s">
        <v>5551</v>
      </c>
      <c r="F116" s="36">
        <v>0.0</v>
      </c>
      <c r="G116" s="36">
        <v>0.0</v>
      </c>
      <c r="H116" s="28" t="s">
        <v>5073</v>
      </c>
      <c r="I116" s="49"/>
    </row>
    <row r="117">
      <c r="A117" s="87" t="s">
        <v>4928</v>
      </c>
      <c r="B117" s="87" t="s">
        <v>5252</v>
      </c>
      <c r="C117" s="87" t="s">
        <v>4931</v>
      </c>
      <c r="D117" s="87" t="s">
        <v>5552</v>
      </c>
      <c r="E117" s="87" t="s">
        <v>51</v>
      </c>
      <c r="F117" s="36">
        <v>11999.0</v>
      </c>
      <c r="G117" s="36">
        <v>9119.0</v>
      </c>
      <c r="H117" s="87" t="s">
        <v>5073</v>
      </c>
      <c r="I117" s="49"/>
    </row>
    <row r="118">
      <c r="A118" s="87" t="s">
        <v>4932</v>
      </c>
      <c r="B118" s="87" t="s">
        <v>5251</v>
      </c>
      <c r="C118" s="28" t="s">
        <v>4935</v>
      </c>
      <c r="D118" s="28" t="s">
        <v>5553</v>
      </c>
      <c r="E118" s="87" t="s">
        <v>5554</v>
      </c>
      <c r="F118" s="36">
        <v>11999.0</v>
      </c>
      <c r="G118" s="36">
        <v>9119.0</v>
      </c>
      <c r="H118" s="87" t="s">
        <v>5073</v>
      </c>
      <c r="I118" s="49"/>
    </row>
    <row r="119">
      <c r="A119" s="87" t="s">
        <v>5008</v>
      </c>
      <c r="B119" s="87" t="s">
        <v>5260</v>
      </c>
      <c r="C119" s="28" t="s">
        <v>5008</v>
      </c>
      <c r="D119" s="28" t="s">
        <v>5555</v>
      </c>
      <c r="E119" s="87" t="s">
        <v>5112</v>
      </c>
      <c r="F119" s="36">
        <v>21999.0</v>
      </c>
      <c r="G119" s="36">
        <v>17159.0</v>
      </c>
      <c r="H119" s="87" t="s">
        <v>5073</v>
      </c>
      <c r="I119" s="49"/>
    </row>
    <row r="120">
      <c r="A120" s="87" t="s">
        <v>5023</v>
      </c>
      <c r="B120" s="87" t="s">
        <v>5255</v>
      </c>
      <c r="C120" s="28" t="s">
        <v>5026</v>
      </c>
      <c r="D120" s="28" t="s">
        <v>5556</v>
      </c>
      <c r="E120" s="87" t="s">
        <v>5112</v>
      </c>
      <c r="F120" s="36">
        <v>16999.0</v>
      </c>
      <c r="G120" s="36">
        <v>13259.0</v>
      </c>
      <c r="H120" s="87" t="s">
        <v>5073</v>
      </c>
      <c r="I120" s="49"/>
    </row>
  </sheetData>
  <autoFilter ref="$A$1:$H$12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4" max="5" width="16.0"/>
  </cols>
  <sheetData>
    <row r="1">
      <c r="A1" s="90" t="s">
        <v>5286</v>
      </c>
      <c r="B1" s="91" t="s">
        <v>5557</v>
      </c>
      <c r="C1" s="91"/>
      <c r="D1" s="91"/>
      <c r="E1" s="91"/>
    </row>
    <row r="2">
      <c r="A2" s="92" t="s">
        <v>1874</v>
      </c>
      <c r="B2" s="93">
        <v>29399.16</v>
      </c>
      <c r="C2" s="93"/>
      <c r="D2" s="93" t="s">
        <v>1347</v>
      </c>
      <c r="E2" s="94"/>
    </row>
    <row r="3">
      <c r="A3" s="92" t="s">
        <v>1070</v>
      </c>
      <c r="B3" s="93">
        <v>19039.2</v>
      </c>
      <c r="C3" s="93"/>
      <c r="D3" s="93" t="s">
        <v>1353</v>
      </c>
      <c r="E3" s="94"/>
    </row>
    <row r="4">
      <c r="A4" s="92" t="s">
        <v>950</v>
      </c>
      <c r="B4" s="93">
        <v>16159.2</v>
      </c>
      <c r="C4" s="93"/>
      <c r="D4" s="93" t="s">
        <v>1359</v>
      </c>
      <c r="E4" s="94"/>
    </row>
    <row r="5">
      <c r="A5" s="92" t="s">
        <v>1027</v>
      </c>
      <c r="B5" s="93">
        <v>16559.2</v>
      </c>
      <c r="C5" s="93"/>
      <c r="D5" s="93" t="s">
        <v>1365</v>
      </c>
      <c r="E5" s="94"/>
    </row>
    <row r="6">
      <c r="A6" s="92" t="s">
        <v>1796</v>
      </c>
      <c r="B6" s="93">
        <v>26879.16</v>
      </c>
      <c r="C6" s="93"/>
      <c r="D6" s="93" t="s">
        <v>1377</v>
      </c>
      <c r="E6" s="94"/>
    </row>
    <row r="7">
      <c r="A7" s="92" t="s">
        <v>5318</v>
      </c>
      <c r="B7" s="93">
        <v>5999.2</v>
      </c>
      <c r="C7" s="93"/>
      <c r="D7" s="93" t="s">
        <v>1415</v>
      </c>
      <c r="E7" s="94"/>
    </row>
    <row r="8">
      <c r="A8" s="92" t="s">
        <v>1643</v>
      </c>
      <c r="B8" s="93">
        <v>20019.23</v>
      </c>
      <c r="C8" s="93"/>
      <c r="D8" s="93" t="s">
        <v>1433</v>
      </c>
      <c r="E8" s="94"/>
    </row>
    <row r="9">
      <c r="A9" s="92" t="s">
        <v>639</v>
      </c>
      <c r="B9" s="93">
        <v>16111.24</v>
      </c>
      <c r="C9" s="93"/>
      <c r="D9" s="93" t="s">
        <v>1440</v>
      </c>
      <c r="E9" s="94"/>
    </row>
    <row r="10">
      <c r="A10" s="92" t="s">
        <v>5319</v>
      </c>
      <c r="B10" s="93">
        <v>4799.2</v>
      </c>
      <c r="C10" s="93"/>
      <c r="D10" s="93" t="s">
        <v>1452</v>
      </c>
      <c r="E10" s="94"/>
    </row>
    <row r="11">
      <c r="A11" s="92" t="s">
        <v>596</v>
      </c>
      <c r="B11" s="93">
        <v>13983.24</v>
      </c>
      <c r="C11" s="93"/>
      <c r="D11" s="93" t="s">
        <v>1459</v>
      </c>
      <c r="E11" s="94"/>
    </row>
    <row r="12">
      <c r="A12" s="92" t="s">
        <v>1580</v>
      </c>
      <c r="B12" s="93">
        <v>17709.23</v>
      </c>
      <c r="C12" s="93"/>
      <c r="D12" s="93" t="s">
        <v>1471</v>
      </c>
      <c r="E12" s="94"/>
    </row>
    <row r="13">
      <c r="A13" s="92" t="s">
        <v>1004</v>
      </c>
      <c r="B13" s="93">
        <v>15519.2</v>
      </c>
      <c r="C13" s="93"/>
      <c r="D13" s="93" t="s">
        <v>1477</v>
      </c>
      <c r="E13" s="94"/>
    </row>
    <row r="14">
      <c r="A14" s="92" t="s">
        <v>1093</v>
      </c>
      <c r="B14" s="93">
        <v>949.0</v>
      </c>
      <c r="C14" s="93"/>
      <c r="D14" s="93" t="s">
        <v>1489</v>
      </c>
      <c r="E14" s="93"/>
    </row>
    <row r="15">
      <c r="A15" s="92" t="s">
        <v>394</v>
      </c>
      <c r="B15" s="93">
        <v>14059.24</v>
      </c>
      <c r="C15" s="93"/>
      <c r="D15" s="93"/>
      <c r="E15" s="94"/>
    </row>
    <row r="16">
      <c r="A16" s="92" t="s">
        <v>1101</v>
      </c>
      <c r="B16" s="93">
        <v>1799.0</v>
      </c>
      <c r="C16" s="93"/>
      <c r="D16" s="93"/>
      <c r="E16" s="94"/>
    </row>
    <row r="17">
      <c r="A17" s="92" t="s">
        <v>943</v>
      </c>
      <c r="B17" s="93">
        <v>15839.2</v>
      </c>
      <c r="C17" s="93"/>
      <c r="D17" s="93"/>
      <c r="E17" s="94"/>
    </row>
    <row r="18">
      <c r="A18" s="92" t="s">
        <v>1058</v>
      </c>
      <c r="B18" s="93">
        <v>18559.2</v>
      </c>
      <c r="C18" s="93"/>
      <c r="D18" s="93"/>
      <c r="E18" s="94"/>
    </row>
    <row r="19">
      <c r="A19" s="92" t="s">
        <v>937</v>
      </c>
      <c r="B19" s="93">
        <v>15519.2</v>
      </c>
      <c r="C19" s="93"/>
      <c r="D19" s="93"/>
      <c r="E19" s="94"/>
    </row>
    <row r="20">
      <c r="A20" s="92" t="s">
        <v>1047</v>
      </c>
      <c r="B20" s="93">
        <v>18159.2</v>
      </c>
      <c r="C20" s="93"/>
      <c r="D20" s="93"/>
      <c r="E20" s="94"/>
    </row>
    <row r="21">
      <c r="A21" s="92" t="s">
        <v>1904</v>
      </c>
      <c r="B21" s="93">
        <v>32759.16</v>
      </c>
      <c r="C21" s="93"/>
      <c r="D21" s="93"/>
      <c r="E21" s="94"/>
    </row>
    <row r="22">
      <c r="A22" s="92" t="s">
        <v>569</v>
      </c>
      <c r="B22" s="93">
        <v>13679.24</v>
      </c>
      <c r="C22" s="93"/>
      <c r="D22" s="93"/>
      <c r="E22" s="94"/>
    </row>
    <row r="23">
      <c r="A23" s="92" t="s">
        <v>379</v>
      </c>
      <c r="B23" s="93">
        <v>13299.24</v>
      </c>
      <c r="C23" s="93"/>
      <c r="D23" s="93"/>
      <c r="E23" s="94"/>
    </row>
    <row r="24">
      <c r="A24" s="92" t="s">
        <v>910</v>
      </c>
      <c r="B24" s="93">
        <v>13599.2</v>
      </c>
      <c r="C24" s="93"/>
      <c r="D24" s="93"/>
      <c r="E24" s="94"/>
    </row>
    <row r="25">
      <c r="A25" s="92" t="s">
        <v>348</v>
      </c>
      <c r="B25" s="93">
        <v>12311.24</v>
      </c>
      <c r="C25" s="93"/>
      <c r="D25" s="93"/>
      <c r="E25" s="94"/>
    </row>
    <row r="26">
      <c r="A26" s="92" t="s">
        <v>5320</v>
      </c>
      <c r="B26" s="93">
        <v>18215.34</v>
      </c>
      <c r="C26" s="93"/>
      <c r="D26" s="94"/>
      <c r="E26" s="94"/>
    </row>
    <row r="27">
      <c r="A27" s="92" t="s">
        <v>1789</v>
      </c>
      <c r="B27" s="93">
        <v>26879.16</v>
      </c>
      <c r="C27" s="93"/>
      <c r="D27" s="93"/>
      <c r="E27" s="94"/>
    </row>
    <row r="28">
      <c r="A28" s="92" t="s">
        <v>2125</v>
      </c>
      <c r="B28" s="93">
        <v>23999.2</v>
      </c>
      <c r="C28" s="93"/>
      <c r="D28" s="93"/>
      <c r="E28" s="94"/>
    </row>
    <row r="29">
      <c r="A29" s="92" t="s">
        <v>925</v>
      </c>
      <c r="B29" s="93">
        <v>14239.2</v>
      </c>
      <c r="C29" s="93"/>
      <c r="D29" s="93"/>
      <c r="E29" s="94"/>
    </row>
    <row r="30">
      <c r="A30" s="92" t="s">
        <v>1867</v>
      </c>
      <c r="B30" s="93">
        <v>29399.16</v>
      </c>
      <c r="C30" s="93"/>
      <c r="D30" s="93"/>
      <c r="E30" s="94"/>
    </row>
    <row r="31">
      <c r="A31" s="92" t="s">
        <v>387</v>
      </c>
      <c r="B31" s="93">
        <v>13679.24</v>
      </c>
      <c r="C31" s="93"/>
      <c r="D31" s="93"/>
      <c r="E31" s="94"/>
    </row>
    <row r="32">
      <c r="A32" s="92" t="s">
        <v>917</v>
      </c>
      <c r="B32" s="93">
        <v>13839.2</v>
      </c>
      <c r="C32" s="93"/>
      <c r="D32" s="93"/>
      <c r="E32" s="94"/>
    </row>
    <row r="33">
      <c r="A33" s="92" t="s">
        <v>2397</v>
      </c>
      <c r="B33" s="93">
        <v>1799.0</v>
      </c>
      <c r="C33" s="93"/>
      <c r="D33" s="93"/>
      <c r="E33" s="94"/>
    </row>
    <row r="34">
      <c r="A34" s="92" t="s">
        <v>620</v>
      </c>
      <c r="B34" s="93">
        <v>15503.24</v>
      </c>
      <c r="C34" s="93"/>
      <c r="D34" s="93"/>
      <c r="E34" s="94"/>
    </row>
    <row r="35">
      <c r="A35" s="92" t="s">
        <v>206</v>
      </c>
      <c r="B35" s="93">
        <v>9727.24</v>
      </c>
      <c r="C35" s="93"/>
      <c r="D35" s="93"/>
      <c r="E35" s="94"/>
    </row>
    <row r="36">
      <c r="A36" s="92" t="s">
        <v>1668</v>
      </c>
      <c r="B36" s="93">
        <v>23099.23</v>
      </c>
      <c r="C36" s="93"/>
      <c r="D36" s="93"/>
      <c r="E36" s="94"/>
    </row>
    <row r="37">
      <c r="A37" s="92" t="s">
        <v>1132</v>
      </c>
      <c r="B37" s="93">
        <v>999.0</v>
      </c>
      <c r="C37" s="93"/>
      <c r="D37" s="93"/>
      <c r="E37" s="93"/>
    </row>
    <row r="38">
      <c r="A38" s="92" t="s">
        <v>1859</v>
      </c>
      <c r="B38" s="93">
        <v>29399.16</v>
      </c>
      <c r="C38" s="93"/>
      <c r="D38" s="93"/>
      <c r="E38" s="94"/>
    </row>
    <row r="39">
      <c r="A39" s="92" t="s">
        <v>341</v>
      </c>
      <c r="B39" s="93">
        <v>12159.24</v>
      </c>
      <c r="C39" s="93"/>
      <c r="D39" s="93"/>
      <c r="E39" s="94"/>
    </row>
    <row r="40">
      <c r="A40" s="92" t="s">
        <v>1575</v>
      </c>
      <c r="B40" s="93">
        <v>17709.23</v>
      </c>
      <c r="C40" s="93"/>
      <c r="D40" s="93"/>
      <c r="E40" s="94"/>
    </row>
    <row r="41">
      <c r="A41" s="92" t="s">
        <v>887</v>
      </c>
      <c r="B41" s="93">
        <v>11119.2</v>
      </c>
      <c r="C41" s="93"/>
      <c r="D41" s="93"/>
      <c r="E41" s="94"/>
    </row>
    <row r="42">
      <c r="A42" s="92" t="s">
        <v>5321</v>
      </c>
      <c r="B42" s="93">
        <v>16037.34</v>
      </c>
      <c r="C42" s="93"/>
      <c r="D42" s="94"/>
      <c r="E42" s="94"/>
    </row>
    <row r="43">
      <c r="A43" s="92" t="s">
        <v>582</v>
      </c>
      <c r="B43" s="93">
        <v>13831.24</v>
      </c>
      <c r="C43" s="93"/>
      <c r="D43" s="93"/>
      <c r="E43" s="94"/>
    </row>
    <row r="44">
      <c r="A44" s="92" t="s">
        <v>632</v>
      </c>
      <c r="B44" s="93">
        <v>15883.24</v>
      </c>
      <c r="C44" s="93"/>
      <c r="D44" s="93"/>
      <c r="E44" s="94"/>
    </row>
    <row r="45">
      <c r="A45" s="92" t="s">
        <v>861</v>
      </c>
      <c r="B45" s="93">
        <v>12959.2</v>
      </c>
      <c r="C45" s="93"/>
      <c r="D45" s="93"/>
      <c r="E45" s="94"/>
    </row>
    <row r="46">
      <c r="A46" s="92" t="s">
        <v>1016</v>
      </c>
      <c r="B46" s="93">
        <v>15999.2</v>
      </c>
      <c r="C46" s="93"/>
      <c r="D46" s="93"/>
      <c r="E46" s="94"/>
    </row>
    <row r="47">
      <c r="A47" s="92" t="s">
        <v>692</v>
      </c>
      <c r="B47" s="93">
        <v>18619.24</v>
      </c>
      <c r="C47" s="93"/>
      <c r="D47" s="93"/>
      <c r="E47" s="94"/>
    </row>
    <row r="48">
      <c r="A48" s="92" t="s">
        <v>1570</v>
      </c>
      <c r="B48" s="93">
        <v>17709.23</v>
      </c>
      <c r="C48" s="93"/>
      <c r="D48" s="93"/>
      <c r="E48" s="94"/>
    </row>
    <row r="49">
      <c r="A49" s="92" t="s">
        <v>1782</v>
      </c>
      <c r="B49" s="93">
        <v>26879.16</v>
      </c>
      <c r="C49" s="93"/>
      <c r="D49" s="93"/>
      <c r="E49" s="94"/>
    </row>
    <row r="50">
      <c r="A50" s="92" t="s">
        <v>23</v>
      </c>
      <c r="B50" s="93">
        <v>7903.24</v>
      </c>
      <c r="C50" s="93"/>
      <c r="D50" s="93"/>
      <c r="E50" s="94"/>
    </row>
    <row r="51">
      <c r="A51" s="92" t="s">
        <v>436</v>
      </c>
      <c r="B51" s="93">
        <v>15807.24</v>
      </c>
      <c r="C51" s="93"/>
      <c r="D51" s="93"/>
      <c r="E51" s="94"/>
    </row>
    <row r="52">
      <c r="A52" s="92" t="s">
        <v>1638</v>
      </c>
      <c r="B52" s="93">
        <v>20019.23</v>
      </c>
      <c r="C52" s="93"/>
      <c r="D52" s="93"/>
      <c r="E52" s="94"/>
    </row>
    <row r="53">
      <c r="A53" s="92" t="s">
        <v>2085</v>
      </c>
      <c r="B53" s="93">
        <v>20799.2</v>
      </c>
      <c r="C53" s="93"/>
      <c r="D53" s="93"/>
      <c r="E53" s="94"/>
    </row>
    <row r="54">
      <c r="A54" s="92" t="s">
        <v>5322</v>
      </c>
      <c r="B54" s="93">
        <v>13529.34</v>
      </c>
      <c r="C54" s="93"/>
      <c r="D54" s="94"/>
      <c r="E54" s="94"/>
    </row>
    <row r="55">
      <c r="A55" s="92" t="s">
        <v>5323</v>
      </c>
      <c r="B55" s="93">
        <v>2199.0</v>
      </c>
      <c r="C55" s="93"/>
      <c r="D55" s="93"/>
      <c r="E55" s="94"/>
    </row>
    <row r="56">
      <c r="A56" s="92" t="s">
        <v>1042</v>
      </c>
      <c r="B56" s="93">
        <v>18399.2</v>
      </c>
      <c r="C56" s="93"/>
      <c r="D56" s="93"/>
      <c r="E56" s="94"/>
    </row>
    <row r="57">
      <c r="A57" s="92" t="s">
        <v>3819</v>
      </c>
      <c r="B57" s="93">
        <v>7699.3</v>
      </c>
      <c r="C57" s="93"/>
      <c r="D57" s="93"/>
      <c r="E57" s="94"/>
    </row>
    <row r="58">
      <c r="A58" s="92" t="s">
        <v>336</v>
      </c>
      <c r="B58" s="93">
        <v>11931.24</v>
      </c>
      <c r="C58" s="93"/>
      <c r="D58" s="93"/>
      <c r="E58" s="94"/>
    </row>
    <row r="59">
      <c r="A59" s="92" t="s">
        <v>522</v>
      </c>
      <c r="B59" s="93">
        <v>8496.04</v>
      </c>
      <c r="C59" s="93"/>
      <c r="D59" s="93"/>
      <c r="E59" s="94"/>
    </row>
    <row r="60">
      <c r="A60" s="92" t="s">
        <v>1632</v>
      </c>
      <c r="B60" s="93">
        <v>20019.23</v>
      </c>
      <c r="C60" s="93"/>
      <c r="D60" s="93"/>
      <c r="E60" s="94"/>
    </row>
    <row r="61">
      <c r="A61" s="92" t="s">
        <v>5324</v>
      </c>
      <c r="B61" s="93">
        <v>2299.0</v>
      </c>
      <c r="C61" s="93"/>
      <c r="D61" s="93"/>
      <c r="E61" s="94"/>
    </row>
    <row r="62">
      <c r="A62" s="92" t="s">
        <v>998</v>
      </c>
      <c r="B62" s="93">
        <v>15999.2</v>
      </c>
      <c r="C62" s="93"/>
      <c r="D62" s="93"/>
      <c r="E62" s="94"/>
    </row>
    <row r="63">
      <c r="A63" s="92" t="s">
        <v>5325</v>
      </c>
      <c r="B63" s="93">
        <v>9701.34</v>
      </c>
      <c r="C63" s="93"/>
      <c r="D63" s="94"/>
      <c r="E63" s="94"/>
    </row>
    <row r="64">
      <c r="A64" s="92" t="s">
        <v>1087</v>
      </c>
      <c r="B64" s="93">
        <v>959.0</v>
      </c>
      <c r="C64" s="93"/>
      <c r="D64" s="93"/>
      <c r="E64" s="93"/>
    </row>
    <row r="65">
      <c r="A65" s="92" t="s">
        <v>1822</v>
      </c>
      <c r="B65" s="93">
        <v>29399.16</v>
      </c>
      <c r="C65" s="93"/>
      <c r="D65" s="93"/>
      <c r="E65" s="94"/>
    </row>
    <row r="66">
      <c r="A66" s="92" t="s">
        <v>1841</v>
      </c>
      <c r="B66" s="93">
        <v>29399.16</v>
      </c>
      <c r="C66" s="93"/>
      <c r="D66" s="93"/>
      <c r="E66" s="94"/>
    </row>
    <row r="67">
      <c r="A67" s="92" t="s">
        <v>2390</v>
      </c>
      <c r="B67" s="93">
        <v>949.0</v>
      </c>
      <c r="C67" s="93"/>
      <c r="D67" s="93"/>
      <c r="E67" s="93"/>
    </row>
    <row r="68">
      <c r="A68" s="92" t="s">
        <v>5326</v>
      </c>
      <c r="B68" s="93">
        <v>15377.34</v>
      </c>
      <c r="C68" s="93"/>
      <c r="D68" s="94"/>
      <c r="E68" s="94"/>
    </row>
    <row r="69">
      <c r="A69" s="92" t="s">
        <v>5327</v>
      </c>
      <c r="B69" s="93">
        <v>15113.34</v>
      </c>
      <c r="C69" s="93"/>
      <c r="D69" s="94"/>
      <c r="E69" s="94"/>
    </row>
    <row r="70">
      <c r="A70" s="92" t="s">
        <v>5328</v>
      </c>
      <c r="B70" s="93">
        <v>13529.34</v>
      </c>
      <c r="C70" s="93"/>
      <c r="D70" s="94"/>
      <c r="E70" s="94"/>
    </row>
    <row r="71">
      <c r="A71" s="92" t="s">
        <v>1595</v>
      </c>
      <c r="B71" s="93">
        <v>20019.23</v>
      </c>
      <c r="C71" s="93"/>
      <c r="D71" s="93"/>
      <c r="E71" s="94"/>
    </row>
    <row r="72">
      <c r="A72" s="92" t="s">
        <v>3804</v>
      </c>
      <c r="B72" s="93">
        <v>6369.3</v>
      </c>
      <c r="C72" s="93"/>
      <c r="D72" s="93"/>
      <c r="E72" s="94"/>
    </row>
    <row r="73">
      <c r="A73" s="92" t="s">
        <v>1108</v>
      </c>
      <c r="B73" s="93">
        <v>3499.0</v>
      </c>
      <c r="C73" s="93"/>
      <c r="D73" s="93"/>
      <c r="E73" s="94"/>
    </row>
    <row r="74">
      <c r="A74" s="92" t="s">
        <v>5329</v>
      </c>
      <c r="B74" s="93">
        <v>17621.34</v>
      </c>
      <c r="C74" s="93"/>
      <c r="D74" s="94"/>
      <c r="E74" s="94"/>
    </row>
    <row r="75">
      <c r="A75" s="92" t="s">
        <v>563</v>
      </c>
      <c r="B75" s="93">
        <v>13679.24</v>
      </c>
      <c r="C75" s="93"/>
      <c r="D75" s="93"/>
      <c r="E75" s="94"/>
    </row>
    <row r="76">
      <c r="A76" s="92" t="s">
        <v>810</v>
      </c>
      <c r="B76" s="93">
        <v>9119.2</v>
      </c>
      <c r="C76" s="93"/>
      <c r="D76" s="93"/>
      <c r="E76" s="94"/>
    </row>
    <row r="77">
      <c r="A77" s="92" t="s">
        <v>5330</v>
      </c>
      <c r="B77" s="93">
        <v>799.0</v>
      </c>
      <c r="C77" s="93"/>
      <c r="D77" s="93"/>
      <c r="E77" s="93"/>
    </row>
    <row r="78">
      <c r="A78" s="92" t="s">
        <v>3809</v>
      </c>
      <c r="B78" s="93">
        <v>7349.3</v>
      </c>
      <c r="C78" s="93"/>
      <c r="D78" s="93"/>
      <c r="E78" s="94"/>
    </row>
    <row r="79">
      <c r="A79" s="92" t="s">
        <v>4904</v>
      </c>
      <c r="B79" s="93">
        <v>1499.0</v>
      </c>
      <c r="C79" s="93"/>
      <c r="D79" s="93"/>
      <c r="E79" s="94"/>
    </row>
    <row r="80">
      <c r="A80" s="92" t="s">
        <v>2369</v>
      </c>
      <c r="B80" s="93">
        <v>1999.0</v>
      </c>
      <c r="C80" s="93"/>
      <c r="D80" s="93"/>
      <c r="E80" s="94"/>
    </row>
    <row r="81">
      <c r="A81" s="92" t="s">
        <v>836</v>
      </c>
      <c r="B81" s="93">
        <v>10319.2</v>
      </c>
      <c r="C81" s="93"/>
      <c r="D81" s="93"/>
      <c r="E81" s="94"/>
    </row>
    <row r="82">
      <c r="A82" s="92" t="s">
        <v>1011</v>
      </c>
      <c r="B82" s="93">
        <v>15999.2</v>
      </c>
      <c r="C82" s="93"/>
      <c r="D82" s="93"/>
      <c r="E82" s="94"/>
    </row>
    <row r="83">
      <c r="A83" s="92" t="s">
        <v>5331</v>
      </c>
      <c r="B83" s="93">
        <v>11021.34</v>
      </c>
      <c r="C83" s="93"/>
      <c r="D83" s="94"/>
      <c r="E83" s="94"/>
    </row>
    <row r="84">
      <c r="A84" s="92" t="s">
        <v>5332</v>
      </c>
      <c r="B84" s="93">
        <v>13199.34</v>
      </c>
      <c r="C84" s="93"/>
      <c r="D84" s="94"/>
      <c r="E84" s="94"/>
    </row>
    <row r="85">
      <c r="A85" s="92" t="s">
        <v>2384</v>
      </c>
      <c r="B85" s="93">
        <v>1599.0</v>
      </c>
      <c r="C85" s="93"/>
      <c r="D85" s="93"/>
      <c r="E85" s="94"/>
    </row>
    <row r="86">
      <c r="A86" s="92" t="s">
        <v>232</v>
      </c>
      <c r="B86" s="93">
        <v>11019.24</v>
      </c>
      <c r="C86" s="93"/>
      <c r="D86" s="93"/>
      <c r="E86" s="94"/>
    </row>
    <row r="87">
      <c r="A87" s="92" t="s">
        <v>602</v>
      </c>
      <c r="B87" s="93">
        <v>14439.24</v>
      </c>
      <c r="C87" s="93"/>
      <c r="D87" s="93"/>
      <c r="E87" s="94"/>
    </row>
    <row r="88">
      <c r="A88" s="92" t="s">
        <v>2341</v>
      </c>
      <c r="B88" s="93">
        <v>980.1</v>
      </c>
      <c r="C88" s="93"/>
      <c r="D88" s="93"/>
      <c r="E88" s="94"/>
    </row>
    <row r="89">
      <c r="A89" s="92" t="s">
        <v>1555</v>
      </c>
      <c r="B89" s="93">
        <v>14629.23</v>
      </c>
      <c r="C89" s="93"/>
      <c r="D89" s="93"/>
      <c r="E89" s="94"/>
    </row>
    <row r="90">
      <c r="A90" s="92" t="s">
        <v>2448</v>
      </c>
      <c r="B90" s="93">
        <v>2199.0</v>
      </c>
      <c r="C90" s="93"/>
      <c r="D90" s="93"/>
      <c r="E90" s="94"/>
    </row>
    <row r="91">
      <c r="A91" s="92" t="s">
        <v>2431</v>
      </c>
      <c r="B91" s="93">
        <v>3499.0</v>
      </c>
      <c r="C91" s="93"/>
      <c r="D91" s="93"/>
      <c r="E91" s="94"/>
    </row>
    <row r="92">
      <c r="A92" s="92" t="s">
        <v>5333</v>
      </c>
      <c r="B92" s="93">
        <v>13199.34</v>
      </c>
      <c r="C92" s="93"/>
      <c r="D92" s="94"/>
      <c r="E92" s="94"/>
    </row>
    <row r="93">
      <c r="A93" s="92" t="s">
        <v>5334</v>
      </c>
      <c r="B93" s="93">
        <v>16037.34</v>
      </c>
      <c r="C93" s="93"/>
      <c r="D93" s="94"/>
      <c r="E93" s="94"/>
    </row>
    <row r="94">
      <c r="A94" s="92" t="s">
        <v>1083</v>
      </c>
      <c r="B94" s="93">
        <v>23199.2</v>
      </c>
      <c r="C94" s="93"/>
      <c r="D94" s="93"/>
      <c r="E94" s="94"/>
    </row>
    <row r="95">
      <c r="A95" s="92" t="s">
        <v>5335</v>
      </c>
      <c r="B95" s="93">
        <v>15377.34</v>
      </c>
      <c r="C95" s="93"/>
      <c r="D95" s="94"/>
      <c r="E95" s="94"/>
    </row>
    <row r="96">
      <c r="A96" s="92" t="s">
        <v>5336</v>
      </c>
      <c r="B96" s="93">
        <v>8513.34</v>
      </c>
      <c r="C96" s="93"/>
      <c r="D96" s="94"/>
      <c r="E96" s="94"/>
    </row>
    <row r="97">
      <c r="A97" s="92" t="s">
        <v>422</v>
      </c>
      <c r="B97" s="93">
        <v>15047.24</v>
      </c>
      <c r="C97" s="93"/>
      <c r="D97" s="93"/>
      <c r="E97" s="94"/>
    </row>
    <row r="98">
      <c r="A98" s="92" t="s">
        <v>3137</v>
      </c>
      <c r="B98" s="93">
        <v>1999.0</v>
      </c>
      <c r="C98" s="93"/>
      <c r="D98" s="93"/>
      <c r="E98" s="94"/>
    </row>
    <row r="99">
      <c r="A99" s="92" t="s">
        <v>1881</v>
      </c>
      <c r="B99" s="93">
        <v>36119.16</v>
      </c>
      <c r="C99" s="93"/>
      <c r="D99" s="93"/>
      <c r="E99" s="94"/>
    </row>
    <row r="100">
      <c r="A100" s="92" t="s">
        <v>843</v>
      </c>
      <c r="B100" s="93">
        <v>10399.2</v>
      </c>
      <c r="C100" s="93"/>
      <c r="D100" s="93"/>
      <c r="E100" s="94"/>
    </row>
    <row r="101">
      <c r="A101" s="92" t="s">
        <v>5337</v>
      </c>
      <c r="B101" s="93">
        <v>1799.0</v>
      </c>
      <c r="C101" s="93"/>
      <c r="D101" s="93"/>
      <c r="E101" s="94"/>
    </row>
    <row r="102">
      <c r="A102" s="92" t="s">
        <v>2177</v>
      </c>
      <c r="B102" s="93">
        <v>5624.25</v>
      </c>
      <c r="C102" s="93"/>
      <c r="D102" s="93"/>
      <c r="E102" s="94"/>
    </row>
    <row r="103">
      <c r="A103" s="92" t="s">
        <v>668</v>
      </c>
      <c r="B103" s="93">
        <v>17479.24</v>
      </c>
      <c r="C103" s="93"/>
      <c r="D103" s="93"/>
      <c r="E103" s="94"/>
    </row>
    <row r="104">
      <c r="A104" s="92" t="s">
        <v>988</v>
      </c>
      <c r="B104" s="93">
        <v>18399.2</v>
      </c>
      <c r="C104" s="93"/>
      <c r="D104" s="93"/>
      <c r="E104" s="94"/>
    </row>
    <row r="105">
      <c r="A105" s="92" t="s">
        <v>1065</v>
      </c>
      <c r="B105" s="93">
        <v>18399.2</v>
      </c>
      <c r="C105" s="93"/>
      <c r="D105" s="93"/>
      <c r="E105" s="94"/>
    </row>
    <row r="106">
      <c r="A106" s="92" t="s">
        <v>183</v>
      </c>
      <c r="B106" s="93">
        <v>5995.64</v>
      </c>
      <c r="C106" s="93"/>
      <c r="D106" s="93"/>
      <c r="E106" s="94"/>
    </row>
    <row r="107">
      <c r="A107" s="92" t="s">
        <v>213</v>
      </c>
      <c r="B107" s="93">
        <v>9879.24</v>
      </c>
      <c r="C107" s="93"/>
      <c r="D107" s="93"/>
      <c r="E107" s="94"/>
    </row>
    <row r="108">
      <c r="A108" s="92" t="s">
        <v>3414</v>
      </c>
      <c r="B108" s="93">
        <v>1299.0</v>
      </c>
      <c r="C108" s="93"/>
      <c r="D108" s="93"/>
      <c r="E108" s="94"/>
    </row>
    <row r="109">
      <c r="A109" s="92" t="s">
        <v>5338</v>
      </c>
      <c r="B109" s="93">
        <v>1699.0</v>
      </c>
      <c r="C109" s="93"/>
      <c r="D109" s="93"/>
      <c r="E109" s="94"/>
    </row>
    <row r="110">
      <c r="A110" s="92" t="s">
        <v>849</v>
      </c>
      <c r="B110" s="93">
        <v>10719.2</v>
      </c>
      <c r="C110" s="93"/>
      <c r="D110" s="93"/>
      <c r="E110" s="94"/>
    </row>
    <row r="111">
      <c r="A111" s="92" t="s">
        <v>893</v>
      </c>
      <c r="B111" s="93">
        <v>11359.2</v>
      </c>
      <c r="C111" s="93"/>
      <c r="D111" s="93"/>
      <c r="E111" s="94"/>
    </row>
    <row r="112">
      <c r="A112" s="92" t="s">
        <v>1897</v>
      </c>
      <c r="B112" s="93">
        <v>32759.16</v>
      </c>
      <c r="C112" s="93"/>
      <c r="D112" s="93"/>
      <c r="E112" s="94"/>
    </row>
    <row r="113">
      <c r="A113" s="92" t="s">
        <v>1703</v>
      </c>
      <c r="B113" s="93">
        <v>15959.16</v>
      </c>
      <c r="C113" s="93"/>
      <c r="D113" s="93"/>
      <c r="E113" s="94"/>
    </row>
    <row r="114">
      <c r="A114" s="92" t="s">
        <v>2182</v>
      </c>
      <c r="B114" s="93">
        <v>1949.0</v>
      </c>
      <c r="C114" s="93"/>
      <c r="D114" s="93"/>
      <c r="E114" s="94"/>
    </row>
    <row r="115">
      <c r="A115" s="92" t="s">
        <v>2111</v>
      </c>
      <c r="B115" s="93">
        <v>23999.2</v>
      </c>
      <c r="C115" s="93"/>
      <c r="D115" s="93"/>
      <c r="E115" s="94"/>
    </row>
    <row r="116">
      <c r="A116" s="92" t="s">
        <v>2367</v>
      </c>
      <c r="B116" s="93">
        <v>1499.0</v>
      </c>
      <c r="C116" s="93"/>
      <c r="D116" s="93"/>
      <c r="E116" s="94"/>
    </row>
    <row r="117">
      <c r="A117" s="92" t="s">
        <v>868</v>
      </c>
      <c r="B117" s="93">
        <v>13199.2</v>
      </c>
      <c r="C117" s="93"/>
      <c r="D117" s="93"/>
      <c r="E117" s="94"/>
    </row>
    <row r="118">
      <c r="A118" s="92" t="s">
        <v>1022</v>
      </c>
      <c r="B118" s="93">
        <v>15999.2</v>
      </c>
      <c r="C118" s="93"/>
      <c r="D118" s="93"/>
      <c r="E118" s="94"/>
    </row>
    <row r="119">
      <c r="A119" s="92" t="s">
        <v>1053</v>
      </c>
      <c r="B119" s="93">
        <v>18399.2</v>
      </c>
      <c r="C119" s="93"/>
      <c r="D119" s="93"/>
      <c r="E119" s="94"/>
    </row>
    <row r="120">
      <c r="A120" s="92" t="s">
        <v>3798</v>
      </c>
      <c r="B120" s="93">
        <v>5949.3</v>
      </c>
      <c r="C120" s="93"/>
      <c r="D120" s="93"/>
      <c r="E120" s="94"/>
    </row>
    <row r="121">
      <c r="A121" s="92" t="s">
        <v>258</v>
      </c>
      <c r="B121" s="93">
        <v>12615.24</v>
      </c>
      <c r="C121" s="93"/>
      <c r="D121" s="93"/>
      <c r="E121" s="94"/>
    </row>
    <row r="122">
      <c r="A122" s="92" t="s">
        <v>1747</v>
      </c>
      <c r="B122" s="93">
        <v>20999.16</v>
      </c>
      <c r="C122" s="93"/>
      <c r="D122" s="93"/>
      <c r="E122" s="94"/>
    </row>
    <row r="123">
      <c r="A123" s="92" t="s">
        <v>1560</v>
      </c>
      <c r="B123" s="93">
        <v>14629.23</v>
      </c>
      <c r="C123" s="93"/>
      <c r="D123" s="93"/>
      <c r="E123" s="94"/>
    </row>
    <row r="124">
      <c r="A124" s="92" t="s">
        <v>2415</v>
      </c>
      <c r="B124" s="93">
        <v>1899.0</v>
      </c>
      <c r="C124" s="93"/>
      <c r="D124" s="93"/>
      <c r="E124" s="94"/>
    </row>
    <row r="125">
      <c r="A125" s="92" t="s">
        <v>1138</v>
      </c>
      <c r="B125" s="93">
        <v>1899.0</v>
      </c>
      <c r="C125" s="93"/>
      <c r="D125" s="93"/>
      <c r="E125" s="94"/>
    </row>
    <row r="126">
      <c r="A126" s="92" t="s">
        <v>1815</v>
      </c>
      <c r="B126" s="93">
        <v>29399.16</v>
      </c>
      <c r="C126" s="93"/>
      <c r="D126" s="93"/>
      <c r="E126" s="94"/>
    </row>
    <row r="127">
      <c r="A127" s="92" t="s">
        <v>2274</v>
      </c>
      <c r="B127" s="93">
        <v>890.1</v>
      </c>
      <c r="C127" s="93"/>
      <c r="D127" s="93"/>
      <c r="E127" s="93"/>
    </row>
    <row r="128">
      <c r="A128" s="92" t="s">
        <v>3404</v>
      </c>
      <c r="B128" s="93">
        <v>899.0</v>
      </c>
      <c r="C128" s="93"/>
      <c r="D128" s="93"/>
      <c r="E128" s="93"/>
    </row>
    <row r="129">
      <c r="A129" s="92" t="s">
        <v>1740</v>
      </c>
      <c r="B129" s="93">
        <v>20999.16</v>
      </c>
      <c r="C129" s="93"/>
      <c r="D129" s="93"/>
      <c r="E129" s="94"/>
    </row>
    <row r="130">
      <c r="A130" s="92" t="s">
        <v>5340</v>
      </c>
      <c r="B130" s="93">
        <v>12143.34</v>
      </c>
      <c r="C130" s="93"/>
      <c r="D130" s="94"/>
      <c r="E130" s="94"/>
    </row>
    <row r="131">
      <c r="A131" s="92" t="s">
        <v>3814</v>
      </c>
      <c r="B131" s="93">
        <v>6649.3</v>
      </c>
      <c r="C131" s="93"/>
      <c r="D131" s="93"/>
      <c r="E131" s="94"/>
    </row>
    <row r="132">
      <c r="A132" s="92" t="s">
        <v>2470</v>
      </c>
      <c r="B132" s="93">
        <v>1899.0</v>
      </c>
      <c r="C132" s="93"/>
      <c r="D132" s="93"/>
      <c r="E132" s="94"/>
    </row>
    <row r="133">
      <c r="A133" s="92" t="s">
        <v>5341</v>
      </c>
      <c r="B133" s="93">
        <v>15377.34</v>
      </c>
      <c r="C133" s="93"/>
      <c r="D133" s="94"/>
      <c r="E133" s="94"/>
    </row>
    <row r="134">
      <c r="A134" s="92" t="s">
        <v>5342</v>
      </c>
      <c r="B134" s="93">
        <v>18215.34</v>
      </c>
      <c r="C134" s="93"/>
      <c r="D134" s="94"/>
      <c r="E134" s="94"/>
    </row>
    <row r="135">
      <c r="A135" s="92" t="s">
        <v>734</v>
      </c>
      <c r="B135" s="93">
        <v>10297.24</v>
      </c>
      <c r="C135" s="93"/>
      <c r="D135" s="93"/>
      <c r="E135" s="94"/>
    </row>
    <row r="136">
      <c r="A136" s="92" t="s">
        <v>239</v>
      </c>
      <c r="B136" s="93">
        <v>11323.24</v>
      </c>
      <c r="C136" s="93"/>
      <c r="D136" s="93"/>
      <c r="E136" s="94"/>
    </row>
    <row r="137">
      <c r="A137" s="92" t="s">
        <v>3123</v>
      </c>
      <c r="B137" s="93">
        <v>1999.0</v>
      </c>
      <c r="C137" s="93"/>
      <c r="D137" s="93"/>
      <c r="E137" s="94"/>
    </row>
    <row r="138">
      <c r="A138" s="92" t="s">
        <v>2411</v>
      </c>
      <c r="B138" s="93">
        <v>999.0</v>
      </c>
      <c r="C138" s="93"/>
      <c r="D138" s="93"/>
      <c r="E138" s="94"/>
    </row>
    <row r="139">
      <c r="A139" s="92" t="s">
        <v>2118</v>
      </c>
      <c r="B139" s="93">
        <v>23999.2</v>
      </c>
      <c r="C139" s="93"/>
      <c r="D139" s="93"/>
      <c r="E139" s="94"/>
    </row>
    <row r="140">
      <c r="A140" s="92" t="s">
        <v>817</v>
      </c>
      <c r="B140" s="93">
        <v>9199.2</v>
      </c>
      <c r="C140" s="93"/>
      <c r="D140" s="93"/>
      <c r="E140" s="94"/>
    </row>
    <row r="141">
      <c r="A141" s="92" t="s">
        <v>875</v>
      </c>
      <c r="B141" s="93">
        <v>13519.2</v>
      </c>
      <c r="C141" s="93"/>
      <c r="D141" s="93"/>
      <c r="E141" s="94"/>
    </row>
    <row r="142">
      <c r="A142" s="92" t="s">
        <v>969</v>
      </c>
      <c r="B142" s="93">
        <v>15999.2</v>
      </c>
      <c r="C142" s="93"/>
      <c r="D142" s="93"/>
      <c r="E142" s="94"/>
    </row>
    <row r="143">
      <c r="A143" s="92" t="s">
        <v>1034</v>
      </c>
      <c r="B143" s="93">
        <v>18399.2</v>
      </c>
      <c r="C143" s="93"/>
      <c r="D143" s="93"/>
      <c r="E143" s="94"/>
    </row>
    <row r="144">
      <c r="A144" s="92" t="s">
        <v>1078</v>
      </c>
      <c r="B144" s="93">
        <v>21599.2</v>
      </c>
      <c r="C144" s="93"/>
      <c r="D144" s="93"/>
      <c r="E144" s="94"/>
    </row>
    <row r="145">
      <c r="A145" s="92" t="s">
        <v>2162</v>
      </c>
      <c r="B145" s="93">
        <v>4874.25</v>
      </c>
      <c r="C145" s="93"/>
      <c r="D145" s="93"/>
      <c r="E145" s="94"/>
    </row>
    <row r="146">
      <c r="A146" s="92" t="s">
        <v>652</v>
      </c>
      <c r="B146" s="93">
        <v>16719.24</v>
      </c>
      <c r="C146" s="93"/>
      <c r="D146" s="93"/>
      <c r="E146" s="94"/>
    </row>
    <row r="147">
      <c r="A147" s="92" t="s">
        <v>1886</v>
      </c>
      <c r="B147" s="93">
        <v>39479.16</v>
      </c>
      <c r="C147" s="93"/>
      <c r="D147" s="93"/>
      <c r="E147" s="94"/>
    </row>
    <row r="148">
      <c r="A148" s="92" t="s">
        <v>5343</v>
      </c>
      <c r="B148" s="93">
        <v>10823.34</v>
      </c>
      <c r="C148" s="93"/>
      <c r="D148" s="94"/>
      <c r="E148" s="94"/>
    </row>
    <row r="149">
      <c r="A149" s="92" t="s">
        <v>3861</v>
      </c>
      <c r="B149" s="93">
        <v>1401.75</v>
      </c>
      <c r="C149" s="93"/>
      <c r="D149" s="93"/>
      <c r="E149" s="94"/>
    </row>
    <row r="150">
      <c r="A150" s="92" t="s">
        <v>37</v>
      </c>
      <c r="B150" s="93">
        <v>8359.24</v>
      </c>
      <c r="C150" s="93"/>
      <c r="D150" s="93"/>
      <c r="E150" s="94"/>
    </row>
    <row r="151">
      <c r="A151" s="92" t="s">
        <v>576</v>
      </c>
      <c r="B151" s="93">
        <v>13831.24</v>
      </c>
      <c r="C151" s="93"/>
      <c r="D151" s="93"/>
      <c r="E151" s="94"/>
    </row>
    <row r="152">
      <c r="A152" s="92" t="s">
        <v>1891</v>
      </c>
      <c r="B152" s="93">
        <v>32759.16</v>
      </c>
      <c r="C152" s="93"/>
      <c r="D152" s="93"/>
      <c r="E152" s="94"/>
    </row>
    <row r="153">
      <c r="A153" s="92" t="s">
        <v>1915</v>
      </c>
      <c r="B153" s="93">
        <v>40991.16</v>
      </c>
      <c r="C153" s="93"/>
      <c r="D153" s="93"/>
      <c r="E153" s="94"/>
    </row>
    <row r="154">
      <c r="A154" s="92" t="s">
        <v>1688</v>
      </c>
      <c r="B154" s="93">
        <v>15959.16</v>
      </c>
      <c r="C154" s="93"/>
      <c r="D154" s="93"/>
      <c r="E154" s="94"/>
    </row>
    <row r="155">
      <c r="A155" s="92" t="s">
        <v>1530</v>
      </c>
      <c r="B155" s="93">
        <v>11549.23</v>
      </c>
      <c r="C155" s="93"/>
      <c r="D155" s="93"/>
      <c r="E155" s="94"/>
    </row>
    <row r="156">
      <c r="A156" s="92" t="s">
        <v>2404</v>
      </c>
      <c r="B156" s="93">
        <v>3699.0</v>
      </c>
      <c r="C156" s="93"/>
      <c r="D156" s="93"/>
      <c r="E156" s="94"/>
    </row>
    <row r="157">
      <c r="A157" s="92" t="s">
        <v>2454</v>
      </c>
      <c r="B157" s="93">
        <v>4299.0</v>
      </c>
      <c r="C157" s="93"/>
      <c r="D157" s="93"/>
      <c r="E157" s="94"/>
    </row>
    <row r="158">
      <c r="A158" s="92" t="s">
        <v>5344</v>
      </c>
      <c r="B158" s="93">
        <v>7919.34</v>
      </c>
      <c r="C158" s="93"/>
      <c r="D158" s="94"/>
      <c r="E158" s="94"/>
    </row>
    <row r="159">
      <c r="A159" s="92" t="s">
        <v>3783</v>
      </c>
      <c r="B159" s="93">
        <v>3709.3</v>
      </c>
      <c r="C159" s="93"/>
      <c r="D159" s="93"/>
      <c r="E159" s="94"/>
    </row>
    <row r="160">
      <c r="A160" s="92" t="s">
        <v>534</v>
      </c>
      <c r="B160" s="93">
        <v>8997.64</v>
      </c>
      <c r="C160" s="93"/>
      <c r="D160" s="93"/>
      <c r="E160" s="94"/>
    </row>
    <row r="161">
      <c r="A161" s="92" t="s">
        <v>60</v>
      </c>
      <c r="B161" s="93">
        <v>8815.24</v>
      </c>
      <c r="C161" s="93"/>
      <c r="D161" s="93"/>
      <c r="E161" s="94"/>
    </row>
    <row r="162">
      <c r="A162" s="92" t="s">
        <v>680</v>
      </c>
      <c r="B162" s="93">
        <v>17935.24</v>
      </c>
      <c r="C162" s="93"/>
      <c r="D162" s="93"/>
      <c r="E162" s="94"/>
    </row>
    <row r="163">
      <c r="A163" s="92" t="s">
        <v>2329</v>
      </c>
      <c r="B163" s="93">
        <v>980.1</v>
      </c>
      <c r="C163" s="93"/>
      <c r="D163" s="93"/>
      <c r="E163" s="94"/>
    </row>
    <row r="164">
      <c r="A164" s="92" t="s">
        <v>1754</v>
      </c>
      <c r="B164" s="93">
        <v>20999.16</v>
      </c>
      <c r="C164" s="93"/>
      <c r="D164" s="93"/>
      <c r="E164" s="94"/>
    </row>
    <row r="165">
      <c r="A165" s="92" t="s">
        <v>824</v>
      </c>
      <c r="B165" s="93">
        <v>9519.2</v>
      </c>
      <c r="C165" s="93"/>
      <c r="D165" s="93"/>
      <c r="E165" s="94"/>
    </row>
    <row r="166">
      <c r="A166" s="92" t="s">
        <v>3793</v>
      </c>
      <c r="B166" s="93">
        <v>4899.3</v>
      </c>
      <c r="C166" s="93"/>
      <c r="D166" s="93"/>
      <c r="E166" s="94"/>
    </row>
    <row r="167">
      <c r="A167" s="92" t="s">
        <v>2167</v>
      </c>
      <c r="B167" s="93">
        <v>5624.25</v>
      </c>
      <c r="C167" s="93"/>
      <c r="D167" s="93"/>
      <c r="E167" s="94"/>
    </row>
    <row r="168">
      <c r="A168" s="92" t="s">
        <v>367</v>
      </c>
      <c r="B168" s="93">
        <v>13831.24</v>
      </c>
      <c r="C168" s="93"/>
      <c r="D168" s="93"/>
      <c r="E168" s="94"/>
    </row>
    <row r="169">
      <c r="A169" s="92" t="s">
        <v>1836</v>
      </c>
      <c r="B169" s="93">
        <v>29399.16</v>
      </c>
      <c r="C169" s="93"/>
      <c r="D169" s="93"/>
      <c r="E169" s="94"/>
    </row>
    <row r="170">
      <c r="A170" s="92" t="s">
        <v>1565</v>
      </c>
      <c r="B170" s="93">
        <v>14629.23</v>
      </c>
      <c r="C170" s="93"/>
      <c r="D170" s="93"/>
      <c r="E170" s="94"/>
    </row>
    <row r="171">
      <c r="A171" s="92" t="s">
        <v>1585</v>
      </c>
      <c r="B171" s="93">
        <v>20019.23</v>
      </c>
      <c r="C171" s="93"/>
      <c r="D171" s="93"/>
      <c r="E171" s="94"/>
    </row>
    <row r="172">
      <c r="A172" s="92" t="s">
        <v>2071</v>
      </c>
      <c r="B172" s="93">
        <v>20799.2</v>
      </c>
      <c r="C172" s="93"/>
      <c r="D172" s="93"/>
      <c r="E172" s="94"/>
    </row>
    <row r="173">
      <c r="A173" s="92" t="s">
        <v>804</v>
      </c>
      <c r="B173" s="93">
        <v>8799.2</v>
      </c>
      <c r="C173" s="93"/>
      <c r="D173" s="93"/>
      <c r="E173" s="94"/>
    </row>
    <row r="174">
      <c r="A174" s="92" t="s">
        <v>899</v>
      </c>
      <c r="B174" s="93">
        <v>11759.2</v>
      </c>
      <c r="C174" s="93"/>
      <c r="D174" s="93"/>
      <c r="E174" s="94"/>
    </row>
    <row r="175">
      <c r="A175" s="92" t="s">
        <v>5345</v>
      </c>
      <c r="B175" s="93">
        <v>11615.34</v>
      </c>
      <c r="C175" s="93"/>
      <c r="D175" s="94"/>
      <c r="E175" s="94"/>
    </row>
    <row r="176">
      <c r="A176" s="92" t="s">
        <v>528</v>
      </c>
      <c r="B176" s="93">
        <v>8792.44</v>
      </c>
      <c r="C176" s="93"/>
      <c r="D176" s="93"/>
      <c r="E176" s="94"/>
    </row>
    <row r="177">
      <c r="A177" s="92" t="s">
        <v>220</v>
      </c>
      <c r="B177" s="93">
        <v>10183.24</v>
      </c>
      <c r="C177" s="93"/>
      <c r="D177" s="93"/>
      <c r="E177" s="94"/>
    </row>
    <row r="178">
      <c r="A178" s="92" t="s">
        <v>745</v>
      </c>
      <c r="B178" s="93">
        <v>10996.44</v>
      </c>
      <c r="C178" s="93"/>
      <c r="D178" s="93"/>
      <c r="E178" s="94"/>
    </row>
    <row r="179">
      <c r="A179" s="92" t="s">
        <v>2262</v>
      </c>
      <c r="B179" s="93">
        <v>890.1</v>
      </c>
      <c r="C179" s="93"/>
      <c r="D179" s="93"/>
      <c r="E179" s="93"/>
    </row>
    <row r="180">
      <c r="A180" s="92" t="s">
        <v>1663</v>
      </c>
      <c r="B180" s="93">
        <v>23099.23</v>
      </c>
      <c r="C180" s="93"/>
      <c r="D180" s="93"/>
      <c r="E180" s="94"/>
    </row>
    <row r="181">
      <c r="A181" s="92" t="s">
        <v>1540</v>
      </c>
      <c r="B181" s="93">
        <v>11549.23</v>
      </c>
      <c r="C181" s="93"/>
      <c r="D181" s="93"/>
      <c r="E181" s="94"/>
    </row>
    <row r="182">
      <c r="A182" s="92" t="s">
        <v>3479</v>
      </c>
      <c r="B182" s="93">
        <v>2499.0</v>
      </c>
      <c r="C182" s="93"/>
      <c r="D182" s="93"/>
      <c r="E182" s="94"/>
    </row>
    <row r="183">
      <c r="A183" s="92" t="s">
        <v>5346</v>
      </c>
      <c r="B183" s="93">
        <v>12671.34</v>
      </c>
      <c r="C183" s="93"/>
      <c r="D183" s="94"/>
      <c r="E183" s="94"/>
    </row>
    <row r="184">
      <c r="A184" s="92" t="s">
        <v>5347</v>
      </c>
      <c r="B184" s="93">
        <v>13001.34</v>
      </c>
      <c r="C184" s="93"/>
      <c r="D184" s="94"/>
      <c r="E184" s="94"/>
    </row>
    <row r="185">
      <c r="A185" s="92" t="s">
        <v>2007</v>
      </c>
      <c r="B185" s="93">
        <v>5249.3</v>
      </c>
      <c r="C185" s="93"/>
      <c r="D185" s="93"/>
      <c r="E185" s="94"/>
    </row>
    <row r="186">
      <c r="A186" s="92" t="s">
        <v>2152</v>
      </c>
      <c r="B186" s="93">
        <v>4874.25</v>
      </c>
      <c r="C186" s="93"/>
      <c r="D186" s="93"/>
      <c r="E186" s="94"/>
    </row>
    <row r="187">
      <c r="A187" s="92" t="s">
        <v>16</v>
      </c>
      <c r="B187" s="93">
        <v>7143.24</v>
      </c>
      <c r="C187" s="93"/>
      <c r="D187" s="93"/>
      <c r="E187" s="94"/>
    </row>
    <row r="188">
      <c r="A188" s="92" t="s">
        <v>609</v>
      </c>
      <c r="B188" s="93">
        <v>17479.24</v>
      </c>
      <c r="C188" s="93"/>
      <c r="D188" s="93"/>
      <c r="E188" s="94"/>
    </row>
    <row r="189">
      <c r="A189" s="92" t="s">
        <v>659</v>
      </c>
      <c r="B189" s="93">
        <v>19759.24</v>
      </c>
      <c r="C189" s="93"/>
      <c r="D189" s="93"/>
      <c r="E189" s="94"/>
    </row>
    <row r="190">
      <c r="A190" s="92" t="s">
        <v>614</v>
      </c>
      <c r="B190" s="93">
        <v>15503.24</v>
      </c>
      <c r="C190" s="93"/>
      <c r="D190" s="93"/>
      <c r="E190" s="94"/>
    </row>
    <row r="191">
      <c r="A191" s="92" t="s">
        <v>1808</v>
      </c>
      <c r="B191" s="93">
        <v>29399.16</v>
      </c>
      <c r="C191" s="93"/>
      <c r="D191" s="93"/>
      <c r="E191" s="94"/>
    </row>
    <row r="192">
      <c r="A192" s="92" t="s">
        <v>1658</v>
      </c>
      <c r="B192" s="93">
        <v>23099.23</v>
      </c>
      <c r="C192" s="93"/>
      <c r="D192" s="93"/>
      <c r="E192" s="94"/>
    </row>
    <row r="193">
      <c r="A193" s="92" t="s">
        <v>1648</v>
      </c>
      <c r="B193" s="93">
        <v>23099.23</v>
      </c>
      <c r="C193" s="93"/>
      <c r="D193" s="93"/>
      <c r="E193" s="94"/>
    </row>
    <row r="194">
      <c r="A194" s="92" t="s">
        <v>2418</v>
      </c>
      <c r="B194" s="93">
        <v>3899.0</v>
      </c>
      <c r="C194" s="93"/>
      <c r="D194" s="93"/>
      <c r="E194" s="94"/>
    </row>
    <row r="195">
      <c r="A195" s="92" t="s">
        <v>2078</v>
      </c>
      <c r="B195" s="93">
        <v>20799.2</v>
      </c>
      <c r="C195" s="93"/>
      <c r="D195" s="93"/>
      <c r="E195" s="94"/>
    </row>
    <row r="196">
      <c r="A196" s="92" t="s">
        <v>5348</v>
      </c>
      <c r="B196" s="93">
        <v>12473.34</v>
      </c>
      <c r="C196" s="93"/>
      <c r="D196" s="94"/>
      <c r="E196" s="94"/>
    </row>
    <row r="197">
      <c r="A197" s="92" t="s">
        <v>2000</v>
      </c>
      <c r="B197" s="93">
        <v>4899.3</v>
      </c>
      <c r="C197" s="93"/>
      <c r="D197" s="93"/>
      <c r="E197" s="94"/>
    </row>
    <row r="198">
      <c r="A198" s="92" t="s">
        <v>2172</v>
      </c>
      <c r="B198" s="93">
        <v>5624.25</v>
      </c>
      <c r="C198" s="93"/>
      <c r="D198" s="93"/>
      <c r="E198" s="94"/>
    </row>
    <row r="199">
      <c r="A199" s="92" t="s">
        <v>30</v>
      </c>
      <c r="B199" s="93">
        <v>8055.24</v>
      </c>
      <c r="C199" s="93"/>
      <c r="D199" s="93"/>
      <c r="E199" s="94"/>
    </row>
    <row r="200">
      <c r="A200" s="92" t="s">
        <v>246</v>
      </c>
      <c r="B200" s="93">
        <v>11399.24</v>
      </c>
      <c r="C200" s="93"/>
      <c r="D200" s="93"/>
      <c r="E200" s="94"/>
    </row>
    <row r="201">
      <c r="A201" s="92" t="s">
        <v>2335</v>
      </c>
      <c r="B201" s="93">
        <v>980.1</v>
      </c>
      <c r="C201" s="93"/>
      <c r="D201" s="93"/>
      <c r="E201" s="94"/>
    </row>
    <row r="202">
      <c r="A202" s="92" t="s">
        <v>1803</v>
      </c>
      <c r="B202" s="93">
        <v>30239.16</v>
      </c>
      <c r="C202" s="93"/>
      <c r="D202" s="93"/>
      <c r="E202" s="94"/>
    </row>
    <row r="203">
      <c r="A203" s="92" t="s">
        <v>1696</v>
      </c>
      <c r="B203" s="93">
        <v>15959.16</v>
      </c>
      <c r="C203" s="93"/>
      <c r="D203" s="93"/>
      <c r="E203" s="94"/>
    </row>
    <row r="204">
      <c r="A204" s="92" t="s">
        <v>1834</v>
      </c>
      <c r="B204" s="93">
        <v>29399.16</v>
      </c>
      <c r="C204" s="93"/>
      <c r="D204" s="93"/>
      <c r="E204" s="94"/>
    </row>
    <row r="205">
      <c r="A205" s="92" t="s">
        <v>964</v>
      </c>
      <c r="B205" s="93">
        <v>15999.2</v>
      </c>
      <c r="C205" s="93"/>
      <c r="D205" s="93"/>
      <c r="E205" s="94"/>
    </row>
    <row r="206">
      <c r="A206" s="92" t="s">
        <v>5349</v>
      </c>
      <c r="B206" s="93">
        <v>6929.34</v>
      </c>
      <c r="C206" s="93"/>
      <c r="D206" s="94"/>
      <c r="E206" s="94"/>
    </row>
    <row r="207">
      <c r="A207" s="92" t="s">
        <v>2147</v>
      </c>
      <c r="B207" s="93">
        <v>4124.25</v>
      </c>
      <c r="C207" s="93"/>
      <c r="D207" s="93"/>
      <c r="E207" s="94"/>
    </row>
    <row r="208">
      <c r="A208" s="92" t="s">
        <v>315</v>
      </c>
      <c r="B208" s="93">
        <v>7796.84</v>
      </c>
      <c r="C208" s="93"/>
      <c r="D208" s="93"/>
      <c r="E208" s="94"/>
    </row>
    <row r="209">
      <c r="A209" s="92" t="s">
        <v>401</v>
      </c>
      <c r="B209" s="93">
        <v>15047.24</v>
      </c>
      <c r="C209" s="93"/>
      <c r="D209" s="93"/>
      <c r="E209" s="94"/>
    </row>
    <row r="210">
      <c r="A210" s="92" t="s">
        <v>5350</v>
      </c>
      <c r="B210" s="93">
        <v>2690.0</v>
      </c>
      <c r="C210" s="93"/>
      <c r="D210" s="93"/>
      <c r="E210" s="94"/>
    </row>
    <row r="211">
      <c r="A211" s="92" t="s">
        <v>1653</v>
      </c>
      <c r="B211" s="93">
        <v>24639.23</v>
      </c>
      <c r="C211" s="93"/>
      <c r="D211" s="93"/>
      <c r="E211" s="94"/>
    </row>
    <row r="212">
      <c r="A212" s="92" t="s">
        <v>1590</v>
      </c>
      <c r="B212" s="93">
        <v>20019.23</v>
      </c>
      <c r="C212" s="93"/>
      <c r="D212" s="93"/>
      <c r="E212" s="94"/>
    </row>
    <row r="213">
      <c r="A213" s="92" t="s">
        <v>4403</v>
      </c>
      <c r="B213" s="93">
        <v>5609.15</v>
      </c>
      <c r="C213" s="93"/>
      <c r="D213" s="93"/>
      <c r="E213" s="94"/>
    </row>
    <row r="214">
      <c r="A214" s="92" t="s">
        <v>2031</v>
      </c>
      <c r="B214" s="93">
        <v>15999.2</v>
      </c>
      <c r="C214" s="93"/>
      <c r="D214" s="93"/>
      <c r="E214" s="94"/>
    </row>
    <row r="215">
      <c r="A215" s="92" t="s">
        <v>986</v>
      </c>
      <c r="B215" s="93">
        <v>18399.2</v>
      </c>
      <c r="C215" s="93"/>
      <c r="D215" s="93"/>
      <c r="E215" s="94"/>
    </row>
    <row r="216">
      <c r="A216" s="92" t="s">
        <v>5351</v>
      </c>
      <c r="B216" s="93">
        <v>10823.34</v>
      </c>
      <c r="C216" s="93"/>
      <c r="D216" s="94"/>
      <c r="E216" s="94"/>
    </row>
    <row r="217">
      <c r="A217" s="92" t="s">
        <v>5352</v>
      </c>
      <c r="B217" s="93">
        <v>17621.34</v>
      </c>
      <c r="C217" s="93"/>
      <c r="D217" s="94"/>
      <c r="E217" s="94"/>
    </row>
    <row r="218">
      <c r="A218" s="92" t="s">
        <v>5353</v>
      </c>
      <c r="B218" s="93">
        <v>17621.34</v>
      </c>
      <c r="C218" s="93"/>
      <c r="D218" s="94"/>
      <c r="E218" s="94"/>
    </row>
    <row r="219">
      <c r="A219" s="92" t="s">
        <v>5354</v>
      </c>
      <c r="B219" s="93">
        <v>8117.34</v>
      </c>
      <c r="C219" s="93"/>
      <c r="D219" s="94"/>
      <c r="E219" s="94"/>
    </row>
    <row r="220">
      <c r="A220" s="92" t="s">
        <v>5355</v>
      </c>
      <c r="B220" s="93">
        <v>9503.34</v>
      </c>
      <c r="C220" s="93"/>
      <c r="D220" s="94"/>
      <c r="E220" s="94"/>
    </row>
    <row r="221">
      <c r="A221" s="92" t="s">
        <v>1121</v>
      </c>
      <c r="B221" s="93">
        <v>2999.0</v>
      </c>
      <c r="C221" s="93"/>
      <c r="D221" s="93"/>
      <c r="E221" s="94"/>
    </row>
    <row r="222">
      <c r="A222" s="92" t="s">
        <v>355</v>
      </c>
      <c r="B222" s="93">
        <v>13147.24</v>
      </c>
      <c r="C222" s="93"/>
      <c r="D222" s="93"/>
      <c r="E222" s="94"/>
    </row>
    <row r="223">
      <c r="A223" s="92" t="s">
        <v>361</v>
      </c>
      <c r="B223" s="93">
        <v>13451.24</v>
      </c>
      <c r="C223" s="93"/>
      <c r="D223" s="93"/>
      <c r="E223" s="94"/>
    </row>
    <row r="224">
      <c r="A224" s="92" t="s">
        <v>1153</v>
      </c>
      <c r="B224" s="93">
        <v>1742.3</v>
      </c>
      <c r="C224" s="93"/>
      <c r="D224" s="93"/>
      <c r="E224" s="94"/>
    </row>
    <row r="225">
      <c r="A225" s="92" t="s">
        <v>5356</v>
      </c>
      <c r="B225" s="93">
        <v>4449.0</v>
      </c>
      <c r="C225" s="93"/>
      <c r="D225" s="93"/>
      <c r="E225" s="94"/>
    </row>
    <row r="226">
      <c r="A226" s="92" t="s">
        <v>3765</v>
      </c>
      <c r="B226" s="93">
        <v>37399.0</v>
      </c>
      <c r="C226" s="93"/>
      <c r="D226" s="93"/>
      <c r="E226" s="94"/>
    </row>
    <row r="227">
      <c r="A227" s="92" t="s">
        <v>3593</v>
      </c>
      <c r="B227" s="93">
        <v>1945.65</v>
      </c>
      <c r="C227" s="93"/>
      <c r="D227" s="93"/>
      <c r="E227" s="94"/>
    </row>
    <row r="228">
      <c r="A228" s="92" t="s">
        <v>1535</v>
      </c>
      <c r="B228" s="93">
        <v>11549.23</v>
      </c>
      <c r="C228" s="93"/>
      <c r="D228" s="93"/>
      <c r="E228" s="94"/>
    </row>
    <row r="229">
      <c r="A229" s="92" t="s">
        <v>1605</v>
      </c>
      <c r="B229" s="93">
        <v>20019.23</v>
      </c>
      <c r="C229" s="93"/>
      <c r="D229" s="93"/>
      <c r="E229" s="94"/>
    </row>
    <row r="230">
      <c r="A230" s="92" t="s">
        <v>1612</v>
      </c>
      <c r="B230" s="93">
        <v>23099.23</v>
      </c>
      <c r="C230" s="93"/>
      <c r="D230" s="93"/>
      <c r="E230" s="94"/>
    </row>
    <row r="231">
      <c r="A231" s="92" t="s">
        <v>3841</v>
      </c>
      <c r="B231" s="93">
        <v>1899.0</v>
      </c>
      <c r="C231" s="93"/>
      <c r="D231" s="93"/>
      <c r="E231" s="94"/>
    </row>
    <row r="232">
      <c r="A232" s="92" t="s">
        <v>2132</v>
      </c>
      <c r="B232" s="93">
        <v>25599.2</v>
      </c>
      <c r="C232" s="93"/>
      <c r="D232" s="93"/>
      <c r="E232" s="94"/>
    </row>
    <row r="233">
      <c r="A233" s="92" t="s">
        <v>2477</v>
      </c>
      <c r="B233" s="93">
        <v>3499.0</v>
      </c>
      <c r="C233" s="93"/>
      <c r="D233" s="93"/>
      <c r="E233" s="94"/>
    </row>
    <row r="234">
      <c r="A234" s="92" t="s">
        <v>1038</v>
      </c>
      <c r="B234" s="93">
        <v>20799.2</v>
      </c>
      <c r="C234" s="93"/>
      <c r="D234" s="93"/>
      <c r="E234" s="94"/>
    </row>
    <row r="235">
      <c r="A235" s="92" t="s">
        <v>962</v>
      </c>
      <c r="B235" s="93">
        <v>15999.2</v>
      </c>
      <c r="C235" s="93"/>
      <c r="D235" s="93"/>
      <c r="E235" s="94"/>
    </row>
    <row r="236">
      <c r="A236" s="92" t="s">
        <v>5357</v>
      </c>
      <c r="B236" s="93">
        <v>8117.34</v>
      </c>
      <c r="C236" s="93"/>
      <c r="D236" s="94"/>
      <c r="E236" s="94"/>
    </row>
    <row r="237">
      <c r="A237" s="92" t="s">
        <v>5358</v>
      </c>
      <c r="B237" s="93">
        <v>8777.34</v>
      </c>
      <c r="C237" s="93"/>
      <c r="D237" s="94"/>
      <c r="E237" s="94"/>
    </row>
    <row r="238">
      <c r="A238" s="92" t="s">
        <v>53</v>
      </c>
      <c r="B238" s="93">
        <v>7903.24</v>
      </c>
      <c r="C238" s="93"/>
      <c r="D238" s="93"/>
      <c r="E238" s="94"/>
    </row>
    <row r="239">
      <c r="A239" s="92" t="s">
        <v>74</v>
      </c>
      <c r="B239" s="93">
        <v>9347.24</v>
      </c>
      <c r="C239" s="93"/>
      <c r="D239" s="93"/>
      <c r="E239" s="94"/>
    </row>
    <row r="240">
      <c r="A240" s="92" t="s">
        <v>412</v>
      </c>
      <c r="B240" s="93">
        <v>15731.24</v>
      </c>
      <c r="C240" s="93"/>
      <c r="D240" s="93"/>
      <c r="E240" s="94"/>
    </row>
    <row r="241">
      <c r="A241" s="92" t="s">
        <v>429</v>
      </c>
      <c r="B241" s="93">
        <v>15731.24</v>
      </c>
      <c r="C241" s="93"/>
      <c r="D241" s="93"/>
      <c r="E241" s="94"/>
    </row>
    <row r="242">
      <c r="A242" s="92" t="s">
        <v>627</v>
      </c>
      <c r="B242" s="93">
        <v>15883.24</v>
      </c>
      <c r="C242" s="93"/>
      <c r="D242" s="93"/>
      <c r="E242" s="94"/>
    </row>
    <row r="243">
      <c r="A243" s="92" t="s">
        <v>590</v>
      </c>
      <c r="B243" s="93">
        <v>13983.24</v>
      </c>
      <c r="C243" s="93"/>
      <c r="D243" s="93"/>
      <c r="E243" s="94"/>
    </row>
    <row r="244">
      <c r="A244" s="92" t="s">
        <v>1146</v>
      </c>
      <c r="B244" s="93">
        <v>1392.3</v>
      </c>
      <c r="C244" s="93"/>
      <c r="D244" s="93"/>
      <c r="E244" s="94"/>
    </row>
    <row r="245">
      <c r="A245" s="92" t="s">
        <v>1677</v>
      </c>
      <c r="B245" s="93">
        <v>27719.23</v>
      </c>
      <c r="C245" s="93"/>
      <c r="D245" s="93"/>
      <c r="E245" s="94"/>
    </row>
    <row r="246">
      <c r="A246" s="92" t="s">
        <v>1520</v>
      </c>
      <c r="B246" s="93">
        <v>10779.23</v>
      </c>
      <c r="C246" s="93"/>
      <c r="D246" s="93"/>
      <c r="E246" s="94"/>
    </row>
    <row r="247">
      <c r="A247" s="92" t="s">
        <v>1600</v>
      </c>
      <c r="B247" s="93">
        <v>20019.23</v>
      </c>
      <c r="C247" s="93"/>
      <c r="D247" s="93"/>
      <c r="E247" s="94"/>
    </row>
    <row r="248">
      <c r="A248" s="92" t="s">
        <v>2189</v>
      </c>
      <c r="B248" s="93">
        <v>2599.35</v>
      </c>
      <c r="C248" s="93"/>
      <c r="D248" s="93"/>
      <c r="E248" s="94"/>
    </row>
    <row r="249">
      <c r="A249" s="92" t="s">
        <v>1498</v>
      </c>
      <c r="B249" s="93">
        <v>616.55</v>
      </c>
      <c r="C249" s="93"/>
      <c r="D249" s="93"/>
      <c r="E249" s="93"/>
    </row>
    <row r="250">
      <c r="A250" s="92" t="s">
        <v>1513</v>
      </c>
      <c r="B250" s="93">
        <v>521.55</v>
      </c>
      <c r="C250" s="93"/>
      <c r="D250" s="93"/>
      <c r="E250" s="93"/>
    </row>
    <row r="251">
      <c r="A251" s="92" t="s">
        <v>2012</v>
      </c>
      <c r="B251" s="93">
        <v>5249.3</v>
      </c>
      <c r="C251" s="93"/>
      <c r="D251" s="93"/>
      <c r="E251" s="94"/>
    </row>
    <row r="252">
      <c r="A252" s="92" t="s">
        <v>1987</v>
      </c>
      <c r="B252" s="93">
        <v>4549.3</v>
      </c>
      <c r="C252" s="93"/>
      <c r="D252" s="93"/>
      <c r="E252" s="94"/>
    </row>
    <row r="253">
      <c r="A253" s="92" t="s">
        <v>2138</v>
      </c>
      <c r="B253" s="93">
        <v>3374.25</v>
      </c>
      <c r="C253" s="93"/>
      <c r="D253" s="93"/>
      <c r="E253" s="94"/>
    </row>
    <row r="254">
      <c r="A254" s="92" t="s">
        <v>505</v>
      </c>
      <c r="B254" s="93">
        <v>12136.44</v>
      </c>
      <c r="C254" s="93"/>
      <c r="D254" s="93"/>
      <c r="E254" s="94"/>
    </row>
    <row r="255">
      <c r="A255" s="92" t="s">
        <v>699</v>
      </c>
      <c r="B255" s="93">
        <v>20139.24</v>
      </c>
      <c r="C255" s="93"/>
      <c r="D255" s="93"/>
      <c r="E255" s="94"/>
    </row>
    <row r="256">
      <c r="A256" s="92" t="s">
        <v>663</v>
      </c>
      <c r="B256" s="93">
        <v>17479.24</v>
      </c>
      <c r="C256" s="93"/>
      <c r="D256" s="93"/>
      <c r="E256" s="94"/>
    </row>
    <row r="257">
      <c r="A257" s="92" t="s">
        <v>687</v>
      </c>
      <c r="B257" s="93">
        <v>18619.24</v>
      </c>
      <c r="C257" s="93"/>
      <c r="D257" s="93"/>
      <c r="E257" s="94"/>
    </row>
    <row r="258">
      <c r="A258" s="92" t="s">
        <v>2594</v>
      </c>
      <c r="B258" s="93">
        <v>2442.3</v>
      </c>
      <c r="C258" s="93"/>
      <c r="D258" s="93"/>
      <c r="E258" s="94"/>
    </row>
    <row r="259">
      <c r="A259" s="92" t="s">
        <v>2230</v>
      </c>
      <c r="B259" s="93">
        <v>800.1</v>
      </c>
      <c r="C259" s="93"/>
      <c r="D259" s="93"/>
      <c r="E259" s="93"/>
    </row>
    <row r="260">
      <c r="A260" s="92" t="s">
        <v>4669</v>
      </c>
      <c r="B260" s="93">
        <v>1529.1</v>
      </c>
      <c r="C260" s="93"/>
      <c r="D260" s="93"/>
      <c r="E260" s="94"/>
    </row>
    <row r="261">
      <c r="A261" s="92" t="s">
        <v>3761</v>
      </c>
      <c r="B261" s="93">
        <v>37399.0</v>
      </c>
      <c r="C261" s="93"/>
      <c r="D261" s="93"/>
      <c r="E261" s="94"/>
    </row>
    <row r="262">
      <c r="A262" s="92" t="s">
        <v>3116</v>
      </c>
      <c r="B262" s="93">
        <v>1999.0</v>
      </c>
      <c r="C262" s="93"/>
      <c r="D262" s="93"/>
      <c r="E262" s="94"/>
    </row>
    <row r="263">
      <c r="A263" s="92" t="s">
        <v>1469</v>
      </c>
      <c r="B263" s="93">
        <v>2399.2</v>
      </c>
      <c r="C263" s="93"/>
      <c r="D263" s="93"/>
      <c r="E263" s="94"/>
    </row>
    <row r="264">
      <c r="A264" s="92" t="s">
        <v>2481</v>
      </c>
      <c r="B264" s="93">
        <v>949.0</v>
      </c>
      <c r="C264" s="93"/>
      <c r="D264" s="93"/>
      <c r="E264" s="93"/>
    </row>
    <row r="265">
      <c r="A265" s="92" t="s">
        <v>1911</v>
      </c>
      <c r="B265" s="93">
        <v>37799.16</v>
      </c>
      <c r="C265" s="93"/>
      <c r="D265" s="93"/>
      <c r="E265" s="94"/>
    </row>
    <row r="266">
      <c r="A266" s="92" t="s">
        <v>1607</v>
      </c>
      <c r="B266" s="93">
        <v>20019.23</v>
      </c>
      <c r="C266" s="93"/>
      <c r="D266" s="93"/>
      <c r="E266" s="94"/>
    </row>
    <row r="267">
      <c r="A267" s="92" t="s">
        <v>4393</v>
      </c>
      <c r="B267" s="93">
        <v>5609.15</v>
      </c>
      <c r="C267" s="93"/>
      <c r="D267" s="93"/>
      <c r="E267" s="94"/>
    </row>
    <row r="268">
      <c r="A268" s="92" t="s">
        <v>4378</v>
      </c>
      <c r="B268" s="93">
        <v>4793.15</v>
      </c>
      <c r="C268" s="93"/>
      <c r="D268" s="93"/>
      <c r="E268" s="94"/>
    </row>
    <row r="269">
      <c r="A269" s="92" t="s">
        <v>2050</v>
      </c>
      <c r="B269" s="93">
        <v>18399.2</v>
      </c>
      <c r="C269" s="93"/>
      <c r="D269" s="93"/>
      <c r="E269" s="94"/>
    </row>
    <row r="270">
      <c r="A270" s="92" t="s">
        <v>2981</v>
      </c>
      <c r="B270" s="93">
        <v>2391.2</v>
      </c>
      <c r="C270" s="93"/>
      <c r="D270" s="93"/>
      <c r="E270" s="94"/>
    </row>
    <row r="271">
      <c r="A271" s="92" t="s">
        <v>2995</v>
      </c>
      <c r="B271" s="93">
        <v>2231.2</v>
      </c>
      <c r="C271" s="93"/>
      <c r="D271" s="93"/>
      <c r="E271" s="94"/>
    </row>
    <row r="272">
      <c r="A272" s="92" t="s">
        <v>2822</v>
      </c>
      <c r="B272" s="93">
        <v>1641.75</v>
      </c>
      <c r="C272" s="93"/>
      <c r="D272" s="93"/>
      <c r="E272" s="94"/>
    </row>
    <row r="273">
      <c r="A273" s="92" t="s">
        <v>2812</v>
      </c>
      <c r="B273" s="93">
        <v>1866.75</v>
      </c>
      <c r="C273" s="93"/>
      <c r="D273" s="93"/>
      <c r="E273" s="94"/>
    </row>
    <row r="274">
      <c r="A274" s="92" t="s">
        <v>2828</v>
      </c>
      <c r="B274" s="93">
        <v>1641.75</v>
      </c>
      <c r="C274" s="93"/>
      <c r="D274" s="93"/>
      <c r="E274" s="94"/>
    </row>
    <row r="275">
      <c r="A275" s="92" t="s">
        <v>1503</v>
      </c>
      <c r="B275" s="93">
        <v>521.55</v>
      </c>
      <c r="C275" s="93"/>
      <c r="D275" s="93"/>
      <c r="E275" s="93"/>
    </row>
    <row r="276">
      <c r="A276" s="92" t="s">
        <v>1493</v>
      </c>
      <c r="B276" s="93">
        <v>616.55</v>
      </c>
      <c r="C276" s="93"/>
      <c r="D276" s="93"/>
      <c r="E276" s="93"/>
    </row>
    <row r="277">
      <c r="A277" s="92" t="s">
        <v>932</v>
      </c>
      <c r="B277" s="93">
        <v>15999.2</v>
      </c>
      <c r="C277" s="93"/>
      <c r="D277" s="93"/>
      <c r="E277" s="94"/>
    </row>
    <row r="278">
      <c r="A278" s="92" t="s">
        <v>5360</v>
      </c>
      <c r="B278" s="93">
        <v>11021.34</v>
      </c>
      <c r="C278" s="93"/>
      <c r="D278" s="94"/>
      <c r="E278" s="94"/>
    </row>
    <row r="279">
      <c r="A279" s="92" t="s">
        <v>5361</v>
      </c>
      <c r="B279" s="93">
        <v>18743.34</v>
      </c>
      <c r="C279" s="93"/>
      <c r="D279" s="94"/>
      <c r="E279" s="94"/>
    </row>
    <row r="280">
      <c r="A280" s="92" t="s">
        <v>5362</v>
      </c>
      <c r="B280" s="93">
        <v>15245.34</v>
      </c>
      <c r="C280" s="93"/>
      <c r="D280" s="94"/>
      <c r="E280" s="94"/>
    </row>
    <row r="281">
      <c r="A281" s="92" t="s">
        <v>5363</v>
      </c>
      <c r="B281" s="93">
        <v>4665.65</v>
      </c>
      <c r="C281" s="93"/>
      <c r="D281" s="93"/>
      <c r="E281" s="94"/>
    </row>
    <row r="282">
      <c r="A282" s="92" t="s">
        <v>1115</v>
      </c>
      <c r="B282" s="93">
        <v>1599.0</v>
      </c>
      <c r="C282" s="93"/>
      <c r="D282" s="93"/>
      <c r="E282" s="94"/>
    </row>
    <row r="283">
      <c r="A283" s="92" t="s">
        <v>2018</v>
      </c>
      <c r="B283" s="93">
        <v>5599.3</v>
      </c>
      <c r="C283" s="93"/>
      <c r="D283" s="93"/>
      <c r="E283" s="94"/>
    </row>
    <row r="284">
      <c r="A284" s="92" t="s">
        <v>1974</v>
      </c>
      <c r="B284" s="93">
        <v>3149.3</v>
      </c>
      <c r="C284" s="93"/>
      <c r="D284" s="93"/>
      <c r="E284" s="94"/>
    </row>
    <row r="285">
      <c r="A285" s="92" t="s">
        <v>3788</v>
      </c>
      <c r="B285" s="93">
        <v>4199.3</v>
      </c>
      <c r="C285" s="93"/>
      <c r="D285" s="93"/>
      <c r="E285" s="94"/>
    </row>
    <row r="286">
      <c r="A286" s="92" t="s">
        <v>4784</v>
      </c>
      <c r="B286" s="93">
        <v>6299.3</v>
      </c>
      <c r="C286" s="93"/>
      <c r="D286" s="93"/>
      <c r="E286" s="94"/>
    </row>
    <row r="287">
      <c r="A287" s="92" t="s">
        <v>2157</v>
      </c>
      <c r="B287" s="93">
        <v>4874.25</v>
      </c>
      <c r="C287" s="93"/>
      <c r="D287" s="93"/>
      <c r="E287" s="94"/>
    </row>
    <row r="288">
      <c r="A288" s="92" t="s">
        <v>3851</v>
      </c>
      <c r="B288" s="93">
        <v>936.75</v>
      </c>
      <c r="C288" s="93"/>
      <c r="D288" s="93"/>
      <c r="E288" s="93"/>
    </row>
    <row r="289">
      <c r="A289" s="92" t="s">
        <v>499</v>
      </c>
      <c r="B289" s="93">
        <v>11923.64</v>
      </c>
      <c r="C289" s="93"/>
      <c r="D289" s="93"/>
      <c r="E289" s="94"/>
    </row>
    <row r="290">
      <c r="A290" s="92" t="s">
        <v>86</v>
      </c>
      <c r="B290" s="93">
        <v>9879.24</v>
      </c>
      <c r="C290" s="93"/>
      <c r="D290" s="93"/>
      <c r="E290" s="94"/>
    </row>
    <row r="291">
      <c r="A291" s="92" t="s">
        <v>272</v>
      </c>
      <c r="B291" s="93">
        <v>12919.24</v>
      </c>
      <c r="C291" s="93"/>
      <c r="D291" s="93"/>
      <c r="E291" s="94"/>
    </row>
    <row r="292">
      <c r="A292" s="92" t="s">
        <v>417</v>
      </c>
      <c r="B292" s="93">
        <v>15959.24</v>
      </c>
      <c r="C292" s="93"/>
      <c r="D292" s="93"/>
      <c r="E292" s="94"/>
    </row>
    <row r="293">
      <c r="A293" s="92" t="s">
        <v>455</v>
      </c>
      <c r="B293" s="93">
        <v>17859.24</v>
      </c>
      <c r="C293" s="93"/>
      <c r="D293" s="93"/>
      <c r="E293" s="94"/>
    </row>
    <row r="294">
      <c r="A294" s="92" t="s">
        <v>1170</v>
      </c>
      <c r="B294" s="93">
        <v>1742.3</v>
      </c>
      <c r="C294" s="93"/>
      <c r="D294" s="93"/>
      <c r="E294" s="94"/>
    </row>
    <row r="295">
      <c r="A295" s="92" t="s">
        <v>5364</v>
      </c>
      <c r="B295" s="93">
        <v>3142.3</v>
      </c>
      <c r="C295" s="93"/>
      <c r="D295" s="93"/>
      <c r="E295" s="94"/>
    </row>
    <row r="296">
      <c r="A296" s="92" t="s">
        <v>5365</v>
      </c>
      <c r="B296" s="93">
        <v>2092.3</v>
      </c>
      <c r="C296" s="93"/>
      <c r="D296" s="93"/>
      <c r="E296" s="94"/>
    </row>
    <row r="297">
      <c r="A297" s="92" t="s">
        <v>5366</v>
      </c>
      <c r="B297" s="93">
        <v>3142.3</v>
      </c>
      <c r="C297" s="93"/>
      <c r="D297" s="93"/>
      <c r="E297" s="94"/>
    </row>
    <row r="298">
      <c r="A298" s="92" t="s">
        <v>2268</v>
      </c>
      <c r="B298" s="93">
        <v>890.1</v>
      </c>
      <c r="C298" s="93"/>
      <c r="D298" s="93"/>
      <c r="E298" s="93"/>
    </row>
    <row r="299">
      <c r="A299" s="92" t="s">
        <v>3154</v>
      </c>
      <c r="B299" s="93">
        <v>2285.65</v>
      </c>
      <c r="C299" s="93"/>
      <c r="D299" s="93"/>
      <c r="E299" s="94"/>
    </row>
    <row r="300">
      <c r="A300" s="92" t="s">
        <v>3076</v>
      </c>
      <c r="B300" s="93">
        <v>1597.15</v>
      </c>
      <c r="C300" s="93"/>
      <c r="D300" s="93"/>
      <c r="E300" s="94"/>
    </row>
    <row r="301">
      <c r="A301" s="92" t="s">
        <v>2931</v>
      </c>
      <c r="B301" s="93">
        <v>3059.15</v>
      </c>
      <c r="C301" s="93"/>
      <c r="D301" s="93"/>
      <c r="E301" s="94"/>
    </row>
    <row r="302">
      <c r="A302" s="92" t="s">
        <v>1487</v>
      </c>
      <c r="B302" s="93">
        <v>2399.2</v>
      </c>
      <c r="C302" s="93"/>
      <c r="D302" s="93"/>
      <c r="E302" s="94"/>
    </row>
    <row r="303">
      <c r="A303" s="92" t="s">
        <v>5367</v>
      </c>
      <c r="B303" s="93">
        <v>4159.2</v>
      </c>
      <c r="C303" s="93"/>
      <c r="D303" s="93"/>
      <c r="E303" s="94"/>
    </row>
    <row r="304">
      <c r="A304" s="92" t="s">
        <v>1715</v>
      </c>
      <c r="B304" s="93">
        <v>17639.16</v>
      </c>
      <c r="C304" s="93"/>
      <c r="D304" s="93"/>
      <c r="E304" s="94"/>
    </row>
    <row r="305">
      <c r="A305" s="92" t="s">
        <v>1855</v>
      </c>
      <c r="B305" s="93">
        <v>32759.16</v>
      </c>
      <c r="C305" s="93"/>
      <c r="D305" s="93"/>
      <c r="E305" s="94"/>
    </row>
    <row r="306">
      <c r="A306" s="92" t="s">
        <v>1846</v>
      </c>
      <c r="B306" s="93">
        <v>36119.16</v>
      </c>
      <c r="C306" s="93"/>
      <c r="D306" s="93"/>
      <c r="E306" s="94"/>
    </row>
    <row r="307">
      <c r="A307" s="92" t="s">
        <v>4383</v>
      </c>
      <c r="B307" s="93">
        <v>4895.15</v>
      </c>
      <c r="C307" s="93"/>
      <c r="D307" s="93"/>
      <c r="E307" s="94"/>
    </row>
    <row r="308">
      <c r="A308" s="92" t="s">
        <v>4398</v>
      </c>
      <c r="B308" s="93">
        <v>5609.15</v>
      </c>
      <c r="C308" s="93"/>
      <c r="D308" s="93"/>
      <c r="E308" s="94"/>
    </row>
    <row r="309">
      <c r="A309" s="92" t="s">
        <v>4388</v>
      </c>
      <c r="B309" s="93">
        <v>4997.15</v>
      </c>
      <c r="C309" s="93"/>
      <c r="D309" s="93"/>
      <c r="E309" s="94"/>
    </row>
    <row r="310">
      <c r="A310" s="92" t="s">
        <v>2064</v>
      </c>
      <c r="B310" s="93">
        <v>18399.2</v>
      </c>
      <c r="C310" s="93"/>
      <c r="D310" s="93"/>
      <c r="E310" s="94"/>
    </row>
    <row r="311">
      <c r="A311" s="92" t="s">
        <v>2104</v>
      </c>
      <c r="B311" s="93">
        <v>22399.2</v>
      </c>
      <c r="C311" s="93"/>
      <c r="D311" s="93"/>
      <c r="E311" s="94"/>
    </row>
    <row r="312">
      <c r="A312" s="92" t="s">
        <v>2025</v>
      </c>
      <c r="B312" s="93">
        <v>14399.2</v>
      </c>
      <c r="C312" s="93"/>
      <c r="D312" s="93"/>
      <c r="E312" s="94"/>
    </row>
    <row r="313">
      <c r="A313" s="92" t="s">
        <v>2044</v>
      </c>
      <c r="B313" s="93">
        <v>15999.2</v>
      </c>
      <c r="C313" s="93"/>
      <c r="D313" s="93"/>
      <c r="E313" s="94"/>
    </row>
    <row r="314">
      <c r="A314" s="92" t="s">
        <v>2985</v>
      </c>
      <c r="B314" s="93">
        <v>2391.2</v>
      </c>
      <c r="C314" s="93"/>
      <c r="D314" s="93"/>
      <c r="E314" s="94"/>
    </row>
    <row r="315">
      <c r="A315" s="92" t="s">
        <v>2807</v>
      </c>
      <c r="B315" s="93">
        <v>1641.75</v>
      </c>
      <c r="C315" s="93"/>
      <c r="D315" s="93"/>
      <c r="E315" s="94"/>
    </row>
    <row r="316">
      <c r="A316" s="92" t="s">
        <v>2783</v>
      </c>
      <c r="B316" s="93">
        <v>1491.75</v>
      </c>
      <c r="C316" s="93"/>
      <c r="D316" s="93"/>
      <c r="E316" s="94"/>
    </row>
    <row r="317">
      <c r="A317" s="92" t="s">
        <v>3467</v>
      </c>
      <c r="B317" s="93">
        <v>474.05</v>
      </c>
      <c r="C317" s="93"/>
      <c r="D317" s="93"/>
      <c r="E317" s="93"/>
    </row>
    <row r="318">
      <c r="A318" s="92" t="s">
        <v>1508</v>
      </c>
      <c r="B318" s="93">
        <v>521.55</v>
      </c>
      <c r="C318" s="93"/>
      <c r="D318" s="93"/>
      <c r="E318" s="93"/>
    </row>
    <row r="319">
      <c r="A319" s="92" t="s">
        <v>5368</v>
      </c>
      <c r="B319" s="93">
        <v>20393.34</v>
      </c>
      <c r="C319" s="93"/>
      <c r="D319" s="94"/>
      <c r="E319" s="94"/>
    </row>
    <row r="320">
      <c r="A320" s="92" t="s">
        <v>5369</v>
      </c>
      <c r="B320" s="93">
        <v>21977.34</v>
      </c>
      <c r="C320" s="93"/>
      <c r="D320" s="94"/>
      <c r="E320" s="94"/>
    </row>
    <row r="321">
      <c r="A321" s="92" t="s">
        <v>5370</v>
      </c>
      <c r="B321" s="93">
        <v>15113.34</v>
      </c>
      <c r="C321" s="93"/>
      <c r="D321" s="94"/>
      <c r="E321" s="94"/>
    </row>
    <row r="322">
      <c r="A322" s="92" t="s">
        <v>5371</v>
      </c>
      <c r="B322" s="93">
        <v>6599.34</v>
      </c>
      <c r="C322" s="93"/>
      <c r="D322" s="94"/>
      <c r="E322" s="94"/>
    </row>
    <row r="323">
      <c r="A323" s="92" t="s">
        <v>5372</v>
      </c>
      <c r="B323" s="93">
        <v>8777.34</v>
      </c>
      <c r="C323" s="93"/>
      <c r="D323" s="94"/>
      <c r="E323" s="94"/>
    </row>
    <row r="324">
      <c r="A324" s="92" t="s">
        <v>5373</v>
      </c>
      <c r="B324" s="93">
        <v>3390.65</v>
      </c>
      <c r="C324" s="93"/>
      <c r="D324" s="93"/>
      <c r="E324" s="94"/>
    </row>
    <row r="325">
      <c r="A325" s="92" t="s">
        <v>1981</v>
      </c>
      <c r="B325" s="93">
        <v>3849.3</v>
      </c>
      <c r="C325" s="93"/>
      <c r="D325" s="93"/>
      <c r="E325" s="94"/>
    </row>
    <row r="326">
      <c r="A326" s="92" t="s">
        <v>1994</v>
      </c>
      <c r="B326" s="93">
        <v>4549.3</v>
      </c>
      <c r="C326" s="93"/>
      <c r="D326" s="93"/>
      <c r="E326" s="94"/>
    </row>
    <row r="327">
      <c r="A327" s="92" t="s">
        <v>2143</v>
      </c>
      <c r="B327" s="93">
        <v>3749.25</v>
      </c>
      <c r="C327" s="93"/>
      <c r="D327" s="93"/>
      <c r="E327" s="94"/>
    </row>
    <row r="328">
      <c r="A328" s="92" t="s">
        <v>134</v>
      </c>
      <c r="B328" s="93">
        <v>7804.44</v>
      </c>
      <c r="C328" s="93"/>
      <c r="D328" s="93"/>
      <c r="E328" s="94"/>
    </row>
    <row r="329">
      <c r="A329" s="92" t="s">
        <v>140</v>
      </c>
      <c r="B329" s="93">
        <v>7910.84</v>
      </c>
      <c r="C329" s="93"/>
      <c r="D329" s="93"/>
      <c r="E329" s="94"/>
    </row>
    <row r="330">
      <c r="A330" s="92" t="s">
        <v>67</v>
      </c>
      <c r="B330" s="93">
        <v>9119.24</v>
      </c>
      <c r="C330" s="93"/>
      <c r="D330" s="93"/>
      <c r="E330" s="94"/>
    </row>
    <row r="331">
      <c r="A331" s="92" t="s">
        <v>406</v>
      </c>
      <c r="B331" s="93">
        <v>15199.24</v>
      </c>
      <c r="C331" s="93"/>
      <c r="D331" s="93"/>
      <c r="E331" s="94"/>
    </row>
    <row r="332">
      <c r="A332" s="92" t="s">
        <v>449</v>
      </c>
      <c r="B332" s="93">
        <v>16339.24</v>
      </c>
      <c r="C332" s="93"/>
      <c r="D332" s="93"/>
      <c r="E332" s="94"/>
    </row>
    <row r="333">
      <c r="A333" s="92" t="s">
        <v>5374</v>
      </c>
      <c r="B333" s="93">
        <v>2092.3</v>
      </c>
      <c r="C333" s="93"/>
      <c r="D333" s="93"/>
      <c r="E333" s="94"/>
    </row>
    <row r="334">
      <c r="A334" s="92" t="s">
        <v>1165</v>
      </c>
      <c r="B334" s="93">
        <v>1392.3</v>
      </c>
      <c r="C334" s="93"/>
      <c r="D334" s="93"/>
      <c r="E334" s="94"/>
    </row>
    <row r="335">
      <c r="A335" s="92" t="s">
        <v>5375</v>
      </c>
      <c r="B335" s="93">
        <v>2442.3</v>
      </c>
      <c r="C335" s="93"/>
      <c r="D335" s="93"/>
      <c r="E335" s="94"/>
    </row>
    <row r="336">
      <c r="A336" s="92" t="s">
        <v>5376</v>
      </c>
      <c r="B336" s="93">
        <v>2442.3</v>
      </c>
      <c r="C336" s="93"/>
      <c r="D336" s="93"/>
      <c r="E336" s="94"/>
    </row>
    <row r="337">
      <c r="A337" s="92" t="s">
        <v>1183</v>
      </c>
      <c r="B337" s="93">
        <v>1742.3</v>
      </c>
      <c r="C337" s="93"/>
      <c r="D337" s="93"/>
      <c r="E337" s="94"/>
    </row>
    <row r="338">
      <c r="A338" s="92" t="s">
        <v>1178</v>
      </c>
      <c r="B338" s="93">
        <v>1392.3</v>
      </c>
      <c r="C338" s="93"/>
      <c r="D338" s="93"/>
      <c r="E338" s="94"/>
    </row>
    <row r="339">
      <c r="A339" s="92" t="s">
        <v>2236</v>
      </c>
      <c r="B339" s="93">
        <v>800.1</v>
      </c>
      <c r="C339" s="93"/>
      <c r="D339" s="93"/>
      <c r="E339" s="93"/>
    </row>
    <row r="340">
      <c r="A340" s="92" t="s">
        <v>2197</v>
      </c>
      <c r="B340" s="93">
        <v>710.1</v>
      </c>
      <c r="C340" s="93"/>
      <c r="D340" s="93"/>
      <c r="E340" s="93"/>
    </row>
    <row r="341">
      <c r="A341" s="92" t="s">
        <v>4654</v>
      </c>
      <c r="B341" s="93">
        <v>1529.1</v>
      </c>
      <c r="C341" s="93"/>
      <c r="D341" s="93"/>
      <c r="E341" s="94"/>
    </row>
    <row r="342">
      <c r="A342" s="92" t="s">
        <v>3131</v>
      </c>
      <c r="B342" s="93">
        <v>1999.0</v>
      </c>
      <c r="C342" s="93"/>
      <c r="D342" s="93"/>
      <c r="E342" s="94"/>
    </row>
    <row r="343">
      <c r="A343" s="92" t="s">
        <v>3089</v>
      </c>
      <c r="B343" s="93">
        <v>1597.15</v>
      </c>
      <c r="C343" s="93"/>
      <c r="D343" s="93"/>
      <c r="E343" s="94"/>
    </row>
    <row r="344">
      <c r="A344" s="92" t="s">
        <v>1431</v>
      </c>
      <c r="B344" s="93">
        <v>2399.2</v>
      </c>
      <c r="C344" s="93"/>
      <c r="D344" s="93"/>
      <c r="E344" s="94"/>
    </row>
    <row r="345">
      <c r="A345" s="92" t="s">
        <v>1413</v>
      </c>
      <c r="B345" s="93">
        <v>2119.2</v>
      </c>
      <c r="C345" s="93"/>
      <c r="D345" s="93"/>
      <c r="E345" s="94"/>
    </row>
    <row r="346">
      <c r="A346" s="92" t="s">
        <v>1394</v>
      </c>
      <c r="B346" s="93">
        <v>2119.2</v>
      </c>
      <c r="C346" s="93"/>
      <c r="D346" s="93"/>
      <c r="E346" s="94"/>
    </row>
    <row r="347">
      <c r="A347" s="92" t="s">
        <v>3658</v>
      </c>
      <c r="B347" s="93">
        <v>849.15</v>
      </c>
      <c r="C347" s="93"/>
      <c r="D347" s="93"/>
      <c r="E347" s="93"/>
    </row>
    <row r="348">
      <c r="A348" s="92" t="s">
        <v>1728</v>
      </c>
      <c r="B348" s="93">
        <v>17639.16</v>
      </c>
      <c r="C348" s="93"/>
      <c r="D348" s="93"/>
      <c r="E348" s="94"/>
    </row>
    <row r="349">
      <c r="A349" s="92" t="s">
        <v>4764</v>
      </c>
      <c r="B349" s="93">
        <v>20019.23</v>
      </c>
      <c r="C349" s="93"/>
      <c r="D349" s="93"/>
      <c r="E349" s="94"/>
    </row>
    <row r="350">
      <c r="A350" s="92" t="s">
        <v>2990</v>
      </c>
      <c r="B350" s="93">
        <v>2231.2</v>
      </c>
      <c r="C350" s="93"/>
      <c r="D350" s="93"/>
      <c r="E350" s="94"/>
    </row>
    <row r="351">
      <c r="A351" s="92" t="s">
        <v>2969</v>
      </c>
      <c r="B351" s="93">
        <v>1671.2</v>
      </c>
      <c r="C351" s="93"/>
      <c r="D351" s="93"/>
      <c r="E351" s="94"/>
    </row>
    <row r="352">
      <c r="A352" s="92" t="s">
        <v>2889</v>
      </c>
      <c r="B352" s="93">
        <v>1866.75</v>
      </c>
      <c r="C352" s="93"/>
      <c r="D352" s="93"/>
      <c r="E352" s="94"/>
    </row>
    <row r="353">
      <c r="A353" s="92" t="s">
        <v>2773</v>
      </c>
      <c r="B353" s="93">
        <v>1866.75</v>
      </c>
      <c r="C353" s="93"/>
      <c r="D353" s="93"/>
      <c r="E353" s="94"/>
    </row>
    <row r="354">
      <c r="A354" s="92" t="s">
        <v>2763</v>
      </c>
      <c r="B354" s="93">
        <v>1491.75</v>
      </c>
      <c r="C354" s="93"/>
      <c r="D354" s="93"/>
      <c r="E354" s="94"/>
    </row>
    <row r="355">
      <c r="A355" s="92" t="s">
        <v>2739</v>
      </c>
      <c r="B355" s="93">
        <v>1491.75</v>
      </c>
      <c r="C355" s="93"/>
      <c r="D355" s="93"/>
      <c r="E355" s="94"/>
    </row>
    <row r="356">
      <c r="A356" s="92" t="s">
        <v>2768</v>
      </c>
      <c r="B356" s="93">
        <v>1716.75</v>
      </c>
      <c r="C356" s="93"/>
      <c r="D356" s="93"/>
      <c r="E356" s="94"/>
    </row>
    <row r="357">
      <c r="A357" s="92" t="s">
        <v>2728</v>
      </c>
      <c r="B357" s="93">
        <v>1491.75</v>
      </c>
      <c r="C357" s="93"/>
      <c r="D357" s="93"/>
      <c r="E357" s="94"/>
    </row>
    <row r="358">
      <c r="A358" s="92" t="s">
        <v>3442</v>
      </c>
      <c r="B358" s="93">
        <v>616.55</v>
      </c>
      <c r="C358" s="93"/>
      <c r="D358" s="93"/>
      <c r="E358" s="93"/>
    </row>
    <row r="359">
      <c r="A359" s="92" t="s">
        <v>981</v>
      </c>
      <c r="B359" s="93">
        <v>18399.2</v>
      </c>
      <c r="C359" s="93"/>
      <c r="D359" s="93"/>
      <c r="E359" s="94"/>
    </row>
    <row r="360">
      <c r="A360" s="92" t="s">
        <v>957</v>
      </c>
      <c r="B360" s="93">
        <v>18399.2</v>
      </c>
      <c r="C360" s="93"/>
      <c r="D360" s="93"/>
      <c r="E360" s="94"/>
    </row>
    <row r="361">
      <c r="A361" s="92" t="s">
        <v>993</v>
      </c>
      <c r="B361" s="93">
        <v>21599.2</v>
      </c>
      <c r="C361" s="93"/>
      <c r="D361" s="93"/>
      <c r="E361" s="94"/>
    </row>
    <row r="362">
      <c r="A362" s="92" t="s">
        <v>3331</v>
      </c>
      <c r="B362" s="93">
        <v>1860.65</v>
      </c>
      <c r="C362" s="93"/>
      <c r="D362" s="93"/>
      <c r="E362" s="94"/>
    </row>
    <row r="363">
      <c r="A363" s="92" t="s">
        <v>5377</v>
      </c>
      <c r="B363" s="93">
        <v>10889.34</v>
      </c>
      <c r="C363" s="93"/>
      <c r="D363" s="94"/>
      <c r="E363" s="94"/>
    </row>
    <row r="364">
      <c r="A364" s="92" t="s">
        <v>5378</v>
      </c>
      <c r="B364" s="93">
        <v>9965.34</v>
      </c>
      <c r="C364" s="93"/>
      <c r="D364" s="94"/>
      <c r="E364" s="94"/>
    </row>
    <row r="365">
      <c r="A365" s="92" t="s">
        <v>5379</v>
      </c>
      <c r="B365" s="93">
        <v>11615.34</v>
      </c>
      <c r="C365" s="93"/>
      <c r="D365" s="94"/>
      <c r="E365" s="94"/>
    </row>
    <row r="366">
      <c r="A366" s="92" t="s">
        <v>5380</v>
      </c>
      <c r="B366" s="93">
        <v>7721.34</v>
      </c>
      <c r="C366" s="93"/>
      <c r="D366" s="94"/>
      <c r="E366" s="94"/>
    </row>
    <row r="367">
      <c r="A367" s="92" t="s">
        <v>5381</v>
      </c>
      <c r="B367" s="93">
        <v>9965.34</v>
      </c>
      <c r="C367" s="93"/>
      <c r="D367" s="94"/>
      <c r="E367" s="94"/>
    </row>
    <row r="368">
      <c r="A368" s="92" t="s">
        <v>5382</v>
      </c>
      <c r="B368" s="93">
        <v>9965.34</v>
      </c>
      <c r="C368" s="93"/>
      <c r="D368" s="94"/>
      <c r="E368" s="94"/>
    </row>
    <row r="369">
      <c r="A369" s="92" t="s">
        <v>3891</v>
      </c>
      <c r="B369" s="93">
        <v>1499.25</v>
      </c>
      <c r="C369" s="93"/>
      <c r="D369" s="93"/>
      <c r="E369" s="94"/>
    </row>
    <row r="370">
      <c r="A370" s="92" t="s">
        <v>3871</v>
      </c>
      <c r="B370" s="93">
        <v>1401.75</v>
      </c>
      <c r="C370" s="93"/>
      <c r="D370" s="93"/>
      <c r="E370" s="94"/>
    </row>
    <row r="371">
      <c r="A371" s="92" t="s">
        <v>3881</v>
      </c>
      <c r="B371" s="93">
        <v>1874.25</v>
      </c>
      <c r="C371" s="93"/>
      <c r="D371" s="93"/>
      <c r="E371" s="94"/>
    </row>
    <row r="372">
      <c r="A372" s="92" t="s">
        <v>3901</v>
      </c>
      <c r="B372" s="93">
        <v>1499.25</v>
      </c>
      <c r="C372" s="93"/>
      <c r="D372" s="93"/>
      <c r="E372" s="94"/>
    </row>
    <row r="373">
      <c r="A373" s="92" t="s">
        <v>166</v>
      </c>
      <c r="B373" s="93">
        <v>5592.84</v>
      </c>
      <c r="C373" s="93"/>
      <c r="D373" s="93"/>
      <c r="E373" s="94"/>
    </row>
    <row r="374">
      <c r="A374" s="92" t="s">
        <v>289</v>
      </c>
      <c r="B374" s="93">
        <v>9810.84</v>
      </c>
      <c r="C374" s="93"/>
      <c r="D374" s="93"/>
      <c r="E374" s="94"/>
    </row>
    <row r="375">
      <c r="A375" s="92" t="s">
        <v>294</v>
      </c>
      <c r="B375" s="93">
        <v>10023.64</v>
      </c>
      <c r="C375" s="93"/>
      <c r="D375" s="93"/>
      <c r="E375" s="94"/>
    </row>
    <row r="376">
      <c r="A376" s="92" t="s">
        <v>546</v>
      </c>
      <c r="B376" s="93">
        <v>9795.64</v>
      </c>
      <c r="C376" s="93"/>
      <c r="D376" s="93"/>
      <c r="E376" s="94"/>
    </row>
    <row r="377">
      <c r="A377" s="92" t="s">
        <v>757</v>
      </c>
      <c r="B377" s="93">
        <v>10996.44</v>
      </c>
      <c r="C377" s="93"/>
      <c r="D377" s="93"/>
      <c r="E377" s="94"/>
    </row>
    <row r="378">
      <c r="A378" s="92" t="s">
        <v>374</v>
      </c>
      <c r="B378" s="93">
        <v>12919.24</v>
      </c>
      <c r="C378" s="93"/>
      <c r="D378" s="93"/>
      <c r="E378" s="94"/>
    </row>
    <row r="379">
      <c r="A379" s="92" t="s">
        <v>729</v>
      </c>
      <c r="B379" s="93">
        <v>14773.64</v>
      </c>
      <c r="C379" s="93"/>
      <c r="D379" s="93"/>
      <c r="E379" s="94"/>
    </row>
    <row r="380">
      <c r="A380" s="92" t="s">
        <v>461</v>
      </c>
      <c r="B380" s="93">
        <v>18999.24</v>
      </c>
      <c r="C380" s="93"/>
      <c r="D380" s="93"/>
      <c r="E380" s="94"/>
    </row>
    <row r="381">
      <c r="A381" s="92" t="s">
        <v>646</v>
      </c>
      <c r="B381" s="93">
        <v>16111.24</v>
      </c>
      <c r="C381" s="93"/>
      <c r="D381" s="93"/>
      <c r="E381" s="94"/>
    </row>
    <row r="382">
      <c r="A382" s="92" t="s">
        <v>2587</v>
      </c>
      <c r="B382" s="93">
        <v>2092.3</v>
      </c>
      <c r="C382" s="93"/>
      <c r="D382" s="93"/>
      <c r="E382" s="94"/>
    </row>
    <row r="383">
      <c r="A383" s="92" t="s">
        <v>2242</v>
      </c>
      <c r="B383" s="93">
        <v>800.1</v>
      </c>
      <c r="C383" s="93"/>
      <c r="D383" s="93"/>
      <c r="E383" s="93"/>
    </row>
    <row r="384">
      <c r="A384" s="92" t="s">
        <v>2203</v>
      </c>
      <c r="B384" s="93">
        <v>710.1</v>
      </c>
      <c r="C384" s="93"/>
      <c r="D384" s="93"/>
      <c r="E384" s="93"/>
    </row>
    <row r="385">
      <c r="A385" s="92" t="s">
        <v>2362</v>
      </c>
      <c r="B385" s="93">
        <v>980.1</v>
      </c>
      <c r="C385" s="93"/>
      <c r="D385" s="93"/>
      <c r="E385" s="94"/>
    </row>
    <row r="386">
      <c r="A386" s="92" t="s">
        <v>2347</v>
      </c>
      <c r="B386" s="93">
        <v>1080.0</v>
      </c>
      <c r="C386" s="93"/>
      <c r="D386" s="93"/>
      <c r="E386" s="94"/>
    </row>
    <row r="387">
      <c r="A387" s="92" t="s">
        <v>2304</v>
      </c>
      <c r="B387" s="93">
        <v>890.1</v>
      </c>
      <c r="C387" s="93"/>
      <c r="D387" s="93"/>
      <c r="E387" s="93"/>
    </row>
    <row r="388">
      <c r="A388" s="92" t="s">
        <v>4659</v>
      </c>
      <c r="B388" s="93">
        <v>1529.1</v>
      </c>
      <c r="C388" s="93"/>
      <c r="D388" s="93"/>
      <c r="E388" s="94"/>
    </row>
    <row r="389">
      <c r="A389" s="92" t="s">
        <v>4649</v>
      </c>
      <c r="B389" s="93">
        <v>1529.1</v>
      </c>
      <c r="C389" s="93"/>
      <c r="D389" s="93"/>
      <c r="E389" s="94"/>
    </row>
    <row r="390">
      <c r="A390" s="92" t="s">
        <v>4624</v>
      </c>
      <c r="B390" s="93">
        <v>1529.1</v>
      </c>
      <c r="C390" s="93"/>
      <c r="D390" s="93"/>
      <c r="E390" s="94"/>
    </row>
    <row r="391">
      <c r="A391" s="92" t="s">
        <v>4578</v>
      </c>
      <c r="B391" s="93">
        <v>1349.1</v>
      </c>
      <c r="C391" s="93"/>
      <c r="D391" s="93"/>
      <c r="E391" s="94"/>
    </row>
    <row r="392">
      <c r="A392" s="92" t="s">
        <v>3777</v>
      </c>
      <c r="B392" s="94">
        <v>22312.0</v>
      </c>
      <c r="C392" s="93"/>
      <c r="D392" s="93"/>
      <c r="E392" s="94"/>
    </row>
    <row r="393">
      <c r="A393" s="92" t="s">
        <v>1450</v>
      </c>
      <c r="B393" s="93">
        <v>2399.2</v>
      </c>
      <c r="C393" s="93"/>
      <c r="D393" s="93"/>
      <c r="E393" s="94"/>
    </row>
    <row r="394">
      <c r="A394" s="92" t="s">
        <v>1357</v>
      </c>
      <c r="B394" s="93">
        <v>2119.2</v>
      </c>
      <c r="C394" s="93"/>
      <c r="D394" s="93"/>
      <c r="E394" s="94"/>
    </row>
    <row r="395">
      <c r="A395" s="92" t="s">
        <v>3575</v>
      </c>
      <c r="B395" s="93">
        <v>1945.65</v>
      </c>
      <c r="C395" s="93"/>
      <c r="D395" s="93"/>
      <c r="E395" s="94"/>
    </row>
    <row r="396">
      <c r="A396" s="92" t="s">
        <v>1722</v>
      </c>
      <c r="B396" s="93">
        <v>17639.16</v>
      </c>
      <c r="C396" s="93"/>
      <c r="D396" s="93"/>
      <c r="E396" s="94"/>
    </row>
    <row r="397">
      <c r="A397" s="92" t="s">
        <v>1771</v>
      </c>
      <c r="B397" s="93">
        <v>22679.16</v>
      </c>
      <c r="C397" s="93"/>
      <c r="D397" s="93"/>
      <c r="E397" s="94"/>
    </row>
    <row r="398">
      <c r="A398" s="92" t="s">
        <v>1857</v>
      </c>
      <c r="B398" s="93">
        <v>37799.16</v>
      </c>
      <c r="C398" s="93"/>
      <c r="D398" s="93"/>
      <c r="E398" s="94"/>
    </row>
    <row r="399">
      <c r="A399" s="92" t="s">
        <v>1545</v>
      </c>
      <c r="B399" s="93">
        <v>13089.23</v>
      </c>
      <c r="C399" s="93"/>
      <c r="D399" s="93"/>
      <c r="E399" s="94"/>
    </row>
    <row r="400">
      <c r="A400" s="92" t="s">
        <v>1550</v>
      </c>
      <c r="B400" s="93">
        <v>13089.23</v>
      </c>
      <c r="C400" s="93"/>
      <c r="D400" s="93"/>
      <c r="E400" s="94"/>
    </row>
    <row r="401">
      <c r="A401" s="92" t="s">
        <v>3164</v>
      </c>
      <c r="B401" s="93">
        <v>3191.2</v>
      </c>
      <c r="C401" s="93"/>
      <c r="D401" s="93"/>
      <c r="E401" s="94"/>
    </row>
    <row r="402">
      <c r="A402" s="92" t="s">
        <v>4373</v>
      </c>
      <c r="B402" s="93">
        <v>4079.15</v>
      </c>
      <c r="C402" s="93"/>
      <c r="D402" s="93"/>
      <c r="E402" s="94"/>
    </row>
    <row r="403">
      <c r="A403" s="92" t="s">
        <v>4363</v>
      </c>
      <c r="B403" s="93">
        <v>3365.15</v>
      </c>
      <c r="C403" s="93"/>
      <c r="D403" s="93"/>
      <c r="E403" s="94"/>
    </row>
    <row r="404">
      <c r="A404" s="92" t="s">
        <v>4368</v>
      </c>
      <c r="B404" s="93">
        <v>3569.15</v>
      </c>
      <c r="C404" s="93"/>
      <c r="D404" s="93"/>
      <c r="E404" s="94"/>
    </row>
    <row r="405">
      <c r="A405" s="92" t="s">
        <v>2092</v>
      </c>
      <c r="B405" s="93">
        <v>22399.2</v>
      </c>
      <c r="C405" s="93"/>
      <c r="D405" s="93"/>
      <c r="E405" s="94"/>
    </row>
    <row r="406">
      <c r="A406" s="92" t="s">
        <v>2098</v>
      </c>
      <c r="B406" s="93">
        <v>22399.2</v>
      </c>
      <c r="C406" s="93"/>
      <c r="D406" s="93"/>
      <c r="E406" s="94"/>
    </row>
    <row r="407">
      <c r="A407" s="92" t="s">
        <v>2038</v>
      </c>
      <c r="B407" s="93">
        <v>15999.2</v>
      </c>
      <c r="C407" s="93"/>
      <c r="D407" s="93"/>
      <c r="E407" s="94"/>
    </row>
    <row r="408">
      <c r="A408" s="92" t="s">
        <v>2462</v>
      </c>
      <c r="B408" s="93">
        <v>2599.0</v>
      </c>
      <c r="C408" s="93"/>
      <c r="D408" s="93"/>
      <c r="E408" s="94"/>
    </row>
    <row r="409">
      <c r="A409" s="92" t="s">
        <v>2977</v>
      </c>
      <c r="B409" s="93">
        <v>2231.2</v>
      </c>
      <c r="C409" s="93"/>
      <c r="D409" s="93"/>
      <c r="E409" s="94"/>
    </row>
    <row r="410">
      <c r="A410" s="92" t="s">
        <v>2957</v>
      </c>
      <c r="B410" s="93">
        <v>1671.2</v>
      </c>
      <c r="C410" s="93"/>
      <c r="D410" s="93"/>
      <c r="E410" s="94"/>
    </row>
    <row r="411">
      <c r="A411" s="92" t="s">
        <v>2945</v>
      </c>
      <c r="B411" s="93">
        <v>1671.2</v>
      </c>
      <c r="C411" s="93"/>
      <c r="D411" s="93"/>
      <c r="E411" s="94"/>
    </row>
    <row r="412">
      <c r="A412" s="92" t="s">
        <v>2951</v>
      </c>
      <c r="B412" s="93">
        <v>1671.2</v>
      </c>
      <c r="C412" s="93"/>
      <c r="D412" s="93"/>
      <c r="E412" s="94"/>
    </row>
    <row r="413">
      <c r="A413" s="92" t="s">
        <v>2792</v>
      </c>
      <c r="B413" s="93">
        <v>1641.75</v>
      </c>
      <c r="C413" s="93"/>
      <c r="D413" s="93"/>
      <c r="E413" s="94"/>
    </row>
    <row r="414">
      <c r="A414" s="92" t="s">
        <v>2722</v>
      </c>
      <c r="B414" s="93">
        <v>1491.75</v>
      </c>
      <c r="C414" s="93"/>
      <c r="D414" s="93"/>
      <c r="E414" s="94"/>
    </row>
    <row r="415">
      <c r="A415" s="92" t="s">
        <v>2751</v>
      </c>
      <c r="B415" s="93">
        <v>1491.75</v>
      </c>
      <c r="C415" s="93"/>
      <c r="D415" s="93"/>
      <c r="E415" s="94"/>
    </row>
    <row r="416">
      <c r="A416" s="92" t="s">
        <v>2777</v>
      </c>
      <c r="B416" s="93">
        <v>1491.75</v>
      </c>
      <c r="C416" s="93"/>
      <c r="D416" s="93"/>
      <c r="E416" s="94"/>
    </row>
    <row r="417">
      <c r="A417" s="92" t="s">
        <v>2745</v>
      </c>
      <c r="B417" s="93">
        <v>1491.75</v>
      </c>
      <c r="C417" s="93"/>
      <c r="D417" s="93"/>
      <c r="E417" s="94"/>
    </row>
    <row r="418">
      <c r="A418" s="92" t="s">
        <v>2733</v>
      </c>
      <c r="B418" s="93">
        <v>1491.75</v>
      </c>
      <c r="C418" s="93"/>
      <c r="D418" s="93"/>
      <c r="E418" s="94"/>
    </row>
    <row r="419">
      <c r="A419" s="92" t="s">
        <v>2884</v>
      </c>
      <c r="B419" s="93">
        <v>1641.75</v>
      </c>
      <c r="C419" s="93"/>
      <c r="D419" s="93"/>
      <c r="E419" s="94"/>
    </row>
    <row r="420">
      <c r="A420" s="92" t="s">
        <v>2757</v>
      </c>
      <c r="B420" s="93">
        <v>1491.75</v>
      </c>
      <c r="C420" s="93"/>
      <c r="D420" s="93"/>
      <c r="E420" s="94"/>
    </row>
    <row r="421">
      <c r="A421" s="92" t="s">
        <v>2657</v>
      </c>
      <c r="B421" s="93">
        <v>1041.75</v>
      </c>
      <c r="C421" s="93"/>
      <c r="D421" s="93"/>
      <c r="E421" s="94"/>
    </row>
    <row r="422">
      <c r="A422" s="92" t="s">
        <v>2651</v>
      </c>
      <c r="B422" s="93">
        <v>1041.75</v>
      </c>
      <c r="C422" s="93"/>
      <c r="D422" s="93"/>
      <c r="E422" s="94"/>
    </row>
    <row r="423">
      <c r="A423" s="92" t="s">
        <v>2638</v>
      </c>
      <c r="B423" s="93">
        <v>1041.75</v>
      </c>
      <c r="C423" s="93"/>
      <c r="D423" s="93"/>
      <c r="E423" s="94"/>
    </row>
    <row r="424">
      <c r="A424" s="92" t="s">
        <v>2644</v>
      </c>
      <c r="B424" s="93">
        <v>1041.75</v>
      </c>
      <c r="C424" s="93"/>
      <c r="D424" s="93"/>
      <c r="E424" s="94"/>
    </row>
    <row r="425">
      <c r="A425" s="92" t="s">
        <v>2663</v>
      </c>
      <c r="B425" s="93">
        <v>1041.75</v>
      </c>
      <c r="C425" s="93"/>
      <c r="D425" s="93"/>
      <c r="E425" s="94"/>
    </row>
    <row r="426">
      <c r="A426" s="92" t="s">
        <v>2697</v>
      </c>
      <c r="B426" s="93">
        <v>1416.75</v>
      </c>
      <c r="C426" s="93"/>
      <c r="D426" s="93"/>
      <c r="E426" s="94"/>
    </row>
    <row r="427">
      <c r="A427" s="92" t="s">
        <v>2679</v>
      </c>
      <c r="B427" s="93">
        <v>1416.75</v>
      </c>
      <c r="C427" s="93"/>
      <c r="D427" s="93"/>
      <c r="E427" s="94"/>
    </row>
    <row r="428">
      <c r="A428" s="92" t="s">
        <v>2685</v>
      </c>
      <c r="B428" s="93">
        <v>1416.75</v>
      </c>
      <c r="C428" s="93"/>
      <c r="D428" s="93"/>
      <c r="E428" s="94"/>
    </row>
    <row r="429">
      <c r="A429" s="92" t="s">
        <v>2703</v>
      </c>
      <c r="B429" s="93">
        <v>1416.75</v>
      </c>
      <c r="C429" s="93"/>
      <c r="D429" s="93"/>
      <c r="E429" s="94"/>
    </row>
    <row r="430">
      <c r="A430" s="92" t="s">
        <v>3436</v>
      </c>
      <c r="B430" s="93">
        <v>616.55</v>
      </c>
      <c r="C430" s="93"/>
      <c r="D430" s="93"/>
      <c r="E430" s="93"/>
    </row>
    <row r="431">
      <c r="A431" s="92" t="s">
        <v>3461</v>
      </c>
      <c r="B431" s="93">
        <v>474.05</v>
      </c>
      <c r="C431" s="93"/>
      <c r="D431" s="93"/>
      <c r="E431" s="93"/>
    </row>
    <row r="432">
      <c r="A432" s="92" t="s">
        <v>3449</v>
      </c>
      <c r="B432" s="93">
        <v>521.55</v>
      </c>
      <c r="C432" s="93"/>
      <c r="D432" s="93"/>
      <c r="E432" s="93"/>
    </row>
    <row r="433">
      <c r="A433" s="92" t="s">
        <v>3418</v>
      </c>
      <c r="B433" s="93">
        <v>664.05</v>
      </c>
      <c r="C433" s="93"/>
      <c r="D433" s="93"/>
      <c r="E433" s="93"/>
    </row>
    <row r="434">
      <c r="A434" s="92" t="s">
        <v>3472</v>
      </c>
      <c r="B434" s="93">
        <v>474.05</v>
      </c>
      <c r="C434" s="93"/>
      <c r="D434" s="93"/>
      <c r="E434" s="93"/>
    </row>
    <row r="435">
      <c r="A435" s="92" t="s">
        <v>831</v>
      </c>
      <c r="B435" s="93">
        <v>11199.2</v>
      </c>
      <c r="C435" s="93"/>
      <c r="D435" s="93"/>
      <c r="E435" s="94"/>
    </row>
    <row r="436">
      <c r="A436" s="92" t="s">
        <v>905</v>
      </c>
      <c r="B436" s="93">
        <v>13599.2</v>
      </c>
      <c r="C436" s="93"/>
      <c r="D436" s="93"/>
      <c r="E436" s="94"/>
    </row>
    <row r="437">
      <c r="A437" s="92" t="s">
        <v>976</v>
      </c>
      <c r="B437" s="93">
        <v>19199.2</v>
      </c>
      <c r="C437" s="93"/>
      <c r="D437" s="93"/>
      <c r="E437" s="94"/>
    </row>
    <row r="438">
      <c r="A438" s="92" t="s">
        <v>3373</v>
      </c>
      <c r="B438" s="93">
        <v>1860.65</v>
      </c>
      <c r="C438" s="93"/>
      <c r="D438" s="93"/>
      <c r="E438" s="94"/>
    </row>
    <row r="439">
      <c r="A439" s="92" t="s">
        <v>3235</v>
      </c>
      <c r="B439" s="93">
        <v>1605.65</v>
      </c>
      <c r="C439" s="93"/>
      <c r="D439" s="93"/>
      <c r="E439" s="94"/>
    </row>
    <row r="440">
      <c r="A440" s="92" t="s">
        <v>3307</v>
      </c>
      <c r="B440" s="93">
        <v>1690.65</v>
      </c>
      <c r="C440" s="93"/>
      <c r="D440" s="93"/>
      <c r="E440" s="94"/>
    </row>
    <row r="441">
      <c r="A441" s="92" t="s">
        <v>3289</v>
      </c>
      <c r="B441" s="93">
        <v>1690.65</v>
      </c>
      <c r="C441" s="93"/>
      <c r="D441" s="93"/>
      <c r="E441" s="94"/>
    </row>
    <row r="442">
      <c r="A442" s="92" t="s">
        <v>5383</v>
      </c>
      <c r="B442" s="93">
        <v>2399.0</v>
      </c>
      <c r="C442" s="93"/>
      <c r="D442" s="93"/>
      <c r="E442" s="94"/>
    </row>
    <row r="443">
      <c r="A443" s="92" t="s">
        <v>5384</v>
      </c>
      <c r="B443" s="93">
        <v>2399.0</v>
      </c>
      <c r="C443" s="93"/>
      <c r="D443" s="93"/>
      <c r="E443" s="94"/>
    </row>
    <row r="444">
      <c r="A444" s="92" t="s">
        <v>5385</v>
      </c>
      <c r="B444" s="93">
        <v>8645.34</v>
      </c>
      <c r="C444" s="93"/>
      <c r="D444" s="94"/>
      <c r="E444" s="94"/>
    </row>
    <row r="445">
      <c r="A445" s="92" t="s">
        <v>5386</v>
      </c>
      <c r="B445" s="93">
        <v>9437.34</v>
      </c>
      <c r="C445" s="93"/>
      <c r="D445" s="94"/>
      <c r="E445" s="94"/>
    </row>
    <row r="446">
      <c r="A446" s="92" t="s">
        <v>5387</v>
      </c>
      <c r="B446" s="93">
        <v>12671.34</v>
      </c>
      <c r="C446" s="93"/>
      <c r="D446" s="94"/>
      <c r="E446" s="94"/>
    </row>
    <row r="447">
      <c r="A447" s="92" t="s">
        <v>5388</v>
      </c>
      <c r="B447" s="93">
        <v>9041.34</v>
      </c>
      <c r="C447" s="93"/>
      <c r="D447" s="94"/>
      <c r="E447" s="94"/>
    </row>
    <row r="448">
      <c r="A448" s="92" t="s">
        <v>5389</v>
      </c>
      <c r="B448" s="93">
        <v>11615.34</v>
      </c>
      <c r="C448" s="93"/>
      <c r="D448" s="94"/>
      <c r="E448" s="94"/>
    </row>
    <row r="449">
      <c r="A449" s="92" t="s">
        <v>5390</v>
      </c>
      <c r="B449" s="93">
        <v>10097.34</v>
      </c>
      <c r="C449" s="93"/>
      <c r="D449" s="94"/>
      <c r="E449" s="94"/>
    </row>
    <row r="450">
      <c r="A450" s="92" t="s">
        <v>5391</v>
      </c>
      <c r="B450" s="93">
        <v>13661.34</v>
      </c>
      <c r="C450" s="93"/>
      <c r="D450" s="94"/>
      <c r="E450" s="94"/>
    </row>
    <row r="451">
      <c r="A451" s="92" t="s">
        <v>5392</v>
      </c>
      <c r="B451" s="93">
        <v>14849.34</v>
      </c>
      <c r="C451" s="93"/>
      <c r="D451" s="94"/>
      <c r="E451" s="94"/>
    </row>
    <row r="452">
      <c r="A452" s="92" t="s">
        <v>5393</v>
      </c>
      <c r="B452" s="93">
        <v>15641.34</v>
      </c>
      <c r="C452" s="93"/>
      <c r="D452" s="94"/>
      <c r="E452" s="94"/>
    </row>
    <row r="453">
      <c r="A453" s="92" t="s">
        <v>5394</v>
      </c>
      <c r="B453" s="93">
        <v>13133.34</v>
      </c>
      <c r="C453" s="93"/>
      <c r="D453" s="94"/>
      <c r="E453" s="94"/>
    </row>
    <row r="454">
      <c r="A454" s="92" t="s">
        <v>5395</v>
      </c>
      <c r="B454" s="93">
        <v>17093.34</v>
      </c>
      <c r="C454" s="93"/>
      <c r="D454" s="94"/>
      <c r="E454" s="94"/>
    </row>
    <row r="455">
      <c r="A455" s="92" t="s">
        <v>5396</v>
      </c>
      <c r="B455" s="93">
        <v>13463.34</v>
      </c>
      <c r="C455" s="93"/>
      <c r="D455" s="94"/>
      <c r="E455" s="94"/>
    </row>
    <row r="456">
      <c r="A456" s="92" t="s">
        <v>5397</v>
      </c>
      <c r="B456" s="93">
        <v>15377.34</v>
      </c>
      <c r="C456" s="93"/>
      <c r="D456" s="94"/>
      <c r="E456" s="94"/>
    </row>
    <row r="457">
      <c r="A457" s="92" t="s">
        <v>5398</v>
      </c>
      <c r="B457" s="93">
        <v>13661.34</v>
      </c>
      <c r="C457" s="93"/>
      <c r="D457" s="94"/>
      <c r="E457" s="94"/>
    </row>
    <row r="458">
      <c r="A458" s="92" t="s">
        <v>5399</v>
      </c>
      <c r="B458" s="93">
        <v>13793.34</v>
      </c>
      <c r="C458" s="93"/>
      <c r="D458" s="94"/>
      <c r="E458" s="94"/>
    </row>
    <row r="459">
      <c r="A459" s="92" t="s">
        <v>5400</v>
      </c>
      <c r="B459" s="93">
        <v>8777.34</v>
      </c>
      <c r="C459" s="93"/>
      <c r="D459" s="94"/>
      <c r="E459" s="94"/>
    </row>
    <row r="460">
      <c r="A460" s="92" t="s">
        <v>5401</v>
      </c>
      <c r="B460" s="93">
        <v>3059.15</v>
      </c>
      <c r="C460" s="93"/>
      <c r="D460" s="93"/>
      <c r="E460" s="94"/>
    </row>
    <row r="461">
      <c r="A461" s="92" t="s">
        <v>1127</v>
      </c>
      <c r="B461" s="93">
        <v>6299.0</v>
      </c>
      <c r="C461" s="93"/>
      <c r="D461" s="93"/>
      <c r="E461" s="94"/>
    </row>
    <row r="462">
      <c r="A462" s="92" t="s">
        <v>178</v>
      </c>
      <c r="B462" s="93">
        <v>5995.64</v>
      </c>
      <c r="C462" s="93"/>
      <c r="D462" s="93"/>
      <c r="E462" s="94"/>
    </row>
    <row r="463">
      <c r="A463" s="92" t="s">
        <v>189</v>
      </c>
      <c r="B463" s="93">
        <v>6193.24</v>
      </c>
      <c r="C463" s="93"/>
      <c r="D463" s="93"/>
      <c r="E463" s="94"/>
    </row>
    <row r="464">
      <c r="A464" s="92" t="s">
        <v>201</v>
      </c>
      <c r="B464" s="93">
        <v>6991.24</v>
      </c>
      <c r="C464" s="93"/>
      <c r="D464" s="93"/>
      <c r="E464" s="94"/>
    </row>
    <row r="465">
      <c r="A465" s="92" t="s">
        <v>304</v>
      </c>
      <c r="B465" s="93">
        <v>6694.84</v>
      </c>
      <c r="C465" s="93"/>
      <c r="D465" s="93"/>
      <c r="E465" s="94"/>
    </row>
    <row r="466">
      <c r="A466" s="92" t="s">
        <v>146</v>
      </c>
      <c r="B466" s="93">
        <v>8435.24</v>
      </c>
      <c r="C466" s="93"/>
      <c r="D466" s="93"/>
      <c r="E466" s="94"/>
    </row>
    <row r="467">
      <c r="A467" s="92" t="s">
        <v>321</v>
      </c>
      <c r="B467" s="93">
        <v>7796.84</v>
      </c>
      <c r="C467" s="93"/>
      <c r="D467" s="93"/>
      <c r="E467" s="94"/>
    </row>
    <row r="468">
      <c r="A468" s="92" t="s">
        <v>326</v>
      </c>
      <c r="B468" s="93">
        <v>8192.04</v>
      </c>
      <c r="C468" s="93"/>
      <c r="D468" s="93"/>
      <c r="E468" s="94"/>
    </row>
    <row r="469">
      <c r="A469" s="92" t="s">
        <v>331</v>
      </c>
      <c r="B469" s="93">
        <v>8290.84</v>
      </c>
      <c r="C469" s="93"/>
      <c r="D469" s="93"/>
      <c r="E469" s="94"/>
    </row>
    <row r="470">
      <c r="A470" s="92" t="s">
        <v>44</v>
      </c>
      <c r="B470" s="93">
        <v>9423.24</v>
      </c>
      <c r="C470" s="93"/>
      <c r="D470" s="93"/>
      <c r="E470" s="94"/>
    </row>
    <row r="471">
      <c r="A471" s="92" t="s">
        <v>739</v>
      </c>
      <c r="B471" s="93">
        <v>10494.84</v>
      </c>
      <c r="C471" s="93"/>
      <c r="D471" s="93"/>
      <c r="E471" s="94"/>
    </row>
    <row r="472">
      <c r="A472" s="92" t="s">
        <v>81</v>
      </c>
      <c r="B472" s="93">
        <v>12919.24</v>
      </c>
      <c r="C472" s="93"/>
      <c r="D472" s="93"/>
      <c r="E472" s="94"/>
    </row>
    <row r="473">
      <c r="A473" s="92" t="s">
        <v>511</v>
      </c>
      <c r="B473" s="93">
        <v>12660.84</v>
      </c>
      <c r="C473" s="93"/>
      <c r="D473" s="93"/>
      <c r="E473" s="94"/>
    </row>
    <row r="474">
      <c r="A474" s="92" t="s">
        <v>93</v>
      </c>
      <c r="B474" s="93">
        <v>10259.24</v>
      </c>
      <c r="C474" s="93"/>
      <c r="D474" s="93"/>
      <c r="E474" s="94"/>
    </row>
    <row r="475">
      <c r="A475" s="92" t="s">
        <v>100</v>
      </c>
      <c r="B475" s="93">
        <v>10639.24</v>
      </c>
      <c r="C475" s="93"/>
      <c r="D475" s="93"/>
      <c r="E475" s="94"/>
    </row>
    <row r="476">
      <c r="A476" s="92" t="s">
        <v>783</v>
      </c>
      <c r="B476" s="93">
        <v>13717.24</v>
      </c>
      <c r="C476" s="93"/>
      <c r="D476" s="93"/>
      <c r="E476" s="94"/>
    </row>
    <row r="477">
      <c r="A477" s="92" t="s">
        <v>724</v>
      </c>
      <c r="B477" s="93">
        <v>14241.64</v>
      </c>
      <c r="C477" s="93"/>
      <c r="D477" s="93"/>
      <c r="E477" s="94"/>
    </row>
    <row r="478">
      <c r="A478" s="92" t="s">
        <v>265</v>
      </c>
      <c r="B478" s="93">
        <v>12843.24</v>
      </c>
      <c r="C478" s="93"/>
      <c r="D478" s="93"/>
      <c r="E478" s="94"/>
    </row>
    <row r="479">
      <c r="A479" s="92" t="s">
        <v>161</v>
      </c>
      <c r="B479" s="93">
        <v>9180.04</v>
      </c>
      <c r="C479" s="93"/>
      <c r="D479" s="93"/>
      <c r="E479" s="94"/>
    </row>
    <row r="480">
      <c r="A480" s="92" t="s">
        <v>151</v>
      </c>
      <c r="B480" s="93">
        <v>8754.44</v>
      </c>
      <c r="C480" s="93"/>
      <c r="D480" s="93"/>
      <c r="E480" s="94"/>
    </row>
    <row r="481">
      <c r="A481" s="92" t="s">
        <v>471</v>
      </c>
      <c r="B481" s="93">
        <v>16719.24</v>
      </c>
      <c r="C481" s="93"/>
      <c r="D481" s="93"/>
      <c r="E481" s="94"/>
    </row>
    <row r="482">
      <c r="A482" s="92" t="s">
        <v>5402</v>
      </c>
      <c r="B482" s="93">
        <v>2022.3</v>
      </c>
      <c r="C482" s="93"/>
      <c r="D482" s="93"/>
      <c r="E482" s="94"/>
    </row>
    <row r="483">
      <c r="A483" s="92" t="s">
        <v>5403</v>
      </c>
      <c r="B483" s="93">
        <v>2092.3</v>
      </c>
      <c r="C483" s="93"/>
      <c r="D483" s="93"/>
      <c r="E483" s="94"/>
    </row>
    <row r="484">
      <c r="A484" s="92" t="s">
        <v>5404</v>
      </c>
      <c r="B484" s="93">
        <v>2092.3</v>
      </c>
      <c r="C484" s="93"/>
      <c r="D484" s="93"/>
      <c r="E484" s="94"/>
    </row>
    <row r="485">
      <c r="A485" s="92" t="s">
        <v>2209</v>
      </c>
      <c r="B485" s="93">
        <v>710.1</v>
      </c>
      <c r="C485" s="93"/>
      <c r="D485" s="93"/>
      <c r="E485" s="93"/>
    </row>
    <row r="486">
      <c r="A486" s="92" t="s">
        <v>2215</v>
      </c>
      <c r="B486" s="93">
        <v>710.1</v>
      </c>
      <c r="C486" s="93"/>
      <c r="D486" s="93"/>
      <c r="E486" s="93"/>
    </row>
    <row r="487">
      <c r="A487" s="92" t="s">
        <v>2352</v>
      </c>
      <c r="B487" s="93">
        <v>980.1</v>
      </c>
      <c r="C487" s="93"/>
      <c r="D487" s="93"/>
      <c r="E487" s="94"/>
    </row>
    <row r="488">
      <c r="A488" s="92" t="s">
        <v>2357</v>
      </c>
      <c r="B488" s="93">
        <v>980.1</v>
      </c>
      <c r="C488" s="93"/>
      <c r="D488" s="93"/>
      <c r="E488" s="94"/>
    </row>
    <row r="489">
      <c r="A489" s="92" t="s">
        <v>2299</v>
      </c>
      <c r="B489" s="93">
        <v>890.1</v>
      </c>
      <c r="C489" s="93"/>
      <c r="D489" s="93"/>
      <c r="E489" s="93"/>
    </row>
    <row r="490">
      <c r="A490" s="92" t="s">
        <v>2280</v>
      </c>
      <c r="B490" s="93">
        <v>944.1</v>
      </c>
      <c r="C490" s="93"/>
      <c r="D490" s="93"/>
      <c r="E490" s="93"/>
    </row>
    <row r="491">
      <c r="A491" s="92" t="s">
        <v>2286</v>
      </c>
      <c r="B491" s="93">
        <v>944.1</v>
      </c>
      <c r="C491" s="93"/>
      <c r="D491" s="93"/>
      <c r="E491" s="93"/>
    </row>
    <row r="492">
      <c r="A492" s="92" t="s">
        <v>2293</v>
      </c>
      <c r="B492" s="93">
        <v>944.1</v>
      </c>
      <c r="C492" s="93"/>
      <c r="D492" s="93"/>
      <c r="E492" s="93"/>
    </row>
    <row r="493">
      <c r="A493" s="92" t="s">
        <v>2324</v>
      </c>
      <c r="B493" s="93">
        <v>944.1</v>
      </c>
      <c r="C493" s="93"/>
      <c r="D493" s="93"/>
      <c r="E493" s="93"/>
    </row>
    <row r="494">
      <c r="A494" s="92" t="s">
        <v>2309</v>
      </c>
      <c r="B494" s="93">
        <v>890.1</v>
      </c>
      <c r="C494" s="93"/>
      <c r="D494" s="93"/>
      <c r="E494" s="93"/>
    </row>
    <row r="495">
      <c r="A495" s="92" t="s">
        <v>4511</v>
      </c>
      <c r="B495" s="93">
        <v>1079.1</v>
      </c>
      <c r="C495" s="93"/>
      <c r="D495" s="93"/>
      <c r="E495" s="94"/>
    </row>
    <row r="496">
      <c r="A496" s="92" t="s">
        <v>4516</v>
      </c>
      <c r="B496" s="93">
        <v>1079.1</v>
      </c>
      <c r="C496" s="93"/>
      <c r="D496" s="93"/>
      <c r="E496" s="94"/>
    </row>
    <row r="497">
      <c r="A497" s="92" t="s">
        <v>4664</v>
      </c>
      <c r="B497" s="93">
        <v>1529.1</v>
      </c>
      <c r="C497" s="93"/>
      <c r="D497" s="93"/>
      <c r="E497" s="94"/>
    </row>
    <row r="498">
      <c r="A498" s="92" t="s">
        <v>4592</v>
      </c>
      <c r="B498" s="93">
        <v>1349.1</v>
      </c>
      <c r="C498" s="93"/>
      <c r="D498" s="93"/>
      <c r="E498" s="94"/>
    </row>
    <row r="499">
      <c r="A499" s="92" t="s">
        <v>4629</v>
      </c>
      <c r="B499" s="93">
        <v>1529.1</v>
      </c>
      <c r="C499" s="93"/>
      <c r="D499" s="93"/>
      <c r="E499" s="94"/>
    </row>
    <row r="500">
      <c r="A500" s="92" t="s">
        <v>4634</v>
      </c>
      <c r="B500" s="93">
        <v>1529.1</v>
      </c>
      <c r="C500" s="93"/>
      <c r="D500" s="93"/>
      <c r="E500" s="94"/>
    </row>
    <row r="501">
      <c r="A501" s="92" t="s">
        <v>4548</v>
      </c>
      <c r="B501" s="93">
        <v>1349.1</v>
      </c>
      <c r="C501" s="93"/>
      <c r="D501" s="93"/>
      <c r="E501" s="94"/>
    </row>
    <row r="502">
      <c r="A502" s="92" t="s">
        <v>4570</v>
      </c>
      <c r="B502" s="93">
        <v>1349.1</v>
      </c>
      <c r="C502" s="93"/>
      <c r="D502" s="93"/>
      <c r="E502" s="94"/>
    </row>
    <row r="503">
      <c r="A503" s="92" t="s">
        <v>4438</v>
      </c>
      <c r="B503" s="93">
        <v>899.1</v>
      </c>
      <c r="C503" s="93"/>
      <c r="D503" s="93"/>
      <c r="E503" s="93"/>
    </row>
    <row r="504">
      <c r="A504" s="92" t="s">
        <v>4614</v>
      </c>
      <c r="B504" s="93">
        <v>1529.1</v>
      </c>
      <c r="C504" s="93"/>
      <c r="D504" s="93"/>
      <c r="E504" s="94"/>
    </row>
    <row r="505">
      <c r="A505" s="92" t="s">
        <v>4619</v>
      </c>
      <c r="B505" s="93">
        <v>1529.1</v>
      </c>
      <c r="C505" s="93"/>
      <c r="D505" s="93"/>
      <c r="E505" s="94"/>
    </row>
    <row r="506">
      <c r="A506" s="92" t="s">
        <v>4408</v>
      </c>
      <c r="B506" s="93">
        <v>899.1</v>
      </c>
      <c r="C506" s="93"/>
      <c r="D506" s="93"/>
      <c r="E506" s="93"/>
    </row>
    <row r="507">
      <c r="A507" s="92" t="s">
        <v>4597</v>
      </c>
      <c r="B507" s="93">
        <v>1349.1</v>
      </c>
      <c r="C507" s="93"/>
      <c r="D507" s="93"/>
      <c r="E507" s="94"/>
    </row>
    <row r="508">
      <c r="A508" s="92" t="s">
        <v>4600</v>
      </c>
      <c r="B508" s="93">
        <v>1349.1</v>
      </c>
      <c r="C508" s="93"/>
      <c r="D508" s="93"/>
      <c r="E508" s="94"/>
    </row>
    <row r="509">
      <c r="A509" s="92" t="s">
        <v>4556</v>
      </c>
      <c r="B509" s="93">
        <v>1349.1</v>
      </c>
      <c r="C509" s="93"/>
      <c r="D509" s="93"/>
      <c r="E509" s="94"/>
    </row>
    <row r="510">
      <c r="A510" s="92" t="s">
        <v>4639</v>
      </c>
      <c r="B510" s="93">
        <v>1529.1</v>
      </c>
      <c r="C510" s="93"/>
      <c r="D510" s="93"/>
      <c r="E510" s="94"/>
    </row>
    <row r="511">
      <c r="A511" s="92" t="s">
        <v>4575</v>
      </c>
      <c r="B511" s="93">
        <v>1349.1</v>
      </c>
      <c r="C511" s="93"/>
      <c r="D511" s="93"/>
      <c r="E511" s="94"/>
    </row>
    <row r="512">
      <c r="A512" s="92" t="s">
        <v>4644</v>
      </c>
      <c r="B512" s="93">
        <v>1529.1</v>
      </c>
      <c r="C512" s="93"/>
      <c r="D512" s="93"/>
      <c r="E512" s="94"/>
    </row>
    <row r="513">
      <c r="A513" s="92" t="s">
        <v>3106</v>
      </c>
      <c r="B513" s="93">
        <v>1690.65</v>
      </c>
      <c r="C513" s="93"/>
      <c r="D513" s="93"/>
      <c r="E513" s="94"/>
    </row>
    <row r="514">
      <c r="A514" s="92" t="s">
        <v>3159</v>
      </c>
      <c r="B514" s="93">
        <v>2285.65</v>
      </c>
      <c r="C514" s="93"/>
      <c r="D514" s="93"/>
      <c r="E514" s="94"/>
    </row>
    <row r="515">
      <c r="A515" s="92" t="s">
        <v>3069</v>
      </c>
      <c r="B515" s="93">
        <v>1597.15</v>
      </c>
      <c r="C515" s="93"/>
      <c r="D515" s="93"/>
      <c r="E515" s="94"/>
    </row>
    <row r="516">
      <c r="A516" s="92" t="s">
        <v>2893</v>
      </c>
      <c r="B516" s="93">
        <v>2294.15</v>
      </c>
      <c r="C516" s="93"/>
      <c r="D516" s="93"/>
      <c r="E516" s="94"/>
    </row>
    <row r="517">
      <c r="A517" s="92" t="s">
        <v>2899</v>
      </c>
      <c r="B517" s="93">
        <v>2294.15</v>
      </c>
      <c r="C517" s="93"/>
      <c r="D517" s="93"/>
      <c r="E517" s="94"/>
    </row>
    <row r="518">
      <c r="A518" s="92" t="s">
        <v>2938</v>
      </c>
      <c r="B518" s="93">
        <v>3059.15</v>
      </c>
      <c r="C518" s="93"/>
      <c r="D518" s="93"/>
      <c r="E518" s="94"/>
    </row>
    <row r="519">
      <c r="A519" s="92" t="s">
        <v>2917</v>
      </c>
      <c r="B519" s="93">
        <v>3059.15</v>
      </c>
      <c r="C519" s="93"/>
      <c r="D519" s="93"/>
      <c r="E519" s="94"/>
    </row>
    <row r="520">
      <c r="A520" s="92" t="s">
        <v>2924</v>
      </c>
      <c r="B520" s="93">
        <v>3059.15</v>
      </c>
      <c r="C520" s="93"/>
      <c r="D520" s="93"/>
      <c r="E520" s="94"/>
    </row>
    <row r="521">
      <c r="A521" s="92" t="s">
        <v>1481</v>
      </c>
      <c r="B521" s="93">
        <v>2399.2</v>
      </c>
      <c r="C521" s="93"/>
      <c r="D521" s="93"/>
      <c r="E521" s="94"/>
    </row>
    <row r="522">
      <c r="A522" s="92" t="s">
        <v>1419</v>
      </c>
      <c r="B522" s="93">
        <v>2399.2</v>
      </c>
      <c r="C522" s="93"/>
      <c r="D522" s="93"/>
      <c r="E522" s="94"/>
    </row>
    <row r="523">
      <c r="A523" s="92" t="s">
        <v>1457</v>
      </c>
      <c r="B523" s="93">
        <v>2399.2</v>
      </c>
      <c r="C523" s="93"/>
      <c r="D523" s="93"/>
      <c r="E523" s="94"/>
    </row>
    <row r="524">
      <c r="A524" s="92" t="s">
        <v>1463</v>
      </c>
      <c r="B524" s="93">
        <v>2399.2</v>
      </c>
      <c r="C524" s="93"/>
      <c r="D524" s="93"/>
      <c r="E524" s="94"/>
    </row>
    <row r="525">
      <c r="A525" s="92" t="s">
        <v>1438</v>
      </c>
      <c r="B525" s="93">
        <v>2399.2</v>
      </c>
      <c r="C525" s="93"/>
      <c r="D525" s="93"/>
      <c r="E525" s="94"/>
    </row>
    <row r="526">
      <c r="A526" s="92" t="s">
        <v>1444</v>
      </c>
      <c r="B526" s="93">
        <v>2399.2</v>
      </c>
      <c r="C526" s="93"/>
      <c r="D526" s="93"/>
      <c r="E526" s="94"/>
    </row>
    <row r="527">
      <c r="A527" s="92" t="s">
        <v>1345</v>
      </c>
      <c r="B527" s="93">
        <v>2119.2</v>
      </c>
      <c r="C527" s="93"/>
      <c r="D527" s="93"/>
      <c r="E527" s="94"/>
    </row>
    <row r="528">
      <c r="A528" s="92" t="s">
        <v>1382</v>
      </c>
      <c r="B528" s="93">
        <v>2119.2</v>
      </c>
      <c r="C528" s="93"/>
      <c r="D528" s="93"/>
      <c r="E528" s="94"/>
    </row>
    <row r="529">
      <c r="A529" s="92" t="s">
        <v>1388</v>
      </c>
      <c r="B529" s="93">
        <v>2119.2</v>
      </c>
      <c r="C529" s="93"/>
      <c r="D529" s="93"/>
      <c r="E529" s="94"/>
    </row>
    <row r="530">
      <c r="A530" s="92" t="s">
        <v>1363</v>
      </c>
      <c r="B530" s="93">
        <v>2119.2</v>
      </c>
      <c r="C530" s="93"/>
      <c r="D530" s="93"/>
      <c r="E530" s="94"/>
    </row>
    <row r="531">
      <c r="A531" s="92" t="s">
        <v>1369</v>
      </c>
      <c r="B531" s="93">
        <v>2119.2</v>
      </c>
      <c r="C531" s="93"/>
      <c r="D531" s="93"/>
      <c r="E531" s="94"/>
    </row>
    <row r="532">
      <c r="A532" s="92" t="s">
        <v>1375</v>
      </c>
      <c r="B532" s="93">
        <v>2119.2</v>
      </c>
      <c r="C532" s="93"/>
      <c r="D532" s="93"/>
      <c r="E532" s="94"/>
    </row>
    <row r="533">
      <c r="A533" s="92" t="s">
        <v>3664</v>
      </c>
      <c r="B533" s="93">
        <v>849.15</v>
      </c>
      <c r="C533" s="93"/>
      <c r="D533" s="93"/>
      <c r="E533" s="93"/>
    </row>
    <row r="534">
      <c r="A534" s="92" t="s">
        <v>3506</v>
      </c>
      <c r="B534" s="93">
        <v>764.15</v>
      </c>
      <c r="C534" s="93"/>
      <c r="D534" s="93"/>
      <c r="E534" s="93"/>
    </row>
    <row r="535">
      <c r="A535" s="92" t="s">
        <v>3523</v>
      </c>
      <c r="B535" s="93">
        <v>679.15</v>
      </c>
      <c r="C535" s="93"/>
      <c r="D535" s="93"/>
      <c r="E535" s="93"/>
    </row>
    <row r="536">
      <c r="A536" s="92" t="s">
        <v>3644</v>
      </c>
      <c r="B536" s="93">
        <v>849.15</v>
      </c>
      <c r="C536" s="93"/>
      <c r="D536" s="93"/>
      <c r="E536" s="93"/>
    </row>
    <row r="537">
      <c r="A537" s="92" t="s">
        <v>3485</v>
      </c>
      <c r="B537" s="93">
        <v>764.15</v>
      </c>
      <c r="C537" s="93"/>
      <c r="D537" s="93"/>
      <c r="E537" s="93"/>
    </row>
    <row r="538">
      <c r="A538" s="92" t="s">
        <v>3499</v>
      </c>
      <c r="B538" s="93">
        <v>764.15</v>
      </c>
      <c r="C538" s="93"/>
      <c r="D538" s="93"/>
      <c r="E538" s="93"/>
    </row>
    <row r="539">
      <c r="A539" s="92" t="s">
        <v>3651</v>
      </c>
      <c r="B539" s="93">
        <v>849.15</v>
      </c>
      <c r="C539" s="93"/>
      <c r="D539" s="93"/>
      <c r="E539" s="93"/>
    </row>
    <row r="540">
      <c r="A540" s="92" t="s">
        <v>3492</v>
      </c>
      <c r="B540" s="93">
        <v>764.15</v>
      </c>
      <c r="C540" s="93"/>
      <c r="D540" s="93"/>
      <c r="E540" s="93"/>
    </row>
    <row r="541">
      <c r="A541" s="92" t="s">
        <v>1766</v>
      </c>
      <c r="B541" s="93">
        <v>26879.16</v>
      </c>
      <c r="C541" s="93"/>
      <c r="D541" s="93"/>
      <c r="E541" s="94"/>
    </row>
    <row r="542">
      <c r="A542" s="92" t="s">
        <v>1761</v>
      </c>
      <c r="B542" s="93">
        <v>24359.16</v>
      </c>
      <c r="C542" s="93"/>
      <c r="D542" s="93"/>
      <c r="E542" s="94"/>
    </row>
    <row r="543">
      <c r="A543" s="92" t="s">
        <v>1681</v>
      </c>
      <c r="B543" s="93">
        <v>15959.16</v>
      </c>
      <c r="C543" s="93"/>
      <c r="D543" s="93"/>
      <c r="E543" s="94"/>
    </row>
    <row r="544">
      <c r="A544" s="92" t="s">
        <v>1735</v>
      </c>
      <c r="B544" s="93">
        <v>19739.16</v>
      </c>
      <c r="C544" s="93"/>
      <c r="D544" s="93"/>
      <c r="E544" s="94"/>
    </row>
    <row r="545">
      <c r="A545" s="92" t="s">
        <v>1829</v>
      </c>
      <c r="B545" s="93">
        <v>31499.16</v>
      </c>
      <c r="C545" s="93"/>
      <c r="D545" s="93"/>
      <c r="E545" s="94"/>
    </row>
    <row r="546">
      <c r="A546" s="92" t="s">
        <v>4760</v>
      </c>
      <c r="B546" s="93">
        <v>14629.23</v>
      </c>
      <c r="C546" s="93"/>
      <c r="D546" s="93"/>
      <c r="E546" s="94"/>
    </row>
    <row r="547">
      <c r="A547" s="92" t="s">
        <v>5004</v>
      </c>
      <c r="B547" s="93">
        <v>16708.23</v>
      </c>
      <c r="C547" s="93"/>
      <c r="D547" s="93"/>
      <c r="E547" s="94"/>
    </row>
    <row r="548">
      <c r="A548" s="92" t="s">
        <v>1673</v>
      </c>
      <c r="B548" s="93">
        <v>25409.23</v>
      </c>
      <c r="C548" s="93"/>
      <c r="D548" s="93"/>
      <c r="E548" s="94"/>
    </row>
    <row r="549">
      <c r="A549" s="92" t="s">
        <v>1525</v>
      </c>
      <c r="B549" s="93">
        <v>10779.23</v>
      </c>
      <c r="C549" s="93"/>
      <c r="D549" s="93"/>
      <c r="E549" s="94"/>
    </row>
    <row r="550">
      <c r="A550" s="92" t="s">
        <v>1629</v>
      </c>
      <c r="B550" s="93">
        <v>25409.23</v>
      </c>
      <c r="C550" s="93"/>
      <c r="D550" s="93"/>
      <c r="E550" s="94"/>
    </row>
    <row r="551">
      <c r="A551" s="92" t="s">
        <v>4888</v>
      </c>
      <c r="B551" s="93">
        <v>23799.0</v>
      </c>
      <c r="C551" s="93"/>
      <c r="D551" s="93"/>
      <c r="E551" s="94"/>
    </row>
    <row r="552">
      <c r="A552" s="92" t="s">
        <v>2057</v>
      </c>
      <c r="B552" s="93">
        <v>18399.2</v>
      </c>
      <c r="C552" s="93"/>
      <c r="D552" s="93"/>
      <c r="E552" s="94"/>
    </row>
    <row r="553">
      <c r="A553" s="92" t="s">
        <v>4819</v>
      </c>
      <c r="B553" s="93">
        <v>3499.0</v>
      </c>
      <c r="C553" s="93"/>
      <c r="D553" s="93"/>
      <c r="E553" s="94"/>
    </row>
    <row r="554">
      <c r="A554" s="92" t="s">
        <v>4822</v>
      </c>
      <c r="B554" s="93">
        <v>7499.0</v>
      </c>
      <c r="C554" s="93"/>
      <c r="D554" s="93"/>
      <c r="E554" s="94"/>
    </row>
    <row r="555">
      <c r="A555" s="92" t="s">
        <v>4816</v>
      </c>
      <c r="B555" s="93">
        <v>8499.0</v>
      </c>
      <c r="C555" s="93"/>
      <c r="D555" s="93"/>
      <c r="E555" s="94"/>
    </row>
    <row r="556">
      <c r="A556" s="92" t="s">
        <v>2963</v>
      </c>
      <c r="B556" s="93">
        <v>1671.2</v>
      </c>
      <c r="C556" s="93"/>
      <c r="D556" s="93"/>
      <c r="E556" s="94"/>
    </row>
    <row r="557">
      <c r="A557" s="92" t="s">
        <v>4892</v>
      </c>
      <c r="B557" s="93">
        <v>1641.75</v>
      </c>
      <c r="C557" s="93"/>
      <c r="D557" s="93"/>
      <c r="E557" s="94"/>
    </row>
    <row r="558">
      <c r="A558" s="92" t="s">
        <v>4896</v>
      </c>
      <c r="B558" s="93">
        <v>1491.75</v>
      </c>
      <c r="C558" s="93"/>
      <c r="D558" s="93"/>
      <c r="E558" s="94"/>
    </row>
    <row r="559">
      <c r="A559" s="92" t="s">
        <v>4900</v>
      </c>
      <c r="B559" s="93">
        <v>1491.75</v>
      </c>
      <c r="C559" s="93"/>
      <c r="D559" s="93"/>
      <c r="E559" s="94"/>
    </row>
    <row r="560">
      <c r="A560" s="92" t="s">
        <v>2691</v>
      </c>
      <c r="B560" s="93">
        <v>1416.75</v>
      </c>
      <c r="C560" s="93"/>
      <c r="D560" s="93"/>
      <c r="E560" s="94"/>
    </row>
    <row r="561">
      <c r="A561" s="92" t="s">
        <v>2854</v>
      </c>
      <c r="B561" s="93">
        <v>1491.75</v>
      </c>
      <c r="C561" s="93"/>
      <c r="D561" s="93"/>
      <c r="E561" s="94"/>
    </row>
    <row r="562">
      <c r="A562" s="92" t="s">
        <v>2859</v>
      </c>
      <c r="B562" s="93">
        <v>1491.75</v>
      </c>
      <c r="C562" s="93"/>
      <c r="D562" s="93"/>
      <c r="E562" s="94"/>
    </row>
    <row r="563">
      <c r="A563" s="92" t="s">
        <v>2864</v>
      </c>
      <c r="B563" s="93">
        <v>1491.75</v>
      </c>
      <c r="C563" s="93"/>
      <c r="D563" s="93"/>
      <c r="E563" s="94"/>
    </row>
    <row r="564">
      <c r="A564" s="92" t="s">
        <v>2797</v>
      </c>
      <c r="B564" s="93">
        <v>1866.75</v>
      </c>
      <c r="C564" s="93"/>
      <c r="D564" s="93"/>
      <c r="E564" s="94"/>
    </row>
    <row r="565">
      <c r="A565" s="92" t="s">
        <v>2849</v>
      </c>
      <c r="B565" s="93">
        <v>1866.75</v>
      </c>
      <c r="C565" s="93"/>
      <c r="D565" s="93"/>
      <c r="E565" s="94"/>
    </row>
    <row r="566">
      <c r="A566" s="92" t="s">
        <v>2869</v>
      </c>
      <c r="B566" s="93">
        <v>1716.75</v>
      </c>
      <c r="C566" s="93"/>
      <c r="D566" s="93"/>
      <c r="E566" s="94"/>
    </row>
    <row r="567">
      <c r="A567" s="92" t="s">
        <v>2874</v>
      </c>
      <c r="B567" s="93">
        <v>1716.75</v>
      </c>
      <c r="C567" s="93"/>
      <c r="D567" s="93"/>
      <c r="E567" s="94"/>
    </row>
    <row r="568">
      <c r="A568" s="92" t="s">
        <v>2879</v>
      </c>
      <c r="B568" s="93">
        <v>1716.75</v>
      </c>
      <c r="C568" s="93"/>
      <c r="D568" s="93"/>
      <c r="E568" s="94"/>
    </row>
    <row r="569">
      <c r="A569" s="92" t="s">
        <v>2835</v>
      </c>
      <c r="B569" s="93">
        <v>1191.75</v>
      </c>
      <c r="C569" s="93"/>
      <c r="D569" s="93"/>
      <c r="E569" s="94"/>
    </row>
    <row r="570">
      <c r="A570" s="92" t="s">
        <v>2844</v>
      </c>
      <c r="B570" s="93">
        <v>1191.75</v>
      </c>
      <c r="C570" s="93"/>
      <c r="D570" s="93"/>
      <c r="E570" s="94"/>
    </row>
    <row r="571">
      <c r="A571" s="92" t="s">
        <v>2817</v>
      </c>
      <c r="B571" s="93">
        <v>1866.75</v>
      </c>
      <c r="C571" s="93"/>
      <c r="D571" s="93"/>
      <c r="E571" s="94"/>
    </row>
    <row r="572">
      <c r="A572" s="92" t="s">
        <v>2839</v>
      </c>
      <c r="B572" s="93">
        <v>1191.75</v>
      </c>
      <c r="C572" s="93"/>
      <c r="D572" s="93"/>
      <c r="E572" s="94"/>
    </row>
    <row r="573">
      <c r="A573" s="92" t="s">
        <v>3455</v>
      </c>
      <c r="B573" s="93">
        <v>521.55</v>
      </c>
      <c r="C573" s="93"/>
      <c r="D573" s="93"/>
      <c r="E573" s="93"/>
    </row>
    <row r="574">
      <c r="A574" s="92" t="s">
        <v>3424</v>
      </c>
      <c r="B574" s="93">
        <v>664.05</v>
      </c>
      <c r="C574" s="93"/>
      <c r="D574" s="93"/>
      <c r="E574" s="93"/>
    </row>
    <row r="575">
      <c r="A575" s="92" t="s">
        <v>3430</v>
      </c>
      <c r="B575" s="93">
        <v>616.55</v>
      </c>
      <c r="C575" s="93"/>
      <c r="D575" s="93"/>
      <c r="E575" s="93"/>
    </row>
    <row r="576">
      <c r="A576" s="92" t="s">
        <v>4841</v>
      </c>
      <c r="B576" s="93">
        <v>2999.0</v>
      </c>
      <c r="C576" s="93"/>
      <c r="D576" s="93"/>
      <c r="E576" s="94"/>
    </row>
    <row r="577">
      <c r="A577" s="92" t="s">
        <v>4905</v>
      </c>
      <c r="B577" s="93">
        <v>1499.0</v>
      </c>
      <c r="C577" s="93"/>
      <c r="D577" s="93"/>
      <c r="E577" s="94"/>
    </row>
    <row r="578">
      <c r="A578" s="92" t="s">
        <v>3746</v>
      </c>
      <c r="B578" s="93">
        <v>399.0</v>
      </c>
      <c r="C578" s="93"/>
      <c r="D578" s="93"/>
      <c r="E578" s="93"/>
    </row>
    <row r="579">
      <c r="A579" s="92" t="s">
        <v>3751</v>
      </c>
      <c r="B579" s="93">
        <v>399.0</v>
      </c>
      <c r="C579" s="93"/>
      <c r="D579" s="93"/>
      <c r="E579" s="93"/>
    </row>
    <row r="580">
      <c r="A580" s="92" t="s">
        <v>3711</v>
      </c>
      <c r="B580" s="93">
        <v>849.0</v>
      </c>
      <c r="C580" s="93"/>
      <c r="D580" s="93"/>
      <c r="E580" s="93"/>
    </row>
    <row r="581">
      <c r="A581" s="92" t="s">
        <v>4831</v>
      </c>
      <c r="B581" s="93">
        <v>3899.0</v>
      </c>
      <c r="C581" s="93"/>
      <c r="D581" s="93"/>
      <c r="E581" s="94"/>
    </row>
    <row r="582">
      <c r="A582" s="92" t="s">
        <v>5407</v>
      </c>
      <c r="B582" s="93">
        <v>2199.0</v>
      </c>
      <c r="C582" s="93"/>
      <c r="D582" s="93"/>
      <c r="E582" s="94"/>
    </row>
    <row r="583">
      <c r="A583" s="92" t="s">
        <v>3032</v>
      </c>
      <c r="B583" s="93">
        <v>2199.0</v>
      </c>
      <c r="C583" s="93"/>
      <c r="D583" s="93"/>
      <c r="E583" s="94"/>
    </row>
    <row r="584">
      <c r="A584" s="92" t="s">
        <v>4906</v>
      </c>
      <c r="B584" s="93">
        <v>2199.0</v>
      </c>
      <c r="C584" s="93"/>
      <c r="D584" s="93"/>
      <c r="E584" s="94"/>
    </row>
    <row r="585">
      <c r="A585" s="92" t="s">
        <v>3008</v>
      </c>
      <c r="B585" s="93">
        <v>1699.0</v>
      </c>
      <c r="C585" s="93"/>
      <c r="D585" s="93"/>
      <c r="E585" s="94"/>
    </row>
    <row r="586">
      <c r="A586" s="92" t="s">
        <v>5408</v>
      </c>
      <c r="B586" s="93">
        <v>1699.0</v>
      </c>
      <c r="C586" s="93"/>
      <c r="D586" s="93"/>
      <c r="E586" s="94"/>
    </row>
    <row r="587">
      <c r="A587" s="92" t="s">
        <v>4836</v>
      </c>
      <c r="B587" s="93">
        <v>4899.0</v>
      </c>
      <c r="C587" s="93"/>
      <c r="D587" s="93"/>
      <c r="E587" s="94"/>
    </row>
    <row r="588">
      <c r="A588" s="92" t="s">
        <v>856</v>
      </c>
      <c r="B588" s="93">
        <v>12399.2</v>
      </c>
      <c r="C588" s="93"/>
      <c r="D588" s="93"/>
      <c r="E588" s="94"/>
    </row>
    <row r="589">
      <c r="A589" s="92" t="s">
        <v>882</v>
      </c>
      <c r="B589" s="93">
        <v>15199.2</v>
      </c>
      <c r="C589" s="93"/>
      <c r="D589" s="93"/>
      <c r="E589" s="94"/>
    </row>
    <row r="590">
      <c r="A590" s="92" t="s">
        <v>1049</v>
      </c>
      <c r="B590" s="93">
        <v>18159.2</v>
      </c>
      <c r="C590" s="93"/>
      <c r="D590" s="93"/>
      <c r="E590" s="94"/>
    </row>
    <row r="591">
      <c r="A591" s="92" t="s">
        <v>939</v>
      </c>
      <c r="B591" s="93">
        <v>15519.2</v>
      </c>
      <c r="C591" s="93"/>
      <c r="D591" s="93"/>
      <c r="E591" s="94"/>
    </row>
    <row r="592">
      <c r="A592" s="92" t="s">
        <v>4910</v>
      </c>
      <c r="B592" s="93">
        <v>6999.0</v>
      </c>
      <c r="C592" s="93"/>
      <c r="D592" s="93"/>
      <c r="E592" s="94"/>
    </row>
    <row r="593">
      <c r="A593" s="92" t="s">
        <v>4914</v>
      </c>
      <c r="B593" s="93">
        <v>2399.0</v>
      </c>
      <c r="C593" s="93"/>
      <c r="D593" s="93"/>
      <c r="E593" s="94"/>
    </row>
    <row r="594">
      <c r="A594" s="92" t="s">
        <v>5409</v>
      </c>
      <c r="B594" s="93">
        <v>2540.65</v>
      </c>
      <c r="C594" s="93"/>
      <c r="D594" s="93"/>
      <c r="E594" s="94"/>
    </row>
    <row r="595">
      <c r="A595" s="92" t="s">
        <v>3229</v>
      </c>
      <c r="B595" s="93">
        <v>1605.65</v>
      </c>
      <c r="C595" s="93"/>
      <c r="D595" s="93"/>
      <c r="E595" s="94"/>
    </row>
    <row r="596">
      <c r="A596" s="92" t="s">
        <v>3349</v>
      </c>
      <c r="B596" s="93">
        <v>1860.65</v>
      </c>
      <c r="C596" s="93"/>
      <c r="D596" s="93"/>
      <c r="E596" s="94"/>
    </row>
    <row r="597">
      <c r="A597" s="92" t="s">
        <v>3325</v>
      </c>
      <c r="B597" s="93">
        <v>1860.65</v>
      </c>
      <c r="C597" s="93"/>
      <c r="D597" s="93"/>
      <c r="E597" s="94"/>
    </row>
    <row r="598">
      <c r="A598" s="92" t="s">
        <v>3253</v>
      </c>
      <c r="B598" s="93">
        <v>1690.65</v>
      </c>
      <c r="C598" s="93"/>
      <c r="D598" s="93"/>
      <c r="E598" s="94"/>
    </row>
    <row r="599">
      <c r="A599" s="92" t="s">
        <v>3277</v>
      </c>
      <c r="B599" s="93">
        <v>1690.65</v>
      </c>
      <c r="C599" s="93"/>
      <c r="D599" s="93"/>
      <c r="E599" s="94"/>
    </row>
    <row r="600">
      <c r="A600" s="92" t="s">
        <v>3301</v>
      </c>
      <c r="B600" s="93">
        <v>1690.65</v>
      </c>
      <c r="C600" s="93"/>
      <c r="D600" s="93"/>
      <c r="E600" s="94"/>
    </row>
    <row r="601">
      <c r="A601" s="92" t="s">
        <v>3205</v>
      </c>
      <c r="B601" s="93">
        <v>1180.65</v>
      </c>
      <c r="C601" s="93"/>
      <c r="D601" s="93"/>
      <c r="E601" s="94"/>
    </row>
    <row r="602">
      <c r="A602" s="92" t="s">
        <v>3379</v>
      </c>
      <c r="B602" s="93">
        <v>1860.65</v>
      </c>
      <c r="C602" s="93"/>
      <c r="D602" s="93"/>
      <c r="E602" s="94"/>
    </row>
    <row r="603">
      <c r="A603" s="92" t="s">
        <v>3355</v>
      </c>
      <c r="B603" s="93">
        <v>1860.65</v>
      </c>
      <c r="C603" s="93"/>
      <c r="D603" s="93"/>
      <c r="E603" s="94"/>
    </row>
    <row r="604">
      <c r="A604" s="92" t="s">
        <v>3259</v>
      </c>
      <c r="B604" s="93">
        <v>1690.65</v>
      </c>
      <c r="C604" s="93"/>
      <c r="D604" s="93"/>
      <c r="E604" s="94"/>
    </row>
    <row r="605">
      <c r="A605" s="92" t="s">
        <v>3283</v>
      </c>
      <c r="B605" s="93">
        <v>1690.65</v>
      </c>
      <c r="C605" s="93"/>
      <c r="D605" s="93"/>
      <c r="E605" s="94"/>
    </row>
    <row r="606">
      <c r="A606" s="92" t="s">
        <v>3211</v>
      </c>
      <c r="B606" s="93">
        <v>1180.65</v>
      </c>
      <c r="C606" s="93"/>
      <c r="D606" s="93"/>
      <c r="E606" s="94"/>
    </row>
    <row r="607">
      <c r="A607" s="92" t="s">
        <v>5410</v>
      </c>
      <c r="B607" s="93">
        <v>1775.65</v>
      </c>
      <c r="C607" s="93"/>
      <c r="D607" s="93"/>
      <c r="E607" s="94"/>
    </row>
    <row r="608">
      <c r="A608" s="92" t="s">
        <v>3247</v>
      </c>
      <c r="B608" s="93">
        <v>1605.65</v>
      </c>
      <c r="C608" s="93"/>
      <c r="D608" s="93"/>
      <c r="E608" s="94"/>
    </row>
    <row r="609">
      <c r="A609" s="92" t="s">
        <v>3391</v>
      </c>
      <c r="B609" s="93">
        <v>1860.65</v>
      </c>
      <c r="C609" s="93"/>
      <c r="D609" s="93"/>
      <c r="E609" s="94"/>
    </row>
    <row r="610">
      <c r="A610" s="92" t="s">
        <v>3367</v>
      </c>
      <c r="B610" s="93">
        <v>1860.65</v>
      </c>
      <c r="C610" s="93"/>
      <c r="D610" s="93"/>
      <c r="E610" s="94"/>
    </row>
    <row r="611">
      <c r="A611" s="92" t="s">
        <v>3343</v>
      </c>
      <c r="B611" s="93">
        <v>1860.65</v>
      </c>
      <c r="C611" s="93"/>
      <c r="D611" s="93"/>
      <c r="E611" s="94"/>
    </row>
    <row r="612">
      <c r="A612" s="92" t="s">
        <v>3271</v>
      </c>
      <c r="B612" s="93">
        <v>1690.65</v>
      </c>
      <c r="C612" s="93"/>
      <c r="D612" s="93"/>
      <c r="E612" s="94"/>
    </row>
    <row r="613">
      <c r="A613" s="92" t="s">
        <v>3295</v>
      </c>
      <c r="B613" s="93">
        <v>1690.65</v>
      </c>
      <c r="C613" s="93"/>
      <c r="D613" s="93"/>
      <c r="E613" s="94"/>
    </row>
    <row r="614">
      <c r="A614" s="92" t="s">
        <v>3319</v>
      </c>
      <c r="B614" s="93">
        <v>1690.65</v>
      </c>
      <c r="C614" s="93"/>
      <c r="D614" s="93"/>
      <c r="E614" s="94"/>
    </row>
    <row r="615">
      <c r="A615" s="92" t="s">
        <v>3223</v>
      </c>
      <c r="B615" s="93">
        <v>1180.65</v>
      </c>
      <c r="C615" s="93"/>
      <c r="D615" s="93"/>
      <c r="E615" s="94"/>
    </row>
    <row r="616">
      <c r="A616" s="92" t="s">
        <v>3756</v>
      </c>
      <c r="B616" s="93">
        <v>424.15</v>
      </c>
      <c r="C616" s="93"/>
      <c r="D616" s="93"/>
      <c r="E616" s="93"/>
    </row>
    <row r="617">
      <c r="A617" s="92" t="s">
        <v>3736</v>
      </c>
      <c r="B617" s="93">
        <v>551.65</v>
      </c>
      <c r="C617" s="93"/>
      <c r="D617" s="93"/>
      <c r="E617" s="93"/>
    </row>
    <row r="618">
      <c r="A618" s="92" t="s">
        <v>3614</v>
      </c>
      <c r="B618" s="93">
        <v>466.65</v>
      </c>
      <c r="C618" s="93"/>
      <c r="D618" s="93"/>
      <c r="E618" s="93"/>
    </row>
    <row r="619">
      <c r="A619" s="92" t="s">
        <v>3241</v>
      </c>
      <c r="B619" s="93">
        <v>1605.65</v>
      </c>
      <c r="C619" s="93"/>
      <c r="D619" s="93"/>
      <c r="E619" s="94"/>
    </row>
    <row r="620">
      <c r="A620" s="92" t="s">
        <v>3385</v>
      </c>
      <c r="B620" s="93">
        <v>1860.65</v>
      </c>
      <c r="C620" s="93"/>
      <c r="D620" s="93"/>
      <c r="E620" s="94"/>
    </row>
    <row r="621">
      <c r="A621" s="92" t="s">
        <v>3361</v>
      </c>
      <c r="B621" s="93">
        <v>1860.65</v>
      </c>
      <c r="C621" s="93"/>
      <c r="D621" s="93"/>
      <c r="E621" s="94"/>
    </row>
    <row r="622">
      <c r="A622" s="92" t="s">
        <v>3265</v>
      </c>
      <c r="B622" s="93">
        <v>1690.65</v>
      </c>
      <c r="C622" s="93"/>
      <c r="D622" s="93"/>
      <c r="E622" s="94"/>
    </row>
    <row r="623">
      <c r="A623" s="92" t="s">
        <v>3313</v>
      </c>
      <c r="B623" s="93">
        <v>1699.0</v>
      </c>
      <c r="C623" s="93"/>
      <c r="D623" s="93"/>
      <c r="E623" s="94"/>
    </row>
    <row r="624">
      <c r="A624" s="92" t="s">
        <v>3217</v>
      </c>
      <c r="B624" s="93">
        <v>1199.0</v>
      </c>
      <c r="C624" s="93"/>
      <c r="D624" s="93"/>
      <c r="E624" s="94"/>
    </row>
    <row r="625">
      <c r="A625" s="92" t="s">
        <v>3337</v>
      </c>
      <c r="B625" s="93">
        <v>1899.0</v>
      </c>
      <c r="C625" s="93"/>
      <c r="D625" s="93"/>
      <c r="E625" s="94"/>
    </row>
    <row r="626">
      <c r="A626" s="92" t="s">
        <v>3726</v>
      </c>
      <c r="B626" s="93">
        <v>549.0</v>
      </c>
      <c r="C626" s="93"/>
      <c r="D626" s="93"/>
      <c r="E626" s="93"/>
    </row>
    <row r="627">
      <c r="A627" s="92" t="s">
        <v>3604</v>
      </c>
      <c r="B627" s="93">
        <v>449.0</v>
      </c>
      <c r="C627" s="93"/>
      <c r="D627" s="93"/>
      <c r="E627" s="93"/>
    </row>
    <row r="628">
      <c r="A628" s="92" t="s">
        <v>3741</v>
      </c>
      <c r="B628" s="93">
        <v>449.0</v>
      </c>
      <c r="C628" s="93"/>
      <c r="D628" s="93"/>
      <c r="E628" s="93"/>
    </row>
    <row r="629">
      <c r="A629" s="92" t="s">
        <v>3721</v>
      </c>
      <c r="B629" s="93">
        <v>549.0</v>
      </c>
      <c r="C629" s="93"/>
      <c r="D629" s="93"/>
      <c r="E629" s="93"/>
    </row>
    <row r="630">
      <c r="A630" s="92" t="s">
        <v>3599</v>
      </c>
      <c r="B630" s="93">
        <v>449.0</v>
      </c>
      <c r="C630" s="93"/>
      <c r="D630" s="93"/>
      <c r="E630" s="93"/>
    </row>
    <row r="631">
      <c r="A631" s="92" t="s">
        <v>3731</v>
      </c>
      <c r="B631" s="93">
        <v>549.0</v>
      </c>
      <c r="C631" s="93"/>
      <c r="D631" s="93"/>
      <c r="E631" s="93"/>
    </row>
    <row r="632">
      <c r="A632" s="92" t="s">
        <v>3609</v>
      </c>
      <c r="B632" s="93">
        <v>449.0</v>
      </c>
      <c r="C632" s="93"/>
      <c r="D632" s="93"/>
      <c r="E632" s="93"/>
    </row>
    <row r="633">
      <c r="A633" s="92" t="s">
        <v>5411</v>
      </c>
      <c r="B633" s="93">
        <v>9041.34</v>
      </c>
      <c r="C633" s="93"/>
      <c r="D633" s="94"/>
      <c r="E633" s="94"/>
    </row>
    <row r="634">
      <c r="A634" s="92" t="s">
        <v>5412</v>
      </c>
      <c r="B634" s="93">
        <v>9965.34</v>
      </c>
      <c r="C634" s="93"/>
      <c r="D634" s="94"/>
      <c r="E634" s="94"/>
    </row>
    <row r="635">
      <c r="A635" s="92" t="s">
        <v>5413</v>
      </c>
      <c r="B635" s="93">
        <v>9965.34</v>
      </c>
      <c r="C635" s="93"/>
      <c r="D635" s="94"/>
      <c r="E635" s="94"/>
    </row>
    <row r="636">
      <c r="A636" s="92" t="s">
        <v>5414</v>
      </c>
      <c r="B636" s="93">
        <v>12671.34</v>
      </c>
      <c r="C636" s="93"/>
      <c r="D636" s="94"/>
      <c r="E636" s="94"/>
    </row>
    <row r="637">
      <c r="A637" s="92" t="s">
        <v>5415</v>
      </c>
      <c r="B637" s="93">
        <v>11285.34</v>
      </c>
      <c r="C637" s="93"/>
      <c r="D637" s="94"/>
      <c r="E637" s="94"/>
    </row>
    <row r="638">
      <c r="A638" s="92" t="s">
        <v>5416</v>
      </c>
      <c r="B638" s="93">
        <v>16037.34</v>
      </c>
      <c r="C638" s="93"/>
      <c r="D638" s="94"/>
      <c r="E638" s="94"/>
    </row>
    <row r="639">
      <c r="A639" s="92" t="s">
        <v>5417</v>
      </c>
      <c r="B639" s="93">
        <v>14321.34</v>
      </c>
      <c r="C639" s="93"/>
      <c r="D639" s="94"/>
      <c r="E639" s="94"/>
    </row>
    <row r="640">
      <c r="A640" s="92" t="s">
        <v>5418</v>
      </c>
      <c r="B640" s="93">
        <v>16565.34</v>
      </c>
      <c r="C640" s="93"/>
      <c r="D640" s="94"/>
      <c r="E640" s="94"/>
    </row>
    <row r="641">
      <c r="A641" s="92" t="s">
        <v>5419</v>
      </c>
      <c r="B641" s="93">
        <v>18743.34</v>
      </c>
      <c r="C641" s="93"/>
      <c r="D641" s="94"/>
      <c r="E641" s="94"/>
    </row>
    <row r="642">
      <c r="A642" s="92" t="s">
        <v>5420</v>
      </c>
      <c r="B642" s="93">
        <v>14519.34</v>
      </c>
      <c r="C642" s="93"/>
      <c r="D642" s="94"/>
      <c r="E642" s="94"/>
    </row>
    <row r="643">
      <c r="A643" s="92" t="s">
        <v>5421</v>
      </c>
      <c r="B643" s="93">
        <v>17621.34</v>
      </c>
      <c r="C643" s="93"/>
      <c r="D643" s="94"/>
      <c r="E643" s="94"/>
    </row>
    <row r="644">
      <c r="A644" s="92" t="s">
        <v>5422</v>
      </c>
      <c r="B644" s="93">
        <v>19799.34</v>
      </c>
      <c r="C644" s="93"/>
      <c r="D644" s="94"/>
      <c r="E644" s="94"/>
    </row>
    <row r="645">
      <c r="A645" s="92" t="s">
        <v>5423</v>
      </c>
      <c r="B645" s="93">
        <v>17621.34</v>
      </c>
      <c r="C645" s="93"/>
      <c r="D645" s="94"/>
      <c r="E645" s="94"/>
    </row>
    <row r="646">
      <c r="A646" s="92" t="s">
        <v>5424</v>
      </c>
      <c r="B646" s="93">
        <v>15377.34</v>
      </c>
      <c r="C646" s="93"/>
      <c r="D646" s="94"/>
      <c r="E646" s="94"/>
    </row>
    <row r="647">
      <c r="A647" s="92" t="s">
        <v>5425</v>
      </c>
      <c r="B647" s="93">
        <v>19799.34</v>
      </c>
      <c r="C647" s="93"/>
      <c r="D647" s="94"/>
      <c r="E647" s="94"/>
    </row>
    <row r="648">
      <c r="A648" s="92" t="s">
        <v>5426</v>
      </c>
      <c r="B648" s="93">
        <v>6929.34</v>
      </c>
      <c r="C648" s="93"/>
      <c r="D648" s="94"/>
      <c r="E648" s="94"/>
    </row>
    <row r="649">
      <c r="A649" s="92" t="s">
        <v>5427</v>
      </c>
      <c r="B649" s="93">
        <v>8777.34</v>
      </c>
      <c r="C649" s="93"/>
      <c r="D649" s="94"/>
      <c r="E649" s="94"/>
    </row>
    <row r="650">
      <c r="A650" s="92" t="s">
        <v>5428</v>
      </c>
      <c r="B650" s="93">
        <v>7193.34</v>
      </c>
      <c r="C650" s="93"/>
      <c r="D650" s="94"/>
      <c r="E650" s="94"/>
    </row>
    <row r="651">
      <c r="A651" s="92" t="s">
        <v>5429</v>
      </c>
      <c r="B651" s="93">
        <v>7721.34</v>
      </c>
      <c r="C651" s="93"/>
      <c r="D651" s="94"/>
      <c r="E651" s="94"/>
    </row>
    <row r="652">
      <c r="A652" s="92" t="s">
        <v>5430</v>
      </c>
      <c r="B652" s="93">
        <v>8249.34</v>
      </c>
      <c r="C652" s="93"/>
      <c r="D652" s="94"/>
      <c r="E652" s="94"/>
    </row>
    <row r="653">
      <c r="A653" s="92" t="s">
        <v>5431</v>
      </c>
      <c r="B653" s="93">
        <v>9965.34</v>
      </c>
      <c r="C653" s="93"/>
      <c r="D653" s="94"/>
      <c r="E653" s="94"/>
    </row>
    <row r="654">
      <c r="A654" s="92" t="s">
        <v>5432</v>
      </c>
      <c r="B654" s="93">
        <v>11021.34</v>
      </c>
      <c r="C654" s="93"/>
      <c r="D654" s="94"/>
      <c r="E654" s="94"/>
    </row>
    <row r="655">
      <c r="A655" s="92" t="s">
        <v>5433</v>
      </c>
      <c r="B655" s="93">
        <v>12671.34</v>
      </c>
      <c r="C655" s="93"/>
      <c r="D655" s="94"/>
      <c r="E655" s="94"/>
    </row>
    <row r="656">
      <c r="A656" s="92" t="s">
        <v>4827</v>
      </c>
      <c r="B656" s="93">
        <v>2999.0</v>
      </c>
      <c r="C656" s="93"/>
      <c r="D656" s="93"/>
      <c r="E656" s="94"/>
    </row>
    <row r="657">
      <c r="A657" s="92" t="s">
        <v>4917</v>
      </c>
      <c r="B657" s="93">
        <v>1699.0</v>
      </c>
      <c r="C657" s="93"/>
      <c r="D657" s="93"/>
      <c r="E657" s="94"/>
    </row>
    <row r="658">
      <c r="A658" s="92" t="s">
        <v>3846</v>
      </c>
      <c r="B658" s="93">
        <v>936.75</v>
      </c>
      <c r="C658" s="93"/>
      <c r="D658" s="93"/>
      <c r="E658" s="93"/>
    </row>
    <row r="659">
      <c r="A659" s="92" t="s">
        <v>3886</v>
      </c>
      <c r="B659" s="93">
        <v>1499.25</v>
      </c>
      <c r="C659" s="93"/>
      <c r="D659" s="93"/>
      <c r="E659" s="94"/>
    </row>
    <row r="660">
      <c r="A660" s="92" t="s">
        <v>3866</v>
      </c>
      <c r="B660" s="93">
        <v>1401.75</v>
      </c>
      <c r="C660" s="93"/>
      <c r="D660" s="93"/>
      <c r="E660" s="94"/>
    </row>
    <row r="661">
      <c r="A661" s="92" t="s">
        <v>3876</v>
      </c>
      <c r="B661" s="93">
        <v>1874.25</v>
      </c>
      <c r="C661" s="93"/>
      <c r="D661" s="93"/>
      <c r="E661" s="94"/>
    </row>
    <row r="662">
      <c r="A662" s="92" t="s">
        <v>3856</v>
      </c>
      <c r="B662" s="93">
        <v>1401.75</v>
      </c>
      <c r="C662" s="93"/>
      <c r="D662" s="93"/>
      <c r="E662" s="94"/>
    </row>
    <row r="663">
      <c r="A663" s="92" t="s">
        <v>3896</v>
      </c>
      <c r="B663" s="93">
        <v>1499.25</v>
      </c>
      <c r="C663" s="93"/>
      <c r="D663" s="93"/>
      <c r="E663" s="94"/>
    </row>
    <row r="664">
      <c r="A664" s="92" t="s">
        <v>4674</v>
      </c>
      <c r="B664" s="93">
        <v>974.25</v>
      </c>
      <c r="C664" s="93"/>
      <c r="D664" s="93"/>
      <c r="E664" s="93"/>
    </row>
    <row r="665">
      <c r="A665" s="92" t="s">
        <v>4678</v>
      </c>
      <c r="B665" s="93">
        <v>974.25</v>
      </c>
      <c r="C665" s="93"/>
      <c r="D665" s="93"/>
      <c r="E665" s="93"/>
    </row>
    <row r="666">
      <c r="A666" s="92" t="s">
        <v>5434</v>
      </c>
      <c r="B666" s="93">
        <v>2549.15</v>
      </c>
      <c r="C666" s="93"/>
      <c r="D666" s="93"/>
      <c r="E666" s="94"/>
    </row>
    <row r="667">
      <c r="A667" s="92" t="s">
        <v>5435</v>
      </c>
      <c r="B667" s="93">
        <v>2549.15</v>
      </c>
      <c r="C667" s="93"/>
      <c r="D667" s="93"/>
      <c r="E667" s="94"/>
    </row>
    <row r="668">
      <c r="A668" s="92" t="s">
        <v>5436</v>
      </c>
      <c r="B668" s="93">
        <v>2549.15</v>
      </c>
      <c r="C668" s="93"/>
      <c r="D668" s="93"/>
      <c r="E668" s="94"/>
    </row>
    <row r="669">
      <c r="A669" s="92" t="s">
        <v>172</v>
      </c>
      <c r="B669" s="93">
        <v>5691.64</v>
      </c>
      <c r="C669" s="93"/>
      <c r="D669" s="93"/>
      <c r="E669" s="94"/>
    </row>
    <row r="670">
      <c r="A670" s="92" t="s">
        <v>112</v>
      </c>
      <c r="B670" s="93">
        <v>6854.44</v>
      </c>
      <c r="C670" s="93"/>
      <c r="D670" s="93"/>
      <c r="E670" s="94"/>
    </row>
    <row r="671">
      <c r="A671" s="92" t="s">
        <v>123</v>
      </c>
      <c r="B671" s="93">
        <v>7067.24</v>
      </c>
      <c r="C671" s="93"/>
      <c r="D671" s="93"/>
      <c r="E671" s="94"/>
    </row>
    <row r="672">
      <c r="A672" s="92" t="s">
        <v>129</v>
      </c>
      <c r="B672" s="93">
        <v>7173.64</v>
      </c>
      <c r="C672" s="93"/>
      <c r="D672" s="93"/>
      <c r="E672" s="94"/>
    </row>
    <row r="673">
      <c r="A673" s="92" t="s">
        <v>195</v>
      </c>
      <c r="B673" s="93">
        <v>6292.04</v>
      </c>
      <c r="C673" s="93"/>
      <c r="D673" s="93"/>
      <c r="E673" s="94"/>
    </row>
    <row r="674">
      <c r="A674" s="92" t="s">
        <v>117</v>
      </c>
      <c r="B674" s="93">
        <v>7591.64</v>
      </c>
      <c r="C674" s="93"/>
      <c r="D674" s="93"/>
      <c r="E674" s="94"/>
    </row>
    <row r="675">
      <c r="A675" s="92" t="s">
        <v>309</v>
      </c>
      <c r="B675" s="93">
        <v>6892.44</v>
      </c>
      <c r="C675" s="93"/>
      <c r="D675" s="93"/>
      <c r="E675" s="94"/>
    </row>
    <row r="676">
      <c r="A676" s="92" t="s">
        <v>4920</v>
      </c>
      <c r="B676" s="93">
        <v>6991.24</v>
      </c>
      <c r="C676" s="93"/>
      <c r="D676" s="93"/>
      <c r="E676" s="94"/>
    </row>
    <row r="677">
      <c r="A677" s="92" t="s">
        <v>284</v>
      </c>
      <c r="B677" s="93">
        <v>9491.64</v>
      </c>
      <c r="C677" s="93"/>
      <c r="D677" s="93"/>
      <c r="E677" s="94"/>
    </row>
    <row r="678">
      <c r="A678" s="92" t="s">
        <v>299</v>
      </c>
      <c r="B678" s="93">
        <v>10335.24</v>
      </c>
      <c r="C678" s="93"/>
      <c r="D678" s="93"/>
      <c r="E678" s="94"/>
    </row>
    <row r="679">
      <c r="A679" s="92" t="s">
        <v>540</v>
      </c>
      <c r="B679" s="93">
        <v>9294.04</v>
      </c>
      <c r="C679" s="93"/>
      <c r="D679" s="93"/>
      <c r="E679" s="94"/>
    </row>
    <row r="680">
      <c r="A680" s="92" t="s">
        <v>552</v>
      </c>
      <c r="B680" s="93">
        <v>9795.64</v>
      </c>
      <c r="C680" s="93"/>
      <c r="D680" s="93"/>
      <c r="E680" s="94"/>
    </row>
    <row r="681">
      <c r="A681" s="92" t="s">
        <v>481</v>
      </c>
      <c r="B681" s="93">
        <v>10548.04</v>
      </c>
      <c r="C681" s="93"/>
      <c r="D681" s="93"/>
      <c r="E681" s="94"/>
    </row>
    <row r="682">
      <c r="A682" s="92" t="s">
        <v>557</v>
      </c>
      <c r="B682" s="93">
        <v>9993.24</v>
      </c>
      <c r="C682" s="93"/>
      <c r="D682" s="93"/>
      <c r="E682" s="94"/>
    </row>
    <row r="683">
      <c r="A683" s="92" t="s">
        <v>487</v>
      </c>
      <c r="B683" s="93">
        <v>11080.04</v>
      </c>
      <c r="C683" s="93"/>
      <c r="D683" s="93"/>
      <c r="E683" s="94"/>
    </row>
    <row r="684">
      <c r="A684" s="92" t="s">
        <v>493</v>
      </c>
      <c r="B684" s="93">
        <v>11285.24</v>
      </c>
      <c r="C684" s="93"/>
      <c r="D684" s="93"/>
      <c r="E684" s="94"/>
    </row>
    <row r="685">
      <c r="A685" s="92" t="s">
        <v>751</v>
      </c>
      <c r="B685" s="93">
        <v>10996.44</v>
      </c>
      <c r="C685" s="93"/>
      <c r="D685" s="93"/>
      <c r="E685" s="94"/>
    </row>
    <row r="686">
      <c r="A686" s="92" t="s">
        <v>227</v>
      </c>
      <c r="B686" s="93">
        <v>12919.24</v>
      </c>
      <c r="C686" s="93"/>
      <c r="D686" s="93"/>
      <c r="E686" s="94"/>
    </row>
    <row r="687">
      <c r="A687" s="92" t="s">
        <v>517</v>
      </c>
      <c r="B687" s="93">
        <v>12660.84</v>
      </c>
      <c r="C687" s="93"/>
      <c r="D687" s="93"/>
      <c r="E687" s="94"/>
    </row>
    <row r="688">
      <c r="A688" s="92" t="s">
        <v>4924</v>
      </c>
      <c r="B688" s="93">
        <v>11391.64</v>
      </c>
      <c r="C688" s="93"/>
      <c r="D688" s="93"/>
      <c r="E688" s="94"/>
    </row>
    <row r="689">
      <c r="A689" s="92" t="s">
        <v>709</v>
      </c>
      <c r="B689" s="93">
        <v>12341.64</v>
      </c>
      <c r="C689" s="93"/>
      <c r="D689" s="93"/>
      <c r="E689" s="94"/>
    </row>
    <row r="690">
      <c r="A690" s="92" t="s">
        <v>714</v>
      </c>
      <c r="B690" s="93">
        <v>12660.84</v>
      </c>
      <c r="C690" s="93"/>
      <c r="D690" s="93"/>
      <c r="E690" s="94"/>
    </row>
    <row r="691">
      <c r="A691" s="92" t="s">
        <v>763</v>
      </c>
      <c r="B691" s="93">
        <v>12493.64</v>
      </c>
      <c r="C691" s="93"/>
      <c r="D691" s="93"/>
      <c r="E691" s="94"/>
    </row>
    <row r="692">
      <c r="A692" s="92" t="s">
        <v>719</v>
      </c>
      <c r="B692" s="93">
        <v>13086.44</v>
      </c>
      <c r="C692" s="93"/>
      <c r="D692" s="93"/>
      <c r="E692" s="94"/>
    </row>
    <row r="693">
      <c r="A693" s="92" t="s">
        <v>777</v>
      </c>
      <c r="B693" s="93">
        <v>13398.04</v>
      </c>
      <c r="C693" s="93"/>
      <c r="D693" s="93"/>
      <c r="E693" s="94"/>
    </row>
    <row r="694">
      <c r="A694" s="92" t="s">
        <v>107</v>
      </c>
      <c r="B694" s="93">
        <v>13679.24</v>
      </c>
      <c r="C694" s="93"/>
      <c r="D694" s="93"/>
      <c r="E694" s="94"/>
    </row>
    <row r="695">
      <c r="A695" s="92" t="s">
        <v>253</v>
      </c>
      <c r="B695" s="93">
        <v>14439.24</v>
      </c>
      <c r="C695" s="93"/>
      <c r="D695" s="93"/>
      <c r="E695" s="94"/>
    </row>
    <row r="696">
      <c r="A696" s="92" t="s">
        <v>279</v>
      </c>
      <c r="B696" s="93">
        <v>15959.24</v>
      </c>
      <c r="C696" s="93"/>
      <c r="D696" s="93"/>
      <c r="E696" s="94"/>
    </row>
    <row r="697">
      <c r="A697" s="92" t="s">
        <v>443</v>
      </c>
      <c r="B697" s="93">
        <v>17023.24</v>
      </c>
      <c r="C697" s="93"/>
      <c r="D697" s="93"/>
      <c r="E697" s="94"/>
    </row>
    <row r="698">
      <c r="A698" s="92" t="s">
        <v>705</v>
      </c>
      <c r="B698" s="93">
        <v>23559.24</v>
      </c>
      <c r="C698" s="93"/>
      <c r="D698" s="93"/>
      <c r="E698" s="94"/>
    </row>
    <row r="699">
      <c r="A699" s="92" t="s">
        <v>156</v>
      </c>
      <c r="B699" s="93">
        <v>8967.24</v>
      </c>
      <c r="C699" s="93"/>
      <c r="D699" s="93"/>
      <c r="E699" s="94"/>
    </row>
    <row r="700">
      <c r="A700" s="92" t="s">
        <v>675</v>
      </c>
      <c r="B700" s="93">
        <v>17935.24</v>
      </c>
      <c r="C700" s="93"/>
      <c r="D700" s="93"/>
      <c r="E700" s="94"/>
    </row>
    <row r="701">
      <c r="A701" s="92" t="s">
        <v>4928</v>
      </c>
      <c r="B701" s="93">
        <v>9119.24</v>
      </c>
      <c r="C701" s="93"/>
      <c r="D701" s="93"/>
      <c r="E701" s="94"/>
    </row>
    <row r="702">
      <c r="A702" s="92" t="s">
        <v>4932</v>
      </c>
      <c r="B702" s="93">
        <v>9119.24</v>
      </c>
      <c r="C702" s="93"/>
      <c r="D702" s="93"/>
      <c r="E702" s="94"/>
    </row>
    <row r="703">
      <c r="A703" s="92" t="s">
        <v>4936</v>
      </c>
      <c r="B703" s="93">
        <v>22799.24</v>
      </c>
      <c r="C703" s="93"/>
      <c r="D703" s="93"/>
      <c r="E703" s="94"/>
    </row>
    <row r="704">
      <c r="A704" s="92" t="s">
        <v>476</v>
      </c>
      <c r="B704" s="93">
        <v>19759.24</v>
      </c>
      <c r="C704" s="93"/>
      <c r="D704" s="93"/>
      <c r="E704" s="94"/>
    </row>
    <row r="705">
      <c r="A705" s="92" t="s">
        <v>466</v>
      </c>
      <c r="B705" s="93">
        <v>14439.24</v>
      </c>
      <c r="C705" s="93"/>
      <c r="D705" s="93"/>
      <c r="E705" s="94"/>
    </row>
    <row r="706">
      <c r="A706" s="92" t="s">
        <v>2248</v>
      </c>
      <c r="B706" s="93">
        <v>800.1</v>
      </c>
      <c r="C706" s="93"/>
      <c r="D706" s="93"/>
      <c r="E706" s="93"/>
    </row>
    <row r="707">
      <c r="A707" s="92" t="s">
        <v>2252</v>
      </c>
      <c r="B707" s="93">
        <v>800.1</v>
      </c>
      <c r="C707" s="93"/>
      <c r="D707" s="93"/>
      <c r="E707" s="93"/>
    </row>
    <row r="708">
      <c r="A708" s="92" t="s">
        <v>2257</v>
      </c>
      <c r="B708" s="93">
        <v>800.1</v>
      </c>
      <c r="C708" s="93"/>
      <c r="D708" s="93"/>
      <c r="E708" s="93"/>
    </row>
    <row r="709">
      <c r="A709" s="92" t="s">
        <v>2220</v>
      </c>
      <c r="B709" s="93">
        <v>710.1</v>
      </c>
      <c r="C709" s="93"/>
      <c r="D709" s="93"/>
      <c r="E709" s="93"/>
    </row>
    <row r="710">
      <c r="A710" s="92" t="s">
        <v>2225</v>
      </c>
      <c r="B710" s="93">
        <v>710.1</v>
      </c>
      <c r="C710" s="93"/>
      <c r="D710" s="93"/>
      <c r="E710" s="93"/>
    </row>
    <row r="711">
      <c r="A711" s="92" t="s">
        <v>2314</v>
      </c>
      <c r="B711" s="93">
        <v>944.1</v>
      </c>
      <c r="C711" s="93"/>
      <c r="D711" s="93"/>
      <c r="E711" s="93"/>
    </row>
    <row r="712">
      <c r="A712" s="92" t="s">
        <v>2319</v>
      </c>
      <c r="B712" s="93">
        <v>944.1</v>
      </c>
      <c r="C712" s="93"/>
      <c r="D712" s="93"/>
      <c r="E712" s="93"/>
    </row>
    <row r="713">
      <c r="A713" s="92" t="s">
        <v>4453</v>
      </c>
      <c r="B713" s="93">
        <v>899.1</v>
      </c>
      <c r="C713" s="93"/>
      <c r="D713" s="93"/>
      <c r="E713" s="93"/>
    </row>
    <row r="714">
      <c r="A714" s="92" t="s">
        <v>4461</v>
      </c>
      <c r="B714" s="93">
        <v>899.1</v>
      </c>
      <c r="C714" s="93"/>
      <c r="D714" s="93"/>
      <c r="E714" s="93"/>
    </row>
    <row r="715">
      <c r="A715" s="92" t="s">
        <v>4486</v>
      </c>
      <c r="B715" s="93">
        <v>1079.1</v>
      </c>
      <c r="C715" s="93"/>
      <c r="D715" s="93"/>
      <c r="E715" s="94"/>
    </row>
    <row r="716">
      <c r="A716" s="92" t="s">
        <v>4491</v>
      </c>
      <c r="B716" s="93">
        <v>1079.1</v>
      </c>
      <c r="C716" s="93"/>
      <c r="D716" s="93"/>
      <c r="E716" s="94"/>
    </row>
    <row r="717">
      <c r="A717" s="92" t="s">
        <v>4559</v>
      </c>
      <c r="B717" s="93">
        <v>1439.1</v>
      </c>
      <c r="C717" s="93"/>
      <c r="D717" s="93"/>
      <c r="E717" s="94"/>
    </row>
    <row r="718">
      <c r="A718" s="92" t="s">
        <v>4423</v>
      </c>
      <c r="B718" s="93">
        <v>899.1</v>
      </c>
      <c r="C718" s="93"/>
      <c r="D718" s="93"/>
      <c r="E718" s="93"/>
    </row>
    <row r="719">
      <c r="A719" s="92" t="s">
        <v>4428</v>
      </c>
      <c r="B719" s="93">
        <v>899.1</v>
      </c>
      <c r="C719" s="93"/>
      <c r="D719" s="93"/>
      <c r="E719" s="93"/>
    </row>
    <row r="720">
      <c r="A720" s="92" t="s">
        <v>4433</v>
      </c>
      <c r="B720" s="93">
        <v>899.1</v>
      </c>
      <c r="C720" s="93"/>
      <c r="D720" s="93"/>
      <c r="E720" s="93"/>
    </row>
    <row r="721">
      <c r="A721" s="92" t="s">
        <v>4501</v>
      </c>
      <c r="B721" s="93">
        <v>1079.1</v>
      </c>
      <c r="C721" s="93"/>
      <c r="D721" s="93"/>
      <c r="E721" s="94"/>
    </row>
    <row r="722">
      <c r="A722" s="92" t="s">
        <v>4506</v>
      </c>
      <c r="B722" s="93">
        <v>1079.1</v>
      </c>
      <c r="C722" s="93"/>
      <c r="D722" s="93"/>
      <c r="E722" s="94"/>
    </row>
    <row r="723">
      <c r="A723" s="92" t="s">
        <v>4581</v>
      </c>
      <c r="B723" s="93">
        <v>1439.1</v>
      </c>
      <c r="C723" s="93"/>
      <c r="D723" s="93"/>
      <c r="E723" s="94"/>
    </row>
    <row r="724">
      <c r="A724" s="92" t="s">
        <v>4443</v>
      </c>
      <c r="B724" s="93">
        <v>899.1</v>
      </c>
      <c r="C724" s="93"/>
      <c r="D724" s="93"/>
      <c r="E724" s="93"/>
    </row>
    <row r="725">
      <c r="A725" s="92" t="s">
        <v>4448</v>
      </c>
      <c r="B725" s="93">
        <v>899.1</v>
      </c>
      <c r="C725" s="93"/>
      <c r="D725" s="93"/>
      <c r="E725" s="93"/>
    </row>
    <row r="726">
      <c r="A726" s="92" t="s">
        <v>4471</v>
      </c>
      <c r="B726" s="93">
        <v>1079.1</v>
      </c>
      <c r="C726" s="93"/>
      <c r="D726" s="93"/>
      <c r="E726" s="94"/>
    </row>
    <row r="727">
      <c r="A727" s="92" t="s">
        <v>4476</v>
      </c>
      <c r="B727" s="93">
        <v>1079.1</v>
      </c>
      <c r="C727" s="93"/>
      <c r="D727" s="93"/>
      <c r="E727" s="94"/>
    </row>
    <row r="728">
      <c r="A728" s="92" t="s">
        <v>4526</v>
      </c>
      <c r="B728" s="93">
        <v>1349.1</v>
      </c>
      <c r="C728" s="93"/>
      <c r="D728" s="93"/>
      <c r="E728" s="94"/>
    </row>
    <row r="729">
      <c r="A729" s="92" t="s">
        <v>4537</v>
      </c>
      <c r="B729" s="93">
        <v>1439.1</v>
      </c>
      <c r="C729" s="93"/>
      <c r="D729" s="93"/>
      <c r="E729" s="94"/>
    </row>
    <row r="730">
      <c r="A730" s="92" t="s">
        <v>4413</v>
      </c>
      <c r="B730" s="93">
        <v>899.1</v>
      </c>
      <c r="C730" s="93"/>
      <c r="D730" s="93"/>
      <c r="E730" s="93"/>
    </row>
    <row r="731">
      <c r="A731" s="92" t="s">
        <v>4608</v>
      </c>
      <c r="B731" s="93">
        <v>1439.1</v>
      </c>
      <c r="C731" s="93"/>
      <c r="D731" s="93"/>
      <c r="E731" s="94"/>
    </row>
    <row r="732">
      <c r="A732" s="92" t="s">
        <v>4521</v>
      </c>
      <c r="B732" s="93">
        <v>1079.1</v>
      </c>
      <c r="C732" s="93"/>
      <c r="D732" s="93"/>
      <c r="E732" s="94"/>
    </row>
    <row r="733">
      <c r="A733" s="92" t="s">
        <v>4611</v>
      </c>
      <c r="B733" s="93">
        <v>1439.1</v>
      </c>
      <c r="C733" s="93"/>
      <c r="D733" s="93"/>
      <c r="E733" s="94"/>
    </row>
    <row r="734">
      <c r="A734" s="92" t="s">
        <v>4603</v>
      </c>
      <c r="B734" s="93">
        <v>1439.1</v>
      </c>
      <c r="C734" s="93"/>
      <c r="D734" s="93"/>
      <c r="E734" s="94"/>
    </row>
    <row r="735">
      <c r="A735" s="92" t="s">
        <v>4940</v>
      </c>
      <c r="B735" s="93">
        <v>1349.1</v>
      </c>
      <c r="C735" s="93"/>
      <c r="D735" s="93"/>
      <c r="E735" s="94"/>
    </row>
    <row r="736">
      <c r="A736" s="92" t="s">
        <v>4944</v>
      </c>
      <c r="B736" s="93">
        <v>1439.1</v>
      </c>
      <c r="C736" s="93"/>
      <c r="D736" s="93"/>
      <c r="E736" s="94"/>
    </row>
    <row r="737">
      <c r="A737" s="92" t="s">
        <v>4948</v>
      </c>
      <c r="B737" s="93">
        <v>1349.1</v>
      </c>
      <c r="C737" s="93"/>
      <c r="D737" s="93"/>
      <c r="E737" s="94"/>
    </row>
    <row r="738">
      <c r="A738" s="92" t="s">
        <v>4952</v>
      </c>
      <c r="B738" s="93">
        <v>1439.1</v>
      </c>
      <c r="C738" s="93"/>
      <c r="D738" s="93"/>
      <c r="E738" s="94"/>
    </row>
    <row r="739">
      <c r="A739" s="92" t="s">
        <v>4458</v>
      </c>
      <c r="B739" s="93">
        <v>899.1</v>
      </c>
      <c r="C739" s="93"/>
      <c r="D739" s="93"/>
      <c r="E739" s="93"/>
    </row>
    <row r="740">
      <c r="A740" s="92" t="s">
        <v>4481</v>
      </c>
      <c r="B740" s="93">
        <v>1079.1</v>
      </c>
      <c r="C740" s="93"/>
      <c r="D740" s="93"/>
      <c r="E740" s="94"/>
    </row>
    <row r="741">
      <c r="A741" s="92" t="s">
        <v>4553</v>
      </c>
      <c r="B741" s="93">
        <v>1349.1</v>
      </c>
      <c r="C741" s="93"/>
      <c r="D741" s="93"/>
      <c r="E741" s="94"/>
    </row>
    <row r="742">
      <c r="A742" s="92" t="s">
        <v>4564</v>
      </c>
      <c r="B742" s="93">
        <v>1439.1</v>
      </c>
      <c r="C742" s="93"/>
      <c r="D742" s="93"/>
      <c r="E742" s="94"/>
    </row>
    <row r="743">
      <c r="A743" s="92" t="s">
        <v>4567</v>
      </c>
      <c r="B743" s="93">
        <v>1439.1</v>
      </c>
      <c r="C743" s="93"/>
      <c r="D743" s="93"/>
      <c r="E743" s="94"/>
    </row>
    <row r="744">
      <c r="A744" s="92" t="s">
        <v>4956</v>
      </c>
      <c r="B744" s="93">
        <v>1349.1</v>
      </c>
      <c r="C744" s="93"/>
      <c r="D744" s="93"/>
      <c r="E744" s="94"/>
    </row>
    <row r="745">
      <c r="A745" s="92" t="s">
        <v>4960</v>
      </c>
      <c r="B745" s="93">
        <v>1439.1</v>
      </c>
      <c r="C745" s="93"/>
      <c r="D745" s="93"/>
      <c r="E745" s="94"/>
    </row>
    <row r="746">
      <c r="A746" s="92" t="s">
        <v>4964</v>
      </c>
      <c r="B746" s="93">
        <v>1349.1</v>
      </c>
      <c r="C746" s="93"/>
      <c r="D746" s="93"/>
      <c r="E746" s="94"/>
    </row>
    <row r="747">
      <c r="A747" s="92" t="s">
        <v>4968</v>
      </c>
      <c r="B747" s="93">
        <v>1439.1</v>
      </c>
      <c r="C747" s="93"/>
      <c r="D747" s="93"/>
      <c r="E747" s="94"/>
    </row>
    <row r="748">
      <c r="A748" s="92" t="s">
        <v>4496</v>
      </c>
      <c r="B748" s="93">
        <v>1079.1</v>
      </c>
      <c r="C748" s="93"/>
      <c r="D748" s="93"/>
      <c r="E748" s="94"/>
    </row>
    <row r="749">
      <c r="A749" s="92" t="s">
        <v>4586</v>
      </c>
      <c r="B749" s="93">
        <v>1439.1</v>
      </c>
      <c r="C749" s="93"/>
      <c r="D749" s="93"/>
      <c r="E749" s="94"/>
    </row>
    <row r="750">
      <c r="A750" s="92" t="s">
        <v>4589</v>
      </c>
      <c r="B750" s="93">
        <v>1439.1</v>
      </c>
      <c r="C750" s="93"/>
      <c r="D750" s="93"/>
      <c r="E750" s="94"/>
    </row>
    <row r="751">
      <c r="A751" s="92" t="s">
        <v>4972</v>
      </c>
      <c r="B751" s="93">
        <v>1349.1</v>
      </c>
      <c r="C751" s="93"/>
      <c r="D751" s="93"/>
      <c r="E751" s="94"/>
    </row>
    <row r="752">
      <c r="A752" s="92" t="s">
        <v>4976</v>
      </c>
      <c r="B752" s="93">
        <v>1439.1</v>
      </c>
      <c r="C752" s="93"/>
      <c r="D752" s="93"/>
      <c r="E752" s="94"/>
    </row>
    <row r="753">
      <c r="A753" s="92" t="s">
        <v>4980</v>
      </c>
      <c r="B753" s="93">
        <v>1349.1</v>
      </c>
      <c r="C753" s="93"/>
      <c r="D753" s="93"/>
      <c r="E753" s="94"/>
    </row>
    <row r="754">
      <c r="A754" s="92" t="s">
        <v>4984</v>
      </c>
      <c r="B754" s="93">
        <v>1439.1</v>
      </c>
      <c r="C754" s="93"/>
      <c r="D754" s="93"/>
      <c r="E754" s="94"/>
    </row>
    <row r="755">
      <c r="A755" s="92" t="s">
        <v>4466</v>
      </c>
      <c r="B755" s="93">
        <v>1079.1</v>
      </c>
      <c r="C755" s="93"/>
      <c r="D755" s="93"/>
      <c r="E755" s="94"/>
    </row>
    <row r="756">
      <c r="A756" s="92" t="s">
        <v>4531</v>
      </c>
      <c r="B756" s="93">
        <v>1349.1</v>
      </c>
      <c r="C756" s="93"/>
      <c r="D756" s="93"/>
      <c r="E756" s="94"/>
    </row>
    <row r="757">
      <c r="A757" s="92" t="s">
        <v>4542</v>
      </c>
      <c r="B757" s="93">
        <v>1439.1</v>
      </c>
      <c r="C757" s="93"/>
      <c r="D757" s="93"/>
      <c r="E757" s="94"/>
    </row>
    <row r="758">
      <c r="A758" s="92" t="s">
        <v>4534</v>
      </c>
      <c r="B758" s="93">
        <v>1349.1</v>
      </c>
      <c r="C758" s="93"/>
      <c r="D758" s="93"/>
      <c r="E758" s="94"/>
    </row>
    <row r="759">
      <c r="A759" s="92" t="s">
        <v>4545</v>
      </c>
      <c r="B759" s="93">
        <v>1439.1</v>
      </c>
      <c r="C759" s="93"/>
      <c r="D759" s="93"/>
      <c r="E759" s="94"/>
    </row>
    <row r="760">
      <c r="A760" s="92" t="s">
        <v>4988</v>
      </c>
      <c r="B760" s="93">
        <v>1349.1</v>
      </c>
      <c r="C760" s="93"/>
      <c r="D760" s="93"/>
      <c r="E760" s="94"/>
    </row>
    <row r="761">
      <c r="A761" s="92" t="s">
        <v>4992</v>
      </c>
      <c r="B761" s="93">
        <v>1439.1</v>
      </c>
      <c r="C761" s="93"/>
      <c r="D761" s="93"/>
      <c r="E761" s="94"/>
    </row>
    <row r="762">
      <c r="A762" s="92" t="s">
        <v>4996</v>
      </c>
      <c r="B762" s="93">
        <v>1349.1</v>
      </c>
      <c r="C762" s="93"/>
      <c r="D762" s="93"/>
      <c r="E762" s="94"/>
    </row>
    <row r="763">
      <c r="A763" s="92" t="s">
        <v>5000</v>
      </c>
      <c r="B763" s="93">
        <v>1439.1</v>
      </c>
      <c r="C763" s="93"/>
      <c r="D763" s="93"/>
      <c r="E763" s="94"/>
    </row>
    <row r="764">
      <c r="A764" s="92" t="s">
        <v>4418</v>
      </c>
      <c r="B764" s="93">
        <v>899.1</v>
      </c>
      <c r="C764" s="93"/>
      <c r="D764" s="93"/>
      <c r="E764" s="93"/>
    </row>
    <row r="765">
      <c r="A765" s="92" t="s">
        <v>3771</v>
      </c>
      <c r="B765" s="94">
        <v>22312.0</v>
      </c>
      <c r="C765" s="93"/>
      <c r="D765" s="93"/>
      <c r="E765" s="94"/>
    </row>
    <row r="766">
      <c r="A766" s="92" t="s">
        <v>3149</v>
      </c>
      <c r="B766" s="93">
        <v>2285.65</v>
      </c>
      <c r="C766" s="93"/>
      <c r="D766" s="93"/>
      <c r="E766" s="94"/>
    </row>
    <row r="767">
      <c r="A767" s="92" t="s">
        <v>3144</v>
      </c>
      <c r="B767" s="93">
        <v>2285.65</v>
      </c>
      <c r="C767" s="93"/>
      <c r="D767" s="93"/>
      <c r="E767" s="94"/>
    </row>
    <row r="768">
      <c r="A768" s="92" t="s">
        <v>3083</v>
      </c>
      <c r="B768" s="93">
        <v>1597.15</v>
      </c>
      <c r="C768" s="93"/>
      <c r="D768" s="93"/>
      <c r="E768" s="94"/>
    </row>
    <row r="769">
      <c r="A769" s="92" t="s">
        <v>3101</v>
      </c>
      <c r="B769" s="93">
        <v>1690.65</v>
      </c>
      <c r="C769" s="93"/>
      <c r="D769" s="93"/>
      <c r="E769" s="94"/>
    </row>
    <row r="770">
      <c r="A770" s="92" t="s">
        <v>3111</v>
      </c>
      <c r="B770" s="93">
        <v>1690.65</v>
      </c>
      <c r="C770" s="93"/>
      <c r="D770" s="93"/>
      <c r="E770" s="94"/>
    </row>
    <row r="771">
      <c r="A771" s="92" t="s">
        <v>3096</v>
      </c>
      <c r="B771" s="93">
        <v>1690.65</v>
      </c>
      <c r="C771" s="93"/>
      <c r="D771" s="93"/>
      <c r="E771" s="94"/>
    </row>
    <row r="772">
      <c r="A772" s="92" t="s">
        <v>1291</v>
      </c>
      <c r="B772" s="93">
        <v>2081.65</v>
      </c>
      <c r="C772" s="93"/>
      <c r="D772" s="93"/>
      <c r="E772" s="94"/>
    </row>
    <row r="773">
      <c r="A773" s="92" t="s">
        <v>2911</v>
      </c>
      <c r="B773" s="93">
        <v>2294.15</v>
      </c>
      <c r="C773" s="93"/>
      <c r="D773" s="93"/>
      <c r="E773" s="94"/>
    </row>
    <row r="774">
      <c r="A774" s="92" t="s">
        <v>2905</v>
      </c>
      <c r="B774" s="93">
        <v>2294.15</v>
      </c>
      <c r="C774" s="93"/>
      <c r="D774" s="93"/>
      <c r="E774" s="94"/>
    </row>
    <row r="775">
      <c r="A775" s="92" t="s">
        <v>1255</v>
      </c>
      <c r="B775" s="93">
        <v>1599.2</v>
      </c>
      <c r="C775" s="93"/>
      <c r="D775" s="93"/>
      <c r="E775" s="94"/>
    </row>
    <row r="776">
      <c r="A776" s="92" t="s">
        <v>1261</v>
      </c>
      <c r="B776" s="93">
        <v>1599.2</v>
      </c>
      <c r="C776" s="93"/>
      <c r="D776" s="93"/>
      <c r="E776" s="94"/>
    </row>
    <row r="777">
      <c r="A777" s="92" t="s">
        <v>1267</v>
      </c>
      <c r="B777" s="93">
        <v>1599.2</v>
      </c>
      <c r="C777" s="93"/>
      <c r="D777" s="93"/>
      <c r="E777" s="94"/>
    </row>
    <row r="778">
      <c r="A778" s="92" t="s">
        <v>1201</v>
      </c>
      <c r="B778" s="93">
        <v>1599.2</v>
      </c>
      <c r="C778" s="93"/>
      <c r="D778" s="93"/>
      <c r="E778" s="94"/>
    </row>
    <row r="779">
      <c r="A779" s="92" t="s">
        <v>1207</v>
      </c>
      <c r="B779" s="93">
        <v>1599.2</v>
      </c>
      <c r="C779" s="93"/>
      <c r="D779" s="93"/>
      <c r="E779" s="94"/>
    </row>
    <row r="780">
      <c r="A780" s="92" t="s">
        <v>1213</v>
      </c>
      <c r="B780" s="93">
        <v>1599.2</v>
      </c>
      <c r="C780" s="93"/>
      <c r="D780" s="93"/>
      <c r="E780" s="94"/>
    </row>
    <row r="781">
      <c r="A781" s="92" t="s">
        <v>1237</v>
      </c>
      <c r="B781" s="93">
        <v>1599.2</v>
      </c>
      <c r="C781" s="93"/>
      <c r="D781" s="93"/>
      <c r="E781" s="94"/>
    </row>
    <row r="782">
      <c r="A782" s="92" t="s">
        <v>1243</v>
      </c>
      <c r="B782" s="93">
        <v>1599.2</v>
      </c>
      <c r="C782" s="93"/>
      <c r="D782" s="93"/>
      <c r="E782" s="94"/>
    </row>
    <row r="783">
      <c r="A783" s="92" t="s">
        <v>1249</v>
      </c>
      <c r="B783" s="93">
        <v>1599.2</v>
      </c>
      <c r="C783" s="93"/>
      <c r="D783" s="93"/>
      <c r="E783" s="94"/>
    </row>
    <row r="784">
      <c r="A784" s="92" t="s">
        <v>1219</v>
      </c>
      <c r="B784" s="93">
        <v>1599.2</v>
      </c>
      <c r="C784" s="93"/>
      <c r="D784" s="93"/>
      <c r="E784" s="94"/>
    </row>
    <row r="785">
      <c r="A785" s="92" t="s">
        <v>1225</v>
      </c>
      <c r="B785" s="93">
        <v>1599.2</v>
      </c>
      <c r="C785" s="93"/>
      <c r="D785" s="93"/>
      <c r="E785" s="94"/>
    </row>
    <row r="786">
      <c r="A786" s="92" t="s">
        <v>1231</v>
      </c>
      <c r="B786" s="93">
        <v>1599.2</v>
      </c>
      <c r="C786" s="93"/>
      <c r="D786" s="93"/>
      <c r="E786" s="94"/>
    </row>
    <row r="787">
      <c r="A787" s="92" t="s">
        <v>1475</v>
      </c>
      <c r="B787" s="93">
        <v>2399.2</v>
      </c>
      <c r="C787" s="93"/>
      <c r="D787" s="93"/>
      <c r="E787" s="94"/>
    </row>
    <row r="788">
      <c r="A788" s="92" t="s">
        <v>1425</v>
      </c>
      <c r="B788" s="93">
        <v>2399.2</v>
      </c>
      <c r="C788" s="93"/>
      <c r="D788" s="93"/>
      <c r="E788" s="94"/>
    </row>
    <row r="789">
      <c r="A789" s="92" t="s">
        <v>1400</v>
      </c>
      <c r="B789" s="93">
        <v>2119.2</v>
      </c>
      <c r="C789" s="93"/>
      <c r="D789" s="93"/>
      <c r="E789" s="94"/>
    </row>
    <row r="790">
      <c r="A790" s="92" t="s">
        <v>1407</v>
      </c>
      <c r="B790" s="93">
        <v>2119.2</v>
      </c>
      <c r="C790" s="93"/>
      <c r="D790" s="93"/>
      <c r="E790" s="94"/>
    </row>
    <row r="791">
      <c r="A791" s="92" t="s">
        <v>1351</v>
      </c>
      <c r="B791" s="93">
        <v>2119.2</v>
      </c>
      <c r="C791" s="93"/>
      <c r="D791" s="93"/>
      <c r="E791" s="94"/>
    </row>
    <row r="792">
      <c r="A792" s="92" t="s">
        <v>1327</v>
      </c>
      <c r="B792" s="93">
        <v>1959.2</v>
      </c>
      <c r="C792" s="93"/>
      <c r="D792" s="93"/>
      <c r="E792" s="94"/>
    </row>
    <row r="793">
      <c r="A793" s="92" t="s">
        <v>1333</v>
      </c>
      <c r="B793" s="93">
        <v>1959.2</v>
      </c>
      <c r="C793" s="93"/>
      <c r="D793" s="93"/>
      <c r="E793" s="94"/>
    </row>
    <row r="794">
      <c r="A794" s="92" t="s">
        <v>1339</v>
      </c>
      <c r="B794" s="93">
        <v>1959.2</v>
      </c>
      <c r="C794" s="93"/>
      <c r="D794" s="93"/>
      <c r="E794" s="94"/>
    </row>
    <row r="795">
      <c r="A795" s="92" t="s">
        <v>1273</v>
      </c>
      <c r="B795" s="93">
        <v>1959.2</v>
      </c>
      <c r="C795" s="93"/>
      <c r="D795" s="93"/>
      <c r="E795" s="94"/>
    </row>
    <row r="796">
      <c r="A796" s="92" t="s">
        <v>1279</v>
      </c>
      <c r="B796" s="93">
        <v>1959.2</v>
      </c>
      <c r="C796" s="93"/>
      <c r="D796" s="93"/>
      <c r="E796" s="94"/>
    </row>
    <row r="797">
      <c r="A797" s="92" t="s">
        <v>1285</v>
      </c>
      <c r="B797" s="93">
        <v>1959.2</v>
      </c>
      <c r="C797" s="93"/>
      <c r="D797" s="93"/>
      <c r="E797" s="94"/>
    </row>
    <row r="798">
      <c r="A798" s="92" t="s">
        <v>1309</v>
      </c>
      <c r="B798" s="93">
        <v>1959.2</v>
      </c>
      <c r="C798" s="93"/>
      <c r="D798" s="93"/>
      <c r="E798" s="94"/>
    </row>
    <row r="799">
      <c r="A799" s="92" t="s">
        <v>1315</v>
      </c>
      <c r="B799" s="93">
        <v>1959.2</v>
      </c>
      <c r="C799" s="93"/>
      <c r="D799" s="93"/>
      <c r="E799" s="94"/>
    </row>
    <row r="800">
      <c r="A800" s="92" t="s">
        <v>1321</v>
      </c>
      <c r="B800" s="93">
        <v>1959.2</v>
      </c>
      <c r="C800" s="93"/>
      <c r="D800" s="93"/>
      <c r="E800" s="94"/>
    </row>
    <row r="801">
      <c r="A801" s="92" t="s">
        <v>1297</v>
      </c>
      <c r="B801" s="93">
        <v>1959.2</v>
      </c>
      <c r="C801" s="93"/>
      <c r="D801" s="93"/>
      <c r="E801" s="94"/>
    </row>
    <row r="802">
      <c r="A802" s="92" t="s">
        <v>1303</v>
      </c>
      <c r="B802" s="93">
        <v>1959.2</v>
      </c>
      <c r="C802" s="93"/>
      <c r="D802" s="93"/>
      <c r="E802" s="94"/>
    </row>
    <row r="803">
      <c r="A803" s="92" t="s">
        <v>3544</v>
      </c>
      <c r="B803" s="93">
        <v>679.15</v>
      </c>
      <c r="C803" s="93"/>
      <c r="D803" s="93"/>
      <c r="E803" s="93"/>
    </row>
    <row r="804">
      <c r="A804" s="92" t="s">
        <v>3537</v>
      </c>
      <c r="B804" s="93">
        <v>679.15</v>
      </c>
      <c r="C804" s="93"/>
      <c r="D804" s="93"/>
      <c r="E804" s="93"/>
    </row>
    <row r="805">
      <c r="A805" s="92" t="s">
        <v>3530</v>
      </c>
      <c r="B805" s="93">
        <v>679.15</v>
      </c>
      <c r="C805" s="93"/>
      <c r="D805" s="93"/>
      <c r="E805" s="93"/>
    </row>
    <row r="806">
      <c r="A806" s="92" t="s">
        <v>5437</v>
      </c>
      <c r="B806" s="93">
        <v>2199.0</v>
      </c>
      <c r="C806" s="93"/>
      <c r="D806" s="93"/>
      <c r="E806" s="94"/>
    </row>
    <row r="807">
      <c r="A807" s="92" t="s">
        <v>3686</v>
      </c>
      <c r="B807" s="93">
        <v>849.0</v>
      </c>
      <c r="C807" s="93"/>
      <c r="D807" s="93"/>
      <c r="E807" s="93"/>
    </row>
    <row r="808">
      <c r="A808" s="92" t="s">
        <v>3634</v>
      </c>
      <c r="B808" s="93">
        <v>749.0</v>
      </c>
      <c r="C808" s="93"/>
      <c r="D808" s="93"/>
      <c r="E808" s="93"/>
    </row>
    <row r="809">
      <c r="A809" s="92" t="s">
        <v>3696</v>
      </c>
      <c r="B809" s="93">
        <v>849.0</v>
      </c>
      <c r="C809" s="93"/>
      <c r="D809" s="93"/>
      <c r="E809" s="93"/>
    </row>
    <row r="810">
      <c r="A810" s="92" t="s">
        <v>3671</v>
      </c>
      <c r="B810" s="93">
        <v>879.0</v>
      </c>
      <c r="C810" s="93"/>
      <c r="D810" s="93"/>
      <c r="E810" s="93"/>
    </row>
    <row r="811">
      <c r="A811" s="92" t="s">
        <v>3619</v>
      </c>
      <c r="B811" s="93">
        <v>749.0</v>
      </c>
      <c r="C811" s="93"/>
      <c r="D811" s="93"/>
      <c r="E811" s="93"/>
    </row>
    <row r="812">
      <c r="A812" s="92" t="s">
        <v>3701</v>
      </c>
      <c r="B812" s="93">
        <v>849.0</v>
      </c>
      <c r="C812" s="93"/>
      <c r="D812" s="93"/>
      <c r="E812" s="93"/>
    </row>
    <row r="813">
      <c r="A813" s="92" t="s">
        <v>3676</v>
      </c>
      <c r="B813" s="93">
        <v>879.0</v>
      </c>
      <c r="C813" s="93"/>
      <c r="D813" s="93"/>
      <c r="E813" s="93"/>
    </row>
    <row r="814">
      <c r="A814" s="92" t="s">
        <v>3624</v>
      </c>
      <c r="B814" s="93">
        <v>749.0</v>
      </c>
      <c r="C814" s="93"/>
      <c r="D814" s="93"/>
      <c r="E814" s="93"/>
    </row>
    <row r="815">
      <c r="A815" s="92" t="s">
        <v>3691</v>
      </c>
      <c r="B815" s="93">
        <v>849.0</v>
      </c>
      <c r="C815" s="93"/>
      <c r="D815" s="93"/>
      <c r="E815" s="93"/>
    </row>
    <row r="816">
      <c r="A816" s="92" t="s">
        <v>3639</v>
      </c>
      <c r="B816" s="93">
        <v>749.0</v>
      </c>
      <c r="C816" s="93"/>
      <c r="D816" s="93"/>
      <c r="E816" s="93"/>
    </row>
    <row r="817">
      <c r="A817" s="92" t="s">
        <v>3706</v>
      </c>
      <c r="B817" s="93">
        <v>849.0</v>
      </c>
      <c r="C817" s="93"/>
      <c r="D817" s="93"/>
      <c r="E817" s="93"/>
    </row>
    <row r="818">
      <c r="A818" s="92" t="s">
        <v>3681</v>
      </c>
      <c r="B818" s="93">
        <v>879.0</v>
      </c>
      <c r="C818" s="93"/>
      <c r="D818" s="93"/>
      <c r="E818" s="93"/>
    </row>
    <row r="819">
      <c r="A819" s="92" t="s">
        <v>3629</v>
      </c>
      <c r="B819" s="93">
        <v>749.0</v>
      </c>
      <c r="C819" s="93"/>
      <c r="D819" s="93"/>
      <c r="E819" s="93"/>
    </row>
    <row r="820">
      <c r="A820" s="92" t="s">
        <v>5438</v>
      </c>
      <c r="B820" s="93">
        <v>1799.0</v>
      </c>
      <c r="C820" s="93"/>
      <c r="D820" s="93"/>
      <c r="E820" s="94"/>
    </row>
    <row r="821">
      <c r="A821" s="92" t="s">
        <v>3716</v>
      </c>
      <c r="B821" s="93">
        <v>899.0</v>
      </c>
      <c r="C821" s="93"/>
      <c r="D821" s="93"/>
      <c r="E821" s="93"/>
    </row>
    <row r="822">
      <c r="A822" s="92" t="s">
        <v>4812</v>
      </c>
      <c r="B822" s="93">
        <v>1799.0</v>
      </c>
      <c r="C822" s="93"/>
      <c r="D822" s="93"/>
      <c r="E822" s="94"/>
    </row>
    <row r="823">
      <c r="A823" s="92" t="s">
        <v>3563</v>
      </c>
      <c r="B823" s="93">
        <v>1435.65</v>
      </c>
      <c r="C823" s="93"/>
      <c r="D823" s="93"/>
      <c r="E823" s="94"/>
    </row>
    <row r="824">
      <c r="A824" s="92" t="s">
        <v>3557</v>
      </c>
      <c r="B824" s="93">
        <v>1435.65</v>
      </c>
      <c r="C824" s="93"/>
      <c r="D824" s="93"/>
      <c r="E824" s="94"/>
    </row>
    <row r="825">
      <c r="A825" s="92" t="s">
        <v>3551</v>
      </c>
      <c r="B825" s="93">
        <v>1435.65</v>
      </c>
      <c r="C825" s="93"/>
      <c r="D825" s="93"/>
      <c r="E825" s="94"/>
    </row>
    <row r="826">
      <c r="A826" s="92" t="s">
        <v>3569</v>
      </c>
      <c r="B826" s="93">
        <v>1435.65</v>
      </c>
      <c r="C826" s="93"/>
      <c r="D826" s="93"/>
      <c r="E826" s="94"/>
    </row>
    <row r="827">
      <c r="A827" s="92" t="s">
        <v>3587</v>
      </c>
      <c r="B827" s="93">
        <v>1945.65</v>
      </c>
      <c r="C827" s="93"/>
      <c r="D827" s="93"/>
      <c r="E827" s="94"/>
    </row>
    <row r="828">
      <c r="A828" s="92" t="s">
        <v>3581</v>
      </c>
      <c r="B828" s="93">
        <v>1945.65</v>
      </c>
      <c r="C828" s="93"/>
      <c r="D828" s="93"/>
      <c r="E828" s="94"/>
    </row>
    <row r="829">
      <c r="A829" s="92" t="s">
        <v>1777</v>
      </c>
      <c r="B829" s="93">
        <v>25199.16</v>
      </c>
      <c r="C829" s="93"/>
      <c r="D829" s="93"/>
      <c r="E829" s="94"/>
    </row>
    <row r="830">
      <c r="A830" s="92" t="s">
        <v>1710</v>
      </c>
      <c r="B830" s="93">
        <v>19739.16</v>
      </c>
      <c r="C830" s="93"/>
      <c r="D830" s="93"/>
      <c r="E830" s="94"/>
    </row>
    <row r="831">
      <c r="A831" s="92" t="s">
        <v>1848</v>
      </c>
      <c r="B831" s="93">
        <v>32759.16</v>
      </c>
      <c r="C831" s="93"/>
      <c r="D831" s="93"/>
      <c r="E831" s="94"/>
    </row>
    <row r="832">
      <c r="A832" s="92" t="s">
        <v>1850</v>
      </c>
      <c r="B832" s="93">
        <v>32759.16</v>
      </c>
      <c r="C832" s="93"/>
      <c r="D832" s="93"/>
      <c r="E832" s="94"/>
    </row>
    <row r="833">
      <c r="A833" s="92" t="s">
        <v>5439</v>
      </c>
      <c r="B833" s="93">
        <v>17709.23</v>
      </c>
      <c r="C833" s="93"/>
      <c r="D833" s="93"/>
      <c r="E833" s="94"/>
    </row>
    <row r="834">
      <c r="A834" s="92" t="s">
        <v>5008</v>
      </c>
      <c r="B834" s="93">
        <v>16939.23</v>
      </c>
      <c r="C834" s="93"/>
      <c r="D834" s="93"/>
      <c r="E834" s="94"/>
    </row>
    <row r="835">
      <c r="A835" s="92" t="s">
        <v>5011</v>
      </c>
      <c r="B835" s="93">
        <v>18710.23</v>
      </c>
      <c r="C835" s="93"/>
      <c r="D835" s="93"/>
      <c r="E835" s="94"/>
    </row>
    <row r="836">
      <c r="A836" s="92" t="s">
        <v>5015</v>
      </c>
      <c r="B836" s="93">
        <v>20712.23</v>
      </c>
      <c r="C836" s="93"/>
      <c r="D836" s="93"/>
      <c r="E836" s="94"/>
    </row>
    <row r="837">
      <c r="A837" s="92" t="s">
        <v>5019</v>
      </c>
      <c r="B837" s="93">
        <v>20712.23</v>
      </c>
      <c r="C837" s="93"/>
      <c r="D837" s="93"/>
      <c r="E837" s="94"/>
    </row>
    <row r="838">
      <c r="A838" s="92" t="s">
        <v>5023</v>
      </c>
      <c r="B838" s="93">
        <v>13089.23</v>
      </c>
      <c r="C838" s="93"/>
      <c r="D838" s="93"/>
      <c r="E838" s="94"/>
    </row>
    <row r="839">
      <c r="A839" s="92" t="s">
        <v>4807</v>
      </c>
      <c r="B839" s="93">
        <v>15784.23</v>
      </c>
      <c r="C839" s="93"/>
      <c r="D839" s="93"/>
      <c r="E839" s="94"/>
    </row>
    <row r="840">
      <c r="A840" s="92" t="s">
        <v>4789</v>
      </c>
      <c r="B840" s="93">
        <v>13782.23</v>
      </c>
      <c r="C840" s="93"/>
      <c r="D840" s="93"/>
      <c r="E840" s="94"/>
    </row>
    <row r="841">
      <c r="A841" s="92" t="s">
        <v>1617</v>
      </c>
      <c r="B841" s="93">
        <v>23099.23</v>
      </c>
      <c r="C841" s="93"/>
      <c r="D841" s="93"/>
      <c r="E841" s="94"/>
    </row>
    <row r="842">
      <c r="A842" s="92" t="s">
        <v>1622</v>
      </c>
      <c r="B842" s="93">
        <v>23099.23</v>
      </c>
      <c r="C842" s="93"/>
      <c r="D842" s="93"/>
      <c r="E842" s="94"/>
    </row>
    <row r="843">
      <c r="A843" s="92" t="s">
        <v>1624</v>
      </c>
      <c r="B843" s="93">
        <v>23099.23</v>
      </c>
      <c r="C843" s="93"/>
      <c r="D843" s="93"/>
      <c r="E843" s="94"/>
    </row>
    <row r="844">
      <c r="A844" s="92" t="s">
        <v>3836</v>
      </c>
      <c r="B844" s="93">
        <v>1874.25</v>
      </c>
      <c r="C844" s="93"/>
      <c r="D844" s="93"/>
      <c r="E844" s="94"/>
    </row>
    <row r="845">
      <c r="A845" s="92" t="s">
        <v>4687</v>
      </c>
      <c r="B845" s="6"/>
      <c r="C845" s="6"/>
      <c r="D845" s="13"/>
      <c r="E845" s="13"/>
    </row>
    <row r="846">
      <c r="A846" s="92" t="s">
        <v>3062</v>
      </c>
      <c r="B846" s="6"/>
      <c r="C846" s="6"/>
      <c r="D846" s="13"/>
      <c r="E846" s="13"/>
    </row>
    <row r="847">
      <c r="A847" s="92" t="s">
        <v>4771</v>
      </c>
      <c r="B847" s="6"/>
      <c r="C847" s="6"/>
      <c r="D847" s="13"/>
      <c r="E847" s="13"/>
    </row>
    <row r="848">
      <c r="A848" s="92" t="s">
        <v>5217</v>
      </c>
      <c r="B848" s="6"/>
      <c r="C848" s="6"/>
      <c r="D848" s="13"/>
      <c r="E848" s="13"/>
    </row>
    <row r="849">
      <c r="A849" s="92" t="s">
        <v>5215</v>
      </c>
      <c r="B849" s="6"/>
      <c r="C849" s="6"/>
      <c r="D849" s="13"/>
      <c r="E849" s="13"/>
    </row>
    <row r="850">
      <c r="A850" s="92" t="s">
        <v>5558</v>
      </c>
      <c r="B850" s="6"/>
      <c r="C850" s="6"/>
      <c r="D850" s="13"/>
      <c r="E850" s="13"/>
    </row>
    <row r="851">
      <c r="A851" s="92" t="s">
        <v>5559</v>
      </c>
      <c r="B851" s="6"/>
      <c r="C851" s="6"/>
      <c r="D851" s="13"/>
      <c r="E851" s="13"/>
    </row>
    <row r="852">
      <c r="A852" s="92" t="s">
        <v>4737</v>
      </c>
      <c r="B852" s="6"/>
      <c r="C852" s="6"/>
      <c r="D852" s="13"/>
      <c r="E852" s="13"/>
    </row>
    <row r="853">
      <c r="A853" s="92" t="s">
        <v>4742</v>
      </c>
      <c r="B853" s="6"/>
      <c r="C853" s="6"/>
      <c r="D853" s="13"/>
      <c r="E853" s="13"/>
    </row>
    <row r="854">
      <c r="A854" s="92" t="s">
        <v>4750</v>
      </c>
      <c r="B854" s="6"/>
      <c r="C854" s="6"/>
      <c r="D854" s="13"/>
      <c r="E854" s="13"/>
    </row>
    <row r="855">
      <c r="A855" s="92" t="s">
        <v>4744</v>
      </c>
      <c r="B855" s="6"/>
      <c r="C855" s="6"/>
      <c r="D855" s="13"/>
      <c r="E855" s="13"/>
    </row>
    <row r="856">
      <c r="A856" s="92" t="s">
        <v>4743</v>
      </c>
      <c r="B856" s="6"/>
      <c r="C856" s="6"/>
      <c r="D856" s="13"/>
      <c r="E856" s="13"/>
    </row>
    <row r="857">
      <c r="A857" s="92" t="s">
        <v>4731</v>
      </c>
      <c r="B857" s="6"/>
      <c r="C857" s="6"/>
      <c r="D857" s="13"/>
      <c r="E857" s="13"/>
    </row>
    <row r="858">
      <c r="A858" s="92" t="s">
        <v>4749</v>
      </c>
      <c r="B858" s="6"/>
      <c r="C858" s="6"/>
      <c r="D858" s="13"/>
      <c r="E858" s="13"/>
    </row>
    <row r="859">
      <c r="A859" s="92" t="s">
        <v>4728</v>
      </c>
      <c r="B859" s="6"/>
      <c r="C859" s="6"/>
      <c r="D859" s="13"/>
      <c r="E859" s="13"/>
    </row>
    <row r="860">
      <c r="A860" s="92" t="s">
        <v>4736</v>
      </c>
      <c r="B860" s="6"/>
      <c r="C860" s="6"/>
      <c r="D860" s="13"/>
      <c r="E860" s="13"/>
    </row>
    <row r="861">
      <c r="A861" s="92" t="s">
        <v>1519</v>
      </c>
      <c r="B861" s="6"/>
      <c r="C861" s="6"/>
      <c r="D861" s="13"/>
      <c r="E861" s="13"/>
    </row>
    <row r="862">
      <c r="A862" s="92" t="s">
        <v>3448</v>
      </c>
      <c r="B862" s="6"/>
      <c r="C862" s="6"/>
      <c r="D862" s="13"/>
      <c r="E862" s="13"/>
    </row>
    <row r="863">
      <c r="A863" s="92" t="s">
        <v>3478</v>
      </c>
      <c r="B863" s="6"/>
      <c r="C863" s="6"/>
      <c r="D863" s="13"/>
      <c r="E863" s="13"/>
    </row>
    <row r="864">
      <c r="A864" s="92" t="s">
        <v>2975</v>
      </c>
      <c r="B864" s="6"/>
      <c r="C864" s="6"/>
      <c r="D864" s="13"/>
      <c r="E864" s="13"/>
    </row>
    <row r="865">
      <c r="A865" s="92" t="s">
        <v>3000</v>
      </c>
      <c r="B865" s="6"/>
      <c r="C865" s="6"/>
      <c r="D865" s="13"/>
      <c r="E865" s="13"/>
    </row>
    <row r="866">
      <c r="A866" s="92" t="s">
        <v>5560</v>
      </c>
      <c r="B866" s="6"/>
      <c r="C866" s="6"/>
      <c r="D866" s="13"/>
      <c r="E866" s="13"/>
    </row>
    <row r="867">
      <c r="A867" s="92" t="s">
        <v>5561</v>
      </c>
      <c r="B867" s="6"/>
      <c r="C867" s="6"/>
      <c r="D867" s="13"/>
      <c r="E867" s="13"/>
    </row>
    <row r="868">
      <c r="A868" s="6"/>
      <c r="B868" s="6"/>
      <c r="C868" s="6"/>
      <c r="D868" s="13"/>
      <c r="E868" s="13"/>
    </row>
    <row r="869">
      <c r="A869" s="6"/>
      <c r="B869" s="6"/>
      <c r="C869" s="6"/>
      <c r="D869" s="13"/>
      <c r="E869" s="13"/>
    </row>
    <row r="870">
      <c r="A870" s="6"/>
      <c r="B870" s="6"/>
      <c r="C870" s="6"/>
      <c r="D870" s="13"/>
      <c r="E870" s="13"/>
    </row>
    <row r="871">
      <c r="A871" s="6"/>
      <c r="B871" s="6"/>
      <c r="C871" s="6"/>
      <c r="D871" s="13"/>
      <c r="E871" s="13"/>
    </row>
    <row r="872">
      <c r="A872" s="6"/>
      <c r="B872" s="6"/>
      <c r="C872" s="6"/>
      <c r="D872" s="13"/>
      <c r="E872" s="13"/>
    </row>
    <row r="873">
      <c r="A873" s="6"/>
      <c r="B873" s="6"/>
      <c r="C873" s="6"/>
      <c r="D873" s="13"/>
      <c r="E873" s="13"/>
    </row>
    <row r="874">
      <c r="A874" s="6"/>
      <c r="B874" s="6"/>
      <c r="C874" s="6"/>
      <c r="D874" s="13"/>
      <c r="E874" s="13"/>
    </row>
    <row r="875">
      <c r="A875" s="6"/>
      <c r="B875" s="6"/>
      <c r="C875" s="6"/>
      <c r="D875" s="13"/>
      <c r="E875" s="13"/>
    </row>
    <row r="876">
      <c r="A876" s="6"/>
      <c r="B876" s="6"/>
      <c r="C876" s="6"/>
      <c r="D876" s="13"/>
      <c r="E876" s="13"/>
    </row>
    <row r="877">
      <c r="A877" s="6"/>
      <c r="B877" s="6"/>
      <c r="C877" s="6"/>
      <c r="D877" s="13"/>
      <c r="E877" s="13"/>
    </row>
    <row r="878">
      <c r="A878" s="6"/>
      <c r="B878" s="6"/>
      <c r="C878" s="6"/>
      <c r="D878" s="13"/>
      <c r="E878" s="13"/>
    </row>
    <row r="879">
      <c r="A879" s="6"/>
      <c r="B879" s="6"/>
      <c r="C879" s="6"/>
      <c r="D879" s="13"/>
      <c r="E879" s="13"/>
    </row>
    <row r="880">
      <c r="A880" s="6"/>
      <c r="B880" s="6"/>
      <c r="C880" s="6"/>
      <c r="D880" s="13"/>
      <c r="E880" s="13"/>
    </row>
    <row r="881">
      <c r="A881" s="6"/>
      <c r="B881" s="6"/>
      <c r="C881" s="6"/>
      <c r="D881" s="13"/>
      <c r="E881" s="13"/>
    </row>
    <row r="882">
      <c r="A882" s="6"/>
      <c r="B882" s="6"/>
      <c r="C882" s="6"/>
      <c r="D882" s="13"/>
      <c r="E882" s="13"/>
    </row>
    <row r="883">
      <c r="A883" s="6"/>
      <c r="B883" s="6"/>
      <c r="C883" s="6"/>
      <c r="D883" s="13"/>
      <c r="E883" s="13"/>
    </row>
    <row r="884">
      <c r="A884" s="6"/>
      <c r="B884" s="6"/>
      <c r="C884" s="6"/>
      <c r="D884" s="13"/>
      <c r="E884" s="13"/>
    </row>
    <row r="885">
      <c r="A885" s="6"/>
      <c r="B885" s="6"/>
      <c r="C885" s="6"/>
      <c r="D885" s="13"/>
      <c r="E885" s="13"/>
    </row>
    <row r="886">
      <c r="A886" s="6"/>
      <c r="B886" s="6"/>
      <c r="C886" s="6"/>
      <c r="D886" s="13"/>
      <c r="E886" s="13"/>
    </row>
    <row r="887">
      <c r="A887" s="6"/>
      <c r="B887" s="6"/>
      <c r="C887" s="6"/>
      <c r="D887" s="13"/>
      <c r="E887" s="13"/>
    </row>
    <row r="888">
      <c r="A888" s="6"/>
      <c r="B888" s="6"/>
      <c r="C888" s="6"/>
      <c r="D888" s="13"/>
      <c r="E888" s="13"/>
    </row>
    <row r="889">
      <c r="A889" s="6"/>
      <c r="B889" s="6"/>
      <c r="C889" s="6"/>
      <c r="D889" s="13"/>
      <c r="E889" s="13"/>
    </row>
    <row r="890">
      <c r="A890" s="6"/>
      <c r="B890" s="6"/>
      <c r="C890" s="6"/>
      <c r="D890" s="13"/>
      <c r="E890" s="13"/>
    </row>
    <row r="891">
      <c r="A891" s="6"/>
      <c r="B891" s="6"/>
      <c r="C891" s="6"/>
      <c r="D891" s="13"/>
      <c r="E891" s="13"/>
    </row>
    <row r="892">
      <c r="A892" s="6"/>
      <c r="B892" s="6"/>
      <c r="C892" s="6"/>
      <c r="D892" s="13"/>
      <c r="E892" s="13"/>
    </row>
    <row r="893">
      <c r="A893" s="6"/>
      <c r="B893" s="6"/>
      <c r="C893" s="6"/>
      <c r="D893" s="13"/>
      <c r="E893" s="13"/>
    </row>
    <row r="894">
      <c r="A894" s="6"/>
      <c r="B894" s="6"/>
      <c r="C894" s="6"/>
      <c r="D894" s="13"/>
      <c r="E894" s="13"/>
    </row>
    <row r="895">
      <c r="A895" s="6"/>
      <c r="B895" s="6"/>
      <c r="C895" s="6"/>
      <c r="D895" s="13"/>
      <c r="E895" s="13"/>
    </row>
    <row r="896">
      <c r="A896" s="6"/>
      <c r="B896" s="6"/>
      <c r="C896" s="6"/>
      <c r="D896" s="13"/>
      <c r="E896" s="13"/>
    </row>
    <row r="897">
      <c r="A897" s="6"/>
      <c r="B897" s="6"/>
      <c r="C897" s="6"/>
      <c r="D897" s="13"/>
      <c r="E897" s="13"/>
    </row>
    <row r="898">
      <c r="A898" s="6"/>
      <c r="B898" s="6"/>
      <c r="C898" s="6"/>
      <c r="D898" s="13"/>
      <c r="E898" s="13"/>
    </row>
    <row r="899">
      <c r="A899" s="6"/>
      <c r="B899" s="6"/>
      <c r="C899" s="6"/>
      <c r="D899" s="13"/>
      <c r="E899" s="13"/>
    </row>
    <row r="900">
      <c r="A900" s="6"/>
      <c r="B900" s="6"/>
      <c r="C900" s="6"/>
      <c r="D900" s="13"/>
      <c r="E900" s="13"/>
    </row>
    <row r="901">
      <c r="A901" s="6"/>
      <c r="B901" s="6"/>
      <c r="C901" s="6"/>
      <c r="D901" s="13"/>
      <c r="E901" s="13"/>
    </row>
    <row r="902">
      <c r="A902" s="6"/>
      <c r="B902" s="6"/>
      <c r="C902" s="6"/>
      <c r="D902" s="13"/>
      <c r="E902" s="13"/>
    </row>
    <row r="903">
      <c r="A903" s="6"/>
      <c r="B903" s="6"/>
      <c r="C903" s="6"/>
      <c r="D903" s="13"/>
      <c r="E903" s="13"/>
    </row>
    <row r="904">
      <c r="A904" s="6"/>
      <c r="B904" s="6"/>
      <c r="C904" s="6"/>
      <c r="D904" s="13"/>
      <c r="E904" s="13"/>
    </row>
    <row r="905">
      <c r="A905" s="6"/>
      <c r="B905" s="6"/>
      <c r="C905" s="6"/>
      <c r="D905" s="13"/>
      <c r="E905" s="13"/>
    </row>
    <row r="906">
      <c r="A906" s="6"/>
      <c r="B906" s="6"/>
      <c r="C906" s="6"/>
      <c r="D906" s="13"/>
      <c r="E906" s="13"/>
    </row>
    <row r="907">
      <c r="A907" s="6"/>
      <c r="B907" s="6"/>
      <c r="C907" s="6"/>
      <c r="D907" s="13"/>
      <c r="E907" s="13"/>
    </row>
    <row r="908">
      <c r="A908" s="6"/>
      <c r="B908" s="6"/>
      <c r="C908" s="6"/>
      <c r="D908" s="13"/>
      <c r="E908" s="13"/>
    </row>
    <row r="909">
      <c r="A909" s="6"/>
      <c r="B909" s="6"/>
      <c r="C909" s="6"/>
      <c r="D909" s="13"/>
      <c r="E909" s="13"/>
    </row>
    <row r="910">
      <c r="A910" s="6"/>
      <c r="B910" s="6"/>
      <c r="C910" s="6"/>
      <c r="D910" s="13"/>
      <c r="E910" s="13"/>
    </row>
    <row r="911">
      <c r="A911" s="6"/>
      <c r="B911" s="6"/>
      <c r="C911" s="6"/>
      <c r="D911" s="13"/>
      <c r="E911" s="13"/>
    </row>
    <row r="912">
      <c r="A912" s="6"/>
      <c r="B912" s="6"/>
      <c r="C912" s="6"/>
      <c r="D912" s="13"/>
      <c r="E912" s="13"/>
    </row>
    <row r="913">
      <c r="A913" s="6"/>
      <c r="B913" s="6"/>
      <c r="C913" s="6"/>
      <c r="D913" s="13"/>
      <c r="E913" s="13"/>
    </row>
    <row r="914">
      <c r="A914" s="6"/>
      <c r="B914" s="6"/>
      <c r="C914" s="6"/>
      <c r="D914" s="13"/>
      <c r="E914" s="13"/>
    </row>
    <row r="915">
      <c r="A915" s="6"/>
      <c r="B915" s="6"/>
      <c r="C915" s="6"/>
      <c r="D915" s="13"/>
      <c r="E915" s="13"/>
    </row>
    <row r="916">
      <c r="A916" s="6"/>
      <c r="B916" s="6"/>
      <c r="C916" s="6"/>
      <c r="D916" s="13"/>
      <c r="E916" s="13"/>
    </row>
    <row r="917">
      <c r="A917" s="6"/>
      <c r="B917" s="6"/>
      <c r="C917" s="6"/>
      <c r="D917" s="13"/>
      <c r="E917" s="13"/>
    </row>
    <row r="918">
      <c r="A918" s="6"/>
      <c r="B918" s="6"/>
      <c r="C918" s="6"/>
      <c r="D918" s="13"/>
      <c r="E918" s="13"/>
    </row>
    <row r="919">
      <c r="A919" s="6"/>
      <c r="B919" s="6"/>
      <c r="C919" s="6"/>
      <c r="D919" s="13"/>
      <c r="E919" s="13"/>
    </row>
    <row r="920">
      <c r="A920" s="6"/>
      <c r="B920" s="6"/>
      <c r="C920" s="6"/>
      <c r="D920" s="13"/>
      <c r="E920" s="13"/>
    </row>
    <row r="921">
      <c r="A921" s="6"/>
      <c r="B921" s="6"/>
      <c r="C921" s="6"/>
      <c r="D921" s="13"/>
      <c r="E921" s="13"/>
    </row>
    <row r="922">
      <c r="A922" s="6"/>
      <c r="B922" s="6"/>
      <c r="C922" s="6"/>
      <c r="D922" s="13"/>
      <c r="E922" s="13"/>
    </row>
    <row r="923">
      <c r="A923" s="6"/>
      <c r="B923" s="6"/>
      <c r="C923" s="6"/>
      <c r="D923" s="13"/>
      <c r="E923" s="13"/>
    </row>
    <row r="924">
      <c r="A924" s="6"/>
      <c r="B924" s="6"/>
      <c r="C924" s="6"/>
      <c r="D924" s="13"/>
      <c r="E924" s="13"/>
    </row>
    <row r="925">
      <c r="A925" s="6"/>
      <c r="B925" s="6"/>
      <c r="C925" s="6"/>
      <c r="D925" s="13"/>
      <c r="E925" s="13"/>
    </row>
    <row r="926">
      <c r="A926" s="6"/>
      <c r="B926" s="6"/>
      <c r="C926" s="6"/>
      <c r="D926" s="13"/>
      <c r="E926" s="13"/>
    </row>
    <row r="927">
      <c r="A927" s="6"/>
      <c r="B927" s="6"/>
      <c r="C927" s="6"/>
      <c r="D927" s="13"/>
      <c r="E927" s="13"/>
    </row>
    <row r="928">
      <c r="A928" s="6"/>
      <c r="B928" s="6"/>
      <c r="C928" s="6"/>
      <c r="D928" s="13"/>
      <c r="E928" s="13"/>
    </row>
    <row r="929">
      <c r="A929" s="6"/>
      <c r="B929" s="6"/>
      <c r="C929" s="6"/>
      <c r="D929" s="13"/>
      <c r="E929" s="13"/>
    </row>
    <row r="930">
      <c r="A930" s="6"/>
      <c r="B930" s="6"/>
      <c r="C930" s="6"/>
      <c r="D930" s="13"/>
      <c r="E930" s="13"/>
    </row>
    <row r="931">
      <c r="A931" s="6"/>
      <c r="B931" s="6"/>
      <c r="C931" s="6"/>
      <c r="D931" s="13"/>
      <c r="E931" s="13"/>
    </row>
    <row r="932">
      <c r="A932" s="6"/>
      <c r="B932" s="6"/>
      <c r="C932" s="6"/>
      <c r="D932" s="13"/>
      <c r="E932" s="13"/>
    </row>
    <row r="933">
      <c r="A933" s="6"/>
      <c r="B933" s="6"/>
      <c r="C933" s="6"/>
      <c r="D933" s="13"/>
      <c r="E933" s="13"/>
    </row>
    <row r="934">
      <c r="A934" s="6"/>
      <c r="B934" s="6"/>
      <c r="C934" s="6"/>
      <c r="D934" s="13"/>
      <c r="E934" s="13"/>
    </row>
    <row r="935">
      <c r="A935" s="6"/>
      <c r="B935" s="6"/>
      <c r="C935" s="6"/>
      <c r="D935" s="13"/>
      <c r="E935" s="13"/>
    </row>
    <row r="936">
      <c r="A936" s="6"/>
      <c r="B936" s="6"/>
      <c r="C936" s="6"/>
      <c r="D936" s="13"/>
      <c r="E936" s="13"/>
    </row>
    <row r="937">
      <c r="A937" s="6"/>
      <c r="B937" s="6"/>
      <c r="C937" s="6"/>
      <c r="D937" s="13"/>
      <c r="E937" s="13"/>
    </row>
    <row r="938">
      <c r="A938" s="6"/>
      <c r="B938" s="6"/>
      <c r="C938" s="6"/>
      <c r="D938" s="13"/>
      <c r="E938" s="13"/>
    </row>
    <row r="939">
      <c r="A939" s="6"/>
      <c r="B939" s="6"/>
      <c r="C939" s="6"/>
      <c r="D939" s="13"/>
      <c r="E939" s="13"/>
    </row>
    <row r="940">
      <c r="A940" s="6"/>
      <c r="B940" s="6"/>
      <c r="C940" s="6"/>
      <c r="D940" s="13"/>
      <c r="E940" s="13"/>
    </row>
    <row r="941">
      <c r="A941" s="6"/>
      <c r="B941" s="6"/>
      <c r="C941" s="6"/>
      <c r="D941" s="13"/>
      <c r="E941" s="13"/>
    </row>
    <row r="942">
      <c r="A942" s="6"/>
      <c r="B942" s="6"/>
      <c r="C942" s="6"/>
      <c r="D942" s="13"/>
      <c r="E942" s="13"/>
    </row>
    <row r="943">
      <c r="A943" s="6"/>
      <c r="B943" s="6"/>
      <c r="C943" s="6"/>
      <c r="D943" s="13"/>
      <c r="E943" s="13"/>
    </row>
    <row r="944">
      <c r="A944" s="6"/>
      <c r="B944" s="6"/>
      <c r="C944" s="6"/>
      <c r="D944" s="13"/>
      <c r="E944" s="13"/>
    </row>
    <row r="945">
      <c r="A945" s="6"/>
      <c r="B945" s="6"/>
      <c r="C945" s="6"/>
      <c r="D945" s="13"/>
      <c r="E945" s="13"/>
    </row>
    <row r="946">
      <c r="A946" s="6"/>
      <c r="B946" s="6"/>
      <c r="C946" s="6"/>
      <c r="D946" s="13"/>
      <c r="E946" s="13"/>
    </row>
    <row r="947">
      <c r="A947" s="6"/>
      <c r="B947" s="6"/>
      <c r="C947" s="6"/>
      <c r="D947" s="13"/>
      <c r="E947" s="13"/>
    </row>
    <row r="948">
      <c r="A948" s="6"/>
      <c r="B948" s="6"/>
      <c r="C948" s="6"/>
      <c r="D948" s="13"/>
      <c r="E948" s="13"/>
    </row>
    <row r="949">
      <c r="A949" s="6"/>
      <c r="B949" s="6"/>
      <c r="C949" s="6"/>
      <c r="D949" s="13"/>
      <c r="E949" s="13"/>
    </row>
    <row r="950">
      <c r="A950" s="6"/>
      <c r="B950" s="6"/>
      <c r="C950" s="6"/>
      <c r="D950" s="13"/>
      <c r="E950" s="13"/>
    </row>
    <row r="951">
      <c r="A951" s="6"/>
      <c r="B951" s="6"/>
      <c r="C951" s="6"/>
      <c r="D951" s="13"/>
      <c r="E951" s="13"/>
    </row>
    <row r="952">
      <c r="A952" s="6"/>
      <c r="B952" s="6"/>
      <c r="C952" s="6"/>
      <c r="D952" s="13"/>
      <c r="E952" s="13"/>
    </row>
    <row r="953">
      <c r="A953" s="6"/>
      <c r="B953" s="6"/>
      <c r="C953" s="6"/>
      <c r="D953" s="13"/>
      <c r="E953" s="13"/>
    </row>
    <row r="954">
      <c r="A954" s="6"/>
      <c r="B954" s="6"/>
      <c r="C954" s="6"/>
      <c r="D954" s="13"/>
      <c r="E954" s="13"/>
    </row>
    <row r="955">
      <c r="A955" s="6"/>
      <c r="B955" s="6"/>
      <c r="C955" s="6"/>
      <c r="D955" s="13"/>
      <c r="E955" s="13"/>
    </row>
    <row r="956">
      <c r="A956" s="6"/>
      <c r="B956" s="6"/>
      <c r="C956" s="6"/>
      <c r="D956" s="13"/>
      <c r="E956" s="13"/>
    </row>
    <row r="957">
      <c r="A957" s="6"/>
      <c r="B957" s="6"/>
      <c r="C957" s="6"/>
      <c r="D957" s="13"/>
      <c r="E957" s="13"/>
    </row>
    <row r="958">
      <c r="A958" s="6"/>
      <c r="B958" s="6"/>
      <c r="C958" s="6"/>
      <c r="D958" s="13"/>
      <c r="E958" s="13"/>
    </row>
    <row r="959">
      <c r="A959" s="6"/>
      <c r="B959" s="6"/>
      <c r="C959" s="6"/>
      <c r="D959" s="13"/>
      <c r="E959" s="13"/>
    </row>
    <row r="960">
      <c r="A960" s="6"/>
      <c r="B960" s="6"/>
      <c r="C960" s="6"/>
      <c r="D960" s="13"/>
      <c r="E960" s="13"/>
    </row>
    <row r="961">
      <c r="A961" s="6"/>
      <c r="B961" s="6"/>
      <c r="C961" s="6"/>
      <c r="D961" s="13"/>
      <c r="E961" s="13"/>
    </row>
    <row r="962">
      <c r="A962" s="6"/>
      <c r="B962" s="6"/>
      <c r="C962" s="6"/>
      <c r="D962" s="13"/>
      <c r="E962" s="13"/>
    </row>
    <row r="963">
      <c r="A963" s="6"/>
      <c r="B963" s="6"/>
      <c r="C963" s="6"/>
      <c r="D963" s="13"/>
      <c r="E963" s="13"/>
    </row>
    <row r="964">
      <c r="A964" s="6"/>
      <c r="B964" s="6"/>
      <c r="C964" s="6"/>
      <c r="D964" s="13"/>
      <c r="E964" s="13"/>
    </row>
    <row r="965">
      <c r="A965" s="6"/>
      <c r="B965" s="6"/>
      <c r="C965" s="6"/>
      <c r="D965" s="13"/>
      <c r="E965" s="13"/>
    </row>
    <row r="966">
      <c r="A966" s="6"/>
      <c r="B966" s="6"/>
      <c r="C966" s="6"/>
      <c r="D966" s="13"/>
      <c r="E966" s="13"/>
    </row>
    <row r="967">
      <c r="A967" s="6"/>
      <c r="B967" s="6"/>
      <c r="C967" s="6"/>
      <c r="D967" s="13"/>
      <c r="E967" s="13"/>
    </row>
    <row r="968">
      <c r="A968" s="6"/>
      <c r="B968" s="6"/>
      <c r="C968" s="6"/>
      <c r="D968" s="13"/>
      <c r="E968" s="13"/>
    </row>
    <row r="969">
      <c r="A969" s="6"/>
      <c r="B969" s="6"/>
      <c r="C969" s="6"/>
      <c r="D969" s="13"/>
      <c r="E969" s="13"/>
    </row>
    <row r="970">
      <c r="A970" s="6"/>
      <c r="B970" s="6"/>
      <c r="C970" s="6"/>
      <c r="D970" s="13"/>
      <c r="E970" s="13"/>
    </row>
    <row r="971">
      <c r="A971" s="6"/>
      <c r="B971" s="6"/>
      <c r="C971" s="6"/>
      <c r="D971" s="13"/>
      <c r="E971" s="13"/>
    </row>
    <row r="972">
      <c r="A972" s="6"/>
      <c r="B972" s="6"/>
      <c r="C972" s="6"/>
      <c r="D972" s="13"/>
      <c r="E972" s="13"/>
    </row>
    <row r="973">
      <c r="A973" s="6"/>
      <c r="B973" s="6"/>
      <c r="C973" s="6"/>
      <c r="D973" s="13"/>
      <c r="E973" s="13"/>
    </row>
    <row r="974">
      <c r="A974" s="6"/>
      <c r="B974" s="6"/>
      <c r="C974" s="6"/>
      <c r="D974" s="13"/>
      <c r="E974" s="13"/>
    </row>
    <row r="975">
      <c r="A975" s="6"/>
      <c r="B975" s="6"/>
      <c r="C975" s="6"/>
      <c r="D975" s="13"/>
      <c r="E975" s="13"/>
    </row>
    <row r="976">
      <c r="A976" s="6"/>
      <c r="B976" s="6"/>
      <c r="C976" s="6"/>
      <c r="D976" s="13"/>
      <c r="E976" s="13"/>
    </row>
    <row r="977">
      <c r="A977" s="6"/>
      <c r="B977" s="6"/>
      <c r="C977" s="6"/>
      <c r="D977" s="13"/>
      <c r="E977" s="13"/>
    </row>
    <row r="978">
      <c r="A978" s="6"/>
      <c r="B978" s="6"/>
      <c r="C978" s="6"/>
      <c r="D978" s="13"/>
      <c r="E978" s="13"/>
    </row>
    <row r="979">
      <c r="A979" s="6"/>
      <c r="B979" s="6"/>
      <c r="C979" s="6"/>
      <c r="D979" s="13"/>
      <c r="E979" s="13"/>
    </row>
    <row r="980">
      <c r="A980" s="6"/>
      <c r="B980" s="6"/>
      <c r="C980" s="6"/>
      <c r="D980" s="13"/>
      <c r="E980" s="13"/>
    </row>
    <row r="981">
      <c r="A981" s="6"/>
      <c r="B981" s="6"/>
      <c r="C981" s="6"/>
      <c r="D981" s="13"/>
      <c r="E981" s="13"/>
    </row>
    <row r="982">
      <c r="A982" s="6"/>
      <c r="B982" s="6"/>
      <c r="C982" s="6"/>
      <c r="D982" s="13"/>
      <c r="E982" s="13"/>
    </row>
    <row r="983">
      <c r="A983" s="6"/>
      <c r="B983" s="6"/>
      <c r="C983" s="6"/>
      <c r="D983" s="13"/>
      <c r="E983" s="13"/>
    </row>
    <row r="984">
      <c r="A984" s="6"/>
      <c r="B984" s="6"/>
      <c r="C984" s="6"/>
      <c r="D984" s="13"/>
      <c r="E984" s="13"/>
    </row>
    <row r="985">
      <c r="A985" s="6"/>
      <c r="B985" s="6"/>
      <c r="C985" s="6"/>
      <c r="D985" s="13"/>
      <c r="E985" s="13"/>
    </row>
    <row r="986">
      <c r="A986" s="6"/>
      <c r="B986" s="6"/>
      <c r="C986" s="6"/>
      <c r="D986" s="13"/>
      <c r="E986" s="13"/>
    </row>
    <row r="987">
      <c r="A987" s="6"/>
      <c r="B987" s="6"/>
      <c r="C987" s="6"/>
      <c r="D987" s="13"/>
      <c r="E987" s="13"/>
    </row>
    <row r="988">
      <c r="A988" s="6"/>
      <c r="B988" s="6"/>
      <c r="C988" s="6"/>
      <c r="D988" s="13"/>
      <c r="E988" s="13"/>
    </row>
    <row r="989">
      <c r="A989" s="6"/>
      <c r="B989" s="6"/>
      <c r="C989" s="6"/>
      <c r="D989" s="13"/>
      <c r="E989" s="13"/>
    </row>
    <row r="990">
      <c r="A990" s="6"/>
      <c r="B990" s="6"/>
      <c r="C990" s="6"/>
      <c r="D990" s="13"/>
      <c r="E990" s="13"/>
    </row>
    <row r="991">
      <c r="A991" s="6"/>
      <c r="B991" s="6"/>
      <c r="C991" s="6"/>
      <c r="D991" s="13"/>
      <c r="E991" s="13"/>
    </row>
    <row r="992">
      <c r="A992" s="6"/>
      <c r="B992" s="6"/>
      <c r="C992" s="6"/>
      <c r="D992" s="13"/>
      <c r="E992" s="13"/>
    </row>
    <row r="993">
      <c r="A993" s="6"/>
      <c r="B993" s="6"/>
      <c r="C993" s="6"/>
      <c r="D993" s="13"/>
      <c r="E993" s="13"/>
    </row>
    <row r="994">
      <c r="A994" s="6"/>
      <c r="B994" s="6"/>
      <c r="C994" s="6"/>
      <c r="D994" s="13"/>
      <c r="E994" s="13"/>
    </row>
    <row r="995">
      <c r="A995" s="6"/>
      <c r="B995" s="6"/>
      <c r="C995" s="6"/>
      <c r="D995" s="13"/>
      <c r="E995" s="13"/>
    </row>
    <row r="996">
      <c r="A996" s="6"/>
      <c r="B996" s="6"/>
      <c r="C996" s="6"/>
      <c r="D996" s="13"/>
      <c r="E996" s="13"/>
    </row>
    <row r="997">
      <c r="A997" s="6"/>
      <c r="B997" s="6"/>
      <c r="C997" s="6"/>
      <c r="D997" s="13"/>
      <c r="E997" s="13"/>
    </row>
    <row r="998">
      <c r="A998" s="6"/>
      <c r="B998" s="6"/>
      <c r="C998" s="6"/>
      <c r="D998" s="13"/>
      <c r="E998" s="13"/>
    </row>
    <row r="999">
      <c r="A999" s="6"/>
      <c r="B999" s="6"/>
      <c r="C999" s="6"/>
      <c r="D999" s="13"/>
      <c r="E999" s="13"/>
    </row>
    <row r="1000">
      <c r="A1000" s="6"/>
      <c r="B1000" s="6"/>
      <c r="C1000" s="6"/>
      <c r="D1000" s="13"/>
      <c r="E1000" s="13"/>
    </row>
    <row r="1001">
      <c r="A1001" s="6"/>
      <c r="B1001" s="6"/>
      <c r="C1001" s="6"/>
      <c r="D1001" s="13"/>
      <c r="E1001" s="13"/>
    </row>
    <row r="1002">
      <c r="A1002" s="6"/>
      <c r="B1002" s="6"/>
      <c r="C1002" s="6"/>
      <c r="D1002" s="13"/>
      <c r="E1002" s="13"/>
    </row>
    <row r="1003">
      <c r="A1003" s="6"/>
      <c r="B1003" s="6"/>
      <c r="C1003" s="6"/>
      <c r="D1003" s="13"/>
      <c r="E1003" s="13"/>
    </row>
    <row r="1004">
      <c r="A1004" s="6"/>
      <c r="B1004" s="6"/>
      <c r="C1004" s="6"/>
      <c r="D1004" s="13"/>
      <c r="E1004" s="13"/>
    </row>
    <row r="1005">
      <c r="A1005" s="6"/>
      <c r="B1005" s="6"/>
      <c r="C1005" s="6"/>
      <c r="D1005" s="13"/>
      <c r="E1005" s="13"/>
    </row>
    <row r="1006">
      <c r="A1006" s="6"/>
      <c r="B1006" s="6"/>
      <c r="C1006" s="6"/>
      <c r="D1006" s="13"/>
      <c r="E1006" s="13"/>
    </row>
    <row r="1007">
      <c r="A1007" s="6"/>
      <c r="B1007" s="6"/>
      <c r="C1007" s="6"/>
      <c r="D1007" s="13"/>
      <c r="E1007" s="13"/>
    </row>
    <row r="1008">
      <c r="A1008" s="6"/>
      <c r="B1008" s="6"/>
      <c r="C1008" s="6"/>
      <c r="D1008" s="13"/>
      <c r="E1008" s="13"/>
    </row>
    <row r="1009">
      <c r="A1009" s="6"/>
      <c r="B1009" s="6"/>
      <c r="C1009" s="6"/>
      <c r="D1009" s="13"/>
      <c r="E1009" s="13"/>
    </row>
    <row r="1010">
      <c r="A1010" s="6"/>
      <c r="B1010" s="6"/>
      <c r="C1010" s="6"/>
      <c r="D1010" s="13"/>
      <c r="E1010" s="13"/>
    </row>
    <row r="1011">
      <c r="A1011" s="6"/>
      <c r="B1011" s="6"/>
      <c r="C1011" s="6"/>
      <c r="D1011" s="13"/>
      <c r="E1011" s="13"/>
    </row>
    <row r="1012">
      <c r="A1012" s="6"/>
      <c r="B1012" s="6"/>
      <c r="C1012" s="6"/>
      <c r="D1012" s="13"/>
      <c r="E1012" s="13"/>
    </row>
    <row r="1013">
      <c r="A1013" s="6"/>
      <c r="B1013" s="6"/>
      <c r="C1013" s="6"/>
      <c r="D1013" s="13"/>
      <c r="E1013" s="13"/>
    </row>
    <row r="1014">
      <c r="A1014" s="6"/>
      <c r="B1014" s="6"/>
      <c r="C1014" s="6"/>
      <c r="D1014" s="13"/>
      <c r="E1014" s="13"/>
    </row>
    <row r="1015">
      <c r="A1015" s="6"/>
      <c r="B1015" s="6"/>
      <c r="C1015" s="6"/>
      <c r="D1015" s="13"/>
      <c r="E1015" s="13"/>
    </row>
    <row r="1016">
      <c r="A1016" s="6"/>
      <c r="B1016" s="6"/>
      <c r="C1016" s="6"/>
      <c r="D1016" s="13"/>
      <c r="E1016" s="13"/>
    </row>
    <row r="1017">
      <c r="A1017" s="6"/>
      <c r="B1017" s="6"/>
      <c r="C1017" s="6"/>
      <c r="D1017" s="13"/>
      <c r="E1017" s="13"/>
    </row>
    <row r="1018">
      <c r="A1018" s="6"/>
      <c r="B1018" s="6"/>
      <c r="C1018" s="6"/>
      <c r="D1018" s="13"/>
      <c r="E1018" s="13"/>
    </row>
    <row r="1019">
      <c r="A1019" s="6"/>
      <c r="B1019" s="6"/>
      <c r="C1019" s="6"/>
      <c r="D1019" s="13"/>
      <c r="E1019" s="13"/>
    </row>
    <row r="1020">
      <c r="A1020" s="6"/>
      <c r="B1020" s="6"/>
      <c r="C1020" s="6"/>
      <c r="D1020" s="13"/>
      <c r="E1020" s="13"/>
    </row>
    <row r="1021">
      <c r="A1021" s="6"/>
      <c r="B1021" s="6"/>
      <c r="C1021" s="6"/>
      <c r="D1021" s="13"/>
      <c r="E1021" s="13"/>
    </row>
    <row r="1022">
      <c r="A1022" s="6"/>
      <c r="B1022" s="6"/>
      <c r="C1022" s="6"/>
      <c r="D1022" s="13"/>
      <c r="E1022" s="13"/>
    </row>
    <row r="1023">
      <c r="A1023" s="6"/>
      <c r="B1023" s="6"/>
      <c r="C1023" s="6"/>
      <c r="D1023" s="13"/>
      <c r="E1023" s="13"/>
    </row>
    <row r="1024">
      <c r="A1024" s="6"/>
      <c r="B1024" s="6"/>
      <c r="C1024" s="6"/>
      <c r="D1024" s="13"/>
      <c r="E1024" s="13"/>
    </row>
    <row r="1025">
      <c r="A1025" s="6"/>
      <c r="B1025" s="6"/>
      <c r="C1025" s="6"/>
      <c r="D1025" s="13"/>
      <c r="E1025" s="13"/>
    </row>
    <row r="1026">
      <c r="A1026" s="6"/>
      <c r="B1026" s="6"/>
      <c r="C1026" s="6"/>
      <c r="D1026" s="13"/>
      <c r="E1026" s="13"/>
    </row>
    <row r="1027">
      <c r="A1027" s="6"/>
      <c r="B1027" s="6"/>
      <c r="C1027" s="6"/>
      <c r="D1027" s="13"/>
      <c r="E1027" s="13"/>
    </row>
    <row r="1028">
      <c r="A1028" s="6"/>
      <c r="B1028" s="6"/>
      <c r="C1028" s="6"/>
      <c r="D1028" s="13"/>
      <c r="E1028" s="13"/>
    </row>
    <row r="1029">
      <c r="A1029" s="6"/>
      <c r="B1029" s="6"/>
      <c r="C1029" s="6"/>
      <c r="D1029" s="13"/>
      <c r="E1029" s="13"/>
    </row>
    <row r="1030">
      <c r="A1030" s="6"/>
      <c r="B1030" s="6"/>
      <c r="C1030" s="6"/>
      <c r="D1030" s="13"/>
      <c r="E1030" s="13"/>
    </row>
    <row r="1031">
      <c r="A1031" s="6"/>
      <c r="B1031" s="6"/>
      <c r="C1031" s="6"/>
      <c r="D1031" s="13"/>
      <c r="E1031" s="13"/>
    </row>
    <row r="1032">
      <c r="A1032" s="6"/>
      <c r="B1032" s="6"/>
      <c r="C1032" s="6"/>
      <c r="D1032" s="13"/>
      <c r="E1032" s="13"/>
    </row>
    <row r="1033">
      <c r="A1033" s="6"/>
      <c r="B1033" s="6"/>
      <c r="C1033" s="6"/>
      <c r="D1033" s="13"/>
      <c r="E1033" s="13"/>
    </row>
    <row r="1034">
      <c r="A1034" s="6"/>
      <c r="B1034" s="6"/>
      <c r="C1034" s="6"/>
      <c r="D1034" s="13"/>
      <c r="E1034" s="13"/>
    </row>
    <row r="1035">
      <c r="A1035" s="6"/>
      <c r="B1035" s="6"/>
      <c r="C1035" s="6"/>
      <c r="D1035" s="13"/>
      <c r="E1035" s="13"/>
    </row>
    <row r="1036">
      <c r="A1036" s="6"/>
      <c r="B1036" s="6"/>
      <c r="C1036" s="6"/>
      <c r="D1036" s="13"/>
      <c r="E1036" s="13"/>
    </row>
    <row r="1037">
      <c r="A1037" s="6"/>
      <c r="B1037" s="6"/>
      <c r="C1037" s="6"/>
      <c r="D1037" s="13"/>
      <c r="E1037" s="13"/>
    </row>
    <row r="1038">
      <c r="A1038" s="6"/>
      <c r="B1038" s="6"/>
      <c r="C1038" s="6"/>
      <c r="D1038" s="13"/>
      <c r="E1038" s="13"/>
    </row>
    <row r="1039">
      <c r="A1039" s="6"/>
      <c r="B1039" s="6"/>
      <c r="C1039" s="6"/>
      <c r="D1039" s="13"/>
      <c r="E1039" s="13"/>
    </row>
    <row r="1040">
      <c r="A1040" s="6"/>
      <c r="B1040" s="6"/>
      <c r="C1040" s="6"/>
      <c r="D1040" s="13"/>
      <c r="E1040" s="13"/>
    </row>
    <row r="1041">
      <c r="A1041" s="6"/>
      <c r="B1041" s="6"/>
      <c r="C1041" s="6"/>
      <c r="D1041" s="13"/>
      <c r="E1041" s="13"/>
    </row>
    <row r="1042">
      <c r="A1042" s="6"/>
      <c r="B1042" s="6"/>
      <c r="C1042" s="6"/>
      <c r="D1042" s="13"/>
      <c r="E1042" s="13"/>
    </row>
    <row r="1043">
      <c r="A1043" s="6"/>
      <c r="B1043" s="6"/>
      <c r="C1043" s="6"/>
      <c r="D1043" s="13"/>
      <c r="E1043" s="13"/>
    </row>
    <row r="1044">
      <c r="A1044" s="6"/>
      <c r="B1044" s="6"/>
      <c r="C1044" s="6"/>
      <c r="D1044" s="13"/>
      <c r="E1044" s="13"/>
    </row>
    <row r="1045">
      <c r="A1045" s="6"/>
      <c r="B1045" s="6"/>
      <c r="C1045" s="6"/>
      <c r="D1045" s="13"/>
      <c r="E1045" s="13"/>
    </row>
    <row r="1046">
      <c r="A1046" s="6"/>
      <c r="B1046" s="6"/>
      <c r="C1046" s="6"/>
      <c r="D1046" s="13"/>
      <c r="E1046" s="13"/>
    </row>
    <row r="1047">
      <c r="A1047" s="6"/>
      <c r="B1047" s="6"/>
      <c r="C1047" s="6"/>
      <c r="D1047" s="13"/>
      <c r="E1047" s="13"/>
    </row>
    <row r="1048">
      <c r="A1048" s="6"/>
      <c r="B1048" s="6"/>
      <c r="C1048" s="6"/>
      <c r="D1048" s="13"/>
      <c r="E1048" s="13"/>
    </row>
    <row r="1049">
      <c r="A1049" s="6"/>
      <c r="B1049" s="6"/>
      <c r="C1049" s="6"/>
      <c r="D1049" s="13"/>
      <c r="E1049" s="13"/>
    </row>
    <row r="1050">
      <c r="A1050" s="6"/>
      <c r="B1050" s="6"/>
      <c r="C1050" s="6"/>
      <c r="D1050" s="13"/>
      <c r="E1050" s="13"/>
    </row>
    <row r="1051">
      <c r="A1051" s="6"/>
      <c r="B1051" s="6"/>
      <c r="C1051" s="6"/>
      <c r="D1051" s="13"/>
      <c r="E1051" s="13"/>
    </row>
    <row r="1052">
      <c r="A1052" s="6"/>
      <c r="B1052" s="6"/>
      <c r="C1052" s="6"/>
      <c r="D1052" s="13"/>
      <c r="E1052" s="13"/>
    </row>
    <row r="1053">
      <c r="A1053" s="6"/>
      <c r="B1053" s="6"/>
      <c r="C1053" s="6"/>
      <c r="D1053" s="13"/>
      <c r="E1053" s="13"/>
    </row>
    <row r="1054">
      <c r="A1054" s="6"/>
      <c r="B1054" s="6"/>
      <c r="C1054" s="6"/>
      <c r="D1054" s="13"/>
      <c r="E1054" s="13"/>
    </row>
    <row r="1055">
      <c r="A1055" s="6"/>
      <c r="B1055" s="6"/>
      <c r="C1055" s="6"/>
      <c r="D1055" s="13"/>
      <c r="E1055" s="13"/>
    </row>
    <row r="1056">
      <c r="A1056" s="6"/>
      <c r="B1056" s="6"/>
      <c r="C1056" s="6"/>
      <c r="D1056" s="13"/>
      <c r="E1056" s="13"/>
    </row>
    <row r="1057">
      <c r="A1057" s="6"/>
      <c r="B1057" s="6"/>
      <c r="C1057" s="6"/>
      <c r="D1057" s="13"/>
      <c r="E1057" s="13"/>
    </row>
    <row r="1058">
      <c r="A1058" s="6"/>
      <c r="B1058" s="6"/>
      <c r="C1058" s="6"/>
      <c r="D1058" s="13"/>
      <c r="E1058" s="13"/>
    </row>
    <row r="1059">
      <c r="A1059" s="6"/>
      <c r="B1059" s="6"/>
      <c r="C1059" s="6"/>
      <c r="D1059" s="13"/>
      <c r="E1059" s="13"/>
    </row>
    <row r="1060">
      <c r="A1060" s="6"/>
      <c r="B1060" s="6"/>
      <c r="C1060" s="6"/>
      <c r="D1060" s="13"/>
      <c r="E1060" s="13"/>
    </row>
    <row r="1061">
      <c r="A1061" s="6"/>
      <c r="B1061" s="6"/>
      <c r="C1061" s="6"/>
      <c r="D1061" s="13"/>
      <c r="E1061" s="13"/>
    </row>
    <row r="1062">
      <c r="A1062" s="6"/>
      <c r="B1062" s="6"/>
      <c r="C1062" s="6"/>
      <c r="D1062" s="13"/>
      <c r="E1062" s="13"/>
    </row>
    <row r="1063">
      <c r="A1063" s="6"/>
      <c r="B1063" s="6"/>
      <c r="C1063" s="6"/>
      <c r="D1063" s="13"/>
      <c r="E1063" s="13"/>
    </row>
    <row r="1064">
      <c r="A1064" s="6"/>
      <c r="B1064" s="6"/>
      <c r="C1064" s="6"/>
      <c r="D1064" s="13"/>
      <c r="E1064" s="13"/>
    </row>
    <row r="1065">
      <c r="A1065" s="6"/>
      <c r="B1065" s="6"/>
      <c r="C1065" s="6"/>
      <c r="D1065" s="13"/>
      <c r="E1065" s="13"/>
    </row>
    <row r="1066">
      <c r="A1066" s="6"/>
      <c r="B1066" s="6"/>
      <c r="C1066" s="6"/>
      <c r="D1066" s="13"/>
      <c r="E1066" s="13"/>
    </row>
    <row r="1067">
      <c r="A1067" s="6"/>
      <c r="B1067" s="6"/>
      <c r="C1067" s="6"/>
      <c r="D1067" s="13"/>
      <c r="E1067" s="13"/>
    </row>
    <row r="1068">
      <c r="A1068" s="6"/>
      <c r="B1068" s="6"/>
      <c r="C1068" s="6"/>
      <c r="D1068" s="13"/>
      <c r="E1068" s="13"/>
    </row>
    <row r="1069">
      <c r="A1069" s="6"/>
      <c r="B1069" s="6"/>
      <c r="C1069" s="6"/>
      <c r="D1069" s="13"/>
      <c r="E1069" s="13"/>
    </row>
    <row r="1070">
      <c r="A1070" s="6"/>
      <c r="B1070" s="6"/>
      <c r="C1070" s="6"/>
      <c r="D1070" s="13"/>
      <c r="E1070" s="13"/>
    </row>
    <row r="1071">
      <c r="A1071" s="6"/>
      <c r="B1071" s="6"/>
      <c r="C1071" s="6"/>
      <c r="D1071" s="13"/>
      <c r="E1071" s="13"/>
    </row>
    <row r="1072">
      <c r="A1072" s="6"/>
      <c r="B1072" s="6"/>
      <c r="C1072" s="6"/>
      <c r="D1072" s="13"/>
      <c r="E1072" s="13"/>
    </row>
    <row r="1073">
      <c r="A1073" s="6"/>
      <c r="B1073" s="6"/>
      <c r="C1073" s="6"/>
      <c r="D1073" s="13"/>
      <c r="E1073" s="13"/>
    </row>
    <row r="1074">
      <c r="A1074" s="6"/>
      <c r="B1074" s="6"/>
      <c r="C1074" s="6"/>
      <c r="D1074" s="13"/>
      <c r="E1074" s="13"/>
    </row>
    <row r="1075">
      <c r="A1075" s="6"/>
      <c r="B1075" s="6"/>
      <c r="C1075" s="6"/>
      <c r="D1075" s="13"/>
      <c r="E1075" s="13"/>
    </row>
    <row r="1076">
      <c r="A1076" s="6"/>
      <c r="B1076" s="6"/>
      <c r="C1076" s="6"/>
      <c r="D1076" s="13"/>
      <c r="E1076" s="13"/>
    </row>
    <row r="1077">
      <c r="A1077" s="6"/>
      <c r="B1077" s="6"/>
      <c r="C1077" s="6"/>
      <c r="D1077" s="13"/>
      <c r="E1077" s="13"/>
    </row>
    <row r="1078">
      <c r="A1078" s="6"/>
      <c r="B1078" s="6"/>
      <c r="C1078" s="6"/>
      <c r="D1078" s="13"/>
      <c r="E1078" s="13"/>
    </row>
    <row r="1079">
      <c r="A1079" s="6"/>
      <c r="B1079" s="6"/>
      <c r="C1079" s="6"/>
      <c r="D1079" s="13"/>
      <c r="E1079" s="13"/>
    </row>
    <row r="1080">
      <c r="A1080" s="6"/>
      <c r="B1080" s="6"/>
      <c r="C1080" s="6"/>
      <c r="D1080" s="13"/>
      <c r="E1080" s="13"/>
    </row>
    <row r="1081">
      <c r="A1081" s="6"/>
      <c r="B1081" s="6"/>
      <c r="C1081" s="6"/>
      <c r="D1081" s="13"/>
      <c r="E1081" s="13"/>
    </row>
    <row r="1082">
      <c r="A1082" s="6"/>
      <c r="B1082" s="6"/>
      <c r="C1082" s="6"/>
      <c r="D1082" s="13"/>
      <c r="E1082" s="13"/>
    </row>
    <row r="1083">
      <c r="A1083" s="6"/>
      <c r="B1083" s="6"/>
      <c r="C1083" s="6"/>
      <c r="D1083" s="13"/>
      <c r="E1083" s="13"/>
    </row>
    <row r="1084">
      <c r="A1084" s="6"/>
      <c r="B1084" s="6"/>
      <c r="C1084" s="6"/>
      <c r="D1084" s="13"/>
      <c r="E1084" s="13"/>
    </row>
    <row r="1085">
      <c r="A1085" s="6"/>
      <c r="B1085" s="6"/>
      <c r="C1085" s="6"/>
      <c r="D1085" s="13"/>
      <c r="E1085" s="13"/>
    </row>
    <row r="1086">
      <c r="A1086" s="6"/>
      <c r="B1086" s="6"/>
      <c r="C1086" s="6"/>
      <c r="D1086" s="13"/>
      <c r="E1086" s="13"/>
    </row>
    <row r="1087">
      <c r="A1087" s="6"/>
      <c r="B1087" s="6"/>
      <c r="C1087" s="6"/>
      <c r="D1087" s="13"/>
      <c r="E1087" s="13"/>
    </row>
    <row r="1088">
      <c r="A1088" s="6"/>
      <c r="B1088" s="6"/>
      <c r="C1088" s="6"/>
      <c r="D1088" s="13"/>
      <c r="E1088" s="13"/>
    </row>
    <row r="1089">
      <c r="A1089" s="6"/>
      <c r="B1089" s="6"/>
      <c r="C1089" s="6"/>
      <c r="D1089" s="13"/>
      <c r="E1089" s="13"/>
    </row>
    <row r="1090">
      <c r="A1090" s="6"/>
      <c r="B1090" s="6"/>
      <c r="C1090" s="6"/>
      <c r="D1090" s="13"/>
      <c r="E1090" s="13"/>
    </row>
    <row r="1091">
      <c r="A1091" s="6"/>
      <c r="B1091" s="6"/>
      <c r="C1091" s="6"/>
      <c r="D1091" s="13"/>
      <c r="E1091" s="13"/>
    </row>
    <row r="1092">
      <c r="A1092" s="6"/>
      <c r="B1092" s="6"/>
      <c r="C1092" s="6"/>
      <c r="D1092" s="13"/>
      <c r="E1092" s="13"/>
    </row>
    <row r="1093">
      <c r="A1093" s="6"/>
      <c r="B1093" s="6"/>
      <c r="C1093" s="6"/>
      <c r="D1093" s="13"/>
      <c r="E1093" s="13"/>
    </row>
    <row r="1094">
      <c r="A1094" s="6"/>
      <c r="B1094" s="6"/>
      <c r="C1094" s="6"/>
      <c r="D1094" s="13"/>
      <c r="E1094" s="13"/>
    </row>
    <row r="1095">
      <c r="A1095" s="6"/>
      <c r="B1095" s="6"/>
      <c r="C1095" s="6"/>
      <c r="D1095" s="13"/>
      <c r="E1095" s="13"/>
    </row>
    <row r="1096">
      <c r="A1096" s="6"/>
      <c r="B1096" s="6"/>
      <c r="C1096" s="6"/>
      <c r="D1096" s="13"/>
      <c r="E1096" s="13"/>
    </row>
    <row r="1097">
      <c r="A1097" s="6"/>
      <c r="B1097" s="6"/>
      <c r="C1097" s="6"/>
      <c r="D1097" s="13"/>
      <c r="E1097" s="13"/>
    </row>
    <row r="1098">
      <c r="A1098" s="6"/>
      <c r="B1098" s="6"/>
      <c r="C1098" s="6"/>
      <c r="D1098" s="13"/>
      <c r="E1098" s="13"/>
    </row>
    <row r="1099">
      <c r="A1099" s="6"/>
      <c r="B1099" s="6"/>
      <c r="C1099" s="6"/>
      <c r="D1099" s="13"/>
      <c r="E1099" s="13"/>
    </row>
    <row r="1100">
      <c r="A1100" s="6"/>
      <c r="B1100" s="6"/>
      <c r="C1100" s="6"/>
      <c r="D1100" s="13"/>
      <c r="E1100" s="13"/>
    </row>
    <row r="1101">
      <c r="A1101" s="6"/>
      <c r="B1101" s="6"/>
      <c r="C1101" s="6"/>
      <c r="D1101" s="13"/>
      <c r="E1101" s="13"/>
    </row>
    <row r="1102">
      <c r="A1102" s="6"/>
      <c r="B1102" s="6"/>
      <c r="C1102" s="6"/>
      <c r="D1102" s="13"/>
      <c r="E1102" s="13"/>
    </row>
    <row r="1103">
      <c r="A1103" s="6"/>
      <c r="B1103" s="6"/>
      <c r="C1103" s="6"/>
      <c r="D1103" s="13"/>
      <c r="E1103" s="13"/>
    </row>
    <row r="1104">
      <c r="A1104" s="6"/>
      <c r="B1104" s="6"/>
      <c r="C1104" s="6"/>
      <c r="D1104" s="13"/>
      <c r="E1104" s="13"/>
    </row>
    <row r="1105">
      <c r="A1105" s="6"/>
      <c r="B1105" s="6"/>
      <c r="C1105" s="6"/>
      <c r="D1105" s="13"/>
      <c r="E1105" s="13"/>
    </row>
    <row r="1106">
      <c r="A1106" s="6"/>
      <c r="B1106" s="6"/>
      <c r="C1106" s="6"/>
      <c r="D1106" s="13"/>
      <c r="E1106" s="13"/>
    </row>
    <row r="1107">
      <c r="A1107" s="6"/>
      <c r="B1107" s="6"/>
      <c r="C1107" s="6"/>
      <c r="D1107" s="13"/>
      <c r="E1107" s="13"/>
    </row>
    <row r="1108">
      <c r="A1108" s="6"/>
      <c r="B1108" s="6"/>
      <c r="C1108" s="6"/>
      <c r="D1108" s="13"/>
      <c r="E1108" s="13"/>
    </row>
    <row r="1109">
      <c r="A1109" s="6"/>
      <c r="B1109" s="6"/>
      <c r="C1109" s="6"/>
      <c r="D1109" s="13"/>
      <c r="E1109" s="13"/>
    </row>
    <row r="1110">
      <c r="A1110" s="6"/>
      <c r="B1110" s="6"/>
      <c r="C1110" s="6"/>
      <c r="D1110" s="13"/>
      <c r="E1110" s="13"/>
    </row>
    <row r="1111">
      <c r="A1111" s="6"/>
      <c r="B1111" s="6"/>
      <c r="C1111" s="6"/>
      <c r="D1111" s="13"/>
      <c r="E1111" s="13"/>
    </row>
    <row r="1112">
      <c r="A1112" s="6"/>
      <c r="B1112" s="6"/>
      <c r="C1112" s="6"/>
      <c r="D1112" s="13"/>
      <c r="E1112" s="13"/>
    </row>
    <row r="1113">
      <c r="A1113" s="6"/>
      <c r="B1113" s="6"/>
      <c r="C1113" s="6"/>
      <c r="D1113" s="13"/>
      <c r="E1113" s="13"/>
    </row>
    <row r="1114">
      <c r="A1114" s="6"/>
      <c r="B1114" s="6"/>
      <c r="C1114" s="6"/>
      <c r="D1114" s="13"/>
      <c r="E1114" s="13"/>
    </row>
    <row r="1115">
      <c r="A1115" s="6"/>
      <c r="B1115" s="6"/>
      <c r="C1115" s="6"/>
      <c r="D1115" s="13"/>
      <c r="E1115" s="13"/>
    </row>
    <row r="1116">
      <c r="A1116" s="6"/>
      <c r="B1116" s="6"/>
      <c r="C1116" s="6"/>
      <c r="D1116" s="13"/>
      <c r="E1116" s="13"/>
    </row>
    <row r="1117">
      <c r="A1117" s="6"/>
      <c r="B1117" s="6"/>
      <c r="C1117" s="6"/>
      <c r="D1117" s="13"/>
      <c r="E1117" s="13"/>
    </row>
    <row r="1118">
      <c r="A1118" s="6"/>
      <c r="B1118" s="6"/>
      <c r="C1118" s="6"/>
      <c r="D1118" s="13"/>
      <c r="E1118" s="13"/>
    </row>
    <row r="1119">
      <c r="A1119" s="6"/>
      <c r="B1119" s="6"/>
      <c r="C1119" s="6"/>
      <c r="D1119" s="13"/>
      <c r="E1119" s="13"/>
    </row>
    <row r="1120">
      <c r="A1120" s="6"/>
      <c r="B1120" s="6"/>
      <c r="C1120" s="6"/>
      <c r="D1120" s="13"/>
      <c r="E1120" s="13"/>
    </row>
    <row r="1121">
      <c r="A1121" s="6"/>
      <c r="B1121" s="6"/>
      <c r="C1121" s="6"/>
      <c r="D1121" s="13"/>
      <c r="E1121" s="13"/>
    </row>
    <row r="1122">
      <c r="A1122" s="6"/>
      <c r="B1122" s="6"/>
      <c r="C1122" s="6"/>
      <c r="D1122" s="13"/>
      <c r="E1122" s="13"/>
    </row>
    <row r="1123">
      <c r="A1123" s="6"/>
      <c r="B1123" s="6"/>
      <c r="C1123" s="6"/>
      <c r="D1123" s="13"/>
      <c r="E1123" s="13"/>
    </row>
    <row r="1124">
      <c r="A1124" s="6"/>
      <c r="B1124" s="6"/>
      <c r="C1124" s="6"/>
      <c r="D1124" s="13"/>
      <c r="E1124" s="13"/>
    </row>
    <row r="1125">
      <c r="A1125" s="6"/>
      <c r="B1125" s="6"/>
      <c r="C1125" s="6"/>
      <c r="D1125" s="13"/>
      <c r="E1125" s="13"/>
    </row>
    <row r="1126">
      <c r="A1126" s="6"/>
      <c r="B1126" s="6"/>
      <c r="C1126" s="6"/>
      <c r="D1126" s="13"/>
      <c r="E1126" s="13"/>
    </row>
    <row r="1127">
      <c r="A1127" s="6"/>
      <c r="B1127" s="6"/>
      <c r="C1127" s="6"/>
      <c r="D1127" s="13"/>
      <c r="E1127" s="13"/>
    </row>
    <row r="1128">
      <c r="A1128" s="6"/>
      <c r="B1128" s="6"/>
      <c r="C1128" s="6"/>
      <c r="D1128" s="13"/>
      <c r="E1128" s="13"/>
    </row>
    <row r="1129">
      <c r="A1129" s="6"/>
      <c r="B1129" s="6"/>
      <c r="C1129" s="6"/>
      <c r="D1129" s="13"/>
      <c r="E1129" s="13"/>
    </row>
    <row r="1130">
      <c r="A1130" s="6"/>
      <c r="B1130" s="6"/>
      <c r="C1130" s="6"/>
      <c r="D1130" s="13"/>
      <c r="E1130" s="13"/>
    </row>
    <row r="1131">
      <c r="A1131" s="6"/>
      <c r="B1131" s="6"/>
      <c r="C1131" s="6"/>
      <c r="D1131" s="13"/>
      <c r="E1131" s="13"/>
    </row>
    <row r="1132">
      <c r="A1132" s="6"/>
      <c r="B1132" s="6"/>
      <c r="C1132" s="6"/>
      <c r="D1132" s="13"/>
      <c r="E1132" s="13"/>
    </row>
    <row r="1133">
      <c r="A1133" s="6"/>
      <c r="B1133" s="6"/>
      <c r="C1133" s="6"/>
      <c r="D1133" s="13"/>
      <c r="E1133" s="13"/>
    </row>
    <row r="1134">
      <c r="A1134" s="6"/>
      <c r="B1134" s="6"/>
      <c r="C1134" s="6"/>
      <c r="D1134" s="13"/>
      <c r="E1134" s="13"/>
    </row>
    <row r="1135">
      <c r="A1135" s="6"/>
      <c r="B1135" s="6"/>
      <c r="C1135" s="6"/>
      <c r="D1135" s="13"/>
      <c r="E1135" s="13"/>
    </row>
    <row r="1136">
      <c r="A1136" s="6"/>
      <c r="B1136" s="6"/>
      <c r="C1136" s="6"/>
      <c r="D1136" s="13"/>
      <c r="E1136" s="13"/>
    </row>
    <row r="1137">
      <c r="A1137" s="6"/>
      <c r="B1137" s="6"/>
      <c r="C1137" s="6"/>
      <c r="D1137" s="13"/>
      <c r="E1137" s="13"/>
    </row>
    <row r="1138">
      <c r="A1138" s="6"/>
      <c r="B1138" s="6"/>
      <c r="C1138" s="6"/>
      <c r="D1138" s="13"/>
      <c r="E1138" s="13"/>
    </row>
    <row r="1139">
      <c r="A1139" s="6"/>
      <c r="B1139" s="6"/>
      <c r="C1139" s="6"/>
      <c r="D1139" s="13"/>
      <c r="E1139" s="13"/>
    </row>
    <row r="1140">
      <c r="A1140" s="6"/>
      <c r="B1140" s="6"/>
      <c r="C1140" s="6"/>
      <c r="D1140" s="13"/>
      <c r="E1140" s="13"/>
    </row>
    <row r="1141">
      <c r="A1141" s="6"/>
      <c r="B1141" s="6"/>
      <c r="C1141" s="6"/>
      <c r="D1141" s="13"/>
      <c r="E1141" s="13"/>
    </row>
    <row r="1142">
      <c r="A1142" s="6"/>
      <c r="B1142" s="6"/>
      <c r="C1142" s="6"/>
      <c r="D1142" s="13"/>
      <c r="E1142" s="13"/>
    </row>
    <row r="1143">
      <c r="A1143" s="6"/>
      <c r="B1143" s="6"/>
      <c r="C1143" s="6"/>
      <c r="D1143" s="13"/>
      <c r="E1143" s="13"/>
    </row>
    <row r="1144">
      <c r="A1144" s="6"/>
      <c r="B1144" s="6"/>
      <c r="C1144" s="6"/>
      <c r="D1144" s="13"/>
      <c r="E1144" s="13"/>
    </row>
    <row r="1145">
      <c r="A1145" s="6"/>
      <c r="B1145" s="6"/>
      <c r="C1145" s="6"/>
      <c r="D1145" s="13"/>
      <c r="E1145" s="13"/>
    </row>
    <row r="1146">
      <c r="A1146" s="6"/>
      <c r="B1146" s="6"/>
      <c r="C1146" s="6"/>
      <c r="D1146" s="13"/>
      <c r="E1146" s="13"/>
    </row>
    <row r="1147">
      <c r="A1147" s="6"/>
      <c r="B1147" s="6"/>
      <c r="C1147" s="6"/>
      <c r="D1147" s="13"/>
      <c r="E1147" s="13"/>
    </row>
    <row r="1148">
      <c r="A1148" s="6"/>
      <c r="B1148" s="6"/>
      <c r="C1148" s="6"/>
      <c r="D1148" s="13"/>
      <c r="E1148" s="13"/>
    </row>
    <row r="1149">
      <c r="A1149" s="6"/>
      <c r="B1149" s="6"/>
      <c r="C1149" s="6"/>
      <c r="D1149" s="13"/>
      <c r="E1149" s="13"/>
    </row>
    <row r="1150">
      <c r="A1150" s="6"/>
      <c r="B1150" s="6"/>
      <c r="C1150" s="6"/>
      <c r="D1150" s="13"/>
      <c r="E1150" s="13"/>
    </row>
    <row r="1151">
      <c r="A1151" s="6"/>
      <c r="B1151" s="6"/>
      <c r="C1151" s="6"/>
      <c r="D1151" s="13"/>
      <c r="E1151" s="13"/>
    </row>
    <row r="1152">
      <c r="A1152" s="6"/>
      <c r="B1152" s="6"/>
      <c r="C1152" s="6"/>
      <c r="D1152" s="13"/>
      <c r="E1152" s="13"/>
    </row>
    <row r="1153">
      <c r="A1153" s="6"/>
      <c r="B1153" s="6"/>
      <c r="C1153" s="6"/>
      <c r="D1153" s="13"/>
      <c r="E1153" s="13"/>
    </row>
    <row r="1154">
      <c r="A1154" s="6"/>
      <c r="B1154" s="6"/>
      <c r="C1154" s="6"/>
      <c r="D1154" s="13"/>
      <c r="E1154" s="13"/>
    </row>
    <row r="1155">
      <c r="A1155" s="6"/>
      <c r="B1155" s="13"/>
      <c r="C1155" s="6"/>
      <c r="D1155" s="13"/>
      <c r="E1155" s="13"/>
    </row>
    <row r="1156">
      <c r="A1156" s="6"/>
      <c r="B1156" s="13"/>
      <c r="C1156" s="6"/>
      <c r="D1156" s="13"/>
      <c r="E1156" s="13"/>
    </row>
    <row r="1157">
      <c r="A1157" s="6"/>
      <c r="B1157" s="13"/>
      <c r="C1157" s="6"/>
      <c r="D1157" s="13"/>
      <c r="E1157" s="13"/>
    </row>
    <row r="1158">
      <c r="A1158" s="6"/>
      <c r="B1158" s="13"/>
      <c r="C1158" s="6"/>
      <c r="D1158" s="13"/>
      <c r="E1158" s="13"/>
    </row>
    <row r="1159">
      <c r="A1159" s="6"/>
      <c r="B1159" s="13"/>
      <c r="C1159" s="6"/>
      <c r="D1159" s="13"/>
      <c r="E1159" s="13"/>
    </row>
    <row r="1160">
      <c r="A1160" s="6"/>
      <c r="B1160" s="13"/>
      <c r="C1160" s="6"/>
      <c r="D1160" s="13"/>
      <c r="E1160" s="13"/>
    </row>
    <row r="1161">
      <c r="A1161" s="6"/>
      <c r="B1161" s="13"/>
      <c r="C1161" s="6"/>
      <c r="D1161" s="13"/>
      <c r="E1161" s="13"/>
    </row>
    <row r="1162">
      <c r="A1162" s="6"/>
      <c r="B1162" s="13"/>
      <c r="C1162" s="6"/>
      <c r="D1162" s="13"/>
      <c r="E1162" s="13"/>
    </row>
    <row r="1163">
      <c r="A1163" s="6"/>
      <c r="B1163" s="13"/>
      <c r="C1163" s="6"/>
      <c r="D1163" s="13"/>
      <c r="E1163" s="13"/>
    </row>
    <row r="1164">
      <c r="A1164" s="6"/>
      <c r="B1164" s="13"/>
      <c r="C1164" s="6"/>
      <c r="D1164" s="13"/>
      <c r="E1164" s="13"/>
    </row>
    <row r="1165">
      <c r="A1165" s="6"/>
      <c r="B1165" s="6"/>
      <c r="C1165" s="6"/>
      <c r="D1165" s="13"/>
      <c r="E1165" s="13"/>
    </row>
    <row r="1166">
      <c r="A1166" s="6"/>
      <c r="B1166" s="6"/>
      <c r="C1166" s="6"/>
      <c r="D1166" s="13"/>
      <c r="E1166" s="13"/>
    </row>
    <row r="1167">
      <c r="A1167" s="6"/>
      <c r="B1167" s="6"/>
      <c r="C1167" s="6"/>
      <c r="D1167" s="13"/>
      <c r="E1167" s="13"/>
    </row>
    <row r="1168">
      <c r="A1168" s="6"/>
      <c r="B1168" s="6"/>
      <c r="C1168" s="6"/>
      <c r="D1168" s="13"/>
      <c r="E1168" s="13"/>
    </row>
    <row r="1169">
      <c r="A1169" s="6"/>
      <c r="B1169" s="13"/>
      <c r="C1169" s="6"/>
      <c r="D1169" s="13"/>
      <c r="E1169" s="13"/>
    </row>
    <row r="1170">
      <c r="A1170" s="6"/>
      <c r="B1170" s="13"/>
      <c r="C1170" s="6"/>
      <c r="D1170" s="13"/>
      <c r="E1170" s="13"/>
    </row>
    <row r="1171">
      <c r="A1171" s="6"/>
      <c r="B1171" s="13"/>
      <c r="C1171" s="6"/>
      <c r="D1171" s="13"/>
      <c r="E1171" s="13"/>
    </row>
    <row r="1172">
      <c r="A1172" s="6"/>
      <c r="B1172" s="13"/>
      <c r="C1172" s="6"/>
      <c r="D1172" s="13"/>
      <c r="E1172" s="13"/>
    </row>
    <row r="1173">
      <c r="A1173" s="6"/>
      <c r="B1173" s="13"/>
      <c r="C1173" s="6"/>
      <c r="D1173" s="13"/>
      <c r="E1173" s="13"/>
    </row>
    <row r="1174">
      <c r="A1174" s="6"/>
      <c r="B1174" s="13"/>
      <c r="C1174" s="6"/>
      <c r="D1174" s="13"/>
      <c r="E1174" s="13"/>
    </row>
    <row r="1175">
      <c r="A1175" s="6"/>
      <c r="B1175" s="13"/>
      <c r="C1175" s="6"/>
      <c r="D1175" s="13"/>
      <c r="E1175" s="13"/>
    </row>
    <row r="1176">
      <c r="A1176" s="6"/>
      <c r="B1176" s="13"/>
      <c r="C1176" s="6"/>
      <c r="D1176" s="13"/>
      <c r="E1176" s="13"/>
    </row>
    <row r="1177">
      <c r="A1177" s="6"/>
      <c r="B1177" s="13"/>
      <c r="C1177" s="6"/>
      <c r="D1177" s="13"/>
      <c r="E1177" s="13"/>
    </row>
    <row r="1178">
      <c r="A1178" s="6"/>
      <c r="B1178" s="13"/>
      <c r="C1178" s="6"/>
      <c r="D1178" s="13"/>
      <c r="E1178" s="13"/>
    </row>
    <row r="1179">
      <c r="A1179" s="6"/>
      <c r="B1179" s="13"/>
      <c r="C1179" s="6"/>
      <c r="D1179" s="13"/>
      <c r="E1179" s="13"/>
    </row>
    <row r="1180">
      <c r="A1180" s="6"/>
      <c r="B1180" s="13"/>
      <c r="C1180" s="6"/>
      <c r="D1180" s="13"/>
      <c r="E1180" s="13"/>
    </row>
    <row r="1181">
      <c r="A1181" s="6"/>
      <c r="B1181" s="13"/>
      <c r="C1181" s="6"/>
      <c r="D1181" s="13"/>
      <c r="E1181" s="13"/>
    </row>
    <row r="1182">
      <c r="A1182" s="6"/>
      <c r="B1182" s="13"/>
      <c r="C1182" s="6"/>
      <c r="D1182" s="13"/>
      <c r="E1182" s="13"/>
    </row>
    <row r="1183">
      <c r="A1183" s="6"/>
      <c r="B1183" s="13"/>
      <c r="C1183" s="6"/>
      <c r="D1183" s="13"/>
      <c r="E1183" s="13"/>
    </row>
    <row r="1184">
      <c r="A1184" s="6"/>
      <c r="B1184" s="13"/>
      <c r="C1184" s="6"/>
      <c r="D1184" s="13"/>
      <c r="E1184" s="13"/>
    </row>
    <row r="1185">
      <c r="A1185" s="6"/>
      <c r="B1185" s="13"/>
      <c r="C1185" s="6"/>
      <c r="D1185" s="13"/>
      <c r="E1185" s="13"/>
    </row>
    <row r="1186">
      <c r="A1186" s="6"/>
      <c r="B1186" s="13"/>
      <c r="C1186" s="6"/>
      <c r="D1186" s="13"/>
      <c r="E1186" s="13"/>
    </row>
    <row r="1187">
      <c r="A1187" s="6"/>
      <c r="B1187" s="6"/>
      <c r="C1187" s="6"/>
      <c r="D1187" s="13"/>
      <c r="E1187" s="13"/>
    </row>
    <row r="1188">
      <c r="A1188" s="6"/>
      <c r="B1188" s="6"/>
      <c r="C1188" s="6"/>
      <c r="D1188" s="13"/>
      <c r="E1188" s="13"/>
    </row>
    <row r="1189">
      <c r="A1189" s="6"/>
      <c r="B1189" s="6"/>
      <c r="C1189" s="6"/>
      <c r="D1189" s="13"/>
      <c r="E1189" s="13"/>
    </row>
    <row r="1190">
      <c r="A1190" s="6"/>
      <c r="B1190" s="6"/>
      <c r="C1190" s="6"/>
      <c r="D1190" s="13"/>
      <c r="E1190" s="13"/>
    </row>
    <row r="1191">
      <c r="A1191" s="6"/>
      <c r="B1191" s="6"/>
      <c r="C1191" s="6"/>
      <c r="D1191" s="13"/>
      <c r="E1191" s="13"/>
    </row>
    <row r="1192">
      <c r="A1192" s="6"/>
      <c r="B1192" s="6"/>
      <c r="C1192" s="6"/>
      <c r="D1192" s="13"/>
      <c r="E1192" s="13"/>
    </row>
    <row r="1193">
      <c r="A1193" s="6"/>
      <c r="B1193" s="13"/>
      <c r="C1193" s="6"/>
      <c r="D1193" s="13"/>
      <c r="E1193" s="13"/>
    </row>
    <row r="1194">
      <c r="A1194" s="6"/>
      <c r="B1194" s="6"/>
      <c r="C1194" s="6"/>
      <c r="D1194" s="13"/>
      <c r="E1194" s="13"/>
    </row>
    <row r="1195">
      <c r="A1195" s="6"/>
      <c r="B1195" s="6"/>
      <c r="C1195" s="6"/>
      <c r="D1195" s="13"/>
      <c r="E1195" s="13"/>
    </row>
    <row r="1196">
      <c r="A1196" s="6"/>
      <c r="B1196" s="6"/>
      <c r="C1196" s="6"/>
      <c r="D1196" s="13"/>
      <c r="E1196" s="13"/>
    </row>
    <row r="1197">
      <c r="A1197" s="6"/>
      <c r="B1197" s="6"/>
      <c r="C1197" s="6"/>
      <c r="D1197" s="13"/>
      <c r="E1197" s="13"/>
    </row>
    <row r="1198">
      <c r="A1198" s="6"/>
      <c r="B1198" s="6"/>
      <c r="C1198" s="6"/>
      <c r="D1198" s="13"/>
      <c r="E1198" s="13"/>
    </row>
    <row r="1199">
      <c r="A1199" s="6"/>
      <c r="B1199" s="6"/>
      <c r="C1199" s="6"/>
      <c r="D1199" s="13"/>
      <c r="E1199" s="13"/>
    </row>
    <row r="1200">
      <c r="A1200" s="6"/>
      <c r="B1200" s="6"/>
      <c r="C1200" s="6"/>
      <c r="D1200" s="13"/>
      <c r="E1200" s="13"/>
    </row>
    <row r="1201">
      <c r="A1201" s="6"/>
      <c r="B1201" s="6"/>
      <c r="C1201" s="6"/>
      <c r="D1201" s="13"/>
      <c r="E1201" s="13"/>
    </row>
    <row r="1202">
      <c r="A1202" s="6"/>
      <c r="B1202" s="6"/>
      <c r="C1202" s="6"/>
      <c r="D1202" s="13"/>
      <c r="E1202" s="13"/>
    </row>
    <row r="1203">
      <c r="A1203" s="6"/>
      <c r="B1203" s="6"/>
      <c r="C1203" s="6"/>
      <c r="D1203" s="13"/>
      <c r="E1203" s="13"/>
    </row>
    <row r="1204">
      <c r="A1204" s="6"/>
      <c r="B1204" s="6"/>
      <c r="C1204" s="6"/>
      <c r="D1204" s="13"/>
      <c r="E1204" s="13"/>
    </row>
    <row r="1205">
      <c r="A1205" s="6"/>
      <c r="B1205" s="6"/>
      <c r="C1205" s="6"/>
      <c r="D1205" s="13"/>
      <c r="E1205" s="13"/>
    </row>
    <row r="1206">
      <c r="A1206" s="6"/>
      <c r="B1206" s="6"/>
      <c r="C1206" s="95"/>
      <c r="D1206" s="13"/>
      <c r="E1206" s="13"/>
    </row>
    <row r="1207">
      <c r="A1207" s="6"/>
      <c r="B1207" s="6"/>
      <c r="C1207" s="6"/>
      <c r="D1207" s="13"/>
      <c r="E1207" s="13"/>
    </row>
    <row r="1208">
      <c r="A1208" s="6"/>
      <c r="B1208" s="6"/>
      <c r="C1208" s="6"/>
      <c r="D1208" s="13"/>
      <c r="E1208" s="13"/>
    </row>
    <row r="1209">
      <c r="A1209" s="6"/>
      <c r="B1209" s="6"/>
      <c r="C1209" s="96"/>
      <c r="D1209" s="13"/>
      <c r="E1209" s="13"/>
    </row>
    <row r="1210">
      <c r="A1210" s="6"/>
      <c r="B1210" s="6"/>
      <c r="C1210" s="6"/>
      <c r="D1210" s="13"/>
      <c r="E1210" s="13"/>
    </row>
    <row r="1211">
      <c r="A1211" s="6"/>
      <c r="B1211" s="6"/>
      <c r="C1211" s="6"/>
      <c r="D1211" s="13"/>
      <c r="E1211" s="13"/>
    </row>
    <row r="1212">
      <c r="A1212" s="6"/>
      <c r="B1212" s="6"/>
      <c r="C1212" s="6"/>
      <c r="D1212" s="13"/>
      <c r="E1212" s="13"/>
    </row>
    <row r="1213">
      <c r="A1213" s="6"/>
      <c r="B1213" s="6"/>
      <c r="C1213" s="6"/>
      <c r="D1213" s="13"/>
      <c r="E1213" s="13"/>
    </row>
    <row r="1214">
      <c r="A1214" s="6"/>
      <c r="B1214" s="6"/>
      <c r="C1214" s="6"/>
      <c r="D1214" s="13"/>
      <c r="E1214" s="13"/>
    </row>
    <row r="1215">
      <c r="A1215" s="6"/>
      <c r="B1215" s="6"/>
      <c r="C1215" s="6"/>
      <c r="D1215" s="13"/>
      <c r="E1215" s="13"/>
    </row>
    <row r="1216">
      <c r="A1216" s="6"/>
      <c r="B1216" s="6"/>
      <c r="C1216" s="6"/>
      <c r="D1216" s="13"/>
      <c r="E1216" s="13"/>
    </row>
    <row r="1217">
      <c r="A1217" s="6"/>
      <c r="B1217" s="6"/>
      <c r="C1217" s="6"/>
      <c r="D1217" s="13"/>
      <c r="E1217" s="13"/>
    </row>
    <row r="1218">
      <c r="A1218" s="6"/>
      <c r="B1218" s="6"/>
      <c r="C1218" s="6"/>
      <c r="D1218" s="13"/>
      <c r="E1218" s="13"/>
    </row>
    <row r="1219">
      <c r="A1219" s="6"/>
      <c r="B1219" s="6"/>
      <c r="C1219" s="6"/>
      <c r="D1219" s="13"/>
      <c r="E1219" s="13"/>
    </row>
    <row r="1220">
      <c r="A1220" s="6"/>
      <c r="B1220" s="6"/>
      <c r="C1220" s="6"/>
      <c r="D1220" s="13"/>
      <c r="E1220" s="13"/>
    </row>
    <row r="1221">
      <c r="A1221" s="6"/>
      <c r="B1221" s="6"/>
      <c r="C1221" s="6"/>
      <c r="D1221" s="13"/>
      <c r="E1221" s="13"/>
    </row>
    <row r="1222">
      <c r="A1222" s="6"/>
      <c r="B1222" s="6"/>
      <c r="C1222" s="6"/>
      <c r="D1222" s="13"/>
      <c r="E1222" s="13"/>
    </row>
    <row r="1223">
      <c r="A1223" s="6"/>
      <c r="B1223" s="6"/>
      <c r="C1223" s="6"/>
      <c r="D1223" s="13"/>
      <c r="E1223" s="13"/>
    </row>
    <row r="1224">
      <c r="A1224" s="6"/>
      <c r="B1224" s="6"/>
      <c r="C1224" s="6"/>
      <c r="D1224" s="13"/>
      <c r="E1224" s="13"/>
    </row>
    <row r="1225">
      <c r="A1225" s="6"/>
      <c r="B1225" s="6"/>
      <c r="C1225" s="6"/>
      <c r="D1225" s="13"/>
      <c r="E1225" s="13"/>
    </row>
    <row r="1226">
      <c r="A1226" s="6"/>
      <c r="B1226" s="6"/>
      <c r="C1226" s="6"/>
      <c r="D1226" s="13"/>
      <c r="E1226" s="13"/>
    </row>
    <row r="1227">
      <c r="A1227" s="6"/>
      <c r="B1227" s="6"/>
      <c r="C1227" s="6"/>
      <c r="D1227" s="13"/>
      <c r="E1227" s="13"/>
    </row>
    <row r="1228">
      <c r="A1228" s="6"/>
      <c r="B1228" s="6"/>
      <c r="C1228" s="6"/>
      <c r="D1228" s="13"/>
      <c r="E1228" s="13"/>
    </row>
    <row r="1229">
      <c r="A1229" s="6"/>
      <c r="B1229" s="6"/>
      <c r="C1229" s="6"/>
      <c r="D1229" s="13"/>
      <c r="E1229" s="13"/>
    </row>
    <row r="1230">
      <c r="A1230" s="6"/>
      <c r="B1230" s="6"/>
      <c r="C1230" s="6"/>
      <c r="D1230" s="13"/>
      <c r="E1230" s="13"/>
    </row>
    <row r="1231">
      <c r="A1231" s="6"/>
      <c r="B1231" s="6"/>
      <c r="C1231" s="6"/>
      <c r="D1231" s="13"/>
      <c r="E1231" s="13"/>
    </row>
    <row r="1232">
      <c r="A1232" s="6"/>
      <c r="B1232" s="6"/>
      <c r="C1232" s="6"/>
      <c r="D1232" s="13"/>
      <c r="E1232" s="13"/>
    </row>
    <row r="1233">
      <c r="A1233" s="6"/>
      <c r="B1233" s="6"/>
      <c r="C1233" s="6"/>
      <c r="D1233" s="13"/>
      <c r="E1233" s="13"/>
    </row>
    <row r="1234">
      <c r="A1234" s="6"/>
      <c r="B1234" s="6"/>
      <c r="C1234" s="6"/>
      <c r="D1234" s="13"/>
      <c r="E1234" s="13"/>
    </row>
    <row r="1235">
      <c r="A1235" s="6"/>
      <c r="B1235" s="6"/>
      <c r="C1235" s="6"/>
      <c r="D1235" s="13"/>
      <c r="E1235" s="13"/>
    </row>
    <row r="1236">
      <c r="A1236" s="6"/>
      <c r="B1236" s="6"/>
      <c r="C1236" s="6"/>
      <c r="D1236" s="13"/>
      <c r="E1236" s="13"/>
    </row>
    <row r="1237">
      <c r="A1237" s="6"/>
      <c r="B1237" s="6"/>
      <c r="C1237" s="6"/>
      <c r="D1237" s="13"/>
      <c r="E1237" s="13"/>
    </row>
    <row r="1238">
      <c r="A1238" s="6"/>
      <c r="B1238" s="6"/>
      <c r="C1238" s="6"/>
      <c r="D1238" s="13"/>
      <c r="E1238" s="13"/>
    </row>
    <row r="1239">
      <c r="A1239" s="6"/>
      <c r="B1239" s="96"/>
      <c r="C1239" s="96"/>
      <c r="D1239" s="13"/>
      <c r="E1239" s="13"/>
    </row>
    <row r="1240">
      <c r="A1240" s="6"/>
      <c r="B1240" s="96"/>
      <c r="C1240" s="96"/>
      <c r="D1240" s="13"/>
      <c r="E1240" s="13"/>
    </row>
    <row r="1241">
      <c r="A1241" s="6"/>
      <c r="B1241" s="96"/>
      <c r="C1241" s="96"/>
      <c r="D1241" s="13"/>
      <c r="E1241" s="13"/>
    </row>
    <row r="1242">
      <c r="A1242" s="6"/>
      <c r="B1242" s="96"/>
      <c r="C1242" s="96"/>
      <c r="D1242" s="13"/>
      <c r="E1242" s="13"/>
    </row>
    <row r="1243">
      <c r="A1243" s="6"/>
      <c r="B1243" s="96"/>
      <c r="C1243" s="96"/>
      <c r="D1243" s="13"/>
      <c r="E1243" s="13"/>
    </row>
    <row r="1244">
      <c r="A1244" s="6"/>
      <c r="B1244" s="96"/>
      <c r="C1244" s="96"/>
      <c r="D1244" s="13"/>
      <c r="E1244" s="13"/>
    </row>
    <row r="1245">
      <c r="A1245" s="6"/>
      <c r="B1245" s="96"/>
      <c r="C1245" s="96"/>
      <c r="D1245" s="13"/>
      <c r="E1245" s="13"/>
    </row>
    <row r="1246">
      <c r="A1246" s="6"/>
      <c r="B1246" s="96"/>
      <c r="C1246" s="96"/>
      <c r="D1246" s="13"/>
      <c r="E1246" s="13"/>
    </row>
    <row r="1247">
      <c r="A1247" s="6"/>
      <c r="B1247" s="96"/>
      <c r="C1247" s="96"/>
      <c r="D1247" s="13"/>
      <c r="E1247" s="13"/>
    </row>
  </sheetData>
  <drawing r:id="rId1"/>
</worksheet>
</file>